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/>
  </bookViews>
  <sheets>
    <sheet name="16 OR" sheetId="2" r:id="rId1"/>
    <sheet name="6 OR" sheetId="3" r:id="rId2"/>
    <sheet name="Tables" sheetId="1" r:id="rId3"/>
  </sheets>
  <definedNames>
    <definedName name="_xlnm._FilterDatabase" localSheetId="0" hidden="1">'16 OR'!$B$1:$B$10000</definedName>
    <definedName name="_xlnm._FilterDatabase" localSheetId="1" hidden="1">'6 OR'!$B$1:$B$1018</definedName>
    <definedName name="_xlnm.Criteria" localSheetId="0">'16 OR'!$E$5:$E$21</definedName>
    <definedName name="_xlnm.Criteria" localSheetId="1">'6 OR'!$E$5:$E$21</definedName>
    <definedName name="_xlnm.Extract" localSheetId="0">'16 OR'!$E$31</definedName>
    <definedName name="_xlnm.Extract" localSheetId="1">'6 OR'!$E$31</definedName>
    <definedName name="Groups">Tables!$D$2:$D$5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" i="3" l="1" a="1"/>
  <c r="K20" i="3" s="1"/>
  <c r="L20" i="3" a="1"/>
  <c r="L20" i="3" s="1"/>
  <c r="M20" i="3" a="1"/>
  <c r="M20" i="3" s="1"/>
  <c r="K21" i="3" a="1"/>
  <c r="K21" i="3" s="1"/>
  <c r="L21" i="3" a="1"/>
  <c r="L21" i="3" s="1"/>
  <c r="M21" i="3" a="1"/>
  <c r="M21" i="3" s="1"/>
  <c r="K22" i="3" a="1"/>
  <c r="K22" i="3" s="1"/>
  <c r="L22" i="3" a="1"/>
  <c r="L22" i="3" s="1"/>
  <c r="M22" i="3" a="1"/>
  <c r="M22" i="3" s="1"/>
  <c r="K23" i="3" a="1"/>
  <c r="K23" i="3" s="1"/>
  <c r="L23" i="3" a="1"/>
  <c r="L23" i="3" s="1"/>
  <c r="M23" i="3" a="1"/>
  <c r="M23" i="3" s="1"/>
  <c r="K24" i="3" a="1"/>
  <c r="K24" i="3" s="1"/>
  <c r="L24" i="3" a="1"/>
  <c r="L24" i="3" s="1"/>
  <c r="M24" i="3" a="1"/>
  <c r="M24" i="3" s="1"/>
  <c r="K25" i="3" a="1"/>
  <c r="K25" i="3" s="1"/>
  <c r="L25" i="3" a="1"/>
  <c r="L25" i="3" s="1"/>
  <c r="M25" i="3" a="1"/>
  <c r="M25" i="3" s="1"/>
  <c r="K26" i="3" a="1"/>
  <c r="K26" i="3" s="1"/>
  <c r="L26" i="3" a="1"/>
  <c r="L26" i="3" s="1"/>
  <c r="M26" i="3" a="1"/>
  <c r="M26" i="3" s="1"/>
  <c r="K27" i="3" a="1"/>
  <c r="K27" i="3" s="1"/>
  <c r="L27" i="3" a="1"/>
  <c r="L27" i="3" s="1"/>
  <c r="M27" i="3" a="1"/>
  <c r="M27" i="3" s="1"/>
  <c r="K28" i="3" a="1"/>
  <c r="K28" i="3" s="1"/>
  <c r="L28" i="3" a="1"/>
  <c r="L28" i="3" s="1"/>
  <c r="M28" i="3" a="1"/>
  <c r="M28" i="3" s="1"/>
  <c r="K29" i="3" a="1"/>
  <c r="K29" i="3" s="1"/>
  <c r="L29" i="3" a="1"/>
  <c r="L29" i="3" s="1"/>
  <c r="M29" i="3" a="1"/>
  <c r="M29" i="3" s="1"/>
  <c r="K30" i="3" a="1"/>
  <c r="K30" i="3" s="1"/>
  <c r="L30" i="3" a="1"/>
  <c r="L30" i="3" s="1"/>
  <c r="M30" i="3" a="1"/>
  <c r="M30" i="3" s="1"/>
  <c r="K31" i="3" a="1"/>
  <c r="K31" i="3" s="1"/>
  <c r="L31" i="3" a="1"/>
  <c r="L31" i="3" s="1"/>
  <c r="M31" i="3" a="1"/>
  <c r="M31" i="3" s="1"/>
  <c r="K32" i="3" a="1"/>
  <c r="K32" i="3" s="1"/>
  <c r="L32" i="3" a="1"/>
  <c r="L32" i="3" s="1"/>
  <c r="M32" i="3" a="1"/>
  <c r="M32" i="3" s="1"/>
  <c r="K33" i="3" a="1"/>
  <c r="K33" i="3" s="1"/>
  <c r="L33" i="3" a="1"/>
  <c r="L33" i="3" s="1"/>
  <c r="M33" i="3" a="1"/>
  <c r="M33" i="3" s="1"/>
  <c r="K34" i="3" a="1"/>
  <c r="K34" i="3" s="1"/>
  <c r="L34" i="3" a="1"/>
  <c r="L34" i="3" s="1"/>
  <c r="M34" i="3" a="1"/>
  <c r="M34" i="3" s="1"/>
  <c r="K35" i="3" a="1"/>
  <c r="K35" i="3" s="1"/>
  <c r="L35" i="3" a="1"/>
  <c r="L35" i="3" s="1"/>
  <c r="M35" i="3" a="1"/>
  <c r="M35" i="3" s="1"/>
  <c r="K36" i="3" a="1"/>
  <c r="K36" i="3" s="1"/>
  <c r="L36" i="3" a="1"/>
  <c r="L36" i="3" s="1"/>
  <c r="M36" i="3" a="1"/>
  <c r="M36" i="3" s="1"/>
  <c r="K37" i="3" a="1"/>
  <c r="K37" i="3" s="1"/>
  <c r="L37" i="3" a="1"/>
  <c r="L37" i="3" s="1"/>
  <c r="M37" i="3" a="1"/>
  <c r="M37" i="3" s="1"/>
  <c r="K38" i="3" a="1"/>
  <c r="K38" i="3" s="1"/>
  <c r="L38" i="3" a="1"/>
  <c r="L38" i="3" s="1"/>
  <c r="M38" i="3" a="1"/>
  <c r="M38" i="3" s="1"/>
  <c r="K39" i="3" a="1"/>
  <c r="K39" i="3" s="1"/>
  <c r="L39" i="3" a="1"/>
  <c r="L39" i="3" s="1"/>
  <c r="M39" i="3" a="1"/>
  <c r="M39" i="3" s="1"/>
  <c r="K40" i="3" a="1"/>
  <c r="K40" i="3" s="1"/>
  <c r="L40" i="3" a="1"/>
  <c r="L40" i="3" s="1"/>
  <c r="M40" i="3" a="1"/>
  <c r="M40" i="3" s="1"/>
  <c r="K41" i="3" a="1"/>
  <c r="K41" i="3" s="1"/>
  <c r="L41" i="3" a="1"/>
  <c r="L41" i="3" s="1"/>
  <c r="M41" i="3" a="1"/>
  <c r="M41" i="3" s="1"/>
  <c r="K42" i="3" a="1"/>
  <c r="K42" i="3" s="1"/>
  <c r="L42" i="3" a="1"/>
  <c r="L42" i="3" s="1"/>
  <c r="M42" i="3" a="1"/>
  <c r="M42" i="3" s="1"/>
  <c r="K43" i="3" a="1"/>
  <c r="K43" i="3" s="1"/>
  <c r="L43" i="3" a="1"/>
  <c r="L43" i="3" s="1"/>
  <c r="M43" i="3" a="1"/>
  <c r="M43" i="3" s="1"/>
  <c r="K44" i="3" a="1"/>
  <c r="K44" i="3" s="1"/>
  <c r="L44" i="3" a="1"/>
  <c r="L44" i="3" s="1"/>
  <c r="M44" i="3" a="1"/>
  <c r="M44" i="3" s="1"/>
  <c r="K45" i="3" a="1"/>
  <c r="K45" i="3" s="1"/>
  <c r="L45" i="3" a="1"/>
  <c r="L45" i="3" s="1"/>
  <c r="M45" i="3" a="1"/>
  <c r="M45" i="3" s="1"/>
  <c r="K46" i="3" a="1"/>
  <c r="K46" i="3" s="1"/>
  <c r="L46" i="3" a="1"/>
  <c r="L46" i="3" s="1"/>
  <c r="M46" i="3" a="1"/>
  <c r="M46" i="3" s="1"/>
  <c r="K47" i="3" a="1"/>
  <c r="K47" i="3" s="1"/>
  <c r="L47" i="3" a="1"/>
  <c r="L47" i="3" s="1"/>
  <c r="M47" i="3" a="1"/>
  <c r="M47" i="3" s="1"/>
  <c r="K48" i="3" a="1"/>
  <c r="K48" i="3" s="1"/>
  <c r="L48" i="3" a="1"/>
  <c r="L48" i="3" s="1"/>
  <c r="M48" i="3" a="1"/>
  <c r="M48" i="3" s="1"/>
  <c r="K49" i="3" a="1"/>
  <c r="K49" i="3" s="1"/>
  <c r="L49" i="3" a="1"/>
  <c r="L49" i="3" s="1"/>
  <c r="M49" i="3" a="1"/>
  <c r="M49" i="3" s="1"/>
  <c r="K50" i="3" a="1"/>
  <c r="K50" i="3" s="1"/>
  <c r="L50" i="3" a="1"/>
  <c r="L50" i="3" s="1"/>
  <c r="M50" i="3" a="1"/>
  <c r="M50" i="3" s="1"/>
  <c r="K51" i="3" a="1"/>
  <c r="K51" i="3" s="1"/>
  <c r="L51" i="3" a="1"/>
  <c r="L51" i="3" s="1"/>
  <c r="M51" i="3" a="1"/>
  <c r="M51" i="3" s="1"/>
  <c r="K52" i="3" a="1"/>
  <c r="K52" i="3" s="1"/>
  <c r="L52" i="3" a="1"/>
  <c r="L52" i="3" s="1"/>
  <c r="M52" i="3" a="1"/>
  <c r="M52" i="3" s="1"/>
  <c r="K53" i="3" a="1"/>
  <c r="K53" i="3" s="1"/>
  <c r="L53" i="3" a="1"/>
  <c r="L53" i="3" s="1"/>
  <c r="M53" i="3" a="1"/>
  <c r="M53" i="3" s="1"/>
  <c r="K54" i="3" a="1"/>
  <c r="K54" i="3" s="1"/>
  <c r="L54" i="3" a="1"/>
  <c r="L54" i="3" s="1"/>
  <c r="M54" i="3" a="1"/>
  <c r="M54" i="3" s="1"/>
  <c r="K55" i="3" a="1"/>
  <c r="K55" i="3" s="1"/>
  <c r="L55" i="3" a="1"/>
  <c r="L55" i="3" s="1"/>
  <c r="M55" i="3" a="1"/>
  <c r="M55" i="3" s="1"/>
  <c r="K56" i="3" a="1"/>
  <c r="K56" i="3" s="1"/>
  <c r="L56" i="3" a="1"/>
  <c r="L56" i="3" s="1"/>
  <c r="M56" i="3" a="1"/>
  <c r="M56" i="3" s="1"/>
  <c r="K57" i="3" a="1"/>
  <c r="K57" i="3" s="1"/>
  <c r="L57" i="3" a="1"/>
  <c r="L57" i="3" s="1"/>
  <c r="M57" i="3" a="1"/>
  <c r="M57" i="3" s="1"/>
  <c r="K58" i="3" a="1"/>
  <c r="K58" i="3" s="1"/>
  <c r="L58" i="3" a="1"/>
  <c r="L58" i="3" s="1"/>
  <c r="M58" i="3" a="1"/>
  <c r="M58" i="3" s="1"/>
  <c r="K59" i="3" a="1"/>
  <c r="K59" i="3" s="1"/>
  <c r="L59" i="3" a="1"/>
  <c r="L59" i="3" s="1"/>
  <c r="M59" i="3" a="1"/>
  <c r="M59" i="3" s="1"/>
  <c r="K60" i="3" a="1"/>
  <c r="K60" i="3" s="1"/>
  <c r="L60" i="3" a="1"/>
  <c r="L60" i="3" s="1"/>
  <c r="M60" i="3" a="1"/>
  <c r="M60" i="3" s="1"/>
  <c r="K61" i="3" a="1"/>
  <c r="K61" i="3" s="1"/>
  <c r="L61" i="3" a="1"/>
  <c r="L61" i="3" s="1"/>
  <c r="M61" i="3" a="1"/>
  <c r="M61" i="3" s="1"/>
  <c r="K62" i="3" a="1"/>
  <c r="K62" i="3" s="1"/>
  <c r="L62" i="3" a="1"/>
  <c r="L62" i="3" s="1"/>
  <c r="M62" i="3" a="1"/>
  <c r="M62" i="3" s="1"/>
  <c r="K63" i="3" a="1"/>
  <c r="K63" i="3" s="1"/>
  <c r="L63" i="3" a="1"/>
  <c r="L63" i="3" s="1"/>
  <c r="M63" i="3" a="1"/>
  <c r="M63" i="3" s="1"/>
  <c r="K64" i="3" a="1"/>
  <c r="K64" i="3" s="1"/>
  <c r="L64" i="3" a="1"/>
  <c r="L64" i="3" s="1"/>
  <c r="M64" i="3" a="1"/>
  <c r="M64" i="3" s="1"/>
  <c r="K65" i="3" a="1"/>
  <c r="K65" i="3" s="1"/>
  <c r="L65" i="3" a="1"/>
  <c r="L65" i="3" s="1"/>
  <c r="M65" i="3" a="1"/>
  <c r="M65" i="3" s="1"/>
  <c r="K66" i="3" a="1"/>
  <c r="K66" i="3" s="1"/>
  <c r="L66" i="3" a="1"/>
  <c r="L66" i="3" s="1"/>
  <c r="M66" i="3" a="1"/>
  <c r="M66" i="3" s="1"/>
  <c r="K67" i="3" a="1"/>
  <c r="K67" i="3" s="1"/>
  <c r="L67" i="3" a="1"/>
  <c r="L67" i="3" s="1"/>
  <c r="M67" i="3" a="1"/>
  <c r="M67" i="3" s="1"/>
  <c r="K68" i="3" a="1"/>
  <c r="K68" i="3" s="1"/>
  <c r="L68" i="3" a="1"/>
  <c r="L68" i="3" s="1"/>
  <c r="M68" i="3" a="1"/>
  <c r="M68" i="3" s="1"/>
  <c r="K69" i="3" a="1"/>
  <c r="K69" i="3" s="1"/>
  <c r="L69" i="3" a="1"/>
  <c r="L69" i="3" s="1"/>
  <c r="M69" i="3" a="1"/>
  <c r="M69" i="3" s="1"/>
  <c r="K70" i="3" a="1"/>
  <c r="K70" i="3" s="1"/>
  <c r="L70" i="3" a="1"/>
  <c r="L70" i="3" s="1"/>
  <c r="M70" i="3" a="1"/>
  <c r="M70" i="3" s="1"/>
  <c r="K71" i="3" a="1"/>
  <c r="K71" i="3" s="1"/>
  <c r="L71" i="3" a="1"/>
  <c r="L71" i="3"/>
  <c r="M71" i="3" a="1"/>
  <c r="M71" i="3" s="1"/>
  <c r="K72" i="3" a="1"/>
  <c r="K72" i="3" s="1"/>
  <c r="L72" i="3" a="1"/>
  <c r="L72" i="3" s="1"/>
  <c r="M72" i="3" a="1"/>
  <c r="M72" i="3" s="1"/>
  <c r="K73" i="3" a="1"/>
  <c r="K73" i="3" s="1"/>
  <c r="L73" i="3" a="1"/>
  <c r="L73" i="3" s="1"/>
  <c r="M73" i="3" a="1"/>
  <c r="M73" i="3" s="1"/>
  <c r="K74" i="3" a="1"/>
  <c r="K74" i="3"/>
  <c r="L74" i="3" a="1"/>
  <c r="L74" i="3" s="1"/>
  <c r="M74" i="3" a="1"/>
  <c r="M74" i="3" s="1"/>
  <c r="K75" i="3" a="1"/>
  <c r="K75" i="3" s="1"/>
  <c r="L75" i="3" a="1"/>
  <c r="L75" i="3" s="1"/>
  <c r="M75" i="3" a="1"/>
  <c r="M75" i="3" s="1"/>
  <c r="K76" i="3" a="1"/>
  <c r="K76" i="3" s="1"/>
  <c r="L76" i="3" a="1"/>
  <c r="L76" i="3" s="1"/>
  <c r="M76" i="3" a="1"/>
  <c r="M76" i="3"/>
  <c r="K77" i="3" a="1"/>
  <c r="K77" i="3" s="1"/>
  <c r="L77" i="3" a="1"/>
  <c r="L77" i="3" s="1"/>
  <c r="M77" i="3" a="1"/>
  <c r="M77" i="3" s="1"/>
  <c r="K78" i="3" a="1"/>
  <c r="K78" i="3" s="1"/>
  <c r="L78" i="3" a="1"/>
  <c r="L78" i="3" s="1"/>
  <c r="M78" i="3" a="1"/>
  <c r="M78" i="3" s="1"/>
  <c r="K79" i="3" a="1"/>
  <c r="K79" i="3" s="1"/>
  <c r="L79" i="3" a="1"/>
  <c r="L79" i="3"/>
  <c r="M79" i="3" a="1"/>
  <c r="M79" i="3" s="1"/>
  <c r="K80" i="3" a="1"/>
  <c r="K80" i="3" s="1"/>
  <c r="L80" i="3" a="1"/>
  <c r="L80" i="3" s="1"/>
  <c r="M80" i="3" a="1"/>
  <c r="M80" i="3" s="1"/>
  <c r="K81" i="3" a="1"/>
  <c r="K81" i="3" s="1"/>
  <c r="L81" i="3" a="1"/>
  <c r="L81" i="3" s="1"/>
  <c r="M81" i="3" a="1"/>
  <c r="M81" i="3" s="1"/>
  <c r="K82" i="3" a="1"/>
  <c r="K82" i="3"/>
  <c r="L82" i="3" a="1"/>
  <c r="L82" i="3" s="1"/>
  <c r="M82" i="3" a="1"/>
  <c r="M82" i="3" s="1"/>
  <c r="K83" i="3" a="1"/>
  <c r="K83" i="3" s="1"/>
  <c r="L83" i="3" a="1"/>
  <c r="L83" i="3" s="1"/>
  <c r="M83" i="3" a="1"/>
  <c r="M83" i="3" s="1"/>
  <c r="K84" i="3" a="1"/>
  <c r="K84" i="3" s="1"/>
  <c r="L84" i="3" a="1"/>
  <c r="L84" i="3" s="1"/>
  <c r="M84" i="3" a="1"/>
  <c r="M84" i="3"/>
  <c r="K85" i="3" a="1"/>
  <c r="K85" i="3" s="1"/>
  <c r="L85" i="3" a="1"/>
  <c r="L85" i="3" s="1"/>
  <c r="M85" i="3" a="1"/>
  <c r="M85" i="3" s="1"/>
  <c r="K86" i="3" a="1"/>
  <c r="K86" i="3" s="1"/>
  <c r="L86" i="3" a="1"/>
  <c r="L86" i="3" s="1"/>
  <c r="M86" i="3" a="1"/>
  <c r="M86" i="3" s="1"/>
  <c r="K87" i="3" a="1"/>
  <c r="K87" i="3" s="1"/>
  <c r="L87" i="3" a="1"/>
  <c r="L87" i="3"/>
  <c r="M87" i="3" a="1"/>
  <c r="M87" i="3" s="1"/>
  <c r="K88" i="3" a="1"/>
  <c r="K88" i="3" s="1"/>
  <c r="L88" i="3" a="1"/>
  <c r="L88" i="3" s="1"/>
  <c r="M88" i="3" a="1"/>
  <c r="M88" i="3" s="1"/>
  <c r="K89" i="3" a="1"/>
  <c r="K89" i="3" s="1"/>
  <c r="L89" i="3" a="1"/>
  <c r="L89" i="3" s="1"/>
  <c r="M89" i="3" a="1"/>
  <c r="M89" i="3" s="1"/>
  <c r="K90" i="3" a="1"/>
  <c r="K90" i="3"/>
  <c r="L90" i="3" a="1"/>
  <c r="L90" i="3" s="1"/>
  <c r="M90" i="3" a="1"/>
  <c r="M90" i="3" s="1"/>
  <c r="K91" i="3" a="1"/>
  <c r="K91" i="3" s="1"/>
  <c r="L91" i="3" a="1"/>
  <c r="L91" i="3" s="1"/>
  <c r="M91" i="3" a="1"/>
  <c r="M91" i="3" s="1"/>
  <c r="K92" i="3" a="1"/>
  <c r="K92" i="3" s="1"/>
  <c r="L92" i="3" a="1"/>
  <c r="L92" i="3" s="1"/>
  <c r="M92" i="3" a="1"/>
  <c r="M92" i="3"/>
  <c r="K93" i="3" a="1"/>
  <c r="K93" i="3" s="1"/>
  <c r="L93" i="3" a="1"/>
  <c r="L93" i="3" s="1"/>
  <c r="M93" i="3" a="1"/>
  <c r="M93" i="3" s="1"/>
  <c r="K94" i="3" a="1"/>
  <c r="K94" i="3" s="1"/>
  <c r="L94" i="3" a="1"/>
  <c r="L94" i="3" s="1"/>
  <c r="M94" i="3" a="1"/>
  <c r="M94" i="3" s="1"/>
  <c r="K95" i="3" a="1"/>
  <c r="K95" i="3" s="1"/>
  <c r="L95" i="3" a="1"/>
  <c r="L95" i="3"/>
  <c r="M95" i="3" a="1"/>
  <c r="M95" i="3" s="1"/>
  <c r="K96" i="3" a="1"/>
  <c r="K96" i="3" s="1"/>
  <c r="L96" i="3" a="1"/>
  <c r="L96" i="3" s="1"/>
  <c r="M96" i="3" a="1"/>
  <c r="M96" i="3" s="1"/>
  <c r="K97" i="3" a="1"/>
  <c r="K97" i="3" s="1"/>
  <c r="L97" i="3" a="1"/>
  <c r="L97" i="3" s="1"/>
  <c r="M97" i="3" a="1"/>
  <c r="M97" i="3" s="1"/>
  <c r="K98" i="3" a="1"/>
  <c r="K98" i="3"/>
  <c r="L98" i="3" a="1"/>
  <c r="L98" i="3" s="1"/>
  <c r="M98" i="3" a="1"/>
  <c r="M98" i="3" s="1"/>
  <c r="K99" i="3" a="1"/>
  <c r="K99" i="3" s="1"/>
  <c r="L99" i="3" a="1"/>
  <c r="L99" i="3" s="1"/>
  <c r="M99" i="3" a="1"/>
  <c r="M99" i="3" s="1"/>
  <c r="K100" i="3" a="1"/>
  <c r="K100" i="3" s="1"/>
  <c r="L100" i="3" a="1"/>
  <c r="L100" i="3" s="1"/>
  <c r="M100" i="3" a="1"/>
  <c r="M100" i="3"/>
  <c r="K101" i="3" a="1"/>
  <c r="K101" i="3" s="1"/>
  <c r="L101" i="3" a="1"/>
  <c r="L101" i="3" s="1"/>
  <c r="M101" i="3" a="1"/>
  <c r="M101" i="3" s="1"/>
  <c r="K102" i="3" a="1"/>
  <c r="K102" i="3" s="1"/>
  <c r="L102" i="3" a="1"/>
  <c r="L102" i="3" s="1"/>
  <c r="M102" i="3" a="1"/>
  <c r="M102" i="3" s="1"/>
  <c r="K103" i="3" a="1"/>
  <c r="K103" i="3" s="1"/>
  <c r="L103" i="3" a="1"/>
  <c r="L103" i="3"/>
  <c r="M103" i="3" a="1"/>
  <c r="M103" i="3" s="1"/>
  <c r="K104" i="3" a="1"/>
  <c r="K104" i="3" s="1"/>
  <c r="L104" i="3" a="1"/>
  <c r="L104" i="3" s="1"/>
  <c r="M104" i="3" a="1"/>
  <c r="M104" i="3" s="1"/>
  <c r="K105" i="3" a="1"/>
  <c r="K105" i="3" s="1"/>
  <c r="L105" i="3" a="1"/>
  <c r="L105" i="3" s="1"/>
  <c r="M105" i="3" a="1"/>
  <c r="M105" i="3" s="1"/>
  <c r="K106" i="3" a="1"/>
  <c r="K106" i="3"/>
  <c r="L106" i="3" a="1"/>
  <c r="L106" i="3" s="1"/>
  <c r="M106" i="3" a="1"/>
  <c r="M106" i="3" s="1"/>
  <c r="K107" i="3" a="1"/>
  <c r="K107" i="3" s="1"/>
  <c r="L107" i="3" a="1"/>
  <c r="L107" i="3" s="1"/>
  <c r="M107" i="3" a="1"/>
  <c r="M107" i="3" s="1"/>
  <c r="K108" i="3" a="1"/>
  <c r="K108" i="3" s="1"/>
  <c r="L108" i="3" a="1"/>
  <c r="L108" i="3" s="1"/>
  <c r="M108" i="3" a="1"/>
  <c r="M108" i="3"/>
  <c r="K109" i="3" a="1"/>
  <c r="K109" i="3" s="1"/>
  <c r="L109" i="3" a="1"/>
  <c r="L109" i="3" s="1"/>
  <c r="M109" i="3" a="1"/>
  <c r="M109" i="3" s="1"/>
  <c r="K110" i="3" a="1"/>
  <c r="K110" i="3" s="1"/>
  <c r="L110" i="3" a="1"/>
  <c r="L110" i="3" s="1"/>
  <c r="M110" i="3" a="1"/>
  <c r="M110" i="3" s="1"/>
  <c r="K111" i="3" a="1"/>
  <c r="K111" i="3" s="1"/>
  <c r="L111" i="3" a="1"/>
  <c r="L111" i="3"/>
  <c r="M111" i="3" a="1"/>
  <c r="M111" i="3" s="1"/>
  <c r="K112" i="3" a="1"/>
  <c r="K112" i="3" s="1"/>
  <c r="L112" i="3" a="1"/>
  <c r="L112" i="3" s="1"/>
  <c r="M112" i="3" a="1"/>
  <c r="M112" i="3" s="1"/>
  <c r="K113" i="3" a="1"/>
  <c r="K113" i="3" s="1"/>
  <c r="L113" i="3" a="1"/>
  <c r="L113" i="3" s="1"/>
  <c r="M113" i="3" a="1"/>
  <c r="M113" i="3" s="1"/>
  <c r="K114" i="3" a="1"/>
  <c r="K114" i="3"/>
  <c r="L114" i="3" a="1"/>
  <c r="L114" i="3" s="1"/>
  <c r="M114" i="3" a="1"/>
  <c r="M114" i="3" s="1"/>
  <c r="K115" i="3" a="1"/>
  <c r="K115" i="3" s="1"/>
  <c r="L115" i="3" a="1"/>
  <c r="L115" i="3" s="1"/>
  <c r="M115" i="3" a="1"/>
  <c r="M115" i="3" s="1"/>
  <c r="K116" i="3" a="1"/>
  <c r="K116" i="3" s="1"/>
  <c r="L116" i="3" a="1"/>
  <c r="L116" i="3" s="1"/>
  <c r="M116" i="3" a="1"/>
  <c r="M116" i="3"/>
  <c r="K117" i="3" a="1"/>
  <c r="K117" i="3" s="1"/>
  <c r="L117" i="3" a="1"/>
  <c r="L117" i="3" s="1"/>
  <c r="M117" i="3" a="1"/>
  <c r="M117" i="3" s="1"/>
  <c r="K118" i="3" a="1"/>
  <c r="K118" i="3" s="1"/>
  <c r="L118" i="3" a="1"/>
  <c r="L118" i="3" s="1"/>
  <c r="M118" i="3" a="1"/>
  <c r="M118" i="3" s="1"/>
  <c r="K119" i="3" a="1"/>
  <c r="K119" i="3" s="1"/>
  <c r="L119" i="3" a="1"/>
  <c r="L119" i="3"/>
  <c r="M119" i="3" a="1"/>
  <c r="M119" i="3" s="1"/>
  <c r="K120" i="3" a="1"/>
  <c r="K120" i="3" s="1"/>
  <c r="L120" i="3" a="1"/>
  <c r="L120" i="3" s="1"/>
  <c r="M120" i="3" a="1"/>
  <c r="M120" i="3" s="1"/>
  <c r="K121" i="3" a="1"/>
  <c r="K121" i="3" s="1"/>
  <c r="L121" i="3" a="1"/>
  <c r="L121" i="3" s="1"/>
  <c r="M121" i="3" a="1"/>
  <c r="M121" i="3" s="1"/>
  <c r="K122" i="3" a="1"/>
  <c r="K122" i="3"/>
  <c r="L122" i="3" a="1"/>
  <c r="L122" i="3" s="1"/>
  <c r="M122" i="3" a="1"/>
  <c r="M122" i="3" s="1"/>
  <c r="K123" i="3" a="1"/>
  <c r="K123" i="3" s="1"/>
  <c r="L123" i="3" a="1"/>
  <c r="L123" i="3" s="1"/>
  <c r="M123" i="3" a="1"/>
  <c r="M123" i="3" s="1"/>
  <c r="K124" i="3" a="1"/>
  <c r="K124" i="3" s="1"/>
  <c r="L124" i="3" a="1"/>
  <c r="L124" i="3" s="1"/>
  <c r="M124" i="3" a="1"/>
  <c r="M124" i="3"/>
  <c r="K125" i="3" a="1"/>
  <c r="K125" i="3" s="1"/>
  <c r="L125" i="3" a="1"/>
  <c r="L125" i="3" s="1"/>
  <c r="M125" i="3" a="1"/>
  <c r="M125" i="3" s="1"/>
  <c r="K126" i="3" a="1"/>
  <c r="K126" i="3" s="1"/>
  <c r="L126" i="3" a="1"/>
  <c r="L126" i="3" s="1"/>
  <c r="M126" i="3" a="1"/>
  <c r="M126" i="3" s="1"/>
  <c r="K127" i="3" a="1"/>
  <c r="K127" i="3" s="1"/>
  <c r="L127" i="3" a="1"/>
  <c r="L127" i="3"/>
  <c r="M127" i="3" a="1"/>
  <c r="M127" i="3" s="1"/>
  <c r="K128" i="3" a="1"/>
  <c r="K128" i="3" s="1"/>
  <c r="L128" i="3" a="1"/>
  <c r="L128" i="3" s="1"/>
  <c r="M128" i="3" a="1"/>
  <c r="M128" i="3" s="1"/>
  <c r="K129" i="3" a="1"/>
  <c r="K129" i="3" s="1"/>
  <c r="L129" i="3" a="1"/>
  <c r="L129" i="3" s="1"/>
  <c r="M129" i="3" a="1"/>
  <c r="M129" i="3" s="1"/>
  <c r="K130" i="3" a="1"/>
  <c r="K130" i="3"/>
  <c r="L130" i="3" a="1"/>
  <c r="L130" i="3" s="1"/>
  <c r="M130" i="3" a="1"/>
  <c r="M130" i="3" s="1"/>
  <c r="K131" i="3" a="1"/>
  <c r="K131" i="3" s="1"/>
  <c r="L131" i="3" a="1"/>
  <c r="L131" i="3" s="1"/>
  <c r="M131" i="3" a="1"/>
  <c r="M131" i="3" s="1"/>
  <c r="K132" i="3" a="1"/>
  <c r="K132" i="3" s="1"/>
  <c r="L132" i="3" a="1"/>
  <c r="L132" i="3" s="1"/>
  <c r="M132" i="3" a="1"/>
  <c r="M132" i="3"/>
  <c r="K133" i="3" a="1"/>
  <c r="K133" i="3" s="1"/>
  <c r="L133" i="3" a="1"/>
  <c r="L133" i="3" s="1"/>
  <c r="M133" i="3" a="1"/>
  <c r="M133" i="3" s="1"/>
  <c r="K134" i="3" a="1"/>
  <c r="K134" i="3" s="1"/>
  <c r="L134" i="3" a="1"/>
  <c r="L134" i="3" s="1"/>
  <c r="M134" i="3" a="1"/>
  <c r="M134" i="3" s="1"/>
  <c r="K135" i="3" a="1"/>
  <c r="K135" i="3" s="1"/>
  <c r="L135" i="3" a="1"/>
  <c r="L135" i="3"/>
  <c r="M135" i="3" a="1"/>
  <c r="M135" i="3" s="1"/>
  <c r="K136" i="3" a="1"/>
  <c r="K136" i="3" s="1"/>
  <c r="L136" i="3" a="1"/>
  <c r="L136" i="3" s="1"/>
  <c r="M136" i="3" a="1"/>
  <c r="M136" i="3" s="1"/>
  <c r="K137" i="3" a="1"/>
  <c r="K137" i="3" s="1"/>
  <c r="L137" i="3" a="1"/>
  <c r="L137" i="3" s="1"/>
  <c r="M137" i="3" a="1"/>
  <c r="M137" i="3" s="1"/>
  <c r="K138" i="3" a="1"/>
  <c r="K138" i="3"/>
  <c r="L138" i="3" a="1"/>
  <c r="L138" i="3" s="1"/>
  <c r="M138" i="3" a="1"/>
  <c r="M138" i="3" s="1"/>
  <c r="K139" i="3" a="1"/>
  <c r="K139" i="3" s="1"/>
  <c r="L139" i="3" a="1"/>
  <c r="L139" i="3" s="1"/>
  <c r="M139" i="3" a="1"/>
  <c r="M139" i="3" s="1"/>
  <c r="K140" i="3" a="1"/>
  <c r="K140" i="3" s="1"/>
  <c r="L140" i="3" a="1"/>
  <c r="L140" i="3" s="1"/>
  <c r="M140" i="3" a="1"/>
  <c r="M140" i="3"/>
  <c r="K141" i="3" a="1"/>
  <c r="K141" i="3" s="1"/>
  <c r="L141" i="3" a="1"/>
  <c r="L141" i="3" s="1"/>
  <c r="M141" i="3" a="1"/>
  <c r="M141" i="3" s="1"/>
  <c r="K142" i="3" a="1"/>
  <c r="K142" i="3" s="1"/>
  <c r="L142" i="3" a="1"/>
  <c r="L142" i="3" s="1"/>
  <c r="M142" i="3" a="1"/>
  <c r="M142" i="3" s="1"/>
  <c r="K143" i="3" a="1"/>
  <c r="K143" i="3" s="1"/>
  <c r="L143" i="3" a="1"/>
  <c r="L143" i="3"/>
  <c r="M143" i="3" a="1"/>
  <c r="M143" i="3" s="1"/>
  <c r="K144" i="3" a="1"/>
  <c r="K144" i="3" s="1"/>
  <c r="L144" i="3" a="1"/>
  <c r="L144" i="3" s="1"/>
  <c r="M144" i="3" a="1"/>
  <c r="M144" i="3" s="1"/>
  <c r="K145" i="3" a="1"/>
  <c r="K145" i="3" s="1"/>
  <c r="L145" i="3" a="1"/>
  <c r="L145" i="3" s="1"/>
  <c r="M145" i="3" a="1"/>
  <c r="M145" i="3" s="1"/>
  <c r="K146" i="3" a="1"/>
  <c r="K146" i="3"/>
  <c r="L146" i="3" a="1"/>
  <c r="L146" i="3" s="1"/>
  <c r="M146" i="3" a="1"/>
  <c r="M146" i="3" s="1"/>
  <c r="K147" i="3" a="1"/>
  <c r="K147" i="3" s="1"/>
  <c r="L147" i="3" a="1"/>
  <c r="L147" i="3" s="1"/>
  <c r="M147" i="3" a="1"/>
  <c r="M147" i="3" s="1"/>
  <c r="K148" i="3" a="1"/>
  <c r="K148" i="3" s="1"/>
  <c r="L148" i="3" a="1"/>
  <c r="L148" i="3" s="1"/>
  <c r="M148" i="3" a="1"/>
  <c r="M148" i="3"/>
  <c r="K149" i="3" a="1"/>
  <c r="K149" i="3" s="1"/>
  <c r="L149" i="3" a="1"/>
  <c r="L149" i="3" s="1"/>
  <c r="M149" i="3" a="1"/>
  <c r="M149" i="3" s="1"/>
  <c r="K150" i="3" a="1"/>
  <c r="K150" i="3" s="1"/>
  <c r="L150" i="3" a="1"/>
  <c r="L150" i="3" s="1"/>
  <c r="M150" i="3" a="1"/>
  <c r="M150" i="3" s="1"/>
  <c r="K151" i="3" a="1"/>
  <c r="K151" i="3" s="1"/>
  <c r="L151" i="3" a="1"/>
  <c r="L151" i="3"/>
  <c r="M151" i="3" a="1"/>
  <c r="M151" i="3" s="1"/>
  <c r="K152" i="3" a="1"/>
  <c r="K152" i="3" s="1"/>
  <c r="L152" i="3" a="1"/>
  <c r="L152" i="3" s="1"/>
  <c r="M152" i="3" a="1"/>
  <c r="M152" i="3" s="1"/>
  <c r="K153" i="3" a="1"/>
  <c r="K153" i="3" s="1"/>
  <c r="L153" i="3" a="1"/>
  <c r="L153" i="3" s="1"/>
  <c r="M153" i="3" a="1"/>
  <c r="M153" i="3" s="1"/>
  <c r="K154" i="3" a="1"/>
  <c r="K154" i="3"/>
  <c r="L154" i="3" a="1"/>
  <c r="L154" i="3" s="1"/>
  <c r="M154" i="3" a="1"/>
  <c r="M154" i="3" s="1"/>
  <c r="K155" i="3" a="1"/>
  <c r="K155" i="3" s="1"/>
  <c r="L155" i="3" a="1"/>
  <c r="L155" i="3" s="1"/>
  <c r="M155" i="3" a="1"/>
  <c r="M155" i="3" s="1"/>
  <c r="K156" i="3" a="1"/>
  <c r="K156" i="3" s="1"/>
  <c r="L156" i="3" a="1"/>
  <c r="L156" i="3" s="1"/>
  <c r="M156" i="3" a="1"/>
  <c r="M156" i="3"/>
  <c r="K157" i="3" a="1"/>
  <c r="K157" i="3" s="1"/>
  <c r="L157" i="3" a="1"/>
  <c r="L157" i="3" s="1"/>
  <c r="M157" i="3" a="1"/>
  <c r="M157" i="3" s="1"/>
  <c r="K158" i="3" a="1"/>
  <c r="K158" i="3" s="1"/>
  <c r="L158" i="3" a="1"/>
  <c r="L158" i="3" s="1"/>
  <c r="M158" i="3" a="1"/>
  <c r="M158" i="3" s="1"/>
  <c r="K159" i="3" a="1"/>
  <c r="K159" i="3" s="1"/>
  <c r="L159" i="3" a="1"/>
  <c r="L159" i="3"/>
  <c r="M159" i="3" a="1"/>
  <c r="M159" i="3" s="1"/>
  <c r="K160" i="3" a="1"/>
  <c r="K160" i="3" s="1"/>
  <c r="L160" i="3" a="1"/>
  <c r="L160" i="3" s="1"/>
  <c r="M160" i="3" a="1"/>
  <c r="M160" i="3" s="1"/>
  <c r="K161" i="3" a="1"/>
  <c r="K161" i="3" s="1"/>
  <c r="L161" i="3" a="1"/>
  <c r="L161" i="3" s="1"/>
  <c r="M161" i="3" a="1"/>
  <c r="M161" i="3" s="1"/>
  <c r="K162" i="3" a="1"/>
  <c r="K162" i="3"/>
  <c r="L162" i="3" a="1"/>
  <c r="L162" i="3" s="1"/>
  <c r="M162" i="3" a="1"/>
  <c r="M162" i="3" s="1"/>
  <c r="K163" i="3" a="1"/>
  <c r="K163" i="3" s="1"/>
  <c r="L163" i="3" a="1"/>
  <c r="L163" i="3" s="1"/>
  <c r="M163" i="3" a="1"/>
  <c r="M163" i="3" s="1"/>
  <c r="K164" i="3" a="1"/>
  <c r="K164" i="3" s="1"/>
  <c r="L164" i="3" a="1"/>
  <c r="L164" i="3" s="1"/>
  <c r="M164" i="3" a="1"/>
  <c r="M164" i="3"/>
  <c r="K165" i="3" a="1"/>
  <c r="K165" i="3" s="1"/>
  <c r="L165" i="3" a="1"/>
  <c r="L165" i="3" s="1"/>
  <c r="M165" i="3" a="1"/>
  <c r="M165" i="3" s="1"/>
  <c r="K166" i="3" a="1"/>
  <c r="K166" i="3" s="1"/>
  <c r="L166" i="3" a="1"/>
  <c r="L166" i="3" s="1"/>
  <c r="M166" i="3" a="1"/>
  <c r="M166" i="3" s="1"/>
  <c r="K167" i="3" a="1"/>
  <c r="K167" i="3" s="1"/>
  <c r="L167" i="3" a="1"/>
  <c r="L167" i="3"/>
  <c r="M167" i="3" a="1"/>
  <c r="M167" i="3" s="1"/>
  <c r="K168" i="3" a="1"/>
  <c r="K168" i="3" s="1"/>
  <c r="L168" i="3" a="1"/>
  <c r="L168" i="3" s="1"/>
  <c r="M168" i="3" a="1"/>
  <c r="M168" i="3" s="1"/>
  <c r="K169" i="3" a="1"/>
  <c r="K169" i="3" s="1"/>
  <c r="L169" i="3" a="1"/>
  <c r="L169" i="3" s="1"/>
  <c r="M169" i="3" a="1"/>
  <c r="M169" i="3" s="1"/>
  <c r="K170" i="3" a="1"/>
  <c r="K170" i="3"/>
  <c r="L170" i="3" a="1"/>
  <c r="L170" i="3" s="1"/>
  <c r="M170" i="3" a="1"/>
  <c r="M170" i="3" s="1"/>
  <c r="K171" i="3" a="1"/>
  <c r="K171" i="3" s="1"/>
  <c r="L171" i="3" a="1"/>
  <c r="L171" i="3" s="1"/>
  <c r="M171" i="3" a="1"/>
  <c r="M171" i="3" s="1"/>
  <c r="K172" i="3" a="1"/>
  <c r="K172" i="3" s="1"/>
  <c r="L172" i="3" a="1"/>
  <c r="L172" i="3" s="1"/>
  <c r="M172" i="3" a="1"/>
  <c r="M172" i="3"/>
  <c r="K173" i="3" a="1"/>
  <c r="K173" i="3" s="1"/>
  <c r="L173" i="3" a="1"/>
  <c r="L173" i="3" s="1"/>
  <c r="M173" i="3" a="1"/>
  <c r="M173" i="3" s="1"/>
  <c r="K174" i="3" a="1"/>
  <c r="K174" i="3" s="1"/>
  <c r="L174" i="3" a="1"/>
  <c r="L174" i="3" s="1"/>
  <c r="M174" i="3" a="1"/>
  <c r="M174" i="3" s="1"/>
  <c r="K175" i="3" a="1"/>
  <c r="K175" i="3" s="1"/>
  <c r="L175" i="3" a="1"/>
  <c r="L175" i="3"/>
  <c r="M175" i="3" a="1"/>
  <c r="M175" i="3" s="1"/>
  <c r="K176" i="3" a="1"/>
  <c r="K176" i="3" s="1"/>
  <c r="L176" i="3" a="1"/>
  <c r="L176" i="3" s="1"/>
  <c r="M176" i="3" a="1"/>
  <c r="M176" i="3" s="1"/>
  <c r="K177" i="3" a="1"/>
  <c r="K177" i="3" s="1"/>
  <c r="L177" i="3" a="1"/>
  <c r="L177" i="3" s="1"/>
  <c r="M177" i="3" a="1"/>
  <c r="M177" i="3" s="1"/>
  <c r="K178" i="3" a="1"/>
  <c r="K178" i="3"/>
  <c r="L178" i="3" a="1"/>
  <c r="L178" i="3" s="1"/>
  <c r="M178" i="3" a="1"/>
  <c r="M178" i="3" s="1"/>
  <c r="K179" i="3" a="1"/>
  <c r="K179" i="3" s="1"/>
  <c r="L179" i="3" a="1"/>
  <c r="L179" i="3" s="1"/>
  <c r="M179" i="3" a="1"/>
  <c r="M179" i="3" s="1"/>
  <c r="K180" i="3" a="1"/>
  <c r="K180" i="3" s="1"/>
  <c r="L180" i="3" a="1"/>
  <c r="L180" i="3" s="1"/>
  <c r="M180" i="3" a="1"/>
  <c r="M180" i="3"/>
  <c r="K181" i="3" a="1"/>
  <c r="K181" i="3" s="1"/>
  <c r="L181" i="3" a="1"/>
  <c r="L181" i="3" s="1"/>
  <c r="M181" i="3" a="1"/>
  <c r="M181" i="3" s="1"/>
  <c r="K182" i="3" a="1"/>
  <c r="K182" i="3" s="1"/>
  <c r="L182" i="3" a="1"/>
  <c r="L182" i="3" s="1"/>
  <c r="M182" i="3" a="1"/>
  <c r="M182" i="3" s="1"/>
  <c r="K183" i="3" a="1"/>
  <c r="K183" i="3" s="1"/>
  <c r="L183" i="3" a="1"/>
  <c r="L183" i="3"/>
  <c r="M183" i="3" a="1"/>
  <c r="M183" i="3" s="1"/>
  <c r="K184" i="3" a="1"/>
  <c r="K184" i="3" s="1"/>
  <c r="L184" i="3" a="1"/>
  <c r="L184" i="3" s="1"/>
  <c r="M184" i="3" a="1"/>
  <c r="M184" i="3" s="1"/>
  <c r="K185" i="3" a="1"/>
  <c r="K185" i="3" s="1"/>
  <c r="L185" i="3" a="1"/>
  <c r="L185" i="3" s="1"/>
  <c r="M185" i="3" a="1"/>
  <c r="M185" i="3" s="1"/>
  <c r="K186" i="3" a="1"/>
  <c r="K186" i="3"/>
  <c r="L186" i="3" a="1"/>
  <c r="L186" i="3" s="1"/>
  <c r="M186" i="3" a="1"/>
  <c r="M186" i="3" s="1"/>
  <c r="K187" i="3" a="1"/>
  <c r="K187" i="3" s="1"/>
  <c r="L187" i="3" a="1"/>
  <c r="L187" i="3" s="1"/>
  <c r="M187" i="3" a="1"/>
  <c r="M187" i="3" s="1"/>
  <c r="K188" i="3" a="1"/>
  <c r="K188" i="3" s="1"/>
  <c r="L188" i="3" a="1"/>
  <c r="L188" i="3" s="1"/>
  <c r="M188" i="3" a="1"/>
  <c r="M188" i="3" s="1"/>
  <c r="K189" i="3" a="1"/>
  <c r="K189" i="3" s="1"/>
  <c r="L189" i="3" a="1"/>
  <c r="L189" i="3" s="1"/>
  <c r="M189" i="3" a="1"/>
  <c r="M189" i="3" s="1"/>
  <c r="K190" i="3" a="1"/>
  <c r="K190" i="3" s="1"/>
  <c r="L190" i="3" a="1"/>
  <c r="L190" i="3" s="1"/>
  <c r="M190" i="3" a="1"/>
  <c r="M190" i="3" s="1"/>
  <c r="K191" i="3" a="1"/>
  <c r="K191" i="3" s="1"/>
  <c r="L191" i="3" a="1"/>
  <c r="L191" i="3" s="1"/>
  <c r="M191" i="3" a="1"/>
  <c r="M191" i="3" s="1"/>
  <c r="K192" i="3" a="1"/>
  <c r="K192" i="3" s="1"/>
  <c r="L192" i="3" a="1"/>
  <c r="L192" i="3" s="1"/>
  <c r="M192" i="3" a="1"/>
  <c r="M192" i="3" s="1"/>
  <c r="K193" i="3" a="1"/>
  <c r="K193" i="3" s="1"/>
  <c r="L193" i="3" a="1"/>
  <c r="L193" i="3" s="1"/>
  <c r="M193" i="3" a="1"/>
  <c r="M193" i="3" s="1"/>
  <c r="K194" i="3" a="1"/>
  <c r="K194" i="3" s="1"/>
  <c r="L194" i="3" a="1"/>
  <c r="L194" i="3" s="1"/>
  <c r="M194" i="3" a="1"/>
  <c r="M194" i="3" s="1"/>
  <c r="K195" i="3" a="1"/>
  <c r="K195" i="3" s="1"/>
  <c r="L195" i="3" a="1"/>
  <c r="L195" i="3" s="1"/>
  <c r="M195" i="3" a="1"/>
  <c r="M195" i="3" s="1"/>
  <c r="K196" i="3" a="1"/>
  <c r="K196" i="3" s="1"/>
  <c r="L196" i="3" a="1"/>
  <c r="L196" i="3" s="1"/>
  <c r="M196" i="3" a="1"/>
  <c r="M196" i="3" s="1"/>
  <c r="K197" i="3" a="1"/>
  <c r="K197" i="3" s="1"/>
  <c r="L197" i="3" a="1"/>
  <c r="L197" i="3" s="1"/>
  <c r="M197" i="3" a="1"/>
  <c r="M197" i="3" s="1"/>
  <c r="K198" i="3" a="1"/>
  <c r="K198" i="3" s="1"/>
  <c r="L198" i="3" a="1"/>
  <c r="L198" i="3" s="1"/>
  <c r="M198" i="3" a="1"/>
  <c r="M198" i="3" s="1"/>
  <c r="K199" i="3" a="1"/>
  <c r="K199" i="3" s="1"/>
  <c r="L199" i="3" a="1"/>
  <c r="L199" i="3" s="1"/>
  <c r="M199" i="3" a="1"/>
  <c r="M199" i="3" s="1"/>
  <c r="K200" i="3" a="1"/>
  <c r="K200" i="3" s="1"/>
  <c r="L200" i="3" a="1"/>
  <c r="L200" i="3" s="1"/>
  <c r="M200" i="3" a="1"/>
  <c r="M200" i="3" s="1"/>
  <c r="G20" i="3" a="1"/>
  <c r="G20" i="3" s="1"/>
  <c r="H20" i="3" a="1"/>
  <c r="H20" i="3" s="1"/>
  <c r="I20" i="3" a="1"/>
  <c r="I20" i="3" s="1"/>
  <c r="G21" i="3" a="1"/>
  <c r="G21" i="3" s="1"/>
  <c r="H21" i="3" a="1"/>
  <c r="H21" i="3" s="1"/>
  <c r="I21" i="3" a="1"/>
  <c r="I21" i="3" s="1"/>
  <c r="G22" i="3" a="1"/>
  <c r="G22" i="3" s="1"/>
  <c r="H22" i="3" a="1"/>
  <c r="H22" i="3" s="1"/>
  <c r="I22" i="3" a="1"/>
  <c r="I22" i="3" s="1"/>
  <c r="G23" i="3" a="1"/>
  <c r="G23" i="3" s="1"/>
  <c r="H23" i="3" a="1"/>
  <c r="H23" i="3" s="1"/>
  <c r="I23" i="3" a="1"/>
  <c r="I23" i="3" s="1"/>
  <c r="G24" i="3" a="1"/>
  <c r="G24" i="3" s="1"/>
  <c r="H24" i="3" a="1"/>
  <c r="H24" i="3" s="1"/>
  <c r="I24" i="3" a="1"/>
  <c r="I24" i="3" s="1"/>
  <c r="G25" i="3" a="1"/>
  <c r="G25" i="3" s="1"/>
  <c r="H25" i="3" a="1"/>
  <c r="H25" i="3" s="1"/>
  <c r="I25" i="3" a="1"/>
  <c r="I25" i="3" s="1"/>
  <c r="G26" i="3" a="1"/>
  <c r="G26" i="3" s="1"/>
  <c r="H26" i="3" a="1"/>
  <c r="H26" i="3"/>
  <c r="I26" i="3" a="1"/>
  <c r="I26" i="3" s="1"/>
  <c r="G27" i="3" a="1"/>
  <c r="G27" i="3" s="1"/>
  <c r="H27" i="3" a="1"/>
  <c r="H27" i="3" s="1"/>
  <c r="I27" i="3" a="1"/>
  <c r="I27" i="3" s="1"/>
  <c r="G28" i="3" a="1"/>
  <c r="G28" i="3" s="1"/>
  <c r="H28" i="3" a="1"/>
  <c r="H28" i="3" s="1"/>
  <c r="I28" i="3" a="1"/>
  <c r="I28" i="3" s="1"/>
  <c r="G29" i="3" a="1"/>
  <c r="G29" i="3" s="1"/>
  <c r="H29" i="3" a="1"/>
  <c r="H29" i="3" s="1"/>
  <c r="I29" i="3" a="1"/>
  <c r="I29" i="3" s="1"/>
  <c r="G30" i="3" a="1"/>
  <c r="G30" i="3" s="1"/>
  <c r="H30" i="3" a="1"/>
  <c r="H30" i="3" s="1"/>
  <c r="I30" i="3" a="1"/>
  <c r="I30" i="3" s="1"/>
  <c r="G31" i="3" a="1"/>
  <c r="G31" i="3" s="1"/>
  <c r="H31" i="3" a="1"/>
  <c r="H31" i="3" s="1"/>
  <c r="I31" i="3" a="1"/>
  <c r="I31" i="3" s="1"/>
  <c r="G32" i="3" a="1"/>
  <c r="G32" i="3" s="1"/>
  <c r="H32" i="3" a="1"/>
  <c r="H32" i="3" s="1"/>
  <c r="I32" i="3" a="1"/>
  <c r="I32" i="3" s="1"/>
  <c r="G33" i="3" a="1"/>
  <c r="G33" i="3" s="1"/>
  <c r="H33" i="3" a="1"/>
  <c r="H33" i="3" s="1"/>
  <c r="I33" i="3" a="1"/>
  <c r="I33" i="3" s="1"/>
  <c r="G34" i="3" a="1"/>
  <c r="G34" i="3" s="1"/>
  <c r="H34" i="3" a="1"/>
  <c r="H34" i="3" s="1"/>
  <c r="I34" i="3" a="1"/>
  <c r="I34" i="3" s="1"/>
  <c r="G35" i="3" a="1"/>
  <c r="G35" i="3" s="1"/>
  <c r="H35" i="3" a="1"/>
  <c r="H35" i="3" s="1"/>
  <c r="I35" i="3" a="1"/>
  <c r="I35" i="3" s="1"/>
  <c r="G36" i="3" a="1"/>
  <c r="G36" i="3" s="1"/>
  <c r="H36" i="3" a="1"/>
  <c r="H36" i="3" s="1"/>
  <c r="I36" i="3" a="1"/>
  <c r="I36" i="3" s="1"/>
  <c r="G37" i="3" a="1"/>
  <c r="G37" i="3"/>
  <c r="H37" i="3" a="1"/>
  <c r="H37" i="3" s="1"/>
  <c r="I37" i="3" a="1"/>
  <c r="I37" i="3" s="1"/>
  <c r="G38" i="3" a="1"/>
  <c r="G38" i="3" s="1"/>
  <c r="H38" i="3" a="1"/>
  <c r="H38" i="3" s="1"/>
  <c r="I38" i="3" a="1"/>
  <c r="I38" i="3" s="1"/>
  <c r="G39" i="3" a="1"/>
  <c r="G39" i="3" s="1"/>
  <c r="H39" i="3" a="1"/>
  <c r="H39" i="3" s="1"/>
  <c r="I39" i="3" a="1"/>
  <c r="I39" i="3" s="1"/>
  <c r="G40" i="3" a="1"/>
  <c r="G40" i="3" s="1"/>
  <c r="H40" i="3" a="1"/>
  <c r="H40" i="3" s="1"/>
  <c r="I40" i="3" a="1"/>
  <c r="I40" i="3" s="1"/>
  <c r="G41" i="3" a="1"/>
  <c r="G41" i="3" s="1"/>
  <c r="H41" i="3" a="1"/>
  <c r="H41" i="3" s="1"/>
  <c r="I41" i="3" a="1"/>
  <c r="I41" i="3" s="1"/>
  <c r="G42" i="3" a="1"/>
  <c r="G42" i="3" s="1"/>
  <c r="H42" i="3" a="1"/>
  <c r="H42" i="3" s="1"/>
  <c r="I42" i="3" a="1"/>
  <c r="I42" i="3" s="1"/>
  <c r="G43" i="3" a="1"/>
  <c r="G43" i="3" s="1"/>
  <c r="H43" i="3" a="1"/>
  <c r="H43" i="3" s="1"/>
  <c r="I43" i="3" a="1"/>
  <c r="I43" i="3" s="1"/>
  <c r="G44" i="3" a="1"/>
  <c r="G44" i="3" s="1"/>
  <c r="H44" i="3" a="1"/>
  <c r="H44" i="3" s="1"/>
  <c r="I44" i="3" a="1"/>
  <c r="I44" i="3" s="1"/>
  <c r="G45" i="3" a="1"/>
  <c r="G45" i="3" s="1"/>
  <c r="H45" i="3" a="1"/>
  <c r="H45" i="3" s="1"/>
  <c r="I45" i="3" a="1"/>
  <c r="I45" i="3" s="1"/>
  <c r="G46" i="3" a="1"/>
  <c r="G46" i="3" s="1"/>
  <c r="H46" i="3" a="1"/>
  <c r="H46" i="3" s="1"/>
  <c r="I46" i="3" a="1"/>
  <c r="I46" i="3" s="1"/>
  <c r="G47" i="3" a="1"/>
  <c r="G47" i="3" s="1"/>
  <c r="H47" i="3" a="1"/>
  <c r="H47" i="3" s="1"/>
  <c r="I47" i="3" a="1"/>
  <c r="I47" i="3"/>
  <c r="G48" i="3" a="1"/>
  <c r="G48" i="3" s="1"/>
  <c r="H48" i="3" a="1"/>
  <c r="H48" i="3" s="1"/>
  <c r="I48" i="3" a="1"/>
  <c r="I48" i="3" s="1"/>
  <c r="G49" i="3" a="1"/>
  <c r="G49" i="3" s="1"/>
  <c r="H49" i="3" a="1"/>
  <c r="H49" i="3" s="1"/>
  <c r="I49" i="3" a="1"/>
  <c r="I49" i="3" s="1"/>
  <c r="G50" i="3" a="1"/>
  <c r="G50" i="3" s="1"/>
  <c r="H50" i="3" a="1"/>
  <c r="H50" i="3" s="1"/>
  <c r="I50" i="3" a="1"/>
  <c r="I50" i="3" s="1"/>
  <c r="G51" i="3" a="1"/>
  <c r="G51" i="3" s="1"/>
  <c r="H51" i="3" a="1"/>
  <c r="H51" i="3" s="1"/>
  <c r="I51" i="3" a="1"/>
  <c r="I51" i="3" s="1"/>
  <c r="G52" i="3" a="1"/>
  <c r="G52" i="3" s="1"/>
  <c r="H52" i="3" a="1"/>
  <c r="H52" i="3" s="1"/>
  <c r="I52" i="3" a="1"/>
  <c r="I52" i="3" s="1"/>
  <c r="G53" i="3" a="1"/>
  <c r="G53" i="3"/>
  <c r="H53" i="3" a="1"/>
  <c r="H53" i="3" s="1"/>
  <c r="I53" i="3" a="1"/>
  <c r="I53" i="3" s="1"/>
  <c r="G54" i="3" a="1"/>
  <c r="G54" i="3" s="1"/>
  <c r="H54" i="3" a="1"/>
  <c r="H54" i="3" s="1"/>
  <c r="I54" i="3" a="1"/>
  <c r="I54" i="3" s="1"/>
  <c r="G55" i="3" a="1"/>
  <c r="G55" i="3" s="1"/>
  <c r="H55" i="3" a="1"/>
  <c r="H55" i="3" s="1"/>
  <c r="I55" i="3" a="1"/>
  <c r="I55" i="3" s="1"/>
  <c r="G56" i="3" a="1"/>
  <c r="G56" i="3" s="1"/>
  <c r="H56" i="3" a="1"/>
  <c r="H56" i="3" s="1"/>
  <c r="I56" i="3" a="1"/>
  <c r="I56" i="3" s="1"/>
  <c r="G57" i="3" a="1"/>
  <c r="G57" i="3" s="1"/>
  <c r="H57" i="3" a="1"/>
  <c r="H57" i="3" s="1"/>
  <c r="I57" i="3" a="1"/>
  <c r="I57" i="3" s="1"/>
  <c r="G58" i="3" a="1"/>
  <c r="G58" i="3" s="1"/>
  <c r="H58" i="3" a="1"/>
  <c r="H58" i="3"/>
  <c r="I58" i="3" a="1"/>
  <c r="I58" i="3" s="1"/>
  <c r="G59" i="3" a="1"/>
  <c r="G59" i="3" s="1"/>
  <c r="H59" i="3" a="1"/>
  <c r="H59" i="3" s="1"/>
  <c r="I59" i="3" a="1"/>
  <c r="I59" i="3" s="1"/>
  <c r="G60" i="3" a="1"/>
  <c r="G60" i="3" s="1"/>
  <c r="H60" i="3" a="1"/>
  <c r="H60" i="3" s="1"/>
  <c r="I60" i="3" a="1"/>
  <c r="I60" i="3" s="1"/>
  <c r="G61" i="3" a="1"/>
  <c r="G61" i="3" s="1"/>
  <c r="H61" i="3" a="1"/>
  <c r="H61" i="3" s="1"/>
  <c r="I61" i="3" a="1"/>
  <c r="I61" i="3" s="1"/>
  <c r="G62" i="3" a="1"/>
  <c r="G62" i="3" s="1"/>
  <c r="H62" i="3" a="1"/>
  <c r="H62" i="3" s="1"/>
  <c r="I62" i="3" a="1"/>
  <c r="I62" i="3" s="1"/>
  <c r="G63" i="3" a="1"/>
  <c r="G63" i="3" s="1"/>
  <c r="H63" i="3" a="1"/>
  <c r="H63" i="3" s="1"/>
  <c r="I63" i="3" a="1"/>
  <c r="I63" i="3"/>
  <c r="G64" i="3" a="1"/>
  <c r="G64" i="3" s="1"/>
  <c r="H64" i="3" a="1"/>
  <c r="H64" i="3" s="1"/>
  <c r="I64" i="3" a="1"/>
  <c r="I64" i="3" s="1"/>
  <c r="G65" i="3" a="1"/>
  <c r="G65" i="3" s="1"/>
  <c r="H65" i="3" a="1"/>
  <c r="H65" i="3" s="1"/>
  <c r="I65" i="3" a="1"/>
  <c r="I65" i="3" s="1"/>
  <c r="G66" i="3" a="1"/>
  <c r="G66" i="3" s="1"/>
  <c r="H66" i="3" a="1"/>
  <c r="H66" i="3" s="1"/>
  <c r="I66" i="3" a="1"/>
  <c r="I66" i="3" s="1"/>
  <c r="G67" i="3" a="1"/>
  <c r="G67" i="3" s="1"/>
  <c r="H67" i="3" a="1"/>
  <c r="H67" i="3" s="1"/>
  <c r="I67" i="3" a="1"/>
  <c r="I67" i="3" s="1"/>
  <c r="G68" i="3" a="1"/>
  <c r="G68" i="3" s="1"/>
  <c r="H68" i="3" a="1"/>
  <c r="H68" i="3" s="1"/>
  <c r="I68" i="3" a="1"/>
  <c r="I68" i="3" s="1"/>
  <c r="G69" i="3" a="1"/>
  <c r="G69" i="3"/>
  <c r="H69" i="3" a="1"/>
  <c r="H69" i="3" s="1"/>
  <c r="I69" i="3" a="1"/>
  <c r="I69" i="3" s="1"/>
  <c r="G70" i="3" a="1"/>
  <c r="G70" i="3" s="1"/>
  <c r="H70" i="3" a="1"/>
  <c r="H70" i="3" s="1"/>
  <c r="I70" i="3" a="1"/>
  <c r="I70" i="3" s="1"/>
  <c r="G71" i="3" a="1"/>
  <c r="G71" i="3" s="1"/>
  <c r="H71" i="3" a="1"/>
  <c r="H71" i="3" s="1"/>
  <c r="I71" i="3" a="1"/>
  <c r="I71" i="3" s="1"/>
  <c r="G72" i="3" a="1"/>
  <c r="G72" i="3" s="1"/>
  <c r="H72" i="3" a="1"/>
  <c r="H72" i="3" s="1"/>
  <c r="I72" i="3" a="1"/>
  <c r="I72" i="3" s="1"/>
  <c r="G73" i="3" a="1"/>
  <c r="G73" i="3" s="1"/>
  <c r="H73" i="3" a="1"/>
  <c r="H73" i="3" s="1"/>
  <c r="I73" i="3" a="1"/>
  <c r="I73" i="3" s="1"/>
  <c r="G74" i="3" a="1"/>
  <c r="G74" i="3" s="1"/>
  <c r="H74" i="3" a="1"/>
  <c r="H74" i="3" s="1"/>
  <c r="I74" i="3" a="1"/>
  <c r="I74" i="3" s="1"/>
  <c r="G75" i="3" a="1"/>
  <c r="G75" i="3" s="1"/>
  <c r="H75" i="3" a="1"/>
  <c r="H75" i="3" s="1"/>
  <c r="I75" i="3" a="1"/>
  <c r="I75" i="3" s="1"/>
  <c r="G76" i="3" a="1"/>
  <c r="G76" i="3" s="1"/>
  <c r="H76" i="3" a="1"/>
  <c r="H76" i="3" s="1"/>
  <c r="I76" i="3" a="1"/>
  <c r="I76" i="3" s="1"/>
  <c r="G77" i="3" a="1"/>
  <c r="G77" i="3"/>
  <c r="H77" i="3" a="1"/>
  <c r="H77" i="3" s="1"/>
  <c r="I77" i="3" a="1"/>
  <c r="I77" i="3" s="1"/>
  <c r="G78" i="3" a="1"/>
  <c r="G78" i="3" s="1"/>
  <c r="H78" i="3" a="1"/>
  <c r="H78" i="3" s="1"/>
  <c r="I78" i="3" a="1"/>
  <c r="I78" i="3" s="1"/>
  <c r="G79" i="3" a="1"/>
  <c r="G79" i="3" s="1"/>
  <c r="H79" i="3" a="1"/>
  <c r="H79" i="3" s="1"/>
  <c r="I79" i="3" a="1"/>
  <c r="I79" i="3"/>
  <c r="G80" i="3" a="1"/>
  <c r="G80" i="3" s="1"/>
  <c r="H80" i="3" a="1"/>
  <c r="H80" i="3" s="1"/>
  <c r="I80" i="3" a="1"/>
  <c r="I80" i="3" s="1"/>
  <c r="G81" i="3" a="1"/>
  <c r="G81" i="3" s="1"/>
  <c r="H81" i="3" a="1"/>
  <c r="H81" i="3" s="1"/>
  <c r="I81" i="3" a="1"/>
  <c r="I81" i="3" s="1"/>
  <c r="G82" i="3" a="1"/>
  <c r="G82" i="3" s="1"/>
  <c r="H82" i="3" a="1"/>
  <c r="H82" i="3" s="1"/>
  <c r="I82" i="3" a="1"/>
  <c r="I82" i="3" s="1"/>
  <c r="G83" i="3" a="1"/>
  <c r="G83" i="3" s="1"/>
  <c r="H83" i="3" a="1"/>
  <c r="H83" i="3" s="1"/>
  <c r="I83" i="3" a="1"/>
  <c r="I83" i="3" s="1"/>
  <c r="G84" i="3" a="1"/>
  <c r="G84" i="3" s="1"/>
  <c r="H84" i="3" a="1"/>
  <c r="H84" i="3" s="1"/>
  <c r="I84" i="3" a="1"/>
  <c r="I84" i="3" s="1"/>
  <c r="G85" i="3" a="1"/>
  <c r="G85" i="3" s="1"/>
  <c r="H85" i="3" a="1"/>
  <c r="H85" i="3" s="1"/>
  <c r="I85" i="3" a="1"/>
  <c r="I85" i="3" s="1"/>
  <c r="G86" i="3" a="1"/>
  <c r="G86" i="3" s="1"/>
  <c r="H86" i="3" a="1"/>
  <c r="H86" i="3" s="1"/>
  <c r="I86" i="3" a="1"/>
  <c r="I86" i="3" s="1"/>
  <c r="G87" i="3" a="1"/>
  <c r="G87" i="3" s="1"/>
  <c r="H87" i="3" a="1"/>
  <c r="H87" i="3" s="1"/>
  <c r="I87" i="3" a="1"/>
  <c r="I87" i="3"/>
  <c r="G88" i="3" a="1"/>
  <c r="G88" i="3" s="1"/>
  <c r="H88" i="3" a="1"/>
  <c r="H88" i="3" s="1"/>
  <c r="I88" i="3" a="1"/>
  <c r="I88" i="3" s="1"/>
  <c r="G89" i="3" a="1"/>
  <c r="G89" i="3" s="1"/>
  <c r="H89" i="3" a="1"/>
  <c r="H89" i="3" s="1"/>
  <c r="I89" i="3" a="1"/>
  <c r="I89" i="3" s="1"/>
  <c r="G90" i="3" a="1"/>
  <c r="G90" i="3" s="1"/>
  <c r="H90" i="3" a="1"/>
  <c r="H90" i="3"/>
  <c r="I90" i="3" a="1"/>
  <c r="I90" i="3" s="1"/>
  <c r="G91" i="3" a="1"/>
  <c r="G91" i="3" s="1"/>
  <c r="H91" i="3" a="1"/>
  <c r="H91" i="3" s="1"/>
  <c r="I91" i="3" a="1"/>
  <c r="I91" i="3" s="1"/>
  <c r="G92" i="3" a="1"/>
  <c r="G92" i="3" s="1"/>
  <c r="H92" i="3" a="1"/>
  <c r="H92" i="3" s="1"/>
  <c r="I92" i="3" a="1"/>
  <c r="I92" i="3" s="1"/>
  <c r="G93" i="3" a="1"/>
  <c r="G93" i="3" s="1"/>
  <c r="H93" i="3" a="1"/>
  <c r="H93" i="3" s="1"/>
  <c r="I93" i="3" a="1"/>
  <c r="I93" i="3" s="1"/>
  <c r="G94" i="3" a="1"/>
  <c r="G94" i="3" s="1"/>
  <c r="H94" i="3" a="1"/>
  <c r="H94" i="3" s="1"/>
  <c r="I94" i="3" a="1"/>
  <c r="I94" i="3" s="1"/>
  <c r="G95" i="3" a="1"/>
  <c r="G95" i="3" s="1"/>
  <c r="H95" i="3" a="1"/>
  <c r="H95" i="3" s="1"/>
  <c r="I95" i="3" a="1"/>
  <c r="I95" i="3" s="1"/>
  <c r="G96" i="3" a="1"/>
  <c r="G96" i="3" s="1"/>
  <c r="H96" i="3" a="1"/>
  <c r="H96" i="3" s="1"/>
  <c r="I96" i="3" a="1"/>
  <c r="I96" i="3" s="1"/>
  <c r="G97" i="3" a="1"/>
  <c r="G97" i="3" s="1"/>
  <c r="H97" i="3" a="1"/>
  <c r="H97" i="3" s="1"/>
  <c r="I97" i="3" a="1"/>
  <c r="I97" i="3" s="1"/>
  <c r="G98" i="3" a="1"/>
  <c r="G98" i="3" s="1"/>
  <c r="H98" i="3" a="1"/>
  <c r="H98" i="3"/>
  <c r="I98" i="3" a="1"/>
  <c r="I98" i="3" s="1"/>
  <c r="G99" i="3" a="1"/>
  <c r="G99" i="3" s="1"/>
  <c r="H99" i="3" a="1"/>
  <c r="H99" i="3" s="1"/>
  <c r="I99" i="3" a="1"/>
  <c r="I99" i="3" s="1"/>
  <c r="G100" i="3" a="1"/>
  <c r="G100" i="3" s="1"/>
  <c r="H100" i="3" a="1"/>
  <c r="H100" i="3" s="1"/>
  <c r="I100" i="3" a="1"/>
  <c r="I100" i="3" s="1"/>
  <c r="G101" i="3" a="1"/>
  <c r="G101" i="3"/>
  <c r="H101" i="3" a="1"/>
  <c r="H101" i="3" s="1"/>
  <c r="I101" i="3" a="1"/>
  <c r="I101" i="3" s="1"/>
  <c r="G102" i="3" a="1"/>
  <c r="G102" i="3" s="1"/>
  <c r="H102" i="3" a="1"/>
  <c r="H102" i="3" s="1"/>
  <c r="I102" i="3" a="1"/>
  <c r="I102" i="3" s="1"/>
  <c r="G103" i="3" a="1"/>
  <c r="G103" i="3" s="1"/>
  <c r="H103" i="3" a="1"/>
  <c r="H103" i="3" s="1"/>
  <c r="I103" i="3" a="1"/>
  <c r="I103" i="3" s="1"/>
  <c r="G104" i="3" a="1"/>
  <c r="G104" i="3" s="1"/>
  <c r="H104" i="3" a="1"/>
  <c r="H104" i="3" s="1"/>
  <c r="I104" i="3" a="1"/>
  <c r="I104" i="3" s="1"/>
  <c r="G105" i="3" a="1"/>
  <c r="G105" i="3" s="1"/>
  <c r="H105" i="3" a="1"/>
  <c r="H105" i="3" s="1"/>
  <c r="I105" i="3" a="1"/>
  <c r="I105" i="3" s="1"/>
  <c r="G106" i="3" a="1"/>
  <c r="G106" i="3" s="1"/>
  <c r="H106" i="3" a="1"/>
  <c r="H106" i="3" s="1"/>
  <c r="I106" i="3" a="1"/>
  <c r="I106" i="3" s="1"/>
  <c r="G107" i="3" a="1"/>
  <c r="G107" i="3" s="1"/>
  <c r="H107" i="3" a="1"/>
  <c r="H107" i="3" s="1"/>
  <c r="I107" i="3" a="1"/>
  <c r="I107" i="3" s="1"/>
  <c r="G108" i="3" a="1"/>
  <c r="G108" i="3" s="1"/>
  <c r="H108" i="3" a="1"/>
  <c r="H108" i="3" s="1"/>
  <c r="I108" i="3" a="1"/>
  <c r="I108" i="3" s="1"/>
  <c r="G109" i="3" a="1"/>
  <c r="G109" i="3"/>
  <c r="H109" i="3" a="1"/>
  <c r="H109" i="3" s="1"/>
  <c r="I109" i="3" a="1"/>
  <c r="I109" i="3" s="1"/>
  <c r="G110" i="3" a="1"/>
  <c r="G110" i="3" s="1"/>
  <c r="H110" i="3" a="1"/>
  <c r="H110" i="3" s="1"/>
  <c r="I110" i="3" a="1"/>
  <c r="I110" i="3" s="1"/>
  <c r="G111" i="3" a="1"/>
  <c r="G111" i="3" s="1"/>
  <c r="H111" i="3" a="1"/>
  <c r="H111" i="3" s="1"/>
  <c r="I111" i="3" a="1"/>
  <c r="I111" i="3"/>
  <c r="G112" i="3" a="1"/>
  <c r="G112" i="3" s="1"/>
  <c r="H112" i="3" a="1"/>
  <c r="H112" i="3" s="1"/>
  <c r="I112" i="3" a="1"/>
  <c r="I112" i="3" s="1"/>
  <c r="G113" i="3" a="1"/>
  <c r="G113" i="3" s="1"/>
  <c r="H113" i="3" a="1"/>
  <c r="H113" i="3" s="1"/>
  <c r="I113" i="3" a="1"/>
  <c r="I113" i="3" s="1"/>
  <c r="G114" i="3" a="1"/>
  <c r="G114" i="3" s="1"/>
  <c r="H114" i="3" a="1"/>
  <c r="H114" i="3" s="1"/>
  <c r="I114" i="3" a="1"/>
  <c r="I114" i="3" s="1"/>
  <c r="G115" i="3" a="1"/>
  <c r="G115" i="3" s="1"/>
  <c r="H115" i="3" a="1"/>
  <c r="H115" i="3" s="1"/>
  <c r="I115" i="3" a="1"/>
  <c r="I115" i="3" s="1"/>
  <c r="G116" i="3" a="1"/>
  <c r="G116" i="3" s="1"/>
  <c r="H116" i="3" a="1"/>
  <c r="H116" i="3" s="1"/>
  <c r="I116" i="3" a="1"/>
  <c r="I116" i="3" s="1"/>
  <c r="G117" i="3" a="1"/>
  <c r="G117" i="3" s="1"/>
  <c r="H117" i="3" a="1"/>
  <c r="H117" i="3" s="1"/>
  <c r="I117" i="3" a="1"/>
  <c r="I117" i="3" s="1"/>
  <c r="G118" i="3" a="1"/>
  <c r="G118" i="3" s="1"/>
  <c r="H118" i="3" a="1"/>
  <c r="H118" i="3" s="1"/>
  <c r="I118" i="3" a="1"/>
  <c r="I118" i="3" s="1"/>
  <c r="G119" i="3" a="1"/>
  <c r="G119" i="3" s="1"/>
  <c r="H119" i="3" a="1"/>
  <c r="H119" i="3" s="1"/>
  <c r="I119" i="3" a="1"/>
  <c r="I119" i="3" s="1"/>
  <c r="G120" i="3" a="1"/>
  <c r="G120" i="3" s="1"/>
  <c r="H120" i="3" a="1"/>
  <c r="H120" i="3" s="1"/>
  <c r="I120" i="3" a="1"/>
  <c r="I120" i="3" s="1"/>
  <c r="G121" i="3" a="1"/>
  <c r="G121" i="3" s="1"/>
  <c r="H121" i="3" a="1"/>
  <c r="H121" i="3" s="1"/>
  <c r="I121" i="3" a="1"/>
  <c r="I121" i="3" s="1"/>
  <c r="G122" i="3" a="1"/>
  <c r="G122" i="3" s="1"/>
  <c r="H122" i="3" a="1"/>
  <c r="H122" i="3" s="1"/>
  <c r="I122" i="3" a="1"/>
  <c r="I122" i="3" s="1"/>
  <c r="G123" i="3" a="1"/>
  <c r="G123" i="3" s="1"/>
  <c r="H123" i="3" a="1"/>
  <c r="H123" i="3" s="1"/>
  <c r="I123" i="3" a="1"/>
  <c r="I123" i="3" s="1"/>
  <c r="G124" i="3" a="1"/>
  <c r="G124" i="3" s="1"/>
  <c r="H124" i="3" a="1"/>
  <c r="H124" i="3"/>
  <c r="I124" i="3" a="1"/>
  <c r="I124" i="3" s="1"/>
  <c r="G125" i="3" a="1"/>
  <c r="G125" i="3" s="1"/>
  <c r="H125" i="3" a="1"/>
  <c r="H125" i="3" s="1"/>
  <c r="I125" i="3" a="1"/>
  <c r="I125" i="3" s="1"/>
  <c r="G126" i="3" a="1"/>
  <c r="G126" i="3" s="1"/>
  <c r="H126" i="3" a="1"/>
  <c r="H126" i="3" s="1"/>
  <c r="I126" i="3" a="1"/>
  <c r="I126" i="3" s="1"/>
  <c r="G127" i="3" a="1"/>
  <c r="G127" i="3"/>
  <c r="H127" i="3" a="1"/>
  <c r="H127" i="3" s="1"/>
  <c r="I127" i="3" a="1"/>
  <c r="I127" i="3" s="1"/>
  <c r="G128" i="3" a="1"/>
  <c r="G128" i="3" s="1"/>
  <c r="H128" i="3" a="1"/>
  <c r="H128" i="3" s="1"/>
  <c r="I128" i="3" a="1"/>
  <c r="I128" i="3" s="1"/>
  <c r="G129" i="3" a="1"/>
  <c r="G129" i="3" s="1"/>
  <c r="H129" i="3" a="1"/>
  <c r="H129" i="3" s="1"/>
  <c r="I129" i="3" a="1"/>
  <c r="I129" i="3" s="1"/>
  <c r="G130" i="3" a="1"/>
  <c r="G130" i="3" s="1"/>
  <c r="H130" i="3" a="1"/>
  <c r="H130" i="3" s="1"/>
  <c r="I130" i="3" a="1"/>
  <c r="I130" i="3" s="1"/>
  <c r="G131" i="3" a="1"/>
  <c r="G131" i="3" s="1"/>
  <c r="H131" i="3" a="1"/>
  <c r="H131" i="3" s="1"/>
  <c r="I131" i="3" a="1"/>
  <c r="I131" i="3" s="1"/>
  <c r="G132" i="3" a="1"/>
  <c r="G132" i="3" s="1"/>
  <c r="H132" i="3" a="1"/>
  <c r="H132" i="3" s="1"/>
  <c r="I132" i="3" a="1"/>
  <c r="I132" i="3" s="1"/>
  <c r="G133" i="3" a="1"/>
  <c r="G133" i="3" s="1"/>
  <c r="H133" i="3" a="1"/>
  <c r="H133" i="3" s="1"/>
  <c r="I133" i="3" a="1"/>
  <c r="I133" i="3" s="1"/>
  <c r="G134" i="3" a="1"/>
  <c r="G134" i="3" s="1"/>
  <c r="H134" i="3" a="1"/>
  <c r="H134" i="3" s="1"/>
  <c r="I134" i="3" a="1"/>
  <c r="I134" i="3" s="1"/>
  <c r="G135" i="3" a="1"/>
  <c r="G135" i="3"/>
  <c r="H135" i="3" a="1"/>
  <c r="H135" i="3" s="1"/>
  <c r="I135" i="3" a="1"/>
  <c r="I135" i="3" s="1"/>
  <c r="G136" i="3" a="1"/>
  <c r="G136" i="3" s="1"/>
  <c r="H136" i="3" a="1"/>
  <c r="H136" i="3" s="1"/>
  <c r="I136" i="3" a="1"/>
  <c r="I136" i="3" s="1"/>
  <c r="G137" i="3" a="1"/>
  <c r="G137" i="3" s="1"/>
  <c r="H137" i="3" a="1"/>
  <c r="H137" i="3" s="1"/>
  <c r="I137" i="3" a="1"/>
  <c r="I137" i="3"/>
  <c r="G138" i="3" a="1"/>
  <c r="G138" i="3" s="1"/>
  <c r="H138" i="3" a="1"/>
  <c r="H138" i="3" s="1"/>
  <c r="I138" i="3" a="1"/>
  <c r="I138" i="3" s="1"/>
  <c r="G139" i="3" a="1"/>
  <c r="G139" i="3" s="1"/>
  <c r="H139" i="3" a="1"/>
  <c r="H139" i="3" s="1"/>
  <c r="I139" i="3" a="1"/>
  <c r="I139" i="3" s="1"/>
  <c r="G140" i="3" a="1"/>
  <c r="G140" i="3" s="1"/>
  <c r="H140" i="3" a="1"/>
  <c r="H140" i="3" s="1"/>
  <c r="I140" i="3" a="1"/>
  <c r="I140" i="3" s="1"/>
  <c r="G141" i="3" a="1"/>
  <c r="G141" i="3" s="1"/>
  <c r="H141" i="3" a="1"/>
  <c r="H141" i="3" s="1"/>
  <c r="I141" i="3" a="1"/>
  <c r="I141" i="3" s="1"/>
  <c r="G142" i="3" a="1"/>
  <c r="G142" i="3" s="1"/>
  <c r="H142" i="3" a="1"/>
  <c r="H142" i="3" s="1"/>
  <c r="I142" i="3" a="1"/>
  <c r="I142" i="3" s="1"/>
  <c r="G143" i="3" a="1"/>
  <c r="G143" i="3" s="1"/>
  <c r="H143" i="3" a="1"/>
  <c r="H143" i="3" s="1"/>
  <c r="I143" i="3" a="1"/>
  <c r="I143" i="3" s="1"/>
  <c r="G144" i="3" a="1"/>
  <c r="G144" i="3" s="1"/>
  <c r="H144" i="3" a="1"/>
  <c r="H144" i="3" s="1"/>
  <c r="I144" i="3" a="1"/>
  <c r="I144" i="3" s="1"/>
  <c r="G145" i="3" a="1"/>
  <c r="G145" i="3" s="1"/>
  <c r="H145" i="3" a="1"/>
  <c r="H145" i="3" s="1"/>
  <c r="I145" i="3" a="1"/>
  <c r="I145" i="3"/>
  <c r="G146" i="3" a="1"/>
  <c r="G146" i="3" s="1"/>
  <c r="H146" i="3" a="1"/>
  <c r="H146" i="3" s="1"/>
  <c r="I146" i="3" a="1"/>
  <c r="I146" i="3" s="1"/>
  <c r="G147" i="3" a="1"/>
  <c r="G147" i="3" s="1"/>
  <c r="H147" i="3" a="1"/>
  <c r="H147" i="3" s="1"/>
  <c r="I147" i="3" a="1"/>
  <c r="I147" i="3" s="1"/>
  <c r="G148" i="3" a="1"/>
  <c r="G148" i="3" s="1"/>
  <c r="H148" i="3" a="1"/>
  <c r="H148" i="3"/>
  <c r="I148" i="3" a="1"/>
  <c r="I148" i="3" s="1"/>
  <c r="G149" i="3" a="1"/>
  <c r="G149" i="3" s="1"/>
  <c r="H149" i="3" a="1"/>
  <c r="H149" i="3" s="1"/>
  <c r="I149" i="3" a="1"/>
  <c r="I149" i="3" s="1"/>
  <c r="G150" i="3" a="1"/>
  <c r="G150" i="3" s="1"/>
  <c r="H150" i="3" a="1"/>
  <c r="H150" i="3" s="1"/>
  <c r="I150" i="3" a="1"/>
  <c r="I150" i="3" s="1"/>
  <c r="G151" i="3" a="1"/>
  <c r="G151" i="3" s="1"/>
  <c r="H151" i="3" a="1"/>
  <c r="H151" i="3" s="1"/>
  <c r="I151" i="3" a="1"/>
  <c r="I151" i="3" s="1"/>
  <c r="G152" i="3" a="1"/>
  <c r="G152" i="3" s="1"/>
  <c r="H152" i="3" a="1"/>
  <c r="H152" i="3" s="1"/>
  <c r="I152" i="3" a="1"/>
  <c r="I152" i="3" s="1"/>
  <c r="G153" i="3" a="1"/>
  <c r="G153" i="3" s="1"/>
  <c r="H153" i="3" a="1"/>
  <c r="H153" i="3" s="1"/>
  <c r="I153" i="3" a="1"/>
  <c r="I153" i="3" s="1"/>
  <c r="G154" i="3" a="1"/>
  <c r="G154" i="3" s="1"/>
  <c r="H154" i="3" a="1"/>
  <c r="H154" i="3" s="1"/>
  <c r="I154" i="3" a="1"/>
  <c r="I154" i="3" s="1"/>
  <c r="G155" i="3" a="1"/>
  <c r="G155" i="3" s="1"/>
  <c r="H155" i="3" a="1"/>
  <c r="H155" i="3" s="1"/>
  <c r="I155" i="3" a="1"/>
  <c r="I155" i="3" s="1"/>
  <c r="G156" i="3" a="1"/>
  <c r="G156" i="3" s="1"/>
  <c r="H156" i="3" a="1"/>
  <c r="H156" i="3"/>
  <c r="I156" i="3" a="1"/>
  <c r="I156" i="3" s="1"/>
  <c r="G157" i="3" a="1"/>
  <c r="G157" i="3" s="1"/>
  <c r="H157" i="3" a="1"/>
  <c r="H157" i="3" s="1"/>
  <c r="I157" i="3" a="1"/>
  <c r="I157" i="3" s="1"/>
  <c r="G158" i="3" a="1"/>
  <c r="G158" i="3" s="1"/>
  <c r="H158" i="3" a="1"/>
  <c r="H158" i="3" s="1"/>
  <c r="I158" i="3" a="1"/>
  <c r="I158" i="3" s="1"/>
  <c r="G159" i="3" a="1"/>
  <c r="G159" i="3"/>
  <c r="H159" i="3" a="1"/>
  <c r="H159" i="3" s="1"/>
  <c r="I159" i="3" a="1"/>
  <c r="I159" i="3" s="1"/>
  <c r="G160" i="3" a="1"/>
  <c r="G160" i="3" s="1"/>
  <c r="H160" i="3" a="1"/>
  <c r="H160" i="3" s="1"/>
  <c r="I160" i="3" a="1"/>
  <c r="I160" i="3" s="1"/>
  <c r="G161" i="3" a="1"/>
  <c r="G161" i="3" s="1"/>
  <c r="H161" i="3" a="1"/>
  <c r="H161" i="3" s="1"/>
  <c r="I161" i="3" a="1"/>
  <c r="I161" i="3" s="1"/>
  <c r="G162" i="3" a="1"/>
  <c r="G162" i="3" s="1"/>
  <c r="H162" i="3" a="1"/>
  <c r="H162" i="3" s="1"/>
  <c r="I162" i="3" a="1"/>
  <c r="I162" i="3" s="1"/>
  <c r="G163" i="3" a="1"/>
  <c r="G163" i="3" s="1"/>
  <c r="H163" i="3" a="1"/>
  <c r="H163" i="3" s="1"/>
  <c r="I163" i="3" a="1"/>
  <c r="I163" i="3" s="1"/>
  <c r="G164" i="3" a="1"/>
  <c r="G164" i="3" s="1"/>
  <c r="H164" i="3" a="1"/>
  <c r="H164" i="3" s="1"/>
  <c r="I164" i="3" a="1"/>
  <c r="I164" i="3" s="1"/>
  <c r="G165" i="3" a="1"/>
  <c r="G165" i="3" s="1"/>
  <c r="H165" i="3" a="1"/>
  <c r="H165" i="3" s="1"/>
  <c r="I165" i="3" a="1"/>
  <c r="I165" i="3" s="1"/>
  <c r="G166" i="3" a="1"/>
  <c r="G166" i="3"/>
  <c r="H166" i="3" a="1"/>
  <c r="H166" i="3" s="1"/>
  <c r="I166" i="3" a="1"/>
  <c r="I166" i="3"/>
  <c r="G167" i="3" a="1"/>
  <c r="G167" i="3" s="1"/>
  <c r="H167" i="3" a="1"/>
  <c r="H167" i="3" s="1"/>
  <c r="I167" i="3" a="1"/>
  <c r="I167" i="3" s="1"/>
  <c r="G168" i="3" a="1"/>
  <c r="G168" i="3" s="1"/>
  <c r="H168" i="3" a="1"/>
  <c r="H168" i="3" s="1"/>
  <c r="I168" i="3" a="1"/>
  <c r="I168" i="3"/>
  <c r="G169" i="3" a="1"/>
  <c r="G169" i="3" s="1"/>
  <c r="H169" i="3" a="1"/>
  <c r="H169" i="3"/>
  <c r="I169" i="3" a="1"/>
  <c r="I169" i="3" s="1"/>
  <c r="G170" i="3" a="1"/>
  <c r="G170" i="3" s="1"/>
  <c r="H170" i="3" a="1"/>
  <c r="H170" i="3" s="1"/>
  <c r="I170" i="3" a="1"/>
  <c r="I170" i="3" s="1"/>
  <c r="G171" i="3" a="1"/>
  <c r="G171" i="3" s="1"/>
  <c r="H171" i="3" a="1"/>
  <c r="H171" i="3"/>
  <c r="I171" i="3" a="1"/>
  <c r="I171" i="3" s="1"/>
  <c r="G172" i="3" a="1"/>
  <c r="G172" i="3"/>
  <c r="H172" i="3" a="1"/>
  <c r="H172" i="3" s="1"/>
  <c r="I172" i="3" a="1"/>
  <c r="I172" i="3" s="1"/>
  <c r="G173" i="3" a="1"/>
  <c r="G173" i="3" s="1"/>
  <c r="H173" i="3" a="1"/>
  <c r="H173" i="3" s="1"/>
  <c r="I173" i="3" a="1"/>
  <c r="I173" i="3" s="1"/>
  <c r="G174" i="3" a="1"/>
  <c r="G174" i="3"/>
  <c r="H174" i="3" a="1"/>
  <c r="H174" i="3" s="1"/>
  <c r="I174" i="3" a="1"/>
  <c r="I174" i="3"/>
  <c r="G175" i="3" a="1"/>
  <c r="G175" i="3" s="1"/>
  <c r="H175" i="3" a="1"/>
  <c r="H175" i="3" s="1"/>
  <c r="I175" i="3" a="1"/>
  <c r="I175" i="3" s="1"/>
  <c r="G176" i="3" a="1"/>
  <c r="G176" i="3" s="1"/>
  <c r="H176" i="3" a="1"/>
  <c r="H176" i="3" s="1"/>
  <c r="I176" i="3" a="1"/>
  <c r="I176" i="3"/>
  <c r="G177" i="3" a="1"/>
  <c r="G177" i="3" s="1"/>
  <c r="H177" i="3" a="1"/>
  <c r="H177" i="3"/>
  <c r="I177" i="3" a="1"/>
  <c r="I177" i="3" s="1"/>
  <c r="G178" i="3" a="1"/>
  <c r="G178" i="3" s="1"/>
  <c r="H178" i="3" a="1"/>
  <c r="H178" i="3" s="1"/>
  <c r="I178" i="3" a="1"/>
  <c r="I178" i="3" s="1"/>
  <c r="G179" i="3" a="1"/>
  <c r="G179" i="3" s="1"/>
  <c r="H179" i="3" a="1"/>
  <c r="H179" i="3"/>
  <c r="I179" i="3" a="1"/>
  <c r="I179" i="3" s="1"/>
  <c r="G180" i="3" a="1"/>
  <c r="G180" i="3"/>
  <c r="H180" i="3" a="1"/>
  <c r="H180" i="3" s="1"/>
  <c r="I180" i="3" a="1"/>
  <c r="I180" i="3" s="1"/>
  <c r="G181" i="3" a="1"/>
  <c r="G181" i="3" s="1"/>
  <c r="H181" i="3" a="1"/>
  <c r="H181" i="3" s="1"/>
  <c r="I181" i="3" a="1"/>
  <c r="I181" i="3" s="1"/>
  <c r="G182" i="3" a="1"/>
  <c r="G182" i="3"/>
  <c r="H182" i="3" a="1"/>
  <c r="H182" i="3" s="1"/>
  <c r="I182" i="3" a="1"/>
  <c r="I182" i="3"/>
  <c r="G183" i="3" a="1"/>
  <c r="G183" i="3" s="1"/>
  <c r="H183" i="3" a="1"/>
  <c r="H183" i="3" s="1"/>
  <c r="I183" i="3" a="1"/>
  <c r="I183" i="3" s="1"/>
  <c r="G184" i="3" a="1"/>
  <c r="G184" i="3" s="1"/>
  <c r="H184" i="3" a="1"/>
  <c r="H184" i="3" s="1"/>
  <c r="I184" i="3" a="1"/>
  <c r="I184" i="3"/>
  <c r="G185" i="3" a="1"/>
  <c r="G185" i="3" s="1"/>
  <c r="H185" i="3" a="1"/>
  <c r="H185" i="3"/>
  <c r="I185" i="3" a="1"/>
  <c r="I185" i="3" s="1"/>
  <c r="G186" i="3" a="1"/>
  <c r="G186" i="3" s="1"/>
  <c r="H186" i="3" a="1"/>
  <c r="H186" i="3" s="1"/>
  <c r="I186" i="3" a="1"/>
  <c r="I186" i="3" s="1"/>
  <c r="G187" i="3" a="1"/>
  <c r="G187" i="3" s="1"/>
  <c r="H187" i="3" a="1"/>
  <c r="H187" i="3"/>
  <c r="I187" i="3" a="1"/>
  <c r="I187" i="3" s="1"/>
  <c r="G188" i="3" a="1"/>
  <c r="G188" i="3"/>
  <c r="H188" i="3" a="1"/>
  <c r="H188" i="3" s="1"/>
  <c r="I188" i="3" a="1"/>
  <c r="I188" i="3" s="1"/>
  <c r="G189" i="3" a="1"/>
  <c r="G189" i="3" s="1"/>
  <c r="H189" i="3" a="1"/>
  <c r="H189" i="3" s="1"/>
  <c r="I189" i="3" a="1"/>
  <c r="I189" i="3" s="1"/>
  <c r="G190" i="3" a="1"/>
  <c r="G190" i="3"/>
  <c r="H190" i="3" a="1"/>
  <c r="H190" i="3" s="1"/>
  <c r="I190" i="3" a="1"/>
  <c r="I190" i="3"/>
  <c r="G191" i="3" a="1"/>
  <c r="G191" i="3" s="1"/>
  <c r="H191" i="3" a="1"/>
  <c r="H191" i="3" s="1"/>
  <c r="I191" i="3" a="1"/>
  <c r="I191" i="3" s="1"/>
  <c r="G192" i="3" a="1"/>
  <c r="G192" i="3"/>
  <c r="H192" i="3" a="1"/>
  <c r="H192" i="3" s="1"/>
  <c r="I192" i="3" a="1"/>
  <c r="I192" i="3" s="1"/>
  <c r="G193" i="3" a="1"/>
  <c r="G193" i="3" s="1"/>
  <c r="H193" i="3" a="1"/>
  <c r="H193" i="3"/>
  <c r="I193" i="3" a="1"/>
  <c r="I193" i="3" s="1"/>
  <c r="G194" i="3" a="1"/>
  <c r="G194" i="3" s="1"/>
  <c r="H194" i="3" a="1"/>
  <c r="H194" i="3" s="1"/>
  <c r="I194" i="3" a="1"/>
  <c r="I194" i="3" s="1"/>
  <c r="G195" i="3" a="1"/>
  <c r="G195" i="3" s="1"/>
  <c r="H195" i="3" a="1"/>
  <c r="H195" i="3"/>
  <c r="I195" i="3" a="1"/>
  <c r="I195" i="3" s="1"/>
  <c r="G196" i="3" a="1"/>
  <c r="G196" i="3"/>
  <c r="H196" i="3" a="1"/>
  <c r="H196" i="3" s="1"/>
  <c r="I196" i="3" a="1"/>
  <c r="I196" i="3" s="1"/>
  <c r="G197" i="3" a="1"/>
  <c r="G197" i="3" s="1"/>
  <c r="H197" i="3" a="1"/>
  <c r="H197" i="3"/>
  <c r="I197" i="3" a="1"/>
  <c r="I197" i="3" s="1"/>
  <c r="G198" i="3" a="1"/>
  <c r="G198" i="3" s="1"/>
  <c r="H198" i="3" a="1"/>
  <c r="H198" i="3" s="1"/>
  <c r="I198" i="3" a="1"/>
  <c r="I198" i="3"/>
  <c r="G199" i="3" a="1"/>
  <c r="G199" i="3" s="1"/>
  <c r="H199" i="3" a="1"/>
  <c r="H199" i="3" s="1"/>
  <c r="I199" i="3" a="1"/>
  <c r="I199" i="3" s="1"/>
  <c r="G200" i="3" a="1"/>
  <c r="G200" i="3" s="1"/>
  <c r="H200" i="3" a="1"/>
  <c r="H200" i="3" s="1"/>
  <c r="I200" i="3" a="1"/>
  <c r="I200" i="3"/>
  <c r="F6" i="3" l="1"/>
  <c r="I16" i="3"/>
  <c r="H16" i="3"/>
  <c r="E5" i="3"/>
  <c r="G6" i="3"/>
  <c r="I17" i="3" l="1"/>
  <c r="H17" i="3"/>
  <c r="H17" i="2" l="1"/>
  <c r="I17" i="2"/>
  <c r="I16" i="2"/>
  <c r="H16" i="2"/>
  <c r="E5" i="2" l="1"/>
  <c r="F2" i="2" l="1"/>
  <c r="E7" i="2" l="1"/>
  <c r="E11" i="2"/>
  <c r="E15" i="2"/>
  <c r="E19" i="2"/>
  <c r="E17" i="2"/>
  <c r="E14" i="2"/>
  <c r="E8" i="2"/>
  <c r="E12" i="2"/>
  <c r="E16" i="2"/>
  <c r="E20" i="2"/>
  <c r="E10" i="2"/>
  <c r="E18" i="2"/>
  <c r="E9" i="2"/>
  <c r="E13" i="2"/>
  <c r="E21" i="2"/>
  <c r="E22" i="2"/>
  <c r="E6" i="2"/>
  <c r="F6" i="2" s="1"/>
  <c r="I20" i="2" l="1" a="1"/>
  <c r="I20" i="2" s="1"/>
  <c r="G22" i="2" a="1"/>
  <c r="G22" i="2" s="1"/>
  <c r="H23" i="2" a="1"/>
  <c r="H23" i="2" s="1"/>
  <c r="I24" i="2" a="1"/>
  <c r="I24" i="2" s="1"/>
  <c r="G26" i="2" a="1"/>
  <c r="G26" i="2" s="1"/>
  <c r="H27" i="2" a="1"/>
  <c r="H27" i="2" s="1"/>
  <c r="I28" i="2" a="1"/>
  <c r="I28" i="2" s="1"/>
  <c r="I29" i="2" a="1"/>
  <c r="I29" i="2" s="1"/>
  <c r="G31" i="2" a="1"/>
  <c r="G31" i="2" s="1"/>
  <c r="G32" i="2" a="1"/>
  <c r="G32" i="2" s="1"/>
  <c r="G33" i="2" a="1"/>
  <c r="G33" i="2" s="1"/>
  <c r="H34" i="2" a="1"/>
  <c r="H34" i="2" s="1"/>
  <c r="H35" i="2" a="1"/>
  <c r="H35" i="2" s="1"/>
  <c r="I36" i="2" a="1"/>
  <c r="I36" i="2" s="1"/>
  <c r="I38" i="2" a="1"/>
  <c r="I38" i="2" s="1"/>
  <c r="I39" i="2" a="1"/>
  <c r="I39" i="2" s="1"/>
  <c r="I40" i="2" a="1"/>
  <c r="I40" i="2" s="1"/>
  <c r="G42" i="2" a="1"/>
  <c r="G42" i="2" s="1"/>
  <c r="G44" i="2" a="1"/>
  <c r="G44" i="2" s="1"/>
  <c r="G45" i="2" a="1"/>
  <c r="G45" i="2" s="1"/>
  <c r="G46" i="2" a="1"/>
  <c r="G46" i="2" s="1"/>
  <c r="H47" i="2" a="1"/>
  <c r="H47" i="2" s="1"/>
  <c r="H49" i="2" a="1"/>
  <c r="H49" i="2" s="1"/>
  <c r="H50" i="2" a="1"/>
  <c r="H50" i="2" s="1"/>
  <c r="H51" i="2" a="1"/>
  <c r="H51" i="2" s="1"/>
  <c r="I52" i="2" a="1"/>
  <c r="I52" i="2" s="1"/>
  <c r="I53" i="2" a="1"/>
  <c r="I53" i="2" s="1"/>
  <c r="G55" i="2" a="1"/>
  <c r="G55" i="2" s="1"/>
  <c r="H57" i="2" a="1"/>
  <c r="H57" i="2" s="1"/>
  <c r="H58" i="2" a="1"/>
  <c r="H58" i="2" s="1"/>
  <c r="H59" i="2" a="1"/>
  <c r="H59" i="2" s="1"/>
  <c r="I60" i="2" a="1"/>
  <c r="I60" i="2" s="1"/>
  <c r="I62" i="2" a="1"/>
  <c r="I62" i="2" s="1"/>
  <c r="I63" i="2" a="1"/>
  <c r="I63" i="2" s="1"/>
  <c r="G65" i="2" a="1"/>
  <c r="G65" i="2" s="1"/>
  <c r="H66" i="2" a="1"/>
  <c r="H66" i="2" s="1"/>
  <c r="I67" i="2" a="1"/>
  <c r="I67" i="2" s="1"/>
  <c r="G69" i="2" a="1"/>
  <c r="G69" i="2" s="1"/>
  <c r="G70" i="2" a="1"/>
  <c r="G70" i="2" s="1"/>
  <c r="H71" i="2" a="1"/>
  <c r="H71" i="2" s="1"/>
  <c r="H72" i="2" a="1"/>
  <c r="H72" i="2" s="1"/>
  <c r="I73" i="2" a="1"/>
  <c r="I73" i="2" s="1"/>
  <c r="I74" i="2" a="1"/>
  <c r="I74" i="2" s="1"/>
  <c r="I75" i="2" a="1"/>
  <c r="I75" i="2" s="1"/>
  <c r="G78" i="2" a="1"/>
  <c r="G78" i="2" s="1"/>
  <c r="G79" i="2" a="1"/>
  <c r="G79" i="2" s="1"/>
  <c r="H80" i="2" a="1"/>
  <c r="H80" i="2" s="1"/>
  <c r="H81" i="2" a="1"/>
  <c r="H81" i="2" s="1"/>
  <c r="G21" i="2" a="1"/>
  <c r="G21" i="2" s="1"/>
  <c r="H22" i="2" a="1"/>
  <c r="H22" i="2" s="1"/>
  <c r="I23" i="2" a="1"/>
  <c r="I23" i="2" s="1"/>
  <c r="G25" i="2" a="1"/>
  <c r="G25" i="2" s="1"/>
  <c r="H26" i="2" a="1"/>
  <c r="H26" i="2" s="1"/>
  <c r="I27" i="2" a="1"/>
  <c r="I27" i="2" s="1"/>
  <c r="G29" i="2" a="1"/>
  <c r="G29" i="2" s="1"/>
  <c r="G30" i="2" a="1"/>
  <c r="G30" i="2" s="1"/>
  <c r="H31" i="2" a="1"/>
  <c r="H31" i="2" s="1"/>
  <c r="H33" i="2" a="1"/>
  <c r="H33" i="2" s="1"/>
  <c r="I34" i="2" a="1"/>
  <c r="I34" i="2" s="1"/>
  <c r="I35" i="2" a="1"/>
  <c r="I35" i="2" s="1"/>
  <c r="I37" i="2" a="1"/>
  <c r="I37" i="2" s="1"/>
  <c r="G39" i="2" a="1"/>
  <c r="G39" i="2" s="1"/>
  <c r="G40" i="2" a="1"/>
  <c r="G40" i="2" s="1"/>
  <c r="G41" i="2" a="1"/>
  <c r="G41" i="2" s="1"/>
  <c r="G43" i="2" a="1"/>
  <c r="G43" i="2" s="1"/>
  <c r="H44" i="2" a="1"/>
  <c r="H44" i="2" s="1"/>
  <c r="H45" i="2" a="1"/>
  <c r="H45" i="2" s="1"/>
  <c r="H46" i="2" a="1"/>
  <c r="H46" i="2" s="1"/>
  <c r="H48" i="2" a="1"/>
  <c r="H48" i="2" s="1"/>
  <c r="I49" i="2" a="1"/>
  <c r="I49" i="2" s="1"/>
  <c r="I50" i="2" a="1"/>
  <c r="I50" i="2" s="1"/>
  <c r="I51" i="2" a="1"/>
  <c r="I51" i="2" s="1"/>
  <c r="G53" i="2" a="1"/>
  <c r="G53" i="2" s="1"/>
  <c r="G54" i="2" a="1"/>
  <c r="G54" i="2" s="1"/>
  <c r="H55" i="2" a="1"/>
  <c r="H55" i="2" s="1"/>
  <c r="H56" i="2" a="1"/>
  <c r="H56" i="2" s="1"/>
  <c r="I57" i="2" a="1"/>
  <c r="I57" i="2" s="1"/>
  <c r="I58" i="2" a="1"/>
  <c r="I58" i="2" s="1"/>
  <c r="I59" i="2" a="1"/>
  <c r="I59" i="2" s="1"/>
  <c r="I61" i="2" a="1"/>
  <c r="I61" i="2" s="1"/>
  <c r="G63" i="2" a="1"/>
  <c r="G63" i="2" s="1"/>
  <c r="G64" i="2" a="1"/>
  <c r="G64" i="2" s="1"/>
  <c r="H65" i="2" a="1"/>
  <c r="H65" i="2" s="1"/>
  <c r="I66" i="2" a="1"/>
  <c r="I66" i="2" s="1"/>
  <c r="G68" i="2" a="1"/>
  <c r="G68" i="2" s="1"/>
  <c r="H69" i="2" a="1"/>
  <c r="H69" i="2" s="1"/>
  <c r="H70" i="2" a="1"/>
  <c r="H70" i="2" s="1"/>
  <c r="I71" i="2" a="1"/>
  <c r="I71" i="2" s="1"/>
  <c r="I72" i="2" a="1"/>
  <c r="I72" i="2" s="1"/>
  <c r="G74" i="2" a="1"/>
  <c r="G74" i="2" s="1"/>
  <c r="G76" i="2" a="1"/>
  <c r="G76" i="2" s="1"/>
  <c r="G77" i="2" a="1"/>
  <c r="G77" i="2" s="1"/>
  <c r="H79" i="2" a="1"/>
  <c r="H79" i="2" s="1"/>
  <c r="I80" i="2" a="1"/>
  <c r="I80" i="2" s="1"/>
  <c r="I81" i="2" a="1"/>
  <c r="I81" i="2" s="1"/>
  <c r="H20" i="2" a="1"/>
  <c r="H20" i="2" s="1"/>
  <c r="I21" i="2" a="1"/>
  <c r="I21" i="2" s="1"/>
  <c r="G23" i="2" a="1"/>
  <c r="G23" i="2" s="1"/>
  <c r="H24" i="2" a="1"/>
  <c r="H24" i="2" s="1"/>
  <c r="I25" i="2" a="1"/>
  <c r="I25" i="2" s="1"/>
  <c r="G27" i="2" a="1"/>
  <c r="G27" i="2" s="1"/>
  <c r="H28" i="2" a="1"/>
  <c r="H28" i="2" s="1"/>
  <c r="I30" i="2" a="1"/>
  <c r="I30" i="2" s="1"/>
  <c r="I31" i="2" a="1"/>
  <c r="I31" i="2" s="1"/>
  <c r="I32" i="2" a="1"/>
  <c r="I32" i="2" s="1"/>
  <c r="G34" i="2" a="1"/>
  <c r="G34" i="2" s="1"/>
  <c r="G35" i="2" a="1"/>
  <c r="G35" i="2" s="1"/>
  <c r="H36" i="2" a="1"/>
  <c r="H36" i="2" s="1"/>
  <c r="H37" i="2" a="1"/>
  <c r="H37" i="2" s="1"/>
  <c r="H38" i="2" a="1"/>
  <c r="H38" i="2" s="1"/>
  <c r="H40" i="2" a="1"/>
  <c r="H40" i="2" s="1"/>
  <c r="I41" i="2" a="1"/>
  <c r="I41" i="2" s="1"/>
  <c r="I42" i="2" a="1"/>
  <c r="I42" i="2" s="1"/>
  <c r="I43" i="2" a="1"/>
  <c r="I43" i="2" s="1"/>
  <c r="I45" i="2" a="1"/>
  <c r="I45" i="2" s="1"/>
  <c r="G47" i="2" a="1"/>
  <c r="G47" i="2" s="1"/>
  <c r="G48" i="2" a="1"/>
  <c r="G48" i="2" s="1"/>
  <c r="G49" i="2" a="1"/>
  <c r="G49" i="2" s="1"/>
  <c r="G51" i="2" a="1"/>
  <c r="G51" i="2" s="1"/>
  <c r="H52" i="2" a="1"/>
  <c r="H52" i="2" s="1"/>
  <c r="I54" i="2" a="1"/>
  <c r="I54" i="2" s="1"/>
  <c r="G56" i="2" a="1"/>
  <c r="G56" i="2" s="1"/>
  <c r="G57" i="2" a="1"/>
  <c r="G57" i="2" s="1"/>
  <c r="G59" i="2" a="1"/>
  <c r="G59" i="2" s="1"/>
  <c r="H60" i="2" a="1"/>
  <c r="H60" i="2" s="1"/>
  <c r="H61" i="2" a="1"/>
  <c r="H61" i="2" s="1"/>
  <c r="H62" i="2" a="1"/>
  <c r="H62" i="2" s="1"/>
  <c r="I64" i="2" a="1"/>
  <c r="I64" i="2" s="1"/>
  <c r="G66" i="2" a="1"/>
  <c r="G66" i="2" s="1"/>
  <c r="H67" i="2" a="1"/>
  <c r="H67" i="2" s="1"/>
  <c r="I68" i="2" a="1"/>
  <c r="I68" i="2" s="1"/>
  <c r="I69" i="2" a="1"/>
  <c r="I69" i="2" s="1"/>
  <c r="G71" i="2" a="1"/>
  <c r="G71" i="2" s="1"/>
  <c r="H73" i="2" a="1"/>
  <c r="H73" i="2" s="1"/>
  <c r="H74" i="2" a="1"/>
  <c r="H74" i="2" s="1"/>
  <c r="H75" i="2" a="1"/>
  <c r="H75" i="2" s="1"/>
  <c r="I76" i="2" a="1"/>
  <c r="I76" i="2" s="1"/>
  <c r="I77" i="2" a="1"/>
  <c r="I77" i="2" s="1"/>
  <c r="I78" i="2" a="1"/>
  <c r="I78" i="2" s="1"/>
  <c r="G80" i="2" a="1"/>
  <c r="G80" i="2" s="1"/>
  <c r="G81" i="2" a="1"/>
  <c r="G81" i="2" s="1"/>
  <c r="H83" i="2" a="1"/>
  <c r="H83" i="2" s="1"/>
  <c r="H84" i="2" a="1"/>
  <c r="H84" i="2" s="1"/>
  <c r="I85" i="2" a="1"/>
  <c r="I85" i="2" s="1"/>
  <c r="G87" i="2" a="1"/>
  <c r="G87" i="2" s="1"/>
  <c r="H88" i="2" a="1"/>
  <c r="H88" i="2" s="1"/>
  <c r="I89" i="2" a="1"/>
  <c r="I89" i="2" s="1"/>
  <c r="I90" i="2" a="1"/>
  <c r="I90" i="2" s="1"/>
  <c r="G92" i="2" a="1"/>
  <c r="G92" i="2" s="1"/>
  <c r="H93" i="2" a="1"/>
  <c r="H93" i="2" s="1"/>
  <c r="H94" i="2" a="1"/>
  <c r="H94" i="2" s="1"/>
  <c r="I95" i="2" a="1"/>
  <c r="I95" i="2" s="1"/>
  <c r="G98" i="2" a="1"/>
  <c r="G98" i="2" s="1"/>
  <c r="H99" i="2" a="1"/>
  <c r="H99" i="2" s="1"/>
  <c r="H100" i="2" a="1"/>
  <c r="H100" i="2" s="1"/>
  <c r="I101" i="2" a="1"/>
  <c r="I101" i="2" s="1"/>
  <c r="G103" i="2" a="1"/>
  <c r="G103" i="2" s="1"/>
  <c r="H104" i="2" a="1"/>
  <c r="H104" i="2" s="1"/>
  <c r="H105" i="2" a="1"/>
  <c r="H105" i="2" s="1"/>
  <c r="I106" i="2" a="1"/>
  <c r="I106" i="2" s="1"/>
  <c r="I107" i="2" a="1"/>
  <c r="I107" i="2" s="1"/>
  <c r="G109" i="2" a="1"/>
  <c r="G109" i="2" s="1"/>
  <c r="H110" i="2" a="1"/>
  <c r="H110" i="2" s="1"/>
  <c r="I112" i="2" a="1"/>
  <c r="I112" i="2" s="1"/>
  <c r="I113" i="2" a="1"/>
  <c r="I113" i="2" s="1"/>
  <c r="I114" i="2" a="1"/>
  <c r="I114" i="2" s="1"/>
  <c r="I115" i="2" a="1"/>
  <c r="I115" i="2" s="1"/>
  <c r="G117" i="2" a="1"/>
  <c r="G117" i="2" s="1"/>
  <c r="H118" i="2" a="1"/>
  <c r="H118" i="2" s="1"/>
  <c r="I22" i="2" a="1"/>
  <c r="I22" i="2" s="1"/>
  <c r="G28" i="2" a="1"/>
  <c r="G28" i="2" s="1"/>
  <c r="H32" i="2" a="1"/>
  <c r="H32" i="2" s="1"/>
  <c r="G37" i="2" a="1"/>
  <c r="G37" i="2" s="1"/>
  <c r="H41" i="2" a="1"/>
  <c r="H41" i="2" s="1"/>
  <c r="G50" i="2" a="1"/>
  <c r="G50" i="2" s="1"/>
  <c r="H54" i="2" a="1"/>
  <c r="H54" i="2" s="1"/>
  <c r="H63" i="2" a="1"/>
  <c r="H63" i="2" s="1"/>
  <c r="H68" i="2" a="1"/>
  <c r="H68" i="2" s="1"/>
  <c r="G73" i="2" a="1"/>
  <c r="G73" i="2" s="1"/>
  <c r="H77" i="2" a="1"/>
  <c r="H77" i="2" s="1"/>
  <c r="G82" i="2" a="1"/>
  <c r="G82" i="2" s="1"/>
  <c r="G85" i="2" a="1"/>
  <c r="G85" i="2" s="1"/>
  <c r="I86" i="2" a="1"/>
  <c r="I86" i="2" s="1"/>
  <c r="I88" i="2" a="1"/>
  <c r="I88" i="2" s="1"/>
  <c r="I91" i="2" a="1"/>
  <c r="I91" i="2" s="1"/>
  <c r="I93" i="2" a="1"/>
  <c r="I93" i="2" s="1"/>
  <c r="G95" i="2" a="1"/>
  <c r="G95" i="2" s="1"/>
  <c r="I96" i="2" a="1"/>
  <c r="I96" i="2" s="1"/>
  <c r="H98" i="2" a="1"/>
  <c r="H98" i="2" s="1"/>
  <c r="I99" i="2" a="1"/>
  <c r="I99" i="2" s="1"/>
  <c r="H101" i="2" a="1"/>
  <c r="H101" i="2" s="1"/>
  <c r="H103" i="2" a="1"/>
  <c r="H103" i="2" s="1"/>
  <c r="H106" i="2" a="1"/>
  <c r="H106" i="2" s="1"/>
  <c r="G108" i="2" a="1"/>
  <c r="G108" i="2" s="1"/>
  <c r="I109" i="2" a="1"/>
  <c r="I109" i="2" s="1"/>
  <c r="H111" i="2" a="1"/>
  <c r="H111" i="2" s="1"/>
  <c r="H117" i="2" a="1"/>
  <c r="H117" i="2" s="1"/>
  <c r="G119" i="2" a="1"/>
  <c r="G119" i="2" s="1"/>
  <c r="H120" i="2" a="1"/>
  <c r="H120" i="2" s="1"/>
  <c r="H121" i="2" a="1"/>
  <c r="H121" i="2" s="1"/>
  <c r="I122" i="2" a="1"/>
  <c r="I122" i="2" s="1"/>
  <c r="I123" i="2" a="1"/>
  <c r="I123" i="2" s="1"/>
  <c r="G125" i="2" a="1"/>
  <c r="G125" i="2" s="1"/>
  <c r="H127" i="2" a="1"/>
  <c r="H127" i="2" s="1"/>
  <c r="I128" i="2" a="1"/>
  <c r="I128" i="2" s="1"/>
  <c r="I129" i="2" a="1"/>
  <c r="I129" i="2" s="1"/>
  <c r="G131" i="2" a="1"/>
  <c r="G131" i="2" s="1"/>
  <c r="G132" i="2" a="1"/>
  <c r="G132" i="2" s="1"/>
  <c r="H133" i="2" a="1"/>
  <c r="H133" i="2" s="1"/>
  <c r="H134" i="2" a="1"/>
  <c r="H134" i="2" s="1"/>
  <c r="I135" i="2" a="1"/>
  <c r="I135" i="2" s="1"/>
  <c r="G138" i="2" a="1"/>
  <c r="G138" i="2" s="1"/>
  <c r="H139" i="2" a="1"/>
  <c r="H139" i="2" s="1"/>
  <c r="I140" i="2" a="1"/>
  <c r="I140" i="2" s="1"/>
  <c r="G142" i="2" a="1"/>
  <c r="G142" i="2" s="1"/>
  <c r="H143" i="2" a="1"/>
  <c r="H143" i="2" s="1"/>
  <c r="I144" i="2" a="1"/>
  <c r="I144" i="2" s="1"/>
  <c r="I145" i="2" a="1"/>
  <c r="I145" i="2" s="1"/>
  <c r="I146" i="2" a="1"/>
  <c r="I146" i="2" s="1"/>
  <c r="I147" i="2" a="1"/>
  <c r="I147" i="2" s="1"/>
  <c r="G149" i="2" a="1"/>
  <c r="G149" i="2" s="1"/>
  <c r="H151" i="2" a="1"/>
  <c r="H151" i="2" s="1"/>
  <c r="H152" i="2" a="1"/>
  <c r="H152" i="2" s="1"/>
  <c r="I153" i="2" a="1"/>
  <c r="I153" i="2" s="1"/>
  <c r="I154" i="2" a="1"/>
  <c r="I154" i="2" s="1"/>
  <c r="I155" i="2" a="1"/>
  <c r="I155" i="2" s="1"/>
  <c r="G157" i="2" a="1"/>
  <c r="G157" i="2" s="1"/>
  <c r="H159" i="2" a="1"/>
  <c r="H159" i="2" s="1"/>
  <c r="I160" i="2" a="1"/>
  <c r="I160" i="2" s="1"/>
  <c r="G162" i="2" a="1"/>
  <c r="G162" i="2" s="1"/>
  <c r="G163" i="2" a="1"/>
  <c r="G163" i="2" s="1"/>
  <c r="G164" i="2" a="1"/>
  <c r="G164" i="2" s="1"/>
  <c r="H165" i="2" a="1"/>
  <c r="H165" i="2" s="1"/>
  <c r="H166" i="2" a="1"/>
  <c r="H166" i="2" s="1"/>
  <c r="I167" i="2" a="1"/>
  <c r="I167" i="2" s="1"/>
  <c r="G170" i="2" a="1"/>
  <c r="G170" i="2" s="1"/>
  <c r="H171" i="2" a="1"/>
  <c r="H171" i="2" s="1"/>
  <c r="I172" i="2" a="1"/>
  <c r="I172" i="2" s="1"/>
  <c r="G174" i="2" a="1"/>
  <c r="G174" i="2" s="1"/>
  <c r="H175" i="2" a="1"/>
  <c r="H175" i="2" s="1"/>
  <c r="I176" i="2" a="1"/>
  <c r="I176" i="2" s="1"/>
  <c r="G24" i="2" a="1"/>
  <c r="G24" i="2" s="1"/>
  <c r="H29" i="2" a="1"/>
  <c r="H29" i="2" s="1"/>
  <c r="I33" i="2" a="1"/>
  <c r="I33" i="2" s="1"/>
  <c r="G38" i="2" a="1"/>
  <c r="G38" i="2" s="1"/>
  <c r="H42" i="2" a="1"/>
  <c r="H42" i="2" s="1"/>
  <c r="I46" i="2" a="1"/>
  <c r="I46" i="2" s="1"/>
  <c r="I55" i="2" a="1"/>
  <c r="I55" i="2" s="1"/>
  <c r="G60" i="2" a="1"/>
  <c r="G60" i="2" s="1"/>
  <c r="H64" i="2" a="1"/>
  <c r="H64" i="2" s="1"/>
  <c r="H78" i="2" a="1"/>
  <c r="H78" i="2" s="1"/>
  <c r="H82" i="2" a="1"/>
  <c r="H82" i="2" s="1"/>
  <c r="I83" i="2" a="1"/>
  <c r="I83" i="2" s="1"/>
  <c r="H85" i="2" a="1"/>
  <c r="H85" i="2" s="1"/>
  <c r="H87" i="2" a="1"/>
  <c r="H87" i="2" s="1"/>
  <c r="G89" i="2" a="1"/>
  <c r="G89" i="2" s="1"/>
  <c r="H90" i="2" a="1"/>
  <c r="H90" i="2" s="1"/>
  <c r="H92" i="2" a="1"/>
  <c r="H92" i="2" s="1"/>
  <c r="G94" i="2" a="1"/>
  <c r="G94" i="2" s="1"/>
  <c r="H95" i="2" a="1"/>
  <c r="H95" i="2" s="1"/>
  <c r="G97" i="2" a="1"/>
  <c r="G97" i="2" s="1"/>
  <c r="I98" i="2" a="1"/>
  <c r="I98" i="2" s="1"/>
  <c r="G100" i="2" a="1"/>
  <c r="G100" i="2" s="1"/>
  <c r="G102" i="2" a="1"/>
  <c r="G102" i="2" s="1"/>
  <c r="I103" i="2" a="1"/>
  <c r="I103" i="2" s="1"/>
  <c r="G105" i="2" a="1"/>
  <c r="G105" i="2" s="1"/>
  <c r="G107" i="2" a="1"/>
  <c r="G107" i="2" s="1"/>
  <c r="H108" i="2" a="1"/>
  <c r="H108" i="2" s="1"/>
  <c r="G110" i="2" a="1"/>
  <c r="G110" i="2" s="1"/>
  <c r="I111" i="2" a="1"/>
  <c r="I111" i="2" s="1"/>
  <c r="G113" i="2" a="1"/>
  <c r="G113" i="2" s="1"/>
  <c r="H114" i="2" a="1"/>
  <c r="H114" i="2" s="1"/>
  <c r="G116" i="2" a="1"/>
  <c r="G116" i="2" s="1"/>
  <c r="I117" i="2" a="1"/>
  <c r="I117" i="2" s="1"/>
  <c r="H119" i="2" a="1"/>
  <c r="H119" i="2" s="1"/>
  <c r="I120" i="2" a="1"/>
  <c r="I120" i="2" s="1"/>
  <c r="I121" i="2" a="1"/>
  <c r="I121" i="2" s="1"/>
  <c r="G123" i="2" a="1"/>
  <c r="G123" i="2" s="1"/>
  <c r="G124" i="2" a="1"/>
  <c r="G124" i="2" s="1"/>
  <c r="H125" i="2" a="1"/>
  <c r="H125" i="2" s="1"/>
  <c r="H126" i="2" a="1"/>
  <c r="H126" i="2" s="1"/>
  <c r="I127" i="2" a="1"/>
  <c r="I127" i="2" s="1"/>
  <c r="G130" i="2" a="1"/>
  <c r="G130" i="2" s="1"/>
  <c r="H131" i="2" a="1"/>
  <c r="H131" i="2" s="1"/>
  <c r="H132" i="2" a="1"/>
  <c r="H132" i="2" s="1"/>
  <c r="I133" i="2" a="1"/>
  <c r="I133" i="2" s="1"/>
  <c r="I134" i="2" a="1"/>
  <c r="I134" i="2" s="1"/>
  <c r="G136" i="2" a="1"/>
  <c r="G136" i="2" s="1"/>
  <c r="G137" i="2" a="1"/>
  <c r="G137" i="2" s="1"/>
  <c r="H138" i="2" a="1"/>
  <c r="H138" i="2" s="1"/>
  <c r="I139" i="2" a="1"/>
  <c r="I139" i="2" s="1"/>
  <c r="G141" i="2" a="1"/>
  <c r="G141" i="2" s="1"/>
  <c r="H142" i="2" a="1"/>
  <c r="H142" i="2" s="1"/>
  <c r="I143" i="2" a="1"/>
  <c r="I143" i="2" s="1"/>
  <c r="G146" i="2" a="1"/>
  <c r="G146" i="2" s="1"/>
  <c r="G147" i="2" a="1"/>
  <c r="G147" i="2" s="1"/>
  <c r="G148" i="2" a="1"/>
  <c r="G148" i="2" s="1"/>
  <c r="H149" i="2" a="1"/>
  <c r="H149" i="2" s="1"/>
  <c r="H21" i="2" a="1"/>
  <c r="H21" i="2" s="1"/>
  <c r="I26" i="2" a="1"/>
  <c r="I26" i="2" s="1"/>
  <c r="G36" i="2" a="1"/>
  <c r="G36" i="2" s="1"/>
  <c r="I44" i="2" a="1"/>
  <c r="I44" i="2" s="1"/>
  <c r="I48" i="2" a="1"/>
  <c r="I48" i="2" s="1"/>
  <c r="H53" i="2" a="1"/>
  <c r="H53" i="2" s="1"/>
  <c r="G58" i="2" a="1"/>
  <c r="G58" i="2" s="1"/>
  <c r="G62" i="2" a="1"/>
  <c r="G62" i="2" s="1"/>
  <c r="G67" i="2" a="1"/>
  <c r="G67" i="2" s="1"/>
  <c r="G72" i="2" a="1"/>
  <c r="G72" i="2" s="1"/>
  <c r="H76" i="2" a="1"/>
  <c r="H76" i="2" s="1"/>
  <c r="G83" i="2" a="1"/>
  <c r="G83" i="2" s="1"/>
  <c r="I84" i="2" a="1"/>
  <c r="I84" i="2" s="1"/>
  <c r="H86" i="2" a="1"/>
  <c r="H86" i="2" s="1"/>
  <c r="G88" i="2" a="1"/>
  <c r="G88" i="2" s="1"/>
  <c r="G90" i="2" a="1"/>
  <c r="G90" i="2" s="1"/>
  <c r="H91" i="2" a="1"/>
  <c r="H91" i="2" s="1"/>
  <c r="G93" i="2" a="1"/>
  <c r="G93" i="2" s="1"/>
  <c r="I94" i="2" a="1"/>
  <c r="I94" i="2" s="1"/>
  <c r="H96" i="2" a="1"/>
  <c r="H96" i="2" s="1"/>
  <c r="I97" i="2" a="1"/>
  <c r="I97" i="2" s="1"/>
  <c r="G101" i="2" a="1"/>
  <c r="G101" i="2" s="1"/>
  <c r="I102" i="2" a="1"/>
  <c r="I102" i="2" s="1"/>
  <c r="I104" i="2" a="1"/>
  <c r="I104" i="2" s="1"/>
  <c r="G106" i="2" a="1"/>
  <c r="G106" i="2" s="1"/>
  <c r="H109" i="2" a="1"/>
  <c r="H109" i="2" s="1"/>
  <c r="G111" i="2" a="1"/>
  <c r="G111" i="2" s="1"/>
  <c r="H112" i="2" a="1"/>
  <c r="H112" i="2" s="1"/>
  <c r="G114" i="2" a="1"/>
  <c r="G114" i="2" s="1"/>
  <c r="H115" i="2" a="1"/>
  <c r="H115" i="2" s="1"/>
  <c r="I116" i="2" a="1"/>
  <c r="I116" i="2" s="1"/>
  <c r="I118" i="2" a="1"/>
  <c r="I118" i="2" s="1"/>
  <c r="G120" i="2" a="1"/>
  <c r="G120" i="2" s="1"/>
  <c r="G121" i="2" a="1"/>
  <c r="G121" i="2" s="1"/>
  <c r="H122" i="2" a="1"/>
  <c r="H122" i="2" s="1"/>
  <c r="I124" i="2" a="1"/>
  <c r="I124" i="2" s="1"/>
  <c r="G126" i="2" a="1"/>
  <c r="G126" i="2" s="1"/>
  <c r="G127" i="2" a="1"/>
  <c r="G127" i="2" s="1"/>
  <c r="H128" i="2" a="1"/>
  <c r="H128" i="2" s="1"/>
  <c r="H129" i="2" a="1"/>
  <c r="H129" i="2" s="1"/>
  <c r="I130" i="2" a="1"/>
  <c r="I130" i="2" s="1"/>
  <c r="I131" i="2" a="1"/>
  <c r="I131" i="2" s="1"/>
  <c r="G133" i="2" a="1"/>
  <c r="G133" i="2" s="1"/>
  <c r="H135" i="2" a="1"/>
  <c r="H135" i="2" s="1"/>
  <c r="I136" i="2" a="1"/>
  <c r="I136" i="2" s="1"/>
  <c r="I137" i="2" a="1"/>
  <c r="I137" i="2" s="1"/>
  <c r="G139" i="2" a="1"/>
  <c r="G139" i="2" s="1"/>
  <c r="H140" i="2" a="1"/>
  <c r="H140" i="2" s="1"/>
  <c r="I141" i="2" a="1"/>
  <c r="I141" i="2" s="1"/>
  <c r="G143" i="2" a="1"/>
  <c r="G143" i="2" s="1"/>
  <c r="H144" i="2" a="1"/>
  <c r="H144" i="2" s="1"/>
  <c r="H145" i="2" a="1"/>
  <c r="H145" i="2" s="1"/>
  <c r="H146" i="2" a="1"/>
  <c r="H146" i="2" s="1"/>
  <c r="I148" i="2" a="1"/>
  <c r="I148" i="2" s="1"/>
  <c r="G150" i="2" a="1"/>
  <c r="G150" i="2" s="1"/>
  <c r="G151" i="2" a="1"/>
  <c r="G151" i="2" s="1"/>
  <c r="G152" i="2" a="1"/>
  <c r="G152" i="2" s="1"/>
  <c r="H153" i="2" a="1"/>
  <c r="H153" i="2" s="1"/>
  <c r="H154" i="2" a="1"/>
  <c r="H154" i="2" s="1"/>
  <c r="I156" i="2" a="1"/>
  <c r="I156" i="2" s="1"/>
  <c r="G158" i="2" a="1"/>
  <c r="G158" i="2" s="1"/>
  <c r="G159" i="2" a="1"/>
  <c r="G159" i="2" s="1"/>
  <c r="H160" i="2" a="1"/>
  <c r="H160" i="2" s="1"/>
  <c r="I161" i="2" a="1"/>
  <c r="I161" i="2" s="1"/>
  <c r="I162" i="2" a="1"/>
  <c r="I162" i="2" s="1"/>
  <c r="I163" i="2" a="1"/>
  <c r="I163" i="2" s="1"/>
  <c r="G165" i="2" a="1"/>
  <c r="G165" i="2" s="1"/>
  <c r="H167" i="2" a="1"/>
  <c r="H167" i="2" s="1"/>
  <c r="I168" i="2" a="1"/>
  <c r="I168" i="2" s="1"/>
  <c r="I169" i="2" a="1"/>
  <c r="I169" i="2" s="1"/>
  <c r="G171" i="2" a="1"/>
  <c r="G171" i="2" s="1"/>
  <c r="H172" i="2" a="1"/>
  <c r="H172" i="2" s="1"/>
  <c r="I173" i="2" a="1"/>
  <c r="I173" i="2" s="1"/>
  <c r="G175" i="2" a="1"/>
  <c r="G175" i="2" s="1"/>
  <c r="H176" i="2" a="1"/>
  <c r="H176" i="2" s="1"/>
  <c r="I177" i="2" a="1"/>
  <c r="I177" i="2" s="1"/>
  <c r="I178" i="2" a="1"/>
  <c r="I178" i="2" s="1"/>
  <c r="I179" i="2" a="1"/>
  <c r="I179" i="2" s="1"/>
  <c r="I180" i="2" a="1"/>
  <c r="I180" i="2" s="1"/>
  <c r="G183" i="2" a="1"/>
  <c r="G183" i="2" s="1"/>
  <c r="H184" i="2" a="1"/>
  <c r="H184" i="2" s="1"/>
  <c r="H185" i="2" a="1"/>
  <c r="H185" i="2" s="1"/>
  <c r="H186" i="2" a="1"/>
  <c r="H186" i="2" s="1"/>
  <c r="I187" i="2" a="1"/>
  <c r="I187" i="2" s="1"/>
  <c r="I189" i="2" a="1"/>
  <c r="I189" i="2" s="1"/>
  <c r="I190" i="2" a="1"/>
  <c r="I190" i="2" s="1"/>
  <c r="G192" i="2" a="1"/>
  <c r="G192" i="2" s="1"/>
  <c r="H193" i="2" a="1"/>
  <c r="H193" i="2" s="1"/>
  <c r="I194" i="2" a="1"/>
  <c r="I194" i="2" s="1"/>
  <c r="H30" i="2" a="1"/>
  <c r="H30" i="2" s="1"/>
  <c r="I47" i="2" a="1"/>
  <c r="I47" i="2" s="1"/>
  <c r="I65" i="2" a="1"/>
  <c r="I65" i="2" s="1"/>
  <c r="I82" i="2" a="1"/>
  <c r="I82" i="2" s="1"/>
  <c r="H89" i="2" a="1"/>
  <c r="H89" i="2" s="1"/>
  <c r="G96" i="2" a="1"/>
  <c r="G96" i="2" s="1"/>
  <c r="H102" i="2" a="1"/>
  <c r="H102" i="2" s="1"/>
  <c r="I108" i="2" a="1"/>
  <c r="I108" i="2" s="1"/>
  <c r="G115" i="2" a="1"/>
  <c r="G115" i="2" s="1"/>
  <c r="I125" i="2" a="1"/>
  <c r="I125" i="2" s="1"/>
  <c r="H130" i="2" a="1"/>
  <c r="H130" i="2" s="1"/>
  <c r="G135" i="2" a="1"/>
  <c r="G135" i="2" s="1"/>
  <c r="G140" i="2" a="1"/>
  <c r="G140" i="2" s="1"/>
  <c r="G145" i="2" a="1"/>
  <c r="G145" i="2" s="1"/>
  <c r="I149" i="2" a="1"/>
  <c r="I149" i="2" s="1"/>
  <c r="I151" i="2" a="1"/>
  <c r="I151" i="2" s="1"/>
  <c r="H156" i="2" a="1"/>
  <c r="H156" i="2" s="1"/>
  <c r="I158" i="2" a="1"/>
  <c r="I158" i="2" s="1"/>
  <c r="H161" i="2" a="1"/>
  <c r="H161" i="2" s="1"/>
  <c r="G166" i="2" a="1"/>
  <c r="G166" i="2" s="1"/>
  <c r="H168" i="2" a="1"/>
  <c r="H168" i="2" s="1"/>
  <c r="I170" i="2" a="1"/>
  <c r="I170" i="2" s="1"/>
  <c r="H173" i="2" a="1"/>
  <c r="H173" i="2" s="1"/>
  <c r="G176" i="2" a="1"/>
  <c r="G176" i="2" s="1"/>
  <c r="G178" i="2" a="1"/>
  <c r="G178" i="2" s="1"/>
  <c r="H179" i="2" a="1"/>
  <c r="H179" i="2" s="1"/>
  <c r="G181" i="2" a="1"/>
  <c r="G181" i="2" s="1"/>
  <c r="H182" i="2" a="1"/>
  <c r="H182" i="2" s="1"/>
  <c r="G184" i="2" a="1"/>
  <c r="G184" i="2" s="1"/>
  <c r="I185" i="2" a="1"/>
  <c r="I185" i="2" s="1"/>
  <c r="G187" i="2" a="1"/>
  <c r="G187" i="2" s="1"/>
  <c r="H188" i="2" a="1"/>
  <c r="H188" i="2" s="1"/>
  <c r="G190" i="2" a="1"/>
  <c r="G190" i="2" s="1"/>
  <c r="H191" i="2" a="1"/>
  <c r="H191" i="2" s="1"/>
  <c r="G193" i="2" a="1"/>
  <c r="G193" i="2" s="1"/>
  <c r="G195" i="2" a="1"/>
  <c r="G195" i="2" s="1"/>
  <c r="I196" i="2" a="1"/>
  <c r="I196" i="2" s="1"/>
  <c r="G199" i="2" a="1"/>
  <c r="G199" i="2" s="1"/>
  <c r="G200" i="2" a="1"/>
  <c r="G200" i="2" s="1"/>
  <c r="G201" i="2" a="1"/>
  <c r="G201" i="2" s="1"/>
  <c r="G202" i="2" a="1"/>
  <c r="G202" i="2" s="1"/>
  <c r="H204" i="2" a="1"/>
  <c r="H204" i="2" s="1"/>
  <c r="H205" i="2" a="1"/>
  <c r="H205" i="2" s="1"/>
  <c r="I207" i="2" a="1"/>
  <c r="I207" i="2" s="1"/>
  <c r="I208" i="2" a="1"/>
  <c r="I208" i="2" s="1"/>
  <c r="I209" i="2" a="1"/>
  <c r="I209" i="2" s="1"/>
  <c r="I210" i="2" a="1"/>
  <c r="I210" i="2" s="1"/>
  <c r="G213" i="2" a="1"/>
  <c r="G213" i="2" s="1"/>
  <c r="G214" i="2" a="1"/>
  <c r="G214" i="2" s="1"/>
  <c r="H215" i="2" a="1"/>
  <c r="H215" i="2" s="1"/>
  <c r="H217" i="2" a="1"/>
  <c r="H217" i="2" s="1"/>
  <c r="H218" i="2" a="1"/>
  <c r="H218" i="2" s="1"/>
  <c r="H219" i="2" a="1"/>
  <c r="H219" i="2" s="1"/>
  <c r="H220" i="2" a="1"/>
  <c r="H220" i="2" s="1"/>
  <c r="H221" i="2" a="1"/>
  <c r="H221" i="2" s="1"/>
  <c r="I222" i="2" a="1"/>
  <c r="I222" i="2" s="1"/>
  <c r="I223" i="2" a="1"/>
  <c r="I223" i="2" s="1"/>
  <c r="G225" i="2" a="1"/>
  <c r="G225" i="2" s="1"/>
  <c r="G227" i="2" a="1"/>
  <c r="G227" i="2" s="1"/>
  <c r="G228" i="2" a="1"/>
  <c r="G228" i="2" s="1"/>
  <c r="G229" i="2" a="1"/>
  <c r="G229" i="2" s="1"/>
  <c r="H230" i="2" a="1"/>
  <c r="H230" i="2" s="1"/>
  <c r="H232" i="2" a="1"/>
  <c r="H232" i="2" s="1"/>
  <c r="G234" i="2" a="1"/>
  <c r="G234" i="2" s="1"/>
  <c r="G236" i="2" a="1"/>
  <c r="G236" i="2" s="1"/>
  <c r="G237" i="2" a="1"/>
  <c r="G237" i="2" s="1"/>
  <c r="H238" i="2" a="1"/>
  <c r="H238" i="2" s="1"/>
  <c r="H239" i="2" a="1"/>
  <c r="H239" i="2" s="1"/>
  <c r="I241" i="2" a="1"/>
  <c r="I241" i="2" s="1"/>
  <c r="I242" i="2" a="1"/>
  <c r="I242" i="2" s="1"/>
  <c r="I244" i="2" a="1"/>
  <c r="I244" i="2" s="1"/>
  <c r="G246" i="2" a="1"/>
  <c r="G246" i="2" s="1"/>
  <c r="H248" i="2" a="1"/>
  <c r="H248" i="2" s="1"/>
  <c r="I249" i="2" a="1"/>
  <c r="I249" i="2" s="1"/>
  <c r="I250" i="2" a="1"/>
  <c r="I250" i="2" s="1"/>
  <c r="I251" i="2" a="1"/>
  <c r="I251" i="2" s="1"/>
  <c r="I252" i="2" a="1"/>
  <c r="I252" i="2" s="1"/>
  <c r="G255" i="2" a="1"/>
  <c r="G255" i="2" s="1"/>
  <c r="G256" i="2" a="1"/>
  <c r="G256" i="2" s="1"/>
  <c r="G257" i="2" a="1"/>
  <c r="G257" i="2" s="1"/>
  <c r="G258" i="2" a="1"/>
  <c r="G258" i="2" s="1"/>
  <c r="H259" i="2" a="1"/>
  <c r="H259" i="2" s="1"/>
  <c r="I261" i="2" a="1"/>
  <c r="I261" i="2" s="1"/>
  <c r="G263" i="2" a="1"/>
  <c r="G263" i="2" s="1"/>
  <c r="G264" i="2" a="1"/>
  <c r="G264" i="2" s="1"/>
  <c r="H266" i="2" a="1"/>
  <c r="H266" i="2" s="1"/>
  <c r="I267" i="2" a="1"/>
  <c r="I267" i="2" s="1"/>
  <c r="I268" i="2" a="1"/>
  <c r="I268" i="2" s="1"/>
  <c r="I270" i="2" a="1"/>
  <c r="I270" i="2" s="1"/>
  <c r="I271" i="2" a="1"/>
  <c r="I271" i="2" s="1"/>
  <c r="G52" i="2" a="1"/>
  <c r="G52" i="2" s="1"/>
  <c r="I70" i="2" a="1"/>
  <c r="I70" i="2" s="1"/>
  <c r="G84" i="2" a="1"/>
  <c r="G84" i="2" s="1"/>
  <c r="G91" i="2" a="1"/>
  <c r="G91" i="2" s="1"/>
  <c r="H97" i="2" a="1"/>
  <c r="H97" i="2" s="1"/>
  <c r="G104" i="2" a="1"/>
  <c r="G104" i="2" s="1"/>
  <c r="I110" i="2" a="1"/>
  <c r="I110" i="2" s="1"/>
  <c r="H116" i="2" a="1"/>
  <c r="H116" i="2" s="1"/>
  <c r="G122" i="2" a="1"/>
  <c r="G122" i="2" s="1"/>
  <c r="I126" i="2" a="1"/>
  <c r="I126" i="2" s="1"/>
  <c r="H136" i="2" a="1"/>
  <c r="H136" i="2" s="1"/>
  <c r="H141" i="2" a="1"/>
  <c r="H141" i="2" s="1"/>
  <c r="H150" i="2" a="1"/>
  <c r="H150" i="2" s="1"/>
  <c r="I152" i="2" a="1"/>
  <c r="I152" i="2" s="1"/>
  <c r="G155" i="2" a="1"/>
  <c r="G155" i="2" s="1"/>
  <c r="H157" i="2" a="1"/>
  <c r="H157" i="2" s="1"/>
  <c r="I159" i="2" a="1"/>
  <c r="I159" i="2" s="1"/>
  <c r="H164" i="2" a="1"/>
  <c r="H164" i="2" s="1"/>
  <c r="I166" i="2" a="1"/>
  <c r="I166" i="2" s="1"/>
  <c r="G169" i="2" a="1"/>
  <c r="G169" i="2" s="1"/>
  <c r="I171" i="2" a="1"/>
  <c r="I171" i="2" s="1"/>
  <c r="H174" i="2" a="1"/>
  <c r="H174" i="2" s="1"/>
  <c r="G177" i="2" a="1"/>
  <c r="G177" i="2" s="1"/>
  <c r="H178" i="2" a="1"/>
  <c r="H178" i="2" s="1"/>
  <c r="G180" i="2" a="1"/>
  <c r="G180" i="2" s="1"/>
  <c r="H181" i="2" a="1"/>
  <c r="H181" i="2" s="1"/>
  <c r="I182" i="2" a="1"/>
  <c r="I182" i="2" s="1"/>
  <c r="I184" i="2" a="1"/>
  <c r="I184" i="2" s="1"/>
  <c r="H187" i="2" a="1"/>
  <c r="H187" i="2" s="1"/>
  <c r="I188" i="2" a="1"/>
  <c r="I188" i="2" s="1"/>
  <c r="H190" i="2" a="1"/>
  <c r="H190" i="2" s="1"/>
  <c r="I191" i="2" a="1"/>
  <c r="I191" i="2" s="1"/>
  <c r="I193" i="2" a="1"/>
  <c r="I193" i="2" s="1"/>
  <c r="G196" i="2" a="1"/>
  <c r="G196" i="2" s="1"/>
  <c r="G197" i="2" a="1"/>
  <c r="G197" i="2" s="1"/>
  <c r="G198" i="2" a="1"/>
  <c r="G198" i="2" s="1"/>
  <c r="H200" i="2" a="1"/>
  <c r="H200" i="2" s="1"/>
  <c r="H201" i="2" a="1"/>
  <c r="H201" i="2" s="1"/>
  <c r="H202" i="2" a="1"/>
  <c r="H202" i="2" s="1"/>
  <c r="H203" i="2" a="1"/>
  <c r="H203" i="2" s="1"/>
  <c r="I205" i="2" a="1"/>
  <c r="I205" i="2" s="1"/>
  <c r="I206" i="2" a="1"/>
  <c r="I206" i="2" s="1"/>
  <c r="G208" i="2" a="1"/>
  <c r="G208" i="2" s="1"/>
  <c r="G209" i="2" a="1"/>
  <c r="G209" i="2" s="1"/>
  <c r="G211" i="2" a="1"/>
  <c r="G211" i="2" s="1"/>
  <c r="G212" i="2" a="1"/>
  <c r="G212" i="2" s="1"/>
  <c r="H213" i="2" a="1"/>
  <c r="H213" i="2" s="1"/>
  <c r="H214" i="2" a="1"/>
  <c r="H214" i="2" s="1"/>
  <c r="I215" i="2" a="1"/>
  <c r="I215" i="2" s="1"/>
  <c r="I216" i="2" a="1"/>
  <c r="I216" i="2" s="1"/>
  <c r="I217" i="2" a="1"/>
  <c r="I217" i="2" s="1"/>
  <c r="I218" i="2" a="1"/>
  <c r="I218" i="2" s="1"/>
  <c r="I219" i="2" a="1"/>
  <c r="I219" i="2" s="1"/>
  <c r="I221" i="2" a="1"/>
  <c r="I221" i="2" s="1"/>
  <c r="G223" i="2" a="1"/>
  <c r="G223" i="2" s="1"/>
  <c r="G224" i="2" a="1"/>
  <c r="G224" i="2" s="1"/>
  <c r="G226" i="2" a="1"/>
  <c r="G226" i="2" s="1"/>
  <c r="H227" i="2" a="1"/>
  <c r="H227" i="2" s="1"/>
  <c r="H228" i="2" a="1"/>
  <c r="H228" i="2" s="1"/>
  <c r="H229" i="2" a="1"/>
  <c r="H229" i="2" s="1"/>
  <c r="H231" i="2" a="1"/>
  <c r="H231" i="2" s="1"/>
  <c r="H233" i="2" a="1"/>
  <c r="H233" i="2" s="1"/>
  <c r="H234" i="2" a="1"/>
  <c r="H234" i="2" s="1"/>
  <c r="H235" i="2" a="1"/>
  <c r="H235" i="2" s="1"/>
  <c r="H236" i="2" a="1"/>
  <c r="H236" i="2" s="1"/>
  <c r="H237" i="2" a="1"/>
  <c r="H237" i="2" s="1"/>
  <c r="I238" i="2" a="1"/>
  <c r="I238" i="2" s="1"/>
  <c r="I239" i="2" a="1"/>
  <c r="I239" i="2" s="1"/>
  <c r="I240" i="2" a="1"/>
  <c r="I240" i="2" s="1"/>
  <c r="G243" i="2" a="1"/>
  <c r="G243" i="2" s="1"/>
  <c r="G244" i="2" a="1"/>
  <c r="G244" i="2" s="1"/>
  <c r="H25" i="2" a="1"/>
  <c r="H25" i="2" s="1"/>
  <c r="H43" i="2" a="1"/>
  <c r="H43" i="2" s="1"/>
  <c r="G61" i="2" a="1"/>
  <c r="G61" i="2" s="1"/>
  <c r="I79" i="2" a="1"/>
  <c r="I79" i="2" s="1"/>
  <c r="I87" i="2" a="1"/>
  <c r="I87" i="2" s="1"/>
  <c r="I100" i="2" a="1"/>
  <c r="I100" i="2" s="1"/>
  <c r="H107" i="2" a="1"/>
  <c r="H107" i="2" s="1"/>
  <c r="H113" i="2" a="1"/>
  <c r="H113" i="2" s="1"/>
  <c r="I119" i="2" a="1"/>
  <c r="I119" i="2" s="1"/>
  <c r="H124" i="2" a="1"/>
  <c r="H124" i="2" s="1"/>
  <c r="G129" i="2" a="1"/>
  <c r="G129" i="2" s="1"/>
  <c r="G134" i="2" a="1"/>
  <c r="G134" i="2" s="1"/>
  <c r="I138" i="2" a="1"/>
  <c r="I138" i="2" s="1"/>
  <c r="G144" i="2" a="1"/>
  <c r="G144" i="2" s="1"/>
  <c r="H148" i="2" a="1"/>
  <c r="H148" i="2" s="1"/>
  <c r="G154" i="2" a="1"/>
  <c r="G154" i="2" s="1"/>
  <c r="G156" i="2" a="1"/>
  <c r="G156" i="2" s="1"/>
  <c r="H158" i="2" a="1"/>
  <c r="H158" i="2" s="1"/>
  <c r="G161" i="2" a="1"/>
  <c r="G161" i="2" s="1"/>
  <c r="H163" i="2" a="1"/>
  <c r="H163" i="2" s="1"/>
  <c r="I165" i="2" a="1"/>
  <c r="I165" i="2" s="1"/>
  <c r="G168" i="2" a="1"/>
  <c r="G168" i="2" s="1"/>
  <c r="H170" i="2" a="1"/>
  <c r="H170" i="2" s="1"/>
  <c r="G173" i="2" a="1"/>
  <c r="G173" i="2" s="1"/>
  <c r="I175" i="2" a="1"/>
  <c r="I175" i="2" s="1"/>
  <c r="G182" i="2" a="1"/>
  <c r="G182" i="2" s="1"/>
  <c r="I183" i="2" a="1"/>
  <c r="I183" i="2" s="1"/>
  <c r="I186" i="2" a="1"/>
  <c r="I186" i="2" s="1"/>
  <c r="G188" i="2" a="1"/>
  <c r="G188" i="2" s="1"/>
  <c r="H189" i="2" a="1"/>
  <c r="H189" i="2" s="1"/>
  <c r="G191" i="2" a="1"/>
  <c r="G191" i="2" s="1"/>
  <c r="I192" i="2" a="1"/>
  <c r="I192" i="2" s="1"/>
  <c r="H194" i="2" a="1"/>
  <c r="H194" i="2" s="1"/>
  <c r="I195" i="2" a="1"/>
  <c r="I195" i="2" s="1"/>
  <c r="I197" i="2" a="1"/>
  <c r="I197" i="2" s="1"/>
  <c r="I198" i="2" a="1"/>
  <c r="I198" i="2" s="1"/>
  <c r="I199" i="2" a="1"/>
  <c r="I199" i="2" s="1"/>
  <c r="I200" i="2" a="1"/>
  <c r="I200" i="2" s="1"/>
  <c r="G203" i="2" a="1"/>
  <c r="G203" i="2" s="1"/>
  <c r="G204" i="2" a="1"/>
  <c r="G204" i="2" s="1"/>
  <c r="G205" i="2" a="1"/>
  <c r="G205" i="2" s="1"/>
  <c r="H206" i="2" a="1"/>
  <c r="H206" i="2" s="1"/>
  <c r="H207" i="2" a="1"/>
  <c r="H207" i="2" s="1"/>
  <c r="H209" i="2" a="1"/>
  <c r="H209" i="2" s="1"/>
  <c r="H210" i="2" a="1"/>
  <c r="H210" i="2" s="1"/>
  <c r="I211" i="2" a="1"/>
  <c r="I211" i="2" s="1"/>
  <c r="I212" i="2" a="1"/>
  <c r="I212" i="2" s="1"/>
  <c r="G215" i="2" a="1"/>
  <c r="G215" i="2" s="1"/>
  <c r="H216" i="2" a="1"/>
  <c r="H216" i="2" s="1"/>
  <c r="G218" i="2" a="1"/>
  <c r="G218" i="2" s="1"/>
  <c r="G220" i="2" a="1"/>
  <c r="G220" i="2" s="1"/>
  <c r="G221" i="2" a="1"/>
  <c r="G221" i="2" s="1"/>
  <c r="H222" i="2" a="1"/>
  <c r="H222" i="2" s="1"/>
  <c r="H223" i="2" a="1"/>
  <c r="H223" i="2" s="1"/>
  <c r="I224" i="2" a="1"/>
  <c r="I224" i="2" s="1"/>
  <c r="I225" i="2" a="1"/>
  <c r="I225" i="2" s="1"/>
  <c r="I226" i="2" a="1"/>
  <c r="I226" i="2" s="1"/>
  <c r="I228" i="2" a="1"/>
  <c r="I228" i="2" s="1"/>
  <c r="G230" i="2" a="1"/>
  <c r="G230" i="2" s="1"/>
  <c r="G231" i="2" a="1"/>
  <c r="G231" i="2" s="1"/>
  <c r="G232" i="2" a="1"/>
  <c r="G232" i="2" s="1"/>
  <c r="G233" i="2" a="1"/>
  <c r="G233" i="2" s="1"/>
  <c r="G235" i="2" a="1"/>
  <c r="G235" i="2" s="1"/>
  <c r="I236" i="2" a="1"/>
  <c r="I236" i="2" s="1"/>
  <c r="G238" i="2" a="1"/>
  <c r="G238" i="2" s="1"/>
  <c r="H240" i="2" a="1"/>
  <c r="H240" i="2" s="1"/>
  <c r="H241" i="2" a="1"/>
  <c r="H241" i="2" s="1"/>
  <c r="H242" i="2" a="1"/>
  <c r="H242" i="2" s="1"/>
  <c r="I243" i="2" a="1"/>
  <c r="I243" i="2" s="1"/>
  <c r="I245" i="2" a="1"/>
  <c r="I245" i="2" s="1"/>
  <c r="G247" i="2" a="1"/>
  <c r="G247" i="2" s="1"/>
  <c r="G248" i="2" a="1"/>
  <c r="G248" i="2" s="1"/>
  <c r="H249" i="2" a="1"/>
  <c r="H249" i="2" s="1"/>
  <c r="H250" i="2" a="1"/>
  <c r="H250" i="2" s="1"/>
  <c r="H251" i="2" a="1"/>
  <c r="H251" i="2" s="1"/>
  <c r="I253" i="2" a="1"/>
  <c r="I253" i="2" s="1"/>
  <c r="I254" i="2" a="1"/>
  <c r="I254" i="2" s="1"/>
  <c r="I255" i="2" a="1"/>
  <c r="I255" i="2" s="1"/>
  <c r="I256" i="2" a="1"/>
  <c r="I256" i="2" s="1"/>
  <c r="G259" i="2" a="1"/>
  <c r="G259" i="2" s="1"/>
  <c r="H260" i="2" a="1"/>
  <c r="H260" i="2" s="1"/>
  <c r="H261" i="2" a="1"/>
  <c r="H261" i="2" s="1"/>
  <c r="I262" i="2" a="1"/>
  <c r="I262" i="2" s="1"/>
  <c r="I263" i="2" a="1"/>
  <c r="I263" i="2" s="1"/>
  <c r="G265" i="2" a="1"/>
  <c r="G265" i="2" s="1"/>
  <c r="G266" i="2" a="1"/>
  <c r="G266" i="2" s="1"/>
  <c r="H267" i="2" a="1"/>
  <c r="H267" i="2" s="1"/>
  <c r="I269" i="2" a="1"/>
  <c r="I269" i="2" s="1"/>
  <c r="H271" i="2" a="1"/>
  <c r="H271" i="2" s="1"/>
  <c r="H273" i="2" a="1"/>
  <c r="H273" i="2" s="1"/>
  <c r="H274" i="2" a="1"/>
  <c r="H274" i="2" s="1"/>
  <c r="H275" i="2" a="1"/>
  <c r="H275" i="2" s="1"/>
  <c r="I277" i="2" a="1"/>
  <c r="I277" i="2" s="1"/>
  <c r="I278" i="2" a="1"/>
  <c r="I278" i="2" s="1"/>
  <c r="I279" i="2" a="1"/>
  <c r="I279" i="2" s="1"/>
  <c r="G281" i="2" a="1"/>
  <c r="G281" i="2" s="1"/>
  <c r="G282" i="2" a="1"/>
  <c r="G282" i="2" s="1"/>
  <c r="H283" i="2" a="1"/>
  <c r="H283" i="2" s="1"/>
  <c r="I56" i="2" a="1"/>
  <c r="I56" i="2" s="1"/>
  <c r="G99" i="2" a="1"/>
  <c r="G99" i="2" s="1"/>
  <c r="H123" i="2" a="1"/>
  <c r="H123" i="2" s="1"/>
  <c r="I142" i="2" a="1"/>
  <c r="I142" i="2" s="1"/>
  <c r="H155" i="2" a="1"/>
  <c r="H155" i="2" s="1"/>
  <c r="I164" i="2" a="1"/>
  <c r="I164" i="2" s="1"/>
  <c r="I174" i="2" a="1"/>
  <c r="I174" i="2" s="1"/>
  <c r="I181" i="2" a="1"/>
  <c r="I181" i="2" s="1"/>
  <c r="G194" i="2" a="1"/>
  <c r="G194" i="2" s="1"/>
  <c r="H198" i="2" a="1"/>
  <c r="H198" i="2" s="1"/>
  <c r="I202" i="2" a="1"/>
  <c r="I202" i="2" s="1"/>
  <c r="G207" i="2" a="1"/>
  <c r="G207" i="2" s="1"/>
  <c r="H211" i="2" a="1"/>
  <c r="H211" i="2" s="1"/>
  <c r="G216" i="2" a="1"/>
  <c r="G216" i="2" s="1"/>
  <c r="H224" i="2" a="1"/>
  <c r="H224" i="2" s="1"/>
  <c r="I232" i="2" a="1"/>
  <c r="I232" i="2" s="1"/>
  <c r="G241" i="2" a="1"/>
  <c r="G241" i="2" s="1"/>
  <c r="G245" i="2" a="1"/>
  <c r="G245" i="2" s="1"/>
  <c r="H247" i="2" a="1"/>
  <c r="H247" i="2" s="1"/>
  <c r="G252" i="2" a="1"/>
  <c r="G252" i="2" s="1"/>
  <c r="G254" i="2" a="1"/>
  <c r="G254" i="2" s="1"/>
  <c r="H256" i="2" a="1"/>
  <c r="H256" i="2" s="1"/>
  <c r="H258" i="2" a="1"/>
  <c r="H258" i="2" s="1"/>
  <c r="I260" i="2" a="1"/>
  <c r="I260" i="2" s="1"/>
  <c r="H265" i="2" a="1"/>
  <c r="H265" i="2" s="1"/>
  <c r="G268" i="2" a="1"/>
  <c r="G268" i="2" s="1"/>
  <c r="G270" i="2" a="1"/>
  <c r="G270" i="2" s="1"/>
  <c r="G272" i="2" a="1"/>
  <c r="G272" i="2" s="1"/>
  <c r="I274" i="2" a="1"/>
  <c r="I274" i="2" s="1"/>
  <c r="G276" i="2" a="1"/>
  <c r="G276" i="2" s="1"/>
  <c r="H277" i="2" a="1"/>
  <c r="H277" i="2" s="1"/>
  <c r="G279" i="2" a="1"/>
  <c r="G279" i="2" s="1"/>
  <c r="H280" i="2" a="1"/>
  <c r="H280" i="2" s="1"/>
  <c r="I283" i="2" a="1"/>
  <c r="I283" i="2" s="1"/>
  <c r="G285" i="2" a="1"/>
  <c r="G285" i="2" s="1"/>
  <c r="G286" i="2" a="1"/>
  <c r="G286" i="2" s="1"/>
  <c r="H288" i="2" a="1"/>
  <c r="H288" i="2" s="1"/>
  <c r="H289" i="2" a="1"/>
  <c r="H289" i="2" s="1"/>
  <c r="H290" i="2" a="1"/>
  <c r="H290" i="2" s="1"/>
  <c r="I291" i="2" a="1"/>
  <c r="I291" i="2" s="1"/>
  <c r="I292" i="2" a="1"/>
  <c r="I292" i="2" s="1"/>
  <c r="G294" i="2" a="1"/>
  <c r="G294" i="2" s="1"/>
  <c r="G295" i="2" a="1"/>
  <c r="G295" i="2" s="1"/>
  <c r="G296" i="2" a="1"/>
  <c r="G296" i="2" s="1"/>
  <c r="H298" i="2" a="1"/>
  <c r="H298" i="2" s="1"/>
  <c r="I299" i="2" a="1"/>
  <c r="I299" i="2" s="1"/>
  <c r="I301" i="2" a="1"/>
  <c r="I301" i="2" s="1"/>
  <c r="I302" i="2" a="1"/>
  <c r="I302" i="2" s="1"/>
  <c r="I303" i="2" a="1"/>
  <c r="I303" i="2" s="1"/>
  <c r="G305" i="2" a="1"/>
  <c r="G305" i="2" s="1"/>
  <c r="G307" i="2" a="1"/>
  <c r="G307" i="2" s="1"/>
  <c r="G308" i="2" a="1"/>
  <c r="G308" i="2" s="1"/>
  <c r="G309" i="2" a="1"/>
  <c r="G309" i="2" s="1"/>
  <c r="G310" i="2" a="1"/>
  <c r="G310" i="2" s="1"/>
  <c r="G311" i="2" a="1"/>
  <c r="G311" i="2" s="1"/>
  <c r="G312" i="2" a="1"/>
  <c r="G312" i="2" s="1"/>
  <c r="H313" i="2" a="1"/>
  <c r="H313" i="2" s="1"/>
  <c r="H314" i="2" a="1"/>
  <c r="H314" i="2" s="1"/>
  <c r="I315" i="2" a="1"/>
  <c r="I315" i="2" s="1"/>
  <c r="I316" i="2" a="1"/>
  <c r="I316" i="2" s="1"/>
  <c r="G318" i="2" a="1"/>
  <c r="G318" i="2" s="1"/>
  <c r="G319" i="2" a="1"/>
  <c r="G319" i="2" s="1"/>
  <c r="G320" i="2" a="1"/>
  <c r="G320" i="2" s="1"/>
  <c r="G322" i="2" a="1"/>
  <c r="G322" i="2" s="1"/>
  <c r="H323" i="2" a="1"/>
  <c r="H323" i="2" s="1"/>
  <c r="H324" i="2" a="1"/>
  <c r="H324" i="2" s="1"/>
  <c r="H325" i="2" a="1"/>
  <c r="H325" i="2" s="1"/>
  <c r="H327" i="2" a="1"/>
  <c r="H327" i="2" s="1"/>
  <c r="H329" i="2" a="1"/>
  <c r="H329" i="2" s="1"/>
  <c r="H330" i="2" a="1"/>
  <c r="H330" i="2" s="1"/>
  <c r="I331" i="2" a="1"/>
  <c r="I331" i="2" s="1"/>
  <c r="I333" i="2" a="1"/>
  <c r="I333" i="2" s="1"/>
  <c r="I334" i="2" a="1"/>
  <c r="I334" i="2" s="1"/>
  <c r="I335" i="2" a="1"/>
  <c r="I335" i="2" s="1"/>
  <c r="G337" i="2" a="1"/>
  <c r="G337" i="2" s="1"/>
  <c r="G338" i="2" a="1"/>
  <c r="G338" i="2" s="1"/>
  <c r="H339" i="2" a="1"/>
  <c r="H339" i="2" s="1"/>
  <c r="H340" i="2" a="1"/>
  <c r="H340" i="2" s="1"/>
  <c r="H341" i="2" a="1"/>
  <c r="H341" i="2" s="1"/>
  <c r="I343" i="2" a="1"/>
  <c r="I343" i="2" s="1"/>
  <c r="G345" i="2" a="1"/>
  <c r="G345" i="2" s="1"/>
  <c r="G347" i="2" a="1"/>
  <c r="G347" i="2" s="1"/>
  <c r="G348" i="2" a="1"/>
  <c r="G348" i="2" s="1"/>
  <c r="G349" i="2" a="1"/>
  <c r="G349" i="2" s="1"/>
  <c r="H350" i="2" a="1"/>
  <c r="H350" i="2" s="1"/>
  <c r="H352" i="2" a="1"/>
  <c r="H352" i="2" s="1"/>
  <c r="H353" i="2" a="1"/>
  <c r="H353" i="2" s="1"/>
  <c r="H354" i="2" a="1"/>
  <c r="H354" i="2" s="1"/>
  <c r="I355" i="2" a="1"/>
  <c r="I355" i="2" s="1"/>
  <c r="I357" i="2" a="1"/>
  <c r="I357" i="2" s="1"/>
  <c r="I358" i="2" a="1"/>
  <c r="I358" i="2" s="1"/>
  <c r="I359" i="2" a="1"/>
  <c r="I359" i="2" s="1"/>
  <c r="G361" i="2" a="1"/>
  <c r="G361" i="2" s="1"/>
  <c r="G363" i="2" a="1"/>
  <c r="G363" i="2" s="1"/>
  <c r="G364" i="2" a="1"/>
  <c r="G364" i="2" s="1"/>
  <c r="G365" i="2" a="1"/>
  <c r="G365" i="2" s="1"/>
  <c r="H366" i="2" a="1"/>
  <c r="H366" i="2" s="1"/>
  <c r="H368" i="2" a="1"/>
  <c r="H368" i="2" s="1"/>
  <c r="I369" i="2" a="1"/>
  <c r="I369" i="2" s="1"/>
  <c r="G371" i="2" a="1"/>
  <c r="G371" i="2" s="1"/>
  <c r="H372" i="2" a="1"/>
  <c r="H372" i="2" s="1"/>
  <c r="H373" i="2" a="1"/>
  <c r="H373" i="2" s="1"/>
  <c r="H374" i="2" a="1"/>
  <c r="H374" i="2" s="1"/>
  <c r="H375" i="2" a="1"/>
  <c r="H375" i="2" s="1"/>
  <c r="I376" i="2" a="1"/>
  <c r="I376" i="2" s="1"/>
  <c r="G379" i="2" a="1"/>
  <c r="G379" i="2" s="1"/>
  <c r="H380" i="2" a="1"/>
  <c r="H380" i="2" s="1"/>
  <c r="H381" i="2" a="1"/>
  <c r="H381" i="2" s="1"/>
  <c r="H383" i="2" a="1"/>
  <c r="H383" i="2" s="1"/>
  <c r="I384" i="2" a="1"/>
  <c r="I384" i="2" s="1"/>
  <c r="G387" i="2" a="1"/>
  <c r="G387" i="2" s="1"/>
  <c r="H388" i="2" a="1"/>
  <c r="H388" i="2" s="1"/>
  <c r="I389" i="2" a="1"/>
  <c r="I389" i="2" s="1"/>
  <c r="G391" i="2" a="1"/>
  <c r="G391" i="2" s="1"/>
  <c r="H392" i="2" a="1"/>
  <c r="H392" i="2" s="1"/>
  <c r="I393" i="2" a="1"/>
  <c r="I393" i="2" s="1"/>
  <c r="G395" i="2" a="1"/>
  <c r="G395" i="2" s="1"/>
  <c r="H396" i="2" a="1"/>
  <c r="H396" i="2" s="1"/>
  <c r="I397" i="2" a="1"/>
  <c r="I397" i="2" s="1"/>
  <c r="G399" i="2" a="1"/>
  <c r="G399" i="2" s="1"/>
  <c r="H400" i="2" a="1"/>
  <c r="H400" i="2" s="1"/>
  <c r="I401" i="2" a="1"/>
  <c r="I401" i="2" s="1"/>
  <c r="G403" i="2" a="1"/>
  <c r="G403" i="2" s="1"/>
  <c r="H404" i="2" a="1"/>
  <c r="H404" i="2" s="1"/>
  <c r="I405" i="2" a="1"/>
  <c r="I405" i="2" s="1"/>
  <c r="G407" i="2" a="1"/>
  <c r="G407" i="2" s="1"/>
  <c r="H408" i="2" a="1"/>
  <c r="H408" i="2" s="1"/>
  <c r="I409" i="2" a="1"/>
  <c r="I409" i="2" s="1"/>
  <c r="G411" i="2" a="1"/>
  <c r="G411" i="2" s="1"/>
  <c r="H412" i="2" a="1"/>
  <c r="H412" i="2" s="1"/>
  <c r="I413" i="2" a="1"/>
  <c r="I413" i="2" s="1"/>
  <c r="G415" i="2" a="1"/>
  <c r="G415" i="2" s="1"/>
  <c r="H416" i="2" a="1"/>
  <c r="H416" i="2" s="1"/>
  <c r="I417" i="2" a="1"/>
  <c r="I417" i="2" s="1"/>
  <c r="G419" i="2" a="1"/>
  <c r="G419" i="2" s="1"/>
  <c r="H420" i="2" a="1"/>
  <c r="H420" i="2" s="1"/>
  <c r="I421" i="2" a="1"/>
  <c r="I421" i="2" s="1"/>
  <c r="G423" i="2" a="1"/>
  <c r="G423" i="2" s="1"/>
  <c r="H424" i="2" a="1"/>
  <c r="H424" i="2" s="1"/>
  <c r="I425" i="2" a="1"/>
  <c r="I425" i="2" s="1"/>
  <c r="G427" i="2" a="1"/>
  <c r="G427" i="2" s="1"/>
  <c r="H428" i="2" a="1"/>
  <c r="H428" i="2" s="1"/>
  <c r="I429" i="2" a="1"/>
  <c r="I429" i="2" s="1"/>
  <c r="G431" i="2" a="1"/>
  <c r="G431" i="2" s="1"/>
  <c r="H432" i="2" a="1"/>
  <c r="H432" i="2" s="1"/>
  <c r="G75" i="2" a="1"/>
  <c r="G75" i="2" s="1"/>
  <c r="I105" i="2" a="1"/>
  <c r="I105" i="2" s="1"/>
  <c r="G128" i="2" a="1"/>
  <c r="G128" i="2" s="1"/>
  <c r="H147" i="2" a="1"/>
  <c r="H147" i="2" s="1"/>
  <c r="I157" i="2" a="1"/>
  <c r="I157" i="2" s="1"/>
  <c r="G167" i="2" a="1"/>
  <c r="G167" i="2" s="1"/>
  <c r="H177" i="2" a="1"/>
  <c r="H177" i="2" s="1"/>
  <c r="H183" i="2" a="1"/>
  <c r="H183" i="2" s="1"/>
  <c r="G189" i="2" a="1"/>
  <c r="G189" i="2" s="1"/>
  <c r="H195" i="2" a="1"/>
  <c r="H195" i="2" s="1"/>
  <c r="H199" i="2" a="1"/>
  <c r="H199" i="2" s="1"/>
  <c r="I203" i="2" a="1"/>
  <c r="I203" i="2" s="1"/>
  <c r="H208" i="2" a="1"/>
  <c r="H208" i="2" s="1"/>
  <c r="H212" i="2" a="1"/>
  <c r="H212" i="2" s="1"/>
  <c r="G217" i="2" a="1"/>
  <c r="G217" i="2" s="1"/>
  <c r="I220" i="2" a="1"/>
  <c r="I220" i="2" s="1"/>
  <c r="H225" i="2" a="1"/>
  <c r="H225" i="2" s="1"/>
  <c r="I229" i="2" a="1"/>
  <c r="I229" i="2" s="1"/>
  <c r="I233" i="2" a="1"/>
  <c r="I233" i="2" s="1"/>
  <c r="I237" i="2" a="1"/>
  <c r="I237" i="2" s="1"/>
  <c r="G242" i="2" a="1"/>
  <c r="G242" i="2" s="1"/>
  <c r="H245" i="2" a="1"/>
  <c r="H245" i="2" s="1"/>
  <c r="I247" i="2" a="1"/>
  <c r="I247" i="2" s="1"/>
  <c r="G250" i="2" a="1"/>
  <c r="G250" i="2" s="1"/>
  <c r="H252" i="2" a="1"/>
  <c r="H252" i="2" s="1"/>
  <c r="H254" i="2" a="1"/>
  <c r="H254" i="2" s="1"/>
  <c r="I258" i="2" a="1"/>
  <c r="I258" i="2" s="1"/>
  <c r="G261" i="2" a="1"/>
  <c r="G261" i="2" s="1"/>
  <c r="H263" i="2" a="1"/>
  <c r="H263" i="2" s="1"/>
  <c r="I265" i="2" a="1"/>
  <c r="I265" i="2" s="1"/>
  <c r="H268" i="2" a="1"/>
  <c r="H268" i="2" s="1"/>
  <c r="H270" i="2" a="1"/>
  <c r="H270" i="2" s="1"/>
  <c r="H272" i="2" a="1"/>
  <c r="H272" i="2" s="1"/>
  <c r="I273" i="2" a="1"/>
  <c r="I273" i="2" s="1"/>
  <c r="G275" i="2" a="1"/>
  <c r="G275" i="2" s="1"/>
  <c r="H276" i="2" a="1"/>
  <c r="H276" i="2" s="1"/>
  <c r="G278" i="2" a="1"/>
  <c r="G278" i="2" s="1"/>
  <c r="I280" i="2" a="1"/>
  <c r="I280" i="2" s="1"/>
  <c r="H282" i="2" a="1"/>
  <c r="H282" i="2" s="1"/>
  <c r="G284" i="2" a="1"/>
  <c r="G284" i="2" s="1"/>
  <c r="H285" i="2" a="1"/>
  <c r="H285" i="2" s="1"/>
  <c r="H286" i="2" a="1"/>
  <c r="H286" i="2" s="1"/>
  <c r="H287" i="2" a="1"/>
  <c r="H287" i="2" s="1"/>
  <c r="I289" i="2" a="1"/>
  <c r="I289" i="2" s="1"/>
  <c r="I290" i="2" a="1"/>
  <c r="I290" i="2" s="1"/>
  <c r="G293" i="2" a="1"/>
  <c r="G293" i="2" s="1"/>
  <c r="H294" i="2" a="1"/>
  <c r="H294" i="2" s="1"/>
  <c r="H296" i="2" a="1"/>
  <c r="H296" i="2" s="1"/>
  <c r="H297" i="2" a="1"/>
  <c r="H297" i="2" s="1"/>
  <c r="I298" i="2" a="1"/>
  <c r="I298" i="2" s="1"/>
  <c r="I300" i="2" a="1"/>
  <c r="I300" i="2" s="1"/>
  <c r="G302" i="2" a="1"/>
  <c r="G302" i="2" s="1"/>
  <c r="G303" i="2" a="1"/>
  <c r="G303" i="2" s="1"/>
  <c r="G304" i="2" a="1"/>
  <c r="G304" i="2" s="1"/>
  <c r="G306" i="2" a="1"/>
  <c r="G306" i="2" s="1"/>
  <c r="H307" i="2" a="1"/>
  <c r="H307" i="2" s="1"/>
  <c r="H308" i="2" a="1"/>
  <c r="H308" i="2" s="1"/>
  <c r="H309" i="2" a="1"/>
  <c r="H309" i="2" s="1"/>
  <c r="H310" i="2" a="1"/>
  <c r="H310" i="2" s="1"/>
  <c r="H312" i="2" a="1"/>
  <c r="H312" i="2" s="1"/>
  <c r="I313" i="2" a="1"/>
  <c r="I313" i="2" s="1"/>
  <c r="I314" i="2" a="1"/>
  <c r="I314" i="2" s="1"/>
  <c r="G316" i="2" a="1"/>
  <c r="G316" i="2" s="1"/>
  <c r="G317" i="2" a="1"/>
  <c r="G317" i="2" s="1"/>
  <c r="H318" i="2" a="1"/>
  <c r="H318" i="2" s="1"/>
  <c r="H320" i="2" a="1"/>
  <c r="H320" i="2" s="1"/>
  <c r="H321" i="2" a="1"/>
  <c r="H321" i="2" s="1"/>
  <c r="H322" i="2" a="1"/>
  <c r="H322" i="2" s="1"/>
  <c r="I323" i="2" a="1"/>
  <c r="I323" i="2" s="1"/>
  <c r="I325" i="2" a="1"/>
  <c r="I325" i="2" s="1"/>
  <c r="I326" i="2" a="1"/>
  <c r="I326" i="2" s="1"/>
  <c r="I327" i="2" a="1"/>
  <c r="I327" i="2" s="1"/>
  <c r="I328" i="2" a="1"/>
  <c r="I328" i="2" s="1"/>
  <c r="I329" i="2" a="1"/>
  <c r="I329" i="2" s="1"/>
  <c r="I330" i="2" a="1"/>
  <c r="I330" i="2" s="1"/>
  <c r="I332" i="2" a="1"/>
  <c r="I332" i="2" s="1"/>
  <c r="G334" i="2" a="1"/>
  <c r="G334" i="2" s="1"/>
  <c r="G335" i="2" a="1"/>
  <c r="G335" i="2" s="1"/>
  <c r="G336" i="2" a="1"/>
  <c r="G336" i="2" s="1"/>
  <c r="H338" i="2" a="1"/>
  <c r="H338" i="2" s="1"/>
  <c r="I339" i="2" a="1"/>
  <c r="I339" i="2" s="1"/>
  <c r="I341" i="2" a="1"/>
  <c r="I341" i="2" s="1"/>
  <c r="I342" i="2" a="1"/>
  <c r="I342" i="2" s="1"/>
  <c r="G344" i="2" a="1"/>
  <c r="G344" i="2" s="1"/>
  <c r="G346" i="2" a="1"/>
  <c r="G346" i="2" s="1"/>
  <c r="H347" i="2" a="1"/>
  <c r="H347" i="2" s="1"/>
  <c r="H348" i="2" a="1"/>
  <c r="H348" i="2" s="1"/>
  <c r="H349" i="2" a="1"/>
  <c r="H349" i="2" s="1"/>
  <c r="H351" i="2" a="1"/>
  <c r="H351" i="2" s="1"/>
  <c r="I352" i="2" a="1"/>
  <c r="I352" i="2" s="1"/>
  <c r="I353" i="2" a="1"/>
  <c r="I353" i="2" s="1"/>
  <c r="I354" i="2" a="1"/>
  <c r="I354" i="2" s="1"/>
  <c r="I356" i="2" a="1"/>
  <c r="I356" i="2" s="1"/>
  <c r="G359" i="2" a="1"/>
  <c r="G359" i="2" s="1"/>
  <c r="G360" i="2" a="1"/>
  <c r="G360" i="2" s="1"/>
  <c r="G362" i="2" a="1"/>
  <c r="G362" i="2" s="1"/>
  <c r="H363" i="2" a="1"/>
  <c r="H363" i="2" s="1"/>
  <c r="H364" i="2" a="1"/>
  <c r="H364" i="2" s="1"/>
  <c r="H365" i="2" a="1"/>
  <c r="H365" i="2" s="1"/>
  <c r="H367" i="2" a="1"/>
  <c r="H367" i="2" s="1"/>
  <c r="I368" i="2" a="1"/>
  <c r="I368" i="2" s="1"/>
  <c r="G370" i="2" a="1"/>
  <c r="G370" i="2" s="1"/>
  <c r="H371" i="2" a="1"/>
  <c r="H371" i="2" s="1"/>
  <c r="I373" i="2" a="1"/>
  <c r="I373" i="2" s="1"/>
  <c r="I374" i="2" a="1"/>
  <c r="I374" i="2" s="1"/>
  <c r="I375" i="2" a="1"/>
  <c r="I375" i="2" s="1"/>
  <c r="G377" i="2" a="1"/>
  <c r="G377" i="2" s="1"/>
  <c r="G378" i="2" a="1"/>
  <c r="G378" i="2" s="1"/>
  <c r="H379" i="2" a="1"/>
  <c r="H379" i="2" s="1"/>
  <c r="I381" i="2" a="1"/>
  <c r="I381" i="2" s="1"/>
  <c r="I382" i="2" a="1"/>
  <c r="I382" i="2" s="1"/>
  <c r="I383" i="2" a="1"/>
  <c r="I383" i="2" s="1"/>
  <c r="G385" i="2" a="1"/>
  <c r="G385" i="2" s="1"/>
  <c r="G386" i="2" a="1"/>
  <c r="G386" i="2" s="1"/>
  <c r="H387" i="2" a="1"/>
  <c r="H387" i="2" s="1"/>
  <c r="I388" i="2" a="1"/>
  <c r="I388" i="2" s="1"/>
  <c r="G390" i="2" a="1"/>
  <c r="G390" i="2" s="1"/>
  <c r="H391" i="2" a="1"/>
  <c r="H391" i="2" s="1"/>
  <c r="I392" i="2" a="1"/>
  <c r="I392" i="2" s="1"/>
  <c r="G394" i="2" a="1"/>
  <c r="G394" i="2" s="1"/>
  <c r="H395" i="2" a="1"/>
  <c r="H395" i="2" s="1"/>
  <c r="I396" i="2" a="1"/>
  <c r="I396" i="2" s="1"/>
  <c r="G398" i="2" a="1"/>
  <c r="G398" i="2" s="1"/>
  <c r="H399" i="2" a="1"/>
  <c r="H399" i="2" s="1"/>
  <c r="I400" i="2" a="1"/>
  <c r="I400" i="2" s="1"/>
  <c r="G402" i="2" a="1"/>
  <c r="G402" i="2" s="1"/>
  <c r="H403" i="2" a="1"/>
  <c r="H403" i="2" s="1"/>
  <c r="I404" i="2" a="1"/>
  <c r="I404" i="2" s="1"/>
  <c r="G406" i="2" a="1"/>
  <c r="G406" i="2" s="1"/>
  <c r="H407" i="2" a="1"/>
  <c r="H407" i="2" s="1"/>
  <c r="I408" i="2" a="1"/>
  <c r="I408" i="2" s="1"/>
  <c r="G410" i="2" a="1"/>
  <c r="G410" i="2" s="1"/>
  <c r="H411" i="2" a="1"/>
  <c r="H411" i="2" s="1"/>
  <c r="I412" i="2" a="1"/>
  <c r="I412" i="2" s="1"/>
  <c r="G414" i="2" a="1"/>
  <c r="G414" i="2" s="1"/>
  <c r="H415" i="2" a="1"/>
  <c r="H415" i="2" s="1"/>
  <c r="I416" i="2" a="1"/>
  <c r="I416" i="2" s="1"/>
  <c r="H39" i="2" a="1"/>
  <c r="H39" i="2" s="1"/>
  <c r="I92" i="2" a="1"/>
  <c r="I92" i="2" s="1"/>
  <c r="G118" i="2" a="1"/>
  <c r="G118" i="2" s="1"/>
  <c r="H137" i="2" a="1"/>
  <c r="H137" i="2" s="1"/>
  <c r="G153" i="2" a="1"/>
  <c r="G153" i="2" s="1"/>
  <c r="H162" i="2" a="1"/>
  <c r="H162" i="2" s="1"/>
  <c r="G172" i="2" a="1"/>
  <c r="G172" i="2" s="1"/>
  <c r="H180" i="2" a="1"/>
  <c r="H180" i="2" s="1"/>
  <c r="G186" i="2" a="1"/>
  <c r="G186" i="2" s="1"/>
  <c r="H192" i="2" a="1"/>
  <c r="H192" i="2" s="1"/>
  <c r="H197" i="2" a="1"/>
  <c r="H197" i="2" s="1"/>
  <c r="I201" i="2" a="1"/>
  <c r="I201" i="2" s="1"/>
  <c r="G206" i="2" a="1"/>
  <c r="G206" i="2" s="1"/>
  <c r="G210" i="2" a="1"/>
  <c r="G210" i="2" s="1"/>
  <c r="I214" i="2" a="1"/>
  <c r="I214" i="2" s="1"/>
  <c r="G219" i="2" a="1"/>
  <c r="G219" i="2" s="1"/>
  <c r="I227" i="2" a="1"/>
  <c r="I227" i="2" s="1"/>
  <c r="I231" i="2" a="1"/>
  <c r="I231" i="2" s="1"/>
  <c r="I235" i="2" a="1"/>
  <c r="I235" i="2" s="1"/>
  <c r="G240" i="2" a="1"/>
  <c r="G240" i="2" s="1"/>
  <c r="H244" i="2" a="1"/>
  <c r="H244" i="2" s="1"/>
  <c r="I246" i="2" a="1"/>
  <c r="I246" i="2" s="1"/>
  <c r="G249" i="2" a="1"/>
  <c r="G249" i="2" s="1"/>
  <c r="H253" i="2" a="1"/>
  <c r="H253" i="2" s="1"/>
  <c r="H255" i="2" a="1"/>
  <c r="H255" i="2" s="1"/>
  <c r="I257" i="2" a="1"/>
  <c r="I257" i="2" s="1"/>
  <c r="G260" i="2" a="1"/>
  <c r="G260" i="2" s="1"/>
  <c r="H262" i="2" a="1"/>
  <c r="H262" i="2" s="1"/>
  <c r="I264" i="2" a="1"/>
  <c r="I264" i="2" s="1"/>
  <c r="G267" i="2" a="1"/>
  <c r="G267" i="2" s="1"/>
  <c r="H269" i="2" a="1"/>
  <c r="H269" i="2" s="1"/>
  <c r="G273" i="2" a="1"/>
  <c r="G273" i="2" s="1"/>
  <c r="G274" i="2" a="1"/>
  <c r="G274" i="2" s="1"/>
  <c r="I275" i="2" a="1"/>
  <c r="I275" i="2" s="1"/>
  <c r="G277" i="2" a="1"/>
  <c r="G277" i="2" s="1"/>
  <c r="G280" i="2" a="1"/>
  <c r="G280" i="2" s="1"/>
  <c r="I281" i="2" a="1"/>
  <c r="I281" i="2" s="1"/>
  <c r="G283" i="2" a="1"/>
  <c r="G283" i="2" s="1"/>
  <c r="I284" i="2" a="1"/>
  <c r="I284" i="2" s="1"/>
  <c r="G287" i="2" a="1"/>
  <c r="G287" i="2" s="1"/>
  <c r="G288" i="2" a="1"/>
  <c r="G288" i="2" s="1"/>
  <c r="G289" i="2" a="1"/>
  <c r="G289" i="2" s="1"/>
  <c r="G290" i="2" a="1"/>
  <c r="G290" i="2" s="1"/>
  <c r="H291" i="2" a="1"/>
  <c r="H291" i="2" s="1"/>
  <c r="H292" i="2" a="1"/>
  <c r="H292" i="2" s="1"/>
  <c r="I293" i="2" a="1"/>
  <c r="I293" i="2" s="1"/>
  <c r="I294" i="2" a="1"/>
  <c r="I294" i="2" s="1"/>
  <c r="I295" i="2" a="1"/>
  <c r="I295" i="2" s="1"/>
  <c r="G297" i="2" a="1"/>
  <c r="G297" i="2" s="1"/>
  <c r="G298" i="2" a="1"/>
  <c r="G298" i="2" s="1"/>
  <c r="H299" i="2" a="1"/>
  <c r="H299" i="2" s="1"/>
  <c r="H300" i="2" a="1"/>
  <c r="H300" i="2" s="1"/>
  <c r="H301" i="2" a="1"/>
  <c r="H301" i="2" s="1"/>
  <c r="H303" i="2" a="1"/>
  <c r="H303" i="2" s="1"/>
  <c r="I304" i="2" a="1"/>
  <c r="I304" i="2" s="1"/>
  <c r="I305" i="2" a="1"/>
  <c r="I305" i="2" s="1"/>
  <c r="I306" i="2" a="1"/>
  <c r="I306" i="2" s="1"/>
  <c r="I308" i="2" a="1"/>
  <c r="I308" i="2" s="1"/>
  <c r="I310" i="2" a="1"/>
  <c r="I310" i="2" s="1"/>
  <c r="I311" i="2" a="1"/>
  <c r="I311" i="2" s="1"/>
  <c r="G313" i="2" a="1"/>
  <c r="G313" i="2" s="1"/>
  <c r="G314" i="2" a="1"/>
  <c r="G314" i="2" s="1"/>
  <c r="H315" i="2" a="1"/>
  <c r="H315" i="2" s="1"/>
  <c r="I317" i="2" a="1"/>
  <c r="I317" i="2" s="1"/>
  <c r="I318" i="2" a="1"/>
  <c r="I318" i="2" s="1"/>
  <c r="I319" i="2" a="1"/>
  <c r="I319" i="2" s="1"/>
  <c r="G321" i="2" a="1"/>
  <c r="G321" i="2" s="1"/>
  <c r="G323" i="2" a="1"/>
  <c r="G323" i="2" s="1"/>
  <c r="G324" i="2" a="1"/>
  <c r="G324" i="2" s="1"/>
  <c r="G325" i="2" a="1"/>
  <c r="G325" i="2" s="1"/>
  <c r="H326" i="2" a="1"/>
  <c r="H326" i="2" s="1"/>
  <c r="H328" i="2" a="1"/>
  <c r="H328" i="2" s="1"/>
  <c r="G330" i="2" a="1"/>
  <c r="G330" i="2" s="1"/>
  <c r="H331" i="2" a="1"/>
  <c r="H331" i="2" s="1"/>
  <c r="H332" i="2" a="1"/>
  <c r="H332" i="2" s="1"/>
  <c r="H333" i="2" a="1"/>
  <c r="H333" i="2" s="1"/>
  <c r="H335" i="2" a="1"/>
  <c r="H335" i="2" s="1"/>
  <c r="I336" i="2" a="1"/>
  <c r="I336" i="2" s="1"/>
  <c r="I337" i="2" a="1"/>
  <c r="I337" i="2" s="1"/>
  <c r="G339" i="2" a="1"/>
  <c r="G339" i="2" s="1"/>
  <c r="G340" i="2" a="1"/>
  <c r="G340" i="2" s="1"/>
  <c r="G341" i="2" a="1"/>
  <c r="G341" i="2" s="1"/>
  <c r="H342" i="2" a="1"/>
  <c r="H342" i="2" s="1"/>
  <c r="H343" i="2" a="1"/>
  <c r="H343" i="2" s="1"/>
  <c r="I344" i="2" a="1"/>
  <c r="I344" i="2" s="1"/>
  <c r="I345" i="2" a="1"/>
  <c r="I345" i="2" s="1"/>
  <c r="I346" i="2" a="1"/>
  <c r="I346" i="2" s="1"/>
  <c r="I348" i="2" a="1"/>
  <c r="I348" i="2" s="1"/>
  <c r="G350" i="2" a="1"/>
  <c r="G350" i="2" s="1"/>
  <c r="G351" i="2" a="1"/>
  <c r="G351" i="2" s="1"/>
  <c r="G352" i="2" a="1"/>
  <c r="G352" i="2" s="1"/>
  <c r="G354" i="2" a="1"/>
  <c r="G354" i="2" s="1"/>
  <c r="H355" i="2" a="1"/>
  <c r="H355" i="2" s="1"/>
  <c r="H356" i="2" a="1"/>
  <c r="H356" i="2" s="1"/>
  <c r="H357" i="2" a="1"/>
  <c r="H357" i="2" s="1"/>
  <c r="H358" i="2" a="1"/>
  <c r="H358" i="2" s="1"/>
  <c r="H359" i="2" a="1"/>
  <c r="H359" i="2" s="1"/>
  <c r="I360" i="2" a="1"/>
  <c r="I360" i="2" s="1"/>
  <c r="I361" i="2" a="1"/>
  <c r="I361" i="2" s="1"/>
  <c r="I362" i="2" a="1"/>
  <c r="I362" i="2" s="1"/>
  <c r="I364" i="2" a="1"/>
  <c r="I364" i="2" s="1"/>
  <c r="G366" i="2" a="1"/>
  <c r="G366" i="2" s="1"/>
  <c r="G367" i="2" a="1"/>
  <c r="G367" i="2" s="1"/>
  <c r="G368" i="2" a="1"/>
  <c r="G368" i="2" s="1"/>
  <c r="H369" i="2" a="1"/>
  <c r="H369" i="2" s="1"/>
  <c r="I370" i="2" a="1"/>
  <c r="I370" i="2" s="1"/>
  <c r="G372" i="2" a="1"/>
  <c r="G372" i="2" s="1"/>
  <c r="G373" i="2" a="1"/>
  <c r="G373" i="2" s="1"/>
  <c r="G374" i="2" a="1"/>
  <c r="G374" i="2" s="1"/>
  <c r="H376" i="2" a="1"/>
  <c r="H376" i="2" s="1"/>
  <c r="I377" i="2" a="1"/>
  <c r="I377" i="2" s="1"/>
  <c r="I378" i="2" a="1"/>
  <c r="I378" i="2" s="1"/>
  <c r="G380" i="2" a="1"/>
  <c r="G380" i="2" s="1"/>
  <c r="G381" i="2" a="1"/>
  <c r="G381" i="2" s="1"/>
  <c r="H382" i="2" a="1"/>
  <c r="H382" i="2" s="1"/>
  <c r="H384" i="2" a="1"/>
  <c r="H384" i="2" s="1"/>
  <c r="I385" i="2" a="1"/>
  <c r="I385" i="2" s="1"/>
  <c r="I386" i="2" a="1"/>
  <c r="I386" i="2" s="1"/>
  <c r="G388" i="2" a="1"/>
  <c r="G388" i="2" s="1"/>
  <c r="H389" i="2" a="1"/>
  <c r="H389" i="2" s="1"/>
  <c r="I390" i="2" a="1"/>
  <c r="I390" i="2" s="1"/>
  <c r="G392" i="2" a="1"/>
  <c r="G392" i="2" s="1"/>
  <c r="H393" i="2" a="1"/>
  <c r="H393" i="2" s="1"/>
  <c r="I394" i="2" a="1"/>
  <c r="I394" i="2" s="1"/>
  <c r="G396" i="2" a="1"/>
  <c r="G396" i="2" s="1"/>
  <c r="H397" i="2" a="1"/>
  <c r="H397" i="2" s="1"/>
  <c r="I398" i="2" a="1"/>
  <c r="I398" i="2" s="1"/>
  <c r="G400" i="2" a="1"/>
  <c r="G400" i="2" s="1"/>
  <c r="H401" i="2" a="1"/>
  <c r="H401" i="2" s="1"/>
  <c r="I402" i="2" a="1"/>
  <c r="I402" i="2" s="1"/>
  <c r="G404" i="2" a="1"/>
  <c r="G404" i="2" s="1"/>
  <c r="H405" i="2" a="1"/>
  <c r="H405" i="2" s="1"/>
  <c r="I406" i="2" a="1"/>
  <c r="I406" i="2" s="1"/>
  <c r="G408" i="2" a="1"/>
  <c r="G408" i="2" s="1"/>
  <c r="H409" i="2" a="1"/>
  <c r="H409" i="2" s="1"/>
  <c r="I410" i="2" a="1"/>
  <c r="I410" i="2" s="1"/>
  <c r="G412" i="2" a="1"/>
  <c r="G412" i="2" s="1"/>
  <c r="H413" i="2" a="1"/>
  <c r="H413" i="2" s="1"/>
  <c r="I414" i="2" a="1"/>
  <c r="I414" i="2" s="1"/>
  <c r="G416" i="2" a="1"/>
  <c r="G416" i="2" s="1"/>
  <c r="H417" i="2" a="1"/>
  <c r="H417" i="2" s="1"/>
  <c r="I418" i="2" a="1"/>
  <c r="I418" i="2" s="1"/>
  <c r="G420" i="2" a="1"/>
  <c r="G420" i="2" s="1"/>
  <c r="H421" i="2" a="1"/>
  <c r="H421" i="2" s="1"/>
  <c r="I422" i="2" a="1"/>
  <c r="I422" i="2" s="1"/>
  <c r="G424" i="2" a="1"/>
  <c r="G424" i="2" s="1"/>
  <c r="H425" i="2" a="1"/>
  <c r="H425" i="2" s="1"/>
  <c r="I426" i="2" a="1"/>
  <c r="I426" i="2" s="1"/>
  <c r="G428" i="2" a="1"/>
  <c r="G428" i="2" s="1"/>
  <c r="H429" i="2" a="1"/>
  <c r="H429" i="2" s="1"/>
  <c r="I430" i="2" a="1"/>
  <c r="I430" i="2" s="1"/>
  <c r="G432" i="2" a="1"/>
  <c r="G432" i="2" s="1"/>
  <c r="G112" i="2" a="1"/>
  <c r="G112" i="2" s="1"/>
  <c r="H169" i="2" a="1"/>
  <c r="H169" i="2" s="1"/>
  <c r="H196" i="2" a="1"/>
  <c r="H196" i="2" s="1"/>
  <c r="I213" i="2" a="1"/>
  <c r="I213" i="2" s="1"/>
  <c r="I230" i="2" a="1"/>
  <c r="I230" i="2" s="1"/>
  <c r="H246" i="2" a="1"/>
  <c r="H246" i="2" s="1"/>
  <c r="H264" i="2" a="1"/>
  <c r="H264" i="2" s="1"/>
  <c r="I272" i="2" a="1"/>
  <c r="I272" i="2" s="1"/>
  <c r="H278" i="2" a="1"/>
  <c r="H278" i="2" s="1"/>
  <c r="H284" i="2" a="1"/>
  <c r="H284" i="2" s="1"/>
  <c r="I288" i="2" a="1"/>
  <c r="I288" i="2" s="1"/>
  <c r="H293" i="2" a="1"/>
  <c r="H293" i="2" s="1"/>
  <c r="I297" i="2" a="1"/>
  <c r="I297" i="2" s="1"/>
  <c r="H302" i="2" a="1"/>
  <c r="H302" i="2" s="1"/>
  <c r="H306" i="2" a="1"/>
  <c r="H306" i="2" s="1"/>
  <c r="G315" i="2" a="1"/>
  <c r="G315" i="2" s="1"/>
  <c r="H319" i="2" a="1"/>
  <c r="H319" i="2" s="1"/>
  <c r="G328" i="2" a="1"/>
  <c r="G328" i="2" s="1"/>
  <c r="G332" i="2" a="1"/>
  <c r="G332" i="2" s="1"/>
  <c r="H336" i="2" a="1"/>
  <c r="H336" i="2" s="1"/>
  <c r="I340" i="2" a="1"/>
  <c r="I340" i="2" s="1"/>
  <c r="H345" i="2" a="1"/>
  <c r="H345" i="2" s="1"/>
  <c r="I349" i="2" a="1"/>
  <c r="I349" i="2" s="1"/>
  <c r="G358" i="2" a="1"/>
  <c r="G358" i="2" s="1"/>
  <c r="H362" i="2" a="1"/>
  <c r="H362" i="2" s="1"/>
  <c r="I366" i="2" a="1"/>
  <c r="I366" i="2" s="1"/>
  <c r="I371" i="2" a="1"/>
  <c r="I371" i="2" s="1"/>
  <c r="G376" i="2" a="1"/>
  <c r="G376" i="2" s="1"/>
  <c r="I380" i="2" a="1"/>
  <c r="I380" i="2" s="1"/>
  <c r="H385" i="2" a="1"/>
  <c r="H385" i="2" s="1"/>
  <c r="H390" i="2" a="1"/>
  <c r="H390" i="2" s="1"/>
  <c r="I395" i="2" a="1"/>
  <c r="I395" i="2" s="1"/>
  <c r="G401" i="2" a="1"/>
  <c r="G401" i="2" s="1"/>
  <c r="H406" i="2" a="1"/>
  <c r="H406" i="2" s="1"/>
  <c r="I411" i="2" a="1"/>
  <c r="I411" i="2" s="1"/>
  <c r="G417" i="2" a="1"/>
  <c r="G417" i="2" s="1"/>
  <c r="I419" i="2" a="1"/>
  <c r="I419" i="2" s="1"/>
  <c r="H422" i="2" a="1"/>
  <c r="H422" i="2" s="1"/>
  <c r="G425" i="2" a="1"/>
  <c r="G425" i="2" s="1"/>
  <c r="I427" i="2" a="1"/>
  <c r="I427" i="2" s="1"/>
  <c r="H430" i="2" a="1"/>
  <c r="H430" i="2" s="1"/>
  <c r="G433" i="2" a="1"/>
  <c r="G433" i="2" s="1"/>
  <c r="H434" i="2" a="1"/>
  <c r="H434" i="2" s="1"/>
  <c r="I435" i="2" a="1"/>
  <c r="I435" i="2" s="1"/>
  <c r="G437" i="2" a="1"/>
  <c r="G437" i="2" s="1"/>
  <c r="H438" i="2" a="1"/>
  <c r="H438" i="2" s="1"/>
  <c r="I439" i="2" a="1"/>
  <c r="I439" i="2" s="1"/>
  <c r="G441" i="2" a="1"/>
  <c r="G441" i="2" s="1"/>
  <c r="H442" i="2" a="1"/>
  <c r="H442" i="2" s="1"/>
  <c r="I443" i="2" a="1"/>
  <c r="I443" i="2" s="1"/>
  <c r="G445" i="2" a="1"/>
  <c r="G445" i="2" s="1"/>
  <c r="G446" i="2" a="1"/>
  <c r="G446" i="2" s="1"/>
  <c r="H447" i="2" a="1"/>
  <c r="H447" i="2" s="1"/>
  <c r="I448" i="2" a="1"/>
  <c r="I448" i="2" s="1"/>
  <c r="G450" i="2" a="1"/>
  <c r="G450" i="2" s="1"/>
  <c r="H452" i="2" a="1"/>
  <c r="H452" i="2" s="1"/>
  <c r="I453" i="2" a="1"/>
  <c r="I453" i="2" s="1"/>
  <c r="G455" i="2" a="1"/>
  <c r="G455" i="2" s="1"/>
  <c r="G456" i="2" a="1"/>
  <c r="G456" i="2" s="1"/>
  <c r="H457" i="2" a="1"/>
  <c r="H457" i="2" s="1"/>
  <c r="I458" i="2" a="1"/>
  <c r="I458" i="2" s="1"/>
  <c r="I459" i="2" a="1"/>
  <c r="I459" i="2" s="1"/>
  <c r="G461" i="2" a="1"/>
  <c r="G461" i="2" s="1"/>
  <c r="G462" i="2" a="1"/>
  <c r="G462" i="2" s="1"/>
  <c r="H464" i="2" a="1"/>
  <c r="H464" i="2" s="1"/>
  <c r="H465" i="2" a="1"/>
  <c r="H465" i="2" s="1"/>
  <c r="I466" i="2" a="1"/>
  <c r="I466" i="2" s="1"/>
  <c r="I467" i="2" a="1"/>
  <c r="I467" i="2" s="1"/>
  <c r="G469" i="2" a="1"/>
  <c r="G469" i="2" s="1"/>
  <c r="H470" i="2" a="1"/>
  <c r="H470" i="2" s="1"/>
  <c r="I471" i="2" a="1"/>
  <c r="I471" i="2" s="1"/>
  <c r="G473" i="2" a="1"/>
  <c r="G473" i="2" s="1"/>
  <c r="H474" i="2" a="1"/>
  <c r="H474" i="2" s="1"/>
  <c r="H475" i="2" a="1"/>
  <c r="H475" i="2" s="1"/>
  <c r="I476" i="2" a="1"/>
  <c r="I476" i="2" s="1"/>
  <c r="G478" i="2" a="1"/>
  <c r="G478" i="2" s="1"/>
  <c r="H479" i="2" a="1"/>
  <c r="H479" i="2" s="1"/>
  <c r="I480" i="2" a="1"/>
  <c r="I480" i="2" s="1"/>
  <c r="G482" i="2" a="1"/>
  <c r="G482" i="2" s="1"/>
  <c r="H483" i="2" a="1"/>
  <c r="H483" i="2" s="1"/>
  <c r="I484" i="2" a="1"/>
  <c r="I484" i="2" s="1"/>
  <c r="G486" i="2" a="1"/>
  <c r="G486" i="2" s="1"/>
  <c r="H487" i="2" a="1"/>
  <c r="H487" i="2" s="1"/>
  <c r="I488" i="2" a="1"/>
  <c r="I488" i="2" s="1"/>
  <c r="G490" i="2" a="1"/>
  <c r="G490" i="2" s="1"/>
  <c r="H492" i="2" a="1"/>
  <c r="H492" i="2" s="1"/>
  <c r="H493" i="2" a="1"/>
  <c r="H493" i="2" s="1"/>
  <c r="I494" i="2" a="1"/>
  <c r="I494" i="2" s="1"/>
  <c r="G496" i="2" a="1"/>
  <c r="G496" i="2" s="1"/>
  <c r="H497" i="2" a="1"/>
  <c r="H497" i="2" s="1"/>
  <c r="I498" i="2" a="1"/>
  <c r="I498" i="2" s="1"/>
  <c r="G500" i="2" a="1"/>
  <c r="G500" i="2" s="1"/>
  <c r="H501" i="2" a="1"/>
  <c r="H501" i="2" s="1"/>
  <c r="H502" i="2" a="1"/>
  <c r="H502" i="2" s="1"/>
  <c r="I503" i="2" a="1"/>
  <c r="I503" i="2" s="1"/>
  <c r="G505" i="2" a="1"/>
  <c r="G505" i="2" s="1"/>
  <c r="H506" i="2" a="1"/>
  <c r="H506" i="2" s="1"/>
  <c r="I507" i="2" a="1"/>
  <c r="I507" i="2" s="1"/>
  <c r="G509" i="2" a="1"/>
  <c r="G509" i="2" s="1"/>
  <c r="H510" i="2" a="1"/>
  <c r="H510" i="2" s="1"/>
  <c r="I511" i="2" a="1"/>
  <c r="I511" i="2" s="1"/>
  <c r="G513" i="2" a="1"/>
  <c r="G513" i="2" s="1"/>
  <c r="G514" i="2" a="1"/>
  <c r="G514" i="2" s="1"/>
  <c r="H516" i="2" a="1"/>
  <c r="H516" i="2" s="1"/>
  <c r="H517" i="2" a="1"/>
  <c r="H517" i="2" s="1"/>
  <c r="I518" i="2" a="1"/>
  <c r="I518" i="2" s="1"/>
  <c r="G520" i="2" a="1"/>
  <c r="G520" i="2" s="1"/>
  <c r="H521" i="2" a="1"/>
  <c r="H521" i="2" s="1"/>
  <c r="I522" i="2" a="1"/>
  <c r="I522" i="2" s="1"/>
  <c r="G524" i="2" a="1"/>
  <c r="G524" i="2" s="1"/>
  <c r="H525" i="2" a="1"/>
  <c r="H525" i="2" s="1"/>
  <c r="I526" i="2" a="1"/>
  <c r="I526" i="2" s="1"/>
  <c r="G528" i="2" a="1"/>
  <c r="G528" i="2" s="1"/>
  <c r="H529" i="2" a="1"/>
  <c r="H529" i="2" s="1"/>
  <c r="I530" i="2" a="1"/>
  <c r="I530" i="2" s="1"/>
  <c r="I531" i="2" a="1"/>
  <c r="I531" i="2" s="1"/>
  <c r="G533" i="2" a="1"/>
  <c r="G533" i="2" s="1"/>
  <c r="G534" i="2" a="1"/>
  <c r="G534" i="2" s="1"/>
  <c r="H535" i="2" a="1"/>
  <c r="H535" i="2" s="1"/>
  <c r="I536" i="2" a="1"/>
  <c r="I536" i="2" s="1"/>
  <c r="G539" i="2" a="1"/>
  <c r="G539" i="2" s="1"/>
  <c r="H540" i="2" a="1"/>
  <c r="H540" i="2" s="1"/>
  <c r="I541" i="2" a="1"/>
  <c r="I541" i="2" s="1"/>
  <c r="G543" i="2" a="1"/>
  <c r="G543" i="2" s="1"/>
  <c r="H544" i="2" a="1"/>
  <c r="H544" i="2" s="1"/>
  <c r="I545" i="2" a="1"/>
  <c r="I545" i="2" s="1"/>
  <c r="G547" i="2" a="1"/>
  <c r="G547" i="2" s="1"/>
  <c r="H548" i="2" a="1"/>
  <c r="H548" i="2" s="1"/>
  <c r="I549" i="2" a="1"/>
  <c r="I549" i="2" s="1"/>
  <c r="G551" i="2" a="1"/>
  <c r="G551" i="2" s="1"/>
  <c r="H552" i="2" a="1"/>
  <c r="H552" i="2" s="1"/>
  <c r="I553" i="2" a="1"/>
  <c r="I553" i="2" s="1"/>
  <c r="G555" i="2" a="1"/>
  <c r="G555" i="2" s="1"/>
  <c r="H556" i="2" a="1"/>
  <c r="H556" i="2" s="1"/>
  <c r="I557" i="2" a="1"/>
  <c r="I557" i="2" s="1"/>
  <c r="G559" i="2" a="1"/>
  <c r="G559" i="2" s="1"/>
  <c r="H560" i="2" a="1"/>
  <c r="H560" i="2" s="1"/>
  <c r="I561" i="2" a="1"/>
  <c r="I561" i="2" s="1"/>
  <c r="G563" i="2" a="1"/>
  <c r="G563" i="2" s="1"/>
  <c r="H564" i="2" a="1"/>
  <c r="H564" i="2" s="1"/>
  <c r="I565" i="2" a="1"/>
  <c r="I565" i="2" s="1"/>
  <c r="G567" i="2" a="1"/>
  <c r="G567" i="2" s="1"/>
  <c r="H568" i="2" a="1"/>
  <c r="H568" i="2" s="1"/>
  <c r="I569" i="2" a="1"/>
  <c r="I569" i="2" s="1"/>
  <c r="G571" i="2" a="1"/>
  <c r="G571" i="2" s="1"/>
  <c r="H572" i="2" a="1"/>
  <c r="H572" i="2" s="1"/>
  <c r="I573" i="2" a="1"/>
  <c r="I573" i="2" s="1"/>
  <c r="G575" i="2" a="1"/>
  <c r="G575" i="2" s="1"/>
  <c r="H576" i="2" a="1"/>
  <c r="H576" i="2" s="1"/>
  <c r="I577" i="2" a="1"/>
  <c r="I577" i="2" s="1"/>
  <c r="G579" i="2" a="1"/>
  <c r="G579" i="2" s="1"/>
  <c r="H580" i="2" a="1"/>
  <c r="H580" i="2" s="1"/>
  <c r="I581" i="2" a="1"/>
  <c r="I581" i="2" s="1"/>
  <c r="G583" i="2" a="1"/>
  <c r="G583" i="2" s="1"/>
  <c r="H584" i="2" a="1"/>
  <c r="H584" i="2" s="1"/>
  <c r="I585" i="2" a="1"/>
  <c r="I585" i="2" s="1"/>
  <c r="G587" i="2" a="1"/>
  <c r="G587" i="2" s="1"/>
  <c r="H588" i="2" a="1"/>
  <c r="H588" i="2" s="1"/>
  <c r="I589" i="2" a="1"/>
  <c r="I589" i="2" s="1"/>
  <c r="G591" i="2" a="1"/>
  <c r="G591" i="2" s="1"/>
  <c r="H592" i="2" a="1"/>
  <c r="H592" i="2" s="1"/>
  <c r="I132" i="2" a="1"/>
  <c r="I132" i="2" s="1"/>
  <c r="G179" i="2" a="1"/>
  <c r="G179" i="2" s="1"/>
  <c r="I234" i="2" a="1"/>
  <c r="I234" i="2" s="1"/>
  <c r="I248" i="2" a="1"/>
  <c r="I248" i="2" s="1"/>
  <c r="H257" i="2" a="1"/>
  <c r="H257" i="2" s="1"/>
  <c r="I266" i="2" a="1"/>
  <c r="I266" i="2" s="1"/>
  <c r="H279" i="2" a="1"/>
  <c r="H279" i="2" s="1"/>
  <c r="I285" i="2" a="1"/>
  <c r="I285" i="2" s="1"/>
  <c r="G299" i="2" a="1"/>
  <c r="G299" i="2" s="1"/>
  <c r="I307" i="2" a="1"/>
  <c r="I307" i="2" s="1"/>
  <c r="H311" i="2" a="1"/>
  <c r="H311" i="2" s="1"/>
  <c r="H316" i="2" a="1"/>
  <c r="H316" i="2" s="1"/>
  <c r="I320" i="2" a="1"/>
  <c r="I320" i="2" s="1"/>
  <c r="I324" i="2" a="1"/>
  <c r="I324" i="2" s="1"/>
  <c r="G329" i="2" a="1"/>
  <c r="G329" i="2" s="1"/>
  <c r="G333" i="2" a="1"/>
  <c r="G333" i="2" s="1"/>
  <c r="H337" i="2" a="1"/>
  <c r="H337" i="2" s="1"/>
  <c r="G342" i="2" a="1"/>
  <c r="G342" i="2" s="1"/>
  <c r="H346" i="2" a="1"/>
  <c r="H346" i="2" s="1"/>
  <c r="I350" i="2" a="1"/>
  <c r="I350" i="2" s="1"/>
  <c r="G355" i="2" a="1"/>
  <c r="G355" i="2" s="1"/>
  <c r="I363" i="2" a="1"/>
  <c r="I363" i="2" s="1"/>
  <c r="I367" i="2" a="1"/>
  <c r="I367" i="2" s="1"/>
  <c r="I372" i="2" a="1"/>
  <c r="I372" i="2" s="1"/>
  <c r="H377" i="2" a="1"/>
  <c r="H377" i="2" s="1"/>
  <c r="G382" i="2" a="1"/>
  <c r="G382" i="2" s="1"/>
  <c r="H386" i="2" a="1"/>
  <c r="H386" i="2" s="1"/>
  <c r="I391" i="2" a="1"/>
  <c r="I391" i="2" s="1"/>
  <c r="G397" i="2" a="1"/>
  <c r="G397" i="2" s="1"/>
  <c r="H402" i="2" a="1"/>
  <c r="H402" i="2" s="1"/>
  <c r="I407" i="2" a="1"/>
  <c r="I407" i="2" s="1"/>
  <c r="G413" i="2" a="1"/>
  <c r="G413" i="2" s="1"/>
  <c r="G418" i="2" a="1"/>
  <c r="G418" i="2" s="1"/>
  <c r="I420" i="2" a="1"/>
  <c r="I420" i="2" s="1"/>
  <c r="H423" i="2" a="1"/>
  <c r="H423" i="2" s="1"/>
  <c r="G426" i="2" a="1"/>
  <c r="G426" i="2" s="1"/>
  <c r="I428" i="2" a="1"/>
  <c r="I428" i="2" s="1"/>
  <c r="H431" i="2" a="1"/>
  <c r="H431" i="2" s="1"/>
  <c r="H433" i="2" a="1"/>
  <c r="H433" i="2" s="1"/>
  <c r="I434" i="2" a="1"/>
  <c r="I434" i="2" s="1"/>
  <c r="G436" i="2" a="1"/>
  <c r="G436" i="2" s="1"/>
  <c r="H437" i="2" a="1"/>
  <c r="H437" i="2" s="1"/>
  <c r="I438" i="2" a="1"/>
  <c r="I438" i="2" s="1"/>
  <c r="G440" i="2" a="1"/>
  <c r="G440" i="2" s="1"/>
  <c r="H441" i="2" a="1"/>
  <c r="H441" i="2" s="1"/>
  <c r="I442" i="2" a="1"/>
  <c r="I442" i="2" s="1"/>
  <c r="G444" i="2" a="1"/>
  <c r="G444" i="2" s="1"/>
  <c r="H445" i="2" a="1"/>
  <c r="H445" i="2" s="1"/>
  <c r="H446" i="2" a="1"/>
  <c r="H446" i="2" s="1"/>
  <c r="I447" i="2" a="1"/>
  <c r="I447" i="2" s="1"/>
  <c r="G449" i="2" a="1"/>
  <c r="G449" i="2" s="1"/>
  <c r="H450" i="2" a="1"/>
  <c r="H450" i="2" s="1"/>
  <c r="H451" i="2" a="1"/>
  <c r="H451" i="2" s="1"/>
  <c r="I452" i="2" a="1"/>
  <c r="I452" i="2" s="1"/>
  <c r="G454" i="2" a="1"/>
  <c r="G454" i="2" s="1"/>
  <c r="H456" i="2" a="1"/>
  <c r="H456" i="2" s="1"/>
  <c r="I457" i="2" a="1"/>
  <c r="I457" i="2" s="1"/>
  <c r="G459" i="2" a="1"/>
  <c r="G459" i="2" s="1"/>
  <c r="G460" i="2" a="1"/>
  <c r="G460" i="2" s="1"/>
  <c r="H461" i="2" a="1"/>
  <c r="H461" i="2" s="1"/>
  <c r="H462" i="2" a="1"/>
  <c r="H462" i="2" s="1"/>
  <c r="H463" i="2" a="1"/>
  <c r="H463" i="2" s="1"/>
  <c r="I465" i="2" a="1"/>
  <c r="I465" i="2" s="1"/>
  <c r="G467" i="2" a="1"/>
  <c r="G467" i="2" s="1"/>
  <c r="G468" i="2" a="1"/>
  <c r="G468" i="2" s="1"/>
  <c r="H469" i="2" a="1"/>
  <c r="H469" i="2" s="1"/>
  <c r="I470" i="2" a="1"/>
  <c r="I470" i="2" s="1"/>
  <c r="G472" i="2" a="1"/>
  <c r="G472" i="2" s="1"/>
  <c r="H473" i="2" a="1"/>
  <c r="H473" i="2" s="1"/>
  <c r="I474" i="2" a="1"/>
  <c r="I474" i="2" s="1"/>
  <c r="I475" i="2" a="1"/>
  <c r="I475" i="2" s="1"/>
  <c r="G477" i="2" a="1"/>
  <c r="G477" i="2" s="1"/>
  <c r="H478" i="2" a="1"/>
  <c r="H478" i="2" s="1"/>
  <c r="I479" i="2" a="1"/>
  <c r="I479" i="2" s="1"/>
  <c r="G481" i="2" a="1"/>
  <c r="G481" i="2" s="1"/>
  <c r="H482" i="2" a="1"/>
  <c r="H482" i="2" s="1"/>
  <c r="I483" i="2" a="1"/>
  <c r="I483" i="2" s="1"/>
  <c r="G485" i="2" a="1"/>
  <c r="G485" i="2" s="1"/>
  <c r="H486" i="2" a="1"/>
  <c r="H486" i="2" s="1"/>
  <c r="I487" i="2" a="1"/>
  <c r="I487" i="2" s="1"/>
  <c r="G489" i="2" a="1"/>
  <c r="G489" i="2" s="1"/>
  <c r="H490" i="2" a="1"/>
  <c r="H490" i="2" s="1"/>
  <c r="H491" i="2" a="1"/>
  <c r="H491" i="2" s="1"/>
  <c r="I493" i="2" a="1"/>
  <c r="I493" i="2" s="1"/>
  <c r="G495" i="2" a="1"/>
  <c r="G495" i="2" s="1"/>
  <c r="H496" i="2" a="1"/>
  <c r="H496" i="2" s="1"/>
  <c r="I497" i="2" a="1"/>
  <c r="I497" i="2" s="1"/>
  <c r="G499" i="2" a="1"/>
  <c r="G499" i="2" s="1"/>
  <c r="H500" i="2" a="1"/>
  <c r="H500" i="2" s="1"/>
  <c r="I501" i="2" a="1"/>
  <c r="I501" i="2" s="1"/>
  <c r="I502" i="2" a="1"/>
  <c r="I502" i="2" s="1"/>
  <c r="G504" i="2" a="1"/>
  <c r="G504" i="2" s="1"/>
  <c r="H505" i="2" a="1"/>
  <c r="H505" i="2" s="1"/>
  <c r="I506" i="2" a="1"/>
  <c r="I506" i="2" s="1"/>
  <c r="G508" i="2" a="1"/>
  <c r="G508" i="2" s="1"/>
  <c r="H509" i="2" a="1"/>
  <c r="H509" i="2" s="1"/>
  <c r="I510" i="2" a="1"/>
  <c r="I510" i="2" s="1"/>
  <c r="G512" i="2" a="1"/>
  <c r="G512" i="2" s="1"/>
  <c r="H513" i="2" a="1"/>
  <c r="H513" i="2" s="1"/>
  <c r="H514" i="2" a="1"/>
  <c r="H514" i="2" s="1"/>
  <c r="H515" i="2" a="1"/>
  <c r="H515" i="2" s="1"/>
  <c r="I517" i="2" a="1"/>
  <c r="I517" i="2" s="1"/>
  <c r="G519" i="2" a="1"/>
  <c r="G519" i="2" s="1"/>
  <c r="H520" i="2" a="1"/>
  <c r="H520" i="2" s="1"/>
  <c r="I521" i="2" a="1"/>
  <c r="I521" i="2" s="1"/>
  <c r="G523" i="2" a="1"/>
  <c r="G523" i="2" s="1"/>
  <c r="H524" i="2" a="1"/>
  <c r="H524" i="2" s="1"/>
  <c r="I525" i="2" a="1"/>
  <c r="I525" i="2" s="1"/>
  <c r="G527" i="2" a="1"/>
  <c r="G527" i="2" s="1"/>
  <c r="H528" i="2" a="1"/>
  <c r="H528" i="2" s="1"/>
  <c r="I529" i="2" a="1"/>
  <c r="I529" i="2" s="1"/>
  <c r="G531" i="2" a="1"/>
  <c r="G531" i="2" s="1"/>
  <c r="G532" i="2" a="1"/>
  <c r="G532" i="2" s="1"/>
  <c r="H533" i="2" a="1"/>
  <c r="H533" i="2" s="1"/>
  <c r="H534" i="2" a="1"/>
  <c r="H534" i="2" s="1"/>
  <c r="I535" i="2" a="1"/>
  <c r="I535" i="2" s="1"/>
  <c r="G537" i="2" a="1"/>
  <c r="G537" i="2" s="1"/>
  <c r="G538" i="2" a="1"/>
  <c r="G538" i="2" s="1"/>
  <c r="H539" i="2" a="1"/>
  <c r="H539" i="2" s="1"/>
  <c r="I540" i="2" a="1"/>
  <c r="I540" i="2" s="1"/>
  <c r="G542" i="2" a="1"/>
  <c r="G542" i="2" s="1"/>
  <c r="H543" i="2" a="1"/>
  <c r="H543" i="2" s="1"/>
  <c r="I544" i="2" a="1"/>
  <c r="I544" i="2" s="1"/>
  <c r="G546" i="2" a="1"/>
  <c r="G546" i="2" s="1"/>
  <c r="H547" i="2" a="1"/>
  <c r="H547" i="2" s="1"/>
  <c r="I548" i="2" a="1"/>
  <c r="I548" i="2" s="1"/>
  <c r="G550" i="2" a="1"/>
  <c r="G550" i="2" s="1"/>
  <c r="H551" i="2" a="1"/>
  <c r="H551" i="2" s="1"/>
  <c r="I552" i="2" a="1"/>
  <c r="I552" i="2" s="1"/>
  <c r="G554" i="2" a="1"/>
  <c r="G554" i="2" s="1"/>
  <c r="H555" i="2" a="1"/>
  <c r="H555" i="2" s="1"/>
  <c r="I556" i="2" a="1"/>
  <c r="I556" i="2" s="1"/>
  <c r="G558" i="2" a="1"/>
  <c r="G558" i="2" s="1"/>
  <c r="H559" i="2" a="1"/>
  <c r="H559" i="2" s="1"/>
  <c r="I560" i="2" a="1"/>
  <c r="I560" i="2" s="1"/>
  <c r="G562" i="2" a="1"/>
  <c r="G562" i="2" s="1"/>
  <c r="H563" i="2" a="1"/>
  <c r="H563" i="2" s="1"/>
  <c r="I564" i="2" a="1"/>
  <c r="I564" i="2" s="1"/>
  <c r="G566" i="2" a="1"/>
  <c r="G566" i="2" s="1"/>
  <c r="H567" i="2" a="1"/>
  <c r="H567" i="2" s="1"/>
  <c r="I568" i="2" a="1"/>
  <c r="I568" i="2" s="1"/>
  <c r="G570" i="2" a="1"/>
  <c r="G570" i="2" s="1"/>
  <c r="H571" i="2" a="1"/>
  <c r="H571" i="2" s="1"/>
  <c r="I572" i="2" a="1"/>
  <c r="I572" i="2" s="1"/>
  <c r="G574" i="2" a="1"/>
  <c r="G574" i="2" s="1"/>
  <c r="H575" i="2" a="1"/>
  <c r="H575" i="2" s="1"/>
  <c r="I576" i="2" a="1"/>
  <c r="I576" i="2" s="1"/>
  <c r="G578" i="2" a="1"/>
  <c r="G578" i="2" s="1"/>
  <c r="H579" i="2" a="1"/>
  <c r="H579" i="2" s="1"/>
  <c r="I580" i="2" a="1"/>
  <c r="I580" i="2" s="1"/>
  <c r="G582" i="2" a="1"/>
  <c r="G582" i="2" s="1"/>
  <c r="H583" i="2" a="1"/>
  <c r="H583" i="2" s="1"/>
  <c r="I584" i="2" a="1"/>
  <c r="I584" i="2" s="1"/>
  <c r="G586" i="2" a="1"/>
  <c r="G586" i="2" s="1"/>
  <c r="H587" i="2" a="1"/>
  <c r="H587" i="2" s="1"/>
  <c r="I588" i="2" a="1"/>
  <c r="I588" i="2" s="1"/>
  <c r="G590" i="2" a="1"/>
  <c r="G590" i="2" s="1"/>
  <c r="H591" i="2" a="1"/>
  <c r="H591" i="2" s="1"/>
  <c r="I592" i="2" a="1"/>
  <c r="I592" i="2" s="1"/>
  <c r="G86" i="2" a="1"/>
  <c r="G86" i="2" s="1"/>
  <c r="G160" i="2" a="1"/>
  <c r="G160" i="2" s="1"/>
  <c r="H226" i="2" a="1"/>
  <c r="H226" i="2" s="1"/>
  <c r="H243" i="2" a="1"/>
  <c r="H243" i="2" s="1"/>
  <c r="G253" i="2" a="1"/>
  <c r="G253" i="2" s="1"/>
  <c r="G262" i="2" a="1"/>
  <c r="G262" i="2" s="1"/>
  <c r="G271" i="2" a="1"/>
  <c r="G271" i="2" s="1"/>
  <c r="I276" i="2" a="1"/>
  <c r="I276" i="2" s="1"/>
  <c r="I282" i="2" a="1"/>
  <c r="I282" i="2" s="1"/>
  <c r="I287" i="2" a="1"/>
  <c r="I287" i="2" s="1"/>
  <c r="G292" i="2" a="1"/>
  <c r="G292" i="2" s="1"/>
  <c r="I296" i="2" a="1"/>
  <c r="I296" i="2" s="1"/>
  <c r="G301" i="2" a="1"/>
  <c r="G301" i="2" s="1"/>
  <c r="H305" i="2" a="1"/>
  <c r="H305" i="2" s="1"/>
  <c r="I309" i="2" a="1"/>
  <c r="I309" i="2" s="1"/>
  <c r="I322" i="2" a="1"/>
  <c r="I322" i="2" s="1"/>
  <c r="G327" i="2" a="1"/>
  <c r="G327" i="2" s="1"/>
  <c r="G331" i="2" a="1"/>
  <c r="G331" i="2" s="1"/>
  <c r="H344" i="2" a="1"/>
  <c r="H344" i="2" s="1"/>
  <c r="G353" i="2" a="1"/>
  <c r="G353" i="2" s="1"/>
  <c r="G357" i="2" a="1"/>
  <c r="G357" i="2" s="1"/>
  <c r="H361" i="2" a="1"/>
  <c r="H361" i="2" s="1"/>
  <c r="I365" i="2" a="1"/>
  <c r="I365" i="2" s="1"/>
  <c r="H370" i="2" a="1"/>
  <c r="H370" i="2" s="1"/>
  <c r="G375" i="2" a="1"/>
  <c r="G375" i="2" s="1"/>
  <c r="I379" i="2" a="1"/>
  <c r="I379" i="2" s="1"/>
  <c r="G384" i="2" a="1"/>
  <c r="G384" i="2" s="1"/>
  <c r="G389" i="2" a="1"/>
  <c r="G389" i="2" s="1"/>
  <c r="H394" i="2" a="1"/>
  <c r="H394" i="2" s="1"/>
  <c r="I399" i="2" a="1"/>
  <c r="I399" i="2" s="1"/>
  <c r="G405" i="2" a="1"/>
  <c r="G405" i="2" s="1"/>
  <c r="H410" i="2" a="1"/>
  <c r="H410" i="2" s="1"/>
  <c r="I415" i="2" a="1"/>
  <c r="I415" i="2" s="1"/>
  <c r="H419" i="2" a="1"/>
  <c r="H419" i="2" s="1"/>
  <c r="G422" i="2" a="1"/>
  <c r="G422" i="2" s="1"/>
  <c r="I424" i="2" a="1"/>
  <c r="I424" i="2" s="1"/>
  <c r="H427" i="2" a="1"/>
  <c r="H427" i="2" s="1"/>
  <c r="G430" i="2" a="1"/>
  <c r="G430" i="2" s="1"/>
  <c r="I432" i="2" a="1"/>
  <c r="I432" i="2" s="1"/>
  <c r="G434" i="2" a="1"/>
  <c r="G434" i="2" s="1"/>
  <c r="H435" i="2" a="1"/>
  <c r="H435" i="2" s="1"/>
  <c r="I436" i="2" a="1"/>
  <c r="I436" i="2" s="1"/>
  <c r="G438" i="2" a="1"/>
  <c r="G438" i="2" s="1"/>
  <c r="H439" i="2" a="1"/>
  <c r="H439" i="2" s="1"/>
  <c r="I440" i="2" a="1"/>
  <c r="I440" i="2" s="1"/>
  <c r="G442" i="2" a="1"/>
  <c r="G442" i="2" s="1"/>
  <c r="H443" i="2" a="1"/>
  <c r="H443" i="2" s="1"/>
  <c r="I444" i="2" a="1"/>
  <c r="I444" i="2" s="1"/>
  <c r="G447" i="2" a="1"/>
  <c r="G447" i="2" s="1"/>
  <c r="H448" i="2" a="1"/>
  <c r="H448" i="2" s="1"/>
  <c r="I449" i="2" a="1"/>
  <c r="I449" i="2" s="1"/>
  <c r="G451" i="2" a="1"/>
  <c r="G451" i="2" s="1"/>
  <c r="G452" i="2" a="1"/>
  <c r="G452" i="2" s="1"/>
  <c r="H453" i="2" a="1"/>
  <c r="H453" i="2" s="1"/>
  <c r="I454" i="2" a="1"/>
  <c r="I454" i="2" s="1"/>
  <c r="I455" i="2" a="1"/>
  <c r="I455" i="2" s="1"/>
  <c r="G457" i="2" a="1"/>
  <c r="G457" i="2" s="1"/>
  <c r="H458" i="2" a="1"/>
  <c r="H458" i="2" s="1"/>
  <c r="H459" i="2" a="1"/>
  <c r="H459" i="2" s="1"/>
  <c r="I460" i="2" a="1"/>
  <c r="I460" i="2" s="1"/>
  <c r="G463" i="2" a="1"/>
  <c r="G463" i="2" s="1"/>
  <c r="G464" i="2" a="1"/>
  <c r="G464" i="2" s="1"/>
  <c r="G465" i="2" a="1"/>
  <c r="G465" i="2" s="1"/>
  <c r="H466" i="2" a="1"/>
  <c r="H466" i="2" s="1"/>
  <c r="H467" i="2" a="1"/>
  <c r="H467" i="2" s="1"/>
  <c r="I468" i="2" a="1"/>
  <c r="I468" i="2" s="1"/>
  <c r="G470" i="2" a="1"/>
  <c r="G470" i="2" s="1"/>
  <c r="H471" i="2" a="1"/>
  <c r="H471" i="2" s="1"/>
  <c r="I472" i="2" a="1"/>
  <c r="I472" i="2" s="1"/>
  <c r="G474" i="2" a="1"/>
  <c r="G474" i="2" s="1"/>
  <c r="H476" i="2" a="1"/>
  <c r="H476" i="2" s="1"/>
  <c r="I477" i="2" a="1"/>
  <c r="I477" i="2" s="1"/>
  <c r="G479" i="2" a="1"/>
  <c r="G479" i="2" s="1"/>
  <c r="H480" i="2" a="1"/>
  <c r="H480" i="2" s="1"/>
  <c r="I481" i="2" a="1"/>
  <c r="I481" i="2" s="1"/>
  <c r="G483" i="2" a="1"/>
  <c r="G483" i="2" s="1"/>
  <c r="H484" i="2" a="1"/>
  <c r="H484" i="2" s="1"/>
  <c r="I485" i="2" a="1"/>
  <c r="I485" i="2" s="1"/>
  <c r="G487" i="2" a="1"/>
  <c r="G487" i="2" s="1"/>
  <c r="H488" i="2" a="1"/>
  <c r="H488" i="2" s="1"/>
  <c r="I489" i="2" a="1"/>
  <c r="I489" i="2" s="1"/>
  <c r="G491" i="2" a="1"/>
  <c r="G491" i="2" s="1"/>
  <c r="G492" i="2" a="1"/>
  <c r="G492" i="2" s="1"/>
  <c r="G493" i="2" a="1"/>
  <c r="G493" i="2" s="1"/>
  <c r="H494" i="2" a="1"/>
  <c r="H494" i="2" s="1"/>
  <c r="I495" i="2" a="1"/>
  <c r="I495" i="2" s="1"/>
  <c r="G497" i="2" a="1"/>
  <c r="G497" i="2" s="1"/>
  <c r="H498" i="2" a="1"/>
  <c r="H498" i="2" s="1"/>
  <c r="I499" i="2" a="1"/>
  <c r="I499" i="2" s="1"/>
  <c r="G501" i="2" a="1"/>
  <c r="G501" i="2" s="1"/>
  <c r="G502" i="2" a="1"/>
  <c r="G502" i="2" s="1"/>
  <c r="H503" i="2" a="1"/>
  <c r="H503" i="2" s="1"/>
  <c r="I504" i="2" a="1"/>
  <c r="I504" i="2" s="1"/>
  <c r="G506" i="2" a="1"/>
  <c r="G506" i="2" s="1"/>
  <c r="H507" i="2" a="1"/>
  <c r="H507" i="2" s="1"/>
  <c r="I508" i="2" a="1"/>
  <c r="I508" i="2" s="1"/>
  <c r="G510" i="2" a="1"/>
  <c r="G510" i="2" s="1"/>
  <c r="H511" i="2" a="1"/>
  <c r="H511" i="2" s="1"/>
  <c r="I512" i="2" a="1"/>
  <c r="I512" i="2" s="1"/>
  <c r="G515" i="2" a="1"/>
  <c r="G515" i="2" s="1"/>
  <c r="G516" i="2" a="1"/>
  <c r="G516" i="2" s="1"/>
  <c r="G517" i="2" a="1"/>
  <c r="G517" i="2" s="1"/>
  <c r="H518" i="2" a="1"/>
  <c r="H518" i="2" s="1"/>
  <c r="I519" i="2" a="1"/>
  <c r="I519" i="2" s="1"/>
  <c r="G521" i="2" a="1"/>
  <c r="G521" i="2" s="1"/>
  <c r="H522" i="2" a="1"/>
  <c r="H522" i="2" s="1"/>
  <c r="I523" i="2" a="1"/>
  <c r="I523" i="2" s="1"/>
  <c r="G525" i="2" a="1"/>
  <c r="G525" i="2" s="1"/>
  <c r="H526" i="2" a="1"/>
  <c r="H526" i="2" s="1"/>
  <c r="I527" i="2" a="1"/>
  <c r="I527" i="2" s="1"/>
  <c r="G529" i="2" a="1"/>
  <c r="G529" i="2" s="1"/>
  <c r="H530" i="2" a="1"/>
  <c r="H530" i="2" s="1"/>
  <c r="H531" i="2" a="1"/>
  <c r="H531" i="2" s="1"/>
  <c r="I532" i="2" a="1"/>
  <c r="I532" i="2" s="1"/>
  <c r="G535" i="2" a="1"/>
  <c r="G535" i="2" s="1"/>
  <c r="H536" i="2" a="1"/>
  <c r="H536" i="2" s="1"/>
  <c r="I537" i="2" a="1"/>
  <c r="I537" i="2" s="1"/>
  <c r="I538" i="2" a="1"/>
  <c r="I538" i="2" s="1"/>
  <c r="G540" i="2" a="1"/>
  <c r="G540" i="2" s="1"/>
  <c r="H541" i="2" a="1"/>
  <c r="H541" i="2" s="1"/>
  <c r="I542" i="2" a="1"/>
  <c r="I542" i="2" s="1"/>
  <c r="G544" i="2" a="1"/>
  <c r="G544" i="2" s="1"/>
  <c r="H545" i="2" a="1"/>
  <c r="H545" i="2" s="1"/>
  <c r="I546" i="2" a="1"/>
  <c r="I546" i="2" s="1"/>
  <c r="G548" i="2" a="1"/>
  <c r="G548" i="2" s="1"/>
  <c r="H549" i="2" a="1"/>
  <c r="H549" i="2" s="1"/>
  <c r="I550" i="2" a="1"/>
  <c r="I550" i="2" s="1"/>
  <c r="G552" i="2" a="1"/>
  <c r="G552" i="2" s="1"/>
  <c r="H553" i="2" a="1"/>
  <c r="H553" i="2" s="1"/>
  <c r="I554" i="2" a="1"/>
  <c r="I554" i="2" s="1"/>
  <c r="G556" i="2" a="1"/>
  <c r="G556" i="2" s="1"/>
  <c r="H557" i="2" a="1"/>
  <c r="H557" i="2" s="1"/>
  <c r="I558" i="2" a="1"/>
  <c r="I558" i="2" s="1"/>
  <c r="G560" i="2" a="1"/>
  <c r="G560" i="2" s="1"/>
  <c r="H561" i="2" a="1"/>
  <c r="H561" i="2" s="1"/>
  <c r="I562" i="2" a="1"/>
  <c r="I562" i="2" s="1"/>
  <c r="G564" i="2" a="1"/>
  <c r="G564" i="2" s="1"/>
  <c r="H565" i="2" a="1"/>
  <c r="H565" i="2" s="1"/>
  <c r="I566" i="2" a="1"/>
  <c r="I566" i="2" s="1"/>
  <c r="G568" i="2" a="1"/>
  <c r="G568" i="2" s="1"/>
  <c r="H569" i="2" a="1"/>
  <c r="H569" i="2" s="1"/>
  <c r="I570" i="2" a="1"/>
  <c r="I570" i="2" s="1"/>
  <c r="G572" i="2" a="1"/>
  <c r="G572" i="2" s="1"/>
  <c r="H573" i="2" a="1"/>
  <c r="H573" i="2" s="1"/>
  <c r="I574" i="2" a="1"/>
  <c r="I574" i="2" s="1"/>
  <c r="G576" i="2" a="1"/>
  <c r="G576" i="2" s="1"/>
  <c r="H577" i="2" a="1"/>
  <c r="H577" i="2" s="1"/>
  <c r="I578" i="2" a="1"/>
  <c r="I578" i="2" s="1"/>
  <c r="G580" i="2" a="1"/>
  <c r="G580" i="2" s="1"/>
  <c r="H581" i="2" a="1"/>
  <c r="H581" i="2" s="1"/>
  <c r="I582" i="2" a="1"/>
  <c r="I582" i="2" s="1"/>
  <c r="G584" i="2" a="1"/>
  <c r="G584" i="2" s="1"/>
  <c r="H585" i="2" a="1"/>
  <c r="H585" i="2" s="1"/>
  <c r="I586" i="2" a="1"/>
  <c r="I586" i="2" s="1"/>
  <c r="G588" i="2" a="1"/>
  <c r="G588" i="2" s="1"/>
  <c r="H589" i="2" a="1"/>
  <c r="H589" i="2" s="1"/>
  <c r="I590" i="2" a="1"/>
  <c r="I590" i="2" s="1"/>
  <c r="G592" i="2" a="1"/>
  <c r="G592" i="2" s="1"/>
  <c r="H594" i="2" a="1"/>
  <c r="H594" i="2" s="1"/>
  <c r="I595" i="2" a="1"/>
  <c r="I595" i="2" s="1"/>
  <c r="G597" i="2" a="1"/>
  <c r="G597" i="2" s="1"/>
  <c r="H598" i="2" a="1"/>
  <c r="H598" i="2" s="1"/>
  <c r="I599" i="2" a="1"/>
  <c r="I599" i="2" s="1"/>
  <c r="G601" i="2" a="1"/>
  <c r="G601" i="2" s="1"/>
  <c r="H602" i="2" a="1"/>
  <c r="H602" i="2" s="1"/>
  <c r="H603" i="2" a="1"/>
  <c r="H603" i="2" s="1"/>
  <c r="I604" i="2" a="1"/>
  <c r="I604" i="2" s="1"/>
  <c r="G606" i="2" a="1"/>
  <c r="G606" i="2" s="1"/>
  <c r="H607" i="2" a="1"/>
  <c r="H607" i="2" s="1"/>
  <c r="I608" i="2" a="1"/>
  <c r="I608" i="2" s="1"/>
  <c r="G185" i="2" a="1"/>
  <c r="G185" i="2" s="1"/>
  <c r="G251" i="2" a="1"/>
  <c r="G251" i="2" s="1"/>
  <c r="H281" i="2" a="1"/>
  <c r="H281" i="2" s="1"/>
  <c r="G300" i="2" a="1"/>
  <c r="G300" i="2" s="1"/>
  <c r="H317" i="2" a="1"/>
  <c r="H317" i="2" s="1"/>
  <c r="H334" i="2" a="1"/>
  <c r="H334" i="2" s="1"/>
  <c r="I351" i="2" a="1"/>
  <c r="I351" i="2" s="1"/>
  <c r="G369" i="2" a="1"/>
  <c r="G369" i="2" s="1"/>
  <c r="I387" i="2" a="1"/>
  <c r="I387" i="2" s="1"/>
  <c r="G409" i="2" a="1"/>
  <c r="G409" i="2" s="1"/>
  <c r="I423" i="2" a="1"/>
  <c r="I423" i="2" s="1"/>
  <c r="I433" i="2" a="1"/>
  <c r="I433" i="2" s="1"/>
  <c r="G439" i="2" a="1"/>
  <c r="G439" i="2" s="1"/>
  <c r="H444" i="2" a="1"/>
  <c r="H444" i="2" s="1"/>
  <c r="H449" i="2" a="1"/>
  <c r="H449" i="2" s="1"/>
  <c r="H454" i="2" a="1"/>
  <c r="H454" i="2" s="1"/>
  <c r="I463" i="2" a="1"/>
  <c r="I463" i="2" s="1"/>
  <c r="H468" i="2" a="1"/>
  <c r="H468" i="2" s="1"/>
  <c r="I473" i="2" a="1"/>
  <c r="I473" i="2" s="1"/>
  <c r="I478" i="2" a="1"/>
  <c r="I478" i="2" s="1"/>
  <c r="G484" i="2" a="1"/>
  <c r="G484" i="2" s="1"/>
  <c r="H489" i="2" a="1"/>
  <c r="H489" i="2" s="1"/>
  <c r="G494" i="2" a="1"/>
  <c r="G494" i="2" s="1"/>
  <c r="H499" i="2" a="1"/>
  <c r="H499" i="2" s="1"/>
  <c r="H504" i="2" a="1"/>
  <c r="H504" i="2" s="1"/>
  <c r="I509" i="2" a="1"/>
  <c r="I509" i="2" s="1"/>
  <c r="I514" i="2" a="1"/>
  <c r="I514" i="2" s="1"/>
  <c r="H519" i="2" a="1"/>
  <c r="H519" i="2" s="1"/>
  <c r="I524" i="2" a="1"/>
  <c r="I524" i="2" s="1"/>
  <c r="G530" i="2" a="1"/>
  <c r="G530" i="2" s="1"/>
  <c r="I534" i="2" a="1"/>
  <c r="I534" i="2" s="1"/>
  <c r="I539" i="2" a="1"/>
  <c r="I539" i="2" s="1"/>
  <c r="G545" i="2" a="1"/>
  <c r="G545" i="2" s="1"/>
  <c r="H550" i="2" a="1"/>
  <c r="H550" i="2" s="1"/>
  <c r="I555" i="2" a="1"/>
  <c r="I555" i="2" s="1"/>
  <c r="G561" i="2" a="1"/>
  <c r="G561" i="2" s="1"/>
  <c r="H566" i="2" a="1"/>
  <c r="H566" i="2" s="1"/>
  <c r="I571" i="2" a="1"/>
  <c r="I571" i="2" s="1"/>
  <c r="G577" i="2" a="1"/>
  <c r="G577" i="2" s="1"/>
  <c r="H582" i="2" a="1"/>
  <c r="H582" i="2" s="1"/>
  <c r="I587" i="2" a="1"/>
  <c r="I587" i="2" s="1"/>
  <c r="G593" i="2" a="1"/>
  <c r="G593" i="2" s="1"/>
  <c r="I594" i="2" a="1"/>
  <c r="I594" i="2" s="1"/>
  <c r="H596" i="2" a="1"/>
  <c r="H596" i="2" s="1"/>
  <c r="G598" i="2" a="1"/>
  <c r="G598" i="2" s="1"/>
  <c r="G600" i="2" a="1"/>
  <c r="G600" i="2" s="1"/>
  <c r="I601" i="2" a="1"/>
  <c r="I601" i="2" s="1"/>
  <c r="G603" i="2" a="1"/>
  <c r="G603" i="2" s="1"/>
  <c r="G605" i="2" a="1"/>
  <c r="G605" i="2" s="1"/>
  <c r="I606" i="2" a="1"/>
  <c r="I606" i="2" s="1"/>
  <c r="H608" i="2" a="1"/>
  <c r="H608" i="2" s="1"/>
  <c r="G610" i="2" a="1"/>
  <c r="G610" i="2" s="1"/>
  <c r="H611" i="2" a="1"/>
  <c r="H611" i="2" s="1"/>
  <c r="H612" i="2" a="1"/>
  <c r="H612" i="2" s="1"/>
  <c r="I613" i="2" a="1"/>
  <c r="I613" i="2" s="1"/>
  <c r="I614" i="2" a="1"/>
  <c r="I614" i="2" s="1"/>
  <c r="G616" i="2" a="1"/>
  <c r="G616" i="2" s="1"/>
  <c r="H618" i="2" a="1"/>
  <c r="H618" i="2" s="1"/>
  <c r="I619" i="2" a="1"/>
  <c r="I619" i="2" s="1"/>
  <c r="I620" i="2" a="1"/>
  <c r="I620" i="2" s="1"/>
  <c r="G622" i="2" a="1"/>
  <c r="G622" i="2" s="1"/>
  <c r="G623" i="2" a="1"/>
  <c r="G623" i="2" s="1"/>
  <c r="H624" i="2" a="1"/>
  <c r="H624" i="2" s="1"/>
  <c r="I625" i="2" a="1"/>
  <c r="I625" i="2" s="1"/>
  <c r="I626" i="2" a="1"/>
  <c r="I626" i="2" s="1"/>
  <c r="G628" i="2" a="1"/>
  <c r="G628" i="2" s="1"/>
  <c r="H629" i="2" a="1"/>
  <c r="H629" i="2" s="1"/>
  <c r="I630" i="2" a="1"/>
  <c r="I630" i="2" s="1"/>
  <c r="G632" i="2" a="1"/>
  <c r="G632" i="2" s="1"/>
  <c r="H633" i="2" a="1"/>
  <c r="H633" i="2" s="1"/>
  <c r="I635" i="2" a="1"/>
  <c r="I635" i="2" s="1"/>
  <c r="G637" i="2" a="1"/>
  <c r="G637" i="2" s="1"/>
  <c r="G638" i="2" a="1"/>
  <c r="G638" i="2" s="1"/>
  <c r="G639" i="2" a="1"/>
  <c r="G639" i="2" s="1"/>
  <c r="H640" i="2" a="1"/>
  <c r="H640" i="2" s="1"/>
  <c r="H641" i="2" a="1"/>
  <c r="H641" i="2" s="1"/>
  <c r="I642" i="2" a="1"/>
  <c r="I642" i="2" s="1"/>
  <c r="G644" i="2" a="1"/>
  <c r="G644" i="2" s="1"/>
  <c r="H645" i="2" a="1"/>
  <c r="H645" i="2" s="1"/>
  <c r="I646" i="2" a="1"/>
  <c r="I646" i="2" s="1"/>
  <c r="G648" i="2" a="1"/>
  <c r="G648" i="2" s="1"/>
  <c r="H650" i="2" a="1"/>
  <c r="H650" i="2" s="1"/>
  <c r="I651" i="2" a="1"/>
  <c r="I651" i="2" s="1"/>
  <c r="G653" i="2" a="1"/>
  <c r="G653" i="2" s="1"/>
  <c r="H654" i="2" a="1"/>
  <c r="H654" i="2" s="1"/>
  <c r="I655" i="2" a="1"/>
  <c r="I655" i="2" s="1"/>
  <c r="I656" i="2" a="1"/>
  <c r="I656" i="2" s="1"/>
  <c r="I657" i="2" a="1"/>
  <c r="I657" i="2" s="1"/>
  <c r="G659" i="2" a="1"/>
  <c r="G659" i="2" s="1"/>
  <c r="G660" i="2" a="1"/>
  <c r="G660" i="2" s="1"/>
  <c r="H662" i="2" a="1"/>
  <c r="H662" i="2" s="1"/>
  <c r="I663" i="2" a="1"/>
  <c r="I663" i="2" s="1"/>
  <c r="G665" i="2" a="1"/>
  <c r="G665" i="2" s="1"/>
  <c r="G666" i="2" a="1"/>
  <c r="G666" i="2" s="1"/>
  <c r="H667" i="2" a="1"/>
  <c r="H667" i="2" s="1"/>
  <c r="I668" i="2" a="1"/>
  <c r="I668" i="2" s="1"/>
  <c r="G670" i="2" a="1"/>
  <c r="G670" i="2" s="1"/>
  <c r="H671" i="2" a="1"/>
  <c r="H671" i="2" s="1"/>
  <c r="I672" i="2" a="1"/>
  <c r="I672" i="2" s="1"/>
  <c r="G674" i="2" a="1"/>
  <c r="G674" i="2" s="1"/>
  <c r="H675" i="2" a="1"/>
  <c r="H675" i="2" s="1"/>
  <c r="I676" i="2" a="1"/>
  <c r="I676" i="2" s="1"/>
  <c r="G678" i="2" a="1"/>
  <c r="G678" i="2" s="1"/>
  <c r="G679" i="2" a="1"/>
  <c r="G679" i="2" s="1"/>
  <c r="H680" i="2" a="1"/>
  <c r="H680" i="2" s="1"/>
  <c r="I681" i="2" a="1"/>
  <c r="I681" i="2" s="1"/>
  <c r="G683" i="2" a="1"/>
  <c r="G683" i="2" s="1"/>
  <c r="H684" i="2" a="1"/>
  <c r="H684" i="2" s="1"/>
  <c r="I685" i="2" a="1"/>
  <c r="I685" i="2" s="1"/>
  <c r="G687" i="2" a="1"/>
  <c r="G687" i="2" s="1"/>
  <c r="H688" i="2" a="1"/>
  <c r="H688" i="2" s="1"/>
  <c r="I689" i="2" a="1"/>
  <c r="I689" i="2" s="1"/>
  <c r="I690" i="2" a="1"/>
  <c r="I690" i="2" s="1"/>
  <c r="G692" i="2" a="1"/>
  <c r="G692" i="2" s="1"/>
  <c r="H693" i="2" a="1"/>
  <c r="H693" i="2" s="1"/>
  <c r="I694" i="2" a="1"/>
  <c r="I694" i="2" s="1"/>
  <c r="G696" i="2" a="1"/>
  <c r="G696" i="2" s="1"/>
  <c r="H697" i="2" a="1"/>
  <c r="H697" i="2" s="1"/>
  <c r="I698" i="2" a="1"/>
  <c r="I698" i="2" s="1"/>
  <c r="G700" i="2" a="1"/>
  <c r="G700" i="2" s="1"/>
  <c r="H702" i="2" a="1"/>
  <c r="H702" i="2" s="1"/>
  <c r="I703" i="2" a="1"/>
  <c r="I703" i="2" s="1"/>
  <c r="G705" i="2" a="1"/>
  <c r="G705" i="2" s="1"/>
  <c r="H706" i="2" a="1"/>
  <c r="H706" i="2" s="1"/>
  <c r="I707" i="2" a="1"/>
  <c r="I707" i="2" s="1"/>
  <c r="G709" i="2" a="1"/>
  <c r="G709" i="2" s="1"/>
  <c r="H710" i="2" a="1"/>
  <c r="H710" i="2" s="1"/>
  <c r="I711" i="2" a="1"/>
  <c r="I711" i="2" s="1"/>
  <c r="G713" i="2" a="1"/>
  <c r="G713" i="2" s="1"/>
  <c r="G714" i="2" a="1"/>
  <c r="G714" i="2" s="1"/>
  <c r="G715" i="2" a="1"/>
  <c r="G715" i="2" s="1"/>
  <c r="H716" i="2" a="1"/>
  <c r="H716" i="2" s="1"/>
  <c r="I717" i="2" a="1"/>
  <c r="I717" i="2" s="1"/>
  <c r="I718" i="2" a="1"/>
  <c r="I718" i="2" s="1"/>
  <c r="G720" i="2" a="1"/>
  <c r="G720" i="2" s="1"/>
  <c r="H721" i="2" a="1"/>
  <c r="H721" i="2" s="1"/>
  <c r="I722" i="2" a="1"/>
  <c r="I722" i="2" s="1"/>
  <c r="G724" i="2" a="1"/>
  <c r="G724" i="2" s="1"/>
  <c r="H725" i="2" a="1"/>
  <c r="H725" i="2" s="1"/>
  <c r="I727" i="2" a="1"/>
  <c r="I727" i="2" s="1"/>
  <c r="G729" i="2" a="1"/>
  <c r="G729" i="2" s="1"/>
  <c r="H730" i="2" a="1"/>
  <c r="H730" i="2" s="1"/>
  <c r="H731" i="2" a="1"/>
  <c r="H731" i="2" s="1"/>
  <c r="I732" i="2" a="1"/>
  <c r="I732" i="2" s="1"/>
  <c r="I733" i="2" a="1"/>
  <c r="I733" i="2" s="1"/>
  <c r="I734" i="2" a="1"/>
  <c r="I734" i="2" s="1"/>
  <c r="G736" i="2" a="1"/>
  <c r="G736" i="2" s="1"/>
  <c r="H738" i="2" a="1"/>
  <c r="H738" i="2" s="1"/>
  <c r="I739" i="2" a="1"/>
  <c r="I739" i="2" s="1"/>
  <c r="G741" i="2" a="1"/>
  <c r="G741" i="2" s="1"/>
  <c r="H742" i="2" a="1"/>
  <c r="H742" i="2" s="1"/>
  <c r="I743" i="2" a="1"/>
  <c r="I743" i="2" s="1"/>
  <c r="G745" i="2" a="1"/>
  <c r="G745" i="2" s="1"/>
  <c r="H746" i="2" a="1"/>
  <c r="H746" i="2" s="1"/>
  <c r="H747" i="2" a="1"/>
  <c r="H747" i="2" s="1"/>
  <c r="I748" i="2" a="1"/>
  <c r="I748" i="2" s="1"/>
  <c r="G750" i="2" a="1"/>
  <c r="G750" i="2" s="1"/>
  <c r="H751" i="2" a="1"/>
  <c r="H751" i="2" s="1"/>
  <c r="I752" i="2" a="1"/>
  <c r="I752" i="2" s="1"/>
  <c r="G754" i="2" a="1"/>
  <c r="G754" i="2" s="1"/>
  <c r="H755" i="2" a="1"/>
  <c r="H755" i="2" s="1"/>
  <c r="H756" i="2" a="1"/>
  <c r="H756" i="2" s="1"/>
  <c r="I757" i="2" a="1"/>
  <c r="I757" i="2" s="1"/>
  <c r="I758" i="2" a="1"/>
  <c r="I758" i="2" s="1"/>
  <c r="G760" i="2" a="1"/>
  <c r="G760" i="2" s="1"/>
  <c r="H761" i="2" a="1"/>
  <c r="H761" i="2" s="1"/>
  <c r="I762" i="2" a="1"/>
  <c r="I762" i="2" s="1"/>
  <c r="G765" i="2" a="1"/>
  <c r="G765" i="2" s="1"/>
  <c r="H766" i="2" a="1"/>
  <c r="H766" i="2" s="1"/>
  <c r="H767" i="2" a="1"/>
  <c r="H767" i="2" s="1"/>
  <c r="I768" i="2" a="1"/>
  <c r="I768" i="2" s="1"/>
  <c r="I204" i="2" a="1"/>
  <c r="I204" i="2" s="1"/>
  <c r="I259" i="2" a="1"/>
  <c r="I259" i="2" s="1"/>
  <c r="I286" i="2" a="1"/>
  <c r="I286" i="2" s="1"/>
  <c r="H304" i="2" a="1"/>
  <c r="H304" i="2" s="1"/>
  <c r="I321" i="2" a="1"/>
  <c r="I321" i="2" s="1"/>
  <c r="I338" i="2" a="1"/>
  <c r="I338" i="2" s="1"/>
  <c r="G356" i="2" a="1"/>
  <c r="G356" i="2" s="1"/>
  <c r="G393" i="2" a="1"/>
  <c r="G393" i="2" s="1"/>
  <c r="H414" i="2" a="1"/>
  <c r="H414" i="2" s="1"/>
  <c r="H426" i="2" a="1"/>
  <c r="H426" i="2" s="1"/>
  <c r="G435" i="2" a="1"/>
  <c r="G435" i="2" s="1"/>
  <c r="H440" i="2" a="1"/>
  <c r="H440" i="2" s="1"/>
  <c r="I445" i="2" a="1"/>
  <c r="I445" i="2" s="1"/>
  <c r="I450" i="2" a="1"/>
  <c r="I450" i="2" s="1"/>
  <c r="H455" i="2" a="1"/>
  <c r="H455" i="2" s="1"/>
  <c r="H460" i="2" a="1"/>
  <c r="H460" i="2" s="1"/>
  <c r="I464" i="2" a="1"/>
  <c r="I464" i="2" s="1"/>
  <c r="I469" i="2" a="1"/>
  <c r="I469" i="2" s="1"/>
  <c r="G475" i="2" a="1"/>
  <c r="G475" i="2" s="1"/>
  <c r="G480" i="2" a="1"/>
  <c r="G480" i="2" s="1"/>
  <c r="H485" i="2" a="1"/>
  <c r="H485" i="2" s="1"/>
  <c r="I490" i="2" a="1"/>
  <c r="I490" i="2" s="1"/>
  <c r="H495" i="2" a="1"/>
  <c r="H495" i="2" s="1"/>
  <c r="I500" i="2" a="1"/>
  <c r="I500" i="2" s="1"/>
  <c r="I505" i="2" a="1"/>
  <c r="I505" i="2" s="1"/>
  <c r="G511" i="2" a="1"/>
  <c r="G511" i="2" s="1"/>
  <c r="I515" i="2" a="1"/>
  <c r="I515" i="2" s="1"/>
  <c r="I520" i="2" a="1"/>
  <c r="I520" i="2" s="1"/>
  <c r="G526" i="2" a="1"/>
  <c r="G526" i="2" s="1"/>
  <c r="G536" i="2" a="1"/>
  <c r="G536" i="2" s="1"/>
  <c r="G541" i="2" a="1"/>
  <c r="G541" i="2" s="1"/>
  <c r="H546" i="2" a="1"/>
  <c r="H546" i="2" s="1"/>
  <c r="I551" i="2" a="1"/>
  <c r="I551" i="2" s="1"/>
  <c r="G557" i="2" a="1"/>
  <c r="G557" i="2" s="1"/>
  <c r="H562" i="2" a="1"/>
  <c r="H562" i="2" s="1"/>
  <c r="I567" i="2" a="1"/>
  <c r="I567" i="2" s="1"/>
  <c r="G573" i="2" a="1"/>
  <c r="G573" i="2" s="1"/>
  <c r="H578" i="2" a="1"/>
  <c r="H578" i="2" s="1"/>
  <c r="I583" i="2" a="1"/>
  <c r="I583" i="2" s="1"/>
  <c r="G589" i="2" a="1"/>
  <c r="G589" i="2" s="1"/>
  <c r="H593" i="2" a="1"/>
  <c r="H593" i="2" s="1"/>
  <c r="G595" i="2" a="1"/>
  <c r="G595" i="2" s="1"/>
  <c r="I596" i="2" a="1"/>
  <c r="I596" i="2" s="1"/>
  <c r="I598" i="2" a="1"/>
  <c r="I598" i="2" s="1"/>
  <c r="H600" i="2" a="1"/>
  <c r="H600" i="2" s="1"/>
  <c r="G602" i="2" a="1"/>
  <c r="G602" i="2" s="1"/>
  <c r="I603" i="2" a="1"/>
  <c r="I603" i="2" s="1"/>
  <c r="H605" i="2" a="1"/>
  <c r="H605" i="2" s="1"/>
  <c r="G607" i="2" a="1"/>
  <c r="G607" i="2" s="1"/>
  <c r="G609" i="2" a="1"/>
  <c r="G609" i="2" s="1"/>
  <c r="H610" i="2" a="1"/>
  <c r="H610" i="2" s="1"/>
  <c r="I611" i="2" a="1"/>
  <c r="I611" i="2" s="1"/>
  <c r="I612" i="2" a="1"/>
  <c r="I612" i="2" s="1"/>
  <c r="G614" i="2" a="1"/>
  <c r="G614" i="2" s="1"/>
  <c r="G615" i="2" a="1"/>
  <c r="G615" i="2" s="1"/>
  <c r="H616" i="2" a="1"/>
  <c r="H616" i="2" s="1"/>
  <c r="H617" i="2" a="1"/>
  <c r="H617" i="2" s="1"/>
  <c r="I618" i="2" a="1"/>
  <c r="I618" i="2" s="1"/>
  <c r="G621" i="2" a="1"/>
  <c r="G621" i="2" s="1"/>
  <c r="H622" i="2" a="1"/>
  <c r="H622" i="2" s="1"/>
  <c r="H623" i="2" a="1"/>
  <c r="H623" i="2" s="1"/>
  <c r="I624" i="2" a="1"/>
  <c r="I624" i="2" s="1"/>
  <c r="G626" i="2" a="1"/>
  <c r="G626" i="2" s="1"/>
  <c r="G627" i="2" a="1"/>
  <c r="G627" i="2" s="1"/>
  <c r="H628" i="2" a="1"/>
  <c r="H628" i="2" s="1"/>
  <c r="I629" i="2" a="1"/>
  <c r="I629" i="2" s="1"/>
  <c r="G631" i="2" a="1"/>
  <c r="G631" i="2" s="1"/>
  <c r="H632" i="2" a="1"/>
  <c r="H632" i="2" s="1"/>
  <c r="I633" i="2" a="1"/>
  <c r="I633" i="2" s="1"/>
  <c r="I634" i="2" a="1"/>
  <c r="I634" i="2" s="1"/>
  <c r="G636" i="2" a="1"/>
  <c r="G636" i="2" s="1"/>
  <c r="H638" i="2" a="1"/>
  <c r="H638" i="2" s="1"/>
  <c r="H639" i="2" a="1"/>
  <c r="H639" i="2" s="1"/>
  <c r="I640" i="2" a="1"/>
  <c r="I640" i="2" s="1"/>
  <c r="I641" i="2" a="1"/>
  <c r="I641" i="2" s="1"/>
  <c r="G643" i="2" a="1"/>
  <c r="G643" i="2" s="1"/>
  <c r="H644" i="2" a="1"/>
  <c r="H644" i="2" s="1"/>
  <c r="I645" i="2" a="1"/>
  <c r="I645" i="2" s="1"/>
  <c r="G647" i="2" a="1"/>
  <c r="G647" i="2" s="1"/>
  <c r="H648" i="2" a="1"/>
  <c r="H648" i="2" s="1"/>
  <c r="H649" i="2" a="1"/>
  <c r="H649" i="2" s="1"/>
  <c r="I650" i="2" a="1"/>
  <c r="I650" i="2" s="1"/>
  <c r="G652" i="2" a="1"/>
  <c r="G652" i="2" s="1"/>
  <c r="H653" i="2" a="1"/>
  <c r="H653" i="2" s="1"/>
  <c r="I654" i="2" a="1"/>
  <c r="I654" i="2" s="1"/>
  <c r="G657" i="2" a="1"/>
  <c r="G657" i="2" s="1"/>
  <c r="G658" i="2" a="1"/>
  <c r="G658" i="2" s="1"/>
  <c r="H659" i="2" a="1"/>
  <c r="H659" i="2" s="1"/>
  <c r="H660" i="2" a="1"/>
  <c r="H660" i="2" s="1"/>
  <c r="H661" i="2" a="1"/>
  <c r="H661" i="2" s="1"/>
  <c r="I662" i="2" a="1"/>
  <c r="I662" i="2" s="1"/>
  <c r="G664" i="2" a="1"/>
  <c r="G664" i="2" s="1"/>
  <c r="H666" i="2" a="1"/>
  <c r="H666" i="2" s="1"/>
  <c r="I667" i="2" a="1"/>
  <c r="I667" i="2" s="1"/>
  <c r="G669" i="2" a="1"/>
  <c r="G669" i="2" s="1"/>
  <c r="H670" i="2" a="1"/>
  <c r="H670" i="2" s="1"/>
  <c r="I671" i="2" a="1"/>
  <c r="I671" i="2" s="1"/>
  <c r="G673" i="2" a="1"/>
  <c r="G673" i="2" s="1"/>
  <c r="H674" i="2" a="1"/>
  <c r="H674" i="2" s="1"/>
  <c r="I675" i="2" a="1"/>
  <c r="I675" i="2" s="1"/>
  <c r="G677" i="2" a="1"/>
  <c r="G677" i="2" s="1"/>
  <c r="H678" i="2" a="1"/>
  <c r="H678" i="2" s="1"/>
  <c r="H679" i="2" a="1"/>
  <c r="H679" i="2" s="1"/>
  <c r="I680" i="2" a="1"/>
  <c r="I680" i="2" s="1"/>
  <c r="G682" i="2" a="1"/>
  <c r="G682" i="2" s="1"/>
  <c r="H683" i="2" a="1"/>
  <c r="H683" i="2" s="1"/>
  <c r="I684" i="2" a="1"/>
  <c r="I684" i="2" s="1"/>
  <c r="G686" i="2" a="1"/>
  <c r="G686" i="2" s="1"/>
  <c r="H687" i="2" a="1"/>
  <c r="H687" i="2" s="1"/>
  <c r="I688" i="2" a="1"/>
  <c r="I688" i="2" s="1"/>
  <c r="G690" i="2" a="1"/>
  <c r="G690" i="2" s="1"/>
  <c r="G691" i="2" a="1"/>
  <c r="G691" i="2" s="1"/>
  <c r="H692" i="2" a="1"/>
  <c r="H692" i="2" s="1"/>
  <c r="I693" i="2" a="1"/>
  <c r="I693" i="2" s="1"/>
  <c r="G695" i="2" a="1"/>
  <c r="G695" i="2" s="1"/>
  <c r="H696" i="2" a="1"/>
  <c r="H696" i="2" s="1"/>
  <c r="I697" i="2" a="1"/>
  <c r="I697" i="2" s="1"/>
  <c r="G699" i="2" a="1"/>
  <c r="G699" i="2" s="1"/>
  <c r="H700" i="2" a="1"/>
  <c r="H700" i="2" s="1"/>
  <c r="H701" i="2" a="1"/>
  <c r="H701" i="2" s="1"/>
  <c r="I702" i="2" a="1"/>
  <c r="I702" i="2" s="1"/>
  <c r="G704" i="2" a="1"/>
  <c r="G704" i="2" s="1"/>
  <c r="H705" i="2" a="1"/>
  <c r="H705" i="2" s="1"/>
  <c r="I706" i="2" a="1"/>
  <c r="I706" i="2" s="1"/>
  <c r="G708" i="2" a="1"/>
  <c r="G708" i="2" s="1"/>
  <c r="H709" i="2" a="1"/>
  <c r="H709" i="2" s="1"/>
  <c r="I710" i="2" a="1"/>
  <c r="I710" i="2" s="1"/>
  <c r="G712" i="2" a="1"/>
  <c r="G712" i="2" s="1"/>
  <c r="H714" i="2" a="1"/>
  <c r="H714" i="2" s="1"/>
  <c r="H715" i="2" a="1"/>
  <c r="H715" i="2" s="1"/>
  <c r="I716" i="2" a="1"/>
  <c r="I716" i="2" s="1"/>
  <c r="G718" i="2" a="1"/>
  <c r="G718" i="2" s="1"/>
  <c r="G719" i="2" a="1"/>
  <c r="G719" i="2" s="1"/>
  <c r="H720" i="2" a="1"/>
  <c r="H720" i="2" s="1"/>
  <c r="I721" i="2" a="1"/>
  <c r="I721" i="2" s="1"/>
  <c r="G723" i="2" a="1"/>
  <c r="G723" i="2" s="1"/>
  <c r="H724" i="2" a="1"/>
  <c r="H724" i="2" s="1"/>
  <c r="I725" i="2" a="1"/>
  <c r="I725" i="2" s="1"/>
  <c r="I726" i="2" a="1"/>
  <c r="I726" i="2" s="1"/>
  <c r="G728" i="2" a="1"/>
  <c r="G728" i="2" s="1"/>
  <c r="H729" i="2" a="1"/>
  <c r="H729" i="2" s="1"/>
  <c r="I731" i="2" a="1"/>
  <c r="I731" i="2" s="1"/>
  <c r="G733" i="2" a="1"/>
  <c r="G733" i="2" s="1"/>
  <c r="G734" i="2" a="1"/>
  <c r="G734" i="2" s="1"/>
  <c r="G735" i="2" a="1"/>
  <c r="G735" i="2" s="1"/>
  <c r="H736" i="2" a="1"/>
  <c r="H736" i="2" s="1"/>
  <c r="H737" i="2" a="1"/>
  <c r="H737" i="2" s="1"/>
  <c r="I738" i="2" a="1"/>
  <c r="I738" i="2" s="1"/>
  <c r="G740" i="2" a="1"/>
  <c r="G740" i="2" s="1"/>
  <c r="H741" i="2" a="1"/>
  <c r="H741" i="2" s="1"/>
  <c r="I742" i="2" a="1"/>
  <c r="I742" i="2" s="1"/>
  <c r="G744" i="2" a="1"/>
  <c r="G744" i="2" s="1"/>
  <c r="H745" i="2" a="1"/>
  <c r="H745" i="2" s="1"/>
  <c r="I747" i="2" a="1"/>
  <c r="I747" i="2" s="1"/>
  <c r="G749" i="2" a="1"/>
  <c r="G749" i="2" s="1"/>
  <c r="H750" i="2" a="1"/>
  <c r="H750" i="2" s="1"/>
  <c r="I751" i="2" a="1"/>
  <c r="I751" i="2" s="1"/>
  <c r="G753" i="2" a="1"/>
  <c r="G753" i="2" s="1"/>
  <c r="H754" i="2" a="1"/>
  <c r="H754" i="2" s="1"/>
  <c r="I755" i="2" a="1"/>
  <c r="I755" i="2" s="1"/>
  <c r="I756" i="2" a="1"/>
  <c r="I756" i="2" s="1"/>
  <c r="I150" i="2" a="1"/>
  <c r="I150" i="2" s="1"/>
  <c r="G239" i="2" a="1"/>
  <c r="G239" i="2" s="1"/>
  <c r="H295" i="2" a="1"/>
  <c r="H295" i="2" s="1"/>
  <c r="I312" i="2" a="1"/>
  <c r="I312" i="2" s="1"/>
  <c r="I347" i="2" a="1"/>
  <c r="I347" i="2" s="1"/>
  <c r="G383" i="2" a="1"/>
  <c r="G383" i="2" s="1"/>
  <c r="I403" i="2" a="1"/>
  <c r="I403" i="2" s="1"/>
  <c r="G421" i="2" a="1"/>
  <c r="G421" i="2" s="1"/>
  <c r="I431" i="2" a="1"/>
  <c r="I431" i="2" s="1"/>
  <c r="I437" i="2" a="1"/>
  <c r="I437" i="2" s="1"/>
  <c r="G443" i="2" a="1"/>
  <c r="G443" i="2" s="1"/>
  <c r="G448" i="2" a="1"/>
  <c r="G448" i="2" s="1"/>
  <c r="G453" i="2" a="1"/>
  <c r="G453" i="2" s="1"/>
  <c r="G458" i="2" a="1"/>
  <c r="G458" i="2" s="1"/>
  <c r="I462" i="2" a="1"/>
  <c r="I462" i="2" s="1"/>
  <c r="H472" i="2" a="1"/>
  <c r="H472" i="2" s="1"/>
  <c r="H477" i="2" a="1"/>
  <c r="H477" i="2" s="1"/>
  <c r="I482" i="2" a="1"/>
  <c r="I482" i="2" s="1"/>
  <c r="G488" i="2" a="1"/>
  <c r="G488" i="2" s="1"/>
  <c r="I492" i="2" a="1"/>
  <c r="I492" i="2" s="1"/>
  <c r="G498" i="2" a="1"/>
  <c r="G498" i="2" s="1"/>
  <c r="G503" i="2" a="1"/>
  <c r="G503" i="2" s="1"/>
  <c r="H508" i="2" a="1"/>
  <c r="H508" i="2" s="1"/>
  <c r="I513" i="2" a="1"/>
  <c r="I513" i="2" s="1"/>
  <c r="G518" i="2" a="1"/>
  <c r="G518" i="2" s="1"/>
  <c r="H523" i="2" a="1"/>
  <c r="H523" i="2" s="1"/>
  <c r="I528" i="2" a="1"/>
  <c r="I528" i="2" s="1"/>
  <c r="I533" i="2" a="1"/>
  <c r="I533" i="2" s="1"/>
  <c r="H538" i="2" a="1"/>
  <c r="H538" i="2" s="1"/>
  <c r="I543" i="2" a="1"/>
  <c r="I543" i="2" s="1"/>
  <c r="G549" i="2" a="1"/>
  <c r="G549" i="2" s="1"/>
  <c r="H554" i="2" a="1"/>
  <c r="H554" i="2" s="1"/>
  <c r="I559" i="2" a="1"/>
  <c r="I559" i="2" s="1"/>
  <c r="G565" i="2" a="1"/>
  <c r="G565" i="2" s="1"/>
  <c r="H570" i="2" a="1"/>
  <c r="H570" i="2" s="1"/>
  <c r="I575" i="2" a="1"/>
  <c r="I575" i="2" s="1"/>
  <c r="G581" i="2" a="1"/>
  <c r="G581" i="2" s="1"/>
  <c r="H586" i="2" a="1"/>
  <c r="H586" i="2" s="1"/>
  <c r="I591" i="2" a="1"/>
  <c r="I591" i="2" s="1"/>
  <c r="G594" i="2" a="1"/>
  <c r="G594" i="2" s="1"/>
  <c r="G596" i="2" a="1"/>
  <c r="G596" i="2" s="1"/>
  <c r="I597" i="2" a="1"/>
  <c r="I597" i="2" s="1"/>
  <c r="H599" i="2" a="1"/>
  <c r="H599" i="2" s="1"/>
  <c r="H601" i="2" a="1"/>
  <c r="H601" i="2" s="1"/>
  <c r="I602" i="2" a="1"/>
  <c r="I602" i="2" s="1"/>
  <c r="H604" i="2" a="1"/>
  <c r="H604" i="2" s="1"/>
  <c r="H606" i="2" a="1"/>
  <c r="H606" i="2" s="1"/>
  <c r="G608" i="2" a="1"/>
  <c r="G608" i="2" s="1"/>
  <c r="I609" i="2" a="1"/>
  <c r="I609" i="2" s="1"/>
  <c r="G611" i="2" a="1"/>
  <c r="G611" i="2" s="1"/>
  <c r="G612" i="2" a="1"/>
  <c r="G612" i="2" s="1"/>
  <c r="H613" i="2" a="1"/>
  <c r="H613" i="2" s="1"/>
  <c r="I615" i="2" a="1"/>
  <c r="I615" i="2" s="1"/>
  <c r="G617" i="2" a="1"/>
  <c r="G617" i="2" s="1"/>
  <c r="G618" i="2" a="1"/>
  <c r="G618" i="2" s="1"/>
  <c r="H619" i="2" a="1"/>
  <c r="H619" i="2" s="1"/>
  <c r="H620" i="2" a="1"/>
  <c r="H620" i="2" s="1"/>
  <c r="I621" i="2" a="1"/>
  <c r="I621" i="2" s="1"/>
  <c r="I622" i="2" a="1"/>
  <c r="I622" i="2" s="1"/>
  <c r="G624" i="2" a="1"/>
  <c r="G624" i="2" s="1"/>
  <c r="H625" i="2" a="1"/>
  <c r="H625" i="2" s="1"/>
  <c r="I627" i="2" a="1"/>
  <c r="I627" i="2" s="1"/>
  <c r="G629" i="2" a="1"/>
  <c r="G629" i="2" s="1"/>
  <c r="H630" i="2" a="1"/>
  <c r="H630" i="2" s="1"/>
  <c r="I631" i="2" a="1"/>
  <c r="I631" i="2" s="1"/>
  <c r="G633" i="2" a="1"/>
  <c r="G633" i="2" s="1"/>
  <c r="H634" i="2" a="1"/>
  <c r="H634" i="2" s="1"/>
  <c r="H635" i="2" a="1"/>
  <c r="H635" i="2" s="1"/>
  <c r="I636" i="2" a="1"/>
  <c r="I636" i="2" s="1"/>
  <c r="I637" i="2" a="1"/>
  <c r="I637" i="2" s="1"/>
  <c r="I638" i="2" a="1"/>
  <c r="I638" i="2" s="1"/>
  <c r="G640" i="2" a="1"/>
  <c r="G640" i="2" s="1"/>
  <c r="H642" i="2" a="1"/>
  <c r="H642" i="2" s="1"/>
  <c r="I643" i="2" a="1"/>
  <c r="I643" i="2" s="1"/>
  <c r="G645" i="2" a="1"/>
  <c r="G645" i="2" s="1"/>
  <c r="H646" i="2" a="1"/>
  <c r="H646" i="2" s="1"/>
  <c r="I647" i="2" a="1"/>
  <c r="I647" i="2" s="1"/>
  <c r="G649" i="2" a="1"/>
  <c r="G649" i="2" s="1"/>
  <c r="G650" i="2" a="1"/>
  <c r="G650" i="2" s="1"/>
  <c r="H651" i="2" a="1"/>
  <c r="H651" i="2" s="1"/>
  <c r="I652" i="2" a="1"/>
  <c r="I652" i="2" s="1"/>
  <c r="G654" i="2" a="1"/>
  <c r="G654" i="2" s="1"/>
  <c r="H655" i="2" a="1"/>
  <c r="H655" i="2" s="1"/>
  <c r="H656" i="2" a="1"/>
  <c r="H656" i="2" s="1"/>
  <c r="H657" i="2" a="1"/>
  <c r="H657" i="2" s="1"/>
  <c r="I658" i="2" a="1"/>
  <c r="I658" i="2" s="1"/>
  <c r="G661" i="2" a="1"/>
  <c r="G661" i="2" s="1"/>
  <c r="G662" i="2" a="1"/>
  <c r="G662" i="2" s="1"/>
  <c r="H663" i="2" a="1"/>
  <c r="H663" i="2" s="1"/>
  <c r="I664" i="2" a="1"/>
  <c r="I664" i="2" s="1"/>
  <c r="I665" i="2" a="1"/>
  <c r="I665" i="2" s="1"/>
  <c r="G667" i="2" a="1"/>
  <c r="G667" i="2" s="1"/>
  <c r="H668" i="2" a="1"/>
  <c r="H668" i="2" s="1"/>
  <c r="I669" i="2" a="1"/>
  <c r="I669" i="2" s="1"/>
  <c r="G671" i="2" a="1"/>
  <c r="G671" i="2" s="1"/>
  <c r="H672" i="2" a="1"/>
  <c r="H672" i="2" s="1"/>
  <c r="I673" i="2" a="1"/>
  <c r="I673" i="2" s="1"/>
  <c r="G675" i="2" a="1"/>
  <c r="G675" i="2" s="1"/>
  <c r="H676" i="2" a="1"/>
  <c r="H676" i="2" s="1"/>
  <c r="I677" i="2" a="1"/>
  <c r="I677" i="2" s="1"/>
  <c r="I678" i="2" a="1"/>
  <c r="I678" i="2" s="1"/>
  <c r="G680" i="2" a="1"/>
  <c r="G680" i="2" s="1"/>
  <c r="H681" i="2" a="1"/>
  <c r="H681" i="2" s="1"/>
  <c r="I682" i="2" a="1"/>
  <c r="I682" i="2" s="1"/>
  <c r="G684" i="2" a="1"/>
  <c r="G684" i="2" s="1"/>
  <c r="H685" i="2" a="1"/>
  <c r="H685" i="2" s="1"/>
  <c r="I686" i="2" a="1"/>
  <c r="I686" i="2" s="1"/>
  <c r="G688" i="2" a="1"/>
  <c r="G688" i="2" s="1"/>
  <c r="H689" i="2" a="1"/>
  <c r="H689" i="2" s="1"/>
  <c r="I691" i="2" a="1"/>
  <c r="I691" i="2" s="1"/>
  <c r="G693" i="2" a="1"/>
  <c r="G693" i="2" s="1"/>
  <c r="H694" i="2" a="1"/>
  <c r="H694" i="2" s="1"/>
  <c r="I695" i="2" a="1"/>
  <c r="I695" i="2" s="1"/>
  <c r="G697" i="2" a="1"/>
  <c r="G697" i="2" s="1"/>
  <c r="H698" i="2" a="1"/>
  <c r="H698" i="2" s="1"/>
  <c r="I699" i="2" a="1"/>
  <c r="I699" i="2" s="1"/>
  <c r="G701" i="2" a="1"/>
  <c r="G701" i="2" s="1"/>
  <c r="G702" i="2" a="1"/>
  <c r="G702" i="2" s="1"/>
  <c r="H703" i="2" a="1"/>
  <c r="H703" i="2" s="1"/>
  <c r="I704" i="2" a="1"/>
  <c r="I704" i="2" s="1"/>
  <c r="G706" i="2" a="1"/>
  <c r="G706" i="2" s="1"/>
  <c r="H707" i="2" a="1"/>
  <c r="H707" i="2" s="1"/>
  <c r="I708" i="2" a="1"/>
  <c r="I708" i="2" s="1"/>
  <c r="G710" i="2" a="1"/>
  <c r="G710" i="2" s="1"/>
  <c r="H711" i="2" a="1"/>
  <c r="H711" i="2" s="1"/>
  <c r="I712" i="2" a="1"/>
  <c r="I712" i="2" s="1"/>
  <c r="I713" i="2" a="1"/>
  <c r="I713" i="2" s="1"/>
  <c r="I714" i="2" a="1"/>
  <c r="I714" i="2" s="1"/>
  <c r="G716" i="2" a="1"/>
  <c r="G716" i="2" s="1"/>
  <c r="H717" i="2" a="1"/>
  <c r="H717" i="2" s="1"/>
  <c r="I719" i="2" a="1"/>
  <c r="I719" i="2" s="1"/>
  <c r="G721" i="2" a="1"/>
  <c r="G721" i="2" s="1"/>
  <c r="H722" i="2" a="1"/>
  <c r="H722" i="2" s="1"/>
  <c r="I723" i="2" a="1"/>
  <c r="I723" i="2" s="1"/>
  <c r="G725" i="2" a="1"/>
  <c r="G725" i="2" s="1"/>
  <c r="H726" i="2" a="1"/>
  <c r="H726" i="2" s="1"/>
  <c r="H727" i="2" a="1"/>
  <c r="H727" i="2" s="1"/>
  <c r="I728" i="2" a="1"/>
  <c r="I728" i="2" s="1"/>
  <c r="G730" i="2" a="1"/>
  <c r="G730" i="2" s="1"/>
  <c r="G731" i="2" a="1"/>
  <c r="G731" i="2" s="1"/>
  <c r="H732" i="2" a="1"/>
  <c r="H732" i="2" s="1"/>
  <c r="H733" i="2" a="1"/>
  <c r="H733" i="2" s="1"/>
  <c r="I735" i="2" a="1"/>
  <c r="I735" i="2" s="1"/>
  <c r="G737" i="2" a="1"/>
  <c r="G737" i="2" s="1"/>
  <c r="G738" i="2" a="1"/>
  <c r="G738" i="2" s="1"/>
  <c r="H739" i="2" a="1"/>
  <c r="H739" i="2" s="1"/>
  <c r="I740" i="2" a="1"/>
  <c r="I740" i="2" s="1"/>
  <c r="G742" i="2" a="1"/>
  <c r="G742" i="2" s="1"/>
  <c r="H743" i="2" a="1"/>
  <c r="H743" i="2" s="1"/>
  <c r="I744" i="2" a="1"/>
  <c r="I744" i="2" s="1"/>
  <c r="G746" i="2" a="1"/>
  <c r="G746" i="2" s="1"/>
  <c r="G747" i="2" a="1"/>
  <c r="G747" i="2" s="1"/>
  <c r="H748" i="2" a="1"/>
  <c r="H748" i="2" s="1"/>
  <c r="I749" i="2" a="1"/>
  <c r="I749" i="2" s="1"/>
  <c r="G751" i="2" a="1"/>
  <c r="G751" i="2" s="1"/>
  <c r="H752" i="2" a="1"/>
  <c r="H752" i="2" s="1"/>
  <c r="I753" i="2" a="1"/>
  <c r="I753" i="2" s="1"/>
  <c r="G755" i="2" a="1"/>
  <c r="G755" i="2" s="1"/>
  <c r="G756" i="2" a="1"/>
  <c r="G756" i="2" s="1"/>
  <c r="H757" i="2" a="1"/>
  <c r="H757" i="2" s="1"/>
  <c r="I759" i="2" a="1"/>
  <c r="I759" i="2" s="1"/>
  <c r="G761" i="2" a="1"/>
  <c r="G761" i="2" s="1"/>
  <c r="H762" i="2" a="1"/>
  <c r="H762" i="2" s="1"/>
  <c r="I763" i="2" a="1"/>
  <c r="I763" i="2" s="1"/>
  <c r="I764" i="2" a="1"/>
  <c r="I764" i="2" s="1"/>
  <c r="G766" i="2" a="1"/>
  <c r="G766" i="2" s="1"/>
  <c r="G767" i="2" a="1"/>
  <c r="G767" i="2" s="1"/>
  <c r="H768" i="2" a="1"/>
  <c r="H768" i="2" s="1"/>
  <c r="G269" i="2" a="1"/>
  <c r="G269" i="2" s="1"/>
  <c r="G343" i="2" a="1"/>
  <c r="G343" i="2" s="1"/>
  <c r="H418" i="2" a="1"/>
  <c r="H418" i="2" s="1"/>
  <c r="I446" i="2" a="1"/>
  <c r="I446" i="2" s="1"/>
  <c r="G466" i="2" a="1"/>
  <c r="G466" i="2" s="1"/>
  <c r="I486" i="2" a="1"/>
  <c r="I486" i="2" s="1"/>
  <c r="G507" i="2" a="1"/>
  <c r="G507" i="2" s="1"/>
  <c r="H527" i="2" a="1"/>
  <c r="H527" i="2" s="1"/>
  <c r="I547" i="2" a="1"/>
  <c r="I547" i="2" s="1"/>
  <c r="G569" i="2" a="1"/>
  <c r="G569" i="2" s="1"/>
  <c r="H590" i="2" a="1"/>
  <c r="H590" i="2" s="1"/>
  <c r="G599" i="2" a="1"/>
  <c r="G599" i="2" s="1"/>
  <c r="I605" i="2" a="1"/>
  <c r="I605" i="2" s="1"/>
  <c r="I616" i="2" a="1"/>
  <c r="I616" i="2" s="1"/>
  <c r="H621" i="2" a="1"/>
  <c r="H621" i="2" s="1"/>
  <c r="H626" i="2" a="1"/>
  <c r="H626" i="2" s="1"/>
  <c r="H631" i="2" a="1"/>
  <c r="H631" i="2" s="1"/>
  <c r="H636" i="2" a="1"/>
  <c r="H636" i="2" s="1"/>
  <c r="G641" i="2" a="1"/>
  <c r="G641" i="2" s="1"/>
  <c r="G646" i="2" a="1"/>
  <c r="G646" i="2" s="1"/>
  <c r="G651" i="2" a="1"/>
  <c r="G651" i="2" s="1"/>
  <c r="G656" i="2" a="1"/>
  <c r="G656" i="2" s="1"/>
  <c r="I660" i="2" a="1"/>
  <c r="I660" i="2" s="1"/>
  <c r="H665" i="2" a="1"/>
  <c r="H665" i="2" s="1"/>
  <c r="I670" i="2" a="1"/>
  <c r="I670" i="2" s="1"/>
  <c r="G676" i="2" a="1"/>
  <c r="G676" i="2" s="1"/>
  <c r="G681" i="2" a="1"/>
  <c r="G681" i="2" s="1"/>
  <c r="H686" i="2" a="1"/>
  <c r="H686" i="2" s="1"/>
  <c r="H691" i="2" a="1"/>
  <c r="H691" i="2" s="1"/>
  <c r="I696" i="2" a="1"/>
  <c r="I696" i="2" s="1"/>
  <c r="I701" i="2" a="1"/>
  <c r="I701" i="2" s="1"/>
  <c r="G707" i="2" a="1"/>
  <c r="G707" i="2" s="1"/>
  <c r="H712" i="2" a="1"/>
  <c r="H712" i="2" s="1"/>
  <c r="G717" i="2" a="1"/>
  <c r="G717" i="2" s="1"/>
  <c r="G722" i="2" a="1"/>
  <c r="G722" i="2" s="1"/>
  <c r="G727" i="2" a="1"/>
  <c r="G727" i="2" s="1"/>
  <c r="G732" i="2" a="1"/>
  <c r="G732" i="2" s="1"/>
  <c r="I736" i="2" a="1"/>
  <c r="I736" i="2" s="1"/>
  <c r="I741" i="2" a="1"/>
  <c r="I741" i="2" s="1"/>
  <c r="I746" i="2" a="1"/>
  <c r="I746" i="2" s="1"/>
  <c r="G752" i="2" a="1"/>
  <c r="G752" i="2" s="1"/>
  <c r="G757" i="2" a="1"/>
  <c r="G757" i="2" s="1"/>
  <c r="H759" i="2" a="1"/>
  <c r="H759" i="2" s="1"/>
  <c r="G762" i="2" a="1"/>
  <c r="G762" i="2" s="1"/>
  <c r="H764" i="2" a="1"/>
  <c r="H764" i="2" s="1"/>
  <c r="I766" i="2" a="1"/>
  <c r="I766" i="2" s="1"/>
  <c r="H770" i="2" a="1"/>
  <c r="H770" i="2" s="1"/>
  <c r="I771" i="2" a="1"/>
  <c r="I771" i="2" s="1"/>
  <c r="G773" i="2" a="1"/>
  <c r="G773" i="2" s="1"/>
  <c r="G774" i="2" a="1"/>
  <c r="G774" i="2" s="1"/>
  <c r="H775" i="2" a="1"/>
  <c r="H775" i="2" s="1"/>
  <c r="I776" i="2" a="1"/>
  <c r="I776" i="2" s="1"/>
  <c r="I777" i="2" a="1"/>
  <c r="I777" i="2" s="1"/>
  <c r="G779" i="2" a="1"/>
  <c r="G779" i="2" s="1"/>
  <c r="H780" i="2" a="1"/>
  <c r="H780" i="2" s="1"/>
  <c r="I781" i="2" a="1"/>
  <c r="I781" i="2" s="1"/>
  <c r="I782" i="2" a="1"/>
  <c r="I782" i="2" s="1"/>
  <c r="G784" i="2" a="1"/>
  <c r="G784" i="2" s="1"/>
  <c r="H785" i="2" a="1"/>
  <c r="H785" i="2" s="1"/>
  <c r="I786" i="2" a="1"/>
  <c r="I786" i="2" s="1"/>
  <c r="G788" i="2" a="1"/>
  <c r="G788" i="2" s="1"/>
  <c r="H790" i="2" a="1"/>
  <c r="H790" i="2" s="1"/>
  <c r="I791" i="2" a="1"/>
  <c r="I791" i="2" s="1"/>
  <c r="G793" i="2" a="1"/>
  <c r="G793" i="2" s="1"/>
  <c r="G794" i="2" a="1"/>
  <c r="G794" i="2" s="1"/>
  <c r="H795" i="2" a="1"/>
  <c r="H795" i="2" s="1"/>
  <c r="I796" i="2" a="1"/>
  <c r="I796" i="2" s="1"/>
  <c r="G798" i="2" a="1"/>
  <c r="G798" i="2" s="1"/>
  <c r="H799" i="2" a="1"/>
  <c r="H799" i="2" s="1"/>
  <c r="I800" i="2" a="1"/>
  <c r="I800" i="2" s="1"/>
  <c r="G802" i="2" a="1"/>
  <c r="G802" i="2" s="1"/>
  <c r="H803" i="2" a="1"/>
  <c r="H803" i="2" s="1"/>
  <c r="I804" i="2" a="1"/>
  <c r="I804" i="2" s="1"/>
  <c r="G806" i="2" a="1"/>
  <c r="G806" i="2" s="1"/>
  <c r="G807" i="2" a="1"/>
  <c r="G807" i="2" s="1"/>
  <c r="H808" i="2" a="1"/>
  <c r="H808" i="2" s="1"/>
  <c r="H809" i="2" a="1"/>
  <c r="H809" i="2" s="1"/>
  <c r="I810" i="2" a="1"/>
  <c r="I810" i="2" s="1"/>
  <c r="G812" i="2" a="1"/>
  <c r="G812" i="2" s="1"/>
  <c r="H813" i="2" a="1"/>
  <c r="H813" i="2" s="1"/>
  <c r="I815" i="2" a="1"/>
  <c r="I815" i="2" s="1"/>
  <c r="G817" i="2" a="1"/>
  <c r="G817" i="2" s="1"/>
  <c r="G818" i="2" a="1"/>
  <c r="G818" i="2" s="1"/>
  <c r="H820" i="2" a="1"/>
  <c r="H820" i="2" s="1"/>
  <c r="I821" i="2" a="1"/>
  <c r="I821" i="2" s="1"/>
  <c r="G823" i="2" a="1"/>
  <c r="G823" i="2" s="1"/>
  <c r="H824" i="2" a="1"/>
  <c r="H824" i="2" s="1"/>
  <c r="I825" i="2" a="1"/>
  <c r="I825" i="2" s="1"/>
  <c r="G827" i="2" a="1"/>
  <c r="G827" i="2" s="1"/>
  <c r="H828" i="2" a="1"/>
  <c r="H828" i="2" s="1"/>
  <c r="I829" i="2" a="1"/>
  <c r="I829" i="2" s="1"/>
  <c r="G831" i="2" a="1"/>
  <c r="G831" i="2" s="1"/>
  <c r="H832" i="2" a="1"/>
  <c r="H832" i="2" s="1"/>
  <c r="I833" i="2" a="1"/>
  <c r="I833" i="2" s="1"/>
  <c r="G835" i="2" a="1"/>
  <c r="G835" i="2" s="1"/>
  <c r="H836" i="2" a="1"/>
  <c r="H836" i="2" s="1"/>
  <c r="I837" i="2" a="1"/>
  <c r="I837" i="2" s="1"/>
  <c r="G839" i="2" a="1"/>
  <c r="G839" i="2" s="1"/>
  <c r="G840" i="2" a="1"/>
  <c r="G840" i="2" s="1"/>
  <c r="G841" i="2" a="1"/>
  <c r="G841" i="2" s="1"/>
  <c r="H842" i="2" a="1"/>
  <c r="H842" i="2" s="1"/>
  <c r="H843" i="2" a="1"/>
  <c r="H843" i="2" s="1"/>
  <c r="I844" i="2" a="1"/>
  <c r="I844" i="2" s="1"/>
  <c r="G846" i="2" a="1"/>
  <c r="G846" i="2" s="1"/>
  <c r="H847" i="2" a="1"/>
  <c r="H847" i="2" s="1"/>
  <c r="I849" i="2" a="1"/>
  <c r="I849" i="2" s="1"/>
  <c r="G851" i="2" a="1"/>
  <c r="G851" i="2" s="1"/>
  <c r="H852" i="2" a="1"/>
  <c r="H852" i="2" s="1"/>
  <c r="H853" i="2" a="1"/>
  <c r="H853" i="2" s="1"/>
  <c r="I854" i="2" a="1"/>
  <c r="I854" i="2" s="1"/>
  <c r="G856" i="2" a="1"/>
  <c r="G856" i="2" s="1"/>
  <c r="G857" i="2" a="1"/>
  <c r="G857" i="2" s="1"/>
  <c r="H858" i="2" a="1"/>
  <c r="H858" i="2" s="1"/>
  <c r="I859" i="2" a="1"/>
  <c r="I859" i="2" s="1"/>
  <c r="I860" i="2" a="1"/>
  <c r="I860" i="2" s="1"/>
  <c r="G862" i="2" a="1"/>
  <c r="G862" i="2" s="1"/>
  <c r="H863" i="2" a="1"/>
  <c r="H863" i="2" s="1"/>
  <c r="I865" i="2" a="1"/>
  <c r="I865" i="2" s="1"/>
  <c r="G867" i="2" a="1"/>
  <c r="G867" i="2" s="1"/>
  <c r="G868" i="2" a="1"/>
  <c r="G868" i="2" s="1"/>
  <c r="H869" i="2" a="1"/>
  <c r="H869" i="2" s="1"/>
  <c r="I870" i="2" a="1"/>
  <c r="I870" i="2" s="1"/>
  <c r="G872" i="2" a="1"/>
  <c r="G872" i="2" s="1"/>
  <c r="H873" i="2" a="1"/>
  <c r="H873" i="2" s="1"/>
  <c r="I874" i="2" a="1"/>
  <c r="I874" i="2" s="1"/>
  <c r="G876" i="2" a="1"/>
  <c r="G876" i="2" s="1"/>
  <c r="H877" i="2" a="1"/>
  <c r="H877" i="2" s="1"/>
  <c r="I878" i="2" a="1"/>
  <c r="I878" i="2" s="1"/>
  <c r="G880" i="2" a="1"/>
  <c r="G880" i="2" s="1"/>
  <c r="H881" i="2" a="1"/>
  <c r="H881" i="2" s="1"/>
  <c r="I882" i="2" a="1"/>
  <c r="I882" i="2" s="1"/>
  <c r="G884" i="2" a="1"/>
  <c r="G884" i="2" s="1"/>
  <c r="H885" i="2" a="1"/>
  <c r="H885" i="2" s="1"/>
  <c r="I886" i="2" a="1"/>
  <c r="I886" i="2" s="1"/>
  <c r="G888" i="2" a="1"/>
  <c r="G888" i="2" s="1"/>
  <c r="H889" i="2" a="1"/>
  <c r="H889" i="2" s="1"/>
  <c r="I890" i="2" a="1"/>
  <c r="I890" i="2" s="1"/>
  <c r="G892" i="2" a="1"/>
  <c r="G892" i="2" s="1"/>
  <c r="H893" i="2" a="1"/>
  <c r="H893" i="2" s="1"/>
  <c r="I894" i="2" a="1"/>
  <c r="I894" i="2" s="1"/>
  <c r="G896" i="2" a="1"/>
  <c r="G896" i="2" s="1"/>
  <c r="H897" i="2" a="1"/>
  <c r="H897" i="2" s="1"/>
  <c r="I898" i="2" a="1"/>
  <c r="I898" i="2" s="1"/>
  <c r="G900" i="2" a="1"/>
  <c r="G900" i="2" s="1"/>
  <c r="H901" i="2" a="1"/>
  <c r="H901" i="2" s="1"/>
  <c r="I902" i="2" a="1"/>
  <c r="I902" i="2" s="1"/>
  <c r="G904" i="2" a="1"/>
  <c r="G904" i="2" s="1"/>
  <c r="H905" i="2" a="1"/>
  <c r="H905" i="2" s="1"/>
  <c r="I906" i="2" a="1"/>
  <c r="I906" i="2" s="1"/>
  <c r="G908" i="2" a="1"/>
  <c r="G908" i="2" s="1"/>
  <c r="H909" i="2" a="1"/>
  <c r="H909" i="2" s="1"/>
  <c r="I910" i="2" a="1"/>
  <c r="I910" i="2" s="1"/>
  <c r="G912" i="2" a="1"/>
  <c r="G912" i="2" s="1"/>
  <c r="H913" i="2" a="1"/>
  <c r="H913" i="2" s="1"/>
  <c r="I914" i="2" a="1"/>
  <c r="I914" i="2" s="1"/>
  <c r="G916" i="2" a="1"/>
  <c r="G916" i="2" s="1"/>
  <c r="H917" i="2" a="1"/>
  <c r="H917" i="2" s="1"/>
  <c r="I918" i="2" a="1"/>
  <c r="I918" i="2" s="1"/>
  <c r="G920" i="2" a="1"/>
  <c r="G920" i="2" s="1"/>
  <c r="H921" i="2" a="1"/>
  <c r="H921" i="2" s="1"/>
  <c r="I922" i="2" a="1"/>
  <c r="I922" i="2" s="1"/>
  <c r="G924" i="2" a="1"/>
  <c r="G924" i="2" s="1"/>
  <c r="H925" i="2" a="1"/>
  <c r="H925" i="2" s="1"/>
  <c r="I926" i="2" a="1"/>
  <c r="I926" i="2" s="1"/>
  <c r="G928" i="2" a="1"/>
  <c r="G928" i="2" s="1"/>
  <c r="H929" i="2" a="1"/>
  <c r="H929" i="2" s="1"/>
  <c r="I930" i="2" a="1"/>
  <c r="I930" i="2" s="1"/>
  <c r="G932" i="2" a="1"/>
  <c r="G932" i="2" s="1"/>
  <c r="H933" i="2" a="1"/>
  <c r="H933" i="2" s="1"/>
  <c r="I934" i="2" a="1"/>
  <c r="I934" i="2" s="1"/>
  <c r="G936" i="2" a="1"/>
  <c r="G936" i="2" s="1"/>
  <c r="H937" i="2" a="1"/>
  <c r="H937" i="2" s="1"/>
  <c r="I938" i="2" a="1"/>
  <c r="I938" i="2" s="1"/>
  <c r="G940" i="2" a="1"/>
  <c r="G940" i="2" s="1"/>
  <c r="H941" i="2" a="1"/>
  <c r="H941" i="2" s="1"/>
  <c r="I942" i="2" a="1"/>
  <c r="I942" i="2" s="1"/>
  <c r="G944" i="2" a="1"/>
  <c r="G944" i="2" s="1"/>
  <c r="H945" i="2" a="1"/>
  <c r="H945" i="2" s="1"/>
  <c r="I946" i="2" a="1"/>
  <c r="I946" i="2" s="1"/>
  <c r="G948" i="2" a="1"/>
  <c r="G948" i="2" s="1"/>
  <c r="H949" i="2" a="1"/>
  <c r="H949" i="2" s="1"/>
  <c r="I950" i="2" a="1"/>
  <c r="I950" i="2" s="1"/>
  <c r="G952" i="2" a="1"/>
  <c r="G952" i="2" s="1"/>
  <c r="H953" i="2" a="1"/>
  <c r="H953" i="2" s="1"/>
  <c r="I954" i="2" a="1"/>
  <c r="I954" i="2" s="1"/>
  <c r="G956" i="2" a="1"/>
  <c r="G956" i="2" s="1"/>
  <c r="H957" i="2" a="1"/>
  <c r="H957" i="2" s="1"/>
  <c r="I958" i="2" a="1"/>
  <c r="I958" i="2" s="1"/>
  <c r="G960" i="2" a="1"/>
  <c r="G960" i="2" s="1"/>
  <c r="H961" i="2" a="1"/>
  <c r="H961" i="2" s="1"/>
  <c r="I962" i="2" a="1"/>
  <c r="I962" i="2" s="1"/>
  <c r="G964" i="2" a="1"/>
  <c r="G964" i="2" s="1"/>
  <c r="H965" i="2" a="1"/>
  <c r="H965" i="2" s="1"/>
  <c r="I966" i="2" a="1"/>
  <c r="I966" i="2" s="1"/>
  <c r="G968" i="2" a="1"/>
  <c r="G968" i="2" s="1"/>
  <c r="H969" i="2" a="1"/>
  <c r="H969" i="2" s="1"/>
  <c r="I970" i="2" a="1"/>
  <c r="I970" i="2" s="1"/>
  <c r="G972" i="2" a="1"/>
  <c r="G972" i="2" s="1"/>
  <c r="H973" i="2" a="1"/>
  <c r="H973" i="2" s="1"/>
  <c r="I974" i="2" a="1"/>
  <c r="I974" i="2" s="1"/>
  <c r="G976" i="2" a="1"/>
  <c r="G976" i="2" s="1"/>
  <c r="H977" i="2" a="1"/>
  <c r="H977" i="2" s="1"/>
  <c r="I978" i="2" a="1"/>
  <c r="I978" i="2" s="1"/>
  <c r="G980" i="2" a="1"/>
  <c r="G980" i="2" s="1"/>
  <c r="H981" i="2" a="1"/>
  <c r="H981" i="2" s="1"/>
  <c r="I982" i="2" a="1"/>
  <c r="I982" i="2" s="1"/>
  <c r="G984" i="2" a="1"/>
  <c r="G984" i="2" s="1"/>
  <c r="H985" i="2" a="1"/>
  <c r="H985" i="2" s="1"/>
  <c r="I986" i="2" a="1"/>
  <c r="I986" i="2" s="1"/>
  <c r="G988" i="2" a="1"/>
  <c r="G988" i="2" s="1"/>
  <c r="H989" i="2" a="1"/>
  <c r="H989" i="2" s="1"/>
  <c r="I990" i="2" a="1"/>
  <c r="I990" i="2" s="1"/>
  <c r="G992" i="2" a="1"/>
  <c r="G992" i="2" s="1"/>
  <c r="H993" i="2" a="1"/>
  <c r="H993" i="2" s="1"/>
  <c r="I994" i="2" a="1"/>
  <c r="I994" i="2" s="1"/>
  <c r="G996" i="2" a="1"/>
  <c r="G996" i="2" s="1"/>
  <c r="H997" i="2" a="1"/>
  <c r="H997" i="2" s="1"/>
  <c r="I998" i="2" a="1"/>
  <c r="I998" i="2" s="1"/>
  <c r="G1000" i="2" a="1"/>
  <c r="G1000" i="2" s="1"/>
  <c r="H1001" i="2" a="1"/>
  <c r="H1001" i="2" s="1"/>
  <c r="I1002" i="2" a="1"/>
  <c r="I1002" i="2" s="1"/>
  <c r="G1004" i="2" a="1"/>
  <c r="G1004" i="2" s="1"/>
  <c r="H1005" i="2" a="1"/>
  <c r="H1005" i="2" s="1"/>
  <c r="I1006" i="2" a="1"/>
  <c r="I1006" i="2" s="1"/>
  <c r="G1008" i="2" a="1"/>
  <c r="G1008" i="2" s="1"/>
  <c r="H1009" i="2" a="1"/>
  <c r="H1009" i="2" s="1"/>
  <c r="I1010" i="2" a="1"/>
  <c r="I1010" i="2" s="1"/>
  <c r="G1012" i="2" a="1"/>
  <c r="G1012" i="2" s="1"/>
  <c r="H1013" i="2" a="1"/>
  <c r="H1013" i="2" s="1"/>
  <c r="I1014" i="2" a="1"/>
  <c r="I1014" i="2" s="1"/>
  <c r="G1016" i="2" a="1"/>
  <c r="G1016" i="2" s="1"/>
  <c r="H1017" i="2" a="1"/>
  <c r="H1017" i="2" s="1"/>
  <c r="I1018" i="2" a="1"/>
  <c r="I1018" i="2" s="1"/>
  <c r="G1020" i="2" a="1"/>
  <c r="G1020" i="2" s="1"/>
  <c r="H1021" i="2" a="1"/>
  <c r="H1021" i="2" s="1"/>
  <c r="I1022" i="2" a="1"/>
  <c r="I1022" i="2" s="1"/>
  <c r="G1024" i="2" a="1"/>
  <c r="G1024" i="2" s="1"/>
  <c r="H1025" i="2" a="1"/>
  <c r="H1025" i="2" s="1"/>
  <c r="I1026" i="2" a="1"/>
  <c r="I1026" i="2" s="1"/>
  <c r="G1028" i="2" a="1"/>
  <c r="G1028" i="2" s="1"/>
  <c r="H1029" i="2" a="1"/>
  <c r="H1029" i="2" s="1"/>
  <c r="I1030" i="2" a="1"/>
  <c r="I1030" i="2" s="1"/>
  <c r="G1032" i="2" a="1"/>
  <c r="G1032" i="2" s="1"/>
  <c r="H1033" i="2" a="1"/>
  <c r="H1033" i="2" s="1"/>
  <c r="I1034" i="2" a="1"/>
  <c r="I1034" i="2" s="1"/>
  <c r="G1036" i="2" a="1"/>
  <c r="G1036" i="2" s="1"/>
  <c r="H1037" i="2" a="1"/>
  <c r="H1037" i="2" s="1"/>
  <c r="I1038" i="2" a="1"/>
  <c r="I1038" i="2" s="1"/>
  <c r="G1040" i="2" a="1"/>
  <c r="G1040" i="2" s="1"/>
  <c r="H1041" i="2" a="1"/>
  <c r="H1041" i="2" s="1"/>
  <c r="I1042" i="2" a="1"/>
  <c r="I1042" i="2" s="1"/>
  <c r="G1044" i="2" a="1"/>
  <c r="G1044" i="2" s="1"/>
  <c r="H1045" i="2" a="1"/>
  <c r="H1045" i="2" s="1"/>
  <c r="I1046" i="2" a="1"/>
  <c r="I1046" i="2" s="1"/>
  <c r="G1048" i="2" a="1"/>
  <c r="G1048" i="2" s="1"/>
  <c r="H1049" i="2" a="1"/>
  <c r="H1049" i="2" s="1"/>
  <c r="I1050" i="2" a="1"/>
  <c r="I1050" i="2" s="1"/>
  <c r="G1052" i="2" a="1"/>
  <c r="G1052" i="2" s="1"/>
  <c r="H1053" i="2" a="1"/>
  <c r="H1053" i="2" s="1"/>
  <c r="I1054" i="2" a="1"/>
  <c r="I1054" i="2" s="1"/>
  <c r="G1056" i="2" a="1"/>
  <c r="G1056" i="2" s="1"/>
  <c r="H1057" i="2" a="1"/>
  <c r="H1057" i="2" s="1"/>
  <c r="I1058" i="2" a="1"/>
  <c r="I1058" i="2" s="1"/>
  <c r="G1060" i="2" a="1"/>
  <c r="G1060" i="2" s="1"/>
  <c r="H1061" i="2" a="1"/>
  <c r="H1061" i="2" s="1"/>
  <c r="I1062" i="2" a="1"/>
  <c r="I1062" i="2" s="1"/>
  <c r="G1064" i="2" a="1"/>
  <c r="G1064" i="2" s="1"/>
  <c r="H1065" i="2" a="1"/>
  <c r="H1065" i="2" s="1"/>
  <c r="I1066" i="2" a="1"/>
  <c r="I1066" i="2" s="1"/>
  <c r="G1068" i="2" a="1"/>
  <c r="G1068" i="2" s="1"/>
  <c r="H1069" i="2" a="1"/>
  <c r="H1069" i="2" s="1"/>
  <c r="I1070" i="2" a="1"/>
  <c r="I1070" i="2" s="1"/>
  <c r="G1072" i="2" a="1"/>
  <c r="G1072" i="2" s="1"/>
  <c r="H1073" i="2" a="1"/>
  <c r="H1073" i="2" s="1"/>
  <c r="I1074" i="2" a="1"/>
  <c r="I1074" i="2" s="1"/>
  <c r="G1076" i="2" a="1"/>
  <c r="G1076" i="2" s="1"/>
  <c r="H1077" i="2" a="1"/>
  <c r="H1077" i="2" s="1"/>
  <c r="I1078" i="2" a="1"/>
  <c r="I1078" i="2" s="1"/>
  <c r="G1080" i="2" a="1"/>
  <c r="G1080" i="2" s="1"/>
  <c r="H1081" i="2" a="1"/>
  <c r="H1081" i="2" s="1"/>
  <c r="I1082" i="2" a="1"/>
  <c r="I1082" i="2" s="1"/>
  <c r="G1084" i="2" a="1"/>
  <c r="G1084" i="2" s="1"/>
  <c r="H1085" i="2" a="1"/>
  <c r="H1085" i="2" s="1"/>
  <c r="I1086" i="2" a="1"/>
  <c r="I1086" i="2" s="1"/>
  <c r="G1088" i="2" a="1"/>
  <c r="G1088" i="2" s="1"/>
  <c r="G1089" i="2" a="1"/>
  <c r="G1089" i="2" s="1"/>
  <c r="H1091" i="2" a="1"/>
  <c r="H1091" i="2" s="1"/>
  <c r="H1092" i="2" a="1"/>
  <c r="H1092" i="2" s="1"/>
  <c r="I1093" i="2" a="1"/>
  <c r="I1093" i="2" s="1"/>
  <c r="I1094" i="2" a="1"/>
  <c r="I1094" i="2" s="1"/>
  <c r="G1096" i="2" a="1"/>
  <c r="G1096" i="2" s="1"/>
  <c r="G1097" i="2" a="1"/>
  <c r="G1097" i="2" s="1"/>
  <c r="H1099" i="2" a="1"/>
  <c r="H1099" i="2" s="1"/>
  <c r="H1100" i="2" a="1"/>
  <c r="H1100" i="2" s="1"/>
  <c r="I1101" i="2" a="1"/>
  <c r="I1101" i="2" s="1"/>
  <c r="I1102" i="2" a="1"/>
  <c r="I1102" i="2" s="1"/>
  <c r="G1104" i="2" a="1"/>
  <c r="G1104" i="2" s="1"/>
  <c r="G1105" i="2" a="1"/>
  <c r="G1105" i="2" s="1"/>
  <c r="H1106" i="2" a="1"/>
  <c r="H1106" i="2" s="1"/>
  <c r="I1107" i="2" a="1"/>
  <c r="I1107" i="2" s="1"/>
  <c r="G1110" i="2" a="1"/>
  <c r="G1110" i="2" s="1"/>
  <c r="G1111" i="2" a="1"/>
  <c r="G1111" i="2" s="1"/>
  <c r="H1112" i="2" a="1"/>
  <c r="H1112" i="2" s="1"/>
  <c r="I1113" i="2" a="1"/>
  <c r="I1113" i="2" s="1"/>
  <c r="G1115" i="2" a="1"/>
  <c r="G1115" i="2" s="1"/>
  <c r="G1116" i="2" a="1"/>
  <c r="G1116" i="2" s="1"/>
  <c r="H1117" i="2" a="1"/>
  <c r="H1117" i="2" s="1"/>
  <c r="I1118" i="2" a="1"/>
  <c r="I1118" i="2" s="1"/>
  <c r="I1119" i="2" a="1"/>
  <c r="I1119" i="2" s="1"/>
  <c r="G1122" i="2" a="1"/>
  <c r="G1122" i="2" s="1"/>
  <c r="G1123" i="2" a="1"/>
  <c r="G1123" i="2" s="1"/>
  <c r="H1124" i="2" a="1"/>
  <c r="H1124" i="2" s="1"/>
  <c r="I1125" i="2" a="1"/>
  <c r="I1125" i="2" s="1"/>
  <c r="G1127" i="2" a="1"/>
  <c r="G1127" i="2" s="1"/>
  <c r="G1128" i="2" a="1"/>
  <c r="G1128" i="2" s="1"/>
  <c r="G1129" i="2" a="1"/>
  <c r="G1129" i="2" s="1"/>
  <c r="H1130" i="2" a="1"/>
  <c r="H1130" i="2" s="1"/>
  <c r="I1132" i="2" a="1"/>
  <c r="I1132" i="2" s="1"/>
  <c r="I1133" i="2" a="1"/>
  <c r="I1133" i="2" s="1"/>
  <c r="I1134" i="2" a="1"/>
  <c r="I1134" i="2" s="1"/>
  <c r="G1136" i="2" a="1"/>
  <c r="G1136" i="2" s="1"/>
  <c r="G1137" i="2" a="1"/>
  <c r="G1137" i="2" s="1"/>
  <c r="H1138" i="2" a="1"/>
  <c r="H1138" i="2" s="1"/>
  <c r="I1140" i="2" a="1"/>
  <c r="I1140" i="2" s="1"/>
  <c r="I1141" i="2" a="1"/>
  <c r="I1141" i="2" s="1"/>
  <c r="G1143" i="2" a="1"/>
  <c r="G1143" i="2" s="1"/>
  <c r="H1144" i="2" a="1"/>
  <c r="H1144" i="2" s="1"/>
  <c r="H1145" i="2" a="1"/>
  <c r="H1145" i="2" s="1"/>
  <c r="G291" i="2" a="1"/>
  <c r="G291" i="2" s="1"/>
  <c r="H360" i="2" a="1"/>
  <c r="H360" i="2" s="1"/>
  <c r="G429" i="2" a="1"/>
  <c r="G429" i="2" s="1"/>
  <c r="I451" i="2" a="1"/>
  <c r="I451" i="2" s="1"/>
  <c r="G471" i="2" a="1"/>
  <c r="G471" i="2" s="1"/>
  <c r="I491" i="2" a="1"/>
  <c r="I491" i="2" s="1"/>
  <c r="H512" i="2" a="1"/>
  <c r="H512" i="2" s="1"/>
  <c r="H532" i="2" a="1"/>
  <c r="H532" i="2" s="1"/>
  <c r="G553" i="2" a="1"/>
  <c r="G553" i="2" s="1"/>
  <c r="H574" i="2" a="1"/>
  <c r="H574" i="2" s="1"/>
  <c r="I593" i="2" a="1"/>
  <c r="I593" i="2" s="1"/>
  <c r="I600" i="2" a="1"/>
  <c r="I600" i="2" s="1"/>
  <c r="I607" i="2" a="1"/>
  <c r="I607" i="2" s="1"/>
  <c r="G613" i="2" a="1"/>
  <c r="G613" i="2" s="1"/>
  <c r="I617" i="2" a="1"/>
  <c r="I617" i="2" s="1"/>
  <c r="H627" i="2" a="1"/>
  <c r="H627" i="2" s="1"/>
  <c r="I632" i="2" a="1"/>
  <c r="I632" i="2" s="1"/>
  <c r="H637" i="2" a="1"/>
  <c r="H637" i="2" s="1"/>
  <c r="G642" i="2" a="1"/>
  <c r="G642" i="2" s="1"/>
  <c r="H647" i="2" a="1"/>
  <c r="H647" i="2" s="1"/>
  <c r="H652" i="2" a="1"/>
  <c r="H652" i="2" s="1"/>
  <c r="I661" i="2" a="1"/>
  <c r="I661" i="2" s="1"/>
  <c r="I666" i="2" a="1"/>
  <c r="I666" i="2" s="1"/>
  <c r="G672" i="2" a="1"/>
  <c r="G672" i="2" s="1"/>
  <c r="H677" i="2" a="1"/>
  <c r="H677" i="2" s="1"/>
  <c r="H682" i="2" a="1"/>
  <c r="H682" i="2" s="1"/>
  <c r="I687" i="2" a="1"/>
  <c r="I687" i="2" s="1"/>
  <c r="I692" i="2" a="1"/>
  <c r="I692" i="2" s="1"/>
  <c r="G698" i="2" a="1"/>
  <c r="G698" i="2" s="1"/>
  <c r="G703" i="2" a="1"/>
  <c r="G703" i="2" s="1"/>
  <c r="H708" i="2" a="1"/>
  <c r="H708" i="2" s="1"/>
  <c r="H713" i="2" a="1"/>
  <c r="H713" i="2" s="1"/>
  <c r="H718" i="2" a="1"/>
  <c r="H718" i="2" s="1"/>
  <c r="H723" i="2" a="1"/>
  <c r="H723" i="2" s="1"/>
  <c r="H728" i="2" a="1"/>
  <c r="H728" i="2" s="1"/>
  <c r="I737" i="2" a="1"/>
  <c r="I737" i="2" s="1"/>
  <c r="G743" i="2" a="1"/>
  <c r="G743" i="2" s="1"/>
  <c r="G748" i="2" a="1"/>
  <c r="G748" i="2" s="1"/>
  <c r="H753" i="2" a="1"/>
  <c r="H753" i="2" s="1"/>
  <c r="G758" i="2" a="1"/>
  <c r="G758" i="2" s="1"/>
  <c r="H760" i="2" a="1"/>
  <c r="H760" i="2" s="1"/>
  <c r="G763" i="2" a="1"/>
  <c r="G763" i="2" s="1"/>
  <c r="H765" i="2" a="1"/>
  <c r="H765" i="2" s="1"/>
  <c r="I767" i="2" a="1"/>
  <c r="I767" i="2" s="1"/>
  <c r="H769" i="2" a="1"/>
  <c r="H769" i="2" s="1"/>
  <c r="I770" i="2" a="1"/>
  <c r="I770" i="2" s="1"/>
  <c r="G772" i="2" a="1"/>
  <c r="G772" i="2" s="1"/>
  <c r="H774" i="2" a="1"/>
  <c r="H774" i="2" s="1"/>
  <c r="I775" i="2" a="1"/>
  <c r="I775" i="2" s="1"/>
  <c r="G777" i="2" a="1"/>
  <c r="G777" i="2" s="1"/>
  <c r="G778" i="2" a="1"/>
  <c r="G778" i="2" s="1"/>
  <c r="H779" i="2" a="1"/>
  <c r="H779" i="2" s="1"/>
  <c r="I780" i="2" a="1"/>
  <c r="I780" i="2" s="1"/>
  <c r="G782" i="2" a="1"/>
  <c r="G782" i="2" s="1"/>
  <c r="G783" i="2" a="1"/>
  <c r="G783" i="2" s="1"/>
  <c r="H784" i="2" a="1"/>
  <c r="H784" i="2" s="1"/>
  <c r="I785" i="2" a="1"/>
  <c r="I785" i="2" s="1"/>
  <c r="G787" i="2" a="1"/>
  <c r="G787" i="2" s="1"/>
  <c r="H788" i="2" a="1"/>
  <c r="H788" i="2" s="1"/>
  <c r="H789" i="2" a="1"/>
  <c r="H789" i="2" s="1"/>
  <c r="I790" i="2" a="1"/>
  <c r="I790" i="2" s="1"/>
  <c r="G792" i="2" a="1"/>
  <c r="G792" i="2" s="1"/>
  <c r="H794" i="2" a="1"/>
  <c r="H794" i="2" s="1"/>
  <c r="I795" i="2" a="1"/>
  <c r="I795" i="2" s="1"/>
  <c r="G797" i="2" a="1"/>
  <c r="G797" i="2" s="1"/>
  <c r="H798" i="2" a="1"/>
  <c r="H798" i="2" s="1"/>
  <c r="I799" i="2" a="1"/>
  <c r="I799" i="2" s="1"/>
  <c r="G801" i="2" a="1"/>
  <c r="G801" i="2" s="1"/>
  <c r="H802" i="2" a="1"/>
  <c r="H802" i="2" s="1"/>
  <c r="I803" i="2" a="1"/>
  <c r="I803" i="2" s="1"/>
  <c r="G805" i="2" a="1"/>
  <c r="G805" i="2" s="1"/>
  <c r="H806" i="2" a="1"/>
  <c r="H806" i="2" s="1"/>
  <c r="H807" i="2" a="1"/>
  <c r="H807" i="2" s="1"/>
  <c r="I808" i="2" a="1"/>
  <c r="I808" i="2" s="1"/>
  <c r="I809" i="2" a="1"/>
  <c r="I809" i="2" s="1"/>
  <c r="G811" i="2" a="1"/>
  <c r="G811" i="2" s="1"/>
  <c r="H812" i="2" a="1"/>
  <c r="H812" i="2" s="1"/>
  <c r="I813" i="2" a="1"/>
  <c r="I813" i="2" s="1"/>
  <c r="I814" i="2" a="1"/>
  <c r="I814" i="2" s="1"/>
  <c r="G816" i="2" a="1"/>
  <c r="G816" i="2" s="1"/>
  <c r="H817" i="2" a="1"/>
  <c r="H817" i="2" s="1"/>
  <c r="H818" i="2" a="1"/>
  <c r="H818" i="2" s="1"/>
  <c r="H819" i="2" a="1"/>
  <c r="H819" i="2" s="1"/>
  <c r="I820" i="2" a="1"/>
  <c r="I820" i="2" s="1"/>
  <c r="G822" i="2" a="1"/>
  <c r="G822" i="2" s="1"/>
  <c r="H823" i="2" a="1"/>
  <c r="H823" i="2" s="1"/>
  <c r="I824" i="2" a="1"/>
  <c r="I824" i="2" s="1"/>
  <c r="G826" i="2" a="1"/>
  <c r="G826" i="2" s="1"/>
  <c r="H827" i="2" a="1"/>
  <c r="H827" i="2" s="1"/>
  <c r="I828" i="2" a="1"/>
  <c r="I828" i="2" s="1"/>
  <c r="G830" i="2" a="1"/>
  <c r="G830" i="2" s="1"/>
  <c r="H831" i="2" a="1"/>
  <c r="H831" i="2" s="1"/>
  <c r="I832" i="2" a="1"/>
  <c r="I832" i="2" s="1"/>
  <c r="G834" i="2" a="1"/>
  <c r="G834" i="2" s="1"/>
  <c r="H835" i="2" a="1"/>
  <c r="H835" i="2" s="1"/>
  <c r="I836" i="2" a="1"/>
  <c r="I836" i="2" s="1"/>
  <c r="G838" i="2" a="1"/>
  <c r="G838" i="2" s="1"/>
  <c r="H840" i="2" a="1"/>
  <c r="H840" i="2" s="1"/>
  <c r="H841" i="2" a="1"/>
  <c r="H841" i="2" s="1"/>
  <c r="I842" i="2" a="1"/>
  <c r="I842" i="2" s="1"/>
  <c r="I843" i="2" a="1"/>
  <c r="I843" i="2" s="1"/>
  <c r="G845" i="2" a="1"/>
  <c r="G845" i="2" s="1"/>
  <c r="H846" i="2" a="1"/>
  <c r="H846" i="2" s="1"/>
  <c r="I847" i="2" a="1"/>
  <c r="I847" i="2" s="1"/>
  <c r="I848" i="2" a="1"/>
  <c r="I848" i="2" s="1"/>
  <c r="G850" i="2" a="1"/>
  <c r="G850" i="2" s="1"/>
  <c r="H851" i="2" a="1"/>
  <c r="H851" i="2" s="1"/>
  <c r="I853" i="2" a="1"/>
  <c r="I853" i="2" s="1"/>
  <c r="G855" i="2" a="1"/>
  <c r="G855" i="2" s="1"/>
  <c r="H856" i="2" a="1"/>
  <c r="H856" i="2" s="1"/>
  <c r="H857" i="2" a="1"/>
  <c r="H857" i="2" s="1"/>
  <c r="I858" i="2" a="1"/>
  <c r="I858" i="2" s="1"/>
  <c r="G860" i="2" a="1"/>
  <c r="G860" i="2" s="1"/>
  <c r="G861" i="2" a="1"/>
  <c r="G861" i="2" s="1"/>
  <c r="H862" i="2" a="1"/>
  <c r="H862" i="2" s="1"/>
  <c r="I863" i="2" a="1"/>
  <c r="I863" i="2" s="1"/>
  <c r="I864" i="2" a="1"/>
  <c r="I864" i="2" s="1"/>
  <c r="G866" i="2" a="1"/>
  <c r="G866" i="2" s="1"/>
  <c r="H868" i="2" a="1"/>
  <c r="H868" i="2" s="1"/>
  <c r="I869" i="2" a="1"/>
  <c r="I869" i="2" s="1"/>
  <c r="G871" i="2" a="1"/>
  <c r="G871" i="2" s="1"/>
  <c r="H872" i="2" a="1"/>
  <c r="H872" i="2" s="1"/>
  <c r="I873" i="2" a="1"/>
  <c r="I873" i="2" s="1"/>
  <c r="G875" i="2" a="1"/>
  <c r="G875" i="2" s="1"/>
  <c r="H876" i="2" a="1"/>
  <c r="H876" i="2" s="1"/>
  <c r="I877" i="2" a="1"/>
  <c r="I877" i="2" s="1"/>
  <c r="G879" i="2" a="1"/>
  <c r="G879" i="2" s="1"/>
  <c r="H880" i="2" a="1"/>
  <c r="H880" i="2" s="1"/>
  <c r="I881" i="2" a="1"/>
  <c r="I881" i="2" s="1"/>
  <c r="G883" i="2" a="1"/>
  <c r="G883" i="2" s="1"/>
  <c r="H884" i="2" a="1"/>
  <c r="H884" i="2" s="1"/>
  <c r="I885" i="2" a="1"/>
  <c r="I885" i="2" s="1"/>
  <c r="G887" i="2" a="1"/>
  <c r="G887" i="2" s="1"/>
  <c r="H888" i="2" a="1"/>
  <c r="H888" i="2" s="1"/>
  <c r="I889" i="2" a="1"/>
  <c r="I889" i="2" s="1"/>
  <c r="G891" i="2" a="1"/>
  <c r="G891" i="2" s="1"/>
  <c r="H892" i="2" a="1"/>
  <c r="H892" i="2" s="1"/>
  <c r="I893" i="2" a="1"/>
  <c r="I893" i="2" s="1"/>
  <c r="G895" i="2" a="1"/>
  <c r="G895" i="2" s="1"/>
  <c r="H896" i="2" a="1"/>
  <c r="H896" i="2" s="1"/>
  <c r="I897" i="2" a="1"/>
  <c r="I897" i="2" s="1"/>
  <c r="G899" i="2" a="1"/>
  <c r="G899" i="2" s="1"/>
  <c r="H900" i="2" a="1"/>
  <c r="H900" i="2" s="1"/>
  <c r="I901" i="2" a="1"/>
  <c r="I901" i="2" s="1"/>
  <c r="G903" i="2" a="1"/>
  <c r="G903" i="2" s="1"/>
  <c r="H904" i="2" a="1"/>
  <c r="H904" i="2" s="1"/>
  <c r="I905" i="2" a="1"/>
  <c r="I905" i="2" s="1"/>
  <c r="G907" i="2" a="1"/>
  <c r="G907" i="2" s="1"/>
  <c r="H908" i="2" a="1"/>
  <c r="H908" i="2" s="1"/>
  <c r="I909" i="2" a="1"/>
  <c r="I909" i="2" s="1"/>
  <c r="G911" i="2" a="1"/>
  <c r="G911" i="2" s="1"/>
  <c r="H912" i="2" a="1"/>
  <c r="H912" i="2" s="1"/>
  <c r="I913" i="2" a="1"/>
  <c r="I913" i="2" s="1"/>
  <c r="G915" i="2" a="1"/>
  <c r="G915" i="2" s="1"/>
  <c r="H916" i="2" a="1"/>
  <c r="H916" i="2" s="1"/>
  <c r="I917" i="2" a="1"/>
  <c r="I917" i="2" s="1"/>
  <c r="G919" i="2" a="1"/>
  <c r="G919" i="2" s="1"/>
  <c r="H920" i="2" a="1"/>
  <c r="H920" i="2" s="1"/>
  <c r="I921" i="2" a="1"/>
  <c r="I921" i="2" s="1"/>
  <c r="G923" i="2" a="1"/>
  <c r="G923" i="2" s="1"/>
  <c r="H924" i="2" a="1"/>
  <c r="H924" i="2" s="1"/>
  <c r="I925" i="2" a="1"/>
  <c r="I925" i="2" s="1"/>
  <c r="G927" i="2" a="1"/>
  <c r="G927" i="2" s="1"/>
  <c r="H928" i="2" a="1"/>
  <c r="H928" i="2" s="1"/>
  <c r="I929" i="2" a="1"/>
  <c r="I929" i="2" s="1"/>
  <c r="G931" i="2" a="1"/>
  <c r="G931" i="2" s="1"/>
  <c r="H932" i="2" a="1"/>
  <c r="H932" i="2" s="1"/>
  <c r="I933" i="2" a="1"/>
  <c r="I933" i="2" s="1"/>
  <c r="G935" i="2" a="1"/>
  <c r="G935" i="2" s="1"/>
  <c r="H936" i="2" a="1"/>
  <c r="H936" i="2" s="1"/>
  <c r="I937" i="2" a="1"/>
  <c r="I937" i="2" s="1"/>
  <c r="G939" i="2" a="1"/>
  <c r="G939" i="2" s="1"/>
  <c r="H940" i="2" a="1"/>
  <c r="H940" i="2" s="1"/>
  <c r="I941" i="2" a="1"/>
  <c r="I941" i="2" s="1"/>
  <c r="G943" i="2" a="1"/>
  <c r="G943" i="2" s="1"/>
  <c r="H944" i="2" a="1"/>
  <c r="H944" i="2" s="1"/>
  <c r="I945" i="2" a="1"/>
  <c r="I945" i="2" s="1"/>
  <c r="G947" i="2" a="1"/>
  <c r="G947" i="2" s="1"/>
  <c r="H948" i="2" a="1"/>
  <c r="H948" i="2" s="1"/>
  <c r="I949" i="2" a="1"/>
  <c r="I949" i="2" s="1"/>
  <c r="G951" i="2" a="1"/>
  <c r="G951" i="2" s="1"/>
  <c r="H952" i="2" a="1"/>
  <c r="H952" i="2" s="1"/>
  <c r="I953" i="2" a="1"/>
  <c r="I953" i="2" s="1"/>
  <c r="G955" i="2" a="1"/>
  <c r="G955" i="2" s="1"/>
  <c r="H956" i="2" a="1"/>
  <c r="H956" i="2" s="1"/>
  <c r="I957" i="2" a="1"/>
  <c r="I957" i="2" s="1"/>
  <c r="G959" i="2" a="1"/>
  <c r="G959" i="2" s="1"/>
  <c r="H960" i="2" a="1"/>
  <c r="H960" i="2" s="1"/>
  <c r="I961" i="2" a="1"/>
  <c r="I961" i="2" s="1"/>
  <c r="G963" i="2" a="1"/>
  <c r="G963" i="2" s="1"/>
  <c r="H964" i="2" a="1"/>
  <c r="H964" i="2" s="1"/>
  <c r="I965" i="2" a="1"/>
  <c r="I965" i="2" s="1"/>
  <c r="G967" i="2" a="1"/>
  <c r="G967" i="2" s="1"/>
  <c r="H968" i="2" a="1"/>
  <c r="H968" i="2" s="1"/>
  <c r="I969" i="2" a="1"/>
  <c r="I969" i="2" s="1"/>
  <c r="G971" i="2" a="1"/>
  <c r="G971" i="2" s="1"/>
  <c r="H972" i="2" a="1"/>
  <c r="H972" i="2" s="1"/>
  <c r="I973" i="2" a="1"/>
  <c r="I973" i="2" s="1"/>
  <c r="G975" i="2" a="1"/>
  <c r="G975" i="2" s="1"/>
  <c r="H976" i="2" a="1"/>
  <c r="H976" i="2" s="1"/>
  <c r="I977" i="2" a="1"/>
  <c r="I977" i="2" s="1"/>
  <c r="G979" i="2" a="1"/>
  <c r="G979" i="2" s="1"/>
  <c r="H980" i="2" a="1"/>
  <c r="H980" i="2" s="1"/>
  <c r="I981" i="2" a="1"/>
  <c r="I981" i="2" s="1"/>
  <c r="G983" i="2" a="1"/>
  <c r="G983" i="2" s="1"/>
  <c r="H984" i="2" a="1"/>
  <c r="H984" i="2" s="1"/>
  <c r="I985" i="2" a="1"/>
  <c r="I985" i="2" s="1"/>
  <c r="G987" i="2" a="1"/>
  <c r="G987" i="2" s="1"/>
  <c r="H988" i="2" a="1"/>
  <c r="H988" i="2" s="1"/>
  <c r="I989" i="2" a="1"/>
  <c r="I989" i="2" s="1"/>
  <c r="G991" i="2" a="1"/>
  <c r="G991" i="2" s="1"/>
  <c r="H992" i="2" a="1"/>
  <c r="H992" i="2" s="1"/>
  <c r="I993" i="2" a="1"/>
  <c r="I993" i="2" s="1"/>
  <c r="G995" i="2" a="1"/>
  <c r="G995" i="2" s="1"/>
  <c r="H996" i="2" a="1"/>
  <c r="H996" i="2" s="1"/>
  <c r="I997" i="2" a="1"/>
  <c r="I997" i="2" s="1"/>
  <c r="G999" i="2" a="1"/>
  <c r="G999" i="2" s="1"/>
  <c r="H1000" i="2" a="1"/>
  <c r="H1000" i="2" s="1"/>
  <c r="I1001" i="2" a="1"/>
  <c r="I1001" i="2" s="1"/>
  <c r="G1003" i="2" a="1"/>
  <c r="G1003" i="2" s="1"/>
  <c r="H1004" i="2" a="1"/>
  <c r="H1004" i="2" s="1"/>
  <c r="I1005" i="2" a="1"/>
  <c r="I1005" i="2" s="1"/>
  <c r="G1007" i="2" a="1"/>
  <c r="G1007" i="2" s="1"/>
  <c r="H1008" i="2" a="1"/>
  <c r="H1008" i="2" s="1"/>
  <c r="I1009" i="2" a="1"/>
  <c r="I1009" i="2" s="1"/>
  <c r="G1011" i="2" a="1"/>
  <c r="G1011" i="2" s="1"/>
  <c r="H1012" i="2" a="1"/>
  <c r="H1012" i="2" s="1"/>
  <c r="I1013" i="2" a="1"/>
  <c r="I1013" i="2" s="1"/>
  <c r="G1015" i="2" a="1"/>
  <c r="G1015" i="2" s="1"/>
  <c r="H1016" i="2" a="1"/>
  <c r="H1016" i="2" s="1"/>
  <c r="I1017" i="2" a="1"/>
  <c r="I1017" i="2" s="1"/>
  <c r="G1019" i="2" a="1"/>
  <c r="G1019" i="2" s="1"/>
  <c r="H1020" i="2" a="1"/>
  <c r="H1020" i="2" s="1"/>
  <c r="I1021" i="2" a="1"/>
  <c r="I1021" i="2" s="1"/>
  <c r="G1023" i="2" a="1"/>
  <c r="G1023" i="2" s="1"/>
  <c r="H1024" i="2" a="1"/>
  <c r="H1024" i="2" s="1"/>
  <c r="I1025" i="2" a="1"/>
  <c r="I1025" i="2" s="1"/>
  <c r="G1027" i="2" a="1"/>
  <c r="G1027" i="2" s="1"/>
  <c r="H1028" i="2" a="1"/>
  <c r="H1028" i="2" s="1"/>
  <c r="I1029" i="2" a="1"/>
  <c r="I1029" i="2" s="1"/>
  <c r="G1031" i="2" a="1"/>
  <c r="G1031" i="2" s="1"/>
  <c r="H1032" i="2" a="1"/>
  <c r="H1032" i="2" s="1"/>
  <c r="I1033" i="2" a="1"/>
  <c r="I1033" i="2" s="1"/>
  <c r="G1035" i="2" a="1"/>
  <c r="G1035" i="2" s="1"/>
  <c r="H1036" i="2" a="1"/>
  <c r="H1036" i="2" s="1"/>
  <c r="I1037" i="2" a="1"/>
  <c r="I1037" i="2" s="1"/>
  <c r="G1039" i="2" a="1"/>
  <c r="G1039" i="2" s="1"/>
  <c r="H1040" i="2" a="1"/>
  <c r="H1040" i="2" s="1"/>
  <c r="I1041" i="2" a="1"/>
  <c r="I1041" i="2" s="1"/>
  <c r="G1043" i="2" a="1"/>
  <c r="G1043" i="2" s="1"/>
  <c r="H1044" i="2" a="1"/>
  <c r="H1044" i="2" s="1"/>
  <c r="I1045" i="2" a="1"/>
  <c r="I1045" i="2" s="1"/>
  <c r="G1047" i="2" a="1"/>
  <c r="G1047" i="2" s="1"/>
  <c r="H1048" i="2" a="1"/>
  <c r="H1048" i="2" s="1"/>
  <c r="I1049" i="2" a="1"/>
  <c r="I1049" i="2" s="1"/>
  <c r="G1051" i="2" a="1"/>
  <c r="G1051" i="2" s="1"/>
  <c r="H1052" i="2" a="1"/>
  <c r="H1052" i="2" s="1"/>
  <c r="I1053" i="2" a="1"/>
  <c r="I1053" i="2" s="1"/>
  <c r="G1055" i="2" a="1"/>
  <c r="G1055" i="2" s="1"/>
  <c r="H1056" i="2" a="1"/>
  <c r="H1056" i="2" s="1"/>
  <c r="I1057" i="2" a="1"/>
  <c r="I1057" i="2" s="1"/>
  <c r="G1059" i="2" a="1"/>
  <c r="G1059" i="2" s="1"/>
  <c r="H1060" i="2" a="1"/>
  <c r="H1060" i="2" s="1"/>
  <c r="I1061" i="2" a="1"/>
  <c r="I1061" i="2" s="1"/>
  <c r="G1063" i="2" a="1"/>
  <c r="G1063" i="2" s="1"/>
  <c r="H1064" i="2" a="1"/>
  <c r="H1064" i="2" s="1"/>
  <c r="I1065" i="2" a="1"/>
  <c r="I1065" i="2" s="1"/>
  <c r="G1067" i="2" a="1"/>
  <c r="G1067" i="2" s="1"/>
  <c r="H1068" i="2" a="1"/>
  <c r="H1068" i="2" s="1"/>
  <c r="I1069" i="2" a="1"/>
  <c r="I1069" i="2" s="1"/>
  <c r="G1071" i="2" a="1"/>
  <c r="G1071" i="2" s="1"/>
  <c r="H1072" i="2" a="1"/>
  <c r="H1072" i="2" s="1"/>
  <c r="I1073" i="2" a="1"/>
  <c r="I1073" i="2" s="1"/>
  <c r="G1075" i="2" a="1"/>
  <c r="G1075" i="2" s="1"/>
  <c r="H1076" i="2" a="1"/>
  <c r="H1076" i="2" s="1"/>
  <c r="I1077" i="2" a="1"/>
  <c r="I1077" i="2" s="1"/>
  <c r="G1079" i="2" a="1"/>
  <c r="G1079" i="2" s="1"/>
  <c r="H1080" i="2" a="1"/>
  <c r="H1080" i="2" s="1"/>
  <c r="I1081" i="2" a="1"/>
  <c r="I1081" i="2" s="1"/>
  <c r="G1083" i="2" a="1"/>
  <c r="G1083" i="2" s="1"/>
  <c r="H1084" i="2" a="1"/>
  <c r="H1084" i="2" s="1"/>
  <c r="I1085" i="2" a="1"/>
  <c r="I1085" i="2" s="1"/>
  <c r="G1087" i="2" a="1"/>
  <c r="G1087" i="2" s="1"/>
  <c r="H1088" i="2" a="1"/>
  <c r="H1088" i="2" s="1"/>
  <c r="H1089" i="2" a="1"/>
  <c r="H1089" i="2" s="1"/>
  <c r="H1090" i="2" a="1"/>
  <c r="H1090" i="2" s="1"/>
  <c r="I1092" i="2" a="1"/>
  <c r="I1092" i="2" s="1"/>
  <c r="G1094" i="2" a="1"/>
  <c r="G1094" i="2" s="1"/>
  <c r="G1095" i="2" a="1"/>
  <c r="G1095" i="2" s="1"/>
  <c r="H1096" i="2" a="1"/>
  <c r="H1096" i="2" s="1"/>
  <c r="H1097" i="2" a="1"/>
  <c r="H1097" i="2" s="1"/>
  <c r="H1098" i="2" a="1"/>
  <c r="H1098" i="2" s="1"/>
  <c r="I1100" i="2" a="1"/>
  <c r="I1100" i="2" s="1"/>
  <c r="G1102" i="2" a="1"/>
  <c r="G1102" i="2" s="1"/>
  <c r="G1103" i="2" a="1"/>
  <c r="G1103" i="2" s="1"/>
  <c r="H1104" i="2" a="1"/>
  <c r="H1104" i="2" s="1"/>
  <c r="H1105" i="2" a="1"/>
  <c r="H1105" i="2" s="1"/>
  <c r="I1106" i="2" a="1"/>
  <c r="I1106" i="2" s="1"/>
  <c r="G1108" i="2" a="1"/>
  <c r="G1108" i="2" s="1"/>
  <c r="G1109" i="2" a="1"/>
  <c r="G1109" i="2" s="1"/>
  <c r="H1111" i="2" a="1"/>
  <c r="H1111" i="2" s="1"/>
  <c r="I1112" i="2" a="1"/>
  <c r="I1112" i="2" s="1"/>
  <c r="G1114" i="2" a="1"/>
  <c r="G1114" i="2" s="1"/>
  <c r="H1115" i="2" a="1"/>
  <c r="H1115" i="2" s="1"/>
  <c r="H1116" i="2" a="1"/>
  <c r="H1116" i="2" s="1"/>
  <c r="I1117" i="2" a="1"/>
  <c r="I1117" i="2" s="1"/>
  <c r="G1119" i="2" a="1"/>
  <c r="G1119" i="2" s="1"/>
  <c r="G1120" i="2" a="1"/>
  <c r="G1120" i="2" s="1"/>
  <c r="G1121" i="2" a="1"/>
  <c r="G1121" i="2" s="1"/>
  <c r="H1123" i="2" a="1"/>
  <c r="H1123" i="2" s="1"/>
  <c r="I1124" i="2" a="1"/>
  <c r="I1124" i="2" s="1"/>
  <c r="G1126" i="2" a="1"/>
  <c r="G1126" i="2" s="1"/>
  <c r="H1127" i="2" a="1"/>
  <c r="H1127" i="2" s="1"/>
  <c r="H1128" i="2" a="1"/>
  <c r="H1128" i="2" s="1"/>
  <c r="H1129" i="2" a="1"/>
  <c r="H1129" i="2" s="1"/>
  <c r="I1130" i="2" a="1"/>
  <c r="I1130" i="2" s="1"/>
  <c r="I1131" i="2" a="1"/>
  <c r="I1131" i="2" s="1"/>
  <c r="G1134" i="2" a="1"/>
  <c r="G1134" i="2" s="1"/>
  <c r="G1135" i="2" a="1"/>
  <c r="G1135" i="2" s="1"/>
  <c r="H1136" i="2" a="1"/>
  <c r="H1136" i="2" s="1"/>
  <c r="H1137" i="2" a="1"/>
  <c r="H1137" i="2" s="1"/>
  <c r="I1138" i="2" a="1"/>
  <c r="I1138" i="2" s="1"/>
  <c r="I1139" i="2" a="1"/>
  <c r="I1139" i="2" s="1"/>
  <c r="G1142" i="2" a="1"/>
  <c r="G1142" i="2" s="1"/>
  <c r="H1143" i="2" a="1"/>
  <c r="H1143" i="2" s="1"/>
  <c r="I1144" i="2" a="1"/>
  <c r="I1144" i="2" s="1"/>
  <c r="I1145" i="2" a="1"/>
  <c r="I1145" i="2" s="1"/>
  <c r="G222" i="2" a="1"/>
  <c r="G222" i="2" s="1"/>
  <c r="G326" i="2" a="1"/>
  <c r="G326" i="2" s="1"/>
  <c r="H398" i="2" a="1"/>
  <c r="H398" i="2" s="1"/>
  <c r="I441" i="2" a="1"/>
  <c r="I441" i="2" s="1"/>
  <c r="I461" i="2" a="1"/>
  <c r="I461" i="2" s="1"/>
  <c r="H481" i="2" a="1"/>
  <c r="H481" i="2" s="1"/>
  <c r="G522" i="2" a="1"/>
  <c r="G522" i="2" s="1"/>
  <c r="H542" i="2" a="1"/>
  <c r="H542" i="2" s="1"/>
  <c r="I563" i="2" a="1"/>
  <c r="I563" i="2" s="1"/>
  <c r="G585" i="2" a="1"/>
  <c r="G585" i="2" s="1"/>
  <c r="H597" i="2" a="1"/>
  <c r="H597" i="2" s="1"/>
  <c r="G604" i="2" a="1"/>
  <c r="G604" i="2" s="1"/>
  <c r="I610" i="2" a="1"/>
  <c r="I610" i="2" s="1"/>
  <c r="H615" i="2" a="1"/>
  <c r="H615" i="2" s="1"/>
  <c r="G620" i="2" a="1"/>
  <c r="G620" i="2" s="1"/>
  <c r="G625" i="2" a="1"/>
  <c r="G625" i="2" s="1"/>
  <c r="G630" i="2" a="1"/>
  <c r="G630" i="2" s="1"/>
  <c r="G635" i="2" a="1"/>
  <c r="G635" i="2" s="1"/>
  <c r="I639" i="2" a="1"/>
  <c r="I639" i="2" s="1"/>
  <c r="I644" i="2" a="1"/>
  <c r="I644" i="2" s="1"/>
  <c r="I649" i="2" a="1"/>
  <c r="I649" i="2" s="1"/>
  <c r="G655" i="2" a="1"/>
  <c r="G655" i="2" s="1"/>
  <c r="I659" i="2" a="1"/>
  <c r="I659" i="2" s="1"/>
  <c r="H664" i="2" a="1"/>
  <c r="H664" i="2" s="1"/>
  <c r="H669" i="2" a="1"/>
  <c r="H669" i="2" s="1"/>
  <c r="I674" i="2" a="1"/>
  <c r="I674" i="2" s="1"/>
  <c r="I679" i="2" a="1"/>
  <c r="I679" i="2" s="1"/>
  <c r="G685" i="2" a="1"/>
  <c r="G685" i="2" s="1"/>
  <c r="H690" i="2" a="1"/>
  <c r="H690" i="2" s="1"/>
  <c r="H695" i="2" a="1"/>
  <c r="H695" i="2" s="1"/>
  <c r="I700" i="2" a="1"/>
  <c r="I700" i="2" s="1"/>
  <c r="I705" i="2" a="1"/>
  <c r="I705" i="2" s="1"/>
  <c r="G711" i="2" a="1"/>
  <c r="G711" i="2" s="1"/>
  <c r="I715" i="2" a="1"/>
  <c r="I715" i="2" s="1"/>
  <c r="I720" i="2" a="1"/>
  <c r="I720" i="2" s="1"/>
  <c r="G726" i="2" a="1"/>
  <c r="G726" i="2" s="1"/>
  <c r="I730" i="2" a="1"/>
  <c r="I730" i="2" s="1"/>
  <c r="H735" i="2" a="1"/>
  <c r="H735" i="2" s="1"/>
  <c r="H740" i="2" a="1"/>
  <c r="H740" i="2" s="1"/>
  <c r="I745" i="2" a="1"/>
  <c r="I745" i="2" s="1"/>
  <c r="I750" i="2" a="1"/>
  <c r="I750" i="2" s="1"/>
  <c r="G759" i="2" a="1"/>
  <c r="G759" i="2" s="1"/>
  <c r="I761" i="2" a="1"/>
  <c r="I761" i="2" s="1"/>
  <c r="G764" i="2" a="1"/>
  <c r="G764" i="2" s="1"/>
  <c r="G769" i="2" a="1"/>
  <c r="G769" i="2" s="1"/>
  <c r="G770" i="2" a="1"/>
  <c r="G770" i="2" s="1"/>
  <c r="H771" i="2" a="1"/>
  <c r="H771" i="2" s="1"/>
  <c r="I772" i="2" a="1"/>
  <c r="I772" i="2" s="1"/>
  <c r="I773" i="2" a="1"/>
  <c r="I773" i="2" s="1"/>
  <c r="G775" i="2" a="1"/>
  <c r="G775" i="2" s="1"/>
  <c r="H776" i="2" a="1"/>
  <c r="H776" i="2" s="1"/>
  <c r="H777" i="2" a="1"/>
  <c r="H777" i="2" s="1"/>
  <c r="I778" i="2" a="1"/>
  <c r="I778" i="2" s="1"/>
  <c r="G780" i="2" a="1"/>
  <c r="G780" i="2" s="1"/>
  <c r="H781" i="2" a="1"/>
  <c r="H781" i="2" s="1"/>
  <c r="I783" i="2" a="1"/>
  <c r="I783" i="2" s="1"/>
  <c r="G785" i="2" a="1"/>
  <c r="G785" i="2" s="1"/>
  <c r="H786" i="2" a="1"/>
  <c r="H786" i="2" s="1"/>
  <c r="I787" i="2" a="1"/>
  <c r="I787" i="2" s="1"/>
  <c r="G789" i="2" a="1"/>
  <c r="G789" i="2" s="1"/>
  <c r="G790" i="2" a="1"/>
  <c r="G790" i="2" s="1"/>
  <c r="H791" i="2" a="1"/>
  <c r="H791" i="2" s="1"/>
  <c r="I792" i="2" a="1"/>
  <c r="I792" i="2" s="1"/>
  <c r="I793" i="2" a="1"/>
  <c r="I793" i="2" s="1"/>
  <c r="G795" i="2" a="1"/>
  <c r="G795" i="2" s="1"/>
  <c r="H796" i="2" a="1"/>
  <c r="H796" i="2" s="1"/>
  <c r="I797" i="2" a="1"/>
  <c r="I797" i="2" s="1"/>
  <c r="G799" i="2" a="1"/>
  <c r="G799" i="2" s="1"/>
  <c r="H800" i="2" a="1"/>
  <c r="H800" i="2" s="1"/>
  <c r="I801" i="2" a="1"/>
  <c r="I801" i="2" s="1"/>
  <c r="G803" i="2" a="1"/>
  <c r="G803" i="2" s="1"/>
  <c r="H804" i="2" a="1"/>
  <c r="H804" i="2" s="1"/>
  <c r="I805" i="2" a="1"/>
  <c r="I805" i="2" s="1"/>
  <c r="I806" i="2" a="1"/>
  <c r="I806" i="2" s="1"/>
  <c r="G808" i="2" a="1"/>
  <c r="G808" i="2" s="1"/>
  <c r="H810" i="2" a="1"/>
  <c r="H810" i="2" s="1"/>
  <c r="I811" i="2" a="1"/>
  <c r="I811" i="2" s="1"/>
  <c r="G813" i="2" a="1"/>
  <c r="G813" i="2" s="1"/>
  <c r="H814" i="2" a="1"/>
  <c r="H814" i="2" s="1"/>
  <c r="H815" i="2" a="1"/>
  <c r="H815" i="2" s="1"/>
  <c r="I816" i="2" a="1"/>
  <c r="I816" i="2" s="1"/>
  <c r="G819" i="2" a="1"/>
  <c r="G819" i="2" s="1"/>
  <c r="G820" i="2" a="1"/>
  <c r="G820" i="2" s="1"/>
  <c r="H821" i="2" a="1"/>
  <c r="H821" i="2" s="1"/>
  <c r="I822" i="2" a="1"/>
  <c r="I822" i="2" s="1"/>
  <c r="G824" i="2" a="1"/>
  <c r="G824" i="2" s="1"/>
  <c r="H825" i="2" a="1"/>
  <c r="H825" i="2" s="1"/>
  <c r="I826" i="2" a="1"/>
  <c r="I826" i="2" s="1"/>
  <c r="G828" i="2" a="1"/>
  <c r="G828" i="2" s="1"/>
  <c r="H829" i="2" a="1"/>
  <c r="H829" i="2" s="1"/>
  <c r="I830" i="2" a="1"/>
  <c r="I830" i="2" s="1"/>
  <c r="G832" i="2" a="1"/>
  <c r="G832" i="2" s="1"/>
  <c r="H833" i="2" a="1"/>
  <c r="H833" i="2" s="1"/>
  <c r="I834" i="2" a="1"/>
  <c r="I834" i="2" s="1"/>
  <c r="G836" i="2" a="1"/>
  <c r="G836" i="2" s="1"/>
  <c r="H837" i="2" a="1"/>
  <c r="H837" i="2" s="1"/>
  <c r="I838" i="2" a="1"/>
  <c r="I838" i="2" s="1"/>
  <c r="I839" i="2" a="1"/>
  <c r="I839" i="2" s="1"/>
  <c r="I840" i="2" a="1"/>
  <c r="I840" i="2" s="1"/>
  <c r="G842" i="2" a="1"/>
  <c r="G842" i="2" s="1"/>
  <c r="H844" i="2" a="1"/>
  <c r="H844" i="2" s="1"/>
  <c r="I845" i="2" a="1"/>
  <c r="I845" i="2" s="1"/>
  <c r="G847" i="2" a="1"/>
  <c r="G847" i="2" s="1"/>
  <c r="H848" i="2" a="1"/>
  <c r="H848" i="2" s="1"/>
  <c r="H849" i="2" a="1"/>
  <c r="H849" i="2" s="1"/>
  <c r="I850" i="2" a="1"/>
  <c r="I850" i="2" s="1"/>
  <c r="G852" i="2" a="1"/>
  <c r="G852" i="2" s="1"/>
  <c r="G853" i="2" a="1"/>
  <c r="G853" i="2" s="1"/>
  <c r="H854" i="2" a="1"/>
  <c r="H854" i="2" s="1"/>
  <c r="I855" i="2" a="1"/>
  <c r="I855" i="2" s="1"/>
  <c r="I856" i="2" a="1"/>
  <c r="I856" i="2" s="1"/>
  <c r="G858" i="2" a="1"/>
  <c r="G858" i="2" s="1"/>
  <c r="H859" i="2" a="1"/>
  <c r="H859" i="2" s="1"/>
  <c r="I861" i="2" a="1"/>
  <c r="I861" i="2" s="1"/>
  <c r="G863" i="2" a="1"/>
  <c r="G863" i="2" s="1"/>
  <c r="H864" i="2" a="1"/>
  <c r="H864" i="2" s="1"/>
  <c r="H865" i="2" a="1"/>
  <c r="H865" i="2" s="1"/>
  <c r="I866" i="2" a="1"/>
  <c r="I866" i="2" s="1"/>
  <c r="I867" i="2" a="1"/>
  <c r="I867" i="2" s="1"/>
  <c r="G869" i="2" a="1"/>
  <c r="G869" i="2" s="1"/>
  <c r="H870" i="2" a="1"/>
  <c r="H870" i="2" s="1"/>
  <c r="I871" i="2" a="1"/>
  <c r="I871" i="2" s="1"/>
  <c r="G873" i="2" a="1"/>
  <c r="G873" i="2" s="1"/>
  <c r="H874" i="2" a="1"/>
  <c r="H874" i="2" s="1"/>
  <c r="I875" i="2" a="1"/>
  <c r="I875" i="2" s="1"/>
  <c r="G877" i="2" a="1"/>
  <c r="G877" i="2" s="1"/>
  <c r="H878" i="2" a="1"/>
  <c r="H878" i="2" s="1"/>
  <c r="I879" i="2" a="1"/>
  <c r="I879" i="2" s="1"/>
  <c r="G881" i="2" a="1"/>
  <c r="G881" i="2" s="1"/>
  <c r="H882" i="2" a="1"/>
  <c r="H882" i="2" s="1"/>
  <c r="I883" i="2" a="1"/>
  <c r="I883" i="2" s="1"/>
  <c r="G885" i="2" a="1"/>
  <c r="G885" i="2" s="1"/>
  <c r="H886" i="2" a="1"/>
  <c r="H886" i="2" s="1"/>
  <c r="I887" i="2" a="1"/>
  <c r="I887" i="2" s="1"/>
  <c r="G889" i="2" a="1"/>
  <c r="G889" i="2" s="1"/>
  <c r="H890" i="2" a="1"/>
  <c r="H890" i="2" s="1"/>
  <c r="I891" i="2" a="1"/>
  <c r="I891" i="2" s="1"/>
  <c r="G893" i="2" a="1"/>
  <c r="G893" i="2" s="1"/>
  <c r="H894" i="2" a="1"/>
  <c r="H894" i="2" s="1"/>
  <c r="I895" i="2" a="1"/>
  <c r="I895" i="2" s="1"/>
  <c r="G897" i="2" a="1"/>
  <c r="G897" i="2" s="1"/>
  <c r="H898" i="2" a="1"/>
  <c r="H898" i="2" s="1"/>
  <c r="I899" i="2" a="1"/>
  <c r="I899" i="2" s="1"/>
  <c r="G901" i="2" a="1"/>
  <c r="G901" i="2" s="1"/>
  <c r="H902" i="2" a="1"/>
  <c r="H902" i="2" s="1"/>
  <c r="I903" i="2" a="1"/>
  <c r="I903" i="2" s="1"/>
  <c r="G905" i="2" a="1"/>
  <c r="G905" i="2" s="1"/>
  <c r="H906" i="2" a="1"/>
  <c r="H906" i="2" s="1"/>
  <c r="I907" i="2" a="1"/>
  <c r="I907" i="2" s="1"/>
  <c r="G909" i="2" a="1"/>
  <c r="G909" i="2" s="1"/>
  <c r="H910" i="2" a="1"/>
  <c r="H910" i="2" s="1"/>
  <c r="I911" i="2" a="1"/>
  <c r="I911" i="2" s="1"/>
  <c r="G913" i="2" a="1"/>
  <c r="G913" i="2" s="1"/>
  <c r="H914" i="2" a="1"/>
  <c r="H914" i="2" s="1"/>
  <c r="I915" i="2" a="1"/>
  <c r="I915" i="2" s="1"/>
  <c r="G917" i="2" a="1"/>
  <c r="G917" i="2" s="1"/>
  <c r="H918" i="2" a="1"/>
  <c r="H918" i="2" s="1"/>
  <c r="I919" i="2" a="1"/>
  <c r="I919" i="2" s="1"/>
  <c r="G921" i="2" a="1"/>
  <c r="G921" i="2" s="1"/>
  <c r="H922" i="2" a="1"/>
  <c r="H922" i="2" s="1"/>
  <c r="I923" i="2" a="1"/>
  <c r="I923" i="2" s="1"/>
  <c r="G925" i="2" a="1"/>
  <c r="G925" i="2" s="1"/>
  <c r="H926" i="2" a="1"/>
  <c r="H926" i="2" s="1"/>
  <c r="I927" i="2" a="1"/>
  <c r="I927" i="2" s="1"/>
  <c r="G929" i="2" a="1"/>
  <c r="G929" i="2" s="1"/>
  <c r="H930" i="2" a="1"/>
  <c r="H930" i="2" s="1"/>
  <c r="I931" i="2" a="1"/>
  <c r="I931" i="2" s="1"/>
  <c r="G933" i="2" a="1"/>
  <c r="G933" i="2" s="1"/>
  <c r="H934" i="2" a="1"/>
  <c r="H934" i="2" s="1"/>
  <c r="I935" i="2" a="1"/>
  <c r="I935" i="2" s="1"/>
  <c r="G937" i="2" a="1"/>
  <c r="G937" i="2" s="1"/>
  <c r="H938" i="2" a="1"/>
  <c r="H938" i="2" s="1"/>
  <c r="I939" i="2" a="1"/>
  <c r="I939" i="2" s="1"/>
  <c r="G941" i="2" a="1"/>
  <c r="G941" i="2" s="1"/>
  <c r="H942" i="2" a="1"/>
  <c r="H942" i="2" s="1"/>
  <c r="I943" i="2" a="1"/>
  <c r="I943" i="2" s="1"/>
  <c r="G945" i="2" a="1"/>
  <c r="G945" i="2" s="1"/>
  <c r="H946" i="2" a="1"/>
  <c r="H946" i="2" s="1"/>
  <c r="I947" i="2" a="1"/>
  <c r="I947" i="2" s="1"/>
  <c r="G949" i="2" a="1"/>
  <c r="G949" i="2" s="1"/>
  <c r="H950" i="2" a="1"/>
  <c r="H950" i="2" s="1"/>
  <c r="I951" i="2" a="1"/>
  <c r="I951" i="2" s="1"/>
  <c r="G953" i="2" a="1"/>
  <c r="G953" i="2" s="1"/>
  <c r="H954" i="2" a="1"/>
  <c r="H954" i="2" s="1"/>
  <c r="I955" i="2" a="1"/>
  <c r="I955" i="2" s="1"/>
  <c r="G957" i="2" a="1"/>
  <c r="G957" i="2" s="1"/>
  <c r="H958" i="2" a="1"/>
  <c r="H958" i="2" s="1"/>
  <c r="I959" i="2" a="1"/>
  <c r="I959" i="2" s="1"/>
  <c r="G961" i="2" a="1"/>
  <c r="G961" i="2" s="1"/>
  <c r="H962" i="2" a="1"/>
  <c r="H962" i="2" s="1"/>
  <c r="I963" i="2" a="1"/>
  <c r="I963" i="2" s="1"/>
  <c r="G965" i="2" a="1"/>
  <c r="G965" i="2" s="1"/>
  <c r="H966" i="2" a="1"/>
  <c r="H966" i="2" s="1"/>
  <c r="I967" i="2" a="1"/>
  <c r="I967" i="2" s="1"/>
  <c r="G969" i="2" a="1"/>
  <c r="G969" i="2" s="1"/>
  <c r="H970" i="2" a="1"/>
  <c r="H970" i="2" s="1"/>
  <c r="I971" i="2" a="1"/>
  <c r="I971" i="2" s="1"/>
  <c r="G973" i="2" a="1"/>
  <c r="G973" i="2" s="1"/>
  <c r="H974" i="2" a="1"/>
  <c r="H974" i="2" s="1"/>
  <c r="I975" i="2" a="1"/>
  <c r="I975" i="2" s="1"/>
  <c r="G977" i="2" a="1"/>
  <c r="G977" i="2" s="1"/>
  <c r="H978" i="2" a="1"/>
  <c r="H978" i="2" s="1"/>
  <c r="I979" i="2" a="1"/>
  <c r="I979" i="2" s="1"/>
  <c r="G981" i="2" a="1"/>
  <c r="G981" i="2" s="1"/>
  <c r="H982" i="2" a="1"/>
  <c r="H982" i="2" s="1"/>
  <c r="I983" i="2" a="1"/>
  <c r="I983" i="2" s="1"/>
  <c r="G985" i="2" a="1"/>
  <c r="G985" i="2" s="1"/>
  <c r="H986" i="2" a="1"/>
  <c r="H986" i="2" s="1"/>
  <c r="I987" i="2" a="1"/>
  <c r="I987" i="2" s="1"/>
  <c r="G989" i="2" a="1"/>
  <c r="G989" i="2" s="1"/>
  <c r="H990" i="2" a="1"/>
  <c r="H990" i="2" s="1"/>
  <c r="I991" i="2" a="1"/>
  <c r="I991" i="2" s="1"/>
  <c r="G993" i="2" a="1"/>
  <c r="G993" i="2" s="1"/>
  <c r="H994" i="2" a="1"/>
  <c r="H994" i="2" s="1"/>
  <c r="I995" i="2" a="1"/>
  <c r="I995" i="2" s="1"/>
  <c r="G997" i="2" a="1"/>
  <c r="G997" i="2" s="1"/>
  <c r="H998" i="2" a="1"/>
  <c r="H998" i="2" s="1"/>
  <c r="I999" i="2" a="1"/>
  <c r="I999" i="2" s="1"/>
  <c r="G1001" i="2" a="1"/>
  <c r="G1001" i="2" s="1"/>
  <c r="H1002" i="2" a="1"/>
  <c r="H1002" i="2" s="1"/>
  <c r="I1003" i="2" a="1"/>
  <c r="I1003" i="2" s="1"/>
  <c r="G1005" i="2" a="1"/>
  <c r="G1005" i="2" s="1"/>
  <c r="H1006" i="2" a="1"/>
  <c r="H1006" i="2" s="1"/>
  <c r="I1007" i="2" a="1"/>
  <c r="I1007" i="2" s="1"/>
  <c r="G1009" i="2" a="1"/>
  <c r="G1009" i="2" s="1"/>
  <c r="H1010" i="2" a="1"/>
  <c r="H1010" i="2" s="1"/>
  <c r="I1011" i="2" a="1"/>
  <c r="I1011" i="2" s="1"/>
  <c r="G1013" i="2" a="1"/>
  <c r="G1013" i="2" s="1"/>
  <c r="H1014" i="2" a="1"/>
  <c r="H1014" i="2" s="1"/>
  <c r="I1015" i="2" a="1"/>
  <c r="I1015" i="2" s="1"/>
  <c r="G1017" i="2" a="1"/>
  <c r="G1017" i="2" s="1"/>
  <c r="H1018" i="2" a="1"/>
  <c r="H1018" i="2" s="1"/>
  <c r="I1019" i="2" a="1"/>
  <c r="I1019" i="2" s="1"/>
  <c r="G1021" i="2" a="1"/>
  <c r="G1021" i="2" s="1"/>
  <c r="H1022" i="2" a="1"/>
  <c r="H1022" i="2" s="1"/>
  <c r="I1023" i="2" a="1"/>
  <c r="I1023" i="2" s="1"/>
  <c r="G1025" i="2" a="1"/>
  <c r="G1025" i="2" s="1"/>
  <c r="H1026" i="2" a="1"/>
  <c r="H1026" i="2" s="1"/>
  <c r="I1027" i="2" a="1"/>
  <c r="I1027" i="2" s="1"/>
  <c r="G1029" i="2" a="1"/>
  <c r="G1029" i="2" s="1"/>
  <c r="H1030" i="2" a="1"/>
  <c r="H1030" i="2" s="1"/>
  <c r="I1031" i="2" a="1"/>
  <c r="I1031" i="2" s="1"/>
  <c r="G1033" i="2" a="1"/>
  <c r="G1033" i="2" s="1"/>
  <c r="H1034" i="2" a="1"/>
  <c r="H1034" i="2" s="1"/>
  <c r="I1035" i="2" a="1"/>
  <c r="I1035" i="2" s="1"/>
  <c r="G1037" i="2" a="1"/>
  <c r="G1037" i="2" s="1"/>
  <c r="H1038" i="2" a="1"/>
  <c r="H1038" i="2" s="1"/>
  <c r="I1039" i="2" a="1"/>
  <c r="I1039" i="2" s="1"/>
  <c r="G1041" i="2" a="1"/>
  <c r="G1041" i="2" s="1"/>
  <c r="H1042" i="2" a="1"/>
  <c r="H1042" i="2" s="1"/>
  <c r="I1043" i="2" a="1"/>
  <c r="I1043" i="2" s="1"/>
  <c r="G1045" i="2" a="1"/>
  <c r="G1045" i="2" s="1"/>
  <c r="H1046" i="2" a="1"/>
  <c r="H1046" i="2" s="1"/>
  <c r="I1047" i="2" a="1"/>
  <c r="I1047" i="2" s="1"/>
  <c r="G1049" i="2" a="1"/>
  <c r="G1049" i="2" s="1"/>
  <c r="H1050" i="2" a="1"/>
  <c r="H1050" i="2" s="1"/>
  <c r="I1051" i="2" a="1"/>
  <c r="I1051" i="2" s="1"/>
  <c r="G1053" i="2" a="1"/>
  <c r="G1053" i="2" s="1"/>
  <c r="H1054" i="2" a="1"/>
  <c r="H1054" i="2" s="1"/>
  <c r="I1055" i="2" a="1"/>
  <c r="I1055" i="2" s="1"/>
  <c r="G1057" i="2" a="1"/>
  <c r="G1057" i="2" s="1"/>
  <c r="H1058" i="2" a="1"/>
  <c r="H1058" i="2" s="1"/>
  <c r="I1059" i="2" a="1"/>
  <c r="I1059" i="2" s="1"/>
  <c r="G1061" i="2" a="1"/>
  <c r="G1061" i="2" s="1"/>
  <c r="H1062" i="2" a="1"/>
  <c r="H1062" i="2" s="1"/>
  <c r="I1063" i="2" a="1"/>
  <c r="I1063" i="2" s="1"/>
  <c r="G1065" i="2" a="1"/>
  <c r="G1065" i="2" s="1"/>
  <c r="H1066" i="2" a="1"/>
  <c r="H1066" i="2" s="1"/>
  <c r="I1067" i="2" a="1"/>
  <c r="I1067" i="2" s="1"/>
  <c r="G1069" i="2" a="1"/>
  <c r="G1069" i="2" s="1"/>
  <c r="H1070" i="2" a="1"/>
  <c r="H1070" i="2" s="1"/>
  <c r="I1071" i="2" a="1"/>
  <c r="I1071" i="2" s="1"/>
  <c r="G1073" i="2" a="1"/>
  <c r="G1073" i="2" s="1"/>
  <c r="H1074" i="2" a="1"/>
  <c r="H1074" i="2" s="1"/>
  <c r="I1075" i="2" a="1"/>
  <c r="I1075" i="2" s="1"/>
  <c r="G1077" i="2" a="1"/>
  <c r="G1077" i="2" s="1"/>
  <c r="H1078" i="2" a="1"/>
  <c r="H1078" i="2" s="1"/>
  <c r="I1079" i="2" a="1"/>
  <c r="I1079" i="2" s="1"/>
  <c r="G1081" i="2" a="1"/>
  <c r="G1081" i="2" s="1"/>
  <c r="H1082" i="2" a="1"/>
  <c r="H1082" i="2" s="1"/>
  <c r="I1083" i="2" a="1"/>
  <c r="I1083" i="2" s="1"/>
  <c r="G1085" i="2" a="1"/>
  <c r="G1085" i="2" s="1"/>
  <c r="H1086" i="2" a="1"/>
  <c r="H1086" i="2" s="1"/>
  <c r="I1087" i="2" a="1"/>
  <c r="I1087" i="2" s="1"/>
  <c r="G1090" i="2" a="1"/>
  <c r="G1090" i="2" s="1"/>
  <c r="G1091" i="2" a="1"/>
  <c r="G1091" i="2" s="1"/>
  <c r="G1092" i="2" a="1"/>
  <c r="G1092" i="2" s="1"/>
  <c r="H1093" i="2" a="1"/>
  <c r="H1093" i="2" s="1"/>
  <c r="H1094" i="2" a="1"/>
  <c r="H1094" i="2" s="1"/>
  <c r="I1095" i="2" a="1"/>
  <c r="I1095" i="2" s="1"/>
  <c r="G1098" i="2" a="1"/>
  <c r="G1098" i="2" s="1"/>
  <c r="G1099" i="2" a="1"/>
  <c r="G1099" i="2" s="1"/>
  <c r="G1100" i="2" a="1"/>
  <c r="G1100" i="2" s="1"/>
  <c r="H1101" i="2" a="1"/>
  <c r="H1101" i="2" s="1"/>
  <c r="H1102" i="2" a="1"/>
  <c r="H1102" i="2" s="1"/>
  <c r="I1103" i="2" a="1"/>
  <c r="I1103" i="2" s="1"/>
  <c r="G1106" i="2" a="1"/>
  <c r="G1106" i="2" s="1"/>
  <c r="H1107" i="2" a="1"/>
  <c r="H1107" i="2" s="1"/>
  <c r="I1108" i="2" a="1"/>
  <c r="I1108" i="2" s="1"/>
  <c r="I1109" i="2" a="1"/>
  <c r="I1109" i="2" s="1"/>
  <c r="I1110" i="2" a="1"/>
  <c r="I1110" i="2" s="1"/>
  <c r="G1112" i="2" a="1"/>
  <c r="G1112" i="2" s="1"/>
  <c r="H1113" i="2" a="1"/>
  <c r="H1113" i="2" s="1"/>
  <c r="I1114" i="2" a="1"/>
  <c r="I1114" i="2" s="1"/>
  <c r="I1115" i="2" a="1"/>
  <c r="I1115" i="2" s="1"/>
  <c r="G1117" i="2" a="1"/>
  <c r="G1117" i="2" s="1"/>
  <c r="H1118" i="2" a="1"/>
  <c r="H1118" i="2" s="1"/>
  <c r="I1120" i="2" a="1"/>
  <c r="I1120" i="2" s="1"/>
  <c r="I1121" i="2" a="1"/>
  <c r="I1121" i="2" s="1"/>
  <c r="I1122" i="2" a="1"/>
  <c r="I1122" i="2" s="1"/>
  <c r="G1124" i="2" a="1"/>
  <c r="G1124" i="2" s="1"/>
  <c r="H1125" i="2" a="1"/>
  <c r="H1125" i="2" s="1"/>
  <c r="I1126" i="2" a="1"/>
  <c r="I1126" i="2" s="1"/>
  <c r="I1127" i="2" a="1"/>
  <c r="I1127" i="2" s="1"/>
  <c r="G1130" i="2" a="1"/>
  <c r="G1130" i="2" s="1"/>
  <c r="H1131" i="2" a="1"/>
  <c r="H1131" i="2" s="1"/>
  <c r="H1132" i="2" a="1"/>
  <c r="H1132" i="2" s="1"/>
  <c r="H1133" i="2" a="1"/>
  <c r="H1133" i="2" s="1"/>
  <c r="H1134" i="2" a="1"/>
  <c r="H1134" i="2" s="1"/>
  <c r="I1135" i="2" a="1"/>
  <c r="I1135" i="2" s="1"/>
  <c r="G1138" i="2" a="1"/>
  <c r="G1138" i="2" s="1"/>
  <c r="H1139" i="2" a="1"/>
  <c r="H1139" i="2" s="1"/>
  <c r="H1140" i="2" a="1"/>
  <c r="H1140" i="2" s="1"/>
  <c r="H1141" i="2" a="1"/>
  <c r="H1141" i="2" s="1"/>
  <c r="I1142" i="2" a="1"/>
  <c r="I1142" i="2" s="1"/>
  <c r="G1144" i="2" a="1"/>
  <c r="G1144" i="2" s="1"/>
  <c r="G1145" i="2" a="1"/>
  <c r="G1145" i="2" s="1"/>
  <c r="H378" i="2" a="1"/>
  <c r="H378" i="2" s="1"/>
  <c r="I496" i="2" a="1"/>
  <c r="I496" i="2" s="1"/>
  <c r="I579" i="2" a="1"/>
  <c r="I579" i="2" s="1"/>
  <c r="H614" i="2" a="1"/>
  <c r="H614" i="2" s="1"/>
  <c r="G634" i="2" a="1"/>
  <c r="G634" i="2" s="1"/>
  <c r="I653" i="2" a="1"/>
  <c r="I653" i="2" s="1"/>
  <c r="H673" i="2" a="1"/>
  <c r="H673" i="2" s="1"/>
  <c r="G694" i="2" a="1"/>
  <c r="G694" i="2" s="1"/>
  <c r="H734" i="2" a="1"/>
  <c r="H734" i="2" s="1"/>
  <c r="I754" i="2" a="1"/>
  <c r="I754" i="2" s="1"/>
  <c r="I765" i="2" a="1"/>
  <c r="I765" i="2" s="1"/>
  <c r="H772" i="2" a="1"/>
  <c r="H772" i="2" s="1"/>
  <c r="H782" i="2" a="1"/>
  <c r="H782" i="2" s="1"/>
  <c r="H787" i="2" a="1"/>
  <c r="H787" i="2" s="1"/>
  <c r="H792" i="2" a="1"/>
  <c r="H792" i="2" s="1"/>
  <c r="H797" i="2" a="1"/>
  <c r="H797" i="2" s="1"/>
  <c r="I802" i="2" a="1"/>
  <c r="I802" i="2" s="1"/>
  <c r="I807" i="2" a="1"/>
  <c r="I807" i="2" s="1"/>
  <c r="I812" i="2" a="1"/>
  <c r="I812" i="2" s="1"/>
  <c r="I817" i="2" a="1"/>
  <c r="I817" i="2" s="1"/>
  <c r="H822" i="2" a="1"/>
  <c r="H822" i="2" s="1"/>
  <c r="I827" i="2" a="1"/>
  <c r="I827" i="2" s="1"/>
  <c r="G833" i="2" a="1"/>
  <c r="G833" i="2" s="1"/>
  <c r="H838" i="2" a="1"/>
  <c r="H838" i="2" s="1"/>
  <c r="G843" i="2" a="1"/>
  <c r="G843" i="2" s="1"/>
  <c r="G848" i="2" a="1"/>
  <c r="G848" i="2" s="1"/>
  <c r="I852" i="2" a="1"/>
  <c r="I852" i="2" s="1"/>
  <c r="I857" i="2" a="1"/>
  <c r="I857" i="2" s="1"/>
  <c r="I862" i="2" a="1"/>
  <c r="I862" i="2" s="1"/>
  <c r="H867" i="2" a="1"/>
  <c r="H867" i="2" s="1"/>
  <c r="I872" i="2" a="1"/>
  <c r="I872" i="2" s="1"/>
  <c r="G878" i="2" a="1"/>
  <c r="G878" i="2" s="1"/>
  <c r="H883" i="2" a="1"/>
  <c r="H883" i="2" s="1"/>
  <c r="H436" i="2" a="1"/>
  <c r="H436" i="2" s="1"/>
  <c r="I516" i="2" a="1"/>
  <c r="I516" i="2" s="1"/>
  <c r="H595" i="2" a="1"/>
  <c r="H595" i="2" s="1"/>
  <c r="G619" i="2" a="1"/>
  <c r="G619" i="2" s="1"/>
  <c r="H658" i="2" a="1"/>
  <c r="H658" i="2" s="1"/>
  <c r="H699" i="2" a="1"/>
  <c r="H699" i="2" s="1"/>
  <c r="H719" i="2" a="1"/>
  <c r="H719" i="2" s="1"/>
  <c r="G739" i="2" a="1"/>
  <c r="G739" i="2" s="1"/>
  <c r="H758" i="2" a="1"/>
  <c r="H758" i="2" s="1"/>
  <c r="G20" i="2" a="1"/>
  <c r="G20" i="2" s="1"/>
  <c r="I456" i="2" a="1"/>
  <c r="I456" i="2" s="1"/>
  <c r="H537" i="2" a="1"/>
  <c r="H537" i="2" s="1"/>
  <c r="I623" i="2" a="1"/>
  <c r="I623" i="2" s="1"/>
  <c r="H643" i="2" a="1"/>
  <c r="H643" i="2" s="1"/>
  <c r="G663" i="2" a="1"/>
  <c r="G663" i="2" s="1"/>
  <c r="I683" i="2" a="1"/>
  <c r="I683" i="2" s="1"/>
  <c r="H704" i="2" a="1"/>
  <c r="H704" i="2" s="1"/>
  <c r="I724" i="2" a="1"/>
  <c r="I724" i="2" s="1"/>
  <c r="H744" i="2" a="1"/>
  <c r="H744" i="2" s="1"/>
  <c r="I760" i="2" a="1"/>
  <c r="I760" i="2" s="1"/>
  <c r="I769" i="2" a="1"/>
  <c r="I769" i="2" s="1"/>
  <c r="I774" i="2" a="1"/>
  <c r="I774" i="2" s="1"/>
  <c r="I779" i="2" a="1"/>
  <c r="I779" i="2" s="1"/>
  <c r="I784" i="2" a="1"/>
  <c r="I784" i="2" s="1"/>
  <c r="I789" i="2" a="1"/>
  <c r="I789" i="2" s="1"/>
  <c r="I794" i="2" a="1"/>
  <c r="I794" i="2" s="1"/>
  <c r="G800" i="2" a="1"/>
  <c r="G800" i="2" s="1"/>
  <c r="H805" i="2" a="1"/>
  <c r="H805" i="2" s="1"/>
  <c r="G810" i="2" a="1"/>
  <c r="G810" i="2" s="1"/>
  <c r="G815" i="2" a="1"/>
  <c r="G815" i="2" s="1"/>
  <c r="I819" i="2" a="1"/>
  <c r="I819" i="2" s="1"/>
  <c r="G825" i="2" a="1"/>
  <c r="G825" i="2" s="1"/>
  <c r="H830" i="2" a="1"/>
  <c r="H830" i="2" s="1"/>
  <c r="I835" i="2" a="1"/>
  <c r="I835" i="2" s="1"/>
  <c r="H845" i="2" a="1"/>
  <c r="H845" i="2" s="1"/>
  <c r="H850" i="2" a="1"/>
  <c r="H850" i="2" s="1"/>
  <c r="H855" i="2" a="1"/>
  <c r="H855" i="2" s="1"/>
  <c r="H860" i="2" a="1"/>
  <c r="H860" i="2" s="1"/>
  <c r="G865" i="2" a="1"/>
  <c r="G865" i="2" s="1"/>
  <c r="G870" i="2" a="1"/>
  <c r="G870" i="2" s="1"/>
  <c r="H875" i="2" a="1"/>
  <c r="H875" i="2" s="1"/>
  <c r="I880" i="2" a="1"/>
  <c r="I880" i="2" s="1"/>
  <c r="G886" i="2" a="1"/>
  <c r="G886" i="2" s="1"/>
  <c r="H891" i="2" a="1"/>
  <c r="H891" i="2" s="1"/>
  <c r="I896" i="2" a="1"/>
  <c r="I896" i="2" s="1"/>
  <c r="G902" i="2" a="1"/>
  <c r="G902" i="2" s="1"/>
  <c r="H907" i="2" a="1"/>
  <c r="H907" i="2" s="1"/>
  <c r="I912" i="2" a="1"/>
  <c r="I912" i="2" s="1"/>
  <c r="G918" i="2" a="1"/>
  <c r="G918" i="2" s="1"/>
  <c r="H923" i="2" a="1"/>
  <c r="H923" i="2" s="1"/>
  <c r="I928" i="2" a="1"/>
  <c r="I928" i="2" s="1"/>
  <c r="G934" i="2" a="1"/>
  <c r="G934" i="2" s="1"/>
  <c r="H939" i="2" a="1"/>
  <c r="H939" i="2" s="1"/>
  <c r="I944" i="2" a="1"/>
  <c r="I944" i="2" s="1"/>
  <c r="G950" i="2" a="1"/>
  <c r="G950" i="2" s="1"/>
  <c r="H955" i="2" a="1"/>
  <c r="H955" i="2" s="1"/>
  <c r="I960" i="2" a="1"/>
  <c r="I960" i="2" s="1"/>
  <c r="G966" i="2" a="1"/>
  <c r="G966" i="2" s="1"/>
  <c r="H971" i="2" a="1"/>
  <c r="H971" i="2" s="1"/>
  <c r="I976" i="2" a="1"/>
  <c r="I976" i="2" s="1"/>
  <c r="G982" i="2" a="1"/>
  <c r="G982" i="2" s="1"/>
  <c r="H987" i="2" a="1"/>
  <c r="H987" i="2" s="1"/>
  <c r="I992" i="2" a="1"/>
  <c r="I992" i="2" s="1"/>
  <c r="G998" i="2" a="1"/>
  <c r="G998" i="2" s="1"/>
  <c r="H1003" i="2" a="1"/>
  <c r="H1003" i="2" s="1"/>
  <c r="I1008" i="2" a="1"/>
  <c r="I1008" i="2" s="1"/>
  <c r="G1014" i="2" a="1"/>
  <c r="G1014" i="2" s="1"/>
  <c r="H1019" i="2" a="1"/>
  <c r="H1019" i="2" s="1"/>
  <c r="I1024" i="2" a="1"/>
  <c r="I1024" i="2" s="1"/>
  <c r="G1030" i="2" a="1"/>
  <c r="G1030" i="2" s="1"/>
  <c r="H1035" i="2" a="1"/>
  <c r="H1035" i="2" s="1"/>
  <c r="I1040" i="2" a="1"/>
  <c r="I1040" i="2" s="1"/>
  <c r="G1046" i="2" a="1"/>
  <c r="G1046" i="2" s="1"/>
  <c r="H1051" i="2" a="1"/>
  <c r="H1051" i="2" s="1"/>
  <c r="I1056" i="2" a="1"/>
  <c r="I1056" i="2" s="1"/>
  <c r="G1062" i="2" a="1"/>
  <c r="G1062" i="2" s="1"/>
  <c r="H1067" i="2" a="1"/>
  <c r="H1067" i="2" s="1"/>
  <c r="I1072" i="2" a="1"/>
  <c r="I1072" i="2" s="1"/>
  <c r="G1078" i="2" a="1"/>
  <c r="G1078" i="2" s="1"/>
  <c r="H1083" i="2" a="1"/>
  <c r="H1083" i="2" s="1"/>
  <c r="I1088" i="2" a="1"/>
  <c r="I1088" i="2" s="1"/>
  <c r="G1093" i="2" a="1"/>
  <c r="G1093" i="2" s="1"/>
  <c r="I1097" i="2" a="1"/>
  <c r="I1097" i="2" s="1"/>
  <c r="G1107" i="2" a="1"/>
  <c r="G1107" i="2" s="1"/>
  <c r="I1111" i="2" a="1"/>
  <c r="I1111" i="2" s="1"/>
  <c r="I1116" i="2" a="1"/>
  <c r="I1116" i="2" s="1"/>
  <c r="H1121" i="2" a="1"/>
  <c r="H1121" i="2" s="1"/>
  <c r="H1126" i="2" a="1"/>
  <c r="H1126" i="2" s="1"/>
  <c r="G1131" i="2" a="1"/>
  <c r="G1131" i="2" s="1"/>
  <c r="H1135" i="2" a="1"/>
  <c r="H1135" i="2" s="1"/>
  <c r="G1140" i="2" a="1"/>
  <c r="G1140" i="2" s="1"/>
  <c r="H558" i="2" a="1"/>
  <c r="H558" i="2" s="1"/>
  <c r="G668" i="2" a="1"/>
  <c r="G668" i="2" s="1"/>
  <c r="H749" i="2" a="1"/>
  <c r="H749" i="2" s="1"/>
  <c r="H773" i="2" a="1"/>
  <c r="H773" i="2" s="1"/>
  <c r="H783" i="2" a="1"/>
  <c r="H783" i="2" s="1"/>
  <c r="H793" i="2" a="1"/>
  <c r="H793" i="2" s="1"/>
  <c r="G804" i="2" a="1"/>
  <c r="G804" i="2" s="1"/>
  <c r="G814" i="2" a="1"/>
  <c r="G814" i="2" s="1"/>
  <c r="I823" i="2" a="1"/>
  <c r="I823" i="2" s="1"/>
  <c r="H834" i="2" a="1"/>
  <c r="H834" i="2" s="1"/>
  <c r="G844" i="2" a="1"/>
  <c r="G844" i="2" s="1"/>
  <c r="G854" i="2" a="1"/>
  <c r="G854" i="2" s="1"/>
  <c r="G864" i="2" a="1"/>
  <c r="G864" i="2" s="1"/>
  <c r="G874" i="2" a="1"/>
  <c r="G874" i="2" s="1"/>
  <c r="I884" i="2" a="1"/>
  <c r="I884" i="2" s="1"/>
  <c r="I892" i="2" a="1"/>
  <c r="I892" i="2" s="1"/>
  <c r="H899" i="2" a="1"/>
  <c r="H899" i="2" s="1"/>
  <c r="G906" i="2" a="1"/>
  <c r="G906" i="2" s="1"/>
  <c r="G914" i="2" a="1"/>
  <c r="G914" i="2" s="1"/>
  <c r="I920" i="2" a="1"/>
  <c r="I920" i="2" s="1"/>
  <c r="H927" i="2" a="1"/>
  <c r="H927" i="2" s="1"/>
  <c r="H935" i="2" a="1"/>
  <c r="H935" i="2" s="1"/>
  <c r="G942" i="2" a="1"/>
  <c r="G942" i="2" s="1"/>
  <c r="I948" i="2" a="1"/>
  <c r="I948" i="2" s="1"/>
  <c r="I956" i="2" a="1"/>
  <c r="I956" i="2" s="1"/>
  <c r="H963" i="2" a="1"/>
  <c r="H963" i="2" s="1"/>
  <c r="G970" i="2" a="1"/>
  <c r="G970" i="2" s="1"/>
  <c r="G978" i="2" a="1"/>
  <c r="G978" i="2" s="1"/>
  <c r="I984" i="2" a="1"/>
  <c r="I984" i="2" s="1"/>
  <c r="H991" i="2" a="1"/>
  <c r="H991" i="2" s="1"/>
  <c r="H999" i="2" a="1"/>
  <c r="H999" i="2" s="1"/>
  <c r="G1006" i="2" a="1"/>
  <c r="G1006" i="2" s="1"/>
  <c r="I1012" i="2" a="1"/>
  <c r="I1012" i="2" s="1"/>
  <c r="I1020" i="2" a="1"/>
  <c r="I1020" i="2" s="1"/>
  <c r="H1027" i="2" a="1"/>
  <c r="H1027" i="2" s="1"/>
  <c r="G1034" i="2" a="1"/>
  <c r="G1034" i="2" s="1"/>
  <c r="G1042" i="2" a="1"/>
  <c r="G1042" i="2" s="1"/>
  <c r="I1048" i="2" a="1"/>
  <c r="I1048" i="2" s="1"/>
  <c r="H1055" i="2" a="1"/>
  <c r="H1055" i="2" s="1"/>
  <c r="H1063" i="2" a="1"/>
  <c r="H1063" i="2" s="1"/>
  <c r="G1070" i="2" a="1"/>
  <c r="G1070" i="2" s="1"/>
  <c r="I1076" i="2" a="1"/>
  <c r="I1076" i="2" s="1"/>
  <c r="I1084" i="2" a="1"/>
  <c r="I1084" i="2" s="1"/>
  <c r="I1090" i="2" a="1"/>
  <c r="I1090" i="2" s="1"/>
  <c r="I1096" i="2" a="1"/>
  <c r="I1096" i="2" s="1"/>
  <c r="H1103" i="2" a="1"/>
  <c r="H1103" i="2" s="1"/>
  <c r="H1109" i="2" a="1"/>
  <c r="H1109" i="2" s="1"/>
  <c r="H1122" i="2" a="1"/>
  <c r="H1122" i="2" s="1"/>
  <c r="I1128" i="2" a="1"/>
  <c r="I1128" i="2" s="1"/>
  <c r="G1141" i="2" a="1"/>
  <c r="G1141" i="2" s="1"/>
  <c r="G1146" i="2" a="1"/>
  <c r="G1146" i="2" s="1"/>
  <c r="G1147" i="2" a="1"/>
  <c r="G1147" i="2" s="1"/>
  <c r="G1148" i="2" a="1"/>
  <c r="G1148" i="2" s="1"/>
  <c r="G1149" i="2" a="1"/>
  <c r="G1149" i="2" s="1"/>
  <c r="H1151" i="2" a="1"/>
  <c r="H1151" i="2" s="1"/>
  <c r="I1152" i="2" a="1"/>
  <c r="I1152" i="2" s="1"/>
  <c r="I1153" i="2" a="1"/>
  <c r="I1153" i="2" s="1"/>
  <c r="I1154" i="2" a="1"/>
  <c r="I1154" i="2" s="1"/>
  <c r="I1155" i="2" a="1"/>
  <c r="I1155" i="2" s="1"/>
  <c r="G1158" i="2" a="1"/>
  <c r="G1158" i="2" s="1"/>
  <c r="H1159" i="2" a="1"/>
  <c r="H1159" i="2" s="1"/>
  <c r="H1160" i="2" a="1"/>
  <c r="H1160" i="2" s="1"/>
  <c r="H1161" i="2" a="1"/>
  <c r="H1161" i="2" s="1"/>
  <c r="I1162" i="2" a="1"/>
  <c r="I1162" i="2" s="1"/>
  <c r="I1163" i="2" a="1"/>
  <c r="I1163" i="2" s="1"/>
  <c r="G1165" i="2" a="1"/>
  <c r="G1165" i="2" s="1"/>
  <c r="H1167" i="2" a="1"/>
  <c r="H1167" i="2" s="1"/>
  <c r="I1168" i="2" a="1"/>
  <c r="I1168" i="2" s="1"/>
  <c r="I1169" i="2" a="1"/>
  <c r="I1169" i="2" s="1"/>
  <c r="G1171" i="2" a="1"/>
  <c r="G1171" i="2" s="1"/>
  <c r="G1172" i="2" a="1"/>
  <c r="G1172" i="2" s="1"/>
  <c r="G1173" i="2" a="1"/>
  <c r="G1173" i="2" s="1"/>
  <c r="H1174" i="2" a="1"/>
  <c r="H1174" i="2" s="1"/>
  <c r="I1175" i="2" a="1"/>
  <c r="I1175" i="2" s="1"/>
  <c r="G1177" i="2" a="1"/>
  <c r="G1177" i="2" s="1"/>
  <c r="H1178" i="2" a="1"/>
  <c r="H1178" i="2" s="1"/>
  <c r="I1179" i="2" a="1"/>
  <c r="I1179" i="2" s="1"/>
  <c r="G1182" i="2" a="1"/>
  <c r="G1182" i="2" s="1"/>
  <c r="H1183" i="2" a="1"/>
  <c r="H1183" i="2" s="1"/>
  <c r="H1184" i="2" a="1"/>
  <c r="H1184" i="2" s="1"/>
  <c r="H1185" i="2" a="1"/>
  <c r="H1185" i="2" s="1"/>
  <c r="H1186" i="2" a="1"/>
  <c r="H1186" i="2" s="1"/>
  <c r="I1187" i="2" a="1"/>
  <c r="I1187" i="2" s="1"/>
  <c r="G1189" i="2" a="1"/>
  <c r="G1189" i="2" s="1"/>
  <c r="H1191" i="2" a="1"/>
  <c r="H1191" i="2" s="1"/>
  <c r="I1192" i="2" a="1"/>
  <c r="I1192" i="2" s="1"/>
  <c r="I1193" i="2" a="1"/>
  <c r="I1193" i="2" s="1"/>
  <c r="G1195" i="2" a="1"/>
  <c r="G1195" i="2" s="1"/>
  <c r="H1196" i="2" a="1"/>
  <c r="H1196" i="2" s="1"/>
  <c r="I1197" i="2" a="1"/>
  <c r="I1197" i="2" s="1"/>
  <c r="G1199" i="2" a="1"/>
  <c r="G1199" i="2" s="1"/>
  <c r="H1200" i="2" a="1"/>
  <c r="H1200" i="2" s="1"/>
  <c r="H1201" i="2" a="1"/>
  <c r="H1201" i="2" s="1"/>
  <c r="I1202" i="2" a="1"/>
  <c r="I1202" i="2" s="1"/>
  <c r="I1203" i="2" a="1"/>
  <c r="I1203" i="2" s="1"/>
  <c r="G1205" i="2" a="1"/>
  <c r="G1205" i="2" s="1"/>
  <c r="H1207" i="2" a="1"/>
  <c r="H1207" i="2" s="1"/>
  <c r="I1208" i="2" a="1"/>
  <c r="I1208" i="2" s="1"/>
  <c r="I1209" i="2" a="1"/>
  <c r="I1209" i="2" s="1"/>
  <c r="I1210" i="2" a="1"/>
  <c r="I1210" i="2" s="1"/>
  <c r="I1211" i="2" a="1"/>
  <c r="I1211" i="2" s="1"/>
  <c r="G1213" i="2" a="1"/>
  <c r="G1213" i="2" s="1"/>
  <c r="H1215" i="2" a="1"/>
  <c r="H1215" i="2" s="1"/>
  <c r="I1216" i="2" a="1"/>
  <c r="I1216" i="2" s="1"/>
  <c r="I1217" i="2" a="1"/>
  <c r="I1217" i="2" s="1"/>
  <c r="G1219" i="2" a="1"/>
  <c r="G1219" i="2" s="1"/>
  <c r="G1220" i="2" a="1"/>
  <c r="G1220" i="2" s="1"/>
  <c r="H1221" i="2" a="1"/>
  <c r="H1221" i="2" s="1"/>
  <c r="H1222" i="2" a="1"/>
  <c r="H1222" i="2" s="1"/>
  <c r="I1223" i="2" a="1"/>
  <c r="I1223" i="2" s="1"/>
  <c r="G1226" i="2" a="1"/>
  <c r="G1226" i="2" s="1"/>
  <c r="H1227" i="2" a="1"/>
  <c r="H1227" i="2" s="1"/>
  <c r="H1228" i="2" a="1"/>
  <c r="H1228" i="2" s="1"/>
  <c r="I1229" i="2" a="1"/>
  <c r="I1229" i="2" s="1"/>
  <c r="I1230" i="2" a="1"/>
  <c r="I1230" i="2" s="1"/>
  <c r="G1232" i="2" a="1"/>
  <c r="G1232" i="2" s="1"/>
  <c r="G1233" i="2" a="1"/>
  <c r="G1233" i="2" s="1"/>
  <c r="H1234" i="2" a="1"/>
  <c r="H1234" i="2" s="1"/>
  <c r="I1236" i="2" a="1"/>
  <c r="I1236" i="2" s="1"/>
  <c r="G1238" i="2" a="1"/>
  <c r="G1238" i="2" s="1"/>
  <c r="H1239" i="2" a="1"/>
  <c r="H1239" i="2" s="1"/>
  <c r="I1240" i="2" a="1"/>
  <c r="I1240" i="2" s="1"/>
  <c r="I1241" i="2" a="1"/>
  <c r="I1241" i="2" s="1"/>
  <c r="G1243" i="2" a="1"/>
  <c r="G1243" i="2" s="1"/>
  <c r="G1244" i="2" a="1"/>
  <c r="G1244" i="2" s="1"/>
  <c r="G1245" i="2" a="1"/>
  <c r="G1245" i="2" s="1"/>
  <c r="H1247" i="2" a="1"/>
  <c r="H1247" i="2" s="1"/>
  <c r="H1248" i="2" a="1"/>
  <c r="H1248" i="2" s="1"/>
  <c r="H1249" i="2" a="1"/>
  <c r="H1249" i="2" s="1"/>
  <c r="I1250" i="2" a="1"/>
  <c r="I1250" i="2" s="1"/>
  <c r="I1251" i="2" a="1"/>
  <c r="I1251" i="2" s="1"/>
  <c r="G1253" i="2" a="1"/>
  <c r="G1253" i="2" s="1"/>
  <c r="H1255" i="2" a="1"/>
  <c r="H1255" i="2" s="1"/>
  <c r="I1256" i="2" a="1"/>
  <c r="I1256" i="2" s="1"/>
  <c r="G1258" i="2" a="1"/>
  <c r="G1258" i="2" s="1"/>
  <c r="H1259" i="2" a="1"/>
  <c r="H1259" i="2" s="1"/>
  <c r="H1260" i="2" a="1"/>
  <c r="H1260" i="2" s="1"/>
  <c r="I1261" i="2" a="1"/>
  <c r="I1261" i="2" s="1"/>
  <c r="I1262" i="2" a="1"/>
  <c r="I1262" i="2" s="1"/>
  <c r="G1264" i="2" a="1"/>
  <c r="G1264" i="2" s="1"/>
  <c r="H1265" i="2" a="1"/>
  <c r="H1265" i="2" s="1"/>
  <c r="H1266" i="2" a="1"/>
  <c r="H1266" i="2" s="1"/>
  <c r="I1267" i="2" a="1"/>
  <c r="I1267" i="2" s="1"/>
  <c r="I1268" i="2" a="1"/>
  <c r="I1268" i="2" s="1"/>
  <c r="I1269" i="2" a="1"/>
  <c r="I1269" i="2" s="1"/>
  <c r="I1270" i="2" a="1"/>
  <c r="I1270" i="2" s="1"/>
  <c r="I1272" i="2" a="1"/>
  <c r="I1272" i="2" s="1"/>
  <c r="I1273" i="2" a="1"/>
  <c r="I1273" i="2" s="1"/>
  <c r="I1274" i="2" a="1"/>
  <c r="I1274" i="2" s="1"/>
  <c r="G1276" i="2" a="1"/>
  <c r="G1276" i="2" s="1"/>
  <c r="G1278" i="2" a="1"/>
  <c r="G1278" i="2" s="1"/>
  <c r="G1279" i="2" a="1"/>
  <c r="G1279" i="2" s="1"/>
  <c r="G1280" i="2" a="1"/>
  <c r="G1280" i="2" s="1"/>
  <c r="G1281" i="2" a="1"/>
  <c r="G1281" i="2" s="1"/>
  <c r="H1283" i="2" a="1"/>
  <c r="H1283" i="2" s="1"/>
  <c r="H1284" i="2" a="1"/>
  <c r="H1284" i="2" s="1"/>
  <c r="H1285" i="2" a="1"/>
  <c r="H1285" i="2" s="1"/>
  <c r="I1286" i="2" a="1"/>
  <c r="I1286" i="2" s="1"/>
  <c r="I1288" i="2" a="1"/>
  <c r="I1288" i="2" s="1"/>
  <c r="H1290" i="2" a="1"/>
  <c r="H1290" i="2" s="1"/>
  <c r="I1292" i="2" a="1"/>
  <c r="I1292" i="2" s="1"/>
  <c r="I1293" i="2" a="1"/>
  <c r="I1293" i="2" s="1"/>
  <c r="I1294" i="2" a="1"/>
  <c r="I1294" i="2" s="1"/>
  <c r="I1295" i="2" a="1"/>
  <c r="I1295" i="2" s="1"/>
  <c r="G1297" i="2" a="1"/>
  <c r="G1297" i="2" s="1"/>
  <c r="H1299" i="2" a="1"/>
  <c r="H1299" i="2" s="1"/>
  <c r="H1300" i="2" a="1"/>
  <c r="H1300" i="2" s="1"/>
  <c r="H1301" i="2" a="1"/>
  <c r="H1301" i="2" s="1"/>
  <c r="H1302" i="2" a="1"/>
  <c r="H1302" i="2" s="1"/>
  <c r="I1304" i="2" a="1"/>
  <c r="I1304" i="2" s="1"/>
  <c r="I1305" i="2" a="1"/>
  <c r="I1305" i="2" s="1"/>
  <c r="I1306" i="2" a="1"/>
  <c r="I1306" i="2" s="1"/>
  <c r="G1308" i="2" a="1"/>
  <c r="G1308" i="2" s="1"/>
  <c r="G1309" i="2" a="1"/>
  <c r="G1309" i="2" s="1"/>
  <c r="G1311" i="2" a="1"/>
  <c r="G1311" i="2" s="1"/>
  <c r="G1312" i="2" a="1"/>
  <c r="G1312" i="2" s="1"/>
  <c r="G1313" i="2" a="1"/>
  <c r="G1313" i="2" s="1"/>
  <c r="H1315" i="2" a="1"/>
  <c r="H1315" i="2" s="1"/>
  <c r="I1316" i="2" a="1"/>
  <c r="I1316" i="2" s="1"/>
  <c r="I1317" i="2" a="1"/>
  <c r="I1317" i="2" s="1"/>
  <c r="I1319" i="2" a="1"/>
  <c r="I1319" i="2" s="1"/>
  <c r="I1321" i="2" a="1"/>
  <c r="I1321" i="2" s="1"/>
  <c r="I1322" i="2" a="1"/>
  <c r="I1322" i="2" s="1"/>
  <c r="I1323" i="2" a="1"/>
  <c r="I1323" i="2" s="1"/>
  <c r="G1326" i="2" a="1"/>
  <c r="G1326" i="2" s="1"/>
  <c r="G1327" i="2" a="1"/>
  <c r="G1327" i="2" s="1"/>
  <c r="G1328" i="2" a="1"/>
  <c r="G1328" i="2" s="1"/>
  <c r="H1329" i="2" a="1"/>
  <c r="H1329" i="2" s="1"/>
  <c r="H1330" i="2" a="1"/>
  <c r="H1330" i="2" s="1"/>
  <c r="I1331" i="2" a="1"/>
  <c r="I1331" i="2" s="1"/>
  <c r="I1332" i="2" a="1"/>
  <c r="I1332" i="2" s="1"/>
  <c r="I1333" i="2" a="1"/>
  <c r="I1333" i="2" s="1"/>
  <c r="I1334" i="2" a="1"/>
  <c r="I1334" i="2" s="1"/>
  <c r="I1335" i="2" a="1"/>
  <c r="I1335" i="2" s="1"/>
  <c r="G1338" i="2" a="1"/>
  <c r="G1338" i="2" s="1"/>
  <c r="G1339" i="2" a="1"/>
  <c r="G1339" i="2" s="1"/>
  <c r="G1341" i="2" a="1"/>
  <c r="G1341" i="2" s="1"/>
  <c r="G1343" i="2" a="1"/>
  <c r="G1343" i="2" s="1"/>
  <c r="G1344" i="2" a="1"/>
  <c r="G1344" i="2" s="1"/>
  <c r="G1345" i="2" a="1"/>
  <c r="G1345" i="2" s="1"/>
  <c r="H1347" i="2" a="1"/>
  <c r="H1347" i="2" s="1"/>
  <c r="H1348" i="2" a="1"/>
  <c r="H1348" i="2" s="1"/>
  <c r="H1349" i="2" a="1"/>
  <c r="H1349" i="2" s="1"/>
  <c r="I1350" i="2" a="1"/>
  <c r="I1350" i="2" s="1"/>
  <c r="I1351" i="2" a="1"/>
  <c r="I1351" i="2" s="1"/>
  <c r="G1353" i="2" a="1"/>
  <c r="G1353" i="2" s="1"/>
  <c r="G1354" i="2" a="1"/>
  <c r="G1354" i="2" s="1"/>
  <c r="G1355" i="2" a="1"/>
  <c r="G1355" i="2" s="1"/>
  <c r="G1356" i="2" a="1"/>
  <c r="G1356" i="2" s="1"/>
  <c r="G1357" i="2" a="1"/>
  <c r="G1357" i="2" s="1"/>
  <c r="H1358" i="2" a="1"/>
  <c r="H1358" i="2" s="1"/>
  <c r="I1360" i="2" a="1"/>
  <c r="I1360" i="2" s="1"/>
  <c r="I1361" i="2" a="1"/>
  <c r="I1361" i="2" s="1"/>
  <c r="I1362" i="2" a="1"/>
  <c r="I1362" i="2" s="1"/>
  <c r="I1363" i="2" a="1"/>
  <c r="I1363" i="2" s="1"/>
  <c r="I1364" i="2" a="1"/>
  <c r="I1364" i="2" s="1"/>
  <c r="I1365" i="2" a="1"/>
  <c r="I1365" i="2" s="1"/>
  <c r="I1366" i="2" a="1"/>
  <c r="I1366" i="2" s="1"/>
  <c r="I1367" i="2" a="1"/>
  <c r="I1367" i="2" s="1"/>
  <c r="G1369" i="2" a="1"/>
  <c r="G1369" i="2" s="1"/>
  <c r="H1371" i="2" a="1"/>
  <c r="H1371" i="2" s="1"/>
  <c r="I1372" i="2" a="1"/>
  <c r="I1372" i="2" s="1"/>
  <c r="I1373" i="2" a="1"/>
  <c r="I1373" i="2" s="1"/>
  <c r="I1375" i="2" a="1"/>
  <c r="I1375" i="2" s="1"/>
  <c r="G1378" i="2" a="1"/>
  <c r="G1378" i="2" s="1"/>
  <c r="G1379" i="2" a="1"/>
  <c r="G1379" i="2" s="1"/>
  <c r="H1380" i="2" a="1"/>
  <c r="H1380" i="2" s="1"/>
  <c r="H1381" i="2" a="1"/>
  <c r="H1381" i="2" s="1"/>
  <c r="I1382" i="2" a="1"/>
  <c r="I1382" i="2" s="1"/>
  <c r="I1383" i="2" a="1"/>
  <c r="I1383" i="2" s="1"/>
  <c r="G1385" i="2" a="1"/>
  <c r="G1385" i="2" s="1"/>
  <c r="G1386" i="2" a="1"/>
  <c r="G1386" i="2" s="1"/>
  <c r="G1387" i="2" a="1"/>
  <c r="G1387" i="2" s="1"/>
  <c r="G1388" i="2" a="1"/>
  <c r="G1388" i="2" s="1"/>
  <c r="G1390" i="2" a="1"/>
  <c r="G1390" i="2" s="1"/>
  <c r="G1391" i="2" a="1"/>
  <c r="G1391" i="2" s="1"/>
  <c r="G1392" i="2" a="1"/>
  <c r="G1392" i="2" s="1"/>
  <c r="H1393" i="2" a="1"/>
  <c r="H1393" i="2" s="1"/>
  <c r="H1395" i="2" a="1"/>
  <c r="H1395" i="2" s="1"/>
  <c r="G1397" i="2" a="1"/>
  <c r="G1397" i="2" s="1"/>
  <c r="H1399" i="2" a="1"/>
  <c r="H1399" i="2" s="1"/>
  <c r="H1400" i="2" a="1"/>
  <c r="H1400" i="2" s="1"/>
  <c r="I1401" i="2" a="1"/>
  <c r="I1401" i="2" s="1"/>
  <c r="I1402" i="2" a="1"/>
  <c r="I1402" i="2" s="1"/>
  <c r="G1404" i="2" a="1"/>
  <c r="G1404" i="2" s="1"/>
  <c r="G1406" i="2" a="1"/>
  <c r="G1406" i="2" s="1"/>
  <c r="G1407" i="2" a="1"/>
  <c r="G1407" i="2" s="1"/>
  <c r="G1408" i="2" a="1"/>
  <c r="G1408" i="2" s="1"/>
  <c r="G1409" i="2" a="1"/>
  <c r="G1409" i="2" s="1"/>
  <c r="H1411" i="2" a="1"/>
  <c r="H1411" i="2" s="1"/>
  <c r="I1412" i="2" a="1"/>
  <c r="I1412" i="2" s="1"/>
  <c r="I1413" i="2" a="1"/>
  <c r="I1413" i="2" s="1"/>
  <c r="G1415" i="2" a="1"/>
  <c r="G1415" i="2" s="1"/>
  <c r="G1416" i="2" a="1"/>
  <c r="G1416" i="2" s="1"/>
  <c r="H1417" i="2" a="1"/>
  <c r="H1417" i="2" s="1"/>
  <c r="H1419" i="2" a="1"/>
  <c r="H1419" i="2" s="1"/>
  <c r="H1420" i="2" a="1"/>
  <c r="H1420" i="2" s="1"/>
  <c r="H1421" i="2" a="1"/>
  <c r="H1421" i="2" s="1"/>
  <c r="I1422" i="2" a="1"/>
  <c r="I1422" i="2" s="1"/>
  <c r="I1423" i="2" a="1"/>
  <c r="I1423" i="2" s="1"/>
  <c r="G1425" i="2" a="1"/>
  <c r="G1425" i="2" s="1"/>
  <c r="H1427" i="2" a="1"/>
  <c r="H1427" i="2" s="1"/>
  <c r="H1428" i="2" a="1"/>
  <c r="H1428" i="2" s="1"/>
  <c r="H1429" i="2" a="1"/>
  <c r="H1429" i="2" s="1"/>
  <c r="H1430" i="2" a="1"/>
  <c r="H1430" i="2" s="1"/>
  <c r="I1432" i="2" a="1"/>
  <c r="I1432" i="2" s="1"/>
  <c r="G1434" i="2" a="1"/>
  <c r="G1434" i="2" s="1"/>
  <c r="G1435" i="2" a="1"/>
  <c r="G1435" i="2" s="1"/>
  <c r="H1436" i="2" a="1"/>
  <c r="H1436" i="2" s="1"/>
  <c r="H1437" i="2" a="1"/>
  <c r="H1437" i="2" s="1"/>
  <c r="H1438" i="2" a="1"/>
  <c r="H1438" i="2" s="1"/>
  <c r="H1439" i="2" a="1"/>
  <c r="H1439" i="2" s="1"/>
  <c r="H1440" i="2" a="1"/>
  <c r="H1440" i="2" s="1"/>
  <c r="H1441" i="2" a="1"/>
  <c r="H1441" i="2" s="1"/>
  <c r="H1442" i="2" a="1"/>
  <c r="H1442" i="2" s="1"/>
  <c r="I1443" i="2" a="1"/>
  <c r="I1443" i="2" s="1"/>
  <c r="G1446" i="2" a="1"/>
  <c r="G1446" i="2" s="1"/>
  <c r="H1447" i="2" a="1"/>
  <c r="H1447" i="2" s="1"/>
  <c r="H1448" i="2" a="1"/>
  <c r="H1448" i="2" s="1"/>
  <c r="H1450" i="2" a="1"/>
  <c r="H1450" i="2" s="1"/>
  <c r="I1452" i="2" a="1"/>
  <c r="I1452" i="2" s="1"/>
  <c r="I1453" i="2" a="1"/>
  <c r="I1453" i="2" s="1"/>
  <c r="G1455" i="2" a="1"/>
  <c r="G1455" i="2" s="1"/>
  <c r="G1456" i="2" a="1"/>
  <c r="G1456" i="2" s="1"/>
  <c r="H1457" i="2" a="1"/>
  <c r="H1457" i="2" s="1"/>
  <c r="H1458" i="2" a="1"/>
  <c r="H1458" i="2" s="1"/>
  <c r="I1459" i="2" a="1"/>
  <c r="I1459" i="2" s="1"/>
  <c r="I1460" i="2" a="1"/>
  <c r="I1460" i="2" s="1"/>
  <c r="I1461" i="2" a="1"/>
  <c r="I1461" i="2" s="1"/>
  <c r="I1462" i="2" a="1"/>
  <c r="I1462" i="2" s="1"/>
  <c r="I1463" i="2" a="1"/>
  <c r="I1463" i="2" s="1"/>
  <c r="G1465" i="2" a="1"/>
  <c r="G1465" i="2" s="1"/>
  <c r="H1467" i="2" a="1"/>
  <c r="H1467" i="2" s="1"/>
  <c r="I1468" i="2" a="1"/>
  <c r="I1468" i="2" s="1"/>
  <c r="H609" i="2" a="1"/>
  <c r="H609" i="2" s="1"/>
  <c r="G689" i="2" a="1"/>
  <c r="G689" i="2" s="1"/>
  <c r="H763" i="2" a="1"/>
  <c r="H763" i="2" s="1"/>
  <c r="G776" i="2" a="1"/>
  <c r="G776" i="2" s="1"/>
  <c r="G786" i="2" a="1"/>
  <c r="G786" i="2" s="1"/>
  <c r="G796" i="2" a="1"/>
  <c r="G796" i="2" s="1"/>
  <c r="H816" i="2" a="1"/>
  <c r="H816" i="2" s="1"/>
  <c r="H826" i="2" a="1"/>
  <c r="H826" i="2" s="1"/>
  <c r="G837" i="2" a="1"/>
  <c r="G837" i="2" s="1"/>
  <c r="I846" i="2" a="1"/>
  <c r="I846" i="2" s="1"/>
  <c r="H866" i="2" a="1"/>
  <c r="H866" i="2" s="1"/>
  <c r="I876" i="2" a="1"/>
  <c r="I876" i="2" s="1"/>
  <c r="H887" i="2" a="1"/>
  <c r="H887" i="2" s="1"/>
  <c r="G894" i="2" a="1"/>
  <c r="G894" i="2" s="1"/>
  <c r="I900" i="2" a="1"/>
  <c r="I900" i="2" s="1"/>
  <c r="I908" i="2" a="1"/>
  <c r="I908" i="2" s="1"/>
  <c r="H915" i="2" a="1"/>
  <c r="H915" i="2" s="1"/>
  <c r="G922" i="2" a="1"/>
  <c r="G922" i="2" s="1"/>
  <c r="G930" i="2" a="1"/>
  <c r="G930" i="2" s="1"/>
  <c r="I936" i="2" a="1"/>
  <c r="I936" i="2" s="1"/>
  <c r="H943" i="2" a="1"/>
  <c r="H943" i="2" s="1"/>
  <c r="H951" i="2" a="1"/>
  <c r="H951" i="2" s="1"/>
  <c r="G958" i="2" a="1"/>
  <c r="G958" i="2" s="1"/>
  <c r="I964" i="2" a="1"/>
  <c r="I964" i="2" s="1"/>
  <c r="I972" i="2" a="1"/>
  <c r="I972" i="2" s="1"/>
  <c r="H979" i="2" a="1"/>
  <c r="H979" i="2" s="1"/>
  <c r="G986" i="2" a="1"/>
  <c r="G986" i="2" s="1"/>
  <c r="G994" i="2" a="1"/>
  <c r="G994" i="2" s="1"/>
  <c r="I1000" i="2" a="1"/>
  <c r="I1000" i="2" s="1"/>
  <c r="H1007" i="2" a="1"/>
  <c r="H1007" i="2" s="1"/>
  <c r="H1015" i="2" a="1"/>
  <c r="H1015" i="2" s="1"/>
  <c r="G1022" i="2" a="1"/>
  <c r="G1022" i="2" s="1"/>
  <c r="I1028" i="2" a="1"/>
  <c r="I1028" i="2" s="1"/>
  <c r="I1036" i="2" a="1"/>
  <c r="I1036" i="2" s="1"/>
  <c r="H1043" i="2" a="1"/>
  <c r="H1043" i="2" s="1"/>
  <c r="G1050" i="2" a="1"/>
  <c r="G1050" i="2" s="1"/>
  <c r="G1058" i="2" a="1"/>
  <c r="G1058" i="2" s="1"/>
  <c r="I1064" i="2" a="1"/>
  <c r="I1064" i="2" s="1"/>
  <c r="H1071" i="2" a="1"/>
  <c r="H1071" i="2" s="1"/>
  <c r="H1079" i="2" a="1"/>
  <c r="H1079" i="2" s="1"/>
  <c r="G1086" i="2" a="1"/>
  <c r="G1086" i="2" s="1"/>
  <c r="I1091" i="2" a="1"/>
  <c r="I1091" i="2" s="1"/>
  <c r="I1098" i="2" a="1"/>
  <c r="I1098" i="2" s="1"/>
  <c r="I1104" i="2" a="1"/>
  <c r="I1104" i="2" s="1"/>
  <c r="H1110" i="2" a="1"/>
  <c r="H1110" i="2" s="1"/>
  <c r="G1118" i="2" a="1"/>
  <c r="G1118" i="2" s="1"/>
  <c r="I1123" i="2" a="1"/>
  <c r="I1123" i="2" s="1"/>
  <c r="I1129" i="2" a="1"/>
  <c r="I1129" i="2" s="1"/>
  <c r="I1136" i="2" a="1"/>
  <c r="I1136" i="2" s="1"/>
  <c r="H1142" i="2" a="1"/>
  <c r="H1142" i="2" s="1"/>
  <c r="H1147" i="2" a="1"/>
  <c r="H1147" i="2" s="1"/>
  <c r="H1148" i="2" a="1"/>
  <c r="H1148" i="2" s="1"/>
  <c r="H1149" i="2" a="1"/>
  <c r="H1149" i="2" s="1"/>
  <c r="H1150" i="2" a="1"/>
  <c r="H1150" i="2" s="1"/>
  <c r="I1151" i="2" a="1"/>
  <c r="I1151" i="2" s="1"/>
  <c r="G1154" i="2" a="1"/>
  <c r="G1154" i="2" s="1"/>
  <c r="G1155" i="2" a="1"/>
  <c r="G1155" i="2" s="1"/>
  <c r="G1156" i="2" a="1"/>
  <c r="G1156" i="2" s="1"/>
  <c r="G1157" i="2" a="1"/>
  <c r="G1157" i="2" s="1"/>
  <c r="H1158" i="2" a="1"/>
  <c r="H1158" i="2" s="1"/>
  <c r="I1160" i="2" a="1"/>
  <c r="I1160" i="2" s="1"/>
  <c r="I1161" i="2" a="1"/>
  <c r="I1161" i="2" s="1"/>
  <c r="G1163" i="2" a="1"/>
  <c r="G1163" i="2" s="1"/>
  <c r="G1164" i="2" a="1"/>
  <c r="G1164" i="2" s="1"/>
  <c r="H1165" i="2" a="1"/>
  <c r="H1165" i="2" s="1"/>
  <c r="H1166" i="2" a="1"/>
  <c r="H1166" i="2" s="1"/>
  <c r="I1167" i="2" a="1"/>
  <c r="I1167" i="2" s="1"/>
  <c r="G1170" i="2" a="1"/>
  <c r="G1170" i="2" s="1"/>
  <c r="H1171" i="2" a="1"/>
  <c r="H1171" i="2" s="1"/>
  <c r="H1172" i="2" a="1"/>
  <c r="H1172" i="2" s="1"/>
  <c r="H1173" i="2" a="1"/>
  <c r="H1173" i="2" s="1"/>
  <c r="I1174" i="2" a="1"/>
  <c r="I1174" i="2" s="1"/>
  <c r="G1176" i="2" a="1"/>
  <c r="G1176" i="2" s="1"/>
  <c r="H1177" i="2" a="1"/>
  <c r="H1177" i="2" s="1"/>
  <c r="I1178" i="2" a="1"/>
  <c r="I1178" i="2" s="1"/>
  <c r="G1180" i="2" a="1"/>
  <c r="G1180" i="2" s="1"/>
  <c r="G1181" i="2" a="1"/>
  <c r="G1181" i="2" s="1"/>
  <c r="H1182" i="2" a="1"/>
  <c r="H1182" i="2" s="1"/>
  <c r="I1184" i="2" a="1"/>
  <c r="I1184" i="2" s="1"/>
  <c r="I1185" i="2" a="1"/>
  <c r="I1185" i="2" s="1"/>
  <c r="I1186" i="2" a="1"/>
  <c r="I1186" i="2" s="1"/>
  <c r="G1188" i="2" a="1"/>
  <c r="G1188" i="2" s="1"/>
  <c r="H1189" i="2" a="1"/>
  <c r="H1189" i="2" s="1"/>
  <c r="H1190" i="2" a="1"/>
  <c r="H1190" i="2" s="1"/>
  <c r="I1191" i="2" a="1"/>
  <c r="I1191" i="2" s="1"/>
  <c r="G1194" i="2" a="1"/>
  <c r="G1194" i="2" s="1"/>
  <c r="H1195" i="2" a="1"/>
  <c r="H1195" i="2" s="1"/>
  <c r="I1196" i="2" a="1"/>
  <c r="I1196" i="2" s="1"/>
  <c r="G1198" i="2" a="1"/>
  <c r="G1198" i="2" s="1"/>
  <c r="H1199" i="2" a="1"/>
  <c r="H1199" i="2" s="1"/>
  <c r="I1200" i="2" a="1"/>
  <c r="I1200" i="2" s="1"/>
  <c r="I1201" i="2" a="1"/>
  <c r="I1201" i="2" s="1"/>
  <c r="G1203" i="2" a="1"/>
  <c r="G1203" i="2" s="1"/>
  <c r="G1204" i="2" a="1"/>
  <c r="G1204" i="2" s="1"/>
  <c r="H1205" i="2" a="1"/>
  <c r="H1205" i="2" s="1"/>
  <c r="H1206" i="2" a="1"/>
  <c r="H1206" i="2" s="1"/>
  <c r="I1207" i="2" a="1"/>
  <c r="I1207" i="2" s="1"/>
  <c r="G1210" i="2" a="1"/>
  <c r="G1210" i="2" s="1"/>
  <c r="G1211" i="2" a="1"/>
  <c r="G1211" i="2" s="1"/>
  <c r="G1212" i="2" a="1"/>
  <c r="G1212" i="2" s="1"/>
  <c r="H1213" i="2" a="1"/>
  <c r="H1213" i="2" s="1"/>
  <c r="H1214" i="2" a="1"/>
  <c r="H1214" i="2" s="1"/>
  <c r="I1215" i="2" a="1"/>
  <c r="I1215" i="2" s="1"/>
  <c r="G1218" i="2" a="1"/>
  <c r="G1218" i="2" s="1"/>
  <c r="H1219" i="2" a="1"/>
  <c r="H1219" i="2" s="1"/>
  <c r="H1220" i="2" a="1"/>
  <c r="H1220" i="2" s="1"/>
  <c r="I1221" i="2" a="1"/>
  <c r="I1221" i="2" s="1"/>
  <c r="I1222" i="2" a="1"/>
  <c r="I1222" i="2" s="1"/>
  <c r="G1224" i="2" a="1"/>
  <c r="G1224" i="2" s="1"/>
  <c r="G1225" i="2" a="1"/>
  <c r="G1225" i="2" s="1"/>
  <c r="H1226" i="2" a="1"/>
  <c r="H1226" i="2" s="1"/>
  <c r="I1228" i="2" a="1"/>
  <c r="I1228" i="2" s="1"/>
  <c r="G1230" i="2" a="1"/>
  <c r="G1230" i="2" s="1"/>
  <c r="G1231" i="2" a="1"/>
  <c r="G1231" i="2" s="1"/>
  <c r="H1232" i="2" a="1"/>
  <c r="H1232" i="2" s="1"/>
  <c r="H1233" i="2" a="1"/>
  <c r="H1233" i="2" s="1"/>
  <c r="I1234" i="2" a="1"/>
  <c r="I1234" i="2" s="1"/>
  <c r="I1235" i="2" a="1"/>
  <c r="I1235" i="2" s="1"/>
  <c r="G1237" i="2" a="1"/>
  <c r="G1237" i="2" s="1"/>
  <c r="H1238" i="2" a="1"/>
  <c r="H1238" i="2" s="1"/>
  <c r="I1239" i="2" a="1"/>
  <c r="I1239" i="2" s="1"/>
  <c r="G1242" i="2" a="1"/>
  <c r="G1242" i="2" s="1"/>
  <c r="H1243" i="2" a="1"/>
  <c r="H1243" i="2" s="1"/>
  <c r="H1244" i="2" a="1"/>
  <c r="H1244" i="2" s="1"/>
  <c r="H1245" i="2" a="1"/>
  <c r="H1245" i="2" s="1"/>
  <c r="H1246" i="2" a="1"/>
  <c r="H1246" i="2" s="1"/>
  <c r="I1248" i="2" a="1"/>
  <c r="I1248" i="2" s="1"/>
  <c r="I1249" i="2" a="1"/>
  <c r="I1249" i="2" s="1"/>
  <c r="G1251" i="2" a="1"/>
  <c r="G1251" i="2" s="1"/>
  <c r="G1252" i="2" a="1"/>
  <c r="G1252" i="2" s="1"/>
  <c r="H1253" i="2" a="1"/>
  <c r="H1253" i="2" s="1"/>
  <c r="H1254" i="2" a="1"/>
  <c r="H1254" i="2" s="1"/>
  <c r="I1255" i="2" a="1"/>
  <c r="I1255" i="2" s="1"/>
  <c r="G1257" i="2" a="1"/>
  <c r="G1257" i="2" s="1"/>
  <c r="H1258" i="2" a="1"/>
  <c r="H1258" i="2" s="1"/>
  <c r="I1260" i="2" a="1"/>
  <c r="I1260" i="2" s="1"/>
  <c r="G1262" i="2" a="1"/>
  <c r="G1262" i="2" s="1"/>
  <c r="G1263" i="2" a="1"/>
  <c r="G1263" i="2" s="1"/>
  <c r="H1264" i="2" a="1"/>
  <c r="H1264" i="2" s="1"/>
  <c r="I1265" i="2" a="1"/>
  <c r="I1265" i="2" s="1"/>
  <c r="I1266" i="2" a="1"/>
  <c r="I1266" i="2" s="1"/>
  <c r="G1268" i="2" a="1"/>
  <c r="G1268" i="2" s="1"/>
  <c r="G1270" i="2" a="1"/>
  <c r="G1270" i="2" s="1"/>
  <c r="I1271" i="2" a="1"/>
  <c r="I1271" i="2" s="1"/>
  <c r="G1274" i="2" a="1"/>
  <c r="G1274" i="2" s="1"/>
  <c r="G1275" i="2" a="1"/>
  <c r="G1275" i="2" s="1"/>
  <c r="G1277" i="2" a="1"/>
  <c r="G1277" i="2" s="1"/>
  <c r="H1278" i="2" a="1"/>
  <c r="H1278" i="2" s="1"/>
  <c r="H1279" i="2" a="1"/>
  <c r="H1279" i="2" s="1"/>
  <c r="H1280" i="2" a="1"/>
  <c r="H1280" i="2" s="1"/>
  <c r="H1281" i="2" a="1"/>
  <c r="H1281" i="2" s="1"/>
  <c r="H1282" i="2" a="1"/>
  <c r="H1282" i="2" s="1"/>
  <c r="I1284" i="2" a="1"/>
  <c r="I1284" i="2" s="1"/>
  <c r="I1285" i="2" a="1"/>
  <c r="I1285" i="2" s="1"/>
  <c r="I1287" i="2" a="1"/>
  <c r="I1287" i="2" s="1"/>
  <c r="I1289" i="2" a="1"/>
  <c r="I1289" i="2" s="1"/>
  <c r="I1290" i="2" a="1"/>
  <c r="I1290" i="2" s="1"/>
  <c r="I1291" i="2" a="1"/>
  <c r="I1291" i="2" s="1"/>
  <c r="G1294" i="2" a="1"/>
  <c r="G1294" i="2" s="1"/>
  <c r="G1295" i="2" a="1"/>
  <c r="G1295" i="2" s="1"/>
  <c r="G1296" i="2" a="1"/>
  <c r="G1296" i="2" s="1"/>
  <c r="H1297" i="2" a="1"/>
  <c r="H1297" i="2" s="1"/>
  <c r="H1298" i="2" a="1"/>
  <c r="H1298" i="2" s="1"/>
  <c r="I1299" i="2" a="1"/>
  <c r="I1299" i="2" s="1"/>
  <c r="I1300" i="2" a="1"/>
  <c r="I1300" i="2" s="1"/>
  <c r="I1301" i="2" a="1"/>
  <c r="I1301" i="2" s="1"/>
  <c r="I1302" i="2" a="1"/>
  <c r="I1302" i="2" s="1"/>
  <c r="I1303" i="2" a="1"/>
  <c r="I1303" i="2" s="1"/>
  <c r="G1306" i="2" a="1"/>
  <c r="G1306" i="2" s="1"/>
  <c r="G1307" i="2" a="1"/>
  <c r="G1307" i="2" s="1"/>
  <c r="H1308" i="2" a="1"/>
  <c r="H1308" i="2" s="1"/>
  <c r="H1309" i="2" a="1"/>
  <c r="H1309" i="2" s="1"/>
  <c r="H1310" i="2" a="1"/>
  <c r="H1310" i="2" s="1"/>
  <c r="H1311" i="2" a="1"/>
  <c r="H1311" i="2" s="1"/>
  <c r="H1312" i="2" a="1"/>
  <c r="H1312" i="2" s="1"/>
  <c r="H1313" i="2" a="1"/>
  <c r="H1313" i="2" s="1"/>
  <c r="H1314" i="2" a="1"/>
  <c r="H1314" i="2" s="1"/>
  <c r="I1315" i="2" a="1"/>
  <c r="I1315" i="2" s="1"/>
  <c r="G1318" i="2" a="1"/>
  <c r="G1318" i="2" s="1"/>
  <c r="G1319" i="2" a="1"/>
  <c r="G1319" i="2" s="1"/>
  <c r="G1320" i="2" a="1"/>
  <c r="G1320" i="2" s="1"/>
  <c r="G1321" i="2" a="1"/>
  <c r="G1321" i="2" s="1"/>
  <c r="G1322" i="2" a="1"/>
  <c r="G1322" i="2" s="1"/>
  <c r="G1323" i="2" a="1"/>
  <c r="G1323" i="2" s="1"/>
  <c r="G1324" i="2" a="1"/>
  <c r="G1324" i="2" s="1"/>
  <c r="G1325" i="2" a="1"/>
  <c r="G1325" i="2" s="1"/>
  <c r="H1327" i="2" a="1"/>
  <c r="H1327" i="2" s="1"/>
  <c r="H1328" i="2" a="1"/>
  <c r="H1328" i="2" s="1"/>
  <c r="I1329" i="2" a="1"/>
  <c r="I1329" i="2" s="1"/>
  <c r="I1330" i="2" a="1"/>
  <c r="I1330" i="2" s="1"/>
  <c r="G1332" i="2" a="1"/>
  <c r="G1332" i="2" s="1"/>
  <c r="G1334" i="2" a="1"/>
  <c r="G1334" i="2" s="1"/>
  <c r="G1335" i="2" a="1"/>
  <c r="G1335" i="2" s="1"/>
  <c r="G1336" i="2" a="1"/>
  <c r="G1336" i="2" s="1"/>
  <c r="G1337" i="2" a="1"/>
  <c r="G1337" i="2" s="1"/>
  <c r="H1339" i="2" a="1"/>
  <c r="H1339" i="2" s="1"/>
  <c r="H1340" i="2" a="1"/>
  <c r="H1340" i="2" s="1"/>
  <c r="H1341" i="2" a="1"/>
  <c r="H1341" i="2" s="1"/>
  <c r="H1342" i="2" a="1"/>
  <c r="H1342" i="2" s="1"/>
  <c r="H1343" i="2" a="1"/>
  <c r="H1343" i="2" s="1"/>
  <c r="H1344" i="2" a="1"/>
  <c r="H1344" i="2" s="1"/>
  <c r="H1345" i="2" a="1"/>
  <c r="H1345" i="2" s="1"/>
  <c r="H1346" i="2" a="1"/>
  <c r="H1346" i="2" s="1"/>
  <c r="I1348" i="2" a="1"/>
  <c r="I1348" i="2" s="1"/>
  <c r="I1349" i="2" a="1"/>
  <c r="I1349" i="2" s="1"/>
  <c r="G1351" i="2" a="1"/>
  <c r="G1351" i="2" s="1"/>
  <c r="G1352" i="2" a="1"/>
  <c r="G1352" i="2" s="1"/>
  <c r="H1353" i="2" a="1"/>
  <c r="H1353" i="2" s="1"/>
  <c r="H1355" i="2" a="1"/>
  <c r="H1355" i="2" s="1"/>
  <c r="H1356" i="2" a="1"/>
  <c r="H1356" i="2" s="1"/>
  <c r="H1357" i="2" a="1"/>
  <c r="H1357" i="2" s="1"/>
  <c r="I1358" i="2" a="1"/>
  <c r="I1358" i="2" s="1"/>
  <c r="I1359" i="2" a="1"/>
  <c r="I1359" i="2" s="1"/>
  <c r="G1361" i="2" a="1"/>
  <c r="G1361" i="2" s="1"/>
  <c r="G1362" i="2" a="1"/>
  <c r="G1362" i="2" s="1"/>
  <c r="G1363" i="2" a="1"/>
  <c r="G1363" i="2" s="1"/>
  <c r="G1364" i="2" a="1"/>
  <c r="G1364" i="2" s="1"/>
  <c r="G1366" i="2" a="1"/>
  <c r="G1366" i="2" s="1"/>
  <c r="G1367" i="2" a="1"/>
  <c r="G1367" i="2" s="1"/>
  <c r="G1368" i="2" a="1"/>
  <c r="G1368" i="2" s="1"/>
  <c r="H1369" i="2" a="1"/>
  <c r="H1369" i="2" s="1"/>
  <c r="H1370" i="2" a="1"/>
  <c r="H1370" i="2" s="1"/>
  <c r="I1371" i="2" a="1"/>
  <c r="I1371" i="2" s="1"/>
  <c r="G1374" i="2" a="1"/>
  <c r="G1374" i="2" s="1"/>
  <c r="G1375" i="2" a="1"/>
  <c r="G1375" i="2" s="1"/>
  <c r="G1376" i="2" a="1"/>
  <c r="G1376" i="2" s="1"/>
  <c r="G1377" i="2" a="1"/>
  <c r="G1377" i="2" s="1"/>
  <c r="H1379" i="2" a="1"/>
  <c r="H1379" i="2" s="1"/>
  <c r="I1380" i="2" a="1"/>
  <c r="I1380" i="2" s="1"/>
  <c r="I1381" i="2" a="1"/>
  <c r="I1381" i="2" s="1"/>
  <c r="G1383" i="2" a="1"/>
  <c r="G1383" i="2" s="1"/>
  <c r="G1384" i="2" a="1"/>
  <c r="G1384" i="2" s="1"/>
  <c r="H1385" i="2" a="1"/>
  <c r="H1385" i="2" s="1"/>
  <c r="H1387" i="2" a="1"/>
  <c r="H1387" i="2" s="1"/>
  <c r="G1389" i="2" a="1"/>
  <c r="G1389" i="2" s="1"/>
  <c r="H1391" i="2" a="1"/>
  <c r="H1391" i="2" s="1"/>
  <c r="H1392" i="2" a="1"/>
  <c r="H1392" i="2" s="1"/>
  <c r="H1394" i="2" a="1"/>
  <c r="H1394" i="2" s="1"/>
  <c r="H1396" i="2" a="1"/>
  <c r="H1396" i="2" s="1"/>
  <c r="H1397" i="2" a="1"/>
  <c r="H1397" i="2" s="1"/>
  <c r="H1398" i="2" a="1"/>
  <c r="H1398" i="2" s="1"/>
  <c r="I1400" i="2" a="1"/>
  <c r="I1400" i="2" s="1"/>
  <c r="G1402" i="2" a="1"/>
  <c r="G1402" i="2" s="1"/>
  <c r="G1403" i="2" a="1"/>
  <c r="G1403" i="2" s="1"/>
  <c r="G1405" i="2" a="1"/>
  <c r="G1405" i="2" s="1"/>
  <c r="H1406" i="2" a="1"/>
  <c r="H1406" i="2" s="1"/>
  <c r="H1407" i="2" a="1"/>
  <c r="H1407" i="2" s="1"/>
  <c r="H1408" i="2" a="1"/>
  <c r="H1408" i="2" s="1"/>
  <c r="H1409" i="2" a="1"/>
  <c r="H1409" i="2" s="1"/>
  <c r="H1410" i="2" a="1"/>
  <c r="H1410" i="2" s="1"/>
  <c r="I1411" i="2" a="1"/>
  <c r="I1411" i="2" s="1"/>
  <c r="G1414" i="2" a="1"/>
  <c r="G1414" i="2" s="1"/>
  <c r="H1415" i="2" a="1"/>
  <c r="H1415" i="2" s="1"/>
  <c r="H1416" i="2" a="1"/>
  <c r="H1416" i="2" s="1"/>
  <c r="H1418" i="2" a="1"/>
  <c r="H1418" i="2" s="1"/>
  <c r="I1420" i="2" a="1"/>
  <c r="I1420" i="2" s="1"/>
  <c r="I1421" i="2" a="1"/>
  <c r="I1421" i="2" s="1"/>
  <c r="G1423" i="2" a="1"/>
  <c r="G1423" i="2" s="1"/>
  <c r="G1424" i="2" a="1"/>
  <c r="G1424" i="2" s="1"/>
  <c r="H1425" i="2" a="1"/>
  <c r="H1425" i="2" s="1"/>
  <c r="H1426" i="2" a="1"/>
  <c r="H1426" i="2" s="1"/>
  <c r="I1427" i="2" a="1"/>
  <c r="I1427" i="2" s="1"/>
  <c r="I1428" i="2" a="1"/>
  <c r="I1428" i="2" s="1"/>
  <c r="I1429" i="2" a="1"/>
  <c r="I1429" i="2" s="1"/>
  <c r="I1430" i="2" a="1"/>
  <c r="I1430" i="2" s="1"/>
  <c r="I1431" i="2" a="1"/>
  <c r="I1431" i="2" s="1"/>
  <c r="G1433" i="2" a="1"/>
  <c r="G1433" i="2" s="1"/>
  <c r="H1435" i="2" a="1"/>
  <c r="H1435" i="2" s="1"/>
  <c r="I1436" i="2" a="1"/>
  <c r="I1436" i="2" s="1"/>
  <c r="I1437" i="2" a="1"/>
  <c r="I1437" i="2" s="1"/>
  <c r="I1438" i="2" a="1"/>
  <c r="I1438" i="2" s="1"/>
  <c r="I1440" i="2" a="1"/>
  <c r="I1440" i="2" s="1"/>
  <c r="I1441" i="2" a="1"/>
  <c r="I1441" i="2" s="1"/>
  <c r="I1442" i="2" a="1"/>
  <c r="I1442" i="2" s="1"/>
  <c r="G1444" i="2" a="1"/>
  <c r="G1444" i="2" s="1"/>
  <c r="G1445" i="2" a="1"/>
  <c r="G1445" i="2" s="1"/>
  <c r="H1446" i="2" a="1"/>
  <c r="H1446" i="2" s="1"/>
  <c r="I1448" i="2" a="1"/>
  <c r="I1448" i="2" s="1"/>
  <c r="I1449" i="2" a="1"/>
  <c r="I1449" i="2" s="1"/>
  <c r="I1450" i="2" a="1"/>
  <c r="I1450" i="2" s="1"/>
  <c r="I1451" i="2" a="1"/>
  <c r="I1451" i="2" s="1"/>
  <c r="G1454" i="2" a="1"/>
  <c r="G1454" i="2" s="1"/>
  <c r="H1455" i="2" a="1"/>
  <c r="H1455" i="2" s="1"/>
  <c r="H1456" i="2" a="1"/>
  <c r="H1456" i="2" s="1"/>
  <c r="I1457" i="2" a="1"/>
  <c r="I1457" i="2" s="1"/>
  <c r="I1458" i="2" a="1"/>
  <c r="I1458" i="2" s="1"/>
  <c r="G1460" i="2" a="1"/>
  <c r="G1460" i="2" s="1"/>
  <c r="G1462" i="2" a="1"/>
  <c r="G1462" i="2" s="1"/>
  <c r="G1463" i="2" a="1"/>
  <c r="G1463" i="2" s="1"/>
  <c r="G1464" i="2" a="1"/>
  <c r="G1464" i="2" s="1"/>
  <c r="H1465" i="2" a="1"/>
  <c r="H1465" i="2" s="1"/>
  <c r="H1466" i="2" a="1"/>
  <c r="H1466" i="2" s="1"/>
  <c r="I1467" i="2" a="1"/>
  <c r="I1467" i="2" s="1"/>
  <c r="G476" i="2" a="1"/>
  <c r="G476" i="2" s="1"/>
  <c r="I648" i="2" a="1"/>
  <c r="I648" i="2" s="1"/>
  <c r="I729" i="2" a="1"/>
  <c r="I729" i="2" s="1"/>
  <c r="G771" i="2" a="1"/>
  <c r="G771" i="2" s="1"/>
  <c r="G781" i="2" a="1"/>
  <c r="G781" i="2" s="1"/>
  <c r="G791" i="2" a="1"/>
  <c r="G791" i="2" s="1"/>
  <c r="H801" i="2" a="1"/>
  <c r="H801" i="2" s="1"/>
  <c r="H811" i="2" a="1"/>
  <c r="H811" i="2" s="1"/>
  <c r="G821" i="2" a="1"/>
  <c r="G821" i="2" s="1"/>
  <c r="I831" i="2" a="1"/>
  <c r="I831" i="2" s="1"/>
  <c r="I841" i="2" a="1"/>
  <c r="I841" i="2" s="1"/>
  <c r="I851" i="2" a="1"/>
  <c r="I851" i="2" s="1"/>
  <c r="H861" i="2" a="1"/>
  <c r="H861" i="2" s="1"/>
  <c r="H871" i="2" a="1"/>
  <c r="H871" i="2" s="1"/>
  <c r="G882" i="2" a="1"/>
  <c r="G882" i="2" s="1"/>
  <c r="G890" i="2" a="1"/>
  <c r="G890" i="2" s="1"/>
  <c r="G898" i="2" a="1"/>
  <c r="G898" i="2" s="1"/>
  <c r="I904" i="2" a="1"/>
  <c r="I904" i="2" s="1"/>
  <c r="H911" i="2" a="1"/>
  <c r="H911" i="2" s="1"/>
  <c r="H919" i="2" a="1"/>
  <c r="H919" i="2" s="1"/>
  <c r="G926" i="2" a="1"/>
  <c r="G926" i="2" s="1"/>
  <c r="I932" i="2" a="1"/>
  <c r="I932" i="2" s="1"/>
  <c r="I940" i="2" a="1"/>
  <c r="I940" i="2" s="1"/>
  <c r="H947" i="2" a="1"/>
  <c r="H947" i="2" s="1"/>
  <c r="G954" i="2" a="1"/>
  <c r="G954" i="2" s="1"/>
  <c r="G962" i="2" a="1"/>
  <c r="G962" i="2" s="1"/>
  <c r="I968" i="2" a="1"/>
  <c r="I968" i="2" s="1"/>
  <c r="H975" i="2" a="1"/>
  <c r="H975" i="2" s="1"/>
  <c r="H983" i="2" a="1"/>
  <c r="H983" i="2" s="1"/>
  <c r="G990" i="2" a="1"/>
  <c r="G990" i="2" s="1"/>
  <c r="I996" i="2" a="1"/>
  <c r="I996" i="2" s="1"/>
  <c r="I1004" i="2" a="1"/>
  <c r="I1004" i="2" s="1"/>
  <c r="H1011" i="2" a="1"/>
  <c r="H1011" i="2" s="1"/>
  <c r="G1018" i="2" a="1"/>
  <c r="G1018" i="2" s="1"/>
  <c r="G1026" i="2" a="1"/>
  <c r="G1026" i="2" s="1"/>
  <c r="I1032" i="2" a="1"/>
  <c r="I1032" i="2" s="1"/>
  <c r="H1039" i="2" a="1"/>
  <c r="H1039" i="2" s="1"/>
  <c r="H1047" i="2" a="1"/>
  <c r="H1047" i="2" s="1"/>
  <c r="G1054" i="2" a="1"/>
  <c r="G1054" i="2" s="1"/>
  <c r="I1060" i="2" a="1"/>
  <c r="I1060" i="2" s="1"/>
  <c r="I1068" i="2" a="1"/>
  <c r="I1068" i="2" s="1"/>
  <c r="H1075" i="2" a="1"/>
  <c r="H1075" i="2" s="1"/>
  <c r="G1082" i="2" a="1"/>
  <c r="G1082" i="2" s="1"/>
  <c r="I1089" i="2" a="1"/>
  <c r="I1089" i="2" s="1"/>
  <c r="H1095" i="2" a="1"/>
  <c r="H1095" i="2" s="1"/>
  <c r="G1101" i="2" a="1"/>
  <c r="G1101" i="2" s="1"/>
  <c r="H1108" i="2" a="1"/>
  <c r="H1108" i="2" s="1"/>
  <c r="H1114" i="2" a="1"/>
  <c r="H1114" i="2" s="1"/>
  <c r="H1120" i="2" a="1"/>
  <c r="H1120" i="2" s="1"/>
  <c r="G1133" i="2" a="1"/>
  <c r="G1133" i="2" s="1"/>
  <c r="G1139" i="2" a="1"/>
  <c r="G1139" i="2" s="1"/>
  <c r="I1146" i="2" a="1"/>
  <c r="I1146" i="2" s="1"/>
  <c r="I1147" i="2" a="1"/>
  <c r="I1147" i="2" s="1"/>
  <c r="G1150" i="2" a="1"/>
  <c r="G1150" i="2" s="1"/>
  <c r="G1151" i="2" a="1"/>
  <c r="G1151" i="2" s="1"/>
  <c r="H1152" i="2" a="1"/>
  <c r="H1152" i="2" s="1"/>
  <c r="H1153" i="2" a="1"/>
  <c r="H1153" i="2" s="1"/>
  <c r="H1154" i="2" a="1"/>
  <c r="H1154" i="2" s="1"/>
  <c r="I1156" i="2" a="1"/>
  <c r="I1156" i="2" s="1"/>
  <c r="I1157" i="2" a="1"/>
  <c r="I1157" i="2" s="1"/>
  <c r="G1159" i="2" a="1"/>
  <c r="G1159" i="2" s="1"/>
  <c r="G1160" i="2" a="1"/>
  <c r="G1160" i="2" s="1"/>
  <c r="G1161" i="2" a="1"/>
  <c r="G1161" i="2" s="1"/>
  <c r="H1162" i="2" a="1"/>
  <c r="H1162" i="2" s="1"/>
  <c r="I1164" i="2" a="1"/>
  <c r="I1164" i="2" s="1"/>
  <c r="G1166" i="2" a="1"/>
  <c r="G1166" i="2" s="1"/>
  <c r="G1167" i="2" a="1"/>
  <c r="G1167" i="2" s="1"/>
  <c r="H1168" i="2" a="1"/>
  <c r="H1168" i="2" s="1"/>
  <c r="H1169" i="2" a="1"/>
  <c r="H1169" i="2" s="1"/>
  <c r="I1170" i="2" a="1"/>
  <c r="I1170" i="2" s="1"/>
  <c r="I1171" i="2" a="1"/>
  <c r="I1171" i="2" s="1"/>
  <c r="G1174" i="2" a="1"/>
  <c r="G1174" i="2" s="1"/>
  <c r="H1175" i="2" a="1"/>
  <c r="H1175" i="2" s="1"/>
  <c r="I1176" i="2" a="1"/>
  <c r="I1176" i="2" s="1"/>
  <c r="G1178" i="2" a="1"/>
  <c r="G1178" i="2" s="1"/>
  <c r="H1179" i="2" a="1"/>
  <c r="H1179" i="2" s="1"/>
  <c r="I1180" i="2" a="1"/>
  <c r="I1180" i="2" s="1"/>
  <c r="I1181" i="2" a="1"/>
  <c r="I1181" i="2" s="1"/>
  <c r="G1183" i="2" a="1"/>
  <c r="G1183" i="2" s="1"/>
  <c r="G1184" i="2" a="1"/>
  <c r="G1184" i="2" s="1"/>
  <c r="G1185" i="2" a="1"/>
  <c r="G1185" i="2" s="1"/>
  <c r="H1187" i="2" a="1"/>
  <c r="H1187" i="2" s="1"/>
  <c r="I1188" i="2" a="1"/>
  <c r="I1188" i="2" s="1"/>
  <c r="G1190" i="2" a="1"/>
  <c r="G1190" i="2" s="1"/>
  <c r="G1191" i="2" a="1"/>
  <c r="G1191" i="2" s="1"/>
  <c r="H1192" i="2" a="1"/>
  <c r="H1192" i="2" s="1"/>
  <c r="H1193" i="2" a="1"/>
  <c r="H1193" i="2" s="1"/>
  <c r="I1194" i="2" a="1"/>
  <c r="I1194" i="2" s="1"/>
  <c r="G1196" i="2" a="1"/>
  <c r="G1196" i="2" s="1"/>
  <c r="H1197" i="2" a="1"/>
  <c r="H1197" i="2" s="1"/>
  <c r="I1198" i="2" a="1"/>
  <c r="I1198" i="2" s="1"/>
  <c r="G1200" i="2" a="1"/>
  <c r="G1200" i="2" s="1"/>
  <c r="G1201" i="2" a="1"/>
  <c r="G1201" i="2" s="1"/>
  <c r="H1202" i="2" a="1"/>
  <c r="H1202" i="2" s="1"/>
  <c r="I1204" i="2" a="1"/>
  <c r="I1204" i="2" s="1"/>
  <c r="G1206" i="2" a="1"/>
  <c r="G1206" i="2" s="1"/>
  <c r="G1207" i="2" a="1"/>
  <c r="G1207" i="2" s="1"/>
  <c r="H1208" i="2" a="1"/>
  <c r="H1208" i="2" s="1"/>
  <c r="H1209" i="2" a="1"/>
  <c r="H1209" i="2" s="1"/>
  <c r="H1210" i="2" a="1"/>
  <c r="H1210" i="2" s="1"/>
  <c r="I1212" i="2" a="1"/>
  <c r="I1212" i="2" s="1"/>
  <c r="G1214" i="2" a="1"/>
  <c r="G1214" i="2" s="1"/>
  <c r="G1215" i="2" a="1"/>
  <c r="G1215" i="2" s="1"/>
  <c r="H1216" i="2" a="1"/>
  <c r="H1216" i="2" s="1"/>
  <c r="H1217" i="2" a="1"/>
  <c r="H1217" i="2" s="1"/>
  <c r="I1218" i="2" a="1"/>
  <c r="I1218" i="2" s="1"/>
  <c r="I1219" i="2" a="1"/>
  <c r="I1219" i="2" s="1"/>
  <c r="G1221" i="2" a="1"/>
  <c r="G1221" i="2" s="1"/>
  <c r="H1223" i="2" a="1"/>
  <c r="H1223" i="2" s="1"/>
  <c r="I1224" i="2" a="1"/>
  <c r="I1224" i="2" s="1"/>
  <c r="I1225" i="2" a="1"/>
  <c r="I1225" i="2" s="1"/>
  <c r="G1227" i="2" a="1"/>
  <c r="G1227" i="2" s="1"/>
  <c r="G1228" i="2" a="1"/>
  <c r="G1228" i="2" s="1"/>
  <c r="H1229" i="2" a="1"/>
  <c r="H1229" i="2" s="1"/>
  <c r="H1230" i="2" a="1"/>
  <c r="H1230" i="2" s="1"/>
  <c r="I1231" i="2" a="1"/>
  <c r="I1231" i="2" s="1"/>
  <c r="G1234" i="2" a="1"/>
  <c r="G1234" i="2" s="1"/>
  <c r="H1235" i="2" a="1"/>
  <c r="H1235" i="2" s="1"/>
  <c r="H1236" i="2" a="1"/>
  <c r="H1236" i="2" s="1"/>
  <c r="I1237" i="2" a="1"/>
  <c r="I1237" i="2" s="1"/>
  <c r="G1239" i="2" a="1"/>
  <c r="G1239" i="2" s="1"/>
  <c r="H1240" i="2" a="1"/>
  <c r="H1240" i="2" s="1"/>
  <c r="H1241" i="2" a="1"/>
  <c r="H1241" i="2" s="1"/>
  <c r="I1242" i="2" a="1"/>
  <c r="I1242" i="2" s="1"/>
  <c r="I1243" i="2" a="1"/>
  <c r="I1243" i="2" s="1"/>
  <c r="G1246" i="2" a="1"/>
  <c r="G1246" i="2" s="1"/>
  <c r="G1247" i="2" a="1"/>
  <c r="G1247" i="2" s="1"/>
  <c r="G1248" i="2" a="1"/>
  <c r="G1248" i="2" s="1"/>
  <c r="G1249" i="2" a="1"/>
  <c r="G1249" i="2" s="1"/>
  <c r="H1250" i="2" a="1"/>
  <c r="H1250" i="2" s="1"/>
  <c r="I1252" i="2" a="1"/>
  <c r="I1252" i="2" s="1"/>
  <c r="G1254" i="2" a="1"/>
  <c r="G1254" i="2" s="1"/>
  <c r="G1255" i="2" a="1"/>
  <c r="G1255" i="2" s="1"/>
  <c r="H1256" i="2" a="1"/>
  <c r="H1256" i="2" s="1"/>
  <c r="I1257" i="2" a="1"/>
  <c r="I1257" i="2" s="1"/>
  <c r="G1259" i="2" a="1"/>
  <c r="G1259" i="2" s="1"/>
  <c r="G1260" i="2" a="1"/>
  <c r="G1260" i="2" s="1"/>
  <c r="H1261" i="2" a="1"/>
  <c r="H1261" i="2" s="1"/>
  <c r="H1262" i="2" a="1"/>
  <c r="H1262" i="2" s="1"/>
  <c r="I1263" i="2" a="1"/>
  <c r="I1263" i="2" s="1"/>
  <c r="G1265" i="2" a="1"/>
  <c r="G1265" i="2" s="1"/>
  <c r="H1267" i="2" a="1"/>
  <c r="H1267" i="2" s="1"/>
  <c r="H1268" i="2" a="1"/>
  <c r="H1268" i="2" s="1"/>
  <c r="H1269" i="2" a="1"/>
  <c r="H1269" i="2" s="1"/>
  <c r="H1270" i="2" a="1"/>
  <c r="H1270" i="2" s="1"/>
  <c r="H1271" i="2" a="1"/>
  <c r="H1271" i="2" s="1"/>
  <c r="H1272" i="2" a="1"/>
  <c r="H1272" i="2" s="1"/>
  <c r="H1273" i="2" a="1"/>
  <c r="H1273" i="2" s="1"/>
  <c r="H1274" i="2" a="1"/>
  <c r="H1274" i="2" s="1"/>
  <c r="I1275" i="2" a="1"/>
  <c r="I1275" i="2" s="1"/>
  <c r="I1276" i="2" a="1"/>
  <c r="I1276" i="2" s="1"/>
  <c r="I1277" i="2" a="1"/>
  <c r="I1277" i="2" s="1"/>
  <c r="I1279" i="2" a="1"/>
  <c r="I1279" i="2" s="1"/>
  <c r="G1282" i="2" a="1"/>
  <c r="G1282" i="2" s="1"/>
  <c r="G1283" i="2" a="1"/>
  <c r="G1283" i="2" s="1"/>
  <c r="G1284" i="2" a="1"/>
  <c r="G1284" i="2" s="1"/>
  <c r="G1285" i="2" a="1"/>
  <c r="G1285" i="2" s="1"/>
  <c r="H1286" i="2" a="1"/>
  <c r="H1286" i="2" s="1"/>
  <c r="H1287" i="2" a="1"/>
  <c r="H1287" i="2" s="1"/>
  <c r="H1288" i="2" a="1"/>
  <c r="H1288" i="2" s="1"/>
  <c r="H1289" i="2" a="1"/>
  <c r="H1289" i="2" s="1"/>
  <c r="H1291" i="2" a="1"/>
  <c r="H1291" i="2" s="1"/>
  <c r="H1292" i="2" a="1"/>
  <c r="H1292" i="2" s="1"/>
  <c r="H1293" i="2" a="1"/>
  <c r="H1293" i="2" s="1"/>
  <c r="H1294" i="2" a="1"/>
  <c r="H1294" i="2" s="1"/>
  <c r="I1296" i="2" a="1"/>
  <c r="I1296" i="2" s="1"/>
  <c r="G1298" i="2" a="1"/>
  <c r="G1298" i="2" s="1"/>
  <c r="G1299" i="2" a="1"/>
  <c r="G1299" i="2" s="1"/>
  <c r="G1301" i="2" a="1"/>
  <c r="G1301" i="2" s="1"/>
  <c r="H1303" i="2" a="1"/>
  <c r="H1303" i="2" s="1"/>
  <c r="H1304" i="2" a="1"/>
  <c r="H1304" i="2" s="1"/>
  <c r="H1305" i="2" a="1"/>
  <c r="H1305" i="2" s="1"/>
  <c r="H1306" i="2" a="1"/>
  <c r="H1306" i="2" s="1"/>
  <c r="I1307" i="2" a="1"/>
  <c r="I1307" i="2" s="1"/>
  <c r="G1310" i="2" a="1"/>
  <c r="G1310" i="2" s="1"/>
  <c r="I1311" i="2" a="1"/>
  <c r="I1311" i="2" s="1"/>
  <c r="G1314" i="2" a="1"/>
  <c r="G1314" i="2" s="1"/>
  <c r="G1315" i="2" a="1"/>
  <c r="G1315" i="2" s="1"/>
  <c r="H1316" i="2" a="1"/>
  <c r="H1316" i="2" s="1"/>
  <c r="H1317" i="2" a="1"/>
  <c r="H1317" i="2" s="1"/>
  <c r="I1318" i="2" a="1"/>
  <c r="I1318" i="2" s="1"/>
  <c r="I1320" i="2" a="1"/>
  <c r="I1320" i="2" s="1"/>
  <c r="H1322" i="2" a="1"/>
  <c r="H1322" i="2" s="1"/>
  <c r="I1324" i="2" a="1"/>
  <c r="I1324" i="2" s="1"/>
  <c r="I1325" i="2" a="1"/>
  <c r="I1325" i="2" s="1"/>
  <c r="I1326" i="2" a="1"/>
  <c r="I1326" i="2" s="1"/>
  <c r="I1327" i="2" a="1"/>
  <c r="I1327" i="2" s="1"/>
  <c r="G1329" i="2" a="1"/>
  <c r="G1329" i="2" s="1"/>
  <c r="H1331" i="2" a="1"/>
  <c r="H1331" i="2" s="1"/>
  <c r="H1332" i="2" a="1"/>
  <c r="H1332" i="2" s="1"/>
  <c r="H1333" i="2" a="1"/>
  <c r="H1333" i="2" s="1"/>
  <c r="H1334" i="2" a="1"/>
  <c r="H1334" i="2" s="1"/>
  <c r="I1336" i="2" a="1"/>
  <c r="I1336" i="2" s="1"/>
  <c r="I1337" i="2" a="1"/>
  <c r="I1337" i="2" s="1"/>
  <c r="I1338" i="2" a="1"/>
  <c r="I1338" i="2" s="1"/>
  <c r="G1340" i="2" a="1"/>
  <c r="G1340" i="2" s="1"/>
  <c r="G1342" i="2" a="1"/>
  <c r="G1342" i="2" s="1"/>
  <c r="I1343" i="2" a="1"/>
  <c r="I1343" i="2" s="1"/>
  <c r="G1346" i="2" a="1"/>
  <c r="G1346" i="2" s="1"/>
  <c r="G1347" i="2" a="1"/>
  <c r="G1347" i="2" s="1"/>
  <c r="G1348" i="2" a="1"/>
  <c r="G1348" i="2" s="1"/>
  <c r="G1349" i="2" a="1"/>
  <c r="G1349" i="2" s="1"/>
  <c r="H1350" i="2" a="1"/>
  <c r="H1350" i="2" s="1"/>
  <c r="I1352" i="2" a="1"/>
  <c r="I1352" i="2" s="1"/>
  <c r="I1353" i="2" a="1"/>
  <c r="I1353" i="2" s="1"/>
  <c r="I1354" i="2" a="1"/>
  <c r="I1354" i="2" s="1"/>
  <c r="I1355" i="2" a="1"/>
  <c r="I1355" i="2" s="1"/>
  <c r="G1358" i="2" a="1"/>
  <c r="G1358" i="2" s="1"/>
  <c r="H1359" i="2" a="1"/>
  <c r="H1359" i="2" s="1"/>
  <c r="H1360" i="2" a="1"/>
  <c r="H1360" i="2" s="1"/>
  <c r="H1362" i="2" a="1"/>
  <c r="H1362" i="2" s="1"/>
  <c r="H1364" i="2" a="1"/>
  <c r="H1364" i="2" s="1"/>
  <c r="H1365" i="2" a="1"/>
  <c r="H1365" i="2" s="1"/>
  <c r="H1366" i="2" a="1"/>
  <c r="H1366" i="2" s="1"/>
  <c r="I1368" i="2" a="1"/>
  <c r="I1368" i="2" s="1"/>
  <c r="G1370" i="2" a="1"/>
  <c r="G1370" i="2" s="1"/>
  <c r="G1371" i="2" a="1"/>
  <c r="G1371" i="2" s="1"/>
  <c r="H1372" i="2" a="1"/>
  <c r="H1372" i="2" s="1"/>
  <c r="H1373" i="2" a="1"/>
  <c r="H1373" i="2" s="1"/>
  <c r="I1374" i="2" a="1"/>
  <c r="I1374" i="2" s="1"/>
  <c r="I1376" i="2" a="1"/>
  <c r="I1376" i="2" s="1"/>
  <c r="I1377" i="2" a="1"/>
  <c r="I1377" i="2" s="1"/>
  <c r="I1378" i="2" a="1"/>
  <c r="I1378" i="2" s="1"/>
  <c r="G1380" i="2" a="1"/>
  <c r="G1380" i="2" s="1"/>
  <c r="G1381" i="2" a="1"/>
  <c r="G1381" i="2" s="1"/>
  <c r="H1382" i="2" a="1"/>
  <c r="H1382" i="2" s="1"/>
  <c r="I1384" i="2" a="1"/>
  <c r="I1384" i="2" s="1"/>
  <c r="I1385" i="2" a="1"/>
  <c r="I1385" i="2" s="1"/>
  <c r="I1386" i="2" a="1"/>
  <c r="I1386" i="2" s="1"/>
  <c r="I1387" i="2" a="1"/>
  <c r="I1387" i="2" s="1"/>
  <c r="I1388" i="2" a="1"/>
  <c r="I1388" i="2" s="1"/>
  <c r="I1389" i="2" a="1"/>
  <c r="I1389" i="2" s="1"/>
  <c r="I1390" i="2" a="1"/>
  <c r="I1390" i="2" s="1"/>
  <c r="I1391" i="2" a="1"/>
  <c r="I1391" i="2" s="1"/>
  <c r="G1393" i="2" a="1"/>
  <c r="G1393" i="2" s="1"/>
  <c r="G1394" i="2" a="1"/>
  <c r="G1394" i="2" s="1"/>
  <c r="G1395" i="2" a="1"/>
  <c r="G1395" i="2" s="1"/>
  <c r="G1396" i="2" a="1"/>
  <c r="G1396" i="2" s="1"/>
  <c r="G1398" i="2" a="1"/>
  <c r="G1398" i="2" s="1"/>
  <c r="G1399" i="2" a="1"/>
  <c r="G1399" i="2" s="1"/>
  <c r="G1400" i="2" a="1"/>
  <c r="G1400" i="2" s="1"/>
  <c r="H1401" i="2" a="1"/>
  <c r="H1401" i="2" s="1"/>
  <c r="H1402" i="2" a="1"/>
  <c r="H1402" i="2" s="1"/>
  <c r="I1403" i="2" a="1"/>
  <c r="I1403" i="2" s="1"/>
  <c r="I1404" i="2" a="1"/>
  <c r="I1404" i="2" s="1"/>
  <c r="I1405" i="2" a="1"/>
  <c r="I1405" i="2" s="1"/>
  <c r="I1407" i="2" a="1"/>
  <c r="I1407" i="2" s="1"/>
  <c r="G1410" i="2" a="1"/>
  <c r="G1410" i="2" s="1"/>
  <c r="G1411" i="2" a="1"/>
  <c r="G1411" i="2" s="1"/>
  <c r="H1412" i="2" a="1"/>
  <c r="H1412" i="2" s="1"/>
  <c r="H1413" i="2" a="1"/>
  <c r="H1413" i="2" s="1"/>
  <c r="I1414" i="2" a="1"/>
  <c r="I1414" i="2" s="1"/>
  <c r="I1415" i="2" a="1"/>
  <c r="I1415" i="2" s="1"/>
  <c r="G1417" i="2" a="1"/>
  <c r="G1417" i="2" s="1"/>
  <c r="G1418" i="2" a="1"/>
  <c r="G1418" i="2" s="1"/>
  <c r="G1419" i="2" a="1"/>
  <c r="G1419" i="2" s="1"/>
  <c r="G1420" i="2" a="1"/>
  <c r="G1420" i="2" s="1"/>
  <c r="G1421" i="2" a="1"/>
  <c r="G1421" i="2" s="1"/>
  <c r="H1422" i="2" a="1"/>
  <c r="H1422" i="2" s="1"/>
  <c r="I1424" i="2" a="1"/>
  <c r="I1424" i="2" s="1"/>
  <c r="G1426" i="2" a="1"/>
  <c r="G1426" i="2" s="1"/>
  <c r="G1427" i="2" a="1"/>
  <c r="G1427" i="2" s="1"/>
  <c r="G1429" i="2" a="1"/>
  <c r="G1429" i="2" s="1"/>
  <c r="H1431" i="2" a="1"/>
  <c r="H1431" i="2" s="1"/>
  <c r="H1432" i="2" a="1"/>
  <c r="H1432" i="2" s="1"/>
  <c r="I1433" i="2" a="1"/>
  <c r="I1433" i="2" s="1"/>
  <c r="I1434" i="2" a="1"/>
  <c r="I1434" i="2" s="1"/>
  <c r="G1436" i="2" a="1"/>
  <c r="G1436" i="2" s="1"/>
  <c r="G1437" i="2" a="1"/>
  <c r="G1437" i="2" s="1"/>
  <c r="G1439" i="2" a="1"/>
  <c r="G1439" i="2" s="1"/>
  <c r="G1440" i="2" a="1"/>
  <c r="G1440" i="2" s="1"/>
  <c r="G1441" i="2" a="1"/>
  <c r="G1441" i="2" s="1"/>
  <c r="H1443" i="2" a="1"/>
  <c r="H1443" i="2" s="1"/>
  <c r="I1444" i="2" a="1"/>
  <c r="I1444" i="2" s="1"/>
  <c r="I1445" i="2" a="1"/>
  <c r="I1445" i="2" s="1"/>
  <c r="G1447" i="2" a="1"/>
  <c r="G1447" i="2" s="1"/>
  <c r="G1448" i="2" a="1"/>
  <c r="G1448" i="2" s="1"/>
  <c r="H1449" i="2" a="1"/>
  <c r="H1449" i="2" s="1"/>
  <c r="H1451" i="2" a="1"/>
  <c r="H1451" i="2" s="1"/>
  <c r="H1452" i="2" a="1"/>
  <c r="H1452" i="2" s="1"/>
  <c r="H1453" i="2" a="1"/>
  <c r="H1453" i="2" s="1"/>
  <c r="I1454" i="2" a="1"/>
  <c r="I1454" i="2" s="1"/>
  <c r="I1455" i="2" a="1"/>
  <c r="I1455" i="2" s="1"/>
  <c r="G1457" i="2" a="1"/>
  <c r="G1457" i="2" s="1"/>
  <c r="H1459" i="2" a="1"/>
  <c r="H1459" i="2" s="1"/>
  <c r="H1460" i="2" a="1"/>
  <c r="H1460" i="2" s="1"/>
  <c r="H1461" i="2" a="1"/>
  <c r="H1461" i="2" s="1"/>
  <c r="H1462" i="2" a="1"/>
  <c r="H1462" i="2" s="1"/>
  <c r="I1464" i="2" a="1"/>
  <c r="I1464" i="2" s="1"/>
  <c r="G1466" i="2" a="1"/>
  <c r="G1466" i="2" s="1"/>
  <c r="G1467" i="2" a="1"/>
  <c r="G1467" i="2" s="1"/>
  <c r="H1468" i="2" a="1"/>
  <c r="H1468" i="2" s="1"/>
  <c r="I709" i="2" a="1"/>
  <c r="I709" i="2" s="1"/>
  <c r="I798" i="2" a="1"/>
  <c r="I798" i="2" s="1"/>
  <c r="H839" i="2" a="1"/>
  <c r="H839" i="2" s="1"/>
  <c r="H879" i="2" a="1"/>
  <c r="H879" i="2" s="1"/>
  <c r="G910" i="2" a="1"/>
  <c r="G910" i="2" s="1"/>
  <c r="G938" i="2" a="1"/>
  <c r="G938" i="2" s="1"/>
  <c r="H967" i="2" a="1"/>
  <c r="H967" i="2" s="1"/>
  <c r="H995" i="2" a="1"/>
  <c r="H995" i="2" s="1"/>
  <c r="H1023" i="2" a="1"/>
  <c r="H1023" i="2" s="1"/>
  <c r="I1052" i="2" a="1"/>
  <c r="I1052" i="2" s="1"/>
  <c r="I1080" i="2" a="1"/>
  <c r="I1080" i="2" s="1"/>
  <c r="I1105" i="2" a="1"/>
  <c r="I1105" i="2" s="1"/>
  <c r="G1132" i="2" a="1"/>
  <c r="G1132" i="2" s="1"/>
  <c r="G1152" i="2" a="1"/>
  <c r="G1152" i="2" s="1"/>
  <c r="H1156" i="2" a="1"/>
  <c r="H1156" i="2" s="1"/>
  <c r="I1165" i="2" a="1"/>
  <c r="I1165" i="2" s="1"/>
  <c r="H1170" i="2" a="1"/>
  <c r="H1170" i="2" s="1"/>
  <c r="G1175" i="2" a="1"/>
  <c r="G1175" i="2" s="1"/>
  <c r="H1180" i="2" a="1"/>
  <c r="H1180" i="2" s="1"/>
  <c r="I1189" i="2" a="1"/>
  <c r="I1189" i="2" s="1"/>
  <c r="H1194" i="2" a="1"/>
  <c r="H1194" i="2" s="1"/>
  <c r="I1199" i="2" a="1"/>
  <c r="I1199" i="2" s="1"/>
  <c r="H1204" i="2" a="1"/>
  <c r="H1204" i="2" s="1"/>
  <c r="G1209" i="2" a="1"/>
  <c r="G1209" i="2" s="1"/>
  <c r="I1213" i="2" a="1"/>
  <c r="I1213" i="2" s="1"/>
  <c r="H1218" i="2" a="1"/>
  <c r="H1218" i="2" s="1"/>
  <c r="G1223" i="2" a="1"/>
  <c r="G1223" i="2" s="1"/>
  <c r="I1227" i="2" a="1"/>
  <c r="I1227" i="2" s="1"/>
  <c r="I1232" i="2" a="1"/>
  <c r="I1232" i="2" s="1"/>
  <c r="H1237" i="2" a="1"/>
  <c r="H1237" i="2" s="1"/>
  <c r="H1242" i="2" a="1"/>
  <c r="H1242" i="2" s="1"/>
  <c r="I1246" i="2" a="1"/>
  <c r="I1246" i="2" s="1"/>
  <c r="H1251" i="2" a="1"/>
  <c r="H1251" i="2" s="1"/>
  <c r="G1256" i="2" a="1"/>
  <c r="G1256" i="2" s="1"/>
  <c r="G1261" i="2" a="1"/>
  <c r="G1261" i="2" s="1"/>
  <c r="G1266" i="2" a="1"/>
  <c r="G1266" i="2" s="1"/>
  <c r="I1278" i="2" a="1"/>
  <c r="I1278" i="2" s="1"/>
  <c r="I1282" i="2" a="1"/>
  <c r="I1282" i="2" s="1"/>
  <c r="G1287" i="2" a="1"/>
  <c r="G1287" i="2" s="1"/>
  <c r="G1291" i="2" a="1"/>
  <c r="G1291" i="2" s="1"/>
  <c r="H1295" i="2" a="1"/>
  <c r="H1295" i="2" s="1"/>
  <c r="G1300" i="2" a="1"/>
  <c r="G1300" i="2" s="1"/>
  <c r="G1304" i="2" a="1"/>
  <c r="G1304" i="2" s="1"/>
  <c r="I1308" i="2" a="1"/>
  <c r="I1308" i="2" s="1"/>
  <c r="I1312" i="2" a="1"/>
  <c r="I1312" i="2" s="1"/>
  <c r="G1317" i="2" a="1"/>
  <c r="G1317" i="2" s="1"/>
  <c r="H1321" i="2" a="1"/>
  <c r="H1321" i="2" s="1"/>
  <c r="H1325" i="2" a="1"/>
  <c r="H1325" i="2" s="1"/>
  <c r="G1330" i="2" a="1"/>
  <c r="G1330" i="2" s="1"/>
  <c r="H1338" i="2" a="1"/>
  <c r="H1338" i="2" s="1"/>
  <c r="I1342" i="2" a="1"/>
  <c r="I1342" i="2" s="1"/>
  <c r="I1346" i="2" a="1"/>
  <c r="I1346" i="2" s="1"/>
  <c r="H1351" i="2" a="1"/>
  <c r="H1351" i="2" s="1"/>
  <c r="G1360" i="2" a="1"/>
  <c r="G1360" i="2" s="1"/>
  <c r="H1368" i="2" a="1"/>
  <c r="H1368" i="2" s="1"/>
  <c r="G1373" i="2" a="1"/>
  <c r="G1373" i="2" s="1"/>
  <c r="H1377" i="2" a="1"/>
  <c r="H1377" i="2" s="1"/>
  <c r="G1382" i="2" a="1"/>
  <c r="G1382" i="2" s="1"/>
  <c r="H1386" i="2" a="1"/>
  <c r="H1386" i="2" s="1"/>
  <c r="H1390" i="2" a="1"/>
  <c r="H1390" i="2" s="1"/>
  <c r="I1394" i="2" a="1"/>
  <c r="I1394" i="2" s="1"/>
  <c r="I1398" i="2" a="1"/>
  <c r="I1398" i="2" s="1"/>
  <c r="H1403" i="2" a="1"/>
  <c r="H1403" i="2" s="1"/>
  <c r="G1412" i="2" a="1"/>
  <c r="G1412" i="2" s="1"/>
  <c r="I1416" i="2" a="1"/>
  <c r="I1416" i="2" s="1"/>
  <c r="I1425" i="2" a="1"/>
  <c r="I1425" i="2" s="1"/>
  <c r="G1430" i="2" a="1"/>
  <c r="G1430" i="2" s="1"/>
  <c r="H1434" i="2" a="1"/>
  <c r="H1434" i="2" s="1"/>
  <c r="G1443" i="2" a="1"/>
  <c r="G1443" i="2" s="1"/>
  <c r="I1447" i="2" a="1"/>
  <c r="I1447" i="2" s="1"/>
  <c r="G1452" i="2" a="1"/>
  <c r="G1452" i="2" s="1"/>
  <c r="I1456" i="2" a="1"/>
  <c r="I1456" i="2" s="1"/>
  <c r="G1461" i="2" a="1"/>
  <c r="G1461" i="2" s="1"/>
  <c r="I1465" i="2" a="1"/>
  <c r="I1465" i="2" s="1"/>
  <c r="H1469" i="2" a="1"/>
  <c r="H1469" i="2" s="1"/>
  <c r="I1470" i="2" a="1"/>
  <c r="I1470" i="2" s="1"/>
  <c r="I1472" i="2" a="1"/>
  <c r="I1472" i="2" s="1"/>
  <c r="I1473" i="2" a="1"/>
  <c r="I1473" i="2" s="1"/>
  <c r="I1474" i="2" a="1"/>
  <c r="I1474" i="2" s="1"/>
  <c r="G1476" i="2" a="1"/>
  <c r="G1476" i="2" s="1"/>
  <c r="G1477" i="2" a="1"/>
  <c r="G1477" i="2" s="1"/>
  <c r="H1478" i="2" a="1"/>
  <c r="H1478" i="2" s="1"/>
  <c r="I1480" i="2" a="1"/>
  <c r="I1480" i="2" s="1"/>
  <c r="I1481" i="2" a="1"/>
  <c r="I1481" i="2" s="1"/>
  <c r="I1482" i="2" a="1"/>
  <c r="I1482" i="2" s="1"/>
  <c r="I1483" i="2" a="1"/>
  <c r="I1483" i="2" s="1"/>
  <c r="G1486" i="2" a="1"/>
  <c r="G1486" i="2" s="1"/>
  <c r="H1487" i="2" a="1"/>
  <c r="H1487" i="2" s="1"/>
  <c r="H1488" i="2" a="1"/>
  <c r="H1488" i="2" s="1"/>
  <c r="I1489" i="2" a="1"/>
  <c r="I1489" i="2" s="1"/>
  <c r="I1490" i="2" a="1"/>
  <c r="I1490" i="2" s="1"/>
  <c r="G1492" i="2" a="1"/>
  <c r="G1492" i="2" s="1"/>
  <c r="G1494" i="2" a="1"/>
  <c r="G1494" i="2" s="1"/>
  <c r="G1495" i="2" a="1"/>
  <c r="G1495" i="2" s="1"/>
  <c r="G1496" i="2" a="1"/>
  <c r="G1496" i="2" s="1"/>
  <c r="H1497" i="2" a="1"/>
  <c r="H1497" i="2" s="1"/>
  <c r="H1498" i="2" a="1"/>
  <c r="H1498" i="2" s="1"/>
  <c r="I1499" i="2" a="1"/>
  <c r="I1499" i="2" s="1"/>
  <c r="G1502" i="2" a="1"/>
  <c r="G1502" i="2" s="1"/>
  <c r="G1503" i="2" a="1"/>
  <c r="G1503" i="2" s="1"/>
  <c r="G1504" i="2" a="1"/>
  <c r="G1504" i="2" s="1"/>
  <c r="G1505" i="2" a="1"/>
  <c r="G1505" i="2" s="1"/>
  <c r="H1507" i="2" a="1"/>
  <c r="H1507" i="2" s="1"/>
  <c r="I1508" i="2" a="1"/>
  <c r="I1508" i="2" s="1"/>
  <c r="I1509" i="2" a="1"/>
  <c r="I1509" i="2" s="1"/>
  <c r="G768" i="2" a="1"/>
  <c r="G768" i="2" s="1"/>
  <c r="G809" i="2" a="1"/>
  <c r="G809" i="2" s="1"/>
  <c r="G849" i="2" a="1"/>
  <c r="G849" i="2" s="1"/>
  <c r="I888" i="2" a="1"/>
  <c r="I888" i="2" s="1"/>
  <c r="I916" i="2" a="1"/>
  <c r="I916" i="2" s="1"/>
  <c r="G946" i="2" a="1"/>
  <c r="G946" i="2" s="1"/>
  <c r="G974" i="2" a="1"/>
  <c r="G974" i="2" s="1"/>
  <c r="G1002" i="2" a="1"/>
  <c r="G1002" i="2" s="1"/>
  <c r="H1031" i="2" a="1"/>
  <c r="H1031" i="2" s="1"/>
  <c r="H1059" i="2" a="1"/>
  <c r="H1059" i="2" s="1"/>
  <c r="H1087" i="2" a="1"/>
  <c r="H1087" i="2" s="1"/>
  <c r="G1113" i="2" a="1"/>
  <c r="G1113" i="2" s="1"/>
  <c r="I1137" i="2" a="1"/>
  <c r="I1137" i="2" s="1"/>
  <c r="I1148" i="2" a="1"/>
  <c r="I1148" i="2" s="1"/>
  <c r="G1153" i="2" a="1"/>
  <c r="G1153" i="2" s="1"/>
  <c r="H1157" i="2" a="1"/>
  <c r="H1157" i="2" s="1"/>
  <c r="G1162" i="2" a="1"/>
  <c r="G1162" i="2" s="1"/>
  <c r="I1166" i="2" a="1"/>
  <c r="I1166" i="2" s="1"/>
  <c r="H1176" i="2" a="1"/>
  <c r="H1176" i="2" s="1"/>
  <c r="H1181" i="2" a="1"/>
  <c r="H1181" i="2" s="1"/>
  <c r="G1186" i="2" a="1"/>
  <c r="G1186" i="2" s="1"/>
  <c r="I1190" i="2" a="1"/>
  <c r="I1190" i="2" s="1"/>
  <c r="I1195" i="2" a="1"/>
  <c r="I1195" i="2" s="1"/>
  <c r="I1205" i="2" a="1"/>
  <c r="I1205" i="2" s="1"/>
  <c r="I1214" i="2" a="1"/>
  <c r="I1214" i="2" s="1"/>
  <c r="H1224" i="2" a="1"/>
  <c r="H1224" i="2" s="1"/>
  <c r="G1229" i="2" a="1"/>
  <c r="G1229" i="2" s="1"/>
  <c r="I1233" i="2" a="1"/>
  <c r="I1233" i="2" s="1"/>
  <c r="I1238" i="2" a="1"/>
  <c r="I1238" i="2" s="1"/>
  <c r="I1247" i="2" a="1"/>
  <c r="I1247" i="2" s="1"/>
  <c r="H1252" i="2" a="1"/>
  <c r="H1252" i="2" s="1"/>
  <c r="H1257" i="2" a="1"/>
  <c r="H1257" i="2" s="1"/>
  <c r="G1267" i="2" a="1"/>
  <c r="G1267" i="2" s="1"/>
  <c r="G1271" i="2" a="1"/>
  <c r="G1271" i="2" s="1"/>
  <c r="H1275" i="2" a="1"/>
  <c r="H1275" i="2" s="1"/>
  <c r="I1283" i="2" a="1"/>
  <c r="I1283" i="2" s="1"/>
  <c r="G1288" i="2" a="1"/>
  <c r="G1288" i="2" s="1"/>
  <c r="G1292" i="2" a="1"/>
  <c r="G1292" i="2" s="1"/>
  <c r="H1296" i="2" a="1"/>
  <c r="H1296" i="2" s="1"/>
  <c r="G1305" i="2" a="1"/>
  <c r="G1305" i="2" s="1"/>
  <c r="I1309" i="2" a="1"/>
  <c r="I1309" i="2" s="1"/>
  <c r="I1313" i="2" a="1"/>
  <c r="I1313" i="2" s="1"/>
  <c r="H1318" i="2" a="1"/>
  <c r="H1318" i="2" s="1"/>
  <c r="H1326" i="2" a="1"/>
  <c r="H1326" i="2" s="1"/>
  <c r="G1331" i="2" a="1"/>
  <c r="G1331" i="2" s="1"/>
  <c r="H1335" i="2" a="1"/>
  <c r="H1335" i="2" s="1"/>
  <c r="I1339" i="2" a="1"/>
  <c r="I1339" i="2" s="1"/>
  <c r="I1347" i="2" a="1"/>
  <c r="I1347" i="2" s="1"/>
  <c r="H1352" i="2" a="1"/>
  <c r="H1352" i="2" s="1"/>
  <c r="I1356" i="2" a="1"/>
  <c r="I1356" i="2" s="1"/>
  <c r="H1361" i="2" a="1"/>
  <c r="H1361" i="2" s="1"/>
  <c r="G1365" i="2" a="1"/>
  <c r="G1365" i="2" s="1"/>
  <c r="I1369" i="2" a="1"/>
  <c r="I1369" i="2" s="1"/>
  <c r="H1374" i="2" a="1"/>
  <c r="H1374" i="2" s="1"/>
  <c r="H1378" i="2" a="1"/>
  <c r="H1378" i="2" s="1"/>
  <c r="H1383" i="2" a="1"/>
  <c r="H1383" i="2" s="1"/>
  <c r="I1395" i="2" a="1"/>
  <c r="I1395" i="2" s="1"/>
  <c r="I1399" i="2" a="1"/>
  <c r="I1399" i="2" s="1"/>
  <c r="H1404" i="2" a="1"/>
  <c r="H1404" i="2" s="1"/>
  <c r="I1408" i="2" a="1"/>
  <c r="I1408" i="2" s="1"/>
  <c r="G1413" i="2" a="1"/>
  <c r="G1413" i="2" s="1"/>
  <c r="I1417" i="2" a="1"/>
  <c r="I1417" i="2" s="1"/>
  <c r="G1422" i="2" a="1"/>
  <c r="G1422" i="2" s="1"/>
  <c r="I1426" i="2" a="1"/>
  <c r="I1426" i="2" s="1"/>
  <c r="G1431" i="2" a="1"/>
  <c r="G1431" i="2" s="1"/>
  <c r="I1435" i="2" a="1"/>
  <c r="I1435" i="2" s="1"/>
  <c r="I1439" i="2" a="1"/>
  <c r="I1439" i="2" s="1"/>
  <c r="H1444" i="2" a="1"/>
  <c r="H1444" i="2" s="1"/>
  <c r="G1449" i="2" a="1"/>
  <c r="G1449" i="2" s="1"/>
  <c r="G1453" i="2" a="1"/>
  <c r="G1453" i="2" s="1"/>
  <c r="G1458" i="2" a="1"/>
  <c r="G1458" i="2" s="1"/>
  <c r="I1466" i="2" a="1"/>
  <c r="I1466" i="2" s="1"/>
  <c r="I1469" i="2" a="1"/>
  <c r="I1469" i="2" s="1"/>
  <c r="I1471" i="2" a="1"/>
  <c r="I1471" i="2" s="1"/>
  <c r="G1474" i="2" a="1"/>
  <c r="G1474" i="2" s="1"/>
  <c r="G1475" i="2" a="1"/>
  <c r="G1475" i="2" s="1"/>
  <c r="H1476" i="2" a="1"/>
  <c r="H1476" i="2" s="1"/>
  <c r="H1477" i="2" a="1"/>
  <c r="H1477" i="2" s="1"/>
  <c r="I1478" i="2" a="1"/>
  <c r="I1478" i="2" s="1"/>
  <c r="I1479" i="2" a="1"/>
  <c r="I1479" i="2" s="1"/>
  <c r="G1481" i="2" a="1"/>
  <c r="G1481" i="2" s="1"/>
  <c r="G1482" i="2" a="1"/>
  <c r="G1482" i="2" s="1"/>
  <c r="G1483" i="2" a="1"/>
  <c r="G1483" i="2" s="1"/>
  <c r="G1484" i="2" a="1"/>
  <c r="G1484" i="2" s="1"/>
  <c r="G1485" i="2" a="1"/>
  <c r="G1485" i="2" s="1"/>
  <c r="H1486" i="2" a="1"/>
  <c r="H1486" i="2" s="1"/>
  <c r="I1488" i="2" a="1"/>
  <c r="I1488" i="2" s="1"/>
  <c r="G1490" i="2" a="1"/>
  <c r="G1490" i="2" s="1"/>
  <c r="G1491" i="2" a="1"/>
  <c r="G1491" i="2" s="1"/>
  <c r="G1493" i="2" a="1"/>
  <c r="G1493" i="2" s="1"/>
  <c r="H1495" i="2" a="1"/>
  <c r="H1495" i="2" s="1"/>
  <c r="H1496" i="2" a="1"/>
  <c r="H1496" i="2" s="1"/>
  <c r="I1497" i="2" a="1"/>
  <c r="I1497" i="2" s="1"/>
  <c r="I1498" i="2" a="1"/>
  <c r="I1498" i="2" s="1"/>
  <c r="G1500" i="2" a="1"/>
  <c r="G1500" i="2" s="1"/>
  <c r="G1501" i="2" a="1"/>
  <c r="G1501" i="2" s="1"/>
  <c r="H1502" i="2" a="1"/>
  <c r="H1502" i="2" s="1"/>
  <c r="H778" i="2" a="1"/>
  <c r="H778" i="2" s="1"/>
  <c r="I818" i="2" a="1"/>
  <c r="I818" i="2" s="1"/>
  <c r="G859" i="2" a="1"/>
  <c r="G859" i="2" s="1"/>
  <c r="H895" i="2" a="1"/>
  <c r="H895" i="2" s="1"/>
  <c r="I924" i="2" a="1"/>
  <c r="I924" i="2" s="1"/>
  <c r="I952" i="2" a="1"/>
  <c r="I952" i="2" s="1"/>
  <c r="I980" i="2" a="1"/>
  <c r="I980" i="2" s="1"/>
  <c r="G1010" i="2" a="1"/>
  <c r="G1010" i="2" s="1"/>
  <c r="G1038" i="2" a="1"/>
  <c r="G1038" i="2" s="1"/>
  <c r="G1066" i="2" a="1"/>
  <c r="G1066" i="2" s="1"/>
  <c r="H1119" i="2" a="1"/>
  <c r="H1119" i="2" s="1"/>
  <c r="I1143" i="2" a="1"/>
  <c r="I1143" i="2" s="1"/>
  <c r="I1149" i="2" a="1"/>
  <c r="I1149" i="2" s="1"/>
  <c r="I1158" i="2" a="1"/>
  <c r="I1158" i="2" s="1"/>
  <c r="H1163" i="2" a="1"/>
  <c r="H1163" i="2" s="1"/>
  <c r="G1168" i="2" a="1"/>
  <c r="G1168" i="2" s="1"/>
  <c r="I1172" i="2" a="1"/>
  <c r="I1172" i="2" s="1"/>
  <c r="I1177" i="2" a="1"/>
  <c r="I1177" i="2" s="1"/>
  <c r="I1182" i="2" a="1"/>
  <c r="I1182" i="2" s="1"/>
  <c r="G1187" i="2" a="1"/>
  <c r="G1187" i="2" s="1"/>
  <c r="G1192" i="2" a="1"/>
  <c r="G1192" i="2" s="1"/>
  <c r="G1197" i="2" a="1"/>
  <c r="G1197" i="2" s="1"/>
  <c r="G1202" i="2" a="1"/>
  <c r="G1202" i="2" s="1"/>
  <c r="I1206" i="2" a="1"/>
  <c r="I1206" i="2" s="1"/>
  <c r="H1211" i="2" a="1"/>
  <c r="H1211" i="2" s="1"/>
  <c r="G1216" i="2" a="1"/>
  <c r="G1216" i="2" s="1"/>
  <c r="I1220" i="2" a="1"/>
  <c r="I1220" i="2" s="1"/>
  <c r="H1225" i="2" a="1"/>
  <c r="H1225" i="2" s="1"/>
  <c r="G1235" i="2" a="1"/>
  <c r="G1235" i="2" s="1"/>
  <c r="G1240" i="2" a="1"/>
  <c r="G1240" i="2" s="1"/>
  <c r="I1244" i="2" a="1"/>
  <c r="I1244" i="2" s="1"/>
  <c r="I1253" i="2" a="1"/>
  <c r="I1253" i="2" s="1"/>
  <c r="I1258" i="2" a="1"/>
  <c r="I1258" i="2" s="1"/>
  <c r="H1263" i="2" a="1"/>
  <c r="H1263" i="2" s="1"/>
  <c r="G1272" i="2" a="1"/>
  <c r="G1272" i="2" s="1"/>
  <c r="H1276" i="2" a="1"/>
  <c r="H1276" i="2" s="1"/>
  <c r="I1280" i="2" a="1"/>
  <c r="I1280" i="2" s="1"/>
  <c r="G1289" i="2" a="1"/>
  <c r="G1289" i="2" s="1"/>
  <c r="G1293" i="2" a="1"/>
  <c r="G1293" i="2" s="1"/>
  <c r="I1297" i="2" a="1"/>
  <c r="I1297" i="2" s="1"/>
  <c r="G1302" i="2" a="1"/>
  <c r="G1302" i="2" s="1"/>
  <c r="I1310" i="2" a="1"/>
  <c r="I1310" i="2" s="1"/>
  <c r="I1314" i="2" a="1"/>
  <c r="I1314" i="2" s="1"/>
  <c r="H1319" i="2" a="1"/>
  <c r="H1319" i="2" s="1"/>
  <c r="H1323" i="2" a="1"/>
  <c r="H1323" i="2" s="1"/>
  <c r="H1336" i="2" a="1"/>
  <c r="H1336" i="2" s="1"/>
  <c r="I1340" i="2" a="1"/>
  <c r="I1340" i="2" s="1"/>
  <c r="I1344" i="2" a="1"/>
  <c r="I1344" i="2" s="1"/>
  <c r="I1357" i="2" a="1"/>
  <c r="I1357" i="2" s="1"/>
  <c r="I1370" i="2" a="1"/>
  <c r="I1370" i="2" s="1"/>
  <c r="H1375" i="2" a="1"/>
  <c r="H1375" i="2" s="1"/>
  <c r="I1379" i="2" a="1"/>
  <c r="I1379" i="2" s="1"/>
  <c r="H1384" i="2" a="1"/>
  <c r="H1384" i="2" s="1"/>
  <c r="H1388" i="2" a="1"/>
  <c r="H1388" i="2" s="1"/>
  <c r="I1392" i="2" a="1"/>
  <c r="I1392" i="2" s="1"/>
  <c r="I1396" i="2" a="1"/>
  <c r="I1396" i="2" s="1"/>
  <c r="G1401" i="2" a="1"/>
  <c r="G1401" i="2" s="1"/>
  <c r="H1405" i="2" a="1"/>
  <c r="H1405" i="2" s="1"/>
  <c r="I1409" i="2" a="1"/>
  <c r="I1409" i="2" s="1"/>
  <c r="H1414" i="2" a="1"/>
  <c r="H1414" i="2" s="1"/>
  <c r="I1418" i="2" a="1"/>
  <c r="I1418" i="2" s="1"/>
  <c r="H1423" i="2" a="1"/>
  <c r="H1423" i="2" s="1"/>
  <c r="G1428" i="2" a="1"/>
  <c r="G1428" i="2" s="1"/>
  <c r="G1432" i="2" a="1"/>
  <c r="G1432" i="2" s="1"/>
  <c r="H1445" i="2" a="1"/>
  <c r="H1445" i="2" s="1"/>
  <c r="G1450" i="2" a="1"/>
  <c r="G1450" i="2" s="1"/>
  <c r="H1454" i="2" a="1"/>
  <c r="H1454" i="2" s="1"/>
  <c r="G1459" i="2" a="1"/>
  <c r="G1459" i="2" s="1"/>
  <c r="H1463" i="2" a="1"/>
  <c r="H1463" i="2" s="1"/>
  <c r="G1468" i="2" a="1"/>
  <c r="G1468" i="2" s="1"/>
  <c r="G1470" i="2" a="1"/>
  <c r="G1470" i="2" s="1"/>
  <c r="G1471" i="2" a="1"/>
  <c r="G1471" i="2" s="1"/>
  <c r="G1472" i="2" a="1"/>
  <c r="G1472" i="2" s="1"/>
  <c r="G1473" i="2" a="1"/>
  <c r="G1473" i="2" s="1"/>
  <c r="H1475" i="2" a="1"/>
  <c r="H1475" i="2" s="1"/>
  <c r="I1476" i="2" a="1"/>
  <c r="I1476" i="2" s="1"/>
  <c r="I1477" i="2" a="1"/>
  <c r="I1477" i="2" s="1"/>
  <c r="G1479" i="2" a="1"/>
  <c r="G1479" i="2" s="1"/>
  <c r="G1480" i="2" a="1"/>
  <c r="G1480" i="2" s="1"/>
  <c r="H1481" i="2" a="1"/>
  <c r="H1481" i="2" s="1"/>
  <c r="H1483" i="2" a="1"/>
  <c r="H1483" i="2" s="1"/>
  <c r="H1484" i="2" a="1"/>
  <c r="H1484" i="2" s="1"/>
  <c r="H1485" i="2" a="1"/>
  <c r="H1485" i="2" s="1"/>
  <c r="I1486" i="2" a="1"/>
  <c r="I1486" i="2" s="1"/>
  <c r="I1487" i="2" a="1"/>
  <c r="I1487" i="2" s="1"/>
  <c r="G1489" i="2" a="1"/>
  <c r="G1489" i="2" s="1"/>
  <c r="H1491" i="2" a="1"/>
  <c r="H1491" i="2" s="1"/>
  <c r="H1492" i="2" a="1"/>
  <c r="H1492" i="2" s="1"/>
  <c r="H1493" i="2" a="1"/>
  <c r="H1493" i="2" s="1"/>
  <c r="H1494" i="2" a="1"/>
  <c r="H1494" i="2" s="1"/>
  <c r="I1496" i="2" a="1"/>
  <c r="I1496" i="2" s="1"/>
  <c r="G1498" i="2" a="1"/>
  <c r="G1498" i="2" s="1"/>
  <c r="G1499" i="2" a="1"/>
  <c r="G1499" i="2" s="1"/>
  <c r="H1500" i="2" a="1"/>
  <c r="H1500" i="2" s="1"/>
  <c r="H1501" i="2" a="1"/>
  <c r="H1501" i="2" s="1"/>
  <c r="I1502" i="2" a="1"/>
  <c r="I1502" i="2" s="1"/>
  <c r="I1504" i="2" a="1"/>
  <c r="I1504" i="2" s="1"/>
  <c r="I1505" i="2" a="1"/>
  <c r="I1505" i="2" s="1"/>
  <c r="I1506" i="2" a="1"/>
  <c r="I1506" i="2" s="1"/>
  <c r="G1508" i="2" a="1"/>
  <c r="G1508" i="2" s="1"/>
  <c r="G1509" i="2" a="1"/>
  <c r="G1509" i="2" s="1"/>
  <c r="H1510" i="2" a="1"/>
  <c r="H1510" i="2" s="1"/>
  <c r="H1511" i="2" a="1"/>
  <c r="H1511" i="2" s="1"/>
  <c r="H1512" i="2" a="1"/>
  <c r="H1512" i="2" s="1"/>
  <c r="H1513" i="2" a="1"/>
  <c r="H1513" i="2" s="1"/>
  <c r="H1515" i="2" a="1"/>
  <c r="H1515" i="2" s="1"/>
  <c r="H1516" i="2" a="1"/>
  <c r="H1516" i="2" s="1"/>
  <c r="H1517" i="2" a="1"/>
  <c r="H1517" i="2" s="1"/>
  <c r="I1518" i="2" a="1"/>
  <c r="I1518" i="2" s="1"/>
  <c r="I1519" i="2" a="1"/>
  <c r="I1519" i="2" s="1"/>
  <c r="G1521" i="2" a="1"/>
  <c r="G1521" i="2" s="1"/>
  <c r="G1522" i="2" a="1"/>
  <c r="G1522" i="2" s="1"/>
  <c r="G1523" i="2" a="1"/>
  <c r="G1523" i="2" s="1"/>
  <c r="G1524" i="2" a="1"/>
  <c r="G1524" i="2" s="1"/>
  <c r="G1526" i="2" a="1"/>
  <c r="G1526" i="2" s="1"/>
  <c r="G1527" i="2" a="1"/>
  <c r="G1527" i="2" s="1"/>
  <c r="G1528" i="2" a="1"/>
  <c r="G1528" i="2" s="1"/>
  <c r="G1529" i="2" a="1"/>
  <c r="G1529" i="2" s="1"/>
  <c r="H1531" i="2" a="1"/>
  <c r="H1531" i="2" s="1"/>
  <c r="I1532" i="2" a="1"/>
  <c r="I1532" i="2" s="1"/>
  <c r="I1533" i="2" a="1"/>
  <c r="I1533" i="2" s="1"/>
  <c r="I1535" i="2" a="1"/>
  <c r="I1535" i="2" s="1"/>
  <c r="G1538" i="2" a="1"/>
  <c r="G1538" i="2" s="1"/>
  <c r="G1539" i="2" a="1"/>
  <c r="G1539" i="2" s="1"/>
  <c r="H1540" i="2" a="1"/>
  <c r="H1540" i="2" s="1"/>
  <c r="H1541" i="2" a="1"/>
  <c r="H1541" i="2" s="1"/>
  <c r="H1542" i="2" a="1"/>
  <c r="H1542" i="2" s="1"/>
  <c r="H1543" i="2" a="1"/>
  <c r="H1543" i="2" s="1"/>
  <c r="H1544" i="2" a="1"/>
  <c r="H1544" i="2" s="1"/>
  <c r="H1545" i="2" a="1"/>
  <c r="H1545" i="2" s="1"/>
  <c r="H1546" i="2" a="1"/>
  <c r="H1546" i="2" s="1"/>
  <c r="H1548" i="2" a="1"/>
  <c r="H1548" i="2" s="1"/>
  <c r="G1550" i="2" a="1"/>
  <c r="G1550" i="2" s="1"/>
  <c r="G1552" i="2" a="1"/>
  <c r="G1552" i="2" s="1"/>
  <c r="G1553" i="2" a="1"/>
  <c r="G1553" i="2" s="1"/>
  <c r="G1554" i="2" a="1"/>
  <c r="G1554" i="2" s="1"/>
  <c r="G1555" i="2" a="1"/>
  <c r="G1555" i="2" s="1"/>
  <c r="G1556" i="2" a="1"/>
  <c r="G1556" i="2" s="1"/>
  <c r="G1557" i="2" a="1"/>
  <c r="G1557" i="2" s="1"/>
  <c r="G1559" i="2" a="1"/>
  <c r="G1559" i="2" s="1"/>
  <c r="I628" i="2" a="1"/>
  <c r="I628" i="2" s="1"/>
  <c r="I788" i="2" a="1"/>
  <c r="I788" i="2" s="1"/>
  <c r="G829" i="2" a="1"/>
  <c r="G829" i="2" s="1"/>
  <c r="I868" i="2" a="1"/>
  <c r="I868" i="2" s="1"/>
  <c r="H903" i="2" a="1"/>
  <c r="H903" i="2" s="1"/>
  <c r="H931" i="2" a="1"/>
  <c r="H931" i="2" s="1"/>
  <c r="H959" i="2" a="1"/>
  <c r="H959" i="2" s="1"/>
  <c r="I988" i="2" a="1"/>
  <c r="I988" i="2" s="1"/>
  <c r="I1016" i="2" a="1"/>
  <c r="I1016" i="2" s="1"/>
  <c r="I1044" i="2" a="1"/>
  <c r="I1044" i="2" s="1"/>
  <c r="G1074" i="2" a="1"/>
  <c r="G1074" i="2" s="1"/>
  <c r="I1099" i="2" a="1"/>
  <c r="I1099" i="2" s="1"/>
  <c r="G1125" i="2" a="1"/>
  <c r="G1125" i="2" s="1"/>
  <c r="H1146" i="2" a="1"/>
  <c r="H1146" i="2" s="1"/>
  <c r="I1159" i="2" a="1"/>
  <c r="I1159" i="2" s="1"/>
  <c r="G1179" i="2" a="1"/>
  <c r="G1179" i="2" s="1"/>
  <c r="H1198" i="2" a="1"/>
  <c r="H1198" i="2" s="1"/>
  <c r="G1217" i="2" a="1"/>
  <c r="G1217" i="2" s="1"/>
  <c r="G1236" i="2" a="1"/>
  <c r="G1236" i="2" s="1"/>
  <c r="I1254" i="2" a="1"/>
  <c r="I1254" i="2" s="1"/>
  <c r="G1273" i="2" a="1"/>
  <c r="G1273" i="2" s="1"/>
  <c r="G1290" i="2" a="1"/>
  <c r="G1290" i="2" s="1"/>
  <c r="H1307" i="2" a="1"/>
  <c r="H1307" i="2" s="1"/>
  <c r="H1324" i="2" a="1"/>
  <c r="H1324" i="2" s="1"/>
  <c r="I1341" i="2" a="1"/>
  <c r="I1341" i="2" s="1"/>
  <c r="G1359" i="2" a="1"/>
  <c r="G1359" i="2" s="1"/>
  <c r="H1376" i="2" a="1"/>
  <c r="H1376" i="2" s="1"/>
  <c r="I1393" i="2" a="1"/>
  <c r="I1393" i="2" s="1"/>
  <c r="I1410" i="2" a="1"/>
  <c r="I1410" i="2" s="1"/>
  <c r="I1446" i="2" a="1"/>
  <c r="I1446" i="2" s="1"/>
  <c r="H1464" i="2" a="1"/>
  <c r="H1464" i="2" s="1"/>
  <c r="H1472" i="2" a="1"/>
  <c r="H1472" i="2" s="1"/>
  <c r="I1485" i="2" a="1"/>
  <c r="I1485" i="2" s="1"/>
  <c r="H1490" i="2" a="1"/>
  <c r="H1490" i="2" s="1"/>
  <c r="I1494" i="2" a="1"/>
  <c r="I1494" i="2" s="1"/>
  <c r="H1499" i="2" a="1"/>
  <c r="H1499" i="2" s="1"/>
  <c r="H1503" i="2" a="1"/>
  <c r="H1503" i="2" s="1"/>
  <c r="H1505" i="2" a="1"/>
  <c r="H1505" i="2" s="1"/>
  <c r="I1507" i="2" a="1"/>
  <c r="I1507" i="2" s="1"/>
  <c r="G1510" i="2" a="1"/>
  <c r="G1510" i="2" s="1"/>
  <c r="I1511" i="2" a="1"/>
  <c r="I1511" i="2" s="1"/>
  <c r="G1513" i="2" a="1"/>
  <c r="G1513" i="2" s="1"/>
  <c r="H1514" i="2" a="1"/>
  <c r="H1514" i="2" s="1"/>
  <c r="I1515" i="2" a="1"/>
  <c r="I1515" i="2" s="1"/>
  <c r="G1517" i="2" a="1"/>
  <c r="G1517" i="2" s="1"/>
  <c r="G1519" i="2" a="1"/>
  <c r="G1519" i="2" s="1"/>
  <c r="H1520" i="2" a="1"/>
  <c r="H1520" i="2" s="1"/>
  <c r="I1521" i="2" a="1"/>
  <c r="I1521" i="2" s="1"/>
  <c r="H1523" i="2" a="1"/>
  <c r="H1523" i="2" s="1"/>
  <c r="H1524" i="2" a="1"/>
  <c r="H1524" i="2" s="1"/>
  <c r="I1525" i="2" a="1"/>
  <c r="I1525" i="2" s="1"/>
  <c r="H1527" i="2" a="1"/>
  <c r="H1527" i="2" s="1"/>
  <c r="I1528" i="2" a="1"/>
  <c r="I1528" i="2" s="1"/>
  <c r="G1530" i="2" a="1"/>
  <c r="G1530" i="2" s="1"/>
  <c r="I1531" i="2" a="1"/>
  <c r="I1531" i="2" s="1"/>
  <c r="G1533" i="2" a="1"/>
  <c r="G1533" i="2" s="1"/>
  <c r="I1534" i="2" a="1"/>
  <c r="I1534" i="2" s="1"/>
  <c r="G1536" i="2" a="1"/>
  <c r="G1536" i="2" s="1"/>
  <c r="H1537" i="2" a="1"/>
  <c r="H1537" i="2" s="1"/>
  <c r="I1538" i="2" a="1"/>
  <c r="I1538" i="2" s="1"/>
  <c r="I1540" i="2" a="1"/>
  <c r="I1540" i="2" s="1"/>
  <c r="I1541" i="2" a="1"/>
  <c r="I1541" i="2" s="1"/>
  <c r="G1547" i="2" a="1"/>
  <c r="G1547" i="2" s="1"/>
  <c r="I1549" i="2" a="1"/>
  <c r="I1549" i="2" s="1"/>
  <c r="G1551" i="2" a="1"/>
  <c r="G1551" i="2" s="1"/>
  <c r="H1552" i="2" a="1"/>
  <c r="H1552" i="2" s="1"/>
  <c r="I1553" i="2" a="1"/>
  <c r="I1553" i="2" s="1"/>
  <c r="I1554" i="2" a="1"/>
  <c r="I1554" i="2" s="1"/>
  <c r="H1556" i="2" a="1"/>
  <c r="H1556" i="2" s="1"/>
  <c r="H1557" i="2" a="1"/>
  <c r="H1557" i="2" s="1"/>
  <c r="I1558" i="2" a="1"/>
  <c r="I1558" i="2" s="1"/>
  <c r="I1560" i="2" a="1"/>
  <c r="I1560" i="2" s="1"/>
  <c r="I1562" i="2" a="1"/>
  <c r="I1562" i="2" s="1"/>
  <c r="I1563" i="2" a="1"/>
  <c r="I1563" i="2" s="1"/>
  <c r="G1565" i="2" a="1"/>
  <c r="G1565" i="2" s="1"/>
  <c r="G1567" i="2" a="1"/>
  <c r="G1567" i="2" s="1"/>
  <c r="G1568" i="2" a="1"/>
  <c r="G1568" i="2" s="1"/>
  <c r="G1569" i="2" a="1"/>
  <c r="G1569" i="2" s="1"/>
  <c r="G1570" i="2" a="1"/>
  <c r="G1570" i="2" s="1"/>
  <c r="G1571" i="2" a="1"/>
  <c r="G1571" i="2" s="1"/>
  <c r="G1572" i="2" a="1"/>
  <c r="G1572" i="2" s="1"/>
  <c r="G1573" i="2" a="1"/>
  <c r="G1573" i="2" s="1"/>
  <c r="G1575" i="2" a="1"/>
  <c r="G1575" i="2" s="1"/>
  <c r="I1576" i="2" a="1"/>
  <c r="I1576" i="2" s="1"/>
  <c r="I1578" i="2" a="1"/>
  <c r="I1578" i="2" s="1"/>
  <c r="I1579" i="2" a="1"/>
  <c r="I1579" i="2" s="1"/>
  <c r="I1580" i="2" a="1"/>
  <c r="I1580" i="2" s="1"/>
  <c r="I1581" i="2" a="1"/>
  <c r="I1581" i="2" s="1"/>
  <c r="I1582" i="2" a="1"/>
  <c r="I1582" i="2" s="1"/>
  <c r="I1583" i="2" a="1"/>
  <c r="I1583" i="2" s="1"/>
  <c r="I1585" i="2" a="1"/>
  <c r="I1585" i="2" s="1"/>
  <c r="I1586" i="2" a="1"/>
  <c r="I1586" i="2" s="1"/>
  <c r="I1587" i="2" a="1"/>
  <c r="I1587" i="2" s="1"/>
  <c r="G1589" i="2" a="1"/>
  <c r="G1589" i="2" s="1"/>
  <c r="G1591" i="2" a="1"/>
  <c r="G1591" i="2" s="1"/>
  <c r="G1592" i="2" a="1"/>
  <c r="G1592" i="2" s="1"/>
  <c r="G1593" i="2" a="1"/>
  <c r="G1593" i="2" s="1"/>
  <c r="H1594" i="2" a="1"/>
  <c r="H1594" i="2" s="1"/>
  <c r="H1596" i="2" a="1"/>
  <c r="H1596" i="2" s="1"/>
  <c r="G1598" i="2" a="1"/>
  <c r="G1598" i="2" s="1"/>
  <c r="G1600" i="2" a="1"/>
  <c r="G1600" i="2" s="1"/>
  <c r="G1601" i="2" a="1"/>
  <c r="G1601" i="2" s="1"/>
  <c r="G1602" i="2" a="1"/>
  <c r="G1602" i="2" s="1"/>
  <c r="G1603" i="2" a="1"/>
  <c r="G1603" i="2" s="1"/>
  <c r="G1604" i="2" a="1"/>
  <c r="G1604" i="2" s="1"/>
  <c r="G1605" i="2" a="1"/>
  <c r="G1605" i="2" s="1"/>
  <c r="G1607" i="2" a="1"/>
  <c r="G1607" i="2" s="1"/>
  <c r="I1608" i="2" a="1"/>
  <c r="I1608" i="2" s="1"/>
  <c r="I1610" i="2" a="1"/>
  <c r="I1610" i="2" s="1"/>
  <c r="I1611" i="2" a="1"/>
  <c r="I1611" i="2" s="1"/>
  <c r="I1612" i="2" a="1"/>
  <c r="I1612" i="2" s="1"/>
  <c r="I1613" i="2" a="1"/>
  <c r="I1613" i="2" s="1"/>
  <c r="I1614" i="2" a="1"/>
  <c r="I1614" i="2" s="1"/>
  <c r="I1615" i="2" a="1"/>
  <c r="I1615" i="2" s="1"/>
  <c r="I1617" i="2" a="1"/>
  <c r="I1617" i="2" s="1"/>
  <c r="H1619" i="2" a="1"/>
  <c r="H1619" i="2" s="1"/>
  <c r="H1621" i="2" a="1"/>
  <c r="H1621" i="2" s="1"/>
  <c r="H1622" i="2" a="1"/>
  <c r="H1622" i="2" s="1"/>
  <c r="H1623" i="2" a="1"/>
  <c r="H1623" i="2" s="1"/>
  <c r="H1624" i="2" a="1"/>
  <c r="H1624" i="2" s="1"/>
  <c r="H1625" i="2" a="1"/>
  <c r="H1625" i="2" s="1"/>
  <c r="H1626" i="2" a="1"/>
  <c r="H1626" i="2" s="1"/>
  <c r="H1628" i="2" a="1"/>
  <c r="H1628" i="2" s="1"/>
  <c r="H1629" i="2" a="1"/>
  <c r="H1629" i="2" s="1"/>
  <c r="H1630" i="2" a="1"/>
  <c r="H1630" i="2" s="1"/>
  <c r="H1631" i="2" a="1"/>
  <c r="H1631" i="2" s="1"/>
  <c r="H1632" i="2" a="1"/>
  <c r="H1632" i="2" s="1"/>
  <c r="H1633" i="2" a="1"/>
  <c r="H1633" i="2" s="1"/>
  <c r="H1634" i="2" a="1"/>
  <c r="H1634" i="2" s="1"/>
  <c r="H1636" i="2" a="1"/>
  <c r="H1636" i="2" s="1"/>
  <c r="G1638" i="2" a="1"/>
  <c r="G1638" i="2" s="1"/>
  <c r="G1640" i="2" a="1"/>
  <c r="G1640" i="2" s="1"/>
  <c r="G1641" i="2" a="1"/>
  <c r="G1641" i="2" s="1"/>
  <c r="G1642" i="2" a="1"/>
  <c r="G1642" i="2" s="1"/>
  <c r="G1643" i="2" a="1"/>
  <c r="G1643" i="2" s="1"/>
  <c r="G1644" i="2" a="1"/>
  <c r="G1644" i="2" s="1"/>
  <c r="G1645" i="2" a="1"/>
  <c r="G1645" i="2" s="1"/>
  <c r="G1647" i="2" a="1"/>
  <c r="G1647" i="2" s="1"/>
  <c r="I1648" i="2" a="1"/>
  <c r="I1648" i="2" s="1"/>
  <c r="I1650" i="2" a="1"/>
  <c r="I1650" i="2" s="1"/>
  <c r="I1651" i="2" a="1"/>
  <c r="I1651" i="2" s="1"/>
  <c r="I1652" i="2" a="1"/>
  <c r="I1652" i="2" s="1"/>
  <c r="I1653" i="2" a="1"/>
  <c r="I1653" i="2" s="1"/>
  <c r="I1654" i="2" a="1"/>
  <c r="I1654" i="2" s="1"/>
  <c r="I1655" i="2" a="1"/>
  <c r="I1655" i="2" s="1"/>
  <c r="I1657" i="2" a="1"/>
  <c r="I1657" i="2" s="1"/>
  <c r="H1659" i="2" a="1"/>
  <c r="H1659" i="2" s="1"/>
  <c r="H1661" i="2" a="1"/>
  <c r="H1661" i="2" s="1"/>
  <c r="H1662" i="2" a="1"/>
  <c r="H1662" i="2" s="1"/>
  <c r="H1663" i="2" a="1"/>
  <c r="H1663" i="2" s="1"/>
  <c r="H1664" i="2" a="1"/>
  <c r="H1664" i="2" s="1"/>
  <c r="H1665" i="2" a="1"/>
  <c r="H1665" i="2" s="1"/>
  <c r="H1666" i="2" a="1"/>
  <c r="H1666" i="2" s="1"/>
  <c r="H1668" i="2" a="1"/>
  <c r="H1668" i="2" s="1"/>
  <c r="G1670" i="2" a="1"/>
  <c r="G1670" i="2" s="1"/>
  <c r="G1672" i="2" a="1"/>
  <c r="G1672" i="2" s="1"/>
  <c r="G1673" i="2" a="1"/>
  <c r="G1673" i="2" s="1"/>
  <c r="G1674" i="2" a="1"/>
  <c r="G1674" i="2" s="1"/>
  <c r="G1675" i="2" a="1"/>
  <c r="G1675" i="2" s="1"/>
  <c r="G1676" i="2" a="1"/>
  <c r="G1676" i="2" s="1"/>
  <c r="G1677" i="2" a="1"/>
  <c r="G1677" i="2" s="1"/>
  <c r="G1679" i="2" a="1"/>
  <c r="G1679" i="2" s="1"/>
  <c r="I1680" i="2" a="1"/>
  <c r="I1680" i="2" s="1"/>
  <c r="G1682" i="2" a="1"/>
  <c r="G1682" i="2" s="1"/>
  <c r="G1683" i="2" a="1"/>
  <c r="G1683" i="2" s="1"/>
  <c r="G1684" i="2" a="1"/>
  <c r="G1684" i="2" s="1"/>
  <c r="G1685" i="2" a="1"/>
  <c r="G1685" i="2" s="1"/>
  <c r="G1687" i="2" a="1"/>
  <c r="G1687" i="2" s="1"/>
  <c r="I1688" i="2" a="1"/>
  <c r="I1688" i="2" s="1"/>
  <c r="I1690" i="2" a="1"/>
  <c r="I1690" i="2" s="1"/>
  <c r="I1691" i="2" a="1"/>
  <c r="I1691" i="2" s="1"/>
  <c r="I1692" i="2" a="1"/>
  <c r="I1692" i="2" s="1"/>
  <c r="I1693" i="2" a="1"/>
  <c r="I1693" i="2" s="1"/>
  <c r="I1694" i="2" a="1"/>
  <c r="I1694" i="2" s="1"/>
  <c r="I1696" i="2" a="1"/>
  <c r="I1696" i="2" s="1"/>
  <c r="G1698" i="2" a="1"/>
  <c r="G1698" i="2" s="1"/>
  <c r="G1699" i="2" a="1"/>
  <c r="G1699" i="2" s="1"/>
  <c r="G1700" i="2" a="1"/>
  <c r="G1700" i="2" s="1"/>
  <c r="G1702" i="2" a="1"/>
  <c r="G1702" i="2" s="1"/>
  <c r="H1703" i="2" a="1"/>
  <c r="H1703" i="2" s="1"/>
  <c r="H1704" i="2" a="1"/>
  <c r="H1704" i="2" s="1"/>
  <c r="H1705" i="2" a="1"/>
  <c r="H1705" i="2" s="1"/>
  <c r="H1707" i="2" a="1"/>
  <c r="H1707" i="2" s="1"/>
  <c r="H1709" i="2" a="1"/>
  <c r="H1709" i="2" s="1"/>
  <c r="H1710" i="2" a="1"/>
  <c r="H1710" i="2" s="1"/>
  <c r="H1711" i="2" a="1"/>
  <c r="H1711" i="2" s="1"/>
  <c r="H1712" i="2" a="1"/>
  <c r="H1712" i="2" s="1"/>
  <c r="H1713" i="2" a="1"/>
  <c r="H1713" i="2" s="1"/>
  <c r="H1714" i="2" a="1"/>
  <c r="H1714" i="2" s="1"/>
  <c r="H1716" i="2" a="1"/>
  <c r="H1716" i="2" s="1"/>
  <c r="G1718" i="2" a="1"/>
  <c r="G1718" i="2" s="1"/>
  <c r="G1720" i="2" a="1"/>
  <c r="G1720" i="2" s="1"/>
  <c r="G1721" i="2" a="1"/>
  <c r="G1721" i="2" s="1"/>
  <c r="G1722" i="2" a="1"/>
  <c r="G1722" i="2" s="1"/>
  <c r="G1723" i="2" a="1"/>
  <c r="G1723" i="2" s="1"/>
  <c r="G1724" i="2" a="1"/>
  <c r="G1724" i="2" s="1"/>
  <c r="G1725" i="2" a="1"/>
  <c r="G1725" i="2" s="1"/>
  <c r="G1727" i="2" a="1"/>
  <c r="G1727" i="2" s="1"/>
  <c r="I1728" i="2" a="1"/>
  <c r="I1728" i="2" s="1"/>
  <c r="I1730" i="2" a="1"/>
  <c r="I1730" i="2" s="1"/>
  <c r="I1731" i="2" a="1"/>
  <c r="I1731" i="2" s="1"/>
  <c r="I1732" i="2" a="1"/>
  <c r="I1732" i="2" s="1"/>
  <c r="I1733" i="2" a="1"/>
  <c r="I1733" i="2" s="1"/>
  <c r="I1734" i="2" a="1"/>
  <c r="I1734" i="2" s="1"/>
  <c r="I1735" i="2" a="1"/>
  <c r="I1735" i="2" s="1"/>
  <c r="I1737" i="2" a="1"/>
  <c r="I1737" i="2" s="1"/>
  <c r="H1739" i="2" a="1"/>
  <c r="H1739" i="2" s="1"/>
  <c r="H1741" i="2" a="1"/>
  <c r="H1741" i="2" s="1"/>
  <c r="H1742" i="2" a="1"/>
  <c r="H1742" i="2" s="1"/>
  <c r="H1743" i="2" a="1"/>
  <c r="H1743" i="2" s="1"/>
  <c r="H1744" i="2" a="1"/>
  <c r="H1744" i="2" s="1"/>
  <c r="H1745" i="2" a="1"/>
  <c r="H1745" i="2" s="1"/>
  <c r="H1746" i="2" a="1"/>
  <c r="H1746" i="2" s="1"/>
  <c r="H1747" i="2" a="1"/>
  <c r="H1747" i="2" s="1"/>
  <c r="I1749" i="2" a="1"/>
  <c r="I1749" i="2" s="1"/>
  <c r="I1750" i="2" a="1"/>
  <c r="I1750" i="2" s="1"/>
  <c r="I1751" i="2" a="1"/>
  <c r="I1751" i="2" s="1"/>
  <c r="I1752" i="2" a="1"/>
  <c r="I1752" i="2" s="1"/>
  <c r="G1755" i="2" a="1"/>
  <c r="G1755" i="2" s="1"/>
  <c r="G1756" i="2" a="1"/>
  <c r="G1756" i="2" s="1"/>
  <c r="G1757" i="2" a="1"/>
  <c r="G1757" i="2" s="1"/>
  <c r="G1758" i="2" a="1"/>
  <c r="G1758" i="2" s="1"/>
  <c r="H1760" i="2" a="1"/>
  <c r="H1760" i="2" s="1"/>
  <c r="H1761" i="2" a="1"/>
  <c r="H1761" i="2" s="1"/>
  <c r="H1762" i="2" a="1"/>
  <c r="H1762" i="2" s="1"/>
  <c r="H1763" i="2" a="1"/>
  <c r="H1763" i="2" s="1"/>
  <c r="I1765" i="2" a="1"/>
  <c r="I1765" i="2" s="1"/>
  <c r="I1766" i="2" a="1"/>
  <c r="I1766" i="2" s="1"/>
  <c r="I1768" i="2" a="1"/>
  <c r="I1768" i="2" s="1"/>
  <c r="G1770" i="2" a="1"/>
  <c r="G1770" i="2" s="1"/>
  <c r="G1771" i="2" a="1"/>
  <c r="G1771" i="2" s="1"/>
  <c r="G1772" i="2" a="1"/>
  <c r="G1772" i="2" s="1"/>
  <c r="H1773" i="2" a="1"/>
  <c r="H1773" i="2" s="1"/>
  <c r="H1774" i="2" a="1"/>
  <c r="H1774" i="2" s="1"/>
  <c r="H1775" i="2" a="1"/>
  <c r="H1775" i="2" s="1"/>
  <c r="H1776" i="2" a="1"/>
  <c r="H1776" i="2" s="1"/>
  <c r="H1777" i="2" a="1"/>
  <c r="H1777" i="2" s="1"/>
  <c r="H1778" i="2" a="1"/>
  <c r="H1778" i="2" s="1"/>
  <c r="H1779" i="2" a="1"/>
  <c r="H1779" i="2" s="1"/>
  <c r="I1781" i="2" a="1"/>
  <c r="I1781" i="2" s="1"/>
  <c r="I1782" i="2" a="1"/>
  <c r="I1782" i="2" s="1"/>
  <c r="G1784" i="2" a="1"/>
  <c r="G1784" i="2" s="1"/>
  <c r="G1785" i="2" a="1"/>
  <c r="G1785" i="2" s="1"/>
  <c r="G1786" i="2" a="1"/>
  <c r="G1786" i="2" s="1"/>
  <c r="H1788" i="2" a="1"/>
  <c r="H1788" i="2" s="1"/>
  <c r="I1789" i="2" a="1"/>
  <c r="I1789" i="2" s="1"/>
  <c r="I1790" i="2" a="1"/>
  <c r="I1790" i="2" s="1"/>
  <c r="I1791" i="2" a="1"/>
  <c r="I1791" i="2" s="1"/>
  <c r="I1792" i="2" a="1"/>
  <c r="I1792" i="2" s="1"/>
  <c r="G1795" i="2" a="1"/>
  <c r="G1795" i="2" s="1"/>
  <c r="G1796" i="2" a="1"/>
  <c r="G1796" i="2" s="1"/>
  <c r="G1797" i="2" a="1"/>
  <c r="G1797" i="2" s="1"/>
  <c r="G1798" i="2" a="1"/>
  <c r="G1798" i="2" s="1"/>
  <c r="H1800" i="2" a="1"/>
  <c r="H1800" i="2" s="1"/>
  <c r="H1801" i="2" a="1"/>
  <c r="H1801" i="2" s="1"/>
  <c r="H1802" i="2" a="1"/>
  <c r="H1802" i="2" s="1"/>
  <c r="H1803" i="2" a="1"/>
  <c r="H1803" i="2" s="1"/>
  <c r="I1804" i="2" a="1"/>
  <c r="I1804" i="2" s="1"/>
  <c r="G1807" i="2" a="1"/>
  <c r="G1807" i="2" s="1"/>
  <c r="H1808" i="2" a="1"/>
  <c r="H1808" i="2" s="1"/>
  <c r="H1809" i="2" a="1"/>
  <c r="H1809" i="2" s="1"/>
  <c r="I1810" i="2" a="1"/>
  <c r="I1810" i="2" s="1"/>
  <c r="I1811" i="2" a="1"/>
  <c r="I1811" i="2" s="1"/>
  <c r="G1813" i="2" a="1"/>
  <c r="G1813" i="2" s="1"/>
  <c r="G1814" i="2" a="1"/>
  <c r="G1814" i="2" s="1"/>
  <c r="H1815" i="2" a="1"/>
  <c r="H1815" i="2" s="1"/>
  <c r="H1816" i="2" a="1"/>
  <c r="H1816" i="2" s="1"/>
  <c r="H1817" i="2" a="1"/>
  <c r="H1817" i="2" s="1"/>
  <c r="H1819" i="2" a="1"/>
  <c r="H1819" i="2" s="1"/>
  <c r="I1820" i="2" a="1"/>
  <c r="I1820" i="2" s="1"/>
  <c r="G1823" i="2" a="1"/>
  <c r="G1823" i="2" s="1"/>
  <c r="G1824" i="2" a="1"/>
  <c r="G1824" i="2" s="1"/>
  <c r="G1825" i="2" a="1"/>
  <c r="G1825" i="2" s="1"/>
  <c r="G1826" i="2" a="1"/>
  <c r="G1826" i="2" s="1"/>
  <c r="H1828" i="2" a="1"/>
  <c r="H1828" i="2" s="1"/>
  <c r="H1829" i="2" a="1"/>
  <c r="H1829" i="2" s="1"/>
  <c r="H1830" i="2" a="1"/>
  <c r="H1830" i="2" s="1"/>
  <c r="H1831" i="2" a="1"/>
  <c r="H1831" i="2" s="1"/>
  <c r="I1833" i="2" a="1"/>
  <c r="I1833" i="2" s="1"/>
  <c r="I1834" i="2" a="1"/>
  <c r="I1834" i="2" s="1"/>
  <c r="I1835" i="2" a="1"/>
  <c r="I1835" i="2" s="1"/>
  <c r="I1836" i="2" a="1"/>
  <c r="I1836" i="2" s="1"/>
  <c r="G1839" i="2" a="1"/>
  <c r="G1839" i="2" s="1"/>
  <c r="G1840" i="2" a="1"/>
  <c r="G1840" i="2" s="1"/>
  <c r="G1841" i="2" a="1"/>
  <c r="G1841" i="2" s="1"/>
  <c r="H1164" i="2" a="1"/>
  <c r="H1164" i="2" s="1"/>
  <c r="I1183" i="2" a="1"/>
  <c r="I1183" i="2" s="1"/>
  <c r="H1203" i="2" a="1"/>
  <c r="H1203" i="2" s="1"/>
  <c r="G1222" i="2" a="1"/>
  <c r="G1222" i="2" s="1"/>
  <c r="G1241" i="2" a="1"/>
  <c r="G1241" i="2" s="1"/>
  <c r="I1259" i="2" a="1"/>
  <c r="I1259" i="2" s="1"/>
  <c r="H1277" i="2" a="1"/>
  <c r="H1277" i="2" s="1"/>
  <c r="I1328" i="2" a="1"/>
  <c r="I1328" i="2" s="1"/>
  <c r="I1345" i="2" a="1"/>
  <c r="I1345" i="2" s="1"/>
  <c r="H1363" i="2" a="1"/>
  <c r="H1363" i="2" s="1"/>
  <c r="I1397" i="2" a="1"/>
  <c r="I1397" i="2" s="1"/>
  <c r="H1433" i="2" a="1"/>
  <c r="H1433" i="2" s="1"/>
  <c r="G1451" i="2" a="1"/>
  <c r="G1451" i="2" s="1"/>
  <c r="G1469" i="2" a="1"/>
  <c r="G1469" i="2" s="1"/>
  <c r="H1473" i="2" a="1"/>
  <c r="H1473" i="2" s="1"/>
  <c r="G1478" i="2" a="1"/>
  <c r="G1478" i="2" s="1"/>
  <c r="H1482" i="2" a="1"/>
  <c r="H1482" i="2" s="1"/>
  <c r="G1487" i="2" a="1"/>
  <c r="G1487" i="2" s="1"/>
  <c r="I1491" i="2" a="1"/>
  <c r="I1491" i="2" s="1"/>
  <c r="I1495" i="2" a="1"/>
  <c r="I1495" i="2" s="1"/>
  <c r="I1500" i="2" a="1"/>
  <c r="I1500" i="2" s="1"/>
  <c r="I1503" i="2" a="1"/>
  <c r="I1503" i="2" s="1"/>
  <c r="G1506" i="2" a="1"/>
  <c r="G1506" i="2" s="1"/>
  <c r="H1508" i="2" a="1"/>
  <c r="H1508" i="2" s="1"/>
  <c r="I1510" i="2" a="1"/>
  <c r="I1510" i="2" s="1"/>
  <c r="G1512" i="2" a="1"/>
  <c r="G1512" i="2" s="1"/>
  <c r="I1514" i="2" a="1"/>
  <c r="I1514" i="2" s="1"/>
  <c r="G1516" i="2" a="1"/>
  <c r="G1516" i="2" s="1"/>
  <c r="I1517" i="2" a="1"/>
  <c r="I1517" i="2" s="1"/>
  <c r="H1519" i="2" a="1"/>
  <c r="H1519" i="2" s="1"/>
  <c r="I1520" i="2" a="1"/>
  <c r="I1520" i="2" s="1"/>
  <c r="I1524" i="2" a="1"/>
  <c r="I1524" i="2" s="1"/>
  <c r="H1530" i="2" a="1"/>
  <c r="H1530" i="2" s="1"/>
  <c r="G1532" i="2" a="1"/>
  <c r="G1532" i="2" s="1"/>
  <c r="H1533" i="2" a="1"/>
  <c r="H1533" i="2" s="1"/>
  <c r="G1535" i="2" a="1"/>
  <c r="G1535" i="2" s="1"/>
  <c r="H1536" i="2" a="1"/>
  <c r="H1536" i="2" s="1"/>
  <c r="I1537" i="2" a="1"/>
  <c r="I1537" i="2" s="1"/>
  <c r="H1539" i="2" a="1"/>
  <c r="H1539" i="2" s="1"/>
  <c r="G1542" i="2" a="1"/>
  <c r="G1542" i="2" s="1"/>
  <c r="I1543" i="2" a="1"/>
  <c r="I1543" i="2" s="1"/>
  <c r="I1544" i="2" a="1"/>
  <c r="I1544" i="2" s="1"/>
  <c r="G1546" i="2" a="1"/>
  <c r="G1546" i="2" s="1"/>
  <c r="H1547" i="2" a="1"/>
  <c r="H1547" i="2" s="1"/>
  <c r="I1548" i="2" a="1"/>
  <c r="I1548" i="2" s="1"/>
  <c r="H1551" i="2" a="1"/>
  <c r="H1551" i="2" s="1"/>
  <c r="I1557" i="2" a="1"/>
  <c r="I1557" i="2" s="1"/>
  <c r="G1560" i="2" a="1"/>
  <c r="G1560" i="2" s="1"/>
  <c r="G1561" i="2" a="1"/>
  <c r="G1561" i="2" s="1"/>
  <c r="G1562" i="2" a="1"/>
  <c r="G1562" i="2" s="1"/>
  <c r="G1563" i="2" a="1"/>
  <c r="G1563" i="2" s="1"/>
  <c r="G1564" i="2" a="1"/>
  <c r="G1564" i="2" s="1"/>
  <c r="G1566" i="2" a="1"/>
  <c r="G1566" i="2" s="1"/>
  <c r="H1567" i="2" a="1"/>
  <c r="H1567" i="2" s="1"/>
  <c r="H1568" i="2" a="1"/>
  <c r="H1568" i="2" s="1"/>
  <c r="H1569" i="2" a="1"/>
  <c r="H1569" i="2" s="1"/>
  <c r="H1570" i="2" a="1"/>
  <c r="H1570" i="2" s="1"/>
  <c r="H1572" i="2" a="1"/>
  <c r="H1572" i="2" s="1"/>
  <c r="G1574" i="2" a="1"/>
  <c r="G1574" i="2" s="1"/>
  <c r="G1576" i="2" a="1"/>
  <c r="G1576" i="2" s="1"/>
  <c r="G1577" i="2" a="1"/>
  <c r="G1577" i="2" s="1"/>
  <c r="G1578" i="2" a="1"/>
  <c r="G1578" i="2" s="1"/>
  <c r="G1579" i="2" a="1"/>
  <c r="G1579" i="2" s="1"/>
  <c r="G1580" i="2" a="1"/>
  <c r="G1580" i="2" s="1"/>
  <c r="G1581" i="2" a="1"/>
  <c r="G1581" i="2" s="1"/>
  <c r="G1583" i="2" a="1"/>
  <c r="G1583" i="2" s="1"/>
  <c r="I1584" i="2" a="1"/>
  <c r="I1584" i="2" s="1"/>
  <c r="G1586" i="2" a="1"/>
  <c r="G1586" i="2" s="1"/>
  <c r="G1587" i="2" a="1"/>
  <c r="G1587" i="2" s="1"/>
  <c r="G1588" i="2" a="1"/>
  <c r="G1588" i="2" s="1"/>
  <c r="G1590" i="2" a="1"/>
  <c r="G1590" i="2" s="1"/>
  <c r="H1591" i="2" a="1"/>
  <c r="H1591" i="2" s="1"/>
  <c r="H1592" i="2" a="1"/>
  <c r="H1592" i="2" s="1"/>
  <c r="H1593" i="2" a="1"/>
  <c r="H1593" i="2" s="1"/>
  <c r="H1595" i="2" a="1"/>
  <c r="H1595" i="2" s="1"/>
  <c r="H1597" i="2" a="1"/>
  <c r="H1597" i="2" s="1"/>
  <c r="H1598" i="2" a="1"/>
  <c r="H1598" i="2" s="1"/>
  <c r="H1599" i="2" a="1"/>
  <c r="H1599" i="2" s="1"/>
  <c r="H1600" i="2" a="1"/>
  <c r="H1600" i="2" s="1"/>
  <c r="H1601" i="2" a="1"/>
  <c r="H1601" i="2" s="1"/>
  <c r="H1602" i="2" a="1"/>
  <c r="H1602" i="2" s="1"/>
  <c r="H1604" i="2" a="1"/>
  <c r="H1604" i="2" s="1"/>
  <c r="G1606" i="2" a="1"/>
  <c r="G1606" i="2" s="1"/>
  <c r="G1608" i="2" a="1"/>
  <c r="G1608" i="2" s="1"/>
  <c r="G1609" i="2" a="1"/>
  <c r="G1609" i="2" s="1"/>
  <c r="G1610" i="2" a="1"/>
  <c r="G1610" i="2" s="1"/>
  <c r="G1611" i="2" a="1"/>
  <c r="G1611" i="2" s="1"/>
  <c r="G1612" i="2" a="1"/>
  <c r="G1612" i="2" s="1"/>
  <c r="G1613" i="2" a="1"/>
  <c r="G1613" i="2" s="1"/>
  <c r="G1615" i="2" a="1"/>
  <c r="G1615" i="2" s="1"/>
  <c r="I1616" i="2" a="1"/>
  <c r="I1616" i="2" s="1"/>
  <c r="I1618" i="2" a="1"/>
  <c r="I1618" i="2" s="1"/>
  <c r="I1619" i="2" a="1"/>
  <c r="I1619" i="2" s="1"/>
  <c r="I1620" i="2" a="1"/>
  <c r="I1620" i="2" s="1"/>
  <c r="I1621" i="2" a="1"/>
  <c r="I1621" i="2" s="1"/>
  <c r="I1622" i="2" a="1"/>
  <c r="I1622" i="2" s="1"/>
  <c r="I1623" i="2" a="1"/>
  <c r="I1623" i="2" s="1"/>
  <c r="I1625" i="2" a="1"/>
  <c r="I1625" i="2" s="1"/>
  <c r="H1627" i="2" a="1"/>
  <c r="H1627" i="2" s="1"/>
  <c r="I1628" i="2" a="1"/>
  <c r="I1628" i="2" s="1"/>
  <c r="I1629" i="2" a="1"/>
  <c r="I1629" i="2" s="1"/>
  <c r="I1630" i="2" a="1"/>
  <c r="I1630" i="2" s="1"/>
  <c r="I1631" i="2" a="1"/>
  <c r="I1631" i="2" s="1"/>
  <c r="I1633" i="2" a="1"/>
  <c r="I1633" i="2" s="1"/>
  <c r="H1635" i="2" a="1"/>
  <c r="H1635" i="2" s="1"/>
  <c r="H1637" i="2" a="1"/>
  <c r="H1637" i="2" s="1"/>
  <c r="H1638" i="2" a="1"/>
  <c r="H1638" i="2" s="1"/>
  <c r="H1639" i="2" a="1"/>
  <c r="H1639" i="2" s="1"/>
  <c r="H1640" i="2" a="1"/>
  <c r="H1640" i="2" s="1"/>
  <c r="H1641" i="2" a="1"/>
  <c r="H1641" i="2" s="1"/>
  <c r="H1642" i="2" a="1"/>
  <c r="H1642" i="2" s="1"/>
  <c r="H1644" i="2" a="1"/>
  <c r="H1644" i="2" s="1"/>
  <c r="G1646" i="2" a="1"/>
  <c r="G1646" i="2" s="1"/>
  <c r="G1648" i="2" a="1"/>
  <c r="G1648" i="2" s="1"/>
  <c r="G1649" i="2" a="1"/>
  <c r="G1649" i="2" s="1"/>
  <c r="G1650" i="2" a="1"/>
  <c r="G1650" i="2" s="1"/>
  <c r="G1651" i="2" a="1"/>
  <c r="G1651" i="2" s="1"/>
  <c r="G1652" i="2" a="1"/>
  <c r="G1652" i="2" s="1"/>
  <c r="G1653" i="2" a="1"/>
  <c r="G1653" i="2" s="1"/>
  <c r="G1655" i="2" a="1"/>
  <c r="G1655" i="2" s="1"/>
  <c r="I1656" i="2" a="1"/>
  <c r="I1656" i="2" s="1"/>
  <c r="I1658" i="2" a="1"/>
  <c r="I1658" i="2" s="1"/>
  <c r="I1659" i="2" a="1"/>
  <c r="I1659" i="2" s="1"/>
  <c r="I1660" i="2" a="1"/>
  <c r="I1660" i="2" s="1"/>
  <c r="I1661" i="2" a="1"/>
  <c r="I1661" i="2" s="1"/>
  <c r="I1662" i="2" a="1"/>
  <c r="I1662" i="2" s="1"/>
  <c r="I1663" i="2" a="1"/>
  <c r="I1663" i="2" s="1"/>
  <c r="I1665" i="2" a="1"/>
  <c r="I1665" i="2" s="1"/>
  <c r="H1667" i="2" a="1"/>
  <c r="H1667" i="2" s="1"/>
  <c r="H1669" i="2" a="1"/>
  <c r="H1669" i="2" s="1"/>
  <c r="H1670" i="2" a="1"/>
  <c r="H1670" i="2" s="1"/>
  <c r="H1671" i="2" a="1"/>
  <c r="H1671" i="2" s="1"/>
  <c r="H1672" i="2" a="1"/>
  <c r="H1672" i="2" s="1"/>
  <c r="H1673" i="2" a="1"/>
  <c r="H1673" i="2" s="1"/>
  <c r="H1674" i="2" a="1"/>
  <c r="H1674" i="2" s="1"/>
  <c r="H1676" i="2" a="1"/>
  <c r="H1676" i="2" s="1"/>
  <c r="G1678" i="2" a="1"/>
  <c r="G1678" i="2" s="1"/>
  <c r="G1680" i="2" a="1"/>
  <c r="G1680" i="2" s="1"/>
  <c r="G1681" i="2" a="1"/>
  <c r="G1681" i="2" s="1"/>
  <c r="H1682" i="2" a="1"/>
  <c r="H1682" i="2" s="1"/>
  <c r="H1684" i="2" a="1"/>
  <c r="H1684" i="2" s="1"/>
  <c r="G1686" i="2" a="1"/>
  <c r="G1686" i="2" s="1"/>
  <c r="G1688" i="2" a="1"/>
  <c r="G1688" i="2" s="1"/>
  <c r="G1689" i="2" a="1"/>
  <c r="G1689" i="2" s="1"/>
  <c r="G1690" i="2" a="1"/>
  <c r="G1690" i="2" s="1"/>
  <c r="G1691" i="2" a="1"/>
  <c r="G1691" i="2" s="1"/>
  <c r="G1692" i="2" a="1"/>
  <c r="G1692" i="2" s="1"/>
  <c r="G1693" i="2" a="1"/>
  <c r="G1693" i="2" s="1"/>
  <c r="G1695" i="2" a="1"/>
  <c r="G1695" i="2" s="1"/>
  <c r="G1696" i="2" a="1"/>
  <c r="G1696" i="2" s="1"/>
  <c r="G1697" i="2" a="1"/>
  <c r="G1697" i="2" s="1"/>
  <c r="H1698" i="2" a="1"/>
  <c r="H1698" i="2" s="1"/>
  <c r="H1700" i="2" a="1"/>
  <c r="H1700" i="2" s="1"/>
  <c r="H1701" i="2" a="1"/>
  <c r="H1701" i="2" s="1"/>
  <c r="H1702" i="2" a="1"/>
  <c r="H1702" i="2" s="1"/>
  <c r="I1703" i="2" a="1"/>
  <c r="I1703" i="2" s="1"/>
  <c r="I1705" i="2" a="1"/>
  <c r="I1705" i="2" s="1"/>
  <c r="I1706" i="2" a="1"/>
  <c r="I1706" i="2" s="1"/>
  <c r="I1707" i="2" a="1"/>
  <c r="I1707" i="2" s="1"/>
  <c r="I1708" i="2" a="1"/>
  <c r="I1708" i="2" s="1"/>
  <c r="I1709" i="2" a="1"/>
  <c r="I1709" i="2" s="1"/>
  <c r="I1710" i="2" a="1"/>
  <c r="I1710" i="2" s="1"/>
  <c r="I1711" i="2" a="1"/>
  <c r="I1711" i="2" s="1"/>
  <c r="I1713" i="2" a="1"/>
  <c r="I1713" i="2" s="1"/>
  <c r="H1715" i="2" a="1"/>
  <c r="H1715" i="2" s="1"/>
  <c r="H1717" i="2" a="1"/>
  <c r="H1717" i="2" s="1"/>
  <c r="H1718" i="2" a="1"/>
  <c r="H1718" i="2" s="1"/>
  <c r="H1719" i="2" a="1"/>
  <c r="H1719" i="2" s="1"/>
  <c r="H1720" i="2" a="1"/>
  <c r="H1720" i="2" s="1"/>
  <c r="H1721" i="2" a="1"/>
  <c r="H1721" i="2" s="1"/>
  <c r="H1722" i="2" a="1"/>
  <c r="H1722" i="2" s="1"/>
  <c r="H1724" i="2" a="1"/>
  <c r="H1724" i="2" s="1"/>
  <c r="G1726" i="2" a="1"/>
  <c r="G1726" i="2" s="1"/>
  <c r="G1728" i="2" a="1"/>
  <c r="G1728" i="2" s="1"/>
  <c r="G1729" i="2" a="1"/>
  <c r="G1729" i="2" s="1"/>
  <c r="G1730" i="2" a="1"/>
  <c r="G1730" i="2" s="1"/>
  <c r="G1731" i="2" a="1"/>
  <c r="G1731" i="2" s="1"/>
  <c r="G1732" i="2" a="1"/>
  <c r="G1732" i="2" s="1"/>
  <c r="G1733" i="2" a="1"/>
  <c r="G1733" i="2" s="1"/>
  <c r="G1735" i="2" a="1"/>
  <c r="G1735" i="2" s="1"/>
  <c r="I1736" i="2" a="1"/>
  <c r="I1736" i="2" s="1"/>
  <c r="I1738" i="2" a="1"/>
  <c r="I1738" i="2" s="1"/>
  <c r="I1739" i="2" a="1"/>
  <c r="I1739" i="2" s="1"/>
  <c r="I1740" i="2" a="1"/>
  <c r="I1740" i="2" s="1"/>
  <c r="I1741" i="2" a="1"/>
  <c r="I1741" i="2" s="1"/>
  <c r="I1742" i="2" a="1"/>
  <c r="I1742" i="2" s="1"/>
  <c r="I1743" i="2" a="1"/>
  <c r="I1743" i="2" s="1"/>
  <c r="I1745" i="2" a="1"/>
  <c r="I1745" i="2" s="1"/>
  <c r="I1746" i="2" a="1"/>
  <c r="I1746" i="2" s="1"/>
  <c r="I1747" i="2" a="1"/>
  <c r="I1747" i="2" s="1"/>
  <c r="I1748" i="2" a="1"/>
  <c r="I1748" i="2" s="1"/>
  <c r="G1751" i="2" a="1"/>
  <c r="G1751" i="2" s="1"/>
  <c r="G1752" i="2" a="1"/>
  <c r="G1752" i="2" s="1"/>
  <c r="G1753" i="2" a="1"/>
  <c r="G1753" i="2" s="1"/>
  <c r="G1754" i="2" a="1"/>
  <c r="G1754" i="2" s="1"/>
  <c r="H1756" i="2" a="1"/>
  <c r="H1756" i="2" s="1"/>
  <c r="H1757" i="2" a="1"/>
  <c r="H1757" i="2" s="1"/>
  <c r="H1758" i="2" a="1"/>
  <c r="H1758" i="2" s="1"/>
  <c r="H1759" i="2" a="1"/>
  <c r="H1759" i="2" s="1"/>
  <c r="I1761" i="2" a="1"/>
  <c r="I1761" i="2" s="1"/>
  <c r="I1762" i="2" a="1"/>
  <c r="I1762" i="2" s="1"/>
  <c r="I1763" i="2" a="1"/>
  <c r="I1763" i="2" s="1"/>
  <c r="I1764" i="2" a="1"/>
  <c r="I1764" i="2" s="1"/>
  <c r="G1767" i="2" a="1"/>
  <c r="G1767" i="2" s="1"/>
  <c r="G1768" i="2" a="1"/>
  <c r="G1768" i="2" s="1"/>
  <c r="G1769" i="2" a="1"/>
  <c r="G1769" i="2" s="1"/>
  <c r="H1770" i="2" a="1"/>
  <c r="H1770" i="2" s="1"/>
  <c r="H1772" i="2" a="1"/>
  <c r="H1772" i="2" s="1"/>
  <c r="I1773" i="2" a="1"/>
  <c r="I1773" i="2" s="1"/>
  <c r="I1774" i="2" a="1"/>
  <c r="I1774" i="2" s="1"/>
  <c r="I1775" i="2" a="1"/>
  <c r="I1775" i="2" s="1"/>
  <c r="I1777" i="2" a="1"/>
  <c r="I1777" i="2" s="1"/>
  <c r="I1778" i="2" a="1"/>
  <c r="I1778" i="2" s="1"/>
  <c r="I1779" i="2" a="1"/>
  <c r="I1779" i="2" s="1"/>
  <c r="I1780" i="2" a="1"/>
  <c r="I1780" i="2" s="1"/>
  <c r="G1783" i="2" a="1"/>
  <c r="G1783" i="2" s="1"/>
  <c r="H1784" i="2" a="1"/>
  <c r="H1784" i="2" s="1"/>
  <c r="H1785" i="2" a="1"/>
  <c r="H1785" i="2" s="1"/>
  <c r="H1786" i="2" a="1"/>
  <c r="H1786" i="2" s="1"/>
  <c r="H1787" i="2" a="1"/>
  <c r="H1787" i="2" s="1"/>
  <c r="I1788" i="2" a="1"/>
  <c r="I1788" i="2" s="1"/>
  <c r="G1791" i="2" a="1"/>
  <c r="G1791" i="2" s="1"/>
  <c r="G1792" i="2" a="1"/>
  <c r="G1792" i="2" s="1"/>
  <c r="G1793" i="2" a="1"/>
  <c r="G1793" i="2" s="1"/>
  <c r="G1794" i="2" a="1"/>
  <c r="G1794" i="2" s="1"/>
  <c r="H1796" i="2" a="1"/>
  <c r="H1796" i="2" s="1"/>
  <c r="H1797" i="2" a="1"/>
  <c r="H1797" i="2" s="1"/>
  <c r="H1798" i="2" a="1"/>
  <c r="H1798" i="2" s="1"/>
  <c r="H1799" i="2" a="1"/>
  <c r="H1799" i="2" s="1"/>
  <c r="I1801" i="2" a="1"/>
  <c r="I1801" i="2" s="1"/>
  <c r="I1802" i="2" a="1"/>
  <c r="I1802" i="2" s="1"/>
  <c r="I1803" i="2" a="1"/>
  <c r="I1803" i="2" s="1"/>
  <c r="G1805" i="2" a="1"/>
  <c r="G1805" i="2" s="1"/>
  <c r="G1806" i="2" a="1"/>
  <c r="G1806" i="2" s="1"/>
  <c r="H1807" i="2" a="1"/>
  <c r="H1807" i="2" s="1"/>
  <c r="I1809" i="2" a="1"/>
  <c r="I1809" i="2" s="1"/>
  <c r="G1811" i="2" a="1"/>
  <c r="G1811" i="2" s="1"/>
  <c r="G1812" i="2" a="1"/>
  <c r="G1812" i="2" s="1"/>
  <c r="H1813" i="2" a="1"/>
  <c r="H1813" i="2" s="1"/>
  <c r="H1814" i="2" a="1"/>
  <c r="H1814" i="2" s="1"/>
  <c r="I1815" i="2" a="1"/>
  <c r="I1815" i="2" s="1"/>
  <c r="I1817" i="2" a="1"/>
  <c r="I1817" i="2" s="1"/>
  <c r="I1818" i="2" a="1"/>
  <c r="I1818" i="2" s="1"/>
  <c r="I1819" i="2" a="1"/>
  <c r="I1819" i="2" s="1"/>
  <c r="G1821" i="2" a="1"/>
  <c r="G1821" i="2" s="1"/>
  <c r="G1822" i="2" a="1"/>
  <c r="G1822" i="2" s="1"/>
  <c r="H1824" i="2" a="1"/>
  <c r="H1824" i="2" s="1"/>
  <c r="H1825" i="2" a="1"/>
  <c r="H1825" i="2" s="1"/>
  <c r="H1826" i="2" a="1"/>
  <c r="H1826" i="2" s="1"/>
  <c r="H1827" i="2" a="1"/>
  <c r="H1827" i="2" s="1"/>
  <c r="I1829" i="2" a="1"/>
  <c r="I1829" i="2" s="1"/>
  <c r="I1830" i="2" a="1"/>
  <c r="I1830" i="2" s="1"/>
  <c r="I1831" i="2" a="1"/>
  <c r="I1831" i="2" s="1"/>
  <c r="I1832" i="2" a="1"/>
  <c r="I1832" i="2" s="1"/>
  <c r="G1835" i="2" a="1"/>
  <c r="G1835" i="2" s="1"/>
  <c r="G1836" i="2" a="1"/>
  <c r="G1836" i="2" s="1"/>
  <c r="G1837" i="2" a="1"/>
  <c r="G1837" i="2" s="1"/>
  <c r="G1838" i="2" a="1"/>
  <c r="G1838" i="2" s="1"/>
  <c r="H1840" i="2" a="1"/>
  <c r="H1840" i="2" s="1"/>
  <c r="I1150" i="2" a="1"/>
  <c r="I1150" i="2" s="1"/>
  <c r="G1169" i="2" a="1"/>
  <c r="G1169" i="2" s="1"/>
  <c r="H1188" i="2" a="1"/>
  <c r="H1188" i="2" s="1"/>
  <c r="G1208" i="2" a="1"/>
  <c r="G1208" i="2" s="1"/>
  <c r="I1226" i="2" a="1"/>
  <c r="I1226" i="2" s="1"/>
  <c r="I1245" i="2" a="1"/>
  <c r="I1245" i="2" s="1"/>
  <c r="I1264" i="2" a="1"/>
  <c r="I1264" i="2" s="1"/>
  <c r="I1281" i="2" a="1"/>
  <c r="I1281" i="2" s="1"/>
  <c r="I1298" i="2" a="1"/>
  <c r="I1298" i="2" s="1"/>
  <c r="G1316" i="2" a="1"/>
  <c r="G1316" i="2" s="1"/>
  <c r="G1333" i="2" a="1"/>
  <c r="G1333" i="2" s="1"/>
  <c r="G1350" i="2" a="1"/>
  <c r="G1350" i="2" s="1"/>
  <c r="H1367" i="2" a="1"/>
  <c r="H1367" i="2" s="1"/>
  <c r="I1419" i="2" a="1"/>
  <c r="I1419" i="2" s="1"/>
  <c r="G1438" i="2" a="1"/>
  <c r="G1438" i="2" s="1"/>
  <c r="H1470" i="2" a="1"/>
  <c r="H1470" i="2" s="1"/>
  <c r="H1474" i="2" a="1"/>
  <c r="H1474" i="2" s="1"/>
  <c r="H1479" i="2" a="1"/>
  <c r="H1479" i="2" s="1"/>
  <c r="G1488" i="2" a="1"/>
  <c r="G1488" i="2" s="1"/>
  <c r="I1492" i="2" a="1"/>
  <c r="I1492" i="2" s="1"/>
  <c r="G1497" i="2" a="1"/>
  <c r="G1497" i="2" s="1"/>
  <c r="I1501" i="2" a="1"/>
  <c r="I1501" i="2" s="1"/>
  <c r="H1504" i="2" a="1"/>
  <c r="H1504" i="2" s="1"/>
  <c r="H1506" i="2" a="1"/>
  <c r="H1506" i="2" s="1"/>
  <c r="G1511" i="2" a="1"/>
  <c r="G1511" i="2" s="1"/>
  <c r="I1512" i="2" a="1"/>
  <c r="I1512" i="2" s="1"/>
  <c r="I1513" i="2" a="1"/>
  <c r="I1513" i="2" s="1"/>
  <c r="G1515" i="2" a="1"/>
  <c r="G1515" i="2" s="1"/>
  <c r="I1516" i="2" a="1"/>
  <c r="I1516" i="2" s="1"/>
  <c r="G1518" i="2" a="1"/>
  <c r="G1518" i="2" s="1"/>
  <c r="H1521" i="2" a="1"/>
  <c r="H1521" i="2" s="1"/>
  <c r="H1522" i="2" a="1"/>
  <c r="H1522" i="2" s="1"/>
  <c r="I1523" i="2" a="1"/>
  <c r="I1523" i="2" s="1"/>
  <c r="G1525" i="2" a="1"/>
  <c r="G1525" i="2" s="1"/>
  <c r="H1526" i="2" a="1"/>
  <c r="H1526" i="2" s="1"/>
  <c r="I1527" i="2" a="1"/>
  <c r="I1527" i="2" s="1"/>
  <c r="H1529" i="2" a="1"/>
  <c r="H1529" i="2" s="1"/>
  <c r="I1530" i="2" a="1"/>
  <c r="I1530" i="2" s="1"/>
  <c r="H1532" i="2" a="1"/>
  <c r="H1532" i="2" s="1"/>
  <c r="G1534" i="2" a="1"/>
  <c r="G1534" i="2" s="1"/>
  <c r="H1535" i="2" a="1"/>
  <c r="H1535" i="2" s="1"/>
  <c r="I1536" i="2" a="1"/>
  <c r="I1536" i="2" s="1"/>
  <c r="I1539" i="2" a="1"/>
  <c r="I1539" i="2" s="1"/>
  <c r="G1541" i="2" a="1"/>
  <c r="G1541" i="2" s="1"/>
  <c r="I1542" i="2" a="1"/>
  <c r="I1542" i="2" s="1"/>
  <c r="G1545" i="2" a="1"/>
  <c r="G1545" i="2" s="1"/>
  <c r="I1547" i="2" a="1"/>
  <c r="I1547" i="2" s="1"/>
  <c r="G1549" i="2" a="1"/>
  <c r="G1549" i="2" s="1"/>
  <c r="H1550" i="2" a="1"/>
  <c r="H1550" i="2" s="1"/>
  <c r="I1551" i="2" a="1"/>
  <c r="I1551" i="2" s="1"/>
  <c r="I1552" i="2" a="1"/>
  <c r="I1552" i="2" s="1"/>
  <c r="H1554" i="2" a="1"/>
  <c r="H1554" i="2" s="1"/>
  <c r="H1555" i="2" a="1"/>
  <c r="H1555" i="2" s="1"/>
  <c r="I1556" i="2" a="1"/>
  <c r="I1556" i="2" s="1"/>
  <c r="G1558" i="2" a="1"/>
  <c r="G1558" i="2" s="1"/>
  <c r="H1559" i="2" a="1"/>
  <c r="H1559" i="2" s="1"/>
  <c r="H1560" i="2" a="1"/>
  <c r="H1560" i="2" s="1"/>
  <c r="H1561" i="2" a="1"/>
  <c r="H1561" i="2" s="1"/>
  <c r="H1562" i="2" a="1"/>
  <c r="H1562" i="2" s="1"/>
  <c r="H1564" i="2" a="1"/>
  <c r="H1564" i="2" s="1"/>
  <c r="H1565" i="2" a="1"/>
  <c r="H1565" i="2" s="1"/>
  <c r="H1566" i="2" a="1"/>
  <c r="H1566" i="2" s="1"/>
  <c r="I1567" i="2" a="1"/>
  <c r="I1567" i="2" s="1"/>
  <c r="I1569" i="2" a="1"/>
  <c r="I1569" i="2" s="1"/>
  <c r="H1571" i="2" a="1"/>
  <c r="H1571" i="2" s="1"/>
  <c r="H1573" i="2" a="1"/>
  <c r="H1573" i="2" s="1"/>
  <c r="H1574" i="2" a="1"/>
  <c r="H1574" i="2" s="1"/>
  <c r="H1575" i="2" a="1"/>
  <c r="H1575" i="2" s="1"/>
  <c r="H1576" i="2" a="1"/>
  <c r="H1576" i="2" s="1"/>
  <c r="H1577" i="2" a="1"/>
  <c r="H1577" i="2" s="1"/>
  <c r="H1578" i="2" a="1"/>
  <c r="H1578" i="2" s="1"/>
  <c r="H1580" i="2" a="1"/>
  <c r="H1580" i="2" s="1"/>
  <c r="G1582" i="2" a="1"/>
  <c r="G1582" i="2" s="1"/>
  <c r="G1584" i="2" a="1"/>
  <c r="G1584" i="2" s="1"/>
  <c r="G1585" i="2" a="1"/>
  <c r="G1585" i="2" s="1"/>
  <c r="H1586" i="2" a="1"/>
  <c r="H1586" i="2" s="1"/>
  <c r="H1588" i="2" a="1"/>
  <c r="H1588" i="2" s="1"/>
  <c r="H1589" i="2" a="1"/>
  <c r="H1589" i="2" s="1"/>
  <c r="H1590" i="2" a="1"/>
  <c r="H1590" i="2" s="1"/>
  <c r="I1591" i="2" a="1"/>
  <c r="I1591" i="2" s="1"/>
  <c r="I1593" i="2" a="1"/>
  <c r="I1593" i="2" s="1"/>
  <c r="I1594" i="2" a="1"/>
  <c r="I1594" i="2" s="1"/>
  <c r="I1595" i="2" a="1"/>
  <c r="I1595" i="2" s="1"/>
  <c r="I1596" i="2" a="1"/>
  <c r="I1596" i="2" s="1"/>
  <c r="I1597" i="2" a="1"/>
  <c r="I1597" i="2" s="1"/>
  <c r="I1598" i="2" a="1"/>
  <c r="I1598" i="2" s="1"/>
  <c r="I1599" i="2" a="1"/>
  <c r="I1599" i="2" s="1"/>
  <c r="I1601" i="2" a="1"/>
  <c r="I1601" i="2" s="1"/>
  <c r="H1603" i="2" a="1"/>
  <c r="H1603" i="2" s="1"/>
  <c r="H1605" i="2" a="1"/>
  <c r="H1605" i="2" s="1"/>
  <c r="H1606" i="2" a="1"/>
  <c r="H1606" i="2" s="1"/>
  <c r="H1607" i="2" a="1"/>
  <c r="H1607" i="2" s="1"/>
  <c r="H1608" i="2" a="1"/>
  <c r="H1608" i="2" s="1"/>
  <c r="H1609" i="2" a="1"/>
  <c r="H1609" i="2" s="1"/>
  <c r="H1610" i="2" a="1"/>
  <c r="H1610" i="2" s="1"/>
  <c r="H1612" i="2" a="1"/>
  <c r="H1612" i="2" s="1"/>
  <c r="G1614" i="2" a="1"/>
  <c r="G1614" i="2" s="1"/>
  <c r="G1616" i="2" a="1"/>
  <c r="G1616" i="2" s="1"/>
  <c r="G1617" i="2" a="1"/>
  <c r="G1617" i="2" s="1"/>
  <c r="G1618" i="2" a="1"/>
  <c r="G1618" i="2" s="1"/>
  <c r="G1619" i="2" a="1"/>
  <c r="G1619" i="2" s="1"/>
  <c r="G1620" i="2" a="1"/>
  <c r="G1620" i="2" s="1"/>
  <c r="G1621" i="2" a="1"/>
  <c r="G1621" i="2" s="1"/>
  <c r="G1623" i="2" a="1"/>
  <c r="G1623" i="2" s="1"/>
  <c r="I1624" i="2" a="1"/>
  <c r="I1624" i="2" s="1"/>
  <c r="I1626" i="2" a="1"/>
  <c r="I1626" i="2" s="1"/>
  <c r="I1627" i="2" a="1"/>
  <c r="I1627" i="2" s="1"/>
  <c r="G1629" i="2" a="1"/>
  <c r="G1629" i="2" s="1"/>
  <c r="G1631" i="2" a="1"/>
  <c r="G1631" i="2" s="1"/>
  <c r="I1632" i="2" a="1"/>
  <c r="I1632" i="2" s="1"/>
  <c r="I1634" i="2" a="1"/>
  <c r="I1634" i="2" s="1"/>
  <c r="I1635" i="2" a="1"/>
  <c r="I1635" i="2" s="1"/>
  <c r="I1636" i="2" a="1"/>
  <c r="I1636" i="2" s="1"/>
  <c r="I1637" i="2" a="1"/>
  <c r="I1637" i="2" s="1"/>
  <c r="I1638" i="2" a="1"/>
  <c r="I1638" i="2" s="1"/>
  <c r="I1639" i="2" a="1"/>
  <c r="I1639" i="2" s="1"/>
  <c r="I1641" i="2" a="1"/>
  <c r="I1641" i="2" s="1"/>
  <c r="H1643" i="2" a="1"/>
  <c r="H1643" i="2" s="1"/>
  <c r="H1645" i="2" a="1"/>
  <c r="H1645" i="2" s="1"/>
  <c r="H1646" i="2" a="1"/>
  <c r="H1646" i="2" s="1"/>
  <c r="H1647" i="2" a="1"/>
  <c r="H1647" i="2" s="1"/>
  <c r="H1648" i="2" a="1"/>
  <c r="H1648" i="2" s="1"/>
  <c r="H1649" i="2" a="1"/>
  <c r="H1649" i="2" s="1"/>
  <c r="H1650" i="2" a="1"/>
  <c r="H1650" i="2" s="1"/>
  <c r="H1652" i="2" a="1"/>
  <c r="H1652" i="2" s="1"/>
  <c r="G1654" i="2" a="1"/>
  <c r="G1654" i="2" s="1"/>
  <c r="G1656" i="2" a="1"/>
  <c r="G1656" i="2" s="1"/>
  <c r="G1657" i="2" a="1"/>
  <c r="G1657" i="2" s="1"/>
  <c r="G1658" i="2" a="1"/>
  <c r="G1658" i="2" s="1"/>
  <c r="G1659" i="2" a="1"/>
  <c r="G1659" i="2" s="1"/>
  <c r="G1660" i="2" a="1"/>
  <c r="G1660" i="2" s="1"/>
  <c r="G1661" i="2" a="1"/>
  <c r="G1661" i="2" s="1"/>
  <c r="G1663" i="2" a="1"/>
  <c r="G1663" i="2" s="1"/>
  <c r="I1664" i="2" a="1"/>
  <c r="I1664" i="2" s="1"/>
  <c r="I1666" i="2" a="1"/>
  <c r="I1666" i="2" s="1"/>
  <c r="I1667" i="2" a="1"/>
  <c r="I1667" i="2" s="1"/>
  <c r="I1668" i="2" a="1"/>
  <c r="I1668" i="2" s="1"/>
  <c r="I1669" i="2" a="1"/>
  <c r="I1669" i="2" s="1"/>
  <c r="I1670" i="2" a="1"/>
  <c r="I1670" i="2" s="1"/>
  <c r="I1671" i="2" a="1"/>
  <c r="I1671" i="2" s="1"/>
  <c r="I1673" i="2" a="1"/>
  <c r="I1673" i="2" s="1"/>
  <c r="H1675" i="2" a="1"/>
  <c r="H1675" i="2" s="1"/>
  <c r="H1677" i="2" a="1"/>
  <c r="H1677" i="2" s="1"/>
  <c r="H1678" i="2" a="1"/>
  <c r="H1678" i="2" s="1"/>
  <c r="H1679" i="2" a="1"/>
  <c r="H1679" i="2" s="1"/>
  <c r="H1680" i="2" a="1"/>
  <c r="H1680" i="2" s="1"/>
  <c r="H1681" i="2" a="1"/>
  <c r="H1681" i="2" s="1"/>
  <c r="H1683" i="2" a="1"/>
  <c r="H1683" i="2" s="1"/>
  <c r="H1685" i="2" a="1"/>
  <c r="H1685" i="2" s="1"/>
  <c r="H1686" i="2" a="1"/>
  <c r="H1686" i="2" s="1"/>
  <c r="H1687" i="2" a="1"/>
  <c r="H1687" i="2" s="1"/>
  <c r="H1688" i="2" a="1"/>
  <c r="H1688" i="2" s="1"/>
  <c r="H1689" i="2" a="1"/>
  <c r="H1689" i="2" s="1"/>
  <c r="H1690" i="2" a="1"/>
  <c r="H1690" i="2" s="1"/>
  <c r="H1692" i="2" a="1"/>
  <c r="H1692" i="2" s="1"/>
  <c r="G1694" i="2" a="1"/>
  <c r="G1694" i="2" s="1"/>
  <c r="H1695" i="2" a="1"/>
  <c r="H1695" i="2" s="1"/>
  <c r="H1696" i="2" a="1"/>
  <c r="H1696" i="2" s="1"/>
  <c r="H1697" i="2" a="1"/>
  <c r="H1697" i="2" s="1"/>
  <c r="H1699" i="2" a="1"/>
  <c r="H1699" i="2" s="1"/>
  <c r="I1700" i="2" a="1"/>
  <c r="I1700" i="2" s="1"/>
  <c r="I1701" i="2" a="1"/>
  <c r="I1701" i="2" s="1"/>
  <c r="I1702" i="2" a="1"/>
  <c r="I1702" i="2" s="1"/>
  <c r="I1704" i="2" a="1"/>
  <c r="I1704" i="2" s="1"/>
  <c r="G1706" i="2" a="1"/>
  <c r="G1706" i="2" s="1"/>
  <c r="G1707" i="2" a="1"/>
  <c r="G1707" i="2" s="1"/>
  <c r="G1708" i="2" a="1"/>
  <c r="G1708" i="2" s="1"/>
  <c r="G1709" i="2" a="1"/>
  <c r="G1709" i="2" s="1"/>
  <c r="G1711" i="2" a="1"/>
  <c r="G1711" i="2" s="1"/>
  <c r="I1712" i="2" a="1"/>
  <c r="I1712" i="2" s="1"/>
  <c r="I1714" i="2" a="1"/>
  <c r="I1714" i="2" s="1"/>
  <c r="I1715" i="2" a="1"/>
  <c r="I1715" i="2" s="1"/>
  <c r="I1716" i="2" a="1"/>
  <c r="I1716" i="2" s="1"/>
  <c r="I1717" i="2" a="1"/>
  <c r="I1717" i="2" s="1"/>
  <c r="I1718" i="2" a="1"/>
  <c r="I1718" i="2" s="1"/>
  <c r="I1719" i="2" a="1"/>
  <c r="I1719" i="2" s="1"/>
  <c r="I1721" i="2" a="1"/>
  <c r="I1721" i="2" s="1"/>
  <c r="H1723" i="2" a="1"/>
  <c r="H1723" i="2" s="1"/>
  <c r="H1725" i="2" a="1"/>
  <c r="H1725" i="2" s="1"/>
  <c r="H1726" i="2" a="1"/>
  <c r="H1726" i="2" s="1"/>
  <c r="H1727" i="2" a="1"/>
  <c r="H1727" i="2" s="1"/>
  <c r="H1728" i="2" a="1"/>
  <c r="H1728" i="2" s="1"/>
  <c r="H1729" i="2" a="1"/>
  <c r="H1729" i="2" s="1"/>
  <c r="H1730" i="2" a="1"/>
  <c r="H1730" i="2" s="1"/>
  <c r="H1732" i="2" a="1"/>
  <c r="H1732" i="2" s="1"/>
  <c r="G1734" i="2" a="1"/>
  <c r="G1734" i="2" s="1"/>
  <c r="G1736" i="2" a="1"/>
  <c r="G1736" i="2" s="1"/>
  <c r="G1737" i="2" a="1"/>
  <c r="G1737" i="2" s="1"/>
  <c r="G1738" i="2" a="1"/>
  <c r="G1738" i="2" s="1"/>
  <c r="G1739" i="2" a="1"/>
  <c r="G1739" i="2" s="1"/>
  <c r="G1740" i="2" a="1"/>
  <c r="G1740" i="2" s="1"/>
  <c r="G1741" i="2" a="1"/>
  <c r="G1741" i="2" s="1"/>
  <c r="G1743" i="2" a="1"/>
  <c r="G1743" i="2" s="1"/>
  <c r="I1744" i="2" a="1"/>
  <c r="I1744" i="2" s="1"/>
  <c r="G1747" i="2" a="1"/>
  <c r="G1747" i="2" s="1"/>
  <c r="G1748" i="2" a="1"/>
  <c r="G1748" i="2" s="1"/>
  <c r="G1749" i="2" a="1"/>
  <c r="G1749" i="2" s="1"/>
  <c r="G1750" i="2" a="1"/>
  <c r="G1750" i="2" s="1"/>
  <c r="H1752" i="2" a="1"/>
  <c r="H1752" i="2" s="1"/>
  <c r="H1753" i="2" a="1"/>
  <c r="H1753" i="2" s="1"/>
  <c r="H1754" i="2" a="1"/>
  <c r="H1754" i="2" s="1"/>
  <c r="H1755" i="2" a="1"/>
  <c r="H1755" i="2" s="1"/>
  <c r="I1757" i="2" a="1"/>
  <c r="I1757" i="2" s="1"/>
  <c r="I1758" i="2" a="1"/>
  <c r="I1758" i="2" s="1"/>
  <c r="I1759" i="2" a="1"/>
  <c r="I1759" i="2" s="1"/>
  <c r="I1760" i="2" a="1"/>
  <c r="I1760" i="2" s="1"/>
  <c r="G1763" i="2" a="1"/>
  <c r="G1763" i="2" s="1"/>
  <c r="G1764" i="2" a="1"/>
  <c r="G1764" i="2" s="1"/>
  <c r="G1765" i="2" a="1"/>
  <c r="G1765" i="2" s="1"/>
  <c r="G1766" i="2" a="1"/>
  <c r="G1766" i="2" s="1"/>
  <c r="H1767" i="2" a="1"/>
  <c r="H1767" i="2" s="1"/>
  <c r="H1768" i="2" a="1"/>
  <c r="H1768" i="2" s="1"/>
  <c r="H1769" i="2" a="1"/>
  <c r="H1769" i="2" s="1"/>
  <c r="H1771" i="2" a="1"/>
  <c r="H1771" i="2" s="1"/>
  <c r="I1772" i="2" a="1"/>
  <c r="I1772" i="2" s="1"/>
  <c r="G1775" i="2" a="1"/>
  <c r="G1775" i="2" s="1"/>
  <c r="I1776" i="2" a="1"/>
  <c r="I1776" i="2" s="1"/>
  <c r="G1779" i="2" a="1"/>
  <c r="G1779" i="2" s="1"/>
  <c r="G1780" i="2" a="1"/>
  <c r="G1780" i="2" s="1"/>
  <c r="G1781" i="2" a="1"/>
  <c r="G1781" i="2" s="1"/>
  <c r="G1782" i="2" a="1"/>
  <c r="G1782" i="2" s="1"/>
  <c r="H1783" i="2" a="1"/>
  <c r="H1783" i="2" s="1"/>
  <c r="I1785" i="2" a="1"/>
  <c r="I1785" i="2" s="1"/>
  <c r="I1786" i="2" a="1"/>
  <c r="I1786" i="2" s="1"/>
  <c r="I1787" i="2" a="1"/>
  <c r="I1787" i="2" s="1"/>
  <c r="G1789" i="2" a="1"/>
  <c r="G1789" i="2" s="1"/>
  <c r="G1790" i="2" a="1"/>
  <c r="G1790" i="2" s="1"/>
  <c r="H1792" i="2" a="1"/>
  <c r="H1792" i="2" s="1"/>
  <c r="H1793" i="2" a="1"/>
  <c r="H1793" i="2" s="1"/>
  <c r="H1794" i="2" a="1"/>
  <c r="H1794" i="2" s="1"/>
  <c r="H1795" i="2" a="1"/>
  <c r="H1795" i="2" s="1"/>
  <c r="I1797" i="2" a="1"/>
  <c r="I1797" i="2" s="1"/>
  <c r="I1798" i="2" a="1"/>
  <c r="I1798" i="2" s="1"/>
  <c r="I1799" i="2" a="1"/>
  <c r="I1799" i="2" s="1"/>
  <c r="I1800" i="2" a="1"/>
  <c r="I1800" i="2" s="1"/>
  <c r="G1803" i="2" a="1"/>
  <c r="G1803" i="2" s="1"/>
  <c r="G1804" i="2" a="1"/>
  <c r="G1804" i="2" s="1"/>
  <c r="H1805" i="2" a="1"/>
  <c r="H1805" i="2" s="1"/>
  <c r="H1806" i="2" a="1"/>
  <c r="H1806" i="2" s="1"/>
  <c r="I1807" i="2" a="1"/>
  <c r="I1807" i="2" s="1"/>
  <c r="I1808" i="2" a="1"/>
  <c r="I1808" i="2" s="1"/>
  <c r="G1810" i="2" a="1"/>
  <c r="G1810" i="2" s="1"/>
  <c r="H1812" i="2" a="1"/>
  <c r="H1812" i="2" s="1"/>
  <c r="I1813" i="2" a="1"/>
  <c r="I1813" i="2" s="1"/>
  <c r="I1814" i="2" a="1"/>
  <c r="I1814" i="2" s="1"/>
  <c r="I1816" i="2" a="1"/>
  <c r="I1816" i="2" s="1"/>
  <c r="G1818" i="2" a="1"/>
  <c r="G1818" i="2" s="1"/>
  <c r="G1819" i="2" a="1"/>
  <c r="G1819" i="2" s="1"/>
  <c r="G1820" i="2" a="1"/>
  <c r="G1820" i="2" s="1"/>
  <c r="H1821" i="2" a="1"/>
  <c r="H1821" i="2" s="1"/>
  <c r="H1822" i="2" a="1"/>
  <c r="H1822" i="2" s="1"/>
  <c r="H1823" i="2" a="1"/>
  <c r="H1823" i="2" s="1"/>
  <c r="I1825" i="2" a="1"/>
  <c r="I1825" i="2" s="1"/>
  <c r="I1826" i="2" a="1"/>
  <c r="I1826" i="2" s="1"/>
  <c r="I1827" i="2" a="1"/>
  <c r="I1827" i="2" s="1"/>
  <c r="I1828" i="2" a="1"/>
  <c r="I1828" i="2" s="1"/>
  <c r="G1831" i="2" a="1"/>
  <c r="G1831" i="2" s="1"/>
  <c r="G1832" i="2" a="1"/>
  <c r="G1832" i="2" s="1"/>
  <c r="G1833" i="2" a="1"/>
  <c r="G1833" i="2" s="1"/>
  <c r="G1834" i="2" a="1"/>
  <c r="G1834" i="2" s="1"/>
  <c r="H1836" i="2" a="1"/>
  <c r="H1836" i="2" s="1"/>
  <c r="H1837" i="2" a="1"/>
  <c r="H1837" i="2" s="1"/>
  <c r="H1838" i="2" a="1"/>
  <c r="H1838" i="2" s="1"/>
  <c r="H1839" i="2" a="1"/>
  <c r="H1839" i="2" s="1"/>
  <c r="H1155" i="2" a="1"/>
  <c r="H1155" i="2" s="1"/>
  <c r="I1173" i="2" a="1"/>
  <c r="I1173" i="2" s="1"/>
  <c r="G1193" i="2" a="1"/>
  <c r="G1193" i="2" s="1"/>
  <c r="H1212" i="2" a="1"/>
  <c r="H1212" i="2" s="1"/>
  <c r="H1231" i="2" a="1"/>
  <c r="H1231" i="2" s="1"/>
  <c r="G1250" i="2" a="1"/>
  <c r="G1250" i="2" s="1"/>
  <c r="G1269" i="2" a="1"/>
  <c r="G1269" i="2" s="1"/>
  <c r="G1286" i="2" a="1"/>
  <c r="G1286" i="2" s="1"/>
  <c r="G1303" i="2" a="1"/>
  <c r="G1303" i="2" s="1"/>
  <c r="H1320" i="2" a="1"/>
  <c r="H1320" i="2" s="1"/>
  <c r="H1337" i="2" a="1"/>
  <c r="H1337" i="2" s="1"/>
  <c r="H1354" i="2" a="1"/>
  <c r="H1354" i="2" s="1"/>
  <c r="G1372" i="2" a="1"/>
  <c r="G1372" i="2" s="1"/>
  <c r="H1389" i="2" a="1"/>
  <c r="H1389" i="2" s="1"/>
  <c r="I1406" i="2" a="1"/>
  <c r="I1406" i="2" s="1"/>
  <c r="H1424" i="2" a="1"/>
  <c r="H1424" i="2" s="1"/>
  <c r="G1442" i="2" a="1"/>
  <c r="G1442" i="2" s="1"/>
  <c r="H1471" i="2" a="1"/>
  <c r="H1471" i="2" s="1"/>
  <c r="I1475" i="2" a="1"/>
  <c r="I1475" i="2" s="1"/>
  <c r="H1480" i="2" a="1"/>
  <c r="H1480" i="2" s="1"/>
  <c r="I1484" i="2" a="1"/>
  <c r="I1484" i="2" s="1"/>
  <c r="H1489" i="2" a="1"/>
  <c r="H1489" i="2" s="1"/>
  <c r="I1493" i="2" a="1"/>
  <c r="I1493" i="2" s="1"/>
  <c r="G1507" i="2" a="1"/>
  <c r="G1507" i="2" s="1"/>
  <c r="H1509" i="2" a="1"/>
  <c r="H1509" i="2" s="1"/>
  <c r="G1514" i="2" a="1"/>
  <c r="G1514" i="2" s="1"/>
  <c r="H1518" i="2" a="1"/>
  <c r="H1518" i="2" s="1"/>
  <c r="G1520" i="2" a="1"/>
  <c r="G1520" i="2" s="1"/>
  <c r="I1522" i="2" a="1"/>
  <c r="I1522" i="2" s="1"/>
  <c r="H1525" i="2" a="1"/>
  <c r="H1525" i="2" s="1"/>
  <c r="I1526" i="2" a="1"/>
  <c r="I1526" i="2" s="1"/>
  <c r="H1528" i="2" a="1"/>
  <c r="H1528" i="2" s="1"/>
  <c r="I1529" i="2" a="1"/>
  <c r="I1529" i="2" s="1"/>
  <c r="G1531" i="2" a="1"/>
  <c r="G1531" i="2" s="1"/>
  <c r="H1534" i="2" a="1"/>
  <c r="H1534" i="2" s="1"/>
  <c r="G1537" i="2" a="1"/>
  <c r="G1537" i="2" s="1"/>
  <c r="H1538" i="2" a="1"/>
  <c r="H1538" i="2" s="1"/>
  <c r="G1540" i="2" a="1"/>
  <c r="G1540" i="2" s="1"/>
  <c r="G1543" i="2" a="1"/>
  <c r="G1543" i="2" s="1"/>
  <c r="G1544" i="2" a="1"/>
  <c r="G1544" i="2" s="1"/>
  <c r="I1545" i="2" a="1"/>
  <c r="I1545" i="2" s="1"/>
  <c r="I1546" i="2" a="1"/>
  <c r="I1546" i="2" s="1"/>
  <c r="G1548" i="2" a="1"/>
  <c r="G1548" i="2" s="1"/>
  <c r="H1549" i="2" a="1"/>
  <c r="H1549" i="2" s="1"/>
  <c r="I1550" i="2" a="1"/>
  <c r="I1550" i="2" s="1"/>
  <c r="H1553" i="2" a="1"/>
  <c r="H1553" i="2" s="1"/>
  <c r="I1555" i="2" a="1"/>
  <c r="I1555" i="2" s="1"/>
  <c r="H1558" i="2" a="1"/>
  <c r="H1558" i="2" s="1"/>
  <c r="I1559" i="2" a="1"/>
  <c r="I1559" i="2" s="1"/>
  <c r="I1561" i="2" a="1"/>
  <c r="I1561" i="2" s="1"/>
  <c r="H1563" i="2" a="1"/>
  <c r="H1563" i="2" s="1"/>
  <c r="I1564" i="2" a="1"/>
  <c r="I1564" i="2" s="1"/>
  <c r="I1565" i="2" a="1"/>
  <c r="I1565" i="2" s="1"/>
  <c r="I1566" i="2" a="1"/>
  <c r="I1566" i="2" s="1"/>
  <c r="I1568" i="2" a="1"/>
  <c r="I1568" i="2" s="1"/>
  <c r="I1570" i="2" a="1"/>
  <c r="I1570" i="2" s="1"/>
  <c r="I1571" i="2" a="1"/>
  <c r="I1571" i="2" s="1"/>
  <c r="I1572" i="2" a="1"/>
  <c r="I1572" i="2" s="1"/>
  <c r="I1573" i="2" a="1"/>
  <c r="I1573" i="2" s="1"/>
  <c r="I1574" i="2" a="1"/>
  <c r="I1574" i="2" s="1"/>
  <c r="I1575" i="2" a="1"/>
  <c r="I1575" i="2" s="1"/>
  <c r="I1577" i="2" a="1"/>
  <c r="I1577" i="2" s="1"/>
  <c r="H1579" i="2" a="1"/>
  <c r="H1579" i="2" s="1"/>
  <c r="H1581" i="2" a="1"/>
  <c r="H1581" i="2" s="1"/>
  <c r="H1582" i="2" a="1"/>
  <c r="H1582" i="2" s="1"/>
  <c r="H1583" i="2" a="1"/>
  <c r="H1583" i="2" s="1"/>
  <c r="H1584" i="2" a="1"/>
  <c r="H1584" i="2" s="1"/>
  <c r="H1585" i="2" a="1"/>
  <c r="H1585" i="2" s="1"/>
  <c r="H1587" i="2" a="1"/>
  <c r="H1587" i="2" s="1"/>
  <c r="I1588" i="2" a="1"/>
  <c r="I1588" i="2" s="1"/>
  <c r="I1589" i="2" a="1"/>
  <c r="I1589" i="2" s="1"/>
  <c r="I1590" i="2" a="1"/>
  <c r="I1590" i="2" s="1"/>
  <c r="I1592" i="2" a="1"/>
  <c r="I1592" i="2" s="1"/>
  <c r="G1594" i="2" a="1"/>
  <c r="G1594" i="2" s="1"/>
  <c r="G1595" i="2" a="1"/>
  <c r="G1595" i="2" s="1"/>
  <c r="G1596" i="2" a="1"/>
  <c r="G1596" i="2" s="1"/>
  <c r="G1597" i="2" a="1"/>
  <c r="G1597" i="2" s="1"/>
  <c r="G1599" i="2" a="1"/>
  <c r="G1599" i="2" s="1"/>
  <c r="I1600" i="2" a="1"/>
  <c r="I1600" i="2" s="1"/>
  <c r="I1602" i="2" a="1"/>
  <c r="I1602" i="2" s="1"/>
  <c r="I1603" i="2" a="1"/>
  <c r="I1603" i="2" s="1"/>
  <c r="I1604" i="2" a="1"/>
  <c r="I1604" i="2" s="1"/>
  <c r="I1605" i="2" a="1"/>
  <c r="I1605" i="2" s="1"/>
  <c r="I1606" i="2" a="1"/>
  <c r="I1606" i="2" s="1"/>
  <c r="I1607" i="2" a="1"/>
  <c r="I1607" i="2" s="1"/>
  <c r="I1609" i="2" a="1"/>
  <c r="I1609" i="2" s="1"/>
  <c r="H1611" i="2" a="1"/>
  <c r="H1611" i="2" s="1"/>
  <c r="H1613" i="2" a="1"/>
  <c r="H1613" i="2" s="1"/>
  <c r="H1614" i="2" a="1"/>
  <c r="H1614" i="2" s="1"/>
  <c r="H1615" i="2" a="1"/>
  <c r="H1615" i="2" s="1"/>
  <c r="H1616" i="2" a="1"/>
  <c r="H1616" i="2" s="1"/>
  <c r="H1617" i="2" a="1"/>
  <c r="H1617" i="2" s="1"/>
  <c r="H1618" i="2" a="1"/>
  <c r="H1618" i="2" s="1"/>
  <c r="H1620" i="2" a="1"/>
  <c r="H1620" i="2" s="1"/>
  <c r="G1622" i="2" a="1"/>
  <c r="G1622" i="2" s="1"/>
  <c r="G1624" i="2" a="1"/>
  <c r="G1624" i="2" s="1"/>
  <c r="G1625" i="2" a="1"/>
  <c r="G1625" i="2" s="1"/>
  <c r="G1626" i="2" a="1"/>
  <c r="G1626" i="2" s="1"/>
  <c r="G1627" i="2" a="1"/>
  <c r="G1627" i="2" s="1"/>
  <c r="G1628" i="2" a="1"/>
  <c r="G1628" i="2" s="1"/>
  <c r="G1630" i="2" a="1"/>
  <c r="G1630" i="2" s="1"/>
  <c r="G1632" i="2" a="1"/>
  <c r="G1632" i="2" s="1"/>
  <c r="G1633" i="2" a="1"/>
  <c r="G1633" i="2" s="1"/>
  <c r="G1634" i="2" a="1"/>
  <c r="G1634" i="2" s="1"/>
  <c r="G1635" i="2" a="1"/>
  <c r="G1635" i="2" s="1"/>
  <c r="G1636" i="2" a="1"/>
  <c r="G1636" i="2" s="1"/>
  <c r="G1637" i="2" a="1"/>
  <c r="G1637" i="2" s="1"/>
  <c r="G1639" i="2" a="1"/>
  <c r="G1639" i="2" s="1"/>
  <c r="I1640" i="2" a="1"/>
  <c r="I1640" i="2" s="1"/>
  <c r="I1642" i="2" a="1"/>
  <c r="I1642" i="2" s="1"/>
  <c r="I1643" i="2" a="1"/>
  <c r="I1643" i="2" s="1"/>
  <c r="I1644" i="2" a="1"/>
  <c r="I1644" i="2" s="1"/>
  <c r="I1645" i="2" a="1"/>
  <c r="I1645" i="2" s="1"/>
  <c r="I1646" i="2" a="1"/>
  <c r="I1646" i="2" s="1"/>
  <c r="I1647" i="2" a="1"/>
  <c r="I1647" i="2" s="1"/>
  <c r="I1649" i="2" a="1"/>
  <c r="I1649" i="2" s="1"/>
  <c r="H1651" i="2" a="1"/>
  <c r="H1651" i="2" s="1"/>
  <c r="H1653" i="2" a="1"/>
  <c r="H1653" i="2" s="1"/>
  <c r="H1654" i="2" a="1"/>
  <c r="H1654" i="2" s="1"/>
  <c r="H1655" i="2" a="1"/>
  <c r="H1655" i="2" s="1"/>
  <c r="H1656" i="2" a="1"/>
  <c r="H1656" i="2" s="1"/>
  <c r="H1657" i="2" a="1"/>
  <c r="H1657" i="2" s="1"/>
  <c r="H1658" i="2" a="1"/>
  <c r="H1658" i="2" s="1"/>
  <c r="H1660" i="2" a="1"/>
  <c r="H1660" i="2" s="1"/>
  <c r="G1662" i="2" a="1"/>
  <c r="G1662" i="2" s="1"/>
  <c r="G1664" i="2" a="1"/>
  <c r="G1664" i="2" s="1"/>
  <c r="G1665" i="2" a="1"/>
  <c r="G1665" i="2" s="1"/>
  <c r="G1666" i="2" a="1"/>
  <c r="G1666" i="2" s="1"/>
  <c r="G1667" i="2" a="1"/>
  <c r="G1667" i="2" s="1"/>
  <c r="G1668" i="2" a="1"/>
  <c r="G1668" i="2" s="1"/>
  <c r="G1669" i="2" a="1"/>
  <c r="G1669" i="2" s="1"/>
  <c r="G1671" i="2" a="1"/>
  <c r="G1671" i="2" s="1"/>
  <c r="I1672" i="2" a="1"/>
  <c r="I1672" i="2" s="1"/>
  <c r="I1674" i="2" a="1"/>
  <c r="I1674" i="2" s="1"/>
  <c r="I1675" i="2" a="1"/>
  <c r="I1675" i="2" s="1"/>
  <c r="I1676" i="2" a="1"/>
  <c r="I1676" i="2" s="1"/>
  <c r="I1677" i="2" a="1"/>
  <c r="I1677" i="2" s="1"/>
  <c r="I1678" i="2" a="1"/>
  <c r="I1678" i="2" s="1"/>
  <c r="I1679" i="2" a="1"/>
  <c r="I1679" i="2" s="1"/>
  <c r="I1681" i="2" a="1"/>
  <c r="I1681" i="2" s="1"/>
  <c r="I1682" i="2" a="1"/>
  <c r="I1682" i="2" s="1"/>
  <c r="I1683" i="2" a="1"/>
  <c r="I1683" i="2" s="1"/>
  <c r="I1684" i="2" a="1"/>
  <c r="I1684" i="2" s="1"/>
  <c r="I1685" i="2" a="1"/>
  <c r="I1685" i="2" s="1"/>
  <c r="I1686" i="2" a="1"/>
  <c r="I1686" i="2" s="1"/>
  <c r="I1687" i="2" a="1"/>
  <c r="I1687" i="2" s="1"/>
  <c r="I1689" i="2" a="1"/>
  <c r="I1689" i="2" s="1"/>
  <c r="H1691" i="2" a="1"/>
  <c r="H1691" i="2" s="1"/>
  <c r="H1693" i="2" a="1"/>
  <c r="H1693" i="2" s="1"/>
  <c r="H1694" i="2" a="1"/>
  <c r="H1694" i="2" s="1"/>
  <c r="I1695" i="2" a="1"/>
  <c r="I1695" i="2" s="1"/>
  <c r="I1697" i="2" a="1"/>
  <c r="I1697" i="2" s="1"/>
  <c r="I1698" i="2" a="1"/>
  <c r="I1698" i="2" s="1"/>
  <c r="I1699" i="2" a="1"/>
  <c r="I1699" i="2" s="1"/>
  <c r="G1701" i="2" a="1"/>
  <c r="G1701" i="2" s="1"/>
  <c r="G1703" i="2" a="1"/>
  <c r="G1703" i="2" s="1"/>
  <c r="G1704" i="2" a="1"/>
  <c r="G1704" i="2" s="1"/>
  <c r="G1705" i="2" a="1"/>
  <c r="G1705" i="2" s="1"/>
  <c r="H1706" i="2" a="1"/>
  <c r="H1706" i="2" s="1"/>
  <c r="H1708" i="2" a="1"/>
  <c r="H1708" i="2" s="1"/>
  <c r="G1710" i="2" a="1"/>
  <c r="G1710" i="2" s="1"/>
  <c r="G1712" i="2" a="1"/>
  <c r="G1712" i="2" s="1"/>
  <c r="G1713" i="2" a="1"/>
  <c r="G1713" i="2" s="1"/>
  <c r="G1714" i="2" a="1"/>
  <c r="G1714" i="2" s="1"/>
  <c r="G1715" i="2" a="1"/>
  <c r="G1715" i="2" s="1"/>
  <c r="G1716" i="2" a="1"/>
  <c r="G1716" i="2" s="1"/>
  <c r="G1717" i="2" a="1"/>
  <c r="G1717" i="2" s="1"/>
  <c r="G1719" i="2" a="1"/>
  <c r="G1719" i="2" s="1"/>
  <c r="I1720" i="2" a="1"/>
  <c r="I1720" i="2" s="1"/>
  <c r="I1722" i="2" a="1"/>
  <c r="I1722" i="2" s="1"/>
  <c r="I1723" i="2" a="1"/>
  <c r="I1723" i="2" s="1"/>
  <c r="I1724" i="2" a="1"/>
  <c r="I1724" i="2" s="1"/>
  <c r="I1725" i="2" a="1"/>
  <c r="I1725" i="2" s="1"/>
  <c r="I1726" i="2" a="1"/>
  <c r="I1726" i="2" s="1"/>
  <c r="I1727" i="2" a="1"/>
  <c r="I1727" i="2" s="1"/>
  <c r="I1729" i="2" a="1"/>
  <c r="I1729" i="2" s="1"/>
  <c r="H1731" i="2" a="1"/>
  <c r="H1731" i="2" s="1"/>
  <c r="H1733" i="2" a="1"/>
  <c r="H1733" i="2" s="1"/>
  <c r="H1734" i="2" a="1"/>
  <c r="H1734" i="2" s="1"/>
  <c r="H1735" i="2" a="1"/>
  <c r="H1735" i="2" s="1"/>
  <c r="H1736" i="2" a="1"/>
  <c r="H1736" i="2" s="1"/>
  <c r="H1737" i="2" a="1"/>
  <c r="H1737" i="2" s="1"/>
  <c r="H1738" i="2" a="1"/>
  <c r="H1738" i="2" s="1"/>
  <c r="H1740" i="2" a="1"/>
  <c r="H1740" i="2" s="1"/>
  <c r="G1742" i="2" a="1"/>
  <c r="G1742" i="2" s="1"/>
  <c r="G1744" i="2" a="1"/>
  <c r="G1744" i="2" s="1"/>
  <c r="G1745" i="2" a="1"/>
  <c r="G1745" i="2" s="1"/>
  <c r="G1746" i="2" a="1"/>
  <c r="G1746" i="2" s="1"/>
  <c r="H1748" i="2" a="1"/>
  <c r="H1748" i="2" s="1"/>
  <c r="H1749" i="2" a="1"/>
  <c r="H1749" i="2" s="1"/>
  <c r="H1750" i="2" a="1"/>
  <c r="H1750" i="2" s="1"/>
  <c r="H1751" i="2" a="1"/>
  <c r="H1751" i="2" s="1"/>
  <c r="I1753" i="2" a="1"/>
  <c r="I1753" i="2" s="1"/>
  <c r="I1754" i="2" a="1"/>
  <c r="I1754" i="2" s="1"/>
  <c r="I1755" i="2" a="1"/>
  <c r="I1755" i="2" s="1"/>
  <c r="I1756" i="2" a="1"/>
  <c r="I1756" i="2" s="1"/>
  <c r="G1759" i="2" a="1"/>
  <c r="G1759" i="2" s="1"/>
  <c r="G1760" i="2" a="1"/>
  <c r="G1760" i="2" s="1"/>
  <c r="G1761" i="2" a="1"/>
  <c r="G1761" i="2" s="1"/>
  <c r="G1762" i="2" a="1"/>
  <c r="G1762" i="2" s="1"/>
  <c r="H1764" i="2" a="1"/>
  <c r="H1764" i="2" s="1"/>
  <c r="H1765" i="2" a="1"/>
  <c r="H1765" i="2" s="1"/>
  <c r="H1766" i="2" a="1"/>
  <c r="H1766" i="2" s="1"/>
  <c r="I1767" i="2" a="1"/>
  <c r="I1767" i="2" s="1"/>
  <c r="I1769" i="2" a="1"/>
  <c r="I1769" i="2" s="1"/>
  <c r="I1770" i="2" a="1"/>
  <c r="I1770" i="2" s="1"/>
  <c r="I1771" i="2" a="1"/>
  <c r="I1771" i="2" s="1"/>
  <c r="G1773" i="2" a="1"/>
  <c r="G1773" i="2" s="1"/>
  <c r="G1774" i="2" a="1"/>
  <c r="G1774" i="2" s="1"/>
  <c r="G1776" i="2" a="1"/>
  <c r="G1776" i="2" s="1"/>
  <c r="G1777" i="2" a="1"/>
  <c r="G1777" i="2" s="1"/>
  <c r="G1778" i="2" a="1"/>
  <c r="G1778" i="2" s="1"/>
  <c r="H1780" i="2" a="1"/>
  <c r="H1780" i="2" s="1"/>
  <c r="H1781" i="2" a="1"/>
  <c r="H1781" i="2" s="1"/>
  <c r="H1782" i="2" a="1"/>
  <c r="H1782" i="2" s="1"/>
  <c r="I1783" i="2" a="1"/>
  <c r="I1783" i="2" s="1"/>
  <c r="I1784" i="2" a="1"/>
  <c r="I1784" i="2" s="1"/>
  <c r="G1787" i="2" a="1"/>
  <c r="G1787" i="2" s="1"/>
  <c r="G1788" i="2" a="1"/>
  <c r="G1788" i="2" s="1"/>
  <c r="H1789" i="2" a="1"/>
  <c r="H1789" i="2" s="1"/>
  <c r="H1790" i="2" a="1"/>
  <c r="H1790" i="2" s="1"/>
  <c r="H1791" i="2" a="1"/>
  <c r="H1791" i="2" s="1"/>
  <c r="I1793" i="2" a="1"/>
  <c r="I1793" i="2" s="1"/>
  <c r="I1794" i="2" a="1"/>
  <c r="I1794" i="2" s="1"/>
  <c r="I1795" i="2" a="1"/>
  <c r="I1795" i="2" s="1"/>
  <c r="I1796" i="2" a="1"/>
  <c r="I1796" i="2" s="1"/>
  <c r="G1799" i="2" a="1"/>
  <c r="G1799" i="2" s="1"/>
  <c r="G1800" i="2" a="1"/>
  <c r="G1800" i="2" s="1"/>
  <c r="G1801" i="2" a="1"/>
  <c r="G1801" i="2" s="1"/>
  <c r="G1802" i="2" a="1"/>
  <c r="G1802" i="2" s="1"/>
  <c r="H1804" i="2" a="1"/>
  <c r="H1804" i="2" s="1"/>
  <c r="I1805" i="2" a="1"/>
  <c r="I1805" i="2" s="1"/>
  <c r="I1806" i="2" a="1"/>
  <c r="I1806" i="2" s="1"/>
  <c r="G1808" i="2" a="1"/>
  <c r="G1808" i="2" s="1"/>
  <c r="G1809" i="2" a="1"/>
  <c r="G1809" i="2" s="1"/>
  <c r="H1810" i="2" a="1"/>
  <c r="H1810" i="2" s="1"/>
  <c r="H1811" i="2" a="1"/>
  <c r="H1811" i="2" s="1"/>
  <c r="I1812" i="2" a="1"/>
  <c r="I1812" i="2" s="1"/>
  <c r="G1815" i="2" a="1"/>
  <c r="G1815" i="2" s="1"/>
  <c r="G1816" i="2" a="1"/>
  <c r="G1816" i="2" s="1"/>
  <c r="G1817" i="2" a="1"/>
  <c r="G1817" i="2" s="1"/>
  <c r="H1818" i="2" a="1"/>
  <c r="H1818" i="2" s="1"/>
  <c r="H1820" i="2" a="1"/>
  <c r="H1820" i="2" s="1"/>
  <c r="I1821" i="2" a="1"/>
  <c r="I1821" i="2" s="1"/>
  <c r="I1822" i="2" a="1"/>
  <c r="I1822" i="2" s="1"/>
  <c r="I1823" i="2" a="1"/>
  <c r="I1823" i="2" s="1"/>
  <c r="I1824" i="2" a="1"/>
  <c r="I1824" i="2" s="1"/>
  <c r="G1827" i="2" a="1"/>
  <c r="G1827" i="2" s="1"/>
  <c r="G1828" i="2" a="1"/>
  <c r="G1828" i="2" s="1"/>
  <c r="G1829" i="2" a="1"/>
  <c r="G1829" i="2" s="1"/>
  <c r="G1830" i="2" a="1"/>
  <c r="G1830" i="2" s="1"/>
  <c r="H1832" i="2" a="1"/>
  <c r="H1832" i="2" s="1"/>
  <c r="H1833" i="2" a="1"/>
  <c r="H1833" i="2" s="1"/>
  <c r="H1834" i="2" a="1"/>
  <c r="H1834" i="2" s="1"/>
  <c r="H1835" i="2" a="1"/>
  <c r="H1835" i="2" s="1"/>
  <c r="I1837" i="2" a="1"/>
  <c r="I1837" i="2" s="1"/>
  <c r="I1838" i="2" a="1"/>
  <c r="I1838" i="2" s="1"/>
  <c r="I1839" i="2" a="1"/>
  <c r="I1839" i="2" s="1"/>
  <c r="I1840" i="2" a="1"/>
  <c r="I1840" i="2" s="1"/>
  <c r="G1843" i="2" a="1"/>
  <c r="G1843" i="2" s="1"/>
  <c r="G1844" i="2" a="1"/>
  <c r="G1844" i="2" s="1"/>
  <c r="G1845" i="2" a="1"/>
  <c r="G1845" i="2" s="1"/>
  <c r="G1846" i="2" a="1"/>
  <c r="G1846" i="2" s="1"/>
  <c r="H1847" i="2" a="1"/>
  <c r="H1847" i="2" s="1"/>
  <c r="I1849" i="2" a="1"/>
  <c r="I1849" i="2" s="1"/>
  <c r="G1851" i="2" a="1"/>
  <c r="G1851" i="2" s="1"/>
  <c r="G1852" i="2" a="1"/>
  <c r="G1852" i="2" s="1"/>
  <c r="H1853" i="2" a="1"/>
  <c r="H1853" i="2" s="1"/>
  <c r="H1854" i="2" a="1"/>
  <c r="H1854" i="2" s="1"/>
  <c r="H1855" i="2" a="1"/>
  <c r="H1855" i="2" s="1"/>
  <c r="I1857" i="2" a="1"/>
  <c r="I1857" i="2" s="1"/>
  <c r="I1858" i="2" a="1"/>
  <c r="I1858" i="2" s="1"/>
  <c r="I1859" i="2" a="1"/>
  <c r="I1859" i="2" s="1"/>
  <c r="I1860" i="2" a="1"/>
  <c r="I1860" i="2" s="1"/>
  <c r="I1862" i="2" a="1"/>
  <c r="I1862" i="2" s="1"/>
  <c r="G1864" i="2" a="1"/>
  <c r="G1864" i="2" s="1"/>
  <c r="G1865" i="2" a="1"/>
  <c r="G1865" i="2" s="1"/>
  <c r="G1866" i="2" a="1"/>
  <c r="G1866" i="2" s="1"/>
  <c r="H1867" i="2" a="1"/>
  <c r="H1867" i="2" s="1"/>
  <c r="H1868" i="2" a="1"/>
  <c r="H1868" i="2" s="1"/>
  <c r="H1869" i="2" a="1"/>
  <c r="H1869" i="2" s="1"/>
  <c r="I1870" i="2" a="1"/>
  <c r="I1870" i="2" s="1"/>
  <c r="G1873" i="2" a="1"/>
  <c r="G1873" i="2" s="1"/>
  <c r="H1874" i="2" a="1"/>
  <c r="H1874" i="2" s="1"/>
  <c r="I1875" i="2" a="1"/>
  <c r="I1875" i="2" s="1"/>
  <c r="I1876" i="2" a="1"/>
  <c r="I1876" i="2" s="1"/>
  <c r="G1879" i="2" a="1"/>
  <c r="G1879" i="2" s="1"/>
  <c r="H1880" i="2" a="1"/>
  <c r="H1880" i="2" s="1"/>
  <c r="H1881" i="2" a="1"/>
  <c r="H1881" i="2" s="1"/>
  <c r="H1882" i="2" a="1"/>
  <c r="H1882" i="2" s="1"/>
  <c r="I1883" i="2" a="1"/>
  <c r="I1883" i="2" s="1"/>
  <c r="G1885" i="2" a="1"/>
  <c r="G1885" i="2" s="1"/>
  <c r="G1886" i="2" a="1"/>
  <c r="G1886" i="2" s="1"/>
  <c r="H1887" i="2" a="1"/>
  <c r="H1887" i="2" s="1"/>
  <c r="I1889" i="2" a="1"/>
  <c r="I1889" i="2" s="1"/>
  <c r="G1891" i="2" a="1"/>
  <c r="G1891" i="2" s="1"/>
  <c r="H1892" i="2" a="1"/>
  <c r="H1892" i="2" s="1"/>
  <c r="I1893" i="2" a="1"/>
  <c r="I1893" i="2" s="1"/>
  <c r="H1895" i="2" a="1"/>
  <c r="H1895" i="2" s="1"/>
  <c r="I1897" i="2" a="1"/>
  <c r="I1897" i="2" s="1"/>
  <c r="I1898" i="2" a="1"/>
  <c r="I1898" i="2" s="1"/>
  <c r="I1899" i="2" a="1"/>
  <c r="I1899" i="2" s="1"/>
  <c r="I1900" i="2" a="1"/>
  <c r="I1900" i="2" s="1"/>
  <c r="G1903" i="2" a="1"/>
  <c r="G1903" i="2" s="1"/>
  <c r="G1904" i="2" a="1"/>
  <c r="G1904" i="2" s="1"/>
  <c r="G1905" i="2" a="1"/>
  <c r="G1905" i="2" s="1"/>
  <c r="G1906" i="2" a="1"/>
  <c r="G1906" i="2" s="1"/>
  <c r="H1907" i="2" a="1"/>
  <c r="H1907" i="2" s="1"/>
  <c r="I1909" i="2" a="1"/>
  <c r="I1909" i="2" s="1"/>
  <c r="G1911" i="2" a="1"/>
  <c r="G1911" i="2" s="1"/>
  <c r="G1912" i="2" a="1"/>
  <c r="G1912" i="2" s="1"/>
  <c r="H1913" i="2" a="1"/>
  <c r="H1913" i="2" s="1"/>
  <c r="H1914" i="2" a="1"/>
  <c r="H1914" i="2" s="1"/>
  <c r="H1915" i="2" a="1"/>
  <c r="H1915" i="2" s="1"/>
  <c r="H1917" i="2" a="1"/>
  <c r="H1917" i="2" s="1"/>
  <c r="H1918" i="2" a="1"/>
  <c r="H1918" i="2" s="1"/>
  <c r="H1919" i="2" a="1"/>
  <c r="H1919" i="2" s="1"/>
  <c r="I1921" i="2" a="1"/>
  <c r="I1921" i="2" s="1"/>
  <c r="I1922" i="2" a="1"/>
  <c r="I1922" i="2" s="1"/>
  <c r="G1924" i="2" a="1"/>
  <c r="G1924" i="2" s="1"/>
  <c r="G1925" i="2" a="1"/>
  <c r="G1925" i="2" s="1"/>
  <c r="G1926" i="2" a="1"/>
  <c r="G1926" i="2" s="1"/>
  <c r="G1928" i="2" a="1"/>
  <c r="G1928" i="2" s="1"/>
  <c r="H1929" i="2" a="1"/>
  <c r="H1929" i="2" s="1"/>
  <c r="H1930" i="2" a="1"/>
  <c r="H1930" i="2" s="1"/>
  <c r="H1932" i="2" a="1"/>
  <c r="H1932" i="2" s="1"/>
  <c r="H1933" i="2" a="1"/>
  <c r="H1933" i="2" s="1"/>
  <c r="H1934" i="2" a="1"/>
  <c r="H1934" i="2" s="1"/>
  <c r="H1935" i="2" a="1"/>
  <c r="H1935" i="2" s="1"/>
  <c r="I1937" i="2" a="1"/>
  <c r="I1937" i="2" s="1"/>
  <c r="I1938" i="2" a="1"/>
  <c r="I1938" i="2" s="1"/>
  <c r="I1939" i="2" a="1"/>
  <c r="I1939" i="2" s="1"/>
  <c r="G1941" i="2" a="1"/>
  <c r="G1941" i="2" s="1"/>
  <c r="H1942" i="2" a="1"/>
  <c r="H1942" i="2" s="1"/>
  <c r="I1943" i="2" a="1"/>
  <c r="I1943" i="2" s="1"/>
  <c r="I1944" i="2" a="1"/>
  <c r="I1944" i="2" s="1"/>
  <c r="G1947" i="2" a="1"/>
  <c r="G1947" i="2" s="1"/>
  <c r="G1948" i="2" a="1"/>
  <c r="G1948" i="2" s="1"/>
  <c r="H1949" i="2" a="1"/>
  <c r="H1949" i="2" s="1"/>
  <c r="H1950" i="2" a="1"/>
  <c r="H1950" i="2" s="1"/>
  <c r="H1951" i="2" a="1"/>
  <c r="H1951" i="2" s="1"/>
  <c r="I1953" i="2" a="1"/>
  <c r="I1953" i="2" s="1"/>
  <c r="I1954" i="2" a="1"/>
  <c r="I1954" i="2" s="1"/>
  <c r="I1955" i="2" a="1"/>
  <c r="I1955" i="2" s="1"/>
  <c r="G1957" i="2" a="1"/>
  <c r="G1957" i="2" s="1"/>
  <c r="H1958" i="2" a="1"/>
  <c r="H1958" i="2" s="1"/>
  <c r="I1959" i="2" a="1"/>
  <c r="I1959" i="2" s="1"/>
  <c r="G1961" i="2" a="1"/>
  <c r="G1961" i="2" s="1"/>
  <c r="G1962" i="2" a="1"/>
  <c r="G1962" i="2" s="1"/>
  <c r="H1963" i="2" a="1"/>
  <c r="H1963" i="2" s="1"/>
  <c r="H1964" i="2" a="1"/>
  <c r="H1964" i="2" s="1"/>
  <c r="I1965" i="2" a="1"/>
  <c r="I1965" i="2" s="1"/>
  <c r="I1967" i="2" a="1"/>
  <c r="I1967" i="2" s="1"/>
  <c r="I1968" i="2" a="1"/>
  <c r="I1968" i="2" s="1"/>
  <c r="G1970" i="2" a="1"/>
  <c r="G1970" i="2" s="1"/>
  <c r="H1971" i="2" a="1"/>
  <c r="H1971" i="2" s="1"/>
  <c r="I1972" i="2" a="1"/>
  <c r="I1972" i="2" s="1"/>
  <c r="G1974" i="2" a="1"/>
  <c r="G1974" i="2" s="1"/>
  <c r="H1975" i="2" a="1"/>
  <c r="H1975" i="2" s="1"/>
  <c r="I1976" i="2" a="1"/>
  <c r="I1976" i="2" s="1"/>
  <c r="G1978" i="2" a="1"/>
  <c r="G1978" i="2" s="1"/>
  <c r="H1979" i="2" a="1"/>
  <c r="H1979" i="2" s="1"/>
  <c r="I1980" i="2" a="1"/>
  <c r="I1980" i="2" s="1"/>
  <c r="G1982" i="2" a="1"/>
  <c r="G1982" i="2" s="1"/>
  <c r="H1983" i="2" a="1"/>
  <c r="H1983" i="2" s="1"/>
  <c r="I1984" i="2" a="1"/>
  <c r="I1984" i="2" s="1"/>
  <c r="G1986" i="2" a="1"/>
  <c r="G1986" i="2" s="1"/>
  <c r="H1987" i="2" a="1"/>
  <c r="H1987" i="2" s="1"/>
  <c r="I1988" i="2" a="1"/>
  <c r="I1988" i="2" s="1"/>
  <c r="G1990" i="2" a="1"/>
  <c r="G1990" i="2" s="1"/>
  <c r="H1991" i="2" a="1"/>
  <c r="H1991" i="2" s="1"/>
  <c r="I1992" i="2" a="1"/>
  <c r="I1992" i="2" s="1"/>
  <c r="G1994" i="2" a="1"/>
  <c r="G1994" i="2" s="1"/>
  <c r="H1995" i="2" a="1"/>
  <c r="H1995" i="2" s="1"/>
  <c r="I1996" i="2" a="1"/>
  <c r="I1996" i="2" s="1"/>
  <c r="G1998" i="2" a="1"/>
  <c r="G1998" i="2" s="1"/>
  <c r="H1999" i="2" a="1"/>
  <c r="H1999" i="2" s="1"/>
  <c r="I2000" i="2" a="1"/>
  <c r="I2000" i="2" s="1"/>
  <c r="G2002" i="2" a="1"/>
  <c r="G2002" i="2" s="1"/>
  <c r="H2003" i="2" a="1"/>
  <c r="H2003" i="2" s="1"/>
  <c r="I2004" i="2" a="1"/>
  <c r="I2004" i="2" s="1"/>
  <c r="G2006" i="2" a="1"/>
  <c r="G2006" i="2" s="1"/>
  <c r="H2007" i="2" a="1"/>
  <c r="H2007" i="2" s="1"/>
  <c r="I2008" i="2" a="1"/>
  <c r="I2008" i="2" s="1"/>
  <c r="G2010" i="2" a="1"/>
  <c r="G2010" i="2" s="1"/>
  <c r="H2011" i="2" a="1"/>
  <c r="H2011" i="2" s="1"/>
  <c r="I2012" i="2" a="1"/>
  <c r="I2012" i="2" s="1"/>
  <c r="G2014" i="2" a="1"/>
  <c r="G2014" i="2" s="1"/>
  <c r="H2015" i="2" a="1"/>
  <c r="H2015" i="2" s="1"/>
  <c r="I2016" i="2" a="1"/>
  <c r="I2016" i="2" s="1"/>
  <c r="G2018" i="2" a="1"/>
  <c r="G2018" i="2" s="1"/>
  <c r="H2019" i="2" a="1"/>
  <c r="H2019" i="2" s="1"/>
  <c r="I2020" i="2" a="1"/>
  <c r="I2020" i="2" s="1"/>
  <c r="G2022" i="2" a="1"/>
  <c r="G2022" i="2" s="1"/>
  <c r="H2023" i="2" a="1"/>
  <c r="H2023" i="2" s="1"/>
  <c r="I2024" i="2" a="1"/>
  <c r="I2024" i="2" s="1"/>
  <c r="G2026" i="2" a="1"/>
  <c r="G2026" i="2" s="1"/>
  <c r="H2027" i="2" a="1"/>
  <c r="H2027" i="2" s="1"/>
  <c r="I2028" i="2" a="1"/>
  <c r="I2028" i="2" s="1"/>
  <c r="G2030" i="2" a="1"/>
  <c r="G2030" i="2" s="1"/>
  <c r="H2031" i="2" a="1"/>
  <c r="H2031" i="2" s="1"/>
  <c r="I2032" i="2" a="1"/>
  <c r="I2032" i="2" s="1"/>
  <c r="G2034" i="2" a="1"/>
  <c r="G2034" i="2" s="1"/>
  <c r="H2035" i="2" a="1"/>
  <c r="H2035" i="2" s="1"/>
  <c r="I2036" i="2" a="1"/>
  <c r="I2036" i="2" s="1"/>
  <c r="G2038" i="2" a="1"/>
  <c r="G2038" i="2" s="1"/>
  <c r="H2039" i="2" a="1"/>
  <c r="H2039" i="2" s="1"/>
  <c r="I2040" i="2" a="1"/>
  <c r="I2040" i="2" s="1"/>
  <c r="G2042" i="2" a="1"/>
  <c r="G2042" i="2" s="1"/>
  <c r="H2043" i="2" a="1"/>
  <c r="H2043" i="2" s="1"/>
  <c r="I2044" i="2" a="1"/>
  <c r="I2044" i="2" s="1"/>
  <c r="G2046" i="2" a="1"/>
  <c r="G2046" i="2" s="1"/>
  <c r="H2047" i="2" a="1"/>
  <c r="H2047" i="2" s="1"/>
  <c r="I2048" i="2" a="1"/>
  <c r="I2048" i="2" s="1"/>
  <c r="G2050" i="2" a="1"/>
  <c r="G2050" i="2" s="1"/>
  <c r="H2051" i="2" a="1"/>
  <c r="H2051" i="2" s="1"/>
  <c r="I2052" i="2" a="1"/>
  <c r="I2052" i="2" s="1"/>
  <c r="G2054" i="2" a="1"/>
  <c r="G2054" i="2" s="1"/>
  <c r="H2055" i="2" a="1"/>
  <c r="H2055" i="2" s="1"/>
  <c r="I2056" i="2" a="1"/>
  <c r="I2056" i="2" s="1"/>
  <c r="G2058" i="2" a="1"/>
  <c r="G2058" i="2" s="1"/>
  <c r="H2059" i="2" a="1"/>
  <c r="H2059" i="2" s="1"/>
  <c r="I2060" i="2" a="1"/>
  <c r="I2060" i="2" s="1"/>
  <c r="G2062" i="2" a="1"/>
  <c r="G2062" i="2" s="1"/>
  <c r="H2063" i="2" a="1"/>
  <c r="H2063" i="2" s="1"/>
  <c r="I2064" i="2" a="1"/>
  <c r="I2064" i="2" s="1"/>
  <c r="G2066" i="2" a="1"/>
  <c r="G2066" i="2" s="1"/>
  <c r="H2067" i="2" a="1"/>
  <c r="H2067" i="2" s="1"/>
  <c r="I2068" i="2" a="1"/>
  <c r="I2068" i="2" s="1"/>
  <c r="G2070" i="2" a="1"/>
  <c r="G2070" i="2" s="1"/>
  <c r="H2071" i="2" a="1"/>
  <c r="H2071" i="2" s="1"/>
  <c r="I2072" i="2" a="1"/>
  <c r="I2072" i="2" s="1"/>
  <c r="G2074" i="2" a="1"/>
  <c r="G2074" i="2" s="1"/>
  <c r="H2075" i="2" a="1"/>
  <c r="H2075" i="2" s="1"/>
  <c r="I2076" i="2" a="1"/>
  <c r="I2076" i="2" s="1"/>
  <c r="G2078" i="2" a="1"/>
  <c r="G2078" i="2" s="1"/>
  <c r="H2079" i="2" a="1"/>
  <c r="H2079" i="2" s="1"/>
  <c r="I2080" i="2" a="1"/>
  <c r="I2080" i="2" s="1"/>
  <c r="G2082" i="2" a="1"/>
  <c r="G2082" i="2" s="1"/>
  <c r="H2083" i="2" a="1"/>
  <c r="H2083" i="2" s="1"/>
  <c r="I2084" i="2" a="1"/>
  <c r="I2084" i="2" s="1"/>
  <c r="G2086" i="2" a="1"/>
  <c r="G2086" i="2" s="1"/>
  <c r="H2087" i="2" a="1"/>
  <c r="H2087" i="2" s="1"/>
  <c r="I2088" i="2" a="1"/>
  <c r="I2088" i="2" s="1"/>
  <c r="G2090" i="2" a="1"/>
  <c r="G2090" i="2" s="1"/>
  <c r="H2091" i="2" a="1"/>
  <c r="H2091" i="2" s="1"/>
  <c r="I2092" i="2" a="1"/>
  <c r="I2092" i="2" s="1"/>
  <c r="G2094" i="2" a="1"/>
  <c r="G2094" i="2" s="1"/>
  <c r="H2095" i="2" a="1"/>
  <c r="H2095" i="2" s="1"/>
  <c r="I2096" i="2" a="1"/>
  <c r="I2096" i="2" s="1"/>
  <c r="G2098" i="2" a="1"/>
  <c r="G2098" i="2" s="1"/>
  <c r="H2099" i="2" a="1"/>
  <c r="H2099" i="2" s="1"/>
  <c r="I2100" i="2" a="1"/>
  <c r="I2100" i="2" s="1"/>
  <c r="G2102" i="2" a="1"/>
  <c r="G2102" i="2" s="1"/>
  <c r="H2103" i="2" a="1"/>
  <c r="H2103" i="2" s="1"/>
  <c r="I2104" i="2" a="1"/>
  <c r="I2104" i="2" s="1"/>
  <c r="G2106" i="2" a="1"/>
  <c r="G2106" i="2" s="1"/>
  <c r="H2107" i="2" a="1"/>
  <c r="H2107" i="2" s="1"/>
  <c r="I2108" i="2" a="1"/>
  <c r="I2108" i="2" s="1"/>
  <c r="G2110" i="2" a="1"/>
  <c r="G2110" i="2" s="1"/>
  <c r="H2111" i="2" a="1"/>
  <c r="H2111" i="2" s="1"/>
  <c r="I2112" i="2" a="1"/>
  <c r="I2112" i="2" s="1"/>
  <c r="G2114" i="2" a="1"/>
  <c r="G2114" i="2" s="1"/>
  <c r="H2115" i="2" a="1"/>
  <c r="H2115" i="2" s="1"/>
  <c r="I2116" i="2" a="1"/>
  <c r="I2116" i="2" s="1"/>
  <c r="G2118" i="2" a="1"/>
  <c r="G2118" i="2" s="1"/>
  <c r="H2119" i="2" a="1"/>
  <c r="H2119" i="2" s="1"/>
  <c r="I2120" i="2" a="1"/>
  <c r="I2120" i="2" s="1"/>
  <c r="G2122" i="2" a="1"/>
  <c r="G2122" i="2" s="1"/>
  <c r="H2123" i="2" a="1"/>
  <c r="H2123" i="2" s="1"/>
  <c r="I2124" i="2" a="1"/>
  <c r="I2124" i="2" s="1"/>
  <c r="G2126" i="2" a="1"/>
  <c r="G2126" i="2" s="1"/>
  <c r="H2127" i="2" a="1"/>
  <c r="H2127" i="2" s="1"/>
  <c r="I2128" i="2" a="1"/>
  <c r="I2128" i="2" s="1"/>
  <c r="G2130" i="2" a="1"/>
  <c r="G2130" i="2" s="1"/>
  <c r="H2131" i="2" a="1"/>
  <c r="H2131" i="2" s="1"/>
  <c r="I2132" i="2" a="1"/>
  <c r="I2132" i="2" s="1"/>
  <c r="G2134" i="2" a="1"/>
  <c r="G2134" i="2" s="1"/>
  <c r="H2135" i="2" a="1"/>
  <c r="H2135" i="2" s="1"/>
  <c r="I2136" i="2" a="1"/>
  <c r="I2136" i="2" s="1"/>
  <c r="G2138" i="2" a="1"/>
  <c r="G2138" i="2" s="1"/>
  <c r="H2139" i="2" a="1"/>
  <c r="H2139" i="2" s="1"/>
  <c r="I2140" i="2" a="1"/>
  <c r="I2140" i="2" s="1"/>
  <c r="G2142" i="2" a="1"/>
  <c r="G2142" i="2" s="1"/>
  <c r="H2143" i="2" a="1"/>
  <c r="H2143" i="2" s="1"/>
  <c r="I2144" i="2" a="1"/>
  <c r="I2144" i="2" s="1"/>
  <c r="G2146" i="2" a="1"/>
  <c r="G2146" i="2" s="1"/>
  <c r="H2147" i="2" a="1"/>
  <c r="H2147" i="2" s="1"/>
  <c r="I2148" i="2" a="1"/>
  <c r="I2148" i="2" s="1"/>
  <c r="G2150" i="2" a="1"/>
  <c r="G2150" i="2" s="1"/>
  <c r="H2151" i="2" a="1"/>
  <c r="H2151" i="2" s="1"/>
  <c r="I2152" i="2" a="1"/>
  <c r="I2152" i="2" s="1"/>
  <c r="G2154" i="2" a="1"/>
  <c r="G2154" i="2" s="1"/>
  <c r="H2155" i="2" a="1"/>
  <c r="H2155" i="2" s="1"/>
  <c r="I2156" i="2" a="1"/>
  <c r="I2156" i="2" s="1"/>
  <c r="G2158" i="2" a="1"/>
  <c r="G2158" i="2" s="1"/>
  <c r="H2159" i="2" a="1"/>
  <c r="H2159" i="2" s="1"/>
  <c r="I2160" i="2" a="1"/>
  <c r="I2160" i="2" s="1"/>
  <c r="G2162" i="2" a="1"/>
  <c r="G2162" i="2" s="1"/>
  <c r="H2163" i="2" a="1"/>
  <c r="H2163" i="2" s="1"/>
  <c r="I2164" i="2" a="1"/>
  <c r="I2164" i="2" s="1"/>
  <c r="G2166" i="2" a="1"/>
  <c r="G2166" i="2" s="1"/>
  <c r="H2167" i="2" a="1"/>
  <c r="H2167" i="2" s="1"/>
  <c r="I2168" i="2" a="1"/>
  <c r="I2168" i="2" s="1"/>
  <c r="G2170" i="2" a="1"/>
  <c r="G2170" i="2" s="1"/>
  <c r="H2171" i="2" a="1"/>
  <c r="H2171" i="2" s="1"/>
  <c r="I2172" i="2" a="1"/>
  <c r="I2172" i="2" s="1"/>
  <c r="G2174" i="2" a="1"/>
  <c r="G2174" i="2" s="1"/>
  <c r="H2175" i="2" a="1"/>
  <c r="H2175" i="2" s="1"/>
  <c r="I2176" i="2" a="1"/>
  <c r="I2176" i="2" s="1"/>
  <c r="G2178" i="2" a="1"/>
  <c r="G2178" i="2" s="1"/>
  <c r="H2179" i="2" a="1"/>
  <c r="H2179" i="2" s="1"/>
  <c r="I2180" i="2" a="1"/>
  <c r="I2180" i="2" s="1"/>
  <c r="G2182" i="2" a="1"/>
  <c r="G2182" i="2" s="1"/>
  <c r="H2183" i="2" a="1"/>
  <c r="H2183" i="2" s="1"/>
  <c r="I2184" i="2" a="1"/>
  <c r="I2184" i="2" s="1"/>
  <c r="G2186" i="2" a="1"/>
  <c r="G2186" i="2" s="1"/>
  <c r="H2187" i="2" a="1"/>
  <c r="H2187" i="2" s="1"/>
  <c r="I2188" i="2" a="1"/>
  <c r="I2188" i="2" s="1"/>
  <c r="G2190" i="2" a="1"/>
  <c r="G2190" i="2" s="1"/>
  <c r="H2191" i="2" a="1"/>
  <c r="H2191" i="2" s="1"/>
  <c r="I2192" i="2" a="1"/>
  <c r="I2192" i="2" s="1"/>
  <c r="G2194" i="2" a="1"/>
  <c r="G2194" i="2" s="1"/>
  <c r="H2195" i="2" a="1"/>
  <c r="H2195" i="2" s="1"/>
  <c r="I2196" i="2" a="1"/>
  <c r="I2196" i="2" s="1"/>
  <c r="G2198" i="2" a="1"/>
  <c r="G2198" i="2" s="1"/>
  <c r="H2199" i="2" a="1"/>
  <c r="H2199" i="2" s="1"/>
  <c r="I2200" i="2" a="1"/>
  <c r="I2200" i="2" s="1"/>
  <c r="G2202" i="2" a="1"/>
  <c r="G2202" i="2" s="1"/>
  <c r="H2203" i="2" a="1"/>
  <c r="H2203" i="2" s="1"/>
  <c r="I2204" i="2" a="1"/>
  <c r="I2204" i="2" s="1"/>
  <c r="G2206" i="2" a="1"/>
  <c r="G2206" i="2" s="1"/>
  <c r="H2207" i="2" a="1"/>
  <c r="H2207" i="2" s="1"/>
  <c r="I2208" i="2" a="1"/>
  <c r="I2208" i="2" s="1"/>
  <c r="G2210" i="2" a="1"/>
  <c r="G2210" i="2" s="1"/>
  <c r="H2211" i="2" a="1"/>
  <c r="H2211" i="2" s="1"/>
  <c r="I2212" i="2" a="1"/>
  <c r="I2212" i="2" s="1"/>
  <c r="G2214" i="2" a="1"/>
  <c r="G2214" i="2" s="1"/>
  <c r="H2215" i="2" a="1"/>
  <c r="H2215" i="2" s="1"/>
  <c r="I2216" i="2" a="1"/>
  <c r="I2216" i="2" s="1"/>
  <c r="G2218" i="2" a="1"/>
  <c r="G2218" i="2" s="1"/>
  <c r="H2219" i="2" a="1"/>
  <c r="H2219" i="2" s="1"/>
  <c r="I2220" i="2" a="1"/>
  <c r="I2220" i="2" s="1"/>
  <c r="G2222" i="2" a="1"/>
  <c r="G2222" i="2" s="1"/>
  <c r="H2223" i="2" a="1"/>
  <c r="H2223" i="2" s="1"/>
  <c r="I2224" i="2" a="1"/>
  <c r="I2224" i="2" s="1"/>
  <c r="G2226" i="2" a="1"/>
  <c r="G2226" i="2" s="1"/>
  <c r="H2227" i="2" a="1"/>
  <c r="H2227" i="2" s="1"/>
  <c r="I2228" i="2" a="1"/>
  <c r="I2228" i="2" s="1"/>
  <c r="G2230" i="2" a="1"/>
  <c r="G2230" i="2" s="1"/>
  <c r="H2231" i="2" a="1"/>
  <c r="H2231" i="2" s="1"/>
  <c r="I2232" i="2" a="1"/>
  <c r="I2232" i="2" s="1"/>
  <c r="G2234" i="2" a="1"/>
  <c r="G2234" i="2" s="1"/>
  <c r="H2235" i="2" a="1"/>
  <c r="H2235" i="2" s="1"/>
  <c r="I2236" i="2" a="1"/>
  <c r="I2236" i="2" s="1"/>
  <c r="G2238" i="2" a="1"/>
  <c r="G2238" i="2" s="1"/>
  <c r="H2239" i="2" a="1"/>
  <c r="H2239" i="2" s="1"/>
  <c r="I2240" i="2" a="1"/>
  <c r="I2240" i="2" s="1"/>
  <c r="G2242" i="2" a="1"/>
  <c r="G2242" i="2" s="1"/>
  <c r="H2243" i="2" a="1"/>
  <c r="H2243" i="2" s="1"/>
  <c r="I2244" i="2" a="1"/>
  <c r="I2244" i="2" s="1"/>
  <c r="G2246" i="2" a="1"/>
  <c r="G2246" i="2" s="1"/>
  <c r="H2247" i="2" a="1"/>
  <c r="H2247" i="2" s="1"/>
  <c r="I2248" i="2" a="1"/>
  <c r="I2248" i="2" s="1"/>
  <c r="G2250" i="2" a="1"/>
  <c r="G2250" i="2" s="1"/>
  <c r="H2251" i="2" a="1"/>
  <c r="H2251" i="2" s="1"/>
  <c r="I2252" i="2" a="1"/>
  <c r="I2252" i="2" s="1"/>
  <c r="G2254" i="2" a="1"/>
  <c r="G2254" i="2" s="1"/>
  <c r="H2255" i="2" a="1"/>
  <c r="H2255" i="2" s="1"/>
  <c r="I2256" i="2" a="1"/>
  <c r="I2256" i="2" s="1"/>
  <c r="G2258" i="2" a="1"/>
  <c r="G2258" i="2" s="1"/>
  <c r="H2259" i="2" a="1"/>
  <c r="H2259" i="2" s="1"/>
  <c r="I2260" i="2" a="1"/>
  <c r="I2260" i="2" s="1"/>
  <c r="G2262" i="2" a="1"/>
  <c r="G2262" i="2" s="1"/>
  <c r="H2263" i="2" a="1"/>
  <c r="H2263" i="2" s="1"/>
  <c r="I2264" i="2" a="1"/>
  <c r="I2264" i="2" s="1"/>
  <c r="G2266" i="2" a="1"/>
  <c r="G2266" i="2" s="1"/>
  <c r="H2267" i="2" a="1"/>
  <c r="H2267" i="2" s="1"/>
  <c r="I2268" i="2" a="1"/>
  <c r="I2268" i="2" s="1"/>
  <c r="G2270" i="2" a="1"/>
  <c r="G2270" i="2" s="1"/>
  <c r="H2271" i="2" a="1"/>
  <c r="H2271" i="2" s="1"/>
  <c r="G1842" i="2" a="1"/>
  <c r="G1842" i="2" s="1"/>
  <c r="H1844" i="2" a="1"/>
  <c r="H1844" i="2" s="1"/>
  <c r="H1845" i="2" a="1"/>
  <c r="H1845" i="2" s="1"/>
  <c r="H1846" i="2" a="1"/>
  <c r="H1846" i="2" s="1"/>
  <c r="I1847" i="2" a="1"/>
  <c r="I1847" i="2" s="1"/>
  <c r="I1848" i="2" a="1"/>
  <c r="I1848" i="2" s="1"/>
  <c r="G1850" i="2" a="1"/>
  <c r="G1850" i="2" s="1"/>
  <c r="H1852" i="2" a="1"/>
  <c r="H1852" i="2" s="1"/>
  <c r="I1853" i="2" a="1"/>
  <c r="I1853" i="2" s="1"/>
  <c r="I1854" i="2" a="1"/>
  <c r="I1854" i="2" s="1"/>
  <c r="I1855" i="2" a="1"/>
  <c r="I1855" i="2" s="1"/>
  <c r="I1856" i="2" a="1"/>
  <c r="I1856" i="2" s="1"/>
  <c r="G1859" i="2" a="1"/>
  <c r="G1859" i="2" s="1"/>
  <c r="G1860" i="2" a="1"/>
  <c r="G1860" i="2" s="1"/>
  <c r="G1861" i="2" a="1"/>
  <c r="G1861" i="2" s="1"/>
  <c r="G1862" i="2" a="1"/>
  <c r="G1862" i="2" s="1"/>
  <c r="G1863" i="2" a="1"/>
  <c r="G1863" i="2" s="1"/>
  <c r="H1864" i="2" a="1"/>
  <c r="H1864" i="2" s="1"/>
  <c r="H1866" i="2" a="1"/>
  <c r="H1866" i="2" s="1"/>
  <c r="I1867" i="2" a="1"/>
  <c r="I1867" i="2" s="1"/>
  <c r="I1868" i="2" a="1"/>
  <c r="I1868" i="2" s="1"/>
  <c r="I1869" i="2" a="1"/>
  <c r="I1869" i="2" s="1"/>
  <c r="G1871" i="2" a="1"/>
  <c r="G1871" i="2" s="1"/>
  <c r="G1872" i="2" a="1"/>
  <c r="G1872" i="2" s="1"/>
  <c r="H1873" i="2" a="1"/>
  <c r="H1873" i="2" s="1"/>
  <c r="I1874" i="2" a="1"/>
  <c r="I1874" i="2" s="1"/>
  <c r="G1877" i="2" a="1"/>
  <c r="G1877" i="2" s="1"/>
  <c r="G1878" i="2" a="1"/>
  <c r="G1878" i="2" s="1"/>
  <c r="H1879" i="2" a="1"/>
  <c r="H1879" i="2" s="1"/>
  <c r="I1881" i="2" a="1"/>
  <c r="I1881" i="2" s="1"/>
  <c r="I1882" i="2" a="1"/>
  <c r="I1882" i="2" s="1"/>
  <c r="G1884" i="2" a="1"/>
  <c r="G1884" i="2" s="1"/>
  <c r="H1885" i="2" a="1"/>
  <c r="H1885" i="2" s="1"/>
  <c r="H1886" i="2" a="1"/>
  <c r="H1886" i="2" s="1"/>
  <c r="I1887" i="2" a="1"/>
  <c r="I1887" i="2" s="1"/>
  <c r="I1888" i="2" a="1"/>
  <c r="I1888" i="2" s="1"/>
  <c r="G1890" i="2" a="1"/>
  <c r="G1890" i="2" s="1"/>
  <c r="H1891" i="2" a="1"/>
  <c r="H1891" i="2" s="1"/>
  <c r="I1892" i="2" a="1"/>
  <c r="I1892" i="2" s="1"/>
  <c r="I1894" i="2" a="1"/>
  <c r="I1894" i="2" s="1"/>
  <c r="I1895" i="2" a="1"/>
  <c r="I1895" i="2" s="1"/>
  <c r="I1896" i="2" a="1"/>
  <c r="I1896" i="2" s="1"/>
  <c r="G1899" i="2" a="1"/>
  <c r="G1899" i="2" s="1"/>
  <c r="G1900" i="2" a="1"/>
  <c r="G1900" i="2" s="1"/>
  <c r="G1901" i="2" a="1"/>
  <c r="G1901" i="2" s="1"/>
  <c r="G1902" i="2" a="1"/>
  <c r="G1902" i="2" s="1"/>
  <c r="H1904" i="2" a="1"/>
  <c r="H1904" i="2" s="1"/>
  <c r="H1905" i="2" a="1"/>
  <c r="H1905" i="2" s="1"/>
  <c r="H1906" i="2" a="1"/>
  <c r="H1906" i="2" s="1"/>
  <c r="I1907" i="2" a="1"/>
  <c r="I1907" i="2" s="1"/>
  <c r="I1908" i="2" a="1"/>
  <c r="I1908" i="2" s="1"/>
  <c r="G1910" i="2" a="1"/>
  <c r="G1910" i="2" s="1"/>
  <c r="H1912" i="2" a="1"/>
  <c r="H1912" i="2" s="1"/>
  <c r="I1913" i="2" a="1"/>
  <c r="I1913" i="2" s="1"/>
  <c r="I1915" i="2" a="1"/>
  <c r="I1915" i="2" s="1"/>
  <c r="I1916" i="2" a="1"/>
  <c r="I1916" i="2" s="1"/>
  <c r="I1917" i="2" a="1"/>
  <c r="I1917" i="2" s="1"/>
  <c r="I1918" i="2" a="1"/>
  <c r="I1918" i="2" s="1"/>
  <c r="I1919" i="2" a="1"/>
  <c r="I1919" i="2" s="1"/>
  <c r="I1920" i="2" a="1"/>
  <c r="I1920" i="2" s="1"/>
  <c r="G1923" i="2" a="1"/>
  <c r="G1923" i="2" s="1"/>
  <c r="H1924" i="2" a="1"/>
  <c r="H1924" i="2" s="1"/>
  <c r="H1926" i="2" a="1"/>
  <c r="H1926" i="2" s="1"/>
  <c r="H1927" i="2" a="1"/>
  <c r="H1927" i="2" s="1"/>
  <c r="H1928" i="2" a="1"/>
  <c r="H1928" i="2" s="1"/>
  <c r="I1929" i="2" a="1"/>
  <c r="I1929" i="2" s="1"/>
  <c r="H1931" i="2" a="1"/>
  <c r="H1931" i="2" s="1"/>
  <c r="I1933" i="2" a="1"/>
  <c r="I1933" i="2" s="1"/>
  <c r="I1934" i="2" a="1"/>
  <c r="I1934" i="2" s="1"/>
  <c r="I1935" i="2" a="1"/>
  <c r="I1935" i="2" s="1"/>
  <c r="I1936" i="2" a="1"/>
  <c r="I1936" i="2" s="1"/>
  <c r="G1939" i="2" a="1"/>
  <c r="G1939" i="2" s="1"/>
  <c r="G1940" i="2" a="1"/>
  <c r="G1940" i="2" s="1"/>
  <c r="H1941" i="2" a="1"/>
  <c r="H1941" i="2" s="1"/>
  <c r="I1942" i="2" a="1"/>
  <c r="I1942" i="2" s="1"/>
  <c r="G1944" i="2" a="1"/>
  <c r="G1944" i="2" s="1"/>
  <c r="G1945" i="2" a="1"/>
  <c r="G1945" i="2" s="1"/>
  <c r="G1946" i="2" a="1"/>
  <c r="G1946" i="2" s="1"/>
  <c r="H1948" i="2" a="1"/>
  <c r="H1948" i="2" s="1"/>
  <c r="I1949" i="2" a="1"/>
  <c r="I1949" i="2" s="1"/>
  <c r="I1950" i="2" a="1"/>
  <c r="I1950" i="2" s="1"/>
  <c r="I1951" i="2" a="1"/>
  <c r="I1951" i="2" s="1"/>
  <c r="I1952" i="2" a="1"/>
  <c r="I1952" i="2" s="1"/>
  <c r="G1955" i="2" a="1"/>
  <c r="G1955" i="2" s="1"/>
  <c r="G1956" i="2" a="1"/>
  <c r="G1956" i="2" s="1"/>
  <c r="H1957" i="2" a="1"/>
  <c r="H1957" i="2" s="1"/>
  <c r="I1958" i="2" a="1"/>
  <c r="I1958" i="2" s="1"/>
  <c r="G1960" i="2" a="1"/>
  <c r="G1960" i="2" s="1"/>
  <c r="H1962" i="2" a="1"/>
  <c r="H1962" i="2" s="1"/>
  <c r="I1963" i="2" a="1"/>
  <c r="I1963" i="2" s="1"/>
  <c r="I1964" i="2" a="1"/>
  <c r="I1964" i="2" s="1"/>
  <c r="I1966" i="2" a="1"/>
  <c r="I1966" i="2" s="1"/>
  <c r="G1968" i="2" a="1"/>
  <c r="G1968" i="2" s="1"/>
  <c r="G1969" i="2" a="1"/>
  <c r="G1969" i="2" s="1"/>
  <c r="H1970" i="2" a="1"/>
  <c r="H1970" i="2" s="1"/>
  <c r="I1971" i="2" a="1"/>
  <c r="I1971" i="2" s="1"/>
  <c r="G1973" i="2" a="1"/>
  <c r="G1973" i="2" s="1"/>
  <c r="H1974" i="2" a="1"/>
  <c r="H1974" i="2" s="1"/>
  <c r="I1975" i="2" a="1"/>
  <c r="I1975" i="2" s="1"/>
  <c r="G1977" i="2" a="1"/>
  <c r="G1977" i="2" s="1"/>
  <c r="H1978" i="2" a="1"/>
  <c r="H1978" i="2" s="1"/>
  <c r="I1979" i="2" a="1"/>
  <c r="I1979" i="2" s="1"/>
  <c r="G1981" i="2" a="1"/>
  <c r="G1981" i="2" s="1"/>
  <c r="H1982" i="2" a="1"/>
  <c r="H1982" i="2" s="1"/>
  <c r="I1983" i="2" a="1"/>
  <c r="I1983" i="2" s="1"/>
  <c r="G1985" i="2" a="1"/>
  <c r="G1985" i="2" s="1"/>
  <c r="H1986" i="2" a="1"/>
  <c r="H1986" i="2" s="1"/>
  <c r="I1987" i="2" a="1"/>
  <c r="I1987" i="2" s="1"/>
  <c r="G1989" i="2" a="1"/>
  <c r="G1989" i="2" s="1"/>
  <c r="H1990" i="2" a="1"/>
  <c r="H1990" i="2" s="1"/>
  <c r="I1991" i="2" a="1"/>
  <c r="I1991" i="2" s="1"/>
  <c r="G1993" i="2" a="1"/>
  <c r="G1993" i="2" s="1"/>
  <c r="H1994" i="2" a="1"/>
  <c r="H1994" i="2" s="1"/>
  <c r="I1995" i="2" a="1"/>
  <c r="I1995" i="2" s="1"/>
  <c r="G1997" i="2" a="1"/>
  <c r="G1997" i="2" s="1"/>
  <c r="H1998" i="2" a="1"/>
  <c r="H1998" i="2" s="1"/>
  <c r="I1999" i="2" a="1"/>
  <c r="I1999" i="2" s="1"/>
  <c r="G2001" i="2" a="1"/>
  <c r="G2001" i="2" s="1"/>
  <c r="H2002" i="2" a="1"/>
  <c r="H2002" i="2" s="1"/>
  <c r="I2003" i="2" a="1"/>
  <c r="I2003" i="2" s="1"/>
  <c r="G2005" i="2" a="1"/>
  <c r="G2005" i="2" s="1"/>
  <c r="H2006" i="2" a="1"/>
  <c r="H2006" i="2" s="1"/>
  <c r="I2007" i="2" a="1"/>
  <c r="I2007" i="2" s="1"/>
  <c r="G2009" i="2" a="1"/>
  <c r="G2009" i="2" s="1"/>
  <c r="H2010" i="2" a="1"/>
  <c r="H2010" i="2" s="1"/>
  <c r="I2011" i="2" a="1"/>
  <c r="I2011" i="2" s="1"/>
  <c r="G2013" i="2" a="1"/>
  <c r="G2013" i="2" s="1"/>
  <c r="H2014" i="2" a="1"/>
  <c r="H2014" i="2" s="1"/>
  <c r="I2015" i="2" a="1"/>
  <c r="I2015" i="2" s="1"/>
  <c r="G2017" i="2" a="1"/>
  <c r="G2017" i="2" s="1"/>
  <c r="H2018" i="2" a="1"/>
  <c r="H2018" i="2" s="1"/>
  <c r="I2019" i="2" a="1"/>
  <c r="I2019" i="2" s="1"/>
  <c r="G2021" i="2" a="1"/>
  <c r="G2021" i="2" s="1"/>
  <c r="H2022" i="2" a="1"/>
  <c r="H2022" i="2" s="1"/>
  <c r="I2023" i="2" a="1"/>
  <c r="I2023" i="2" s="1"/>
  <c r="G2025" i="2" a="1"/>
  <c r="G2025" i="2" s="1"/>
  <c r="H2026" i="2" a="1"/>
  <c r="H2026" i="2" s="1"/>
  <c r="I2027" i="2" a="1"/>
  <c r="I2027" i="2" s="1"/>
  <c r="G2029" i="2" a="1"/>
  <c r="G2029" i="2" s="1"/>
  <c r="H2030" i="2" a="1"/>
  <c r="H2030" i="2" s="1"/>
  <c r="I2031" i="2" a="1"/>
  <c r="I2031" i="2" s="1"/>
  <c r="G2033" i="2" a="1"/>
  <c r="G2033" i="2" s="1"/>
  <c r="H2034" i="2" a="1"/>
  <c r="H2034" i="2" s="1"/>
  <c r="I2035" i="2" a="1"/>
  <c r="I2035" i="2" s="1"/>
  <c r="G2037" i="2" a="1"/>
  <c r="G2037" i="2" s="1"/>
  <c r="H2038" i="2" a="1"/>
  <c r="H2038" i="2" s="1"/>
  <c r="I2039" i="2" a="1"/>
  <c r="I2039" i="2" s="1"/>
  <c r="G2041" i="2" a="1"/>
  <c r="G2041" i="2" s="1"/>
  <c r="H2042" i="2" a="1"/>
  <c r="H2042" i="2" s="1"/>
  <c r="I2043" i="2" a="1"/>
  <c r="I2043" i="2" s="1"/>
  <c r="G2045" i="2" a="1"/>
  <c r="G2045" i="2" s="1"/>
  <c r="H2046" i="2" a="1"/>
  <c r="H2046" i="2" s="1"/>
  <c r="I2047" i="2" a="1"/>
  <c r="I2047" i="2" s="1"/>
  <c r="G2049" i="2" a="1"/>
  <c r="G2049" i="2" s="1"/>
  <c r="H2050" i="2" a="1"/>
  <c r="H2050" i="2" s="1"/>
  <c r="I2051" i="2" a="1"/>
  <c r="I2051" i="2" s="1"/>
  <c r="G2053" i="2" a="1"/>
  <c r="G2053" i="2" s="1"/>
  <c r="H2054" i="2" a="1"/>
  <c r="H2054" i="2" s="1"/>
  <c r="I2055" i="2" a="1"/>
  <c r="I2055" i="2" s="1"/>
  <c r="G2057" i="2" a="1"/>
  <c r="G2057" i="2" s="1"/>
  <c r="H2058" i="2" a="1"/>
  <c r="H2058" i="2" s="1"/>
  <c r="I2059" i="2" a="1"/>
  <c r="I2059" i="2" s="1"/>
  <c r="G2061" i="2" a="1"/>
  <c r="G2061" i="2" s="1"/>
  <c r="H2062" i="2" a="1"/>
  <c r="H2062" i="2" s="1"/>
  <c r="I2063" i="2" a="1"/>
  <c r="I2063" i="2" s="1"/>
  <c r="G2065" i="2" a="1"/>
  <c r="G2065" i="2" s="1"/>
  <c r="H2066" i="2" a="1"/>
  <c r="H2066" i="2" s="1"/>
  <c r="I2067" i="2" a="1"/>
  <c r="I2067" i="2" s="1"/>
  <c r="G2069" i="2" a="1"/>
  <c r="G2069" i="2" s="1"/>
  <c r="H2070" i="2" a="1"/>
  <c r="H2070" i="2" s="1"/>
  <c r="I2071" i="2" a="1"/>
  <c r="I2071" i="2" s="1"/>
  <c r="G2073" i="2" a="1"/>
  <c r="G2073" i="2" s="1"/>
  <c r="H2074" i="2" a="1"/>
  <c r="H2074" i="2" s="1"/>
  <c r="I2075" i="2" a="1"/>
  <c r="I2075" i="2" s="1"/>
  <c r="G2077" i="2" a="1"/>
  <c r="G2077" i="2" s="1"/>
  <c r="H2078" i="2" a="1"/>
  <c r="H2078" i="2" s="1"/>
  <c r="I2079" i="2" a="1"/>
  <c r="I2079" i="2" s="1"/>
  <c r="G2081" i="2" a="1"/>
  <c r="G2081" i="2" s="1"/>
  <c r="H2082" i="2" a="1"/>
  <c r="H2082" i="2" s="1"/>
  <c r="I2083" i="2" a="1"/>
  <c r="I2083" i="2" s="1"/>
  <c r="G2085" i="2" a="1"/>
  <c r="G2085" i="2" s="1"/>
  <c r="H2086" i="2" a="1"/>
  <c r="H2086" i="2" s="1"/>
  <c r="I2087" i="2" a="1"/>
  <c r="I2087" i="2" s="1"/>
  <c r="G2089" i="2" a="1"/>
  <c r="G2089" i="2" s="1"/>
  <c r="H2090" i="2" a="1"/>
  <c r="H2090" i="2" s="1"/>
  <c r="I2091" i="2" a="1"/>
  <c r="I2091" i="2" s="1"/>
  <c r="G2093" i="2" a="1"/>
  <c r="G2093" i="2" s="1"/>
  <c r="H2094" i="2" a="1"/>
  <c r="H2094" i="2" s="1"/>
  <c r="I2095" i="2" a="1"/>
  <c r="I2095" i="2" s="1"/>
  <c r="G2097" i="2" a="1"/>
  <c r="G2097" i="2" s="1"/>
  <c r="H2098" i="2" a="1"/>
  <c r="H2098" i="2" s="1"/>
  <c r="I2099" i="2" a="1"/>
  <c r="I2099" i="2" s="1"/>
  <c r="G2101" i="2" a="1"/>
  <c r="G2101" i="2" s="1"/>
  <c r="H2102" i="2" a="1"/>
  <c r="H2102" i="2" s="1"/>
  <c r="I2103" i="2" a="1"/>
  <c r="I2103" i="2" s="1"/>
  <c r="G2105" i="2" a="1"/>
  <c r="G2105" i="2" s="1"/>
  <c r="H2106" i="2" a="1"/>
  <c r="H2106" i="2" s="1"/>
  <c r="I2107" i="2" a="1"/>
  <c r="I2107" i="2" s="1"/>
  <c r="G2109" i="2" a="1"/>
  <c r="G2109" i="2" s="1"/>
  <c r="H2110" i="2" a="1"/>
  <c r="H2110" i="2" s="1"/>
  <c r="I2111" i="2" a="1"/>
  <c r="I2111" i="2" s="1"/>
  <c r="G2113" i="2" a="1"/>
  <c r="G2113" i="2" s="1"/>
  <c r="H2114" i="2" a="1"/>
  <c r="H2114" i="2" s="1"/>
  <c r="I2115" i="2" a="1"/>
  <c r="I2115" i="2" s="1"/>
  <c r="G2117" i="2" a="1"/>
  <c r="G2117" i="2" s="1"/>
  <c r="H2118" i="2" a="1"/>
  <c r="H2118" i="2" s="1"/>
  <c r="I2119" i="2" a="1"/>
  <c r="I2119" i="2" s="1"/>
  <c r="G2121" i="2" a="1"/>
  <c r="G2121" i="2" s="1"/>
  <c r="H2122" i="2" a="1"/>
  <c r="H2122" i="2" s="1"/>
  <c r="I2123" i="2" a="1"/>
  <c r="I2123" i="2" s="1"/>
  <c r="G2125" i="2" a="1"/>
  <c r="G2125" i="2" s="1"/>
  <c r="H2126" i="2" a="1"/>
  <c r="H2126" i="2" s="1"/>
  <c r="I2127" i="2" a="1"/>
  <c r="I2127" i="2" s="1"/>
  <c r="G2129" i="2" a="1"/>
  <c r="G2129" i="2" s="1"/>
  <c r="H2130" i="2" a="1"/>
  <c r="H2130" i="2" s="1"/>
  <c r="I2131" i="2" a="1"/>
  <c r="I2131" i="2" s="1"/>
  <c r="G2133" i="2" a="1"/>
  <c r="G2133" i="2" s="1"/>
  <c r="H2134" i="2" a="1"/>
  <c r="H2134" i="2" s="1"/>
  <c r="I2135" i="2" a="1"/>
  <c r="I2135" i="2" s="1"/>
  <c r="G2137" i="2" a="1"/>
  <c r="G2137" i="2" s="1"/>
  <c r="H2138" i="2" a="1"/>
  <c r="H2138" i="2" s="1"/>
  <c r="I2139" i="2" a="1"/>
  <c r="I2139" i="2" s="1"/>
  <c r="G2141" i="2" a="1"/>
  <c r="G2141" i="2" s="1"/>
  <c r="H2142" i="2" a="1"/>
  <c r="H2142" i="2" s="1"/>
  <c r="I2143" i="2" a="1"/>
  <c r="I2143" i="2" s="1"/>
  <c r="G2145" i="2" a="1"/>
  <c r="G2145" i="2" s="1"/>
  <c r="H2146" i="2" a="1"/>
  <c r="H2146" i="2" s="1"/>
  <c r="I2147" i="2" a="1"/>
  <c r="I2147" i="2" s="1"/>
  <c r="G2149" i="2" a="1"/>
  <c r="G2149" i="2" s="1"/>
  <c r="H2150" i="2" a="1"/>
  <c r="H2150" i="2" s="1"/>
  <c r="I2151" i="2" a="1"/>
  <c r="I2151" i="2" s="1"/>
  <c r="G2153" i="2" a="1"/>
  <c r="G2153" i="2" s="1"/>
  <c r="H2154" i="2" a="1"/>
  <c r="H2154" i="2" s="1"/>
  <c r="I2155" i="2" a="1"/>
  <c r="I2155" i="2" s="1"/>
  <c r="G2157" i="2" a="1"/>
  <c r="G2157" i="2" s="1"/>
  <c r="H2158" i="2" a="1"/>
  <c r="H2158" i="2" s="1"/>
  <c r="I2159" i="2" a="1"/>
  <c r="I2159" i="2" s="1"/>
  <c r="G2161" i="2" a="1"/>
  <c r="G2161" i="2" s="1"/>
  <c r="H2162" i="2" a="1"/>
  <c r="H2162" i="2" s="1"/>
  <c r="I2163" i="2" a="1"/>
  <c r="I2163" i="2" s="1"/>
  <c r="G2165" i="2" a="1"/>
  <c r="G2165" i="2" s="1"/>
  <c r="H2166" i="2" a="1"/>
  <c r="H2166" i="2" s="1"/>
  <c r="I2167" i="2" a="1"/>
  <c r="I2167" i="2" s="1"/>
  <c r="G2169" i="2" a="1"/>
  <c r="G2169" i="2" s="1"/>
  <c r="H2170" i="2" a="1"/>
  <c r="H2170" i="2" s="1"/>
  <c r="I2171" i="2" a="1"/>
  <c r="I2171" i="2" s="1"/>
  <c r="G2173" i="2" a="1"/>
  <c r="G2173" i="2" s="1"/>
  <c r="H2174" i="2" a="1"/>
  <c r="H2174" i="2" s="1"/>
  <c r="I2175" i="2" a="1"/>
  <c r="I2175" i="2" s="1"/>
  <c r="G2177" i="2" a="1"/>
  <c r="G2177" i="2" s="1"/>
  <c r="H2178" i="2" a="1"/>
  <c r="H2178" i="2" s="1"/>
  <c r="I2179" i="2" a="1"/>
  <c r="I2179" i="2" s="1"/>
  <c r="G2181" i="2" a="1"/>
  <c r="G2181" i="2" s="1"/>
  <c r="H2182" i="2" a="1"/>
  <c r="H2182" i="2" s="1"/>
  <c r="I2183" i="2" a="1"/>
  <c r="I2183" i="2" s="1"/>
  <c r="G2185" i="2" a="1"/>
  <c r="G2185" i="2" s="1"/>
  <c r="H2186" i="2" a="1"/>
  <c r="H2186" i="2" s="1"/>
  <c r="I2187" i="2" a="1"/>
  <c r="I2187" i="2" s="1"/>
  <c r="G2189" i="2" a="1"/>
  <c r="G2189" i="2" s="1"/>
  <c r="H2190" i="2" a="1"/>
  <c r="H2190" i="2" s="1"/>
  <c r="I2191" i="2" a="1"/>
  <c r="I2191" i="2" s="1"/>
  <c r="G2193" i="2" a="1"/>
  <c r="G2193" i="2" s="1"/>
  <c r="H2194" i="2" a="1"/>
  <c r="H2194" i="2" s="1"/>
  <c r="I2195" i="2" a="1"/>
  <c r="I2195" i="2" s="1"/>
  <c r="G2197" i="2" a="1"/>
  <c r="G2197" i="2" s="1"/>
  <c r="H2198" i="2" a="1"/>
  <c r="H2198" i="2" s="1"/>
  <c r="I2199" i="2" a="1"/>
  <c r="I2199" i="2" s="1"/>
  <c r="G2201" i="2" a="1"/>
  <c r="G2201" i="2" s="1"/>
  <c r="H2202" i="2" a="1"/>
  <c r="H2202" i="2" s="1"/>
  <c r="I2203" i="2" a="1"/>
  <c r="I2203" i="2" s="1"/>
  <c r="G2205" i="2" a="1"/>
  <c r="G2205" i="2" s="1"/>
  <c r="H2206" i="2" a="1"/>
  <c r="H2206" i="2" s="1"/>
  <c r="I2207" i="2" a="1"/>
  <c r="I2207" i="2" s="1"/>
  <c r="G2209" i="2" a="1"/>
  <c r="G2209" i="2" s="1"/>
  <c r="H2210" i="2" a="1"/>
  <c r="H2210" i="2" s="1"/>
  <c r="I2211" i="2" a="1"/>
  <c r="I2211" i="2" s="1"/>
  <c r="G2213" i="2" a="1"/>
  <c r="G2213" i="2" s="1"/>
  <c r="H2214" i="2" a="1"/>
  <c r="H2214" i="2" s="1"/>
  <c r="I2215" i="2" a="1"/>
  <c r="I2215" i="2" s="1"/>
  <c r="G2217" i="2" a="1"/>
  <c r="G2217" i="2" s="1"/>
  <c r="H2218" i="2" a="1"/>
  <c r="H2218" i="2" s="1"/>
  <c r="I2219" i="2" a="1"/>
  <c r="I2219" i="2" s="1"/>
  <c r="G2221" i="2" a="1"/>
  <c r="G2221" i="2" s="1"/>
  <c r="H2222" i="2" a="1"/>
  <c r="H2222" i="2" s="1"/>
  <c r="I2223" i="2" a="1"/>
  <c r="I2223" i="2" s="1"/>
  <c r="G2225" i="2" a="1"/>
  <c r="G2225" i="2" s="1"/>
  <c r="H2226" i="2" a="1"/>
  <c r="H2226" i="2" s="1"/>
  <c r="I2227" i="2" a="1"/>
  <c r="I2227" i="2" s="1"/>
  <c r="G2229" i="2" a="1"/>
  <c r="G2229" i="2" s="1"/>
  <c r="H2230" i="2" a="1"/>
  <c r="H2230" i="2" s="1"/>
  <c r="I2231" i="2" a="1"/>
  <c r="I2231" i="2" s="1"/>
  <c r="G2233" i="2" a="1"/>
  <c r="G2233" i="2" s="1"/>
  <c r="H2234" i="2" a="1"/>
  <c r="H2234" i="2" s="1"/>
  <c r="I2235" i="2" a="1"/>
  <c r="I2235" i="2" s="1"/>
  <c r="G2237" i="2" a="1"/>
  <c r="G2237" i="2" s="1"/>
  <c r="H2238" i="2" a="1"/>
  <c r="H2238" i="2" s="1"/>
  <c r="I2239" i="2" a="1"/>
  <c r="I2239" i="2" s="1"/>
  <c r="G2241" i="2" a="1"/>
  <c r="G2241" i="2" s="1"/>
  <c r="H2242" i="2" a="1"/>
  <c r="H2242" i="2" s="1"/>
  <c r="I2243" i="2" a="1"/>
  <c r="I2243" i="2" s="1"/>
  <c r="G2245" i="2" a="1"/>
  <c r="G2245" i="2" s="1"/>
  <c r="H2246" i="2" a="1"/>
  <c r="H2246" i="2" s="1"/>
  <c r="I2247" i="2" a="1"/>
  <c r="I2247" i="2" s="1"/>
  <c r="G2249" i="2" a="1"/>
  <c r="G2249" i="2" s="1"/>
  <c r="H2250" i="2" a="1"/>
  <c r="H2250" i="2" s="1"/>
  <c r="I2251" i="2" a="1"/>
  <c r="I2251" i="2" s="1"/>
  <c r="G2253" i="2" a="1"/>
  <c r="G2253" i="2" s="1"/>
  <c r="H2254" i="2" a="1"/>
  <c r="H2254" i="2" s="1"/>
  <c r="I2255" i="2" a="1"/>
  <c r="I2255" i="2" s="1"/>
  <c r="G2257" i="2" a="1"/>
  <c r="G2257" i="2" s="1"/>
  <c r="H2258" i="2" a="1"/>
  <c r="H2258" i="2" s="1"/>
  <c r="I2259" i="2" a="1"/>
  <c r="I2259" i="2" s="1"/>
  <c r="G2261" i="2" a="1"/>
  <c r="G2261" i="2" s="1"/>
  <c r="H2262" i="2" a="1"/>
  <c r="H2262" i="2" s="1"/>
  <c r="I2263" i="2" a="1"/>
  <c r="I2263" i="2" s="1"/>
  <c r="G2265" i="2" a="1"/>
  <c r="G2265" i="2" s="1"/>
  <c r="H2266" i="2" a="1"/>
  <c r="H2266" i="2" s="1"/>
  <c r="I2267" i="2" a="1"/>
  <c r="I2267" i="2" s="1"/>
  <c r="G2269" i="2" a="1"/>
  <c r="G2269" i="2" s="1"/>
  <c r="H2270" i="2" a="1"/>
  <c r="H2270" i="2" s="1"/>
  <c r="I2271" i="2" a="1"/>
  <c r="I2271" i="2" s="1"/>
  <c r="H1841" i="2" a="1"/>
  <c r="H1841" i="2" s="1"/>
  <c r="H1842" i="2" a="1"/>
  <c r="H1842" i="2" s="1"/>
  <c r="H1843" i="2" a="1"/>
  <c r="H1843" i="2" s="1"/>
  <c r="I1845" i="2" a="1"/>
  <c r="I1845" i="2" s="1"/>
  <c r="I1846" i="2" a="1"/>
  <c r="I1846" i="2" s="1"/>
  <c r="G1848" i="2" a="1"/>
  <c r="G1848" i="2" s="1"/>
  <c r="G1849" i="2" a="1"/>
  <c r="G1849" i="2" s="1"/>
  <c r="H1850" i="2" a="1"/>
  <c r="H1850" i="2" s="1"/>
  <c r="H1851" i="2" a="1"/>
  <c r="H1851" i="2" s="1"/>
  <c r="I1852" i="2" a="1"/>
  <c r="I1852" i="2" s="1"/>
  <c r="G1855" i="2" a="1"/>
  <c r="G1855" i="2" s="1"/>
  <c r="G1856" i="2" a="1"/>
  <c r="G1856" i="2" s="1"/>
  <c r="G1857" i="2" a="1"/>
  <c r="G1857" i="2" s="1"/>
  <c r="G1858" i="2" a="1"/>
  <c r="G1858" i="2" s="1"/>
  <c r="H1860" i="2" a="1"/>
  <c r="H1860" i="2" s="1"/>
  <c r="H1861" i="2" a="1"/>
  <c r="H1861" i="2" s="1"/>
  <c r="H1862" i="2" a="1"/>
  <c r="H1862" i="2" s="1"/>
  <c r="H1863" i="2" a="1"/>
  <c r="H1863" i="2" s="1"/>
  <c r="H1865" i="2" a="1"/>
  <c r="H1865" i="2" s="1"/>
  <c r="I1866" i="2" a="1"/>
  <c r="I1866" i="2" s="1"/>
  <c r="G1869" i="2" a="1"/>
  <c r="G1869" i="2" s="1"/>
  <c r="G1870" i="2" a="1"/>
  <c r="G1870" i="2" s="1"/>
  <c r="H1871" i="2" a="1"/>
  <c r="H1871" i="2" s="1"/>
  <c r="H1872" i="2" a="1"/>
  <c r="H1872" i="2" s="1"/>
  <c r="I1873" i="2" a="1"/>
  <c r="I1873" i="2" s="1"/>
  <c r="G1875" i="2" a="1"/>
  <c r="G1875" i="2" s="1"/>
  <c r="G1876" i="2" a="1"/>
  <c r="G1876" i="2" s="1"/>
  <c r="H1877" i="2" a="1"/>
  <c r="H1877" i="2" s="1"/>
  <c r="H1878" i="2" a="1"/>
  <c r="H1878" i="2" s="1"/>
  <c r="I1879" i="2" a="1"/>
  <c r="I1879" i="2" s="1"/>
  <c r="I1880" i="2" a="1"/>
  <c r="I1880" i="2" s="1"/>
  <c r="G1883" i="2" a="1"/>
  <c r="G1883" i="2" s="1"/>
  <c r="H1884" i="2" a="1"/>
  <c r="H1884" i="2" s="1"/>
  <c r="I1885" i="2" a="1"/>
  <c r="I1885" i="2" s="1"/>
  <c r="I1886" i="2" a="1"/>
  <c r="I1886" i="2" s="1"/>
  <c r="G1888" i="2" a="1"/>
  <c r="G1888" i="2" s="1"/>
  <c r="G1889" i="2" a="1"/>
  <c r="G1889" i="2" s="1"/>
  <c r="H1890" i="2" a="1"/>
  <c r="H1890" i="2" s="1"/>
  <c r="I1891" i="2" a="1"/>
  <c r="I1891" i="2" s="1"/>
  <c r="G1893" i="2" a="1"/>
  <c r="G1893" i="2" s="1"/>
  <c r="G1894" i="2" a="1"/>
  <c r="G1894" i="2" s="1"/>
  <c r="G1895" i="2" a="1"/>
  <c r="G1895" i="2" s="1"/>
  <c r="G1896" i="2" a="1"/>
  <c r="G1896" i="2" s="1"/>
  <c r="G1897" i="2" a="1"/>
  <c r="G1897" i="2" s="1"/>
  <c r="G1898" i="2" a="1"/>
  <c r="G1898" i="2" s="1"/>
  <c r="H1900" i="2" a="1"/>
  <c r="H1900" i="2" s="1"/>
  <c r="H1901" i="2" a="1"/>
  <c r="H1901" i="2" s="1"/>
  <c r="H1902" i="2" a="1"/>
  <c r="H1902" i="2" s="1"/>
  <c r="H1903" i="2" a="1"/>
  <c r="H1903" i="2" s="1"/>
  <c r="I1905" i="2" a="1"/>
  <c r="I1905" i="2" s="1"/>
  <c r="I1906" i="2" a="1"/>
  <c r="I1906" i="2" s="1"/>
  <c r="G1908" i="2" a="1"/>
  <c r="G1908" i="2" s="1"/>
  <c r="G1909" i="2" a="1"/>
  <c r="G1909" i="2" s="1"/>
  <c r="H1910" i="2" a="1"/>
  <c r="H1910" i="2" s="1"/>
  <c r="H1911" i="2" a="1"/>
  <c r="H1911" i="2" s="1"/>
  <c r="I1912" i="2" a="1"/>
  <c r="I1912" i="2" s="1"/>
  <c r="I1914" i="2" a="1"/>
  <c r="I1914" i="2" s="1"/>
  <c r="G1916" i="2" a="1"/>
  <c r="G1916" i="2" s="1"/>
  <c r="G1917" i="2" a="1"/>
  <c r="G1917" i="2" s="1"/>
  <c r="G1919" i="2" a="1"/>
  <c r="G1919" i="2" s="1"/>
  <c r="G1920" i="2" a="1"/>
  <c r="G1920" i="2" s="1"/>
  <c r="G1921" i="2" a="1"/>
  <c r="G1921" i="2" s="1"/>
  <c r="G1922" i="2" a="1"/>
  <c r="G1922" i="2" s="1"/>
  <c r="H1923" i="2" a="1"/>
  <c r="H1923" i="2" s="1"/>
  <c r="H1925" i="2" a="1"/>
  <c r="H1925" i="2" s="1"/>
  <c r="I1926" i="2" a="1"/>
  <c r="I1926" i="2" s="1"/>
  <c r="I1927" i="2" a="1"/>
  <c r="I1927" i="2" s="1"/>
  <c r="I1928" i="2" a="1"/>
  <c r="I1928" i="2" s="1"/>
  <c r="I1930" i="2" a="1"/>
  <c r="I1930" i="2" s="1"/>
  <c r="I1931" i="2" a="1"/>
  <c r="I1931" i="2" s="1"/>
  <c r="I1932" i="2" a="1"/>
  <c r="I1932" i="2" s="1"/>
  <c r="G1935" i="2" a="1"/>
  <c r="G1935" i="2" s="1"/>
  <c r="G1936" i="2" a="1"/>
  <c r="G1936" i="2" s="1"/>
  <c r="G1937" i="2" a="1"/>
  <c r="G1937" i="2" s="1"/>
  <c r="G1938" i="2" a="1"/>
  <c r="G1938" i="2" s="1"/>
  <c r="H1940" i="2" a="1"/>
  <c r="H1940" i="2" s="1"/>
  <c r="I1941" i="2" a="1"/>
  <c r="I1941" i="2" s="1"/>
  <c r="G1943" i="2" a="1"/>
  <c r="G1943" i="2" s="1"/>
  <c r="H1944" i="2" a="1"/>
  <c r="H1944" i="2" s="1"/>
  <c r="H1945" i="2" a="1"/>
  <c r="H1945" i="2" s="1"/>
  <c r="H1946" i="2" a="1"/>
  <c r="H1946" i="2" s="1"/>
  <c r="H1947" i="2" a="1"/>
  <c r="H1947" i="2" s="1"/>
  <c r="I1948" i="2" a="1"/>
  <c r="I1948" i="2" s="1"/>
  <c r="G1951" i="2" a="1"/>
  <c r="G1951" i="2" s="1"/>
  <c r="G1952" i="2" a="1"/>
  <c r="G1952" i="2" s="1"/>
  <c r="G1953" i="2" a="1"/>
  <c r="G1953" i="2" s="1"/>
  <c r="G1954" i="2" a="1"/>
  <c r="G1954" i="2" s="1"/>
  <c r="H1956" i="2" a="1"/>
  <c r="H1956" i="2" s="1"/>
  <c r="I1957" i="2" a="1"/>
  <c r="I1957" i="2" s="1"/>
  <c r="G1959" i="2" a="1"/>
  <c r="G1959" i="2" s="1"/>
  <c r="H1960" i="2" a="1"/>
  <c r="H1960" i="2" s="1"/>
  <c r="H1961" i="2" a="1"/>
  <c r="H1961" i="2" s="1"/>
  <c r="I1962" i="2" a="1"/>
  <c r="I1962" i="2" s="1"/>
  <c r="G1965" i="2" a="1"/>
  <c r="G1965" i="2" s="1"/>
  <c r="G1966" i="2" a="1"/>
  <c r="G1966" i="2" s="1"/>
  <c r="G1967" i="2" a="1"/>
  <c r="G1967" i="2" s="1"/>
  <c r="H1968" i="2" a="1"/>
  <c r="H1968" i="2" s="1"/>
  <c r="H1969" i="2" a="1"/>
  <c r="H1969" i="2" s="1"/>
  <c r="I1970" i="2" a="1"/>
  <c r="I1970" i="2" s="1"/>
  <c r="G1972" i="2" a="1"/>
  <c r="G1972" i="2" s="1"/>
  <c r="H1973" i="2" a="1"/>
  <c r="H1973" i="2" s="1"/>
  <c r="I1974" i="2" a="1"/>
  <c r="I1974" i="2" s="1"/>
  <c r="G1976" i="2" a="1"/>
  <c r="G1976" i="2" s="1"/>
  <c r="H1977" i="2" a="1"/>
  <c r="H1977" i="2" s="1"/>
  <c r="I1978" i="2" a="1"/>
  <c r="I1978" i="2" s="1"/>
  <c r="G1980" i="2" a="1"/>
  <c r="G1980" i="2" s="1"/>
  <c r="H1981" i="2" a="1"/>
  <c r="H1981" i="2" s="1"/>
  <c r="I1982" i="2" a="1"/>
  <c r="I1982" i="2" s="1"/>
  <c r="G1984" i="2" a="1"/>
  <c r="G1984" i="2" s="1"/>
  <c r="H1985" i="2" a="1"/>
  <c r="H1985" i="2" s="1"/>
  <c r="I1986" i="2" a="1"/>
  <c r="I1986" i="2" s="1"/>
  <c r="G1988" i="2" a="1"/>
  <c r="G1988" i="2" s="1"/>
  <c r="H1989" i="2" a="1"/>
  <c r="H1989" i="2" s="1"/>
  <c r="I1990" i="2" a="1"/>
  <c r="I1990" i="2" s="1"/>
  <c r="G1992" i="2" a="1"/>
  <c r="G1992" i="2" s="1"/>
  <c r="H1993" i="2" a="1"/>
  <c r="H1993" i="2" s="1"/>
  <c r="I1994" i="2" a="1"/>
  <c r="I1994" i="2" s="1"/>
  <c r="G1996" i="2" a="1"/>
  <c r="G1996" i="2" s="1"/>
  <c r="H1997" i="2" a="1"/>
  <c r="H1997" i="2" s="1"/>
  <c r="I1998" i="2" a="1"/>
  <c r="I1998" i="2" s="1"/>
  <c r="G2000" i="2" a="1"/>
  <c r="G2000" i="2" s="1"/>
  <c r="H2001" i="2" a="1"/>
  <c r="H2001" i="2" s="1"/>
  <c r="I2002" i="2" a="1"/>
  <c r="I2002" i="2" s="1"/>
  <c r="G2004" i="2" a="1"/>
  <c r="G2004" i="2" s="1"/>
  <c r="H2005" i="2" a="1"/>
  <c r="H2005" i="2" s="1"/>
  <c r="I2006" i="2" a="1"/>
  <c r="I2006" i="2" s="1"/>
  <c r="G2008" i="2" a="1"/>
  <c r="G2008" i="2" s="1"/>
  <c r="H2009" i="2" a="1"/>
  <c r="H2009" i="2" s="1"/>
  <c r="I2010" i="2" a="1"/>
  <c r="I2010" i="2" s="1"/>
  <c r="G2012" i="2" a="1"/>
  <c r="G2012" i="2" s="1"/>
  <c r="H2013" i="2" a="1"/>
  <c r="H2013" i="2" s="1"/>
  <c r="I2014" i="2" a="1"/>
  <c r="I2014" i="2" s="1"/>
  <c r="G2016" i="2" a="1"/>
  <c r="G2016" i="2" s="1"/>
  <c r="H2017" i="2" a="1"/>
  <c r="H2017" i="2" s="1"/>
  <c r="I2018" i="2" a="1"/>
  <c r="I2018" i="2" s="1"/>
  <c r="G2020" i="2" a="1"/>
  <c r="G2020" i="2" s="1"/>
  <c r="H2021" i="2" a="1"/>
  <c r="H2021" i="2" s="1"/>
  <c r="I2022" i="2" a="1"/>
  <c r="I2022" i="2" s="1"/>
  <c r="G2024" i="2" a="1"/>
  <c r="G2024" i="2" s="1"/>
  <c r="H2025" i="2" a="1"/>
  <c r="H2025" i="2" s="1"/>
  <c r="I2026" i="2" a="1"/>
  <c r="I2026" i="2" s="1"/>
  <c r="G2028" i="2" a="1"/>
  <c r="G2028" i="2" s="1"/>
  <c r="H2029" i="2" a="1"/>
  <c r="H2029" i="2" s="1"/>
  <c r="I2030" i="2" a="1"/>
  <c r="I2030" i="2" s="1"/>
  <c r="G2032" i="2" a="1"/>
  <c r="G2032" i="2" s="1"/>
  <c r="H2033" i="2" a="1"/>
  <c r="H2033" i="2" s="1"/>
  <c r="I2034" i="2" a="1"/>
  <c r="I2034" i="2" s="1"/>
  <c r="G2036" i="2" a="1"/>
  <c r="G2036" i="2" s="1"/>
  <c r="H2037" i="2" a="1"/>
  <c r="H2037" i="2" s="1"/>
  <c r="I2038" i="2" a="1"/>
  <c r="I2038" i="2" s="1"/>
  <c r="G2040" i="2" a="1"/>
  <c r="G2040" i="2" s="1"/>
  <c r="H2041" i="2" a="1"/>
  <c r="H2041" i="2" s="1"/>
  <c r="I2042" i="2" a="1"/>
  <c r="I2042" i="2" s="1"/>
  <c r="G2044" i="2" a="1"/>
  <c r="G2044" i="2" s="1"/>
  <c r="H2045" i="2" a="1"/>
  <c r="H2045" i="2" s="1"/>
  <c r="I2046" i="2" a="1"/>
  <c r="I2046" i="2" s="1"/>
  <c r="G2048" i="2" a="1"/>
  <c r="G2048" i="2" s="1"/>
  <c r="H2049" i="2" a="1"/>
  <c r="H2049" i="2" s="1"/>
  <c r="I2050" i="2" a="1"/>
  <c r="I2050" i="2" s="1"/>
  <c r="G2052" i="2" a="1"/>
  <c r="G2052" i="2" s="1"/>
  <c r="H2053" i="2" a="1"/>
  <c r="H2053" i="2" s="1"/>
  <c r="I2054" i="2" a="1"/>
  <c r="I2054" i="2" s="1"/>
  <c r="G2056" i="2" a="1"/>
  <c r="G2056" i="2" s="1"/>
  <c r="H2057" i="2" a="1"/>
  <c r="H2057" i="2" s="1"/>
  <c r="I2058" i="2" a="1"/>
  <c r="I2058" i="2" s="1"/>
  <c r="G2060" i="2" a="1"/>
  <c r="G2060" i="2" s="1"/>
  <c r="H2061" i="2" a="1"/>
  <c r="H2061" i="2" s="1"/>
  <c r="I2062" i="2" a="1"/>
  <c r="I2062" i="2" s="1"/>
  <c r="G2064" i="2" a="1"/>
  <c r="G2064" i="2" s="1"/>
  <c r="H2065" i="2" a="1"/>
  <c r="H2065" i="2" s="1"/>
  <c r="I2066" i="2" a="1"/>
  <c r="I2066" i="2" s="1"/>
  <c r="G2068" i="2" a="1"/>
  <c r="G2068" i="2" s="1"/>
  <c r="H2069" i="2" a="1"/>
  <c r="H2069" i="2" s="1"/>
  <c r="I2070" i="2" a="1"/>
  <c r="I2070" i="2" s="1"/>
  <c r="G2072" i="2" a="1"/>
  <c r="G2072" i="2" s="1"/>
  <c r="H2073" i="2" a="1"/>
  <c r="H2073" i="2" s="1"/>
  <c r="I2074" i="2" a="1"/>
  <c r="I2074" i="2" s="1"/>
  <c r="G2076" i="2" a="1"/>
  <c r="G2076" i="2" s="1"/>
  <c r="H2077" i="2" a="1"/>
  <c r="H2077" i="2" s="1"/>
  <c r="I2078" i="2" a="1"/>
  <c r="I2078" i="2" s="1"/>
  <c r="G2080" i="2" a="1"/>
  <c r="G2080" i="2" s="1"/>
  <c r="H2081" i="2" a="1"/>
  <c r="H2081" i="2" s="1"/>
  <c r="I2082" i="2" a="1"/>
  <c r="I2082" i="2" s="1"/>
  <c r="G2084" i="2" a="1"/>
  <c r="G2084" i="2" s="1"/>
  <c r="H2085" i="2" a="1"/>
  <c r="H2085" i="2" s="1"/>
  <c r="I2086" i="2" a="1"/>
  <c r="I2086" i="2" s="1"/>
  <c r="G2088" i="2" a="1"/>
  <c r="G2088" i="2" s="1"/>
  <c r="H2089" i="2" a="1"/>
  <c r="H2089" i="2" s="1"/>
  <c r="I2090" i="2" a="1"/>
  <c r="I2090" i="2" s="1"/>
  <c r="G2092" i="2" a="1"/>
  <c r="G2092" i="2" s="1"/>
  <c r="H2093" i="2" a="1"/>
  <c r="H2093" i="2" s="1"/>
  <c r="I2094" i="2" a="1"/>
  <c r="I2094" i="2" s="1"/>
  <c r="G2096" i="2" a="1"/>
  <c r="G2096" i="2" s="1"/>
  <c r="H2097" i="2" a="1"/>
  <c r="H2097" i="2" s="1"/>
  <c r="I2098" i="2" a="1"/>
  <c r="I2098" i="2" s="1"/>
  <c r="G2100" i="2" a="1"/>
  <c r="G2100" i="2" s="1"/>
  <c r="H2101" i="2" a="1"/>
  <c r="H2101" i="2" s="1"/>
  <c r="I2102" i="2" a="1"/>
  <c r="I2102" i="2" s="1"/>
  <c r="G2104" i="2" a="1"/>
  <c r="G2104" i="2" s="1"/>
  <c r="H2105" i="2" a="1"/>
  <c r="H2105" i="2" s="1"/>
  <c r="I2106" i="2" a="1"/>
  <c r="I2106" i="2" s="1"/>
  <c r="G2108" i="2" a="1"/>
  <c r="G2108" i="2" s="1"/>
  <c r="H2109" i="2" a="1"/>
  <c r="H2109" i="2" s="1"/>
  <c r="I2110" i="2" a="1"/>
  <c r="I2110" i="2" s="1"/>
  <c r="G2112" i="2" a="1"/>
  <c r="G2112" i="2" s="1"/>
  <c r="H2113" i="2" a="1"/>
  <c r="H2113" i="2" s="1"/>
  <c r="I2114" i="2" a="1"/>
  <c r="I2114" i="2" s="1"/>
  <c r="G2116" i="2" a="1"/>
  <c r="G2116" i="2" s="1"/>
  <c r="H2117" i="2" a="1"/>
  <c r="H2117" i="2" s="1"/>
  <c r="I2118" i="2" a="1"/>
  <c r="I2118" i="2" s="1"/>
  <c r="G2120" i="2" a="1"/>
  <c r="G2120" i="2" s="1"/>
  <c r="H2121" i="2" a="1"/>
  <c r="H2121" i="2" s="1"/>
  <c r="I2122" i="2" a="1"/>
  <c r="I2122" i="2" s="1"/>
  <c r="G2124" i="2" a="1"/>
  <c r="G2124" i="2" s="1"/>
  <c r="H2125" i="2" a="1"/>
  <c r="H2125" i="2" s="1"/>
  <c r="I2126" i="2" a="1"/>
  <c r="I2126" i="2" s="1"/>
  <c r="G2128" i="2" a="1"/>
  <c r="G2128" i="2" s="1"/>
  <c r="H2129" i="2" a="1"/>
  <c r="H2129" i="2" s="1"/>
  <c r="I2130" i="2" a="1"/>
  <c r="I2130" i="2" s="1"/>
  <c r="G2132" i="2" a="1"/>
  <c r="G2132" i="2" s="1"/>
  <c r="H2133" i="2" a="1"/>
  <c r="H2133" i="2" s="1"/>
  <c r="I2134" i="2" a="1"/>
  <c r="I2134" i="2" s="1"/>
  <c r="G2136" i="2" a="1"/>
  <c r="G2136" i="2" s="1"/>
  <c r="H2137" i="2" a="1"/>
  <c r="H2137" i="2" s="1"/>
  <c r="I2138" i="2" a="1"/>
  <c r="I2138" i="2" s="1"/>
  <c r="G2140" i="2" a="1"/>
  <c r="G2140" i="2" s="1"/>
  <c r="H2141" i="2" a="1"/>
  <c r="H2141" i="2" s="1"/>
  <c r="I2142" i="2" a="1"/>
  <c r="I2142" i="2" s="1"/>
  <c r="G2144" i="2" a="1"/>
  <c r="G2144" i="2" s="1"/>
  <c r="H2145" i="2" a="1"/>
  <c r="H2145" i="2" s="1"/>
  <c r="I2146" i="2" a="1"/>
  <c r="I2146" i="2" s="1"/>
  <c r="G2148" i="2" a="1"/>
  <c r="G2148" i="2" s="1"/>
  <c r="H2149" i="2" a="1"/>
  <c r="H2149" i="2" s="1"/>
  <c r="I2150" i="2" a="1"/>
  <c r="I2150" i="2" s="1"/>
  <c r="G2152" i="2" a="1"/>
  <c r="G2152" i="2" s="1"/>
  <c r="H2153" i="2" a="1"/>
  <c r="H2153" i="2" s="1"/>
  <c r="I2154" i="2" a="1"/>
  <c r="I2154" i="2" s="1"/>
  <c r="G2156" i="2" a="1"/>
  <c r="G2156" i="2" s="1"/>
  <c r="H2157" i="2" a="1"/>
  <c r="H2157" i="2" s="1"/>
  <c r="I2158" i="2" a="1"/>
  <c r="I2158" i="2" s="1"/>
  <c r="G2160" i="2" a="1"/>
  <c r="G2160" i="2" s="1"/>
  <c r="H2161" i="2" a="1"/>
  <c r="H2161" i="2" s="1"/>
  <c r="I2162" i="2" a="1"/>
  <c r="I2162" i="2" s="1"/>
  <c r="G2164" i="2" a="1"/>
  <c r="G2164" i="2" s="1"/>
  <c r="H2165" i="2" a="1"/>
  <c r="H2165" i="2" s="1"/>
  <c r="I2166" i="2" a="1"/>
  <c r="I2166" i="2" s="1"/>
  <c r="G2168" i="2" a="1"/>
  <c r="G2168" i="2" s="1"/>
  <c r="H2169" i="2" a="1"/>
  <c r="H2169" i="2" s="1"/>
  <c r="I2170" i="2" a="1"/>
  <c r="I2170" i="2" s="1"/>
  <c r="G2172" i="2" a="1"/>
  <c r="G2172" i="2" s="1"/>
  <c r="H2173" i="2" a="1"/>
  <c r="H2173" i="2" s="1"/>
  <c r="I2174" i="2" a="1"/>
  <c r="I2174" i="2" s="1"/>
  <c r="G2176" i="2" a="1"/>
  <c r="G2176" i="2" s="1"/>
  <c r="H2177" i="2" a="1"/>
  <c r="H2177" i="2" s="1"/>
  <c r="I2178" i="2" a="1"/>
  <c r="I2178" i="2" s="1"/>
  <c r="G2180" i="2" a="1"/>
  <c r="G2180" i="2" s="1"/>
  <c r="H2181" i="2" a="1"/>
  <c r="H2181" i="2" s="1"/>
  <c r="I2182" i="2" a="1"/>
  <c r="I2182" i="2" s="1"/>
  <c r="G2184" i="2" a="1"/>
  <c r="G2184" i="2" s="1"/>
  <c r="H2185" i="2" a="1"/>
  <c r="H2185" i="2" s="1"/>
  <c r="I2186" i="2" a="1"/>
  <c r="I2186" i="2" s="1"/>
  <c r="G2188" i="2" a="1"/>
  <c r="G2188" i="2" s="1"/>
  <c r="H2189" i="2" a="1"/>
  <c r="H2189" i="2" s="1"/>
  <c r="I2190" i="2" a="1"/>
  <c r="I2190" i="2" s="1"/>
  <c r="G2192" i="2" a="1"/>
  <c r="G2192" i="2" s="1"/>
  <c r="H2193" i="2" a="1"/>
  <c r="H2193" i="2" s="1"/>
  <c r="I2194" i="2" a="1"/>
  <c r="I2194" i="2" s="1"/>
  <c r="G2196" i="2" a="1"/>
  <c r="G2196" i="2" s="1"/>
  <c r="H2197" i="2" a="1"/>
  <c r="H2197" i="2" s="1"/>
  <c r="I2198" i="2" a="1"/>
  <c r="I2198" i="2" s="1"/>
  <c r="G2200" i="2" a="1"/>
  <c r="G2200" i="2" s="1"/>
  <c r="H2201" i="2" a="1"/>
  <c r="H2201" i="2" s="1"/>
  <c r="I2202" i="2" a="1"/>
  <c r="I2202" i="2" s="1"/>
  <c r="G2204" i="2" a="1"/>
  <c r="G2204" i="2" s="1"/>
  <c r="H2205" i="2" a="1"/>
  <c r="H2205" i="2" s="1"/>
  <c r="I2206" i="2" a="1"/>
  <c r="I2206" i="2" s="1"/>
  <c r="G2208" i="2" a="1"/>
  <c r="G2208" i="2" s="1"/>
  <c r="H2209" i="2" a="1"/>
  <c r="H2209" i="2" s="1"/>
  <c r="I2210" i="2" a="1"/>
  <c r="I2210" i="2" s="1"/>
  <c r="G2212" i="2" a="1"/>
  <c r="G2212" i="2" s="1"/>
  <c r="H2213" i="2" a="1"/>
  <c r="H2213" i="2" s="1"/>
  <c r="I2214" i="2" a="1"/>
  <c r="I2214" i="2" s="1"/>
  <c r="G2216" i="2" a="1"/>
  <c r="G2216" i="2" s="1"/>
  <c r="H2217" i="2" a="1"/>
  <c r="H2217" i="2" s="1"/>
  <c r="I2218" i="2" a="1"/>
  <c r="I2218" i="2" s="1"/>
  <c r="G2220" i="2" a="1"/>
  <c r="G2220" i="2" s="1"/>
  <c r="H2221" i="2" a="1"/>
  <c r="H2221" i="2" s="1"/>
  <c r="I2222" i="2" a="1"/>
  <c r="I2222" i="2" s="1"/>
  <c r="G2224" i="2" a="1"/>
  <c r="G2224" i="2" s="1"/>
  <c r="H2225" i="2" a="1"/>
  <c r="H2225" i="2" s="1"/>
  <c r="I2226" i="2" a="1"/>
  <c r="I2226" i="2" s="1"/>
  <c r="G2228" i="2" a="1"/>
  <c r="G2228" i="2" s="1"/>
  <c r="H2229" i="2" a="1"/>
  <c r="H2229" i="2" s="1"/>
  <c r="I2230" i="2" a="1"/>
  <c r="I2230" i="2" s="1"/>
  <c r="G2232" i="2" a="1"/>
  <c r="G2232" i="2" s="1"/>
  <c r="H2233" i="2" a="1"/>
  <c r="H2233" i="2" s="1"/>
  <c r="I2234" i="2" a="1"/>
  <c r="I2234" i="2" s="1"/>
  <c r="G2236" i="2" a="1"/>
  <c r="G2236" i="2" s="1"/>
  <c r="H2237" i="2" a="1"/>
  <c r="H2237" i="2" s="1"/>
  <c r="I2238" i="2" a="1"/>
  <c r="I2238" i="2" s="1"/>
  <c r="G2240" i="2" a="1"/>
  <c r="G2240" i="2" s="1"/>
  <c r="H2241" i="2" a="1"/>
  <c r="H2241" i="2" s="1"/>
  <c r="I2242" i="2" a="1"/>
  <c r="I2242" i="2" s="1"/>
  <c r="G2244" i="2" a="1"/>
  <c r="G2244" i="2" s="1"/>
  <c r="H2245" i="2" a="1"/>
  <c r="H2245" i="2" s="1"/>
  <c r="I2246" i="2" a="1"/>
  <c r="I2246" i="2" s="1"/>
  <c r="G2248" i="2" a="1"/>
  <c r="G2248" i="2" s="1"/>
  <c r="H2249" i="2" a="1"/>
  <c r="H2249" i="2" s="1"/>
  <c r="I2250" i="2" a="1"/>
  <c r="I2250" i="2" s="1"/>
  <c r="G2252" i="2" a="1"/>
  <c r="G2252" i="2" s="1"/>
  <c r="H2253" i="2" a="1"/>
  <c r="H2253" i="2" s="1"/>
  <c r="I2254" i="2" a="1"/>
  <c r="I2254" i="2" s="1"/>
  <c r="G2256" i="2" a="1"/>
  <c r="G2256" i="2" s="1"/>
  <c r="H2257" i="2" a="1"/>
  <c r="H2257" i="2" s="1"/>
  <c r="I2258" i="2" a="1"/>
  <c r="I2258" i="2" s="1"/>
  <c r="G2260" i="2" a="1"/>
  <c r="G2260" i="2" s="1"/>
  <c r="H2261" i="2" a="1"/>
  <c r="H2261" i="2" s="1"/>
  <c r="I2262" i="2" a="1"/>
  <c r="I2262" i="2" s="1"/>
  <c r="G2264" i="2" a="1"/>
  <c r="G2264" i="2" s="1"/>
  <c r="H2265" i="2" a="1"/>
  <c r="H2265" i="2" s="1"/>
  <c r="I2266" i="2" a="1"/>
  <c r="I2266" i="2" s="1"/>
  <c r="G2268" i="2" a="1"/>
  <c r="G2268" i="2" s="1"/>
  <c r="H2269" i="2" a="1"/>
  <c r="H2269" i="2" s="1"/>
  <c r="I2270" i="2" a="1"/>
  <c r="I2270" i="2" s="1"/>
  <c r="G2272" i="2" a="1"/>
  <c r="G2272" i="2" s="1"/>
  <c r="I1841" i="2" a="1"/>
  <c r="I1841" i="2" s="1"/>
  <c r="I1842" i="2" a="1"/>
  <c r="I1842" i="2" s="1"/>
  <c r="I1843" i="2" a="1"/>
  <c r="I1843" i="2" s="1"/>
  <c r="I1844" i="2" a="1"/>
  <c r="I1844" i="2" s="1"/>
  <c r="G1847" i="2" a="1"/>
  <c r="G1847" i="2" s="1"/>
  <c r="H1848" i="2" a="1"/>
  <c r="H1848" i="2" s="1"/>
  <c r="H1849" i="2" a="1"/>
  <c r="H1849" i="2" s="1"/>
  <c r="I1850" i="2" a="1"/>
  <c r="I1850" i="2" s="1"/>
  <c r="I1851" i="2" a="1"/>
  <c r="I1851" i="2" s="1"/>
  <c r="G1853" i="2" a="1"/>
  <c r="G1853" i="2" s="1"/>
  <c r="G1854" i="2" a="1"/>
  <c r="G1854" i="2" s="1"/>
  <c r="H1856" i="2" a="1"/>
  <c r="H1856" i="2" s="1"/>
  <c r="H1857" i="2" a="1"/>
  <c r="H1857" i="2" s="1"/>
  <c r="H1858" i="2" a="1"/>
  <c r="H1858" i="2" s="1"/>
  <c r="H1859" i="2" a="1"/>
  <c r="H1859" i="2" s="1"/>
  <c r="I1861" i="2" a="1"/>
  <c r="I1861" i="2" s="1"/>
  <c r="I1863" i="2" a="1"/>
  <c r="I1863" i="2" s="1"/>
  <c r="I1864" i="2" a="1"/>
  <c r="I1864" i="2" s="1"/>
  <c r="I1865" i="2" a="1"/>
  <c r="I1865" i="2" s="1"/>
  <c r="G1867" i="2" a="1"/>
  <c r="G1867" i="2" s="1"/>
  <c r="G1868" i="2" a="1"/>
  <c r="G1868" i="2" s="1"/>
  <c r="H1870" i="2" a="1"/>
  <c r="H1870" i="2" s="1"/>
  <c r="I1871" i="2" a="1"/>
  <c r="I1871" i="2" s="1"/>
  <c r="I1872" i="2" a="1"/>
  <c r="I1872" i="2" s="1"/>
  <c r="G1874" i="2" a="1"/>
  <c r="G1874" i="2" s="1"/>
  <c r="H1875" i="2" a="1"/>
  <c r="H1875" i="2" s="1"/>
  <c r="H1876" i="2" a="1"/>
  <c r="H1876" i="2" s="1"/>
  <c r="I1877" i="2" a="1"/>
  <c r="I1877" i="2" s="1"/>
  <c r="I1878" i="2" a="1"/>
  <c r="I1878" i="2" s="1"/>
  <c r="G1880" i="2" a="1"/>
  <c r="G1880" i="2" s="1"/>
  <c r="G1881" i="2" a="1"/>
  <c r="G1881" i="2" s="1"/>
  <c r="G1882" i="2" a="1"/>
  <c r="G1882" i="2" s="1"/>
  <c r="H1883" i="2" a="1"/>
  <c r="H1883" i="2" s="1"/>
  <c r="I1884" i="2" a="1"/>
  <c r="I1884" i="2" s="1"/>
  <c r="G1887" i="2" a="1"/>
  <c r="G1887" i="2" s="1"/>
  <c r="H1888" i="2" a="1"/>
  <c r="H1888" i="2" s="1"/>
  <c r="H1889" i="2" a="1"/>
  <c r="H1889" i="2" s="1"/>
  <c r="I1890" i="2" a="1"/>
  <c r="I1890" i="2" s="1"/>
  <c r="G1892" i="2" a="1"/>
  <c r="G1892" i="2" s="1"/>
  <c r="H1893" i="2" a="1"/>
  <c r="H1893" i="2" s="1"/>
  <c r="H1894" i="2" a="1"/>
  <c r="H1894" i="2" s="1"/>
  <c r="H1896" i="2" a="1"/>
  <c r="H1896" i="2" s="1"/>
  <c r="H1897" i="2" a="1"/>
  <c r="H1897" i="2" s="1"/>
  <c r="H1898" i="2" a="1"/>
  <c r="H1898" i="2" s="1"/>
  <c r="H1899" i="2" a="1"/>
  <c r="H1899" i="2" s="1"/>
  <c r="I1901" i="2" a="1"/>
  <c r="I1901" i="2" s="1"/>
  <c r="I1902" i="2" a="1"/>
  <c r="I1902" i="2" s="1"/>
  <c r="I1903" i="2" a="1"/>
  <c r="I1903" i="2" s="1"/>
  <c r="I1904" i="2" a="1"/>
  <c r="I1904" i="2" s="1"/>
  <c r="G1907" i="2" a="1"/>
  <c r="G1907" i="2" s="1"/>
  <c r="H1908" i="2" a="1"/>
  <c r="H1908" i="2" s="1"/>
  <c r="H1909" i="2" a="1"/>
  <c r="H1909" i="2" s="1"/>
  <c r="I1910" i="2" a="1"/>
  <c r="I1910" i="2" s="1"/>
  <c r="I1911" i="2" a="1"/>
  <c r="I1911" i="2" s="1"/>
  <c r="G1913" i="2" a="1"/>
  <c r="G1913" i="2" s="1"/>
  <c r="G1914" i="2" a="1"/>
  <c r="G1914" i="2" s="1"/>
  <c r="G1915" i="2" a="1"/>
  <c r="G1915" i="2" s="1"/>
  <c r="H1916" i="2" a="1"/>
  <c r="H1916" i="2" s="1"/>
  <c r="G1918" i="2" a="1"/>
  <c r="G1918" i="2" s="1"/>
  <c r="H1920" i="2" a="1"/>
  <c r="H1920" i="2" s="1"/>
  <c r="H1921" i="2" a="1"/>
  <c r="H1921" i="2" s="1"/>
  <c r="H1922" i="2" a="1"/>
  <c r="H1922" i="2" s="1"/>
  <c r="I1923" i="2" a="1"/>
  <c r="I1923" i="2" s="1"/>
  <c r="I1924" i="2" a="1"/>
  <c r="I1924" i="2" s="1"/>
  <c r="I1925" i="2" a="1"/>
  <c r="I1925" i="2" s="1"/>
  <c r="G1927" i="2" a="1"/>
  <c r="G1927" i="2" s="1"/>
  <c r="G1929" i="2" a="1"/>
  <c r="G1929" i="2" s="1"/>
  <c r="G1930" i="2" a="1"/>
  <c r="G1930" i="2" s="1"/>
  <c r="G1931" i="2" a="1"/>
  <c r="G1931" i="2" s="1"/>
  <c r="G1932" i="2" a="1"/>
  <c r="G1932" i="2" s="1"/>
  <c r="G1933" i="2" a="1"/>
  <c r="G1933" i="2" s="1"/>
  <c r="G1934" i="2" a="1"/>
  <c r="G1934" i="2" s="1"/>
  <c r="H1936" i="2" a="1"/>
  <c r="H1936" i="2" s="1"/>
  <c r="H1937" i="2" a="1"/>
  <c r="H1937" i="2" s="1"/>
  <c r="H1938" i="2" a="1"/>
  <c r="H1938" i="2" s="1"/>
  <c r="H1939" i="2" a="1"/>
  <c r="H1939" i="2" s="1"/>
  <c r="I1940" i="2" a="1"/>
  <c r="I1940" i="2" s="1"/>
  <c r="G1942" i="2" a="1"/>
  <c r="G1942" i="2" s="1"/>
  <c r="H1943" i="2" a="1"/>
  <c r="H1943" i="2" s="1"/>
  <c r="I1945" i="2" a="1"/>
  <c r="I1945" i="2" s="1"/>
  <c r="I1946" i="2" a="1"/>
  <c r="I1946" i="2" s="1"/>
  <c r="I1947" i="2" a="1"/>
  <c r="I1947" i="2" s="1"/>
  <c r="G1949" i="2" a="1"/>
  <c r="G1949" i="2" s="1"/>
  <c r="G1950" i="2" a="1"/>
  <c r="G1950" i="2" s="1"/>
  <c r="H1952" i="2" a="1"/>
  <c r="H1952" i="2" s="1"/>
  <c r="H1953" i="2" a="1"/>
  <c r="H1953" i="2" s="1"/>
  <c r="H1954" i="2" a="1"/>
  <c r="H1954" i="2" s="1"/>
  <c r="H1955" i="2" a="1"/>
  <c r="H1955" i="2" s="1"/>
  <c r="I1956" i="2" a="1"/>
  <c r="I1956" i="2" s="1"/>
  <c r="G1958" i="2" a="1"/>
  <c r="G1958" i="2" s="1"/>
  <c r="H1959" i="2" a="1"/>
  <c r="H1959" i="2" s="1"/>
  <c r="I1960" i="2" a="1"/>
  <c r="I1960" i="2" s="1"/>
  <c r="I1961" i="2" a="1"/>
  <c r="I1961" i="2" s="1"/>
  <c r="G1963" i="2" a="1"/>
  <c r="G1963" i="2" s="1"/>
  <c r="G1964" i="2" a="1"/>
  <c r="G1964" i="2" s="1"/>
  <c r="H1965" i="2" a="1"/>
  <c r="H1965" i="2" s="1"/>
  <c r="H1966" i="2" a="1"/>
  <c r="H1966" i="2" s="1"/>
  <c r="H1967" i="2" a="1"/>
  <c r="H1967" i="2" s="1"/>
  <c r="I1969" i="2" a="1"/>
  <c r="I1969" i="2" s="1"/>
  <c r="G1971" i="2" a="1"/>
  <c r="G1971" i="2" s="1"/>
  <c r="H1972" i="2" a="1"/>
  <c r="H1972" i="2" s="1"/>
  <c r="I1973" i="2" a="1"/>
  <c r="I1973" i="2" s="1"/>
  <c r="G1975" i="2" a="1"/>
  <c r="G1975" i="2" s="1"/>
  <c r="H1976" i="2" a="1"/>
  <c r="H1976" i="2" s="1"/>
  <c r="I1977" i="2" a="1"/>
  <c r="I1977" i="2" s="1"/>
  <c r="G1979" i="2" a="1"/>
  <c r="G1979" i="2" s="1"/>
  <c r="H1980" i="2" a="1"/>
  <c r="H1980" i="2" s="1"/>
  <c r="I1981" i="2" a="1"/>
  <c r="I1981" i="2" s="1"/>
  <c r="G1983" i="2" a="1"/>
  <c r="G1983" i="2" s="1"/>
  <c r="H1984" i="2" a="1"/>
  <c r="H1984" i="2" s="1"/>
  <c r="I1985" i="2" a="1"/>
  <c r="I1985" i="2" s="1"/>
  <c r="G1987" i="2" a="1"/>
  <c r="G1987" i="2" s="1"/>
  <c r="H1988" i="2" a="1"/>
  <c r="H1988" i="2" s="1"/>
  <c r="I1989" i="2" a="1"/>
  <c r="I1989" i="2" s="1"/>
  <c r="G1991" i="2" a="1"/>
  <c r="G1991" i="2" s="1"/>
  <c r="H1992" i="2" a="1"/>
  <c r="H1992" i="2" s="1"/>
  <c r="I1993" i="2" a="1"/>
  <c r="I1993" i="2" s="1"/>
  <c r="G1995" i="2" a="1"/>
  <c r="G1995" i="2" s="1"/>
  <c r="H1996" i="2" a="1"/>
  <c r="H1996" i="2" s="1"/>
  <c r="I1997" i="2" a="1"/>
  <c r="I1997" i="2" s="1"/>
  <c r="G1999" i="2" a="1"/>
  <c r="G1999" i="2" s="1"/>
  <c r="H2000" i="2" a="1"/>
  <c r="H2000" i="2" s="1"/>
  <c r="I2001" i="2" a="1"/>
  <c r="I2001" i="2" s="1"/>
  <c r="G2003" i="2" a="1"/>
  <c r="G2003" i="2" s="1"/>
  <c r="H2004" i="2" a="1"/>
  <c r="H2004" i="2" s="1"/>
  <c r="I2005" i="2" a="1"/>
  <c r="I2005" i="2" s="1"/>
  <c r="G2007" i="2" a="1"/>
  <c r="G2007" i="2" s="1"/>
  <c r="H2008" i="2" a="1"/>
  <c r="H2008" i="2" s="1"/>
  <c r="I2009" i="2" a="1"/>
  <c r="I2009" i="2" s="1"/>
  <c r="G2011" i="2" a="1"/>
  <c r="G2011" i="2" s="1"/>
  <c r="H2012" i="2" a="1"/>
  <c r="H2012" i="2" s="1"/>
  <c r="I2013" i="2" a="1"/>
  <c r="I2013" i="2" s="1"/>
  <c r="G2015" i="2" a="1"/>
  <c r="G2015" i="2" s="1"/>
  <c r="H2016" i="2" a="1"/>
  <c r="H2016" i="2" s="1"/>
  <c r="I2017" i="2" a="1"/>
  <c r="I2017" i="2" s="1"/>
  <c r="G2019" i="2" a="1"/>
  <c r="G2019" i="2" s="1"/>
  <c r="H2020" i="2" a="1"/>
  <c r="H2020" i="2" s="1"/>
  <c r="I2021" i="2" a="1"/>
  <c r="I2021" i="2" s="1"/>
  <c r="G2023" i="2" a="1"/>
  <c r="G2023" i="2" s="1"/>
  <c r="H2024" i="2" a="1"/>
  <c r="H2024" i="2" s="1"/>
  <c r="I2025" i="2" a="1"/>
  <c r="I2025" i="2" s="1"/>
  <c r="G2027" i="2" a="1"/>
  <c r="G2027" i="2" s="1"/>
  <c r="H2028" i="2" a="1"/>
  <c r="H2028" i="2" s="1"/>
  <c r="I2029" i="2" a="1"/>
  <c r="I2029" i="2" s="1"/>
  <c r="G2031" i="2" a="1"/>
  <c r="G2031" i="2" s="1"/>
  <c r="H2032" i="2" a="1"/>
  <c r="H2032" i="2" s="1"/>
  <c r="I2033" i="2" a="1"/>
  <c r="I2033" i="2" s="1"/>
  <c r="G2035" i="2" a="1"/>
  <c r="G2035" i="2" s="1"/>
  <c r="H2036" i="2" a="1"/>
  <c r="H2036" i="2" s="1"/>
  <c r="I2037" i="2" a="1"/>
  <c r="I2037" i="2" s="1"/>
  <c r="G2039" i="2" a="1"/>
  <c r="G2039" i="2" s="1"/>
  <c r="H2040" i="2" a="1"/>
  <c r="H2040" i="2" s="1"/>
  <c r="I2041" i="2" a="1"/>
  <c r="I2041" i="2" s="1"/>
  <c r="G2043" i="2" a="1"/>
  <c r="G2043" i="2" s="1"/>
  <c r="H2044" i="2" a="1"/>
  <c r="H2044" i="2" s="1"/>
  <c r="I2045" i="2" a="1"/>
  <c r="I2045" i="2" s="1"/>
  <c r="G2047" i="2" a="1"/>
  <c r="G2047" i="2" s="1"/>
  <c r="H2048" i="2" a="1"/>
  <c r="H2048" i="2" s="1"/>
  <c r="I2049" i="2" a="1"/>
  <c r="I2049" i="2" s="1"/>
  <c r="G2051" i="2" a="1"/>
  <c r="G2051" i="2" s="1"/>
  <c r="H2052" i="2" a="1"/>
  <c r="H2052" i="2" s="1"/>
  <c r="I2053" i="2" a="1"/>
  <c r="I2053" i="2" s="1"/>
  <c r="G2055" i="2" a="1"/>
  <c r="G2055" i="2" s="1"/>
  <c r="H2056" i="2" a="1"/>
  <c r="H2056" i="2" s="1"/>
  <c r="I2057" i="2" a="1"/>
  <c r="I2057" i="2" s="1"/>
  <c r="G2059" i="2" a="1"/>
  <c r="G2059" i="2" s="1"/>
  <c r="H2060" i="2" a="1"/>
  <c r="H2060" i="2" s="1"/>
  <c r="I2061" i="2" a="1"/>
  <c r="I2061" i="2" s="1"/>
  <c r="G2063" i="2" a="1"/>
  <c r="G2063" i="2" s="1"/>
  <c r="H2064" i="2" a="1"/>
  <c r="H2064" i="2" s="1"/>
  <c r="I2065" i="2" a="1"/>
  <c r="I2065" i="2" s="1"/>
  <c r="G2067" i="2" a="1"/>
  <c r="G2067" i="2" s="1"/>
  <c r="H2068" i="2" a="1"/>
  <c r="H2068" i="2" s="1"/>
  <c r="I2069" i="2" a="1"/>
  <c r="I2069" i="2" s="1"/>
  <c r="G2071" i="2" a="1"/>
  <c r="G2071" i="2" s="1"/>
  <c r="H2072" i="2" a="1"/>
  <c r="H2072" i="2" s="1"/>
  <c r="I2073" i="2" a="1"/>
  <c r="I2073" i="2" s="1"/>
  <c r="G2075" i="2" a="1"/>
  <c r="G2075" i="2" s="1"/>
  <c r="H2076" i="2" a="1"/>
  <c r="H2076" i="2" s="1"/>
  <c r="I2077" i="2" a="1"/>
  <c r="I2077" i="2" s="1"/>
  <c r="G2079" i="2" a="1"/>
  <c r="G2079" i="2" s="1"/>
  <c r="H2080" i="2" a="1"/>
  <c r="H2080" i="2" s="1"/>
  <c r="I2081" i="2" a="1"/>
  <c r="I2081" i="2" s="1"/>
  <c r="G2083" i="2" a="1"/>
  <c r="G2083" i="2" s="1"/>
  <c r="H2084" i="2" a="1"/>
  <c r="H2084" i="2" s="1"/>
  <c r="I2085" i="2" a="1"/>
  <c r="I2085" i="2" s="1"/>
  <c r="G2087" i="2" a="1"/>
  <c r="G2087" i="2" s="1"/>
  <c r="H2088" i="2" a="1"/>
  <c r="H2088" i="2" s="1"/>
  <c r="I2089" i="2" a="1"/>
  <c r="I2089" i="2" s="1"/>
  <c r="G2091" i="2" a="1"/>
  <c r="G2091" i="2" s="1"/>
  <c r="H2092" i="2" a="1"/>
  <c r="H2092" i="2" s="1"/>
  <c r="I2093" i="2" a="1"/>
  <c r="I2093" i="2" s="1"/>
  <c r="G2095" i="2" a="1"/>
  <c r="G2095" i="2" s="1"/>
  <c r="H2096" i="2" a="1"/>
  <c r="H2096" i="2" s="1"/>
  <c r="I2097" i="2" a="1"/>
  <c r="I2097" i="2" s="1"/>
  <c r="G2099" i="2" a="1"/>
  <c r="G2099" i="2" s="1"/>
  <c r="H2100" i="2" a="1"/>
  <c r="H2100" i="2" s="1"/>
  <c r="I2101" i="2" a="1"/>
  <c r="I2101" i="2" s="1"/>
  <c r="G2103" i="2" a="1"/>
  <c r="G2103" i="2" s="1"/>
  <c r="H2104" i="2" a="1"/>
  <c r="H2104" i="2" s="1"/>
  <c r="I2105" i="2" a="1"/>
  <c r="I2105" i="2" s="1"/>
  <c r="G2107" i="2" a="1"/>
  <c r="G2107" i="2" s="1"/>
  <c r="H2108" i="2" a="1"/>
  <c r="H2108" i="2" s="1"/>
  <c r="I2109" i="2" a="1"/>
  <c r="I2109" i="2" s="1"/>
  <c r="G2111" i="2" a="1"/>
  <c r="G2111" i="2" s="1"/>
  <c r="H2112" i="2" a="1"/>
  <c r="H2112" i="2" s="1"/>
  <c r="I2113" i="2" a="1"/>
  <c r="I2113" i="2" s="1"/>
  <c r="G2115" i="2" a="1"/>
  <c r="G2115" i="2" s="1"/>
  <c r="H2116" i="2" a="1"/>
  <c r="H2116" i="2" s="1"/>
  <c r="I2117" i="2" a="1"/>
  <c r="I2117" i="2" s="1"/>
  <c r="G2119" i="2" a="1"/>
  <c r="G2119" i="2" s="1"/>
  <c r="H2120" i="2" a="1"/>
  <c r="H2120" i="2" s="1"/>
  <c r="I2121" i="2" a="1"/>
  <c r="I2121" i="2" s="1"/>
  <c r="G2123" i="2" a="1"/>
  <c r="G2123" i="2" s="1"/>
  <c r="H2124" i="2" a="1"/>
  <c r="H2124" i="2" s="1"/>
  <c r="I2125" i="2" a="1"/>
  <c r="I2125" i="2" s="1"/>
  <c r="G2127" i="2" a="1"/>
  <c r="G2127" i="2" s="1"/>
  <c r="H2128" i="2" a="1"/>
  <c r="H2128" i="2" s="1"/>
  <c r="I2129" i="2" a="1"/>
  <c r="I2129" i="2" s="1"/>
  <c r="G2131" i="2" a="1"/>
  <c r="G2131" i="2" s="1"/>
  <c r="H2132" i="2" a="1"/>
  <c r="H2132" i="2" s="1"/>
  <c r="I2133" i="2" a="1"/>
  <c r="I2133" i="2" s="1"/>
  <c r="G2135" i="2" a="1"/>
  <c r="G2135" i="2" s="1"/>
  <c r="H2136" i="2" a="1"/>
  <c r="H2136" i="2" s="1"/>
  <c r="I2137" i="2" a="1"/>
  <c r="I2137" i="2" s="1"/>
  <c r="G2139" i="2" a="1"/>
  <c r="G2139" i="2" s="1"/>
  <c r="H2140" i="2" a="1"/>
  <c r="H2140" i="2" s="1"/>
  <c r="I2141" i="2" a="1"/>
  <c r="I2141" i="2" s="1"/>
  <c r="G2143" i="2" a="1"/>
  <c r="G2143" i="2" s="1"/>
  <c r="H2144" i="2" a="1"/>
  <c r="H2144" i="2" s="1"/>
  <c r="I2145" i="2" a="1"/>
  <c r="I2145" i="2" s="1"/>
  <c r="G2147" i="2" a="1"/>
  <c r="G2147" i="2" s="1"/>
  <c r="H2148" i="2" a="1"/>
  <c r="H2148" i="2" s="1"/>
  <c r="I2149" i="2" a="1"/>
  <c r="I2149" i="2" s="1"/>
  <c r="G2151" i="2" a="1"/>
  <c r="G2151" i="2" s="1"/>
  <c r="H2152" i="2" a="1"/>
  <c r="H2152" i="2" s="1"/>
  <c r="I2153" i="2" a="1"/>
  <c r="I2153" i="2" s="1"/>
  <c r="G2155" i="2" a="1"/>
  <c r="G2155" i="2" s="1"/>
  <c r="H2156" i="2" a="1"/>
  <c r="H2156" i="2" s="1"/>
  <c r="I2157" i="2" a="1"/>
  <c r="I2157" i="2" s="1"/>
  <c r="G2159" i="2" a="1"/>
  <c r="G2159" i="2" s="1"/>
  <c r="H2160" i="2" a="1"/>
  <c r="H2160" i="2" s="1"/>
  <c r="I2161" i="2" a="1"/>
  <c r="I2161" i="2" s="1"/>
  <c r="G2163" i="2" a="1"/>
  <c r="G2163" i="2" s="1"/>
  <c r="H2164" i="2" a="1"/>
  <c r="H2164" i="2" s="1"/>
  <c r="I2165" i="2" a="1"/>
  <c r="I2165" i="2" s="1"/>
  <c r="G2167" i="2" a="1"/>
  <c r="G2167" i="2" s="1"/>
  <c r="H2168" i="2" a="1"/>
  <c r="H2168" i="2" s="1"/>
  <c r="I2169" i="2" a="1"/>
  <c r="I2169" i="2" s="1"/>
  <c r="G2171" i="2" a="1"/>
  <c r="G2171" i="2" s="1"/>
  <c r="H2172" i="2" a="1"/>
  <c r="H2172" i="2" s="1"/>
  <c r="I2173" i="2" a="1"/>
  <c r="I2173" i="2" s="1"/>
  <c r="G2175" i="2" a="1"/>
  <c r="G2175" i="2" s="1"/>
  <c r="H2176" i="2" a="1"/>
  <c r="H2176" i="2" s="1"/>
  <c r="I2177" i="2" a="1"/>
  <c r="I2177" i="2" s="1"/>
  <c r="G2179" i="2" a="1"/>
  <c r="G2179" i="2" s="1"/>
  <c r="H2180" i="2" a="1"/>
  <c r="H2180" i="2" s="1"/>
  <c r="I2181" i="2" a="1"/>
  <c r="I2181" i="2" s="1"/>
  <c r="G2183" i="2" a="1"/>
  <c r="G2183" i="2" s="1"/>
  <c r="H2184" i="2" a="1"/>
  <c r="H2184" i="2" s="1"/>
  <c r="I2185" i="2" a="1"/>
  <c r="I2185" i="2" s="1"/>
  <c r="G2187" i="2" a="1"/>
  <c r="G2187" i="2" s="1"/>
  <c r="H2188" i="2" a="1"/>
  <c r="H2188" i="2" s="1"/>
  <c r="I2189" i="2" a="1"/>
  <c r="I2189" i="2" s="1"/>
  <c r="G2191" i="2" a="1"/>
  <c r="G2191" i="2" s="1"/>
  <c r="H2192" i="2" a="1"/>
  <c r="H2192" i="2" s="1"/>
  <c r="I2193" i="2" a="1"/>
  <c r="I2193" i="2" s="1"/>
  <c r="G2195" i="2" a="1"/>
  <c r="G2195" i="2" s="1"/>
  <c r="H2196" i="2" a="1"/>
  <c r="H2196" i="2" s="1"/>
  <c r="I2197" i="2" a="1"/>
  <c r="I2197" i="2" s="1"/>
  <c r="G2199" i="2" a="1"/>
  <c r="G2199" i="2" s="1"/>
  <c r="H2200" i="2" a="1"/>
  <c r="H2200" i="2" s="1"/>
  <c r="I2201" i="2" a="1"/>
  <c r="I2201" i="2" s="1"/>
  <c r="G2203" i="2" a="1"/>
  <c r="G2203" i="2" s="1"/>
  <c r="H2204" i="2" a="1"/>
  <c r="H2204" i="2" s="1"/>
  <c r="I2205" i="2" a="1"/>
  <c r="I2205" i="2" s="1"/>
  <c r="G2207" i="2" a="1"/>
  <c r="G2207" i="2" s="1"/>
  <c r="H2208" i="2" a="1"/>
  <c r="H2208" i="2" s="1"/>
  <c r="I2209" i="2" a="1"/>
  <c r="I2209" i="2" s="1"/>
  <c r="G2211" i="2" a="1"/>
  <c r="G2211" i="2" s="1"/>
  <c r="H2212" i="2" a="1"/>
  <c r="H2212" i="2" s="1"/>
  <c r="I2213" i="2" a="1"/>
  <c r="I2213" i="2" s="1"/>
  <c r="G2215" i="2" a="1"/>
  <c r="G2215" i="2" s="1"/>
  <c r="H2216" i="2" a="1"/>
  <c r="H2216" i="2" s="1"/>
  <c r="I2217" i="2" a="1"/>
  <c r="I2217" i="2" s="1"/>
  <c r="G2219" i="2" a="1"/>
  <c r="G2219" i="2" s="1"/>
  <c r="H2220" i="2" a="1"/>
  <c r="H2220" i="2" s="1"/>
  <c r="I2221" i="2" a="1"/>
  <c r="I2221" i="2" s="1"/>
  <c r="G2223" i="2" a="1"/>
  <c r="G2223" i="2" s="1"/>
  <c r="H2224" i="2" a="1"/>
  <c r="H2224" i="2" s="1"/>
  <c r="I2225" i="2" a="1"/>
  <c r="I2225" i="2" s="1"/>
  <c r="G2227" i="2" a="1"/>
  <c r="G2227" i="2" s="1"/>
  <c r="H2228" i="2" a="1"/>
  <c r="H2228" i="2" s="1"/>
  <c r="I2229" i="2" a="1"/>
  <c r="I2229" i="2" s="1"/>
  <c r="G2231" i="2" a="1"/>
  <c r="G2231" i="2" s="1"/>
  <c r="H2232" i="2" a="1"/>
  <c r="H2232" i="2" s="1"/>
  <c r="I2233" i="2" a="1"/>
  <c r="I2233" i="2" s="1"/>
  <c r="G2235" i="2" a="1"/>
  <c r="G2235" i="2" s="1"/>
  <c r="H2236" i="2" a="1"/>
  <c r="H2236" i="2" s="1"/>
  <c r="I2237" i="2" a="1"/>
  <c r="I2237" i="2" s="1"/>
  <c r="G2239" i="2" a="1"/>
  <c r="G2239" i="2" s="1"/>
  <c r="H2240" i="2" a="1"/>
  <c r="H2240" i="2" s="1"/>
  <c r="I2241" i="2" a="1"/>
  <c r="I2241" i="2" s="1"/>
  <c r="G2243" i="2" a="1"/>
  <c r="G2243" i="2" s="1"/>
  <c r="H2244" i="2" a="1"/>
  <c r="H2244" i="2" s="1"/>
  <c r="I2245" i="2" a="1"/>
  <c r="I2245" i="2" s="1"/>
  <c r="G2247" i="2" a="1"/>
  <c r="G2247" i="2" s="1"/>
  <c r="H2248" i="2" a="1"/>
  <c r="H2248" i="2" s="1"/>
  <c r="I2249" i="2" a="1"/>
  <c r="I2249" i="2" s="1"/>
  <c r="G2251" i="2" a="1"/>
  <c r="G2251" i="2" s="1"/>
  <c r="H2252" i="2" a="1"/>
  <c r="H2252" i="2" s="1"/>
  <c r="I2253" i="2" a="1"/>
  <c r="I2253" i="2" s="1"/>
  <c r="G2255" i="2" a="1"/>
  <c r="G2255" i="2" s="1"/>
  <c r="H2256" i="2" a="1"/>
  <c r="H2256" i="2" s="1"/>
  <c r="I2257" i="2" a="1"/>
  <c r="I2257" i="2" s="1"/>
  <c r="G2259" i="2" a="1"/>
  <c r="G2259" i="2" s="1"/>
  <c r="H2260" i="2" a="1"/>
  <c r="H2260" i="2" s="1"/>
  <c r="I2261" i="2" a="1"/>
  <c r="I2261" i="2" s="1"/>
  <c r="G2263" i="2" a="1"/>
  <c r="G2263" i="2" s="1"/>
  <c r="H2264" i="2" a="1"/>
  <c r="H2264" i="2" s="1"/>
  <c r="I2265" i="2" a="1"/>
  <c r="I2265" i="2" s="1"/>
  <c r="G2267" i="2" a="1"/>
  <c r="G2267" i="2" s="1"/>
  <c r="H2268" i="2" a="1"/>
  <c r="H2268" i="2" s="1"/>
  <c r="I2269" i="2" a="1"/>
  <c r="I2269" i="2" s="1"/>
  <c r="G2271" i="2" a="1"/>
  <c r="G2271" i="2" s="1"/>
  <c r="H2272" i="2" a="1"/>
  <c r="H2272" i="2" s="1"/>
  <c r="H2273" i="2" a="1"/>
  <c r="H2273" i="2" s="1"/>
  <c r="I2274" i="2" a="1"/>
  <c r="I2274" i="2" s="1"/>
  <c r="G2276" i="2" a="1"/>
  <c r="G2276" i="2" s="1"/>
  <c r="H2277" i="2" a="1"/>
  <c r="H2277" i="2" s="1"/>
  <c r="I2278" i="2" a="1"/>
  <c r="I2278" i="2" s="1"/>
  <c r="G2280" i="2" a="1"/>
  <c r="G2280" i="2" s="1"/>
  <c r="H2281" i="2" a="1"/>
  <c r="H2281" i="2" s="1"/>
  <c r="I2282" i="2" a="1"/>
  <c r="I2282" i="2" s="1"/>
  <c r="G2284" i="2" a="1"/>
  <c r="G2284" i="2" s="1"/>
  <c r="H2285" i="2" a="1"/>
  <c r="H2285" i="2" s="1"/>
  <c r="I2286" i="2" a="1"/>
  <c r="I2286" i="2" s="1"/>
  <c r="G2288" i="2" a="1"/>
  <c r="G2288" i="2" s="1"/>
  <c r="H2289" i="2" a="1"/>
  <c r="H2289" i="2" s="1"/>
  <c r="I2290" i="2" a="1"/>
  <c r="I2290" i="2" s="1"/>
  <c r="G2292" i="2" a="1"/>
  <c r="G2292" i="2" s="1"/>
  <c r="H2293" i="2" a="1"/>
  <c r="H2293" i="2" s="1"/>
  <c r="I2294" i="2" a="1"/>
  <c r="I2294" i="2" s="1"/>
  <c r="G2296" i="2" a="1"/>
  <c r="G2296" i="2" s="1"/>
  <c r="H2297" i="2" a="1"/>
  <c r="H2297" i="2" s="1"/>
  <c r="I2298" i="2" a="1"/>
  <c r="I2298" i="2" s="1"/>
  <c r="G2300" i="2" a="1"/>
  <c r="G2300" i="2" s="1"/>
  <c r="H2301" i="2" a="1"/>
  <c r="H2301" i="2" s="1"/>
  <c r="I2302" i="2" a="1"/>
  <c r="I2302" i="2" s="1"/>
  <c r="G2304" i="2" a="1"/>
  <c r="G2304" i="2" s="1"/>
  <c r="H2305" i="2" a="1"/>
  <c r="H2305" i="2" s="1"/>
  <c r="I2306" i="2" a="1"/>
  <c r="I2306" i="2" s="1"/>
  <c r="G2308" i="2" a="1"/>
  <c r="G2308" i="2" s="1"/>
  <c r="H2309" i="2" a="1"/>
  <c r="H2309" i="2" s="1"/>
  <c r="I2310" i="2" a="1"/>
  <c r="I2310" i="2" s="1"/>
  <c r="G2312" i="2" a="1"/>
  <c r="G2312" i="2" s="1"/>
  <c r="H2313" i="2" a="1"/>
  <c r="H2313" i="2" s="1"/>
  <c r="I2314" i="2" a="1"/>
  <c r="I2314" i="2" s="1"/>
  <c r="G2316" i="2" a="1"/>
  <c r="G2316" i="2" s="1"/>
  <c r="H2317" i="2" a="1"/>
  <c r="H2317" i="2" s="1"/>
  <c r="I2318" i="2" a="1"/>
  <c r="I2318" i="2" s="1"/>
  <c r="G2320" i="2" a="1"/>
  <c r="G2320" i="2" s="1"/>
  <c r="H2321" i="2" a="1"/>
  <c r="H2321" i="2" s="1"/>
  <c r="I2322" i="2" a="1"/>
  <c r="I2322" i="2" s="1"/>
  <c r="G2324" i="2" a="1"/>
  <c r="G2324" i="2" s="1"/>
  <c r="H2325" i="2" a="1"/>
  <c r="H2325" i="2" s="1"/>
  <c r="I2326" i="2" a="1"/>
  <c r="I2326" i="2" s="1"/>
  <c r="G2328" i="2" a="1"/>
  <c r="G2328" i="2" s="1"/>
  <c r="H2329" i="2" a="1"/>
  <c r="H2329" i="2" s="1"/>
  <c r="I2330" i="2" a="1"/>
  <c r="I2330" i="2" s="1"/>
  <c r="G2332" i="2" a="1"/>
  <c r="G2332" i="2" s="1"/>
  <c r="H2333" i="2" a="1"/>
  <c r="H2333" i="2" s="1"/>
  <c r="I2334" i="2" a="1"/>
  <c r="I2334" i="2" s="1"/>
  <c r="G2336" i="2" a="1"/>
  <c r="G2336" i="2" s="1"/>
  <c r="H2337" i="2" a="1"/>
  <c r="H2337" i="2" s="1"/>
  <c r="I2338" i="2" a="1"/>
  <c r="I2338" i="2" s="1"/>
  <c r="G2340" i="2" a="1"/>
  <c r="G2340" i="2" s="1"/>
  <c r="H2341" i="2" a="1"/>
  <c r="H2341" i="2" s="1"/>
  <c r="I2342" i="2" a="1"/>
  <c r="I2342" i="2" s="1"/>
  <c r="G2344" i="2" a="1"/>
  <c r="G2344" i="2" s="1"/>
  <c r="H2345" i="2" a="1"/>
  <c r="H2345" i="2" s="1"/>
  <c r="I2346" i="2" a="1"/>
  <c r="I2346" i="2" s="1"/>
  <c r="G2348" i="2" a="1"/>
  <c r="G2348" i="2" s="1"/>
  <c r="H2349" i="2" a="1"/>
  <c r="H2349" i="2" s="1"/>
  <c r="I2350" i="2" a="1"/>
  <c r="I2350" i="2" s="1"/>
  <c r="G2352" i="2" a="1"/>
  <c r="G2352" i="2" s="1"/>
  <c r="H2353" i="2" a="1"/>
  <c r="H2353" i="2" s="1"/>
  <c r="I2354" i="2" a="1"/>
  <c r="I2354" i="2" s="1"/>
  <c r="G2356" i="2" a="1"/>
  <c r="G2356" i="2" s="1"/>
  <c r="H2357" i="2" a="1"/>
  <c r="H2357" i="2" s="1"/>
  <c r="I2358" i="2" a="1"/>
  <c r="I2358" i="2" s="1"/>
  <c r="G2360" i="2" a="1"/>
  <c r="G2360" i="2" s="1"/>
  <c r="H2361" i="2" a="1"/>
  <c r="H2361" i="2" s="1"/>
  <c r="I2362" i="2" a="1"/>
  <c r="I2362" i="2" s="1"/>
  <c r="G2364" i="2" a="1"/>
  <c r="G2364" i="2" s="1"/>
  <c r="H2365" i="2" a="1"/>
  <c r="H2365" i="2" s="1"/>
  <c r="I2366" i="2" a="1"/>
  <c r="I2366" i="2" s="1"/>
  <c r="G2368" i="2" a="1"/>
  <c r="G2368" i="2" s="1"/>
  <c r="H2369" i="2" a="1"/>
  <c r="H2369" i="2" s="1"/>
  <c r="I2370" i="2" a="1"/>
  <c r="I2370" i="2" s="1"/>
  <c r="G2372" i="2" a="1"/>
  <c r="G2372" i="2" s="1"/>
  <c r="H2373" i="2" a="1"/>
  <c r="H2373" i="2" s="1"/>
  <c r="I2374" i="2" a="1"/>
  <c r="I2374" i="2" s="1"/>
  <c r="G2376" i="2" a="1"/>
  <c r="G2376" i="2" s="1"/>
  <c r="H2377" i="2" a="1"/>
  <c r="H2377" i="2" s="1"/>
  <c r="I2378" i="2" a="1"/>
  <c r="I2378" i="2" s="1"/>
  <c r="G2380" i="2" a="1"/>
  <c r="G2380" i="2" s="1"/>
  <c r="H2381" i="2" a="1"/>
  <c r="H2381" i="2" s="1"/>
  <c r="I2382" i="2" a="1"/>
  <c r="I2382" i="2" s="1"/>
  <c r="G2384" i="2" a="1"/>
  <c r="G2384" i="2" s="1"/>
  <c r="H2385" i="2" a="1"/>
  <c r="H2385" i="2" s="1"/>
  <c r="I2386" i="2" a="1"/>
  <c r="I2386" i="2" s="1"/>
  <c r="G2388" i="2" a="1"/>
  <c r="G2388" i="2" s="1"/>
  <c r="H2389" i="2" a="1"/>
  <c r="H2389" i="2" s="1"/>
  <c r="I2390" i="2" a="1"/>
  <c r="I2390" i="2" s="1"/>
  <c r="G2392" i="2" a="1"/>
  <c r="G2392" i="2" s="1"/>
  <c r="H2393" i="2" a="1"/>
  <c r="H2393" i="2" s="1"/>
  <c r="I2394" i="2" a="1"/>
  <c r="I2394" i="2" s="1"/>
  <c r="G2396" i="2" a="1"/>
  <c r="G2396" i="2" s="1"/>
  <c r="H2397" i="2" a="1"/>
  <c r="H2397" i="2" s="1"/>
  <c r="I2398" i="2" a="1"/>
  <c r="I2398" i="2" s="1"/>
  <c r="G2400" i="2" a="1"/>
  <c r="G2400" i="2" s="1"/>
  <c r="H2401" i="2" a="1"/>
  <c r="H2401" i="2" s="1"/>
  <c r="I2402" i="2" a="1"/>
  <c r="I2402" i="2" s="1"/>
  <c r="G2404" i="2" a="1"/>
  <c r="G2404" i="2" s="1"/>
  <c r="H2405" i="2" a="1"/>
  <c r="H2405" i="2" s="1"/>
  <c r="I2406" i="2" a="1"/>
  <c r="I2406" i="2" s="1"/>
  <c r="G2408" i="2" a="1"/>
  <c r="G2408" i="2" s="1"/>
  <c r="H2409" i="2" a="1"/>
  <c r="H2409" i="2" s="1"/>
  <c r="I2410" i="2" a="1"/>
  <c r="I2410" i="2" s="1"/>
  <c r="G2412" i="2" a="1"/>
  <c r="G2412" i="2" s="1"/>
  <c r="H2413" i="2" a="1"/>
  <c r="H2413" i="2" s="1"/>
  <c r="I2414" i="2" a="1"/>
  <c r="I2414" i="2" s="1"/>
  <c r="G2416" i="2" a="1"/>
  <c r="G2416" i="2" s="1"/>
  <c r="H2417" i="2" a="1"/>
  <c r="H2417" i="2" s="1"/>
  <c r="I2418" i="2" a="1"/>
  <c r="I2418" i="2" s="1"/>
  <c r="G2420" i="2" a="1"/>
  <c r="G2420" i="2" s="1"/>
  <c r="H2421" i="2" a="1"/>
  <c r="H2421" i="2" s="1"/>
  <c r="I2422" i="2" a="1"/>
  <c r="I2422" i="2" s="1"/>
  <c r="G2424" i="2" a="1"/>
  <c r="G2424" i="2" s="1"/>
  <c r="H2425" i="2" a="1"/>
  <c r="H2425" i="2" s="1"/>
  <c r="I2426" i="2" a="1"/>
  <c r="I2426" i="2" s="1"/>
  <c r="G2428" i="2" a="1"/>
  <c r="G2428" i="2" s="1"/>
  <c r="H2429" i="2" a="1"/>
  <c r="H2429" i="2" s="1"/>
  <c r="I2430" i="2" a="1"/>
  <c r="I2430" i="2" s="1"/>
  <c r="G2432" i="2" a="1"/>
  <c r="G2432" i="2" s="1"/>
  <c r="H2433" i="2" a="1"/>
  <c r="H2433" i="2" s="1"/>
  <c r="I2434" i="2" a="1"/>
  <c r="I2434" i="2" s="1"/>
  <c r="G2436" i="2" a="1"/>
  <c r="G2436" i="2" s="1"/>
  <c r="H2437" i="2" a="1"/>
  <c r="H2437" i="2" s="1"/>
  <c r="I2438" i="2" a="1"/>
  <c r="I2438" i="2" s="1"/>
  <c r="G2440" i="2" a="1"/>
  <c r="G2440" i="2" s="1"/>
  <c r="H2441" i="2" a="1"/>
  <c r="H2441" i="2" s="1"/>
  <c r="I2442" i="2" a="1"/>
  <c r="I2442" i="2" s="1"/>
  <c r="G2444" i="2" a="1"/>
  <c r="G2444" i="2" s="1"/>
  <c r="H2445" i="2" a="1"/>
  <c r="H2445" i="2" s="1"/>
  <c r="I2446" i="2" a="1"/>
  <c r="I2446" i="2" s="1"/>
  <c r="G2448" i="2" a="1"/>
  <c r="G2448" i="2" s="1"/>
  <c r="H2449" i="2" a="1"/>
  <c r="H2449" i="2" s="1"/>
  <c r="I2450" i="2" a="1"/>
  <c r="I2450" i="2" s="1"/>
  <c r="G2452" i="2" a="1"/>
  <c r="G2452" i="2" s="1"/>
  <c r="H2453" i="2" a="1"/>
  <c r="H2453" i="2" s="1"/>
  <c r="I2454" i="2" a="1"/>
  <c r="I2454" i="2" s="1"/>
  <c r="G2456" i="2" a="1"/>
  <c r="G2456" i="2" s="1"/>
  <c r="H2457" i="2" a="1"/>
  <c r="H2457" i="2" s="1"/>
  <c r="I2458" i="2" a="1"/>
  <c r="I2458" i="2" s="1"/>
  <c r="G2460" i="2" a="1"/>
  <c r="G2460" i="2" s="1"/>
  <c r="H2461" i="2" a="1"/>
  <c r="H2461" i="2" s="1"/>
  <c r="I2462" i="2" a="1"/>
  <c r="I2462" i="2" s="1"/>
  <c r="G2464" i="2" a="1"/>
  <c r="G2464" i="2" s="1"/>
  <c r="H2465" i="2" a="1"/>
  <c r="H2465" i="2" s="1"/>
  <c r="I2466" i="2" a="1"/>
  <c r="I2466" i="2" s="1"/>
  <c r="G2468" i="2" a="1"/>
  <c r="G2468" i="2" s="1"/>
  <c r="H2469" i="2" a="1"/>
  <c r="H2469" i="2" s="1"/>
  <c r="I2470" i="2" a="1"/>
  <c r="I2470" i="2" s="1"/>
  <c r="G2472" i="2" a="1"/>
  <c r="G2472" i="2" s="1"/>
  <c r="H2473" i="2" a="1"/>
  <c r="H2473" i="2" s="1"/>
  <c r="I2474" i="2" a="1"/>
  <c r="I2474" i="2" s="1"/>
  <c r="G2476" i="2" a="1"/>
  <c r="G2476" i="2" s="1"/>
  <c r="H2477" i="2" a="1"/>
  <c r="H2477" i="2" s="1"/>
  <c r="I2478" i="2" a="1"/>
  <c r="I2478" i="2" s="1"/>
  <c r="G2480" i="2" a="1"/>
  <c r="G2480" i="2" s="1"/>
  <c r="H2481" i="2" a="1"/>
  <c r="H2481" i="2" s="1"/>
  <c r="I2482" i="2" a="1"/>
  <c r="I2482" i="2" s="1"/>
  <c r="G2484" i="2" a="1"/>
  <c r="G2484" i="2" s="1"/>
  <c r="H2485" i="2" a="1"/>
  <c r="H2485" i="2" s="1"/>
  <c r="I2486" i="2" a="1"/>
  <c r="I2486" i="2" s="1"/>
  <c r="G2488" i="2" a="1"/>
  <c r="G2488" i="2" s="1"/>
  <c r="H2489" i="2" a="1"/>
  <c r="H2489" i="2" s="1"/>
  <c r="I2490" i="2" a="1"/>
  <c r="I2490" i="2" s="1"/>
  <c r="G2492" i="2" a="1"/>
  <c r="G2492" i="2" s="1"/>
  <c r="H2493" i="2" a="1"/>
  <c r="H2493" i="2" s="1"/>
  <c r="I2494" i="2" a="1"/>
  <c r="I2494" i="2" s="1"/>
  <c r="G2496" i="2" a="1"/>
  <c r="G2496" i="2" s="1"/>
  <c r="H2497" i="2" a="1"/>
  <c r="H2497" i="2" s="1"/>
  <c r="I2498" i="2" a="1"/>
  <c r="I2498" i="2" s="1"/>
  <c r="G2500" i="2" a="1"/>
  <c r="G2500" i="2" s="1"/>
  <c r="H2501" i="2" a="1"/>
  <c r="H2501" i="2" s="1"/>
  <c r="I2502" i="2" a="1"/>
  <c r="I2502" i="2" s="1"/>
  <c r="G2504" i="2" a="1"/>
  <c r="G2504" i="2" s="1"/>
  <c r="H2505" i="2" a="1"/>
  <c r="H2505" i="2" s="1"/>
  <c r="I2506" i="2" a="1"/>
  <c r="I2506" i="2" s="1"/>
  <c r="G2508" i="2" a="1"/>
  <c r="G2508" i="2" s="1"/>
  <c r="H2509" i="2" a="1"/>
  <c r="H2509" i="2" s="1"/>
  <c r="I2510" i="2" a="1"/>
  <c r="I2510" i="2" s="1"/>
  <c r="G2512" i="2" a="1"/>
  <c r="G2512" i="2" s="1"/>
  <c r="H2513" i="2" a="1"/>
  <c r="H2513" i="2" s="1"/>
  <c r="I2514" i="2" a="1"/>
  <c r="I2514" i="2" s="1"/>
  <c r="G2516" i="2" a="1"/>
  <c r="G2516" i="2" s="1"/>
  <c r="H2517" i="2" a="1"/>
  <c r="H2517" i="2" s="1"/>
  <c r="I2518" i="2" a="1"/>
  <c r="I2518" i="2" s="1"/>
  <c r="G2520" i="2" a="1"/>
  <c r="G2520" i="2" s="1"/>
  <c r="H2521" i="2" a="1"/>
  <c r="H2521" i="2" s="1"/>
  <c r="I2522" i="2" a="1"/>
  <c r="I2522" i="2" s="1"/>
  <c r="G2524" i="2" a="1"/>
  <c r="G2524" i="2" s="1"/>
  <c r="H2525" i="2" a="1"/>
  <c r="H2525" i="2" s="1"/>
  <c r="I2526" i="2" a="1"/>
  <c r="I2526" i="2" s="1"/>
  <c r="G2528" i="2" a="1"/>
  <c r="G2528" i="2" s="1"/>
  <c r="H2529" i="2" a="1"/>
  <c r="H2529" i="2" s="1"/>
  <c r="I2530" i="2" a="1"/>
  <c r="I2530" i="2" s="1"/>
  <c r="G2532" i="2" a="1"/>
  <c r="G2532" i="2" s="1"/>
  <c r="H2533" i="2" a="1"/>
  <c r="H2533" i="2" s="1"/>
  <c r="I2534" i="2" a="1"/>
  <c r="I2534" i="2" s="1"/>
  <c r="G2536" i="2" a="1"/>
  <c r="G2536" i="2" s="1"/>
  <c r="H2537" i="2" a="1"/>
  <c r="H2537" i="2" s="1"/>
  <c r="I2538" i="2" a="1"/>
  <c r="I2538" i="2" s="1"/>
  <c r="G2540" i="2" a="1"/>
  <c r="G2540" i="2" s="1"/>
  <c r="H2541" i="2" a="1"/>
  <c r="H2541" i="2" s="1"/>
  <c r="I2542" i="2" a="1"/>
  <c r="I2542" i="2" s="1"/>
  <c r="G2544" i="2" a="1"/>
  <c r="G2544" i="2" s="1"/>
  <c r="H2545" i="2" a="1"/>
  <c r="H2545" i="2" s="1"/>
  <c r="I2546" i="2" a="1"/>
  <c r="I2546" i="2" s="1"/>
  <c r="G2548" i="2" a="1"/>
  <c r="G2548" i="2" s="1"/>
  <c r="H2549" i="2" a="1"/>
  <c r="H2549" i="2" s="1"/>
  <c r="I2550" i="2" a="1"/>
  <c r="I2550" i="2" s="1"/>
  <c r="G2552" i="2" a="1"/>
  <c r="G2552" i="2" s="1"/>
  <c r="H2553" i="2" a="1"/>
  <c r="H2553" i="2" s="1"/>
  <c r="I2554" i="2" a="1"/>
  <c r="I2554" i="2" s="1"/>
  <c r="G2556" i="2" a="1"/>
  <c r="G2556" i="2" s="1"/>
  <c r="H2557" i="2" a="1"/>
  <c r="H2557" i="2" s="1"/>
  <c r="I2558" i="2" a="1"/>
  <c r="I2558" i="2" s="1"/>
  <c r="G2560" i="2" a="1"/>
  <c r="G2560" i="2" s="1"/>
  <c r="H2561" i="2" a="1"/>
  <c r="H2561" i="2" s="1"/>
  <c r="I2562" i="2" a="1"/>
  <c r="I2562" i="2" s="1"/>
  <c r="G2564" i="2" a="1"/>
  <c r="G2564" i="2" s="1"/>
  <c r="H2565" i="2" a="1"/>
  <c r="H2565" i="2" s="1"/>
  <c r="I2566" i="2" a="1"/>
  <c r="I2566" i="2" s="1"/>
  <c r="G2568" i="2" a="1"/>
  <c r="G2568" i="2" s="1"/>
  <c r="H2569" i="2" a="1"/>
  <c r="H2569" i="2" s="1"/>
  <c r="I2570" i="2" a="1"/>
  <c r="I2570" i="2" s="1"/>
  <c r="G2572" i="2" a="1"/>
  <c r="G2572" i="2" s="1"/>
  <c r="H2573" i="2" a="1"/>
  <c r="H2573" i="2" s="1"/>
  <c r="I2574" i="2" a="1"/>
  <c r="I2574" i="2" s="1"/>
  <c r="G2576" i="2" a="1"/>
  <c r="G2576" i="2" s="1"/>
  <c r="H2577" i="2" a="1"/>
  <c r="H2577" i="2" s="1"/>
  <c r="I2578" i="2" a="1"/>
  <c r="I2578" i="2" s="1"/>
  <c r="G2580" i="2" a="1"/>
  <c r="G2580" i="2" s="1"/>
  <c r="H2581" i="2" a="1"/>
  <c r="H2581" i="2" s="1"/>
  <c r="I2582" i="2" a="1"/>
  <c r="I2582" i="2" s="1"/>
  <c r="G2584" i="2" a="1"/>
  <c r="G2584" i="2" s="1"/>
  <c r="H2585" i="2" a="1"/>
  <c r="H2585" i="2" s="1"/>
  <c r="I2586" i="2" a="1"/>
  <c r="I2586" i="2" s="1"/>
  <c r="G2588" i="2" a="1"/>
  <c r="G2588" i="2" s="1"/>
  <c r="H2589" i="2" a="1"/>
  <c r="H2589" i="2" s="1"/>
  <c r="I2590" i="2" a="1"/>
  <c r="I2590" i="2" s="1"/>
  <c r="G2592" i="2" a="1"/>
  <c r="G2592" i="2" s="1"/>
  <c r="H2593" i="2" a="1"/>
  <c r="H2593" i="2" s="1"/>
  <c r="I2594" i="2" a="1"/>
  <c r="I2594" i="2" s="1"/>
  <c r="G2596" i="2" a="1"/>
  <c r="G2596" i="2" s="1"/>
  <c r="H2597" i="2" a="1"/>
  <c r="H2597" i="2" s="1"/>
  <c r="I2598" i="2" a="1"/>
  <c r="I2598" i="2" s="1"/>
  <c r="G2600" i="2" a="1"/>
  <c r="G2600" i="2" s="1"/>
  <c r="H2601" i="2" a="1"/>
  <c r="H2601" i="2" s="1"/>
  <c r="I2602" i="2" a="1"/>
  <c r="I2602" i="2" s="1"/>
  <c r="G2604" i="2" a="1"/>
  <c r="G2604" i="2" s="1"/>
  <c r="H2605" i="2" a="1"/>
  <c r="H2605" i="2" s="1"/>
  <c r="I2606" i="2" a="1"/>
  <c r="I2606" i="2" s="1"/>
  <c r="G2608" i="2" a="1"/>
  <c r="G2608" i="2" s="1"/>
  <c r="H2609" i="2" a="1"/>
  <c r="H2609" i="2" s="1"/>
  <c r="I2610" i="2" a="1"/>
  <c r="I2610" i="2" s="1"/>
  <c r="G2612" i="2" a="1"/>
  <c r="G2612" i="2" s="1"/>
  <c r="H2613" i="2" a="1"/>
  <c r="H2613" i="2" s="1"/>
  <c r="I2614" i="2" a="1"/>
  <c r="I2614" i="2" s="1"/>
  <c r="G2616" i="2" a="1"/>
  <c r="G2616" i="2" s="1"/>
  <c r="H2617" i="2" a="1"/>
  <c r="H2617" i="2" s="1"/>
  <c r="I2618" i="2" a="1"/>
  <c r="I2618" i="2" s="1"/>
  <c r="G2620" i="2" a="1"/>
  <c r="G2620" i="2" s="1"/>
  <c r="H2621" i="2" a="1"/>
  <c r="H2621" i="2" s="1"/>
  <c r="I2622" i="2" a="1"/>
  <c r="I2622" i="2" s="1"/>
  <c r="G2624" i="2" a="1"/>
  <c r="G2624" i="2" s="1"/>
  <c r="H2625" i="2" a="1"/>
  <c r="H2625" i="2" s="1"/>
  <c r="I2626" i="2" a="1"/>
  <c r="I2626" i="2" s="1"/>
  <c r="G2628" i="2" a="1"/>
  <c r="G2628" i="2" s="1"/>
  <c r="H2629" i="2" a="1"/>
  <c r="H2629" i="2" s="1"/>
  <c r="I2630" i="2" a="1"/>
  <c r="I2630" i="2" s="1"/>
  <c r="G2632" i="2" a="1"/>
  <c r="G2632" i="2" s="1"/>
  <c r="H2633" i="2" a="1"/>
  <c r="H2633" i="2" s="1"/>
  <c r="I2634" i="2" a="1"/>
  <c r="I2634" i="2" s="1"/>
  <c r="G2636" i="2" a="1"/>
  <c r="G2636" i="2" s="1"/>
  <c r="H2637" i="2" a="1"/>
  <c r="H2637" i="2" s="1"/>
  <c r="I2638" i="2" a="1"/>
  <c r="I2638" i="2" s="1"/>
  <c r="G2640" i="2" a="1"/>
  <c r="G2640" i="2" s="1"/>
  <c r="H2641" i="2" a="1"/>
  <c r="H2641" i="2" s="1"/>
  <c r="I2642" i="2" a="1"/>
  <c r="I2642" i="2" s="1"/>
  <c r="G2644" i="2" a="1"/>
  <c r="G2644" i="2" s="1"/>
  <c r="H2645" i="2" a="1"/>
  <c r="H2645" i="2" s="1"/>
  <c r="I2646" i="2" a="1"/>
  <c r="I2646" i="2" s="1"/>
  <c r="G2648" i="2" a="1"/>
  <c r="G2648" i="2" s="1"/>
  <c r="H2649" i="2" a="1"/>
  <c r="H2649" i="2" s="1"/>
  <c r="I2650" i="2" a="1"/>
  <c r="I2650" i="2" s="1"/>
  <c r="G2652" i="2" a="1"/>
  <c r="G2652" i="2" s="1"/>
  <c r="H2653" i="2" a="1"/>
  <c r="H2653" i="2" s="1"/>
  <c r="I2654" i="2" a="1"/>
  <c r="I2654" i="2" s="1"/>
  <c r="G2656" i="2" a="1"/>
  <c r="G2656" i="2" s="1"/>
  <c r="H2657" i="2" a="1"/>
  <c r="H2657" i="2" s="1"/>
  <c r="I2658" i="2" a="1"/>
  <c r="I2658" i="2" s="1"/>
  <c r="G2660" i="2" a="1"/>
  <c r="G2660" i="2" s="1"/>
  <c r="H2661" i="2" a="1"/>
  <c r="H2661" i="2" s="1"/>
  <c r="I2662" i="2" a="1"/>
  <c r="I2662" i="2" s="1"/>
  <c r="G2664" i="2" a="1"/>
  <c r="G2664" i="2" s="1"/>
  <c r="H2665" i="2" a="1"/>
  <c r="H2665" i="2" s="1"/>
  <c r="I2666" i="2" a="1"/>
  <c r="I2666" i="2" s="1"/>
  <c r="G2668" i="2" a="1"/>
  <c r="G2668" i="2" s="1"/>
  <c r="H2669" i="2" a="1"/>
  <c r="H2669" i="2" s="1"/>
  <c r="I2670" i="2" a="1"/>
  <c r="I2670" i="2" s="1"/>
  <c r="G2672" i="2" a="1"/>
  <c r="G2672" i="2" s="1"/>
  <c r="H2673" i="2" a="1"/>
  <c r="H2673" i="2" s="1"/>
  <c r="I2674" i="2" a="1"/>
  <c r="I2674" i="2" s="1"/>
  <c r="G2676" i="2" a="1"/>
  <c r="G2676" i="2" s="1"/>
  <c r="H2677" i="2" a="1"/>
  <c r="H2677" i="2" s="1"/>
  <c r="I2678" i="2" a="1"/>
  <c r="I2678" i="2" s="1"/>
  <c r="G2680" i="2" a="1"/>
  <c r="G2680" i="2" s="1"/>
  <c r="H2681" i="2" a="1"/>
  <c r="H2681" i="2" s="1"/>
  <c r="I2682" i="2" a="1"/>
  <c r="I2682" i="2" s="1"/>
  <c r="G2684" i="2" a="1"/>
  <c r="G2684" i="2" s="1"/>
  <c r="H2685" i="2" a="1"/>
  <c r="H2685" i="2" s="1"/>
  <c r="I2686" i="2" a="1"/>
  <c r="I2686" i="2" s="1"/>
  <c r="G2688" i="2" a="1"/>
  <c r="G2688" i="2" s="1"/>
  <c r="H2689" i="2" a="1"/>
  <c r="H2689" i="2" s="1"/>
  <c r="I2690" i="2" a="1"/>
  <c r="I2690" i="2" s="1"/>
  <c r="G2692" i="2" a="1"/>
  <c r="G2692" i="2" s="1"/>
  <c r="H2693" i="2" a="1"/>
  <c r="H2693" i="2" s="1"/>
  <c r="I2694" i="2" a="1"/>
  <c r="I2694" i="2" s="1"/>
  <c r="G2696" i="2" a="1"/>
  <c r="G2696" i="2" s="1"/>
  <c r="H2697" i="2" a="1"/>
  <c r="H2697" i="2" s="1"/>
  <c r="I2698" i="2" a="1"/>
  <c r="I2698" i="2" s="1"/>
  <c r="G2700" i="2" a="1"/>
  <c r="G2700" i="2" s="1"/>
  <c r="H2701" i="2" a="1"/>
  <c r="H2701" i="2" s="1"/>
  <c r="I2702" i="2" a="1"/>
  <c r="I2702" i="2" s="1"/>
  <c r="G2704" i="2" a="1"/>
  <c r="G2704" i="2" s="1"/>
  <c r="H2705" i="2" a="1"/>
  <c r="H2705" i="2" s="1"/>
  <c r="I2706" i="2" a="1"/>
  <c r="I2706" i="2" s="1"/>
  <c r="G2708" i="2" a="1"/>
  <c r="G2708" i="2" s="1"/>
  <c r="H2709" i="2" a="1"/>
  <c r="H2709" i="2" s="1"/>
  <c r="I2710" i="2" a="1"/>
  <c r="I2710" i="2" s="1"/>
  <c r="G2712" i="2" a="1"/>
  <c r="G2712" i="2" s="1"/>
  <c r="H2713" i="2" a="1"/>
  <c r="H2713" i="2" s="1"/>
  <c r="I2714" i="2" a="1"/>
  <c r="I2714" i="2" s="1"/>
  <c r="G2716" i="2" a="1"/>
  <c r="G2716" i="2" s="1"/>
  <c r="H2717" i="2" a="1"/>
  <c r="H2717" i="2" s="1"/>
  <c r="I2718" i="2" a="1"/>
  <c r="I2718" i="2" s="1"/>
  <c r="G2720" i="2" a="1"/>
  <c r="G2720" i="2" s="1"/>
  <c r="H2721" i="2" a="1"/>
  <c r="H2721" i="2" s="1"/>
  <c r="I2722" i="2" a="1"/>
  <c r="I2722" i="2" s="1"/>
  <c r="G2724" i="2" a="1"/>
  <c r="G2724" i="2" s="1"/>
  <c r="H2725" i="2" a="1"/>
  <c r="H2725" i="2" s="1"/>
  <c r="I2726" i="2" a="1"/>
  <c r="I2726" i="2" s="1"/>
  <c r="G2728" i="2" a="1"/>
  <c r="G2728" i="2" s="1"/>
  <c r="H2729" i="2" a="1"/>
  <c r="H2729" i="2" s="1"/>
  <c r="I2730" i="2" a="1"/>
  <c r="I2730" i="2" s="1"/>
  <c r="G2732" i="2" a="1"/>
  <c r="G2732" i="2" s="1"/>
  <c r="H2733" i="2" a="1"/>
  <c r="H2733" i="2" s="1"/>
  <c r="I2734" i="2" a="1"/>
  <c r="I2734" i="2" s="1"/>
  <c r="G2736" i="2" a="1"/>
  <c r="G2736" i="2" s="1"/>
  <c r="H2737" i="2" a="1"/>
  <c r="H2737" i="2" s="1"/>
  <c r="I2738" i="2" a="1"/>
  <c r="I2738" i="2" s="1"/>
  <c r="G2740" i="2" a="1"/>
  <c r="G2740" i="2" s="1"/>
  <c r="H2741" i="2" a="1"/>
  <c r="H2741" i="2" s="1"/>
  <c r="I2742" i="2" a="1"/>
  <c r="I2742" i="2" s="1"/>
  <c r="G2744" i="2" a="1"/>
  <c r="G2744" i="2" s="1"/>
  <c r="H2745" i="2" a="1"/>
  <c r="H2745" i="2" s="1"/>
  <c r="I2746" i="2" a="1"/>
  <c r="I2746" i="2" s="1"/>
  <c r="G2748" i="2" a="1"/>
  <c r="G2748" i="2" s="1"/>
  <c r="H2749" i="2" a="1"/>
  <c r="H2749" i="2" s="1"/>
  <c r="I2750" i="2" a="1"/>
  <c r="I2750" i="2" s="1"/>
  <c r="G2752" i="2" a="1"/>
  <c r="G2752" i="2" s="1"/>
  <c r="H2753" i="2" a="1"/>
  <c r="H2753" i="2" s="1"/>
  <c r="I2754" i="2" a="1"/>
  <c r="I2754" i="2" s="1"/>
  <c r="G2756" i="2" a="1"/>
  <c r="G2756" i="2" s="1"/>
  <c r="H2757" i="2" a="1"/>
  <c r="H2757" i="2" s="1"/>
  <c r="I2758" i="2" a="1"/>
  <c r="I2758" i="2" s="1"/>
  <c r="G2760" i="2" a="1"/>
  <c r="G2760" i="2" s="1"/>
  <c r="H2761" i="2" a="1"/>
  <c r="H2761" i="2" s="1"/>
  <c r="I2762" i="2" a="1"/>
  <c r="I2762" i="2" s="1"/>
  <c r="G2764" i="2" a="1"/>
  <c r="G2764" i="2" s="1"/>
  <c r="H2765" i="2" a="1"/>
  <c r="H2765" i="2" s="1"/>
  <c r="I2766" i="2" a="1"/>
  <c r="I2766" i="2" s="1"/>
  <c r="G2768" i="2" a="1"/>
  <c r="G2768" i="2" s="1"/>
  <c r="H2769" i="2" a="1"/>
  <c r="H2769" i="2" s="1"/>
  <c r="I2770" i="2" a="1"/>
  <c r="I2770" i="2" s="1"/>
  <c r="G2772" i="2" a="1"/>
  <c r="G2772" i="2" s="1"/>
  <c r="H2773" i="2" a="1"/>
  <c r="H2773" i="2" s="1"/>
  <c r="I2774" i="2" a="1"/>
  <c r="I2774" i="2" s="1"/>
  <c r="G2776" i="2" a="1"/>
  <c r="G2776" i="2" s="1"/>
  <c r="H2779" i="2" a="1"/>
  <c r="H2779" i="2" s="1"/>
  <c r="I2780" i="2" a="1"/>
  <c r="I2780" i="2" s="1"/>
  <c r="G2782" i="2" a="1"/>
  <c r="G2782" i="2" s="1"/>
  <c r="H2783" i="2" a="1"/>
  <c r="H2783" i="2" s="1"/>
  <c r="I2784" i="2" a="1"/>
  <c r="I2784" i="2" s="1"/>
  <c r="G2786" i="2" a="1"/>
  <c r="G2786" i="2" s="1"/>
  <c r="H2787" i="2" a="1"/>
  <c r="H2787" i="2" s="1"/>
  <c r="I2788" i="2" a="1"/>
  <c r="I2788" i="2" s="1"/>
  <c r="G2790" i="2" a="1"/>
  <c r="G2790" i="2" s="1"/>
  <c r="H2791" i="2" a="1"/>
  <c r="H2791" i="2" s="1"/>
  <c r="I2792" i="2" a="1"/>
  <c r="I2792" i="2" s="1"/>
  <c r="G2794" i="2" a="1"/>
  <c r="G2794" i="2" s="1"/>
  <c r="H2795" i="2" a="1"/>
  <c r="H2795" i="2" s="1"/>
  <c r="I2796" i="2" a="1"/>
  <c r="I2796" i="2" s="1"/>
  <c r="G2798" i="2" a="1"/>
  <c r="G2798" i="2" s="1"/>
  <c r="H2799" i="2" a="1"/>
  <c r="H2799" i="2" s="1"/>
  <c r="I2800" i="2" a="1"/>
  <c r="I2800" i="2" s="1"/>
  <c r="G2802" i="2" a="1"/>
  <c r="G2802" i="2" s="1"/>
  <c r="H2803" i="2" a="1"/>
  <c r="H2803" i="2" s="1"/>
  <c r="I2804" i="2" a="1"/>
  <c r="I2804" i="2" s="1"/>
  <c r="G2806" i="2" a="1"/>
  <c r="G2806" i="2" s="1"/>
  <c r="H2807" i="2" a="1"/>
  <c r="H2807" i="2" s="1"/>
  <c r="I2808" i="2" a="1"/>
  <c r="I2808" i="2" s="1"/>
  <c r="G2810" i="2" a="1"/>
  <c r="G2810" i="2" s="1"/>
  <c r="H2811" i="2" a="1"/>
  <c r="H2811" i="2" s="1"/>
  <c r="I2812" i="2" a="1"/>
  <c r="I2812" i="2" s="1"/>
  <c r="G2814" i="2" a="1"/>
  <c r="G2814" i="2" s="1"/>
  <c r="H2815" i="2" a="1"/>
  <c r="H2815" i="2" s="1"/>
  <c r="I2816" i="2" a="1"/>
  <c r="I2816" i="2" s="1"/>
  <c r="G2818" i="2" a="1"/>
  <c r="G2818" i="2" s="1"/>
  <c r="H2819" i="2" a="1"/>
  <c r="H2819" i="2" s="1"/>
  <c r="I2820" i="2" a="1"/>
  <c r="I2820" i="2" s="1"/>
  <c r="G2822" i="2" a="1"/>
  <c r="G2822" i="2" s="1"/>
  <c r="H2823" i="2" a="1"/>
  <c r="H2823" i="2" s="1"/>
  <c r="I2824" i="2" a="1"/>
  <c r="I2824" i="2" s="1"/>
  <c r="G2826" i="2" a="1"/>
  <c r="G2826" i="2" s="1"/>
  <c r="H2827" i="2" a="1"/>
  <c r="H2827" i="2" s="1"/>
  <c r="I2828" i="2" a="1"/>
  <c r="I2828" i="2" s="1"/>
  <c r="G2830" i="2" a="1"/>
  <c r="G2830" i="2" s="1"/>
  <c r="H2831" i="2" a="1"/>
  <c r="H2831" i="2" s="1"/>
  <c r="I2832" i="2" a="1"/>
  <c r="I2832" i="2" s="1"/>
  <c r="G2834" i="2" a="1"/>
  <c r="G2834" i="2" s="1"/>
  <c r="H2835" i="2" a="1"/>
  <c r="H2835" i="2" s="1"/>
  <c r="I2836" i="2" a="1"/>
  <c r="I2836" i="2" s="1"/>
  <c r="G2838" i="2" a="1"/>
  <c r="G2838" i="2" s="1"/>
  <c r="H2839" i="2" a="1"/>
  <c r="H2839" i="2" s="1"/>
  <c r="I2840" i="2" a="1"/>
  <c r="I2840" i="2" s="1"/>
  <c r="G2842" i="2" a="1"/>
  <c r="G2842" i="2" s="1"/>
  <c r="H2843" i="2" a="1"/>
  <c r="H2843" i="2" s="1"/>
  <c r="I2844" i="2" a="1"/>
  <c r="I2844" i="2" s="1"/>
  <c r="G2846" i="2" a="1"/>
  <c r="G2846" i="2" s="1"/>
  <c r="H2847" i="2" a="1"/>
  <c r="H2847" i="2" s="1"/>
  <c r="I2848" i="2" a="1"/>
  <c r="I2848" i="2" s="1"/>
  <c r="G2850" i="2" a="1"/>
  <c r="G2850" i="2" s="1"/>
  <c r="H2851" i="2" a="1"/>
  <c r="H2851" i="2" s="1"/>
  <c r="I2852" i="2" a="1"/>
  <c r="I2852" i="2" s="1"/>
  <c r="G2854" i="2" a="1"/>
  <c r="G2854" i="2" s="1"/>
  <c r="H2855" i="2" a="1"/>
  <c r="H2855" i="2" s="1"/>
  <c r="I2856" i="2" a="1"/>
  <c r="I2856" i="2" s="1"/>
  <c r="G2858" i="2" a="1"/>
  <c r="G2858" i="2" s="1"/>
  <c r="H2859" i="2" a="1"/>
  <c r="H2859" i="2" s="1"/>
  <c r="I2860" i="2" a="1"/>
  <c r="I2860" i="2" s="1"/>
  <c r="G2862" i="2" a="1"/>
  <c r="G2862" i="2" s="1"/>
  <c r="H2863" i="2" a="1"/>
  <c r="H2863" i="2" s="1"/>
  <c r="I2864" i="2" a="1"/>
  <c r="I2864" i="2" s="1"/>
  <c r="G2866" i="2" a="1"/>
  <c r="G2866" i="2" s="1"/>
  <c r="H2867" i="2" a="1"/>
  <c r="H2867" i="2" s="1"/>
  <c r="I2868" i="2" a="1"/>
  <c r="I2868" i="2" s="1"/>
  <c r="G2870" i="2" a="1"/>
  <c r="G2870" i="2" s="1"/>
  <c r="H2871" i="2" a="1"/>
  <c r="H2871" i="2" s="1"/>
  <c r="I2872" i="2" a="1"/>
  <c r="I2872" i="2" s="1"/>
  <c r="G2874" i="2" a="1"/>
  <c r="G2874" i="2" s="1"/>
  <c r="H2875" i="2" a="1"/>
  <c r="H2875" i="2" s="1"/>
  <c r="I2876" i="2" a="1"/>
  <c r="I2876" i="2" s="1"/>
  <c r="G2878" i="2" a="1"/>
  <c r="G2878" i="2" s="1"/>
  <c r="H2879" i="2" a="1"/>
  <c r="H2879" i="2" s="1"/>
  <c r="I2880" i="2" a="1"/>
  <c r="I2880" i="2" s="1"/>
  <c r="G2882" i="2" a="1"/>
  <c r="G2882" i="2" s="1"/>
  <c r="H2883" i="2" a="1"/>
  <c r="H2883" i="2" s="1"/>
  <c r="I2884" i="2" a="1"/>
  <c r="I2884" i="2" s="1"/>
  <c r="G2886" i="2" a="1"/>
  <c r="G2886" i="2" s="1"/>
  <c r="H2887" i="2" a="1"/>
  <c r="H2887" i="2" s="1"/>
  <c r="I2888" i="2" a="1"/>
  <c r="I2888" i="2" s="1"/>
  <c r="G2890" i="2" a="1"/>
  <c r="G2890" i="2" s="1"/>
  <c r="H2891" i="2" a="1"/>
  <c r="H2891" i="2" s="1"/>
  <c r="I2892" i="2" a="1"/>
  <c r="I2892" i="2" s="1"/>
  <c r="G2894" i="2" a="1"/>
  <c r="G2894" i="2" s="1"/>
  <c r="H2895" i="2" a="1"/>
  <c r="H2895" i="2" s="1"/>
  <c r="I2896" i="2" a="1"/>
  <c r="I2896" i="2" s="1"/>
  <c r="G2898" i="2" a="1"/>
  <c r="G2898" i="2" s="1"/>
  <c r="H2899" i="2" a="1"/>
  <c r="H2899" i="2" s="1"/>
  <c r="I2900" i="2" a="1"/>
  <c r="I2900" i="2" s="1"/>
  <c r="G2902" i="2" a="1"/>
  <c r="G2902" i="2" s="1"/>
  <c r="H2903" i="2" a="1"/>
  <c r="H2903" i="2" s="1"/>
  <c r="I2904" i="2" a="1"/>
  <c r="I2904" i="2" s="1"/>
  <c r="G2906" i="2" a="1"/>
  <c r="G2906" i="2" s="1"/>
  <c r="H2907" i="2" a="1"/>
  <c r="H2907" i="2" s="1"/>
  <c r="I2908" i="2" a="1"/>
  <c r="I2908" i="2" s="1"/>
  <c r="G2910" i="2" a="1"/>
  <c r="G2910" i="2" s="1"/>
  <c r="H2911" i="2" a="1"/>
  <c r="H2911" i="2" s="1"/>
  <c r="I2912" i="2" a="1"/>
  <c r="I2912" i="2" s="1"/>
  <c r="G2914" i="2" a="1"/>
  <c r="G2914" i="2" s="1"/>
  <c r="H2915" i="2" a="1"/>
  <c r="H2915" i="2" s="1"/>
  <c r="I2916" i="2" a="1"/>
  <c r="I2916" i="2" s="1"/>
  <c r="G2918" i="2" a="1"/>
  <c r="G2918" i="2" s="1"/>
  <c r="H2919" i="2" a="1"/>
  <c r="H2919" i="2" s="1"/>
  <c r="I2920" i="2" a="1"/>
  <c r="I2920" i="2" s="1"/>
  <c r="G2922" i="2" a="1"/>
  <c r="G2922" i="2" s="1"/>
  <c r="H2923" i="2" a="1"/>
  <c r="H2923" i="2" s="1"/>
  <c r="I2924" i="2" a="1"/>
  <c r="I2924" i="2" s="1"/>
  <c r="G2926" i="2" a="1"/>
  <c r="G2926" i="2" s="1"/>
  <c r="H2927" i="2" a="1"/>
  <c r="H2927" i="2" s="1"/>
  <c r="I2928" i="2" a="1"/>
  <c r="I2928" i="2" s="1"/>
  <c r="G2930" i="2" a="1"/>
  <c r="G2930" i="2" s="1"/>
  <c r="H2931" i="2" a="1"/>
  <c r="H2931" i="2" s="1"/>
  <c r="I2932" i="2" a="1"/>
  <c r="I2932" i="2" s="1"/>
  <c r="G2934" i="2" a="1"/>
  <c r="G2934" i="2" s="1"/>
  <c r="H2935" i="2" a="1"/>
  <c r="H2935" i="2" s="1"/>
  <c r="I2936" i="2" a="1"/>
  <c r="I2936" i="2" s="1"/>
  <c r="G2938" i="2" a="1"/>
  <c r="G2938" i="2" s="1"/>
  <c r="H2939" i="2" a="1"/>
  <c r="H2939" i="2" s="1"/>
  <c r="I2940" i="2" a="1"/>
  <c r="I2940" i="2" s="1"/>
  <c r="G2942" i="2" a="1"/>
  <c r="G2942" i="2" s="1"/>
  <c r="H2943" i="2" a="1"/>
  <c r="H2943" i="2" s="1"/>
  <c r="I2944" i="2" a="1"/>
  <c r="I2944" i="2" s="1"/>
  <c r="G2946" i="2" a="1"/>
  <c r="G2946" i="2" s="1"/>
  <c r="H2947" i="2" a="1"/>
  <c r="H2947" i="2" s="1"/>
  <c r="I2948" i="2" a="1"/>
  <c r="I2948" i="2" s="1"/>
  <c r="G2950" i="2" a="1"/>
  <c r="G2950" i="2" s="1"/>
  <c r="H2951" i="2" a="1"/>
  <c r="H2951" i="2" s="1"/>
  <c r="I2952" i="2" a="1"/>
  <c r="I2952" i="2" s="1"/>
  <c r="G2954" i="2" a="1"/>
  <c r="G2954" i="2" s="1"/>
  <c r="H2955" i="2" a="1"/>
  <c r="H2955" i="2" s="1"/>
  <c r="I2956" i="2" a="1"/>
  <c r="I2956" i="2" s="1"/>
  <c r="G2958" i="2" a="1"/>
  <c r="G2958" i="2" s="1"/>
  <c r="H2959" i="2" a="1"/>
  <c r="H2959" i="2" s="1"/>
  <c r="I2960" i="2" a="1"/>
  <c r="I2960" i="2" s="1"/>
  <c r="G2962" i="2" a="1"/>
  <c r="G2962" i="2" s="1"/>
  <c r="H2963" i="2" a="1"/>
  <c r="H2963" i="2" s="1"/>
  <c r="I2964" i="2" a="1"/>
  <c r="I2964" i="2" s="1"/>
  <c r="G2966" i="2" a="1"/>
  <c r="G2966" i="2" s="1"/>
  <c r="H2967" i="2" a="1"/>
  <c r="H2967" i="2" s="1"/>
  <c r="I2968" i="2" a="1"/>
  <c r="I2968" i="2" s="1"/>
  <c r="G2970" i="2" a="1"/>
  <c r="G2970" i="2" s="1"/>
  <c r="H2971" i="2" a="1"/>
  <c r="H2971" i="2" s="1"/>
  <c r="I2972" i="2" a="1"/>
  <c r="I2972" i="2" s="1"/>
  <c r="G2974" i="2" a="1"/>
  <c r="G2974" i="2" s="1"/>
  <c r="H2975" i="2" a="1"/>
  <c r="H2975" i="2" s="1"/>
  <c r="I2976" i="2" a="1"/>
  <c r="I2976" i="2" s="1"/>
  <c r="G2978" i="2" a="1"/>
  <c r="G2978" i="2" s="1"/>
  <c r="H2979" i="2" a="1"/>
  <c r="H2979" i="2" s="1"/>
  <c r="I2980" i="2" a="1"/>
  <c r="I2980" i="2" s="1"/>
  <c r="G2982" i="2" a="1"/>
  <c r="G2982" i="2" s="1"/>
  <c r="H2983" i="2" a="1"/>
  <c r="H2983" i="2" s="1"/>
  <c r="I2984" i="2" a="1"/>
  <c r="I2984" i="2" s="1"/>
  <c r="G2986" i="2" a="1"/>
  <c r="G2986" i="2" s="1"/>
  <c r="H2987" i="2" a="1"/>
  <c r="H2987" i="2" s="1"/>
  <c r="I2988" i="2" a="1"/>
  <c r="I2988" i="2" s="1"/>
  <c r="G2990" i="2" a="1"/>
  <c r="G2990" i="2" s="1"/>
  <c r="H2991" i="2" a="1"/>
  <c r="H2991" i="2" s="1"/>
  <c r="I2992" i="2" a="1"/>
  <c r="I2992" i="2" s="1"/>
  <c r="G2994" i="2" a="1"/>
  <c r="G2994" i="2" s="1"/>
  <c r="H2995" i="2" a="1"/>
  <c r="H2995" i="2" s="1"/>
  <c r="I2996" i="2" a="1"/>
  <c r="I2996" i="2" s="1"/>
  <c r="G2998" i="2" a="1"/>
  <c r="G2998" i="2" s="1"/>
  <c r="H2999" i="2" a="1"/>
  <c r="H2999" i="2" s="1"/>
  <c r="I3000" i="2" a="1"/>
  <c r="I3000" i="2" s="1"/>
  <c r="G3002" i="2" a="1"/>
  <c r="G3002" i="2" s="1"/>
  <c r="H3003" i="2" a="1"/>
  <c r="H3003" i="2" s="1"/>
  <c r="I3004" i="2" a="1"/>
  <c r="I3004" i="2" s="1"/>
  <c r="G3006" i="2" a="1"/>
  <c r="G3006" i="2" s="1"/>
  <c r="H3007" i="2" a="1"/>
  <c r="H3007" i="2" s="1"/>
  <c r="H3008" i="2" a="1"/>
  <c r="H3008" i="2" s="1"/>
  <c r="I3009" i="2" a="1"/>
  <c r="I3009" i="2" s="1"/>
  <c r="G3011" i="2" a="1"/>
  <c r="G3011" i="2" s="1"/>
  <c r="H3012" i="2" a="1"/>
  <c r="H3012" i="2" s="1"/>
  <c r="I3013" i="2" a="1"/>
  <c r="I3013" i="2" s="1"/>
  <c r="G3015" i="2" a="1"/>
  <c r="G3015" i="2" s="1"/>
  <c r="H3016" i="2" a="1"/>
  <c r="H3016" i="2" s="1"/>
  <c r="I3017" i="2" a="1"/>
  <c r="I3017" i="2" s="1"/>
  <c r="G3019" i="2" a="1"/>
  <c r="G3019" i="2" s="1"/>
  <c r="H3020" i="2" a="1"/>
  <c r="H3020" i="2" s="1"/>
  <c r="I3021" i="2" a="1"/>
  <c r="I3021" i="2" s="1"/>
  <c r="G3023" i="2" a="1"/>
  <c r="G3023" i="2" s="1"/>
  <c r="H3024" i="2" a="1"/>
  <c r="H3024" i="2" s="1"/>
  <c r="I3025" i="2" a="1"/>
  <c r="I3025" i="2" s="1"/>
  <c r="G3027" i="2" a="1"/>
  <c r="G3027" i="2" s="1"/>
  <c r="H3028" i="2" a="1"/>
  <c r="H3028" i="2" s="1"/>
  <c r="I3029" i="2" a="1"/>
  <c r="I3029" i="2" s="1"/>
  <c r="G3031" i="2" a="1"/>
  <c r="G3031" i="2" s="1"/>
  <c r="H3032" i="2" a="1"/>
  <c r="H3032" i="2" s="1"/>
  <c r="I3033" i="2" a="1"/>
  <c r="I3033" i="2" s="1"/>
  <c r="G3035" i="2" a="1"/>
  <c r="G3035" i="2" s="1"/>
  <c r="H3036" i="2" a="1"/>
  <c r="H3036" i="2" s="1"/>
  <c r="I3037" i="2" a="1"/>
  <c r="I3037" i="2" s="1"/>
  <c r="G3039" i="2" a="1"/>
  <c r="G3039" i="2" s="1"/>
  <c r="H3040" i="2" a="1"/>
  <c r="H3040" i="2" s="1"/>
  <c r="I3041" i="2" a="1"/>
  <c r="I3041" i="2" s="1"/>
  <c r="G3043" i="2" a="1"/>
  <c r="G3043" i="2" s="1"/>
  <c r="H3044" i="2" a="1"/>
  <c r="H3044" i="2" s="1"/>
  <c r="I3045" i="2" a="1"/>
  <c r="I3045" i="2" s="1"/>
  <c r="G3047" i="2" a="1"/>
  <c r="G3047" i="2" s="1"/>
  <c r="H3048" i="2" a="1"/>
  <c r="H3048" i="2" s="1"/>
  <c r="I3049" i="2" a="1"/>
  <c r="I3049" i="2" s="1"/>
  <c r="G3051" i="2" a="1"/>
  <c r="G3051" i="2" s="1"/>
  <c r="H3052" i="2" a="1"/>
  <c r="H3052" i="2" s="1"/>
  <c r="I3053" i="2" a="1"/>
  <c r="I3053" i="2" s="1"/>
  <c r="G3055" i="2" a="1"/>
  <c r="G3055" i="2" s="1"/>
  <c r="H3056" i="2" a="1"/>
  <c r="H3056" i="2" s="1"/>
  <c r="I3057" i="2" a="1"/>
  <c r="I3057" i="2" s="1"/>
  <c r="G3059" i="2" a="1"/>
  <c r="G3059" i="2" s="1"/>
  <c r="H3060" i="2" a="1"/>
  <c r="H3060" i="2" s="1"/>
  <c r="I3061" i="2" a="1"/>
  <c r="I3061" i="2" s="1"/>
  <c r="G3063" i="2" a="1"/>
  <c r="G3063" i="2" s="1"/>
  <c r="H3064" i="2" a="1"/>
  <c r="H3064" i="2" s="1"/>
  <c r="I3065" i="2" a="1"/>
  <c r="I3065" i="2" s="1"/>
  <c r="G3067" i="2" a="1"/>
  <c r="G3067" i="2" s="1"/>
  <c r="H3068" i="2" a="1"/>
  <c r="H3068" i="2" s="1"/>
  <c r="I3069" i="2" a="1"/>
  <c r="I3069" i="2" s="1"/>
  <c r="G3071" i="2" a="1"/>
  <c r="G3071" i="2" s="1"/>
  <c r="H3072" i="2" a="1"/>
  <c r="H3072" i="2" s="1"/>
  <c r="I3073" i="2" a="1"/>
  <c r="I3073" i="2" s="1"/>
  <c r="G3075" i="2" a="1"/>
  <c r="G3075" i="2" s="1"/>
  <c r="H3076" i="2" a="1"/>
  <c r="H3076" i="2" s="1"/>
  <c r="I3077" i="2" a="1"/>
  <c r="I3077" i="2" s="1"/>
  <c r="G3079" i="2" a="1"/>
  <c r="G3079" i="2" s="1"/>
  <c r="H3080" i="2" a="1"/>
  <c r="H3080" i="2" s="1"/>
  <c r="I3081" i="2" a="1"/>
  <c r="I3081" i="2" s="1"/>
  <c r="G3083" i="2" a="1"/>
  <c r="G3083" i="2" s="1"/>
  <c r="H3084" i="2" a="1"/>
  <c r="H3084" i="2" s="1"/>
  <c r="I3085" i="2" a="1"/>
  <c r="I3085" i="2" s="1"/>
  <c r="G3087" i="2" a="1"/>
  <c r="G3087" i="2" s="1"/>
  <c r="H3088" i="2" a="1"/>
  <c r="H3088" i="2" s="1"/>
  <c r="I3089" i="2" a="1"/>
  <c r="I3089" i="2" s="1"/>
  <c r="G3091" i="2" a="1"/>
  <c r="G3091" i="2" s="1"/>
  <c r="H3092" i="2" a="1"/>
  <c r="H3092" i="2" s="1"/>
  <c r="I3093" i="2" a="1"/>
  <c r="I3093" i="2" s="1"/>
  <c r="G3095" i="2" a="1"/>
  <c r="G3095" i="2" s="1"/>
  <c r="H3096" i="2" a="1"/>
  <c r="H3096" i="2" s="1"/>
  <c r="I3097" i="2" a="1"/>
  <c r="I3097" i="2" s="1"/>
  <c r="G3099" i="2" a="1"/>
  <c r="G3099" i="2" s="1"/>
  <c r="H3100" i="2" a="1"/>
  <c r="H3100" i="2" s="1"/>
  <c r="I3101" i="2" a="1"/>
  <c r="I3101" i="2" s="1"/>
  <c r="G3103" i="2" a="1"/>
  <c r="G3103" i="2" s="1"/>
  <c r="H3104" i="2" a="1"/>
  <c r="H3104" i="2" s="1"/>
  <c r="I3105" i="2" a="1"/>
  <c r="I3105" i="2" s="1"/>
  <c r="G3107" i="2" a="1"/>
  <c r="G3107" i="2" s="1"/>
  <c r="H3108" i="2" a="1"/>
  <c r="H3108" i="2" s="1"/>
  <c r="I3109" i="2" a="1"/>
  <c r="I3109" i="2" s="1"/>
  <c r="G3111" i="2" a="1"/>
  <c r="G3111" i="2" s="1"/>
  <c r="H3112" i="2" a="1"/>
  <c r="H3112" i="2" s="1"/>
  <c r="I3113" i="2" a="1"/>
  <c r="I3113" i="2" s="1"/>
  <c r="G3115" i="2" a="1"/>
  <c r="G3115" i="2" s="1"/>
  <c r="H3116" i="2" a="1"/>
  <c r="H3116" i="2" s="1"/>
  <c r="I3117" i="2" a="1"/>
  <c r="I3117" i="2" s="1"/>
  <c r="G3119" i="2" a="1"/>
  <c r="G3119" i="2" s="1"/>
  <c r="H3120" i="2" a="1"/>
  <c r="H3120" i="2" s="1"/>
  <c r="I3121" i="2" a="1"/>
  <c r="I3121" i="2" s="1"/>
  <c r="G3123" i="2" a="1"/>
  <c r="G3123" i="2" s="1"/>
  <c r="H3124" i="2" a="1"/>
  <c r="H3124" i="2" s="1"/>
  <c r="I3125" i="2" a="1"/>
  <c r="I3125" i="2" s="1"/>
  <c r="G3127" i="2" a="1"/>
  <c r="G3127" i="2" s="1"/>
  <c r="H3128" i="2" a="1"/>
  <c r="H3128" i="2" s="1"/>
  <c r="I3129" i="2" a="1"/>
  <c r="I3129" i="2" s="1"/>
  <c r="G3131" i="2" a="1"/>
  <c r="G3131" i="2" s="1"/>
  <c r="H3132" i="2" a="1"/>
  <c r="H3132" i="2" s="1"/>
  <c r="I3133" i="2" a="1"/>
  <c r="I3133" i="2" s="1"/>
  <c r="G3135" i="2" a="1"/>
  <c r="G3135" i="2" s="1"/>
  <c r="H3136" i="2" a="1"/>
  <c r="H3136" i="2" s="1"/>
  <c r="I3137" i="2" a="1"/>
  <c r="I3137" i="2" s="1"/>
  <c r="G3139" i="2" a="1"/>
  <c r="G3139" i="2" s="1"/>
  <c r="H3140" i="2" a="1"/>
  <c r="H3140" i="2" s="1"/>
  <c r="I3141" i="2" a="1"/>
  <c r="I3141" i="2" s="1"/>
  <c r="G3143" i="2" a="1"/>
  <c r="G3143" i="2" s="1"/>
  <c r="H3144" i="2" a="1"/>
  <c r="H3144" i="2" s="1"/>
  <c r="I3145" i="2" a="1"/>
  <c r="I3145" i="2" s="1"/>
  <c r="G3147" i="2" a="1"/>
  <c r="G3147" i="2" s="1"/>
  <c r="H3148" i="2" a="1"/>
  <c r="H3148" i="2" s="1"/>
  <c r="I3149" i="2" a="1"/>
  <c r="I3149" i="2" s="1"/>
  <c r="G3151" i="2" a="1"/>
  <c r="G3151" i="2" s="1"/>
  <c r="H3152" i="2" a="1"/>
  <c r="H3152" i="2" s="1"/>
  <c r="I3153" i="2" a="1"/>
  <c r="I3153" i="2" s="1"/>
  <c r="G3155" i="2" a="1"/>
  <c r="G3155" i="2" s="1"/>
  <c r="H3156" i="2" a="1"/>
  <c r="H3156" i="2" s="1"/>
  <c r="I3157" i="2" a="1"/>
  <c r="I3157" i="2" s="1"/>
  <c r="G3159" i="2" a="1"/>
  <c r="G3159" i="2" s="1"/>
  <c r="H3160" i="2" a="1"/>
  <c r="H3160" i="2" s="1"/>
  <c r="I3161" i="2" a="1"/>
  <c r="I3161" i="2" s="1"/>
  <c r="G3163" i="2" a="1"/>
  <c r="G3163" i="2" s="1"/>
  <c r="H3164" i="2" a="1"/>
  <c r="H3164" i="2" s="1"/>
  <c r="I3165" i="2" a="1"/>
  <c r="I3165" i="2" s="1"/>
  <c r="G3167" i="2" a="1"/>
  <c r="G3167" i="2" s="1"/>
  <c r="H3168" i="2" a="1"/>
  <c r="H3168" i="2" s="1"/>
  <c r="I3169" i="2" a="1"/>
  <c r="I3169" i="2" s="1"/>
  <c r="G3171" i="2" a="1"/>
  <c r="G3171" i="2" s="1"/>
  <c r="H3172" i="2" a="1"/>
  <c r="H3172" i="2" s="1"/>
  <c r="I3173" i="2" a="1"/>
  <c r="I3173" i="2" s="1"/>
  <c r="G3175" i="2" a="1"/>
  <c r="G3175" i="2" s="1"/>
  <c r="H3176" i="2" a="1"/>
  <c r="H3176" i="2" s="1"/>
  <c r="I3177" i="2" a="1"/>
  <c r="I3177" i="2" s="1"/>
  <c r="G3179" i="2" a="1"/>
  <c r="G3179" i="2" s="1"/>
  <c r="I2273" i="2" a="1"/>
  <c r="I2273" i="2" s="1"/>
  <c r="G2275" i="2" a="1"/>
  <c r="G2275" i="2" s="1"/>
  <c r="H2276" i="2" a="1"/>
  <c r="H2276" i="2" s="1"/>
  <c r="I2277" i="2" a="1"/>
  <c r="I2277" i="2" s="1"/>
  <c r="G2279" i="2" a="1"/>
  <c r="G2279" i="2" s="1"/>
  <c r="H2280" i="2" a="1"/>
  <c r="H2280" i="2" s="1"/>
  <c r="I2281" i="2" a="1"/>
  <c r="I2281" i="2" s="1"/>
  <c r="G2283" i="2" a="1"/>
  <c r="G2283" i="2" s="1"/>
  <c r="H2284" i="2" a="1"/>
  <c r="H2284" i="2" s="1"/>
  <c r="I2285" i="2" a="1"/>
  <c r="I2285" i="2" s="1"/>
  <c r="G2287" i="2" a="1"/>
  <c r="G2287" i="2" s="1"/>
  <c r="H2288" i="2" a="1"/>
  <c r="H2288" i="2" s="1"/>
  <c r="I2289" i="2" a="1"/>
  <c r="I2289" i="2" s="1"/>
  <c r="G2291" i="2" a="1"/>
  <c r="G2291" i="2" s="1"/>
  <c r="H2292" i="2" a="1"/>
  <c r="H2292" i="2" s="1"/>
  <c r="I2293" i="2" a="1"/>
  <c r="I2293" i="2" s="1"/>
  <c r="G2295" i="2" a="1"/>
  <c r="G2295" i="2" s="1"/>
  <c r="H2296" i="2" a="1"/>
  <c r="H2296" i="2" s="1"/>
  <c r="I2297" i="2" a="1"/>
  <c r="I2297" i="2" s="1"/>
  <c r="G2299" i="2" a="1"/>
  <c r="G2299" i="2" s="1"/>
  <c r="H2300" i="2" a="1"/>
  <c r="H2300" i="2" s="1"/>
  <c r="I2301" i="2" a="1"/>
  <c r="I2301" i="2" s="1"/>
  <c r="G2303" i="2" a="1"/>
  <c r="G2303" i="2" s="1"/>
  <c r="H2304" i="2" a="1"/>
  <c r="H2304" i="2" s="1"/>
  <c r="I2305" i="2" a="1"/>
  <c r="I2305" i="2" s="1"/>
  <c r="G2307" i="2" a="1"/>
  <c r="G2307" i="2" s="1"/>
  <c r="H2308" i="2" a="1"/>
  <c r="H2308" i="2" s="1"/>
  <c r="I2309" i="2" a="1"/>
  <c r="I2309" i="2" s="1"/>
  <c r="G2311" i="2" a="1"/>
  <c r="G2311" i="2" s="1"/>
  <c r="H2312" i="2" a="1"/>
  <c r="H2312" i="2" s="1"/>
  <c r="I2313" i="2" a="1"/>
  <c r="I2313" i="2" s="1"/>
  <c r="G2315" i="2" a="1"/>
  <c r="G2315" i="2" s="1"/>
  <c r="H2316" i="2" a="1"/>
  <c r="H2316" i="2" s="1"/>
  <c r="I2317" i="2" a="1"/>
  <c r="I2317" i="2" s="1"/>
  <c r="G2319" i="2" a="1"/>
  <c r="G2319" i="2" s="1"/>
  <c r="H2320" i="2" a="1"/>
  <c r="H2320" i="2" s="1"/>
  <c r="I2321" i="2" a="1"/>
  <c r="I2321" i="2" s="1"/>
  <c r="G2323" i="2" a="1"/>
  <c r="G2323" i="2" s="1"/>
  <c r="H2324" i="2" a="1"/>
  <c r="H2324" i="2" s="1"/>
  <c r="I2325" i="2" a="1"/>
  <c r="I2325" i="2" s="1"/>
  <c r="G2327" i="2" a="1"/>
  <c r="G2327" i="2" s="1"/>
  <c r="H2328" i="2" a="1"/>
  <c r="H2328" i="2" s="1"/>
  <c r="I2329" i="2" a="1"/>
  <c r="I2329" i="2" s="1"/>
  <c r="G2331" i="2" a="1"/>
  <c r="G2331" i="2" s="1"/>
  <c r="H2332" i="2" a="1"/>
  <c r="H2332" i="2" s="1"/>
  <c r="I2333" i="2" a="1"/>
  <c r="I2333" i="2" s="1"/>
  <c r="G2335" i="2" a="1"/>
  <c r="G2335" i="2" s="1"/>
  <c r="H2336" i="2" a="1"/>
  <c r="H2336" i="2" s="1"/>
  <c r="I2337" i="2" a="1"/>
  <c r="I2337" i="2" s="1"/>
  <c r="G2339" i="2" a="1"/>
  <c r="G2339" i="2" s="1"/>
  <c r="H2340" i="2" a="1"/>
  <c r="H2340" i="2" s="1"/>
  <c r="I2341" i="2" a="1"/>
  <c r="I2341" i="2" s="1"/>
  <c r="G2343" i="2" a="1"/>
  <c r="G2343" i="2" s="1"/>
  <c r="H2344" i="2" a="1"/>
  <c r="H2344" i="2" s="1"/>
  <c r="I2345" i="2" a="1"/>
  <c r="I2345" i="2" s="1"/>
  <c r="G2347" i="2" a="1"/>
  <c r="G2347" i="2" s="1"/>
  <c r="H2348" i="2" a="1"/>
  <c r="H2348" i="2" s="1"/>
  <c r="I2349" i="2" a="1"/>
  <c r="I2349" i="2" s="1"/>
  <c r="G2351" i="2" a="1"/>
  <c r="G2351" i="2" s="1"/>
  <c r="H2352" i="2" a="1"/>
  <c r="H2352" i="2" s="1"/>
  <c r="I2353" i="2" a="1"/>
  <c r="I2353" i="2" s="1"/>
  <c r="G2355" i="2" a="1"/>
  <c r="G2355" i="2" s="1"/>
  <c r="H2356" i="2" a="1"/>
  <c r="H2356" i="2" s="1"/>
  <c r="I2357" i="2" a="1"/>
  <c r="I2357" i="2" s="1"/>
  <c r="G2359" i="2" a="1"/>
  <c r="G2359" i="2" s="1"/>
  <c r="H2360" i="2" a="1"/>
  <c r="H2360" i="2" s="1"/>
  <c r="I2361" i="2" a="1"/>
  <c r="I2361" i="2" s="1"/>
  <c r="G2363" i="2" a="1"/>
  <c r="G2363" i="2" s="1"/>
  <c r="H2364" i="2" a="1"/>
  <c r="H2364" i="2" s="1"/>
  <c r="I2365" i="2" a="1"/>
  <c r="I2365" i="2" s="1"/>
  <c r="G2367" i="2" a="1"/>
  <c r="G2367" i="2" s="1"/>
  <c r="H2368" i="2" a="1"/>
  <c r="H2368" i="2" s="1"/>
  <c r="I2369" i="2" a="1"/>
  <c r="I2369" i="2" s="1"/>
  <c r="G2371" i="2" a="1"/>
  <c r="G2371" i="2" s="1"/>
  <c r="H2372" i="2" a="1"/>
  <c r="H2372" i="2" s="1"/>
  <c r="I2373" i="2" a="1"/>
  <c r="I2373" i="2" s="1"/>
  <c r="G2375" i="2" a="1"/>
  <c r="G2375" i="2" s="1"/>
  <c r="H2376" i="2" a="1"/>
  <c r="H2376" i="2" s="1"/>
  <c r="I2377" i="2" a="1"/>
  <c r="I2377" i="2" s="1"/>
  <c r="G2379" i="2" a="1"/>
  <c r="G2379" i="2" s="1"/>
  <c r="H2380" i="2" a="1"/>
  <c r="H2380" i="2" s="1"/>
  <c r="I2381" i="2" a="1"/>
  <c r="I2381" i="2" s="1"/>
  <c r="G2383" i="2" a="1"/>
  <c r="G2383" i="2" s="1"/>
  <c r="H2384" i="2" a="1"/>
  <c r="H2384" i="2" s="1"/>
  <c r="I2385" i="2" a="1"/>
  <c r="I2385" i="2" s="1"/>
  <c r="G2387" i="2" a="1"/>
  <c r="G2387" i="2" s="1"/>
  <c r="H2388" i="2" a="1"/>
  <c r="H2388" i="2" s="1"/>
  <c r="I2389" i="2" a="1"/>
  <c r="I2389" i="2" s="1"/>
  <c r="G2391" i="2" a="1"/>
  <c r="G2391" i="2" s="1"/>
  <c r="H2392" i="2" a="1"/>
  <c r="H2392" i="2" s="1"/>
  <c r="I2393" i="2" a="1"/>
  <c r="I2393" i="2" s="1"/>
  <c r="G2395" i="2" a="1"/>
  <c r="G2395" i="2" s="1"/>
  <c r="H2396" i="2" a="1"/>
  <c r="H2396" i="2" s="1"/>
  <c r="I2397" i="2" a="1"/>
  <c r="I2397" i="2" s="1"/>
  <c r="G2399" i="2" a="1"/>
  <c r="G2399" i="2" s="1"/>
  <c r="H2400" i="2" a="1"/>
  <c r="H2400" i="2" s="1"/>
  <c r="I2401" i="2" a="1"/>
  <c r="I2401" i="2" s="1"/>
  <c r="G2403" i="2" a="1"/>
  <c r="G2403" i="2" s="1"/>
  <c r="H2404" i="2" a="1"/>
  <c r="H2404" i="2" s="1"/>
  <c r="I2405" i="2" a="1"/>
  <c r="I2405" i="2" s="1"/>
  <c r="G2407" i="2" a="1"/>
  <c r="G2407" i="2" s="1"/>
  <c r="H2408" i="2" a="1"/>
  <c r="H2408" i="2" s="1"/>
  <c r="I2409" i="2" a="1"/>
  <c r="I2409" i="2" s="1"/>
  <c r="G2411" i="2" a="1"/>
  <c r="G2411" i="2" s="1"/>
  <c r="H2412" i="2" a="1"/>
  <c r="H2412" i="2" s="1"/>
  <c r="I2413" i="2" a="1"/>
  <c r="I2413" i="2" s="1"/>
  <c r="G2415" i="2" a="1"/>
  <c r="G2415" i="2" s="1"/>
  <c r="H2416" i="2" a="1"/>
  <c r="H2416" i="2" s="1"/>
  <c r="I2417" i="2" a="1"/>
  <c r="I2417" i="2" s="1"/>
  <c r="G2419" i="2" a="1"/>
  <c r="G2419" i="2" s="1"/>
  <c r="H2420" i="2" a="1"/>
  <c r="H2420" i="2" s="1"/>
  <c r="I2421" i="2" a="1"/>
  <c r="I2421" i="2" s="1"/>
  <c r="G2423" i="2" a="1"/>
  <c r="G2423" i="2" s="1"/>
  <c r="H2424" i="2" a="1"/>
  <c r="H2424" i="2" s="1"/>
  <c r="I2425" i="2" a="1"/>
  <c r="I2425" i="2" s="1"/>
  <c r="G2427" i="2" a="1"/>
  <c r="G2427" i="2" s="1"/>
  <c r="H2428" i="2" a="1"/>
  <c r="H2428" i="2" s="1"/>
  <c r="I2429" i="2" a="1"/>
  <c r="I2429" i="2" s="1"/>
  <c r="G2431" i="2" a="1"/>
  <c r="G2431" i="2" s="1"/>
  <c r="H2432" i="2" a="1"/>
  <c r="H2432" i="2" s="1"/>
  <c r="I2433" i="2" a="1"/>
  <c r="I2433" i="2" s="1"/>
  <c r="G2435" i="2" a="1"/>
  <c r="G2435" i="2" s="1"/>
  <c r="H2436" i="2" a="1"/>
  <c r="H2436" i="2" s="1"/>
  <c r="I2437" i="2" a="1"/>
  <c r="I2437" i="2" s="1"/>
  <c r="G2439" i="2" a="1"/>
  <c r="G2439" i="2" s="1"/>
  <c r="H2440" i="2" a="1"/>
  <c r="H2440" i="2" s="1"/>
  <c r="I2441" i="2" a="1"/>
  <c r="I2441" i="2" s="1"/>
  <c r="G2443" i="2" a="1"/>
  <c r="G2443" i="2" s="1"/>
  <c r="H2444" i="2" a="1"/>
  <c r="H2444" i="2" s="1"/>
  <c r="I2445" i="2" a="1"/>
  <c r="I2445" i="2" s="1"/>
  <c r="G2447" i="2" a="1"/>
  <c r="G2447" i="2" s="1"/>
  <c r="H2448" i="2" a="1"/>
  <c r="H2448" i="2" s="1"/>
  <c r="I2449" i="2" a="1"/>
  <c r="I2449" i="2" s="1"/>
  <c r="G2451" i="2" a="1"/>
  <c r="G2451" i="2" s="1"/>
  <c r="H2452" i="2" a="1"/>
  <c r="H2452" i="2" s="1"/>
  <c r="I2453" i="2" a="1"/>
  <c r="I2453" i="2" s="1"/>
  <c r="G2455" i="2" a="1"/>
  <c r="G2455" i="2" s="1"/>
  <c r="H2456" i="2" a="1"/>
  <c r="H2456" i="2" s="1"/>
  <c r="I2457" i="2" a="1"/>
  <c r="I2457" i="2" s="1"/>
  <c r="G2459" i="2" a="1"/>
  <c r="G2459" i="2" s="1"/>
  <c r="H2460" i="2" a="1"/>
  <c r="H2460" i="2" s="1"/>
  <c r="I2461" i="2" a="1"/>
  <c r="I2461" i="2" s="1"/>
  <c r="G2463" i="2" a="1"/>
  <c r="G2463" i="2" s="1"/>
  <c r="H2464" i="2" a="1"/>
  <c r="H2464" i="2" s="1"/>
  <c r="I2465" i="2" a="1"/>
  <c r="I2465" i="2" s="1"/>
  <c r="G2467" i="2" a="1"/>
  <c r="G2467" i="2" s="1"/>
  <c r="H2468" i="2" a="1"/>
  <c r="H2468" i="2" s="1"/>
  <c r="I2469" i="2" a="1"/>
  <c r="I2469" i="2" s="1"/>
  <c r="G2471" i="2" a="1"/>
  <c r="G2471" i="2" s="1"/>
  <c r="H2472" i="2" a="1"/>
  <c r="H2472" i="2" s="1"/>
  <c r="I2473" i="2" a="1"/>
  <c r="I2473" i="2" s="1"/>
  <c r="G2475" i="2" a="1"/>
  <c r="G2475" i="2" s="1"/>
  <c r="H2476" i="2" a="1"/>
  <c r="H2476" i="2" s="1"/>
  <c r="I2477" i="2" a="1"/>
  <c r="I2477" i="2" s="1"/>
  <c r="G2479" i="2" a="1"/>
  <c r="G2479" i="2" s="1"/>
  <c r="H2480" i="2" a="1"/>
  <c r="H2480" i="2" s="1"/>
  <c r="I2481" i="2" a="1"/>
  <c r="I2481" i="2" s="1"/>
  <c r="G2483" i="2" a="1"/>
  <c r="G2483" i="2" s="1"/>
  <c r="H2484" i="2" a="1"/>
  <c r="H2484" i="2" s="1"/>
  <c r="I2485" i="2" a="1"/>
  <c r="I2485" i="2" s="1"/>
  <c r="G2487" i="2" a="1"/>
  <c r="G2487" i="2" s="1"/>
  <c r="H2488" i="2" a="1"/>
  <c r="H2488" i="2" s="1"/>
  <c r="I2489" i="2" a="1"/>
  <c r="I2489" i="2" s="1"/>
  <c r="G2491" i="2" a="1"/>
  <c r="G2491" i="2" s="1"/>
  <c r="H2492" i="2" a="1"/>
  <c r="H2492" i="2" s="1"/>
  <c r="I2493" i="2" a="1"/>
  <c r="I2493" i="2" s="1"/>
  <c r="G2495" i="2" a="1"/>
  <c r="G2495" i="2" s="1"/>
  <c r="H2496" i="2" a="1"/>
  <c r="H2496" i="2" s="1"/>
  <c r="I2497" i="2" a="1"/>
  <c r="I2497" i="2" s="1"/>
  <c r="G2499" i="2" a="1"/>
  <c r="G2499" i="2" s="1"/>
  <c r="H2500" i="2" a="1"/>
  <c r="H2500" i="2" s="1"/>
  <c r="I2501" i="2" a="1"/>
  <c r="I2501" i="2" s="1"/>
  <c r="G2503" i="2" a="1"/>
  <c r="G2503" i="2" s="1"/>
  <c r="H2504" i="2" a="1"/>
  <c r="H2504" i="2" s="1"/>
  <c r="I2505" i="2" a="1"/>
  <c r="I2505" i="2" s="1"/>
  <c r="G2507" i="2" a="1"/>
  <c r="G2507" i="2" s="1"/>
  <c r="H2508" i="2" a="1"/>
  <c r="H2508" i="2" s="1"/>
  <c r="I2509" i="2" a="1"/>
  <c r="I2509" i="2" s="1"/>
  <c r="G2511" i="2" a="1"/>
  <c r="G2511" i="2" s="1"/>
  <c r="H2512" i="2" a="1"/>
  <c r="H2512" i="2" s="1"/>
  <c r="I2513" i="2" a="1"/>
  <c r="I2513" i="2" s="1"/>
  <c r="G2515" i="2" a="1"/>
  <c r="G2515" i="2" s="1"/>
  <c r="H2516" i="2" a="1"/>
  <c r="H2516" i="2" s="1"/>
  <c r="I2517" i="2" a="1"/>
  <c r="I2517" i="2" s="1"/>
  <c r="G2519" i="2" a="1"/>
  <c r="G2519" i="2" s="1"/>
  <c r="H2520" i="2" a="1"/>
  <c r="H2520" i="2" s="1"/>
  <c r="I2521" i="2" a="1"/>
  <c r="I2521" i="2" s="1"/>
  <c r="G2523" i="2" a="1"/>
  <c r="G2523" i="2" s="1"/>
  <c r="H2524" i="2" a="1"/>
  <c r="H2524" i="2" s="1"/>
  <c r="I2525" i="2" a="1"/>
  <c r="I2525" i="2" s="1"/>
  <c r="G2527" i="2" a="1"/>
  <c r="G2527" i="2" s="1"/>
  <c r="H2528" i="2" a="1"/>
  <c r="H2528" i="2" s="1"/>
  <c r="I2529" i="2" a="1"/>
  <c r="I2529" i="2" s="1"/>
  <c r="G2531" i="2" a="1"/>
  <c r="G2531" i="2" s="1"/>
  <c r="H2532" i="2" a="1"/>
  <c r="H2532" i="2" s="1"/>
  <c r="I2533" i="2" a="1"/>
  <c r="I2533" i="2" s="1"/>
  <c r="G2535" i="2" a="1"/>
  <c r="G2535" i="2" s="1"/>
  <c r="H2536" i="2" a="1"/>
  <c r="H2536" i="2" s="1"/>
  <c r="I2537" i="2" a="1"/>
  <c r="I2537" i="2" s="1"/>
  <c r="G2539" i="2" a="1"/>
  <c r="G2539" i="2" s="1"/>
  <c r="H2540" i="2" a="1"/>
  <c r="H2540" i="2" s="1"/>
  <c r="I2541" i="2" a="1"/>
  <c r="I2541" i="2" s="1"/>
  <c r="G2543" i="2" a="1"/>
  <c r="G2543" i="2" s="1"/>
  <c r="H2544" i="2" a="1"/>
  <c r="H2544" i="2" s="1"/>
  <c r="I2545" i="2" a="1"/>
  <c r="I2545" i="2" s="1"/>
  <c r="G2547" i="2" a="1"/>
  <c r="G2547" i="2" s="1"/>
  <c r="H2548" i="2" a="1"/>
  <c r="H2548" i="2" s="1"/>
  <c r="I2549" i="2" a="1"/>
  <c r="I2549" i="2" s="1"/>
  <c r="G2551" i="2" a="1"/>
  <c r="G2551" i="2" s="1"/>
  <c r="H2552" i="2" a="1"/>
  <c r="H2552" i="2" s="1"/>
  <c r="I2553" i="2" a="1"/>
  <c r="I2553" i="2" s="1"/>
  <c r="G2555" i="2" a="1"/>
  <c r="G2555" i="2" s="1"/>
  <c r="H2556" i="2" a="1"/>
  <c r="H2556" i="2" s="1"/>
  <c r="I2557" i="2" a="1"/>
  <c r="I2557" i="2" s="1"/>
  <c r="G2559" i="2" a="1"/>
  <c r="G2559" i="2" s="1"/>
  <c r="H2560" i="2" a="1"/>
  <c r="H2560" i="2" s="1"/>
  <c r="I2561" i="2" a="1"/>
  <c r="I2561" i="2" s="1"/>
  <c r="G2563" i="2" a="1"/>
  <c r="G2563" i="2" s="1"/>
  <c r="H2564" i="2" a="1"/>
  <c r="H2564" i="2" s="1"/>
  <c r="I2565" i="2" a="1"/>
  <c r="I2565" i="2" s="1"/>
  <c r="G2567" i="2" a="1"/>
  <c r="G2567" i="2" s="1"/>
  <c r="H2568" i="2" a="1"/>
  <c r="H2568" i="2" s="1"/>
  <c r="I2569" i="2" a="1"/>
  <c r="I2569" i="2" s="1"/>
  <c r="G2571" i="2" a="1"/>
  <c r="G2571" i="2" s="1"/>
  <c r="H2572" i="2" a="1"/>
  <c r="H2572" i="2" s="1"/>
  <c r="I2573" i="2" a="1"/>
  <c r="I2573" i="2" s="1"/>
  <c r="G2575" i="2" a="1"/>
  <c r="G2575" i="2" s="1"/>
  <c r="H2576" i="2" a="1"/>
  <c r="H2576" i="2" s="1"/>
  <c r="I2577" i="2" a="1"/>
  <c r="I2577" i="2" s="1"/>
  <c r="G2579" i="2" a="1"/>
  <c r="G2579" i="2" s="1"/>
  <c r="H2580" i="2" a="1"/>
  <c r="H2580" i="2" s="1"/>
  <c r="I2581" i="2" a="1"/>
  <c r="I2581" i="2" s="1"/>
  <c r="G2583" i="2" a="1"/>
  <c r="G2583" i="2" s="1"/>
  <c r="H2584" i="2" a="1"/>
  <c r="H2584" i="2" s="1"/>
  <c r="I2585" i="2" a="1"/>
  <c r="I2585" i="2" s="1"/>
  <c r="G2587" i="2" a="1"/>
  <c r="G2587" i="2" s="1"/>
  <c r="H2588" i="2" a="1"/>
  <c r="H2588" i="2" s="1"/>
  <c r="I2589" i="2" a="1"/>
  <c r="I2589" i="2" s="1"/>
  <c r="G2591" i="2" a="1"/>
  <c r="G2591" i="2" s="1"/>
  <c r="H2592" i="2" a="1"/>
  <c r="H2592" i="2" s="1"/>
  <c r="I2593" i="2" a="1"/>
  <c r="I2593" i="2" s="1"/>
  <c r="G2595" i="2" a="1"/>
  <c r="G2595" i="2" s="1"/>
  <c r="H2596" i="2" a="1"/>
  <c r="H2596" i="2" s="1"/>
  <c r="I2597" i="2" a="1"/>
  <c r="I2597" i="2" s="1"/>
  <c r="G2599" i="2" a="1"/>
  <c r="G2599" i="2" s="1"/>
  <c r="H2600" i="2" a="1"/>
  <c r="H2600" i="2" s="1"/>
  <c r="I2601" i="2" a="1"/>
  <c r="I2601" i="2" s="1"/>
  <c r="G2603" i="2" a="1"/>
  <c r="G2603" i="2" s="1"/>
  <c r="H2604" i="2" a="1"/>
  <c r="H2604" i="2" s="1"/>
  <c r="I2605" i="2" a="1"/>
  <c r="I2605" i="2" s="1"/>
  <c r="G2607" i="2" a="1"/>
  <c r="G2607" i="2" s="1"/>
  <c r="H2608" i="2" a="1"/>
  <c r="H2608" i="2" s="1"/>
  <c r="I2609" i="2" a="1"/>
  <c r="I2609" i="2" s="1"/>
  <c r="G2611" i="2" a="1"/>
  <c r="G2611" i="2" s="1"/>
  <c r="H2612" i="2" a="1"/>
  <c r="H2612" i="2" s="1"/>
  <c r="I2613" i="2" a="1"/>
  <c r="I2613" i="2" s="1"/>
  <c r="G2615" i="2" a="1"/>
  <c r="G2615" i="2" s="1"/>
  <c r="H2616" i="2" a="1"/>
  <c r="H2616" i="2" s="1"/>
  <c r="I2617" i="2" a="1"/>
  <c r="I2617" i="2" s="1"/>
  <c r="G2619" i="2" a="1"/>
  <c r="G2619" i="2" s="1"/>
  <c r="H2620" i="2" a="1"/>
  <c r="H2620" i="2" s="1"/>
  <c r="I2621" i="2" a="1"/>
  <c r="I2621" i="2" s="1"/>
  <c r="G2623" i="2" a="1"/>
  <c r="G2623" i="2" s="1"/>
  <c r="H2624" i="2" a="1"/>
  <c r="H2624" i="2" s="1"/>
  <c r="I2625" i="2" a="1"/>
  <c r="I2625" i="2" s="1"/>
  <c r="G2627" i="2" a="1"/>
  <c r="G2627" i="2" s="1"/>
  <c r="H2628" i="2" a="1"/>
  <c r="H2628" i="2" s="1"/>
  <c r="I2629" i="2" a="1"/>
  <c r="I2629" i="2" s="1"/>
  <c r="G2631" i="2" a="1"/>
  <c r="G2631" i="2" s="1"/>
  <c r="H2632" i="2" a="1"/>
  <c r="H2632" i="2" s="1"/>
  <c r="I2633" i="2" a="1"/>
  <c r="I2633" i="2" s="1"/>
  <c r="G2635" i="2" a="1"/>
  <c r="G2635" i="2" s="1"/>
  <c r="H2636" i="2" a="1"/>
  <c r="H2636" i="2" s="1"/>
  <c r="I2637" i="2" a="1"/>
  <c r="I2637" i="2" s="1"/>
  <c r="G2639" i="2" a="1"/>
  <c r="G2639" i="2" s="1"/>
  <c r="H2640" i="2" a="1"/>
  <c r="H2640" i="2" s="1"/>
  <c r="I2641" i="2" a="1"/>
  <c r="I2641" i="2" s="1"/>
  <c r="G2643" i="2" a="1"/>
  <c r="G2643" i="2" s="1"/>
  <c r="H2644" i="2" a="1"/>
  <c r="H2644" i="2" s="1"/>
  <c r="I2645" i="2" a="1"/>
  <c r="I2645" i="2" s="1"/>
  <c r="G2647" i="2" a="1"/>
  <c r="G2647" i="2" s="1"/>
  <c r="H2648" i="2" a="1"/>
  <c r="H2648" i="2" s="1"/>
  <c r="I2649" i="2" a="1"/>
  <c r="I2649" i="2" s="1"/>
  <c r="G2651" i="2" a="1"/>
  <c r="G2651" i="2" s="1"/>
  <c r="H2652" i="2" a="1"/>
  <c r="H2652" i="2" s="1"/>
  <c r="I2653" i="2" a="1"/>
  <c r="I2653" i="2" s="1"/>
  <c r="G2655" i="2" a="1"/>
  <c r="G2655" i="2" s="1"/>
  <c r="H2656" i="2" a="1"/>
  <c r="H2656" i="2" s="1"/>
  <c r="I2657" i="2" a="1"/>
  <c r="I2657" i="2" s="1"/>
  <c r="G2659" i="2" a="1"/>
  <c r="G2659" i="2" s="1"/>
  <c r="H2660" i="2" a="1"/>
  <c r="H2660" i="2" s="1"/>
  <c r="I2661" i="2" a="1"/>
  <c r="I2661" i="2" s="1"/>
  <c r="G2663" i="2" a="1"/>
  <c r="G2663" i="2" s="1"/>
  <c r="H2664" i="2" a="1"/>
  <c r="H2664" i="2" s="1"/>
  <c r="I2665" i="2" a="1"/>
  <c r="I2665" i="2" s="1"/>
  <c r="G2667" i="2" a="1"/>
  <c r="G2667" i="2" s="1"/>
  <c r="H2668" i="2" a="1"/>
  <c r="H2668" i="2" s="1"/>
  <c r="I2669" i="2" a="1"/>
  <c r="I2669" i="2" s="1"/>
  <c r="G2671" i="2" a="1"/>
  <c r="G2671" i="2" s="1"/>
  <c r="H2672" i="2" a="1"/>
  <c r="H2672" i="2" s="1"/>
  <c r="I2673" i="2" a="1"/>
  <c r="I2673" i="2" s="1"/>
  <c r="G2675" i="2" a="1"/>
  <c r="G2675" i="2" s="1"/>
  <c r="H2676" i="2" a="1"/>
  <c r="H2676" i="2" s="1"/>
  <c r="I2677" i="2" a="1"/>
  <c r="I2677" i="2" s="1"/>
  <c r="G2679" i="2" a="1"/>
  <c r="G2679" i="2" s="1"/>
  <c r="H2680" i="2" a="1"/>
  <c r="H2680" i="2" s="1"/>
  <c r="I2681" i="2" a="1"/>
  <c r="I2681" i="2" s="1"/>
  <c r="G2683" i="2" a="1"/>
  <c r="G2683" i="2" s="1"/>
  <c r="H2684" i="2" a="1"/>
  <c r="H2684" i="2" s="1"/>
  <c r="I2685" i="2" a="1"/>
  <c r="I2685" i="2" s="1"/>
  <c r="G2687" i="2" a="1"/>
  <c r="G2687" i="2" s="1"/>
  <c r="H2688" i="2" a="1"/>
  <c r="H2688" i="2" s="1"/>
  <c r="I2689" i="2" a="1"/>
  <c r="I2689" i="2" s="1"/>
  <c r="G2691" i="2" a="1"/>
  <c r="G2691" i="2" s="1"/>
  <c r="H2692" i="2" a="1"/>
  <c r="H2692" i="2" s="1"/>
  <c r="I2693" i="2" a="1"/>
  <c r="I2693" i="2" s="1"/>
  <c r="G2695" i="2" a="1"/>
  <c r="G2695" i="2" s="1"/>
  <c r="H2696" i="2" a="1"/>
  <c r="H2696" i="2" s="1"/>
  <c r="I2697" i="2" a="1"/>
  <c r="I2697" i="2" s="1"/>
  <c r="G2699" i="2" a="1"/>
  <c r="G2699" i="2" s="1"/>
  <c r="H2700" i="2" a="1"/>
  <c r="H2700" i="2" s="1"/>
  <c r="I2701" i="2" a="1"/>
  <c r="I2701" i="2" s="1"/>
  <c r="G2703" i="2" a="1"/>
  <c r="G2703" i="2" s="1"/>
  <c r="H2704" i="2" a="1"/>
  <c r="H2704" i="2" s="1"/>
  <c r="I2705" i="2" a="1"/>
  <c r="I2705" i="2" s="1"/>
  <c r="G2707" i="2" a="1"/>
  <c r="G2707" i="2" s="1"/>
  <c r="H2708" i="2" a="1"/>
  <c r="H2708" i="2" s="1"/>
  <c r="I2709" i="2" a="1"/>
  <c r="I2709" i="2" s="1"/>
  <c r="G2711" i="2" a="1"/>
  <c r="G2711" i="2" s="1"/>
  <c r="H2712" i="2" a="1"/>
  <c r="H2712" i="2" s="1"/>
  <c r="I2713" i="2" a="1"/>
  <c r="I2713" i="2" s="1"/>
  <c r="G2715" i="2" a="1"/>
  <c r="G2715" i="2" s="1"/>
  <c r="H2716" i="2" a="1"/>
  <c r="H2716" i="2" s="1"/>
  <c r="I2717" i="2" a="1"/>
  <c r="I2717" i="2" s="1"/>
  <c r="G2719" i="2" a="1"/>
  <c r="G2719" i="2" s="1"/>
  <c r="H2720" i="2" a="1"/>
  <c r="H2720" i="2" s="1"/>
  <c r="I2721" i="2" a="1"/>
  <c r="I2721" i="2" s="1"/>
  <c r="G2723" i="2" a="1"/>
  <c r="G2723" i="2" s="1"/>
  <c r="H2724" i="2" a="1"/>
  <c r="H2724" i="2" s="1"/>
  <c r="I2725" i="2" a="1"/>
  <c r="I2725" i="2" s="1"/>
  <c r="G2727" i="2" a="1"/>
  <c r="G2727" i="2" s="1"/>
  <c r="H2728" i="2" a="1"/>
  <c r="H2728" i="2" s="1"/>
  <c r="I2729" i="2" a="1"/>
  <c r="I2729" i="2" s="1"/>
  <c r="G2731" i="2" a="1"/>
  <c r="G2731" i="2" s="1"/>
  <c r="H2732" i="2" a="1"/>
  <c r="H2732" i="2" s="1"/>
  <c r="I2733" i="2" a="1"/>
  <c r="I2733" i="2" s="1"/>
  <c r="G2735" i="2" a="1"/>
  <c r="G2735" i="2" s="1"/>
  <c r="H2736" i="2" a="1"/>
  <c r="H2736" i="2" s="1"/>
  <c r="I2737" i="2" a="1"/>
  <c r="I2737" i="2" s="1"/>
  <c r="G2739" i="2" a="1"/>
  <c r="G2739" i="2" s="1"/>
  <c r="H2740" i="2" a="1"/>
  <c r="H2740" i="2" s="1"/>
  <c r="I2741" i="2" a="1"/>
  <c r="I2741" i="2" s="1"/>
  <c r="G2743" i="2" a="1"/>
  <c r="G2743" i="2" s="1"/>
  <c r="H2744" i="2" a="1"/>
  <c r="H2744" i="2" s="1"/>
  <c r="I2745" i="2" a="1"/>
  <c r="I2745" i="2" s="1"/>
  <c r="G2747" i="2" a="1"/>
  <c r="G2747" i="2" s="1"/>
  <c r="H2748" i="2" a="1"/>
  <c r="H2748" i="2" s="1"/>
  <c r="I2749" i="2" a="1"/>
  <c r="I2749" i="2" s="1"/>
  <c r="G2751" i="2" a="1"/>
  <c r="G2751" i="2" s="1"/>
  <c r="H2752" i="2" a="1"/>
  <c r="H2752" i="2" s="1"/>
  <c r="I2753" i="2" a="1"/>
  <c r="I2753" i="2" s="1"/>
  <c r="G2755" i="2" a="1"/>
  <c r="G2755" i="2" s="1"/>
  <c r="H2756" i="2" a="1"/>
  <c r="H2756" i="2" s="1"/>
  <c r="I2757" i="2" a="1"/>
  <c r="I2757" i="2" s="1"/>
  <c r="G2759" i="2" a="1"/>
  <c r="G2759" i="2" s="1"/>
  <c r="H2760" i="2" a="1"/>
  <c r="H2760" i="2" s="1"/>
  <c r="I2761" i="2" a="1"/>
  <c r="I2761" i="2" s="1"/>
  <c r="G2763" i="2" a="1"/>
  <c r="G2763" i="2" s="1"/>
  <c r="H2764" i="2" a="1"/>
  <c r="H2764" i="2" s="1"/>
  <c r="I2765" i="2" a="1"/>
  <c r="I2765" i="2" s="1"/>
  <c r="G2767" i="2" a="1"/>
  <c r="G2767" i="2" s="1"/>
  <c r="H2768" i="2" a="1"/>
  <c r="H2768" i="2" s="1"/>
  <c r="I2769" i="2" a="1"/>
  <c r="I2769" i="2" s="1"/>
  <c r="G2771" i="2" a="1"/>
  <c r="G2771" i="2" s="1"/>
  <c r="H2772" i="2" a="1"/>
  <c r="H2772" i="2" s="1"/>
  <c r="I2773" i="2" a="1"/>
  <c r="I2773" i="2" s="1"/>
  <c r="G2775" i="2" a="1"/>
  <c r="G2775" i="2" s="1"/>
  <c r="H2776" i="2" a="1"/>
  <c r="H2776" i="2" s="1"/>
  <c r="H2777" i="2" a="1"/>
  <c r="H2777" i="2" s="1"/>
  <c r="G2778" i="2" a="1"/>
  <c r="G2778" i="2" s="1"/>
  <c r="I2778" i="2" a="1"/>
  <c r="I2778" i="2" s="1"/>
  <c r="I2779" i="2" a="1"/>
  <c r="I2779" i="2" s="1"/>
  <c r="G2781" i="2" a="1"/>
  <c r="G2781" i="2" s="1"/>
  <c r="H2782" i="2" a="1"/>
  <c r="H2782" i="2" s="1"/>
  <c r="I2783" i="2" a="1"/>
  <c r="I2783" i="2" s="1"/>
  <c r="G2785" i="2" a="1"/>
  <c r="G2785" i="2" s="1"/>
  <c r="H2786" i="2" a="1"/>
  <c r="H2786" i="2" s="1"/>
  <c r="I2787" i="2" a="1"/>
  <c r="I2787" i="2" s="1"/>
  <c r="G2789" i="2" a="1"/>
  <c r="G2789" i="2" s="1"/>
  <c r="H2790" i="2" a="1"/>
  <c r="H2790" i="2" s="1"/>
  <c r="I2791" i="2" a="1"/>
  <c r="I2791" i="2" s="1"/>
  <c r="G2793" i="2" a="1"/>
  <c r="G2793" i="2" s="1"/>
  <c r="H2794" i="2" a="1"/>
  <c r="H2794" i="2" s="1"/>
  <c r="I2795" i="2" a="1"/>
  <c r="I2795" i="2" s="1"/>
  <c r="G2797" i="2" a="1"/>
  <c r="G2797" i="2" s="1"/>
  <c r="H2798" i="2" a="1"/>
  <c r="H2798" i="2" s="1"/>
  <c r="I2799" i="2" a="1"/>
  <c r="I2799" i="2" s="1"/>
  <c r="G2801" i="2" a="1"/>
  <c r="G2801" i="2" s="1"/>
  <c r="H2802" i="2" a="1"/>
  <c r="H2802" i="2" s="1"/>
  <c r="I2803" i="2" a="1"/>
  <c r="I2803" i="2" s="1"/>
  <c r="G2805" i="2" a="1"/>
  <c r="G2805" i="2" s="1"/>
  <c r="H2806" i="2" a="1"/>
  <c r="H2806" i="2" s="1"/>
  <c r="I2807" i="2" a="1"/>
  <c r="I2807" i="2" s="1"/>
  <c r="G2809" i="2" a="1"/>
  <c r="G2809" i="2" s="1"/>
  <c r="H2810" i="2" a="1"/>
  <c r="H2810" i="2" s="1"/>
  <c r="I2811" i="2" a="1"/>
  <c r="I2811" i="2" s="1"/>
  <c r="G2813" i="2" a="1"/>
  <c r="G2813" i="2" s="1"/>
  <c r="H2814" i="2" a="1"/>
  <c r="H2814" i="2" s="1"/>
  <c r="I2815" i="2" a="1"/>
  <c r="I2815" i="2" s="1"/>
  <c r="G2817" i="2" a="1"/>
  <c r="G2817" i="2" s="1"/>
  <c r="H2818" i="2" a="1"/>
  <c r="H2818" i="2" s="1"/>
  <c r="I2819" i="2" a="1"/>
  <c r="I2819" i="2" s="1"/>
  <c r="G2821" i="2" a="1"/>
  <c r="G2821" i="2" s="1"/>
  <c r="H2822" i="2" a="1"/>
  <c r="H2822" i="2" s="1"/>
  <c r="I2823" i="2" a="1"/>
  <c r="I2823" i="2" s="1"/>
  <c r="G2825" i="2" a="1"/>
  <c r="G2825" i="2" s="1"/>
  <c r="H2826" i="2" a="1"/>
  <c r="H2826" i="2" s="1"/>
  <c r="I2827" i="2" a="1"/>
  <c r="I2827" i="2" s="1"/>
  <c r="G2829" i="2" a="1"/>
  <c r="G2829" i="2" s="1"/>
  <c r="H2830" i="2" a="1"/>
  <c r="H2830" i="2" s="1"/>
  <c r="I2831" i="2" a="1"/>
  <c r="I2831" i="2" s="1"/>
  <c r="G2833" i="2" a="1"/>
  <c r="G2833" i="2" s="1"/>
  <c r="H2834" i="2" a="1"/>
  <c r="H2834" i="2" s="1"/>
  <c r="I2835" i="2" a="1"/>
  <c r="I2835" i="2" s="1"/>
  <c r="G2837" i="2" a="1"/>
  <c r="G2837" i="2" s="1"/>
  <c r="H2838" i="2" a="1"/>
  <c r="H2838" i="2" s="1"/>
  <c r="I2839" i="2" a="1"/>
  <c r="I2839" i="2" s="1"/>
  <c r="G2841" i="2" a="1"/>
  <c r="G2841" i="2" s="1"/>
  <c r="H2842" i="2" a="1"/>
  <c r="H2842" i="2" s="1"/>
  <c r="I2843" i="2" a="1"/>
  <c r="I2843" i="2" s="1"/>
  <c r="G2845" i="2" a="1"/>
  <c r="G2845" i="2" s="1"/>
  <c r="H2846" i="2" a="1"/>
  <c r="H2846" i="2" s="1"/>
  <c r="I2847" i="2" a="1"/>
  <c r="I2847" i="2" s="1"/>
  <c r="G2849" i="2" a="1"/>
  <c r="G2849" i="2" s="1"/>
  <c r="H2850" i="2" a="1"/>
  <c r="H2850" i="2" s="1"/>
  <c r="I2851" i="2" a="1"/>
  <c r="I2851" i="2" s="1"/>
  <c r="G2853" i="2" a="1"/>
  <c r="G2853" i="2" s="1"/>
  <c r="H2854" i="2" a="1"/>
  <c r="H2854" i="2" s="1"/>
  <c r="I2855" i="2" a="1"/>
  <c r="I2855" i="2" s="1"/>
  <c r="G2857" i="2" a="1"/>
  <c r="G2857" i="2" s="1"/>
  <c r="H2858" i="2" a="1"/>
  <c r="H2858" i="2" s="1"/>
  <c r="I2859" i="2" a="1"/>
  <c r="I2859" i="2" s="1"/>
  <c r="G2861" i="2" a="1"/>
  <c r="G2861" i="2" s="1"/>
  <c r="H2862" i="2" a="1"/>
  <c r="H2862" i="2" s="1"/>
  <c r="I2863" i="2" a="1"/>
  <c r="I2863" i="2" s="1"/>
  <c r="G2865" i="2" a="1"/>
  <c r="G2865" i="2" s="1"/>
  <c r="H2866" i="2" a="1"/>
  <c r="H2866" i="2" s="1"/>
  <c r="I2867" i="2" a="1"/>
  <c r="I2867" i="2" s="1"/>
  <c r="G2869" i="2" a="1"/>
  <c r="G2869" i="2" s="1"/>
  <c r="H2870" i="2" a="1"/>
  <c r="H2870" i="2" s="1"/>
  <c r="I2871" i="2" a="1"/>
  <c r="I2871" i="2" s="1"/>
  <c r="G2873" i="2" a="1"/>
  <c r="G2873" i="2" s="1"/>
  <c r="H2874" i="2" a="1"/>
  <c r="H2874" i="2" s="1"/>
  <c r="I2875" i="2" a="1"/>
  <c r="I2875" i="2" s="1"/>
  <c r="G2877" i="2" a="1"/>
  <c r="G2877" i="2" s="1"/>
  <c r="H2878" i="2" a="1"/>
  <c r="H2878" i="2" s="1"/>
  <c r="I2879" i="2" a="1"/>
  <c r="I2879" i="2" s="1"/>
  <c r="G2881" i="2" a="1"/>
  <c r="G2881" i="2" s="1"/>
  <c r="H2882" i="2" a="1"/>
  <c r="H2882" i="2" s="1"/>
  <c r="I2883" i="2" a="1"/>
  <c r="I2883" i="2" s="1"/>
  <c r="G2885" i="2" a="1"/>
  <c r="G2885" i="2" s="1"/>
  <c r="H2886" i="2" a="1"/>
  <c r="H2886" i="2" s="1"/>
  <c r="I2887" i="2" a="1"/>
  <c r="I2887" i="2" s="1"/>
  <c r="G2889" i="2" a="1"/>
  <c r="G2889" i="2" s="1"/>
  <c r="H2890" i="2" a="1"/>
  <c r="H2890" i="2" s="1"/>
  <c r="I2891" i="2" a="1"/>
  <c r="I2891" i="2" s="1"/>
  <c r="G2893" i="2" a="1"/>
  <c r="G2893" i="2" s="1"/>
  <c r="H2894" i="2" a="1"/>
  <c r="H2894" i="2" s="1"/>
  <c r="I2895" i="2" a="1"/>
  <c r="I2895" i="2" s="1"/>
  <c r="G2897" i="2" a="1"/>
  <c r="G2897" i="2" s="1"/>
  <c r="H2898" i="2" a="1"/>
  <c r="H2898" i="2" s="1"/>
  <c r="I2899" i="2" a="1"/>
  <c r="I2899" i="2" s="1"/>
  <c r="G2901" i="2" a="1"/>
  <c r="G2901" i="2" s="1"/>
  <c r="H2902" i="2" a="1"/>
  <c r="H2902" i="2" s="1"/>
  <c r="I2903" i="2" a="1"/>
  <c r="I2903" i="2" s="1"/>
  <c r="G2905" i="2" a="1"/>
  <c r="G2905" i="2" s="1"/>
  <c r="H2906" i="2" a="1"/>
  <c r="H2906" i="2" s="1"/>
  <c r="I2907" i="2" a="1"/>
  <c r="I2907" i="2" s="1"/>
  <c r="G2909" i="2" a="1"/>
  <c r="G2909" i="2" s="1"/>
  <c r="H2910" i="2" a="1"/>
  <c r="H2910" i="2" s="1"/>
  <c r="I2911" i="2" a="1"/>
  <c r="I2911" i="2" s="1"/>
  <c r="G2913" i="2" a="1"/>
  <c r="G2913" i="2" s="1"/>
  <c r="H2914" i="2" a="1"/>
  <c r="H2914" i="2" s="1"/>
  <c r="I2915" i="2" a="1"/>
  <c r="I2915" i="2" s="1"/>
  <c r="G2917" i="2" a="1"/>
  <c r="G2917" i="2" s="1"/>
  <c r="H2918" i="2" a="1"/>
  <c r="H2918" i="2" s="1"/>
  <c r="I2919" i="2" a="1"/>
  <c r="I2919" i="2" s="1"/>
  <c r="G2921" i="2" a="1"/>
  <c r="G2921" i="2" s="1"/>
  <c r="H2922" i="2" a="1"/>
  <c r="H2922" i="2" s="1"/>
  <c r="I2923" i="2" a="1"/>
  <c r="I2923" i="2" s="1"/>
  <c r="G2925" i="2" a="1"/>
  <c r="G2925" i="2" s="1"/>
  <c r="H2926" i="2" a="1"/>
  <c r="H2926" i="2" s="1"/>
  <c r="I2927" i="2" a="1"/>
  <c r="I2927" i="2" s="1"/>
  <c r="G2929" i="2" a="1"/>
  <c r="G2929" i="2" s="1"/>
  <c r="H2930" i="2" a="1"/>
  <c r="H2930" i="2" s="1"/>
  <c r="I2931" i="2" a="1"/>
  <c r="I2931" i="2" s="1"/>
  <c r="G2933" i="2" a="1"/>
  <c r="G2933" i="2" s="1"/>
  <c r="H2934" i="2" a="1"/>
  <c r="H2934" i="2" s="1"/>
  <c r="I2935" i="2" a="1"/>
  <c r="I2935" i="2" s="1"/>
  <c r="G2937" i="2" a="1"/>
  <c r="G2937" i="2" s="1"/>
  <c r="H2938" i="2" a="1"/>
  <c r="H2938" i="2" s="1"/>
  <c r="I2939" i="2" a="1"/>
  <c r="I2939" i="2" s="1"/>
  <c r="G2941" i="2" a="1"/>
  <c r="G2941" i="2" s="1"/>
  <c r="H2942" i="2" a="1"/>
  <c r="H2942" i="2" s="1"/>
  <c r="I2943" i="2" a="1"/>
  <c r="I2943" i="2" s="1"/>
  <c r="G2945" i="2" a="1"/>
  <c r="G2945" i="2" s="1"/>
  <c r="H2946" i="2" a="1"/>
  <c r="H2946" i="2" s="1"/>
  <c r="I2947" i="2" a="1"/>
  <c r="I2947" i="2" s="1"/>
  <c r="G2949" i="2" a="1"/>
  <c r="G2949" i="2" s="1"/>
  <c r="H2950" i="2" a="1"/>
  <c r="H2950" i="2" s="1"/>
  <c r="I2951" i="2" a="1"/>
  <c r="I2951" i="2" s="1"/>
  <c r="G2953" i="2" a="1"/>
  <c r="G2953" i="2" s="1"/>
  <c r="H2954" i="2" a="1"/>
  <c r="H2954" i="2" s="1"/>
  <c r="I2955" i="2" a="1"/>
  <c r="I2955" i="2" s="1"/>
  <c r="G2957" i="2" a="1"/>
  <c r="G2957" i="2" s="1"/>
  <c r="H2958" i="2" a="1"/>
  <c r="H2958" i="2" s="1"/>
  <c r="I2959" i="2" a="1"/>
  <c r="I2959" i="2" s="1"/>
  <c r="G2961" i="2" a="1"/>
  <c r="G2961" i="2" s="1"/>
  <c r="H2962" i="2" a="1"/>
  <c r="H2962" i="2" s="1"/>
  <c r="I2963" i="2" a="1"/>
  <c r="I2963" i="2" s="1"/>
  <c r="G2965" i="2" a="1"/>
  <c r="G2965" i="2" s="1"/>
  <c r="H2966" i="2" a="1"/>
  <c r="H2966" i="2" s="1"/>
  <c r="I2967" i="2" a="1"/>
  <c r="I2967" i="2" s="1"/>
  <c r="G2969" i="2" a="1"/>
  <c r="G2969" i="2" s="1"/>
  <c r="H2970" i="2" a="1"/>
  <c r="H2970" i="2" s="1"/>
  <c r="I2971" i="2" a="1"/>
  <c r="I2971" i="2" s="1"/>
  <c r="G2973" i="2" a="1"/>
  <c r="G2973" i="2" s="1"/>
  <c r="H2974" i="2" a="1"/>
  <c r="H2974" i="2" s="1"/>
  <c r="I2975" i="2" a="1"/>
  <c r="I2975" i="2" s="1"/>
  <c r="G2977" i="2" a="1"/>
  <c r="G2977" i="2" s="1"/>
  <c r="H2978" i="2" a="1"/>
  <c r="H2978" i="2" s="1"/>
  <c r="I2979" i="2" a="1"/>
  <c r="I2979" i="2" s="1"/>
  <c r="G2981" i="2" a="1"/>
  <c r="G2981" i="2" s="1"/>
  <c r="H2982" i="2" a="1"/>
  <c r="H2982" i="2" s="1"/>
  <c r="I2983" i="2" a="1"/>
  <c r="I2983" i="2" s="1"/>
  <c r="G2985" i="2" a="1"/>
  <c r="G2985" i="2" s="1"/>
  <c r="H2986" i="2" a="1"/>
  <c r="H2986" i="2" s="1"/>
  <c r="I2987" i="2" a="1"/>
  <c r="I2987" i="2" s="1"/>
  <c r="G2989" i="2" a="1"/>
  <c r="G2989" i="2" s="1"/>
  <c r="H2990" i="2" a="1"/>
  <c r="H2990" i="2" s="1"/>
  <c r="I2991" i="2" a="1"/>
  <c r="I2991" i="2" s="1"/>
  <c r="G2993" i="2" a="1"/>
  <c r="G2993" i="2" s="1"/>
  <c r="H2994" i="2" a="1"/>
  <c r="H2994" i="2" s="1"/>
  <c r="I2995" i="2" a="1"/>
  <c r="I2995" i="2" s="1"/>
  <c r="G2997" i="2" a="1"/>
  <c r="G2997" i="2" s="1"/>
  <c r="H2998" i="2" a="1"/>
  <c r="H2998" i="2" s="1"/>
  <c r="I2999" i="2" a="1"/>
  <c r="I2999" i="2" s="1"/>
  <c r="G3001" i="2" a="1"/>
  <c r="G3001" i="2" s="1"/>
  <c r="H3002" i="2" a="1"/>
  <c r="H3002" i="2" s="1"/>
  <c r="I3003" i="2" a="1"/>
  <c r="I3003" i="2" s="1"/>
  <c r="G3005" i="2" a="1"/>
  <c r="G3005" i="2" s="1"/>
  <c r="H3006" i="2" a="1"/>
  <c r="H3006" i="2" s="1"/>
  <c r="I3008" i="2" a="1"/>
  <c r="I3008" i="2" s="1"/>
  <c r="G3010" i="2" a="1"/>
  <c r="G3010" i="2" s="1"/>
  <c r="H3011" i="2" a="1"/>
  <c r="H3011" i="2" s="1"/>
  <c r="I3012" i="2" a="1"/>
  <c r="I3012" i="2" s="1"/>
  <c r="G3014" i="2" a="1"/>
  <c r="G3014" i="2" s="1"/>
  <c r="H3015" i="2" a="1"/>
  <c r="H3015" i="2" s="1"/>
  <c r="I3016" i="2" a="1"/>
  <c r="I3016" i="2" s="1"/>
  <c r="G3018" i="2" a="1"/>
  <c r="G3018" i="2" s="1"/>
  <c r="H3019" i="2" a="1"/>
  <c r="H3019" i="2" s="1"/>
  <c r="I3020" i="2" a="1"/>
  <c r="I3020" i="2" s="1"/>
  <c r="G3022" i="2" a="1"/>
  <c r="G3022" i="2" s="1"/>
  <c r="H3023" i="2" a="1"/>
  <c r="H3023" i="2" s="1"/>
  <c r="I3024" i="2" a="1"/>
  <c r="I3024" i="2" s="1"/>
  <c r="G3026" i="2" a="1"/>
  <c r="G3026" i="2" s="1"/>
  <c r="H3027" i="2" a="1"/>
  <c r="H3027" i="2" s="1"/>
  <c r="I3028" i="2" a="1"/>
  <c r="I3028" i="2" s="1"/>
  <c r="G3030" i="2" a="1"/>
  <c r="G3030" i="2" s="1"/>
  <c r="H3031" i="2" a="1"/>
  <c r="H3031" i="2" s="1"/>
  <c r="I3032" i="2" a="1"/>
  <c r="I3032" i="2" s="1"/>
  <c r="G3034" i="2" a="1"/>
  <c r="G3034" i="2" s="1"/>
  <c r="H3035" i="2" a="1"/>
  <c r="H3035" i="2" s="1"/>
  <c r="I3036" i="2" a="1"/>
  <c r="I3036" i="2" s="1"/>
  <c r="G3038" i="2" a="1"/>
  <c r="G3038" i="2" s="1"/>
  <c r="H3039" i="2" a="1"/>
  <c r="H3039" i="2" s="1"/>
  <c r="I3040" i="2" a="1"/>
  <c r="I3040" i="2" s="1"/>
  <c r="G3042" i="2" a="1"/>
  <c r="G3042" i="2" s="1"/>
  <c r="H3043" i="2" a="1"/>
  <c r="H3043" i="2" s="1"/>
  <c r="I3044" i="2" a="1"/>
  <c r="I3044" i="2" s="1"/>
  <c r="G3046" i="2" a="1"/>
  <c r="G3046" i="2" s="1"/>
  <c r="H3047" i="2" a="1"/>
  <c r="H3047" i="2" s="1"/>
  <c r="I3048" i="2" a="1"/>
  <c r="I3048" i="2" s="1"/>
  <c r="G3050" i="2" a="1"/>
  <c r="G3050" i="2" s="1"/>
  <c r="H3051" i="2" a="1"/>
  <c r="H3051" i="2" s="1"/>
  <c r="I3052" i="2" a="1"/>
  <c r="I3052" i="2" s="1"/>
  <c r="G3054" i="2" a="1"/>
  <c r="G3054" i="2" s="1"/>
  <c r="H3055" i="2" a="1"/>
  <c r="H3055" i="2" s="1"/>
  <c r="I3056" i="2" a="1"/>
  <c r="I3056" i="2" s="1"/>
  <c r="G3058" i="2" a="1"/>
  <c r="G3058" i="2" s="1"/>
  <c r="H3059" i="2" a="1"/>
  <c r="H3059" i="2" s="1"/>
  <c r="I3060" i="2" a="1"/>
  <c r="I3060" i="2" s="1"/>
  <c r="G3062" i="2" a="1"/>
  <c r="G3062" i="2" s="1"/>
  <c r="H3063" i="2" a="1"/>
  <c r="H3063" i="2" s="1"/>
  <c r="I3064" i="2" a="1"/>
  <c r="I3064" i="2" s="1"/>
  <c r="G3066" i="2" a="1"/>
  <c r="G3066" i="2" s="1"/>
  <c r="H3067" i="2" a="1"/>
  <c r="H3067" i="2" s="1"/>
  <c r="I3068" i="2" a="1"/>
  <c r="I3068" i="2" s="1"/>
  <c r="G3070" i="2" a="1"/>
  <c r="G3070" i="2" s="1"/>
  <c r="H3071" i="2" a="1"/>
  <c r="H3071" i="2" s="1"/>
  <c r="I3072" i="2" a="1"/>
  <c r="I3072" i="2" s="1"/>
  <c r="G3074" i="2" a="1"/>
  <c r="G3074" i="2" s="1"/>
  <c r="H3075" i="2" a="1"/>
  <c r="H3075" i="2" s="1"/>
  <c r="I3076" i="2" a="1"/>
  <c r="I3076" i="2" s="1"/>
  <c r="G3078" i="2" a="1"/>
  <c r="G3078" i="2" s="1"/>
  <c r="H3079" i="2" a="1"/>
  <c r="H3079" i="2" s="1"/>
  <c r="I3080" i="2" a="1"/>
  <c r="I3080" i="2" s="1"/>
  <c r="G3082" i="2" a="1"/>
  <c r="G3082" i="2" s="1"/>
  <c r="H3083" i="2" a="1"/>
  <c r="H3083" i="2" s="1"/>
  <c r="I3084" i="2" a="1"/>
  <c r="I3084" i="2" s="1"/>
  <c r="G3086" i="2" a="1"/>
  <c r="G3086" i="2" s="1"/>
  <c r="H3087" i="2" a="1"/>
  <c r="H3087" i="2" s="1"/>
  <c r="I3088" i="2" a="1"/>
  <c r="I3088" i="2" s="1"/>
  <c r="G3090" i="2" a="1"/>
  <c r="G3090" i="2" s="1"/>
  <c r="H3091" i="2" a="1"/>
  <c r="H3091" i="2" s="1"/>
  <c r="I3092" i="2" a="1"/>
  <c r="I3092" i="2" s="1"/>
  <c r="G3094" i="2" a="1"/>
  <c r="G3094" i="2" s="1"/>
  <c r="H3095" i="2" a="1"/>
  <c r="H3095" i="2" s="1"/>
  <c r="I3096" i="2" a="1"/>
  <c r="I3096" i="2" s="1"/>
  <c r="G3098" i="2" a="1"/>
  <c r="G3098" i="2" s="1"/>
  <c r="H3099" i="2" a="1"/>
  <c r="H3099" i="2" s="1"/>
  <c r="I3100" i="2" a="1"/>
  <c r="I3100" i="2" s="1"/>
  <c r="G3102" i="2" a="1"/>
  <c r="G3102" i="2" s="1"/>
  <c r="H3103" i="2" a="1"/>
  <c r="H3103" i="2" s="1"/>
  <c r="I3104" i="2" a="1"/>
  <c r="I3104" i="2" s="1"/>
  <c r="G3106" i="2" a="1"/>
  <c r="G3106" i="2" s="1"/>
  <c r="H3107" i="2" a="1"/>
  <c r="H3107" i="2" s="1"/>
  <c r="I3108" i="2" a="1"/>
  <c r="I3108" i="2" s="1"/>
  <c r="G3110" i="2" a="1"/>
  <c r="G3110" i="2" s="1"/>
  <c r="H3111" i="2" a="1"/>
  <c r="H3111" i="2" s="1"/>
  <c r="I3112" i="2" a="1"/>
  <c r="I3112" i="2" s="1"/>
  <c r="G3114" i="2" a="1"/>
  <c r="G3114" i="2" s="1"/>
  <c r="H3115" i="2" a="1"/>
  <c r="H3115" i="2" s="1"/>
  <c r="I3116" i="2" a="1"/>
  <c r="I3116" i="2" s="1"/>
  <c r="G3118" i="2" a="1"/>
  <c r="G3118" i="2" s="1"/>
  <c r="H3119" i="2" a="1"/>
  <c r="H3119" i="2" s="1"/>
  <c r="I3120" i="2" a="1"/>
  <c r="I3120" i="2" s="1"/>
  <c r="G3122" i="2" a="1"/>
  <c r="G3122" i="2" s="1"/>
  <c r="H3123" i="2" a="1"/>
  <c r="H3123" i="2" s="1"/>
  <c r="I3124" i="2" a="1"/>
  <c r="I3124" i="2" s="1"/>
  <c r="G3126" i="2" a="1"/>
  <c r="G3126" i="2" s="1"/>
  <c r="H3127" i="2" a="1"/>
  <c r="H3127" i="2" s="1"/>
  <c r="I3128" i="2" a="1"/>
  <c r="I3128" i="2" s="1"/>
  <c r="G3130" i="2" a="1"/>
  <c r="G3130" i="2" s="1"/>
  <c r="H3131" i="2" a="1"/>
  <c r="H3131" i="2" s="1"/>
  <c r="I3132" i="2" a="1"/>
  <c r="I3132" i="2" s="1"/>
  <c r="G3134" i="2" a="1"/>
  <c r="G3134" i="2" s="1"/>
  <c r="H3135" i="2" a="1"/>
  <c r="H3135" i="2" s="1"/>
  <c r="I3136" i="2" a="1"/>
  <c r="I3136" i="2" s="1"/>
  <c r="G3138" i="2" a="1"/>
  <c r="G3138" i="2" s="1"/>
  <c r="H3139" i="2" a="1"/>
  <c r="H3139" i="2" s="1"/>
  <c r="I3140" i="2" a="1"/>
  <c r="I3140" i="2" s="1"/>
  <c r="G3142" i="2" a="1"/>
  <c r="G3142" i="2" s="1"/>
  <c r="H3143" i="2" a="1"/>
  <c r="H3143" i="2" s="1"/>
  <c r="I3144" i="2" a="1"/>
  <c r="I3144" i="2" s="1"/>
  <c r="G3146" i="2" a="1"/>
  <c r="G3146" i="2" s="1"/>
  <c r="H3147" i="2" a="1"/>
  <c r="H3147" i="2" s="1"/>
  <c r="I3148" i="2" a="1"/>
  <c r="I3148" i="2" s="1"/>
  <c r="G3150" i="2" a="1"/>
  <c r="G3150" i="2" s="1"/>
  <c r="H3151" i="2" a="1"/>
  <c r="H3151" i="2" s="1"/>
  <c r="I3152" i="2" a="1"/>
  <c r="I3152" i="2" s="1"/>
  <c r="G3154" i="2" a="1"/>
  <c r="G3154" i="2" s="1"/>
  <c r="H3155" i="2" a="1"/>
  <c r="H3155" i="2" s="1"/>
  <c r="I3156" i="2" a="1"/>
  <c r="I3156" i="2" s="1"/>
  <c r="G3158" i="2" a="1"/>
  <c r="G3158" i="2" s="1"/>
  <c r="H3159" i="2" a="1"/>
  <c r="H3159" i="2" s="1"/>
  <c r="I3160" i="2" a="1"/>
  <c r="I3160" i="2" s="1"/>
  <c r="G3162" i="2" a="1"/>
  <c r="G3162" i="2" s="1"/>
  <c r="H3163" i="2" a="1"/>
  <c r="H3163" i="2" s="1"/>
  <c r="I3164" i="2" a="1"/>
  <c r="I3164" i="2" s="1"/>
  <c r="G3166" i="2" a="1"/>
  <c r="G3166" i="2" s="1"/>
  <c r="H3167" i="2" a="1"/>
  <c r="H3167" i="2" s="1"/>
  <c r="I3168" i="2" a="1"/>
  <c r="I3168" i="2" s="1"/>
  <c r="G3170" i="2" a="1"/>
  <c r="G3170" i="2" s="1"/>
  <c r="H3171" i="2" a="1"/>
  <c r="H3171" i="2" s="1"/>
  <c r="I3172" i="2" a="1"/>
  <c r="I3172" i="2" s="1"/>
  <c r="G3174" i="2" a="1"/>
  <c r="G3174" i="2" s="1"/>
  <c r="H3175" i="2" a="1"/>
  <c r="H3175" i="2" s="1"/>
  <c r="I3176" i="2" a="1"/>
  <c r="I3176" i="2" s="1"/>
  <c r="G3178" i="2" a="1"/>
  <c r="G3178" i="2" s="1"/>
  <c r="H3179" i="2" a="1"/>
  <c r="H3179" i="2" s="1"/>
  <c r="I2272" i="2" a="1"/>
  <c r="I2272" i="2" s="1"/>
  <c r="G2274" i="2" a="1"/>
  <c r="G2274" i="2" s="1"/>
  <c r="H2275" i="2" a="1"/>
  <c r="H2275" i="2" s="1"/>
  <c r="I2276" i="2" a="1"/>
  <c r="I2276" i="2" s="1"/>
  <c r="G2278" i="2" a="1"/>
  <c r="G2278" i="2" s="1"/>
  <c r="H2279" i="2" a="1"/>
  <c r="H2279" i="2" s="1"/>
  <c r="I2280" i="2" a="1"/>
  <c r="I2280" i="2" s="1"/>
  <c r="G2282" i="2" a="1"/>
  <c r="G2282" i="2" s="1"/>
  <c r="H2283" i="2" a="1"/>
  <c r="H2283" i="2" s="1"/>
  <c r="I2284" i="2" a="1"/>
  <c r="I2284" i="2" s="1"/>
  <c r="G2286" i="2" a="1"/>
  <c r="G2286" i="2" s="1"/>
  <c r="H2287" i="2" a="1"/>
  <c r="H2287" i="2" s="1"/>
  <c r="I2288" i="2" a="1"/>
  <c r="I2288" i="2" s="1"/>
  <c r="G2290" i="2" a="1"/>
  <c r="G2290" i="2" s="1"/>
  <c r="H2291" i="2" a="1"/>
  <c r="H2291" i="2" s="1"/>
  <c r="I2292" i="2" a="1"/>
  <c r="I2292" i="2" s="1"/>
  <c r="G2294" i="2" a="1"/>
  <c r="G2294" i="2" s="1"/>
  <c r="H2295" i="2" a="1"/>
  <c r="H2295" i="2" s="1"/>
  <c r="I2296" i="2" a="1"/>
  <c r="I2296" i="2" s="1"/>
  <c r="G2298" i="2" a="1"/>
  <c r="G2298" i="2" s="1"/>
  <c r="H2299" i="2" a="1"/>
  <c r="H2299" i="2" s="1"/>
  <c r="I2300" i="2" a="1"/>
  <c r="I2300" i="2" s="1"/>
  <c r="G2302" i="2" a="1"/>
  <c r="G2302" i="2" s="1"/>
  <c r="H2303" i="2" a="1"/>
  <c r="H2303" i="2" s="1"/>
  <c r="I2304" i="2" a="1"/>
  <c r="I2304" i="2" s="1"/>
  <c r="G2306" i="2" a="1"/>
  <c r="G2306" i="2" s="1"/>
  <c r="H2307" i="2" a="1"/>
  <c r="H2307" i="2" s="1"/>
  <c r="I2308" i="2" a="1"/>
  <c r="I2308" i="2" s="1"/>
  <c r="G2310" i="2" a="1"/>
  <c r="G2310" i="2" s="1"/>
  <c r="H2311" i="2" a="1"/>
  <c r="H2311" i="2" s="1"/>
  <c r="I2312" i="2" a="1"/>
  <c r="I2312" i="2" s="1"/>
  <c r="G2314" i="2" a="1"/>
  <c r="G2314" i="2" s="1"/>
  <c r="H2315" i="2" a="1"/>
  <c r="H2315" i="2" s="1"/>
  <c r="I2316" i="2" a="1"/>
  <c r="I2316" i="2" s="1"/>
  <c r="G2318" i="2" a="1"/>
  <c r="G2318" i="2" s="1"/>
  <c r="H2319" i="2" a="1"/>
  <c r="H2319" i="2" s="1"/>
  <c r="I2320" i="2" a="1"/>
  <c r="I2320" i="2" s="1"/>
  <c r="G2322" i="2" a="1"/>
  <c r="G2322" i="2" s="1"/>
  <c r="H2323" i="2" a="1"/>
  <c r="H2323" i="2" s="1"/>
  <c r="I2324" i="2" a="1"/>
  <c r="I2324" i="2" s="1"/>
  <c r="G2326" i="2" a="1"/>
  <c r="G2326" i="2" s="1"/>
  <c r="H2327" i="2" a="1"/>
  <c r="H2327" i="2" s="1"/>
  <c r="I2328" i="2" a="1"/>
  <c r="I2328" i="2" s="1"/>
  <c r="G2330" i="2" a="1"/>
  <c r="G2330" i="2" s="1"/>
  <c r="H2331" i="2" a="1"/>
  <c r="H2331" i="2" s="1"/>
  <c r="I2332" i="2" a="1"/>
  <c r="I2332" i="2" s="1"/>
  <c r="G2334" i="2" a="1"/>
  <c r="G2334" i="2" s="1"/>
  <c r="H2335" i="2" a="1"/>
  <c r="H2335" i="2" s="1"/>
  <c r="I2336" i="2" a="1"/>
  <c r="I2336" i="2" s="1"/>
  <c r="G2338" i="2" a="1"/>
  <c r="G2338" i="2" s="1"/>
  <c r="H2339" i="2" a="1"/>
  <c r="H2339" i="2" s="1"/>
  <c r="I2340" i="2" a="1"/>
  <c r="I2340" i="2" s="1"/>
  <c r="G2342" i="2" a="1"/>
  <c r="G2342" i="2" s="1"/>
  <c r="H2343" i="2" a="1"/>
  <c r="H2343" i="2" s="1"/>
  <c r="I2344" i="2" a="1"/>
  <c r="I2344" i="2" s="1"/>
  <c r="G2346" i="2" a="1"/>
  <c r="G2346" i="2" s="1"/>
  <c r="H2347" i="2" a="1"/>
  <c r="H2347" i="2" s="1"/>
  <c r="I2348" i="2" a="1"/>
  <c r="I2348" i="2" s="1"/>
  <c r="G2350" i="2" a="1"/>
  <c r="G2350" i="2" s="1"/>
  <c r="H2351" i="2" a="1"/>
  <c r="H2351" i="2" s="1"/>
  <c r="I2352" i="2" a="1"/>
  <c r="I2352" i="2" s="1"/>
  <c r="G2354" i="2" a="1"/>
  <c r="G2354" i="2" s="1"/>
  <c r="H2355" i="2" a="1"/>
  <c r="H2355" i="2" s="1"/>
  <c r="I2356" i="2" a="1"/>
  <c r="I2356" i="2" s="1"/>
  <c r="G2358" i="2" a="1"/>
  <c r="G2358" i="2" s="1"/>
  <c r="H2359" i="2" a="1"/>
  <c r="H2359" i="2" s="1"/>
  <c r="I2360" i="2" a="1"/>
  <c r="I2360" i="2" s="1"/>
  <c r="G2362" i="2" a="1"/>
  <c r="G2362" i="2" s="1"/>
  <c r="H2363" i="2" a="1"/>
  <c r="H2363" i="2" s="1"/>
  <c r="I2364" i="2" a="1"/>
  <c r="I2364" i="2" s="1"/>
  <c r="G2366" i="2" a="1"/>
  <c r="G2366" i="2" s="1"/>
  <c r="H2367" i="2" a="1"/>
  <c r="H2367" i="2" s="1"/>
  <c r="I2368" i="2" a="1"/>
  <c r="I2368" i="2" s="1"/>
  <c r="G2370" i="2" a="1"/>
  <c r="G2370" i="2" s="1"/>
  <c r="H2371" i="2" a="1"/>
  <c r="H2371" i="2" s="1"/>
  <c r="I2372" i="2" a="1"/>
  <c r="I2372" i="2" s="1"/>
  <c r="G2374" i="2" a="1"/>
  <c r="G2374" i="2" s="1"/>
  <c r="H2375" i="2" a="1"/>
  <c r="H2375" i="2" s="1"/>
  <c r="I2376" i="2" a="1"/>
  <c r="I2376" i="2" s="1"/>
  <c r="G2378" i="2" a="1"/>
  <c r="G2378" i="2" s="1"/>
  <c r="H2379" i="2" a="1"/>
  <c r="H2379" i="2" s="1"/>
  <c r="I2380" i="2" a="1"/>
  <c r="I2380" i="2" s="1"/>
  <c r="G2382" i="2" a="1"/>
  <c r="G2382" i="2" s="1"/>
  <c r="H2383" i="2" a="1"/>
  <c r="H2383" i="2" s="1"/>
  <c r="I2384" i="2" a="1"/>
  <c r="I2384" i="2" s="1"/>
  <c r="G2386" i="2" a="1"/>
  <c r="G2386" i="2" s="1"/>
  <c r="H2387" i="2" a="1"/>
  <c r="H2387" i="2" s="1"/>
  <c r="I2388" i="2" a="1"/>
  <c r="I2388" i="2" s="1"/>
  <c r="G2390" i="2" a="1"/>
  <c r="G2390" i="2" s="1"/>
  <c r="H2391" i="2" a="1"/>
  <c r="H2391" i="2" s="1"/>
  <c r="I2392" i="2" a="1"/>
  <c r="I2392" i="2" s="1"/>
  <c r="G2394" i="2" a="1"/>
  <c r="G2394" i="2" s="1"/>
  <c r="H2395" i="2" a="1"/>
  <c r="H2395" i="2" s="1"/>
  <c r="I2396" i="2" a="1"/>
  <c r="I2396" i="2" s="1"/>
  <c r="G2398" i="2" a="1"/>
  <c r="G2398" i="2" s="1"/>
  <c r="H2399" i="2" a="1"/>
  <c r="H2399" i="2" s="1"/>
  <c r="I2400" i="2" a="1"/>
  <c r="I2400" i="2" s="1"/>
  <c r="G2402" i="2" a="1"/>
  <c r="G2402" i="2" s="1"/>
  <c r="H2403" i="2" a="1"/>
  <c r="H2403" i="2" s="1"/>
  <c r="I2404" i="2" a="1"/>
  <c r="I2404" i="2" s="1"/>
  <c r="G2406" i="2" a="1"/>
  <c r="G2406" i="2" s="1"/>
  <c r="H2407" i="2" a="1"/>
  <c r="H2407" i="2" s="1"/>
  <c r="I2408" i="2" a="1"/>
  <c r="I2408" i="2" s="1"/>
  <c r="G2410" i="2" a="1"/>
  <c r="G2410" i="2" s="1"/>
  <c r="H2411" i="2" a="1"/>
  <c r="H2411" i="2" s="1"/>
  <c r="I2412" i="2" a="1"/>
  <c r="I2412" i="2" s="1"/>
  <c r="G2414" i="2" a="1"/>
  <c r="G2414" i="2" s="1"/>
  <c r="H2415" i="2" a="1"/>
  <c r="H2415" i="2" s="1"/>
  <c r="I2416" i="2" a="1"/>
  <c r="I2416" i="2" s="1"/>
  <c r="G2418" i="2" a="1"/>
  <c r="G2418" i="2" s="1"/>
  <c r="H2419" i="2" a="1"/>
  <c r="H2419" i="2" s="1"/>
  <c r="I2420" i="2" a="1"/>
  <c r="I2420" i="2" s="1"/>
  <c r="G2422" i="2" a="1"/>
  <c r="G2422" i="2" s="1"/>
  <c r="H2423" i="2" a="1"/>
  <c r="H2423" i="2" s="1"/>
  <c r="I2424" i="2" a="1"/>
  <c r="I2424" i="2" s="1"/>
  <c r="G2426" i="2" a="1"/>
  <c r="G2426" i="2" s="1"/>
  <c r="H2427" i="2" a="1"/>
  <c r="H2427" i="2" s="1"/>
  <c r="I2428" i="2" a="1"/>
  <c r="I2428" i="2" s="1"/>
  <c r="G2430" i="2" a="1"/>
  <c r="G2430" i="2" s="1"/>
  <c r="H2431" i="2" a="1"/>
  <c r="H2431" i="2" s="1"/>
  <c r="I2432" i="2" a="1"/>
  <c r="I2432" i="2" s="1"/>
  <c r="G2434" i="2" a="1"/>
  <c r="G2434" i="2" s="1"/>
  <c r="H2435" i="2" a="1"/>
  <c r="H2435" i="2" s="1"/>
  <c r="I2436" i="2" a="1"/>
  <c r="I2436" i="2" s="1"/>
  <c r="G2438" i="2" a="1"/>
  <c r="G2438" i="2" s="1"/>
  <c r="H2439" i="2" a="1"/>
  <c r="H2439" i="2" s="1"/>
  <c r="I2440" i="2" a="1"/>
  <c r="I2440" i="2" s="1"/>
  <c r="G2442" i="2" a="1"/>
  <c r="G2442" i="2" s="1"/>
  <c r="H2443" i="2" a="1"/>
  <c r="H2443" i="2" s="1"/>
  <c r="I2444" i="2" a="1"/>
  <c r="I2444" i="2" s="1"/>
  <c r="G2446" i="2" a="1"/>
  <c r="G2446" i="2" s="1"/>
  <c r="H2447" i="2" a="1"/>
  <c r="H2447" i="2" s="1"/>
  <c r="I2448" i="2" a="1"/>
  <c r="I2448" i="2" s="1"/>
  <c r="G2450" i="2" a="1"/>
  <c r="G2450" i="2" s="1"/>
  <c r="H2451" i="2" a="1"/>
  <c r="H2451" i="2" s="1"/>
  <c r="I2452" i="2" a="1"/>
  <c r="I2452" i="2" s="1"/>
  <c r="G2454" i="2" a="1"/>
  <c r="G2454" i="2" s="1"/>
  <c r="H2455" i="2" a="1"/>
  <c r="H2455" i="2" s="1"/>
  <c r="I2456" i="2" a="1"/>
  <c r="I2456" i="2" s="1"/>
  <c r="G2458" i="2" a="1"/>
  <c r="G2458" i="2" s="1"/>
  <c r="H2459" i="2" a="1"/>
  <c r="H2459" i="2" s="1"/>
  <c r="I2460" i="2" a="1"/>
  <c r="I2460" i="2" s="1"/>
  <c r="G2462" i="2" a="1"/>
  <c r="G2462" i="2" s="1"/>
  <c r="H2463" i="2" a="1"/>
  <c r="H2463" i="2" s="1"/>
  <c r="I2464" i="2" a="1"/>
  <c r="I2464" i="2" s="1"/>
  <c r="G2466" i="2" a="1"/>
  <c r="G2466" i="2" s="1"/>
  <c r="H2467" i="2" a="1"/>
  <c r="H2467" i="2" s="1"/>
  <c r="I2468" i="2" a="1"/>
  <c r="I2468" i="2" s="1"/>
  <c r="G2470" i="2" a="1"/>
  <c r="G2470" i="2" s="1"/>
  <c r="H2471" i="2" a="1"/>
  <c r="H2471" i="2" s="1"/>
  <c r="I2472" i="2" a="1"/>
  <c r="I2472" i="2" s="1"/>
  <c r="G2474" i="2" a="1"/>
  <c r="G2474" i="2" s="1"/>
  <c r="H2475" i="2" a="1"/>
  <c r="H2475" i="2" s="1"/>
  <c r="I2476" i="2" a="1"/>
  <c r="I2476" i="2" s="1"/>
  <c r="G2478" i="2" a="1"/>
  <c r="G2478" i="2" s="1"/>
  <c r="H2479" i="2" a="1"/>
  <c r="H2479" i="2" s="1"/>
  <c r="I2480" i="2" a="1"/>
  <c r="I2480" i="2" s="1"/>
  <c r="G2482" i="2" a="1"/>
  <c r="G2482" i="2" s="1"/>
  <c r="H2483" i="2" a="1"/>
  <c r="H2483" i="2" s="1"/>
  <c r="I2484" i="2" a="1"/>
  <c r="I2484" i="2" s="1"/>
  <c r="G2486" i="2" a="1"/>
  <c r="G2486" i="2" s="1"/>
  <c r="H2487" i="2" a="1"/>
  <c r="H2487" i="2" s="1"/>
  <c r="I2488" i="2" a="1"/>
  <c r="I2488" i="2" s="1"/>
  <c r="G2490" i="2" a="1"/>
  <c r="G2490" i="2" s="1"/>
  <c r="H2491" i="2" a="1"/>
  <c r="H2491" i="2" s="1"/>
  <c r="I2492" i="2" a="1"/>
  <c r="I2492" i="2" s="1"/>
  <c r="G2494" i="2" a="1"/>
  <c r="G2494" i="2" s="1"/>
  <c r="H2495" i="2" a="1"/>
  <c r="H2495" i="2" s="1"/>
  <c r="I2496" i="2" a="1"/>
  <c r="I2496" i="2" s="1"/>
  <c r="G2498" i="2" a="1"/>
  <c r="G2498" i="2" s="1"/>
  <c r="H2499" i="2" a="1"/>
  <c r="H2499" i="2" s="1"/>
  <c r="I2500" i="2" a="1"/>
  <c r="I2500" i="2" s="1"/>
  <c r="G2502" i="2" a="1"/>
  <c r="G2502" i="2" s="1"/>
  <c r="H2503" i="2" a="1"/>
  <c r="H2503" i="2" s="1"/>
  <c r="I2504" i="2" a="1"/>
  <c r="I2504" i="2" s="1"/>
  <c r="G2506" i="2" a="1"/>
  <c r="G2506" i="2" s="1"/>
  <c r="H2507" i="2" a="1"/>
  <c r="H2507" i="2" s="1"/>
  <c r="I2508" i="2" a="1"/>
  <c r="I2508" i="2" s="1"/>
  <c r="G2510" i="2" a="1"/>
  <c r="G2510" i="2" s="1"/>
  <c r="H2511" i="2" a="1"/>
  <c r="H2511" i="2" s="1"/>
  <c r="I2512" i="2" a="1"/>
  <c r="I2512" i="2" s="1"/>
  <c r="G2514" i="2" a="1"/>
  <c r="G2514" i="2" s="1"/>
  <c r="H2515" i="2" a="1"/>
  <c r="H2515" i="2" s="1"/>
  <c r="I2516" i="2" a="1"/>
  <c r="I2516" i="2" s="1"/>
  <c r="G2518" i="2" a="1"/>
  <c r="G2518" i="2" s="1"/>
  <c r="H2519" i="2" a="1"/>
  <c r="H2519" i="2" s="1"/>
  <c r="I2520" i="2" a="1"/>
  <c r="I2520" i="2" s="1"/>
  <c r="G2522" i="2" a="1"/>
  <c r="G2522" i="2" s="1"/>
  <c r="H2523" i="2" a="1"/>
  <c r="H2523" i="2" s="1"/>
  <c r="I2524" i="2" a="1"/>
  <c r="I2524" i="2" s="1"/>
  <c r="G2526" i="2" a="1"/>
  <c r="G2526" i="2" s="1"/>
  <c r="H2527" i="2" a="1"/>
  <c r="H2527" i="2" s="1"/>
  <c r="I2528" i="2" a="1"/>
  <c r="I2528" i="2" s="1"/>
  <c r="G2530" i="2" a="1"/>
  <c r="G2530" i="2" s="1"/>
  <c r="H2531" i="2" a="1"/>
  <c r="H2531" i="2" s="1"/>
  <c r="I2532" i="2" a="1"/>
  <c r="I2532" i="2" s="1"/>
  <c r="G2534" i="2" a="1"/>
  <c r="G2534" i="2" s="1"/>
  <c r="H2535" i="2" a="1"/>
  <c r="H2535" i="2" s="1"/>
  <c r="I2536" i="2" a="1"/>
  <c r="I2536" i="2" s="1"/>
  <c r="G2538" i="2" a="1"/>
  <c r="G2538" i="2" s="1"/>
  <c r="H2539" i="2" a="1"/>
  <c r="H2539" i="2" s="1"/>
  <c r="I2540" i="2" a="1"/>
  <c r="I2540" i="2" s="1"/>
  <c r="G2542" i="2" a="1"/>
  <c r="G2542" i="2" s="1"/>
  <c r="H2543" i="2" a="1"/>
  <c r="H2543" i="2" s="1"/>
  <c r="I2544" i="2" a="1"/>
  <c r="I2544" i="2" s="1"/>
  <c r="G2546" i="2" a="1"/>
  <c r="G2546" i="2" s="1"/>
  <c r="H2547" i="2" a="1"/>
  <c r="H2547" i="2" s="1"/>
  <c r="I2548" i="2" a="1"/>
  <c r="I2548" i="2" s="1"/>
  <c r="G2550" i="2" a="1"/>
  <c r="G2550" i="2" s="1"/>
  <c r="H2551" i="2" a="1"/>
  <c r="H2551" i="2" s="1"/>
  <c r="I2552" i="2" a="1"/>
  <c r="I2552" i="2" s="1"/>
  <c r="G2554" i="2" a="1"/>
  <c r="G2554" i="2" s="1"/>
  <c r="H2555" i="2" a="1"/>
  <c r="H2555" i="2" s="1"/>
  <c r="I2556" i="2" a="1"/>
  <c r="I2556" i="2" s="1"/>
  <c r="G2558" i="2" a="1"/>
  <c r="G2558" i="2" s="1"/>
  <c r="H2559" i="2" a="1"/>
  <c r="H2559" i="2" s="1"/>
  <c r="I2560" i="2" a="1"/>
  <c r="I2560" i="2" s="1"/>
  <c r="G2562" i="2" a="1"/>
  <c r="G2562" i="2" s="1"/>
  <c r="H2563" i="2" a="1"/>
  <c r="H2563" i="2" s="1"/>
  <c r="I2564" i="2" a="1"/>
  <c r="I2564" i="2" s="1"/>
  <c r="G2566" i="2" a="1"/>
  <c r="G2566" i="2" s="1"/>
  <c r="H2567" i="2" a="1"/>
  <c r="H2567" i="2" s="1"/>
  <c r="I2568" i="2" a="1"/>
  <c r="I2568" i="2" s="1"/>
  <c r="G2570" i="2" a="1"/>
  <c r="G2570" i="2" s="1"/>
  <c r="H2571" i="2" a="1"/>
  <c r="H2571" i="2" s="1"/>
  <c r="I2572" i="2" a="1"/>
  <c r="I2572" i="2" s="1"/>
  <c r="G2574" i="2" a="1"/>
  <c r="G2574" i="2" s="1"/>
  <c r="H2575" i="2" a="1"/>
  <c r="H2575" i="2" s="1"/>
  <c r="I2576" i="2" a="1"/>
  <c r="I2576" i="2" s="1"/>
  <c r="G2578" i="2" a="1"/>
  <c r="G2578" i="2" s="1"/>
  <c r="H2579" i="2" a="1"/>
  <c r="H2579" i="2" s="1"/>
  <c r="I2580" i="2" a="1"/>
  <c r="I2580" i="2" s="1"/>
  <c r="G2582" i="2" a="1"/>
  <c r="G2582" i="2" s="1"/>
  <c r="H2583" i="2" a="1"/>
  <c r="H2583" i="2" s="1"/>
  <c r="I2584" i="2" a="1"/>
  <c r="I2584" i="2" s="1"/>
  <c r="G2586" i="2" a="1"/>
  <c r="G2586" i="2" s="1"/>
  <c r="H2587" i="2" a="1"/>
  <c r="H2587" i="2" s="1"/>
  <c r="I2588" i="2" a="1"/>
  <c r="I2588" i="2" s="1"/>
  <c r="G2590" i="2" a="1"/>
  <c r="G2590" i="2" s="1"/>
  <c r="H2591" i="2" a="1"/>
  <c r="H2591" i="2" s="1"/>
  <c r="I2592" i="2" a="1"/>
  <c r="I2592" i="2" s="1"/>
  <c r="G2594" i="2" a="1"/>
  <c r="G2594" i="2" s="1"/>
  <c r="H2595" i="2" a="1"/>
  <c r="H2595" i="2" s="1"/>
  <c r="I2596" i="2" a="1"/>
  <c r="I2596" i="2" s="1"/>
  <c r="G2598" i="2" a="1"/>
  <c r="G2598" i="2" s="1"/>
  <c r="H2599" i="2" a="1"/>
  <c r="H2599" i="2" s="1"/>
  <c r="I2600" i="2" a="1"/>
  <c r="I2600" i="2" s="1"/>
  <c r="G2602" i="2" a="1"/>
  <c r="G2602" i="2" s="1"/>
  <c r="H2603" i="2" a="1"/>
  <c r="H2603" i="2" s="1"/>
  <c r="I2604" i="2" a="1"/>
  <c r="I2604" i="2" s="1"/>
  <c r="G2606" i="2" a="1"/>
  <c r="G2606" i="2" s="1"/>
  <c r="H2607" i="2" a="1"/>
  <c r="H2607" i="2" s="1"/>
  <c r="I2608" i="2" a="1"/>
  <c r="I2608" i="2" s="1"/>
  <c r="G2610" i="2" a="1"/>
  <c r="G2610" i="2" s="1"/>
  <c r="H2611" i="2" a="1"/>
  <c r="H2611" i="2" s="1"/>
  <c r="I2612" i="2" a="1"/>
  <c r="I2612" i="2" s="1"/>
  <c r="G2614" i="2" a="1"/>
  <c r="G2614" i="2" s="1"/>
  <c r="H2615" i="2" a="1"/>
  <c r="H2615" i="2" s="1"/>
  <c r="I2616" i="2" a="1"/>
  <c r="I2616" i="2" s="1"/>
  <c r="G2618" i="2" a="1"/>
  <c r="G2618" i="2" s="1"/>
  <c r="H2619" i="2" a="1"/>
  <c r="H2619" i="2" s="1"/>
  <c r="I2620" i="2" a="1"/>
  <c r="I2620" i="2" s="1"/>
  <c r="G2622" i="2" a="1"/>
  <c r="G2622" i="2" s="1"/>
  <c r="H2623" i="2" a="1"/>
  <c r="H2623" i="2" s="1"/>
  <c r="I2624" i="2" a="1"/>
  <c r="I2624" i="2" s="1"/>
  <c r="G2626" i="2" a="1"/>
  <c r="G2626" i="2" s="1"/>
  <c r="H2627" i="2" a="1"/>
  <c r="H2627" i="2" s="1"/>
  <c r="I2628" i="2" a="1"/>
  <c r="I2628" i="2" s="1"/>
  <c r="G2630" i="2" a="1"/>
  <c r="G2630" i="2" s="1"/>
  <c r="H2631" i="2" a="1"/>
  <c r="H2631" i="2" s="1"/>
  <c r="I2632" i="2" a="1"/>
  <c r="I2632" i="2" s="1"/>
  <c r="G2634" i="2" a="1"/>
  <c r="G2634" i="2" s="1"/>
  <c r="H2635" i="2" a="1"/>
  <c r="H2635" i="2" s="1"/>
  <c r="I2636" i="2" a="1"/>
  <c r="I2636" i="2" s="1"/>
  <c r="G2638" i="2" a="1"/>
  <c r="G2638" i="2" s="1"/>
  <c r="H2639" i="2" a="1"/>
  <c r="H2639" i="2" s="1"/>
  <c r="I2640" i="2" a="1"/>
  <c r="I2640" i="2" s="1"/>
  <c r="G2642" i="2" a="1"/>
  <c r="G2642" i="2" s="1"/>
  <c r="H2643" i="2" a="1"/>
  <c r="H2643" i="2" s="1"/>
  <c r="I2644" i="2" a="1"/>
  <c r="I2644" i="2" s="1"/>
  <c r="G2646" i="2" a="1"/>
  <c r="G2646" i="2" s="1"/>
  <c r="H2647" i="2" a="1"/>
  <c r="H2647" i="2" s="1"/>
  <c r="I2648" i="2" a="1"/>
  <c r="I2648" i="2" s="1"/>
  <c r="G2650" i="2" a="1"/>
  <c r="G2650" i="2" s="1"/>
  <c r="H2651" i="2" a="1"/>
  <c r="H2651" i="2" s="1"/>
  <c r="I2652" i="2" a="1"/>
  <c r="I2652" i="2" s="1"/>
  <c r="G2654" i="2" a="1"/>
  <c r="G2654" i="2" s="1"/>
  <c r="H2655" i="2" a="1"/>
  <c r="H2655" i="2" s="1"/>
  <c r="I2656" i="2" a="1"/>
  <c r="I2656" i="2" s="1"/>
  <c r="G2658" i="2" a="1"/>
  <c r="G2658" i="2" s="1"/>
  <c r="H2659" i="2" a="1"/>
  <c r="H2659" i="2" s="1"/>
  <c r="I2660" i="2" a="1"/>
  <c r="I2660" i="2" s="1"/>
  <c r="G2662" i="2" a="1"/>
  <c r="G2662" i="2" s="1"/>
  <c r="H2663" i="2" a="1"/>
  <c r="H2663" i="2" s="1"/>
  <c r="I2664" i="2" a="1"/>
  <c r="I2664" i="2" s="1"/>
  <c r="G2666" i="2" a="1"/>
  <c r="G2666" i="2" s="1"/>
  <c r="H2667" i="2" a="1"/>
  <c r="H2667" i="2" s="1"/>
  <c r="I2668" i="2" a="1"/>
  <c r="I2668" i="2" s="1"/>
  <c r="G2670" i="2" a="1"/>
  <c r="G2670" i="2" s="1"/>
  <c r="H2671" i="2" a="1"/>
  <c r="H2671" i="2" s="1"/>
  <c r="I2672" i="2" a="1"/>
  <c r="I2672" i="2" s="1"/>
  <c r="G2674" i="2" a="1"/>
  <c r="G2674" i="2" s="1"/>
  <c r="H2675" i="2" a="1"/>
  <c r="H2675" i="2" s="1"/>
  <c r="I2676" i="2" a="1"/>
  <c r="I2676" i="2" s="1"/>
  <c r="G2678" i="2" a="1"/>
  <c r="G2678" i="2" s="1"/>
  <c r="H2679" i="2" a="1"/>
  <c r="H2679" i="2" s="1"/>
  <c r="I2680" i="2" a="1"/>
  <c r="I2680" i="2" s="1"/>
  <c r="G2682" i="2" a="1"/>
  <c r="G2682" i="2" s="1"/>
  <c r="H2683" i="2" a="1"/>
  <c r="H2683" i="2" s="1"/>
  <c r="I2684" i="2" a="1"/>
  <c r="I2684" i="2" s="1"/>
  <c r="G2686" i="2" a="1"/>
  <c r="G2686" i="2" s="1"/>
  <c r="H2687" i="2" a="1"/>
  <c r="H2687" i="2" s="1"/>
  <c r="I2688" i="2" a="1"/>
  <c r="I2688" i="2" s="1"/>
  <c r="G2690" i="2" a="1"/>
  <c r="G2690" i="2" s="1"/>
  <c r="H2691" i="2" a="1"/>
  <c r="H2691" i="2" s="1"/>
  <c r="I2692" i="2" a="1"/>
  <c r="I2692" i="2" s="1"/>
  <c r="G2694" i="2" a="1"/>
  <c r="G2694" i="2" s="1"/>
  <c r="H2695" i="2" a="1"/>
  <c r="H2695" i="2" s="1"/>
  <c r="I2696" i="2" a="1"/>
  <c r="I2696" i="2" s="1"/>
  <c r="G2698" i="2" a="1"/>
  <c r="G2698" i="2" s="1"/>
  <c r="H2699" i="2" a="1"/>
  <c r="H2699" i="2" s="1"/>
  <c r="I2700" i="2" a="1"/>
  <c r="I2700" i="2" s="1"/>
  <c r="G2702" i="2" a="1"/>
  <c r="G2702" i="2" s="1"/>
  <c r="H2703" i="2" a="1"/>
  <c r="H2703" i="2" s="1"/>
  <c r="I2704" i="2" a="1"/>
  <c r="I2704" i="2" s="1"/>
  <c r="G2706" i="2" a="1"/>
  <c r="G2706" i="2" s="1"/>
  <c r="H2707" i="2" a="1"/>
  <c r="H2707" i="2" s="1"/>
  <c r="I2708" i="2" a="1"/>
  <c r="I2708" i="2" s="1"/>
  <c r="G2710" i="2" a="1"/>
  <c r="G2710" i="2" s="1"/>
  <c r="H2711" i="2" a="1"/>
  <c r="H2711" i="2" s="1"/>
  <c r="I2712" i="2" a="1"/>
  <c r="I2712" i="2" s="1"/>
  <c r="G2714" i="2" a="1"/>
  <c r="G2714" i="2" s="1"/>
  <c r="H2715" i="2" a="1"/>
  <c r="H2715" i="2" s="1"/>
  <c r="I2716" i="2" a="1"/>
  <c r="I2716" i="2" s="1"/>
  <c r="G2718" i="2" a="1"/>
  <c r="G2718" i="2" s="1"/>
  <c r="H2719" i="2" a="1"/>
  <c r="H2719" i="2" s="1"/>
  <c r="I2720" i="2" a="1"/>
  <c r="I2720" i="2" s="1"/>
  <c r="G2722" i="2" a="1"/>
  <c r="G2722" i="2" s="1"/>
  <c r="H2723" i="2" a="1"/>
  <c r="H2723" i="2" s="1"/>
  <c r="I2724" i="2" a="1"/>
  <c r="I2724" i="2" s="1"/>
  <c r="G2726" i="2" a="1"/>
  <c r="G2726" i="2" s="1"/>
  <c r="H2727" i="2" a="1"/>
  <c r="H2727" i="2" s="1"/>
  <c r="I2728" i="2" a="1"/>
  <c r="I2728" i="2" s="1"/>
  <c r="G2730" i="2" a="1"/>
  <c r="G2730" i="2" s="1"/>
  <c r="H2731" i="2" a="1"/>
  <c r="H2731" i="2" s="1"/>
  <c r="I2732" i="2" a="1"/>
  <c r="I2732" i="2" s="1"/>
  <c r="G2734" i="2" a="1"/>
  <c r="G2734" i="2" s="1"/>
  <c r="H2735" i="2" a="1"/>
  <c r="H2735" i="2" s="1"/>
  <c r="I2736" i="2" a="1"/>
  <c r="I2736" i="2" s="1"/>
  <c r="G2738" i="2" a="1"/>
  <c r="G2738" i="2" s="1"/>
  <c r="H2739" i="2" a="1"/>
  <c r="H2739" i="2" s="1"/>
  <c r="I2740" i="2" a="1"/>
  <c r="I2740" i="2" s="1"/>
  <c r="G2742" i="2" a="1"/>
  <c r="G2742" i="2" s="1"/>
  <c r="H2743" i="2" a="1"/>
  <c r="H2743" i="2" s="1"/>
  <c r="I2744" i="2" a="1"/>
  <c r="I2744" i="2" s="1"/>
  <c r="G2746" i="2" a="1"/>
  <c r="G2746" i="2" s="1"/>
  <c r="H2747" i="2" a="1"/>
  <c r="H2747" i="2" s="1"/>
  <c r="I2748" i="2" a="1"/>
  <c r="I2748" i="2" s="1"/>
  <c r="G2750" i="2" a="1"/>
  <c r="G2750" i="2" s="1"/>
  <c r="H2751" i="2" a="1"/>
  <c r="H2751" i="2" s="1"/>
  <c r="I2752" i="2" a="1"/>
  <c r="I2752" i="2" s="1"/>
  <c r="G2754" i="2" a="1"/>
  <c r="G2754" i="2" s="1"/>
  <c r="H2755" i="2" a="1"/>
  <c r="H2755" i="2" s="1"/>
  <c r="I2756" i="2" a="1"/>
  <c r="I2756" i="2" s="1"/>
  <c r="G2758" i="2" a="1"/>
  <c r="G2758" i="2" s="1"/>
  <c r="H2759" i="2" a="1"/>
  <c r="H2759" i="2" s="1"/>
  <c r="I2760" i="2" a="1"/>
  <c r="I2760" i="2" s="1"/>
  <c r="G2762" i="2" a="1"/>
  <c r="G2762" i="2" s="1"/>
  <c r="H2763" i="2" a="1"/>
  <c r="H2763" i="2" s="1"/>
  <c r="I2764" i="2" a="1"/>
  <c r="I2764" i="2" s="1"/>
  <c r="G2766" i="2" a="1"/>
  <c r="G2766" i="2" s="1"/>
  <c r="H2767" i="2" a="1"/>
  <c r="H2767" i="2" s="1"/>
  <c r="I2768" i="2" a="1"/>
  <c r="I2768" i="2" s="1"/>
  <c r="G2770" i="2" a="1"/>
  <c r="G2770" i="2" s="1"/>
  <c r="H2771" i="2" a="1"/>
  <c r="H2771" i="2" s="1"/>
  <c r="I2772" i="2" a="1"/>
  <c r="I2772" i="2" s="1"/>
  <c r="G2774" i="2" a="1"/>
  <c r="G2774" i="2" s="1"/>
  <c r="H2775" i="2" a="1"/>
  <c r="H2775" i="2" s="1"/>
  <c r="I2776" i="2" a="1"/>
  <c r="I2776" i="2" s="1"/>
  <c r="G2779" i="2" a="1"/>
  <c r="G2779" i="2" s="1"/>
  <c r="G2780" i="2" a="1"/>
  <c r="G2780" i="2" s="1"/>
  <c r="H2781" i="2" a="1"/>
  <c r="H2781" i="2" s="1"/>
  <c r="I2782" i="2" a="1"/>
  <c r="I2782" i="2" s="1"/>
  <c r="G2784" i="2" a="1"/>
  <c r="G2784" i="2" s="1"/>
  <c r="H2785" i="2" a="1"/>
  <c r="H2785" i="2" s="1"/>
  <c r="I2786" i="2" a="1"/>
  <c r="I2786" i="2" s="1"/>
  <c r="G2788" i="2" a="1"/>
  <c r="G2788" i="2" s="1"/>
  <c r="H2789" i="2" a="1"/>
  <c r="H2789" i="2" s="1"/>
  <c r="I2790" i="2" a="1"/>
  <c r="I2790" i="2" s="1"/>
  <c r="G2792" i="2" a="1"/>
  <c r="G2792" i="2" s="1"/>
  <c r="H2793" i="2" a="1"/>
  <c r="H2793" i="2" s="1"/>
  <c r="I2794" i="2" a="1"/>
  <c r="I2794" i="2" s="1"/>
  <c r="G2796" i="2" a="1"/>
  <c r="G2796" i="2" s="1"/>
  <c r="H2797" i="2" a="1"/>
  <c r="H2797" i="2" s="1"/>
  <c r="I2798" i="2" a="1"/>
  <c r="I2798" i="2" s="1"/>
  <c r="G2800" i="2" a="1"/>
  <c r="G2800" i="2" s="1"/>
  <c r="H2801" i="2" a="1"/>
  <c r="H2801" i="2" s="1"/>
  <c r="I2802" i="2" a="1"/>
  <c r="I2802" i="2" s="1"/>
  <c r="G2804" i="2" a="1"/>
  <c r="G2804" i="2" s="1"/>
  <c r="H2805" i="2" a="1"/>
  <c r="H2805" i="2" s="1"/>
  <c r="I2806" i="2" a="1"/>
  <c r="I2806" i="2" s="1"/>
  <c r="G2808" i="2" a="1"/>
  <c r="G2808" i="2" s="1"/>
  <c r="H2809" i="2" a="1"/>
  <c r="H2809" i="2" s="1"/>
  <c r="I2810" i="2" a="1"/>
  <c r="I2810" i="2" s="1"/>
  <c r="G2812" i="2" a="1"/>
  <c r="G2812" i="2" s="1"/>
  <c r="H2813" i="2" a="1"/>
  <c r="H2813" i="2" s="1"/>
  <c r="I2814" i="2" a="1"/>
  <c r="I2814" i="2" s="1"/>
  <c r="G2816" i="2" a="1"/>
  <c r="G2816" i="2" s="1"/>
  <c r="H2817" i="2" a="1"/>
  <c r="H2817" i="2" s="1"/>
  <c r="I2818" i="2" a="1"/>
  <c r="I2818" i="2" s="1"/>
  <c r="G2820" i="2" a="1"/>
  <c r="G2820" i="2" s="1"/>
  <c r="H2821" i="2" a="1"/>
  <c r="H2821" i="2" s="1"/>
  <c r="I2822" i="2" a="1"/>
  <c r="I2822" i="2" s="1"/>
  <c r="G2824" i="2" a="1"/>
  <c r="G2824" i="2" s="1"/>
  <c r="H2825" i="2" a="1"/>
  <c r="H2825" i="2" s="1"/>
  <c r="I2826" i="2" a="1"/>
  <c r="I2826" i="2" s="1"/>
  <c r="G2828" i="2" a="1"/>
  <c r="G2828" i="2" s="1"/>
  <c r="H2829" i="2" a="1"/>
  <c r="H2829" i="2" s="1"/>
  <c r="I2830" i="2" a="1"/>
  <c r="I2830" i="2" s="1"/>
  <c r="G2832" i="2" a="1"/>
  <c r="G2832" i="2" s="1"/>
  <c r="H2833" i="2" a="1"/>
  <c r="H2833" i="2" s="1"/>
  <c r="I2834" i="2" a="1"/>
  <c r="I2834" i="2" s="1"/>
  <c r="G2836" i="2" a="1"/>
  <c r="G2836" i="2" s="1"/>
  <c r="H2837" i="2" a="1"/>
  <c r="H2837" i="2" s="1"/>
  <c r="I2838" i="2" a="1"/>
  <c r="I2838" i="2" s="1"/>
  <c r="G2840" i="2" a="1"/>
  <c r="G2840" i="2" s="1"/>
  <c r="H2841" i="2" a="1"/>
  <c r="H2841" i="2" s="1"/>
  <c r="I2842" i="2" a="1"/>
  <c r="I2842" i="2" s="1"/>
  <c r="G2844" i="2" a="1"/>
  <c r="G2844" i="2" s="1"/>
  <c r="H2845" i="2" a="1"/>
  <c r="H2845" i="2" s="1"/>
  <c r="I2846" i="2" a="1"/>
  <c r="I2846" i="2" s="1"/>
  <c r="G2848" i="2" a="1"/>
  <c r="G2848" i="2" s="1"/>
  <c r="H2849" i="2" a="1"/>
  <c r="H2849" i="2" s="1"/>
  <c r="I2850" i="2" a="1"/>
  <c r="I2850" i="2" s="1"/>
  <c r="G2852" i="2" a="1"/>
  <c r="G2852" i="2" s="1"/>
  <c r="H2853" i="2" a="1"/>
  <c r="H2853" i="2" s="1"/>
  <c r="I2854" i="2" a="1"/>
  <c r="I2854" i="2" s="1"/>
  <c r="G2856" i="2" a="1"/>
  <c r="G2856" i="2" s="1"/>
  <c r="H2857" i="2" a="1"/>
  <c r="H2857" i="2" s="1"/>
  <c r="I2858" i="2" a="1"/>
  <c r="I2858" i="2" s="1"/>
  <c r="G2860" i="2" a="1"/>
  <c r="G2860" i="2" s="1"/>
  <c r="H2861" i="2" a="1"/>
  <c r="H2861" i="2" s="1"/>
  <c r="I2862" i="2" a="1"/>
  <c r="I2862" i="2" s="1"/>
  <c r="G2864" i="2" a="1"/>
  <c r="G2864" i="2" s="1"/>
  <c r="H2865" i="2" a="1"/>
  <c r="H2865" i="2" s="1"/>
  <c r="I2866" i="2" a="1"/>
  <c r="I2866" i="2" s="1"/>
  <c r="G2868" i="2" a="1"/>
  <c r="G2868" i="2" s="1"/>
  <c r="H2869" i="2" a="1"/>
  <c r="H2869" i="2" s="1"/>
  <c r="I2870" i="2" a="1"/>
  <c r="I2870" i="2" s="1"/>
  <c r="G2872" i="2" a="1"/>
  <c r="G2872" i="2" s="1"/>
  <c r="H2873" i="2" a="1"/>
  <c r="H2873" i="2" s="1"/>
  <c r="I2874" i="2" a="1"/>
  <c r="I2874" i="2" s="1"/>
  <c r="G2876" i="2" a="1"/>
  <c r="G2876" i="2" s="1"/>
  <c r="H2877" i="2" a="1"/>
  <c r="H2877" i="2" s="1"/>
  <c r="I2878" i="2" a="1"/>
  <c r="I2878" i="2" s="1"/>
  <c r="G2880" i="2" a="1"/>
  <c r="G2880" i="2" s="1"/>
  <c r="H2881" i="2" a="1"/>
  <c r="H2881" i="2" s="1"/>
  <c r="I2882" i="2" a="1"/>
  <c r="I2882" i="2" s="1"/>
  <c r="G2884" i="2" a="1"/>
  <c r="G2884" i="2" s="1"/>
  <c r="H2885" i="2" a="1"/>
  <c r="H2885" i="2" s="1"/>
  <c r="I2886" i="2" a="1"/>
  <c r="I2886" i="2" s="1"/>
  <c r="G2888" i="2" a="1"/>
  <c r="G2888" i="2" s="1"/>
  <c r="H2889" i="2" a="1"/>
  <c r="H2889" i="2" s="1"/>
  <c r="I2890" i="2" a="1"/>
  <c r="I2890" i="2" s="1"/>
  <c r="G2892" i="2" a="1"/>
  <c r="G2892" i="2" s="1"/>
  <c r="H2893" i="2" a="1"/>
  <c r="H2893" i="2" s="1"/>
  <c r="I2894" i="2" a="1"/>
  <c r="I2894" i="2" s="1"/>
  <c r="G2896" i="2" a="1"/>
  <c r="G2896" i="2" s="1"/>
  <c r="H2897" i="2" a="1"/>
  <c r="H2897" i="2" s="1"/>
  <c r="I2898" i="2" a="1"/>
  <c r="I2898" i="2" s="1"/>
  <c r="G2900" i="2" a="1"/>
  <c r="G2900" i="2" s="1"/>
  <c r="H2901" i="2" a="1"/>
  <c r="H2901" i="2" s="1"/>
  <c r="I2902" i="2" a="1"/>
  <c r="I2902" i="2" s="1"/>
  <c r="G2904" i="2" a="1"/>
  <c r="G2904" i="2" s="1"/>
  <c r="H2905" i="2" a="1"/>
  <c r="H2905" i="2" s="1"/>
  <c r="I2906" i="2" a="1"/>
  <c r="I2906" i="2" s="1"/>
  <c r="G2908" i="2" a="1"/>
  <c r="G2908" i="2" s="1"/>
  <c r="H2909" i="2" a="1"/>
  <c r="H2909" i="2" s="1"/>
  <c r="I2910" i="2" a="1"/>
  <c r="I2910" i="2" s="1"/>
  <c r="G2912" i="2" a="1"/>
  <c r="G2912" i="2" s="1"/>
  <c r="H2913" i="2" a="1"/>
  <c r="H2913" i="2" s="1"/>
  <c r="I2914" i="2" a="1"/>
  <c r="I2914" i="2" s="1"/>
  <c r="G2916" i="2" a="1"/>
  <c r="G2916" i="2" s="1"/>
  <c r="H2917" i="2" a="1"/>
  <c r="H2917" i="2" s="1"/>
  <c r="I2918" i="2" a="1"/>
  <c r="I2918" i="2" s="1"/>
  <c r="G2920" i="2" a="1"/>
  <c r="G2920" i="2" s="1"/>
  <c r="H2921" i="2" a="1"/>
  <c r="H2921" i="2" s="1"/>
  <c r="I2922" i="2" a="1"/>
  <c r="I2922" i="2" s="1"/>
  <c r="G2924" i="2" a="1"/>
  <c r="G2924" i="2" s="1"/>
  <c r="H2925" i="2" a="1"/>
  <c r="H2925" i="2" s="1"/>
  <c r="I2926" i="2" a="1"/>
  <c r="I2926" i="2" s="1"/>
  <c r="G2928" i="2" a="1"/>
  <c r="G2928" i="2" s="1"/>
  <c r="H2929" i="2" a="1"/>
  <c r="H2929" i="2" s="1"/>
  <c r="I2930" i="2" a="1"/>
  <c r="I2930" i="2" s="1"/>
  <c r="G2932" i="2" a="1"/>
  <c r="G2932" i="2" s="1"/>
  <c r="H2933" i="2" a="1"/>
  <c r="H2933" i="2" s="1"/>
  <c r="I2934" i="2" a="1"/>
  <c r="I2934" i="2" s="1"/>
  <c r="G2936" i="2" a="1"/>
  <c r="G2936" i="2" s="1"/>
  <c r="H2937" i="2" a="1"/>
  <c r="H2937" i="2" s="1"/>
  <c r="I2938" i="2" a="1"/>
  <c r="I2938" i="2" s="1"/>
  <c r="G2940" i="2" a="1"/>
  <c r="G2940" i="2" s="1"/>
  <c r="H2941" i="2" a="1"/>
  <c r="H2941" i="2" s="1"/>
  <c r="I2942" i="2" a="1"/>
  <c r="I2942" i="2" s="1"/>
  <c r="G2944" i="2" a="1"/>
  <c r="G2944" i="2" s="1"/>
  <c r="H2945" i="2" a="1"/>
  <c r="H2945" i="2" s="1"/>
  <c r="I2946" i="2" a="1"/>
  <c r="I2946" i="2" s="1"/>
  <c r="G2948" i="2" a="1"/>
  <c r="G2948" i="2" s="1"/>
  <c r="H2949" i="2" a="1"/>
  <c r="H2949" i="2" s="1"/>
  <c r="I2950" i="2" a="1"/>
  <c r="I2950" i="2" s="1"/>
  <c r="G2952" i="2" a="1"/>
  <c r="G2952" i="2" s="1"/>
  <c r="H2953" i="2" a="1"/>
  <c r="H2953" i="2" s="1"/>
  <c r="I2954" i="2" a="1"/>
  <c r="I2954" i="2" s="1"/>
  <c r="G2956" i="2" a="1"/>
  <c r="G2956" i="2" s="1"/>
  <c r="H2957" i="2" a="1"/>
  <c r="H2957" i="2" s="1"/>
  <c r="I2958" i="2" a="1"/>
  <c r="I2958" i="2" s="1"/>
  <c r="G2960" i="2" a="1"/>
  <c r="G2960" i="2" s="1"/>
  <c r="H2961" i="2" a="1"/>
  <c r="H2961" i="2" s="1"/>
  <c r="I2962" i="2" a="1"/>
  <c r="I2962" i="2" s="1"/>
  <c r="G2964" i="2" a="1"/>
  <c r="G2964" i="2" s="1"/>
  <c r="H2965" i="2" a="1"/>
  <c r="H2965" i="2" s="1"/>
  <c r="I2966" i="2" a="1"/>
  <c r="I2966" i="2" s="1"/>
  <c r="G2968" i="2" a="1"/>
  <c r="G2968" i="2" s="1"/>
  <c r="H2969" i="2" a="1"/>
  <c r="H2969" i="2" s="1"/>
  <c r="I2970" i="2" a="1"/>
  <c r="I2970" i="2" s="1"/>
  <c r="G2972" i="2" a="1"/>
  <c r="G2972" i="2" s="1"/>
  <c r="H2973" i="2" a="1"/>
  <c r="H2973" i="2" s="1"/>
  <c r="I2974" i="2" a="1"/>
  <c r="I2974" i="2" s="1"/>
  <c r="G2976" i="2" a="1"/>
  <c r="G2976" i="2" s="1"/>
  <c r="H2977" i="2" a="1"/>
  <c r="H2977" i="2" s="1"/>
  <c r="I2978" i="2" a="1"/>
  <c r="I2978" i="2" s="1"/>
  <c r="G2980" i="2" a="1"/>
  <c r="G2980" i="2" s="1"/>
  <c r="H2981" i="2" a="1"/>
  <c r="H2981" i="2" s="1"/>
  <c r="I2982" i="2" a="1"/>
  <c r="I2982" i="2" s="1"/>
  <c r="G2984" i="2" a="1"/>
  <c r="G2984" i="2" s="1"/>
  <c r="H2985" i="2" a="1"/>
  <c r="H2985" i="2" s="1"/>
  <c r="I2986" i="2" a="1"/>
  <c r="I2986" i="2" s="1"/>
  <c r="G2988" i="2" a="1"/>
  <c r="G2988" i="2" s="1"/>
  <c r="H2989" i="2" a="1"/>
  <c r="H2989" i="2" s="1"/>
  <c r="I2990" i="2" a="1"/>
  <c r="I2990" i="2" s="1"/>
  <c r="G2992" i="2" a="1"/>
  <c r="G2992" i="2" s="1"/>
  <c r="H2993" i="2" a="1"/>
  <c r="H2993" i="2" s="1"/>
  <c r="I2994" i="2" a="1"/>
  <c r="I2994" i="2" s="1"/>
  <c r="G2996" i="2" a="1"/>
  <c r="G2996" i="2" s="1"/>
  <c r="H2997" i="2" a="1"/>
  <c r="H2997" i="2" s="1"/>
  <c r="I2998" i="2" a="1"/>
  <c r="I2998" i="2" s="1"/>
  <c r="G3000" i="2" a="1"/>
  <c r="G3000" i="2" s="1"/>
  <c r="H3001" i="2" a="1"/>
  <c r="H3001" i="2" s="1"/>
  <c r="I3002" i="2" a="1"/>
  <c r="I3002" i="2" s="1"/>
  <c r="G3004" i="2" a="1"/>
  <c r="G3004" i="2" s="1"/>
  <c r="H3005" i="2" a="1"/>
  <c r="H3005" i="2" s="1"/>
  <c r="I3006" i="2" a="1"/>
  <c r="I3006" i="2" s="1"/>
  <c r="I3007" i="2" a="1"/>
  <c r="I3007" i="2" s="1"/>
  <c r="G3009" i="2" a="1"/>
  <c r="G3009" i="2" s="1"/>
  <c r="H3010" i="2" a="1"/>
  <c r="H3010" i="2" s="1"/>
  <c r="I3011" i="2" a="1"/>
  <c r="I3011" i="2" s="1"/>
  <c r="G3013" i="2" a="1"/>
  <c r="G3013" i="2" s="1"/>
  <c r="H3014" i="2" a="1"/>
  <c r="H3014" i="2" s="1"/>
  <c r="I3015" i="2" a="1"/>
  <c r="I3015" i="2" s="1"/>
  <c r="G3017" i="2" a="1"/>
  <c r="G3017" i="2" s="1"/>
  <c r="H3018" i="2" a="1"/>
  <c r="H3018" i="2" s="1"/>
  <c r="I3019" i="2" a="1"/>
  <c r="I3019" i="2" s="1"/>
  <c r="G3021" i="2" a="1"/>
  <c r="G3021" i="2" s="1"/>
  <c r="H3022" i="2" a="1"/>
  <c r="H3022" i="2" s="1"/>
  <c r="I3023" i="2" a="1"/>
  <c r="I3023" i="2" s="1"/>
  <c r="G3025" i="2" a="1"/>
  <c r="G3025" i="2" s="1"/>
  <c r="H3026" i="2" a="1"/>
  <c r="H3026" i="2" s="1"/>
  <c r="I3027" i="2" a="1"/>
  <c r="I3027" i="2" s="1"/>
  <c r="G3029" i="2" a="1"/>
  <c r="G3029" i="2" s="1"/>
  <c r="H3030" i="2" a="1"/>
  <c r="H3030" i="2" s="1"/>
  <c r="I3031" i="2" a="1"/>
  <c r="I3031" i="2" s="1"/>
  <c r="G3033" i="2" a="1"/>
  <c r="G3033" i="2" s="1"/>
  <c r="H3034" i="2" a="1"/>
  <c r="H3034" i="2" s="1"/>
  <c r="I3035" i="2" a="1"/>
  <c r="I3035" i="2" s="1"/>
  <c r="G3037" i="2" a="1"/>
  <c r="G3037" i="2" s="1"/>
  <c r="H3038" i="2" a="1"/>
  <c r="H3038" i="2" s="1"/>
  <c r="I3039" i="2" a="1"/>
  <c r="I3039" i="2" s="1"/>
  <c r="G3041" i="2" a="1"/>
  <c r="G3041" i="2" s="1"/>
  <c r="H3042" i="2" a="1"/>
  <c r="H3042" i="2" s="1"/>
  <c r="I3043" i="2" a="1"/>
  <c r="I3043" i="2" s="1"/>
  <c r="G3045" i="2" a="1"/>
  <c r="G3045" i="2" s="1"/>
  <c r="H3046" i="2" a="1"/>
  <c r="H3046" i="2" s="1"/>
  <c r="I3047" i="2" a="1"/>
  <c r="I3047" i="2" s="1"/>
  <c r="G3049" i="2" a="1"/>
  <c r="G3049" i="2" s="1"/>
  <c r="H3050" i="2" a="1"/>
  <c r="H3050" i="2" s="1"/>
  <c r="I3051" i="2" a="1"/>
  <c r="I3051" i="2" s="1"/>
  <c r="G3053" i="2" a="1"/>
  <c r="G3053" i="2" s="1"/>
  <c r="H3054" i="2" a="1"/>
  <c r="H3054" i="2" s="1"/>
  <c r="I3055" i="2" a="1"/>
  <c r="I3055" i="2" s="1"/>
  <c r="G3057" i="2" a="1"/>
  <c r="G3057" i="2" s="1"/>
  <c r="H3058" i="2" a="1"/>
  <c r="H3058" i="2" s="1"/>
  <c r="I3059" i="2" a="1"/>
  <c r="I3059" i="2" s="1"/>
  <c r="G3061" i="2" a="1"/>
  <c r="G3061" i="2" s="1"/>
  <c r="H3062" i="2" a="1"/>
  <c r="H3062" i="2" s="1"/>
  <c r="I3063" i="2" a="1"/>
  <c r="I3063" i="2" s="1"/>
  <c r="G3065" i="2" a="1"/>
  <c r="G3065" i="2" s="1"/>
  <c r="H3066" i="2" a="1"/>
  <c r="H3066" i="2" s="1"/>
  <c r="I3067" i="2" a="1"/>
  <c r="I3067" i="2" s="1"/>
  <c r="G3069" i="2" a="1"/>
  <c r="G3069" i="2" s="1"/>
  <c r="H3070" i="2" a="1"/>
  <c r="H3070" i="2" s="1"/>
  <c r="I3071" i="2" a="1"/>
  <c r="I3071" i="2" s="1"/>
  <c r="G3073" i="2" a="1"/>
  <c r="G3073" i="2" s="1"/>
  <c r="H3074" i="2" a="1"/>
  <c r="H3074" i="2" s="1"/>
  <c r="I3075" i="2" a="1"/>
  <c r="I3075" i="2" s="1"/>
  <c r="G3077" i="2" a="1"/>
  <c r="G3077" i="2" s="1"/>
  <c r="H3078" i="2" a="1"/>
  <c r="H3078" i="2" s="1"/>
  <c r="I3079" i="2" a="1"/>
  <c r="I3079" i="2" s="1"/>
  <c r="G3081" i="2" a="1"/>
  <c r="G3081" i="2" s="1"/>
  <c r="H3082" i="2" a="1"/>
  <c r="H3082" i="2" s="1"/>
  <c r="I3083" i="2" a="1"/>
  <c r="I3083" i="2" s="1"/>
  <c r="G3085" i="2" a="1"/>
  <c r="G3085" i="2" s="1"/>
  <c r="H3086" i="2" a="1"/>
  <c r="H3086" i="2" s="1"/>
  <c r="I3087" i="2" a="1"/>
  <c r="I3087" i="2" s="1"/>
  <c r="G3089" i="2" a="1"/>
  <c r="G3089" i="2" s="1"/>
  <c r="H3090" i="2" a="1"/>
  <c r="H3090" i="2" s="1"/>
  <c r="I3091" i="2" a="1"/>
  <c r="I3091" i="2" s="1"/>
  <c r="G3093" i="2" a="1"/>
  <c r="G3093" i="2" s="1"/>
  <c r="H3094" i="2" a="1"/>
  <c r="H3094" i="2" s="1"/>
  <c r="I3095" i="2" a="1"/>
  <c r="I3095" i="2" s="1"/>
  <c r="G3097" i="2" a="1"/>
  <c r="G3097" i="2" s="1"/>
  <c r="H3098" i="2" a="1"/>
  <c r="H3098" i="2" s="1"/>
  <c r="I3099" i="2" a="1"/>
  <c r="I3099" i="2" s="1"/>
  <c r="G3101" i="2" a="1"/>
  <c r="G3101" i="2" s="1"/>
  <c r="H3102" i="2" a="1"/>
  <c r="H3102" i="2" s="1"/>
  <c r="I3103" i="2" a="1"/>
  <c r="I3103" i="2" s="1"/>
  <c r="G3105" i="2" a="1"/>
  <c r="G3105" i="2" s="1"/>
  <c r="H3106" i="2" a="1"/>
  <c r="H3106" i="2" s="1"/>
  <c r="I3107" i="2" a="1"/>
  <c r="I3107" i="2" s="1"/>
  <c r="G3109" i="2" a="1"/>
  <c r="G3109" i="2" s="1"/>
  <c r="H3110" i="2" a="1"/>
  <c r="H3110" i="2" s="1"/>
  <c r="I3111" i="2" a="1"/>
  <c r="I3111" i="2" s="1"/>
  <c r="G3113" i="2" a="1"/>
  <c r="G3113" i="2" s="1"/>
  <c r="H3114" i="2" a="1"/>
  <c r="H3114" i="2" s="1"/>
  <c r="I3115" i="2" a="1"/>
  <c r="I3115" i="2" s="1"/>
  <c r="G3117" i="2" a="1"/>
  <c r="G3117" i="2" s="1"/>
  <c r="H3118" i="2" a="1"/>
  <c r="H3118" i="2" s="1"/>
  <c r="I3119" i="2" a="1"/>
  <c r="I3119" i="2" s="1"/>
  <c r="G3121" i="2" a="1"/>
  <c r="G3121" i="2" s="1"/>
  <c r="H3122" i="2" a="1"/>
  <c r="H3122" i="2" s="1"/>
  <c r="I3123" i="2" a="1"/>
  <c r="I3123" i="2" s="1"/>
  <c r="G3125" i="2" a="1"/>
  <c r="G3125" i="2" s="1"/>
  <c r="H3126" i="2" a="1"/>
  <c r="H3126" i="2" s="1"/>
  <c r="I3127" i="2" a="1"/>
  <c r="I3127" i="2" s="1"/>
  <c r="G3129" i="2" a="1"/>
  <c r="G3129" i="2" s="1"/>
  <c r="H3130" i="2" a="1"/>
  <c r="H3130" i="2" s="1"/>
  <c r="I3131" i="2" a="1"/>
  <c r="I3131" i="2" s="1"/>
  <c r="G3133" i="2" a="1"/>
  <c r="G3133" i="2" s="1"/>
  <c r="H3134" i="2" a="1"/>
  <c r="H3134" i="2" s="1"/>
  <c r="I3135" i="2" a="1"/>
  <c r="I3135" i="2" s="1"/>
  <c r="G3137" i="2" a="1"/>
  <c r="G3137" i="2" s="1"/>
  <c r="H3138" i="2" a="1"/>
  <c r="H3138" i="2" s="1"/>
  <c r="I3139" i="2" a="1"/>
  <c r="I3139" i="2" s="1"/>
  <c r="G3141" i="2" a="1"/>
  <c r="G3141" i="2" s="1"/>
  <c r="H3142" i="2" a="1"/>
  <c r="H3142" i="2" s="1"/>
  <c r="I3143" i="2" a="1"/>
  <c r="I3143" i="2" s="1"/>
  <c r="G3145" i="2" a="1"/>
  <c r="G3145" i="2" s="1"/>
  <c r="H3146" i="2" a="1"/>
  <c r="H3146" i="2" s="1"/>
  <c r="I3147" i="2" a="1"/>
  <c r="I3147" i="2" s="1"/>
  <c r="G3149" i="2" a="1"/>
  <c r="G3149" i="2" s="1"/>
  <c r="H3150" i="2" a="1"/>
  <c r="H3150" i="2" s="1"/>
  <c r="I3151" i="2" a="1"/>
  <c r="I3151" i="2" s="1"/>
  <c r="G3153" i="2" a="1"/>
  <c r="G3153" i="2" s="1"/>
  <c r="H3154" i="2" a="1"/>
  <c r="H3154" i="2" s="1"/>
  <c r="I3155" i="2" a="1"/>
  <c r="I3155" i="2" s="1"/>
  <c r="G3157" i="2" a="1"/>
  <c r="G3157" i="2" s="1"/>
  <c r="H3158" i="2" a="1"/>
  <c r="H3158" i="2" s="1"/>
  <c r="I3159" i="2" a="1"/>
  <c r="I3159" i="2" s="1"/>
  <c r="G3161" i="2" a="1"/>
  <c r="G3161" i="2" s="1"/>
  <c r="H3162" i="2" a="1"/>
  <c r="H3162" i="2" s="1"/>
  <c r="I3163" i="2" a="1"/>
  <c r="I3163" i="2" s="1"/>
  <c r="G3165" i="2" a="1"/>
  <c r="G3165" i="2" s="1"/>
  <c r="H3166" i="2" a="1"/>
  <c r="H3166" i="2" s="1"/>
  <c r="I3167" i="2" a="1"/>
  <c r="I3167" i="2" s="1"/>
  <c r="G3169" i="2" a="1"/>
  <c r="G3169" i="2" s="1"/>
  <c r="H3170" i="2" a="1"/>
  <c r="H3170" i="2" s="1"/>
  <c r="I3171" i="2" a="1"/>
  <c r="I3171" i="2" s="1"/>
  <c r="G3173" i="2" a="1"/>
  <c r="G3173" i="2" s="1"/>
  <c r="H3174" i="2" a="1"/>
  <c r="H3174" i="2" s="1"/>
  <c r="I3175" i="2" a="1"/>
  <c r="I3175" i="2" s="1"/>
  <c r="G3177" i="2" a="1"/>
  <c r="G3177" i="2" s="1"/>
  <c r="H3178" i="2" a="1"/>
  <c r="H3178" i="2" s="1"/>
  <c r="G2273" i="2" a="1"/>
  <c r="G2273" i="2" s="1"/>
  <c r="H2274" i="2" a="1"/>
  <c r="H2274" i="2" s="1"/>
  <c r="I2275" i="2" a="1"/>
  <c r="I2275" i="2" s="1"/>
  <c r="G2277" i="2" a="1"/>
  <c r="G2277" i="2" s="1"/>
  <c r="H2278" i="2" a="1"/>
  <c r="H2278" i="2" s="1"/>
  <c r="I2279" i="2" a="1"/>
  <c r="I2279" i="2" s="1"/>
  <c r="G2281" i="2" a="1"/>
  <c r="G2281" i="2" s="1"/>
  <c r="H2282" i="2" a="1"/>
  <c r="H2282" i="2" s="1"/>
  <c r="I2283" i="2" a="1"/>
  <c r="I2283" i="2" s="1"/>
  <c r="G2285" i="2" a="1"/>
  <c r="G2285" i="2" s="1"/>
  <c r="H2286" i="2" a="1"/>
  <c r="H2286" i="2" s="1"/>
  <c r="I2287" i="2" a="1"/>
  <c r="I2287" i="2" s="1"/>
  <c r="G2289" i="2" a="1"/>
  <c r="G2289" i="2" s="1"/>
  <c r="H2290" i="2" a="1"/>
  <c r="H2290" i="2" s="1"/>
  <c r="I2291" i="2" a="1"/>
  <c r="I2291" i="2" s="1"/>
  <c r="G2293" i="2" a="1"/>
  <c r="G2293" i="2" s="1"/>
  <c r="H2294" i="2" a="1"/>
  <c r="H2294" i="2" s="1"/>
  <c r="I2295" i="2" a="1"/>
  <c r="I2295" i="2" s="1"/>
  <c r="G2297" i="2" a="1"/>
  <c r="G2297" i="2" s="1"/>
  <c r="H2298" i="2" a="1"/>
  <c r="H2298" i="2" s="1"/>
  <c r="I2299" i="2" a="1"/>
  <c r="I2299" i="2" s="1"/>
  <c r="G2301" i="2" a="1"/>
  <c r="G2301" i="2" s="1"/>
  <c r="H2302" i="2" a="1"/>
  <c r="H2302" i="2" s="1"/>
  <c r="I2303" i="2" a="1"/>
  <c r="I2303" i="2" s="1"/>
  <c r="G2305" i="2" a="1"/>
  <c r="G2305" i="2" s="1"/>
  <c r="H2306" i="2" a="1"/>
  <c r="H2306" i="2" s="1"/>
  <c r="I2307" i="2" a="1"/>
  <c r="I2307" i="2" s="1"/>
  <c r="G2309" i="2" a="1"/>
  <c r="G2309" i="2" s="1"/>
  <c r="H2310" i="2" a="1"/>
  <c r="H2310" i="2" s="1"/>
  <c r="I2311" i="2" a="1"/>
  <c r="I2311" i="2" s="1"/>
  <c r="G2313" i="2" a="1"/>
  <c r="G2313" i="2" s="1"/>
  <c r="H2314" i="2" a="1"/>
  <c r="H2314" i="2" s="1"/>
  <c r="I2315" i="2" a="1"/>
  <c r="I2315" i="2" s="1"/>
  <c r="G2317" i="2" a="1"/>
  <c r="G2317" i="2" s="1"/>
  <c r="H2318" i="2" a="1"/>
  <c r="H2318" i="2" s="1"/>
  <c r="I2319" i="2" a="1"/>
  <c r="I2319" i="2" s="1"/>
  <c r="G2321" i="2" a="1"/>
  <c r="G2321" i="2" s="1"/>
  <c r="H2322" i="2" a="1"/>
  <c r="H2322" i="2" s="1"/>
  <c r="I2323" i="2" a="1"/>
  <c r="I2323" i="2" s="1"/>
  <c r="G2325" i="2" a="1"/>
  <c r="G2325" i="2" s="1"/>
  <c r="H2326" i="2" a="1"/>
  <c r="H2326" i="2" s="1"/>
  <c r="I2327" i="2" a="1"/>
  <c r="I2327" i="2" s="1"/>
  <c r="G2329" i="2" a="1"/>
  <c r="G2329" i="2" s="1"/>
  <c r="H2330" i="2" a="1"/>
  <c r="H2330" i="2" s="1"/>
  <c r="I2331" i="2" a="1"/>
  <c r="I2331" i="2" s="1"/>
  <c r="G2333" i="2" a="1"/>
  <c r="G2333" i="2" s="1"/>
  <c r="H2334" i="2" a="1"/>
  <c r="H2334" i="2" s="1"/>
  <c r="I2335" i="2" a="1"/>
  <c r="I2335" i="2" s="1"/>
  <c r="G2337" i="2" a="1"/>
  <c r="G2337" i="2" s="1"/>
  <c r="H2338" i="2" a="1"/>
  <c r="H2338" i="2" s="1"/>
  <c r="I2339" i="2" a="1"/>
  <c r="I2339" i="2" s="1"/>
  <c r="G2341" i="2" a="1"/>
  <c r="G2341" i="2" s="1"/>
  <c r="H2342" i="2" a="1"/>
  <c r="H2342" i="2" s="1"/>
  <c r="I2343" i="2" a="1"/>
  <c r="I2343" i="2" s="1"/>
  <c r="G2345" i="2" a="1"/>
  <c r="G2345" i="2" s="1"/>
  <c r="H2346" i="2" a="1"/>
  <c r="H2346" i="2" s="1"/>
  <c r="I2347" i="2" a="1"/>
  <c r="I2347" i="2" s="1"/>
  <c r="G2349" i="2" a="1"/>
  <c r="G2349" i="2" s="1"/>
  <c r="H2350" i="2" a="1"/>
  <c r="H2350" i="2" s="1"/>
  <c r="I2351" i="2" a="1"/>
  <c r="I2351" i="2" s="1"/>
  <c r="G2353" i="2" a="1"/>
  <c r="G2353" i="2" s="1"/>
  <c r="H2354" i="2" a="1"/>
  <c r="H2354" i="2" s="1"/>
  <c r="I2355" i="2" a="1"/>
  <c r="I2355" i="2" s="1"/>
  <c r="G2357" i="2" a="1"/>
  <c r="G2357" i="2" s="1"/>
  <c r="H2358" i="2" a="1"/>
  <c r="H2358" i="2" s="1"/>
  <c r="I2359" i="2" a="1"/>
  <c r="I2359" i="2" s="1"/>
  <c r="G2361" i="2" a="1"/>
  <c r="G2361" i="2" s="1"/>
  <c r="H2362" i="2" a="1"/>
  <c r="H2362" i="2" s="1"/>
  <c r="I2363" i="2" a="1"/>
  <c r="I2363" i="2" s="1"/>
  <c r="G2365" i="2" a="1"/>
  <c r="G2365" i="2" s="1"/>
  <c r="H2366" i="2" a="1"/>
  <c r="H2366" i="2" s="1"/>
  <c r="I2367" i="2" a="1"/>
  <c r="I2367" i="2" s="1"/>
  <c r="G2369" i="2" a="1"/>
  <c r="G2369" i="2" s="1"/>
  <c r="H2370" i="2" a="1"/>
  <c r="H2370" i="2" s="1"/>
  <c r="I2371" i="2" a="1"/>
  <c r="I2371" i="2" s="1"/>
  <c r="G2373" i="2" a="1"/>
  <c r="G2373" i="2" s="1"/>
  <c r="H2374" i="2" a="1"/>
  <c r="H2374" i="2" s="1"/>
  <c r="I2375" i="2" a="1"/>
  <c r="I2375" i="2" s="1"/>
  <c r="G2377" i="2" a="1"/>
  <c r="G2377" i="2" s="1"/>
  <c r="H2378" i="2" a="1"/>
  <c r="H2378" i="2" s="1"/>
  <c r="I2379" i="2" a="1"/>
  <c r="I2379" i="2" s="1"/>
  <c r="G2381" i="2" a="1"/>
  <c r="G2381" i="2" s="1"/>
  <c r="H2382" i="2" a="1"/>
  <c r="H2382" i="2" s="1"/>
  <c r="I2383" i="2" a="1"/>
  <c r="I2383" i="2" s="1"/>
  <c r="G2385" i="2" a="1"/>
  <c r="G2385" i="2" s="1"/>
  <c r="H2386" i="2" a="1"/>
  <c r="H2386" i="2" s="1"/>
  <c r="I2387" i="2" a="1"/>
  <c r="I2387" i="2" s="1"/>
  <c r="G2389" i="2" a="1"/>
  <c r="G2389" i="2" s="1"/>
  <c r="H2390" i="2" a="1"/>
  <c r="H2390" i="2" s="1"/>
  <c r="I2391" i="2" a="1"/>
  <c r="I2391" i="2" s="1"/>
  <c r="G2393" i="2" a="1"/>
  <c r="G2393" i="2" s="1"/>
  <c r="H2394" i="2" a="1"/>
  <c r="H2394" i="2" s="1"/>
  <c r="I2395" i="2" a="1"/>
  <c r="I2395" i="2" s="1"/>
  <c r="G2397" i="2" a="1"/>
  <c r="G2397" i="2" s="1"/>
  <c r="H2398" i="2" a="1"/>
  <c r="H2398" i="2" s="1"/>
  <c r="I2399" i="2" a="1"/>
  <c r="I2399" i="2" s="1"/>
  <c r="G2401" i="2" a="1"/>
  <c r="G2401" i="2" s="1"/>
  <c r="H2402" i="2" a="1"/>
  <c r="H2402" i="2" s="1"/>
  <c r="I2403" i="2" a="1"/>
  <c r="I2403" i="2" s="1"/>
  <c r="G2405" i="2" a="1"/>
  <c r="G2405" i="2" s="1"/>
  <c r="H2406" i="2" a="1"/>
  <c r="H2406" i="2" s="1"/>
  <c r="I2407" i="2" a="1"/>
  <c r="I2407" i="2" s="1"/>
  <c r="G2409" i="2" a="1"/>
  <c r="G2409" i="2" s="1"/>
  <c r="H2410" i="2" a="1"/>
  <c r="H2410" i="2" s="1"/>
  <c r="I2411" i="2" a="1"/>
  <c r="I2411" i="2" s="1"/>
  <c r="G2413" i="2" a="1"/>
  <c r="G2413" i="2" s="1"/>
  <c r="H2414" i="2" a="1"/>
  <c r="H2414" i="2" s="1"/>
  <c r="I2415" i="2" a="1"/>
  <c r="I2415" i="2" s="1"/>
  <c r="G2417" i="2" a="1"/>
  <c r="G2417" i="2" s="1"/>
  <c r="H2418" i="2" a="1"/>
  <c r="H2418" i="2" s="1"/>
  <c r="I2419" i="2" a="1"/>
  <c r="I2419" i="2" s="1"/>
  <c r="G2421" i="2" a="1"/>
  <c r="G2421" i="2" s="1"/>
  <c r="H2422" i="2" a="1"/>
  <c r="H2422" i="2" s="1"/>
  <c r="I2423" i="2" a="1"/>
  <c r="I2423" i="2" s="1"/>
  <c r="G2425" i="2" a="1"/>
  <c r="G2425" i="2" s="1"/>
  <c r="H2426" i="2" a="1"/>
  <c r="H2426" i="2" s="1"/>
  <c r="I2427" i="2" a="1"/>
  <c r="I2427" i="2" s="1"/>
  <c r="G2429" i="2" a="1"/>
  <c r="G2429" i="2" s="1"/>
  <c r="H2430" i="2" a="1"/>
  <c r="H2430" i="2" s="1"/>
  <c r="I2431" i="2" a="1"/>
  <c r="I2431" i="2" s="1"/>
  <c r="G2433" i="2" a="1"/>
  <c r="G2433" i="2" s="1"/>
  <c r="H2434" i="2" a="1"/>
  <c r="H2434" i="2" s="1"/>
  <c r="I2435" i="2" a="1"/>
  <c r="I2435" i="2" s="1"/>
  <c r="G2437" i="2" a="1"/>
  <c r="G2437" i="2" s="1"/>
  <c r="H2438" i="2" a="1"/>
  <c r="H2438" i="2" s="1"/>
  <c r="I2439" i="2" a="1"/>
  <c r="I2439" i="2" s="1"/>
  <c r="G2441" i="2" a="1"/>
  <c r="G2441" i="2" s="1"/>
  <c r="H2442" i="2" a="1"/>
  <c r="H2442" i="2" s="1"/>
  <c r="I2443" i="2" a="1"/>
  <c r="I2443" i="2" s="1"/>
  <c r="G2445" i="2" a="1"/>
  <c r="G2445" i="2" s="1"/>
  <c r="H2446" i="2" a="1"/>
  <c r="H2446" i="2" s="1"/>
  <c r="I2447" i="2" a="1"/>
  <c r="I2447" i="2" s="1"/>
  <c r="G2449" i="2" a="1"/>
  <c r="G2449" i="2" s="1"/>
  <c r="H2450" i="2" a="1"/>
  <c r="H2450" i="2" s="1"/>
  <c r="I2451" i="2" a="1"/>
  <c r="I2451" i="2" s="1"/>
  <c r="G2453" i="2" a="1"/>
  <c r="G2453" i="2" s="1"/>
  <c r="H2454" i="2" a="1"/>
  <c r="H2454" i="2" s="1"/>
  <c r="I2455" i="2" a="1"/>
  <c r="I2455" i="2" s="1"/>
  <c r="G2457" i="2" a="1"/>
  <c r="G2457" i="2" s="1"/>
  <c r="H2458" i="2" a="1"/>
  <c r="H2458" i="2" s="1"/>
  <c r="I2459" i="2" a="1"/>
  <c r="I2459" i="2" s="1"/>
  <c r="G2461" i="2" a="1"/>
  <c r="G2461" i="2" s="1"/>
  <c r="H2462" i="2" a="1"/>
  <c r="H2462" i="2" s="1"/>
  <c r="I2463" i="2" a="1"/>
  <c r="I2463" i="2" s="1"/>
  <c r="G2465" i="2" a="1"/>
  <c r="G2465" i="2" s="1"/>
  <c r="H2466" i="2" a="1"/>
  <c r="H2466" i="2" s="1"/>
  <c r="I2467" i="2" a="1"/>
  <c r="I2467" i="2" s="1"/>
  <c r="G2469" i="2" a="1"/>
  <c r="G2469" i="2" s="1"/>
  <c r="H2470" i="2" a="1"/>
  <c r="H2470" i="2" s="1"/>
  <c r="I2471" i="2" a="1"/>
  <c r="I2471" i="2" s="1"/>
  <c r="G2473" i="2" a="1"/>
  <c r="G2473" i="2" s="1"/>
  <c r="H2474" i="2" a="1"/>
  <c r="H2474" i="2" s="1"/>
  <c r="I2475" i="2" a="1"/>
  <c r="I2475" i="2" s="1"/>
  <c r="G2477" i="2" a="1"/>
  <c r="G2477" i="2" s="1"/>
  <c r="H2478" i="2" a="1"/>
  <c r="H2478" i="2" s="1"/>
  <c r="I2479" i="2" a="1"/>
  <c r="I2479" i="2" s="1"/>
  <c r="G2481" i="2" a="1"/>
  <c r="G2481" i="2" s="1"/>
  <c r="H2482" i="2" a="1"/>
  <c r="H2482" i="2" s="1"/>
  <c r="I2483" i="2" a="1"/>
  <c r="I2483" i="2" s="1"/>
  <c r="G2485" i="2" a="1"/>
  <c r="G2485" i="2" s="1"/>
  <c r="H2486" i="2" a="1"/>
  <c r="H2486" i="2" s="1"/>
  <c r="I2487" i="2" a="1"/>
  <c r="I2487" i="2" s="1"/>
  <c r="G2489" i="2" a="1"/>
  <c r="G2489" i="2" s="1"/>
  <c r="H2490" i="2" a="1"/>
  <c r="H2490" i="2" s="1"/>
  <c r="I2491" i="2" a="1"/>
  <c r="I2491" i="2" s="1"/>
  <c r="G2493" i="2" a="1"/>
  <c r="G2493" i="2" s="1"/>
  <c r="H2494" i="2" a="1"/>
  <c r="H2494" i="2" s="1"/>
  <c r="I2495" i="2" a="1"/>
  <c r="I2495" i="2" s="1"/>
  <c r="G2497" i="2" a="1"/>
  <c r="G2497" i="2" s="1"/>
  <c r="H2498" i="2" a="1"/>
  <c r="H2498" i="2" s="1"/>
  <c r="I2499" i="2" a="1"/>
  <c r="I2499" i="2" s="1"/>
  <c r="G2501" i="2" a="1"/>
  <c r="G2501" i="2" s="1"/>
  <c r="H2502" i="2" a="1"/>
  <c r="H2502" i="2" s="1"/>
  <c r="I2503" i="2" a="1"/>
  <c r="I2503" i="2" s="1"/>
  <c r="G2505" i="2" a="1"/>
  <c r="G2505" i="2" s="1"/>
  <c r="H2506" i="2" a="1"/>
  <c r="H2506" i="2" s="1"/>
  <c r="I2507" i="2" a="1"/>
  <c r="I2507" i="2" s="1"/>
  <c r="G2509" i="2" a="1"/>
  <c r="G2509" i="2" s="1"/>
  <c r="H2510" i="2" a="1"/>
  <c r="H2510" i="2" s="1"/>
  <c r="I2511" i="2" a="1"/>
  <c r="I2511" i="2" s="1"/>
  <c r="G2513" i="2" a="1"/>
  <c r="G2513" i="2" s="1"/>
  <c r="H2514" i="2" a="1"/>
  <c r="H2514" i="2" s="1"/>
  <c r="I2515" i="2" a="1"/>
  <c r="I2515" i="2" s="1"/>
  <c r="G2517" i="2" a="1"/>
  <c r="G2517" i="2" s="1"/>
  <c r="H2518" i="2" a="1"/>
  <c r="H2518" i="2" s="1"/>
  <c r="I2519" i="2" a="1"/>
  <c r="I2519" i="2" s="1"/>
  <c r="G2521" i="2" a="1"/>
  <c r="G2521" i="2" s="1"/>
  <c r="H2522" i="2" a="1"/>
  <c r="H2522" i="2" s="1"/>
  <c r="I2523" i="2" a="1"/>
  <c r="I2523" i="2" s="1"/>
  <c r="G2525" i="2" a="1"/>
  <c r="G2525" i="2" s="1"/>
  <c r="H2526" i="2" a="1"/>
  <c r="H2526" i="2" s="1"/>
  <c r="I2527" i="2" a="1"/>
  <c r="I2527" i="2" s="1"/>
  <c r="G2529" i="2" a="1"/>
  <c r="G2529" i="2" s="1"/>
  <c r="H2530" i="2" a="1"/>
  <c r="H2530" i="2" s="1"/>
  <c r="I2531" i="2" a="1"/>
  <c r="I2531" i="2" s="1"/>
  <c r="G2533" i="2" a="1"/>
  <c r="G2533" i="2" s="1"/>
  <c r="H2534" i="2" a="1"/>
  <c r="H2534" i="2" s="1"/>
  <c r="I2535" i="2" a="1"/>
  <c r="I2535" i="2" s="1"/>
  <c r="G2537" i="2" a="1"/>
  <c r="G2537" i="2" s="1"/>
  <c r="H2538" i="2" a="1"/>
  <c r="H2538" i="2" s="1"/>
  <c r="I2539" i="2" a="1"/>
  <c r="I2539" i="2" s="1"/>
  <c r="G2541" i="2" a="1"/>
  <c r="G2541" i="2" s="1"/>
  <c r="H2542" i="2" a="1"/>
  <c r="H2542" i="2" s="1"/>
  <c r="I2543" i="2" a="1"/>
  <c r="I2543" i="2" s="1"/>
  <c r="G2545" i="2" a="1"/>
  <c r="G2545" i="2" s="1"/>
  <c r="H2546" i="2" a="1"/>
  <c r="H2546" i="2" s="1"/>
  <c r="I2547" i="2" a="1"/>
  <c r="I2547" i="2" s="1"/>
  <c r="G2549" i="2" a="1"/>
  <c r="G2549" i="2" s="1"/>
  <c r="H2550" i="2" a="1"/>
  <c r="H2550" i="2" s="1"/>
  <c r="I2551" i="2" a="1"/>
  <c r="I2551" i="2" s="1"/>
  <c r="G2553" i="2" a="1"/>
  <c r="G2553" i="2" s="1"/>
  <c r="H2554" i="2" a="1"/>
  <c r="H2554" i="2" s="1"/>
  <c r="I2555" i="2" a="1"/>
  <c r="I2555" i="2" s="1"/>
  <c r="G2557" i="2" a="1"/>
  <c r="G2557" i="2" s="1"/>
  <c r="H2558" i="2" a="1"/>
  <c r="H2558" i="2" s="1"/>
  <c r="I2559" i="2" a="1"/>
  <c r="I2559" i="2" s="1"/>
  <c r="G2561" i="2" a="1"/>
  <c r="G2561" i="2" s="1"/>
  <c r="H2562" i="2" a="1"/>
  <c r="H2562" i="2" s="1"/>
  <c r="I2563" i="2" a="1"/>
  <c r="I2563" i="2" s="1"/>
  <c r="G2565" i="2" a="1"/>
  <c r="G2565" i="2" s="1"/>
  <c r="H2566" i="2" a="1"/>
  <c r="H2566" i="2" s="1"/>
  <c r="I2567" i="2" a="1"/>
  <c r="I2567" i="2" s="1"/>
  <c r="G2569" i="2" a="1"/>
  <c r="G2569" i="2" s="1"/>
  <c r="H2570" i="2" a="1"/>
  <c r="H2570" i="2" s="1"/>
  <c r="I2571" i="2" a="1"/>
  <c r="I2571" i="2" s="1"/>
  <c r="G2573" i="2" a="1"/>
  <c r="G2573" i="2" s="1"/>
  <c r="H2574" i="2" a="1"/>
  <c r="H2574" i="2" s="1"/>
  <c r="I2575" i="2" a="1"/>
  <c r="I2575" i="2" s="1"/>
  <c r="G2577" i="2" a="1"/>
  <c r="G2577" i="2" s="1"/>
  <c r="H2578" i="2" a="1"/>
  <c r="H2578" i="2" s="1"/>
  <c r="I2579" i="2" a="1"/>
  <c r="I2579" i="2" s="1"/>
  <c r="G2581" i="2" a="1"/>
  <c r="G2581" i="2" s="1"/>
  <c r="H2582" i="2" a="1"/>
  <c r="H2582" i="2" s="1"/>
  <c r="I2583" i="2" a="1"/>
  <c r="I2583" i="2" s="1"/>
  <c r="G2585" i="2" a="1"/>
  <c r="G2585" i="2" s="1"/>
  <c r="H2586" i="2" a="1"/>
  <c r="H2586" i="2" s="1"/>
  <c r="I2587" i="2" a="1"/>
  <c r="I2587" i="2" s="1"/>
  <c r="G2589" i="2" a="1"/>
  <c r="G2589" i="2" s="1"/>
  <c r="H2590" i="2" a="1"/>
  <c r="H2590" i="2" s="1"/>
  <c r="I2591" i="2" a="1"/>
  <c r="I2591" i="2" s="1"/>
  <c r="G2593" i="2" a="1"/>
  <c r="G2593" i="2" s="1"/>
  <c r="H2594" i="2" a="1"/>
  <c r="H2594" i="2" s="1"/>
  <c r="I2595" i="2" a="1"/>
  <c r="I2595" i="2" s="1"/>
  <c r="G2597" i="2" a="1"/>
  <c r="G2597" i="2" s="1"/>
  <c r="H2598" i="2" a="1"/>
  <c r="H2598" i="2" s="1"/>
  <c r="I2599" i="2" a="1"/>
  <c r="I2599" i="2" s="1"/>
  <c r="G2601" i="2" a="1"/>
  <c r="G2601" i="2" s="1"/>
  <c r="H2602" i="2" a="1"/>
  <c r="H2602" i="2" s="1"/>
  <c r="I2603" i="2" a="1"/>
  <c r="I2603" i="2" s="1"/>
  <c r="G2605" i="2" a="1"/>
  <c r="G2605" i="2" s="1"/>
  <c r="H2606" i="2" a="1"/>
  <c r="H2606" i="2" s="1"/>
  <c r="I2607" i="2" a="1"/>
  <c r="I2607" i="2" s="1"/>
  <c r="G2609" i="2" a="1"/>
  <c r="G2609" i="2" s="1"/>
  <c r="H2610" i="2" a="1"/>
  <c r="H2610" i="2" s="1"/>
  <c r="I2611" i="2" a="1"/>
  <c r="I2611" i="2" s="1"/>
  <c r="G2613" i="2" a="1"/>
  <c r="G2613" i="2" s="1"/>
  <c r="H2614" i="2" a="1"/>
  <c r="H2614" i="2" s="1"/>
  <c r="I2615" i="2" a="1"/>
  <c r="I2615" i="2" s="1"/>
  <c r="G2617" i="2" a="1"/>
  <c r="G2617" i="2" s="1"/>
  <c r="H2618" i="2" a="1"/>
  <c r="H2618" i="2" s="1"/>
  <c r="I2619" i="2" a="1"/>
  <c r="I2619" i="2" s="1"/>
  <c r="G2621" i="2" a="1"/>
  <c r="G2621" i="2" s="1"/>
  <c r="H2622" i="2" a="1"/>
  <c r="H2622" i="2" s="1"/>
  <c r="I2623" i="2" a="1"/>
  <c r="I2623" i="2" s="1"/>
  <c r="G2625" i="2" a="1"/>
  <c r="G2625" i="2" s="1"/>
  <c r="H2626" i="2" a="1"/>
  <c r="H2626" i="2" s="1"/>
  <c r="I2627" i="2" a="1"/>
  <c r="I2627" i="2" s="1"/>
  <c r="G2629" i="2" a="1"/>
  <c r="G2629" i="2" s="1"/>
  <c r="H2630" i="2" a="1"/>
  <c r="H2630" i="2" s="1"/>
  <c r="I2631" i="2" a="1"/>
  <c r="I2631" i="2" s="1"/>
  <c r="G2633" i="2" a="1"/>
  <c r="G2633" i="2" s="1"/>
  <c r="H2634" i="2" a="1"/>
  <c r="H2634" i="2" s="1"/>
  <c r="I2635" i="2" a="1"/>
  <c r="I2635" i="2" s="1"/>
  <c r="G2637" i="2" a="1"/>
  <c r="G2637" i="2" s="1"/>
  <c r="H2638" i="2" a="1"/>
  <c r="H2638" i="2" s="1"/>
  <c r="I2639" i="2" a="1"/>
  <c r="I2639" i="2" s="1"/>
  <c r="G2641" i="2" a="1"/>
  <c r="G2641" i="2" s="1"/>
  <c r="H2642" i="2" a="1"/>
  <c r="H2642" i="2" s="1"/>
  <c r="I2643" i="2" a="1"/>
  <c r="I2643" i="2" s="1"/>
  <c r="G2645" i="2" a="1"/>
  <c r="G2645" i="2" s="1"/>
  <c r="H2646" i="2" a="1"/>
  <c r="H2646" i="2" s="1"/>
  <c r="I2647" i="2" a="1"/>
  <c r="I2647" i="2" s="1"/>
  <c r="G2649" i="2" a="1"/>
  <c r="G2649" i="2" s="1"/>
  <c r="H2650" i="2" a="1"/>
  <c r="H2650" i="2" s="1"/>
  <c r="I2651" i="2" a="1"/>
  <c r="I2651" i="2" s="1"/>
  <c r="G2653" i="2" a="1"/>
  <c r="G2653" i="2" s="1"/>
  <c r="H2654" i="2" a="1"/>
  <c r="H2654" i="2" s="1"/>
  <c r="I2655" i="2" a="1"/>
  <c r="I2655" i="2" s="1"/>
  <c r="G2657" i="2" a="1"/>
  <c r="G2657" i="2" s="1"/>
  <c r="H2658" i="2" a="1"/>
  <c r="H2658" i="2" s="1"/>
  <c r="I2659" i="2" a="1"/>
  <c r="I2659" i="2" s="1"/>
  <c r="G2661" i="2" a="1"/>
  <c r="G2661" i="2" s="1"/>
  <c r="H2662" i="2" a="1"/>
  <c r="H2662" i="2" s="1"/>
  <c r="I2663" i="2" a="1"/>
  <c r="I2663" i="2" s="1"/>
  <c r="G2665" i="2" a="1"/>
  <c r="G2665" i="2" s="1"/>
  <c r="H2666" i="2" a="1"/>
  <c r="H2666" i="2" s="1"/>
  <c r="I2667" i="2" a="1"/>
  <c r="I2667" i="2" s="1"/>
  <c r="G2669" i="2" a="1"/>
  <c r="G2669" i="2" s="1"/>
  <c r="H2670" i="2" a="1"/>
  <c r="H2670" i="2" s="1"/>
  <c r="I2671" i="2" a="1"/>
  <c r="I2671" i="2" s="1"/>
  <c r="G2673" i="2" a="1"/>
  <c r="G2673" i="2" s="1"/>
  <c r="H2674" i="2" a="1"/>
  <c r="H2674" i="2" s="1"/>
  <c r="I2675" i="2" a="1"/>
  <c r="I2675" i="2" s="1"/>
  <c r="G2677" i="2" a="1"/>
  <c r="G2677" i="2" s="1"/>
  <c r="H2678" i="2" a="1"/>
  <c r="H2678" i="2" s="1"/>
  <c r="I2679" i="2" a="1"/>
  <c r="I2679" i="2" s="1"/>
  <c r="G2681" i="2" a="1"/>
  <c r="G2681" i="2" s="1"/>
  <c r="H2682" i="2" a="1"/>
  <c r="H2682" i="2" s="1"/>
  <c r="I2683" i="2" a="1"/>
  <c r="I2683" i="2" s="1"/>
  <c r="G2685" i="2" a="1"/>
  <c r="G2685" i="2" s="1"/>
  <c r="H2686" i="2" a="1"/>
  <c r="H2686" i="2" s="1"/>
  <c r="I2687" i="2" a="1"/>
  <c r="I2687" i="2" s="1"/>
  <c r="G2689" i="2" a="1"/>
  <c r="G2689" i="2" s="1"/>
  <c r="H2690" i="2" a="1"/>
  <c r="H2690" i="2" s="1"/>
  <c r="I2691" i="2" a="1"/>
  <c r="I2691" i="2" s="1"/>
  <c r="G2693" i="2" a="1"/>
  <c r="G2693" i="2" s="1"/>
  <c r="H2694" i="2" a="1"/>
  <c r="H2694" i="2" s="1"/>
  <c r="I2695" i="2" a="1"/>
  <c r="I2695" i="2" s="1"/>
  <c r="G2697" i="2" a="1"/>
  <c r="G2697" i="2" s="1"/>
  <c r="H2698" i="2" a="1"/>
  <c r="H2698" i="2" s="1"/>
  <c r="I2699" i="2" a="1"/>
  <c r="I2699" i="2" s="1"/>
  <c r="G2701" i="2" a="1"/>
  <c r="G2701" i="2" s="1"/>
  <c r="H2702" i="2" a="1"/>
  <c r="H2702" i="2" s="1"/>
  <c r="I2703" i="2" a="1"/>
  <c r="I2703" i="2" s="1"/>
  <c r="G2705" i="2" a="1"/>
  <c r="G2705" i="2" s="1"/>
  <c r="H2706" i="2" a="1"/>
  <c r="H2706" i="2" s="1"/>
  <c r="I2707" i="2" a="1"/>
  <c r="I2707" i="2" s="1"/>
  <c r="G2709" i="2" a="1"/>
  <c r="G2709" i="2" s="1"/>
  <c r="H2710" i="2" a="1"/>
  <c r="H2710" i="2" s="1"/>
  <c r="I2711" i="2" a="1"/>
  <c r="I2711" i="2" s="1"/>
  <c r="G2713" i="2" a="1"/>
  <c r="G2713" i="2" s="1"/>
  <c r="H2714" i="2" a="1"/>
  <c r="H2714" i="2" s="1"/>
  <c r="I2715" i="2" a="1"/>
  <c r="I2715" i="2" s="1"/>
  <c r="G2717" i="2" a="1"/>
  <c r="G2717" i="2" s="1"/>
  <c r="H2718" i="2" a="1"/>
  <c r="H2718" i="2" s="1"/>
  <c r="I2719" i="2" a="1"/>
  <c r="I2719" i="2" s="1"/>
  <c r="G2721" i="2" a="1"/>
  <c r="G2721" i="2" s="1"/>
  <c r="H2722" i="2" a="1"/>
  <c r="H2722" i="2" s="1"/>
  <c r="I2723" i="2" a="1"/>
  <c r="I2723" i="2" s="1"/>
  <c r="G2725" i="2" a="1"/>
  <c r="G2725" i="2" s="1"/>
  <c r="H2726" i="2" a="1"/>
  <c r="H2726" i="2" s="1"/>
  <c r="I2727" i="2" a="1"/>
  <c r="I2727" i="2" s="1"/>
  <c r="G2729" i="2" a="1"/>
  <c r="G2729" i="2" s="1"/>
  <c r="H2730" i="2" a="1"/>
  <c r="H2730" i="2" s="1"/>
  <c r="I2731" i="2" a="1"/>
  <c r="I2731" i="2" s="1"/>
  <c r="G2733" i="2" a="1"/>
  <c r="G2733" i="2" s="1"/>
  <c r="H2734" i="2" a="1"/>
  <c r="H2734" i="2" s="1"/>
  <c r="I2735" i="2" a="1"/>
  <c r="I2735" i="2" s="1"/>
  <c r="G2737" i="2" a="1"/>
  <c r="G2737" i="2" s="1"/>
  <c r="H2738" i="2" a="1"/>
  <c r="H2738" i="2" s="1"/>
  <c r="I2739" i="2" a="1"/>
  <c r="I2739" i="2" s="1"/>
  <c r="G2741" i="2" a="1"/>
  <c r="G2741" i="2" s="1"/>
  <c r="H2742" i="2" a="1"/>
  <c r="H2742" i="2" s="1"/>
  <c r="I2743" i="2" a="1"/>
  <c r="I2743" i="2" s="1"/>
  <c r="G2745" i="2" a="1"/>
  <c r="G2745" i="2" s="1"/>
  <c r="H2746" i="2" a="1"/>
  <c r="H2746" i="2" s="1"/>
  <c r="I2747" i="2" a="1"/>
  <c r="I2747" i="2" s="1"/>
  <c r="G2749" i="2" a="1"/>
  <c r="G2749" i="2" s="1"/>
  <c r="H2750" i="2" a="1"/>
  <c r="H2750" i="2" s="1"/>
  <c r="I2751" i="2" a="1"/>
  <c r="I2751" i="2" s="1"/>
  <c r="G2753" i="2" a="1"/>
  <c r="G2753" i="2" s="1"/>
  <c r="H2754" i="2" a="1"/>
  <c r="H2754" i="2" s="1"/>
  <c r="I2755" i="2" a="1"/>
  <c r="I2755" i="2" s="1"/>
  <c r="G2757" i="2" a="1"/>
  <c r="G2757" i="2" s="1"/>
  <c r="H2758" i="2" a="1"/>
  <c r="H2758" i="2" s="1"/>
  <c r="I2759" i="2" a="1"/>
  <c r="I2759" i="2" s="1"/>
  <c r="G2761" i="2" a="1"/>
  <c r="G2761" i="2" s="1"/>
  <c r="H2762" i="2" a="1"/>
  <c r="H2762" i="2" s="1"/>
  <c r="I2763" i="2" a="1"/>
  <c r="I2763" i="2" s="1"/>
  <c r="G2765" i="2" a="1"/>
  <c r="G2765" i="2" s="1"/>
  <c r="H2766" i="2" a="1"/>
  <c r="H2766" i="2" s="1"/>
  <c r="I2767" i="2" a="1"/>
  <c r="I2767" i="2" s="1"/>
  <c r="G2769" i="2" a="1"/>
  <c r="G2769" i="2" s="1"/>
  <c r="H2770" i="2" a="1"/>
  <c r="H2770" i="2" s="1"/>
  <c r="I2771" i="2" a="1"/>
  <c r="I2771" i="2" s="1"/>
  <c r="G2773" i="2" a="1"/>
  <c r="G2773" i="2" s="1"/>
  <c r="H2774" i="2" a="1"/>
  <c r="H2774" i="2" s="1"/>
  <c r="I2775" i="2" a="1"/>
  <c r="I2775" i="2" s="1"/>
  <c r="G2777" i="2" a="1"/>
  <c r="G2777" i="2" s="1"/>
  <c r="I2777" i="2" a="1"/>
  <c r="I2777" i="2" s="1"/>
  <c r="H2778" i="2" a="1"/>
  <c r="H2778" i="2" s="1"/>
  <c r="H2780" i="2" a="1"/>
  <c r="H2780" i="2" s="1"/>
  <c r="I2781" i="2" a="1"/>
  <c r="I2781" i="2" s="1"/>
  <c r="G2783" i="2" a="1"/>
  <c r="G2783" i="2" s="1"/>
  <c r="H2784" i="2" a="1"/>
  <c r="H2784" i="2" s="1"/>
  <c r="I2785" i="2" a="1"/>
  <c r="I2785" i="2" s="1"/>
  <c r="G2787" i="2" a="1"/>
  <c r="G2787" i="2" s="1"/>
  <c r="H2788" i="2" a="1"/>
  <c r="H2788" i="2" s="1"/>
  <c r="I2789" i="2" a="1"/>
  <c r="I2789" i="2" s="1"/>
  <c r="G2791" i="2" a="1"/>
  <c r="G2791" i="2" s="1"/>
  <c r="H2792" i="2" a="1"/>
  <c r="H2792" i="2" s="1"/>
  <c r="I2793" i="2" a="1"/>
  <c r="I2793" i="2" s="1"/>
  <c r="G2795" i="2" a="1"/>
  <c r="G2795" i="2" s="1"/>
  <c r="H2796" i="2" a="1"/>
  <c r="H2796" i="2" s="1"/>
  <c r="I2797" i="2" a="1"/>
  <c r="I2797" i="2" s="1"/>
  <c r="G2799" i="2" a="1"/>
  <c r="G2799" i="2" s="1"/>
  <c r="H2800" i="2" a="1"/>
  <c r="H2800" i="2" s="1"/>
  <c r="I2801" i="2" a="1"/>
  <c r="I2801" i="2" s="1"/>
  <c r="G2803" i="2" a="1"/>
  <c r="G2803" i="2" s="1"/>
  <c r="H2804" i="2" a="1"/>
  <c r="H2804" i="2" s="1"/>
  <c r="I2805" i="2" a="1"/>
  <c r="I2805" i="2" s="1"/>
  <c r="G2807" i="2" a="1"/>
  <c r="G2807" i="2" s="1"/>
  <c r="H2808" i="2" a="1"/>
  <c r="H2808" i="2" s="1"/>
  <c r="I2809" i="2" a="1"/>
  <c r="I2809" i="2" s="1"/>
  <c r="G2811" i="2" a="1"/>
  <c r="G2811" i="2" s="1"/>
  <c r="H2812" i="2" a="1"/>
  <c r="H2812" i="2" s="1"/>
  <c r="I2813" i="2" a="1"/>
  <c r="I2813" i="2" s="1"/>
  <c r="G2815" i="2" a="1"/>
  <c r="G2815" i="2" s="1"/>
  <c r="H2816" i="2" a="1"/>
  <c r="H2816" i="2" s="1"/>
  <c r="I2817" i="2" a="1"/>
  <c r="I2817" i="2" s="1"/>
  <c r="G2819" i="2" a="1"/>
  <c r="G2819" i="2" s="1"/>
  <c r="H2820" i="2" a="1"/>
  <c r="H2820" i="2" s="1"/>
  <c r="I2821" i="2" a="1"/>
  <c r="I2821" i="2" s="1"/>
  <c r="G2823" i="2" a="1"/>
  <c r="G2823" i="2" s="1"/>
  <c r="H2824" i="2" a="1"/>
  <c r="H2824" i="2" s="1"/>
  <c r="I2825" i="2" a="1"/>
  <c r="I2825" i="2" s="1"/>
  <c r="G2827" i="2" a="1"/>
  <c r="G2827" i="2" s="1"/>
  <c r="H2828" i="2" a="1"/>
  <c r="H2828" i="2" s="1"/>
  <c r="I2829" i="2" a="1"/>
  <c r="I2829" i="2" s="1"/>
  <c r="G2831" i="2" a="1"/>
  <c r="G2831" i="2" s="1"/>
  <c r="H2832" i="2" a="1"/>
  <c r="H2832" i="2" s="1"/>
  <c r="I2833" i="2" a="1"/>
  <c r="I2833" i="2" s="1"/>
  <c r="G2835" i="2" a="1"/>
  <c r="G2835" i="2" s="1"/>
  <c r="H2836" i="2" a="1"/>
  <c r="H2836" i="2" s="1"/>
  <c r="I2837" i="2" a="1"/>
  <c r="I2837" i="2" s="1"/>
  <c r="G2839" i="2" a="1"/>
  <c r="G2839" i="2" s="1"/>
  <c r="H2840" i="2" a="1"/>
  <c r="H2840" i="2" s="1"/>
  <c r="I2841" i="2" a="1"/>
  <c r="I2841" i="2" s="1"/>
  <c r="G2843" i="2" a="1"/>
  <c r="G2843" i="2" s="1"/>
  <c r="H2844" i="2" a="1"/>
  <c r="H2844" i="2" s="1"/>
  <c r="I2845" i="2" a="1"/>
  <c r="I2845" i="2" s="1"/>
  <c r="G2847" i="2" a="1"/>
  <c r="G2847" i="2" s="1"/>
  <c r="H2848" i="2" a="1"/>
  <c r="H2848" i="2" s="1"/>
  <c r="I2849" i="2" a="1"/>
  <c r="I2849" i="2" s="1"/>
  <c r="G2851" i="2" a="1"/>
  <c r="G2851" i="2" s="1"/>
  <c r="H2852" i="2" a="1"/>
  <c r="H2852" i="2" s="1"/>
  <c r="I2853" i="2" a="1"/>
  <c r="I2853" i="2" s="1"/>
  <c r="G2855" i="2" a="1"/>
  <c r="G2855" i="2" s="1"/>
  <c r="H2856" i="2" a="1"/>
  <c r="H2856" i="2" s="1"/>
  <c r="I2857" i="2" a="1"/>
  <c r="I2857" i="2" s="1"/>
  <c r="G2859" i="2" a="1"/>
  <c r="G2859" i="2" s="1"/>
  <c r="H2860" i="2" a="1"/>
  <c r="H2860" i="2" s="1"/>
  <c r="I2861" i="2" a="1"/>
  <c r="I2861" i="2" s="1"/>
  <c r="G2863" i="2" a="1"/>
  <c r="G2863" i="2" s="1"/>
  <c r="H2864" i="2" a="1"/>
  <c r="H2864" i="2" s="1"/>
  <c r="I2865" i="2" a="1"/>
  <c r="I2865" i="2" s="1"/>
  <c r="G2867" i="2" a="1"/>
  <c r="G2867" i="2" s="1"/>
  <c r="H2868" i="2" a="1"/>
  <c r="H2868" i="2" s="1"/>
  <c r="I2869" i="2" a="1"/>
  <c r="I2869" i="2" s="1"/>
  <c r="G2871" i="2" a="1"/>
  <c r="G2871" i="2" s="1"/>
  <c r="H2872" i="2" a="1"/>
  <c r="H2872" i="2" s="1"/>
  <c r="I2873" i="2" a="1"/>
  <c r="I2873" i="2" s="1"/>
  <c r="G2875" i="2" a="1"/>
  <c r="G2875" i="2" s="1"/>
  <c r="H2876" i="2" a="1"/>
  <c r="H2876" i="2" s="1"/>
  <c r="I2877" i="2" a="1"/>
  <c r="I2877" i="2" s="1"/>
  <c r="G2879" i="2" a="1"/>
  <c r="G2879" i="2" s="1"/>
  <c r="H2880" i="2" a="1"/>
  <c r="H2880" i="2" s="1"/>
  <c r="I2881" i="2" a="1"/>
  <c r="I2881" i="2" s="1"/>
  <c r="G2883" i="2" a="1"/>
  <c r="G2883" i="2" s="1"/>
  <c r="H2884" i="2" a="1"/>
  <c r="H2884" i="2" s="1"/>
  <c r="I2885" i="2" a="1"/>
  <c r="I2885" i="2" s="1"/>
  <c r="G2887" i="2" a="1"/>
  <c r="G2887" i="2" s="1"/>
  <c r="H2888" i="2" a="1"/>
  <c r="H2888" i="2" s="1"/>
  <c r="I2889" i="2" a="1"/>
  <c r="I2889" i="2" s="1"/>
  <c r="G2891" i="2" a="1"/>
  <c r="G2891" i="2" s="1"/>
  <c r="H2892" i="2" a="1"/>
  <c r="H2892" i="2" s="1"/>
  <c r="I2893" i="2" a="1"/>
  <c r="I2893" i="2" s="1"/>
  <c r="G2895" i="2" a="1"/>
  <c r="G2895" i="2" s="1"/>
  <c r="H2896" i="2" a="1"/>
  <c r="H2896" i="2" s="1"/>
  <c r="I2897" i="2" a="1"/>
  <c r="I2897" i="2" s="1"/>
  <c r="G2899" i="2" a="1"/>
  <c r="G2899" i="2" s="1"/>
  <c r="H2900" i="2" a="1"/>
  <c r="H2900" i="2" s="1"/>
  <c r="I2901" i="2" a="1"/>
  <c r="I2901" i="2" s="1"/>
  <c r="G2903" i="2" a="1"/>
  <c r="G2903" i="2" s="1"/>
  <c r="H2904" i="2" a="1"/>
  <c r="H2904" i="2" s="1"/>
  <c r="I2905" i="2" a="1"/>
  <c r="I2905" i="2" s="1"/>
  <c r="G2907" i="2" a="1"/>
  <c r="G2907" i="2" s="1"/>
  <c r="H2908" i="2" a="1"/>
  <c r="H2908" i="2" s="1"/>
  <c r="I2909" i="2" a="1"/>
  <c r="I2909" i="2" s="1"/>
  <c r="G2911" i="2" a="1"/>
  <c r="G2911" i="2" s="1"/>
  <c r="H2912" i="2" a="1"/>
  <c r="H2912" i="2" s="1"/>
  <c r="I2913" i="2" a="1"/>
  <c r="I2913" i="2" s="1"/>
  <c r="G2915" i="2" a="1"/>
  <c r="G2915" i="2" s="1"/>
  <c r="H2916" i="2" a="1"/>
  <c r="H2916" i="2" s="1"/>
  <c r="I2917" i="2" a="1"/>
  <c r="I2917" i="2" s="1"/>
  <c r="G2919" i="2" a="1"/>
  <c r="G2919" i="2" s="1"/>
  <c r="H2920" i="2" a="1"/>
  <c r="H2920" i="2" s="1"/>
  <c r="I2921" i="2" a="1"/>
  <c r="I2921" i="2" s="1"/>
  <c r="G2923" i="2" a="1"/>
  <c r="G2923" i="2" s="1"/>
  <c r="H2924" i="2" a="1"/>
  <c r="H2924" i="2" s="1"/>
  <c r="I2925" i="2" a="1"/>
  <c r="I2925" i="2" s="1"/>
  <c r="G2927" i="2" a="1"/>
  <c r="G2927" i="2" s="1"/>
  <c r="H2928" i="2" a="1"/>
  <c r="H2928" i="2" s="1"/>
  <c r="I2929" i="2" a="1"/>
  <c r="I2929" i="2" s="1"/>
  <c r="G2931" i="2" a="1"/>
  <c r="G2931" i="2" s="1"/>
  <c r="H2932" i="2" a="1"/>
  <c r="H2932" i="2" s="1"/>
  <c r="I2933" i="2" a="1"/>
  <c r="I2933" i="2" s="1"/>
  <c r="G2935" i="2" a="1"/>
  <c r="G2935" i="2" s="1"/>
  <c r="H2936" i="2" a="1"/>
  <c r="H2936" i="2" s="1"/>
  <c r="I2937" i="2" a="1"/>
  <c r="I2937" i="2" s="1"/>
  <c r="G2939" i="2" a="1"/>
  <c r="G2939" i="2" s="1"/>
  <c r="H2940" i="2" a="1"/>
  <c r="H2940" i="2" s="1"/>
  <c r="I2941" i="2" a="1"/>
  <c r="I2941" i="2" s="1"/>
  <c r="G2943" i="2" a="1"/>
  <c r="G2943" i="2" s="1"/>
  <c r="H2944" i="2" a="1"/>
  <c r="H2944" i="2" s="1"/>
  <c r="I2945" i="2" a="1"/>
  <c r="I2945" i="2" s="1"/>
  <c r="G2947" i="2" a="1"/>
  <c r="G2947" i="2" s="1"/>
  <c r="H2948" i="2" a="1"/>
  <c r="H2948" i="2" s="1"/>
  <c r="I2949" i="2" a="1"/>
  <c r="I2949" i="2" s="1"/>
  <c r="G2951" i="2" a="1"/>
  <c r="G2951" i="2" s="1"/>
  <c r="H2952" i="2" a="1"/>
  <c r="H2952" i="2" s="1"/>
  <c r="I2953" i="2" a="1"/>
  <c r="I2953" i="2" s="1"/>
  <c r="G2955" i="2" a="1"/>
  <c r="G2955" i="2" s="1"/>
  <c r="H2956" i="2" a="1"/>
  <c r="H2956" i="2" s="1"/>
  <c r="I2957" i="2" a="1"/>
  <c r="I2957" i="2" s="1"/>
  <c r="G2959" i="2" a="1"/>
  <c r="G2959" i="2" s="1"/>
  <c r="H2960" i="2" a="1"/>
  <c r="H2960" i="2" s="1"/>
  <c r="I2961" i="2" a="1"/>
  <c r="I2961" i="2" s="1"/>
  <c r="G2963" i="2" a="1"/>
  <c r="G2963" i="2" s="1"/>
  <c r="H2964" i="2" a="1"/>
  <c r="H2964" i="2" s="1"/>
  <c r="I2965" i="2" a="1"/>
  <c r="I2965" i="2" s="1"/>
  <c r="G2967" i="2" a="1"/>
  <c r="G2967" i="2" s="1"/>
  <c r="H2968" i="2" a="1"/>
  <c r="H2968" i="2" s="1"/>
  <c r="I2969" i="2" a="1"/>
  <c r="I2969" i="2" s="1"/>
  <c r="G2971" i="2" a="1"/>
  <c r="G2971" i="2" s="1"/>
  <c r="H2972" i="2" a="1"/>
  <c r="H2972" i="2" s="1"/>
  <c r="I2973" i="2" a="1"/>
  <c r="I2973" i="2" s="1"/>
  <c r="G2975" i="2" a="1"/>
  <c r="G2975" i="2" s="1"/>
  <c r="H2976" i="2" a="1"/>
  <c r="H2976" i="2" s="1"/>
  <c r="I2977" i="2" a="1"/>
  <c r="I2977" i="2" s="1"/>
  <c r="G2979" i="2" a="1"/>
  <c r="G2979" i="2" s="1"/>
  <c r="H2980" i="2" a="1"/>
  <c r="H2980" i="2" s="1"/>
  <c r="I2981" i="2" a="1"/>
  <c r="I2981" i="2" s="1"/>
  <c r="G2983" i="2" a="1"/>
  <c r="G2983" i="2" s="1"/>
  <c r="H2984" i="2" a="1"/>
  <c r="H2984" i="2" s="1"/>
  <c r="I2985" i="2" a="1"/>
  <c r="I2985" i="2" s="1"/>
  <c r="G2987" i="2" a="1"/>
  <c r="G2987" i="2" s="1"/>
  <c r="H2988" i="2" a="1"/>
  <c r="H2988" i="2" s="1"/>
  <c r="I2989" i="2" a="1"/>
  <c r="I2989" i="2" s="1"/>
  <c r="G2991" i="2" a="1"/>
  <c r="G2991" i="2" s="1"/>
  <c r="H2992" i="2" a="1"/>
  <c r="H2992" i="2" s="1"/>
  <c r="I2993" i="2" a="1"/>
  <c r="I2993" i="2" s="1"/>
  <c r="G2995" i="2" a="1"/>
  <c r="G2995" i="2" s="1"/>
  <c r="H2996" i="2" a="1"/>
  <c r="H2996" i="2" s="1"/>
  <c r="I2997" i="2" a="1"/>
  <c r="I2997" i="2" s="1"/>
  <c r="G2999" i="2" a="1"/>
  <c r="G2999" i="2" s="1"/>
  <c r="H3000" i="2" a="1"/>
  <c r="H3000" i="2" s="1"/>
  <c r="I3001" i="2" a="1"/>
  <c r="I3001" i="2" s="1"/>
  <c r="G3003" i="2" a="1"/>
  <c r="G3003" i="2" s="1"/>
  <c r="H3004" i="2" a="1"/>
  <c r="H3004" i="2" s="1"/>
  <c r="I3005" i="2" a="1"/>
  <c r="I3005" i="2" s="1"/>
  <c r="G3007" i="2" a="1"/>
  <c r="G3007" i="2" s="1"/>
  <c r="G3008" i="2" a="1"/>
  <c r="G3008" i="2" s="1"/>
  <c r="H3009" i="2" a="1"/>
  <c r="H3009" i="2" s="1"/>
  <c r="I3010" i="2" a="1"/>
  <c r="I3010" i="2" s="1"/>
  <c r="G3012" i="2" a="1"/>
  <c r="G3012" i="2" s="1"/>
  <c r="H3013" i="2" a="1"/>
  <c r="H3013" i="2" s="1"/>
  <c r="I3014" i="2" a="1"/>
  <c r="I3014" i="2" s="1"/>
  <c r="G3016" i="2" a="1"/>
  <c r="G3016" i="2" s="1"/>
  <c r="H3017" i="2" a="1"/>
  <c r="H3017" i="2" s="1"/>
  <c r="I3018" i="2" a="1"/>
  <c r="I3018" i="2" s="1"/>
  <c r="G3020" i="2" a="1"/>
  <c r="G3020" i="2" s="1"/>
  <c r="H3021" i="2" a="1"/>
  <c r="H3021" i="2" s="1"/>
  <c r="I3022" i="2" a="1"/>
  <c r="I3022" i="2" s="1"/>
  <c r="G3024" i="2" a="1"/>
  <c r="G3024" i="2" s="1"/>
  <c r="H3025" i="2" a="1"/>
  <c r="H3025" i="2" s="1"/>
  <c r="I3026" i="2" a="1"/>
  <c r="I3026" i="2" s="1"/>
  <c r="G3028" i="2" a="1"/>
  <c r="G3028" i="2" s="1"/>
  <c r="H3029" i="2" a="1"/>
  <c r="H3029" i="2" s="1"/>
  <c r="I3030" i="2" a="1"/>
  <c r="I3030" i="2" s="1"/>
  <c r="G3032" i="2" a="1"/>
  <c r="G3032" i="2" s="1"/>
  <c r="H3033" i="2" a="1"/>
  <c r="H3033" i="2" s="1"/>
  <c r="I3034" i="2" a="1"/>
  <c r="I3034" i="2" s="1"/>
  <c r="G3036" i="2" a="1"/>
  <c r="G3036" i="2" s="1"/>
  <c r="H3037" i="2" a="1"/>
  <c r="H3037" i="2" s="1"/>
  <c r="I3038" i="2" a="1"/>
  <c r="I3038" i="2" s="1"/>
  <c r="G3040" i="2" a="1"/>
  <c r="G3040" i="2" s="1"/>
  <c r="H3041" i="2" a="1"/>
  <c r="H3041" i="2" s="1"/>
  <c r="I3042" i="2" a="1"/>
  <c r="I3042" i="2" s="1"/>
  <c r="G3044" i="2" a="1"/>
  <c r="G3044" i="2" s="1"/>
  <c r="H3045" i="2" a="1"/>
  <c r="H3045" i="2" s="1"/>
  <c r="I3046" i="2" a="1"/>
  <c r="I3046" i="2" s="1"/>
  <c r="G3048" i="2" a="1"/>
  <c r="G3048" i="2" s="1"/>
  <c r="H3049" i="2" a="1"/>
  <c r="H3049" i="2" s="1"/>
  <c r="I3050" i="2" a="1"/>
  <c r="I3050" i="2" s="1"/>
  <c r="G3052" i="2" a="1"/>
  <c r="G3052" i="2" s="1"/>
  <c r="H3053" i="2" a="1"/>
  <c r="H3053" i="2" s="1"/>
  <c r="I3054" i="2" a="1"/>
  <c r="I3054" i="2" s="1"/>
  <c r="G3056" i="2" a="1"/>
  <c r="G3056" i="2" s="1"/>
  <c r="H3057" i="2" a="1"/>
  <c r="H3057" i="2" s="1"/>
  <c r="I3058" i="2" a="1"/>
  <c r="I3058" i="2" s="1"/>
  <c r="G3060" i="2" a="1"/>
  <c r="G3060" i="2" s="1"/>
  <c r="H3061" i="2" a="1"/>
  <c r="H3061" i="2" s="1"/>
  <c r="I3062" i="2" a="1"/>
  <c r="I3062" i="2" s="1"/>
  <c r="G3064" i="2" a="1"/>
  <c r="G3064" i="2" s="1"/>
  <c r="H3065" i="2" a="1"/>
  <c r="H3065" i="2" s="1"/>
  <c r="I3066" i="2" a="1"/>
  <c r="I3066" i="2" s="1"/>
  <c r="G3068" i="2" a="1"/>
  <c r="G3068" i="2" s="1"/>
  <c r="H3069" i="2" a="1"/>
  <c r="H3069" i="2" s="1"/>
  <c r="I3070" i="2" a="1"/>
  <c r="I3070" i="2" s="1"/>
  <c r="G3072" i="2" a="1"/>
  <c r="G3072" i="2" s="1"/>
  <c r="H3073" i="2" a="1"/>
  <c r="H3073" i="2" s="1"/>
  <c r="I3074" i="2" a="1"/>
  <c r="I3074" i="2" s="1"/>
  <c r="G3076" i="2" a="1"/>
  <c r="G3076" i="2" s="1"/>
  <c r="H3077" i="2" a="1"/>
  <c r="H3077" i="2" s="1"/>
  <c r="I3078" i="2" a="1"/>
  <c r="I3078" i="2" s="1"/>
  <c r="G3080" i="2" a="1"/>
  <c r="G3080" i="2" s="1"/>
  <c r="H3081" i="2" a="1"/>
  <c r="H3081" i="2" s="1"/>
  <c r="I3082" i="2" a="1"/>
  <c r="I3082" i="2" s="1"/>
  <c r="G3084" i="2" a="1"/>
  <c r="G3084" i="2" s="1"/>
  <c r="H3085" i="2" a="1"/>
  <c r="H3085" i="2" s="1"/>
  <c r="I3086" i="2" a="1"/>
  <c r="I3086" i="2" s="1"/>
  <c r="G3088" i="2" a="1"/>
  <c r="G3088" i="2" s="1"/>
  <c r="H3089" i="2" a="1"/>
  <c r="H3089" i="2" s="1"/>
  <c r="I3090" i="2" a="1"/>
  <c r="I3090" i="2" s="1"/>
  <c r="G3092" i="2" a="1"/>
  <c r="G3092" i="2" s="1"/>
  <c r="H3093" i="2" a="1"/>
  <c r="H3093" i="2" s="1"/>
  <c r="I3094" i="2" a="1"/>
  <c r="I3094" i="2" s="1"/>
  <c r="G3096" i="2" a="1"/>
  <c r="G3096" i="2" s="1"/>
  <c r="H3097" i="2" a="1"/>
  <c r="H3097" i="2" s="1"/>
  <c r="I3098" i="2" a="1"/>
  <c r="I3098" i="2" s="1"/>
  <c r="G3100" i="2" a="1"/>
  <c r="G3100" i="2" s="1"/>
  <c r="H3101" i="2" a="1"/>
  <c r="H3101" i="2" s="1"/>
  <c r="I3102" i="2" a="1"/>
  <c r="I3102" i="2" s="1"/>
  <c r="G3104" i="2" a="1"/>
  <c r="G3104" i="2" s="1"/>
  <c r="H3105" i="2" a="1"/>
  <c r="H3105" i="2" s="1"/>
  <c r="I3106" i="2" a="1"/>
  <c r="I3106" i="2" s="1"/>
  <c r="G3108" i="2" a="1"/>
  <c r="G3108" i="2" s="1"/>
  <c r="H3109" i="2" a="1"/>
  <c r="H3109" i="2" s="1"/>
  <c r="I3110" i="2" a="1"/>
  <c r="I3110" i="2" s="1"/>
  <c r="G3112" i="2" a="1"/>
  <c r="G3112" i="2" s="1"/>
  <c r="H3113" i="2" a="1"/>
  <c r="H3113" i="2" s="1"/>
  <c r="I3114" i="2" a="1"/>
  <c r="I3114" i="2" s="1"/>
  <c r="G3116" i="2" a="1"/>
  <c r="G3116" i="2" s="1"/>
  <c r="H3117" i="2" a="1"/>
  <c r="H3117" i="2" s="1"/>
  <c r="I3118" i="2" a="1"/>
  <c r="I3118" i="2" s="1"/>
  <c r="G3120" i="2" a="1"/>
  <c r="G3120" i="2" s="1"/>
  <c r="H3121" i="2" a="1"/>
  <c r="H3121" i="2" s="1"/>
  <c r="I3122" i="2" a="1"/>
  <c r="I3122" i="2" s="1"/>
  <c r="G3124" i="2" a="1"/>
  <c r="G3124" i="2" s="1"/>
  <c r="H3125" i="2" a="1"/>
  <c r="H3125" i="2" s="1"/>
  <c r="I3126" i="2" a="1"/>
  <c r="I3126" i="2" s="1"/>
  <c r="G3128" i="2" a="1"/>
  <c r="G3128" i="2" s="1"/>
  <c r="H3129" i="2" a="1"/>
  <c r="H3129" i="2" s="1"/>
  <c r="I3130" i="2" a="1"/>
  <c r="I3130" i="2" s="1"/>
  <c r="G3132" i="2" a="1"/>
  <c r="G3132" i="2" s="1"/>
  <c r="H3133" i="2" a="1"/>
  <c r="H3133" i="2" s="1"/>
  <c r="I3134" i="2" a="1"/>
  <c r="I3134" i="2" s="1"/>
  <c r="G3136" i="2" a="1"/>
  <c r="G3136" i="2" s="1"/>
  <c r="H3137" i="2" a="1"/>
  <c r="H3137" i="2" s="1"/>
  <c r="I3138" i="2" a="1"/>
  <c r="I3138" i="2" s="1"/>
  <c r="G3140" i="2" a="1"/>
  <c r="G3140" i="2" s="1"/>
  <c r="H3141" i="2" a="1"/>
  <c r="H3141" i="2" s="1"/>
  <c r="I3142" i="2" a="1"/>
  <c r="I3142" i="2" s="1"/>
  <c r="G3144" i="2" a="1"/>
  <c r="G3144" i="2" s="1"/>
  <c r="H3145" i="2" a="1"/>
  <c r="H3145" i="2" s="1"/>
  <c r="I3146" i="2" a="1"/>
  <c r="I3146" i="2" s="1"/>
  <c r="G3148" i="2" a="1"/>
  <c r="G3148" i="2" s="1"/>
  <c r="H3149" i="2" a="1"/>
  <c r="H3149" i="2" s="1"/>
  <c r="I3150" i="2" a="1"/>
  <c r="I3150" i="2" s="1"/>
  <c r="G3152" i="2" a="1"/>
  <c r="G3152" i="2" s="1"/>
  <c r="H3153" i="2" a="1"/>
  <c r="H3153" i="2" s="1"/>
  <c r="I3154" i="2" a="1"/>
  <c r="I3154" i="2" s="1"/>
  <c r="G3156" i="2" a="1"/>
  <c r="G3156" i="2" s="1"/>
  <c r="H3157" i="2" a="1"/>
  <c r="H3157" i="2" s="1"/>
  <c r="I3158" i="2" a="1"/>
  <c r="I3158" i="2" s="1"/>
  <c r="G3160" i="2" a="1"/>
  <c r="G3160" i="2" s="1"/>
  <c r="H3161" i="2" a="1"/>
  <c r="H3161" i="2" s="1"/>
  <c r="I3162" i="2" a="1"/>
  <c r="I3162" i="2" s="1"/>
  <c r="G3164" i="2" a="1"/>
  <c r="G3164" i="2" s="1"/>
  <c r="H3165" i="2" a="1"/>
  <c r="H3165" i="2" s="1"/>
  <c r="I3166" i="2" a="1"/>
  <c r="I3166" i="2" s="1"/>
  <c r="G3168" i="2" a="1"/>
  <c r="G3168" i="2" s="1"/>
  <c r="H3169" i="2" a="1"/>
  <c r="H3169" i="2" s="1"/>
  <c r="I3170" i="2" a="1"/>
  <c r="I3170" i="2" s="1"/>
  <c r="G3172" i="2" a="1"/>
  <c r="G3172" i="2" s="1"/>
  <c r="H3173" i="2" a="1"/>
  <c r="H3173" i="2" s="1"/>
  <c r="I3174" i="2" a="1"/>
  <c r="I3174" i="2" s="1"/>
  <c r="G3176" i="2" a="1"/>
  <c r="G3176" i="2" s="1"/>
  <c r="H3177" i="2" a="1"/>
  <c r="H3177" i="2" s="1"/>
  <c r="I3178" i="2" a="1"/>
  <c r="I3178" i="2" s="1"/>
  <c r="H3180" i="2" a="1"/>
  <c r="H3180" i="2" s="1"/>
  <c r="I3181" i="2" a="1"/>
  <c r="I3181" i="2" s="1"/>
  <c r="G3183" i="2" a="1"/>
  <c r="G3183" i="2" s="1"/>
  <c r="H3184" i="2" a="1"/>
  <c r="H3184" i="2" s="1"/>
  <c r="I3185" i="2" a="1"/>
  <c r="I3185" i="2" s="1"/>
  <c r="G3187" i="2" a="1"/>
  <c r="G3187" i="2" s="1"/>
  <c r="H3188" i="2" a="1"/>
  <c r="H3188" i="2" s="1"/>
  <c r="I3189" i="2" a="1"/>
  <c r="I3189" i="2" s="1"/>
  <c r="G3191" i="2" a="1"/>
  <c r="G3191" i="2" s="1"/>
  <c r="H3192" i="2" a="1"/>
  <c r="H3192" i="2" s="1"/>
  <c r="I3193" i="2" a="1"/>
  <c r="I3193" i="2" s="1"/>
  <c r="G3195" i="2" a="1"/>
  <c r="G3195" i="2" s="1"/>
  <c r="H3196" i="2" a="1"/>
  <c r="H3196" i="2" s="1"/>
  <c r="I3197" i="2" a="1"/>
  <c r="I3197" i="2" s="1"/>
  <c r="G3199" i="2" a="1"/>
  <c r="G3199" i="2" s="1"/>
  <c r="H3200" i="2" a="1"/>
  <c r="H3200" i="2" s="1"/>
  <c r="I3201" i="2" a="1"/>
  <c r="I3201" i="2" s="1"/>
  <c r="G3203" i="2" a="1"/>
  <c r="G3203" i="2" s="1"/>
  <c r="H3204" i="2" a="1"/>
  <c r="H3204" i="2" s="1"/>
  <c r="I3205" i="2" a="1"/>
  <c r="I3205" i="2" s="1"/>
  <c r="G3207" i="2" a="1"/>
  <c r="G3207" i="2" s="1"/>
  <c r="H3208" i="2" a="1"/>
  <c r="H3208" i="2" s="1"/>
  <c r="I3209" i="2" a="1"/>
  <c r="I3209" i="2" s="1"/>
  <c r="G3211" i="2" a="1"/>
  <c r="G3211" i="2" s="1"/>
  <c r="H3212" i="2" a="1"/>
  <c r="H3212" i="2" s="1"/>
  <c r="I3213" i="2" a="1"/>
  <c r="I3213" i="2" s="1"/>
  <c r="G3215" i="2" a="1"/>
  <c r="G3215" i="2" s="1"/>
  <c r="H3216" i="2" a="1"/>
  <c r="H3216" i="2" s="1"/>
  <c r="I3217" i="2" a="1"/>
  <c r="I3217" i="2" s="1"/>
  <c r="G3219" i="2" a="1"/>
  <c r="G3219" i="2" s="1"/>
  <c r="H3220" i="2" a="1"/>
  <c r="H3220" i="2" s="1"/>
  <c r="I3221" i="2" a="1"/>
  <c r="I3221" i="2" s="1"/>
  <c r="G3223" i="2" a="1"/>
  <c r="G3223" i="2" s="1"/>
  <c r="H3224" i="2" a="1"/>
  <c r="H3224" i="2" s="1"/>
  <c r="I3225" i="2" a="1"/>
  <c r="I3225" i="2" s="1"/>
  <c r="G3227" i="2" a="1"/>
  <c r="G3227" i="2" s="1"/>
  <c r="H3228" i="2" a="1"/>
  <c r="H3228" i="2" s="1"/>
  <c r="I3229" i="2" a="1"/>
  <c r="I3229" i="2" s="1"/>
  <c r="G3231" i="2" a="1"/>
  <c r="G3231" i="2" s="1"/>
  <c r="H3232" i="2" a="1"/>
  <c r="H3232" i="2" s="1"/>
  <c r="I3233" i="2" a="1"/>
  <c r="I3233" i="2" s="1"/>
  <c r="G3235" i="2" a="1"/>
  <c r="G3235" i="2" s="1"/>
  <c r="H3236" i="2" a="1"/>
  <c r="H3236" i="2" s="1"/>
  <c r="I3237" i="2" a="1"/>
  <c r="I3237" i="2" s="1"/>
  <c r="G3239" i="2" a="1"/>
  <c r="G3239" i="2" s="1"/>
  <c r="H3240" i="2" a="1"/>
  <c r="H3240" i="2" s="1"/>
  <c r="I3241" i="2" a="1"/>
  <c r="I3241" i="2" s="1"/>
  <c r="G3243" i="2" a="1"/>
  <c r="G3243" i="2" s="1"/>
  <c r="H3244" i="2" a="1"/>
  <c r="H3244" i="2" s="1"/>
  <c r="I3245" i="2" a="1"/>
  <c r="I3245" i="2" s="1"/>
  <c r="G3247" i="2" a="1"/>
  <c r="G3247" i="2" s="1"/>
  <c r="H3248" i="2" a="1"/>
  <c r="H3248" i="2" s="1"/>
  <c r="I3249" i="2" a="1"/>
  <c r="I3249" i="2" s="1"/>
  <c r="G3251" i="2" a="1"/>
  <c r="G3251" i="2" s="1"/>
  <c r="H3252" i="2" a="1"/>
  <c r="H3252" i="2" s="1"/>
  <c r="I3253" i="2" a="1"/>
  <c r="I3253" i="2" s="1"/>
  <c r="G3255" i="2" a="1"/>
  <c r="G3255" i="2" s="1"/>
  <c r="H3256" i="2" a="1"/>
  <c r="H3256" i="2" s="1"/>
  <c r="I3257" i="2" a="1"/>
  <c r="I3257" i="2" s="1"/>
  <c r="G3259" i="2" a="1"/>
  <c r="G3259" i="2" s="1"/>
  <c r="H3260" i="2" a="1"/>
  <c r="H3260" i="2" s="1"/>
  <c r="I3261" i="2" a="1"/>
  <c r="I3261" i="2" s="1"/>
  <c r="G3263" i="2" a="1"/>
  <c r="G3263" i="2" s="1"/>
  <c r="H3264" i="2" a="1"/>
  <c r="H3264" i="2" s="1"/>
  <c r="I3265" i="2" a="1"/>
  <c r="I3265" i="2" s="1"/>
  <c r="G3267" i="2" a="1"/>
  <c r="G3267" i="2" s="1"/>
  <c r="H3268" i="2" a="1"/>
  <c r="H3268" i="2" s="1"/>
  <c r="I3269" i="2" a="1"/>
  <c r="I3269" i="2" s="1"/>
  <c r="G3271" i="2" a="1"/>
  <c r="G3271" i="2" s="1"/>
  <c r="H3272" i="2" a="1"/>
  <c r="H3272" i="2" s="1"/>
  <c r="I3273" i="2" a="1"/>
  <c r="I3273" i="2" s="1"/>
  <c r="G3275" i="2" a="1"/>
  <c r="G3275" i="2" s="1"/>
  <c r="H3276" i="2" a="1"/>
  <c r="H3276" i="2" s="1"/>
  <c r="I3277" i="2" a="1"/>
  <c r="I3277" i="2" s="1"/>
  <c r="G3279" i="2" a="1"/>
  <c r="G3279" i="2" s="1"/>
  <c r="H3280" i="2" a="1"/>
  <c r="H3280" i="2" s="1"/>
  <c r="I3281" i="2" a="1"/>
  <c r="I3281" i="2" s="1"/>
  <c r="G3283" i="2" a="1"/>
  <c r="G3283" i="2" s="1"/>
  <c r="H3284" i="2" a="1"/>
  <c r="H3284" i="2" s="1"/>
  <c r="I3285" i="2" a="1"/>
  <c r="I3285" i="2" s="1"/>
  <c r="G3287" i="2" a="1"/>
  <c r="G3287" i="2" s="1"/>
  <c r="H3288" i="2" a="1"/>
  <c r="H3288" i="2" s="1"/>
  <c r="I3289" i="2" a="1"/>
  <c r="I3289" i="2" s="1"/>
  <c r="G3291" i="2" a="1"/>
  <c r="G3291" i="2" s="1"/>
  <c r="H3292" i="2" a="1"/>
  <c r="H3292" i="2" s="1"/>
  <c r="I3293" i="2" a="1"/>
  <c r="I3293" i="2" s="1"/>
  <c r="G3295" i="2" a="1"/>
  <c r="G3295" i="2" s="1"/>
  <c r="H3296" i="2" a="1"/>
  <c r="H3296" i="2" s="1"/>
  <c r="I3297" i="2" a="1"/>
  <c r="I3297" i="2" s="1"/>
  <c r="G3299" i="2" a="1"/>
  <c r="G3299" i="2" s="1"/>
  <c r="H3300" i="2" a="1"/>
  <c r="H3300" i="2" s="1"/>
  <c r="I3301" i="2" a="1"/>
  <c r="I3301" i="2" s="1"/>
  <c r="G3303" i="2" a="1"/>
  <c r="G3303" i="2" s="1"/>
  <c r="H3304" i="2" a="1"/>
  <c r="H3304" i="2" s="1"/>
  <c r="I3305" i="2" a="1"/>
  <c r="I3305" i="2" s="1"/>
  <c r="G3307" i="2" a="1"/>
  <c r="G3307" i="2" s="1"/>
  <c r="H3308" i="2" a="1"/>
  <c r="H3308" i="2" s="1"/>
  <c r="I3309" i="2" a="1"/>
  <c r="I3309" i="2" s="1"/>
  <c r="G3311" i="2" a="1"/>
  <c r="G3311" i="2" s="1"/>
  <c r="H3312" i="2" a="1"/>
  <c r="H3312" i="2" s="1"/>
  <c r="I3313" i="2" a="1"/>
  <c r="I3313" i="2" s="1"/>
  <c r="G3315" i="2" a="1"/>
  <c r="G3315" i="2" s="1"/>
  <c r="H3316" i="2" a="1"/>
  <c r="H3316" i="2" s="1"/>
  <c r="I3317" i="2" a="1"/>
  <c r="I3317" i="2" s="1"/>
  <c r="G3319" i="2" a="1"/>
  <c r="G3319" i="2" s="1"/>
  <c r="H3320" i="2" a="1"/>
  <c r="H3320" i="2" s="1"/>
  <c r="I3321" i="2" a="1"/>
  <c r="I3321" i="2" s="1"/>
  <c r="G3323" i="2" a="1"/>
  <c r="G3323" i="2" s="1"/>
  <c r="H3324" i="2" a="1"/>
  <c r="H3324" i="2" s="1"/>
  <c r="I3325" i="2" a="1"/>
  <c r="I3325" i="2" s="1"/>
  <c r="G3327" i="2" a="1"/>
  <c r="G3327" i="2" s="1"/>
  <c r="H3328" i="2" a="1"/>
  <c r="H3328" i="2" s="1"/>
  <c r="I3329" i="2" a="1"/>
  <c r="I3329" i="2" s="1"/>
  <c r="G3331" i="2" a="1"/>
  <c r="G3331" i="2" s="1"/>
  <c r="H3332" i="2" a="1"/>
  <c r="H3332" i="2" s="1"/>
  <c r="I3333" i="2" a="1"/>
  <c r="I3333" i="2" s="1"/>
  <c r="G3335" i="2" a="1"/>
  <c r="G3335" i="2" s="1"/>
  <c r="H3336" i="2" a="1"/>
  <c r="H3336" i="2" s="1"/>
  <c r="I3337" i="2" a="1"/>
  <c r="I3337" i="2" s="1"/>
  <c r="G3339" i="2" a="1"/>
  <c r="G3339" i="2" s="1"/>
  <c r="H3340" i="2" a="1"/>
  <c r="H3340" i="2" s="1"/>
  <c r="I3341" i="2" a="1"/>
  <c r="I3341" i="2" s="1"/>
  <c r="G3343" i="2" a="1"/>
  <c r="G3343" i="2" s="1"/>
  <c r="H3344" i="2" a="1"/>
  <c r="H3344" i="2" s="1"/>
  <c r="I3345" i="2" a="1"/>
  <c r="I3345" i="2" s="1"/>
  <c r="G3347" i="2" a="1"/>
  <c r="G3347" i="2" s="1"/>
  <c r="H3348" i="2" a="1"/>
  <c r="H3348" i="2" s="1"/>
  <c r="I3349" i="2" a="1"/>
  <c r="I3349" i="2" s="1"/>
  <c r="G3351" i="2" a="1"/>
  <c r="G3351" i="2" s="1"/>
  <c r="H3352" i="2" a="1"/>
  <c r="H3352" i="2" s="1"/>
  <c r="I3353" i="2" a="1"/>
  <c r="I3353" i="2" s="1"/>
  <c r="G3355" i="2" a="1"/>
  <c r="G3355" i="2" s="1"/>
  <c r="H3356" i="2" a="1"/>
  <c r="H3356" i="2" s="1"/>
  <c r="I3357" i="2" a="1"/>
  <c r="I3357" i="2" s="1"/>
  <c r="G3359" i="2" a="1"/>
  <c r="G3359" i="2" s="1"/>
  <c r="H3360" i="2" a="1"/>
  <c r="H3360" i="2" s="1"/>
  <c r="I3361" i="2" a="1"/>
  <c r="I3361" i="2" s="1"/>
  <c r="G3363" i="2" a="1"/>
  <c r="G3363" i="2" s="1"/>
  <c r="H3364" i="2" a="1"/>
  <c r="H3364" i="2" s="1"/>
  <c r="I3365" i="2" a="1"/>
  <c r="I3365" i="2" s="1"/>
  <c r="G3367" i="2" a="1"/>
  <c r="G3367" i="2" s="1"/>
  <c r="H3368" i="2" a="1"/>
  <c r="H3368" i="2" s="1"/>
  <c r="I3369" i="2" a="1"/>
  <c r="I3369" i="2" s="1"/>
  <c r="G3371" i="2" a="1"/>
  <c r="G3371" i="2" s="1"/>
  <c r="H3372" i="2" a="1"/>
  <c r="H3372" i="2" s="1"/>
  <c r="I3373" i="2" a="1"/>
  <c r="I3373" i="2" s="1"/>
  <c r="G3375" i="2" a="1"/>
  <c r="G3375" i="2" s="1"/>
  <c r="H3376" i="2" a="1"/>
  <c r="H3376" i="2" s="1"/>
  <c r="I3377" i="2" a="1"/>
  <c r="I3377" i="2" s="1"/>
  <c r="G3379" i="2" a="1"/>
  <c r="G3379" i="2" s="1"/>
  <c r="H3380" i="2" a="1"/>
  <c r="H3380" i="2" s="1"/>
  <c r="I3381" i="2" a="1"/>
  <c r="I3381" i="2" s="1"/>
  <c r="G3383" i="2" a="1"/>
  <c r="G3383" i="2" s="1"/>
  <c r="H3384" i="2" a="1"/>
  <c r="H3384" i="2" s="1"/>
  <c r="I3385" i="2" a="1"/>
  <c r="I3385" i="2" s="1"/>
  <c r="G3387" i="2" a="1"/>
  <c r="G3387" i="2" s="1"/>
  <c r="H3388" i="2" a="1"/>
  <c r="H3388" i="2" s="1"/>
  <c r="I3389" i="2" a="1"/>
  <c r="I3389" i="2" s="1"/>
  <c r="G3391" i="2" a="1"/>
  <c r="G3391" i="2" s="1"/>
  <c r="H3392" i="2" a="1"/>
  <c r="H3392" i="2" s="1"/>
  <c r="I3393" i="2" a="1"/>
  <c r="I3393" i="2" s="1"/>
  <c r="G3395" i="2" a="1"/>
  <c r="G3395" i="2" s="1"/>
  <c r="H3396" i="2" a="1"/>
  <c r="H3396" i="2" s="1"/>
  <c r="I3397" i="2" a="1"/>
  <c r="I3397" i="2" s="1"/>
  <c r="G3399" i="2" a="1"/>
  <c r="G3399" i="2" s="1"/>
  <c r="H3400" i="2" a="1"/>
  <c r="H3400" i="2" s="1"/>
  <c r="I3401" i="2" a="1"/>
  <c r="I3401" i="2" s="1"/>
  <c r="G3403" i="2" a="1"/>
  <c r="G3403" i="2" s="1"/>
  <c r="H3404" i="2" a="1"/>
  <c r="H3404" i="2" s="1"/>
  <c r="I3405" i="2" a="1"/>
  <c r="I3405" i="2" s="1"/>
  <c r="G3407" i="2" a="1"/>
  <c r="G3407" i="2" s="1"/>
  <c r="H3408" i="2" a="1"/>
  <c r="H3408" i="2" s="1"/>
  <c r="I3409" i="2" a="1"/>
  <c r="I3409" i="2" s="1"/>
  <c r="G3411" i="2" a="1"/>
  <c r="G3411" i="2" s="1"/>
  <c r="H3412" i="2" a="1"/>
  <c r="H3412" i="2" s="1"/>
  <c r="I3413" i="2" a="1"/>
  <c r="I3413" i="2" s="1"/>
  <c r="G3415" i="2" a="1"/>
  <c r="G3415" i="2" s="1"/>
  <c r="H3416" i="2" a="1"/>
  <c r="H3416" i="2" s="1"/>
  <c r="I3417" i="2" a="1"/>
  <c r="I3417" i="2" s="1"/>
  <c r="G3419" i="2" a="1"/>
  <c r="G3419" i="2" s="1"/>
  <c r="H3420" i="2" a="1"/>
  <c r="H3420" i="2" s="1"/>
  <c r="I3421" i="2" a="1"/>
  <c r="I3421" i="2" s="1"/>
  <c r="G3423" i="2" a="1"/>
  <c r="G3423" i="2" s="1"/>
  <c r="H3424" i="2" a="1"/>
  <c r="H3424" i="2" s="1"/>
  <c r="I3425" i="2" a="1"/>
  <c r="I3425" i="2" s="1"/>
  <c r="G3427" i="2" a="1"/>
  <c r="G3427" i="2" s="1"/>
  <c r="H3428" i="2" a="1"/>
  <c r="H3428" i="2" s="1"/>
  <c r="I3429" i="2" a="1"/>
  <c r="I3429" i="2" s="1"/>
  <c r="G3431" i="2" a="1"/>
  <c r="G3431" i="2" s="1"/>
  <c r="H3432" i="2" a="1"/>
  <c r="H3432" i="2" s="1"/>
  <c r="I3433" i="2" a="1"/>
  <c r="I3433" i="2" s="1"/>
  <c r="G3435" i="2" a="1"/>
  <c r="G3435" i="2" s="1"/>
  <c r="H3436" i="2" a="1"/>
  <c r="H3436" i="2" s="1"/>
  <c r="I3437" i="2" a="1"/>
  <c r="I3437" i="2" s="1"/>
  <c r="G3439" i="2" a="1"/>
  <c r="G3439" i="2" s="1"/>
  <c r="H3440" i="2" a="1"/>
  <c r="H3440" i="2" s="1"/>
  <c r="I3441" i="2" a="1"/>
  <c r="I3441" i="2" s="1"/>
  <c r="G3443" i="2" a="1"/>
  <c r="G3443" i="2" s="1"/>
  <c r="H3444" i="2" a="1"/>
  <c r="H3444" i="2" s="1"/>
  <c r="I3445" i="2" a="1"/>
  <c r="I3445" i="2" s="1"/>
  <c r="G3447" i="2" a="1"/>
  <c r="G3447" i="2" s="1"/>
  <c r="H3448" i="2" a="1"/>
  <c r="H3448" i="2" s="1"/>
  <c r="I3449" i="2" a="1"/>
  <c r="I3449" i="2" s="1"/>
  <c r="G3451" i="2" a="1"/>
  <c r="G3451" i="2" s="1"/>
  <c r="H3452" i="2" a="1"/>
  <c r="H3452" i="2" s="1"/>
  <c r="I3453" i="2" a="1"/>
  <c r="I3453" i="2" s="1"/>
  <c r="G3455" i="2" a="1"/>
  <c r="G3455" i="2" s="1"/>
  <c r="H3456" i="2" a="1"/>
  <c r="H3456" i="2" s="1"/>
  <c r="I3457" i="2" a="1"/>
  <c r="I3457" i="2" s="1"/>
  <c r="G3459" i="2" a="1"/>
  <c r="G3459" i="2" s="1"/>
  <c r="H3460" i="2" a="1"/>
  <c r="H3460" i="2" s="1"/>
  <c r="I3461" i="2" a="1"/>
  <c r="I3461" i="2" s="1"/>
  <c r="G3463" i="2" a="1"/>
  <c r="G3463" i="2" s="1"/>
  <c r="H3464" i="2" a="1"/>
  <c r="H3464" i="2" s="1"/>
  <c r="I3465" i="2" a="1"/>
  <c r="I3465" i="2" s="1"/>
  <c r="G3467" i="2" a="1"/>
  <c r="G3467" i="2" s="1"/>
  <c r="H3468" i="2" a="1"/>
  <c r="H3468" i="2" s="1"/>
  <c r="I3469" i="2" a="1"/>
  <c r="I3469" i="2" s="1"/>
  <c r="G3471" i="2" a="1"/>
  <c r="G3471" i="2" s="1"/>
  <c r="H3472" i="2" a="1"/>
  <c r="H3472" i="2" s="1"/>
  <c r="I3473" i="2" a="1"/>
  <c r="I3473" i="2" s="1"/>
  <c r="G3475" i="2" a="1"/>
  <c r="G3475" i="2" s="1"/>
  <c r="H3476" i="2" a="1"/>
  <c r="H3476" i="2" s="1"/>
  <c r="I3477" i="2" a="1"/>
  <c r="I3477" i="2" s="1"/>
  <c r="G3479" i="2" a="1"/>
  <c r="G3479" i="2" s="1"/>
  <c r="H3480" i="2" a="1"/>
  <c r="H3480" i="2" s="1"/>
  <c r="I3481" i="2" a="1"/>
  <c r="I3481" i="2" s="1"/>
  <c r="G3483" i="2" a="1"/>
  <c r="G3483" i="2" s="1"/>
  <c r="H3484" i="2" a="1"/>
  <c r="H3484" i="2" s="1"/>
  <c r="I3485" i="2" a="1"/>
  <c r="I3485" i="2" s="1"/>
  <c r="G3487" i="2" a="1"/>
  <c r="G3487" i="2" s="1"/>
  <c r="H3488" i="2" a="1"/>
  <c r="H3488" i="2" s="1"/>
  <c r="I3489" i="2" a="1"/>
  <c r="I3489" i="2" s="1"/>
  <c r="G3491" i="2" a="1"/>
  <c r="G3491" i="2" s="1"/>
  <c r="H3492" i="2" a="1"/>
  <c r="H3492" i="2" s="1"/>
  <c r="I3493" i="2" a="1"/>
  <c r="I3493" i="2" s="1"/>
  <c r="G3495" i="2" a="1"/>
  <c r="G3495" i="2" s="1"/>
  <c r="H3496" i="2" a="1"/>
  <c r="H3496" i="2" s="1"/>
  <c r="I3497" i="2" a="1"/>
  <c r="I3497" i="2" s="1"/>
  <c r="G3499" i="2" a="1"/>
  <c r="G3499" i="2" s="1"/>
  <c r="H3500" i="2" a="1"/>
  <c r="H3500" i="2" s="1"/>
  <c r="M20" i="2" a="1"/>
  <c r="M20" i="2" s="1"/>
  <c r="K22" i="2" a="1"/>
  <c r="K22" i="2" s="1"/>
  <c r="L23" i="2" a="1"/>
  <c r="L23" i="2" s="1"/>
  <c r="M24" i="2" a="1"/>
  <c r="M24" i="2" s="1"/>
  <c r="K26" i="2" a="1"/>
  <c r="K26" i="2" s="1"/>
  <c r="L27" i="2" a="1"/>
  <c r="L27" i="2" s="1"/>
  <c r="M28" i="2" a="1"/>
  <c r="M28" i="2" s="1"/>
  <c r="K30" i="2" a="1"/>
  <c r="K30" i="2" s="1"/>
  <c r="L31" i="2" a="1"/>
  <c r="L31" i="2" s="1"/>
  <c r="M32" i="2" a="1"/>
  <c r="M32" i="2" s="1"/>
  <c r="K34" i="2" a="1"/>
  <c r="K34" i="2" s="1"/>
  <c r="L35" i="2" a="1"/>
  <c r="L35" i="2" s="1"/>
  <c r="M36" i="2" a="1"/>
  <c r="M36" i="2" s="1"/>
  <c r="K38" i="2" a="1"/>
  <c r="K38" i="2" s="1"/>
  <c r="L39" i="2" a="1"/>
  <c r="L39" i="2" s="1"/>
  <c r="M40" i="2" a="1"/>
  <c r="M40" i="2" s="1"/>
  <c r="K42" i="2" a="1"/>
  <c r="K42" i="2" s="1"/>
  <c r="L43" i="2" a="1"/>
  <c r="L43" i="2" s="1"/>
  <c r="M44" i="2" a="1"/>
  <c r="M44" i="2" s="1"/>
  <c r="K46" i="2" a="1"/>
  <c r="K46" i="2" s="1"/>
  <c r="L47" i="2" a="1"/>
  <c r="L47" i="2" s="1"/>
  <c r="M48" i="2" a="1"/>
  <c r="M48" i="2" s="1"/>
  <c r="K50" i="2" a="1"/>
  <c r="K50" i="2" s="1"/>
  <c r="L51" i="2" a="1"/>
  <c r="L51" i="2" s="1"/>
  <c r="M52" i="2" a="1"/>
  <c r="M52" i="2" s="1"/>
  <c r="K54" i="2" a="1"/>
  <c r="K54" i="2" s="1"/>
  <c r="L55" i="2" a="1"/>
  <c r="L55" i="2" s="1"/>
  <c r="M56" i="2" a="1"/>
  <c r="M56" i="2" s="1"/>
  <c r="K58" i="2" a="1"/>
  <c r="K58" i="2" s="1"/>
  <c r="L59" i="2" a="1"/>
  <c r="L59" i="2" s="1"/>
  <c r="M60" i="2" a="1"/>
  <c r="M60" i="2" s="1"/>
  <c r="K62" i="2" a="1"/>
  <c r="K62" i="2" s="1"/>
  <c r="L63" i="2" a="1"/>
  <c r="L63" i="2" s="1"/>
  <c r="M64" i="2" a="1"/>
  <c r="M64" i="2" s="1"/>
  <c r="K66" i="2" a="1"/>
  <c r="K66" i="2" s="1"/>
  <c r="L67" i="2" a="1"/>
  <c r="L67" i="2" s="1"/>
  <c r="M68" i="2" a="1"/>
  <c r="M68" i="2" s="1"/>
  <c r="K70" i="2" a="1"/>
  <c r="K70" i="2" s="1"/>
  <c r="L71" i="2" a="1"/>
  <c r="L71" i="2" s="1"/>
  <c r="M72" i="2" a="1"/>
  <c r="M72" i="2" s="1"/>
  <c r="K74" i="2" a="1"/>
  <c r="K74" i="2" s="1"/>
  <c r="L75" i="2" a="1"/>
  <c r="L75" i="2" s="1"/>
  <c r="M76" i="2" a="1"/>
  <c r="M76" i="2" s="1"/>
  <c r="M77" i="2" a="1"/>
  <c r="M77" i="2" s="1"/>
  <c r="M78" i="2" a="1"/>
  <c r="M78" i="2" s="1"/>
  <c r="K80" i="2" a="1"/>
  <c r="K80" i="2" s="1"/>
  <c r="K82" i="2" a="1"/>
  <c r="K82" i="2" s="1"/>
  <c r="L83" i="2" a="1"/>
  <c r="L83" i="2" s="1"/>
  <c r="L84" i="2" a="1"/>
  <c r="L84" i="2" s="1"/>
  <c r="M85" i="2" a="1"/>
  <c r="M85" i="2" s="1"/>
  <c r="M86" i="2" a="1"/>
  <c r="M86" i="2" s="1"/>
  <c r="M87" i="2" a="1"/>
  <c r="M87" i="2" s="1"/>
  <c r="M88" i="2" a="1"/>
  <c r="M88" i="2" s="1"/>
  <c r="M89" i="2" a="1"/>
  <c r="M89" i="2" s="1"/>
  <c r="M91" i="2" a="1"/>
  <c r="M91" i="2" s="1"/>
  <c r="M93" i="2" a="1"/>
  <c r="M93" i="2" s="1"/>
  <c r="K95" i="2" a="1"/>
  <c r="K95" i="2" s="1"/>
  <c r="K96" i="2" a="1"/>
  <c r="K96" i="2" s="1"/>
  <c r="L97" i="2" a="1"/>
  <c r="L97" i="2" s="1"/>
  <c r="L98" i="2" a="1"/>
  <c r="L98" i="2" s="1"/>
  <c r="M99" i="2" a="1"/>
  <c r="M99" i="2" s="1"/>
  <c r="M100" i="2" a="1"/>
  <c r="M100" i="2" s="1"/>
  <c r="K102" i="2" a="1"/>
  <c r="K102" i="2" s="1"/>
  <c r="K104" i="2" a="1"/>
  <c r="K104" i="2" s="1"/>
  <c r="L105" i="2" a="1"/>
  <c r="L105" i="2" s="1"/>
  <c r="L106" i="2" a="1"/>
  <c r="L106" i="2" s="1"/>
  <c r="M107" i="2" a="1"/>
  <c r="M107" i="2" s="1"/>
  <c r="M108" i="2" a="1"/>
  <c r="M108" i="2" s="1"/>
  <c r="M109" i="2" a="1"/>
  <c r="M109" i="2" s="1"/>
  <c r="K111" i="2" a="1"/>
  <c r="K111" i="2" s="1"/>
  <c r="K113" i="2" a="1"/>
  <c r="K113" i="2" s="1"/>
  <c r="K114" i="2" a="1"/>
  <c r="K114" i="2" s="1"/>
  <c r="K115" i="2" a="1"/>
  <c r="K115" i="2" s="1"/>
  <c r="L116" i="2" a="1"/>
  <c r="L116" i="2" s="1"/>
  <c r="M117" i="2" a="1"/>
  <c r="M117" i="2" s="1"/>
  <c r="M118" i="2" a="1"/>
  <c r="M118" i="2" s="1"/>
  <c r="K121" i="2" a="1"/>
  <c r="K121" i="2" s="1"/>
  <c r="K122" i="2" a="1"/>
  <c r="K122" i="2" s="1"/>
  <c r="K123" i="2" a="1"/>
  <c r="K123" i="2" s="1"/>
  <c r="K124" i="2" a="1"/>
  <c r="K124" i="2" s="1"/>
  <c r="L126" i="2" a="1"/>
  <c r="L126" i="2" s="1"/>
  <c r="L127" i="2" a="1"/>
  <c r="L127" i="2" s="1"/>
  <c r="L128" i="2" a="1"/>
  <c r="L128" i="2" s="1"/>
  <c r="L129" i="2" a="1"/>
  <c r="L129" i="2" s="1"/>
  <c r="M131" i="2" a="1"/>
  <c r="M131" i="2" s="1"/>
  <c r="M132" i="2" a="1"/>
  <c r="M132" i="2" s="1"/>
  <c r="M134" i="2" a="1"/>
  <c r="M134" i="2" s="1"/>
  <c r="M135" i="2" a="1"/>
  <c r="M135" i="2" s="1"/>
  <c r="M136" i="2" a="1"/>
  <c r="M136" i="2" s="1"/>
  <c r="M137" i="2" a="1"/>
  <c r="M137" i="2" s="1"/>
  <c r="K139" i="2" a="1"/>
  <c r="K139" i="2" s="1"/>
  <c r="L141" i="2" a="1"/>
  <c r="L141" i="2" s="1"/>
  <c r="L142" i="2" a="1"/>
  <c r="L142" i="2" s="1"/>
  <c r="L143" i="2" a="1"/>
  <c r="L143" i="2" s="1"/>
  <c r="M144" i="2" a="1"/>
  <c r="M144" i="2" s="1"/>
  <c r="M145" i="2" a="1"/>
  <c r="M145" i="2" s="1"/>
  <c r="K148" i="2" a="1"/>
  <c r="K148" i="2" s="1"/>
  <c r="L149" i="2" a="1"/>
  <c r="L149" i="2" s="1"/>
  <c r="L150" i="2" a="1"/>
  <c r="L150" i="2" s="1"/>
  <c r="L151" i="2" a="1"/>
  <c r="L151" i="2" s="1"/>
  <c r="L152" i="2" a="1"/>
  <c r="L152" i="2" s="1"/>
  <c r="M153" i="2" a="1"/>
  <c r="M153" i="2" s="1"/>
  <c r="K156" i="2" a="1"/>
  <c r="K156" i="2" s="1"/>
  <c r="L157" i="2" a="1"/>
  <c r="L157" i="2" s="1"/>
  <c r="L158" i="2" a="1"/>
  <c r="L158" i="2" s="1"/>
  <c r="L159" i="2" a="1"/>
  <c r="L159" i="2" s="1"/>
  <c r="M160" i="2" a="1"/>
  <c r="M160" i="2" s="1"/>
  <c r="M161" i="2" a="1"/>
  <c r="M161" i="2" s="1"/>
  <c r="K163" i="2" a="1"/>
  <c r="K163" i="2" s="1"/>
  <c r="L164" i="2" a="1"/>
  <c r="L164" i="2" s="1"/>
  <c r="M165" i="2" a="1"/>
  <c r="M165" i="2" s="1"/>
  <c r="K168" i="2" a="1"/>
  <c r="K168" i="2" s="1"/>
  <c r="L169" i="2" a="1"/>
  <c r="L169" i="2" s="1"/>
  <c r="M170" i="2" a="1"/>
  <c r="M170" i="2" s="1"/>
  <c r="K172" i="2" a="1"/>
  <c r="K172" i="2" s="1"/>
  <c r="K173" i="2" a="1"/>
  <c r="K173" i="2" s="1"/>
  <c r="L174" i="2" a="1"/>
  <c r="L174" i="2" s="1"/>
  <c r="L175" i="2" a="1"/>
  <c r="L175" i="2" s="1"/>
  <c r="M176" i="2" a="1"/>
  <c r="M176" i="2" s="1"/>
  <c r="M177" i="2" a="1"/>
  <c r="M177" i="2" s="1"/>
  <c r="K179" i="2" a="1"/>
  <c r="K179" i="2" s="1"/>
  <c r="L181" i="2" a="1"/>
  <c r="L181" i="2" s="1"/>
  <c r="M182" i="2" a="1"/>
  <c r="M182" i="2" s="1"/>
  <c r="M183" i="2" a="1"/>
  <c r="M183" i="2" s="1"/>
  <c r="K185" i="2" a="1"/>
  <c r="K185" i="2" s="1"/>
  <c r="L186" i="2" a="1"/>
  <c r="L186" i="2" s="1"/>
  <c r="M187" i="2" a="1"/>
  <c r="M187" i="2" s="1"/>
  <c r="K189" i="2" a="1"/>
  <c r="K189" i="2" s="1"/>
  <c r="L190" i="2" a="1"/>
  <c r="L190" i="2" s="1"/>
  <c r="M191" i="2" a="1"/>
  <c r="M191" i="2" s="1"/>
  <c r="K193" i="2" a="1"/>
  <c r="K193" i="2" s="1"/>
  <c r="L194" i="2" a="1"/>
  <c r="L194" i="2" s="1"/>
  <c r="M195" i="2" a="1"/>
  <c r="M195" i="2" s="1"/>
  <c r="K197" i="2" a="1"/>
  <c r="K197" i="2" s="1"/>
  <c r="L198" i="2" a="1"/>
  <c r="L198" i="2" s="1"/>
  <c r="M199" i="2" a="1"/>
  <c r="M199" i="2" s="1"/>
  <c r="K201" i="2" a="1"/>
  <c r="K201" i="2" s="1"/>
  <c r="L202" i="2" a="1"/>
  <c r="L202" i="2" s="1"/>
  <c r="M203" i="2" a="1"/>
  <c r="M203" i="2" s="1"/>
  <c r="K205" i="2" a="1"/>
  <c r="K205" i="2" s="1"/>
  <c r="L206" i="2" a="1"/>
  <c r="L206" i="2" s="1"/>
  <c r="M207" i="2" a="1"/>
  <c r="M207" i="2" s="1"/>
  <c r="K209" i="2" a="1"/>
  <c r="K209" i="2" s="1"/>
  <c r="L210" i="2" a="1"/>
  <c r="L210" i="2" s="1"/>
  <c r="M211" i="2" a="1"/>
  <c r="M211" i="2" s="1"/>
  <c r="K213" i="2" a="1"/>
  <c r="K213" i="2" s="1"/>
  <c r="L214" i="2" a="1"/>
  <c r="L214" i="2" s="1"/>
  <c r="M215" i="2" a="1"/>
  <c r="M215" i="2" s="1"/>
  <c r="K217" i="2" a="1"/>
  <c r="K217" i="2" s="1"/>
  <c r="L218" i="2" a="1"/>
  <c r="L218" i="2" s="1"/>
  <c r="M219" i="2" a="1"/>
  <c r="M219" i="2" s="1"/>
  <c r="K221" i="2" a="1"/>
  <c r="K221" i="2" s="1"/>
  <c r="L222" i="2" a="1"/>
  <c r="L222" i="2" s="1"/>
  <c r="M223" i="2" a="1"/>
  <c r="M223" i="2" s="1"/>
  <c r="K225" i="2" a="1"/>
  <c r="K225" i="2" s="1"/>
  <c r="L226" i="2" a="1"/>
  <c r="L226" i="2" s="1"/>
  <c r="M227" i="2" a="1"/>
  <c r="M227" i="2" s="1"/>
  <c r="K229" i="2" a="1"/>
  <c r="K229" i="2" s="1"/>
  <c r="L230" i="2" a="1"/>
  <c r="L230" i="2" s="1"/>
  <c r="M231" i="2" a="1"/>
  <c r="M231" i="2" s="1"/>
  <c r="K233" i="2" a="1"/>
  <c r="K233" i="2" s="1"/>
  <c r="K234" i="2" a="1"/>
  <c r="K234" i="2" s="1"/>
  <c r="L235" i="2" a="1"/>
  <c r="L235" i="2" s="1"/>
  <c r="L236" i="2" a="1"/>
  <c r="L236" i="2" s="1"/>
  <c r="L238" i="2" a="1"/>
  <c r="L238" i="2" s="1"/>
  <c r="K240" i="2" a="1"/>
  <c r="K240" i="2" s="1"/>
  <c r="K242" i="2" a="1"/>
  <c r="K242" i="2" s="1"/>
  <c r="K243" i="2" a="1"/>
  <c r="K243" i="2" s="1"/>
  <c r="K244" i="2" a="1"/>
  <c r="K244" i="2" s="1"/>
  <c r="K245" i="2" a="1"/>
  <c r="K245" i="2" s="1"/>
  <c r="K246" i="2" a="1"/>
  <c r="K246" i="2" s="1"/>
  <c r="L247" i="2" a="1"/>
  <c r="L247" i="2" s="1"/>
  <c r="L248" i="2" a="1"/>
  <c r="L248" i="2" s="1"/>
  <c r="L249" i="2" a="1"/>
  <c r="L249" i="2" s="1"/>
  <c r="M251" i="2" a="1"/>
  <c r="M251" i="2" s="1"/>
  <c r="K253" i="2" a="1"/>
  <c r="K253" i="2" s="1"/>
  <c r="K254" i="2" a="1"/>
  <c r="K254" i="2" s="1"/>
  <c r="K255" i="2" a="1"/>
  <c r="K255" i="2" s="1"/>
  <c r="K256" i="2" a="1"/>
  <c r="K256" i="2" s="1"/>
  <c r="L257" i="2" a="1"/>
  <c r="L257" i="2" s="1"/>
  <c r="M259" i="2" a="1"/>
  <c r="M259" i="2" s="1"/>
  <c r="K261" i="2" a="1"/>
  <c r="K261" i="2" s="1"/>
  <c r="K262" i="2" a="1"/>
  <c r="K262" i="2" s="1"/>
  <c r="L263" i="2" a="1"/>
  <c r="L263" i="2" s="1"/>
  <c r="L264" i="2" a="1"/>
  <c r="L264" i="2" s="1"/>
  <c r="L265" i="2" a="1"/>
  <c r="L265" i="2" s="1"/>
  <c r="M267" i="2" a="1"/>
  <c r="M267" i="2" s="1"/>
  <c r="M268" i="2" a="1"/>
  <c r="M268" i="2" s="1"/>
  <c r="M269" i="2" a="1"/>
  <c r="M269" i="2" s="1"/>
  <c r="M270" i="2" a="1"/>
  <c r="M270" i="2" s="1"/>
  <c r="K273" i="2" a="1"/>
  <c r="K273" i="2" s="1"/>
  <c r="K274" i="2" a="1"/>
  <c r="K274" i="2" s="1"/>
  <c r="L275" i="2" a="1"/>
  <c r="L275" i="2" s="1"/>
  <c r="L276" i="2" a="1"/>
  <c r="L276" i="2" s="1"/>
  <c r="L277" i="2" a="1"/>
  <c r="L277" i="2" s="1"/>
  <c r="L279" i="2" a="1"/>
  <c r="L279" i="2" s="1"/>
  <c r="L280" i="2" a="1"/>
  <c r="L280" i="2" s="1"/>
  <c r="L281" i="2" a="1"/>
  <c r="L281" i="2" s="1"/>
  <c r="L282" i="2" a="1"/>
  <c r="L282" i="2" s="1"/>
  <c r="L283" i="2" a="1"/>
  <c r="L283" i="2" s="1"/>
  <c r="L284" i="2" a="1"/>
  <c r="L284" i="2" s="1"/>
  <c r="L285" i="2" a="1"/>
  <c r="L285" i="2" s="1"/>
  <c r="M286" i="2" a="1"/>
  <c r="M286" i="2" s="1"/>
  <c r="M287" i="2" a="1"/>
  <c r="M287" i="2" s="1"/>
  <c r="M288" i="2" a="1"/>
  <c r="M288" i="2" s="1"/>
  <c r="M290" i="2" a="1"/>
  <c r="M290" i="2" s="1"/>
  <c r="K293" i="2" a="1"/>
  <c r="K293" i="2" s="1"/>
  <c r="K294" i="2" a="1"/>
  <c r="K294" i="2" s="1"/>
  <c r="K295" i="2" a="1"/>
  <c r="K295" i="2" s="1"/>
  <c r="K297" i="2" a="1"/>
  <c r="K297" i="2" s="1"/>
  <c r="K299" i="2" a="1"/>
  <c r="K299" i="2" s="1"/>
  <c r="K300" i="2" a="1"/>
  <c r="K300" i="2" s="1"/>
  <c r="K301" i="2" a="1"/>
  <c r="K301" i="2" s="1"/>
  <c r="K302" i="2" a="1"/>
  <c r="K302" i="2" s="1"/>
  <c r="K303" i="2" a="1"/>
  <c r="K303" i="2" s="1"/>
  <c r="K305" i="2" a="1"/>
  <c r="K305" i="2" s="1"/>
  <c r="M306" i="2" a="1"/>
  <c r="M306" i="2" s="1"/>
  <c r="M308" i="2" a="1"/>
  <c r="M308" i="2" s="1"/>
  <c r="K310" i="2" a="1"/>
  <c r="K310" i="2" s="1"/>
  <c r="K311" i="2" a="1"/>
  <c r="K311" i="2" s="1"/>
  <c r="K313" i="2" a="1"/>
  <c r="K313" i="2" s="1"/>
  <c r="M314" i="2" a="1"/>
  <c r="M314" i="2" s="1"/>
  <c r="M316" i="2" a="1"/>
  <c r="M316" i="2" s="1"/>
  <c r="M317" i="2" a="1"/>
  <c r="M317" i="2" s="1"/>
  <c r="K319" i="2" a="1"/>
  <c r="K319" i="2" s="1"/>
  <c r="K320" i="2" a="1"/>
  <c r="K320" i="2" s="1"/>
  <c r="K322" i="2" a="1"/>
  <c r="K322" i="2" s="1"/>
  <c r="K323" i="2" a="1"/>
  <c r="K323" i="2" s="1"/>
  <c r="K324" i="2" a="1"/>
  <c r="K324" i="2" s="1"/>
  <c r="L326" i="2" a="1"/>
  <c r="L326" i="2" s="1"/>
  <c r="L327" i="2" a="1"/>
  <c r="L327" i="2" s="1"/>
  <c r="L328" i="2" a="1"/>
  <c r="L328" i="2" s="1"/>
  <c r="L329" i="2" a="1"/>
  <c r="L329" i="2" s="1"/>
  <c r="M331" i="2" a="1"/>
  <c r="M331" i="2" s="1"/>
  <c r="M332" i="2" a="1"/>
  <c r="M332" i="2" s="1"/>
  <c r="M333" i="2" a="1"/>
  <c r="M333" i="2" s="1"/>
  <c r="M334" i="2" a="1"/>
  <c r="M334" i="2" s="1"/>
  <c r="K337" i="2" a="1"/>
  <c r="K337" i="2" s="1"/>
  <c r="K338" i="2" a="1"/>
  <c r="K338" i="2" s="1"/>
  <c r="K339" i="2" a="1"/>
  <c r="K339" i="2" s="1"/>
  <c r="K340" i="2" a="1"/>
  <c r="K340" i="2" s="1"/>
  <c r="L342" i="2" a="1"/>
  <c r="L342" i="2" s="1"/>
  <c r="L343" i="2" a="1"/>
  <c r="L343" i="2" s="1"/>
  <c r="L344" i="2" a="1"/>
  <c r="L344" i="2" s="1"/>
  <c r="L345" i="2" a="1"/>
  <c r="L345" i="2" s="1"/>
  <c r="L347" i="2" a="1"/>
  <c r="L347" i="2" s="1"/>
  <c r="L348" i="2" a="1"/>
  <c r="L348" i="2" s="1"/>
  <c r="M350" i="2" a="1"/>
  <c r="M350" i="2" s="1"/>
  <c r="M351" i="2" a="1"/>
  <c r="M351" i="2" s="1"/>
  <c r="M352" i="2" a="1"/>
  <c r="M352" i="2" s="1"/>
  <c r="M353" i="2" a="1"/>
  <c r="M353" i="2" s="1"/>
  <c r="K356" i="2" a="1"/>
  <c r="K356" i="2" s="1"/>
  <c r="K357" i="2" a="1"/>
  <c r="K357" i="2" s="1"/>
  <c r="K358" i="2" a="1"/>
  <c r="K358" i="2" s="1"/>
  <c r="K359" i="2" a="1"/>
  <c r="K359" i="2" s="1"/>
  <c r="L361" i="2" a="1"/>
  <c r="L361" i="2" s="1"/>
  <c r="L362" i="2" a="1"/>
  <c r="L362" i="2" s="1"/>
  <c r="L363" i="2" a="1"/>
  <c r="L363" i="2" s="1"/>
  <c r="L364" i="2" a="1"/>
  <c r="L364" i="2" s="1"/>
  <c r="M366" i="2" a="1"/>
  <c r="M366" i="2" s="1"/>
  <c r="M367" i="2" a="1"/>
  <c r="M367" i="2" s="1"/>
  <c r="M368" i="2" a="1"/>
  <c r="M368" i="2" s="1"/>
  <c r="M369" i="2" a="1"/>
  <c r="M369" i="2" s="1"/>
  <c r="K372" i="2" a="1"/>
  <c r="K372" i="2" s="1"/>
  <c r="K373" i="2" a="1"/>
  <c r="K373" i="2" s="1"/>
  <c r="K374" i="2" a="1"/>
  <c r="K374" i="2" s="1"/>
  <c r="K375" i="2" a="1"/>
  <c r="K375" i="2" s="1"/>
  <c r="L377" i="2" a="1"/>
  <c r="L377" i="2" s="1"/>
  <c r="L378" i="2" a="1"/>
  <c r="L378" i="2" s="1"/>
  <c r="L379" i="2" a="1"/>
  <c r="L379" i="2" s="1"/>
  <c r="L380" i="2" a="1"/>
  <c r="L380" i="2" s="1"/>
  <c r="M382" i="2" a="1"/>
  <c r="M382" i="2" s="1"/>
  <c r="M383" i="2" a="1"/>
  <c r="M383" i="2" s="1"/>
  <c r="M384" i="2" a="1"/>
  <c r="M384" i="2" s="1"/>
  <c r="M385" i="2" a="1"/>
  <c r="M385" i="2" s="1"/>
  <c r="K388" i="2" a="1"/>
  <c r="K388" i="2" s="1"/>
  <c r="K389" i="2" a="1"/>
  <c r="K389" i="2" s="1"/>
  <c r="K390" i="2" a="1"/>
  <c r="K390" i="2" s="1"/>
  <c r="K391" i="2" a="1"/>
  <c r="K391" i="2" s="1"/>
  <c r="L393" i="2" a="1"/>
  <c r="L393" i="2" s="1"/>
  <c r="L394" i="2" a="1"/>
  <c r="L394" i="2" s="1"/>
  <c r="L395" i="2" a="1"/>
  <c r="L395" i="2" s="1"/>
  <c r="L396" i="2" a="1"/>
  <c r="L396" i="2" s="1"/>
  <c r="M398" i="2" a="1"/>
  <c r="M398" i="2" s="1"/>
  <c r="M399" i="2" a="1"/>
  <c r="M399" i="2" s="1"/>
  <c r="M400" i="2" a="1"/>
  <c r="M400" i="2" s="1"/>
  <c r="M401" i="2" a="1"/>
  <c r="M401" i="2" s="1"/>
  <c r="K404" i="2" a="1"/>
  <c r="K404" i="2" s="1"/>
  <c r="K405" i="2" a="1"/>
  <c r="K405" i="2" s="1"/>
  <c r="K406" i="2" a="1"/>
  <c r="K406" i="2" s="1"/>
  <c r="K407" i="2" a="1"/>
  <c r="K407" i="2" s="1"/>
  <c r="L409" i="2" a="1"/>
  <c r="L409" i="2" s="1"/>
  <c r="L410" i="2" a="1"/>
  <c r="L410" i="2" s="1"/>
  <c r="L411" i="2" a="1"/>
  <c r="L411" i="2" s="1"/>
  <c r="L412" i="2" a="1"/>
  <c r="L412" i="2" s="1"/>
  <c r="M414" i="2" a="1"/>
  <c r="M414" i="2" s="1"/>
  <c r="M415" i="2" a="1"/>
  <c r="M415" i="2" s="1"/>
  <c r="M416" i="2" a="1"/>
  <c r="M416" i="2" s="1"/>
  <c r="M417" i="2" a="1"/>
  <c r="M417" i="2" s="1"/>
  <c r="K420" i="2" a="1"/>
  <c r="K420" i="2" s="1"/>
  <c r="K421" i="2" a="1"/>
  <c r="K421" i="2" s="1"/>
  <c r="K422" i="2" a="1"/>
  <c r="K422" i="2" s="1"/>
  <c r="K423" i="2" a="1"/>
  <c r="K423" i="2" s="1"/>
  <c r="L425" i="2" a="1"/>
  <c r="L425" i="2" s="1"/>
  <c r="L426" i="2" a="1"/>
  <c r="L426" i="2" s="1"/>
  <c r="L427" i="2" a="1"/>
  <c r="L427" i="2" s="1"/>
  <c r="L428" i="2" a="1"/>
  <c r="L428" i="2" s="1"/>
  <c r="M430" i="2" a="1"/>
  <c r="M430" i="2" s="1"/>
  <c r="M431" i="2" a="1"/>
  <c r="M431" i="2" s="1"/>
  <c r="M432" i="2" a="1"/>
  <c r="M432" i="2" s="1"/>
  <c r="M433" i="2" a="1"/>
  <c r="M433" i="2" s="1"/>
  <c r="K436" i="2" a="1"/>
  <c r="K436" i="2" s="1"/>
  <c r="K437" i="2" a="1"/>
  <c r="K437" i="2" s="1"/>
  <c r="K438" i="2" a="1"/>
  <c r="K438" i="2" s="1"/>
  <c r="K439" i="2" a="1"/>
  <c r="K439" i="2" s="1"/>
  <c r="L441" i="2" a="1"/>
  <c r="L441" i="2" s="1"/>
  <c r="L442" i="2" a="1"/>
  <c r="L442" i="2" s="1"/>
  <c r="L443" i="2" a="1"/>
  <c r="L443" i="2" s="1"/>
  <c r="L444" i="2" a="1"/>
  <c r="L444" i="2" s="1"/>
  <c r="M446" i="2" a="1"/>
  <c r="M446" i="2" s="1"/>
  <c r="M447" i="2" a="1"/>
  <c r="M447" i="2" s="1"/>
  <c r="M448" i="2" a="1"/>
  <c r="M448" i="2" s="1"/>
  <c r="M449" i="2" a="1"/>
  <c r="M449" i="2" s="1"/>
  <c r="K452" i="2" a="1"/>
  <c r="K452" i="2" s="1"/>
  <c r="K453" i="2" a="1"/>
  <c r="K453" i="2" s="1"/>
  <c r="K454" i="2" a="1"/>
  <c r="K454" i="2" s="1"/>
  <c r="K455" i="2" a="1"/>
  <c r="K455" i="2" s="1"/>
  <c r="L457" i="2" a="1"/>
  <c r="L457" i="2" s="1"/>
  <c r="L458" i="2" a="1"/>
  <c r="L458" i="2" s="1"/>
  <c r="L459" i="2" a="1"/>
  <c r="L459" i="2" s="1"/>
  <c r="L460" i="2" a="1"/>
  <c r="L460" i="2" s="1"/>
  <c r="M462" i="2" a="1"/>
  <c r="M462" i="2" s="1"/>
  <c r="M463" i="2" a="1"/>
  <c r="M463" i="2" s="1"/>
  <c r="M464" i="2" a="1"/>
  <c r="M464" i="2" s="1"/>
  <c r="M465" i="2" a="1"/>
  <c r="M465" i="2" s="1"/>
  <c r="K468" i="2" a="1"/>
  <c r="K468" i="2" s="1"/>
  <c r="K469" i="2" a="1"/>
  <c r="K469" i="2" s="1"/>
  <c r="K470" i="2" a="1"/>
  <c r="K470" i="2" s="1"/>
  <c r="K471" i="2" a="1"/>
  <c r="K471" i="2" s="1"/>
  <c r="L473" i="2" a="1"/>
  <c r="L473" i="2" s="1"/>
  <c r="L474" i="2" a="1"/>
  <c r="L474" i="2" s="1"/>
  <c r="L475" i="2" a="1"/>
  <c r="L475" i="2" s="1"/>
  <c r="L476" i="2" a="1"/>
  <c r="L476" i="2" s="1"/>
  <c r="M478" i="2" a="1"/>
  <c r="M478" i="2" s="1"/>
  <c r="M479" i="2" a="1"/>
  <c r="M479" i="2" s="1"/>
  <c r="M480" i="2" a="1"/>
  <c r="M480" i="2" s="1"/>
  <c r="M481" i="2" a="1"/>
  <c r="M481" i="2" s="1"/>
  <c r="K484" i="2" a="1"/>
  <c r="K484" i="2" s="1"/>
  <c r="K485" i="2" a="1"/>
  <c r="K485" i="2" s="1"/>
  <c r="K486" i="2" a="1"/>
  <c r="K486" i="2" s="1"/>
  <c r="K487" i="2" a="1"/>
  <c r="K487" i="2" s="1"/>
  <c r="L489" i="2" a="1"/>
  <c r="L489" i="2" s="1"/>
  <c r="L490" i="2" a="1"/>
  <c r="L490" i="2" s="1"/>
  <c r="L491" i="2" a="1"/>
  <c r="L491" i="2" s="1"/>
  <c r="L492" i="2" a="1"/>
  <c r="L492" i="2" s="1"/>
  <c r="M494" i="2" a="1"/>
  <c r="M494" i="2" s="1"/>
  <c r="M495" i="2" a="1"/>
  <c r="M495" i="2" s="1"/>
  <c r="M496" i="2" a="1"/>
  <c r="M496" i="2" s="1"/>
  <c r="M497" i="2" a="1"/>
  <c r="M497" i="2" s="1"/>
  <c r="K500" i="2" a="1"/>
  <c r="K500" i="2" s="1"/>
  <c r="K501" i="2" a="1"/>
  <c r="K501" i="2" s="1"/>
  <c r="K502" i="2" a="1"/>
  <c r="K502" i="2" s="1"/>
  <c r="K503" i="2" a="1"/>
  <c r="K503" i="2" s="1"/>
  <c r="L505" i="2" a="1"/>
  <c r="L505" i="2" s="1"/>
  <c r="L506" i="2" a="1"/>
  <c r="L506" i="2" s="1"/>
  <c r="L507" i="2" a="1"/>
  <c r="L507" i="2" s="1"/>
  <c r="L508" i="2" a="1"/>
  <c r="L508" i="2" s="1"/>
  <c r="M510" i="2" a="1"/>
  <c r="M510" i="2" s="1"/>
  <c r="M511" i="2" a="1"/>
  <c r="M511" i="2" s="1"/>
  <c r="M512" i="2" a="1"/>
  <c r="M512" i="2" s="1"/>
  <c r="M513" i="2" a="1"/>
  <c r="M513" i="2" s="1"/>
  <c r="I3180" i="2" a="1"/>
  <c r="I3180" i="2" s="1"/>
  <c r="G3182" i="2" a="1"/>
  <c r="G3182" i="2" s="1"/>
  <c r="H3183" i="2" a="1"/>
  <c r="H3183" i="2" s="1"/>
  <c r="I3184" i="2" a="1"/>
  <c r="I3184" i="2" s="1"/>
  <c r="G3186" i="2" a="1"/>
  <c r="G3186" i="2" s="1"/>
  <c r="H3187" i="2" a="1"/>
  <c r="H3187" i="2" s="1"/>
  <c r="I3188" i="2" a="1"/>
  <c r="I3188" i="2" s="1"/>
  <c r="G3190" i="2" a="1"/>
  <c r="G3190" i="2" s="1"/>
  <c r="H3191" i="2" a="1"/>
  <c r="H3191" i="2" s="1"/>
  <c r="I3192" i="2" a="1"/>
  <c r="I3192" i="2" s="1"/>
  <c r="G3194" i="2" a="1"/>
  <c r="G3194" i="2" s="1"/>
  <c r="H3195" i="2" a="1"/>
  <c r="H3195" i="2" s="1"/>
  <c r="I3196" i="2" a="1"/>
  <c r="I3196" i="2" s="1"/>
  <c r="G3198" i="2" a="1"/>
  <c r="G3198" i="2" s="1"/>
  <c r="H3199" i="2" a="1"/>
  <c r="H3199" i="2" s="1"/>
  <c r="I3200" i="2" a="1"/>
  <c r="I3200" i="2" s="1"/>
  <c r="G3202" i="2" a="1"/>
  <c r="G3202" i="2" s="1"/>
  <c r="H3203" i="2" a="1"/>
  <c r="H3203" i="2" s="1"/>
  <c r="I3204" i="2" a="1"/>
  <c r="I3204" i="2" s="1"/>
  <c r="G3206" i="2" a="1"/>
  <c r="G3206" i="2" s="1"/>
  <c r="H3207" i="2" a="1"/>
  <c r="H3207" i="2" s="1"/>
  <c r="I3208" i="2" a="1"/>
  <c r="I3208" i="2" s="1"/>
  <c r="G3210" i="2" a="1"/>
  <c r="G3210" i="2" s="1"/>
  <c r="H3211" i="2" a="1"/>
  <c r="H3211" i="2" s="1"/>
  <c r="I3212" i="2" a="1"/>
  <c r="I3212" i="2" s="1"/>
  <c r="G3214" i="2" a="1"/>
  <c r="G3214" i="2" s="1"/>
  <c r="H3215" i="2" a="1"/>
  <c r="H3215" i="2" s="1"/>
  <c r="I3216" i="2" a="1"/>
  <c r="I3216" i="2" s="1"/>
  <c r="G3218" i="2" a="1"/>
  <c r="G3218" i="2" s="1"/>
  <c r="H3219" i="2" a="1"/>
  <c r="H3219" i="2" s="1"/>
  <c r="I3220" i="2" a="1"/>
  <c r="I3220" i="2" s="1"/>
  <c r="G3222" i="2" a="1"/>
  <c r="G3222" i="2" s="1"/>
  <c r="H3223" i="2" a="1"/>
  <c r="H3223" i="2" s="1"/>
  <c r="I3224" i="2" a="1"/>
  <c r="I3224" i="2" s="1"/>
  <c r="G3226" i="2" a="1"/>
  <c r="G3226" i="2" s="1"/>
  <c r="H3227" i="2" a="1"/>
  <c r="H3227" i="2" s="1"/>
  <c r="I3228" i="2" a="1"/>
  <c r="I3228" i="2" s="1"/>
  <c r="G3230" i="2" a="1"/>
  <c r="G3230" i="2" s="1"/>
  <c r="H3231" i="2" a="1"/>
  <c r="H3231" i="2" s="1"/>
  <c r="I3232" i="2" a="1"/>
  <c r="I3232" i="2" s="1"/>
  <c r="G3234" i="2" a="1"/>
  <c r="G3234" i="2" s="1"/>
  <c r="H3235" i="2" a="1"/>
  <c r="H3235" i="2" s="1"/>
  <c r="I3236" i="2" a="1"/>
  <c r="I3236" i="2" s="1"/>
  <c r="G3238" i="2" a="1"/>
  <c r="G3238" i="2" s="1"/>
  <c r="H3239" i="2" a="1"/>
  <c r="H3239" i="2" s="1"/>
  <c r="I3240" i="2" a="1"/>
  <c r="I3240" i="2" s="1"/>
  <c r="G3242" i="2" a="1"/>
  <c r="G3242" i="2" s="1"/>
  <c r="H3243" i="2" a="1"/>
  <c r="H3243" i="2" s="1"/>
  <c r="I3244" i="2" a="1"/>
  <c r="I3244" i="2" s="1"/>
  <c r="G3246" i="2" a="1"/>
  <c r="G3246" i="2" s="1"/>
  <c r="H3247" i="2" a="1"/>
  <c r="H3247" i="2" s="1"/>
  <c r="I3248" i="2" a="1"/>
  <c r="I3248" i="2" s="1"/>
  <c r="G3250" i="2" a="1"/>
  <c r="G3250" i="2" s="1"/>
  <c r="H3251" i="2" a="1"/>
  <c r="H3251" i="2" s="1"/>
  <c r="I3252" i="2" a="1"/>
  <c r="I3252" i="2" s="1"/>
  <c r="G3254" i="2" a="1"/>
  <c r="G3254" i="2" s="1"/>
  <c r="H3255" i="2" a="1"/>
  <c r="H3255" i="2" s="1"/>
  <c r="I3256" i="2" a="1"/>
  <c r="I3256" i="2" s="1"/>
  <c r="G3258" i="2" a="1"/>
  <c r="G3258" i="2" s="1"/>
  <c r="H3259" i="2" a="1"/>
  <c r="H3259" i="2" s="1"/>
  <c r="I3260" i="2" a="1"/>
  <c r="I3260" i="2" s="1"/>
  <c r="G3262" i="2" a="1"/>
  <c r="G3262" i="2" s="1"/>
  <c r="H3263" i="2" a="1"/>
  <c r="H3263" i="2" s="1"/>
  <c r="I3264" i="2" a="1"/>
  <c r="I3264" i="2" s="1"/>
  <c r="G3266" i="2" a="1"/>
  <c r="G3266" i="2" s="1"/>
  <c r="H3267" i="2" a="1"/>
  <c r="H3267" i="2" s="1"/>
  <c r="I3268" i="2" a="1"/>
  <c r="I3268" i="2" s="1"/>
  <c r="G3270" i="2" a="1"/>
  <c r="G3270" i="2" s="1"/>
  <c r="H3271" i="2" a="1"/>
  <c r="H3271" i="2" s="1"/>
  <c r="I3272" i="2" a="1"/>
  <c r="I3272" i="2" s="1"/>
  <c r="G3274" i="2" a="1"/>
  <c r="G3274" i="2" s="1"/>
  <c r="H3275" i="2" a="1"/>
  <c r="H3275" i="2" s="1"/>
  <c r="I3276" i="2" a="1"/>
  <c r="I3276" i="2" s="1"/>
  <c r="G3278" i="2" a="1"/>
  <c r="G3278" i="2" s="1"/>
  <c r="H3279" i="2" a="1"/>
  <c r="H3279" i="2" s="1"/>
  <c r="I3280" i="2" a="1"/>
  <c r="I3280" i="2" s="1"/>
  <c r="G3282" i="2" a="1"/>
  <c r="G3282" i="2" s="1"/>
  <c r="H3283" i="2" a="1"/>
  <c r="H3283" i="2" s="1"/>
  <c r="I3284" i="2" a="1"/>
  <c r="I3284" i="2" s="1"/>
  <c r="G3286" i="2" a="1"/>
  <c r="G3286" i="2" s="1"/>
  <c r="H3287" i="2" a="1"/>
  <c r="H3287" i="2" s="1"/>
  <c r="I3288" i="2" a="1"/>
  <c r="I3288" i="2" s="1"/>
  <c r="G3290" i="2" a="1"/>
  <c r="G3290" i="2" s="1"/>
  <c r="H3291" i="2" a="1"/>
  <c r="H3291" i="2" s="1"/>
  <c r="I3292" i="2" a="1"/>
  <c r="I3292" i="2" s="1"/>
  <c r="G3294" i="2" a="1"/>
  <c r="G3294" i="2" s="1"/>
  <c r="H3295" i="2" a="1"/>
  <c r="H3295" i="2" s="1"/>
  <c r="I3296" i="2" a="1"/>
  <c r="I3296" i="2" s="1"/>
  <c r="G3298" i="2" a="1"/>
  <c r="G3298" i="2" s="1"/>
  <c r="H3299" i="2" a="1"/>
  <c r="H3299" i="2" s="1"/>
  <c r="I3300" i="2" a="1"/>
  <c r="I3300" i="2" s="1"/>
  <c r="G3302" i="2" a="1"/>
  <c r="G3302" i="2" s="1"/>
  <c r="H3303" i="2" a="1"/>
  <c r="H3303" i="2" s="1"/>
  <c r="I3304" i="2" a="1"/>
  <c r="I3304" i="2" s="1"/>
  <c r="G3306" i="2" a="1"/>
  <c r="G3306" i="2" s="1"/>
  <c r="H3307" i="2" a="1"/>
  <c r="H3307" i="2" s="1"/>
  <c r="I3308" i="2" a="1"/>
  <c r="I3308" i="2" s="1"/>
  <c r="G3310" i="2" a="1"/>
  <c r="G3310" i="2" s="1"/>
  <c r="H3311" i="2" a="1"/>
  <c r="H3311" i="2" s="1"/>
  <c r="I3312" i="2" a="1"/>
  <c r="I3312" i="2" s="1"/>
  <c r="G3314" i="2" a="1"/>
  <c r="G3314" i="2" s="1"/>
  <c r="H3315" i="2" a="1"/>
  <c r="H3315" i="2" s="1"/>
  <c r="I3316" i="2" a="1"/>
  <c r="I3316" i="2" s="1"/>
  <c r="G3318" i="2" a="1"/>
  <c r="G3318" i="2" s="1"/>
  <c r="H3319" i="2" a="1"/>
  <c r="H3319" i="2" s="1"/>
  <c r="I3320" i="2" a="1"/>
  <c r="I3320" i="2" s="1"/>
  <c r="G3322" i="2" a="1"/>
  <c r="G3322" i="2" s="1"/>
  <c r="H3323" i="2" a="1"/>
  <c r="H3323" i="2" s="1"/>
  <c r="I3324" i="2" a="1"/>
  <c r="I3324" i="2" s="1"/>
  <c r="G3326" i="2" a="1"/>
  <c r="G3326" i="2" s="1"/>
  <c r="H3327" i="2" a="1"/>
  <c r="H3327" i="2" s="1"/>
  <c r="I3328" i="2" a="1"/>
  <c r="I3328" i="2" s="1"/>
  <c r="G3330" i="2" a="1"/>
  <c r="G3330" i="2" s="1"/>
  <c r="H3331" i="2" a="1"/>
  <c r="H3331" i="2" s="1"/>
  <c r="I3332" i="2" a="1"/>
  <c r="I3332" i="2" s="1"/>
  <c r="G3334" i="2" a="1"/>
  <c r="G3334" i="2" s="1"/>
  <c r="H3335" i="2" a="1"/>
  <c r="H3335" i="2" s="1"/>
  <c r="I3336" i="2" a="1"/>
  <c r="I3336" i="2" s="1"/>
  <c r="G3338" i="2" a="1"/>
  <c r="G3338" i="2" s="1"/>
  <c r="H3339" i="2" a="1"/>
  <c r="H3339" i="2" s="1"/>
  <c r="I3340" i="2" a="1"/>
  <c r="I3340" i="2" s="1"/>
  <c r="G3342" i="2" a="1"/>
  <c r="G3342" i="2" s="1"/>
  <c r="H3343" i="2" a="1"/>
  <c r="H3343" i="2" s="1"/>
  <c r="I3344" i="2" a="1"/>
  <c r="I3344" i="2" s="1"/>
  <c r="G3346" i="2" a="1"/>
  <c r="G3346" i="2" s="1"/>
  <c r="H3347" i="2" a="1"/>
  <c r="H3347" i="2" s="1"/>
  <c r="I3348" i="2" a="1"/>
  <c r="I3348" i="2" s="1"/>
  <c r="G3350" i="2" a="1"/>
  <c r="G3350" i="2" s="1"/>
  <c r="H3351" i="2" a="1"/>
  <c r="H3351" i="2" s="1"/>
  <c r="I3352" i="2" a="1"/>
  <c r="I3352" i="2" s="1"/>
  <c r="G3354" i="2" a="1"/>
  <c r="G3354" i="2" s="1"/>
  <c r="H3355" i="2" a="1"/>
  <c r="H3355" i="2" s="1"/>
  <c r="I3356" i="2" a="1"/>
  <c r="I3356" i="2" s="1"/>
  <c r="G3358" i="2" a="1"/>
  <c r="G3358" i="2" s="1"/>
  <c r="H3359" i="2" a="1"/>
  <c r="H3359" i="2" s="1"/>
  <c r="I3360" i="2" a="1"/>
  <c r="I3360" i="2" s="1"/>
  <c r="G3362" i="2" a="1"/>
  <c r="G3362" i="2" s="1"/>
  <c r="H3363" i="2" a="1"/>
  <c r="H3363" i="2" s="1"/>
  <c r="I3364" i="2" a="1"/>
  <c r="I3364" i="2" s="1"/>
  <c r="G3366" i="2" a="1"/>
  <c r="G3366" i="2" s="1"/>
  <c r="H3367" i="2" a="1"/>
  <c r="H3367" i="2" s="1"/>
  <c r="I3368" i="2" a="1"/>
  <c r="I3368" i="2" s="1"/>
  <c r="G3370" i="2" a="1"/>
  <c r="G3370" i="2" s="1"/>
  <c r="H3371" i="2" a="1"/>
  <c r="H3371" i="2" s="1"/>
  <c r="I3372" i="2" a="1"/>
  <c r="I3372" i="2" s="1"/>
  <c r="G3374" i="2" a="1"/>
  <c r="G3374" i="2" s="1"/>
  <c r="H3375" i="2" a="1"/>
  <c r="H3375" i="2" s="1"/>
  <c r="I3376" i="2" a="1"/>
  <c r="I3376" i="2" s="1"/>
  <c r="G3378" i="2" a="1"/>
  <c r="G3378" i="2" s="1"/>
  <c r="H3379" i="2" a="1"/>
  <c r="H3379" i="2" s="1"/>
  <c r="I3380" i="2" a="1"/>
  <c r="I3380" i="2" s="1"/>
  <c r="G3382" i="2" a="1"/>
  <c r="G3382" i="2" s="1"/>
  <c r="H3383" i="2" a="1"/>
  <c r="H3383" i="2" s="1"/>
  <c r="I3384" i="2" a="1"/>
  <c r="I3384" i="2" s="1"/>
  <c r="G3386" i="2" a="1"/>
  <c r="G3386" i="2" s="1"/>
  <c r="H3387" i="2" a="1"/>
  <c r="H3387" i="2" s="1"/>
  <c r="I3388" i="2" a="1"/>
  <c r="I3388" i="2" s="1"/>
  <c r="G3390" i="2" a="1"/>
  <c r="G3390" i="2" s="1"/>
  <c r="H3391" i="2" a="1"/>
  <c r="H3391" i="2" s="1"/>
  <c r="I3392" i="2" a="1"/>
  <c r="I3392" i="2" s="1"/>
  <c r="G3394" i="2" a="1"/>
  <c r="G3394" i="2" s="1"/>
  <c r="H3395" i="2" a="1"/>
  <c r="H3395" i="2" s="1"/>
  <c r="I3396" i="2" a="1"/>
  <c r="I3396" i="2" s="1"/>
  <c r="G3398" i="2" a="1"/>
  <c r="G3398" i="2" s="1"/>
  <c r="H3399" i="2" a="1"/>
  <c r="H3399" i="2" s="1"/>
  <c r="I3400" i="2" a="1"/>
  <c r="I3400" i="2" s="1"/>
  <c r="G3402" i="2" a="1"/>
  <c r="G3402" i="2" s="1"/>
  <c r="H3403" i="2" a="1"/>
  <c r="H3403" i="2" s="1"/>
  <c r="I3404" i="2" a="1"/>
  <c r="I3404" i="2" s="1"/>
  <c r="G3406" i="2" a="1"/>
  <c r="G3406" i="2" s="1"/>
  <c r="H3407" i="2" a="1"/>
  <c r="H3407" i="2" s="1"/>
  <c r="I3408" i="2" a="1"/>
  <c r="I3408" i="2" s="1"/>
  <c r="G3410" i="2" a="1"/>
  <c r="G3410" i="2" s="1"/>
  <c r="H3411" i="2" a="1"/>
  <c r="H3411" i="2" s="1"/>
  <c r="I3412" i="2" a="1"/>
  <c r="I3412" i="2" s="1"/>
  <c r="G3414" i="2" a="1"/>
  <c r="G3414" i="2" s="1"/>
  <c r="H3415" i="2" a="1"/>
  <c r="H3415" i="2" s="1"/>
  <c r="I3416" i="2" a="1"/>
  <c r="I3416" i="2" s="1"/>
  <c r="G3418" i="2" a="1"/>
  <c r="G3418" i="2" s="1"/>
  <c r="H3419" i="2" a="1"/>
  <c r="H3419" i="2" s="1"/>
  <c r="I3420" i="2" a="1"/>
  <c r="I3420" i="2" s="1"/>
  <c r="G3422" i="2" a="1"/>
  <c r="G3422" i="2" s="1"/>
  <c r="H3423" i="2" a="1"/>
  <c r="H3423" i="2" s="1"/>
  <c r="I3424" i="2" a="1"/>
  <c r="I3424" i="2" s="1"/>
  <c r="G3426" i="2" a="1"/>
  <c r="G3426" i="2" s="1"/>
  <c r="H3427" i="2" a="1"/>
  <c r="H3427" i="2" s="1"/>
  <c r="I3428" i="2" a="1"/>
  <c r="I3428" i="2" s="1"/>
  <c r="G3430" i="2" a="1"/>
  <c r="G3430" i="2" s="1"/>
  <c r="H3431" i="2" a="1"/>
  <c r="H3431" i="2" s="1"/>
  <c r="I3432" i="2" a="1"/>
  <c r="I3432" i="2" s="1"/>
  <c r="G3434" i="2" a="1"/>
  <c r="G3434" i="2" s="1"/>
  <c r="H3435" i="2" a="1"/>
  <c r="H3435" i="2" s="1"/>
  <c r="I3436" i="2" a="1"/>
  <c r="I3436" i="2" s="1"/>
  <c r="G3438" i="2" a="1"/>
  <c r="G3438" i="2" s="1"/>
  <c r="H3439" i="2" a="1"/>
  <c r="H3439" i="2" s="1"/>
  <c r="I3440" i="2" a="1"/>
  <c r="I3440" i="2" s="1"/>
  <c r="G3442" i="2" a="1"/>
  <c r="G3442" i="2" s="1"/>
  <c r="H3443" i="2" a="1"/>
  <c r="H3443" i="2" s="1"/>
  <c r="I3444" i="2" a="1"/>
  <c r="I3444" i="2" s="1"/>
  <c r="G3446" i="2" a="1"/>
  <c r="G3446" i="2" s="1"/>
  <c r="H3447" i="2" a="1"/>
  <c r="H3447" i="2" s="1"/>
  <c r="I3448" i="2" a="1"/>
  <c r="I3448" i="2" s="1"/>
  <c r="G3450" i="2" a="1"/>
  <c r="G3450" i="2" s="1"/>
  <c r="H3451" i="2" a="1"/>
  <c r="H3451" i="2" s="1"/>
  <c r="I3452" i="2" a="1"/>
  <c r="I3452" i="2" s="1"/>
  <c r="G3454" i="2" a="1"/>
  <c r="G3454" i="2" s="1"/>
  <c r="H3455" i="2" a="1"/>
  <c r="H3455" i="2" s="1"/>
  <c r="I3456" i="2" a="1"/>
  <c r="I3456" i="2" s="1"/>
  <c r="G3458" i="2" a="1"/>
  <c r="G3458" i="2" s="1"/>
  <c r="H3459" i="2" a="1"/>
  <c r="H3459" i="2" s="1"/>
  <c r="I3460" i="2" a="1"/>
  <c r="I3460" i="2" s="1"/>
  <c r="G3462" i="2" a="1"/>
  <c r="G3462" i="2" s="1"/>
  <c r="H3463" i="2" a="1"/>
  <c r="H3463" i="2" s="1"/>
  <c r="I3464" i="2" a="1"/>
  <c r="I3464" i="2" s="1"/>
  <c r="G3466" i="2" a="1"/>
  <c r="G3466" i="2" s="1"/>
  <c r="H3467" i="2" a="1"/>
  <c r="H3467" i="2" s="1"/>
  <c r="I3468" i="2" a="1"/>
  <c r="I3468" i="2" s="1"/>
  <c r="G3470" i="2" a="1"/>
  <c r="G3470" i="2" s="1"/>
  <c r="H3471" i="2" a="1"/>
  <c r="H3471" i="2" s="1"/>
  <c r="I3472" i="2" a="1"/>
  <c r="I3472" i="2" s="1"/>
  <c r="G3474" i="2" a="1"/>
  <c r="G3474" i="2" s="1"/>
  <c r="H3475" i="2" a="1"/>
  <c r="H3475" i="2" s="1"/>
  <c r="I3476" i="2" a="1"/>
  <c r="I3476" i="2" s="1"/>
  <c r="G3478" i="2" a="1"/>
  <c r="G3478" i="2" s="1"/>
  <c r="H3479" i="2" a="1"/>
  <c r="H3479" i="2" s="1"/>
  <c r="I3480" i="2" a="1"/>
  <c r="I3480" i="2" s="1"/>
  <c r="G3482" i="2" a="1"/>
  <c r="G3482" i="2" s="1"/>
  <c r="H3483" i="2" a="1"/>
  <c r="H3483" i="2" s="1"/>
  <c r="I3484" i="2" a="1"/>
  <c r="I3484" i="2" s="1"/>
  <c r="G3486" i="2" a="1"/>
  <c r="G3486" i="2" s="1"/>
  <c r="H3487" i="2" a="1"/>
  <c r="H3487" i="2" s="1"/>
  <c r="I3488" i="2" a="1"/>
  <c r="I3488" i="2" s="1"/>
  <c r="G3490" i="2" a="1"/>
  <c r="G3490" i="2" s="1"/>
  <c r="H3491" i="2" a="1"/>
  <c r="H3491" i="2" s="1"/>
  <c r="I3492" i="2" a="1"/>
  <c r="I3492" i="2" s="1"/>
  <c r="G3494" i="2" a="1"/>
  <c r="G3494" i="2" s="1"/>
  <c r="H3495" i="2" a="1"/>
  <c r="H3495" i="2" s="1"/>
  <c r="I3496" i="2" a="1"/>
  <c r="I3496" i="2" s="1"/>
  <c r="G3498" i="2" a="1"/>
  <c r="G3498" i="2" s="1"/>
  <c r="H3499" i="2" a="1"/>
  <c r="H3499" i="2" s="1"/>
  <c r="I3500" i="2" a="1"/>
  <c r="I3500" i="2" s="1"/>
  <c r="K21" i="2" a="1"/>
  <c r="K21" i="2" s="1"/>
  <c r="L22" i="2" a="1"/>
  <c r="L22" i="2" s="1"/>
  <c r="M23" i="2" a="1"/>
  <c r="M23" i="2" s="1"/>
  <c r="K25" i="2" a="1"/>
  <c r="K25" i="2" s="1"/>
  <c r="L26" i="2" a="1"/>
  <c r="L26" i="2" s="1"/>
  <c r="M27" i="2" a="1"/>
  <c r="M27" i="2" s="1"/>
  <c r="K29" i="2" a="1"/>
  <c r="K29" i="2" s="1"/>
  <c r="L30" i="2" a="1"/>
  <c r="L30" i="2" s="1"/>
  <c r="M31" i="2" a="1"/>
  <c r="M31" i="2" s="1"/>
  <c r="K33" i="2" a="1"/>
  <c r="K33" i="2" s="1"/>
  <c r="L34" i="2" a="1"/>
  <c r="L34" i="2" s="1"/>
  <c r="M35" i="2" a="1"/>
  <c r="M35" i="2" s="1"/>
  <c r="K37" i="2" a="1"/>
  <c r="K37" i="2" s="1"/>
  <c r="L38" i="2" a="1"/>
  <c r="L38" i="2" s="1"/>
  <c r="M39" i="2" a="1"/>
  <c r="M39" i="2" s="1"/>
  <c r="K41" i="2" a="1"/>
  <c r="K41" i="2" s="1"/>
  <c r="L42" i="2" a="1"/>
  <c r="L42" i="2" s="1"/>
  <c r="M43" i="2" a="1"/>
  <c r="M43" i="2" s="1"/>
  <c r="K45" i="2" a="1"/>
  <c r="K45" i="2" s="1"/>
  <c r="L46" i="2" a="1"/>
  <c r="L46" i="2" s="1"/>
  <c r="M47" i="2" a="1"/>
  <c r="M47" i="2" s="1"/>
  <c r="K49" i="2" a="1"/>
  <c r="K49" i="2" s="1"/>
  <c r="L50" i="2" a="1"/>
  <c r="L50" i="2" s="1"/>
  <c r="M51" i="2" a="1"/>
  <c r="M51" i="2" s="1"/>
  <c r="K53" i="2" a="1"/>
  <c r="K53" i="2" s="1"/>
  <c r="L54" i="2" a="1"/>
  <c r="L54" i="2" s="1"/>
  <c r="M55" i="2" a="1"/>
  <c r="M55" i="2" s="1"/>
  <c r="K57" i="2" a="1"/>
  <c r="K57" i="2" s="1"/>
  <c r="L58" i="2" a="1"/>
  <c r="L58" i="2" s="1"/>
  <c r="M59" i="2" a="1"/>
  <c r="M59" i="2" s="1"/>
  <c r="K61" i="2" a="1"/>
  <c r="K61" i="2" s="1"/>
  <c r="L62" i="2" a="1"/>
  <c r="L62" i="2" s="1"/>
  <c r="M63" i="2" a="1"/>
  <c r="M63" i="2" s="1"/>
  <c r="K65" i="2" a="1"/>
  <c r="K65" i="2" s="1"/>
  <c r="L66" i="2" a="1"/>
  <c r="L66" i="2" s="1"/>
  <c r="M67" i="2" a="1"/>
  <c r="M67" i="2" s="1"/>
  <c r="K69" i="2" a="1"/>
  <c r="K69" i="2" s="1"/>
  <c r="L70" i="2" a="1"/>
  <c r="L70" i="2" s="1"/>
  <c r="M71" i="2" a="1"/>
  <c r="M71" i="2" s="1"/>
  <c r="K73" i="2" a="1"/>
  <c r="K73" i="2" s="1"/>
  <c r="L74" i="2" a="1"/>
  <c r="L74" i="2" s="1"/>
  <c r="M75" i="2" a="1"/>
  <c r="M75" i="2" s="1"/>
  <c r="K77" i="2" a="1"/>
  <c r="K77" i="2" s="1"/>
  <c r="K78" i="2" a="1"/>
  <c r="K78" i="2" s="1"/>
  <c r="K79" i="2" a="1"/>
  <c r="K79" i="2" s="1"/>
  <c r="L80" i="2" a="1"/>
  <c r="L80" i="2" s="1"/>
  <c r="L81" i="2" a="1"/>
  <c r="L81" i="2" s="1"/>
  <c r="L82" i="2" a="1"/>
  <c r="L82" i="2" s="1"/>
  <c r="M83" i="2" a="1"/>
  <c r="M83" i="2" s="1"/>
  <c r="M84" i="2" a="1"/>
  <c r="M84" i="2" s="1"/>
  <c r="K86" i="2" a="1"/>
  <c r="K86" i="2" s="1"/>
  <c r="K87" i="2" a="1"/>
  <c r="K87" i="2" s="1"/>
  <c r="K89" i="2" a="1"/>
  <c r="K89" i="2" s="1"/>
  <c r="M90" i="2" a="1"/>
  <c r="M90" i="2" s="1"/>
  <c r="M92" i="2" a="1"/>
  <c r="M92" i="2" s="1"/>
  <c r="K94" i="2" a="1"/>
  <c r="K94" i="2" s="1"/>
  <c r="L96" i="2" a="1"/>
  <c r="L96" i="2" s="1"/>
  <c r="M97" i="2" a="1"/>
  <c r="M97" i="2" s="1"/>
  <c r="M98" i="2" a="1"/>
  <c r="M98" i="2" s="1"/>
  <c r="K100" i="2" a="1"/>
  <c r="K100" i="2" s="1"/>
  <c r="K101" i="2" a="1"/>
  <c r="K101" i="2" s="1"/>
  <c r="L102" i="2" a="1"/>
  <c r="L102" i="2" s="1"/>
  <c r="L103" i="2" a="1"/>
  <c r="L103" i="2" s="1"/>
  <c r="L104" i="2" a="1"/>
  <c r="L104" i="2" s="1"/>
  <c r="M105" i="2" a="1"/>
  <c r="M105" i="2" s="1"/>
  <c r="M106" i="2" a="1"/>
  <c r="M106" i="2" s="1"/>
  <c r="K108" i="2" a="1"/>
  <c r="K108" i="2" s="1"/>
  <c r="K109" i="2" a="1"/>
  <c r="K109" i="2" s="1"/>
  <c r="K110" i="2" a="1"/>
  <c r="K110" i="2" s="1"/>
  <c r="K112" i="2" a="1"/>
  <c r="K112" i="2" s="1"/>
  <c r="L113" i="2" a="1"/>
  <c r="L113" i="2" s="1"/>
  <c r="L114" i="2" a="1"/>
  <c r="L114" i="2" s="1"/>
  <c r="L115" i="2" a="1"/>
  <c r="L115" i="2" s="1"/>
  <c r="M116" i="2" a="1"/>
  <c r="M116" i="2" s="1"/>
  <c r="K118" i="2" a="1"/>
  <c r="K118" i="2" s="1"/>
  <c r="K119" i="2" a="1"/>
  <c r="K119" i="2" s="1"/>
  <c r="K120" i="2" a="1"/>
  <c r="K120" i="2" s="1"/>
  <c r="L122" i="2" a="1"/>
  <c r="L122" i="2" s="1"/>
  <c r="L123" i="2" a="1"/>
  <c r="L123" i="2" s="1"/>
  <c r="L124" i="2" a="1"/>
  <c r="L124" i="2" s="1"/>
  <c r="L125" i="2" a="1"/>
  <c r="L125" i="2" s="1"/>
  <c r="M127" i="2" a="1"/>
  <c r="M127" i="2" s="1"/>
  <c r="M128" i="2" a="1"/>
  <c r="M128" i="2" s="1"/>
  <c r="M129" i="2" a="1"/>
  <c r="M129" i="2" s="1"/>
  <c r="M130" i="2" a="1"/>
  <c r="M130" i="2" s="1"/>
  <c r="K133" i="2" a="1"/>
  <c r="K133" i="2" s="1"/>
  <c r="M133" i="2" a="1"/>
  <c r="M133" i="2" s="1"/>
  <c r="K136" i="2" a="1"/>
  <c r="K136" i="2" s="1"/>
  <c r="K137" i="2" a="1"/>
  <c r="K137" i="2" s="1"/>
  <c r="K138" i="2" a="1"/>
  <c r="K138" i="2" s="1"/>
  <c r="L139" i="2" a="1"/>
  <c r="L139" i="2" s="1"/>
  <c r="L140" i="2" a="1"/>
  <c r="L140" i="2" s="1"/>
  <c r="M142" i="2" a="1"/>
  <c r="M142" i="2" s="1"/>
  <c r="M143" i="2" a="1"/>
  <c r="M143" i="2" s="1"/>
  <c r="K145" i="2" a="1"/>
  <c r="K145" i="2" s="1"/>
  <c r="K146" i="2" a="1"/>
  <c r="K146" i="2" s="1"/>
  <c r="K147" i="2" a="1"/>
  <c r="K147" i="2" s="1"/>
  <c r="L148" i="2" a="1"/>
  <c r="L148" i="2" s="1"/>
  <c r="M150" i="2" a="1"/>
  <c r="M150" i="2" s="1"/>
  <c r="M151" i="2" a="1"/>
  <c r="M151" i="2" s="1"/>
  <c r="M152" i="2" a="1"/>
  <c r="M152" i="2" s="1"/>
  <c r="K154" i="2" a="1"/>
  <c r="K154" i="2" s="1"/>
  <c r="K155" i="2" a="1"/>
  <c r="K155" i="2" s="1"/>
  <c r="L156" i="2" a="1"/>
  <c r="L156" i="2" s="1"/>
  <c r="M158" i="2" a="1"/>
  <c r="M158" i="2" s="1"/>
  <c r="M159" i="2" a="1"/>
  <c r="M159" i="2" s="1"/>
  <c r="K161" i="2" a="1"/>
  <c r="K161" i="2" s="1"/>
  <c r="K162" i="2" a="1"/>
  <c r="K162" i="2" s="1"/>
  <c r="L163" i="2" a="1"/>
  <c r="L163" i="2" s="1"/>
  <c r="M164" i="2" a="1"/>
  <c r="M164" i="2" s="1"/>
  <c r="K166" i="2" a="1"/>
  <c r="K166" i="2" s="1"/>
  <c r="K167" i="2" a="1"/>
  <c r="K167" i="2" s="1"/>
  <c r="L168" i="2" a="1"/>
  <c r="L168" i="2" s="1"/>
  <c r="M169" i="2" a="1"/>
  <c r="M169" i="2" s="1"/>
  <c r="K171" i="2" a="1"/>
  <c r="K171" i="2" s="1"/>
  <c r="L173" i="2" a="1"/>
  <c r="L173" i="2" s="1"/>
  <c r="M174" i="2" a="1"/>
  <c r="M174" i="2" s="1"/>
  <c r="M175" i="2" a="1"/>
  <c r="M175" i="2" s="1"/>
  <c r="K177" i="2" a="1"/>
  <c r="K177" i="2" s="1"/>
  <c r="K178" i="2" a="1"/>
  <c r="K178" i="2" s="1"/>
  <c r="L179" i="2" a="1"/>
  <c r="L179" i="2" s="1"/>
  <c r="L180" i="2" a="1"/>
  <c r="L180" i="2" s="1"/>
  <c r="M181" i="2" a="1"/>
  <c r="M181" i="2" s="1"/>
  <c r="K184" i="2" a="1"/>
  <c r="K184" i="2" s="1"/>
  <c r="L185" i="2" a="1"/>
  <c r="L185" i="2" s="1"/>
  <c r="M186" i="2" a="1"/>
  <c r="M186" i="2" s="1"/>
  <c r="K188" i="2" a="1"/>
  <c r="K188" i="2" s="1"/>
  <c r="L189" i="2" a="1"/>
  <c r="L189" i="2" s="1"/>
  <c r="M190" i="2" a="1"/>
  <c r="M190" i="2" s="1"/>
  <c r="K192" i="2" a="1"/>
  <c r="K192" i="2" s="1"/>
  <c r="L193" i="2" a="1"/>
  <c r="L193" i="2" s="1"/>
  <c r="M194" i="2" a="1"/>
  <c r="M194" i="2" s="1"/>
  <c r="K196" i="2" a="1"/>
  <c r="K196" i="2" s="1"/>
  <c r="L197" i="2" a="1"/>
  <c r="L197" i="2" s="1"/>
  <c r="M198" i="2" a="1"/>
  <c r="M198" i="2" s="1"/>
  <c r="K200" i="2" a="1"/>
  <c r="K200" i="2" s="1"/>
  <c r="L201" i="2" a="1"/>
  <c r="L201" i="2" s="1"/>
  <c r="M202" i="2" a="1"/>
  <c r="M202" i="2" s="1"/>
  <c r="K204" i="2" a="1"/>
  <c r="K204" i="2" s="1"/>
  <c r="L205" i="2" a="1"/>
  <c r="L205" i="2" s="1"/>
  <c r="M206" i="2" a="1"/>
  <c r="M206" i="2" s="1"/>
  <c r="K208" i="2" a="1"/>
  <c r="K208" i="2" s="1"/>
  <c r="L209" i="2" a="1"/>
  <c r="L209" i="2" s="1"/>
  <c r="M210" i="2" a="1"/>
  <c r="M210" i="2" s="1"/>
  <c r="K212" i="2" a="1"/>
  <c r="K212" i="2" s="1"/>
  <c r="L213" i="2" a="1"/>
  <c r="L213" i="2" s="1"/>
  <c r="M214" i="2" a="1"/>
  <c r="M214" i="2" s="1"/>
  <c r="K216" i="2" a="1"/>
  <c r="K216" i="2" s="1"/>
  <c r="L217" i="2" a="1"/>
  <c r="L217" i="2" s="1"/>
  <c r="M218" i="2" a="1"/>
  <c r="M218" i="2" s="1"/>
  <c r="K220" i="2" a="1"/>
  <c r="K220" i="2" s="1"/>
  <c r="L221" i="2" a="1"/>
  <c r="L221" i="2" s="1"/>
  <c r="M222" i="2" a="1"/>
  <c r="M222" i="2" s="1"/>
  <c r="K224" i="2" a="1"/>
  <c r="K224" i="2" s="1"/>
  <c r="L225" i="2" a="1"/>
  <c r="L225" i="2" s="1"/>
  <c r="M226" i="2" a="1"/>
  <c r="M226" i="2" s="1"/>
  <c r="K228" i="2" a="1"/>
  <c r="K228" i="2" s="1"/>
  <c r="L229" i="2" a="1"/>
  <c r="L229" i="2" s="1"/>
  <c r="M230" i="2" a="1"/>
  <c r="M230" i="2" s="1"/>
  <c r="K232" i="2" a="1"/>
  <c r="K232" i="2" s="1"/>
  <c r="L233" i="2" a="1"/>
  <c r="L233" i="2" s="1"/>
  <c r="L234" i="2" a="1"/>
  <c r="L234" i="2" s="1"/>
  <c r="M235" i="2" a="1"/>
  <c r="M235" i="2" s="1"/>
  <c r="L237" i="2" a="1"/>
  <c r="L237" i="2" s="1"/>
  <c r="L239" i="2" a="1"/>
  <c r="L239" i="2" s="1"/>
  <c r="L240" i="2" a="1"/>
  <c r="L240" i="2" s="1"/>
  <c r="L241" i="2" a="1"/>
  <c r="L241" i="2" s="1"/>
  <c r="L242" i="2" a="1"/>
  <c r="L242" i="2" s="1"/>
  <c r="L243" i="2" a="1"/>
  <c r="L243" i="2" s="1"/>
  <c r="L244" i="2" a="1"/>
  <c r="L244" i="2" s="1"/>
  <c r="L246" i="2" a="1"/>
  <c r="L246" i="2" s="1"/>
  <c r="M247" i="2" a="1"/>
  <c r="M247" i="2" s="1"/>
  <c r="M248" i="2" a="1"/>
  <c r="M248" i="2" s="1"/>
  <c r="M249" i="2" a="1"/>
  <c r="M249" i="2" s="1"/>
  <c r="M250" i="2" a="1"/>
  <c r="M250" i="2" s="1"/>
  <c r="K252" i="2" a="1"/>
  <c r="K252" i="2" s="1"/>
  <c r="L254" i="2" a="1"/>
  <c r="L254" i="2" s="1"/>
  <c r="L255" i="2" a="1"/>
  <c r="L255" i="2" s="1"/>
  <c r="L256" i="2" a="1"/>
  <c r="L256" i="2" s="1"/>
  <c r="M257" i="2" a="1"/>
  <c r="M257" i="2" s="1"/>
  <c r="M258" i="2" a="1"/>
  <c r="M258" i="2" s="1"/>
  <c r="K260" i="2" a="1"/>
  <c r="K260" i="2" s="1"/>
  <c r="L262" i="2" a="1"/>
  <c r="L262" i="2" s="1"/>
  <c r="M263" i="2" a="1"/>
  <c r="M263" i="2" s="1"/>
  <c r="M264" i="2" a="1"/>
  <c r="M264" i="2" s="1"/>
  <c r="M265" i="2" a="1"/>
  <c r="M265" i="2" s="1"/>
  <c r="M266" i="2" a="1"/>
  <c r="M266" i="2" s="1"/>
  <c r="K269" i="2" a="1"/>
  <c r="K269" i="2" s="1"/>
  <c r="K270" i="2" a="1"/>
  <c r="K270" i="2" s="1"/>
  <c r="K271" i="2" a="1"/>
  <c r="K271" i="2" s="1"/>
  <c r="K272" i="2" a="1"/>
  <c r="K272" i="2" s="1"/>
  <c r="L273" i="2" a="1"/>
  <c r="L273" i="2" s="1"/>
  <c r="L274" i="2" a="1"/>
  <c r="L274" i="2" s="1"/>
  <c r="M275" i="2" a="1"/>
  <c r="M275" i="2" s="1"/>
  <c r="M277" i="2" a="1"/>
  <c r="M277" i="2" s="1"/>
  <c r="M278" i="2" a="1"/>
  <c r="M278" i="2" s="1"/>
  <c r="M279" i="2" a="1"/>
  <c r="M279" i="2" s="1"/>
  <c r="M280" i="2" a="1"/>
  <c r="M280" i="2" s="1"/>
  <c r="M281" i="2" a="1"/>
  <c r="M281" i="2" s="1"/>
  <c r="M283" i="2" a="1"/>
  <c r="M283" i="2" s="1"/>
  <c r="M284" i="2" a="1"/>
  <c r="M284" i="2" s="1"/>
  <c r="M285" i="2" a="1"/>
  <c r="M285" i="2" s="1"/>
  <c r="K287" i="2" a="1"/>
  <c r="K287" i="2" s="1"/>
  <c r="K289" i="2" a="1"/>
  <c r="K289" i="2" s="1"/>
  <c r="K290" i="2" a="1"/>
  <c r="K290" i="2" s="1"/>
  <c r="K291" i="2" a="1"/>
  <c r="K291" i="2" s="1"/>
  <c r="K292" i="2" a="1"/>
  <c r="K292" i="2" s="1"/>
  <c r="L294" i="2" a="1"/>
  <c r="L294" i="2" s="1"/>
  <c r="K296" i="2" a="1"/>
  <c r="K296" i="2" s="1"/>
  <c r="K298" i="2" a="1"/>
  <c r="K298" i="2" s="1"/>
  <c r="L299" i="2" a="1"/>
  <c r="L299" i="2" s="1"/>
  <c r="L300" i="2" a="1"/>
  <c r="L300" i="2" s="1"/>
  <c r="L302" i="2" a="1"/>
  <c r="L302" i="2" s="1"/>
  <c r="K304" i="2" a="1"/>
  <c r="K304" i="2" s="1"/>
  <c r="K306" i="2" a="1"/>
  <c r="K306" i="2" s="1"/>
  <c r="K307" i="2" a="1"/>
  <c r="K307" i="2" s="1"/>
  <c r="K308" i="2" a="1"/>
  <c r="K308" i="2" s="1"/>
  <c r="K309" i="2" a="1"/>
  <c r="K309" i="2" s="1"/>
  <c r="L310" i="2" a="1"/>
  <c r="L310" i="2" s="1"/>
  <c r="K312" i="2" a="1"/>
  <c r="K312" i="2" s="1"/>
  <c r="K314" i="2" a="1"/>
  <c r="K314" i="2" s="1"/>
  <c r="K315" i="2" a="1"/>
  <c r="K315" i="2" s="1"/>
  <c r="K316" i="2" a="1"/>
  <c r="K316" i="2" s="1"/>
  <c r="K317" i="2" a="1"/>
  <c r="K317" i="2" s="1"/>
  <c r="K318" i="2" a="1"/>
  <c r="K318" i="2" s="1"/>
  <c r="L320" i="2" a="1"/>
  <c r="L320" i="2" s="1"/>
  <c r="L321" i="2" a="1"/>
  <c r="L321" i="2" s="1"/>
  <c r="L322" i="2" a="1"/>
  <c r="L322" i="2" s="1"/>
  <c r="L323" i="2" a="1"/>
  <c r="L323" i="2" s="1"/>
  <c r="L324" i="2" a="1"/>
  <c r="L324" i="2" s="1"/>
  <c r="L325" i="2" a="1"/>
  <c r="L325" i="2" s="1"/>
  <c r="M327" i="2" a="1"/>
  <c r="M327" i="2" s="1"/>
  <c r="M328" i="2" a="1"/>
  <c r="M328" i="2" s="1"/>
  <c r="M329" i="2" a="1"/>
  <c r="M329" i="2" s="1"/>
  <c r="M330" i="2" a="1"/>
  <c r="M330" i="2" s="1"/>
  <c r="K333" i="2" a="1"/>
  <c r="K333" i="2" s="1"/>
  <c r="K334" i="2" a="1"/>
  <c r="K334" i="2" s="1"/>
  <c r="K335" i="2" a="1"/>
  <c r="K335" i="2" s="1"/>
  <c r="K336" i="2" a="1"/>
  <c r="K336" i="2" s="1"/>
  <c r="L338" i="2" a="1"/>
  <c r="L338" i="2" s="1"/>
  <c r="L339" i="2" a="1"/>
  <c r="L339" i="2" s="1"/>
  <c r="L340" i="2" a="1"/>
  <c r="L340" i="2" s="1"/>
  <c r="L341" i="2" a="1"/>
  <c r="L341" i="2" s="1"/>
  <c r="M343" i="2" a="1"/>
  <c r="M343" i="2" s="1"/>
  <c r="M344" i="2" a="1"/>
  <c r="M344" i="2" s="1"/>
  <c r="M345" i="2" a="1"/>
  <c r="M345" i="2" s="1"/>
  <c r="M346" i="2" a="1"/>
  <c r="M346" i="2" s="1"/>
  <c r="M347" i="2" a="1"/>
  <c r="M347" i="2" s="1"/>
  <c r="M348" i="2" a="1"/>
  <c r="M348" i="2" s="1"/>
  <c r="M349" i="2" a="1"/>
  <c r="M349" i="2" s="1"/>
  <c r="K352" i="2" a="1"/>
  <c r="K352" i="2" s="1"/>
  <c r="K353" i="2" a="1"/>
  <c r="K353" i="2" s="1"/>
  <c r="K354" i="2" a="1"/>
  <c r="K354" i="2" s="1"/>
  <c r="K355" i="2" a="1"/>
  <c r="K355" i="2" s="1"/>
  <c r="L357" i="2" a="1"/>
  <c r="L357" i="2" s="1"/>
  <c r="L358" i="2" a="1"/>
  <c r="L358" i="2" s="1"/>
  <c r="L359" i="2" a="1"/>
  <c r="L359" i="2" s="1"/>
  <c r="L360" i="2" a="1"/>
  <c r="L360" i="2" s="1"/>
  <c r="M362" i="2" a="1"/>
  <c r="M362" i="2" s="1"/>
  <c r="M363" i="2" a="1"/>
  <c r="M363" i="2" s="1"/>
  <c r="M364" i="2" a="1"/>
  <c r="M364" i="2" s="1"/>
  <c r="M365" i="2" a="1"/>
  <c r="M365" i="2" s="1"/>
  <c r="K368" i="2" a="1"/>
  <c r="K368" i="2" s="1"/>
  <c r="K369" i="2" a="1"/>
  <c r="K369" i="2" s="1"/>
  <c r="K370" i="2" a="1"/>
  <c r="K370" i="2" s="1"/>
  <c r="K371" i="2" a="1"/>
  <c r="K371" i="2" s="1"/>
  <c r="L373" i="2" a="1"/>
  <c r="L373" i="2" s="1"/>
  <c r="L374" i="2" a="1"/>
  <c r="L374" i="2" s="1"/>
  <c r="L375" i="2" a="1"/>
  <c r="L375" i="2" s="1"/>
  <c r="L376" i="2" a="1"/>
  <c r="L376" i="2" s="1"/>
  <c r="M378" i="2" a="1"/>
  <c r="M378" i="2" s="1"/>
  <c r="M379" i="2" a="1"/>
  <c r="M379" i="2" s="1"/>
  <c r="M380" i="2" a="1"/>
  <c r="M380" i="2" s="1"/>
  <c r="M381" i="2" a="1"/>
  <c r="M381" i="2" s="1"/>
  <c r="K384" i="2" a="1"/>
  <c r="K384" i="2" s="1"/>
  <c r="K385" i="2" a="1"/>
  <c r="K385" i="2" s="1"/>
  <c r="K386" i="2" a="1"/>
  <c r="K386" i="2" s="1"/>
  <c r="K387" i="2" a="1"/>
  <c r="K387" i="2" s="1"/>
  <c r="L389" i="2" a="1"/>
  <c r="L389" i="2" s="1"/>
  <c r="L390" i="2" a="1"/>
  <c r="L390" i="2" s="1"/>
  <c r="L391" i="2" a="1"/>
  <c r="L391" i="2" s="1"/>
  <c r="L392" i="2" a="1"/>
  <c r="L392" i="2" s="1"/>
  <c r="M394" i="2" a="1"/>
  <c r="M394" i="2" s="1"/>
  <c r="M395" i="2" a="1"/>
  <c r="M395" i="2" s="1"/>
  <c r="M396" i="2" a="1"/>
  <c r="M396" i="2" s="1"/>
  <c r="M397" i="2" a="1"/>
  <c r="M397" i="2" s="1"/>
  <c r="K400" i="2" a="1"/>
  <c r="K400" i="2" s="1"/>
  <c r="K401" i="2" a="1"/>
  <c r="K401" i="2" s="1"/>
  <c r="K402" i="2" a="1"/>
  <c r="K402" i="2" s="1"/>
  <c r="K403" i="2" a="1"/>
  <c r="K403" i="2" s="1"/>
  <c r="L405" i="2" a="1"/>
  <c r="L405" i="2" s="1"/>
  <c r="L406" i="2" a="1"/>
  <c r="L406" i="2" s="1"/>
  <c r="L407" i="2" a="1"/>
  <c r="L407" i="2" s="1"/>
  <c r="L408" i="2" a="1"/>
  <c r="L408" i="2" s="1"/>
  <c r="M410" i="2" a="1"/>
  <c r="M410" i="2" s="1"/>
  <c r="M411" i="2" a="1"/>
  <c r="M411" i="2" s="1"/>
  <c r="M412" i="2" a="1"/>
  <c r="M412" i="2" s="1"/>
  <c r="M413" i="2" a="1"/>
  <c r="M413" i="2" s="1"/>
  <c r="K416" i="2" a="1"/>
  <c r="K416" i="2" s="1"/>
  <c r="K417" i="2" a="1"/>
  <c r="K417" i="2" s="1"/>
  <c r="K418" i="2" a="1"/>
  <c r="K418" i="2" s="1"/>
  <c r="K419" i="2" a="1"/>
  <c r="K419" i="2" s="1"/>
  <c r="L421" i="2" a="1"/>
  <c r="L421" i="2" s="1"/>
  <c r="L422" i="2" a="1"/>
  <c r="L422" i="2" s="1"/>
  <c r="L423" i="2" a="1"/>
  <c r="L423" i="2" s="1"/>
  <c r="L424" i="2" a="1"/>
  <c r="L424" i="2" s="1"/>
  <c r="M426" i="2" a="1"/>
  <c r="M426" i="2" s="1"/>
  <c r="M427" i="2" a="1"/>
  <c r="M427" i="2" s="1"/>
  <c r="M428" i="2" a="1"/>
  <c r="M428" i="2" s="1"/>
  <c r="M429" i="2" a="1"/>
  <c r="M429" i="2" s="1"/>
  <c r="K432" i="2" a="1"/>
  <c r="K432" i="2" s="1"/>
  <c r="K433" i="2" a="1"/>
  <c r="K433" i="2" s="1"/>
  <c r="K434" i="2" a="1"/>
  <c r="K434" i="2" s="1"/>
  <c r="K435" i="2" a="1"/>
  <c r="K435" i="2" s="1"/>
  <c r="L437" i="2" a="1"/>
  <c r="L437" i="2" s="1"/>
  <c r="L438" i="2" a="1"/>
  <c r="L438" i="2" s="1"/>
  <c r="L439" i="2" a="1"/>
  <c r="L439" i="2" s="1"/>
  <c r="L440" i="2" a="1"/>
  <c r="L440" i="2" s="1"/>
  <c r="M442" i="2" a="1"/>
  <c r="M442" i="2" s="1"/>
  <c r="M443" i="2" a="1"/>
  <c r="M443" i="2" s="1"/>
  <c r="M444" i="2" a="1"/>
  <c r="M444" i="2" s="1"/>
  <c r="M445" i="2" a="1"/>
  <c r="M445" i="2" s="1"/>
  <c r="K448" i="2" a="1"/>
  <c r="K448" i="2" s="1"/>
  <c r="K449" i="2" a="1"/>
  <c r="K449" i="2" s="1"/>
  <c r="K450" i="2" a="1"/>
  <c r="K450" i="2" s="1"/>
  <c r="K451" i="2" a="1"/>
  <c r="K451" i="2" s="1"/>
  <c r="L453" i="2" a="1"/>
  <c r="L453" i="2" s="1"/>
  <c r="L454" i="2" a="1"/>
  <c r="L454" i="2" s="1"/>
  <c r="L455" i="2" a="1"/>
  <c r="L455" i="2" s="1"/>
  <c r="L456" i="2" a="1"/>
  <c r="L456" i="2" s="1"/>
  <c r="M458" i="2" a="1"/>
  <c r="M458" i="2" s="1"/>
  <c r="M459" i="2" a="1"/>
  <c r="M459" i="2" s="1"/>
  <c r="M460" i="2" a="1"/>
  <c r="M460" i="2" s="1"/>
  <c r="M461" i="2" a="1"/>
  <c r="M461" i="2" s="1"/>
  <c r="K464" i="2" a="1"/>
  <c r="K464" i="2" s="1"/>
  <c r="K465" i="2" a="1"/>
  <c r="K465" i="2" s="1"/>
  <c r="K466" i="2" a="1"/>
  <c r="K466" i="2" s="1"/>
  <c r="K467" i="2" a="1"/>
  <c r="K467" i="2" s="1"/>
  <c r="L469" i="2" a="1"/>
  <c r="L469" i="2" s="1"/>
  <c r="L470" i="2" a="1"/>
  <c r="L470" i="2" s="1"/>
  <c r="L471" i="2" a="1"/>
  <c r="L471" i="2" s="1"/>
  <c r="L472" i="2" a="1"/>
  <c r="L472" i="2" s="1"/>
  <c r="M474" i="2" a="1"/>
  <c r="M474" i="2" s="1"/>
  <c r="M475" i="2" a="1"/>
  <c r="M475" i="2" s="1"/>
  <c r="M476" i="2" a="1"/>
  <c r="M476" i="2" s="1"/>
  <c r="M477" i="2" a="1"/>
  <c r="M477" i="2" s="1"/>
  <c r="K480" i="2" a="1"/>
  <c r="K480" i="2" s="1"/>
  <c r="K481" i="2" a="1"/>
  <c r="K481" i="2" s="1"/>
  <c r="K482" i="2" a="1"/>
  <c r="K482" i="2" s="1"/>
  <c r="K483" i="2" a="1"/>
  <c r="K483" i="2" s="1"/>
  <c r="L485" i="2" a="1"/>
  <c r="L485" i="2" s="1"/>
  <c r="L486" i="2" a="1"/>
  <c r="L486" i="2" s="1"/>
  <c r="L487" i="2" a="1"/>
  <c r="L487" i="2" s="1"/>
  <c r="L488" i="2" a="1"/>
  <c r="L488" i="2" s="1"/>
  <c r="M490" i="2" a="1"/>
  <c r="M490" i="2" s="1"/>
  <c r="M491" i="2" a="1"/>
  <c r="M491" i="2" s="1"/>
  <c r="M492" i="2" a="1"/>
  <c r="M492" i="2" s="1"/>
  <c r="M493" i="2" a="1"/>
  <c r="M493" i="2" s="1"/>
  <c r="K496" i="2" a="1"/>
  <c r="K496" i="2" s="1"/>
  <c r="K497" i="2" a="1"/>
  <c r="K497" i="2" s="1"/>
  <c r="K498" i="2" a="1"/>
  <c r="K498" i="2" s="1"/>
  <c r="K499" i="2" a="1"/>
  <c r="K499" i="2" s="1"/>
  <c r="L501" i="2" a="1"/>
  <c r="L501" i="2" s="1"/>
  <c r="L502" i="2" a="1"/>
  <c r="L502" i="2" s="1"/>
  <c r="L503" i="2" a="1"/>
  <c r="L503" i="2" s="1"/>
  <c r="L504" i="2" a="1"/>
  <c r="L504" i="2" s="1"/>
  <c r="M506" i="2" a="1"/>
  <c r="M506" i="2" s="1"/>
  <c r="M507" i="2" a="1"/>
  <c r="M507" i="2" s="1"/>
  <c r="M508" i="2" a="1"/>
  <c r="M508" i="2" s="1"/>
  <c r="M509" i="2" a="1"/>
  <c r="M509" i="2" s="1"/>
  <c r="K512" i="2" a="1"/>
  <c r="K512" i="2" s="1"/>
  <c r="K513" i="2" a="1"/>
  <c r="K513" i="2" s="1"/>
  <c r="K514" i="2" a="1"/>
  <c r="K514" i="2" s="1"/>
  <c r="K515" i="2" a="1"/>
  <c r="K515" i="2" s="1"/>
  <c r="I3179" i="2" a="1"/>
  <c r="I3179" i="2" s="1"/>
  <c r="G3181" i="2" a="1"/>
  <c r="G3181" i="2" s="1"/>
  <c r="H3182" i="2" a="1"/>
  <c r="H3182" i="2" s="1"/>
  <c r="I3183" i="2" a="1"/>
  <c r="I3183" i="2" s="1"/>
  <c r="G3185" i="2" a="1"/>
  <c r="G3185" i="2" s="1"/>
  <c r="H3186" i="2" a="1"/>
  <c r="H3186" i="2" s="1"/>
  <c r="I3187" i="2" a="1"/>
  <c r="I3187" i="2" s="1"/>
  <c r="G3189" i="2" a="1"/>
  <c r="G3189" i="2" s="1"/>
  <c r="H3190" i="2" a="1"/>
  <c r="H3190" i="2" s="1"/>
  <c r="I3191" i="2" a="1"/>
  <c r="I3191" i="2" s="1"/>
  <c r="G3193" i="2" a="1"/>
  <c r="G3193" i="2" s="1"/>
  <c r="H3194" i="2" a="1"/>
  <c r="H3194" i="2" s="1"/>
  <c r="I3195" i="2" a="1"/>
  <c r="I3195" i="2" s="1"/>
  <c r="G3197" i="2" a="1"/>
  <c r="G3197" i="2" s="1"/>
  <c r="H3198" i="2" a="1"/>
  <c r="H3198" i="2" s="1"/>
  <c r="I3199" i="2" a="1"/>
  <c r="I3199" i="2" s="1"/>
  <c r="G3201" i="2" a="1"/>
  <c r="G3201" i="2" s="1"/>
  <c r="H3202" i="2" a="1"/>
  <c r="H3202" i="2" s="1"/>
  <c r="I3203" i="2" a="1"/>
  <c r="I3203" i="2" s="1"/>
  <c r="G3205" i="2" a="1"/>
  <c r="G3205" i="2" s="1"/>
  <c r="H3206" i="2" a="1"/>
  <c r="H3206" i="2" s="1"/>
  <c r="I3207" i="2" a="1"/>
  <c r="I3207" i="2" s="1"/>
  <c r="G3209" i="2" a="1"/>
  <c r="G3209" i="2" s="1"/>
  <c r="H3210" i="2" a="1"/>
  <c r="H3210" i="2" s="1"/>
  <c r="I3211" i="2" a="1"/>
  <c r="I3211" i="2" s="1"/>
  <c r="G3213" i="2" a="1"/>
  <c r="G3213" i="2" s="1"/>
  <c r="H3214" i="2" a="1"/>
  <c r="H3214" i="2" s="1"/>
  <c r="I3215" i="2" a="1"/>
  <c r="I3215" i="2" s="1"/>
  <c r="G3217" i="2" a="1"/>
  <c r="G3217" i="2" s="1"/>
  <c r="H3218" i="2" a="1"/>
  <c r="H3218" i="2" s="1"/>
  <c r="I3219" i="2" a="1"/>
  <c r="I3219" i="2" s="1"/>
  <c r="G3221" i="2" a="1"/>
  <c r="G3221" i="2" s="1"/>
  <c r="H3222" i="2" a="1"/>
  <c r="H3222" i="2" s="1"/>
  <c r="I3223" i="2" a="1"/>
  <c r="I3223" i="2" s="1"/>
  <c r="G3225" i="2" a="1"/>
  <c r="G3225" i="2" s="1"/>
  <c r="H3226" i="2" a="1"/>
  <c r="H3226" i="2" s="1"/>
  <c r="I3227" i="2" a="1"/>
  <c r="I3227" i="2" s="1"/>
  <c r="G3229" i="2" a="1"/>
  <c r="G3229" i="2" s="1"/>
  <c r="H3230" i="2" a="1"/>
  <c r="H3230" i="2" s="1"/>
  <c r="I3231" i="2" a="1"/>
  <c r="I3231" i="2" s="1"/>
  <c r="G3233" i="2" a="1"/>
  <c r="G3233" i="2" s="1"/>
  <c r="H3234" i="2" a="1"/>
  <c r="H3234" i="2" s="1"/>
  <c r="I3235" i="2" a="1"/>
  <c r="I3235" i="2" s="1"/>
  <c r="G3237" i="2" a="1"/>
  <c r="G3237" i="2" s="1"/>
  <c r="H3238" i="2" a="1"/>
  <c r="H3238" i="2" s="1"/>
  <c r="I3239" i="2" a="1"/>
  <c r="I3239" i="2" s="1"/>
  <c r="G3241" i="2" a="1"/>
  <c r="G3241" i="2" s="1"/>
  <c r="H3242" i="2" a="1"/>
  <c r="H3242" i="2" s="1"/>
  <c r="I3243" i="2" a="1"/>
  <c r="I3243" i="2" s="1"/>
  <c r="G3245" i="2" a="1"/>
  <c r="G3245" i="2" s="1"/>
  <c r="H3246" i="2" a="1"/>
  <c r="H3246" i="2" s="1"/>
  <c r="I3247" i="2" a="1"/>
  <c r="I3247" i="2" s="1"/>
  <c r="G3249" i="2" a="1"/>
  <c r="G3249" i="2" s="1"/>
  <c r="H3250" i="2" a="1"/>
  <c r="H3250" i="2" s="1"/>
  <c r="I3251" i="2" a="1"/>
  <c r="I3251" i="2" s="1"/>
  <c r="G3253" i="2" a="1"/>
  <c r="G3253" i="2" s="1"/>
  <c r="H3254" i="2" a="1"/>
  <c r="H3254" i="2" s="1"/>
  <c r="I3255" i="2" a="1"/>
  <c r="I3255" i="2" s="1"/>
  <c r="G3257" i="2" a="1"/>
  <c r="G3257" i="2" s="1"/>
  <c r="H3258" i="2" a="1"/>
  <c r="H3258" i="2" s="1"/>
  <c r="I3259" i="2" a="1"/>
  <c r="I3259" i="2" s="1"/>
  <c r="G3261" i="2" a="1"/>
  <c r="G3261" i="2" s="1"/>
  <c r="H3262" i="2" a="1"/>
  <c r="H3262" i="2" s="1"/>
  <c r="I3263" i="2" a="1"/>
  <c r="I3263" i="2" s="1"/>
  <c r="G3265" i="2" a="1"/>
  <c r="G3265" i="2" s="1"/>
  <c r="H3266" i="2" a="1"/>
  <c r="H3266" i="2" s="1"/>
  <c r="I3267" i="2" a="1"/>
  <c r="I3267" i="2" s="1"/>
  <c r="G3269" i="2" a="1"/>
  <c r="G3269" i="2" s="1"/>
  <c r="H3270" i="2" a="1"/>
  <c r="H3270" i="2" s="1"/>
  <c r="I3271" i="2" a="1"/>
  <c r="I3271" i="2" s="1"/>
  <c r="G3273" i="2" a="1"/>
  <c r="G3273" i="2" s="1"/>
  <c r="H3274" i="2" a="1"/>
  <c r="H3274" i="2" s="1"/>
  <c r="I3275" i="2" a="1"/>
  <c r="I3275" i="2" s="1"/>
  <c r="G3277" i="2" a="1"/>
  <c r="G3277" i="2" s="1"/>
  <c r="H3278" i="2" a="1"/>
  <c r="H3278" i="2" s="1"/>
  <c r="I3279" i="2" a="1"/>
  <c r="I3279" i="2" s="1"/>
  <c r="G3281" i="2" a="1"/>
  <c r="G3281" i="2" s="1"/>
  <c r="H3282" i="2" a="1"/>
  <c r="H3282" i="2" s="1"/>
  <c r="I3283" i="2" a="1"/>
  <c r="I3283" i="2" s="1"/>
  <c r="G3285" i="2" a="1"/>
  <c r="G3285" i="2" s="1"/>
  <c r="H3286" i="2" a="1"/>
  <c r="H3286" i="2" s="1"/>
  <c r="I3287" i="2" a="1"/>
  <c r="I3287" i="2" s="1"/>
  <c r="G3289" i="2" a="1"/>
  <c r="G3289" i="2" s="1"/>
  <c r="H3290" i="2" a="1"/>
  <c r="H3290" i="2" s="1"/>
  <c r="I3291" i="2" a="1"/>
  <c r="I3291" i="2" s="1"/>
  <c r="G3293" i="2" a="1"/>
  <c r="G3293" i="2" s="1"/>
  <c r="H3294" i="2" a="1"/>
  <c r="H3294" i="2" s="1"/>
  <c r="I3295" i="2" a="1"/>
  <c r="I3295" i="2" s="1"/>
  <c r="G3297" i="2" a="1"/>
  <c r="G3297" i="2" s="1"/>
  <c r="H3298" i="2" a="1"/>
  <c r="H3298" i="2" s="1"/>
  <c r="I3299" i="2" a="1"/>
  <c r="I3299" i="2" s="1"/>
  <c r="G3301" i="2" a="1"/>
  <c r="G3301" i="2" s="1"/>
  <c r="H3302" i="2" a="1"/>
  <c r="H3302" i="2" s="1"/>
  <c r="I3303" i="2" a="1"/>
  <c r="I3303" i="2" s="1"/>
  <c r="G3305" i="2" a="1"/>
  <c r="G3305" i="2" s="1"/>
  <c r="H3306" i="2" a="1"/>
  <c r="H3306" i="2" s="1"/>
  <c r="I3307" i="2" a="1"/>
  <c r="I3307" i="2" s="1"/>
  <c r="G3309" i="2" a="1"/>
  <c r="G3309" i="2" s="1"/>
  <c r="H3310" i="2" a="1"/>
  <c r="H3310" i="2" s="1"/>
  <c r="I3311" i="2" a="1"/>
  <c r="I3311" i="2" s="1"/>
  <c r="G3313" i="2" a="1"/>
  <c r="G3313" i="2" s="1"/>
  <c r="H3314" i="2" a="1"/>
  <c r="H3314" i="2" s="1"/>
  <c r="I3315" i="2" a="1"/>
  <c r="I3315" i="2" s="1"/>
  <c r="G3317" i="2" a="1"/>
  <c r="G3317" i="2" s="1"/>
  <c r="H3318" i="2" a="1"/>
  <c r="H3318" i="2" s="1"/>
  <c r="I3319" i="2" a="1"/>
  <c r="I3319" i="2" s="1"/>
  <c r="G3321" i="2" a="1"/>
  <c r="G3321" i="2" s="1"/>
  <c r="H3322" i="2" a="1"/>
  <c r="H3322" i="2" s="1"/>
  <c r="I3323" i="2" a="1"/>
  <c r="I3323" i="2" s="1"/>
  <c r="G3325" i="2" a="1"/>
  <c r="G3325" i="2" s="1"/>
  <c r="H3326" i="2" a="1"/>
  <c r="H3326" i="2" s="1"/>
  <c r="I3327" i="2" a="1"/>
  <c r="I3327" i="2" s="1"/>
  <c r="G3329" i="2" a="1"/>
  <c r="G3329" i="2" s="1"/>
  <c r="H3330" i="2" a="1"/>
  <c r="H3330" i="2" s="1"/>
  <c r="I3331" i="2" a="1"/>
  <c r="I3331" i="2" s="1"/>
  <c r="G3333" i="2" a="1"/>
  <c r="G3333" i="2" s="1"/>
  <c r="H3334" i="2" a="1"/>
  <c r="H3334" i="2" s="1"/>
  <c r="I3335" i="2" a="1"/>
  <c r="I3335" i="2" s="1"/>
  <c r="G3337" i="2" a="1"/>
  <c r="G3337" i="2" s="1"/>
  <c r="H3338" i="2" a="1"/>
  <c r="H3338" i="2" s="1"/>
  <c r="I3339" i="2" a="1"/>
  <c r="I3339" i="2" s="1"/>
  <c r="G3341" i="2" a="1"/>
  <c r="G3341" i="2" s="1"/>
  <c r="H3342" i="2" a="1"/>
  <c r="H3342" i="2" s="1"/>
  <c r="I3343" i="2" a="1"/>
  <c r="I3343" i="2" s="1"/>
  <c r="G3345" i="2" a="1"/>
  <c r="G3345" i="2" s="1"/>
  <c r="H3346" i="2" a="1"/>
  <c r="H3346" i="2" s="1"/>
  <c r="I3347" i="2" a="1"/>
  <c r="I3347" i="2" s="1"/>
  <c r="G3349" i="2" a="1"/>
  <c r="G3349" i="2" s="1"/>
  <c r="H3350" i="2" a="1"/>
  <c r="H3350" i="2" s="1"/>
  <c r="I3351" i="2" a="1"/>
  <c r="I3351" i="2" s="1"/>
  <c r="G3353" i="2" a="1"/>
  <c r="G3353" i="2" s="1"/>
  <c r="H3354" i="2" a="1"/>
  <c r="H3354" i="2" s="1"/>
  <c r="I3355" i="2" a="1"/>
  <c r="I3355" i="2" s="1"/>
  <c r="G3357" i="2" a="1"/>
  <c r="G3357" i="2" s="1"/>
  <c r="H3358" i="2" a="1"/>
  <c r="H3358" i="2" s="1"/>
  <c r="I3359" i="2" a="1"/>
  <c r="I3359" i="2" s="1"/>
  <c r="G3361" i="2" a="1"/>
  <c r="G3361" i="2" s="1"/>
  <c r="H3362" i="2" a="1"/>
  <c r="H3362" i="2" s="1"/>
  <c r="I3363" i="2" a="1"/>
  <c r="I3363" i="2" s="1"/>
  <c r="G3365" i="2" a="1"/>
  <c r="G3365" i="2" s="1"/>
  <c r="H3366" i="2" a="1"/>
  <c r="H3366" i="2" s="1"/>
  <c r="I3367" i="2" a="1"/>
  <c r="I3367" i="2" s="1"/>
  <c r="G3369" i="2" a="1"/>
  <c r="G3369" i="2" s="1"/>
  <c r="H3370" i="2" a="1"/>
  <c r="H3370" i="2" s="1"/>
  <c r="I3371" i="2" a="1"/>
  <c r="I3371" i="2" s="1"/>
  <c r="G3373" i="2" a="1"/>
  <c r="G3373" i="2" s="1"/>
  <c r="H3374" i="2" a="1"/>
  <c r="H3374" i="2" s="1"/>
  <c r="I3375" i="2" a="1"/>
  <c r="I3375" i="2" s="1"/>
  <c r="G3377" i="2" a="1"/>
  <c r="G3377" i="2" s="1"/>
  <c r="H3378" i="2" a="1"/>
  <c r="H3378" i="2" s="1"/>
  <c r="I3379" i="2" a="1"/>
  <c r="I3379" i="2" s="1"/>
  <c r="G3381" i="2" a="1"/>
  <c r="G3381" i="2" s="1"/>
  <c r="H3382" i="2" a="1"/>
  <c r="H3382" i="2" s="1"/>
  <c r="I3383" i="2" a="1"/>
  <c r="I3383" i="2" s="1"/>
  <c r="G3385" i="2" a="1"/>
  <c r="G3385" i="2" s="1"/>
  <c r="H3386" i="2" a="1"/>
  <c r="H3386" i="2" s="1"/>
  <c r="I3387" i="2" a="1"/>
  <c r="I3387" i="2" s="1"/>
  <c r="G3389" i="2" a="1"/>
  <c r="G3389" i="2" s="1"/>
  <c r="H3390" i="2" a="1"/>
  <c r="H3390" i="2" s="1"/>
  <c r="I3391" i="2" a="1"/>
  <c r="I3391" i="2" s="1"/>
  <c r="G3393" i="2" a="1"/>
  <c r="G3393" i="2" s="1"/>
  <c r="H3394" i="2" a="1"/>
  <c r="H3394" i="2" s="1"/>
  <c r="I3395" i="2" a="1"/>
  <c r="I3395" i="2" s="1"/>
  <c r="G3397" i="2" a="1"/>
  <c r="G3397" i="2" s="1"/>
  <c r="H3398" i="2" a="1"/>
  <c r="H3398" i="2" s="1"/>
  <c r="I3399" i="2" a="1"/>
  <c r="I3399" i="2" s="1"/>
  <c r="G3401" i="2" a="1"/>
  <c r="G3401" i="2" s="1"/>
  <c r="H3402" i="2" a="1"/>
  <c r="H3402" i="2" s="1"/>
  <c r="I3403" i="2" a="1"/>
  <c r="I3403" i="2" s="1"/>
  <c r="G3405" i="2" a="1"/>
  <c r="G3405" i="2" s="1"/>
  <c r="H3406" i="2" a="1"/>
  <c r="H3406" i="2" s="1"/>
  <c r="I3407" i="2" a="1"/>
  <c r="I3407" i="2" s="1"/>
  <c r="G3409" i="2" a="1"/>
  <c r="G3409" i="2" s="1"/>
  <c r="H3410" i="2" a="1"/>
  <c r="H3410" i="2" s="1"/>
  <c r="I3411" i="2" a="1"/>
  <c r="I3411" i="2" s="1"/>
  <c r="G3413" i="2" a="1"/>
  <c r="G3413" i="2" s="1"/>
  <c r="H3414" i="2" a="1"/>
  <c r="H3414" i="2" s="1"/>
  <c r="I3415" i="2" a="1"/>
  <c r="I3415" i="2" s="1"/>
  <c r="G3417" i="2" a="1"/>
  <c r="G3417" i="2" s="1"/>
  <c r="H3418" i="2" a="1"/>
  <c r="H3418" i="2" s="1"/>
  <c r="I3419" i="2" a="1"/>
  <c r="I3419" i="2" s="1"/>
  <c r="G3421" i="2" a="1"/>
  <c r="G3421" i="2" s="1"/>
  <c r="H3422" i="2" a="1"/>
  <c r="H3422" i="2" s="1"/>
  <c r="I3423" i="2" a="1"/>
  <c r="I3423" i="2" s="1"/>
  <c r="G3425" i="2" a="1"/>
  <c r="G3425" i="2" s="1"/>
  <c r="H3426" i="2" a="1"/>
  <c r="H3426" i="2" s="1"/>
  <c r="I3427" i="2" a="1"/>
  <c r="I3427" i="2" s="1"/>
  <c r="G3429" i="2" a="1"/>
  <c r="G3429" i="2" s="1"/>
  <c r="H3430" i="2" a="1"/>
  <c r="H3430" i="2" s="1"/>
  <c r="I3431" i="2" a="1"/>
  <c r="I3431" i="2" s="1"/>
  <c r="G3433" i="2" a="1"/>
  <c r="G3433" i="2" s="1"/>
  <c r="H3434" i="2" a="1"/>
  <c r="H3434" i="2" s="1"/>
  <c r="I3435" i="2" a="1"/>
  <c r="I3435" i="2" s="1"/>
  <c r="G3437" i="2" a="1"/>
  <c r="G3437" i="2" s="1"/>
  <c r="H3438" i="2" a="1"/>
  <c r="H3438" i="2" s="1"/>
  <c r="I3439" i="2" a="1"/>
  <c r="I3439" i="2" s="1"/>
  <c r="G3441" i="2" a="1"/>
  <c r="G3441" i="2" s="1"/>
  <c r="H3442" i="2" a="1"/>
  <c r="H3442" i="2" s="1"/>
  <c r="I3443" i="2" a="1"/>
  <c r="I3443" i="2" s="1"/>
  <c r="G3445" i="2" a="1"/>
  <c r="G3445" i="2" s="1"/>
  <c r="H3446" i="2" a="1"/>
  <c r="H3446" i="2" s="1"/>
  <c r="I3447" i="2" a="1"/>
  <c r="I3447" i="2" s="1"/>
  <c r="G3449" i="2" a="1"/>
  <c r="G3449" i="2" s="1"/>
  <c r="H3450" i="2" a="1"/>
  <c r="H3450" i="2" s="1"/>
  <c r="I3451" i="2" a="1"/>
  <c r="I3451" i="2" s="1"/>
  <c r="G3453" i="2" a="1"/>
  <c r="G3453" i="2" s="1"/>
  <c r="H3454" i="2" a="1"/>
  <c r="H3454" i="2" s="1"/>
  <c r="I3455" i="2" a="1"/>
  <c r="I3455" i="2" s="1"/>
  <c r="G3457" i="2" a="1"/>
  <c r="G3457" i="2" s="1"/>
  <c r="H3458" i="2" a="1"/>
  <c r="H3458" i="2" s="1"/>
  <c r="I3459" i="2" a="1"/>
  <c r="I3459" i="2" s="1"/>
  <c r="G3461" i="2" a="1"/>
  <c r="G3461" i="2" s="1"/>
  <c r="H3462" i="2" a="1"/>
  <c r="H3462" i="2" s="1"/>
  <c r="I3463" i="2" a="1"/>
  <c r="I3463" i="2" s="1"/>
  <c r="G3465" i="2" a="1"/>
  <c r="G3465" i="2" s="1"/>
  <c r="H3466" i="2" a="1"/>
  <c r="H3466" i="2" s="1"/>
  <c r="I3467" i="2" a="1"/>
  <c r="I3467" i="2" s="1"/>
  <c r="G3469" i="2" a="1"/>
  <c r="G3469" i="2" s="1"/>
  <c r="H3470" i="2" a="1"/>
  <c r="H3470" i="2" s="1"/>
  <c r="I3471" i="2" a="1"/>
  <c r="I3471" i="2" s="1"/>
  <c r="G3473" i="2" a="1"/>
  <c r="G3473" i="2" s="1"/>
  <c r="H3474" i="2" a="1"/>
  <c r="H3474" i="2" s="1"/>
  <c r="I3475" i="2" a="1"/>
  <c r="I3475" i="2" s="1"/>
  <c r="G3477" i="2" a="1"/>
  <c r="G3477" i="2" s="1"/>
  <c r="H3478" i="2" a="1"/>
  <c r="H3478" i="2" s="1"/>
  <c r="I3479" i="2" a="1"/>
  <c r="I3479" i="2" s="1"/>
  <c r="G3481" i="2" a="1"/>
  <c r="G3481" i="2" s="1"/>
  <c r="H3482" i="2" a="1"/>
  <c r="H3482" i="2" s="1"/>
  <c r="I3483" i="2" a="1"/>
  <c r="I3483" i="2" s="1"/>
  <c r="G3485" i="2" a="1"/>
  <c r="G3485" i="2" s="1"/>
  <c r="H3486" i="2" a="1"/>
  <c r="H3486" i="2" s="1"/>
  <c r="I3487" i="2" a="1"/>
  <c r="I3487" i="2" s="1"/>
  <c r="G3489" i="2" a="1"/>
  <c r="G3489" i="2" s="1"/>
  <c r="H3490" i="2" a="1"/>
  <c r="H3490" i="2" s="1"/>
  <c r="I3491" i="2" a="1"/>
  <c r="I3491" i="2" s="1"/>
  <c r="G3493" i="2" a="1"/>
  <c r="G3493" i="2" s="1"/>
  <c r="H3494" i="2" a="1"/>
  <c r="H3494" i="2" s="1"/>
  <c r="I3495" i="2" a="1"/>
  <c r="I3495" i="2" s="1"/>
  <c r="G3497" i="2" a="1"/>
  <c r="G3497" i="2" s="1"/>
  <c r="H3498" i="2" a="1"/>
  <c r="H3498" i="2" s="1"/>
  <c r="I3499" i="2" a="1"/>
  <c r="I3499" i="2" s="1"/>
  <c r="K20" i="2" a="1"/>
  <c r="K20" i="2" s="1"/>
  <c r="L21" i="2" a="1"/>
  <c r="L21" i="2" s="1"/>
  <c r="M22" i="2" a="1"/>
  <c r="M22" i="2" s="1"/>
  <c r="K24" i="2" a="1"/>
  <c r="K24" i="2" s="1"/>
  <c r="L25" i="2" a="1"/>
  <c r="L25" i="2" s="1"/>
  <c r="M26" i="2" a="1"/>
  <c r="M26" i="2" s="1"/>
  <c r="K28" i="2" a="1"/>
  <c r="K28" i="2" s="1"/>
  <c r="L29" i="2" a="1"/>
  <c r="L29" i="2" s="1"/>
  <c r="M30" i="2" a="1"/>
  <c r="M30" i="2" s="1"/>
  <c r="K32" i="2" a="1"/>
  <c r="K32" i="2" s="1"/>
  <c r="L33" i="2" a="1"/>
  <c r="L33" i="2" s="1"/>
  <c r="M34" i="2" a="1"/>
  <c r="M34" i="2" s="1"/>
  <c r="K36" i="2" a="1"/>
  <c r="K36" i="2" s="1"/>
  <c r="L37" i="2" a="1"/>
  <c r="L37" i="2" s="1"/>
  <c r="M38" i="2" a="1"/>
  <c r="M38" i="2" s="1"/>
  <c r="K40" i="2" a="1"/>
  <c r="K40" i="2" s="1"/>
  <c r="L41" i="2" a="1"/>
  <c r="L41" i="2" s="1"/>
  <c r="M42" i="2" a="1"/>
  <c r="M42" i="2" s="1"/>
  <c r="K44" i="2" a="1"/>
  <c r="K44" i="2" s="1"/>
  <c r="L45" i="2" a="1"/>
  <c r="L45" i="2" s="1"/>
  <c r="M46" i="2" a="1"/>
  <c r="M46" i="2" s="1"/>
  <c r="K48" i="2" a="1"/>
  <c r="K48" i="2" s="1"/>
  <c r="L49" i="2" a="1"/>
  <c r="L49" i="2" s="1"/>
  <c r="M50" i="2" a="1"/>
  <c r="M50" i="2" s="1"/>
  <c r="K52" i="2" a="1"/>
  <c r="K52" i="2" s="1"/>
  <c r="L53" i="2" a="1"/>
  <c r="L53" i="2" s="1"/>
  <c r="M54" i="2" a="1"/>
  <c r="M54" i="2" s="1"/>
  <c r="K56" i="2" a="1"/>
  <c r="K56" i="2" s="1"/>
  <c r="L57" i="2" a="1"/>
  <c r="L57" i="2" s="1"/>
  <c r="M58" i="2" a="1"/>
  <c r="M58" i="2" s="1"/>
  <c r="K60" i="2" a="1"/>
  <c r="K60" i="2" s="1"/>
  <c r="L61" i="2" a="1"/>
  <c r="L61" i="2" s="1"/>
  <c r="M62" i="2" a="1"/>
  <c r="M62" i="2" s="1"/>
  <c r="K64" i="2" a="1"/>
  <c r="K64" i="2" s="1"/>
  <c r="L65" i="2" a="1"/>
  <c r="L65" i="2" s="1"/>
  <c r="M66" i="2" a="1"/>
  <c r="M66" i="2" s="1"/>
  <c r="K68" i="2" a="1"/>
  <c r="K68" i="2" s="1"/>
  <c r="L69" i="2" a="1"/>
  <c r="L69" i="2" s="1"/>
  <c r="M70" i="2" a="1"/>
  <c r="M70" i="2" s="1"/>
  <c r="K72" i="2" a="1"/>
  <c r="K72" i="2" s="1"/>
  <c r="L73" i="2" a="1"/>
  <c r="L73" i="2" s="1"/>
  <c r="M74" i="2" a="1"/>
  <c r="M74" i="2" s="1"/>
  <c r="K76" i="2" a="1"/>
  <c r="K76" i="2" s="1"/>
  <c r="L78" i="2" a="1"/>
  <c r="L78" i="2" s="1"/>
  <c r="L79" i="2" a="1"/>
  <c r="L79" i="2" s="1"/>
  <c r="M80" i="2" a="1"/>
  <c r="M80" i="2" s="1"/>
  <c r="M81" i="2" a="1"/>
  <c r="M81" i="2" s="1"/>
  <c r="M82" i="2" a="1"/>
  <c r="M82" i="2" s="1"/>
  <c r="K85" i="2" a="1"/>
  <c r="K85" i="2" s="1"/>
  <c r="L86" i="2" a="1"/>
  <c r="L86" i="2" s="1"/>
  <c r="K88" i="2" a="1"/>
  <c r="K88" i="2" s="1"/>
  <c r="K90" i="2" a="1"/>
  <c r="K90" i="2" s="1"/>
  <c r="K91" i="2" a="1"/>
  <c r="K91" i="2" s="1"/>
  <c r="K92" i="2" a="1"/>
  <c r="K92" i="2" s="1"/>
  <c r="K93" i="2" a="1"/>
  <c r="K93" i="2" s="1"/>
  <c r="L94" i="2" a="1"/>
  <c r="L94" i="2" s="1"/>
  <c r="L95" i="2" a="1"/>
  <c r="L95" i="2" s="1"/>
  <c r="M96" i="2" a="1"/>
  <c r="M96" i="2" s="1"/>
  <c r="K99" i="2" a="1"/>
  <c r="K99" i="2" s="1"/>
  <c r="L100" i="2" a="1"/>
  <c r="L100" i="2" s="1"/>
  <c r="L101" i="2" a="1"/>
  <c r="L101" i="2" s="1"/>
  <c r="M102" i="2" a="1"/>
  <c r="M102" i="2" s="1"/>
  <c r="M103" i="2" a="1"/>
  <c r="M103" i="2" s="1"/>
  <c r="M104" i="2" a="1"/>
  <c r="M104" i="2" s="1"/>
  <c r="K107" i="2" a="1"/>
  <c r="K107" i="2" s="1"/>
  <c r="L108" i="2" a="1"/>
  <c r="L108" i="2" s="1"/>
  <c r="L110" i="2" a="1"/>
  <c r="L110" i="2" s="1"/>
  <c r="L111" i="2" a="1"/>
  <c r="L111" i="2" s="1"/>
  <c r="L112" i="2" a="1"/>
  <c r="L112" i="2" s="1"/>
  <c r="M113" i="2" a="1"/>
  <c r="M113" i="2" s="1"/>
  <c r="M115" i="2" a="1"/>
  <c r="M115" i="2" s="1"/>
  <c r="K117" i="2" a="1"/>
  <c r="K117" i="2" s="1"/>
  <c r="L118" i="2" a="1"/>
  <c r="L118" i="2" s="1"/>
  <c r="L119" i="2" a="1"/>
  <c r="L119" i="2" s="1"/>
  <c r="L120" i="2" a="1"/>
  <c r="L120" i="2" s="1"/>
  <c r="L121" i="2" a="1"/>
  <c r="L121" i="2" s="1"/>
  <c r="M123" i="2" a="1"/>
  <c r="M123" i="2" s="1"/>
  <c r="M124" i="2" a="1"/>
  <c r="M124" i="2" s="1"/>
  <c r="M125" i="2" a="1"/>
  <c r="M125" i="2" s="1"/>
  <c r="M126" i="2" a="1"/>
  <c r="M126" i="2" s="1"/>
  <c r="K129" i="2" a="1"/>
  <c r="K129" i="2" s="1"/>
  <c r="K130" i="2" a="1"/>
  <c r="K130" i="2" s="1"/>
  <c r="K131" i="2" a="1"/>
  <c r="K131" i="2" s="1"/>
  <c r="K132" i="2" a="1"/>
  <c r="K132" i="2" s="1"/>
  <c r="K134" i="2" a="1"/>
  <c r="K134" i="2" s="1"/>
  <c r="K135" i="2" a="1"/>
  <c r="K135" i="2" s="1"/>
  <c r="L137" i="2" a="1"/>
  <c r="L137" i="2" s="1"/>
  <c r="L138" i="2" a="1"/>
  <c r="L138" i="2" s="1"/>
  <c r="M139" i="2" a="1"/>
  <c r="M139" i="2" s="1"/>
  <c r="M140" i="2" a="1"/>
  <c r="M140" i="2" s="1"/>
  <c r="M141" i="2" a="1"/>
  <c r="M141" i="2" s="1"/>
  <c r="K144" i="2" a="1"/>
  <c r="K144" i="2" s="1"/>
  <c r="L145" i="2" a="1"/>
  <c r="L145" i="2" s="1"/>
  <c r="L146" i="2" a="1"/>
  <c r="L146" i="2" s="1"/>
  <c r="L147" i="2" a="1"/>
  <c r="L147" i="2" s="1"/>
  <c r="M148" i="2" a="1"/>
  <c r="M148" i="2" s="1"/>
  <c r="M149" i="2" a="1"/>
  <c r="M149" i="2" s="1"/>
  <c r="K152" i="2" a="1"/>
  <c r="K152" i="2" s="1"/>
  <c r="K153" i="2" a="1"/>
  <c r="K153" i="2" s="1"/>
  <c r="L154" i="2" a="1"/>
  <c r="L154" i="2" s="1"/>
  <c r="L155" i="2" a="1"/>
  <c r="L155" i="2" s="1"/>
  <c r="M156" i="2" a="1"/>
  <c r="M156" i="2" s="1"/>
  <c r="M157" i="2" a="1"/>
  <c r="M157" i="2" s="1"/>
  <c r="K160" i="2" a="1"/>
  <c r="K160" i="2" s="1"/>
  <c r="L161" i="2" a="1"/>
  <c r="L161" i="2" s="1"/>
  <c r="L162" i="2" a="1"/>
  <c r="L162" i="2" s="1"/>
  <c r="M163" i="2" a="1"/>
  <c r="M163" i="2" s="1"/>
  <c r="K165" i="2" a="1"/>
  <c r="K165" i="2" s="1"/>
  <c r="L166" i="2" a="1"/>
  <c r="L166" i="2" s="1"/>
  <c r="L167" i="2" a="1"/>
  <c r="L167" i="2" s="1"/>
  <c r="M168" i="2" a="1"/>
  <c r="M168" i="2" s="1"/>
  <c r="K170" i="2" a="1"/>
  <c r="K170" i="2" s="1"/>
  <c r="L171" i="2" a="1"/>
  <c r="L171" i="2" s="1"/>
  <c r="L172" i="2" a="1"/>
  <c r="L172" i="2" s="1"/>
  <c r="M173" i="2" a="1"/>
  <c r="M173" i="2" s="1"/>
  <c r="K176" i="2" a="1"/>
  <c r="K176" i="2" s="1"/>
  <c r="L177" i="2" a="1"/>
  <c r="L177" i="2" s="1"/>
  <c r="L178" i="2" a="1"/>
  <c r="L178" i="2" s="1"/>
  <c r="M179" i="2" a="1"/>
  <c r="M179" i="2" s="1"/>
  <c r="M180" i="2" a="1"/>
  <c r="M180" i="2" s="1"/>
  <c r="K182" i="2" a="1"/>
  <c r="K182" i="2" s="1"/>
  <c r="K183" i="2" a="1"/>
  <c r="K183" i="2" s="1"/>
  <c r="L184" i="2" a="1"/>
  <c r="L184" i="2" s="1"/>
  <c r="M185" i="2" a="1"/>
  <c r="M185" i="2" s="1"/>
  <c r="K187" i="2" a="1"/>
  <c r="K187" i="2" s="1"/>
  <c r="L188" i="2" a="1"/>
  <c r="L188" i="2" s="1"/>
  <c r="M189" i="2" a="1"/>
  <c r="M189" i="2" s="1"/>
  <c r="K191" i="2" a="1"/>
  <c r="K191" i="2" s="1"/>
  <c r="L192" i="2" a="1"/>
  <c r="L192" i="2" s="1"/>
  <c r="M193" i="2" a="1"/>
  <c r="M193" i="2" s="1"/>
  <c r="K195" i="2" a="1"/>
  <c r="K195" i="2" s="1"/>
  <c r="L196" i="2" a="1"/>
  <c r="L196" i="2" s="1"/>
  <c r="M197" i="2" a="1"/>
  <c r="M197" i="2" s="1"/>
  <c r="K199" i="2" a="1"/>
  <c r="K199" i="2" s="1"/>
  <c r="L200" i="2" a="1"/>
  <c r="L200" i="2" s="1"/>
  <c r="M201" i="2" a="1"/>
  <c r="M201" i="2" s="1"/>
  <c r="K203" i="2" a="1"/>
  <c r="K203" i="2" s="1"/>
  <c r="L204" i="2" a="1"/>
  <c r="L204" i="2" s="1"/>
  <c r="M205" i="2" a="1"/>
  <c r="M205" i="2" s="1"/>
  <c r="K207" i="2" a="1"/>
  <c r="K207" i="2" s="1"/>
  <c r="L208" i="2" a="1"/>
  <c r="L208" i="2" s="1"/>
  <c r="M209" i="2" a="1"/>
  <c r="M209" i="2" s="1"/>
  <c r="K211" i="2" a="1"/>
  <c r="K211" i="2" s="1"/>
  <c r="L212" i="2" a="1"/>
  <c r="L212" i="2" s="1"/>
  <c r="M213" i="2" a="1"/>
  <c r="M213" i="2" s="1"/>
  <c r="K215" i="2" a="1"/>
  <c r="K215" i="2" s="1"/>
  <c r="L216" i="2" a="1"/>
  <c r="L216" i="2" s="1"/>
  <c r="M217" i="2" a="1"/>
  <c r="M217" i="2" s="1"/>
  <c r="K219" i="2" a="1"/>
  <c r="K219" i="2" s="1"/>
  <c r="L220" i="2" a="1"/>
  <c r="L220" i="2" s="1"/>
  <c r="M221" i="2" a="1"/>
  <c r="M221" i="2" s="1"/>
  <c r="K223" i="2" a="1"/>
  <c r="K223" i="2" s="1"/>
  <c r="L224" i="2" a="1"/>
  <c r="L224" i="2" s="1"/>
  <c r="M225" i="2" a="1"/>
  <c r="M225" i="2" s="1"/>
  <c r="K227" i="2" a="1"/>
  <c r="K227" i="2" s="1"/>
  <c r="L228" i="2" a="1"/>
  <c r="L228" i="2" s="1"/>
  <c r="M229" i="2" a="1"/>
  <c r="M229" i="2" s="1"/>
  <c r="K231" i="2" a="1"/>
  <c r="K231" i="2" s="1"/>
  <c r="L232" i="2" a="1"/>
  <c r="L232" i="2" s="1"/>
  <c r="M233" i="2" a="1"/>
  <c r="M233" i="2" s="1"/>
  <c r="M234" i="2" a="1"/>
  <c r="M234" i="2" s="1"/>
  <c r="M236" i="2" a="1"/>
  <c r="M236" i="2" s="1"/>
  <c r="M237" i="2" a="1"/>
  <c r="M237" i="2" s="1"/>
  <c r="M238" i="2" a="1"/>
  <c r="M238" i="2" s="1"/>
  <c r="M239" i="2" a="1"/>
  <c r="M239" i="2" s="1"/>
  <c r="M240" i="2" a="1"/>
  <c r="M240" i="2" s="1"/>
  <c r="M241" i="2" a="1"/>
  <c r="M241" i="2" s="1"/>
  <c r="M243" i="2" a="1"/>
  <c r="M243" i="2" s="1"/>
  <c r="L245" i="2" a="1"/>
  <c r="L245" i="2" s="1"/>
  <c r="M246" i="2" a="1"/>
  <c r="M246" i="2" s="1"/>
  <c r="K249" i="2" a="1"/>
  <c r="K249" i="2" s="1"/>
  <c r="K250" i="2" a="1"/>
  <c r="K250" i="2" s="1"/>
  <c r="K251" i="2" a="1"/>
  <c r="K251" i="2" s="1"/>
  <c r="L252" i="2" a="1"/>
  <c r="L252" i="2" s="1"/>
  <c r="L253" i="2" a="1"/>
  <c r="L253" i="2" s="1"/>
  <c r="M255" i="2" a="1"/>
  <c r="M255" i="2" s="1"/>
  <c r="M256" i="2" a="1"/>
  <c r="M256" i="2" s="1"/>
  <c r="K258" i="2" a="1"/>
  <c r="K258" i="2" s="1"/>
  <c r="K259" i="2" a="1"/>
  <c r="K259" i="2" s="1"/>
  <c r="L260" i="2" a="1"/>
  <c r="L260" i="2" s="1"/>
  <c r="L261" i="2" a="1"/>
  <c r="L261" i="2" s="1"/>
  <c r="M262" i="2" a="1"/>
  <c r="M262" i="2" s="1"/>
  <c r="K265" i="2" a="1"/>
  <c r="K265" i="2" s="1"/>
  <c r="K266" i="2" a="1"/>
  <c r="K266" i="2" s="1"/>
  <c r="K267" i="2" a="1"/>
  <c r="K267" i="2" s="1"/>
  <c r="K268" i="2" a="1"/>
  <c r="K268" i="2" s="1"/>
  <c r="L270" i="2" a="1"/>
  <c r="L270" i="2" s="1"/>
  <c r="L271" i="2" a="1"/>
  <c r="L271" i="2" s="1"/>
  <c r="L272" i="2" a="1"/>
  <c r="L272" i="2" s="1"/>
  <c r="M273" i="2" a="1"/>
  <c r="M273" i="2" s="1"/>
  <c r="M274" i="2" a="1"/>
  <c r="M274" i="2" s="1"/>
  <c r="M276" i="2" a="1"/>
  <c r="M276" i="2" s="1"/>
  <c r="K278" i="2" a="1"/>
  <c r="K278" i="2" s="1"/>
  <c r="K279" i="2" a="1"/>
  <c r="K279" i="2" s="1"/>
  <c r="K281" i="2" a="1"/>
  <c r="K281" i="2" s="1"/>
  <c r="M282" i="2" a="1"/>
  <c r="M282" i="2" s="1"/>
  <c r="K285" i="2" a="1"/>
  <c r="K285" i="2" s="1"/>
  <c r="K286" i="2" a="1"/>
  <c r="K286" i="2" s="1"/>
  <c r="K288" i="2" a="1"/>
  <c r="K288" i="2" s="1"/>
  <c r="L289" i="2" a="1"/>
  <c r="L289" i="2" s="1"/>
  <c r="L290" i="2" a="1"/>
  <c r="L290" i="2" s="1"/>
  <c r="L291" i="2" a="1"/>
  <c r="L291" i="2" s="1"/>
  <c r="L292" i="2" a="1"/>
  <c r="L292" i="2" s="1"/>
  <c r="L293" i="2" a="1"/>
  <c r="L293" i="2" s="1"/>
  <c r="L295" i="2" a="1"/>
  <c r="L295" i="2" s="1"/>
  <c r="L296" i="2" a="1"/>
  <c r="L296" i="2" s="1"/>
  <c r="L297" i="2" a="1"/>
  <c r="L297" i="2" s="1"/>
  <c r="L298" i="2" a="1"/>
  <c r="L298" i="2" s="1"/>
  <c r="M299" i="2" a="1"/>
  <c r="M299" i="2" s="1"/>
  <c r="L301" i="2" a="1"/>
  <c r="L301" i="2" s="1"/>
  <c r="L303" i="2" a="1"/>
  <c r="L303" i="2" s="1"/>
  <c r="L304" i="2" a="1"/>
  <c r="L304" i="2" s="1"/>
  <c r="L305" i="2" a="1"/>
  <c r="L305" i="2" s="1"/>
  <c r="L306" i="2" a="1"/>
  <c r="L306" i="2" s="1"/>
  <c r="L307" i="2" a="1"/>
  <c r="L307" i="2" s="1"/>
  <c r="L308" i="2" a="1"/>
  <c r="L308" i="2" s="1"/>
  <c r="L309" i="2" a="1"/>
  <c r="L309" i="2" s="1"/>
  <c r="L311" i="2" a="1"/>
  <c r="L311" i="2" s="1"/>
  <c r="L312" i="2" a="1"/>
  <c r="L312" i="2" s="1"/>
  <c r="L313" i="2" a="1"/>
  <c r="L313" i="2" s="1"/>
  <c r="L314" i="2" a="1"/>
  <c r="L314" i="2" s="1"/>
  <c r="L315" i="2" a="1"/>
  <c r="L315" i="2" s="1"/>
  <c r="L316" i="2" a="1"/>
  <c r="L316" i="2" s="1"/>
  <c r="L318" i="2" a="1"/>
  <c r="L318" i="2" s="1"/>
  <c r="L319" i="2" a="1"/>
  <c r="L319" i="2" s="1"/>
  <c r="M320" i="2" a="1"/>
  <c r="M320" i="2" s="1"/>
  <c r="M321" i="2" a="1"/>
  <c r="M321" i="2" s="1"/>
  <c r="M323" i="2" a="1"/>
  <c r="M323" i="2" s="1"/>
  <c r="M324" i="2" a="1"/>
  <c r="M324" i="2" s="1"/>
  <c r="M325" i="2" a="1"/>
  <c r="M325" i="2" s="1"/>
  <c r="M326" i="2" a="1"/>
  <c r="M326" i="2" s="1"/>
  <c r="K329" i="2" a="1"/>
  <c r="K329" i="2" s="1"/>
  <c r="K330" i="2" a="1"/>
  <c r="K330" i="2" s="1"/>
  <c r="K331" i="2" a="1"/>
  <c r="K331" i="2" s="1"/>
  <c r="K332" i="2" a="1"/>
  <c r="K332" i="2" s="1"/>
  <c r="L334" i="2" a="1"/>
  <c r="L334" i="2" s="1"/>
  <c r="L335" i="2" a="1"/>
  <c r="L335" i="2" s="1"/>
  <c r="L336" i="2" a="1"/>
  <c r="L336" i="2" s="1"/>
  <c r="L337" i="2" a="1"/>
  <c r="L337" i="2" s="1"/>
  <c r="M339" i="2" a="1"/>
  <c r="M339" i="2" s="1"/>
  <c r="M340" i="2" a="1"/>
  <c r="M340" i="2" s="1"/>
  <c r="M341" i="2" a="1"/>
  <c r="M341" i="2" s="1"/>
  <c r="M342" i="2" a="1"/>
  <c r="M342" i="2" s="1"/>
  <c r="K345" i="2" a="1"/>
  <c r="K345" i="2" s="1"/>
  <c r="K346" i="2" a="1"/>
  <c r="K346" i="2" s="1"/>
  <c r="K348" i="2" a="1"/>
  <c r="K348" i="2" s="1"/>
  <c r="K349" i="2" a="1"/>
  <c r="K349" i="2" s="1"/>
  <c r="K350" i="2" a="1"/>
  <c r="K350" i="2" s="1"/>
  <c r="K351" i="2" a="1"/>
  <c r="K351" i="2" s="1"/>
  <c r="L353" i="2" a="1"/>
  <c r="L353" i="2" s="1"/>
  <c r="L354" i="2" a="1"/>
  <c r="L354" i="2" s="1"/>
  <c r="L355" i="2" a="1"/>
  <c r="L355" i="2" s="1"/>
  <c r="L356" i="2" a="1"/>
  <c r="L356" i="2" s="1"/>
  <c r="M358" i="2" a="1"/>
  <c r="M358" i="2" s="1"/>
  <c r="M359" i="2" a="1"/>
  <c r="M359" i="2" s="1"/>
  <c r="M360" i="2" a="1"/>
  <c r="M360" i="2" s="1"/>
  <c r="M361" i="2" a="1"/>
  <c r="M361" i="2" s="1"/>
  <c r="K364" i="2" a="1"/>
  <c r="K364" i="2" s="1"/>
  <c r="K365" i="2" a="1"/>
  <c r="K365" i="2" s="1"/>
  <c r="K366" i="2" a="1"/>
  <c r="K366" i="2" s="1"/>
  <c r="K367" i="2" a="1"/>
  <c r="K367" i="2" s="1"/>
  <c r="L369" i="2" a="1"/>
  <c r="L369" i="2" s="1"/>
  <c r="L370" i="2" a="1"/>
  <c r="L370" i="2" s="1"/>
  <c r="L371" i="2" a="1"/>
  <c r="L371" i="2" s="1"/>
  <c r="L372" i="2" a="1"/>
  <c r="L372" i="2" s="1"/>
  <c r="M374" i="2" a="1"/>
  <c r="M374" i="2" s="1"/>
  <c r="M375" i="2" a="1"/>
  <c r="M375" i="2" s="1"/>
  <c r="M376" i="2" a="1"/>
  <c r="M376" i="2" s="1"/>
  <c r="M377" i="2" a="1"/>
  <c r="M377" i="2" s="1"/>
  <c r="K380" i="2" a="1"/>
  <c r="K380" i="2" s="1"/>
  <c r="K381" i="2" a="1"/>
  <c r="K381" i="2" s="1"/>
  <c r="K382" i="2" a="1"/>
  <c r="K382" i="2" s="1"/>
  <c r="K383" i="2" a="1"/>
  <c r="K383" i="2" s="1"/>
  <c r="L385" i="2" a="1"/>
  <c r="L385" i="2" s="1"/>
  <c r="L386" i="2" a="1"/>
  <c r="L386" i="2" s="1"/>
  <c r="L387" i="2" a="1"/>
  <c r="L387" i="2" s="1"/>
  <c r="L388" i="2" a="1"/>
  <c r="L388" i="2" s="1"/>
  <c r="M390" i="2" a="1"/>
  <c r="M390" i="2" s="1"/>
  <c r="M391" i="2" a="1"/>
  <c r="M391" i="2" s="1"/>
  <c r="M392" i="2" a="1"/>
  <c r="M392" i="2" s="1"/>
  <c r="M393" i="2" a="1"/>
  <c r="M393" i="2" s="1"/>
  <c r="K396" i="2" a="1"/>
  <c r="K396" i="2" s="1"/>
  <c r="K397" i="2" a="1"/>
  <c r="K397" i="2" s="1"/>
  <c r="K398" i="2" a="1"/>
  <c r="K398" i="2" s="1"/>
  <c r="K399" i="2" a="1"/>
  <c r="K399" i="2" s="1"/>
  <c r="L401" i="2" a="1"/>
  <c r="L401" i="2" s="1"/>
  <c r="L402" i="2" a="1"/>
  <c r="L402" i="2" s="1"/>
  <c r="L403" i="2" a="1"/>
  <c r="L403" i="2" s="1"/>
  <c r="L404" i="2" a="1"/>
  <c r="L404" i="2" s="1"/>
  <c r="M406" i="2" a="1"/>
  <c r="M406" i="2" s="1"/>
  <c r="M407" i="2" a="1"/>
  <c r="M407" i="2" s="1"/>
  <c r="M408" i="2" a="1"/>
  <c r="M408" i="2" s="1"/>
  <c r="M409" i="2" a="1"/>
  <c r="M409" i="2" s="1"/>
  <c r="K412" i="2" a="1"/>
  <c r="K412" i="2" s="1"/>
  <c r="K413" i="2" a="1"/>
  <c r="K413" i="2" s="1"/>
  <c r="K414" i="2" a="1"/>
  <c r="K414" i="2" s="1"/>
  <c r="K415" i="2" a="1"/>
  <c r="K415" i="2" s="1"/>
  <c r="L417" i="2" a="1"/>
  <c r="L417" i="2" s="1"/>
  <c r="L418" i="2" a="1"/>
  <c r="L418" i="2" s="1"/>
  <c r="L419" i="2" a="1"/>
  <c r="L419" i="2" s="1"/>
  <c r="L420" i="2" a="1"/>
  <c r="L420" i="2" s="1"/>
  <c r="M422" i="2" a="1"/>
  <c r="M422" i="2" s="1"/>
  <c r="M423" i="2" a="1"/>
  <c r="M423" i="2" s="1"/>
  <c r="M424" i="2" a="1"/>
  <c r="M424" i="2" s="1"/>
  <c r="M425" i="2" a="1"/>
  <c r="M425" i="2" s="1"/>
  <c r="K428" i="2" a="1"/>
  <c r="K428" i="2" s="1"/>
  <c r="K429" i="2" a="1"/>
  <c r="K429" i="2" s="1"/>
  <c r="K430" i="2" a="1"/>
  <c r="K430" i="2" s="1"/>
  <c r="K431" i="2" a="1"/>
  <c r="K431" i="2" s="1"/>
  <c r="L433" i="2" a="1"/>
  <c r="L433" i="2" s="1"/>
  <c r="L434" i="2" a="1"/>
  <c r="L434" i="2" s="1"/>
  <c r="L435" i="2" a="1"/>
  <c r="L435" i="2" s="1"/>
  <c r="L436" i="2" a="1"/>
  <c r="L436" i="2" s="1"/>
  <c r="M438" i="2" a="1"/>
  <c r="M438" i="2" s="1"/>
  <c r="M439" i="2" a="1"/>
  <c r="M439" i="2" s="1"/>
  <c r="M440" i="2" a="1"/>
  <c r="M440" i="2" s="1"/>
  <c r="M441" i="2" a="1"/>
  <c r="M441" i="2" s="1"/>
  <c r="K444" i="2" a="1"/>
  <c r="K444" i="2" s="1"/>
  <c r="K445" i="2" a="1"/>
  <c r="K445" i="2" s="1"/>
  <c r="K446" i="2" a="1"/>
  <c r="K446" i="2" s="1"/>
  <c r="K447" i="2" a="1"/>
  <c r="K447" i="2" s="1"/>
  <c r="L449" i="2" a="1"/>
  <c r="L449" i="2" s="1"/>
  <c r="L450" i="2" a="1"/>
  <c r="L450" i="2" s="1"/>
  <c r="L451" i="2" a="1"/>
  <c r="L451" i="2" s="1"/>
  <c r="L452" i="2" a="1"/>
  <c r="L452" i="2" s="1"/>
  <c r="M454" i="2" a="1"/>
  <c r="M454" i="2" s="1"/>
  <c r="M455" i="2" a="1"/>
  <c r="M455" i="2" s="1"/>
  <c r="M456" i="2" a="1"/>
  <c r="M456" i="2" s="1"/>
  <c r="M457" i="2" a="1"/>
  <c r="M457" i="2" s="1"/>
  <c r="K460" i="2" a="1"/>
  <c r="K460" i="2" s="1"/>
  <c r="K461" i="2" a="1"/>
  <c r="K461" i="2" s="1"/>
  <c r="K462" i="2" a="1"/>
  <c r="K462" i="2" s="1"/>
  <c r="K463" i="2" a="1"/>
  <c r="K463" i="2" s="1"/>
  <c r="L465" i="2" a="1"/>
  <c r="L465" i="2" s="1"/>
  <c r="L466" i="2" a="1"/>
  <c r="L466" i="2" s="1"/>
  <c r="L467" i="2" a="1"/>
  <c r="L467" i="2" s="1"/>
  <c r="L468" i="2" a="1"/>
  <c r="L468" i="2" s="1"/>
  <c r="M470" i="2" a="1"/>
  <c r="M470" i="2" s="1"/>
  <c r="M471" i="2" a="1"/>
  <c r="M471" i="2" s="1"/>
  <c r="M472" i="2" a="1"/>
  <c r="M472" i="2" s="1"/>
  <c r="M473" i="2" a="1"/>
  <c r="M473" i="2" s="1"/>
  <c r="K476" i="2" a="1"/>
  <c r="K476" i="2" s="1"/>
  <c r="K477" i="2" a="1"/>
  <c r="K477" i="2" s="1"/>
  <c r="K478" i="2" a="1"/>
  <c r="K478" i="2" s="1"/>
  <c r="K479" i="2" a="1"/>
  <c r="K479" i="2" s="1"/>
  <c r="L481" i="2" a="1"/>
  <c r="L481" i="2" s="1"/>
  <c r="L482" i="2" a="1"/>
  <c r="L482" i="2" s="1"/>
  <c r="L483" i="2" a="1"/>
  <c r="L483" i="2" s="1"/>
  <c r="L484" i="2" a="1"/>
  <c r="L484" i="2" s="1"/>
  <c r="M486" i="2" a="1"/>
  <c r="M486" i="2" s="1"/>
  <c r="M487" i="2" a="1"/>
  <c r="M487" i="2" s="1"/>
  <c r="M488" i="2" a="1"/>
  <c r="M488" i="2" s="1"/>
  <c r="M489" i="2" a="1"/>
  <c r="M489" i="2" s="1"/>
  <c r="K492" i="2" a="1"/>
  <c r="K492" i="2" s="1"/>
  <c r="K493" i="2" a="1"/>
  <c r="K493" i="2" s="1"/>
  <c r="K494" i="2" a="1"/>
  <c r="K494" i="2" s="1"/>
  <c r="K495" i="2" a="1"/>
  <c r="K495" i="2" s="1"/>
  <c r="L497" i="2" a="1"/>
  <c r="L497" i="2" s="1"/>
  <c r="L498" i="2" a="1"/>
  <c r="L498" i="2" s="1"/>
  <c r="L499" i="2" a="1"/>
  <c r="L499" i="2" s="1"/>
  <c r="L500" i="2" a="1"/>
  <c r="L500" i="2" s="1"/>
  <c r="M502" i="2" a="1"/>
  <c r="M502" i="2" s="1"/>
  <c r="M503" i="2" a="1"/>
  <c r="M503" i="2" s="1"/>
  <c r="M504" i="2" a="1"/>
  <c r="M504" i="2" s="1"/>
  <c r="M505" i="2" a="1"/>
  <c r="M505" i="2" s="1"/>
  <c r="K508" i="2" a="1"/>
  <c r="K508" i="2" s="1"/>
  <c r="K509" i="2" a="1"/>
  <c r="K509" i="2" s="1"/>
  <c r="K510" i="2" a="1"/>
  <c r="K510" i="2" s="1"/>
  <c r="K511" i="2" a="1"/>
  <c r="K511" i="2" s="1"/>
  <c r="L513" i="2" a="1"/>
  <c r="L513" i="2" s="1"/>
  <c r="L514" i="2" a="1"/>
  <c r="L514" i="2" s="1"/>
  <c r="L515" i="2" a="1"/>
  <c r="L515" i="2" s="1"/>
  <c r="G3180" i="2" a="1"/>
  <c r="G3180" i="2" s="1"/>
  <c r="H3181" i="2" a="1"/>
  <c r="H3181" i="2" s="1"/>
  <c r="I3182" i="2" a="1"/>
  <c r="I3182" i="2" s="1"/>
  <c r="G3184" i="2" a="1"/>
  <c r="G3184" i="2" s="1"/>
  <c r="H3185" i="2" a="1"/>
  <c r="H3185" i="2" s="1"/>
  <c r="I3186" i="2" a="1"/>
  <c r="I3186" i="2" s="1"/>
  <c r="G3188" i="2" a="1"/>
  <c r="G3188" i="2" s="1"/>
  <c r="H3189" i="2" a="1"/>
  <c r="H3189" i="2" s="1"/>
  <c r="I3190" i="2" a="1"/>
  <c r="I3190" i="2" s="1"/>
  <c r="G3192" i="2" a="1"/>
  <c r="G3192" i="2" s="1"/>
  <c r="H3193" i="2" a="1"/>
  <c r="H3193" i="2" s="1"/>
  <c r="I3194" i="2" a="1"/>
  <c r="I3194" i="2" s="1"/>
  <c r="G3196" i="2" a="1"/>
  <c r="G3196" i="2" s="1"/>
  <c r="H3197" i="2" a="1"/>
  <c r="H3197" i="2" s="1"/>
  <c r="I3198" i="2" a="1"/>
  <c r="I3198" i="2" s="1"/>
  <c r="G3200" i="2" a="1"/>
  <c r="G3200" i="2" s="1"/>
  <c r="H3201" i="2" a="1"/>
  <c r="H3201" i="2" s="1"/>
  <c r="I3202" i="2" a="1"/>
  <c r="I3202" i="2" s="1"/>
  <c r="G3204" i="2" a="1"/>
  <c r="G3204" i="2" s="1"/>
  <c r="H3205" i="2" a="1"/>
  <c r="H3205" i="2" s="1"/>
  <c r="I3206" i="2" a="1"/>
  <c r="I3206" i="2" s="1"/>
  <c r="G3208" i="2" a="1"/>
  <c r="G3208" i="2" s="1"/>
  <c r="H3209" i="2" a="1"/>
  <c r="H3209" i="2" s="1"/>
  <c r="I3210" i="2" a="1"/>
  <c r="I3210" i="2" s="1"/>
  <c r="G3212" i="2" a="1"/>
  <c r="G3212" i="2" s="1"/>
  <c r="H3213" i="2" a="1"/>
  <c r="H3213" i="2" s="1"/>
  <c r="I3214" i="2" a="1"/>
  <c r="I3214" i="2" s="1"/>
  <c r="G3216" i="2" a="1"/>
  <c r="G3216" i="2" s="1"/>
  <c r="H3217" i="2" a="1"/>
  <c r="H3217" i="2" s="1"/>
  <c r="I3218" i="2" a="1"/>
  <c r="I3218" i="2" s="1"/>
  <c r="G3220" i="2" a="1"/>
  <c r="G3220" i="2" s="1"/>
  <c r="H3221" i="2" a="1"/>
  <c r="H3221" i="2" s="1"/>
  <c r="I3222" i="2" a="1"/>
  <c r="I3222" i="2" s="1"/>
  <c r="G3224" i="2" a="1"/>
  <c r="G3224" i="2" s="1"/>
  <c r="H3225" i="2" a="1"/>
  <c r="H3225" i="2" s="1"/>
  <c r="I3226" i="2" a="1"/>
  <c r="I3226" i="2" s="1"/>
  <c r="G3228" i="2" a="1"/>
  <c r="G3228" i="2" s="1"/>
  <c r="H3229" i="2" a="1"/>
  <c r="H3229" i="2" s="1"/>
  <c r="I3230" i="2" a="1"/>
  <c r="I3230" i="2" s="1"/>
  <c r="G3232" i="2" a="1"/>
  <c r="G3232" i="2" s="1"/>
  <c r="H3233" i="2" a="1"/>
  <c r="H3233" i="2" s="1"/>
  <c r="I3234" i="2" a="1"/>
  <c r="I3234" i="2" s="1"/>
  <c r="G3236" i="2" a="1"/>
  <c r="G3236" i="2" s="1"/>
  <c r="H3237" i="2" a="1"/>
  <c r="H3237" i="2" s="1"/>
  <c r="I3238" i="2" a="1"/>
  <c r="I3238" i="2" s="1"/>
  <c r="G3240" i="2" a="1"/>
  <c r="G3240" i="2" s="1"/>
  <c r="H3241" i="2" a="1"/>
  <c r="H3241" i="2" s="1"/>
  <c r="I3242" i="2" a="1"/>
  <c r="I3242" i="2" s="1"/>
  <c r="G3244" i="2" a="1"/>
  <c r="G3244" i="2" s="1"/>
  <c r="H3245" i="2" a="1"/>
  <c r="H3245" i="2" s="1"/>
  <c r="I3246" i="2" a="1"/>
  <c r="I3246" i="2" s="1"/>
  <c r="G3248" i="2" a="1"/>
  <c r="G3248" i="2" s="1"/>
  <c r="H3249" i="2" a="1"/>
  <c r="H3249" i="2" s="1"/>
  <c r="I3250" i="2" a="1"/>
  <c r="I3250" i="2" s="1"/>
  <c r="G3252" i="2" a="1"/>
  <c r="G3252" i="2" s="1"/>
  <c r="H3253" i="2" a="1"/>
  <c r="H3253" i="2" s="1"/>
  <c r="I3254" i="2" a="1"/>
  <c r="I3254" i="2" s="1"/>
  <c r="G3256" i="2" a="1"/>
  <c r="G3256" i="2" s="1"/>
  <c r="H3257" i="2" a="1"/>
  <c r="H3257" i="2" s="1"/>
  <c r="I3258" i="2" a="1"/>
  <c r="I3258" i="2" s="1"/>
  <c r="G3260" i="2" a="1"/>
  <c r="G3260" i="2" s="1"/>
  <c r="H3261" i="2" a="1"/>
  <c r="H3261" i="2" s="1"/>
  <c r="I3262" i="2" a="1"/>
  <c r="I3262" i="2" s="1"/>
  <c r="G3264" i="2" a="1"/>
  <c r="G3264" i="2" s="1"/>
  <c r="H3265" i="2" a="1"/>
  <c r="H3265" i="2" s="1"/>
  <c r="I3266" i="2" a="1"/>
  <c r="I3266" i="2" s="1"/>
  <c r="G3268" i="2" a="1"/>
  <c r="G3268" i="2" s="1"/>
  <c r="H3269" i="2" a="1"/>
  <c r="H3269" i="2" s="1"/>
  <c r="I3270" i="2" a="1"/>
  <c r="I3270" i="2" s="1"/>
  <c r="G3272" i="2" a="1"/>
  <c r="G3272" i="2" s="1"/>
  <c r="H3273" i="2" a="1"/>
  <c r="H3273" i="2" s="1"/>
  <c r="I3274" i="2" a="1"/>
  <c r="I3274" i="2" s="1"/>
  <c r="G3276" i="2" a="1"/>
  <c r="G3276" i="2" s="1"/>
  <c r="H3277" i="2" a="1"/>
  <c r="H3277" i="2" s="1"/>
  <c r="I3278" i="2" a="1"/>
  <c r="I3278" i="2" s="1"/>
  <c r="G3280" i="2" a="1"/>
  <c r="G3280" i="2" s="1"/>
  <c r="H3281" i="2" a="1"/>
  <c r="H3281" i="2" s="1"/>
  <c r="I3282" i="2" a="1"/>
  <c r="I3282" i="2" s="1"/>
  <c r="G3284" i="2" a="1"/>
  <c r="G3284" i="2" s="1"/>
  <c r="H3285" i="2" a="1"/>
  <c r="H3285" i="2" s="1"/>
  <c r="I3286" i="2" a="1"/>
  <c r="I3286" i="2" s="1"/>
  <c r="G3288" i="2" a="1"/>
  <c r="G3288" i="2" s="1"/>
  <c r="H3289" i="2" a="1"/>
  <c r="H3289" i="2" s="1"/>
  <c r="I3290" i="2" a="1"/>
  <c r="I3290" i="2" s="1"/>
  <c r="G3292" i="2" a="1"/>
  <c r="G3292" i="2" s="1"/>
  <c r="H3293" i="2" a="1"/>
  <c r="H3293" i="2" s="1"/>
  <c r="I3294" i="2" a="1"/>
  <c r="I3294" i="2" s="1"/>
  <c r="G3296" i="2" a="1"/>
  <c r="G3296" i="2" s="1"/>
  <c r="H3297" i="2" a="1"/>
  <c r="H3297" i="2" s="1"/>
  <c r="I3298" i="2" a="1"/>
  <c r="I3298" i="2" s="1"/>
  <c r="G3300" i="2" a="1"/>
  <c r="G3300" i="2" s="1"/>
  <c r="H3301" i="2" a="1"/>
  <c r="H3301" i="2" s="1"/>
  <c r="I3302" i="2" a="1"/>
  <c r="I3302" i="2" s="1"/>
  <c r="G3304" i="2" a="1"/>
  <c r="G3304" i="2" s="1"/>
  <c r="H3305" i="2" a="1"/>
  <c r="H3305" i="2" s="1"/>
  <c r="I3306" i="2" a="1"/>
  <c r="I3306" i="2" s="1"/>
  <c r="G3308" i="2" a="1"/>
  <c r="G3308" i="2" s="1"/>
  <c r="H3309" i="2" a="1"/>
  <c r="H3309" i="2" s="1"/>
  <c r="I3310" i="2" a="1"/>
  <c r="I3310" i="2" s="1"/>
  <c r="G3312" i="2" a="1"/>
  <c r="G3312" i="2" s="1"/>
  <c r="H3313" i="2" a="1"/>
  <c r="H3313" i="2" s="1"/>
  <c r="I3314" i="2" a="1"/>
  <c r="I3314" i="2" s="1"/>
  <c r="G3316" i="2" a="1"/>
  <c r="G3316" i="2" s="1"/>
  <c r="H3317" i="2" a="1"/>
  <c r="H3317" i="2" s="1"/>
  <c r="I3318" i="2" a="1"/>
  <c r="I3318" i="2" s="1"/>
  <c r="G3320" i="2" a="1"/>
  <c r="G3320" i="2" s="1"/>
  <c r="H3321" i="2" a="1"/>
  <c r="H3321" i="2" s="1"/>
  <c r="I3322" i="2" a="1"/>
  <c r="I3322" i="2" s="1"/>
  <c r="G3324" i="2" a="1"/>
  <c r="G3324" i="2" s="1"/>
  <c r="H3325" i="2" a="1"/>
  <c r="H3325" i="2" s="1"/>
  <c r="I3326" i="2" a="1"/>
  <c r="I3326" i="2" s="1"/>
  <c r="G3328" i="2" a="1"/>
  <c r="G3328" i="2" s="1"/>
  <c r="H3329" i="2" a="1"/>
  <c r="H3329" i="2" s="1"/>
  <c r="I3330" i="2" a="1"/>
  <c r="I3330" i="2" s="1"/>
  <c r="G3332" i="2" a="1"/>
  <c r="G3332" i="2" s="1"/>
  <c r="H3333" i="2" a="1"/>
  <c r="H3333" i="2" s="1"/>
  <c r="I3334" i="2" a="1"/>
  <c r="I3334" i="2" s="1"/>
  <c r="G3336" i="2" a="1"/>
  <c r="G3336" i="2" s="1"/>
  <c r="H3337" i="2" a="1"/>
  <c r="H3337" i="2" s="1"/>
  <c r="I3338" i="2" a="1"/>
  <c r="I3338" i="2" s="1"/>
  <c r="G3340" i="2" a="1"/>
  <c r="G3340" i="2" s="1"/>
  <c r="H3341" i="2" a="1"/>
  <c r="H3341" i="2" s="1"/>
  <c r="I3342" i="2" a="1"/>
  <c r="I3342" i="2" s="1"/>
  <c r="G3344" i="2" a="1"/>
  <c r="G3344" i="2" s="1"/>
  <c r="H3345" i="2" a="1"/>
  <c r="H3345" i="2" s="1"/>
  <c r="I3346" i="2" a="1"/>
  <c r="I3346" i="2" s="1"/>
  <c r="G3348" i="2" a="1"/>
  <c r="G3348" i="2" s="1"/>
  <c r="H3349" i="2" a="1"/>
  <c r="H3349" i="2" s="1"/>
  <c r="I3350" i="2" a="1"/>
  <c r="I3350" i="2" s="1"/>
  <c r="G3352" i="2" a="1"/>
  <c r="G3352" i="2" s="1"/>
  <c r="H3353" i="2" a="1"/>
  <c r="H3353" i="2" s="1"/>
  <c r="I3354" i="2" a="1"/>
  <c r="I3354" i="2" s="1"/>
  <c r="G3356" i="2" a="1"/>
  <c r="G3356" i="2" s="1"/>
  <c r="H3357" i="2" a="1"/>
  <c r="H3357" i="2" s="1"/>
  <c r="I3358" i="2" a="1"/>
  <c r="I3358" i="2" s="1"/>
  <c r="G3360" i="2" a="1"/>
  <c r="G3360" i="2" s="1"/>
  <c r="H3361" i="2" a="1"/>
  <c r="H3361" i="2" s="1"/>
  <c r="I3362" i="2" a="1"/>
  <c r="I3362" i="2" s="1"/>
  <c r="G3364" i="2" a="1"/>
  <c r="G3364" i="2" s="1"/>
  <c r="H3365" i="2" a="1"/>
  <c r="H3365" i="2" s="1"/>
  <c r="I3366" i="2" a="1"/>
  <c r="I3366" i="2" s="1"/>
  <c r="G3368" i="2" a="1"/>
  <c r="G3368" i="2" s="1"/>
  <c r="H3369" i="2" a="1"/>
  <c r="H3369" i="2" s="1"/>
  <c r="I3370" i="2" a="1"/>
  <c r="I3370" i="2" s="1"/>
  <c r="G3372" i="2" a="1"/>
  <c r="G3372" i="2" s="1"/>
  <c r="H3373" i="2" a="1"/>
  <c r="H3373" i="2" s="1"/>
  <c r="I3374" i="2" a="1"/>
  <c r="I3374" i="2" s="1"/>
  <c r="G3376" i="2" a="1"/>
  <c r="G3376" i="2" s="1"/>
  <c r="H3377" i="2" a="1"/>
  <c r="H3377" i="2" s="1"/>
  <c r="I3378" i="2" a="1"/>
  <c r="I3378" i="2" s="1"/>
  <c r="G3380" i="2" a="1"/>
  <c r="G3380" i="2" s="1"/>
  <c r="H3381" i="2" a="1"/>
  <c r="H3381" i="2" s="1"/>
  <c r="I3382" i="2" a="1"/>
  <c r="I3382" i="2" s="1"/>
  <c r="G3384" i="2" a="1"/>
  <c r="G3384" i="2" s="1"/>
  <c r="H3385" i="2" a="1"/>
  <c r="H3385" i="2" s="1"/>
  <c r="I3386" i="2" a="1"/>
  <c r="I3386" i="2" s="1"/>
  <c r="G3388" i="2" a="1"/>
  <c r="G3388" i="2" s="1"/>
  <c r="H3389" i="2" a="1"/>
  <c r="H3389" i="2" s="1"/>
  <c r="I3390" i="2" a="1"/>
  <c r="I3390" i="2" s="1"/>
  <c r="G3392" i="2" a="1"/>
  <c r="G3392" i="2" s="1"/>
  <c r="H3393" i="2" a="1"/>
  <c r="H3393" i="2" s="1"/>
  <c r="I3394" i="2" a="1"/>
  <c r="I3394" i="2" s="1"/>
  <c r="G3396" i="2" a="1"/>
  <c r="G3396" i="2" s="1"/>
  <c r="H3397" i="2" a="1"/>
  <c r="H3397" i="2" s="1"/>
  <c r="I3398" i="2" a="1"/>
  <c r="I3398" i="2" s="1"/>
  <c r="G3400" i="2" a="1"/>
  <c r="G3400" i="2" s="1"/>
  <c r="H3401" i="2" a="1"/>
  <c r="H3401" i="2" s="1"/>
  <c r="I3402" i="2" a="1"/>
  <c r="I3402" i="2" s="1"/>
  <c r="G3404" i="2" a="1"/>
  <c r="G3404" i="2" s="1"/>
  <c r="H3405" i="2" a="1"/>
  <c r="H3405" i="2" s="1"/>
  <c r="I3406" i="2" a="1"/>
  <c r="I3406" i="2" s="1"/>
  <c r="G3408" i="2" a="1"/>
  <c r="G3408" i="2" s="1"/>
  <c r="H3409" i="2" a="1"/>
  <c r="H3409" i="2" s="1"/>
  <c r="I3410" i="2" a="1"/>
  <c r="I3410" i="2" s="1"/>
  <c r="G3412" i="2" a="1"/>
  <c r="G3412" i="2" s="1"/>
  <c r="H3413" i="2" a="1"/>
  <c r="H3413" i="2" s="1"/>
  <c r="I3414" i="2" a="1"/>
  <c r="I3414" i="2" s="1"/>
  <c r="G3416" i="2" a="1"/>
  <c r="G3416" i="2" s="1"/>
  <c r="H3417" i="2" a="1"/>
  <c r="H3417" i="2" s="1"/>
  <c r="I3418" i="2" a="1"/>
  <c r="I3418" i="2" s="1"/>
  <c r="G3420" i="2" a="1"/>
  <c r="G3420" i="2" s="1"/>
  <c r="H3421" i="2" a="1"/>
  <c r="H3421" i="2" s="1"/>
  <c r="I3422" i="2" a="1"/>
  <c r="I3422" i="2" s="1"/>
  <c r="G3424" i="2" a="1"/>
  <c r="G3424" i="2" s="1"/>
  <c r="H3425" i="2" a="1"/>
  <c r="H3425" i="2" s="1"/>
  <c r="I3426" i="2" a="1"/>
  <c r="I3426" i="2" s="1"/>
  <c r="G3428" i="2" a="1"/>
  <c r="G3428" i="2" s="1"/>
  <c r="H3429" i="2" a="1"/>
  <c r="H3429" i="2" s="1"/>
  <c r="I3430" i="2" a="1"/>
  <c r="I3430" i="2" s="1"/>
  <c r="G3432" i="2" a="1"/>
  <c r="G3432" i="2" s="1"/>
  <c r="H3433" i="2" a="1"/>
  <c r="H3433" i="2" s="1"/>
  <c r="I3434" i="2" a="1"/>
  <c r="I3434" i="2" s="1"/>
  <c r="G3436" i="2" a="1"/>
  <c r="G3436" i="2" s="1"/>
  <c r="H3437" i="2" a="1"/>
  <c r="H3437" i="2" s="1"/>
  <c r="I3438" i="2" a="1"/>
  <c r="I3438" i="2" s="1"/>
  <c r="G3440" i="2" a="1"/>
  <c r="G3440" i="2" s="1"/>
  <c r="H3441" i="2" a="1"/>
  <c r="H3441" i="2" s="1"/>
  <c r="I3442" i="2" a="1"/>
  <c r="I3442" i="2" s="1"/>
  <c r="G3444" i="2" a="1"/>
  <c r="G3444" i="2" s="1"/>
  <c r="H3445" i="2" a="1"/>
  <c r="H3445" i="2" s="1"/>
  <c r="I3446" i="2" a="1"/>
  <c r="I3446" i="2" s="1"/>
  <c r="G3448" i="2" a="1"/>
  <c r="G3448" i="2" s="1"/>
  <c r="H3449" i="2" a="1"/>
  <c r="H3449" i="2" s="1"/>
  <c r="I3450" i="2" a="1"/>
  <c r="I3450" i="2" s="1"/>
  <c r="G3452" i="2" a="1"/>
  <c r="G3452" i="2" s="1"/>
  <c r="H3453" i="2" a="1"/>
  <c r="H3453" i="2" s="1"/>
  <c r="I3454" i="2" a="1"/>
  <c r="I3454" i="2" s="1"/>
  <c r="G3456" i="2" a="1"/>
  <c r="G3456" i="2" s="1"/>
  <c r="H3457" i="2" a="1"/>
  <c r="H3457" i="2" s="1"/>
  <c r="I3458" i="2" a="1"/>
  <c r="I3458" i="2" s="1"/>
  <c r="G3460" i="2" a="1"/>
  <c r="G3460" i="2" s="1"/>
  <c r="H3461" i="2" a="1"/>
  <c r="H3461" i="2" s="1"/>
  <c r="I3462" i="2" a="1"/>
  <c r="I3462" i="2" s="1"/>
  <c r="G3464" i="2" a="1"/>
  <c r="G3464" i="2" s="1"/>
  <c r="H3465" i="2" a="1"/>
  <c r="H3465" i="2" s="1"/>
  <c r="I3466" i="2" a="1"/>
  <c r="I3466" i="2" s="1"/>
  <c r="G3468" i="2" a="1"/>
  <c r="G3468" i="2" s="1"/>
  <c r="H3469" i="2" a="1"/>
  <c r="H3469" i="2" s="1"/>
  <c r="I3470" i="2" a="1"/>
  <c r="I3470" i="2" s="1"/>
  <c r="G3472" i="2" a="1"/>
  <c r="G3472" i="2" s="1"/>
  <c r="H3473" i="2" a="1"/>
  <c r="H3473" i="2" s="1"/>
  <c r="I3474" i="2" a="1"/>
  <c r="I3474" i="2" s="1"/>
  <c r="G3476" i="2" a="1"/>
  <c r="G3476" i="2" s="1"/>
  <c r="H3477" i="2" a="1"/>
  <c r="H3477" i="2" s="1"/>
  <c r="I3478" i="2" a="1"/>
  <c r="I3478" i="2" s="1"/>
  <c r="G3480" i="2" a="1"/>
  <c r="G3480" i="2" s="1"/>
  <c r="H3481" i="2" a="1"/>
  <c r="H3481" i="2" s="1"/>
  <c r="I3482" i="2" a="1"/>
  <c r="I3482" i="2" s="1"/>
  <c r="G3484" i="2" a="1"/>
  <c r="G3484" i="2" s="1"/>
  <c r="H3485" i="2" a="1"/>
  <c r="H3485" i="2" s="1"/>
  <c r="I3486" i="2" a="1"/>
  <c r="I3486" i="2" s="1"/>
  <c r="G3488" i="2" a="1"/>
  <c r="G3488" i="2" s="1"/>
  <c r="H3489" i="2" a="1"/>
  <c r="H3489" i="2" s="1"/>
  <c r="I3490" i="2" a="1"/>
  <c r="I3490" i="2" s="1"/>
  <c r="G3492" i="2" a="1"/>
  <c r="G3492" i="2" s="1"/>
  <c r="H3493" i="2" a="1"/>
  <c r="H3493" i="2" s="1"/>
  <c r="I3494" i="2" a="1"/>
  <c r="I3494" i="2" s="1"/>
  <c r="G3496" i="2" a="1"/>
  <c r="G3496" i="2" s="1"/>
  <c r="H3497" i="2" a="1"/>
  <c r="H3497" i="2" s="1"/>
  <c r="I3498" i="2" a="1"/>
  <c r="I3498" i="2" s="1"/>
  <c r="G3500" i="2" a="1"/>
  <c r="G3500" i="2" s="1"/>
  <c r="L20" i="2" a="1"/>
  <c r="L20" i="2" s="1"/>
  <c r="M21" i="2" a="1"/>
  <c r="M21" i="2" s="1"/>
  <c r="K23" i="2" a="1"/>
  <c r="K23" i="2" s="1"/>
  <c r="L24" i="2" a="1"/>
  <c r="L24" i="2" s="1"/>
  <c r="M25" i="2" a="1"/>
  <c r="M25" i="2" s="1"/>
  <c r="K27" i="2" a="1"/>
  <c r="K27" i="2" s="1"/>
  <c r="L28" i="2" a="1"/>
  <c r="L28" i="2" s="1"/>
  <c r="M29" i="2" a="1"/>
  <c r="M29" i="2" s="1"/>
  <c r="K31" i="2" a="1"/>
  <c r="K31" i="2" s="1"/>
  <c r="L32" i="2" a="1"/>
  <c r="L32" i="2" s="1"/>
  <c r="M33" i="2" a="1"/>
  <c r="M33" i="2" s="1"/>
  <c r="K35" i="2" a="1"/>
  <c r="K35" i="2" s="1"/>
  <c r="L36" i="2" a="1"/>
  <c r="L36" i="2" s="1"/>
  <c r="M37" i="2" a="1"/>
  <c r="M37" i="2" s="1"/>
  <c r="K39" i="2" a="1"/>
  <c r="K39" i="2" s="1"/>
  <c r="L40" i="2" a="1"/>
  <c r="L40" i="2" s="1"/>
  <c r="M41" i="2" a="1"/>
  <c r="M41" i="2" s="1"/>
  <c r="K43" i="2" a="1"/>
  <c r="K43" i="2" s="1"/>
  <c r="L44" i="2" a="1"/>
  <c r="L44" i="2" s="1"/>
  <c r="M45" i="2" a="1"/>
  <c r="M45" i="2" s="1"/>
  <c r="K47" i="2" a="1"/>
  <c r="K47" i="2" s="1"/>
  <c r="L48" i="2" a="1"/>
  <c r="L48" i="2" s="1"/>
  <c r="M49" i="2" a="1"/>
  <c r="M49" i="2" s="1"/>
  <c r="K51" i="2" a="1"/>
  <c r="K51" i="2" s="1"/>
  <c r="L52" i="2" a="1"/>
  <c r="L52" i="2" s="1"/>
  <c r="M53" i="2" a="1"/>
  <c r="M53" i="2" s="1"/>
  <c r="K55" i="2" a="1"/>
  <c r="K55" i="2" s="1"/>
  <c r="L56" i="2" a="1"/>
  <c r="L56" i="2" s="1"/>
  <c r="M57" i="2" a="1"/>
  <c r="M57" i="2" s="1"/>
  <c r="K59" i="2" a="1"/>
  <c r="K59" i="2" s="1"/>
  <c r="L60" i="2" a="1"/>
  <c r="L60" i="2" s="1"/>
  <c r="M61" i="2" a="1"/>
  <c r="M61" i="2" s="1"/>
  <c r="K63" i="2" a="1"/>
  <c r="K63" i="2" s="1"/>
  <c r="L64" i="2" a="1"/>
  <c r="L64" i="2" s="1"/>
  <c r="M65" i="2" a="1"/>
  <c r="M65" i="2" s="1"/>
  <c r="K67" i="2" a="1"/>
  <c r="K67" i="2" s="1"/>
  <c r="L68" i="2" a="1"/>
  <c r="L68" i="2" s="1"/>
  <c r="M69" i="2" a="1"/>
  <c r="M69" i="2" s="1"/>
  <c r="K71" i="2" a="1"/>
  <c r="K71" i="2" s="1"/>
  <c r="L72" i="2" a="1"/>
  <c r="L72" i="2" s="1"/>
  <c r="M73" i="2" a="1"/>
  <c r="M73" i="2" s="1"/>
  <c r="K75" i="2" a="1"/>
  <c r="K75" i="2" s="1"/>
  <c r="L76" i="2" a="1"/>
  <c r="L76" i="2" s="1"/>
  <c r="L77" i="2" a="1"/>
  <c r="L77" i="2" s="1"/>
  <c r="M79" i="2" a="1"/>
  <c r="M79" i="2" s="1"/>
  <c r="K81" i="2" a="1"/>
  <c r="K81" i="2" s="1"/>
  <c r="K83" i="2" a="1"/>
  <c r="K83" i="2" s="1"/>
  <c r="K84" i="2" a="1"/>
  <c r="K84" i="2" s="1"/>
  <c r="L85" i="2" a="1"/>
  <c r="L85" i="2" s="1"/>
  <c r="L87" i="2" a="1"/>
  <c r="L87" i="2" s="1"/>
  <c r="L88" i="2" a="1"/>
  <c r="L88" i="2" s="1"/>
  <c r="L89" i="2" a="1"/>
  <c r="L89" i="2" s="1"/>
  <c r="L90" i="2" a="1"/>
  <c r="L90" i="2" s="1"/>
  <c r="L91" i="2" a="1"/>
  <c r="L91" i="2" s="1"/>
  <c r="L92" i="2" a="1"/>
  <c r="L92" i="2" s="1"/>
  <c r="L93" i="2" a="1"/>
  <c r="L93" i="2" s="1"/>
  <c r="M94" i="2" a="1"/>
  <c r="M94" i="2" s="1"/>
  <c r="M95" i="2" a="1"/>
  <c r="M95" i="2" s="1"/>
  <c r="K97" i="2" a="1"/>
  <c r="K97" i="2" s="1"/>
  <c r="K98" i="2" a="1"/>
  <c r="K98" i="2" s="1"/>
  <c r="L99" i="2" a="1"/>
  <c r="L99" i="2" s="1"/>
  <c r="M101" i="2" a="1"/>
  <c r="M101" i="2" s="1"/>
  <c r="K103" i="2" a="1"/>
  <c r="K103" i="2" s="1"/>
  <c r="K105" i="2" a="1"/>
  <c r="K105" i="2" s="1"/>
  <c r="K106" i="2" a="1"/>
  <c r="K106" i="2" s="1"/>
  <c r="L107" i="2" a="1"/>
  <c r="L107" i="2" s="1"/>
  <c r="L109" i="2" a="1"/>
  <c r="L109" i="2" s="1"/>
  <c r="M110" i="2" a="1"/>
  <c r="M110" i="2" s="1"/>
  <c r="M111" i="2" a="1"/>
  <c r="M111" i="2" s="1"/>
  <c r="M112" i="2" a="1"/>
  <c r="M112" i="2" s="1"/>
  <c r="M114" i="2" a="1"/>
  <c r="M114" i="2" s="1"/>
  <c r="K116" i="2" a="1"/>
  <c r="K116" i="2" s="1"/>
  <c r="L117" i="2" a="1"/>
  <c r="L117" i="2" s="1"/>
  <c r="M119" i="2" a="1"/>
  <c r="M119" i="2" s="1"/>
  <c r="M120" i="2" a="1"/>
  <c r="M120" i="2" s="1"/>
  <c r="M121" i="2" a="1"/>
  <c r="M121" i="2" s="1"/>
  <c r="M122" i="2" a="1"/>
  <c r="M122" i="2" s="1"/>
  <c r="K125" i="2" a="1"/>
  <c r="K125" i="2" s="1"/>
  <c r="K126" i="2" a="1"/>
  <c r="K126" i="2" s="1"/>
  <c r="K127" i="2" a="1"/>
  <c r="K127" i="2" s="1"/>
  <c r="K128" i="2" a="1"/>
  <c r="K128" i="2" s="1"/>
  <c r="L130" i="2" a="1"/>
  <c r="L130" i="2" s="1"/>
  <c r="L131" i="2" a="1"/>
  <c r="L131" i="2" s="1"/>
  <c r="L132" i="2" a="1"/>
  <c r="L132" i="2" s="1"/>
  <c r="L133" i="2" a="1"/>
  <c r="L133" i="2" s="1"/>
  <c r="L134" i="2" a="1"/>
  <c r="L134" i="2" s="1"/>
  <c r="L135" i="2" a="1"/>
  <c r="L135" i="2" s="1"/>
  <c r="L136" i="2" a="1"/>
  <c r="L136" i="2" s="1"/>
  <c r="M138" i="2" a="1"/>
  <c r="M138" i="2" s="1"/>
  <c r="K140" i="2" a="1"/>
  <c r="K140" i="2" s="1"/>
  <c r="K141" i="2" a="1"/>
  <c r="K141" i="2" s="1"/>
  <c r="K142" i="2" a="1"/>
  <c r="K142" i="2" s="1"/>
  <c r="K143" i="2" a="1"/>
  <c r="K143" i="2" s="1"/>
  <c r="L144" i="2" a="1"/>
  <c r="L144" i="2" s="1"/>
  <c r="M146" i="2" a="1"/>
  <c r="M146" i="2" s="1"/>
  <c r="M147" i="2" a="1"/>
  <c r="M147" i="2" s="1"/>
  <c r="K149" i="2" a="1"/>
  <c r="K149" i="2" s="1"/>
  <c r="K150" i="2" a="1"/>
  <c r="K150" i="2" s="1"/>
  <c r="K151" i="2" a="1"/>
  <c r="K151" i="2" s="1"/>
  <c r="L153" i="2" a="1"/>
  <c r="L153" i="2" s="1"/>
  <c r="M154" i="2" a="1"/>
  <c r="M154" i="2" s="1"/>
  <c r="M155" i="2" a="1"/>
  <c r="M155" i="2" s="1"/>
  <c r="K157" i="2" a="1"/>
  <c r="K157" i="2" s="1"/>
  <c r="K158" i="2" a="1"/>
  <c r="K158" i="2" s="1"/>
  <c r="K159" i="2" a="1"/>
  <c r="K159" i="2" s="1"/>
  <c r="L160" i="2" a="1"/>
  <c r="L160" i="2" s="1"/>
  <c r="M162" i="2" a="1"/>
  <c r="M162" i="2" s="1"/>
  <c r="K164" i="2" a="1"/>
  <c r="K164" i="2" s="1"/>
  <c r="L165" i="2" a="1"/>
  <c r="L165" i="2" s="1"/>
  <c r="M166" i="2" a="1"/>
  <c r="M166" i="2" s="1"/>
  <c r="M167" i="2" a="1"/>
  <c r="M167" i="2" s="1"/>
  <c r="K169" i="2" a="1"/>
  <c r="K169" i="2" s="1"/>
  <c r="L170" i="2" a="1"/>
  <c r="L170" i="2" s="1"/>
  <c r="M171" i="2" a="1"/>
  <c r="M171" i="2" s="1"/>
  <c r="M172" i="2" a="1"/>
  <c r="M172" i="2" s="1"/>
  <c r="K174" i="2" a="1"/>
  <c r="K174" i="2" s="1"/>
  <c r="K175" i="2" a="1"/>
  <c r="K175" i="2" s="1"/>
  <c r="L176" i="2" a="1"/>
  <c r="L176" i="2" s="1"/>
  <c r="M178" i="2" a="1"/>
  <c r="M178" i="2" s="1"/>
  <c r="K180" i="2" a="1"/>
  <c r="K180" i="2" s="1"/>
  <c r="K181" i="2" a="1"/>
  <c r="K181" i="2" s="1"/>
  <c r="L182" i="2" a="1"/>
  <c r="L182" i="2" s="1"/>
  <c r="L183" i="2" a="1"/>
  <c r="L183" i="2" s="1"/>
  <c r="M184" i="2" a="1"/>
  <c r="M184" i="2" s="1"/>
  <c r="K186" i="2" a="1"/>
  <c r="K186" i="2" s="1"/>
  <c r="L187" i="2" a="1"/>
  <c r="L187" i="2" s="1"/>
  <c r="M188" i="2" a="1"/>
  <c r="M188" i="2" s="1"/>
  <c r="K190" i="2" a="1"/>
  <c r="K190" i="2" s="1"/>
  <c r="L191" i="2" a="1"/>
  <c r="L191" i="2" s="1"/>
  <c r="M192" i="2" a="1"/>
  <c r="M192" i="2" s="1"/>
  <c r="K194" i="2" a="1"/>
  <c r="K194" i="2" s="1"/>
  <c r="L195" i="2" a="1"/>
  <c r="L195" i="2" s="1"/>
  <c r="M196" i="2" a="1"/>
  <c r="M196" i="2" s="1"/>
  <c r="K198" i="2" a="1"/>
  <c r="K198" i="2" s="1"/>
  <c r="L199" i="2" a="1"/>
  <c r="L199" i="2" s="1"/>
  <c r="M200" i="2" a="1"/>
  <c r="M200" i="2" s="1"/>
  <c r="K202" i="2" a="1"/>
  <c r="K202" i="2" s="1"/>
  <c r="L203" i="2" a="1"/>
  <c r="L203" i="2" s="1"/>
  <c r="M204" i="2" a="1"/>
  <c r="M204" i="2" s="1"/>
  <c r="K206" i="2" a="1"/>
  <c r="K206" i="2" s="1"/>
  <c r="L207" i="2" a="1"/>
  <c r="L207" i="2" s="1"/>
  <c r="M208" i="2" a="1"/>
  <c r="M208" i="2" s="1"/>
  <c r="K210" i="2" a="1"/>
  <c r="K210" i="2" s="1"/>
  <c r="L211" i="2" a="1"/>
  <c r="L211" i="2" s="1"/>
  <c r="M212" i="2" a="1"/>
  <c r="M212" i="2" s="1"/>
  <c r="K214" i="2" a="1"/>
  <c r="K214" i="2" s="1"/>
  <c r="L215" i="2" a="1"/>
  <c r="L215" i="2" s="1"/>
  <c r="M216" i="2" a="1"/>
  <c r="M216" i="2" s="1"/>
  <c r="K218" i="2" a="1"/>
  <c r="K218" i="2" s="1"/>
  <c r="L219" i="2" a="1"/>
  <c r="L219" i="2" s="1"/>
  <c r="M220" i="2" a="1"/>
  <c r="M220" i="2" s="1"/>
  <c r="K222" i="2" a="1"/>
  <c r="K222" i="2" s="1"/>
  <c r="L223" i="2" a="1"/>
  <c r="L223" i="2" s="1"/>
  <c r="M224" i="2" a="1"/>
  <c r="M224" i="2" s="1"/>
  <c r="K226" i="2" a="1"/>
  <c r="K226" i="2" s="1"/>
  <c r="L227" i="2" a="1"/>
  <c r="L227" i="2" s="1"/>
  <c r="M228" i="2" a="1"/>
  <c r="M228" i="2" s="1"/>
  <c r="K230" i="2" a="1"/>
  <c r="K230" i="2" s="1"/>
  <c r="L231" i="2" a="1"/>
  <c r="L231" i="2" s="1"/>
  <c r="M232" i="2" a="1"/>
  <c r="M232" i="2" s="1"/>
  <c r="K235" i="2" a="1"/>
  <c r="K235" i="2" s="1"/>
  <c r="K236" i="2" a="1"/>
  <c r="K236" i="2" s="1"/>
  <c r="K237" i="2" a="1"/>
  <c r="K237" i="2" s="1"/>
  <c r="K238" i="2" a="1"/>
  <c r="K238" i="2" s="1"/>
  <c r="K239" i="2" a="1"/>
  <c r="K239" i="2" s="1"/>
  <c r="K241" i="2" a="1"/>
  <c r="K241" i="2" s="1"/>
  <c r="M242" i="2" a="1"/>
  <c r="M242" i="2" s="1"/>
  <c r="M244" i="2" a="1"/>
  <c r="M244" i="2" s="1"/>
  <c r="M245" i="2" a="1"/>
  <c r="M245" i="2" s="1"/>
  <c r="K247" i="2" a="1"/>
  <c r="K247" i="2" s="1"/>
  <c r="K248" i="2" a="1"/>
  <c r="K248" i="2" s="1"/>
  <c r="L250" i="2" a="1"/>
  <c r="L250" i="2" s="1"/>
  <c r="L251" i="2" a="1"/>
  <c r="L251" i="2" s="1"/>
  <c r="M252" i="2" a="1"/>
  <c r="M252" i="2" s="1"/>
  <c r="M253" i="2" a="1"/>
  <c r="M253" i="2" s="1"/>
  <c r="M254" i="2" a="1"/>
  <c r="M254" i="2" s="1"/>
  <c r="K257" i="2" a="1"/>
  <c r="K257" i="2" s="1"/>
  <c r="L258" i="2" a="1"/>
  <c r="L258" i="2" s="1"/>
  <c r="L259" i="2" a="1"/>
  <c r="L259" i="2" s="1"/>
  <c r="M260" i="2" a="1"/>
  <c r="M260" i="2" s="1"/>
  <c r="M261" i="2" a="1"/>
  <c r="M261" i="2" s="1"/>
  <c r="K263" i="2" a="1"/>
  <c r="K263" i="2" s="1"/>
  <c r="K264" i="2" a="1"/>
  <c r="K264" i="2" s="1"/>
  <c r="L266" i="2" a="1"/>
  <c r="L266" i="2" s="1"/>
  <c r="L267" i="2" a="1"/>
  <c r="L267" i="2" s="1"/>
  <c r="L268" i="2" a="1"/>
  <c r="L268" i="2" s="1"/>
  <c r="L269" i="2" a="1"/>
  <c r="L269" i="2" s="1"/>
  <c r="M271" i="2" a="1"/>
  <c r="M271" i="2" s="1"/>
  <c r="M272" i="2" a="1"/>
  <c r="M272" i="2" s="1"/>
  <c r="K275" i="2" a="1"/>
  <c r="K275" i="2" s="1"/>
  <c r="K276" i="2" a="1"/>
  <c r="K276" i="2" s="1"/>
  <c r="K277" i="2" a="1"/>
  <c r="K277" i="2" s="1"/>
  <c r="L278" i="2" a="1"/>
  <c r="L278" i="2" s="1"/>
  <c r="K280" i="2" a="1"/>
  <c r="K280" i="2" s="1"/>
  <c r="K282" i="2" a="1"/>
  <c r="K282" i="2" s="1"/>
  <c r="K283" i="2" a="1"/>
  <c r="K283" i="2" s="1"/>
  <c r="K284" i="2" a="1"/>
  <c r="K284" i="2" s="1"/>
  <c r="L286" i="2" a="1"/>
  <c r="L286" i="2" s="1"/>
  <c r="L287" i="2" a="1"/>
  <c r="L287" i="2" s="1"/>
  <c r="L288" i="2" a="1"/>
  <c r="L288" i="2" s="1"/>
  <c r="M289" i="2" a="1"/>
  <c r="M289" i="2" s="1"/>
  <c r="M291" i="2" a="1"/>
  <c r="M291" i="2" s="1"/>
  <c r="M292" i="2" a="1"/>
  <c r="M292" i="2" s="1"/>
  <c r="M293" i="2" a="1"/>
  <c r="M293" i="2" s="1"/>
  <c r="M294" i="2" a="1"/>
  <c r="M294" i="2" s="1"/>
  <c r="M295" i="2" a="1"/>
  <c r="M295" i="2" s="1"/>
  <c r="M296" i="2" a="1"/>
  <c r="M296" i="2" s="1"/>
  <c r="M297" i="2" a="1"/>
  <c r="M297" i="2" s="1"/>
  <c r="M298" i="2" a="1"/>
  <c r="M298" i="2" s="1"/>
  <c r="M300" i="2" a="1"/>
  <c r="M300" i="2" s="1"/>
  <c r="M301" i="2" a="1"/>
  <c r="M301" i="2" s="1"/>
  <c r="M302" i="2" a="1"/>
  <c r="M302" i="2" s="1"/>
  <c r="M303" i="2" a="1"/>
  <c r="M303" i="2" s="1"/>
  <c r="M304" i="2" a="1"/>
  <c r="M304" i="2" s="1"/>
  <c r="M305" i="2" a="1"/>
  <c r="M305" i="2" s="1"/>
  <c r="M307" i="2" a="1"/>
  <c r="M307" i="2" s="1"/>
  <c r="M309" i="2" a="1"/>
  <c r="M309" i="2" s="1"/>
  <c r="M310" i="2" a="1"/>
  <c r="M310" i="2" s="1"/>
  <c r="M311" i="2" a="1"/>
  <c r="M311" i="2" s="1"/>
  <c r="M312" i="2" a="1"/>
  <c r="M312" i="2" s="1"/>
  <c r="M313" i="2" a="1"/>
  <c r="M313" i="2" s="1"/>
  <c r="M315" i="2" a="1"/>
  <c r="M315" i="2" s="1"/>
  <c r="L317" i="2" a="1"/>
  <c r="L317" i="2" s="1"/>
  <c r="M318" i="2" a="1"/>
  <c r="M318" i="2" s="1"/>
  <c r="M319" i="2" a="1"/>
  <c r="M319" i="2" s="1"/>
  <c r="K321" i="2" a="1"/>
  <c r="K321" i="2" s="1"/>
  <c r="M322" i="2" a="1"/>
  <c r="M322" i="2" s="1"/>
  <c r="K325" i="2" a="1"/>
  <c r="K325" i="2" s="1"/>
  <c r="K326" i="2" a="1"/>
  <c r="K326" i="2" s="1"/>
  <c r="K327" i="2" a="1"/>
  <c r="K327" i="2" s="1"/>
  <c r="K328" i="2" a="1"/>
  <c r="K328" i="2" s="1"/>
  <c r="L330" i="2" a="1"/>
  <c r="L330" i="2" s="1"/>
  <c r="L331" i="2" a="1"/>
  <c r="L331" i="2" s="1"/>
  <c r="L332" i="2" a="1"/>
  <c r="L332" i="2" s="1"/>
  <c r="L333" i="2" a="1"/>
  <c r="L333" i="2" s="1"/>
  <c r="M335" i="2" a="1"/>
  <c r="M335" i="2" s="1"/>
  <c r="M336" i="2" a="1"/>
  <c r="M336" i="2" s="1"/>
  <c r="M337" i="2" a="1"/>
  <c r="M337" i="2" s="1"/>
  <c r="M338" i="2" a="1"/>
  <c r="M338" i="2" s="1"/>
  <c r="K341" i="2" a="1"/>
  <c r="K341" i="2" s="1"/>
  <c r="K342" i="2" a="1"/>
  <c r="K342" i="2" s="1"/>
  <c r="K343" i="2" a="1"/>
  <c r="K343" i="2" s="1"/>
  <c r="K344" i="2" a="1"/>
  <c r="K344" i="2" s="1"/>
  <c r="L346" i="2" a="1"/>
  <c r="L346" i="2" s="1"/>
  <c r="K347" i="2" a="1"/>
  <c r="K347" i="2" s="1"/>
  <c r="L349" i="2" a="1"/>
  <c r="L349" i="2" s="1"/>
  <c r="L350" i="2" a="1"/>
  <c r="L350" i="2" s="1"/>
  <c r="L351" i="2" a="1"/>
  <c r="L351" i="2" s="1"/>
  <c r="L352" i="2" a="1"/>
  <c r="L352" i="2" s="1"/>
  <c r="M354" i="2" a="1"/>
  <c r="M354" i="2" s="1"/>
  <c r="M355" i="2" a="1"/>
  <c r="M355" i="2" s="1"/>
  <c r="M356" i="2" a="1"/>
  <c r="M356" i="2" s="1"/>
  <c r="M357" i="2" a="1"/>
  <c r="M357" i="2" s="1"/>
  <c r="K360" i="2" a="1"/>
  <c r="K360" i="2" s="1"/>
  <c r="K361" i="2" a="1"/>
  <c r="K361" i="2" s="1"/>
  <c r="K362" i="2" a="1"/>
  <c r="K362" i="2" s="1"/>
  <c r="K363" i="2" a="1"/>
  <c r="K363" i="2" s="1"/>
  <c r="L365" i="2" a="1"/>
  <c r="L365" i="2" s="1"/>
  <c r="L366" i="2" a="1"/>
  <c r="L366" i="2" s="1"/>
  <c r="L367" i="2" a="1"/>
  <c r="L367" i="2" s="1"/>
  <c r="L368" i="2" a="1"/>
  <c r="L368" i="2" s="1"/>
  <c r="M370" i="2" a="1"/>
  <c r="M370" i="2" s="1"/>
  <c r="M371" i="2" a="1"/>
  <c r="M371" i="2" s="1"/>
  <c r="M372" i="2" a="1"/>
  <c r="M372" i="2" s="1"/>
  <c r="M373" i="2" a="1"/>
  <c r="M373" i="2" s="1"/>
  <c r="K376" i="2" a="1"/>
  <c r="K376" i="2" s="1"/>
  <c r="K377" i="2" a="1"/>
  <c r="K377" i="2" s="1"/>
  <c r="K378" i="2" a="1"/>
  <c r="K378" i="2" s="1"/>
  <c r="K379" i="2" a="1"/>
  <c r="K379" i="2" s="1"/>
  <c r="L381" i="2" a="1"/>
  <c r="L381" i="2" s="1"/>
  <c r="L382" i="2" a="1"/>
  <c r="L382" i="2" s="1"/>
  <c r="L383" i="2" a="1"/>
  <c r="L383" i="2" s="1"/>
  <c r="L384" i="2" a="1"/>
  <c r="L384" i="2" s="1"/>
  <c r="M386" i="2" a="1"/>
  <c r="M386" i="2" s="1"/>
  <c r="M387" i="2" a="1"/>
  <c r="M387" i="2" s="1"/>
  <c r="M388" i="2" a="1"/>
  <c r="M388" i="2" s="1"/>
  <c r="M389" i="2" a="1"/>
  <c r="M389" i="2" s="1"/>
  <c r="K392" i="2" a="1"/>
  <c r="K392" i="2" s="1"/>
  <c r="K393" i="2" a="1"/>
  <c r="K393" i="2" s="1"/>
  <c r="K394" i="2" a="1"/>
  <c r="K394" i="2" s="1"/>
  <c r="K395" i="2" a="1"/>
  <c r="K395" i="2" s="1"/>
  <c r="L397" i="2" a="1"/>
  <c r="L397" i="2" s="1"/>
  <c r="L398" i="2" a="1"/>
  <c r="L398" i="2" s="1"/>
  <c r="L399" i="2" a="1"/>
  <c r="L399" i="2" s="1"/>
  <c r="L400" i="2" a="1"/>
  <c r="L400" i="2" s="1"/>
  <c r="M402" i="2" a="1"/>
  <c r="M402" i="2" s="1"/>
  <c r="M403" i="2" a="1"/>
  <c r="M403" i="2" s="1"/>
  <c r="M404" i="2" a="1"/>
  <c r="M404" i="2" s="1"/>
  <c r="M405" i="2" a="1"/>
  <c r="M405" i="2" s="1"/>
  <c r="K408" i="2" a="1"/>
  <c r="K408" i="2" s="1"/>
  <c r="K409" i="2" a="1"/>
  <c r="K409" i="2" s="1"/>
  <c r="K410" i="2" a="1"/>
  <c r="K410" i="2" s="1"/>
  <c r="K411" i="2" a="1"/>
  <c r="K411" i="2" s="1"/>
  <c r="L413" i="2" a="1"/>
  <c r="L413" i="2" s="1"/>
  <c r="L414" i="2" a="1"/>
  <c r="L414" i="2" s="1"/>
  <c r="L415" i="2" a="1"/>
  <c r="L415" i="2" s="1"/>
  <c r="L416" i="2" a="1"/>
  <c r="L416" i="2" s="1"/>
  <c r="M418" i="2" a="1"/>
  <c r="M418" i="2" s="1"/>
  <c r="M419" i="2" a="1"/>
  <c r="M419" i="2" s="1"/>
  <c r="M420" i="2" a="1"/>
  <c r="M420" i="2" s="1"/>
  <c r="M421" i="2" a="1"/>
  <c r="M421" i="2" s="1"/>
  <c r="K424" i="2" a="1"/>
  <c r="K424" i="2" s="1"/>
  <c r="K425" i="2" a="1"/>
  <c r="K425" i="2" s="1"/>
  <c r="K426" i="2" a="1"/>
  <c r="K426" i="2" s="1"/>
  <c r="K427" i="2" a="1"/>
  <c r="K427" i="2" s="1"/>
  <c r="L429" i="2" a="1"/>
  <c r="L429" i="2" s="1"/>
  <c r="L430" i="2" a="1"/>
  <c r="L430" i="2" s="1"/>
  <c r="L431" i="2" a="1"/>
  <c r="L431" i="2" s="1"/>
  <c r="L432" i="2" a="1"/>
  <c r="L432" i="2" s="1"/>
  <c r="M434" i="2" a="1"/>
  <c r="M434" i="2" s="1"/>
  <c r="M435" i="2" a="1"/>
  <c r="M435" i="2" s="1"/>
  <c r="M436" i="2" a="1"/>
  <c r="M436" i="2" s="1"/>
  <c r="M437" i="2" a="1"/>
  <c r="M437" i="2" s="1"/>
  <c r="K440" i="2" a="1"/>
  <c r="K440" i="2" s="1"/>
  <c r="K441" i="2" a="1"/>
  <c r="K441" i="2" s="1"/>
  <c r="K442" i="2" a="1"/>
  <c r="K442" i="2" s="1"/>
  <c r="K443" i="2" a="1"/>
  <c r="K443" i="2" s="1"/>
  <c r="L445" i="2" a="1"/>
  <c r="L445" i="2" s="1"/>
  <c r="L446" i="2" a="1"/>
  <c r="L446" i="2" s="1"/>
  <c r="L447" i="2" a="1"/>
  <c r="L447" i="2" s="1"/>
  <c r="L448" i="2" a="1"/>
  <c r="L448" i="2" s="1"/>
  <c r="M450" i="2" a="1"/>
  <c r="M450" i="2" s="1"/>
  <c r="M451" i="2" a="1"/>
  <c r="M451" i="2" s="1"/>
  <c r="M452" i="2" a="1"/>
  <c r="M452" i="2" s="1"/>
  <c r="M453" i="2" a="1"/>
  <c r="M453" i="2" s="1"/>
  <c r="K456" i="2" a="1"/>
  <c r="K456" i="2" s="1"/>
  <c r="K457" i="2" a="1"/>
  <c r="K457" i="2" s="1"/>
  <c r="K458" i="2" a="1"/>
  <c r="K458" i="2" s="1"/>
  <c r="K459" i="2" a="1"/>
  <c r="K459" i="2" s="1"/>
  <c r="L461" i="2" a="1"/>
  <c r="L461" i="2" s="1"/>
  <c r="L462" i="2" a="1"/>
  <c r="L462" i="2" s="1"/>
  <c r="L463" i="2" a="1"/>
  <c r="L463" i="2" s="1"/>
  <c r="L464" i="2" a="1"/>
  <c r="L464" i="2" s="1"/>
  <c r="M466" i="2" a="1"/>
  <c r="M466" i="2" s="1"/>
  <c r="M467" i="2" a="1"/>
  <c r="M467" i="2" s="1"/>
  <c r="M468" i="2" a="1"/>
  <c r="M468" i="2" s="1"/>
  <c r="M469" i="2" a="1"/>
  <c r="M469" i="2" s="1"/>
  <c r="K472" i="2" a="1"/>
  <c r="K472" i="2" s="1"/>
  <c r="K473" i="2" a="1"/>
  <c r="K473" i="2" s="1"/>
  <c r="K474" i="2" a="1"/>
  <c r="K474" i="2" s="1"/>
  <c r="K475" i="2" a="1"/>
  <c r="K475" i="2" s="1"/>
  <c r="L477" i="2" a="1"/>
  <c r="L477" i="2" s="1"/>
  <c r="L478" i="2" a="1"/>
  <c r="L478" i="2" s="1"/>
  <c r="L479" i="2" a="1"/>
  <c r="L479" i="2" s="1"/>
  <c r="L480" i="2" a="1"/>
  <c r="L480" i="2" s="1"/>
  <c r="M482" i="2" a="1"/>
  <c r="M482" i="2" s="1"/>
  <c r="M483" i="2" a="1"/>
  <c r="M483" i="2" s="1"/>
  <c r="M484" i="2" a="1"/>
  <c r="M484" i="2" s="1"/>
  <c r="M485" i="2" a="1"/>
  <c r="M485" i="2" s="1"/>
  <c r="K488" i="2" a="1"/>
  <c r="K488" i="2" s="1"/>
  <c r="K489" i="2" a="1"/>
  <c r="K489" i="2" s="1"/>
  <c r="K490" i="2" a="1"/>
  <c r="K490" i="2" s="1"/>
  <c r="K491" i="2" a="1"/>
  <c r="K491" i="2" s="1"/>
  <c r="L493" i="2" a="1"/>
  <c r="L493" i="2" s="1"/>
  <c r="L494" i="2" a="1"/>
  <c r="L494" i="2" s="1"/>
  <c r="L495" i="2" a="1"/>
  <c r="L495" i="2" s="1"/>
  <c r="L496" i="2" a="1"/>
  <c r="L496" i="2" s="1"/>
  <c r="M498" i="2" a="1"/>
  <c r="M498" i="2" s="1"/>
  <c r="M499" i="2" a="1"/>
  <c r="M499" i="2" s="1"/>
  <c r="M500" i="2" a="1"/>
  <c r="M500" i="2" s="1"/>
  <c r="M501" i="2" a="1"/>
  <c r="M501" i="2" s="1"/>
  <c r="K504" i="2" a="1"/>
  <c r="K504" i="2" s="1"/>
  <c r="K505" i="2" a="1"/>
  <c r="K505" i="2" s="1"/>
  <c r="K506" i="2" a="1"/>
  <c r="K506" i="2" s="1"/>
  <c r="K507" i="2" a="1"/>
  <c r="K507" i="2" s="1"/>
  <c r="L509" i="2" a="1"/>
  <c r="L509" i="2" s="1"/>
  <c r="L510" i="2" a="1"/>
  <c r="L510" i="2" s="1"/>
  <c r="L511" i="2" a="1"/>
  <c r="L511" i="2" s="1"/>
  <c r="L512" i="2" a="1"/>
  <c r="L512" i="2" s="1"/>
  <c r="M514" i="2" a="1"/>
  <c r="M514" i="2" s="1"/>
  <c r="L517" i="2" a="1"/>
  <c r="L517" i="2" s="1"/>
  <c r="L518" i="2" a="1"/>
  <c r="L518" i="2" s="1"/>
  <c r="L519" i="2" a="1"/>
  <c r="L519" i="2" s="1"/>
  <c r="L520" i="2" a="1"/>
  <c r="L520" i="2" s="1"/>
  <c r="M522" i="2" a="1"/>
  <c r="M522" i="2" s="1"/>
  <c r="M523" i="2" a="1"/>
  <c r="M523" i="2" s="1"/>
  <c r="M524" i="2" a="1"/>
  <c r="M524" i="2" s="1"/>
  <c r="M525" i="2" a="1"/>
  <c r="M525" i="2" s="1"/>
  <c r="K528" i="2" a="1"/>
  <c r="K528" i="2" s="1"/>
  <c r="K529" i="2" a="1"/>
  <c r="K529" i="2" s="1"/>
  <c r="K530" i="2" a="1"/>
  <c r="K530" i="2" s="1"/>
  <c r="K531" i="2" a="1"/>
  <c r="K531" i="2" s="1"/>
  <c r="L533" i="2" a="1"/>
  <c r="L533" i="2" s="1"/>
  <c r="L534" i="2" a="1"/>
  <c r="L534" i="2" s="1"/>
  <c r="M535" i="2" a="1"/>
  <c r="M535" i="2" s="1"/>
  <c r="M536" i="2" a="1"/>
  <c r="M536" i="2" s="1"/>
  <c r="K538" i="2" a="1"/>
  <c r="K538" i="2" s="1"/>
  <c r="K539" i="2" a="1"/>
  <c r="K539" i="2" s="1"/>
  <c r="L540" i="2" a="1"/>
  <c r="L540" i="2" s="1"/>
  <c r="M542" i="2" a="1"/>
  <c r="M542" i="2" s="1"/>
  <c r="K544" i="2" a="1"/>
  <c r="K544" i="2" s="1"/>
  <c r="K545" i="2" a="1"/>
  <c r="K545" i="2" s="1"/>
  <c r="L546" i="2" a="1"/>
  <c r="L546" i="2" s="1"/>
  <c r="L547" i="2" a="1"/>
  <c r="L547" i="2" s="1"/>
  <c r="M548" i="2" a="1"/>
  <c r="M548" i="2" s="1"/>
  <c r="M549" i="2" a="1"/>
  <c r="M549" i="2" s="1"/>
  <c r="K551" i="2" a="1"/>
  <c r="K551" i="2" s="1"/>
  <c r="L553" i="2" a="1"/>
  <c r="L553" i="2" s="1"/>
  <c r="L554" i="2" a="1"/>
  <c r="L554" i="2" s="1"/>
  <c r="L555" i="2" a="1"/>
  <c r="L555" i="2" s="1"/>
  <c r="M556" i="2" a="1"/>
  <c r="M556" i="2" s="1"/>
  <c r="M557" i="2" a="1"/>
  <c r="M557" i="2" s="1"/>
  <c r="K560" i="2" a="1"/>
  <c r="K560" i="2" s="1"/>
  <c r="K561" i="2" a="1"/>
  <c r="K561" i="2" s="1"/>
  <c r="K562" i="2" a="1"/>
  <c r="K562" i="2" s="1"/>
  <c r="K563" i="2" a="1"/>
  <c r="K563" i="2" s="1"/>
  <c r="L565" i="2" a="1"/>
  <c r="L565" i="2" s="1"/>
  <c r="L566" i="2" a="1"/>
  <c r="L566" i="2" s="1"/>
  <c r="L567" i="2" a="1"/>
  <c r="L567" i="2" s="1"/>
  <c r="L568" i="2" a="1"/>
  <c r="L568" i="2" s="1"/>
  <c r="M570" i="2" a="1"/>
  <c r="M570" i="2" s="1"/>
  <c r="M571" i="2" a="1"/>
  <c r="M571" i="2" s="1"/>
  <c r="M572" i="2" a="1"/>
  <c r="M572" i="2" s="1"/>
  <c r="M573" i="2" a="1"/>
  <c r="M573" i="2" s="1"/>
  <c r="K575" i="2" a="1"/>
  <c r="K575" i="2" s="1"/>
  <c r="L577" i="2" a="1"/>
  <c r="L577" i="2" s="1"/>
  <c r="L578" i="2" a="1"/>
  <c r="L578" i="2" s="1"/>
  <c r="L579" i="2" a="1"/>
  <c r="L579" i="2" s="1"/>
  <c r="M580" i="2" a="1"/>
  <c r="M580" i="2" s="1"/>
  <c r="M581" i="2" a="1"/>
  <c r="M581" i="2" s="1"/>
  <c r="K584" i="2" a="1"/>
  <c r="K584" i="2" s="1"/>
  <c r="K585" i="2" a="1"/>
  <c r="K585" i="2" s="1"/>
  <c r="K586" i="2" a="1"/>
  <c r="K586" i="2" s="1"/>
  <c r="K587" i="2" a="1"/>
  <c r="K587" i="2" s="1"/>
  <c r="L589" i="2" a="1"/>
  <c r="L589" i="2" s="1"/>
  <c r="L590" i="2" a="1"/>
  <c r="L590" i="2" s="1"/>
  <c r="L591" i="2" a="1"/>
  <c r="L591" i="2" s="1"/>
  <c r="L592" i="2" a="1"/>
  <c r="L592" i="2" s="1"/>
  <c r="M593" i="2" a="1"/>
  <c r="M593" i="2" s="1"/>
  <c r="K596" i="2" a="1"/>
  <c r="K596" i="2" s="1"/>
  <c r="K597" i="2" a="1"/>
  <c r="K597" i="2" s="1"/>
  <c r="K598" i="2" a="1"/>
  <c r="K598" i="2" s="1"/>
  <c r="L599" i="2" a="1"/>
  <c r="L599" i="2" s="1"/>
  <c r="L600" i="2" a="1"/>
  <c r="L600" i="2" s="1"/>
  <c r="M602" i="2" a="1"/>
  <c r="M602" i="2" s="1"/>
  <c r="M603" i="2" a="1"/>
  <c r="M603" i="2" s="1"/>
  <c r="M604" i="2" a="1"/>
  <c r="M604" i="2" s="1"/>
  <c r="M605" i="2" a="1"/>
  <c r="M605" i="2" s="1"/>
  <c r="K608" i="2" a="1"/>
  <c r="K608" i="2" s="1"/>
  <c r="K609" i="2" a="1"/>
  <c r="K609" i="2" s="1"/>
  <c r="K610" i="2" a="1"/>
  <c r="K610" i="2" s="1"/>
  <c r="K611" i="2" a="1"/>
  <c r="K611" i="2" s="1"/>
  <c r="L613" i="2" a="1"/>
  <c r="L613" i="2" s="1"/>
  <c r="L614" i="2" a="1"/>
  <c r="L614" i="2" s="1"/>
  <c r="L615" i="2" a="1"/>
  <c r="L615" i="2" s="1"/>
  <c r="L616" i="2" a="1"/>
  <c r="L616" i="2" s="1"/>
  <c r="M618" i="2" a="1"/>
  <c r="M618" i="2" s="1"/>
  <c r="M619" i="2" a="1"/>
  <c r="M619" i="2" s="1"/>
  <c r="M620" i="2" a="1"/>
  <c r="M620" i="2" s="1"/>
  <c r="M621" i="2" a="1"/>
  <c r="M621" i="2" s="1"/>
  <c r="K624" i="2" a="1"/>
  <c r="K624" i="2" s="1"/>
  <c r="K625" i="2" a="1"/>
  <c r="K625" i="2" s="1"/>
  <c r="L626" i="2" a="1"/>
  <c r="L626" i="2" s="1"/>
  <c r="L627" i="2" a="1"/>
  <c r="L627" i="2" s="1"/>
  <c r="M628" i="2" a="1"/>
  <c r="M628" i="2" s="1"/>
  <c r="K630" i="2" a="1"/>
  <c r="K630" i="2" s="1"/>
  <c r="L631" i="2" a="1"/>
  <c r="L631" i="2" s="1"/>
  <c r="M632" i="2" a="1"/>
  <c r="M632" i="2" s="1"/>
  <c r="K634" i="2" a="1"/>
  <c r="K634" i="2" s="1"/>
  <c r="L635" i="2" a="1"/>
  <c r="L635" i="2" s="1"/>
  <c r="M636" i="2" a="1"/>
  <c r="M636" i="2" s="1"/>
  <c r="K638" i="2" a="1"/>
  <c r="K638" i="2" s="1"/>
  <c r="L639" i="2" a="1"/>
  <c r="L639" i="2" s="1"/>
  <c r="M640" i="2" a="1"/>
  <c r="M640" i="2" s="1"/>
  <c r="K642" i="2" a="1"/>
  <c r="K642" i="2" s="1"/>
  <c r="L643" i="2" a="1"/>
  <c r="L643" i="2" s="1"/>
  <c r="M644" i="2" a="1"/>
  <c r="M644" i="2" s="1"/>
  <c r="K646" i="2" a="1"/>
  <c r="K646" i="2" s="1"/>
  <c r="L647" i="2" a="1"/>
  <c r="L647" i="2" s="1"/>
  <c r="M648" i="2" a="1"/>
  <c r="M648" i="2" s="1"/>
  <c r="K650" i="2" a="1"/>
  <c r="K650" i="2" s="1"/>
  <c r="L651" i="2" a="1"/>
  <c r="L651" i="2" s="1"/>
  <c r="M652" i="2" a="1"/>
  <c r="M652" i="2" s="1"/>
  <c r="K654" i="2" a="1"/>
  <c r="K654" i="2" s="1"/>
  <c r="L655" i="2" a="1"/>
  <c r="L655" i="2" s="1"/>
  <c r="M656" i="2" a="1"/>
  <c r="M656" i="2" s="1"/>
  <c r="K658" i="2" a="1"/>
  <c r="K658" i="2" s="1"/>
  <c r="L659" i="2" a="1"/>
  <c r="L659" i="2" s="1"/>
  <c r="M660" i="2" a="1"/>
  <c r="M660" i="2" s="1"/>
  <c r="K662" i="2" a="1"/>
  <c r="K662" i="2" s="1"/>
  <c r="L663" i="2" a="1"/>
  <c r="L663" i="2" s="1"/>
  <c r="M664" i="2" a="1"/>
  <c r="M664" i="2" s="1"/>
  <c r="K666" i="2" a="1"/>
  <c r="K666" i="2" s="1"/>
  <c r="L667" i="2" a="1"/>
  <c r="L667" i="2" s="1"/>
  <c r="M668" i="2" a="1"/>
  <c r="M668" i="2" s="1"/>
  <c r="K670" i="2" a="1"/>
  <c r="K670" i="2" s="1"/>
  <c r="L671" i="2" a="1"/>
  <c r="L671" i="2" s="1"/>
  <c r="M672" i="2" a="1"/>
  <c r="M672" i="2" s="1"/>
  <c r="K674" i="2" a="1"/>
  <c r="K674" i="2" s="1"/>
  <c r="L675" i="2" a="1"/>
  <c r="L675" i="2" s="1"/>
  <c r="M676" i="2" a="1"/>
  <c r="M676" i="2" s="1"/>
  <c r="K678" i="2" a="1"/>
  <c r="K678" i="2" s="1"/>
  <c r="L679" i="2" a="1"/>
  <c r="L679" i="2" s="1"/>
  <c r="M680" i="2" a="1"/>
  <c r="M680" i="2" s="1"/>
  <c r="K682" i="2" a="1"/>
  <c r="K682" i="2" s="1"/>
  <c r="L683" i="2" a="1"/>
  <c r="L683" i="2" s="1"/>
  <c r="M684" i="2" a="1"/>
  <c r="M684" i="2" s="1"/>
  <c r="K686" i="2" a="1"/>
  <c r="K686" i="2" s="1"/>
  <c r="L687" i="2" a="1"/>
  <c r="L687" i="2" s="1"/>
  <c r="M688" i="2" a="1"/>
  <c r="M688" i="2" s="1"/>
  <c r="K690" i="2" a="1"/>
  <c r="K690" i="2" s="1"/>
  <c r="L691" i="2" a="1"/>
  <c r="L691" i="2" s="1"/>
  <c r="M692" i="2" a="1"/>
  <c r="M692" i="2" s="1"/>
  <c r="K694" i="2" a="1"/>
  <c r="K694" i="2" s="1"/>
  <c r="L695" i="2" a="1"/>
  <c r="L695" i="2" s="1"/>
  <c r="M696" i="2" a="1"/>
  <c r="M696" i="2" s="1"/>
  <c r="K698" i="2" a="1"/>
  <c r="K698" i="2" s="1"/>
  <c r="L699" i="2" a="1"/>
  <c r="L699" i="2" s="1"/>
  <c r="M700" i="2" a="1"/>
  <c r="M700" i="2" s="1"/>
  <c r="K702" i="2" a="1"/>
  <c r="K702" i="2" s="1"/>
  <c r="L703" i="2" a="1"/>
  <c r="L703" i="2" s="1"/>
  <c r="M704" i="2" a="1"/>
  <c r="M704" i="2" s="1"/>
  <c r="K706" i="2" a="1"/>
  <c r="K706" i="2" s="1"/>
  <c r="L707" i="2" a="1"/>
  <c r="L707" i="2" s="1"/>
  <c r="M708" i="2" a="1"/>
  <c r="M708" i="2" s="1"/>
  <c r="K710" i="2" a="1"/>
  <c r="K710" i="2" s="1"/>
  <c r="L711" i="2" a="1"/>
  <c r="L711" i="2" s="1"/>
  <c r="M712" i="2" a="1"/>
  <c r="M712" i="2" s="1"/>
  <c r="K714" i="2" a="1"/>
  <c r="K714" i="2" s="1"/>
  <c r="L715" i="2" a="1"/>
  <c r="L715" i="2" s="1"/>
  <c r="M716" i="2" a="1"/>
  <c r="M716" i="2" s="1"/>
  <c r="K718" i="2" a="1"/>
  <c r="K718" i="2" s="1"/>
  <c r="L719" i="2" a="1"/>
  <c r="L719" i="2" s="1"/>
  <c r="M720" i="2" a="1"/>
  <c r="M720" i="2" s="1"/>
  <c r="K722" i="2" a="1"/>
  <c r="K722" i="2" s="1"/>
  <c r="L723" i="2" a="1"/>
  <c r="L723" i="2" s="1"/>
  <c r="M724" i="2" a="1"/>
  <c r="M724" i="2" s="1"/>
  <c r="K726" i="2" a="1"/>
  <c r="K726" i="2" s="1"/>
  <c r="K727" i="2" a="1"/>
  <c r="K727" i="2" s="1"/>
  <c r="L728" i="2" a="1"/>
  <c r="L728" i="2" s="1"/>
  <c r="L729" i="2" a="1"/>
  <c r="L729" i="2" s="1"/>
  <c r="M730" i="2" a="1"/>
  <c r="M730" i="2" s="1"/>
  <c r="M731" i="2" a="1"/>
  <c r="M731" i="2" s="1"/>
  <c r="K733" i="2" a="1"/>
  <c r="K733" i="2" s="1"/>
  <c r="K734" i="2" a="1"/>
  <c r="K734" i="2" s="1"/>
  <c r="L735" i="2" a="1"/>
  <c r="L735" i="2" s="1"/>
  <c r="M737" i="2" a="1"/>
  <c r="M737" i="2" s="1"/>
  <c r="K739" i="2" a="1"/>
  <c r="K739" i="2" s="1"/>
  <c r="K740" i="2" a="1"/>
  <c r="K740" i="2" s="1"/>
  <c r="L741" i="2" a="1"/>
  <c r="L741" i="2" s="1"/>
  <c r="L742" i="2" a="1"/>
  <c r="L742" i="2" s="1"/>
  <c r="M743" i="2" a="1"/>
  <c r="M743" i="2" s="1"/>
  <c r="M744" i="2" a="1"/>
  <c r="M744" i="2" s="1"/>
  <c r="K746" i="2" a="1"/>
  <c r="K746" i="2" s="1"/>
  <c r="L748" i="2" a="1"/>
  <c r="L748" i="2" s="1"/>
  <c r="M749" i="2" a="1"/>
  <c r="M749" i="2" s="1"/>
  <c r="M750" i="2" a="1"/>
  <c r="M750" i="2" s="1"/>
  <c r="K752" i="2" a="1"/>
  <c r="K752" i="2" s="1"/>
  <c r="K753" i="2" a="1"/>
  <c r="K753" i="2" s="1"/>
  <c r="L754" i="2" a="1"/>
  <c r="L754" i="2" s="1"/>
  <c r="L755" i="2" a="1"/>
  <c r="L755" i="2" s="1"/>
  <c r="M756" i="2" a="1"/>
  <c r="M756" i="2" s="1"/>
  <c r="K759" i="2" a="1"/>
  <c r="K759" i="2" s="1"/>
  <c r="L760" i="2" a="1"/>
  <c r="L760" i="2" s="1"/>
  <c r="L761" i="2" a="1"/>
  <c r="L761" i="2" s="1"/>
  <c r="M762" i="2" a="1"/>
  <c r="M762" i="2" s="1"/>
  <c r="M763" i="2" a="1"/>
  <c r="M763" i="2" s="1"/>
  <c r="K765" i="2" a="1"/>
  <c r="K765" i="2" s="1"/>
  <c r="K766" i="2" a="1"/>
  <c r="K766" i="2" s="1"/>
  <c r="L767" i="2" a="1"/>
  <c r="L767" i="2" s="1"/>
  <c r="M769" i="2" a="1"/>
  <c r="M769" i="2" s="1"/>
  <c r="K771" i="2" a="1"/>
  <c r="K771" i="2" s="1"/>
  <c r="K772" i="2" a="1"/>
  <c r="K772" i="2" s="1"/>
  <c r="L773" i="2" a="1"/>
  <c r="L773" i="2" s="1"/>
  <c r="L774" i="2" a="1"/>
  <c r="L774" i="2" s="1"/>
  <c r="M775" i="2" a="1"/>
  <c r="M775" i="2" s="1"/>
  <c r="M776" i="2" a="1"/>
  <c r="M776" i="2" s="1"/>
  <c r="K778" i="2" a="1"/>
  <c r="K778" i="2" s="1"/>
  <c r="L780" i="2" a="1"/>
  <c r="L780" i="2" s="1"/>
  <c r="M781" i="2" a="1"/>
  <c r="M781" i="2" s="1"/>
  <c r="M782" i="2" a="1"/>
  <c r="M782" i="2" s="1"/>
  <c r="K784" i="2" a="1"/>
  <c r="K784" i="2" s="1"/>
  <c r="K785" i="2" a="1"/>
  <c r="K785" i="2" s="1"/>
  <c r="L786" i="2" a="1"/>
  <c r="L786" i="2" s="1"/>
  <c r="L787" i="2" a="1"/>
  <c r="L787" i="2" s="1"/>
  <c r="M788" i="2" a="1"/>
  <c r="M788" i="2" s="1"/>
  <c r="K791" i="2" a="1"/>
  <c r="K791" i="2" s="1"/>
  <c r="L792" i="2" a="1"/>
  <c r="L792" i="2" s="1"/>
  <c r="L793" i="2" a="1"/>
  <c r="L793" i="2" s="1"/>
  <c r="M794" i="2" a="1"/>
  <c r="M794" i="2" s="1"/>
  <c r="M795" i="2" a="1"/>
  <c r="M795" i="2" s="1"/>
  <c r="K797" i="2" a="1"/>
  <c r="K797" i="2" s="1"/>
  <c r="K798" i="2" a="1"/>
  <c r="K798" i="2" s="1"/>
  <c r="L799" i="2" a="1"/>
  <c r="L799" i="2" s="1"/>
  <c r="M801" i="2" a="1"/>
  <c r="M801" i="2" s="1"/>
  <c r="K803" i="2" a="1"/>
  <c r="K803" i="2" s="1"/>
  <c r="K804" i="2" a="1"/>
  <c r="K804" i="2" s="1"/>
  <c r="L805" i="2" a="1"/>
  <c r="L805" i="2" s="1"/>
  <c r="L806" i="2" a="1"/>
  <c r="L806" i="2" s="1"/>
  <c r="M807" i="2" a="1"/>
  <c r="M807" i="2" s="1"/>
  <c r="K809" i="2" a="1"/>
  <c r="K809" i="2" s="1"/>
  <c r="L810" i="2" a="1"/>
  <c r="L810" i="2" s="1"/>
  <c r="L811" i="2" a="1"/>
  <c r="L811" i="2" s="1"/>
  <c r="M812" i="2" a="1"/>
  <c r="M812" i="2" s="1"/>
  <c r="K815" i="2" a="1"/>
  <c r="K815" i="2" s="1"/>
  <c r="L816" i="2" a="1"/>
  <c r="L816" i="2" s="1"/>
  <c r="M817" i="2" a="1"/>
  <c r="M817" i="2" s="1"/>
  <c r="K819" i="2" a="1"/>
  <c r="K819" i="2" s="1"/>
  <c r="K820" i="2" a="1"/>
  <c r="K820" i="2" s="1"/>
  <c r="L821" i="2" a="1"/>
  <c r="L821" i="2" s="1"/>
  <c r="L822" i="2" a="1"/>
  <c r="L822" i="2" s="1"/>
  <c r="M823" i="2" a="1"/>
  <c r="M823" i="2" s="1"/>
  <c r="M824" i="2" a="1"/>
  <c r="M824" i="2" s="1"/>
  <c r="K826" i="2" a="1"/>
  <c r="K826" i="2" s="1"/>
  <c r="L827" i="2" a="1"/>
  <c r="L827" i="2" s="1"/>
  <c r="M828" i="2" a="1"/>
  <c r="M828" i="2" s="1"/>
  <c r="K831" i="2" a="1"/>
  <c r="K831" i="2" s="1"/>
  <c r="L832" i="2" a="1"/>
  <c r="L832" i="2" s="1"/>
  <c r="M833" i="2" a="1"/>
  <c r="M833" i="2" s="1"/>
  <c r="K835" i="2" a="1"/>
  <c r="K835" i="2" s="1"/>
  <c r="K836" i="2" a="1"/>
  <c r="K836" i="2" s="1"/>
  <c r="L837" i="2" a="1"/>
  <c r="L837" i="2" s="1"/>
  <c r="L838" i="2" a="1"/>
  <c r="L838" i="2" s="1"/>
  <c r="M839" i="2" a="1"/>
  <c r="M839" i="2" s="1"/>
  <c r="M840" i="2" a="1"/>
  <c r="M840" i="2" s="1"/>
  <c r="K842" i="2" a="1"/>
  <c r="K842" i="2" s="1"/>
  <c r="L844" i="2" a="1"/>
  <c r="L844" i="2" s="1"/>
  <c r="M845" i="2" a="1"/>
  <c r="M845" i="2" s="1"/>
  <c r="K847" i="2" a="1"/>
  <c r="K847" i="2" s="1"/>
  <c r="L848" i="2" a="1"/>
  <c r="L848" i="2" s="1"/>
  <c r="L849" i="2" a="1"/>
  <c r="L849" i="2" s="1"/>
  <c r="M850" i="2" a="1"/>
  <c r="M850" i="2" s="1"/>
  <c r="K852" i="2" a="1"/>
  <c r="K852" i="2" s="1"/>
  <c r="L853" i="2" a="1"/>
  <c r="L853" i="2" s="1"/>
  <c r="L854" i="2" a="1"/>
  <c r="L854" i="2" s="1"/>
  <c r="M855" i="2" a="1"/>
  <c r="M855" i="2" s="1"/>
  <c r="M856" i="2" a="1"/>
  <c r="M856" i="2" s="1"/>
  <c r="K858" i="2" a="1"/>
  <c r="K858" i="2" s="1"/>
  <c r="L859" i="2" a="1"/>
  <c r="L859" i="2" s="1"/>
  <c r="M860" i="2" a="1"/>
  <c r="M860" i="2" s="1"/>
  <c r="K862" i="2" a="1"/>
  <c r="K862" i="2" s="1"/>
  <c r="L863" i="2" a="1"/>
  <c r="L863" i="2" s="1"/>
  <c r="M865" i="2" a="1"/>
  <c r="M865" i="2" s="1"/>
  <c r="K867" i="2" a="1"/>
  <c r="K867" i="2" s="1"/>
  <c r="K868" i="2" a="1"/>
  <c r="K868" i="2" s="1"/>
  <c r="L869" i="2" a="1"/>
  <c r="L869" i="2" s="1"/>
  <c r="L870" i="2" a="1"/>
  <c r="L870" i="2" s="1"/>
  <c r="M871" i="2" a="1"/>
  <c r="M871" i="2" s="1"/>
  <c r="M872" i="2" a="1"/>
  <c r="M872" i="2" s="1"/>
  <c r="K874" i="2" a="1"/>
  <c r="K874" i="2" s="1"/>
  <c r="L876" i="2" a="1"/>
  <c r="L876" i="2" s="1"/>
  <c r="M877" i="2" a="1"/>
  <c r="M877" i="2" s="1"/>
  <c r="M878" i="2" a="1"/>
  <c r="M878" i="2" s="1"/>
  <c r="K880" i="2" a="1"/>
  <c r="K880" i="2" s="1"/>
  <c r="K881" i="2" a="1"/>
  <c r="K881" i="2" s="1"/>
  <c r="L882" i="2" a="1"/>
  <c r="L882" i="2" s="1"/>
  <c r="L883" i="2" a="1"/>
  <c r="L883" i="2" s="1"/>
  <c r="M884" i="2" a="1"/>
  <c r="M884" i="2" s="1"/>
  <c r="K887" i="2" a="1"/>
  <c r="K887" i="2" s="1"/>
  <c r="L888" i="2" a="1"/>
  <c r="L888" i="2" s="1"/>
  <c r="L890" i="2" a="1"/>
  <c r="L890" i="2" s="1"/>
  <c r="L891" i="2" a="1"/>
  <c r="L891" i="2" s="1"/>
  <c r="L892" i="2" a="1"/>
  <c r="L892" i="2" s="1"/>
  <c r="M893" i="2" a="1"/>
  <c r="M893" i="2" s="1"/>
  <c r="M895" i="2" a="1"/>
  <c r="M895" i="2" s="1"/>
  <c r="M896" i="2" a="1"/>
  <c r="M896" i="2" s="1"/>
  <c r="M897" i="2" a="1"/>
  <c r="M897" i="2" s="1"/>
  <c r="K899" i="2" a="1"/>
  <c r="K899" i="2" s="1"/>
  <c r="K901" i="2" a="1"/>
  <c r="K901" i="2" s="1"/>
  <c r="K902" i="2" a="1"/>
  <c r="K902" i="2" s="1"/>
  <c r="K903" i="2" a="1"/>
  <c r="K903" i="2" s="1"/>
  <c r="L904" i="2" a="1"/>
  <c r="L904" i="2" s="1"/>
  <c r="L906" i="2" a="1"/>
  <c r="L906" i="2" s="1"/>
  <c r="L907" i="2" a="1"/>
  <c r="L907" i="2" s="1"/>
  <c r="L908" i="2" a="1"/>
  <c r="L908" i="2" s="1"/>
  <c r="M909" i="2" a="1"/>
  <c r="M909" i="2" s="1"/>
  <c r="M911" i="2" a="1"/>
  <c r="M911" i="2" s="1"/>
  <c r="M912" i="2" a="1"/>
  <c r="M912" i="2" s="1"/>
  <c r="M913" i="2" a="1"/>
  <c r="M913" i="2" s="1"/>
  <c r="K915" i="2" a="1"/>
  <c r="K915" i="2" s="1"/>
  <c r="K917" i="2" a="1"/>
  <c r="K917" i="2" s="1"/>
  <c r="K918" i="2" a="1"/>
  <c r="K918" i="2" s="1"/>
  <c r="K919" i="2" a="1"/>
  <c r="K919" i="2" s="1"/>
  <c r="L920" i="2" a="1"/>
  <c r="L920" i="2" s="1"/>
  <c r="L922" i="2" a="1"/>
  <c r="L922" i="2" s="1"/>
  <c r="L923" i="2" a="1"/>
  <c r="L923" i="2" s="1"/>
  <c r="L924" i="2" a="1"/>
  <c r="L924" i="2" s="1"/>
  <c r="M925" i="2" a="1"/>
  <c r="M925" i="2" s="1"/>
  <c r="M927" i="2" a="1"/>
  <c r="M927" i="2" s="1"/>
  <c r="M928" i="2" a="1"/>
  <c r="M928" i="2" s="1"/>
  <c r="M929" i="2" a="1"/>
  <c r="M929" i="2" s="1"/>
  <c r="K931" i="2" a="1"/>
  <c r="K931" i="2" s="1"/>
  <c r="K933" i="2" a="1"/>
  <c r="K933" i="2" s="1"/>
  <c r="K934" i="2" a="1"/>
  <c r="K934" i="2" s="1"/>
  <c r="K935" i="2" a="1"/>
  <c r="K935" i="2" s="1"/>
  <c r="L936" i="2" a="1"/>
  <c r="L936" i="2" s="1"/>
  <c r="L938" i="2" a="1"/>
  <c r="L938" i="2" s="1"/>
  <c r="L939" i="2" a="1"/>
  <c r="L939" i="2" s="1"/>
  <c r="L940" i="2" a="1"/>
  <c r="L940" i="2" s="1"/>
  <c r="M941" i="2" a="1"/>
  <c r="M941" i="2" s="1"/>
  <c r="M943" i="2" a="1"/>
  <c r="M943" i="2" s="1"/>
  <c r="M944" i="2" a="1"/>
  <c r="M944" i="2" s="1"/>
  <c r="M945" i="2" a="1"/>
  <c r="M945" i="2" s="1"/>
  <c r="K947" i="2" a="1"/>
  <c r="K947" i="2" s="1"/>
  <c r="K949" i="2" a="1"/>
  <c r="K949" i="2" s="1"/>
  <c r="K950" i="2" a="1"/>
  <c r="K950" i="2" s="1"/>
  <c r="K951" i="2" a="1"/>
  <c r="K951" i="2" s="1"/>
  <c r="L952" i="2" a="1"/>
  <c r="L952" i="2" s="1"/>
  <c r="L955" i="2" a="1"/>
  <c r="L955" i="2" s="1"/>
  <c r="L956" i="2" a="1"/>
  <c r="L956" i="2" s="1"/>
  <c r="L957" i="2" a="1"/>
  <c r="L957" i="2" s="1"/>
  <c r="M958" i="2" a="1"/>
  <c r="M958" i="2" s="1"/>
  <c r="M959" i="2" a="1"/>
  <c r="M959" i="2" s="1"/>
  <c r="K961" i="2" a="1"/>
  <c r="K961" i="2" s="1"/>
  <c r="K962" i="2" a="1"/>
  <c r="K962" i="2" s="1"/>
  <c r="K963" i="2" a="1"/>
  <c r="K963" i="2" s="1"/>
  <c r="K965" i="2" a="1"/>
  <c r="K965" i="2" s="1"/>
  <c r="L966" i="2" a="1"/>
  <c r="L966" i="2" s="1"/>
  <c r="L967" i="2" a="1"/>
  <c r="L967" i="2" s="1"/>
  <c r="L968" i="2" a="1"/>
  <c r="L968" i="2" s="1"/>
  <c r="L970" i="2" a="1"/>
  <c r="L970" i="2" s="1"/>
  <c r="M971" i="2" a="1"/>
  <c r="M971" i="2" s="1"/>
  <c r="M972" i="2" a="1"/>
  <c r="M972" i="2" s="1"/>
  <c r="M973" i="2" a="1"/>
  <c r="M973" i="2" s="1"/>
  <c r="K976" i="2" a="1"/>
  <c r="K976" i="2" s="1"/>
  <c r="L977" i="2" a="1"/>
  <c r="L977" i="2" s="1"/>
  <c r="L979" i="2" a="1"/>
  <c r="L979" i="2" s="1"/>
  <c r="L980" i="2" a="1"/>
  <c r="L980" i="2" s="1"/>
  <c r="L981" i="2" a="1"/>
  <c r="L981" i="2" s="1"/>
  <c r="M982" i="2" a="1"/>
  <c r="M982" i="2" s="1"/>
  <c r="M984" i="2" a="1"/>
  <c r="M984" i="2" s="1"/>
  <c r="M985" i="2" a="1"/>
  <c r="M985" i="2" s="1"/>
  <c r="M986" i="2" a="1"/>
  <c r="M986" i="2" s="1"/>
  <c r="K988" i="2" a="1"/>
  <c r="K988" i="2" s="1"/>
  <c r="K990" i="2" a="1"/>
  <c r="K990" i="2" s="1"/>
  <c r="K991" i="2" a="1"/>
  <c r="K991" i="2" s="1"/>
  <c r="L992" i="2" a="1"/>
  <c r="L992" i="2" s="1"/>
  <c r="M994" i="2" a="1"/>
  <c r="M994" i="2" s="1"/>
  <c r="K996" i="2" a="1"/>
  <c r="K996" i="2" s="1"/>
  <c r="K998" i="2" a="1"/>
  <c r="K998" i="2" s="1"/>
  <c r="K999" i="2" a="1"/>
  <c r="K999" i="2" s="1"/>
  <c r="K1000" i="2" a="1"/>
  <c r="K1000" i="2" s="1"/>
  <c r="L1001" i="2" a="1"/>
  <c r="L1001" i="2" s="1"/>
  <c r="L1003" i="2" a="1"/>
  <c r="L1003" i="2" s="1"/>
  <c r="L1004" i="2" a="1"/>
  <c r="L1004" i="2" s="1"/>
  <c r="L1005" i="2" a="1"/>
  <c r="L1005" i="2" s="1"/>
  <c r="M1006" i="2" a="1"/>
  <c r="M1006" i="2" s="1"/>
  <c r="M1007" i="2" a="1"/>
  <c r="M1007" i="2" s="1"/>
  <c r="K1009" i="2" a="1"/>
  <c r="K1009" i="2" s="1"/>
  <c r="K1010" i="2" a="1"/>
  <c r="K1010" i="2" s="1"/>
  <c r="L1011" i="2" a="1"/>
  <c r="L1011" i="2" s="1"/>
  <c r="L1012" i="2" a="1"/>
  <c r="L1012" i="2" s="1"/>
  <c r="L1013" i="2" a="1"/>
  <c r="L1013" i="2" s="1"/>
  <c r="M1014" i="2" a="1"/>
  <c r="M1014" i="2" s="1"/>
  <c r="M1016" i="2" a="1"/>
  <c r="M1016" i="2" s="1"/>
  <c r="M1017" i="2" a="1"/>
  <c r="M1017" i="2" s="1"/>
  <c r="K1019" i="2" a="1"/>
  <c r="K1019" i="2" s="1"/>
  <c r="L1021" i="2" a="1"/>
  <c r="L1021" i="2" s="1"/>
  <c r="M1022" i="2" a="1"/>
  <c r="M1022" i="2" s="1"/>
  <c r="M1023" i="2" a="1"/>
  <c r="M1023" i="2" s="1"/>
  <c r="K1025" i="2" a="1"/>
  <c r="K1025" i="2" s="1"/>
  <c r="K1026" i="2" a="1"/>
  <c r="K1026" i="2" s="1"/>
  <c r="K1027" i="2" a="1"/>
  <c r="K1027" i="2" s="1"/>
  <c r="K1029" i="2" a="1"/>
  <c r="K1029" i="2" s="1"/>
  <c r="L1030" i="2" a="1"/>
  <c r="L1030" i="2" s="1"/>
  <c r="L1031" i="2" a="1"/>
  <c r="L1031" i="2" s="1"/>
  <c r="L1032" i="2" a="1"/>
  <c r="L1032" i="2" s="1"/>
  <c r="L1034" i="2" a="1"/>
  <c r="L1034" i="2" s="1"/>
  <c r="M1035" i="2" a="1"/>
  <c r="M1035" i="2" s="1"/>
  <c r="M1036" i="2" a="1"/>
  <c r="M1036" i="2" s="1"/>
  <c r="M1037" i="2" a="1"/>
  <c r="M1037" i="2" s="1"/>
  <c r="M1039" i="2" a="1"/>
  <c r="M1039" i="2" s="1"/>
  <c r="K1041" i="2" a="1"/>
  <c r="K1041" i="2" s="1"/>
  <c r="K1042" i="2" a="1"/>
  <c r="K1042" i="2" s="1"/>
  <c r="K1043" i="2" a="1"/>
  <c r="K1043" i="2" s="1"/>
  <c r="L1045" i="2" a="1"/>
  <c r="L1045" i="2" s="1"/>
  <c r="M1046" i="2" a="1"/>
  <c r="M1046" i="2" s="1"/>
  <c r="M1047" i="2" a="1"/>
  <c r="M1047" i="2" s="1"/>
  <c r="K1049" i="2" a="1"/>
  <c r="K1049" i="2" s="1"/>
  <c r="K1050" i="2" a="1"/>
  <c r="K1050" i="2" s="1"/>
  <c r="L1051" i="2" a="1"/>
  <c r="L1051" i="2" s="1"/>
  <c r="L1052" i="2" a="1"/>
  <c r="L1052" i="2" s="1"/>
  <c r="L1053" i="2" a="1"/>
  <c r="L1053" i="2" s="1"/>
  <c r="M1054" i="2" a="1"/>
  <c r="M1054" i="2" s="1"/>
  <c r="M1056" i="2" a="1"/>
  <c r="M1056" i="2" s="1"/>
  <c r="M1057" i="2" a="1"/>
  <c r="M1057" i="2" s="1"/>
  <c r="M1058" i="2" a="1"/>
  <c r="M1058" i="2" s="1"/>
  <c r="K1060" i="2" a="1"/>
  <c r="K1060" i="2" s="1"/>
  <c r="K1061" i="2" a="1"/>
  <c r="K1061" i="2" s="1"/>
  <c r="L1062" i="2" a="1"/>
  <c r="L1062" i="2" s="1"/>
  <c r="L1063" i="2" a="1"/>
  <c r="L1063" i="2" s="1"/>
  <c r="M1064" i="2" a="1"/>
  <c r="M1064" i="2" s="1"/>
  <c r="M1065" i="2" a="1"/>
  <c r="M1065" i="2" s="1"/>
  <c r="K1067" i="2" a="1"/>
  <c r="K1067" i="2" s="1"/>
  <c r="L1069" i="2" a="1"/>
  <c r="L1069" i="2" s="1"/>
  <c r="M1070" i="2" a="1"/>
  <c r="M1070" i="2" s="1"/>
  <c r="M1071" i="2" a="1"/>
  <c r="M1071" i="2" s="1"/>
  <c r="K1073" i="2" a="1"/>
  <c r="K1073" i="2" s="1"/>
  <c r="K1074" i="2" a="1"/>
  <c r="K1074" i="2" s="1"/>
  <c r="L1075" i="2" a="1"/>
  <c r="L1075" i="2" s="1"/>
  <c r="L1076" i="2" a="1"/>
  <c r="L1076" i="2" s="1"/>
  <c r="M1077" i="2" a="1"/>
  <c r="M1077" i="2" s="1"/>
  <c r="K1080" i="2" a="1"/>
  <c r="K1080" i="2" s="1"/>
  <c r="L1081" i="2" a="1"/>
  <c r="L1081" i="2" s="1"/>
  <c r="L1082" i="2" a="1"/>
  <c r="L1082" i="2" s="1"/>
  <c r="M1083" i="2" a="1"/>
  <c r="M1083" i="2" s="1"/>
  <c r="M1084" i="2" a="1"/>
  <c r="M1084" i="2" s="1"/>
  <c r="K1086" i="2" a="1"/>
  <c r="K1086" i="2" s="1"/>
  <c r="K1087" i="2" a="1"/>
  <c r="K1087" i="2" s="1"/>
  <c r="L1088" i="2" a="1"/>
  <c r="L1088" i="2" s="1"/>
  <c r="M1090" i="2" a="1"/>
  <c r="M1090" i="2" s="1"/>
  <c r="K1092" i="2" a="1"/>
  <c r="K1092" i="2" s="1"/>
  <c r="K1093" i="2" a="1"/>
  <c r="K1093" i="2" s="1"/>
  <c r="L1094" i="2" a="1"/>
  <c r="L1094" i="2" s="1"/>
  <c r="L1095" i="2" a="1"/>
  <c r="L1095" i="2" s="1"/>
  <c r="M1096" i="2" a="1"/>
  <c r="M1096" i="2" s="1"/>
  <c r="M1097" i="2" a="1"/>
  <c r="M1097" i="2" s="1"/>
  <c r="K1099" i="2" a="1"/>
  <c r="K1099" i="2" s="1"/>
  <c r="L1101" i="2" a="1"/>
  <c r="L1101" i="2" s="1"/>
  <c r="M1102" i="2" a="1"/>
  <c r="M1102" i="2" s="1"/>
  <c r="M1103" i="2" a="1"/>
  <c r="M1103" i="2" s="1"/>
  <c r="K1105" i="2" a="1"/>
  <c r="K1105" i="2" s="1"/>
  <c r="K1106" i="2" a="1"/>
  <c r="K1106" i="2" s="1"/>
  <c r="L1107" i="2" a="1"/>
  <c r="L1107" i="2" s="1"/>
  <c r="L1108" i="2" a="1"/>
  <c r="L1108" i="2" s="1"/>
  <c r="L1109" i="2" a="1"/>
  <c r="L1109" i="2" s="1"/>
  <c r="M1110" i="2" a="1"/>
  <c r="M1110" i="2" s="1"/>
  <c r="M1112" i="2" a="1"/>
  <c r="M1112" i="2" s="1"/>
  <c r="M1113" i="2" a="1"/>
  <c r="M1113" i="2" s="1"/>
  <c r="K1115" i="2" a="1"/>
  <c r="K1115" i="2" s="1"/>
  <c r="L1117" i="2" a="1"/>
  <c r="L1117" i="2" s="1"/>
  <c r="M1118" i="2" a="1"/>
  <c r="M1118" i="2" s="1"/>
  <c r="M1119" i="2" a="1"/>
  <c r="M1119" i="2" s="1"/>
  <c r="K1121" i="2" a="1"/>
  <c r="K1121" i="2" s="1"/>
  <c r="K1122" i="2" a="1"/>
  <c r="K1122" i="2" s="1"/>
  <c r="L1123" i="2" a="1"/>
  <c r="L1123" i="2" s="1"/>
  <c r="L1124" i="2" a="1"/>
  <c r="L1124" i="2" s="1"/>
  <c r="M1125" i="2" a="1"/>
  <c r="M1125" i="2" s="1"/>
  <c r="K1128" i="2" a="1"/>
  <c r="K1128" i="2" s="1"/>
  <c r="L1129" i="2" a="1"/>
  <c r="L1129" i="2" s="1"/>
  <c r="L1130" i="2" a="1"/>
  <c r="L1130" i="2" s="1"/>
  <c r="M1131" i="2" a="1"/>
  <c r="M1131" i="2" s="1"/>
  <c r="M1132" i="2" a="1"/>
  <c r="M1132" i="2" s="1"/>
  <c r="K1134" i="2" a="1"/>
  <c r="K1134" i="2" s="1"/>
  <c r="K1135" i="2" a="1"/>
  <c r="K1135" i="2" s="1"/>
  <c r="L1136" i="2" a="1"/>
  <c r="L1136" i="2" s="1"/>
  <c r="M1138" i="2" a="1"/>
  <c r="M1138" i="2" s="1"/>
  <c r="K1140" i="2" a="1"/>
  <c r="K1140" i="2" s="1"/>
  <c r="K1141" i="2" a="1"/>
  <c r="K1141" i="2" s="1"/>
  <c r="L1142" i="2" a="1"/>
  <c r="L1142" i="2" s="1"/>
  <c r="L1143" i="2" a="1"/>
  <c r="L1143" i="2" s="1"/>
  <c r="M1144" i="2" a="1"/>
  <c r="M1144" i="2" s="1"/>
  <c r="M1145" i="2" a="1"/>
  <c r="M1145" i="2" s="1"/>
  <c r="K1147" i="2" a="1"/>
  <c r="K1147" i="2" s="1"/>
  <c r="L1149" i="2" a="1"/>
  <c r="L1149" i="2" s="1"/>
  <c r="M1150" i="2" a="1"/>
  <c r="M1150" i="2" s="1"/>
  <c r="M1151" i="2" a="1"/>
  <c r="M1151" i="2" s="1"/>
  <c r="K1153" i="2" a="1"/>
  <c r="K1153" i="2" s="1"/>
  <c r="K1154" i="2" a="1"/>
  <c r="K1154" i="2" s="1"/>
  <c r="L1155" i="2" a="1"/>
  <c r="L1155" i="2" s="1"/>
  <c r="L1156" i="2" a="1"/>
  <c r="L1156" i="2" s="1"/>
  <c r="M1157" i="2" a="1"/>
  <c r="M1157" i="2" s="1"/>
  <c r="K1160" i="2" a="1"/>
  <c r="K1160" i="2" s="1"/>
  <c r="L1161" i="2" a="1"/>
  <c r="L1161" i="2" s="1"/>
  <c r="L1162" i="2" a="1"/>
  <c r="L1162" i="2" s="1"/>
  <c r="M1163" i="2" a="1"/>
  <c r="M1163" i="2" s="1"/>
  <c r="M1164" i="2" a="1"/>
  <c r="M1164" i="2" s="1"/>
  <c r="K1166" i="2" a="1"/>
  <c r="K1166" i="2" s="1"/>
  <c r="K1167" i="2" a="1"/>
  <c r="K1167" i="2" s="1"/>
  <c r="L1168" i="2" a="1"/>
  <c r="L1168" i="2" s="1"/>
  <c r="M1170" i="2" a="1"/>
  <c r="M1170" i="2" s="1"/>
  <c r="K1172" i="2" a="1"/>
  <c r="K1172" i="2" s="1"/>
  <c r="K1173" i="2" a="1"/>
  <c r="K1173" i="2" s="1"/>
  <c r="L1174" i="2" a="1"/>
  <c r="L1174" i="2" s="1"/>
  <c r="L1175" i="2" a="1"/>
  <c r="L1175" i="2" s="1"/>
  <c r="M1176" i="2" a="1"/>
  <c r="M1176" i="2" s="1"/>
  <c r="M1177" i="2" a="1"/>
  <c r="M1177" i="2" s="1"/>
  <c r="K1179" i="2" a="1"/>
  <c r="K1179" i="2" s="1"/>
  <c r="L1181" i="2" a="1"/>
  <c r="L1181" i="2" s="1"/>
  <c r="M1182" i="2" a="1"/>
  <c r="M1182" i="2" s="1"/>
  <c r="M1183" i="2" a="1"/>
  <c r="M1183" i="2" s="1"/>
  <c r="K1185" i="2" a="1"/>
  <c r="K1185" i="2" s="1"/>
  <c r="K1186" i="2" a="1"/>
  <c r="K1186" i="2" s="1"/>
  <c r="L1187" i="2" a="1"/>
  <c r="L1187" i="2" s="1"/>
  <c r="L1188" i="2" a="1"/>
  <c r="L1188" i="2" s="1"/>
  <c r="L1189" i="2" a="1"/>
  <c r="L1189" i="2" s="1"/>
  <c r="M1190" i="2" a="1"/>
  <c r="M1190" i="2" s="1"/>
  <c r="M1191" i="2" a="1"/>
  <c r="M1191" i="2" s="1"/>
  <c r="K1193" i="2" a="1"/>
  <c r="K1193" i="2" s="1"/>
  <c r="K1194" i="2" a="1"/>
  <c r="K1194" i="2" s="1"/>
  <c r="K1195" i="2" a="1"/>
  <c r="K1195" i="2" s="1"/>
  <c r="L1197" i="2" a="1"/>
  <c r="L1197" i="2" s="1"/>
  <c r="M1198" i="2" a="1"/>
  <c r="M1198" i="2" s="1"/>
  <c r="M1199" i="2" a="1"/>
  <c r="M1199" i="2" s="1"/>
  <c r="K1201" i="2" a="1"/>
  <c r="K1201" i="2" s="1"/>
  <c r="K1202" i="2" a="1"/>
  <c r="K1202" i="2" s="1"/>
  <c r="L1203" i="2" a="1"/>
  <c r="L1203" i="2" s="1"/>
  <c r="L1204" i="2" a="1"/>
  <c r="L1204" i="2" s="1"/>
  <c r="M1205" i="2" a="1"/>
  <c r="M1205" i="2" s="1"/>
  <c r="K1208" i="2" a="1"/>
  <c r="K1208" i="2" s="1"/>
  <c r="L1209" i="2" a="1"/>
  <c r="L1209" i="2" s="1"/>
  <c r="L1210" i="2" a="1"/>
  <c r="L1210" i="2" s="1"/>
  <c r="M1211" i="2" a="1"/>
  <c r="M1211" i="2" s="1"/>
  <c r="M1212" i="2" a="1"/>
  <c r="M1212" i="2" s="1"/>
  <c r="K1214" i="2" a="1"/>
  <c r="K1214" i="2" s="1"/>
  <c r="K1215" i="2" a="1"/>
  <c r="K1215" i="2" s="1"/>
  <c r="L1216" i="2" a="1"/>
  <c r="L1216" i="2" s="1"/>
  <c r="M1218" i="2" a="1"/>
  <c r="M1218" i="2" s="1"/>
  <c r="K1220" i="2" a="1"/>
  <c r="K1220" i="2" s="1"/>
  <c r="K1221" i="2" a="1"/>
  <c r="K1221" i="2" s="1"/>
  <c r="L1222" i="2" a="1"/>
  <c r="L1222" i="2" s="1"/>
  <c r="L1223" i="2" a="1"/>
  <c r="L1223" i="2" s="1"/>
  <c r="M1224" i="2" a="1"/>
  <c r="M1224" i="2" s="1"/>
  <c r="M1225" i="2" a="1"/>
  <c r="M1225" i="2" s="1"/>
  <c r="M1226" i="2" a="1"/>
  <c r="M1226" i="2" s="1"/>
  <c r="K1228" i="2" a="1"/>
  <c r="K1228" i="2" s="1"/>
  <c r="K1230" i="2" a="1"/>
  <c r="K1230" i="2" s="1"/>
  <c r="K1231" i="2" a="1"/>
  <c r="K1231" i="2" s="1"/>
  <c r="K1232" i="2" a="1"/>
  <c r="K1232" i="2" s="1"/>
  <c r="L1233" i="2" a="1"/>
  <c r="L1233" i="2" s="1"/>
  <c r="L1235" i="2" a="1"/>
  <c r="L1235" i="2" s="1"/>
  <c r="L1236" i="2" a="1"/>
  <c r="L1236" i="2" s="1"/>
  <c r="L1237" i="2" a="1"/>
  <c r="L1237" i="2" s="1"/>
  <c r="M1238" i="2" a="1"/>
  <c r="M1238" i="2" s="1"/>
  <c r="M1239" i="2" a="1"/>
  <c r="M1239" i="2" s="1"/>
  <c r="K1241" i="2" a="1"/>
  <c r="K1241" i="2" s="1"/>
  <c r="K1242" i="2" a="1"/>
  <c r="K1242" i="2" s="1"/>
  <c r="L1243" i="2" a="1"/>
  <c r="L1243" i="2" s="1"/>
  <c r="L1244" i="2" a="1"/>
  <c r="L1244" i="2" s="1"/>
  <c r="L1245" i="2" a="1"/>
  <c r="L1245" i="2" s="1"/>
  <c r="M1246" i="2" a="1"/>
  <c r="M1246" i="2" s="1"/>
  <c r="M1248" i="2" a="1"/>
  <c r="M1248" i="2" s="1"/>
  <c r="M1249" i="2" a="1"/>
  <c r="M1249" i="2" s="1"/>
  <c r="K1251" i="2" a="1"/>
  <c r="K1251" i="2" s="1"/>
  <c r="K1253" i="2" a="1"/>
  <c r="K1253" i="2" s="1"/>
  <c r="L1254" i="2" a="1"/>
  <c r="L1254" i="2" s="1"/>
  <c r="L1255" i="2" a="1"/>
  <c r="L1255" i="2" s="1"/>
  <c r="L1256" i="2" a="1"/>
  <c r="L1256" i="2" s="1"/>
  <c r="L1258" i="2" a="1"/>
  <c r="L1258" i="2" s="1"/>
  <c r="M1259" i="2" a="1"/>
  <c r="M1259" i="2" s="1"/>
  <c r="M1260" i="2" a="1"/>
  <c r="M1260" i="2" s="1"/>
  <c r="M1261" i="2" a="1"/>
  <c r="M1261" i="2" s="1"/>
  <c r="K1264" i="2" a="1"/>
  <c r="K1264" i="2" s="1"/>
  <c r="L1265" i="2" a="1"/>
  <c r="L1265" i="2" s="1"/>
  <c r="L1267" i="2" a="1"/>
  <c r="L1267" i="2" s="1"/>
  <c r="L1268" i="2" a="1"/>
  <c r="L1268" i="2" s="1"/>
  <c r="L1269" i="2" a="1"/>
  <c r="L1269" i="2" s="1"/>
  <c r="M1270" i="2" a="1"/>
  <c r="M1270" i="2" s="1"/>
  <c r="M1272" i="2" a="1"/>
  <c r="M1272" i="2" s="1"/>
  <c r="M1273" i="2" a="1"/>
  <c r="M1273" i="2" s="1"/>
  <c r="M1274" i="2" a="1"/>
  <c r="M1274" i="2" s="1"/>
  <c r="K1276" i="2" a="1"/>
  <c r="K1276" i="2" s="1"/>
  <c r="K1278" i="2" a="1"/>
  <c r="K1278" i="2" s="1"/>
  <c r="K1279" i="2" a="1"/>
  <c r="K1279" i="2" s="1"/>
  <c r="K1280" i="2" a="1"/>
  <c r="K1280" i="2" s="1"/>
  <c r="L1281" i="2" a="1"/>
  <c r="L1281" i="2" s="1"/>
  <c r="L1283" i="2" a="1"/>
  <c r="L1283" i="2" s="1"/>
  <c r="L1284" i="2" a="1"/>
  <c r="L1284" i="2" s="1"/>
  <c r="L1285" i="2" a="1"/>
  <c r="L1285" i="2" s="1"/>
  <c r="M1286" i="2" a="1"/>
  <c r="M1286" i="2" s="1"/>
  <c r="M1288" i="2" a="1"/>
  <c r="M1288" i="2" s="1"/>
  <c r="M1289" i="2" a="1"/>
  <c r="M1289" i="2" s="1"/>
  <c r="M1290" i="2" a="1"/>
  <c r="M1290" i="2" s="1"/>
  <c r="K1292" i="2" a="1"/>
  <c r="K1292" i="2" s="1"/>
  <c r="K1294" i="2" a="1"/>
  <c r="K1294" i="2" s="1"/>
  <c r="K1295" i="2" a="1"/>
  <c r="K1295" i="2" s="1"/>
  <c r="K1296" i="2" a="1"/>
  <c r="K1296" i="2" s="1"/>
  <c r="L1297" i="2" a="1"/>
  <c r="L1297" i="2" s="1"/>
  <c r="L1299" i="2" a="1"/>
  <c r="L1299" i="2" s="1"/>
  <c r="L1300" i="2" a="1"/>
  <c r="L1300" i="2" s="1"/>
  <c r="L1301" i="2" a="1"/>
  <c r="L1301" i="2" s="1"/>
  <c r="M1302" i="2" a="1"/>
  <c r="M1302" i="2" s="1"/>
  <c r="L516" i="2" a="1"/>
  <c r="L516" i="2" s="1"/>
  <c r="M518" i="2" a="1"/>
  <c r="M518" i="2" s="1"/>
  <c r="M519" i="2" a="1"/>
  <c r="M519" i="2" s="1"/>
  <c r="M520" i="2" a="1"/>
  <c r="M520" i="2" s="1"/>
  <c r="M521" i="2" a="1"/>
  <c r="M521" i="2" s="1"/>
  <c r="K524" i="2" a="1"/>
  <c r="K524" i="2" s="1"/>
  <c r="K525" i="2" a="1"/>
  <c r="K525" i="2" s="1"/>
  <c r="K526" i="2" a="1"/>
  <c r="K526" i="2" s="1"/>
  <c r="K527" i="2" a="1"/>
  <c r="K527" i="2" s="1"/>
  <c r="L529" i="2" a="1"/>
  <c r="L529" i="2" s="1"/>
  <c r="L530" i="2" a="1"/>
  <c r="L530" i="2" s="1"/>
  <c r="L531" i="2" a="1"/>
  <c r="L531" i="2" s="1"/>
  <c r="L532" i="2" a="1"/>
  <c r="L532" i="2" s="1"/>
  <c r="M534" i="2" a="1"/>
  <c r="M534" i="2" s="1"/>
  <c r="K536" i="2" a="1"/>
  <c r="K536" i="2" s="1"/>
  <c r="K537" i="2" a="1"/>
  <c r="K537" i="2" s="1"/>
  <c r="L538" i="2" a="1"/>
  <c r="L538" i="2" s="1"/>
  <c r="L539" i="2" a="1"/>
  <c r="L539" i="2" s="1"/>
  <c r="M540" i="2" a="1"/>
  <c r="M540" i="2" s="1"/>
  <c r="M541" i="2" a="1"/>
  <c r="M541" i="2" s="1"/>
  <c r="K543" i="2" a="1"/>
  <c r="K543" i="2" s="1"/>
  <c r="L545" i="2" a="1"/>
  <c r="L545" i="2" s="1"/>
  <c r="M546" i="2" a="1"/>
  <c r="M546" i="2" s="1"/>
  <c r="M547" i="2" a="1"/>
  <c r="M547" i="2" s="1"/>
  <c r="K549" i="2" a="1"/>
  <c r="K549" i="2" s="1"/>
  <c r="K550" i="2" a="1"/>
  <c r="K550" i="2" s="1"/>
  <c r="L551" i="2" a="1"/>
  <c r="L551" i="2" s="1"/>
  <c r="L552" i="2" a="1"/>
  <c r="L552" i="2" s="1"/>
  <c r="M554" i="2" a="1"/>
  <c r="M554" i="2" s="1"/>
  <c r="M555" i="2" a="1"/>
  <c r="M555" i="2" s="1"/>
  <c r="K557" i="2" a="1"/>
  <c r="K557" i="2" s="1"/>
  <c r="K558" i="2" a="1"/>
  <c r="K558" i="2" s="1"/>
  <c r="K559" i="2" a="1"/>
  <c r="K559" i="2" s="1"/>
  <c r="L561" i="2" a="1"/>
  <c r="L561" i="2" s="1"/>
  <c r="L562" i="2" a="1"/>
  <c r="L562" i="2" s="1"/>
  <c r="L563" i="2" a="1"/>
  <c r="L563" i="2" s="1"/>
  <c r="L564" i="2" a="1"/>
  <c r="L564" i="2" s="1"/>
  <c r="M566" i="2" a="1"/>
  <c r="M566" i="2" s="1"/>
  <c r="M567" i="2" a="1"/>
  <c r="M567" i="2" s="1"/>
  <c r="M568" i="2" a="1"/>
  <c r="M568" i="2" s="1"/>
  <c r="M569" i="2" a="1"/>
  <c r="M569" i="2" s="1"/>
  <c r="K572" i="2" a="1"/>
  <c r="K572" i="2" s="1"/>
  <c r="K573" i="2" a="1"/>
  <c r="K573" i="2" s="1"/>
  <c r="K574" i="2" a="1"/>
  <c r="K574" i="2" s="1"/>
  <c r="L575" i="2" a="1"/>
  <c r="L575" i="2" s="1"/>
  <c r="L576" i="2" a="1"/>
  <c r="L576" i="2" s="1"/>
  <c r="M578" i="2" a="1"/>
  <c r="M578" i="2" s="1"/>
  <c r="M579" i="2" a="1"/>
  <c r="M579" i="2" s="1"/>
  <c r="K581" i="2" a="1"/>
  <c r="K581" i="2" s="1"/>
  <c r="K582" i="2" a="1"/>
  <c r="K582" i="2" s="1"/>
  <c r="K583" i="2" a="1"/>
  <c r="K583" i="2" s="1"/>
  <c r="L585" i="2" a="1"/>
  <c r="L585" i="2" s="1"/>
  <c r="L586" i="2" a="1"/>
  <c r="L586" i="2" s="1"/>
  <c r="L587" i="2" a="1"/>
  <c r="L587" i="2" s="1"/>
  <c r="L588" i="2" a="1"/>
  <c r="L588" i="2" s="1"/>
  <c r="M590" i="2" a="1"/>
  <c r="M590" i="2" s="1"/>
  <c r="M591" i="2" a="1"/>
  <c r="M591" i="2" s="1"/>
  <c r="M592" i="2" a="1"/>
  <c r="M592" i="2" s="1"/>
  <c r="K594" i="2" a="1"/>
  <c r="K594" i="2" s="1"/>
  <c r="K595" i="2" a="1"/>
  <c r="K595" i="2" s="1"/>
  <c r="L597" i="2" a="1"/>
  <c r="L597" i="2" s="1"/>
  <c r="L598" i="2" a="1"/>
  <c r="L598" i="2" s="1"/>
  <c r="M599" i="2" a="1"/>
  <c r="M599" i="2" s="1"/>
  <c r="M600" i="2" a="1"/>
  <c r="M600" i="2" s="1"/>
  <c r="M601" i="2" a="1"/>
  <c r="M601" i="2" s="1"/>
  <c r="K604" i="2" a="1"/>
  <c r="K604" i="2" s="1"/>
  <c r="K605" i="2" a="1"/>
  <c r="K605" i="2" s="1"/>
  <c r="K606" i="2" a="1"/>
  <c r="K606" i="2" s="1"/>
  <c r="K607" i="2" a="1"/>
  <c r="K607" i="2" s="1"/>
  <c r="L609" i="2" a="1"/>
  <c r="L609" i="2" s="1"/>
  <c r="L610" i="2" a="1"/>
  <c r="L610" i="2" s="1"/>
  <c r="L611" i="2" a="1"/>
  <c r="L611" i="2" s="1"/>
  <c r="L612" i="2" a="1"/>
  <c r="L612" i="2" s="1"/>
  <c r="M614" i="2" a="1"/>
  <c r="M614" i="2" s="1"/>
  <c r="M615" i="2" a="1"/>
  <c r="M615" i="2" s="1"/>
  <c r="M616" i="2" a="1"/>
  <c r="M616" i="2" s="1"/>
  <c r="M617" i="2" a="1"/>
  <c r="M617" i="2" s="1"/>
  <c r="K620" i="2" a="1"/>
  <c r="K620" i="2" s="1"/>
  <c r="K621" i="2" a="1"/>
  <c r="K621" i="2" s="1"/>
  <c r="K622" i="2" a="1"/>
  <c r="K622" i="2" s="1"/>
  <c r="K623" i="2" a="1"/>
  <c r="K623" i="2" s="1"/>
  <c r="L625" i="2" a="1"/>
  <c r="L625" i="2" s="1"/>
  <c r="M626" i="2" a="1"/>
  <c r="M626" i="2" s="1"/>
  <c r="M627" i="2" a="1"/>
  <c r="M627" i="2" s="1"/>
  <c r="K629" i="2" a="1"/>
  <c r="K629" i="2" s="1"/>
  <c r="L630" i="2" a="1"/>
  <c r="L630" i="2" s="1"/>
  <c r="M631" i="2" a="1"/>
  <c r="M631" i="2" s="1"/>
  <c r="K633" i="2" a="1"/>
  <c r="K633" i="2" s="1"/>
  <c r="L634" i="2" a="1"/>
  <c r="L634" i="2" s="1"/>
  <c r="M635" i="2" a="1"/>
  <c r="M635" i="2" s="1"/>
  <c r="K637" i="2" a="1"/>
  <c r="K637" i="2" s="1"/>
  <c r="L638" i="2" a="1"/>
  <c r="L638" i="2" s="1"/>
  <c r="M639" i="2" a="1"/>
  <c r="M639" i="2" s="1"/>
  <c r="K641" i="2" a="1"/>
  <c r="K641" i="2" s="1"/>
  <c r="L642" i="2" a="1"/>
  <c r="L642" i="2" s="1"/>
  <c r="M643" i="2" a="1"/>
  <c r="M643" i="2" s="1"/>
  <c r="K645" i="2" a="1"/>
  <c r="K645" i="2" s="1"/>
  <c r="L646" i="2" a="1"/>
  <c r="L646" i="2" s="1"/>
  <c r="M647" i="2" a="1"/>
  <c r="M647" i="2" s="1"/>
  <c r="K649" i="2" a="1"/>
  <c r="K649" i="2" s="1"/>
  <c r="L650" i="2" a="1"/>
  <c r="L650" i="2" s="1"/>
  <c r="M651" i="2" a="1"/>
  <c r="M651" i="2" s="1"/>
  <c r="K653" i="2" a="1"/>
  <c r="K653" i="2" s="1"/>
  <c r="L654" i="2" a="1"/>
  <c r="L654" i="2" s="1"/>
  <c r="M655" i="2" a="1"/>
  <c r="M655" i="2" s="1"/>
  <c r="K657" i="2" a="1"/>
  <c r="K657" i="2" s="1"/>
  <c r="L658" i="2" a="1"/>
  <c r="L658" i="2" s="1"/>
  <c r="M659" i="2" a="1"/>
  <c r="M659" i="2" s="1"/>
  <c r="K661" i="2" a="1"/>
  <c r="K661" i="2" s="1"/>
  <c r="L662" i="2" a="1"/>
  <c r="L662" i="2" s="1"/>
  <c r="M663" i="2" a="1"/>
  <c r="M663" i="2" s="1"/>
  <c r="K665" i="2" a="1"/>
  <c r="K665" i="2" s="1"/>
  <c r="L666" i="2" a="1"/>
  <c r="L666" i="2" s="1"/>
  <c r="M667" i="2" a="1"/>
  <c r="M667" i="2" s="1"/>
  <c r="K669" i="2" a="1"/>
  <c r="K669" i="2" s="1"/>
  <c r="L670" i="2" a="1"/>
  <c r="L670" i="2" s="1"/>
  <c r="M671" i="2" a="1"/>
  <c r="M671" i="2" s="1"/>
  <c r="K673" i="2" a="1"/>
  <c r="K673" i="2" s="1"/>
  <c r="L674" i="2" a="1"/>
  <c r="L674" i="2" s="1"/>
  <c r="M675" i="2" a="1"/>
  <c r="M675" i="2" s="1"/>
  <c r="K677" i="2" a="1"/>
  <c r="K677" i="2" s="1"/>
  <c r="L678" i="2" a="1"/>
  <c r="L678" i="2" s="1"/>
  <c r="M679" i="2" a="1"/>
  <c r="M679" i="2" s="1"/>
  <c r="K681" i="2" a="1"/>
  <c r="K681" i="2" s="1"/>
  <c r="L682" i="2" a="1"/>
  <c r="L682" i="2" s="1"/>
  <c r="M683" i="2" a="1"/>
  <c r="M683" i="2" s="1"/>
  <c r="K685" i="2" a="1"/>
  <c r="K685" i="2" s="1"/>
  <c r="L686" i="2" a="1"/>
  <c r="L686" i="2" s="1"/>
  <c r="M687" i="2" a="1"/>
  <c r="M687" i="2" s="1"/>
  <c r="K689" i="2" a="1"/>
  <c r="K689" i="2" s="1"/>
  <c r="L690" i="2" a="1"/>
  <c r="L690" i="2" s="1"/>
  <c r="M691" i="2" a="1"/>
  <c r="M691" i="2" s="1"/>
  <c r="K693" i="2" a="1"/>
  <c r="K693" i="2" s="1"/>
  <c r="L694" i="2" a="1"/>
  <c r="L694" i="2" s="1"/>
  <c r="M695" i="2" a="1"/>
  <c r="M695" i="2" s="1"/>
  <c r="K697" i="2" a="1"/>
  <c r="K697" i="2" s="1"/>
  <c r="L698" i="2" a="1"/>
  <c r="L698" i="2" s="1"/>
  <c r="M699" i="2" a="1"/>
  <c r="M699" i="2" s="1"/>
  <c r="K701" i="2" a="1"/>
  <c r="K701" i="2" s="1"/>
  <c r="L702" i="2" a="1"/>
  <c r="L702" i="2" s="1"/>
  <c r="M703" i="2" a="1"/>
  <c r="M703" i="2" s="1"/>
  <c r="K705" i="2" a="1"/>
  <c r="K705" i="2" s="1"/>
  <c r="L706" i="2" a="1"/>
  <c r="L706" i="2" s="1"/>
  <c r="M707" i="2" a="1"/>
  <c r="M707" i="2" s="1"/>
  <c r="K709" i="2" a="1"/>
  <c r="K709" i="2" s="1"/>
  <c r="L710" i="2" a="1"/>
  <c r="L710" i="2" s="1"/>
  <c r="M711" i="2" a="1"/>
  <c r="M711" i="2" s="1"/>
  <c r="K713" i="2" a="1"/>
  <c r="K713" i="2" s="1"/>
  <c r="L714" i="2" a="1"/>
  <c r="L714" i="2" s="1"/>
  <c r="M715" i="2" a="1"/>
  <c r="M715" i="2" s="1"/>
  <c r="K717" i="2" a="1"/>
  <c r="K717" i="2" s="1"/>
  <c r="L718" i="2" a="1"/>
  <c r="L718" i="2" s="1"/>
  <c r="M719" i="2" a="1"/>
  <c r="M719" i="2" s="1"/>
  <c r="K721" i="2" a="1"/>
  <c r="K721" i="2" s="1"/>
  <c r="L722" i="2" a="1"/>
  <c r="L722" i="2" s="1"/>
  <c r="M723" i="2" a="1"/>
  <c r="M723" i="2" s="1"/>
  <c r="K725" i="2" a="1"/>
  <c r="K725" i="2" s="1"/>
  <c r="L726" i="2" a="1"/>
  <c r="L726" i="2" s="1"/>
  <c r="L727" i="2" a="1"/>
  <c r="L727" i="2" s="1"/>
  <c r="M729" i="2" a="1"/>
  <c r="M729" i="2" s="1"/>
  <c r="K731" i="2" a="1"/>
  <c r="K731" i="2" s="1"/>
  <c r="K732" i="2" a="1"/>
  <c r="K732" i="2" s="1"/>
  <c r="L733" i="2" a="1"/>
  <c r="L733" i="2" s="1"/>
  <c r="L734" i="2" a="1"/>
  <c r="L734" i="2" s="1"/>
  <c r="M735" i="2" a="1"/>
  <c r="M735" i="2" s="1"/>
  <c r="M736" i="2" a="1"/>
  <c r="M736" i="2" s="1"/>
  <c r="K738" i="2" a="1"/>
  <c r="K738" i="2" s="1"/>
  <c r="L740" i="2" a="1"/>
  <c r="L740" i="2" s="1"/>
  <c r="M741" i="2" a="1"/>
  <c r="M741" i="2" s="1"/>
  <c r="M742" i="2" a="1"/>
  <c r="M742" i="2" s="1"/>
  <c r="K744" i="2" a="1"/>
  <c r="K744" i="2" s="1"/>
  <c r="K745" i="2" a="1"/>
  <c r="K745" i="2" s="1"/>
  <c r="L746" i="2" a="1"/>
  <c r="L746" i="2" s="1"/>
  <c r="L747" i="2" a="1"/>
  <c r="L747" i="2" s="1"/>
  <c r="M748" i="2" a="1"/>
  <c r="M748" i="2" s="1"/>
  <c r="K751" i="2" a="1"/>
  <c r="K751" i="2" s="1"/>
  <c r="L752" i="2" a="1"/>
  <c r="L752" i="2" s="1"/>
  <c r="L753" i="2" a="1"/>
  <c r="L753" i="2" s="1"/>
  <c r="M754" i="2" a="1"/>
  <c r="M754" i="2" s="1"/>
  <c r="M755" i="2" a="1"/>
  <c r="M755" i="2" s="1"/>
  <c r="K757" i="2" a="1"/>
  <c r="K757" i="2" s="1"/>
  <c r="K758" i="2" a="1"/>
  <c r="K758" i="2" s="1"/>
  <c r="L759" i="2" a="1"/>
  <c r="L759" i="2" s="1"/>
  <c r="M761" i="2" a="1"/>
  <c r="M761" i="2" s="1"/>
  <c r="K763" i="2" a="1"/>
  <c r="K763" i="2" s="1"/>
  <c r="K764" i="2" a="1"/>
  <c r="K764" i="2" s="1"/>
  <c r="L765" i="2" a="1"/>
  <c r="L765" i="2" s="1"/>
  <c r="L766" i="2" a="1"/>
  <c r="L766" i="2" s="1"/>
  <c r="M767" i="2" a="1"/>
  <c r="M767" i="2" s="1"/>
  <c r="M768" i="2" a="1"/>
  <c r="M768" i="2" s="1"/>
  <c r="K770" i="2" a="1"/>
  <c r="K770" i="2" s="1"/>
  <c r="L772" i="2" a="1"/>
  <c r="L772" i="2" s="1"/>
  <c r="M773" i="2" a="1"/>
  <c r="M773" i="2" s="1"/>
  <c r="M774" i="2" a="1"/>
  <c r="M774" i="2" s="1"/>
  <c r="K776" i="2" a="1"/>
  <c r="K776" i="2" s="1"/>
  <c r="K777" i="2" a="1"/>
  <c r="K777" i="2" s="1"/>
  <c r="L778" i="2" a="1"/>
  <c r="L778" i="2" s="1"/>
  <c r="L779" i="2" a="1"/>
  <c r="L779" i="2" s="1"/>
  <c r="M780" i="2" a="1"/>
  <c r="M780" i="2" s="1"/>
  <c r="K783" i="2" a="1"/>
  <c r="K783" i="2" s="1"/>
  <c r="L784" i="2" a="1"/>
  <c r="L784" i="2" s="1"/>
  <c r="L785" i="2" a="1"/>
  <c r="L785" i="2" s="1"/>
  <c r="M786" i="2" a="1"/>
  <c r="M786" i="2" s="1"/>
  <c r="M787" i="2" a="1"/>
  <c r="M787" i="2" s="1"/>
  <c r="K789" i="2" a="1"/>
  <c r="K789" i="2" s="1"/>
  <c r="K790" i="2" a="1"/>
  <c r="K790" i="2" s="1"/>
  <c r="L791" i="2" a="1"/>
  <c r="L791" i="2" s="1"/>
  <c r="M793" i="2" a="1"/>
  <c r="M793" i="2" s="1"/>
  <c r="K795" i="2" a="1"/>
  <c r="K795" i="2" s="1"/>
  <c r="K796" i="2" a="1"/>
  <c r="K796" i="2" s="1"/>
  <c r="L797" i="2" a="1"/>
  <c r="L797" i="2" s="1"/>
  <c r="L798" i="2" a="1"/>
  <c r="L798" i="2" s="1"/>
  <c r="M799" i="2" a="1"/>
  <c r="M799" i="2" s="1"/>
  <c r="M800" i="2" a="1"/>
  <c r="M800" i="2" s="1"/>
  <c r="K802" i="2" a="1"/>
  <c r="K802" i="2" s="1"/>
  <c r="L804" i="2" a="1"/>
  <c r="L804" i="2" s="1"/>
  <c r="M805" i="2" a="1"/>
  <c r="M805" i="2" s="1"/>
  <c r="M806" i="2" a="1"/>
  <c r="M806" i="2" s="1"/>
  <c r="K808" i="2" a="1"/>
  <c r="K808" i="2" s="1"/>
  <c r="L809" i="2" a="1"/>
  <c r="L809" i="2" s="1"/>
  <c r="M810" i="2" a="1"/>
  <c r="M810" i="2" s="1"/>
  <c r="M811" i="2" a="1"/>
  <c r="M811" i="2" s="1"/>
  <c r="K813" i="2" a="1"/>
  <c r="K813" i="2" s="1"/>
  <c r="K814" i="2" a="1"/>
  <c r="K814" i="2" s="1"/>
  <c r="L815" i="2" a="1"/>
  <c r="L815" i="2" s="1"/>
  <c r="M816" i="2" a="1"/>
  <c r="M816" i="2" s="1"/>
  <c r="K818" i="2" a="1"/>
  <c r="K818" i="2" s="1"/>
  <c r="L820" i="2" a="1"/>
  <c r="L820" i="2" s="1"/>
  <c r="M821" i="2" a="1"/>
  <c r="M821" i="2" s="1"/>
  <c r="M822" i="2" a="1"/>
  <c r="M822" i="2" s="1"/>
  <c r="K824" i="2" a="1"/>
  <c r="K824" i="2" s="1"/>
  <c r="K825" i="2" a="1"/>
  <c r="K825" i="2" s="1"/>
  <c r="L826" i="2" a="1"/>
  <c r="L826" i="2" s="1"/>
  <c r="M827" i="2" a="1"/>
  <c r="M827" i="2" s="1"/>
  <c r="K829" i="2" a="1"/>
  <c r="K829" i="2" s="1"/>
  <c r="K830" i="2" a="1"/>
  <c r="K830" i="2" s="1"/>
  <c r="L831" i="2" a="1"/>
  <c r="L831" i="2" s="1"/>
  <c r="M832" i="2" a="1"/>
  <c r="M832" i="2" s="1"/>
  <c r="K834" i="2" a="1"/>
  <c r="K834" i="2" s="1"/>
  <c r="L836" i="2" a="1"/>
  <c r="L836" i="2" s="1"/>
  <c r="M837" i="2" a="1"/>
  <c r="M837" i="2" s="1"/>
  <c r="M838" i="2" a="1"/>
  <c r="M838" i="2" s="1"/>
  <c r="K840" i="2" a="1"/>
  <c r="K840" i="2" s="1"/>
  <c r="K841" i="2" a="1"/>
  <c r="K841" i="2" s="1"/>
  <c r="L842" i="2" a="1"/>
  <c r="L842" i="2" s="1"/>
  <c r="L843" i="2" a="1"/>
  <c r="L843" i="2" s="1"/>
  <c r="M844" i="2" a="1"/>
  <c r="M844" i="2" s="1"/>
  <c r="K846" i="2" a="1"/>
  <c r="K846" i="2" s="1"/>
  <c r="L847" i="2" a="1"/>
  <c r="L847" i="2" s="1"/>
  <c r="M849" i="2" a="1"/>
  <c r="M849" i="2" s="1"/>
  <c r="K851" i="2" a="1"/>
  <c r="K851" i="2" s="1"/>
  <c r="L852" i="2" a="1"/>
  <c r="L852" i="2" s="1"/>
  <c r="M853" i="2" a="1"/>
  <c r="M853" i="2" s="1"/>
  <c r="M854" i="2" a="1"/>
  <c r="M854" i="2" s="1"/>
  <c r="K856" i="2" a="1"/>
  <c r="K856" i="2" s="1"/>
  <c r="K857" i="2" a="1"/>
  <c r="K857" i="2" s="1"/>
  <c r="L858" i="2" a="1"/>
  <c r="L858" i="2" s="1"/>
  <c r="M859" i="2" a="1"/>
  <c r="M859" i="2" s="1"/>
  <c r="K861" i="2" a="1"/>
  <c r="K861" i="2" s="1"/>
  <c r="L862" i="2" a="1"/>
  <c r="L862" i="2" s="1"/>
  <c r="M863" i="2" a="1"/>
  <c r="M863" i="2" s="1"/>
  <c r="M864" i="2" a="1"/>
  <c r="M864" i="2" s="1"/>
  <c r="K866" i="2" a="1"/>
  <c r="K866" i="2" s="1"/>
  <c r="L868" i="2" a="1"/>
  <c r="L868" i="2" s="1"/>
  <c r="M869" i="2" a="1"/>
  <c r="M869" i="2" s="1"/>
  <c r="M870" i="2" a="1"/>
  <c r="M870" i="2" s="1"/>
  <c r="K872" i="2" a="1"/>
  <c r="K872" i="2" s="1"/>
  <c r="K873" i="2" a="1"/>
  <c r="K873" i="2" s="1"/>
  <c r="L874" i="2" a="1"/>
  <c r="L874" i="2" s="1"/>
  <c r="L875" i="2" a="1"/>
  <c r="L875" i="2" s="1"/>
  <c r="M876" i="2" a="1"/>
  <c r="M876" i="2" s="1"/>
  <c r="K879" i="2" a="1"/>
  <c r="K879" i="2" s="1"/>
  <c r="L880" i="2" a="1"/>
  <c r="L880" i="2" s="1"/>
  <c r="L881" i="2" a="1"/>
  <c r="L881" i="2" s="1"/>
  <c r="M882" i="2" a="1"/>
  <c r="M882" i="2" s="1"/>
  <c r="M883" i="2" a="1"/>
  <c r="M883" i="2" s="1"/>
  <c r="K885" i="2" a="1"/>
  <c r="K885" i="2" s="1"/>
  <c r="K886" i="2" a="1"/>
  <c r="K886" i="2" s="1"/>
  <c r="L887" i="2" a="1"/>
  <c r="L887" i="2" s="1"/>
  <c r="L889" i="2" a="1"/>
  <c r="L889" i="2" s="1"/>
  <c r="M890" i="2" a="1"/>
  <c r="M890" i="2" s="1"/>
  <c r="M891" i="2" a="1"/>
  <c r="M891" i="2" s="1"/>
  <c r="M892" i="2" a="1"/>
  <c r="M892" i="2" s="1"/>
  <c r="M894" i="2" a="1"/>
  <c r="M894" i="2" s="1"/>
  <c r="K896" i="2" a="1"/>
  <c r="K896" i="2" s="1"/>
  <c r="K897" i="2" a="1"/>
  <c r="K897" i="2" s="1"/>
  <c r="K898" i="2" a="1"/>
  <c r="K898" i="2" s="1"/>
  <c r="K900" i="2" a="1"/>
  <c r="K900" i="2" s="1"/>
  <c r="L901" i="2" a="1"/>
  <c r="L901" i="2" s="1"/>
  <c r="L902" i="2" a="1"/>
  <c r="L902" i="2" s="1"/>
  <c r="L903" i="2" a="1"/>
  <c r="L903" i="2" s="1"/>
  <c r="L905" i="2" a="1"/>
  <c r="L905" i="2" s="1"/>
  <c r="M906" i="2" a="1"/>
  <c r="M906" i="2" s="1"/>
  <c r="M907" i="2" a="1"/>
  <c r="M907" i="2" s="1"/>
  <c r="M908" i="2" a="1"/>
  <c r="M908" i="2" s="1"/>
  <c r="M910" i="2" a="1"/>
  <c r="M910" i="2" s="1"/>
  <c r="K912" i="2" a="1"/>
  <c r="K912" i="2" s="1"/>
  <c r="K913" i="2" a="1"/>
  <c r="K913" i="2" s="1"/>
  <c r="K914" i="2" a="1"/>
  <c r="K914" i="2" s="1"/>
  <c r="K916" i="2" a="1"/>
  <c r="K916" i="2" s="1"/>
  <c r="L917" i="2" a="1"/>
  <c r="L917" i="2" s="1"/>
  <c r="L918" i="2" a="1"/>
  <c r="L918" i="2" s="1"/>
  <c r="L919" i="2" a="1"/>
  <c r="L919" i="2" s="1"/>
  <c r="L921" i="2" a="1"/>
  <c r="L921" i="2" s="1"/>
  <c r="M922" i="2" a="1"/>
  <c r="M922" i="2" s="1"/>
  <c r="M923" i="2" a="1"/>
  <c r="M923" i="2" s="1"/>
  <c r="M924" i="2" a="1"/>
  <c r="M924" i="2" s="1"/>
  <c r="M926" i="2" a="1"/>
  <c r="M926" i="2" s="1"/>
  <c r="K928" i="2" a="1"/>
  <c r="K928" i="2" s="1"/>
  <c r="K929" i="2" a="1"/>
  <c r="K929" i="2" s="1"/>
  <c r="K930" i="2" a="1"/>
  <c r="K930" i="2" s="1"/>
  <c r="K932" i="2" a="1"/>
  <c r="K932" i="2" s="1"/>
  <c r="L933" i="2" a="1"/>
  <c r="L933" i="2" s="1"/>
  <c r="L934" i="2" a="1"/>
  <c r="L934" i="2" s="1"/>
  <c r="L935" i="2" a="1"/>
  <c r="L935" i="2" s="1"/>
  <c r="L937" i="2" a="1"/>
  <c r="L937" i="2" s="1"/>
  <c r="M938" i="2" a="1"/>
  <c r="M938" i="2" s="1"/>
  <c r="M939" i="2" a="1"/>
  <c r="M939" i="2" s="1"/>
  <c r="M940" i="2" a="1"/>
  <c r="M940" i="2" s="1"/>
  <c r="M942" i="2" a="1"/>
  <c r="M942" i="2" s="1"/>
  <c r="K944" i="2" a="1"/>
  <c r="K944" i="2" s="1"/>
  <c r="K945" i="2" a="1"/>
  <c r="K945" i="2" s="1"/>
  <c r="K946" i="2" a="1"/>
  <c r="K946" i="2" s="1"/>
  <c r="K948" i="2" a="1"/>
  <c r="K948" i="2" s="1"/>
  <c r="L949" i="2" a="1"/>
  <c r="L949" i="2" s="1"/>
  <c r="L950" i="2" a="1"/>
  <c r="L950" i="2" s="1"/>
  <c r="L951" i="2" a="1"/>
  <c r="L951" i="2" s="1"/>
  <c r="L953" i="2" a="1"/>
  <c r="L953" i="2" s="1"/>
  <c r="L954" i="2" a="1"/>
  <c r="L954" i="2" s="1"/>
  <c r="M955" i="2" a="1"/>
  <c r="M955" i="2" s="1"/>
  <c r="M956" i="2" a="1"/>
  <c r="M956" i="2" s="1"/>
  <c r="M957" i="2" a="1"/>
  <c r="M957" i="2" s="1"/>
  <c r="K960" i="2" a="1"/>
  <c r="K960" i="2" s="1"/>
  <c r="L961" i="2" a="1"/>
  <c r="L961" i="2" s="1"/>
  <c r="L963" i="2" a="1"/>
  <c r="L963" i="2" s="1"/>
  <c r="L964" i="2" a="1"/>
  <c r="L964" i="2" s="1"/>
  <c r="L965" i="2" a="1"/>
  <c r="L965" i="2" s="1"/>
  <c r="M966" i="2" a="1"/>
  <c r="M966" i="2" s="1"/>
  <c r="M968" i="2" a="1"/>
  <c r="M968" i="2" s="1"/>
  <c r="M969" i="2" a="1"/>
  <c r="M969" i="2" s="1"/>
  <c r="M970" i="2" a="1"/>
  <c r="M970" i="2" s="1"/>
  <c r="K972" i="2" a="1"/>
  <c r="K972" i="2" s="1"/>
  <c r="K974" i="2" a="1"/>
  <c r="K974" i="2" s="1"/>
  <c r="K975" i="2" a="1"/>
  <c r="K975" i="2" s="1"/>
  <c r="L976" i="2" a="1"/>
  <c r="L976" i="2" s="1"/>
  <c r="L978" i="2" a="1"/>
  <c r="L978" i="2" s="1"/>
  <c r="M979" i="2" a="1"/>
  <c r="M979" i="2" s="1"/>
  <c r="M980" i="2" a="1"/>
  <c r="M980" i="2" s="1"/>
  <c r="M981" i="2" a="1"/>
  <c r="M981" i="2" s="1"/>
  <c r="M983" i="2" a="1"/>
  <c r="M983" i="2" s="1"/>
  <c r="K985" i="2" a="1"/>
  <c r="K985" i="2" s="1"/>
  <c r="K986" i="2" a="1"/>
  <c r="K986" i="2" s="1"/>
  <c r="K987" i="2" a="1"/>
  <c r="K987" i="2" s="1"/>
  <c r="K989" i="2" a="1"/>
  <c r="K989" i="2" s="1"/>
  <c r="L990" i="2" a="1"/>
  <c r="L990" i="2" s="1"/>
  <c r="L991" i="2" a="1"/>
  <c r="L991" i="2" s="1"/>
  <c r="M992" i="2" a="1"/>
  <c r="M992" i="2" s="1"/>
  <c r="M993" i="2" a="1"/>
  <c r="M993" i="2" s="1"/>
  <c r="K995" i="2" a="1"/>
  <c r="K995" i="2" s="1"/>
  <c r="K997" i="2" a="1"/>
  <c r="K997" i="2" s="1"/>
  <c r="L998" i="2" a="1"/>
  <c r="L998" i="2" s="1"/>
  <c r="L999" i="2" a="1"/>
  <c r="L999" i="2" s="1"/>
  <c r="L1000" i="2" a="1"/>
  <c r="L1000" i="2" s="1"/>
  <c r="L1002" i="2" a="1"/>
  <c r="L1002" i="2" s="1"/>
  <c r="M1003" i="2" a="1"/>
  <c r="M1003" i="2" s="1"/>
  <c r="M1004" i="2" a="1"/>
  <c r="M1004" i="2" s="1"/>
  <c r="M1005" i="2" a="1"/>
  <c r="M1005" i="2" s="1"/>
  <c r="K1008" i="2" a="1"/>
  <c r="K1008" i="2" s="1"/>
  <c r="L1009" i="2" a="1"/>
  <c r="L1009" i="2" s="1"/>
  <c r="L1010" i="2" a="1"/>
  <c r="L1010" i="2" s="1"/>
  <c r="M1011" i="2" a="1"/>
  <c r="M1011" i="2" s="1"/>
  <c r="M1012" i="2" a="1"/>
  <c r="M1012" i="2" s="1"/>
  <c r="M1013" i="2" a="1"/>
  <c r="M1013" i="2" s="1"/>
  <c r="M1015" i="2" a="1"/>
  <c r="M1015" i="2" s="1"/>
  <c r="K1017" i="2" a="1"/>
  <c r="K1017" i="2" s="1"/>
  <c r="K1018" i="2" a="1"/>
  <c r="K1018" i="2" s="1"/>
  <c r="L1019" i="2" a="1"/>
  <c r="L1019" i="2" s="1"/>
  <c r="L1020" i="2" a="1"/>
  <c r="L1020" i="2" s="1"/>
  <c r="M1021" i="2" a="1"/>
  <c r="M1021" i="2" s="1"/>
  <c r="K1024" i="2" a="1"/>
  <c r="K1024" i="2" s="1"/>
  <c r="L1025" i="2" a="1"/>
  <c r="L1025" i="2" s="1"/>
  <c r="L1027" i="2" a="1"/>
  <c r="L1027" i="2" s="1"/>
  <c r="L1028" i="2" a="1"/>
  <c r="L1028" i="2" s="1"/>
  <c r="L1029" i="2" a="1"/>
  <c r="L1029" i="2" s="1"/>
  <c r="M1030" i="2" a="1"/>
  <c r="M1030" i="2" s="1"/>
  <c r="M1032" i="2" a="1"/>
  <c r="M1032" i="2" s="1"/>
  <c r="M1033" i="2" a="1"/>
  <c r="M1033" i="2" s="1"/>
  <c r="M1034" i="2" a="1"/>
  <c r="M1034" i="2" s="1"/>
  <c r="K1036" i="2" a="1"/>
  <c r="K1036" i="2" s="1"/>
  <c r="K1038" i="2" a="1"/>
  <c r="K1038" i="2" s="1"/>
  <c r="K1039" i="2" a="1"/>
  <c r="K1039" i="2" s="1"/>
  <c r="K1040" i="2" a="1"/>
  <c r="K1040" i="2" s="1"/>
  <c r="L1041" i="2" a="1"/>
  <c r="L1041" i="2" s="1"/>
  <c r="L1043" i="2" a="1"/>
  <c r="L1043" i="2" s="1"/>
  <c r="L1044" i="2" a="1"/>
  <c r="L1044" i="2" s="1"/>
  <c r="M1045" i="2" a="1"/>
  <c r="M1045" i="2" s="1"/>
  <c r="K1048" i="2" a="1"/>
  <c r="K1048" i="2" s="1"/>
  <c r="L1049" i="2" a="1"/>
  <c r="L1049" i="2" s="1"/>
  <c r="L1050" i="2" a="1"/>
  <c r="L1050" i="2" s="1"/>
  <c r="M1051" i="2" a="1"/>
  <c r="M1051" i="2" s="1"/>
  <c r="M1052" i="2" a="1"/>
  <c r="M1052" i="2" s="1"/>
  <c r="M1053" i="2" a="1"/>
  <c r="M1053" i="2" s="1"/>
  <c r="M1055" i="2" a="1"/>
  <c r="M1055" i="2" s="1"/>
  <c r="K1057" i="2" a="1"/>
  <c r="K1057" i="2" s="1"/>
  <c r="K1058" i="2" a="1"/>
  <c r="K1058" i="2" s="1"/>
  <c r="K1059" i="2" a="1"/>
  <c r="K1059" i="2" s="1"/>
  <c r="L1061" i="2" a="1"/>
  <c r="L1061" i="2" s="1"/>
  <c r="M1062" i="2" a="1"/>
  <c r="M1062" i="2" s="1"/>
  <c r="M1063" i="2" a="1"/>
  <c r="M1063" i="2" s="1"/>
  <c r="K1065" i="2" a="1"/>
  <c r="K1065" i="2" s="1"/>
  <c r="K1066" i="2" a="1"/>
  <c r="K1066" i="2" s="1"/>
  <c r="L1067" i="2" a="1"/>
  <c r="L1067" i="2" s="1"/>
  <c r="L1068" i="2" a="1"/>
  <c r="L1068" i="2" s="1"/>
  <c r="M1069" i="2" a="1"/>
  <c r="M1069" i="2" s="1"/>
  <c r="K1072" i="2" a="1"/>
  <c r="K1072" i="2" s="1"/>
  <c r="L1073" i="2" a="1"/>
  <c r="L1073" i="2" s="1"/>
  <c r="L1074" i="2" a="1"/>
  <c r="L1074" i="2" s="1"/>
  <c r="M1075" i="2" a="1"/>
  <c r="M1075" i="2" s="1"/>
  <c r="M1076" i="2" a="1"/>
  <c r="M1076" i="2" s="1"/>
  <c r="K1078" i="2" a="1"/>
  <c r="K1078" i="2" s="1"/>
  <c r="K1079" i="2" a="1"/>
  <c r="K1079" i="2" s="1"/>
  <c r="L1080" i="2" a="1"/>
  <c r="L1080" i="2" s="1"/>
  <c r="M1082" i="2" a="1"/>
  <c r="M1082" i="2" s="1"/>
  <c r="K1084" i="2" a="1"/>
  <c r="K1084" i="2" s="1"/>
  <c r="K1085" i="2" a="1"/>
  <c r="K1085" i="2" s="1"/>
  <c r="L1086" i="2" a="1"/>
  <c r="L1086" i="2" s="1"/>
  <c r="L1087" i="2" a="1"/>
  <c r="L1087" i="2" s="1"/>
  <c r="M1088" i="2" a="1"/>
  <c r="M1088" i="2" s="1"/>
  <c r="M1089" i="2" a="1"/>
  <c r="M1089" i="2" s="1"/>
  <c r="K1091" i="2" a="1"/>
  <c r="K1091" i="2" s="1"/>
  <c r="L1093" i="2" a="1"/>
  <c r="L1093" i="2" s="1"/>
  <c r="M1094" i="2" a="1"/>
  <c r="M1094" i="2" s="1"/>
  <c r="M1095" i="2" a="1"/>
  <c r="M1095" i="2" s="1"/>
  <c r="K1097" i="2" a="1"/>
  <c r="K1097" i="2" s="1"/>
  <c r="K1098" i="2" a="1"/>
  <c r="K1098" i="2" s="1"/>
  <c r="L1099" i="2" a="1"/>
  <c r="L1099" i="2" s="1"/>
  <c r="L1100" i="2" a="1"/>
  <c r="L1100" i="2" s="1"/>
  <c r="M1101" i="2" a="1"/>
  <c r="M1101" i="2" s="1"/>
  <c r="K1104" i="2" a="1"/>
  <c r="K1104" i="2" s="1"/>
  <c r="L1105" i="2" a="1"/>
  <c r="L1105" i="2" s="1"/>
  <c r="L1106" i="2" a="1"/>
  <c r="L1106" i="2" s="1"/>
  <c r="M1107" i="2" a="1"/>
  <c r="M1107" i="2" s="1"/>
  <c r="M1108" i="2" a="1"/>
  <c r="M1108" i="2" s="1"/>
  <c r="M1109" i="2" a="1"/>
  <c r="M1109" i="2" s="1"/>
  <c r="M1111" i="2" a="1"/>
  <c r="M1111" i="2" s="1"/>
  <c r="K1113" i="2" a="1"/>
  <c r="K1113" i="2" s="1"/>
  <c r="K1114" i="2" a="1"/>
  <c r="K1114" i="2" s="1"/>
  <c r="L1115" i="2" a="1"/>
  <c r="L1115" i="2" s="1"/>
  <c r="L1116" i="2" a="1"/>
  <c r="L1116" i="2" s="1"/>
  <c r="M1117" i="2" a="1"/>
  <c r="M1117" i="2" s="1"/>
  <c r="K1120" i="2" a="1"/>
  <c r="K1120" i="2" s="1"/>
  <c r="L1121" i="2" a="1"/>
  <c r="L1121" i="2" s="1"/>
  <c r="L1122" i="2" a="1"/>
  <c r="L1122" i="2" s="1"/>
  <c r="M1123" i="2" a="1"/>
  <c r="M1123" i="2" s="1"/>
  <c r="M1124" i="2" a="1"/>
  <c r="M1124" i="2" s="1"/>
  <c r="K1126" i="2" a="1"/>
  <c r="K1126" i="2" s="1"/>
  <c r="K1127" i="2" a="1"/>
  <c r="K1127" i="2" s="1"/>
  <c r="L1128" i="2" a="1"/>
  <c r="L1128" i="2" s="1"/>
  <c r="M1130" i="2" a="1"/>
  <c r="M1130" i="2" s="1"/>
  <c r="K1132" i="2" a="1"/>
  <c r="K1132" i="2" s="1"/>
  <c r="K1133" i="2" a="1"/>
  <c r="K1133" i="2" s="1"/>
  <c r="L1134" i="2" a="1"/>
  <c r="L1134" i="2" s="1"/>
  <c r="L1135" i="2" a="1"/>
  <c r="L1135" i="2" s="1"/>
  <c r="M1136" i="2" a="1"/>
  <c r="M1136" i="2" s="1"/>
  <c r="M1137" i="2" a="1"/>
  <c r="M1137" i="2" s="1"/>
  <c r="K1139" i="2" a="1"/>
  <c r="K1139" i="2" s="1"/>
  <c r="L1141" i="2" a="1"/>
  <c r="L1141" i="2" s="1"/>
  <c r="M1142" i="2" a="1"/>
  <c r="M1142" i="2" s="1"/>
  <c r="M1143" i="2" a="1"/>
  <c r="M1143" i="2" s="1"/>
  <c r="K1145" i="2" a="1"/>
  <c r="K1145" i="2" s="1"/>
  <c r="K1146" i="2" a="1"/>
  <c r="K1146" i="2" s="1"/>
  <c r="L1147" i="2" a="1"/>
  <c r="L1147" i="2" s="1"/>
  <c r="L1148" i="2" a="1"/>
  <c r="L1148" i="2" s="1"/>
  <c r="M1149" i="2" a="1"/>
  <c r="M1149" i="2" s="1"/>
  <c r="K1152" i="2" a="1"/>
  <c r="K1152" i="2" s="1"/>
  <c r="L1153" i="2" a="1"/>
  <c r="L1153" i="2" s="1"/>
  <c r="L1154" i="2" a="1"/>
  <c r="L1154" i="2" s="1"/>
  <c r="M1155" i="2" a="1"/>
  <c r="M1155" i="2" s="1"/>
  <c r="M1156" i="2" a="1"/>
  <c r="M1156" i="2" s="1"/>
  <c r="K1158" i="2" a="1"/>
  <c r="K1158" i="2" s="1"/>
  <c r="K1159" i="2" a="1"/>
  <c r="K1159" i="2" s="1"/>
  <c r="L1160" i="2" a="1"/>
  <c r="L1160" i="2" s="1"/>
  <c r="M1162" i="2" a="1"/>
  <c r="M1162" i="2" s="1"/>
  <c r="K1164" i="2" a="1"/>
  <c r="K1164" i="2" s="1"/>
  <c r="K1165" i="2" a="1"/>
  <c r="K1165" i="2" s="1"/>
  <c r="L1166" i="2" a="1"/>
  <c r="L1166" i="2" s="1"/>
  <c r="L1167" i="2" a="1"/>
  <c r="L1167" i="2" s="1"/>
  <c r="M1168" i="2" a="1"/>
  <c r="M1168" i="2" s="1"/>
  <c r="M1169" i="2" a="1"/>
  <c r="M1169" i="2" s="1"/>
  <c r="K1171" i="2" a="1"/>
  <c r="K1171" i="2" s="1"/>
  <c r="L1173" i="2" a="1"/>
  <c r="L1173" i="2" s="1"/>
  <c r="M1174" i="2" a="1"/>
  <c r="M1174" i="2" s="1"/>
  <c r="M1175" i="2" a="1"/>
  <c r="M1175" i="2" s="1"/>
  <c r="K1177" i="2" a="1"/>
  <c r="K1177" i="2" s="1"/>
  <c r="K1178" i="2" a="1"/>
  <c r="K1178" i="2" s="1"/>
  <c r="L1179" i="2" a="1"/>
  <c r="L1179" i="2" s="1"/>
  <c r="L1180" i="2" a="1"/>
  <c r="L1180" i="2" s="1"/>
  <c r="M1181" i="2" a="1"/>
  <c r="M1181" i="2" s="1"/>
  <c r="K1184" i="2" a="1"/>
  <c r="K1184" i="2" s="1"/>
  <c r="L1185" i="2" a="1"/>
  <c r="L1185" i="2" s="1"/>
  <c r="L1186" i="2" a="1"/>
  <c r="L1186" i="2" s="1"/>
  <c r="M1187" i="2" a="1"/>
  <c r="M1187" i="2" s="1"/>
  <c r="M1188" i="2" a="1"/>
  <c r="M1188" i="2" s="1"/>
  <c r="M1189" i="2" a="1"/>
  <c r="M1189" i="2" s="1"/>
  <c r="K1192" i="2" a="1"/>
  <c r="K1192" i="2" s="1"/>
  <c r="L1193" i="2" a="1"/>
  <c r="L1193" i="2" s="1"/>
  <c r="L1195" i="2" a="1"/>
  <c r="L1195" i="2" s="1"/>
  <c r="L1196" i="2" a="1"/>
  <c r="L1196" i="2" s="1"/>
  <c r="M1197" i="2" a="1"/>
  <c r="M1197" i="2" s="1"/>
  <c r="K1200" i="2" a="1"/>
  <c r="K1200" i="2" s="1"/>
  <c r="L1201" i="2" a="1"/>
  <c r="L1201" i="2" s="1"/>
  <c r="L1202" i="2" a="1"/>
  <c r="L1202" i="2" s="1"/>
  <c r="M1203" i="2" a="1"/>
  <c r="M1203" i="2" s="1"/>
  <c r="M1204" i="2" a="1"/>
  <c r="M1204" i="2" s="1"/>
  <c r="K1206" i="2" a="1"/>
  <c r="K1206" i="2" s="1"/>
  <c r="K1207" i="2" a="1"/>
  <c r="K1207" i="2" s="1"/>
  <c r="L1208" i="2" a="1"/>
  <c r="L1208" i="2" s="1"/>
  <c r="M1210" i="2" a="1"/>
  <c r="M1210" i="2" s="1"/>
  <c r="K1212" i="2" a="1"/>
  <c r="K1212" i="2" s="1"/>
  <c r="K1213" i="2" a="1"/>
  <c r="K1213" i="2" s="1"/>
  <c r="L1214" i="2" a="1"/>
  <c r="L1214" i="2" s="1"/>
  <c r="L1215" i="2" a="1"/>
  <c r="L1215" i="2" s="1"/>
  <c r="M1216" i="2" a="1"/>
  <c r="M1216" i="2" s="1"/>
  <c r="M1217" i="2" a="1"/>
  <c r="M1217" i="2" s="1"/>
  <c r="K1219" i="2" a="1"/>
  <c r="K1219" i="2" s="1"/>
  <c r="L1221" i="2" a="1"/>
  <c r="L1221" i="2" s="1"/>
  <c r="M1222" i="2" a="1"/>
  <c r="M1222" i="2" s="1"/>
  <c r="M1223" i="2" a="1"/>
  <c r="M1223" i="2" s="1"/>
  <c r="K1225" i="2" a="1"/>
  <c r="K1225" i="2" s="1"/>
  <c r="K1226" i="2" a="1"/>
  <c r="K1226" i="2" s="1"/>
  <c r="K1227" i="2" a="1"/>
  <c r="K1227" i="2" s="1"/>
  <c r="K1229" i="2" a="1"/>
  <c r="K1229" i="2" s="1"/>
  <c r="L1230" i="2" a="1"/>
  <c r="L1230" i="2" s="1"/>
  <c r="L1231" i="2" a="1"/>
  <c r="L1231" i="2" s="1"/>
  <c r="L1232" i="2" a="1"/>
  <c r="L1232" i="2" s="1"/>
  <c r="L1234" i="2" a="1"/>
  <c r="L1234" i="2" s="1"/>
  <c r="M1235" i="2" a="1"/>
  <c r="M1235" i="2" s="1"/>
  <c r="M1236" i="2" a="1"/>
  <c r="M1236" i="2" s="1"/>
  <c r="M1237" i="2" a="1"/>
  <c r="M1237" i="2" s="1"/>
  <c r="K1240" i="2" a="1"/>
  <c r="K1240" i="2" s="1"/>
  <c r="L1241" i="2" a="1"/>
  <c r="L1241" i="2" s="1"/>
  <c r="L1242" i="2" a="1"/>
  <c r="L1242" i="2" s="1"/>
  <c r="M1243" i="2" a="1"/>
  <c r="M1243" i="2" s="1"/>
  <c r="M1244" i="2" a="1"/>
  <c r="M1244" i="2" s="1"/>
  <c r="M1245" i="2" a="1"/>
  <c r="M1245" i="2" s="1"/>
  <c r="M1247" i="2" a="1"/>
  <c r="M1247" i="2" s="1"/>
  <c r="K1249" i="2" a="1"/>
  <c r="K1249" i="2" s="1"/>
  <c r="K1250" i="2" a="1"/>
  <c r="K1250" i="2" s="1"/>
  <c r="L1251" i="2" a="1"/>
  <c r="L1251" i="2" s="1"/>
  <c r="L1252" i="2" a="1"/>
  <c r="L1252" i="2" s="1"/>
  <c r="L1253" i="2" a="1"/>
  <c r="L1253" i="2" s="1"/>
  <c r="M1254" i="2" a="1"/>
  <c r="M1254" i="2" s="1"/>
  <c r="M1256" i="2" a="1"/>
  <c r="M1256" i="2" s="1"/>
  <c r="M1257" i="2" a="1"/>
  <c r="M1257" i="2" s="1"/>
  <c r="M1258" i="2" a="1"/>
  <c r="M1258" i="2" s="1"/>
  <c r="K1260" i="2" a="1"/>
  <c r="K1260" i="2" s="1"/>
  <c r="K1262" i="2" a="1"/>
  <c r="K1262" i="2" s="1"/>
  <c r="K1263" i="2" a="1"/>
  <c r="K1263" i="2" s="1"/>
  <c r="L1264" i="2" a="1"/>
  <c r="L1264" i="2" s="1"/>
  <c r="L1266" i="2" a="1"/>
  <c r="L1266" i="2" s="1"/>
  <c r="M1267" i="2" a="1"/>
  <c r="M1267" i="2" s="1"/>
  <c r="M1268" i="2" a="1"/>
  <c r="M1268" i="2" s="1"/>
  <c r="M1269" i="2" a="1"/>
  <c r="M1269" i="2" s="1"/>
  <c r="M1271" i="2" a="1"/>
  <c r="M1271" i="2" s="1"/>
  <c r="K1273" i="2" a="1"/>
  <c r="K1273" i="2" s="1"/>
  <c r="K1274" i="2" a="1"/>
  <c r="K1274" i="2" s="1"/>
  <c r="K1275" i="2" a="1"/>
  <c r="K1275" i="2" s="1"/>
  <c r="K1277" i="2" a="1"/>
  <c r="K1277" i="2" s="1"/>
  <c r="L1278" i="2" a="1"/>
  <c r="L1278" i="2" s="1"/>
  <c r="L1279" i="2" a="1"/>
  <c r="L1279" i="2" s="1"/>
  <c r="L1280" i="2" a="1"/>
  <c r="L1280" i="2" s="1"/>
  <c r="L1282" i="2" a="1"/>
  <c r="L1282" i="2" s="1"/>
  <c r="M1283" i="2" a="1"/>
  <c r="M1283" i="2" s="1"/>
  <c r="M1284" i="2" a="1"/>
  <c r="M1284" i="2" s="1"/>
  <c r="M1285" i="2" a="1"/>
  <c r="M1285" i="2" s="1"/>
  <c r="M1287" i="2" a="1"/>
  <c r="M1287" i="2" s="1"/>
  <c r="K1289" i="2" a="1"/>
  <c r="K1289" i="2" s="1"/>
  <c r="K1290" i="2" a="1"/>
  <c r="K1290" i="2" s="1"/>
  <c r="K1291" i="2" a="1"/>
  <c r="K1291" i="2" s="1"/>
  <c r="K1293" i="2" a="1"/>
  <c r="K1293" i="2" s="1"/>
  <c r="L1294" i="2" a="1"/>
  <c r="L1294" i="2" s="1"/>
  <c r="L1295" i="2" a="1"/>
  <c r="L1295" i="2" s="1"/>
  <c r="L1296" i="2" a="1"/>
  <c r="L1296" i="2" s="1"/>
  <c r="L1298" i="2" a="1"/>
  <c r="L1298" i="2" s="1"/>
  <c r="M1299" i="2" a="1"/>
  <c r="M1299" i="2" s="1"/>
  <c r="M1300" i="2" a="1"/>
  <c r="M1300" i="2" s="1"/>
  <c r="M1301" i="2" a="1"/>
  <c r="M1301" i="2" s="1"/>
  <c r="M1303" i="2" a="1"/>
  <c r="M1303" i="2" s="1"/>
  <c r="M515" i="2" a="1"/>
  <c r="M515" i="2" s="1"/>
  <c r="M516" i="2" a="1"/>
  <c r="M516" i="2" s="1"/>
  <c r="M517" i="2" a="1"/>
  <c r="M517" i="2" s="1"/>
  <c r="K520" i="2" a="1"/>
  <c r="K520" i="2" s="1"/>
  <c r="K521" i="2" a="1"/>
  <c r="K521" i="2" s="1"/>
  <c r="K522" i="2" a="1"/>
  <c r="K522" i="2" s="1"/>
  <c r="K523" i="2" a="1"/>
  <c r="K523" i="2" s="1"/>
  <c r="L525" i="2" a="1"/>
  <c r="L525" i="2" s="1"/>
  <c r="L526" i="2" a="1"/>
  <c r="L526" i="2" s="1"/>
  <c r="L527" i="2" a="1"/>
  <c r="L527" i="2" s="1"/>
  <c r="L528" i="2" a="1"/>
  <c r="L528" i="2" s="1"/>
  <c r="M530" i="2" a="1"/>
  <c r="M530" i="2" s="1"/>
  <c r="M531" i="2" a="1"/>
  <c r="M531" i="2" s="1"/>
  <c r="M532" i="2" a="1"/>
  <c r="M532" i="2" s="1"/>
  <c r="M533" i="2" a="1"/>
  <c r="M533" i="2" s="1"/>
  <c r="K535" i="2" a="1"/>
  <c r="K535" i="2" s="1"/>
  <c r="L537" i="2" a="1"/>
  <c r="L537" i="2" s="1"/>
  <c r="M538" i="2" a="1"/>
  <c r="M538" i="2" s="1"/>
  <c r="M539" i="2" a="1"/>
  <c r="M539" i="2" s="1"/>
  <c r="K541" i="2" a="1"/>
  <c r="K541" i="2" s="1"/>
  <c r="K542" i="2" a="1"/>
  <c r="K542" i="2" s="1"/>
  <c r="L543" i="2" a="1"/>
  <c r="L543" i="2" s="1"/>
  <c r="L544" i="2" a="1"/>
  <c r="L544" i="2" s="1"/>
  <c r="M545" i="2" a="1"/>
  <c r="M545" i="2" s="1"/>
  <c r="K548" i="2" a="1"/>
  <c r="K548" i="2" s="1"/>
  <c r="L549" i="2" a="1"/>
  <c r="L549" i="2" s="1"/>
  <c r="L550" i="2" a="1"/>
  <c r="L550" i="2" s="1"/>
  <c r="M551" i="2" a="1"/>
  <c r="M551" i="2" s="1"/>
  <c r="M552" i="2" a="1"/>
  <c r="M552" i="2" s="1"/>
  <c r="M553" i="2" a="1"/>
  <c r="M553" i="2" s="1"/>
  <c r="K556" i="2" a="1"/>
  <c r="K556" i="2" s="1"/>
  <c r="L557" i="2" a="1"/>
  <c r="L557" i="2" s="1"/>
  <c r="L558" i="2" a="1"/>
  <c r="L558" i="2" s="1"/>
  <c r="L559" i="2" a="1"/>
  <c r="L559" i="2" s="1"/>
  <c r="L560" i="2" a="1"/>
  <c r="L560" i="2" s="1"/>
  <c r="M562" i="2" a="1"/>
  <c r="M562" i="2" s="1"/>
  <c r="M563" i="2" a="1"/>
  <c r="M563" i="2" s="1"/>
  <c r="M564" i="2" a="1"/>
  <c r="M564" i="2" s="1"/>
  <c r="M565" i="2" a="1"/>
  <c r="M565" i="2" s="1"/>
  <c r="K568" i="2" a="1"/>
  <c r="K568" i="2" s="1"/>
  <c r="K569" i="2" a="1"/>
  <c r="K569" i="2" s="1"/>
  <c r="K570" i="2" a="1"/>
  <c r="K570" i="2" s="1"/>
  <c r="K571" i="2" a="1"/>
  <c r="K571" i="2" s="1"/>
  <c r="L573" i="2" a="1"/>
  <c r="L573" i="2" s="1"/>
  <c r="L574" i="2" a="1"/>
  <c r="L574" i="2" s="1"/>
  <c r="M575" i="2" a="1"/>
  <c r="M575" i="2" s="1"/>
  <c r="M576" i="2" a="1"/>
  <c r="M576" i="2" s="1"/>
  <c r="M577" i="2" a="1"/>
  <c r="M577" i="2" s="1"/>
  <c r="K580" i="2" a="1"/>
  <c r="K580" i="2" s="1"/>
  <c r="L581" i="2" a="1"/>
  <c r="L581" i="2" s="1"/>
  <c r="L582" i="2" a="1"/>
  <c r="L582" i="2" s="1"/>
  <c r="L583" i="2" a="1"/>
  <c r="L583" i="2" s="1"/>
  <c r="L584" i="2" a="1"/>
  <c r="L584" i="2" s="1"/>
  <c r="M586" i="2" a="1"/>
  <c r="M586" i="2" s="1"/>
  <c r="M587" i="2" a="1"/>
  <c r="M587" i="2" s="1"/>
  <c r="M588" i="2" a="1"/>
  <c r="M588" i="2" s="1"/>
  <c r="M589" i="2" a="1"/>
  <c r="M589" i="2" s="1"/>
  <c r="K592" i="2" a="1"/>
  <c r="K592" i="2" s="1"/>
  <c r="K593" i="2" a="1"/>
  <c r="K593" i="2" s="1"/>
  <c r="L594" i="2" a="1"/>
  <c r="L594" i="2" s="1"/>
  <c r="L595" i="2" a="1"/>
  <c r="L595" i="2" s="1"/>
  <c r="L596" i="2" a="1"/>
  <c r="L596" i="2" s="1"/>
  <c r="M598" i="2" a="1"/>
  <c r="M598" i="2" s="1"/>
  <c r="K600" i="2" a="1"/>
  <c r="K600" i="2" s="1"/>
  <c r="K601" i="2" a="1"/>
  <c r="K601" i="2" s="1"/>
  <c r="K602" i="2" a="1"/>
  <c r="K602" i="2" s="1"/>
  <c r="K603" i="2" a="1"/>
  <c r="K603" i="2" s="1"/>
  <c r="L605" i="2" a="1"/>
  <c r="L605" i="2" s="1"/>
  <c r="L606" i="2" a="1"/>
  <c r="L606" i="2" s="1"/>
  <c r="L607" i="2" a="1"/>
  <c r="L607" i="2" s="1"/>
  <c r="L608" i="2" a="1"/>
  <c r="L608" i="2" s="1"/>
  <c r="M610" i="2" a="1"/>
  <c r="M610" i="2" s="1"/>
  <c r="M611" i="2" a="1"/>
  <c r="M611" i="2" s="1"/>
  <c r="M612" i="2" a="1"/>
  <c r="M612" i="2" s="1"/>
  <c r="M613" i="2" a="1"/>
  <c r="M613" i="2" s="1"/>
  <c r="K616" i="2" a="1"/>
  <c r="K616" i="2" s="1"/>
  <c r="K617" i="2" a="1"/>
  <c r="K617" i="2" s="1"/>
  <c r="K618" i="2" a="1"/>
  <c r="K618" i="2" s="1"/>
  <c r="K619" i="2" a="1"/>
  <c r="K619" i="2" s="1"/>
  <c r="L621" i="2" a="1"/>
  <c r="L621" i="2" s="1"/>
  <c r="L622" i="2" a="1"/>
  <c r="L622" i="2" s="1"/>
  <c r="L623" i="2" a="1"/>
  <c r="L623" i="2" s="1"/>
  <c r="L624" i="2" a="1"/>
  <c r="L624" i="2" s="1"/>
  <c r="M625" i="2" a="1"/>
  <c r="M625" i="2" s="1"/>
  <c r="K628" i="2" a="1"/>
  <c r="K628" i="2" s="1"/>
  <c r="L629" i="2" a="1"/>
  <c r="L629" i="2" s="1"/>
  <c r="M630" i="2" a="1"/>
  <c r="M630" i="2" s="1"/>
  <c r="K632" i="2" a="1"/>
  <c r="K632" i="2" s="1"/>
  <c r="L633" i="2" a="1"/>
  <c r="L633" i="2" s="1"/>
  <c r="M634" i="2" a="1"/>
  <c r="M634" i="2" s="1"/>
  <c r="K636" i="2" a="1"/>
  <c r="K636" i="2" s="1"/>
  <c r="L637" i="2" a="1"/>
  <c r="L637" i="2" s="1"/>
  <c r="M638" i="2" a="1"/>
  <c r="M638" i="2" s="1"/>
  <c r="K640" i="2" a="1"/>
  <c r="K640" i="2" s="1"/>
  <c r="L641" i="2" a="1"/>
  <c r="L641" i="2" s="1"/>
  <c r="M642" i="2" a="1"/>
  <c r="M642" i="2" s="1"/>
  <c r="K644" i="2" a="1"/>
  <c r="K644" i="2" s="1"/>
  <c r="L645" i="2" a="1"/>
  <c r="L645" i="2" s="1"/>
  <c r="M646" i="2" a="1"/>
  <c r="M646" i="2" s="1"/>
  <c r="K648" i="2" a="1"/>
  <c r="K648" i="2" s="1"/>
  <c r="L649" i="2" a="1"/>
  <c r="L649" i="2" s="1"/>
  <c r="M650" i="2" a="1"/>
  <c r="M650" i="2" s="1"/>
  <c r="K652" i="2" a="1"/>
  <c r="K652" i="2" s="1"/>
  <c r="L653" i="2" a="1"/>
  <c r="L653" i="2" s="1"/>
  <c r="M654" i="2" a="1"/>
  <c r="M654" i="2" s="1"/>
  <c r="K656" i="2" a="1"/>
  <c r="K656" i="2" s="1"/>
  <c r="L657" i="2" a="1"/>
  <c r="L657" i="2" s="1"/>
  <c r="M658" i="2" a="1"/>
  <c r="M658" i="2" s="1"/>
  <c r="K660" i="2" a="1"/>
  <c r="K660" i="2" s="1"/>
  <c r="L661" i="2" a="1"/>
  <c r="L661" i="2" s="1"/>
  <c r="M662" i="2" a="1"/>
  <c r="M662" i="2" s="1"/>
  <c r="K664" i="2" a="1"/>
  <c r="K664" i="2" s="1"/>
  <c r="L665" i="2" a="1"/>
  <c r="L665" i="2" s="1"/>
  <c r="M666" i="2" a="1"/>
  <c r="M666" i="2" s="1"/>
  <c r="K668" i="2" a="1"/>
  <c r="K668" i="2" s="1"/>
  <c r="L669" i="2" a="1"/>
  <c r="L669" i="2" s="1"/>
  <c r="M670" i="2" a="1"/>
  <c r="M670" i="2" s="1"/>
  <c r="K672" i="2" a="1"/>
  <c r="K672" i="2" s="1"/>
  <c r="L673" i="2" a="1"/>
  <c r="L673" i="2" s="1"/>
  <c r="M674" i="2" a="1"/>
  <c r="M674" i="2" s="1"/>
  <c r="K676" i="2" a="1"/>
  <c r="K676" i="2" s="1"/>
  <c r="L677" i="2" a="1"/>
  <c r="L677" i="2" s="1"/>
  <c r="M678" i="2" a="1"/>
  <c r="M678" i="2" s="1"/>
  <c r="K680" i="2" a="1"/>
  <c r="K680" i="2" s="1"/>
  <c r="L681" i="2" a="1"/>
  <c r="L681" i="2" s="1"/>
  <c r="M682" i="2" a="1"/>
  <c r="M682" i="2" s="1"/>
  <c r="K684" i="2" a="1"/>
  <c r="K684" i="2" s="1"/>
  <c r="L685" i="2" a="1"/>
  <c r="L685" i="2" s="1"/>
  <c r="M686" i="2" a="1"/>
  <c r="M686" i="2" s="1"/>
  <c r="K688" i="2" a="1"/>
  <c r="K688" i="2" s="1"/>
  <c r="L689" i="2" a="1"/>
  <c r="L689" i="2" s="1"/>
  <c r="M690" i="2" a="1"/>
  <c r="M690" i="2" s="1"/>
  <c r="K692" i="2" a="1"/>
  <c r="K692" i="2" s="1"/>
  <c r="L693" i="2" a="1"/>
  <c r="L693" i="2" s="1"/>
  <c r="M694" i="2" a="1"/>
  <c r="M694" i="2" s="1"/>
  <c r="K696" i="2" a="1"/>
  <c r="K696" i="2" s="1"/>
  <c r="L697" i="2" a="1"/>
  <c r="L697" i="2" s="1"/>
  <c r="M698" i="2" a="1"/>
  <c r="M698" i="2" s="1"/>
  <c r="K700" i="2" a="1"/>
  <c r="K700" i="2" s="1"/>
  <c r="L701" i="2" a="1"/>
  <c r="L701" i="2" s="1"/>
  <c r="M702" i="2" a="1"/>
  <c r="M702" i="2" s="1"/>
  <c r="K704" i="2" a="1"/>
  <c r="K704" i="2" s="1"/>
  <c r="L705" i="2" a="1"/>
  <c r="L705" i="2" s="1"/>
  <c r="M706" i="2" a="1"/>
  <c r="M706" i="2" s="1"/>
  <c r="K708" i="2" a="1"/>
  <c r="K708" i="2" s="1"/>
  <c r="L709" i="2" a="1"/>
  <c r="L709" i="2" s="1"/>
  <c r="M710" i="2" a="1"/>
  <c r="M710" i="2" s="1"/>
  <c r="K712" i="2" a="1"/>
  <c r="K712" i="2" s="1"/>
  <c r="L713" i="2" a="1"/>
  <c r="L713" i="2" s="1"/>
  <c r="M714" i="2" a="1"/>
  <c r="M714" i="2" s="1"/>
  <c r="K716" i="2" a="1"/>
  <c r="K716" i="2" s="1"/>
  <c r="L717" i="2" a="1"/>
  <c r="L717" i="2" s="1"/>
  <c r="M718" i="2" a="1"/>
  <c r="M718" i="2" s="1"/>
  <c r="K720" i="2" a="1"/>
  <c r="K720" i="2" s="1"/>
  <c r="L721" i="2" a="1"/>
  <c r="L721" i="2" s="1"/>
  <c r="M722" i="2" a="1"/>
  <c r="M722" i="2" s="1"/>
  <c r="K724" i="2" a="1"/>
  <c r="K724" i="2" s="1"/>
  <c r="L725" i="2" a="1"/>
  <c r="L725" i="2" s="1"/>
  <c r="M727" i="2" a="1"/>
  <c r="M727" i="2" s="1"/>
  <c r="M728" i="2" a="1"/>
  <c r="M728" i="2" s="1"/>
  <c r="K730" i="2" a="1"/>
  <c r="K730" i="2" s="1"/>
  <c r="L732" i="2" a="1"/>
  <c r="L732" i="2" s="1"/>
  <c r="M733" i="2" a="1"/>
  <c r="M733" i="2" s="1"/>
  <c r="M734" i="2" a="1"/>
  <c r="M734" i="2" s="1"/>
  <c r="K736" i="2" a="1"/>
  <c r="K736" i="2" s="1"/>
  <c r="K737" i="2" a="1"/>
  <c r="K737" i="2" s="1"/>
  <c r="L738" i="2" a="1"/>
  <c r="L738" i="2" s="1"/>
  <c r="L739" i="2" a="1"/>
  <c r="L739" i="2" s="1"/>
  <c r="M740" i="2" a="1"/>
  <c r="M740" i="2" s="1"/>
  <c r="K743" i="2" a="1"/>
  <c r="K743" i="2" s="1"/>
  <c r="L744" i="2" a="1"/>
  <c r="L744" i="2" s="1"/>
  <c r="L745" i="2" a="1"/>
  <c r="L745" i="2" s="1"/>
  <c r="M746" i="2" a="1"/>
  <c r="M746" i="2" s="1"/>
  <c r="M747" i="2" a="1"/>
  <c r="M747" i="2" s="1"/>
  <c r="K749" i="2" a="1"/>
  <c r="K749" i="2" s="1"/>
  <c r="K750" i="2" a="1"/>
  <c r="K750" i="2" s="1"/>
  <c r="L751" i="2" a="1"/>
  <c r="L751" i="2" s="1"/>
  <c r="M753" i="2" a="1"/>
  <c r="M753" i="2" s="1"/>
  <c r="K755" i="2" a="1"/>
  <c r="K755" i="2" s="1"/>
  <c r="K756" i="2" a="1"/>
  <c r="K756" i="2" s="1"/>
  <c r="L757" i="2" a="1"/>
  <c r="L757" i="2" s="1"/>
  <c r="L758" i="2" a="1"/>
  <c r="L758" i="2" s="1"/>
  <c r="M759" i="2" a="1"/>
  <c r="M759" i="2" s="1"/>
  <c r="M760" i="2" a="1"/>
  <c r="M760" i="2" s="1"/>
  <c r="K762" i="2" a="1"/>
  <c r="K762" i="2" s="1"/>
  <c r="L764" i="2" a="1"/>
  <c r="L764" i="2" s="1"/>
  <c r="M765" i="2" a="1"/>
  <c r="M765" i="2" s="1"/>
  <c r="M766" i="2" a="1"/>
  <c r="M766" i="2" s="1"/>
  <c r="K768" i="2" a="1"/>
  <c r="K768" i="2" s="1"/>
  <c r="K769" i="2" a="1"/>
  <c r="K769" i="2" s="1"/>
  <c r="L770" i="2" a="1"/>
  <c r="L770" i="2" s="1"/>
  <c r="L771" i="2" a="1"/>
  <c r="L771" i="2" s="1"/>
  <c r="M772" i="2" a="1"/>
  <c r="M772" i="2" s="1"/>
  <c r="K775" i="2" a="1"/>
  <c r="K775" i="2" s="1"/>
  <c r="L776" i="2" a="1"/>
  <c r="L776" i="2" s="1"/>
  <c r="L777" i="2" a="1"/>
  <c r="L777" i="2" s="1"/>
  <c r="M778" i="2" a="1"/>
  <c r="M778" i="2" s="1"/>
  <c r="M779" i="2" a="1"/>
  <c r="M779" i="2" s="1"/>
  <c r="K781" i="2" a="1"/>
  <c r="K781" i="2" s="1"/>
  <c r="K782" i="2" a="1"/>
  <c r="K782" i="2" s="1"/>
  <c r="L783" i="2" a="1"/>
  <c r="L783" i="2" s="1"/>
  <c r="M785" i="2" a="1"/>
  <c r="M785" i="2" s="1"/>
  <c r="K787" i="2" a="1"/>
  <c r="K787" i="2" s="1"/>
  <c r="K788" i="2" a="1"/>
  <c r="K788" i="2" s="1"/>
  <c r="L789" i="2" a="1"/>
  <c r="L789" i="2" s="1"/>
  <c r="L790" i="2" a="1"/>
  <c r="L790" i="2" s="1"/>
  <c r="M791" i="2" a="1"/>
  <c r="M791" i="2" s="1"/>
  <c r="M792" i="2" a="1"/>
  <c r="M792" i="2" s="1"/>
  <c r="K794" i="2" a="1"/>
  <c r="K794" i="2" s="1"/>
  <c r="L796" i="2" a="1"/>
  <c r="L796" i="2" s="1"/>
  <c r="M797" i="2" a="1"/>
  <c r="M797" i="2" s="1"/>
  <c r="M798" i="2" a="1"/>
  <c r="M798" i="2" s="1"/>
  <c r="K800" i="2" a="1"/>
  <c r="K800" i="2" s="1"/>
  <c r="K801" i="2" a="1"/>
  <c r="K801" i="2" s="1"/>
  <c r="L802" i="2" a="1"/>
  <c r="L802" i="2" s="1"/>
  <c r="L803" i="2" a="1"/>
  <c r="L803" i="2" s="1"/>
  <c r="M804" i="2" a="1"/>
  <c r="M804" i="2" s="1"/>
  <c r="K807" i="2" a="1"/>
  <c r="K807" i="2" s="1"/>
  <c r="L808" i="2" a="1"/>
  <c r="L808" i="2" s="1"/>
  <c r="M809" i="2" a="1"/>
  <c r="M809" i="2" s="1"/>
  <c r="K811" i="2" a="1"/>
  <c r="K811" i="2" s="1"/>
  <c r="K812" i="2" a="1"/>
  <c r="K812" i="2" s="1"/>
  <c r="L813" i="2" a="1"/>
  <c r="L813" i="2" s="1"/>
  <c r="L814" i="2" a="1"/>
  <c r="L814" i="2" s="1"/>
  <c r="M815" i="2" a="1"/>
  <c r="M815" i="2" s="1"/>
  <c r="K817" i="2" a="1"/>
  <c r="K817" i="2" s="1"/>
  <c r="L818" i="2" a="1"/>
  <c r="L818" i="2" s="1"/>
  <c r="L819" i="2" a="1"/>
  <c r="L819" i="2" s="1"/>
  <c r="M820" i="2" a="1"/>
  <c r="M820" i="2" s="1"/>
  <c r="K823" i="2" a="1"/>
  <c r="K823" i="2" s="1"/>
  <c r="L824" i="2" a="1"/>
  <c r="L824" i="2" s="1"/>
  <c r="L825" i="2" a="1"/>
  <c r="L825" i="2" s="1"/>
  <c r="M826" i="2" a="1"/>
  <c r="M826" i="2" s="1"/>
  <c r="K828" i="2" a="1"/>
  <c r="K828" i="2" s="1"/>
  <c r="L829" i="2" a="1"/>
  <c r="L829" i="2" s="1"/>
  <c r="L830" i="2" a="1"/>
  <c r="L830" i="2" s="1"/>
  <c r="M831" i="2" a="1"/>
  <c r="M831" i="2" s="1"/>
  <c r="K833" i="2" a="1"/>
  <c r="K833" i="2" s="1"/>
  <c r="L834" i="2" a="1"/>
  <c r="L834" i="2" s="1"/>
  <c r="L835" i="2" a="1"/>
  <c r="L835" i="2" s="1"/>
  <c r="M836" i="2" a="1"/>
  <c r="M836" i="2" s="1"/>
  <c r="K839" i="2" a="1"/>
  <c r="K839" i="2" s="1"/>
  <c r="L840" i="2" a="1"/>
  <c r="L840" i="2" s="1"/>
  <c r="L841" i="2" a="1"/>
  <c r="L841" i="2" s="1"/>
  <c r="M842" i="2" a="1"/>
  <c r="M842" i="2" s="1"/>
  <c r="M843" i="2" a="1"/>
  <c r="M843" i="2" s="1"/>
  <c r="K845" i="2" a="1"/>
  <c r="K845" i="2" s="1"/>
  <c r="L846" i="2" a="1"/>
  <c r="L846" i="2" s="1"/>
  <c r="M847" i="2" a="1"/>
  <c r="M847" i="2" s="1"/>
  <c r="M848" i="2" a="1"/>
  <c r="M848" i="2" s="1"/>
  <c r="K850" i="2" a="1"/>
  <c r="K850" i="2" s="1"/>
  <c r="L851" i="2" a="1"/>
  <c r="L851" i="2" s="1"/>
  <c r="M852" i="2" a="1"/>
  <c r="M852" i="2" s="1"/>
  <c r="K855" i="2" a="1"/>
  <c r="K855" i="2" s="1"/>
  <c r="L856" i="2" a="1"/>
  <c r="L856" i="2" s="1"/>
  <c r="L857" i="2" a="1"/>
  <c r="L857" i="2" s="1"/>
  <c r="M858" i="2" a="1"/>
  <c r="M858" i="2" s="1"/>
  <c r="K860" i="2" a="1"/>
  <c r="K860" i="2" s="1"/>
  <c r="L861" i="2" a="1"/>
  <c r="L861" i="2" s="1"/>
  <c r="M862" i="2" a="1"/>
  <c r="M862" i="2" s="1"/>
  <c r="K864" i="2" a="1"/>
  <c r="K864" i="2" s="1"/>
  <c r="K865" i="2" a="1"/>
  <c r="K865" i="2" s="1"/>
  <c r="L866" i="2" a="1"/>
  <c r="L866" i="2" s="1"/>
  <c r="L867" i="2" a="1"/>
  <c r="L867" i="2" s="1"/>
  <c r="M868" i="2" a="1"/>
  <c r="M868" i="2" s="1"/>
  <c r="K871" i="2" a="1"/>
  <c r="K871" i="2" s="1"/>
  <c r="L872" i="2" a="1"/>
  <c r="L872" i="2" s="1"/>
  <c r="L873" i="2" a="1"/>
  <c r="L873" i="2" s="1"/>
  <c r="M874" i="2" a="1"/>
  <c r="M874" i="2" s="1"/>
  <c r="M875" i="2" a="1"/>
  <c r="M875" i="2" s="1"/>
  <c r="K877" i="2" a="1"/>
  <c r="K877" i="2" s="1"/>
  <c r="K878" i="2" a="1"/>
  <c r="K878" i="2" s="1"/>
  <c r="L879" i="2" a="1"/>
  <c r="L879" i="2" s="1"/>
  <c r="M881" i="2" a="1"/>
  <c r="M881" i="2" s="1"/>
  <c r="K883" i="2" a="1"/>
  <c r="K883" i="2" s="1"/>
  <c r="K884" i="2" a="1"/>
  <c r="K884" i="2" s="1"/>
  <c r="L885" i="2" a="1"/>
  <c r="L885" i="2" s="1"/>
  <c r="L886" i="2" a="1"/>
  <c r="L886" i="2" s="1"/>
  <c r="M887" i="2" a="1"/>
  <c r="M887" i="2" s="1"/>
  <c r="M888" i="2" a="1"/>
  <c r="M888" i="2" s="1"/>
  <c r="M889" i="2" a="1"/>
  <c r="M889" i="2" s="1"/>
  <c r="K891" i="2" a="1"/>
  <c r="K891" i="2" s="1"/>
  <c r="K893" i="2" a="1"/>
  <c r="K893" i="2" s="1"/>
  <c r="K894" i="2" a="1"/>
  <c r="K894" i="2" s="1"/>
  <c r="K895" i="2" a="1"/>
  <c r="K895" i="2" s="1"/>
  <c r="L896" i="2" a="1"/>
  <c r="L896" i="2" s="1"/>
  <c r="L898" i="2" a="1"/>
  <c r="L898" i="2" s="1"/>
  <c r="L899" i="2" a="1"/>
  <c r="L899" i="2" s="1"/>
  <c r="L900" i="2" a="1"/>
  <c r="L900" i="2" s="1"/>
  <c r="M901" i="2" a="1"/>
  <c r="M901" i="2" s="1"/>
  <c r="M903" i="2" a="1"/>
  <c r="M903" i="2" s="1"/>
  <c r="M904" i="2" a="1"/>
  <c r="M904" i="2" s="1"/>
  <c r="M905" i="2" a="1"/>
  <c r="M905" i="2" s="1"/>
  <c r="K907" i="2" a="1"/>
  <c r="K907" i="2" s="1"/>
  <c r="K909" i="2" a="1"/>
  <c r="K909" i="2" s="1"/>
  <c r="K910" i="2" a="1"/>
  <c r="K910" i="2" s="1"/>
  <c r="K911" i="2" a="1"/>
  <c r="K911" i="2" s="1"/>
  <c r="L912" i="2" a="1"/>
  <c r="L912" i="2" s="1"/>
  <c r="L914" i="2" a="1"/>
  <c r="L914" i="2" s="1"/>
  <c r="L915" i="2" a="1"/>
  <c r="L915" i="2" s="1"/>
  <c r="L916" i="2" a="1"/>
  <c r="L916" i="2" s="1"/>
  <c r="M917" i="2" a="1"/>
  <c r="M917" i="2" s="1"/>
  <c r="M919" i="2" a="1"/>
  <c r="M919" i="2" s="1"/>
  <c r="M920" i="2" a="1"/>
  <c r="M920" i="2" s="1"/>
  <c r="M921" i="2" a="1"/>
  <c r="M921" i="2" s="1"/>
  <c r="K923" i="2" a="1"/>
  <c r="K923" i="2" s="1"/>
  <c r="K925" i="2" a="1"/>
  <c r="K925" i="2" s="1"/>
  <c r="K926" i="2" a="1"/>
  <c r="K926" i="2" s="1"/>
  <c r="K927" i="2" a="1"/>
  <c r="K927" i="2" s="1"/>
  <c r="L928" i="2" a="1"/>
  <c r="L928" i="2" s="1"/>
  <c r="L930" i="2" a="1"/>
  <c r="L930" i="2" s="1"/>
  <c r="L931" i="2" a="1"/>
  <c r="L931" i="2" s="1"/>
  <c r="L932" i="2" a="1"/>
  <c r="L932" i="2" s="1"/>
  <c r="M933" i="2" a="1"/>
  <c r="M933" i="2" s="1"/>
  <c r="M935" i="2" a="1"/>
  <c r="M935" i="2" s="1"/>
  <c r="M936" i="2" a="1"/>
  <c r="M936" i="2" s="1"/>
  <c r="M937" i="2" a="1"/>
  <c r="M937" i="2" s="1"/>
  <c r="K939" i="2" a="1"/>
  <c r="K939" i="2" s="1"/>
  <c r="K941" i="2" a="1"/>
  <c r="K941" i="2" s="1"/>
  <c r="K942" i="2" a="1"/>
  <c r="K942" i="2" s="1"/>
  <c r="K943" i="2" a="1"/>
  <c r="K943" i="2" s="1"/>
  <c r="L944" i="2" a="1"/>
  <c r="L944" i="2" s="1"/>
  <c r="L946" i="2" a="1"/>
  <c r="L946" i="2" s="1"/>
  <c r="L947" i="2" a="1"/>
  <c r="L947" i="2" s="1"/>
  <c r="L948" i="2" a="1"/>
  <c r="L948" i="2" s="1"/>
  <c r="M949" i="2" a="1"/>
  <c r="M949" i="2" s="1"/>
  <c r="M951" i="2" a="1"/>
  <c r="M951" i="2" s="1"/>
  <c r="M952" i="2" a="1"/>
  <c r="M952" i="2" s="1"/>
  <c r="M953" i="2" a="1"/>
  <c r="M953" i="2" s="1"/>
  <c r="M954" i="2" a="1"/>
  <c r="M954" i="2" s="1"/>
  <c r="K956" i="2" a="1"/>
  <c r="K956" i="2" s="1"/>
  <c r="K958" i="2" a="1"/>
  <c r="K958" i="2" s="1"/>
  <c r="K959" i="2" a="1"/>
  <c r="K959" i="2" s="1"/>
  <c r="L960" i="2" a="1"/>
  <c r="L960" i="2" s="1"/>
  <c r="L962" i="2" a="1"/>
  <c r="L962" i="2" s="1"/>
  <c r="M963" i="2" a="1"/>
  <c r="M963" i="2" s="1"/>
  <c r="M964" i="2" a="1"/>
  <c r="M964" i="2" s="1"/>
  <c r="M965" i="2" a="1"/>
  <c r="M965" i="2" s="1"/>
  <c r="M967" i="2" a="1"/>
  <c r="M967" i="2" s="1"/>
  <c r="K969" i="2" a="1"/>
  <c r="K969" i="2" s="1"/>
  <c r="K970" i="2" a="1"/>
  <c r="K970" i="2" s="1"/>
  <c r="K971" i="2" a="1"/>
  <c r="K971" i="2" s="1"/>
  <c r="K973" i="2" a="1"/>
  <c r="K973" i="2" s="1"/>
  <c r="L974" i="2" a="1"/>
  <c r="L974" i="2" s="1"/>
  <c r="L975" i="2" a="1"/>
  <c r="L975" i="2" s="1"/>
  <c r="M976" i="2" a="1"/>
  <c r="M976" i="2" s="1"/>
  <c r="M977" i="2" a="1"/>
  <c r="M977" i="2" s="1"/>
  <c r="M978" i="2" a="1"/>
  <c r="M978" i="2" s="1"/>
  <c r="K980" i="2" a="1"/>
  <c r="K980" i="2" s="1"/>
  <c r="K982" i="2" a="1"/>
  <c r="K982" i="2" s="1"/>
  <c r="K983" i="2" a="1"/>
  <c r="K983" i="2" s="1"/>
  <c r="K984" i="2" a="1"/>
  <c r="K984" i="2" s="1"/>
  <c r="L985" i="2" a="1"/>
  <c r="L985" i="2" s="1"/>
  <c r="L987" i="2" a="1"/>
  <c r="L987" i="2" s="1"/>
  <c r="L988" i="2" a="1"/>
  <c r="L988" i="2" s="1"/>
  <c r="L989" i="2" a="1"/>
  <c r="L989" i="2" s="1"/>
  <c r="M990" i="2" a="1"/>
  <c r="M990" i="2" s="1"/>
  <c r="M991" i="2" a="1"/>
  <c r="M991" i="2" s="1"/>
  <c r="K993" i="2" a="1"/>
  <c r="K993" i="2" s="1"/>
  <c r="K994" i="2" a="1"/>
  <c r="K994" i="2" s="1"/>
  <c r="L995" i="2" a="1"/>
  <c r="L995" i="2" s="1"/>
  <c r="L996" i="2" a="1"/>
  <c r="L996" i="2" s="1"/>
  <c r="L997" i="2" a="1"/>
  <c r="L997" i="2" s="1"/>
  <c r="M998" i="2" a="1"/>
  <c r="M998" i="2" s="1"/>
  <c r="M1000" i="2" a="1"/>
  <c r="M1000" i="2" s="1"/>
  <c r="M1001" i="2" a="1"/>
  <c r="M1001" i="2" s="1"/>
  <c r="M1002" i="2" a="1"/>
  <c r="M1002" i="2" s="1"/>
  <c r="K1004" i="2" a="1"/>
  <c r="K1004" i="2" s="1"/>
  <c r="K1006" i="2" a="1"/>
  <c r="K1006" i="2" s="1"/>
  <c r="K1007" i="2" a="1"/>
  <c r="K1007" i="2" s="1"/>
  <c r="L1008" i="2" a="1"/>
  <c r="L1008" i="2" s="1"/>
  <c r="M1010" i="2" a="1"/>
  <c r="M1010" i="2" s="1"/>
  <c r="K1012" i="2" a="1"/>
  <c r="K1012" i="2" s="1"/>
  <c r="K1014" i="2" a="1"/>
  <c r="K1014" i="2" s="1"/>
  <c r="K1015" i="2" a="1"/>
  <c r="K1015" i="2" s="1"/>
  <c r="K1016" i="2" a="1"/>
  <c r="K1016" i="2" s="1"/>
  <c r="L1017" i="2" a="1"/>
  <c r="L1017" i="2" s="1"/>
  <c r="L1018" i="2" a="1"/>
  <c r="L1018" i="2" s="1"/>
  <c r="M1019" i="2" a="1"/>
  <c r="M1019" i="2" s="1"/>
  <c r="M1020" i="2" a="1"/>
  <c r="M1020" i="2" s="1"/>
  <c r="K1022" i="2" a="1"/>
  <c r="K1022" i="2" s="1"/>
  <c r="K1023" i="2" a="1"/>
  <c r="K1023" i="2" s="1"/>
  <c r="L1024" i="2" a="1"/>
  <c r="L1024" i="2" s="1"/>
  <c r="L1026" i="2" a="1"/>
  <c r="L1026" i="2" s="1"/>
  <c r="M1027" i="2" a="1"/>
  <c r="M1027" i="2" s="1"/>
  <c r="M1028" i="2" a="1"/>
  <c r="M1028" i="2" s="1"/>
  <c r="M1029" i="2" a="1"/>
  <c r="M1029" i="2" s="1"/>
  <c r="M1031" i="2" a="1"/>
  <c r="M1031" i="2" s="1"/>
  <c r="K1033" i="2" a="1"/>
  <c r="K1033" i="2" s="1"/>
  <c r="K1034" i="2" a="1"/>
  <c r="K1034" i="2" s="1"/>
  <c r="K1035" i="2" a="1"/>
  <c r="K1035" i="2" s="1"/>
  <c r="K1037" i="2" a="1"/>
  <c r="K1037" i="2" s="1"/>
  <c r="L1038" i="2" a="1"/>
  <c r="L1038" i="2" s="1"/>
  <c r="L1039" i="2" a="1"/>
  <c r="L1039" i="2" s="1"/>
  <c r="L1040" i="2" a="1"/>
  <c r="L1040" i="2" s="1"/>
  <c r="L1042" i="2" a="1"/>
  <c r="L1042" i="2" s="1"/>
  <c r="M1043" i="2" a="1"/>
  <c r="M1043" i="2" s="1"/>
  <c r="M1044" i="2" a="1"/>
  <c r="M1044" i="2" s="1"/>
  <c r="K1046" i="2" a="1"/>
  <c r="K1046" i="2" s="1"/>
  <c r="K1047" i="2" a="1"/>
  <c r="K1047" i="2" s="1"/>
  <c r="L1048" i="2" a="1"/>
  <c r="L1048" i="2" s="1"/>
  <c r="M1050" i="2" a="1"/>
  <c r="M1050" i="2" s="1"/>
  <c r="K1052" i="2" a="1"/>
  <c r="K1052" i="2" s="1"/>
  <c r="K1054" i="2" a="1"/>
  <c r="K1054" i="2" s="1"/>
  <c r="K1055" i="2" a="1"/>
  <c r="K1055" i="2" s="1"/>
  <c r="K1056" i="2" a="1"/>
  <c r="K1056" i="2" s="1"/>
  <c r="L1057" i="2" a="1"/>
  <c r="L1057" i="2" s="1"/>
  <c r="L1059" i="2" a="1"/>
  <c r="L1059" i="2" s="1"/>
  <c r="L1060" i="2" a="1"/>
  <c r="L1060" i="2" s="1"/>
  <c r="M1061" i="2" a="1"/>
  <c r="M1061" i="2" s="1"/>
  <c r="K1064" i="2" a="1"/>
  <c r="K1064" i="2" s="1"/>
  <c r="L1065" i="2" a="1"/>
  <c r="L1065" i="2" s="1"/>
  <c r="L1066" i="2" a="1"/>
  <c r="L1066" i="2" s="1"/>
  <c r="M1067" i="2" a="1"/>
  <c r="M1067" i="2" s="1"/>
  <c r="M1068" i="2" a="1"/>
  <c r="M1068" i="2" s="1"/>
  <c r="K1070" i="2" a="1"/>
  <c r="K1070" i="2" s="1"/>
  <c r="K1071" i="2" a="1"/>
  <c r="K1071" i="2" s="1"/>
  <c r="L1072" i="2" a="1"/>
  <c r="L1072" i="2" s="1"/>
  <c r="M1074" i="2" a="1"/>
  <c r="M1074" i="2" s="1"/>
  <c r="K1076" i="2" a="1"/>
  <c r="K1076" i="2" s="1"/>
  <c r="K1077" i="2" a="1"/>
  <c r="K1077" i="2" s="1"/>
  <c r="L1078" i="2" a="1"/>
  <c r="L1078" i="2" s="1"/>
  <c r="L1079" i="2" a="1"/>
  <c r="L1079" i="2" s="1"/>
  <c r="M1080" i="2" a="1"/>
  <c r="M1080" i="2" s="1"/>
  <c r="M1081" i="2" a="1"/>
  <c r="M1081" i="2" s="1"/>
  <c r="K1083" i="2" a="1"/>
  <c r="K1083" i="2" s="1"/>
  <c r="L1085" i="2" a="1"/>
  <c r="L1085" i="2" s="1"/>
  <c r="M1086" i="2" a="1"/>
  <c r="M1086" i="2" s="1"/>
  <c r="M1087" i="2" a="1"/>
  <c r="M1087" i="2" s="1"/>
  <c r="K1089" i="2" a="1"/>
  <c r="K1089" i="2" s="1"/>
  <c r="K1090" i="2" a="1"/>
  <c r="K1090" i="2" s="1"/>
  <c r="L1091" i="2" a="1"/>
  <c r="L1091" i="2" s="1"/>
  <c r="L1092" i="2" a="1"/>
  <c r="L1092" i="2" s="1"/>
  <c r="M1093" i="2" a="1"/>
  <c r="M1093" i="2" s="1"/>
  <c r="K1096" i="2" a="1"/>
  <c r="K1096" i="2" s="1"/>
  <c r="L1097" i="2" a="1"/>
  <c r="L1097" i="2" s="1"/>
  <c r="L1098" i="2" a="1"/>
  <c r="L1098" i="2" s="1"/>
  <c r="M1099" i="2" a="1"/>
  <c r="M1099" i="2" s="1"/>
  <c r="M1100" i="2" a="1"/>
  <c r="M1100" i="2" s="1"/>
  <c r="K1102" i="2" a="1"/>
  <c r="K1102" i="2" s="1"/>
  <c r="K1103" i="2" a="1"/>
  <c r="K1103" i="2" s="1"/>
  <c r="L1104" i="2" a="1"/>
  <c r="L1104" i="2" s="1"/>
  <c r="M1106" i="2" a="1"/>
  <c r="M1106" i="2" s="1"/>
  <c r="K1108" i="2" a="1"/>
  <c r="K1108" i="2" s="1"/>
  <c r="K1110" i="2" a="1"/>
  <c r="K1110" i="2" s="1"/>
  <c r="K1111" i="2" a="1"/>
  <c r="K1111" i="2" s="1"/>
  <c r="K1112" i="2" a="1"/>
  <c r="K1112" i="2" s="1"/>
  <c r="L1113" i="2" a="1"/>
  <c r="L1113" i="2" s="1"/>
  <c r="L1114" i="2" a="1"/>
  <c r="L1114" i="2" s="1"/>
  <c r="M1115" i="2" a="1"/>
  <c r="M1115" i="2" s="1"/>
  <c r="M1116" i="2" a="1"/>
  <c r="M1116" i="2" s="1"/>
  <c r="K1118" i="2" a="1"/>
  <c r="K1118" i="2" s="1"/>
  <c r="K1119" i="2" a="1"/>
  <c r="K1119" i="2" s="1"/>
  <c r="L1120" i="2" a="1"/>
  <c r="L1120" i="2" s="1"/>
  <c r="M1122" i="2" a="1"/>
  <c r="M1122" i="2" s="1"/>
  <c r="K1124" i="2" a="1"/>
  <c r="K1124" i="2" s="1"/>
  <c r="K1125" i="2" a="1"/>
  <c r="K1125" i="2" s="1"/>
  <c r="L1126" i="2" a="1"/>
  <c r="L1126" i="2" s="1"/>
  <c r="L1127" i="2" a="1"/>
  <c r="L1127" i="2" s="1"/>
  <c r="M1128" i="2" a="1"/>
  <c r="M1128" i="2" s="1"/>
  <c r="M1129" i="2" a="1"/>
  <c r="M1129" i="2" s="1"/>
  <c r="K1131" i="2" a="1"/>
  <c r="K1131" i="2" s="1"/>
  <c r="L1133" i="2" a="1"/>
  <c r="L1133" i="2" s="1"/>
  <c r="M1134" i="2" a="1"/>
  <c r="M1134" i="2" s="1"/>
  <c r="M1135" i="2" a="1"/>
  <c r="M1135" i="2" s="1"/>
  <c r="K1137" i="2" a="1"/>
  <c r="K1137" i="2" s="1"/>
  <c r="K1138" i="2" a="1"/>
  <c r="K1138" i="2" s="1"/>
  <c r="L1139" i="2" a="1"/>
  <c r="L1139" i="2" s="1"/>
  <c r="L1140" i="2" a="1"/>
  <c r="L1140" i="2" s="1"/>
  <c r="M1141" i="2" a="1"/>
  <c r="M1141" i="2" s="1"/>
  <c r="K1144" i="2" a="1"/>
  <c r="K1144" i="2" s="1"/>
  <c r="L1145" i="2" a="1"/>
  <c r="L1145" i="2" s="1"/>
  <c r="L1146" i="2" a="1"/>
  <c r="L1146" i="2" s="1"/>
  <c r="M1147" i="2" a="1"/>
  <c r="M1147" i="2" s="1"/>
  <c r="M1148" i="2" a="1"/>
  <c r="M1148" i="2" s="1"/>
  <c r="K1150" i="2" a="1"/>
  <c r="K1150" i="2" s="1"/>
  <c r="K1151" i="2" a="1"/>
  <c r="K1151" i="2" s="1"/>
  <c r="L1152" i="2" a="1"/>
  <c r="L1152" i="2" s="1"/>
  <c r="M1154" i="2" a="1"/>
  <c r="M1154" i="2" s="1"/>
  <c r="K1156" i="2" a="1"/>
  <c r="K1156" i="2" s="1"/>
  <c r="K1157" i="2" a="1"/>
  <c r="K1157" i="2" s="1"/>
  <c r="L1158" i="2" a="1"/>
  <c r="L1158" i="2" s="1"/>
  <c r="L1159" i="2" a="1"/>
  <c r="L1159" i="2" s="1"/>
  <c r="M1160" i="2" a="1"/>
  <c r="M1160" i="2" s="1"/>
  <c r="M1161" i="2" a="1"/>
  <c r="M1161" i="2" s="1"/>
  <c r="K1163" i="2" a="1"/>
  <c r="K1163" i="2" s="1"/>
  <c r="L1165" i="2" a="1"/>
  <c r="L1165" i="2" s="1"/>
  <c r="M1166" i="2" a="1"/>
  <c r="M1166" i="2" s="1"/>
  <c r="M1167" i="2" a="1"/>
  <c r="M1167" i="2" s="1"/>
  <c r="K1169" i="2" a="1"/>
  <c r="K1169" i="2" s="1"/>
  <c r="K1170" i="2" a="1"/>
  <c r="K1170" i="2" s="1"/>
  <c r="L1171" i="2" a="1"/>
  <c r="L1171" i="2" s="1"/>
  <c r="L1172" i="2" a="1"/>
  <c r="L1172" i="2" s="1"/>
  <c r="M1173" i="2" a="1"/>
  <c r="M1173" i="2" s="1"/>
  <c r="K1176" i="2" a="1"/>
  <c r="K1176" i="2" s="1"/>
  <c r="L1177" i="2" a="1"/>
  <c r="L1177" i="2" s="1"/>
  <c r="L1178" i="2" a="1"/>
  <c r="L1178" i="2" s="1"/>
  <c r="M1179" i="2" a="1"/>
  <c r="M1179" i="2" s="1"/>
  <c r="M1180" i="2" a="1"/>
  <c r="M1180" i="2" s="1"/>
  <c r="K1182" i="2" a="1"/>
  <c r="K1182" i="2" s="1"/>
  <c r="K1183" i="2" a="1"/>
  <c r="K1183" i="2" s="1"/>
  <c r="L1184" i="2" a="1"/>
  <c r="L1184" i="2" s="1"/>
  <c r="M1186" i="2" a="1"/>
  <c r="M1186" i="2" s="1"/>
  <c r="K1188" i="2" a="1"/>
  <c r="K1188" i="2" s="1"/>
  <c r="K1190" i="2" a="1"/>
  <c r="K1190" i="2" s="1"/>
  <c r="K1191" i="2" a="1"/>
  <c r="K1191" i="2" s="1"/>
  <c r="L1192" i="2" a="1"/>
  <c r="L1192" i="2" s="1"/>
  <c r="L1194" i="2" a="1"/>
  <c r="L1194" i="2" s="1"/>
  <c r="M1195" i="2" a="1"/>
  <c r="M1195" i="2" s="1"/>
  <c r="M1196" i="2" a="1"/>
  <c r="M1196" i="2" s="1"/>
  <c r="K1198" i="2" a="1"/>
  <c r="K1198" i="2" s="1"/>
  <c r="K1199" i="2" a="1"/>
  <c r="K1199" i="2" s="1"/>
  <c r="L1200" i="2" a="1"/>
  <c r="L1200" i="2" s="1"/>
  <c r="M1202" i="2" a="1"/>
  <c r="M1202" i="2" s="1"/>
  <c r="K1204" i="2" a="1"/>
  <c r="K1204" i="2" s="1"/>
  <c r="K1205" i="2" a="1"/>
  <c r="K1205" i="2" s="1"/>
  <c r="L1206" i="2" a="1"/>
  <c r="L1206" i="2" s="1"/>
  <c r="L1207" i="2" a="1"/>
  <c r="L1207" i="2" s="1"/>
  <c r="M1208" i="2" a="1"/>
  <c r="M1208" i="2" s="1"/>
  <c r="M1209" i="2" a="1"/>
  <c r="M1209" i="2" s="1"/>
  <c r="K1211" i="2" a="1"/>
  <c r="K1211" i="2" s="1"/>
  <c r="L1213" i="2" a="1"/>
  <c r="L1213" i="2" s="1"/>
  <c r="M1214" i="2" a="1"/>
  <c r="M1214" i="2" s="1"/>
  <c r="M1215" i="2" a="1"/>
  <c r="M1215" i="2" s="1"/>
  <c r="K1217" i="2" a="1"/>
  <c r="K1217" i="2" s="1"/>
  <c r="K1218" i="2" a="1"/>
  <c r="K1218" i="2" s="1"/>
  <c r="L1219" i="2" a="1"/>
  <c r="L1219" i="2" s="1"/>
  <c r="L1220" i="2" a="1"/>
  <c r="L1220" i="2" s="1"/>
  <c r="M1221" i="2" a="1"/>
  <c r="M1221" i="2" s="1"/>
  <c r="K1224" i="2" a="1"/>
  <c r="K1224" i="2" s="1"/>
  <c r="L1225" i="2" a="1"/>
  <c r="L1225" i="2" s="1"/>
  <c r="L1227" i="2" a="1"/>
  <c r="L1227" i="2" s="1"/>
  <c r="L1228" i="2" a="1"/>
  <c r="L1228" i="2" s="1"/>
  <c r="L1229" i="2" a="1"/>
  <c r="L1229" i="2" s="1"/>
  <c r="M1230" i="2" a="1"/>
  <c r="M1230" i="2" s="1"/>
  <c r="M1232" i="2" a="1"/>
  <c r="M1232" i="2" s="1"/>
  <c r="M1233" i="2" a="1"/>
  <c r="M1233" i="2" s="1"/>
  <c r="M1234" i="2" a="1"/>
  <c r="M1234" i="2" s="1"/>
  <c r="K1236" i="2" a="1"/>
  <c r="K1236" i="2" s="1"/>
  <c r="K1238" i="2" a="1"/>
  <c r="K1238" i="2" s="1"/>
  <c r="K1239" i="2" a="1"/>
  <c r="K1239" i="2" s="1"/>
  <c r="L1240" i="2" a="1"/>
  <c r="L1240" i="2" s="1"/>
  <c r="M1242" i="2" a="1"/>
  <c r="M1242" i="2" s="1"/>
  <c r="K1244" i="2" a="1"/>
  <c r="K1244" i="2" s="1"/>
  <c r="K1246" i="2" a="1"/>
  <c r="K1246" i="2" s="1"/>
  <c r="K1247" i="2" a="1"/>
  <c r="K1247" i="2" s="1"/>
  <c r="K1248" i="2" a="1"/>
  <c r="K1248" i="2" s="1"/>
  <c r="L1249" i="2" a="1"/>
  <c r="L1249" i="2" s="1"/>
  <c r="L1250" i="2" a="1"/>
  <c r="L1250" i="2" s="1"/>
  <c r="M1251" i="2" a="1"/>
  <c r="M1251" i="2" s="1"/>
  <c r="M1252" i="2" a="1"/>
  <c r="M1252" i="2" s="1"/>
  <c r="M1253" i="2" a="1"/>
  <c r="M1253" i="2" s="1"/>
  <c r="M1255" i="2" a="1"/>
  <c r="M1255" i="2" s="1"/>
  <c r="K1257" i="2" a="1"/>
  <c r="K1257" i="2" s="1"/>
  <c r="K1258" i="2" a="1"/>
  <c r="K1258" i="2" s="1"/>
  <c r="K1259" i="2" a="1"/>
  <c r="K1259" i="2" s="1"/>
  <c r="K1261" i="2" a="1"/>
  <c r="K1261" i="2" s="1"/>
  <c r="L1262" i="2" a="1"/>
  <c r="L1262" i="2" s="1"/>
  <c r="L1263" i="2" a="1"/>
  <c r="L1263" i="2" s="1"/>
  <c r="M1264" i="2" a="1"/>
  <c r="M1264" i="2" s="1"/>
  <c r="M1265" i="2" a="1"/>
  <c r="M1265" i="2" s="1"/>
  <c r="M1266" i="2" a="1"/>
  <c r="M1266" i="2" s="1"/>
  <c r="K1268" i="2" a="1"/>
  <c r="K1268" i="2" s="1"/>
  <c r="K1270" i="2" a="1"/>
  <c r="K1270" i="2" s="1"/>
  <c r="K1271" i="2" a="1"/>
  <c r="K1271" i="2" s="1"/>
  <c r="K1272" i="2" a="1"/>
  <c r="K1272" i="2" s="1"/>
  <c r="L1273" i="2" a="1"/>
  <c r="L1273" i="2" s="1"/>
  <c r="L1275" i="2" a="1"/>
  <c r="L1275" i="2" s="1"/>
  <c r="L1276" i="2" a="1"/>
  <c r="L1276" i="2" s="1"/>
  <c r="L1277" i="2" a="1"/>
  <c r="L1277" i="2" s="1"/>
  <c r="M1278" i="2" a="1"/>
  <c r="M1278" i="2" s="1"/>
  <c r="M1280" i="2" a="1"/>
  <c r="M1280" i="2" s="1"/>
  <c r="M1281" i="2" a="1"/>
  <c r="M1281" i="2" s="1"/>
  <c r="M1282" i="2" a="1"/>
  <c r="M1282" i="2" s="1"/>
  <c r="K1284" i="2" a="1"/>
  <c r="K1284" i="2" s="1"/>
  <c r="K1286" i="2" a="1"/>
  <c r="K1286" i="2" s="1"/>
  <c r="K1287" i="2" a="1"/>
  <c r="K1287" i="2" s="1"/>
  <c r="K1288" i="2" a="1"/>
  <c r="K1288" i="2" s="1"/>
  <c r="L1289" i="2" a="1"/>
  <c r="L1289" i="2" s="1"/>
  <c r="L1291" i="2" a="1"/>
  <c r="L1291" i="2" s="1"/>
  <c r="L1292" i="2" a="1"/>
  <c r="L1292" i="2" s="1"/>
  <c r="L1293" i="2" a="1"/>
  <c r="L1293" i="2" s="1"/>
  <c r="M1294" i="2" a="1"/>
  <c r="M1294" i="2" s="1"/>
  <c r="M1296" i="2" a="1"/>
  <c r="M1296" i="2" s="1"/>
  <c r="M1297" i="2" a="1"/>
  <c r="M1297" i="2" s="1"/>
  <c r="M1298" i="2" a="1"/>
  <c r="M1298" i="2" s="1"/>
  <c r="K1300" i="2" a="1"/>
  <c r="K1300" i="2" s="1"/>
  <c r="K1302" i="2" a="1"/>
  <c r="K1302" i="2" s="1"/>
  <c r="K1303" i="2" a="1"/>
  <c r="K1303" i="2" s="1"/>
  <c r="K1304" i="2" a="1"/>
  <c r="K1304" i="2" s="1"/>
  <c r="K516" i="2" a="1"/>
  <c r="K516" i="2" s="1"/>
  <c r="K517" i="2" a="1"/>
  <c r="K517" i="2" s="1"/>
  <c r="K518" i="2" a="1"/>
  <c r="K518" i="2" s="1"/>
  <c r="K519" i="2" a="1"/>
  <c r="K519" i="2" s="1"/>
  <c r="L521" i="2" a="1"/>
  <c r="L521" i="2" s="1"/>
  <c r="L522" i="2" a="1"/>
  <c r="L522" i="2" s="1"/>
  <c r="L523" i="2" a="1"/>
  <c r="L523" i="2" s="1"/>
  <c r="L524" i="2" a="1"/>
  <c r="L524" i="2" s="1"/>
  <c r="M526" i="2" a="1"/>
  <c r="M526" i="2" s="1"/>
  <c r="M527" i="2" a="1"/>
  <c r="M527" i="2" s="1"/>
  <c r="M528" i="2" a="1"/>
  <c r="M528" i="2" s="1"/>
  <c r="M529" i="2" a="1"/>
  <c r="M529" i="2" s="1"/>
  <c r="K532" i="2" a="1"/>
  <c r="K532" i="2" s="1"/>
  <c r="K533" i="2" a="1"/>
  <c r="K533" i="2" s="1"/>
  <c r="K534" i="2" a="1"/>
  <c r="K534" i="2" s="1"/>
  <c r="L535" i="2" a="1"/>
  <c r="L535" i="2" s="1"/>
  <c r="L536" i="2" a="1"/>
  <c r="L536" i="2" s="1"/>
  <c r="M537" i="2" a="1"/>
  <c r="M537" i="2" s="1"/>
  <c r="K540" i="2" a="1"/>
  <c r="K540" i="2" s="1"/>
  <c r="L541" i="2" a="1"/>
  <c r="L541" i="2" s="1"/>
  <c r="L542" i="2" a="1"/>
  <c r="L542" i="2" s="1"/>
  <c r="M543" i="2" a="1"/>
  <c r="M543" i="2" s="1"/>
  <c r="M544" i="2" a="1"/>
  <c r="M544" i="2" s="1"/>
  <c r="K546" i="2" a="1"/>
  <c r="K546" i="2" s="1"/>
  <c r="K547" i="2" a="1"/>
  <c r="K547" i="2" s="1"/>
  <c r="L548" i="2" a="1"/>
  <c r="L548" i="2" s="1"/>
  <c r="M550" i="2" a="1"/>
  <c r="M550" i="2" s="1"/>
  <c r="K552" i="2" a="1"/>
  <c r="K552" i="2" s="1"/>
  <c r="K553" i="2" a="1"/>
  <c r="K553" i="2" s="1"/>
  <c r="K554" i="2" a="1"/>
  <c r="K554" i="2" s="1"/>
  <c r="K555" i="2" a="1"/>
  <c r="K555" i="2" s="1"/>
  <c r="L556" i="2" a="1"/>
  <c r="L556" i="2" s="1"/>
  <c r="M558" i="2" a="1"/>
  <c r="M558" i="2" s="1"/>
  <c r="M559" i="2" a="1"/>
  <c r="M559" i="2" s="1"/>
  <c r="M560" i="2" a="1"/>
  <c r="M560" i="2" s="1"/>
  <c r="M561" i="2" a="1"/>
  <c r="M561" i="2" s="1"/>
  <c r="K564" i="2" a="1"/>
  <c r="K564" i="2" s="1"/>
  <c r="K565" i="2" a="1"/>
  <c r="K565" i="2" s="1"/>
  <c r="K566" i="2" a="1"/>
  <c r="K566" i="2" s="1"/>
  <c r="K567" i="2" a="1"/>
  <c r="K567" i="2" s="1"/>
  <c r="L569" i="2" a="1"/>
  <c r="L569" i="2" s="1"/>
  <c r="L570" i="2" a="1"/>
  <c r="L570" i="2" s="1"/>
  <c r="L571" i="2" a="1"/>
  <c r="L571" i="2" s="1"/>
  <c r="L572" i="2" a="1"/>
  <c r="L572" i="2" s="1"/>
  <c r="M574" i="2" a="1"/>
  <c r="M574" i="2" s="1"/>
  <c r="K576" i="2" a="1"/>
  <c r="K576" i="2" s="1"/>
  <c r="K577" i="2" a="1"/>
  <c r="K577" i="2" s="1"/>
  <c r="K578" i="2" a="1"/>
  <c r="K578" i="2" s="1"/>
  <c r="K579" i="2" a="1"/>
  <c r="K579" i="2" s="1"/>
  <c r="L580" i="2" a="1"/>
  <c r="L580" i="2" s="1"/>
  <c r="M582" i="2" a="1"/>
  <c r="M582" i="2" s="1"/>
  <c r="M583" i="2" a="1"/>
  <c r="M583" i="2" s="1"/>
  <c r="M584" i="2" a="1"/>
  <c r="M584" i="2" s="1"/>
  <c r="M585" i="2" a="1"/>
  <c r="M585" i="2" s="1"/>
  <c r="K588" i="2" a="1"/>
  <c r="K588" i="2" s="1"/>
  <c r="K589" i="2" a="1"/>
  <c r="K589" i="2" s="1"/>
  <c r="K590" i="2" a="1"/>
  <c r="K590" i="2" s="1"/>
  <c r="K591" i="2" a="1"/>
  <c r="K591" i="2" s="1"/>
  <c r="L593" i="2" a="1"/>
  <c r="L593" i="2" s="1"/>
  <c r="M594" i="2" a="1"/>
  <c r="M594" i="2" s="1"/>
  <c r="M595" i="2" a="1"/>
  <c r="M595" i="2" s="1"/>
  <c r="M596" i="2" a="1"/>
  <c r="M596" i="2" s="1"/>
  <c r="M597" i="2" a="1"/>
  <c r="M597" i="2" s="1"/>
  <c r="K599" i="2" a="1"/>
  <c r="K599" i="2" s="1"/>
  <c r="L601" i="2" a="1"/>
  <c r="L601" i="2" s="1"/>
  <c r="L602" i="2" a="1"/>
  <c r="L602" i="2" s="1"/>
  <c r="L603" i="2" a="1"/>
  <c r="L603" i="2" s="1"/>
  <c r="L604" i="2" a="1"/>
  <c r="L604" i="2" s="1"/>
  <c r="M606" i="2" a="1"/>
  <c r="M606" i="2" s="1"/>
  <c r="M607" i="2" a="1"/>
  <c r="M607" i="2" s="1"/>
  <c r="M608" i="2" a="1"/>
  <c r="M608" i="2" s="1"/>
  <c r="M609" i="2" a="1"/>
  <c r="M609" i="2" s="1"/>
  <c r="K612" i="2" a="1"/>
  <c r="K612" i="2" s="1"/>
  <c r="K613" i="2" a="1"/>
  <c r="K613" i="2" s="1"/>
  <c r="K614" i="2" a="1"/>
  <c r="K614" i="2" s="1"/>
  <c r="K615" i="2" a="1"/>
  <c r="K615" i="2" s="1"/>
  <c r="L617" i="2" a="1"/>
  <c r="L617" i="2" s="1"/>
  <c r="L618" i="2" a="1"/>
  <c r="L618" i="2" s="1"/>
  <c r="L619" i="2" a="1"/>
  <c r="L619" i="2" s="1"/>
  <c r="L620" i="2" a="1"/>
  <c r="L620" i="2" s="1"/>
  <c r="M622" i="2" a="1"/>
  <c r="M622" i="2" s="1"/>
  <c r="M623" i="2" a="1"/>
  <c r="M623" i="2" s="1"/>
  <c r="M624" i="2" a="1"/>
  <c r="M624" i="2" s="1"/>
  <c r="K626" i="2" a="1"/>
  <c r="K626" i="2" s="1"/>
  <c r="K627" i="2" a="1"/>
  <c r="K627" i="2" s="1"/>
  <c r="L628" i="2" a="1"/>
  <c r="L628" i="2" s="1"/>
  <c r="M629" i="2" a="1"/>
  <c r="M629" i="2" s="1"/>
  <c r="K631" i="2" a="1"/>
  <c r="K631" i="2" s="1"/>
  <c r="L632" i="2" a="1"/>
  <c r="L632" i="2" s="1"/>
  <c r="M633" i="2" a="1"/>
  <c r="M633" i="2" s="1"/>
  <c r="K635" i="2" a="1"/>
  <c r="K635" i="2" s="1"/>
  <c r="L636" i="2" a="1"/>
  <c r="L636" i="2" s="1"/>
  <c r="M637" i="2" a="1"/>
  <c r="M637" i="2" s="1"/>
  <c r="K639" i="2" a="1"/>
  <c r="K639" i="2" s="1"/>
  <c r="L640" i="2" a="1"/>
  <c r="L640" i="2" s="1"/>
  <c r="M641" i="2" a="1"/>
  <c r="M641" i="2" s="1"/>
  <c r="K643" i="2" a="1"/>
  <c r="K643" i="2" s="1"/>
  <c r="L644" i="2" a="1"/>
  <c r="L644" i="2" s="1"/>
  <c r="M645" i="2" a="1"/>
  <c r="M645" i="2" s="1"/>
  <c r="K647" i="2" a="1"/>
  <c r="K647" i="2" s="1"/>
  <c r="L648" i="2" a="1"/>
  <c r="L648" i="2" s="1"/>
  <c r="M649" i="2" a="1"/>
  <c r="M649" i="2" s="1"/>
  <c r="K651" i="2" a="1"/>
  <c r="K651" i="2" s="1"/>
  <c r="L652" i="2" a="1"/>
  <c r="L652" i="2" s="1"/>
  <c r="M653" i="2" a="1"/>
  <c r="M653" i="2" s="1"/>
  <c r="K655" i="2" a="1"/>
  <c r="K655" i="2" s="1"/>
  <c r="L656" i="2" a="1"/>
  <c r="L656" i="2" s="1"/>
  <c r="M657" i="2" a="1"/>
  <c r="M657" i="2" s="1"/>
  <c r="K659" i="2" a="1"/>
  <c r="K659" i="2" s="1"/>
  <c r="L660" i="2" a="1"/>
  <c r="L660" i="2" s="1"/>
  <c r="M661" i="2" a="1"/>
  <c r="M661" i="2" s="1"/>
  <c r="K663" i="2" a="1"/>
  <c r="K663" i="2" s="1"/>
  <c r="L664" i="2" a="1"/>
  <c r="L664" i="2" s="1"/>
  <c r="M665" i="2" a="1"/>
  <c r="M665" i="2" s="1"/>
  <c r="K667" i="2" a="1"/>
  <c r="K667" i="2" s="1"/>
  <c r="L668" i="2" a="1"/>
  <c r="L668" i="2" s="1"/>
  <c r="M669" i="2" a="1"/>
  <c r="M669" i="2" s="1"/>
  <c r="K671" i="2" a="1"/>
  <c r="K671" i="2" s="1"/>
  <c r="L672" i="2" a="1"/>
  <c r="L672" i="2" s="1"/>
  <c r="M673" i="2" a="1"/>
  <c r="M673" i="2" s="1"/>
  <c r="K675" i="2" a="1"/>
  <c r="K675" i="2" s="1"/>
  <c r="L676" i="2" a="1"/>
  <c r="L676" i="2" s="1"/>
  <c r="M677" i="2" a="1"/>
  <c r="M677" i="2" s="1"/>
  <c r="K679" i="2" a="1"/>
  <c r="K679" i="2" s="1"/>
  <c r="L680" i="2" a="1"/>
  <c r="L680" i="2" s="1"/>
  <c r="M681" i="2" a="1"/>
  <c r="M681" i="2" s="1"/>
  <c r="K683" i="2" a="1"/>
  <c r="K683" i="2" s="1"/>
  <c r="L684" i="2" a="1"/>
  <c r="L684" i="2" s="1"/>
  <c r="M685" i="2" a="1"/>
  <c r="M685" i="2" s="1"/>
  <c r="K687" i="2" a="1"/>
  <c r="K687" i="2" s="1"/>
  <c r="L688" i="2" a="1"/>
  <c r="L688" i="2" s="1"/>
  <c r="M689" i="2" a="1"/>
  <c r="M689" i="2" s="1"/>
  <c r="K691" i="2" a="1"/>
  <c r="K691" i="2" s="1"/>
  <c r="L692" i="2" a="1"/>
  <c r="L692" i="2" s="1"/>
  <c r="M693" i="2" a="1"/>
  <c r="M693" i="2" s="1"/>
  <c r="K695" i="2" a="1"/>
  <c r="K695" i="2" s="1"/>
  <c r="L696" i="2" a="1"/>
  <c r="L696" i="2" s="1"/>
  <c r="M697" i="2" a="1"/>
  <c r="M697" i="2" s="1"/>
  <c r="K699" i="2" a="1"/>
  <c r="K699" i="2" s="1"/>
  <c r="L700" i="2" a="1"/>
  <c r="L700" i="2" s="1"/>
  <c r="M701" i="2" a="1"/>
  <c r="M701" i="2" s="1"/>
  <c r="K703" i="2" a="1"/>
  <c r="K703" i="2" s="1"/>
  <c r="L704" i="2" a="1"/>
  <c r="L704" i="2" s="1"/>
  <c r="M705" i="2" a="1"/>
  <c r="M705" i="2" s="1"/>
  <c r="K707" i="2" a="1"/>
  <c r="K707" i="2" s="1"/>
  <c r="L708" i="2" a="1"/>
  <c r="L708" i="2" s="1"/>
  <c r="M709" i="2" a="1"/>
  <c r="M709" i="2" s="1"/>
  <c r="K711" i="2" a="1"/>
  <c r="K711" i="2" s="1"/>
  <c r="L712" i="2" a="1"/>
  <c r="L712" i="2" s="1"/>
  <c r="M713" i="2" a="1"/>
  <c r="M713" i="2" s="1"/>
  <c r="K715" i="2" a="1"/>
  <c r="K715" i="2" s="1"/>
  <c r="L716" i="2" a="1"/>
  <c r="L716" i="2" s="1"/>
  <c r="M717" i="2" a="1"/>
  <c r="M717" i="2" s="1"/>
  <c r="K719" i="2" a="1"/>
  <c r="K719" i="2" s="1"/>
  <c r="L720" i="2" a="1"/>
  <c r="L720" i="2" s="1"/>
  <c r="M721" i="2" a="1"/>
  <c r="M721" i="2" s="1"/>
  <c r="K723" i="2" a="1"/>
  <c r="K723" i="2" s="1"/>
  <c r="L724" i="2" a="1"/>
  <c r="L724" i="2" s="1"/>
  <c r="M725" i="2" a="1"/>
  <c r="M725" i="2" s="1"/>
  <c r="M726" i="2" a="1"/>
  <c r="M726" i="2" s="1"/>
  <c r="K728" i="2" a="1"/>
  <c r="K728" i="2" s="1"/>
  <c r="K729" i="2" a="1"/>
  <c r="K729" i="2" s="1"/>
  <c r="L730" i="2" a="1"/>
  <c r="L730" i="2" s="1"/>
  <c r="L731" i="2" a="1"/>
  <c r="L731" i="2" s="1"/>
  <c r="M732" i="2" a="1"/>
  <c r="M732" i="2" s="1"/>
  <c r="K735" i="2" a="1"/>
  <c r="K735" i="2" s="1"/>
  <c r="L736" i="2" a="1"/>
  <c r="L736" i="2" s="1"/>
  <c r="L737" i="2" a="1"/>
  <c r="L737" i="2" s="1"/>
  <c r="M738" i="2" a="1"/>
  <c r="M738" i="2" s="1"/>
  <c r="M739" i="2" a="1"/>
  <c r="M739" i="2" s="1"/>
  <c r="K741" i="2" a="1"/>
  <c r="K741" i="2" s="1"/>
  <c r="K742" i="2" a="1"/>
  <c r="K742" i="2" s="1"/>
  <c r="L743" i="2" a="1"/>
  <c r="L743" i="2" s="1"/>
  <c r="M745" i="2" a="1"/>
  <c r="M745" i="2" s="1"/>
  <c r="K747" i="2" a="1"/>
  <c r="K747" i="2" s="1"/>
  <c r="K748" i="2" a="1"/>
  <c r="K748" i="2" s="1"/>
  <c r="L749" i="2" a="1"/>
  <c r="L749" i="2" s="1"/>
  <c r="L750" i="2" a="1"/>
  <c r="L750" i="2" s="1"/>
  <c r="M751" i="2" a="1"/>
  <c r="M751" i="2" s="1"/>
  <c r="M752" i="2" a="1"/>
  <c r="M752" i="2" s="1"/>
  <c r="K754" i="2" a="1"/>
  <c r="K754" i="2" s="1"/>
  <c r="L756" i="2" a="1"/>
  <c r="L756" i="2" s="1"/>
  <c r="M757" i="2" a="1"/>
  <c r="M757" i="2" s="1"/>
  <c r="M758" i="2" a="1"/>
  <c r="M758" i="2" s="1"/>
  <c r="K760" i="2" a="1"/>
  <c r="K760" i="2" s="1"/>
  <c r="K761" i="2" a="1"/>
  <c r="K761" i="2" s="1"/>
  <c r="L762" i="2" a="1"/>
  <c r="L762" i="2" s="1"/>
  <c r="L763" i="2" a="1"/>
  <c r="L763" i="2" s="1"/>
  <c r="M764" i="2" a="1"/>
  <c r="M764" i="2" s="1"/>
  <c r="K767" i="2" a="1"/>
  <c r="K767" i="2" s="1"/>
  <c r="L768" i="2" a="1"/>
  <c r="L768" i="2" s="1"/>
  <c r="L769" i="2" a="1"/>
  <c r="L769" i="2" s="1"/>
  <c r="M770" i="2" a="1"/>
  <c r="M770" i="2" s="1"/>
  <c r="M771" i="2" a="1"/>
  <c r="M771" i="2" s="1"/>
  <c r="K773" i="2" a="1"/>
  <c r="K773" i="2" s="1"/>
  <c r="K774" i="2" a="1"/>
  <c r="K774" i="2" s="1"/>
  <c r="L775" i="2" a="1"/>
  <c r="L775" i="2" s="1"/>
  <c r="M777" i="2" a="1"/>
  <c r="M777" i="2" s="1"/>
  <c r="K779" i="2" a="1"/>
  <c r="K779" i="2" s="1"/>
  <c r="K780" i="2" a="1"/>
  <c r="K780" i="2" s="1"/>
  <c r="L781" i="2" a="1"/>
  <c r="L781" i="2" s="1"/>
  <c r="L782" i="2" a="1"/>
  <c r="L782" i="2" s="1"/>
  <c r="M783" i="2" a="1"/>
  <c r="M783" i="2" s="1"/>
  <c r="M784" i="2" a="1"/>
  <c r="M784" i="2" s="1"/>
  <c r="K786" i="2" a="1"/>
  <c r="K786" i="2" s="1"/>
  <c r="L788" i="2" a="1"/>
  <c r="L788" i="2" s="1"/>
  <c r="M789" i="2" a="1"/>
  <c r="M789" i="2" s="1"/>
  <c r="M790" i="2" a="1"/>
  <c r="M790" i="2" s="1"/>
  <c r="K792" i="2" a="1"/>
  <c r="K792" i="2" s="1"/>
  <c r="K793" i="2" a="1"/>
  <c r="K793" i="2" s="1"/>
  <c r="L794" i="2" a="1"/>
  <c r="L794" i="2" s="1"/>
  <c r="L795" i="2" a="1"/>
  <c r="L795" i="2" s="1"/>
  <c r="M796" i="2" a="1"/>
  <c r="M796" i="2" s="1"/>
  <c r="K799" i="2" a="1"/>
  <c r="K799" i="2" s="1"/>
  <c r="L800" i="2" a="1"/>
  <c r="L800" i="2" s="1"/>
  <c r="L801" i="2" a="1"/>
  <c r="L801" i="2" s="1"/>
  <c r="M802" i="2" a="1"/>
  <c r="M802" i="2" s="1"/>
  <c r="M803" i="2" a="1"/>
  <c r="M803" i="2" s="1"/>
  <c r="K805" i="2" a="1"/>
  <c r="K805" i="2" s="1"/>
  <c r="K806" i="2" a="1"/>
  <c r="K806" i="2" s="1"/>
  <c r="L807" i="2" a="1"/>
  <c r="L807" i="2" s="1"/>
  <c r="M808" i="2" a="1"/>
  <c r="M808" i="2" s="1"/>
  <c r="K810" i="2" a="1"/>
  <c r="K810" i="2" s="1"/>
  <c r="L812" i="2" a="1"/>
  <c r="L812" i="2" s="1"/>
  <c r="M813" i="2" a="1"/>
  <c r="M813" i="2" s="1"/>
  <c r="M814" i="2" a="1"/>
  <c r="M814" i="2" s="1"/>
  <c r="K816" i="2" a="1"/>
  <c r="K816" i="2" s="1"/>
  <c r="L817" i="2" a="1"/>
  <c r="L817" i="2" s="1"/>
  <c r="M818" i="2" a="1"/>
  <c r="M818" i="2" s="1"/>
  <c r="M819" i="2" a="1"/>
  <c r="M819" i="2" s="1"/>
  <c r="K821" i="2" a="1"/>
  <c r="K821" i="2" s="1"/>
  <c r="K822" i="2" a="1"/>
  <c r="K822" i="2" s="1"/>
  <c r="L823" i="2" a="1"/>
  <c r="L823" i="2" s="1"/>
  <c r="M825" i="2" a="1"/>
  <c r="M825" i="2" s="1"/>
  <c r="K827" i="2" a="1"/>
  <c r="K827" i="2" s="1"/>
  <c r="L828" i="2" a="1"/>
  <c r="L828" i="2" s="1"/>
  <c r="M829" i="2" a="1"/>
  <c r="M829" i="2" s="1"/>
  <c r="M830" i="2" a="1"/>
  <c r="M830" i="2" s="1"/>
  <c r="K832" i="2" a="1"/>
  <c r="K832" i="2" s="1"/>
  <c r="L833" i="2" a="1"/>
  <c r="L833" i="2" s="1"/>
  <c r="M834" i="2" a="1"/>
  <c r="M834" i="2" s="1"/>
  <c r="M835" i="2" a="1"/>
  <c r="M835" i="2" s="1"/>
  <c r="K837" i="2" a="1"/>
  <c r="K837" i="2" s="1"/>
  <c r="K838" i="2" a="1"/>
  <c r="K838" i="2" s="1"/>
  <c r="L839" i="2" a="1"/>
  <c r="L839" i="2" s="1"/>
  <c r="M841" i="2" a="1"/>
  <c r="M841" i="2" s="1"/>
  <c r="K843" i="2" a="1"/>
  <c r="K843" i="2" s="1"/>
  <c r="K844" i="2" a="1"/>
  <c r="K844" i="2" s="1"/>
  <c r="L845" i="2" a="1"/>
  <c r="L845" i="2" s="1"/>
  <c r="M846" i="2" a="1"/>
  <c r="M846" i="2" s="1"/>
  <c r="K848" i="2" a="1"/>
  <c r="K848" i="2" s="1"/>
  <c r="K849" i="2" a="1"/>
  <c r="K849" i="2" s="1"/>
  <c r="L850" i="2" a="1"/>
  <c r="L850" i="2" s="1"/>
  <c r="M851" i="2" a="1"/>
  <c r="M851" i="2" s="1"/>
  <c r="K853" i="2" a="1"/>
  <c r="K853" i="2" s="1"/>
  <c r="K854" i="2" a="1"/>
  <c r="K854" i="2" s="1"/>
  <c r="L855" i="2" a="1"/>
  <c r="L855" i="2" s="1"/>
  <c r="M857" i="2" a="1"/>
  <c r="M857" i="2" s="1"/>
  <c r="K859" i="2" a="1"/>
  <c r="K859" i="2" s="1"/>
  <c r="L860" i="2" a="1"/>
  <c r="L860" i="2" s="1"/>
  <c r="M861" i="2" a="1"/>
  <c r="M861" i="2" s="1"/>
  <c r="K863" i="2" a="1"/>
  <c r="K863" i="2" s="1"/>
  <c r="L864" i="2" a="1"/>
  <c r="L864" i="2" s="1"/>
  <c r="L865" i="2" a="1"/>
  <c r="L865" i="2" s="1"/>
  <c r="M866" i="2" a="1"/>
  <c r="M866" i="2" s="1"/>
  <c r="M867" i="2" a="1"/>
  <c r="M867" i="2" s="1"/>
  <c r="K869" i="2" a="1"/>
  <c r="K869" i="2" s="1"/>
  <c r="K870" i="2" a="1"/>
  <c r="K870" i="2" s="1"/>
  <c r="L871" i="2" a="1"/>
  <c r="L871" i="2" s="1"/>
  <c r="M873" i="2" a="1"/>
  <c r="M873" i="2" s="1"/>
  <c r="K875" i="2" a="1"/>
  <c r="K875" i="2" s="1"/>
  <c r="K876" i="2" a="1"/>
  <c r="K876" i="2" s="1"/>
  <c r="L877" i="2" a="1"/>
  <c r="L877" i="2" s="1"/>
  <c r="L878" i="2" a="1"/>
  <c r="L878" i="2" s="1"/>
  <c r="M879" i="2" a="1"/>
  <c r="M879" i="2" s="1"/>
  <c r="M880" i="2" a="1"/>
  <c r="M880" i="2" s="1"/>
  <c r="K882" i="2" a="1"/>
  <c r="K882" i="2" s="1"/>
  <c r="L884" i="2" a="1"/>
  <c r="L884" i="2" s="1"/>
  <c r="M885" i="2" a="1"/>
  <c r="M885" i="2" s="1"/>
  <c r="M886" i="2" a="1"/>
  <c r="M886" i="2" s="1"/>
  <c r="K888" i="2" a="1"/>
  <c r="K888" i="2" s="1"/>
  <c r="K889" i="2" a="1"/>
  <c r="K889" i="2" s="1"/>
  <c r="K890" i="2" a="1"/>
  <c r="K890" i="2" s="1"/>
  <c r="K892" i="2" a="1"/>
  <c r="K892" i="2" s="1"/>
  <c r="L893" i="2" a="1"/>
  <c r="L893" i="2" s="1"/>
  <c r="L894" i="2" a="1"/>
  <c r="L894" i="2" s="1"/>
  <c r="L895" i="2" a="1"/>
  <c r="L895" i="2" s="1"/>
  <c r="L897" i="2" a="1"/>
  <c r="L897" i="2" s="1"/>
  <c r="M898" i="2" a="1"/>
  <c r="M898" i="2" s="1"/>
  <c r="M899" i="2" a="1"/>
  <c r="M899" i="2" s="1"/>
  <c r="M900" i="2" a="1"/>
  <c r="M900" i="2" s="1"/>
  <c r="M902" i="2" a="1"/>
  <c r="M902" i="2" s="1"/>
  <c r="K904" i="2" a="1"/>
  <c r="K904" i="2" s="1"/>
  <c r="K905" i="2" a="1"/>
  <c r="K905" i="2" s="1"/>
  <c r="K906" i="2" a="1"/>
  <c r="K906" i="2" s="1"/>
  <c r="K908" i="2" a="1"/>
  <c r="K908" i="2" s="1"/>
  <c r="L909" i="2" a="1"/>
  <c r="L909" i="2" s="1"/>
  <c r="L910" i="2" a="1"/>
  <c r="L910" i="2" s="1"/>
  <c r="L911" i="2" a="1"/>
  <c r="L911" i="2" s="1"/>
  <c r="L913" i="2" a="1"/>
  <c r="L913" i="2" s="1"/>
  <c r="M914" i="2" a="1"/>
  <c r="M914" i="2" s="1"/>
  <c r="M915" i="2" a="1"/>
  <c r="M915" i="2" s="1"/>
  <c r="M916" i="2" a="1"/>
  <c r="M916" i="2" s="1"/>
  <c r="M918" i="2" a="1"/>
  <c r="M918" i="2" s="1"/>
  <c r="K920" i="2" a="1"/>
  <c r="K920" i="2" s="1"/>
  <c r="K921" i="2" a="1"/>
  <c r="K921" i="2" s="1"/>
  <c r="K922" i="2" a="1"/>
  <c r="K922" i="2" s="1"/>
  <c r="K924" i="2" a="1"/>
  <c r="K924" i="2" s="1"/>
  <c r="L925" i="2" a="1"/>
  <c r="L925" i="2" s="1"/>
  <c r="L926" i="2" a="1"/>
  <c r="L926" i="2" s="1"/>
  <c r="L927" i="2" a="1"/>
  <c r="L927" i="2" s="1"/>
  <c r="L929" i="2" a="1"/>
  <c r="L929" i="2" s="1"/>
  <c r="M930" i="2" a="1"/>
  <c r="M930" i="2" s="1"/>
  <c r="M931" i="2" a="1"/>
  <c r="M931" i="2" s="1"/>
  <c r="M932" i="2" a="1"/>
  <c r="M932" i="2" s="1"/>
  <c r="M934" i="2" a="1"/>
  <c r="M934" i="2" s="1"/>
  <c r="K936" i="2" a="1"/>
  <c r="K936" i="2" s="1"/>
  <c r="K937" i="2" a="1"/>
  <c r="K937" i="2" s="1"/>
  <c r="K938" i="2" a="1"/>
  <c r="K938" i="2" s="1"/>
  <c r="K940" i="2" a="1"/>
  <c r="K940" i="2" s="1"/>
  <c r="L941" i="2" a="1"/>
  <c r="L941" i="2" s="1"/>
  <c r="L942" i="2" a="1"/>
  <c r="L942" i="2" s="1"/>
  <c r="L943" i="2" a="1"/>
  <c r="L943" i="2" s="1"/>
  <c r="L945" i="2" a="1"/>
  <c r="L945" i="2" s="1"/>
  <c r="M946" i="2" a="1"/>
  <c r="M946" i="2" s="1"/>
  <c r="M947" i="2" a="1"/>
  <c r="M947" i="2" s="1"/>
  <c r="M948" i="2" a="1"/>
  <c r="M948" i="2" s="1"/>
  <c r="M950" i="2" a="1"/>
  <c r="M950" i="2" s="1"/>
  <c r="K952" i="2" a="1"/>
  <c r="K952" i="2" s="1"/>
  <c r="K953" i="2" a="1"/>
  <c r="K953" i="2" s="1"/>
  <c r="K954" i="2" a="1"/>
  <c r="K954" i="2" s="1"/>
  <c r="K955" i="2" a="1"/>
  <c r="K955" i="2" s="1"/>
  <c r="K957" i="2" a="1"/>
  <c r="K957" i="2" s="1"/>
  <c r="L958" i="2" a="1"/>
  <c r="L958" i="2" s="1"/>
  <c r="L959" i="2" a="1"/>
  <c r="L959" i="2" s="1"/>
  <c r="M960" i="2" a="1"/>
  <c r="M960" i="2" s="1"/>
  <c r="M961" i="2" a="1"/>
  <c r="M961" i="2" s="1"/>
  <c r="M962" i="2" a="1"/>
  <c r="M962" i="2" s="1"/>
  <c r="K964" i="2" a="1"/>
  <c r="K964" i="2" s="1"/>
  <c r="K966" i="2" a="1"/>
  <c r="K966" i="2" s="1"/>
  <c r="K967" i="2" a="1"/>
  <c r="K967" i="2" s="1"/>
  <c r="K968" i="2" a="1"/>
  <c r="K968" i="2" s="1"/>
  <c r="L969" i="2" a="1"/>
  <c r="L969" i="2" s="1"/>
  <c r="L971" i="2" a="1"/>
  <c r="L971" i="2" s="1"/>
  <c r="L972" i="2" a="1"/>
  <c r="L972" i="2" s="1"/>
  <c r="L973" i="2" a="1"/>
  <c r="L973" i="2" s="1"/>
  <c r="M974" i="2" a="1"/>
  <c r="M974" i="2" s="1"/>
  <c r="M975" i="2" a="1"/>
  <c r="M975" i="2" s="1"/>
  <c r="K977" i="2" a="1"/>
  <c r="K977" i="2" s="1"/>
  <c r="K978" i="2" a="1"/>
  <c r="K978" i="2" s="1"/>
  <c r="K979" i="2" a="1"/>
  <c r="K979" i="2" s="1"/>
  <c r="K981" i="2" a="1"/>
  <c r="K981" i="2" s="1"/>
  <c r="L982" i="2" a="1"/>
  <c r="L982" i="2" s="1"/>
  <c r="L983" i="2" a="1"/>
  <c r="L983" i="2" s="1"/>
  <c r="L984" i="2" a="1"/>
  <c r="L984" i="2" s="1"/>
  <c r="L986" i="2" a="1"/>
  <c r="L986" i="2" s="1"/>
  <c r="M987" i="2" a="1"/>
  <c r="M987" i="2" s="1"/>
  <c r="M988" i="2" a="1"/>
  <c r="M988" i="2" s="1"/>
  <c r="M989" i="2" a="1"/>
  <c r="M989" i="2" s="1"/>
  <c r="K992" i="2" a="1"/>
  <c r="K992" i="2" s="1"/>
  <c r="L993" i="2" a="1"/>
  <c r="L993" i="2" s="1"/>
  <c r="L994" i="2" a="1"/>
  <c r="L994" i="2" s="1"/>
  <c r="M995" i="2" a="1"/>
  <c r="M995" i="2" s="1"/>
  <c r="M996" i="2" a="1"/>
  <c r="M996" i="2" s="1"/>
  <c r="M997" i="2" a="1"/>
  <c r="M997" i="2" s="1"/>
  <c r="M999" i="2" a="1"/>
  <c r="M999" i="2" s="1"/>
  <c r="K1001" i="2" a="1"/>
  <c r="K1001" i="2" s="1"/>
  <c r="K1002" i="2" a="1"/>
  <c r="K1002" i="2" s="1"/>
  <c r="K1003" i="2" a="1"/>
  <c r="K1003" i="2" s="1"/>
  <c r="K1005" i="2" a="1"/>
  <c r="K1005" i="2" s="1"/>
  <c r="L1006" i="2" a="1"/>
  <c r="L1006" i="2" s="1"/>
  <c r="L1007" i="2" a="1"/>
  <c r="L1007" i="2" s="1"/>
  <c r="M1008" i="2" a="1"/>
  <c r="M1008" i="2" s="1"/>
  <c r="M1009" i="2" a="1"/>
  <c r="M1009" i="2" s="1"/>
  <c r="K1011" i="2" a="1"/>
  <c r="K1011" i="2" s="1"/>
  <c r="K1013" i="2" a="1"/>
  <c r="K1013" i="2" s="1"/>
  <c r="L1014" i="2" a="1"/>
  <c r="L1014" i="2" s="1"/>
  <c r="L1015" i="2" a="1"/>
  <c r="L1015" i="2" s="1"/>
  <c r="L1016" i="2" a="1"/>
  <c r="L1016" i="2" s="1"/>
  <c r="M1018" i="2" a="1"/>
  <c r="M1018" i="2" s="1"/>
  <c r="K1020" i="2" a="1"/>
  <c r="K1020" i="2" s="1"/>
  <c r="K1021" i="2" a="1"/>
  <c r="K1021" i="2" s="1"/>
  <c r="L1022" i="2" a="1"/>
  <c r="L1022" i="2" s="1"/>
  <c r="L1023" i="2" a="1"/>
  <c r="L1023" i="2" s="1"/>
  <c r="M1024" i="2" a="1"/>
  <c r="M1024" i="2" s="1"/>
  <c r="M1025" i="2" a="1"/>
  <c r="M1025" i="2" s="1"/>
  <c r="M1026" i="2" a="1"/>
  <c r="M1026" i="2" s="1"/>
  <c r="K1028" i="2" a="1"/>
  <c r="K1028" i="2" s="1"/>
  <c r="K1030" i="2" a="1"/>
  <c r="K1030" i="2" s="1"/>
  <c r="K1031" i="2" a="1"/>
  <c r="K1031" i="2" s="1"/>
  <c r="K1032" i="2" a="1"/>
  <c r="K1032" i="2" s="1"/>
  <c r="L1033" i="2" a="1"/>
  <c r="L1033" i="2" s="1"/>
  <c r="L1035" i="2" a="1"/>
  <c r="L1035" i="2" s="1"/>
  <c r="L1036" i="2" a="1"/>
  <c r="L1036" i="2" s="1"/>
  <c r="L1037" i="2" a="1"/>
  <c r="L1037" i="2" s="1"/>
  <c r="M1038" i="2" a="1"/>
  <c r="M1038" i="2" s="1"/>
  <c r="M1040" i="2" a="1"/>
  <c r="M1040" i="2" s="1"/>
  <c r="M1041" i="2" a="1"/>
  <c r="M1041" i="2" s="1"/>
  <c r="M1042" i="2" a="1"/>
  <c r="M1042" i="2" s="1"/>
  <c r="K1044" i="2" a="1"/>
  <c r="K1044" i="2" s="1"/>
  <c r="K1045" i="2" a="1"/>
  <c r="K1045" i="2" s="1"/>
  <c r="L1046" i="2" a="1"/>
  <c r="L1046" i="2" s="1"/>
  <c r="L1047" i="2" a="1"/>
  <c r="L1047" i="2" s="1"/>
  <c r="M1048" i="2" a="1"/>
  <c r="M1048" i="2" s="1"/>
  <c r="M1049" i="2" a="1"/>
  <c r="M1049" i="2" s="1"/>
  <c r="K1051" i="2" a="1"/>
  <c r="K1051" i="2" s="1"/>
  <c r="K1053" i="2" a="1"/>
  <c r="K1053" i="2" s="1"/>
  <c r="L1054" i="2" a="1"/>
  <c r="L1054" i="2" s="1"/>
  <c r="L1055" i="2" a="1"/>
  <c r="L1055" i="2" s="1"/>
  <c r="L1056" i="2" a="1"/>
  <c r="L1056" i="2" s="1"/>
  <c r="L1058" i="2" a="1"/>
  <c r="L1058" i="2" s="1"/>
  <c r="M1059" i="2" a="1"/>
  <c r="M1059" i="2" s="1"/>
  <c r="M1060" i="2" a="1"/>
  <c r="M1060" i="2" s="1"/>
  <c r="K1062" i="2" a="1"/>
  <c r="K1062" i="2" s="1"/>
  <c r="K1063" i="2" a="1"/>
  <c r="K1063" i="2" s="1"/>
  <c r="L1064" i="2" a="1"/>
  <c r="L1064" i="2" s="1"/>
  <c r="M1066" i="2" a="1"/>
  <c r="M1066" i="2" s="1"/>
  <c r="K1068" i="2" a="1"/>
  <c r="K1068" i="2" s="1"/>
  <c r="K1069" i="2" a="1"/>
  <c r="K1069" i="2" s="1"/>
  <c r="L1070" i="2" a="1"/>
  <c r="L1070" i="2" s="1"/>
  <c r="L1071" i="2" a="1"/>
  <c r="L1071" i="2" s="1"/>
  <c r="M1072" i="2" a="1"/>
  <c r="M1072" i="2" s="1"/>
  <c r="M1073" i="2" a="1"/>
  <c r="M1073" i="2" s="1"/>
  <c r="K1075" i="2" a="1"/>
  <c r="K1075" i="2" s="1"/>
  <c r="L1077" i="2" a="1"/>
  <c r="L1077" i="2" s="1"/>
  <c r="M1078" i="2" a="1"/>
  <c r="M1078" i="2" s="1"/>
  <c r="M1079" i="2" a="1"/>
  <c r="M1079" i="2" s="1"/>
  <c r="K1081" i="2" a="1"/>
  <c r="K1081" i="2" s="1"/>
  <c r="K1082" i="2" a="1"/>
  <c r="K1082" i="2" s="1"/>
  <c r="L1083" i="2" a="1"/>
  <c r="L1083" i="2" s="1"/>
  <c r="L1084" i="2" a="1"/>
  <c r="L1084" i="2" s="1"/>
  <c r="M1085" i="2" a="1"/>
  <c r="M1085" i="2" s="1"/>
  <c r="K1088" i="2" a="1"/>
  <c r="K1088" i="2" s="1"/>
  <c r="L1089" i="2" a="1"/>
  <c r="L1089" i="2" s="1"/>
  <c r="L1090" i="2" a="1"/>
  <c r="L1090" i="2" s="1"/>
  <c r="M1091" i="2" a="1"/>
  <c r="M1091" i="2" s="1"/>
  <c r="M1092" i="2" a="1"/>
  <c r="M1092" i="2" s="1"/>
  <c r="K1094" i="2" a="1"/>
  <c r="K1094" i="2" s="1"/>
  <c r="K1095" i="2" a="1"/>
  <c r="K1095" i="2" s="1"/>
  <c r="L1096" i="2" a="1"/>
  <c r="L1096" i="2" s="1"/>
  <c r="M1098" i="2" a="1"/>
  <c r="M1098" i="2" s="1"/>
  <c r="K1100" i="2" a="1"/>
  <c r="K1100" i="2" s="1"/>
  <c r="K1101" i="2" a="1"/>
  <c r="K1101" i="2" s="1"/>
  <c r="L1102" i="2" a="1"/>
  <c r="L1102" i="2" s="1"/>
  <c r="L1103" i="2" a="1"/>
  <c r="L1103" i="2" s="1"/>
  <c r="M1104" i="2" a="1"/>
  <c r="M1104" i="2" s="1"/>
  <c r="M1105" i="2" a="1"/>
  <c r="M1105" i="2" s="1"/>
  <c r="K1107" i="2" a="1"/>
  <c r="K1107" i="2" s="1"/>
  <c r="K1109" i="2" a="1"/>
  <c r="K1109" i="2" s="1"/>
  <c r="L1110" i="2" a="1"/>
  <c r="L1110" i="2" s="1"/>
  <c r="L1111" i="2" a="1"/>
  <c r="L1111" i="2" s="1"/>
  <c r="L1112" i="2" a="1"/>
  <c r="L1112" i="2" s="1"/>
  <c r="M1114" i="2" a="1"/>
  <c r="M1114" i="2" s="1"/>
  <c r="K1116" i="2" a="1"/>
  <c r="K1116" i="2" s="1"/>
  <c r="K1117" i="2" a="1"/>
  <c r="K1117" i="2" s="1"/>
  <c r="L1118" i="2" a="1"/>
  <c r="L1118" i="2" s="1"/>
  <c r="L1119" i="2" a="1"/>
  <c r="L1119" i="2" s="1"/>
  <c r="M1120" i="2" a="1"/>
  <c r="M1120" i="2" s="1"/>
  <c r="M1121" i="2" a="1"/>
  <c r="M1121" i="2" s="1"/>
  <c r="K1123" i="2" a="1"/>
  <c r="K1123" i="2" s="1"/>
  <c r="L1125" i="2" a="1"/>
  <c r="L1125" i="2" s="1"/>
  <c r="M1126" i="2" a="1"/>
  <c r="M1126" i="2" s="1"/>
  <c r="M1127" i="2" a="1"/>
  <c r="M1127" i="2" s="1"/>
  <c r="K1129" i="2" a="1"/>
  <c r="K1129" i="2" s="1"/>
  <c r="K1130" i="2" a="1"/>
  <c r="K1130" i="2" s="1"/>
  <c r="L1131" i="2" a="1"/>
  <c r="L1131" i="2" s="1"/>
  <c r="L1132" i="2" a="1"/>
  <c r="L1132" i="2" s="1"/>
  <c r="M1133" i="2" a="1"/>
  <c r="M1133" i="2" s="1"/>
  <c r="K1136" i="2" a="1"/>
  <c r="K1136" i="2" s="1"/>
  <c r="L1137" i="2" a="1"/>
  <c r="L1137" i="2" s="1"/>
  <c r="L1138" i="2" a="1"/>
  <c r="L1138" i="2" s="1"/>
  <c r="M1139" i="2" a="1"/>
  <c r="M1139" i="2" s="1"/>
  <c r="M1140" i="2" a="1"/>
  <c r="M1140" i="2" s="1"/>
  <c r="K1142" i="2" a="1"/>
  <c r="K1142" i="2" s="1"/>
  <c r="K1143" i="2" a="1"/>
  <c r="K1143" i="2" s="1"/>
  <c r="L1144" i="2" a="1"/>
  <c r="L1144" i="2" s="1"/>
  <c r="M1146" i="2" a="1"/>
  <c r="M1146" i="2" s="1"/>
  <c r="K1148" i="2" a="1"/>
  <c r="K1148" i="2" s="1"/>
  <c r="K1149" i="2" a="1"/>
  <c r="K1149" i="2" s="1"/>
  <c r="L1150" i="2" a="1"/>
  <c r="L1150" i="2" s="1"/>
  <c r="L1151" i="2" a="1"/>
  <c r="L1151" i="2" s="1"/>
  <c r="M1152" i="2" a="1"/>
  <c r="M1152" i="2" s="1"/>
  <c r="M1153" i="2" a="1"/>
  <c r="M1153" i="2" s="1"/>
  <c r="K1155" i="2" a="1"/>
  <c r="K1155" i="2" s="1"/>
  <c r="L1157" i="2" a="1"/>
  <c r="L1157" i="2" s="1"/>
  <c r="M1158" i="2" a="1"/>
  <c r="M1158" i="2" s="1"/>
  <c r="M1159" i="2" a="1"/>
  <c r="M1159" i="2" s="1"/>
  <c r="K1161" i="2" a="1"/>
  <c r="K1161" i="2" s="1"/>
  <c r="K1162" i="2" a="1"/>
  <c r="K1162" i="2" s="1"/>
  <c r="L1163" i="2" a="1"/>
  <c r="L1163" i="2" s="1"/>
  <c r="L1164" i="2" a="1"/>
  <c r="L1164" i="2" s="1"/>
  <c r="M1165" i="2" a="1"/>
  <c r="M1165" i="2" s="1"/>
  <c r="K1168" i="2" a="1"/>
  <c r="K1168" i="2" s="1"/>
  <c r="L1169" i="2" a="1"/>
  <c r="L1169" i="2" s="1"/>
  <c r="L1170" i="2" a="1"/>
  <c r="L1170" i="2" s="1"/>
  <c r="M1171" i="2" a="1"/>
  <c r="M1171" i="2" s="1"/>
  <c r="M1172" i="2" a="1"/>
  <c r="M1172" i="2" s="1"/>
  <c r="K1174" i="2" a="1"/>
  <c r="K1174" i="2" s="1"/>
  <c r="K1175" i="2" a="1"/>
  <c r="K1175" i="2" s="1"/>
  <c r="L1176" i="2" a="1"/>
  <c r="L1176" i="2" s="1"/>
  <c r="M1178" i="2" a="1"/>
  <c r="M1178" i="2" s="1"/>
  <c r="K1180" i="2" a="1"/>
  <c r="K1180" i="2" s="1"/>
  <c r="K1181" i="2" a="1"/>
  <c r="K1181" i="2" s="1"/>
  <c r="L1182" i="2" a="1"/>
  <c r="L1182" i="2" s="1"/>
  <c r="L1183" i="2" a="1"/>
  <c r="L1183" i="2" s="1"/>
  <c r="M1184" i="2" a="1"/>
  <c r="M1184" i="2" s="1"/>
  <c r="M1185" i="2" a="1"/>
  <c r="M1185" i="2" s="1"/>
  <c r="K1187" i="2" a="1"/>
  <c r="K1187" i="2" s="1"/>
  <c r="K1189" i="2" a="1"/>
  <c r="K1189" i="2" s="1"/>
  <c r="L1190" i="2" a="1"/>
  <c r="L1190" i="2" s="1"/>
  <c r="L1191" i="2" a="1"/>
  <c r="L1191" i="2" s="1"/>
  <c r="M1192" i="2" a="1"/>
  <c r="M1192" i="2" s="1"/>
  <c r="M1193" i="2" a="1"/>
  <c r="M1193" i="2" s="1"/>
  <c r="M1194" i="2" a="1"/>
  <c r="M1194" i="2" s="1"/>
  <c r="K1196" i="2" a="1"/>
  <c r="K1196" i="2" s="1"/>
  <c r="K1197" i="2" a="1"/>
  <c r="K1197" i="2" s="1"/>
  <c r="L1198" i="2" a="1"/>
  <c r="L1198" i="2" s="1"/>
  <c r="L1199" i="2" a="1"/>
  <c r="L1199" i="2" s="1"/>
  <c r="M1200" i="2" a="1"/>
  <c r="M1200" i="2" s="1"/>
  <c r="M1201" i="2" a="1"/>
  <c r="M1201" i="2" s="1"/>
  <c r="K1203" i="2" a="1"/>
  <c r="K1203" i="2" s="1"/>
  <c r="L1205" i="2" a="1"/>
  <c r="L1205" i="2" s="1"/>
  <c r="M1206" i="2" a="1"/>
  <c r="M1206" i="2" s="1"/>
  <c r="M1207" i="2" a="1"/>
  <c r="M1207" i="2" s="1"/>
  <c r="K1209" i="2" a="1"/>
  <c r="K1209" i="2" s="1"/>
  <c r="K1210" i="2" a="1"/>
  <c r="K1210" i="2" s="1"/>
  <c r="L1211" i="2" a="1"/>
  <c r="L1211" i="2" s="1"/>
  <c r="L1212" i="2" a="1"/>
  <c r="L1212" i="2" s="1"/>
  <c r="M1213" i="2" a="1"/>
  <c r="M1213" i="2" s="1"/>
  <c r="K1216" i="2" a="1"/>
  <c r="K1216" i="2" s="1"/>
  <c r="L1217" i="2" a="1"/>
  <c r="L1217" i="2" s="1"/>
  <c r="L1218" i="2" a="1"/>
  <c r="L1218" i="2" s="1"/>
  <c r="M1219" i="2" a="1"/>
  <c r="M1219" i="2" s="1"/>
  <c r="M1220" i="2" a="1"/>
  <c r="M1220" i="2" s="1"/>
  <c r="K1222" i="2" a="1"/>
  <c r="K1222" i="2" s="1"/>
  <c r="K1223" i="2" a="1"/>
  <c r="K1223" i="2" s="1"/>
  <c r="L1224" i="2" a="1"/>
  <c r="L1224" i="2" s="1"/>
  <c r="L1226" i="2" a="1"/>
  <c r="L1226" i="2" s="1"/>
  <c r="M1227" i="2" a="1"/>
  <c r="M1227" i="2" s="1"/>
  <c r="M1228" i="2" a="1"/>
  <c r="M1228" i="2" s="1"/>
  <c r="M1229" i="2" a="1"/>
  <c r="M1229" i="2" s="1"/>
  <c r="M1231" i="2" a="1"/>
  <c r="M1231" i="2" s="1"/>
  <c r="K1233" i="2" a="1"/>
  <c r="K1233" i="2" s="1"/>
  <c r="K1234" i="2" a="1"/>
  <c r="K1234" i="2" s="1"/>
  <c r="K1235" i="2" a="1"/>
  <c r="K1235" i="2" s="1"/>
  <c r="K1237" i="2" a="1"/>
  <c r="K1237" i="2" s="1"/>
  <c r="L1238" i="2" a="1"/>
  <c r="L1238" i="2" s="1"/>
  <c r="L1239" i="2" a="1"/>
  <c r="L1239" i="2" s="1"/>
  <c r="M1240" i="2" a="1"/>
  <c r="M1240" i="2" s="1"/>
  <c r="M1241" i="2" a="1"/>
  <c r="M1241" i="2" s="1"/>
  <c r="K1243" i="2" a="1"/>
  <c r="K1243" i="2" s="1"/>
  <c r="K1245" i="2" a="1"/>
  <c r="K1245" i="2" s="1"/>
  <c r="L1246" i="2" a="1"/>
  <c r="L1246" i="2" s="1"/>
  <c r="L1247" i="2" a="1"/>
  <c r="L1247" i="2" s="1"/>
  <c r="L1248" i="2" a="1"/>
  <c r="L1248" i="2" s="1"/>
  <c r="M1250" i="2" a="1"/>
  <c r="M1250" i="2" s="1"/>
  <c r="K1252" i="2" a="1"/>
  <c r="K1252" i="2" s="1"/>
  <c r="K1254" i="2" a="1"/>
  <c r="K1254" i="2" s="1"/>
  <c r="K1255" i="2" a="1"/>
  <c r="K1255" i="2" s="1"/>
  <c r="K1256" i="2" a="1"/>
  <c r="K1256" i="2" s="1"/>
  <c r="L1257" i="2" a="1"/>
  <c r="L1257" i="2" s="1"/>
  <c r="L1259" i="2" a="1"/>
  <c r="L1259" i="2" s="1"/>
  <c r="L1260" i="2" a="1"/>
  <c r="L1260" i="2" s="1"/>
  <c r="L1261" i="2" a="1"/>
  <c r="L1261" i="2" s="1"/>
  <c r="M1262" i="2" a="1"/>
  <c r="M1262" i="2" s="1"/>
  <c r="M1263" i="2" a="1"/>
  <c r="M1263" i="2" s="1"/>
  <c r="K1265" i="2" a="1"/>
  <c r="K1265" i="2" s="1"/>
  <c r="K1266" i="2" a="1"/>
  <c r="K1266" i="2" s="1"/>
  <c r="K1267" i="2" a="1"/>
  <c r="K1267" i="2" s="1"/>
  <c r="K1269" i="2" a="1"/>
  <c r="K1269" i="2" s="1"/>
  <c r="L1270" i="2" a="1"/>
  <c r="L1270" i="2" s="1"/>
  <c r="L1271" i="2" a="1"/>
  <c r="L1271" i="2" s="1"/>
  <c r="L1272" i="2" a="1"/>
  <c r="L1272" i="2" s="1"/>
  <c r="L1274" i="2" a="1"/>
  <c r="L1274" i="2" s="1"/>
  <c r="M1275" i="2" a="1"/>
  <c r="M1275" i="2" s="1"/>
  <c r="M1276" i="2" a="1"/>
  <c r="M1276" i="2" s="1"/>
  <c r="M1277" i="2" a="1"/>
  <c r="M1277" i="2" s="1"/>
  <c r="M1279" i="2" a="1"/>
  <c r="M1279" i="2" s="1"/>
  <c r="K1281" i="2" a="1"/>
  <c r="K1281" i="2" s="1"/>
  <c r="K1282" i="2" a="1"/>
  <c r="K1282" i="2" s="1"/>
  <c r="K1283" i="2" a="1"/>
  <c r="K1283" i="2" s="1"/>
  <c r="K1285" i="2" a="1"/>
  <c r="K1285" i="2" s="1"/>
  <c r="L1286" i="2" a="1"/>
  <c r="L1286" i="2" s="1"/>
  <c r="L1287" i="2" a="1"/>
  <c r="L1287" i="2" s="1"/>
  <c r="L1288" i="2" a="1"/>
  <c r="L1288" i="2" s="1"/>
  <c r="L1290" i="2" a="1"/>
  <c r="L1290" i="2" s="1"/>
  <c r="M1291" i="2" a="1"/>
  <c r="M1291" i="2" s="1"/>
  <c r="M1292" i="2" a="1"/>
  <c r="M1292" i="2" s="1"/>
  <c r="M1293" i="2" a="1"/>
  <c r="M1293" i="2" s="1"/>
  <c r="M1295" i="2" a="1"/>
  <c r="M1295" i="2" s="1"/>
  <c r="K1297" i="2" a="1"/>
  <c r="K1297" i="2" s="1"/>
  <c r="K1298" i="2" a="1"/>
  <c r="K1298" i="2" s="1"/>
  <c r="K1299" i="2" a="1"/>
  <c r="K1299" i="2" s="1"/>
  <c r="K1301" i="2" a="1"/>
  <c r="K1301" i="2" s="1"/>
  <c r="L1302" i="2" a="1"/>
  <c r="L1302" i="2" s="1"/>
  <c r="L1303" i="2" a="1"/>
  <c r="L1303" i="2" s="1"/>
  <c r="L1304" i="2" a="1"/>
  <c r="L1304" i="2" s="1"/>
  <c r="L1305" i="2" a="1"/>
  <c r="L1305" i="2" s="1"/>
  <c r="L1307" i="2" a="1"/>
  <c r="L1307" i="2" s="1"/>
  <c r="L1308" i="2" a="1"/>
  <c r="L1308" i="2" s="1"/>
  <c r="L1309" i="2" a="1"/>
  <c r="L1309" i="2" s="1"/>
  <c r="M1310" i="2" a="1"/>
  <c r="M1310" i="2" s="1"/>
  <c r="M1312" i="2" a="1"/>
  <c r="M1312" i="2" s="1"/>
  <c r="M1313" i="2" a="1"/>
  <c r="M1313" i="2" s="1"/>
  <c r="M1314" i="2" a="1"/>
  <c r="M1314" i="2" s="1"/>
  <c r="K1316" i="2" a="1"/>
  <c r="K1316" i="2" s="1"/>
  <c r="K1318" i="2" a="1"/>
  <c r="K1318" i="2" s="1"/>
  <c r="K1319" i="2" a="1"/>
  <c r="K1319" i="2" s="1"/>
  <c r="K1320" i="2" a="1"/>
  <c r="K1320" i="2" s="1"/>
  <c r="L1321" i="2" a="1"/>
  <c r="L1321" i="2" s="1"/>
  <c r="L1323" i="2" a="1"/>
  <c r="L1323" i="2" s="1"/>
  <c r="L1324" i="2" a="1"/>
  <c r="L1324" i="2" s="1"/>
  <c r="L1325" i="2" a="1"/>
  <c r="L1325" i="2" s="1"/>
  <c r="M1326" i="2" a="1"/>
  <c r="M1326" i="2" s="1"/>
  <c r="M1328" i="2" a="1"/>
  <c r="M1328" i="2" s="1"/>
  <c r="M1329" i="2" a="1"/>
  <c r="M1329" i="2" s="1"/>
  <c r="M1330" i="2" a="1"/>
  <c r="M1330" i="2" s="1"/>
  <c r="K1332" i="2" a="1"/>
  <c r="K1332" i="2" s="1"/>
  <c r="K1334" i="2" a="1"/>
  <c r="K1334" i="2" s="1"/>
  <c r="K1335" i="2" a="1"/>
  <c r="K1335" i="2" s="1"/>
  <c r="K1336" i="2" a="1"/>
  <c r="K1336" i="2" s="1"/>
  <c r="L1337" i="2" a="1"/>
  <c r="L1337" i="2" s="1"/>
  <c r="L1339" i="2" a="1"/>
  <c r="L1339" i="2" s="1"/>
  <c r="L1340" i="2" a="1"/>
  <c r="L1340" i="2" s="1"/>
  <c r="L1341" i="2" a="1"/>
  <c r="L1341" i="2" s="1"/>
  <c r="M1342" i="2" a="1"/>
  <c r="M1342" i="2" s="1"/>
  <c r="M1344" i="2" a="1"/>
  <c r="M1344" i="2" s="1"/>
  <c r="M1345" i="2" a="1"/>
  <c r="M1345" i="2" s="1"/>
  <c r="M1346" i="2" a="1"/>
  <c r="M1346" i="2" s="1"/>
  <c r="K1348" i="2" a="1"/>
  <c r="K1348" i="2" s="1"/>
  <c r="K1350" i="2" a="1"/>
  <c r="K1350" i="2" s="1"/>
  <c r="K1351" i="2" a="1"/>
  <c r="K1351" i="2" s="1"/>
  <c r="K1352" i="2" a="1"/>
  <c r="K1352" i="2" s="1"/>
  <c r="M1353" i="2" a="1"/>
  <c r="M1353" i="2" s="1"/>
  <c r="M1354" i="2" a="1"/>
  <c r="M1354" i="2" s="1"/>
  <c r="L1356" i="2" a="1"/>
  <c r="L1356" i="2" s="1"/>
  <c r="L1357" i="2" a="1"/>
  <c r="L1357" i="2" s="1"/>
  <c r="K1359" i="2" a="1"/>
  <c r="K1359" i="2" s="1"/>
  <c r="K1360" i="2" a="1"/>
  <c r="K1360" i="2" s="1"/>
  <c r="M1361" i="2" a="1"/>
  <c r="M1361" i="2" s="1"/>
  <c r="M1362" i="2" a="1"/>
  <c r="M1362" i="2" s="1"/>
  <c r="L1364" i="2" a="1"/>
  <c r="L1364" i="2" s="1"/>
  <c r="L1365" i="2" a="1"/>
  <c r="L1365" i="2" s="1"/>
  <c r="K1366" i="2" a="1"/>
  <c r="K1366" i="2" s="1"/>
  <c r="M1367" i="2" a="1"/>
  <c r="M1367" i="2" s="1"/>
  <c r="M1368" i="2" a="1"/>
  <c r="M1368" i="2" s="1"/>
  <c r="L1370" i="2" a="1"/>
  <c r="L1370" i="2" s="1"/>
  <c r="L1371" i="2" a="1"/>
  <c r="L1371" i="2" s="1"/>
  <c r="K1373" i="2" a="1"/>
  <c r="K1373" i="2" s="1"/>
  <c r="K1374" i="2" a="1"/>
  <c r="K1374" i="2" s="1"/>
  <c r="M1375" i="2" a="1"/>
  <c r="M1375" i="2" s="1"/>
  <c r="M1376" i="2" a="1"/>
  <c r="M1376" i="2" s="1"/>
  <c r="L1378" i="2" a="1"/>
  <c r="L1378" i="2" s="1"/>
  <c r="L1379" i="2" a="1"/>
  <c r="L1379" i="2" s="1"/>
  <c r="K1381" i="2" a="1"/>
  <c r="K1381" i="2" s="1"/>
  <c r="K1382" i="2" a="1"/>
  <c r="K1382" i="2" s="1"/>
  <c r="M1383" i="2" a="1"/>
  <c r="M1383" i="2" s="1"/>
  <c r="M1384" i="2" a="1"/>
  <c r="M1384" i="2" s="1"/>
  <c r="L1386" i="2" a="1"/>
  <c r="L1386" i="2" s="1"/>
  <c r="L1387" i="2" a="1"/>
  <c r="L1387" i="2" s="1"/>
  <c r="K1389" i="2" a="1"/>
  <c r="K1389" i="2" s="1"/>
  <c r="K1390" i="2" a="1"/>
  <c r="K1390" i="2" s="1"/>
  <c r="M1391" i="2" a="1"/>
  <c r="M1391" i="2" s="1"/>
  <c r="M1392" i="2" a="1"/>
  <c r="M1392" i="2" s="1"/>
  <c r="L1394" i="2" a="1"/>
  <c r="L1394" i="2" s="1"/>
  <c r="L1395" i="2" a="1"/>
  <c r="L1395" i="2" s="1"/>
  <c r="K1397" i="2" a="1"/>
  <c r="K1397" i="2" s="1"/>
  <c r="K1398" i="2" a="1"/>
  <c r="K1398" i="2" s="1"/>
  <c r="M1399" i="2" a="1"/>
  <c r="M1399" i="2" s="1"/>
  <c r="M1400" i="2" a="1"/>
  <c r="M1400" i="2" s="1"/>
  <c r="L1402" i="2" a="1"/>
  <c r="L1402" i="2" s="1"/>
  <c r="L1403" i="2" a="1"/>
  <c r="L1403" i="2" s="1"/>
  <c r="K1405" i="2" a="1"/>
  <c r="K1405" i="2" s="1"/>
  <c r="K1406" i="2" a="1"/>
  <c r="K1406" i="2" s="1"/>
  <c r="M1407" i="2" a="1"/>
  <c r="M1407" i="2" s="1"/>
  <c r="M1408" i="2" a="1"/>
  <c r="M1408" i="2" s="1"/>
  <c r="L1410" i="2" a="1"/>
  <c r="L1410" i="2" s="1"/>
  <c r="L1411" i="2" a="1"/>
  <c r="L1411" i="2" s="1"/>
  <c r="K1413" i="2" a="1"/>
  <c r="K1413" i="2" s="1"/>
  <c r="K1414" i="2" a="1"/>
  <c r="K1414" i="2" s="1"/>
  <c r="M1415" i="2" a="1"/>
  <c r="M1415" i="2" s="1"/>
  <c r="M1416" i="2" a="1"/>
  <c r="M1416" i="2" s="1"/>
  <c r="L1418" i="2" a="1"/>
  <c r="L1418" i="2" s="1"/>
  <c r="L1419" i="2" a="1"/>
  <c r="L1419" i="2" s="1"/>
  <c r="K1421" i="2" a="1"/>
  <c r="K1421" i="2" s="1"/>
  <c r="K1422" i="2" a="1"/>
  <c r="K1422" i="2" s="1"/>
  <c r="M1423" i="2" a="1"/>
  <c r="M1423" i="2" s="1"/>
  <c r="M1424" i="2" a="1"/>
  <c r="M1424" i="2" s="1"/>
  <c r="L1426" i="2" a="1"/>
  <c r="L1426" i="2" s="1"/>
  <c r="L1427" i="2" a="1"/>
  <c r="L1427" i="2" s="1"/>
  <c r="K1429" i="2" a="1"/>
  <c r="K1429" i="2" s="1"/>
  <c r="K1430" i="2" a="1"/>
  <c r="K1430" i="2" s="1"/>
  <c r="M1431" i="2" a="1"/>
  <c r="M1431" i="2" s="1"/>
  <c r="M1432" i="2" a="1"/>
  <c r="M1432" i="2" s="1"/>
  <c r="L1434" i="2" a="1"/>
  <c r="L1434" i="2" s="1"/>
  <c r="L1435" i="2" a="1"/>
  <c r="L1435" i="2" s="1"/>
  <c r="K1437" i="2" a="1"/>
  <c r="K1437" i="2" s="1"/>
  <c r="K1438" i="2" a="1"/>
  <c r="K1438" i="2" s="1"/>
  <c r="M1439" i="2" a="1"/>
  <c r="M1439" i="2" s="1"/>
  <c r="M1440" i="2" a="1"/>
  <c r="M1440" i="2" s="1"/>
  <c r="L1442" i="2" a="1"/>
  <c r="L1442" i="2" s="1"/>
  <c r="L1443" i="2" a="1"/>
  <c r="L1443" i="2" s="1"/>
  <c r="K1445" i="2" a="1"/>
  <c r="K1445" i="2" s="1"/>
  <c r="K1446" i="2" a="1"/>
  <c r="K1446" i="2" s="1"/>
  <c r="M1447" i="2" a="1"/>
  <c r="M1447" i="2" s="1"/>
  <c r="M1448" i="2" a="1"/>
  <c r="M1448" i="2" s="1"/>
  <c r="L1450" i="2" a="1"/>
  <c r="L1450" i="2" s="1"/>
  <c r="L1451" i="2" a="1"/>
  <c r="L1451" i="2" s="1"/>
  <c r="K1453" i="2" a="1"/>
  <c r="K1453" i="2" s="1"/>
  <c r="K1454" i="2" a="1"/>
  <c r="K1454" i="2" s="1"/>
  <c r="M1455" i="2" a="1"/>
  <c r="M1455" i="2" s="1"/>
  <c r="M1456" i="2" a="1"/>
  <c r="M1456" i="2" s="1"/>
  <c r="L1458" i="2" a="1"/>
  <c r="L1458" i="2" s="1"/>
  <c r="L1459" i="2" a="1"/>
  <c r="L1459" i="2" s="1"/>
  <c r="K1461" i="2" a="1"/>
  <c r="K1461" i="2" s="1"/>
  <c r="K1462" i="2" a="1"/>
  <c r="K1462" i="2" s="1"/>
  <c r="M1463" i="2" a="1"/>
  <c r="M1463" i="2" s="1"/>
  <c r="M1464" i="2" a="1"/>
  <c r="M1464" i="2" s="1"/>
  <c r="L1466" i="2" a="1"/>
  <c r="L1466" i="2" s="1"/>
  <c r="L1467" i="2" a="1"/>
  <c r="L1467" i="2" s="1"/>
  <c r="K1469" i="2" a="1"/>
  <c r="K1469" i="2" s="1"/>
  <c r="K1470" i="2" a="1"/>
  <c r="K1470" i="2" s="1"/>
  <c r="M1471" i="2" a="1"/>
  <c r="M1471" i="2" s="1"/>
  <c r="M1472" i="2" a="1"/>
  <c r="M1472" i="2" s="1"/>
  <c r="L1474" i="2" a="1"/>
  <c r="L1474" i="2" s="1"/>
  <c r="L1475" i="2" a="1"/>
  <c r="L1475" i="2" s="1"/>
  <c r="K1477" i="2" a="1"/>
  <c r="K1477" i="2" s="1"/>
  <c r="K1478" i="2" a="1"/>
  <c r="K1478" i="2" s="1"/>
  <c r="M1479" i="2" a="1"/>
  <c r="M1479" i="2" s="1"/>
  <c r="M1480" i="2" a="1"/>
  <c r="M1480" i="2" s="1"/>
  <c r="L1482" i="2" a="1"/>
  <c r="L1482" i="2" s="1"/>
  <c r="L1483" i="2" a="1"/>
  <c r="L1483" i="2" s="1"/>
  <c r="K1485" i="2" a="1"/>
  <c r="K1485" i="2" s="1"/>
  <c r="K1486" i="2" a="1"/>
  <c r="K1486" i="2" s="1"/>
  <c r="M1487" i="2" a="1"/>
  <c r="M1487" i="2" s="1"/>
  <c r="M1488" i="2" a="1"/>
  <c r="M1488" i="2" s="1"/>
  <c r="L1490" i="2" a="1"/>
  <c r="L1490" i="2" s="1"/>
  <c r="L1491" i="2" a="1"/>
  <c r="L1491" i="2" s="1"/>
  <c r="K1493" i="2" a="1"/>
  <c r="K1493" i="2" s="1"/>
  <c r="K1494" i="2" a="1"/>
  <c r="K1494" i="2" s="1"/>
  <c r="M1495" i="2" a="1"/>
  <c r="M1495" i="2" s="1"/>
  <c r="M1496" i="2" a="1"/>
  <c r="M1496" i="2" s="1"/>
  <c r="L1498" i="2" a="1"/>
  <c r="L1498" i="2" s="1"/>
  <c r="L1499" i="2" a="1"/>
  <c r="L1499" i="2" s="1"/>
  <c r="K1501" i="2" a="1"/>
  <c r="K1501" i="2" s="1"/>
  <c r="K1502" i="2" a="1"/>
  <c r="K1502" i="2" s="1"/>
  <c r="M1503" i="2" a="1"/>
  <c r="M1503" i="2" s="1"/>
  <c r="M1504" i="2" a="1"/>
  <c r="M1504" i="2" s="1"/>
  <c r="L1506" i="2" a="1"/>
  <c r="L1506" i="2" s="1"/>
  <c r="L1507" i="2" a="1"/>
  <c r="L1507" i="2" s="1"/>
  <c r="K1509" i="2" a="1"/>
  <c r="K1509" i="2" s="1"/>
  <c r="K1510" i="2" a="1"/>
  <c r="K1510" i="2" s="1"/>
  <c r="M1511" i="2" a="1"/>
  <c r="M1511" i="2" s="1"/>
  <c r="M1512" i="2" a="1"/>
  <c r="M1512" i="2" s="1"/>
  <c r="L1514" i="2" a="1"/>
  <c r="L1514" i="2" s="1"/>
  <c r="L1515" i="2" a="1"/>
  <c r="L1515" i="2" s="1"/>
  <c r="K1517" i="2" a="1"/>
  <c r="K1517" i="2" s="1"/>
  <c r="K1518" i="2" a="1"/>
  <c r="K1518" i="2" s="1"/>
  <c r="M1519" i="2" a="1"/>
  <c r="M1519" i="2" s="1"/>
  <c r="M1520" i="2" a="1"/>
  <c r="M1520" i="2" s="1"/>
  <c r="L1522" i="2" a="1"/>
  <c r="L1522" i="2" s="1"/>
  <c r="L1523" i="2" a="1"/>
  <c r="L1523" i="2" s="1"/>
  <c r="K1525" i="2" a="1"/>
  <c r="K1525" i="2" s="1"/>
  <c r="K1526" i="2" a="1"/>
  <c r="K1526" i="2" s="1"/>
  <c r="M1527" i="2" a="1"/>
  <c r="M1527" i="2" s="1"/>
  <c r="M1528" i="2" a="1"/>
  <c r="M1528" i="2" s="1"/>
  <c r="L1530" i="2" a="1"/>
  <c r="L1530" i="2" s="1"/>
  <c r="L1531" i="2" a="1"/>
  <c r="L1531" i="2" s="1"/>
  <c r="K1533" i="2" a="1"/>
  <c r="K1533" i="2" s="1"/>
  <c r="K1534" i="2" a="1"/>
  <c r="K1534" i="2" s="1"/>
  <c r="M1535" i="2" a="1"/>
  <c r="M1535" i="2" s="1"/>
  <c r="M1536" i="2" a="1"/>
  <c r="M1536" i="2" s="1"/>
  <c r="L1538" i="2" a="1"/>
  <c r="L1538" i="2" s="1"/>
  <c r="L1539" i="2" a="1"/>
  <c r="L1539" i="2" s="1"/>
  <c r="K1541" i="2" a="1"/>
  <c r="K1541" i="2" s="1"/>
  <c r="K1542" i="2" a="1"/>
  <c r="K1542" i="2" s="1"/>
  <c r="M1543" i="2" a="1"/>
  <c r="M1543" i="2" s="1"/>
  <c r="M1544" i="2" a="1"/>
  <c r="M1544" i="2" s="1"/>
  <c r="L1546" i="2" a="1"/>
  <c r="L1546" i="2" s="1"/>
  <c r="L1547" i="2" a="1"/>
  <c r="L1547" i="2" s="1"/>
  <c r="K1549" i="2" a="1"/>
  <c r="K1549" i="2" s="1"/>
  <c r="K1550" i="2" a="1"/>
  <c r="K1550" i="2" s="1"/>
  <c r="M1551" i="2" a="1"/>
  <c r="M1551" i="2" s="1"/>
  <c r="M1552" i="2" a="1"/>
  <c r="M1552" i="2" s="1"/>
  <c r="L1554" i="2" a="1"/>
  <c r="L1554" i="2" s="1"/>
  <c r="L1555" i="2" a="1"/>
  <c r="L1555" i="2" s="1"/>
  <c r="K1557" i="2" a="1"/>
  <c r="K1557" i="2" s="1"/>
  <c r="K1558" i="2" a="1"/>
  <c r="K1558" i="2" s="1"/>
  <c r="M1559" i="2" a="1"/>
  <c r="M1559" i="2" s="1"/>
  <c r="M1560" i="2" a="1"/>
  <c r="M1560" i="2" s="1"/>
  <c r="L1562" i="2" a="1"/>
  <c r="L1562" i="2" s="1"/>
  <c r="L1563" i="2" a="1"/>
  <c r="L1563" i="2" s="1"/>
  <c r="K1565" i="2" a="1"/>
  <c r="K1565" i="2" s="1"/>
  <c r="K1566" i="2" a="1"/>
  <c r="K1566" i="2" s="1"/>
  <c r="M1567" i="2" a="1"/>
  <c r="M1567" i="2" s="1"/>
  <c r="M1568" i="2" a="1"/>
  <c r="M1568" i="2" s="1"/>
  <c r="L1570" i="2" a="1"/>
  <c r="L1570" i="2" s="1"/>
  <c r="L1571" i="2" a="1"/>
  <c r="L1571" i="2" s="1"/>
  <c r="K1573" i="2" a="1"/>
  <c r="K1573" i="2" s="1"/>
  <c r="K1574" i="2" a="1"/>
  <c r="K1574" i="2" s="1"/>
  <c r="M1575" i="2" a="1"/>
  <c r="M1575" i="2" s="1"/>
  <c r="M1576" i="2" a="1"/>
  <c r="M1576" i="2" s="1"/>
  <c r="L1578" i="2" a="1"/>
  <c r="L1578" i="2" s="1"/>
  <c r="L1579" i="2" a="1"/>
  <c r="L1579" i="2" s="1"/>
  <c r="K1581" i="2" a="1"/>
  <c r="K1581" i="2" s="1"/>
  <c r="K1582" i="2" a="1"/>
  <c r="K1582" i="2" s="1"/>
  <c r="M1583" i="2" a="1"/>
  <c r="M1583" i="2" s="1"/>
  <c r="M1584" i="2" a="1"/>
  <c r="M1584" i="2" s="1"/>
  <c r="L1586" i="2" a="1"/>
  <c r="L1586" i="2" s="1"/>
  <c r="L1587" i="2" a="1"/>
  <c r="L1587" i="2" s="1"/>
  <c r="K1589" i="2" a="1"/>
  <c r="K1589" i="2" s="1"/>
  <c r="K1590" i="2" a="1"/>
  <c r="K1590" i="2" s="1"/>
  <c r="M1591" i="2" a="1"/>
  <c r="M1591" i="2" s="1"/>
  <c r="M1592" i="2" a="1"/>
  <c r="M1592" i="2" s="1"/>
  <c r="L1594" i="2" a="1"/>
  <c r="L1594" i="2" s="1"/>
  <c r="L1595" i="2" a="1"/>
  <c r="L1595" i="2" s="1"/>
  <c r="K1597" i="2" a="1"/>
  <c r="K1597" i="2" s="1"/>
  <c r="K1598" i="2" a="1"/>
  <c r="K1598" i="2" s="1"/>
  <c r="M1599" i="2" a="1"/>
  <c r="M1599" i="2" s="1"/>
  <c r="M1600" i="2" a="1"/>
  <c r="M1600" i="2" s="1"/>
  <c r="L1602" i="2" a="1"/>
  <c r="L1602" i="2" s="1"/>
  <c r="L1603" i="2" a="1"/>
  <c r="L1603" i="2" s="1"/>
  <c r="K1605" i="2" a="1"/>
  <c r="K1605" i="2" s="1"/>
  <c r="K1606" i="2" a="1"/>
  <c r="K1606" i="2" s="1"/>
  <c r="M1607" i="2" a="1"/>
  <c r="M1607" i="2" s="1"/>
  <c r="M1608" i="2" a="1"/>
  <c r="M1608" i="2" s="1"/>
  <c r="L1610" i="2" a="1"/>
  <c r="L1610" i="2" s="1"/>
  <c r="L1611" i="2" a="1"/>
  <c r="L1611" i="2" s="1"/>
  <c r="K1613" i="2" a="1"/>
  <c r="K1613" i="2" s="1"/>
  <c r="K1614" i="2" a="1"/>
  <c r="K1614" i="2" s="1"/>
  <c r="M1615" i="2" a="1"/>
  <c r="M1615" i="2" s="1"/>
  <c r="M1616" i="2" a="1"/>
  <c r="M1616" i="2" s="1"/>
  <c r="L1618" i="2" a="1"/>
  <c r="L1618" i="2" s="1"/>
  <c r="L1619" i="2" a="1"/>
  <c r="L1619" i="2" s="1"/>
  <c r="K1621" i="2" a="1"/>
  <c r="K1621" i="2" s="1"/>
  <c r="K1622" i="2" a="1"/>
  <c r="K1622" i="2" s="1"/>
  <c r="M1623" i="2" a="1"/>
  <c r="M1623" i="2" s="1"/>
  <c r="M1624" i="2" a="1"/>
  <c r="M1624" i="2" s="1"/>
  <c r="L1626" i="2" a="1"/>
  <c r="L1626" i="2" s="1"/>
  <c r="L1627" i="2" a="1"/>
  <c r="L1627" i="2" s="1"/>
  <c r="K1629" i="2" a="1"/>
  <c r="K1629" i="2" s="1"/>
  <c r="K1630" i="2" a="1"/>
  <c r="K1630" i="2" s="1"/>
  <c r="M1631" i="2" a="1"/>
  <c r="M1631" i="2" s="1"/>
  <c r="M1632" i="2" a="1"/>
  <c r="M1632" i="2" s="1"/>
  <c r="L1634" i="2" a="1"/>
  <c r="L1634" i="2" s="1"/>
  <c r="L1635" i="2" a="1"/>
  <c r="L1635" i="2" s="1"/>
  <c r="K1637" i="2" a="1"/>
  <c r="K1637" i="2" s="1"/>
  <c r="K1638" i="2" a="1"/>
  <c r="K1638" i="2" s="1"/>
  <c r="M1639" i="2" a="1"/>
  <c r="M1639" i="2" s="1"/>
  <c r="M1640" i="2" a="1"/>
  <c r="M1640" i="2" s="1"/>
  <c r="L1642" i="2" a="1"/>
  <c r="L1642" i="2" s="1"/>
  <c r="L1643" i="2" a="1"/>
  <c r="L1643" i="2" s="1"/>
  <c r="K1645" i="2" a="1"/>
  <c r="K1645" i="2" s="1"/>
  <c r="K1646" i="2" a="1"/>
  <c r="K1646" i="2" s="1"/>
  <c r="M1647" i="2" a="1"/>
  <c r="M1647" i="2" s="1"/>
  <c r="M1648" i="2" a="1"/>
  <c r="M1648" i="2" s="1"/>
  <c r="L1650" i="2" a="1"/>
  <c r="L1650" i="2" s="1"/>
  <c r="L1651" i="2" a="1"/>
  <c r="L1651" i="2" s="1"/>
  <c r="K1653" i="2" a="1"/>
  <c r="K1653" i="2" s="1"/>
  <c r="K1654" i="2" a="1"/>
  <c r="K1654" i="2" s="1"/>
  <c r="M1655" i="2" a="1"/>
  <c r="M1655" i="2" s="1"/>
  <c r="M1656" i="2" a="1"/>
  <c r="M1656" i="2" s="1"/>
  <c r="L1658" i="2" a="1"/>
  <c r="L1658" i="2" s="1"/>
  <c r="L1659" i="2" a="1"/>
  <c r="L1659" i="2" s="1"/>
  <c r="K1661" i="2" a="1"/>
  <c r="K1661" i="2" s="1"/>
  <c r="K1662" i="2" a="1"/>
  <c r="K1662" i="2" s="1"/>
  <c r="M1663" i="2" a="1"/>
  <c r="M1663" i="2" s="1"/>
  <c r="M1664" i="2" a="1"/>
  <c r="M1664" i="2" s="1"/>
  <c r="L1666" i="2" a="1"/>
  <c r="L1666" i="2" s="1"/>
  <c r="L1667" i="2" a="1"/>
  <c r="L1667" i="2" s="1"/>
  <c r="K1669" i="2" a="1"/>
  <c r="K1669" i="2" s="1"/>
  <c r="K1670" i="2" a="1"/>
  <c r="K1670" i="2" s="1"/>
  <c r="M1671" i="2" a="1"/>
  <c r="M1671" i="2" s="1"/>
  <c r="M1672" i="2" a="1"/>
  <c r="M1672" i="2" s="1"/>
  <c r="L1674" i="2" a="1"/>
  <c r="L1674" i="2" s="1"/>
  <c r="L1675" i="2" a="1"/>
  <c r="L1675" i="2" s="1"/>
  <c r="K1677" i="2" a="1"/>
  <c r="K1677" i="2" s="1"/>
  <c r="K1678" i="2" a="1"/>
  <c r="K1678" i="2" s="1"/>
  <c r="M1679" i="2" a="1"/>
  <c r="M1679" i="2" s="1"/>
  <c r="M1680" i="2" a="1"/>
  <c r="M1680" i="2" s="1"/>
  <c r="L1682" i="2" a="1"/>
  <c r="L1682" i="2" s="1"/>
  <c r="L1683" i="2" a="1"/>
  <c r="L1683" i="2" s="1"/>
  <c r="K1685" i="2" a="1"/>
  <c r="K1685" i="2" s="1"/>
  <c r="K1686" i="2" a="1"/>
  <c r="K1686" i="2" s="1"/>
  <c r="M1687" i="2" a="1"/>
  <c r="M1687" i="2" s="1"/>
  <c r="M1688" i="2" a="1"/>
  <c r="M1688" i="2" s="1"/>
  <c r="L1690" i="2" a="1"/>
  <c r="L1690" i="2" s="1"/>
  <c r="L1691" i="2" a="1"/>
  <c r="L1691" i="2" s="1"/>
  <c r="K1693" i="2" a="1"/>
  <c r="K1693" i="2" s="1"/>
  <c r="K1694" i="2" a="1"/>
  <c r="K1694" i="2" s="1"/>
  <c r="M1695" i="2" a="1"/>
  <c r="M1695" i="2" s="1"/>
  <c r="M1696" i="2" a="1"/>
  <c r="M1696" i="2" s="1"/>
  <c r="L1698" i="2" a="1"/>
  <c r="L1698" i="2" s="1"/>
  <c r="L1699" i="2" a="1"/>
  <c r="L1699" i="2" s="1"/>
  <c r="K1701" i="2" a="1"/>
  <c r="K1701" i="2" s="1"/>
  <c r="K1702" i="2" a="1"/>
  <c r="K1702" i="2" s="1"/>
  <c r="M1703" i="2" a="1"/>
  <c r="M1703" i="2" s="1"/>
  <c r="M1704" i="2" a="1"/>
  <c r="M1704" i="2" s="1"/>
  <c r="L1706" i="2" a="1"/>
  <c r="L1706" i="2" s="1"/>
  <c r="L1707" i="2" a="1"/>
  <c r="L1707" i="2" s="1"/>
  <c r="K1709" i="2" a="1"/>
  <c r="K1709" i="2" s="1"/>
  <c r="K1710" i="2" a="1"/>
  <c r="K1710" i="2" s="1"/>
  <c r="M1711" i="2" a="1"/>
  <c r="M1711" i="2" s="1"/>
  <c r="M1712" i="2" a="1"/>
  <c r="M1712" i="2" s="1"/>
  <c r="L1714" i="2" a="1"/>
  <c r="L1714" i="2" s="1"/>
  <c r="L1715" i="2" a="1"/>
  <c r="L1715" i="2" s="1"/>
  <c r="K1717" i="2" a="1"/>
  <c r="K1717" i="2" s="1"/>
  <c r="K1718" i="2" a="1"/>
  <c r="K1718" i="2" s="1"/>
  <c r="M1719" i="2" a="1"/>
  <c r="M1719" i="2" s="1"/>
  <c r="M1720" i="2" a="1"/>
  <c r="M1720" i="2" s="1"/>
  <c r="L1722" i="2" a="1"/>
  <c r="L1722" i="2" s="1"/>
  <c r="L1723" i="2" a="1"/>
  <c r="L1723" i="2" s="1"/>
  <c r="K1725" i="2" a="1"/>
  <c r="K1725" i="2" s="1"/>
  <c r="K1726" i="2" a="1"/>
  <c r="K1726" i="2" s="1"/>
  <c r="M1727" i="2" a="1"/>
  <c r="M1727" i="2" s="1"/>
  <c r="M1728" i="2" a="1"/>
  <c r="M1728" i="2" s="1"/>
  <c r="L1730" i="2" a="1"/>
  <c r="L1730" i="2" s="1"/>
  <c r="L1731" i="2" a="1"/>
  <c r="L1731" i="2" s="1"/>
  <c r="K1733" i="2" a="1"/>
  <c r="K1733" i="2" s="1"/>
  <c r="K1734" i="2" a="1"/>
  <c r="K1734" i="2" s="1"/>
  <c r="M1735" i="2" a="1"/>
  <c r="M1735" i="2" s="1"/>
  <c r="M1736" i="2" a="1"/>
  <c r="M1736" i="2" s="1"/>
  <c r="L1738" i="2" a="1"/>
  <c r="L1738" i="2" s="1"/>
  <c r="L1739" i="2" a="1"/>
  <c r="L1739" i="2" s="1"/>
  <c r="K1741" i="2" a="1"/>
  <c r="K1741" i="2" s="1"/>
  <c r="K1742" i="2" a="1"/>
  <c r="K1742" i="2" s="1"/>
  <c r="M1743" i="2" a="1"/>
  <c r="M1743" i="2" s="1"/>
  <c r="M1744" i="2" a="1"/>
  <c r="M1744" i="2" s="1"/>
  <c r="L1746" i="2" a="1"/>
  <c r="L1746" i="2" s="1"/>
  <c r="L1747" i="2" a="1"/>
  <c r="L1747" i="2" s="1"/>
  <c r="K1749" i="2" a="1"/>
  <c r="K1749" i="2" s="1"/>
  <c r="K1750" i="2" a="1"/>
  <c r="K1750" i="2" s="1"/>
  <c r="M1751" i="2" a="1"/>
  <c r="M1751" i="2" s="1"/>
  <c r="M1752" i="2" a="1"/>
  <c r="M1752" i="2" s="1"/>
  <c r="L1754" i="2" a="1"/>
  <c r="L1754" i="2" s="1"/>
  <c r="L1755" i="2" a="1"/>
  <c r="L1755" i="2" s="1"/>
  <c r="K1757" i="2" a="1"/>
  <c r="K1757" i="2" s="1"/>
  <c r="K1758" i="2" a="1"/>
  <c r="K1758" i="2" s="1"/>
  <c r="M1759" i="2" a="1"/>
  <c r="M1759" i="2" s="1"/>
  <c r="M1760" i="2" a="1"/>
  <c r="M1760" i="2" s="1"/>
  <c r="L1762" i="2" a="1"/>
  <c r="L1762" i="2" s="1"/>
  <c r="L1763" i="2" a="1"/>
  <c r="L1763" i="2" s="1"/>
  <c r="K1765" i="2" a="1"/>
  <c r="K1765" i="2" s="1"/>
  <c r="K1766" i="2" a="1"/>
  <c r="K1766" i="2" s="1"/>
  <c r="M1767" i="2" a="1"/>
  <c r="M1767" i="2" s="1"/>
  <c r="M1768" i="2" a="1"/>
  <c r="M1768" i="2" s="1"/>
  <c r="L1770" i="2" a="1"/>
  <c r="L1770" i="2" s="1"/>
  <c r="L1771" i="2" a="1"/>
  <c r="L1771" i="2" s="1"/>
  <c r="K1773" i="2" a="1"/>
  <c r="K1773" i="2" s="1"/>
  <c r="K1774" i="2" a="1"/>
  <c r="K1774" i="2" s="1"/>
  <c r="M1775" i="2" a="1"/>
  <c r="M1775" i="2" s="1"/>
  <c r="M1776" i="2" a="1"/>
  <c r="M1776" i="2" s="1"/>
  <c r="L1778" i="2" a="1"/>
  <c r="L1778" i="2" s="1"/>
  <c r="L1779" i="2" a="1"/>
  <c r="L1779" i="2" s="1"/>
  <c r="K1781" i="2" a="1"/>
  <c r="K1781" i="2" s="1"/>
  <c r="K1782" i="2" a="1"/>
  <c r="K1782" i="2" s="1"/>
  <c r="M1783" i="2" a="1"/>
  <c r="M1783" i="2" s="1"/>
  <c r="M1784" i="2" a="1"/>
  <c r="M1784" i="2" s="1"/>
  <c r="L1786" i="2" a="1"/>
  <c r="L1786" i="2" s="1"/>
  <c r="L1787" i="2" a="1"/>
  <c r="L1787" i="2" s="1"/>
  <c r="K1789" i="2" a="1"/>
  <c r="K1789" i="2" s="1"/>
  <c r="K1790" i="2" a="1"/>
  <c r="K1790" i="2" s="1"/>
  <c r="M1791" i="2" a="1"/>
  <c r="M1791" i="2" s="1"/>
  <c r="M1792" i="2" a="1"/>
  <c r="M1792" i="2" s="1"/>
  <c r="L1794" i="2" a="1"/>
  <c r="L1794" i="2" s="1"/>
  <c r="L1795" i="2" a="1"/>
  <c r="L1795" i="2" s="1"/>
  <c r="K1797" i="2" a="1"/>
  <c r="K1797" i="2" s="1"/>
  <c r="K1798" i="2" a="1"/>
  <c r="K1798" i="2" s="1"/>
  <c r="M1799" i="2" a="1"/>
  <c r="M1799" i="2" s="1"/>
  <c r="M1800" i="2" a="1"/>
  <c r="M1800" i="2" s="1"/>
  <c r="L1802" i="2" a="1"/>
  <c r="L1802" i="2" s="1"/>
  <c r="L1803" i="2" a="1"/>
  <c r="L1803" i="2" s="1"/>
  <c r="K1805" i="2" a="1"/>
  <c r="K1805" i="2" s="1"/>
  <c r="K1806" i="2" a="1"/>
  <c r="K1806" i="2" s="1"/>
  <c r="M1807" i="2" a="1"/>
  <c r="M1807" i="2" s="1"/>
  <c r="M1808" i="2" a="1"/>
  <c r="M1808" i="2" s="1"/>
  <c r="L1810" i="2" a="1"/>
  <c r="L1810" i="2" s="1"/>
  <c r="L1811" i="2" a="1"/>
  <c r="L1811" i="2" s="1"/>
  <c r="K1813" i="2" a="1"/>
  <c r="K1813" i="2" s="1"/>
  <c r="K1814" i="2" a="1"/>
  <c r="K1814" i="2" s="1"/>
  <c r="M1815" i="2" a="1"/>
  <c r="M1815" i="2" s="1"/>
  <c r="M1816" i="2" a="1"/>
  <c r="M1816" i="2" s="1"/>
  <c r="L1818" i="2" a="1"/>
  <c r="L1818" i="2" s="1"/>
  <c r="L1819" i="2" a="1"/>
  <c r="L1819" i="2" s="1"/>
  <c r="K1821" i="2" a="1"/>
  <c r="K1821" i="2" s="1"/>
  <c r="K1822" i="2" a="1"/>
  <c r="K1822" i="2" s="1"/>
  <c r="M1823" i="2" a="1"/>
  <c r="M1823" i="2" s="1"/>
  <c r="M1824" i="2" a="1"/>
  <c r="M1824" i="2" s="1"/>
  <c r="L1826" i="2" a="1"/>
  <c r="L1826" i="2" s="1"/>
  <c r="L1827" i="2" a="1"/>
  <c r="L1827" i="2" s="1"/>
  <c r="K1829" i="2" a="1"/>
  <c r="K1829" i="2" s="1"/>
  <c r="K1830" i="2" a="1"/>
  <c r="K1830" i="2" s="1"/>
  <c r="M1831" i="2" a="1"/>
  <c r="M1831" i="2" s="1"/>
  <c r="M1832" i="2" a="1"/>
  <c r="M1832" i="2" s="1"/>
  <c r="L1834" i="2" a="1"/>
  <c r="L1834" i="2" s="1"/>
  <c r="L1835" i="2" a="1"/>
  <c r="L1835" i="2" s="1"/>
  <c r="K1837" i="2" a="1"/>
  <c r="K1837" i="2" s="1"/>
  <c r="K1838" i="2" a="1"/>
  <c r="K1838" i="2" s="1"/>
  <c r="M1839" i="2" a="1"/>
  <c r="M1839" i="2" s="1"/>
  <c r="M1840" i="2" a="1"/>
  <c r="M1840" i="2" s="1"/>
  <c r="L1842" i="2" a="1"/>
  <c r="L1842" i="2" s="1"/>
  <c r="L1843" i="2" a="1"/>
  <c r="L1843" i="2" s="1"/>
  <c r="K1845" i="2" a="1"/>
  <c r="K1845" i="2" s="1"/>
  <c r="K1846" i="2" a="1"/>
  <c r="K1846" i="2" s="1"/>
  <c r="M1847" i="2" a="1"/>
  <c r="M1847" i="2" s="1"/>
  <c r="M1848" i="2" a="1"/>
  <c r="M1848" i="2" s="1"/>
  <c r="L1850" i="2" a="1"/>
  <c r="L1850" i="2" s="1"/>
  <c r="L1851" i="2" a="1"/>
  <c r="L1851" i="2" s="1"/>
  <c r="K1853" i="2" a="1"/>
  <c r="K1853" i="2" s="1"/>
  <c r="K1854" i="2" a="1"/>
  <c r="K1854" i="2" s="1"/>
  <c r="M1855" i="2" a="1"/>
  <c r="M1855" i="2" s="1"/>
  <c r="M1856" i="2" a="1"/>
  <c r="M1856" i="2" s="1"/>
  <c r="L1858" i="2" a="1"/>
  <c r="L1858" i="2" s="1"/>
  <c r="L1859" i="2" a="1"/>
  <c r="L1859" i="2" s="1"/>
  <c r="K1861" i="2" a="1"/>
  <c r="K1861" i="2" s="1"/>
  <c r="K1862" i="2" a="1"/>
  <c r="K1862" i="2" s="1"/>
  <c r="M1863" i="2" a="1"/>
  <c r="M1863" i="2" s="1"/>
  <c r="M1864" i="2" a="1"/>
  <c r="M1864" i="2" s="1"/>
  <c r="L1866" i="2" a="1"/>
  <c r="L1866" i="2" s="1"/>
  <c r="L1867" i="2" a="1"/>
  <c r="L1867" i="2" s="1"/>
  <c r="K1869" i="2" a="1"/>
  <c r="K1869" i="2" s="1"/>
  <c r="K1870" i="2" a="1"/>
  <c r="K1870" i="2" s="1"/>
  <c r="M1871" i="2" a="1"/>
  <c r="M1871" i="2" s="1"/>
  <c r="M1872" i="2" a="1"/>
  <c r="M1872" i="2" s="1"/>
  <c r="L1874" i="2" a="1"/>
  <c r="L1874" i="2" s="1"/>
  <c r="L1875" i="2" a="1"/>
  <c r="L1875" i="2" s="1"/>
  <c r="K1877" i="2" a="1"/>
  <c r="K1877" i="2" s="1"/>
  <c r="K1878" i="2" a="1"/>
  <c r="K1878" i="2" s="1"/>
  <c r="M1879" i="2" a="1"/>
  <c r="M1879" i="2" s="1"/>
  <c r="M1880" i="2" a="1"/>
  <c r="M1880" i="2" s="1"/>
  <c r="L1882" i="2" a="1"/>
  <c r="L1882" i="2" s="1"/>
  <c r="L1883" i="2" a="1"/>
  <c r="L1883" i="2" s="1"/>
  <c r="K1885" i="2" a="1"/>
  <c r="K1885" i="2" s="1"/>
  <c r="K1886" i="2" a="1"/>
  <c r="K1886" i="2" s="1"/>
  <c r="M1887" i="2" a="1"/>
  <c r="M1887" i="2" s="1"/>
  <c r="M1888" i="2" a="1"/>
  <c r="M1888" i="2" s="1"/>
  <c r="L1890" i="2" a="1"/>
  <c r="L1890" i="2" s="1"/>
  <c r="L1891" i="2" a="1"/>
  <c r="L1891" i="2" s="1"/>
  <c r="K1893" i="2" a="1"/>
  <c r="K1893" i="2" s="1"/>
  <c r="K1894" i="2" a="1"/>
  <c r="K1894" i="2" s="1"/>
  <c r="M1895" i="2" a="1"/>
  <c r="M1895" i="2" s="1"/>
  <c r="M1896" i="2" a="1"/>
  <c r="M1896" i="2" s="1"/>
  <c r="L1898" i="2" a="1"/>
  <c r="L1898" i="2" s="1"/>
  <c r="L1899" i="2" a="1"/>
  <c r="L1899" i="2" s="1"/>
  <c r="K1901" i="2" a="1"/>
  <c r="K1901" i="2" s="1"/>
  <c r="K1902" i="2" a="1"/>
  <c r="K1902" i="2" s="1"/>
  <c r="M1903" i="2" a="1"/>
  <c r="M1903" i="2" s="1"/>
  <c r="M1904" i="2" a="1"/>
  <c r="M1904" i="2" s="1"/>
  <c r="L1906" i="2" a="1"/>
  <c r="L1906" i="2" s="1"/>
  <c r="L1907" i="2" a="1"/>
  <c r="L1907" i="2" s="1"/>
  <c r="K1909" i="2" a="1"/>
  <c r="K1909" i="2" s="1"/>
  <c r="K1910" i="2" a="1"/>
  <c r="K1910" i="2" s="1"/>
  <c r="M1911" i="2" a="1"/>
  <c r="M1911" i="2" s="1"/>
  <c r="M1912" i="2" a="1"/>
  <c r="M1912" i="2" s="1"/>
  <c r="L1914" i="2" a="1"/>
  <c r="L1914" i="2" s="1"/>
  <c r="L1915" i="2" a="1"/>
  <c r="L1915" i="2" s="1"/>
  <c r="K1917" i="2" a="1"/>
  <c r="K1917" i="2" s="1"/>
  <c r="K1918" i="2" a="1"/>
  <c r="K1918" i="2" s="1"/>
  <c r="L1306" i="2" a="1"/>
  <c r="L1306" i="2" s="1"/>
  <c r="M1307" i="2" a="1"/>
  <c r="M1307" i="2" s="1"/>
  <c r="M1308" i="2" a="1"/>
  <c r="M1308" i="2" s="1"/>
  <c r="M1309" i="2" a="1"/>
  <c r="M1309" i="2" s="1"/>
  <c r="M1311" i="2" a="1"/>
  <c r="M1311" i="2" s="1"/>
  <c r="K1313" i="2" a="1"/>
  <c r="K1313" i="2" s="1"/>
  <c r="K1314" i="2" a="1"/>
  <c r="K1314" i="2" s="1"/>
  <c r="K1315" i="2" a="1"/>
  <c r="K1315" i="2" s="1"/>
  <c r="K1317" i="2" a="1"/>
  <c r="K1317" i="2" s="1"/>
  <c r="L1318" i="2" a="1"/>
  <c r="L1318" i="2" s="1"/>
  <c r="L1319" i="2" a="1"/>
  <c r="L1319" i="2" s="1"/>
  <c r="L1320" i="2" a="1"/>
  <c r="L1320" i="2" s="1"/>
  <c r="L1322" i="2" a="1"/>
  <c r="L1322" i="2" s="1"/>
  <c r="M1323" i="2" a="1"/>
  <c r="M1323" i="2" s="1"/>
  <c r="M1324" i="2" a="1"/>
  <c r="M1324" i="2" s="1"/>
  <c r="M1325" i="2" a="1"/>
  <c r="M1325" i="2" s="1"/>
  <c r="M1327" i="2" a="1"/>
  <c r="M1327" i="2" s="1"/>
  <c r="K1329" i="2" a="1"/>
  <c r="K1329" i="2" s="1"/>
  <c r="K1330" i="2" a="1"/>
  <c r="K1330" i="2" s="1"/>
  <c r="K1331" i="2" a="1"/>
  <c r="K1331" i="2" s="1"/>
  <c r="K1333" i="2" a="1"/>
  <c r="K1333" i="2" s="1"/>
  <c r="L1334" i="2" a="1"/>
  <c r="L1334" i="2" s="1"/>
  <c r="L1335" i="2" a="1"/>
  <c r="L1335" i="2" s="1"/>
  <c r="L1336" i="2" a="1"/>
  <c r="L1336" i="2" s="1"/>
  <c r="L1338" i="2" a="1"/>
  <c r="L1338" i="2" s="1"/>
  <c r="M1339" i="2" a="1"/>
  <c r="M1339" i="2" s="1"/>
  <c r="M1340" i="2" a="1"/>
  <c r="M1340" i="2" s="1"/>
  <c r="M1341" i="2" a="1"/>
  <c r="M1341" i="2" s="1"/>
  <c r="M1343" i="2" a="1"/>
  <c r="M1343" i="2" s="1"/>
  <c r="K1345" i="2" a="1"/>
  <c r="K1345" i="2" s="1"/>
  <c r="K1346" i="2" a="1"/>
  <c r="K1346" i="2" s="1"/>
  <c r="K1347" i="2" a="1"/>
  <c r="K1347" i="2" s="1"/>
  <c r="K1349" i="2" a="1"/>
  <c r="K1349" i="2" s="1"/>
  <c r="L1350" i="2" a="1"/>
  <c r="L1350" i="2" s="1"/>
  <c r="L1351" i="2" a="1"/>
  <c r="L1351" i="2" s="1"/>
  <c r="K1353" i="2" a="1"/>
  <c r="K1353" i="2" s="1"/>
  <c r="K1354" i="2" a="1"/>
  <c r="K1354" i="2" s="1"/>
  <c r="M1355" i="2" a="1"/>
  <c r="M1355" i="2" s="1"/>
  <c r="M1356" i="2" a="1"/>
  <c r="M1356" i="2" s="1"/>
  <c r="L1358" i="2" a="1"/>
  <c r="L1358" i="2" s="1"/>
  <c r="L1359" i="2" a="1"/>
  <c r="L1359" i="2" s="1"/>
  <c r="K1361" i="2" a="1"/>
  <c r="K1361" i="2" s="1"/>
  <c r="K1362" i="2" a="1"/>
  <c r="K1362" i="2" s="1"/>
  <c r="M1363" i="2" a="1"/>
  <c r="M1363" i="2" s="1"/>
  <c r="M1364" i="2" a="1"/>
  <c r="M1364" i="2" s="1"/>
  <c r="K1367" i="2" a="1"/>
  <c r="K1367" i="2" s="1"/>
  <c r="K1368" i="2" a="1"/>
  <c r="K1368" i="2" s="1"/>
  <c r="M1369" i="2" a="1"/>
  <c r="M1369" i="2" s="1"/>
  <c r="M1370" i="2" a="1"/>
  <c r="M1370" i="2" s="1"/>
  <c r="L1372" i="2" a="1"/>
  <c r="L1372" i="2" s="1"/>
  <c r="L1373" i="2" a="1"/>
  <c r="L1373" i="2" s="1"/>
  <c r="K1375" i="2" a="1"/>
  <c r="K1375" i="2" s="1"/>
  <c r="K1376" i="2" a="1"/>
  <c r="K1376" i="2" s="1"/>
  <c r="M1377" i="2" a="1"/>
  <c r="M1377" i="2" s="1"/>
  <c r="M1378" i="2" a="1"/>
  <c r="M1378" i="2" s="1"/>
  <c r="L1380" i="2" a="1"/>
  <c r="L1380" i="2" s="1"/>
  <c r="L1381" i="2" a="1"/>
  <c r="L1381" i="2" s="1"/>
  <c r="K1383" i="2" a="1"/>
  <c r="K1383" i="2" s="1"/>
  <c r="K1384" i="2" a="1"/>
  <c r="K1384" i="2" s="1"/>
  <c r="M1385" i="2" a="1"/>
  <c r="M1385" i="2" s="1"/>
  <c r="M1386" i="2" a="1"/>
  <c r="M1386" i="2" s="1"/>
  <c r="L1388" i="2" a="1"/>
  <c r="L1388" i="2" s="1"/>
  <c r="L1389" i="2" a="1"/>
  <c r="L1389" i="2" s="1"/>
  <c r="K1391" i="2" a="1"/>
  <c r="K1391" i="2" s="1"/>
  <c r="K1392" i="2" a="1"/>
  <c r="K1392" i="2" s="1"/>
  <c r="M1393" i="2" a="1"/>
  <c r="M1393" i="2" s="1"/>
  <c r="M1394" i="2" a="1"/>
  <c r="M1394" i="2" s="1"/>
  <c r="L1396" i="2" a="1"/>
  <c r="L1396" i="2" s="1"/>
  <c r="L1397" i="2" a="1"/>
  <c r="L1397" i="2" s="1"/>
  <c r="K1399" i="2" a="1"/>
  <c r="K1399" i="2" s="1"/>
  <c r="K1400" i="2" a="1"/>
  <c r="K1400" i="2" s="1"/>
  <c r="M1401" i="2" a="1"/>
  <c r="M1401" i="2" s="1"/>
  <c r="M1402" i="2" a="1"/>
  <c r="M1402" i="2" s="1"/>
  <c r="L1404" i="2" a="1"/>
  <c r="L1404" i="2" s="1"/>
  <c r="L1405" i="2" a="1"/>
  <c r="L1405" i="2" s="1"/>
  <c r="K1407" i="2" a="1"/>
  <c r="K1407" i="2" s="1"/>
  <c r="K1408" i="2" a="1"/>
  <c r="K1408" i="2" s="1"/>
  <c r="M1409" i="2" a="1"/>
  <c r="M1409" i="2" s="1"/>
  <c r="M1410" i="2" a="1"/>
  <c r="M1410" i="2" s="1"/>
  <c r="L1412" i="2" a="1"/>
  <c r="L1412" i="2" s="1"/>
  <c r="L1413" i="2" a="1"/>
  <c r="L1413" i="2" s="1"/>
  <c r="K1415" i="2" a="1"/>
  <c r="K1415" i="2" s="1"/>
  <c r="K1416" i="2" a="1"/>
  <c r="K1416" i="2" s="1"/>
  <c r="M1417" i="2" a="1"/>
  <c r="M1417" i="2" s="1"/>
  <c r="M1418" i="2" a="1"/>
  <c r="M1418" i="2" s="1"/>
  <c r="L1420" i="2" a="1"/>
  <c r="L1420" i="2" s="1"/>
  <c r="L1421" i="2" a="1"/>
  <c r="L1421" i="2" s="1"/>
  <c r="K1423" i="2" a="1"/>
  <c r="K1423" i="2" s="1"/>
  <c r="K1424" i="2" a="1"/>
  <c r="K1424" i="2" s="1"/>
  <c r="M1425" i="2" a="1"/>
  <c r="M1425" i="2" s="1"/>
  <c r="M1426" i="2" a="1"/>
  <c r="M1426" i="2" s="1"/>
  <c r="L1428" i="2" a="1"/>
  <c r="L1428" i="2" s="1"/>
  <c r="L1429" i="2" a="1"/>
  <c r="L1429" i="2" s="1"/>
  <c r="K1431" i="2" a="1"/>
  <c r="K1431" i="2" s="1"/>
  <c r="K1432" i="2" a="1"/>
  <c r="K1432" i="2" s="1"/>
  <c r="M1433" i="2" a="1"/>
  <c r="M1433" i="2" s="1"/>
  <c r="M1434" i="2" a="1"/>
  <c r="M1434" i="2" s="1"/>
  <c r="L1436" i="2" a="1"/>
  <c r="L1436" i="2" s="1"/>
  <c r="L1437" i="2" a="1"/>
  <c r="L1437" i="2" s="1"/>
  <c r="K1439" i="2" a="1"/>
  <c r="K1439" i="2" s="1"/>
  <c r="K1440" i="2" a="1"/>
  <c r="K1440" i="2" s="1"/>
  <c r="M1441" i="2" a="1"/>
  <c r="M1441" i="2" s="1"/>
  <c r="M1442" i="2" a="1"/>
  <c r="M1442" i="2" s="1"/>
  <c r="L1444" i="2" a="1"/>
  <c r="L1444" i="2" s="1"/>
  <c r="L1445" i="2" a="1"/>
  <c r="L1445" i="2" s="1"/>
  <c r="K1447" i="2" a="1"/>
  <c r="K1447" i="2" s="1"/>
  <c r="K1448" i="2" a="1"/>
  <c r="K1448" i="2" s="1"/>
  <c r="M1449" i="2" a="1"/>
  <c r="M1449" i="2" s="1"/>
  <c r="M1450" i="2" a="1"/>
  <c r="M1450" i="2" s="1"/>
  <c r="L1452" i="2" a="1"/>
  <c r="L1452" i="2" s="1"/>
  <c r="L1453" i="2" a="1"/>
  <c r="L1453" i="2" s="1"/>
  <c r="K1455" i="2" a="1"/>
  <c r="K1455" i="2" s="1"/>
  <c r="K1456" i="2" a="1"/>
  <c r="K1456" i="2" s="1"/>
  <c r="M1457" i="2" a="1"/>
  <c r="M1457" i="2" s="1"/>
  <c r="M1458" i="2" a="1"/>
  <c r="M1458" i="2" s="1"/>
  <c r="L1460" i="2" a="1"/>
  <c r="L1460" i="2" s="1"/>
  <c r="L1461" i="2" a="1"/>
  <c r="L1461" i="2" s="1"/>
  <c r="K1463" i="2" a="1"/>
  <c r="K1463" i="2" s="1"/>
  <c r="K1464" i="2" a="1"/>
  <c r="K1464" i="2" s="1"/>
  <c r="M1465" i="2" a="1"/>
  <c r="M1465" i="2" s="1"/>
  <c r="M1466" i="2" a="1"/>
  <c r="M1466" i="2" s="1"/>
  <c r="L1468" i="2" a="1"/>
  <c r="L1468" i="2" s="1"/>
  <c r="L1469" i="2" a="1"/>
  <c r="L1469" i="2" s="1"/>
  <c r="K1471" i="2" a="1"/>
  <c r="K1471" i="2" s="1"/>
  <c r="K1472" i="2" a="1"/>
  <c r="K1472" i="2" s="1"/>
  <c r="M1473" i="2" a="1"/>
  <c r="M1473" i="2" s="1"/>
  <c r="M1474" i="2" a="1"/>
  <c r="M1474" i="2" s="1"/>
  <c r="L1476" i="2" a="1"/>
  <c r="L1476" i="2" s="1"/>
  <c r="L1477" i="2" a="1"/>
  <c r="L1477" i="2" s="1"/>
  <c r="K1479" i="2" a="1"/>
  <c r="K1479" i="2" s="1"/>
  <c r="K1480" i="2" a="1"/>
  <c r="K1480" i="2" s="1"/>
  <c r="M1481" i="2" a="1"/>
  <c r="M1481" i="2" s="1"/>
  <c r="M1482" i="2" a="1"/>
  <c r="M1482" i="2" s="1"/>
  <c r="L1484" i="2" a="1"/>
  <c r="L1484" i="2" s="1"/>
  <c r="L1485" i="2" a="1"/>
  <c r="L1485" i="2" s="1"/>
  <c r="K1487" i="2" a="1"/>
  <c r="K1487" i="2" s="1"/>
  <c r="K1488" i="2" a="1"/>
  <c r="K1488" i="2" s="1"/>
  <c r="M1489" i="2" a="1"/>
  <c r="M1489" i="2" s="1"/>
  <c r="M1490" i="2" a="1"/>
  <c r="M1490" i="2" s="1"/>
  <c r="L1492" i="2" a="1"/>
  <c r="L1492" i="2" s="1"/>
  <c r="L1493" i="2" a="1"/>
  <c r="L1493" i="2" s="1"/>
  <c r="K1495" i="2" a="1"/>
  <c r="K1495" i="2" s="1"/>
  <c r="K1496" i="2" a="1"/>
  <c r="K1496" i="2" s="1"/>
  <c r="M1497" i="2" a="1"/>
  <c r="M1497" i="2" s="1"/>
  <c r="M1498" i="2" a="1"/>
  <c r="M1498" i="2" s="1"/>
  <c r="L1500" i="2" a="1"/>
  <c r="L1500" i="2" s="1"/>
  <c r="L1501" i="2" a="1"/>
  <c r="L1501" i="2" s="1"/>
  <c r="K1503" i="2" a="1"/>
  <c r="K1503" i="2" s="1"/>
  <c r="K1504" i="2" a="1"/>
  <c r="K1504" i="2" s="1"/>
  <c r="M1505" i="2" a="1"/>
  <c r="M1505" i="2" s="1"/>
  <c r="M1506" i="2" a="1"/>
  <c r="M1506" i="2" s="1"/>
  <c r="L1508" i="2" a="1"/>
  <c r="L1508" i="2" s="1"/>
  <c r="L1509" i="2" a="1"/>
  <c r="L1509" i="2" s="1"/>
  <c r="K1511" i="2" a="1"/>
  <c r="K1511" i="2" s="1"/>
  <c r="K1512" i="2" a="1"/>
  <c r="K1512" i="2" s="1"/>
  <c r="M1513" i="2" a="1"/>
  <c r="M1513" i="2" s="1"/>
  <c r="M1514" i="2" a="1"/>
  <c r="M1514" i="2" s="1"/>
  <c r="L1516" i="2" a="1"/>
  <c r="L1516" i="2" s="1"/>
  <c r="L1517" i="2" a="1"/>
  <c r="L1517" i="2" s="1"/>
  <c r="K1519" i="2" a="1"/>
  <c r="K1519" i="2" s="1"/>
  <c r="K1520" i="2" a="1"/>
  <c r="K1520" i="2" s="1"/>
  <c r="M1521" i="2" a="1"/>
  <c r="M1521" i="2" s="1"/>
  <c r="M1522" i="2" a="1"/>
  <c r="M1522" i="2" s="1"/>
  <c r="L1524" i="2" a="1"/>
  <c r="L1524" i="2" s="1"/>
  <c r="L1525" i="2" a="1"/>
  <c r="L1525" i="2" s="1"/>
  <c r="K1527" i="2" a="1"/>
  <c r="K1527" i="2" s="1"/>
  <c r="K1528" i="2" a="1"/>
  <c r="K1528" i="2" s="1"/>
  <c r="M1529" i="2" a="1"/>
  <c r="M1529" i="2" s="1"/>
  <c r="M1530" i="2" a="1"/>
  <c r="M1530" i="2" s="1"/>
  <c r="L1532" i="2" a="1"/>
  <c r="L1532" i="2" s="1"/>
  <c r="L1533" i="2" a="1"/>
  <c r="L1533" i="2" s="1"/>
  <c r="K1535" i="2" a="1"/>
  <c r="K1535" i="2" s="1"/>
  <c r="K1536" i="2" a="1"/>
  <c r="K1536" i="2" s="1"/>
  <c r="M1537" i="2" a="1"/>
  <c r="M1537" i="2" s="1"/>
  <c r="M1538" i="2" a="1"/>
  <c r="M1538" i="2" s="1"/>
  <c r="L1540" i="2" a="1"/>
  <c r="L1540" i="2" s="1"/>
  <c r="L1541" i="2" a="1"/>
  <c r="L1541" i="2" s="1"/>
  <c r="K1543" i="2" a="1"/>
  <c r="K1543" i="2" s="1"/>
  <c r="K1544" i="2" a="1"/>
  <c r="K1544" i="2" s="1"/>
  <c r="M1545" i="2" a="1"/>
  <c r="M1545" i="2" s="1"/>
  <c r="M1546" i="2" a="1"/>
  <c r="M1546" i="2" s="1"/>
  <c r="L1548" i="2" a="1"/>
  <c r="L1548" i="2" s="1"/>
  <c r="L1549" i="2" a="1"/>
  <c r="L1549" i="2" s="1"/>
  <c r="K1551" i="2" a="1"/>
  <c r="K1551" i="2" s="1"/>
  <c r="K1552" i="2" a="1"/>
  <c r="K1552" i="2" s="1"/>
  <c r="M1553" i="2" a="1"/>
  <c r="M1553" i="2" s="1"/>
  <c r="M1554" i="2" a="1"/>
  <c r="M1554" i="2" s="1"/>
  <c r="L1556" i="2" a="1"/>
  <c r="L1556" i="2" s="1"/>
  <c r="L1557" i="2" a="1"/>
  <c r="L1557" i="2" s="1"/>
  <c r="K1559" i="2" a="1"/>
  <c r="K1559" i="2" s="1"/>
  <c r="K1560" i="2" a="1"/>
  <c r="K1560" i="2" s="1"/>
  <c r="M1561" i="2" a="1"/>
  <c r="M1561" i="2" s="1"/>
  <c r="M1562" i="2" a="1"/>
  <c r="M1562" i="2" s="1"/>
  <c r="L1564" i="2" a="1"/>
  <c r="L1564" i="2" s="1"/>
  <c r="L1565" i="2" a="1"/>
  <c r="L1565" i="2" s="1"/>
  <c r="K1567" i="2" a="1"/>
  <c r="K1567" i="2" s="1"/>
  <c r="K1568" i="2" a="1"/>
  <c r="K1568" i="2" s="1"/>
  <c r="M1569" i="2" a="1"/>
  <c r="M1569" i="2" s="1"/>
  <c r="M1570" i="2" a="1"/>
  <c r="M1570" i="2" s="1"/>
  <c r="L1572" i="2" a="1"/>
  <c r="L1572" i="2" s="1"/>
  <c r="L1573" i="2" a="1"/>
  <c r="L1573" i="2" s="1"/>
  <c r="K1575" i="2" a="1"/>
  <c r="K1575" i="2" s="1"/>
  <c r="K1576" i="2" a="1"/>
  <c r="K1576" i="2" s="1"/>
  <c r="M1577" i="2" a="1"/>
  <c r="M1577" i="2" s="1"/>
  <c r="M1578" i="2" a="1"/>
  <c r="M1578" i="2" s="1"/>
  <c r="L1580" i="2" a="1"/>
  <c r="L1580" i="2" s="1"/>
  <c r="L1581" i="2" a="1"/>
  <c r="L1581" i="2" s="1"/>
  <c r="K1583" i="2" a="1"/>
  <c r="K1583" i="2" s="1"/>
  <c r="K1584" i="2" a="1"/>
  <c r="K1584" i="2" s="1"/>
  <c r="M1585" i="2" a="1"/>
  <c r="M1585" i="2" s="1"/>
  <c r="M1586" i="2" a="1"/>
  <c r="M1586" i="2" s="1"/>
  <c r="L1588" i="2" a="1"/>
  <c r="L1588" i="2" s="1"/>
  <c r="L1589" i="2" a="1"/>
  <c r="L1589" i="2" s="1"/>
  <c r="K1591" i="2" a="1"/>
  <c r="K1591" i="2" s="1"/>
  <c r="K1592" i="2" a="1"/>
  <c r="K1592" i="2" s="1"/>
  <c r="M1593" i="2" a="1"/>
  <c r="M1593" i="2" s="1"/>
  <c r="M1594" i="2" a="1"/>
  <c r="M1594" i="2" s="1"/>
  <c r="L1596" i="2" a="1"/>
  <c r="L1596" i="2" s="1"/>
  <c r="L1597" i="2" a="1"/>
  <c r="L1597" i="2" s="1"/>
  <c r="K1599" i="2" a="1"/>
  <c r="K1599" i="2" s="1"/>
  <c r="K1600" i="2" a="1"/>
  <c r="K1600" i="2" s="1"/>
  <c r="M1601" i="2" a="1"/>
  <c r="M1601" i="2" s="1"/>
  <c r="M1602" i="2" a="1"/>
  <c r="M1602" i="2" s="1"/>
  <c r="L1604" i="2" a="1"/>
  <c r="L1604" i="2" s="1"/>
  <c r="L1605" i="2" a="1"/>
  <c r="L1605" i="2" s="1"/>
  <c r="K1607" i="2" a="1"/>
  <c r="K1607" i="2" s="1"/>
  <c r="K1608" i="2" a="1"/>
  <c r="K1608" i="2" s="1"/>
  <c r="M1609" i="2" a="1"/>
  <c r="M1609" i="2" s="1"/>
  <c r="M1610" i="2" a="1"/>
  <c r="M1610" i="2" s="1"/>
  <c r="L1612" i="2" a="1"/>
  <c r="L1612" i="2" s="1"/>
  <c r="L1613" i="2" a="1"/>
  <c r="L1613" i="2" s="1"/>
  <c r="K1615" i="2" a="1"/>
  <c r="K1615" i="2" s="1"/>
  <c r="K1616" i="2" a="1"/>
  <c r="K1616" i="2" s="1"/>
  <c r="M1617" i="2" a="1"/>
  <c r="M1617" i="2" s="1"/>
  <c r="M1618" i="2" a="1"/>
  <c r="M1618" i="2" s="1"/>
  <c r="L1620" i="2" a="1"/>
  <c r="L1620" i="2" s="1"/>
  <c r="L1621" i="2" a="1"/>
  <c r="L1621" i="2" s="1"/>
  <c r="K1623" i="2" a="1"/>
  <c r="K1623" i="2" s="1"/>
  <c r="K1624" i="2" a="1"/>
  <c r="K1624" i="2" s="1"/>
  <c r="M1625" i="2" a="1"/>
  <c r="M1625" i="2" s="1"/>
  <c r="M1626" i="2" a="1"/>
  <c r="M1626" i="2" s="1"/>
  <c r="L1628" i="2" a="1"/>
  <c r="L1628" i="2" s="1"/>
  <c r="L1629" i="2" a="1"/>
  <c r="L1629" i="2" s="1"/>
  <c r="K1631" i="2" a="1"/>
  <c r="K1631" i="2" s="1"/>
  <c r="K1632" i="2" a="1"/>
  <c r="K1632" i="2" s="1"/>
  <c r="M1633" i="2" a="1"/>
  <c r="M1633" i="2" s="1"/>
  <c r="M1634" i="2" a="1"/>
  <c r="M1634" i="2" s="1"/>
  <c r="L1636" i="2" a="1"/>
  <c r="L1636" i="2" s="1"/>
  <c r="L1637" i="2" a="1"/>
  <c r="L1637" i="2" s="1"/>
  <c r="K1639" i="2" a="1"/>
  <c r="K1639" i="2" s="1"/>
  <c r="K1640" i="2" a="1"/>
  <c r="K1640" i="2" s="1"/>
  <c r="M1641" i="2" a="1"/>
  <c r="M1641" i="2" s="1"/>
  <c r="M1642" i="2" a="1"/>
  <c r="M1642" i="2" s="1"/>
  <c r="L1644" i="2" a="1"/>
  <c r="L1644" i="2" s="1"/>
  <c r="L1645" i="2" a="1"/>
  <c r="L1645" i="2" s="1"/>
  <c r="K1647" i="2" a="1"/>
  <c r="K1647" i="2" s="1"/>
  <c r="K1648" i="2" a="1"/>
  <c r="K1648" i="2" s="1"/>
  <c r="M1649" i="2" a="1"/>
  <c r="M1649" i="2" s="1"/>
  <c r="M1650" i="2" a="1"/>
  <c r="M1650" i="2" s="1"/>
  <c r="L1652" i="2" a="1"/>
  <c r="L1652" i="2" s="1"/>
  <c r="L1653" i="2" a="1"/>
  <c r="L1653" i="2" s="1"/>
  <c r="K1655" i="2" a="1"/>
  <c r="K1655" i="2" s="1"/>
  <c r="K1656" i="2" a="1"/>
  <c r="K1656" i="2" s="1"/>
  <c r="M1657" i="2" a="1"/>
  <c r="M1657" i="2" s="1"/>
  <c r="M1658" i="2" a="1"/>
  <c r="M1658" i="2" s="1"/>
  <c r="L1660" i="2" a="1"/>
  <c r="L1660" i="2" s="1"/>
  <c r="L1661" i="2" a="1"/>
  <c r="L1661" i="2" s="1"/>
  <c r="K1663" i="2" a="1"/>
  <c r="K1663" i="2" s="1"/>
  <c r="K1664" i="2" a="1"/>
  <c r="K1664" i="2" s="1"/>
  <c r="M1665" i="2" a="1"/>
  <c r="M1665" i="2" s="1"/>
  <c r="M1666" i="2" a="1"/>
  <c r="M1666" i="2" s="1"/>
  <c r="L1668" i="2" a="1"/>
  <c r="L1668" i="2" s="1"/>
  <c r="L1669" i="2" a="1"/>
  <c r="L1669" i="2" s="1"/>
  <c r="K1671" i="2" a="1"/>
  <c r="K1671" i="2" s="1"/>
  <c r="K1672" i="2" a="1"/>
  <c r="K1672" i="2" s="1"/>
  <c r="M1673" i="2" a="1"/>
  <c r="M1673" i="2" s="1"/>
  <c r="M1674" i="2" a="1"/>
  <c r="M1674" i="2" s="1"/>
  <c r="L1676" i="2" a="1"/>
  <c r="L1676" i="2" s="1"/>
  <c r="L1677" i="2" a="1"/>
  <c r="L1677" i="2" s="1"/>
  <c r="K1679" i="2" a="1"/>
  <c r="K1679" i="2" s="1"/>
  <c r="K1680" i="2" a="1"/>
  <c r="K1680" i="2" s="1"/>
  <c r="M1681" i="2" a="1"/>
  <c r="M1681" i="2" s="1"/>
  <c r="M1682" i="2" a="1"/>
  <c r="M1682" i="2" s="1"/>
  <c r="L1684" i="2" a="1"/>
  <c r="L1684" i="2" s="1"/>
  <c r="L1685" i="2" a="1"/>
  <c r="L1685" i="2" s="1"/>
  <c r="K1687" i="2" a="1"/>
  <c r="K1687" i="2" s="1"/>
  <c r="K1688" i="2" a="1"/>
  <c r="K1688" i="2" s="1"/>
  <c r="M1689" i="2" a="1"/>
  <c r="M1689" i="2" s="1"/>
  <c r="M1690" i="2" a="1"/>
  <c r="M1690" i="2" s="1"/>
  <c r="L1692" i="2" a="1"/>
  <c r="L1692" i="2" s="1"/>
  <c r="L1693" i="2" a="1"/>
  <c r="L1693" i="2" s="1"/>
  <c r="K1695" i="2" a="1"/>
  <c r="K1695" i="2" s="1"/>
  <c r="K1696" i="2" a="1"/>
  <c r="K1696" i="2" s="1"/>
  <c r="M1697" i="2" a="1"/>
  <c r="M1697" i="2" s="1"/>
  <c r="M1698" i="2" a="1"/>
  <c r="M1698" i="2" s="1"/>
  <c r="L1700" i="2" a="1"/>
  <c r="L1700" i="2" s="1"/>
  <c r="L1701" i="2" a="1"/>
  <c r="L1701" i="2" s="1"/>
  <c r="K1703" i="2" a="1"/>
  <c r="K1703" i="2" s="1"/>
  <c r="K1704" i="2" a="1"/>
  <c r="K1704" i="2" s="1"/>
  <c r="M1705" i="2" a="1"/>
  <c r="M1705" i="2" s="1"/>
  <c r="M1706" i="2" a="1"/>
  <c r="M1706" i="2" s="1"/>
  <c r="L1708" i="2" a="1"/>
  <c r="L1708" i="2" s="1"/>
  <c r="L1709" i="2" a="1"/>
  <c r="L1709" i="2" s="1"/>
  <c r="K1711" i="2" a="1"/>
  <c r="K1711" i="2" s="1"/>
  <c r="K1712" i="2" a="1"/>
  <c r="K1712" i="2" s="1"/>
  <c r="M1713" i="2" a="1"/>
  <c r="M1713" i="2" s="1"/>
  <c r="M1714" i="2" a="1"/>
  <c r="M1714" i="2" s="1"/>
  <c r="L1716" i="2" a="1"/>
  <c r="L1716" i="2" s="1"/>
  <c r="L1717" i="2" a="1"/>
  <c r="L1717" i="2" s="1"/>
  <c r="K1719" i="2" a="1"/>
  <c r="K1719" i="2" s="1"/>
  <c r="K1720" i="2" a="1"/>
  <c r="K1720" i="2" s="1"/>
  <c r="M1721" i="2" a="1"/>
  <c r="M1721" i="2" s="1"/>
  <c r="M1722" i="2" a="1"/>
  <c r="M1722" i="2" s="1"/>
  <c r="L1724" i="2" a="1"/>
  <c r="L1724" i="2" s="1"/>
  <c r="L1725" i="2" a="1"/>
  <c r="L1725" i="2" s="1"/>
  <c r="K1727" i="2" a="1"/>
  <c r="K1727" i="2" s="1"/>
  <c r="K1728" i="2" a="1"/>
  <c r="K1728" i="2" s="1"/>
  <c r="M1729" i="2" a="1"/>
  <c r="M1729" i="2" s="1"/>
  <c r="M1730" i="2" a="1"/>
  <c r="M1730" i="2" s="1"/>
  <c r="L1732" i="2" a="1"/>
  <c r="L1732" i="2" s="1"/>
  <c r="L1733" i="2" a="1"/>
  <c r="L1733" i="2" s="1"/>
  <c r="K1735" i="2" a="1"/>
  <c r="K1735" i="2" s="1"/>
  <c r="K1736" i="2" a="1"/>
  <c r="K1736" i="2" s="1"/>
  <c r="M1737" i="2" a="1"/>
  <c r="M1737" i="2" s="1"/>
  <c r="M1738" i="2" a="1"/>
  <c r="M1738" i="2" s="1"/>
  <c r="L1740" i="2" a="1"/>
  <c r="L1740" i="2" s="1"/>
  <c r="L1741" i="2" a="1"/>
  <c r="L1741" i="2" s="1"/>
  <c r="K1743" i="2" a="1"/>
  <c r="K1743" i="2" s="1"/>
  <c r="K1744" i="2" a="1"/>
  <c r="K1744" i="2" s="1"/>
  <c r="M1745" i="2" a="1"/>
  <c r="M1745" i="2" s="1"/>
  <c r="M1746" i="2" a="1"/>
  <c r="M1746" i="2" s="1"/>
  <c r="L1748" i="2" a="1"/>
  <c r="L1748" i="2" s="1"/>
  <c r="L1749" i="2" a="1"/>
  <c r="L1749" i="2" s="1"/>
  <c r="K1751" i="2" a="1"/>
  <c r="K1751" i="2" s="1"/>
  <c r="K1752" i="2" a="1"/>
  <c r="K1752" i="2" s="1"/>
  <c r="M1753" i="2" a="1"/>
  <c r="M1753" i="2" s="1"/>
  <c r="M1754" i="2" a="1"/>
  <c r="M1754" i="2" s="1"/>
  <c r="L1756" i="2" a="1"/>
  <c r="L1756" i="2" s="1"/>
  <c r="L1757" i="2" a="1"/>
  <c r="L1757" i="2" s="1"/>
  <c r="K1759" i="2" a="1"/>
  <c r="K1759" i="2" s="1"/>
  <c r="K1760" i="2" a="1"/>
  <c r="K1760" i="2" s="1"/>
  <c r="M1761" i="2" a="1"/>
  <c r="M1761" i="2" s="1"/>
  <c r="M1762" i="2" a="1"/>
  <c r="M1762" i="2" s="1"/>
  <c r="L1764" i="2" a="1"/>
  <c r="L1764" i="2" s="1"/>
  <c r="L1765" i="2" a="1"/>
  <c r="L1765" i="2" s="1"/>
  <c r="K1767" i="2" a="1"/>
  <c r="K1767" i="2" s="1"/>
  <c r="K1768" i="2" a="1"/>
  <c r="K1768" i="2" s="1"/>
  <c r="M1769" i="2" a="1"/>
  <c r="M1769" i="2" s="1"/>
  <c r="M1770" i="2" a="1"/>
  <c r="M1770" i="2" s="1"/>
  <c r="L1772" i="2" a="1"/>
  <c r="L1772" i="2" s="1"/>
  <c r="L1773" i="2" a="1"/>
  <c r="L1773" i="2" s="1"/>
  <c r="K1775" i="2" a="1"/>
  <c r="K1775" i="2" s="1"/>
  <c r="K1776" i="2" a="1"/>
  <c r="K1776" i="2" s="1"/>
  <c r="M1777" i="2" a="1"/>
  <c r="M1777" i="2" s="1"/>
  <c r="M1778" i="2" a="1"/>
  <c r="M1778" i="2" s="1"/>
  <c r="L1780" i="2" a="1"/>
  <c r="L1780" i="2" s="1"/>
  <c r="L1781" i="2" a="1"/>
  <c r="L1781" i="2" s="1"/>
  <c r="K1783" i="2" a="1"/>
  <c r="K1783" i="2" s="1"/>
  <c r="K1784" i="2" a="1"/>
  <c r="K1784" i="2" s="1"/>
  <c r="M1785" i="2" a="1"/>
  <c r="M1785" i="2" s="1"/>
  <c r="M1786" i="2" a="1"/>
  <c r="M1786" i="2" s="1"/>
  <c r="L1788" i="2" a="1"/>
  <c r="L1788" i="2" s="1"/>
  <c r="L1789" i="2" a="1"/>
  <c r="L1789" i="2" s="1"/>
  <c r="K1791" i="2" a="1"/>
  <c r="K1791" i="2" s="1"/>
  <c r="K1792" i="2" a="1"/>
  <c r="K1792" i="2" s="1"/>
  <c r="M1793" i="2" a="1"/>
  <c r="M1793" i="2" s="1"/>
  <c r="M1794" i="2" a="1"/>
  <c r="M1794" i="2" s="1"/>
  <c r="L1796" i="2" a="1"/>
  <c r="L1796" i="2" s="1"/>
  <c r="L1797" i="2" a="1"/>
  <c r="L1797" i="2" s="1"/>
  <c r="K1799" i="2" a="1"/>
  <c r="K1799" i="2" s="1"/>
  <c r="K1800" i="2" a="1"/>
  <c r="K1800" i="2" s="1"/>
  <c r="M1801" i="2" a="1"/>
  <c r="M1801" i="2" s="1"/>
  <c r="M1802" i="2" a="1"/>
  <c r="M1802" i="2" s="1"/>
  <c r="L1804" i="2" a="1"/>
  <c r="L1804" i="2" s="1"/>
  <c r="L1805" i="2" a="1"/>
  <c r="L1805" i="2" s="1"/>
  <c r="K1807" i="2" a="1"/>
  <c r="K1807" i="2" s="1"/>
  <c r="K1808" i="2" a="1"/>
  <c r="K1808" i="2" s="1"/>
  <c r="M1809" i="2" a="1"/>
  <c r="M1809" i="2" s="1"/>
  <c r="M1810" i="2" a="1"/>
  <c r="M1810" i="2" s="1"/>
  <c r="L1812" i="2" a="1"/>
  <c r="L1812" i="2" s="1"/>
  <c r="L1813" i="2" a="1"/>
  <c r="L1813" i="2" s="1"/>
  <c r="K1815" i="2" a="1"/>
  <c r="K1815" i="2" s="1"/>
  <c r="K1816" i="2" a="1"/>
  <c r="K1816" i="2" s="1"/>
  <c r="M1817" i="2" a="1"/>
  <c r="M1817" i="2" s="1"/>
  <c r="M1818" i="2" a="1"/>
  <c r="M1818" i="2" s="1"/>
  <c r="L1820" i="2" a="1"/>
  <c r="L1820" i="2" s="1"/>
  <c r="L1821" i="2" a="1"/>
  <c r="L1821" i="2" s="1"/>
  <c r="K1823" i="2" a="1"/>
  <c r="K1823" i="2" s="1"/>
  <c r="K1824" i="2" a="1"/>
  <c r="K1824" i="2" s="1"/>
  <c r="M1825" i="2" a="1"/>
  <c r="M1825" i="2" s="1"/>
  <c r="M1826" i="2" a="1"/>
  <c r="M1826" i="2" s="1"/>
  <c r="L1828" i="2" a="1"/>
  <c r="L1828" i="2" s="1"/>
  <c r="L1829" i="2" a="1"/>
  <c r="L1829" i="2" s="1"/>
  <c r="K1831" i="2" a="1"/>
  <c r="K1831" i="2" s="1"/>
  <c r="K1832" i="2" a="1"/>
  <c r="K1832" i="2" s="1"/>
  <c r="M1833" i="2" a="1"/>
  <c r="M1833" i="2" s="1"/>
  <c r="M1834" i="2" a="1"/>
  <c r="M1834" i="2" s="1"/>
  <c r="L1836" i="2" a="1"/>
  <c r="L1836" i="2" s="1"/>
  <c r="L1837" i="2" a="1"/>
  <c r="L1837" i="2" s="1"/>
  <c r="K1839" i="2" a="1"/>
  <c r="K1839" i="2" s="1"/>
  <c r="K1840" i="2" a="1"/>
  <c r="K1840" i="2" s="1"/>
  <c r="M1841" i="2" a="1"/>
  <c r="M1841" i="2" s="1"/>
  <c r="M1842" i="2" a="1"/>
  <c r="M1842" i="2" s="1"/>
  <c r="L1844" i="2" a="1"/>
  <c r="L1844" i="2" s="1"/>
  <c r="L1845" i="2" a="1"/>
  <c r="L1845" i="2" s="1"/>
  <c r="K1847" i="2" a="1"/>
  <c r="K1847" i="2" s="1"/>
  <c r="K1848" i="2" a="1"/>
  <c r="K1848" i="2" s="1"/>
  <c r="M1849" i="2" a="1"/>
  <c r="M1849" i="2" s="1"/>
  <c r="M1850" i="2" a="1"/>
  <c r="M1850" i="2" s="1"/>
  <c r="L1852" i="2" a="1"/>
  <c r="L1852" i="2" s="1"/>
  <c r="L1853" i="2" a="1"/>
  <c r="L1853" i="2" s="1"/>
  <c r="K1855" i="2" a="1"/>
  <c r="K1855" i="2" s="1"/>
  <c r="K1856" i="2" a="1"/>
  <c r="K1856" i="2" s="1"/>
  <c r="M1857" i="2" a="1"/>
  <c r="M1857" i="2" s="1"/>
  <c r="M1858" i="2" a="1"/>
  <c r="M1858" i="2" s="1"/>
  <c r="L1860" i="2" a="1"/>
  <c r="L1860" i="2" s="1"/>
  <c r="L1861" i="2" a="1"/>
  <c r="L1861" i="2" s="1"/>
  <c r="K1863" i="2" a="1"/>
  <c r="K1863" i="2" s="1"/>
  <c r="K1864" i="2" a="1"/>
  <c r="K1864" i="2" s="1"/>
  <c r="M1865" i="2" a="1"/>
  <c r="M1865" i="2" s="1"/>
  <c r="M1866" i="2" a="1"/>
  <c r="M1866" i="2" s="1"/>
  <c r="L1868" i="2" a="1"/>
  <c r="L1868" i="2" s="1"/>
  <c r="L1869" i="2" a="1"/>
  <c r="L1869" i="2" s="1"/>
  <c r="K1871" i="2" a="1"/>
  <c r="K1871" i="2" s="1"/>
  <c r="K1872" i="2" a="1"/>
  <c r="K1872" i="2" s="1"/>
  <c r="M1873" i="2" a="1"/>
  <c r="M1873" i="2" s="1"/>
  <c r="M1874" i="2" a="1"/>
  <c r="M1874" i="2" s="1"/>
  <c r="L1876" i="2" a="1"/>
  <c r="L1876" i="2" s="1"/>
  <c r="L1877" i="2" a="1"/>
  <c r="L1877" i="2" s="1"/>
  <c r="K1879" i="2" a="1"/>
  <c r="K1879" i="2" s="1"/>
  <c r="K1880" i="2" a="1"/>
  <c r="K1880" i="2" s="1"/>
  <c r="M1881" i="2" a="1"/>
  <c r="M1881" i="2" s="1"/>
  <c r="M1882" i="2" a="1"/>
  <c r="M1882" i="2" s="1"/>
  <c r="L1884" i="2" a="1"/>
  <c r="L1884" i="2" s="1"/>
  <c r="L1885" i="2" a="1"/>
  <c r="L1885" i="2" s="1"/>
  <c r="K1887" i="2" a="1"/>
  <c r="K1887" i="2" s="1"/>
  <c r="K1888" i="2" a="1"/>
  <c r="K1888" i="2" s="1"/>
  <c r="M1889" i="2" a="1"/>
  <c r="M1889" i="2" s="1"/>
  <c r="M1890" i="2" a="1"/>
  <c r="M1890" i="2" s="1"/>
  <c r="L1892" i="2" a="1"/>
  <c r="L1892" i="2" s="1"/>
  <c r="L1893" i="2" a="1"/>
  <c r="L1893" i="2" s="1"/>
  <c r="K1895" i="2" a="1"/>
  <c r="K1895" i="2" s="1"/>
  <c r="K1896" i="2" a="1"/>
  <c r="K1896" i="2" s="1"/>
  <c r="M1897" i="2" a="1"/>
  <c r="M1897" i="2" s="1"/>
  <c r="M1898" i="2" a="1"/>
  <c r="M1898" i="2" s="1"/>
  <c r="L1900" i="2" a="1"/>
  <c r="L1900" i="2" s="1"/>
  <c r="L1901" i="2" a="1"/>
  <c r="L1901" i="2" s="1"/>
  <c r="K1903" i="2" a="1"/>
  <c r="K1903" i="2" s="1"/>
  <c r="K1904" i="2" a="1"/>
  <c r="K1904" i="2" s="1"/>
  <c r="M1905" i="2" a="1"/>
  <c r="M1905" i="2" s="1"/>
  <c r="M1906" i="2" a="1"/>
  <c r="M1906" i="2" s="1"/>
  <c r="L1908" i="2" a="1"/>
  <c r="L1908" i="2" s="1"/>
  <c r="L1909" i="2" a="1"/>
  <c r="L1909" i="2" s="1"/>
  <c r="K1911" i="2" a="1"/>
  <c r="K1911" i="2" s="1"/>
  <c r="K1912" i="2" a="1"/>
  <c r="K1912" i="2" s="1"/>
  <c r="M1913" i="2" a="1"/>
  <c r="M1913" i="2" s="1"/>
  <c r="M1914" i="2" a="1"/>
  <c r="M1914" i="2" s="1"/>
  <c r="L1916" i="2" a="1"/>
  <c r="L1916" i="2" s="1"/>
  <c r="L1917" i="2" a="1"/>
  <c r="L1917" i="2" s="1"/>
  <c r="M1304" i="2" a="1"/>
  <c r="M1304" i="2" s="1"/>
  <c r="M1305" i="2" a="1"/>
  <c r="M1305" i="2" s="1"/>
  <c r="M1306" i="2" a="1"/>
  <c r="M1306" i="2" s="1"/>
  <c r="K1308" i="2" a="1"/>
  <c r="K1308" i="2" s="1"/>
  <c r="K1310" i="2" a="1"/>
  <c r="K1310" i="2" s="1"/>
  <c r="K1311" i="2" a="1"/>
  <c r="K1311" i="2" s="1"/>
  <c r="K1312" i="2" a="1"/>
  <c r="K1312" i="2" s="1"/>
  <c r="L1313" i="2" a="1"/>
  <c r="L1313" i="2" s="1"/>
  <c r="L1315" i="2" a="1"/>
  <c r="L1315" i="2" s="1"/>
  <c r="L1316" i="2" a="1"/>
  <c r="L1316" i="2" s="1"/>
  <c r="L1317" i="2" a="1"/>
  <c r="L1317" i="2" s="1"/>
  <c r="M1318" i="2" a="1"/>
  <c r="M1318" i="2" s="1"/>
  <c r="M1320" i="2" a="1"/>
  <c r="M1320" i="2" s="1"/>
  <c r="M1321" i="2" a="1"/>
  <c r="M1321" i="2" s="1"/>
  <c r="M1322" i="2" a="1"/>
  <c r="M1322" i="2" s="1"/>
  <c r="K1324" i="2" a="1"/>
  <c r="K1324" i="2" s="1"/>
  <c r="K1326" i="2" a="1"/>
  <c r="K1326" i="2" s="1"/>
  <c r="K1327" i="2" a="1"/>
  <c r="K1327" i="2" s="1"/>
  <c r="K1328" i="2" a="1"/>
  <c r="K1328" i="2" s="1"/>
  <c r="L1329" i="2" a="1"/>
  <c r="L1329" i="2" s="1"/>
  <c r="L1331" i="2" a="1"/>
  <c r="L1331" i="2" s="1"/>
  <c r="L1332" i="2" a="1"/>
  <c r="L1332" i="2" s="1"/>
  <c r="L1333" i="2" a="1"/>
  <c r="L1333" i="2" s="1"/>
  <c r="M1334" i="2" a="1"/>
  <c r="M1334" i="2" s="1"/>
  <c r="M1336" i="2" a="1"/>
  <c r="M1336" i="2" s="1"/>
  <c r="M1337" i="2" a="1"/>
  <c r="M1337" i="2" s="1"/>
  <c r="M1338" i="2" a="1"/>
  <c r="M1338" i="2" s="1"/>
  <c r="K1340" i="2" a="1"/>
  <c r="K1340" i="2" s="1"/>
  <c r="K1342" i="2" a="1"/>
  <c r="K1342" i="2" s="1"/>
  <c r="K1343" i="2" a="1"/>
  <c r="K1343" i="2" s="1"/>
  <c r="K1344" i="2" a="1"/>
  <c r="K1344" i="2" s="1"/>
  <c r="L1345" i="2" a="1"/>
  <c r="L1345" i="2" s="1"/>
  <c r="L1347" i="2" a="1"/>
  <c r="L1347" i="2" s="1"/>
  <c r="L1348" i="2" a="1"/>
  <c r="L1348" i="2" s="1"/>
  <c r="L1349" i="2" a="1"/>
  <c r="L1349" i="2" s="1"/>
  <c r="M1350" i="2" a="1"/>
  <c r="M1350" i="2" s="1"/>
  <c r="L1352" i="2" a="1"/>
  <c r="L1352" i="2" s="1"/>
  <c r="L1353" i="2" a="1"/>
  <c r="L1353" i="2" s="1"/>
  <c r="K1355" i="2" a="1"/>
  <c r="K1355" i="2" s="1"/>
  <c r="K1356" i="2" a="1"/>
  <c r="K1356" i="2" s="1"/>
  <c r="M1357" i="2" a="1"/>
  <c r="M1357" i="2" s="1"/>
  <c r="M1358" i="2" a="1"/>
  <c r="M1358" i="2" s="1"/>
  <c r="L1360" i="2" a="1"/>
  <c r="L1360" i="2" s="1"/>
  <c r="L1361" i="2" a="1"/>
  <c r="L1361" i="2" s="1"/>
  <c r="K1363" i="2" a="1"/>
  <c r="K1363" i="2" s="1"/>
  <c r="K1364" i="2" a="1"/>
  <c r="K1364" i="2" s="1"/>
  <c r="M1365" i="2" a="1"/>
  <c r="M1365" i="2" s="1"/>
  <c r="L1366" i="2" a="1"/>
  <c r="L1366" i="2" s="1"/>
  <c r="L1367" i="2" a="1"/>
  <c r="L1367" i="2" s="1"/>
  <c r="K1369" i="2" a="1"/>
  <c r="K1369" i="2" s="1"/>
  <c r="K1370" i="2" a="1"/>
  <c r="K1370" i="2" s="1"/>
  <c r="M1371" i="2" a="1"/>
  <c r="M1371" i="2" s="1"/>
  <c r="M1372" i="2" a="1"/>
  <c r="M1372" i="2" s="1"/>
  <c r="L1374" i="2" a="1"/>
  <c r="L1374" i="2" s="1"/>
  <c r="L1375" i="2" a="1"/>
  <c r="L1375" i="2" s="1"/>
  <c r="K1377" i="2" a="1"/>
  <c r="K1377" i="2" s="1"/>
  <c r="K1378" i="2" a="1"/>
  <c r="K1378" i="2" s="1"/>
  <c r="M1379" i="2" a="1"/>
  <c r="M1379" i="2" s="1"/>
  <c r="M1380" i="2" a="1"/>
  <c r="M1380" i="2" s="1"/>
  <c r="L1382" i="2" a="1"/>
  <c r="L1382" i="2" s="1"/>
  <c r="L1383" i="2" a="1"/>
  <c r="L1383" i="2" s="1"/>
  <c r="K1385" i="2" a="1"/>
  <c r="K1385" i="2" s="1"/>
  <c r="K1386" i="2" a="1"/>
  <c r="K1386" i="2" s="1"/>
  <c r="M1387" i="2" a="1"/>
  <c r="M1387" i="2" s="1"/>
  <c r="M1388" i="2" a="1"/>
  <c r="M1388" i="2" s="1"/>
  <c r="L1390" i="2" a="1"/>
  <c r="L1390" i="2" s="1"/>
  <c r="L1391" i="2" a="1"/>
  <c r="L1391" i="2" s="1"/>
  <c r="K1393" i="2" a="1"/>
  <c r="K1393" i="2" s="1"/>
  <c r="K1394" i="2" a="1"/>
  <c r="K1394" i="2" s="1"/>
  <c r="M1395" i="2" a="1"/>
  <c r="M1395" i="2" s="1"/>
  <c r="M1396" i="2" a="1"/>
  <c r="M1396" i="2" s="1"/>
  <c r="L1398" i="2" a="1"/>
  <c r="L1398" i="2" s="1"/>
  <c r="L1399" i="2" a="1"/>
  <c r="L1399" i="2" s="1"/>
  <c r="K1401" i="2" a="1"/>
  <c r="K1401" i="2" s="1"/>
  <c r="K1402" i="2" a="1"/>
  <c r="K1402" i="2" s="1"/>
  <c r="M1403" i="2" a="1"/>
  <c r="M1403" i="2" s="1"/>
  <c r="M1404" i="2" a="1"/>
  <c r="M1404" i="2" s="1"/>
  <c r="L1406" i="2" a="1"/>
  <c r="L1406" i="2" s="1"/>
  <c r="L1407" i="2" a="1"/>
  <c r="L1407" i="2" s="1"/>
  <c r="K1409" i="2" a="1"/>
  <c r="K1409" i="2" s="1"/>
  <c r="K1410" i="2" a="1"/>
  <c r="K1410" i="2" s="1"/>
  <c r="M1411" i="2" a="1"/>
  <c r="M1411" i="2" s="1"/>
  <c r="M1412" i="2" a="1"/>
  <c r="M1412" i="2" s="1"/>
  <c r="L1414" i="2" a="1"/>
  <c r="L1414" i="2" s="1"/>
  <c r="L1415" i="2" a="1"/>
  <c r="L1415" i="2" s="1"/>
  <c r="K1417" i="2" a="1"/>
  <c r="K1417" i="2" s="1"/>
  <c r="K1418" i="2" a="1"/>
  <c r="K1418" i="2" s="1"/>
  <c r="M1419" i="2" a="1"/>
  <c r="M1419" i="2" s="1"/>
  <c r="M1420" i="2" a="1"/>
  <c r="M1420" i="2" s="1"/>
  <c r="L1422" i="2" a="1"/>
  <c r="L1422" i="2" s="1"/>
  <c r="L1423" i="2" a="1"/>
  <c r="L1423" i="2" s="1"/>
  <c r="K1425" i="2" a="1"/>
  <c r="K1425" i="2" s="1"/>
  <c r="K1426" i="2" a="1"/>
  <c r="K1426" i="2" s="1"/>
  <c r="M1427" i="2" a="1"/>
  <c r="M1427" i="2" s="1"/>
  <c r="M1428" i="2" a="1"/>
  <c r="M1428" i="2" s="1"/>
  <c r="L1430" i="2" a="1"/>
  <c r="L1430" i="2" s="1"/>
  <c r="L1431" i="2" a="1"/>
  <c r="L1431" i="2" s="1"/>
  <c r="K1433" i="2" a="1"/>
  <c r="K1433" i="2" s="1"/>
  <c r="K1434" i="2" a="1"/>
  <c r="K1434" i="2" s="1"/>
  <c r="M1435" i="2" a="1"/>
  <c r="M1435" i="2" s="1"/>
  <c r="M1436" i="2" a="1"/>
  <c r="M1436" i="2" s="1"/>
  <c r="L1438" i="2" a="1"/>
  <c r="L1438" i="2" s="1"/>
  <c r="L1439" i="2" a="1"/>
  <c r="L1439" i="2" s="1"/>
  <c r="K1441" i="2" a="1"/>
  <c r="K1441" i="2" s="1"/>
  <c r="K1442" i="2" a="1"/>
  <c r="K1442" i="2" s="1"/>
  <c r="M1443" i="2" a="1"/>
  <c r="M1443" i="2" s="1"/>
  <c r="M1444" i="2" a="1"/>
  <c r="M1444" i="2" s="1"/>
  <c r="L1446" i="2" a="1"/>
  <c r="L1446" i="2" s="1"/>
  <c r="L1447" i="2" a="1"/>
  <c r="L1447" i="2" s="1"/>
  <c r="K1449" i="2" a="1"/>
  <c r="K1449" i="2" s="1"/>
  <c r="K1450" i="2" a="1"/>
  <c r="K1450" i="2" s="1"/>
  <c r="M1451" i="2" a="1"/>
  <c r="M1451" i="2" s="1"/>
  <c r="M1452" i="2" a="1"/>
  <c r="M1452" i="2" s="1"/>
  <c r="L1454" i="2" a="1"/>
  <c r="L1454" i="2" s="1"/>
  <c r="L1455" i="2" a="1"/>
  <c r="L1455" i="2" s="1"/>
  <c r="K1457" i="2" a="1"/>
  <c r="K1457" i="2" s="1"/>
  <c r="K1458" i="2" a="1"/>
  <c r="K1458" i="2" s="1"/>
  <c r="M1459" i="2" a="1"/>
  <c r="M1459" i="2" s="1"/>
  <c r="M1460" i="2" a="1"/>
  <c r="M1460" i="2" s="1"/>
  <c r="L1462" i="2" a="1"/>
  <c r="L1462" i="2" s="1"/>
  <c r="L1463" i="2" a="1"/>
  <c r="L1463" i="2" s="1"/>
  <c r="K1465" i="2" a="1"/>
  <c r="K1465" i="2" s="1"/>
  <c r="K1466" i="2" a="1"/>
  <c r="K1466" i="2" s="1"/>
  <c r="M1467" i="2" a="1"/>
  <c r="M1467" i="2" s="1"/>
  <c r="M1468" i="2" a="1"/>
  <c r="M1468" i="2" s="1"/>
  <c r="L1470" i="2" a="1"/>
  <c r="L1470" i="2" s="1"/>
  <c r="L1471" i="2" a="1"/>
  <c r="L1471" i="2" s="1"/>
  <c r="K1473" i="2" a="1"/>
  <c r="K1473" i="2" s="1"/>
  <c r="K1474" i="2" a="1"/>
  <c r="K1474" i="2" s="1"/>
  <c r="M1475" i="2" a="1"/>
  <c r="M1475" i="2" s="1"/>
  <c r="M1476" i="2" a="1"/>
  <c r="M1476" i="2" s="1"/>
  <c r="L1478" i="2" a="1"/>
  <c r="L1478" i="2" s="1"/>
  <c r="L1479" i="2" a="1"/>
  <c r="L1479" i="2" s="1"/>
  <c r="K1481" i="2" a="1"/>
  <c r="K1481" i="2" s="1"/>
  <c r="K1482" i="2" a="1"/>
  <c r="K1482" i="2" s="1"/>
  <c r="M1483" i="2" a="1"/>
  <c r="M1483" i="2" s="1"/>
  <c r="M1484" i="2" a="1"/>
  <c r="M1484" i="2" s="1"/>
  <c r="L1486" i="2" a="1"/>
  <c r="L1486" i="2" s="1"/>
  <c r="L1487" i="2" a="1"/>
  <c r="L1487" i="2" s="1"/>
  <c r="K1489" i="2" a="1"/>
  <c r="K1489" i="2" s="1"/>
  <c r="K1490" i="2" a="1"/>
  <c r="K1490" i="2" s="1"/>
  <c r="M1491" i="2" a="1"/>
  <c r="M1491" i="2" s="1"/>
  <c r="M1492" i="2" a="1"/>
  <c r="M1492" i="2" s="1"/>
  <c r="L1494" i="2" a="1"/>
  <c r="L1494" i="2" s="1"/>
  <c r="L1495" i="2" a="1"/>
  <c r="L1495" i="2" s="1"/>
  <c r="K1497" i="2" a="1"/>
  <c r="K1497" i="2" s="1"/>
  <c r="K1498" i="2" a="1"/>
  <c r="K1498" i="2" s="1"/>
  <c r="M1499" i="2" a="1"/>
  <c r="M1499" i="2" s="1"/>
  <c r="M1500" i="2" a="1"/>
  <c r="M1500" i="2" s="1"/>
  <c r="L1502" i="2" a="1"/>
  <c r="L1502" i="2" s="1"/>
  <c r="L1503" i="2" a="1"/>
  <c r="L1503" i="2" s="1"/>
  <c r="K1505" i="2" a="1"/>
  <c r="K1505" i="2" s="1"/>
  <c r="K1506" i="2" a="1"/>
  <c r="K1506" i="2" s="1"/>
  <c r="M1507" i="2" a="1"/>
  <c r="M1507" i="2" s="1"/>
  <c r="M1508" i="2" a="1"/>
  <c r="M1508" i="2" s="1"/>
  <c r="L1510" i="2" a="1"/>
  <c r="L1510" i="2" s="1"/>
  <c r="L1511" i="2" a="1"/>
  <c r="L1511" i="2" s="1"/>
  <c r="K1513" i="2" a="1"/>
  <c r="K1513" i="2" s="1"/>
  <c r="K1514" i="2" a="1"/>
  <c r="K1514" i="2" s="1"/>
  <c r="M1515" i="2" a="1"/>
  <c r="M1515" i="2" s="1"/>
  <c r="M1516" i="2" a="1"/>
  <c r="M1516" i="2" s="1"/>
  <c r="L1518" i="2" a="1"/>
  <c r="L1518" i="2" s="1"/>
  <c r="L1519" i="2" a="1"/>
  <c r="L1519" i="2" s="1"/>
  <c r="K1521" i="2" a="1"/>
  <c r="K1521" i="2" s="1"/>
  <c r="K1522" i="2" a="1"/>
  <c r="K1522" i="2" s="1"/>
  <c r="M1523" i="2" a="1"/>
  <c r="M1523" i="2" s="1"/>
  <c r="M1524" i="2" a="1"/>
  <c r="M1524" i="2" s="1"/>
  <c r="L1526" i="2" a="1"/>
  <c r="L1526" i="2" s="1"/>
  <c r="L1527" i="2" a="1"/>
  <c r="L1527" i="2" s="1"/>
  <c r="K1529" i="2" a="1"/>
  <c r="K1529" i="2" s="1"/>
  <c r="K1530" i="2" a="1"/>
  <c r="K1530" i="2" s="1"/>
  <c r="M1531" i="2" a="1"/>
  <c r="M1531" i="2" s="1"/>
  <c r="M1532" i="2" a="1"/>
  <c r="M1532" i="2" s="1"/>
  <c r="L1534" i="2" a="1"/>
  <c r="L1534" i="2" s="1"/>
  <c r="L1535" i="2" a="1"/>
  <c r="L1535" i="2" s="1"/>
  <c r="K1537" i="2" a="1"/>
  <c r="K1537" i="2" s="1"/>
  <c r="K1538" i="2" a="1"/>
  <c r="K1538" i="2" s="1"/>
  <c r="M1539" i="2" a="1"/>
  <c r="M1539" i="2" s="1"/>
  <c r="M1540" i="2" a="1"/>
  <c r="M1540" i="2" s="1"/>
  <c r="L1542" i="2" a="1"/>
  <c r="L1542" i="2" s="1"/>
  <c r="L1543" i="2" a="1"/>
  <c r="L1543" i="2" s="1"/>
  <c r="K1545" i="2" a="1"/>
  <c r="K1545" i="2" s="1"/>
  <c r="K1546" i="2" a="1"/>
  <c r="K1546" i="2" s="1"/>
  <c r="M1547" i="2" a="1"/>
  <c r="M1547" i="2" s="1"/>
  <c r="M1548" i="2" a="1"/>
  <c r="M1548" i="2" s="1"/>
  <c r="L1550" i="2" a="1"/>
  <c r="L1550" i="2" s="1"/>
  <c r="L1551" i="2" a="1"/>
  <c r="L1551" i="2" s="1"/>
  <c r="K1553" i="2" a="1"/>
  <c r="K1553" i="2" s="1"/>
  <c r="K1554" i="2" a="1"/>
  <c r="K1554" i="2" s="1"/>
  <c r="M1555" i="2" a="1"/>
  <c r="M1555" i="2" s="1"/>
  <c r="M1556" i="2" a="1"/>
  <c r="M1556" i="2" s="1"/>
  <c r="L1558" i="2" a="1"/>
  <c r="L1558" i="2" s="1"/>
  <c r="L1559" i="2" a="1"/>
  <c r="L1559" i="2" s="1"/>
  <c r="K1561" i="2" a="1"/>
  <c r="K1561" i="2" s="1"/>
  <c r="K1562" i="2" a="1"/>
  <c r="K1562" i="2" s="1"/>
  <c r="M1563" i="2" a="1"/>
  <c r="M1563" i="2" s="1"/>
  <c r="M1564" i="2" a="1"/>
  <c r="M1564" i="2" s="1"/>
  <c r="L1566" i="2" a="1"/>
  <c r="L1566" i="2" s="1"/>
  <c r="L1567" i="2" a="1"/>
  <c r="L1567" i="2" s="1"/>
  <c r="K1569" i="2" a="1"/>
  <c r="K1569" i="2" s="1"/>
  <c r="K1570" i="2" a="1"/>
  <c r="K1570" i="2" s="1"/>
  <c r="M1571" i="2" a="1"/>
  <c r="M1571" i="2" s="1"/>
  <c r="M1572" i="2" a="1"/>
  <c r="M1572" i="2" s="1"/>
  <c r="L1574" i="2" a="1"/>
  <c r="L1574" i="2" s="1"/>
  <c r="L1575" i="2" a="1"/>
  <c r="L1575" i="2" s="1"/>
  <c r="K1577" i="2" a="1"/>
  <c r="K1577" i="2" s="1"/>
  <c r="K1578" i="2" a="1"/>
  <c r="K1578" i="2" s="1"/>
  <c r="M1579" i="2" a="1"/>
  <c r="M1579" i="2" s="1"/>
  <c r="M1580" i="2" a="1"/>
  <c r="M1580" i="2" s="1"/>
  <c r="L1582" i="2" a="1"/>
  <c r="L1582" i="2" s="1"/>
  <c r="L1583" i="2" a="1"/>
  <c r="L1583" i="2" s="1"/>
  <c r="K1585" i="2" a="1"/>
  <c r="K1585" i="2" s="1"/>
  <c r="K1586" i="2" a="1"/>
  <c r="K1586" i="2" s="1"/>
  <c r="M1587" i="2" a="1"/>
  <c r="M1587" i="2" s="1"/>
  <c r="M1588" i="2" a="1"/>
  <c r="M1588" i="2" s="1"/>
  <c r="L1590" i="2" a="1"/>
  <c r="L1590" i="2" s="1"/>
  <c r="L1591" i="2" a="1"/>
  <c r="L1591" i="2" s="1"/>
  <c r="K1593" i="2" a="1"/>
  <c r="K1593" i="2" s="1"/>
  <c r="K1594" i="2" a="1"/>
  <c r="K1594" i="2" s="1"/>
  <c r="M1595" i="2" a="1"/>
  <c r="M1595" i="2" s="1"/>
  <c r="M1596" i="2" a="1"/>
  <c r="M1596" i="2" s="1"/>
  <c r="L1598" i="2" a="1"/>
  <c r="L1598" i="2" s="1"/>
  <c r="L1599" i="2" a="1"/>
  <c r="L1599" i="2" s="1"/>
  <c r="K1601" i="2" a="1"/>
  <c r="K1601" i="2" s="1"/>
  <c r="K1602" i="2" a="1"/>
  <c r="K1602" i="2" s="1"/>
  <c r="M1603" i="2" a="1"/>
  <c r="M1603" i="2" s="1"/>
  <c r="M1604" i="2" a="1"/>
  <c r="M1604" i="2" s="1"/>
  <c r="L1606" i="2" a="1"/>
  <c r="L1606" i="2" s="1"/>
  <c r="L1607" i="2" a="1"/>
  <c r="L1607" i="2" s="1"/>
  <c r="K1609" i="2" a="1"/>
  <c r="K1609" i="2" s="1"/>
  <c r="K1610" i="2" a="1"/>
  <c r="K1610" i="2" s="1"/>
  <c r="M1611" i="2" a="1"/>
  <c r="M1611" i="2" s="1"/>
  <c r="M1612" i="2" a="1"/>
  <c r="M1612" i="2" s="1"/>
  <c r="L1614" i="2" a="1"/>
  <c r="L1614" i="2" s="1"/>
  <c r="L1615" i="2" a="1"/>
  <c r="L1615" i="2" s="1"/>
  <c r="K1617" i="2" a="1"/>
  <c r="K1617" i="2" s="1"/>
  <c r="K1618" i="2" a="1"/>
  <c r="K1618" i="2" s="1"/>
  <c r="M1619" i="2" a="1"/>
  <c r="M1619" i="2" s="1"/>
  <c r="M1620" i="2" a="1"/>
  <c r="M1620" i="2" s="1"/>
  <c r="L1622" i="2" a="1"/>
  <c r="L1622" i="2" s="1"/>
  <c r="L1623" i="2" a="1"/>
  <c r="L1623" i="2" s="1"/>
  <c r="K1625" i="2" a="1"/>
  <c r="K1625" i="2" s="1"/>
  <c r="K1626" i="2" a="1"/>
  <c r="K1626" i="2" s="1"/>
  <c r="M1627" i="2" a="1"/>
  <c r="M1627" i="2" s="1"/>
  <c r="M1628" i="2" a="1"/>
  <c r="M1628" i="2" s="1"/>
  <c r="L1630" i="2" a="1"/>
  <c r="L1630" i="2" s="1"/>
  <c r="L1631" i="2" a="1"/>
  <c r="L1631" i="2" s="1"/>
  <c r="K1633" i="2" a="1"/>
  <c r="K1633" i="2" s="1"/>
  <c r="K1634" i="2" a="1"/>
  <c r="K1634" i="2" s="1"/>
  <c r="M1635" i="2" a="1"/>
  <c r="M1635" i="2" s="1"/>
  <c r="M1636" i="2" a="1"/>
  <c r="M1636" i="2" s="1"/>
  <c r="L1638" i="2" a="1"/>
  <c r="L1638" i="2" s="1"/>
  <c r="L1639" i="2" a="1"/>
  <c r="L1639" i="2" s="1"/>
  <c r="K1641" i="2" a="1"/>
  <c r="K1641" i="2" s="1"/>
  <c r="K1642" i="2" a="1"/>
  <c r="K1642" i="2" s="1"/>
  <c r="M1643" i="2" a="1"/>
  <c r="M1643" i="2" s="1"/>
  <c r="M1644" i="2" a="1"/>
  <c r="M1644" i="2" s="1"/>
  <c r="L1646" i="2" a="1"/>
  <c r="L1646" i="2" s="1"/>
  <c r="L1647" i="2" a="1"/>
  <c r="L1647" i="2" s="1"/>
  <c r="K1649" i="2" a="1"/>
  <c r="K1649" i="2" s="1"/>
  <c r="K1650" i="2" a="1"/>
  <c r="K1650" i="2" s="1"/>
  <c r="M1651" i="2" a="1"/>
  <c r="M1651" i="2" s="1"/>
  <c r="M1652" i="2" a="1"/>
  <c r="M1652" i="2" s="1"/>
  <c r="L1654" i="2" a="1"/>
  <c r="L1654" i="2" s="1"/>
  <c r="L1655" i="2" a="1"/>
  <c r="L1655" i="2" s="1"/>
  <c r="K1657" i="2" a="1"/>
  <c r="K1657" i="2" s="1"/>
  <c r="K1658" i="2" a="1"/>
  <c r="K1658" i="2" s="1"/>
  <c r="M1659" i="2" a="1"/>
  <c r="M1659" i="2" s="1"/>
  <c r="M1660" i="2" a="1"/>
  <c r="M1660" i="2" s="1"/>
  <c r="L1662" i="2" a="1"/>
  <c r="L1662" i="2" s="1"/>
  <c r="L1663" i="2" a="1"/>
  <c r="L1663" i="2" s="1"/>
  <c r="K1665" i="2" a="1"/>
  <c r="K1665" i="2" s="1"/>
  <c r="K1666" i="2" a="1"/>
  <c r="K1666" i="2" s="1"/>
  <c r="M1667" i="2" a="1"/>
  <c r="M1667" i="2" s="1"/>
  <c r="M1668" i="2" a="1"/>
  <c r="M1668" i="2" s="1"/>
  <c r="L1670" i="2" a="1"/>
  <c r="L1670" i="2" s="1"/>
  <c r="L1671" i="2" a="1"/>
  <c r="L1671" i="2" s="1"/>
  <c r="K1673" i="2" a="1"/>
  <c r="K1673" i="2" s="1"/>
  <c r="K1674" i="2" a="1"/>
  <c r="K1674" i="2" s="1"/>
  <c r="M1675" i="2" a="1"/>
  <c r="M1675" i="2" s="1"/>
  <c r="M1676" i="2" a="1"/>
  <c r="M1676" i="2" s="1"/>
  <c r="L1678" i="2" a="1"/>
  <c r="L1678" i="2" s="1"/>
  <c r="L1679" i="2" a="1"/>
  <c r="L1679" i="2" s="1"/>
  <c r="K1681" i="2" a="1"/>
  <c r="K1681" i="2" s="1"/>
  <c r="K1682" i="2" a="1"/>
  <c r="K1682" i="2" s="1"/>
  <c r="M1683" i="2" a="1"/>
  <c r="M1683" i="2" s="1"/>
  <c r="M1684" i="2" a="1"/>
  <c r="M1684" i="2" s="1"/>
  <c r="L1686" i="2" a="1"/>
  <c r="L1686" i="2" s="1"/>
  <c r="L1687" i="2" a="1"/>
  <c r="L1687" i="2" s="1"/>
  <c r="K1689" i="2" a="1"/>
  <c r="K1689" i="2" s="1"/>
  <c r="K1690" i="2" a="1"/>
  <c r="K1690" i="2" s="1"/>
  <c r="M1691" i="2" a="1"/>
  <c r="M1691" i="2" s="1"/>
  <c r="M1692" i="2" a="1"/>
  <c r="M1692" i="2" s="1"/>
  <c r="L1694" i="2" a="1"/>
  <c r="L1694" i="2" s="1"/>
  <c r="L1695" i="2" a="1"/>
  <c r="L1695" i="2" s="1"/>
  <c r="K1697" i="2" a="1"/>
  <c r="K1697" i="2" s="1"/>
  <c r="K1698" i="2" a="1"/>
  <c r="K1698" i="2" s="1"/>
  <c r="M1699" i="2" a="1"/>
  <c r="M1699" i="2" s="1"/>
  <c r="M1700" i="2" a="1"/>
  <c r="M1700" i="2" s="1"/>
  <c r="L1702" i="2" a="1"/>
  <c r="L1702" i="2" s="1"/>
  <c r="L1703" i="2" a="1"/>
  <c r="L1703" i="2" s="1"/>
  <c r="K1705" i="2" a="1"/>
  <c r="K1705" i="2" s="1"/>
  <c r="K1706" i="2" a="1"/>
  <c r="K1706" i="2" s="1"/>
  <c r="M1707" i="2" a="1"/>
  <c r="M1707" i="2" s="1"/>
  <c r="M1708" i="2" a="1"/>
  <c r="M1708" i="2" s="1"/>
  <c r="L1710" i="2" a="1"/>
  <c r="L1710" i="2" s="1"/>
  <c r="L1711" i="2" a="1"/>
  <c r="L1711" i="2" s="1"/>
  <c r="K1713" i="2" a="1"/>
  <c r="K1713" i="2" s="1"/>
  <c r="K1714" i="2" a="1"/>
  <c r="K1714" i="2" s="1"/>
  <c r="M1715" i="2" a="1"/>
  <c r="M1715" i="2" s="1"/>
  <c r="M1716" i="2" a="1"/>
  <c r="M1716" i="2" s="1"/>
  <c r="L1718" i="2" a="1"/>
  <c r="L1718" i="2" s="1"/>
  <c r="L1719" i="2" a="1"/>
  <c r="L1719" i="2" s="1"/>
  <c r="K1721" i="2" a="1"/>
  <c r="K1721" i="2" s="1"/>
  <c r="K1722" i="2" a="1"/>
  <c r="K1722" i="2" s="1"/>
  <c r="M1723" i="2" a="1"/>
  <c r="M1723" i="2" s="1"/>
  <c r="M1724" i="2" a="1"/>
  <c r="M1724" i="2" s="1"/>
  <c r="L1726" i="2" a="1"/>
  <c r="L1726" i="2" s="1"/>
  <c r="L1727" i="2" a="1"/>
  <c r="L1727" i="2" s="1"/>
  <c r="K1729" i="2" a="1"/>
  <c r="K1729" i="2" s="1"/>
  <c r="K1730" i="2" a="1"/>
  <c r="K1730" i="2" s="1"/>
  <c r="M1731" i="2" a="1"/>
  <c r="M1731" i="2" s="1"/>
  <c r="M1732" i="2" a="1"/>
  <c r="M1732" i="2" s="1"/>
  <c r="L1734" i="2" a="1"/>
  <c r="L1734" i="2" s="1"/>
  <c r="L1735" i="2" a="1"/>
  <c r="L1735" i="2" s="1"/>
  <c r="K1737" i="2" a="1"/>
  <c r="K1737" i="2" s="1"/>
  <c r="K1738" i="2" a="1"/>
  <c r="K1738" i="2" s="1"/>
  <c r="M1739" i="2" a="1"/>
  <c r="M1739" i="2" s="1"/>
  <c r="M1740" i="2" a="1"/>
  <c r="M1740" i="2" s="1"/>
  <c r="L1742" i="2" a="1"/>
  <c r="L1742" i="2" s="1"/>
  <c r="L1743" i="2" a="1"/>
  <c r="L1743" i="2" s="1"/>
  <c r="K1745" i="2" a="1"/>
  <c r="K1745" i="2" s="1"/>
  <c r="K1746" i="2" a="1"/>
  <c r="K1746" i="2" s="1"/>
  <c r="M1747" i="2" a="1"/>
  <c r="M1747" i="2" s="1"/>
  <c r="M1748" i="2" a="1"/>
  <c r="M1748" i="2" s="1"/>
  <c r="L1750" i="2" a="1"/>
  <c r="L1750" i="2" s="1"/>
  <c r="L1751" i="2" a="1"/>
  <c r="L1751" i="2" s="1"/>
  <c r="K1753" i="2" a="1"/>
  <c r="K1753" i="2" s="1"/>
  <c r="K1754" i="2" a="1"/>
  <c r="K1754" i="2" s="1"/>
  <c r="M1755" i="2" a="1"/>
  <c r="M1755" i="2" s="1"/>
  <c r="M1756" i="2" a="1"/>
  <c r="M1756" i="2" s="1"/>
  <c r="L1758" i="2" a="1"/>
  <c r="L1758" i="2" s="1"/>
  <c r="L1759" i="2" a="1"/>
  <c r="L1759" i="2" s="1"/>
  <c r="K1761" i="2" a="1"/>
  <c r="K1761" i="2" s="1"/>
  <c r="K1762" i="2" a="1"/>
  <c r="K1762" i="2" s="1"/>
  <c r="M1763" i="2" a="1"/>
  <c r="M1763" i="2" s="1"/>
  <c r="M1764" i="2" a="1"/>
  <c r="M1764" i="2" s="1"/>
  <c r="L1766" i="2" a="1"/>
  <c r="L1766" i="2" s="1"/>
  <c r="L1767" i="2" a="1"/>
  <c r="L1767" i="2" s="1"/>
  <c r="K1769" i="2" a="1"/>
  <c r="K1769" i="2" s="1"/>
  <c r="K1770" i="2" a="1"/>
  <c r="K1770" i="2" s="1"/>
  <c r="M1771" i="2" a="1"/>
  <c r="M1771" i="2" s="1"/>
  <c r="M1772" i="2" a="1"/>
  <c r="M1772" i="2" s="1"/>
  <c r="L1774" i="2" a="1"/>
  <c r="L1774" i="2" s="1"/>
  <c r="L1775" i="2" a="1"/>
  <c r="L1775" i="2" s="1"/>
  <c r="K1777" i="2" a="1"/>
  <c r="K1777" i="2" s="1"/>
  <c r="K1778" i="2" a="1"/>
  <c r="K1778" i="2" s="1"/>
  <c r="M1779" i="2" a="1"/>
  <c r="M1779" i="2" s="1"/>
  <c r="M1780" i="2" a="1"/>
  <c r="M1780" i="2" s="1"/>
  <c r="L1782" i="2" a="1"/>
  <c r="L1782" i="2" s="1"/>
  <c r="L1783" i="2" a="1"/>
  <c r="L1783" i="2" s="1"/>
  <c r="K1785" i="2" a="1"/>
  <c r="K1785" i="2" s="1"/>
  <c r="K1786" i="2" a="1"/>
  <c r="K1786" i="2" s="1"/>
  <c r="M1787" i="2" a="1"/>
  <c r="M1787" i="2" s="1"/>
  <c r="M1788" i="2" a="1"/>
  <c r="M1788" i="2" s="1"/>
  <c r="L1790" i="2" a="1"/>
  <c r="L1790" i="2" s="1"/>
  <c r="L1791" i="2" a="1"/>
  <c r="L1791" i="2" s="1"/>
  <c r="K1793" i="2" a="1"/>
  <c r="K1793" i="2" s="1"/>
  <c r="K1794" i="2" a="1"/>
  <c r="K1794" i="2" s="1"/>
  <c r="M1795" i="2" a="1"/>
  <c r="M1795" i="2" s="1"/>
  <c r="M1796" i="2" a="1"/>
  <c r="M1796" i="2" s="1"/>
  <c r="L1798" i="2" a="1"/>
  <c r="L1798" i="2" s="1"/>
  <c r="L1799" i="2" a="1"/>
  <c r="L1799" i="2" s="1"/>
  <c r="K1801" i="2" a="1"/>
  <c r="K1801" i="2" s="1"/>
  <c r="K1802" i="2" a="1"/>
  <c r="K1802" i="2" s="1"/>
  <c r="M1803" i="2" a="1"/>
  <c r="M1803" i="2" s="1"/>
  <c r="M1804" i="2" a="1"/>
  <c r="M1804" i="2" s="1"/>
  <c r="L1806" i="2" a="1"/>
  <c r="L1806" i="2" s="1"/>
  <c r="L1807" i="2" a="1"/>
  <c r="L1807" i="2" s="1"/>
  <c r="K1809" i="2" a="1"/>
  <c r="K1809" i="2" s="1"/>
  <c r="K1810" i="2" a="1"/>
  <c r="K1810" i="2" s="1"/>
  <c r="M1811" i="2" a="1"/>
  <c r="M1811" i="2" s="1"/>
  <c r="M1812" i="2" a="1"/>
  <c r="M1812" i="2" s="1"/>
  <c r="L1814" i="2" a="1"/>
  <c r="L1814" i="2" s="1"/>
  <c r="L1815" i="2" a="1"/>
  <c r="L1815" i="2" s="1"/>
  <c r="K1817" i="2" a="1"/>
  <c r="K1817" i="2" s="1"/>
  <c r="K1818" i="2" a="1"/>
  <c r="K1818" i="2" s="1"/>
  <c r="M1819" i="2" a="1"/>
  <c r="M1819" i="2" s="1"/>
  <c r="M1820" i="2" a="1"/>
  <c r="M1820" i="2" s="1"/>
  <c r="L1822" i="2" a="1"/>
  <c r="L1822" i="2" s="1"/>
  <c r="L1823" i="2" a="1"/>
  <c r="L1823" i="2" s="1"/>
  <c r="K1825" i="2" a="1"/>
  <c r="K1825" i="2" s="1"/>
  <c r="K1826" i="2" a="1"/>
  <c r="K1826" i="2" s="1"/>
  <c r="M1827" i="2" a="1"/>
  <c r="M1827" i="2" s="1"/>
  <c r="M1828" i="2" a="1"/>
  <c r="M1828" i="2" s="1"/>
  <c r="L1830" i="2" a="1"/>
  <c r="L1830" i="2" s="1"/>
  <c r="L1831" i="2" a="1"/>
  <c r="L1831" i="2" s="1"/>
  <c r="K1833" i="2" a="1"/>
  <c r="K1833" i="2" s="1"/>
  <c r="K1834" i="2" a="1"/>
  <c r="K1834" i="2" s="1"/>
  <c r="M1835" i="2" a="1"/>
  <c r="M1835" i="2" s="1"/>
  <c r="M1836" i="2" a="1"/>
  <c r="M1836" i="2" s="1"/>
  <c r="L1838" i="2" a="1"/>
  <c r="L1838" i="2" s="1"/>
  <c r="L1839" i="2" a="1"/>
  <c r="L1839" i="2" s="1"/>
  <c r="K1841" i="2" a="1"/>
  <c r="K1841" i="2" s="1"/>
  <c r="K1842" i="2" a="1"/>
  <c r="K1842" i="2" s="1"/>
  <c r="M1843" i="2" a="1"/>
  <c r="M1843" i="2" s="1"/>
  <c r="M1844" i="2" a="1"/>
  <c r="M1844" i="2" s="1"/>
  <c r="L1846" i="2" a="1"/>
  <c r="L1846" i="2" s="1"/>
  <c r="L1847" i="2" a="1"/>
  <c r="L1847" i="2" s="1"/>
  <c r="K1849" i="2" a="1"/>
  <c r="K1849" i="2" s="1"/>
  <c r="K1850" i="2" a="1"/>
  <c r="K1850" i="2" s="1"/>
  <c r="M1851" i="2" a="1"/>
  <c r="M1851" i="2" s="1"/>
  <c r="M1852" i="2" a="1"/>
  <c r="M1852" i="2" s="1"/>
  <c r="L1854" i="2" a="1"/>
  <c r="L1854" i="2" s="1"/>
  <c r="L1855" i="2" a="1"/>
  <c r="L1855" i="2" s="1"/>
  <c r="K1857" i="2" a="1"/>
  <c r="K1857" i="2" s="1"/>
  <c r="K1858" i="2" a="1"/>
  <c r="K1858" i="2" s="1"/>
  <c r="M1859" i="2" a="1"/>
  <c r="M1859" i="2" s="1"/>
  <c r="M1860" i="2" a="1"/>
  <c r="M1860" i="2" s="1"/>
  <c r="L1862" i="2" a="1"/>
  <c r="L1862" i="2" s="1"/>
  <c r="L1863" i="2" a="1"/>
  <c r="L1863" i="2" s="1"/>
  <c r="K1865" i="2" a="1"/>
  <c r="K1865" i="2" s="1"/>
  <c r="K1866" i="2" a="1"/>
  <c r="K1866" i="2" s="1"/>
  <c r="M1867" i="2" a="1"/>
  <c r="M1867" i="2" s="1"/>
  <c r="M1868" i="2" a="1"/>
  <c r="M1868" i="2" s="1"/>
  <c r="L1870" i="2" a="1"/>
  <c r="L1870" i="2" s="1"/>
  <c r="L1871" i="2" a="1"/>
  <c r="L1871" i="2" s="1"/>
  <c r="K1873" i="2" a="1"/>
  <c r="K1873" i="2" s="1"/>
  <c r="K1874" i="2" a="1"/>
  <c r="K1874" i="2" s="1"/>
  <c r="M1875" i="2" a="1"/>
  <c r="M1875" i="2" s="1"/>
  <c r="M1876" i="2" a="1"/>
  <c r="M1876" i="2" s="1"/>
  <c r="L1878" i="2" a="1"/>
  <c r="L1878" i="2" s="1"/>
  <c r="L1879" i="2" a="1"/>
  <c r="L1879" i="2" s="1"/>
  <c r="K1881" i="2" a="1"/>
  <c r="K1881" i="2" s="1"/>
  <c r="K1882" i="2" a="1"/>
  <c r="K1882" i="2" s="1"/>
  <c r="M1883" i="2" a="1"/>
  <c r="M1883" i="2" s="1"/>
  <c r="M1884" i="2" a="1"/>
  <c r="M1884" i="2" s="1"/>
  <c r="L1886" i="2" a="1"/>
  <c r="L1886" i="2" s="1"/>
  <c r="L1887" i="2" a="1"/>
  <c r="L1887" i="2" s="1"/>
  <c r="K1889" i="2" a="1"/>
  <c r="K1889" i="2" s="1"/>
  <c r="K1890" i="2" a="1"/>
  <c r="K1890" i="2" s="1"/>
  <c r="M1891" i="2" a="1"/>
  <c r="M1891" i="2" s="1"/>
  <c r="M1892" i="2" a="1"/>
  <c r="M1892" i="2" s="1"/>
  <c r="L1894" i="2" a="1"/>
  <c r="L1894" i="2" s="1"/>
  <c r="L1895" i="2" a="1"/>
  <c r="L1895" i="2" s="1"/>
  <c r="K1897" i="2" a="1"/>
  <c r="K1897" i="2" s="1"/>
  <c r="K1898" i="2" a="1"/>
  <c r="K1898" i="2" s="1"/>
  <c r="M1899" i="2" a="1"/>
  <c r="M1899" i="2" s="1"/>
  <c r="M1900" i="2" a="1"/>
  <c r="M1900" i="2" s="1"/>
  <c r="L1902" i="2" a="1"/>
  <c r="L1902" i="2" s="1"/>
  <c r="L1903" i="2" a="1"/>
  <c r="L1903" i="2" s="1"/>
  <c r="K1905" i="2" a="1"/>
  <c r="K1905" i="2" s="1"/>
  <c r="K1906" i="2" a="1"/>
  <c r="K1906" i="2" s="1"/>
  <c r="M1907" i="2" a="1"/>
  <c r="M1907" i="2" s="1"/>
  <c r="M1908" i="2" a="1"/>
  <c r="M1908" i="2" s="1"/>
  <c r="L1910" i="2" a="1"/>
  <c r="L1910" i="2" s="1"/>
  <c r="L1911" i="2" a="1"/>
  <c r="L1911" i="2" s="1"/>
  <c r="K1913" i="2" a="1"/>
  <c r="K1913" i="2" s="1"/>
  <c r="K1914" i="2" a="1"/>
  <c r="K1914" i="2" s="1"/>
  <c r="M1915" i="2" a="1"/>
  <c r="M1915" i="2" s="1"/>
  <c r="M1916" i="2" a="1"/>
  <c r="M1916" i="2" s="1"/>
  <c r="L1918" i="2" a="1"/>
  <c r="L1918" i="2" s="1"/>
  <c r="K1305" i="2" a="1"/>
  <c r="K1305" i="2" s="1"/>
  <c r="K1306" i="2" a="1"/>
  <c r="K1306" i="2" s="1"/>
  <c r="K1307" i="2" a="1"/>
  <c r="K1307" i="2" s="1"/>
  <c r="K1309" i="2" a="1"/>
  <c r="K1309" i="2" s="1"/>
  <c r="L1310" i="2" a="1"/>
  <c r="L1310" i="2" s="1"/>
  <c r="L1311" i="2" a="1"/>
  <c r="L1311" i="2" s="1"/>
  <c r="L1312" i="2" a="1"/>
  <c r="L1312" i="2" s="1"/>
  <c r="L1314" i="2" a="1"/>
  <c r="L1314" i="2" s="1"/>
  <c r="M1315" i="2" a="1"/>
  <c r="M1315" i="2" s="1"/>
  <c r="M1316" i="2" a="1"/>
  <c r="M1316" i="2" s="1"/>
  <c r="M1317" i="2" a="1"/>
  <c r="M1317" i="2" s="1"/>
  <c r="M1319" i="2" a="1"/>
  <c r="M1319" i="2" s="1"/>
  <c r="K1321" i="2" a="1"/>
  <c r="K1321" i="2" s="1"/>
  <c r="K1322" i="2" a="1"/>
  <c r="K1322" i="2" s="1"/>
  <c r="K1323" i="2" a="1"/>
  <c r="K1323" i="2" s="1"/>
  <c r="K1325" i="2" a="1"/>
  <c r="K1325" i="2" s="1"/>
  <c r="L1326" i="2" a="1"/>
  <c r="L1326" i="2" s="1"/>
  <c r="L1327" i="2" a="1"/>
  <c r="L1327" i="2" s="1"/>
  <c r="L1328" i="2" a="1"/>
  <c r="L1328" i="2" s="1"/>
  <c r="L1330" i="2" a="1"/>
  <c r="L1330" i="2" s="1"/>
  <c r="M1331" i="2" a="1"/>
  <c r="M1331" i="2" s="1"/>
  <c r="M1332" i="2" a="1"/>
  <c r="M1332" i="2" s="1"/>
  <c r="M1333" i="2" a="1"/>
  <c r="M1333" i="2" s="1"/>
  <c r="M1335" i="2" a="1"/>
  <c r="M1335" i="2" s="1"/>
  <c r="K1337" i="2" a="1"/>
  <c r="K1337" i="2" s="1"/>
  <c r="K1338" i="2" a="1"/>
  <c r="K1338" i="2" s="1"/>
  <c r="K1339" i="2" a="1"/>
  <c r="K1339" i="2" s="1"/>
  <c r="K1341" i="2" a="1"/>
  <c r="K1341" i="2" s="1"/>
  <c r="L1342" i="2" a="1"/>
  <c r="L1342" i="2" s="1"/>
  <c r="L1343" i="2" a="1"/>
  <c r="L1343" i="2" s="1"/>
  <c r="L1344" i="2" a="1"/>
  <c r="L1344" i="2" s="1"/>
  <c r="L1346" i="2" a="1"/>
  <c r="L1346" i="2" s="1"/>
  <c r="M1347" i="2" a="1"/>
  <c r="M1347" i="2" s="1"/>
  <c r="M1348" i="2" a="1"/>
  <c r="M1348" i="2" s="1"/>
  <c r="M1349" i="2" a="1"/>
  <c r="M1349" i="2" s="1"/>
  <c r="M1351" i="2" a="1"/>
  <c r="M1351" i="2" s="1"/>
  <c r="M1352" i="2" a="1"/>
  <c r="M1352" i="2" s="1"/>
  <c r="L1354" i="2" a="1"/>
  <c r="L1354" i="2" s="1"/>
  <c r="L1355" i="2" a="1"/>
  <c r="L1355" i="2" s="1"/>
  <c r="K1357" i="2" a="1"/>
  <c r="K1357" i="2" s="1"/>
  <c r="K1358" i="2" a="1"/>
  <c r="K1358" i="2" s="1"/>
  <c r="M1359" i="2" a="1"/>
  <c r="M1359" i="2" s="1"/>
  <c r="M1360" i="2" a="1"/>
  <c r="M1360" i="2" s="1"/>
  <c r="L1362" i="2" a="1"/>
  <c r="L1362" i="2" s="1"/>
  <c r="L1363" i="2" a="1"/>
  <c r="L1363" i="2" s="1"/>
  <c r="K1365" i="2" a="1"/>
  <c r="K1365" i="2" s="1"/>
  <c r="M1366" i="2" a="1"/>
  <c r="M1366" i="2" s="1"/>
  <c r="L1368" i="2" a="1"/>
  <c r="L1368" i="2" s="1"/>
  <c r="L1369" i="2" a="1"/>
  <c r="L1369" i="2" s="1"/>
  <c r="K1371" i="2" a="1"/>
  <c r="K1371" i="2" s="1"/>
  <c r="K1372" i="2" a="1"/>
  <c r="K1372" i="2" s="1"/>
  <c r="M1373" i="2" a="1"/>
  <c r="M1373" i="2" s="1"/>
  <c r="M1374" i="2" a="1"/>
  <c r="M1374" i="2" s="1"/>
  <c r="L1376" i="2" a="1"/>
  <c r="L1376" i="2" s="1"/>
  <c r="L1377" i="2" a="1"/>
  <c r="L1377" i="2" s="1"/>
  <c r="K1379" i="2" a="1"/>
  <c r="K1379" i="2" s="1"/>
  <c r="K1380" i="2" a="1"/>
  <c r="K1380" i="2" s="1"/>
  <c r="M1381" i="2" a="1"/>
  <c r="M1381" i="2" s="1"/>
  <c r="M1382" i="2" a="1"/>
  <c r="M1382" i="2" s="1"/>
  <c r="L1384" i="2" a="1"/>
  <c r="L1384" i="2" s="1"/>
  <c r="L1385" i="2" a="1"/>
  <c r="L1385" i="2" s="1"/>
  <c r="K1387" i="2" a="1"/>
  <c r="K1387" i="2" s="1"/>
  <c r="K1388" i="2" a="1"/>
  <c r="K1388" i="2" s="1"/>
  <c r="M1389" i="2" a="1"/>
  <c r="M1389" i="2" s="1"/>
  <c r="M1390" i="2" a="1"/>
  <c r="M1390" i="2" s="1"/>
  <c r="L1392" i="2" a="1"/>
  <c r="L1392" i="2" s="1"/>
  <c r="L1393" i="2" a="1"/>
  <c r="L1393" i="2" s="1"/>
  <c r="K1395" i="2" a="1"/>
  <c r="K1395" i="2" s="1"/>
  <c r="K1396" i="2" a="1"/>
  <c r="K1396" i="2" s="1"/>
  <c r="M1397" i="2" a="1"/>
  <c r="M1397" i="2" s="1"/>
  <c r="M1398" i="2" a="1"/>
  <c r="M1398" i="2" s="1"/>
  <c r="L1400" i="2" a="1"/>
  <c r="L1400" i="2" s="1"/>
  <c r="L1401" i="2" a="1"/>
  <c r="L1401" i="2" s="1"/>
  <c r="K1403" i="2" a="1"/>
  <c r="K1403" i="2" s="1"/>
  <c r="K1404" i="2" a="1"/>
  <c r="K1404" i="2" s="1"/>
  <c r="M1405" i="2" a="1"/>
  <c r="M1405" i="2" s="1"/>
  <c r="M1406" i="2" a="1"/>
  <c r="M1406" i="2" s="1"/>
  <c r="L1408" i="2" a="1"/>
  <c r="L1408" i="2" s="1"/>
  <c r="L1409" i="2" a="1"/>
  <c r="L1409" i="2" s="1"/>
  <c r="K1411" i="2" a="1"/>
  <c r="K1411" i="2" s="1"/>
  <c r="K1412" i="2" a="1"/>
  <c r="K1412" i="2" s="1"/>
  <c r="M1413" i="2" a="1"/>
  <c r="M1413" i="2" s="1"/>
  <c r="M1414" i="2" a="1"/>
  <c r="M1414" i="2" s="1"/>
  <c r="L1416" i="2" a="1"/>
  <c r="L1416" i="2" s="1"/>
  <c r="L1417" i="2" a="1"/>
  <c r="L1417" i="2" s="1"/>
  <c r="K1419" i="2" a="1"/>
  <c r="K1419" i="2" s="1"/>
  <c r="K1420" i="2" a="1"/>
  <c r="K1420" i="2" s="1"/>
  <c r="M1421" i="2" a="1"/>
  <c r="M1421" i="2" s="1"/>
  <c r="M1422" i="2" a="1"/>
  <c r="M1422" i="2" s="1"/>
  <c r="L1424" i="2" a="1"/>
  <c r="L1424" i="2" s="1"/>
  <c r="L1425" i="2" a="1"/>
  <c r="L1425" i="2" s="1"/>
  <c r="K1427" i="2" a="1"/>
  <c r="K1427" i="2" s="1"/>
  <c r="K1428" i="2" a="1"/>
  <c r="K1428" i="2" s="1"/>
  <c r="M1429" i="2" a="1"/>
  <c r="M1429" i="2" s="1"/>
  <c r="M1430" i="2" a="1"/>
  <c r="M1430" i="2" s="1"/>
  <c r="L1432" i="2" a="1"/>
  <c r="L1432" i="2" s="1"/>
  <c r="L1433" i="2" a="1"/>
  <c r="L1433" i="2" s="1"/>
  <c r="K1435" i="2" a="1"/>
  <c r="K1435" i="2" s="1"/>
  <c r="K1436" i="2" a="1"/>
  <c r="K1436" i="2" s="1"/>
  <c r="M1437" i="2" a="1"/>
  <c r="M1437" i="2" s="1"/>
  <c r="M1438" i="2" a="1"/>
  <c r="M1438" i="2" s="1"/>
  <c r="L1440" i="2" a="1"/>
  <c r="L1440" i="2" s="1"/>
  <c r="L1441" i="2" a="1"/>
  <c r="L1441" i="2" s="1"/>
  <c r="K1443" i="2" a="1"/>
  <c r="K1443" i="2" s="1"/>
  <c r="K1444" i="2" a="1"/>
  <c r="K1444" i="2" s="1"/>
  <c r="M1445" i="2" a="1"/>
  <c r="M1445" i="2" s="1"/>
  <c r="M1446" i="2" a="1"/>
  <c r="M1446" i="2" s="1"/>
  <c r="L1448" i="2" a="1"/>
  <c r="L1448" i="2" s="1"/>
  <c r="L1449" i="2" a="1"/>
  <c r="L1449" i="2" s="1"/>
  <c r="K1451" i="2" a="1"/>
  <c r="K1451" i="2" s="1"/>
  <c r="K1452" i="2" a="1"/>
  <c r="K1452" i="2" s="1"/>
  <c r="M1453" i="2" a="1"/>
  <c r="M1453" i="2" s="1"/>
  <c r="M1454" i="2" a="1"/>
  <c r="M1454" i="2" s="1"/>
  <c r="L1456" i="2" a="1"/>
  <c r="L1456" i="2" s="1"/>
  <c r="L1457" i="2" a="1"/>
  <c r="L1457" i="2" s="1"/>
  <c r="K1459" i="2" a="1"/>
  <c r="K1459" i="2" s="1"/>
  <c r="K1460" i="2" a="1"/>
  <c r="K1460" i="2" s="1"/>
  <c r="M1461" i="2" a="1"/>
  <c r="M1461" i="2" s="1"/>
  <c r="M1462" i="2" a="1"/>
  <c r="M1462" i="2" s="1"/>
  <c r="L1464" i="2" a="1"/>
  <c r="L1464" i="2" s="1"/>
  <c r="L1465" i="2" a="1"/>
  <c r="L1465" i="2" s="1"/>
  <c r="K1467" i="2" a="1"/>
  <c r="K1467" i="2" s="1"/>
  <c r="K1468" i="2" a="1"/>
  <c r="K1468" i="2" s="1"/>
  <c r="M1469" i="2" a="1"/>
  <c r="M1469" i="2" s="1"/>
  <c r="M1470" i="2" a="1"/>
  <c r="M1470" i="2" s="1"/>
  <c r="L1472" i="2" a="1"/>
  <c r="L1472" i="2" s="1"/>
  <c r="L1473" i="2" a="1"/>
  <c r="L1473" i="2" s="1"/>
  <c r="K1475" i="2" a="1"/>
  <c r="K1475" i="2" s="1"/>
  <c r="K1476" i="2" a="1"/>
  <c r="K1476" i="2" s="1"/>
  <c r="M1477" i="2" a="1"/>
  <c r="M1477" i="2" s="1"/>
  <c r="M1478" i="2" a="1"/>
  <c r="M1478" i="2" s="1"/>
  <c r="L1480" i="2" a="1"/>
  <c r="L1480" i="2" s="1"/>
  <c r="L1481" i="2" a="1"/>
  <c r="L1481" i="2" s="1"/>
  <c r="K1483" i="2" a="1"/>
  <c r="K1483" i="2" s="1"/>
  <c r="K1484" i="2" a="1"/>
  <c r="K1484" i="2" s="1"/>
  <c r="M1485" i="2" a="1"/>
  <c r="M1485" i="2" s="1"/>
  <c r="M1486" i="2" a="1"/>
  <c r="M1486" i="2" s="1"/>
  <c r="L1488" i="2" a="1"/>
  <c r="L1488" i="2" s="1"/>
  <c r="L1489" i="2" a="1"/>
  <c r="L1489" i="2" s="1"/>
  <c r="K1491" i="2" a="1"/>
  <c r="K1491" i="2" s="1"/>
  <c r="K1492" i="2" a="1"/>
  <c r="K1492" i="2" s="1"/>
  <c r="M1493" i="2" a="1"/>
  <c r="M1493" i="2" s="1"/>
  <c r="M1494" i="2" a="1"/>
  <c r="M1494" i="2" s="1"/>
  <c r="L1496" i="2" a="1"/>
  <c r="L1496" i="2" s="1"/>
  <c r="L1497" i="2" a="1"/>
  <c r="L1497" i="2" s="1"/>
  <c r="K1499" i="2" a="1"/>
  <c r="K1499" i="2" s="1"/>
  <c r="K1500" i="2" a="1"/>
  <c r="K1500" i="2" s="1"/>
  <c r="M1501" i="2" a="1"/>
  <c r="M1501" i="2" s="1"/>
  <c r="M1502" i="2" a="1"/>
  <c r="M1502" i="2" s="1"/>
  <c r="L1504" i="2" a="1"/>
  <c r="L1504" i="2" s="1"/>
  <c r="L1505" i="2" a="1"/>
  <c r="L1505" i="2" s="1"/>
  <c r="K1507" i="2" a="1"/>
  <c r="K1507" i="2" s="1"/>
  <c r="K1508" i="2" a="1"/>
  <c r="K1508" i="2" s="1"/>
  <c r="M1509" i="2" a="1"/>
  <c r="M1509" i="2" s="1"/>
  <c r="M1510" i="2" a="1"/>
  <c r="M1510" i="2" s="1"/>
  <c r="L1512" i="2" a="1"/>
  <c r="L1512" i="2" s="1"/>
  <c r="L1513" i="2" a="1"/>
  <c r="L1513" i="2" s="1"/>
  <c r="K1515" i="2" a="1"/>
  <c r="K1515" i="2" s="1"/>
  <c r="K1516" i="2" a="1"/>
  <c r="K1516" i="2" s="1"/>
  <c r="M1517" i="2" a="1"/>
  <c r="M1517" i="2" s="1"/>
  <c r="M1518" i="2" a="1"/>
  <c r="M1518" i="2" s="1"/>
  <c r="L1520" i="2" a="1"/>
  <c r="L1520" i="2" s="1"/>
  <c r="L1521" i="2" a="1"/>
  <c r="L1521" i="2" s="1"/>
  <c r="K1523" i="2" a="1"/>
  <c r="K1523" i="2" s="1"/>
  <c r="K1524" i="2" a="1"/>
  <c r="K1524" i="2" s="1"/>
  <c r="M1525" i="2" a="1"/>
  <c r="M1525" i="2" s="1"/>
  <c r="M1526" i="2" a="1"/>
  <c r="M1526" i="2" s="1"/>
  <c r="L1528" i="2" a="1"/>
  <c r="L1528" i="2" s="1"/>
  <c r="L1529" i="2" a="1"/>
  <c r="L1529" i="2" s="1"/>
  <c r="K1531" i="2" a="1"/>
  <c r="K1531" i="2" s="1"/>
  <c r="K1532" i="2" a="1"/>
  <c r="K1532" i="2" s="1"/>
  <c r="M1533" i="2" a="1"/>
  <c r="M1533" i="2" s="1"/>
  <c r="M1534" i="2" a="1"/>
  <c r="M1534" i="2" s="1"/>
  <c r="L1536" i="2" a="1"/>
  <c r="L1536" i="2" s="1"/>
  <c r="L1537" i="2" a="1"/>
  <c r="L1537" i="2" s="1"/>
  <c r="K1539" i="2" a="1"/>
  <c r="K1539" i="2" s="1"/>
  <c r="K1540" i="2" a="1"/>
  <c r="K1540" i="2" s="1"/>
  <c r="M1541" i="2" a="1"/>
  <c r="M1541" i="2" s="1"/>
  <c r="M1542" i="2" a="1"/>
  <c r="M1542" i="2" s="1"/>
  <c r="L1544" i="2" a="1"/>
  <c r="L1544" i="2" s="1"/>
  <c r="L1545" i="2" a="1"/>
  <c r="L1545" i="2" s="1"/>
  <c r="K1547" i="2" a="1"/>
  <c r="K1547" i="2" s="1"/>
  <c r="K1548" i="2" a="1"/>
  <c r="K1548" i="2" s="1"/>
  <c r="M1549" i="2" a="1"/>
  <c r="M1549" i="2" s="1"/>
  <c r="M1550" i="2" a="1"/>
  <c r="M1550" i="2" s="1"/>
  <c r="L1552" i="2" a="1"/>
  <c r="L1552" i="2" s="1"/>
  <c r="L1553" i="2" a="1"/>
  <c r="L1553" i="2" s="1"/>
  <c r="K1555" i="2" a="1"/>
  <c r="K1555" i="2" s="1"/>
  <c r="K1556" i="2" a="1"/>
  <c r="K1556" i="2" s="1"/>
  <c r="M1557" i="2" a="1"/>
  <c r="M1557" i="2" s="1"/>
  <c r="M1558" i="2" a="1"/>
  <c r="M1558" i="2" s="1"/>
  <c r="L1560" i="2" a="1"/>
  <c r="L1560" i="2" s="1"/>
  <c r="L1561" i="2" a="1"/>
  <c r="L1561" i="2" s="1"/>
  <c r="K1563" i="2" a="1"/>
  <c r="K1563" i="2" s="1"/>
  <c r="K1564" i="2" a="1"/>
  <c r="K1564" i="2" s="1"/>
  <c r="M1565" i="2" a="1"/>
  <c r="M1565" i="2" s="1"/>
  <c r="M1566" i="2" a="1"/>
  <c r="M1566" i="2" s="1"/>
  <c r="L1568" i="2" a="1"/>
  <c r="L1568" i="2" s="1"/>
  <c r="L1569" i="2" a="1"/>
  <c r="L1569" i="2" s="1"/>
  <c r="K1571" i="2" a="1"/>
  <c r="K1571" i="2" s="1"/>
  <c r="K1572" i="2" a="1"/>
  <c r="K1572" i="2" s="1"/>
  <c r="M1573" i="2" a="1"/>
  <c r="M1573" i="2" s="1"/>
  <c r="M1574" i="2" a="1"/>
  <c r="M1574" i="2" s="1"/>
  <c r="L1576" i="2" a="1"/>
  <c r="L1576" i="2" s="1"/>
  <c r="L1577" i="2" a="1"/>
  <c r="L1577" i="2" s="1"/>
  <c r="K1579" i="2" a="1"/>
  <c r="K1579" i="2" s="1"/>
  <c r="K1580" i="2" a="1"/>
  <c r="K1580" i="2" s="1"/>
  <c r="M1581" i="2" a="1"/>
  <c r="M1581" i="2" s="1"/>
  <c r="M1582" i="2" a="1"/>
  <c r="M1582" i="2" s="1"/>
  <c r="L1584" i="2" a="1"/>
  <c r="L1584" i="2" s="1"/>
  <c r="L1585" i="2" a="1"/>
  <c r="L1585" i="2" s="1"/>
  <c r="K1587" i="2" a="1"/>
  <c r="K1587" i="2" s="1"/>
  <c r="K1588" i="2" a="1"/>
  <c r="K1588" i="2" s="1"/>
  <c r="M1589" i="2" a="1"/>
  <c r="M1589" i="2" s="1"/>
  <c r="M1590" i="2" a="1"/>
  <c r="M1590" i="2" s="1"/>
  <c r="L1592" i="2" a="1"/>
  <c r="L1592" i="2" s="1"/>
  <c r="L1593" i="2" a="1"/>
  <c r="L1593" i="2" s="1"/>
  <c r="K1595" i="2" a="1"/>
  <c r="K1595" i="2" s="1"/>
  <c r="K1596" i="2" a="1"/>
  <c r="K1596" i="2" s="1"/>
  <c r="M1597" i="2" a="1"/>
  <c r="M1597" i="2" s="1"/>
  <c r="M1598" i="2" a="1"/>
  <c r="M1598" i="2" s="1"/>
  <c r="L1600" i="2" a="1"/>
  <c r="L1600" i="2" s="1"/>
  <c r="L1601" i="2" a="1"/>
  <c r="L1601" i="2" s="1"/>
  <c r="K1603" i="2" a="1"/>
  <c r="K1603" i="2" s="1"/>
  <c r="K1604" i="2" a="1"/>
  <c r="K1604" i="2" s="1"/>
  <c r="M1605" i="2" a="1"/>
  <c r="M1605" i="2" s="1"/>
  <c r="M1606" i="2" a="1"/>
  <c r="M1606" i="2" s="1"/>
  <c r="L1608" i="2" a="1"/>
  <c r="L1608" i="2" s="1"/>
  <c r="L1609" i="2" a="1"/>
  <c r="L1609" i="2" s="1"/>
  <c r="K1611" i="2" a="1"/>
  <c r="K1611" i="2" s="1"/>
  <c r="K1612" i="2" a="1"/>
  <c r="K1612" i="2" s="1"/>
  <c r="M1613" i="2" a="1"/>
  <c r="M1613" i="2" s="1"/>
  <c r="M1614" i="2" a="1"/>
  <c r="M1614" i="2" s="1"/>
  <c r="L1616" i="2" a="1"/>
  <c r="L1616" i="2" s="1"/>
  <c r="L1617" i="2" a="1"/>
  <c r="L1617" i="2" s="1"/>
  <c r="K1619" i="2" a="1"/>
  <c r="K1619" i="2" s="1"/>
  <c r="K1620" i="2" a="1"/>
  <c r="K1620" i="2" s="1"/>
  <c r="M1621" i="2" a="1"/>
  <c r="M1621" i="2" s="1"/>
  <c r="M1622" i="2" a="1"/>
  <c r="M1622" i="2" s="1"/>
  <c r="L1624" i="2" a="1"/>
  <c r="L1624" i="2" s="1"/>
  <c r="L1625" i="2" a="1"/>
  <c r="L1625" i="2" s="1"/>
  <c r="K1627" i="2" a="1"/>
  <c r="K1627" i="2" s="1"/>
  <c r="K1628" i="2" a="1"/>
  <c r="K1628" i="2" s="1"/>
  <c r="M1629" i="2" a="1"/>
  <c r="M1629" i="2" s="1"/>
  <c r="M1630" i="2" a="1"/>
  <c r="M1630" i="2" s="1"/>
  <c r="L1632" i="2" a="1"/>
  <c r="L1632" i="2" s="1"/>
  <c r="L1633" i="2" a="1"/>
  <c r="L1633" i="2" s="1"/>
  <c r="K1635" i="2" a="1"/>
  <c r="K1635" i="2" s="1"/>
  <c r="K1636" i="2" a="1"/>
  <c r="K1636" i="2" s="1"/>
  <c r="M1637" i="2" a="1"/>
  <c r="M1637" i="2" s="1"/>
  <c r="M1638" i="2" a="1"/>
  <c r="M1638" i="2" s="1"/>
  <c r="L1640" i="2" a="1"/>
  <c r="L1640" i="2" s="1"/>
  <c r="L1641" i="2" a="1"/>
  <c r="L1641" i="2" s="1"/>
  <c r="K1643" i="2" a="1"/>
  <c r="K1643" i="2" s="1"/>
  <c r="K1644" i="2" a="1"/>
  <c r="K1644" i="2" s="1"/>
  <c r="M1645" i="2" a="1"/>
  <c r="M1645" i="2" s="1"/>
  <c r="M1646" i="2" a="1"/>
  <c r="M1646" i="2" s="1"/>
  <c r="L1648" i="2" a="1"/>
  <c r="L1648" i="2" s="1"/>
  <c r="L1649" i="2" a="1"/>
  <c r="L1649" i="2" s="1"/>
  <c r="K1651" i="2" a="1"/>
  <c r="K1651" i="2" s="1"/>
  <c r="K1652" i="2" a="1"/>
  <c r="K1652" i="2" s="1"/>
  <c r="M1653" i="2" a="1"/>
  <c r="M1653" i="2" s="1"/>
  <c r="M1654" i="2" a="1"/>
  <c r="M1654" i="2" s="1"/>
  <c r="L1656" i="2" a="1"/>
  <c r="L1656" i="2" s="1"/>
  <c r="L1657" i="2" a="1"/>
  <c r="L1657" i="2" s="1"/>
  <c r="K1659" i="2" a="1"/>
  <c r="K1659" i="2" s="1"/>
  <c r="K1660" i="2" a="1"/>
  <c r="K1660" i="2" s="1"/>
  <c r="M1661" i="2" a="1"/>
  <c r="M1661" i="2" s="1"/>
  <c r="M1662" i="2" a="1"/>
  <c r="M1662" i="2" s="1"/>
  <c r="L1664" i="2" a="1"/>
  <c r="L1664" i="2" s="1"/>
  <c r="L1665" i="2" a="1"/>
  <c r="L1665" i="2" s="1"/>
  <c r="K1667" i="2" a="1"/>
  <c r="K1667" i="2" s="1"/>
  <c r="K1668" i="2" a="1"/>
  <c r="K1668" i="2" s="1"/>
  <c r="M1669" i="2" a="1"/>
  <c r="M1669" i="2" s="1"/>
  <c r="M1670" i="2" a="1"/>
  <c r="M1670" i="2" s="1"/>
  <c r="L1672" i="2" a="1"/>
  <c r="L1672" i="2" s="1"/>
  <c r="L1673" i="2" a="1"/>
  <c r="L1673" i="2" s="1"/>
  <c r="K1675" i="2" a="1"/>
  <c r="K1675" i="2" s="1"/>
  <c r="K1676" i="2" a="1"/>
  <c r="K1676" i="2" s="1"/>
  <c r="M1677" i="2" a="1"/>
  <c r="M1677" i="2" s="1"/>
  <c r="M1678" i="2" a="1"/>
  <c r="M1678" i="2" s="1"/>
  <c r="L1680" i="2" a="1"/>
  <c r="L1680" i="2" s="1"/>
  <c r="L1681" i="2" a="1"/>
  <c r="L1681" i="2" s="1"/>
  <c r="K1683" i="2" a="1"/>
  <c r="K1683" i="2" s="1"/>
  <c r="K1684" i="2" a="1"/>
  <c r="K1684" i="2" s="1"/>
  <c r="M1685" i="2" a="1"/>
  <c r="M1685" i="2" s="1"/>
  <c r="M1686" i="2" a="1"/>
  <c r="M1686" i="2" s="1"/>
  <c r="L1688" i="2" a="1"/>
  <c r="L1688" i="2" s="1"/>
  <c r="L1689" i="2" a="1"/>
  <c r="L1689" i="2" s="1"/>
  <c r="K1691" i="2" a="1"/>
  <c r="K1691" i="2" s="1"/>
  <c r="K1692" i="2" a="1"/>
  <c r="K1692" i="2" s="1"/>
  <c r="M1693" i="2" a="1"/>
  <c r="M1693" i="2" s="1"/>
  <c r="M1694" i="2" a="1"/>
  <c r="M1694" i="2" s="1"/>
  <c r="L1696" i="2" a="1"/>
  <c r="L1696" i="2" s="1"/>
  <c r="L1697" i="2" a="1"/>
  <c r="L1697" i="2" s="1"/>
  <c r="K1699" i="2" a="1"/>
  <c r="K1699" i="2" s="1"/>
  <c r="K1700" i="2" a="1"/>
  <c r="K1700" i="2" s="1"/>
  <c r="M1701" i="2" a="1"/>
  <c r="M1701" i="2" s="1"/>
  <c r="M1702" i="2" a="1"/>
  <c r="M1702" i="2" s="1"/>
  <c r="L1704" i="2" a="1"/>
  <c r="L1704" i="2" s="1"/>
  <c r="L1705" i="2" a="1"/>
  <c r="L1705" i="2" s="1"/>
  <c r="K1707" i="2" a="1"/>
  <c r="K1707" i="2" s="1"/>
  <c r="K1708" i="2" a="1"/>
  <c r="K1708" i="2" s="1"/>
  <c r="M1709" i="2" a="1"/>
  <c r="M1709" i="2" s="1"/>
  <c r="M1710" i="2" a="1"/>
  <c r="M1710" i="2" s="1"/>
  <c r="L1712" i="2" a="1"/>
  <c r="L1712" i="2" s="1"/>
  <c r="L1713" i="2" a="1"/>
  <c r="L1713" i="2" s="1"/>
  <c r="K1715" i="2" a="1"/>
  <c r="K1715" i="2" s="1"/>
  <c r="K1716" i="2" a="1"/>
  <c r="K1716" i="2" s="1"/>
  <c r="M1717" i="2" a="1"/>
  <c r="M1717" i="2" s="1"/>
  <c r="M1718" i="2" a="1"/>
  <c r="M1718" i="2" s="1"/>
  <c r="L1720" i="2" a="1"/>
  <c r="L1720" i="2" s="1"/>
  <c r="L1721" i="2" a="1"/>
  <c r="L1721" i="2" s="1"/>
  <c r="K1723" i="2" a="1"/>
  <c r="K1723" i="2" s="1"/>
  <c r="K1724" i="2" a="1"/>
  <c r="K1724" i="2" s="1"/>
  <c r="M1725" i="2" a="1"/>
  <c r="M1725" i="2" s="1"/>
  <c r="M1726" i="2" a="1"/>
  <c r="M1726" i="2" s="1"/>
  <c r="L1728" i="2" a="1"/>
  <c r="L1728" i="2" s="1"/>
  <c r="L1729" i="2" a="1"/>
  <c r="L1729" i="2" s="1"/>
  <c r="K1731" i="2" a="1"/>
  <c r="K1731" i="2" s="1"/>
  <c r="K1732" i="2" a="1"/>
  <c r="K1732" i="2" s="1"/>
  <c r="M1733" i="2" a="1"/>
  <c r="M1733" i="2" s="1"/>
  <c r="M1734" i="2" a="1"/>
  <c r="M1734" i="2" s="1"/>
  <c r="L1736" i="2" a="1"/>
  <c r="L1736" i="2" s="1"/>
  <c r="L1737" i="2" a="1"/>
  <c r="L1737" i="2" s="1"/>
  <c r="K1739" i="2" a="1"/>
  <c r="K1739" i="2" s="1"/>
  <c r="K1740" i="2" a="1"/>
  <c r="K1740" i="2" s="1"/>
  <c r="M1741" i="2" a="1"/>
  <c r="M1741" i="2" s="1"/>
  <c r="M1742" i="2" a="1"/>
  <c r="M1742" i="2" s="1"/>
  <c r="L1744" i="2" a="1"/>
  <c r="L1744" i="2" s="1"/>
  <c r="L1745" i="2" a="1"/>
  <c r="L1745" i="2" s="1"/>
  <c r="K1747" i="2" a="1"/>
  <c r="K1747" i="2" s="1"/>
  <c r="K1748" i="2" a="1"/>
  <c r="K1748" i="2" s="1"/>
  <c r="M1749" i="2" a="1"/>
  <c r="M1749" i="2" s="1"/>
  <c r="M1750" i="2" a="1"/>
  <c r="M1750" i="2" s="1"/>
  <c r="L1752" i="2" a="1"/>
  <c r="L1752" i="2" s="1"/>
  <c r="L1753" i="2" a="1"/>
  <c r="L1753" i="2" s="1"/>
  <c r="K1755" i="2" a="1"/>
  <c r="K1755" i="2" s="1"/>
  <c r="K1756" i="2" a="1"/>
  <c r="K1756" i="2" s="1"/>
  <c r="M1757" i="2" a="1"/>
  <c r="M1757" i="2" s="1"/>
  <c r="M1758" i="2" a="1"/>
  <c r="M1758" i="2" s="1"/>
  <c r="L1760" i="2" a="1"/>
  <c r="L1760" i="2" s="1"/>
  <c r="L1761" i="2" a="1"/>
  <c r="L1761" i="2" s="1"/>
  <c r="K1763" i="2" a="1"/>
  <c r="K1763" i="2" s="1"/>
  <c r="K1764" i="2" a="1"/>
  <c r="K1764" i="2" s="1"/>
  <c r="M1765" i="2" a="1"/>
  <c r="M1765" i="2" s="1"/>
  <c r="M1766" i="2" a="1"/>
  <c r="M1766" i="2" s="1"/>
  <c r="L1768" i="2" a="1"/>
  <c r="L1768" i="2" s="1"/>
  <c r="L1769" i="2" a="1"/>
  <c r="L1769" i="2" s="1"/>
  <c r="K1771" i="2" a="1"/>
  <c r="K1771" i="2" s="1"/>
  <c r="K1772" i="2" a="1"/>
  <c r="K1772" i="2" s="1"/>
  <c r="M1773" i="2" a="1"/>
  <c r="M1773" i="2" s="1"/>
  <c r="M1774" i="2" a="1"/>
  <c r="M1774" i="2" s="1"/>
  <c r="L1776" i="2" a="1"/>
  <c r="L1776" i="2" s="1"/>
  <c r="L1777" i="2" a="1"/>
  <c r="L1777" i="2" s="1"/>
  <c r="K1779" i="2" a="1"/>
  <c r="K1779" i="2" s="1"/>
  <c r="K1780" i="2" a="1"/>
  <c r="K1780" i="2" s="1"/>
  <c r="M1781" i="2" a="1"/>
  <c r="M1781" i="2" s="1"/>
  <c r="M1782" i="2" a="1"/>
  <c r="M1782" i="2" s="1"/>
  <c r="L1784" i="2" a="1"/>
  <c r="L1784" i="2" s="1"/>
  <c r="L1785" i="2" a="1"/>
  <c r="L1785" i="2" s="1"/>
  <c r="K1787" i="2" a="1"/>
  <c r="K1787" i="2" s="1"/>
  <c r="K1788" i="2" a="1"/>
  <c r="K1788" i="2" s="1"/>
  <c r="M1789" i="2" a="1"/>
  <c r="M1789" i="2" s="1"/>
  <c r="M1790" i="2" a="1"/>
  <c r="M1790" i="2" s="1"/>
  <c r="L1792" i="2" a="1"/>
  <c r="L1792" i="2" s="1"/>
  <c r="L1793" i="2" a="1"/>
  <c r="L1793" i="2" s="1"/>
  <c r="K1795" i="2" a="1"/>
  <c r="K1795" i="2" s="1"/>
  <c r="K1796" i="2" a="1"/>
  <c r="K1796" i="2" s="1"/>
  <c r="M1797" i="2" a="1"/>
  <c r="M1797" i="2" s="1"/>
  <c r="M1798" i="2" a="1"/>
  <c r="M1798" i="2" s="1"/>
  <c r="L1800" i="2" a="1"/>
  <c r="L1800" i="2" s="1"/>
  <c r="L1801" i="2" a="1"/>
  <c r="L1801" i="2" s="1"/>
  <c r="K1803" i="2" a="1"/>
  <c r="K1803" i="2" s="1"/>
  <c r="K1804" i="2" a="1"/>
  <c r="K1804" i="2" s="1"/>
  <c r="M1805" i="2" a="1"/>
  <c r="M1805" i="2" s="1"/>
  <c r="M1806" i="2" a="1"/>
  <c r="M1806" i="2" s="1"/>
  <c r="L1808" i="2" a="1"/>
  <c r="L1808" i="2" s="1"/>
  <c r="L1809" i="2" a="1"/>
  <c r="L1809" i="2" s="1"/>
  <c r="K1811" i="2" a="1"/>
  <c r="K1811" i="2" s="1"/>
  <c r="K1812" i="2" a="1"/>
  <c r="K1812" i="2" s="1"/>
  <c r="M1813" i="2" a="1"/>
  <c r="M1813" i="2" s="1"/>
  <c r="M1814" i="2" a="1"/>
  <c r="M1814" i="2" s="1"/>
  <c r="L1816" i="2" a="1"/>
  <c r="L1816" i="2" s="1"/>
  <c r="L1817" i="2" a="1"/>
  <c r="L1817" i="2" s="1"/>
  <c r="K1819" i="2" a="1"/>
  <c r="K1819" i="2" s="1"/>
  <c r="K1820" i="2" a="1"/>
  <c r="K1820" i="2" s="1"/>
  <c r="M1821" i="2" a="1"/>
  <c r="M1821" i="2" s="1"/>
  <c r="M1822" i="2" a="1"/>
  <c r="M1822" i="2" s="1"/>
  <c r="L1824" i="2" a="1"/>
  <c r="L1824" i="2" s="1"/>
  <c r="L1825" i="2" a="1"/>
  <c r="L1825" i="2" s="1"/>
  <c r="K1827" i="2" a="1"/>
  <c r="K1827" i="2" s="1"/>
  <c r="K1828" i="2" a="1"/>
  <c r="K1828" i="2" s="1"/>
  <c r="M1829" i="2" a="1"/>
  <c r="M1829" i="2" s="1"/>
  <c r="M1830" i="2" a="1"/>
  <c r="M1830" i="2" s="1"/>
  <c r="L1832" i="2" a="1"/>
  <c r="L1832" i="2" s="1"/>
  <c r="L1833" i="2" a="1"/>
  <c r="L1833" i="2" s="1"/>
  <c r="K1835" i="2" a="1"/>
  <c r="K1835" i="2" s="1"/>
  <c r="K1836" i="2" a="1"/>
  <c r="K1836" i="2" s="1"/>
  <c r="M1837" i="2" a="1"/>
  <c r="M1837" i="2" s="1"/>
  <c r="M1838" i="2" a="1"/>
  <c r="M1838" i="2" s="1"/>
  <c r="L1840" i="2" a="1"/>
  <c r="L1840" i="2" s="1"/>
  <c r="L1841" i="2" a="1"/>
  <c r="L1841" i="2" s="1"/>
  <c r="K1843" i="2" a="1"/>
  <c r="K1843" i="2" s="1"/>
  <c r="K1844" i="2" a="1"/>
  <c r="K1844" i="2" s="1"/>
  <c r="M1845" i="2" a="1"/>
  <c r="M1845" i="2" s="1"/>
  <c r="M1846" i="2" a="1"/>
  <c r="M1846" i="2" s="1"/>
  <c r="L1848" i="2" a="1"/>
  <c r="L1848" i="2" s="1"/>
  <c r="L1849" i="2" a="1"/>
  <c r="L1849" i="2" s="1"/>
  <c r="K1851" i="2" a="1"/>
  <c r="K1851" i="2" s="1"/>
  <c r="K1852" i="2" a="1"/>
  <c r="K1852" i="2" s="1"/>
  <c r="M1853" i="2" a="1"/>
  <c r="M1853" i="2" s="1"/>
  <c r="M1854" i="2" a="1"/>
  <c r="M1854" i="2" s="1"/>
  <c r="L1856" i="2" a="1"/>
  <c r="L1856" i="2" s="1"/>
  <c r="L1857" i="2" a="1"/>
  <c r="L1857" i="2" s="1"/>
  <c r="K1859" i="2" a="1"/>
  <c r="K1859" i="2" s="1"/>
  <c r="K1860" i="2" a="1"/>
  <c r="K1860" i="2" s="1"/>
  <c r="M1861" i="2" a="1"/>
  <c r="M1861" i="2" s="1"/>
  <c r="M1862" i="2" a="1"/>
  <c r="M1862" i="2" s="1"/>
  <c r="L1864" i="2" a="1"/>
  <c r="L1864" i="2" s="1"/>
  <c r="L1865" i="2" a="1"/>
  <c r="L1865" i="2" s="1"/>
  <c r="K1867" i="2" a="1"/>
  <c r="K1867" i="2" s="1"/>
  <c r="K1868" i="2" a="1"/>
  <c r="K1868" i="2" s="1"/>
  <c r="M1869" i="2" a="1"/>
  <c r="M1869" i="2" s="1"/>
  <c r="M1870" i="2" a="1"/>
  <c r="M1870" i="2" s="1"/>
  <c r="L1872" i="2" a="1"/>
  <c r="L1872" i="2" s="1"/>
  <c r="L1873" i="2" a="1"/>
  <c r="L1873" i="2" s="1"/>
  <c r="K1875" i="2" a="1"/>
  <c r="K1875" i="2" s="1"/>
  <c r="K1876" i="2" a="1"/>
  <c r="K1876" i="2" s="1"/>
  <c r="M1877" i="2" a="1"/>
  <c r="M1877" i="2" s="1"/>
  <c r="M1878" i="2" a="1"/>
  <c r="M1878" i="2" s="1"/>
  <c r="L1880" i="2" a="1"/>
  <c r="L1880" i="2" s="1"/>
  <c r="L1881" i="2" a="1"/>
  <c r="L1881" i="2" s="1"/>
  <c r="K1883" i="2" a="1"/>
  <c r="K1883" i="2" s="1"/>
  <c r="K1884" i="2" a="1"/>
  <c r="K1884" i="2" s="1"/>
  <c r="M1885" i="2" a="1"/>
  <c r="M1885" i="2" s="1"/>
  <c r="M1886" i="2" a="1"/>
  <c r="M1886" i="2" s="1"/>
  <c r="L1888" i="2" a="1"/>
  <c r="L1888" i="2" s="1"/>
  <c r="L1889" i="2" a="1"/>
  <c r="L1889" i="2" s="1"/>
  <c r="K1891" i="2" a="1"/>
  <c r="K1891" i="2" s="1"/>
  <c r="K1892" i="2" a="1"/>
  <c r="K1892" i="2" s="1"/>
  <c r="M1893" i="2" a="1"/>
  <c r="M1893" i="2" s="1"/>
  <c r="M1894" i="2" a="1"/>
  <c r="M1894" i="2" s="1"/>
  <c r="L1896" i="2" a="1"/>
  <c r="L1896" i="2" s="1"/>
  <c r="L1897" i="2" a="1"/>
  <c r="L1897" i="2" s="1"/>
  <c r="K1899" i="2" a="1"/>
  <c r="K1899" i="2" s="1"/>
  <c r="K1900" i="2" a="1"/>
  <c r="K1900" i="2" s="1"/>
  <c r="M1901" i="2" a="1"/>
  <c r="M1901" i="2" s="1"/>
  <c r="M1902" i="2" a="1"/>
  <c r="M1902" i="2" s="1"/>
  <c r="L1904" i="2" a="1"/>
  <c r="L1904" i="2" s="1"/>
  <c r="L1905" i="2" a="1"/>
  <c r="L1905" i="2" s="1"/>
  <c r="K1907" i="2" a="1"/>
  <c r="K1907" i="2" s="1"/>
  <c r="K1908" i="2" a="1"/>
  <c r="K1908" i="2" s="1"/>
  <c r="M1909" i="2" a="1"/>
  <c r="M1909" i="2" s="1"/>
  <c r="M1910" i="2" a="1"/>
  <c r="M1910" i="2" s="1"/>
  <c r="L1912" i="2" a="1"/>
  <c r="L1912" i="2" s="1"/>
  <c r="L1913" i="2" a="1"/>
  <c r="L1913" i="2" s="1"/>
  <c r="K1915" i="2" a="1"/>
  <c r="K1915" i="2" s="1"/>
  <c r="K1916" i="2" a="1"/>
  <c r="K1916" i="2" s="1"/>
  <c r="M1917" i="2" a="1"/>
  <c r="M1917" i="2" s="1"/>
  <c r="M1918" i="2" a="1"/>
  <c r="M1918" i="2" s="1"/>
  <c r="L1920" i="2" a="1"/>
  <c r="L1920" i="2" s="1"/>
  <c r="L1921" i="2" a="1"/>
  <c r="L1921" i="2" s="1"/>
  <c r="K1923" i="2" a="1"/>
  <c r="K1923" i="2" s="1"/>
  <c r="K1924" i="2" a="1"/>
  <c r="K1924" i="2" s="1"/>
  <c r="M1925" i="2" a="1"/>
  <c r="M1925" i="2" s="1"/>
  <c r="M1926" i="2" a="1"/>
  <c r="M1926" i="2" s="1"/>
  <c r="L1928" i="2" a="1"/>
  <c r="L1928" i="2" s="1"/>
  <c r="L1929" i="2" a="1"/>
  <c r="L1929" i="2" s="1"/>
  <c r="K1931" i="2" a="1"/>
  <c r="K1931" i="2" s="1"/>
  <c r="K1932" i="2" a="1"/>
  <c r="K1932" i="2" s="1"/>
  <c r="M1933" i="2" a="1"/>
  <c r="M1933" i="2" s="1"/>
  <c r="M1934" i="2" a="1"/>
  <c r="M1934" i="2" s="1"/>
  <c r="L1936" i="2" a="1"/>
  <c r="L1936" i="2" s="1"/>
  <c r="L1937" i="2" a="1"/>
  <c r="L1937" i="2" s="1"/>
  <c r="K1939" i="2" a="1"/>
  <c r="K1939" i="2" s="1"/>
  <c r="K1940" i="2" a="1"/>
  <c r="K1940" i="2" s="1"/>
  <c r="M1941" i="2" a="1"/>
  <c r="M1941" i="2" s="1"/>
  <c r="M1942" i="2" a="1"/>
  <c r="M1942" i="2" s="1"/>
  <c r="L1944" i="2" a="1"/>
  <c r="L1944" i="2" s="1"/>
  <c r="L1945" i="2" a="1"/>
  <c r="L1945" i="2" s="1"/>
  <c r="K1947" i="2" a="1"/>
  <c r="K1947" i="2" s="1"/>
  <c r="K1948" i="2" a="1"/>
  <c r="K1948" i="2" s="1"/>
  <c r="M1949" i="2" a="1"/>
  <c r="M1949" i="2" s="1"/>
  <c r="M1950" i="2" a="1"/>
  <c r="M1950" i="2" s="1"/>
  <c r="L1952" i="2" a="1"/>
  <c r="L1952" i="2" s="1"/>
  <c r="L1953" i="2" a="1"/>
  <c r="L1953" i="2" s="1"/>
  <c r="K1955" i="2" a="1"/>
  <c r="K1955" i="2" s="1"/>
  <c r="K1956" i="2" a="1"/>
  <c r="K1956" i="2" s="1"/>
  <c r="M1957" i="2" a="1"/>
  <c r="M1957" i="2" s="1"/>
  <c r="M1958" i="2" a="1"/>
  <c r="M1958" i="2" s="1"/>
  <c r="L1960" i="2" a="1"/>
  <c r="L1960" i="2" s="1"/>
  <c r="L1961" i="2" a="1"/>
  <c r="L1961" i="2" s="1"/>
  <c r="K1963" i="2" a="1"/>
  <c r="K1963" i="2" s="1"/>
  <c r="K1964" i="2" a="1"/>
  <c r="K1964" i="2" s="1"/>
  <c r="M1965" i="2" a="1"/>
  <c r="M1965" i="2" s="1"/>
  <c r="M1966" i="2" a="1"/>
  <c r="M1966" i="2" s="1"/>
  <c r="L1968" i="2" a="1"/>
  <c r="L1968" i="2" s="1"/>
  <c r="L1969" i="2" a="1"/>
  <c r="L1969" i="2" s="1"/>
  <c r="K1971" i="2" a="1"/>
  <c r="K1971" i="2" s="1"/>
  <c r="K1972" i="2" a="1"/>
  <c r="K1972" i="2" s="1"/>
  <c r="M1973" i="2" a="1"/>
  <c r="M1973" i="2" s="1"/>
  <c r="M1974" i="2" a="1"/>
  <c r="M1974" i="2" s="1"/>
  <c r="L1976" i="2" a="1"/>
  <c r="L1976" i="2" s="1"/>
  <c r="L1977" i="2" a="1"/>
  <c r="L1977" i="2" s="1"/>
  <c r="K1979" i="2" a="1"/>
  <c r="K1979" i="2" s="1"/>
  <c r="K1980" i="2" a="1"/>
  <c r="K1980" i="2" s="1"/>
  <c r="M1981" i="2" a="1"/>
  <c r="M1981" i="2" s="1"/>
  <c r="M1982" i="2" a="1"/>
  <c r="M1982" i="2" s="1"/>
  <c r="L1984" i="2" a="1"/>
  <c r="L1984" i="2" s="1"/>
  <c r="L1985" i="2" a="1"/>
  <c r="L1985" i="2" s="1"/>
  <c r="K1987" i="2" a="1"/>
  <c r="K1987" i="2" s="1"/>
  <c r="K1988" i="2" a="1"/>
  <c r="K1988" i="2" s="1"/>
  <c r="M1989" i="2" a="1"/>
  <c r="M1989" i="2" s="1"/>
  <c r="M1990" i="2" a="1"/>
  <c r="M1990" i="2" s="1"/>
  <c r="L1992" i="2" a="1"/>
  <c r="L1992" i="2" s="1"/>
  <c r="L1993" i="2" a="1"/>
  <c r="L1993" i="2" s="1"/>
  <c r="K1995" i="2" a="1"/>
  <c r="K1995" i="2" s="1"/>
  <c r="K1996" i="2" a="1"/>
  <c r="K1996" i="2" s="1"/>
  <c r="M1997" i="2" a="1"/>
  <c r="M1997" i="2" s="1"/>
  <c r="M1998" i="2" a="1"/>
  <c r="M1998" i="2" s="1"/>
  <c r="L2000" i="2" a="1"/>
  <c r="L2000" i="2" s="1"/>
  <c r="L2001" i="2" a="1"/>
  <c r="L2001" i="2" s="1"/>
  <c r="K2003" i="2" a="1"/>
  <c r="K2003" i="2" s="1"/>
  <c r="K2004" i="2" a="1"/>
  <c r="K2004" i="2" s="1"/>
  <c r="M2005" i="2" a="1"/>
  <c r="M2005" i="2" s="1"/>
  <c r="M2006" i="2" a="1"/>
  <c r="M2006" i="2" s="1"/>
  <c r="L2008" i="2" a="1"/>
  <c r="L2008" i="2" s="1"/>
  <c r="L2009" i="2" a="1"/>
  <c r="L2009" i="2" s="1"/>
  <c r="K2011" i="2" a="1"/>
  <c r="K2011" i="2" s="1"/>
  <c r="K2012" i="2" a="1"/>
  <c r="K2012" i="2" s="1"/>
  <c r="M2013" i="2" a="1"/>
  <c r="M2013" i="2" s="1"/>
  <c r="M2014" i="2" a="1"/>
  <c r="M2014" i="2" s="1"/>
  <c r="L2016" i="2" a="1"/>
  <c r="L2016" i="2" s="1"/>
  <c r="L2017" i="2" a="1"/>
  <c r="L2017" i="2" s="1"/>
  <c r="K2019" i="2" a="1"/>
  <c r="K2019" i="2" s="1"/>
  <c r="K2020" i="2" a="1"/>
  <c r="K2020" i="2" s="1"/>
  <c r="M2021" i="2" a="1"/>
  <c r="M2021" i="2" s="1"/>
  <c r="M2022" i="2" a="1"/>
  <c r="M2022" i="2" s="1"/>
  <c r="L2024" i="2" a="1"/>
  <c r="L2024" i="2" s="1"/>
  <c r="L2025" i="2" a="1"/>
  <c r="L2025" i="2" s="1"/>
  <c r="K2027" i="2" a="1"/>
  <c r="K2027" i="2" s="1"/>
  <c r="K2028" i="2" a="1"/>
  <c r="K2028" i="2" s="1"/>
  <c r="M2029" i="2" a="1"/>
  <c r="M2029" i="2" s="1"/>
  <c r="M2030" i="2" a="1"/>
  <c r="M2030" i="2" s="1"/>
  <c r="L2032" i="2" a="1"/>
  <c r="L2032" i="2" s="1"/>
  <c r="L2033" i="2" a="1"/>
  <c r="L2033" i="2" s="1"/>
  <c r="K2035" i="2" a="1"/>
  <c r="K2035" i="2" s="1"/>
  <c r="K2036" i="2" a="1"/>
  <c r="K2036" i="2" s="1"/>
  <c r="M2037" i="2" a="1"/>
  <c r="M2037" i="2" s="1"/>
  <c r="M2038" i="2" a="1"/>
  <c r="M2038" i="2" s="1"/>
  <c r="L2040" i="2" a="1"/>
  <c r="L2040" i="2" s="1"/>
  <c r="L2041" i="2" a="1"/>
  <c r="L2041" i="2" s="1"/>
  <c r="K2043" i="2" a="1"/>
  <c r="K2043" i="2" s="1"/>
  <c r="K2044" i="2" a="1"/>
  <c r="K2044" i="2" s="1"/>
  <c r="M2045" i="2" a="1"/>
  <c r="M2045" i="2" s="1"/>
  <c r="M2046" i="2" a="1"/>
  <c r="M2046" i="2" s="1"/>
  <c r="L2048" i="2" a="1"/>
  <c r="L2048" i="2" s="1"/>
  <c r="L2049" i="2" a="1"/>
  <c r="L2049" i="2" s="1"/>
  <c r="K2051" i="2" a="1"/>
  <c r="K2051" i="2" s="1"/>
  <c r="K2052" i="2" a="1"/>
  <c r="K2052" i="2" s="1"/>
  <c r="M2053" i="2" a="1"/>
  <c r="M2053" i="2" s="1"/>
  <c r="M2054" i="2" a="1"/>
  <c r="M2054" i="2" s="1"/>
  <c r="L2056" i="2" a="1"/>
  <c r="L2056" i="2" s="1"/>
  <c r="L2057" i="2" a="1"/>
  <c r="L2057" i="2" s="1"/>
  <c r="K2059" i="2" a="1"/>
  <c r="K2059" i="2" s="1"/>
  <c r="K2060" i="2" a="1"/>
  <c r="K2060" i="2" s="1"/>
  <c r="M2061" i="2" a="1"/>
  <c r="M2061" i="2" s="1"/>
  <c r="M2062" i="2" a="1"/>
  <c r="M2062" i="2" s="1"/>
  <c r="L2064" i="2" a="1"/>
  <c r="L2064" i="2" s="1"/>
  <c r="L2065" i="2" a="1"/>
  <c r="L2065" i="2" s="1"/>
  <c r="K2067" i="2" a="1"/>
  <c r="K2067" i="2" s="1"/>
  <c r="K2068" i="2" a="1"/>
  <c r="K2068" i="2" s="1"/>
  <c r="M2069" i="2" a="1"/>
  <c r="M2069" i="2" s="1"/>
  <c r="M2070" i="2" a="1"/>
  <c r="M2070" i="2" s="1"/>
  <c r="L2072" i="2" a="1"/>
  <c r="L2072" i="2" s="1"/>
  <c r="L2073" i="2" a="1"/>
  <c r="L2073" i="2" s="1"/>
  <c r="K2075" i="2" a="1"/>
  <c r="K2075" i="2" s="1"/>
  <c r="K2076" i="2" a="1"/>
  <c r="K2076" i="2" s="1"/>
  <c r="M2077" i="2" a="1"/>
  <c r="M2077" i="2" s="1"/>
  <c r="M2078" i="2" a="1"/>
  <c r="M2078" i="2" s="1"/>
  <c r="L2080" i="2" a="1"/>
  <c r="L2080" i="2" s="1"/>
  <c r="L2081" i="2" a="1"/>
  <c r="L2081" i="2" s="1"/>
  <c r="K2083" i="2" a="1"/>
  <c r="K2083" i="2" s="1"/>
  <c r="K2084" i="2" a="1"/>
  <c r="K2084" i="2" s="1"/>
  <c r="M2085" i="2" a="1"/>
  <c r="M2085" i="2" s="1"/>
  <c r="M2086" i="2" a="1"/>
  <c r="M2086" i="2" s="1"/>
  <c r="L2088" i="2" a="1"/>
  <c r="L2088" i="2" s="1"/>
  <c r="L2089" i="2" a="1"/>
  <c r="L2089" i="2" s="1"/>
  <c r="K2091" i="2" a="1"/>
  <c r="K2091" i="2" s="1"/>
  <c r="K2092" i="2" a="1"/>
  <c r="K2092" i="2" s="1"/>
  <c r="M2093" i="2" a="1"/>
  <c r="M2093" i="2" s="1"/>
  <c r="M2094" i="2" a="1"/>
  <c r="M2094" i="2" s="1"/>
  <c r="L2096" i="2" a="1"/>
  <c r="L2096" i="2" s="1"/>
  <c r="L2097" i="2" a="1"/>
  <c r="L2097" i="2" s="1"/>
  <c r="K2099" i="2" a="1"/>
  <c r="K2099" i="2" s="1"/>
  <c r="K2100" i="2" a="1"/>
  <c r="K2100" i="2" s="1"/>
  <c r="M2101" i="2" a="1"/>
  <c r="M2101" i="2" s="1"/>
  <c r="M2102" i="2" a="1"/>
  <c r="M2102" i="2" s="1"/>
  <c r="L2104" i="2" a="1"/>
  <c r="L2104" i="2" s="1"/>
  <c r="L2105" i="2" a="1"/>
  <c r="L2105" i="2" s="1"/>
  <c r="K2107" i="2" a="1"/>
  <c r="K2107" i="2" s="1"/>
  <c r="K2108" i="2" a="1"/>
  <c r="K2108" i="2" s="1"/>
  <c r="M2109" i="2" a="1"/>
  <c r="M2109" i="2" s="1"/>
  <c r="M2110" i="2" a="1"/>
  <c r="M2110" i="2" s="1"/>
  <c r="L2112" i="2" a="1"/>
  <c r="L2112" i="2" s="1"/>
  <c r="L2113" i="2" a="1"/>
  <c r="L2113" i="2" s="1"/>
  <c r="K2115" i="2" a="1"/>
  <c r="K2115" i="2" s="1"/>
  <c r="K2116" i="2" a="1"/>
  <c r="K2116" i="2" s="1"/>
  <c r="M2117" i="2" a="1"/>
  <c r="M2117" i="2" s="1"/>
  <c r="M2118" i="2" a="1"/>
  <c r="M2118" i="2" s="1"/>
  <c r="L2120" i="2" a="1"/>
  <c r="L2120" i="2" s="1"/>
  <c r="L2121" i="2" a="1"/>
  <c r="L2121" i="2" s="1"/>
  <c r="K2123" i="2" a="1"/>
  <c r="K2123" i="2" s="1"/>
  <c r="K2124" i="2" a="1"/>
  <c r="K2124" i="2" s="1"/>
  <c r="M2125" i="2" a="1"/>
  <c r="M2125" i="2" s="1"/>
  <c r="M2126" i="2" a="1"/>
  <c r="M2126" i="2" s="1"/>
  <c r="L2128" i="2" a="1"/>
  <c r="L2128" i="2" s="1"/>
  <c r="L2129" i="2" a="1"/>
  <c r="L2129" i="2" s="1"/>
  <c r="K2131" i="2" a="1"/>
  <c r="K2131" i="2" s="1"/>
  <c r="K2132" i="2" a="1"/>
  <c r="K2132" i="2" s="1"/>
  <c r="M2133" i="2" a="1"/>
  <c r="M2133" i="2" s="1"/>
  <c r="M2134" i="2" a="1"/>
  <c r="M2134" i="2" s="1"/>
  <c r="L2136" i="2" a="1"/>
  <c r="L2136" i="2" s="1"/>
  <c r="L2137" i="2" a="1"/>
  <c r="L2137" i="2" s="1"/>
  <c r="K2139" i="2" a="1"/>
  <c r="K2139" i="2" s="1"/>
  <c r="K2140" i="2" a="1"/>
  <c r="K2140" i="2" s="1"/>
  <c r="M2141" i="2" a="1"/>
  <c r="M2141" i="2" s="1"/>
  <c r="M2142" i="2" a="1"/>
  <c r="M2142" i="2" s="1"/>
  <c r="L2144" i="2" a="1"/>
  <c r="L2144" i="2" s="1"/>
  <c r="L2145" i="2" a="1"/>
  <c r="L2145" i="2" s="1"/>
  <c r="K2147" i="2" a="1"/>
  <c r="K2147" i="2" s="1"/>
  <c r="K2148" i="2" a="1"/>
  <c r="K2148" i="2" s="1"/>
  <c r="M2149" i="2" a="1"/>
  <c r="M2149" i="2" s="1"/>
  <c r="M2150" i="2" a="1"/>
  <c r="M2150" i="2" s="1"/>
  <c r="L2152" i="2" a="1"/>
  <c r="L2152" i="2" s="1"/>
  <c r="L2153" i="2" a="1"/>
  <c r="L2153" i="2" s="1"/>
  <c r="K2155" i="2" a="1"/>
  <c r="K2155" i="2" s="1"/>
  <c r="K2156" i="2" a="1"/>
  <c r="K2156" i="2" s="1"/>
  <c r="M2157" i="2" a="1"/>
  <c r="M2157" i="2" s="1"/>
  <c r="M2158" i="2" a="1"/>
  <c r="M2158" i="2" s="1"/>
  <c r="L2160" i="2" a="1"/>
  <c r="L2160" i="2" s="1"/>
  <c r="L2161" i="2" a="1"/>
  <c r="L2161" i="2" s="1"/>
  <c r="K2163" i="2" a="1"/>
  <c r="K2163" i="2" s="1"/>
  <c r="K2164" i="2" a="1"/>
  <c r="K2164" i="2" s="1"/>
  <c r="M2165" i="2" a="1"/>
  <c r="M2165" i="2" s="1"/>
  <c r="M2166" i="2" a="1"/>
  <c r="M2166" i="2" s="1"/>
  <c r="L2168" i="2" a="1"/>
  <c r="L2168" i="2" s="1"/>
  <c r="L2169" i="2" a="1"/>
  <c r="L2169" i="2" s="1"/>
  <c r="K2171" i="2" a="1"/>
  <c r="K2171" i="2" s="1"/>
  <c r="K2172" i="2" a="1"/>
  <c r="K2172" i="2" s="1"/>
  <c r="M2173" i="2" a="1"/>
  <c r="M2173" i="2" s="1"/>
  <c r="M2174" i="2" a="1"/>
  <c r="M2174" i="2" s="1"/>
  <c r="L2176" i="2" a="1"/>
  <c r="L2176" i="2" s="1"/>
  <c r="L2177" i="2" a="1"/>
  <c r="L2177" i="2" s="1"/>
  <c r="K2179" i="2" a="1"/>
  <c r="K2179" i="2" s="1"/>
  <c r="K2180" i="2" a="1"/>
  <c r="K2180" i="2" s="1"/>
  <c r="M2181" i="2" a="1"/>
  <c r="M2181" i="2" s="1"/>
  <c r="M2182" i="2" a="1"/>
  <c r="M2182" i="2" s="1"/>
  <c r="L2184" i="2" a="1"/>
  <c r="L2184" i="2" s="1"/>
  <c r="L2185" i="2" a="1"/>
  <c r="L2185" i="2" s="1"/>
  <c r="K2187" i="2" a="1"/>
  <c r="K2187" i="2" s="1"/>
  <c r="K2188" i="2" a="1"/>
  <c r="K2188" i="2" s="1"/>
  <c r="M2189" i="2" a="1"/>
  <c r="M2189" i="2" s="1"/>
  <c r="M2190" i="2" a="1"/>
  <c r="M2190" i="2" s="1"/>
  <c r="L2192" i="2" a="1"/>
  <c r="L2192" i="2" s="1"/>
  <c r="L2193" i="2" a="1"/>
  <c r="L2193" i="2" s="1"/>
  <c r="K2195" i="2" a="1"/>
  <c r="K2195" i="2" s="1"/>
  <c r="K2196" i="2" a="1"/>
  <c r="K2196" i="2" s="1"/>
  <c r="M2197" i="2" a="1"/>
  <c r="M2197" i="2" s="1"/>
  <c r="M2198" i="2" a="1"/>
  <c r="M2198" i="2" s="1"/>
  <c r="L2200" i="2" a="1"/>
  <c r="L2200" i="2" s="1"/>
  <c r="L2201" i="2" a="1"/>
  <c r="L2201" i="2" s="1"/>
  <c r="K2203" i="2" a="1"/>
  <c r="K2203" i="2" s="1"/>
  <c r="K2204" i="2" a="1"/>
  <c r="K2204" i="2" s="1"/>
  <c r="M2205" i="2" a="1"/>
  <c r="M2205" i="2" s="1"/>
  <c r="M2206" i="2" a="1"/>
  <c r="M2206" i="2" s="1"/>
  <c r="L2208" i="2" a="1"/>
  <c r="L2208" i="2" s="1"/>
  <c r="L2209" i="2" a="1"/>
  <c r="L2209" i="2" s="1"/>
  <c r="K2211" i="2" a="1"/>
  <c r="K2211" i="2" s="1"/>
  <c r="K2212" i="2" a="1"/>
  <c r="K2212" i="2" s="1"/>
  <c r="M2213" i="2" a="1"/>
  <c r="M2213" i="2" s="1"/>
  <c r="M2214" i="2" a="1"/>
  <c r="M2214" i="2" s="1"/>
  <c r="L2216" i="2" a="1"/>
  <c r="L2216" i="2" s="1"/>
  <c r="L2217" i="2" a="1"/>
  <c r="L2217" i="2" s="1"/>
  <c r="K2219" i="2" a="1"/>
  <c r="K2219" i="2" s="1"/>
  <c r="K2220" i="2" a="1"/>
  <c r="K2220" i="2" s="1"/>
  <c r="M2221" i="2" a="1"/>
  <c r="M2221" i="2" s="1"/>
  <c r="M2222" i="2" a="1"/>
  <c r="M2222" i="2" s="1"/>
  <c r="L2224" i="2" a="1"/>
  <c r="L2224" i="2" s="1"/>
  <c r="L2225" i="2" a="1"/>
  <c r="L2225" i="2" s="1"/>
  <c r="K2227" i="2" a="1"/>
  <c r="K2227" i="2" s="1"/>
  <c r="K2228" i="2" a="1"/>
  <c r="K2228" i="2" s="1"/>
  <c r="M2229" i="2" a="1"/>
  <c r="M2229" i="2" s="1"/>
  <c r="M2230" i="2" a="1"/>
  <c r="M2230" i="2" s="1"/>
  <c r="L2232" i="2" a="1"/>
  <c r="L2232" i="2" s="1"/>
  <c r="L2233" i="2" a="1"/>
  <c r="L2233" i="2" s="1"/>
  <c r="K2235" i="2" a="1"/>
  <c r="K2235" i="2" s="1"/>
  <c r="K2236" i="2" a="1"/>
  <c r="K2236" i="2" s="1"/>
  <c r="M2237" i="2" a="1"/>
  <c r="M2237" i="2" s="1"/>
  <c r="M2238" i="2" a="1"/>
  <c r="M2238" i="2" s="1"/>
  <c r="L2240" i="2" a="1"/>
  <c r="L2240" i="2" s="1"/>
  <c r="L2241" i="2" a="1"/>
  <c r="L2241" i="2" s="1"/>
  <c r="K2243" i="2" a="1"/>
  <c r="K2243" i="2" s="1"/>
  <c r="K2244" i="2" a="1"/>
  <c r="K2244" i="2" s="1"/>
  <c r="M2245" i="2" a="1"/>
  <c r="M2245" i="2" s="1"/>
  <c r="M2246" i="2" a="1"/>
  <c r="M2246" i="2" s="1"/>
  <c r="L2248" i="2" a="1"/>
  <c r="L2248" i="2" s="1"/>
  <c r="L2249" i="2" a="1"/>
  <c r="L2249" i="2" s="1"/>
  <c r="K2251" i="2" a="1"/>
  <c r="K2251" i="2" s="1"/>
  <c r="K2252" i="2" a="1"/>
  <c r="K2252" i="2" s="1"/>
  <c r="M2253" i="2" a="1"/>
  <c r="M2253" i="2" s="1"/>
  <c r="M2254" i="2" a="1"/>
  <c r="M2254" i="2" s="1"/>
  <c r="L2256" i="2" a="1"/>
  <c r="L2256" i="2" s="1"/>
  <c r="L2257" i="2" a="1"/>
  <c r="L2257" i="2" s="1"/>
  <c r="K2259" i="2" a="1"/>
  <c r="K2259" i="2" s="1"/>
  <c r="K2260" i="2" a="1"/>
  <c r="K2260" i="2" s="1"/>
  <c r="M2261" i="2" a="1"/>
  <c r="M2261" i="2" s="1"/>
  <c r="M2262" i="2" a="1"/>
  <c r="M2262" i="2" s="1"/>
  <c r="L2264" i="2" a="1"/>
  <c r="L2264" i="2" s="1"/>
  <c r="L2265" i="2" a="1"/>
  <c r="L2265" i="2" s="1"/>
  <c r="K2267" i="2" a="1"/>
  <c r="K2267" i="2" s="1"/>
  <c r="K2268" i="2" a="1"/>
  <c r="K2268" i="2" s="1"/>
  <c r="M2269" i="2" a="1"/>
  <c r="M2269" i="2" s="1"/>
  <c r="M2270" i="2" a="1"/>
  <c r="M2270" i="2" s="1"/>
  <c r="L2272" i="2" a="1"/>
  <c r="L2272" i="2" s="1"/>
  <c r="L2273" i="2" a="1"/>
  <c r="L2273" i="2" s="1"/>
  <c r="K2275" i="2" a="1"/>
  <c r="K2275" i="2" s="1"/>
  <c r="K2276" i="2" a="1"/>
  <c r="K2276" i="2" s="1"/>
  <c r="M2276" i="2" a="1"/>
  <c r="M2276" i="2" s="1"/>
  <c r="L2278" i="2" a="1"/>
  <c r="L2278" i="2" s="1"/>
  <c r="L2279" i="2" a="1"/>
  <c r="L2279" i="2" s="1"/>
  <c r="K2281" i="2" a="1"/>
  <c r="K2281" i="2" s="1"/>
  <c r="K2282" i="2" a="1"/>
  <c r="K2282" i="2" s="1"/>
  <c r="M2283" i="2" a="1"/>
  <c r="M2283" i="2" s="1"/>
  <c r="M2284" i="2" a="1"/>
  <c r="M2284" i="2" s="1"/>
  <c r="L2286" i="2" a="1"/>
  <c r="L2286" i="2" s="1"/>
  <c r="L2287" i="2" a="1"/>
  <c r="L2287" i="2" s="1"/>
  <c r="K2289" i="2" a="1"/>
  <c r="K2289" i="2" s="1"/>
  <c r="K2290" i="2" a="1"/>
  <c r="K2290" i="2" s="1"/>
  <c r="M2291" i="2" a="1"/>
  <c r="M2291" i="2" s="1"/>
  <c r="M2292" i="2" a="1"/>
  <c r="M2292" i="2" s="1"/>
  <c r="L2294" i="2" a="1"/>
  <c r="L2294" i="2" s="1"/>
  <c r="L2295" i="2" a="1"/>
  <c r="L2295" i="2" s="1"/>
  <c r="K2297" i="2" a="1"/>
  <c r="K2297" i="2" s="1"/>
  <c r="K2298" i="2" a="1"/>
  <c r="K2298" i="2" s="1"/>
  <c r="M2299" i="2" a="1"/>
  <c r="M2299" i="2" s="1"/>
  <c r="M2300" i="2" a="1"/>
  <c r="M2300" i="2" s="1"/>
  <c r="L2302" i="2" a="1"/>
  <c r="L2302" i="2" s="1"/>
  <c r="L2303" i="2" a="1"/>
  <c r="L2303" i="2" s="1"/>
  <c r="K2305" i="2" a="1"/>
  <c r="K2305" i="2" s="1"/>
  <c r="K2306" i="2" a="1"/>
  <c r="K2306" i="2" s="1"/>
  <c r="M2307" i="2" a="1"/>
  <c r="M2307" i="2" s="1"/>
  <c r="M2308" i="2" a="1"/>
  <c r="M2308" i="2" s="1"/>
  <c r="L2310" i="2" a="1"/>
  <c r="L2310" i="2" s="1"/>
  <c r="L2311" i="2" a="1"/>
  <c r="L2311" i="2" s="1"/>
  <c r="K2313" i="2" a="1"/>
  <c r="K2313" i="2" s="1"/>
  <c r="K2314" i="2" a="1"/>
  <c r="K2314" i="2" s="1"/>
  <c r="M2315" i="2" a="1"/>
  <c r="M2315" i="2" s="1"/>
  <c r="M2316" i="2" a="1"/>
  <c r="M2316" i="2" s="1"/>
  <c r="L2318" i="2" a="1"/>
  <c r="L2318" i="2" s="1"/>
  <c r="L2319" i="2" a="1"/>
  <c r="L2319" i="2" s="1"/>
  <c r="K2321" i="2" a="1"/>
  <c r="K2321" i="2" s="1"/>
  <c r="K2322" i="2" a="1"/>
  <c r="K2322" i="2" s="1"/>
  <c r="M2323" i="2" a="1"/>
  <c r="M2323" i="2" s="1"/>
  <c r="M2324" i="2" a="1"/>
  <c r="M2324" i="2" s="1"/>
  <c r="L2326" i="2" a="1"/>
  <c r="L2326" i="2" s="1"/>
  <c r="L2327" i="2" a="1"/>
  <c r="L2327" i="2" s="1"/>
  <c r="K2329" i="2" a="1"/>
  <c r="K2329" i="2" s="1"/>
  <c r="K2330" i="2" a="1"/>
  <c r="K2330" i="2" s="1"/>
  <c r="M2331" i="2" a="1"/>
  <c r="M2331" i="2" s="1"/>
  <c r="M2332" i="2" a="1"/>
  <c r="M2332" i="2" s="1"/>
  <c r="L2334" i="2" a="1"/>
  <c r="L2334" i="2" s="1"/>
  <c r="L2335" i="2" a="1"/>
  <c r="L2335" i="2" s="1"/>
  <c r="K2337" i="2" a="1"/>
  <c r="K2337" i="2" s="1"/>
  <c r="K2338" i="2" a="1"/>
  <c r="K2338" i="2" s="1"/>
  <c r="M2339" i="2" a="1"/>
  <c r="M2339" i="2" s="1"/>
  <c r="M2340" i="2" a="1"/>
  <c r="M2340" i="2" s="1"/>
  <c r="L2342" i="2" a="1"/>
  <c r="L2342" i="2" s="1"/>
  <c r="L2343" i="2" a="1"/>
  <c r="L2343" i="2" s="1"/>
  <c r="K2345" i="2" a="1"/>
  <c r="K2345" i="2" s="1"/>
  <c r="K2346" i="2" a="1"/>
  <c r="K2346" i="2" s="1"/>
  <c r="M2347" i="2" a="1"/>
  <c r="M2347" i="2" s="1"/>
  <c r="M2348" i="2" a="1"/>
  <c r="M2348" i="2" s="1"/>
  <c r="L2350" i="2" a="1"/>
  <c r="L2350" i="2" s="1"/>
  <c r="L2351" i="2" a="1"/>
  <c r="L2351" i="2" s="1"/>
  <c r="K2353" i="2" a="1"/>
  <c r="K2353" i="2" s="1"/>
  <c r="K2354" i="2" a="1"/>
  <c r="K2354" i="2" s="1"/>
  <c r="M2355" i="2" a="1"/>
  <c r="M2355" i="2" s="1"/>
  <c r="M2356" i="2" a="1"/>
  <c r="M2356" i="2" s="1"/>
  <c r="L2358" i="2" a="1"/>
  <c r="L2358" i="2" s="1"/>
  <c r="L2359" i="2" a="1"/>
  <c r="L2359" i="2" s="1"/>
  <c r="K2361" i="2" a="1"/>
  <c r="K2361" i="2" s="1"/>
  <c r="K2362" i="2" a="1"/>
  <c r="K2362" i="2" s="1"/>
  <c r="M2363" i="2" a="1"/>
  <c r="M2363" i="2" s="1"/>
  <c r="M2364" i="2" a="1"/>
  <c r="M2364" i="2" s="1"/>
  <c r="L2366" i="2" a="1"/>
  <c r="L2366" i="2" s="1"/>
  <c r="L2367" i="2" a="1"/>
  <c r="L2367" i="2" s="1"/>
  <c r="K2369" i="2" a="1"/>
  <c r="K2369" i="2" s="1"/>
  <c r="K2370" i="2" a="1"/>
  <c r="K2370" i="2" s="1"/>
  <c r="M2371" i="2" a="1"/>
  <c r="M2371" i="2" s="1"/>
  <c r="M2372" i="2" a="1"/>
  <c r="M2372" i="2" s="1"/>
  <c r="L2374" i="2" a="1"/>
  <c r="L2374" i="2" s="1"/>
  <c r="L2375" i="2" a="1"/>
  <c r="L2375" i="2" s="1"/>
  <c r="K2377" i="2" a="1"/>
  <c r="K2377" i="2" s="1"/>
  <c r="K2378" i="2" a="1"/>
  <c r="K2378" i="2" s="1"/>
  <c r="M2379" i="2" a="1"/>
  <c r="M2379" i="2" s="1"/>
  <c r="M2380" i="2" a="1"/>
  <c r="M2380" i="2" s="1"/>
  <c r="L2382" i="2" a="1"/>
  <c r="L2382" i="2" s="1"/>
  <c r="L2383" i="2" a="1"/>
  <c r="L2383" i="2" s="1"/>
  <c r="K2385" i="2" a="1"/>
  <c r="K2385" i="2" s="1"/>
  <c r="K2386" i="2" a="1"/>
  <c r="K2386" i="2" s="1"/>
  <c r="M2387" i="2" a="1"/>
  <c r="M2387" i="2" s="1"/>
  <c r="M2388" i="2" a="1"/>
  <c r="M2388" i="2" s="1"/>
  <c r="L2390" i="2" a="1"/>
  <c r="L2390" i="2" s="1"/>
  <c r="L2391" i="2" a="1"/>
  <c r="L2391" i="2" s="1"/>
  <c r="K2393" i="2" a="1"/>
  <c r="K2393" i="2" s="1"/>
  <c r="K2394" i="2" a="1"/>
  <c r="K2394" i="2" s="1"/>
  <c r="M2395" i="2" a="1"/>
  <c r="M2395" i="2" s="1"/>
  <c r="M2396" i="2" a="1"/>
  <c r="M2396" i="2" s="1"/>
  <c r="L2398" i="2" a="1"/>
  <c r="L2398" i="2" s="1"/>
  <c r="L2399" i="2" a="1"/>
  <c r="L2399" i="2" s="1"/>
  <c r="K2401" i="2" a="1"/>
  <c r="K2401" i="2" s="1"/>
  <c r="K2402" i="2" a="1"/>
  <c r="K2402" i="2" s="1"/>
  <c r="M2403" i="2" a="1"/>
  <c r="M2403" i="2" s="1"/>
  <c r="M2404" i="2" a="1"/>
  <c r="M2404" i="2" s="1"/>
  <c r="L2406" i="2" a="1"/>
  <c r="L2406" i="2" s="1"/>
  <c r="L2407" i="2" a="1"/>
  <c r="L2407" i="2" s="1"/>
  <c r="K2409" i="2" a="1"/>
  <c r="K2409" i="2" s="1"/>
  <c r="K2410" i="2" a="1"/>
  <c r="K2410" i="2" s="1"/>
  <c r="M2411" i="2" a="1"/>
  <c r="M2411" i="2" s="1"/>
  <c r="M2412" i="2" a="1"/>
  <c r="M2412" i="2" s="1"/>
  <c r="L2414" i="2" a="1"/>
  <c r="L2414" i="2" s="1"/>
  <c r="L2415" i="2" a="1"/>
  <c r="L2415" i="2" s="1"/>
  <c r="K2417" i="2" a="1"/>
  <c r="K2417" i="2" s="1"/>
  <c r="K2418" i="2" a="1"/>
  <c r="K2418" i="2" s="1"/>
  <c r="M2419" i="2" a="1"/>
  <c r="M2419" i="2" s="1"/>
  <c r="M2420" i="2" a="1"/>
  <c r="M2420" i="2" s="1"/>
  <c r="L2422" i="2" a="1"/>
  <c r="L2422" i="2" s="1"/>
  <c r="L2423" i="2" a="1"/>
  <c r="L2423" i="2" s="1"/>
  <c r="K2425" i="2" a="1"/>
  <c r="K2425" i="2" s="1"/>
  <c r="K2426" i="2" a="1"/>
  <c r="K2426" i="2" s="1"/>
  <c r="M2427" i="2" a="1"/>
  <c r="M2427" i="2" s="1"/>
  <c r="M2428" i="2" a="1"/>
  <c r="M2428" i="2" s="1"/>
  <c r="L2430" i="2" a="1"/>
  <c r="L2430" i="2" s="1"/>
  <c r="L2431" i="2" a="1"/>
  <c r="L2431" i="2" s="1"/>
  <c r="K2433" i="2" a="1"/>
  <c r="K2433" i="2" s="1"/>
  <c r="K2434" i="2" a="1"/>
  <c r="K2434" i="2" s="1"/>
  <c r="M2435" i="2" a="1"/>
  <c r="M2435" i="2" s="1"/>
  <c r="M2436" i="2" a="1"/>
  <c r="M2436" i="2" s="1"/>
  <c r="L2438" i="2" a="1"/>
  <c r="L2438" i="2" s="1"/>
  <c r="L2439" i="2" a="1"/>
  <c r="L2439" i="2" s="1"/>
  <c r="K2441" i="2" a="1"/>
  <c r="K2441" i="2" s="1"/>
  <c r="K2442" i="2" a="1"/>
  <c r="K2442" i="2" s="1"/>
  <c r="M2443" i="2" a="1"/>
  <c r="M2443" i="2" s="1"/>
  <c r="M2444" i="2" a="1"/>
  <c r="M2444" i="2" s="1"/>
  <c r="L2446" i="2" a="1"/>
  <c r="L2446" i="2" s="1"/>
  <c r="L2447" i="2" a="1"/>
  <c r="L2447" i="2" s="1"/>
  <c r="K2449" i="2" a="1"/>
  <c r="K2449" i="2" s="1"/>
  <c r="K2450" i="2" a="1"/>
  <c r="K2450" i="2" s="1"/>
  <c r="M2451" i="2" a="1"/>
  <c r="M2451" i="2" s="1"/>
  <c r="M2452" i="2" a="1"/>
  <c r="M2452" i="2" s="1"/>
  <c r="L2454" i="2" a="1"/>
  <c r="L2454" i="2" s="1"/>
  <c r="L2455" i="2" a="1"/>
  <c r="L2455" i="2" s="1"/>
  <c r="K2457" i="2" a="1"/>
  <c r="K2457" i="2" s="1"/>
  <c r="K2458" i="2" a="1"/>
  <c r="K2458" i="2" s="1"/>
  <c r="M2459" i="2" a="1"/>
  <c r="M2459" i="2" s="1"/>
  <c r="M2460" i="2" a="1"/>
  <c r="M2460" i="2" s="1"/>
  <c r="L2462" i="2" a="1"/>
  <c r="L2462" i="2" s="1"/>
  <c r="L2463" i="2" a="1"/>
  <c r="L2463" i="2" s="1"/>
  <c r="K2465" i="2" a="1"/>
  <c r="K2465" i="2" s="1"/>
  <c r="K2466" i="2" a="1"/>
  <c r="K2466" i="2" s="1"/>
  <c r="M2467" i="2" a="1"/>
  <c r="M2467" i="2" s="1"/>
  <c r="M2468" i="2" a="1"/>
  <c r="M2468" i="2" s="1"/>
  <c r="L2470" i="2" a="1"/>
  <c r="L2470" i="2" s="1"/>
  <c r="L2471" i="2" a="1"/>
  <c r="L2471" i="2" s="1"/>
  <c r="K2473" i="2" a="1"/>
  <c r="K2473" i="2" s="1"/>
  <c r="K2474" i="2" a="1"/>
  <c r="K2474" i="2" s="1"/>
  <c r="M2475" i="2" a="1"/>
  <c r="M2475" i="2" s="1"/>
  <c r="M2476" i="2" a="1"/>
  <c r="M2476" i="2" s="1"/>
  <c r="L2478" i="2" a="1"/>
  <c r="L2478" i="2" s="1"/>
  <c r="L2479" i="2" a="1"/>
  <c r="L2479" i="2" s="1"/>
  <c r="K2481" i="2" a="1"/>
  <c r="K2481" i="2" s="1"/>
  <c r="K2482" i="2" a="1"/>
  <c r="K2482" i="2" s="1"/>
  <c r="M2483" i="2" a="1"/>
  <c r="M2483" i="2" s="1"/>
  <c r="M2484" i="2" a="1"/>
  <c r="M2484" i="2" s="1"/>
  <c r="L2486" i="2" a="1"/>
  <c r="L2486" i="2" s="1"/>
  <c r="L2487" i="2" a="1"/>
  <c r="L2487" i="2" s="1"/>
  <c r="K2489" i="2" a="1"/>
  <c r="K2489" i="2" s="1"/>
  <c r="K2490" i="2" a="1"/>
  <c r="K2490" i="2" s="1"/>
  <c r="M2491" i="2" a="1"/>
  <c r="M2491" i="2" s="1"/>
  <c r="M2492" i="2" a="1"/>
  <c r="M2492" i="2" s="1"/>
  <c r="L2494" i="2" a="1"/>
  <c r="L2494" i="2" s="1"/>
  <c r="L2495" i="2" a="1"/>
  <c r="L2495" i="2" s="1"/>
  <c r="K2497" i="2" a="1"/>
  <c r="K2497" i="2" s="1"/>
  <c r="K2498" i="2" a="1"/>
  <c r="K2498" i="2" s="1"/>
  <c r="M2499" i="2" a="1"/>
  <c r="M2499" i="2" s="1"/>
  <c r="M2500" i="2" a="1"/>
  <c r="M2500" i="2" s="1"/>
  <c r="L2502" i="2" a="1"/>
  <c r="L2502" i="2" s="1"/>
  <c r="L2503" i="2" a="1"/>
  <c r="L2503" i="2" s="1"/>
  <c r="K2505" i="2" a="1"/>
  <c r="K2505" i="2" s="1"/>
  <c r="K2506" i="2" a="1"/>
  <c r="K2506" i="2" s="1"/>
  <c r="M2507" i="2" a="1"/>
  <c r="M2507" i="2" s="1"/>
  <c r="M2508" i="2" a="1"/>
  <c r="M2508" i="2" s="1"/>
  <c r="L2510" i="2" a="1"/>
  <c r="L2510" i="2" s="1"/>
  <c r="L2511" i="2" a="1"/>
  <c r="L2511" i="2" s="1"/>
  <c r="K2513" i="2" a="1"/>
  <c r="K2513" i="2" s="1"/>
  <c r="K2514" i="2" a="1"/>
  <c r="K2514" i="2" s="1"/>
  <c r="M2515" i="2" a="1"/>
  <c r="M2515" i="2" s="1"/>
  <c r="M2516" i="2" a="1"/>
  <c r="M2516" i="2" s="1"/>
  <c r="L2518" i="2" a="1"/>
  <c r="L2518" i="2" s="1"/>
  <c r="L2519" i="2" a="1"/>
  <c r="L2519" i="2" s="1"/>
  <c r="K2521" i="2" a="1"/>
  <c r="K2521" i="2" s="1"/>
  <c r="K2522" i="2" a="1"/>
  <c r="K2522" i="2" s="1"/>
  <c r="M2523" i="2" a="1"/>
  <c r="M2523" i="2" s="1"/>
  <c r="M2524" i="2" a="1"/>
  <c r="M2524" i="2" s="1"/>
  <c r="L2526" i="2" a="1"/>
  <c r="L2526" i="2" s="1"/>
  <c r="L2527" i="2" a="1"/>
  <c r="L2527" i="2" s="1"/>
  <c r="K2529" i="2" a="1"/>
  <c r="K2529" i="2" s="1"/>
  <c r="K2530" i="2" a="1"/>
  <c r="K2530" i="2" s="1"/>
  <c r="M2531" i="2" a="1"/>
  <c r="M2531" i="2" s="1"/>
  <c r="M2532" i="2" a="1"/>
  <c r="M2532" i="2" s="1"/>
  <c r="L2534" i="2" a="1"/>
  <c r="L2534" i="2" s="1"/>
  <c r="L2535" i="2" a="1"/>
  <c r="L2535" i="2" s="1"/>
  <c r="K2537" i="2" a="1"/>
  <c r="K2537" i="2" s="1"/>
  <c r="K2538" i="2" a="1"/>
  <c r="K2538" i="2" s="1"/>
  <c r="M2539" i="2" a="1"/>
  <c r="M2539" i="2" s="1"/>
  <c r="M2540" i="2" a="1"/>
  <c r="M2540" i="2" s="1"/>
  <c r="L2542" i="2" a="1"/>
  <c r="L2542" i="2" s="1"/>
  <c r="L2543" i="2" a="1"/>
  <c r="L2543" i="2" s="1"/>
  <c r="K2545" i="2" a="1"/>
  <c r="K2545" i="2" s="1"/>
  <c r="K2546" i="2" a="1"/>
  <c r="K2546" i="2" s="1"/>
  <c r="M2547" i="2" a="1"/>
  <c r="M2547" i="2" s="1"/>
  <c r="M2548" i="2" a="1"/>
  <c r="M2548" i="2" s="1"/>
  <c r="L2550" i="2" a="1"/>
  <c r="L2550" i="2" s="1"/>
  <c r="L2551" i="2" a="1"/>
  <c r="L2551" i="2" s="1"/>
  <c r="K2553" i="2" a="1"/>
  <c r="K2553" i="2" s="1"/>
  <c r="K2554" i="2" a="1"/>
  <c r="K2554" i="2" s="1"/>
  <c r="M2555" i="2" a="1"/>
  <c r="M2555" i="2" s="1"/>
  <c r="M2556" i="2" a="1"/>
  <c r="M2556" i="2" s="1"/>
  <c r="L2558" i="2" a="1"/>
  <c r="L2558" i="2" s="1"/>
  <c r="L2559" i="2" a="1"/>
  <c r="L2559" i="2" s="1"/>
  <c r="K2561" i="2" a="1"/>
  <c r="K2561" i="2" s="1"/>
  <c r="K2562" i="2" a="1"/>
  <c r="K2562" i="2" s="1"/>
  <c r="M2563" i="2" a="1"/>
  <c r="M2563" i="2" s="1"/>
  <c r="M2564" i="2" a="1"/>
  <c r="M2564" i="2" s="1"/>
  <c r="L2566" i="2" a="1"/>
  <c r="L2566" i="2" s="1"/>
  <c r="L2567" i="2" a="1"/>
  <c r="L2567" i="2" s="1"/>
  <c r="K2569" i="2" a="1"/>
  <c r="K2569" i="2" s="1"/>
  <c r="K2570" i="2" a="1"/>
  <c r="K2570" i="2" s="1"/>
  <c r="M2571" i="2" a="1"/>
  <c r="M2571" i="2" s="1"/>
  <c r="M2572" i="2" a="1"/>
  <c r="M2572" i="2" s="1"/>
  <c r="L2574" i="2" a="1"/>
  <c r="L2574" i="2" s="1"/>
  <c r="L2575" i="2" a="1"/>
  <c r="L2575" i="2" s="1"/>
  <c r="K2577" i="2" a="1"/>
  <c r="K2577" i="2" s="1"/>
  <c r="K2578" i="2" a="1"/>
  <c r="K2578" i="2" s="1"/>
  <c r="M2579" i="2" a="1"/>
  <c r="M2579" i="2" s="1"/>
  <c r="M2580" i="2" a="1"/>
  <c r="M2580" i="2" s="1"/>
  <c r="L2582" i="2" a="1"/>
  <c r="L2582" i="2" s="1"/>
  <c r="L2583" i="2" a="1"/>
  <c r="L2583" i="2" s="1"/>
  <c r="K2585" i="2" a="1"/>
  <c r="K2585" i="2" s="1"/>
  <c r="K2586" i="2" a="1"/>
  <c r="K2586" i="2" s="1"/>
  <c r="M2587" i="2" a="1"/>
  <c r="M2587" i="2" s="1"/>
  <c r="M2588" i="2" a="1"/>
  <c r="M2588" i="2" s="1"/>
  <c r="L2590" i="2" a="1"/>
  <c r="L2590" i="2" s="1"/>
  <c r="L2591" i="2" a="1"/>
  <c r="L2591" i="2" s="1"/>
  <c r="K2593" i="2" a="1"/>
  <c r="K2593" i="2" s="1"/>
  <c r="K2594" i="2" a="1"/>
  <c r="K2594" i="2" s="1"/>
  <c r="M2595" i="2" a="1"/>
  <c r="M2595" i="2" s="1"/>
  <c r="M2596" i="2" a="1"/>
  <c r="M2596" i="2" s="1"/>
  <c r="L2598" i="2" a="1"/>
  <c r="L2598" i="2" s="1"/>
  <c r="L2599" i="2" a="1"/>
  <c r="L2599" i="2" s="1"/>
  <c r="K2601" i="2" a="1"/>
  <c r="K2601" i="2" s="1"/>
  <c r="K2602" i="2" a="1"/>
  <c r="K2602" i="2" s="1"/>
  <c r="M2603" i="2" a="1"/>
  <c r="M2603" i="2" s="1"/>
  <c r="M2604" i="2" a="1"/>
  <c r="M2604" i="2" s="1"/>
  <c r="L2606" i="2" a="1"/>
  <c r="L2606" i="2" s="1"/>
  <c r="L2607" i="2" a="1"/>
  <c r="L2607" i="2" s="1"/>
  <c r="K2609" i="2" a="1"/>
  <c r="K2609" i="2" s="1"/>
  <c r="K2610" i="2" a="1"/>
  <c r="K2610" i="2" s="1"/>
  <c r="M2611" i="2" a="1"/>
  <c r="M2611" i="2" s="1"/>
  <c r="M2612" i="2" a="1"/>
  <c r="M2612" i="2" s="1"/>
  <c r="L2614" i="2" a="1"/>
  <c r="L2614" i="2" s="1"/>
  <c r="L2615" i="2" a="1"/>
  <c r="L2615" i="2" s="1"/>
  <c r="K2617" i="2" a="1"/>
  <c r="K2617" i="2" s="1"/>
  <c r="K2618" i="2" a="1"/>
  <c r="K2618" i="2" s="1"/>
  <c r="M2619" i="2" a="1"/>
  <c r="M2619" i="2" s="1"/>
  <c r="M2620" i="2" a="1"/>
  <c r="M2620" i="2" s="1"/>
  <c r="L2622" i="2" a="1"/>
  <c r="L2622" i="2" s="1"/>
  <c r="L2623" i="2" a="1"/>
  <c r="L2623" i="2" s="1"/>
  <c r="K2625" i="2" a="1"/>
  <c r="K2625" i="2" s="1"/>
  <c r="K2626" i="2" a="1"/>
  <c r="K2626" i="2" s="1"/>
  <c r="M2627" i="2" a="1"/>
  <c r="M2627" i="2" s="1"/>
  <c r="M2628" i="2" a="1"/>
  <c r="M2628" i="2" s="1"/>
  <c r="L2630" i="2" a="1"/>
  <c r="L2630" i="2" s="1"/>
  <c r="L2631" i="2" a="1"/>
  <c r="L2631" i="2" s="1"/>
  <c r="K2633" i="2" a="1"/>
  <c r="K2633" i="2" s="1"/>
  <c r="K2634" i="2" a="1"/>
  <c r="K2634" i="2" s="1"/>
  <c r="M2635" i="2" a="1"/>
  <c r="M2635" i="2" s="1"/>
  <c r="M2636" i="2" a="1"/>
  <c r="M2636" i="2" s="1"/>
  <c r="L2638" i="2" a="1"/>
  <c r="L2638" i="2" s="1"/>
  <c r="L2639" i="2" a="1"/>
  <c r="L2639" i="2" s="1"/>
  <c r="K2641" i="2" a="1"/>
  <c r="K2641" i="2" s="1"/>
  <c r="K2642" i="2" a="1"/>
  <c r="K2642" i="2" s="1"/>
  <c r="M2643" i="2" a="1"/>
  <c r="M2643" i="2" s="1"/>
  <c r="M2644" i="2" a="1"/>
  <c r="M2644" i="2" s="1"/>
  <c r="L2646" i="2" a="1"/>
  <c r="L2646" i="2" s="1"/>
  <c r="L2647" i="2" a="1"/>
  <c r="L2647" i="2" s="1"/>
  <c r="K2649" i="2" a="1"/>
  <c r="K2649" i="2" s="1"/>
  <c r="K2650" i="2" a="1"/>
  <c r="K2650" i="2" s="1"/>
  <c r="M2651" i="2" a="1"/>
  <c r="M2651" i="2" s="1"/>
  <c r="M2652" i="2" a="1"/>
  <c r="M2652" i="2" s="1"/>
  <c r="L2654" i="2" a="1"/>
  <c r="L2654" i="2" s="1"/>
  <c r="L2655" i="2" a="1"/>
  <c r="L2655" i="2" s="1"/>
  <c r="K2657" i="2" a="1"/>
  <c r="K2657" i="2" s="1"/>
  <c r="K2658" i="2" a="1"/>
  <c r="K2658" i="2" s="1"/>
  <c r="M2659" i="2" a="1"/>
  <c r="M2659" i="2" s="1"/>
  <c r="M2660" i="2" a="1"/>
  <c r="M2660" i="2" s="1"/>
  <c r="L2662" i="2" a="1"/>
  <c r="L2662" i="2" s="1"/>
  <c r="L2663" i="2" a="1"/>
  <c r="L2663" i="2" s="1"/>
  <c r="K2665" i="2" a="1"/>
  <c r="K2665" i="2" s="1"/>
  <c r="K2666" i="2" a="1"/>
  <c r="K2666" i="2" s="1"/>
  <c r="M2667" i="2" a="1"/>
  <c r="M2667" i="2" s="1"/>
  <c r="M2668" i="2" a="1"/>
  <c r="M2668" i="2" s="1"/>
  <c r="L2670" i="2" a="1"/>
  <c r="L2670" i="2" s="1"/>
  <c r="L2671" i="2" a="1"/>
  <c r="L2671" i="2" s="1"/>
  <c r="K2673" i="2" a="1"/>
  <c r="K2673" i="2" s="1"/>
  <c r="K2674" i="2" a="1"/>
  <c r="K2674" i="2" s="1"/>
  <c r="M2675" i="2" a="1"/>
  <c r="M2675" i="2" s="1"/>
  <c r="M2676" i="2" a="1"/>
  <c r="M2676" i="2" s="1"/>
  <c r="L2678" i="2" a="1"/>
  <c r="L2678" i="2" s="1"/>
  <c r="L2679" i="2" a="1"/>
  <c r="L2679" i="2" s="1"/>
  <c r="K2681" i="2" a="1"/>
  <c r="K2681" i="2" s="1"/>
  <c r="K2682" i="2" a="1"/>
  <c r="K2682" i="2" s="1"/>
  <c r="M2683" i="2" a="1"/>
  <c r="M2683" i="2" s="1"/>
  <c r="M2684" i="2" a="1"/>
  <c r="M2684" i="2" s="1"/>
  <c r="L2686" i="2" a="1"/>
  <c r="L2686" i="2" s="1"/>
  <c r="L2687" i="2" a="1"/>
  <c r="L2687" i="2" s="1"/>
  <c r="K2689" i="2" a="1"/>
  <c r="K2689" i="2" s="1"/>
  <c r="K2690" i="2" a="1"/>
  <c r="K2690" i="2" s="1"/>
  <c r="M2691" i="2" a="1"/>
  <c r="M2691" i="2" s="1"/>
  <c r="M2692" i="2" a="1"/>
  <c r="M2692" i="2" s="1"/>
  <c r="L2694" i="2" a="1"/>
  <c r="L2694" i="2" s="1"/>
  <c r="L2695" i="2" a="1"/>
  <c r="L2695" i="2" s="1"/>
  <c r="K2697" i="2" a="1"/>
  <c r="K2697" i="2" s="1"/>
  <c r="K2698" i="2" a="1"/>
  <c r="K2698" i="2" s="1"/>
  <c r="M2699" i="2" a="1"/>
  <c r="M2699" i="2" s="1"/>
  <c r="M2700" i="2" a="1"/>
  <c r="M2700" i="2" s="1"/>
  <c r="L2702" i="2" a="1"/>
  <c r="L2702" i="2" s="1"/>
  <c r="L2703" i="2" a="1"/>
  <c r="L2703" i="2" s="1"/>
  <c r="K2705" i="2" a="1"/>
  <c r="K2705" i="2" s="1"/>
  <c r="K2706" i="2" a="1"/>
  <c r="K2706" i="2" s="1"/>
  <c r="M2707" i="2" a="1"/>
  <c r="M2707" i="2" s="1"/>
  <c r="M2708" i="2" a="1"/>
  <c r="M2708" i="2" s="1"/>
  <c r="L2710" i="2" a="1"/>
  <c r="L2710" i="2" s="1"/>
  <c r="L2711" i="2" a="1"/>
  <c r="L2711" i="2" s="1"/>
  <c r="K2713" i="2" a="1"/>
  <c r="K2713" i="2" s="1"/>
  <c r="K2714" i="2" a="1"/>
  <c r="K2714" i="2" s="1"/>
  <c r="M2715" i="2" a="1"/>
  <c r="M2715" i="2" s="1"/>
  <c r="M2716" i="2" a="1"/>
  <c r="M2716" i="2" s="1"/>
  <c r="L2718" i="2" a="1"/>
  <c r="L2718" i="2" s="1"/>
  <c r="L2719" i="2" a="1"/>
  <c r="L2719" i="2" s="1"/>
  <c r="K2721" i="2" a="1"/>
  <c r="K2721" i="2" s="1"/>
  <c r="K2722" i="2" a="1"/>
  <c r="K2722" i="2" s="1"/>
  <c r="M2723" i="2" a="1"/>
  <c r="M2723" i="2" s="1"/>
  <c r="M2724" i="2" a="1"/>
  <c r="M2724" i="2" s="1"/>
  <c r="L2726" i="2" a="1"/>
  <c r="L2726" i="2" s="1"/>
  <c r="L2727" i="2" a="1"/>
  <c r="L2727" i="2" s="1"/>
  <c r="K2729" i="2" a="1"/>
  <c r="K2729" i="2" s="1"/>
  <c r="K2730" i="2" a="1"/>
  <c r="K2730" i="2" s="1"/>
  <c r="M2731" i="2" a="1"/>
  <c r="M2731" i="2" s="1"/>
  <c r="L2732" i="2" a="1"/>
  <c r="L2732" i="2" s="1"/>
  <c r="L2733" i="2" a="1"/>
  <c r="L2733" i="2" s="1"/>
  <c r="K2735" i="2" a="1"/>
  <c r="K2735" i="2" s="1"/>
  <c r="K2736" i="2" a="1"/>
  <c r="K2736" i="2" s="1"/>
  <c r="M2737" i="2" a="1"/>
  <c r="M2737" i="2" s="1"/>
  <c r="M2738" i="2" a="1"/>
  <c r="M2738" i="2" s="1"/>
  <c r="L2740" i="2" a="1"/>
  <c r="L2740" i="2" s="1"/>
  <c r="L2741" i="2" a="1"/>
  <c r="L2741" i="2" s="1"/>
  <c r="K2743" i="2" a="1"/>
  <c r="K2743" i="2" s="1"/>
  <c r="K2744" i="2" a="1"/>
  <c r="K2744" i="2" s="1"/>
  <c r="M2745" i="2" a="1"/>
  <c r="M2745" i="2" s="1"/>
  <c r="M2746" i="2" a="1"/>
  <c r="M2746" i="2" s="1"/>
  <c r="L2748" i="2" a="1"/>
  <c r="L2748" i="2" s="1"/>
  <c r="L2749" i="2" a="1"/>
  <c r="L2749" i="2" s="1"/>
  <c r="K2751" i="2" a="1"/>
  <c r="K2751" i="2" s="1"/>
  <c r="K2752" i="2" a="1"/>
  <c r="K2752" i="2" s="1"/>
  <c r="M2753" i="2" a="1"/>
  <c r="M2753" i="2" s="1"/>
  <c r="M2754" i="2" a="1"/>
  <c r="M2754" i="2" s="1"/>
  <c r="L2756" i="2" a="1"/>
  <c r="L2756" i="2" s="1"/>
  <c r="L2757" i="2" a="1"/>
  <c r="L2757" i="2" s="1"/>
  <c r="K2759" i="2" a="1"/>
  <c r="K2759" i="2" s="1"/>
  <c r="K2760" i="2" a="1"/>
  <c r="K2760" i="2" s="1"/>
  <c r="M2761" i="2" a="1"/>
  <c r="M2761" i="2" s="1"/>
  <c r="M2762" i="2" a="1"/>
  <c r="M2762" i="2" s="1"/>
  <c r="L2764" i="2" a="1"/>
  <c r="L2764" i="2" s="1"/>
  <c r="L2765" i="2" a="1"/>
  <c r="L2765" i="2" s="1"/>
  <c r="K2767" i="2" a="1"/>
  <c r="K2767" i="2" s="1"/>
  <c r="K2768" i="2" a="1"/>
  <c r="K2768" i="2" s="1"/>
  <c r="M2769" i="2" a="1"/>
  <c r="M2769" i="2" s="1"/>
  <c r="M2770" i="2" a="1"/>
  <c r="M2770" i="2" s="1"/>
  <c r="L2772" i="2" a="1"/>
  <c r="L2772" i="2" s="1"/>
  <c r="L2773" i="2" a="1"/>
  <c r="L2773" i="2" s="1"/>
  <c r="K2775" i="2" a="1"/>
  <c r="K2775" i="2" s="1"/>
  <c r="K2776" i="2" a="1"/>
  <c r="K2776" i="2" s="1"/>
  <c r="M2777" i="2" a="1"/>
  <c r="M2777" i="2" s="1"/>
  <c r="M2778" i="2" a="1"/>
  <c r="M2778" i="2" s="1"/>
  <c r="L2780" i="2" a="1"/>
  <c r="L2780" i="2" s="1"/>
  <c r="L2781" i="2" a="1"/>
  <c r="L2781" i="2" s="1"/>
  <c r="K2783" i="2" a="1"/>
  <c r="K2783" i="2" s="1"/>
  <c r="K2784" i="2" a="1"/>
  <c r="K2784" i="2" s="1"/>
  <c r="M2785" i="2" a="1"/>
  <c r="M2785" i="2" s="1"/>
  <c r="M2786" i="2" a="1"/>
  <c r="M2786" i="2" s="1"/>
  <c r="L2788" i="2" a="1"/>
  <c r="L2788" i="2" s="1"/>
  <c r="L2789" i="2" a="1"/>
  <c r="L2789" i="2" s="1"/>
  <c r="K2791" i="2" a="1"/>
  <c r="K2791" i="2" s="1"/>
  <c r="K2792" i="2" a="1"/>
  <c r="K2792" i="2" s="1"/>
  <c r="M2793" i="2" a="1"/>
  <c r="M2793" i="2" s="1"/>
  <c r="M2794" i="2" a="1"/>
  <c r="M2794" i="2" s="1"/>
  <c r="L2796" i="2" a="1"/>
  <c r="L2796" i="2" s="1"/>
  <c r="L2797" i="2" a="1"/>
  <c r="L2797" i="2" s="1"/>
  <c r="K2799" i="2" a="1"/>
  <c r="K2799" i="2" s="1"/>
  <c r="K2800" i="2" a="1"/>
  <c r="K2800" i="2" s="1"/>
  <c r="M2801" i="2" a="1"/>
  <c r="M2801" i="2" s="1"/>
  <c r="M2802" i="2" a="1"/>
  <c r="M2802" i="2" s="1"/>
  <c r="L2804" i="2" a="1"/>
  <c r="L2804" i="2" s="1"/>
  <c r="L2805" i="2" a="1"/>
  <c r="L2805" i="2" s="1"/>
  <c r="K2807" i="2" a="1"/>
  <c r="K2807" i="2" s="1"/>
  <c r="K2808" i="2" a="1"/>
  <c r="K2808" i="2" s="1"/>
  <c r="M2809" i="2" a="1"/>
  <c r="M2809" i="2" s="1"/>
  <c r="M2810" i="2" a="1"/>
  <c r="M2810" i="2" s="1"/>
  <c r="L2812" i="2" a="1"/>
  <c r="L2812" i="2" s="1"/>
  <c r="L2813" i="2" a="1"/>
  <c r="L2813" i="2" s="1"/>
  <c r="K2815" i="2" a="1"/>
  <c r="K2815" i="2" s="1"/>
  <c r="K2816" i="2" a="1"/>
  <c r="K2816" i="2" s="1"/>
  <c r="M2817" i="2" a="1"/>
  <c r="M2817" i="2" s="1"/>
  <c r="M2818" i="2" a="1"/>
  <c r="M2818" i="2" s="1"/>
  <c r="L2820" i="2" a="1"/>
  <c r="L2820" i="2" s="1"/>
  <c r="L2821" i="2" a="1"/>
  <c r="L2821" i="2" s="1"/>
  <c r="K2823" i="2" a="1"/>
  <c r="K2823" i="2" s="1"/>
  <c r="K2824" i="2" a="1"/>
  <c r="K2824" i="2" s="1"/>
  <c r="M2825" i="2" a="1"/>
  <c r="M2825" i="2" s="1"/>
  <c r="M2826" i="2" a="1"/>
  <c r="M2826" i="2" s="1"/>
  <c r="L2828" i="2" a="1"/>
  <c r="L2828" i="2" s="1"/>
  <c r="L2829" i="2" a="1"/>
  <c r="L2829" i="2" s="1"/>
  <c r="K2831" i="2" a="1"/>
  <c r="K2831" i="2" s="1"/>
  <c r="K2832" i="2" a="1"/>
  <c r="K2832" i="2" s="1"/>
  <c r="M2833" i="2" a="1"/>
  <c r="M2833" i="2" s="1"/>
  <c r="M2834" i="2" a="1"/>
  <c r="M2834" i="2" s="1"/>
  <c r="L2836" i="2" a="1"/>
  <c r="L2836" i="2" s="1"/>
  <c r="L2837" i="2" a="1"/>
  <c r="L2837" i="2" s="1"/>
  <c r="K2839" i="2" a="1"/>
  <c r="K2839" i="2" s="1"/>
  <c r="K2840" i="2" a="1"/>
  <c r="K2840" i="2" s="1"/>
  <c r="M2841" i="2" a="1"/>
  <c r="M2841" i="2" s="1"/>
  <c r="M2842" i="2" a="1"/>
  <c r="M2842" i="2" s="1"/>
  <c r="L2844" i="2" a="1"/>
  <c r="L2844" i="2" s="1"/>
  <c r="L2845" i="2" a="1"/>
  <c r="L2845" i="2" s="1"/>
  <c r="K2847" i="2" a="1"/>
  <c r="K2847" i="2" s="1"/>
  <c r="K2848" i="2" a="1"/>
  <c r="K2848" i="2" s="1"/>
  <c r="M2849" i="2" a="1"/>
  <c r="M2849" i="2" s="1"/>
  <c r="M2850" i="2" a="1"/>
  <c r="M2850" i="2" s="1"/>
  <c r="L2852" i="2" a="1"/>
  <c r="L2852" i="2" s="1"/>
  <c r="L2853" i="2" a="1"/>
  <c r="L2853" i="2" s="1"/>
  <c r="K2855" i="2" a="1"/>
  <c r="K2855" i="2" s="1"/>
  <c r="K2856" i="2" a="1"/>
  <c r="K2856" i="2" s="1"/>
  <c r="M2857" i="2" a="1"/>
  <c r="M2857" i="2" s="1"/>
  <c r="M2858" i="2" a="1"/>
  <c r="M2858" i="2" s="1"/>
  <c r="L2860" i="2" a="1"/>
  <c r="L2860" i="2" s="1"/>
  <c r="L2861" i="2" a="1"/>
  <c r="L2861" i="2" s="1"/>
  <c r="K2863" i="2" a="1"/>
  <c r="K2863" i="2" s="1"/>
  <c r="K2864" i="2" a="1"/>
  <c r="K2864" i="2" s="1"/>
  <c r="M2865" i="2" a="1"/>
  <c r="M2865" i="2" s="1"/>
  <c r="M2866" i="2" a="1"/>
  <c r="M2866" i="2" s="1"/>
  <c r="L2868" i="2" a="1"/>
  <c r="L2868" i="2" s="1"/>
  <c r="L2869" i="2" a="1"/>
  <c r="L2869" i="2" s="1"/>
  <c r="K2871" i="2" a="1"/>
  <c r="K2871" i="2" s="1"/>
  <c r="K2872" i="2" a="1"/>
  <c r="K2872" i="2" s="1"/>
  <c r="M2873" i="2" a="1"/>
  <c r="M2873" i="2" s="1"/>
  <c r="M2874" i="2" a="1"/>
  <c r="M2874" i="2" s="1"/>
  <c r="L2876" i="2" a="1"/>
  <c r="L2876" i="2" s="1"/>
  <c r="L2877" i="2" a="1"/>
  <c r="L2877" i="2" s="1"/>
  <c r="K2879" i="2" a="1"/>
  <c r="K2879" i="2" s="1"/>
  <c r="K2880" i="2" a="1"/>
  <c r="K2880" i="2" s="1"/>
  <c r="M2881" i="2" a="1"/>
  <c r="M2881" i="2" s="1"/>
  <c r="M2882" i="2" a="1"/>
  <c r="M2882" i="2" s="1"/>
  <c r="L2884" i="2" a="1"/>
  <c r="L2884" i="2" s="1"/>
  <c r="L2885" i="2" a="1"/>
  <c r="L2885" i="2" s="1"/>
  <c r="K2887" i="2" a="1"/>
  <c r="K2887" i="2" s="1"/>
  <c r="K2888" i="2" a="1"/>
  <c r="K2888" i="2" s="1"/>
  <c r="M2889" i="2" a="1"/>
  <c r="M2889" i="2" s="1"/>
  <c r="M2890" i="2" a="1"/>
  <c r="M2890" i="2" s="1"/>
  <c r="L2892" i="2" a="1"/>
  <c r="L2892" i="2" s="1"/>
  <c r="L2893" i="2" a="1"/>
  <c r="L2893" i="2" s="1"/>
  <c r="K2895" i="2" a="1"/>
  <c r="K2895" i="2" s="1"/>
  <c r="K2896" i="2" a="1"/>
  <c r="K2896" i="2" s="1"/>
  <c r="M2897" i="2" a="1"/>
  <c r="M2897" i="2" s="1"/>
  <c r="M2898" i="2" a="1"/>
  <c r="M2898" i="2" s="1"/>
  <c r="L2900" i="2" a="1"/>
  <c r="L2900" i="2" s="1"/>
  <c r="L2901" i="2" a="1"/>
  <c r="L2901" i="2" s="1"/>
  <c r="K2903" i="2" a="1"/>
  <c r="K2903" i="2" s="1"/>
  <c r="K2904" i="2" a="1"/>
  <c r="K2904" i="2" s="1"/>
  <c r="M2905" i="2" a="1"/>
  <c r="M2905" i="2" s="1"/>
  <c r="M2906" i="2" a="1"/>
  <c r="M2906" i="2" s="1"/>
  <c r="L2908" i="2" a="1"/>
  <c r="L2908" i="2" s="1"/>
  <c r="L2909" i="2" a="1"/>
  <c r="L2909" i="2" s="1"/>
  <c r="K2911" i="2" a="1"/>
  <c r="K2911" i="2" s="1"/>
  <c r="K2912" i="2" a="1"/>
  <c r="K2912" i="2" s="1"/>
  <c r="M2913" i="2" a="1"/>
  <c r="M2913" i="2" s="1"/>
  <c r="M2914" i="2" a="1"/>
  <c r="M2914" i="2" s="1"/>
  <c r="L2916" i="2" a="1"/>
  <c r="L2916" i="2" s="1"/>
  <c r="L2917" i="2" a="1"/>
  <c r="L2917" i="2" s="1"/>
  <c r="K2919" i="2" a="1"/>
  <c r="K2919" i="2" s="1"/>
  <c r="K2920" i="2" a="1"/>
  <c r="K2920" i="2" s="1"/>
  <c r="M2921" i="2" a="1"/>
  <c r="M2921" i="2" s="1"/>
  <c r="M2922" i="2" a="1"/>
  <c r="M2922" i="2" s="1"/>
  <c r="L2924" i="2" a="1"/>
  <c r="L2924" i="2" s="1"/>
  <c r="L2925" i="2" a="1"/>
  <c r="L2925" i="2" s="1"/>
  <c r="K2927" i="2" a="1"/>
  <c r="K2927" i="2" s="1"/>
  <c r="K2928" i="2" a="1"/>
  <c r="K2928" i="2" s="1"/>
  <c r="M2929" i="2" a="1"/>
  <c r="M2929" i="2" s="1"/>
  <c r="M2930" i="2" a="1"/>
  <c r="M2930" i="2" s="1"/>
  <c r="L2932" i="2" a="1"/>
  <c r="L2932" i="2" s="1"/>
  <c r="L2933" i="2" a="1"/>
  <c r="L2933" i="2" s="1"/>
  <c r="K2935" i="2" a="1"/>
  <c r="K2935" i="2" s="1"/>
  <c r="K2936" i="2" a="1"/>
  <c r="K2936" i="2" s="1"/>
  <c r="M2937" i="2" a="1"/>
  <c r="M2937" i="2" s="1"/>
  <c r="M2938" i="2" a="1"/>
  <c r="M2938" i="2" s="1"/>
  <c r="L2940" i="2" a="1"/>
  <c r="L2940" i="2" s="1"/>
  <c r="L2941" i="2" a="1"/>
  <c r="L2941" i="2" s="1"/>
  <c r="K2943" i="2" a="1"/>
  <c r="K2943" i="2" s="1"/>
  <c r="K2944" i="2" a="1"/>
  <c r="K2944" i="2" s="1"/>
  <c r="M2945" i="2" a="1"/>
  <c r="M2945" i="2" s="1"/>
  <c r="M2946" i="2" a="1"/>
  <c r="M2946" i="2" s="1"/>
  <c r="L2948" i="2" a="1"/>
  <c r="L2948" i="2" s="1"/>
  <c r="L2949" i="2" a="1"/>
  <c r="L2949" i="2" s="1"/>
  <c r="K2951" i="2" a="1"/>
  <c r="K2951" i="2" s="1"/>
  <c r="K2952" i="2" a="1"/>
  <c r="K2952" i="2" s="1"/>
  <c r="M2953" i="2" a="1"/>
  <c r="M2953" i="2" s="1"/>
  <c r="M2954" i="2" a="1"/>
  <c r="M2954" i="2" s="1"/>
  <c r="L2956" i="2" a="1"/>
  <c r="L2956" i="2" s="1"/>
  <c r="L2957" i="2" a="1"/>
  <c r="L2957" i="2" s="1"/>
  <c r="K2959" i="2" a="1"/>
  <c r="K2959" i="2" s="1"/>
  <c r="K2960" i="2" a="1"/>
  <c r="K2960" i="2" s="1"/>
  <c r="M2961" i="2" a="1"/>
  <c r="M2961" i="2" s="1"/>
  <c r="M2962" i="2" a="1"/>
  <c r="M2962" i="2" s="1"/>
  <c r="L2964" i="2" a="1"/>
  <c r="L2964" i="2" s="1"/>
  <c r="L2965" i="2" a="1"/>
  <c r="L2965" i="2" s="1"/>
  <c r="K2967" i="2" a="1"/>
  <c r="K2967" i="2" s="1"/>
  <c r="K2968" i="2" a="1"/>
  <c r="K2968" i="2" s="1"/>
  <c r="M2969" i="2" a="1"/>
  <c r="M2969" i="2" s="1"/>
  <c r="M2970" i="2" a="1"/>
  <c r="M2970" i="2" s="1"/>
  <c r="L2972" i="2" a="1"/>
  <c r="L2972" i="2" s="1"/>
  <c r="L2973" i="2" a="1"/>
  <c r="L2973" i="2" s="1"/>
  <c r="K2975" i="2" a="1"/>
  <c r="K2975" i="2" s="1"/>
  <c r="K2976" i="2" a="1"/>
  <c r="K2976" i="2" s="1"/>
  <c r="M2977" i="2" a="1"/>
  <c r="M2977" i="2" s="1"/>
  <c r="M2978" i="2" a="1"/>
  <c r="M2978" i="2" s="1"/>
  <c r="L2980" i="2" a="1"/>
  <c r="L2980" i="2" s="1"/>
  <c r="L2981" i="2" a="1"/>
  <c r="L2981" i="2" s="1"/>
  <c r="K2983" i="2" a="1"/>
  <c r="K2983" i="2" s="1"/>
  <c r="K2984" i="2" a="1"/>
  <c r="K2984" i="2" s="1"/>
  <c r="M2985" i="2" a="1"/>
  <c r="M2985" i="2" s="1"/>
  <c r="M2986" i="2" a="1"/>
  <c r="M2986" i="2" s="1"/>
  <c r="L2988" i="2" a="1"/>
  <c r="L2988" i="2" s="1"/>
  <c r="L2989" i="2" a="1"/>
  <c r="L2989" i="2" s="1"/>
  <c r="K2991" i="2" a="1"/>
  <c r="K2991" i="2" s="1"/>
  <c r="K2992" i="2" a="1"/>
  <c r="K2992" i="2" s="1"/>
  <c r="M2993" i="2" a="1"/>
  <c r="M2993" i="2" s="1"/>
  <c r="M2994" i="2" a="1"/>
  <c r="M2994" i="2" s="1"/>
  <c r="L2996" i="2" a="1"/>
  <c r="L2996" i="2" s="1"/>
  <c r="L2997" i="2" a="1"/>
  <c r="L2997" i="2" s="1"/>
  <c r="K2999" i="2" a="1"/>
  <c r="K2999" i="2" s="1"/>
  <c r="K3000" i="2" a="1"/>
  <c r="K3000" i="2" s="1"/>
  <c r="M3001" i="2" a="1"/>
  <c r="M3001" i="2" s="1"/>
  <c r="M3002" i="2" a="1"/>
  <c r="M3002" i="2" s="1"/>
  <c r="L3004" i="2" a="1"/>
  <c r="L3004" i="2" s="1"/>
  <c r="L3005" i="2" a="1"/>
  <c r="L3005" i="2" s="1"/>
  <c r="K3007" i="2" a="1"/>
  <c r="K3007" i="2" s="1"/>
  <c r="K3008" i="2" a="1"/>
  <c r="K3008" i="2" s="1"/>
  <c r="M3009" i="2" a="1"/>
  <c r="M3009" i="2" s="1"/>
  <c r="M3010" i="2" a="1"/>
  <c r="M3010" i="2" s="1"/>
  <c r="L3012" i="2" a="1"/>
  <c r="L3012" i="2" s="1"/>
  <c r="L3013" i="2" a="1"/>
  <c r="L3013" i="2" s="1"/>
  <c r="K3015" i="2" a="1"/>
  <c r="K3015" i="2" s="1"/>
  <c r="K3016" i="2" a="1"/>
  <c r="K3016" i="2" s="1"/>
  <c r="M3017" i="2" a="1"/>
  <c r="M3017" i="2" s="1"/>
  <c r="M3018" i="2" a="1"/>
  <c r="M3018" i="2" s="1"/>
  <c r="L3020" i="2" a="1"/>
  <c r="L3020" i="2" s="1"/>
  <c r="L3021" i="2" a="1"/>
  <c r="L3021" i="2" s="1"/>
  <c r="K3023" i="2" a="1"/>
  <c r="K3023" i="2" s="1"/>
  <c r="K3024" i="2" a="1"/>
  <c r="K3024" i="2" s="1"/>
  <c r="M3025" i="2" a="1"/>
  <c r="M3025" i="2" s="1"/>
  <c r="M3026" i="2" a="1"/>
  <c r="M3026" i="2" s="1"/>
  <c r="L3028" i="2" a="1"/>
  <c r="L3028" i="2" s="1"/>
  <c r="L3029" i="2" a="1"/>
  <c r="L3029" i="2" s="1"/>
  <c r="K3031" i="2" a="1"/>
  <c r="K3031" i="2" s="1"/>
  <c r="K3032" i="2" a="1"/>
  <c r="K3032" i="2" s="1"/>
  <c r="M3033" i="2" a="1"/>
  <c r="M3033" i="2" s="1"/>
  <c r="M3034" i="2" a="1"/>
  <c r="M3034" i="2" s="1"/>
  <c r="L3036" i="2" a="1"/>
  <c r="L3036" i="2" s="1"/>
  <c r="L3037" i="2" a="1"/>
  <c r="L3037" i="2" s="1"/>
  <c r="K3039" i="2" a="1"/>
  <c r="K3039" i="2" s="1"/>
  <c r="K3040" i="2" a="1"/>
  <c r="K3040" i="2" s="1"/>
  <c r="M3041" i="2" a="1"/>
  <c r="M3041" i="2" s="1"/>
  <c r="M3042" i="2" a="1"/>
  <c r="M3042" i="2" s="1"/>
  <c r="L3044" i="2" a="1"/>
  <c r="L3044" i="2" s="1"/>
  <c r="L3045" i="2" a="1"/>
  <c r="L3045" i="2" s="1"/>
  <c r="K3047" i="2" a="1"/>
  <c r="K3047" i="2" s="1"/>
  <c r="K3048" i="2" a="1"/>
  <c r="K3048" i="2" s="1"/>
  <c r="M3049" i="2" a="1"/>
  <c r="M3049" i="2" s="1"/>
  <c r="M3050" i="2" a="1"/>
  <c r="M3050" i="2" s="1"/>
  <c r="L3052" i="2" a="1"/>
  <c r="L3052" i="2" s="1"/>
  <c r="L3053" i="2" a="1"/>
  <c r="L3053" i="2" s="1"/>
  <c r="K3055" i="2" a="1"/>
  <c r="K3055" i="2" s="1"/>
  <c r="K3056" i="2" a="1"/>
  <c r="K3056" i="2" s="1"/>
  <c r="M3057" i="2" a="1"/>
  <c r="M3057" i="2" s="1"/>
  <c r="M3058" i="2" a="1"/>
  <c r="M3058" i="2" s="1"/>
  <c r="L3060" i="2" a="1"/>
  <c r="L3060" i="2" s="1"/>
  <c r="L3061" i="2" a="1"/>
  <c r="L3061" i="2" s="1"/>
  <c r="K3063" i="2" a="1"/>
  <c r="K3063" i="2" s="1"/>
  <c r="K3064" i="2" a="1"/>
  <c r="K3064" i="2" s="1"/>
  <c r="M3065" i="2" a="1"/>
  <c r="M3065" i="2" s="1"/>
  <c r="M3066" i="2" a="1"/>
  <c r="M3066" i="2" s="1"/>
  <c r="L3068" i="2" a="1"/>
  <c r="L3068" i="2" s="1"/>
  <c r="L3069" i="2" a="1"/>
  <c r="L3069" i="2" s="1"/>
  <c r="K3071" i="2" a="1"/>
  <c r="K3071" i="2" s="1"/>
  <c r="K3072" i="2" a="1"/>
  <c r="K3072" i="2" s="1"/>
  <c r="M3073" i="2" a="1"/>
  <c r="M3073" i="2" s="1"/>
  <c r="M3074" i="2" a="1"/>
  <c r="M3074" i="2" s="1"/>
  <c r="L3076" i="2" a="1"/>
  <c r="L3076" i="2" s="1"/>
  <c r="L3077" i="2" a="1"/>
  <c r="L3077" i="2" s="1"/>
  <c r="K3079" i="2" a="1"/>
  <c r="K3079" i="2" s="1"/>
  <c r="K3080" i="2" a="1"/>
  <c r="K3080" i="2" s="1"/>
  <c r="M3081" i="2" a="1"/>
  <c r="M3081" i="2" s="1"/>
  <c r="M3082" i="2" a="1"/>
  <c r="M3082" i="2" s="1"/>
  <c r="L3084" i="2" a="1"/>
  <c r="L3084" i="2" s="1"/>
  <c r="L3085" i="2" a="1"/>
  <c r="L3085" i="2" s="1"/>
  <c r="K3087" i="2" a="1"/>
  <c r="K3087" i="2" s="1"/>
  <c r="K3088" i="2" a="1"/>
  <c r="K3088" i="2" s="1"/>
  <c r="M3089" i="2" a="1"/>
  <c r="M3089" i="2" s="1"/>
  <c r="M3090" i="2" a="1"/>
  <c r="M3090" i="2" s="1"/>
  <c r="L3092" i="2" a="1"/>
  <c r="L3092" i="2" s="1"/>
  <c r="L3093" i="2" a="1"/>
  <c r="L3093" i="2" s="1"/>
  <c r="K3095" i="2" a="1"/>
  <c r="K3095" i="2" s="1"/>
  <c r="K3096" i="2" a="1"/>
  <c r="K3096" i="2" s="1"/>
  <c r="M3097" i="2" a="1"/>
  <c r="M3097" i="2" s="1"/>
  <c r="M3098" i="2" a="1"/>
  <c r="M3098" i="2" s="1"/>
  <c r="L3100" i="2" a="1"/>
  <c r="L3100" i="2" s="1"/>
  <c r="L3101" i="2" a="1"/>
  <c r="L3101" i="2" s="1"/>
  <c r="K3103" i="2" a="1"/>
  <c r="K3103" i="2" s="1"/>
  <c r="K3104" i="2" a="1"/>
  <c r="K3104" i="2" s="1"/>
  <c r="M3105" i="2" a="1"/>
  <c r="M3105" i="2" s="1"/>
  <c r="M3106" i="2" a="1"/>
  <c r="M3106" i="2" s="1"/>
  <c r="L3108" i="2" a="1"/>
  <c r="L3108" i="2" s="1"/>
  <c r="L3109" i="2" a="1"/>
  <c r="L3109" i="2" s="1"/>
  <c r="K3111" i="2" a="1"/>
  <c r="K3111" i="2" s="1"/>
  <c r="K3112" i="2" a="1"/>
  <c r="K3112" i="2" s="1"/>
  <c r="M3113" i="2" a="1"/>
  <c r="M3113" i="2" s="1"/>
  <c r="M3114" i="2" a="1"/>
  <c r="M3114" i="2" s="1"/>
  <c r="L3116" i="2" a="1"/>
  <c r="L3116" i="2" s="1"/>
  <c r="L3117" i="2" a="1"/>
  <c r="L3117" i="2" s="1"/>
  <c r="K3119" i="2" a="1"/>
  <c r="K3119" i="2" s="1"/>
  <c r="K3120" i="2" a="1"/>
  <c r="K3120" i="2" s="1"/>
  <c r="M3121" i="2" a="1"/>
  <c r="M3121" i="2" s="1"/>
  <c r="M3122" i="2" a="1"/>
  <c r="M3122" i="2" s="1"/>
  <c r="L3124" i="2" a="1"/>
  <c r="L3124" i="2" s="1"/>
  <c r="L3125" i="2" a="1"/>
  <c r="L3125" i="2" s="1"/>
  <c r="K3127" i="2" a="1"/>
  <c r="K3127" i="2" s="1"/>
  <c r="K3128" i="2" a="1"/>
  <c r="K3128" i="2" s="1"/>
  <c r="M3129" i="2" a="1"/>
  <c r="M3129" i="2" s="1"/>
  <c r="M3130" i="2" a="1"/>
  <c r="M3130" i="2" s="1"/>
  <c r="M1919" i="2" a="1"/>
  <c r="M1919" i="2" s="1"/>
  <c r="M1920" i="2" a="1"/>
  <c r="M1920" i="2" s="1"/>
  <c r="L1922" i="2" a="1"/>
  <c r="L1922" i="2" s="1"/>
  <c r="L1923" i="2" a="1"/>
  <c r="L1923" i="2" s="1"/>
  <c r="K1925" i="2" a="1"/>
  <c r="K1925" i="2" s="1"/>
  <c r="K1926" i="2" a="1"/>
  <c r="K1926" i="2" s="1"/>
  <c r="M1927" i="2" a="1"/>
  <c r="M1927" i="2" s="1"/>
  <c r="M1928" i="2" a="1"/>
  <c r="M1928" i="2" s="1"/>
  <c r="L1930" i="2" a="1"/>
  <c r="L1930" i="2" s="1"/>
  <c r="L1931" i="2" a="1"/>
  <c r="L1931" i="2" s="1"/>
  <c r="K1933" i="2" a="1"/>
  <c r="K1933" i="2" s="1"/>
  <c r="K1934" i="2" a="1"/>
  <c r="K1934" i="2" s="1"/>
  <c r="M1935" i="2" a="1"/>
  <c r="M1935" i="2" s="1"/>
  <c r="M1936" i="2" a="1"/>
  <c r="M1936" i="2" s="1"/>
  <c r="L1938" i="2" a="1"/>
  <c r="L1938" i="2" s="1"/>
  <c r="L1939" i="2" a="1"/>
  <c r="L1939" i="2" s="1"/>
  <c r="K1941" i="2" a="1"/>
  <c r="K1941" i="2" s="1"/>
  <c r="K1942" i="2" a="1"/>
  <c r="K1942" i="2" s="1"/>
  <c r="M1943" i="2" a="1"/>
  <c r="M1943" i="2" s="1"/>
  <c r="M1944" i="2" a="1"/>
  <c r="M1944" i="2" s="1"/>
  <c r="L1946" i="2" a="1"/>
  <c r="L1946" i="2" s="1"/>
  <c r="L1947" i="2" a="1"/>
  <c r="L1947" i="2" s="1"/>
  <c r="K1949" i="2" a="1"/>
  <c r="K1949" i="2" s="1"/>
  <c r="K1950" i="2" a="1"/>
  <c r="K1950" i="2" s="1"/>
  <c r="M1951" i="2" a="1"/>
  <c r="M1951" i="2" s="1"/>
  <c r="M1952" i="2" a="1"/>
  <c r="M1952" i="2" s="1"/>
  <c r="L1954" i="2" a="1"/>
  <c r="L1954" i="2" s="1"/>
  <c r="L1955" i="2" a="1"/>
  <c r="L1955" i="2" s="1"/>
  <c r="K1957" i="2" a="1"/>
  <c r="K1957" i="2" s="1"/>
  <c r="K1958" i="2" a="1"/>
  <c r="K1958" i="2" s="1"/>
  <c r="M1959" i="2" a="1"/>
  <c r="M1959" i="2" s="1"/>
  <c r="M1960" i="2" a="1"/>
  <c r="M1960" i="2" s="1"/>
  <c r="L1962" i="2" a="1"/>
  <c r="L1962" i="2" s="1"/>
  <c r="L1963" i="2" a="1"/>
  <c r="L1963" i="2" s="1"/>
  <c r="K1965" i="2" a="1"/>
  <c r="K1965" i="2" s="1"/>
  <c r="K1966" i="2" a="1"/>
  <c r="K1966" i="2" s="1"/>
  <c r="M1967" i="2" a="1"/>
  <c r="M1967" i="2" s="1"/>
  <c r="M1968" i="2" a="1"/>
  <c r="M1968" i="2" s="1"/>
  <c r="L1970" i="2" a="1"/>
  <c r="L1970" i="2" s="1"/>
  <c r="L1971" i="2" a="1"/>
  <c r="L1971" i="2" s="1"/>
  <c r="K1973" i="2" a="1"/>
  <c r="K1973" i="2" s="1"/>
  <c r="K1974" i="2" a="1"/>
  <c r="K1974" i="2" s="1"/>
  <c r="M1975" i="2" a="1"/>
  <c r="M1975" i="2" s="1"/>
  <c r="M1976" i="2" a="1"/>
  <c r="M1976" i="2" s="1"/>
  <c r="L1978" i="2" a="1"/>
  <c r="L1978" i="2" s="1"/>
  <c r="L1979" i="2" a="1"/>
  <c r="L1979" i="2" s="1"/>
  <c r="K1981" i="2" a="1"/>
  <c r="K1981" i="2" s="1"/>
  <c r="K1982" i="2" a="1"/>
  <c r="K1982" i="2" s="1"/>
  <c r="M1983" i="2" a="1"/>
  <c r="M1983" i="2" s="1"/>
  <c r="M1984" i="2" a="1"/>
  <c r="M1984" i="2" s="1"/>
  <c r="L1986" i="2" a="1"/>
  <c r="L1986" i="2" s="1"/>
  <c r="L1987" i="2" a="1"/>
  <c r="L1987" i="2" s="1"/>
  <c r="K1989" i="2" a="1"/>
  <c r="K1989" i="2" s="1"/>
  <c r="K1990" i="2" a="1"/>
  <c r="K1990" i="2" s="1"/>
  <c r="M1991" i="2" a="1"/>
  <c r="M1991" i="2" s="1"/>
  <c r="M1992" i="2" a="1"/>
  <c r="M1992" i="2" s="1"/>
  <c r="L1994" i="2" a="1"/>
  <c r="L1994" i="2" s="1"/>
  <c r="L1995" i="2" a="1"/>
  <c r="L1995" i="2" s="1"/>
  <c r="K1997" i="2" a="1"/>
  <c r="K1997" i="2" s="1"/>
  <c r="K1998" i="2" a="1"/>
  <c r="K1998" i="2" s="1"/>
  <c r="M1999" i="2" a="1"/>
  <c r="M1999" i="2" s="1"/>
  <c r="M2000" i="2" a="1"/>
  <c r="M2000" i="2" s="1"/>
  <c r="L2002" i="2" a="1"/>
  <c r="L2002" i="2" s="1"/>
  <c r="L2003" i="2" a="1"/>
  <c r="L2003" i="2" s="1"/>
  <c r="K2005" i="2" a="1"/>
  <c r="K2005" i="2" s="1"/>
  <c r="K2006" i="2" a="1"/>
  <c r="K2006" i="2" s="1"/>
  <c r="M2007" i="2" a="1"/>
  <c r="M2007" i="2" s="1"/>
  <c r="M2008" i="2" a="1"/>
  <c r="M2008" i="2" s="1"/>
  <c r="L2010" i="2" a="1"/>
  <c r="L2010" i="2" s="1"/>
  <c r="L2011" i="2" a="1"/>
  <c r="L2011" i="2" s="1"/>
  <c r="K2013" i="2" a="1"/>
  <c r="K2013" i="2" s="1"/>
  <c r="K2014" i="2" a="1"/>
  <c r="K2014" i="2" s="1"/>
  <c r="M2015" i="2" a="1"/>
  <c r="M2015" i="2" s="1"/>
  <c r="M2016" i="2" a="1"/>
  <c r="M2016" i="2" s="1"/>
  <c r="L2018" i="2" a="1"/>
  <c r="L2018" i="2" s="1"/>
  <c r="L2019" i="2" a="1"/>
  <c r="L2019" i="2" s="1"/>
  <c r="K2021" i="2" a="1"/>
  <c r="K2021" i="2" s="1"/>
  <c r="K2022" i="2" a="1"/>
  <c r="K2022" i="2" s="1"/>
  <c r="M2023" i="2" a="1"/>
  <c r="M2023" i="2" s="1"/>
  <c r="M2024" i="2" a="1"/>
  <c r="M2024" i="2" s="1"/>
  <c r="L2026" i="2" a="1"/>
  <c r="L2026" i="2" s="1"/>
  <c r="L2027" i="2" a="1"/>
  <c r="L2027" i="2" s="1"/>
  <c r="K2029" i="2" a="1"/>
  <c r="K2029" i="2" s="1"/>
  <c r="K2030" i="2" a="1"/>
  <c r="K2030" i="2" s="1"/>
  <c r="M2031" i="2" a="1"/>
  <c r="M2031" i="2" s="1"/>
  <c r="M2032" i="2" a="1"/>
  <c r="M2032" i="2" s="1"/>
  <c r="L2034" i="2" a="1"/>
  <c r="L2034" i="2" s="1"/>
  <c r="L2035" i="2" a="1"/>
  <c r="L2035" i="2" s="1"/>
  <c r="K2037" i="2" a="1"/>
  <c r="K2037" i="2" s="1"/>
  <c r="K2038" i="2" a="1"/>
  <c r="K2038" i="2" s="1"/>
  <c r="M2039" i="2" a="1"/>
  <c r="M2039" i="2" s="1"/>
  <c r="M2040" i="2" a="1"/>
  <c r="M2040" i="2" s="1"/>
  <c r="L2042" i="2" a="1"/>
  <c r="L2042" i="2" s="1"/>
  <c r="L2043" i="2" a="1"/>
  <c r="L2043" i="2" s="1"/>
  <c r="K2045" i="2" a="1"/>
  <c r="K2045" i="2" s="1"/>
  <c r="K2046" i="2" a="1"/>
  <c r="K2046" i="2" s="1"/>
  <c r="M2047" i="2" a="1"/>
  <c r="M2047" i="2" s="1"/>
  <c r="M2048" i="2" a="1"/>
  <c r="M2048" i="2" s="1"/>
  <c r="L2050" i="2" a="1"/>
  <c r="L2050" i="2" s="1"/>
  <c r="L2051" i="2" a="1"/>
  <c r="L2051" i="2" s="1"/>
  <c r="K2053" i="2" a="1"/>
  <c r="K2053" i="2" s="1"/>
  <c r="K2054" i="2" a="1"/>
  <c r="K2054" i="2" s="1"/>
  <c r="M2055" i="2" a="1"/>
  <c r="M2055" i="2" s="1"/>
  <c r="M2056" i="2" a="1"/>
  <c r="M2056" i="2" s="1"/>
  <c r="L2058" i="2" a="1"/>
  <c r="L2058" i="2" s="1"/>
  <c r="L2059" i="2" a="1"/>
  <c r="L2059" i="2" s="1"/>
  <c r="K2061" i="2" a="1"/>
  <c r="K2061" i="2" s="1"/>
  <c r="K2062" i="2" a="1"/>
  <c r="K2062" i="2" s="1"/>
  <c r="M2063" i="2" a="1"/>
  <c r="M2063" i="2" s="1"/>
  <c r="M2064" i="2" a="1"/>
  <c r="M2064" i="2" s="1"/>
  <c r="L2066" i="2" a="1"/>
  <c r="L2066" i="2" s="1"/>
  <c r="L2067" i="2" a="1"/>
  <c r="L2067" i="2" s="1"/>
  <c r="K2069" i="2" a="1"/>
  <c r="K2069" i="2" s="1"/>
  <c r="K2070" i="2" a="1"/>
  <c r="K2070" i="2" s="1"/>
  <c r="M2071" i="2" a="1"/>
  <c r="M2071" i="2" s="1"/>
  <c r="M2072" i="2" a="1"/>
  <c r="M2072" i="2" s="1"/>
  <c r="L2074" i="2" a="1"/>
  <c r="L2074" i="2" s="1"/>
  <c r="L2075" i="2" a="1"/>
  <c r="L2075" i="2" s="1"/>
  <c r="K2077" i="2" a="1"/>
  <c r="K2077" i="2" s="1"/>
  <c r="K2078" i="2" a="1"/>
  <c r="K2078" i="2" s="1"/>
  <c r="M2079" i="2" a="1"/>
  <c r="M2079" i="2" s="1"/>
  <c r="M2080" i="2" a="1"/>
  <c r="M2080" i="2" s="1"/>
  <c r="L2082" i="2" a="1"/>
  <c r="L2082" i="2" s="1"/>
  <c r="L2083" i="2" a="1"/>
  <c r="L2083" i="2" s="1"/>
  <c r="K2085" i="2" a="1"/>
  <c r="K2085" i="2" s="1"/>
  <c r="K2086" i="2" a="1"/>
  <c r="K2086" i="2" s="1"/>
  <c r="M2087" i="2" a="1"/>
  <c r="M2087" i="2" s="1"/>
  <c r="M2088" i="2" a="1"/>
  <c r="M2088" i="2" s="1"/>
  <c r="L2090" i="2" a="1"/>
  <c r="L2090" i="2" s="1"/>
  <c r="L2091" i="2" a="1"/>
  <c r="L2091" i="2" s="1"/>
  <c r="K2093" i="2" a="1"/>
  <c r="K2093" i="2" s="1"/>
  <c r="K2094" i="2" a="1"/>
  <c r="K2094" i="2" s="1"/>
  <c r="M2095" i="2" a="1"/>
  <c r="M2095" i="2" s="1"/>
  <c r="M2096" i="2" a="1"/>
  <c r="M2096" i="2" s="1"/>
  <c r="L2098" i="2" a="1"/>
  <c r="L2098" i="2" s="1"/>
  <c r="L2099" i="2" a="1"/>
  <c r="L2099" i="2" s="1"/>
  <c r="K2101" i="2" a="1"/>
  <c r="K2101" i="2" s="1"/>
  <c r="K2102" i="2" a="1"/>
  <c r="K2102" i="2" s="1"/>
  <c r="M2103" i="2" a="1"/>
  <c r="M2103" i="2" s="1"/>
  <c r="M2104" i="2" a="1"/>
  <c r="M2104" i="2" s="1"/>
  <c r="L2106" i="2" a="1"/>
  <c r="L2106" i="2" s="1"/>
  <c r="L2107" i="2" a="1"/>
  <c r="L2107" i="2" s="1"/>
  <c r="K2109" i="2" a="1"/>
  <c r="K2109" i="2" s="1"/>
  <c r="K2110" i="2" a="1"/>
  <c r="K2110" i="2" s="1"/>
  <c r="M2111" i="2" a="1"/>
  <c r="M2111" i="2" s="1"/>
  <c r="M2112" i="2" a="1"/>
  <c r="M2112" i="2" s="1"/>
  <c r="L2114" i="2" a="1"/>
  <c r="L2114" i="2" s="1"/>
  <c r="L2115" i="2" a="1"/>
  <c r="L2115" i="2" s="1"/>
  <c r="K2117" i="2" a="1"/>
  <c r="K2117" i="2" s="1"/>
  <c r="K2118" i="2" a="1"/>
  <c r="K2118" i="2" s="1"/>
  <c r="M2119" i="2" a="1"/>
  <c r="M2119" i="2" s="1"/>
  <c r="M2120" i="2" a="1"/>
  <c r="M2120" i="2" s="1"/>
  <c r="L2122" i="2" a="1"/>
  <c r="L2122" i="2" s="1"/>
  <c r="L2123" i="2" a="1"/>
  <c r="L2123" i="2" s="1"/>
  <c r="K2125" i="2" a="1"/>
  <c r="K2125" i="2" s="1"/>
  <c r="K2126" i="2" a="1"/>
  <c r="K2126" i="2" s="1"/>
  <c r="M2127" i="2" a="1"/>
  <c r="M2127" i="2" s="1"/>
  <c r="M2128" i="2" a="1"/>
  <c r="M2128" i="2" s="1"/>
  <c r="L2130" i="2" a="1"/>
  <c r="L2130" i="2" s="1"/>
  <c r="L2131" i="2" a="1"/>
  <c r="L2131" i="2" s="1"/>
  <c r="K2133" i="2" a="1"/>
  <c r="K2133" i="2" s="1"/>
  <c r="K2134" i="2" a="1"/>
  <c r="K2134" i="2" s="1"/>
  <c r="M2135" i="2" a="1"/>
  <c r="M2135" i="2" s="1"/>
  <c r="M2136" i="2" a="1"/>
  <c r="M2136" i="2" s="1"/>
  <c r="L2138" i="2" a="1"/>
  <c r="L2138" i="2" s="1"/>
  <c r="L2139" i="2" a="1"/>
  <c r="L2139" i="2" s="1"/>
  <c r="K2141" i="2" a="1"/>
  <c r="K2141" i="2" s="1"/>
  <c r="K2142" i="2" a="1"/>
  <c r="K2142" i="2" s="1"/>
  <c r="M2143" i="2" a="1"/>
  <c r="M2143" i="2" s="1"/>
  <c r="M2144" i="2" a="1"/>
  <c r="M2144" i="2" s="1"/>
  <c r="L2146" i="2" a="1"/>
  <c r="L2146" i="2" s="1"/>
  <c r="L2147" i="2" a="1"/>
  <c r="L2147" i="2" s="1"/>
  <c r="K2149" i="2" a="1"/>
  <c r="K2149" i="2" s="1"/>
  <c r="K2150" i="2" a="1"/>
  <c r="K2150" i="2" s="1"/>
  <c r="M2151" i="2" a="1"/>
  <c r="M2151" i="2" s="1"/>
  <c r="M2152" i="2" a="1"/>
  <c r="M2152" i="2" s="1"/>
  <c r="L2154" i="2" a="1"/>
  <c r="L2154" i="2" s="1"/>
  <c r="L2155" i="2" a="1"/>
  <c r="L2155" i="2" s="1"/>
  <c r="K2157" i="2" a="1"/>
  <c r="K2157" i="2" s="1"/>
  <c r="K2158" i="2" a="1"/>
  <c r="K2158" i="2" s="1"/>
  <c r="M2159" i="2" a="1"/>
  <c r="M2159" i="2" s="1"/>
  <c r="M2160" i="2" a="1"/>
  <c r="M2160" i="2" s="1"/>
  <c r="L2162" i="2" a="1"/>
  <c r="L2162" i="2" s="1"/>
  <c r="L2163" i="2" a="1"/>
  <c r="L2163" i="2" s="1"/>
  <c r="K2165" i="2" a="1"/>
  <c r="K2165" i="2" s="1"/>
  <c r="K2166" i="2" a="1"/>
  <c r="K2166" i="2" s="1"/>
  <c r="M2167" i="2" a="1"/>
  <c r="M2167" i="2" s="1"/>
  <c r="M2168" i="2" a="1"/>
  <c r="M2168" i="2" s="1"/>
  <c r="L2170" i="2" a="1"/>
  <c r="L2170" i="2" s="1"/>
  <c r="L2171" i="2" a="1"/>
  <c r="L2171" i="2" s="1"/>
  <c r="K2173" i="2" a="1"/>
  <c r="K2173" i="2" s="1"/>
  <c r="K2174" i="2" a="1"/>
  <c r="K2174" i="2" s="1"/>
  <c r="M2175" i="2" a="1"/>
  <c r="M2175" i="2" s="1"/>
  <c r="M2176" i="2" a="1"/>
  <c r="M2176" i="2" s="1"/>
  <c r="L2178" i="2" a="1"/>
  <c r="L2178" i="2" s="1"/>
  <c r="L2179" i="2" a="1"/>
  <c r="L2179" i="2" s="1"/>
  <c r="K2181" i="2" a="1"/>
  <c r="K2181" i="2" s="1"/>
  <c r="K2182" i="2" a="1"/>
  <c r="K2182" i="2" s="1"/>
  <c r="M2183" i="2" a="1"/>
  <c r="M2183" i="2" s="1"/>
  <c r="M2184" i="2" a="1"/>
  <c r="M2184" i="2" s="1"/>
  <c r="L2186" i="2" a="1"/>
  <c r="L2186" i="2" s="1"/>
  <c r="L2187" i="2" a="1"/>
  <c r="L2187" i="2" s="1"/>
  <c r="K2189" i="2" a="1"/>
  <c r="K2189" i="2" s="1"/>
  <c r="K2190" i="2" a="1"/>
  <c r="K2190" i="2" s="1"/>
  <c r="M2191" i="2" a="1"/>
  <c r="M2191" i="2" s="1"/>
  <c r="M2192" i="2" a="1"/>
  <c r="M2192" i="2" s="1"/>
  <c r="L2194" i="2" a="1"/>
  <c r="L2194" i="2" s="1"/>
  <c r="L2195" i="2" a="1"/>
  <c r="L2195" i="2" s="1"/>
  <c r="K2197" i="2" a="1"/>
  <c r="K2197" i="2" s="1"/>
  <c r="K2198" i="2" a="1"/>
  <c r="K2198" i="2" s="1"/>
  <c r="M2199" i="2" a="1"/>
  <c r="M2199" i="2" s="1"/>
  <c r="M2200" i="2" a="1"/>
  <c r="M2200" i="2" s="1"/>
  <c r="L2202" i="2" a="1"/>
  <c r="L2202" i="2" s="1"/>
  <c r="L2203" i="2" a="1"/>
  <c r="L2203" i="2" s="1"/>
  <c r="K2205" i="2" a="1"/>
  <c r="K2205" i="2" s="1"/>
  <c r="K2206" i="2" a="1"/>
  <c r="K2206" i="2" s="1"/>
  <c r="M2207" i="2" a="1"/>
  <c r="M2207" i="2" s="1"/>
  <c r="M2208" i="2" a="1"/>
  <c r="M2208" i="2" s="1"/>
  <c r="L2210" i="2" a="1"/>
  <c r="L2210" i="2" s="1"/>
  <c r="L2211" i="2" a="1"/>
  <c r="L2211" i="2" s="1"/>
  <c r="K2213" i="2" a="1"/>
  <c r="K2213" i="2" s="1"/>
  <c r="K2214" i="2" a="1"/>
  <c r="K2214" i="2" s="1"/>
  <c r="M2215" i="2" a="1"/>
  <c r="M2215" i="2" s="1"/>
  <c r="M2216" i="2" a="1"/>
  <c r="M2216" i="2" s="1"/>
  <c r="L2218" i="2" a="1"/>
  <c r="L2218" i="2" s="1"/>
  <c r="L2219" i="2" a="1"/>
  <c r="L2219" i="2" s="1"/>
  <c r="K2221" i="2" a="1"/>
  <c r="K2221" i="2" s="1"/>
  <c r="K2222" i="2" a="1"/>
  <c r="K2222" i="2" s="1"/>
  <c r="M2223" i="2" a="1"/>
  <c r="M2223" i="2" s="1"/>
  <c r="M2224" i="2" a="1"/>
  <c r="M2224" i="2" s="1"/>
  <c r="L2226" i="2" a="1"/>
  <c r="L2226" i="2" s="1"/>
  <c r="L2227" i="2" a="1"/>
  <c r="L2227" i="2" s="1"/>
  <c r="K2229" i="2" a="1"/>
  <c r="K2229" i="2" s="1"/>
  <c r="K2230" i="2" a="1"/>
  <c r="K2230" i="2" s="1"/>
  <c r="M2231" i="2" a="1"/>
  <c r="M2231" i="2" s="1"/>
  <c r="M2232" i="2" a="1"/>
  <c r="M2232" i="2" s="1"/>
  <c r="L2234" i="2" a="1"/>
  <c r="L2234" i="2" s="1"/>
  <c r="L2235" i="2" a="1"/>
  <c r="L2235" i="2" s="1"/>
  <c r="K2237" i="2" a="1"/>
  <c r="K2237" i="2" s="1"/>
  <c r="K2238" i="2" a="1"/>
  <c r="K2238" i="2" s="1"/>
  <c r="M2239" i="2" a="1"/>
  <c r="M2239" i="2" s="1"/>
  <c r="M2240" i="2" a="1"/>
  <c r="M2240" i="2" s="1"/>
  <c r="L2242" i="2" a="1"/>
  <c r="L2242" i="2" s="1"/>
  <c r="L2243" i="2" a="1"/>
  <c r="L2243" i="2" s="1"/>
  <c r="K2245" i="2" a="1"/>
  <c r="K2245" i="2" s="1"/>
  <c r="K2246" i="2" a="1"/>
  <c r="K2246" i="2" s="1"/>
  <c r="M2247" i="2" a="1"/>
  <c r="M2247" i="2" s="1"/>
  <c r="M2248" i="2" a="1"/>
  <c r="M2248" i="2" s="1"/>
  <c r="L2250" i="2" a="1"/>
  <c r="L2250" i="2" s="1"/>
  <c r="L2251" i="2" a="1"/>
  <c r="L2251" i="2" s="1"/>
  <c r="K2253" i="2" a="1"/>
  <c r="K2253" i="2" s="1"/>
  <c r="K2254" i="2" a="1"/>
  <c r="K2254" i="2" s="1"/>
  <c r="M2255" i="2" a="1"/>
  <c r="M2255" i="2" s="1"/>
  <c r="M2256" i="2" a="1"/>
  <c r="M2256" i="2" s="1"/>
  <c r="L2258" i="2" a="1"/>
  <c r="L2258" i="2" s="1"/>
  <c r="L2259" i="2" a="1"/>
  <c r="L2259" i="2" s="1"/>
  <c r="K2261" i="2" a="1"/>
  <c r="K2261" i="2" s="1"/>
  <c r="K2262" i="2" a="1"/>
  <c r="K2262" i="2" s="1"/>
  <c r="M2263" i="2" a="1"/>
  <c r="M2263" i="2" s="1"/>
  <c r="M2264" i="2" a="1"/>
  <c r="M2264" i="2" s="1"/>
  <c r="L2266" i="2" a="1"/>
  <c r="L2266" i="2" s="1"/>
  <c r="L2267" i="2" a="1"/>
  <c r="L2267" i="2" s="1"/>
  <c r="K2269" i="2" a="1"/>
  <c r="K2269" i="2" s="1"/>
  <c r="K2270" i="2" a="1"/>
  <c r="K2270" i="2" s="1"/>
  <c r="M2271" i="2" a="1"/>
  <c r="M2271" i="2" s="1"/>
  <c r="M2272" i="2" a="1"/>
  <c r="M2272" i="2" s="1"/>
  <c r="L2274" i="2" a="1"/>
  <c r="L2274" i="2" s="1"/>
  <c r="L2275" i="2" a="1"/>
  <c r="L2275" i="2" s="1"/>
  <c r="M2277" i="2" a="1"/>
  <c r="M2277" i="2" s="1"/>
  <c r="M2278" i="2" a="1"/>
  <c r="M2278" i="2" s="1"/>
  <c r="L2280" i="2" a="1"/>
  <c r="L2280" i="2" s="1"/>
  <c r="L2281" i="2" a="1"/>
  <c r="L2281" i="2" s="1"/>
  <c r="K2283" i="2" a="1"/>
  <c r="K2283" i="2" s="1"/>
  <c r="K2284" i="2" a="1"/>
  <c r="K2284" i="2" s="1"/>
  <c r="M2285" i="2" a="1"/>
  <c r="M2285" i="2" s="1"/>
  <c r="M2286" i="2" a="1"/>
  <c r="M2286" i="2" s="1"/>
  <c r="L2288" i="2" a="1"/>
  <c r="L2288" i="2" s="1"/>
  <c r="L2289" i="2" a="1"/>
  <c r="L2289" i="2" s="1"/>
  <c r="K2291" i="2" a="1"/>
  <c r="K2291" i="2" s="1"/>
  <c r="K2292" i="2" a="1"/>
  <c r="K2292" i="2" s="1"/>
  <c r="M2293" i="2" a="1"/>
  <c r="M2293" i="2" s="1"/>
  <c r="M2294" i="2" a="1"/>
  <c r="M2294" i="2" s="1"/>
  <c r="L2296" i="2" a="1"/>
  <c r="L2296" i="2" s="1"/>
  <c r="L2297" i="2" a="1"/>
  <c r="L2297" i="2" s="1"/>
  <c r="K2299" i="2" a="1"/>
  <c r="K2299" i="2" s="1"/>
  <c r="K2300" i="2" a="1"/>
  <c r="K2300" i="2" s="1"/>
  <c r="M2301" i="2" a="1"/>
  <c r="M2301" i="2" s="1"/>
  <c r="M2302" i="2" a="1"/>
  <c r="M2302" i="2" s="1"/>
  <c r="L2304" i="2" a="1"/>
  <c r="L2304" i="2" s="1"/>
  <c r="L2305" i="2" a="1"/>
  <c r="L2305" i="2" s="1"/>
  <c r="K2307" i="2" a="1"/>
  <c r="K2307" i="2" s="1"/>
  <c r="K2308" i="2" a="1"/>
  <c r="K2308" i="2" s="1"/>
  <c r="M2309" i="2" a="1"/>
  <c r="M2309" i="2" s="1"/>
  <c r="M2310" i="2" a="1"/>
  <c r="M2310" i="2" s="1"/>
  <c r="L2312" i="2" a="1"/>
  <c r="L2312" i="2" s="1"/>
  <c r="L2313" i="2" a="1"/>
  <c r="L2313" i="2" s="1"/>
  <c r="K2315" i="2" a="1"/>
  <c r="K2315" i="2" s="1"/>
  <c r="K2316" i="2" a="1"/>
  <c r="K2316" i="2" s="1"/>
  <c r="M2317" i="2" a="1"/>
  <c r="M2317" i="2" s="1"/>
  <c r="M2318" i="2" a="1"/>
  <c r="M2318" i="2" s="1"/>
  <c r="L2320" i="2" a="1"/>
  <c r="L2320" i="2" s="1"/>
  <c r="L2321" i="2" a="1"/>
  <c r="L2321" i="2" s="1"/>
  <c r="K2323" i="2" a="1"/>
  <c r="K2323" i="2" s="1"/>
  <c r="K2324" i="2" a="1"/>
  <c r="K2324" i="2" s="1"/>
  <c r="M2325" i="2" a="1"/>
  <c r="M2325" i="2" s="1"/>
  <c r="M2326" i="2" a="1"/>
  <c r="M2326" i="2" s="1"/>
  <c r="L2328" i="2" a="1"/>
  <c r="L2328" i="2" s="1"/>
  <c r="L2329" i="2" a="1"/>
  <c r="L2329" i="2" s="1"/>
  <c r="K2331" i="2" a="1"/>
  <c r="K2331" i="2" s="1"/>
  <c r="K2332" i="2" a="1"/>
  <c r="K2332" i="2" s="1"/>
  <c r="M2333" i="2" a="1"/>
  <c r="M2333" i="2" s="1"/>
  <c r="M2334" i="2" a="1"/>
  <c r="M2334" i="2" s="1"/>
  <c r="L2336" i="2" a="1"/>
  <c r="L2336" i="2" s="1"/>
  <c r="L2337" i="2" a="1"/>
  <c r="L2337" i="2" s="1"/>
  <c r="K2339" i="2" a="1"/>
  <c r="K2339" i="2" s="1"/>
  <c r="K2340" i="2" a="1"/>
  <c r="K2340" i="2" s="1"/>
  <c r="M2341" i="2" a="1"/>
  <c r="M2341" i="2" s="1"/>
  <c r="M2342" i="2" a="1"/>
  <c r="M2342" i="2" s="1"/>
  <c r="L2344" i="2" a="1"/>
  <c r="L2344" i="2" s="1"/>
  <c r="L2345" i="2" a="1"/>
  <c r="L2345" i="2" s="1"/>
  <c r="K2347" i="2" a="1"/>
  <c r="K2347" i="2" s="1"/>
  <c r="K2348" i="2" a="1"/>
  <c r="K2348" i="2" s="1"/>
  <c r="M2349" i="2" a="1"/>
  <c r="M2349" i="2" s="1"/>
  <c r="M2350" i="2" a="1"/>
  <c r="M2350" i="2" s="1"/>
  <c r="L2352" i="2" a="1"/>
  <c r="L2352" i="2" s="1"/>
  <c r="L2353" i="2" a="1"/>
  <c r="L2353" i="2" s="1"/>
  <c r="K2355" i="2" a="1"/>
  <c r="K2355" i="2" s="1"/>
  <c r="K2356" i="2" a="1"/>
  <c r="K2356" i="2" s="1"/>
  <c r="M2357" i="2" a="1"/>
  <c r="M2357" i="2" s="1"/>
  <c r="M2358" i="2" a="1"/>
  <c r="M2358" i="2" s="1"/>
  <c r="L2360" i="2" a="1"/>
  <c r="L2360" i="2" s="1"/>
  <c r="L2361" i="2" a="1"/>
  <c r="L2361" i="2" s="1"/>
  <c r="K2363" i="2" a="1"/>
  <c r="K2363" i="2" s="1"/>
  <c r="K2364" i="2" a="1"/>
  <c r="K2364" i="2" s="1"/>
  <c r="M2365" i="2" a="1"/>
  <c r="M2365" i="2" s="1"/>
  <c r="M2366" i="2" a="1"/>
  <c r="M2366" i="2" s="1"/>
  <c r="L2368" i="2" a="1"/>
  <c r="L2368" i="2" s="1"/>
  <c r="L2369" i="2" a="1"/>
  <c r="L2369" i="2" s="1"/>
  <c r="K2371" i="2" a="1"/>
  <c r="K2371" i="2" s="1"/>
  <c r="K2372" i="2" a="1"/>
  <c r="K2372" i="2" s="1"/>
  <c r="M2373" i="2" a="1"/>
  <c r="M2373" i="2" s="1"/>
  <c r="M2374" i="2" a="1"/>
  <c r="M2374" i="2" s="1"/>
  <c r="L2376" i="2" a="1"/>
  <c r="L2376" i="2" s="1"/>
  <c r="L2377" i="2" a="1"/>
  <c r="L2377" i="2" s="1"/>
  <c r="K2379" i="2" a="1"/>
  <c r="K2379" i="2" s="1"/>
  <c r="K2380" i="2" a="1"/>
  <c r="K2380" i="2" s="1"/>
  <c r="M2381" i="2" a="1"/>
  <c r="M2381" i="2" s="1"/>
  <c r="M2382" i="2" a="1"/>
  <c r="M2382" i="2" s="1"/>
  <c r="L2384" i="2" a="1"/>
  <c r="L2384" i="2" s="1"/>
  <c r="L2385" i="2" a="1"/>
  <c r="L2385" i="2" s="1"/>
  <c r="K2387" i="2" a="1"/>
  <c r="K2387" i="2" s="1"/>
  <c r="K2388" i="2" a="1"/>
  <c r="K2388" i="2" s="1"/>
  <c r="M2389" i="2" a="1"/>
  <c r="M2389" i="2" s="1"/>
  <c r="M2390" i="2" a="1"/>
  <c r="M2390" i="2" s="1"/>
  <c r="L2392" i="2" a="1"/>
  <c r="L2392" i="2" s="1"/>
  <c r="L2393" i="2" a="1"/>
  <c r="L2393" i="2" s="1"/>
  <c r="K2395" i="2" a="1"/>
  <c r="K2395" i="2" s="1"/>
  <c r="K2396" i="2" a="1"/>
  <c r="K2396" i="2" s="1"/>
  <c r="M2397" i="2" a="1"/>
  <c r="M2397" i="2" s="1"/>
  <c r="M2398" i="2" a="1"/>
  <c r="M2398" i="2" s="1"/>
  <c r="L2400" i="2" a="1"/>
  <c r="L2400" i="2" s="1"/>
  <c r="L2401" i="2" a="1"/>
  <c r="L2401" i="2" s="1"/>
  <c r="K2403" i="2" a="1"/>
  <c r="K2403" i="2" s="1"/>
  <c r="K2404" i="2" a="1"/>
  <c r="K2404" i="2" s="1"/>
  <c r="M2405" i="2" a="1"/>
  <c r="M2405" i="2" s="1"/>
  <c r="M2406" i="2" a="1"/>
  <c r="M2406" i="2" s="1"/>
  <c r="L2408" i="2" a="1"/>
  <c r="L2408" i="2" s="1"/>
  <c r="L2409" i="2" a="1"/>
  <c r="L2409" i="2" s="1"/>
  <c r="K2411" i="2" a="1"/>
  <c r="K2411" i="2" s="1"/>
  <c r="K2412" i="2" a="1"/>
  <c r="K2412" i="2" s="1"/>
  <c r="M2413" i="2" a="1"/>
  <c r="M2413" i="2" s="1"/>
  <c r="M2414" i="2" a="1"/>
  <c r="M2414" i="2" s="1"/>
  <c r="L2416" i="2" a="1"/>
  <c r="L2416" i="2" s="1"/>
  <c r="L2417" i="2" a="1"/>
  <c r="L2417" i="2" s="1"/>
  <c r="K2419" i="2" a="1"/>
  <c r="K2419" i="2" s="1"/>
  <c r="K2420" i="2" a="1"/>
  <c r="K2420" i="2" s="1"/>
  <c r="M2421" i="2" a="1"/>
  <c r="M2421" i="2" s="1"/>
  <c r="M2422" i="2" a="1"/>
  <c r="M2422" i="2" s="1"/>
  <c r="L2424" i="2" a="1"/>
  <c r="L2424" i="2" s="1"/>
  <c r="L2425" i="2" a="1"/>
  <c r="L2425" i="2" s="1"/>
  <c r="K2427" i="2" a="1"/>
  <c r="K2427" i="2" s="1"/>
  <c r="K2428" i="2" a="1"/>
  <c r="K2428" i="2" s="1"/>
  <c r="M2429" i="2" a="1"/>
  <c r="M2429" i="2" s="1"/>
  <c r="M2430" i="2" a="1"/>
  <c r="M2430" i="2" s="1"/>
  <c r="L2432" i="2" a="1"/>
  <c r="L2432" i="2" s="1"/>
  <c r="L2433" i="2" a="1"/>
  <c r="L2433" i="2" s="1"/>
  <c r="K2435" i="2" a="1"/>
  <c r="K2435" i="2" s="1"/>
  <c r="K2436" i="2" a="1"/>
  <c r="K2436" i="2" s="1"/>
  <c r="M2437" i="2" a="1"/>
  <c r="M2437" i="2" s="1"/>
  <c r="M2438" i="2" a="1"/>
  <c r="M2438" i="2" s="1"/>
  <c r="L2440" i="2" a="1"/>
  <c r="L2440" i="2" s="1"/>
  <c r="L2441" i="2" a="1"/>
  <c r="L2441" i="2" s="1"/>
  <c r="K2443" i="2" a="1"/>
  <c r="K2443" i="2" s="1"/>
  <c r="K2444" i="2" a="1"/>
  <c r="K2444" i="2" s="1"/>
  <c r="M2445" i="2" a="1"/>
  <c r="M2445" i="2" s="1"/>
  <c r="M2446" i="2" a="1"/>
  <c r="M2446" i="2" s="1"/>
  <c r="L2448" i="2" a="1"/>
  <c r="L2448" i="2" s="1"/>
  <c r="L2449" i="2" a="1"/>
  <c r="L2449" i="2" s="1"/>
  <c r="K2451" i="2" a="1"/>
  <c r="K2451" i="2" s="1"/>
  <c r="K2452" i="2" a="1"/>
  <c r="K2452" i="2" s="1"/>
  <c r="M2453" i="2" a="1"/>
  <c r="M2453" i="2" s="1"/>
  <c r="M2454" i="2" a="1"/>
  <c r="M2454" i="2" s="1"/>
  <c r="L2456" i="2" a="1"/>
  <c r="L2456" i="2" s="1"/>
  <c r="L2457" i="2" a="1"/>
  <c r="L2457" i="2" s="1"/>
  <c r="K2459" i="2" a="1"/>
  <c r="K2459" i="2" s="1"/>
  <c r="K2460" i="2" a="1"/>
  <c r="K2460" i="2" s="1"/>
  <c r="M2461" i="2" a="1"/>
  <c r="M2461" i="2" s="1"/>
  <c r="M2462" i="2" a="1"/>
  <c r="M2462" i="2" s="1"/>
  <c r="L2464" i="2" a="1"/>
  <c r="L2464" i="2" s="1"/>
  <c r="L2465" i="2" a="1"/>
  <c r="L2465" i="2" s="1"/>
  <c r="K2467" i="2" a="1"/>
  <c r="K2467" i="2" s="1"/>
  <c r="K2468" i="2" a="1"/>
  <c r="K2468" i="2" s="1"/>
  <c r="M2469" i="2" a="1"/>
  <c r="M2469" i="2" s="1"/>
  <c r="M2470" i="2" a="1"/>
  <c r="M2470" i="2" s="1"/>
  <c r="L2472" i="2" a="1"/>
  <c r="L2472" i="2" s="1"/>
  <c r="L2473" i="2" a="1"/>
  <c r="L2473" i="2" s="1"/>
  <c r="K2475" i="2" a="1"/>
  <c r="K2475" i="2" s="1"/>
  <c r="K2476" i="2" a="1"/>
  <c r="K2476" i="2" s="1"/>
  <c r="M2477" i="2" a="1"/>
  <c r="M2477" i="2" s="1"/>
  <c r="M2478" i="2" a="1"/>
  <c r="M2478" i="2" s="1"/>
  <c r="L2480" i="2" a="1"/>
  <c r="L2480" i="2" s="1"/>
  <c r="L2481" i="2" a="1"/>
  <c r="L2481" i="2" s="1"/>
  <c r="K2483" i="2" a="1"/>
  <c r="K2483" i="2" s="1"/>
  <c r="K2484" i="2" a="1"/>
  <c r="K2484" i="2" s="1"/>
  <c r="M2485" i="2" a="1"/>
  <c r="M2485" i="2" s="1"/>
  <c r="M2486" i="2" a="1"/>
  <c r="M2486" i="2" s="1"/>
  <c r="L2488" i="2" a="1"/>
  <c r="L2488" i="2" s="1"/>
  <c r="L2489" i="2" a="1"/>
  <c r="L2489" i="2" s="1"/>
  <c r="K2491" i="2" a="1"/>
  <c r="K2491" i="2" s="1"/>
  <c r="K2492" i="2" a="1"/>
  <c r="K2492" i="2" s="1"/>
  <c r="M2493" i="2" a="1"/>
  <c r="M2493" i="2" s="1"/>
  <c r="M2494" i="2" a="1"/>
  <c r="M2494" i="2" s="1"/>
  <c r="L2496" i="2" a="1"/>
  <c r="L2496" i="2" s="1"/>
  <c r="L2497" i="2" a="1"/>
  <c r="L2497" i="2" s="1"/>
  <c r="K2499" i="2" a="1"/>
  <c r="K2499" i="2" s="1"/>
  <c r="K2500" i="2" a="1"/>
  <c r="K2500" i="2" s="1"/>
  <c r="M2501" i="2" a="1"/>
  <c r="M2501" i="2" s="1"/>
  <c r="M2502" i="2" a="1"/>
  <c r="M2502" i="2" s="1"/>
  <c r="L2504" i="2" a="1"/>
  <c r="L2504" i="2" s="1"/>
  <c r="L2505" i="2" a="1"/>
  <c r="L2505" i="2" s="1"/>
  <c r="K2507" i="2" a="1"/>
  <c r="K2507" i="2" s="1"/>
  <c r="K2508" i="2" a="1"/>
  <c r="K2508" i="2" s="1"/>
  <c r="M2509" i="2" a="1"/>
  <c r="M2509" i="2" s="1"/>
  <c r="M2510" i="2" a="1"/>
  <c r="M2510" i="2" s="1"/>
  <c r="L2512" i="2" a="1"/>
  <c r="L2512" i="2" s="1"/>
  <c r="L2513" i="2" a="1"/>
  <c r="L2513" i="2" s="1"/>
  <c r="K2515" i="2" a="1"/>
  <c r="K2515" i="2" s="1"/>
  <c r="K2516" i="2" a="1"/>
  <c r="K2516" i="2" s="1"/>
  <c r="M2517" i="2" a="1"/>
  <c r="M2517" i="2" s="1"/>
  <c r="M2518" i="2" a="1"/>
  <c r="M2518" i="2" s="1"/>
  <c r="L2520" i="2" a="1"/>
  <c r="L2520" i="2" s="1"/>
  <c r="L2521" i="2" a="1"/>
  <c r="L2521" i="2" s="1"/>
  <c r="K2523" i="2" a="1"/>
  <c r="K2523" i="2" s="1"/>
  <c r="K2524" i="2" a="1"/>
  <c r="K2524" i="2" s="1"/>
  <c r="M2525" i="2" a="1"/>
  <c r="M2525" i="2" s="1"/>
  <c r="M2526" i="2" a="1"/>
  <c r="M2526" i="2" s="1"/>
  <c r="L2528" i="2" a="1"/>
  <c r="L2528" i="2" s="1"/>
  <c r="L2529" i="2" a="1"/>
  <c r="L2529" i="2" s="1"/>
  <c r="K2531" i="2" a="1"/>
  <c r="K2531" i="2" s="1"/>
  <c r="K2532" i="2" a="1"/>
  <c r="K2532" i="2" s="1"/>
  <c r="M2533" i="2" a="1"/>
  <c r="M2533" i="2" s="1"/>
  <c r="M2534" i="2" a="1"/>
  <c r="M2534" i="2" s="1"/>
  <c r="L2536" i="2" a="1"/>
  <c r="L2536" i="2" s="1"/>
  <c r="L2537" i="2" a="1"/>
  <c r="L2537" i="2" s="1"/>
  <c r="K2539" i="2" a="1"/>
  <c r="K2539" i="2" s="1"/>
  <c r="K2540" i="2" a="1"/>
  <c r="K2540" i="2" s="1"/>
  <c r="M2541" i="2" a="1"/>
  <c r="M2541" i="2" s="1"/>
  <c r="M2542" i="2" a="1"/>
  <c r="M2542" i="2" s="1"/>
  <c r="L2544" i="2" a="1"/>
  <c r="L2544" i="2" s="1"/>
  <c r="L2545" i="2" a="1"/>
  <c r="L2545" i="2" s="1"/>
  <c r="K2547" i="2" a="1"/>
  <c r="K2547" i="2" s="1"/>
  <c r="K2548" i="2" a="1"/>
  <c r="K2548" i="2" s="1"/>
  <c r="M2549" i="2" a="1"/>
  <c r="M2549" i="2" s="1"/>
  <c r="M2550" i="2" a="1"/>
  <c r="M2550" i="2" s="1"/>
  <c r="L2552" i="2" a="1"/>
  <c r="L2552" i="2" s="1"/>
  <c r="L2553" i="2" a="1"/>
  <c r="L2553" i="2" s="1"/>
  <c r="K2555" i="2" a="1"/>
  <c r="K2555" i="2" s="1"/>
  <c r="K2556" i="2" a="1"/>
  <c r="K2556" i="2" s="1"/>
  <c r="M2557" i="2" a="1"/>
  <c r="M2557" i="2" s="1"/>
  <c r="M2558" i="2" a="1"/>
  <c r="M2558" i="2" s="1"/>
  <c r="L2560" i="2" a="1"/>
  <c r="L2560" i="2" s="1"/>
  <c r="L2561" i="2" a="1"/>
  <c r="L2561" i="2" s="1"/>
  <c r="K2563" i="2" a="1"/>
  <c r="K2563" i="2" s="1"/>
  <c r="K2564" i="2" a="1"/>
  <c r="K2564" i="2" s="1"/>
  <c r="M2565" i="2" a="1"/>
  <c r="M2565" i="2" s="1"/>
  <c r="M2566" i="2" a="1"/>
  <c r="M2566" i="2" s="1"/>
  <c r="L2568" i="2" a="1"/>
  <c r="L2568" i="2" s="1"/>
  <c r="L2569" i="2" a="1"/>
  <c r="L2569" i="2" s="1"/>
  <c r="K2571" i="2" a="1"/>
  <c r="K2571" i="2" s="1"/>
  <c r="K2572" i="2" a="1"/>
  <c r="K2572" i="2" s="1"/>
  <c r="M2573" i="2" a="1"/>
  <c r="M2573" i="2" s="1"/>
  <c r="M2574" i="2" a="1"/>
  <c r="M2574" i="2" s="1"/>
  <c r="L2576" i="2" a="1"/>
  <c r="L2576" i="2" s="1"/>
  <c r="L2577" i="2" a="1"/>
  <c r="L2577" i="2" s="1"/>
  <c r="K2579" i="2" a="1"/>
  <c r="K2579" i="2" s="1"/>
  <c r="K2580" i="2" a="1"/>
  <c r="K2580" i="2" s="1"/>
  <c r="M2581" i="2" a="1"/>
  <c r="M2581" i="2" s="1"/>
  <c r="M2582" i="2" a="1"/>
  <c r="M2582" i="2" s="1"/>
  <c r="L2584" i="2" a="1"/>
  <c r="L2584" i="2" s="1"/>
  <c r="L2585" i="2" a="1"/>
  <c r="L2585" i="2" s="1"/>
  <c r="K2587" i="2" a="1"/>
  <c r="K2587" i="2" s="1"/>
  <c r="K2588" i="2" a="1"/>
  <c r="K2588" i="2" s="1"/>
  <c r="M2589" i="2" a="1"/>
  <c r="M2589" i="2" s="1"/>
  <c r="M2590" i="2" a="1"/>
  <c r="M2590" i="2" s="1"/>
  <c r="L2592" i="2" a="1"/>
  <c r="L2592" i="2" s="1"/>
  <c r="L2593" i="2" a="1"/>
  <c r="L2593" i="2" s="1"/>
  <c r="K2595" i="2" a="1"/>
  <c r="K2595" i="2" s="1"/>
  <c r="K2596" i="2" a="1"/>
  <c r="K2596" i="2" s="1"/>
  <c r="M2597" i="2" a="1"/>
  <c r="M2597" i="2" s="1"/>
  <c r="M2598" i="2" a="1"/>
  <c r="M2598" i="2" s="1"/>
  <c r="L2600" i="2" a="1"/>
  <c r="L2600" i="2" s="1"/>
  <c r="L2601" i="2" a="1"/>
  <c r="L2601" i="2" s="1"/>
  <c r="K2603" i="2" a="1"/>
  <c r="K2603" i="2" s="1"/>
  <c r="K2604" i="2" a="1"/>
  <c r="K2604" i="2" s="1"/>
  <c r="M2605" i="2" a="1"/>
  <c r="M2605" i="2" s="1"/>
  <c r="M2606" i="2" a="1"/>
  <c r="M2606" i="2" s="1"/>
  <c r="L2608" i="2" a="1"/>
  <c r="L2608" i="2" s="1"/>
  <c r="L2609" i="2" a="1"/>
  <c r="L2609" i="2" s="1"/>
  <c r="K2611" i="2" a="1"/>
  <c r="K2611" i="2" s="1"/>
  <c r="K2612" i="2" a="1"/>
  <c r="K2612" i="2" s="1"/>
  <c r="M2613" i="2" a="1"/>
  <c r="M2613" i="2" s="1"/>
  <c r="M2614" i="2" a="1"/>
  <c r="M2614" i="2" s="1"/>
  <c r="L2616" i="2" a="1"/>
  <c r="L2616" i="2" s="1"/>
  <c r="L2617" i="2" a="1"/>
  <c r="L2617" i="2" s="1"/>
  <c r="K2619" i="2" a="1"/>
  <c r="K2619" i="2" s="1"/>
  <c r="K2620" i="2" a="1"/>
  <c r="K2620" i="2" s="1"/>
  <c r="M2621" i="2" a="1"/>
  <c r="M2621" i="2" s="1"/>
  <c r="M2622" i="2" a="1"/>
  <c r="M2622" i="2" s="1"/>
  <c r="L2624" i="2" a="1"/>
  <c r="L2624" i="2" s="1"/>
  <c r="L2625" i="2" a="1"/>
  <c r="L2625" i="2" s="1"/>
  <c r="K2627" i="2" a="1"/>
  <c r="K2627" i="2" s="1"/>
  <c r="K2628" i="2" a="1"/>
  <c r="K2628" i="2" s="1"/>
  <c r="M2629" i="2" a="1"/>
  <c r="M2629" i="2" s="1"/>
  <c r="M2630" i="2" a="1"/>
  <c r="M2630" i="2" s="1"/>
  <c r="L2632" i="2" a="1"/>
  <c r="L2632" i="2" s="1"/>
  <c r="L2633" i="2" a="1"/>
  <c r="L2633" i="2" s="1"/>
  <c r="K2635" i="2" a="1"/>
  <c r="K2635" i="2" s="1"/>
  <c r="K2636" i="2" a="1"/>
  <c r="K2636" i="2" s="1"/>
  <c r="M2637" i="2" a="1"/>
  <c r="M2637" i="2" s="1"/>
  <c r="M2638" i="2" a="1"/>
  <c r="M2638" i="2" s="1"/>
  <c r="L2640" i="2" a="1"/>
  <c r="L2640" i="2" s="1"/>
  <c r="L2641" i="2" a="1"/>
  <c r="L2641" i="2" s="1"/>
  <c r="K2643" i="2" a="1"/>
  <c r="K2643" i="2" s="1"/>
  <c r="K2644" i="2" a="1"/>
  <c r="K2644" i="2" s="1"/>
  <c r="M2645" i="2" a="1"/>
  <c r="M2645" i="2" s="1"/>
  <c r="M2646" i="2" a="1"/>
  <c r="M2646" i="2" s="1"/>
  <c r="L2648" i="2" a="1"/>
  <c r="L2648" i="2" s="1"/>
  <c r="L2649" i="2" a="1"/>
  <c r="L2649" i="2" s="1"/>
  <c r="K2651" i="2" a="1"/>
  <c r="K2651" i="2" s="1"/>
  <c r="K2652" i="2" a="1"/>
  <c r="K2652" i="2" s="1"/>
  <c r="M2653" i="2" a="1"/>
  <c r="M2653" i="2" s="1"/>
  <c r="M2654" i="2" a="1"/>
  <c r="M2654" i="2" s="1"/>
  <c r="L2656" i="2" a="1"/>
  <c r="L2656" i="2" s="1"/>
  <c r="L2657" i="2" a="1"/>
  <c r="L2657" i="2" s="1"/>
  <c r="K2659" i="2" a="1"/>
  <c r="K2659" i="2" s="1"/>
  <c r="K2660" i="2" a="1"/>
  <c r="K2660" i="2" s="1"/>
  <c r="M2661" i="2" a="1"/>
  <c r="M2661" i="2" s="1"/>
  <c r="M2662" i="2" a="1"/>
  <c r="M2662" i="2" s="1"/>
  <c r="L2664" i="2" a="1"/>
  <c r="L2664" i="2" s="1"/>
  <c r="L2665" i="2" a="1"/>
  <c r="L2665" i="2" s="1"/>
  <c r="K2667" i="2" a="1"/>
  <c r="K2667" i="2" s="1"/>
  <c r="K2668" i="2" a="1"/>
  <c r="K2668" i="2" s="1"/>
  <c r="M2669" i="2" a="1"/>
  <c r="M2669" i="2" s="1"/>
  <c r="M2670" i="2" a="1"/>
  <c r="M2670" i="2" s="1"/>
  <c r="L2672" i="2" a="1"/>
  <c r="L2672" i="2" s="1"/>
  <c r="L2673" i="2" a="1"/>
  <c r="L2673" i="2" s="1"/>
  <c r="K2675" i="2" a="1"/>
  <c r="K2675" i="2" s="1"/>
  <c r="K2676" i="2" a="1"/>
  <c r="K2676" i="2" s="1"/>
  <c r="M2677" i="2" a="1"/>
  <c r="M2677" i="2" s="1"/>
  <c r="M2678" i="2" a="1"/>
  <c r="M2678" i="2" s="1"/>
  <c r="L2680" i="2" a="1"/>
  <c r="L2680" i="2" s="1"/>
  <c r="L2681" i="2" a="1"/>
  <c r="L2681" i="2" s="1"/>
  <c r="K2683" i="2" a="1"/>
  <c r="K2683" i="2" s="1"/>
  <c r="K2684" i="2" a="1"/>
  <c r="K2684" i="2" s="1"/>
  <c r="M2685" i="2" a="1"/>
  <c r="M2685" i="2" s="1"/>
  <c r="M2686" i="2" a="1"/>
  <c r="M2686" i="2" s="1"/>
  <c r="L2688" i="2" a="1"/>
  <c r="L2688" i="2" s="1"/>
  <c r="L2689" i="2" a="1"/>
  <c r="L2689" i="2" s="1"/>
  <c r="K2691" i="2" a="1"/>
  <c r="K2691" i="2" s="1"/>
  <c r="K2692" i="2" a="1"/>
  <c r="K2692" i="2" s="1"/>
  <c r="M2693" i="2" a="1"/>
  <c r="M2693" i="2" s="1"/>
  <c r="M2694" i="2" a="1"/>
  <c r="M2694" i="2" s="1"/>
  <c r="L2696" i="2" a="1"/>
  <c r="L2696" i="2" s="1"/>
  <c r="L2697" i="2" a="1"/>
  <c r="L2697" i="2" s="1"/>
  <c r="K2699" i="2" a="1"/>
  <c r="K2699" i="2" s="1"/>
  <c r="K2700" i="2" a="1"/>
  <c r="K2700" i="2" s="1"/>
  <c r="M2701" i="2" a="1"/>
  <c r="M2701" i="2" s="1"/>
  <c r="M2702" i="2" a="1"/>
  <c r="M2702" i="2" s="1"/>
  <c r="L2704" i="2" a="1"/>
  <c r="L2704" i="2" s="1"/>
  <c r="L2705" i="2" a="1"/>
  <c r="L2705" i="2" s="1"/>
  <c r="K2707" i="2" a="1"/>
  <c r="K2707" i="2" s="1"/>
  <c r="K2708" i="2" a="1"/>
  <c r="K2708" i="2" s="1"/>
  <c r="M2709" i="2" a="1"/>
  <c r="M2709" i="2" s="1"/>
  <c r="M2710" i="2" a="1"/>
  <c r="M2710" i="2" s="1"/>
  <c r="L2712" i="2" a="1"/>
  <c r="L2712" i="2" s="1"/>
  <c r="L2713" i="2" a="1"/>
  <c r="L2713" i="2" s="1"/>
  <c r="K2715" i="2" a="1"/>
  <c r="K2715" i="2" s="1"/>
  <c r="K2716" i="2" a="1"/>
  <c r="K2716" i="2" s="1"/>
  <c r="M2717" i="2" a="1"/>
  <c r="M2717" i="2" s="1"/>
  <c r="M2718" i="2" a="1"/>
  <c r="M2718" i="2" s="1"/>
  <c r="L2720" i="2" a="1"/>
  <c r="L2720" i="2" s="1"/>
  <c r="L2721" i="2" a="1"/>
  <c r="L2721" i="2" s="1"/>
  <c r="K2723" i="2" a="1"/>
  <c r="K2723" i="2" s="1"/>
  <c r="K2724" i="2" a="1"/>
  <c r="K2724" i="2" s="1"/>
  <c r="M2725" i="2" a="1"/>
  <c r="M2725" i="2" s="1"/>
  <c r="M2726" i="2" a="1"/>
  <c r="M2726" i="2" s="1"/>
  <c r="L2728" i="2" a="1"/>
  <c r="L2728" i="2" s="1"/>
  <c r="L2729" i="2" a="1"/>
  <c r="L2729" i="2" s="1"/>
  <c r="K2731" i="2" a="1"/>
  <c r="K2731" i="2" s="1"/>
  <c r="M2732" i="2" a="1"/>
  <c r="M2732" i="2" s="1"/>
  <c r="L2734" i="2" a="1"/>
  <c r="L2734" i="2" s="1"/>
  <c r="L2735" i="2" a="1"/>
  <c r="L2735" i="2" s="1"/>
  <c r="K2737" i="2" a="1"/>
  <c r="K2737" i="2" s="1"/>
  <c r="K2738" i="2" a="1"/>
  <c r="K2738" i="2" s="1"/>
  <c r="M2739" i="2" a="1"/>
  <c r="M2739" i="2" s="1"/>
  <c r="M2740" i="2" a="1"/>
  <c r="M2740" i="2" s="1"/>
  <c r="L2742" i="2" a="1"/>
  <c r="L2742" i="2" s="1"/>
  <c r="L2743" i="2" a="1"/>
  <c r="L2743" i="2" s="1"/>
  <c r="K2745" i="2" a="1"/>
  <c r="K2745" i="2" s="1"/>
  <c r="K2746" i="2" a="1"/>
  <c r="K2746" i="2" s="1"/>
  <c r="M2747" i="2" a="1"/>
  <c r="M2747" i="2" s="1"/>
  <c r="M2748" i="2" a="1"/>
  <c r="M2748" i="2" s="1"/>
  <c r="L2750" i="2" a="1"/>
  <c r="L2750" i="2" s="1"/>
  <c r="L2751" i="2" a="1"/>
  <c r="L2751" i="2" s="1"/>
  <c r="K2753" i="2" a="1"/>
  <c r="K2753" i="2" s="1"/>
  <c r="K2754" i="2" a="1"/>
  <c r="K2754" i="2" s="1"/>
  <c r="M2755" i="2" a="1"/>
  <c r="M2755" i="2" s="1"/>
  <c r="M2756" i="2" a="1"/>
  <c r="M2756" i="2" s="1"/>
  <c r="L2758" i="2" a="1"/>
  <c r="L2758" i="2" s="1"/>
  <c r="L2759" i="2" a="1"/>
  <c r="L2759" i="2" s="1"/>
  <c r="K2761" i="2" a="1"/>
  <c r="K2761" i="2" s="1"/>
  <c r="K2762" i="2" a="1"/>
  <c r="K2762" i="2" s="1"/>
  <c r="M2763" i="2" a="1"/>
  <c r="M2763" i="2" s="1"/>
  <c r="M2764" i="2" a="1"/>
  <c r="M2764" i="2" s="1"/>
  <c r="L2766" i="2" a="1"/>
  <c r="L2766" i="2" s="1"/>
  <c r="L2767" i="2" a="1"/>
  <c r="L2767" i="2" s="1"/>
  <c r="K2769" i="2" a="1"/>
  <c r="K2769" i="2" s="1"/>
  <c r="K2770" i="2" a="1"/>
  <c r="K2770" i="2" s="1"/>
  <c r="M2771" i="2" a="1"/>
  <c r="M2771" i="2" s="1"/>
  <c r="M2772" i="2" a="1"/>
  <c r="M2772" i="2" s="1"/>
  <c r="L2774" i="2" a="1"/>
  <c r="L2774" i="2" s="1"/>
  <c r="L2775" i="2" a="1"/>
  <c r="L2775" i="2" s="1"/>
  <c r="K2777" i="2" a="1"/>
  <c r="K2777" i="2" s="1"/>
  <c r="K2778" i="2" a="1"/>
  <c r="K2778" i="2" s="1"/>
  <c r="M2779" i="2" a="1"/>
  <c r="M2779" i="2" s="1"/>
  <c r="M2780" i="2" a="1"/>
  <c r="M2780" i="2" s="1"/>
  <c r="L2782" i="2" a="1"/>
  <c r="L2782" i="2" s="1"/>
  <c r="L2783" i="2" a="1"/>
  <c r="L2783" i="2" s="1"/>
  <c r="K2785" i="2" a="1"/>
  <c r="K2785" i="2" s="1"/>
  <c r="K2786" i="2" a="1"/>
  <c r="K2786" i="2" s="1"/>
  <c r="M2787" i="2" a="1"/>
  <c r="M2787" i="2" s="1"/>
  <c r="M2788" i="2" a="1"/>
  <c r="M2788" i="2" s="1"/>
  <c r="L2790" i="2" a="1"/>
  <c r="L2790" i="2" s="1"/>
  <c r="L2791" i="2" a="1"/>
  <c r="L2791" i="2" s="1"/>
  <c r="K2793" i="2" a="1"/>
  <c r="K2793" i="2" s="1"/>
  <c r="K2794" i="2" a="1"/>
  <c r="K2794" i="2" s="1"/>
  <c r="M2795" i="2" a="1"/>
  <c r="M2795" i="2" s="1"/>
  <c r="M2796" i="2" a="1"/>
  <c r="M2796" i="2" s="1"/>
  <c r="L2798" i="2" a="1"/>
  <c r="L2798" i="2" s="1"/>
  <c r="L2799" i="2" a="1"/>
  <c r="L2799" i="2" s="1"/>
  <c r="K2801" i="2" a="1"/>
  <c r="K2801" i="2" s="1"/>
  <c r="K2802" i="2" a="1"/>
  <c r="K2802" i="2" s="1"/>
  <c r="M2803" i="2" a="1"/>
  <c r="M2803" i="2" s="1"/>
  <c r="M2804" i="2" a="1"/>
  <c r="M2804" i="2" s="1"/>
  <c r="L2806" i="2" a="1"/>
  <c r="L2806" i="2" s="1"/>
  <c r="L2807" i="2" a="1"/>
  <c r="L2807" i="2" s="1"/>
  <c r="K2809" i="2" a="1"/>
  <c r="K2809" i="2" s="1"/>
  <c r="K2810" i="2" a="1"/>
  <c r="K2810" i="2" s="1"/>
  <c r="M2811" i="2" a="1"/>
  <c r="M2811" i="2" s="1"/>
  <c r="M2812" i="2" a="1"/>
  <c r="M2812" i="2" s="1"/>
  <c r="L2814" i="2" a="1"/>
  <c r="L2814" i="2" s="1"/>
  <c r="L2815" i="2" a="1"/>
  <c r="L2815" i="2" s="1"/>
  <c r="K2817" i="2" a="1"/>
  <c r="K2817" i="2" s="1"/>
  <c r="K2818" i="2" a="1"/>
  <c r="K2818" i="2" s="1"/>
  <c r="M2819" i="2" a="1"/>
  <c r="M2819" i="2" s="1"/>
  <c r="M2820" i="2" a="1"/>
  <c r="M2820" i="2" s="1"/>
  <c r="L2822" i="2" a="1"/>
  <c r="L2822" i="2" s="1"/>
  <c r="L2823" i="2" a="1"/>
  <c r="L2823" i="2" s="1"/>
  <c r="K2825" i="2" a="1"/>
  <c r="K2825" i="2" s="1"/>
  <c r="K2826" i="2" a="1"/>
  <c r="K2826" i="2" s="1"/>
  <c r="M2827" i="2" a="1"/>
  <c r="M2827" i="2" s="1"/>
  <c r="M2828" i="2" a="1"/>
  <c r="M2828" i="2" s="1"/>
  <c r="L2830" i="2" a="1"/>
  <c r="L2830" i="2" s="1"/>
  <c r="L2831" i="2" a="1"/>
  <c r="L2831" i="2" s="1"/>
  <c r="K2833" i="2" a="1"/>
  <c r="K2833" i="2" s="1"/>
  <c r="K2834" i="2" a="1"/>
  <c r="K2834" i="2" s="1"/>
  <c r="M2835" i="2" a="1"/>
  <c r="M2835" i="2" s="1"/>
  <c r="M2836" i="2" a="1"/>
  <c r="M2836" i="2" s="1"/>
  <c r="L2838" i="2" a="1"/>
  <c r="L2838" i="2" s="1"/>
  <c r="L2839" i="2" a="1"/>
  <c r="L2839" i="2" s="1"/>
  <c r="K2841" i="2" a="1"/>
  <c r="K2841" i="2" s="1"/>
  <c r="K2842" i="2" a="1"/>
  <c r="K2842" i="2" s="1"/>
  <c r="M2843" i="2" a="1"/>
  <c r="M2843" i="2" s="1"/>
  <c r="M2844" i="2" a="1"/>
  <c r="M2844" i="2" s="1"/>
  <c r="L2846" i="2" a="1"/>
  <c r="L2846" i="2" s="1"/>
  <c r="L2847" i="2" a="1"/>
  <c r="L2847" i="2" s="1"/>
  <c r="K2849" i="2" a="1"/>
  <c r="K2849" i="2" s="1"/>
  <c r="K2850" i="2" a="1"/>
  <c r="K2850" i="2" s="1"/>
  <c r="M2851" i="2" a="1"/>
  <c r="M2851" i="2" s="1"/>
  <c r="M2852" i="2" a="1"/>
  <c r="M2852" i="2" s="1"/>
  <c r="L2854" i="2" a="1"/>
  <c r="L2854" i="2" s="1"/>
  <c r="L2855" i="2" a="1"/>
  <c r="L2855" i="2" s="1"/>
  <c r="K2857" i="2" a="1"/>
  <c r="K2857" i="2" s="1"/>
  <c r="K2858" i="2" a="1"/>
  <c r="K2858" i="2" s="1"/>
  <c r="M2859" i="2" a="1"/>
  <c r="M2859" i="2" s="1"/>
  <c r="M2860" i="2" a="1"/>
  <c r="M2860" i="2" s="1"/>
  <c r="L2862" i="2" a="1"/>
  <c r="L2862" i="2" s="1"/>
  <c r="L2863" i="2" a="1"/>
  <c r="L2863" i="2" s="1"/>
  <c r="K2865" i="2" a="1"/>
  <c r="K2865" i="2" s="1"/>
  <c r="K2866" i="2" a="1"/>
  <c r="K2866" i="2" s="1"/>
  <c r="M2867" i="2" a="1"/>
  <c r="M2867" i="2" s="1"/>
  <c r="M2868" i="2" a="1"/>
  <c r="M2868" i="2" s="1"/>
  <c r="L2870" i="2" a="1"/>
  <c r="L2870" i="2" s="1"/>
  <c r="L2871" i="2" a="1"/>
  <c r="L2871" i="2" s="1"/>
  <c r="K2873" i="2" a="1"/>
  <c r="K2873" i="2" s="1"/>
  <c r="K2874" i="2" a="1"/>
  <c r="K2874" i="2" s="1"/>
  <c r="M2875" i="2" a="1"/>
  <c r="M2875" i="2" s="1"/>
  <c r="M2876" i="2" a="1"/>
  <c r="M2876" i="2" s="1"/>
  <c r="L2878" i="2" a="1"/>
  <c r="L2878" i="2" s="1"/>
  <c r="L2879" i="2" a="1"/>
  <c r="L2879" i="2" s="1"/>
  <c r="K2881" i="2" a="1"/>
  <c r="K2881" i="2" s="1"/>
  <c r="K2882" i="2" a="1"/>
  <c r="K2882" i="2" s="1"/>
  <c r="M2883" i="2" a="1"/>
  <c r="M2883" i="2" s="1"/>
  <c r="M2884" i="2" a="1"/>
  <c r="M2884" i="2" s="1"/>
  <c r="L2886" i="2" a="1"/>
  <c r="L2886" i="2" s="1"/>
  <c r="L2887" i="2" a="1"/>
  <c r="L2887" i="2" s="1"/>
  <c r="K2889" i="2" a="1"/>
  <c r="K2889" i="2" s="1"/>
  <c r="K2890" i="2" a="1"/>
  <c r="K2890" i="2" s="1"/>
  <c r="M2891" i="2" a="1"/>
  <c r="M2891" i="2" s="1"/>
  <c r="M2892" i="2" a="1"/>
  <c r="M2892" i="2" s="1"/>
  <c r="L2894" i="2" a="1"/>
  <c r="L2894" i="2" s="1"/>
  <c r="L2895" i="2" a="1"/>
  <c r="L2895" i="2" s="1"/>
  <c r="K2897" i="2" a="1"/>
  <c r="K2897" i="2" s="1"/>
  <c r="K2898" i="2" a="1"/>
  <c r="K2898" i="2" s="1"/>
  <c r="M2899" i="2" a="1"/>
  <c r="M2899" i="2" s="1"/>
  <c r="M2900" i="2" a="1"/>
  <c r="M2900" i="2" s="1"/>
  <c r="L2902" i="2" a="1"/>
  <c r="L2902" i="2" s="1"/>
  <c r="L2903" i="2" a="1"/>
  <c r="L2903" i="2" s="1"/>
  <c r="K2905" i="2" a="1"/>
  <c r="K2905" i="2" s="1"/>
  <c r="K2906" i="2" a="1"/>
  <c r="K2906" i="2" s="1"/>
  <c r="M2907" i="2" a="1"/>
  <c r="M2907" i="2" s="1"/>
  <c r="M2908" i="2" a="1"/>
  <c r="M2908" i="2" s="1"/>
  <c r="L2910" i="2" a="1"/>
  <c r="L2910" i="2" s="1"/>
  <c r="L2911" i="2" a="1"/>
  <c r="L2911" i="2" s="1"/>
  <c r="K2913" i="2" a="1"/>
  <c r="K2913" i="2" s="1"/>
  <c r="K2914" i="2" a="1"/>
  <c r="K2914" i="2" s="1"/>
  <c r="M2915" i="2" a="1"/>
  <c r="M2915" i="2" s="1"/>
  <c r="M2916" i="2" a="1"/>
  <c r="M2916" i="2" s="1"/>
  <c r="L2918" i="2" a="1"/>
  <c r="L2918" i="2" s="1"/>
  <c r="L2919" i="2" a="1"/>
  <c r="L2919" i="2" s="1"/>
  <c r="K2921" i="2" a="1"/>
  <c r="K2921" i="2" s="1"/>
  <c r="K2922" i="2" a="1"/>
  <c r="K2922" i="2" s="1"/>
  <c r="M2923" i="2" a="1"/>
  <c r="M2923" i="2" s="1"/>
  <c r="M2924" i="2" a="1"/>
  <c r="M2924" i="2" s="1"/>
  <c r="L2926" i="2" a="1"/>
  <c r="L2926" i="2" s="1"/>
  <c r="L2927" i="2" a="1"/>
  <c r="L2927" i="2" s="1"/>
  <c r="K2929" i="2" a="1"/>
  <c r="K2929" i="2" s="1"/>
  <c r="K2930" i="2" a="1"/>
  <c r="K2930" i="2" s="1"/>
  <c r="M2931" i="2" a="1"/>
  <c r="M2931" i="2" s="1"/>
  <c r="M2932" i="2" a="1"/>
  <c r="M2932" i="2" s="1"/>
  <c r="L2934" i="2" a="1"/>
  <c r="L2934" i="2" s="1"/>
  <c r="L2935" i="2" a="1"/>
  <c r="L2935" i="2" s="1"/>
  <c r="K2937" i="2" a="1"/>
  <c r="K2937" i="2" s="1"/>
  <c r="K2938" i="2" a="1"/>
  <c r="K2938" i="2" s="1"/>
  <c r="M2939" i="2" a="1"/>
  <c r="M2939" i="2" s="1"/>
  <c r="M2940" i="2" a="1"/>
  <c r="M2940" i="2" s="1"/>
  <c r="L2942" i="2" a="1"/>
  <c r="L2942" i="2" s="1"/>
  <c r="L2943" i="2" a="1"/>
  <c r="L2943" i="2" s="1"/>
  <c r="K2945" i="2" a="1"/>
  <c r="K2945" i="2" s="1"/>
  <c r="K2946" i="2" a="1"/>
  <c r="K2946" i="2" s="1"/>
  <c r="M2947" i="2" a="1"/>
  <c r="M2947" i="2" s="1"/>
  <c r="M2948" i="2" a="1"/>
  <c r="M2948" i="2" s="1"/>
  <c r="L2950" i="2" a="1"/>
  <c r="L2950" i="2" s="1"/>
  <c r="L2951" i="2" a="1"/>
  <c r="L2951" i="2" s="1"/>
  <c r="K2953" i="2" a="1"/>
  <c r="K2953" i="2" s="1"/>
  <c r="K2954" i="2" a="1"/>
  <c r="K2954" i="2" s="1"/>
  <c r="M2955" i="2" a="1"/>
  <c r="M2955" i="2" s="1"/>
  <c r="M2956" i="2" a="1"/>
  <c r="M2956" i="2" s="1"/>
  <c r="L2958" i="2" a="1"/>
  <c r="L2958" i="2" s="1"/>
  <c r="L2959" i="2" a="1"/>
  <c r="L2959" i="2" s="1"/>
  <c r="K2961" i="2" a="1"/>
  <c r="K2961" i="2" s="1"/>
  <c r="K2962" i="2" a="1"/>
  <c r="K2962" i="2" s="1"/>
  <c r="M2963" i="2" a="1"/>
  <c r="M2963" i="2" s="1"/>
  <c r="M2964" i="2" a="1"/>
  <c r="M2964" i="2" s="1"/>
  <c r="L2966" i="2" a="1"/>
  <c r="L2966" i="2" s="1"/>
  <c r="L2967" i="2" a="1"/>
  <c r="L2967" i="2" s="1"/>
  <c r="K2969" i="2" a="1"/>
  <c r="K2969" i="2" s="1"/>
  <c r="K2970" i="2" a="1"/>
  <c r="K2970" i="2" s="1"/>
  <c r="M2971" i="2" a="1"/>
  <c r="M2971" i="2" s="1"/>
  <c r="M2972" i="2" a="1"/>
  <c r="M2972" i="2" s="1"/>
  <c r="L2974" i="2" a="1"/>
  <c r="L2974" i="2" s="1"/>
  <c r="L2975" i="2" a="1"/>
  <c r="L2975" i="2" s="1"/>
  <c r="K2977" i="2" a="1"/>
  <c r="K2977" i="2" s="1"/>
  <c r="K2978" i="2" a="1"/>
  <c r="K2978" i="2" s="1"/>
  <c r="M2979" i="2" a="1"/>
  <c r="M2979" i="2" s="1"/>
  <c r="M2980" i="2" a="1"/>
  <c r="M2980" i="2" s="1"/>
  <c r="L2982" i="2" a="1"/>
  <c r="L2982" i="2" s="1"/>
  <c r="L2983" i="2" a="1"/>
  <c r="L2983" i="2" s="1"/>
  <c r="K2985" i="2" a="1"/>
  <c r="K2985" i="2" s="1"/>
  <c r="K2986" i="2" a="1"/>
  <c r="K2986" i="2" s="1"/>
  <c r="M2987" i="2" a="1"/>
  <c r="M2987" i="2" s="1"/>
  <c r="M2988" i="2" a="1"/>
  <c r="M2988" i="2" s="1"/>
  <c r="L2990" i="2" a="1"/>
  <c r="L2990" i="2" s="1"/>
  <c r="L2991" i="2" a="1"/>
  <c r="L2991" i="2" s="1"/>
  <c r="K2993" i="2" a="1"/>
  <c r="K2993" i="2" s="1"/>
  <c r="K2994" i="2" a="1"/>
  <c r="K2994" i="2" s="1"/>
  <c r="M2995" i="2" a="1"/>
  <c r="M2995" i="2" s="1"/>
  <c r="M2996" i="2" a="1"/>
  <c r="M2996" i="2" s="1"/>
  <c r="L2998" i="2" a="1"/>
  <c r="L2998" i="2" s="1"/>
  <c r="L2999" i="2" a="1"/>
  <c r="L2999" i="2" s="1"/>
  <c r="K3001" i="2" a="1"/>
  <c r="K3001" i="2" s="1"/>
  <c r="K3002" i="2" a="1"/>
  <c r="K3002" i="2" s="1"/>
  <c r="M3003" i="2" a="1"/>
  <c r="M3003" i="2" s="1"/>
  <c r="M3004" i="2" a="1"/>
  <c r="M3004" i="2" s="1"/>
  <c r="L3006" i="2" a="1"/>
  <c r="L3006" i="2" s="1"/>
  <c r="L3007" i="2" a="1"/>
  <c r="L3007" i="2" s="1"/>
  <c r="K3009" i="2" a="1"/>
  <c r="K3009" i="2" s="1"/>
  <c r="K3010" i="2" a="1"/>
  <c r="K3010" i="2" s="1"/>
  <c r="M3011" i="2" a="1"/>
  <c r="M3011" i="2" s="1"/>
  <c r="M3012" i="2" a="1"/>
  <c r="M3012" i="2" s="1"/>
  <c r="L3014" i="2" a="1"/>
  <c r="L3014" i="2" s="1"/>
  <c r="L3015" i="2" a="1"/>
  <c r="L3015" i="2" s="1"/>
  <c r="K3017" i="2" a="1"/>
  <c r="K3017" i="2" s="1"/>
  <c r="K3018" i="2" a="1"/>
  <c r="K3018" i="2" s="1"/>
  <c r="M3019" i="2" a="1"/>
  <c r="M3019" i="2" s="1"/>
  <c r="M3020" i="2" a="1"/>
  <c r="M3020" i="2" s="1"/>
  <c r="L3022" i="2" a="1"/>
  <c r="L3022" i="2" s="1"/>
  <c r="L3023" i="2" a="1"/>
  <c r="L3023" i="2" s="1"/>
  <c r="K3025" i="2" a="1"/>
  <c r="K3025" i="2" s="1"/>
  <c r="K3026" i="2" a="1"/>
  <c r="K3026" i="2" s="1"/>
  <c r="M3027" i="2" a="1"/>
  <c r="M3027" i="2" s="1"/>
  <c r="M3028" i="2" a="1"/>
  <c r="M3028" i="2" s="1"/>
  <c r="L3030" i="2" a="1"/>
  <c r="L3030" i="2" s="1"/>
  <c r="L3031" i="2" a="1"/>
  <c r="L3031" i="2" s="1"/>
  <c r="K3033" i="2" a="1"/>
  <c r="K3033" i="2" s="1"/>
  <c r="K3034" i="2" a="1"/>
  <c r="K3034" i="2" s="1"/>
  <c r="M3035" i="2" a="1"/>
  <c r="M3035" i="2" s="1"/>
  <c r="M3036" i="2" a="1"/>
  <c r="M3036" i="2" s="1"/>
  <c r="L3038" i="2" a="1"/>
  <c r="L3038" i="2" s="1"/>
  <c r="L3039" i="2" a="1"/>
  <c r="L3039" i="2" s="1"/>
  <c r="K3041" i="2" a="1"/>
  <c r="K3041" i="2" s="1"/>
  <c r="K3042" i="2" a="1"/>
  <c r="K3042" i="2" s="1"/>
  <c r="M3043" i="2" a="1"/>
  <c r="M3043" i="2" s="1"/>
  <c r="M3044" i="2" a="1"/>
  <c r="M3044" i="2" s="1"/>
  <c r="L3046" i="2" a="1"/>
  <c r="L3046" i="2" s="1"/>
  <c r="L3047" i="2" a="1"/>
  <c r="L3047" i="2" s="1"/>
  <c r="K3049" i="2" a="1"/>
  <c r="K3049" i="2" s="1"/>
  <c r="K3050" i="2" a="1"/>
  <c r="K3050" i="2" s="1"/>
  <c r="M3051" i="2" a="1"/>
  <c r="M3051" i="2" s="1"/>
  <c r="M3052" i="2" a="1"/>
  <c r="M3052" i="2" s="1"/>
  <c r="L3054" i="2" a="1"/>
  <c r="L3054" i="2" s="1"/>
  <c r="L3055" i="2" a="1"/>
  <c r="L3055" i="2" s="1"/>
  <c r="K3057" i="2" a="1"/>
  <c r="K3057" i="2" s="1"/>
  <c r="K3058" i="2" a="1"/>
  <c r="K3058" i="2" s="1"/>
  <c r="M3059" i="2" a="1"/>
  <c r="M3059" i="2" s="1"/>
  <c r="M3060" i="2" a="1"/>
  <c r="M3060" i="2" s="1"/>
  <c r="L3062" i="2" a="1"/>
  <c r="L3062" i="2" s="1"/>
  <c r="L3063" i="2" a="1"/>
  <c r="L3063" i="2" s="1"/>
  <c r="K3065" i="2" a="1"/>
  <c r="K3065" i="2" s="1"/>
  <c r="K3066" i="2" a="1"/>
  <c r="K3066" i="2" s="1"/>
  <c r="M3067" i="2" a="1"/>
  <c r="M3067" i="2" s="1"/>
  <c r="M3068" i="2" a="1"/>
  <c r="M3068" i="2" s="1"/>
  <c r="L3070" i="2" a="1"/>
  <c r="L3070" i="2" s="1"/>
  <c r="L3071" i="2" a="1"/>
  <c r="L3071" i="2" s="1"/>
  <c r="K3073" i="2" a="1"/>
  <c r="K3073" i="2" s="1"/>
  <c r="K3074" i="2" a="1"/>
  <c r="K3074" i="2" s="1"/>
  <c r="M3075" i="2" a="1"/>
  <c r="M3075" i="2" s="1"/>
  <c r="M3076" i="2" a="1"/>
  <c r="M3076" i="2" s="1"/>
  <c r="L3078" i="2" a="1"/>
  <c r="L3078" i="2" s="1"/>
  <c r="L3079" i="2" a="1"/>
  <c r="L3079" i="2" s="1"/>
  <c r="K3081" i="2" a="1"/>
  <c r="K3081" i="2" s="1"/>
  <c r="K3082" i="2" a="1"/>
  <c r="K3082" i="2" s="1"/>
  <c r="M3083" i="2" a="1"/>
  <c r="M3083" i="2" s="1"/>
  <c r="M3084" i="2" a="1"/>
  <c r="M3084" i="2" s="1"/>
  <c r="L3086" i="2" a="1"/>
  <c r="L3086" i="2" s="1"/>
  <c r="L3087" i="2" a="1"/>
  <c r="L3087" i="2" s="1"/>
  <c r="K3089" i="2" a="1"/>
  <c r="K3089" i="2" s="1"/>
  <c r="K3090" i="2" a="1"/>
  <c r="K3090" i="2" s="1"/>
  <c r="M3091" i="2" a="1"/>
  <c r="M3091" i="2" s="1"/>
  <c r="M3092" i="2" a="1"/>
  <c r="M3092" i="2" s="1"/>
  <c r="L3094" i="2" a="1"/>
  <c r="L3094" i="2" s="1"/>
  <c r="L3095" i="2" a="1"/>
  <c r="L3095" i="2" s="1"/>
  <c r="K3097" i="2" a="1"/>
  <c r="K3097" i="2" s="1"/>
  <c r="K3098" i="2" a="1"/>
  <c r="K3098" i="2" s="1"/>
  <c r="M3099" i="2" a="1"/>
  <c r="M3099" i="2" s="1"/>
  <c r="M3100" i="2" a="1"/>
  <c r="M3100" i="2" s="1"/>
  <c r="L3102" i="2" a="1"/>
  <c r="L3102" i="2" s="1"/>
  <c r="L3103" i="2" a="1"/>
  <c r="L3103" i="2" s="1"/>
  <c r="K3105" i="2" a="1"/>
  <c r="K3105" i="2" s="1"/>
  <c r="K3106" i="2" a="1"/>
  <c r="K3106" i="2" s="1"/>
  <c r="M3107" i="2" a="1"/>
  <c r="M3107" i="2" s="1"/>
  <c r="M3108" i="2" a="1"/>
  <c r="M3108" i="2" s="1"/>
  <c r="L3110" i="2" a="1"/>
  <c r="L3110" i="2" s="1"/>
  <c r="L3111" i="2" a="1"/>
  <c r="L3111" i="2" s="1"/>
  <c r="K3113" i="2" a="1"/>
  <c r="K3113" i="2" s="1"/>
  <c r="K3114" i="2" a="1"/>
  <c r="K3114" i="2" s="1"/>
  <c r="M3115" i="2" a="1"/>
  <c r="M3115" i="2" s="1"/>
  <c r="M3116" i="2" a="1"/>
  <c r="M3116" i="2" s="1"/>
  <c r="L3118" i="2" a="1"/>
  <c r="L3118" i="2" s="1"/>
  <c r="L3119" i="2" a="1"/>
  <c r="L3119" i="2" s="1"/>
  <c r="K3121" i="2" a="1"/>
  <c r="K3121" i="2" s="1"/>
  <c r="K3122" i="2" a="1"/>
  <c r="K3122" i="2" s="1"/>
  <c r="M3123" i="2" a="1"/>
  <c r="M3123" i="2" s="1"/>
  <c r="M3124" i="2" a="1"/>
  <c r="M3124" i="2" s="1"/>
  <c r="L3126" i="2" a="1"/>
  <c r="L3126" i="2" s="1"/>
  <c r="L3127" i="2" a="1"/>
  <c r="L3127" i="2" s="1"/>
  <c r="K3129" i="2" a="1"/>
  <c r="K3129" i="2" s="1"/>
  <c r="K3130" i="2" a="1"/>
  <c r="K3130" i="2" s="1"/>
  <c r="M3131" i="2" a="1"/>
  <c r="M3131" i="2" s="1"/>
  <c r="K1919" i="2" a="1"/>
  <c r="K1919" i="2" s="1"/>
  <c r="K1920" i="2" a="1"/>
  <c r="K1920" i="2" s="1"/>
  <c r="M1921" i="2" a="1"/>
  <c r="M1921" i="2" s="1"/>
  <c r="M1922" i="2" a="1"/>
  <c r="M1922" i="2" s="1"/>
  <c r="L1924" i="2" a="1"/>
  <c r="L1924" i="2" s="1"/>
  <c r="L1925" i="2" a="1"/>
  <c r="L1925" i="2" s="1"/>
  <c r="K1927" i="2" a="1"/>
  <c r="K1927" i="2" s="1"/>
  <c r="K1928" i="2" a="1"/>
  <c r="K1928" i="2" s="1"/>
  <c r="M1929" i="2" a="1"/>
  <c r="M1929" i="2" s="1"/>
  <c r="M1930" i="2" a="1"/>
  <c r="M1930" i="2" s="1"/>
  <c r="L1932" i="2" a="1"/>
  <c r="L1932" i="2" s="1"/>
  <c r="L1933" i="2" a="1"/>
  <c r="L1933" i="2" s="1"/>
  <c r="K1935" i="2" a="1"/>
  <c r="K1935" i="2" s="1"/>
  <c r="K1936" i="2" a="1"/>
  <c r="K1936" i="2" s="1"/>
  <c r="M1937" i="2" a="1"/>
  <c r="M1937" i="2" s="1"/>
  <c r="M1938" i="2" a="1"/>
  <c r="M1938" i="2" s="1"/>
  <c r="L1940" i="2" a="1"/>
  <c r="L1940" i="2" s="1"/>
  <c r="L1941" i="2" a="1"/>
  <c r="L1941" i="2" s="1"/>
  <c r="K1943" i="2" a="1"/>
  <c r="K1943" i="2" s="1"/>
  <c r="K1944" i="2" a="1"/>
  <c r="K1944" i="2" s="1"/>
  <c r="M1945" i="2" a="1"/>
  <c r="M1945" i="2" s="1"/>
  <c r="M1946" i="2" a="1"/>
  <c r="M1946" i="2" s="1"/>
  <c r="L1948" i="2" a="1"/>
  <c r="L1948" i="2" s="1"/>
  <c r="L1949" i="2" a="1"/>
  <c r="L1949" i="2" s="1"/>
  <c r="K1951" i="2" a="1"/>
  <c r="K1951" i="2" s="1"/>
  <c r="K1952" i="2" a="1"/>
  <c r="K1952" i="2" s="1"/>
  <c r="M1953" i="2" a="1"/>
  <c r="M1953" i="2" s="1"/>
  <c r="M1954" i="2" a="1"/>
  <c r="M1954" i="2" s="1"/>
  <c r="L1956" i="2" a="1"/>
  <c r="L1956" i="2" s="1"/>
  <c r="L1957" i="2" a="1"/>
  <c r="L1957" i="2" s="1"/>
  <c r="K1959" i="2" a="1"/>
  <c r="K1959" i="2" s="1"/>
  <c r="K1960" i="2" a="1"/>
  <c r="K1960" i="2" s="1"/>
  <c r="M1961" i="2" a="1"/>
  <c r="M1961" i="2" s="1"/>
  <c r="M1962" i="2" a="1"/>
  <c r="M1962" i="2" s="1"/>
  <c r="L1964" i="2" a="1"/>
  <c r="L1964" i="2" s="1"/>
  <c r="L1965" i="2" a="1"/>
  <c r="L1965" i="2" s="1"/>
  <c r="K1967" i="2" a="1"/>
  <c r="K1967" i="2" s="1"/>
  <c r="K1968" i="2" a="1"/>
  <c r="K1968" i="2" s="1"/>
  <c r="M1969" i="2" a="1"/>
  <c r="M1969" i="2" s="1"/>
  <c r="M1970" i="2" a="1"/>
  <c r="M1970" i="2" s="1"/>
  <c r="L1972" i="2" a="1"/>
  <c r="L1972" i="2" s="1"/>
  <c r="L1973" i="2" a="1"/>
  <c r="L1973" i="2" s="1"/>
  <c r="K1975" i="2" a="1"/>
  <c r="K1975" i="2" s="1"/>
  <c r="K1976" i="2" a="1"/>
  <c r="K1976" i="2" s="1"/>
  <c r="M1977" i="2" a="1"/>
  <c r="M1977" i="2" s="1"/>
  <c r="M1978" i="2" a="1"/>
  <c r="M1978" i="2" s="1"/>
  <c r="L1980" i="2" a="1"/>
  <c r="L1980" i="2" s="1"/>
  <c r="L1981" i="2" a="1"/>
  <c r="L1981" i="2" s="1"/>
  <c r="K1983" i="2" a="1"/>
  <c r="K1983" i="2" s="1"/>
  <c r="K1984" i="2" a="1"/>
  <c r="K1984" i="2" s="1"/>
  <c r="M1985" i="2" a="1"/>
  <c r="M1985" i="2" s="1"/>
  <c r="M1986" i="2" a="1"/>
  <c r="M1986" i="2" s="1"/>
  <c r="L1988" i="2" a="1"/>
  <c r="L1988" i="2" s="1"/>
  <c r="L1989" i="2" a="1"/>
  <c r="L1989" i="2" s="1"/>
  <c r="K1991" i="2" a="1"/>
  <c r="K1991" i="2" s="1"/>
  <c r="K1992" i="2" a="1"/>
  <c r="K1992" i="2" s="1"/>
  <c r="M1993" i="2" a="1"/>
  <c r="M1993" i="2" s="1"/>
  <c r="M1994" i="2" a="1"/>
  <c r="M1994" i="2" s="1"/>
  <c r="L1996" i="2" a="1"/>
  <c r="L1996" i="2" s="1"/>
  <c r="L1997" i="2" a="1"/>
  <c r="L1997" i="2" s="1"/>
  <c r="K1999" i="2" a="1"/>
  <c r="K1999" i="2" s="1"/>
  <c r="K2000" i="2" a="1"/>
  <c r="K2000" i="2" s="1"/>
  <c r="M2001" i="2" a="1"/>
  <c r="M2001" i="2" s="1"/>
  <c r="M2002" i="2" a="1"/>
  <c r="M2002" i="2" s="1"/>
  <c r="L2004" i="2" a="1"/>
  <c r="L2004" i="2" s="1"/>
  <c r="L2005" i="2" a="1"/>
  <c r="L2005" i="2" s="1"/>
  <c r="K2007" i="2" a="1"/>
  <c r="K2007" i="2" s="1"/>
  <c r="K2008" i="2" a="1"/>
  <c r="K2008" i="2" s="1"/>
  <c r="M2009" i="2" a="1"/>
  <c r="M2009" i="2" s="1"/>
  <c r="M2010" i="2" a="1"/>
  <c r="M2010" i="2" s="1"/>
  <c r="L2012" i="2" a="1"/>
  <c r="L2012" i="2" s="1"/>
  <c r="L2013" i="2" a="1"/>
  <c r="L2013" i="2" s="1"/>
  <c r="K2015" i="2" a="1"/>
  <c r="K2015" i="2" s="1"/>
  <c r="K2016" i="2" a="1"/>
  <c r="K2016" i="2" s="1"/>
  <c r="M2017" i="2" a="1"/>
  <c r="M2017" i="2" s="1"/>
  <c r="M2018" i="2" a="1"/>
  <c r="M2018" i="2" s="1"/>
  <c r="L2020" i="2" a="1"/>
  <c r="L2020" i="2" s="1"/>
  <c r="L2021" i="2" a="1"/>
  <c r="L2021" i="2" s="1"/>
  <c r="K2023" i="2" a="1"/>
  <c r="K2023" i="2" s="1"/>
  <c r="K2024" i="2" a="1"/>
  <c r="K2024" i="2" s="1"/>
  <c r="M2025" i="2" a="1"/>
  <c r="M2025" i="2" s="1"/>
  <c r="M2026" i="2" a="1"/>
  <c r="M2026" i="2" s="1"/>
  <c r="L2028" i="2" a="1"/>
  <c r="L2028" i="2" s="1"/>
  <c r="L2029" i="2" a="1"/>
  <c r="L2029" i="2" s="1"/>
  <c r="K2031" i="2" a="1"/>
  <c r="K2031" i="2" s="1"/>
  <c r="K2032" i="2" a="1"/>
  <c r="K2032" i="2" s="1"/>
  <c r="M2033" i="2" a="1"/>
  <c r="M2033" i="2" s="1"/>
  <c r="M2034" i="2" a="1"/>
  <c r="M2034" i="2" s="1"/>
  <c r="L2036" i="2" a="1"/>
  <c r="L2036" i="2" s="1"/>
  <c r="L2037" i="2" a="1"/>
  <c r="L2037" i="2" s="1"/>
  <c r="K2039" i="2" a="1"/>
  <c r="K2039" i="2" s="1"/>
  <c r="K2040" i="2" a="1"/>
  <c r="K2040" i="2" s="1"/>
  <c r="M2041" i="2" a="1"/>
  <c r="M2041" i="2" s="1"/>
  <c r="M2042" i="2" a="1"/>
  <c r="M2042" i="2" s="1"/>
  <c r="L2044" i="2" a="1"/>
  <c r="L2044" i="2" s="1"/>
  <c r="L2045" i="2" a="1"/>
  <c r="L2045" i="2" s="1"/>
  <c r="K2047" i="2" a="1"/>
  <c r="K2047" i="2" s="1"/>
  <c r="K2048" i="2" a="1"/>
  <c r="K2048" i="2" s="1"/>
  <c r="M2049" i="2" a="1"/>
  <c r="M2049" i="2" s="1"/>
  <c r="M2050" i="2" a="1"/>
  <c r="M2050" i="2" s="1"/>
  <c r="L2052" i="2" a="1"/>
  <c r="L2052" i="2" s="1"/>
  <c r="L2053" i="2" a="1"/>
  <c r="L2053" i="2" s="1"/>
  <c r="K2055" i="2" a="1"/>
  <c r="K2055" i="2" s="1"/>
  <c r="K2056" i="2" a="1"/>
  <c r="K2056" i="2" s="1"/>
  <c r="M2057" i="2" a="1"/>
  <c r="M2057" i="2" s="1"/>
  <c r="M2058" i="2" a="1"/>
  <c r="M2058" i="2" s="1"/>
  <c r="L2060" i="2" a="1"/>
  <c r="L2060" i="2" s="1"/>
  <c r="L2061" i="2" a="1"/>
  <c r="L2061" i="2" s="1"/>
  <c r="K2063" i="2" a="1"/>
  <c r="K2063" i="2" s="1"/>
  <c r="K2064" i="2" a="1"/>
  <c r="K2064" i="2" s="1"/>
  <c r="M2065" i="2" a="1"/>
  <c r="M2065" i="2" s="1"/>
  <c r="M2066" i="2" a="1"/>
  <c r="M2066" i="2" s="1"/>
  <c r="L2068" i="2" a="1"/>
  <c r="L2068" i="2" s="1"/>
  <c r="L2069" i="2" a="1"/>
  <c r="L2069" i="2" s="1"/>
  <c r="K2071" i="2" a="1"/>
  <c r="K2071" i="2" s="1"/>
  <c r="K2072" i="2" a="1"/>
  <c r="K2072" i="2" s="1"/>
  <c r="M2073" i="2" a="1"/>
  <c r="M2073" i="2" s="1"/>
  <c r="M2074" i="2" a="1"/>
  <c r="M2074" i="2" s="1"/>
  <c r="L2076" i="2" a="1"/>
  <c r="L2076" i="2" s="1"/>
  <c r="L2077" i="2" a="1"/>
  <c r="L2077" i="2" s="1"/>
  <c r="K2079" i="2" a="1"/>
  <c r="K2079" i="2" s="1"/>
  <c r="K2080" i="2" a="1"/>
  <c r="K2080" i="2" s="1"/>
  <c r="M2081" i="2" a="1"/>
  <c r="M2081" i="2" s="1"/>
  <c r="M2082" i="2" a="1"/>
  <c r="M2082" i="2" s="1"/>
  <c r="L2084" i="2" a="1"/>
  <c r="L2084" i="2" s="1"/>
  <c r="L2085" i="2" a="1"/>
  <c r="L2085" i="2" s="1"/>
  <c r="K2087" i="2" a="1"/>
  <c r="K2087" i="2" s="1"/>
  <c r="K2088" i="2" a="1"/>
  <c r="K2088" i="2" s="1"/>
  <c r="M2089" i="2" a="1"/>
  <c r="M2089" i="2" s="1"/>
  <c r="M2090" i="2" a="1"/>
  <c r="M2090" i="2" s="1"/>
  <c r="L2092" i="2" a="1"/>
  <c r="L2092" i="2" s="1"/>
  <c r="L2093" i="2" a="1"/>
  <c r="L2093" i="2" s="1"/>
  <c r="K2095" i="2" a="1"/>
  <c r="K2095" i="2" s="1"/>
  <c r="K2096" i="2" a="1"/>
  <c r="K2096" i="2" s="1"/>
  <c r="M2097" i="2" a="1"/>
  <c r="M2097" i="2" s="1"/>
  <c r="M2098" i="2" a="1"/>
  <c r="M2098" i="2" s="1"/>
  <c r="L2100" i="2" a="1"/>
  <c r="L2100" i="2" s="1"/>
  <c r="L2101" i="2" a="1"/>
  <c r="L2101" i="2" s="1"/>
  <c r="K2103" i="2" a="1"/>
  <c r="K2103" i="2" s="1"/>
  <c r="K2104" i="2" a="1"/>
  <c r="K2104" i="2" s="1"/>
  <c r="M2105" i="2" a="1"/>
  <c r="M2105" i="2" s="1"/>
  <c r="M2106" i="2" a="1"/>
  <c r="M2106" i="2" s="1"/>
  <c r="L2108" i="2" a="1"/>
  <c r="L2108" i="2" s="1"/>
  <c r="L2109" i="2" a="1"/>
  <c r="L2109" i="2" s="1"/>
  <c r="K2111" i="2" a="1"/>
  <c r="K2111" i="2" s="1"/>
  <c r="K2112" i="2" a="1"/>
  <c r="K2112" i="2" s="1"/>
  <c r="M2113" i="2" a="1"/>
  <c r="M2113" i="2" s="1"/>
  <c r="M2114" i="2" a="1"/>
  <c r="M2114" i="2" s="1"/>
  <c r="L2116" i="2" a="1"/>
  <c r="L2116" i="2" s="1"/>
  <c r="L2117" i="2" a="1"/>
  <c r="L2117" i="2" s="1"/>
  <c r="K2119" i="2" a="1"/>
  <c r="K2119" i="2" s="1"/>
  <c r="K2120" i="2" a="1"/>
  <c r="K2120" i="2" s="1"/>
  <c r="M2121" i="2" a="1"/>
  <c r="M2121" i="2" s="1"/>
  <c r="M2122" i="2" a="1"/>
  <c r="M2122" i="2" s="1"/>
  <c r="L2124" i="2" a="1"/>
  <c r="L2124" i="2" s="1"/>
  <c r="L2125" i="2" a="1"/>
  <c r="L2125" i="2" s="1"/>
  <c r="K2127" i="2" a="1"/>
  <c r="K2127" i="2" s="1"/>
  <c r="K2128" i="2" a="1"/>
  <c r="K2128" i="2" s="1"/>
  <c r="M2129" i="2" a="1"/>
  <c r="M2129" i="2" s="1"/>
  <c r="M2130" i="2" a="1"/>
  <c r="M2130" i="2" s="1"/>
  <c r="L2132" i="2" a="1"/>
  <c r="L2132" i="2" s="1"/>
  <c r="L2133" i="2" a="1"/>
  <c r="L2133" i="2" s="1"/>
  <c r="K2135" i="2" a="1"/>
  <c r="K2135" i="2" s="1"/>
  <c r="K2136" i="2" a="1"/>
  <c r="K2136" i="2" s="1"/>
  <c r="M2137" i="2" a="1"/>
  <c r="M2137" i="2" s="1"/>
  <c r="M2138" i="2" a="1"/>
  <c r="M2138" i="2" s="1"/>
  <c r="L2140" i="2" a="1"/>
  <c r="L2140" i="2" s="1"/>
  <c r="L2141" i="2" a="1"/>
  <c r="L2141" i="2" s="1"/>
  <c r="K2143" i="2" a="1"/>
  <c r="K2143" i="2" s="1"/>
  <c r="K2144" i="2" a="1"/>
  <c r="K2144" i="2" s="1"/>
  <c r="M2145" i="2" a="1"/>
  <c r="M2145" i="2" s="1"/>
  <c r="M2146" i="2" a="1"/>
  <c r="M2146" i="2" s="1"/>
  <c r="L2148" i="2" a="1"/>
  <c r="L2148" i="2" s="1"/>
  <c r="L2149" i="2" a="1"/>
  <c r="L2149" i="2" s="1"/>
  <c r="K2151" i="2" a="1"/>
  <c r="K2151" i="2" s="1"/>
  <c r="K2152" i="2" a="1"/>
  <c r="K2152" i="2" s="1"/>
  <c r="M2153" i="2" a="1"/>
  <c r="M2153" i="2" s="1"/>
  <c r="M2154" i="2" a="1"/>
  <c r="M2154" i="2" s="1"/>
  <c r="L2156" i="2" a="1"/>
  <c r="L2156" i="2" s="1"/>
  <c r="L2157" i="2" a="1"/>
  <c r="L2157" i="2" s="1"/>
  <c r="K2159" i="2" a="1"/>
  <c r="K2159" i="2" s="1"/>
  <c r="K2160" i="2" a="1"/>
  <c r="K2160" i="2" s="1"/>
  <c r="M2161" i="2" a="1"/>
  <c r="M2161" i="2" s="1"/>
  <c r="M2162" i="2" a="1"/>
  <c r="M2162" i="2" s="1"/>
  <c r="L2164" i="2" a="1"/>
  <c r="L2164" i="2" s="1"/>
  <c r="L2165" i="2" a="1"/>
  <c r="L2165" i="2" s="1"/>
  <c r="K2167" i="2" a="1"/>
  <c r="K2167" i="2" s="1"/>
  <c r="K2168" i="2" a="1"/>
  <c r="K2168" i="2" s="1"/>
  <c r="M2169" i="2" a="1"/>
  <c r="M2169" i="2" s="1"/>
  <c r="M2170" i="2" a="1"/>
  <c r="M2170" i="2" s="1"/>
  <c r="L2172" i="2" a="1"/>
  <c r="L2172" i="2" s="1"/>
  <c r="L2173" i="2" a="1"/>
  <c r="L2173" i="2" s="1"/>
  <c r="K2175" i="2" a="1"/>
  <c r="K2175" i="2" s="1"/>
  <c r="K2176" i="2" a="1"/>
  <c r="K2176" i="2" s="1"/>
  <c r="M2177" i="2" a="1"/>
  <c r="M2177" i="2" s="1"/>
  <c r="M2178" i="2" a="1"/>
  <c r="M2178" i="2" s="1"/>
  <c r="L2180" i="2" a="1"/>
  <c r="L2180" i="2" s="1"/>
  <c r="L2181" i="2" a="1"/>
  <c r="L2181" i="2" s="1"/>
  <c r="K2183" i="2" a="1"/>
  <c r="K2183" i="2" s="1"/>
  <c r="K2184" i="2" a="1"/>
  <c r="K2184" i="2" s="1"/>
  <c r="M2185" i="2" a="1"/>
  <c r="M2185" i="2" s="1"/>
  <c r="M2186" i="2" a="1"/>
  <c r="M2186" i="2" s="1"/>
  <c r="L2188" i="2" a="1"/>
  <c r="L2188" i="2" s="1"/>
  <c r="L2189" i="2" a="1"/>
  <c r="L2189" i="2" s="1"/>
  <c r="K2191" i="2" a="1"/>
  <c r="K2191" i="2" s="1"/>
  <c r="K2192" i="2" a="1"/>
  <c r="K2192" i="2" s="1"/>
  <c r="M2193" i="2" a="1"/>
  <c r="M2193" i="2" s="1"/>
  <c r="M2194" i="2" a="1"/>
  <c r="M2194" i="2" s="1"/>
  <c r="L2196" i="2" a="1"/>
  <c r="L2196" i="2" s="1"/>
  <c r="L2197" i="2" a="1"/>
  <c r="L2197" i="2" s="1"/>
  <c r="K2199" i="2" a="1"/>
  <c r="K2199" i="2" s="1"/>
  <c r="K2200" i="2" a="1"/>
  <c r="K2200" i="2" s="1"/>
  <c r="M2201" i="2" a="1"/>
  <c r="M2201" i="2" s="1"/>
  <c r="M2202" i="2" a="1"/>
  <c r="M2202" i="2" s="1"/>
  <c r="L2204" i="2" a="1"/>
  <c r="L2204" i="2" s="1"/>
  <c r="L2205" i="2" a="1"/>
  <c r="L2205" i="2" s="1"/>
  <c r="K2207" i="2" a="1"/>
  <c r="K2207" i="2" s="1"/>
  <c r="K2208" i="2" a="1"/>
  <c r="K2208" i="2" s="1"/>
  <c r="M2209" i="2" a="1"/>
  <c r="M2209" i="2" s="1"/>
  <c r="M2210" i="2" a="1"/>
  <c r="M2210" i="2" s="1"/>
  <c r="L2212" i="2" a="1"/>
  <c r="L2212" i="2" s="1"/>
  <c r="L2213" i="2" a="1"/>
  <c r="L2213" i="2" s="1"/>
  <c r="K2215" i="2" a="1"/>
  <c r="K2215" i="2" s="1"/>
  <c r="K2216" i="2" a="1"/>
  <c r="K2216" i="2" s="1"/>
  <c r="M2217" i="2" a="1"/>
  <c r="M2217" i="2" s="1"/>
  <c r="M2218" i="2" a="1"/>
  <c r="M2218" i="2" s="1"/>
  <c r="L2220" i="2" a="1"/>
  <c r="L2220" i="2" s="1"/>
  <c r="L2221" i="2" a="1"/>
  <c r="L2221" i="2" s="1"/>
  <c r="K2223" i="2" a="1"/>
  <c r="K2223" i="2" s="1"/>
  <c r="K2224" i="2" a="1"/>
  <c r="K2224" i="2" s="1"/>
  <c r="M2225" i="2" a="1"/>
  <c r="M2225" i="2" s="1"/>
  <c r="M2226" i="2" a="1"/>
  <c r="M2226" i="2" s="1"/>
  <c r="L2228" i="2" a="1"/>
  <c r="L2228" i="2" s="1"/>
  <c r="L2229" i="2" a="1"/>
  <c r="L2229" i="2" s="1"/>
  <c r="K2231" i="2" a="1"/>
  <c r="K2231" i="2" s="1"/>
  <c r="K2232" i="2" a="1"/>
  <c r="K2232" i="2" s="1"/>
  <c r="M2233" i="2" a="1"/>
  <c r="M2233" i="2" s="1"/>
  <c r="M2234" i="2" a="1"/>
  <c r="M2234" i="2" s="1"/>
  <c r="L2236" i="2" a="1"/>
  <c r="L2236" i="2" s="1"/>
  <c r="L2237" i="2" a="1"/>
  <c r="L2237" i="2" s="1"/>
  <c r="K2239" i="2" a="1"/>
  <c r="K2239" i="2" s="1"/>
  <c r="K2240" i="2" a="1"/>
  <c r="K2240" i="2" s="1"/>
  <c r="M2241" i="2" a="1"/>
  <c r="M2241" i="2" s="1"/>
  <c r="M2242" i="2" a="1"/>
  <c r="M2242" i="2" s="1"/>
  <c r="L2244" i="2" a="1"/>
  <c r="L2244" i="2" s="1"/>
  <c r="L2245" i="2" a="1"/>
  <c r="L2245" i="2" s="1"/>
  <c r="K2247" i="2" a="1"/>
  <c r="K2247" i="2" s="1"/>
  <c r="K2248" i="2" a="1"/>
  <c r="K2248" i="2" s="1"/>
  <c r="M2249" i="2" a="1"/>
  <c r="M2249" i="2" s="1"/>
  <c r="M2250" i="2" a="1"/>
  <c r="M2250" i="2" s="1"/>
  <c r="L2252" i="2" a="1"/>
  <c r="L2252" i="2" s="1"/>
  <c r="L2253" i="2" a="1"/>
  <c r="L2253" i="2" s="1"/>
  <c r="K2255" i="2" a="1"/>
  <c r="K2255" i="2" s="1"/>
  <c r="K2256" i="2" a="1"/>
  <c r="K2256" i="2" s="1"/>
  <c r="M2257" i="2" a="1"/>
  <c r="M2257" i="2" s="1"/>
  <c r="M2258" i="2" a="1"/>
  <c r="M2258" i="2" s="1"/>
  <c r="L2260" i="2" a="1"/>
  <c r="L2260" i="2" s="1"/>
  <c r="L2261" i="2" a="1"/>
  <c r="L2261" i="2" s="1"/>
  <c r="K2263" i="2" a="1"/>
  <c r="K2263" i="2" s="1"/>
  <c r="K2264" i="2" a="1"/>
  <c r="K2264" i="2" s="1"/>
  <c r="M2265" i="2" a="1"/>
  <c r="M2265" i="2" s="1"/>
  <c r="M2266" i="2" a="1"/>
  <c r="M2266" i="2" s="1"/>
  <c r="L2268" i="2" a="1"/>
  <c r="L2268" i="2" s="1"/>
  <c r="L2269" i="2" a="1"/>
  <c r="L2269" i="2" s="1"/>
  <c r="K2271" i="2" a="1"/>
  <c r="K2271" i="2" s="1"/>
  <c r="K2272" i="2" a="1"/>
  <c r="K2272" i="2" s="1"/>
  <c r="M2273" i="2" a="1"/>
  <c r="M2273" i="2" s="1"/>
  <c r="M2274" i="2" a="1"/>
  <c r="M2274" i="2" s="1"/>
  <c r="L2276" i="2" a="1"/>
  <c r="L2276" i="2" s="1"/>
  <c r="K2277" i="2" a="1"/>
  <c r="K2277" i="2" s="1"/>
  <c r="K2278" i="2" a="1"/>
  <c r="K2278" i="2" s="1"/>
  <c r="M2279" i="2" a="1"/>
  <c r="M2279" i="2" s="1"/>
  <c r="M2280" i="2" a="1"/>
  <c r="M2280" i="2" s="1"/>
  <c r="L2282" i="2" a="1"/>
  <c r="L2282" i="2" s="1"/>
  <c r="L2283" i="2" a="1"/>
  <c r="L2283" i="2" s="1"/>
  <c r="K2285" i="2" a="1"/>
  <c r="K2285" i="2" s="1"/>
  <c r="K2286" i="2" a="1"/>
  <c r="K2286" i="2" s="1"/>
  <c r="M2287" i="2" a="1"/>
  <c r="M2287" i="2" s="1"/>
  <c r="M2288" i="2" a="1"/>
  <c r="M2288" i="2" s="1"/>
  <c r="L2290" i="2" a="1"/>
  <c r="L2290" i="2" s="1"/>
  <c r="L2291" i="2" a="1"/>
  <c r="L2291" i="2" s="1"/>
  <c r="K2293" i="2" a="1"/>
  <c r="K2293" i="2" s="1"/>
  <c r="K2294" i="2" a="1"/>
  <c r="K2294" i="2" s="1"/>
  <c r="M2295" i="2" a="1"/>
  <c r="M2295" i="2" s="1"/>
  <c r="M2296" i="2" a="1"/>
  <c r="M2296" i="2" s="1"/>
  <c r="L2298" i="2" a="1"/>
  <c r="L2298" i="2" s="1"/>
  <c r="L2299" i="2" a="1"/>
  <c r="L2299" i="2" s="1"/>
  <c r="K2301" i="2" a="1"/>
  <c r="K2301" i="2" s="1"/>
  <c r="K2302" i="2" a="1"/>
  <c r="K2302" i="2" s="1"/>
  <c r="M2303" i="2" a="1"/>
  <c r="M2303" i="2" s="1"/>
  <c r="M2304" i="2" a="1"/>
  <c r="M2304" i="2" s="1"/>
  <c r="L2306" i="2" a="1"/>
  <c r="L2306" i="2" s="1"/>
  <c r="L2307" i="2" a="1"/>
  <c r="L2307" i="2" s="1"/>
  <c r="K2309" i="2" a="1"/>
  <c r="K2309" i="2" s="1"/>
  <c r="K2310" i="2" a="1"/>
  <c r="K2310" i="2" s="1"/>
  <c r="M2311" i="2" a="1"/>
  <c r="M2311" i="2" s="1"/>
  <c r="M2312" i="2" a="1"/>
  <c r="M2312" i="2" s="1"/>
  <c r="L2314" i="2" a="1"/>
  <c r="L2314" i="2" s="1"/>
  <c r="L2315" i="2" a="1"/>
  <c r="L2315" i="2" s="1"/>
  <c r="K2317" i="2" a="1"/>
  <c r="K2317" i="2" s="1"/>
  <c r="K2318" i="2" a="1"/>
  <c r="K2318" i="2" s="1"/>
  <c r="M2319" i="2" a="1"/>
  <c r="M2319" i="2" s="1"/>
  <c r="M2320" i="2" a="1"/>
  <c r="M2320" i="2" s="1"/>
  <c r="L2322" i="2" a="1"/>
  <c r="L2322" i="2" s="1"/>
  <c r="L2323" i="2" a="1"/>
  <c r="L2323" i="2" s="1"/>
  <c r="K2325" i="2" a="1"/>
  <c r="K2325" i="2" s="1"/>
  <c r="K2326" i="2" a="1"/>
  <c r="K2326" i="2" s="1"/>
  <c r="M2327" i="2" a="1"/>
  <c r="M2327" i="2" s="1"/>
  <c r="M2328" i="2" a="1"/>
  <c r="M2328" i="2" s="1"/>
  <c r="L2330" i="2" a="1"/>
  <c r="L2330" i="2" s="1"/>
  <c r="L2331" i="2" a="1"/>
  <c r="L2331" i="2" s="1"/>
  <c r="K2333" i="2" a="1"/>
  <c r="K2333" i="2" s="1"/>
  <c r="K2334" i="2" a="1"/>
  <c r="K2334" i="2" s="1"/>
  <c r="M2335" i="2" a="1"/>
  <c r="M2335" i="2" s="1"/>
  <c r="M2336" i="2" a="1"/>
  <c r="M2336" i="2" s="1"/>
  <c r="L2338" i="2" a="1"/>
  <c r="L2338" i="2" s="1"/>
  <c r="L2339" i="2" a="1"/>
  <c r="L2339" i="2" s="1"/>
  <c r="K2341" i="2" a="1"/>
  <c r="K2341" i="2" s="1"/>
  <c r="K2342" i="2" a="1"/>
  <c r="K2342" i="2" s="1"/>
  <c r="M2343" i="2" a="1"/>
  <c r="M2343" i="2" s="1"/>
  <c r="M2344" i="2" a="1"/>
  <c r="M2344" i="2" s="1"/>
  <c r="L2346" i="2" a="1"/>
  <c r="L2346" i="2" s="1"/>
  <c r="L2347" i="2" a="1"/>
  <c r="L2347" i="2" s="1"/>
  <c r="K2349" i="2" a="1"/>
  <c r="K2349" i="2" s="1"/>
  <c r="K2350" i="2" a="1"/>
  <c r="K2350" i="2" s="1"/>
  <c r="M2351" i="2" a="1"/>
  <c r="M2351" i="2" s="1"/>
  <c r="M2352" i="2" a="1"/>
  <c r="M2352" i="2" s="1"/>
  <c r="L2354" i="2" a="1"/>
  <c r="L2354" i="2" s="1"/>
  <c r="L2355" i="2" a="1"/>
  <c r="L2355" i="2" s="1"/>
  <c r="K2357" i="2" a="1"/>
  <c r="K2357" i="2" s="1"/>
  <c r="K2358" i="2" a="1"/>
  <c r="K2358" i="2" s="1"/>
  <c r="M2359" i="2" a="1"/>
  <c r="M2359" i="2" s="1"/>
  <c r="M2360" i="2" a="1"/>
  <c r="M2360" i="2" s="1"/>
  <c r="L2362" i="2" a="1"/>
  <c r="L2362" i="2" s="1"/>
  <c r="L2363" i="2" a="1"/>
  <c r="L2363" i="2" s="1"/>
  <c r="K2365" i="2" a="1"/>
  <c r="K2365" i="2" s="1"/>
  <c r="K2366" i="2" a="1"/>
  <c r="K2366" i="2" s="1"/>
  <c r="M2367" i="2" a="1"/>
  <c r="M2367" i="2" s="1"/>
  <c r="M2368" i="2" a="1"/>
  <c r="M2368" i="2" s="1"/>
  <c r="L2370" i="2" a="1"/>
  <c r="L2370" i="2" s="1"/>
  <c r="L2371" i="2" a="1"/>
  <c r="L2371" i="2" s="1"/>
  <c r="K2373" i="2" a="1"/>
  <c r="K2373" i="2" s="1"/>
  <c r="K2374" i="2" a="1"/>
  <c r="K2374" i="2" s="1"/>
  <c r="M2375" i="2" a="1"/>
  <c r="M2375" i="2" s="1"/>
  <c r="M2376" i="2" a="1"/>
  <c r="M2376" i="2" s="1"/>
  <c r="L2378" i="2" a="1"/>
  <c r="L2378" i="2" s="1"/>
  <c r="L2379" i="2" a="1"/>
  <c r="L2379" i="2" s="1"/>
  <c r="K2381" i="2" a="1"/>
  <c r="K2381" i="2" s="1"/>
  <c r="K2382" i="2" a="1"/>
  <c r="K2382" i="2" s="1"/>
  <c r="M2383" i="2" a="1"/>
  <c r="M2383" i="2" s="1"/>
  <c r="M2384" i="2" a="1"/>
  <c r="M2384" i="2" s="1"/>
  <c r="L2386" i="2" a="1"/>
  <c r="L2386" i="2" s="1"/>
  <c r="L2387" i="2" a="1"/>
  <c r="L2387" i="2" s="1"/>
  <c r="K2389" i="2" a="1"/>
  <c r="K2389" i="2" s="1"/>
  <c r="K2390" i="2" a="1"/>
  <c r="K2390" i="2" s="1"/>
  <c r="M2391" i="2" a="1"/>
  <c r="M2391" i="2" s="1"/>
  <c r="M2392" i="2" a="1"/>
  <c r="M2392" i="2" s="1"/>
  <c r="L2394" i="2" a="1"/>
  <c r="L2394" i="2" s="1"/>
  <c r="L2395" i="2" a="1"/>
  <c r="L2395" i="2" s="1"/>
  <c r="K2397" i="2" a="1"/>
  <c r="K2397" i="2" s="1"/>
  <c r="K2398" i="2" a="1"/>
  <c r="K2398" i="2" s="1"/>
  <c r="M2399" i="2" a="1"/>
  <c r="M2399" i="2" s="1"/>
  <c r="M2400" i="2" a="1"/>
  <c r="M2400" i="2" s="1"/>
  <c r="L2402" i="2" a="1"/>
  <c r="L2402" i="2" s="1"/>
  <c r="L2403" i="2" a="1"/>
  <c r="L2403" i="2" s="1"/>
  <c r="K2405" i="2" a="1"/>
  <c r="K2405" i="2" s="1"/>
  <c r="K2406" i="2" a="1"/>
  <c r="K2406" i="2" s="1"/>
  <c r="M2407" i="2" a="1"/>
  <c r="M2407" i="2" s="1"/>
  <c r="M2408" i="2" a="1"/>
  <c r="M2408" i="2" s="1"/>
  <c r="L2410" i="2" a="1"/>
  <c r="L2410" i="2" s="1"/>
  <c r="L2411" i="2" a="1"/>
  <c r="L2411" i="2" s="1"/>
  <c r="K2413" i="2" a="1"/>
  <c r="K2413" i="2" s="1"/>
  <c r="K2414" i="2" a="1"/>
  <c r="K2414" i="2" s="1"/>
  <c r="M2415" i="2" a="1"/>
  <c r="M2415" i="2" s="1"/>
  <c r="M2416" i="2" a="1"/>
  <c r="M2416" i="2" s="1"/>
  <c r="L2418" i="2" a="1"/>
  <c r="L2418" i="2" s="1"/>
  <c r="L2419" i="2" a="1"/>
  <c r="L2419" i="2" s="1"/>
  <c r="K2421" i="2" a="1"/>
  <c r="K2421" i="2" s="1"/>
  <c r="K2422" i="2" a="1"/>
  <c r="K2422" i="2" s="1"/>
  <c r="M2423" i="2" a="1"/>
  <c r="M2423" i="2" s="1"/>
  <c r="M2424" i="2" a="1"/>
  <c r="M2424" i="2" s="1"/>
  <c r="L2426" i="2" a="1"/>
  <c r="L2426" i="2" s="1"/>
  <c r="L2427" i="2" a="1"/>
  <c r="L2427" i="2" s="1"/>
  <c r="K2429" i="2" a="1"/>
  <c r="K2429" i="2" s="1"/>
  <c r="K2430" i="2" a="1"/>
  <c r="K2430" i="2" s="1"/>
  <c r="M2431" i="2" a="1"/>
  <c r="M2431" i="2" s="1"/>
  <c r="M2432" i="2" a="1"/>
  <c r="M2432" i="2" s="1"/>
  <c r="L2434" i="2" a="1"/>
  <c r="L2434" i="2" s="1"/>
  <c r="L2435" i="2" a="1"/>
  <c r="L2435" i="2" s="1"/>
  <c r="K2437" i="2" a="1"/>
  <c r="K2437" i="2" s="1"/>
  <c r="K2438" i="2" a="1"/>
  <c r="K2438" i="2" s="1"/>
  <c r="M2439" i="2" a="1"/>
  <c r="M2439" i="2" s="1"/>
  <c r="M2440" i="2" a="1"/>
  <c r="M2440" i="2" s="1"/>
  <c r="L2442" i="2" a="1"/>
  <c r="L2442" i="2" s="1"/>
  <c r="L2443" i="2" a="1"/>
  <c r="L2443" i="2" s="1"/>
  <c r="K2445" i="2" a="1"/>
  <c r="K2445" i="2" s="1"/>
  <c r="K2446" i="2" a="1"/>
  <c r="K2446" i="2" s="1"/>
  <c r="M2447" i="2" a="1"/>
  <c r="M2447" i="2" s="1"/>
  <c r="M2448" i="2" a="1"/>
  <c r="M2448" i="2" s="1"/>
  <c r="L2450" i="2" a="1"/>
  <c r="L2450" i="2" s="1"/>
  <c r="L2451" i="2" a="1"/>
  <c r="L2451" i="2" s="1"/>
  <c r="K2453" i="2" a="1"/>
  <c r="K2453" i="2" s="1"/>
  <c r="K2454" i="2" a="1"/>
  <c r="K2454" i="2" s="1"/>
  <c r="M2455" i="2" a="1"/>
  <c r="M2455" i="2" s="1"/>
  <c r="M2456" i="2" a="1"/>
  <c r="M2456" i="2" s="1"/>
  <c r="L2458" i="2" a="1"/>
  <c r="L2458" i="2" s="1"/>
  <c r="L2459" i="2" a="1"/>
  <c r="L2459" i="2" s="1"/>
  <c r="K2461" i="2" a="1"/>
  <c r="K2461" i="2" s="1"/>
  <c r="K2462" i="2" a="1"/>
  <c r="K2462" i="2" s="1"/>
  <c r="M2463" i="2" a="1"/>
  <c r="M2463" i="2" s="1"/>
  <c r="M2464" i="2" a="1"/>
  <c r="M2464" i="2" s="1"/>
  <c r="L2466" i="2" a="1"/>
  <c r="L2466" i="2" s="1"/>
  <c r="L2467" i="2" a="1"/>
  <c r="L2467" i="2" s="1"/>
  <c r="K2469" i="2" a="1"/>
  <c r="K2469" i="2" s="1"/>
  <c r="K2470" i="2" a="1"/>
  <c r="K2470" i="2" s="1"/>
  <c r="M2471" i="2" a="1"/>
  <c r="M2471" i="2" s="1"/>
  <c r="M2472" i="2" a="1"/>
  <c r="M2472" i="2" s="1"/>
  <c r="L2474" i="2" a="1"/>
  <c r="L2474" i="2" s="1"/>
  <c r="L2475" i="2" a="1"/>
  <c r="L2475" i="2" s="1"/>
  <c r="K2477" i="2" a="1"/>
  <c r="K2477" i="2" s="1"/>
  <c r="K2478" i="2" a="1"/>
  <c r="K2478" i="2" s="1"/>
  <c r="M2479" i="2" a="1"/>
  <c r="M2479" i="2" s="1"/>
  <c r="M2480" i="2" a="1"/>
  <c r="M2480" i="2" s="1"/>
  <c r="L2482" i="2" a="1"/>
  <c r="L2482" i="2" s="1"/>
  <c r="L2483" i="2" a="1"/>
  <c r="L2483" i="2" s="1"/>
  <c r="K2485" i="2" a="1"/>
  <c r="K2485" i="2" s="1"/>
  <c r="K2486" i="2" a="1"/>
  <c r="K2486" i="2" s="1"/>
  <c r="M2487" i="2" a="1"/>
  <c r="M2487" i="2" s="1"/>
  <c r="M2488" i="2" a="1"/>
  <c r="M2488" i="2" s="1"/>
  <c r="L2490" i="2" a="1"/>
  <c r="L2490" i="2" s="1"/>
  <c r="L2491" i="2" a="1"/>
  <c r="L2491" i="2" s="1"/>
  <c r="K2493" i="2" a="1"/>
  <c r="K2493" i="2" s="1"/>
  <c r="K2494" i="2" a="1"/>
  <c r="K2494" i="2" s="1"/>
  <c r="M2495" i="2" a="1"/>
  <c r="M2495" i="2" s="1"/>
  <c r="M2496" i="2" a="1"/>
  <c r="M2496" i="2" s="1"/>
  <c r="L2498" i="2" a="1"/>
  <c r="L2498" i="2" s="1"/>
  <c r="L2499" i="2" a="1"/>
  <c r="L2499" i="2" s="1"/>
  <c r="K2501" i="2" a="1"/>
  <c r="K2501" i="2" s="1"/>
  <c r="K2502" i="2" a="1"/>
  <c r="K2502" i="2" s="1"/>
  <c r="M2503" i="2" a="1"/>
  <c r="M2503" i="2" s="1"/>
  <c r="M2504" i="2" a="1"/>
  <c r="M2504" i="2" s="1"/>
  <c r="L2506" i="2" a="1"/>
  <c r="L2506" i="2" s="1"/>
  <c r="L2507" i="2" a="1"/>
  <c r="L2507" i="2" s="1"/>
  <c r="K2509" i="2" a="1"/>
  <c r="K2509" i="2" s="1"/>
  <c r="K2510" i="2" a="1"/>
  <c r="K2510" i="2" s="1"/>
  <c r="M2511" i="2" a="1"/>
  <c r="M2511" i="2" s="1"/>
  <c r="M2512" i="2" a="1"/>
  <c r="M2512" i="2" s="1"/>
  <c r="L2514" i="2" a="1"/>
  <c r="L2514" i="2" s="1"/>
  <c r="L2515" i="2" a="1"/>
  <c r="L2515" i="2" s="1"/>
  <c r="K2517" i="2" a="1"/>
  <c r="K2517" i="2" s="1"/>
  <c r="K2518" i="2" a="1"/>
  <c r="K2518" i="2" s="1"/>
  <c r="M2519" i="2" a="1"/>
  <c r="M2519" i="2" s="1"/>
  <c r="M2520" i="2" a="1"/>
  <c r="M2520" i="2" s="1"/>
  <c r="L2522" i="2" a="1"/>
  <c r="L2522" i="2" s="1"/>
  <c r="L2523" i="2" a="1"/>
  <c r="L2523" i="2" s="1"/>
  <c r="K2525" i="2" a="1"/>
  <c r="K2525" i="2" s="1"/>
  <c r="K2526" i="2" a="1"/>
  <c r="K2526" i="2" s="1"/>
  <c r="M2527" i="2" a="1"/>
  <c r="M2527" i="2" s="1"/>
  <c r="M2528" i="2" a="1"/>
  <c r="M2528" i="2" s="1"/>
  <c r="L2530" i="2" a="1"/>
  <c r="L2530" i="2" s="1"/>
  <c r="L2531" i="2" a="1"/>
  <c r="L2531" i="2" s="1"/>
  <c r="K2533" i="2" a="1"/>
  <c r="K2533" i="2" s="1"/>
  <c r="K2534" i="2" a="1"/>
  <c r="K2534" i="2" s="1"/>
  <c r="M2535" i="2" a="1"/>
  <c r="M2535" i="2" s="1"/>
  <c r="M2536" i="2" a="1"/>
  <c r="M2536" i="2" s="1"/>
  <c r="L2538" i="2" a="1"/>
  <c r="L2538" i="2" s="1"/>
  <c r="L2539" i="2" a="1"/>
  <c r="L2539" i="2" s="1"/>
  <c r="K2541" i="2" a="1"/>
  <c r="K2541" i="2" s="1"/>
  <c r="K2542" i="2" a="1"/>
  <c r="K2542" i="2" s="1"/>
  <c r="M2543" i="2" a="1"/>
  <c r="M2543" i="2" s="1"/>
  <c r="M2544" i="2" a="1"/>
  <c r="M2544" i="2" s="1"/>
  <c r="L2546" i="2" a="1"/>
  <c r="L2546" i="2" s="1"/>
  <c r="L2547" i="2" a="1"/>
  <c r="L2547" i="2" s="1"/>
  <c r="K2549" i="2" a="1"/>
  <c r="K2549" i="2" s="1"/>
  <c r="K2550" i="2" a="1"/>
  <c r="K2550" i="2" s="1"/>
  <c r="M2551" i="2" a="1"/>
  <c r="M2551" i="2" s="1"/>
  <c r="M2552" i="2" a="1"/>
  <c r="M2552" i="2" s="1"/>
  <c r="L2554" i="2" a="1"/>
  <c r="L2554" i="2" s="1"/>
  <c r="L2555" i="2" a="1"/>
  <c r="L2555" i="2" s="1"/>
  <c r="K2557" i="2" a="1"/>
  <c r="K2557" i="2" s="1"/>
  <c r="K2558" i="2" a="1"/>
  <c r="K2558" i="2" s="1"/>
  <c r="M2559" i="2" a="1"/>
  <c r="M2559" i="2" s="1"/>
  <c r="M2560" i="2" a="1"/>
  <c r="M2560" i="2" s="1"/>
  <c r="L2562" i="2" a="1"/>
  <c r="L2562" i="2" s="1"/>
  <c r="L2563" i="2" a="1"/>
  <c r="L2563" i="2" s="1"/>
  <c r="K2565" i="2" a="1"/>
  <c r="K2565" i="2" s="1"/>
  <c r="K2566" i="2" a="1"/>
  <c r="K2566" i="2" s="1"/>
  <c r="M2567" i="2" a="1"/>
  <c r="M2567" i="2" s="1"/>
  <c r="M2568" i="2" a="1"/>
  <c r="M2568" i="2" s="1"/>
  <c r="L2570" i="2" a="1"/>
  <c r="L2570" i="2" s="1"/>
  <c r="L2571" i="2" a="1"/>
  <c r="L2571" i="2" s="1"/>
  <c r="K2573" i="2" a="1"/>
  <c r="K2573" i="2" s="1"/>
  <c r="K2574" i="2" a="1"/>
  <c r="K2574" i="2" s="1"/>
  <c r="M2575" i="2" a="1"/>
  <c r="M2575" i="2" s="1"/>
  <c r="M2576" i="2" a="1"/>
  <c r="M2576" i="2" s="1"/>
  <c r="L2578" i="2" a="1"/>
  <c r="L2578" i="2" s="1"/>
  <c r="L2579" i="2" a="1"/>
  <c r="L2579" i="2" s="1"/>
  <c r="K2581" i="2" a="1"/>
  <c r="K2581" i="2" s="1"/>
  <c r="K2582" i="2" a="1"/>
  <c r="K2582" i="2" s="1"/>
  <c r="M2583" i="2" a="1"/>
  <c r="M2583" i="2" s="1"/>
  <c r="M2584" i="2" a="1"/>
  <c r="M2584" i="2" s="1"/>
  <c r="L2586" i="2" a="1"/>
  <c r="L2586" i="2" s="1"/>
  <c r="L2587" i="2" a="1"/>
  <c r="L2587" i="2" s="1"/>
  <c r="K2589" i="2" a="1"/>
  <c r="K2589" i="2" s="1"/>
  <c r="K2590" i="2" a="1"/>
  <c r="K2590" i="2" s="1"/>
  <c r="M2591" i="2" a="1"/>
  <c r="M2591" i="2" s="1"/>
  <c r="M2592" i="2" a="1"/>
  <c r="M2592" i="2" s="1"/>
  <c r="L2594" i="2" a="1"/>
  <c r="L2594" i="2" s="1"/>
  <c r="L2595" i="2" a="1"/>
  <c r="L2595" i="2" s="1"/>
  <c r="K2597" i="2" a="1"/>
  <c r="K2597" i="2" s="1"/>
  <c r="K2598" i="2" a="1"/>
  <c r="K2598" i="2" s="1"/>
  <c r="M2599" i="2" a="1"/>
  <c r="M2599" i="2" s="1"/>
  <c r="M2600" i="2" a="1"/>
  <c r="M2600" i="2" s="1"/>
  <c r="L2602" i="2" a="1"/>
  <c r="L2602" i="2" s="1"/>
  <c r="L2603" i="2" a="1"/>
  <c r="L2603" i="2" s="1"/>
  <c r="K2605" i="2" a="1"/>
  <c r="K2605" i="2" s="1"/>
  <c r="K2606" i="2" a="1"/>
  <c r="K2606" i="2" s="1"/>
  <c r="M2607" i="2" a="1"/>
  <c r="M2607" i="2" s="1"/>
  <c r="M2608" i="2" a="1"/>
  <c r="M2608" i="2" s="1"/>
  <c r="L2610" i="2" a="1"/>
  <c r="L2610" i="2" s="1"/>
  <c r="L2611" i="2" a="1"/>
  <c r="L2611" i="2" s="1"/>
  <c r="K2613" i="2" a="1"/>
  <c r="K2613" i="2" s="1"/>
  <c r="K2614" i="2" a="1"/>
  <c r="K2614" i="2" s="1"/>
  <c r="M2615" i="2" a="1"/>
  <c r="M2615" i="2" s="1"/>
  <c r="M2616" i="2" a="1"/>
  <c r="M2616" i="2" s="1"/>
  <c r="L2618" i="2" a="1"/>
  <c r="L2618" i="2" s="1"/>
  <c r="L2619" i="2" a="1"/>
  <c r="L2619" i="2" s="1"/>
  <c r="K2621" i="2" a="1"/>
  <c r="K2621" i="2" s="1"/>
  <c r="K2622" i="2" a="1"/>
  <c r="K2622" i="2" s="1"/>
  <c r="M2623" i="2" a="1"/>
  <c r="M2623" i="2" s="1"/>
  <c r="M2624" i="2" a="1"/>
  <c r="M2624" i="2" s="1"/>
  <c r="L2626" i="2" a="1"/>
  <c r="L2626" i="2" s="1"/>
  <c r="L2627" i="2" a="1"/>
  <c r="L2627" i="2" s="1"/>
  <c r="K2629" i="2" a="1"/>
  <c r="K2629" i="2" s="1"/>
  <c r="K2630" i="2" a="1"/>
  <c r="K2630" i="2" s="1"/>
  <c r="M2631" i="2" a="1"/>
  <c r="M2631" i="2" s="1"/>
  <c r="M2632" i="2" a="1"/>
  <c r="M2632" i="2" s="1"/>
  <c r="L2634" i="2" a="1"/>
  <c r="L2634" i="2" s="1"/>
  <c r="L2635" i="2" a="1"/>
  <c r="L2635" i="2" s="1"/>
  <c r="K2637" i="2" a="1"/>
  <c r="K2637" i="2" s="1"/>
  <c r="K2638" i="2" a="1"/>
  <c r="K2638" i="2" s="1"/>
  <c r="M2639" i="2" a="1"/>
  <c r="M2639" i="2" s="1"/>
  <c r="M2640" i="2" a="1"/>
  <c r="M2640" i="2" s="1"/>
  <c r="L2642" i="2" a="1"/>
  <c r="L2642" i="2" s="1"/>
  <c r="L2643" i="2" a="1"/>
  <c r="L2643" i="2" s="1"/>
  <c r="K2645" i="2" a="1"/>
  <c r="K2645" i="2" s="1"/>
  <c r="K2646" i="2" a="1"/>
  <c r="K2646" i="2" s="1"/>
  <c r="M2647" i="2" a="1"/>
  <c r="M2647" i="2" s="1"/>
  <c r="M2648" i="2" a="1"/>
  <c r="M2648" i="2" s="1"/>
  <c r="L2650" i="2" a="1"/>
  <c r="L2650" i="2" s="1"/>
  <c r="L2651" i="2" a="1"/>
  <c r="L2651" i="2" s="1"/>
  <c r="K2653" i="2" a="1"/>
  <c r="K2653" i="2" s="1"/>
  <c r="K2654" i="2" a="1"/>
  <c r="K2654" i="2" s="1"/>
  <c r="M2655" i="2" a="1"/>
  <c r="M2655" i="2" s="1"/>
  <c r="M2656" i="2" a="1"/>
  <c r="M2656" i="2" s="1"/>
  <c r="L2658" i="2" a="1"/>
  <c r="L2658" i="2" s="1"/>
  <c r="L2659" i="2" a="1"/>
  <c r="L2659" i="2" s="1"/>
  <c r="K2661" i="2" a="1"/>
  <c r="K2661" i="2" s="1"/>
  <c r="K2662" i="2" a="1"/>
  <c r="K2662" i="2" s="1"/>
  <c r="M2663" i="2" a="1"/>
  <c r="M2663" i="2" s="1"/>
  <c r="M2664" i="2" a="1"/>
  <c r="M2664" i="2" s="1"/>
  <c r="L2666" i="2" a="1"/>
  <c r="L2666" i="2" s="1"/>
  <c r="L2667" i="2" a="1"/>
  <c r="L2667" i="2" s="1"/>
  <c r="K2669" i="2" a="1"/>
  <c r="K2669" i="2" s="1"/>
  <c r="K2670" i="2" a="1"/>
  <c r="K2670" i="2" s="1"/>
  <c r="M2671" i="2" a="1"/>
  <c r="M2671" i="2" s="1"/>
  <c r="M2672" i="2" a="1"/>
  <c r="M2672" i="2" s="1"/>
  <c r="L2674" i="2" a="1"/>
  <c r="L2674" i="2" s="1"/>
  <c r="L2675" i="2" a="1"/>
  <c r="L2675" i="2" s="1"/>
  <c r="K2677" i="2" a="1"/>
  <c r="K2677" i="2" s="1"/>
  <c r="K2678" i="2" a="1"/>
  <c r="K2678" i="2" s="1"/>
  <c r="M2679" i="2" a="1"/>
  <c r="M2679" i="2" s="1"/>
  <c r="M2680" i="2" a="1"/>
  <c r="M2680" i="2" s="1"/>
  <c r="L2682" i="2" a="1"/>
  <c r="L2682" i="2" s="1"/>
  <c r="L2683" i="2" a="1"/>
  <c r="L2683" i="2" s="1"/>
  <c r="K2685" i="2" a="1"/>
  <c r="K2685" i="2" s="1"/>
  <c r="K2686" i="2" a="1"/>
  <c r="K2686" i="2" s="1"/>
  <c r="M2687" i="2" a="1"/>
  <c r="M2687" i="2" s="1"/>
  <c r="M2688" i="2" a="1"/>
  <c r="M2688" i="2" s="1"/>
  <c r="L2690" i="2" a="1"/>
  <c r="L2690" i="2" s="1"/>
  <c r="L2691" i="2" a="1"/>
  <c r="L2691" i="2" s="1"/>
  <c r="K2693" i="2" a="1"/>
  <c r="K2693" i="2" s="1"/>
  <c r="K2694" i="2" a="1"/>
  <c r="K2694" i="2" s="1"/>
  <c r="M2695" i="2" a="1"/>
  <c r="M2695" i="2" s="1"/>
  <c r="M2696" i="2" a="1"/>
  <c r="M2696" i="2" s="1"/>
  <c r="L2698" i="2" a="1"/>
  <c r="L2698" i="2" s="1"/>
  <c r="L2699" i="2" a="1"/>
  <c r="L2699" i="2" s="1"/>
  <c r="K2701" i="2" a="1"/>
  <c r="K2701" i="2" s="1"/>
  <c r="K2702" i="2" a="1"/>
  <c r="K2702" i="2" s="1"/>
  <c r="M2703" i="2" a="1"/>
  <c r="M2703" i="2" s="1"/>
  <c r="M2704" i="2" a="1"/>
  <c r="M2704" i="2" s="1"/>
  <c r="L2706" i="2" a="1"/>
  <c r="L2706" i="2" s="1"/>
  <c r="L2707" i="2" a="1"/>
  <c r="L2707" i="2" s="1"/>
  <c r="K2709" i="2" a="1"/>
  <c r="K2709" i="2" s="1"/>
  <c r="K2710" i="2" a="1"/>
  <c r="K2710" i="2" s="1"/>
  <c r="M2711" i="2" a="1"/>
  <c r="M2711" i="2" s="1"/>
  <c r="M2712" i="2" a="1"/>
  <c r="M2712" i="2" s="1"/>
  <c r="L2714" i="2" a="1"/>
  <c r="L2714" i="2" s="1"/>
  <c r="L2715" i="2" a="1"/>
  <c r="L2715" i="2" s="1"/>
  <c r="K2717" i="2" a="1"/>
  <c r="K2717" i="2" s="1"/>
  <c r="K2718" i="2" a="1"/>
  <c r="K2718" i="2" s="1"/>
  <c r="M2719" i="2" a="1"/>
  <c r="M2719" i="2" s="1"/>
  <c r="M2720" i="2" a="1"/>
  <c r="M2720" i="2" s="1"/>
  <c r="L2722" i="2" a="1"/>
  <c r="L2722" i="2" s="1"/>
  <c r="L2723" i="2" a="1"/>
  <c r="L2723" i="2" s="1"/>
  <c r="K2725" i="2" a="1"/>
  <c r="K2725" i="2" s="1"/>
  <c r="K2726" i="2" a="1"/>
  <c r="K2726" i="2" s="1"/>
  <c r="M2727" i="2" a="1"/>
  <c r="M2727" i="2" s="1"/>
  <c r="M2728" i="2" a="1"/>
  <c r="M2728" i="2" s="1"/>
  <c r="L2730" i="2" a="1"/>
  <c r="L2730" i="2" s="1"/>
  <c r="L2731" i="2" a="1"/>
  <c r="L2731" i="2" s="1"/>
  <c r="K2732" i="2" a="1"/>
  <c r="K2732" i="2" s="1"/>
  <c r="M2733" i="2" a="1"/>
  <c r="M2733" i="2" s="1"/>
  <c r="M2734" i="2" a="1"/>
  <c r="M2734" i="2" s="1"/>
  <c r="L2736" i="2" a="1"/>
  <c r="L2736" i="2" s="1"/>
  <c r="L2737" i="2" a="1"/>
  <c r="L2737" i="2" s="1"/>
  <c r="K2739" i="2" a="1"/>
  <c r="K2739" i="2" s="1"/>
  <c r="K2740" i="2" a="1"/>
  <c r="K2740" i="2" s="1"/>
  <c r="M2741" i="2" a="1"/>
  <c r="M2741" i="2" s="1"/>
  <c r="M2742" i="2" a="1"/>
  <c r="M2742" i="2" s="1"/>
  <c r="L2744" i="2" a="1"/>
  <c r="L2744" i="2" s="1"/>
  <c r="L2745" i="2" a="1"/>
  <c r="L2745" i="2" s="1"/>
  <c r="K2747" i="2" a="1"/>
  <c r="K2747" i="2" s="1"/>
  <c r="K2748" i="2" a="1"/>
  <c r="K2748" i="2" s="1"/>
  <c r="M2749" i="2" a="1"/>
  <c r="M2749" i="2" s="1"/>
  <c r="M2750" i="2" a="1"/>
  <c r="M2750" i="2" s="1"/>
  <c r="L2752" i="2" a="1"/>
  <c r="L2752" i="2" s="1"/>
  <c r="L2753" i="2" a="1"/>
  <c r="L2753" i="2" s="1"/>
  <c r="K2755" i="2" a="1"/>
  <c r="K2755" i="2" s="1"/>
  <c r="K2756" i="2" a="1"/>
  <c r="K2756" i="2" s="1"/>
  <c r="M2757" i="2" a="1"/>
  <c r="M2757" i="2" s="1"/>
  <c r="M2758" i="2" a="1"/>
  <c r="M2758" i="2" s="1"/>
  <c r="L2760" i="2" a="1"/>
  <c r="L2760" i="2" s="1"/>
  <c r="L2761" i="2" a="1"/>
  <c r="L2761" i="2" s="1"/>
  <c r="K2763" i="2" a="1"/>
  <c r="K2763" i="2" s="1"/>
  <c r="K2764" i="2" a="1"/>
  <c r="K2764" i="2" s="1"/>
  <c r="M2765" i="2" a="1"/>
  <c r="M2765" i="2" s="1"/>
  <c r="M2766" i="2" a="1"/>
  <c r="M2766" i="2" s="1"/>
  <c r="L2768" i="2" a="1"/>
  <c r="L2768" i="2" s="1"/>
  <c r="L2769" i="2" a="1"/>
  <c r="L2769" i="2" s="1"/>
  <c r="K2771" i="2" a="1"/>
  <c r="K2771" i="2" s="1"/>
  <c r="K2772" i="2" a="1"/>
  <c r="K2772" i="2" s="1"/>
  <c r="M2773" i="2" a="1"/>
  <c r="M2773" i="2" s="1"/>
  <c r="M2774" i="2" a="1"/>
  <c r="M2774" i="2" s="1"/>
  <c r="L2776" i="2" a="1"/>
  <c r="L2776" i="2" s="1"/>
  <c r="L2777" i="2" a="1"/>
  <c r="L2777" i="2" s="1"/>
  <c r="K2779" i="2" a="1"/>
  <c r="K2779" i="2" s="1"/>
  <c r="K2780" i="2" a="1"/>
  <c r="K2780" i="2" s="1"/>
  <c r="M2781" i="2" a="1"/>
  <c r="M2781" i="2" s="1"/>
  <c r="M2782" i="2" a="1"/>
  <c r="M2782" i="2" s="1"/>
  <c r="L2784" i="2" a="1"/>
  <c r="L2784" i="2" s="1"/>
  <c r="L2785" i="2" a="1"/>
  <c r="L2785" i="2" s="1"/>
  <c r="K2787" i="2" a="1"/>
  <c r="K2787" i="2" s="1"/>
  <c r="K2788" i="2" a="1"/>
  <c r="K2788" i="2" s="1"/>
  <c r="M2789" i="2" a="1"/>
  <c r="M2789" i="2" s="1"/>
  <c r="M2790" i="2" a="1"/>
  <c r="M2790" i="2" s="1"/>
  <c r="L2792" i="2" a="1"/>
  <c r="L2792" i="2" s="1"/>
  <c r="L2793" i="2" a="1"/>
  <c r="L2793" i="2" s="1"/>
  <c r="K2795" i="2" a="1"/>
  <c r="K2795" i="2" s="1"/>
  <c r="K2796" i="2" a="1"/>
  <c r="K2796" i="2" s="1"/>
  <c r="M2797" i="2" a="1"/>
  <c r="M2797" i="2" s="1"/>
  <c r="M2798" i="2" a="1"/>
  <c r="M2798" i="2" s="1"/>
  <c r="L2800" i="2" a="1"/>
  <c r="L2800" i="2" s="1"/>
  <c r="L2801" i="2" a="1"/>
  <c r="L2801" i="2" s="1"/>
  <c r="K2803" i="2" a="1"/>
  <c r="K2803" i="2" s="1"/>
  <c r="K2804" i="2" a="1"/>
  <c r="K2804" i="2" s="1"/>
  <c r="M2805" i="2" a="1"/>
  <c r="M2805" i="2" s="1"/>
  <c r="M2806" i="2" a="1"/>
  <c r="M2806" i="2" s="1"/>
  <c r="L2808" i="2" a="1"/>
  <c r="L2808" i="2" s="1"/>
  <c r="L2809" i="2" a="1"/>
  <c r="L2809" i="2" s="1"/>
  <c r="K2811" i="2" a="1"/>
  <c r="K2811" i="2" s="1"/>
  <c r="K2812" i="2" a="1"/>
  <c r="K2812" i="2" s="1"/>
  <c r="M2813" i="2" a="1"/>
  <c r="M2813" i="2" s="1"/>
  <c r="M2814" i="2" a="1"/>
  <c r="M2814" i="2" s="1"/>
  <c r="L2816" i="2" a="1"/>
  <c r="L2816" i="2" s="1"/>
  <c r="L2817" i="2" a="1"/>
  <c r="L2817" i="2" s="1"/>
  <c r="K2819" i="2" a="1"/>
  <c r="K2819" i="2" s="1"/>
  <c r="K2820" i="2" a="1"/>
  <c r="K2820" i="2" s="1"/>
  <c r="M2821" i="2" a="1"/>
  <c r="M2821" i="2" s="1"/>
  <c r="M2822" i="2" a="1"/>
  <c r="M2822" i="2" s="1"/>
  <c r="L2824" i="2" a="1"/>
  <c r="L2824" i="2" s="1"/>
  <c r="L2825" i="2" a="1"/>
  <c r="L2825" i="2" s="1"/>
  <c r="K2827" i="2" a="1"/>
  <c r="K2827" i="2" s="1"/>
  <c r="K2828" i="2" a="1"/>
  <c r="K2828" i="2" s="1"/>
  <c r="M2829" i="2" a="1"/>
  <c r="M2829" i="2" s="1"/>
  <c r="M2830" i="2" a="1"/>
  <c r="M2830" i="2" s="1"/>
  <c r="L2832" i="2" a="1"/>
  <c r="L2832" i="2" s="1"/>
  <c r="L2833" i="2" a="1"/>
  <c r="L2833" i="2" s="1"/>
  <c r="K2835" i="2" a="1"/>
  <c r="K2835" i="2" s="1"/>
  <c r="K2836" i="2" a="1"/>
  <c r="K2836" i="2" s="1"/>
  <c r="M2837" i="2" a="1"/>
  <c r="M2837" i="2" s="1"/>
  <c r="M2838" i="2" a="1"/>
  <c r="M2838" i="2" s="1"/>
  <c r="L2840" i="2" a="1"/>
  <c r="L2840" i="2" s="1"/>
  <c r="L2841" i="2" a="1"/>
  <c r="L2841" i="2" s="1"/>
  <c r="K2843" i="2" a="1"/>
  <c r="K2843" i="2" s="1"/>
  <c r="K2844" i="2" a="1"/>
  <c r="K2844" i="2" s="1"/>
  <c r="M2845" i="2" a="1"/>
  <c r="M2845" i="2" s="1"/>
  <c r="M2846" i="2" a="1"/>
  <c r="M2846" i="2" s="1"/>
  <c r="L2848" i="2" a="1"/>
  <c r="L2848" i="2" s="1"/>
  <c r="L2849" i="2" a="1"/>
  <c r="L2849" i="2" s="1"/>
  <c r="K2851" i="2" a="1"/>
  <c r="K2851" i="2" s="1"/>
  <c r="K2852" i="2" a="1"/>
  <c r="K2852" i="2" s="1"/>
  <c r="M2853" i="2" a="1"/>
  <c r="M2853" i="2" s="1"/>
  <c r="M2854" i="2" a="1"/>
  <c r="M2854" i="2" s="1"/>
  <c r="L2856" i="2" a="1"/>
  <c r="L2856" i="2" s="1"/>
  <c r="L2857" i="2" a="1"/>
  <c r="L2857" i="2" s="1"/>
  <c r="K2859" i="2" a="1"/>
  <c r="K2859" i="2" s="1"/>
  <c r="K2860" i="2" a="1"/>
  <c r="K2860" i="2" s="1"/>
  <c r="M2861" i="2" a="1"/>
  <c r="M2861" i="2" s="1"/>
  <c r="M2862" i="2" a="1"/>
  <c r="M2862" i="2" s="1"/>
  <c r="L2864" i="2" a="1"/>
  <c r="L2864" i="2" s="1"/>
  <c r="L2865" i="2" a="1"/>
  <c r="L2865" i="2" s="1"/>
  <c r="K2867" i="2" a="1"/>
  <c r="K2867" i="2" s="1"/>
  <c r="K2868" i="2" a="1"/>
  <c r="K2868" i="2" s="1"/>
  <c r="M2869" i="2" a="1"/>
  <c r="M2869" i="2" s="1"/>
  <c r="M2870" i="2" a="1"/>
  <c r="M2870" i="2" s="1"/>
  <c r="L2872" i="2" a="1"/>
  <c r="L2872" i="2" s="1"/>
  <c r="L2873" i="2" a="1"/>
  <c r="L2873" i="2" s="1"/>
  <c r="K2875" i="2" a="1"/>
  <c r="K2875" i="2" s="1"/>
  <c r="K2876" i="2" a="1"/>
  <c r="K2876" i="2" s="1"/>
  <c r="M2877" i="2" a="1"/>
  <c r="M2877" i="2" s="1"/>
  <c r="M2878" i="2" a="1"/>
  <c r="M2878" i="2" s="1"/>
  <c r="L2880" i="2" a="1"/>
  <c r="L2880" i="2" s="1"/>
  <c r="L2881" i="2" a="1"/>
  <c r="L2881" i="2" s="1"/>
  <c r="K2883" i="2" a="1"/>
  <c r="K2883" i="2" s="1"/>
  <c r="K2884" i="2" a="1"/>
  <c r="K2884" i="2" s="1"/>
  <c r="M2885" i="2" a="1"/>
  <c r="M2885" i="2" s="1"/>
  <c r="M2886" i="2" a="1"/>
  <c r="M2886" i="2" s="1"/>
  <c r="L2888" i="2" a="1"/>
  <c r="L2888" i="2" s="1"/>
  <c r="L2889" i="2" a="1"/>
  <c r="L2889" i="2" s="1"/>
  <c r="K2891" i="2" a="1"/>
  <c r="K2891" i="2" s="1"/>
  <c r="K2892" i="2" a="1"/>
  <c r="K2892" i="2" s="1"/>
  <c r="M2893" i="2" a="1"/>
  <c r="M2893" i="2" s="1"/>
  <c r="M2894" i="2" a="1"/>
  <c r="M2894" i="2" s="1"/>
  <c r="L2896" i="2" a="1"/>
  <c r="L2896" i="2" s="1"/>
  <c r="L2897" i="2" a="1"/>
  <c r="L2897" i="2" s="1"/>
  <c r="K2899" i="2" a="1"/>
  <c r="K2899" i="2" s="1"/>
  <c r="K2900" i="2" a="1"/>
  <c r="K2900" i="2" s="1"/>
  <c r="M2901" i="2" a="1"/>
  <c r="M2901" i="2" s="1"/>
  <c r="M2902" i="2" a="1"/>
  <c r="M2902" i="2" s="1"/>
  <c r="L2904" i="2" a="1"/>
  <c r="L2904" i="2" s="1"/>
  <c r="L2905" i="2" a="1"/>
  <c r="L2905" i="2" s="1"/>
  <c r="K2907" i="2" a="1"/>
  <c r="K2907" i="2" s="1"/>
  <c r="K2908" i="2" a="1"/>
  <c r="K2908" i="2" s="1"/>
  <c r="M2909" i="2" a="1"/>
  <c r="M2909" i="2" s="1"/>
  <c r="M2910" i="2" a="1"/>
  <c r="M2910" i="2" s="1"/>
  <c r="L2912" i="2" a="1"/>
  <c r="L2912" i="2" s="1"/>
  <c r="L2913" i="2" a="1"/>
  <c r="L2913" i="2" s="1"/>
  <c r="K2915" i="2" a="1"/>
  <c r="K2915" i="2" s="1"/>
  <c r="K2916" i="2" a="1"/>
  <c r="K2916" i="2" s="1"/>
  <c r="M2917" i="2" a="1"/>
  <c r="M2917" i="2" s="1"/>
  <c r="M2918" i="2" a="1"/>
  <c r="M2918" i="2" s="1"/>
  <c r="L2920" i="2" a="1"/>
  <c r="L2920" i="2" s="1"/>
  <c r="L2921" i="2" a="1"/>
  <c r="L2921" i="2" s="1"/>
  <c r="K2923" i="2" a="1"/>
  <c r="K2923" i="2" s="1"/>
  <c r="K2924" i="2" a="1"/>
  <c r="K2924" i="2" s="1"/>
  <c r="M2925" i="2" a="1"/>
  <c r="M2925" i="2" s="1"/>
  <c r="M2926" i="2" a="1"/>
  <c r="M2926" i="2" s="1"/>
  <c r="L2928" i="2" a="1"/>
  <c r="L2928" i="2" s="1"/>
  <c r="L2929" i="2" a="1"/>
  <c r="L2929" i="2" s="1"/>
  <c r="K2931" i="2" a="1"/>
  <c r="K2931" i="2" s="1"/>
  <c r="K2932" i="2" a="1"/>
  <c r="K2932" i="2" s="1"/>
  <c r="M2933" i="2" a="1"/>
  <c r="M2933" i="2" s="1"/>
  <c r="M2934" i="2" a="1"/>
  <c r="M2934" i="2" s="1"/>
  <c r="L2936" i="2" a="1"/>
  <c r="L2936" i="2" s="1"/>
  <c r="L2937" i="2" a="1"/>
  <c r="L2937" i="2" s="1"/>
  <c r="K2939" i="2" a="1"/>
  <c r="K2939" i="2" s="1"/>
  <c r="K2940" i="2" a="1"/>
  <c r="K2940" i="2" s="1"/>
  <c r="M2941" i="2" a="1"/>
  <c r="M2941" i="2" s="1"/>
  <c r="M2942" i="2" a="1"/>
  <c r="M2942" i="2" s="1"/>
  <c r="L2944" i="2" a="1"/>
  <c r="L2944" i="2" s="1"/>
  <c r="L2945" i="2" a="1"/>
  <c r="L2945" i="2" s="1"/>
  <c r="K2947" i="2" a="1"/>
  <c r="K2947" i="2" s="1"/>
  <c r="K2948" i="2" a="1"/>
  <c r="K2948" i="2" s="1"/>
  <c r="M2949" i="2" a="1"/>
  <c r="M2949" i="2" s="1"/>
  <c r="M2950" i="2" a="1"/>
  <c r="M2950" i="2" s="1"/>
  <c r="L2952" i="2" a="1"/>
  <c r="L2952" i="2" s="1"/>
  <c r="L2953" i="2" a="1"/>
  <c r="L2953" i="2" s="1"/>
  <c r="K2955" i="2" a="1"/>
  <c r="K2955" i="2" s="1"/>
  <c r="K2956" i="2" a="1"/>
  <c r="K2956" i="2" s="1"/>
  <c r="M2957" i="2" a="1"/>
  <c r="M2957" i="2" s="1"/>
  <c r="M2958" i="2" a="1"/>
  <c r="M2958" i="2" s="1"/>
  <c r="L2960" i="2" a="1"/>
  <c r="L2960" i="2" s="1"/>
  <c r="L2961" i="2" a="1"/>
  <c r="L2961" i="2" s="1"/>
  <c r="K2963" i="2" a="1"/>
  <c r="K2963" i="2" s="1"/>
  <c r="K2964" i="2" a="1"/>
  <c r="K2964" i="2" s="1"/>
  <c r="M2965" i="2" a="1"/>
  <c r="M2965" i="2" s="1"/>
  <c r="M2966" i="2" a="1"/>
  <c r="M2966" i="2" s="1"/>
  <c r="L2968" i="2" a="1"/>
  <c r="L2968" i="2" s="1"/>
  <c r="L2969" i="2" a="1"/>
  <c r="L2969" i="2" s="1"/>
  <c r="K2971" i="2" a="1"/>
  <c r="K2971" i="2" s="1"/>
  <c r="K2972" i="2" a="1"/>
  <c r="K2972" i="2" s="1"/>
  <c r="M2973" i="2" a="1"/>
  <c r="M2973" i="2" s="1"/>
  <c r="M2974" i="2" a="1"/>
  <c r="M2974" i="2" s="1"/>
  <c r="L2976" i="2" a="1"/>
  <c r="L2976" i="2" s="1"/>
  <c r="L2977" i="2" a="1"/>
  <c r="L2977" i="2" s="1"/>
  <c r="K2979" i="2" a="1"/>
  <c r="K2979" i="2" s="1"/>
  <c r="K2980" i="2" a="1"/>
  <c r="K2980" i="2" s="1"/>
  <c r="M2981" i="2" a="1"/>
  <c r="M2981" i="2" s="1"/>
  <c r="M2982" i="2" a="1"/>
  <c r="M2982" i="2" s="1"/>
  <c r="L2984" i="2" a="1"/>
  <c r="L2984" i="2" s="1"/>
  <c r="L2985" i="2" a="1"/>
  <c r="L2985" i="2" s="1"/>
  <c r="K2987" i="2" a="1"/>
  <c r="K2987" i="2" s="1"/>
  <c r="K2988" i="2" a="1"/>
  <c r="K2988" i="2" s="1"/>
  <c r="M2989" i="2" a="1"/>
  <c r="M2989" i="2" s="1"/>
  <c r="M2990" i="2" a="1"/>
  <c r="M2990" i="2" s="1"/>
  <c r="L2992" i="2" a="1"/>
  <c r="L2992" i="2" s="1"/>
  <c r="L2993" i="2" a="1"/>
  <c r="L2993" i="2" s="1"/>
  <c r="K2995" i="2" a="1"/>
  <c r="K2995" i="2" s="1"/>
  <c r="K2996" i="2" a="1"/>
  <c r="K2996" i="2" s="1"/>
  <c r="M2997" i="2" a="1"/>
  <c r="M2997" i="2" s="1"/>
  <c r="M2998" i="2" a="1"/>
  <c r="M2998" i="2" s="1"/>
  <c r="L3000" i="2" a="1"/>
  <c r="L3000" i="2" s="1"/>
  <c r="L3001" i="2" a="1"/>
  <c r="L3001" i="2" s="1"/>
  <c r="K3003" i="2" a="1"/>
  <c r="K3003" i="2" s="1"/>
  <c r="K3004" i="2" a="1"/>
  <c r="K3004" i="2" s="1"/>
  <c r="M3005" i="2" a="1"/>
  <c r="M3005" i="2" s="1"/>
  <c r="M3006" i="2" a="1"/>
  <c r="M3006" i="2" s="1"/>
  <c r="L3008" i="2" a="1"/>
  <c r="L3008" i="2" s="1"/>
  <c r="L3009" i="2" a="1"/>
  <c r="L3009" i="2" s="1"/>
  <c r="K3011" i="2" a="1"/>
  <c r="K3011" i="2" s="1"/>
  <c r="K3012" i="2" a="1"/>
  <c r="K3012" i="2" s="1"/>
  <c r="M3013" i="2" a="1"/>
  <c r="M3013" i="2" s="1"/>
  <c r="M3014" i="2" a="1"/>
  <c r="M3014" i="2" s="1"/>
  <c r="L3016" i="2" a="1"/>
  <c r="L3016" i="2" s="1"/>
  <c r="L3017" i="2" a="1"/>
  <c r="L3017" i="2" s="1"/>
  <c r="K3019" i="2" a="1"/>
  <c r="K3019" i="2" s="1"/>
  <c r="K3020" i="2" a="1"/>
  <c r="K3020" i="2" s="1"/>
  <c r="M3021" i="2" a="1"/>
  <c r="M3021" i="2" s="1"/>
  <c r="M3022" i="2" a="1"/>
  <c r="M3022" i="2" s="1"/>
  <c r="L3024" i="2" a="1"/>
  <c r="L3024" i="2" s="1"/>
  <c r="L3025" i="2" a="1"/>
  <c r="L3025" i="2" s="1"/>
  <c r="K3027" i="2" a="1"/>
  <c r="K3027" i="2" s="1"/>
  <c r="K3028" i="2" a="1"/>
  <c r="K3028" i="2" s="1"/>
  <c r="M3029" i="2" a="1"/>
  <c r="M3029" i="2" s="1"/>
  <c r="M3030" i="2" a="1"/>
  <c r="M3030" i="2" s="1"/>
  <c r="L3032" i="2" a="1"/>
  <c r="L3032" i="2" s="1"/>
  <c r="L3033" i="2" a="1"/>
  <c r="L3033" i="2" s="1"/>
  <c r="K3035" i="2" a="1"/>
  <c r="K3035" i="2" s="1"/>
  <c r="K3036" i="2" a="1"/>
  <c r="K3036" i="2" s="1"/>
  <c r="M3037" i="2" a="1"/>
  <c r="M3037" i="2" s="1"/>
  <c r="M3038" i="2" a="1"/>
  <c r="M3038" i="2" s="1"/>
  <c r="L3040" i="2" a="1"/>
  <c r="L3040" i="2" s="1"/>
  <c r="L3041" i="2" a="1"/>
  <c r="L3041" i="2" s="1"/>
  <c r="K3043" i="2" a="1"/>
  <c r="K3043" i="2" s="1"/>
  <c r="K3044" i="2" a="1"/>
  <c r="K3044" i="2" s="1"/>
  <c r="M3045" i="2" a="1"/>
  <c r="M3045" i="2" s="1"/>
  <c r="M3046" i="2" a="1"/>
  <c r="M3046" i="2" s="1"/>
  <c r="L3048" i="2" a="1"/>
  <c r="L3048" i="2" s="1"/>
  <c r="L3049" i="2" a="1"/>
  <c r="L3049" i="2" s="1"/>
  <c r="K3051" i="2" a="1"/>
  <c r="K3051" i="2" s="1"/>
  <c r="K3052" i="2" a="1"/>
  <c r="K3052" i="2" s="1"/>
  <c r="M3053" i="2" a="1"/>
  <c r="M3053" i="2" s="1"/>
  <c r="M3054" i="2" a="1"/>
  <c r="M3054" i="2" s="1"/>
  <c r="L3056" i="2" a="1"/>
  <c r="L3056" i="2" s="1"/>
  <c r="L3057" i="2" a="1"/>
  <c r="L3057" i="2" s="1"/>
  <c r="K3059" i="2" a="1"/>
  <c r="K3059" i="2" s="1"/>
  <c r="K3060" i="2" a="1"/>
  <c r="K3060" i="2" s="1"/>
  <c r="M3061" i="2" a="1"/>
  <c r="M3061" i="2" s="1"/>
  <c r="M3062" i="2" a="1"/>
  <c r="M3062" i="2" s="1"/>
  <c r="L3064" i="2" a="1"/>
  <c r="L3064" i="2" s="1"/>
  <c r="L3065" i="2" a="1"/>
  <c r="L3065" i="2" s="1"/>
  <c r="K3067" i="2" a="1"/>
  <c r="K3067" i="2" s="1"/>
  <c r="K3068" i="2" a="1"/>
  <c r="K3068" i="2" s="1"/>
  <c r="M3069" i="2" a="1"/>
  <c r="M3069" i="2" s="1"/>
  <c r="M3070" i="2" a="1"/>
  <c r="M3070" i="2" s="1"/>
  <c r="L3072" i="2" a="1"/>
  <c r="L3072" i="2" s="1"/>
  <c r="L3073" i="2" a="1"/>
  <c r="L3073" i="2" s="1"/>
  <c r="K3075" i="2" a="1"/>
  <c r="K3075" i="2" s="1"/>
  <c r="K3076" i="2" a="1"/>
  <c r="K3076" i="2" s="1"/>
  <c r="M3077" i="2" a="1"/>
  <c r="M3077" i="2" s="1"/>
  <c r="M3078" i="2" a="1"/>
  <c r="M3078" i="2" s="1"/>
  <c r="L3080" i="2" a="1"/>
  <c r="L3080" i="2" s="1"/>
  <c r="L3081" i="2" a="1"/>
  <c r="L3081" i="2" s="1"/>
  <c r="K3083" i="2" a="1"/>
  <c r="K3083" i="2" s="1"/>
  <c r="K3084" i="2" a="1"/>
  <c r="K3084" i="2" s="1"/>
  <c r="M3085" i="2" a="1"/>
  <c r="M3085" i="2" s="1"/>
  <c r="M3086" i="2" a="1"/>
  <c r="M3086" i="2" s="1"/>
  <c r="L3088" i="2" a="1"/>
  <c r="L3088" i="2" s="1"/>
  <c r="L3089" i="2" a="1"/>
  <c r="L3089" i="2" s="1"/>
  <c r="K3091" i="2" a="1"/>
  <c r="K3091" i="2" s="1"/>
  <c r="K3092" i="2" a="1"/>
  <c r="K3092" i="2" s="1"/>
  <c r="M3093" i="2" a="1"/>
  <c r="M3093" i="2" s="1"/>
  <c r="M3094" i="2" a="1"/>
  <c r="M3094" i="2" s="1"/>
  <c r="L3096" i="2" a="1"/>
  <c r="L3096" i="2" s="1"/>
  <c r="L3097" i="2" a="1"/>
  <c r="L3097" i="2" s="1"/>
  <c r="K3099" i="2" a="1"/>
  <c r="K3099" i="2" s="1"/>
  <c r="K3100" i="2" a="1"/>
  <c r="K3100" i="2" s="1"/>
  <c r="M3101" i="2" a="1"/>
  <c r="M3101" i="2" s="1"/>
  <c r="M3102" i="2" a="1"/>
  <c r="M3102" i="2" s="1"/>
  <c r="L3104" i="2" a="1"/>
  <c r="L3104" i="2" s="1"/>
  <c r="L3105" i="2" a="1"/>
  <c r="L3105" i="2" s="1"/>
  <c r="K3107" i="2" a="1"/>
  <c r="K3107" i="2" s="1"/>
  <c r="K3108" i="2" a="1"/>
  <c r="K3108" i="2" s="1"/>
  <c r="M3109" i="2" a="1"/>
  <c r="M3109" i="2" s="1"/>
  <c r="M3110" i="2" a="1"/>
  <c r="M3110" i="2" s="1"/>
  <c r="L3112" i="2" a="1"/>
  <c r="L3112" i="2" s="1"/>
  <c r="L3113" i="2" a="1"/>
  <c r="L3113" i="2" s="1"/>
  <c r="K3115" i="2" a="1"/>
  <c r="K3115" i="2" s="1"/>
  <c r="K3116" i="2" a="1"/>
  <c r="K3116" i="2" s="1"/>
  <c r="M3117" i="2" a="1"/>
  <c r="M3117" i="2" s="1"/>
  <c r="M3118" i="2" a="1"/>
  <c r="M3118" i="2" s="1"/>
  <c r="L3120" i="2" a="1"/>
  <c r="L3120" i="2" s="1"/>
  <c r="L3121" i="2" a="1"/>
  <c r="L3121" i="2" s="1"/>
  <c r="K3123" i="2" a="1"/>
  <c r="K3123" i="2" s="1"/>
  <c r="K3124" i="2" a="1"/>
  <c r="K3124" i="2" s="1"/>
  <c r="M3125" i="2" a="1"/>
  <c r="M3125" i="2" s="1"/>
  <c r="M3126" i="2" a="1"/>
  <c r="M3126" i="2" s="1"/>
  <c r="L3128" i="2" a="1"/>
  <c r="L3128" i="2" s="1"/>
  <c r="L3129" i="2" a="1"/>
  <c r="L3129" i="2" s="1"/>
  <c r="K3131" i="2" a="1"/>
  <c r="K3131" i="2" s="1"/>
  <c r="L1919" i="2" a="1"/>
  <c r="L1919" i="2" s="1"/>
  <c r="K1921" i="2" a="1"/>
  <c r="K1921" i="2" s="1"/>
  <c r="K1922" i="2" a="1"/>
  <c r="K1922" i="2" s="1"/>
  <c r="M1923" i="2" a="1"/>
  <c r="M1923" i="2" s="1"/>
  <c r="M1924" i="2" a="1"/>
  <c r="M1924" i="2" s="1"/>
  <c r="L1926" i="2" a="1"/>
  <c r="L1926" i="2" s="1"/>
  <c r="L1927" i="2" a="1"/>
  <c r="L1927" i="2" s="1"/>
  <c r="K1929" i="2" a="1"/>
  <c r="K1929" i="2" s="1"/>
  <c r="K1930" i="2" a="1"/>
  <c r="K1930" i="2" s="1"/>
  <c r="M1931" i="2" a="1"/>
  <c r="M1931" i="2" s="1"/>
  <c r="M1932" i="2" a="1"/>
  <c r="M1932" i="2" s="1"/>
  <c r="L1934" i="2" a="1"/>
  <c r="L1934" i="2" s="1"/>
  <c r="L1935" i="2" a="1"/>
  <c r="L1935" i="2" s="1"/>
  <c r="K1937" i="2" a="1"/>
  <c r="K1937" i="2" s="1"/>
  <c r="K1938" i="2" a="1"/>
  <c r="K1938" i="2" s="1"/>
  <c r="M1939" i="2" a="1"/>
  <c r="M1939" i="2" s="1"/>
  <c r="M1940" i="2" a="1"/>
  <c r="M1940" i="2" s="1"/>
  <c r="L1942" i="2" a="1"/>
  <c r="L1942" i="2" s="1"/>
  <c r="L1943" i="2" a="1"/>
  <c r="L1943" i="2" s="1"/>
  <c r="K1945" i="2" a="1"/>
  <c r="K1945" i="2" s="1"/>
  <c r="K1946" i="2" a="1"/>
  <c r="K1946" i="2" s="1"/>
  <c r="M1947" i="2" a="1"/>
  <c r="M1947" i="2" s="1"/>
  <c r="M1948" i="2" a="1"/>
  <c r="M1948" i="2" s="1"/>
  <c r="L1950" i="2" a="1"/>
  <c r="L1950" i="2" s="1"/>
  <c r="L1951" i="2" a="1"/>
  <c r="L1951" i="2" s="1"/>
  <c r="K1953" i="2" a="1"/>
  <c r="K1953" i="2" s="1"/>
  <c r="K1954" i="2" a="1"/>
  <c r="K1954" i="2" s="1"/>
  <c r="M1955" i="2" a="1"/>
  <c r="M1955" i="2" s="1"/>
  <c r="M1956" i="2" a="1"/>
  <c r="M1956" i="2" s="1"/>
  <c r="L1958" i="2" a="1"/>
  <c r="L1958" i="2" s="1"/>
  <c r="L1959" i="2" a="1"/>
  <c r="L1959" i="2" s="1"/>
  <c r="K1961" i="2" a="1"/>
  <c r="K1961" i="2" s="1"/>
  <c r="K1962" i="2" a="1"/>
  <c r="K1962" i="2" s="1"/>
  <c r="M1963" i="2" a="1"/>
  <c r="M1963" i="2" s="1"/>
  <c r="M1964" i="2" a="1"/>
  <c r="M1964" i="2" s="1"/>
  <c r="L1966" i="2" a="1"/>
  <c r="L1966" i="2" s="1"/>
  <c r="L1967" i="2" a="1"/>
  <c r="L1967" i="2" s="1"/>
  <c r="K1969" i="2" a="1"/>
  <c r="K1969" i="2" s="1"/>
  <c r="K1970" i="2" a="1"/>
  <c r="K1970" i="2" s="1"/>
  <c r="M1971" i="2" a="1"/>
  <c r="M1971" i="2" s="1"/>
  <c r="M1972" i="2" a="1"/>
  <c r="M1972" i="2" s="1"/>
  <c r="L1974" i="2" a="1"/>
  <c r="L1974" i="2" s="1"/>
  <c r="L1975" i="2" a="1"/>
  <c r="L1975" i="2" s="1"/>
  <c r="K1977" i="2" a="1"/>
  <c r="K1977" i="2" s="1"/>
  <c r="K1978" i="2" a="1"/>
  <c r="K1978" i="2" s="1"/>
  <c r="M1979" i="2" a="1"/>
  <c r="M1979" i="2" s="1"/>
  <c r="M1980" i="2" a="1"/>
  <c r="M1980" i="2" s="1"/>
  <c r="L1982" i="2" a="1"/>
  <c r="L1982" i="2" s="1"/>
  <c r="L1983" i="2" a="1"/>
  <c r="L1983" i="2" s="1"/>
  <c r="K1985" i="2" a="1"/>
  <c r="K1985" i="2" s="1"/>
  <c r="K1986" i="2" a="1"/>
  <c r="K1986" i="2" s="1"/>
  <c r="M1987" i="2" a="1"/>
  <c r="M1987" i="2" s="1"/>
  <c r="M1988" i="2" a="1"/>
  <c r="M1988" i="2" s="1"/>
  <c r="L1990" i="2" a="1"/>
  <c r="L1990" i="2" s="1"/>
  <c r="L1991" i="2" a="1"/>
  <c r="L1991" i="2" s="1"/>
  <c r="K1993" i="2" a="1"/>
  <c r="K1993" i="2" s="1"/>
  <c r="K1994" i="2" a="1"/>
  <c r="K1994" i="2" s="1"/>
  <c r="M1995" i="2" a="1"/>
  <c r="M1995" i="2" s="1"/>
  <c r="M1996" i="2" a="1"/>
  <c r="M1996" i="2" s="1"/>
  <c r="L1998" i="2" a="1"/>
  <c r="L1998" i="2" s="1"/>
  <c r="L1999" i="2" a="1"/>
  <c r="L1999" i="2" s="1"/>
  <c r="K2001" i="2" a="1"/>
  <c r="K2001" i="2" s="1"/>
  <c r="K2002" i="2" a="1"/>
  <c r="K2002" i="2" s="1"/>
  <c r="M2003" i="2" a="1"/>
  <c r="M2003" i="2" s="1"/>
  <c r="M2004" i="2" a="1"/>
  <c r="M2004" i="2" s="1"/>
  <c r="L2006" i="2" a="1"/>
  <c r="L2006" i="2" s="1"/>
  <c r="L2007" i="2" a="1"/>
  <c r="L2007" i="2" s="1"/>
  <c r="K2009" i="2" a="1"/>
  <c r="K2009" i="2" s="1"/>
  <c r="K2010" i="2" a="1"/>
  <c r="K2010" i="2" s="1"/>
  <c r="M2011" i="2" a="1"/>
  <c r="M2011" i="2" s="1"/>
  <c r="M2012" i="2" a="1"/>
  <c r="M2012" i="2" s="1"/>
  <c r="L2014" i="2" a="1"/>
  <c r="L2014" i="2" s="1"/>
  <c r="L2015" i="2" a="1"/>
  <c r="L2015" i="2" s="1"/>
  <c r="K2017" i="2" a="1"/>
  <c r="K2017" i="2" s="1"/>
  <c r="K2018" i="2" a="1"/>
  <c r="K2018" i="2" s="1"/>
  <c r="M2019" i="2" a="1"/>
  <c r="M2019" i="2" s="1"/>
  <c r="M2020" i="2" a="1"/>
  <c r="M2020" i="2" s="1"/>
  <c r="L2022" i="2" a="1"/>
  <c r="L2022" i="2" s="1"/>
  <c r="L2023" i="2" a="1"/>
  <c r="L2023" i="2" s="1"/>
  <c r="K2025" i="2" a="1"/>
  <c r="K2025" i="2" s="1"/>
  <c r="K2026" i="2" a="1"/>
  <c r="K2026" i="2" s="1"/>
  <c r="M2027" i="2" a="1"/>
  <c r="M2027" i="2" s="1"/>
  <c r="M2028" i="2" a="1"/>
  <c r="M2028" i="2" s="1"/>
  <c r="L2030" i="2" a="1"/>
  <c r="L2030" i="2" s="1"/>
  <c r="L2031" i="2" a="1"/>
  <c r="L2031" i="2" s="1"/>
  <c r="K2033" i="2" a="1"/>
  <c r="K2033" i="2" s="1"/>
  <c r="K2034" i="2" a="1"/>
  <c r="K2034" i="2" s="1"/>
  <c r="M2035" i="2" a="1"/>
  <c r="M2035" i="2" s="1"/>
  <c r="M2036" i="2" a="1"/>
  <c r="M2036" i="2" s="1"/>
  <c r="L2038" i="2" a="1"/>
  <c r="L2038" i="2" s="1"/>
  <c r="L2039" i="2" a="1"/>
  <c r="L2039" i="2" s="1"/>
  <c r="K2041" i="2" a="1"/>
  <c r="K2041" i="2" s="1"/>
  <c r="K2042" i="2" a="1"/>
  <c r="K2042" i="2" s="1"/>
  <c r="M2043" i="2" a="1"/>
  <c r="M2043" i="2" s="1"/>
  <c r="M2044" i="2" a="1"/>
  <c r="M2044" i="2" s="1"/>
  <c r="L2046" i="2" a="1"/>
  <c r="L2046" i="2" s="1"/>
  <c r="L2047" i="2" a="1"/>
  <c r="L2047" i="2" s="1"/>
  <c r="K2049" i="2" a="1"/>
  <c r="K2049" i="2" s="1"/>
  <c r="K2050" i="2" a="1"/>
  <c r="K2050" i="2" s="1"/>
  <c r="M2051" i="2" a="1"/>
  <c r="M2051" i="2" s="1"/>
  <c r="M2052" i="2" a="1"/>
  <c r="M2052" i="2" s="1"/>
  <c r="L2054" i="2" a="1"/>
  <c r="L2054" i="2" s="1"/>
  <c r="L2055" i="2" a="1"/>
  <c r="L2055" i="2" s="1"/>
  <c r="K2057" i="2" a="1"/>
  <c r="K2057" i="2" s="1"/>
  <c r="K2058" i="2" a="1"/>
  <c r="K2058" i="2" s="1"/>
  <c r="M2059" i="2" a="1"/>
  <c r="M2059" i="2" s="1"/>
  <c r="M2060" i="2" a="1"/>
  <c r="M2060" i="2" s="1"/>
  <c r="L2062" i="2" a="1"/>
  <c r="L2062" i="2" s="1"/>
  <c r="L2063" i="2" a="1"/>
  <c r="L2063" i="2" s="1"/>
  <c r="K2065" i="2" a="1"/>
  <c r="K2065" i="2" s="1"/>
  <c r="K2066" i="2" a="1"/>
  <c r="K2066" i="2" s="1"/>
  <c r="M2067" i="2" a="1"/>
  <c r="M2067" i="2" s="1"/>
  <c r="M2068" i="2" a="1"/>
  <c r="M2068" i="2" s="1"/>
  <c r="L2070" i="2" a="1"/>
  <c r="L2070" i="2" s="1"/>
  <c r="L2071" i="2" a="1"/>
  <c r="L2071" i="2" s="1"/>
  <c r="K2073" i="2" a="1"/>
  <c r="K2073" i="2" s="1"/>
  <c r="K2074" i="2" a="1"/>
  <c r="K2074" i="2" s="1"/>
  <c r="M2075" i="2" a="1"/>
  <c r="M2075" i="2" s="1"/>
  <c r="M2076" i="2" a="1"/>
  <c r="M2076" i="2" s="1"/>
  <c r="L2078" i="2" a="1"/>
  <c r="L2078" i="2" s="1"/>
  <c r="L2079" i="2" a="1"/>
  <c r="L2079" i="2" s="1"/>
  <c r="K2081" i="2" a="1"/>
  <c r="K2081" i="2" s="1"/>
  <c r="K2082" i="2" a="1"/>
  <c r="K2082" i="2" s="1"/>
  <c r="M2083" i="2" a="1"/>
  <c r="M2083" i="2" s="1"/>
  <c r="M2084" i="2" a="1"/>
  <c r="M2084" i="2" s="1"/>
  <c r="L2086" i="2" a="1"/>
  <c r="L2086" i="2" s="1"/>
  <c r="L2087" i="2" a="1"/>
  <c r="L2087" i="2" s="1"/>
  <c r="K2089" i="2" a="1"/>
  <c r="K2089" i="2" s="1"/>
  <c r="K2090" i="2" a="1"/>
  <c r="K2090" i="2" s="1"/>
  <c r="M2091" i="2" a="1"/>
  <c r="M2091" i="2" s="1"/>
  <c r="M2092" i="2" a="1"/>
  <c r="M2092" i="2" s="1"/>
  <c r="L2094" i="2" a="1"/>
  <c r="L2094" i="2" s="1"/>
  <c r="L2095" i="2" a="1"/>
  <c r="L2095" i="2" s="1"/>
  <c r="K2097" i="2" a="1"/>
  <c r="K2097" i="2" s="1"/>
  <c r="K2098" i="2" a="1"/>
  <c r="K2098" i="2" s="1"/>
  <c r="M2099" i="2" a="1"/>
  <c r="M2099" i="2" s="1"/>
  <c r="M2100" i="2" a="1"/>
  <c r="M2100" i="2" s="1"/>
  <c r="L2102" i="2" a="1"/>
  <c r="L2102" i="2" s="1"/>
  <c r="L2103" i="2" a="1"/>
  <c r="L2103" i="2" s="1"/>
  <c r="K2105" i="2" a="1"/>
  <c r="K2105" i="2" s="1"/>
  <c r="K2106" i="2" a="1"/>
  <c r="K2106" i="2" s="1"/>
  <c r="M2107" i="2" a="1"/>
  <c r="M2107" i="2" s="1"/>
  <c r="M2108" i="2" a="1"/>
  <c r="M2108" i="2" s="1"/>
  <c r="L2110" i="2" a="1"/>
  <c r="L2110" i="2" s="1"/>
  <c r="L2111" i="2" a="1"/>
  <c r="L2111" i="2" s="1"/>
  <c r="K2113" i="2" a="1"/>
  <c r="K2113" i="2" s="1"/>
  <c r="K2114" i="2" a="1"/>
  <c r="K2114" i="2" s="1"/>
  <c r="M2115" i="2" a="1"/>
  <c r="M2115" i="2" s="1"/>
  <c r="M2116" i="2" a="1"/>
  <c r="M2116" i="2" s="1"/>
  <c r="L2118" i="2" a="1"/>
  <c r="L2118" i="2" s="1"/>
  <c r="L2119" i="2" a="1"/>
  <c r="L2119" i="2" s="1"/>
  <c r="K2121" i="2" a="1"/>
  <c r="K2121" i="2" s="1"/>
  <c r="K2122" i="2" a="1"/>
  <c r="K2122" i="2" s="1"/>
  <c r="M2123" i="2" a="1"/>
  <c r="M2123" i="2" s="1"/>
  <c r="M2124" i="2" a="1"/>
  <c r="M2124" i="2" s="1"/>
  <c r="L2126" i="2" a="1"/>
  <c r="L2126" i="2" s="1"/>
  <c r="L2127" i="2" a="1"/>
  <c r="L2127" i="2" s="1"/>
  <c r="K2129" i="2" a="1"/>
  <c r="K2129" i="2" s="1"/>
  <c r="K2130" i="2" a="1"/>
  <c r="K2130" i="2" s="1"/>
  <c r="M2131" i="2" a="1"/>
  <c r="M2131" i="2" s="1"/>
  <c r="M2132" i="2" a="1"/>
  <c r="M2132" i="2" s="1"/>
  <c r="L2134" i="2" a="1"/>
  <c r="L2134" i="2" s="1"/>
  <c r="L2135" i="2" a="1"/>
  <c r="L2135" i="2" s="1"/>
  <c r="K2137" i="2" a="1"/>
  <c r="K2137" i="2" s="1"/>
  <c r="K2138" i="2" a="1"/>
  <c r="K2138" i="2" s="1"/>
  <c r="M2139" i="2" a="1"/>
  <c r="M2139" i="2" s="1"/>
  <c r="M2140" i="2" a="1"/>
  <c r="M2140" i="2" s="1"/>
  <c r="L2142" i="2" a="1"/>
  <c r="L2142" i="2" s="1"/>
  <c r="L2143" i="2" a="1"/>
  <c r="L2143" i="2" s="1"/>
  <c r="K2145" i="2" a="1"/>
  <c r="K2145" i="2" s="1"/>
  <c r="K2146" i="2" a="1"/>
  <c r="K2146" i="2" s="1"/>
  <c r="M2147" i="2" a="1"/>
  <c r="M2147" i="2" s="1"/>
  <c r="M2148" i="2" a="1"/>
  <c r="M2148" i="2" s="1"/>
  <c r="L2150" i="2" a="1"/>
  <c r="L2150" i="2" s="1"/>
  <c r="L2151" i="2" a="1"/>
  <c r="L2151" i="2" s="1"/>
  <c r="K2153" i="2" a="1"/>
  <c r="K2153" i="2" s="1"/>
  <c r="K2154" i="2" a="1"/>
  <c r="K2154" i="2" s="1"/>
  <c r="M2155" i="2" a="1"/>
  <c r="M2155" i="2" s="1"/>
  <c r="M2156" i="2" a="1"/>
  <c r="M2156" i="2" s="1"/>
  <c r="L2158" i="2" a="1"/>
  <c r="L2158" i="2" s="1"/>
  <c r="L2159" i="2" a="1"/>
  <c r="L2159" i="2" s="1"/>
  <c r="K2161" i="2" a="1"/>
  <c r="K2161" i="2" s="1"/>
  <c r="K2162" i="2" a="1"/>
  <c r="K2162" i="2" s="1"/>
  <c r="M2163" i="2" a="1"/>
  <c r="M2163" i="2" s="1"/>
  <c r="M2164" i="2" a="1"/>
  <c r="M2164" i="2" s="1"/>
  <c r="L2166" i="2" a="1"/>
  <c r="L2166" i="2" s="1"/>
  <c r="L2167" i="2" a="1"/>
  <c r="L2167" i="2" s="1"/>
  <c r="K2169" i="2" a="1"/>
  <c r="K2169" i="2" s="1"/>
  <c r="K2170" i="2" a="1"/>
  <c r="K2170" i="2" s="1"/>
  <c r="M2171" i="2" a="1"/>
  <c r="M2171" i="2" s="1"/>
  <c r="M2172" i="2" a="1"/>
  <c r="M2172" i="2" s="1"/>
  <c r="L2174" i="2" a="1"/>
  <c r="L2174" i="2" s="1"/>
  <c r="L2175" i="2" a="1"/>
  <c r="L2175" i="2" s="1"/>
  <c r="K2177" i="2" a="1"/>
  <c r="K2177" i="2" s="1"/>
  <c r="K2178" i="2" a="1"/>
  <c r="K2178" i="2" s="1"/>
  <c r="M2179" i="2" a="1"/>
  <c r="M2179" i="2" s="1"/>
  <c r="M2180" i="2" a="1"/>
  <c r="M2180" i="2" s="1"/>
  <c r="L2182" i="2" a="1"/>
  <c r="L2182" i="2" s="1"/>
  <c r="L2183" i="2" a="1"/>
  <c r="L2183" i="2" s="1"/>
  <c r="K2185" i="2" a="1"/>
  <c r="K2185" i="2" s="1"/>
  <c r="K2186" i="2" a="1"/>
  <c r="K2186" i="2" s="1"/>
  <c r="M2187" i="2" a="1"/>
  <c r="M2187" i="2" s="1"/>
  <c r="M2188" i="2" a="1"/>
  <c r="M2188" i="2" s="1"/>
  <c r="L2190" i="2" a="1"/>
  <c r="L2190" i="2" s="1"/>
  <c r="L2191" i="2" a="1"/>
  <c r="L2191" i="2" s="1"/>
  <c r="K2193" i="2" a="1"/>
  <c r="K2193" i="2" s="1"/>
  <c r="K2194" i="2" a="1"/>
  <c r="K2194" i="2" s="1"/>
  <c r="M2195" i="2" a="1"/>
  <c r="M2195" i="2" s="1"/>
  <c r="M2196" i="2" a="1"/>
  <c r="M2196" i="2" s="1"/>
  <c r="L2198" i="2" a="1"/>
  <c r="L2198" i="2" s="1"/>
  <c r="L2199" i="2" a="1"/>
  <c r="L2199" i="2" s="1"/>
  <c r="K2201" i="2" a="1"/>
  <c r="K2201" i="2" s="1"/>
  <c r="K2202" i="2" a="1"/>
  <c r="K2202" i="2" s="1"/>
  <c r="M2203" i="2" a="1"/>
  <c r="M2203" i="2" s="1"/>
  <c r="M2204" i="2" a="1"/>
  <c r="M2204" i="2" s="1"/>
  <c r="L2206" i="2" a="1"/>
  <c r="L2206" i="2" s="1"/>
  <c r="L2207" i="2" a="1"/>
  <c r="L2207" i="2" s="1"/>
  <c r="K2209" i="2" a="1"/>
  <c r="K2209" i="2" s="1"/>
  <c r="K2210" i="2" a="1"/>
  <c r="K2210" i="2" s="1"/>
  <c r="M2211" i="2" a="1"/>
  <c r="M2211" i="2" s="1"/>
  <c r="M2212" i="2" a="1"/>
  <c r="M2212" i="2" s="1"/>
  <c r="L2214" i="2" a="1"/>
  <c r="L2214" i="2" s="1"/>
  <c r="L2215" i="2" a="1"/>
  <c r="L2215" i="2" s="1"/>
  <c r="K2217" i="2" a="1"/>
  <c r="K2217" i="2" s="1"/>
  <c r="K2218" i="2" a="1"/>
  <c r="K2218" i="2" s="1"/>
  <c r="M2219" i="2" a="1"/>
  <c r="M2219" i="2" s="1"/>
  <c r="M2220" i="2" a="1"/>
  <c r="M2220" i="2" s="1"/>
  <c r="L2222" i="2" a="1"/>
  <c r="L2222" i="2" s="1"/>
  <c r="L2223" i="2" a="1"/>
  <c r="L2223" i="2" s="1"/>
  <c r="K2225" i="2" a="1"/>
  <c r="K2225" i="2" s="1"/>
  <c r="K2226" i="2" a="1"/>
  <c r="K2226" i="2" s="1"/>
  <c r="M2227" i="2" a="1"/>
  <c r="M2227" i="2" s="1"/>
  <c r="M2228" i="2" a="1"/>
  <c r="M2228" i="2" s="1"/>
  <c r="L2230" i="2" a="1"/>
  <c r="L2230" i="2" s="1"/>
  <c r="L2231" i="2" a="1"/>
  <c r="L2231" i="2" s="1"/>
  <c r="K2233" i="2" a="1"/>
  <c r="K2233" i="2" s="1"/>
  <c r="K2234" i="2" a="1"/>
  <c r="K2234" i="2" s="1"/>
  <c r="M2235" i="2" a="1"/>
  <c r="M2235" i="2" s="1"/>
  <c r="M2236" i="2" a="1"/>
  <c r="M2236" i="2" s="1"/>
  <c r="L2238" i="2" a="1"/>
  <c r="L2238" i="2" s="1"/>
  <c r="L2239" i="2" a="1"/>
  <c r="L2239" i="2" s="1"/>
  <c r="K2241" i="2" a="1"/>
  <c r="K2241" i="2" s="1"/>
  <c r="K2242" i="2" a="1"/>
  <c r="K2242" i="2" s="1"/>
  <c r="M2243" i="2" a="1"/>
  <c r="M2243" i="2" s="1"/>
  <c r="M2244" i="2" a="1"/>
  <c r="M2244" i="2" s="1"/>
  <c r="L2246" i="2" a="1"/>
  <c r="L2246" i="2" s="1"/>
  <c r="L2247" i="2" a="1"/>
  <c r="L2247" i="2" s="1"/>
  <c r="K2249" i="2" a="1"/>
  <c r="K2249" i="2" s="1"/>
  <c r="K2250" i="2" a="1"/>
  <c r="K2250" i="2" s="1"/>
  <c r="M2251" i="2" a="1"/>
  <c r="M2251" i="2" s="1"/>
  <c r="M2252" i="2" a="1"/>
  <c r="M2252" i="2" s="1"/>
  <c r="L2254" i="2" a="1"/>
  <c r="L2254" i="2" s="1"/>
  <c r="L2255" i="2" a="1"/>
  <c r="L2255" i="2" s="1"/>
  <c r="K2257" i="2" a="1"/>
  <c r="K2257" i="2" s="1"/>
  <c r="K2258" i="2" a="1"/>
  <c r="K2258" i="2" s="1"/>
  <c r="M2259" i="2" a="1"/>
  <c r="M2259" i="2" s="1"/>
  <c r="M2260" i="2" a="1"/>
  <c r="M2260" i="2" s="1"/>
  <c r="L2262" i="2" a="1"/>
  <c r="L2262" i="2" s="1"/>
  <c r="L2263" i="2" a="1"/>
  <c r="L2263" i="2" s="1"/>
  <c r="K2265" i="2" a="1"/>
  <c r="K2265" i="2" s="1"/>
  <c r="K2266" i="2" a="1"/>
  <c r="K2266" i="2" s="1"/>
  <c r="M2267" i="2" a="1"/>
  <c r="M2267" i="2" s="1"/>
  <c r="M2268" i="2" a="1"/>
  <c r="M2268" i="2" s="1"/>
  <c r="L2270" i="2" a="1"/>
  <c r="L2270" i="2" s="1"/>
  <c r="L2271" i="2" a="1"/>
  <c r="L2271" i="2" s="1"/>
  <c r="K2273" i="2" a="1"/>
  <c r="K2273" i="2" s="1"/>
  <c r="K2274" i="2" a="1"/>
  <c r="K2274" i="2" s="1"/>
  <c r="M2275" i="2" a="1"/>
  <c r="M2275" i="2" s="1"/>
  <c r="L2277" i="2" a="1"/>
  <c r="L2277" i="2" s="1"/>
  <c r="K2279" i="2" a="1"/>
  <c r="K2279" i="2" s="1"/>
  <c r="K2280" i="2" a="1"/>
  <c r="K2280" i="2" s="1"/>
  <c r="M2281" i="2" a="1"/>
  <c r="M2281" i="2" s="1"/>
  <c r="M2282" i="2" a="1"/>
  <c r="M2282" i="2" s="1"/>
  <c r="L2284" i="2" a="1"/>
  <c r="L2284" i="2" s="1"/>
  <c r="L2285" i="2" a="1"/>
  <c r="L2285" i="2" s="1"/>
  <c r="K2287" i="2" a="1"/>
  <c r="K2287" i="2" s="1"/>
  <c r="K2288" i="2" a="1"/>
  <c r="K2288" i="2" s="1"/>
  <c r="M2289" i="2" a="1"/>
  <c r="M2289" i="2" s="1"/>
  <c r="M2290" i="2" a="1"/>
  <c r="M2290" i="2" s="1"/>
  <c r="L2292" i="2" a="1"/>
  <c r="L2292" i="2" s="1"/>
  <c r="L2293" i="2" a="1"/>
  <c r="L2293" i="2" s="1"/>
  <c r="K2295" i="2" a="1"/>
  <c r="K2295" i="2" s="1"/>
  <c r="K2296" i="2" a="1"/>
  <c r="K2296" i="2" s="1"/>
  <c r="M2297" i="2" a="1"/>
  <c r="M2297" i="2" s="1"/>
  <c r="M2298" i="2" a="1"/>
  <c r="M2298" i="2" s="1"/>
  <c r="L2300" i="2" a="1"/>
  <c r="L2300" i="2" s="1"/>
  <c r="L2301" i="2" a="1"/>
  <c r="L2301" i="2" s="1"/>
  <c r="K2303" i="2" a="1"/>
  <c r="K2303" i="2" s="1"/>
  <c r="K2304" i="2" a="1"/>
  <c r="K2304" i="2" s="1"/>
  <c r="M2305" i="2" a="1"/>
  <c r="M2305" i="2" s="1"/>
  <c r="M2306" i="2" a="1"/>
  <c r="M2306" i="2" s="1"/>
  <c r="L2308" i="2" a="1"/>
  <c r="L2308" i="2" s="1"/>
  <c r="L2309" i="2" a="1"/>
  <c r="L2309" i="2" s="1"/>
  <c r="K2311" i="2" a="1"/>
  <c r="K2311" i="2" s="1"/>
  <c r="K2312" i="2" a="1"/>
  <c r="K2312" i="2" s="1"/>
  <c r="M2313" i="2" a="1"/>
  <c r="M2313" i="2" s="1"/>
  <c r="M2314" i="2" a="1"/>
  <c r="M2314" i="2" s="1"/>
  <c r="L2316" i="2" a="1"/>
  <c r="L2316" i="2" s="1"/>
  <c r="L2317" i="2" a="1"/>
  <c r="L2317" i="2" s="1"/>
  <c r="K2319" i="2" a="1"/>
  <c r="K2319" i="2" s="1"/>
  <c r="K2320" i="2" a="1"/>
  <c r="K2320" i="2" s="1"/>
  <c r="M2321" i="2" a="1"/>
  <c r="M2321" i="2" s="1"/>
  <c r="M2322" i="2" a="1"/>
  <c r="M2322" i="2" s="1"/>
  <c r="L2324" i="2" a="1"/>
  <c r="L2324" i="2" s="1"/>
  <c r="L2325" i="2" a="1"/>
  <c r="L2325" i="2" s="1"/>
  <c r="K2327" i="2" a="1"/>
  <c r="K2327" i="2" s="1"/>
  <c r="K2328" i="2" a="1"/>
  <c r="K2328" i="2" s="1"/>
  <c r="M2329" i="2" a="1"/>
  <c r="M2329" i="2" s="1"/>
  <c r="M2330" i="2" a="1"/>
  <c r="M2330" i="2" s="1"/>
  <c r="L2332" i="2" a="1"/>
  <c r="L2332" i="2" s="1"/>
  <c r="L2333" i="2" a="1"/>
  <c r="L2333" i="2" s="1"/>
  <c r="K2335" i="2" a="1"/>
  <c r="K2335" i="2" s="1"/>
  <c r="K2336" i="2" a="1"/>
  <c r="K2336" i="2" s="1"/>
  <c r="M2337" i="2" a="1"/>
  <c r="M2337" i="2" s="1"/>
  <c r="M2338" i="2" a="1"/>
  <c r="M2338" i="2" s="1"/>
  <c r="L2340" i="2" a="1"/>
  <c r="L2340" i="2" s="1"/>
  <c r="L2341" i="2" a="1"/>
  <c r="L2341" i="2" s="1"/>
  <c r="K2343" i="2" a="1"/>
  <c r="K2343" i="2" s="1"/>
  <c r="K2344" i="2" a="1"/>
  <c r="K2344" i="2" s="1"/>
  <c r="M2345" i="2" a="1"/>
  <c r="M2345" i="2" s="1"/>
  <c r="M2346" i="2" a="1"/>
  <c r="M2346" i="2" s="1"/>
  <c r="L2348" i="2" a="1"/>
  <c r="L2348" i="2" s="1"/>
  <c r="L2349" i="2" a="1"/>
  <c r="L2349" i="2" s="1"/>
  <c r="K2351" i="2" a="1"/>
  <c r="K2351" i="2" s="1"/>
  <c r="K2352" i="2" a="1"/>
  <c r="K2352" i="2" s="1"/>
  <c r="M2353" i="2" a="1"/>
  <c r="M2353" i="2" s="1"/>
  <c r="M2354" i="2" a="1"/>
  <c r="M2354" i="2" s="1"/>
  <c r="L2356" i="2" a="1"/>
  <c r="L2356" i="2" s="1"/>
  <c r="L2357" i="2" a="1"/>
  <c r="L2357" i="2" s="1"/>
  <c r="K2359" i="2" a="1"/>
  <c r="K2359" i="2" s="1"/>
  <c r="K2360" i="2" a="1"/>
  <c r="K2360" i="2" s="1"/>
  <c r="M2361" i="2" a="1"/>
  <c r="M2361" i="2" s="1"/>
  <c r="M2362" i="2" a="1"/>
  <c r="M2362" i="2" s="1"/>
  <c r="L2364" i="2" a="1"/>
  <c r="L2364" i="2" s="1"/>
  <c r="L2365" i="2" a="1"/>
  <c r="L2365" i="2" s="1"/>
  <c r="K2367" i="2" a="1"/>
  <c r="K2367" i="2" s="1"/>
  <c r="K2368" i="2" a="1"/>
  <c r="K2368" i="2" s="1"/>
  <c r="M2369" i="2" a="1"/>
  <c r="M2369" i="2" s="1"/>
  <c r="M2370" i="2" a="1"/>
  <c r="M2370" i="2" s="1"/>
  <c r="L2372" i="2" a="1"/>
  <c r="L2372" i="2" s="1"/>
  <c r="L2373" i="2" a="1"/>
  <c r="L2373" i="2" s="1"/>
  <c r="K2375" i="2" a="1"/>
  <c r="K2375" i="2" s="1"/>
  <c r="K2376" i="2" a="1"/>
  <c r="K2376" i="2" s="1"/>
  <c r="M2377" i="2" a="1"/>
  <c r="M2377" i="2" s="1"/>
  <c r="M2378" i="2" a="1"/>
  <c r="M2378" i="2" s="1"/>
  <c r="L2380" i="2" a="1"/>
  <c r="L2380" i="2" s="1"/>
  <c r="L2381" i="2" a="1"/>
  <c r="L2381" i="2" s="1"/>
  <c r="K2383" i="2" a="1"/>
  <c r="K2383" i="2" s="1"/>
  <c r="K2384" i="2" a="1"/>
  <c r="K2384" i="2" s="1"/>
  <c r="M2385" i="2" a="1"/>
  <c r="M2385" i="2" s="1"/>
  <c r="M2386" i="2" a="1"/>
  <c r="M2386" i="2" s="1"/>
  <c r="L2388" i="2" a="1"/>
  <c r="L2388" i="2" s="1"/>
  <c r="L2389" i="2" a="1"/>
  <c r="L2389" i="2" s="1"/>
  <c r="K2391" i="2" a="1"/>
  <c r="K2391" i="2" s="1"/>
  <c r="K2392" i="2" a="1"/>
  <c r="K2392" i="2" s="1"/>
  <c r="M2393" i="2" a="1"/>
  <c r="M2393" i="2" s="1"/>
  <c r="M2394" i="2" a="1"/>
  <c r="M2394" i="2" s="1"/>
  <c r="L2396" i="2" a="1"/>
  <c r="L2396" i="2" s="1"/>
  <c r="L2397" i="2" a="1"/>
  <c r="L2397" i="2" s="1"/>
  <c r="K2399" i="2" a="1"/>
  <c r="K2399" i="2" s="1"/>
  <c r="K2400" i="2" a="1"/>
  <c r="K2400" i="2" s="1"/>
  <c r="M2401" i="2" a="1"/>
  <c r="M2401" i="2" s="1"/>
  <c r="M2402" i="2" a="1"/>
  <c r="M2402" i="2" s="1"/>
  <c r="L2404" i="2" a="1"/>
  <c r="L2404" i="2" s="1"/>
  <c r="L2405" i="2" a="1"/>
  <c r="L2405" i="2" s="1"/>
  <c r="K2407" i="2" a="1"/>
  <c r="K2407" i="2" s="1"/>
  <c r="K2408" i="2" a="1"/>
  <c r="K2408" i="2" s="1"/>
  <c r="M2409" i="2" a="1"/>
  <c r="M2409" i="2" s="1"/>
  <c r="M2410" i="2" a="1"/>
  <c r="M2410" i="2" s="1"/>
  <c r="L2412" i="2" a="1"/>
  <c r="L2412" i="2" s="1"/>
  <c r="L2413" i="2" a="1"/>
  <c r="L2413" i="2" s="1"/>
  <c r="K2415" i="2" a="1"/>
  <c r="K2415" i="2" s="1"/>
  <c r="K2416" i="2" a="1"/>
  <c r="K2416" i="2" s="1"/>
  <c r="M2417" i="2" a="1"/>
  <c r="M2417" i="2" s="1"/>
  <c r="M2418" i="2" a="1"/>
  <c r="M2418" i="2" s="1"/>
  <c r="L2420" i="2" a="1"/>
  <c r="L2420" i="2" s="1"/>
  <c r="L2421" i="2" a="1"/>
  <c r="L2421" i="2" s="1"/>
  <c r="K2423" i="2" a="1"/>
  <c r="K2423" i="2" s="1"/>
  <c r="K2424" i="2" a="1"/>
  <c r="K2424" i="2" s="1"/>
  <c r="M2425" i="2" a="1"/>
  <c r="M2425" i="2" s="1"/>
  <c r="M2426" i="2" a="1"/>
  <c r="M2426" i="2" s="1"/>
  <c r="L2428" i="2" a="1"/>
  <c r="L2428" i="2" s="1"/>
  <c r="L2429" i="2" a="1"/>
  <c r="L2429" i="2" s="1"/>
  <c r="K2431" i="2" a="1"/>
  <c r="K2431" i="2" s="1"/>
  <c r="K2432" i="2" a="1"/>
  <c r="K2432" i="2" s="1"/>
  <c r="M2433" i="2" a="1"/>
  <c r="M2433" i="2" s="1"/>
  <c r="M2434" i="2" a="1"/>
  <c r="M2434" i="2" s="1"/>
  <c r="L2436" i="2" a="1"/>
  <c r="L2436" i="2" s="1"/>
  <c r="L2437" i="2" a="1"/>
  <c r="L2437" i="2" s="1"/>
  <c r="K2439" i="2" a="1"/>
  <c r="K2439" i="2" s="1"/>
  <c r="K2440" i="2" a="1"/>
  <c r="K2440" i="2" s="1"/>
  <c r="M2441" i="2" a="1"/>
  <c r="M2441" i="2" s="1"/>
  <c r="M2442" i="2" a="1"/>
  <c r="M2442" i="2" s="1"/>
  <c r="L2444" i="2" a="1"/>
  <c r="L2444" i="2" s="1"/>
  <c r="L2445" i="2" a="1"/>
  <c r="L2445" i="2" s="1"/>
  <c r="K2447" i="2" a="1"/>
  <c r="K2447" i="2" s="1"/>
  <c r="K2448" i="2" a="1"/>
  <c r="K2448" i="2" s="1"/>
  <c r="M2449" i="2" a="1"/>
  <c r="M2449" i="2" s="1"/>
  <c r="M2450" i="2" a="1"/>
  <c r="M2450" i="2" s="1"/>
  <c r="L2452" i="2" a="1"/>
  <c r="L2452" i="2" s="1"/>
  <c r="L2453" i="2" a="1"/>
  <c r="L2453" i="2" s="1"/>
  <c r="K2455" i="2" a="1"/>
  <c r="K2455" i="2" s="1"/>
  <c r="K2456" i="2" a="1"/>
  <c r="K2456" i="2" s="1"/>
  <c r="M2457" i="2" a="1"/>
  <c r="M2457" i="2" s="1"/>
  <c r="M2458" i="2" a="1"/>
  <c r="M2458" i="2" s="1"/>
  <c r="L2460" i="2" a="1"/>
  <c r="L2460" i="2" s="1"/>
  <c r="L2461" i="2" a="1"/>
  <c r="L2461" i="2" s="1"/>
  <c r="K2463" i="2" a="1"/>
  <c r="K2463" i="2" s="1"/>
  <c r="K2464" i="2" a="1"/>
  <c r="K2464" i="2" s="1"/>
  <c r="M2465" i="2" a="1"/>
  <c r="M2465" i="2" s="1"/>
  <c r="M2466" i="2" a="1"/>
  <c r="M2466" i="2" s="1"/>
  <c r="L2468" i="2" a="1"/>
  <c r="L2468" i="2" s="1"/>
  <c r="L2469" i="2" a="1"/>
  <c r="L2469" i="2" s="1"/>
  <c r="K2471" i="2" a="1"/>
  <c r="K2471" i="2" s="1"/>
  <c r="K2472" i="2" a="1"/>
  <c r="K2472" i="2" s="1"/>
  <c r="M2473" i="2" a="1"/>
  <c r="M2473" i="2" s="1"/>
  <c r="M2474" i="2" a="1"/>
  <c r="M2474" i="2" s="1"/>
  <c r="L2476" i="2" a="1"/>
  <c r="L2476" i="2" s="1"/>
  <c r="L2477" i="2" a="1"/>
  <c r="L2477" i="2" s="1"/>
  <c r="K2479" i="2" a="1"/>
  <c r="K2479" i="2" s="1"/>
  <c r="K2480" i="2" a="1"/>
  <c r="K2480" i="2" s="1"/>
  <c r="M2481" i="2" a="1"/>
  <c r="M2481" i="2" s="1"/>
  <c r="M2482" i="2" a="1"/>
  <c r="M2482" i="2" s="1"/>
  <c r="L2484" i="2" a="1"/>
  <c r="L2484" i="2" s="1"/>
  <c r="L2485" i="2" a="1"/>
  <c r="L2485" i="2" s="1"/>
  <c r="K2487" i="2" a="1"/>
  <c r="K2487" i="2" s="1"/>
  <c r="K2488" i="2" a="1"/>
  <c r="K2488" i="2" s="1"/>
  <c r="M2489" i="2" a="1"/>
  <c r="M2489" i="2" s="1"/>
  <c r="M2490" i="2" a="1"/>
  <c r="M2490" i="2" s="1"/>
  <c r="L2492" i="2" a="1"/>
  <c r="L2492" i="2" s="1"/>
  <c r="L2493" i="2" a="1"/>
  <c r="L2493" i="2" s="1"/>
  <c r="K2495" i="2" a="1"/>
  <c r="K2495" i="2" s="1"/>
  <c r="K2496" i="2" a="1"/>
  <c r="K2496" i="2" s="1"/>
  <c r="M2497" i="2" a="1"/>
  <c r="M2497" i="2" s="1"/>
  <c r="M2498" i="2" a="1"/>
  <c r="M2498" i="2" s="1"/>
  <c r="L2500" i="2" a="1"/>
  <c r="L2500" i="2" s="1"/>
  <c r="L2501" i="2" a="1"/>
  <c r="L2501" i="2" s="1"/>
  <c r="K2503" i="2" a="1"/>
  <c r="K2503" i="2" s="1"/>
  <c r="K2504" i="2" a="1"/>
  <c r="K2504" i="2" s="1"/>
  <c r="M2505" i="2" a="1"/>
  <c r="M2505" i="2" s="1"/>
  <c r="M2506" i="2" a="1"/>
  <c r="M2506" i="2" s="1"/>
  <c r="L2508" i="2" a="1"/>
  <c r="L2508" i="2" s="1"/>
  <c r="L2509" i="2" a="1"/>
  <c r="L2509" i="2" s="1"/>
  <c r="K2511" i="2" a="1"/>
  <c r="K2511" i="2" s="1"/>
  <c r="K2512" i="2" a="1"/>
  <c r="K2512" i="2" s="1"/>
  <c r="M2513" i="2" a="1"/>
  <c r="M2513" i="2" s="1"/>
  <c r="M2514" i="2" a="1"/>
  <c r="M2514" i="2" s="1"/>
  <c r="L2516" i="2" a="1"/>
  <c r="L2516" i="2" s="1"/>
  <c r="L2517" i="2" a="1"/>
  <c r="L2517" i="2" s="1"/>
  <c r="K2519" i="2" a="1"/>
  <c r="K2519" i="2" s="1"/>
  <c r="K2520" i="2" a="1"/>
  <c r="K2520" i="2" s="1"/>
  <c r="M2521" i="2" a="1"/>
  <c r="M2521" i="2" s="1"/>
  <c r="M2522" i="2" a="1"/>
  <c r="M2522" i="2" s="1"/>
  <c r="L2524" i="2" a="1"/>
  <c r="L2524" i="2" s="1"/>
  <c r="L2525" i="2" a="1"/>
  <c r="L2525" i="2" s="1"/>
  <c r="K2527" i="2" a="1"/>
  <c r="K2527" i="2" s="1"/>
  <c r="K2528" i="2" a="1"/>
  <c r="K2528" i="2" s="1"/>
  <c r="M2529" i="2" a="1"/>
  <c r="M2529" i="2" s="1"/>
  <c r="M2530" i="2" a="1"/>
  <c r="M2530" i="2" s="1"/>
  <c r="L2532" i="2" a="1"/>
  <c r="L2532" i="2" s="1"/>
  <c r="L2533" i="2" a="1"/>
  <c r="L2533" i="2" s="1"/>
  <c r="K2535" i="2" a="1"/>
  <c r="K2535" i="2" s="1"/>
  <c r="K2536" i="2" a="1"/>
  <c r="K2536" i="2" s="1"/>
  <c r="M2537" i="2" a="1"/>
  <c r="M2537" i="2" s="1"/>
  <c r="M2538" i="2" a="1"/>
  <c r="M2538" i="2" s="1"/>
  <c r="L2540" i="2" a="1"/>
  <c r="L2540" i="2" s="1"/>
  <c r="L2541" i="2" a="1"/>
  <c r="L2541" i="2" s="1"/>
  <c r="K2543" i="2" a="1"/>
  <c r="K2543" i="2" s="1"/>
  <c r="K2544" i="2" a="1"/>
  <c r="K2544" i="2" s="1"/>
  <c r="M2545" i="2" a="1"/>
  <c r="M2545" i="2" s="1"/>
  <c r="M2546" i="2" a="1"/>
  <c r="M2546" i="2" s="1"/>
  <c r="L2548" i="2" a="1"/>
  <c r="L2548" i="2" s="1"/>
  <c r="L2549" i="2" a="1"/>
  <c r="L2549" i="2" s="1"/>
  <c r="K2551" i="2" a="1"/>
  <c r="K2551" i="2" s="1"/>
  <c r="K2552" i="2" a="1"/>
  <c r="K2552" i="2" s="1"/>
  <c r="M2553" i="2" a="1"/>
  <c r="M2553" i="2" s="1"/>
  <c r="M2554" i="2" a="1"/>
  <c r="M2554" i="2" s="1"/>
  <c r="L2556" i="2" a="1"/>
  <c r="L2556" i="2" s="1"/>
  <c r="L2557" i="2" a="1"/>
  <c r="L2557" i="2" s="1"/>
  <c r="K2559" i="2" a="1"/>
  <c r="K2559" i="2" s="1"/>
  <c r="K2560" i="2" a="1"/>
  <c r="K2560" i="2" s="1"/>
  <c r="M2561" i="2" a="1"/>
  <c r="M2561" i="2" s="1"/>
  <c r="M2562" i="2" a="1"/>
  <c r="M2562" i="2" s="1"/>
  <c r="L2564" i="2" a="1"/>
  <c r="L2564" i="2" s="1"/>
  <c r="L2565" i="2" a="1"/>
  <c r="L2565" i="2" s="1"/>
  <c r="K2567" i="2" a="1"/>
  <c r="K2567" i="2" s="1"/>
  <c r="K2568" i="2" a="1"/>
  <c r="K2568" i="2" s="1"/>
  <c r="M2569" i="2" a="1"/>
  <c r="M2569" i="2" s="1"/>
  <c r="M2570" i="2" a="1"/>
  <c r="M2570" i="2" s="1"/>
  <c r="L2572" i="2" a="1"/>
  <c r="L2572" i="2" s="1"/>
  <c r="L2573" i="2" a="1"/>
  <c r="L2573" i="2" s="1"/>
  <c r="K2575" i="2" a="1"/>
  <c r="K2575" i="2" s="1"/>
  <c r="K2576" i="2" a="1"/>
  <c r="K2576" i="2" s="1"/>
  <c r="M2577" i="2" a="1"/>
  <c r="M2577" i="2" s="1"/>
  <c r="M2578" i="2" a="1"/>
  <c r="M2578" i="2" s="1"/>
  <c r="L2580" i="2" a="1"/>
  <c r="L2580" i="2" s="1"/>
  <c r="L2581" i="2" a="1"/>
  <c r="L2581" i="2" s="1"/>
  <c r="K2583" i="2" a="1"/>
  <c r="K2583" i="2" s="1"/>
  <c r="K2584" i="2" a="1"/>
  <c r="K2584" i="2" s="1"/>
  <c r="M2585" i="2" a="1"/>
  <c r="M2585" i="2" s="1"/>
  <c r="M2586" i="2" a="1"/>
  <c r="M2586" i="2" s="1"/>
  <c r="L2588" i="2" a="1"/>
  <c r="L2588" i="2" s="1"/>
  <c r="L2589" i="2" a="1"/>
  <c r="L2589" i="2" s="1"/>
  <c r="K2591" i="2" a="1"/>
  <c r="K2591" i="2" s="1"/>
  <c r="K2592" i="2" a="1"/>
  <c r="K2592" i="2" s="1"/>
  <c r="M2593" i="2" a="1"/>
  <c r="M2593" i="2" s="1"/>
  <c r="M2594" i="2" a="1"/>
  <c r="M2594" i="2" s="1"/>
  <c r="L2596" i="2" a="1"/>
  <c r="L2596" i="2" s="1"/>
  <c r="L2597" i="2" a="1"/>
  <c r="L2597" i="2" s="1"/>
  <c r="K2599" i="2" a="1"/>
  <c r="K2599" i="2" s="1"/>
  <c r="K2600" i="2" a="1"/>
  <c r="K2600" i="2" s="1"/>
  <c r="M2601" i="2" a="1"/>
  <c r="M2601" i="2" s="1"/>
  <c r="M2602" i="2" a="1"/>
  <c r="M2602" i="2" s="1"/>
  <c r="L2604" i="2" a="1"/>
  <c r="L2604" i="2" s="1"/>
  <c r="L2605" i="2" a="1"/>
  <c r="L2605" i="2" s="1"/>
  <c r="K2607" i="2" a="1"/>
  <c r="K2607" i="2" s="1"/>
  <c r="K2608" i="2" a="1"/>
  <c r="K2608" i="2" s="1"/>
  <c r="M2609" i="2" a="1"/>
  <c r="M2609" i="2" s="1"/>
  <c r="M2610" i="2" a="1"/>
  <c r="M2610" i="2" s="1"/>
  <c r="L2612" i="2" a="1"/>
  <c r="L2612" i="2" s="1"/>
  <c r="L2613" i="2" a="1"/>
  <c r="L2613" i="2" s="1"/>
  <c r="K2615" i="2" a="1"/>
  <c r="K2615" i="2" s="1"/>
  <c r="K2616" i="2" a="1"/>
  <c r="K2616" i="2" s="1"/>
  <c r="M2617" i="2" a="1"/>
  <c r="M2617" i="2" s="1"/>
  <c r="M2618" i="2" a="1"/>
  <c r="M2618" i="2" s="1"/>
  <c r="L2620" i="2" a="1"/>
  <c r="L2620" i="2" s="1"/>
  <c r="L2621" i="2" a="1"/>
  <c r="L2621" i="2" s="1"/>
  <c r="K2623" i="2" a="1"/>
  <c r="K2623" i="2" s="1"/>
  <c r="K2624" i="2" a="1"/>
  <c r="K2624" i="2" s="1"/>
  <c r="M2625" i="2" a="1"/>
  <c r="M2625" i="2" s="1"/>
  <c r="M2626" i="2" a="1"/>
  <c r="M2626" i="2" s="1"/>
  <c r="L2628" i="2" a="1"/>
  <c r="L2628" i="2" s="1"/>
  <c r="L2629" i="2" a="1"/>
  <c r="L2629" i="2" s="1"/>
  <c r="K2631" i="2" a="1"/>
  <c r="K2631" i="2" s="1"/>
  <c r="K2632" i="2" a="1"/>
  <c r="K2632" i="2" s="1"/>
  <c r="M2633" i="2" a="1"/>
  <c r="M2633" i="2" s="1"/>
  <c r="M2634" i="2" a="1"/>
  <c r="M2634" i="2" s="1"/>
  <c r="L2636" i="2" a="1"/>
  <c r="L2636" i="2" s="1"/>
  <c r="L2637" i="2" a="1"/>
  <c r="L2637" i="2" s="1"/>
  <c r="K2639" i="2" a="1"/>
  <c r="K2639" i="2" s="1"/>
  <c r="K2640" i="2" a="1"/>
  <c r="K2640" i="2" s="1"/>
  <c r="M2641" i="2" a="1"/>
  <c r="M2641" i="2" s="1"/>
  <c r="M2642" i="2" a="1"/>
  <c r="M2642" i="2" s="1"/>
  <c r="L2644" i="2" a="1"/>
  <c r="L2644" i="2" s="1"/>
  <c r="L2645" i="2" a="1"/>
  <c r="L2645" i="2" s="1"/>
  <c r="K2647" i="2" a="1"/>
  <c r="K2647" i="2" s="1"/>
  <c r="K2648" i="2" a="1"/>
  <c r="K2648" i="2" s="1"/>
  <c r="M2649" i="2" a="1"/>
  <c r="M2649" i="2" s="1"/>
  <c r="M2650" i="2" a="1"/>
  <c r="M2650" i="2" s="1"/>
  <c r="L2652" i="2" a="1"/>
  <c r="L2652" i="2" s="1"/>
  <c r="L2653" i="2" a="1"/>
  <c r="L2653" i="2" s="1"/>
  <c r="K2655" i="2" a="1"/>
  <c r="K2655" i="2" s="1"/>
  <c r="K2656" i="2" a="1"/>
  <c r="K2656" i="2" s="1"/>
  <c r="M2657" i="2" a="1"/>
  <c r="M2657" i="2" s="1"/>
  <c r="M2658" i="2" a="1"/>
  <c r="M2658" i="2" s="1"/>
  <c r="L2660" i="2" a="1"/>
  <c r="L2660" i="2" s="1"/>
  <c r="L2661" i="2" a="1"/>
  <c r="L2661" i="2" s="1"/>
  <c r="K2663" i="2" a="1"/>
  <c r="K2663" i="2" s="1"/>
  <c r="K2664" i="2" a="1"/>
  <c r="K2664" i="2" s="1"/>
  <c r="M2665" i="2" a="1"/>
  <c r="M2665" i="2" s="1"/>
  <c r="M2666" i="2" a="1"/>
  <c r="M2666" i="2" s="1"/>
  <c r="L2668" i="2" a="1"/>
  <c r="L2668" i="2" s="1"/>
  <c r="L2669" i="2" a="1"/>
  <c r="L2669" i="2" s="1"/>
  <c r="K2671" i="2" a="1"/>
  <c r="K2671" i="2" s="1"/>
  <c r="K2672" i="2" a="1"/>
  <c r="K2672" i="2" s="1"/>
  <c r="M2673" i="2" a="1"/>
  <c r="M2673" i="2" s="1"/>
  <c r="M2674" i="2" a="1"/>
  <c r="M2674" i="2" s="1"/>
  <c r="L2676" i="2" a="1"/>
  <c r="L2676" i="2" s="1"/>
  <c r="L2677" i="2" a="1"/>
  <c r="L2677" i="2" s="1"/>
  <c r="K2679" i="2" a="1"/>
  <c r="K2679" i="2" s="1"/>
  <c r="K2680" i="2" a="1"/>
  <c r="K2680" i="2" s="1"/>
  <c r="M2681" i="2" a="1"/>
  <c r="M2681" i="2" s="1"/>
  <c r="M2682" i="2" a="1"/>
  <c r="M2682" i="2" s="1"/>
  <c r="L2684" i="2" a="1"/>
  <c r="L2684" i="2" s="1"/>
  <c r="L2685" i="2" a="1"/>
  <c r="L2685" i="2" s="1"/>
  <c r="K2687" i="2" a="1"/>
  <c r="K2687" i="2" s="1"/>
  <c r="K2688" i="2" a="1"/>
  <c r="K2688" i="2" s="1"/>
  <c r="M2689" i="2" a="1"/>
  <c r="M2689" i="2" s="1"/>
  <c r="M2690" i="2" a="1"/>
  <c r="M2690" i="2" s="1"/>
  <c r="L2692" i="2" a="1"/>
  <c r="L2692" i="2" s="1"/>
  <c r="L2693" i="2" a="1"/>
  <c r="L2693" i="2" s="1"/>
  <c r="K2695" i="2" a="1"/>
  <c r="K2695" i="2" s="1"/>
  <c r="K2696" i="2" a="1"/>
  <c r="K2696" i="2" s="1"/>
  <c r="M2697" i="2" a="1"/>
  <c r="M2697" i="2" s="1"/>
  <c r="M2698" i="2" a="1"/>
  <c r="M2698" i="2" s="1"/>
  <c r="L2700" i="2" a="1"/>
  <c r="L2700" i="2" s="1"/>
  <c r="L2701" i="2" a="1"/>
  <c r="L2701" i="2" s="1"/>
  <c r="K2703" i="2" a="1"/>
  <c r="K2703" i="2" s="1"/>
  <c r="K2704" i="2" a="1"/>
  <c r="K2704" i="2" s="1"/>
  <c r="M2705" i="2" a="1"/>
  <c r="M2705" i="2" s="1"/>
  <c r="M2706" i="2" a="1"/>
  <c r="M2706" i="2" s="1"/>
  <c r="L2708" i="2" a="1"/>
  <c r="L2708" i="2" s="1"/>
  <c r="L2709" i="2" a="1"/>
  <c r="L2709" i="2" s="1"/>
  <c r="K2711" i="2" a="1"/>
  <c r="K2711" i="2" s="1"/>
  <c r="K2712" i="2" a="1"/>
  <c r="K2712" i="2" s="1"/>
  <c r="M2713" i="2" a="1"/>
  <c r="M2713" i="2" s="1"/>
  <c r="M2714" i="2" a="1"/>
  <c r="M2714" i="2" s="1"/>
  <c r="L2716" i="2" a="1"/>
  <c r="L2716" i="2" s="1"/>
  <c r="L2717" i="2" a="1"/>
  <c r="L2717" i="2" s="1"/>
  <c r="K2719" i="2" a="1"/>
  <c r="K2719" i="2" s="1"/>
  <c r="K2720" i="2" a="1"/>
  <c r="K2720" i="2" s="1"/>
  <c r="M2721" i="2" a="1"/>
  <c r="M2721" i="2" s="1"/>
  <c r="M2722" i="2" a="1"/>
  <c r="M2722" i="2" s="1"/>
  <c r="L2724" i="2" a="1"/>
  <c r="L2724" i="2" s="1"/>
  <c r="L2725" i="2" a="1"/>
  <c r="L2725" i="2" s="1"/>
  <c r="K2727" i="2" a="1"/>
  <c r="K2727" i="2" s="1"/>
  <c r="K2728" i="2" a="1"/>
  <c r="K2728" i="2" s="1"/>
  <c r="M2729" i="2" a="1"/>
  <c r="M2729" i="2" s="1"/>
  <c r="M2730" i="2" a="1"/>
  <c r="M2730" i="2" s="1"/>
  <c r="K2733" i="2" a="1"/>
  <c r="K2733" i="2" s="1"/>
  <c r="K2734" i="2" a="1"/>
  <c r="K2734" i="2" s="1"/>
  <c r="M2735" i="2" a="1"/>
  <c r="M2735" i="2" s="1"/>
  <c r="M2736" i="2" a="1"/>
  <c r="M2736" i="2" s="1"/>
  <c r="L2738" i="2" a="1"/>
  <c r="L2738" i="2" s="1"/>
  <c r="L2739" i="2" a="1"/>
  <c r="L2739" i="2" s="1"/>
  <c r="K2741" i="2" a="1"/>
  <c r="K2741" i="2" s="1"/>
  <c r="K2742" i="2" a="1"/>
  <c r="K2742" i="2" s="1"/>
  <c r="M2743" i="2" a="1"/>
  <c r="M2743" i="2" s="1"/>
  <c r="M2744" i="2" a="1"/>
  <c r="M2744" i="2" s="1"/>
  <c r="L2746" i="2" a="1"/>
  <c r="L2746" i="2" s="1"/>
  <c r="L2747" i="2" a="1"/>
  <c r="L2747" i="2" s="1"/>
  <c r="K2749" i="2" a="1"/>
  <c r="K2749" i="2" s="1"/>
  <c r="K2750" i="2" a="1"/>
  <c r="K2750" i="2" s="1"/>
  <c r="M2751" i="2" a="1"/>
  <c r="M2751" i="2" s="1"/>
  <c r="M2752" i="2" a="1"/>
  <c r="M2752" i="2" s="1"/>
  <c r="L2754" i="2" a="1"/>
  <c r="L2754" i="2" s="1"/>
  <c r="L2755" i="2" a="1"/>
  <c r="L2755" i="2" s="1"/>
  <c r="K2757" i="2" a="1"/>
  <c r="K2757" i="2" s="1"/>
  <c r="K2758" i="2" a="1"/>
  <c r="K2758" i="2" s="1"/>
  <c r="M2759" i="2" a="1"/>
  <c r="M2759" i="2" s="1"/>
  <c r="M2760" i="2" a="1"/>
  <c r="M2760" i="2" s="1"/>
  <c r="L2762" i="2" a="1"/>
  <c r="L2762" i="2" s="1"/>
  <c r="L2763" i="2" a="1"/>
  <c r="L2763" i="2" s="1"/>
  <c r="K2765" i="2" a="1"/>
  <c r="K2765" i="2" s="1"/>
  <c r="K2766" i="2" a="1"/>
  <c r="K2766" i="2" s="1"/>
  <c r="M2767" i="2" a="1"/>
  <c r="M2767" i="2" s="1"/>
  <c r="M2768" i="2" a="1"/>
  <c r="M2768" i="2" s="1"/>
  <c r="L2770" i="2" a="1"/>
  <c r="L2770" i="2" s="1"/>
  <c r="L2771" i="2" a="1"/>
  <c r="L2771" i="2" s="1"/>
  <c r="K2773" i="2" a="1"/>
  <c r="K2773" i="2" s="1"/>
  <c r="K2774" i="2" a="1"/>
  <c r="K2774" i="2" s="1"/>
  <c r="M2775" i="2" a="1"/>
  <c r="M2775" i="2" s="1"/>
  <c r="M2776" i="2" a="1"/>
  <c r="M2776" i="2" s="1"/>
  <c r="L2778" i="2" a="1"/>
  <c r="L2778" i="2" s="1"/>
  <c r="L2779" i="2" a="1"/>
  <c r="L2779" i="2" s="1"/>
  <c r="K2781" i="2" a="1"/>
  <c r="K2781" i="2" s="1"/>
  <c r="K2782" i="2" a="1"/>
  <c r="K2782" i="2" s="1"/>
  <c r="M2783" i="2" a="1"/>
  <c r="M2783" i="2" s="1"/>
  <c r="M2784" i="2" a="1"/>
  <c r="M2784" i="2" s="1"/>
  <c r="L2786" i="2" a="1"/>
  <c r="L2786" i="2" s="1"/>
  <c r="L2787" i="2" a="1"/>
  <c r="L2787" i="2" s="1"/>
  <c r="K2789" i="2" a="1"/>
  <c r="K2789" i="2" s="1"/>
  <c r="K2790" i="2" a="1"/>
  <c r="K2790" i="2" s="1"/>
  <c r="M2791" i="2" a="1"/>
  <c r="M2791" i="2" s="1"/>
  <c r="M2792" i="2" a="1"/>
  <c r="M2792" i="2" s="1"/>
  <c r="L2794" i="2" a="1"/>
  <c r="L2794" i="2" s="1"/>
  <c r="L2795" i="2" a="1"/>
  <c r="L2795" i="2" s="1"/>
  <c r="K2797" i="2" a="1"/>
  <c r="K2797" i="2" s="1"/>
  <c r="K2798" i="2" a="1"/>
  <c r="K2798" i="2" s="1"/>
  <c r="M2799" i="2" a="1"/>
  <c r="M2799" i="2" s="1"/>
  <c r="M2800" i="2" a="1"/>
  <c r="M2800" i="2" s="1"/>
  <c r="L2802" i="2" a="1"/>
  <c r="L2802" i="2" s="1"/>
  <c r="L2803" i="2" a="1"/>
  <c r="L2803" i="2" s="1"/>
  <c r="K2805" i="2" a="1"/>
  <c r="K2805" i="2" s="1"/>
  <c r="K2806" i="2" a="1"/>
  <c r="K2806" i="2" s="1"/>
  <c r="M2807" i="2" a="1"/>
  <c r="M2807" i="2" s="1"/>
  <c r="M2808" i="2" a="1"/>
  <c r="M2808" i="2" s="1"/>
  <c r="L2810" i="2" a="1"/>
  <c r="L2810" i="2" s="1"/>
  <c r="L2811" i="2" a="1"/>
  <c r="L2811" i="2" s="1"/>
  <c r="K2813" i="2" a="1"/>
  <c r="K2813" i="2" s="1"/>
  <c r="K2814" i="2" a="1"/>
  <c r="K2814" i="2" s="1"/>
  <c r="M2815" i="2" a="1"/>
  <c r="M2815" i="2" s="1"/>
  <c r="M2816" i="2" a="1"/>
  <c r="M2816" i="2" s="1"/>
  <c r="L2818" i="2" a="1"/>
  <c r="L2818" i="2" s="1"/>
  <c r="L2819" i="2" a="1"/>
  <c r="L2819" i="2" s="1"/>
  <c r="K2821" i="2" a="1"/>
  <c r="K2821" i="2" s="1"/>
  <c r="K2822" i="2" a="1"/>
  <c r="K2822" i="2" s="1"/>
  <c r="M2823" i="2" a="1"/>
  <c r="M2823" i="2" s="1"/>
  <c r="M2824" i="2" a="1"/>
  <c r="M2824" i="2" s="1"/>
  <c r="L2826" i="2" a="1"/>
  <c r="L2826" i="2" s="1"/>
  <c r="L2827" i="2" a="1"/>
  <c r="L2827" i="2" s="1"/>
  <c r="K2829" i="2" a="1"/>
  <c r="K2829" i="2" s="1"/>
  <c r="K2830" i="2" a="1"/>
  <c r="K2830" i="2" s="1"/>
  <c r="M2831" i="2" a="1"/>
  <c r="M2831" i="2" s="1"/>
  <c r="M2832" i="2" a="1"/>
  <c r="M2832" i="2" s="1"/>
  <c r="L2834" i="2" a="1"/>
  <c r="L2834" i="2" s="1"/>
  <c r="L2835" i="2" a="1"/>
  <c r="L2835" i="2" s="1"/>
  <c r="K2837" i="2" a="1"/>
  <c r="K2837" i="2" s="1"/>
  <c r="K2838" i="2" a="1"/>
  <c r="K2838" i="2" s="1"/>
  <c r="M2839" i="2" a="1"/>
  <c r="M2839" i="2" s="1"/>
  <c r="M2840" i="2" a="1"/>
  <c r="M2840" i="2" s="1"/>
  <c r="L2842" i="2" a="1"/>
  <c r="L2842" i="2" s="1"/>
  <c r="L2843" i="2" a="1"/>
  <c r="L2843" i="2" s="1"/>
  <c r="K2845" i="2" a="1"/>
  <c r="K2845" i="2" s="1"/>
  <c r="K2846" i="2" a="1"/>
  <c r="K2846" i="2" s="1"/>
  <c r="M2847" i="2" a="1"/>
  <c r="M2847" i="2" s="1"/>
  <c r="M2848" i="2" a="1"/>
  <c r="M2848" i="2" s="1"/>
  <c r="L2850" i="2" a="1"/>
  <c r="L2850" i="2" s="1"/>
  <c r="L2851" i="2" a="1"/>
  <c r="L2851" i="2" s="1"/>
  <c r="K2853" i="2" a="1"/>
  <c r="K2853" i="2" s="1"/>
  <c r="K2854" i="2" a="1"/>
  <c r="K2854" i="2" s="1"/>
  <c r="M2855" i="2" a="1"/>
  <c r="M2855" i="2" s="1"/>
  <c r="M2856" i="2" a="1"/>
  <c r="M2856" i="2" s="1"/>
  <c r="L2858" i="2" a="1"/>
  <c r="L2858" i="2" s="1"/>
  <c r="L2859" i="2" a="1"/>
  <c r="L2859" i="2" s="1"/>
  <c r="K2861" i="2" a="1"/>
  <c r="K2861" i="2" s="1"/>
  <c r="K2862" i="2" a="1"/>
  <c r="K2862" i="2" s="1"/>
  <c r="M2863" i="2" a="1"/>
  <c r="M2863" i="2" s="1"/>
  <c r="M2864" i="2" a="1"/>
  <c r="M2864" i="2" s="1"/>
  <c r="L2866" i="2" a="1"/>
  <c r="L2866" i="2" s="1"/>
  <c r="L2867" i="2" a="1"/>
  <c r="L2867" i="2" s="1"/>
  <c r="K2869" i="2" a="1"/>
  <c r="K2869" i="2" s="1"/>
  <c r="K2870" i="2" a="1"/>
  <c r="K2870" i="2" s="1"/>
  <c r="M2871" i="2" a="1"/>
  <c r="M2871" i="2" s="1"/>
  <c r="M2872" i="2" a="1"/>
  <c r="M2872" i="2" s="1"/>
  <c r="L2874" i="2" a="1"/>
  <c r="L2874" i="2" s="1"/>
  <c r="L2875" i="2" a="1"/>
  <c r="L2875" i="2" s="1"/>
  <c r="K2877" i="2" a="1"/>
  <c r="K2877" i="2" s="1"/>
  <c r="K2878" i="2" a="1"/>
  <c r="K2878" i="2" s="1"/>
  <c r="M2879" i="2" a="1"/>
  <c r="M2879" i="2" s="1"/>
  <c r="M2880" i="2" a="1"/>
  <c r="M2880" i="2" s="1"/>
  <c r="L2882" i="2" a="1"/>
  <c r="L2882" i="2" s="1"/>
  <c r="L2883" i="2" a="1"/>
  <c r="L2883" i="2" s="1"/>
  <c r="K2885" i="2" a="1"/>
  <c r="K2885" i="2" s="1"/>
  <c r="K2886" i="2" a="1"/>
  <c r="K2886" i="2" s="1"/>
  <c r="M2887" i="2" a="1"/>
  <c r="M2887" i="2" s="1"/>
  <c r="M2888" i="2" a="1"/>
  <c r="M2888" i="2" s="1"/>
  <c r="L2890" i="2" a="1"/>
  <c r="L2890" i="2" s="1"/>
  <c r="L2891" i="2" a="1"/>
  <c r="L2891" i="2" s="1"/>
  <c r="K2893" i="2" a="1"/>
  <c r="K2893" i="2" s="1"/>
  <c r="K2894" i="2" a="1"/>
  <c r="K2894" i="2" s="1"/>
  <c r="M2895" i="2" a="1"/>
  <c r="M2895" i="2" s="1"/>
  <c r="M2896" i="2" a="1"/>
  <c r="M2896" i="2" s="1"/>
  <c r="L2898" i="2" a="1"/>
  <c r="L2898" i="2" s="1"/>
  <c r="L2899" i="2" a="1"/>
  <c r="L2899" i="2" s="1"/>
  <c r="K2901" i="2" a="1"/>
  <c r="K2901" i="2" s="1"/>
  <c r="K2902" i="2" a="1"/>
  <c r="K2902" i="2" s="1"/>
  <c r="M2903" i="2" a="1"/>
  <c r="M2903" i="2" s="1"/>
  <c r="M2904" i="2" a="1"/>
  <c r="M2904" i="2" s="1"/>
  <c r="L2906" i="2" a="1"/>
  <c r="L2906" i="2" s="1"/>
  <c r="L2907" i="2" a="1"/>
  <c r="L2907" i="2" s="1"/>
  <c r="K2909" i="2" a="1"/>
  <c r="K2909" i="2" s="1"/>
  <c r="K2910" i="2" a="1"/>
  <c r="K2910" i="2" s="1"/>
  <c r="M2911" i="2" a="1"/>
  <c r="M2911" i="2" s="1"/>
  <c r="M2912" i="2" a="1"/>
  <c r="M2912" i="2" s="1"/>
  <c r="L2914" i="2" a="1"/>
  <c r="L2914" i="2" s="1"/>
  <c r="L2915" i="2" a="1"/>
  <c r="L2915" i="2" s="1"/>
  <c r="K2917" i="2" a="1"/>
  <c r="K2917" i="2" s="1"/>
  <c r="K2918" i="2" a="1"/>
  <c r="K2918" i="2" s="1"/>
  <c r="M2919" i="2" a="1"/>
  <c r="M2919" i="2" s="1"/>
  <c r="M2920" i="2" a="1"/>
  <c r="M2920" i="2" s="1"/>
  <c r="L2922" i="2" a="1"/>
  <c r="L2922" i="2" s="1"/>
  <c r="L2923" i="2" a="1"/>
  <c r="L2923" i="2" s="1"/>
  <c r="K2925" i="2" a="1"/>
  <c r="K2925" i="2" s="1"/>
  <c r="K2926" i="2" a="1"/>
  <c r="K2926" i="2" s="1"/>
  <c r="M2927" i="2" a="1"/>
  <c r="M2927" i="2" s="1"/>
  <c r="M2928" i="2" a="1"/>
  <c r="M2928" i="2" s="1"/>
  <c r="L2930" i="2" a="1"/>
  <c r="L2930" i="2" s="1"/>
  <c r="L2931" i="2" a="1"/>
  <c r="L2931" i="2" s="1"/>
  <c r="K2933" i="2" a="1"/>
  <c r="K2933" i="2" s="1"/>
  <c r="K2934" i="2" a="1"/>
  <c r="K2934" i="2" s="1"/>
  <c r="M2935" i="2" a="1"/>
  <c r="M2935" i="2" s="1"/>
  <c r="M2936" i="2" a="1"/>
  <c r="M2936" i="2" s="1"/>
  <c r="L2938" i="2" a="1"/>
  <c r="L2938" i="2" s="1"/>
  <c r="L2939" i="2" a="1"/>
  <c r="L2939" i="2" s="1"/>
  <c r="K2941" i="2" a="1"/>
  <c r="K2941" i="2" s="1"/>
  <c r="K2942" i="2" a="1"/>
  <c r="K2942" i="2" s="1"/>
  <c r="M2943" i="2" a="1"/>
  <c r="M2943" i="2" s="1"/>
  <c r="M2944" i="2" a="1"/>
  <c r="M2944" i="2" s="1"/>
  <c r="L2946" i="2" a="1"/>
  <c r="L2946" i="2" s="1"/>
  <c r="L2947" i="2" a="1"/>
  <c r="L2947" i="2" s="1"/>
  <c r="K2949" i="2" a="1"/>
  <c r="K2949" i="2" s="1"/>
  <c r="K2950" i="2" a="1"/>
  <c r="K2950" i="2" s="1"/>
  <c r="M2951" i="2" a="1"/>
  <c r="M2951" i="2" s="1"/>
  <c r="M2952" i="2" a="1"/>
  <c r="M2952" i="2" s="1"/>
  <c r="L2954" i="2" a="1"/>
  <c r="L2954" i="2" s="1"/>
  <c r="L2955" i="2" a="1"/>
  <c r="L2955" i="2" s="1"/>
  <c r="K2957" i="2" a="1"/>
  <c r="K2957" i="2" s="1"/>
  <c r="K2958" i="2" a="1"/>
  <c r="K2958" i="2" s="1"/>
  <c r="M2959" i="2" a="1"/>
  <c r="M2959" i="2" s="1"/>
  <c r="M2960" i="2" a="1"/>
  <c r="M2960" i="2" s="1"/>
  <c r="L2962" i="2" a="1"/>
  <c r="L2962" i="2" s="1"/>
  <c r="L2963" i="2" a="1"/>
  <c r="L2963" i="2" s="1"/>
  <c r="K2965" i="2" a="1"/>
  <c r="K2965" i="2" s="1"/>
  <c r="K2966" i="2" a="1"/>
  <c r="K2966" i="2" s="1"/>
  <c r="M2967" i="2" a="1"/>
  <c r="M2967" i="2" s="1"/>
  <c r="M2968" i="2" a="1"/>
  <c r="M2968" i="2" s="1"/>
  <c r="L2970" i="2" a="1"/>
  <c r="L2970" i="2" s="1"/>
  <c r="L2971" i="2" a="1"/>
  <c r="L2971" i="2" s="1"/>
  <c r="K2973" i="2" a="1"/>
  <c r="K2973" i="2" s="1"/>
  <c r="K2974" i="2" a="1"/>
  <c r="K2974" i="2" s="1"/>
  <c r="M2975" i="2" a="1"/>
  <c r="M2975" i="2" s="1"/>
  <c r="M2976" i="2" a="1"/>
  <c r="M2976" i="2" s="1"/>
  <c r="L2978" i="2" a="1"/>
  <c r="L2978" i="2" s="1"/>
  <c r="L2979" i="2" a="1"/>
  <c r="L2979" i="2" s="1"/>
  <c r="K2981" i="2" a="1"/>
  <c r="K2981" i="2" s="1"/>
  <c r="K2982" i="2" a="1"/>
  <c r="K2982" i="2" s="1"/>
  <c r="M2983" i="2" a="1"/>
  <c r="M2983" i="2" s="1"/>
  <c r="M2984" i="2" a="1"/>
  <c r="M2984" i="2" s="1"/>
  <c r="L2986" i="2" a="1"/>
  <c r="L2986" i="2" s="1"/>
  <c r="L2987" i="2" a="1"/>
  <c r="L2987" i="2" s="1"/>
  <c r="K2989" i="2" a="1"/>
  <c r="K2989" i="2" s="1"/>
  <c r="K2990" i="2" a="1"/>
  <c r="K2990" i="2" s="1"/>
  <c r="M2991" i="2" a="1"/>
  <c r="M2991" i="2" s="1"/>
  <c r="M2992" i="2" a="1"/>
  <c r="M2992" i="2" s="1"/>
  <c r="L2994" i="2" a="1"/>
  <c r="L2994" i="2" s="1"/>
  <c r="L2995" i="2" a="1"/>
  <c r="L2995" i="2" s="1"/>
  <c r="K2997" i="2" a="1"/>
  <c r="K2997" i="2" s="1"/>
  <c r="K2998" i="2" a="1"/>
  <c r="K2998" i="2" s="1"/>
  <c r="M2999" i="2" a="1"/>
  <c r="M2999" i="2" s="1"/>
  <c r="M3000" i="2" a="1"/>
  <c r="M3000" i="2" s="1"/>
  <c r="L3002" i="2" a="1"/>
  <c r="L3002" i="2" s="1"/>
  <c r="L3003" i="2" a="1"/>
  <c r="L3003" i="2" s="1"/>
  <c r="K3005" i="2" a="1"/>
  <c r="K3005" i="2" s="1"/>
  <c r="K3006" i="2" a="1"/>
  <c r="K3006" i="2" s="1"/>
  <c r="M3007" i="2" a="1"/>
  <c r="M3007" i="2" s="1"/>
  <c r="M3008" i="2" a="1"/>
  <c r="M3008" i="2" s="1"/>
  <c r="L3010" i="2" a="1"/>
  <c r="L3010" i="2" s="1"/>
  <c r="L3011" i="2" a="1"/>
  <c r="L3011" i="2" s="1"/>
  <c r="K3013" i="2" a="1"/>
  <c r="K3013" i="2" s="1"/>
  <c r="K3014" i="2" a="1"/>
  <c r="K3014" i="2" s="1"/>
  <c r="M3015" i="2" a="1"/>
  <c r="M3015" i="2" s="1"/>
  <c r="M3016" i="2" a="1"/>
  <c r="M3016" i="2" s="1"/>
  <c r="L3018" i="2" a="1"/>
  <c r="L3018" i="2" s="1"/>
  <c r="L3019" i="2" a="1"/>
  <c r="L3019" i="2" s="1"/>
  <c r="K3021" i="2" a="1"/>
  <c r="K3021" i="2" s="1"/>
  <c r="K3022" i="2" a="1"/>
  <c r="K3022" i="2" s="1"/>
  <c r="M3023" i="2" a="1"/>
  <c r="M3023" i="2" s="1"/>
  <c r="M3024" i="2" a="1"/>
  <c r="M3024" i="2" s="1"/>
  <c r="L3026" i="2" a="1"/>
  <c r="L3026" i="2" s="1"/>
  <c r="L3027" i="2" a="1"/>
  <c r="L3027" i="2" s="1"/>
  <c r="K3029" i="2" a="1"/>
  <c r="K3029" i="2" s="1"/>
  <c r="K3030" i="2" a="1"/>
  <c r="K3030" i="2" s="1"/>
  <c r="M3031" i="2" a="1"/>
  <c r="M3031" i="2" s="1"/>
  <c r="M3032" i="2" a="1"/>
  <c r="M3032" i="2" s="1"/>
  <c r="L3034" i="2" a="1"/>
  <c r="L3034" i="2" s="1"/>
  <c r="L3035" i="2" a="1"/>
  <c r="L3035" i="2" s="1"/>
  <c r="K3037" i="2" a="1"/>
  <c r="K3037" i="2" s="1"/>
  <c r="K3038" i="2" a="1"/>
  <c r="K3038" i="2" s="1"/>
  <c r="M3039" i="2" a="1"/>
  <c r="M3039" i="2" s="1"/>
  <c r="M3040" i="2" a="1"/>
  <c r="M3040" i="2" s="1"/>
  <c r="L3042" i="2" a="1"/>
  <c r="L3042" i="2" s="1"/>
  <c r="L3043" i="2" a="1"/>
  <c r="L3043" i="2" s="1"/>
  <c r="K3045" i="2" a="1"/>
  <c r="K3045" i="2" s="1"/>
  <c r="K3046" i="2" a="1"/>
  <c r="K3046" i="2" s="1"/>
  <c r="M3047" i="2" a="1"/>
  <c r="M3047" i="2" s="1"/>
  <c r="M3048" i="2" a="1"/>
  <c r="M3048" i="2" s="1"/>
  <c r="L3050" i="2" a="1"/>
  <c r="L3050" i="2" s="1"/>
  <c r="L3051" i="2" a="1"/>
  <c r="L3051" i="2" s="1"/>
  <c r="K3053" i="2" a="1"/>
  <c r="K3053" i="2" s="1"/>
  <c r="K3054" i="2" a="1"/>
  <c r="K3054" i="2" s="1"/>
  <c r="M3055" i="2" a="1"/>
  <c r="M3055" i="2" s="1"/>
  <c r="M3056" i="2" a="1"/>
  <c r="M3056" i="2" s="1"/>
  <c r="L3058" i="2" a="1"/>
  <c r="L3058" i="2" s="1"/>
  <c r="L3059" i="2" a="1"/>
  <c r="L3059" i="2" s="1"/>
  <c r="K3061" i="2" a="1"/>
  <c r="K3061" i="2" s="1"/>
  <c r="K3062" i="2" a="1"/>
  <c r="K3062" i="2" s="1"/>
  <c r="M3063" i="2" a="1"/>
  <c r="M3063" i="2" s="1"/>
  <c r="M3064" i="2" a="1"/>
  <c r="M3064" i="2" s="1"/>
  <c r="L3066" i="2" a="1"/>
  <c r="L3066" i="2" s="1"/>
  <c r="L3067" i="2" a="1"/>
  <c r="L3067" i="2" s="1"/>
  <c r="K3069" i="2" a="1"/>
  <c r="K3069" i="2" s="1"/>
  <c r="K3070" i="2" a="1"/>
  <c r="K3070" i="2" s="1"/>
  <c r="M3071" i="2" a="1"/>
  <c r="M3071" i="2" s="1"/>
  <c r="M3072" i="2" a="1"/>
  <c r="M3072" i="2" s="1"/>
  <c r="L3074" i="2" a="1"/>
  <c r="L3074" i="2" s="1"/>
  <c r="L3075" i="2" a="1"/>
  <c r="L3075" i="2" s="1"/>
  <c r="K3077" i="2" a="1"/>
  <c r="K3077" i="2" s="1"/>
  <c r="K3078" i="2" a="1"/>
  <c r="K3078" i="2" s="1"/>
  <c r="M3079" i="2" a="1"/>
  <c r="M3079" i="2" s="1"/>
  <c r="M3080" i="2" a="1"/>
  <c r="M3080" i="2" s="1"/>
  <c r="L3082" i="2" a="1"/>
  <c r="L3082" i="2" s="1"/>
  <c r="L3083" i="2" a="1"/>
  <c r="L3083" i="2" s="1"/>
  <c r="K3085" i="2" a="1"/>
  <c r="K3085" i="2" s="1"/>
  <c r="K3086" i="2" a="1"/>
  <c r="K3086" i="2" s="1"/>
  <c r="M3087" i="2" a="1"/>
  <c r="M3087" i="2" s="1"/>
  <c r="M3088" i="2" a="1"/>
  <c r="M3088" i="2" s="1"/>
  <c r="L3090" i="2" a="1"/>
  <c r="L3090" i="2" s="1"/>
  <c r="L3091" i="2" a="1"/>
  <c r="L3091" i="2" s="1"/>
  <c r="K3093" i="2" a="1"/>
  <c r="K3093" i="2" s="1"/>
  <c r="K3094" i="2" a="1"/>
  <c r="K3094" i="2" s="1"/>
  <c r="M3095" i="2" a="1"/>
  <c r="M3095" i="2" s="1"/>
  <c r="M3096" i="2" a="1"/>
  <c r="M3096" i="2" s="1"/>
  <c r="L3098" i="2" a="1"/>
  <c r="L3098" i="2" s="1"/>
  <c r="L3099" i="2" a="1"/>
  <c r="L3099" i="2" s="1"/>
  <c r="K3101" i="2" a="1"/>
  <c r="K3101" i="2" s="1"/>
  <c r="K3102" i="2" a="1"/>
  <c r="K3102" i="2" s="1"/>
  <c r="M3103" i="2" a="1"/>
  <c r="M3103" i="2" s="1"/>
  <c r="M3104" i="2" a="1"/>
  <c r="M3104" i="2" s="1"/>
  <c r="L3106" i="2" a="1"/>
  <c r="L3106" i="2" s="1"/>
  <c r="L3107" i="2" a="1"/>
  <c r="L3107" i="2" s="1"/>
  <c r="K3109" i="2" a="1"/>
  <c r="K3109" i="2" s="1"/>
  <c r="K3110" i="2" a="1"/>
  <c r="K3110" i="2" s="1"/>
  <c r="M3111" i="2" a="1"/>
  <c r="M3111" i="2" s="1"/>
  <c r="M3112" i="2" a="1"/>
  <c r="M3112" i="2" s="1"/>
  <c r="L3114" i="2" a="1"/>
  <c r="L3114" i="2" s="1"/>
  <c r="L3115" i="2" a="1"/>
  <c r="L3115" i="2" s="1"/>
  <c r="K3117" i="2" a="1"/>
  <c r="K3117" i="2" s="1"/>
  <c r="K3118" i="2" a="1"/>
  <c r="K3118" i="2" s="1"/>
  <c r="M3119" i="2" a="1"/>
  <c r="M3119" i="2" s="1"/>
  <c r="M3120" i="2" a="1"/>
  <c r="M3120" i="2" s="1"/>
  <c r="L3122" i="2" a="1"/>
  <c r="L3122" i="2" s="1"/>
  <c r="L3123" i="2" a="1"/>
  <c r="L3123" i="2" s="1"/>
  <c r="K3125" i="2" a="1"/>
  <c r="K3125" i="2" s="1"/>
  <c r="K3126" i="2" a="1"/>
  <c r="K3126" i="2" s="1"/>
  <c r="M3127" i="2" a="1"/>
  <c r="M3127" i="2" s="1"/>
  <c r="M3128" i="2" a="1"/>
  <c r="M3128" i="2" s="1"/>
  <c r="L3130" i="2" a="1"/>
  <c r="L3130" i="2" s="1"/>
  <c r="L3131" i="2" a="1"/>
  <c r="L3131" i="2" s="1"/>
  <c r="L3132" i="2" a="1"/>
  <c r="L3132" i="2" s="1"/>
  <c r="L3133" i="2" a="1"/>
  <c r="L3133" i="2" s="1"/>
  <c r="K3135" i="2" a="1"/>
  <c r="K3135" i="2" s="1"/>
  <c r="K3136" i="2" a="1"/>
  <c r="K3136" i="2" s="1"/>
  <c r="M3137" i="2" a="1"/>
  <c r="M3137" i="2" s="1"/>
  <c r="M3138" i="2" a="1"/>
  <c r="M3138" i="2" s="1"/>
  <c r="L3140" i="2" a="1"/>
  <c r="L3140" i="2" s="1"/>
  <c r="L3141" i="2" a="1"/>
  <c r="L3141" i="2" s="1"/>
  <c r="K3143" i="2" a="1"/>
  <c r="K3143" i="2" s="1"/>
  <c r="K3144" i="2" a="1"/>
  <c r="K3144" i="2" s="1"/>
  <c r="M3145" i="2" a="1"/>
  <c r="M3145" i="2" s="1"/>
  <c r="M3146" i="2" a="1"/>
  <c r="M3146" i="2" s="1"/>
  <c r="L3148" i="2" a="1"/>
  <c r="L3148" i="2" s="1"/>
  <c r="L3149" i="2" a="1"/>
  <c r="L3149" i="2" s="1"/>
  <c r="K3151" i="2" a="1"/>
  <c r="K3151" i="2" s="1"/>
  <c r="K3152" i="2" a="1"/>
  <c r="K3152" i="2" s="1"/>
  <c r="M3153" i="2" a="1"/>
  <c r="M3153" i="2" s="1"/>
  <c r="M3154" i="2" a="1"/>
  <c r="M3154" i="2" s="1"/>
  <c r="L3156" i="2" a="1"/>
  <c r="L3156" i="2" s="1"/>
  <c r="L3157" i="2" a="1"/>
  <c r="L3157" i="2" s="1"/>
  <c r="K3159" i="2" a="1"/>
  <c r="K3159" i="2" s="1"/>
  <c r="K3160" i="2" a="1"/>
  <c r="K3160" i="2" s="1"/>
  <c r="M3161" i="2" a="1"/>
  <c r="M3161" i="2" s="1"/>
  <c r="M3162" i="2" a="1"/>
  <c r="M3162" i="2" s="1"/>
  <c r="L3164" i="2" a="1"/>
  <c r="L3164" i="2" s="1"/>
  <c r="L3165" i="2" a="1"/>
  <c r="L3165" i="2" s="1"/>
  <c r="K3167" i="2" a="1"/>
  <c r="K3167" i="2" s="1"/>
  <c r="K3168" i="2" a="1"/>
  <c r="K3168" i="2" s="1"/>
  <c r="M3169" i="2" a="1"/>
  <c r="M3169" i="2" s="1"/>
  <c r="M3170" i="2" a="1"/>
  <c r="M3170" i="2" s="1"/>
  <c r="L3172" i="2" a="1"/>
  <c r="L3172" i="2" s="1"/>
  <c r="L3173" i="2" a="1"/>
  <c r="L3173" i="2" s="1"/>
  <c r="K3175" i="2" a="1"/>
  <c r="K3175" i="2" s="1"/>
  <c r="K3176" i="2" a="1"/>
  <c r="K3176" i="2" s="1"/>
  <c r="M3177" i="2" a="1"/>
  <c r="M3177" i="2" s="1"/>
  <c r="M3178" i="2" a="1"/>
  <c r="M3178" i="2" s="1"/>
  <c r="L3180" i="2" a="1"/>
  <c r="L3180" i="2" s="1"/>
  <c r="L3181" i="2" a="1"/>
  <c r="L3181" i="2" s="1"/>
  <c r="K3183" i="2" a="1"/>
  <c r="K3183" i="2" s="1"/>
  <c r="K3184" i="2" a="1"/>
  <c r="K3184" i="2" s="1"/>
  <c r="M3185" i="2" a="1"/>
  <c r="M3185" i="2" s="1"/>
  <c r="M3186" i="2" a="1"/>
  <c r="M3186" i="2" s="1"/>
  <c r="L3188" i="2" a="1"/>
  <c r="L3188" i="2" s="1"/>
  <c r="L3189" i="2" a="1"/>
  <c r="L3189" i="2" s="1"/>
  <c r="K3191" i="2" a="1"/>
  <c r="K3191" i="2" s="1"/>
  <c r="K3192" i="2" a="1"/>
  <c r="K3192" i="2" s="1"/>
  <c r="M3193" i="2" a="1"/>
  <c r="M3193" i="2" s="1"/>
  <c r="M3194" i="2" a="1"/>
  <c r="M3194" i="2" s="1"/>
  <c r="L3196" i="2" a="1"/>
  <c r="L3196" i="2" s="1"/>
  <c r="L3197" i="2" a="1"/>
  <c r="L3197" i="2" s="1"/>
  <c r="K3199" i="2" a="1"/>
  <c r="K3199" i="2" s="1"/>
  <c r="K3200" i="2" a="1"/>
  <c r="K3200" i="2" s="1"/>
  <c r="M3201" i="2" a="1"/>
  <c r="M3201" i="2" s="1"/>
  <c r="M3202" i="2" a="1"/>
  <c r="M3202" i="2" s="1"/>
  <c r="L3204" i="2" a="1"/>
  <c r="L3204" i="2" s="1"/>
  <c r="L3205" i="2" a="1"/>
  <c r="L3205" i="2" s="1"/>
  <c r="K3207" i="2" a="1"/>
  <c r="K3207" i="2" s="1"/>
  <c r="K3208" i="2" a="1"/>
  <c r="K3208" i="2" s="1"/>
  <c r="M3209" i="2" a="1"/>
  <c r="M3209" i="2" s="1"/>
  <c r="M3210" i="2" a="1"/>
  <c r="M3210" i="2" s="1"/>
  <c r="L3212" i="2" a="1"/>
  <c r="L3212" i="2" s="1"/>
  <c r="L3213" i="2" a="1"/>
  <c r="L3213" i="2" s="1"/>
  <c r="K3215" i="2" a="1"/>
  <c r="K3215" i="2" s="1"/>
  <c r="K3216" i="2" a="1"/>
  <c r="K3216" i="2" s="1"/>
  <c r="M3217" i="2" a="1"/>
  <c r="M3217" i="2" s="1"/>
  <c r="M3218" i="2" a="1"/>
  <c r="M3218" i="2" s="1"/>
  <c r="L3220" i="2" a="1"/>
  <c r="L3220" i="2" s="1"/>
  <c r="L3221" i="2" a="1"/>
  <c r="L3221" i="2" s="1"/>
  <c r="K3223" i="2" a="1"/>
  <c r="K3223" i="2" s="1"/>
  <c r="K3224" i="2" a="1"/>
  <c r="K3224" i="2" s="1"/>
  <c r="M3225" i="2" a="1"/>
  <c r="M3225" i="2" s="1"/>
  <c r="M3226" i="2" a="1"/>
  <c r="M3226" i="2" s="1"/>
  <c r="L3228" i="2" a="1"/>
  <c r="L3228" i="2" s="1"/>
  <c r="L3229" i="2" a="1"/>
  <c r="L3229" i="2" s="1"/>
  <c r="K3231" i="2" a="1"/>
  <c r="K3231" i="2" s="1"/>
  <c r="K3232" i="2" a="1"/>
  <c r="K3232" i="2" s="1"/>
  <c r="M3233" i="2" a="1"/>
  <c r="M3233" i="2" s="1"/>
  <c r="M3234" i="2" a="1"/>
  <c r="M3234" i="2" s="1"/>
  <c r="L3236" i="2" a="1"/>
  <c r="L3236" i="2" s="1"/>
  <c r="L3237" i="2" a="1"/>
  <c r="L3237" i="2" s="1"/>
  <c r="K3239" i="2" a="1"/>
  <c r="K3239" i="2" s="1"/>
  <c r="K3240" i="2" a="1"/>
  <c r="K3240" i="2" s="1"/>
  <c r="M3241" i="2" a="1"/>
  <c r="M3241" i="2" s="1"/>
  <c r="M3242" i="2" a="1"/>
  <c r="M3242" i="2" s="1"/>
  <c r="L3244" i="2" a="1"/>
  <c r="L3244" i="2" s="1"/>
  <c r="L3245" i="2" a="1"/>
  <c r="L3245" i="2" s="1"/>
  <c r="K3247" i="2" a="1"/>
  <c r="K3247" i="2" s="1"/>
  <c r="K3248" i="2" a="1"/>
  <c r="K3248" i="2" s="1"/>
  <c r="M3249" i="2" a="1"/>
  <c r="M3249" i="2" s="1"/>
  <c r="M3250" i="2" a="1"/>
  <c r="M3250" i="2" s="1"/>
  <c r="L3252" i="2" a="1"/>
  <c r="L3252" i="2" s="1"/>
  <c r="L3253" i="2" a="1"/>
  <c r="L3253" i="2" s="1"/>
  <c r="K3255" i="2" a="1"/>
  <c r="K3255" i="2" s="1"/>
  <c r="K3256" i="2" a="1"/>
  <c r="K3256" i="2" s="1"/>
  <c r="M3257" i="2" a="1"/>
  <c r="M3257" i="2" s="1"/>
  <c r="M3258" i="2" a="1"/>
  <c r="M3258" i="2" s="1"/>
  <c r="L3260" i="2" a="1"/>
  <c r="L3260" i="2" s="1"/>
  <c r="L3261" i="2" a="1"/>
  <c r="L3261" i="2" s="1"/>
  <c r="K3263" i="2" a="1"/>
  <c r="K3263" i="2" s="1"/>
  <c r="K3264" i="2" a="1"/>
  <c r="K3264" i="2" s="1"/>
  <c r="M3265" i="2" a="1"/>
  <c r="M3265" i="2" s="1"/>
  <c r="M3266" i="2" a="1"/>
  <c r="M3266" i="2" s="1"/>
  <c r="L3268" i="2" a="1"/>
  <c r="L3268" i="2" s="1"/>
  <c r="L3269" i="2" a="1"/>
  <c r="L3269" i="2" s="1"/>
  <c r="K3271" i="2" a="1"/>
  <c r="K3271" i="2" s="1"/>
  <c r="K3272" i="2" a="1"/>
  <c r="K3272" i="2" s="1"/>
  <c r="M3273" i="2" a="1"/>
  <c r="M3273" i="2" s="1"/>
  <c r="M3274" i="2" a="1"/>
  <c r="M3274" i="2" s="1"/>
  <c r="L3276" i="2" a="1"/>
  <c r="L3276" i="2" s="1"/>
  <c r="L3277" i="2" a="1"/>
  <c r="L3277" i="2" s="1"/>
  <c r="K3279" i="2" a="1"/>
  <c r="K3279" i="2" s="1"/>
  <c r="K3280" i="2" a="1"/>
  <c r="K3280" i="2" s="1"/>
  <c r="M3281" i="2" a="1"/>
  <c r="M3281" i="2" s="1"/>
  <c r="M3282" i="2" a="1"/>
  <c r="M3282" i="2" s="1"/>
  <c r="L3284" i="2" a="1"/>
  <c r="L3284" i="2" s="1"/>
  <c r="L3285" i="2" a="1"/>
  <c r="L3285" i="2" s="1"/>
  <c r="K3287" i="2" a="1"/>
  <c r="K3287" i="2" s="1"/>
  <c r="K3288" i="2" a="1"/>
  <c r="K3288" i="2" s="1"/>
  <c r="M3289" i="2" a="1"/>
  <c r="M3289" i="2" s="1"/>
  <c r="M3290" i="2" a="1"/>
  <c r="M3290" i="2" s="1"/>
  <c r="L3292" i="2" a="1"/>
  <c r="L3292" i="2" s="1"/>
  <c r="L3293" i="2" a="1"/>
  <c r="L3293" i="2" s="1"/>
  <c r="K3295" i="2" a="1"/>
  <c r="K3295" i="2" s="1"/>
  <c r="K3296" i="2" a="1"/>
  <c r="K3296" i="2" s="1"/>
  <c r="M3297" i="2" a="1"/>
  <c r="M3297" i="2" s="1"/>
  <c r="M3298" i="2" a="1"/>
  <c r="M3298" i="2" s="1"/>
  <c r="L3300" i="2" a="1"/>
  <c r="L3300" i="2" s="1"/>
  <c r="L3301" i="2" a="1"/>
  <c r="L3301" i="2" s="1"/>
  <c r="K3303" i="2" a="1"/>
  <c r="K3303" i="2" s="1"/>
  <c r="K3304" i="2" a="1"/>
  <c r="K3304" i="2" s="1"/>
  <c r="M3305" i="2" a="1"/>
  <c r="M3305" i="2" s="1"/>
  <c r="M3306" i="2" a="1"/>
  <c r="M3306" i="2" s="1"/>
  <c r="L3308" i="2" a="1"/>
  <c r="L3308" i="2" s="1"/>
  <c r="L3309" i="2" a="1"/>
  <c r="L3309" i="2" s="1"/>
  <c r="K3311" i="2" a="1"/>
  <c r="K3311" i="2" s="1"/>
  <c r="K3312" i="2" a="1"/>
  <c r="K3312" i="2" s="1"/>
  <c r="M3313" i="2" a="1"/>
  <c r="M3313" i="2" s="1"/>
  <c r="M3314" i="2" a="1"/>
  <c r="M3314" i="2" s="1"/>
  <c r="L3316" i="2" a="1"/>
  <c r="L3316" i="2" s="1"/>
  <c r="L3317" i="2" a="1"/>
  <c r="L3317" i="2" s="1"/>
  <c r="K3319" i="2" a="1"/>
  <c r="K3319" i="2" s="1"/>
  <c r="K3320" i="2" a="1"/>
  <c r="K3320" i="2" s="1"/>
  <c r="M3321" i="2" a="1"/>
  <c r="M3321" i="2" s="1"/>
  <c r="M3322" i="2" a="1"/>
  <c r="M3322" i="2" s="1"/>
  <c r="L3324" i="2" a="1"/>
  <c r="L3324" i="2" s="1"/>
  <c r="L3325" i="2" a="1"/>
  <c r="L3325" i="2" s="1"/>
  <c r="K3327" i="2" a="1"/>
  <c r="K3327" i="2" s="1"/>
  <c r="K3328" i="2" a="1"/>
  <c r="K3328" i="2" s="1"/>
  <c r="M3329" i="2" a="1"/>
  <c r="M3329" i="2" s="1"/>
  <c r="M3330" i="2" a="1"/>
  <c r="M3330" i="2" s="1"/>
  <c r="L3332" i="2" a="1"/>
  <c r="L3332" i="2" s="1"/>
  <c r="L3333" i="2" a="1"/>
  <c r="L3333" i="2" s="1"/>
  <c r="K3335" i="2" a="1"/>
  <c r="K3335" i="2" s="1"/>
  <c r="K3336" i="2" a="1"/>
  <c r="K3336" i="2" s="1"/>
  <c r="M3337" i="2" a="1"/>
  <c r="M3337" i="2" s="1"/>
  <c r="M3338" i="2" a="1"/>
  <c r="M3338" i="2" s="1"/>
  <c r="L3340" i="2" a="1"/>
  <c r="L3340" i="2" s="1"/>
  <c r="L3341" i="2" a="1"/>
  <c r="L3341" i="2" s="1"/>
  <c r="K3343" i="2" a="1"/>
  <c r="K3343" i="2" s="1"/>
  <c r="K3344" i="2" a="1"/>
  <c r="K3344" i="2" s="1"/>
  <c r="M3345" i="2" a="1"/>
  <c r="M3345" i="2" s="1"/>
  <c r="M3346" i="2" a="1"/>
  <c r="M3346" i="2" s="1"/>
  <c r="L3348" i="2" a="1"/>
  <c r="L3348" i="2" s="1"/>
  <c r="L3349" i="2" a="1"/>
  <c r="L3349" i="2" s="1"/>
  <c r="K3351" i="2" a="1"/>
  <c r="K3351" i="2" s="1"/>
  <c r="K3352" i="2" a="1"/>
  <c r="K3352" i="2" s="1"/>
  <c r="M3353" i="2" a="1"/>
  <c r="M3353" i="2" s="1"/>
  <c r="M3354" i="2" a="1"/>
  <c r="M3354" i="2" s="1"/>
  <c r="L3356" i="2" a="1"/>
  <c r="L3356" i="2" s="1"/>
  <c r="L3357" i="2" a="1"/>
  <c r="L3357" i="2" s="1"/>
  <c r="K3359" i="2" a="1"/>
  <c r="K3359" i="2" s="1"/>
  <c r="K3360" i="2" a="1"/>
  <c r="K3360" i="2" s="1"/>
  <c r="M3361" i="2" a="1"/>
  <c r="M3361" i="2" s="1"/>
  <c r="M3362" i="2" a="1"/>
  <c r="M3362" i="2" s="1"/>
  <c r="L3364" i="2" a="1"/>
  <c r="L3364" i="2" s="1"/>
  <c r="L3365" i="2" a="1"/>
  <c r="L3365" i="2" s="1"/>
  <c r="K3367" i="2" a="1"/>
  <c r="K3367" i="2" s="1"/>
  <c r="K3368" i="2" a="1"/>
  <c r="K3368" i="2" s="1"/>
  <c r="M3369" i="2" a="1"/>
  <c r="M3369" i="2" s="1"/>
  <c r="M3370" i="2" a="1"/>
  <c r="M3370" i="2" s="1"/>
  <c r="L3372" i="2" a="1"/>
  <c r="L3372" i="2" s="1"/>
  <c r="L3373" i="2" a="1"/>
  <c r="L3373" i="2" s="1"/>
  <c r="K3375" i="2" a="1"/>
  <c r="K3375" i="2" s="1"/>
  <c r="K3376" i="2" a="1"/>
  <c r="K3376" i="2" s="1"/>
  <c r="M3377" i="2" a="1"/>
  <c r="M3377" i="2" s="1"/>
  <c r="M3378" i="2" a="1"/>
  <c r="M3378" i="2" s="1"/>
  <c r="L3380" i="2" a="1"/>
  <c r="L3380" i="2" s="1"/>
  <c r="L3381" i="2" a="1"/>
  <c r="L3381" i="2" s="1"/>
  <c r="K3383" i="2" a="1"/>
  <c r="K3383" i="2" s="1"/>
  <c r="K3384" i="2" a="1"/>
  <c r="K3384" i="2" s="1"/>
  <c r="M3385" i="2" a="1"/>
  <c r="M3385" i="2" s="1"/>
  <c r="M3386" i="2" a="1"/>
  <c r="M3386" i="2" s="1"/>
  <c r="L3388" i="2" a="1"/>
  <c r="L3388" i="2" s="1"/>
  <c r="L3389" i="2" a="1"/>
  <c r="L3389" i="2" s="1"/>
  <c r="K3391" i="2" a="1"/>
  <c r="K3391" i="2" s="1"/>
  <c r="K3392" i="2" a="1"/>
  <c r="K3392" i="2" s="1"/>
  <c r="M3393" i="2" a="1"/>
  <c r="M3393" i="2" s="1"/>
  <c r="M3394" i="2" a="1"/>
  <c r="M3394" i="2" s="1"/>
  <c r="L3396" i="2" a="1"/>
  <c r="L3396" i="2" s="1"/>
  <c r="L3397" i="2" a="1"/>
  <c r="L3397" i="2" s="1"/>
  <c r="K3399" i="2" a="1"/>
  <c r="K3399" i="2" s="1"/>
  <c r="K3400" i="2" a="1"/>
  <c r="K3400" i="2" s="1"/>
  <c r="M3401" i="2" a="1"/>
  <c r="M3401" i="2" s="1"/>
  <c r="M3402" i="2" a="1"/>
  <c r="M3402" i="2" s="1"/>
  <c r="L3404" i="2" a="1"/>
  <c r="L3404" i="2" s="1"/>
  <c r="L3405" i="2" a="1"/>
  <c r="L3405" i="2" s="1"/>
  <c r="K3407" i="2" a="1"/>
  <c r="K3407" i="2" s="1"/>
  <c r="K3408" i="2" a="1"/>
  <c r="K3408" i="2" s="1"/>
  <c r="M3409" i="2" a="1"/>
  <c r="M3409" i="2" s="1"/>
  <c r="M3410" i="2" a="1"/>
  <c r="M3410" i="2" s="1"/>
  <c r="L3412" i="2" a="1"/>
  <c r="L3412" i="2" s="1"/>
  <c r="L3413" i="2" a="1"/>
  <c r="L3413" i="2" s="1"/>
  <c r="K3415" i="2" a="1"/>
  <c r="K3415" i="2" s="1"/>
  <c r="K3416" i="2" a="1"/>
  <c r="K3416" i="2" s="1"/>
  <c r="M3417" i="2" a="1"/>
  <c r="M3417" i="2" s="1"/>
  <c r="M3418" i="2" a="1"/>
  <c r="M3418" i="2" s="1"/>
  <c r="L3420" i="2" a="1"/>
  <c r="L3420" i="2" s="1"/>
  <c r="L3421" i="2" a="1"/>
  <c r="L3421" i="2" s="1"/>
  <c r="K3423" i="2" a="1"/>
  <c r="K3423" i="2" s="1"/>
  <c r="K3424" i="2" a="1"/>
  <c r="K3424" i="2" s="1"/>
  <c r="M3425" i="2" a="1"/>
  <c r="M3425" i="2" s="1"/>
  <c r="M3426" i="2" a="1"/>
  <c r="M3426" i="2" s="1"/>
  <c r="L3428" i="2" a="1"/>
  <c r="L3428" i="2" s="1"/>
  <c r="L3429" i="2" a="1"/>
  <c r="L3429" i="2" s="1"/>
  <c r="K3431" i="2" a="1"/>
  <c r="K3431" i="2" s="1"/>
  <c r="K3432" i="2" a="1"/>
  <c r="K3432" i="2" s="1"/>
  <c r="M3433" i="2" a="1"/>
  <c r="M3433" i="2" s="1"/>
  <c r="M3434" i="2" a="1"/>
  <c r="M3434" i="2" s="1"/>
  <c r="L3436" i="2" a="1"/>
  <c r="L3436" i="2" s="1"/>
  <c r="L3437" i="2" a="1"/>
  <c r="L3437" i="2" s="1"/>
  <c r="K3439" i="2" a="1"/>
  <c r="K3439" i="2" s="1"/>
  <c r="K3440" i="2" a="1"/>
  <c r="K3440" i="2" s="1"/>
  <c r="M3441" i="2" a="1"/>
  <c r="M3441" i="2" s="1"/>
  <c r="M3442" i="2" a="1"/>
  <c r="M3442" i="2" s="1"/>
  <c r="L3444" i="2" a="1"/>
  <c r="L3444" i="2" s="1"/>
  <c r="L3445" i="2" a="1"/>
  <c r="L3445" i="2" s="1"/>
  <c r="K3447" i="2" a="1"/>
  <c r="K3447" i="2" s="1"/>
  <c r="K3448" i="2" a="1"/>
  <c r="K3448" i="2" s="1"/>
  <c r="M3449" i="2" a="1"/>
  <c r="M3449" i="2" s="1"/>
  <c r="M3450" i="2" a="1"/>
  <c r="M3450" i="2" s="1"/>
  <c r="L3452" i="2" a="1"/>
  <c r="L3452" i="2" s="1"/>
  <c r="L3453" i="2" a="1"/>
  <c r="L3453" i="2" s="1"/>
  <c r="K3455" i="2" a="1"/>
  <c r="K3455" i="2" s="1"/>
  <c r="K3456" i="2" a="1"/>
  <c r="K3456" i="2" s="1"/>
  <c r="M3457" i="2" a="1"/>
  <c r="M3457" i="2" s="1"/>
  <c r="M3458" i="2" a="1"/>
  <c r="M3458" i="2" s="1"/>
  <c r="L3460" i="2" a="1"/>
  <c r="L3460" i="2" s="1"/>
  <c r="L3461" i="2" a="1"/>
  <c r="L3461" i="2" s="1"/>
  <c r="K3463" i="2" a="1"/>
  <c r="K3463" i="2" s="1"/>
  <c r="K3464" i="2" a="1"/>
  <c r="K3464" i="2" s="1"/>
  <c r="M3465" i="2" a="1"/>
  <c r="M3465" i="2" s="1"/>
  <c r="M3466" i="2" a="1"/>
  <c r="M3466" i="2" s="1"/>
  <c r="L3468" i="2" a="1"/>
  <c r="L3468" i="2" s="1"/>
  <c r="L3469" i="2" a="1"/>
  <c r="L3469" i="2" s="1"/>
  <c r="K3471" i="2" a="1"/>
  <c r="K3471" i="2" s="1"/>
  <c r="K3472" i="2" a="1"/>
  <c r="K3472" i="2" s="1"/>
  <c r="M3473" i="2" a="1"/>
  <c r="M3473" i="2" s="1"/>
  <c r="M3474" i="2" a="1"/>
  <c r="M3474" i="2" s="1"/>
  <c r="L3476" i="2" a="1"/>
  <c r="L3476" i="2" s="1"/>
  <c r="L3477" i="2" a="1"/>
  <c r="L3477" i="2" s="1"/>
  <c r="K3479" i="2" a="1"/>
  <c r="K3479" i="2" s="1"/>
  <c r="K3480" i="2" a="1"/>
  <c r="K3480" i="2" s="1"/>
  <c r="M3481" i="2" a="1"/>
  <c r="M3481" i="2" s="1"/>
  <c r="M3482" i="2" a="1"/>
  <c r="M3482" i="2" s="1"/>
  <c r="L3484" i="2" a="1"/>
  <c r="L3484" i="2" s="1"/>
  <c r="L3485" i="2" a="1"/>
  <c r="L3485" i="2" s="1"/>
  <c r="K3487" i="2" a="1"/>
  <c r="K3487" i="2" s="1"/>
  <c r="K3488" i="2" a="1"/>
  <c r="K3488" i="2" s="1"/>
  <c r="M3489" i="2" a="1"/>
  <c r="M3489" i="2" s="1"/>
  <c r="M3490" i="2" a="1"/>
  <c r="M3490" i="2" s="1"/>
  <c r="L3492" i="2" a="1"/>
  <c r="L3492" i="2" s="1"/>
  <c r="L3493" i="2" a="1"/>
  <c r="L3493" i="2" s="1"/>
  <c r="K3495" i="2" a="1"/>
  <c r="K3495" i="2" s="1"/>
  <c r="K3496" i="2" a="1"/>
  <c r="K3496" i="2" s="1"/>
  <c r="M3497" i="2" a="1"/>
  <c r="M3497" i="2" s="1"/>
  <c r="M3498" i="2" a="1"/>
  <c r="M3498" i="2" s="1"/>
  <c r="L3500" i="2" a="1"/>
  <c r="L3500" i="2" s="1"/>
  <c r="M3132" i="2" a="1"/>
  <c r="M3132" i="2" s="1"/>
  <c r="L3134" i="2" a="1"/>
  <c r="L3134" i="2" s="1"/>
  <c r="L3135" i="2" a="1"/>
  <c r="L3135" i="2" s="1"/>
  <c r="K3137" i="2" a="1"/>
  <c r="K3137" i="2" s="1"/>
  <c r="K3138" i="2" a="1"/>
  <c r="K3138" i="2" s="1"/>
  <c r="M3139" i="2" a="1"/>
  <c r="M3139" i="2" s="1"/>
  <c r="M3140" i="2" a="1"/>
  <c r="M3140" i="2" s="1"/>
  <c r="L3142" i="2" a="1"/>
  <c r="L3142" i="2" s="1"/>
  <c r="L3143" i="2" a="1"/>
  <c r="L3143" i="2" s="1"/>
  <c r="K3145" i="2" a="1"/>
  <c r="K3145" i="2" s="1"/>
  <c r="K3146" i="2" a="1"/>
  <c r="K3146" i="2" s="1"/>
  <c r="M3147" i="2" a="1"/>
  <c r="M3147" i="2" s="1"/>
  <c r="M3148" i="2" a="1"/>
  <c r="M3148" i="2" s="1"/>
  <c r="L3150" i="2" a="1"/>
  <c r="L3150" i="2" s="1"/>
  <c r="L3151" i="2" a="1"/>
  <c r="L3151" i="2" s="1"/>
  <c r="K3153" i="2" a="1"/>
  <c r="K3153" i="2" s="1"/>
  <c r="K3154" i="2" a="1"/>
  <c r="K3154" i="2" s="1"/>
  <c r="M3155" i="2" a="1"/>
  <c r="M3155" i="2" s="1"/>
  <c r="M3156" i="2" a="1"/>
  <c r="M3156" i="2" s="1"/>
  <c r="L3158" i="2" a="1"/>
  <c r="L3158" i="2" s="1"/>
  <c r="L3159" i="2" a="1"/>
  <c r="L3159" i="2" s="1"/>
  <c r="K3161" i="2" a="1"/>
  <c r="K3161" i="2" s="1"/>
  <c r="K3162" i="2" a="1"/>
  <c r="K3162" i="2" s="1"/>
  <c r="M3163" i="2" a="1"/>
  <c r="M3163" i="2" s="1"/>
  <c r="M3164" i="2" a="1"/>
  <c r="M3164" i="2" s="1"/>
  <c r="L3166" i="2" a="1"/>
  <c r="L3166" i="2" s="1"/>
  <c r="L3167" i="2" a="1"/>
  <c r="L3167" i="2" s="1"/>
  <c r="K3169" i="2" a="1"/>
  <c r="K3169" i="2" s="1"/>
  <c r="K3170" i="2" a="1"/>
  <c r="K3170" i="2" s="1"/>
  <c r="M3171" i="2" a="1"/>
  <c r="M3171" i="2" s="1"/>
  <c r="M3172" i="2" a="1"/>
  <c r="M3172" i="2" s="1"/>
  <c r="L3174" i="2" a="1"/>
  <c r="L3174" i="2" s="1"/>
  <c r="L3175" i="2" a="1"/>
  <c r="L3175" i="2" s="1"/>
  <c r="K3177" i="2" a="1"/>
  <c r="K3177" i="2" s="1"/>
  <c r="K3178" i="2" a="1"/>
  <c r="K3178" i="2" s="1"/>
  <c r="M3179" i="2" a="1"/>
  <c r="M3179" i="2" s="1"/>
  <c r="M3180" i="2" a="1"/>
  <c r="M3180" i="2" s="1"/>
  <c r="L3182" i="2" a="1"/>
  <c r="L3182" i="2" s="1"/>
  <c r="L3183" i="2" a="1"/>
  <c r="L3183" i="2" s="1"/>
  <c r="K3185" i="2" a="1"/>
  <c r="K3185" i="2" s="1"/>
  <c r="K3186" i="2" a="1"/>
  <c r="K3186" i="2" s="1"/>
  <c r="M3187" i="2" a="1"/>
  <c r="M3187" i="2" s="1"/>
  <c r="M3188" i="2" a="1"/>
  <c r="M3188" i="2" s="1"/>
  <c r="L3190" i="2" a="1"/>
  <c r="L3190" i="2" s="1"/>
  <c r="L3191" i="2" a="1"/>
  <c r="L3191" i="2" s="1"/>
  <c r="K3193" i="2" a="1"/>
  <c r="K3193" i="2" s="1"/>
  <c r="K3194" i="2" a="1"/>
  <c r="K3194" i="2" s="1"/>
  <c r="M3195" i="2" a="1"/>
  <c r="M3195" i="2" s="1"/>
  <c r="M3196" i="2" a="1"/>
  <c r="M3196" i="2" s="1"/>
  <c r="L3198" i="2" a="1"/>
  <c r="L3198" i="2" s="1"/>
  <c r="L3199" i="2" a="1"/>
  <c r="L3199" i="2" s="1"/>
  <c r="K3201" i="2" a="1"/>
  <c r="K3201" i="2" s="1"/>
  <c r="K3202" i="2" a="1"/>
  <c r="K3202" i="2" s="1"/>
  <c r="M3203" i="2" a="1"/>
  <c r="M3203" i="2" s="1"/>
  <c r="M3204" i="2" a="1"/>
  <c r="M3204" i="2" s="1"/>
  <c r="L3206" i="2" a="1"/>
  <c r="L3206" i="2" s="1"/>
  <c r="L3207" i="2" a="1"/>
  <c r="L3207" i="2" s="1"/>
  <c r="K3209" i="2" a="1"/>
  <c r="K3209" i="2" s="1"/>
  <c r="K3210" i="2" a="1"/>
  <c r="K3210" i="2" s="1"/>
  <c r="M3211" i="2" a="1"/>
  <c r="M3211" i="2" s="1"/>
  <c r="M3212" i="2" a="1"/>
  <c r="M3212" i="2" s="1"/>
  <c r="L3214" i="2" a="1"/>
  <c r="L3214" i="2" s="1"/>
  <c r="L3215" i="2" a="1"/>
  <c r="L3215" i="2" s="1"/>
  <c r="K3217" i="2" a="1"/>
  <c r="K3217" i="2" s="1"/>
  <c r="K3218" i="2" a="1"/>
  <c r="K3218" i="2" s="1"/>
  <c r="M3219" i="2" a="1"/>
  <c r="M3219" i="2" s="1"/>
  <c r="M3220" i="2" a="1"/>
  <c r="M3220" i="2" s="1"/>
  <c r="L3222" i="2" a="1"/>
  <c r="L3222" i="2" s="1"/>
  <c r="L3223" i="2" a="1"/>
  <c r="L3223" i="2" s="1"/>
  <c r="K3225" i="2" a="1"/>
  <c r="K3225" i="2" s="1"/>
  <c r="K3226" i="2" a="1"/>
  <c r="K3226" i="2" s="1"/>
  <c r="M3227" i="2" a="1"/>
  <c r="M3227" i="2" s="1"/>
  <c r="M3228" i="2" a="1"/>
  <c r="M3228" i="2" s="1"/>
  <c r="L3230" i="2" a="1"/>
  <c r="L3230" i="2" s="1"/>
  <c r="L3231" i="2" a="1"/>
  <c r="L3231" i="2" s="1"/>
  <c r="K3233" i="2" a="1"/>
  <c r="K3233" i="2" s="1"/>
  <c r="K3234" i="2" a="1"/>
  <c r="K3234" i="2" s="1"/>
  <c r="M3235" i="2" a="1"/>
  <c r="M3235" i="2" s="1"/>
  <c r="M3236" i="2" a="1"/>
  <c r="M3236" i="2" s="1"/>
  <c r="L3238" i="2" a="1"/>
  <c r="L3238" i="2" s="1"/>
  <c r="L3239" i="2" a="1"/>
  <c r="L3239" i="2" s="1"/>
  <c r="K3241" i="2" a="1"/>
  <c r="K3241" i="2" s="1"/>
  <c r="K3242" i="2" a="1"/>
  <c r="K3242" i="2" s="1"/>
  <c r="M3243" i="2" a="1"/>
  <c r="M3243" i="2" s="1"/>
  <c r="M3244" i="2" a="1"/>
  <c r="M3244" i="2" s="1"/>
  <c r="L3246" i="2" a="1"/>
  <c r="L3246" i="2" s="1"/>
  <c r="L3247" i="2" a="1"/>
  <c r="L3247" i="2" s="1"/>
  <c r="K3249" i="2" a="1"/>
  <c r="K3249" i="2" s="1"/>
  <c r="K3250" i="2" a="1"/>
  <c r="K3250" i="2" s="1"/>
  <c r="M3251" i="2" a="1"/>
  <c r="M3251" i="2" s="1"/>
  <c r="M3252" i="2" a="1"/>
  <c r="M3252" i="2" s="1"/>
  <c r="L3254" i="2" a="1"/>
  <c r="L3254" i="2" s="1"/>
  <c r="L3255" i="2" a="1"/>
  <c r="L3255" i="2" s="1"/>
  <c r="K3257" i="2" a="1"/>
  <c r="K3257" i="2" s="1"/>
  <c r="K3258" i="2" a="1"/>
  <c r="K3258" i="2" s="1"/>
  <c r="M3259" i="2" a="1"/>
  <c r="M3259" i="2" s="1"/>
  <c r="M3260" i="2" a="1"/>
  <c r="M3260" i="2" s="1"/>
  <c r="L3262" i="2" a="1"/>
  <c r="L3262" i="2" s="1"/>
  <c r="L3263" i="2" a="1"/>
  <c r="L3263" i="2" s="1"/>
  <c r="K3265" i="2" a="1"/>
  <c r="K3265" i="2" s="1"/>
  <c r="K3266" i="2" a="1"/>
  <c r="K3266" i="2" s="1"/>
  <c r="M3267" i="2" a="1"/>
  <c r="M3267" i="2" s="1"/>
  <c r="M3268" i="2" a="1"/>
  <c r="M3268" i="2" s="1"/>
  <c r="L3270" i="2" a="1"/>
  <c r="L3270" i="2" s="1"/>
  <c r="L3271" i="2" a="1"/>
  <c r="L3271" i="2" s="1"/>
  <c r="K3273" i="2" a="1"/>
  <c r="K3273" i="2" s="1"/>
  <c r="K3274" i="2" a="1"/>
  <c r="K3274" i="2" s="1"/>
  <c r="M3275" i="2" a="1"/>
  <c r="M3275" i="2" s="1"/>
  <c r="M3276" i="2" a="1"/>
  <c r="M3276" i="2" s="1"/>
  <c r="L3278" i="2" a="1"/>
  <c r="L3278" i="2" s="1"/>
  <c r="L3279" i="2" a="1"/>
  <c r="L3279" i="2" s="1"/>
  <c r="K3281" i="2" a="1"/>
  <c r="K3281" i="2" s="1"/>
  <c r="K3282" i="2" a="1"/>
  <c r="K3282" i="2" s="1"/>
  <c r="M3283" i="2" a="1"/>
  <c r="M3283" i="2" s="1"/>
  <c r="M3284" i="2" a="1"/>
  <c r="M3284" i="2" s="1"/>
  <c r="L3286" i="2" a="1"/>
  <c r="L3286" i="2" s="1"/>
  <c r="L3287" i="2" a="1"/>
  <c r="L3287" i="2" s="1"/>
  <c r="K3289" i="2" a="1"/>
  <c r="K3289" i="2" s="1"/>
  <c r="K3290" i="2" a="1"/>
  <c r="K3290" i="2" s="1"/>
  <c r="M3291" i="2" a="1"/>
  <c r="M3291" i="2" s="1"/>
  <c r="M3292" i="2" a="1"/>
  <c r="M3292" i="2" s="1"/>
  <c r="L3294" i="2" a="1"/>
  <c r="L3294" i="2" s="1"/>
  <c r="L3295" i="2" a="1"/>
  <c r="L3295" i="2" s="1"/>
  <c r="K3297" i="2" a="1"/>
  <c r="K3297" i="2" s="1"/>
  <c r="K3298" i="2" a="1"/>
  <c r="K3298" i="2" s="1"/>
  <c r="M3299" i="2" a="1"/>
  <c r="M3299" i="2" s="1"/>
  <c r="M3300" i="2" a="1"/>
  <c r="M3300" i="2" s="1"/>
  <c r="L3302" i="2" a="1"/>
  <c r="L3302" i="2" s="1"/>
  <c r="L3303" i="2" a="1"/>
  <c r="L3303" i="2" s="1"/>
  <c r="K3305" i="2" a="1"/>
  <c r="K3305" i="2" s="1"/>
  <c r="K3306" i="2" a="1"/>
  <c r="K3306" i="2" s="1"/>
  <c r="M3307" i="2" a="1"/>
  <c r="M3307" i="2" s="1"/>
  <c r="M3308" i="2" a="1"/>
  <c r="M3308" i="2" s="1"/>
  <c r="L3310" i="2" a="1"/>
  <c r="L3310" i="2" s="1"/>
  <c r="L3311" i="2" a="1"/>
  <c r="L3311" i="2" s="1"/>
  <c r="K3313" i="2" a="1"/>
  <c r="K3313" i="2" s="1"/>
  <c r="K3314" i="2" a="1"/>
  <c r="K3314" i="2" s="1"/>
  <c r="M3315" i="2" a="1"/>
  <c r="M3315" i="2" s="1"/>
  <c r="M3316" i="2" a="1"/>
  <c r="M3316" i="2" s="1"/>
  <c r="L3318" i="2" a="1"/>
  <c r="L3318" i="2" s="1"/>
  <c r="L3319" i="2" a="1"/>
  <c r="L3319" i="2" s="1"/>
  <c r="K3321" i="2" a="1"/>
  <c r="K3321" i="2" s="1"/>
  <c r="K3322" i="2" a="1"/>
  <c r="K3322" i="2" s="1"/>
  <c r="M3323" i="2" a="1"/>
  <c r="M3323" i="2" s="1"/>
  <c r="M3324" i="2" a="1"/>
  <c r="M3324" i="2" s="1"/>
  <c r="L3326" i="2" a="1"/>
  <c r="L3326" i="2" s="1"/>
  <c r="L3327" i="2" a="1"/>
  <c r="L3327" i="2" s="1"/>
  <c r="K3329" i="2" a="1"/>
  <c r="K3329" i="2" s="1"/>
  <c r="K3330" i="2" a="1"/>
  <c r="K3330" i="2" s="1"/>
  <c r="M3331" i="2" a="1"/>
  <c r="M3331" i="2" s="1"/>
  <c r="M3332" i="2" a="1"/>
  <c r="M3332" i="2" s="1"/>
  <c r="L3334" i="2" a="1"/>
  <c r="L3334" i="2" s="1"/>
  <c r="L3335" i="2" a="1"/>
  <c r="L3335" i="2" s="1"/>
  <c r="K3337" i="2" a="1"/>
  <c r="K3337" i="2" s="1"/>
  <c r="K3338" i="2" a="1"/>
  <c r="K3338" i="2" s="1"/>
  <c r="M3339" i="2" a="1"/>
  <c r="M3339" i="2" s="1"/>
  <c r="M3340" i="2" a="1"/>
  <c r="M3340" i="2" s="1"/>
  <c r="L3342" i="2" a="1"/>
  <c r="L3342" i="2" s="1"/>
  <c r="L3343" i="2" a="1"/>
  <c r="L3343" i="2" s="1"/>
  <c r="K3345" i="2" a="1"/>
  <c r="K3345" i="2" s="1"/>
  <c r="K3346" i="2" a="1"/>
  <c r="K3346" i="2" s="1"/>
  <c r="M3347" i="2" a="1"/>
  <c r="M3347" i="2" s="1"/>
  <c r="M3348" i="2" a="1"/>
  <c r="M3348" i="2" s="1"/>
  <c r="L3350" i="2" a="1"/>
  <c r="L3350" i="2" s="1"/>
  <c r="L3351" i="2" a="1"/>
  <c r="L3351" i="2" s="1"/>
  <c r="K3353" i="2" a="1"/>
  <c r="K3353" i="2" s="1"/>
  <c r="K3354" i="2" a="1"/>
  <c r="K3354" i="2" s="1"/>
  <c r="M3355" i="2" a="1"/>
  <c r="M3355" i="2" s="1"/>
  <c r="M3356" i="2" a="1"/>
  <c r="M3356" i="2" s="1"/>
  <c r="L3358" i="2" a="1"/>
  <c r="L3358" i="2" s="1"/>
  <c r="L3359" i="2" a="1"/>
  <c r="L3359" i="2" s="1"/>
  <c r="K3361" i="2" a="1"/>
  <c r="K3361" i="2" s="1"/>
  <c r="K3362" i="2" a="1"/>
  <c r="K3362" i="2" s="1"/>
  <c r="M3363" i="2" a="1"/>
  <c r="M3363" i="2" s="1"/>
  <c r="M3364" i="2" a="1"/>
  <c r="M3364" i="2" s="1"/>
  <c r="L3366" i="2" a="1"/>
  <c r="L3366" i="2" s="1"/>
  <c r="L3367" i="2" a="1"/>
  <c r="L3367" i="2" s="1"/>
  <c r="K3369" i="2" a="1"/>
  <c r="K3369" i="2" s="1"/>
  <c r="K3370" i="2" a="1"/>
  <c r="K3370" i="2" s="1"/>
  <c r="M3371" i="2" a="1"/>
  <c r="M3371" i="2" s="1"/>
  <c r="M3372" i="2" a="1"/>
  <c r="M3372" i="2" s="1"/>
  <c r="L3374" i="2" a="1"/>
  <c r="L3374" i="2" s="1"/>
  <c r="L3375" i="2" a="1"/>
  <c r="L3375" i="2" s="1"/>
  <c r="K3377" i="2" a="1"/>
  <c r="K3377" i="2" s="1"/>
  <c r="K3378" i="2" a="1"/>
  <c r="K3378" i="2" s="1"/>
  <c r="M3379" i="2" a="1"/>
  <c r="M3379" i="2" s="1"/>
  <c r="M3380" i="2" a="1"/>
  <c r="M3380" i="2" s="1"/>
  <c r="L3382" i="2" a="1"/>
  <c r="L3382" i="2" s="1"/>
  <c r="L3383" i="2" a="1"/>
  <c r="L3383" i="2" s="1"/>
  <c r="K3385" i="2" a="1"/>
  <c r="K3385" i="2" s="1"/>
  <c r="K3386" i="2" a="1"/>
  <c r="K3386" i="2" s="1"/>
  <c r="M3387" i="2" a="1"/>
  <c r="M3387" i="2" s="1"/>
  <c r="M3388" i="2" a="1"/>
  <c r="M3388" i="2" s="1"/>
  <c r="L3390" i="2" a="1"/>
  <c r="L3390" i="2" s="1"/>
  <c r="L3391" i="2" a="1"/>
  <c r="L3391" i="2" s="1"/>
  <c r="K3393" i="2" a="1"/>
  <c r="K3393" i="2" s="1"/>
  <c r="K3394" i="2" a="1"/>
  <c r="K3394" i="2" s="1"/>
  <c r="M3395" i="2" a="1"/>
  <c r="M3395" i="2" s="1"/>
  <c r="M3396" i="2" a="1"/>
  <c r="M3396" i="2" s="1"/>
  <c r="L3398" i="2" a="1"/>
  <c r="L3398" i="2" s="1"/>
  <c r="L3399" i="2" a="1"/>
  <c r="L3399" i="2" s="1"/>
  <c r="K3401" i="2" a="1"/>
  <c r="K3401" i="2" s="1"/>
  <c r="K3402" i="2" a="1"/>
  <c r="K3402" i="2" s="1"/>
  <c r="M3403" i="2" a="1"/>
  <c r="M3403" i="2" s="1"/>
  <c r="M3404" i="2" a="1"/>
  <c r="M3404" i="2" s="1"/>
  <c r="L3406" i="2" a="1"/>
  <c r="L3406" i="2" s="1"/>
  <c r="L3407" i="2" a="1"/>
  <c r="L3407" i="2" s="1"/>
  <c r="K3409" i="2" a="1"/>
  <c r="K3409" i="2" s="1"/>
  <c r="K3410" i="2" a="1"/>
  <c r="K3410" i="2" s="1"/>
  <c r="M3411" i="2" a="1"/>
  <c r="M3411" i="2" s="1"/>
  <c r="M3412" i="2" a="1"/>
  <c r="M3412" i="2" s="1"/>
  <c r="L3414" i="2" a="1"/>
  <c r="L3414" i="2" s="1"/>
  <c r="L3415" i="2" a="1"/>
  <c r="L3415" i="2" s="1"/>
  <c r="K3417" i="2" a="1"/>
  <c r="K3417" i="2" s="1"/>
  <c r="K3418" i="2" a="1"/>
  <c r="K3418" i="2" s="1"/>
  <c r="M3419" i="2" a="1"/>
  <c r="M3419" i="2" s="1"/>
  <c r="M3420" i="2" a="1"/>
  <c r="M3420" i="2" s="1"/>
  <c r="L3422" i="2" a="1"/>
  <c r="L3422" i="2" s="1"/>
  <c r="L3423" i="2" a="1"/>
  <c r="L3423" i="2" s="1"/>
  <c r="K3425" i="2" a="1"/>
  <c r="K3425" i="2" s="1"/>
  <c r="K3426" i="2" a="1"/>
  <c r="K3426" i="2" s="1"/>
  <c r="M3427" i="2" a="1"/>
  <c r="M3427" i="2" s="1"/>
  <c r="M3428" i="2" a="1"/>
  <c r="M3428" i="2" s="1"/>
  <c r="L3430" i="2" a="1"/>
  <c r="L3430" i="2" s="1"/>
  <c r="L3431" i="2" a="1"/>
  <c r="L3431" i="2" s="1"/>
  <c r="K3433" i="2" a="1"/>
  <c r="K3433" i="2" s="1"/>
  <c r="K3434" i="2" a="1"/>
  <c r="K3434" i="2" s="1"/>
  <c r="M3435" i="2" a="1"/>
  <c r="M3435" i="2" s="1"/>
  <c r="M3436" i="2" a="1"/>
  <c r="M3436" i="2" s="1"/>
  <c r="L3438" i="2" a="1"/>
  <c r="L3438" i="2" s="1"/>
  <c r="L3439" i="2" a="1"/>
  <c r="L3439" i="2" s="1"/>
  <c r="K3441" i="2" a="1"/>
  <c r="K3441" i="2" s="1"/>
  <c r="K3442" i="2" a="1"/>
  <c r="K3442" i="2" s="1"/>
  <c r="M3443" i="2" a="1"/>
  <c r="M3443" i="2" s="1"/>
  <c r="M3444" i="2" a="1"/>
  <c r="M3444" i="2" s="1"/>
  <c r="L3446" i="2" a="1"/>
  <c r="L3446" i="2" s="1"/>
  <c r="L3447" i="2" a="1"/>
  <c r="L3447" i="2" s="1"/>
  <c r="K3449" i="2" a="1"/>
  <c r="K3449" i="2" s="1"/>
  <c r="K3450" i="2" a="1"/>
  <c r="K3450" i="2" s="1"/>
  <c r="M3451" i="2" a="1"/>
  <c r="M3451" i="2" s="1"/>
  <c r="M3452" i="2" a="1"/>
  <c r="M3452" i="2" s="1"/>
  <c r="L3454" i="2" a="1"/>
  <c r="L3454" i="2" s="1"/>
  <c r="L3455" i="2" a="1"/>
  <c r="L3455" i="2" s="1"/>
  <c r="K3457" i="2" a="1"/>
  <c r="K3457" i="2" s="1"/>
  <c r="K3458" i="2" a="1"/>
  <c r="K3458" i="2" s="1"/>
  <c r="M3459" i="2" a="1"/>
  <c r="M3459" i="2" s="1"/>
  <c r="M3460" i="2" a="1"/>
  <c r="M3460" i="2" s="1"/>
  <c r="L3462" i="2" a="1"/>
  <c r="L3462" i="2" s="1"/>
  <c r="L3463" i="2" a="1"/>
  <c r="L3463" i="2" s="1"/>
  <c r="K3465" i="2" a="1"/>
  <c r="K3465" i="2" s="1"/>
  <c r="K3466" i="2" a="1"/>
  <c r="K3466" i="2" s="1"/>
  <c r="M3467" i="2" a="1"/>
  <c r="M3467" i="2" s="1"/>
  <c r="M3468" i="2" a="1"/>
  <c r="M3468" i="2" s="1"/>
  <c r="L3470" i="2" a="1"/>
  <c r="L3470" i="2" s="1"/>
  <c r="L3471" i="2" a="1"/>
  <c r="L3471" i="2" s="1"/>
  <c r="K3473" i="2" a="1"/>
  <c r="K3473" i="2" s="1"/>
  <c r="K3474" i="2" a="1"/>
  <c r="K3474" i="2" s="1"/>
  <c r="M3475" i="2" a="1"/>
  <c r="M3475" i="2" s="1"/>
  <c r="M3476" i="2" a="1"/>
  <c r="M3476" i="2" s="1"/>
  <c r="L3478" i="2" a="1"/>
  <c r="L3478" i="2" s="1"/>
  <c r="L3479" i="2" a="1"/>
  <c r="L3479" i="2" s="1"/>
  <c r="K3481" i="2" a="1"/>
  <c r="K3481" i="2" s="1"/>
  <c r="K3482" i="2" a="1"/>
  <c r="K3482" i="2" s="1"/>
  <c r="M3483" i="2" a="1"/>
  <c r="M3483" i="2" s="1"/>
  <c r="M3484" i="2" a="1"/>
  <c r="M3484" i="2" s="1"/>
  <c r="L3486" i="2" a="1"/>
  <c r="L3486" i="2" s="1"/>
  <c r="L3487" i="2" a="1"/>
  <c r="L3487" i="2" s="1"/>
  <c r="K3489" i="2" a="1"/>
  <c r="K3489" i="2" s="1"/>
  <c r="K3490" i="2" a="1"/>
  <c r="K3490" i="2" s="1"/>
  <c r="M3491" i="2" a="1"/>
  <c r="M3491" i="2" s="1"/>
  <c r="M3492" i="2" a="1"/>
  <c r="M3492" i="2" s="1"/>
  <c r="L3494" i="2" a="1"/>
  <c r="L3494" i="2" s="1"/>
  <c r="L3495" i="2" a="1"/>
  <c r="L3495" i="2" s="1"/>
  <c r="K3497" i="2" a="1"/>
  <c r="K3497" i="2" s="1"/>
  <c r="K3498" i="2" a="1"/>
  <c r="K3498" i="2" s="1"/>
  <c r="M3499" i="2" a="1"/>
  <c r="M3499" i="2" s="1"/>
  <c r="M3500" i="2" a="1"/>
  <c r="M3500" i="2" s="1"/>
  <c r="K3132" i="2" a="1"/>
  <c r="K3132" i="2" s="1"/>
  <c r="M3133" i="2" a="1"/>
  <c r="M3133" i="2" s="1"/>
  <c r="M3134" i="2" a="1"/>
  <c r="M3134" i="2" s="1"/>
  <c r="L3136" i="2" a="1"/>
  <c r="L3136" i="2" s="1"/>
  <c r="L3137" i="2" a="1"/>
  <c r="L3137" i="2" s="1"/>
  <c r="K3139" i="2" a="1"/>
  <c r="K3139" i="2" s="1"/>
  <c r="K3140" i="2" a="1"/>
  <c r="K3140" i="2" s="1"/>
  <c r="M3141" i="2" a="1"/>
  <c r="M3141" i="2" s="1"/>
  <c r="M3142" i="2" a="1"/>
  <c r="M3142" i="2" s="1"/>
  <c r="L3144" i="2" a="1"/>
  <c r="L3144" i="2" s="1"/>
  <c r="L3145" i="2" a="1"/>
  <c r="L3145" i="2" s="1"/>
  <c r="K3147" i="2" a="1"/>
  <c r="K3147" i="2" s="1"/>
  <c r="K3148" i="2" a="1"/>
  <c r="K3148" i="2" s="1"/>
  <c r="M3149" i="2" a="1"/>
  <c r="M3149" i="2" s="1"/>
  <c r="M3150" i="2" a="1"/>
  <c r="M3150" i="2" s="1"/>
  <c r="L3152" i="2" a="1"/>
  <c r="L3152" i="2" s="1"/>
  <c r="L3153" i="2" a="1"/>
  <c r="L3153" i="2" s="1"/>
  <c r="K3155" i="2" a="1"/>
  <c r="K3155" i="2" s="1"/>
  <c r="K3156" i="2" a="1"/>
  <c r="K3156" i="2" s="1"/>
  <c r="M3157" i="2" a="1"/>
  <c r="M3157" i="2" s="1"/>
  <c r="M3158" i="2" a="1"/>
  <c r="M3158" i="2" s="1"/>
  <c r="L3160" i="2" a="1"/>
  <c r="L3160" i="2" s="1"/>
  <c r="L3161" i="2" a="1"/>
  <c r="L3161" i="2" s="1"/>
  <c r="K3163" i="2" a="1"/>
  <c r="K3163" i="2" s="1"/>
  <c r="K3164" i="2" a="1"/>
  <c r="K3164" i="2" s="1"/>
  <c r="M3165" i="2" a="1"/>
  <c r="M3165" i="2" s="1"/>
  <c r="M3166" i="2" a="1"/>
  <c r="M3166" i="2" s="1"/>
  <c r="L3168" i="2" a="1"/>
  <c r="L3168" i="2" s="1"/>
  <c r="L3169" i="2" a="1"/>
  <c r="L3169" i="2" s="1"/>
  <c r="K3171" i="2" a="1"/>
  <c r="K3171" i="2" s="1"/>
  <c r="K3172" i="2" a="1"/>
  <c r="K3172" i="2" s="1"/>
  <c r="M3173" i="2" a="1"/>
  <c r="M3173" i="2" s="1"/>
  <c r="M3174" i="2" a="1"/>
  <c r="M3174" i="2" s="1"/>
  <c r="L3176" i="2" a="1"/>
  <c r="L3176" i="2" s="1"/>
  <c r="L3177" i="2" a="1"/>
  <c r="L3177" i="2" s="1"/>
  <c r="K3179" i="2" a="1"/>
  <c r="K3179" i="2" s="1"/>
  <c r="K3180" i="2" a="1"/>
  <c r="K3180" i="2" s="1"/>
  <c r="M3181" i="2" a="1"/>
  <c r="M3181" i="2" s="1"/>
  <c r="M3182" i="2" a="1"/>
  <c r="M3182" i="2" s="1"/>
  <c r="L3184" i="2" a="1"/>
  <c r="L3184" i="2" s="1"/>
  <c r="L3185" i="2" a="1"/>
  <c r="L3185" i="2" s="1"/>
  <c r="K3187" i="2" a="1"/>
  <c r="K3187" i="2" s="1"/>
  <c r="K3188" i="2" a="1"/>
  <c r="K3188" i="2" s="1"/>
  <c r="M3189" i="2" a="1"/>
  <c r="M3189" i="2" s="1"/>
  <c r="M3190" i="2" a="1"/>
  <c r="M3190" i="2" s="1"/>
  <c r="L3192" i="2" a="1"/>
  <c r="L3192" i="2" s="1"/>
  <c r="L3193" i="2" a="1"/>
  <c r="L3193" i="2" s="1"/>
  <c r="K3195" i="2" a="1"/>
  <c r="K3195" i="2" s="1"/>
  <c r="K3196" i="2" a="1"/>
  <c r="K3196" i="2" s="1"/>
  <c r="M3197" i="2" a="1"/>
  <c r="M3197" i="2" s="1"/>
  <c r="M3198" i="2" a="1"/>
  <c r="M3198" i="2" s="1"/>
  <c r="L3200" i="2" a="1"/>
  <c r="L3200" i="2" s="1"/>
  <c r="L3201" i="2" a="1"/>
  <c r="L3201" i="2" s="1"/>
  <c r="K3203" i="2" a="1"/>
  <c r="K3203" i="2" s="1"/>
  <c r="K3204" i="2" a="1"/>
  <c r="K3204" i="2" s="1"/>
  <c r="M3205" i="2" a="1"/>
  <c r="M3205" i="2" s="1"/>
  <c r="M3206" i="2" a="1"/>
  <c r="M3206" i="2" s="1"/>
  <c r="L3208" i="2" a="1"/>
  <c r="L3208" i="2" s="1"/>
  <c r="L3209" i="2" a="1"/>
  <c r="L3209" i="2" s="1"/>
  <c r="K3211" i="2" a="1"/>
  <c r="K3211" i="2" s="1"/>
  <c r="K3212" i="2" a="1"/>
  <c r="K3212" i="2" s="1"/>
  <c r="M3213" i="2" a="1"/>
  <c r="M3213" i="2" s="1"/>
  <c r="M3214" i="2" a="1"/>
  <c r="M3214" i="2" s="1"/>
  <c r="L3216" i="2" a="1"/>
  <c r="L3216" i="2" s="1"/>
  <c r="L3217" i="2" a="1"/>
  <c r="L3217" i="2" s="1"/>
  <c r="K3219" i="2" a="1"/>
  <c r="K3219" i="2" s="1"/>
  <c r="K3220" i="2" a="1"/>
  <c r="K3220" i="2" s="1"/>
  <c r="M3221" i="2" a="1"/>
  <c r="M3221" i="2" s="1"/>
  <c r="M3222" i="2" a="1"/>
  <c r="M3222" i="2" s="1"/>
  <c r="L3224" i="2" a="1"/>
  <c r="L3224" i="2" s="1"/>
  <c r="L3225" i="2" a="1"/>
  <c r="L3225" i="2" s="1"/>
  <c r="K3227" i="2" a="1"/>
  <c r="K3227" i="2" s="1"/>
  <c r="K3228" i="2" a="1"/>
  <c r="K3228" i="2" s="1"/>
  <c r="M3229" i="2" a="1"/>
  <c r="M3229" i="2" s="1"/>
  <c r="M3230" i="2" a="1"/>
  <c r="M3230" i="2" s="1"/>
  <c r="L3232" i="2" a="1"/>
  <c r="L3232" i="2" s="1"/>
  <c r="L3233" i="2" a="1"/>
  <c r="L3233" i="2" s="1"/>
  <c r="K3235" i="2" a="1"/>
  <c r="K3235" i="2" s="1"/>
  <c r="K3236" i="2" a="1"/>
  <c r="K3236" i="2" s="1"/>
  <c r="M3237" i="2" a="1"/>
  <c r="M3237" i="2" s="1"/>
  <c r="M3238" i="2" a="1"/>
  <c r="M3238" i="2" s="1"/>
  <c r="L3240" i="2" a="1"/>
  <c r="L3240" i="2" s="1"/>
  <c r="L3241" i="2" a="1"/>
  <c r="L3241" i="2" s="1"/>
  <c r="K3243" i="2" a="1"/>
  <c r="K3243" i="2" s="1"/>
  <c r="K3244" i="2" a="1"/>
  <c r="K3244" i="2" s="1"/>
  <c r="M3245" i="2" a="1"/>
  <c r="M3245" i="2" s="1"/>
  <c r="M3246" i="2" a="1"/>
  <c r="M3246" i="2" s="1"/>
  <c r="L3248" i="2" a="1"/>
  <c r="L3248" i="2" s="1"/>
  <c r="L3249" i="2" a="1"/>
  <c r="L3249" i="2" s="1"/>
  <c r="K3251" i="2" a="1"/>
  <c r="K3251" i="2" s="1"/>
  <c r="K3252" i="2" a="1"/>
  <c r="K3252" i="2" s="1"/>
  <c r="M3253" i="2" a="1"/>
  <c r="M3253" i="2" s="1"/>
  <c r="M3254" i="2" a="1"/>
  <c r="M3254" i="2" s="1"/>
  <c r="L3256" i="2" a="1"/>
  <c r="L3256" i="2" s="1"/>
  <c r="L3257" i="2" a="1"/>
  <c r="L3257" i="2" s="1"/>
  <c r="K3259" i="2" a="1"/>
  <c r="K3259" i="2" s="1"/>
  <c r="K3260" i="2" a="1"/>
  <c r="K3260" i="2" s="1"/>
  <c r="M3261" i="2" a="1"/>
  <c r="M3261" i="2" s="1"/>
  <c r="M3262" i="2" a="1"/>
  <c r="M3262" i="2" s="1"/>
  <c r="L3264" i="2" a="1"/>
  <c r="L3264" i="2" s="1"/>
  <c r="L3265" i="2" a="1"/>
  <c r="L3265" i="2" s="1"/>
  <c r="K3267" i="2" a="1"/>
  <c r="K3267" i="2" s="1"/>
  <c r="K3268" i="2" a="1"/>
  <c r="K3268" i="2" s="1"/>
  <c r="M3269" i="2" a="1"/>
  <c r="M3269" i="2" s="1"/>
  <c r="M3270" i="2" a="1"/>
  <c r="M3270" i="2" s="1"/>
  <c r="L3272" i="2" a="1"/>
  <c r="L3272" i="2" s="1"/>
  <c r="L3273" i="2" a="1"/>
  <c r="L3273" i="2" s="1"/>
  <c r="K3275" i="2" a="1"/>
  <c r="K3275" i="2" s="1"/>
  <c r="K3276" i="2" a="1"/>
  <c r="K3276" i="2" s="1"/>
  <c r="M3277" i="2" a="1"/>
  <c r="M3277" i="2" s="1"/>
  <c r="M3278" i="2" a="1"/>
  <c r="M3278" i="2" s="1"/>
  <c r="L3280" i="2" a="1"/>
  <c r="L3280" i="2" s="1"/>
  <c r="L3281" i="2" a="1"/>
  <c r="L3281" i="2" s="1"/>
  <c r="K3283" i="2" a="1"/>
  <c r="K3283" i="2" s="1"/>
  <c r="K3284" i="2" a="1"/>
  <c r="K3284" i="2" s="1"/>
  <c r="M3285" i="2" a="1"/>
  <c r="M3285" i="2" s="1"/>
  <c r="M3286" i="2" a="1"/>
  <c r="M3286" i="2" s="1"/>
  <c r="L3288" i="2" a="1"/>
  <c r="L3288" i="2" s="1"/>
  <c r="L3289" i="2" a="1"/>
  <c r="L3289" i="2" s="1"/>
  <c r="K3291" i="2" a="1"/>
  <c r="K3291" i="2" s="1"/>
  <c r="K3292" i="2" a="1"/>
  <c r="K3292" i="2" s="1"/>
  <c r="M3293" i="2" a="1"/>
  <c r="M3293" i="2" s="1"/>
  <c r="M3294" i="2" a="1"/>
  <c r="M3294" i="2" s="1"/>
  <c r="L3296" i="2" a="1"/>
  <c r="L3296" i="2" s="1"/>
  <c r="L3297" i="2" a="1"/>
  <c r="L3297" i="2" s="1"/>
  <c r="K3299" i="2" a="1"/>
  <c r="K3299" i="2" s="1"/>
  <c r="K3300" i="2" a="1"/>
  <c r="K3300" i="2" s="1"/>
  <c r="M3301" i="2" a="1"/>
  <c r="M3301" i="2" s="1"/>
  <c r="M3302" i="2" a="1"/>
  <c r="M3302" i="2" s="1"/>
  <c r="L3304" i="2" a="1"/>
  <c r="L3304" i="2" s="1"/>
  <c r="L3305" i="2" a="1"/>
  <c r="L3305" i="2" s="1"/>
  <c r="K3307" i="2" a="1"/>
  <c r="K3307" i="2" s="1"/>
  <c r="K3308" i="2" a="1"/>
  <c r="K3308" i="2" s="1"/>
  <c r="M3309" i="2" a="1"/>
  <c r="M3309" i="2" s="1"/>
  <c r="M3310" i="2" a="1"/>
  <c r="M3310" i="2" s="1"/>
  <c r="L3312" i="2" a="1"/>
  <c r="L3312" i="2" s="1"/>
  <c r="L3313" i="2" a="1"/>
  <c r="L3313" i="2" s="1"/>
  <c r="K3315" i="2" a="1"/>
  <c r="K3315" i="2" s="1"/>
  <c r="K3316" i="2" a="1"/>
  <c r="K3316" i="2" s="1"/>
  <c r="M3317" i="2" a="1"/>
  <c r="M3317" i="2" s="1"/>
  <c r="M3318" i="2" a="1"/>
  <c r="M3318" i="2" s="1"/>
  <c r="L3320" i="2" a="1"/>
  <c r="L3320" i="2" s="1"/>
  <c r="L3321" i="2" a="1"/>
  <c r="L3321" i="2" s="1"/>
  <c r="K3323" i="2" a="1"/>
  <c r="K3323" i="2" s="1"/>
  <c r="K3324" i="2" a="1"/>
  <c r="K3324" i="2" s="1"/>
  <c r="M3325" i="2" a="1"/>
  <c r="M3325" i="2" s="1"/>
  <c r="M3326" i="2" a="1"/>
  <c r="M3326" i="2" s="1"/>
  <c r="L3328" i="2" a="1"/>
  <c r="L3328" i="2" s="1"/>
  <c r="L3329" i="2" a="1"/>
  <c r="L3329" i="2" s="1"/>
  <c r="K3331" i="2" a="1"/>
  <c r="K3331" i="2" s="1"/>
  <c r="K3332" i="2" a="1"/>
  <c r="K3332" i="2" s="1"/>
  <c r="M3333" i="2" a="1"/>
  <c r="M3333" i="2" s="1"/>
  <c r="M3334" i="2" a="1"/>
  <c r="M3334" i="2" s="1"/>
  <c r="L3336" i="2" a="1"/>
  <c r="L3336" i="2" s="1"/>
  <c r="L3337" i="2" a="1"/>
  <c r="L3337" i="2" s="1"/>
  <c r="K3339" i="2" a="1"/>
  <c r="K3339" i="2" s="1"/>
  <c r="K3340" i="2" a="1"/>
  <c r="K3340" i="2" s="1"/>
  <c r="M3341" i="2" a="1"/>
  <c r="M3341" i="2" s="1"/>
  <c r="M3342" i="2" a="1"/>
  <c r="M3342" i="2" s="1"/>
  <c r="L3344" i="2" a="1"/>
  <c r="L3344" i="2" s="1"/>
  <c r="L3345" i="2" a="1"/>
  <c r="L3345" i="2" s="1"/>
  <c r="K3347" i="2" a="1"/>
  <c r="K3347" i="2" s="1"/>
  <c r="K3348" i="2" a="1"/>
  <c r="K3348" i="2" s="1"/>
  <c r="M3349" i="2" a="1"/>
  <c r="M3349" i="2" s="1"/>
  <c r="M3350" i="2" a="1"/>
  <c r="M3350" i="2" s="1"/>
  <c r="L3352" i="2" a="1"/>
  <c r="L3352" i="2" s="1"/>
  <c r="L3353" i="2" a="1"/>
  <c r="L3353" i="2" s="1"/>
  <c r="K3355" i="2" a="1"/>
  <c r="K3355" i="2" s="1"/>
  <c r="K3356" i="2" a="1"/>
  <c r="K3356" i="2" s="1"/>
  <c r="M3357" i="2" a="1"/>
  <c r="M3357" i="2" s="1"/>
  <c r="M3358" i="2" a="1"/>
  <c r="M3358" i="2" s="1"/>
  <c r="L3360" i="2" a="1"/>
  <c r="L3360" i="2" s="1"/>
  <c r="L3361" i="2" a="1"/>
  <c r="L3361" i="2" s="1"/>
  <c r="K3363" i="2" a="1"/>
  <c r="K3363" i="2" s="1"/>
  <c r="K3364" i="2" a="1"/>
  <c r="K3364" i="2" s="1"/>
  <c r="M3365" i="2" a="1"/>
  <c r="M3365" i="2" s="1"/>
  <c r="M3366" i="2" a="1"/>
  <c r="M3366" i="2" s="1"/>
  <c r="L3368" i="2" a="1"/>
  <c r="L3368" i="2" s="1"/>
  <c r="L3369" i="2" a="1"/>
  <c r="L3369" i="2" s="1"/>
  <c r="K3371" i="2" a="1"/>
  <c r="K3371" i="2" s="1"/>
  <c r="K3372" i="2" a="1"/>
  <c r="K3372" i="2" s="1"/>
  <c r="M3373" i="2" a="1"/>
  <c r="M3373" i="2" s="1"/>
  <c r="M3374" i="2" a="1"/>
  <c r="M3374" i="2" s="1"/>
  <c r="L3376" i="2" a="1"/>
  <c r="L3376" i="2" s="1"/>
  <c r="L3377" i="2" a="1"/>
  <c r="L3377" i="2" s="1"/>
  <c r="K3379" i="2" a="1"/>
  <c r="K3379" i="2" s="1"/>
  <c r="K3380" i="2" a="1"/>
  <c r="K3380" i="2" s="1"/>
  <c r="M3381" i="2" a="1"/>
  <c r="M3381" i="2" s="1"/>
  <c r="M3382" i="2" a="1"/>
  <c r="M3382" i="2" s="1"/>
  <c r="L3384" i="2" a="1"/>
  <c r="L3384" i="2" s="1"/>
  <c r="L3385" i="2" a="1"/>
  <c r="L3385" i="2" s="1"/>
  <c r="K3387" i="2" a="1"/>
  <c r="K3387" i="2" s="1"/>
  <c r="K3388" i="2" a="1"/>
  <c r="K3388" i="2" s="1"/>
  <c r="M3389" i="2" a="1"/>
  <c r="M3389" i="2" s="1"/>
  <c r="M3390" i="2" a="1"/>
  <c r="M3390" i="2" s="1"/>
  <c r="L3392" i="2" a="1"/>
  <c r="L3392" i="2" s="1"/>
  <c r="L3393" i="2" a="1"/>
  <c r="L3393" i="2" s="1"/>
  <c r="K3395" i="2" a="1"/>
  <c r="K3395" i="2" s="1"/>
  <c r="K3396" i="2" a="1"/>
  <c r="K3396" i="2" s="1"/>
  <c r="M3397" i="2" a="1"/>
  <c r="M3397" i="2" s="1"/>
  <c r="M3398" i="2" a="1"/>
  <c r="M3398" i="2" s="1"/>
  <c r="L3400" i="2" a="1"/>
  <c r="L3400" i="2" s="1"/>
  <c r="L3401" i="2" a="1"/>
  <c r="L3401" i="2" s="1"/>
  <c r="K3403" i="2" a="1"/>
  <c r="K3403" i="2" s="1"/>
  <c r="K3404" i="2" a="1"/>
  <c r="K3404" i="2" s="1"/>
  <c r="M3405" i="2" a="1"/>
  <c r="M3405" i="2" s="1"/>
  <c r="M3406" i="2" a="1"/>
  <c r="M3406" i="2" s="1"/>
  <c r="L3408" i="2" a="1"/>
  <c r="L3408" i="2" s="1"/>
  <c r="L3409" i="2" a="1"/>
  <c r="L3409" i="2" s="1"/>
  <c r="K3411" i="2" a="1"/>
  <c r="K3411" i="2" s="1"/>
  <c r="K3412" i="2" a="1"/>
  <c r="K3412" i="2" s="1"/>
  <c r="M3413" i="2" a="1"/>
  <c r="M3413" i="2" s="1"/>
  <c r="M3414" i="2" a="1"/>
  <c r="M3414" i="2" s="1"/>
  <c r="L3416" i="2" a="1"/>
  <c r="L3416" i="2" s="1"/>
  <c r="L3417" i="2" a="1"/>
  <c r="L3417" i="2" s="1"/>
  <c r="K3419" i="2" a="1"/>
  <c r="K3419" i="2" s="1"/>
  <c r="K3420" i="2" a="1"/>
  <c r="K3420" i="2" s="1"/>
  <c r="M3421" i="2" a="1"/>
  <c r="M3421" i="2" s="1"/>
  <c r="M3422" i="2" a="1"/>
  <c r="M3422" i="2" s="1"/>
  <c r="L3424" i="2" a="1"/>
  <c r="L3424" i="2" s="1"/>
  <c r="L3425" i="2" a="1"/>
  <c r="L3425" i="2" s="1"/>
  <c r="K3427" i="2" a="1"/>
  <c r="K3427" i="2" s="1"/>
  <c r="K3428" i="2" a="1"/>
  <c r="K3428" i="2" s="1"/>
  <c r="M3429" i="2" a="1"/>
  <c r="M3429" i="2" s="1"/>
  <c r="M3430" i="2" a="1"/>
  <c r="M3430" i="2" s="1"/>
  <c r="L3432" i="2" a="1"/>
  <c r="L3432" i="2" s="1"/>
  <c r="L3433" i="2" a="1"/>
  <c r="L3433" i="2" s="1"/>
  <c r="K3435" i="2" a="1"/>
  <c r="K3435" i="2" s="1"/>
  <c r="K3436" i="2" a="1"/>
  <c r="K3436" i="2" s="1"/>
  <c r="M3437" i="2" a="1"/>
  <c r="M3437" i="2" s="1"/>
  <c r="M3438" i="2" a="1"/>
  <c r="M3438" i="2" s="1"/>
  <c r="L3440" i="2" a="1"/>
  <c r="L3440" i="2" s="1"/>
  <c r="L3441" i="2" a="1"/>
  <c r="L3441" i="2" s="1"/>
  <c r="K3443" i="2" a="1"/>
  <c r="K3443" i="2" s="1"/>
  <c r="K3444" i="2" a="1"/>
  <c r="K3444" i="2" s="1"/>
  <c r="M3445" i="2" a="1"/>
  <c r="M3445" i="2" s="1"/>
  <c r="M3446" i="2" a="1"/>
  <c r="M3446" i="2" s="1"/>
  <c r="L3448" i="2" a="1"/>
  <c r="L3448" i="2" s="1"/>
  <c r="L3449" i="2" a="1"/>
  <c r="L3449" i="2" s="1"/>
  <c r="K3451" i="2" a="1"/>
  <c r="K3451" i="2" s="1"/>
  <c r="K3452" i="2" a="1"/>
  <c r="K3452" i="2" s="1"/>
  <c r="M3453" i="2" a="1"/>
  <c r="M3453" i="2" s="1"/>
  <c r="M3454" i="2" a="1"/>
  <c r="M3454" i="2" s="1"/>
  <c r="L3456" i="2" a="1"/>
  <c r="L3456" i="2" s="1"/>
  <c r="L3457" i="2" a="1"/>
  <c r="L3457" i="2" s="1"/>
  <c r="K3459" i="2" a="1"/>
  <c r="K3459" i="2" s="1"/>
  <c r="K3460" i="2" a="1"/>
  <c r="K3460" i="2" s="1"/>
  <c r="M3461" i="2" a="1"/>
  <c r="M3461" i="2" s="1"/>
  <c r="M3462" i="2" a="1"/>
  <c r="M3462" i="2" s="1"/>
  <c r="L3464" i="2" a="1"/>
  <c r="L3464" i="2" s="1"/>
  <c r="L3465" i="2" a="1"/>
  <c r="L3465" i="2" s="1"/>
  <c r="K3467" i="2" a="1"/>
  <c r="K3467" i="2" s="1"/>
  <c r="K3468" i="2" a="1"/>
  <c r="K3468" i="2" s="1"/>
  <c r="M3469" i="2" a="1"/>
  <c r="M3469" i="2" s="1"/>
  <c r="M3470" i="2" a="1"/>
  <c r="M3470" i="2" s="1"/>
  <c r="L3472" i="2" a="1"/>
  <c r="L3472" i="2" s="1"/>
  <c r="L3473" i="2" a="1"/>
  <c r="L3473" i="2" s="1"/>
  <c r="K3475" i="2" a="1"/>
  <c r="K3475" i="2" s="1"/>
  <c r="K3476" i="2" a="1"/>
  <c r="K3476" i="2" s="1"/>
  <c r="M3477" i="2" a="1"/>
  <c r="M3477" i="2" s="1"/>
  <c r="M3478" i="2" a="1"/>
  <c r="M3478" i="2" s="1"/>
  <c r="L3480" i="2" a="1"/>
  <c r="L3480" i="2" s="1"/>
  <c r="L3481" i="2" a="1"/>
  <c r="L3481" i="2" s="1"/>
  <c r="K3483" i="2" a="1"/>
  <c r="K3483" i="2" s="1"/>
  <c r="K3484" i="2" a="1"/>
  <c r="K3484" i="2" s="1"/>
  <c r="M3485" i="2" a="1"/>
  <c r="M3485" i="2" s="1"/>
  <c r="M3486" i="2" a="1"/>
  <c r="M3486" i="2" s="1"/>
  <c r="L3488" i="2" a="1"/>
  <c r="L3488" i="2" s="1"/>
  <c r="L3489" i="2" a="1"/>
  <c r="L3489" i="2" s="1"/>
  <c r="K3491" i="2" a="1"/>
  <c r="K3491" i="2" s="1"/>
  <c r="K3492" i="2" a="1"/>
  <c r="K3492" i="2" s="1"/>
  <c r="M3493" i="2" a="1"/>
  <c r="M3493" i="2" s="1"/>
  <c r="M3494" i="2" a="1"/>
  <c r="M3494" i="2" s="1"/>
  <c r="L3496" i="2" a="1"/>
  <c r="L3496" i="2" s="1"/>
  <c r="L3497" i="2" a="1"/>
  <c r="L3497" i="2" s="1"/>
  <c r="K3499" i="2" a="1"/>
  <c r="K3499" i="2" s="1"/>
  <c r="K3500" i="2" a="1"/>
  <c r="K3500" i="2" s="1"/>
  <c r="K3133" i="2" a="1"/>
  <c r="K3133" i="2" s="1"/>
  <c r="K3134" i="2" a="1"/>
  <c r="K3134" i="2" s="1"/>
  <c r="M3135" i="2" a="1"/>
  <c r="M3135" i="2" s="1"/>
  <c r="M3136" i="2" a="1"/>
  <c r="M3136" i="2" s="1"/>
  <c r="L3138" i="2" a="1"/>
  <c r="L3138" i="2" s="1"/>
  <c r="L3139" i="2" a="1"/>
  <c r="L3139" i="2" s="1"/>
  <c r="K3141" i="2" a="1"/>
  <c r="K3141" i="2" s="1"/>
  <c r="K3142" i="2" a="1"/>
  <c r="K3142" i="2" s="1"/>
  <c r="M3143" i="2" a="1"/>
  <c r="M3143" i="2" s="1"/>
  <c r="M3144" i="2" a="1"/>
  <c r="M3144" i="2" s="1"/>
  <c r="L3146" i="2" a="1"/>
  <c r="L3146" i="2" s="1"/>
  <c r="L3147" i="2" a="1"/>
  <c r="L3147" i="2" s="1"/>
  <c r="K3149" i="2" a="1"/>
  <c r="K3149" i="2" s="1"/>
  <c r="K3150" i="2" a="1"/>
  <c r="K3150" i="2" s="1"/>
  <c r="M3151" i="2" a="1"/>
  <c r="M3151" i="2" s="1"/>
  <c r="M3152" i="2" a="1"/>
  <c r="M3152" i="2" s="1"/>
  <c r="L3154" i="2" a="1"/>
  <c r="L3154" i="2" s="1"/>
  <c r="L3155" i="2" a="1"/>
  <c r="L3155" i="2" s="1"/>
  <c r="K3157" i="2" a="1"/>
  <c r="K3157" i="2" s="1"/>
  <c r="K3158" i="2" a="1"/>
  <c r="K3158" i="2" s="1"/>
  <c r="M3159" i="2" a="1"/>
  <c r="M3159" i="2" s="1"/>
  <c r="M3160" i="2" a="1"/>
  <c r="M3160" i="2" s="1"/>
  <c r="L3162" i="2" a="1"/>
  <c r="L3162" i="2" s="1"/>
  <c r="L3163" i="2" a="1"/>
  <c r="L3163" i="2" s="1"/>
  <c r="K3165" i="2" a="1"/>
  <c r="K3165" i="2" s="1"/>
  <c r="K3166" i="2" a="1"/>
  <c r="K3166" i="2" s="1"/>
  <c r="M3167" i="2" a="1"/>
  <c r="M3167" i="2" s="1"/>
  <c r="M3168" i="2" a="1"/>
  <c r="M3168" i="2" s="1"/>
  <c r="L3170" i="2" a="1"/>
  <c r="L3170" i="2" s="1"/>
  <c r="L3171" i="2" a="1"/>
  <c r="L3171" i="2" s="1"/>
  <c r="K3173" i="2" a="1"/>
  <c r="K3173" i="2" s="1"/>
  <c r="K3174" i="2" a="1"/>
  <c r="K3174" i="2" s="1"/>
  <c r="M3175" i="2" a="1"/>
  <c r="M3175" i="2" s="1"/>
  <c r="M3176" i="2" a="1"/>
  <c r="M3176" i="2" s="1"/>
  <c r="L3178" i="2" a="1"/>
  <c r="L3178" i="2" s="1"/>
  <c r="L3179" i="2" a="1"/>
  <c r="L3179" i="2" s="1"/>
  <c r="K3181" i="2" a="1"/>
  <c r="K3181" i="2" s="1"/>
  <c r="K3182" i="2" a="1"/>
  <c r="K3182" i="2" s="1"/>
  <c r="M3183" i="2" a="1"/>
  <c r="M3183" i="2" s="1"/>
  <c r="M3184" i="2" a="1"/>
  <c r="M3184" i="2" s="1"/>
  <c r="L3186" i="2" a="1"/>
  <c r="L3186" i="2" s="1"/>
  <c r="L3187" i="2" a="1"/>
  <c r="L3187" i="2" s="1"/>
  <c r="K3189" i="2" a="1"/>
  <c r="K3189" i="2" s="1"/>
  <c r="K3190" i="2" a="1"/>
  <c r="K3190" i="2" s="1"/>
  <c r="M3191" i="2" a="1"/>
  <c r="M3191" i="2" s="1"/>
  <c r="M3192" i="2" a="1"/>
  <c r="M3192" i="2" s="1"/>
  <c r="L3194" i="2" a="1"/>
  <c r="L3194" i="2" s="1"/>
  <c r="L3195" i="2" a="1"/>
  <c r="L3195" i="2" s="1"/>
  <c r="K3197" i="2" a="1"/>
  <c r="K3197" i="2" s="1"/>
  <c r="K3198" i="2" a="1"/>
  <c r="K3198" i="2" s="1"/>
  <c r="M3199" i="2" a="1"/>
  <c r="M3199" i="2" s="1"/>
  <c r="M3200" i="2" a="1"/>
  <c r="M3200" i="2" s="1"/>
  <c r="L3202" i="2" a="1"/>
  <c r="L3202" i="2" s="1"/>
  <c r="L3203" i="2" a="1"/>
  <c r="L3203" i="2" s="1"/>
  <c r="K3205" i="2" a="1"/>
  <c r="K3205" i="2" s="1"/>
  <c r="K3206" i="2" a="1"/>
  <c r="K3206" i="2" s="1"/>
  <c r="M3207" i="2" a="1"/>
  <c r="M3207" i="2" s="1"/>
  <c r="M3208" i="2" a="1"/>
  <c r="M3208" i="2" s="1"/>
  <c r="L3210" i="2" a="1"/>
  <c r="L3210" i="2" s="1"/>
  <c r="L3211" i="2" a="1"/>
  <c r="L3211" i="2" s="1"/>
  <c r="K3213" i="2" a="1"/>
  <c r="K3213" i="2" s="1"/>
  <c r="K3214" i="2" a="1"/>
  <c r="K3214" i="2" s="1"/>
  <c r="M3215" i="2" a="1"/>
  <c r="M3215" i="2" s="1"/>
  <c r="M3216" i="2" a="1"/>
  <c r="M3216" i="2" s="1"/>
  <c r="L3218" i="2" a="1"/>
  <c r="L3218" i="2" s="1"/>
  <c r="L3219" i="2" a="1"/>
  <c r="L3219" i="2" s="1"/>
  <c r="K3221" i="2" a="1"/>
  <c r="K3221" i="2" s="1"/>
  <c r="K3222" i="2" a="1"/>
  <c r="K3222" i="2" s="1"/>
  <c r="M3223" i="2" a="1"/>
  <c r="M3223" i="2" s="1"/>
  <c r="M3224" i="2" a="1"/>
  <c r="M3224" i="2" s="1"/>
  <c r="L3226" i="2" a="1"/>
  <c r="L3226" i="2" s="1"/>
  <c r="L3227" i="2" a="1"/>
  <c r="L3227" i="2" s="1"/>
  <c r="K3229" i="2" a="1"/>
  <c r="K3229" i="2" s="1"/>
  <c r="K3230" i="2" a="1"/>
  <c r="K3230" i="2" s="1"/>
  <c r="M3231" i="2" a="1"/>
  <c r="M3231" i="2" s="1"/>
  <c r="M3232" i="2" a="1"/>
  <c r="M3232" i="2" s="1"/>
  <c r="L3234" i="2" a="1"/>
  <c r="L3234" i="2" s="1"/>
  <c r="L3235" i="2" a="1"/>
  <c r="L3235" i="2" s="1"/>
  <c r="K3237" i="2" a="1"/>
  <c r="K3237" i="2" s="1"/>
  <c r="K3238" i="2" a="1"/>
  <c r="K3238" i="2" s="1"/>
  <c r="M3239" i="2" a="1"/>
  <c r="M3239" i="2" s="1"/>
  <c r="M3240" i="2" a="1"/>
  <c r="M3240" i="2" s="1"/>
  <c r="L3242" i="2" a="1"/>
  <c r="L3242" i="2" s="1"/>
  <c r="L3243" i="2" a="1"/>
  <c r="L3243" i="2" s="1"/>
  <c r="K3245" i="2" a="1"/>
  <c r="K3245" i="2" s="1"/>
  <c r="K3246" i="2" a="1"/>
  <c r="K3246" i="2" s="1"/>
  <c r="M3247" i="2" a="1"/>
  <c r="M3247" i="2" s="1"/>
  <c r="M3248" i="2" a="1"/>
  <c r="M3248" i="2" s="1"/>
  <c r="L3250" i="2" a="1"/>
  <c r="L3250" i="2" s="1"/>
  <c r="L3251" i="2" a="1"/>
  <c r="L3251" i="2" s="1"/>
  <c r="K3253" i="2" a="1"/>
  <c r="K3253" i="2" s="1"/>
  <c r="K3254" i="2" a="1"/>
  <c r="K3254" i="2" s="1"/>
  <c r="M3255" i="2" a="1"/>
  <c r="M3255" i="2" s="1"/>
  <c r="M3256" i="2" a="1"/>
  <c r="M3256" i="2" s="1"/>
  <c r="L3258" i="2" a="1"/>
  <c r="L3258" i="2" s="1"/>
  <c r="L3259" i="2" a="1"/>
  <c r="L3259" i="2" s="1"/>
  <c r="K3261" i="2" a="1"/>
  <c r="K3261" i="2" s="1"/>
  <c r="K3262" i="2" a="1"/>
  <c r="K3262" i="2" s="1"/>
  <c r="M3263" i="2" a="1"/>
  <c r="M3263" i="2" s="1"/>
  <c r="M3264" i="2" a="1"/>
  <c r="M3264" i="2" s="1"/>
  <c r="L3266" i="2" a="1"/>
  <c r="L3266" i="2" s="1"/>
  <c r="L3267" i="2" a="1"/>
  <c r="L3267" i="2" s="1"/>
  <c r="K3269" i="2" a="1"/>
  <c r="K3269" i="2" s="1"/>
  <c r="K3270" i="2" a="1"/>
  <c r="K3270" i="2" s="1"/>
  <c r="M3271" i="2" a="1"/>
  <c r="M3271" i="2" s="1"/>
  <c r="M3272" i="2" a="1"/>
  <c r="M3272" i="2" s="1"/>
  <c r="L3274" i="2" a="1"/>
  <c r="L3274" i="2" s="1"/>
  <c r="L3275" i="2" a="1"/>
  <c r="L3275" i="2" s="1"/>
  <c r="K3277" i="2" a="1"/>
  <c r="K3277" i="2" s="1"/>
  <c r="K3278" i="2" a="1"/>
  <c r="K3278" i="2" s="1"/>
  <c r="M3279" i="2" a="1"/>
  <c r="M3279" i="2" s="1"/>
  <c r="M3280" i="2" a="1"/>
  <c r="M3280" i="2" s="1"/>
  <c r="L3282" i="2" a="1"/>
  <c r="L3282" i="2" s="1"/>
  <c r="L3283" i="2" a="1"/>
  <c r="L3283" i="2" s="1"/>
  <c r="K3285" i="2" a="1"/>
  <c r="K3285" i="2" s="1"/>
  <c r="K3286" i="2" a="1"/>
  <c r="K3286" i="2" s="1"/>
  <c r="M3287" i="2" a="1"/>
  <c r="M3287" i="2" s="1"/>
  <c r="M3288" i="2" a="1"/>
  <c r="M3288" i="2" s="1"/>
  <c r="L3290" i="2" a="1"/>
  <c r="L3290" i="2" s="1"/>
  <c r="L3291" i="2" a="1"/>
  <c r="L3291" i="2" s="1"/>
  <c r="K3293" i="2" a="1"/>
  <c r="K3293" i="2" s="1"/>
  <c r="K3294" i="2" a="1"/>
  <c r="K3294" i="2" s="1"/>
  <c r="M3295" i="2" a="1"/>
  <c r="M3295" i="2" s="1"/>
  <c r="M3296" i="2" a="1"/>
  <c r="M3296" i="2" s="1"/>
  <c r="L3298" i="2" a="1"/>
  <c r="L3298" i="2" s="1"/>
  <c r="L3299" i="2" a="1"/>
  <c r="L3299" i="2" s="1"/>
  <c r="K3301" i="2" a="1"/>
  <c r="K3301" i="2" s="1"/>
  <c r="K3302" i="2" a="1"/>
  <c r="K3302" i="2" s="1"/>
  <c r="M3303" i="2" a="1"/>
  <c r="M3303" i="2" s="1"/>
  <c r="M3304" i="2" a="1"/>
  <c r="M3304" i="2" s="1"/>
  <c r="L3306" i="2" a="1"/>
  <c r="L3306" i="2" s="1"/>
  <c r="L3307" i="2" a="1"/>
  <c r="L3307" i="2" s="1"/>
  <c r="K3309" i="2" a="1"/>
  <c r="K3309" i="2" s="1"/>
  <c r="K3310" i="2" a="1"/>
  <c r="K3310" i="2" s="1"/>
  <c r="M3311" i="2" a="1"/>
  <c r="M3311" i="2" s="1"/>
  <c r="M3312" i="2" a="1"/>
  <c r="M3312" i="2" s="1"/>
  <c r="L3314" i="2" a="1"/>
  <c r="L3314" i="2" s="1"/>
  <c r="L3315" i="2" a="1"/>
  <c r="L3315" i="2" s="1"/>
  <c r="K3317" i="2" a="1"/>
  <c r="K3317" i="2" s="1"/>
  <c r="K3318" i="2" a="1"/>
  <c r="K3318" i="2" s="1"/>
  <c r="M3319" i="2" a="1"/>
  <c r="M3319" i="2" s="1"/>
  <c r="M3320" i="2" a="1"/>
  <c r="M3320" i="2" s="1"/>
  <c r="L3322" i="2" a="1"/>
  <c r="L3322" i="2" s="1"/>
  <c r="L3323" i="2" a="1"/>
  <c r="L3323" i="2" s="1"/>
  <c r="K3325" i="2" a="1"/>
  <c r="K3325" i="2" s="1"/>
  <c r="K3326" i="2" a="1"/>
  <c r="K3326" i="2" s="1"/>
  <c r="M3327" i="2" a="1"/>
  <c r="M3327" i="2" s="1"/>
  <c r="M3328" i="2" a="1"/>
  <c r="M3328" i="2" s="1"/>
  <c r="L3330" i="2" a="1"/>
  <c r="L3330" i="2" s="1"/>
  <c r="L3331" i="2" a="1"/>
  <c r="L3331" i="2" s="1"/>
  <c r="K3333" i="2" a="1"/>
  <c r="K3333" i="2" s="1"/>
  <c r="K3334" i="2" a="1"/>
  <c r="K3334" i="2" s="1"/>
  <c r="M3335" i="2" a="1"/>
  <c r="M3335" i="2" s="1"/>
  <c r="M3336" i="2" a="1"/>
  <c r="M3336" i="2" s="1"/>
  <c r="L3338" i="2" a="1"/>
  <c r="L3338" i="2" s="1"/>
  <c r="L3339" i="2" a="1"/>
  <c r="L3339" i="2" s="1"/>
  <c r="K3341" i="2" a="1"/>
  <c r="K3341" i="2" s="1"/>
  <c r="K3342" i="2" a="1"/>
  <c r="K3342" i="2" s="1"/>
  <c r="M3343" i="2" a="1"/>
  <c r="M3343" i="2" s="1"/>
  <c r="M3344" i="2" a="1"/>
  <c r="M3344" i="2" s="1"/>
  <c r="L3346" i="2" a="1"/>
  <c r="L3346" i="2" s="1"/>
  <c r="L3347" i="2" a="1"/>
  <c r="L3347" i="2" s="1"/>
  <c r="K3349" i="2" a="1"/>
  <c r="K3349" i="2" s="1"/>
  <c r="K3350" i="2" a="1"/>
  <c r="K3350" i="2" s="1"/>
  <c r="M3351" i="2" a="1"/>
  <c r="M3351" i="2" s="1"/>
  <c r="M3352" i="2" a="1"/>
  <c r="M3352" i="2" s="1"/>
  <c r="L3354" i="2" a="1"/>
  <c r="L3354" i="2" s="1"/>
  <c r="L3355" i="2" a="1"/>
  <c r="L3355" i="2" s="1"/>
  <c r="K3357" i="2" a="1"/>
  <c r="K3357" i="2" s="1"/>
  <c r="K3358" i="2" a="1"/>
  <c r="K3358" i="2" s="1"/>
  <c r="M3359" i="2" a="1"/>
  <c r="M3359" i="2" s="1"/>
  <c r="M3360" i="2" a="1"/>
  <c r="M3360" i="2" s="1"/>
  <c r="L3362" i="2" a="1"/>
  <c r="L3362" i="2" s="1"/>
  <c r="L3363" i="2" a="1"/>
  <c r="L3363" i="2" s="1"/>
  <c r="K3365" i="2" a="1"/>
  <c r="K3365" i="2" s="1"/>
  <c r="K3366" i="2" a="1"/>
  <c r="K3366" i="2" s="1"/>
  <c r="M3367" i="2" a="1"/>
  <c r="M3367" i="2" s="1"/>
  <c r="M3368" i="2" a="1"/>
  <c r="M3368" i="2" s="1"/>
  <c r="L3370" i="2" a="1"/>
  <c r="L3370" i="2" s="1"/>
  <c r="L3371" i="2" a="1"/>
  <c r="L3371" i="2" s="1"/>
  <c r="K3373" i="2" a="1"/>
  <c r="K3373" i="2" s="1"/>
  <c r="K3374" i="2" a="1"/>
  <c r="K3374" i="2" s="1"/>
  <c r="M3375" i="2" a="1"/>
  <c r="M3375" i="2" s="1"/>
  <c r="M3376" i="2" a="1"/>
  <c r="M3376" i="2" s="1"/>
  <c r="L3378" i="2" a="1"/>
  <c r="L3378" i="2" s="1"/>
  <c r="L3379" i="2" a="1"/>
  <c r="L3379" i="2" s="1"/>
  <c r="K3381" i="2" a="1"/>
  <c r="K3381" i="2" s="1"/>
  <c r="K3382" i="2" a="1"/>
  <c r="K3382" i="2" s="1"/>
  <c r="M3383" i="2" a="1"/>
  <c r="M3383" i="2" s="1"/>
  <c r="M3384" i="2" a="1"/>
  <c r="M3384" i="2" s="1"/>
  <c r="L3386" i="2" a="1"/>
  <c r="L3386" i="2" s="1"/>
  <c r="L3387" i="2" a="1"/>
  <c r="L3387" i="2" s="1"/>
  <c r="K3389" i="2" a="1"/>
  <c r="K3389" i="2" s="1"/>
  <c r="K3390" i="2" a="1"/>
  <c r="K3390" i="2" s="1"/>
  <c r="M3391" i="2" a="1"/>
  <c r="M3391" i="2" s="1"/>
  <c r="M3392" i="2" a="1"/>
  <c r="M3392" i="2" s="1"/>
  <c r="L3394" i="2" a="1"/>
  <c r="L3394" i="2" s="1"/>
  <c r="L3395" i="2" a="1"/>
  <c r="L3395" i="2" s="1"/>
  <c r="K3397" i="2" a="1"/>
  <c r="K3397" i="2" s="1"/>
  <c r="K3398" i="2" a="1"/>
  <c r="K3398" i="2" s="1"/>
  <c r="M3399" i="2" a="1"/>
  <c r="M3399" i="2" s="1"/>
  <c r="M3400" i="2" a="1"/>
  <c r="M3400" i="2" s="1"/>
  <c r="L3402" i="2" a="1"/>
  <c r="L3402" i="2" s="1"/>
  <c r="L3403" i="2" a="1"/>
  <c r="L3403" i="2" s="1"/>
  <c r="K3405" i="2" a="1"/>
  <c r="K3405" i="2" s="1"/>
  <c r="K3406" i="2" a="1"/>
  <c r="K3406" i="2" s="1"/>
  <c r="M3407" i="2" a="1"/>
  <c r="M3407" i="2" s="1"/>
  <c r="M3408" i="2" a="1"/>
  <c r="M3408" i="2" s="1"/>
  <c r="L3410" i="2" a="1"/>
  <c r="L3410" i="2" s="1"/>
  <c r="L3411" i="2" a="1"/>
  <c r="L3411" i="2" s="1"/>
  <c r="K3413" i="2" a="1"/>
  <c r="K3413" i="2" s="1"/>
  <c r="K3414" i="2" a="1"/>
  <c r="K3414" i="2" s="1"/>
  <c r="M3415" i="2" a="1"/>
  <c r="M3415" i="2" s="1"/>
  <c r="M3416" i="2" a="1"/>
  <c r="M3416" i="2" s="1"/>
  <c r="L3418" i="2" a="1"/>
  <c r="L3418" i="2" s="1"/>
  <c r="L3419" i="2" a="1"/>
  <c r="L3419" i="2" s="1"/>
  <c r="K3421" i="2" a="1"/>
  <c r="K3421" i="2" s="1"/>
  <c r="K3422" i="2" a="1"/>
  <c r="K3422" i="2" s="1"/>
  <c r="M3423" i="2" a="1"/>
  <c r="M3423" i="2" s="1"/>
  <c r="M3424" i="2" a="1"/>
  <c r="M3424" i="2" s="1"/>
  <c r="L3426" i="2" a="1"/>
  <c r="L3426" i="2" s="1"/>
  <c r="L3427" i="2" a="1"/>
  <c r="L3427" i="2" s="1"/>
  <c r="K3429" i="2" a="1"/>
  <c r="K3429" i="2" s="1"/>
  <c r="K3430" i="2" a="1"/>
  <c r="K3430" i="2" s="1"/>
  <c r="M3431" i="2" a="1"/>
  <c r="M3431" i="2" s="1"/>
  <c r="M3432" i="2" a="1"/>
  <c r="M3432" i="2" s="1"/>
  <c r="L3434" i="2" a="1"/>
  <c r="L3434" i="2" s="1"/>
  <c r="L3435" i="2" a="1"/>
  <c r="L3435" i="2" s="1"/>
  <c r="K3437" i="2" a="1"/>
  <c r="K3437" i="2" s="1"/>
  <c r="K3438" i="2" a="1"/>
  <c r="K3438" i="2" s="1"/>
  <c r="M3439" i="2" a="1"/>
  <c r="M3439" i="2" s="1"/>
  <c r="M3440" i="2" a="1"/>
  <c r="M3440" i="2" s="1"/>
  <c r="L3442" i="2" a="1"/>
  <c r="L3442" i="2" s="1"/>
  <c r="L3443" i="2" a="1"/>
  <c r="L3443" i="2" s="1"/>
  <c r="K3445" i="2" a="1"/>
  <c r="K3445" i="2" s="1"/>
  <c r="K3446" i="2" a="1"/>
  <c r="K3446" i="2" s="1"/>
  <c r="M3447" i="2" a="1"/>
  <c r="M3447" i="2" s="1"/>
  <c r="M3448" i="2" a="1"/>
  <c r="M3448" i="2" s="1"/>
  <c r="L3450" i="2" a="1"/>
  <c r="L3450" i="2" s="1"/>
  <c r="L3451" i="2" a="1"/>
  <c r="L3451" i="2" s="1"/>
  <c r="K3453" i="2" a="1"/>
  <c r="K3453" i="2" s="1"/>
  <c r="K3454" i="2" a="1"/>
  <c r="K3454" i="2" s="1"/>
  <c r="M3455" i="2" a="1"/>
  <c r="M3455" i="2" s="1"/>
  <c r="M3456" i="2" a="1"/>
  <c r="M3456" i="2" s="1"/>
  <c r="L3458" i="2" a="1"/>
  <c r="L3458" i="2" s="1"/>
  <c r="L3459" i="2" a="1"/>
  <c r="L3459" i="2" s="1"/>
  <c r="K3461" i="2" a="1"/>
  <c r="K3461" i="2" s="1"/>
  <c r="K3462" i="2" a="1"/>
  <c r="K3462" i="2" s="1"/>
  <c r="M3463" i="2" a="1"/>
  <c r="M3463" i="2" s="1"/>
  <c r="M3464" i="2" a="1"/>
  <c r="M3464" i="2" s="1"/>
  <c r="L3466" i="2" a="1"/>
  <c r="L3466" i="2" s="1"/>
  <c r="L3467" i="2" a="1"/>
  <c r="L3467" i="2" s="1"/>
  <c r="K3469" i="2" a="1"/>
  <c r="K3469" i="2" s="1"/>
  <c r="K3470" i="2" a="1"/>
  <c r="K3470" i="2" s="1"/>
  <c r="M3471" i="2" a="1"/>
  <c r="M3471" i="2" s="1"/>
  <c r="M3472" i="2" a="1"/>
  <c r="M3472" i="2" s="1"/>
  <c r="L3474" i="2" a="1"/>
  <c r="L3474" i="2" s="1"/>
  <c r="L3475" i="2" a="1"/>
  <c r="L3475" i="2" s="1"/>
  <c r="K3477" i="2" a="1"/>
  <c r="K3477" i="2" s="1"/>
  <c r="K3478" i="2" a="1"/>
  <c r="K3478" i="2" s="1"/>
  <c r="M3479" i="2" a="1"/>
  <c r="M3479" i="2" s="1"/>
  <c r="M3480" i="2" a="1"/>
  <c r="M3480" i="2" s="1"/>
  <c r="L3482" i="2" a="1"/>
  <c r="L3482" i="2" s="1"/>
  <c r="L3483" i="2" a="1"/>
  <c r="L3483" i="2" s="1"/>
  <c r="K3485" i="2" a="1"/>
  <c r="K3485" i="2" s="1"/>
  <c r="K3486" i="2" a="1"/>
  <c r="K3486" i="2" s="1"/>
  <c r="M3487" i="2" a="1"/>
  <c r="M3487" i="2" s="1"/>
  <c r="M3488" i="2" a="1"/>
  <c r="M3488" i="2" s="1"/>
  <c r="L3490" i="2" a="1"/>
  <c r="L3490" i="2" s="1"/>
  <c r="L3491" i="2" a="1"/>
  <c r="L3491" i="2" s="1"/>
  <c r="K3493" i="2" a="1"/>
  <c r="K3493" i="2" s="1"/>
  <c r="K3494" i="2" a="1"/>
  <c r="K3494" i="2" s="1"/>
  <c r="M3495" i="2" a="1"/>
  <c r="M3495" i="2" s="1"/>
  <c r="M3496" i="2" a="1"/>
  <c r="M3496" i="2" s="1"/>
  <c r="L3498" i="2" a="1"/>
  <c r="L3498" i="2" s="1"/>
  <c r="L3499" i="2" a="1"/>
  <c r="L3499" i="2" s="1"/>
</calcChain>
</file>

<file path=xl/sharedStrings.xml><?xml version="1.0" encoding="utf-8"?>
<sst xmlns="http://schemas.openxmlformats.org/spreadsheetml/2006/main" count="11176" uniqueCount="78">
  <si>
    <t>Employees</t>
  </si>
  <si>
    <t>Group</t>
  </si>
  <si>
    <t>Jules  Horowitz</t>
  </si>
  <si>
    <t>Aliza  Burden</t>
  </si>
  <si>
    <t>Jessika  Hwang</t>
  </si>
  <si>
    <t>Josiah  Marroquin</t>
  </si>
  <si>
    <t>Stormy  Haight</t>
  </si>
  <si>
    <t>Jenni  Thorton</t>
  </si>
  <si>
    <t>Leola  Currie</t>
  </si>
  <si>
    <t>Cletus  Yee</t>
  </si>
  <si>
    <t>Jeremy  Shea</t>
  </si>
  <si>
    <t>Nu  Wick</t>
  </si>
  <si>
    <t>Ivelisse  Goins</t>
  </si>
  <si>
    <t>Eugene  Higdon</t>
  </si>
  <si>
    <t>Gail  Reaves</t>
  </si>
  <si>
    <t>Jewel  Talbert</t>
  </si>
  <si>
    <t>Yen  Weatherford</t>
  </si>
  <si>
    <t>Vennie  Baird</t>
  </si>
  <si>
    <t>Audria  Roller</t>
  </si>
  <si>
    <t>Kerrie  Worrell</t>
  </si>
  <si>
    <t>Franchesca  Novak</t>
  </si>
  <si>
    <t>Iliana  Valerio</t>
  </si>
  <si>
    <t>Georgianne  Walls</t>
  </si>
  <si>
    <t>Odessa  Murrell</t>
  </si>
  <si>
    <t>Shandra  Rife</t>
  </si>
  <si>
    <t>Rosamond  Allard</t>
  </si>
  <si>
    <t>Rhett  Seymore</t>
  </si>
  <si>
    <t>Eulalia  Clement</t>
  </si>
  <si>
    <t>Chere  Slagle</t>
  </si>
  <si>
    <t>Sanda  Oshea</t>
  </si>
  <si>
    <t>Carman  Underhill</t>
  </si>
  <si>
    <t>Curt  Mackie</t>
  </si>
  <si>
    <t>Delpha  Mayers</t>
  </si>
  <si>
    <t>Lavonne  Mendenhall</t>
  </si>
  <si>
    <t>Juliette  Zavala</t>
  </si>
  <si>
    <t>Allena  Swenson</t>
  </si>
  <si>
    <t>Galen  Barth</t>
  </si>
  <si>
    <t>Mila  Delossantos</t>
  </si>
  <si>
    <t>Kecia  Vick</t>
  </si>
  <si>
    <t>Kandy  Mccartney</t>
  </si>
  <si>
    <t>Alyse  Hopson</t>
  </si>
  <si>
    <t>Val  Tyree</t>
  </si>
  <si>
    <t>Pansy  Sam</t>
  </si>
  <si>
    <t>Mickey  Bolduc</t>
  </si>
  <si>
    <t>Marlana  Huang</t>
  </si>
  <si>
    <t>Marcelle  Raley</t>
  </si>
  <si>
    <t>Lavette  Littleton</t>
  </si>
  <si>
    <t>Karma  Roper</t>
  </si>
  <si>
    <t>Genie  Laird</t>
  </si>
  <si>
    <t>Roxana  Sowers</t>
  </si>
  <si>
    <t>Idalia  Osullivan</t>
  </si>
  <si>
    <t>Lupe  Donovan</t>
  </si>
  <si>
    <t>Cascade</t>
  </si>
  <si>
    <t>Groups</t>
  </si>
  <si>
    <t>Yanaki</t>
  </si>
  <si>
    <t>Philips</t>
  </si>
  <si>
    <t>Kroner</t>
  </si>
  <si>
    <t>Date</t>
  </si>
  <si>
    <t>Employee</t>
  </si>
  <si>
    <t>ContactsMade</t>
  </si>
  <si>
    <t>Group:</t>
  </si>
  <si>
    <t>Or Criteria:</t>
  </si>
  <si>
    <t>Count</t>
  </si>
  <si>
    <t>% Change</t>
  </si>
  <si>
    <t>Ave</t>
  </si>
  <si>
    <t>Time 3</t>
  </si>
  <si>
    <t>Time 1</t>
  </si>
  <si>
    <t>Time 2</t>
  </si>
  <si>
    <t>Formula [1]</t>
  </si>
  <si>
    <t>Formula [2]</t>
  </si>
  <si>
    <t>Formula [1]: =IF(ROWS(G$20:G20)&gt;$F$6,"",INDEX(A$2:A$10000,SMALL(IF(ISNUMBER(MATCH($B$2:$B$10000,$E$6:$E$22,0)),ROW($C$2:$C$10000)-ROW($C$2)+1),ROWS(G$20:G20))))</t>
  </si>
  <si>
    <t>Formula [2]: =IF(ROWS(G$20:G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G$20:G20))))</t>
  </si>
  <si>
    <t>3481 rows of formulas, 10,000 rows of data. Time in seconds.</t>
  </si>
  <si>
    <t>Formula [1]: =IF(ROWS(K$20:K20)&gt;$F$6,"",INDEX(A$2:A$1018,SMALL(IF(ISNUMBER(MATCH($B$2:$B$1018,$E$6:$E$11,0)),ROW($C$2:$C$1018)-ROW($C$2)+1),ROWS(K$20:K20))))</t>
  </si>
  <si>
    <t>Formula [2]: =IF(ROWS(K$20:K20)&gt;$F$6,"",INDEX(A$2:A$1018,SMALL(IF(($B$2:$B$1018=$E$6)+($B$2:$B$1018=$E$7)+($B$2:$B$1018=$E$8)+($B$2:$B$1018=$E$9)+($B$2:$B$1018=$E$10)+($B$2:$B$1018=$E$11),ROW($C$2:$C$1018)-ROW($C$2)+1),ROWS(K$20:K20))))</t>
  </si>
  <si>
    <t>181 rows of formulas, 1017 rows of data. Time in seconds.</t>
  </si>
  <si>
    <t>&lt; Formula =COUNTIF(Tables!$B$2:$B$51,E2)</t>
  </si>
  <si>
    <t>&lt; Formula =SUMPRODUCT(--ISNUMBER(MATCH(B2:B10000,E6:E25,0)))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</si>
</sst>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3" fillId="2" borderId="1" xfId="0" applyFont="1" applyFill="1" applyBorder="1"/>
    <xf numFmtId="0" fontId="0" fillId="0" borderId="1" xfId="0" applyBorder="1"/>
    <xf numFmtId="14" fontId="0" fillId="0" borderId="1" xfId="0" applyNumberFormat="1" applyBorder="1"/>
    <xf numFmtId="0" fontId="0" fillId="3" borderId="1" xfId="0" applyFill="1" applyBorder="1"/>
    <xf numFmtId="0" fontId="4" fillId="4" borderId="1" xfId="0" applyFont="1" applyFill="1" applyBorder="1"/>
    <xf numFmtId="0" fontId="0" fillId="4" borderId="1" xfId="0" applyFill="1" applyBorder="1"/>
    <xf numFmtId="164" fontId="0" fillId="3" borderId="1" xfId="0" applyNumberFormat="1" applyFill="1" applyBorder="1"/>
    <xf numFmtId="0" fontId="2" fillId="0" borderId="0" xfId="0" applyFont="1"/>
    <xf numFmtId="165" fontId="0" fillId="3" borderId="1" xfId="1" applyNumberFormat="1" applyFont="1" applyFill="1" applyBorder="1"/>
    <xf numFmtId="0" fontId="0" fillId="3" borderId="2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13</xdr:row>
          <xdr:rowOff>161925</xdr:rowOff>
        </xdr:from>
        <xdr:to>
          <xdr:col>10</xdr:col>
          <xdr:colOff>409575</xdr:colOff>
          <xdr:row>17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000"/>
  <sheetViews>
    <sheetView tabSelected="1" zoomScaleNormal="100" workbookViewId="0">
      <selection activeCell="F10" sqref="F10"/>
    </sheetView>
  </sheetViews>
  <sheetFormatPr defaultRowHeight="15" x14ac:dyDescent="0.25"/>
  <cols>
    <col min="1" max="1" width="10.7109375" bestFit="1" customWidth="1"/>
    <col min="2" max="2" width="20.28515625" bestFit="1" customWidth="1"/>
    <col min="3" max="3" width="13.7109375" bestFit="1" customWidth="1"/>
    <col min="4" max="4" width="3.42578125" customWidth="1"/>
    <col min="5" max="5" width="20.28515625" bestFit="1" customWidth="1"/>
    <col min="6" max="6" width="10.7109375" bestFit="1" customWidth="1"/>
    <col min="7" max="7" width="10" customWidth="1"/>
    <col min="8" max="8" width="16.85546875" customWidth="1"/>
    <col min="9" max="9" width="14.42578125" customWidth="1"/>
    <col min="11" max="11" width="10" customWidth="1"/>
    <col min="12" max="12" width="16.85546875" customWidth="1"/>
    <col min="13" max="13" width="14.42578125" customWidth="1"/>
  </cols>
  <sheetData>
    <row r="1" spans="1:9" x14ac:dyDescent="0.25">
      <c r="A1" s="1" t="s">
        <v>57</v>
      </c>
      <c r="B1" s="1" t="s">
        <v>58</v>
      </c>
      <c r="C1" s="1" t="s">
        <v>59</v>
      </c>
      <c r="E1" s="1" t="s">
        <v>60</v>
      </c>
      <c r="F1" s="1" t="s">
        <v>62</v>
      </c>
    </row>
    <row r="2" spans="1:9" x14ac:dyDescent="0.25">
      <c r="A2" s="3">
        <v>41812</v>
      </c>
      <c r="B2" s="2" t="s">
        <v>30</v>
      </c>
      <c r="C2" s="2">
        <v>41</v>
      </c>
      <c r="E2" s="2" t="s">
        <v>55</v>
      </c>
      <c r="F2" s="4">
        <f>COUNTIF(Tables!$B$2:$B$51,E2)</f>
        <v>6</v>
      </c>
      <c r="G2" t="s">
        <v>76</v>
      </c>
    </row>
    <row r="3" spans="1:9" x14ac:dyDescent="0.25">
      <c r="A3" s="3">
        <v>41663</v>
      </c>
      <c r="B3" s="2" t="s">
        <v>6</v>
      </c>
      <c r="C3" s="2">
        <v>11</v>
      </c>
    </row>
    <row r="4" spans="1:9" x14ac:dyDescent="0.25">
      <c r="A4" s="3">
        <v>41617</v>
      </c>
      <c r="B4" s="2" t="s">
        <v>23</v>
      </c>
      <c r="C4" s="2">
        <v>25</v>
      </c>
      <c r="E4" s="5" t="s">
        <v>61</v>
      </c>
    </row>
    <row r="5" spans="1:9" x14ac:dyDescent="0.25">
      <c r="A5" s="3">
        <v>41848</v>
      </c>
      <c r="B5" s="2" t="s">
        <v>32</v>
      </c>
      <c r="C5" s="2">
        <v>41</v>
      </c>
      <c r="E5" s="1" t="str">
        <f>B1</f>
        <v>Employee</v>
      </c>
      <c r="F5" s="1" t="s">
        <v>62</v>
      </c>
    </row>
    <row r="6" spans="1:9" x14ac:dyDescent="0.25">
      <c r="A6" s="3">
        <v>41747</v>
      </c>
      <c r="B6" s="2" t="s">
        <v>19</v>
      </c>
      <c r="C6" s="2">
        <v>9</v>
      </c>
      <c r="E6" s="4" t="str">
        <f>IF(ROWS(E$6:E6)&gt;F$2,"",INDEX(Tables!$A$2:$A$51,_xlfn.AGGREGATE(15,6,(ROW(Tables!$A$2:$A$51)-ROW(Tables!$A$2)+1)/(Tables!$B$2:$B$51=$E$2),ROWS(E$6:E6))))</f>
        <v>Jenni  Thorton</v>
      </c>
      <c r="F6" s="4">
        <f>SUMPRODUCT(--ISNUMBER(MATCH(B2:B10000,E6:E25,0)))</f>
        <v>1245</v>
      </c>
      <c r="G6" t="s">
        <v>77</v>
      </c>
    </row>
    <row r="7" spans="1:9" x14ac:dyDescent="0.25">
      <c r="A7" s="3">
        <v>41708</v>
      </c>
      <c r="B7" s="2" t="s">
        <v>3</v>
      </c>
      <c r="C7" s="2">
        <v>29</v>
      </c>
      <c r="E7" s="4" t="str">
        <f>IF(ROWS(E$6:E7)&gt;F$2,"",INDEX(Tables!$A$2:$A$51,_xlfn.AGGREGATE(15,6,(ROW(Tables!$A$2:$A$51)-ROW(Tables!$A$2)+1)/(Tables!$B$2:$B$51=$E$2),ROWS(E$6:E7))))</f>
        <v>Kerrie  Worrell</v>
      </c>
    </row>
    <row r="8" spans="1:9" x14ac:dyDescent="0.25">
      <c r="A8" s="3">
        <v>41325</v>
      </c>
      <c r="B8" s="2" t="s">
        <v>20</v>
      </c>
      <c r="C8" s="2">
        <v>9</v>
      </c>
      <c r="E8" s="4" t="str">
        <f>IF(ROWS(E$6:E8)&gt;F$2,"",INDEX(Tables!$A$2:$A$51,_xlfn.AGGREGATE(15,6,(ROW(Tables!$A$2:$A$51)-ROW(Tables!$A$2)+1)/(Tables!$B$2:$B$51=$E$2),ROWS(E$6:E8))))</f>
        <v>Iliana  Valerio</v>
      </c>
      <c r="G8" t="s">
        <v>70</v>
      </c>
    </row>
    <row r="9" spans="1:9" x14ac:dyDescent="0.25">
      <c r="A9" s="3">
        <v>41914</v>
      </c>
      <c r="B9" s="2" t="s">
        <v>4</v>
      </c>
      <c r="C9" s="2">
        <v>40</v>
      </c>
      <c r="E9" s="4" t="str">
        <f>IF(ROWS(E$6:E9)&gt;F$2,"",INDEX(Tables!$A$2:$A$51,_xlfn.AGGREGATE(15,6,(ROW(Tables!$A$2:$A$51)-ROW(Tables!$A$2)+1)/(Tables!$B$2:$B$51=$E$2),ROWS(E$6:E9))))</f>
        <v>Rosamond  Allard</v>
      </c>
      <c r="G9" t="s">
        <v>71</v>
      </c>
    </row>
    <row r="10" spans="1:9" x14ac:dyDescent="0.25">
      <c r="A10" s="3">
        <v>41351</v>
      </c>
      <c r="B10" s="2" t="s">
        <v>43</v>
      </c>
      <c r="C10" s="2">
        <v>21</v>
      </c>
      <c r="E10" s="4" t="str">
        <f>IF(ROWS(E$6:E10)&gt;F$2,"",INDEX(Tables!$A$2:$A$51,_xlfn.AGGREGATE(15,6,(ROW(Tables!$A$2:$A$51)-ROW(Tables!$A$2)+1)/(Tables!$B$2:$B$51=$E$2),ROWS(E$6:E10))))</f>
        <v>Galen  Barth</v>
      </c>
    </row>
    <row r="11" spans="1:9" x14ac:dyDescent="0.25">
      <c r="A11" s="3">
        <v>41452</v>
      </c>
      <c r="B11" s="2" t="s">
        <v>35</v>
      </c>
      <c r="C11" s="2">
        <v>31</v>
      </c>
      <c r="E11" s="4" t="str">
        <f>IF(ROWS(E$6:E11)&gt;F$2,"",INDEX(Tables!$A$2:$A$51,_xlfn.AGGREGATE(15,6,(ROW(Tables!$A$2:$A$51)-ROW(Tables!$A$2)+1)/(Tables!$B$2:$B$51=$E$2),ROWS(E$6:E11))))</f>
        <v>Mickey  Bolduc</v>
      </c>
      <c r="G11" s="8" t="s">
        <v>72</v>
      </c>
    </row>
    <row r="12" spans="1:9" x14ac:dyDescent="0.25">
      <c r="A12" s="3">
        <v>41917</v>
      </c>
      <c r="B12" s="2" t="s">
        <v>21</v>
      </c>
      <c r="C12" s="2">
        <v>18</v>
      </c>
      <c r="E12" s="4" t="str">
        <f>IF(ROWS(E$6:E12)&gt;F$2,"",INDEX(Tables!$A$2:$A$51,_xlfn.AGGREGATE(15,6,(ROW(Tables!$A$2:$A$51)-ROW(Tables!$A$2)+1)/(Tables!$B$2:$B$51=$E$2),ROWS(E$6:E12))))</f>
        <v/>
      </c>
      <c r="G12" s="2"/>
      <c r="H12" s="6" t="s">
        <v>68</v>
      </c>
      <c r="I12" s="6" t="s">
        <v>69</v>
      </c>
    </row>
    <row r="13" spans="1:9" x14ac:dyDescent="0.25">
      <c r="A13" s="3">
        <v>41855</v>
      </c>
      <c r="B13" s="2" t="s">
        <v>22</v>
      </c>
      <c r="C13" s="2">
        <v>38</v>
      </c>
      <c r="E13" s="4" t="str">
        <f>IF(ROWS(E$6:E13)&gt;F$2,"",INDEX(Tables!$A$2:$A$51,_xlfn.AGGREGATE(15,6,(ROW(Tables!$A$2:$A$51)-ROW(Tables!$A$2)+1)/(Tables!$B$2:$B$51=$E$2),ROWS(E$6:E13))))</f>
        <v/>
      </c>
      <c r="G13" s="2" t="s">
        <v>66</v>
      </c>
      <c r="H13" s="2">
        <v>24.3</v>
      </c>
      <c r="I13" s="2">
        <v>49.4</v>
      </c>
    </row>
    <row r="14" spans="1:9" x14ac:dyDescent="0.25">
      <c r="A14" s="3">
        <v>41381</v>
      </c>
      <c r="B14" s="2" t="s">
        <v>10</v>
      </c>
      <c r="C14" s="2">
        <v>22</v>
      </c>
      <c r="E14" s="4" t="str">
        <f>IF(ROWS(E$6:E14)&gt;F$2,"",INDEX(Tables!$A$2:$A$51,_xlfn.AGGREGATE(15,6,(ROW(Tables!$A$2:$A$51)-ROW(Tables!$A$2)+1)/(Tables!$B$2:$B$51=$E$2),ROWS(E$6:E14))))</f>
        <v/>
      </c>
      <c r="G14" s="2" t="s">
        <v>67</v>
      </c>
      <c r="H14" s="2">
        <v>24.2</v>
      </c>
      <c r="I14" s="2">
        <v>49.2</v>
      </c>
    </row>
    <row r="15" spans="1:9" x14ac:dyDescent="0.25">
      <c r="A15" s="3">
        <v>41548</v>
      </c>
      <c r="B15" s="2" t="s">
        <v>16</v>
      </c>
      <c r="C15" s="2">
        <v>48</v>
      </c>
      <c r="E15" s="4" t="str">
        <f>IF(ROWS(E$6:E15)&gt;F$2,"",INDEX(Tables!$A$2:$A$51,_xlfn.AGGREGATE(15,6,(ROW(Tables!$A$2:$A$51)-ROW(Tables!$A$2)+1)/(Tables!$B$2:$B$51=$E$2),ROWS(E$6:E15))))</f>
        <v/>
      </c>
      <c r="G15" s="2" t="s">
        <v>65</v>
      </c>
      <c r="H15" s="2">
        <v>24.2</v>
      </c>
      <c r="I15" s="2">
        <v>48.89</v>
      </c>
    </row>
    <row r="16" spans="1:9" x14ac:dyDescent="0.25">
      <c r="A16" s="3">
        <v>41851</v>
      </c>
      <c r="B16" s="2" t="s">
        <v>45</v>
      </c>
      <c r="C16" s="2">
        <v>38</v>
      </c>
      <c r="E16" s="4" t="str">
        <f>IF(ROWS(E$6:E16)&gt;F$2,"",INDEX(Tables!$A$2:$A$51,_xlfn.AGGREGATE(15,6,(ROW(Tables!$A$2:$A$51)-ROW(Tables!$A$2)+1)/(Tables!$B$2:$B$51=$E$2),ROWS(E$6:E16))))</f>
        <v/>
      </c>
      <c r="G16" s="2" t="s">
        <v>64</v>
      </c>
      <c r="H16" s="4">
        <f>AVERAGE(H13:H15)</f>
        <v>24.233333333333334</v>
      </c>
      <c r="I16" s="4">
        <f t="shared" ref="I16" si="0">AVERAGE(I13:I15)</f>
        <v>49.163333333333334</v>
      </c>
    </row>
    <row r="17" spans="1:13" x14ac:dyDescent="0.25">
      <c r="A17" s="3">
        <v>41923</v>
      </c>
      <c r="B17" s="2" t="s">
        <v>33</v>
      </c>
      <c r="C17" s="2">
        <v>46</v>
      </c>
      <c r="E17" s="4" t="str">
        <f>IF(ROWS(E$6:E17)&gt;F$2,"",INDEX(Tables!$A$2:$A$51,_xlfn.AGGREGATE(15,6,(ROW(Tables!$A$2:$A$51)-ROW(Tables!$A$2)+1)/(Tables!$B$2:$B$51=$E$2),ROWS(E$6:E17))))</f>
        <v/>
      </c>
      <c r="G17" s="2" t="s">
        <v>63</v>
      </c>
      <c r="H17" s="9">
        <f t="shared" ref="H17:I17" si="1">H16/$H$16-1</f>
        <v>0</v>
      </c>
      <c r="I17" s="9">
        <f t="shared" si="1"/>
        <v>1.0287482806052268</v>
      </c>
    </row>
    <row r="18" spans="1:13" x14ac:dyDescent="0.25">
      <c r="A18" s="3">
        <v>41765</v>
      </c>
      <c r="B18" s="2" t="s">
        <v>39</v>
      </c>
      <c r="C18" s="2">
        <v>34</v>
      </c>
      <c r="E18" s="4" t="str">
        <f>IF(ROWS(E$6:E18)&gt;F$2,"",INDEX(Tables!$A$2:$A$51,_xlfn.AGGREGATE(15,6,(ROW(Tables!$A$2:$A$51)-ROW(Tables!$A$2)+1)/(Tables!$B$2:$B$51=$E$2),ROWS(E$6:E18))))</f>
        <v/>
      </c>
    </row>
    <row r="19" spans="1:13" x14ac:dyDescent="0.25">
      <c r="A19" s="3">
        <v>41720</v>
      </c>
      <c r="B19" s="2" t="s">
        <v>43</v>
      </c>
      <c r="C19" s="2">
        <v>25</v>
      </c>
      <c r="E19" s="4" t="str">
        <f>IF(ROWS(E$6:E19)&gt;F$2,"",INDEX(Tables!$A$2:$A$51,_xlfn.AGGREGATE(15,6,(ROW(Tables!$A$2:$A$51)-ROW(Tables!$A$2)+1)/(Tables!$B$2:$B$51=$E$2),ROWS(E$6:E19))))</f>
        <v/>
      </c>
      <c r="G19" s="1" t="s">
        <v>57</v>
      </c>
      <c r="H19" s="1" t="s">
        <v>58</v>
      </c>
      <c r="I19" s="1" t="s">
        <v>59</v>
      </c>
      <c r="K19" s="1" t="s">
        <v>57</v>
      </c>
      <c r="L19" s="1" t="s">
        <v>58</v>
      </c>
      <c r="M19" s="1" t="s">
        <v>59</v>
      </c>
    </row>
    <row r="20" spans="1:13" x14ac:dyDescent="0.25">
      <c r="A20" s="3">
        <v>41600</v>
      </c>
      <c r="B20" s="2" t="s">
        <v>28</v>
      </c>
      <c r="C20" s="2">
        <v>18</v>
      </c>
      <c r="E20" s="4" t="str">
        <f>IF(ROWS(E$6:E20)&gt;F$2,"",INDEX(Tables!$A$2:$A$51,_xlfn.AGGREGATE(15,6,(ROW(Tables!$A$2:$A$51)-ROW(Tables!$A$2)+1)/(Tables!$B$2:$B$51=$E$2),ROWS(E$6:E20))))</f>
        <v/>
      </c>
      <c r="G20" s="7">
        <f t="array" ref="G20">IF(ROWS(K$20:K20)&gt;$F$6,"",INDEX(A$2:A$10000,SMALL(IF(ISNUMBER(MATCH($B$2:$B$10000,$E$6:$E$22,0)),ROW($C$2:$C$10000)-ROW($C$2)+1),ROWS(K$20:K20))))</f>
        <v>41747</v>
      </c>
      <c r="H20" s="4" t="str">
        <f t="array" ref="H20">IF(ROWS(L$20:L20)&gt;$F$6,"",INDEX(B$2:B$10000,SMALL(IF(ISNUMBER(MATCH($B$2:$B$10000,$E$6:$E$22,0)),ROW($C$2:$C$10000)-ROW($C$2)+1),ROWS(L$20:L20))))</f>
        <v>Kerrie  Worrell</v>
      </c>
      <c r="I20" s="4">
        <f t="array" ref="I20">IF(ROWS(M$20:M20)&gt;$F$6,"",INDEX(C$2:C$10000,SMALL(IF(ISNUMBER(MATCH($B$2:$B$10000,$E$6:$E$22,0)),ROW($C$2:$C$10000)-ROW($C$2)+1),ROWS(M$20:M20))))</f>
        <v>9</v>
      </c>
      <c r="K20" s="7">
        <f t="array" ref="K20">IF(ROWS(K$20:K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20))))</f>
        <v>41747</v>
      </c>
      <c r="L20" s="4" t="str">
        <f t="array" ref="L20">IF(ROWS(L$20:L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20))))</f>
        <v>Kerrie  Worrell</v>
      </c>
      <c r="M20" s="4">
        <f t="array" ref="M20">IF(ROWS(M$20:M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20))))</f>
        <v>9</v>
      </c>
    </row>
    <row r="21" spans="1:13" x14ac:dyDescent="0.25">
      <c r="A21" s="3">
        <v>41570</v>
      </c>
      <c r="B21" s="2" t="s">
        <v>8</v>
      </c>
      <c r="C21" s="2">
        <v>27</v>
      </c>
      <c r="E21" s="4" t="str">
        <f>IF(ROWS(E$6:E21)&gt;F$2,"",INDEX(Tables!$A$2:$A$51,_xlfn.AGGREGATE(15,6,(ROW(Tables!$A$2:$A$51)-ROW(Tables!$A$2)+1)/(Tables!$B$2:$B$51=$E$2),ROWS(E$6:E21))))</f>
        <v/>
      </c>
      <c r="G21" s="7">
        <f t="array" ref="G21">IF(ROWS(K$20:K21)&gt;$F$6,"",INDEX(A$2:A$10000,SMALL(IF(ISNUMBER(MATCH($B$2:$B$10000,$E$6:$E$22,0)),ROW($C$2:$C$10000)-ROW($C$2)+1),ROWS(K$20:K21))))</f>
        <v>41351</v>
      </c>
      <c r="H21" s="4" t="str">
        <f t="array" ref="H21">IF(ROWS(L$20:L21)&gt;$F$6,"",INDEX(B$2:B$10000,SMALL(IF(ISNUMBER(MATCH($B$2:$B$10000,$E$6:$E$22,0)),ROW($C$2:$C$10000)-ROW($C$2)+1),ROWS(L$20:L21))))</f>
        <v>Mickey  Bolduc</v>
      </c>
      <c r="I21" s="4">
        <f t="array" ref="I21">IF(ROWS(M$20:M21)&gt;$F$6,"",INDEX(C$2:C$10000,SMALL(IF(ISNUMBER(MATCH($B$2:$B$10000,$E$6:$E$22,0)),ROW($C$2:$C$10000)-ROW($C$2)+1),ROWS(M$20:M21))))</f>
        <v>21</v>
      </c>
      <c r="K21" s="7">
        <f t="array" ref="K21">IF(ROWS(K$20:K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21))))</f>
        <v>41351</v>
      </c>
      <c r="L21" s="4" t="str">
        <f t="array" ref="L21">IF(ROWS(L$20:L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21))))</f>
        <v>Mickey  Bolduc</v>
      </c>
      <c r="M21" s="4">
        <f t="array" ref="M21">IF(ROWS(M$20:M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21))))</f>
        <v>21</v>
      </c>
    </row>
    <row r="22" spans="1:13" x14ac:dyDescent="0.25">
      <c r="A22" s="3">
        <v>41608</v>
      </c>
      <c r="B22" s="2" t="s">
        <v>6</v>
      </c>
      <c r="C22" s="2">
        <v>29</v>
      </c>
      <c r="E22" s="4" t="str">
        <f>IF(ROWS(E$6:E22)&gt;F$2,"",INDEX(Tables!$A$2:$A$51,_xlfn.AGGREGATE(15,6,(ROW(Tables!$A$2:$A$51)-ROW(Tables!$A$2)+1)/(Tables!$B$2:$B$51=$E$2),ROWS(E$6:E22))))</f>
        <v/>
      </c>
      <c r="G22" s="7">
        <f t="array" ref="G22">IF(ROWS(K$20:K22)&gt;$F$6,"",INDEX(A$2:A$10000,SMALL(IF(ISNUMBER(MATCH($B$2:$B$10000,$E$6:$E$22,0)),ROW($C$2:$C$10000)-ROW($C$2)+1),ROWS(K$20:K22))))</f>
        <v>41917</v>
      </c>
      <c r="H22" s="4" t="str">
        <f t="array" ref="H22">IF(ROWS(L$20:L22)&gt;$F$6,"",INDEX(B$2:B$10000,SMALL(IF(ISNUMBER(MATCH($B$2:$B$10000,$E$6:$E$22,0)),ROW($C$2:$C$10000)-ROW($C$2)+1),ROWS(L$20:L22))))</f>
        <v>Iliana  Valerio</v>
      </c>
      <c r="I22" s="4">
        <f t="array" ref="I22">IF(ROWS(M$20:M22)&gt;$F$6,"",INDEX(C$2:C$10000,SMALL(IF(ISNUMBER(MATCH($B$2:$B$10000,$E$6:$E$22,0)),ROW($C$2:$C$10000)-ROW($C$2)+1),ROWS(M$20:M22))))</f>
        <v>18</v>
      </c>
      <c r="K22" s="7">
        <f t="array" ref="K22">IF(ROWS(K$20:K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22))))</f>
        <v>41917</v>
      </c>
      <c r="L22" s="4" t="str">
        <f t="array" ref="L22">IF(ROWS(L$20:L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22))))</f>
        <v>Iliana  Valerio</v>
      </c>
      <c r="M22" s="4">
        <f t="array" ref="M22">IF(ROWS(M$20:M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22))))</f>
        <v>18</v>
      </c>
    </row>
    <row r="23" spans="1:13" x14ac:dyDescent="0.25">
      <c r="A23" s="3">
        <v>41505</v>
      </c>
      <c r="B23" s="2" t="s">
        <v>15</v>
      </c>
      <c r="C23" s="2">
        <v>22</v>
      </c>
      <c r="G23" s="7">
        <f t="array" ref="G23">IF(ROWS(K$20:K23)&gt;$F$6,"",INDEX(A$2:A$10000,SMALL(IF(ISNUMBER(MATCH($B$2:$B$10000,$E$6:$E$22,0)),ROW($C$2:$C$10000)-ROW($C$2)+1),ROWS(K$20:K23))))</f>
        <v>41720</v>
      </c>
      <c r="H23" s="4" t="str">
        <f t="array" ref="H23">IF(ROWS(L$20:L23)&gt;$F$6,"",INDEX(B$2:B$10000,SMALL(IF(ISNUMBER(MATCH($B$2:$B$10000,$E$6:$E$22,0)),ROW($C$2:$C$10000)-ROW($C$2)+1),ROWS(L$20:L23))))</f>
        <v>Mickey  Bolduc</v>
      </c>
      <c r="I23" s="4">
        <f t="array" ref="I23">IF(ROWS(M$20:M23)&gt;$F$6,"",INDEX(C$2:C$10000,SMALL(IF(ISNUMBER(MATCH($B$2:$B$10000,$E$6:$E$22,0)),ROW($C$2:$C$10000)-ROW($C$2)+1),ROWS(M$20:M23))))</f>
        <v>25</v>
      </c>
      <c r="K23" s="7">
        <f t="array" ref="K23">IF(ROWS(K$20:K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23))))</f>
        <v>41720</v>
      </c>
      <c r="L23" s="4" t="str">
        <f t="array" ref="L23">IF(ROWS(L$20:L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23))))</f>
        <v>Mickey  Bolduc</v>
      </c>
      <c r="M23" s="4">
        <f t="array" ref="M23">IF(ROWS(M$20:M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23))))</f>
        <v>25</v>
      </c>
    </row>
    <row r="24" spans="1:13" x14ac:dyDescent="0.25">
      <c r="A24" s="3">
        <v>41458</v>
      </c>
      <c r="B24" s="2" t="s">
        <v>47</v>
      </c>
      <c r="C24" s="2">
        <v>21</v>
      </c>
      <c r="G24" s="7">
        <f t="array" ref="G24">IF(ROWS(K$20:K24)&gt;$F$6,"",INDEX(A$2:A$10000,SMALL(IF(ISNUMBER(MATCH($B$2:$B$10000,$E$6:$E$22,0)),ROW($C$2:$C$10000)-ROW($C$2)+1),ROWS(K$20:K24))))</f>
        <v>41542</v>
      </c>
      <c r="H24" s="4" t="str">
        <f t="array" ref="H24">IF(ROWS(L$20:L24)&gt;$F$6,"",INDEX(B$2:B$10000,SMALL(IF(ISNUMBER(MATCH($B$2:$B$10000,$E$6:$E$22,0)),ROW($C$2:$C$10000)-ROW($C$2)+1),ROWS(L$20:L24))))</f>
        <v>Mickey  Bolduc</v>
      </c>
      <c r="I24" s="4">
        <f t="array" ref="I24">IF(ROWS(M$20:M24)&gt;$F$6,"",INDEX(C$2:C$10000,SMALL(IF(ISNUMBER(MATCH($B$2:$B$10000,$E$6:$E$22,0)),ROW($C$2:$C$10000)-ROW($C$2)+1),ROWS(M$20:M24))))</f>
        <v>34</v>
      </c>
      <c r="K24" s="7">
        <f t="array" ref="K24">IF(ROWS(K$20:K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24))))</f>
        <v>41542</v>
      </c>
      <c r="L24" s="4" t="str">
        <f t="array" ref="L24">IF(ROWS(L$20:L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24))))</f>
        <v>Mickey  Bolduc</v>
      </c>
      <c r="M24" s="4">
        <f t="array" ref="M24">IF(ROWS(M$20:M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24))))</f>
        <v>34</v>
      </c>
    </row>
    <row r="25" spans="1:13" x14ac:dyDescent="0.25">
      <c r="A25" s="3">
        <v>41656</v>
      </c>
      <c r="B25" s="2" t="s">
        <v>32</v>
      </c>
      <c r="C25" s="2">
        <v>29</v>
      </c>
      <c r="G25" s="7">
        <f t="array" ref="G25">IF(ROWS(K$20:K25)&gt;$F$6,"",INDEX(A$2:A$10000,SMALL(IF(ISNUMBER(MATCH($B$2:$B$10000,$E$6:$E$22,0)),ROW($C$2:$C$10000)-ROW($C$2)+1),ROWS(K$20:K25))))</f>
        <v>41347</v>
      </c>
      <c r="H25" s="4" t="str">
        <f t="array" ref="H25">IF(ROWS(L$20:L25)&gt;$F$6,"",INDEX(B$2:B$10000,SMALL(IF(ISNUMBER(MATCH($B$2:$B$10000,$E$6:$E$22,0)),ROW($C$2:$C$10000)-ROW($C$2)+1),ROWS(L$20:L25))))</f>
        <v>Jenni  Thorton</v>
      </c>
      <c r="I25" s="4">
        <f t="array" ref="I25">IF(ROWS(M$20:M25)&gt;$F$6,"",INDEX(C$2:C$10000,SMALL(IF(ISNUMBER(MATCH($B$2:$B$10000,$E$6:$E$22,0)),ROW($C$2:$C$10000)-ROW($C$2)+1),ROWS(M$20:M25))))</f>
        <v>24</v>
      </c>
      <c r="K25" s="7">
        <f t="array" ref="K25">IF(ROWS(K$20:K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25))))</f>
        <v>41347</v>
      </c>
      <c r="L25" s="4" t="str">
        <f t="array" ref="L25">IF(ROWS(L$20:L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25))))</f>
        <v>Jenni  Thorton</v>
      </c>
      <c r="M25" s="4">
        <f t="array" ref="M25">IF(ROWS(M$20:M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25))))</f>
        <v>24</v>
      </c>
    </row>
    <row r="26" spans="1:13" x14ac:dyDescent="0.25">
      <c r="A26" s="3">
        <v>41361</v>
      </c>
      <c r="B26" s="2" t="s">
        <v>26</v>
      </c>
      <c r="C26" s="2">
        <v>23</v>
      </c>
      <c r="G26" s="7">
        <f t="array" ref="G26">IF(ROWS(K$20:K26)&gt;$F$6,"",INDEX(A$2:A$10000,SMALL(IF(ISNUMBER(MATCH($B$2:$B$10000,$E$6:$E$22,0)),ROW($C$2:$C$10000)-ROW($C$2)+1),ROWS(K$20:K26))))</f>
        <v>41910</v>
      </c>
      <c r="H26" s="4" t="str">
        <f t="array" ref="H26">IF(ROWS(L$20:L26)&gt;$F$6,"",INDEX(B$2:B$10000,SMALL(IF(ISNUMBER(MATCH($B$2:$B$10000,$E$6:$E$22,0)),ROW($C$2:$C$10000)-ROW($C$2)+1),ROWS(L$20:L26))))</f>
        <v>Jenni  Thorton</v>
      </c>
      <c r="I26" s="4">
        <f t="array" ref="I26">IF(ROWS(M$20:M26)&gt;$F$6,"",INDEX(C$2:C$10000,SMALL(IF(ISNUMBER(MATCH($B$2:$B$10000,$E$6:$E$22,0)),ROW($C$2:$C$10000)-ROW($C$2)+1),ROWS(M$20:M26))))</f>
        <v>38</v>
      </c>
      <c r="K26" s="7">
        <f t="array" ref="K26">IF(ROWS(K$20:K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26))))</f>
        <v>41910</v>
      </c>
      <c r="L26" s="4" t="str">
        <f t="array" ref="L26">IF(ROWS(L$20:L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26))))</f>
        <v>Jenni  Thorton</v>
      </c>
      <c r="M26" s="4">
        <f t="array" ref="M26">IF(ROWS(M$20:M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26))))</f>
        <v>38</v>
      </c>
    </row>
    <row r="27" spans="1:13" x14ac:dyDescent="0.25">
      <c r="A27" s="3">
        <v>41705</v>
      </c>
      <c r="B27" s="2" t="s">
        <v>38</v>
      </c>
      <c r="C27" s="2">
        <v>37</v>
      </c>
      <c r="G27" s="7">
        <f t="array" ref="G27">IF(ROWS(K$20:K27)&gt;$F$6,"",INDEX(A$2:A$10000,SMALL(IF(ISNUMBER(MATCH($B$2:$B$10000,$E$6:$E$22,0)),ROW($C$2:$C$10000)-ROW($C$2)+1),ROWS(K$20:K27))))</f>
        <v>41953</v>
      </c>
      <c r="H27" s="4" t="str">
        <f t="array" ref="H27">IF(ROWS(L$20:L27)&gt;$F$6,"",INDEX(B$2:B$10000,SMALL(IF(ISNUMBER(MATCH($B$2:$B$10000,$E$6:$E$22,0)),ROW($C$2:$C$10000)-ROW($C$2)+1),ROWS(L$20:L27))))</f>
        <v>Mickey  Bolduc</v>
      </c>
      <c r="I27" s="4">
        <f t="array" ref="I27">IF(ROWS(M$20:M27)&gt;$F$6,"",INDEX(C$2:C$10000,SMALL(IF(ISNUMBER(MATCH($B$2:$B$10000,$E$6:$E$22,0)),ROW($C$2:$C$10000)-ROW($C$2)+1),ROWS(M$20:M27))))</f>
        <v>19</v>
      </c>
      <c r="K27" s="7">
        <f t="array" ref="K27">IF(ROWS(K$20:K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27))))</f>
        <v>41953</v>
      </c>
      <c r="L27" s="4" t="str">
        <f t="array" ref="L27">IF(ROWS(L$20:L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27))))</f>
        <v>Mickey  Bolduc</v>
      </c>
      <c r="M27" s="4">
        <f t="array" ref="M27">IF(ROWS(M$20:M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27))))</f>
        <v>19</v>
      </c>
    </row>
    <row r="28" spans="1:13" x14ac:dyDescent="0.25">
      <c r="A28" s="3">
        <v>41913</v>
      </c>
      <c r="B28" s="2" t="s">
        <v>3</v>
      </c>
      <c r="C28" s="2">
        <v>22</v>
      </c>
      <c r="G28" s="7">
        <f t="array" ref="G28">IF(ROWS(K$20:K28)&gt;$F$6,"",INDEX(A$2:A$10000,SMALL(IF(ISNUMBER(MATCH($B$2:$B$10000,$E$6:$E$22,0)),ROW($C$2:$C$10000)-ROW($C$2)+1),ROWS(K$20:K28))))</f>
        <v>41810</v>
      </c>
      <c r="H28" s="4" t="str">
        <f t="array" ref="H28">IF(ROWS(L$20:L28)&gt;$F$6,"",INDEX(B$2:B$10000,SMALL(IF(ISNUMBER(MATCH($B$2:$B$10000,$E$6:$E$22,0)),ROW($C$2:$C$10000)-ROW($C$2)+1),ROWS(L$20:L28))))</f>
        <v>Iliana  Valerio</v>
      </c>
      <c r="I28" s="4">
        <f t="array" ref="I28">IF(ROWS(M$20:M28)&gt;$F$6,"",INDEX(C$2:C$10000,SMALL(IF(ISNUMBER(MATCH($B$2:$B$10000,$E$6:$E$22,0)),ROW($C$2:$C$10000)-ROW($C$2)+1),ROWS(M$20:M28))))</f>
        <v>24</v>
      </c>
      <c r="K28" s="7">
        <f t="array" ref="K28">IF(ROWS(K$20:K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28))))</f>
        <v>41810</v>
      </c>
      <c r="L28" s="4" t="str">
        <f t="array" ref="L28">IF(ROWS(L$20:L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28))))</f>
        <v>Iliana  Valerio</v>
      </c>
      <c r="M28" s="4">
        <f t="array" ref="M28">IF(ROWS(M$20:M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28))))</f>
        <v>24</v>
      </c>
    </row>
    <row r="29" spans="1:13" x14ac:dyDescent="0.25">
      <c r="A29" s="3">
        <v>41542</v>
      </c>
      <c r="B29" s="2" t="s">
        <v>43</v>
      </c>
      <c r="C29" s="2">
        <v>34</v>
      </c>
      <c r="G29" s="7">
        <f t="array" ref="G29">IF(ROWS(K$20:K29)&gt;$F$6,"",INDEX(A$2:A$10000,SMALL(IF(ISNUMBER(MATCH($B$2:$B$10000,$E$6:$E$22,0)),ROW($C$2:$C$10000)-ROW($C$2)+1),ROWS(K$20:K29))))</f>
        <v>41839</v>
      </c>
      <c r="H29" s="4" t="str">
        <f t="array" ref="H29">IF(ROWS(L$20:L29)&gt;$F$6,"",INDEX(B$2:B$10000,SMALL(IF(ISNUMBER(MATCH($B$2:$B$10000,$E$6:$E$22,0)),ROW($C$2:$C$10000)-ROW($C$2)+1),ROWS(L$20:L29))))</f>
        <v>Kerrie  Worrell</v>
      </c>
      <c r="I29" s="4">
        <f t="array" ref="I29">IF(ROWS(M$20:M29)&gt;$F$6,"",INDEX(C$2:C$10000,SMALL(IF(ISNUMBER(MATCH($B$2:$B$10000,$E$6:$E$22,0)),ROW($C$2:$C$10000)-ROW($C$2)+1),ROWS(M$20:M29))))</f>
        <v>25</v>
      </c>
      <c r="K29" s="7">
        <f t="array" ref="K29">IF(ROWS(K$20:K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29))))</f>
        <v>41839</v>
      </c>
      <c r="L29" s="4" t="str">
        <f t="array" ref="L29">IF(ROWS(L$20:L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29))))</f>
        <v>Kerrie  Worrell</v>
      </c>
      <c r="M29" s="4">
        <f t="array" ref="M29">IF(ROWS(M$20:M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29))))</f>
        <v>25</v>
      </c>
    </row>
    <row r="30" spans="1:13" x14ac:dyDescent="0.25">
      <c r="A30" s="3">
        <v>41680</v>
      </c>
      <c r="B30" s="2" t="s">
        <v>4</v>
      </c>
      <c r="C30" s="2">
        <v>7</v>
      </c>
      <c r="G30" s="7">
        <f t="array" ref="G30">IF(ROWS(K$20:K30)&gt;$F$6,"",INDEX(A$2:A$10000,SMALL(IF(ISNUMBER(MATCH($B$2:$B$10000,$E$6:$E$22,0)),ROW($C$2:$C$10000)-ROW($C$2)+1),ROWS(K$20:K30))))</f>
        <v>41312</v>
      </c>
      <c r="H30" s="4" t="str">
        <f t="array" ref="H30">IF(ROWS(L$20:L30)&gt;$F$6,"",INDEX(B$2:B$10000,SMALL(IF(ISNUMBER(MATCH($B$2:$B$10000,$E$6:$E$22,0)),ROW($C$2:$C$10000)-ROW($C$2)+1),ROWS(L$20:L30))))</f>
        <v>Jenni  Thorton</v>
      </c>
      <c r="I30" s="4">
        <f t="array" ref="I30">IF(ROWS(M$20:M30)&gt;$F$6,"",INDEX(C$2:C$10000,SMALL(IF(ISNUMBER(MATCH($B$2:$B$10000,$E$6:$E$22,0)),ROW($C$2:$C$10000)-ROW($C$2)+1),ROWS(M$20:M30))))</f>
        <v>19</v>
      </c>
      <c r="K30" s="7">
        <f t="array" ref="K30">IF(ROWS(K$20:K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30))))</f>
        <v>41312</v>
      </c>
      <c r="L30" s="4" t="str">
        <f t="array" ref="L30">IF(ROWS(L$20:L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30))))</f>
        <v>Jenni  Thorton</v>
      </c>
      <c r="M30" s="4">
        <f t="array" ref="M30">IF(ROWS(M$20:M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30))))</f>
        <v>19</v>
      </c>
    </row>
    <row r="31" spans="1:13" x14ac:dyDescent="0.25">
      <c r="A31" s="3">
        <v>41824</v>
      </c>
      <c r="B31" s="2" t="s">
        <v>2</v>
      </c>
      <c r="C31" s="2">
        <v>27</v>
      </c>
      <c r="G31" s="7">
        <f t="array" ref="G31">IF(ROWS(K$20:K31)&gt;$F$6,"",INDEX(A$2:A$10000,SMALL(IF(ISNUMBER(MATCH($B$2:$B$10000,$E$6:$E$22,0)),ROW($C$2:$C$10000)-ROW($C$2)+1),ROWS(K$20:K31))))</f>
        <v>41767</v>
      </c>
      <c r="H31" s="4" t="str">
        <f t="array" ref="H31">IF(ROWS(L$20:L31)&gt;$F$6,"",INDEX(B$2:B$10000,SMALL(IF(ISNUMBER(MATCH($B$2:$B$10000,$E$6:$E$22,0)),ROW($C$2:$C$10000)-ROW($C$2)+1),ROWS(L$20:L31))))</f>
        <v>Kerrie  Worrell</v>
      </c>
      <c r="I31" s="4">
        <f t="array" ref="I31">IF(ROWS(M$20:M31)&gt;$F$6,"",INDEX(C$2:C$10000,SMALL(IF(ISNUMBER(MATCH($B$2:$B$10000,$E$6:$E$22,0)),ROW($C$2:$C$10000)-ROW($C$2)+1),ROWS(M$20:M31))))</f>
        <v>32</v>
      </c>
      <c r="K31" s="7">
        <f t="array" ref="K31">IF(ROWS(K$20:K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31))))</f>
        <v>41767</v>
      </c>
      <c r="L31" s="4" t="str">
        <f t="array" ref="L31">IF(ROWS(L$20:L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31))))</f>
        <v>Kerrie  Worrell</v>
      </c>
      <c r="M31" s="4">
        <f t="array" ref="M31">IF(ROWS(M$20:M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31))))</f>
        <v>32</v>
      </c>
    </row>
    <row r="32" spans="1:13" x14ac:dyDescent="0.25">
      <c r="A32" s="3">
        <v>41863</v>
      </c>
      <c r="B32" s="2" t="s">
        <v>16</v>
      </c>
      <c r="C32" s="2">
        <v>31</v>
      </c>
      <c r="G32" s="7">
        <f t="array" ref="G32">IF(ROWS(K$20:K32)&gt;$F$6,"",INDEX(A$2:A$10000,SMALL(IF(ISNUMBER(MATCH($B$2:$B$10000,$E$6:$E$22,0)),ROW($C$2:$C$10000)-ROW($C$2)+1),ROWS(K$20:K32))))</f>
        <v>41633</v>
      </c>
      <c r="H32" s="4" t="str">
        <f t="array" ref="H32">IF(ROWS(L$20:L32)&gt;$F$6,"",INDEX(B$2:B$10000,SMALL(IF(ISNUMBER(MATCH($B$2:$B$10000,$E$6:$E$22,0)),ROW($C$2:$C$10000)-ROW($C$2)+1),ROWS(L$20:L32))))</f>
        <v>Mickey  Bolduc</v>
      </c>
      <c r="I32" s="4">
        <f t="array" ref="I32">IF(ROWS(M$20:M32)&gt;$F$6,"",INDEX(C$2:C$10000,SMALL(IF(ISNUMBER(MATCH($B$2:$B$10000,$E$6:$E$22,0)),ROW($C$2:$C$10000)-ROW($C$2)+1),ROWS(M$20:M32))))</f>
        <v>2</v>
      </c>
      <c r="K32" s="7">
        <f t="array" ref="K32">IF(ROWS(K$20:K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32))))</f>
        <v>41633</v>
      </c>
      <c r="L32" s="4" t="str">
        <f t="array" ref="L32">IF(ROWS(L$20:L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32))))</f>
        <v>Mickey  Bolduc</v>
      </c>
      <c r="M32" s="4">
        <f t="array" ref="M32">IF(ROWS(M$20:M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32))))</f>
        <v>2</v>
      </c>
    </row>
    <row r="33" spans="1:13" x14ac:dyDescent="0.25">
      <c r="A33" s="3">
        <v>41833</v>
      </c>
      <c r="B33" s="2" t="s">
        <v>51</v>
      </c>
      <c r="C33" s="2">
        <v>19</v>
      </c>
      <c r="G33" s="7">
        <f t="array" ref="G33">IF(ROWS(K$20:K33)&gt;$F$6,"",INDEX(A$2:A$10000,SMALL(IF(ISNUMBER(MATCH($B$2:$B$10000,$E$6:$E$22,0)),ROW($C$2:$C$10000)-ROW($C$2)+1),ROWS(K$20:K33))))</f>
        <v>41769</v>
      </c>
      <c r="H33" s="4" t="str">
        <f t="array" ref="H33">IF(ROWS(L$20:L33)&gt;$F$6,"",INDEX(B$2:B$10000,SMALL(IF(ISNUMBER(MATCH($B$2:$B$10000,$E$6:$E$22,0)),ROW($C$2:$C$10000)-ROW($C$2)+1),ROWS(L$20:L33))))</f>
        <v>Galen  Barth</v>
      </c>
      <c r="I33" s="4">
        <f t="array" ref="I33">IF(ROWS(M$20:M33)&gt;$F$6,"",INDEX(C$2:C$10000,SMALL(IF(ISNUMBER(MATCH($B$2:$B$10000,$E$6:$E$22,0)),ROW($C$2:$C$10000)-ROW($C$2)+1),ROWS(M$20:M33))))</f>
        <v>18</v>
      </c>
      <c r="K33" s="7">
        <f t="array" ref="K33">IF(ROWS(K$20:K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33))))</f>
        <v>41769</v>
      </c>
      <c r="L33" s="4" t="str">
        <f t="array" ref="L33">IF(ROWS(L$20:L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33))))</f>
        <v>Galen  Barth</v>
      </c>
      <c r="M33" s="4">
        <f t="array" ref="M33">IF(ROWS(M$20:M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33))))</f>
        <v>18</v>
      </c>
    </row>
    <row r="34" spans="1:13" x14ac:dyDescent="0.25">
      <c r="A34" s="3">
        <v>41347</v>
      </c>
      <c r="B34" s="2" t="s">
        <v>7</v>
      </c>
      <c r="C34" s="2">
        <v>24</v>
      </c>
      <c r="G34" s="7">
        <f t="array" ref="G34">IF(ROWS(K$20:K34)&gt;$F$6,"",INDEX(A$2:A$10000,SMALL(IF(ISNUMBER(MATCH($B$2:$B$10000,$E$6:$E$22,0)),ROW($C$2:$C$10000)-ROW($C$2)+1),ROWS(K$20:K34))))</f>
        <v>41450</v>
      </c>
      <c r="H34" s="4" t="str">
        <f t="array" ref="H34">IF(ROWS(L$20:L34)&gt;$F$6,"",INDEX(B$2:B$10000,SMALL(IF(ISNUMBER(MATCH($B$2:$B$10000,$E$6:$E$22,0)),ROW($C$2:$C$10000)-ROW($C$2)+1),ROWS(L$20:L34))))</f>
        <v>Kerrie  Worrell</v>
      </c>
      <c r="I34" s="4">
        <f t="array" ref="I34">IF(ROWS(M$20:M34)&gt;$F$6,"",INDEX(C$2:C$10000,SMALL(IF(ISNUMBER(MATCH($B$2:$B$10000,$E$6:$E$22,0)),ROW($C$2:$C$10000)-ROW($C$2)+1),ROWS(M$20:M34))))</f>
        <v>10</v>
      </c>
      <c r="K34" s="7">
        <f t="array" ref="K34">IF(ROWS(K$20:K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34))))</f>
        <v>41450</v>
      </c>
      <c r="L34" s="4" t="str">
        <f t="array" ref="L34">IF(ROWS(L$20:L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34))))</f>
        <v>Kerrie  Worrell</v>
      </c>
      <c r="M34" s="4">
        <f t="array" ref="M34">IF(ROWS(M$20:M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34))))</f>
        <v>10</v>
      </c>
    </row>
    <row r="35" spans="1:13" x14ac:dyDescent="0.25">
      <c r="A35" s="3">
        <v>41789</v>
      </c>
      <c r="B35" s="2" t="s">
        <v>23</v>
      </c>
      <c r="C35" s="2">
        <v>29</v>
      </c>
      <c r="G35" s="7">
        <f t="array" ref="G35">IF(ROWS(K$20:K35)&gt;$F$6,"",INDEX(A$2:A$10000,SMALL(IF(ISNUMBER(MATCH($B$2:$B$10000,$E$6:$E$22,0)),ROW($C$2:$C$10000)-ROW($C$2)+1),ROWS(K$20:K35))))</f>
        <v>41425</v>
      </c>
      <c r="H35" s="4" t="str">
        <f t="array" ref="H35">IF(ROWS(L$20:L35)&gt;$F$6,"",INDEX(B$2:B$10000,SMALL(IF(ISNUMBER(MATCH($B$2:$B$10000,$E$6:$E$22,0)),ROW($C$2:$C$10000)-ROW($C$2)+1),ROWS(L$20:L35))))</f>
        <v>Rosamond  Allard</v>
      </c>
      <c r="I35" s="4">
        <f t="array" ref="I35">IF(ROWS(M$20:M35)&gt;$F$6,"",INDEX(C$2:C$10000,SMALL(IF(ISNUMBER(MATCH($B$2:$B$10000,$E$6:$E$22,0)),ROW($C$2:$C$10000)-ROW($C$2)+1),ROWS(M$20:M35))))</f>
        <v>13</v>
      </c>
      <c r="K35" s="7">
        <f t="array" ref="K35">IF(ROWS(K$20:K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35))))</f>
        <v>41425</v>
      </c>
      <c r="L35" s="4" t="str">
        <f t="array" ref="L35">IF(ROWS(L$20:L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35))))</f>
        <v>Rosamond  Allard</v>
      </c>
      <c r="M35" s="4">
        <f t="array" ref="M35">IF(ROWS(M$20:M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35))))</f>
        <v>13</v>
      </c>
    </row>
    <row r="36" spans="1:13" x14ac:dyDescent="0.25">
      <c r="A36" s="3">
        <v>41464</v>
      </c>
      <c r="B36" s="2" t="s">
        <v>24</v>
      </c>
      <c r="C36" s="2">
        <v>8</v>
      </c>
      <c r="G36" s="7">
        <f t="array" ref="G36">IF(ROWS(K$20:K36)&gt;$F$6,"",INDEX(A$2:A$10000,SMALL(IF(ISNUMBER(MATCH($B$2:$B$10000,$E$6:$E$22,0)),ROW($C$2:$C$10000)-ROW($C$2)+1),ROWS(K$20:K36))))</f>
        <v>41728</v>
      </c>
      <c r="H36" s="4" t="str">
        <f t="array" ref="H36">IF(ROWS(L$20:L36)&gt;$F$6,"",INDEX(B$2:B$10000,SMALL(IF(ISNUMBER(MATCH($B$2:$B$10000,$E$6:$E$22,0)),ROW($C$2:$C$10000)-ROW($C$2)+1),ROWS(L$20:L36))))</f>
        <v>Iliana  Valerio</v>
      </c>
      <c r="I36" s="4">
        <f t="array" ref="I36">IF(ROWS(M$20:M36)&gt;$F$6,"",INDEX(C$2:C$10000,SMALL(IF(ISNUMBER(MATCH($B$2:$B$10000,$E$6:$E$22,0)),ROW($C$2:$C$10000)-ROW($C$2)+1),ROWS(M$20:M36))))</f>
        <v>21</v>
      </c>
      <c r="K36" s="7">
        <f t="array" ref="K36">IF(ROWS(K$20:K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36))))</f>
        <v>41728</v>
      </c>
      <c r="L36" s="4" t="str">
        <f t="array" ref="L36">IF(ROWS(L$20:L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36))))</f>
        <v>Iliana  Valerio</v>
      </c>
      <c r="M36" s="4">
        <f t="array" ref="M36">IF(ROWS(M$20:M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36))))</f>
        <v>21</v>
      </c>
    </row>
    <row r="37" spans="1:13" x14ac:dyDescent="0.25">
      <c r="A37" s="3">
        <v>41426</v>
      </c>
      <c r="B37" s="2" t="s">
        <v>46</v>
      </c>
      <c r="C37" s="2">
        <v>15</v>
      </c>
      <c r="G37" s="7">
        <f t="array" ref="G37">IF(ROWS(K$20:K37)&gt;$F$6,"",INDEX(A$2:A$10000,SMALL(IF(ISNUMBER(MATCH($B$2:$B$10000,$E$6:$E$22,0)),ROW($C$2:$C$10000)-ROW($C$2)+1),ROWS(K$20:K37))))</f>
        <v>41665</v>
      </c>
      <c r="H37" s="4" t="str">
        <f t="array" ref="H37">IF(ROWS(L$20:L37)&gt;$F$6,"",INDEX(B$2:B$10000,SMALL(IF(ISNUMBER(MATCH($B$2:$B$10000,$E$6:$E$22,0)),ROW($C$2:$C$10000)-ROW($C$2)+1),ROWS(L$20:L37))))</f>
        <v>Jenni  Thorton</v>
      </c>
      <c r="I37" s="4">
        <f t="array" ref="I37">IF(ROWS(M$20:M37)&gt;$F$6,"",INDEX(C$2:C$10000,SMALL(IF(ISNUMBER(MATCH($B$2:$B$10000,$E$6:$E$22,0)),ROW($C$2:$C$10000)-ROW($C$2)+1),ROWS(M$20:M37))))</f>
        <v>9</v>
      </c>
      <c r="K37" s="7">
        <f t="array" ref="K37">IF(ROWS(K$20:K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37))))</f>
        <v>41665</v>
      </c>
      <c r="L37" s="4" t="str">
        <f t="array" ref="L37">IF(ROWS(L$20:L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37))))</f>
        <v>Jenni  Thorton</v>
      </c>
      <c r="M37" s="4">
        <f t="array" ref="M37">IF(ROWS(M$20:M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37))))</f>
        <v>9</v>
      </c>
    </row>
    <row r="38" spans="1:13" x14ac:dyDescent="0.25">
      <c r="A38" s="3">
        <v>41333</v>
      </c>
      <c r="B38" s="2" t="s">
        <v>33</v>
      </c>
      <c r="C38" s="2">
        <v>16</v>
      </c>
      <c r="G38" s="7">
        <f t="array" ref="G38">IF(ROWS(K$20:K38)&gt;$F$6,"",INDEX(A$2:A$10000,SMALL(IF(ISNUMBER(MATCH($B$2:$B$10000,$E$6:$E$22,0)),ROW($C$2:$C$10000)-ROW($C$2)+1),ROWS(K$20:K38))))</f>
        <v>41566</v>
      </c>
      <c r="H38" s="4" t="str">
        <f t="array" ref="H38">IF(ROWS(L$20:L38)&gt;$F$6,"",INDEX(B$2:B$10000,SMALL(IF(ISNUMBER(MATCH($B$2:$B$10000,$E$6:$E$22,0)),ROW($C$2:$C$10000)-ROW($C$2)+1),ROWS(L$20:L38))))</f>
        <v>Mickey  Bolduc</v>
      </c>
      <c r="I38" s="4">
        <f t="array" ref="I38">IF(ROWS(M$20:M38)&gt;$F$6,"",INDEX(C$2:C$10000,SMALL(IF(ISNUMBER(MATCH($B$2:$B$10000,$E$6:$E$22,0)),ROW($C$2:$C$10000)-ROW($C$2)+1),ROWS(M$20:M38))))</f>
        <v>33</v>
      </c>
      <c r="K38" s="7">
        <f t="array" ref="K38">IF(ROWS(K$20:K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38))))</f>
        <v>41566</v>
      </c>
      <c r="L38" s="4" t="str">
        <f t="array" ref="L38">IF(ROWS(L$20:L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38))))</f>
        <v>Mickey  Bolduc</v>
      </c>
      <c r="M38" s="4">
        <f t="array" ref="M38">IF(ROWS(M$20:M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38))))</f>
        <v>33</v>
      </c>
    </row>
    <row r="39" spans="1:13" x14ac:dyDescent="0.25">
      <c r="A39" s="3">
        <v>41308</v>
      </c>
      <c r="B39" s="2" t="s">
        <v>3</v>
      </c>
      <c r="C39" s="2">
        <v>5</v>
      </c>
      <c r="G39" s="7">
        <f t="array" ref="G39">IF(ROWS(K$20:K39)&gt;$F$6,"",INDEX(A$2:A$10000,SMALL(IF(ISNUMBER(MATCH($B$2:$B$10000,$E$6:$E$22,0)),ROW($C$2:$C$10000)-ROW($C$2)+1),ROWS(K$20:K39))))</f>
        <v>41487</v>
      </c>
      <c r="H39" s="4" t="str">
        <f t="array" ref="H39">IF(ROWS(L$20:L39)&gt;$F$6,"",INDEX(B$2:B$10000,SMALL(IF(ISNUMBER(MATCH($B$2:$B$10000,$E$6:$E$22,0)),ROW($C$2:$C$10000)-ROW($C$2)+1),ROWS(L$20:L39))))</f>
        <v>Mickey  Bolduc</v>
      </c>
      <c r="I39" s="4">
        <f t="array" ref="I39">IF(ROWS(M$20:M39)&gt;$F$6,"",INDEX(C$2:C$10000,SMALL(IF(ISNUMBER(MATCH($B$2:$B$10000,$E$6:$E$22,0)),ROW($C$2:$C$10000)-ROW($C$2)+1),ROWS(M$20:M39))))</f>
        <v>34</v>
      </c>
      <c r="K39" s="7">
        <f t="array" ref="K39">IF(ROWS(K$20:K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39))))</f>
        <v>41487</v>
      </c>
      <c r="L39" s="4" t="str">
        <f t="array" ref="L39">IF(ROWS(L$20:L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39))))</f>
        <v>Mickey  Bolduc</v>
      </c>
      <c r="M39" s="4">
        <f t="array" ref="M39">IF(ROWS(M$20:M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39))))</f>
        <v>34</v>
      </c>
    </row>
    <row r="40" spans="1:13" x14ac:dyDescent="0.25">
      <c r="A40" s="3">
        <v>41854</v>
      </c>
      <c r="B40" s="2" t="s">
        <v>11</v>
      </c>
      <c r="C40" s="2">
        <v>7</v>
      </c>
      <c r="G40" s="7">
        <f t="array" ref="G40">IF(ROWS(K$20:K40)&gt;$F$6,"",INDEX(A$2:A$10000,SMALL(IF(ISNUMBER(MATCH($B$2:$B$10000,$E$6:$E$22,0)),ROW($C$2:$C$10000)-ROW($C$2)+1),ROWS(K$20:K40))))</f>
        <v>41904</v>
      </c>
      <c r="H40" s="4" t="str">
        <f t="array" ref="H40">IF(ROWS(L$20:L40)&gt;$F$6,"",INDEX(B$2:B$10000,SMALL(IF(ISNUMBER(MATCH($B$2:$B$10000,$E$6:$E$22,0)),ROW($C$2:$C$10000)-ROW($C$2)+1),ROWS(L$20:L40))))</f>
        <v>Iliana  Valerio</v>
      </c>
      <c r="I40" s="4">
        <f t="array" ref="I40">IF(ROWS(M$20:M40)&gt;$F$6,"",INDEX(C$2:C$10000,SMALL(IF(ISNUMBER(MATCH($B$2:$B$10000,$E$6:$E$22,0)),ROW($C$2:$C$10000)-ROW($C$2)+1),ROWS(M$20:M40))))</f>
        <v>45</v>
      </c>
      <c r="K40" s="7">
        <f t="array" ref="K40">IF(ROWS(K$20:K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40))))</f>
        <v>41904</v>
      </c>
      <c r="L40" s="4" t="str">
        <f t="array" ref="L40">IF(ROWS(L$20:L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40))))</f>
        <v>Iliana  Valerio</v>
      </c>
      <c r="M40" s="4">
        <f t="array" ref="M40">IF(ROWS(M$20:M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40))))</f>
        <v>45</v>
      </c>
    </row>
    <row r="41" spans="1:13" x14ac:dyDescent="0.25">
      <c r="A41" s="3">
        <v>41399</v>
      </c>
      <c r="B41" s="2" t="s">
        <v>17</v>
      </c>
      <c r="C41" s="2">
        <v>18</v>
      </c>
      <c r="G41" s="7">
        <f t="array" ref="G41">IF(ROWS(K$20:K41)&gt;$F$6,"",INDEX(A$2:A$10000,SMALL(IF(ISNUMBER(MATCH($B$2:$B$10000,$E$6:$E$22,0)),ROW($C$2:$C$10000)-ROW($C$2)+1),ROWS(K$20:K41))))</f>
        <v>42001</v>
      </c>
      <c r="H41" s="4" t="str">
        <f t="array" ref="H41">IF(ROWS(L$20:L41)&gt;$F$6,"",INDEX(B$2:B$10000,SMALL(IF(ISNUMBER(MATCH($B$2:$B$10000,$E$6:$E$22,0)),ROW($C$2:$C$10000)-ROW($C$2)+1),ROWS(L$20:L41))))</f>
        <v>Mickey  Bolduc</v>
      </c>
      <c r="I41" s="4">
        <f t="array" ref="I41">IF(ROWS(M$20:M41)&gt;$F$6,"",INDEX(C$2:C$10000,SMALL(IF(ISNUMBER(MATCH($B$2:$B$10000,$E$6:$E$22,0)),ROW($C$2:$C$10000)-ROW($C$2)+1),ROWS(M$20:M41))))</f>
        <v>46</v>
      </c>
      <c r="K41" s="7">
        <f t="array" ref="K41">IF(ROWS(K$20:K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41))))</f>
        <v>42001</v>
      </c>
      <c r="L41" s="4" t="str">
        <f t="array" ref="L41">IF(ROWS(L$20:L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41))))</f>
        <v>Mickey  Bolduc</v>
      </c>
      <c r="M41" s="4">
        <f t="array" ref="M41">IF(ROWS(M$20:M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41))))</f>
        <v>46</v>
      </c>
    </row>
    <row r="42" spans="1:13" x14ac:dyDescent="0.25">
      <c r="A42" s="3">
        <v>41910</v>
      </c>
      <c r="B42" s="2" t="s">
        <v>7</v>
      </c>
      <c r="C42" s="2">
        <v>38</v>
      </c>
      <c r="G42" s="7">
        <f t="array" ref="G42">IF(ROWS(K$20:K42)&gt;$F$6,"",INDEX(A$2:A$10000,SMALL(IF(ISNUMBER(MATCH($B$2:$B$10000,$E$6:$E$22,0)),ROW($C$2:$C$10000)-ROW($C$2)+1),ROWS(K$20:K42))))</f>
        <v>41811</v>
      </c>
      <c r="H42" s="4" t="str">
        <f t="array" ref="H42">IF(ROWS(L$20:L42)&gt;$F$6,"",INDEX(B$2:B$10000,SMALL(IF(ISNUMBER(MATCH($B$2:$B$10000,$E$6:$E$22,0)),ROW($C$2:$C$10000)-ROW($C$2)+1),ROWS(L$20:L42))))</f>
        <v>Jenni  Thorton</v>
      </c>
      <c r="I42" s="4">
        <f t="array" ref="I42">IF(ROWS(M$20:M42)&gt;$F$6,"",INDEX(C$2:C$10000,SMALL(IF(ISNUMBER(MATCH($B$2:$B$10000,$E$6:$E$22,0)),ROW($C$2:$C$10000)-ROW($C$2)+1),ROWS(M$20:M42))))</f>
        <v>15</v>
      </c>
      <c r="K42" s="7">
        <f t="array" ref="K42">IF(ROWS(K$20:K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42))))</f>
        <v>41811</v>
      </c>
      <c r="L42" s="4" t="str">
        <f t="array" ref="L42">IF(ROWS(L$20:L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42))))</f>
        <v>Jenni  Thorton</v>
      </c>
      <c r="M42" s="4">
        <f t="array" ref="M42">IF(ROWS(M$20:M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42))))</f>
        <v>15</v>
      </c>
    </row>
    <row r="43" spans="1:13" x14ac:dyDescent="0.25">
      <c r="A43" s="3">
        <v>41479</v>
      </c>
      <c r="B43" s="2" t="s">
        <v>22</v>
      </c>
      <c r="C43" s="2">
        <v>3</v>
      </c>
      <c r="G43" s="7">
        <f t="array" ref="G43">IF(ROWS(K$20:K43)&gt;$F$6,"",INDEX(A$2:A$10000,SMALL(IF(ISNUMBER(MATCH($B$2:$B$10000,$E$6:$E$22,0)),ROW($C$2:$C$10000)-ROW($C$2)+1),ROWS(K$20:K43))))</f>
        <v>41693</v>
      </c>
      <c r="H43" s="4" t="str">
        <f t="array" ref="H43">IF(ROWS(L$20:L43)&gt;$F$6,"",INDEX(B$2:B$10000,SMALL(IF(ISNUMBER(MATCH($B$2:$B$10000,$E$6:$E$22,0)),ROW($C$2:$C$10000)-ROW($C$2)+1),ROWS(L$20:L43))))</f>
        <v>Galen  Barth</v>
      </c>
      <c r="I43" s="4">
        <f t="array" ref="I43">IF(ROWS(M$20:M43)&gt;$F$6,"",INDEX(C$2:C$10000,SMALL(IF(ISNUMBER(MATCH($B$2:$B$10000,$E$6:$E$22,0)),ROW($C$2:$C$10000)-ROW($C$2)+1),ROWS(M$20:M43))))</f>
        <v>25</v>
      </c>
      <c r="K43" s="7">
        <f t="array" ref="K43">IF(ROWS(K$20:K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43))))</f>
        <v>41693</v>
      </c>
      <c r="L43" s="4" t="str">
        <f t="array" ref="L43">IF(ROWS(L$20:L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43))))</f>
        <v>Galen  Barth</v>
      </c>
      <c r="M43" s="4">
        <f t="array" ref="M43">IF(ROWS(M$20:M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43))))</f>
        <v>25</v>
      </c>
    </row>
    <row r="44" spans="1:13" x14ac:dyDescent="0.25">
      <c r="A44" s="3">
        <v>41953</v>
      </c>
      <c r="B44" s="2" t="s">
        <v>43</v>
      </c>
      <c r="C44" s="2">
        <v>19</v>
      </c>
      <c r="G44" s="7">
        <f t="array" ref="G44">IF(ROWS(K$20:K44)&gt;$F$6,"",INDEX(A$2:A$10000,SMALL(IF(ISNUMBER(MATCH($B$2:$B$10000,$E$6:$E$22,0)),ROW($C$2:$C$10000)-ROW($C$2)+1),ROWS(K$20:K44))))</f>
        <v>41732</v>
      </c>
      <c r="H44" s="4" t="str">
        <f t="array" ref="H44">IF(ROWS(L$20:L44)&gt;$F$6,"",INDEX(B$2:B$10000,SMALL(IF(ISNUMBER(MATCH($B$2:$B$10000,$E$6:$E$22,0)),ROW($C$2:$C$10000)-ROW($C$2)+1),ROWS(L$20:L44))))</f>
        <v>Mickey  Bolduc</v>
      </c>
      <c r="I44" s="4">
        <f t="array" ref="I44">IF(ROWS(M$20:M44)&gt;$F$6,"",INDEX(C$2:C$10000,SMALL(IF(ISNUMBER(MATCH($B$2:$B$10000,$E$6:$E$22,0)),ROW($C$2:$C$10000)-ROW($C$2)+1),ROWS(M$20:M44))))</f>
        <v>34</v>
      </c>
      <c r="K44" s="7">
        <f t="array" ref="K44">IF(ROWS(K$20:K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44))))</f>
        <v>41732</v>
      </c>
      <c r="L44" s="4" t="str">
        <f t="array" ref="L44">IF(ROWS(L$20:L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44))))</f>
        <v>Mickey  Bolduc</v>
      </c>
      <c r="M44" s="4">
        <f t="array" ref="M44">IF(ROWS(M$20:M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44))))</f>
        <v>34</v>
      </c>
    </row>
    <row r="45" spans="1:13" x14ac:dyDescent="0.25">
      <c r="A45" s="3">
        <v>41491</v>
      </c>
      <c r="B45" s="2" t="s">
        <v>34</v>
      </c>
      <c r="C45" s="2">
        <v>17</v>
      </c>
      <c r="G45" s="7">
        <f t="array" ref="G45">IF(ROWS(K$20:K45)&gt;$F$6,"",INDEX(A$2:A$10000,SMALL(IF(ISNUMBER(MATCH($B$2:$B$10000,$E$6:$E$22,0)),ROW($C$2:$C$10000)-ROW($C$2)+1),ROWS(K$20:K45))))</f>
        <v>41642</v>
      </c>
      <c r="H45" s="4" t="str">
        <f t="array" ref="H45">IF(ROWS(L$20:L45)&gt;$F$6,"",INDEX(B$2:B$10000,SMALL(IF(ISNUMBER(MATCH($B$2:$B$10000,$E$6:$E$22,0)),ROW($C$2:$C$10000)-ROW($C$2)+1),ROWS(L$20:L45))))</f>
        <v>Kerrie  Worrell</v>
      </c>
      <c r="I45" s="4">
        <f t="array" ref="I45">IF(ROWS(M$20:M45)&gt;$F$6,"",INDEX(C$2:C$10000,SMALL(IF(ISNUMBER(MATCH($B$2:$B$10000,$E$6:$E$22,0)),ROW($C$2:$C$10000)-ROW($C$2)+1),ROWS(M$20:M45))))</f>
        <v>15</v>
      </c>
      <c r="K45" s="7">
        <f t="array" ref="K45">IF(ROWS(K$20:K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45))))</f>
        <v>41642</v>
      </c>
      <c r="L45" s="4" t="str">
        <f t="array" ref="L45">IF(ROWS(L$20:L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45))))</f>
        <v>Kerrie  Worrell</v>
      </c>
      <c r="M45" s="4">
        <f t="array" ref="M45">IF(ROWS(M$20:M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45))))</f>
        <v>15</v>
      </c>
    </row>
    <row r="46" spans="1:13" x14ac:dyDescent="0.25">
      <c r="A46" s="3">
        <v>41377</v>
      </c>
      <c r="B46" s="2" t="s">
        <v>20</v>
      </c>
      <c r="C46" s="2">
        <v>0</v>
      </c>
      <c r="G46" s="7">
        <f t="array" ref="G46">IF(ROWS(K$20:K46)&gt;$F$6,"",INDEX(A$2:A$10000,SMALL(IF(ISNUMBER(MATCH($B$2:$B$10000,$E$6:$E$22,0)),ROW($C$2:$C$10000)-ROW($C$2)+1),ROWS(K$20:K46))))</f>
        <v>41403</v>
      </c>
      <c r="H46" s="4" t="str">
        <f t="array" ref="H46">IF(ROWS(L$20:L46)&gt;$F$6,"",INDEX(B$2:B$10000,SMALL(IF(ISNUMBER(MATCH($B$2:$B$10000,$E$6:$E$22,0)),ROW($C$2:$C$10000)-ROW($C$2)+1),ROWS(L$20:L46))))</f>
        <v>Mickey  Bolduc</v>
      </c>
      <c r="I46" s="4">
        <f t="array" ref="I46">IF(ROWS(M$20:M46)&gt;$F$6,"",INDEX(C$2:C$10000,SMALL(IF(ISNUMBER(MATCH($B$2:$B$10000,$E$6:$E$22,0)),ROW($C$2:$C$10000)-ROW($C$2)+1),ROWS(M$20:M46))))</f>
        <v>36</v>
      </c>
      <c r="K46" s="7">
        <f t="array" ref="K46">IF(ROWS(K$20:K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46))))</f>
        <v>41403</v>
      </c>
      <c r="L46" s="4" t="str">
        <f t="array" ref="L46">IF(ROWS(L$20:L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46))))</f>
        <v>Mickey  Bolduc</v>
      </c>
      <c r="M46" s="4">
        <f t="array" ref="M46">IF(ROWS(M$20:M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46))))</f>
        <v>36</v>
      </c>
    </row>
    <row r="47" spans="1:13" x14ac:dyDescent="0.25">
      <c r="A47" s="3">
        <v>41706</v>
      </c>
      <c r="B47" s="2" t="s">
        <v>30</v>
      </c>
      <c r="C47" s="2">
        <v>32</v>
      </c>
      <c r="G47" s="7">
        <f t="array" ref="G47">IF(ROWS(K$20:K47)&gt;$F$6,"",INDEX(A$2:A$10000,SMALL(IF(ISNUMBER(MATCH($B$2:$B$10000,$E$6:$E$22,0)),ROW($C$2:$C$10000)-ROW($C$2)+1),ROWS(K$20:K47))))</f>
        <v>41889</v>
      </c>
      <c r="H47" s="4" t="str">
        <f t="array" ref="H47">IF(ROWS(L$20:L47)&gt;$F$6,"",INDEX(B$2:B$10000,SMALL(IF(ISNUMBER(MATCH($B$2:$B$10000,$E$6:$E$22,0)),ROW($C$2:$C$10000)-ROW($C$2)+1),ROWS(L$20:L47))))</f>
        <v>Mickey  Bolduc</v>
      </c>
      <c r="I47" s="4">
        <f t="array" ref="I47">IF(ROWS(M$20:M47)&gt;$F$6,"",INDEX(C$2:C$10000,SMALL(IF(ISNUMBER(MATCH($B$2:$B$10000,$E$6:$E$22,0)),ROW($C$2:$C$10000)-ROW($C$2)+1),ROWS(M$20:M47))))</f>
        <v>9</v>
      </c>
      <c r="K47" s="7">
        <f t="array" ref="K47">IF(ROWS(K$20:K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47))))</f>
        <v>41889</v>
      </c>
      <c r="L47" s="4" t="str">
        <f t="array" ref="L47">IF(ROWS(L$20:L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47))))</f>
        <v>Mickey  Bolduc</v>
      </c>
      <c r="M47" s="4">
        <f t="array" ref="M47">IF(ROWS(M$20:M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47))))</f>
        <v>9</v>
      </c>
    </row>
    <row r="48" spans="1:13" x14ac:dyDescent="0.25">
      <c r="A48" s="3">
        <v>41930</v>
      </c>
      <c r="B48" s="2" t="s">
        <v>50</v>
      </c>
      <c r="C48" s="2">
        <v>22</v>
      </c>
      <c r="G48" s="7">
        <f t="array" ref="G48">IF(ROWS(K$20:K48)&gt;$F$6,"",INDEX(A$2:A$10000,SMALL(IF(ISNUMBER(MATCH($B$2:$B$10000,$E$6:$E$22,0)),ROW($C$2:$C$10000)-ROW($C$2)+1),ROWS(K$20:K48))))</f>
        <v>41600</v>
      </c>
      <c r="H48" s="4" t="str">
        <f t="array" ref="H48">IF(ROWS(L$20:L48)&gt;$F$6,"",INDEX(B$2:B$10000,SMALL(IF(ISNUMBER(MATCH($B$2:$B$10000,$E$6:$E$22,0)),ROW($C$2:$C$10000)-ROW($C$2)+1),ROWS(L$20:L48))))</f>
        <v>Rosamond  Allard</v>
      </c>
      <c r="I48" s="4">
        <f t="array" ref="I48">IF(ROWS(M$20:M48)&gt;$F$6,"",INDEX(C$2:C$10000,SMALL(IF(ISNUMBER(MATCH($B$2:$B$10000,$E$6:$E$22,0)),ROW($C$2:$C$10000)-ROW($C$2)+1),ROWS(M$20:M48))))</f>
        <v>37</v>
      </c>
      <c r="K48" s="7">
        <f t="array" ref="K48">IF(ROWS(K$20:K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48))))</f>
        <v>41600</v>
      </c>
      <c r="L48" s="4" t="str">
        <f t="array" ref="L48">IF(ROWS(L$20:L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48))))</f>
        <v>Rosamond  Allard</v>
      </c>
      <c r="M48" s="4">
        <f t="array" ref="M48">IF(ROWS(M$20:M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48))))</f>
        <v>37</v>
      </c>
    </row>
    <row r="49" spans="1:13" x14ac:dyDescent="0.25">
      <c r="A49" s="3">
        <v>41371</v>
      </c>
      <c r="B49" s="2" t="s">
        <v>42</v>
      </c>
      <c r="C49" s="2">
        <v>29</v>
      </c>
      <c r="G49" s="7">
        <f t="array" ref="G49">IF(ROWS(K$20:K49)&gt;$F$6,"",INDEX(A$2:A$10000,SMALL(IF(ISNUMBER(MATCH($B$2:$B$10000,$E$6:$E$22,0)),ROW($C$2:$C$10000)-ROW($C$2)+1),ROWS(K$20:K49))))</f>
        <v>41372</v>
      </c>
      <c r="H49" s="4" t="str">
        <f t="array" ref="H49">IF(ROWS(L$20:L49)&gt;$F$6,"",INDEX(B$2:B$10000,SMALL(IF(ISNUMBER(MATCH($B$2:$B$10000,$E$6:$E$22,0)),ROW($C$2:$C$10000)-ROW($C$2)+1),ROWS(L$20:L49))))</f>
        <v>Jenni  Thorton</v>
      </c>
      <c r="I49" s="4">
        <f t="array" ref="I49">IF(ROWS(M$20:M49)&gt;$F$6,"",INDEX(C$2:C$10000,SMALL(IF(ISNUMBER(MATCH($B$2:$B$10000,$E$6:$E$22,0)),ROW($C$2:$C$10000)-ROW($C$2)+1),ROWS(M$20:M49))))</f>
        <v>28</v>
      </c>
      <c r="K49" s="7">
        <f t="array" ref="K49">IF(ROWS(K$20:K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49))))</f>
        <v>41372</v>
      </c>
      <c r="L49" s="4" t="str">
        <f t="array" ref="L49">IF(ROWS(L$20:L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49))))</f>
        <v>Jenni  Thorton</v>
      </c>
      <c r="M49" s="4">
        <f t="array" ref="M49">IF(ROWS(M$20:M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49))))</f>
        <v>28</v>
      </c>
    </row>
    <row r="50" spans="1:13" x14ac:dyDescent="0.25">
      <c r="A50" s="3">
        <v>41897</v>
      </c>
      <c r="B50" s="2" t="s">
        <v>34</v>
      </c>
      <c r="C50" s="2">
        <v>14</v>
      </c>
      <c r="G50" s="7">
        <f t="array" ref="G50">IF(ROWS(K$20:K50)&gt;$F$6,"",INDEX(A$2:A$10000,SMALL(IF(ISNUMBER(MATCH($B$2:$B$10000,$E$6:$E$22,0)),ROW($C$2:$C$10000)-ROW($C$2)+1),ROWS(K$20:K50))))</f>
        <v>41377</v>
      </c>
      <c r="H50" s="4" t="str">
        <f t="array" ref="H50">IF(ROWS(L$20:L50)&gt;$F$6,"",INDEX(B$2:B$10000,SMALL(IF(ISNUMBER(MATCH($B$2:$B$10000,$E$6:$E$22,0)),ROW($C$2:$C$10000)-ROW($C$2)+1),ROWS(L$20:L50))))</f>
        <v>Iliana  Valerio</v>
      </c>
      <c r="I50" s="4">
        <f t="array" ref="I50">IF(ROWS(M$20:M50)&gt;$F$6,"",INDEX(C$2:C$10000,SMALL(IF(ISNUMBER(MATCH($B$2:$B$10000,$E$6:$E$22,0)),ROW($C$2:$C$10000)-ROW($C$2)+1),ROWS(M$20:M50))))</f>
        <v>13</v>
      </c>
      <c r="K50" s="7">
        <f t="array" ref="K50">IF(ROWS(K$20:K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50))))</f>
        <v>41377</v>
      </c>
      <c r="L50" s="4" t="str">
        <f t="array" ref="L50">IF(ROWS(L$20:L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50))))</f>
        <v>Iliana  Valerio</v>
      </c>
      <c r="M50" s="4">
        <f t="array" ref="M50">IF(ROWS(M$20:M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50))))</f>
        <v>13</v>
      </c>
    </row>
    <row r="51" spans="1:13" x14ac:dyDescent="0.25">
      <c r="A51" s="3">
        <v>41860</v>
      </c>
      <c r="B51" s="2" t="s">
        <v>17</v>
      </c>
      <c r="C51" s="2">
        <v>32</v>
      </c>
      <c r="G51" s="7">
        <f t="array" ref="G51">IF(ROWS(K$20:K51)&gt;$F$6,"",INDEX(A$2:A$10000,SMALL(IF(ISNUMBER(MATCH($B$2:$B$10000,$E$6:$E$22,0)),ROW($C$2:$C$10000)-ROW($C$2)+1),ROWS(K$20:K51))))</f>
        <v>41815</v>
      </c>
      <c r="H51" s="4" t="str">
        <f t="array" ref="H51">IF(ROWS(L$20:L51)&gt;$F$6,"",INDEX(B$2:B$10000,SMALL(IF(ISNUMBER(MATCH($B$2:$B$10000,$E$6:$E$22,0)),ROW($C$2:$C$10000)-ROW($C$2)+1),ROWS(L$20:L51))))</f>
        <v>Kerrie  Worrell</v>
      </c>
      <c r="I51" s="4">
        <f t="array" ref="I51">IF(ROWS(M$20:M51)&gt;$F$6,"",INDEX(C$2:C$10000,SMALL(IF(ISNUMBER(MATCH($B$2:$B$10000,$E$6:$E$22,0)),ROW($C$2:$C$10000)-ROW($C$2)+1),ROWS(M$20:M51))))</f>
        <v>44</v>
      </c>
      <c r="K51" s="7">
        <f t="array" ref="K51">IF(ROWS(K$20:K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51))))</f>
        <v>41815</v>
      </c>
      <c r="L51" s="4" t="str">
        <f t="array" ref="L51">IF(ROWS(L$20:L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51))))</f>
        <v>Kerrie  Worrell</v>
      </c>
      <c r="M51" s="4">
        <f t="array" ref="M51">IF(ROWS(M$20:M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51))))</f>
        <v>44</v>
      </c>
    </row>
    <row r="52" spans="1:13" x14ac:dyDescent="0.25">
      <c r="A52" s="3">
        <v>41591</v>
      </c>
      <c r="B52" s="2" t="s">
        <v>34</v>
      </c>
      <c r="C52" s="2">
        <v>53</v>
      </c>
      <c r="G52" s="7">
        <f t="array" ref="G52">IF(ROWS(K$20:K52)&gt;$F$6,"",INDEX(A$2:A$10000,SMALL(IF(ISNUMBER(MATCH($B$2:$B$10000,$E$6:$E$22,0)),ROW($C$2:$C$10000)-ROW($C$2)+1),ROWS(K$20:K52))))</f>
        <v>41912</v>
      </c>
      <c r="H52" s="4" t="str">
        <f t="array" ref="H52">IF(ROWS(L$20:L52)&gt;$F$6,"",INDEX(B$2:B$10000,SMALL(IF(ISNUMBER(MATCH($B$2:$B$10000,$E$6:$E$22,0)),ROW($C$2:$C$10000)-ROW($C$2)+1),ROWS(L$20:L52))))</f>
        <v>Jenni  Thorton</v>
      </c>
      <c r="I52" s="4">
        <f t="array" ref="I52">IF(ROWS(M$20:M52)&gt;$F$6,"",INDEX(C$2:C$10000,SMALL(IF(ISNUMBER(MATCH($B$2:$B$10000,$E$6:$E$22,0)),ROW($C$2:$C$10000)-ROW($C$2)+1),ROWS(M$20:M52))))</f>
        <v>14</v>
      </c>
      <c r="K52" s="7">
        <f t="array" ref="K52">IF(ROWS(K$20:K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52))))</f>
        <v>41912</v>
      </c>
      <c r="L52" s="4" t="str">
        <f t="array" ref="L52">IF(ROWS(L$20:L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52))))</f>
        <v>Jenni  Thorton</v>
      </c>
      <c r="M52" s="4">
        <f t="array" ref="M52">IF(ROWS(M$20:M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52))))</f>
        <v>14</v>
      </c>
    </row>
    <row r="53" spans="1:13" x14ac:dyDescent="0.25">
      <c r="A53" s="3">
        <v>41532</v>
      </c>
      <c r="B53" s="2" t="s">
        <v>42</v>
      </c>
      <c r="C53" s="2">
        <v>53</v>
      </c>
      <c r="G53" s="7">
        <f t="array" ref="G53">IF(ROWS(K$20:K53)&gt;$F$6,"",INDEX(A$2:A$10000,SMALL(IF(ISNUMBER(MATCH($B$2:$B$10000,$E$6:$E$22,0)),ROW($C$2:$C$10000)-ROW($C$2)+1),ROWS(K$20:K53))))</f>
        <v>41710</v>
      </c>
      <c r="H53" s="4" t="str">
        <f t="array" ref="H53">IF(ROWS(L$20:L53)&gt;$F$6,"",INDEX(B$2:B$10000,SMALL(IF(ISNUMBER(MATCH($B$2:$B$10000,$E$6:$E$22,0)),ROW($C$2:$C$10000)-ROW($C$2)+1),ROWS(L$20:L53))))</f>
        <v>Iliana  Valerio</v>
      </c>
      <c r="I53" s="4">
        <f t="array" ref="I53">IF(ROWS(M$20:M53)&gt;$F$6,"",INDEX(C$2:C$10000,SMALL(IF(ISNUMBER(MATCH($B$2:$B$10000,$E$6:$E$22,0)),ROW($C$2:$C$10000)-ROW($C$2)+1),ROWS(M$20:M53))))</f>
        <v>11</v>
      </c>
      <c r="K53" s="7">
        <f t="array" ref="K53">IF(ROWS(K$20:K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53))))</f>
        <v>41710</v>
      </c>
      <c r="L53" s="4" t="str">
        <f t="array" ref="L53">IF(ROWS(L$20:L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53))))</f>
        <v>Iliana  Valerio</v>
      </c>
      <c r="M53" s="4">
        <f t="array" ref="M53">IF(ROWS(M$20:M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53))))</f>
        <v>11</v>
      </c>
    </row>
    <row r="54" spans="1:13" x14ac:dyDescent="0.25">
      <c r="A54" s="3">
        <v>41605</v>
      </c>
      <c r="B54" s="2" t="s">
        <v>42</v>
      </c>
      <c r="C54" s="2">
        <v>24</v>
      </c>
      <c r="G54" s="7">
        <f t="array" ref="G54">IF(ROWS(K$20:K54)&gt;$F$6,"",INDEX(A$2:A$10000,SMALL(IF(ISNUMBER(MATCH($B$2:$B$10000,$E$6:$E$22,0)),ROW($C$2:$C$10000)-ROW($C$2)+1),ROWS(K$20:K54))))</f>
        <v>41433</v>
      </c>
      <c r="H54" s="4" t="str">
        <f t="array" ref="H54">IF(ROWS(L$20:L54)&gt;$F$6,"",INDEX(B$2:B$10000,SMALL(IF(ISNUMBER(MATCH($B$2:$B$10000,$E$6:$E$22,0)),ROW($C$2:$C$10000)-ROW($C$2)+1),ROWS(L$20:L54))))</f>
        <v>Galen  Barth</v>
      </c>
      <c r="I54" s="4">
        <f t="array" ref="I54">IF(ROWS(M$20:M54)&gt;$F$6,"",INDEX(C$2:C$10000,SMALL(IF(ISNUMBER(MATCH($B$2:$B$10000,$E$6:$E$22,0)),ROW($C$2:$C$10000)-ROW($C$2)+1),ROWS(M$20:M54))))</f>
        <v>29</v>
      </c>
      <c r="K54" s="7">
        <f t="array" ref="K54">IF(ROWS(K$20:K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54))))</f>
        <v>41433</v>
      </c>
      <c r="L54" s="4" t="str">
        <f t="array" ref="L54">IF(ROWS(L$20:L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54))))</f>
        <v>Galen  Barth</v>
      </c>
      <c r="M54" s="4">
        <f t="array" ref="M54">IF(ROWS(M$20:M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54))))</f>
        <v>29</v>
      </c>
    </row>
    <row r="55" spans="1:13" x14ac:dyDescent="0.25">
      <c r="A55" s="3">
        <v>41534</v>
      </c>
      <c r="B55" s="2" t="s">
        <v>2</v>
      </c>
      <c r="C55" s="2">
        <v>2</v>
      </c>
      <c r="G55" s="7">
        <f t="array" ref="G55">IF(ROWS(K$20:K55)&gt;$F$6,"",INDEX(A$2:A$10000,SMALL(IF(ISNUMBER(MATCH($B$2:$B$10000,$E$6:$E$22,0)),ROW($C$2:$C$10000)-ROW($C$2)+1),ROWS(K$20:K55))))</f>
        <v>41630</v>
      </c>
      <c r="H55" s="4" t="str">
        <f t="array" ref="H55">IF(ROWS(L$20:L55)&gt;$F$6,"",INDEX(B$2:B$10000,SMALL(IF(ISNUMBER(MATCH($B$2:$B$10000,$E$6:$E$22,0)),ROW($C$2:$C$10000)-ROW($C$2)+1),ROWS(L$20:L55))))</f>
        <v>Rosamond  Allard</v>
      </c>
      <c r="I55" s="4">
        <f t="array" ref="I55">IF(ROWS(M$20:M55)&gt;$F$6,"",INDEX(C$2:C$10000,SMALL(IF(ISNUMBER(MATCH($B$2:$B$10000,$E$6:$E$22,0)),ROW($C$2:$C$10000)-ROW($C$2)+1),ROWS(M$20:M55))))</f>
        <v>28</v>
      </c>
      <c r="K55" s="7">
        <f t="array" ref="K55">IF(ROWS(K$20:K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55))))</f>
        <v>41630</v>
      </c>
      <c r="L55" s="4" t="str">
        <f t="array" ref="L55">IF(ROWS(L$20:L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55))))</f>
        <v>Rosamond  Allard</v>
      </c>
      <c r="M55" s="4">
        <f t="array" ref="M55">IF(ROWS(M$20:M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55))))</f>
        <v>28</v>
      </c>
    </row>
    <row r="56" spans="1:13" x14ac:dyDescent="0.25">
      <c r="A56" s="3">
        <v>41496</v>
      </c>
      <c r="B56" s="2" t="s">
        <v>11</v>
      </c>
      <c r="C56" s="2">
        <v>2</v>
      </c>
      <c r="G56" s="7">
        <f t="array" ref="G56">IF(ROWS(K$20:K56)&gt;$F$6,"",INDEX(A$2:A$10000,SMALL(IF(ISNUMBER(MATCH($B$2:$B$10000,$E$6:$E$22,0)),ROW($C$2:$C$10000)-ROW($C$2)+1),ROWS(K$20:K56))))</f>
        <v>41758</v>
      </c>
      <c r="H56" s="4" t="str">
        <f t="array" ref="H56">IF(ROWS(L$20:L56)&gt;$F$6,"",INDEX(B$2:B$10000,SMALL(IF(ISNUMBER(MATCH($B$2:$B$10000,$E$6:$E$22,0)),ROW($C$2:$C$10000)-ROW($C$2)+1),ROWS(L$20:L56))))</f>
        <v>Mickey  Bolduc</v>
      </c>
      <c r="I56" s="4">
        <f t="array" ref="I56">IF(ROWS(M$20:M56)&gt;$F$6,"",INDEX(C$2:C$10000,SMALL(IF(ISNUMBER(MATCH($B$2:$B$10000,$E$6:$E$22,0)),ROW($C$2:$C$10000)-ROW($C$2)+1),ROWS(M$20:M56))))</f>
        <v>42</v>
      </c>
      <c r="K56" s="7">
        <f t="array" ref="K56">IF(ROWS(K$20:K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56))))</f>
        <v>41758</v>
      </c>
      <c r="L56" s="4" t="str">
        <f t="array" ref="L56">IF(ROWS(L$20:L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56))))</f>
        <v>Mickey  Bolduc</v>
      </c>
      <c r="M56" s="4">
        <f t="array" ref="M56">IF(ROWS(M$20:M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56))))</f>
        <v>42</v>
      </c>
    </row>
    <row r="57" spans="1:13" x14ac:dyDescent="0.25">
      <c r="A57" s="3">
        <v>41418</v>
      </c>
      <c r="B57" s="2" t="s">
        <v>46</v>
      </c>
      <c r="C57" s="2">
        <v>35</v>
      </c>
      <c r="G57" s="7">
        <f t="array" ref="G57">IF(ROWS(K$20:K57)&gt;$F$6,"",INDEX(A$2:A$10000,SMALL(IF(ISNUMBER(MATCH($B$2:$B$10000,$E$6:$E$22,0)),ROW($C$2:$C$10000)-ROW($C$2)+1),ROWS(K$20:K57))))</f>
        <v>41543</v>
      </c>
      <c r="H57" s="4" t="str">
        <f t="array" ref="H57">IF(ROWS(L$20:L57)&gt;$F$6,"",INDEX(B$2:B$10000,SMALL(IF(ISNUMBER(MATCH($B$2:$B$10000,$E$6:$E$22,0)),ROW($C$2:$C$10000)-ROW($C$2)+1),ROWS(L$20:L57))))</f>
        <v>Jenni  Thorton</v>
      </c>
      <c r="I57" s="4">
        <f t="array" ref="I57">IF(ROWS(M$20:M57)&gt;$F$6,"",INDEX(C$2:C$10000,SMALL(IF(ISNUMBER(MATCH($B$2:$B$10000,$E$6:$E$22,0)),ROW($C$2:$C$10000)-ROW($C$2)+1),ROWS(M$20:M57))))</f>
        <v>23</v>
      </c>
      <c r="K57" s="7">
        <f t="array" ref="K57">IF(ROWS(K$20:K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57))))</f>
        <v>41543</v>
      </c>
      <c r="L57" s="4" t="str">
        <f t="array" ref="L57">IF(ROWS(L$20:L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57))))</f>
        <v>Jenni  Thorton</v>
      </c>
      <c r="M57" s="4">
        <f t="array" ref="M57">IF(ROWS(M$20:M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57))))</f>
        <v>23</v>
      </c>
    </row>
    <row r="58" spans="1:13" x14ac:dyDescent="0.25">
      <c r="A58" s="3">
        <v>41760</v>
      </c>
      <c r="B58" s="2" t="s">
        <v>9</v>
      </c>
      <c r="C58" s="2">
        <v>19</v>
      </c>
      <c r="G58" s="7">
        <f t="array" ref="G58">IF(ROWS(K$20:K58)&gt;$F$6,"",INDEX(A$2:A$10000,SMALL(IF(ISNUMBER(MATCH($B$2:$B$10000,$E$6:$E$22,0)),ROW($C$2:$C$10000)-ROW($C$2)+1),ROWS(K$20:K58))))</f>
        <v>41877</v>
      </c>
      <c r="H58" s="4" t="str">
        <f t="array" ref="H58">IF(ROWS(L$20:L58)&gt;$F$6,"",INDEX(B$2:B$10000,SMALL(IF(ISNUMBER(MATCH($B$2:$B$10000,$E$6:$E$22,0)),ROW($C$2:$C$10000)-ROW($C$2)+1),ROWS(L$20:L58))))</f>
        <v>Rosamond  Allard</v>
      </c>
      <c r="I58" s="4">
        <f t="array" ref="I58">IF(ROWS(M$20:M58)&gt;$F$6,"",INDEX(C$2:C$10000,SMALL(IF(ISNUMBER(MATCH($B$2:$B$10000,$E$6:$E$22,0)),ROW($C$2:$C$10000)-ROW($C$2)+1),ROWS(M$20:M58))))</f>
        <v>24</v>
      </c>
      <c r="K58" s="7">
        <f t="array" ref="K58">IF(ROWS(K$20:K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58))))</f>
        <v>41877</v>
      </c>
      <c r="L58" s="4" t="str">
        <f t="array" ref="L58">IF(ROWS(L$20:L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58))))</f>
        <v>Rosamond  Allard</v>
      </c>
      <c r="M58" s="4">
        <f t="array" ref="M58">IF(ROWS(M$20:M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58))))</f>
        <v>24</v>
      </c>
    </row>
    <row r="59" spans="1:13" x14ac:dyDescent="0.25">
      <c r="A59" s="3">
        <v>41839</v>
      </c>
      <c r="B59" s="2" t="s">
        <v>38</v>
      </c>
      <c r="C59" s="2">
        <v>27</v>
      </c>
      <c r="G59" s="7">
        <f t="array" ref="G59">IF(ROWS(K$20:K59)&gt;$F$6,"",INDEX(A$2:A$10000,SMALL(IF(ISNUMBER(MATCH($B$2:$B$10000,$E$6:$E$22,0)),ROW($C$2:$C$10000)-ROW($C$2)+1),ROWS(K$20:K59))))</f>
        <v>41608</v>
      </c>
      <c r="H59" s="4" t="str">
        <f t="array" ref="H59">IF(ROWS(L$20:L59)&gt;$F$6,"",INDEX(B$2:B$10000,SMALL(IF(ISNUMBER(MATCH($B$2:$B$10000,$E$6:$E$22,0)),ROW($C$2:$C$10000)-ROW($C$2)+1),ROWS(L$20:L59))))</f>
        <v>Jenni  Thorton</v>
      </c>
      <c r="I59" s="4">
        <f t="array" ref="I59">IF(ROWS(M$20:M59)&gt;$F$6,"",INDEX(C$2:C$10000,SMALL(IF(ISNUMBER(MATCH($B$2:$B$10000,$E$6:$E$22,0)),ROW($C$2:$C$10000)-ROW($C$2)+1),ROWS(M$20:M59))))</f>
        <v>25</v>
      </c>
      <c r="K59" s="7">
        <f t="array" ref="K59">IF(ROWS(K$20:K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59))))</f>
        <v>41608</v>
      </c>
      <c r="L59" s="4" t="str">
        <f t="array" ref="L59">IF(ROWS(L$20:L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59))))</f>
        <v>Jenni  Thorton</v>
      </c>
      <c r="M59" s="4">
        <f t="array" ref="M59">IF(ROWS(M$20:M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59))))</f>
        <v>25</v>
      </c>
    </row>
    <row r="60" spans="1:13" x14ac:dyDescent="0.25">
      <c r="A60" s="3">
        <v>41295</v>
      </c>
      <c r="B60" s="2" t="s">
        <v>6</v>
      </c>
      <c r="C60" s="2">
        <v>31</v>
      </c>
      <c r="G60" s="7">
        <f t="array" ref="G60">IF(ROWS(K$20:K60)&gt;$F$6,"",INDEX(A$2:A$10000,SMALL(IF(ISNUMBER(MATCH($B$2:$B$10000,$E$6:$E$22,0)),ROW($C$2:$C$10000)-ROW($C$2)+1),ROWS(K$20:K60))))</f>
        <v>41279</v>
      </c>
      <c r="H60" s="4" t="str">
        <f t="array" ref="H60">IF(ROWS(L$20:L60)&gt;$F$6,"",INDEX(B$2:B$10000,SMALL(IF(ISNUMBER(MATCH($B$2:$B$10000,$E$6:$E$22,0)),ROW($C$2:$C$10000)-ROW($C$2)+1),ROWS(L$20:L60))))</f>
        <v>Mickey  Bolduc</v>
      </c>
      <c r="I60" s="4">
        <f t="array" ref="I60">IF(ROWS(M$20:M60)&gt;$F$6,"",INDEX(C$2:C$10000,SMALL(IF(ISNUMBER(MATCH($B$2:$B$10000,$E$6:$E$22,0)),ROW($C$2:$C$10000)-ROW($C$2)+1),ROWS(M$20:M60))))</f>
        <v>18</v>
      </c>
      <c r="K60" s="7">
        <f t="array" ref="K60">IF(ROWS(K$20:K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60))))</f>
        <v>41279</v>
      </c>
      <c r="L60" s="4" t="str">
        <f t="array" ref="L60">IF(ROWS(L$20:L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60))))</f>
        <v>Mickey  Bolduc</v>
      </c>
      <c r="M60" s="4">
        <f t="array" ref="M60">IF(ROWS(M$20:M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60))))</f>
        <v>18</v>
      </c>
    </row>
    <row r="61" spans="1:13" x14ac:dyDescent="0.25">
      <c r="A61" s="3">
        <v>41528</v>
      </c>
      <c r="B61" s="2" t="s">
        <v>18</v>
      </c>
      <c r="C61" s="2">
        <v>50</v>
      </c>
      <c r="G61" s="7">
        <f t="array" ref="G61">IF(ROWS(K$20:K61)&gt;$F$6,"",INDEX(A$2:A$10000,SMALL(IF(ISNUMBER(MATCH($B$2:$B$10000,$E$6:$E$22,0)),ROW($C$2:$C$10000)-ROW($C$2)+1),ROWS(K$20:K61))))</f>
        <v>41539</v>
      </c>
      <c r="H61" s="4" t="str">
        <f t="array" ref="H61">IF(ROWS(L$20:L61)&gt;$F$6,"",INDEX(B$2:B$10000,SMALL(IF(ISNUMBER(MATCH($B$2:$B$10000,$E$6:$E$22,0)),ROW($C$2:$C$10000)-ROW($C$2)+1),ROWS(L$20:L61))))</f>
        <v>Iliana  Valerio</v>
      </c>
      <c r="I61" s="4">
        <f t="array" ref="I61">IF(ROWS(M$20:M61)&gt;$F$6,"",INDEX(C$2:C$10000,SMALL(IF(ISNUMBER(MATCH($B$2:$B$10000,$E$6:$E$22,0)),ROW($C$2:$C$10000)-ROW($C$2)+1),ROWS(M$20:M61))))</f>
        <v>23</v>
      </c>
      <c r="K61" s="7">
        <f t="array" ref="K61">IF(ROWS(K$20:K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61))))</f>
        <v>41539</v>
      </c>
      <c r="L61" s="4" t="str">
        <f t="array" ref="L61">IF(ROWS(L$20:L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61))))</f>
        <v>Iliana  Valerio</v>
      </c>
      <c r="M61" s="4">
        <f t="array" ref="M61">IF(ROWS(M$20:M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61))))</f>
        <v>23</v>
      </c>
    </row>
    <row r="62" spans="1:13" x14ac:dyDescent="0.25">
      <c r="A62" s="3">
        <v>41529</v>
      </c>
      <c r="B62" s="2" t="s">
        <v>2</v>
      </c>
      <c r="C62" s="2">
        <v>42</v>
      </c>
      <c r="G62" s="7">
        <f t="array" ref="G62">IF(ROWS(K$20:K62)&gt;$F$6,"",INDEX(A$2:A$10000,SMALL(IF(ISNUMBER(MATCH($B$2:$B$10000,$E$6:$E$22,0)),ROW($C$2:$C$10000)-ROW($C$2)+1),ROWS(K$20:K62))))</f>
        <v>41839</v>
      </c>
      <c r="H62" s="4" t="str">
        <f t="array" ref="H62">IF(ROWS(L$20:L62)&gt;$F$6,"",INDEX(B$2:B$10000,SMALL(IF(ISNUMBER(MATCH($B$2:$B$10000,$E$6:$E$22,0)),ROW($C$2:$C$10000)-ROW($C$2)+1),ROWS(L$20:L62))))</f>
        <v>Galen  Barth</v>
      </c>
      <c r="I62" s="4">
        <f t="array" ref="I62">IF(ROWS(M$20:M62)&gt;$F$6,"",INDEX(C$2:C$10000,SMALL(IF(ISNUMBER(MATCH($B$2:$B$10000,$E$6:$E$22,0)),ROW($C$2:$C$10000)-ROW($C$2)+1),ROWS(M$20:M62))))</f>
        <v>25</v>
      </c>
      <c r="K62" s="7">
        <f t="array" ref="K62">IF(ROWS(K$20:K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62))))</f>
        <v>41839</v>
      </c>
      <c r="L62" s="4" t="str">
        <f t="array" ref="L62">IF(ROWS(L$20:L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62))))</f>
        <v>Galen  Barth</v>
      </c>
      <c r="M62" s="4">
        <f t="array" ref="M62">IF(ROWS(M$20:M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62))))</f>
        <v>25</v>
      </c>
    </row>
    <row r="63" spans="1:13" x14ac:dyDescent="0.25">
      <c r="A63" s="3">
        <v>41810</v>
      </c>
      <c r="B63" s="2" t="s">
        <v>21</v>
      </c>
      <c r="C63" s="2">
        <v>24</v>
      </c>
      <c r="G63" s="7">
        <f t="array" ref="G63">IF(ROWS(K$20:K63)&gt;$F$6,"",INDEX(A$2:A$10000,SMALL(IF(ISNUMBER(MATCH($B$2:$B$10000,$E$6:$E$22,0)),ROW($C$2:$C$10000)-ROW($C$2)+1),ROWS(K$20:K63))))</f>
        <v>41480</v>
      </c>
      <c r="H63" s="4" t="str">
        <f t="array" ref="H63">IF(ROWS(L$20:L63)&gt;$F$6,"",INDEX(B$2:B$10000,SMALL(IF(ISNUMBER(MATCH($B$2:$B$10000,$E$6:$E$22,0)),ROW($C$2:$C$10000)-ROW($C$2)+1),ROWS(L$20:L63))))</f>
        <v>Mickey  Bolduc</v>
      </c>
      <c r="I63" s="4">
        <f t="array" ref="I63">IF(ROWS(M$20:M63)&gt;$F$6,"",INDEX(C$2:C$10000,SMALL(IF(ISNUMBER(MATCH($B$2:$B$10000,$E$6:$E$22,0)),ROW($C$2:$C$10000)-ROW($C$2)+1),ROWS(M$20:M63))))</f>
        <v>31</v>
      </c>
      <c r="K63" s="7">
        <f t="array" ref="K63">IF(ROWS(K$20:K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63))))</f>
        <v>41480</v>
      </c>
      <c r="L63" s="4" t="str">
        <f t="array" ref="L63">IF(ROWS(L$20:L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63))))</f>
        <v>Mickey  Bolduc</v>
      </c>
      <c r="M63" s="4">
        <f t="array" ref="M63">IF(ROWS(M$20:M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63))))</f>
        <v>31</v>
      </c>
    </row>
    <row r="64" spans="1:13" x14ac:dyDescent="0.25">
      <c r="A64" s="3">
        <v>41966</v>
      </c>
      <c r="B64" s="2" t="s">
        <v>4</v>
      </c>
      <c r="C64" s="2">
        <v>9</v>
      </c>
      <c r="G64" s="7">
        <f t="array" ref="G64">IF(ROWS(K$20:K64)&gt;$F$6,"",INDEX(A$2:A$10000,SMALL(IF(ISNUMBER(MATCH($B$2:$B$10000,$E$6:$E$22,0)),ROW($C$2:$C$10000)-ROW($C$2)+1),ROWS(K$20:K64))))</f>
        <v>41388</v>
      </c>
      <c r="H64" s="4" t="str">
        <f t="array" ref="H64">IF(ROWS(L$20:L64)&gt;$F$6,"",INDEX(B$2:B$10000,SMALL(IF(ISNUMBER(MATCH($B$2:$B$10000,$E$6:$E$22,0)),ROW($C$2:$C$10000)-ROW($C$2)+1),ROWS(L$20:L64))))</f>
        <v>Galen  Barth</v>
      </c>
      <c r="I64" s="4">
        <f t="array" ref="I64">IF(ROWS(M$20:M64)&gt;$F$6,"",INDEX(C$2:C$10000,SMALL(IF(ISNUMBER(MATCH($B$2:$B$10000,$E$6:$E$22,0)),ROW($C$2:$C$10000)-ROW($C$2)+1),ROWS(M$20:M64))))</f>
        <v>5</v>
      </c>
      <c r="K64" s="7">
        <f t="array" ref="K64">IF(ROWS(K$20:K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64))))</f>
        <v>41388</v>
      </c>
      <c r="L64" s="4" t="str">
        <f t="array" ref="L64">IF(ROWS(L$20:L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64))))</f>
        <v>Galen  Barth</v>
      </c>
      <c r="M64" s="4">
        <f t="array" ref="M64">IF(ROWS(M$20:M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64))))</f>
        <v>5</v>
      </c>
    </row>
    <row r="65" spans="1:13" x14ac:dyDescent="0.25">
      <c r="A65" s="3">
        <v>41598</v>
      </c>
      <c r="B65" s="2" t="s">
        <v>18</v>
      </c>
      <c r="C65" s="2">
        <v>26</v>
      </c>
      <c r="G65" s="7">
        <f t="array" ref="G65">IF(ROWS(K$20:K65)&gt;$F$6,"",INDEX(A$2:A$10000,SMALL(IF(ISNUMBER(MATCH($B$2:$B$10000,$E$6:$E$22,0)),ROW($C$2:$C$10000)-ROW($C$2)+1),ROWS(K$20:K65))))</f>
        <v>41389</v>
      </c>
      <c r="H65" s="4" t="str">
        <f t="array" ref="H65">IF(ROWS(L$20:L65)&gt;$F$6,"",INDEX(B$2:B$10000,SMALL(IF(ISNUMBER(MATCH($B$2:$B$10000,$E$6:$E$22,0)),ROW($C$2:$C$10000)-ROW($C$2)+1),ROWS(L$20:L65))))</f>
        <v>Mickey  Bolduc</v>
      </c>
      <c r="I65" s="4">
        <f t="array" ref="I65">IF(ROWS(M$20:M65)&gt;$F$6,"",INDEX(C$2:C$10000,SMALL(IF(ISNUMBER(MATCH($B$2:$B$10000,$E$6:$E$22,0)),ROW($C$2:$C$10000)-ROW($C$2)+1),ROWS(M$20:M65))))</f>
        <v>8</v>
      </c>
      <c r="K65" s="7">
        <f t="array" ref="K65">IF(ROWS(K$20:K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65))))</f>
        <v>41389</v>
      </c>
      <c r="L65" s="4" t="str">
        <f t="array" ref="L65">IF(ROWS(L$20:L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65))))</f>
        <v>Mickey  Bolduc</v>
      </c>
      <c r="M65" s="4">
        <f t="array" ref="M65">IF(ROWS(M$20:M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65))))</f>
        <v>8</v>
      </c>
    </row>
    <row r="66" spans="1:13" x14ac:dyDescent="0.25">
      <c r="A66" s="3">
        <v>41437</v>
      </c>
      <c r="B66" s="2" t="s">
        <v>48</v>
      </c>
      <c r="C66" s="2">
        <v>7</v>
      </c>
      <c r="G66" s="7">
        <f t="array" ref="G66">IF(ROWS(K$20:K66)&gt;$F$6,"",INDEX(A$2:A$10000,SMALL(IF(ISNUMBER(MATCH($B$2:$B$10000,$E$6:$E$22,0)),ROW($C$2:$C$10000)-ROW($C$2)+1),ROWS(K$20:K66))))</f>
        <v>41462</v>
      </c>
      <c r="H66" s="4" t="str">
        <f t="array" ref="H66">IF(ROWS(L$20:L66)&gt;$F$6,"",INDEX(B$2:B$10000,SMALL(IF(ISNUMBER(MATCH($B$2:$B$10000,$E$6:$E$22,0)),ROW($C$2:$C$10000)-ROW($C$2)+1),ROWS(L$20:L66))))</f>
        <v>Galen  Barth</v>
      </c>
      <c r="I66" s="4">
        <f t="array" ref="I66">IF(ROWS(M$20:M66)&gt;$F$6,"",INDEX(C$2:C$10000,SMALL(IF(ISNUMBER(MATCH($B$2:$B$10000,$E$6:$E$22,0)),ROW($C$2:$C$10000)-ROW($C$2)+1),ROWS(M$20:M66))))</f>
        <v>22</v>
      </c>
      <c r="K66" s="7">
        <f t="array" ref="K66">IF(ROWS(K$20:K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66))))</f>
        <v>41462</v>
      </c>
      <c r="L66" s="4" t="str">
        <f t="array" ref="L66">IF(ROWS(L$20:L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66))))</f>
        <v>Galen  Barth</v>
      </c>
      <c r="M66" s="4">
        <f t="array" ref="M66">IF(ROWS(M$20:M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66))))</f>
        <v>22</v>
      </c>
    </row>
    <row r="67" spans="1:13" x14ac:dyDescent="0.25">
      <c r="A67" s="3">
        <v>41473</v>
      </c>
      <c r="B67" s="2" t="s">
        <v>24</v>
      </c>
      <c r="C67" s="2">
        <v>21</v>
      </c>
      <c r="G67" s="7">
        <f t="array" ref="G67">IF(ROWS(K$20:K67)&gt;$F$6,"",INDEX(A$2:A$10000,SMALL(IF(ISNUMBER(MATCH($B$2:$B$10000,$E$6:$E$22,0)),ROW($C$2:$C$10000)-ROW($C$2)+1),ROWS(K$20:K67))))</f>
        <v>41928</v>
      </c>
      <c r="H67" s="4" t="str">
        <f t="array" ref="H67">IF(ROWS(L$20:L67)&gt;$F$6,"",INDEX(B$2:B$10000,SMALL(IF(ISNUMBER(MATCH($B$2:$B$10000,$E$6:$E$22,0)),ROW($C$2:$C$10000)-ROW($C$2)+1),ROWS(L$20:L67))))</f>
        <v>Mickey  Bolduc</v>
      </c>
      <c r="I67" s="4">
        <f t="array" ref="I67">IF(ROWS(M$20:M67)&gt;$F$6,"",INDEX(C$2:C$10000,SMALL(IF(ISNUMBER(MATCH($B$2:$B$10000,$E$6:$E$22,0)),ROW($C$2:$C$10000)-ROW($C$2)+1),ROWS(M$20:M67))))</f>
        <v>73</v>
      </c>
      <c r="K67" s="7">
        <f t="array" ref="K67">IF(ROWS(K$20:K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67))))</f>
        <v>41928</v>
      </c>
      <c r="L67" s="4" t="str">
        <f t="array" ref="L67">IF(ROWS(L$20:L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67))))</f>
        <v>Mickey  Bolduc</v>
      </c>
      <c r="M67" s="4">
        <f t="array" ref="M67">IF(ROWS(M$20:M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67))))</f>
        <v>73</v>
      </c>
    </row>
    <row r="68" spans="1:13" x14ac:dyDescent="0.25">
      <c r="A68" s="3">
        <v>41839</v>
      </c>
      <c r="B68" s="2" t="s">
        <v>19</v>
      </c>
      <c r="C68" s="2">
        <v>25</v>
      </c>
      <c r="G68" s="7">
        <f t="array" ref="G68">IF(ROWS(K$20:K68)&gt;$F$6,"",INDEX(A$2:A$10000,SMALL(IF(ISNUMBER(MATCH($B$2:$B$10000,$E$6:$E$22,0)),ROW($C$2:$C$10000)-ROW($C$2)+1),ROWS(K$20:K68))))</f>
        <v>41808</v>
      </c>
      <c r="H68" s="4" t="str">
        <f t="array" ref="H68">IF(ROWS(L$20:L68)&gt;$F$6,"",INDEX(B$2:B$10000,SMALL(IF(ISNUMBER(MATCH($B$2:$B$10000,$E$6:$E$22,0)),ROW($C$2:$C$10000)-ROW($C$2)+1),ROWS(L$20:L68))))</f>
        <v>Kerrie  Worrell</v>
      </c>
      <c r="I68" s="4">
        <f t="array" ref="I68">IF(ROWS(M$20:M68)&gt;$F$6,"",INDEX(C$2:C$10000,SMALL(IF(ISNUMBER(MATCH($B$2:$B$10000,$E$6:$E$22,0)),ROW($C$2:$C$10000)-ROW($C$2)+1),ROWS(M$20:M68))))</f>
        <v>13</v>
      </c>
      <c r="K68" s="7">
        <f t="array" ref="K68">IF(ROWS(K$20:K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68))))</f>
        <v>41808</v>
      </c>
      <c r="L68" s="4" t="str">
        <f t="array" ref="L68">IF(ROWS(L$20:L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68))))</f>
        <v>Kerrie  Worrell</v>
      </c>
      <c r="M68" s="4">
        <f t="array" ref="M68">IF(ROWS(M$20:M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68))))</f>
        <v>13</v>
      </c>
    </row>
    <row r="69" spans="1:13" x14ac:dyDescent="0.25">
      <c r="A69" s="3">
        <v>41312</v>
      </c>
      <c r="B69" s="2" t="s">
        <v>7</v>
      </c>
      <c r="C69" s="2">
        <v>19</v>
      </c>
      <c r="G69" s="7">
        <f t="array" ref="G69">IF(ROWS(K$20:K69)&gt;$F$6,"",INDEX(A$2:A$10000,SMALL(IF(ISNUMBER(MATCH($B$2:$B$10000,$E$6:$E$22,0)),ROW($C$2:$C$10000)-ROW($C$2)+1),ROWS(K$20:K69))))</f>
        <v>41712</v>
      </c>
      <c r="H69" s="4" t="str">
        <f t="array" ref="H69">IF(ROWS(L$20:L69)&gt;$F$6,"",INDEX(B$2:B$10000,SMALL(IF(ISNUMBER(MATCH($B$2:$B$10000,$E$6:$E$22,0)),ROW($C$2:$C$10000)-ROW($C$2)+1),ROWS(L$20:L69))))</f>
        <v>Iliana  Valerio</v>
      </c>
      <c r="I69" s="4">
        <f t="array" ref="I69">IF(ROWS(M$20:M69)&gt;$F$6,"",INDEX(C$2:C$10000,SMALL(IF(ISNUMBER(MATCH($B$2:$B$10000,$E$6:$E$22,0)),ROW($C$2:$C$10000)-ROW($C$2)+1),ROWS(M$20:M69))))</f>
        <v>39</v>
      </c>
      <c r="K69" s="7">
        <f t="array" ref="K69">IF(ROWS(K$20:K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69))))</f>
        <v>41712</v>
      </c>
      <c r="L69" s="4" t="str">
        <f t="array" ref="L69">IF(ROWS(L$20:L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69))))</f>
        <v>Iliana  Valerio</v>
      </c>
      <c r="M69" s="4">
        <f t="array" ref="M69">IF(ROWS(M$20:M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69))))</f>
        <v>39</v>
      </c>
    </row>
    <row r="70" spans="1:13" x14ac:dyDescent="0.25">
      <c r="A70" s="3">
        <v>41947</v>
      </c>
      <c r="B70" s="2" t="s">
        <v>51</v>
      </c>
      <c r="C70" s="2">
        <v>7</v>
      </c>
      <c r="G70" s="7">
        <f t="array" ref="G70">IF(ROWS(K$20:K70)&gt;$F$6,"",INDEX(A$2:A$10000,SMALL(IF(ISNUMBER(MATCH($B$2:$B$10000,$E$6:$E$22,0)),ROW($C$2:$C$10000)-ROW($C$2)+1),ROWS(K$20:K70))))</f>
        <v>41329</v>
      </c>
      <c r="H70" s="4" t="str">
        <f t="array" ref="H70">IF(ROWS(L$20:L70)&gt;$F$6,"",INDEX(B$2:B$10000,SMALL(IF(ISNUMBER(MATCH($B$2:$B$10000,$E$6:$E$22,0)),ROW($C$2:$C$10000)-ROW($C$2)+1),ROWS(L$20:L70))))</f>
        <v>Galen  Barth</v>
      </c>
      <c r="I70" s="4">
        <f t="array" ref="I70">IF(ROWS(M$20:M70)&gt;$F$6,"",INDEX(C$2:C$10000,SMALL(IF(ISNUMBER(MATCH($B$2:$B$10000,$E$6:$E$22,0)),ROW($C$2:$C$10000)-ROW($C$2)+1),ROWS(M$20:M70))))</f>
        <v>31</v>
      </c>
      <c r="K70" s="7">
        <f t="array" ref="K70">IF(ROWS(K$20:K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70))))</f>
        <v>41329</v>
      </c>
      <c r="L70" s="4" t="str">
        <f t="array" ref="L70">IF(ROWS(L$20:L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70))))</f>
        <v>Galen  Barth</v>
      </c>
      <c r="M70" s="4">
        <f t="array" ref="M70">IF(ROWS(M$20:M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70))))</f>
        <v>31</v>
      </c>
    </row>
    <row r="71" spans="1:13" x14ac:dyDescent="0.25">
      <c r="A71" s="3">
        <v>41523</v>
      </c>
      <c r="B71" s="2" t="s">
        <v>12</v>
      </c>
      <c r="C71" s="2">
        <v>2</v>
      </c>
      <c r="G71" s="7">
        <f t="array" ref="G71">IF(ROWS(K$20:K71)&gt;$F$6,"",INDEX(A$2:A$10000,SMALL(IF(ISNUMBER(MATCH($B$2:$B$10000,$E$6:$E$22,0)),ROW($C$2:$C$10000)-ROW($C$2)+1),ROWS(K$20:K71))))</f>
        <v>41694</v>
      </c>
      <c r="H71" s="4" t="str">
        <f t="array" ref="H71">IF(ROWS(L$20:L71)&gt;$F$6,"",INDEX(B$2:B$10000,SMALL(IF(ISNUMBER(MATCH($B$2:$B$10000,$E$6:$E$22,0)),ROW($C$2:$C$10000)-ROW($C$2)+1),ROWS(L$20:L71))))</f>
        <v>Jenni  Thorton</v>
      </c>
      <c r="I71" s="4">
        <f t="array" ref="I71">IF(ROWS(M$20:M71)&gt;$F$6,"",INDEX(C$2:C$10000,SMALL(IF(ISNUMBER(MATCH($B$2:$B$10000,$E$6:$E$22,0)),ROW($C$2:$C$10000)-ROW($C$2)+1),ROWS(M$20:M71))))</f>
        <v>26</v>
      </c>
      <c r="K71" s="7">
        <f t="array" ref="K71">IF(ROWS(K$20:K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71))))</f>
        <v>41694</v>
      </c>
      <c r="L71" s="4" t="str">
        <f t="array" ref="L71">IF(ROWS(L$20:L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71))))</f>
        <v>Jenni  Thorton</v>
      </c>
      <c r="M71" s="4">
        <f t="array" ref="M71">IF(ROWS(M$20:M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71))))</f>
        <v>26</v>
      </c>
    </row>
    <row r="72" spans="1:13" x14ac:dyDescent="0.25">
      <c r="A72" s="3">
        <v>41557</v>
      </c>
      <c r="B72" s="2" t="s">
        <v>20</v>
      </c>
      <c r="C72" s="2">
        <v>31</v>
      </c>
      <c r="G72" s="7">
        <f t="array" ref="G72">IF(ROWS(K$20:K72)&gt;$F$6,"",INDEX(A$2:A$10000,SMALL(IF(ISNUMBER(MATCH($B$2:$B$10000,$E$6:$E$22,0)),ROW($C$2:$C$10000)-ROW($C$2)+1),ROWS(K$20:K72))))</f>
        <v>41765</v>
      </c>
      <c r="H72" s="4" t="str">
        <f t="array" ref="H72">IF(ROWS(L$20:L72)&gt;$F$6,"",INDEX(B$2:B$10000,SMALL(IF(ISNUMBER(MATCH($B$2:$B$10000,$E$6:$E$22,0)),ROW($C$2:$C$10000)-ROW($C$2)+1),ROWS(L$20:L72))))</f>
        <v>Galen  Barth</v>
      </c>
      <c r="I72" s="4">
        <f t="array" ref="I72">IF(ROWS(M$20:M72)&gt;$F$6,"",INDEX(C$2:C$10000,SMALL(IF(ISNUMBER(MATCH($B$2:$B$10000,$E$6:$E$22,0)),ROW($C$2:$C$10000)-ROW($C$2)+1),ROWS(M$20:M72))))</f>
        <v>15</v>
      </c>
      <c r="K72" s="7">
        <f t="array" ref="K72">IF(ROWS(K$20:K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72))))</f>
        <v>41765</v>
      </c>
      <c r="L72" s="4" t="str">
        <f t="array" ref="L72">IF(ROWS(L$20:L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72))))</f>
        <v>Galen  Barth</v>
      </c>
      <c r="M72" s="4">
        <f t="array" ref="M72">IF(ROWS(M$20:M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72))))</f>
        <v>15</v>
      </c>
    </row>
    <row r="73" spans="1:13" x14ac:dyDescent="0.25">
      <c r="A73" s="3">
        <v>41295</v>
      </c>
      <c r="B73" s="2" t="s">
        <v>45</v>
      </c>
      <c r="C73" s="2">
        <v>37</v>
      </c>
      <c r="G73" s="7">
        <f t="array" ref="G73">IF(ROWS(K$20:K73)&gt;$F$6,"",INDEX(A$2:A$10000,SMALL(IF(ISNUMBER(MATCH($B$2:$B$10000,$E$6:$E$22,0)),ROW($C$2:$C$10000)-ROW($C$2)+1),ROWS(K$20:K73))))</f>
        <v>41600</v>
      </c>
      <c r="H73" s="4" t="str">
        <f t="array" ref="H73">IF(ROWS(L$20:L73)&gt;$F$6,"",INDEX(B$2:B$10000,SMALL(IF(ISNUMBER(MATCH($B$2:$B$10000,$E$6:$E$22,0)),ROW($C$2:$C$10000)-ROW($C$2)+1),ROWS(L$20:L73))))</f>
        <v>Mickey  Bolduc</v>
      </c>
      <c r="I73" s="4">
        <f t="array" ref="I73">IF(ROWS(M$20:M73)&gt;$F$6,"",INDEX(C$2:C$10000,SMALL(IF(ISNUMBER(MATCH($B$2:$B$10000,$E$6:$E$22,0)),ROW($C$2:$C$10000)-ROW($C$2)+1),ROWS(M$20:M73))))</f>
        <v>33</v>
      </c>
      <c r="K73" s="7">
        <f t="array" ref="K73">IF(ROWS(K$20:K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73))))</f>
        <v>41600</v>
      </c>
      <c r="L73" s="4" t="str">
        <f t="array" ref="L73">IF(ROWS(L$20:L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73))))</f>
        <v>Mickey  Bolduc</v>
      </c>
      <c r="M73" s="4">
        <f t="array" ref="M73">IF(ROWS(M$20:M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73))))</f>
        <v>33</v>
      </c>
    </row>
    <row r="74" spans="1:13" x14ac:dyDescent="0.25">
      <c r="A74" s="3">
        <v>41560</v>
      </c>
      <c r="B74" s="2" t="s">
        <v>29</v>
      </c>
      <c r="C74" s="2">
        <v>18</v>
      </c>
      <c r="G74" s="7">
        <f t="array" ref="G74">IF(ROWS(K$20:K74)&gt;$F$6,"",INDEX(A$2:A$10000,SMALL(IF(ISNUMBER(MATCH($B$2:$B$10000,$E$6:$E$22,0)),ROW($C$2:$C$10000)-ROW($C$2)+1),ROWS(K$20:K74))))</f>
        <v>41666</v>
      </c>
      <c r="H74" s="4" t="str">
        <f t="array" ref="H74">IF(ROWS(L$20:L74)&gt;$F$6,"",INDEX(B$2:B$10000,SMALL(IF(ISNUMBER(MATCH($B$2:$B$10000,$E$6:$E$22,0)),ROW($C$2:$C$10000)-ROW($C$2)+1),ROWS(L$20:L74))))</f>
        <v>Mickey  Bolduc</v>
      </c>
      <c r="I74" s="4">
        <f t="array" ref="I74">IF(ROWS(M$20:M74)&gt;$F$6,"",INDEX(C$2:C$10000,SMALL(IF(ISNUMBER(MATCH($B$2:$B$10000,$E$6:$E$22,0)),ROW($C$2:$C$10000)-ROW($C$2)+1),ROWS(M$20:M74))))</f>
        <v>7</v>
      </c>
      <c r="K74" s="7">
        <f t="array" ref="K74">IF(ROWS(K$20:K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74))))</f>
        <v>41666</v>
      </c>
      <c r="L74" s="4" t="str">
        <f t="array" ref="L74">IF(ROWS(L$20:L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74))))</f>
        <v>Mickey  Bolduc</v>
      </c>
      <c r="M74" s="4">
        <f t="array" ref="M74">IF(ROWS(M$20:M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74))))</f>
        <v>7</v>
      </c>
    </row>
    <row r="75" spans="1:13" x14ac:dyDescent="0.25">
      <c r="A75" s="3">
        <v>41929</v>
      </c>
      <c r="B75" s="2" t="s">
        <v>22</v>
      </c>
      <c r="C75" s="2">
        <v>16</v>
      </c>
      <c r="G75" s="7">
        <f t="array" ref="G75">IF(ROWS(K$20:K75)&gt;$F$6,"",INDEX(A$2:A$10000,SMALL(IF(ISNUMBER(MATCH($B$2:$B$10000,$E$6:$E$22,0)),ROW($C$2:$C$10000)-ROW($C$2)+1),ROWS(K$20:K75))))</f>
        <v>41925</v>
      </c>
      <c r="H75" s="4" t="str">
        <f t="array" ref="H75">IF(ROWS(L$20:L75)&gt;$F$6,"",INDEX(B$2:B$10000,SMALL(IF(ISNUMBER(MATCH($B$2:$B$10000,$E$6:$E$22,0)),ROW($C$2:$C$10000)-ROW($C$2)+1),ROWS(L$20:L75))))</f>
        <v>Iliana  Valerio</v>
      </c>
      <c r="I75" s="4">
        <f t="array" ref="I75">IF(ROWS(M$20:M75)&gt;$F$6,"",INDEX(C$2:C$10000,SMALL(IF(ISNUMBER(MATCH($B$2:$B$10000,$E$6:$E$22,0)),ROW($C$2:$C$10000)-ROW($C$2)+1),ROWS(M$20:M75))))</f>
        <v>17</v>
      </c>
      <c r="K75" s="7">
        <f t="array" ref="K75">IF(ROWS(K$20:K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75))))</f>
        <v>41925</v>
      </c>
      <c r="L75" s="4" t="str">
        <f t="array" ref="L75">IF(ROWS(L$20:L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75))))</f>
        <v>Iliana  Valerio</v>
      </c>
      <c r="M75" s="4">
        <f t="array" ref="M75">IF(ROWS(M$20:M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75))))</f>
        <v>17</v>
      </c>
    </row>
    <row r="76" spans="1:13" x14ac:dyDescent="0.25">
      <c r="A76" s="3">
        <v>41948</v>
      </c>
      <c r="B76" s="2" t="s">
        <v>26</v>
      </c>
      <c r="C76" s="2">
        <v>8</v>
      </c>
      <c r="G76" s="7">
        <f t="array" ref="G76">IF(ROWS(K$20:K76)&gt;$F$6,"",INDEX(A$2:A$10000,SMALL(IF(ISNUMBER(MATCH($B$2:$B$10000,$E$6:$E$22,0)),ROW($C$2:$C$10000)-ROW($C$2)+1),ROWS(K$20:K76))))</f>
        <v>41296</v>
      </c>
      <c r="H76" s="4" t="str">
        <f t="array" ref="H76">IF(ROWS(L$20:L76)&gt;$F$6,"",INDEX(B$2:B$10000,SMALL(IF(ISNUMBER(MATCH($B$2:$B$10000,$E$6:$E$22,0)),ROW($C$2:$C$10000)-ROW($C$2)+1),ROWS(L$20:L76))))</f>
        <v>Rosamond  Allard</v>
      </c>
      <c r="I76" s="4">
        <f t="array" ref="I76">IF(ROWS(M$20:M76)&gt;$F$6,"",INDEX(C$2:C$10000,SMALL(IF(ISNUMBER(MATCH($B$2:$B$10000,$E$6:$E$22,0)),ROW($C$2:$C$10000)-ROW($C$2)+1),ROWS(M$20:M76))))</f>
        <v>8</v>
      </c>
      <c r="K76" s="7">
        <f t="array" ref="K76">IF(ROWS(K$20:K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76))))</f>
        <v>41296</v>
      </c>
      <c r="L76" s="4" t="str">
        <f t="array" ref="L76">IF(ROWS(L$20:L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76))))</f>
        <v>Rosamond  Allard</v>
      </c>
      <c r="M76" s="4">
        <f t="array" ref="M76">IF(ROWS(M$20:M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76))))</f>
        <v>8</v>
      </c>
    </row>
    <row r="77" spans="1:13" x14ac:dyDescent="0.25">
      <c r="A77" s="3">
        <v>41320</v>
      </c>
      <c r="B77" s="2" t="s">
        <v>34</v>
      </c>
      <c r="C77" s="2">
        <v>10</v>
      </c>
      <c r="G77" s="7">
        <f t="array" ref="G77">IF(ROWS(K$20:K77)&gt;$F$6,"",INDEX(A$2:A$10000,SMALL(IF(ISNUMBER(MATCH($B$2:$B$10000,$E$6:$E$22,0)),ROW($C$2:$C$10000)-ROW($C$2)+1),ROWS(K$20:K77))))</f>
        <v>41839</v>
      </c>
      <c r="H77" s="4" t="str">
        <f t="array" ref="H77">IF(ROWS(L$20:L77)&gt;$F$6,"",INDEX(B$2:B$10000,SMALL(IF(ISNUMBER(MATCH($B$2:$B$10000,$E$6:$E$22,0)),ROW($C$2:$C$10000)-ROW($C$2)+1),ROWS(L$20:L77))))</f>
        <v>Jenni  Thorton</v>
      </c>
      <c r="I77" s="4">
        <f t="array" ref="I77">IF(ROWS(M$20:M77)&gt;$F$6,"",INDEX(C$2:C$10000,SMALL(IF(ISNUMBER(MATCH($B$2:$B$10000,$E$6:$E$22,0)),ROW($C$2:$C$10000)-ROW($C$2)+1),ROWS(M$20:M77))))</f>
        <v>30</v>
      </c>
      <c r="K77" s="7">
        <f t="array" ref="K77">IF(ROWS(K$20:K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77))))</f>
        <v>41839</v>
      </c>
      <c r="L77" s="4" t="str">
        <f t="array" ref="L77">IF(ROWS(L$20:L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77))))</f>
        <v>Jenni  Thorton</v>
      </c>
      <c r="M77" s="4">
        <f t="array" ref="M77">IF(ROWS(M$20:M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77))))</f>
        <v>30</v>
      </c>
    </row>
    <row r="78" spans="1:13" x14ac:dyDescent="0.25">
      <c r="A78" s="3">
        <v>41691</v>
      </c>
      <c r="B78" s="2" t="s">
        <v>24</v>
      </c>
      <c r="C78" s="2">
        <v>11</v>
      </c>
      <c r="G78" s="7">
        <f t="array" ref="G78">IF(ROWS(K$20:K78)&gt;$F$6,"",INDEX(A$2:A$10000,SMALL(IF(ISNUMBER(MATCH($B$2:$B$10000,$E$6:$E$22,0)),ROW($C$2:$C$10000)-ROW($C$2)+1),ROWS(K$20:K78))))</f>
        <v>41514</v>
      </c>
      <c r="H78" s="4" t="str">
        <f t="array" ref="H78">IF(ROWS(L$20:L78)&gt;$F$6,"",INDEX(B$2:B$10000,SMALL(IF(ISNUMBER(MATCH($B$2:$B$10000,$E$6:$E$22,0)),ROW($C$2:$C$10000)-ROW($C$2)+1),ROWS(L$20:L78))))</f>
        <v>Galen  Barth</v>
      </c>
      <c r="I78" s="4">
        <f t="array" ref="I78">IF(ROWS(M$20:M78)&gt;$F$6,"",INDEX(C$2:C$10000,SMALL(IF(ISNUMBER(MATCH($B$2:$B$10000,$E$6:$E$22,0)),ROW($C$2:$C$10000)-ROW($C$2)+1),ROWS(M$20:M78))))</f>
        <v>26</v>
      </c>
      <c r="K78" s="7">
        <f t="array" ref="K78">IF(ROWS(K$20:K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78))))</f>
        <v>41514</v>
      </c>
      <c r="L78" s="4" t="str">
        <f t="array" ref="L78">IF(ROWS(L$20:L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78))))</f>
        <v>Galen  Barth</v>
      </c>
      <c r="M78" s="4">
        <f t="array" ref="M78">IF(ROWS(M$20:M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78))))</f>
        <v>26</v>
      </c>
    </row>
    <row r="79" spans="1:13" x14ac:dyDescent="0.25">
      <c r="A79" s="3">
        <v>41458</v>
      </c>
      <c r="B79" s="2" t="s">
        <v>27</v>
      </c>
      <c r="C79" s="2">
        <v>21</v>
      </c>
      <c r="G79" s="7">
        <f t="array" ref="G79">IF(ROWS(K$20:K79)&gt;$F$6,"",INDEX(A$2:A$10000,SMALL(IF(ISNUMBER(MATCH($B$2:$B$10000,$E$6:$E$22,0)),ROW($C$2:$C$10000)-ROW($C$2)+1),ROWS(K$20:K79))))</f>
        <v>41757</v>
      </c>
      <c r="H79" s="4" t="str">
        <f t="array" ref="H79">IF(ROWS(L$20:L79)&gt;$F$6,"",INDEX(B$2:B$10000,SMALL(IF(ISNUMBER(MATCH($B$2:$B$10000,$E$6:$E$22,0)),ROW($C$2:$C$10000)-ROW($C$2)+1),ROWS(L$20:L79))))</f>
        <v>Kerrie  Worrell</v>
      </c>
      <c r="I79" s="4">
        <f t="array" ref="I79">IF(ROWS(M$20:M79)&gt;$F$6,"",INDEX(C$2:C$10000,SMALL(IF(ISNUMBER(MATCH($B$2:$B$10000,$E$6:$E$22,0)),ROW($C$2:$C$10000)-ROW($C$2)+1),ROWS(M$20:M79))))</f>
        <v>48</v>
      </c>
      <c r="K79" s="7">
        <f t="array" ref="K79">IF(ROWS(K$20:K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79))))</f>
        <v>41757</v>
      </c>
      <c r="L79" s="4" t="str">
        <f t="array" ref="L79">IF(ROWS(L$20:L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79))))</f>
        <v>Kerrie  Worrell</v>
      </c>
      <c r="M79" s="4">
        <f t="array" ref="M79">IF(ROWS(M$20:M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79))))</f>
        <v>48</v>
      </c>
    </row>
    <row r="80" spans="1:13" x14ac:dyDescent="0.25">
      <c r="A80" s="3">
        <v>41577</v>
      </c>
      <c r="B80" s="2" t="s">
        <v>47</v>
      </c>
      <c r="C80" s="2">
        <v>21</v>
      </c>
      <c r="G80" s="7">
        <f t="array" ref="G80">IF(ROWS(K$20:K80)&gt;$F$6,"",INDEX(A$2:A$10000,SMALL(IF(ISNUMBER(MATCH($B$2:$B$10000,$E$6:$E$22,0)),ROW($C$2:$C$10000)-ROW($C$2)+1),ROWS(K$20:K80))))</f>
        <v>41702</v>
      </c>
      <c r="H80" s="4" t="str">
        <f t="array" ref="H80">IF(ROWS(L$20:L80)&gt;$F$6,"",INDEX(B$2:B$10000,SMALL(IF(ISNUMBER(MATCH($B$2:$B$10000,$E$6:$E$22,0)),ROW($C$2:$C$10000)-ROW($C$2)+1),ROWS(L$20:L80))))</f>
        <v>Rosamond  Allard</v>
      </c>
      <c r="I80" s="4">
        <f t="array" ref="I80">IF(ROWS(M$20:M80)&gt;$F$6,"",INDEX(C$2:C$10000,SMALL(IF(ISNUMBER(MATCH($B$2:$B$10000,$E$6:$E$22,0)),ROW($C$2:$C$10000)-ROW($C$2)+1),ROWS(M$20:M80))))</f>
        <v>9</v>
      </c>
      <c r="K80" s="7">
        <f t="array" ref="K80">IF(ROWS(K$20:K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80))))</f>
        <v>41702</v>
      </c>
      <c r="L80" s="4" t="str">
        <f t="array" ref="L80">IF(ROWS(L$20:L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80))))</f>
        <v>Rosamond  Allard</v>
      </c>
      <c r="M80" s="4">
        <f t="array" ref="M80">IF(ROWS(M$20:M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80))))</f>
        <v>9</v>
      </c>
    </row>
    <row r="81" spans="1:13" x14ac:dyDescent="0.25">
      <c r="A81" s="3">
        <v>41537</v>
      </c>
      <c r="B81" s="2" t="s">
        <v>47</v>
      </c>
      <c r="C81" s="2">
        <v>6</v>
      </c>
      <c r="G81" s="7">
        <f t="array" ref="G81">IF(ROWS(K$20:K81)&gt;$F$6,"",INDEX(A$2:A$10000,SMALL(IF(ISNUMBER(MATCH($B$2:$B$10000,$E$6:$E$22,0)),ROW($C$2:$C$10000)-ROW($C$2)+1),ROWS(K$20:K81))))</f>
        <v>41746</v>
      </c>
      <c r="H81" s="4" t="str">
        <f t="array" ref="H81">IF(ROWS(L$20:L81)&gt;$F$6,"",INDEX(B$2:B$10000,SMALL(IF(ISNUMBER(MATCH($B$2:$B$10000,$E$6:$E$22,0)),ROW($C$2:$C$10000)-ROW($C$2)+1),ROWS(L$20:L81))))</f>
        <v>Iliana  Valerio</v>
      </c>
      <c r="I81" s="4">
        <f t="array" ref="I81">IF(ROWS(M$20:M81)&gt;$F$6,"",INDEX(C$2:C$10000,SMALL(IF(ISNUMBER(MATCH($B$2:$B$10000,$E$6:$E$22,0)),ROW($C$2:$C$10000)-ROW($C$2)+1),ROWS(M$20:M81))))</f>
        <v>5</v>
      </c>
      <c r="K81" s="7">
        <f t="array" ref="K81">IF(ROWS(K$20:K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81))))</f>
        <v>41746</v>
      </c>
      <c r="L81" s="4" t="str">
        <f t="array" ref="L81">IF(ROWS(L$20:L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81))))</f>
        <v>Iliana  Valerio</v>
      </c>
      <c r="M81" s="4">
        <f t="array" ref="M81">IF(ROWS(M$20:M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81))))</f>
        <v>5</v>
      </c>
    </row>
    <row r="82" spans="1:13" x14ac:dyDescent="0.25">
      <c r="A82" s="3">
        <v>41643</v>
      </c>
      <c r="B82" s="2" t="s">
        <v>22</v>
      </c>
      <c r="C82" s="2">
        <v>5</v>
      </c>
      <c r="G82" s="7">
        <f t="array" ref="G82">IF(ROWS(K$20:K82)&gt;$F$6,"",INDEX(A$2:A$10000,SMALL(IF(ISNUMBER(MATCH($B$2:$B$10000,$E$6:$E$22,0)),ROW($C$2:$C$10000)-ROW($C$2)+1),ROWS(K$20:K82))))</f>
        <v>41857</v>
      </c>
      <c r="H82" s="4" t="str">
        <f t="array" ref="H82">IF(ROWS(L$20:L82)&gt;$F$6,"",INDEX(B$2:B$10000,SMALL(IF(ISNUMBER(MATCH($B$2:$B$10000,$E$6:$E$22,0)),ROW($C$2:$C$10000)-ROW($C$2)+1),ROWS(L$20:L82))))</f>
        <v>Jenni  Thorton</v>
      </c>
      <c r="I82" s="4">
        <f t="array" ref="I82">IF(ROWS(M$20:M82)&gt;$F$6,"",INDEX(C$2:C$10000,SMALL(IF(ISNUMBER(MATCH($B$2:$B$10000,$E$6:$E$22,0)),ROW($C$2:$C$10000)-ROW($C$2)+1),ROWS(M$20:M82))))</f>
        <v>49</v>
      </c>
      <c r="K82" s="7">
        <f t="array" ref="K82">IF(ROWS(K$20:K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82))))</f>
        <v>41857</v>
      </c>
      <c r="L82" s="4" t="str">
        <f t="array" ref="L82">IF(ROWS(L$20:L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82))))</f>
        <v>Jenni  Thorton</v>
      </c>
      <c r="M82" s="4">
        <f t="array" ref="M82">IF(ROWS(M$20:M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82))))</f>
        <v>49</v>
      </c>
    </row>
    <row r="83" spans="1:13" x14ac:dyDescent="0.25">
      <c r="A83" s="3">
        <v>41767</v>
      </c>
      <c r="B83" s="2" t="s">
        <v>19</v>
      </c>
      <c r="C83" s="2">
        <v>32</v>
      </c>
      <c r="G83" s="7">
        <f t="array" ref="G83">IF(ROWS(K$20:K83)&gt;$F$6,"",INDEX(A$2:A$10000,SMALL(IF(ISNUMBER(MATCH($B$2:$B$10000,$E$6:$E$22,0)),ROW($C$2:$C$10000)-ROW($C$2)+1),ROWS(K$20:K83))))</f>
        <v>41606</v>
      </c>
      <c r="H83" s="4" t="str">
        <f t="array" ref="H83">IF(ROWS(L$20:L83)&gt;$F$6,"",INDEX(B$2:B$10000,SMALL(IF(ISNUMBER(MATCH($B$2:$B$10000,$E$6:$E$22,0)),ROW($C$2:$C$10000)-ROW($C$2)+1),ROWS(L$20:L83))))</f>
        <v>Kerrie  Worrell</v>
      </c>
      <c r="I83" s="4">
        <f t="array" ref="I83">IF(ROWS(M$20:M83)&gt;$F$6,"",INDEX(C$2:C$10000,SMALL(IF(ISNUMBER(MATCH($B$2:$B$10000,$E$6:$E$22,0)),ROW($C$2:$C$10000)-ROW($C$2)+1),ROWS(M$20:M83))))</f>
        <v>31</v>
      </c>
      <c r="K83" s="7">
        <f t="array" ref="K83">IF(ROWS(K$20:K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83))))</f>
        <v>41606</v>
      </c>
      <c r="L83" s="4" t="str">
        <f t="array" ref="L83">IF(ROWS(L$20:L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83))))</f>
        <v>Kerrie  Worrell</v>
      </c>
      <c r="M83" s="4">
        <f t="array" ref="M83">IF(ROWS(M$20:M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83))))</f>
        <v>31</v>
      </c>
    </row>
    <row r="84" spans="1:13" x14ac:dyDescent="0.25">
      <c r="A84" s="3">
        <v>41633</v>
      </c>
      <c r="B84" s="2" t="s">
        <v>43</v>
      </c>
      <c r="C84" s="2">
        <v>2</v>
      </c>
      <c r="G84" s="7">
        <f t="array" ref="G84">IF(ROWS(K$20:K84)&gt;$F$6,"",INDEX(A$2:A$10000,SMALL(IF(ISNUMBER(MATCH($B$2:$B$10000,$E$6:$E$22,0)),ROW($C$2:$C$10000)-ROW($C$2)+1),ROWS(K$20:K84))))</f>
        <v>41380</v>
      </c>
      <c r="H84" s="4" t="str">
        <f t="array" ref="H84">IF(ROWS(L$20:L84)&gt;$F$6,"",INDEX(B$2:B$10000,SMALL(IF(ISNUMBER(MATCH($B$2:$B$10000,$E$6:$E$22,0)),ROW($C$2:$C$10000)-ROW($C$2)+1),ROWS(L$20:L84))))</f>
        <v>Jenni  Thorton</v>
      </c>
      <c r="I84" s="4">
        <f t="array" ref="I84">IF(ROWS(M$20:M84)&gt;$F$6,"",INDEX(C$2:C$10000,SMALL(IF(ISNUMBER(MATCH($B$2:$B$10000,$E$6:$E$22,0)),ROW($C$2:$C$10000)-ROW($C$2)+1),ROWS(M$20:M84))))</f>
        <v>31</v>
      </c>
      <c r="K84" s="7">
        <f t="array" ref="K84">IF(ROWS(K$20:K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84))))</f>
        <v>41380</v>
      </c>
      <c r="L84" s="4" t="str">
        <f t="array" ref="L84">IF(ROWS(L$20:L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84))))</f>
        <v>Jenni  Thorton</v>
      </c>
      <c r="M84" s="4">
        <f t="array" ref="M84">IF(ROWS(M$20:M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84))))</f>
        <v>31</v>
      </c>
    </row>
    <row r="85" spans="1:13" x14ac:dyDescent="0.25">
      <c r="A85" s="3">
        <v>41456</v>
      </c>
      <c r="B85" s="2" t="s">
        <v>16</v>
      </c>
      <c r="C85" s="2">
        <v>43</v>
      </c>
      <c r="G85" s="7">
        <f t="array" ref="G85">IF(ROWS(K$20:K85)&gt;$F$6,"",INDEX(A$2:A$10000,SMALL(IF(ISNUMBER(MATCH($B$2:$B$10000,$E$6:$E$22,0)),ROW($C$2:$C$10000)-ROW($C$2)+1),ROWS(K$20:K85))))</f>
        <v>41325</v>
      </c>
      <c r="H85" s="4" t="str">
        <f t="array" ref="H85">IF(ROWS(L$20:L85)&gt;$F$6,"",INDEX(B$2:B$10000,SMALL(IF(ISNUMBER(MATCH($B$2:$B$10000,$E$6:$E$22,0)),ROW($C$2:$C$10000)-ROW($C$2)+1),ROWS(L$20:L85))))</f>
        <v>Jenni  Thorton</v>
      </c>
      <c r="I85" s="4">
        <f t="array" ref="I85">IF(ROWS(M$20:M85)&gt;$F$6,"",INDEX(C$2:C$10000,SMALL(IF(ISNUMBER(MATCH($B$2:$B$10000,$E$6:$E$22,0)),ROW($C$2:$C$10000)-ROW($C$2)+1),ROWS(M$20:M85))))</f>
        <v>17</v>
      </c>
      <c r="K85" s="7">
        <f t="array" ref="K85">IF(ROWS(K$20:K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85))))</f>
        <v>41325</v>
      </c>
      <c r="L85" s="4" t="str">
        <f t="array" ref="L85">IF(ROWS(L$20:L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85))))</f>
        <v>Jenni  Thorton</v>
      </c>
      <c r="M85" s="4">
        <f t="array" ref="M85">IF(ROWS(M$20:M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85))))</f>
        <v>17</v>
      </c>
    </row>
    <row r="86" spans="1:13" x14ac:dyDescent="0.25">
      <c r="A86" s="3">
        <v>41648</v>
      </c>
      <c r="B86" s="2" t="s">
        <v>14</v>
      </c>
      <c r="C86" s="2">
        <v>13</v>
      </c>
      <c r="G86" s="7">
        <f t="array" ref="G86">IF(ROWS(K$20:K86)&gt;$F$6,"",INDEX(A$2:A$10000,SMALL(IF(ISNUMBER(MATCH($B$2:$B$10000,$E$6:$E$22,0)),ROW($C$2:$C$10000)-ROW($C$2)+1),ROWS(K$20:K86))))</f>
        <v>41765</v>
      </c>
      <c r="H86" s="4" t="str">
        <f t="array" ref="H86">IF(ROWS(L$20:L86)&gt;$F$6,"",INDEX(B$2:B$10000,SMALL(IF(ISNUMBER(MATCH($B$2:$B$10000,$E$6:$E$22,0)),ROW($C$2:$C$10000)-ROW($C$2)+1),ROWS(L$20:L86))))</f>
        <v>Jenni  Thorton</v>
      </c>
      <c r="I86" s="4">
        <f t="array" ref="I86">IF(ROWS(M$20:M86)&gt;$F$6,"",INDEX(C$2:C$10000,SMALL(IF(ISNUMBER(MATCH($B$2:$B$10000,$E$6:$E$22,0)),ROW($C$2:$C$10000)-ROW($C$2)+1),ROWS(M$20:M86))))</f>
        <v>6</v>
      </c>
      <c r="K86" s="7">
        <f t="array" ref="K86">IF(ROWS(K$20:K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86))))</f>
        <v>41765</v>
      </c>
      <c r="L86" s="4" t="str">
        <f t="array" ref="L86">IF(ROWS(L$20:L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86))))</f>
        <v>Jenni  Thorton</v>
      </c>
      <c r="M86" s="4">
        <f t="array" ref="M86">IF(ROWS(M$20:M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86))))</f>
        <v>6</v>
      </c>
    </row>
    <row r="87" spans="1:13" x14ac:dyDescent="0.25">
      <c r="A87" s="3">
        <v>41361</v>
      </c>
      <c r="B87" s="2" t="s">
        <v>4</v>
      </c>
      <c r="C87" s="2">
        <v>44</v>
      </c>
      <c r="G87" s="7">
        <f t="array" ref="G87">IF(ROWS(K$20:K87)&gt;$F$6,"",INDEX(A$2:A$10000,SMALL(IF(ISNUMBER(MATCH($B$2:$B$10000,$E$6:$E$22,0)),ROW($C$2:$C$10000)-ROW($C$2)+1),ROWS(K$20:K87))))</f>
        <v>41641</v>
      </c>
      <c r="H87" s="4" t="str">
        <f t="array" ref="H87">IF(ROWS(L$20:L87)&gt;$F$6,"",INDEX(B$2:B$10000,SMALL(IF(ISNUMBER(MATCH($B$2:$B$10000,$E$6:$E$22,0)),ROW($C$2:$C$10000)-ROW($C$2)+1),ROWS(L$20:L87))))</f>
        <v>Iliana  Valerio</v>
      </c>
      <c r="I87" s="4">
        <f t="array" ref="I87">IF(ROWS(M$20:M87)&gt;$F$6,"",INDEX(C$2:C$10000,SMALL(IF(ISNUMBER(MATCH($B$2:$B$10000,$E$6:$E$22,0)),ROW($C$2:$C$10000)-ROW($C$2)+1),ROWS(M$20:M87))))</f>
        <v>52</v>
      </c>
      <c r="K87" s="7">
        <f t="array" ref="K87">IF(ROWS(K$20:K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87))))</f>
        <v>41641</v>
      </c>
      <c r="L87" s="4" t="str">
        <f t="array" ref="L87">IF(ROWS(L$20:L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87))))</f>
        <v>Iliana  Valerio</v>
      </c>
      <c r="M87" s="4">
        <f t="array" ref="M87">IF(ROWS(M$20:M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87))))</f>
        <v>52</v>
      </c>
    </row>
    <row r="88" spans="1:13" x14ac:dyDescent="0.25">
      <c r="A88" s="3">
        <v>41398</v>
      </c>
      <c r="B88" s="2" t="s">
        <v>13</v>
      </c>
      <c r="C88" s="2">
        <v>2</v>
      </c>
      <c r="G88" s="7">
        <f t="array" ref="G88">IF(ROWS(K$20:K88)&gt;$F$6,"",INDEX(A$2:A$10000,SMALL(IF(ISNUMBER(MATCH($B$2:$B$10000,$E$6:$E$22,0)),ROW($C$2:$C$10000)-ROW($C$2)+1),ROWS(K$20:K88))))</f>
        <v>41509</v>
      </c>
      <c r="H88" s="4" t="str">
        <f t="array" ref="H88">IF(ROWS(L$20:L88)&gt;$F$6,"",INDEX(B$2:B$10000,SMALL(IF(ISNUMBER(MATCH($B$2:$B$10000,$E$6:$E$22,0)),ROW($C$2:$C$10000)-ROW($C$2)+1),ROWS(L$20:L88))))</f>
        <v>Mickey  Bolduc</v>
      </c>
      <c r="I88" s="4">
        <f t="array" ref="I88">IF(ROWS(M$20:M88)&gt;$F$6,"",INDEX(C$2:C$10000,SMALL(IF(ISNUMBER(MATCH($B$2:$B$10000,$E$6:$E$22,0)),ROW($C$2:$C$10000)-ROW($C$2)+1),ROWS(M$20:M88))))</f>
        <v>23</v>
      </c>
      <c r="K88" s="7">
        <f t="array" ref="K88">IF(ROWS(K$20:K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88))))</f>
        <v>41509</v>
      </c>
      <c r="L88" s="4" t="str">
        <f t="array" ref="L88">IF(ROWS(L$20:L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88))))</f>
        <v>Mickey  Bolduc</v>
      </c>
      <c r="M88" s="4">
        <f t="array" ref="M88">IF(ROWS(M$20:M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88))))</f>
        <v>23</v>
      </c>
    </row>
    <row r="89" spans="1:13" x14ac:dyDescent="0.25">
      <c r="A89" s="3">
        <v>41741</v>
      </c>
      <c r="B89" s="2" t="s">
        <v>51</v>
      </c>
      <c r="C89" s="2">
        <v>56</v>
      </c>
      <c r="G89" s="7">
        <f t="array" ref="G89">IF(ROWS(K$20:K89)&gt;$F$6,"",INDEX(A$2:A$10000,SMALL(IF(ISNUMBER(MATCH($B$2:$B$10000,$E$6:$E$22,0)),ROW($C$2:$C$10000)-ROW($C$2)+1),ROWS(K$20:K89))))</f>
        <v>41415</v>
      </c>
      <c r="H89" s="4" t="str">
        <f t="array" ref="H89">IF(ROWS(L$20:L89)&gt;$F$6,"",INDEX(B$2:B$10000,SMALL(IF(ISNUMBER(MATCH($B$2:$B$10000,$E$6:$E$22,0)),ROW($C$2:$C$10000)-ROW($C$2)+1),ROWS(L$20:L89))))</f>
        <v>Kerrie  Worrell</v>
      </c>
      <c r="I89" s="4">
        <f t="array" ref="I89">IF(ROWS(M$20:M89)&gt;$F$6,"",INDEX(C$2:C$10000,SMALL(IF(ISNUMBER(MATCH($B$2:$B$10000,$E$6:$E$22,0)),ROW($C$2:$C$10000)-ROW($C$2)+1),ROWS(M$20:M89))))</f>
        <v>49</v>
      </c>
      <c r="K89" s="7">
        <f t="array" ref="K89">IF(ROWS(K$20:K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89))))</f>
        <v>41415</v>
      </c>
      <c r="L89" s="4" t="str">
        <f t="array" ref="L89">IF(ROWS(L$20:L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89))))</f>
        <v>Kerrie  Worrell</v>
      </c>
      <c r="M89" s="4">
        <f t="array" ref="M89">IF(ROWS(M$20:M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89))))</f>
        <v>49</v>
      </c>
    </row>
    <row r="90" spans="1:13" x14ac:dyDescent="0.25">
      <c r="A90" s="3">
        <v>41519</v>
      </c>
      <c r="B90" s="2" t="s">
        <v>48</v>
      </c>
      <c r="C90" s="2">
        <v>11</v>
      </c>
      <c r="G90" s="7">
        <f t="array" ref="G90">IF(ROWS(K$20:K90)&gt;$F$6,"",INDEX(A$2:A$10000,SMALL(IF(ISNUMBER(MATCH($B$2:$B$10000,$E$6:$E$22,0)),ROW($C$2:$C$10000)-ROW($C$2)+1),ROWS(K$20:K90))))</f>
        <v>41380</v>
      </c>
      <c r="H90" s="4" t="str">
        <f t="array" ref="H90">IF(ROWS(L$20:L90)&gt;$F$6,"",INDEX(B$2:B$10000,SMALL(IF(ISNUMBER(MATCH($B$2:$B$10000,$E$6:$E$22,0)),ROW($C$2:$C$10000)-ROW($C$2)+1),ROWS(L$20:L90))))</f>
        <v>Iliana  Valerio</v>
      </c>
      <c r="I90" s="4">
        <f t="array" ref="I90">IF(ROWS(M$20:M90)&gt;$F$6,"",INDEX(C$2:C$10000,SMALL(IF(ISNUMBER(MATCH($B$2:$B$10000,$E$6:$E$22,0)),ROW($C$2:$C$10000)-ROW($C$2)+1),ROWS(M$20:M90))))</f>
        <v>31</v>
      </c>
      <c r="K90" s="7">
        <f t="array" ref="K90">IF(ROWS(K$20:K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90))))</f>
        <v>41380</v>
      </c>
      <c r="L90" s="4" t="str">
        <f t="array" ref="L90">IF(ROWS(L$20:L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90))))</f>
        <v>Iliana  Valerio</v>
      </c>
      <c r="M90" s="4">
        <f t="array" ref="M90">IF(ROWS(M$20:M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90))))</f>
        <v>31</v>
      </c>
    </row>
    <row r="91" spans="1:13" x14ac:dyDescent="0.25">
      <c r="A91" s="3">
        <v>41495</v>
      </c>
      <c r="B91" s="2" t="s">
        <v>41</v>
      </c>
      <c r="C91" s="2">
        <v>1</v>
      </c>
      <c r="G91" s="7">
        <f t="array" ref="G91">IF(ROWS(K$20:K91)&gt;$F$6,"",INDEX(A$2:A$10000,SMALL(IF(ISNUMBER(MATCH($B$2:$B$10000,$E$6:$E$22,0)),ROW($C$2:$C$10000)-ROW($C$2)+1),ROWS(K$20:K91))))</f>
        <v>41592</v>
      </c>
      <c r="H91" s="4" t="str">
        <f t="array" ref="H91">IF(ROWS(L$20:L91)&gt;$F$6,"",INDEX(B$2:B$10000,SMALL(IF(ISNUMBER(MATCH($B$2:$B$10000,$E$6:$E$22,0)),ROW($C$2:$C$10000)-ROW($C$2)+1),ROWS(L$20:L91))))</f>
        <v>Rosamond  Allard</v>
      </c>
      <c r="I91" s="4">
        <f t="array" ref="I91">IF(ROWS(M$20:M91)&gt;$F$6,"",INDEX(C$2:C$10000,SMALL(IF(ISNUMBER(MATCH($B$2:$B$10000,$E$6:$E$22,0)),ROW($C$2:$C$10000)-ROW($C$2)+1),ROWS(M$20:M91))))</f>
        <v>5</v>
      </c>
      <c r="K91" s="7">
        <f t="array" ref="K91">IF(ROWS(K$20:K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91))))</f>
        <v>41592</v>
      </c>
      <c r="L91" s="4" t="str">
        <f t="array" ref="L91">IF(ROWS(L$20:L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91))))</f>
        <v>Rosamond  Allard</v>
      </c>
      <c r="M91" s="4">
        <f t="array" ref="M91">IF(ROWS(M$20:M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91))))</f>
        <v>5</v>
      </c>
    </row>
    <row r="92" spans="1:13" x14ac:dyDescent="0.25">
      <c r="A92" s="3">
        <v>41384</v>
      </c>
      <c r="B92" s="2" t="s">
        <v>42</v>
      </c>
      <c r="C92" s="2">
        <v>45</v>
      </c>
      <c r="G92" s="7">
        <f t="array" ref="G92">IF(ROWS(K$20:K92)&gt;$F$6,"",INDEX(A$2:A$10000,SMALL(IF(ISNUMBER(MATCH($B$2:$B$10000,$E$6:$E$22,0)),ROW($C$2:$C$10000)-ROW($C$2)+1),ROWS(K$20:K92))))</f>
        <v>41706</v>
      </c>
      <c r="H92" s="4" t="str">
        <f t="array" ref="H92">IF(ROWS(L$20:L92)&gt;$F$6,"",INDEX(B$2:B$10000,SMALL(IF(ISNUMBER(MATCH($B$2:$B$10000,$E$6:$E$22,0)),ROW($C$2:$C$10000)-ROW($C$2)+1),ROWS(L$20:L92))))</f>
        <v>Kerrie  Worrell</v>
      </c>
      <c r="I92" s="4">
        <f t="array" ref="I92">IF(ROWS(M$20:M92)&gt;$F$6,"",INDEX(C$2:C$10000,SMALL(IF(ISNUMBER(MATCH($B$2:$B$10000,$E$6:$E$22,0)),ROW($C$2:$C$10000)-ROW($C$2)+1),ROWS(M$20:M92))))</f>
        <v>6</v>
      </c>
      <c r="K92" s="7">
        <f t="array" ref="K92">IF(ROWS(K$20:K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92))))</f>
        <v>41706</v>
      </c>
      <c r="L92" s="4" t="str">
        <f t="array" ref="L92">IF(ROWS(L$20:L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92))))</f>
        <v>Kerrie  Worrell</v>
      </c>
      <c r="M92" s="4">
        <f t="array" ref="M92">IF(ROWS(M$20:M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92))))</f>
        <v>6</v>
      </c>
    </row>
    <row r="93" spans="1:13" x14ac:dyDescent="0.25">
      <c r="A93" s="3">
        <v>41363</v>
      </c>
      <c r="B93" s="2" t="s">
        <v>48</v>
      </c>
      <c r="C93" s="2">
        <v>27</v>
      </c>
      <c r="G93" s="7">
        <f t="array" ref="G93">IF(ROWS(K$20:K93)&gt;$F$6,"",INDEX(A$2:A$10000,SMALL(IF(ISNUMBER(MATCH($B$2:$B$10000,$E$6:$E$22,0)),ROW($C$2:$C$10000)-ROW($C$2)+1),ROWS(K$20:K93))))</f>
        <v>41871</v>
      </c>
      <c r="H93" s="4" t="str">
        <f t="array" ref="H93">IF(ROWS(L$20:L93)&gt;$F$6,"",INDEX(B$2:B$10000,SMALL(IF(ISNUMBER(MATCH($B$2:$B$10000,$E$6:$E$22,0)),ROW($C$2:$C$10000)-ROW($C$2)+1),ROWS(L$20:L93))))</f>
        <v>Kerrie  Worrell</v>
      </c>
      <c r="I93" s="4">
        <f t="array" ref="I93">IF(ROWS(M$20:M93)&gt;$F$6,"",INDEX(C$2:C$10000,SMALL(IF(ISNUMBER(MATCH($B$2:$B$10000,$E$6:$E$22,0)),ROW($C$2:$C$10000)-ROW($C$2)+1),ROWS(M$20:M93))))</f>
        <v>22</v>
      </c>
      <c r="K93" s="7">
        <f t="array" ref="K93">IF(ROWS(K$20:K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93))))</f>
        <v>41871</v>
      </c>
      <c r="L93" s="4" t="str">
        <f t="array" ref="L93">IF(ROWS(L$20:L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93))))</f>
        <v>Kerrie  Worrell</v>
      </c>
      <c r="M93" s="4">
        <f t="array" ref="M93">IF(ROWS(M$20:M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93))))</f>
        <v>22</v>
      </c>
    </row>
    <row r="94" spans="1:13" x14ac:dyDescent="0.25">
      <c r="A94" s="3">
        <v>41954</v>
      </c>
      <c r="B94" s="2" t="s">
        <v>28</v>
      </c>
      <c r="C94" s="2">
        <v>14</v>
      </c>
      <c r="G94" s="7">
        <f t="array" ref="G94">IF(ROWS(K$20:K94)&gt;$F$6,"",INDEX(A$2:A$10000,SMALL(IF(ISNUMBER(MATCH($B$2:$B$10000,$E$6:$E$22,0)),ROW($C$2:$C$10000)-ROW($C$2)+1),ROWS(K$20:K94))))</f>
        <v>41484</v>
      </c>
      <c r="H94" s="4" t="str">
        <f t="array" ref="H94">IF(ROWS(L$20:L94)&gt;$F$6,"",INDEX(B$2:B$10000,SMALL(IF(ISNUMBER(MATCH($B$2:$B$10000,$E$6:$E$22,0)),ROW($C$2:$C$10000)-ROW($C$2)+1),ROWS(L$20:L94))))</f>
        <v>Kerrie  Worrell</v>
      </c>
      <c r="I94" s="4">
        <f t="array" ref="I94">IF(ROWS(M$20:M94)&gt;$F$6,"",INDEX(C$2:C$10000,SMALL(IF(ISNUMBER(MATCH($B$2:$B$10000,$E$6:$E$22,0)),ROW($C$2:$C$10000)-ROW($C$2)+1),ROWS(M$20:M94))))</f>
        <v>9</v>
      </c>
      <c r="K94" s="7">
        <f t="array" ref="K94">IF(ROWS(K$20:K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94))))</f>
        <v>41484</v>
      </c>
      <c r="L94" s="4" t="str">
        <f t="array" ref="L94">IF(ROWS(L$20:L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94))))</f>
        <v>Kerrie  Worrell</v>
      </c>
      <c r="M94" s="4">
        <f t="array" ref="M94">IF(ROWS(M$20:M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94))))</f>
        <v>9</v>
      </c>
    </row>
    <row r="95" spans="1:13" x14ac:dyDescent="0.25">
      <c r="A95" s="3">
        <v>41889</v>
      </c>
      <c r="B95" s="2" t="s">
        <v>49</v>
      </c>
      <c r="C95" s="2">
        <v>37</v>
      </c>
      <c r="G95" s="7">
        <f t="array" ref="G95">IF(ROWS(K$20:K95)&gt;$F$6,"",INDEX(A$2:A$10000,SMALL(IF(ISNUMBER(MATCH($B$2:$B$10000,$E$6:$E$22,0)),ROW($C$2:$C$10000)-ROW($C$2)+1),ROWS(K$20:K95))))</f>
        <v>41810</v>
      </c>
      <c r="H95" s="4" t="str">
        <f t="array" ref="H95">IF(ROWS(L$20:L95)&gt;$F$6,"",INDEX(B$2:B$10000,SMALL(IF(ISNUMBER(MATCH($B$2:$B$10000,$E$6:$E$22,0)),ROW($C$2:$C$10000)-ROW($C$2)+1),ROWS(L$20:L95))))</f>
        <v>Jenni  Thorton</v>
      </c>
      <c r="I95" s="4">
        <f t="array" ref="I95">IF(ROWS(M$20:M95)&gt;$F$6,"",INDEX(C$2:C$10000,SMALL(IF(ISNUMBER(MATCH($B$2:$B$10000,$E$6:$E$22,0)),ROW($C$2:$C$10000)-ROW($C$2)+1),ROWS(M$20:M95))))</f>
        <v>30</v>
      </c>
      <c r="K95" s="7">
        <f t="array" ref="K95">IF(ROWS(K$20:K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95))))</f>
        <v>41810</v>
      </c>
      <c r="L95" s="4" t="str">
        <f t="array" ref="L95">IF(ROWS(L$20:L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95))))</f>
        <v>Jenni  Thorton</v>
      </c>
      <c r="M95" s="4">
        <f t="array" ref="M95">IF(ROWS(M$20:M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95))))</f>
        <v>30</v>
      </c>
    </row>
    <row r="96" spans="1:13" x14ac:dyDescent="0.25">
      <c r="A96" s="3">
        <v>41397</v>
      </c>
      <c r="B96" s="2" t="s">
        <v>46</v>
      </c>
      <c r="C96" s="2">
        <v>48</v>
      </c>
      <c r="G96" s="7">
        <f t="array" ref="G96">IF(ROWS(K$20:K96)&gt;$F$6,"",INDEX(A$2:A$10000,SMALL(IF(ISNUMBER(MATCH($B$2:$B$10000,$E$6:$E$22,0)),ROW($C$2:$C$10000)-ROW($C$2)+1),ROWS(K$20:K96))))</f>
        <v>41622</v>
      </c>
      <c r="H96" s="4" t="str">
        <f t="array" ref="H96">IF(ROWS(L$20:L96)&gt;$F$6,"",INDEX(B$2:B$10000,SMALL(IF(ISNUMBER(MATCH($B$2:$B$10000,$E$6:$E$22,0)),ROW($C$2:$C$10000)-ROW($C$2)+1),ROWS(L$20:L96))))</f>
        <v>Iliana  Valerio</v>
      </c>
      <c r="I96" s="4">
        <f t="array" ref="I96">IF(ROWS(M$20:M96)&gt;$F$6,"",INDEX(C$2:C$10000,SMALL(IF(ISNUMBER(MATCH($B$2:$B$10000,$E$6:$E$22,0)),ROW($C$2:$C$10000)-ROW($C$2)+1),ROWS(M$20:M96))))</f>
        <v>24</v>
      </c>
      <c r="K96" s="7">
        <f t="array" ref="K96">IF(ROWS(K$20:K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96))))</f>
        <v>41622</v>
      </c>
      <c r="L96" s="4" t="str">
        <f t="array" ref="L96">IF(ROWS(L$20:L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96))))</f>
        <v>Iliana  Valerio</v>
      </c>
      <c r="M96" s="4">
        <f t="array" ref="M96">IF(ROWS(M$20:M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96))))</f>
        <v>24</v>
      </c>
    </row>
    <row r="97" spans="1:13" x14ac:dyDescent="0.25">
      <c r="A97" s="3">
        <v>41297</v>
      </c>
      <c r="B97" s="2" t="s">
        <v>33</v>
      </c>
      <c r="C97" s="2">
        <v>7</v>
      </c>
      <c r="G97" s="7">
        <f t="array" ref="G97">IF(ROWS(K$20:K97)&gt;$F$6,"",INDEX(A$2:A$10000,SMALL(IF(ISNUMBER(MATCH($B$2:$B$10000,$E$6:$E$22,0)),ROW($C$2:$C$10000)-ROW($C$2)+1),ROWS(K$20:K97))))</f>
        <v>41325</v>
      </c>
      <c r="H97" s="4" t="str">
        <f t="array" ref="H97">IF(ROWS(L$20:L97)&gt;$F$6,"",INDEX(B$2:B$10000,SMALL(IF(ISNUMBER(MATCH($B$2:$B$10000,$E$6:$E$22,0)),ROW($C$2:$C$10000)-ROW($C$2)+1),ROWS(L$20:L97))))</f>
        <v>Mickey  Bolduc</v>
      </c>
      <c r="I97" s="4">
        <f t="array" ref="I97">IF(ROWS(M$20:M97)&gt;$F$6,"",INDEX(C$2:C$10000,SMALL(IF(ISNUMBER(MATCH($B$2:$B$10000,$E$6:$E$22,0)),ROW($C$2:$C$10000)-ROW($C$2)+1),ROWS(M$20:M97))))</f>
        <v>43</v>
      </c>
      <c r="K97" s="7">
        <f t="array" ref="K97">IF(ROWS(K$20:K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97))))</f>
        <v>41325</v>
      </c>
      <c r="L97" s="4" t="str">
        <f t="array" ref="L97">IF(ROWS(L$20:L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97))))</f>
        <v>Mickey  Bolduc</v>
      </c>
      <c r="M97" s="4">
        <f t="array" ref="M97">IF(ROWS(M$20:M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97))))</f>
        <v>43</v>
      </c>
    </row>
    <row r="98" spans="1:13" x14ac:dyDescent="0.25">
      <c r="A98" s="3">
        <v>41769</v>
      </c>
      <c r="B98" s="2" t="s">
        <v>36</v>
      </c>
      <c r="C98" s="2">
        <v>18</v>
      </c>
      <c r="G98" s="7">
        <f t="array" ref="G98">IF(ROWS(K$20:K98)&gt;$F$6,"",INDEX(A$2:A$10000,SMALL(IF(ISNUMBER(MATCH($B$2:$B$10000,$E$6:$E$22,0)),ROW($C$2:$C$10000)-ROW($C$2)+1),ROWS(K$20:K98))))</f>
        <v>41874</v>
      </c>
      <c r="H98" s="4" t="str">
        <f t="array" ref="H98">IF(ROWS(L$20:L98)&gt;$F$6,"",INDEX(B$2:B$10000,SMALL(IF(ISNUMBER(MATCH($B$2:$B$10000,$E$6:$E$22,0)),ROW($C$2:$C$10000)-ROW($C$2)+1),ROWS(L$20:L98))))</f>
        <v>Galen  Barth</v>
      </c>
      <c r="I98" s="4">
        <f t="array" ref="I98">IF(ROWS(M$20:M98)&gt;$F$6,"",INDEX(C$2:C$10000,SMALL(IF(ISNUMBER(MATCH($B$2:$B$10000,$E$6:$E$22,0)),ROW($C$2:$C$10000)-ROW($C$2)+1),ROWS(M$20:M98))))</f>
        <v>38</v>
      </c>
      <c r="K98" s="7">
        <f t="array" ref="K98">IF(ROWS(K$20:K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98))))</f>
        <v>41874</v>
      </c>
      <c r="L98" s="4" t="str">
        <f t="array" ref="L98">IF(ROWS(L$20:L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98))))</f>
        <v>Galen  Barth</v>
      </c>
      <c r="M98" s="4">
        <f t="array" ref="M98">IF(ROWS(M$20:M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98))))</f>
        <v>38</v>
      </c>
    </row>
    <row r="99" spans="1:13" x14ac:dyDescent="0.25">
      <c r="A99" s="3">
        <v>41450</v>
      </c>
      <c r="B99" s="2" t="s">
        <v>19</v>
      </c>
      <c r="C99" s="2">
        <v>10</v>
      </c>
      <c r="G99" s="7">
        <f t="array" ref="G99">IF(ROWS(K$20:K99)&gt;$F$6,"",INDEX(A$2:A$10000,SMALL(IF(ISNUMBER(MATCH($B$2:$B$10000,$E$6:$E$22,0)),ROW($C$2:$C$10000)-ROW($C$2)+1),ROWS(K$20:K99))))</f>
        <v>41378</v>
      </c>
      <c r="H99" s="4" t="str">
        <f t="array" ref="H99">IF(ROWS(L$20:L99)&gt;$F$6,"",INDEX(B$2:B$10000,SMALL(IF(ISNUMBER(MATCH($B$2:$B$10000,$E$6:$E$22,0)),ROW($C$2:$C$10000)-ROW($C$2)+1),ROWS(L$20:L99))))</f>
        <v>Kerrie  Worrell</v>
      </c>
      <c r="I99" s="4">
        <f t="array" ref="I99">IF(ROWS(M$20:M99)&gt;$F$6,"",INDEX(C$2:C$10000,SMALL(IF(ISNUMBER(MATCH($B$2:$B$10000,$E$6:$E$22,0)),ROW($C$2:$C$10000)-ROW($C$2)+1),ROWS(M$20:M99))))</f>
        <v>22</v>
      </c>
      <c r="K99" s="7">
        <f t="array" ref="K99">IF(ROWS(K$20:K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99))))</f>
        <v>41378</v>
      </c>
      <c r="L99" s="4" t="str">
        <f t="array" ref="L99">IF(ROWS(L$20:L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99))))</f>
        <v>Kerrie  Worrell</v>
      </c>
      <c r="M99" s="4">
        <f t="array" ref="M99">IF(ROWS(M$20:M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99))))</f>
        <v>22</v>
      </c>
    </row>
    <row r="100" spans="1:13" x14ac:dyDescent="0.25">
      <c r="A100" s="3">
        <v>41791</v>
      </c>
      <c r="B100" s="2" t="s">
        <v>42</v>
      </c>
      <c r="C100" s="2">
        <v>5</v>
      </c>
      <c r="G100" s="7">
        <f t="array" ref="G100">IF(ROWS(K$20:K100)&gt;$F$6,"",INDEX(A$2:A$10000,SMALL(IF(ISNUMBER(MATCH($B$2:$B$10000,$E$6:$E$22,0)),ROW($C$2:$C$10000)-ROW($C$2)+1),ROWS(K$20:K100))))</f>
        <v>41739</v>
      </c>
      <c r="H100" s="4" t="str">
        <f t="array" ref="H100">IF(ROWS(L$20:L100)&gt;$F$6,"",INDEX(B$2:B$10000,SMALL(IF(ISNUMBER(MATCH($B$2:$B$10000,$E$6:$E$22,0)),ROW($C$2:$C$10000)-ROW($C$2)+1),ROWS(L$20:L100))))</f>
        <v>Jenni  Thorton</v>
      </c>
      <c r="I100" s="4">
        <f t="array" ref="I100">IF(ROWS(M$20:M100)&gt;$F$6,"",INDEX(C$2:C$10000,SMALL(IF(ISNUMBER(MATCH($B$2:$B$10000,$E$6:$E$22,0)),ROW($C$2:$C$10000)-ROW($C$2)+1),ROWS(M$20:M100))))</f>
        <v>35</v>
      </c>
      <c r="K100" s="7">
        <f t="array" ref="K100">IF(ROWS(K$20:K100)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100))))</f>
        <v>41739</v>
      </c>
      <c r="L100" s="4" t="str">
        <f t="array" ref="L100">IF(ROWS(L$20:L100)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100))))</f>
        <v>Jenni  Thorton</v>
      </c>
      <c r="M100" s="4">
        <f t="array" ref="M100">IF(ROWS(M$20:M100)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100))))</f>
        <v>35</v>
      </c>
    </row>
    <row r="101" spans="1:13" x14ac:dyDescent="0.25">
      <c r="A101" s="3">
        <v>41580</v>
      </c>
      <c r="B101" s="2" t="s">
        <v>16</v>
      </c>
      <c r="C101" s="2">
        <v>28</v>
      </c>
      <c r="G101" s="7">
        <f t="array" ref="G101">IF(ROWS(K$20:K101)&gt;$F$6,"",INDEX(A$2:A$10000,SMALL(IF(ISNUMBER(MATCH($B$2:$B$10000,$E$6:$E$22,0)),ROW($C$2:$C$10000)-ROW($C$2)+1),ROWS(K$20:K101))))</f>
        <v>41869</v>
      </c>
      <c r="H101" s="4" t="str">
        <f t="array" ref="H101">IF(ROWS(L$20:L101)&gt;$F$6,"",INDEX(B$2:B$10000,SMALL(IF(ISNUMBER(MATCH($B$2:$B$10000,$E$6:$E$22,0)),ROW($C$2:$C$10000)-ROW($C$2)+1),ROWS(L$20:L101))))</f>
        <v>Mickey  Bolduc</v>
      </c>
      <c r="I101" s="4">
        <f t="array" ref="I101">IF(ROWS(M$20:M101)&gt;$F$6,"",INDEX(C$2:C$10000,SMALL(IF(ISNUMBER(MATCH($B$2:$B$10000,$E$6:$E$22,0)),ROW($C$2:$C$10000)-ROW($C$2)+1),ROWS(M$20:M101))))</f>
        <v>16</v>
      </c>
      <c r="K101" s="7">
        <f t="array" ref="K101">IF(ROWS(K$20:K101)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101))))</f>
        <v>41869</v>
      </c>
      <c r="L101" s="4" t="str">
        <f t="array" ref="L101">IF(ROWS(L$20:L101)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101))))</f>
        <v>Mickey  Bolduc</v>
      </c>
      <c r="M101" s="4">
        <f t="array" ref="M101">IF(ROWS(M$20:M101)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101))))</f>
        <v>16</v>
      </c>
    </row>
    <row r="102" spans="1:13" x14ac:dyDescent="0.25">
      <c r="A102" s="3">
        <v>41928</v>
      </c>
      <c r="B102" s="2" t="s">
        <v>44</v>
      </c>
      <c r="C102" s="2">
        <v>58</v>
      </c>
      <c r="G102" s="7">
        <f t="array" ref="G102">IF(ROWS(K$20:K102)&gt;$F$6,"",INDEX(A$2:A$10000,SMALL(IF(ISNUMBER(MATCH($B$2:$B$10000,$E$6:$E$22,0)),ROW($C$2:$C$10000)-ROW($C$2)+1),ROWS(K$20:K102))))</f>
        <v>41540</v>
      </c>
      <c r="H102" s="4" t="str">
        <f t="array" ref="H102">IF(ROWS(L$20:L102)&gt;$F$6,"",INDEX(B$2:B$10000,SMALL(IF(ISNUMBER(MATCH($B$2:$B$10000,$E$6:$E$22,0)),ROW($C$2:$C$10000)-ROW($C$2)+1),ROWS(L$20:L102))))</f>
        <v>Rosamond  Allard</v>
      </c>
      <c r="I102" s="4">
        <f t="array" ref="I102">IF(ROWS(M$20:M102)&gt;$F$6,"",INDEX(C$2:C$10000,SMALL(IF(ISNUMBER(MATCH($B$2:$B$10000,$E$6:$E$22,0)),ROW($C$2:$C$10000)-ROW($C$2)+1),ROWS(M$20:M102))))</f>
        <v>45</v>
      </c>
      <c r="K102" s="7">
        <f t="array" ref="K102">IF(ROWS(K$20:K102)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102))))</f>
        <v>41540</v>
      </c>
      <c r="L102" s="4" t="str">
        <f t="array" ref="L102">IF(ROWS(L$20:L102)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102))))</f>
        <v>Rosamond  Allard</v>
      </c>
      <c r="M102" s="4">
        <f t="array" ref="M102">IF(ROWS(M$20:M102)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102))))</f>
        <v>45</v>
      </c>
    </row>
    <row r="103" spans="1:13" x14ac:dyDescent="0.25">
      <c r="A103" s="3">
        <v>41306</v>
      </c>
      <c r="B103" s="2" t="s">
        <v>23</v>
      </c>
      <c r="C103" s="2">
        <v>34</v>
      </c>
      <c r="G103" s="7">
        <f t="array" ref="G103">IF(ROWS(K$20:K103)&gt;$F$6,"",INDEX(A$2:A$10000,SMALL(IF(ISNUMBER(MATCH($B$2:$B$10000,$E$6:$E$22,0)),ROW($C$2:$C$10000)-ROW($C$2)+1),ROWS(K$20:K103))))</f>
        <v>41537</v>
      </c>
      <c r="H103" s="4" t="str">
        <f t="array" ref="H103">IF(ROWS(L$20:L103)&gt;$F$6,"",INDEX(B$2:B$10000,SMALL(IF(ISNUMBER(MATCH($B$2:$B$10000,$E$6:$E$22,0)),ROW($C$2:$C$10000)-ROW($C$2)+1),ROWS(L$20:L103))))</f>
        <v>Rosamond  Allard</v>
      </c>
      <c r="I103" s="4">
        <f t="array" ref="I103">IF(ROWS(M$20:M103)&gt;$F$6,"",INDEX(C$2:C$10000,SMALL(IF(ISNUMBER(MATCH($B$2:$B$10000,$E$6:$E$22,0)),ROW($C$2:$C$10000)-ROW($C$2)+1),ROWS(M$20:M103))))</f>
        <v>39</v>
      </c>
      <c r="K103" s="7">
        <f t="array" ref="K103">IF(ROWS(K$20:K103)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103))))</f>
        <v>41537</v>
      </c>
      <c r="L103" s="4" t="str">
        <f t="array" ref="L103">IF(ROWS(L$20:L103)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103))))</f>
        <v>Rosamond  Allard</v>
      </c>
      <c r="M103" s="4">
        <f t="array" ref="M103">IF(ROWS(M$20:M103)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103))))</f>
        <v>39</v>
      </c>
    </row>
    <row r="104" spans="1:13" x14ac:dyDescent="0.25">
      <c r="A104" s="3">
        <v>41980</v>
      </c>
      <c r="B104" s="2" t="s">
        <v>44</v>
      </c>
      <c r="C104" s="2">
        <v>49</v>
      </c>
      <c r="G104" s="7">
        <f t="array" ref="G104">IF(ROWS(K$20:K104)&gt;$F$6,"",INDEX(A$2:A$10000,SMALL(IF(ISNUMBER(MATCH($B$2:$B$10000,$E$6:$E$22,0)),ROW($C$2:$C$10000)-ROW($C$2)+1),ROWS(K$20:K104))))</f>
        <v>41464</v>
      </c>
      <c r="H104" s="4" t="str">
        <f t="array" ref="H104">IF(ROWS(L$20:L104)&gt;$F$6,"",INDEX(B$2:B$10000,SMALL(IF(ISNUMBER(MATCH($B$2:$B$10000,$E$6:$E$22,0)),ROW($C$2:$C$10000)-ROW($C$2)+1),ROWS(L$20:L104))))</f>
        <v>Jenni  Thorton</v>
      </c>
      <c r="I104" s="4">
        <f t="array" ref="I104">IF(ROWS(M$20:M104)&gt;$F$6,"",INDEX(C$2:C$10000,SMALL(IF(ISNUMBER(MATCH($B$2:$B$10000,$E$6:$E$22,0)),ROW($C$2:$C$10000)-ROW($C$2)+1),ROWS(M$20:M104))))</f>
        <v>19</v>
      </c>
      <c r="K104" s="7">
        <f t="array" ref="K104">IF(ROWS(K$20:K104)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104))))</f>
        <v>41464</v>
      </c>
      <c r="L104" s="4" t="str">
        <f t="array" ref="L104">IF(ROWS(L$20:L104)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104))))</f>
        <v>Jenni  Thorton</v>
      </c>
      <c r="M104" s="4">
        <f t="array" ref="M104">IF(ROWS(M$20:M104)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104))))</f>
        <v>19</v>
      </c>
    </row>
    <row r="105" spans="1:13" x14ac:dyDescent="0.25">
      <c r="A105" s="3">
        <v>41707</v>
      </c>
      <c r="B105" s="2" t="s">
        <v>27</v>
      </c>
      <c r="C105" s="2">
        <v>25</v>
      </c>
      <c r="G105" s="7">
        <f t="array" ref="G105">IF(ROWS(K$20:K105)&gt;$F$6,"",INDEX(A$2:A$10000,SMALL(IF(ISNUMBER(MATCH($B$2:$B$10000,$E$6:$E$22,0)),ROW($C$2:$C$10000)-ROW($C$2)+1),ROWS(K$20:K105))))</f>
        <v>41526</v>
      </c>
      <c r="H105" s="4" t="str">
        <f t="array" ref="H105">IF(ROWS(L$20:L105)&gt;$F$6,"",INDEX(B$2:B$10000,SMALL(IF(ISNUMBER(MATCH($B$2:$B$10000,$E$6:$E$22,0)),ROW($C$2:$C$10000)-ROW($C$2)+1),ROWS(L$20:L105))))</f>
        <v>Jenni  Thorton</v>
      </c>
      <c r="I105" s="4">
        <f t="array" ref="I105">IF(ROWS(M$20:M105)&gt;$F$6,"",INDEX(C$2:C$10000,SMALL(IF(ISNUMBER(MATCH($B$2:$B$10000,$E$6:$E$22,0)),ROW($C$2:$C$10000)-ROW($C$2)+1),ROWS(M$20:M105))))</f>
        <v>23</v>
      </c>
      <c r="K105" s="7">
        <f t="array" ref="K105">IF(ROWS(K$20:K105)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105))))</f>
        <v>41526</v>
      </c>
      <c r="L105" s="4" t="str">
        <f t="array" ref="L105">IF(ROWS(L$20:L105)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105))))</f>
        <v>Jenni  Thorton</v>
      </c>
      <c r="M105" s="4">
        <f t="array" ref="M105">IF(ROWS(M$20:M105)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105))))</f>
        <v>23</v>
      </c>
    </row>
    <row r="106" spans="1:13" x14ac:dyDescent="0.25">
      <c r="A106" s="3">
        <v>41546</v>
      </c>
      <c r="B106" s="2" t="s">
        <v>44</v>
      </c>
      <c r="C106" s="2">
        <v>19</v>
      </c>
      <c r="G106" s="7">
        <f t="array" ref="G106">IF(ROWS(K$20:K106)&gt;$F$6,"",INDEX(A$2:A$10000,SMALL(IF(ISNUMBER(MATCH($B$2:$B$10000,$E$6:$E$22,0)),ROW($C$2:$C$10000)-ROW($C$2)+1),ROWS(K$20:K106))))</f>
        <v>41608</v>
      </c>
      <c r="H106" s="4" t="str">
        <f t="array" ref="H106">IF(ROWS(L$20:L106)&gt;$F$6,"",INDEX(B$2:B$10000,SMALL(IF(ISNUMBER(MATCH($B$2:$B$10000,$E$6:$E$22,0)),ROW($C$2:$C$10000)-ROW($C$2)+1),ROWS(L$20:L106))))</f>
        <v>Rosamond  Allard</v>
      </c>
      <c r="I106" s="4">
        <f t="array" ref="I106">IF(ROWS(M$20:M106)&gt;$F$6,"",INDEX(C$2:C$10000,SMALL(IF(ISNUMBER(MATCH($B$2:$B$10000,$E$6:$E$22,0)),ROW($C$2:$C$10000)-ROW($C$2)+1),ROWS(M$20:M106))))</f>
        <v>36</v>
      </c>
      <c r="K106" s="7">
        <f t="array" ref="K106">IF(ROWS(K$20:K106)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106))))</f>
        <v>41608</v>
      </c>
      <c r="L106" s="4" t="str">
        <f t="array" ref="L106">IF(ROWS(L$20:L106)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106))))</f>
        <v>Rosamond  Allard</v>
      </c>
      <c r="M106" s="4">
        <f t="array" ref="M106">IF(ROWS(M$20:M106)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106))))</f>
        <v>36</v>
      </c>
    </row>
    <row r="107" spans="1:13" x14ac:dyDescent="0.25">
      <c r="A107" s="3">
        <v>41425</v>
      </c>
      <c r="B107" s="2" t="s">
        <v>25</v>
      </c>
      <c r="C107" s="2">
        <v>13</v>
      </c>
      <c r="G107" s="7">
        <f t="array" ref="G107">IF(ROWS(K$20:K107)&gt;$F$6,"",INDEX(A$2:A$10000,SMALL(IF(ISNUMBER(MATCH($B$2:$B$10000,$E$6:$E$22,0)),ROW($C$2:$C$10000)-ROW($C$2)+1),ROWS(K$20:K107))))</f>
        <v>41859</v>
      </c>
      <c r="H107" s="4" t="str">
        <f t="array" ref="H107">IF(ROWS(L$20:L107)&gt;$F$6,"",INDEX(B$2:B$10000,SMALL(IF(ISNUMBER(MATCH($B$2:$B$10000,$E$6:$E$22,0)),ROW($C$2:$C$10000)-ROW($C$2)+1),ROWS(L$20:L107))))</f>
        <v>Rosamond  Allard</v>
      </c>
      <c r="I107" s="4">
        <f t="array" ref="I107">IF(ROWS(M$20:M107)&gt;$F$6,"",INDEX(C$2:C$10000,SMALL(IF(ISNUMBER(MATCH($B$2:$B$10000,$E$6:$E$22,0)),ROW($C$2:$C$10000)-ROW($C$2)+1),ROWS(M$20:M107))))</f>
        <v>21</v>
      </c>
      <c r="K107" s="7">
        <f t="array" ref="K107">IF(ROWS(K$20:K107)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107))))</f>
        <v>41859</v>
      </c>
      <c r="L107" s="4" t="str">
        <f t="array" ref="L107">IF(ROWS(L$20:L107)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107))))</f>
        <v>Rosamond  Allard</v>
      </c>
      <c r="M107" s="4">
        <f t="array" ref="M107">IF(ROWS(M$20:M107)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107))))</f>
        <v>21</v>
      </c>
    </row>
    <row r="108" spans="1:13" x14ac:dyDescent="0.25">
      <c r="A108" s="3">
        <v>41278</v>
      </c>
      <c r="B108" s="2" t="s">
        <v>16</v>
      </c>
      <c r="C108" s="2">
        <v>33</v>
      </c>
      <c r="G108" s="7">
        <f t="array" ref="G108">IF(ROWS(K$20:K108)&gt;$F$6,"",INDEX(A$2:A$10000,SMALL(IF(ISNUMBER(MATCH($B$2:$B$10000,$E$6:$E$22,0)),ROW($C$2:$C$10000)-ROW($C$2)+1),ROWS(K$20:K108))))</f>
        <v>41699</v>
      </c>
      <c r="H108" s="4" t="str">
        <f t="array" ref="H108">IF(ROWS(L$20:L108)&gt;$F$6,"",INDEX(B$2:B$10000,SMALL(IF(ISNUMBER(MATCH($B$2:$B$10000,$E$6:$E$22,0)),ROW($C$2:$C$10000)-ROW($C$2)+1),ROWS(L$20:L108))))</f>
        <v>Rosamond  Allard</v>
      </c>
      <c r="I108" s="4">
        <f t="array" ref="I108">IF(ROWS(M$20:M108)&gt;$F$6,"",INDEX(C$2:C$10000,SMALL(IF(ISNUMBER(MATCH($B$2:$B$10000,$E$6:$E$22,0)),ROW($C$2:$C$10000)-ROW($C$2)+1),ROWS(M$20:M108))))</f>
        <v>44</v>
      </c>
      <c r="K108" s="7">
        <f t="array" ref="K108">IF(ROWS(K$20:K108)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108))))</f>
        <v>41699</v>
      </c>
      <c r="L108" s="4" t="str">
        <f t="array" ref="L108">IF(ROWS(L$20:L108)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108))))</f>
        <v>Rosamond  Allard</v>
      </c>
      <c r="M108" s="4">
        <f t="array" ref="M108">IF(ROWS(M$20:M108)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108))))</f>
        <v>44</v>
      </c>
    </row>
    <row r="109" spans="1:13" x14ac:dyDescent="0.25">
      <c r="A109" s="3">
        <v>41895</v>
      </c>
      <c r="B109" s="2" t="s">
        <v>20</v>
      </c>
      <c r="C109" s="2">
        <v>13</v>
      </c>
      <c r="G109" s="7">
        <f t="array" ref="G109">IF(ROWS(K$20:K109)&gt;$F$6,"",INDEX(A$2:A$10000,SMALL(IF(ISNUMBER(MATCH($B$2:$B$10000,$E$6:$E$22,0)),ROW($C$2:$C$10000)-ROW($C$2)+1),ROWS(K$20:K109))))</f>
        <v>41897</v>
      </c>
      <c r="H109" s="4" t="str">
        <f t="array" ref="H109">IF(ROWS(L$20:L109)&gt;$F$6,"",INDEX(B$2:B$10000,SMALL(IF(ISNUMBER(MATCH($B$2:$B$10000,$E$6:$E$22,0)),ROW($C$2:$C$10000)-ROW($C$2)+1),ROWS(L$20:L109))))</f>
        <v>Kerrie  Worrell</v>
      </c>
      <c r="I109" s="4">
        <f t="array" ref="I109">IF(ROWS(M$20:M109)&gt;$F$6,"",INDEX(C$2:C$10000,SMALL(IF(ISNUMBER(MATCH($B$2:$B$10000,$E$6:$E$22,0)),ROW($C$2:$C$10000)-ROW($C$2)+1),ROWS(M$20:M109))))</f>
        <v>15</v>
      </c>
      <c r="K109" s="7">
        <f t="array" ref="K109">IF(ROWS(K$20:K109)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109))))</f>
        <v>41897</v>
      </c>
      <c r="L109" s="4" t="str">
        <f t="array" ref="L109">IF(ROWS(L$20:L109)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109))))</f>
        <v>Kerrie  Worrell</v>
      </c>
      <c r="M109" s="4">
        <f t="array" ref="M109">IF(ROWS(M$20:M109)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109))))</f>
        <v>15</v>
      </c>
    </row>
    <row r="110" spans="1:13" x14ac:dyDescent="0.25">
      <c r="A110" s="3">
        <v>41886</v>
      </c>
      <c r="B110" s="2" t="s">
        <v>2</v>
      </c>
      <c r="C110" s="2">
        <v>11</v>
      </c>
      <c r="G110" s="7">
        <f t="array" ref="G110">IF(ROWS(K$20:K110)&gt;$F$6,"",INDEX(A$2:A$10000,SMALL(IF(ISNUMBER(MATCH($B$2:$B$10000,$E$6:$E$22,0)),ROW($C$2:$C$10000)-ROW($C$2)+1),ROWS(K$20:K110))))</f>
        <v>41357</v>
      </c>
      <c r="H110" s="4" t="str">
        <f t="array" ref="H110">IF(ROWS(L$20:L110)&gt;$F$6,"",INDEX(B$2:B$10000,SMALL(IF(ISNUMBER(MATCH($B$2:$B$10000,$E$6:$E$22,0)),ROW($C$2:$C$10000)-ROW($C$2)+1),ROWS(L$20:L110))))</f>
        <v>Rosamond  Allard</v>
      </c>
      <c r="I110" s="4">
        <f t="array" ref="I110">IF(ROWS(M$20:M110)&gt;$F$6,"",INDEX(C$2:C$10000,SMALL(IF(ISNUMBER(MATCH($B$2:$B$10000,$E$6:$E$22,0)),ROW($C$2:$C$10000)-ROW($C$2)+1),ROWS(M$20:M110))))</f>
        <v>34</v>
      </c>
      <c r="K110" s="7">
        <f t="array" ref="K110">IF(ROWS(K$20:K110)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110))))</f>
        <v>41357</v>
      </c>
      <c r="L110" s="4" t="str">
        <f t="array" ref="L110">IF(ROWS(L$20:L110)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110))))</f>
        <v>Rosamond  Allard</v>
      </c>
      <c r="M110" s="4">
        <f t="array" ref="M110">IF(ROWS(M$20:M110)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110))))</f>
        <v>34</v>
      </c>
    </row>
    <row r="111" spans="1:13" x14ac:dyDescent="0.25">
      <c r="A111" s="3">
        <v>41500</v>
      </c>
      <c r="B111" s="2" t="s">
        <v>3</v>
      </c>
      <c r="C111" s="2">
        <v>20</v>
      </c>
      <c r="G111" s="7">
        <f t="array" ref="G111">IF(ROWS(K$20:K111)&gt;$F$6,"",INDEX(A$2:A$10000,SMALL(IF(ISNUMBER(MATCH($B$2:$B$10000,$E$6:$E$22,0)),ROW($C$2:$C$10000)-ROW($C$2)+1),ROWS(K$20:K111))))</f>
        <v>41568</v>
      </c>
      <c r="H111" s="4" t="str">
        <f t="array" ref="H111">IF(ROWS(L$20:L111)&gt;$F$6,"",INDEX(B$2:B$10000,SMALL(IF(ISNUMBER(MATCH($B$2:$B$10000,$E$6:$E$22,0)),ROW($C$2:$C$10000)-ROW($C$2)+1),ROWS(L$20:L111))))</f>
        <v>Galen  Barth</v>
      </c>
      <c r="I111" s="4">
        <f t="array" ref="I111">IF(ROWS(M$20:M111)&gt;$F$6,"",INDEX(C$2:C$10000,SMALL(IF(ISNUMBER(MATCH($B$2:$B$10000,$E$6:$E$22,0)),ROW($C$2:$C$10000)-ROW($C$2)+1),ROWS(M$20:M111))))</f>
        <v>24</v>
      </c>
      <c r="K111" s="7">
        <f t="array" ref="K111">IF(ROWS(K$20:K111)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111))))</f>
        <v>41568</v>
      </c>
      <c r="L111" s="4" t="str">
        <f t="array" ref="L111">IF(ROWS(L$20:L111)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111))))</f>
        <v>Galen  Barth</v>
      </c>
      <c r="M111" s="4">
        <f t="array" ref="M111">IF(ROWS(M$20:M111)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111))))</f>
        <v>24</v>
      </c>
    </row>
    <row r="112" spans="1:13" x14ac:dyDescent="0.25">
      <c r="A112" s="3">
        <v>41939</v>
      </c>
      <c r="B112" s="2" t="s">
        <v>49</v>
      </c>
      <c r="C112" s="2">
        <v>42</v>
      </c>
      <c r="G112" s="7">
        <f t="array" ref="G112">IF(ROWS(K$20:K112)&gt;$F$6,"",INDEX(A$2:A$10000,SMALL(IF(ISNUMBER(MATCH($B$2:$B$10000,$E$6:$E$22,0)),ROW($C$2:$C$10000)-ROW($C$2)+1),ROWS(K$20:K112))))</f>
        <v>41502</v>
      </c>
      <c r="H112" s="4" t="str">
        <f t="array" ref="H112">IF(ROWS(L$20:L112)&gt;$F$6,"",INDEX(B$2:B$10000,SMALL(IF(ISNUMBER(MATCH($B$2:$B$10000,$E$6:$E$22,0)),ROW($C$2:$C$10000)-ROW($C$2)+1),ROWS(L$20:L112))))</f>
        <v>Kerrie  Worrell</v>
      </c>
      <c r="I112" s="4">
        <f t="array" ref="I112">IF(ROWS(M$20:M112)&gt;$F$6,"",INDEX(C$2:C$10000,SMALL(IF(ISNUMBER(MATCH($B$2:$B$10000,$E$6:$E$22,0)),ROW($C$2:$C$10000)-ROW($C$2)+1),ROWS(M$20:M112))))</f>
        <v>39</v>
      </c>
      <c r="K112" s="7">
        <f t="array" ref="K112">IF(ROWS(K$20:K112)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112))))</f>
        <v>41502</v>
      </c>
      <c r="L112" s="4" t="str">
        <f t="array" ref="L112">IF(ROWS(L$20:L112)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112))))</f>
        <v>Kerrie  Worrell</v>
      </c>
      <c r="M112" s="4">
        <f t="array" ref="M112">IF(ROWS(M$20:M112)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112))))</f>
        <v>39</v>
      </c>
    </row>
    <row r="113" spans="1:13" x14ac:dyDescent="0.25">
      <c r="A113" s="3">
        <v>41697</v>
      </c>
      <c r="B113" s="2" t="s">
        <v>27</v>
      </c>
      <c r="C113" s="2">
        <v>18</v>
      </c>
      <c r="G113" s="7">
        <f t="array" ref="G113">IF(ROWS(K$20:K113)&gt;$F$6,"",INDEX(A$2:A$10000,SMALL(IF(ISNUMBER(MATCH($B$2:$B$10000,$E$6:$E$22,0)),ROW($C$2:$C$10000)-ROW($C$2)+1),ROWS(K$20:K113))))</f>
        <v>41766</v>
      </c>
      <c r="H113" s="4" t="str">
        <f t="array" ref="H113">IF(ROWS(L$20:L113)&gt;$F$6,"",INDEX(B$2:B$10000,SMALL(IF(ISNUMBER(MATCH($B$2:$B$10000,$E$6:$E$22,0)),ROW($C$2:$C$10000)-ROW($C$2)+1),ROWS(L$20:L113))))</f>
        <v>Kerrie  Worrell</v>
      </c>
      <c r="I113" s="4">
        <f t="array" ref="I113">IF(ROWS(M$20:M113)&gt;$F$6,"",INDEX(C$2:C$10000,SMALL(IF(ISNUMBER(MATCH($B$2:$B$10000,$E$6:$E$22,0)),ROW($C$2:$C$10000)-ROW($C$2)+1),ROWS(M$20:M113))))</f>
        <v>35</v>
      </c>
      <c r="K113" s="7">
        <f t="array" ref="K113">IF(ROWS(K$20:K113)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113))))</f>
        <v>41766</v>
      </c>
      <c r="L113" s="4" t="str">
        <f t="array" ref="L113">IF(ROWS(L$20:L113)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113))))</f>
        <v>Kerrie  Worrell</v>
      </c>
      <c r="M113" s="4">
        <f t="array" ref="M113">IF(ROWS(M$20:M113)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113))))</f>
        <v>35</v>
      </c>
    </row>
    <row r="114" spans="1:13" x14ac:dyDescent="0.25">
      <c r="A114" s="3">
        <v>41722</v>
      </c>
      <c r="B114" s="2" t="s">
        <v>45</v>
      </c>
      <c r="C114" s="2">
        <v>18</v>
      </c>
      <c r="G114" s="7">
        <f t="array" ref="G114">IF(ROWS(K$20:K114)&gt;$F$6,"",INDEX(A$2:A$10000,SMALL(IF(ISNUMBER(MATCH($B$2:$B$10000,$E$6:$E$22,0)),ROW($C$2:$C$10000)-ROW($C$2)+1),ROWS(K$20:K114))))</f>
        <v>41298</v>
      </c>
      <c r="H114" s="4" t="str">
        <f t="array" ref="H114">IF(ROWS(L$20:L114)&gt;$F$6,"",INDEX(B$2:B$10000,SMALL(IF(ISNUMBER(MATCH($B$2:$B$10000,$E$6:$E$22,0)),ROW($C$2:$C$10000)-ROW($C$2)+1),ROWS(L$20:L114))))</f>
        <v>Mickey  Bolduc</v>
      </c>
      <c r="I114" s="4">
        <f t="array" ref="I114">IF(ROWS(M$20:M114)&gt;$F$6,"",INDEX(C$2:C$10000,SMALL(IF(ISNUMBER(MATCH($B$2:$B$10000,$E$6:$E$22,0)),ROW($C$2:$C$10000)-ROW($C$2)+1),ROWS(M$20:M114))))</f>
        <v>23</v>
      </c>
      <c r="K114" s="7">
        <f t="array" ref="K114">IF(ROWS(K$20:K114)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114))))</f>
        <v>41298</v>
      </c>
      <c r="L114" s="4" t="str">
        <f t="array" ref="L114">IF(ROWS(L$20:L114)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114))))</f>
        <v>Mickey  Bolduc</v>
      </c>
      <c r="M114" s="4">
        <f t="array" ref="M114">IF(ROWS(M$20:M114)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114))))</f>
        <v>23</v>
      </c>
    </row>
    <row r="115" spans="1:13" x14ac:dyDescent="0.25">
      <c r="A115" s="3">
        <v>41728</v>
      </c>
      <c r="B115" s="2" t="s">
        <v>21</v>
      </c>
      <c r="C115" s="2">
        <v>21</v>
      </c>
      <c r="G115" s="7">
        <f t="array" ref="G115">IF(ROWS(K$20:K115)&gt;$F$6,"",INDEX(A$2:A$10000,SMALL(IF(ISNUMBER(MATCH($B$2:$B$10000,$E$6:$E$22,0)),ROW($C$2:$C$10000)-ROW($C$2)+1),ROWS(K$20:K115))))</f>
        <v>41339</v>
      </c>
      <c r="H115" s="4" t="str">
        <f t="array" ref="H115">IF(ROWS(L$20:L115)&gt;$F$6,"",INDEX(B$2:B$10000,SMALL(IF(ISNUMBER(MATCH($B$2:$B$10000,$E$6:$E$22,0)),ROW($C$2:$C$10000)-ROW($C$2)+1),ROWS(L$20:L115))))</f>
        <v>Mickey  Bolduc</v>
      </c>
      <c r="I115" s="4">
        <f t="array" ref="I115">IF(ROWS(M$20:M115)&gt;$F$6,"",INDEX(C$2:C$10000,SMALL(IF(ISNUMBER(MATCH($B$2:$B$10000,$E$6:$E$22,0)),ROW($C$2:$C$10000)-ROW($C$2)+1),ROWS(M$20:M115))))</f>
        <v>1</v>
      </c>
      <c r="K115" s="7">
        <f t="array" ref="K115">IF(ROWS(K$20:K115)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115))))</f>
        <v>41339</v>
      </c>
      <c r="L115" s="4" t="str">
        <f t="array" ref="L115">IF(ROWS(L$20:L115)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115))))</f>
        <v>Mickey  Bolduc</v>
      </c>
      <c r="M115" s="4">
        <f t="array" ref="M115">IF(ROWS(M$20:M115)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115))))</f>
        <v>1</v>
      </c>
    </row>
    <row r="116" spans="1:13" x14ac:dyDescent="0.25">
      <c r="A116" s="3">
        <v>41915</v>
      </c>
      <c r="B116" s="2" t="s">
        <v>26</v>
      </c>
      <c r="C116" s="2">
        <v>57</v>
      </c>
      <c r="G116" s="7">
        <f t="array" ref="G116">IF(ROWS(K$20:K116)&gt;$F$6,"",INDEX(A$2:A$10000,SMALL(IF(ISNUMBER(MATCH($B$2:$B$10000,$E$6:$E$22,0)),ROW($C$2:$C$10000)-ROW($C$2)+1),ROWS(K$20:K116))))</f>
        <v>41419</v>
      </c>
      <c r="H116" s="4" t="str">
        <f t="array" ref="H116">IF(ROWS(L$20:L116)&gt;$F$6,"",INDEX(B$2:B$10000,SMALL(IF(ISNUMBER(MATCH($B$2:$B$10000,$E$6:$E$22,0)),ROW($C$2:$C$10000)-ROW($C$2)+1),ROWS(L$20:L116))))</f>
        <v>Mickey  Bolduc</v>
      </c>
      <c r="I116" s="4">
        <f t="array" ref="I116">IF(ROWS(M$20:M116)&gt;$F$6,"",INDEX(C$2:C$10000,SMALL(IF(ISNUMBER(MATCH($B$2:$B$10000,$E$6:$E$22,0)),ROW($C$2:$C$10000)-ROW($C$2)+1),ROWS(M$20:M116))))</f>
        <v>22</v>
      </c>
      <c r="K116" s="7">
        <f t="array" ref="K116">IF(ROWS(K$20:K116)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116))))</f>
        <v>41419</v>
      </c>
      <c r="L116" s="4" t="str">
        <f t="array" ref="L116">IF(ROWS(L$20:L116)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116))))</f>
        <v>Mickey  Bolduc</v>
      </c>
      <c r="M116" s="4">
        <f t="array" ref="M116">IF(ROWS(M$20:M116)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116))))</f>
        <v>22</v>
      </c>
    </row>
    <row r="117" spans="1:13" x14ac:dyDescent="0.25">
      <c r="A117" s="3">
        <v>41665</v>
      </c>
      <c r="B117" s="2" t="s">
        <v>7</v>
      </c>
      <c r="C117" s="2">
        <v>9</v>
      </c>
      <c r="G117" s="7">
        <f t="array" ref="G117">IF(ROWS(K$20:K117)&gt;$F$6,"",INDEX(A$2:A$10000,SMALL(IF(ISNUMBER(MATCH($B$2:$B$10000,$E$6:$E$22,0)),ROW($C$2:$C$10000)-ROW($C$2)+1),ROWS(K$20:K117))))</f>
        <v>41946</v>
      </c>
      <c r="H117" s="4" t="str">
        <f t="array" ref="H117">IF(ROWS(L$20:L117)&gt;$F$6,"",INDEX(B$2:B$10000,SMALL(IF(ISNUMBER(MATCH($B$2:$B$10000,$E$6:$E$22,0)),ROW($C$2:$C$10000)-ROW($C$2)+1),ROWS(L$20:L117))))</f>
        <v>Iliana  Valerio</v>
      </c>
      <c r="I117" s="4">
        <f t="array" ref="I117">IF(ROWS(M$20:M117)&gt;$F$6,"",INDEX(C$2:C$10000,SMALL(IF(ISNUMBER(MATCH($B$2:$B$10000,$E$6:$E$22,0)),ROW($C$2:$C$10000)-ROW($C$2)+1),ROWS(M$20:M117))))</f>
        <v>5</v>
      </c>
      <c r="K117" s="7">
        <f t="array" ref="K117">IF(ROWS(K$20:K117)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117))))</f>
        <v>41946</v>
      </c>
      <c r="L117" s="4" t="str">
        <f t="array" ref="L117">IF(ROWS(L$20:L117)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117))))</f>
        <v>Iliana  Valerio</v>
      </c>
      <c r="M117" s="4">
        <f t="array" ref="M117">IF(ROWS(M$20:M117)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117))))</f>
        <v>5</v>
      </c>
    </row>
    <row r="118" spans="1:13" x14ac:dyDescent="0.25">
      <c r="A118" s="3">
        <v>41554</v>
      </c>
      <c r="B118" s="2" t="s">
        <v>17</v>
      </c>
      <c r="C118" s="2">
        <v>37</v>
      </c>
      <c r="G118" s="7">
        <f t="array" ref="G118">IF(ROWS(K$20:K118)&gt;$F$6,"",INDEX(A$2:A$10000,SMALL(IF(ISNUMBER(MATCH($B$2:$B$10000,$E$6:$E$22,0)),ROW($C$2:$C$10000)-ROW($C$2)+1),ROWS(K$20:K118))))</f>
        <v>41563</v>
      </c>
      <c r="H118" s="4" t="str">
        <f t="array" ref="H118">IF(ROWS(L$20:L118)&gt;$F$6,"",INDEX(B$2:B$10000,SMALL(IF(ISNUMBER(MATCH($B$2:$B$10000,$E$6:$E$22,0)),ROW($C$2:$C$10000)-ROW($C$2)+1),ROWS(L$20:L118))))</f>
        <v>Mickey  Bolduc</v>
      </c>
      <c r="I118" s="4">
        <f t="array" ref="I118">IF(ROWS(M$20:M118)&gt;$F$6,"",INDEX(C$2:C$10000,SMALL(IF(ISNUMBER(MATCH($B$2:$B$10000,$E$6:$E$22,0)),ROW($C$2:$C$10000)-ROW($C$2)+1),ROWS(M$20:M118))))</f>
        <v>41</v>
      </c>
      <c r="K118" s="7">
        <f t="array" ref="K118">IF(ROWS(K$20:K118)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118))))</f>
        <v>41563</v>
      </c>
      <c r="L118" s="4" t="str">
        <f t="array" ref="L118">IF(ROWS(L$20:L118)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118))))</f>
        <v>Mickey  Bolduc</v>
      </c>
      <c r="M118" s="4">
        <f t="array" ref="M118">IF(ROWS(M$20:M118)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118))))</f>
        <v>41</v>
      </c>
    </row>
    <row r="119" spans="1:13" x14ac:dyDescent="0.25">
      <c r="A119" s="3">
        <v>41408</v>
      </c>
      <c r="B119" s="2" t="s">
        <v>9</v>
      </c>
      <c r="C119" s="2">
        <v>31</v>
      </c>
      <c r="G119" s="7">
        <f t="array" ref="G119">IF(ROWS(K$20:K119)&gt;$F$6,"",INDEX(A$2:A$10000,SMALL(IF(ISNUMBER(MATCH($B$2:$B$10000,$E$6:$E$22,0)),ROW($C$2:$C$10000)-ROW($C$2)+1),ROWS(K$20:K119))))</f>
        <v>41828</v>
      </c>
      <c r="H119" s="4" t="str">
        <f t="array" ref="H119">IF(ROWS(L$20:L119)&gt;$F$6,"",INDEX(B$2:B$10000,SMALL(IF(ISNUMBER(MATCH($B$2:$B$10000,$E$6:$E$22,0)),ROW($C$2:$C$10000)-ROW($C$2)+1),ROWS(L$20:L119))))</f>
        <v>Rosamond  Allard</v>
      </c>
      <c r="I119" s="4">
        <f t="array" ref="I119">IF(ROWS(M$20:M119)&gt;$F$6,"",INDEX(C$2:C$10000,SMALL(IF(ISNUMBER(MATCH($B$2:$B$10000,$E$6:$E$22,0)),ROW($C$2:$C$10000)-ROW($C$2)+1),ROWS(M$20:M119))))</f>
        <v>13</v>
      </c>
      <c r="K119" s="7">
        <f t="array" ref="K119">IF(ROWS(K$20:K119)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119))))</f>
        <v>41828</v>
      </c>
      <c r="L119" s="4" t="str">
        <f t="array" ref="L119">IF(ROWS(L$20:L119)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119))))</f>
        <v>Rosamond  Allard</v>
      </c>
      <c r="M119" s="4">
        <f t="array" ref="M119">IF(ROWS(M$20:M119)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119))))</f>
        <v>13</v>
      </c>
    </row>
    <row r="120" spans="1:13" x14ac:dyDescent="0.25">
      <c r="A120" s="3">
        <v>41456</v>
      </c>
      <c r="B120" s="2" t="s">
        <v>16</v>
      </c>
      <c r="C120" s="2">
        <v>18</v>
      </c>
      <c r="G120" s="7">
        <f t="array" ref="G120">IF(ROWS(K$20:K120)&gt;$F$6,"",INDEX(A$2:A$10000,SMALL(IF(ISNUMBER(MATCH($B$2:$B$10000,$E$6:$E$22,0)),ROW($C$2:$C$10000)-ROW($C$2)+1),ROWS(K$20:K120))))</f>
        <v>41321</v>
      </c>
      <c r="H120" s="4" t="str">
        <f t="array" ref="H120">IF(ROWS(L$20:L120)&gt;$F$6,"",INDEX(B$2:B$10000,SMALL(IF(ISNUMBER(MATCH($B$2:$B$10000,$E$6:$E$22,0)),ROW($C$2:$C$10000)-ROW($C$2)+1),ROWS(L$20:L120))))</f>
        <v>Rosamond  Allard</v>
      </c>
      <c r="I120" s="4">
        <f t="array" ref="I120">IF(ROWS(M$20:M120)&gt;$F$6,"",INDEX(C$2:C$10000,SMALL(IF(ISNUMBER(MATCH($B$2:$B$10000,$E$6:$E$22,0)),ROW($C$2:$C$10000)-ROW($C$2)+1),ROWS(M$20:M120))))</f>
        <v>47</v>
      </c>
      <c r="K120" s="7">
        <f t="array" ref="K120">IF(ROWS(K$20:K120)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120))))</f>
        <v>41321</v>
      </c>
      <c r="L120" s="4" t="str">
        <f t="array" ref="L120">IF(ROWS(L$20:L120)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120))))</f>
        <v>Rosamond  Allard</v>
      </c>
      <c r="M120" s="4">
        <f t="array" ref="M120">IF(ROWS(M$20:M120)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120))))</f>
        <v>47</v>
      </c>
    </row>
    <row r="121" spans="1:13" x14ac:dyDescent="0.25">
      <c r="A121" s="3">
        <v>41802</v>
      </c>
      <c r="B121" s="2" t="s">
        <v>20</v>
      </c>
      <c r="C121" s="2">
        <v>19</v>
      </c>
      <c r="G121" s="7">
        <f t="array" ref="G121">IF(ROWS(K$20:K121)&gt;$F$6,"",INDEX(A$2:A$10000,SMALL(IF(ISNUMBER(MATCH($B$2:$B$10000,$E$6:$E$22,0)),ROW($C$2:$C$10000)-ROW($C$2)+1),ROWS(K$20:K121))))</f>
        <v>41357</v>
      </c>
      <c r="H121" s="4" t="str">
        <f t="array" ref="H121">IF(ROWS(L$20:L121)&gt;$F$6,"",INDEX(B$2:B$10000,SMALL(IF(ISNUMBER(MATCH($B$2:$B$10000,$E$6:$E$22,0)),ROW($C$2:$C$10000)-ROW($C$2)+1),ROWS(L$20:L121))))</f>
        <v>Iliana  Valerio</v>
      </c>
      <c r="I121" s="4">
        <f t="array" ref="I121">IF(ROWS(M$20:M121)&gt;$F$6,"",INDEX(C$2:C$10000,SMALL(IF(ISNUMBER(MATCH($B$2:$B$10000,$E$6:$E$22,0)),ROW($C$2:$C$10000)-ROW($C$2)+1),ROWS(M$20:M121))))</f>
        <v>22</v>
      </c>
      <c r="K121" s="7">
        <f t="array" ref="K121">IF(ROWS(K$20:K121)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121))))</f>
        <v>41357</v>
      </c>
      <c r="L121" s="4" t="str">
        <f t="array" ref="L121">IF(ROWS(L$20:L121)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121))))</f>
        <v>Iliana  Valerio</v>
      </c>
      <c r="M121" s="4">
        <f t="array" ref="M121">IF(ROWS(M$20:M121)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121))))</f>
        <v>22</v>
      </c>
    </row>
    <row r="122" spans="1:13" x14ac:dyDescent="0.25">
      <c r="A122" s="3">
        <v>41995</v>
      </c>
      <c r="B122" s="2" t="s">
        <v>2</v>
      </c>
      <c r="C122" s="2">
        <v>25</v>
      </c>
      <c r="G122" s="7">
        <f t="array" ref="G122">IF(ROWS(K$20:K122)&gt;$F$6,"",INDEX(A$2:A$10000,SMALL(IF(ISNUMBER(MATCH($B$2:$B$10000,$E$6:$E$22,0)),ROW($C$2:$C$10000)-ROW($C$2)+1),ROWS(K$20:K122))))</f>
        <v>41710</v>
      </c>
      <c r="H122" s="4" t="str">
        <f t="array" ref="H122">IF(ROWS(L$20:L122)&gt;$F$6,"",INDEX(B$2:B$10000,SMALL(IF(ISNUMBER(MATCH($B$2:$B$10000,$E$6:$E$22,0)),ROW($C$2:$C$10000)-ROW($C$2)+1),ROWS(L$20:L122))))</f>
        <v>Mickey  Bolduc</v>
      </c>
      <c r="I122" s="4">
        <f t="array" ref="I122">IF(ROWS(M$20:M122)&gt;$F$6,"",INDEX(C$2:C$10000,SMALL(IF(ISNUMBER(MATCH($B$2:$B$10000,$E$6:$E$22,0)),ROW($C$2:$C$10000)-ROW($C$2)+1),ROWS(M$20:M122))))</f>
        <v>34</v>
      </c>
      <c r="K122" s="7">
        <f t="array" ref="K122">IF(ROWS(K$20:K122)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122))))</f>
        <v>41710</v>
      </c>
      <c r="L122" s="4" t="str">
        <f t="array" ref="L122">IF(ROWS(L$20:L122)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122))))</f>
        <v>Mickey  Bolduc</v>
      </c>
      <c r="M122" s="4">
        <f t="array" ref="M122">IF(ROWS(M$20:M122)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122))))</f>
        <v>34</v>
      </c>
    </row>
    <row r="123" spans="1:13" x14ac:dyDescent="0.25">
      <c r="A123" s="3">
        <v>41596</v>
      </c>
      <c r="B123" s="2" t="s">
        <v>16</v>
      </c>
      <c r="C123" s="2">
        <v>30</v>
      </c>
      <c r="G123" s="7">
        <f t="array" ref="G123">IF(ROWS(K$20:K123)&gt;$F$6,"",INDEX(A$2:A$10000,SMALL(IF(ISNUMBER(MATCH($B$2:$B$10000,$E$6:$E$22,0)),ROW($C$2:$C$10000)-ROW($C$2)+1),ROWS(K$20:K123))))</f>
        <v>41936</v>
      </c>
      <c r="H123" s="4" t="str">
        <f t="array" ref="H123">IF(ROWS(L$20:L123)&gt;$F$6,"",INDEX(B$2:B$10000,SMALL(IF(ISNUMBER(MATCH($B$2:$B$10000,$E$6:$E$22,0)),ROW($C$2:$C$10000)-ROW($C$2)+1),ROWS(L$20:L123))))</f>
        <v>Jenni  Thorton</v>
      </c>
      <c r="I123" s="4">
        <f t="array" ref="I123">IF(ROWS(M$20:M123)&gt;$F$6,"",INDEX(C$2:C$10000,SMALL(IF(ISNUMBER(MATCH($B$2:$B$10000,$E$6:$E$22,0)),ROW($C$2:$C$10000)-ROW($C$2)+1),ROWS(M$20:M123))))</f>
        <v>28</v>
      </c>
      <c r="K123" s="7">
        <f t="array" ref="K123">IF(ROWS(K$20:K123)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123))))</f>
        <v>41936</v>
      </c>
      <c r="L123" s="4" t="str">
        <f t="array" ref="L123">IF(ROWS(L$20:L123)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123))))</f>
        <v>Jenni  Thorton</v>
      </c>
      <c r="M123" s="4">
        <f t="array" ref="M123">IF(ROWS(M$20:M123)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123))))</f>
        <v>28</v>
      </c>
    </row>
    <row r="124" spans="1:13" x14ac:dyDescent="0.25">
      <c r="A124" s="3">
        <v>41895</v>
      </c>
      <c r="B124" s="2" t="s">
        <v>17</v>
      </c>
      <c r="C124" s="2">
        <v>7</v>
      </c>
      <c r="G124" s="7">
        <f t="array" ref="G124">IF(ROWS(K$20:K124)&gt;$F$6,"",INDEX(A$2:A$10000,SMALL(IF(ISNUMBER(MATCH($B$2:$B$10000,$E$6:$E$22,0)),ROW($C$2:$C$10000)-ROW($C$2)+1),ROWS(K$20:K124))))</f>
        <v>41694</v>
      </c>
      <c r="H124" s="4" t="str">
        <f t="array" ref="H124">IF(ROWS(L$20:L124)&gt;$F$6,"",INDEX(B$2:B$10000,SMALL(IF(ISNUMBER(MATCH($B$2:$B$10000,$E$6:$E$22,0)),ROW($C$2:$C$10000)-ROW($C$2)+1),ROWS(L$20:L124))))</f>
        <v>Rosamond  Allard</v>
      </c>
      <c r="I124" s="4">
        <f t="array" ref="I124">IF(ROWS(M$20:M124)&gt;$F$6,"",INDEX(C$2:C$10000,SMALL(IF(ISNUMBER(MATCH($B$2:$B$10000,$E$6:$E$22,0)),ROW($C$2:$C$10000)-ROW($C$2)+1),ROWS(M$20:M124))))</f>
        <v>33</v>
      </c>
      <c r="K124" s="7">
        <f t="array" ref="K124">IF(ROWS(K$20:K124)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124))))</f>
        <v>41694</v>
      </c>
      <c r="L124" s="4" t="str">
        <f t="array" ref="L124">IF(ROWS(L$20:L124)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124))))</f>
        <v>Rosamond  Allard</v>
      </c>
      <c r="M124" s="4">
        <f t="array" ref="M124">IF(ROWS(M$20:M124)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124))))</f>
        <v>33</v>
      </c>
    </row>
    <row r="125" spans="1:13" x14ac:dyDescent="0.25">
      <c r="A125" s="3">
        <v>41874</v>
      </c>
      <c r="B125" s="2" t="s">
        <v>27</v>
      </c>
      <c r="C125" s="2">
        <v>29</v>
      </c>
      <c r="G125" s="7">
        <f t="array" ref="G125">IF(ROWS(K$20:K125)&gt;$F$6,"",INDEX(A$2:A$10000,SMALL(IF(ISNUMBER(MATCH($B$2:$B$10000,$E$6:$E$22,0)),ROW($C$2:$C$10000)-ROW($C$2)+1),ROWS(K$20:K125))))</f>
        <v>42002</v>
      </c>
      <c r="H125" s="4" t="str">
        <f t="array" ref="H125">IF(ROWS(L$20:L125)&gt;$F$6,"",INDEX(B$2:B$10000,SMALL(IF(ISNUMBER(MATCH($B$2:$B$10000,$E$6:$E$22,0)),ROW($C$2:$C$10000)-ROW($C$2)+1),ROWS(L$20:L125))))</f>
        <v>Galen  Barth</v>
      </c>
      <c r="I125" s="4">
        <f t="array" ref="I125">IF(ROWS(M$20:M125)&gt;$F$6,"",INDEX(C$2:C$10000,SMALL(IF(ISNUMBER(MATCH($B$2:$B$10000,$E$6:$E$22,0)),ROW($C$2:$C$10000)-ROW($C$2)+1),ROWS(M$20:M125))))</f>
        <v>9</v>
      </c>
      <c r="K125" s="7">
        <f t="array" ref="K125">IF(ROWS(K$20:K125)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125))))</f>
        <v>42002</v>
      </c>
      <c r="L125" s="4" t="str">
        <f t="array" ref="L125">IF(ROWS(L$20:L125)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125))))</f>
        <v>Galen  Barth</v>
      </c>
      <c r="M125" s="4">
        <f t="array" ref="M125">IF(ROWS(M$20:M125)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125))))</f>
        <v>9</v>
      </c>
    </row>
    <row r="126" spans="1:13" x14ac:dyDescent="0.25">
      <c r="A126" s="3">
        <v>41422</v>
      </c>
      <c r="B126" s="2" t="s">
        <v>23</v>
      </c>
      <c r="C126" s="2">
        <v>11</v>
      </c>
      <c r="G126" s="7">
        <f t="array" ref="G126">IF(ROWS(K$20:K126)&gt;$F$6,"",INDEX(A$2:A$10000,SMALL(IF(ISNUMBER(MATCH($B$2:$B$10000,$E$6:$E$22,0)),ROW($C$2:$C$10000)-ROW($C$2)+1),ROWS(K$20:K126))))</f>
        <v>41359</v>
      </c>
      <c r="H126" s="4" t="str">
        <f t="array" ref="H126">IF(ROWS(L$20:L126)&gt;$F$6,"",INDEX(B$2:B$10000,SMALL(IF(ISNUMBER(MATCH($B$2:$B$10000,$E$6:$E$22,0)),ROW($C$2:$C$10000)-ROW($C$2)+1),ROWS(L$20:L126))))</f>
        <v>Kerrie  Worrell</v>
      </c>
      <c r="I126" s="4">
        <f t="array" ref="I126">IF(ROWS(M$20:M126)&gt;$F$6,"",INDEX(C$2:C$10000,SMALL(IF(ISNUMBER(MATCH($B$2:$B$10000,$E$6:$E$22,0)),ROW($C$2:$C$10000)-ROW($C$2)+1),ROWS(M$20:M126))))</f>
        <v>27</v>
      </c>
      <c r="K126" s="7">
        <f t="array" ref="K126">IF(ROWS(K$20:K126)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126))))</f>
        <v>41359</v>
      </c>
      <c r="L126" s="4" t="str">
        <f t="array" ref="L126">IF(ROWS(L$20:L126)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126))))</f>
        <v>Kerrie  Worrell</v>
      </c>
      <c r="M126" s="4">
        <f t="array" ref="M126">IF(ROWS(M$20:M126)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126))))</f>
        <v>27</v>
      </c>
    </row>
    <row r="127" spans="1:13" x14ac:dyDescent="0.25">
      <c r="A127" s="3">
        <v>41343</v>
      </c>
      <c r="B127" s="2" t="s">
        <v>11</v>
      </c>
      <c r="C127" s="2">
        <v>37</v>
      </c>
      <c r="G127" s="7">
        <f t="array" ref="G127">IF(ROWS(K$20:K127)&gt;$F$6,"",INDEX(A$2:A$10000,SMALL(IF(ISNUMBER(MATCH($B$2:$B$10000,$E$6:$E$22,0)),ROW($C$2:$C$10000)-ROW($C$2)+1),ROWS(K$20:K127))))</f>
        <v>41876</v>
      </c>
      <c r="H127" s="4" t="str">
        <f t="array" ref="H127">IF(ROWS(L$20:L127)&gt;$F$6,"",INDEX(B$2:B$10000,SMALL(IF(ISNUMBER(MATCH($B$2:$B$10000,$E$6:$E$22,0)),ROW($C$2:$C$10000)-ROW($C$2)+1),ROWS(L$20:L127))))</f>
        <v>Galen  Barth</v>
      </c>
      <c r="I127" s="4">
        <f t="array" ref="I127">IF(ROWS(M$20:M127)&gt;$F$6,"",INDEX(C$2:C$10000,SMALL(IF(ISNUMBER(MATCH($B$2:$B$10000,$E$6:$E$22,0)),ROW($C$2:$C$10000)-ROW($C$2)+1),ROWS(M$20:M127))))</f>
        <v>28</v>
      </c>
      <c r="K127" s="7">
        <f t="array" ref="K127">IF(ROWS(K$20:K127)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127))))</f>
        <v>41876</v>
      </c>
      <c r="L127" s="4" t="str">
        <f t="array" ref="L127">IF(ROWS(L$20:L127)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127))))</f>
        <v>Galen  Barth</v>
      </c>
      <c r="M127" s="4">
        <f t="array" ref="M127">IF(ROWS(M$20:M127)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127))))</f>
        <v>28</v>
      </c>
    </row>
    <row r="128" spans="1:13" x14ac:dyDescent="0.25">
      <c r="A128" s="3">
        <v>41771</v>
      </c>
      <c r="B128" s="2" t="s">
        <v>30</v>
      </c>
      <c r="C128" s="2">
        <v>40</v>
      </c>
      <c r="G128" s="7">
        <f t="array" ref="G128">IF(ROWS(K$20:K128)&gt;$F$6,"",INDEX(A$2:A$10000,SMALL(IF(ISNUMBER(MATCH($B$2:$B$10000,$E$6:$E$22,0)),ROW($C$2:$C$10000)-ROW($C$2)+1),ROWS(K$20:K128))))</f>
        <v>41429</v>
      </c>
      <c r="H128" s="4" t="str">
        <f t="array" ref="H128">IF(ROWS(L$20:L128)&gt;$F$6,"",INDEX(B$2:B$10000,SMALL(IF(ISNUMBER(MATCH($B$2:$B$10000,$E$6:$E$22,0)),ROW($C$2:$C$10000)-ROW($C$2)+1),ROWS(L$20:L128))))</f>
        <v>Galen  Barth</v>
      </c>
      <c r="I128" s="4">
        <f t="array" ref="I128">IF(ROWS(M$20:M128)&gt;$F$6,"",INDEX(C$2:C$10000,SMALL(IF(ISNUMBER(MATCH($B$2:$B$10000,$E$6:$E$22,0)),ROW($C$2:$C$10000)-ROW($C$2)+1),ROWS(M$20:M128))))</f>
        <v>42</v>
      </c>
      <c r="K128" s="7">
        <f t="array" ref="K128">IF(ROWS(K$20:K128)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128))))</f>
        <v>41429</v>
      </c>
      <c r="L128" s="4" t="str">
        <f t="array" ref="L128">IF(ROWS(L$20:L128)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128))))</f>
        <v>Galen  Barth</v>
      </c>
      <c r="M128" s="4">
        <f t="array" ref="M128">IF(ROWS(M$20:M128)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128))))</f>
        <v>42</v>
      </c>
    </row>
    <row r="129" spans="1:13" x14ac:dyDescent="0.25">
      <c r="A129" s="3">
        <v>41798</v>
      </c>
      <c r="B129" s="2" t="s">
        <v>47</v>
      </c>
      <c r="C129" s="2">
        <v>10</v>
      </c>
      <c r="G129" s="7">
        <f t="array" ref="G129">IF(ROWS(K$20:K129)&gt;$F$6,"",INDEX(A$2:A$10000,SMALL(IF(ISNUMBER(MATCH($B$2:$B$10000,$E$6:$E$22,0)),ROW($C$2:$C$10000)-ROW($C$2)+1),ROWS(K$20:K129))))</f>
        <v>41587</v>
      </c>
      <c r="H129" s="4" t="str">
        <f t="array" ref="H129">IF(ROWS(L$20:L129)&gt;$F$6,"",INDEX(B$2:B$10000,SMALL(IF(ISNUMBER(MATCH($B$2:$B$10000,$E$6:$E$22,0)),ROW($C$2:$C$10000)-ROW($C$2)+1),ROWS(L$20:L129))))</f>
        <v>Rosamond  Allard</v>
      </c>
      <c r="I129" s="4">
        <f t="array" ref="I129">IF(ROWS(M$20:M129)&gt;$F$6,"",INDEX(C$2:C$10000,SMALL(IF(ISNUMBER(MATCH($B$2:$B$10000,$E$6:$E$22,0)),ROW($C$2:$C$10000)-ROW($C$2)+1),ROWS(M$20:M129))))</f>
        <v>51</v>
      </c>
      <c r="K129" s="7">
        <f t="array" ref="K129">IF(ROWS(K$20:K129)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129))))</f>
        <v>41587</v>
      </c>
      <c r="L129" s="4" t="str">
        <f t="array" ref="L129">IF(ROWS(L$20:L129)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129))))</f>
        <v>Rosamond  Allard</v>
      </c>
      <c r="M129" s="4">
        <f t="array" ref="M129">IF(ROWS(M$20:M129)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129))))</f>
        <v>51</v>
      </c>
    </row>
    <row r="130" spans="1:13" x14ac:dyDescent="0.25">
      <c r="A130" s="3">
        <v>41533</v>
      </c>
      <c r="B130" s="2" t="s">
        <v>37</v>
      </c>
      <c r="C130" s="2">
        <v>40</v>
      </c>
      <c r="G130" s="7">
        <f t="array" ref="G130">IF(ROWS(K$20:K130)&gt;$F$6,"",INDEX(A$2:A$10000,SMALL(IF(ISNUMBER(MATCH($B$2:$B$10000,$E$6:$E$22,0)),ROW($C$2:$C$10000)-ROW($C$2)+1),ROWS(K$20:K130))))</f>
        <v>41554</v>
      </c>
      <c r="H130" s="4" t="str">
        <f t="array" ref="H130">IF(ROWS(L$20:L130)&gt;$F$6,"",INDEX(B$2:B$10000,SMALL(IF(ISNUMBER(MATCH($B$2:$B$10000,$E$6:$E$22,0)),ROW($C$2:$C$10000)-ROW($C$2)+1),ROWS(L$20:L130))))</f>
        <v>Rosamond  Allard</v>
      </c>
      <c r="I130" s="4">
        <f t="array" ref="I130">IF(ROWS(M$20:M130)&gt;$F$6,"",INDEX(C$2:C$10000,SMALL(IF(ISNUMBER(MATCH($B$2:$B$10000,$E$6:$E$22,0)),ROW($C$2:$C$10000)-ROW($C$2)+1),ROWS(M$20:M130))))</f>
        <v>5</v>
      </c>
      <c r="K130" s="7">
        <f t="array" ref="K130">IF(ROWS(K$20:K130)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130))))</f>
        <v>41554</v>
      </c>
      <c r="L130" s="4" t="str">
        <f t="array" ref="L130">IF(ROWS(L$20:L130)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130))))</f>
        <v>Rosamond  Allard</v>
      </c>
      <c r="M130" s="4">
        <f t="array" ref="M130">IF(ROWS(M$20:M130)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130))))</f>
        <v>5</v>
      </c>
    </row>
    <row r="131" spans="1:13" x14ac:dyDescent="0.25">
      <c r="A131" s="3">
        <v>41360</v>
      </c>
      <c r="B131" s="2" t="s">
        <v>17</v>
      </c>
      <c r="C131" s="2">
        <v>16</v>
      </c>
      <c r="G131" s="7">
        <f t="array" ref="G131">IF(ROWS(K$20:K131)&gt;$F$6,"",INDEX(A$2:A$10000,SMALL(IF(ISNUMBER(MATCH($B$2:$B$10000,$E$6:$E$22,0)),ROW($C$2:$C$10000)-ROW($C$2)+1),ROWS(K$20:K131))))</f>
        <v>41901</v>
      </c>
      <c r="H131" s="4" t="str">
        <f t="array" ref="H131">IF(ROWS(L$20:L131)&gt;$F$6,"",INDEX(B$2:B$10000,SMALL(IF(ISNUMBER(MATCH($B$2:$B$10000,$E$6:$E$22,0)),ROW($C$2:$C$10000)-ROW($C$2)+1),ROWS(L$20:L131))))</f>
        <v>Galen  Barth</v>
      </c>
      <c r="I131" s="4">
        <f t="array" ref="I131">IF(ROWS(M$20:M131)&gt;$F$6,"",INDEX(C$2:C$10000,SMALL(IF(ISNUMBER(MATCH($B$2:$B$10000,$E$6:$E$22,0)),ROW($C$2:$C$10000)-ROW($C$2)+1),ROWS(M$20:M131))))</f>
        <v>1</v>
      </c>
      <c r="K131" s="7">
        <f t="array" ref="K131">IF(ROWS(K$20:K131)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131))))</f>
        <v>41901</v>
      </c>
      <c r="L131" s="4" t="str">
        <f t="array" ref="L131">IF(ROWS(L$20:L131)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131))))</f>
        <v>Galen  Barth</v>
      </c>
      <c r="M131" s="4">
        <f t="array" ref="M131">IF(ROWS(M$20:M131)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131))))</f>
        <v>1</v>
      </c>
    </row>
    <row r="132" spans="1:13" x14ac:dyDescent="0.25">
      <c r="A132" s="3">
        <v>41730</v>
      </c>
      <c r="B132" s="2" t="s">
        <v>17</v>
      </c>
      <c r="C132" s="2">
        <v>41</v>
      </c>
      <c r="G132" s="7">
        <f t="array" ref="G132">IF(ROWS(K$20:K132)&gt;$F$6,"",INDEX(A$2:A$10000,SMALL(IF(ISNUMBER(MATCH($B$2:$B$10000,$E$6:$E$22,0)),ROW($C$2:$C$10000)-ROW($C$2)+1),ROWS(K$20:K132))))</f>
        <v>41305</v>
      </c>
      <c r="H132" s="4" t="str">
        <f t="array" ref="H132">IF(ROWS(L$20:L132)&gt;$F$6,"",INDEX(B$2:B$10000,SMALL(IF(ISNUMBER(MATCH($B$2:$B$10000,$E$6:$E$22,0)),ROW($C$2:$C$10000)-ROW($C$2)+1),ROWS(L$20:L132))))</f>
        <v>Rosamond  Allard</v>
      </c>
      <c r="I132" s="4">
        <f t="array" ref="I132">IF(ROWS(M$20:M132)&gt;$F$6,"",INDEX(C$2:C$10000,SMALL(IF(ISNUMBER(MATCH($B$2:$B$10000,$E$6:$E$22,0)),ROW($C$2:$C$10000)-ROW($C$2)+1),ROWS(M$20:M132))))</f>
        <v>16</v>
      </c>
      <c r="K132" s="7">
        <f t="array" ref="K132">IF(ROWS(K$20:K132)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132))))</f>
        <v>41305</v>
      </c>
      <c r="L132" s="4" t="str">
        <f t="array" ref="L132">IF(ROWS(L$20:L132)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132))))</f>
        <v>Rosamond  Allard</v>
      </c>
      <c r="M132" s="4">
        <f t="array" ref="M132">IF(ROWS(M$20:M132)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132))))</f>
        <v>16</v>
      </c>
    </row>
    <row r="133" spans="1:13" x14ac:dyDescent="0.25">
      <c r="A133" s="3">
        <v>41566</v>
      </c>
      <c r="B133" s="2" t="s">
        <v>43</v>
      </c>
      <c r="C133" s="2">
        <v>33</v>
      </c>
      <c r="G133" s="7">
        <f t="array" ref="G133">IF(ROWS(K$20:K133)&gt;$F$6,"",INDEX(A$2:A$10000,SMALL(IF(ISNUMBER(MATCH($B$2:$B$10000,$E$6:$E$22,0)),ROW($C$2:$C$10000)-ROW($C$2)+1),ROWS(K$20:K133))))</f>
        <v>41543</v>
      </c>
      <c r="H133" s="4" t="str">
        <f t="array" ref="H133">IF(ROWS(L$20:L133)&gt;$F$6,"",INDEX(B$2:B$10000,SMALL(IF(ISNUMBER(MATCH($B$2:$B$10000,$E$6:$E$22,0)),ROW($C$2:$C$10000)-ROW($C$2)+1),ROWS(L$20:L133))))</f>
        <v>Iliana  Valerio</v>
      </c>
      <c r="I133" s="4">
        <f t="array" ref="I133">IF(ROWS(M$20:M133)&gt;$F$6,"",INDEX(C$2:C$10000,SMALL(IF(ISNUMBER(MATCH($B$2:$B$10000,$E$6:$E$22,0)),ROW($C$2:$C$10000)-ROW($C$2)+1),ROWS(M$20:M133))))</f>
        <v>13</v>
      </c>
      <c r="K133" s="7">
        <f t="array" ref="K133">IF(ROWS(K$20:K133)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133))))</f>
        <v>41543</v>
      </c>
      <c r="L133" s="4" t="str">
        <f t="array" ref="L133">IF(ROWS(L$20:L133)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133))))</f>
        <v>Iliana  Valerio</v>
      </c>
      <c r="M133" s="4">
        <f t="array" ref="M133">IF(ROWS(M$20:M133)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133))))</f>
        <v>13</v>
      </c>
    </row>
    <row r="134" spans="1:13" x14ac:dyDescent="0.25">
      <c r="A134" s="3">
        <v>41694</v>
      </c>
      <c r="B134" s="2" t="s">
        <v>8</v>
      </c>
      <c r="C134" s="2">
        <v>25</v>
      </c>
      <c r="G134" s="7">
        <f t="array" ref="G134">IF(ROWS(K$20:K134)&gt;$F$6,"",INDEX(A$2:A$10000,SMALL(IF(ISNUMBER(MATCH($B$2:$B$10000,$E$6:$E$22,0)),ROW($C$2:$C$10000)-ROW($C$2)+1),ROWS(K$20:K134))))</f>
        <v>41361</v>
      </c>
      <c r="H134" s="4" t="str">
        <f t="array" ref="H134">IF(ROWS(L$20:L134)&gt;$F$6,"",INDEX(B$2:B$10000,SMALL(IF(ISNUMBER(MATCH($B$2:$B$10000,$E$6:$E$22,0)),ROW($C$2:$C$10000)-ROW($C$2)+1),ROWS(L$20:L134))))</f>
        <v>Iliana  Valerio</v>
      </c>
      <c r="I134" s="4">
        <f t="array" ref="I134">IF(ROWS(M$20:M134)&gt;$F$6,"",INDEX(C$2:C$10000,SMALL(IF(ISNUMBER(MATCH($B$2:$B$10000,$E$6:$E$22,0)),ROW($C$2:$C$10000)-ROW($C$2)+1),ROWS(M$20:M134))))</f>
        <v>0</v>
      </c>
      <c r="K134" s="7">
        <f t="array" ref="K134">IF(ROWS(K$20:K134)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134))))</f>
        <v>41361</v>
      </c>
      <c r="L134" s="4" t="str">
        <f t="array" ref="L134">IF(ROWS(L$20:L134)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134))))</f>
        <v>Iliana  Valerio</v>
      </c>
      <c r="M134" s="4">
        <f t="array" ref="M134">IF(ROWS(M$20:M134)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134))))</f>
        <v>0</v>
      </c>
    </row>
    <row r="135" spans="1:13" x14ac:dyDescent="0.25">
      <c r="A135" s="3">
        <v>41750</v>
      </c>
      <c r="B135" s="2" t="s">
        <v>40</v>
      </c>
      <c r="C135" s="2">
        <v>25</v>
      </c>
      <c r="G135" s="7">
        <f t="array" ref="G135">IF(ROWS(K$20:K135)&gt;$F$6,"",INDEX(A$2:A$10000,SMALL(IF(ISNUMBER(MATCH($B$2:$B$10000,$E$6:$E$22,0)),ROW($C$2:$C$10000)-ROW($C$2)+1),ROWS(K$20:K135))))</f>
        <v>41859</v>
      </c>
      <c r="H135" s="4" t="str">
        <f t="array" ref="H135">IF(ROWS(L$20:L135)&gt;$F$6,"",INDEX(B$2:B$10000,SMALL(IF(ISNUMBER(MATCH($B$2:$B$10000,$E$6:$E$22,0)),ROW($C$2:$C$10000)-ROW($C$2)+1),ROWS(L$20:L135))))</f>
        <v>Mickey  Bolduc</v>
      </c>
      <c r="I135" s="4">
        <f t="array" ref="I135">IF(ROWS(M$20:M135)&gt;$F$6,"",INDEX(C$2:C$10000,SMALL(IF(ISNUMBER(MATCH($B$2:$B$10000,$E$6:$E$22,0)),ROW($C$2:$C$10000)-ROW($C$2)+1),ROWS(M$20:M135))))</f>
        <v>42</v>
      </c>
      <c r="K135" s="7">
        <f t="array" ref="K135">IF(ROWS(K$20:K135)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135))))</f>
        <v>41859</v>
      </c>
      <c r="L135" s="4" t="str">
        <f t="array" ref="L135">IF(ROWS(L$20:L135)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135))))</f>
        <v>Mickey  Bolduc</v>
      </c>
      <c r="M135" s="4">
        <f t="array" ref="M135">IF(ROWS(M$20:M135)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135))))</f>
        <v>42</v>
      </c>
    </row>
    <row r="136" spans="1:13" x14ac:dyDescent="0.25">
      <c r="A136" s="3">
        <v>41771</v>
      </c>
      <c r="B136" s="2" t="s">
        <v>5</v>
      </c>
      <c r="C136" s="2">
        <v>29</v>
      </c>
      <c r="G136" s="7">
        <f t="array" ref="G136">IF(ROWS(K$20:K136)&gt;$F$6,"",INDEX(A$2:A$10000,SMALL(IF(ISNUMBER(MATCH($B$2:$B$10000,$E$6:$E$22,0)),ROW($C$2:$C$10000)-ROW($C$2)+1),ROWS(K$20:K136))))</f>
        <v>41917</v>
      </c>
      <c r="H136" s="4" t="str">
        <f t="array" ref="H136">IF(ROWS(L$20:L136)&gt;$F$6,"",INDEX(B$2:B$10000,SMALL(IF(ISNUMBER(MATCH($B$2:$B$10000,$E$6:$E$22,0)),ROW($C$2:$C$10000)-ROW($C$2)+1),ROWS(L$20:L136))))</f>
        <v>Jenni  Thorton</v>
      </c>
      <c r="I136" s="4">
        <f t="array" ref="I136">IF(ROWS(M$20:M136)&gt;$F$6,"",INDEX(C$2:C$10000,SMALL(IF(ISNUMBER(MATCH($B$2:$B$10000,$E$6:$E$22,0)),ROW($C$2:$C$10000)-ROW($C$2)+1),ROWS(M$20:M136))))</f>
        <v>56</v>
      </c>
      <c r="K136" s="7">
        <f t="array" ref="K136">IF(ROWS(K$20:K136)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136))))</f>
        <v>41917</v>
      </c>
      <c r="L136" s="4" t="str">
        <f t="array" ref="L136">IF(ROWS(L$20:L136)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136))))</f>
        <v>Jenni  Thorton</v>
      </c>
      <c r="M136" s="4">
        <f t="array" ref="M136">IF(ROWS(M$20:M136)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136))))</f>
        <v>56</v>
      </c>
    </row>
    <row r="137" spans="1:13" x14ac:dyDescent="0.25">
      <c r="A137" s="3">
        <v>41987</v>
      </c>
      <c r="B137" s="2" t="s">
        <v>5</v>
      </c>
      <c r="C137" s="2">
        <v>2</v>
      </c>
      <c r="G137" s="7">
        <f t="array" ref="G137">IF(ROWS(K$20:K137)&gt;$F$6,"",INDEX(A$2:A$10000,SMALL(IF(ISNUMBER(MATCH($B$2:$B$10000,$E$6:$E$22,0)),ROW($C$2:$C$10000)-ROW($C$2)+1),ROWS(K$20:K137))))</f>
        <v>41613</v>
      </c>
      <c r="H137" s="4" t="str">
        <f t="array" ref="H137">IF(ROWS(L$20:L137)&gt;$F$6,"",INDEX(B$2:B$10000,SMALL(IF(ISNUMBER(MATCH($B$2:$B$10000,$E$6:$E$22,0)),ROW($C$2:$C$10000)-ROW($C$2)+1),ROWS(L$20:L137))))</f>
        <v>Mickey  Bolduc</v>
      </c>
      <c r="I137" s="4">
        <f t="array" ref="I137">IF(ROWS(M$20:M137)&gt;$F$6,"",INDEX(C$2:C$10000,SMALL(IF(ISNUMBER(MATCH($B$2:$B$10000,$E$6:$E$22,0)),ROW($C$2:$C$10000)-ROW($C$2)+1),ROWS(M$20:M137))))</f>
        <v>40</v>
      </c>
      <c r="K137" s="7">
        <f t="array" ref="K137">IF(ROWS(K$20:K137)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137))))</f>
        <v>41613</v>
      </c>
      <c r="L137" s="4" t="str">
        <f t="array" ref="L137">IF(ROWS(L$20:L137)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137))))</f>
        <v>Mickey  Bolduc</v>
      </c>
      <c r="M137" s="4">
        <f t="array" ref="M137">IF(ROWS(M$20:M137)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137))))</f>
        <v>40</v>
      </c>
    </row>
    <row r="138" spans="1:13" x14ac:dyDescent="0.25">
      <c r="A138" s="3">
        <v>41398</v>
      </c>
      <c r="B138" s="2" t="s">
        <v>29</v>
      </c>
      <c r="C138" s="2">
        <v>1</v>
      </c>
      <c r="G138" s="7">
        <f t="array" ref="G138">IF(ROWS(K$20:K138)&gt;$F$6,"",INDEX(A$2:A$10000,SMALL(IF(ISNUMBER(MATCH($B$2:$B$10000,$E$6:$E$22,0)),ROW($C$2:$C$10000)-ROW($C$2)+1),ROWS(K$20:K138))))</f>
        <v>41946</v>
      </c>
      <c r="H138" s="4" t="str">
        <f t="array" ref="H138">IF(ROWS(L$20:L138)&gt;$F$6,"",INDEX(B$2:B$10000,SMALL(IF(ISNUMBER(MATCH($B$2:$B$10000,$E$6:$E$22,0)),ROW($C$2:$C$10000)-ROW($C$2)+1),ROWS(L$20:L138))))</f>
        <v>Galen  Barth</v>
      </c>
      <c r="I138" s="4">
        <f t="array" ref="I138">IF(ROWS(M$20:M138)&gt;$F$6,"",INDEX(C$2:C$10000,SMALL(IF(ISNUMBER(MATCH($B$2:$B$10000,$E$6:$E$22,0)),ROW($C$2:$C$10000)-ROW($C$2)+1),ROWS(M$20:M138))))</f>
        <v>37</v>
      </c>
      <c r="K138" s="7">
        <f t="array" ref="K138">IF(ROWS(K$20:K138)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138))))</f>
        <v>41946</v>
      </c>
      <c r="L138" s="4" t="str">
        <f t="array" ref="L138">IF(ROWS(L$20:L138)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138))))</f>
        <v>Galen  Barth</v>
      </c>
      <c r="M138" s="4">
        <f t="array" ref="M138">IF(ROWS(M$20:M138)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138))))</f>
        <v>37</v>
      </c>
    </row>
    <row r="139" spans="1:13" x14ac:dyDescent="0.25">
      <c r="A139" s="3">
        <v>41915</v>
      </c>
      <c r="B139" s="2" t="s">
        <v>45</v>
      </c>
      <c r="C139" s="2">
        <v>44</v>
      </c>
      <c r="G139" s="7">
        <f t="array" ref="G139">IF(ROWS(K$20:K139)&gt;$F$6,"",INDEX(A$2:A$10000,SMALL(IF(ISNUMBER(MATCH($B$2:$B$10000,$E$6:$E$22,0)),ROW($C$2:$C$10000)-ROW($C$2)+1),ROWS(K$20:K139))))</f>
        <v>41539</v>
      </c>
      <c r="H139" s="4" t="str">
        <f t="array" ref="H139">IF(ROWS(L$20:L139)&gt;$F$6,"",INDEX(B$2:B$10000,SMALL(IF(ISNUMBER(MATCH($B$2:$B$10000,$E$6:$E$22,0)),ROW($C$2:$C$10000)-ROW($C$2)+1),ROWS(L$20:L139))))</f>
        <v>Rosamond  Allard</v>
      </c>
      <c r="I139" s="4">
        <f t="array" ref="I139">IF(ROWS(M$20:M139)&gt;$F$6,"",INDEX(C$2:C$10000,SMALL(IF(ISNUMBER(MATCH($B$2:$B$10000,$E$6:$E$22,0)),ROW($C$2:$C$10000)-ROW($C$2)+1),ROWS(M$20:M139))))</f>
        <v>45</v>
      </c>
      <c r="K139" s="7">
        <f t="array" ref="K139">IF(ROWS(K$20:K139)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139))))</f>
        <v>41539</v>
      </c>
      <c r="L139" s="4" t="str">
        <f t="array" ref="L139">IF(ROWS(L$20:L139)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139))))</f>
        <v>Rosamond  Allard</v>
      </c>
      <c r="M139" s="4">
        <f t="array" ref="M139">IF(ROWS(M$20:M139)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139))))</f>
        <v>45</v>
      </c>
    </row>
    <row r="140" spans="1:13" x14ac:dyDescent="0.25">
      <c r="A140" s="3">
        <v>41999</v>
      </c>
      <c r="B140" s="2" t="s">
        <v>37</v>
      </c>
      <c r="C140" s="2">
        <v>1</v>
      </c>
      <c r="G140" s="7">
        <f t="array" ref="G140">IF(ROWS(K$20:K140)&gt;$F$6,"",INDEX(A$2:A$10000,SMALL(IF(ISNUMBER(MATCH($B$2:$B$10000,$E$6:$E$22,0)),ROW($C$2:$C$10000)-ROW($C$2)+1),ROWS(K$20:K140))))</f>
        <v>41589</v>
      </c>
      <c r="H140" s="4" t="str">
        <f t="array" ref="H140">IF(ROWS(L$20:L140)&gt;$F$6,"",INDEX(B$2:B$10000,SMALL(IF(ISNUMBER(MATCH($B$2:$B$10000,$E$6:$E$22,0)),ROW($C$2:$C$10000)-ROW($C$2)+1),ROWS(L$20:L140))))</f>
        <v>Rosamond  Allard</v>
      </c>
      <c r="I140" s="4">
        <f t="array" ref="I140">IF(ROWS(M$20:M140)&gt;$F$6,"",INDEX(C$2:C$10000,SMALL(IF(ISNUMBER(MATCH($B$2:$B$10000,$E$6:$E$22,0)),ROW($C$2:$C$10000)-ROW($C$2)+1),ROWS(M$20:M140))))</f>
        <v>11</v>
      </c>
      <c r="K140" s="7">
        <f t="array" ref="K140">IF(ROWS(K$20:K140)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140))))</f>
        <v>41589</v>
      </c>
      <c r="L140" s="4" t="str">
        <f t="array" ref="L140">IF(ROWS(L$20:L140)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140))))</f>
        <v>Rosamond  Allard</v>
      </c>
      <c r="M140" s="4">
        <f t="array" ref="M140">IF(ROWS(M$20:M140)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140))))</f>
        <v>11</v>
      </c>
    </row>
    <row r="141" spans="1:13" x14ac:dyDescent="0.25">
      <c r="A141" s="3">
        <v>41439</v>
      </c>
      <c r="B141" s="2" t="s">
        <v>32</v>
      </c>
      <c r="C141" s="2">
        <v>4</v>
      </c>
      <c r="G141" s="7">
        <f t="array" ref="G141">IF(ROWS(K$20:K141)&gt;$F$6,"",INDEX(A$2:A$10000,SMALL(IF(ISNUMBER(MATCH($B$2:$B$10000,$E$6:$E$22,0)),ROW($C$2:$C$10000)-ROW($C$2)+1),ROWS(K$20:K141))))</f>
        <v>41323</v>
      </c>
      <c r="H141" s="4" t="str">
        <f t="array" ref="H141">IF(ROWS(L$20:L141)&gt;$F$6,"",INDEX(B$2:B$10000,SMALL(IF(ISNUMBER(MATCH($B$2:$B$10000,$E$6:$E$22,0)),ROW($C$2:$C$10000)-ROW($C$2)+1),ROWS(L$20:L141))))</f>
        <v>Kerrie  Worrell</v>
      </c>
      <c r="I141" s="4">
        <f t="array" ref="I141">IF(ROWS(M$20:M141)&gt;$F$6,"",INDEX(C$2:C$10000,SMALL(IF(ISNUMBER(MATCH($B$2:$B$10000,$E$6:$E$22,0)),ROW($C$2:$C$10000)-ROW($C$2)+1),ROWS(M$20:M141))))</f>
        <v>39</v>
      </c>
      <c r="K141" s="7">
        <f t="array" ref="K141">IF(ROWS(K$20:K141)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141))))</f>
        <v>41323</v>
      </c>
      <c r="L141" s="4" t="str">
        <f t="array" ref="L141">IF(ROWS(L$20:L141)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141))))</f>
        <v>Kerrie  Worrell</v>
      </c>
      <c r="M141" s="4">
        <f t="array" ref="M141">IF(ROWS(M$20:M141)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141))))</f>
        <v>39</v>
      </c>
    </row>
    <row r="142" spans="1:13" x14ac:dyDescent="0.25">
      <c r="A142" s="3">
        <v>41487</v>
      </c>
      <c r="B142" s="2" t="s">
        <v>43</v>
      </c>
      <c r="C142" s="2">
        <v>34</v>
      </c>
      <c r="G142" s="7">
        <f t="array" ref="G142">IF(ROWS(K$20:K142)&gt;$F$6,"",INDEX(A$2:A$10000,SMALL(IF(ISNUMBER(MATCH($B$2:$B$10000,$E$6:$E$22,0)),ROW($C$2:$C$10000)-ROW($C$2)+1),ROWS(K$20:K142))))</f>
        <v>41279</v>
      </c>
      <c r="H142" s="4" t="str">
        <f t="array" ref="H142">IF(ROWS(L$20:L142)&gt;$F$6,"",INDEX(B$2:B$10000,SMALL(IF(ISNUMBER(MATCH($B$2:$B$10000,$E$6:$E$22,0)),ROW($C$2:$C$10000)-ROW($C$2)+1),ROWS(L$20:L142))))</f>
        <v>Iliana  Valerio</v>
      </c>
      <c r="I142" s="4">
        <f t="array" ref="I142">IF(ROWS(M$20:M142)&gt;$F$6,"",INDEX(C$2:C$10000,SMALL(IF(ISNUMBER(MATCH($B$2:$B$10000,$E$6:$E$22,0)),ROW($C$2:$C$10000)-ROW($C$2)+1),ROWS(M$20:M142))))</f>
        <v>49</v>
      </c>
      <c r="K142" s="7">
        <f t="array" ref="K142">IF(ROWS(K$20:K142)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142))))</f>
        <v>41279</v>
      </c>
      <c r="L142" s="4" t="str">
        <f t="array" ref="L142">IF(ROWS(L$20:L142)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142))))</f>
        <v>Iliana  Valerio</v>
      </c>
      <c r="M142" s="4">
        <f t="array" ref="M142">IF(ROWS(M$20:M142)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142))))</f>
        <v>49</v>
      </c>
    </row>
    <row r="143" spans="1:13" x14ac:dyDescent="0.25">
      <c r="A143" s="3">
        <v>41878</v>
      </c>
      <c r="B143" s="2" t="s">
        <v>37</v>
      </c>
      <c r="C143" s="2">
        <v>33</v>
      </c>
      <c r="G143" s="7">
        <f t="array" ref="G143">IF(ROWS(K$20:K143)&gt;$F$6,"",INDEX(A$2:A$10000,SMALL(IF(ISNUMBER(MATCH($B$2:$B$10000,$E$6:$E$22,0)),ROW($C$2:$C$10000)-ROW($C$2)+1),ROWS(K$20:K143))))</f>
        <v>41584</v>
      </c>
      <c r="H143" s="4" t="str">
        <f t="array" ref="H143">IF(ROWS(L$20:L143)&gt;$F$6,"",INDEX(B$2:B$10000,SMALL(IF(ISNUMBER(MATCH($B$2:$B$10000,$E$6:$E$22,0)),ROW($C$2:$C$10000)-ROW($C$2)+1),ROWS(L$20:L143))))</f>
        <v>Rosamond  Allard</v>
      </c>
      <c r="I143" s="4">
        <f t="array" ref="I143">IF(ROWS(M$20:M143)&gt;$F$6,"",INDEX(C$2:C$10000,SMALL(IF(ISNUMBER(MATCH($B$2:$B$10000,$E$6:$E$22,0)),ROW($C$2:$C$10000)-ROW($C$2)+1),ROWS(M$20:M143))))</f>
        <v>39</v>
      </c>
      <c r="K143" s="7">
        <f t="array" ref="K143">IF(ROWS(K$20:K143)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143))))</f>
        <v>41584</v>
      </c>
      <c r="L143" s="4" t="str">
        <f t="array" ref="L143">IF(ROWS(L$20:L143)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143))))</f>
        <v>Rosamond  Allard</v>
      </c>
      <c r="M143" s="4">
        <f t="array" ref="M143">IF(ROWS(M$20:M143)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143))))</f>
        <v>39</v>
      </c>
    </row>
    <row r="144" spans="1:13" x14ac:dyDescent="0.25">
      <c r="A144" s="3">
        <v>41339</v>
      </c>
      <c r="B144" s="2" t="s">
        <v>6</v>
      </c>
      <c r="C144" s="2">
        <v>59</v>
      </c>
      <c r="G144" s="7">
        <f t="array" ref="G144">IF(ROWS(K$20:K144)&gt;$F$6,"",INDEX(A$2:A$10000,SMALL(IF(ISNUMBER(MATCH($B$2:$B$10000,$E$6:$E$22,0)),ROW($C$2:$C$10000)-ROW($C$2)+1),ROWS(K$20:K144))))</f>
        <v>41493</v>
      </c>
      <c r="H144" s="4" t="str">
        <f t="array" ref="H144">IF(ROWS(L$20:L144)&gt;$F$6,"",INDEX(B$2:B$10000,SMALL(IF(ISNUMBER(MATCH($B$2:$B$10000,$E$6:$E$22,0)),ROW($C$2:$C$10000)-ROW($C$2)+1),ROWS(L$20:L144))))</f>
        <v>Kerrie  Worrell</v>
      </c>
      <c r="I144" s="4">
        <f t="array" ref="I144">IF(ROWS(M$20:M144)&gt;$F$6,"",INDEX(C$2:C$10000,SMALL(IF(ISNUMBER(MATCH($B$2:$B$10000,$E$6:$E$22,0)),ROW($C$2:$C$10000)-ROW($C$2)+1),ROWS(M$20:M144))))</f>
        <v>61</v>
      </c>
      <c r="K144" s="7">
        <f t="array" ref="K144">IF(ROWS(K$20:K144)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144))))</f>
        <v>41493</v>
      </c>
      <c r="L144" s="4" t="str">
        <f t="array" ref="L144">IF(ROWS(L$20:L144)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144))))</f>
        <v>Kerrie  Worrell</v>
      </c>
      <c r="M144" s="4">
        <f t="array" ref="M144">IF(ROWS(M$20:M144)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144))))</f>
        <v>61</v>
      </c>
    </row>
    <row r="145" spans="1:13" x14ac:dyDescent="0.25">
      <c r="A145" s="3">
        <v>41593</v>
      </c>
      <c r="B145" s="2" t="s">
        <v>10</v>
      </c>
      <c r="C145" s="2">
        <v>12</v>
      </c>
      <c r="G145" s="7">
        <f t="array" ref="G145">IF(ROWS(K$20:K145)&gt;$F$6,"",INDEX(A$2:A$10000,SMALL(IF(ISNUMBER(MATCH($B$2:$B$10000,$E$6:$E$22,0)),ROW($C$2:$C$10000)-ROW($C$2)+1),ROWS(K$20:K145))))</f>
        <v>41853</v>
      </c>
      <c r="H145" s="4" t="str">
        <f t="array" ref="H145">IF(ROWS(L$20:L145)&gt;$F$6,"",INDEX(B$2:B$10000,SMALL(IF(ISNUMBER(MATCH($B$2:$B$10000,$E$6:$E$22,0)),ROW($C$2:$C$10000)-ROW($C$2)+1),ROWS(L$20:L145))))</f>
        <v>Iliana  Valerio</v>
      </c>
      <c r="I145" s="4">
        <f t="array" ref="I145">IF(ROWS(M$20:M145)&gt;$F$6,"",INDEX(C$2:C$10000,SMALL(IF(ISNUMBER(MATCH($B$2:$B$10000,$E$6:$E$22,0)),ROW($C$2:$C$10000)-ROW($C$2)+1),ROWS(M$20:M145))))</f>
        <v>21</v>
      </c>
      <c r="K145" s="7">
        <f t="array" ref="K145">IF(ROWS(K$20:K145)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145))))</f>
        <v>41853</v>
      </c>
      <c r="L145" s="4" t="str">
        <f t="array" ref="L145">IF(ROWS(L$20:L145)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145))))</f>
        <v>Iliana  Valerio</v>
      </c>
      <c r="M145" s="4">
        <f t="array" ref="M145">IF(ROWS(M$20:M145)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145))))</f>
        <v>21</v>
      </c>
    </row>
    <row r="146" spans="1:13" x14ac:dyDescent="0.25">
      <c r="A146" s="3">
        <v>41868</v>
      </c>
      <c r="B146" s="2" t="s">
        <v>4</v>
      </c>
      <c r="C146" s="2">
        <v>39</v>
      </c>
      <c r="G146" s="7">
        <f t="array" ref="G146">IF(ROWS(K$20:K146)&gt;$F$6,"",INDEX(A$2:A$10000,SMALL(IF(ISNUMBER(MATCH($B$2:$B$10000,$E$6:$E$22,0)),ROW($C$2:$C$10000)-ROW($C$2)+1),ROWS(K$20:K146))))</f>
        <v>41604</v>
      </c>
      <c r="H146" s="4" t="str">
        <f t="array" ref="H146">IF(ROWS(L$20:L146)&gt;$F$6,"",INDEX(B$2:B$10000,SMALL(IF(ISNUMBER(MATCH($B$2:$B$10000,$E$6:$E$22,0)),ROW($C$2:$C$10000)-ROW($C$2)+1),ROWS(L$20:L146))))</f>
        <v>Mickey  Bolduc</v>
      </c>
      <c r="I146" s="4">
        <f t="array" ref="I146">IF(ROWS(M$20:M146)&gt;$F$6,"",INDEX(C$2:C$10000,SMALL(IF(ISNUMBER(MATCH($B$2:$B$10000,$E$6:$E$22,0)),ROW($C$2:$C$10000)-ROW($C$2)+1),ROWS(M$20:M146))))</f>
        <v>50</v>
      </c>
      <c r="K146" s="7">
        <f t="array" ref="K146">IF(ROWS(K$20:K146)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146))))</f>
        <v>41604</v>
      </c>
      <c r="L146" s="4" t="str">
        <f t="array" ref="L146">IF(ROWS(L$20:L146)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146))))</f>
        <v>Mickey  Bolduc</v>
      </c>
      <c r="M146" s="4">
        <f t="array" ref="M146">IF(ROWS(M$20:M146)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146))))</f>
        <v>50</v>
      </c>
    </row>
    <row r="147" spans="1:13" x14ac:dyDescent="0.25">
      <c r="A147" s="3">
        <v>41477</v>
      </c>
      <c r="B147" s="2" t="s">
        <v>42</v>
      </c>
      <c r="C147" s="2">
        <v>37</v>
      </c>
      <c r="G147" s="7">
        <f t="array" ref="G147">IF(ROWS(K$20:K147)&gt;$F$6,"",INDEX(A$2:A$10000,SMALL(IF(ISNUMBER(MATCH($B$2:$B$10000,$E$6:$E$22,0)),ROW($C$2:$C$10000)-ROW($C$2)+1),ROWS(K$20:K147))))</f>
        <v>41740</v>
      </c>
      <c r="H147" s="4" t="str">
        <f t="array" ref="H147">IF(ROWS(L$20:L147)&gt;$F$6,"",INDEX(B$2:B$10000,SMALL(IF(ISNUMBER(MATCH($B$2:$B$10000,$E$6:$E$22,0)),ROW($C$2:$C$10000)-ROW($C$2)+1),ROWS(L$20:L147))))</f>
        <v>Galen  Barth</v>
      </c>
      <c r="I147" s="4">
        <f t="array" ref="I147">IF(ROWS(M$20:M147)&gt;$F$6,"",INDEX(C$2:C$10000,SMALL(IF(ISNUMBER(MATCH($B$2:$B$10000,$E$6:$E$22,0)),ROW($C$2:$C$10000)-ROW($C$2)+1),ROWS(M$20:M147))))</f>
        <v>25</v>
      </c>
      <c r="K147" s="7">
        <f t="array" ref="K147">IF(ROWS(K$20:K147)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147))))</f>
        <v>41740</v>
      </c>
      <c r="L147" s="4" t="str">
        <f t="array" ref="L147">IF(ROWS(L$20:L147)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147))))</f>
        <v>Galen  Barth</v>
      </c>
      <c r="M147" s="4">
        <f t="array" ref="M147">IF(ROWS(M$20:M147)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147))))</f>
        <v>25</v>
      </c>
    </row>
    <row r="148" spans="1:13" x14ac:dyDescent="0.25">
      <c r="A148" s="3">
        <v>41525</v>
      </c>
      <c r="B148" s="2" t="s">
        <v>22</v>
      </c>
      <c r="C148" s="2">
        <v>30</v>
      </c>
      <c r="G148" s="7">
        <f t="array" ref="G148">IF(ROWS(K$20:K148)&gt;$F$6,"",INDEX(A$2:A$10000,SMALL(IF(ISNUMBER(MATCH($B$2:$B$10000,$E$6:$E$22,0)),ROW($C$2:$C$10000)-ROW($C$2)+1),ROWS(K$20:K148))))</f>
        <v>41737</v>
      </c>
      <c r="H148" s="4" t="str">
        <f t="array" ref="H148">IF(ROWS(L$20:L148)&gt;$F$6,"",INDEX(B$2:B$10000,SMALL(IF(ISNUMBER(MATCH($B$2:$B$10000,$E$6:$E$22,0)),ROW($C$2:$C$10000)-ROW($C$2)+1),ROWS(L$20:L148))))</f>
        <v>Jenni  Thorton</v>
      </c>
      <c r="I148" s="4">
        <f t="array" ref="I148">IF(ROWS(M$20:M148)&gt;$F$6,"",INDEX(C$2:C$10000,SMALL(IF(ISNUMBER(MATCH($B$2:$B$10000,$E$6:$E$22,0)),ROW($C$2:$C$10000)-ROW($C$2)+1),ROWS(M$20:M148))))</f>
        <v>23</v>
      </c>
      <c r="K148" s="7">
        <f t="array" ref="K148">IF(ROWS(K$20:K148)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148))))</f>
        <v>41737</v>
      </c>
      <c r="L148" s="4" t="str">
        <f t="array" ref="L148">IF(ROWS(L$20:L148)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148))))</f>
        <v>Jenni  Thorton</v>
      </c>
      <c r="M148" s="4">
        <f t="array" ref="M148">IF(ROWS(M$20:M148)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148))))</f>
        <v>23</v>
      </c>
    </row>
    <row r="149" spans="1:13" x14ac:dyDescent="0.25">
      <c r="A149" s="3">
        <v>41566</v>
      </c>
      <c r="B149" s="2" t="s">
        <v>46</v>
      </c>
      <c r="C149" s="2">
        <v>23</v>
      </c>
      <c r="G149" s="7">
        <f t="array" ref="G149">IF(ROWS(K$20:K149)&gt;$F$6,"",INDEX(A$2:A$10000,SMALL(IF(ISNUMBER(MATCH($B$2:$B$10000,$E$6:$E$22,0)),ROW($C$2:$C$10000)-ROW($C$2)+1),ROWS(K$20:K149))))</f>
        <v>41276</v>
      </c>
      <c r="H149" s="4" t="str">
        <f t="array" ref="H149">IF(ROWS(L$20:L149)&gt;$F$6,"",INDEX(B$2:B$10000,SMALL(IF(ISNUMBER(MATCH($B$2:$B$10000,$E$6:$E$22,0)),ROW($C$2:$C$10000)-ROW($C$2)+1),ROWS(L$20:L149))))</f>
        <v>Jenni  Thorton</v>
      </c>
      <c r="I149" s="4">
        <f t="array" ref="I149">IF(ROWS(M$20:M149)&gt;$F$6,"",INDEX(C$2:C$10000,SMALL(IF(ISNUMBER(MATCH($B$2:$B$10000,$E$6:$E$22,0)),ROW($C$2:$C$10000)-ROW($C$2)+1),ROWS(M$20:M149))))</f>
        <v>52</v>
      </c>
      <c r="K149" s="7">
        <f t="array" ref="K149">IF(ROWS(K$20:K149)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149))))</f>
        <v>41276</v>
      </c>
      <c r="L149" s="4" t="str">
        <f t="array" ref="L149">IF(ROWS(L$20:L149)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149))))</f>
        <v>Jenni  Thorton</v>
      </c>
      <c r="M149" s="4">
        <f t="array" ref="M149">IF(ROWS(M$20:M149)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149))))</f>
        <v>52</v>
      </c>
    </row>
    <row r="150" spans="1:13" x14ac:dyDescent="0.25">
      <c r="A150" s="3">
        <v>41944</v>
      </c>
      <c r="B150" s="2" t="s">
        <v>27</v>
      </c>
      <c r="C150" s="2">
        <v>4</v>
      </c>
      <c r="G150" s="7">
        <f t="array" ref="G150">IF(ROWS(K$20:K150)&gt;$F$6,"",INDEX(A$2:A$10000,SMALL(IF(ISNUMBER(MATCH($B$2:$B$10000,$E$6:$E$22,0)),ROW($C$2:$C$10000)-ROW($C$2)+1),ROWS(K$20:K150))))</f>
        <v>41386</v>
      </c>
      <c r="H150" s="4" t="str">
        <f t="array" ref="H150">IF(ROWS(L$20:L150)&gt;$F$6,"",INDEX(B$2:B$10000,SMALL(IF(ISNUMBER(MATCH($B$2:$B$10000,$E$6:$E$22,0)),ROW($C$2:$C$10000)-ROW($C$2)+1),ROWS(L$20:L150))))</f>
        <v>Kerrie  Worrell</v>
      </c>
      <c r="I150" s="4">
        <f t="array" ref="I150">IF(ROWS(M$20:M150)&gt;$F$6,"",INDEX(C$2:C$10000,SMALL(IF(ISNUMBER(MATCH($B$2:$B$10000,$E$6:$E$22,0)),ROW($C$2:$C$10000)-ROW($C$2)+1),ROWS(M$20:M150))))</f>
        <v>12</v>
      </c>
      <c r="K150" s="7">
        <f t="array" ref="K150">IF(ROWS(K$20:K150)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150))))</f>
        <v>41386</v>
      </c>
      <c r="L150" s="4" t="str">
        <f t="array" ref="L150">IF(ROWS(L$20:L150)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150))))</f>
        <v>Kerrie  Worrell</v>
      </c>
      <c r="M150" s="4">
        <f t="array" ref="M150">IF(ROWS(M$20:M150)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150))))</f>
        <v>12</v>
      </c>
    </row>
    <row r="151" spans="1:13" x14ac:dyDescent="0.25">
      <c r="A151" s="3">
        <v>41768</v>
      </c>
      <c r="B151" s="2" t="s">
        <v>41</v>
      </c>
      <c r="C151" s="2">
        <v>30</v>
      </c>
      <c r="G151" s="7">
        <f t="array" ref="G151">IF(ROWS(K$20:K151)&gt;$F$6,"",INDEX(A$2:A$10000,SMALL(IF(ISNUMBER(MATCH($B$2:$B$10000,$E$6:$E$22,0)),ROW($C$2:$C$10000)-ROW($C$2)+1),ROWS(K$20:K151))))</f>
        <v>41890</v>
      </c>
      <c r="H151" s="4" t="str">
        <f t="array" ref="H151">IF(ROWS(L$20:L151)&gt;$F$6,"",INDEX(B$2:B$10000,SMALL(IF(ISNUMBER(MATCH($B$2:$B$10000,$E$6:$E$22,0)),ROW($C$2:$C$10000)-ROW($C$2)+1),ROWS(L$20:L151))))</f>
        <v>Rosamond  Allard</v>
      </c>
      <c r="I151" s="4">
        <f t="array" ref="I151">IF(ROWS(M$20:M151)&gt;$F$6,"",INDEX(C$2:C$10000,SMALL(IF(ISNUMBER(MATCH($B$2:$B$10000,$E$6:$E$22,0)),ROW($C$2:$C$10000)-ROW($C$2)+1),ROWS(M$20:M151))))</f>
        <v>15</v>
      </c>
      <c r="K151" s="7">
        <f t="array" ref="K151">IF(ROWS(K$20:K151)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151))))</f>
        <v>41890</v>
      </c>
      <c r="L151" s="4" t="str">
        <f t="array" ref="L151">IF(ROWS(L$20:L151)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151))))</f>
        <v>Rosamond  Allard</v>
      </c>
      <c r="M151" s="4">
        <f t="array" ref="M151">IF(ROWS(M$20:M151)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151))))</f>
        <v>15</v>
      </c>
    </row>
    <row r="152" spans="1:13" x14ac:dyDescent="0.25">
      <c r="A152" s="3">
        <v>41364</v>
      </c>
      <c r="B152" s="2" t="s">
        <v>29</v>
      </c>
      <c r="C152" s="2">
        <v>30</v>
      </c>
      <c r="G152" s="7">
        <f t="array" ref="G152">IF(ROWS(K$20:K152)&gt;$F$6,"",INDEX(A$2:A$10000,SMALL(IF(ISNUMBER(MATCH($B$2:$B$10000,$E$6:$E$22,0)),ROW($C$2:$C$10000)-ROW($C$2)+1),ROWS(K$20:K152))))</f>
        <v>41537</v>
      </c>
      <c r="H152" s="4" t="str">
        <f t="array" ref="H152">IF(ROWS(L$20:L152)&gt;$F$6,"",INDEX(B$2:B$10000,SMALL(IF(ISNUMBER(MATCH($B$2:$B$10000,$E$6:$E$22,0)),ROW($C$2:$C$10000)-ROW($C$2)+1),ROWS(L$20:L152))))</f>
        <v>Galen  Barth</v>
      </c>
      <c r="I152" s="4">
        <f t="array" ref="I152">IF(ROWS(M$20:M152)&gt;$F$6,"",INDEX(C$2:C$10000,SMALL(IF(ISNUMBER(MATCH($B$2:$B$10000,$E$6:$E$22,0)),ROW($C$2:$C$10000)-ROW($C$2)+1),ROWS(M$20:M152))))</f>
        <v>40</v>
      </c>
      <c r="K152" s="7">
        <f t="array" ref="K152">IF(ROWS(K$20:K152)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152))))</f>
        <v>41537</v>
      </c>
      <c r="L152" s="4" t="str">
        <f t="array" ref="L152">IF(ROWS(L$20:L152)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152))))</f>
        <v>Galen  Barth</v>
      </c>
      <c r="M152" s="4">
        <f t="array" ref="M152">IF(ROWS(M$20:M152)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152))))</f>
        <v>40</v>
      </c>
    </row>
    <row r="153" spans="1:13" x14ac:dyDescent="0.25">
      <c r="A153" s="3">
        <v>41593</v>
      </c>
      <c r="B153" s="2" t="s">
        <v>24</v>
      </c>
      <c r="C153" s="2">
        <v>17</v>
      </c>
      <c r="G153" s="7">
        <f t="array" ref="G153">IF(ROWS(K$20:K153)&gt;$F$6,"",INDEX(A$2:A$10000,SMALL(IF(ISNUMBER(MATCH($B$2:$B$10000,$E$6:$E$22,0)),ROW($C$2:$C$10000)-ROW($C$2)+1),ROWS(K$20:K153))))</f>
        <v>41859</v>
      </c>
      <c r="H153" s="4" t="str">
        <f t="array" ref="H153">IF(ROWS(L$20:L153)&gt;$F$6,"",INDEX(B$2:B$10000,SMALL(IF(ISNUMBER(MATCH($B$2:$B$10000,$E$6:$E$22,0)),ROW($C$2:$C$10000)-ROW($C$2)+1),ROWS(L$20:L153))))</f>
        <v>Rosamond  Allard</v>
      </c>
      <c r="I153" s="4">
        <f t="array" ref="I153">IF(ROWS(M$20:M153)&gt;$F$6,"",INDEX(C$2:C$10000,SMALL(IF(ISNUMBER(MATCH($B$2:$B$10000,$E$6:$E$22,0)),ROW($C$2:$C$10000)-ROW($C$2)+1),ROWS(M$20:M153))))</f>
        <v>43</v>
      </c>
      <c r="K153" s="7">
        <f t="array" ref="K153">IF(ROWS(K$20:K153)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153))))</f>
        <v>41859</v>
      </c>
      <c r="L153" s="4" t="str">
        <f t="array" ref="L153">IF(ROWS(L$20:L153)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153))))</f>
        <v>Rosamond  Allard</v>
      </c>
      <c r="M153" s="4">
        <f t="array" ref="M153">IF(ROWS(M$20:M153)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153))))</f>
        <v>43</v>
      </c>
    </row>
    <row r="154" spans="1:13" x14ac:dyDescent="0.25">
      <c r="A154" s="3">
        <v>41642</v>
      </c>
      <c r="B154" s="2" t="s">
        <v>51</v>
      </c>
      <c r="C154" s="2">
        <v>36</v>
      </c>
      <c r="G154" s="7">
        <f t="array" ref="G154">IF(ROWS(K$20:K154)&gt;$F$6,"",INDEX(A$2:A$10000,SMALL(IF(ISNUMBER(MATCH($B$2:$B$10000,$E$6:$E$22,0)),ROW($C$2:$C$10000)-ROW($C$2)+1),ROWS(K$20:K154))))</f>
        <v>41335</v>
      </c>
      <c r="H154" s="4" t="str">
        <f t="array" ref="H154">IF(ROWS(L$20:L154)&gt;$F$6,"",INDEX(B$2:B$10000,SMALL(IF(ISNUMBER(MATCH($B$2:$B$10000,$E$6:$E$22,0)),ROW($C$2:$C$10000)-ROW($C$2)+1),ROWS(L$20:L154))))</f>
        <v>Kerrie  Worrell</v>
      </c>
      <c r="I154" s="4">
        <f t="array" ref="I154">IF(ROWS(M$20:M154)&gt;$F$6,"",INDEX(C$2:C$10000,SMALL(IF(ISNUMBER(MATCH($B$2:$B$10000,$E$6:$E$22,0)),ROW($C$2:$C$10000)-ROW($C$2)+1),ROWS(M$20:M154))))</f>
        <v>44</v>
      </c>
      <c r="K154" s="7">
        <f t="array" ref="K154">IF(ROWS(K$20:K154)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154))))</f>
        <v>41335</v>
      </c>
      <c r="L154" s="4" t="str">
        <f t="array" ref="L154">IF(ROWS(L$20:L154)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154))))</f>
        <v>Kerrie  Worrell</v>
      </c>
      <c r="M154" s="4">
        <f t="array" ref="M154">IF(ROWS(M$20:M154)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154))))</f>
        <v>44</v>
      </c>
    </row>
    <row r="155" spans="1:13" x14ac:dyDescent="0.25">
      <c r="A155" s="3">
        <v>41897</v>
      </c>
      <c r="B155" s="2" t="s">
        <v>4</v>
      </c>
      <c r="C155" s="2">
        <v>20</v>
      </c>
      <c r="G155" s="7">
        <f t="array" ref="G155">IF(ROWS(K$20:K155)&gt;$F$6,"",INDEX(A$2:A$10000,SMALL(IF(ISNUMBER(MATCH($B$2:$B$10000,$E$6:$E$22,0)),ROW($C$2:$C$10000)-ROW($C$2)+1),ROWS(K$20:K155))))</f>
        <v>41829</v>
      </c>
      <c r="H155" s="4" t="str">
        <f t="array" ref="H155">IF(ROWS(L$20:L155)&gt;$F$6,"",INDEX(B$2:B$10000,SMALL(IF(ISNUMBER(MATCH($B$2:$B$10000,$E$6:$E$22,0)),ROW($C$2:$C$10000)-ROW($C$2)+1),ROWS(L$20:L155))))</f>
        <v>Kerrie  Worrell</v>
      </c>
      <c r="I155" s="4">
        <f t="array" ref="I155">IF(ROWS(M$20:M155)&gt;$F$6,"",INDEX(C$2:C$10000,SMALL(IF(ISNUMBER(MATCH($B$2:$B$10000,$E$6:$E$22,0)),ROW($C$2:$C$10000)-ROW($C$2)+1),ROWS(M$20:M155))))</f>
        <v>27</v>
      </c>
      <c r="K155" s="7">
        <f t="array" ref="K155">IF(ROWS(K$20:K155)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155))))</f>
        <v>41829</v>
      </c>
      <c r="L155" s="4" t="str">
        <f t="array" ref="L155">IF(ROWS(L$20:L155)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155))))</f>
        <v>Kerrie  Worrell</v>
      </c>
      <c r="M155" s="4">
        <f t="array" ref="M155">IF(ROWS(M$20:M155)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155))))</f>
        <v>27</v>
      </c>
    </row>
    <row r="156" spans="1:13" x14ac:dyDescent="0.25">
      <c r="A156" s="3">
        <v>41944</v>
      </c>
      <c r="B156" s="2" t="s">
        <v>3</v>
      </c>
      <c r="C156" s="2">
        <v>31</v>
      </c>
      <c r="G156" s="7">
        <f t="array" ref="G156">IF(ROWS(K$20:K156)&gt;$F$6,"",INDEX(A$2:A$10000,SMALL(IF(ISNUMBER(MATCH($B$2:$B$10000,$E$6:$E$22,0)),ROW($C$2:$C$10000)-ROW($C$2)+1),ROWS(K$20:K156))))</f>
        <v>41312</v>
      </c>
      <c r="H156" s="4" t="str">
        <f t="array" ref="H156">IF(ROWS(L$20:L156)&gt;$F$6,"",INDEX(B$2:B$10000,SMALL(IF(ISNUMBER(MATCH($B$2:$B$10000,$E$6:$E$22,0)),ROW($C$2:$C$10000)-ROW($C$2)+1),ROWS(L$20:L156))))</f>
        <v>Iliana  Valerio</v>
      </c>
      <c r="I156" s="4">
        <f t="array" ref="I156">IF(ROWS(M$20:M156)&gt;$F$6,"",INDEX(C$2:C$10000,SMALL(IF(ISNUMBER(MATCH($B$2:$B$10000,$E$6:$E$22,0)),ROW($C$2:$C$10000)-ROW($C$2)+1),ROWS(M$20:M156))))</f>
        <v>2</v>
      </c>
      <c r="K156" s="7">
        <f t="array" ref="K156">IF(ROWS(K$20:K156)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156))))</f>
        <v>41312</v>
      </c>
      <c r="L156" s="4" t="str">
        <f t="array" ref="L156">IF(ROWS(L$20:L156)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156))))</f>
        <v>Iliana  Valerio</v>
      </c>
      <c r="M156" s="4">
        <f t="array" ref="M156">IF(ROWS(M$20:M156)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156))))</f>
        <v>2</v>
      </c>
    </row>
    <row r="157" spans="1:13" x14ac:dyDescent="0.25">
      <c r="A157" s="3">
        <v>41452</v>
      </c>
      <c r="B157" s="2" t="s">
        <v>24</v>
      </c>
      <c r="C157" s="2">
        <v>34</v>
      </c>
      <c r="G157" s="7">
        <f t="array" ref="G157">IF(ROWS(K$20:K157)&gt;$F$6,"",INDEX(A$2:A$10000,SMALL(IF(ISNUMBER(MATCH($B$2:$B$10000,$E$6:$E$22,0)),ROW($C$2:$C$10000)-ROW($C$2)+1),ROWS(K$20:K157))))</f>
        <v>41403</v>
      </c>
      <c r="H157" s="4" t="str">
        <f t="array" ref="H157">IF(ROWS(L$20:L157)&gt;$F$6,"",INDEX(B$2:B$10000,SMALL(IF(ISNUMBER(MATCH($B$2:$B$10000,$E$6:$E$22,0)),ROW($C$2:$C$10000)-ROW($C$2)+1),ROWS(L$20:L157))))</f>
        <v>Kerrie  Worrell</v>
      </c>
      <c r="I157" s="4">
        <f t="array" ref="I157">IF(ROWS(M$20:M157)&gt;$F$6,"",INDEX(C$2:C$10000,SMALL(IF(ISNUMBER(MATCH($B$2:$B$10000,$E$6:$E$22,0)),ROW($C$2:$C$10000)-ROW($C$2)+1),ROWS(M$20:M157))))</f>
        <v>38</v>
      </c>
      <c r="K157" s="7">
        <f t="array" ref="K157">IF(ROWS(K$20:K157)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157))))</f>
        <v>41403</v>
      </c>
      <c r="L157" s="4" t="str">
        <f t="array" ref="L157">IF(ROWS(L$20:L157)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157))))</f>
        <v>Kerrie  Worrell</v>
      </c>
      <c r="M157" s="4">
        <f t="array" ref="M157">IF(ROWS(M$20:M157)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157))))</f>
        <v>38</v>
      </c>
    </row>
    <row r="158" spans="1:13" x14ac:dyDescent="0.25">
      <c r="A158" s="3">
        <v>41743</v>
      </c>
      <c r="B158" s="2" t="s">
        <v>20</v>
      </c>
      <c r="C158" s="2">
        <v>36</v>
      </c>
      <c r="G158" s="7">
        <f t="array" ref="G158">IF(ROWS(K$20:K158)&gt;$F$6,"",INDEX(A$2:A$10000,SMALL(IF(ISNUMBER(MATCH($B$2:$B$10000,$E$6:$E$22,0)),ROW($C$2:$C$10000)-ROW($C$2)+1),ROWS(K$20:K158))))</f>
        <v>41532</v>
      </c>
      <c r="H158" s="4" t="str">
        <f t="array" ref="H158">IF(ROWS(L$20:L158)&gt;$F$6,"",INDEX(B$2:B$10000,SMALL(IF(ISNUMBER(MATCH($B$2:$B$10000,$E$6:$E$22,0)),ROW($C$2:$C$10000)-ROW($C$2)+1),ROWS(L$20:L158))))</f>
        <v>Kerrie  Worrell</v>
      </c>
      <c r="I158" s="4">
        <f t="array" ref="I158">IF(ROWS(M$20:M158)&gt;$F$6,"",INDEX(C$2:C$10000,SMALL(IF(ISNUMBER(MATCH($B$2:$B$10000,$E$6:$E$22,0)),ROW($C$2:$C$10000)-ROW($C$2)+1),ROWS(M$20:M158))))</f>
        <v>24</v>
      </c>
      <c r="K158" s="7">
        <f t="array" ref="K158">IF(ROWS(K$20:K158)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158))))</f>
        <v>41532</v>
      </c>
      <c r="L158" s="4" t="str">
        <f t="array" ref="L158">IF(ROWS(L$20:L158)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158))))</f>
        <v>Kerrie  Worrell</v>
      </c>
      <c r="M158" s="4">
        <f t="array" ref="M158">IF(ROWS(M$20:M158)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158))))</f>
        <v>24</v>
      </c>
    </row>
    <row r="159" spans="1:13" x14ac:dyDescent="0.25">
      <c r="A159" s="3">
        <v>41636</v>
      </c>
      <c r="B159" s="2" t="s">
        <v>9</v>
      </c>
      <c r="C159" s="2">
        <v>47</v>
      </c>
      <c r="G159" s="7">
        <f t="array" ref="G159">IF(ROWS(K$20:K159)&gt;$F$6,"",INDEX(A$2:A$10000,SMALL(IF(ISNUMBER(MATCH($B$2:$B$10000,$E$6:$E$22,0)),ROW($C$2:$C$10000)-ROW($C$2)+1),ROWS(K$20:K159))))</f>
        <v>41755</v>
      </c>
      <c r="H159" s="4" t="str">
        <f t="array" ref="H159">IF(ROWS(L$20:L159)&gt;$F$6,"",INDEX(B$2:B$10000,SMALL(IF(ISNUMBER(MATCH($B$2:$B$10000,$E$6:$E$22,0)),ROW($C$2:$C$10000)-ROW($C$2)+1),ROWS(L$20:L159))))</f>
        <v>Jenni  Thorton</v>
      </c>
      <c r="I159" s="4">
        <f t="array" ref="I159">IF(ROWS(M$20:M159)&gt;$F$6,"",INDEX(C$2:C$10000,SMALL(IF(ISNUMBER(MATCH($B$2:$B$10000,$E$6:$E$22,0)),ROW($C$2:$C$10000)-ROW($C$2)+1),ROWS(M$20:M159))))</f>
        <v>15</v>
      </c>
      <c r="K159" s="7">
        <f t="array" ref="K159">IF(ROWS(K$20:K159)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159))))</f>
        <v>41755</v>
      </c>
      <c r="L159" s="4" t="str">
        <f t="array" ref="L159">IF(ROWS(L$20:L159)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159))))</f>
        <v>Jenni  Thorton</v>
      </c>
      <c r="M159" s="4">
        <f t="array" ref="M159">IF(ROWS(M$20:M159)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159))))</f>
        <v>15</v>
      </c>
    </row>
    <row r="160" spans="1:13" x14ac:dyDescent="0.25">
      <c r="A160" s="3">
        <v>41954</v>
      </c>
      <c r="B160" s="2" t="s">
        <v>49</v>
      </c>
      <c r="C160" s="2">
        <v>4</v>
      </c>
      <c r="G160" s="7">
        <f t="array" ref="G160">IF(ROWS(K$20:K160)&gt;$F$6,"",INDEX(A$2:A$10000,SMALL(IF(ISNUMBER(MATCH($B$2:$B$10000,$E$6:$E$22,0)),ROW($C$2:$C$10000)-ROW($C$2)+1),ROWS(K$20:K160))))</f>
        <v>41653</v>
      </c>
      <c r="H160" s="4" t="str">
        <f t="array" ref="H160">IF(ROWS(L$20:L160)&gt;$F$6,"",INDEX(B$2:B$10000,SMALL(IF(ISNUMBER(MATCH($B$2:$B$10000,$E$6:$E$22,0)),ROW($C$2:$C$10000)-ROW($C$2)+1),ROWS(L$20:L160))))</f>
        <v>Jenni  Thorton</v>
      </c>
      <c r="I160" s="4">
        <f t="array" ref="I160">IF(ROWS(M$20:M160)&gt;$F$6,"",INDEX(C$2:C$10000,SMALL(IF(ISNUMBER(MATCH($B$2:$B$10000,$E$6:$E$22,0)),ROW($C$2:$C$10000)-ROW($C$2)+1),ROWS(M$20:M160))))</f>
        <v>30</v>
      </c>
      <c r="K160" s="7">
        <f t="array" ref="K160">IF(ROWS(K$20:K160)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160))))</f>
        <v>41653</v>
      </c>
      <c r="L160" s="4" t="str">
        <f t="array" ref="L160">IF(ROWS(L$20:L160)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160))))</f>
        <v>Jenni  Thorton</v>
      </c>
      <c r="M160" s="4">
        <f t="array" ref="M160">IF(ROWS(M$20:M160)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160))))</f>
        <v>30</v>
      </c>
    </row>
    <row r="161" spans="1:13" x14ac:dyDescent="0.25">
      <c r="A161" s="3">
        <v>41482</v>
      </c>
      <c r="B161" s="2" t="s">
        <v>23</v>
      </c>
      <c r="C161" s="2">
        <v>30</v>
      </c>
      <c r="G161" s="7">
        <f t="array" ref="G161">IF(ROWS(K$20:K161)&gt;$F$6,"",INDEX(A$2:A$10000,SMALL(IF(ISNUMBER(MATCH($B$2:$B$10000,$E$6:$E$22,0)),ROW($C$2:$C$10000)-ROW($C$2)+1),ROWS(K$20:K161))))</f>
        <v>41348</v>
      </c>
      <c r="H161" s="4" t="str">
        <f t="array" ref="H161">IF(ROWS(L$20:L161)&gt;$F$6,"",INDEX(B$2:B$10000,SMALL(IF(ISNUMBER(MATCH($B$2:$B$10000,$E$6:$E$22,0)),ROW($C$2:$C$10000)-ROW($C$2)+1),ROWS(L$20:L161))))</f>
        <v>Galen  Barth</v>
      </c>
      <c r="I161" s="4">
        <f t="array" ref="I161">IF(ROWS(M$20:M161)&gt;$F$6,"",INDEX(C$2:C$10000,SMALL(IF(ISNUMBER(MATCH($B$2:$B$10000,$E$6:$E$22,0)),ROW($C$2:$C$10000)-ROW($C$2)+1),ROWS(M$20:M161))))</f>
        <v>21</v>
      </c>
      <c r="K161" s="7">
        <f t="array" ref="K161">IF(ROWS(K$20:K161)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161))))</f>
        <v>41348</v>
      </c>
      <c r="L161" s="4" t="str">
        <f t="array" ref="L161">IF(ROWS(L$20:L161)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161))))</f>
        <v>Galen  Barth</v>
      </c>
      <c r="M161" s="4">
        <f t="array" ref="M161">IF(ROWS(M$20:M161)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161))))</f>
        <v>21</v>
      </c>
    </row>
    <row r="162" spans="1:13" x14ac:dyDescent="0.25">
      <c r="A162" s="3">
        <v>41841</v>
      </c>
      <c r="B162" s="2" t="s">
        <v>27</v>
      </c>
      <c r="C162" s="2">
        <v>19</v>
      </c>
      <c r="G162" s="7">
        <f t="array" ref="G162">IF(ROWS(K$20:K162)&gt;$F$6,"",INDEX(A$2:A$10000,SMALL(IF(ISNUMBER(MATCH($B$2:$B$10000,$E$6:$E$22,0)),ROW($C$2:$C$10000)-ROW($C$2)+1),ROWS(K$20:K162))))</f>
        <v>41453</v>
      </c>
      <c r="H162" s="4" t="str">
        <f t="array" ref="H162">IF(ROWS(L$20:L162)&gt;$F$6,"",INDEX(B$2:B$10000,SMALL(IF(ISNUMBER(MATCH($B$2:$B$10000,$E$6:$E$22,0)),ROW($C$2:$C$10000)-ROW($C$2)+1),ROWS(L$20:L162))))</f>
        <v>Iliana  Valerio</v>
      </c>
      <c r="I162" s="4">
        <f t="array" ref="I162">IF(ROWS(M$20:M162)&gt;$F$6,"",INDEX(C$2:C$10000,SMALL(IF(ISNUMBER(MATCH($B$2:$B$10000,$E$6:$E$22,0)),ROW($C$2:$C$10000)-ROW($C$2)+1),ROWS(M$20:M162))))</f>
        <v>49</v>
      </c>
      <c r="K162" s="7">
        <f t="array" ref="K162">IF(ROWS(K$20:K162)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162))))</f>
        <v>41453</v>
      </c>
      <c r="L162" s="4" t="str">
        <f t="array" ref="L162">IF(ROWS(L$20:L162)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162))))</f>
        <v>Iliana  Valerio</v>
      </c>
      <c r="M162" s="4">
        <f t="array" ref="M162">IF(ROWS(M$20:M162)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162))))</f>
        <v>49</v>
      </c>
    </row>
    <row r="163" spans="1:13" x14ac:dyDescent="0.25">
      <c r="A163" s="3">
        <v>41575</v>
      </c>
      <c r="B163" s="2" t="s">
        <v>2</v>
      </c>
      <c r="C163" s="2">
        <v>14</v>
      </c>
      <c r="G163" s="7">
        <f t="array" ref="G163">IF(ROWS(K$20:K163)&gt;$F$6,"",INDEX(A$2:A$10000,SMALL(IF(ISNUMBER(MATCH($B$2:$B$10000,$E$6:$E$22,0)),ROW($C$2:$C$10000)-ROW($C$2)+1),ROWS(K$20:K163))))</f>
        <v>41446</v>
      </c>
      <c r="H163" s="4" t="str">
        <f t="array" ref="H163">IF(ROWS(L$20:L163)&gt;$F$6,"",INDEX(B$2:B$10000,SMALL(IF(ISNUMBER(MATCH($B$2:$B$10000,$E$6:$E$22,0)),ROW($C$2:$C$10000)-ROW($C$2)+1),ROWS(L$20:L163))))</f>
        <v>Mickey  Bolduc</v>
      </c>
      <c r="I163" s="4">
        <f t="array" ref="I163">IF(ROWS(M$20:M163)&gt;$F$6,"",INDEX(C$2:C$10000,SMALL(IF(ISNUMBER(MATCH($B$2:$B$10000,$E$6:$E$22,0)),ROW($C$2:$C$10000)-ROW($C$2)+1),ROWS(M$20:M163))))</f>
        <v>47</v>
      </c>
      <c r="K163" s="7">
        <f t="array" ref="K163">IF(ROWS(K$20:K163)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163))))</f>
        <v>41446</v>
      </c>
      <c r="L163" s="4" t="str">
        <f t="array" ref="L163">IF(ROWS(L$20:L163)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163))))</f>
        <v>Mickey  Bolduc</v>
      </c>
      <c r="M163" s="4">
        <f t="array" ref="M163">IF(ROWS(M$20:M163)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163))))</f>
        <v>47</v>
      </c>
    </row>
    <row r="164" spans="1:13" x14ac:dyDescent="0.25">
      <c r="A164" s="3">
        <v>41580</v>
      </c>
      <c r="B164" s="2" t="s">
        <v>5</v>
      </c>
      <c r="C164" s="2">
        <v>13</v>
      </c>
      <c r="G164" s="7">
        <f t="array" ref="G164">IF(ROWS(K$20:K164)&gt;$F$6,"",INDEX(A$2:A$10000,SMALL(IF(ISNUMBER(MATCH($B$2:$B$10000,$E$6:$E$22,0)),ROW($C$2:$C$10000)-ROW($C$2)+1),ROWS(K$20:K164))))</f>
        <v>41781</v>
      </c>
      <c r="H164" s="4" t="str">
        <f t="array" ref="H164">IF(ROWS(L$20:L164)&gt;$F$6,"",INDEX(B$2:B$10000,SMALL(IF(ISNUMBER(MATCH($B$2:$B$10000,$E$6:$E$22,0)),ROW($C$2:$C$10000)-ROW($C$2)+1),ROWS(L$20:L164))))</f>
        <v>Galen  Barth</v>
      </c>
      <c r="I164" s="4">
        <f t="array" ref="I164">IF(ROWS(M$20:M164)&gt;$F$6,"",INDEX(C$2:C$10000,SMALL(IF(ISNUMBER(MATCH($B$2:$B$10000,$E$6:$E$22,0)),ROW($C$2:$C$10000)-ROW($C$2)+1),ROWS(M$20:M164))))</f>
        <v>42</v>
      </c>
      <c r="K164" s="7">
        <f t="array" ref="K164">IF(ROWS(K$20:K164)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164))))</f>
        <v>41781</v>
      </c>
      <c r="L164" s="4" t="str">
        <f t="array" ref="L164">IF(ROWS(L$20:L164)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164))))</f>
        <v>Galen  Barth</v>
      </c>
      <c r="M164" s="4">
        <f t="array" ref="M164">IF(ROWS(M$20:M164)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164))))</f>
        <v>42</v>
      </c>
    </row>
    <row r="165" spans="1:13" x14ac:dyDescent="0.25">
      <c r="A165" s="3">
        <v>41322</v>
      </c>
      <c r="B165" s="2" t="s">
        <v>3</v>
      </c>
      <c r="C165" s="2">
        <v>36</v>
      </c>
      <c r="G165" s="7">
        <f t="array" ref="G165">IF(ROWS(K$20:K165)&gt;$F$6,"",INDEX(A$2:A$10000,SMALL(IF(ISNUMBER(MATCH($B$2:$B$10000,$E$6:$E$22,0)),ROW($C$2:$C$10000)-ROW($C$2)+1),ROWS(K$20:K165))))</f>
        <v>41648</v>
      </c>
      <c r="H165" s="4" t="str">
        <f t="array" ref="H165">IF(ROWS(L$20:L165)&gt;$F$6,"",INDEX(B$2:B$10000,SMALL(IF(ISNUMBER(MATCH($B$2:$B$10000,$E$6:$E$22,0)),ROW($C$2:$C$10000)-ROW($C$2)+1),ROWS(L$20:L165))))</f>
        <v>Jenni  Thorton</v>
      </c>
      <c r="I165" s="4">
        <f t="array" ref="I165">IF(ROWS(M$20:M165)&gt;$F$6,"",INDEX(C$2:C$10000,SMALL(IF(ISNUMBER(MATCH($B$2:$B$10000,$E$6:$E$22,0)),ROW($C$2:$C$10000)-ROW($C$2)+1),ROWS(M$20:M165))))</f>
        <v>30</v>
      </c>
      <c r="K165" s="7">
        <f t="array" ref="K165">IF(ROWS(K$20:K165)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165))))</f>
        <v>41648</v>
      </c>
      <c r="L165" s="4" t="str">
        <f t="array" ref="L165">IF(ROWS(L$20:L165)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165))))</f>
        <v>Jenni  Thorton</v>
      </c>
      <c r="M165" s="4">
        <f t="array" ref="M165">IF(ROWS(M$20:M165)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165))))</f>
        <v>30</v>
      </c>
    </row>
    <row r="166" spans="1:13" x14ac:dyDescent="0.25">
      <c r="A166" s="3">
        <v>41776</v>
      </c>
      <c r="B166" s="2" t="s">
        <v>37</v>
      </c>
      <c r="C166" s="2">
        <v>39</v>
      </c>
      <c r="G166" s="7">
        <f t="array" ref="G166">IF(ROWS(K$20:K166)&gt;$F$6,"",INDEX(A$2:A$10000,SMALL(IF(ISNUMBER(MATCH($B$2:$B$10000,$E$6:$E$22,0)),ROW($C$2:$C$10000)-ROW($C$2)+1),ROWS(K$20:K166))))</f>
        <v>41809</v>
      </c>
      <c r="H166" s="4" t="str">
        <f t="array" ref="H166">IF(ROWS(L$20:L166)&gt;$F$6,"",INDEX(B$2:B$10000,SMALL(IF(ISNUMBER(MATCH($B$2:$B$10000,$E$6:$E$22,0)),ROW($C$2:$C$10000)-ROW($C$2)+1),ROWS(L$20:L166))))</f>
        <v>Mickey  Bolduc</v>
      </c>
      <c r="I166" s="4">
        <f t="array" ref="I166">IF(ROWS(M$20:M166)&gt;$F$6,"",INDEX(C$2:C$10000,SMALL(IF(ISNUMBER(MATCH($B$2:$B$10000,$E$6:$E$22,0)),ROW($C$2:$C$10000)-ROW($C$2)+1),ROWS(M$20:M166))))</f>
        <v>9</v>
      </c>
      <c r="K166" s="7">
        <f t="array" ref="K166">IF(ROWS(K$20:K166)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166))))</f>
        <v>41809</v>
      </c>
      <c r="L166" s="4" t="str">
        <f t="array" ref="L166">IF(ROWS(L$20:L166)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166))))</f>
        <v>Mickey  Bolduc</v>
      </c>
      <c r="M166" s="4">
        <f t="array" ref="M166">IF(ROWS(M$20:M166)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166))))</f>
        <v>9</v>
      </c>
    </row>
    <row r="167" spans="1:13" x14ac:dyDescent="0.25">
      <c r="A167" s="3">
        <v>41530</v>
      </c>
      <c r="B167" s="2" t="s">
        <v>44</v>
      </c>
      <c r="C167" s="2">
        <v>46</v>
      </c>
      <c r="G167" s="7">
        <f t="array" ref="G167">IF(ROWS(K$20:K167)&gt;$F$6,"",INDEX(A$2:A$10000,SMALL(IF(ISNUMBER(MATCH($B$2:$B$10000,$E$6:$E$22,0)),ROW($C$2:$C$10000)-ROW($C$2)+1),ROWS(K$20:K167))))</f>
        <v>41974</v>
      </c>
      <c r="H167" s="4" t="str">
        <f t="array" ref="H167">IF(ROWS(L$20:L167)&gt;$F$6,"",INDEX(B$2:B$10000,SMALL(IF(ISNUMBER(MATCH($B$2:$B$10000,$E$6:$E$22,0)),ROW($C$2:$C$10000)-ROW($C$2)+1),ROWS(L$20:L167))))</f>
        <v>Jenni  Thorton</v>
      </c>
      <c r="I167" s="4">
        <f t="array" ref="I167">IF(ROWS(M$20:M167)&gt;$F$6,"",INDEX(C$2:C$10000,SMALL(IF(ISNUMBER(MATCH($B$2:$B$10000,$E$6:$E$22,0)),ROW($C$2:$C$10000)-ROW($C$2)+1),ROWS(M$20:M167))))</f>
        <v>21</v>
      </c>
      <c r="K167" s="7">
        <f t="array" ref="K167">IF(ROWS(K$20:K167)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167))))</f>
        <v>41974</v>
      </c>
      <c r="L167" s="4" t="str">
        <f t="array" ref="L167">IF(ROWS(L$20:L167)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167))))</f>
        <v>Jenni  Thorton</v>
      </c>
      <c r="M167" s="4">
        <f t="array" ref="M167">IF(ROWS(M$20:M167)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167))))</f>
        <v>21</v>
      </c>
    </row>
    <row r="168" spans="1:13" x14ac:dyDescent="0.25">
      <c r="A168" s="3">
        <v>41556</v>
      </c>
      <c r="B168" s="2" t="s">
        <v>27</v>
      </c>
      <c r="C168" s="2">
        <v>47</v>
      </c>
      <c r="G168" s="7">
        <f t="array" ref="G168">IF(ROWS(K$20:K168)&gt;$F$6,"",INDEX(A$2:A$10000,SMALL(IF(ISNUMBER(MATCH($B$2:$B$10000,$E$6:$E$22,0)),ROW($C$2:$C$10000)-ROW($C$2)+1),ROWS(K$20:K168))))</f>
        <v>41903</v>
      </c>
      <c r="H168" s="4" t="str">
        <f t="array" ref="H168">IF(ROWS(L$20:L168)&gt;$F$6,"",INDEX(B$2:B$10000,SMALL(IF(ISNUMBER(MATCH($B$2:$B$10000,$E$6:$E$22,0)),ROW($C$2:$C$10000)-ROW($C$2)+1),ROWS(L$20:L168))))</f>
        <v>Kerrie  Worrell</v>
      </c>
      <c r="I168" s="4">
        <f t="array" ref="I168">IF(ROWS(M$20:M168)&gt;$F$6,"",INDEX(C$2:C$10000,SMALL(IF(ISNUMBER(MATCH($B$2:$B$10000,$E$6:$E$22,0)),ROW($C$2:$C$10000)-ROW($C$2)+1),ROWS(M$20:M168))))</f>
        <v>22</v>
      </c>
      <c r="K168" s="7">
        <f t="array" ref="K168">IF(ROWS(K$20:K168)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168))))</f>
        <v>41903</v>
      </c>
      <c r="L168" s="4" t="str">
        <f t="array" ref="L168">IF(ROWS(L$20:L168)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168))))</f>
        <v>Kerrie  Worrell</v>
      </c>
      <c r="M168" s="4">
        <f t="array" ref="M168">IF(ROWS(M$20:M168)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168))))</f>
        <v>22</v>
      </c>
    </row>
    <row r="169" spans="1:13" x14ac:dyDescent="0.25">
      <c r="A169" s="3">
        <v>41426</v>
      </c>
      <c r="B169" s="2" t="s">
        <v>29</v>
      </c>
      <c r="C169" s="2">
        <v>54</v>
      </c>
      <c r="G169" s="7">
        <f t="array" ref="G169">IF(ROWS(K$20:K169)&gt;$F$6,"",INDEX(A$2:A$10000,SMALL(IF(ISNUMBER(MATCH($B$2:$B$10000,$E$6:$E$22,0)),ROW($C$2:$C$10000)-ROW($C$2)+1),ROWS(K$20:K169))))</f>
        <v>41422</v>
      </c>
      <c r="H169" s="4" t="str">
        <f t="array" ref="H169">IF(ROWS(L$20:L169)&gt;$F$6,"",INDEX(B$2:B$10000,SMALL(IF(ISNUMBER(MATCH($B$2:$B$10000,$E$6:$E$22,0)),ROW($C$2:$C$10000)-ROW($C$2)+1),ROWS(L$20:L169))))</f>
        <v>Galen  Barth</v>
      </c>
      <c r="I169" s="4">
        <f t="array" ref="I169">IF(ROWS(M$20:M169)&gt;$F$6,"",INDEX(C$2:C$10000,SMALL(IF(ISNUMBER(MATCH($B$2:$B$10000,$E$6:$E$22,0)),ROW($C$2:$C$10000)-ROW($C$2)+1),ROWS(M$20:M169))))</f>
        <v>38</v>
      </c>
      <c r="K169" s="7">
        <f t="array" ref="K169">IF(ROWS(K$20:K169)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169))))</f>
        <v>41422</v>
      </c>
      <c r="L169" s="4" t="str">
        <f t="array" ref="L169">IF(ROWS(L$20:L169)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169))))</f>
        <v>Galen  Barth</v>
      </c>
      <c r="M169" s="4">
        <f t="array" ref="M169">IF(ROWS(M$20:M169)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169))))</f>
        <v>38</v>
      </c>
    </row>
    <row r="170" spans="1:13" x14ac:dyDescent="0.25">
      <c r="A170" s="3">
        <v>41307</v>
      </c>
      <c r="B170" s="2" t="s">
        <v>14</v>
      </c>
      <c r="C170" s="2">
        <v>0</v>
      </c>
      <c r="G170" s="7">
        <f t="array" ref="G170">IF(ROWS(K$20:K170)&gt;$F$6,"",INDEX(A$2:A$10000,SMALL(IF(ISNUMBER(MATCH($B$2:$B$10000,$E$6:$E$22,0)),ROW($C$2:$C$10000)-ROW($C$2)+1),ROWS(K$20:K170))))</f>
        <v>41715</v>
      </c>
      <c r="H170" s="4" t="str">
        <f t="array" ref="H170">IF(ROWS(L$20:L170)&gt;$F$6,"",INDEX(B$2:B$10000,SMALL(IF(ISNUMBER(MATCH($B$2:$B$10000,$E$6:$E$22,0)),ROW($C$2:$C$10000)-ROW($C$2)+1),ROWS(L$20:L170))))</f>
        <v>Galen  Barth</v>
      </c>
      <c r="I170" s="4">
        <f t="array" ref="I170">IF(ROWS(M$20:M170)&gt;$F$6,"",INDEX(C$2:C$10000,SMALL(IF(ISNUMBER(MATCH($B$2:$B$10000,$E$6:$E$22,0)),ROW($C$2:$C$10000)-ROW($C$2)+1),ROWS(M$20:M170))))</f>
        <v>8</v>
      </c>
      <c r="K170" s="7">
        <f t="array" ref="K170">IF(ROWS(K$20:K170)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170))))</f>
        <v>41715</v>
      </c>
      <c r="L170" s="4" t="str">
        <f t="array" ref="L170">IF(ROWS(L$20:L170)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170))))</f>
        <v>Galen  Barth</v>
      </c>
      <c r="M170" s="4">
        <f t="array" ref="M170">IF(ROWS(M$20:M170)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170))))</f>
        <v>8</v>
      </c>
    </row>
    <row r="171" spans="1:13" x14ac:dyDescent="0.25">
      <c r="A171" s="3">
        <v>41473</v>
      </c>
      <c r="B171" s="2" t="s">
        <v>24</v>
      </c>
      <c r="C171" s="2">
        <v>20</v>
      </c>
      <c r="G171" s="7">
        <f t="array" ref="G171">IF(ROWS(K$20:K171)&gt;$F$6,"",INDEX(A$2:A$10000,SMALL(IF(ISNUMBER(MATCH($B$2:$B$10000,$E$6:$E$22,0)),ROW($C$2:$C$10000)-ROW($C$2)+1),ROWS(K$20:K171))))</f>
        <v>41364</v>
      </c>
      <c r="H171" s="4" t="str">
        <f t="array" ref="H171">IF(ROWS(L$20:L171)&gt;$F$6,"",INDEX(B$2:B$10000,SMALL(IF(ISNUMBER(MATCH($B$2:$B$10000,$E$6:$E$22,0)),ROW($C$2:$C$10000)-ROW($C$2)+1),ROWS(L$20:L171))))</f>
        <v>Rosamond  Allard</v>
      </c>
      <c r="I171" s="4">
        <f t="array" ref="I171">IF(ROWS(M$20:M171)&gt;$F$6,"",INDEX(C$2:C$10000,SMALL(IF(ISNUMBER(MATCH($B$2:$B$10000,$E$6:$E$22,0)),ROW($C$2:$C$10000)-ROW($C$2)+1),ROWS(M$20:M171))))</f>
        <v>43</v>
      </c>
      <c r="K171" s="7">
        <f t="array" ref="K171">IF(ROWS(K$20:K171)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171))))</f>
        <v>41364</v>
      </c>
      <c r="L171" s="4" t="str">
        <f t="array" ref="L171">IF(ROWS(L$20:L171)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171))))</f>
        <v>Rosamond  Allard</v>
      </c>
      <c r="M171" s="4">
        <f t="array" ref="M171">IF(ROWS(M$20:M171)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171))))</f>
        <v>43</v>
      </c>
    </row>
    <row r="172" spans="1:13" x14ac:dyDescent="0.25">
      <c r="A172" s="3">
        <v>41452</v>
      </c>
      <c r="B172" s="2" t="s">
        <v>42</v>
      </c>
      <c r="C172" s="2">
        <v>18</v>
      </c>
      <c r="G172" s="7">
        <f t="array" ref="G172">IF(ROWS(K$20:K172)&gt;$F$6,"",INDEX(A$2:A$10000,SMALL(IF(ISNUMBER(MATCH($B$2:$B$10000,$E$6:$E$22,0)),ROW($C$2:$C$10000)-ROW($C$2)+1),ROWS(K$20:K172))))</f>
        <v>41681</v>
      </c>
      <c r="H172" s="4" t="str">
        <f t="array" ref="H172">IF(ROWS(L$20:L172)&gt;$F$6,"",INDEX(B$2:B$10000,SMALL(IF(ISNUMBER(MATCH($B$2:$B$10000,$E$6:$E$22,0)),ROW($C$2:$C$10000)-ROW($C$2)+1),ROWS(L$20:L172))))</f>
        <v>Galen  Barth</v>
      </c>
      <c r="I172" s="4">
        <f t="array" ref="I172">IF(ROWS(M$20:M172)&gt;$F$6,"",INDEX(C$2:C$10000,SMALL(IF(ISNUMBER(MATCH($B$2:$B$10000,$E$6:$E$22,0)),ROW($C$2:$C$10000)-ROW($C$2)+1),ROWS(M$20:M172))))</f>
        <v>42</v>
      </c>
      <c r="K172" s="7">
        <f t="array" ref="K172">IF(ROWS(K$20:K172)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172))))</f>
        <v>41681</v>
      </c>
      <c r="L172" s="4" t="str">
        <f t="array" ref="L172">IF(ROWS(L$20:L172)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172))))</f>
        <v>Galen  Barth</v>
      </c>
      <c r="M172" s="4">
        <f t="array" ref="M172">IF(ROWS(M$20:M172)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172))))</f>
        <v>42</v>
      </c>
    </row>
    <row r="173" spans="1:13" x14ac:dyDescent="0.25">
      <c r="A173" s="3">
        <v>41998</v>
      </c>
      <c r="B173" s="2" t="s">
        <v>50</v>
      </c>
      <c r="C173" s="2">
        <v>15</v>
      </c>
      <c r="G173" s="7">
        <f t="array" ref="G173">IF(ROWS(K$20:K173)&gt;$F$6,"",INDEX(A$2:A$10000,SMALL(IF(ISNUMBER(MATCH($B$2:$B$10000,$E$6:$E$22,0)),ROW($C$2:$C$10000)-ROW($C$2)+1),ROWS(K$20:K173))))</f>
        <v>41980</v>
      </c>
      <c r="H173" s="4" t="str">
        <f t="array" ref="H173">IF(ROWS(L$20:L173)&gt;$F$6,"",INDEX(B$2:B$10000,SMALL(IF(ISNUMBER(MATCH($B$2:$B$10000,$E$6:$E$22,0)),ROW($C$2:$C$10000)-ROW($C$2)+1),ROWS(L$20:L173))))</f>
        <v>Kerrie  Worrell</v>
      </c>
      <c r="I173" s="4">
        <f t="array" ref="I173">IF(ROWS(M$20:M173)&gt;$F$6,"",INDEX(C$2:C$10000,SMALL(IF(ISNUMBER(MATCH($B$2:$B$10000,$E$6:$E$22,0)),ROW($C$2:$C$10000)-ROW($C$2)+1),ROWS(M$20:M173))))</f>
        <v>24</v>
      </c>
      <c r="K173" s="7">
        <f t="array" ref="K173">IF(ROWS(K$20:K173)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173))))</f>
        <v>41980</v>
      </c>
      <c r="L173" s="4" t="str">
        <f t="array" ref="L173">IF(ROWS(L$20:L173)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173))))</f>
        <v>Kerrie  Worrell</v>
      </c>
      <c r="M173" s="4">
        <f t="array" ref="M173">IF(ROWS(M$20:M173)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173))))</f>
        <v>24</v>
      </c>
    </row>
    <row r="174" spans="1:13" x14ac:dyDescent="0.25">
      <c r="A174" s="3">
        <v>41925</v>
      </c>
      <c r="B174" s="2" t="s">
        <v>12</v>
      </c>
      <c r="C174" s="2">
        <v>27</v>
      </c>
      <c r="G174" s="7">
        <f t="array" ref="G174">IF(ROWS(K$20:K174)&gt;$F$6,"",INDEX(A$2:A$10000,SMALL(IF(ISNUMBER(MATCH($B$2:$B$10000,$E$6:$E$22,0)),ROW($C$2:$C$10000)-ROW($C$2)+1),ROWS(K$20:K174))))</f>
        <v>41369</v>
      </c>
      <c r="H174" s="4" t="str">
        <f t="array" ref="H174">IF(ROWS(L$20:L174)&gt;$F$6,"",INDEX(B$2:B$10000,SMALL(IF(ISNUMBER(MATCH($B$2:$B$10000,$E$6:$E$22,0)),ROW($C$2:$C$10000)-ROW($C$2)+1),ROWS(L$20:L174))))</f>
        <v>Galen  Barth</v>
      </c>
      <c r="I174" s="4">
        <f t="array" ref="I174">IF(ROWS(M$20:M174)&gt;$F$6,"",INDEX(C$2:C$10000,SMALL(IF(ISNUMBER(MATCH($B$2:$B$10000,$E$6:$E$22,0)),ROW($C$2:$C$10000)-ROW($C$2)+1),ROWS(M$20:M174))))</f>
        <v>28</v>
      </c>
      <c r="K174" s="7">
        <f t="array" ref="K174">IF(ROWS(K$20:K174)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174))))</f>
        <v>41369</v>
      </c>
      <c r="L174" s="4" t="str">
        <f t="array" ref="L174">IF(ROWS(L$20:L174)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174))))</f>
        <v>Galen  Barth</v>
      </c>
      <c r="M174" s="4">
        <f t="array" ref="M174">IF(ROWS(M$20:M174)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174))))</f>
        <v>28</v>
      </c>
    </row>
    <row r="175" spans="1:13" x14ac:dyDescent="0.25">
      <c r="A175" s="3">
        <v>41719</v>
      </c>
      <c r="B175" s="2" t="s">
        <v>39</v>
      </c>
      <c r="C175" s="2">
        <v>23</v>
      </c>
      <c r="G175" s="7">
        <f t="array" ref="G175">IF(ROWS(K$20:K175)&gt;$F$6,"",INDEX(A$2:A$10000,SMALL(IF(ISNUMBER(MATCH($B$2:$B$10000,$E$6:$E$22,0)),ROW($C$2:$C$10000)-ROW($C$2)+1),ROWS(K$20:K175))))</f>
        <v>41888</v>
      </c>
      <c r="H175" s="4" t="str">
        <f t="array" ref="H175">IF(ROWS(L$20:L175)&gt;$F$6,"",INDEX(B$2:B$10000,SMALL(IF(ISNUMBER(MATCH($B$2:$B$10000,$E$6:$E$22,0)),ROW($C$2:$C$10000)-ROW($C$2)+1),ROWS(L$20:L175))))</f>
        <v>Iliana  Valerio</v>
      </c>
      <c r="I175" s="4">
        <f t="array" ref="I175">IF(ROWS(M$20:M175)&gt;$F$6,"",INDEX(C$2:C$10000,SMALL(IF(ISNUMBER(MATCH($B$2:$B$10000,$E$6:$E$22,0)),ROW($C$2:$C$10000)-ROW($C$2)+1),ROWS(M$20:M175))))</f>
        <v>18</v>
      </c>
      <c r="K175" s="7">
        <f t="array" ref="K175">IF(ROWS(K$20:K175)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175))))</f>
        <v>41888</v>
      </c>
      <c r="L175" s="4" t="str">
        <f t="array" ref="L175">IF(ROWS(L$20:L175)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175))))</f>
        <v>Iliana  Valerio</v>
      </c>
      <c r="M175" s="4">
        <f t="array" ref="M175">IF(ROWS(M$20:M175)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175))))</f>
        <v>18</v>
      </c>
    </row>
    <row r="176" spans="1:13" x14ac:dyDescent="0.25">
      <c r="A176" s="3">
        <v>41844</v>
      </c>
      <c r="B176" s="2" t="s">
        <v>40</v>
      </c>
      <c r="C176" s="2">
        <v>65</v>
      </c>
      <c r="G176" s="7">
        <f t="array" ref="G176">IF(ROWS(K$20:K176)&gt;$F$6,"",INDEX(A$2:A$10000,SMALL(IF(ISNUMBER(MATCH($B$2:$B$10000,$E$6:$E$22,0)),ROW($C$2:$C$10000)-ROW($C$2)+1),ROWS(K$20:K176))))</f>
        <v>41842</v>
      </c>
      <c r="H176" s="4" t="str">
        <f t="array" ref="H176">IF(ROWS(L$20:L176)&gt;$F$6,"",INDEX(B$2:B$10000,SMALL(IF(ISNUMBER(MATCH($B$2:$B$10000,$E$6:$E$22,0)),ROW($C$2:$C$10000)-ROW($C$2)+1),ROWS(L$20:L176))))</f>
        <v>Rosamond  Allard</v>
      </c>
      <c r="I176" s="4">
        <f t="array" ref="I176">IF(ROWS(M$20:M176)&gt;$F$6,"",INDEX(C$2:C$10000,SMALL(IF(ISNUMBER(MATCH($B$2:$B$10000,$E$6:$E$22,0)),ROW($C$2:$C$10000)-ROW($C$2)+1),ROWS(M$20:M176))))</f>
        <v>27</v>
      </c>
      <c r="K176" s="7">
        <f t="array" ref="K176">IF(ROWS(K$20:K176)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176))))</f>
        <v>41842</v>
      </c>
      <c r="L176" s="4" t="str">
        <f t="array" ref="L176">IF(ROWS(L$20:L176)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176))))</f>
        <v>Rosamond  Allard</v>
      </c>
      <c r="M176" s="4">
        <f t="array" ref="M176">IF(ROWS(M$20:M176)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176))))</f>
        <v>27</v>
      </c>
    </row>
    <row r="177" spans="1:13" x14ac:dyDescent="0.25">
      <c r="A177" s="3">
        <v>41912</v>
      </c>
      <c r="B177" s="2" t="s">
        <v>4</v>
      </c>
      <c r="C177" s="2">
        <v>7</v>
      </c>
      <c r="G177" s="7">
        <f t="array" ref="G177">IF(ROWS(K$20:K177)&gt;$F$6,"",INDEX(A$2:A$10000,SMALL(IF(ISNUMBER(MATCH($B$2:$B$10000,$E$6:$E$22,0)),ROW($C$2:$C$10000)-ROW($C$2)+1),ROWS(K$20:K177))))</f>
        <v>41959</v>
      </c>
      <c r="H177" s="4" t="str">
        <f t="array" ref="H177">IF(ROWS(L$20:L177)&gt;$F$6,"",INDEX(B$2:B$10000,SMALL(IF(ISNUMBER(MATCH($B$2:$B$10000,$E$6:$E$22,0)),ROW($C$2:$C$10000)-ROW($C$2)+1),ROWS(L$20:L177))))</f>
        <v>Rosamond  Allard</v>
      </c>
      <c r="I177" s="4">
        <f t="array" ref="I177">IF(ROWS(M$20:M177)&gt;$F$6,"",INDEX(C$2:C$10000,SMALL(IF(ISNUMBER(MATCH($B$2:$B$10000,$E$6:$E$22,0)),ROW($C$2:$C$10000)-ROW($C$2)+1),ROWS(M$20:M177))))</f>
        <v>15</v>
      </c>
      <c r="K177" s="7">
        <f t="array" ref="K177">IF(ROWS(K$20:K177)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177))))</f>
        <v>41959</v>
      </c>
      <c r="L177" s="4" t="str">
        <f t="array" ref="L177">IF(ROWS(L$20:L177)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177))))</f>
        <v>Rosamond  Allard</v>
      </c>
      <c r="M177" s="4">
        <f t="array" ref="M177">IF(ROWS(M$20:M177)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177))))</f>
        <v>15</v>
      </c>
    </row>
    <row r="178" spans="1:13" x14ac:dyDescent="0.25">
      <c r="A178" s="3">
        <v>41929</v>
      </c>
      <c r="B178" s="2" t="s">
        <v>15</v>
      </c>
      <c r="C178" s="2">
        <v>32</v>
      </c>
      <c r="G178" s="7">
        <f t="array" ref="G178">IF(ROWS(K$20:K178)&gt;$F$6,"",INDEX(A$2:A$10000,SMALL(IF(ISNUMBER(MATCH($B$2:$B$10000,$E$6:$E$22,0)),ROW($C$2:$C$10000)-ROW($C$2)+1),ROWS(K$20:K178))))</f>
        <v>41782</v>
      </c>
      <c r="H178" s="4" t="str">
        <f t="array" ref="H178">IF(ROWS(L$20:L178)&gt;$F$6,"",INDEX(B$2:B$10000,SMALL(IF(ISNUMBER(MATCH($B$2:$B$10000,$E$6:$E$22,0)),ROW($C$2:$C$10000)-ROW($C$2)+1),ROWS(L$20:L178))))</f>
        <v>Mickey  Bolduc</v>
      </c>
      <c r="I178" s="4">
        <f t="array" ref="I178">IF(ROWS(M$20:M178)&gt;$F$6,"",INDEX(C$2:C$10000,SMALL(IF(ISNUMBER(MATCH($B$2:$B$10000,$E$6:$E$22,0)),ROW($C$2:$C$10000)-ROW($C$2)+1),ROWS(M$20:M178))))</f>
        <v>29</v>
      </c>
      <c r="K178" s="7">
        <f t="array" ref="K178">IF(ROWS(K$20:K178)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178))))</f>
        <v>41782</v>
      </c>
      <c r="L178" s="4" t="str">
        <f t="array" ref="L178">IF(ROWS(L$20:L178)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178))))</f>
        <v>Mickey  Bolduc</v>
      </c>
      <c r="M178" s="4">
        <f t="array" ref="M178">IF(ROWS(M$20:M178)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178))))</f>
        <v>29</v>
      </c>
    </row>
    <row r="179" spans="1:13" x14ac:dyDescent="0.25">
      <c r="A179" s="3">
        <v>41734</v>
      </c>
      <c r="B179" s="2" t="s">
        <v>23</v>
      </c>
      <c r="C179" s="2">
        <v>33</v>
      </c>
      <c r="G179" s="7">
        <f t="array" ref="G179">IF(ROWS(K$20:K179)&gt;$F$6,"",INDEX(A$2:A$10000,SMALL(IF(ISNUMBER(MATCH($B$2:$B$10000,$E$6:$E$22,0)),ROW($C$2:$C$10000)-ROW($C$2)+1),ROWS(K$20:K179))))</f>
        <v>41559</v>
      </c>
      <c r="H179" s="4" t="str">
        <f t="array" ref="H179">IF(ROWS(L$20:L179)&gt;$F$6,"",INDEX(B$2:B$10000,SMALL(IF(ISNUMBER(MATCH($B$2:$B$10000,$E$6:$E$22,0)),ROW($C$2:$C$10000)-ROW($C$2)+1),ROWS(L$20:L179))))</f>
        <v>Iliana  Valerio</v>
      </c>
      <c r="I179" s="4">
        <f t="array" ref="I179">IF(ROWS(M$20:M179)&gt;$F$6,"",INDEX(C$2:C$10000,SMALL(IF(ISNUMBER(MATCH($B$2:$B$10000,$E$6:$E$22,0)),ROW($C$2:$C$10000)-ROW($C$2)+1),ROWS(M$20:M179))))</f>
        <v>16</v>
      </c>
      <c r="K179" s="7">
        <f t="array" ref="K179">IF(ROWS(K$20:K179)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179))))</f>
        <v>41559</v>
      </c>
      <c r="L179" s="4" t="str">
        <f t="array" ref="L179">IF(ROWS(L$20:L179)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179))))</f>
        <v>Iliana  Valerio</v>
      </c>
      <c r="M179" s="4">
        <f t="array" ref="M179">IF(ROWS(M$20:M179)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179))))</f>
        <v>16</v>
      </c>
    </row>
    <row r="180" spans="1:13" x14ac:dyDescent="0.25">
      <c r="A180" s="3">
        <v>41828</v>
      </c>
      <c r="B180" s="2" t="s">
        <v>16</v>
      </c>
      <c r="C180" s="2">
        <v>14</v>
      </c>
      <c r="G180" s="7">
        <f t="array" ref="G180">IF(ROWS(K$20:K180)&gt;$F$6,"",INDEX(A$2:A$10000,SMALL(IF(ISNUMBER(MATCH($B$2:$B$10000,$E$6:$E$22,0)),ROW($C$2:$C$10000)-ROW($C$2)+1),ROWS(K$20:K180))))</f>
        <v>41743</v>
      </c>
      <c r="H180" s="4" t="str">
        <f t="array" ref="H180">IF(ROWS(L$20:L180)&gt;$F$6,"",INDEX(B$2:B$10000,SMALL(IF(ISNUMBER(MATCH($B$2:$B$10000,$E$6:$E$22,0)),ROW($C$2:$C$10000)-ROW($C$2)+1),ROWS(L$20:L180))))</f>
        <v>Kerrie  Worrell</v>
      </c>
      <c r="I180" s="4">
        <f t="array" ref="I180">IF(ROWS(M$20:M180)&gt;$F$6,"",INDEX(C$2:C$10000,SMALL(IF(ISNUMBER(MATCH($B$2:$B$10000,$E$6:$E$22,0)),ROW($C$2:$C$10000)-ROW($C$2)+1),ROWS(M$20:M180))))</f>
        <v>17</v>
      </c>
      <c r="K180" s="7">
        <f t="array" ref="K180">IF(ROWS(K$20:K180)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180))))</f>
        <v>41743</v>
      </c>
      <c r="L180" s="4" t="str">
        <f t="array" ref="L180">IF(ROWS(L$20:L180)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180))))</f>
        <v>Kerrie  Worrell</v>
      </c>
      <c r="M180" s="4">
        <f t="array" ref="M180">IF(ROWS(M$20:M180)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180))))</f>
        <v>17</v>
      </c>
    </row>
    <row r="181" spans="1:13" x14ac:dyDescent="0.25">
      <c r="A181" s="3">
        <v>41953</v>
      </c>
      <c r="B181" s="2" t="s">
        <v>44</v>
      </c>
      <c r="C181" s="2">
        <v>41</v>
      </c>
      <c r="G181" s="7">
        <f t="array" ref="G181">IF(ROWS(K$20:K181)&gt;$F$6,"",INDEX(A$2:A$10000,SMALL(IF(ISNUMBER(MATCH($B$2:$B$10000,$E$6:$E$22,0)),ROW($C$2:$C$10000)-ROW($C$2)+1),ROWS(K$20:K181))))</f>
        <v>41852</v>
      </c>
      <c r="H181" s="4" t="str">
        <f t="array" ref="H181">IF(ROWS(L$20:L181)&gt;$F$6,"",INDEX(B$2:B$10000,SMALL(IF(ISNUMBER(MATCH($B$2:$B$10000,$E$6:$E$22,0)),ROW($C$2:$C$10000)-ROW($C$2)+1),ROWS(L$20:L181))))</f>
        <v>Mickey  Bolduc</v>
      </c>
      <c r="I181" s="4">
        <f t="array" ref="I181">IF(ROWS(M$20:M181)&gt;$F$6,"",INDEX(C$2:C$10000,SMALL(IF(ISNUMBER(MATCH($B$2:$B$10000,$E$6:$E$22,0)),ROW($C$2:$C$10000)-ROW($C$2)+1),ROWS(M$20:M181))))</f>
        <v>32</v>
      </c>
      <c r="K181" s="7">
        <f t="array" ref="K181">IF(ROWS(K$20:K181)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181))))</f>
        <v>41852</v>
      </c>
      <c r="L181" s="4" t="str">
        <f t="array" ref="L181">IF(ROWS(L$20:L181)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181))))</f>
        <v>Mickey  Bolduc</v>
      </c>
      <c r="M181" s="4">
        <f t="array" ref="M181">IF(ROWS(M$20:M181)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181))))</f>
        <v>32</v>
      </c>
    </row>
    <row r="182" spans="1:13" x14ac:dyDescent="0.25">
      <c r="A182" s="3">
        <v>41904</v>
      </c>
      <c r="B182" s="2" t="s">
        <v>21</v>
      </c>
      <c r="C182" s="2">
        <v>45</v>
      </c>
      <c r="G182" s="7">
        <f t="array" ref="G182">IF(ROWS(K$20:K182)&gt;$F$6,"",INDEX(A$2:A$10000,SMALL(IF(ISNUMBER(MATCH($B$2:$B$10000,$E$6:$E$22,0)),ROW($C$2:$C$10000)-ROW($C$2)+1),ROWS(K$20:K182))))</f>
        <v>41438</v>
      </c>
      <c r="H182" s="4" t="str">
        <f t="array" ref="H182">IF(ROWS(L$20:L182)&gt;$F$6,"",INDEX(B$2:B$10000,SMALL(IF(ISNUMBER(MATCH($B$2:$B$10000,$E$6:$E$22,0)),ROW($C$2:$C$10000)-ROW($C$2)+1),ROWS(L$20:L182))))</f>
        <v>Rosamond  Allard</v>
      </c>
      <c r="I182" s="4">
        <f t="array" ref="I182">IF(ROWS(M$20:M182)&gt;$F$6,"",INDEX(C$2:C$10000,SMALL(IF(ISNUMBER(MATCH($B$2:$B$10000,$E$6:$E$22,0)),ROW($C$2:$C$10000)-ROW($C$2)+1),ROWS(M$20:M182))))</f>
        <v>23</v>
      </c>
      <c r="K182" s="7">
        <f t="array" ref="K182">IF(ROWS(K$20:K182)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182))))</f>
        <v>41438</v>
      </c>
      <c r="L182" s="4" t="str">
        <f t="array" ref="L182">IF(ROWS(L$20:L182)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182))))</f>
        <v>Rosamond  Allard</v>
      </c>
      <c r="M182" s="4">
        <f t="array" ref="M182">IF(ROWS(M$20:M182)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182))))</f>
        <v>23</v>
      </c>
    </row>
    <row r="183" spans="1:13" x14ac:dyDescent="0.25">
      <c r="A183" s="3">
        <v>41437</v>
      </c>
      <c r="B183" s="2" t="s">
        <v>26</v>
      </c>
      <c r="C183" s="2">
        <v>25</v>
      </c>
      <c r="G183" s="7">
        <f t="array" ref="G183">IF(ROWS(K$20:K183)&gt;$F$6,"",INDEX(A$2:A$10000,SMALL(IF(ISNUMBER(MATCH($B$2:$B$10000,$E$6:$E$22,0)),ROW($C$2:$C$10000)-ROW($C$2)+1),ROWS(K$20:K183))))</f>
        <v>41517</v>
      </c>
      <c r="H183" s="4" t="str">
        <f t="array" ref="H183">IF(ROWS(L$20:L183)&gt;$F$6,"",INDEX(B$2:B$10000,SMALL(IF(ISNUMBER(MATCH($B$2:$B$10000,$E$6:$E$22,0)),ROW($C$2:$C$10000)-ROW($C$2)+1),ROWS(L$20:L183))))</f>
        <v>Mickey  Bolduc</v>
      </c>
      <c r="I183" s="4">
        <f t="array" ref="I183">IF(ROWS(M$20:M183)&gt;$F$6,"",INDEX(C$2:C$10000,SMALL(IF(ISNUMBER(MATCH($B$2:$B$10000,$E$6:$E$22,0)),ROW($C$2:$C$10000)-ROW($C$2)+1),ROWS(M$20:M183))))</f>
        <v>13</v>
      </c>
      <c r="K183" s="7">
        <f t="array" ref="K183">IF(ROWS(K$20:K183)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183))))</f>
        <v>41517</v>
      </c>
      <c r="L183" s="4" t="str">
        <f t="array" ref="L183">IF(ROWS(L$20:L183)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183))))</f>
        <v>Mickey  Bolduc</v>
      </c>
      <c r="M183" s="4">
        <f t="array" ref="M183">IF(ROWS(M$20:M183)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183))))</f>
        <v>13</v>
      </c>
    </row>
    <row r="184" spans="1:13" x14ac:dyDescent="0.25">
      <c r="A184" s="3">
        <v>41454</v>
      </c>
      <c r="B184" s="2" t="s">
        <v>10</v>
      </c>
      <c r="C184" s="2">
        <v>11</v>
      </c>
      <c r="G184" s="7">
        <f t="array" ref="G184">IF(ROWS(K$20:K184)&gt;$F$6,"",INDEX(A$2:A$10000,SMALL(IF(ISNUMBER(MATCH($B$2:$B$10000,$E$6:$E$22,0)),ROW($C$2:$C$10000)-ROW($C$2)+1),ROWS(K$20:K184))))</f>
        <v>41326</v>
      </c>
      <c r="H184" s="4" t="str">
        <f t="array" ref="H184">IF(ROWS(L$20:L184)&gt;$F$6,"",INDEX(B$2:B$10000,SMALL(IF(ISNUMBER(MATCH($B$2:$B$10000,$E$6:$E$22,0)),ROW($C$2:$C$10000)-ROW($C$2)+1),ROWS(L$20:L184))))</f>
        <v>Mickey  Bolduc</v>
      </c>
      <c r="I184" s="4">
        <f t="array" ref="I184">IF(ROWS(M$20:M184)&gt;$F$6,"",INDEX(C$2:C$10000,SMALL(IF(ISNUMBER(MATCH($B$2:$B$10000,$E$6:$E$22,0)),ROW($C$2:$C$10000)-ROW($C$2)+1),ROWS(M$20:M184))))</f>
        <v>14</v>
      </c>
      <c r="K184" s="7">
        <f t="array" ref="K184">IF(ROWS(K$20:K184)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184))))</f>
        <v>41326</v>
      </c>
      <c r="L184" s="4" t="str">
        <f t="array" ref="L184">IF(ROWS(L$20:L184)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184))))</f>
        <v>Mickey  Bolduc</v>
      </c>
      <c r="M184" s="4">
        <f t="array" ref="M184">IF(ROWS(M$20:M184)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184))))</f>
        <v>14</v>
      </c>
    </row>
    <row r="185" spans="1:13" x14ac:dyDescent="0.25">
      <c r="A185" s="3">
        <v>41417</v>
      </c>
      <c r="B185" s="2" t="s">
        <v>34</v>
      </c>
      <c r="C185" s="2">
        <v>32</v>
      </c>
      <c r="G185" s="7">
        <f t="array" ref="G185">IF(ROWS(K$20:K185)&gt;$F$6,"",INDEX(A$2:A$10000,SMALL(IF(ISNUMBER(MATCH($B$2:$B$10000,$E$6:$E$22,0)),ROW($C$2:$C$10000)-ROW($C$2)+1),ROWS(K$20:K185))))</f>
        <v>41725</v>
      </c>
      <c r="H185" s="4" t="str">
        <f t="array" ref="H185">IF(ROWS(L$20:L185)&gt;$F$6,"",INDEX(B$2:B$10000,SMALL(IF(ISNUMBER(MATCH($B$2:$B$10000,$E$6:$E$22,0)),ROW($C$2:$C$10000)-ROW($C$2)+1),ROWS(L$20:L185))))</f>
        <v>Jenni  Thorton</v>
      </c>
      <c r="I185" s="4">
        <f t="array" ref="I185">IF(ROWS(M$20:M185)&gt;$F$6,"",INDEX(C$2:C$10000,SMALL(IF(ISNUMBER(MATCH($B$2:$B$10000,$E$6:$E$22,0)),ROW($C$2:$C$10000)-ROW($C$2)+1),ROWS(M$20:M185))))</f>
        <v>32</v>
      </c>
      <c r="K185" s="7">
        <f t="array" ref="K185">IF(ROWS(K$20:K185)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185))))</f>
        <v>41725</v>
      </c>
      <c r="L185" s="4" t="str">
        <f t="array" ref="L185">IF(ROWS(L$20:L185)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185))))</f>
        <v>Jenni  Thorton</v>
      </c>
      <c r="M185" s="4">
        <f t="array" ref="M185">IF(ROWS(M$20:M185)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185))))</f>
        <v>32</v>
      </c>
    </row>
    <row r="186" spans="1:13" x14ac:dyDescent="0.25">
      <c r="A186" s="3">
        <v>41967</v>
      </c>
      <c r="B186" s="2" t="s">
        <v>47</v>
      </c>
      <c r="C186" s="2">
        <v>47</v>
      </c>
      <c r="G186" s="7">
        <f t="array" ref="G186">IF(ROWS(K$20:K186)&gt;$F$6,"",INDEX(A$2:A$10000,SMALL(IF(ISNUMBER(MATCH($B$2:$B$10000,$E$6:$E$22,0)),ROW($C$2:$C$10000)-ROW($C$2)+1),ROWS(K$20:K186))))</f>
        <v>41604</v>
      </c>
      <c r="H186" s="4" t="str">
        <f t="array" ref="H186">IF(ROWS(L$20:L186)&gt;$F$6,"",INDEX(B$2:B$10000,SMALL(IF(ISNUMBER(MATCH($B$2:$B$10000,$E$6:$E$22,0)),ROW($C$2:$C$10000)-ROW($C$2)+1),ROWS(L$20:L186))))</f>
        <v>Iliana  Valerio</v>
      </c>
      <c r="I186" s="4">
        <f t="array" ref="I186">IF(ROWS(M$20:M186)&gt;$F$6,"",INDEX(C$2:C$10000,SMALL(IF(ISNUMBER(MATCH($B$2:$B$10000,$E$6:$E$22,0)),ROW($C$2:$C$10000)-ROW($C$2)+1),ROWS(M$20:M186))))</f>
        <v>22</v>
      </c>
      <c r="K186" s="7">
        <f t="array" ref="K186">IF(ROWS(K$20:K186)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186))))</f>
        <v>41604</v>
      </c>
      <c r="L186" s="4" t="str">
        <f t="array" ref="L186">IF(ROWS(L$20:L186)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186))))</f>
        <v>Iliana  Valerio</v>
      </c>
      <c r="M186" s="4">
        <f t="array" ref="M186">IF(ROWS(M$20:M186)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186))))</f>
        <v>22</v>
      </c>
    </row>
    <row r="187" spans="1:13" x14ac:dyDescent="0.25">
      <c r="A187" s="3">
        <v>41497</v>
      </c>
      <c r="B187" s="2" t="s">
        <v>34</v>
      </c>
      <c r="C187" s="2">
        <v>20</v>
      </c>
      <c r="G187" s="7">
        <f t="array" ref="G187">IF(ROWS(K$20:K187)&gt;$F$6,"",INDEX(A$2:A$10000,SMALL(IF(ISNUMBER(MATCH($B$2:$B$10000,$E$6:$E$22,0)),ROW($C$2:$C$10000)-ROW($C$2)+1),ROWS(K$20:K187))))</f>
        <v>41725</v>
      </c>
      <c r="H187" s="4" t="str">
        <f t="array" ref="H187">IF(ROWS(L$20:L187)&gt;$F$6,"",INDEX(B$2:B$10000,SMALL(IF(ISNUMBER(MATCH($B$2:$B$10000,$E$6:$E$22,0)),ROW($C$2:$C$10000)-ROW($C$2)+1),ROWS(L$20:L187))))</f>
        <v>Rosamond  Allard</v>
      </c>
      <c r="I187" s="4">
        <f t="array" ref="I187">IF(ROWS(M$20:M187)&gt;$F$6,"",INDEX(C$2:C$10000,SMALL(IF(ISNUMBER(MATCH($B$2:$B$10000,$E$6:$E$22,0)),ROW($C$2:$C$10000)-ROW($C$2)+1),ROWS(M$20:M187))))</f>
        <v>6</v>
      </c>
      <c r="K187" s="7">
        <f t="array" ref="K187">IF(ROWS(K$20:K187)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187))))</f>
        <v>41725</v>
      </c>
      <c r="L187" s="4" t="str">
        <f t="array" ref="L187">IF(ROWS(L$20:L187)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187))))</f>
        <v>Rosamond  Allard</v>
      </c>
      <c r="M187" s="4">
        <f t="array" ref="M187">IF(ROWS(M$20:M187)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187))))</f>
        <v>6</v>
      </c>
    </row>
    <row r="188" spans="1:13" x14ac:dyDescent="0.25">
      <c r="A188" s="3">
        <v>42001</v>
      </c>
      <c r="B188" s="2" t="s">
        <v>43</v>
      </c>
      <c r="C188" s="2">
        <v>46</v>
      </c>
      <c r="G188" s="7">
        <f t="array" ref="G188">IF(ROWS(K$20:K188)&gt;$F$6,"",INDEX(A$2:A$10000,SMALL(IF(ISNUMBER(MATCH($B$2:$B$10000,$E$6:$E$22,0)),ROW($C$2:$C$10000)-ROW($C$2)+1),ROWS(K$20:K188))))</f>
        <v>41937</v>
      </c>
      <c r="H188" s="4" t="str">
        <f t="array" ref="H188">IF(ROWS(L$20:L188)&gt;$F$6,"",INDEX(B$2:B$10000,SMALL(IF(ISNUMBER(MATCH($B$2:$B$10000,$E$6:$E$22,0)),ROW($C$2:$C$10000)-ROW($C$2)+1),ROWS(L$20:L188))))</f>
        <v>Mickey  Bolduc</v>
      </c>
      <c r="I188" s="4">
        <f t="array" ref="I188">IF(ROWS(M$20:M188)&gt;$F$6,"",INDEX(C$2:C$10000,SMALL(IF(ISNUMBER(MATCH($B$2:$B$10000,$E$6:$E$22,0)),ROW($C$2:$C$10000)-ROW($C$2)+1),ROWS(M$20:M188))))</f>
        <v>34</v>
      </c>
      <c r="K188" s="7">
        <f t="array" ref="K188">IF(ROWS(K$20:K188)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188))))</f>
        <v>41937</v>
      </c>
      <c r="L188" s="4" t="str">
        <f t="array" ref="L188">IF(ROWS(L$20:L188)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188))))</f>
        <v>Mickey  Bolduc</v>
      </c>
      <c r="M188" s="4">
        <f t="array" ref="M188">IF(ROWS(M$20:M188)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188))))</f>
        <v>34</v>
      </c>
    </row>
    <row r="189" spans="1:13" x14ac:dyDescent="0.25">
      <c r="A189" s="3">
        <v>41737</v>
      </c>
      <c r="B189" s="2" t="s">
        <v>15</v>
      </c>
      <c r="C189" s="2">
        <v>43</v>
      </c>
      <c r="G189" s="7">
        <f t="array" ref="G189">IF(ROWS(K$20:K189)&gt;$F$6,"",INDEX(A$2:A$10000,SMALL(IF(ISNUMBER(MATCH($B$2:$B$10000,$E$6:$E$22,0)),ROW($C$2:$C$10000)-ROW($C$2)+1),ROWS(K$20:K189))))</f>
        <v>41756</v>
      </c>
      <c r="H189" s="4" t="str">
        <f t="array" ref="H189">IF(ROWS(L$20:L189)&gt;$F$6,"",INDEX(B$2:B$10000,SMALL(IF(ISNUMBER(MATCH($B$2:$B$10000,$E$6:$E$22,0)),ROW($C$2:$C$10000)-ROW($C$2)+1),ROWS(L$20:L189))))</f>
        <v>Mickey  Bolduc</v>
      </c>
      <c r="I189" s="4">
        <f t="array" ref="I189">IF(ROWS(M$20:M189)&gt;$F$6,"",INDEX(C$2:C$10000,SMALL(IF(ISNUMBER(MATCH($B$2:$B$10000,$E$6:$E$22,0)),ROW($C$2:$C$10000)-ROW($C$2)+1),ROWS(M$20:M189))))</f>
        <v>39</v>
      </c>
      <c r="K189" s="7">
        <f t="array" ref="K189">IF(ROWS(K$20:K189)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189))))</f>
        <v>41756</v>
      </c>
      <c r="L189" s="4" t="str">
        <f t="array" ref="L189">IF(ROWS(L$20:L189)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189))))</f>
        <v>Mickey  Bolduc</v>
      </c>
      <c r="M189" s="4">
        <f t="array" ref="M189">IF(ROWS(M$20:M189)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189))))</f>
        <v>39</v>
      </c>
    </row>
    <row r="190" spans="1:13" x14ac:dyDescent="0.25">
      <c r="A190" s="3">
        <v>41431</v>
      </c>
      <c r="B190" s="2" t="s">
        <v>32</v>
      </c>
      <c r="C190" s="2">
        <v>23</v>
      </c>
      <c r="G190" s="7">
        <f t="array" ref="G190">IF(ROWS(K$20:K190)&gt;$F$6,"",INDEX(A$2:A$10000,SMALL(IF(ISNUMBER(MATCH($B$2:$B$10000,$E$6:$E$22,0)),ROW($C$2:$C$10000)-ROW($C$2)+1),ROWS(K$20:K190))))</f>
        <v>41398</v>
      </c>
      <c r="H190" s="4" t="str">
        <f t="array" ref="H190">IF(ROWS(L$20:L190)&gt;$F$6,"",INDEX(B$2:B$10000,SMALL(IF(ISNUMBER(MATCH($B$2:$B$10000,$E$6:$E$22,0)),ROW($C$2:$C$10000)-ROW($C$2)+1),ROWS(L$20:L190))))</f>
        <v>Galen  Barth</v>
      </c>
      <c r="I190" s="4">
        <f t="array" ref="I190">IF(ROWS(M$20:M190)&gt;$F$6,"",INDEX(C$2:C$10000,SMALL(IF(ISNUMBER(MATCH($B$2:$B$10000,$E$6:$E$22,0)),ROW($C$2:$C$10000)-ROW($C$2)+1),ROWS(M$20:M190))))</f>
        <v>6</v>
      </c>
      <c r="K190" s="7">
        <f t="array" ref="K190">IF(ROWS(K$20:K190)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190))))</f>
        <v>41398</v>
      </c>
      <c r="L190" s="4" t="str">
        <f t="array" ref="L190">IF(ROWS(L$20:L190)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190))))</f>
        <v>Galen  Barth</v>
      </c>
      <c r="M190" s="4">
        <f t="array" ref="M190">IF(ROWS(M$20:M190)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190))))</f>
        <v>6</v>
      </c>
    </row>
    <row r="191" spans="1:13" x14ac:dyDescent="0.25">
      <c r="A191" s="3">
        <v>41811</v>
      </c>
      <c r="B191" s="2" t="s">
        <v>7</v>
      </c>
      <c r="C191" s="2">
        <v>15</v>
      </c>
      <c r="G191" s="7">
        <f t="array" ref="G191">IF(ROWS(K$20:K191)&gt;$F$6,"",INDEX(A$2:A$10000,SMALL(IF(ISNUMBER(MATCH($B$2:$B$10000,$E$6:$E$22,0)),ROW($C$2:$C$10000)-ROW($C$2)+1),ROWS(K$20:K191))))</f>
        <v>41430</v>
      </c>
      <c r="H191" s="4" t="str">
        <f t="array" ref="H191">IF(ROWS(L$20:L191)&gt;$F$6,"",INDEX(B$2:B$10000,SMALL(IF(ISNUMBER(MATCH($B$2:$B$10000,$E$6:$E$22,0)),ROW($C$2:$C$10000)-ROW($C$2)+1),ROWS(L$20:L191))))</f>
        <v>Jenni  Thorton</v>
      </c>
      <c r="I191" s="4">
        <f t="array" ref="I191">IF(ROWS(M$20:M191)&gt;$F$6,"",INDEX(C$2:C$10000,SMALL(IF(ISNUMBER(MATCH($B$2:$B$10000,$E$6:$E$22,0)),ROW($C$2:$C$10000)-ROW($C$2)+1),ROWS(M$20:M191))))</f>
        <v>26</v>
      </c>
      <c r="K191" s="7">
        <f t="array" ref="K191">IF(ROWS(K$20:K191)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191))))</f>
        <v>41430</v>
      </c>
      <c r="L191" s="4" t="str">
        <f t="array" ref="L191">IF(ROWS(L$20:L191)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191))))</f>
        <v>Jenni  Thorton</v>
      </c>
      <c r="M191" s="4">
        <f t="array" ref="M191">IF(ROWS(M$20:M191)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191))))</f>
        <v>26</v>
      </c>
    </row>
    <row r="192" spans="1:13" x14ac:dyDescent="0.25">
      <c r="A192" s="3">
        <v>41293</v>
      </c>
      <c r="B192" s="2" t="s">
        <v>33</v>
      </c>
      <c r="C192" s="2">
        <v>6</v>
      </c>
      <c r="G192" s="7">
        <f t="array" ref="G192">IF(ROWS(K$20:K192)&gt;$F$6,"",INDEX(A$2:A$10000,SMALL(IF(ISNUMBER(MATCH($B$2:$B$10000,$E$6:$E$22,0)),ROW($C$2:$C$10000)-ROW($C$2)+1),ROWS(K$20:K192))))</f>
        <v>41887</v>
      </c>
      <c r="H192" s="4" t="str">
        <f t="array" ref="H192">IF(ROWS(L$20:L192)&gt;$F$6,"",INDEX(B$2:B$10000,SMALL(IF(ISNUMBER(MATCH($B$2:$B$10000,$E$6:$E$22,0)),ROW($C$2:$C$10000)-ROW($C$2)+1),ROWS(L$20:L192))))</f>
        <v>Iliana  Valerio</v>
      </c>
      <c r="I192" s="4">
        <f t="array" ref="I192">IF(ROWS(M$20:M192)&gt;$F$6,"",INDEX(C$2:C$10000,SMALL(IF(ISNUMBER(MATCH($B$2:$B$10000,$E$6:$E$22,0)),ROW($C$2:$C$10000)-ROW($C$2)+1),ROWS(M$20:M192))))</f>
        <v>44</v>
      </c>
      <c r="K192" s="7">
        <f t="array" ref="K192">IF(ROWS(K$20:K192)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192))))</f>
        <v>41887</v>
      </c>
      <c r="L192" s="4" t="str">
        <f t="array" ref="L192">IF(ROWS(L$20:L192)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192))))</f>
        <v>Iliana  Valerio</v>
      </c>
      <c r="M192" s="4">
        <f t="array" ref="M192">IF(ROWS(M$20:M192)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192))))</f>
        <v>44</v>
      </c>
    </row>
    <row r="193" spans="1:13" x14ac:dyDescent="0.25">
      <c r="A193" s="3">
        <v>41720</v>
      </c>
      <c r="B193" s="2" t="s">
        <v>39</v>
      </c>
      <c r="C193" s="2">
        <v>14</v>
      </c>
      <c r="G193" s="7">
        <f t="array" ref="G193">IF(ROWS(K$20:K193)&gt;$F$6,"",INDEX(A$2:A$10000,SMALL(IF(ISNUMBER(MATCH($B$2:$B$10000,$E$6:$E$22,0)),ROW($C$2:$C$10000)-ROW($C$2)+1),ROWS(K$20:K193))))</f>
        <v>41321</v>
      </c>
      <c r="H193" s="4" t="str">
        <f t="array" ref="H193">IF(ROWS(L$20:L193)&gt;$F$6,"",INDEX(B$2:B$10000,SMALL(IF(ISNUMBER(MATCH($B$2:$B$10000,$E$6:$E$22,0)),ROW($C$2:$C$10000)-ROW($C$2)+1),ROWS(L$20:L193))))</f>
        <v>Kerrie  Worrell</v>
      </c>
      <c r="I193" s="4">
        <f t="array" ref="I193">IF(ROWS(M$20:M193)&gt;$F$6,"",INDEX(C$2:C$10000,SMALL(IF(ISNUMBER(MATCH($B$2:$B$10000,$E$6:$E$22,0)),ROW($C$2:$C$10000)-ROW($C$2)+1),ROWS(M$20:M193))))</f>
        <v>17</v>
      </c>
      <c r="K193" s="7">
        <f t="array" ref="K193">IF(ROWS(K$20:K193)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193))))</f>
        <v>41321</v>
      </c>
      <c r="L193" s="4" t="str">
        <f t="array" ref="L193">IF(ROWS(L$20:L193)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193))))</f>
        <v>Kerrie  Worrell</v>
      </c>
      <c r="M193" s="4">
        <f t="array" ref="M193">IF(ROWS(M$20:M193)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193))))</f>
        <v>17</v>
      </c>
    </row>
    <row r="194" spans="1:13" x14ac:dyDescent="0.25">
      <c r="A194" s="3">
        <v>41829</v>
      </c>
      <c r="B194" s="2" t="s">
        <v>16</v>
      </c>
      <c r="C194" s="2">
        <v>37</v>
      </c>
      <c r="G194" s="7">
        <f t="array" ref="G194">IF(ROWS(K$20:K194)&gt;$F$6,"",INDEX(A$2:A$10000,SMALL(IF(ISNUMBER(MATCH($B$2:$B$10000,$E$6:$E$22,0)),ROW($C$2:$C$10000)-ROW($C$2)+1),ROWS(K$20:K194))))</f>
        <v>41720</v>
      </c>
      <c r="H194" s="4" t="str">
        <f t="array" ref="H194">IF(ROWS(L$20:L194)&gt;$F$6,"",INDEX(B$2:B$10000,SMALL(IF(ISNUMBER(MATCH($B$2:$B$10000,$E$6:$E$22,0)),ROW($C$2:$C$10000)-ROW($C$2)+1),ROWS(L$20:L194))))</f>
        <v>Galen  Barth</v>
      </c>
      <c r="I194" s="4">
        <f t="array" ref="I194">IF(ROWS(M$20:M194)&gt;$F$6,"",INDEX(C$2:C$10000,SMALL(IF(ISNUMBER(MATCH($B$2:$B$10000,$E$6:$E$22,0)),ROW($C$2:$C$10000)-ROW($C$2)+1),ROWS(M$20:M194))))</f>
        <v>6</v>
      </c>
      <c r="K194" s="7">
        <f t="array" ref="K194">IF(ROWS(K$20:K194)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194))))</f>
        <v>41720</v>
      </c>
      <c r="L194" s="4" t="str">
        <f t="array" ref="L194">IF(ROWS(L$20:L194)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194))))</f>
        <v>Galen  Barth</v>
      </c>
      <c r="M194" s="4">
        <f t="array" ref="M194">IF(ROWS(M$20:M194)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194))))</f>
        <v>6</v>
      </c>
    </row>
    <row r="195" spans="1:13" x14ac:dyDescent="0.25">
      <c r="A195" s="3">
        <v>41693</v>
      </c>
      <c r="B195" s="2" t="s">
        <v>36</v>
      </c>
      <c r="C195" s="2">
        <v>25</v>
      </c>
      <c r="G195" s="7">
        <f t="array" ref="G195">IF(ROWS(K$20:K195)&gt;$F$6,"",INDEX(A$2:A$10000,SMALL(IF(ISNUMBER(MATCH($B$2:$B$10000,$E$6:$E$22,0)),ROW($C$2:$C$10000)-ROW($C$2)+1),ROWS(K$20:K195))))</f>
        <v>41904</v>
      </c>
      <c r="H195" s="4" t="str">
        <f t="array" ref="H195">IF(ROWS(L$20:L195)&gt;$F$6,"",INDEX(B$2:B$10000,SMALL(IF(ISNUMBER(MATCH($B$2:$B$10000,$E$6:$E$22,0)),ROW($C$2:$C$10000)-ROW($C$2)+1),ROWS(L$20:L195))))</f>
        <v>Kerrie  Worrell</v>
      </c>
      <c r="I195" s="4">
        <f t="array" ref="I195">IF(ROWS(M$20:M195)&gt;$F$6,"",INDEX(C$2:C$10000,SMALL(IF(ISNUMBER(MATCH($B$2:$B$10000,$E$6:$E$22,0)),ROW($C$2:$C$10000)-ROW($C$2)+1),ROWS(M$20:M195))))</f>
        <v>14</v>
      </c>
      <c r="K195" s="7">
        <f t="array" ref="K195">IF(ROWS(K$20:K195)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195))))</f>
        <v>41904</v>
      </c>
      <c r="L195" s="4" t="str">
        <f t="array" ref="L195">IF(ROWS(L$20:L195)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195))))</f>
        <v>Kerrie  Worrell</v>
      </c>
      <c r="M195" s="4">
        <f t="array" ref="M195">IF(ROWS(M$20:M195)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195))))</f>
        <v>14</v>
      </c>
    </row>
    <row r="196" spans="1:13" x14ac:dyDescent="0.25">
      <c r="A196" s="3">
        <v>41732</v>
      </c>
      <c r="B196" s="2" t="s">
        <v>43</v>
      </c>
      <c r="C196" s="2">
        <v>34</v>
      </c>
      <c r="G196" s="7">
        <f t="array" ref="G196">IF(ROWS(K$20:K196)&gt;$F$6,"",INDEX(A$2:A$10000,SMALL(IF(ISNUMBER(MATCH($B$2:$B$10000,$E$6:$E$22,0)),ROW($C$2:$C$10000)-ROW($C$2)+1),ROWS(K$20:K196))))</f>
        <v>41420</v>
      </c>
      <c r="H196" s="4" t="str">
        <f t="array" ref="H196">IF(ROWS(L$20:L196)&gt;$F$6,"",INDEX(B$2:B$10000,SMALL(IF(ISNUMBER(MATCH($B$2:$B$10000,$E$6:$E$22,0)),ROW($C$2:$C$10000)-ROW($C$2)+1),ROWS(L$20:L196))))</f>
        <v>Galen  Barth</v>
      </c>
      <c r="I196" s="4">
        <f t="array" ref="I196">IF(ROWS(M$20:M196)&gt;$F$6,"",INDEX(C$2:C$10000,SMALL(IF(ISNUMBER(MATCH($B$2:$B$10000,$E$6:$E$22,0)),ROW($C$2:$C$10000)-ROW($C$2)+1),ROWS(M$20:M196))))</f>
        <v>10</v>
      </c>
      <c r="K196" s="7">
        <f t="array" ref="K196">IF(ROWS(K$20:K196)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196))))</f>
        <v>41420</v>
      </c>
      <c r="L196" s="4" t="str">
        <f t="array" ref="L196">IF(ROWS(L$20:L196)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196))))</f>
        <v>Galen  Barth</v>
      </c>
      <c r="M196" s="4">
        <f t="array" ref="M196">IF(ROWS(M$20:M196)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196))))</f>
        <v>10</v>
      </c>
    </row>
    <row r="197" spans="1:13" x14ac:dyDescent="0.25">
      <c r="A197" s="3">
        <v>41876</v>
      </c>
      <c r="B197" s="2" t="s">
        <v>5</v>
      </c>
      <c r="C197" s="2">
        <v>12</v>
      </c>
      <c r="G197" s="7">
        <f t="array" ref="G197">IF(ROWS(K$20:K197)&gt;$F$6,"",INDEX(A$2:A$10000,SMALL(IF(ISNUMBER(MATCH($B$2:$B$10000,$E$6:$E$22,0)),ROW($C$2:$C$10000)-ROW($C$2)+1),ROWS(K$20:K197))))</f>
        <v>41576</v>
      </c>
      <c r="H197" s="4" t="str">
        <f t="array" ref="H197">IF(ROWS(L$20:L197)&gt;$F$6,"",INDEX(B$2:B$10000,SMALL(IF(ISNUMBER(MATCH($B$2:$B$10000,$E$6:$E$22,0)),ROW($C$2:$C$10000)-ROW($C$2)+1),ROWS(L$20:L197))))</f>
        <v>Galen  Barth</v>
      </c>
      <c r="I197" s="4">
        <f t="array" ref="I197">IF(ROWS(M$20:M197)&gt;$F$6,"",INDEX(C$2:C$10000,SMALL(IF(ISNUMBER(MATCH($B$2:$B$10000,$E$6:$E$22,0)),ROW($C$2:$C$10000)-ROW($C$2)+1),ROWS(M$20:M197))))</f>
        <v>37</v>
      </c>
      <c r="K197" s="7">
        <f t="array" ref="K197">IF(ROWS(K$20:K197)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197))))</f>
        <v>41576</v>
      </c>
      <c r="L197" s="4" t="str">
        <f t="array" ref="L197">IF(ROWS(L$20:L197)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197))))</f>
        <v>Galen  Barth</v>
      </c>
      <c r="M197" s="4">
        <f t="array" ref="M197">IF(ROWS(M$20:M197)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197))))</f>
        <v>37</v>
      </c>
    </row>
    <row r="198" spans="1:13" x14ac:dyDescent="0.25">
      <c r="A198" s="3">
        <v>41592</v>
      </c>
      <c r="B198" s="2" t="s">
        <v>39</v>
      </c>
      <c r="C198" s="2">
        <v>41</v>
      </c>
      <c r="G198" s="7">
        <f t="array" ref="G198">IF(ROWS(K$20:K198)&gt;$F$6,"",INDEX(A$2:A$10000,SMALL(IF(ISNUMBER(MATCH($B$2:$B$10000,$E$6:$E$22,0)),ROW($C$2:$C$10000)-ROW($C$2)+1),ROWS(K$20:K198))))</f>
        <v>41531</v>
      </c>
      <c r="H198" s="4" t="str">
        <f t="array" ref="H198">IF(ROWS(L$20:L198)&gt;$F$6,"",INDEX(B$2:B$10000,SMALL(IF(ISNUMBER(MATCH($B$2:$B$10000,$E$6:$E$22,0)),ROW($C$2:$C$10000)-ROW($C$2)+1),ROWS(L$20:L198))))</f>
        <v>Galen  Barth</v>
      </c>
      <c r="I198" s="4">
        <f t="array" ref="I198">IF(ROWS(M$20:M198)&gt;$F$6,"",INDEX(C$2:C$10000,SMALL(IF(ISNUMBER(MATCH($B$2:$B$10000,$E$6:$E$22,0)),ROW($C$2:$C$10000)-ROW($C$2)+1),ROWS(M$20:M198))))</f>
        <v>2</v>
      </c>
      <c r="K198" s="7">
        <f t="array" ref="K198">IF(ROWS(K$20:K198)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198))))</f>
        <v>41531</v>
      </c>
      <c r="L198" s="4" t="str">
        <f t="array" ref="L198">IF(ROWS(L$20:L198)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198))))</f>
        <v>Galen  Barth</v>
      </c>
      <c r="M198" s="4">
        <f t="array" ref="M198">IF(ROWS(M$20:M198)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198))))</f>
        <v>2</v>
      </c>
    </row>
    <row r="199" spans="1:13" x14ac:dyDescent="0.25">
      <c r="A199" s="3">
        <v>41672</v>
      </c>
      <c r="B199" s="2" t="s">
        <v>22</v>
      </c>
      <c r="C199" s="2">
        <v>3</v>
      </c>
      <c r="G199" s="7">
        <f t="array" ref="G199">IF(ROWS(K$20:K199)&gt;$F$6,"",INDEX(A$2:A$10000,SMALL(IF(ISNUMBER(MATCH($B$2:$B$10000,$E$6:$E$22,0)),ROW($C$2:$C$10000)-ROW($C$2)+1),ROWS(K$20:K199))))</f>
        <v>41769</v>
      </c>
      <c r="H199" s="4" t="str">
        <f t="array" ref="H199">IF(ROWS(L$20:L199)&gt;$F$6,"",INDEX(B$2:B$10000,SMALL(IF(ISNUMBER(MATCH($B$2:$B$10000,$E$6:$E$22,0)),ROW($C$2:$C$10000)-ROW($C$2)+1),ROWS(L$20:L199))))</f>
        <v>Kerrie  Worrell</v>
      </c>
      <c r="I199" s="4">
        <f t="array" ref="I199">IF(ROWS(M$20:M199)&gt;$F$6,"",INDEX(C$2:C$10000,SMALL(IF(ISNUMBER(MATCH($B$2:$B$10000,$E$6:$E$22,0)),ROW($C$2:$C$10000)-ROW($C$2)+1),ROWS(M$20:M199))))</f>
        <v>52</v>
      </c>
      <c r="K199" s="7">
        <f t="array" ref="K199">IF(ROWS(K$20:K199)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199))))</f>
        <v>41769</v>
      </c>
      <c r="L199" s="4" t="str">
        <f t="array" ref="L199">IF(ROWS(L$20:L199)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199))))</f>
        <v>Kerrie  Worrell</v>
      </c>
      <c r="M199" s="4">
        <f t="array" ref="M199">IF(ROWS(M$20:M199)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199))))</f>
        <v>52</v>
      </c>
    </row>
    <row r="200" spans="1:13" x14ac:dyDescent="0.25">
      <c r="A200" s="3">
        <v>41463</v>
      </c>
      <c r="B200" s="2" t="s">
        <v>8</v>
      </c>
      <c r="C200" s="2">
        <v>32</v>
      </c>
      <c r="G200" s="7">
        <f t="array" ref="G200">IF(ROWS(K$20:K200)&gt;$F$6,"",INDEX(A$2:A$10000,SMALL(IF(ISNUMBER(MATCH($B$2:$B$10000,$E$6:$E$22,0)),ROW($C$2:$C$10000)-ROW($C$2)+1),ROWS(K$20:K200))))</f>
        <v>41490</v>
      </c>
      <c r="H200" s="4" t="str">
        <f t="array" ref="H200">IF(ROWS(L$20:L200)&gt;$F$6,"",INDEX(B$2:B$10000,SMALL(IF(ISNUMBER(MATCH($B$2:$B$10000,$E$6:$E$22,0)),ROW($C$2:$C$10000)-ROW($C$2)+1),ROWS(L$20:L200))))</f>
        <v>Rosamond  Allard</v>
      </c>
      <c r="I200" s="4">
        <f t="array" ref="I200">IF(ROWS(M$20:M200)&gt;$F$6,"",INDEX(C$2:C$10000,SMALL(IF(ISNUMBER(MATCH($B$2:$B$10000,$E$6:$E$22,0)),ROW($C$2:$C$10000)-ROW($C$2)+1),ROWS(M$20:M200))))</f>
        <v>37</v>
      </c>
      <c r="K200" s="7">
        <f t="array" ref="K200">IF(ROWS(K$20:K200)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200))))</f>
        <v>41490</v>
      </c>
      <c r="L200" s="4" t="str">
        <f t="array" ref="L200">IF(ROWS(L$20:L200)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200))))</f>
        <v>Rosamond  Allard</v>
      </c>
      <c r="M200" s="4">
        <f t="array" ref="M200">IF(ROWS(M$20:M200)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200))))</f>
        <v>37</v>
      </c>
    </row>
    <row r="201" spans="1:13" x14ac:dyDescent="0.25">
      <c r="A201" s="3">
        <v>41916</v>
      </c>
      <c r="B201" s="2" t="s">
        <v>6</v>
      </c>
      <c r="C201" s="2">
        <v>23</v>
      </c>
      <c r="G201" s="7">
        <f t="array" ref="G201">IF(ROWS(K$20:K201)&gt;$F$6,"",INDEX(A$2:A$10000,SMALL(IF(ISNUMBER(MATCH($B$2:$B$10000,$E$6:$E$22,0)),ROW($C$2:$C$10000)-ROW($C$2)+1),ROWS(K$20:K201))))</f>
        <v>41555</v>
      </c>
      <c r="H201" s="4" t="str">
        <f t="array" ref="H201">IF(ROWS(L$20:L201)&gt;$F$6,"",INDEX(B$2:B$10000,SMALL(IF(ISNUMBER(MATCH($B$2:$B$10000,$E$6:$E$22,0)),ROW($C$2:$C$10000)-ROW($C$2)+1),ROWS(L$20:L201))))</f>
        <v>Kerrie  Worrell</v>
      </c>
      <c r="I201" s="4">
        <f t="array" ref="I201">IF(ROWS(M$20:M201)&gt;$F$6,"",INDEX(C$2:C$10000,SMALL(IF(ISNUMBER(MATCH($B$2:$B$10000,$E$6:$E$22,0)),ROW($C$2:$C$10000)-ROW($C$2)+1),ROWS(M$20:M201))))</f>
        <v>19</v>
      </c>
      <c r="K201" s="7">
        <f t="array" ref="K201">IF(ROWS(K$20:K201)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201))))</f>
        <v>41555</v>
      </c>
      <c r="L201" s="4" t="str">
        <f t="array" ref="L201">IF(ROWS(L$20:L201)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201))))</f>
        <v>Kerrie  Worrell</v>
      </c>
      <c r="M201" s="4">
        <f t="array" ref="M201">IF(ROWS(M$20:M201)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201))))</f>
        <v>19</v>
      </c>
    </row>
    <row r="202" spans="1:13" x14ac:dyDescent="0.25">
      <c r="A202" s="3">
        <v>41339</v>
      </c>
      <c r="B202" s="2" t="s">
        <v>40</v>
      </c>
      <c r="C202" s="2">
        <v>34</v>
      </c>
      <c r="G202" s="7">
        <f t="array" ref="G202">IF(ROWS(K$20:K202)&gt;$F$6,"",INDEX(A$2:A$10000,SMALL(IF(ISNUMBER(MATCH($B$2:$B$10000,$E$6:$E$22,0)),ROW($C$2:$C$10000)-ROW($C$2)+1),ROWS(K$20:K202))))</f>
        <v>41582</v>
      </c>
      <c r="H202" s="4" t="str">
        <f t="array" ref="H202">IF(ROWS(L$20:L202)&gt;$F$6,"",INDEX(B$2:B$10000,SMALL(IF(ISNUMBER(MATCH($B$2:$B$10000,$E$6:$E$22,0)),ROW($C$2:$C$10000)-ROW($C$2)+1),ROWS(L$20:L202))))</f>
        <v>Jenni  Thorton</v>
      </c>
      <c r="I202" s="4">
        <f t="array" ref="I202">IF(ROWS(M$20:M202)&gt;$F$6,"",INDEX(C$2:C$10000,SMALL(IF(ISNUMBER(MATCH($B$2:$B$10000,$E$6:$E$22,0)),ROW($C$2:$C$10000)-ROW($C$2)+1),ROWS(M$20:M202))))</f>
        <v>16</v>
      </c>
      <c r="K202" s="7">
        <f t="array" ref="K202">IF(ROWS(K$20:K202)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202))))</f>
        <v>41582</v>
      </c>
      <c r="L202" s="4" t="str">
        <f t="array" ref="L202">IF(ROWS(L$20:L202)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202))))</f>
        <v>Jenni  Thorton</v>
      </c>
      <c r="M202" s="4">
        <f t="array" ref="M202">IF(ROWS(M$20:M202)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202))))</f>
        <v>16</v>
      </c>
    </row>
    <row r="203" spans="1:13" x14ac:dyDescent="0.25">
      <c r="A203" s="3">
        <v>41823</v>
      </c>
      <c r="B203" s="2" t="s">
        <v>37</v>
      </c>
      <c r="C203" s="2">
        <v>43</v>
      </c>
      <c r="G203" s="7">
        <f t="array" ref="G203">IF(ROWS(K$20:K203)&gt;$F$6,"",INDEX(A$2:A$10000,SMALL(IF(ISNUMBER(MATCH($B$2:$B$10000,$E$6:$E$22,0)),ROW($C$2:$C$10000)-ROW($C$2)+1),ROWS(K$20:K203))))</f>
        <v>41282</v>
      </c>
      <c r="H203" s="4" t="str">
        <f t="array" ref="H203">IF(ROWS(L$20:L203)&gt;$F$6,"",INDEX(B$2:B$10000,SMALL(IF(ISNUMBER(MATCH($B$2:$B$10000,$E$6:$E$22,0)),ROW($C$2:$C$10000)-ROW($C$2)+1),ROWS(L$20:L203))))</f>
        <v>Jenni  Thorton</v>
      </c>
      <c r="I203" s="4">
        <f t="array" ref="I203">IF(ROWS(M$20:M203)&gt;$F$6,"",INDEX(C$2:C$10000,SMALL(IF(ISNUMBER(MATCH($B$2:$B$10000,$E$6:$E$22,0)),ROW($C$2:$C$10000)-ROW($C$2)+1),ROWS(M$20:M203))))</f>
        <v>35</v>
      </c>
      <c r="K203" s="7">
        <f t="array" ref="K203">IF(ROWS(K$20:K203)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203))))</f>
        <v>41282</v>
      </c>
      <c r="L203" s="4" t="str">
        <f t="array" ref="L203">IF(ROWS(L$20:L203)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203))))</f>
        <v>Jenni  Thorton</v>
      </c>
      <c r="M203" s="4">
        <f t="array" ref="M203">IF(ROWS(M$20:M203)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203))))</f>
        <v>35</v>
      </c>
    </row>
    <row r="204" spans="1:13" x14ac:dyDescent="0.25">
      <c r="A204" s="3">
        <v>41763</v>
      </c>
      <c r="B204" s="2" t="s">
        <v>29</v>
      </c>
      <c r="C204" s="2">
        <v>50</v>
      </c>
      <c r="G204" s="7">
        <f t="array" ref="G204">IF(ROWS(K$20:K204)&gt;$F$6,"",INDEX(A$2:A$10000,SMALL(IF(ISNUMBER(MATCH($B$2:$B$10000,$E$6:$E$22,0)),ROW($C$2:$C$10000)-ROW($C$2)+1),ROWS(K$20:K204))))</f>
        <v>41716</v>
      </c>
      <c r="H204" s="4" t="str">
        <f t="array" ref="H204">IF(ROWS(L$20:L204)&gt;$F$6,"",INDEX(B$2:B$10000,SMALL(IF(ISNUMBER(MATCH($B$2:$B$10000,$E$6:$E$22,0)),ROW($C$2:$C$10000)-ROW($C$2)+1),ROWS(L$20:L204))))</f>
        <v>Galen  Barth</v>
      </c>
      <c r="I204" s="4">
        <f t="array" ref="I204">IF(ROWS(M$20:M204)&gt;$F$6,"",INDEX(C$2:C$10000,SMALL(IF(ISNUMBER(MATCH($B$2:$B$10000,$E$6:$E$22,0)),ROW($C$2:$C$10000)-ROW($C$2)+1),ROWS(M$20:M204))))</f>
        <v>18</v>
      </c>
      <c r="K204" s="7">
        <f t="array" ref="K204">IF(ROWS(K$20:K204)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204))))</f>
        <v>41716</v>
      </c>
      <c r="L204" s="4" t="str">
        <f t="array" ref="L204">IF(ROWS(L$20:L204)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204))))</f>
        <v>Galen  Barth</v>
      </c>
      <c r="M204" s="4">
        <f t="array" ref="M204">IF(ROWS(M$20:M204)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204))))</f>
        <v>18</v>
      </c>
    </row>
    <row r="205" spans="1:13" x14ac:dyDescent="0.25">
      <c r="A205" s="3">
        <v>41900</v>
      </c>
      <c r="B205" s="2" t="s">
        <v>6</v>
      </c>
      <c r="C205" s="2">
        <v>36</v>
      </c>
      <c r="G205" s="7">
        <f t="array" ref="G205">IF(ROWS(K$20:K205)&gt;$F$6,"",INDEX(A$2:A$10000,SMALL(IF(ISNUMBER(MATCH($B$2:$B$10000,$E$6:$E$22,0)),ROW($C$2:$C$10000)-ROW($C$2)+1),ROWS(K$20:K205))))</f>
        <v>41593</v>
      </c>
      <c r="H205" s="4" t="str">
        <f t="array" ref="H205">IF(ROWS(L$20:L205)&gt;$F$6,"",INDEX(B$2:B$10000,SMALL(IF(ISNUMBER(MATCH($B$2:$B$10000,$E$6:$E$22,0)),ROW($C$2:$C$10000)-ROW($C$2)+1),ROWS(L$20:L205))))</f>
        <v>Jenni  Thorton</v>
      </c>
      <c r="I205" s="4">
        <f t="array" ref="I205">IF(ROWS(M$20:M205)&gt;$F$6,"",INDEX(C$2:C$10000,SMALL(IF(ISNUMBER(MATCH($B$2:$B$10000,$E$6:$E$22,0)),ROW($C$2:$C$10000)-ROW($C$2)+1),ROWS(M$20:M205))))</f>
        <v>15</v>
      </c>
      <c r="K205" s="7">
        <f t="array" ref="K205">IF(ROWS(K$20:K205)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205))))</f>
        <v>41593</v>
      </c>
      <c r="L205" s="4" t="str">
        <f t="array" ref="L205">IF(ROWS(L$20:L205)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205))))</f>
        <v>Jenni  Thorton</v>
      </c>
      <c r="M205" s="4">
        <f t="array" ref="M205">IF(ROWS(M$20:M205)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205))))</f>
        <v>15</v>
      </c>
    </row>
    <row r="206" spans="1:13" x14ac:dyDescent="0.25">
      <c r="A206" s="3">
        <v>41675</v>
      </c>
      <c r="B206" s="2" t="s">
        <v>40</v>
      </c>
      <c r="C206" s="2">
        <v>30</v>
      </c>
      <c r="G206" s="7">
        <f t="array" ref="G206">IF(ROWS(K$20:K206)&gt;$F$6,"",INDEX(A$2:A$10000,SMALL(IF(ISNUMBER(MATCH($B$2:$B$10000,$E$6:$E$22,0)),ROW($C$2:$C$10000)-ROW($C$2)+1),ROWS(K$20:K206))))</f>
        <v>41976</v>
      </c>
      <c r="H206" s="4" t="str">
        <f t="array" ref="H206">IF(ROWS(L$20:L206)&gt;$F$6,"",INDEX(B$2:B$10000,SMALL(IF(ISNUMBER(MATCH($B$2:$B$10000,$E$6:$E$22,0)),ROW($C$2:$C$10000)-ROW($C$2)+1),ROWS(L$20:L206))))</f>
        <v>Iliana  Valerio</v>
      </c>
      <c r="I206" s="4">
        <f t="array" ref="I206">IF(ROWS(M$20:M206)&gt;$F$6,"",INDEX(C$2:C$10000,SMALL(IF(ISNUMBER(MATCH($B$2:$B$10000,$E$6:$E$22,0)),ROW($C$2:$C$10000)-ROW($C$2)+1),ROWS(M$20:M206))))</f>
        <v>10</v>
      </c>
      <c r="K206" s="7">
        <f t="array" ref="K206">IF(ROWS(K$20:K206)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206))))</f>
        <v>41976</v>
      </c>
      <c r="L206" s="4" t="str">
        <f t="array" ref="L206">IF(ROWS(L$20:L206)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206))))</f>
        <v>Iliana  Valerio</v>
      </c>
      <c r="M206" s="4">
        <f t="array" ref="M206">IF(ROWS(M$20:M206)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206))))</f>
        <v>10</v>
      </c>
    </row>
    <row r="207" spans="1:13" x14ac:dyDescent="0.25">
      <c r="A207" s="3">
        <v>41340</v>
      </c>
      <c r="B207" s="2" t="s">
        <v>41</v>
      </c>
      <c r="C207" s="2">
        <v>41</v>
      </c>
      <c r="G207" s="7">
        <f t="array" ref="G207">IF(ROWS(K$20:K207)&gt;$F$6,"",INDEX(A$2:A$10000,SMALL(IF(ISNUMBER(MATCH($B$2:$B$10000,$E$6:$E$22,0)),ROW($C$2:$C$10000)-ROW($C$2)+1),ROWS(K$20:K207))))</f>
        <v>41654</v>
      </c>
      <c r="H207" s="4" t="str">
        <f t="array" ref="H207">IF(ROWS(L$20:L207)&gt;$F$6,"",INDEX(B$2:B$10000,SMALL(IF(ISNUMBER(MATCH($B$2:$B$10000,$E$6:$E$22,0)),ROW($C$2:$C$10000)-ROW($C$2)+1),ROWS(L$20:L207))))</f>
        <v>Rosamond  Allard</v>
      </c>
      <c r="I207" s="4">
        <f t="array" ref="I207">IF(ROWS(M$20:M207)&gt;$F$6,"",INDEX(C$2:C$10000,SMALL(IF(ISNUMBER(MATCH($B$2:$B$10000,$E$6:$E$22,0)),ROW($C$2:$C$10000)-ROW($C$2)+1),ROWS(M$20:M207))))</f>
        <v>35</v>
      </c>
      <c r="K207" s="7">
        <f t="array" ref="K207">IF(ROWS(K$20:K207)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207))))</f>
        <v>41654</v>
      </c>
      <c r="L207" s="4" t="str">
        <f t="array" ref="L207">IF(ROWS(L$20:L207)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207))))</f>
        <v>Rosamond  Allard</v>
      </c>
      <c r="M207" s="4">
        <f t="array" ref="M207">IF(ROWS(M$20:M207)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207))))</f>
        <v>35</v>
      </c>
    </row>
    <row r="208" spans="1:13" x14ac:dyDescent="0.25">
      <c r="A208" s="3">
        <v>41451</v>
      </c>
      <c r="B208" s="2" t="s">
        <v>37</v>
      </c>
      <c r="C208" s="2">
        <v>29</v>
      </c>
      <c r="G208" s="7">
        <f t="array" ref="G208">IF(ROWS(K$20:K208)&gt;$F$6,"",INDEX(A$2:A$10000,SMALL(IF(ISNUMBER(MATCH($B$2:$B$10000,$E$6:$E$22,0)),ROW($C$2:$C$10000)-ROW($C$2)+1),ROWS(K$20:K208))))</f>
        <v>41505</v>
      </c>
      <c r="H208" s="4" t="str">
        <f t="array" ref="H208">IF(ROWS(L$20:L208)&gt;$F$6,"",INDEX(B$2:B$10000,SMALL(IF(ISNUMBER(MATCH($B$2:$B$10000,$E$6:$E$22,0)),ROW($C$2:$C$10000)-ROW($C$2)+1),ROWS(L$20:L208))))</f>
        <v>Rosamond  Allard</v>
      </c>
      <c r="I208" s="4">
        <f t="array" ref="I208">IF(ROWS(M$20:M208)&gt;$F$6,"",INDEX(C$2:C$10000,SMALL(IF(ISNUMBER(MATCH($B$2:$B$10000,$E$6:$E$22,0)),ROW($C$2:$C$10000)-ROW($C$2)+1),ROWS(M$20:M208))))</f>
        <v>56</v>
      </c>
      <c r="K208" s="7">
        <f t="array" ref="K208">IF(ROWS(K$20:K208)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208))))</f>
        <v>41505</v>
      </c>
      <c r="L208" s="4" t="str">
        <f t="array" ref="L208">IF(ROWS(L$20:L208)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208))))</f>
        <v>Rosamond  Allard</v>
      </c>
      <c r="M208" s="4">
        <f t="array" ref="M208">IF(ROWS(M$20:M208)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208))))</f>
        <v>56</v>
      </c>
    </row>
    <row r="209" spans="1:13" x14ac:dyDescent="0.25">
      <c r="A209" s="3">
        <v>41847</v>
      </c>
      <c r="B209" s="2" t="s">
        <v>38</v>
      </c>
      <c r="C209" s="2">
        <v>16</v>
      </c>
      <c r="G209" s="7">
        <f t="array" ref="G209">IF(ROWS(K$20:K209)&gt;$F$6,"",INDEX(A$2:A$10000,SMALL(IF(ISNUMBER(MATCH($B$2:$B$10000,$E$6:$E$22,0)),ROW($C$2:$C$10000)-ROW($C$2)+1),ROWS(K$20:K209))))</f>
        <v>41318</v>
      </c>
      <c r="H209" s="4" t="str">
        <f t="array" ref="H209">IF(ROWS(L$20:L209)&gt;$F$6,"",INDEX(B$2:B$10000,SMALL(IF(ISNUMBER(MATCH($B$2:$B$10000,$E$6:$E$22,0)),ROW($C$2:$C$10000)-ROW($C$2)+1),ROWS(L$20:L209))))</f>
        <v>Jenni  Thorton</v>
      </c>
      <c r="I209" s="4">
        <f t="array" ref="I209">IF(ROWS(M$20:M209)&gt;$F$6,"",INDEX(C$2:C$10000,SMALL(IF(ISNUMBER(MATCH($B$2:$B$10000,$E$6:$E$22,0)),ROW($C$2:$C$10000)-ROW($C$2)+1),ROWS(M$20:M209))))</f>
        <v>14</v>
      </c>
      <c r="K209" s="7">
        <f t="array" ref="K209">IF(ROWS(K$20:K209)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209))))</f>
        <v>41318</v>
      </c>
      <c r="L209" s="4" t="str">
        <f t="array" ref="L209">IF(ROWS(L$20:L209)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209))))</f>
        <v>Jenni  Thorton</v>
      </c>
      <c r="M209" s="4">
        <f t="array" ref="M209">IF(ROWS(M$20:M209)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209))))</f>
        <v>14</v>
      </c>
    </row>
    <row r="210" spans="1:13" x14ac:dyDescent="0.25">
      <c r="A210" s="3">
        <v>41716</v>
      </c>
      <c r="B210" s="2" t="s">
        <v>22</v>
      </c>
      <c r="C210" s="2">
        <v>36</v>
      </c>
      <c r="G210" s="7">
        <f t="array" ref="G210">IF(ROWS(K$20:K210)&gt;$F$6,"",INDEX(A$2:A$10000,SMALL(IF(ISNUMBER(MATCH($B$2:$B$10000,$E$6:$E$22,0)),ROW($C$2:$C$10000)-ROW($C$2)+1),ROWS(K$20:K210))))</f>
        <v>41291</v>
      </c>
      <c r="H210" s="4" t="str">
        <f t="array" ref="H210">IF(ROWS(L$20:L210)&gt;$F$6,"",INDEX(B$2:B$10000,SMALL(IF(ISNUMBER(MATCH($B$2:$B$10000,$E$6:$E$22,0)),ROW($C$2:$C$10000)-ROW($C$2)+1),ROWS(L$20:L210))))</f>
        <v>Rosamond  Allard</v>
      </c>
      <c r="I210" s="4">
        <f t="array" ref="I210">IF(ROWS(M$20:M210)&gt;$F$6,"",INDEX(C$2:C$10000,SMALL(IF(ISNUMBER(MATCH($B$2:$B$10000,$E$6:$E$22,0)),ROW($C$2:$C$10000)-ROW($C$2)+1),ROWS(M$20:M210))))</f>
        <v>39</v>
      </c>
      <c r="K210" s="7">
        <f t="array" ref="K210">IF(ROWS(K$20:K210)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210))))</f>
        <v>41291</v>
      </c>
      <c r="L210" s="4" t="str">
        <f t="array" ref="L210">IF(ROWS(L$20:L210)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210))))</f>
        <v>Rosamond  Allard</v>
      </c>
      <c r="M210" s="4">
        <f t="array" ref="M210">IF(ROWS(M$20:M210)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210))))</f>
        <v>39</v>
      </c>
    </row>
    <row r="211" spans="1:13" x14ac:dyDescent="0.25">
      <c r="A211" s="3">
        <v>41767</v>
      </c>
      <c r="B211" s="2" t="s">
        <v>18</v>
      </c>
      <c r="C211" s="2">
        <v>37</v>
      </c>
      <c r="G211" s="7">
        <f t="array" ref="G211">IF(ROWS(K$20:K211)&gt;$F$6,"",INDEX(A$2:A$10000,SMALL(IF(ISNUMBER(MATCH($B$2:$B$10000,$E$6:$E$22,0)),ROW($C$2:$C$10000)-ROW($C$2)+1),ROWS(K$20:K211))))</f>
        <v>41401</v>
      </c>
      <c r="H211" s="4" t="str">
        <f t="array" ref="H211">IF(ROWS(L$20:L211)&gt;$F$6,"",INDEX(B$2:B$10000,SMALL(IF(ISNUMBER(MATCH($B$2:$B$10000,$E$6:$E$22,0)),ROW($C$2:$C$10000)-ROW($C$2)+1),ROWS(L$20:L211))))</f>
        <v>Kerrie  Worrell</v>
      </c>
      <c r="I211" s="4">
        <f t="array" ref="I211">IF(ROWS(M$20:M211)&gt;$F$6,"",INDEX(C$2:C$10000,SMALL(IF(ISNUMBER(MATCH($B$2:$B$10000,$E$6:$E$22,0)),ROW($C$2:$C$10000)-ROW($C$2)+1),ROWS(M$20:M211))))</f>
        <v>16</v>
      </c>
      <c r="K211" s="7">
        <f t="array" ref="K211">IF(ROWS(K$20:K211)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211))))</f>
        <v>41401</v>
      </c>
      <c r="L211" s="4" t="str">
        <f t="array" ref="L211">IF(ROWS(L$20:L211)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211))))</f>
        <v>Kerrie  Worrell</v>
      </c>
      <c r="M211" s="4">
        <f t="array" ref="M211">IF(ROWS(M$20:M211)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211))))</f>
        <v>16</v>
      </c>
    </row>
    <row r="212" spans="1:13" x14ac:dyDescent="0.25">
      <c r="A212" s="3">
        <v>41574</v>
      </c>
      <c r="B212" s="2" t="s">
        <v>26</v>
      </c>
      <c r="C212" s="2">
        <v>21</v>
      </c>
      <c r="G212" s="7">
        <f t="array" ref="G212">IF(ROWS(K$20:K212)&gt;$F$6,"",INDEX(A$2:A$10000,SMALL(IF(ISNUMBER(MATCH($B$2:$B$10000,$E$6:$E$22,0)),ROW($C$2:$C$10000)-ROW($C$2)+1),ROWS(K$20:K212))))</f>
        <v>41333</v>
      </c>
      <c r="H212" s="4" t="str">
        <f t="array" ref="H212">IF(ROWS(L$20:L212)&gt;$F$6,"",INDEX(B$2:B$10000,SMALL(IF(ISNUMBER(MATCH($B$2:$B$10000,$E$6:$E$22,0)),ROW($C$2:$C$10000)-ROW($C$2)+1),ROWS(L$20:L212))))</f>
        <v>Mickey  Bolduc</v>
      </c>
      <c r="I212" s="4">
        <f t="array" ref="I212">IF(ROWS(M$20:M212)&gt;$F$6,"",INDEX(C$2:C$10000,SMALL(IF(ISNUMBER(MATCH($B$2:$B$10000,$E$6:$E$22,0)),ROW($C$2:$C$10000)-ROW($C$2)+1),ROWS(M$20:M212))))</f>
        <v>57</v>
      </c>
      <c r="K212" s="7">
        <f t="array" ref="K212">IF(ROWS(K$20:K212)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212))))</f>
        <v>41333</v>
      </c>
      <c r="L212" s="4" t="str">
        <f t="array" ref="L212">IF(ROWS(L$20:L212)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212))))</f>
        <v>Mickey  Bolduc</v>
      </c>
      <c r="M212" s="4">
        <f t="array" ref="M212">IF(ROWS(M$20:M212)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212))))</f>
        <v>57</v>
      </c>
    </row>
    <row r="213" spans="1:13" x14ac:dyDescent="0.25">
      <c r="A213" s="3">
        <v>41444</v>
      </c>
      <c r="B213" s="2" t="s">
        <v>17</v>
      </c>
      <c r="C213" s="2">
        <v>18</v>
      </c>
      <c r="G213" s="7">
        <f t="array" ref="G213">IF(ROWS(K$20:K213)&gt;$F$6,"",INDEX(A$2:A$10000,SMALL(IF(ISNUMBER(MATCH($B$2:$B$10000,$E$6:$E$22,0)),ROW($C$2:$C$10000)-ROW($C$2)+1),ROWS(K$20:K213))))</f>
        <v>41683</v>
      </c>
      <c r="H213" s="4" t="str">
        <f t="array" ref="H213">IF(ROWS(L$20:L213)&gt;$F$6,"",INDEX(B$2:B$10000,SMALL(IF(ISNUMBER(MATCH($B$2:$B$10000,$E$6:$E$22,0)),ROW($C$2:$C$10000)-ROW($C$2)+1),ROWS(L$20:L213))))</f>
        <v>Galen  Barth</v>
      </c>
      <c r="I213" s="4">
        <f t="array" ref="I213">IF(ROWS(M$20:M213)&gt;$F$6,"",INDEX(C$2:C$10000,SMALL(IF(ISNUMBER(MATCH($B$2:$B$10000,$E$6:$E$22,0)),ROW($C$2:$C$10000)-ROW($C$2)+1),ROWS(M$20:M213))))</f>
        <v>2</v>
      </c>
      <c r="K213" s="7">
        <f t="array" ref="K213">IF(ROWS(K$20:K213)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213))))</f>
        <v>41683</v>
      </c>
      <c r="L213" s="4" t="str">
        <f t="array" ref="L213">IF(ROWS(L$20:L213)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213))))</f>
        <v>Galen  Barth</v>
      </c>
      <c r="M213" s="4">
        <f t="array" ref="M213">IF(ROWS(M$20:M213)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213))))</f>
        <v>2</v>
      </c>
    </row>
    <row r="214" spans="1:13" x14ac:dyDescent="0.25">
      <c r="A214" s="3">
        <v>41585</v>
      </c>
      <c r="B214" s="2" t="s">
        <v>33</v>
      </c>
      <c r="C214" s="2">
        <v>48</v>
      </c>
      <c r="G214" s="7">
        <f t="array" ref="G214">IF(ROWS(K$20:K214)&gt;$F$6,"",INDEX(A$2:A$10000,SMALL(IF(ISNUMBER(MATCH($B$2:$B$10000,$E$6:$E$22,0)),ROW($C$2:$C$10000)-ROW($C$2)+1),ROWS(K$20:K214))))</f>
        <v>41783</v>
      </c>
      <c r="H214" s="4" t="str">
        <f t="array" ref="H214">IF(ROWS(L$20:L214)&gt;$F$6,"",INDEX(B$2:B$10000,SMALL(IF(ISNUMBER(MATCH($B$2:$B$10000,$E$6:$E$22,0)),ROW($C$2:$C$10000)-ROW($C$2)+1),ROWS(L$20:L214))))</f>
        <v>Rosamond  Allard</v>
      </c>
      <c r="I214" s="4">
        <f t="array" ref="I214">IF(ROWS(M$20:M214)&gt;$F$6,"",INDEX(C$2:C$10000,SMALL(IF(ISNUMBER(MATCH($B$2:$B$10000,$E$6:$E$22,0)),ROW($C$2:$C$10000)-ROW($C$2)+1),ROWS(M$20:M214))))</f>
        <v>18</v>
      </c>
      <c r="K214" s="7">
        <f t="array" ref="K214">IF(ROWS(K$20:K214)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214))))</f>
        <v>41783</v>
      </c>
      <c r="L214" s="4" t="str">
        <f t="array" ref="L214">IF(ROWS(L$20:L214)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214))))</f>
        <v>Rosamond  Allard</v>
      </c>
      <c r="M214" s="4">
        <f t="array" ref="M214">IF(ROWS(M$20:M214)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214))))</f>
        <v>18</v>
      </c>
    </row>
    <row r="215" spans="1:13" x14ac:dyDescent="0.25">
      <c r="A215" s="3">
        <v>41690</v>
      </c>
      <c r="B215" s="2" t="s">
        <v>38</v>
      </c>
      <c r="C215" s="2">
        <v>28</v>
      </c>
      <c r="G215" s="7">
        <f t="array" ref="G215">IF(ROWS(K$20:K215)&gt;$F$6,"",INDEX(A$2:A$10000,SMALL(IF(ISNUMBER(MATCH($B$2:$B$10000,$E$6:$E$22,0)),ROW($C$2:$C$10000)-ROW($C$2)+1),ROWS(K$20:K215))))</f>
        <v>41400</v>
      </c>
      <c r="H215" s="4" t="str">
        <f t="array" ref="H215">IF(ROWS(L$20:L215)&gt;$F$6,"",INDEX(B$2:B$10000,SMALL(IF(ISNUMBER(MATCH($B$2:$B$10000,$E$6:$E$22,0)),ROW($C$2:$C$10000)-ROW($C$2)+1),ROWS(L$20:L215))))</f>
        <v>Galen  Barth</v>
      </c>
      <c r="I215" s="4">
        <f t="array" ref="I215">IF(ROWS(M$20:M215)&gt;$F$6,"",INDEX(C$2:C$10000,SMALL(IF(ISNUMBER(MATCH($B$2:$B$10000,$E$6:$E$22,0)),ROW($C$2:$C$10000)-ROW($C$2)+1),ROWS(M$20:M215))))</f>
        <v>35</v>
      </c>
      <c r="K215" s="7">
        <f t="array" ref="K215">IF(ROWS(K$20:K215)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215))))</f>
        <v>41400</v>
      </c>
      <c r="L215" s="4" t="str">
        <f t="array" ref="L215">IF(ROWS(L$20:L215)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215))))</f>
        <v>Galen  Barth</v>
      </c>
      <c r="M215" s="4">
        <f t="array" ref="M215">IF(ROWS(M$20:M215)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215))))</f>
        <v>35</v>
      </c>
    </row>
    <row r="216" spans="1:13" x14ac:dyDescent="0.25">
      <c r="A216" s="3">
        <v>41792</v>
      </c>
      <c r="B216" s="2" t="s">
        <v>42</v>
      </c>
      <c r="C216" s="2">
        <v>9</v>
      </c>
      <c r="G216" s="7">
        <f t="array" ref="G216">IF(ROWS(K$20:K216)&gt;$F$6,"",INDEX(A$2:A$10000,SMALL(IF(ISNUMBER(MATCH($B$2:$B$10000,$E$6:$E$22,0)),ROW($C$2:$C$10000)-ROW($C$2)+1),ROWS(K$20:K216))))</f>
        <v>42003</v>
      </c>
      <c r="H216" s="4" t="str">
        <f t="array" ref="H216">IF(ROWS(L$20:L216)&gt;$F$6,"",INDEX(B$2:B$10000,SMALL(IF(ISNUMBER(MATCH($B$2:$B$10000,$E$6:$E$22,0)),ROW($C$2:$C$10000)-ROW($C$2)+1),ROWS(L$20:L216))))</f>
        <v>Mickey  Bolduc</v>
      </c>
      <c r="I216" s="4">
        <f t="array" ref="I216">IF(ROWS(M$20:M216)&gt;$F$6,"",INDEX(C$2:C$10000,SMALL(IF(ISNUMBER(MATCH($B$2:$B$10000,$E$6:$E$22,0)),ROW($C$2:$C$10000)-ROW($C$2)+1),ROWS(M$20:M216))))</f>
        <v>45</v>
      </c>
      <c r="K216" s="7">
        <f t="array" ref="K216">IF(ROWS(K$20:K216)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216))))</f>
        <v>42003</v>
      </c>
      <c r="L216" s="4" t="str">
        <f t="array" ref="L216">IF(ROWS(L$20:L216)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216))))</f>
        <v>Mickey  Bolduc</v>
      </c>
      <c r="M216" s="4">
        <f t="array" ref="M216">IF(ROWS(M$20:M216)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216))))</f>
        <v>45</v>
      </c>
    </row>
    <row r="217" spans="1:13" x14ac:dyDescent="0.25">
      <c r="A217" s="3">
        <v>41887</v>
      </c>
      <c r="B217" s="2" t="s">
        <v>32</v>
      </c>
      <c r="C217" s="2">
        <v>12</v>
      </c>
      <c r="G217" s="7">
        <f t="array" ref="G217">IF(ROWS(K$20:K217)&gt;$F$6,"",INDEX(A$2:A$10000,SMALL(IF(ISNUMBER(MATCH($B$2:$B$10000,$E$6:$E$22,0)),ROW($C$2:$C$10000)-ROW($C$2)+1),ROWS(K$20:K217))))</f>
        <v>41967</v>
      </c>
      <c r="H217" s="4" t="str">
        <f t="array" ref="H217">IF(ROWS(L$20:L217)&gt;$F$6,"",INDEX(B$2:B$10000,SMALL(IF(ISNUMBER(MATCH($B$2:$B$10000,$E$6:$E$22,0)),ROW($C$2:$C$10000)-ROW($C$2)+1),ROWS(L$20:L217))))</f>
        <v>Rosamond  Allard</v>
      </c>
      <c r="I217" s="4">
        <f t="array" ref="I217">IF(ROWS(M$20:M217)&gt;$F$6,"",INDEX(C$2:C$10000,SMALL(IF(ISNUMBER(MATCH($B$2:$B$10000,$E$6:$E$22,0)),ROW($C$2:$C$10000)-ROW($C$2)+1),ROWS(M$20:M217))))</f>
        <v>19</v>
      </c>
      <c r="K217" s="7">
        <f t="array" ref="K217">IF(ROWS(K$20:K217)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217))))</f>
        <v>41967</v>
      </c>
      <c r="L217" s="4" t="str">
        <f t="array" ref="L217">IF(ROWS(L$20:L217)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217))))</f>
        <v>Rosamond  Allard</v>
      </c>
      <c r="M217" s="4">
        <f t="array" ref="M217">IF(ROWS(M$20:M217)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217))))</f>
        <v>19</v>
      </c>
    </row>
    <row r="218" spans="1:13" x14ac:dyDescent="0.25">
      <c r="A218" s="3">
        <v>41642</v>
      </c>
      <c r="B218" s="2" t="s">
        <v>19</v>
      </c>
      <c r="C218" s="2">
        <v>15</v>
      </c>
      <c r="G218" s="7">
        <f t="array" ref="G218">IF(ROWS(K$20:K218)&gt;$F$6,"",INDEX(A$2:A$10000,SMALL(IF(ISNUMBER(MATCH($B$2:$B$10000,$E$6:$E$22,0)),ROW($C$2:$C$10000)-ROW($C$2)+1),ROWS(K$20:K218))))</f>
        <v>42001</v>
      </c>
      <c r="H218" s="4" t="str">
        <f t="array" ref="H218">IF(ROWS(L$20:L218)&gt;$F$6,"",INDEX(B$2:B$10000,SMALL(IF(ISNUMBER(MATCH($B$2:$B$10000,$E$6:$E$22,0)),ROW($C$2:$C$10000)-ROW($C$2)+1),ROWS(L$20:L218))))</f>
        <v>Mickey  Bolduc</v>
      </c>
      <c r="I218" s="4">
        <f t="array" ref="I218">IF(ROWS(M$20:M218)&gt;$F$6,"",INDEX(C$2:C$10000,SMALL(IF(ISNUMBER(MATCH($B$2:$B$10000,$E$6:$E$22,0)),ROW($C$2:$C$10000)-ROW($C$2)+1),ROWS(M$20:M218))))</f>
        <v>36</v>
      </c>
      <c r="K218" s="7">
        <f t="array" ref="K218">IF(ROWS(K$20:K218)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218))))</f>
        <v>42001</v>
      </c>
      <c r="L218" s="4" t="str">
        <f t="array" ref="L218">IF(ROWS(L$20:L218)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218))))</f>
        <v>Mickey  Bolduc</v>
      </c>
      <c r="M218" s="4">
        <f t="array" ref="M218">IF(ROWS(M$20:M218)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218))))</f>
        <v>36</v>
      </c>
    </row>
    <row r="219" spans="1:13" x14ac:dyDescent="0.25">
      <c r="A219" s="3">
        <v>41959</v>
      </c>
      <c r="B219" s="2" t="s">
        <v>14</v>
      </c>
      <c r="C219" s="2">
        <v>29</v>
      </c>
      <c r="G219" s="7">
        <f t="array" ref="G219">IF(ROWS(K$20:K219)&gt;$F$6,"",INDEX(A$2:A$10000,SMALL(IF(ISNUMBER(MATCH($B$2:$B$10000,$E$6:$E$22,0)),ROW($C$2:$C$10000)-ROW($C$2)+1),ROWS(K$20:K219))))</f>
        <v>41324</v>
      </c>
      <c r="H219" s="4" t="str">
        <f t="array" ref="H219">IF(ROWS(L$20:L219)&gt;$F$6,"",INDEX(B$2:B$10000,SMALL(IF(ISNUMBER(MATCH($B$2:$B$10000,$E$6:$E$22,0)),ROW($C$2:$C$10000)-ROW($C$2)+1),ROWS(L$20:L219))))</f>
        <v>Galen  Barth</v>
      </c>
      <c r="I219" s="4">
        <f t="array" ref="I219">IF(ROWS(M$20:M219)&gt;$F$6,"",INDEX(C$2:C$10000,SMALL(IF(ISNUMBER(MATCH($B$2:$B$10000,$E$6:$E$22,0)),ROW($C$2:$C$10000)-ROW($C$2)+1),ROWS(M$20:M219))))</f>
        <v>35</v>
      </c>
      <c r="K219" s="7">
        <f t="array" ref="K219">IF(ROWS(K$20:K219)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219))))</f>
        <v>41324</v>
      </c>
      <c r="L219" s="4" t="str">
        <f t="array" ref="L219">IF(ROWS(L$20:L219)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219))))</f>
        <v>Galen  Barth</v>
      </c>
      <c r="M219" s="4">
        <f t="array" ref="M219">IF(ROWS(M$20:M219)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219))))</f>
        <v>35</v>
      </c>
    </row>
    <row r="220" spans="1:13" x14ac:dyDescent="0.25">
      <c r="A220" s="3">
        <v>41774</v>
      </c>
      <c r="B220" s="2" t="s">
        <v>32</v>
      </c>
      <c r="C220" s="2">
        <v>14</v>
      </c>
      <c r="G220" s="7">
        <f t="array" ref="G220">IF(ROWS(K$20:K220)&gt;$F$6,"",INDEX(A$2:A$10000,SMALL(IF(ISNUMBER(MATCH($B$2:$B$10000,$E$6:$E$22,0)),ROW($C$2:$C$10000)-ROW($C$2)+1),ROWS(K$20:K220))))</f>
        <v>41470</v>
      </c>
      <c r="H220" s="4" t="str">
        <f t="array" ref="H220">IF(ROWS(L$20:L220)&gt;$F$6,"",INDEX(B$2:B$10000,SMALL(IF(ISNUMBER(MATCH($B$2:$B$10000,$E$6:$E$22,0)),ROW($C$2:$C$10000)-ROW($C$2)+1),ROWS(L$20:L220))))</f>
        <v>Iliana  Valerio</v>
      </c>
      <c r="I220" s="4">
        <f t="array" ref="I220">IF(ROWS(M$20:M220)&gt;$F$6,"",INDEX(C$2:C$10000,SMALL(IF(ISNUMBER(MATCH($B$2:$B$10000,$E$6:$E$22,0)),ROW($C$2:$C$10000)-ROW($C$2)+1),ROWS(M$20:M220))))</f>
        <v>8</v>
      </c>
      <c r="K220" s="7">
        <f t="array" ref="K220">IF(ROWS(K$20:K220)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220))))</f>
        <v>41470</v>
      </c>
      <c r="L220" s="4" t="str">
        <f t="array" ref="L220">IF(ROWS(L$20:L220)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220))))</f>
        <v>Iliana  Valerio</v>
      </c>
      <c r="M220" s="4">
        <f t="array" ref="M220">IF(ROWS(M$20:M220)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220))))</f>
        <v>8</v>
      </c>
    </row>
    <row r="221" spans="1:13" x14ac:dyDescent="0.25">
      <c r="A221" s="3">
        <v>41758</v>
      </c>
      <c r="B221" s="2" t="s">
        <v>15</v>
      </c>
      <c r="C221" s="2">
        <v>30</v>
      </c>
      <c r="G221" s="7">
        <f t="array" ref="G221">IF(ROWS(K$20:K221)&gt;$F$6,"",INDEX(A$2:A$10000,SMALL(IF(ISNUMBER(MATCH($B$2:$B$10000,$E$6:$E$22,0)),ROW($C$2:$C$10000)-ROW($C$2)+1),ROWS(K$20:K221))))</f>
        <v>41943</v>
      </c>
      <c r="H221" s="4" t="str">
        <f t="array" ref="H221">IF(ROWS(L$20:L221)&gt;$F$6,"",INDEX(B$2:B$10000,SMALL(IF(ISNUMBER(MATCH($B$2:$B$10000,$E$6:$E$22,0)),ROW($C$2:$C$10000)-ROW($C$2)+1),ROWS(L$20:L221))))</f>
        <v>Jenni  Thorton</v>
      </c>
      <c r="I221" s="4">
        <f t="array" ref="I221">IF(ROWS(M$20:M221)&gt;$F$6,"",INDEX(C$2:C$10000,SMALL(IF(ISNUMBER(MATCH($B$2:$B$10000,$E$6:$E$22,0)),ROW($C$2:$C$10000)-ROW($C$2)+1),ROWS(M$20:M221))))</f>
        <v>19</v>
      </c>
      <c r="K221" s="7">
        <f t="array" ref="K221">IF(ROWS(K$20:K221)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221))))</f>
        <v>41943</v>
      </c>
      <c r="L221" s="4" t="str">
        <f t="array" ref="L221">IF(ROWS(L$20:L221)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221))))</f>
        <v>Jenni  Thorton</v>
      </c>
      <c r="M221" s="4">
        <f t="array" ref="M221">IF(ROWS(M$20:M221)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221))))</f>
        <v>19</v>
      </c>
    </row>
    <row r="222" spans="1:13" x14ac:dyDescent="0.25">
      <c r="A222" s="3">
        <v>41665</v>
      </c>
      <c r="B222" s="2" t="s">
        <v>27</v>
      </c>
      <c r="C222" s="2">
        <v>10</v>
      </c>
      <c r="G222" s="7">
        <f t="array" ref="G222">IF(ROWS(K$20:K222)&gt;$F$6,"",INDEX(A$2:A$10000,SMALL(IF(ISNUMBER(MATCH($B$2:$B$10000,$E$6:$E$22,0)),ROW($C$2:$C$10000)-ROW($C$2)+1),ROWS(K$20:K222))))</f>
        <v>41614</v>
      </c>
      <c r="H222" s="4" t="str">
        <f t="array" ref="H222">IF(ROWS(L$20:L222)&gt;$F$6,"",INDEX(B$2:B$10000,SMALL(IF(ISNUMBER(MATCH($B$2:$B$10000,$E$6:$E$22,0)),ROW($C$2:$C$10000)-ROW($C$2)+1),ROWS(L$20:L222))))</f>
        <v>Galen  Barth</v>
      </c>
      <c r="I222" s="4">
        <f t="array" ref="I222">IF(ROWS(M$20:M222)&gt;$F$6,"",INDEX(C$2:C$10000,SMALL(IF(ISNUMBER(MATCH($B$2:$B$10000,$E$6:$E$22,0)),ROW($C$2:$C$10000)-ROW($C$2)+1),ROWS(M$20:M222))))</f>
        <v>6</v>
      </c>
      <c r="K222" s="7">
        <f t="array" ref="K222">IF(ROWS(K$20:K222)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222))))</f>
        <v>41614</v>
      </c>
      <c r="L222" s="4" t="str">
        <f t="array" ref="L222">IF(ROWS(L$20:L222)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222))))</f>
        <v>Galen  Barth</v>
      </c>
      <c r="M222" s="4">
        <f t="array" ref="M222">IF(ROWS(M$20:M222)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222))))</f>
        <v>6</v>
      </c>
    </row>
    <row r="223" spans="1:13" x14ac:dyDescent="0.25">
      <c r="A223" s="3">
        <v>41836</v>
      </c>
      <c r="B223" s="2" t="s">
        <v>15</v>
      </c>
      <c r="C223" s="2">
        <v>19</v>
      </c>
      <c r="G223" s="7">
        <f t="array" ref="G223">IF(ROWS(K$20:K223)&gt;$F$6,"",INDEX(A$2:A$10000,SMALL(IF(ISNUMBER(MATCH($B$2:$B$10000,$E$6:$E$22,0)),ROW($C$2:$C$10000)-ROW($C$2)+1),ROWS(K$20:K223))))</f>
        <v>41399</v>
      </c>
      <c r="H223" s="4" t="str">
        <f t="array" ref="H223">IF(ROWS(L$20:L223)&gt;$F$6,"",INDEX(B$2:B$10000,SMALL(IF(ISNUMBER(MATCH($B$2:$B$10000,$E$6:$E$22,0)),ROW($C$2:$C$10000)-ROW($C$2)+1),ROWS(L$20:L223))))</f>
        <v>Rosamond  Allard</v>
      </c>
      <c r="I223" s="4">
        <f t="array" ref="I223">IF(ROWS(M$20:M223)&gt;$F$6,"",INDEX(C$2:C$10000,SMALL(IF(ISNUMBER(MATCH($B$2:$B$10000,$E$6:$E$22,0)),ROW($C$2:$C$10000)-ROW($C$2)+1),ROWS(M$20:M223))))</f>
        <v>33</v>
      </c>
      <c r="K223" s="7">
        <f t="array" ref="K223">IF(ROWS(K$20:K223)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223))))</f>
        <v>41399</v>
      </c>
      <c r="L223" s="4" t="str">
        <f t="array" ref="L223">IF(ROWS(L$20:L223)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223))))</f>
        <v>Rosamond  Allard</v>
      </c>
      <c r="M223" s="4">
        <f t="array" ref="M223">IF(ROWS(M$20:M223)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223))))</f>
        <v>33</v>
      </c>
    </row>
    <row r="224" spans="1:13" x14ac:dyDescent="0.25">
      <c r="A224" s="3">
        <v>41650</v>
      </c>
      <c r="B224" s="2" t="s">
        <v>30</v>
      </c>
      <c r="C224" s="2">
        <v>16</v>
      </c>
      <c r="G224" s="7">
        <f t="array" ref="G224">IF(ROWS(K$20:K224)&gt;$F$6,"",INDEX(A$2:A$10000,SMALL(IF(ISNUMBER(MATCH($B$2:$B$10000,$E$6:$E$22,0)),ROW($C$2:$C$10000)-ROW($C$2)+1),ROWS(K$20:K224))))</f>
        <v>41743</v>
      </c>
      <c r="H224" s="4" t="str">
        <f t="array" ref="H224">IF(ROWS(L$20:L224)&gt;$F$6,"",INDEX(B$2:B$10000,SMALL(IF(ISNUMBER(MATCH($B$2:$B$10000,$E$6:$E$22,0)),ROW($C$2:$C$10000)-ROW($C$2)+1),ROWS(L$20:L224))))</f>
        <v>Iliana  Valerio</v>
      </c>
      <c r="I224" s="4">
        <f t="array" ref="I224">IF(ROWS(M$20:M224)&gt;$F$6,"",INDEX(C$2:C$10000,SMALL(IF(ISNUMBER(MATCH($B$2:$B$10000,$E$6:$E$22,0)),ROW($C$2:$C$10000)-ROW($C$2)+1),ROWS(M$20:M224))))</f>
        <v>28</v>
      </c>
      <c r="K224" s="7">
        <f t="array" ref="K224">IF(ROWS(K$20:K224)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224))))</f>
        <v>41743</v>
      </c>
      <c r="L224" s="4" t="str">
        <f t="array" ref="L224">IF(ROWS(L$20:L224)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224))))</f>
        <v>Iliana  Valerio</v>
      </c>
      <c r="M224" s="4">
        <f t="array" ref="M224">IF(ROWS(M$20:M224)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224))))</f>
        <v>28</v>
      </c>
    </row>
    <row r="225" spans="1:13" x14ac:dyDescent="0.25">
      <c r="A225" s="3">
        <v>41824</v>
      </c>
      <c r="B225" s="2" t="s">
        <v>12</v>
      </c>
      <c r="C225" s="2">
        <v>17</v>
      </c>
      <c r="G225" s="7">
        <f t="array" ref="G225">IF(ROWS(K$20:K225)&gt;$F$6,"",INDEX(A$2:A$10000,SMALL(IF(ISNUMBER(MATCH($B$2:$B$10000,$E$6:$E$22,0)),ROW($C$2:$C$10000)-ROW($C$2)+1),ROWS(K$20:K225))))</f>
        <v>41425</v>
      </c>
      <c r="H225" s="4" t="str">
        <f t="array" ref="H225">IF(ROWS(L$20:L225)&gt;$F$6,"",INDEX(B$2:B$10000,SMALL(IF(ISNUMBER(MATCH($B$2:$B$10000,$E$6:$E$22,0)),ROW($C$2:$C$10000)-ROW($C$2)+1),ROWS(L$20:L225))))</f>
        <v>Iliana  Valerio</v>
      </c>
      <c r="I225" s="4">
        <f t="array" ref="I225">IF(ROWS(M$20:M225)&gt;$F$6,"",INDEX(C$2:C$10000,SMALL(IF(ISNUMBER(MATCH($B$2:$B$10000,$E$6:$E$22,0)),ROW($C$2:$C$10000)-ROW($C$2)+1),ROWS(M$20:M225))))</f>
        <v>21</v>
      </c>
      <c r="K225" s="7">
        <f t="array" ref="K225">IF(ROWS(K$20:K225)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225))))</f>
        <v>41425</v>
      </c>
      <c r="L225" s="4" t="str">
        <f t="array" ref="L225">IF(ROWS(L$20:L225)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225))))</f>
        <v>Iliana  Valerio</v>
      </c>
      <c r="M225" s="4">
        <f t="array" ref="M225">IF(ROWS(M$20:M225)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225))))</f>
        <v>21</v>
      </c>
    </row>
    <row r="226" spans="1:13" x14ac:dyDescent="0.25">
      <c r="A226" s="3">
        <v>41666</v>
      </c>
      <c r="B226" s="2" t="s">
        <v>18</v>
      </c>
      <c r="C226" s="2">
        <v>4</v>
      </c>
      <c r="G226" s="7">
        <f t="array" ref="G226">IF(ROWS(K$20:K226)&gt;$F$6,"",INDEX(A$2:A$10000,SMALL(IF(ISNUMBER(MATCH($B$2:$B$10000,$E$6:$E$22,0)),ROW($C$2:$C$10000)-ROW($C$2)+1),ROWS(K$20:K226))))</f>
        <v>41671</v>
      </c>
      <c r="H226" s="4" t="str">
        <f t="array" ref="H226">IF(ROWS(L$20:L226)&gt;$F$6,"",INDEX(B$2:B$10000,SMALL(IF(ISNUMBER(MATCH($B$2:$B$10000,$E$6:$E$22,0)),ROW($C$2:$C$10000)-ROW($C$2)+1),ROWS(L$20:L226))))</f>
        <v>Jenni  Thorton</v>
      </c>
      <c r="I226" s="4">
        <f t="array" ref="I226">IF(ROWS(M$20:M226)&gt;$F$6,"",INDEX(C$2:C$10000,SMALL(IF(ISNUMBER(MATCH($B$2:$B$10000,$E$6:$E$22,0)),ROW($C$2:$C$10000)-ROW($C$2)+1),ROWS(M$20:M226))))</f>
        <v>10</v>
      </c>
      <c r="K226" s="7">
        <f t="array" ref="K226">IF(ROWS(K$20:K226)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226))))</f>
        <v>41671</v>
      </c>
      <c r="L226" s="4" t="str">
        <f t="array" ref="L226">IF(ROWS(L$20:L226)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226))))</f>
        <v>Jenni  Thorton</v>
      </c>
      <c r="M226" s="4">
        <f t="array" ref="M226">IF(ROWS(M$20:M226)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226))))</f>
        <v>10</v>
      </c>
    </row>
    <row r="227" spans="1:13" x14ac:dyDescent="0.25">
      <c r="A227" s="3">
        <v>41354</v>
      </c>
      <c r="B227" s="2" t="s">
        <v>15</v>
      </c>
      <c r="C227" s="2">
        <v>12</v>
      </c>
      <c r="G227" s="7">
        <f t="array" ref="G227">IF(ROWS(K$20:K227)&gt;$F$6,"",INDEX(A$2:A$10000,SMALL(IF(ISNUMBER(MATCH($B$2:$B$10000,$E$6:$E$22,0)),ROW($C$2:$C$10000)-ROW($C$2)+1),ROWS(K$20:K227))))</f>
        <v>41343</v>
      </c>
      <c r="H227" s="4" t="str">
        <f t="array" ref="H227">IF(ROWS(L$20:L227)&gt;$F$6,"",INDEX(B$2:B$10000,SMALL(IF(ISNUMBER(MATCH($B$2:$B$10000,$E$6:$E$22,0)),ROW($C$2:$C$10000)-ROW($C$2)+1),ROWS(L$20:L227))))</f>
        <v>Galen  Barth</v>
      </c>
      <c r="I227" s="4">
        <f t="array" ref="I227">IF(ROWS(M$20:M227)&gt;$F$6,"",INDEX(C$2:C$10000,SMALL(IF(ISNUMBER(MATCH($B$2:$B$10000,$E$6:$E$22,0)),ROW($C$2:$C$10000)-ROW($C$2)+1),ROWS(M$20:M227))))</f>
        <v>33</v>
      </c>
      <c r="K227" s="7">
        <f t="array" ref="K227">IF(ROWS(K$20:K227)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227))))</f>
        <v>41343</v>
      </c>
      <c r="L227" s="4" t="str">
        <f t="array" ref="L227">IF(ROWS(L$20:L227)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227))))</f>
        <v>Galen  Barth</v>
      </c>
      <c r="M227" s="4">
        <f t="array" ref="M227">IF(ROWS(M$20:M227)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227))))</f>
        <v>33</v>
      </c>
    </row>
    <row r="228" spans="1:13" x14ac:dyDescent="0.25">
      <c r="A228" s="3">
        <v>41403</v>
      </c>
      <c r="B228" s="2" t="s">
        <v>43</v>
      </c>
      <c r="C228" s="2">
        <v>36</v>
      </c>
      <c r="G228" s="7">
        <f t="array" ref="G228">IF(ROWS(K$20:K228)&gt;$F$6,"",INDEX(A$2:A$10000,SMALL(IF(ISNUMBER(MATCH($B$2:$B$10000,$E$6:$E$22,0)),ROW($C$2:$C$10000)-ROW($C$2)+1),ROWS(K$20:K228))))</f>
        <v>41504</v>
      </c>
      <c r="H228" s="4" t="str">
        <f t="array" ref="H228">IF(ROWS(L$20:L228)&gt;$F$6,"",INDEX(B$2:B$10000,SMALL(IF(ISNUMBER(MATCH($B$2:$B$10000,$E$6:$E$22,0)),ROW($C$2:$C$10000)-ROW($C$2)+1),ROWS(L$20:L228))))</f>
        <v>Jenni  Thorton</v>
      </c>
      <c r="I228" s="4">
        <f t="array" ref="I228">IF(ROWS(M$20:M228)&gt;$F$6,"",INDEX(C$2:C$10000,SMALL(IF(ISNUMBER(MATCH($B$2:$B$10000,$E$6:$E$22,0)),ROW($C$2:$C$10000)-ROW($C$2)+1),ROWS(M$20:M228))))</f>
        <v>32</v>
      </c>
      <c r="K228" s="7">
        <f t="array" ref="K228">IF(ROWS(K$20:K228)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228))))</f>
        <v>41504</v>
      </c>
      <c r="L228" s="4" t="str">
        <f t="array" ref="L228">IF(ROWS(L$20:L228)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228))))</f>
        <v>Jenni  Thorton</v>
      </c>
      <c r="M228" s="4">
        <f t="array" ref="M228">IF(ROWS(M$20:M228)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228))))</f>
        <v>32</v>
      </c>
    </row>
    <row r="229" spans="1:13" x14ac:dyDescent="0.25">
      <c r="A229" s="3">
        <v>41889</v>
      </c>
      <c r="B229" s="2" t="s">
        <v>43</v>
      </c>
      <c r="C229" s="2">
        <v>9</v>
      </c>
      <c r="G229" s="7">
        <f t="array" ref="G229">IF(ROWS(K$20:K229)&gt;$F$6,"",INDEX(A$2:A$10000,SMALL(IF(ISNUMBER(MATCH($B$2:$B$10000,$E$6:$E$22,0)),ROW($C$2:$C$10000)-ROW($C$2)+1),ROWS(K$20:K229))))</f>
        <v>41328</v>
      </c>
      <c r="H229" s="4" t="str">
        <f t="array" ref="H229">IF(ROWS(L$20:L229)&gt;$F$6,"",INDEX(B$2:B$10000,SMALL(IF(ISNUMBER(MATCH($B$2:$B$10000,$E$6:$E$22,0)),ROW($C$2:$C$10000)-ROW($C$2)+1),ROWS(L$20:L229))))</f>
        <v>Mickey  Bolduc</v>
      </c>
      <c r="I229" s="4">
        <f t="array" ref="I229">IF(ROWS(M$20:M229)&gt;$F$6,"",INDEX(C$2:C$10000,SMALL(IF(ISNUMBER(MATCH($B$2:$B$10000,$E$6:$E$22,0)),ROW($C$2:$C$10000)-ROW($C$2)+1),ROWS(M$20:M229))))</f>
        <v>13</v>
      </c>
      <c r="K229" s="7">
        <f t="array" ref="K229">IF(ROWS(K$20:K229)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229))))</f>
        <v>41328</v>
      </c>
      <c r="L229" s="4" t="str">
        <f t="array" ref="L229">IF(ROWS(L$20:L229)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229))))</f>
        <v>Mickey  Bolduc</v>
      </c>
      <c r="M229" s="4">
        <f t="array" ref="M229">IF(ROWS(M$20:M229)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229))))</f>
        <v>13</v>
      </c>
    </row>
    <row r="230" spans="1:13" x14ac:dyDescent="0.25">
      <c r="A230" s="3">
        <v>41825</v>
      </c>
      <c r="B230" s="2" t="s">
        <v>12</v>
      </c>
      <c r="C230" s="2">
        <v>12</v>
      </c>
      <c r="G230" s="7">
        <f t="array" ref="G230">IF(ROWS(K$20:K230)&gt;$F$6,"",INDEX(A$2:A$10000,SMALL(IF(ISNUMBER(MATCH($B$2:$B$10000,$E$6:$E$22,0)),ROW($C$2:$C$10000)-ROW($C$2)+1),ROWS(K$20:K230))))</f>
        <v>41995</v>
      </c>
      <c r="H230" s="4" t="str">
        <f t="array" ref="H230">IF(ROWS(L$20:L230)&gt;$F$6,"",INDEX(B$2:B$10000,SMALL(IF(ISNUMBER(MATCH($B$2:$B$10000,$E$6:$E$22,0)),ROW($C$2:$C$10000)-ROW($C$2)+1),ROWS(L$20:L230))))</f>
        <v>Iliana  Valerio</v>
      </c>
      <c r="I230" s="4">
        <f t="array" ref="I230">IF(ROWS(M$20:M230)&gt;$F$6,"",INDEX(C$2:C$10000,SMALL(IF(ISNUMBER(MATCH($B$2:$B$10000,$E$6:$E$22,0)),ROW($C$2:$C$10000)-ROW($C$2)+1),ROWS(M$20:M230))))</f>
        <v>31</v>
      </c>
      <c r="K230" s="7">
        <f t="array" ref="K230">IF(ROWS(K$20:K230)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230))))</f>
        <v>41995</v>
      </c>
      <c r="L230" s="4" t="str">
        <f t="array" ref="L230">IF(ROWS(L$20:L230)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230))))</f>
        <v>Iliana  Valerio</v>
      </c>
      <c r="M230" s="4">
        <f t="array" ref="M230">IF(ROWS(M$20:M230)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230))))</f>
        <v>31</v>
      </c>
    </row>
    <row r="231" spans="1:13" x14ac:dyDescent="0.25">
      <c r="A231" s="3">
        <v>41792</v>
      </c>
      <c r="B231" s="2" t="s">
        <v>41</v>
      </c>
      <c r="C231" s="2">
        <v>9</v>
      </c>
      <c r="G231" s="7">
        <f t="array" ref="G231">IF(ROWS(K$20:K231)&gt;$F$6,"",INDEX(A$2:A$10000,SMALL(IF(ISNUMBER(MATCH($B$2:$B$10000,$E$6:$E$22,0)),ROW($C$2:$C$10000)-ROW($C$2)+1),ROWS(K$20:K231))))</f>
        <v>41428</v>
      </c>
      <c r="H231" s="4" t="str">
        <f t="array" ref="H231">IF(ROWS(L$20:L231)&gt;$F$6,"",INDEX(B$2:B$10000,SMALL(IF(ISNUMBER(MATCH($B$2:$B$10000,$E$6:$E$22,0)),ROW($C$2:$C$10000)-ROW($C$2)+1),ROWS(L$20:L231))))</f>
        <v>Rosamond  Allard</v>
      </c>
      <c r="I231" s="4">
        <f t="array" ref="I231">IF(ROWS(M$20:M231)&gt;$F$6,"",INDEX(C$2:C$10000,SMALL(IF(ISNUMBER(MATCH($B$2:$B$10000,$E$6:$E$22,0)),ROW($C$2:$C$10000)-ROW($C$2)+1),ROWS(M$20:M231))))</f>
        <v>47</v>
      </c>
      <c r="K231" s="7">
        <f t="array" ref="K231">IF(ROWS(K$20:K231)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231))))</f>
        <v>41428</v>
      </c>
      <c r="L231" s="4" t="str">
        <f t="array" ref="L231">IF(ROWS(L$20:L231)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231))))</f>
        <v>Rosamond  Allard</v>
      </c>
      <c r="M231" s="4">
        <f t="array" ref="M231">IF(ROWS(M$20:M231)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231))))</f>
        <v>47</v>
      </c>
    </row>
    <row r="232" spans="1:13" x14ac:dyDescent="0.25">
      <c r="A232" s="3">
        <v>41658</v>
      </c>
      <c r="B232" s="2" t="s">
        <v>9</v>
      </c>
      <c r="C232" s="2">
        <v>25</v>
      </c>
      <c r="G232" s="7">
        <f t="array" ref="G232">IF(ROWS(K$20:K232)&gt;$F$6,"",INDEX(A$2:A$10000,SMALL(IF(ISNUMBER(MATCH($B$2:$B$10000,$E$6:$E$22,0)),ROW($C$2:$C$10000)-ROW($C$2)+1),ROWS(K$20:K232))))</f>
        <v>41998</v>
      </c>
      <c r="H232" s="4" t="str">
        <f t="array" ref="H232">IF(ROWS(L$20:L232)&gt;$F$6,"",INDEX(B$2:B$10000,SMALL(IF(ISNUMBER(MATCH($B$2:$B$10000,$E$6:$E$22,0)),ROW($C$2:$C$10000)-ROW($C$2)+1),ROWS(L$20:L232))))</f>
        <v>Jenni  Thorton</v>
      </c>
      <c r="I232" s="4">
        <f t="array" ref="I232">IF(ROWS(M$20:M232)&gt;$F$6,"",INDEX(C$2:C$10000,SMALL(IF(ISNUMBER(MATCH($B$2:$B$10000,$E$6:$E$22,0)),ROW($C$2:$C$10000)-ROW($C$2)+1),ROWS(M$20:M232))))</f>
        <v>39</v>
      </c>
      <c r="K232" s="7">
        <f t="array" ref="K232">IF(ROWS(K$20:K232)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232))))</f>
        <v>41998</v>
      </c>
      <c r="L232" s="4" t="str">
        <f t="array" ref="L232">IF(ROWS(L$20:L232)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232))))</f>
        <v>Jenni  Thorton</v>
      </c>
      <c r="M232" s="4">
        <f t="array" ref="M232">IF(ROWS(M$20:M232)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232))))</f>
        <v>39</v>
      </c>
    </row>
    <row r="233" spans="1:13" x14ac:dyDescent="0.25">
      <c r="A233" s="3">
        <v>41429</v>
      </c>
      <c r="B233" s="2" t="s">
        <v>12</v>
      </c>
      <c r="C233" s="2">
        <v>4</v>
      </c>
      <c r="G233" s="7">
        <f t="array" ref="G233">IF(ROWS(K$20:K233)&gt;$F$6,"",INDEX(A$2:A$10000,SMALL(IF(ISNUMBER(MATCH($B$2:$B$10000,$E$6:$E$22,0)),ROW($C$2:$C$10000)-ROW($C$2)+1),ROWS(K$20:K233))))</f>
        <v>41684</v>
      </c>
      <c r="H233" s="4" t="str">
        <f t="array" ref="H233">IF(ROWS(L$20:L233)&gt;$F$6,"",INDEX(B$2:B$10000,SMALL(IF(ISNUMBER(MATCH($B$2:$B$10000,$E$6:$E$22,0)),ROW($C$2:$C$10000)-ROW($C$2)+1),ROWS(L$20:L233))))</f>
        <v>Iliana  Valerio</v>
      </c>
      <c r="I233" s="4">
        <f t="array" ref="I233">IF(ROWS(M$20:M233)&gt;$F$6,"",INDEX(C$2:C$10000,SMALL(IF(ISNUMBER(MATCH($B$2:$B$10000,$E$6:$E$22,0)),ROW($C$2:$C$10000)-ROW($C$2)+1),ROWS(M$20:M233))))</f>
        <v>47</v>
      </c>
      <c r="K233" s="7">
        <f t="array" ref="K233">IF(ROWS(K$20:K233)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233))))</f>
        <v>41684</v>
      </c>
      <c r="L233" s="4" t="str">
        <f t="array" ref="L233">IF(ROWS(L$20:L233)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233))))</f>
        <v>Iliana  Valerio</v>
      </c>
      <c r="M233" s="4">
        <f t="array" ref="M233">IF(ROWS(M$20:M233)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233))))</f>
        <v>47</v>
      </c>
    </row>
    <row r="234" spans="1:13" x14ac:dyDescent="0.25">
      <c r="A234" s="3">
        <v>41563</v>
      </c>
      <c r="B234" s="2" t="s">
        <v>22</v>
      </c>
      <c r="C234" s="2">
        <v>38</v>
      </c>
      <c r="G234" s="7">
        <f t="array" ref="G234">IF(ROWS(K$20:K234)&gt;$F$6,"",INDEX(A$2:A$10000,SMALL(IF(ISNUMBER(MATCH($B$2:$B$10000,$E$6:$E$22,0)),ROW($C$2:$C$10000)-ROW($C$2)+1),ROWS(K$20:K234))))</f>
        <v>41339</v>
      </c>
      <c r="H234" s="4" t="str">
        <f t="array" ref="H234">IF(ROWS(L$20:L234)&gt;$F$6,"",INDEX(B$2:B$10000,SMALL(IF(ISNUMBER(MATCH($B$2:$B$10000,$E$6:$E$22,0)),ROW($C$2:$C$10000)-ROW($C$2)+1),ROWS(L$20:L234))))</f>
        <v>Jenni  Thorton</v>
      </c>
      <c r="I234" s="4">
        <f t="array" ref="I234">IF(ROWS(M$20:M234)&gt;$F$6,"",INDEX(C$2:C$10000,SMALL(IF(ISNUMBER(MATCH($B$2:$B$10000,$E$6:$E$22,0)),ROW($C$2:$C$10000)-ROW($C$2)+1),ROWS(M$20:M234))))</f>
        <v>14</v>
      </c>
      <c r="K234" s="7">
        <f t="array" ref="K234">IF(ROWS(K$20:K234)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234))))</f>
        <v>41339</v>
      </c>
      <c r="L234" s="4" t="str">
        <f t="array" ref="L234">IF(ROWS(L$20:L234)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234))))</f>
        <v>Jenni  Thorton</v>
      </c>
      <c r="M234" s="4">
        <f t="array" ref="M234">IF(ROWS(M$20:M234)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234))))</f>
        <v>14</v>
      </c>
    </row>
    <row r="235" spans="1:13" x14ac:dyDescent="0.25">
      <c r="A235" s="3">
        <v>41436</v>
      </c>
      <c r="B235" s="2" t="s">
        <v>47</v>
      </c>
      <c r="C235" s="2">
        <v>24</v>
      </c>
      <c r="G235" s="7">
        <f t="array" ref="G235">IF(ROWS(K$20:K235)&gt;$F$6,"",INDEX(A$2:A$10000,SMALL(IF(ISNUMBER(MATCH($B$2:$B$10000,$E$6:$E$22,0)),ROW($C$2:$C$10000)-ROW($C$2)+1),ROWS(K$20:K235))))</f>
        <v>41493</v>
      </c>
      <c r="H235" s="4" t="str">
        <f t="array" ref="H235">IF(ROWS(L$20:L235)&gt;$F$6,"",INDEX(B$2:B$10000,SMALL(IF(ISNUMBER(MATCH($B$2:$B$10000,$E$6:$E$22,0)),ROW($C$2:$C$10000)-ROW($C$2)+1),ROWS(L$20:L235))))</f>
        <v>Jenni  Thorton</v>
      </c>
      <c r="I235" s="4">
        <f t="array" ref="I235">IF(ROWS(M$20:M235)&gt;$F$6,"",INDEX(C$2:C$10000,SMALL(IF(ISNUMBER(MATCH($B$2:$B$10000,$E$6:$E$22,0)),ROW($C$2:$C$10000)-ROW($C$2)+1),ROWS(M$20:M235))))</f>
        <v>11</v>
      </c>
      <c r="K235" s="7">
        <f t="array" ref="K235">IF(ROWS(K$20:K235)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235))))</f>
        <v>41493</v>
      </c>
      <c r="L235" s="4" t="str">
        <f t="array" ref="L235">IF(ROWS(L$20:L235)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235))))</f>
        <v>Jenni  Thorton</v>
      </c>
      <c r="M235" s="4">
        <f t="array" ref="M235">IF(ROWS(M$20:M235)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235))))</f>
        <v>11</v>
      </c>
    </row>
    <row r="236" spans="1:13" x14ac:dyDescent="0.25">
      <c r="A236" s="3">
        <v>41616</v>
      </c>
      <c r="B236" s="2" t="s">
        <v>42</v>
      </c>
      <c r="C236" s="2">
        <v>50</v>
      </c>
      <c r="G236" s="7">
        <f t="array" ref="G236">IF(ROWS(K$20:K236)&gt;$F$6,"",INDEX(A$2:A$10000,SMALL(IF(ISNUMBER(MATCH($B$2:$B$10000,$E$6:$E$22,0)),ROW($C$2:$C$10000)-ROW($C$2)+1),ROWS(K$20:K236))))</f>
        <v>41794</v>
      </c>
      <c r="H236" s="4" t="str">
        <f t="array" ref="H236">IF(ROWS(L$20:L236)&gt;$F$6,"",INDEX(B$2:B$10000,SMALL(IF(ISNUMBER(MATCH($B$2:$B$10000,$E$6:$E$22,0)),ROW($C$2:$C$10000)-ROW($C$2)+1),ROWS(L$20:L236))))</f>
        <v>Mickey  Bolduc</v>
      </c>
      <c r="I236" s="4">
        <f t="array" ref="I236">IF(ROWS(M$20:M236)&gt;$F$6,"",INDEX(C$2:C$10000,SMALL(IF(ISNUMBER(MATCH($B$2:$B$10000,$E$6:$E$22,0)),ROW($C$2:$C$10000)-ROW($C$2)+1),ROWS(M$20:M236))))</f>
        <v>21</v>
      </c>
      <c r="K236" s="7">
        <f t="array" ref="K236">IF(ROWS(K$20:K236)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236))))</f>
        <v>41794</v>
      </c>
      <c r="L236" s="4" t="str">
        <f t="array" ref="L236">IF(ROWS(L$20:L236)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236))))</f>
        <v>Mickey  Bolduc</v>
      </c>
      <c r="M236" s="4">
        <f t="array" ref="M236">IF(ROWS(M$20:M236)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236))))</f>
        <v>21</v>
      </c>
    </row>
    <row r="237" spans="1:13" x14ac:dyDescent="0.25">
      <c r="A237" s="3">
        <v>41599</v>
      </c>
      <c r="B237" s="2" t="s">
        <v>44</v>
      </c>
      <c r="C237" s="2">
        <v>24</v>
      </c>
      <c r="G237" s="7">
        <f t="array" ref="G237">IF(ROWS(K$20:K237)&gt;$F$6,"",INDEX(A$2:A$10000,SMALL(IF(ISNUMBER(MATCH($B$2:$B$10000,$E$6:$E$22,0)),ROW($C$2:$C$10000)-ROW($C$2)+1),ROWS(K$20:K237))))</f>
        <v>41323</v>
      </c>
      <c r="H237" s="4" t="str">
        <f t="array" ref="H237">IF(ROWS(L$20:L237)&gt;$F$6,"",INDEX(B$2:B$10000,SMALL(IF(ISNUMBER(MATCH($B$2:$B$10000,$E$6:$E$22,0)),ROW($C$2:$C$10000)-ROW($C$2)+1),ROWS(L$20:L237))))</f>
        <v>Iliana  Valerio</v>
      </c>
      <c r="I237" s="4">
        <f t="array" ref="I237">IF(ROWS(M$20:M237)&gt;$F$6,"",INDEX(C$2:C$10000,SMALL(IF(ISNUMBER(MATCH($B$2:$B$10000,$E$6:$E$22,0)),ROW($C$2:$C$10000)-ROW($C$2)+1),ROWS(M$20:M237))))</f>
        <v>29</v>
      </c>
      <c r="K237" s="7">
        <f t="array" ref="K237">IF(ROWS(K$20:K237)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237))))</f>
        <v>41323</v>
      </c>
      <c r="L237" s="4" t="str">
        <f t="array" ref="L237">IF(ROWS(L$20:L237)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237))))</f>
        <v>Iliana  Valerio</v>
      </c>
      <c r="M237" s="4">
        <f t="array" ref="M237">IF(ROWS(M$20:M237)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237))))</f>
        <v>29</v>
      </c>
    </row>
    <row r="238" spans="1:13" x14ac:dyDescent="0.25">
      <c r="A238" s="3">
        <v>41682</v>
      </c>
      <c r="B238" s="2" t="s">
        <v>33</v>
      </c>
      <c r="C238" s="2">
        <v>25</v>
      </c>
      <c r="G238" s="7">
        <f t="array" ref="G238">IF(ROWS(K$20:K238)&gt;$F$6,"",INDEX(A$2:A$10000,SMALL(IF(ISNUMBER(MATCH($B$2:$B$10000,$E$6:$E$22,0)),ROW($C$2:$C$10000)-ROW($C$2)+1),ROWS(K$20:K238))))</f>
        <v>41376</v>
      </c>
      <c r="H238" s="4" t="str">
        <f t="array" ref="H238">IF(ROWS(L$20:L238)&gt;$F$6,"",INDEX(B$2:B$10000,SMALL(IF(ISNUMBER(MATCH($B$2:$B$10000,$E$6:$E$22,0)),ROW($C$2:$C$10000)-ROW($C$2)+1),ROWS(L$20:L238))))</f>
        <v>Kerrie  Worrell</v>
      </c>
      <c r="I238" s="4">
        <f t="array" ref="I238">IF(ROWS(M$20:M238)&gt;$F$6,"",INDEX(C$2:C$10000,SMALL(IF(ISNUMBER(MATCH($B$2:$B$10000,$E$6:$E$22,0)),ROW($C$2:$C$10000)-ROW($C$2)+1),ROWS(M$20:M238))))</f>
        <v>23</v>
      </c>
      <c r="K238" s="7">
        <f t="array" ref="K238">IF(ROWS(K$20:K238)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238))))</f>
        <v>41376</v>
      </c>
      <c r="L238" s="4" t="str">
        <f t="array" ref="L238">IF(ROWS(L$20:L238)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238))))</f>
        <v>Kerrie  Worrell</v>
      </c>
      <c r="M238" s="4">
        <f t="array" ref="M238">IF(ROWS(M$20:M238)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238))))</f>
        <v>23</v>
      </c>
    </row>
    <row r="239" spans="1:13" x14ac:dyDescent="0.25">
      <c r="A239" s="3">
        <v>41486</v>
      </c>
      <c r="B239" s="2" t="s">
        <v>44</v>
      </c>
      <c r="C239" s="2">
        <v>11</v>
      </c>
      <c r="G239" s="7">
        <f t="array" ref="G239">IF(ROWS(K$20:K239)&gt;$F$6,"",INDEX(A$2:A$10000,SMALL(IF(ISNUMBER(MATCH($B$2:$B$10000,$E$6:$E$22,0)),ROW($C$2:$C$10000)-ROW($C$2)+1),ROWS(K$20:K239))))</f>
        <v>41705</v>
      </c>
      <c r="H239" s="4" t="str">
        <f t="array" ref="H239">IF(ROWS(L$20:L239)&gt;$F$6,"",INDEX(B$2:B$10000,SMALL(IF(ISNUMBER(MATCH($B$2:$B$10000,$E$6:$E$22,0)),ROW($C$2:$C$10000)-ROW($C$2)+1),ROWS(L$20:L239))))</f>
        <v>Mickey  Bolduc</v>
      </c>
      <c r="I239" s="4">
        <f t="array" ref="I239">IF(ROWS(M$20:M239)&gt;$F$6,"",INDEX(C$2:C$10000,SMALL(IF(ISNUMBER(MATCH($B$2:$B$10000,$E$6:$E$22,0)),ROW($C$2:$C$10000)-ROW($C$2)+1),ROWS(M$20:M239))))</f>
        <v>27</v>
      </c>
      <c r="K239" s="7">
        <f t="array" ref="K239">IF(ROWS(K$20:K239)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239))))</f>
        <v>41705</v>
      </c>
      <c r="L239" s="4" t="str">
        <f t="array" ref="L239">IF(ROWS(L$20:L239)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239))))</f>
        <v>Mickey  Bolduc</v>
      </c>
      <c r="M239" s="4">
        <f t="array" ref="M239">IF(ROWS(M$20:M239)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239))))</f>
        <v>27</v>
      </c>
    </row>
    <row r="240" spans="1:13" x14ac:dyDescent="0.25">
      <c r="A240" s="3">
        <v>41490</v>
      </c>
      <c r="B240" s="2" t="s">
        <v>29</v>
      </c>
      <c r="C240" s="2">
        <v>41</v>
      </c>
      <c r="G240" s="7">
        <f t="array" ref="G240">IF(ROWS(K$20:K240)&gt;$F$6,"",INDEX(A$2:A$10000,SMALL(IF(ISNUMBER(MATCH($B$2:$B$10000,$E$6:$E$22,0)),ROW($C$2:$C$10000)-ROW($C$2)+1),ROWS(K$20:K240))))</f>
        <v>41390</v>
      </c>
      <c r="H240" s="4" t="str">
        <f t="array" ref="H240">IF(ROWS(L$20:L240)&gt;$F$6,"",INDEX(B$2:B$10000,SMALL(IF(ISNUMBER(MATCH($B$2:$B$10000,$E$6:$E$22,0)),ROW($C$2:$C$10000)-ROW($C$2)+1),ROWS(L$20:L240))))</f>
        <v>Rosamond  Allard</v>
      </c>
      <c r="I240" s="4">
        <f t="array" ref="I240">IF(ROWS(M$20:M240)&gt;$F$6,"",INDEX(C$2:C$10000,SMALL(IF(ISNUMBER(MATCH($B$2:$B$10000,$E$6:$E$22,0)),ROW($C$2:$C$10000)-ROW($C$2)+1),ROWS(M$20:M240))))</f>
        <v>30</v>
      </c>
      <c r="K240" s="7">
        <f t="array" ref="K240">IF(ROWS(K$20:K240)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240))))</f>
        <v>41390</v>
      </c>
      <c r="L240" s="4" t="str">
        <f t="array" ref="L240">IF(ROWS(L$20:L240)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240))))</f>
        <v>Rosamond  Allard</v>
      </c>
      <c r="M240" s="4">
        <f t="array" ref="M240">IF(ROWS(M$20:M240)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240))))</f>
        <v>30</v>
      </c>
    </row>
    <row r="241" spans="1:13" x14ac:dyDescent="0.25">
      <c r="A241" s="3">
        <v>41413</v>
      </c>
      <c r="B241" s="2" t="s">
        <v>5</v>
      </c>
      <c r="C241" s="2">
        <v>12</v>
      </c>
      <c r="G241" s="7">
        <f t="array" ref="G241">IF(ROWS(K$20:K241)&gt;$F$6,"",INDEX(A$2:A$10000,SMALL(IF(ISNUMBER(MATCH($B$2:$B$10000,$E$6:$E$22,0)),ROW($C$2:$C$10000)-ROW($C$2)+1),ROWS(K$20:K241))))</f>
        <v>41413</v>
      </c>
      <c r="H241" s="4" t="str">
        <f t="array" ref="H241">IF(ROWS(L$20:L241)&gt;$F$6,"",INDEX(B$2:B$10000,SMALL(IF(ISNUMBER(MATCH($B$2:$B$10000,$E$6:$E$22,0)),ROW($C$2:$C$10000)-ROW($C$2)+1),ROWS(L$20:L241))))</f>
        <v>Rosamond  Allard</v>
      </c>
      <c r="I241" s="4">
        <f t="array" ref="I241">IF(ROWS(M$20:M241)&gt;$F$6,"",INDEX(C$2:C$10000,SMALL(IF(ISNUMBER(MATCH($B$2:$B$10000,$E$6:$E$22,0)),ROW($C$2:$C$10000)-ROW($C$2)+1),ROWS(M$20:M241))))</f>
        <v>6</v>
      </c>
      <c r="K241" s="7">
        <f t="array" ref="K241">IF(ROWS(K$20:K241)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241))))</f>
        <v>41413</v>
      </c>
      <c r="L241" s="4" t="str">
        <f t="array" ref="L241">IF(ROWS(L$20:L241)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241))))</f>
        <v>Rosamond  Allard</v>
      </c>
      <c r="M241" s="4">
        <f t="array" ref="M241">IF(ROWS(M$20:M241)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241))))</f>
        <v>6</v>
      </c>
    </row>
    <row r="242" spans="1:13" x14ac:dyDescent="0.25">
      <c r="A242" s="3">
        <v>41625</v>
      </c>
      <c r="B242" s="2" t="s">
        <v>5</v>
      </c>
      <c r="C242" s="2">
        <v>47</v>
      </c>
      <c r="G242" s="7">
        <f t="array" ref="G242">IF(ROWS(K$20:K242)&gt;$F$6,"",INDEX(A$2:A$10000,SMALL(IF(ISNUMBER(MATCH($B$2:$B$10000,$E$6:$E$22,0)),ROW($C$2:$C$10000)-ROW($C$2)+1),ROWS(K$20:K242))))</f>
        <v>41277</v>
      </c>
      <c r="H242" s="4" t="str">
        <f t="array" ref="H242">IF(ROWS(L$20:L242)&gt;$F$6,"",INDEX(B$2:B$10000,SMALL(IF(ISNUMBER(MATCH($B$2:$B$10000,$E$6:$E$22,0)),ROW($C$2:$C$10000)-ROW($C$2)+1),ROWS(L$20:L242))))</f>
        <v>Kerrie  Worrell</v>
      </c>
      <c r="I242" s="4">
        <f t="array" ref="I242">IF(ROWS(M$20:M242)&gt;$F$6,"",INDEX(C$2:C$10000,SMALL(IF(ISNUMBER(MATCH($B$2:$B$10000,$E$6:$E$22,0)),ROW($C$2:$C$10000)-ROW($C$2)+1),ROWS(M$20:M242))))</f>
        <v>20</v>
      </c>
      <c r="K242" s="7">
        <f t="array" ref="K242">IF(ROWS(K$20:K242)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242))))</f>
        <v>41277</v>
      </c>
      <c r="L242" s="4" t="str">
        <f t="array" ref="L242">IF(ROWS(L$20:L242)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242))))</f>
        <v>Kerrie  Worrell</v>
      </c>
      <c r="M242" s="4">
        <f t="array" ref="M242">IF(ROWS(M$20:M242)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242))))</f>
        <v>20</v>
      </c>
    </row>
    <row r="243" spans="1:13" x14ac:dyDescent="0.25">
      <c r="A243" s="3">
        <v>41748</v>
      </c>
      <c r="B243" s="2" t="s">
        <v>33</v>
      </c>
      <c r="C243" s="2">
        <v>32</v>
      </c>
      <c r="G243" s="7">
        <f t="array" ref="G243">IF(ROWS(K$20:K243)&gt;$F$6,"",INDEX(A$2:A$10000,SMALL(IF(ISNUMBER(MATCH($B$2:$B$10000,$E$6:$E$22,0)),ROW($C$2:$C$10000)-ROW($C$2)+1),ROWS(K$20:K243))))</f>
        <v>41858</v>
      </c>
      <c r="H243" s="4" t="str">
        <f t="array" ref="H243">IF(ROWS(L$20:L243)&gt;$F$6,"",INDEX(B$2:B$10000,SMALL(IF(ISNUMBER(MATCH($B$2:$B$10000,$E$6:$E$22,0)),ROW($C$2:$C$10000)-ROW($C$2)+1),ROWS(L$20:L243))))</f>
        <v>Rosamond  Allard</v>
      </c>
      <c r="I243" s="4">
        <f t="array" ref="I243">IF(ROWS(M$20:M243)&gt;$F$6,"",INDEX(C$2:C$10000,SMALL(IF(ISNUMBER(MATCH($B$2:$B$10000,$E$6:$E$22,0)),ROW($C$2:$C$10000)-ROW($C$2)+1),ROWS(M$20:M243))))</f>
        <v>28</v>
      </c>
      <c r="K243" s="7">
        <f t="array" ref="K243">IF(ROWS(K$20:K243)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243))))</f>
        <v>41858</v>
      </c>
      <c r="L243" s="4" t="str">
        <f t="array" ref="L243">IF(ROWS(L$20:L243)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243))))</f>
        <v>Rosamond  Allard</v>
      </c>
      <c r="M243" s="4">
        <f t="array" ref="M243">IF(ROWS(M$20:M243)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243))))</f>
        <v>28</v>
      </c>
    </row>
    <row r="244" spans="1:13" x14ac:dyDescent="0.25">
      <c r="A244" s="3">
        <v>41655</v>
      </c>
      <c r="B244" s="2" t="s">
        <v>11</v>
      </c>
      <c r="C244" s="2">
        <v>24</v>
      </c>
      <c r="G244" s="7">
        <f t="array" ref="G244">IF(ROWS(K$20:K244)&gt;$F$6,"",INDEX(A$2:A$10000,SMALL(IF(ISNUMBER(MATCH($B$2:$B$10000,$E$6:$E$22,0)),ROW($C$2:$C$10000)-ROW($C$2)+1),ROWS(K$20:K244))))</f>
        <v>41714</v>
      </c>
      <c r="H244" s="4" t="str">
        <f t="array" ref="H244">IF(ROWS(L$20:L244)&gt;$F$6,"",INDEX(B$2:B$10000,SMALL(IF(ISNUMBER(MATCH($B$2:$B$10000,$E$6:$E$22,0)),ROW($C$2:$C$10000)-ROW($C$2)+1),ROWS(L$20:L244))))</f>
        <v>Jenni  Thorton</v>
      </c>
      <c r="I244" s="4">
        <f t="array" ref="I244">IF(ROWS(M$20:M244)&gt;$F$6,"",INDEX(C$2:C$10000,SMALL(IF(ISNUMBER(MATCH($B$2:$B$10000,$E$6:$E$22,0)),ROW($C$2:$C$10000)-ROW($C$2)+1),ROWS(M$20:M244))))</f>
        <v>25</v>
      </c>
      <c r="K244" s="7">
        <f t="array" ref="K244">IF(ROWS(K$20:K244)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244))))</f>
        <v>41714</v>
      </c>
      <c r="L244" s="4" t="str">
        <f t="array" ref="L244">IF(ROWS(L$20:L244)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244))))</f>
        <v>Jenni  Thorton</v>
      </c>
      <c r="M244" s="4">
        <f t="array" ref="M244">IF(ROWS(M$20:M244)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244))))</f>
        <v>25</v>
      </c>
    </row>
    <row r="245" spans="1:13" x14ac:dyDescent="0.25">
      <c r="A245" s="3">
        <v>41949</v>
      </c>
      <c r="B245" s="2" t="s">
        <v>14</v>
      </c>
      <c r="C245" s="2">
        <v>18</v>
      </c>
      <c r="G245" s="7">
        <f t="array" ref="G245">IF(ROWS(K$20:K245)&gt;$F$6,"",INDEX(A$2:A$10000,SMALL(IF(ISNUMBER(MATCH($B$2:$B$10000,$E$6:$E$22,0)),ROW($C$2:$C$10000)-ROW($C$2)+1),ROWS(K$20:K245))))</f>
        <v>41968</v>
      </c>
      <c r="H245" s="4" t="str">
        <f t="array" ref="H245">IF(ROWS(L$20:L245)&gt;$F$6,"",INDEX(B$2:B$10000,SMALL(IF(ISNUMBER(MATCH($B$2:$B$10000,$E$6:$E$22,0)),ROW($C$2:$C$10000)-ROW($C$2)+1),ROWS(L$20:L245))))</f>
        <v>Kerrie  Worrell</v>
      </c>
      <c r="I245" s="4">
        <f t="array" ref="I245">IF(ROWS(M$20:M245)&gt;$F$6,"",INDEX(C$2:C$10000,SMALL(IF(ISNUMBER(MATCH($B$2:$B$10000,$E$6:$E$22,0)),ROW($C$2:$C$10000)-ROW($C$2)+1),ROWS(M$20:M245))))</f>
        <v>58</v>
      </c>
      <c r="K245" s="7">
        <f t="array" ref="K245">IF(ROWS(K$20:K245)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245))))</f>
        <v>41968</v>
      </c>
      <c r="L245" s="4" t="str">
        <f t="array" ref="L245">IF(ROWS(L$20:L245)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245))))</f>
        <v>Kerrie  Worrell</v>
      </c>
      <c r="M245" s="4">
        <f t="array" ref="M245">IF(ROWS(M$20:M245)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245))))</f>
        <v>58</v>
      </c>
    </row>
    <row r="246" spans="1:13" x14ac:dyDescent="0.25">
      <c r="A246" s="3">
        <v>41600</v>
      </c>
      <c r="B246" s="2" t="s">
        <v>25</v>
      </c>
      <c r="C246" s="2">
        <v>37</v>
      </c>
      <c r="G246" s="7">
        <f t="array" ref="G246">IF(ROWS(K$20:K246)&gt;$F$6,"",INDEX(A$2:A$10000,SMALL(IF(ISNUMBER(MATCH($B$2:$B$10000,$E$6:$E$22,0)),ROW($C$2:$C$10000)-ROW($C$2)+1),ROWS(K$20:K246))))</f>
        <v>41719</v>
      </c>
      <c r="H246" s="4" t="str">
        <f t="array" ref="H246">IF(ROWS(L$20:L246)&gt;$F$6,"",INDEX(B$2:B$10000,SMALL(IF(ISNUMBER(MATCH($B$2:$B$10000,$E$6:$E$22,0)),ROW($C$2:$C$10000)-ROW($C$2)+1),ROWS(L$20:L246))))</f>
        <v>Mickey  Bolduc</v>
      </c>
      <c r="I246" s="4">
        <f t="array" ref="I246">IF(ROWS(M$20:M246)&gt;$F$6,"",INDEX(C$2:C$10000,SMALL(IF(ISNUMBER(MATCH($B$2:$B$10000,$E$6:$E$22,0)),ROW($C$2:$C$10000)-ROW($C$2)+1),ROWS(M$20:M246))))</f>
        <v>7</v>
      </c>
      <c r="K246" s="7">
        <f t="array" ref="K246">IF(ROWS(K$20:K246)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246))))</f>
        <v>41719</v>
      </c>
      <c r="L246" s="4" t="str">
        <f t="array" ref="L246">IF(ROWS(L$20:L246)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246))))</f>
        <v>Mickey  Bolduc</v>
      </c>
      <c r="M246" s="4">
        <f t="array" ref="M246">IF(ROWS(M$20:M246)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246))))</f>
        <v>7</v>
      </c>
    </row>
    <row r="247" spans="1:13" x14ac:dyDescent="0.25">
      <c r="A247" s="3">
        <v>41415</v>
      </c>
      <c r="B247" s="2" t="s">
        <v>40</v>
      </c>
      <c r="C247" s="2">
        <v>58</v>
      </c>
      <c r="G247" s="7">
        <f t="array" ref="G247">IF(ROWS(K$20:K247)&gt;$F$6,"",INDEX(A$2:A$10000,SMALL(IF(ISNUMBER(MATCH($B$2:$B$10000,$E$6:$E$22,0)),ROW($C$2:$C$10000)-ROW($C$2)+1),ROWS(K$20:K247))))</f>
        <v>41705</v>
      </c>
      <c r="H247" s="4" t="str">
        <f t="array" ref="H247">IF(ROWS(L$20:L247)&gt;$F$6,"",INDEX(B$2:B$10000,SMALL(IF(ISNUMBER(MATCH($B$2:$B$10000,$E$6:$E$22,0)),ROW($C$2:$C$10000)-ROW($C$2)+1),ROWS(L$20:L247))))</f>
        <v>Rosamond  Allard</v>
      </c>
      <c r="I247" s="4">
        <f t="array" ref="I247">IF(ROWS(M$20:M247)&gt;$F$6,"",INDEX(C$2:C$10000,SMALL(IF(ISNUMBER(MATCH($B$2:$B$10000,$E$6:$E$22,0)),ROW($C$2:$C$10000)-ROW($C$2)+1),ROWS(M$20:M247))))</f>
        <v>26</v>
      </c>
      <c r="K247" s="7">
        <f t="array" ref="K247">IF(ROWS(K$20:K247)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247))))</f>
        <v>41705</v>
      </c>
      <c r="L247" s="4" t="str">
        <f t="array" ref="L247">IF(ROWS(L$20:L247)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247))))</f>
        <v>Rosamond  Allard</v>
      </c>
      <c r="M247" s="4">
        <f t="array" ref="M247">IF(ROWS(M$20:M247)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247))))</f>
        <v>26</v>
      </c>
    </row>
    <row r="248" spans="1:13" x14ac:dyDescent="0.25">
      <c r="A248" s="3">
        <v>41990</v>
      </c>
      <c r="B248" s="2" t="s">
        <v>29</v>
      </c>
      <c r="C248" s="2">
        <v>1</v>
      </c>
      <c r="G248" s="7">
        <f t="array" ref="G248">IF(ROWS(K$20:K248)&gt;$F$6,"",INDEX(A$2:A$10000,SMALL(IF(ISNUMBER(MATCH($B$2:$B$10000,$E$6:$E$22,0)),ROW($C$2:$C$10000)-ROW($C$2)+1),ROWS(K$20:K248))))</f>
        <v>41731</v>
      </c>
      <c r="H248" s="4" t="str">
        <f t="array" ref="H248">IF(ROWS(L$20:L248)&gt;$F$6,"",INDEX(B$2:B$10000,SMALL(IF(ISNUMBER(MATCH($B$2:$B$10000,$E$6:$E$22,0)),ROW($C$2:$C$10000)-ROW($C$2)+1),ROWS(L$20:L248))))</f>
        <v>Jenni  Thorton</v>
      </c>
      <c r="I248" s="4">
        <f t="array" ref="I248">IF(ROWS(M$20:M248)&gt;$F$6,"",INDEX(C$2:C$10000,SMALL(IF(ISNUMBER(MATCH($B$2:$B$10000,$E$6:$E$22,0)),ROW($C$2:$C$10000)-ROW($C$2)+1),ROWS(M$20:M248))))</f>
        <v>20</v>
      </c>
      <c r="K248" s="7">
        <f t="array" ref="K248">IF(ROWS(K$20:K248)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248))))</f>
        <v>41731</v>
      </c>
      <c r="L248" s="4" t="str">
        <f t="array" ref="L248">IF(ROWS(L$20:L248)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248))))</f>
        <v>Jenni  Thorton</v>
      </c>
      <c r="M248" s="4">
        <f t="array" ref="M248">IF(ROWS(M$20:M248)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248))))</f>
        <v>20</v>
      </c>
    </row>
    <row r="249" spans="1:13" x14ac:dyDescent="0.25">
      <c r="A249" s="3">
        <v>41372</v>
      </c>
      <c r="B249" s="2" t="s">
        <v>7</v>
      </c>
      <c r="C249" s="2">
        <v>28</v>
      </c>
      <c r="G249" s="7">
        <f t="array" ref="G249">IF(ROWS(K$20:K249)&gt;$F$6,"",INDEX(A$2:A$10000,SMALL(IF(ISNUMBER(MATCH($B$2:$B$10000,$E$6:$E$22,0)),ROW($C$2:$C$10000)-ROW($C$2)+1),ROWS(K$20:K249))))</f>
        <v>41344</v>
      </c>
      <c r="H249" s="4" t="str">
        <f t="array" ref="H249">IF(ROWS(L$20:L249)&gt;$F$6,"",INDEX(B$2:B$10000,SMALL(IF(ISNUMBER(MATCH($B$2:$B$10000,$E$6:$E$22,0)),ROW($C$2:$C$10000)-ROW($C$2)+1),ROWS(L$20:L249))))</f>
        <v>Kerrie  Worrell</v>
      </c>
      <c r="I249" s="4">
        <f t="array" ref="I249">IF(ROWS(M$20:M249)&gt;$F$6,"",INDEX(C$2:C$10000,SMALL(IF(ISNUMBER(MATCH($B$2:$B$10000,$E$6:$E$22,0)),ROW($C$2:$C$10000)-ROW($C$2)+1),ROWS(M$20:M249))))</f>
        <v>36</v>
      </c>
      <c r="K249" s="7">
        <f t="array" ref="K249">IF(ROWS(K$20:K249)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249))))</f>
        <v>41344</v>
      </c>
      <c r="L249" s="4" t="str">
        <f t="array" ref="L249">IF(ROWS(L$20:L249)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249))))</f>
        <v>Kerrie  Worrell</v>
      </c>
      <c r="M249" s="4">
        <f t="array" ref="M249">IF(ROWS(M$20:M249)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249))))</f>
        <v>36</v>
      </c>
    </row>
    <row r="250" spans="1:13" x14ac:dyDescent="0.25">
      <c r="A250" s="3">
        <v>41377</v>
      </c>
      <c r="B250" s="2" t="s">
        <v>21</v>
      </c>
      <c r="C250" s="2">
        <v>13</v>
      </c>
      <c r="G250" s="7">
        <f t="array" ref="G250">IF(ROWS(K$20:K250)&gt;$F$6,"",INDEX(A$2:A$10000,SMALL(IF(ISNUMBER(MATCH($B$2:$B$10000,$E$6:$E$22,0)),ROW($C$2:$C$10000)-ROW($C$2)+1),ROWS(K$20:K250))))</f>
        <v>41549</v>
      </c>
      <c r="H250" s="4" t="str">
        <f t="array" ref="H250">IF(ROWS(L$20:L250)&gt;$F$6,"",INDEX(B$2:B$10000,SMALL(IF(ISNUMBER(MATCH($B$2:$B$10000,$E$6:$E$22,0)),ROW($C$2:$C$10000)-ROW($C$2)+1),ROWS(L$20:L250))))</f>
        <v>Jenni  Thorton</v>
      </c>
      <c r="I250" s="4">
        <f t="array" ref="I250">IF(ROWS(M$20:M250)&gt;$F$6,"",INDEX(C$2:C$10000,SMALL(IF(ISNUMBER(MATCH($B$2:$B$10000,$E$6:$E$22,0)),ROW($C$2:$C$10000)-ROW($C$2)+1),ROWS(M$20:M250))))</f>
        <v>28</v>
      </c>
      <c r="K250" s="7">
        <f t="array" ref="K250">IF(ROWS(K$20:K250)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250))))</f>
        <v>41549</v>
      </c>
      <c r="L250" s="4" t="str">
        <f t="array" ref="L250">IF(ROWS(L$20:L250)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250))))</f>
        <v>Jenni  Thorton</v>
      </c>
      <c r="M250" s="4">
        <f t="array" ref="M250">IF(ROWS(M$20:M250)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250))))</f>
        <v>28</v>
      </c>
    </row>
    <row r="251" spans="1:13" x14ac:dyDescent="0.25">
      <c r="A251" s="3">
        <v>41935</v>
      </c>
      <c r="B251" s="2" t="s">
        <v>12</v>
      </c>
      <c r="C251" s="2">
        <v>48</v>
      </c>
      <c r="G251" s="7">
        <f t="array" ref="G251">IF(ROWS(K$20:K251)&gt;$F$6,"",INDEX(A$2:A$10000,SMALL(IF(ISNUMBER(MATCH($B$2:$B$10000,$E$6:$E$22,0)),ROW($C$2:$C$10000)-ROW($C$2)+1),ROWS(K$20:K251))))</f>
        <v>41306</v>
      </c>
      <c r="H251" s="4" t="str">
        <f t="array" ref="H251">IF(ROWS(L$20:L251)&gt;$F$6,"",INDEX(B$2:B$10000,SMALL(IF(ISNUMBER(MATCH($B$2:$B$10000,$E$6:$E$22,0)),ROW($C$2:$C$10000)-ROW($C$2)+1),ROWS(L$20:L251))))</f>
        <v>Iliana  Valerio</v>
      </c>
      <c r="I251" s="4">
        <f t="array" ref="I251">IF(ROWS(M$20:M251)&gt;$F$6,"",INDEX(C$2:C$10000,SMALL(IF(ISNUMBER(MATCH($B$2:$B$10000,$E$6:$E$22,0)),ROW($C$2:$C$10000)-ROW($C$2)+1),ROWS(M$20:M251))))</f>
        <v>44</v>
      </c>
      <c r="K251" s="7">
        <f t="array" ref="K251">IF(ROWS(K$20:K251)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251))))</f>
        <v>41306</v>
      </c>
      <c r="L251" s="4" t="str">
        <f t="array" ref="L251">IF(ROWS(L$20:L251)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251))))</f>
        <v>Iliana  Valerio</v>
      </c>
      <c r="M251" s="4">
        <f t="array" ref="M251">IF(ROWS(M$20:M251)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251))))</f>
        <v>44</v>
      </c>
    </row>
    <row r="252" spans="1:13" x14ac:dyDescent="0.25">
      <c r="A252" s="3">
        <v>41745</v>
      </c>
      <c r="B252" s="2" t="s">
        <v>38</v>
      </c>
      <c r="C252" s="2">
        <v>11</v>
      </c>
      <c r="G252" s="7">
        <f t="array" ref="G252">IF(ROWS(K$20:K252)&gt;$F$6,"",INDEX(A$2:A$10000,SMALL(IF(ISNUMBER(MATCH($B$2:$B$10000,$E$6:$E$22,0)),ROW($C$2:$C$10000)-ROW($C$2)+1),ROWS(K$20:K252))))</f>
        <v>41293</v>
      </c>
      <c r="H252" s="4" t="str">
        <f t="array" ref="H252">IF(ROWS(L$20:L252)&gt;$F$6,"",INDEX(B$2:B$10000,SMALL(IF(ISNUMBER(MATCH($B$2:$B$10000,$E$6:$E$22,0)),ROW($C$2:$C$10000)-ROW($C$2)+1),ROWS(L$20:L252))))</f>
        <v>Kerrie  Worrell</v>
      </c>
      <c r="I252" s="4">
        <f t="array" ref="I252">IF(ROWS(M$20:M252)&gt;$F$6,"",INDEX(C$2:C$10000,SMALL(IF(ISNUMBER(MATCH($B$2:$B$10000,$E$6:$E$22,0)),ROW($C$2:$C$10000)-ROW($C$2)+1),ROWS(M$20:M252))))</f>
        <v>26</v>
      </c>
      <c r="K252" s="7">
        <f t="array" ref="K252">IF(ROWS(K$20:K252)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252))))</f>
        <v>41293</v>
      </c>
      <c r="L252" s="4" t="str">
        <f t="array" ref="L252">IF(ROWS(L$20:L252)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252))))</f>
        <v>Kerrie  Worrell</v>
      </c>
      <c r="M252" s="4">
        <f t="array" ref="M252">IF(ROWS(M$20:M252)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252))))</f>
        <v>26</v>
      </c>
    </row>
    <row r="253" spans="1:13" x14ac:dyDescent="0.25">
      <c r="A253" s="3">
        <v>41604</v>
      </c>
      <c r="B253" s="2" t="s">
        <v>32</v>
      </c>
      <c r="C253" s="2">
        <v>14</v>
      </c>
      <c r="G253" s="7">
        <f t="array" ref="G253">IF(ROWS(K$20:K253)&gt;$F$6,"",INDEX(A$2:A$10000,SMALL(IF(ISNUMBER(MATCH($B$2:$B$10000,$E$6:$E$22,0)),ROW($C$2:$C$10000)-ROW($C$2)+1),ROWS(K$20:K253))))</f>
        <v>41666</v>
      </c>
      <c r="H253" s="4" t="str">
        <f t="array" ref="H253">IF(ROWS(L$20:L253)&gt;$F$6,"",INDEX(B$2:B$10000,SMALL(IF(ISNUMBER(MATCH($B$2:$B$10000,$E$6:$E$22,0)),ROW($C$2:$C$10000)-ROW($C$2)+1),ROWS(L$20:L253))))</f>
        <v>Galen  Barth</v>
      </c>
      <c r="I253" s="4">
        <f t="array" ref="I253">IF(ROWS(M$20:M253)&gt;$F$6,"",INDEX(C$2:C$10000,SMALL(IF(ISNUMBER(MATCH($B$2:$B$10000,$E$6:$E$22,0)),ROW($C$2:$C$10000)-ROW($C$2)+1),ROWS(M$20:M253))))</f>
        <v>27</v>
      </c>
      <c r="K253" s="7">
        <f t="array" ref="K253">IF(ROWS(K$20:K253)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253))))</f>
        <v>41666</v>
      </c>
      <c r="L253" s="4" t="str">
        <f t="array" ref="L253">IF(ROWS(L$20:L253)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253))))</f>
        <v>Galen  Barth</v>
      </c>
      <c r="M253" s="4">
        <f t="array" ref="M253">IF(ROWS(M$20:M253)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253))))</f>
        <v>27</v>
      </c>
    </row>
    <row r="254" spans="1:13" x14ac:dyDescent="0.25">
      <c r="A254" s="3">
        <v>41815</v>
      </c>
      <c r="B254" s="2" t="s">
        <v>19</v>
      </c>
      <c r="C254" s="2">
        <v>44</v>
      </c>
      <c r="G254" s="7">
        <f t="array" ref="G254">IF(ROWS(K$20:K254)&gt;$F$6,"",INDEX(A$2:A$10000,SMALL(IF(ISNUMBER(MATCH($B$2:$B$10000,$E$6:$E$22,0)),ROW($C$2:$C$10000)-ROW($C$2)+1),ROWS(K$20:K254))))</f>
        <v>41493</v>
      </c>
      <c r="H254" s="4" t="str">
        <f t="array" ref="H254">IF(ROWS(L$20:L254)&gt;$F$6,"",INDEX(B$2:B$10000,SMALL(IF(ISNUMBER(MATCH($B$2:$B$10000,$E$6:$E$22,0)),ROW($C$2:$C$10000)-ROW($C$2)+1),ROWS(L$20:L254))))</f>
        <v>Kerrie  Worrell</v>
      </c>
      <c r="I254" s="4">
        <f t="array" ref="I254">IF(ROWS(M$20:M254)&gt;$F$6,"",INDEX(C$2:C$10000,SMALL(IF(ISNUMBER(MATCH($B$2:$B$10000,$E$6:$E$22,0)),ROW($C$2:$C$10000)-ROW($C$2)+1),ROWS(M$20:M254))))</f>
        <v>8</v>
      </c>
      <c r="K254" s="7">
        <f t="array" ref="K254">IF(ROWS(K$20:K254)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254))))</f>
        <v>41493</v>
      </c>
      <c r="L254" s="4" t="str">
        <f t="array" ref="L254">IF(ROWS(L$20:L254)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254))))</f>
        <v>Kerrie  Worrell</v>
      </c>
      <c r="M254" s="4">
        <f t="array" ref="M254">IF(ROWS(M$20:M254)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254))))</f>
        <v>8</v>
      </c>
    </row>
    <row r="255" spans="1:13" x14ac:dyDescent="0.25">
      <c r="A255" s="3">
        <v>41367</v>
      </c>
      <c r="B255" s="2" t="s">
        <v>17</v>
      </c>
      <c r="C255" s="2">
        <v>21</v>
      </c>
      <c r="G255" s="7">
        <f t="array" ref="G255">IF(ROWS(K$20:K255)&gt;$F$6,"",INDEX(A$2:A$10000,SMALL(IF(ISNUMBER(MATCH($B$2:$B$10000,$E$6:$E$22,0)),ROW($C$2:$C$10000)-ROW($C$2)+1),ROWS(K$20:K255))))</f>
        <v>41522</v>
      </c>
      <c r="H255" s="4" t="str">
        <f t="array" ref="H255">IF(ROWS(L$20:L255)&gt;$F$6,"",INDEX(B$2:B$10000,SMALL(IF(ISNUMBER(MATCH($B$2:$B$10000,$E$6:$E$22,0)),ROW($C$2:$C$10000)-ROW($C$2)+1),ROWS(L$20:L255))))</f>
        <v>Galen  Barth</v>
      </c>
      <c r="I255" s="4">
        <f t="array" ref="I255">IF(ROWS(M$20:M255)&gt;$F$6,"",INDEX(C$2:C$10000,SMALL(IF(ISNUMBER(MATCH($B$2:$B$10000,$E$6:$E$22,0)),ROW($C$2:$C$10000)-ROW($C$2)+1),ROWS(M$20:M255))))</f>
        <v>14</v>
      </c>
      <c r="K255" s="7">
        <f t="array" ref="K255">IF(ROWS(K$20:K255)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255))))</f>
        <v>41522</v>
      </c>
      <c r="L255" s="4" t="str">
        <f t="array" ref="L255">IF(ROWS(L$20:L255)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255))))</f>
        <v>Galen  Barth</v>
      </c>
      <c r="M255" s="4">
        <f t="array" ref="M255">IF(ROWS(M$20:M255)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255))))</f>
        <v>14</v>
      </c>
    </row>
    <row r="256" spans="1:13" x14ac:dyDescent="0.25">
      <c r="A256" s="3">
        <v>41601</v>
      </c>
      <c r="B256" s="2" t="s">
        <v>47</v>
      </c>
      <c r="C256" s="2">
        <v>46</v>
      </c>
      <c r="G256" s="7">
        <f t="array" ref="G256">IF(ROWS(K$20:K256)&gt;$F$6,"",INDEX(A$2:A$10000,SMALL(IF(ISNUMBER(MATCH($B$2:$B$10000,$E$6:$E$22,0)),ROW($C$2:$C$10000)-ROW($C$2)+1),ROWS(K$20:K256))))</f>
        <v>41295</v>
      </c>
      <c r="H256" s="4" t="str">
        <f t="array" ref="H256">IF(ROWS(L$20:L256)&gt;$F$6,"",INDEX(B$2:B$10000,SMALL(IF(ISNUMBER(MATCH($B$2:$B$10000,$E$6:$E$22,0)),ROW($C$2:$C$10000)-ROW($C$2)+1),ROWS(L$20:L256))))</f>
        <v>Iliana  Valerio</v>
      </c>
      <c r="I256" s="4">
        <f t="array" ref="I256">IF(ROWS(M$20:M256)&gt;$F$6,"",INDEX(C$2:C$10000,SMALL(IF(ISNUMBER(MATCH($B$2:$B$10000,$E$6:$E$22,0)),ROW($C$2:$C$10000)-ROW($C$2)+1),ROWS(M$20:M256))))</f>
        <v>38</v>
      </c>
      <c r="K256" s="7">
        <f t="array" ref="K256">IF(ROWS(K$20:K256)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256))))</f>
        <v>41295</v>
      </c>
      <c r="L256" s="4" t="str">
        <f t="array" ref="L256">IF(ROWS(L$20:L256)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256))))</f>
        <v>Iliana  Valerio</v>
      </c>
      <c r="M256" s="4">
        <f t="array" ref="M256">IF(ROWS(M$20:M256)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256))))</f>
        <v>38</v>
      </c>
    </row>
    <row r="257" spans="1:13" x14ac:dyDescent="0.25">
      <c r="A257" s="3">
        <v>41912</v>
      </c>
      <c r="B257" s="2" t="s">
        <v>7</v>
      </c>
      <c r="C257" s="2">
        <v>14</v>
      </c>
      <c r="G257" s="7">
        <f t="array" ref="G257">IF(ROWS(K$20:K257)&gt;$F$6,"",INDEX(A$2:A$10000,SMALL(IF(ISNUMBER(MATCH($B$2:$B$10000,$E$6:$E$22,0)),ROW($C$2:$C$10000)-ROW($C$2)+1),ROWS(K$20:K257))))</f>
        <v>41949</v>
      </c>
      <c r="H257" s="4" t="str">
        <f t="array" ref="H257">IF(ROWS(L$20:L257)&gt;$F$6,"",INDEX(B$2:B$10000,SMALL(IF(ISNUMBER(MATCH($B$2:$B$10000,$E$6:$E$22,0)),ROW($C$2:$C$10000)-ROW($C$2)+1),ROWS(L$20:L257))))</f>
        <v>Iliana  Valerio</v>
      </c>
      <c r="I257" s="4">
        <f t="array" ref="I257">IF(ROWS(M$20:M257)&gt;$F$6,"",INDEX(C$2:C$10000,SMALL(IF(ISNUMBER(MATCH($B$2:$B$10000,$E$6:$E$22,0)),ROW($C$2:$C$10000)-ROW($C$2)+1),ROWS(M$20:M257))))</f>
        <v>3</v>
      </c>
      <c r="K257" s="7">
        <f t="array" ref="K257">IF(ROWS(K$20:K257)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257))))</f>
        <v>41949</v>
      </c>
      <c r="L257" s="4" t="str">
        <f t="array" ref="L257">IF(ROWS(L$20:L257)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257))))</f>
        <v>Iliana  Valerio</v>
      </c>
      <c r="M257" s="4">
        <f t="array" ref="M257">IF(ROWS(M$20:M257)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257))))</f>
        <v>3</v>
      </c>
    </row>
    <row r="258" spans="1:13" x14ac:dyDescent="0.25">
      <c r="A258" s="3">
        <v>41314</v>
      </c>
      <c r="B258" s="2" t="s">
        <v>24</v>
      </c>
      <c r="C258" s="2">
        <v>8</v>
      </c>
      <c r="G258" s="7">
        <f t="array" ref="G258">IF(ROWS(K$20:K258)&gt;$F$6,"",INDEX(A$2:A$10000,SMALL(IF(ISNUMBER(MATCH($B$2:$B$10000,$E$6:$E$22,0)),ROW($C$2:$C$10000)-ROW($C$2)+1),ROWS(K$20:K258))))</f>
        <v>41543</v>
      </c>
      <c r="H258" s="4" t="str">
        <f t="array" ref="H258">IF(ROWS(L$20:L258)&gt;$F$6,"",INDEX(B$2:B$10000,SMALL(IF(ISNUMBER(MATCH($B$2:$B$10000,$E$6:$E$22,0)),ROW($C$2:$C$10000)-ROW($C$2)+1),ROWS(L$20:L258))))</f>
        <v>Galen  Barth</v>
      </c>
      <c r="I258" s="4">
        <f t="array" ref="I258">IF(ROWS(M$20:M258)&gt;$F$6,"",INDEX(C$2:C$10000,SMALL(IF(ISNUMBER(MATCH($B$2:$B$10000,$E$6:$E$22,0)),ROW($C$2:$C$10000)-ROW($C$2)+1),ROWS(M$20:M258))))</f>
        <v>33</v>
      </c>
      <c r="K258" s="7">
        <f t="array" ref="K258">IF(ROWS(K$20:K258)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258))))</f>
        <v>41543</v>
      </c>
      <c r="L258" s="4" t="str">
        <f t="array" ref="L258">IF(ROWS(L$20:L258)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258))))</f>
        <v>Galen  Barth</v>
      </c>
      <c r="M258" s="4">
        <f t="array" ref="M258">IF(ROWS(M$20:M258)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258))))</f>
        <v>33</v>
      </c>
    </row>
    <row r="259" spans="1:13" x14ac:dyDescent="0.25">
      <c r="A259" s="3">
        <v>41681</v>
      </c>
      <c r="B259" s="2" t="s">
        <v>35</v>
      </c>
      <c r="C259" s="2">
        <v>27</v>
      </c>
      <c r="G259" s="7">
        <f t="array" ref="G259">IF(ROWS(K$20:K259)&gt;$F$6,"",INDEX(A$2:A$10000,SMALL(IF(ISNUMBER(MATCH($B$2:$B$10000,$E$6:$E$22,0)),ROW($C$2:$C$10000)-ROW($C$2)+1),ROWS(K$20:K259))))</f>
        <v>41564</v>
      </c>
      <c r="H259" s="4" t="str">
        <f t="array" ref="H259">IF(ROWS(L$20:L259)&gt;$F$6,"",INDEX(B$2:B$10000,SMALL(IF(ISNUMBER(MATCH($B$2:$B$10000,$E$6:$E$22,0)),ROW($C$2:$C$10000)-ROW($C$2)+1),ROWS(L$20:L259))))</f>
        <v>Galen  Barth</v>
      </c>
      <c r="I259" s="4">
        <f t="array" ref="I259">IF(ROWS(M$20:M259)&gt;$F$6,"",INDEX(C$2:C$10000,SMALL(IF(ISNUMBER(MATCH($B$2:$B$10000,$E$6:$E$22,0)),ROW($C$2:$C$10000)-ROW($C$2)+1),ROWS(M$20:M259))))</f>
        <v>26</v>
      </c>
      <c r="K259" s="7">
        <f t="array" ref="K259">IF(ROWS(K$20:K259)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259))))</f>
        <v>41564</v>
      </c>
      <c r="L259" s="4" t="str">
        <f t="array" ref="L259">IF(ROWS(L$20:L259)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259))))</f>
        <v>Galen  Barth</v>
      </c>
      <c r="M259" s="4">
        <f t="array" ref="M259">IF(ROWS(M$20:M259)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259))))</f>
        <v>26</v>
      </c>
    </row>
    <row r="260" spans="1:13" x14ac:dyDescent="0.25">
      <c r="A260" s="3">
        <v>41276</v>
      </c>
      <c r="B260" s="2" t="s">
        <v>28</v>
      </c>
      <c r="C260" s="2">
        <v>27</v>
      </c>
      <c r="G260" s="7">
        <f t="array" ref="G260">IF(ROWS(K$20:K260)&gt;$F$6,"",INDEX(A$2:A$10000,SMALL(IF(ISNUMBER(MATCH($B$2:$B$10000,$E$6:$E$22,0)),ROW($C$2:$C$10000)-ROW($C$2)+1),ROWS(K$20:K260))))</f>
        <v>41657</v>
      </c>
      <c r="H260" s="4" t="str">
        <f t="array" ref="H260">IF(ROWS(L$20:L260)&gt;$F$6,"",INDEX(B$2:B$10000,SMALL(IF(ISNUMBER(MATCH($B$2:$B$10000,$E$6:$E$22,0)),ROW($C$2:$C$10000)-ROW($C$2)+1),ROWS(L$20:L260))))</f>
        <v>Kerrie  Worrell</v>
      </c>
      <c r="I260" s="4">
        <f t="array" ref="I260">IF(ROWS(M$20:M260)&gt;$F$6,"",INDEX(C$2:C$10000,SMALL(IF(ISNUMBER(MATCH($B$2:$B$10000,$E$6:$E$22,0)),ROW($C$2:$C$10000)-ROW($C$2)+1),ROWS(M$20:M260))))</f>
        <v>37</v>
      </c>
      <c r="K260" s="7">
        <f t="array" ref="K260">IF(ROWS(K$20:K260)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260))))</f>
        <v>41657</v>
      </c>
      <c r="L260" s="4" t="str">
        <f t="array" ref="L260">IF(ROWS(L$20:L260)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260))))</f>
        <v>Kerrie  Worrell</v>
      </c>
      <c r="M260" s="4">
        <f t="array" ref="M260">IF(ROWS(M$20:M260)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260))))</f>
        <v>37</v>
      </c>
    </row>
    <row r="261" spans="1:13" x14ac:dyDescent="0.25">
      <c r="A261" s="3">
        <v>41393</v>
      </c>
      <c r="B261" s="2" t="s">
        <v>44</v>
      </c>
      <c r="C261" s="2">
        <v>10</v>
      </c>
      <c r="G261" s="7">
        <f t="array" ref="G261">IF(ROWS(K$20:K261)&gt;$F$6,"",INDEX(A$2:A$10000,SMALL(IF(ISNUMBER(MATCH($B$2:$B$10000,$E$6:$E$22,0)),ROW($C$2:$C$10000)-ROW($C$2)+1),ROWS(K$20:K261))))</f>
        <v>41276</v>
      </c>
      <c r="H261" s="4" t="str">
        <f t="array" ref="H261">IF(ROWS(L$20:L261)&gt;$F$6,"",INDEX(B$2:B$10000,SMALL(IF(ISNUMBER(MATCH($B$2:$B$10000,$E$6:$E$22,0)),ROW($C$2:$C$10000)-ROW($C$2)+1),ROWS(L$20:L261))))</f>
        <v>Jenni  Thorton</v>
      </c>
      <c r="I261" s="4">
        <f t="array" ref="I261">IF(ROWS(M$20:M261)&gt;$F$6,"",INDEX(C$2:C$10000,SMALL(IF(ISNUMBER(MATCH($B$2:$B$10000,$E$6:$E$22,0)),ROW($C$2:$C$10000)-ROW($C$2)+1),ROWS(M$20:M261))))</f>
        <v>37</v>
      </c>
      <c r="K261" s="7">
        <f t="array" ref="K261">IF(ROWS(K$20:K261)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261))))</f>
        <v>41276</v>
      </c>
      <c r="L261" s="4" t="str">
        <f t="array" ref="L261">IF(ROWS(L$20:L261)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261))))</f>
        <v>Jenni  Thorton</v>
      </c>
      <c r="M261" s="4">
        <f t="array" ref="M261">IF(ROWS(M$20:M261)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261))))</f>
        <v>37</v>
      </c>
    </row>
    <row r="262" spans="1:13" x14ac:dyDescent="0.25">
      <c r="A262" s="3">
        <v>41710</v>
      </c>
      <c r="B262" s="2" t="s">
        <v>21</v>
      </c>
      <c r="C262" s="2">
        <v>11</v>
      </c>
      <c r="G262" s="7">
        <f t="array" ref="G262">IF(ROWS(K$20:K262)&gt;$F$6,"",INDEX(A$2:A$10000,SMALL(IF(ISNUMBER(MATCH($B$2:$B$10000,$E$6:$E$22,0)),ROW($C$2:$C$10000)-ROW($C$2)+1),ROWS(K$20:K262))))</f>
        <v>41711</v>
      </c>
      <c r="H262" s="4" t="str">
        <f t="array" ref="H262">IF(ROWS(L$20:L262)&gt;$F$6,"",INDEX(B$2:B$10000,SMALL(IF(ISNUMBER(MATCH($B$2:$B$10000,$E$6:$E$22,0)),ROW($C$2:$C$10000)-ROW($C$2)+1),ROWS(L$20:L262))))</f>
        <v>Iliana  Valerio</v>
      </c>
      <c r="I262" s="4">
        <f t="array" ref="I262">IF(ROWS(M$20:M262)&gt;$F$6,"",INDEX(C$2:C$10000,SMALL(IF(ISNUMBER(MATCH($B$2:$B$10000,$E$6:$E$22,0)),ROW($C$2:$C$10000)-ROW($C$2)+1),ROWS(M$20:M262))))</f>
        <v>22</v>
      </c>
      <c r="K262" s="7">
        <f t="array" ref="K262">IF(ROWS(K$20:K262)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262))))</f>
        <v>41711</v>
      </c>
      <c r="L262" s="4" t="str">
        <f t="array" ref="L262">IF(ROWS(L$20:L262)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262))))</f>
        <v>Iliana  Valerio</v>
      </c>
      <c r="M262" s="4">
        <f t="array" ref="M262">IF(ROWS(M$20:M262)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262))))</f>
        <v>22</v>
      </c>
    </row>
    <row r="263" spans="1:13" x14ac:dyDescent="0.25">
      <c r="A263" s="3">
        <v>41987</v>
      </c>
      <c r="B263" s="2" t="s">
        <v>41</v>
      </c>
      <c r="C263" s="2">
        <v>13</v>
      </c>
      <c r="G263" s="7">
        <f t="array" ref="G263">IF(ROWS(K$20:K263)&gt;$F$6,"",INDEX(A$2:A$10000,SMALL(IF(ISNUMBER(MATCH($B$2:$B$10000,$E$6:$E$22,0)),ROW($C$2:$C$10000)-ROW($C$2)+1),ROWS(K$20:K263))))</f>
        <v>41635</v>
      </c>
      <c r="H263" s="4" t="str">
        <f t="array" ref="H263">IF(ROWS(L$20:L263)&gt;$F$6,"",INDEX(B$2:B$10000,SMALL(IF(ISNUMBER(MATCH($B$2:$B$10000,$E$6:$E$22,0)),ROW($C$2:$C$10000)-ROW($C$2)+1),ROWS(L$20:L263))))</f>
        <v>Rosamond  Allard</v>
      </c>
      <c r="I263" s="4">
        <f t="array" ref="I263">IF(ROWS(M$20:M263)&gt;$F$6,"",INDEX(C$2:C$10000,SMALL(IF(ISNUMBER(MATCH($B$2:$B$10000,$E$6:$E$22,0)),ROW($C$2:$C$10000)-ROW($C$2)+1),ROWS(M$20:M263))))</f>
        <v>20</v>
      </c>
      <c r="K263" s="7">
        <f t="array" ref="K263">IF(ROWS(K$20:K263)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263))))</f>
        <v>41635</v>
      </c>
      <c r="L263" s="4" t="str">
        <f t="array" ref="L263">IF(ROWS(L$20:L263)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263))))</f>
        <v>Rosamond  Allard</v>
      </c>
      <c r="M263" s="4">
        <f t="array" ref="M263">IF(ROWS(M$20:M263)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263))))</f>
        <v>20</v>
      </c>
    </row>
    <row r="264" spans="1:13" x14ac:dyDescent="0.25">
      <c r="A264" s="3">
        <v>41676</v>
      </c>
      <c r="B264" s="2" t="s">
        <v>12</v>
      </c>
      <c r="C264" s="2">
        <v>1</v>
      </c>
      <c r="G264" s="7">
        <f t="array" ref="G264">IF(ROWS(K$20:K264)&gt;$F$6,"",INDEX(A$2:A$10000,SMALL(IF(ISNUMBER(MATCH($B$2:$B$10000,$E$6:$E$22,0)),ROW($C$2:$C$10000)-ROW($C$2)+1),ROWS(K$20:K264))))</f>
        <v>41873</v>
      </c>
      <c r="H264" s="4" t="str">
        <f t="array" ref="H264">IF(ROWS(L$20:L264)&gt;$F$6,"",INDEX(B$2:B$10000,SMALL(IF(ISNUMBER(MATCH($B$2:$B$10000,$E$6:$E$22,0)),ROW($C$2:$C$10000)-ROW($C$2)+1),ROWS(L$20:L264))))</f>
        <v>Mickey  Bolduc</v>
      </c>
      <c r="I264" s="4">
        <f t="array" ref="I264">IF(ROWS(M$20:M264)&gt;$F$6,"",INDEX(C$2:C$10000,SMALL(IF(ISNUMBER(MATCH($B$2:$B$10000,$E$6:$E$22,0)),ROW($C$2:$C$10000)-ROW($C$2)+1),ROWS(M$20:M264))))</f>
        <v>22</v>
      </c>
      <c r="K264" s="7">
        <f t="array" ref="K264">IF(ROWS(K$20:K264)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264))))</f>
        <v>41873</v>
      </c>
      <c r="L264" s="4" t="str">
        <f t="array" ref="L264">IF(ROWS(L$20:L264)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264))))</f>
        <v>Mickey  Bolduc</v>
      </c>
      <c r="M264" s="4">
        <f t="array" ref="M264">IF(ROWS(M$20:M264)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264))))</f>
        <v>22</v>
      </c>
    </row>
    <row r="265" spans="1:13" x14ac:dyDescent="0.25">
      <c r="A265" s="3">
        <v>41866</v>
      </c>
      <c r="B265" s="2" t="s">
        <v>44</v>
      </c>
      <c r="C265" s="2">
        <v>40</v>
      </c>
      <c r="G265" s="7">
        <f t="array" ref="G265">IF(ROWS(K$20:K265)&gt;$F$6,"",INDEX(A$2:A$10000,SMALL(IF(ISNUMBER(MATCH($B$2:$B$10000,$E$6:$E$22,0)),ROW($C$2:$C$10000)-ROW($C$2)+1),ROWS(K$20:K265))))</f>
        <v>41834</v>
      </c>
      <c r="H265" s="4" t="str">
        <f t="array" ref="H265">IF(ROWS(L$20:L265)&gt;$F$6,"",INDEX(B$2:B$10000,SMALL(IF(ISNUMBER(MATCH($B$2:$B$10000,$E$6:$E$22,0)),ROW($C$2:$C$10000)-ROW($C$2)+1),ROWS(L$20:L265))))</f>
        <v>Mickey  Bolduc</v>
      </c>
      <c r="I265" s="4">
        <f t="array" ref="I265">IF(ROWS(M$20:M265)&gt;$F$6,"",INDEX(C$2:C$10000,SMALL(IF(ISNUMBER(MATCH($B$2:$B$10000,$E$6:$E$22,0)),ROW($C$2:$C$10000)-ROW($C$2)+1),ROWS(M$20:M265))))</f>
        <v>31</v>
      </c>
      <c r="K265" s="7">
        <f t="array" ref="K265">IF(ROWS(K$20:K265)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265))))</f>
        <v>41834</v>
      </c>
      <c r="L265" s="4" t="str">
        <f t="array" ref="L265">IF(ROWS(L$20:L265)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265))))</f>
        <v>Mickey  Bolduc</v>
      </c>
      <c r="M265" s="4">
        <f t="array" ref="M265">IF(ROWS(M$20:M265)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265))))</f>
        <v>31</v>
      </c>
    </row>
    <row r="266" spans="1:13" x14ac:dyDescent="0.25">
      <c r="A266" s="3">
        <v>41482</v>
      </c>
      <c r="B266" s="2" t="s">
        <v>13</v>
      </c>
      <c r="C266" s="2">
        <v>26</v>
      </c>
      <c r="G266" s="7">
        <f t="array" ref="G266">IF(ROWS(K$20:K266)&gt;$F$6,"",INDEX(A$2:A$10000,SMALL(IF(ISNUMBER(MATCH($B$2:$B$10000,$E$6:$E$22,0)),ROW($C$2:$C$10000)-ROW($C$2)+1),ROWS(K$20:K266))))</f>
        <v>41581</v>
      </c>
      <c r="H266" s="4" t="str">
        <f t="array" ref="H266">IF(ROWS(L$20:L266)&gt;$F$6,"",INDEX(B$2:B$10000,SMALL(IF(ISNUMBER(MATCH($B$2:$B$10000,$E$6:$E$22,0)),ROW($C$2:$C$10000)-ROW($C$2)+1),ROWS(L$20:L266))))</f>
        <v>Mickey  Bolduc</v>
      </c>
      <c r="I266" s="4">
        <f t="array" ref="I266">IF(ROWS(M$20:M266)&gt;$F$6,"",INDEX(C$2:C$10000,SMALL(IF(ISNUMBER(MATCH($B$2:$B$10000,$E$6:$E$22,0)),ROW($C$2:$C$10000)-ROW($C$2)+1),ROWS(M$20:M266))))</f>
        <v>11</v>
      </c>
      <c r="K266" s="7">
        <f t="array" ref="K266">IF(ROWS(K$20:K266)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266))))</f>
        <v>41581</v>
      </c>
      <c r="L266" s="4" t="str">
        <f t="array" ref="L266">IF(ROWS(L$20:L266)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266))))</f>
        <v>Mickey  Bolduc</v>
      </c>
      <c r="M266" s="4">
        <f t="array" ref="M266">IF(ROWS(M$20:M266)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266))))</f>
        <v>11</v>
      </c>
    </row>
    <row r="267" spans="1:13" x14ac:dyDescent="0.25">
      <c r="A267" s="3">
        <v>41521</v>
      </c>
      <c r="B267" s="2" t="s">
        <v>51</v>
      </c>
      <c r="C267" s="2">
        <v>1</v>
      </c>
      <c r="G267" s="7">
        <f t="array" ref="G267">IF(ROWS(K$20:K267)&gt;$F$6,"",INDEX(A$2:A$10000,SMALL(IF(ISNUMBER(MATCH($B$2:$B$10000,$E$6:$E$22,0)),ROW($C$2:$C$10000)-ROW($C$2)+1),ROWS(K$20:K267))))</f>
        <v>41323</v>
      </c>
      <c r="H267" s="4" t="str">
        <f t="array" ref="H267">IF(ROWS(L$20:L267)&gt;$F$6,"",INDEX(B$2:B$10000,SMALL(IF(ISNUMBER(MATCH($B$2:$B$10000,$E$6:$E$22,0)),ROW($C$2:$C$10000)-ROW($C$2)+1),ROWS(L$20:L267))))</f>
        <v>Kerrie  Worrell</v>
      </c>
      <c r="I267" s="4">
        <f t="array" ref="I267">IF(ROWS(M$20:M267)&gt;$F$6,"",INDEX(C$2:C$10000,SMALL(IF(ISNUMBER(MATCH($B$2:$B$10000,$E$6:$E$22,0)),ROW($C$2:$C$10000)-ROW($C$2)+1),ROWS(M$20:M267))))</f>
        <v>28</v>
      </c>
      <c r="K267" s="7">
        <f t="array" ref="K267">IF(ROWS(K$20:K267)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267))))</f>
        <v>41323</v>
      </c>
      <c r="L267" s="4" t="str">
        <f t="array" ref="L267">IF(ROWS(L$20:L267)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267))))</f>
        <v>Kerrie  Worrell</v>
      </c>
      <c r="M267" s="4">
        <f t="array" ref="M267">IF(ROWS(M$20:M267)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267))))</f>
        <v>28</v>
      </c>
    </row>
    <row r="268" spans="1:13" x14ac:dyDescent="0.25">
      <c r="A268" s="3">
        <v>41433</v>
      </c>
      <c r="B268" s="2" t="s">
        <v>36</v>
      </c>
      <c r="C268" s="2">
        <v>29</v>
      </c>
      <c r="G268" s="7">
        <f t="array" ref="G268">IF(ROWS(K$20:K268)&gt;$F$6,"",INDEX(A$2:A$10000,SMALL(IF(ISNUMBER(MATCH($B$2:$B$10000,$E$6:$E$22,0)),ROW($C$2:$C$10000)-ROW($C$2)+1),ROWS(K$20:K268))))</f>
        <v>41588</v>
      </c>
      <c r="H268" s="4" t="str">
        <f t="array" ref="H268">IF(ROWS(L$20:L268)&gt;$F$6,"",INDEX(B$2:B$10000,SMALL(IF(ISNUMBER(MATCH($B$2:$B$10000,$E$6:$E$22,0)),ROW($C$2:$C$10000)-ROW($C$2)+1),ROWS(L$20:L268))))</f>
        <v>Iliana  Valerio</v>
      </c>
      <c r="I268" s="4">
        <f t="array" ref="I268">IF(ROWS(M$20:M268)&gt;$F$6,"",INDEX(C$2:C$10000,SMALL(IF(ISNUMBER(MATCH($B$2:$B$10000,$E$6:$E$22,0)),ROW($C$2:$C$10000)-ROW($C$2)+1),ROWS(M$20:M268))))</f>
        <v>40</v>
      </c>
      <c r="K268" s="7">
        <f t="array" ref="K268">IF(ROWS(K$20:K268)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268))))</f>
        <v>41588</v>
      </c>
      <c r="L268" s="4" t="str">
        <f t="array" ref="L268">IF(ROWS(L$20:L268)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268))))</f>
        <v>Iliana  Valerio</v>
      </c>
      <c r="M268" s="4">
        <f t="array" ref="M268">IF(ROWS(M$20:M268)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268))))</f>
        <v>40</v>
      </c>
    </row>
    <row r="269" spans="1:13" x14ac:dyDescent="0.25">
      <c r="A269" s="3">
        <v>41393</v>
      </c>
      <c r="B269" s="2" t="s">
        <v>11</v>
      </c>
      <c r="C269" s="2">
        <v>45</v>
      </c>
      <c r="G269" s="7">
        <f t="array" ref="G269">IF(ROWS(K$20:K269)&gt;$F$6,"",INDEX(A$2:A$10000,SMALL(IF(ISNUMBER(MATCH($B$2:$B$10000,$E$6:$E$22,0)),ROW($C$2:$C$10000)-ROW($C$2)+1),ROWS(K$20:K269))))</f>
        <v>41803</v>
      </c>
      <c r="H269" s="4" t="str">
        <f t="array" ref="H269">IF(ROWS(L$20:L269)&gt;$F$6,"",INDEX(B$2:B$10000,SMALL(IF(ISNUMBER(MATCH($B$2:$B$10000,$E$6:$E$22,0)),ROW($C$2:$C$10000)-ROW($C$2)+1),ROWS(L$20:L269))))</f>
        <v>Mickey  Bolduc</v>
      </c>
      <c r="I269" s="4">
        <f t="array" ref="I269">IF(ROWS(M$20:M269)&gt;$F$6,"",INDEX(C$2:C$10000,SMALL(IF(ISNUMBER(MATCH($B$2:$B$10000,$E$6:$E$22,0)),ROW($C$2:$C$10000)-ROW($C$2)+1),ROWS(M$20:M269))))</f>
        <v>7</v>
      </c>
      <c r="K269" s="7">
        <f t="array" ref="K269">IF(ROWS(K$20:K269)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269))))</f>
        <v>41803</v>
      </c>
      <c r="L269" s="4" t="str">
        <f t="array" ref="L269">IF(ROWS(L$20:L269)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269))))</f>
        <v>Mickey  Bolduc</v>
      </c>
      <c r="M269" s="4">
        <f t="array" ref="M269">IF(ROWS(M$20:M269)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269))))</f>
        <v>7</v>
      </c>
    </row>
    <row r="270" spans="1:13" x14ac:dyDescent="0.25">
      <c r="A270" s="3">
        <v>41484</v>
      </c>
      <c r="B270" s="2" t="s">
        <v>51</v>
      </c>
      <c r="C270" s="2">
        <v>46</v>
      </c>
      <c r="G270" s="7">
        <f t="array" ref="G270">IF(ROWS(K$20:K270)&gt;$F$6,"",INDEX(A$2:A$10000,SMALL(IF(ISNUMBER(MATCH($B$2:$B$10000,$E$6:$E$22,0)),ROW($C$2:$C$10000)-ROW($C$2)+1),ROWS(K$20:K270))))</f>
        <v>41804</v>
      </c>
      <c r="H270" s="4" t="str">
        <f t="array" ref="H270">IF(ROWS(L$20:L270)&gt;$F$6,"",INDEX(B$2:B$10000,SMALL(IF(ISNUMBER(MATCH($B$2:$B$10000,$E$6:$E$22,0)),ROW($C$2:$C$10000)-ROW($C$2)+1),ROWS(L$20:L270))))</f>
        <v>Kerrie  Worrell</v>
      </c>
      <c r="I270" s="4">
        <f t="array" ref="I270">IF(ROWS(M$20:M270)&gt;$F$6,"",INDEX(C$2:C$10000,SMALL(IF(ISNUMBER(MATCH($B$2:$B$10000,$E$6:$E$22,0)),ROW($C$2:$C$10000)-ROW($C$2)+1),ROWS(M$20:M270))))</f>
        <v>16</v>
      </c>
      <c r="K270" s="7">
        <f t="array" ref="K270">IF(ROWS(K$20:K270)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270))))</f>
        <v>41804</v>
      </c>
      <c r="L270" s="4" t="str">
        <f t="array" ref="L270">IF(ROWS(L$20:L270)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270))))</f>
        <v>Kerrie  Worrell</v>
      </c>
      <c r="M270" s="4">
        <f t="array" ref="M270">IF(ROWS(M$20:M270)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270))))</f>
        <v>16</v>
      </c>
    </row>
    <row r="271" spans="1:13" x14ac:dyDescent="0.25">
      <c r="A271" s="3">
        <v>41630</v>
      </c>
      <c r="B271" s="2" t="s">
        <v>25</v>
      </c>
      <c r="C271" s="2">
        <v>28</v>
      </c>
      <c r="G271" s="7">
        <f t="array" ref="G271">IF(ROWS(K$20:K271)&gt;$F$6,"",INDEX(A$2:A$10000,SMALL(IF(ISNUMBER(MATCH($B$2:$B$10000,$E$6:$E$22,0)),ROW($C$2:$C$10000)-ROW($C$2)+1),ROWS(K$20:K271))))</f>
        <v>41569</v>
      </c>
      <c r="H271" s="4" t="str">
        <f t="array" ref="H271">IF(ROWS(L$20:L271)&gt;$F$6,"",INDEX(B$2:B$10000,SMALL(IF(ISNUMBER(MATCH($B$2:$B$10000,$E$6:$E$22,0)),ROW($C$2:$C$10000)-ROW($C$2)+1),ROWS(L$20:L271))))</f>
        <v>Mickey  Bolduc</v>
      </c>
      <c r="I271" s="4">
        <f t="array" ref="I271">IF(ROWS(M$20:M271)&gt;$F$6,"",INDEX(C$2:C$10000,SMALL(IF(ISNUMBER(MATCH($B$2:$B$10000,$E$6:$E$22,0)),ROW($C$2:$C$10000)-ROW($C$2)+1),ROWS(M$20:M271))))</f>
        <v>45</v>
      </c>
      <c r="K271" s="7">
        <f t="array" ref="K271">IF(ROWS(K$20:K271)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271))))</f>
        <v>41569</v>
      </c>
      <c r="L271" s="4" t="str">
        <f t="array" ref="L271">IF(ROWS(L$20:L271)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271))))</f>
        <v>Mickey  Bolduc</v>
      </c>
      <c r="M271" s="4">
        <f t="array" ref="M271">IF(ROWS(M$20:M271)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271))))</f>
        <v>45</v>
      </c>
    </row>
    <row r="272" spans="1:13" x14ac:dyDescent="0.25">
      <c r="A272" s="3">
        <v>41753</v>
      </c>
      <c r="B272" s="2" t="s">
        <v>6</v>
      </c>
      <c r="C272" s="2">
        <v>7</v>
      </c>
      <c r="G272" s="7">
        <f t="array" ref="G272">IF(ROWS(K$20:K272)&gt;$F$6,"",INDEX(A$2:A$10000,SMALL(IF(ISNUMBER(MATCH($B$2:$B$10000,$E$6:$E$22,0)),ROW($C$2:$C$10000)-ROW($C$2)+1),ROWS(K$20:K272))))</f>
        <v>41319</v>
      </c>
      <c r="H272" s="4" t="str">
        <f t="array" ref="H272">IF(ROWS(L$20:L272)&gt;$F$6,"",INDEX(B$2:B$10000,SMALL(IF(ISNUMBER(MATCH($B$2:$B$10000,$E$6:$E$22,0)),ROW($C$2:$C$10000)-ROW($C$2)+1),ROWS(L$20:L272))))</f>
        <v>Rosamond  Allard</v>
      </c>
      <c r="I272" s="4">
        <f t="array" ref="I272">IF(ROWS(M$20:M272)&gt;$F$6,"",INDEX(C$2:C$10000,SMALL(IF(ISNUMBER(MATCH($B$2:$B$10000,$E$6:$E$22,0)),ROW($C$2:$C$10000)-ROW($C$2)+1),ROWS(M$20:M272))))</f>
        <v>17</v>
      </c>
      <c r="K272" s="7">
        <f t="array" ref="K272">IF(ROWS(K$20:K272)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272))))</f>
        <v>41319</v>
      </c>
      <c r="L272" s="4" t="str">
        <f t="array" ref="L272">IF(ROWS(L$20:L272)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272))))</f>
        <v>Rosamond  Allard</v>
      </c>
      <c r="M272" s="4">
        <f t="array" ref="M272">IF(ROWS(M$20:M272)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272))))</f>
        <v>17</v>
      </c>
    </row>
    <row r="273" spans="1:13" x14ac:dyDescent="0.25">
      <c r="A273" s="3">
        <v>41723</v>
      </c>
      <c r="B273" s="2" t="s">
        <v>2</v>
      </c>
      <c r="C273" s="2">
        <v>30</v>
      </c>
      <c r="G273" s="7">
        <f t="array" ref="G273">IF(ROWS(K$20:K273)&gt;$F$6,"",INDEX(A$2:A$10000,SMALL(IF(ISNUMBER(MATCH($B$2:$B$10000,$E$6:$E$22,0)),ROW($C$2:$C$10000)-ROW($C$2)+1),ROWS(K$20:K273))))</f>
        <v>41504</v>
      </c>
      <c r="H273" s="4" t="str">
        <f t="array" ref="H273">IF(ROWS(L$20:L273)&gt;$F$6,"",INDEX(B$2:B$10000,SMALL(IF(ISNUMBER(MATCH($B$2:$B$10000,$E$6:$E$22,0)),ROW($C$2:$C$10000)-ROW($C$2)+1),ROWS(L$20:L273))))</f>
        <v>Iliana  Valerio</v>
      </c>
      <c r="I273" s="4">
        <f t="array" ref="I273">IF(ROWS(M$20:M273)&gt;$F$6,"",INDEX(C$2:C$10000,SMALL(IF(ISNUMBER(MATCH($B$2:$B$10000,$E$6:$E$22,0)),ROW($C$2:$C$10000)-ROW($C$2)+1),ROWS(M$20:M273))))</f>
        <v>7</v>
      </c>
      <c r="K273" s="7">
        <f t="array" ref="K273">IF(ROWS(K$20:K273)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273))))</f>
        <v>41504</v>
      </c>
      <c r="L273" s="4" t="str">
        <f t="array" ref="L273">IF(ROWS(L$20:L273)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273))))</f>
        <v>Iliana  Valerio</v>
      </c>
      <c r="M273" s="4">
        <f t="array" ref="M273">IF(ROWS(M$20:M273)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273))))</f>
        <v>7</v>
      </c>
    </row>
    <row r="274" spans="1:13" x14ac:dyDescent="0.25">
      <c r="A274" s="3">
        <v>41955</v>
      </c>
      <c r="B274" s="2" t="s">
        <v>24</v>
      </c>
      <c r="C274" s="2">
        <v>46</v>
      </c>
      <c r="G274" s="7">
        <f t="array" ref="G274">IF(ROWS(K$20:K274)&gt;$F$6,"",INDEX(A$2:A$10000,SMALL(IF(ISNUMBER(MATCH($B$2:$B$10000,$E$6:$E$22,0)),ROW($C$2:$C$10000)-ROW($C$2)+1),ROWS(K$20:K274))))</f>
        <v>41519</v>
      </c>
      <c r="H274" s="4" t="str">
        <f t="array" ref="H274">IF(ROWS(L$20:L274)&gt;$F$6,"",INDEX(B$2:B$10000,SMALL(IF(ISNUMBER(MATCH($B$2:$B$10000,$E$6:$E$22,0)),ROW($C$2:$C$10000)-ROW($C$2)+1),ROWS(L$20:L274))))</f>
        <v>Mickey  Bolduc</v>
      </c>
      <c r="I274" s="4">
        <f t="array" ref="I274">IF(ROWS(M$20:M274)&gt;$F$6,"",INDEX(C$2:C$10000,SMALL(IF(ISNUMBER(MATCH($B$2:$B$10000,$E$6:$E$22,0)),ROW($C$2:$C$10000)-ROW($C$2)+1),ROWS(M$20:M274))))</f>
        <v>13</v>
      </c>
      <c r="K274" s="7">
        <f t="array" ref="K274">IF(ROWS(K$20:K274)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274))))</f>
        <v>41519</v>
      </c>
      <c r="L274" s="4" t="str">
        <f t="array" ref="L274">IF(ROWS(L$20:L274)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274))))</f>
        <v>Mickey  Bolduc</v>
      </c>
      <c r="M274" s="4">
        <f t="array" ref="M274">IF(ROWS(M$20:M274)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274))))</f>
        <v>13</v>
      </c>
    </row>
    <row r="275" spans="1:13" x14ac:dyDescent="0.25">
      <c r="A275" s="3">
        <v>41835</v>
      </c>
      <c r="B275" s="2" t="s">
        <v>16</v>
      </c>
      <c r="C275" s="2">
        <v>18</v>
      </c>
      <c r="G275" s="7">
        <f t="array" ref="G275">IF(ROWS(K$20:K275)&gt;$F$6,"",INDEX(A$2:A$10000,SMALL(IF(ISNUMBER(MATCH($B$2:$B$10000,$E$6:$E$22,0)),ROW($C$2:$C$10000)-ROW($C$2)+1),ROWS(K$20:K275))))</f>
        <v>41501</v>
      </c>
      <c r="H275" s="4" t="str">
        <f t="array" ref="H275">IF(ROWS(L$20:L275)&gt;$F$6,"",INDEX(B$2:B$10000,SMALL(IF(ISNUMBER(MATCH($B$2:$B$10000,$E$6:$E$22,0)),ROW($C$2:$C$10000)-ROW($C$2)+1),ROWS(L$20:L275))))</f>
        <v>Kerrie  Worrell</v>
      </c>
      <c r="I275" s="4">
        <f t="array" ref="I275">IF(ROWS(M$20:M275)&gt;$F$6,"",INDEX(C$2:C$10000,SMALL(IF(ISNUMBER(MATCH($B$2:$B$10000,$E$6:$E$22,0)),ROW($C$2:$C$10000)-ROW($C$2)+1),ROWS(M$20:M275))))</f>
        <v>3</v>
      </c>
      <c r="K275" s="7">
        <f t="array" ref="K275">IF(ROWS(K$20:K275)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275))))</f>
        <v>41501</v>
      </c>
      <c r="L275" s="4" t="str">
        <f t="array" ref="L275">IF(ROWS(L$20:L275)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275))))</f>
        <v>Kerrie  Worrell</v>
      </c>
      <c r="M275" s="4">
        <f t="array" ref="M275">IF(ROWS(M$20:M275)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275))))</f>
        <v>3</v>
      </c>
    </row>
    <row r="276" spans="1:13" x14ac:dyDescent="0.25">
      <c r="A276" s="3">
        <v>41588</v>
      </c>
      <c r="B276" s="2" t="s">
        <v>12</v>
      </c>
      <c r="C276" s="2">
        <v>32</v>
      </c>
      <c r="G276" s="7">
        <f t="array" ref="G276">IF(ROWS(K$20:K276)&gt;$F$6,"",INDEX(A$2:A$10000,SMALL(IF(ISNUMBER(MATCH($B$2:$B$10000,$E$6:$E$22,0)),ROW($C$2:$C$10000)-ROW($C$2)+1),ROWS(K$20:K276))))</f>
        <v>41814</v>
      </c>
      <c r="H276" s="4" t="str">
        <f t="array" ref="H276">IF(ROWS(L$20:L276)&gt;$F$6,"",INDEX(B$2:B$10000,SMALL(IF(ISNUMBER(MATCH($B$2:$B$10000,$E$6:$E$22,0)),ROW($C$2:$C$10000)-ROW($C$2)+1),ROWS(L$20:L276))))</f>
        <v>Iliana  Valerio</v>
      </c>
      <c r="I276" s="4">
        <f t="array" ref="I276">IF(ROWS(M$20:M276)&gt;$F$6,"",INDEX(C$2:C$10000,SMALL(IF(ISNUMBER(MATCH($B$2:$B$10000,$E$6:$E$22,0)),ROW($C$2:$C$10000)-ROW($C$2)+1),ROWS(M$20:M276))))</f>
        <v>7</v>
      </c>
      <c r="K276" s="7">
        <f t="array" ref="K276">IF(ROWS(K$20:K276)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276))))</f>
        <v>41814</v>
      </c>
      <c r="L276" s="4" t="str">
        <f t="array" ref="L276">IF(ROWS(L$20:L276)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276))))</f>
        <v>Iliana  Valerio</v>
      </c>
      <c r="M276" s="4">
        <f t="array" ref="M276">IF(ROWS(M$20:M276)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276))))</f>
        <v>7</v>
      </c>
    </row>
    <row r="277" spans="1:13" x14ac:dyDescent="0.25">
      <c r="A277" s="3">
        <v>41549</v>
      </c>
      <c r="B277" s="2" t="s">
        <v>50</v>
      </c>
      <c r="C277" s="2">
        <v>44</v>
      </c>
      <c r="G277" s="7">
        <f t="array" ref="G277">IF(ROWS(K$20:K277)&gt;$F$6,"",INDEX(A$2:A$10000,SMALL(IF(ISNUMBER(MATCH($B$2:$B$10000,$E$6:$E$22,0)),ROW($C$2:$C$10000)-ROW($C$2)+1),ROWS(K$20:K277))))</f>
        <v>41294</v>
      </c>
      <c r="H277" s="4" t="str">
        <f t="array" ref="H277">IF(ROWS(L$20:L277)&gt;$F$6,"",INDEX(B$2:B$10000,SMALL(IF(ISNUMBER(MATCH($B$2:$B$10000,$E$6:$E$22,0)),ROW($C$2:$C$10000)-ROW($C$2)+1),ROWS(L$20:L277))))</f>
        <v>Jenni  Thorton</v>
      </c>
      <c r="I277" s="4">
        <f t="array" ref="I277">IF(ROWS(M$20:M277)&gt;$F$6,"",INDEX(C$2:C$10000,SMALL(IF(ISNUMBER(MATCH($B$2:$B$10000,$E$6:$E$22,0)),ROW($C$2:$C$10000)-ROW($C$2)+1),ROWS(M$20:M277))))</f>
        <v>30</v>
      </c>
      <c r="K277" s="7">
        <f t="array" ref="K277">IF(ROWS(K$20:K277)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277))))</f>
        <v>41294</v>
      </c>
      <c r="L277" s="4" t="str">
        <f t="array" ref="L277">IF(ROWS(L$20:L277)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277))))</f>
        <v>Jenni  Thorton</v>
      </c>
      <c r="M277" s="4">
        <f t="array" ref="M277">IF(ROWS(M$20:M277)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277))))</f>
        <v>30</v>
      </c>
    </row>
    <row r="278" spans="1:13" x14ac:dyDescent="0.25">
      <c r="A278" s="3">
        <v>41342</v>
      </c>
      <c r="B278" s="2" t="s">
        <v>6</v>
      </c>
      <c r="C278" s="2">
        <v>5</v>
      </c>
      <c r="G278" s="7">
        <f t="array" ref="G278">IF(ROWS(K$20:K278)&gt;$F$6,"",INDEX(A$2:A$10000,SMALL(IF(ISNUMBER(MATCH($B$2:$B$10000,$E$6:$E$22,0)),ROW($C$2:$C$10000)-ROW($C$2)+1),ROWS(K$20:K278))))</f>
        <v>41563</v>
      </c>
      <c r="H278" s="4" t="str">
        <f t="array" ref="H278">IF(ROWS(L$20:L278)&gt;$F$6,"",INDEX(B$2:B$10000,SMALL(IF(ISNUMBER(MATCH($B$2:$B$10000,$E$6:$E$22,0)),ROW($C$2:$C$10000)-ROW($C$2)+1),ROWS(L$20:L278))))</f>
        <v>Jenni  Thorton</v>
      </c>
      <c r="I278" s="4">
        <f t="array" ref="I278">IF(ROWS(M$20:M278)&gt;$F$6,"",INDEX(C$2:C$10000,SMALL(IF(ISNUMBER(MATCH($B$2:$B$10000,$E$6:$E$22,0)),ROW($C$2:$C$10000)-ROW($C$2)+1),ROWS(M$20:M278))))</f>
        <v>35</v>
      </c>
      <c r="K278" s="7">
        <f t="array" ref="K278">IF(ROWS(K$20:K278)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278))))</f>
        <v>41563</v>
      </c>
      <c r="L278" s="4" t="str">
        <f t="array" ref="L278">IF(ROWS(L$20:L278)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278))))</f>
        <v>Jenni  Thorton</v>
      </c>
      <c r="M278" s="4">
        <f t="array" ref="M278">IF(ROWS(M$20:M278)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278))))</f>
        <v>35</v>
      </c>
    </row>
    <row r="279" spans="1:13" x14ac:dyDescent="0.25">
      <c r="A279" s="3">
        <v>41647</v>
      </c>
      <c r="B279" s="2" t="s">
        <v>15</v>
      </c>
      <c r="C279" s="2">
        <v>23</v>
      </c>
      <c r="G279" s="7">
        <f t="array" ref="G279">IF(ROWS(K$20:K279)&gt;$F$6,"",INDEX(A$2:A$10000,SMALL(IF(ISNUMBER(MATCH($B$2:$B$10000,$E$6:$E$22,0)),ROW($C$2:$C$10000)-ROW($C$2)+1),ROWS(K$20:K279))))</f>
        <v>41761</v>
      </c>
      <c r="H279" s="4" t="str">
        <f t="array" ref="H279">IF(ROWS(L$20:L279)&gt;$F$6,"",INDEX(B$2:B$10000,SMALL(IF(ISNUMBER(MATCH($B$2:$B$10000,$E$6:$E$22,0)),ROW($C$2:$C$10000)-ROW($C$2)+1),ROWS(L$20:L279))))</f>
        <v>Iliana  Valerio</v>
      </c>
      <c r="I279" s="4">
        <f t="array" ref="I279">IF(ROWS(M$20:M279)&gt;$F$6,"",INDEX(C$2:C$10000,SMALL(IF(ISNUMBER(MATCH($B$2:$B$10000,$E$6:$E$22,0)),ROW($C$2:$C$10000)-ROW($C$2)+1),ROWS(M$20:M279))))</f>
        <v>20</v>
      </c>
      <c r="K279" s="7">
        <f t="array" ref="K279">IF(ROWS(K$20:K279)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279))))</f>
        <v>41761</v>
      </c>
      <c r="L279" s="4" t="str">
        <f t="array" ref="L279">IF(ROWS(L$20:L279)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279))))</f>
        <v>Iliana  Valerio</v>
      </c>
      <c r="M279" s="4">
        <f t="array" ref="M279">IF(ROWS(M$20:M279)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279))))</f>
        <v>20</v>
      </c>
    </row>
    <row r="280" spans="1:13" x14ac:dyDescent="0.25">
      <c r="A280" s="3">
        <v>41438</v>
      </c>
      <c r="B280" s="2" t="s">
        <v>14</v>
      </c>
      <c r="C280" s="2">
        <v>22</v>
      </c>
      <c r="G280" s="7">
        <f t="array" ref="G280">IF(ROWS(K$20:K280)&gt;$F$6,"",INDEX(A$2:A$10000,SMALL(IF(ISNUMBER(MATCH($B$2:$B$10000,$E$6:$E$22,0)),ROW($C$2:$C$10000)-ROW($C$2)+1),ROWS(K$20:K280))))</f>
        <v>41655</v>
      </c>
      <c r="H280" s="4" t="str">
        <f t="array" ref="H280">IF(ROWS(L$20:L280)&gt;$F$6,"",INDEX(B$2:B$10000,SMALL(IF(ISNUMBER(MATCH($B$2:$B$10000,$E$6:$E$22,0)),ROW($C$2:$C$10000)-ROW($C$2)+1),ROWS(L$20:L280))))</f>
        <v>Kerrie  Worrell</v>
      </c>
      <c r="I280" s="4">
        <f t="array" ref="I280">IF(ROWS(M$20:M280)&gt;$F$6,"",INDEX(C$2:C$10000,SMALL(IF(ISNUMBER(MATCH($B$2:$B$10000,$E$6:$E$22,0)),ROW($C$2:$C$10000)-ROW($C$2)+1),ROWS(M$20:M280))))</f>
        <v>10</v>
      </c>
      <c r="K280" s="7">
        <f t="array" ref="K280">IF(ROWS(K$20:K280)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280))))</f>
        <v>41655</v>
      </c>
      <c r="L280" s="4" t="str">
        <f t="array" ref="L280">IF(ROWS(L$20:L280)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280))))</f>
        <v>Kerrie  Worrell</v>
      </c>
      <c r="M280" s="4">
        <f t="array" ref="M280">IF(ROWS(M$20:M280)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280))))</f>
        <v>10</v>
      </c>
    </row>
    <row r="281" spans="1:13" x14ac:dyDescent="0.25">
      <c r="A281" s="3">
        <v>41758</v>
      </c>
      <c r="B281" s="2" t="s">
        <v>43</v>
      </c>
      <c r="C281" s="2">
        <v>42</v>
      </c>
      <c r="G281" s="7">
        <f t="array" ref="G281">IF(ROWS(K$20:K281)&gt;$F$6,"",INDEX(A$2:A$10000,SMALL(IF(ISNUMBER(MATCH($B$2:$B$10000,$E$6:$E$22,0)),ROW($C$2:$C$10000)-ROW($C$2)+1),ROWS(K$20:K281))))</f>
        <v>41493</v>
      </c>
      <c r="H281" s="4" t="str">
        <f t="array" ref="H281">IF(ROWS(L$20:L281)&gt;$F$6,"",INDEX(B$2:B$10000,SMALL(IF(ISNUMBER(MATCH($B$2:$B$10000,$E$6:$E$22,0)),ROW($C$2:$C$10000)-ROW($C$2)+1),ROWS(L$20:L281))))</f>
        <v>Jenni  Thorton</v>
      </c>
      <c r="I281" s="4">
        <f t="array" ref="I281">IF(ROWS(M$20:M281)&gt;$F$6,"",INDEX(C$2:C$10000,SMALL(IF(ISNUMBER(MATCH($B$2:$B$10000,$E$6:$E$22,0)),ROW($C$2:$C$10000)-ROW($C$2)+1),ROWS(M$20:M281))))</f>
        <v>13</v>
      </c>
      <c r="K281" s="7">
        <f t="array" ref="K281">IF(ROWS(K$20:K281)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281))))</f>
        <v>41493</v>
      </c>
      <c r="L281" s="4" t="str">
        <f t="array" ref="L281">IF(ROWS(L$20:L281)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281))))</f>
        <v>Jenni  Thorton</v>
      </c>
      <c r="M281" s="4">
        <f t="array" ref="M281">IF(ROWS(M$20:M281)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281))))</f>
        <v>13</v>
      </c>
    </row>
    <row r="282" spans="1:13" x14ac:dyDescent="0.25">
      <c r="A282" s="3">
        <v>41715</v>
      </c>
      <c r="B282" s="2" t="s">
        <v>42</v>
      </c>
      <c r="C282" s="2">
        <v>61</v>
      </c>
      <c r="G282" s="7">
        <f t="array" ref="G282">IF(ROWS(K$20:K282)&gt;$F$6,"",INDEX(A$2:A$10000,SMALL(IF(ISNUMBER(MATCH($B$2:$B$10000,$E$6:$E$22,0)),ROW($C$2:$C$10000)-ROW($C$2)+1),ROWS(K$20:K282))))</f>
        <v>41507</v>
      </c>
      <c r="H282" s="4" t="str">
        <f t="array" ref="H282">IF(ROWS(L$20:L282)&gt;$F$6,"",INDEX(B$2:B$10000,SMALL(IF(ISNUMBER(MATCH($B$2:$B$10000,$E$6:$E$22,0)),ROW($C$2:$C$10000)-ROW($C$2)+1),ROWS(L$20:L282))))</f>
        <v>Iliana  Valerio</v>
      </c>
      <c r="I282" s="4">
        <f t="array" ref="I282">IF(ROWS(M$20:M282)&gt;$F$6,"",INDEX(C$2:C$10000,SMALL(IF(ISNUMBER(MATCH($B$2:$B$10000,$E$6:$E$22,0)),ROW($C$2:$C$10000)-ROW($C$2)+1),ROWS(M$20:M282))))</f>
        <v>6</v>
      </c>
      <c r="K282" s="7">
        <f t="array" ref="K282">IF(ROWS(K$20:K282)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282))))</f>
        <v>41507</v>
      </c>
      <c r="L282" s="4" t="str">
        <f t="array" ref="L282">IF(ROWS(L$20:L282)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282))))</f>
        <v>Iliana  Valerio</v>
      </c>
      <c r="M282" s="4">
        <f t="array" ref="M282">IF(ROWS(M$20:M282)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282))))</f>
        <v>6</v>
      </c>
    </row>
    <row r="283" spans="1:13" x14ac:dyDescent="0.25">
      <c r="A283" s="3">
        <v>41320</v>
      </c>
      <c r="B283" s="2" t="s">
        <v>11</v>
      </c>
      <c r="C283" s="2">
        <v>40</v>
      </c>
      <c r="G283" s="7">
        <f t="array" ref="G283">IF(ROWS(K$20:K283)&gt;$F$6,"",INDEX(A$2:A$10000,SMALL(IF(ISNUMBER(MATCH($B$2:$B$10000,$E$6:$E$22,0)),ROW($C$2:$C$10000)-ROW($C$2)+1),ROWS(K$20:K283))))</f>
        <v>41849</v>
      </c>
      <c r="H283" s="4" t="str">
        <f t="array" ref="H283">IF(ROWS(L$20:L283)&gt;$F$6,"",INDEX(B$2:B$10000,SMALL(IF(ISNUMBER(MATCH($B$2:$B$10000,$E$6:$E$22,0)),ROW($C$2:$C$10000)-ROW($C$2)+1),ROWS(L$20:L283))))</f>
        <v>Mickey  Bolduc</v>
      </c>
      <c r="I283" s="4">
        <f t="array" ref="I283">IF(ROWS(M$20:M283)&gt;$F$6,"",INDEX(C$2:C$10000,SMALL(IF(ISNUMBER(MATCH($B$2:$B$10000,$E$6:$E$22,0)),ROW($C$2:$C$10000)-ROW($C$2)+1),ROWS(M$20:M283))))</f>
        <v>42</v>
      </c>
      <c r="K283" s="7">
        <f t="array" ref="K283">IF(ROWS(K$20:K283)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283))))</f>
        <v>41849</v>
      </c>
      <c r="L283" s="4" t="str">
        <f t="array" ref="L283">IF(ROWS(L$20:L283)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283))))</f>
        <v>Mickey  Bolduc</v>
      </c>
      <c r="M283" s="4">
        <f t="array" ref="M283">IF(ROWS(M$20:M283)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283))))</f>
        <v>42</v>
      </c>
    </row>
    <row r="284" spans="1:13" x14ac:dyDescent="0.25">
      <c r="A284" s="3">
        <v>41544</v>
      </c>
      <c r="B284" s="2" t="s">
        <v>23</v>
      </c>
      <c r="C284" s="2">
        <v>20</v>
      </c>
      <c r="G284" s="7">
        <f t="array" ref="G284">IF(ROWS(K$20:K284)&gt;$F$6,"",INDEX(A$2:A$10000,SMALL(IF(ISNUMBER(MATCH($B$2:$B$10000,$E$6:$E$22,0)),ROW($C$2:$C$10000)-ROW($C$2)+1),ROWS(K$20:K284))))</f>
        <v>41761</v>
      </c>
      <c r="H284" s="4" t="str">
        <f t="array" ref="H284">IF(ROWS(L$20:L284)&gt;$F$6,"",INDEX(B$2:B$10000,SMALL(IF(ISNUMBER(MATCH($B$2:$B$10000,$E$6:$E$22,0)),ROW($C$2:$C$10000)-ROW($C$2)+1),ROWS(L$20:L284))))</f>
        <v>Galen  Barth</v>
      </c>
      <c r="I284" s="4">
        <f t="array" ref="I284">IF(ROWS(M$20:M284)&gt;$F$6,"",INDEX(C$2:C$10000,SMALL(IF(ISNUMBER(MATCH($B$2:$B$10000,$E$6:$E$22,0)),ROW($C$2:$C$10000)-ROW($C$2)+1),ROWS(M$20:M284))))</f>
        <v>51</v>
      </c>
      <c r="K284" s="7">
        <f t="array" ref="K284">IF(ROWS(K$20:K284)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284))))</f>
        <v>41761</v>
      </c>
      <c r="L284" s="4" t="str">
        <f t="array" ref="L284">IF(ROWS(L$20:L284)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284))))</f>
        <v>Galen  Barth</v>
      </c>
      <c r="M284" s="4">
        <f t="array" ref="M284">IF(ROWS(M$20:M284)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284))))</f>
        <v>51</v>
      </c>
    </row>
    <row r="285" spans="1:13" x14ac:dyDescent="0.25">
      <c r="A285" s="3">
        <v>41548</v>
      </c>
      <c r="B285" s="2" t="s">
        <v>50</v>
      </c>
      <c r="C285" s="2">
        <v>29</v>
      </c>
      <c r="G285" s="7">
        <f t="array" ref="G285">IF(ROWS(K$20:K285)&gt;$F$6,"",INDEX(A$2:A$10000,SMALL(IF(ISNUMBER(MATCH($B$2:$B$10000,$E$6:$E$22,0)),ROW($C$2:$C$10000)-ROW($C$2)+1),ROWS(K$20:K285))))</f>
        <v>41276</v>
      </c>
      <c r="H285" s="4" t="str">
        <f t="array" ref="H285">IF(ROWS(L$20:L285)&gt;$F$6,"",INDEX(B$2:B$10000,SMALL(IF(ISNUMBER(MATCH($B$2:$B$10000,$E$6:$E$22,0)),ROW($C$2:$C$10000)-ROW($C$2)+1),ROWS(L$20:L285))))</f>
        <v>Galen  Barth</v>
      </c>
      <c r="I285" s="4">
        <f t="array" ref="I285">IF(ROWS(M$20:M285)&gt;$F$6,"",INDEX(C$2:C$10000,SMALL(IF(ISNUMBER(MATCH($B$2:$B$10000,$E$6:$E$22,0)),ROW($C$2:$C$10000)-ROW($C$2)+1),ROWS(M$20:M285))))</f>
        <v>32</v>
      </c>
      <c r="K285" s="7">
        <f t="array" ref="K285">IF(ROWS(K$20:K285)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285))))</f>
        <v>41276</v>
      </c>
      <c r="L285" s="4" t="str">
        <f t="array" ref="L285">IF(ROWS(L$20:L285)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285))))</f>
        <v>Galen  Barth</v>
      </c>
      <c r="M285" s="4">
        <f t="array" ref="M285">IF(ROWS(M$20:M285)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285))))</f>
        <v>32</v>
      </c>
    </row>
    <row r="286" spans="1:13" x14ac:dyDescent="0.25">
      <c r="A286" s="3">
        <v>41543</v>
      </c>
      <c r="B286" s="2" t="s">
        <v>7</v>
      </c>
      <c r="C286" s="2">
        <v>23</v>
      </c>
      <c r="G286" s="7">
        <f t="array" ref="G286">IF(ROWS(K$20:K286)&gt;$F$6,"",INDEX(A$2:A$10000,SMALL(IF(ISNUMBER(MATCH($B$2:$B$10000,$E$6:$E$22,0)),ROW($C$2:$C$10000)-ROW($C$2)+1),ROWS(K$20:K286))))</f>
        <v>41787</v>
      </c>
      <c r="H286" s="4" t="str">
        <f t="array" ref="H286">IF(ROWS(L$20:L286)&gt;$F$6,"",INDEX(B$2:B$10000,SMALL(IF(ISNUMBER(MATCH($B$2:$B$10000,$E$6:$E$22,0)),ROW($C$2:$C$10000)-ROW($C$2)+1),ROWS(L$20:L286))))</f>
        <v>Rosamond  Allard</v>
      </c>
      <c r="I286" s="4">
        <f t="array" ref="I286">IF(ROWS(M$20:M286)&gt;$F$6,"",INDEX(C$2:C$10000,SMALL(IF(ISNUMBER(MATCH($B$2:$B$10000,$E$6:$E$22,0)),ROW($C$2:$C$10000)-ROW($C$2)+1),ROWS(M$20:M286))))</f>
        <v>28</v>
      </c>
      <c r="K286" s="7">
        <f t="array" ref="K286">IF(ROWS(K$20:K286)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286))))</f>
        <v>41787</v>
      </c>
      <c r="L286" s="4" t="str">
        <f t="array" ref="L286">IF(ROWS(L$20:L286)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286))))</f>
        <v>Rosamond  Allard</v>
      </c>
      <c r="M286" s="4">
        <f t="array" ref="M286">IF(ROWS(M$20:M286)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286))))</f>
        <v>28</v>
      </c>
    </row>
    <row r="287" spans="1:13" x14ac:dyDescent="0.25">
      <c r="A287" s="3">
        <v>41965</v>
      </c>
      <c r="B287" s="2" t="s">
        <v>14</v>
      </c>
      <c r="C287" s="2">
        <v>45</v>
      </c>
      <c r="G287" s="7">
        <f t="array" ref="G287">IF(ROWS(K$20:K287)&gt;$F$6,"",INDEX(A$2:A$10000,SMALL(IF(ISNUMBER(MATCH($B$2:$B$10000,$E$6:$E$22,0)),ROW($C$2:$C$10000)-ROW($C$2)+1),ROWS(K$20:K287))))</f>
        <v>41295</v>
      </c>
      <c r="H287" s="4" t="str">
        <f t="array" ref="H287">IF(ROWS(L$20:L287)&gt;$F$6,"",INDEX(B$2:B$10000,SMALL(IF(ISNUMBER(MATCH($B$2:$B$10000,$E$6:$E$22,0)),ROW($C$2:$C$10000)-ROW($C$2)+1),ROWS(L$20:L287))))</f>
        <v>Jenni  Thorton</v>
      </c>
      <c r="I287" s="4">
        <f t="array" ref="I287">IF(ROWS(M$20:M287)&gt;$F$6,"",INDEX(C$2:C$10000,SMALL(IF(ISNUMBER(MATCH($B$2:$B$10000,$E$6:$E$22,0)),ROW($C$2:$C$10000)-ROW($C$2)+1),ROWS(M$20:M287))))</f>
        <v>47</v>
      </c>
      <c r="K287" s="7">
        <f t="array" ref="K287">IF(ROWS(K$20:K287)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287))))</f>
        <v>41295</v>
      </c>
      <c r="L287" s="4" t="str">
        <f t="array" ref="L287">IF(ROWS(L$20:L287)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287))))</f>
        <v>Jenni  Thorton</v>
      </c>
      <c r="M287" s="4">
        <f t="array" ref="M287">IF(ROWS(M$20:M287)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287))))</f>
        <v>47</v>
      </c>
    </row>
    <row r="288" spans="1:13" x14ac:dyDescent="0.25">
      <c r="A288" s="3">
        <v>41465</v>
      </c>
      <c r="B288" s="2" t="s">
        <v>34</v>
      </c>
      <c r="C288" s="2">
        <v>38</v>
      </c>
      <c r="G288" s="7">
        <f t="array" ref="G288">IF(ROWS(K$20:K288)&gt;$F$6,"",INDEX(A$2:A$10000,SMALL(IF(ISNUMBER(MATCH($B$2:$B$10000,$E$6:$E$22,0)),ROW($C$2:$C$10000)-ROW($C$2)+1),ROWS(K$20:K288))))</f>
        <v>41762</v>
      </c>
      <c r="H288" s="4" t="str">
        <f t="array" ref="H288">IF(ROWS(L$20:L288)&gt;$F$6,"",INDEX(B$2:B$10000,SMALL(IF(ISNUMBER(MATCH($B$2:$B$10000,$E$6:$E$22,0)),ROW($C$2:$C$10000)-ROW($C$2)+1),ROWS(L$20:L288))))</f>
        <v>Mickey  Bolduc</v>
      </c>
      <c r="I288" s="4">
        <f t="array" ref="I288">IF(ROWS(M$20:M288)&gt;$F$6,"",INDEX(C$2:C$10000,SMALL(IF(ISNUMBER(MATCH($B$2:$B$10000,$E$6:$E$22,0)),ROW($C$2:$C$10000)-ROW($C$2)+1),ROWS(M$20:M288))))</f>
        <v>37</v>
      </c>
      <c r="K288" s="7">
        <f t="array" ref="K288">IF(ROWS(K$20:K288)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288))))</f>
        <v>41762</v>
      </c>
      <c r="L288" s="4" t="str">
        <f t="array" ref="L288">IF(ROWS(L$20:L288)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288))))</f>
        <v>Mickey  Bolduc</v>
      </c>
      <c r="M288" s="4">
        <f t="array" ref="M288">IF(ROWS(M$20:M288)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288))))</f>
        <v>37</v>
      </c>
    </row>
    <row r="289" spans="1:13" x14ac:dyDescent="0.25">
      <c r="A289" s="3">
        <v>41563</v>
      </c>
      <c r="B289" s="2" t="s">
        <v>13</v>
      </c>
      <c r="C289" s="2">
        <v>22</v>
      </c>
      <c r="G289" s="7">
        <f t="array" ref="G289">IF(ROWS(K$20:K289)&gt;$F$6,"",INDEX(A$2:A$10000,SMALL(IF(ISNUMBER(MATCH($B$2:$B$10000,$E$6:$E$22,0)),ROW($C$2:$C$10000)-ROW($C$2)+1),ROWS(K$20:K289))))</f>
        <v>41421</v>
      </c>
      <c r="H289" s="4" t="str">
        <f t="array" ref="H289">IF(ROWS(L$20:L289)&gt;$F$6,"",INDEX(B$2:B$10000,SMALL(IF(ISNUMBER(MATCH($B$2:$B$10000,$E$6:$E$22,0)),ROW($C$2:$C$10000)-ROW($C$2)+1),ROWS(L$20:L289))))</f>
        <v>Galen  Barth</v>
      </c>
      <c r="I289" s="4">
        <f t="array" ref="I289">IF(ROWS(M$20:M289)&gt;$F$6,"",INDEX(C$2:C$10000,SMALL(IF(ISNUMBER(MATCH($B$2:$B$10000,$E$6:$E$22,0)),ROW($C$2:$C$10000)-ROW($C$2)+1),ROWS(M$20:M289))))</f>
        <v>44</v>
      </c>
      <c r="K289" s="7">
        <f t="array" ref="K289">IF(ROWS(K$20:K289)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289))))</f>
        <v>41421</v>
      </c>
      <c r="L289" s="4" t="str">
        <f t="array" ref="L289">IF(ROWS(L$20:L289)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289))))</f>
        <v>Galen  Barth</v>
      </c>
      <c r="M289" s="4">
        <f t="array" ref="M289">IF(ROWS(M$20:M289)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289))))</f>
        <v>44</v>
      </c>
    </row>
    <row r="290" spans="1:13" x14ac:dyDescent="0.25">
      <c r="A290" s="3">
        <v>41672</v>
      </c>
      <c r="B290" s="2" t="s">
        <v>4</v>
      </c>
      <c r="C290" s="2">
        <v>36</v>
      </c>
      <c r="G290" s="7">
        <f t="array" ref="G290">IF(ROWS(K$20:K290)&gt;$F$6,"",INDEX(A$2:A$10000,SMALL(IF(ISNUMBER(MATCH($B$2:$B$10000,$E$6:$E$22,0)),ROW($C$2:$C$10000)-ROW($C$2)+1),ROWS(K$20:K290))))</f>
        <v>41439</v>
      </c>
      <c r="H290" s="4" t="str">
        <f t="array" ref="H290">IF(ROWS(L$20:L290)&gt;$F$6,"",INDEX(B$2:B$10000,SMALL(IF(ISNUMBER(MATCH($B$2:$B$10000,$E$6:$E$22,0)),ROW($C$2:$C$10000)-ROW($C$2)+1),ROWS(L$20:L290))))</f>
        <v>Jenni  Thorton</v>
      </c>
      <c r="I290" s="4">
        <f t="array" ref="I290">IF(ROWS(M$20:M290)&gt;$F$6,"",INDEX(C$2:C$10000,SMALL(IF(ISNUMBER(MATCH($B$2:$B$10000,$E$6:$E$22,0)),ROW($C$2:$C$10000)-ROW($C$2)+1),ROWS(M$20:M290))))</f>
        <v>1</v>
      </c>
      <c r="K290" s="7">
        <f t="array" ref="K290">IF(ROWS(K$20:K290)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290))))</f>
        <v>41439</v>
      </c>
      <c r="L290" s="4" t="str">
        <f t="array" ref="L290">IF(ROWS(L$20:L290)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290))))</f>
        <v>Jenni  Thorton</v>
      </c>
      <c r="M290" s="4">
        <f t="array" ref="M290">IF(ROWS(M$20:M290)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290))))</f>
        <v>1</v>
      </c>
    </row>
    <row r="291" spans="1:13" x14ac:dyDescent="0.25">
      <c r="A291" s="3">
        <v>41613</v>
      </c>
      <c r="B291" s="2" t="s">
        <v>13</v>
      </c>
      <c r="C291" s="2">
        <v>41</v>
      </c>
      <c r="G291" s="7">
        <f t="array" ref="G291">IF(ROWS(K$20:K291)&gt;$F$6,"",INDEX(A$2:A$10000,SMALL(IF(ISNUMBER(MATCH($B$2:$B$10000,$E$6:$E$22,0)),ROW($C$2:$C$10000)-ROW($C$2)+1),ROWS(K$20:K291))))</f>
        <v>41932</v>
      </c>
      <c r="H291" s="4" t="str">
        <f t="array" ref="H291">IF(ROWS(L$20:L291)&gt;$F$6,"",INDEX(B$2:B$10000,SMALL(IF(ISNUMBER(MATCH($B$2:$B$10000,$E$6:$E$22,0)),ROW($C$2:$C$10000)-ROW($C$2)+1),ROWS(L$20:L291))))</f>
        <v>Jenni  Thorton</v>
      </c>
      <c r="I291" s="4">
        <f t="array" ref="I291">IF(ROWS(M$20:M291)&gt;$F$6,"",INDEX(C$2:C$10000,SMALL(IF(ISNUMBER(MATCH($B$2:$B$10000,$E$6:$E$22,0)),ROW($C$2:$C$10000)-ROW($C$2)+1),ROWS(M$20:M291))))</f>
        <v>10</v>
      </c>
      <c r="K291" s="7">
        <f t="array" ref="K291">IF(ROWS(K$20:K291)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291))))</f>
        <v>41932</v>
      </c>
      <c r="L291" s="4" t="str">
        <f t="array" ref="L291">IF(ROWS(L$20:L291)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291))))</f>
        <v>Jenni  Thorton</v>
      </c>
      <c r="M291" s="4">
        <f t="array" ref="M291">IF(ROWS(M$20:M291)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291))))</f>
        <v>10</v>
      </c>
    </row>
    <row r="292" spans="1:13" x14ac:dyDescent="0.25">
      <c r="A292" s="3">
        <v>41538</v>
      </c>
      <c r="B292" s="2" t="s">
        <v>28</v>
      </c>
      <c r="C292" s="2">
        <v>38</v>
      </c>
      <c r="G292" s="7">
        <f t="array" ref="G292">IF(ROWS(K$20:K292)&gt;$F$6,"",INDEX(A$2:A$10000,SMALL(IF(ISNUMBER(MATCH($B$2:$B$10000,$E$6:$E$22,0)),ROW($C$2:$C$10000)-ROW($C$2)+1),ROWS(K$20:K292))))</f>
        <v>41852</v>
      </c>
      <c r="H292" s="4" t="str">
        <f t="array" ref="H292">IF(ROWS(L$20:L292)&gt;$F$6,"",INDEX(B$2:B$10000,SMALL(IF(ISNUMBER(MATCH($B$2:$B$10000,$E$6:$E$22,0)),ROW($C$2:$C$10000)-ROW($C$2)+1),ROWS(L$20:L292))))</f>
        <v>Galen  Barth</v>
      </c>
      <c r="I292" s="4">
        <f t="array" ref="I292">IF(ROWS(M$20:M292)&gt;$F$6,"",INDEX(C$2:C$10000,SMALL(IF(ISNUMBER(MATCH($B$2:$B$10000,$E$6:$E$22,0)),ROW($C$2:$C$10000)-ROW($C$2)+1),ROWS(M$20:M292))))</f>
        <v>17</v>
      </c>
      <c r="K292" s="7">
        <f t="array" ref="K292">IF(ROWS(K$20:K292)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292))))</f>
        <v>41852</v>
      </c>
      <c r="L292" s="4" t="str">
        <f t="array" ref="L292">IF(ROWS(L$20:L292)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292))))</f>
        <v>Galen  Barth</v>
      </c>
      <c r="M292" s="4">
        <f t="array" ref="M292">IF(ROWS(M$20:M292)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292))))</f>
        <v>17</v>
      </c>
    </row>
    <row r="293" spans="1:13" x14ac:dyDescent="0.25">
      <c r="A293" s="3">
        <v>41555</v>
      </c>
      <c r="B293" s="2" t="s">
        <v>11</v>
      </c>
      <c r="C293" s="2">
        <v>33</v>
      </c>
      <c r="G293" s="7">
        <f t="array" ref="G293">IF(ROWS(K$20:K293)&gt;$F$6,"",INDEX(A$2:A$10000,SMALL(IF(ISNUMBER(MATCH($B$2:$B$10000,$E$6:$E$22,0)),ROW($C$2:$C$10000)-ROW($C$2)+1),ROWS(K$20:K293))))</f>
        <v>41287</v>
      </c>
      <c r="H293" s="4" t="str">
        <f t="array" ref="H293">IF(ROWS(L$20:L293)&gt;$F$6,"",INDEX(B$2:B$10000,SMALL(IF(ISNUMBER(MATCH($B$2:$B$10000,$E$6:$E$22,0)),ROW($C$2:$C$10000)-ROW($C$2)+1),ROWS(L$20:L293))))</f>
        <v>Rosamond  Allard</v>
      </c>
      <c r="I293" s="4">
        <f t="array" ref="I293">IF(ROWS(M$20:M293)&gt;$F$6,"",INDEX(C$2:C$10000,SMALL(IF(ISNUMBER(MATCH($B$2:$B$10000,$E$6:$E$22,0)),ROW($C$2:$C$10000)-ROW($C$2)+1),ROWS(M$20:M293))))</f>
        <v>5</v>
      </c>
      <c r="K293" s="7">
        <f t="array" ref="K293">IF(ROWS(K$20:K293)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293))))</f>
        <v>41287</v>
      </c>
      <c r="L293" s="4" t="str">
        <f t="array" ref="L293">IF(ROWS(L$20:L293)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293))))</f>
        <v>Rosamond  Allard</v>
      </c>
      <c r="M293" s="4">
        <f t="array" ref="M293">IF(ROWS(M$20:M293)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293))))</f>
        <v>5</v>
      </c>
    </row>
    <row r="294" spans="1:13" x14ac:dyDescent="0.25">
      <c r="A294" s="3">
        <v>41722</v>
      </c>
      <c r="B294" s="2" t="s">
        <v>3</v>
      </c>
      <c r="C294" s="2">
        <v>21</v>
      </c>
      <c r="G294" s="7">
        <f t="array" ref="G294">IF(ROWS(K$20:K294)&gt;$F$6,"",INDEX(A$2:A$10000,SMALL(IF(ISNUMBER(MATCH($B$2:$B$10000,$E$6:$E$22,0)),ROW($C$2:$C$10000)-ROW($C$2)+1),ROWS(K$20:K294))))</f>
        <v>41374</v>
      </c>
      <c r="H294" s="4" t="str">
        <f t="array" ref="H294">IF(ROWS(L$20:L294)&gt;$F$6,"",INDEX(B$2:B$10000,SMALL(IF(ISNUMBER(MATCH($B$2:$B$10000,$E$6:$E$22,0)),ROW($C$2:$C$10000)-ROW($C$2)+1),ROWS(L$20:L294))))</f>
        <v>Mickey  Bolduc</v>
      </c>
      <c r="I294" s="4">
        <f t="array" ref="I294">IF(ROWS(M$20:M294)&gt;$F$6,"",INDEX(C$2:C$10000,SMALL(IF(ISNUMBER(MATCH($B$2:$B$10000,$E$6:$E$22,0)),ROW($C$2:$C$10000)-ROW($C$2)+1),ROWS(M$20:M294))))</f>
        <v>28</v>
      </c>
      <c r="K294" s="7">
        <f t="array" ref="K294">IF(ROWS(K$20:K294)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294))))</f>
        <v>41374</v>
      </c>
      <c r="L294" s="4" t="str">
        <f t="array" ref="L294">IF(ROWS(L$20:L294)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294))))</f>
        <v>Mickey  Bolduc</v>
      </c>
      <c r="M294" s="4">
        <f t="array" ref="M294">IF(ROWS(M$20:M294)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294))))</f>
        <v>28</v>
      </c>
    </row>
    <row r="295" spans="1:13" x14ac:dyDescent="0.25">
      <c r="A295" s="3">
        <v>41668</v>
      </c>
      <c r="B295" s="2" t="s">
        <v>17</v>
      </c>
      <c r="C295" s="2">
        <v>2</v>
      </c>
      <c r="G295" s="7">
        <f t="array" ref="G295">IF(ROWS(K$20:K295)&gt;$F$6,"",INDEX(A$2:A$10000,SMALL(IF(ISNUMBER(MATCH($B$2:$B$10000,$E$6:$E$22,0)),ROW($C$2:$C$10000)-ROW($C$2)+1),ROWS(K$20:K295))))</f>
        <v>41589</v>
      </c>
      <c r="H295" s="4" t="str">
        <f t="array" ref="H295">IF(ROWS(L$20:L295)&gt;$F$6,"",INDEX(B$2:B$10000,SMALL(IF(ISNUMBER(MATCH($B$2:$B$10000,$E$6:$E$22,0)),ROW($C$2:$C$10000)-ROW($C$2)+1),ROWS(L$20:L295))))</f>
        <v>Iliana  Valerio</v>
      </c>
      <c r="I295" s="4">
        <f t="array" ref="I295">IF(ROWS(M$20:M295)&gt;$F$6,"",INDEX(C$2:C$10000,SMALL(IF(ISNUMBER(MATCH($B$2:$B$10000,$E$6:$E$22,0)),ROW($C$2:$C$10000)-ROW($C$2)+1),ROWS(M$20:M295))))</f>
        <v>17</v>
      </c>
      <c r="K295" s="7">
        <f t="array" ref="K295">IF(ROWS(K$20:K295)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295))))</f>
        <v>41589</v>
      </c>
      <c r="L295" s="4" t="str">
        <f t="array" ref="L295">IF(ROWS(L$20:L295)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295))))</f>
        <v>Iliana  Valerio</v>
      </c>
      <c r="M295" s="4">
        <f t="array" ref="M295">IF(ROWS(M$20:M295)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295))))</f>
        <v>17</v>
      </c>
    </row>
    <row r="296" spans="1:13" x14ac:dyDescent="0.25">
      <c r="A296" s="3">
        <v>41999</v>
      </c>
      <c r="B296" s="2" t="s">
        <v>49</v>
      </c>
      <c r="C296" s="2">
        <v>20</v>
      </c>
      <c r="G296" s="7">
        <f t="array" ref="G296">IF(ROWS(K$20:K296)&gt;$F$6,"",INDEX(A$2:A$10000,SMALL(IF(ISNUMBER(MATCH($B$2:$B$10000,$E$6:$E$22,0)),ROW($C$2:$C$10000)-ROW($C$2)+1),ROWS(K$20:K296))))</f>
        <v>41576</v>
      </c>
      <c r="H296" s="4" t="str">
        <f t="array" ref="H296">IF(ROWS(L$20:L296)&gt;$F$6,"",INDEX(B$2:B$10000,SMALL(IF(ISNUMBER(MATCH($B$2:$B$10000,$E$6:$E$22,0)),ROW($C$2:$C$10000)-ROW($C$2)+1),ROWS(L$20:L296))))</f>
        <v>Kerrie  Worrell</v>
      </c>
      <c r="I296" s="4">
        <f t="array" ref="I296">IF(ROWS(M$20:M296)&gt;$F$6,"",INDEX(C$2:C$10000,SMALL(IF(ISNUMBER(MATCH($B$2:$B$10000,$E$6:$E$22,0)),ROW($C$2:$C$10000)-ROW($C$2)+1),ROWS(M$20:M296))))</f>
        <v>7</v>
      </c>
      <c r="K296" s="7">
        <f t="array" ref="K296">IF(ROWS(K$20:K296)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296))))</f>
        <v>41576</v>
      </c>
      <c r="L296" s="4" t="str">
        <f t="array" ref="L296">IF(ROWS(L$20:L296)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296))))</f>
        <v>Kerrie  Worrell</v>
      </c>
      <c r="M296" s="4">
        <f t="array" ref="M296">IF(ROWS(M$20:M296)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296))))</f>
        <v>7</v>
      </c>
    </row>
    <row r="297" spans="1:13" x14ac:dyDescent="0.25">
      <c r="A297" s="3">
        <v>41793</v>
      </c>
      <c r="B297" s="2" t="s">
        <v>16</v>
      </c>
      <c r="C297" s="2">
        <v>30</v>
      </c>
      <c r="G297" s="7">
        <f t="array" ref="G297">IF(ROWS(K$20:K297)&gt;$F$6,"",INDEX(A$2:A$10000,SMALL(IF(ISNUMBER(MATCH($B$2:$B$10000,$E$6:$E$22,0)),ROW($C$2:$C$10000)-ROW($C$2)+1),ROWS(K$20:K297))))</f>
        <v>41949</v>
      </c>
      <c r="H297" s="4" t="str">
        <f t="array" ref="H297">IF(ROWS(L$20:L297)&gt;$F$6,"",INDEX(B$2:B$10000,SMALL(IF(ISNUMBER(MATCH($B$2:$B$10000,$E$6:$E$22,0)),ROW($C$2:$C$10000)-ROW($C$2)+1),ROWS(L$20:L297))))</f>
        <v>Mickey  Bolduc</v>
      </c>
      <c r="I297" s="4">
        <f t="array" ref="I297">IF(ROWS(M$20:M297)&gt;$F$6,"",INDEX(C$2:C$10000,SMALL(IF(ISNUMBER(MATCH($B$2:$B$10000,$E$6:$E$22,0)),ROW($C$2:$C$10000)-ROW($C$2)+1),ROWS(M$20:M297))))</f>
        <v>21</v>
      </c>
      <c r="K297" s="7">
        <f t="array" ref="K297">IF(ROWS(K$20:K297)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297))))</f>
        <v>41949</v>
      </c>
      <c r="L297" s="4" t="str">
        <f t="array" ref="L297">IF(ROWS(L$20:L297)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297))))</f>
        <v>Mickey  Bolduc</v>
      </c>
      <c r="M297" s="4">
        <f t="array" ref="M297">IF(ROWS(M$20:M297)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297))))</f>
        <v>21</v>
      </c>
    </row>
    <row r="298" spans="1:13" x14ac:dyDescent="0.25">
      <c r="A298" s="3">
        <v>41441</v>
      </c>
      <c r="B298" s="2" t="s">
        <v>29</v>
      </c>
      <c r="C298" s="2">
        <v>26</v>
      </c>
      <c r="G298" s="7">
        <f t="array" ref="G298">IF(ROWS(K$20:K298)&gt;$F$6,"",INDEX(A$2:A$10000,SMALL(IF(ISNUMBER(MATCH($B$2:$B$10000,$E$6:$E$22,0)),ROW($C$2:$C$10000)-ROW($C$2)+1),ROWS(K$20:K298))))</f>
        <v>41438</v>
      </c>
      <c r="H298" s="4" t="str">
        <f t="array" ref="H298">IF(ROWS(L$20:L298)&gt;$F$6,"",INDEX(B$2:B$10000,SMALL(IF(ISNUMBER(MATCH($B$2:$B$10000,$E$6:$E$22,0)),ROW($C$2:$C$10000)-ROW($C$2)+1),ROWS(L$20:L298))))</f>
        <v>Mickey  Bolduc</v>
      </c>
      <c r="I298" s="4">
        <f t="array" ref="I298">IF(ROWS(M$20:M298)&gt;$F$6,"",INDEX(C$2:C$10000,SMALL(IF(ISNUMBER(MATCH($B$2:$B$10000,$E$6:$E$22,0)),ROW($C$2:$C$10000)-ROW($C$2)+1),ROWS(M$20:M298))))</f>
        <v>19</v>
      </c>
      <c r="K298" s="7">
        <f t="array" ref="K298">IF(ROWS(K$20:K298)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298))))</f>
        <v>41438</v>
      </c>
      <c r="L298" s="4" t="str">
        <f t="array" ref="L298">IF(ROWS(L$20:L298)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298))))</f>
        <v>Mickey  Bolduc</v>
      </c>
      <c r="M298" s="4">
        <f t="array" ref="M298">IF(ROWS(M$20:M298)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298))))</f>
        <v>19</v>
      </c>
    </row>
    <row r="299" spans="1:13" x14ac:dyDescent="0.25">
      <c r="A299" s="3">
        <v>41381</v>
      </c>
      <c r="B299" s="2" t="s">
        <v>37</v>
      </c>
      <c r="C299" s="2">
        <v>1</v>
      </c>
      <c r="G299" s="7">
        <f t="array" ref="G299">IF(ROWS(K$20:K299)&gt;$F$6,"",INDEX(A$2:A$10000,SMALL(IF(ISNUMBER(MATCH($B$2:$B$10000,$E$6:$E$22,0)),ROW($C$2:$C$10000)-ROW($C$2)+1),ROWS(K$20:K299))))</f>
        <v>41478</v>
      </c>
      <c r="H299" s="4" t="str">
        <f t="array" ref="H299">IF(ROWS(L$20:L299)&gt;$F$6,"",INDEX(B$2:B$10000,SMALL(IF(ISNUMBER(MATCH($B$2:$B$10000,$E$6:$E$22,0)),ROW($C$2:$C$10000)-ROW($C$2)+1),ROWS(L$20:L299))))</f>
        <v>Galen  Barth</v>
      </c>
      <c r="I299" s="4">
        <f t="array" ref="I299">IF(ROWS(M$20:M299)&gt;$F$6,"",INDEX(C$2:C$10000,SMALL(IF(ISNUMBER(MATCH($B$2:$B$10000,$E$6:$E$22,0)),ROW($C$2:$C$10000)-ROW($C$2)+1),ROWS(M$20:M299))))</f>
        <v>35</v>
      </c>
      <c r="K299" s="7">
        <f t="array" ref="K299">IF(ROWS(K$20:K299)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299))))</f>
        <v>41478</v>
      </c>
      <c r="L299" s="4" t="str">
        <f t="array" ref="L299">IF(ROWS(L$20:L299)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299))))</f>
        <v>Galen  Barth</v>
      </c>
      <c r="M299" s="4">
        <f t="array" ref="M299">IF(ROWS(M$20:M299)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299))))</f>
        <v>35</v>
      </c>
    </row>
    <row r="300" spans="1:13" x14ac:dyDescent="0.25">
      <c r="A300" s="3">
        <v>41373</v>
      </c>
      <c r="B300" s="2" t="s">
        <v>51</v>
      </c>
      <c r="C300" s="2">
        <v>22</v>
      </c>
      <c r="G300" s="7">
        <f t="array" ref="G300">IF(ROWS(K$20:K300)&gt;$F$6,"",INDEX(A$2:A$10000,SMALL(IF(ISNUMBER(MATCH($B$2:$B$10000,$E$6:$E$22,0)),ROW($C$2:$C$10000)-ROW($C$2)+1),ROWS(K$20:K300))))</f>
        <v>41447</v>
      </c>
      <c r="H300" s="4" t="str">
        <f t="array" ref="H300">IF(ROWS(L$20:L300)&gt;$F$6,"",INDEX(B$2:B$10000,SMALL(IF(ISNUMBER(MATCH($B$2:$B$10000,$E$6:$E$22,0)),ROW($C$2:$C$10000)-ROW($C$2)+1),ROWS(L$20:L300))))</f>
        <v>Mickey  Bolduc</v>
      </c>
      <c r="I300" s="4">
        <f t="array" ref="I300">IF(ROWS(M$20:M300)&gt;$F$6,"",INDEX(C$2:C$10000,SMALL(IF(ISNUMBER(MATCH($B$2:$B$10000,$E$6:$E$22,0)),ROW($C$2:$C$10000)-ROW($C$2)+1),ROWS(M$20:M300))))</f>
        <v>11</v>
      </c>
      <c r="K300" s="7">
        <f t="array" ref="K300">IF(ROWS(K$20:K300)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300))))</f>
        <v>41447</v>
      </c>
      <c r="L300" s="4" t="str">
        <f t="array" ref="L300">IF(ROWS(L$20:L300)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300))))</f>
        <v>Mickey  Bolduc</v>
      </c>
      <c r="M300" s="4">
        <f t="array" ref="M300">IF(ROWS(M$20:M300)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300))))</f>
        <v>11</v>
      </c>
    </row>
    <row r="301" spans="1:13" x14ac:dyDescent="0.25">
      <c r="A301" s="3">
        <v>41661</v>
      </c>
      <c r="B301" s="2" t="s">
        <v>48</v>
      </c>
      <c r="C301" s="2">
        <v>11</v>
      </c>
      <c r="G301" s="7">
        <f t="array" ref="G301">IF(ROWS(K$20:K301)&gt;$F$6,"",INDEX(A$2:A$10000,SMALL(IF(ISNUMBER(MATCH($B$2:$B$10000,$E$6:$E$22,0)),ROW($C$2:$C$10000)-ROW($C$2)+1),ROWS(K$20:K301))))</f>
        <v>41607</v>
      </c>
      <c r="H301" s="4" t="str">
        <f t="array" ref="H301">IF(ROWS(L$20:L301)&gt;$F$6,"",INDEX(B$2:B$10000,SMALL(IF(ISNUMBER(MATCH($B$2:$B$10000,$E$6:$E$22,0)),ROW($C$2:$C$10000)-ROW($C$2)+1),ROWS(L$20:L301))))</f>
        <v>Jenni  Thorton</v>
      </c>
      <c r="I301" s="4">
        <f t="array" ref="I301">IF(ROWS(M$20:M301)&gt;$F$6,"",INDEX(C$2:C$10000,SMALL(IF(ISNUMBER(MATCH($B$2:$B$10000,$E$6:$E$22,0)),ROW($C$2:$C$10000)-ROW($C$2)+1),ROWS(M$20:M301))))</f>
        <v>48</v>
      </c>
      <c r="K301" s="7">
        <f t="array" ref="K301">IF(ROWS(K$20:K301)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301))))</f>
        <v>41607</v>
      </c>
      <c r="L301" s="4" t="str">
        <f t="array" ref="L301">IF(ROWS(L$20:L301)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301))))</f>
        <v>Jenni  Thorton</v>
      </c>
      <c r="M301" s="4">
        <f t="array" ref="M301">IF(ROWS(M$20:M301)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301))))</f>
        <v>48</v>
      </c>
    </row>
    <row r="302" spans="1:13" x14ac:dyDescent="0.25">
      <c r="A302" s="3">
        <v>41678</v>
      </c>
      <c r="B302" s="2" t="s">
        <v>20</v>
      </c>
      <c r="C302" s="2">
        <v>45</v>
      </c>
      <c r="G302" s="7">
        <f t="array" ref="G302">IF(ROWS(K$20:K302)&gt;$F$6,"",INDEX(A$2:A$10000,SMALL(IF(ISNUMBER(MATCH($B$2:$B$10000,$E$6:$E$22,0)),ROW($C$2:$C$10000)-ROW($C$2)+1),ROWS(K$20:K302))))</f>
        <v>41911</v>
      </c>
      <c r="H302" s="4" t="str">
        <f t="array" ref="H302">IF(ROWS(L$20:L302)&gt;$F$6,"",INDEX(B$2:B$10000,SMALL(IF(ISNUMBER(MATCH($B$2:$B$10000,$E$6:$E$22,0)),ROW($C$2:$C$10000)-ROW($C$2)+1),ROWS(L$20:L302))))</f>
        <v>Mickey  Bolduc</v>
      </c>
      <c r="I302" s="4">
        <f t="array" ref="I302">IF(ROWS(M$20:M302)&gt;$F$6,"",INDEX(C$2:C$10000,SMALL(IF(ISNUMBER(MATCH($B$2:$B$10000,$E$6:$E$22,0)),ROW($C$2:$C$10000)-ROW($C$2)+1),ROWS(M$20:M302))))</f>
        <v>16</v>
      </c>
      <c r="K302" s="7">
        <f t="array" ref="K302">IF(ROWS(K$20:K302)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302))))</f>
        <v>41911</v>
      </c>
      <c r="L302" s="4" t="str">
        <f t="array" ref="L302">IF(ROWS(L$20:L302)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302))))</f>
        <v>Mickey  Bolduc</v>
      </c>
      <c r="M302" s="4">
        <f t="array" ref="M302">IF(ROWS(M$20:M302)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302))))</f>
        <v>16</v>
      </c>
    </row>
    <row r="303" spans="1:13" x14ac:dyDescent="0.25">
      <c r="A303" s="3">
        <v>41892</v>
      </c>
      <c r="B303" s="2" t="s">
        <v>12</v>
      </c>
      <c r="C303" s="2">
        <v>26</v>
      </c>
      <c r="G303" s="7">
        <f t="array" ref="G303">IF(ROWS(K$20:K303)&gt;$F$6,"",INDEX(A$2:A$10000,SMALL(IF(ISNUMBER(MATCH($B$2:$B$10000,$E$6:$E$22,0)),ROW($C$2:$C$10000)-ROW($C$2)+1),ROWS(K$20:K303))))</f>
        <v>41587</v>
      </c>
      <c r="H303" s="4" t="str">
        <f t="array" ref="H303">IF(ROWS(L$20:L303)&gt;$F$6,"",INDEX(B$2:B$10000,SMALL(IF(ISNUMBER(MATCH($B$2:$B$10000,$E$6:$E$22,0)),ROW($C$2:$C$10000)-ROW($C$2)+1),ROWS(L$20:L303))))</f>
        <v>Kerrie  Worrell</v>
      </c>
      <c r="I303" s="4">
        <f t="array" ref="I303">IF(ROWS(M$20:M303)&gt;$F$6,"",INDEX(C$2:C$10000,SMALL(IF(ISNUMBER(MATCH($B$2:$B$10000,$E$6:$E$22,0)),ROW($C$2:$C$10000)-ROW($C$2)+1),ROWS(M$20:M303))))</f>
        <v>17</v>
      </c>
      <c r="K303" s="7">
        <f t="array" ref="K303">IF(ROWS(K$20:K303)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303))))</f>
        <v>41587</v>
      </c>
      <c r="L303" s="4" t="str">
        <f t="array" ref="L303">IF(ROWS(L$20:L303)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303))))</f>
        <v>Kerrie  Worrell</v>
      </c>
      <c r="M303" s="4">
        <f t="array" ref="M303">IF(ROWS(M$20:M303)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303))))</f>
        <v>17</v>
      </c>
    </row>
    <row r="304" spans="1:13" x14ac:dyDescent="0.25">
      <c r="A304" s="3">
        <v>41877</v>
      </c>
      <c r="B304" s="2" t="s">
        <v>25</v>
      </c>
      <c r="C304" s="2">
        <v>24</v>
      </c>
      <c r="G304" s="7">
        <f t="array" ref="G304">IF(ROWS(K$20:K304)&gt;$F$6,"",INDEX(A$2:A$10000,SMALL(IF(ISNUMBER(MATCH($B$2:$B$10000,$E$6:$E$22,0)),ROW($C$2:$C$10000)-ROW($C$2)+1),ROWS(K$20:K304))))</f>
        <v>41932</v>
      </c>
      <c r="H304" s="4" t="str">
        <f t="array" ref="H304">IF(ROWS(L$20:L304)&gt;$F$6,"",INDEX(B$2:B$10000,SMALL(IF(ISNUMBER(MATCH($B$2:$B$10000,$E$6:$E$22,0)),ROW($C$2:$C$10000)-ROW($C$2)+1),ROWS(L$20:L304))))</f>
        <v>Kerrie  Worrell</v>
      </c>
      <c r="I304" s="4">
        <f t="array" ref="I304">IF(ROWS(M$20:M304)&gt;$F$6,"",INDEX(C$2:C$10000,SMALL(IF(ISNUMBER(MATCH($B$2:$B$10000,$E$6:$E$22,0)),ROW($C$2:$C$10000)-ROW($C$2)+1),ROWS(M$20:M304))))</f>
        <v>13</v>
      </c>
      <c r="K304" s="7">
        <f t="array" ref="K304">IF(ROWS(K$20:K304)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304))))</f>
        <v>41932</v>
      </c>
      <c r="L304" s="4" t="str">
        <f t="array" ref="L304">IF(ROWS(L$20:L304)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304))))</f>
        <v>Kerrie  Worrell</v>
      </c>
      <c r="M304" s="4">
        <f t="array" ref="M304">IF(ROWS(M$20:M304)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304))))</f>
        <v>13</v>
      </c>
    </row>
    <row r="305" spans="1:13" x14ac:dyDescent="0.25">
      <c r="A305" s="3">
        <v>41595</v>
      </c>
      <c r="B305" s="2" t="s">
        <v>34</v>
      </c>
      <c r="C305" s="2">
        <v>30</v>
      </c>
      <c r="G305" s="7">
        <f t="array" ref="G305">IF(ROWS(K$20:K305)&gt;$F$6,"",INDEX(A$2:A$10000,SMALL(IF(ISNUMBER(MATCH($B$2:$B$10000,$E$6:$E$22,0)),ROW($C$2:$C$10000)-ROW($C$2)+1),ROWS(K$20:K305))))</f>
        <v>41397</v>
      </c>
      <c r="H305" s="4" t="str">
        <f t="array" ref="H305">IF(ROWS(L$20:L305)&gt;$F$6,"",INDEX(B$2:B$10000,SMALL(IF(ISNUMBER(MATCH($B$2:$B$10000,$E$6:$E$22,0)),ROW($C$2:$C$10000)-ROW($C$2)+1),ROWS(L$20:L305))))</f>
        <v>Jenni  Thorton</v>
      </c>
      <c r="I305" s="4">
        <f t="array" ref="I305">IF(ROWS(M$20:M305)&gt;$F$6,"",INDEX(C$2:C$10000,SMALL(IF(ISNUMBER(MATCH($B$2:$B$10000,$E$6:$E$22,0)),ROW($C$2:$C$10000)-ROW($C$2)+1),ROWS(M$20:M305))))</f>
        <v>19</v>
      </c>
      <c r="K305" s="7">
        <f t="array" ref="K305">IF(ROWS(K$20:K305)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305))))</f>
        <v>41397</v>
      </c>
      <c r="L305" s="4" t="str">
        <f t="array" ref="L305">IF(ROWS(L$20:L305)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305))))</f>
        <v>Jenni  Thorton</v>
      </c>
      <c r="M305" s="4">
        <f t="array" ref="M305">IF(ROWS(M$20:M305)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305))))</f>
        <v>19</v>
      </c>
    </row>
    <row r="306" spans="1:13" x14ac:dyDescent="0.25">
      <c r="A306" s="3">
        <v>41759</v>
      </c>
      <c r="B306" s="2" t="s">
        <v>27</v>
      </c>
      <c r="C306" s="2">
        <v>37</v>
      </c>
      <c r="G306" s="7">
        <f t="array" ref="G306">IF(ROWS(K$20:K306)&gt;$F$6,"",INDEX(A$2:A$10000,SMALL(IF(ISNUMBER(MATCH($B$2:$B$10000,$E$6:$E$22,0)),ROW($C$2:$C$10000)-ROW($C$2)+1),ROWS(K$20:K306))))</f>
        <v>41404</v>
      </c>
      <c r="H306" s="4" t="str">
        <f t="array" ref="H306">IF(ROWS(L$20:L306)&gt;$F$6,"",INDEX(B$2:B$10000,SMALL(IF(ISNUMBER(MATCH($B$2:$B$10000,$E$6:$E$22,0)),ROW($C$2:$C$10000)-ROW($C$2)+1),ROWS(L$20:L306))))</f>
        <v>Rosamond  Allard</v>
      </c>
      <c r="I306" s="4">
        <f t="array" ref="I306">IF(ROWS(M$20:M306)&gt;$F$6,"",INDEX(C$2:C$10000,SMALL(IF(ISNUMBER(MATCH($B$2:$B$10000,$E$6:$E$22,0)),ROW($C$2:$C$10000)-ROW($C$2)+1),ROWS(M$20:M306))))</f>
        <v>40</v>
      </c>
      <c r="K306" s="7">
        <f t="array" ref="K306">IF(ROWS(K$20:K306)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306))))</f>
        <v>41404</v>
      </c>
      <c r="L306" s="4" t="str">
        <f t="array" ref="L306">IF(ROWS(L$20:L306)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306))))</f>
        <v>Rosamond  Allard</v>
      </c>
      <c r="M306" s="4">
        <f t="array" ref="M306">IF(ROWS(M$20:M306)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306))))</f>
        <v>40</v>
      </c>
    </row>
    <row r="307" spans="1:13" x14ac:dyDescent="0.25">
      <c r="A307" s="3">
        <v>41950</v>
      </c>
      <c r="B307" s="2" t="s">
        <v>13</v>
      </c>
      <c r="C307" s="2">
        <v>38</v>
      </c>
      <c r="G307" s="7">
        <f t="array" ref="G307">IF(ROWS(K$20:K307)&gt;$F$6,"",INDEX(A$2:A$10000,SMALL(IF(ISNUMBER(MATCH($B$2:$B$10000,$E$6:$E$22,0)),ROW($C$2:$C$10000)-ROW($C$2)+1),ROWS(K$20:K307))))</f>
        <v>41911</v>
      </c>
      <c r="H307" s="4" t="str">
        <f t="array" ref="H307">IF(ROWS(L$20:L307)&gt;$F$6,"",INDEX(B$2:B$10000,SMALL(IF(ISNUMBER(MATCH($B$2:$B$10000,$E$6:$E$22,0)),ROW($C$2:$C$10000)-ROW($C$2)+1),ROWS(L$20:L307))))</f>
        <v>Rosamond  Allard</v>
      </c>
      <c r="I307" s="4">
        <f t="array" ref="I307">IF(ROWS(M$20:M307)&gt;$F$6,"",INDEX(C$2:C$10000,SMALL(IF(ISNUMBER(MATCH($B$2:$B$10000,$E$6:$E$22,0)),ROW($C$2:$C$10000)-ROW($C$2)+1),ROWS(M$20:M307))))</f>
        <v>18</v>
      </c>
      <c r="K307" s="7">
        <f t="array" ref="K307">IF(ROWS(K$20:K307)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307))))</f>
        <v>41911</v>
      </c>
      <c r="L307" s="4" t="str">
        <f t="array" ref="L307">IF(ROWS(L$20:L307)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307))))</f>
        <v>Rosamond  Allard</v>
      </c>
      <c r="M307" s="4">
        <f t="array" ref="M307">IF(ROWS(M$20:M307)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307))))</f>
        <v>18</v>
      </c>
    </row>
    <row r="308" spans="1:13" x14ac:dyDescent="0.25">
      <c r="A308" s="3">
        <v>41565</v>
      </c>
      <c r="B308" s="2" t="s">
        <v>35</v>
      </c>
      <c r="C308" s="2">
        <v>26</v>
      </c>
      <c r="G308" s="7">
        <f t="array" ref="G308">IF(ROWS(K$20:K308)&gt;$F$6,"",INDEX(A$2:A$10000,SMALL(IF(ISNUMBER(MATCH($B$2:$B$10000,$E$6:$E$22,0)),ROW($C$2:$C$10000)-ROW($C$2)+1),ROWS(K$20:K308))))</f>
        <v>41445</v>
      </c>
      <c r="H308" s="4" t="str">
        <f t="array" ref="H308">IF(ROWS(L$20:L308)&gt;$F$6,"",INDEX(B$2:B$10000,SMALL(IF(ISNUMBER(MATCH($B$2:$B$10000,$E$6:$E$22,0)),ROW($C$2:$C$10000)-ROW($C$2)+1),ROWS(L$20:L308))))</f>
        <v>Iliana  Valerio</v>
      </c>
      <c r="I308" s="4">
        <f t="array" ref="I308">IF(ROWS(M$20:M308)&gt;$F$6,"",INDEX(C$2:C$10000,SMALL(IF(ISNUMBER(MATCH($B$2:$B$10000,$E$6:$E$22,0)),ROW($C$2:$C$10000)-ROW($C$2)+1),ROWS(M$20:M308))))</f>
        <v>1</v>
      </c>
      <c r="K308" s="7">
        <f t="array" ref="K308">IF(ROWS(K$20:K308)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308))))</f>
        <v>41445</v>
      </c>
      <c r="L308" s="4" t="str">
        <f t="array" ref="L308">IF(ROWS(L$20:L308)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308))))</f>
        <v>Iliana  Valerio</v>
      </c>
      <c r="M308" s="4">
        <f t="array" ref="M308">IF(ROWS(M$20:M308)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308))))</f>
        <v>1</v>
      </c>
    </row>
    <row r="309" spans="1:13" x14ac:dyDescent="0.25">
      <c r="A309" s="3">
        <v>41296</v>
      </c>
      <c r="B309" s="2" t="s">
        <v>50</v>
      </c>
      <c r="C309" s="2">
        <v>13</v>
      </c>
      <c r="G309" s="7">
        <f t="array" ref="G309">IF(ROWS(K$20:K309)&gt;$F$6,"",INDEX(A$2:A$10000,SMALL(IF(ISNUMBER(MATCH($B$2:$B$10000,$E$6:$E$22,0)),ROW($C$2:$C$10000)-ROW($C$2)+1),ROWS(K$20:K309))))</f>
        <v>41899</v>
      </c>
      <c r="H309" s="4" t="str">
        <f t="array" ref="H309">IF(ROWS(L$20:L309)&gt;$F$6,"",INDEX(B$2:B$10000,SMALL(IF(ISNUMBER(MATCH($B$2:$B$10000,$E$6:$E$22,0)),ROW($C$2:$C$10000)-ROW($C$2)+1),ROWS(L$20:L309))))</f>
        <v>Mickey  Bolduc</v>
      </c>
      <c r="I309" s="4">
        <f t="array" ref="I309">IF(ROWS(M$20:M309)&gt;$F$6,"",INDEX(C$2:C$10000,SMALL(IF(ISNUMBER(MATCH($B$2:$B$10000,$E$6:$E$22,0)),ROW($C$2:$C$10000)-ROW($C$2)+1),ROWS(M$20:M309))))</f>
        <v>22</v>
      </c>
      <c r="K309" s="7">
        <f t="array" ref="K309">IF(ROWS(K$20:K309)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309))))</f>
        <v>41899</v>
      </c>
      <c r="L309" s="4" t="str">
        <f t="array" ref="L309">IF(ROWS(L$20:L309)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309))))</f>
        <v>Mickey  Bolduc</v>
      </c>
      <c r="M309" s="4">
        <f t="array" ref="M309">IF(ROWS(M$20:M309)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309))))</f>
        <v>22</v>
      </c>
    </row>
    <row r="310" spans="1:13" x14ac:dyDescent="0.25">
      <c r="A310" s="3">
        <v>41537</v>
      </c>
      <c r="B310" s="2" t="s">
        <v>37</v>
      </c>
      <c r="C310" s="2">
        <v>37</v>
      </c>
      <c r="G310" s="7">
        <f t="array" ref="G310">IF(ROWS(K$20:K310)&gt;$F$6,"",INDEX(A$2:A$10000,SMALL(IF(ISNUMBER(MATCH($B$2:$B$10000,$E$6:$E$22,0)),ROW($C$2:$C$10000)-ROW($C$2)+1),ROWS(K$20:K310))))</f>
        <v>41326</v>
      </c>
      <c r="H310" s="4" t="str">
        <f t="array" ref="H310">IF(ROWS(L$20:L310)&gt;$F$6,"",INDEX(B$2:B$10000,SMALL(IF(ISNUMBER(MATCH($B$2:$B$10000,$E$6:$E$22,0)),ROW($C$2:$C$10000)-ROW($C$2)+1),ROWS(L$20:L310))))</f>
        <v>Galen  Barth</v>
      </c>
      <c r="I310" s="4">
        <f t="array" ref="I310">IF(ROWS(M$20:M310)&gt;$F$6,"",INDEX(C$2:C$10000,SMALL(IF(ISNUMBER(MATCH($B$2:$B$10000,$E$6:$E$22,0)),ROW($C$2:$C$10000)-ROW($C$2)+1),ROWS(M$20:M310))))</f>
        <v>28</v>
      </c>
      <c r="K310" s="7">
        <f t="array" ref="K310">IF(ROWS(K$20:K310)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310))))</f>
        <v>41326</v>
      </c>
      <c r="L310" s="4" t="str">
        <f t="array" ref="L310">IF(ROWS(L$20:L310)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310))))</f>
        <v>Galen  Barth</v>
      </c>
      <c r="M310" s="4">
        <f t="array" ref="M310">IF(ROWS(M$20:M310)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310))))</f>
        <v>28</v>
      </c>
    </row>
    <row r="311" spans="1:13" x14ac:dyDescent="0.25">
      <c r="A311" s="3">
        <v>41541</v>
      </c>
      <c r="B311" s="2" t="s">
        <v>51</v>
      </c>
      <c r="C311" s="2">
        <v>49</v>
      </c>
      <c r="G311" s="7">
        <f t="array" ref="G311">IF(ROWS(K$20:K311)&gt;$F$6,"",INDEX(A$2:A$10000,SMALL(IF(ISNUMBER(MATCH($B$2:$B$10000,$E$6:$E$22,0)),ROW($C$2:$C$10000)-ROW($C$2)+1),ROWS(K$20:K311))))</f>
        <v>41347</v>
      </c>
      <c r="H311" s="4" t="str">
        <f t="array" ref="H311">IF(ROWS(L$20:L311)&gt;$F$6,"",INDEX(B$2:B$10000,SMALL(IF(ISNUMBER(MATCH($B$2:$B$10000,$E$6:$E$22,0)),ROW($C$2:$C$10000)-ROW($C$2)+1),ROWS(L$20:L311))))</f>
        <v>Iliana  Valerio</v>
      </c>
      <c r="I311" s="4">
        <f t="array" ref="I311">IF(ROWS(M$20:M311)&gt;$F$6,"",INDEX(C$2:C$10000,SMALL(IF(ISNUMBER(MATCH($B$2:$B$10000,$E$6:$E$22,0)),ROW($C$2:$C$10000)-ROW($C$2)+1),ROWS(M$20:M311))))</f>
        <v>27</v>
      </c>
      <c r="K311" s="7">
        <f t="array" ref="K311">IF(ROWS(K$20:K311)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311))))</f>
        <v>41347</v>
      </c>
      <c r="L311" s="4" t="str">
        <f t="array" ref="L311">IF(ROWS(L$20:L311)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311))))</f>
        <v>Iliana  Valerio</v>
      </c>
      <c r="M311" s="4">
        <f t="array" ref="M311">IF(ROWS(M$20:M311)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311))))</f>
        <v>27</v>
      </c>
    </row>
    <row r="312" spans="1:13" x14ac:dyDescent="0.25">
      <c r="A312" s="3">
        <v>41662</v>
      </c>
      <c r="B312" s="2" t="s">
        <v>32</v>
      </c>
      <c r="C312" s="2">
        <v>35</v>
      </c>
      <c r="G312" s="7">
        <f t="array" ref="G312">IF(ROWS(K$20:K312)&gt;$F$6,"",INDEX(A$2:A$10000,SMALL(IF(ISNUMBER(MATCH($B$2:$B$10000,$E$6:$E$22,0)),ROW($C$2:$C$10000)-ROW($C$2)+1),ROWS(K$20:K312))))</f>
        <v>41793</v>
      </c>
      <c r="H312" s="4" t="str">
        <f t="array" ref="H312">IF(ROWS(L$20:L312)&gt;$F$6,"",INDEX(B$2:B$10000,SMALL(IF(ISNUMBER(MATCH($B$2:$B$10000,$E$6:$E$22,0)),ROW($C$2:$C$10000)-ROW($C$2)+1),ROWS(L$20:L312))))</f>
        <v>Galen  Barth</v>
      </c>
      <c r="I312" s="4">
        <f t="array" ref="I312">IF(ROWS(M$20:M312)&gt;$F$6,"",INDEX(C$2:C$10000,SMALL(IF(ISNUMBER(MATCH($B$2:$B$10000,$E$6:$E$22,0)),ROW($C$2:$C$10000)-ROW($C$2)+1),ROWS(M$20:M312))))</f>
        <v>31</v>
      </c>
      <c r="K312" s="7">
        <f t="array" ref="K312">IF(ROWS(K$20:K312)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312))))</f>
        <v>41793</v>
      </c>
      <c r="L312" s="4" t="str">
        <f t="array" ref="L312">IF(ROWS(L$20:L312)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312))))</f>
        <v>Galen  Barth</v>
      </c>
      <c r="M312" s="4">
        <f t="array" ref="M312">IF(ROWS(M$20:M312)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312))))</f>
        <v>31</v>
      </c>
    </row>
    <row r="313" spans="1:13" x14ac:dyDescent="0.25">
      <c r="A313" s="3">
        <v>41809</v>
      </c>
      <c r="B313" s="2" t="s">
        <v>30</v>
      </c>
      <c r="C313" s="2">
        <v>29</v>
      </c>
      <c r="G313" s="7">
        <f t="array" ref="G313">IF(ROWS(K$20:K313)&gt;$F$6,"",INDEX(A$2:A$10000,SMALL(IF(ISNUMBER(MATCH($B$2:$B$10000,$E$6:$E$22,0)),ROW($C$2:$C$10000)-ROW($C$2)+1),ROWS(K$20:K313))))</f>
        <v>41339</v>
      </c>
      <c r="H313" s="4" t="str">
        <f t="array" ref="H313">IF(ROWS(L$20:L313)&gt;$F$6,"",INDEX(B$2:B$10000,SMALL(IF(ISNUMBER(MATCH($B$2:$B$10000,$E$6:$E$22,0)),ROW($C$2:$C$10000)-ROW($C$2)+1),ROWS(L$20:L313))))</f>
        <v>Kerrie  Worrell</v>
      </c>
      <c r="I313" s="4">
        <f t="array" ref="I313">IF(ROWS(M$20:M313)&gt;$F$6,"",INDEX(C$2:C$10000,SMALL(IF(ISNUMBER(MATCH($B$2:$B$10000,$E$6:$E$22,0)),ROW($C$2:$C$10000)-ROW($C$2)+1),ROWS(M$20:M313))))</f>
        <v>42</v>
      </c>
      <c r="K313" s="7">
        <f t="array" ref="K313">IF(ROWS(K$20:K313)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313))))</f>
        <v>41339</v>
      </c>
      <c r="L313" s="4" t="str">
        <f t="array" ref="L313">IF(ROWS(L$20:L313)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313))))</f>
        <v>Kerrie  Worrell</v>
      </c>
      <c r="M313" s="4">
        <f t="array" ref="M313">IF(ROWS(M$20:M313)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313))))</f>
        <v>42</v>
      </c>
    </row>
    <row r="314" spans="1:13" x14ac:dyDescent="0.25">
      <c r="A314" s="3">
        <v>41726</v>
      </c>
      <c r="B314" s="2" t="s">
        <v>50</v>
      </c>
      <c r="C314" s="2">
        <v>32</v>
      </c>
      <c r="G314" s="7">
        <f t="array" ref="G314">IF(ROWS(K$20:K314)&gt;$F$6,"",INDEX(A$2:A$10000,SMALL(IF(ISNUMBER(MATCH($B$2:$B$10000,$E$6:$E$22,0)),ROW($C$2:$C$10000)-ROW($C$2)+1),ROWS(K$20:K314))))</f>
        <v>41898</v>
      </c>
      <c r="H314" s="4" t="str">
        <f t="array" ref="H314">IF(ROWS(L$20:L314)&gt;$F$6,"",INDEX(B$2:B$10000,SMALL(IF(ISNUMBER(MATCH($B$2:$B$10000,$E$6:$E$22,0)),ROW($C$2:$C$10000)-ROW($C$2)+1),ROWS(L$20:L314))))</f>
        <v>Iliana  Valerio</v>
      </c>
      <c r="I314" s="4">
        <f t="array" ref="I314">IF(ROWS(M$20:M314)&gt;$F$6,"",INDEX(C$2:C$10000,SMALL(IF(ISNUMBER(MATCH($B$2:$B$10000,$E$6:$E$22,0)),ROW($C$2:$C$10000)-ROW($C$2)+1),ROWS(M$20:M314))))</f>
        <v>34</v>
      </c>
      <c r="K314" s="7">
        <f t="array" ref="K314">IF(ROWS(K$20:K314)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314))))</f>
        <v>41898</v>
      </c>
      <c r="L314" s="4" t="str">
        <f t="array" ref="L314">IF(ROWS(L$20:L314)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314))))</f>
        <v>Iliana  Valerio</v>
      </c>
      <c r="M314" s="4">
        <f t="array" ref="M314">IF(ROWS(M$20:M314)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314))))</f>
        <v>34</v>
      </c>
    </row>
    <row r="315" spans="1:13" x14ac:dyDescent="0.25">
      <c r="A315" s="3">
        <v>41608</v>
      </c>
      <c r="B315" s="2" t="s">
        <v>7</v>
      </c>
      <c r="C315" s="2">
        <v>25</v>
      </c>
      <c r="G315" s="7">
        <f t="array" ref="G315">IF(ROWS(K$20:K315)&gt;$F$6,"",INDEX(A$2:A$10000,SMALL(IF(ISNUMBER(MATCH($B$2:$B$10000,$E$6:$E$22,0)),ROW($C$2:$C$10000)-ROW($C$2)+1),ROWS(K$20:K315))))</f>
        <v>41418</v>
      </c>
      <c r="H315" s="4" t="str">
        <f t="array" ref="H315">IF(ROWS(L$20:L315)&gt;$F$6,"",INDEX(B$2:B$10000,SMALL(IF(ISNUMBER(MATCH($B$2:$B$10000,$E$6:$E$22,0)),ROW($C$2:$C$10000)-ROW($C$2)+1),ROWS(L$20:L315))))</f>
        <v>Iliana  Valerio</v>
      </c>
      <c r="I315" s="4">
        <f t="array" ref="I315">IF(ROWS(M$20:M315)&gt;$F$6,"",INDEX(C$2:C$10000,SMALL(IF(ISNUMBER(MATCH($B$2:$B$10000,$E$6:$E$22,0)),ROW($C$2:$C$10000)-ROW($C$2)+1),ROWS(M$20:M315))))</f>
        <v>20</v>
      </c>
      <c r="K315" s="7">
        <f t="array" ref="K315">IF(ROWS(K$20:K315)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315))))</f>
        <v>41418</v>
      </c>
      <c r="L315" s="4" t="str">
        <f t="array" ref="L315">IF(ROWS(L$20:L315)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315))))</f>
        <v>Iliana  Valerio</v>
      </c>
      <c r="M315" s="4">
        <f t="array" ref="M315">IF(ROWS(M$20:M315)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315))))</f>
        <v>20</v>
      </c>
    </row>
    <row r="316" spans="1:13" x14ac:dyDescent="0.25">
      <c r="A316" s="3">
        <v>41809</v>
      </c>
      <c r="B316" s="2" t="s">
        <v>50</v>
      </c>
      <c r="C316" s="2">
        <v>25</v>
      </c>
      <c r="G316" s="7">
        <f t="array" ref="G316">IF(ROWS(K$20:K316)&gt;$F$6,"",INDEX(A$2:A$10000,SMALL(IF(ISNUMBER(MATCH($B$2:$B$10000,$E$6:$E$22,0)),ROW($C$2:$C$10000)-ROW($C$2)+1),ROWS(K$20:K316))))</f>
        <v>41291</v>
      </c>
      <c r="H316" s="4" t="str">
        <f t="array" ref="H316">IF(ROWS(L$20:L316)&gt;$F$6,"",INDEX(B$2:B$10000,SMALL(IF(ISNUMBER(MATCH($B$2:$B$10000,$E$6:$E$22,0)),ROW($C$2:$C$10000)-ROW($C$2)+1),ROWS(L$20:L316))))</f>
        <v>Kerrie  Worrell</v>
      </c>
      <c r="I316" s="4">
        <f t="array" ref="I316">IF(ROWS(M$20:M316)&gt;$F$6,"",INDEX(C$2:C$10000,SMALL(IF(ISNUMBER(MATCH($B$2:$B$10000,$E$6:$E$22,0)),ROW($C$2:$C$10000)-ROW($C$2)+1),ROWS(M$20:M316))))</f>
        <v>11</v>
      </c>
      <c r="K316" s="7">
        <f t="array" ref="K316">IF(ROWS(K$20:K316)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316))))</f>
        <v>41291</v>
      </c>
      <c r="L316" s="4" t="str">
        <f t="array" ref="L316">IF(ROWS(L$20:L316)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316))))</f>
        <v>Kerrie  Worrell</v>
      </c>
      <c r="M316" s="4">
        <f t="array" ref="M316">IF(ROWS(M$20:M316)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316))))</f>
        <v>11</v>
      </c>
    </row>
    <row r="317" spans="1:13" x14ac:dyDescent="0.25">
      <c r="A317" s="3">
        <v>41785</v>
      </c>
      <c r="B317" s="2" t="s">
        <v>39</v>
      </c>
      <c r="C317" s="2">
        <v>32</v>
      </c>
      <c r="G317" s="7">
        <f t="array" ref="G317">IF(ROWS(K$20:K317)&gt;$F$6,"",INDEX(A$2:A$10000,SMALL(IF(ISNUMBER(MATCH($B$2:$B$10000,$E$6:$E$22,0)),ROW($C$2:$C$10000)-ROW($C$2)+1),ROWS(K$20:K317))))</f>
        <v>41500</v>
      </c>
      <c r="H317" s="4" t="str">
        <f t="array" ref="H317">IF(ROWS(L$20:L317)&gt;$F$6,"",INDEX(B$2:B$10000,SMALL(IF(ISNUMBER(MATCH($B$2:$B$10000,$E$6:$E$22,0)),ROW($C$2:$C$10000)-ROW($C$2)+1),ROWS(L$20:L317))))</f>
        <v>Galen  Barth</v>
      </c>
      <c r="I317" s="4">
        <f t="array" ref="I317">IF(ROWS(M$20:M317)&gt;$F$6,"",INDEX(C$2:C$10000,SMALL(IF(ISNUMBER(MATCH($B$2:$B$10000,$E$6:$E$22,0)),ROW($C$2:$C$10000)-ROW($C$2)+1),ROWS(M$20:M317))))</f>
        <v>28</v>
      </c>
      <c r="K317" s="7">
        <f t="array" ref="K317">IF(ROWS(K$20:K317)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317))))</f>
        <v>41500</v>
      </c>
      <c r="L317" s="4" t="str">
        <f t="array" ref="L317">IF(ROWS(L$20:L317)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317))))</f>
        <v>Galen  Barth</v>
      </c>
      <c r="M317" s="4">
        <f t="array" ref="M317">IF(ROWS(M$20:M317)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317))))</f>
        <v>28</v>
      </c>
    </row>
    <row r="318" spans="1:13" x14ac:dyDescent="0.25">
      <c r="A318" s="3">
        <v>41404</v>
      </c>
      <c r="B318" s="2" t="s">
        <v>31</v>
      </c>
      <c r="C318" s="2">
        <v>31</v>
      </c>
      <c r="G318" s="7">
        <f t="array" ref="G318">IF(ROWS(K$20:K318)&gt;$F$6,"",INDEX(A$2:A$10000,SMALL(IF(ISNUMBER(MATCH($B$2:$B$10000,$E$6:$E$22,0)),ROW($C$2:$C$10000)-ROW($C$2)+1),ROWS(K$20:K318))))</f>
        <v>41438</v>
      </c>
      <c r="H318" s="4" t="str">
        <f t="array" ref="H318">IF(ROWS(L$20:L318)&gt;$F$6,"",INDEX(B$2:B$10000,SMALL(IF(ISNUMBER(MATCH($B$2:$B$10000,$E$6:$E$22,0)),ROW($C$2:$C$10000)-ROW($C$2)+1),ROWS(L$20:L318))))</f>
        <v>Rosamond  Allard</v>
      </c>
      <c r="I318" s="4">
        <f t="array" ref="I318">IF(ROWS(M$20:M318)&gt;$F$6,"",INDEX(C$2:C$10000,SMALL(IF(ISNUMBER(MATCH($B$2:$B$10000,$E$6:$E$22,0)),ROW($C$2:$C$10000)-ROW($C$2)+1),ROWS(M$20:M318))))</f>
        <v>4</v>
      </c>
      <c r="K318" s="7">
        <f t="array" ref="K318">IF(ROWS(K$20:K318)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318))))</f>
        <v>41438</v>
      </c>
      <c r="L318" s="4" t="str">
        <f t="array" ref="L318">IF(ROWS(L$20:L318)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318))))</f>
        <v>Rosamond  Allard</v>
      </c>
      <c r="M318" s="4">
        <f t="array" ref="M318">IF(ROWS(M$20:M318)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318))))</f>
        <v>4</v>
      </c>
    </row>
    <row r="319" spans="1:13" x14ac:dyDescent="0.25">
      <c r="A319" s="3">
        <v>41526</v>
      </c>
      <c r="B319" s="2" t="s">
        <v>29</v>
      </c>
      <c r="C319" s="2">
        <v>35</v>
      </c>
      <c r="G319" s="7">
        <f t="array" ref="G319">IF(ROWS(K$20:K319)&gt;$F$6,"",INDEX(A$2:A$10000,SMALL(IF(ISNUMBER(MATCH($B$2:$B$10000,$E$6:$E$22,0)),ROW($C$2:$C$10000)-ROW($C$2)+1),ROWS(K$20:K319))))</f>
        <v>41733</v>
      </c>
      <c r="H319" s="4" t="str">
        <f t="array" ref="H319">IF(ROWS(L$20:L319)&gt;$F$6,"",INDEX(B$2:B$10000,SMALL(IF(ISNUMBER(MATCH($B$2:$B$10000,$E$6:$E$22,0)),ROW($C$2:$C$10000)-ROW($C$2)+1),ROWS(L$20:L319))))</f>
        <v>Kerrie  Worrell</v>
      </c>
      <c r="I319" s="4">
        <f t="array" ref="I319">IF(ROWS(M$20:M319)&gt;$F$6,"",INDEX(C$2:C$10000,SMALL(IF(ISNUMBER(MATCH($B$2:$B$10000,$E$6:$E$22,0)),ROW($C$2:$C$10000)-ROW($C$2)+1),ROWS(M$20:M319))))</f>
        <v>22</v>
      </c>
      <c r="K319" s="7">
        <f t="array" ref="K319">IF(ROWS(K$20:K319)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319))))</f>
        <v>41733</v>
      </c>
      <c r="L319" s="4" t="str">
        <f t="array" ref="L319">IF(ROWS(L$20:L319)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319))))</f>
        <v>Kerrie  Worrell</v>
      </c>
      <c r="M319" s="4">
        <f t="array" ref="M319">IF(ROWS(M$20:M319)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319))))</f>
        <v>22</v>
      </c>
    </row>
    <row r="320" spans="1:13" x14ac:dyDescent="0.25">
      <c r="A320" s="3">
        <v>41398</v>
      </c>
      <c r="B320" s="2" t="s">
        <v>3</v>
      </c>
      <c r="C320" s="2">
        <v>42</v>
      </c>
      <c r="G320" s="7">
        <f t="array" ref="G320">IF(ROWS(K$20:K320)&gt;$F$6,"",INDEX(A$2:A$10000,SMALL(IF(ISNUMBER(MATCH($B$2:$B$10000,$E$6:$E$22,0)),ROW($C$2:$C$10000)-ROW($C$2)+1),ROWS(K$20:K320))))</f>
        <v>41421</v>
      </c>
      <c r="H320" s="4" t="str">
        <f t="array" ref="H320">IF(ROWS(L$20:L320)&gt;$F$6,"",INDEX(B$2:B$10000,SMALL(IF(ISNUMBER(MATCH($B$2:$B$10000,$E$6:$E$22,0)),ROW($C$2:$C$10000)-ROW($C$2)+1),ROWS(L$20:L320))))</f>
        <v>Iliana  Valerio</v>
      </c>
      <c r="I320" s="4">
        <f t="array" ref="I320">IF(ROWS(M$20:M320)&gt;$F$6,"",INDEX(C$2:C$10000,SMALL(IF(ISNUMBER(MATCH($B$2:$B$10000,$E$6:$E$22,0)),ROW($C$2:$C$10000)-ROW($C$2)+1),ROWS(M$20:M320))))</f>
        <v>26</v>
      </c>
      <c r="K320" s="7">
        <f t="array" ref="K320">IF(ROWS(K$20:K320)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320))))</f>
        <v>41421</v>
      </c>
      <c r="L320" s="4" t="str">
        <f t="array" ref="L320">IF(ROWS(L$20:L320)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320))))</f>
        <v>Iliana  Valerio</v>
      </c>
      <c r="M320" s="4">
        <f t="array" ref="M320">IF(ROWS(M$20:M320)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320))))</f>
        <v>26</v>
      </c>
    </row>
    <row r="321" spans="1:13" x14ac:dyDescent="0.25">
      <c r="A321" s="3">
        <v>41981</v>
      </c>
      <c r="B321" s="2" t="s">
        <v>24</v>
      </c>
      <c r="C321" s="2">
        <v>54</v>
      </c>
      <c r="G321" s="7">
        <f t="array" ref="G321">IF(ROWS(K$20:K321)&gt;$F$6,"",INDEX(A$2:A$10000,SMALL(IF(ISNUMBER(MATCH($B$2:$B$10000,$E$6:$E$22,0)),ROW($C$2:$C$10000)-ROW($C$2)+1),ROWS(K$20:K321))))</f>
        <v>41765</v>
      </c>
      <c r="H321" s="4" t="str">
        <f t="array" ref="H321">IF(ROWS(L$20:L321)&gt;$F$6,"",INDEX(B$2:B$10000,SMALL(IF(ISNUMBER(MATCH($B$2:$B$10000,$E$6:$E$22,0)),ROW($C$2:$C$10000)-ROW($C$2)+1),ROWS(L$20:L321))))</f>
        <v>Mickey  Bolduc</v>
      </c>
      <c r="I321" s="4">
        <f t="array" ref="I321">IF(ROWS(M$20:M321)&gt;$F$6,"",INDEX(C$2:C$10000,SMALL(IF(ISNUMBER(MATCH($B$2:$B$10000,$E$6:$E$22,0)),ROW($C$2:$C$10000)-ROW($C$2)+1),ROWS(M$20:M321))))</f>
        <v>1</v>
      </c>
      <c r="K321" s="7">
        <f t="array" ref="K321">IF(ROWS(K$20:K321)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321))))</f>
        <v>41765</v>
      </c>
      <c r="L321" s="4" t="str">
        <f t="array" ref="L321">IF(ROWS(L$20:L321)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321))))</f>
        <v>Mickey  Bolduc</v>
      </c>
      <c r="M321" s="4">
        <f t="array" ref="M321">IF(ROWS(M$20:M321)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321))))</f>
        <v>1</v>
      </c>
    </row>
    <row r="322" spans="1:13" x14ac:dyDescent="0.25">
      <c r="A322" s="3">
        <v>41545</v>
      </c>
      <c r="B322" s="2" t="s">
        <v>15</v>
      </c>
      <c r="C322" s="2">
        <v>27</v>
      </c>
      <c r="G322" s="7">
        <f t="array" ref="G322">IF(ROWS(K$20:K322)&gt;$F$6,"",INDEX(A$2:A$10000,SMALL(IF(ISNUMBER(MATCH($B$2:$B$10000,$E$6:$E$22,0)),ROW($C$2:$C$10000)-ROW($C$2)+1),ROWS(K$20:K322))))</f>
        <v>41436</v>
      </c>
      <c r="H322" s="4" t="str">
        <f t="array" ref="H322">IF(ROWS(L$20:L322)&gt;$F$6,"",INDEX(B$2:B$10000,SMALL(IF(ISNUMBER(MATCH($B$2:$B$10000,$E$6:$E$22,0)),ROW($C$2:$C$10000)-ROW($C$2)+1),ROWS(L$20:L322))))</f>
        <v>Iliana  Valerio</v>
      </c>
      <c r="I322" s="4">
        <f t="array" ref="I322">IF(ROWS(M$20:M322)&gt;$F$6,"",INDEX(C$2:C$10000,SMALL(IF(ISNUMBER(MATCH($B$2:$B$10000,$E$6:$E$22,0)),ROW($C$2:$C$10000)-ROW($C$2)+1),ROWS(M$20:M322))))</f>
        <v>25</v>
      </c>
      <c r="K322" s="7">
        <f t="array" ref="K322">IF(ROWS(K$20:K322)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322))))</f>
        <v>41436</v>
      </c>
      <c r="L322" s="4" t="str">
        <f t="array" ref="L322">IF(ROWS(L$20:L322)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322))))</f>
        <v>Iliana  Valerio</v>
      </c>
      <c r="M322" s="4">
        <f t="array" ref="M322">IF(ROWS(M$20:M322)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322))))</f>
        <v>25</v>
      </c>
    </row>
    <row r="323" spans="1:13" x14ac:dyDescent="0.25">
      <c r="A323" s="3">
        <v>41379</v>
      </c>
      <c r="B323" s="2" t="s">
        <v>20</v>
      </c>
      <c r="C323" s="2">
        <v>24</v>
      </c>
      <c r="G323" s="7">
        <f t="array" ref="G323">IF(ROWS(K$20:K323)&gt;$F$6,"",INDEX(A$2:A$10000,SMALL(IF(ISNUMBER(MATCH($B$2:$B$10000,$E$6:$E$22,0)),ROW($C$2:$C$10000)-ROW($C$2)+1),ROWS(K$20:K323))))</f>
        <v>41407</v>
      </c>
      <c r="H323" s="4" t="str">
        <f t="array" ref="H323">IF(ROWS(L$20:L323)&gt;$F$6,"",INDEX(B$2:B$10000,SMALL(IF(ISNUMBER(MATCH($B$2:$B$10000,$E$6:$E$22,0)),ROW($C$2:$C$10000)-ROW($C$2)+1),ROWS(L$20:L323))))</f>
        <v>Mickey  Bolduc</v>
      </c>
      <c r="I323" s="4">
        <f t="array" ref="I323">IF(ROWS(M$20:M323)&gt;$F$6,"",INDEX(C$2:C$10000,SMALL(IF(ISNUMBER(MATCH($B$2:$B$10000,$E$6:$E$22,0)),ROW($C$2:$C$10000)-ROW($C$2)+1),ROWS(M$20:M323))))</f>
        <v>18</v>
      </c>
      <c r="K323" s="7">
        <f t="array" ref="K323">IF(ROWS(K$20:K323)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323))))</f>
        <v>41407</v>
      </c>
      <c r="L323" s="4" t="str">
        <f t="array" ref="L323">IF(ROWS(L$20:L323)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323))))</f>
        <v>Mickey  Bolduc</v>
      </c>
      <c r="M323" s="4">
        <f t="array" ref="M323">IF(ROWS(M$20:M323)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323))))</f>
        <v>18</v>
      </c>
    </row>
    <row r="324" spans="1:13" x14ac:dyDescent="0.25">
      <c r="A324" s="3">
        <v>41279</v>
      </c>
      <c r="B324" s="2" t="s">
        <v>43</v>
      </c>
      <c r="C324" s="2">
        <v>18</v>
      </c>
      <c r="G324" s="7">
        <f t="array" ref="G324">IF(ROWS(K$20:K324)&gt;$F$6,"",INDEX(A$2:A$10000,SMALL(IF(ISNUMBER(MATCH($B$2:$B$10000,$E$6:$E$22,0)),ROW($C$2:$C$10000)-ROW($C$2)+1),ROWS(K$20:K324))))</f>
        <v>41760</v>
      </c>
      <c r="H324" s="4" t="str">
        <f t="array" ref="H324">IF(ROWS(L$20:L324)&gt;$F$6,"",INDEX(B$2:B$10000,SMALL(IF(ISNUMBER(MATCH($B$2:$B$10000,$E$6:$E$22,0)),ROW($C$2:$C$10000)-ROW($C$2)+1),ROWS(L$20:L324))))</f>
        <v>Mickey  Bolduc</v>
      </c>
      <c r="I324" s="4">
        <f t="array" ref="I324">IF(ROWS(M$20:M324)&gt;$F$6,"",INDEX(C$2:C$10000,SMALL(IF(ISNUMBER(MATCH($B$2:$B$10000,$E$6:$E$22,0)),ROW($C$2:$C$10000)-ROW($C$2)+1),ROWS(M$20:M324))))</f>
        <v>8</v>
      </c>
      <c r="K324" s="7">
        <f t="array" ref="K324">IF(ROWS(K$20:K324)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324))))</f>
        <v>41760</v>
      </c>
      <c r="L324" s="4" t="str">
        <f t="array" ref="L324">IF(ROWS(L$20:L324)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324))))</f>
        <v>Mickey  Bolduc</v>
      </c>
      <c r="M324" s="4">
        <f t="array" ref="M324">IF(ROWS(M$20:M324)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324))))</f>
        <v>8</v>
      </c>
    </row>
    <row r="325" spans="1:13" x14ac:dyDescent="0.25">
      <c r="A325" s="3">
        <v>41668</v>
      </c>
      <c r="B325" s="2" t="s">
        <v>6</v>
      </c>
      <c r="C325" s="2">
        <v>2</v>
      </c>
      <c r="G325" s="7">
        <f t="array" ref="G325">IF(ROWS(K$20:K325)&gt;$F$6,"",INDEX(A$2:A$10000,SMALL(IF(ISNUMBER(MATCH($B$2:$B$10000,$E$6:$E$22,0)),ROW($C$2:$C$10000)-ROW($C$2)+1),ROWS(K$20:K325))))</f>
        <v>41970</v>
      </c>
      <c r="H325" s="4" t="str">
        <f t="array" ref="H325">IF(ROWS(L$20:L325)&gt;$F$6,"",INDEX(B$2:B$10000,SMALL(IF(ISNUMBER(MATCH($B$2:$B$10000,$E$6:$E$22,0)),ROW($C$2:$C$10000)-ROW($C$2)+1),ROWS(L$20:L325))))</f>
        <v>Jenni  Thorton</v>
      </c>
      <c r="I325" s="4">
        <f t="array" ref="I325">IF(ROWS(M$20:M325)&gt;$F$6,"",INDEX(C$2:C$10000,SMALL(IF(ISNUMBER(MATCH($B$2:$B$10000,$E$6:$E$22,0)),ROW($C$2:$C$10000)-ROW($C$2)+1),ROWS(M$20:M325))))</f>
        <v>42</v>
      </c>
      <c r="K325" s="7">
        <f t="array" ref="K325">IF(ROWS(K$20:K325)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325))))</f>
        <v>41970</v>
      </c>
      <c r="L325" s="4" t="str">
        <f t="array" ref="L325">IF(ROWS(L$20:L325)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325))))</f>
        <v>Jenni  Thorton</v>
      </c>
      <c r="M325" s="4">
        <f t="array" ref="M325">IF(ROWS(M$20:M325)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325))))</f>
        <v>42</v>
      </c>
    </row>
    <row r="326" spans="1:13" x14ac:dyDescent="0.25">
      <c r="A326" s="3">
        <v>41716</v>
      </c>
      <c r="B326" s="2" t="s">
        <v>49</v>
      </c>
      <c r="C326" s="2">
        <v>17</v>
      </c>
      <c r="G326" s="7">
        <f t="array" ref="G326">IF(ROWS(K$20:K326)&gt;$F$6,"",INDEX(A$2:A$10000,SMALL(IF(ISNUMBER(MATCH($B$2:$B$10000,$E$6:$E$22,0)),ROW($C$2:$C$10000)-ROW($C$2)+1),ROWS(K$20:K326))))</f>
        <v>41325</v>
      </c>
      <c r="H326" s="4" t="str">
        <f t="array" ref="H326">IF(ROWS(L$20:L326)&gt;$F$6,"",INDEX(B$2:B$10000,SMALL(IF(ISNUMBER(MATCH($B$2:$B$10000,$E$6:$E$22,0)),ROW($C$2:$C$10000)-ROW($C$2)+1),ROWS(L$20:L326))))</f>
        <v>Mickey  Bolduc</v>
      </c>
      <c r="I326" s="4">
        <f t="array" ref="I326">IF(ROWS(M$20:M326)&gt;$F$6,"",INDEX(C$2:C$10000,SMALL(IF(ISNUMBER(MATCH($B$2:$B$10000,$E$6:$E$22,0)),ROW($C$2:$C$10000)-ROW($C$2)+1),ROWS(M$20:M326))))</f>
        <v>37</v>
      </c>
      <c r="K326" s="7">
        <f t="array" ref="K326">IF(ROWS(K$20:K326)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326))))</f>
        <v>41325</v>
      </c>
      <c r="L326" s="4" t="str">
        <f t="array" ref="L326">IF(ROWS(L$20:L326)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326))))</f>
        <v>Mickey  Bolduc</v>
      </c>
      <c r="M326" s="4">
        <f t="array" ref="M326">IF(ROWS(M$20:M326)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326))))</f>
        <v>37</v>
      </c>
    </row>
    <row r="327" spans="1:13" x14ac:dyDescent="0.25">
      <c r="A327" s="3">
        <v>41841</v>
      </c>
      <c r="B327" s="2" t="s">
        <v>30</v>
      </c>
      <c r="C327" s="2">
        <v>17</v>
      </c>
      <c r="G327" s="7">
        <f t="array" ref="G327">IF(ROWS(K$20:K327)&gt;$F$6,"",INDEX(A$2:A$10000,SMALL(IF(ISNUMBER(MATCH($B$2:$B$10000,$E$6:$E$22,0)),ROW($C$2:$C$10000)-ROW($C$2)+1),ROWS(K$20:K327))))</f>
        <v>41856</v>
      </c>
      <c r="H327" s="4" t="str">
        <f t="array" ref="H327">IF(ROWS(L$20:L327)&gt;$F$6,"",INDEX(B$2:B$10000,SMALL(IF(ISNUMBER(MATCH($B$2:$B$10000,$E$6:$E$22,0)),ROW($C$2:$C$10000)-ROW($C$2)+1),ROWS(L$20:L327))))</f>
        <v>Rosamond  Allard</v>
      </c>
      <c r="I327" s="4">
        <f t="array" ref="I327">IF(ROWS(M$20:M327)&gt;$F$6,"",INDEX(C$2:C$10000,SMALL(IF(ISNUMBER(MATCH($B$2:$B$10000,$E$6:$E$22,0)),ROW($C$2:$C$10000)-ROW($C$2)+1),ROWS(M$20:M327))))</f>
        <v>28</v>
      </c>
      <c r="K327" s="7">
        <f t="array" ref="K327">IF(ROWS(K$20:K327)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327))))</f>
        <v>41856</v>
      </c>
      <c r="L327" s="4" t="str">
        <f t="array" ref="L327">IF(ROWS(L$20:L327)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327))))</f>
        <v>Rosamond  Allard</v>
      </c>
      <c r="M327" s="4">
        <f t="array" ref="M327">IF(ROWS(M$20:M327)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327))))</f>
        <v>28</v>
      </c>
    </row>
    <row r="328" spans="1:13" x14ac:dyDescent="0.25">
      <c r="A328" s="3">
        <v>41611</v>
      </c>
      <c r="B328" s="2" t="s">
        <v>28</v>
      </c>
      <c r="C328" s="2">
        <v>27</v>
      </c>
      <c r="G328" s="7">
        <f t="array" ref="G328">IF(ROWS(K$20:K328)&gt;$F$6,"",INDEX(A$2:A$10000,SMALL(IF(ISNUMBER(MATCH($B$2:$B$10000,$E$6:$E$22,0)),ROW($C$2:$C$10000)-ROW($C$2)+1),ROWS(K$20:K328))))</f>
        <v>41897</v>
      </c>
      <c r="H328" s="4" t="str">
        <f t="array" ref="H328">IF(ROWS(L$20:L328)&gt;$F$6,"",INDEX(B$2:B$10000,SMALL(IF(ISNUMBER(MATCH($B$2:$B$10000,$E$6:$E$22,0)),ROW($C$2:$C$10000)-ROW($C$2)+1),ROWS(L$20:L328))))</f>
        <v>Rosamond  Allard</v>
      </c>
      <c r="I328" s="4">
        <f t="array" ref="I328">IF(ROWS(M$20:M328)&gt;$F$6,"",INDEX(C$2:C$10000,SMALL(IF(ISNUMBER(MATCH($B$2:$B$10000,$E$6:$E$22,0)),ROW($C$2:$C$10000)-ROW($C$2)+1),ROWS(M$20:M328))))</f>
        <v>28</v>
      </c>
      <c r="K328" s="7">
        <f t="array" ref="K328">IF(ROWS(K$20:K328)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328))))</f>
        <v>41897</v>
      </c>
      <c r="L328" s="4" t="str">
        <f t="array" ref="L328">IF(ROWS(L$20:L328)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328))))</f>
        <v>Rosamond  Allard</v>
      </c>
      <c r="M328" s="4">
        <f t="array" ref="M328">IF(ROWS(M$20:M328)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328))))</f>
        <v>28</v>
      </c>
    </row>
    <row r="329" spans="1:13" x14ac:dyDescent="0.25">
      <c r="A329" s="3">
        <v>41604</v>
      </c>
      <c r="B329" s="2" t="s">
        <v>27</v>
      </c>
      <c r="C329" s="2">
        <v>29</v>
      </c>
      <c r="G329" s="7">
        <f t="array" ref="G329">IF(ROWS(K$20:K329)&gt;$F$6,"",INDEX(A$2:A$10000,SMALL(IF(ISNUMBER(MATCH($B$2:$B$10000,$E$6:$E$22,0)),ROW($C$2:$C$10000)-ROW($C$2)+1),ROWS(K$20:K329))))</f>
        <v>41310</v>
      </c>
      <c r="H329" s="4" t="str">
        <f t="array" ref="H329">IF(ROWS(L$20:L329)&gt;$F$6,"",INDEX(B$2:B$10000,SMALL(IF(ISNUMBER(MATCH($B$2:$B$10000,$E$6:$E$22,0)),ROW($C$2:$C$10000)-ROW($C$2)+1),ROWS(L$20:L329))))</f>
        <v>Jenni  Thorton</v>
      </c>
      <c r="I329" s="4">
        <f t="array" ref="I329">IF(ROWS(M$20:M329)&gt;$F$6,"",INDEX(C$2:C$10000,SMALL(IF(ISNUMBER(MATCH($B$2:$B$10000,$E$6:$E$22,0)),ROW($C$2:$C$10000)-ROW($C$2)+1),ROWS(M$20:M329))))</f>
        <v>51</v>
      </c>
      <c r="K329" s="7">
        <f t="array" ref="K329">IF(ROWS(K$20:K329)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329))))</f>
        <v>41310</v>
      </c>
      <c r="L329" s="4" t="str">
        <f t="array" ref="L329">IF(ROWS(L$20:L329)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329))))</f>
        <v>Jenni  Thorton</v>
      </c>
      <c r="M329" s="4">
        <f t="array" ref="M329">IF(ROWS(M$20:M329)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329))))</f>
        <v>51</v>
      </c>
    </row>
    <row r="330" spans="1:13" x14ac:dyDescent="0.25">
      <c r="A330" s="3">
        <v>41497</v>
      </c>
      <c r="B330" s="2" t="s">
        <v>51</v>
      </c>
      <c r="C330" s="2">
        <v>37</v>
      </c>
      <c r="G330" s="7">
        <f t="array" ref="G330">IF(ROWS(K$20:K330)&gt;$F$6,"",INDEX(A$2:A$10000,SMALL(IF(ISNUMBER(MATCH($B$2:$B$10000,$E$6:$E$22,0)),ROW($C$2:$C$10000)-ROW($C$2)+1),ROWS(K$20:K330))))</f>
        <v>41440</v>
      </c>
      <c r="H330" s="4" t="str">
        <f t="array" ref="H330">IF(ROWS(L$20:L330)&gt;$F$6,"",INDEX(B$2:B$10000,SMALL(IF(ISNUMBER(MATCH($B$2:$B$10000,$E$6:$E$22,0)),ROW($C$2:$C$10000)-ROW($C$2)+1),ROWS(L$20:L330))))</f>
        <v>Kerrie  Worrell</v>
      </c>
      <c r="I330" s="4">
        <f t="array" ref="I330">IF(ROWS(M$20:M330)&gt;$F$6,"",INDEX(C$2:C$10000,SMALL(IF(ISNUMBER(MATCH($B$2:$B$10000,$E$6:$E$22,0)),ROW($C$2:$C$10000)-ROW($C$2)+1),ROWS(M$20:M330))))</f>
        <v>28</v>
      </c>
      <c r="K330" s="7">
        <f t="array" ref="K330">IF(ROWS(K$20:K330)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330))))</f>
        <v>41440</v>
      </c>
      <c r="L330" s="4" t="str">
        <f t="array" ref="L330">IF(ROWS(L$20:L330)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330))))</f>
        <v>Kerrie  Worrell</v>
      </c>
      <c r="M330" s="4">
        <f t="array" ref="M330">IF(ROWS(M$20:M330)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330))))</f>
        <v>28</v>
      </c>
    </row>
    <row r="331" spans="1:13" x14ac:dyDescent="0.25">
      <c r="A331" s="3">
        <v>41823</v>
      </c>
      <c r="B331" s="2" t="s">
        <v>27</v>
      </c>
      <c r="C331" s="2">
        <v>37</v>
      </c>
      <c r="G331" s="7">
        <f t="array" ref="G331">IF(ROWS(K$20:K331)&gt;$F$6,"",INDEX(A$2:A$10000,SMALL(IF(ISNUMBER(MATCH($B$2:$B$10000,$E$6:$E$22,0)),ROW($C$2:$C$10000)-ROW($C$2)+1),ROWS(K$20:K331))))</f>
        <v>41901</v>
      </c>
      <c r="H331" s="4" t="str">
        <f t="array" ref="H331">IF(ROWS(L$20:L331)&gt;$F$6,"",INDEX(B$2:B$10000,SMALL(IF(ISNUMBER(MATCH($B$2:$B$10000,$E$6:$E$22,0)),ROW($C$2:$C$10000)-ROW($C$2)+1),ROWS(L$20:L331))))</f>
        <v>Galen  Barth</v>
      </c>
      <c r="I331" s="4">
        <f t="array" ref="I331">IF(ROWS(M$20:M331)&gt;$F$6,"",INDEX(C$2:C$10000,SMALL(IF(ISNUMBER(MATCH($B$2:$B$10000,$E$6:$E$22,0)),ROW($C$2:$C$10000)-ROW($C$2)+1),ROWS(M$20:M331))))</f>
        <v>15</v>
      </c>
      <c r="K331" s="7">
        <f t="array" ref="K331">IF(ROWS(K$20:K331)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331))))</f>
        <v>41901</v>
      </c>
      <c r="L331" s="4" t="str">
        <f t="array" ref="L331">IF(ROWS(L$20:L331)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331))))</f>
        <v>Galen  Barth</v>
      </c>
      <c r="M331" s="4">
        <f t="array" ref="M331">IF(ROWS(M$20:M331)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331))))</f>
        <v>15</v>
      </c>
    </row>
    <row r="332" spans="1:13" x14ac:dyDescent="0.25">
      <c r="A332" s="3">
        <v>41624</v>
      </c>
      <c r="B332" s="2" t="s">
        <v>15</v>
      </c>
      <c r="C332" s="2">
        <v>14</v>
      </c>
      <c r="G332" s="7">
        <f t="array" ref="G332">IF(ROWS(K$20:K332)&gt;$F$6,"",INDEX(A$2:A$10000,SMALL(IF(ISNUMBER(MATCH($B$2:$B$10000,$E$6:$E$22,0)),ROW($C$2:$C$10000)-ROW($C$2)+1),ROWS(K$20:K332))))</f>
        <v>41826</v>
      </c>
      <c r="H332" s="4" t="str">
        <f t="array" ref="H332">IF(ROWS(L$20:L332)&gt;$F$6,"",INDEX(B$2:B$10000,SMALL(IF(ISNUMBER(MATCH($B$2:$B$10000,$E$6:$E$22,0)),ROW($C$2:$C$10000)-ROW($C$2)+1),ROWS(L$20:L332))))</f>
        <v>Kerrie  Worrell</v>
      </c>
      <c r="I332" s="4">
        <f t="array" ref="I332">IF(ROWS(M$20:M332)&gt;$F$6,"",INDEX(C$2:C$10000,SMALL(IF(ISNUMBER(MATCH($B$2:$B$10000,$E$6:$E$22,0)),ROW($C$2:$C$10000)-ROW($C$2)+1),ROWS(M$20:M332))))</f>
        <v>29</v>
      </c>
      <c r="K332" s="7">
        <f t="array" ref="K332">IF(ROWS(K$20:K332)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332))))</f>
        <v>41826</v>
      </c>
      <c r="L332" s="4" t="str">
        <f t="array" ref="L332">IF(ROWS(L$20:L332)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332))))</f>
        <v>Kerrie  Worrell</v>
      </c>
      <c r="M332" s="4">
        <f t="array" ref="M332">IF(ROWS(M$20:M332)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332))))</f>
        <v>29</v>
      </c>
    </row>
    <row r="333" spans="1:13" x14ac:dyDescent="0.25">
      <c r="A333" s="3">
        <v>41321</v>
      </c>
      <c r="B333" s="2" t="s">
        <v>11</v>
      </c>
      <c r="C333" s="2">
        <v>21</v>
      </c>
      <c r="G333" s="7">
        <f t="array" ref="G333">IF(ROWS(K$20:K333)&gt;$F$6,"",INDEX(A$2:A$10000,SMALL(IF(ISNUMBER(MATCH($B$2:$B$10000,$E$6:$E$22,0)),ROW($C$2:$C$10000)-ROW($C$2)+1),ROWS(K$20:K333))))</f>
        <v>41298</v>
      </c>
      <c r="H333" s="4" t="str">
        <f t="array" ref="H333">IF(ROWS(L$20:L333)&gt;$F$6,"",INDEX(B$2:B$10000,SMALL(IF(ISNUMBER(MATCH($B$2:$B$10000,$E$6:$E$22,0)),ROW($C$2:$C$10000)-ROW($C$2)+1),ROWS(L$20:L333))))</f>
        <v>Galen  Barth</v>
      </c>
      <c r="I333" s="4">
        <f t="array" ref="I333">IF(ROWS(M$20:M333)&gt;$F$6,"",INDEX(C$2:C$10000,SMALL(IF(ISNUMBER(MATCH($B$2:$B$10000,$E$6:$E$22,0)),ROW($C$2:$C$10000)-ROW($C$2)+1),ROWS(M$20:M333))))</f>
        <v>36</v>
      </c>
      <c r="K333" s="7">
        <f t="array" ref="K333">IF(ROWS(K$20:K333)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333))))</f>
        <v>41298</v>
      </c>
      <c r="L333" s="4" t="str">
        <f t="array" ref="L333">IF(ROWS(L$20:L333)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333))))</f>
        <v>Galen  Barth</v>
      </c>
      <c r="M333" s="4">
        <f t="array" ref="M333">IF(ROWS(M$20:M333)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333))))</f>
        <v>36</v>
      </c>
    </row>
    <row r="334" spans="1:13" x14ac:dyDescent="0.25">
      <c r="A334" s="3">
        <v>41889</v>
      </c>
      <c r="B334" s="2" t="s">
        <v>50</v>
      </c>
      <c r="C334" s="2">
        <v>23</v>
      </c>
      <c r="G334" s="7">
        <f t="array" ref="G334">IF(ROWS(K$20:K334)&gt;$F$6,"",INDEX(A$2:A$10000,SMALL(IF(ISNUMBER(MATCH($B$2:$B$10000,$E$6:$E$22,0)),ROW($C$2:$C$10000)-ROW($C$2)+1),ROWS(K$20:K334))))</f>
        <v>41593</v>
      </c>
      <c r="H334" s="4" t="str">
        <f t="array" ref="H334">IF(ROWS(L$20:L334)&gt;$F$6,"",INDEX(B$2:B$10000,SMALL(IF(ISNUMBER(MATCH($B$2:$B$10000,$E$6:$E$22,0)),ROW($C$2:$C$10000)-ROW($C$2)+1),ROWS(L$20:L334))))</f>
        <v>Mickey  Bolduc</v>
      </c>
      <c r="I334" s="4">
        <f t="array" ref="I334">IF(ROWS(M$20:M334)&gt;$F$6,"",INDEX(C$2:C$10000,SMALL(IF(ISNUMBER(MATCH($B$2:$B$10000,$E$6:$E$22,0)),ROW($C$2:$C$10000)-ROW($C$2)+1),ROWS(M$20:M334))))</f>
        <v>32</v>
      </c>
      <c r="K334" s="7">
        <f t="array" ref="K334">IF(ROWS(K$20:K334)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334))))</f>
        <v>41593</v>
      </c>
      <c r="L334" s="4" t="str">
        <f t="array" ref="L334">IF(ROWS(L$20:L334)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334))))</f>
        <v>Mickey  Bolduc</v>
      </c>
      <c r="M334" s="4">
        <f t="array" ref="M334">IF(ROWS(M$20:M334)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334))))</f>
        <v>32</v>
      </c>
    </row>
    <row r="335" spans="1:13" x14ac:dyDescent="0.25">
      <c r="A335" s="3">
        <v>41533</v>
      </c>
      <c r="B335" s="2" t="s">
        <v>8</v>
      </c>
      <c r="C335" s="2">
        <v>17</v>
      </c>
      <c r="G335" s="7">
        <f t="array" ref="G335">IF(ROWS(K$20:K335)&gt;$F$6,"",INDEX(A$2:A$10000,SMALL(IF(ISNUMBER(MATCH($B$2:$B$10000,$E$6:$E$22,0)),ROW($C$2:$C$10000)-ROW($C$2)+1),ROWS(K$20:K335))))</f>
        <v>41594</v>
      </c>
      <c r="H335" s="4" t="str">
        <f t="array" ref="H335">IF(ROWS(L$20:L335)&gt;$F$6,"",INDEX(B$2:B$10000,SMALL(IF(ISNUMBER(MATCH($B$2:$B$10000,$E$6:$E$22,0)),ROW($C$2:$C$10000)-ROW($C$2)+1),ROWS(L$20:L335))))</f>
        <v>Rosamond  Allard</v>
      </c>
      <c r="I335" s="4">
        <f t="array" ref="I335">IF(ROWS(M$20:M335)&gt;$F$6,"",INDEX(C$2:C$10000,SMALL(IF(ISNUMBER(MATCH($B$2:$B$10000,$E$6:$E$22,0)),ROW($C$2:$C$10000)-ROW($C$2)+1),ROWS(M$20:M335))))</f>
        <v>18</v>
      </c>
      <c r="K335" s="7">
        <f t="array" ref="K335">IF(ROWS(K$20:K335)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335))))</f>
        <v>41594</v>
      </c>
      <c r="L335" s="4" t="str">
        <f t="array" ref="L335">IF(ROWS(L$20:L335)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335))))</f>
        <v>Rosamond  Allard</v>
      </c>
      <c r="M335" s="4">
        <f t="array" ref="M335">IF(ROWS(M$20:M335)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335))))</f>
        <v>18</v>
      </c>
    </row>
    <row r="336" spans="1:13" x14ac:dyDescent="0.25">
      <c r="A336" s="3">
        <v>41539</v>
      </c>
      <c r="B336" s="2" t="s">
        <v>21</v>
      </c>
      <c r="C336" s="2">
        <v>23</v>
      </c>
      <c r="G336" s="7">
        <f t="array" ref="G336">IF(ROWS(K$20:K336)&gt;$F$6,"",INDEX(A$2:A$10000,SMALL(IF(ISNUMBER(MATCH($B$2:$B$10000,$E$6:$E$22,0)),ROW($C$2:$C$10000)-ROW($C$2)+1),ROWS(K$20:K336))))</f>
        <v>41413</v>
      </c>
      <c r="H336" s="4" t="str">
        <f t="array" ref="H336">IF(ROWS(L$20:L336)&gt;$F$6,"",INDEX(B$2:B$10000,SMALL(IF(ISNUMBER(MATCH($B$2:$B$10000,$E$6:$E$22,0)),ROW($C$2:$C$10000)-ROW($C$2)+1),ROWS(L$20:L336))))</f>
        <v>Mickey  Bolduc</v>
      </c>
      <c r="I336" s="4">
        <f t="array" ref="I336">IF(ROWS(M$20:M336)&gt;$F$6,"",INDEX(C$2:C$10000,SMALL(IF(ISNUMBER(MATCH($B$2:$B$10000,$E$6:$E$22,0)),ROW($C$2:$C$10000)-ROW($C$2)+1),ROWS(M$20:M336))))</f>
        <v>17</v>
      </c>
      <c r="K336" s="7">
        <f t="array" ref="K336">IF(ROWS(K$20:K336)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336))))</f>
        <v>41413</v>
      </c>
      <c r="L336" s="4" t="str">
        <f t="array" ref="L336">IF(ROWS(L$20:L336)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336))))</f>
        <v>Mickey  Bolduc</v>
      </c>
      <c r="M336" s="4">
        <f t="array" ref="M336">IF(ROWS(M$20:M336)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336))))</f>
        <v>17</v>
      </c>
    </row>
    <row r="337" spans="1:13" x14ac:dyDescent="0.25">
      <c r="A337" s="3">
        <v>41977</v>
      </c>
      <c r="B337" s="2" t="s">
        <v>26</v>
      </c>
      <c r="C337" s="2">
        <v>23</v>
      </c>
      <c r="G337" s="7">
        <f t="array" ref="G337">IF(ROWS(K$20:K337)&gt;$F$6,"",INDEX(A$2:A$10000,SMALL(IF(ISNUMBER(MATCH($B$2:$B$10000,$E$6:$E$22,0)),ROW($C$2:$C$10000)-ROW($C$2)+1),ROWS(K$20:K337))))</f>
        <v>41719</v>
      </c>
      <c r="H337" s="4" t="str">
        <f t="array" ref="H337">IF(ROWS(L$20:L337)&gt;$F$6,"",INDEX(B$2:B$10000,SMALL(IF(ISNUMBER(MATCH($B$2:$B$10000,$E$6:$E$22,0)),ROW($C$2:$C$10000)-ROW($C$2)+1),ROWS(L$20:L337))))</f>
        <v>Galen  Barth</v>
      </c>
      <c r="I337" s="4">
        <f t="array" ref="I337">IF(ROWS(M$20:M337)&gt;$F$6,"",INDEX(C$2:C$10000,SMALL(IF(ISNUMBER(MATCH($B$2:$B$10000,$E$6:$E$22,0)),ROW($C$2:$C$10000)-ROW($C$2)+1),ROWS(M$20:M337))))</f>
        <v>48</v>
      </c>
      <c r="K337" s="7">
        <f t="array" ref="K337">IF(ROWS(K$20:K337)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337))))</f>
        <v>41719</v>
      </c>
      <c r="L337" s="4" t="str">
        <f t="array" ref="L337">IF(ROWS(L$20:L337)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337))))</f>
        <v>Galen  Barth</v>
      </c>
      <c r="M337" s="4">
        <f t="array" ref="M337">IF(ROWS(M$20:M337)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337))))</f>
        <v>48</v>
      </c>
    </row>
    <row r="338" spans="1:13" x14ac:dyDescent="0.25">
      <c r="A338" s="3">
        <v>41478</v>
      </c>
      <c r="B338" s="2" t="s">
        <v>29</v>
      </c>
      <c r="C338" s="2">
        <v>32</v>
      </c>
      <c r="G338" s="7">
        <f t="array" ref="G338">IF(ROWS(K$20:K338)&gt;$F$6,"",INDEX(A$2:A$10000,SMALL(IF(ISNUMBER(MATCH($B$2:$B$10000,$E$6:$E$22,0)),ROW($C$2:$C$10000)-ROW($C$2)+1),ROWS(K$20:K338))))</f>
        <v>41529</v>
      </c>
      <c r="H338" s="4" t="str">
        <f t="array" ref="H338">IF(ROWS(L$20:L338)&gt;$F$6,"",INDEX(B$2:B$10000,SMALL(IF(ISNUMBER(MATCH($B$2:$B$10000,$E$6:$E$22,0)),ROW($C$2:$C$10000)-ROW($C$2)+1),ROWS(L$20:L338))))</f>
        <v>Galen  Barth</v>
      </c>
      <c r="I338" s="4">
        <f t="array" ref="I338">IF(ROWS(M$20:M338)&gt;$F$6,"",INDEX(C$2:C$10000,SMALL(IF(ISNUMBER(MATCH($B$2:$B$10000,$E$6:$E$22,0)),ROW($C$2:$C$10000)-ROW($C$2)+1),ROWS(M$20:M338))))</f>
        <v>25</v>
      </c>
      <c r="K338" s="7">
        <f t="array" ref="K338">IF(ROWS(K$20:K338)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338))))</f>
        <v>41529</v>
      </c>
      <c r="L338" s="4" t="str">
        <f t="array" ref="L338">IF(ROWS(L$20:L338)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338))))</f>
        <v>Galen  Barth</v>
      </c>
      <c r="M338" s="4">
        <f t="array" ref="M338">IF(ROWS(M$20:M338)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338))))</f>
        <v>25</v>
      </c>
    </row>
    <row r="339" spans="1:13" x14ac:dyDescent="0.25">
      <c r="A339" s="3">
        <v>41623</v>
      </c>
      <c r="B339" s="2" t="s">
        <v>6</v>
      </c>
      <c r="C339" s="2">
        <v>41</v>
      </c>
      <c r="G339" s="7">
        <f t="array" ref="G339">IF(ROWS(K$20:K339)&gt;$F$6,"",INDEX(A$2:A$10000,SMALL(IF(ISNUMBER(MATCH($B$2:$B$10000,$E$6:$E$22,0)),ROW($C$2:$C$10000)-ROW($C$2)+1),ROWS(K$20:K339))))</f>
        <v>41649</v>
      </c>
      <c r="H339" s="4" t="str">
        <f t="array" ref="H339">IF(ROWS(L$20:L339)&gt;$F$6,"",INDEX(B$2:B$10000,SMALL(IF(ISNUMBER(MATCH($B$2:$B$10000,$E$6:$E$22,0)),ROW($C$2:$C$10000)-ROW($C$2)+1),ROWS(L$20:L339))))</f>
        <v>Rosamond  Allard</v>
      </c>
      <c r="I339" s="4">
        <f t="array" ref="I339">IF(ROWS(M$20:M339)&gt;$F$6,"",INDEX(C$2:C$10000,SMALL(IF(ISNUMBER(MATCH($B$2:$B$10000,$E$6:$E$22,0)),ROW($C$2:$C$10000)-ROW($C$2)+1),ROWS(M$20:M339))))</f>
        <v>40</v>
      </c>
      <c r="K339" s="7">
        <f t="array" ref="K339">IF(ROWS(K$20:K339)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339))))</f>
        <v>41649</v>
      </c>
      <c r="L339" s="4" t="str">
        <f t="array" ref="L339">IF(ROWS(L$20:L339)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339))))</f>
        <v>Rosamond  Allard</v>
      </c>
      <c r="M339" s="4">
        <f t="array" ref="M339">IF(ROWS(M$20:M339)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339))))</f>
        <v>40</v>
      </c>
    </row>
    <row r="340" spans="1:13" x14ac:dyDescent="0.25">
      <c r="A340" s="3">
        <v>41839</v>
      </c>
      <c r="B340" s="2" t="s">
        <v>36</v>
      </c>
      <c r="C340" s="2">
        <v>25</v>
      </c>
      <c r="G340" s="7">
        <f t="array" ref="G340">IF(ROWS(K$20:K340)&gt;$F$6,"",INDEX(A$2:A$10000,SMALL(IF(ISNUMBER(MATCH($B$2:$B$10000,$E$6:$E$22,0)),ROW($C$2:$C$10000)-ROW($C$2)+1),ROWS(K$20:K340))))</f>
        <v>42000</v>
      </c>
      <c r="H340" s="4" t="str">
        <f t="array" ref="H340">IF(ROWS(L$20:L340)&gt;$F$6,"",INDEX(B$2:B$10000,SMALL(IF(ISNUMBER(MATCH($B$2:$B$10000,$E$6:$E$22,0)),ROW($C$2:$C$10000)-ROW($C$2)+1),ROWS(L$20:L340))))</f>
        <v>Mickey  Bolduc</v>
      </c>
      <c r="I340" s="4">
        <f t="array" ref="I340">IF(ROWS(M$20:M340)&gt;$F$6,"",INDEX(C$2:C$10000,SMALL(IF(ISNUMBER(MATCH($B$2:$B$10000,$E$6:$E$22,0)),ROW($C$2:$C$10000)-ROW($C$2)+1),ROWS(M$20:M340))))</f>
        <v>36</v>
      </c>
      <c r="K340" s="7">
        <f t="array" ref="K340">IF(ROWS(K$20:K340)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340))))</f>
        <v>42000</v>
      </c>
      <c r="L340" s="4" t="str">
        <f t="array" ref="L340">IF(ROWS(L$20:L340)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340))))</f>
        <v>Mickey  Bolduc</v>
      </c>
      <c r="M340" s="4">
        <f t="array" ref="M340">IF(ROWS(M$20:M340)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340))))</f>
        <v>36</v>
      </c>
    </row>
    <row r="341" spans="1:13" x14ac:dyDescent="0.25">
      <c r="A341" s="3">
        <v>41732</v>
      </c>
      <c r="B341" s="2" t="s">
        <v>46</v>
      </c>
      <c r="C341" s="2">
        <v>10</v>
      </c>
      <c r="G341" s="7">
        <f t="array" ref="G341">IF(ROWS(K$20:K341)&gt;$F$6,"",INDEX(A$2:A$10000,SMALL(IF(ISNUMBER(MATCH($B$2:$B$10000,$E$6:$E$22,0)),ROW($C$2:$C$10000)-ROW($C$2)+1),ROWS(K$20:K341))))</f>
        <v>41959</v>
      </c>
      <c r="H341" s="4" t="str">
        <f t="array" ref="H341">IF(ROWS(L$20:L341)&gt;$F$6,"",INDEX(B$2:B$10000,SMALL(IF(ISNUMBER(MATCH($B$2:$B$10000,$E$6:$E$22,0)),ROW($C$2:$C$10000)-ROW($C$2)+1),ROWS(L$20:L341))))</f>
        <v>Rosamond  Allard</v>
      </c>
      <c r="I341" s="4">
        <f t="array" ref="I341">IF(ROWS(M$20:M341)&gt;$F$6,"",INDEX(C$2:C$10000,SMALL(IF(ISNUMBER(MATCH($B$2:$B$10000,$E$6:$E$22,0)),ROW($C$2:$C$10000)-ROW($C$2)+1),ROWS(M$20:M341))))</f>
        <v>6</v>
      </c>
      <c r="K341" s="7">
        <f t="array" ref="K341">IF(ROWS(K$20:K341)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341))))</f>
        <v>41959</v>
      </c>
      <c r="L341" s="4" t="str">
        <f t="array" ref="L341">IF(ROWS(L$20:L341)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341))))</f>
        <v>Rosamond  Allard</v>
      </c>
      <c r="M341" s="4">
        <f t="array" ref="M341">IF(ROWS(M$20:M341)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341))))</f>
        <v>6</v>
      </c>
    </row>
    <row r="342" spans="1:13" x14ac:dyDescent="0.25">
      <c r="A342" s="3">
        <v>41714</v>
      </c>
      <c r="B342" s="2" t="s">
        <v>44</v>
      </c>
      <c r="C342" s="2">
        <v>52</v>
      </c>
      <c r="G342" s="7">
        <f t="array" ref="G342">IF(ROWS(K$20:K342)&gt;$F$6,"",INDEX(A$2:A$10000,SMALL(IF(ISNUMBER(MATCH($B$2:$B$10000,$E$6:$E$22,0)),ROW($C$2:$C$10000)-ROW($C$2)+1),ROWS(K$20:K342))))</f>
        <v>41713</v>
      </c>
      <c r="H342" s="4" t="str">
        <f t="array" ref="H342">IF(ROWS(L$20:L342)&gt;$F$6,"",INDEX(B$2:B$10000,SMALL(IF(ISNUMBER(MATCH($B$2:$B$10000,$E$6:$E$22,0)),ROW($C$2:$C$10000)-ROW($C$2)+1),ROWS(L$20:L342))))</f>
        <v>Mickey  Bolduc</v>
      </c>
      <c r="I342" s="4">
        <f t="array" ref="I342">IF(ROWS(M$20:M342)&gt;$F$6,"",INDEX(C$2:C$10000,SMALL(IF(ISNUMBER(MATCH($B$2:$B$10000,$E$6:$E$22,0)),ROW($C$2:$C$10000)-ROW($C$2)+1),ROWS(M$20:M342))))</f>
        <v>6</v>
      </c>
      <c r="K342" s="7">
        <f t="array" ref="K342">IF(ROWS(K$20:K342)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342))))</f>
        <v>41713</v>
      </c>
      <c r="L342" s="4" t="str">
        <f t="array" ref="L342">IF(ROWS(L$20:L342)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342))))</f>
        <v>Mickey  Bolduc</v>
      </c>
      <c r="M342" s="4">
        <f t="array" ref="M342">IF(ROWS(M$20:M342)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342))))</f>
        <v>6</v>
      </c>
    </row>
    <row r="343" spans="1:13" x14ac:dyDescent="0.25">
      <c r="A343" s="3">
        <v>41919</v>
      </c>
      <c r="B343" s="2" t="s">
        <v>26</v>
      </c>
      <c r="C343" s="2">
        <v>39</v>
      </c>
      <c r="G343" s="7">
        <f t="array" ref="G343">IF(ROWS(K$20:K343)&gt;$F$6,"",INDEX(A$2:A$10000,SMALL(IF(ISNUMBER(MATCH($B$2:$B$10000,$E$6:$E$22,0)),ROW($C$2:$C$10000)-ROW($C$2)+1),ROWS(K$20:K343))))</f>
        <v>41431</v>
      </c>
      <c r="H343" s="4" t="str">
        <f t="array" ref="H343">IF(ROWS(L$20:L343)&gt;$F$6,"",INDEX(B$2:B$10000,SMALL(IF(ISNUMBER(MATCH($B$2:$B$10000,$E$6:$E$22,0)),ROW($C$2:$C$10000)-ROW($C$2)+1),ROWS(L$20:L343))))</f>
        <v>Jenni  Thorton</v>
      </c>
      <c r="I343" s="4">
        <f t="array" ref="I343">IF(ROWS(M$20:M343)&gt;$F$6,"",INDEX(C$2:C$10000,SMALL(IF(ISNUMBER(MATCH($B$2:$B$10000,$E$6:$E$22,0)),ROW($C$2:$C$10000)-ROW($C$2)+1),ROWS(M$20:M343))))</f>
        <v>33</v>
      </c>
      <c r="K343" s="7">
        <f t="array" ref="K343">IF(ROWS(K$20:K343)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343))))</f>
        <v>41431</v>
      </c>
      <c r="L343" s="4" t="str">
        <f t="array" ref="L343">IF(ROWS(L$20:L343)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343))))</f>
        <v>Jenni  Thorton</v>
      </c>
      <c r="M343" s="4">
        <f t="array" ref="M343">IF(ROWS(M$20:M343)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343))))</f>
        <v>33</v>
      </c>
    </row>
    <row r="344" spans="1:13" x14ac:dyDescent="0.25">
      <c r="A344" s="3">
        <v>41855</v>
      </c>
      <c r="B344" s="2" t="s">
        <v>27</v>
      </c>
      <c r="C344" s="2">
        <v>60</v>
      </c>
      <c r="G344" s="7">
        <f t="array" ref="G344">IF(ROWS(K$20:K344)&gt;$F$6,"",INDEX(A$2:A$10000,SMALL(IF(ISNUMBER(MATCH($B$2:$B$10000,$E$6:$E$22,0)),ROW($C$2:$C$10000)-ROW($C$2)+1),ROWS(K$20:K344))))</f>
        <v>41370</v>
      </c>
      <c r="H344" s="4" t="str">
        <f t="array" ref="H344">IF(ROWS(L$20:L344)&gt;$F$6,"",INDEX(B$2:B$10000,SMALL(IF(ISNUMBER(MATCH($B$2:$B$10000,$E$6:$E$22,0)),ROW($C$2:$C$10000)-ROW($C$2)+1),ROWS(L$20:L344))))</f>
        <v>Kerrie  Worrell</v>
      </c>
      <c r="I344" s="4">
        <f t="array" ref="I344">IF(ROWS(M$20:M344)&gt;$F$6,"",INDEX(C$2:C$10000,SMALL(IF(ISNUMBER(MATCH($B$2:$B$10000,$E$6:$E$22,0)),ROW($C$2:$C$10000)-ROW($C$2)+1),ROWS(M$20:M344))))</f>
        <v>24</v>
      </c>
      <c r="K344" s="7">
        <f t="array" ref="K344">IF(ROWS(K$20:K344)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344))))</f>
        <v>41370</v>
      </c>
      <c r="L344" s="4" t="str">
        <f t="array" ref="L344">IF(ROWS(L$20:L344)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344))))</f>
        <v>Kerrie  Worrell</v>
      </c>
      <c r="M344" s="4">
        <f t="array" ref="M344">IF(ROWS(M$20:M344)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344))))</f>
        <v>24</v>
      </c>
    </row>
    <row r="345" spans="1:13" x14ac:dyDescent="0.25">
      <c r="A345" s="3">
        <v>41461</v>
      </c>
      <c r="B345" s="2" t="s">
        <v>2</v>
      </c>
      <c r="C345" s="2">
        <v>28</v>
      </c>
      <c r="G345" s="7">
        <f t="array" ref="G345">IF(ROWS(K$20:K345)&gt;$F$6,"",INDEX(A$2:A$10000,SMALL(IF(ISNUMBER(MATCH($B$2:$B$10000,$E$6:$E$22,0)),ROW($C$2:$C$10000)-ROW($C$2)+1),ROWS(K$20:K345))))</f>
        <v>41391</v>
      </c>
      <c r="H345" s="4" t="str">
        <f t="array" ref="H345">IF(ROWS(L$20:L345)&gt;$F$6,"",INDEX(B$2:B$10000,SMALL(IF(ISNUMBER(MATCH($B$2:$B$10000,$E$6:$E$22,0)),ROW($C$2:$C$10000)-ROW($C$2)+1),ROWS(L$20:L345))))</f>
        <v>Mickey  Bolduc</v>
      </c>
      <c r="I345" s="4">
        <f t="array" ref="I345">IF(ROWS(M$20:M345)&gt;$F$6,"",INDEX(C$2:C$10000,SMALL(IF(ISNUMBER(MATCH($B$2:$B$10000,$E$6:$E$22,0)),ROW($C$2:$C$10000)-ROW($C$2)+1),ROWS(M$20:M345))))</f>
        <v>46</v>
      </c>
      <c r="K345" s="7">
        <f t="array" ref="K345">IF(ROWS(K$20:K345)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345))))</f>
        <v>41391</v>
      </c>
      <c r="L345" s="4" t="str">
        <f t="array" ref="L345">IF(ROWS(L$20:L345)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345))))</f>
        <v>Mickey  Bolduc</v>
      </c>
      <c r="M345" s="4">
        <f t="array" ref="M345">IF(ROWS(M$20:M345)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345))))</f>
        <v>46</v>
      </c>
    </row>
    <row r="346" spans="1:13" x14ac:dyDescent="0.25">
      <c r="A346" s="3">
        <v>41459</v>
      </c>
      <c r="B346" s="2" t="s">
        <v>40</v>
      </c>
      <c r="C346" s="2">
        <v>29</v>
      </c>
      <c r="G346" s="7">
        <f t="array" ref="G346">IF(ROWS(K$20:K346)&gt;$F$6,"",INDEX(A$2:A$10000,SMALL(IF(ISNUMBER(MATCH($B$2:$B$10000,$E$6:$E$22,0)),ROW($C$2:$C$10000)-ROW($C$2)+1),ROWS(K$20:K346))))</f>
        <v>41519</v>
      </c>
      <c r="H346" s="4" t="str">
        <f t="array" ref="H346">IF(ROWS(L$20:L346)&gt;$F$6,"",INDEX(B$2:B$10000,SMALL(IF(ISNUMBER(MATCH($B$2:$B$10000,$E$6:$E$22,0)),ROW($C$2:$C$10000)-ROW($C$2)+1),ROWS(L$20:L346))))</f>
        <v>Galen  Barth</v>
      </c>
      <c r="I346" s="4">
        <f t="array" ref="I346">IF(ROWS(M$20:M346)&gt;$F$6,"",INDEX(C$2:C$10000,SMALL(IF(ISNUMBER(MATCH($B$2:$B$10000,$E$6:$E$22,0)),ROW($C$2:$C$10000)-ROW($C$2)+1),ROWS(M$20:M346))))</f>
        <v>5</v>
      </c>
      <c r="K346" s="7">
        <f t="array" ref="K346">IF(ROWS(K$20:K346)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346))))</f>
        <v>41519</v>
      </c>
      <c r="L346" s="4" t="str">
        <f t="array" ref="L346">IF(ROWS(L$20:L346)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346))))</f>
        <v>Galen  Barth</v>
      </c>
      <c r="M346" s="4">
        <f t="array" ref="M346">IF(ROWS(M$20:M346)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346))))</f>
        <v>5</v>
      </c>
    </row>
    <row r="347" spans="1:13" x14ac:dyDescent="0.25">
      <c r="A347" s="3">
        <v>41731</v>
      </c>
      <c r="B347" s="2" t="s">
        <v>22</v>
      </c>
      <c r="C347" s="2">
        <v>5</v>
      </c>
      <c r="G347" s="7">
        <f t="array" ref="G347">IF(ROWS(K$20:K347)&gt;$F$6,"",INDEX(A$2:A$10000,SMALL(IF(ISNUMBER(MATCH($B$2:$B$10000,$E$6:$E$22,0)),ROW($C$2:$C$10000)-ROW($C$2)+1),ROWS(K$20:K347))))</f>
        <v>41545</v>
      </c>
      <c r="H347" s="4" t="str">
        <f t="array" ref="H347">IF(ROWS(L$20:L347)&gt;$F$6,"",INDEX(B$2:B$10000,SMALL(IF(ISNUMBER(MATCH($B$2:$B$10000,$E$6:$E$22,0)),ROW($C$2:$C$10000)-ROW($C$2)+1),ROWS(L$20:L347))))</f>
        <v>Galen  Barth</v>
      </c>
      <c r="I347" s="4">
        <f t="array" ref="I347">IF(ROWS(M$20:M347)&gt;$F$6,"",INDEX(C$2:C$10000,SMALL(IF(ISNUMBER(MATCH($B$2:$B$10000,$E$6:$E$22,0)),ROW($C$2:$C$10000)-ROW($C$2)+1),ROWS(M$20:M347))))</f>
        <v>56</v>
      </c>
      <c r="K347" s="7">
        <f t="array" ref="K347">IF(ROWS(K$20:K347)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347))))</f>
        <v>41545</v>
      </c>
      <c r="L347" s="4" t="str">
        <f t="array" ref="L347">IF(ROWS(L$20:L347)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347))))</f>
        <v>Galen  Barth</v>
      </c>
      <c r="M347" s="4">
        <f t="array" ref="M347">IF(ROWS(M$20:M347)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347))))</f>
        <v>56</v>
      </c>
    </row>
    <row r="348" spans="1:13" x14ac:dyDescent="0.25">
      <c r="A348" s="3">
        <v>41814</v>
      </c>
      <c r="B348" s="2" t="s">
        <v>40</v>
      </c>
      <c r="C348" s="2">
        <v>43</v>
      </c>
      <c r="G348" s="7">
        <f t="array" ref="G348">IF(ROWS(K$20:K348)&gt;$F$6,"",INDEX(A$2:A$10000,SMALL(IF(ISNUMBER(MATCH($B$2:$B$10000,$E$6:$E$22,0)),ROW($C$2:$C$10000)-ROW($C$2)+1),ROWS(K$20:K348))))</f>
        <v>41405</v>
      </c>
      <c r="H348" s="4" t="str">
        <f t="array" ref="H348">IF(ROWS(L$20:L348)&gt;$F$6,"",INDEX(B$2:B$10000,SMALL(IF(ISNUMBER(MATCH($B$2:$B$10000,$E$6:$E$22,0)),ROW($C$2:$C$10000)-ROW($C$2)+1),ROWS(L$20:L348))))</f>
        <v>Kerrie  Worrell</v>
      </c>
      <c r="I348" s="4">
        <f t="array" ref="I348">IF(ROWS(M$20:M348)&gt;$F$6,"",INDEX(C$2:C$10000,SMALL(IF(ISNUMBER(MATCH($B$2:$B$10000,$E$6:$E$22,0)),ROW($C$2:$C$10000)-ROW($C$2)+1),ROWS(M$20:M348))))</f>
        <v>13</v>
      </c>
      <c r="K348" s="7">
        <f t="array" ref="K348">IF(ROWS(K$20:K348)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348))))</f>
        <v>41405</v>
      </c>
      <c r="L348" s="4" t="str">
        <f t="array" ref="L348">IF(ROWS(L$20:L348)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348))))</f>
        <v>Kerrie  Worrell</v>
      </c>
      <c r="M348" s="4">
        <f t="array" ref="M348">IF(ROWS(M$20:M348)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348))))</f>
        <v>13</v>
      </c>
    </row>
    <row r="349" spans="1:13" x14ac:dyDescent="0.25">
      <c r="A349" s="3">
        <v>41713</v>
      </c>
      <c r="B349" s="2" t="s">
        <v>49</v>
      </c>
      <c r="C349" s="2">
        <v>49</v>
      </c>
      <c r="G349" s="7">
        <f t="array" ref="G349">IF(ROWS(K$20:K349)&gt;$F$6,"",INDEX(A$2:A$10000,SMALL(IF(ISNUMBER(MATCH($B$2:$B$10000,$E$6:$E$22,0)),ROW($C$2:$C$10000)-ROW($C$2)+1),ROWS(K$20:K349))))</f>
        <v>41481</v>
      </c>
      <c r="H349" s="4" t="str">
        <f t="array" ref="H349">IF(ROWS(L$20:L349)&gt;$F$6,"",INDEX(B$2:B$10000,SMALL(IF(ISNUMBER(MATCH($B$2:$B$10000,$E$6:$E$22,0)),ROW($C$2:$C$10000)-ROW($C$2)+1),ROWS(L$20:L349))))</f>
        <v>Galen  Barth</v>
      </c>
      <c r="I349" s="4">
        <f t="array" ref="I349">IF(ROWS(M$20:M349)&gt;$F$6,"",INDEX(C$2:C$10000,SMALL(IF(ISNUMBER(MATCH($B$2:$B$10000,$E$6:$E$22,0)),ROW($C$2:$C$10000)-ROW($C$2)+1),ROWS(M$20:M349))))</f>
        <v>8</v>
      </c>
      <c r="K349" s="7">
        <f t="array" ref="K349">IF(ROWS(K$20:K349)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349))))</f>
        <v>41481</v>
      </c>
      <c r="L349" s="4" t="str">
        <f t="array" ref="L349">IF(ROWS(L$20:L349)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349))))</f>
        <v>Galen  Barth</v>
      </c>
      <c r="M349" s="4">
        <f t="array" ref="M349">IF(ROWS(M$20:M349)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349))))</f>
        <v>8</v>
      </c>
    </row>
    <row r="350" spans="1:13" x14ac:dyDescent="0.25">
      <c r="A350" s="3">
        <v>41958</v>
      </c>
      <c r="B350" s="2" t="s">
        <v>10</v>
      </c>
      <c r="C350" s="2">
        <v>34</v>
      </c>
      <c r="G350" s="7">
        <f t="array" ref="G350">IF(ROWS(K$20:K350)&gt;$F$6,"",INDEX(A$2:A$10000,SMALL(IF(ISNUMBER(MATCH($B$2:$B$10000,$E$6:$E$22,0)),ROW($C$2:$C$10000)-ROW($C$2)+1),ROWS(K$20:K350))))</f>
        <v>41642</v>
      </c>
      <c r="H350" s="4" t="str">
        <f t="array" ref="H350">IF(ROWS(L$20:L350)&gt;$F$6,"",INDEX(B$2:B$10000,SMALL(IF(ISNUMBER(MATCH($B$2:$B$10000,$E$6:$E$22,0)),ROW($C$2:$C$10000)-ROW($C$2)+1),ROWS(L$20:L350))))</f>
        <v>Rosamond  Allard</v>
      </c>
      <c r="I350" s="4">
        <f t="array" ref="I350">IF(ROWS(M$20:M350)&gt;$F$6,"",INDEX(C$2:C$10000,SMALL(IF(ISNUMBER(MATCH($B$2:$B$10000,$E$6:$E$22,0)),ROW($C$2:$C$10000)-ROW($C$2)+1),ROWS(M$20:M350))))</f>
        <v>19</v>
      </c>
      <c r="K350" s="7">
        <f t="array" ref="K350">IF(ROWS(K$20:K350)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350))))</f>
        <v>41642</v>
      </c>
      <c r="L350" s="4" t="str">
        <f t="array" ref="L350">IF(ROWS(L$20:L350)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350))))</f>
        <v>Rosamond  Allard</v>
      </c>
      <c r="M350" s="4">
        <f t="array" ref="M350">IF(ROWS(M$20:M350)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350))))</f>
        <v>19</v>
      </c>
    </row>
    <row r="351" spans="1:13" x14ac:dyDescent="0.25">
      <c r="A351" s="3">
        <v>41480</v>
      </c>
      <c r="B351" s="2" t="s">
        <v>43</v>
      </c>
      <c r="C351" s="2">
        <v>31</v>
      </c>
      <c r="G351" s="7">
        <f t="array" ref="G351">IF(ROWS(K$20:K351)&gt;$F$6,"",INDEX(A$2:A$10000,SMALL(IF(ISNUMBER(MATCH($B$2:$B$10000,$E$6:$E$22,0)),ROW($C$2:$C$10000)-ROW($C$2)+1),ROWS(K$20:K351))))</f>
        <v>41342</v>
      </c>
      <c r="H351" s="4" t="str">
        <f t="array" ref="H351">IF(ROWS(L$20:L351)&gt;$F$6,"",INDEX(B$2:B$10000,SMALL(IF(ISNUMBER(MATCH($B$2:$B$10000,$E$6:$E$22,0)),ROW($C$2:$C$10000)-ROW($C$2)+1),ROWS(L$20:L351))))</f>
        <v>Jenni  Thorton</v>
      </c>
      <c r="I351" s="4">
        <f t="array" ref="I351">IF(ROWS(M$20:M351)&gt;$F$6,"",INDEX(C$2:C$10000,SMALL(IF(ISNUMBER(MATCH($B$2:$B$10000,$E$6:$E$22,0)),ROW($C$2:$C$10000)-ROW($C$2)+1),ROWS(M$20:M351))))</f>
        <v>14</v>
      </c>
      <c r="K351" s="7">
        <f t="array" ref="K351">IF(ROWS(K$20:K351)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351))))</f>
        <v>41342</v>
      </c>
      <c r="L351" s="4" t="str">
        <f t="array" ref="L351">IF(ROWS(L$20:L351)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351))))</f>
        <v>Jenni  Thorton</v>
      </c>
      <c r="M351" s="4">
        <f t="array" ref="M351">IF(ROWS(M$20:M351)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351))))</f>
        <v>14</v>
      </c>
    </row>
    <row r="352" spans="1:13" x14ac:dyDescent="0.25">
      <c r="A352" s="3">
        <v>41608</v>
      </c>
      <c r="B352" s="2" t="s">
        <v>46</v>
      </c>
      <c r="C352" s="2">
        <v>2</v>
      </c>
      <c r="G352" s="7">
        <f t="array" ref="G352">IF(ROWS(K$20:K352)&gt;$F$6,"",INDEX(A$2:A$10000,SMALL(IF(ISNUMBER(MATCH($B$2:$B$10000,$E$6:$E$22,0)),ROW($C$2:$C$10000)-ROW($C$2)+1),ROWS(K$20:K352))))</f>
        <v>41282</v>
      </c>
      <c r="H352" s="4" t="str">
        <f t="array" ref="H352">IF(ROWS(L$20:L352)&gt;$F$6,"",INDEX(B$2:B$10000,SMALL(IF(ISNUMBER(MATCH($B$2:$B$10000,$E$6:$E$22,0)),ROW($C$2:$C$10000)-ROW($C$2)+1),ROWS(L$20:L352))))</f>
        <v>Mickey  Bolduc</v>
      </c>
      <c r="I352" s="4">
        <f t="array" ref="I352">IF(ROWS(M$20:M352)&gt;$F$6,"",INDEX(C$2:C$10000,SMALL(IF(ISNUMBER(MATCH($B$2:$B$10000,$E$6:$E$22,0)),ROW($C$2:$C$10000)-ROW($C$2)+1),ROWS(M$20:M352))))</f>
        <v>20</v>
      </c>
      <c r="K352" s="7">
        <f t="array" ref="K352">IF(ROWS(K$20:K352)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352))))</f>
        <v>41282</v>
      </c>
      <c r="L352" s="4" t="str">
        <f t="array" ref="L352">IF(ROWS(L$20:L352)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352))))</f>
        <v>Mickey  Bolduc</v>
      </c>
      <c r="M352" s="4">
        <f t="array" ref="M352">IF(ROWS(M$20:M352)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352))))</f>
        <v>20</v>
      </c>
    </row>
    <row r="353" spans="1:13" x14ac:dyDescent="0.25">
      <c r="A353" s="3">
        <v>41388</v>
      </c>
      <c r="B353" s="2" t="s">
        <v>36</v>
      </c>
      <c r="C353" s="2">
        <v>5</v>
      </c>
      <c r="G353" s="7">
        <f t="array" ref="G353">IF(ROWS(K$20:K353)&gt;$F$6,"",INDEX(A$2:A$10000,SMALL(IF(ISNUMBER(MATCH($B$2:$B$10000,$E$6:$E$22,0)),ROW($C$2:$C$10000)-ROW($C$2)+1),ROWS(K$20:K353))))</f>
        <v>41435</v>
      </c>
      <c r="H353" s="4" t="str">
        <f t="array" ref="H353">IF(ROWS(L$20:L353)&gt;$F$6,"",INDEX(B$2:B$10000,SMALL(IF(ISNUMBER(MATCH($B$2:$B$10000,$E$6:$E$22,0)),ROW($C$2:$C$10000)-ROW($C$2)+1),ROWS(L$20:L353))))</f>
        <v>Galen  Barth</v>
      </c>
      <c r="I353" s="4">
        <f t="array" ref="I353">IF(ROWS(M$20:M353)&gt;$F$6,"",INDEX(C$2:C$10000,SMALL(IF(ISNUMBER(MATCH($B$2:$B$10000,$E$6:$E$22,0)),ROW($C$2:$C$10000)-ROW($C$2)+1),ROWS(M$20:M353))))</f>
        <v>1</v>
      </c>
      <c r="K353" s="7">
        <f t="array" ref="K353">IF(ROWS(K$20:K353)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353))))</f>
        <v>41435</v>
      </c>
      <c r="L353" s="4" t="str">
        <f t="array" ref="L353">IF(ROWS(L$20:L353)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353))))</f>
        <v>Galen  Barth</v>
      </c>
      <c r="M353" s="4">
        <f t="array" ref="M353">IF(ROWS(M$20:M353)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353))))</f>
        <v>1</v>
      </c>
    </row>
    <row r="354" spans="1:13" x14ac:dyDescent="0.25">
      <c r="A354" s="3">
        <v>41683</v>
      </c>
      <c r="B354" s="2" t="s">
        <v>49</v>
      </c>
      <c r="C354" s="2">
        <v>34</v>
      </c>
      <c r="G354" s="7">
        <f t="array" ref="G354">IF(ROWS(K$20:K354)&gt;$F$6,"",INDEX(A$2:A$10000,SMALL(IF(ISNUMBER(MATCH($B$2:$B$10000,$E$6:$E$22,0)),ROW($C$2:$C$10000)-ROW($C$2)+1),ROWS(K$20:K354))))</f>
        <v>41360</v>
      </c>
      <c r="H354" s="4" t="str">
        <f t="array" ref="H354">IF(ROWS(L$20:L354)&gt;$F$6,"",INDEX(B$2:B$10000,SMALL(IF(ISNUMBER(MATCH($B$2:$B$10000,$E$6:$E$22,0)),ROW($C$2:$C$10000)-ROW($C$2)+1),ROWS(L$20:L354))))</f>
        <v>Jenni  Thorton</v>
      </c>
      <c r="I354" s="4">
        <f t="array" ref="I354">IF(ROWS(M$20:M354)&gt;$F$6,"",INDEX(C$2:C$10000,SMALL(IF(ISNUMBER(MATCH($B$2:$B$10000,$E$6:$E$22,0)),ROW($C$2:$C$10000)-ROW($C$2)+1),ROWS(M$20:M354))))</f>
        <v>62</v>
      </c>
      <c r="K354" s="7">
        <f t="array" ref="K354">IF(ROWS(K$20:K354)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354))))</f>
        <v>41360</v>
      </c>
      <c r="L354" s="4" t="str">
        <f t="array" ref="L354">IF(ROWS(L$20:L354)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354))))</f>
        <v>Jenni  Thorton</v>
      </c>
      <c r="M354" s="4">
        <f t="array" ref="M354">IF(ROWS(M$20:M354)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354))))</f>
        <v>62</v>
      </c>
    </row>
    <row r="355" spans="1:13" x14ac:dyDescent="0.25">
      <c r="A355" s="3">
        <v>41414</v>
      </c>
      <c r="B355" s="2" t="s">
        <v>30</v>
      </c>
      <c r="C355" s="2">
        <v>44</v>
      </c>
      <c r="G355" s="7">
        <f t="array" ref="G355">IF(ROWS(K$20:K355)&gt;$F$6,"",INDEX(A$2:A$10000,SMALL(IF(ISNUMBER(MATCH($B$2:$B$10000,$E$6:$E$22,0)),ROW($C$2:$C$10000)-ROW($C$2)+1),ROWS(K$20:K355))))</f>
        <v>41491</v>
      </c>
      <c r="H355" s="4" t="str">
        <f t="array" ref="H355">IF(ROWS(L$20:L355)&gt;$F$6,"",INDEX(B$2:B$10000,SMALL(IF(ISNUMBER(MATCH($B$2:$B$10000,$E$6:$E$22,0)),ROW($C$2:$C$10000)-ROW($C$2)+1),ROWS(L$20:L355))))</f>
        <v>Jenni  Thorton</v>
      </c>
      <c r="I355" s="4">
        <f t="array" ref="I355">IF(ROWS(M$20:M355)&gt;$F$6,"",INDEX(C$2:C$10000,SMALL(IF(ISNUMBER(MATCH($B$2:$B$10000,$E$6:$E$22,0)),ROW($C$2:$C$10000)-ROW($C$2)+1),ROWS(M$20:M355))))</f>
        <v>29</v>
      </c>
      <c r="K355" s="7">
        <f t="array" ref="K355">IF(ROWS(K$20:K355)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355))))</f>
        <v>41491</v>
      </c>
      <c r="L355" s="4" t="str">
        <f t="array" ref="L355">IF(ROWS(L$20:L355)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355))))</f>
        <v>Jenni  Thorton</v>
      </c>
      <c r="M355" s="4">
        <f t="array" ref="M355">IF(ROWS(M$20:M355)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355))))</f>
        <v>29</v>
      </c>
    </row>
    <row r="356" spans="1:13" x14ac:dyDescent="0.25">
      <c r="A356" s="3">
        <v>41303</v>
      </c>
      <c r="B356" s="2" t="s">
        <v>6</v>
      </c>
      <c r="C356" s="2">
        <v>19</v>
      </c>
      <c r="G356" s="7">
        <f t="array" ref="G356">IF(ROWS(K$20:K356)&gt;$F$6,"",INDEX(A$2:A$10000,SMALL(IF(ISNUMBER(MATCH($B$2:$B$10000,$E$6:$E$22,0)),ROW($C$2:$C$10000)-ROW($C$2)+1),ROWS(K$20:K356))))</f>
        <v>41310</v>
      </c>
      <c r="H356" s="4" t="str">
        <f t="array" ref="H356">IF(ROWS(L$20:L356)&gt;$F$6,"",INDEX(B$2:B$10000,SMALL(IF(ISNUMBER(MATCH($B$2:$B$10000,$E$6:$E$22,0)),ROW($C$2:$C$10000)-ROW($C$2)+1),ROWS(L$20:L356))))</f>
        <v>Mickey  Bolduc</v>
      </c>
      <c r="I356" s="4">
        <f t="array" ref="I356">IF(ROWS(M$20:M356)&gt;$F$6,"",INDEX(C$2:C$10000,SMALL(IF(ISNUMBER(MATCH($B$2:$B$10000,$E$6:$E$22,0)),ROW($C$2:$C$10000)-ROW($C$2)+1),ROWS(M$20:M356))))</f>
        <v>7</v>
      </c>
      <c r="K356" s="7">
        <f t="array" ref="K356">IF(ROWS(K$20:K356)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356))))</f>
        <v>41310</v>
      </c>
      <c r="L356" s="4" t="str">
        <f t="array" ref="L356">IF(ROWS(L$20:L356)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356))))</f>
        <v>Mickey  Bolduc</v>
      </c>
      <c r="M356" s="4">
        <f t="array" ref="M356">IF(ROWS(M$20:M356)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356))))</f>
        <v>7</v>
      </c>
    </row>
    <row r="357" spans="1:13" x14ac:dyDescent="0.25">
      <c r="A357" s="3">
        <v>41308</v>
      </c>
      <c r="B357" s="2" t="s">
        <v>37</v>
      </c>
      <c r="C357" s="2">
        <v>2</v>
      </c>
      <c r="G357" s="7">
        <f t="array" ref="G357">IF(ROWS(K$20:K357)&gt;$F$6,"",INDEX(A$2:A$10000,SMALL(IF(ISNUMBER(MATCH($B$2:$B$10000,$E$6:$E$22,0)),ROW($C$2:$C$10000)-ROW($C$2)+1),ROWS(K$20:K357))))</f>
        <v>41362</v>
      </c>
      <c r="H357" s="4" t="str">
        <f t="array" ref="H357">IF(ROWS(L$20:L357)&gt;$F$6,"",INDEX(B$2:B$10000,SMALL(IF(ISNUMBER(MATCH($B$2:$B$10000,$E$6:$E$22,0)),ROW($C$2:$C$10000)-ROW($C$2)+1),ROWS(L$20:L357))))</f>
        <v>Mickey  Bolduc</v>
      </c>
      <c r="I357" s="4">
        <f t="array" ref="I357">IF(ROWS(M$20:M357)&gt;$F$6,"",INDEX(C$2:C$10000,SMALL(IF(ISNUMBER(MATCH($B$2:$B$10000,$E$6:$E$22,0)),ROW($C$2:$C$10000)-ROW($C$2)+1),ROWS(M$20:M357))))</f>
        <v>38</v>
      </c>
      <c r="K357" s="7">
        <f t="array" ref="K357">IF(ROWS(K$20:K357)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357))))</f>
        <v>41362</v>
      </c>
      <c r="L357" s="4" t="str">
        <f t="array" ref="L357">IF(ROWS(L$20:L357)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357))))</f>
        <v>Mickey  Bolduc</v>
      </c>
      <c r="M357" s="4">
        <f t="array" ref="M357">IF(ROWS(M$20:M357)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357))))</f>
        <v>38</v>
      </c>
    </row>
    <row r="358" spans="1:13" x14ac:dyDescent="0.25">
      <c r="A358" s="3">
        <v>41423</v>
      </c>
      <c r="B358" s="2" t="s">
        <v>28</v>
      </c>
      <c r="C358" s="2">
        <v>19</v>
      </c>
      <c r="G358" s="7">
        <f t="array" ref="G358">IF(ROWS(K$20:K358)&gt;$F$6,"",INDEX(A$2:A$10000,SMALL(IF(ISNUMBER(MATCH($B$2:$B$10000,$E$6:$E$22,0)),ROW($C$2:$C$10000)-ROW($C$2)+1),ROWS(K$20:K358))))</f>
        <v>41885</v>
      </c>
      <c r="H358" s="4" t="str">
        <f t="array" ref="H358">IF(ROWS(L$20:L358)&gt;$F$6,"",INDEX(B$2:B$10000,SMALL(IF(ISNUMBER(MATCH($B$2:$B$10000,$E$6:$E$22,0)),ROW($C$2:$C$10000)-ROW($C$2)+1),ROWS(L$20:L358))))</f>
        <v>Galen  Barth</v>
      </c>
      <c r="I358" s="4">
        <f t="array" ref="I358">IF(ROWS(M$20:M358)&gt;$F$6,"",INDEX(C$2:C$10000,SMALL(IF(ISNUMBER(MATCH($B$2:$B$10000,$E$6:$E$22,0)),ROW($C$2:$C$10000)-ROW($C$2)+1),ROWS(M$20:M358))))</f>
        <v>34</v>
      </c>
      <c r="K358" s="7">
        <f t="array" ref="K358">IF(ROWS(K$20:K358)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358))))</f>
        <v>41885</v>
      </c>
      <c r="L358" s="4" t="str">
        <f t="array" ref="L358">IF(ROWS(L$20:L358)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358))))</f>
        <v>Galen  Barth</v>
      </c>
      <c r="M358" s="4">
        <f t="array" ref="M358">IF(ROWS(M$20:M358)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358))))</f>
        <v>34</v>
      </c>
    </row>
    <row r="359" spans="1:13" x14ac:dyDescent="0.25">
      <c r="A359" s="3">
        <v>41849</v>
      </c>
      <c r="B359" s="2" t="s">
        <v>5</v>
      </c>
      <c r="C359" s="2">
        <v>44</v>
      </c>
      <c r="G359" s="7">
        <f t="array" ref="G359">IF(ROWS(K$20:K359)&gt;$F$6,"",INDEX(A$2:A$10000,SMALL(IF(ISNUMBER(MATCH($B$2:$B$10000,$E$6:$E$22,0)),ROW($C$2:$C$10000)-ROW($C$2)+1),ROWS(K$20:K359))))</f>
        <v>41709</v>
      </c>
      <c r="H359" s="4" t="str">
        <f t="array" ref="H359">IF(ROWS(L$20:L359)&gt;$F$6,"",INDEX(B$2:B$10000,SMALL(IF(ISNUMBER(MATCH($B$2:$B$10000,$E$6:$E$22,0)),ROW($C$2:$C$10000)-ROW($C$2)+1),ROWS(L$20:L359))))</f>
        <v>Jenni  Thorton</v>
      </c>
      <c r="I359" s="4">
        <f t="array" ref="I359">IF(ROWS(M$20:M359)&gt;$F$6,"",INDEX(C$2:C$10000,SMALL(IF(ISNUMBER(MATCH($B$2:$B$10000,$E$6:$E$22,0)),ROW($C$2:$C$10000)-ROW($C$2)+1),ROWS(M$20:M359))))</f>
        <v>25</v>
      </c>
      <c r="K359" s="7">
        <f t="array" ref="K359">IF(ROWS(K$20:K359)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359))))</f>
        <v>41709</v>
      </c>
      <c r="L359" s="4" t="str">
        <f t="array" ref="L359">IF(ROWS(L$20:L359)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359))))</f>
        <v>Jenni  Thorton</v>
      </c>
      <c r="M359" s="4">
        <f t="array" ref="M359">IF(ROWS(M$20:M359)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359))))</f>
        <v>25</v>
      </c>
    </row>
    <row r="360" spans="1:13" x14ac:dyDescent="0.25">
      <c r="A360" s="3">
        <v>41796</v>
      </c>
      <c r="B360" s="2" t="s">
        <v>32</v>
      </c>
      <c r="C360" s="2">
        <v>36</v>
      </c>
      <c r="G360" s="7">
        <f t="array" ref="G360">IF(ROWS(K$20:K360)&gt;$F$6,"",INDEX(A$2:A$10000,SMALL(IF(ISNUMBER(MATCH($B$2:$B$10000,$E$6:$E$22,0)),ROW($C$2:$C$10000)-ROW($C$2)+1),ROWS(K$20:K360))))</f>
        <v>41284</v>
      </c>
      <c r="H360" s="4" t="str">
        <f t="array" ref="H360">IF(ROWS(L$20:L360)&gt;$F$6,"",INDEX(B$2:B$10000,SMALL(IF(ISNUMBER(MATCH($B$2:$B$10000,$E$6:$E$22,0)),ROW($C$2:$C$10000)-ROW($C$2)+1),ROWS(L$20:L360))))</f>
        <v>Galen  Barth</v>
      </c>
      <c r="I360" s="4">
        <f t="array" ref="I360">IF(ROWS(M$20:M360)&gt;$F$6,"",INDEX(C$2:C$10000,SMALL(IF(ISNUMBER(MATCH($B$2:$B$10000,$E$6:$E$22,0)),ROW($C$2:$C$10000)-ROW($C$2)+1),ROWS(M$20:M360))))</f>
        <v>24</v>
      </c>
      <c r="K360" s="7">
        <f t="array" ref="K360">IF(ROWS(K$20:K360)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360))))</f>
        <v>41284</v>
      </c>
      <c r="L360" s="4" t="str">
        <f t="array" ref="L360">IF(ROWS(L$20:L360)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360))))</f>
        <v>Galen  Barth</v>
      </c>
      <c r="M360" s="4">
        <f t="array" ref="M360">IF(ROWS(M$20:M360)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360))))</f>
        <v>24</v>
      </c>
    </row>
    <row r="361" spans="1:13" x14ac:dyDescent="0.25">
      <c r="A361" s="3">
        <v>41573</v>
      </c>
      <c r="B361" s="2" t="s">
        <v>20</v>
      </c>
      <c r="C361" s="2">
        <v>25</v>
      </c>
      <c r="G361" s="7">
        <f t="array" ref="G361">IF(ROWS(K$20:K361)&gt;$F$6,"",INDEX(A$2:A$10000,SMALL(IF(ISNUMBER(MATCH($B$2:$B$10000,$E$6:$E$22,0)),ROW($C$2:$C$10000)-ROW($C$2)+1),ROWS(K$20:K361))))</f>
        <v>42004</v>
      </c>
      <c r="H361" s="4" t="str">
        <f t="array" ref="H361">IF(ROWS(L$20:L361)&gt;$F$6,"",INDEX(B$2:B$10000,SMALL(IF(ISNUMBER(MATCH($B$2:$B$10000,$E$6:$E$22,0)),ROW($C$2:$C$10000)-ROW($C$2)+1),ROWS(L$20:L361))))</f>
        <v>Galen  Barth</v>
      </c>
      <c r="I361" s="4">
        <f t="array" ref="I361">IF(ROWS(M$20:M361)&gt;$F$6,"",INDEX(C$2:C$10000,SMALL(IF(ISNUMBER(MATCH($B$2:$B$10000,$E$6:$E$22,0)),ROW($C$2:$C$10000)-ROW($C$2)+1),ROWS(M$20:M361))))</f>
        <v>13</v>
      </c>
      <c r="K361" s="7">
        <f t="array" ref="K361">IF(ROWS(K$20:K361)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361))))</f>
        <v>42004</v>
      </c>
      <c r="L361" s="4" t="str">
        <f t="array" ref="L361">IF(ROWS(L$20:L361)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361))))</f>
        <v>Galen  Barth</v>
      </c>
      <c r="M361" s="4">
        <f t="array" ref="M361">IF(ROWS(M$20:M361)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361))))</f>
        <v>13</v>
      </c>
    </row>
    <row r="362" spans="1:13" x14ac:dyDescent="0.25">
      <c r="A362" s="3">
        <v>41350</v>
      </c>
      <c r="B362" s="2" t="s">
        <v>6</v>
      </c>
      <c r="C362" s="2">
        <v>30</v>
      </c>
      <c r="G362" s="7">
        <f t="array" ref="G362">IF(ROWS(K$20:K362)&gt;$F$6,"",INDEX(A$2:A$10000,SMALL(IF(ISNUMBER(MATCH($B$2:$B$10000,$E$6:$E$22,0)),ROW($C$2:$C$10000)-ROW($C$2)+1),ROWS(K$20:K362))))</f>
        <v>41884</v>
      </c>
      <c r="H362" s="4" t="str">
        <f t="array" ref="H362">IF(ROWS(L$20:L362)&gt;$F$6,"",INDEX(B$2:B$10000,SMALL(IF(ISNUMBER(MATCH($B$2:$B$10000,$E$6:$E$22,0)),ROW($C$2:$C$10000)-ROW($C$2)+1),ROWS(L$20:L362))))</f>
        <v>Kerrie  Worrell</v>
      </c>
      <c r="I362" s="4">
        <f t="array" ref="I362">IF(ROWS(M$20:M362)&gt;$F$6,"",INDEX(C$2:C$10000,SMALL(IF(ISNUMBER(MATCH($B$2:$B$10000,$E$6:$E$22,0)),ROW($C$2:$C$10000)-ROW($C$2)+1),ROWS(M$20:M362))))</f>
        <v>25</v>
      </c>
      <c r="K362" s="7">
        <f t="array" ref="K362">IF(ROWS(K$20:K362)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362))))</f>
        <v>41884</v>
      </c>
      <c r="L362" s="4" t="str">
        <f t="array" ref="L362">IF(ROWS(L$20:L362)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362))))</f>
        <v>Kerrie  Worrell</v>
      </c>
      <c r="M362" s="4">
        <f t="array" ref="M362">IF(ROWS(M$20:M362)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362))))</f>
        <v>25</v>
      </c>
    </row>
    <row r="363" spans="1:13" x14ac:dyDescent="0.25">
      <c r="A363" s="3">
        <v>41467</v>
      </c>
      <c r="B363" s="2" t="s">
        <v>40</v>
      </c>
      <c r="C363" s="2">
        <v>13</v>
      </c>
      <c r="G363" s="7">
        <f t="array" ref="G363">IF(ROWS(K$20:K363)&gt;$F$6,"",INDEX(A$2:A$10000,SMALL(IF(ISNUMBER(MATCH($B$2:$B$10000,$E$6:$E$22,0)),ROW($C$2:$C$10000)-ROW($C$2)+1),ROWS(K$20:K363))))</f>
        <v>41325</v>
      </c>
      <c r="H363" s="4" t="str">
        <f t="array" ref="H363">IF(ROWS(L$20:L363)&gt;$F$6,"",INDEX(B$2:B$10000,SMALL(IF(ISNUMBER(MATCH($B$2:$B$10000,$E$6:$E$22,0)),ROW($C$2:$C$10000)-ROW($C$2)+1),ROWS(L$20:L363))))</f>
        <v>Rosamond  Allard</v>
      </c>
      <c r="I363" s="4">
        <f t="array" ref="I363">IF(ROWS(M$20:M363)&gt;$F$6,"",INDEX(C$2:C$10000,SMALL(IF(ISNUMBER(MATCH($B$2:$B$10000,$E$6:$E$22,0)),ROW($C$2:$C$10000)-ROW($C$2)+1),ROWS(M$20:M363))))</f>
        <v>22</v>
      </c>
      <c r="K363" s="7">
        <f t="array" ref="K363">IF(ROWS(K$20:K363)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363))))</f>
        <v>41325</v>
      </c>
      <c r="L363" s="4" t="str">
        <f t="array" ref="L363">IF(ROWS(L$20:L363)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363))))</f>
        <v>Rosamond  Allard</v>
      </c>
      <c r="M363" s="4">
        <f t="array" ref="M363">IF(ROWS(M$20:M363)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363))))</f>
        <v>22</v>
      </c>
    </row>
    <row r="364" spans="1:13" x14ac:dyDescent="0.25">
      <c r="A364" s="3">
        <v>41321</v>
      </c>
      <c r="B364" s="2" t="s">
        <v>49</v>
      </c>
      <c r="C364" s="2">
        <v>5</v>
      </c>
      <c r="G364" s="7">
        <f t="array" ref="G364">IF(ROWS(K$20:K364)&gt;$F$6,"",INDEX(A$2:A$10000,SMALL(IF(ISNUMBER(MATCH($B$2:$B$10000,$E$6:$E$22,0)),ROW($C$2:$C$10000)-ROW($C$2)+1),ROWS(K$20:K364))))</f>
        <v>41558</v>
      </c>
      <c r="H364" s="4" t="str">
        <f t="array" ref="H364">IF(ROWS(L$20:L364)&gt;$F$6,"",INDEX(B$2:B$10000,SMALL(IF(ISNUMBER(MATCH($B$2:$B$10000,$E$6:$E$22,0)),ROW($C$2:$C$10000)-ROW($C$2)+1),ROWS(L$20:L364))))</f>
        <v>Rosamond  Allard</v>
      </c>
      <c r="I364" s="4">
        <f t="array" ref="I364">IF(ROWS(M$20:M364)&gt;$F$6,"",INDEX(C$2:C$10000,SMALL(IF(ISNUMBER(MATCH($B$2:$B$10000,$E$6:$E$22,0)),ROW($C$2:$C$10000)-ROW($C$2)+1),ROWS(M$20:M364))))</f>
        <v>7</v>
      </c>
      <c r="K364" s="7">
        <f t="array" ref="K364">IF(ROWS(K$20:K364)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364))))</f>
        <v>41558</v>
      </c>
      <c r="L364" s="4" t="str">
        <f t="array" ref="L364">IF(ROWS(L$20:L364)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364))))</f>
        <v>Rosamond  Allard</v>
      </c>
      <c r="M364" s="4">
        <f t="array" ref="M364">IF(ROWS(M$20:M364)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364))))</f>
        <v>7</v>
      </c>
    </row>
    <row r="365" spans="1:13" x14ac:dyDescent="0.25">
      <c r="A365" s="3">
        <v>41589</v>
      </c>
      <c r="B365" s="2" t="s">
        <v>35</v>
      </c>
      <c r="C365" s="2">
        <v>38</v>
      </c>
      <c r="G365" s="7">
        <f t="array" ref="G365">IF(ROWS(K$20:K365)&gt;$F$6,"",INDEX(A$2:A$10000,SMALL(IF(ISNUMBER(MATCH($B$2:$B$10000,$E$6:$E$22,0)),ROW($C$2:$C$10000)-ROW($C$2)+1),ROWS(K$20:K365))))</f>
        <v>41760</v>
      </c>
      <c r="H365" s="4" t="str">
        <f t="array" ref="H365">IF(ROWS(L$20:L365)&gt;$F$6,"",INDEX(B$2:B$10000,SMALL(IF(ISNUMBER(MATCH($B$2:$B$10000,$E$6:$E$22,0)),ROW($C$2:$C$10000)-ROW($C$2)+1),ROWS(L$20:L365))))</f>
        <v>Mickey  Bolduc</v>
      </c>
      <c r="I365" s="4">
        <f t="array" ref="I365">IF(ROWS(M$20:M365)&gt;$F$6,"",INDEX(C$2:C$10000,SMALL(IF(ISNUMBER(MATCH($B$2:$B$10000,$E$6:$E$22,0)),ROW($C$2:$C$10000)-ROW($C$2)+1),ROWS(M$20:M365))))</f>
        <v>27</v>
      </c>
      <c r="K365" s="7">
        <f t="array" ref="K365">IF(ROWS(K$20:K365)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365))))</f>
        <v>41760</v>
      </c>
      <c r="L365" s="4" t="str">
        <f t="array" ref="L365">IF(ROWS(L$20:L365)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365))))</f>
        <v>Mickey  Bolduc</v>
      </c>
      <c r="M365" s="4">
        <f t="array" ref="M365">IF(ROWS(M$20:M365)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365))))</f>
        <v>27</v>
      </c>
    </row>
    <row r="366" spans="1:13" x14ac:dyDescent="0.25">
      <c r="A366" s="3">
        <v>41389</v>
      </c>
      <c r="B366" s="2" t="s">
        <v>43</v>
      </c>
      <c r="C366" s="2">
        <v>8</v>
      </c>
      <c r="G366" s="7">
        <f t="array" ref="G366">IF(ROWS(K$20:K366)&gt;$F$6,"",INDEX(A$2:A$10000,SMALL(IF(ISNUMBER(MATCH($B$2:$B$10000,$E$6:$E$22,0)),ROW($C$2:$C$10000)-ROW($C$2)+1),ROWS(K$20:K366))))</f>
        <v>41877</v>
      </c>
      <c r="H366" s="4" t="str">
        <f t="array" ref="H366">IF(ROWS(L$20:L366)&gt;$F$6,"",INDEX(B$2:B$10000,SMALL(IF(ISNUMBER(MATCH($B$2:$B$10000,$E$6:$E$22,0)),ROW($C$2:$C$10000)-ROW($C$2)+1),ROWS(L$20:L366))))</f>
        <v>Iliana  Valerio</v>
      </c>
      <c r="I366" s="4">
        <f t="array" ref="I366">IF(ROWS(M$20:M366)&gt;$F$6,"",INDEX(C$2:C$10000,SMALL(IF(ISNUMBER(MATCH($B$2:$B$10000,$E$6:$E$22,0)),ROW($C$2:$C$10000)-ROW($C$2)+1),ROWS(M$20:M366))))</f>
        <v>34</v>
      </c>
      <c r="K366" s="7">
        <f t="array" ref="K366">IF(ROWS(K$20:K366)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366))))</f>
        <v>41877</v>
      </c>
      <c r="L366" s="4" t="str">
        <f t="array" ref="L366">IF(ROWS(L$20:L366)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366))))</f>
        <v>Iliana  Valerio</v>
      </c>
      <c r="M366" s="4">
        <f t="array" ref="M366">IF(ROWS(M$20:M366)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366))))</f>
        <v>34</v>
      </c>
    </row>
    <row r="367" spans="1:13" x14ac:dyDescent="0.25">
      <c r="A367" s="3">
        <v>41615</v>
      </c>
      <c r="B367" s="2" t="s">
        <v>5</v>
      </c>
      <c r="C367" s="2">
        <v>29</v>
      </c>
      <c r="G367" s="7">
        <f t="array" ref="G367">IF(ROWS(K$20:K367)&gt;$F$6,"",INDEX(A$2:A$10000,SMALL(IF(ISNUMBER(MATCH($B$2:$B$10000,$E$6:$E$22,0)),ROW($C$2:$C$10000)-ROW($C$2)+1),ROWS(K$20:K367))))</f>
        <v>41718</v>
      </c>
      <c r="H367" s="4" t="str">
        <f t="array" ref="H367">IF(ROWS(L$20:L367)&gt;$F$6,"",INDEX(B$2:B$10000,SMALL(IF(ISNUMBER(MATCH($B$2:$B$10000,$E$6:$E$22,0)),ROW($C$2:$C$10000)-ROW($C$2)+1),ROWS(L$20:L367))))</f>
        <v>Galen  Barth</v>
      </c>
      <c r="I367" s="4">
        <f t="array" ref="I367">IF(ROWS(M$20:M367)&gt;$F$6,"",INDEX(C$2:C$10000,SMALL(IF(ISNUMBER(MATCH($B$2:$B$10000,$E$6:$E$22,0)),ROW($C$2:$C$10000)-ROW($C$2)+1),ROWS(M$20:M367))))</f>
        <v>42</v>
      </c>
      <c r="K367" s="7">
        <f t="array" ref="K367">IF(ROWS(K$20:K367)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367))))</f>
        <v>41718</v>
      </c>
      <c r="L367" s="4" t="str">
        <f t="array" ref="L367">IF(ROWS(L$20:L367)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367))))</f>
        <v>Galen  Barth</v>
      </c>
      <c r="M367" s="4">
        <f t="array" ref="M367">IF(ROWS(M$20:M367)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367))))</f>
        <v>42</v>
      </c>
    </row>
    <row r="368" spans="1:13" x14ac:dyDescent="0.25">
      <c r="A368" s="3">
        <v>41950</v>
      </c>
      <c r="B368" s="2" t="s">
        <v>29</v>
      </c>
      <c r="C368" s="2">
        <v>14</v>
      </c>
      <c r="G368" s="7">
        <f t="array" ref="G368">IF(ROWS(K$20:K368)&gt;$F$6,"",INDEX(A$2:A$10000,SMALL(IF(ISNUMBER(MATCH($B$2:$B$10000,$E$6:$E$22,0)),ROW($C$2:$C$10000)-ROW($C$2)+1),ROWS(K$20:K368))))</f>
        <v>41850</v>
      </c>
      <c r="H368" s="4" t="str">
        <f t="array" ref="H368">IF(ROWS(L$20:L368)&gt;$F$6,"",INDEX(B$2:B$10000,SMALL(IF(ISNUMBER(MATCH($B$2:$B$10000,$E$6:$E$22,0)),ROW($C$2:$C$10000)-ROW($C$2)+1),ROWS(L$20:L368))))</f>
        <v>Iliana  Valerio</v>
      </c>
      <c r="I368" s="4">
        <f t="array" ref="I368">IF(ROWS(M$20:M368)&gt;$F$6,"",INDEX(C$2:C$10000,SMALL(IF(ISNUMBER(MATCH($B$2:$B$10000,$E$6:$E$22,0)),ROW($C$2:$C$10000)-ROW($C$2)+1),ROWS(M$20:M368))))</f>
        <v>14</v>
      </c>
      <c r="K368" s="7">
        <f t="array" ref="K368">IF(ROWS(K$20:K368)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368))))</f>
        <v>41850</v>
      </c>
      <c r="L368" s="4" t="str">
        <f t="array" ref="L368">IF(ROWS(L$20:L368)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368))))</f>
        <v>Iliana  Valerio</v>
      </c>
      <c r="M368" s="4">
        <f t="array" ref="M368">IF(ROWS(M$20:M368)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368))))</f>
        <v>14</v>
      </c>
    </row>
    <row r="369" spans="1:13" x14ac:dyDescent="0.25">
      <c r="A369" s="3">
        <v>41777</v>
      </c>
      <c r="B369" s="2" t="s">
        <v>40</v>
      </c>
      <c r="C369" s="2">
        <v>18</v>
      </c>
      <c r="G369" s="7">
        <f t="array" ref="G369">IF(ROWS(K$20:K369)&gt;$F$6,"",INDEX(A$2:A$10000,SMALL(IF(ISNUMBER(MATCH($B$2:$B$10000,$E$6:$E$22,0)),ROW($C$2:$C$10000)-ROW($C$2)+1),ROWS(K$20:K369))))</f>
        <v>41440</v>
      </c>
      <c r="H369" s="4" t="str">
        <f t="array" ref="H369">IF(ROWS(L$20:L369)&gt;$F$6,"",INDEX(B$2:B$10000,SMALL(IF(ISNUMBER(MATCH($B$2:$B$10000,$E$6:$E$22,0)),ROW($C$2:$C$10000)-ROW($C$2)+1),ROWS(L$20:L369))))</f>
        <v>Galen  Barth</v>
      </c>
      <c r="I369" s="4">
        <f t="array" ref="I369">IF(ROWS(M$20:M369)&gt;$F$6,"",INDEX(C$2:C$10000,SMALL(IF(ISNUMBER(MATCH($B$2:$B$10000,$E$6:$E$22,0)),ROW($C$2:$C$10000)-ROW($C$2)+1),ROWS(M$20:M369))))</f>
        <v>32</v>
      </c>
      <c r="K369" s="7">
        <f t="array" ref="K369">IF(ROWS(K$20:K369)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369))))</f>
        <v>41440</v>
      </c>
      <c r="L369" s="4" t="str">
        <f t="array" ref="L369">IF(ROWS(L$20:L369)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369))))</f>
        <v>Galen  Barth</v>
      </c>
      <c r="M369" s="4">
        <f t="array" ref="M369">IF(ROWS(M$20:M369)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369))))</f>
        <v>32</v>
      </c>
    </row>
    <row r="370" spans="1:13" x14ac:dyDescent="0.25">
      <c r="A370" s="3">
        <v>41462</v>
      </c>
      <c r="B370" s="2" t="s">
        <v>36</v>
      </c>
      <c r="C370" s="2">
        <v>22</v>
      </c>
      <c r="G370" s="7">
        <f t="array" ref="G370">IF(ROWS(K$20:K370)&gt;$F$6,"",INDEX(A$2:A$10000,SMALL(IF(ISNUMBER(MATCH($B$2:$B$10000,$E$6:$E$22,0)),ROW($C$2:$C$10000)-ROW($C$2)+1),ROWS(K$20:K370))))</f>
        <v>41665</v>
      </c>
      <c r="H370" s="4" t="str">
        <f t="array" ref="H370">IF(ROWS(L$20:L370)&gt;$F$6,"",INDEX(B$2:B$10000,SMALL(IF(ISNUMBER(MATCH($B$2:$B$10000,$E$6:$E$22,0)),ROW($C$2:$C$10000)-ROW($C$2)+1),ROWS(L$20:L370))))</f>
        <v>Mickey  Bolduc</v>
      </c>
      <c r="I370" s="4">
        <f t="array" ref="I370">IF(ROWS(M$20:M370)&gt;$F$6,"",INDEX(C$2:C$10000,SMALL(IF(ISNUMBER(MATCH($B$2:$B$10000,$E$6:$E$22,0)),ROW($C$2:$C$10000)-ROW($C$2)+1),ROWS(M$20:M370))))</f>
        <v>36</v>
      </c>
      <c r="K370" s="7">
        <f t="array" ref="K370">IF(ROWS(K$20:K370)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370))))</f>
        <v>41665</v>
      </c>
      <c r="L370" s="4" t="str">
        <f t="array" ref="L370">IF(ROWS(L$20:L370)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370))))</f>
        <v>Mickey  Bolduc</v>
      </c>
      <c r="M370" s="4">
        <f t="array" ref="M370">IF(ROWS(M$20:M370)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370))))</f>
        <v>36</v>
      </c>
    </row>
    <row r="371" spans="1:13" x14ac:dyDescent="0.25">
      <c r="A371" s="3">
        <v>41928</v>
      </c>
      <c r="B371" s="2" t="s">
        <v>43</v>
      </c>
      <c r="C371" s="2">
        <v>73</v>
      </c>
      <c r="G371" s="7">
        <f t="array" ref="G371">IF(ROWS(K$20:K371)&gt;$F$6,"",INDEX(A$2:A$10000,SMALL(IF(ISNUMBER(MATCH($B$2:$B$10000,$E$6:$E$22,0)),ROW($C$2:$C$10000)-ROW($C$2)+1),ROWS(K$20:K371))))</f>
        <v>42001</v>
      </c>
      <c r="H371" s="4" t="str">
        <f t="array" ref="H371">IF(ROWS(L$20:L371)&gt;$F$6,"",INDEX(B$2:B$10000,SMALL(IF(ISNUMBER(MATCH($B$2:$B$10000,$E$6:$E$22,0)),ROW($C$2:$C$10000)-ROW($C$2)+1),ROWS(L$20:L371))))</f>
        <v>Mickey  Bolduc</v>
      </c>
      <c r="I371" s="4">
        <f t="array" ref="I371">IF(ROWS(M$20:M371)&gt;$F$6,"",INDEX(C$2:C$10000,SMALL(IF(ISNUMBER(MATCH($B$2:$B$10000,$E$6:$E$22,0)),ROW($C$2:$C$10000)-ROW($C$2)+1),ROWS(M$20:M371))))</f>
        <v>31</v>
      </c>
      <c r="K371" s="7">
        <f t="array" ref="K371">IF(ROWS(K$20:K371)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371))))</f>
        <v>42001</v>
      </c>
      <c r="L371" s="4" t="str">
        <f t="array" ref="L371">IF(ROWS(L$20:L371)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371))))</f>
        <v>Mickey  Bolduc</v>
      </c>
      <c r="M371" s="4">
        <f t="array" ref="M371">IF(ROWS(M$20:M371)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371))))</f>
        <v>31</v>
      </c>
    </row>
    <row r="372" spans="1:13" x14ac:dyDescent="0.25">
      <c r="A372" s="3">
        <v>41559</v>
      </c>
      <c r="B372" s="2" t="s">
        <v>11</v>
      </c>
      <c r="C372" s="2">
        <v>24</v>
      </c>
      <c r="G372" s="7">
        <f t="array" ref="G372">IF(ROWS(K$20:K372)&gt;$F$6,"",INDEX(A$2:A$10000,SMALL(IF(ISNUMBER(MATCH($B$2:$B$10000,$E$6:$E$22,0)),ROW($C$2:$C$10000)-ROW($C$2)+1),ROWS(K$20:K372))))</f>
        <v>41371</v>
      </c>
      <c r="H372" s="4" t="str">
        <f t="array" ref="H372">IF(ROWS(L$20:L372)&gt;$F$6,"",INDEX(B$2:B$10000,SMALL(IF(ISNUMBER(MATCH($B$2:$B$10000,$E$6:$E$22,0)),ROW($C$2:$C$10000)-ROW($C$2)+1),ROWS(L$20:L372))))</f>
        <v>Kerrie  Worrell</v>
      </c>
      <c r="I372" s="4">
        <f t="array" ref="I372">IF(ROWS(M$20:M372)&gt;$F$6,"",INDEX(C$2:C$10000,SMALL(IF(ISNUMBER(MATCH($B$2:$B$10000,$E$6:$E$22,0)),ROW($C$2:$C$10000)-ROW($C$2)+1),ROWS(M$20:M372))))</f>
        <v>19</v>
      </c>
      <c r="K372" s="7">
        <f t="array" ref="K372">IF(ROWS(K$20:K372)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372))))</f>
        <v>41371</v>
      </c>
      <c r="L372" s="4" t="str">
        <f t="array" ref="L372">IF(ROWS(L$20:L372)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372))))</f>
        <v>Kerrie  Worrell</v>
      </c>
      <c r="M372" s="4">
        <f t="array" ref="M372">IF(ROWS(M$20:M372)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372))))</f>
        <v>19</v>
      </c>
    </row>
    <row r="373" spans="1:13" x14ac:dyDescent="0.25">
      <c r="A373" s="3">
        <v>41743</v>
      </c>
      <c r="B373" s="2" t="s">
        <v>15</v>
      </c>
      <c r="C373" s="2">
        <v>11</v>
      </c>
      <c r="G373" s="7">
        <f t="array" ref="G373">IF(ROWS(K$20:K373)&gt;$F$6,"",INDEX(A$2:A$10000,SMALL(IF(ISNUMBER(MATCH($B$2:$B$10000,$E$6:$E$22,0)),ROW($C$2:$C$10000)-ROW($C$2)+1),ROWS(K$20:K373))))</f>
        <v>41323</v>
      </c>
      <c r="H373" s="4" t="str">
        <f t="array" ref="H373">IF(ROWS(L$20:L373)&gt;$F$6,"",INDEX(B$2:B$10000,SMALL(IF(ISNUMBER(MATCH($B$2:$B$10000,$E$6:$E$22,0)),ROW($C$2:$C$10000)-ROW($C$2)+1),ROWS(L$20:L373))))</f>
        <v>Rosamond  Allard</v>
      </c>
      <c r="I373" s="4">
        <f t="array" ref="I373">IF(ROWS(M$20:M373)&gt;$F$6,"",INDEX(C$2:C$10000,SMALL(IF(ISNUMBER(MATCH($B$2:$B$10000,$E$6:$E$22,0)),ROW($C$2:$C$10000)-ROW($C$2)+1),ROWS(M$20:M373))))</f>
        <v>33</v>
      </c>
      <c r="K373" s="7">
        <f t="array" ref="K373">IF(ROWS(K$20:K373)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373))))</f>
        <v>41323</v>
      </c>
      <c r="L373" s="4" t="str">
        <f t="array" ref="L373">IF(ROWS(L$20:L373)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373))))</f>
        <v>Rosamond  Allard</v>
      </c>
      <c r="M373" s="4">
        <f t="array" ref="M373">IF(ROWS(M$20:M373)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373))))</f>
        <v>33</v>
      </c>
    </row>
    <row r="374" spans="1:13" x14ac:dyDescent="0.25">
      <c r="A374" s="3">
        <v>41808</v>
      </c>
      <c r="B374" s="2" t="s">
        <v>19</v>
      </c>
      <c r="C374" s="2">
        <v>13</v>
      </c>
      <c r="G374" s="7">
        <f t="array" ref="G374">IF(ROWS(K$20:K374)&gt;$F$6,"",INDEX(A$2:A$10000,SMALL(IF(ISNUMBER(MATCH($B$2:$B$10000,$E$6:$E$22,0)),ROW($C$2:$C$10000)-ROW($C$2)+1),ROWS(K$20:K374))))</f>
        <v>41830</v>
      </c>
      <c r="H374" s="4" t="str">
        <f t="array" ref="H374">IF(ROWS(L$20:L374)&gt;$F$6,"",INDEX(B$2:B$10000,SMALL(IF(ISNUMBER(MATCH($B$2:$B$10000,$E$6:$E$22,0)),ROW($C$2:$C$10000)-ROW($C$2)+1),ROWS(L$20:L374))))</f>
        <v>Jenni  Thorton</v>
      </c>
      <c r="I374" s="4">
        <f t="array" ref="I374">IF(ROWS(M$20:M374)&gt;$F$6,"",INDEX(C$2:C$10000,SMALL(IF(ISNUMBER(MATCH($B$2:$B$10000,$E$6:$E$22,0)),ROW($C$2:$C$10000)-ROW($C$2)+1),ROWS(M$20:M374))))</f>
        <v>30</v>
      </c>
      <c r="K374" s="7">
        <f t="array" ref="K374">IF(ROWS(K$20:K374)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374))))</f>
        <v>41830</v>
      </c>
      <c r="L374" s="4" t="str">
        <f t="array" ref="L374">IF(ROWS(L$20:L374)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374))))</f>
        <v>Jenni  Thorton</v>
      </c>
      <c r="M374" s="4">
        <f t="array" ref="M374">IF(ROWS(M$20:M374)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374))))</f>
        <v>30</v>
      </c>
    </row>
    <row r="375" spans="1:13" x14ac:dyDescent="0.25">
      <c r="A375" s="3">
        <v>41712</v>
      </c>
      <c r="B375" s="2" t="s">
        <v>21</v>
      </c>
      <c r="C375" s="2">
        <v>39</v>
      </c>
      <c r="G375" s="7">
        <f t="array" ref="G375">IF(ROWS(K$20:K375)&gt;$F$6,"",INDEX(A$2:A$10000,SMALL(IF(ISNUMBER(MATCH($B$2:$B$10000,$E$6:$E$22,0)),ROW($C$2:$C$10000)-ROW($C$2)+1),ROWS(K$20:K375))))</f>
        <v>41393</v>
      </c>
      <c r="H375" s="4" t="str">
        <f t="array" ref="H375">IF(ROWS(L$20:L375)&gt;$F$6,"",INDEX(B$2:B$10000,SMALL(IF(ISNUMBER(MATCH($B$2:$B$10000,$E$6:$E$22,0)),ROW($C$2:$C$10000)-ROW($C$2)+1),ROWS(L$20:L375))))</f>
        <v>Rosamond  Allard</v>
      </c>
      <c r="I375" s="4">
        <f t="array" ref="I375">IF(ROWS(M$20:M375)&gt;$F$6,"",INDEX(C$2:C$10000,SMALL(IF(ISNUMBER(MATCH($B$2:$B$10000,$E$6:$E$22,0)),ROW($C$2:$C$10000)-ROW($C$2)+1),ROWS(M$20:M375))))</f>
        <v>23</v>
      </c>
      <c r="K375" s="7">
        <f t="array" ref="K375">IF(ROWS(K$20:K375)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375))))</f>
        <v>41393</v>
      </c>
      <c r="L375" s="4" t="str">
        <f t="array" ref="L375">IF(ROWS(L$20:L375)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375))))</f>
        <v>Rosamond  Allard</v>
      </c>
      <c r="M375" s="4">
        <f t="array" ref="M375">IF(ROWS(M$20:M375)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375))))</f>
        <v>23</v>
      </c>
    </row>
    <row r="376" spans="1:13" x14ac:dyDescent="0.25">
      <c r="A376" s="3">
        <v>41926</v>
      </c>
      <c r="B376" s="2" t="s">
        <v>13</v>
      </c>
      <c r="C376" s="2">
        <v>14</v>
      </c>
      <c r="G376" s="7">
        <f t="array" ref="G376">IF(ROWS(K$20:K376)&gt;$F$6,"",INDEX(A$2:A$10000,SMALL(IF(ISNUMBER(MATCH($B$2:$B$10000,$E$6:$E$22,0)),ROW($C$2:$C$10000)-ROW($C$2)+1),ROWS(K$20:K376))))</f>
        <v>41540</v>
      </c>
      <c r="H376" s="4" t="str">
        <f t="array" ref="H376">IF(ROWS(L$20:L376)&gt;$F$6,"",INDEX(B$2:B$10000,SMALL(IF(ISNUMBER(MATCH($B$2:$B$10000,$E$6:$E$22,0)),ROW($C$2:$C$10000)-ROW($C$2)+1),ROWS(L$20:L376))))</f>
        <v>Kerrie  Worrell</v>
      </c>
      <c r="I376" s="4">
        <f t="array" ref="I376">IF(ROWS(M$20:M376)&gt;$F$6,"",INDEX(C$2:C$10000,SMALL(IF(ISNUMBER(MATCH($B$2:$B$10000,$E$6:$E$22,0)),ROW($C$2:$C$10000)-ROW($C$2)+1),ROWS(M$20:M376))))</f>
        <v>28</v>
      </c>
      <c r="K376" s="7">
        <f t="array" ref="K376">IF(ROWS(K$20:K376)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376))))</f>
        <v>41540</v>
      </c>
      <c r="L376" s="4" t="str">
        <f t="array" ref="L376">IF(ROWS(L$20:L376)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376))))</f>
        <v>Kerrie  Worrell</v>
      </c>
      <c r="M376" s="4">
        <f t="array" ref="M376">IF(ROWS(M$20:M376)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376))))</f>
        <v>28</v>
      </c>
    </row>
    <row r="377" spans="1:13" x14ac:dyDescent="0.25">
      <c r="A377" s="3">
        <v>41739</v>
      </c>
      <c r="B377" s="2" t="s">
        <v>22</v>
      </c>
      <c r="C377" s="2">
        <v>53</v>
      </c>
      <c r="G377" s="7">
        <f t="array" ref="G377">IF(ROWS(K$20:K377)&gt;$F$6,"",INDEX(A$2:A$10000,SMALL(IF(ISNUMBER(MATCH($B$2:$B$10000,$E$6:$E$22,0)),ROW($C$2:$C$10000)-ROW($C$2)+1),ROWS(K$20:K377))))</f>
        <v>41543</v>
      </c>
      <c r="H377" s="4" t="str">
        <f t="array" ref="H377">IF(ROWS(L$20:L377)&gt;$F$6,"",INDEX(B$2:B$10000,SMALL(IF(ISNUMBER(MATCH($B$2:$B$10000,$E$6:$E$22,0)),ROW($C$2:$C$10000)-ROW($C$2)+1),ROWS(L$20:L377))))</f>
        <v>Rosamond  Allard</v>
      </c>
      <c r="I377" s="4">
        <f t="array" ref="I377">IF(ROWS(M$20:M377)&gt;$F$6,"",INDEX(C$2:C$10000,SMALL(IF(ISNUMBER(MATCH($B$2:$B$10000,$E$6:$E$22,0)),ROW($C$2:$C$10000)-ROW($C$2)+1),ROWS(M$20:M377))))</f>
        <v>25</v>
      </c>
      <c r="K377" s="7">
        <f t="array" ref="K377">IF(ROWS(K$20:K377)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377))))</f>
        <v>41543</v>
      </c>
      <c r="L377" s="4" t="str">
        <f t="array" ref="L377">IF(ROWS(L$20:L377)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377))))</f>
        <v>Rosamond  Allard</v>
      </c>
      <c r="M377" s="4">
        <f t="array" ref="M377">IF(ROWS(M$20:M377)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377))))</f>
        <v>25</v>
      </c>
    </row>
    <row r="378" spans="1:13" x14ac:dyDescent="0.25">
      <c r="A378" s="3">
        <v>41563</v>
      </c>
      <c r="B378" s="2" t="s">
        <v>51</v>
      </c>
      <c r="C378" s="2">
        <v>44</v>
      </c>
      <c r="G378" s="7">
        <f t="array" ref="G378">IF(ROWS(K$20:K378)&gt;$F$6,"",INDEX(A$2:A$10000,SMALL(IF(ISNUMBER(MATCH($B$2:$B$10000,$E$6:$E$22,0)),ROW($C$2:$C$10000)-ROW($C$2)+1),ROWS(K$20:K378))))</f>
        <v>41505</v>
      </c>
      <c r="H378" s="4" t="str">
        <f t="array" ref="H378">IF(ROWS(L$20:L378)&gt;$F$6,"",INDEX(B$2:B$10000,SMALL(IF(ISNUMBER(MATCH($B$2:$B$10000,$E$6:$E$22,0)),ROW($C$2:$C$10000)-ROW($C$2)+1),ROWS(L$20:L378))))</f>
        <v>Kerrie  Worrell</v>
      </c>
      <c r="I378" s="4">
        <f t="array" ref="I378">IF(ROWS(M$20:M378)&gt;$F$6,"",INDEX(C$2:C$10000,SMALL(IF(ISNUMBER(MATCH($B$2:$B$10000,$E$6:$E$22,0)),ROW($C$2:$C$10000)-ROW($C$2)+1),ROWS(M$20:M378))))</f>
        <v>37</v>
      </c>
      <c r="K378" s="7">
        <f t="array" ref="K378">IF(ROWS(K$20:K378)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378))))</f>
        <v>41505</v>
      </c>
      <c r="L378" s="4" t="str">
        <f t="array" ref="L378">IF(ROWS(L$20:L378)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378))))</f>
        <v>Kerrie  Worrell</v>
      </c>
      <c r="M378" s="4">
        <f t="array" ref="M378">IF(ROWS(M$20:M378)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378))))</f>
        <v>37</v>
      </c>
    </row>
    <row r="379" spans="1:13" x14ac:dyDescent="0.25">
      <c r="A379" s="3">
        <v>41525</v>
      </c>
      <c r="B379" s="2" t="s">
        <v>45</v>
      </c>
      <c r="C379" s="2">
        <v>23</v>
      </c>
      <c r="G379" s="7">
        <f t="array" ref="G379">IF(ROWS(K$20:K379)&gt;$F$6,"",INDEX(A$2:A$10000,SMALL(IF(ISNUMBER(MATCH($B$2:$B$10000,$E$6:$E$22,0)),ROW($C$2:$C$10000)-ROW($C$2)+1),ROWS(K$20:K379))))</f>
        <v>41926</v>
      </c>
      <c r="H379" s="4" t="str">
        <f t="array" ref="H379">IF(ROWS(L$20:L379)&gt;$F$6,"",INDEX(B$2:B$10000,SMALL(IF(ISNUMBER(MATCH($B$2:$B$10000,$E$6:$E$22,0)),ROW($C$2:$C$10000)-ROW($C$2)+1),ROWS(L$20:L379))))</f>
        <v>Rosamond  Allard</v>
      </c>
      <c r="I379" s="4">
        <f t="array" ref="I379">IF(ROWS(M$20:M379)&gt;$F$6,"",INDEX(C$2:C$10000,SMALL(IF(ISNUMBER(MATCH($B$2:$B$10000,$E$6:$E$22,0)),ROW($C$2:$C$10000)-ROW($C$2)+1),ROWS(M$20:M379))))</f>
        <v>25</v>
      </c>
      <c r="K379" s="7">
        <f t="array" ref="K379">IF(ROWS(K$20:K379)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379))))</f>
        <v>41926</v>
      </c>
      <c r="L379" s="4" t="str">
        <f t="array" ref="L379">IF(ROWS(L$20:L379)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379))))</f>
        <v>Rosamond  Allard</v>
      </c>
      <c r="M379" s="4">
        <f t="array" ref="M379">IF(ROWS(M$20:M379)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379))))</f>
        <v>25</v>
      </c>
    </row>
    <row r="380" spans="1:13" x14ac:dyDescent="0.25">
      <c r="A380" s="3">
        <v>41889</v>
      </c>
      <c r="B380" s="2" t="s">
        <v>33</v>
      </c>
      <c r="C380" s="2">
        <v>38</v>
      </c>
      <c r="G380" s="7">
        <f t="array" ref="G380">IF(ROWS(K$20:K380)&gt;$F$6,"",INDEX(A$2:A$10000,SMALL(IF(ISNUMBER(MATCH($B$2:$B$10000,$E$6:$E$22,0)),ROW($C$2:$C$10000)-ROW($C$2)+1),ROWS(K$20:K380))))</f>
        <v>41691</v>
      </c>
      <c r="H380" s="4" t="str">
        <f t="array" ref="H380">IF(ROWS(L$20:L380)&gt;$F$6,"",INDEX(B$2:B$10000,SMALL(IF(ISNUMBER(MATCH($B$2:$B$10000,$E$6:$E$22,0)),ROW($C$2:$C$10000)-ROW($C$2)+1),ROWS(L$20:L380))))</f>
        <v>Mickey  Bolduc</v>
      </c>
      <c r="I380" s="4">
        <f t="array" ref="I380">IF(ROWS(M$20:M380)&gt;$F$6,"",INDEX(C$2:C$10000,SMALL(IF(ISNUMBER(MATCH($B$2:$B$10000,$E$6:$E$22,0)),ROW($C$2:$C$10000)-ROW($C$2)+1),ROWS(M$20:M380))))</f>
        <v>39</v>
      </c>
      <c r="K380" s="7">
        <f t="array" ref="K380">IF(ROWS(K$20:K380)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380))))</f>
        <v>41691</v>
      </c>
      <c r="L380" s="4" t="str">
        <f t="array" ref="L380">IF(ROWS(L$20:L380)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380))))</f>
        <v>Mickey  Bolduc</v>
      </c>
      <c r="M380" s="4">
        <f t="array" ref="M380">IF(ROWS(M$20:M380)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380))))</f>
        <v>39</v>
      </c>
    </row>
    <row r="381" spans="1:13" x14ac:dyDescent="0.25">
      <c r="A381" s="3">
        <v>41915</v>
      </c>
      <c r="B381" s="2" t="s">
        <v>28</v>
      </c>
      <c r="C381" s="2">
        <v>44</v>
      </c>
      <c r="G381" s="7">
        <f t="array" ref="G381">IF(ROWS(K$20:K381)&gt;$F$6,"",INDEX(A$2:A$10000,SMALL(IF(ISNUMBER(MATCH($B$2:$B$10000,$E$6:$E$22,0)),ROW($C$2:$C$10000)-ROW($C$2)+1),ROWS(K$20:K381))))</f>
        <v>42003</v>
      </c>
      <c r="H381" s="4" t="str">
        <f t="array" ref="H381">IF(ROWS(L$20:L381)&gt;$F$6,"",INDEX(B$2:B$10000,SMALL(IF(ISNUMBER(MATCH($B$2:$B$10000,$E$6:$E$22,0)),ROW($C$2:$C$10000)-ROW($C$2)+1),ROWS(L$20:L381))))</f>
        <v>Jenni  Thorton</v>
      </c>
      <c r="I381" s="4">
        <f t="array" ref="I381">IF(ROWS(M$20:M381)&gt;$F$6,"",INDEX(C$2:C$10000,SMALL(IF(ISNUMBER(MATCH($B$2:$B$10000,$E$6:$E$22,0)),ROW($C$2:$C$10000)-ROW($C$2)+1),ROWS(M$20:M381))))</f>
        <v>29</v>
      </c>
      <c r="K381" s="7">
        <f t="array" ref="K381">IF(ROWS(K$20:K381)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381))))</f>
        <v>42003</v>
      </c>
      <c r="L381" s="4" t="str">
        <f t="array" ref="L381">IF(ROWS(L$20:L381)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381))))</f>
        <v>Jenni  Thorton</v>
      </c>
      <c r="M381" s="4">
        <f t="array" ref="M381">IF(ROWS(M$20:M381)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381))))</f>
        <v>29</v>
      </c>
    </row>
    <row r="382" spans="1:13" x14ac:dyDescent="0.25">
      <c r="A382" s="3">
        <v>41669</v>
      </c>
      <c r="B382" s="2" t="s">
        <v>38</v>
      </c>
      <c r="C382" s="2">
        <v>50</v>
      </c>
      <c r="G382" s="7">
        <f t="array" ref="G382">IF(ROWS(K$20:K382)&gt;$F$6,"",INDEX(A$2:A$10000,SMALL(IF(ISNUMBER(MATCH($B$2:$B$10000,$E$6:$E$22,0)),ROW($C$2:$C$10000)-ROW($C$2)+1),ROWS(K$20:K382))))</f>
        <v>41842</v>
      </c>
      <c r="H382" s="4" t="str">
        <f t="array" ref="H382">IF(ROWS(L$20:L382)&gt;$F$6,"",INDEX(B$2:B$10000,SMALL(IF(ISNUMBER(MATCH($B$2:$B$10000,$E$6:$E$22,0)),ROW($C$2:$C$10000)-ROW($C$2)+1),ROWS(L$20:L382))))</f>
        <v>Jenni  Thorton</v>
      </c>
      <c r="I382" s="4">
        <f t="array" ref="I382">IF(ROWS(M$20:M382)&gt;$F$6,"",INDEX(C$2:C$10000,SMALL(IF(ISNUMBER(MATCH($B$2:$B$10000,$E$6:$E$22,0)),ROW($C$2:$C$10000)-ROW($C$2)+1),ROWS(M$20:M382))))</f>
        <v>5</v>
      </c>
      <c r="K382" s="7">
        <f t="array" ref="K382">IF(ROWS(K$20:K382)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382))))</f>
        <v>41842</v>
      </c>
      <c r="L382" s="4" t="str">
        <f t="array" ref="L382">IF(ROWS(L$20:L382)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382))))</f>
        <v>Jenni  Thorton</v>
      </c>
      <c r="M382" s="4">
        <f t="array" ref="M382">IF(ROWS(M$20:M382)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382))))</f>
        <v>5</v>
      </c>
    </row>
    <row r="383" spans="1:13" x14ac:dyDescent="0.25">
      <c r="A383" s="3">
        <v>41603</v>
      </c>
      <c r="B383" s="2" t="s">
        <v>29</v>
      </c>
      <c r="C383" s="2">
        <v>12</v>
      </c>
      <c r="G383" s="7">
        <f t="array" ref="G383">IF(ROWS(K$20:K383)&gt;$F$6,"",INDEX(A$2:A$10000,SMALL(IF(ISNUMBER(MATCH($B$2:$B$10000,$E$6:$E$22,0)),ROW($C$2:$C$10000)-ROW($C$2)+1),ROWS(K$20:K383))))</f>
        <v>41992</v>
      </c>
      <c r="H383" s="4" t="str">
        <f t="array" ref="H383">IF(ROWS(L$20:L383)&gt;$F$6,"",INDEX(B$2:B$10000,SMALL(IF(ISNUMBER(MATCH($B$2:$B$10000,$E$6:$E$22,0)),ROW($C$2:$C$10000)-ROW($C$2)+1),ROWS(L$20:L383))))</f>
        <v>Kerrie  Worrell</v>
      </c>
      <c r="I383" s="4">
        <f t="array" ref="I383">IF(ROWS(M$20:M383)&gt;$F$6,"",INDEX(C$2:C$10000,SMALL(IF(ISNUMBER(MATCH($B$2:$B$10000,$E$6:$E$22,0)),ROW($C$2:$C$10000)-ROW($C$2)+1),ROWS(M$20:M383))))</f>
        <v>40</v>
      </c>
      <c r="K383" s="7">
        <f t="array" ref="K383">IF(ROWS(K$20:K383)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383))))</f>
        <v>41992</v>
      </c>
      <c r="L383" s="4" t="str">
        <f t="array" ref="L383">IF(ROWS(L$20:L383)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383))))</f>
        <v>Kerrie  Worrell</v>
      </c>
      <c r="M383" s="4">
        <f t="array" ref="M383">IF(ROWS(M$20:M383)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383))))</f>
        <v>40</v>
      </c>
    </row>
    <row r="384" spans="1:13" x14ac:dyDescent="0.25">
      <c r="A384" s="3">
        <v>41799</v>
      </c>
      <c r="B384" s="2" t="s">
        <v>16</v>
      </c>
      <c r="C384" s="2">
        <v>35</v>
      </c>
      <c r="G384" s="7">
        <f t="array" ref="G384">IF(ROWS(K$20:K384)&gt;$F$6,"",INDEX(A$2:A$10000,SMALL(IF(ISNUMBER(MATCH($B$2:$B$10000,$E$6:$E$22,0)),ROW($C$2:$C$10000)-ROW($C$2)+1),ROWS(K$20:K384))))</f>
        <v>41306</v>
      </c>
      <c r="H384" s="4" t="str">
        <f t="array" ref="H384">IF(ROWS(L$20:L384)&gt;$F$6,"",INDEX(B$2:B$10000,SMALL(IF(ISNUMBER(MATCH($B$2:$B$10000,$E$6:$E$22,0)),ROW($C$2:$C$10000)-ROW($C$2)+1),ROWS(L$20:L384))))</f>
        <v>Rosamond  Allard</v>
      </c>
      <c r="I384" s="4">
        <f t="array" ref="I384">IF(ROWS(M$20:M384)&gt;$F$6,"",INDEX(C$2:C$10000,SMALL(IF(ISNUMBER(MATCH($B$2:$B$10000,$E$6:$E$22,0)),ROW($C$2:$C$10000)-ROW($C$2)+1),ROWS(M$20:M384))))</f>
        <v>47</v>
      </c>
      <c r="K384" s="7">
        <f t="array" ref="K384">IF(ROWS(K$20:K384)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384))))</f>
        <v>41306</v>
      </c>
      <c r="L384" s="4" t="str">
        <f t="array" ref="L384">IF(ROWS(L$20:L384)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384))))</f>
        <v>Rosamond  Allard</v>
      </c>
      <c r="M384" s="4">
        <f t="array" ref="M384">IF(ROWS(M$20:M384)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384))))</f>
        <v>47</v>
      </c>
    </row>
    <row r="385" spans="1:13" x14ac:dyDescent="0.25">
      <c r="A385" s="3">
        <v>41341</v>
      </c>
      <c r="B385" s="2" t="s">
        <v>26</v>
      </c>
      <c r="C385" s="2">
        <v>22</v>
      </c>
      <c r="G385" s="7">
        <f t="array" ref="G385">IF(ROWS(K$20:K385)&gt;$F$6,"",INDEX(A$2:A$10000,SMALL(IF(ISNUMBER(MATCH($B$2:$B$10000,$E$6:$E$22,0)),ROW($C$2:$C$10000)-ROW($C$2)+1),ROWS(K$20:K385))))</f>
        <v>41345</v>
      </c>
      <c r="H385" s="4" t="str">
        <f t="array" ref="H385">IF(ROWS(L$20:L385)&gt;$F$6,"",INDEX(B$2:B$10000,SMALL(IF(ISNUMBER(MATCH($B$2:$B$10000,$E$6:$E$22,0)),ROW($C$2:$C$10000)-ROW($C$2)+1),ROWS(L$20:L385))))</f>
        <v>Iliana  Valerio</v>
      </c>
      <c r="I385" s="4">
        <f t="array" ref="I385">IF(ROWS(M$20:M385)&gt;$F$6,"",INDEX(C$2:C$10000,SMALL(IF(ISNUMBER(MATCH($B$2:$B$10000,$E$6:$E$22,0)),ROW($C$2:$C$10000)-ROW($C$2)+1),ROWS(M$20:M385))))</f>
        <v>15</v>
      </c>
      <c r="K385" s="7">
        <f t="array" ref="K385">IF(ROWS(K$20:K385)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385))))</f>
        <v>41345</v>
      </c>
      <c r="L385" s="4" t="str">
        <f t="array" ref="L385">IF(ROWS(L$20:L385)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385))))</f>
        <v>Iliana  Valerio</v>
      </c>
      <c r="M385" s="4">
        <f t="array" ref="M385">IF(ROWS(M$20:M385)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385))))</f>
        <v>15</v>
      </c>
    </row>
    <row r="386" spans="1:13" x14ac:dyDescent="0.25">
      <c r="A386" s="3">
        <v>41468</v>
      </c>
      <c r="B386" s="2" t="s">
        <v>30</v>
      </c>
      <c r="C386" s="2">
        <v>16</v>
      </c>
      <c r="G386" s="7">
        <f t="array" ref="G386">IF(ROWS(K$20:K386)&gt;$F$6,"",INDEX(A$2:A$10000,SMALL(IF(ISNUMBER(MATCH($B$2:$B$10000,$E$6:$E$22,0)),ROW($C$2:$C$10000)-ROW($C$2)+1),ROWS(K$20:K386))))</f>
        <v>41362</v>
      </c>
      <c r="H386" s="4" t="str">
        <f t="array" ref="H386">IF(ROWS(L$20:L386)&gt;$F$6,"",INDEX(B$2:B$10000,SMALL(IF(ISNUMBER(MATCH($B$2:$B$10000,$E$6:$E$22,0)),ROW($C$2:$C$10000)-ROW($C$2)+1),ROWS(L$20:L386))))</f>
        <v>Galen  Barth</v>
      </c>
      <c r="I386" s="4">
        <f t="array" ref="I386">IF(ROWS(M$20:M386)&gt;$F$6,"",INDEX(C$2:C$10000,SMALL(IF(ISNUMBER(MATCH($B$2:$B$10000,$E$6:$E$22,0)),ROW($C$2:$C$10000)-ROW($C$2)+1),ROWS(M$20:M386))))</f>
        <v>11</v>
      </c>
      <c r="K386" s="7">
        <f t="array" ref="K386">IF(ROWS(K$20:K386)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386))))</f>
        <v>41362</v>
      </c>
      <c r="L386" s="4" t="str">
        <f t="array" ref="L386">IF(ROWS(L$20:L386)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386))))</f>
        <v>Galen  Barth</v>
      </c>
      <c r="M386" s="4">
        <f t="array" ref="M386">IF(ROWS(M$20:M386)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386))))</f>
        <v>11</v>
      </c>
    </row>
    <row r="387" spans="1:13" x14ac:dyDescent="0.25">
      <c r="A387" s="3">
        <v>41543</v>
      </c>
      <c r="B387" s="2" t="s">
        <v>9</v>
      </c>
      <c r="C387" s="2">
        <v>37</v>
      </c>
      <c r="G387" s="7">
        <f t="array" ref="G387">IF(ROWS(K$20:K387)&gt;$F$6,"",INDEX(A$2:A$10000,SMALL(IF(ISNUMBER(MATCH($B$2:$B$10000,$E$6:$E$22,0)),ROW($C$2:$C$10000)-ROW($C$2)+1),ROWS(K$20:K387))))</f>
        <v>41520</v>
      </c>
      <c r="H387" s="4" t="str">
        <f t="array" ref="H387">IF(ROWS(L$20:L387)&gt;$F$6,"",INDEX(B$2:B$10000,SMALL(IF(ISNUMBER(MATCH($B$2:$B$10000,$E$6:$E$22,0)),ROW($C$2:$C$10000)-ROW($C$2)+1),ROWS(L$20:L387))))</f>
        <v>Kerrie  Worrell</v>
      </c>
      <c r="I387" s="4">
        <f t="array" ref="I387">IF(ROWS(M$20:M387)&gt;$F$6,"",INDEX(C$2:C$10000,SMALL(IF(ISNUMBER(MATCH($B$2:$B$10000,$E$6:$E$22,0)),ROW($C$2:$C$10000)-ROW($C$2)+1),ROWS(M$20:M387))))</f>
        <v>47</v>
      </c>
      <c r="K387" s="7">
        <f t="array" ref="K387">IF(ROWS(K$20:K387)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387))))</f>
        <v>41520</v>
      </c>
      <c r="L387" s="4" t="str">
        <f t="array" ref="L387">IF(ROWS(L$20:L387)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387))))</f>
        <v>Kerrie  Worrell</v>
      </c>
      <c r="M387" s="4">
        <f t="array" ref="M387">IF(ROWS(M$20:M387)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387))))</f>
        <v>47</v>
      </c>
    </row>
    <row r="388" spans="1:13" x14ac:dyDescent="0.25">
      <c r="A388" s="3">
        <v>41682</v>
      </c>
      <c r="B388" s="2" t="s">
        <v>13</v>
      </c>
      <c r="C388" s="2">
        <v>15</v>
      </c>
      <c r="G388" s="7">
        <f t="array" ref="G388">IF(ROWS(K$20:K388)&gt;$F$6,"",INDEX(A$2:A$10000,SMALL(IF(ISNUMBER(MATCH($B$2:$B$10000,$E$6:$E$22,0)),ROW($C$2:$C$10000)-ROW($C$2)+1),ROWS(K$20:K388))))</f>
        <v>41686</v>
      </c>
      <c r="H388" s="4" t="str">
        <f t="array" ref="H388">IF(ROWS(L$20:L388)&gt;$F$6,"",INDEX(B$2:B$10000,SMALL(IF(ISNUMBER(MATCH($B$2:$B$10000,$E$6:$E$22,0)),ROW($C$2:$C$10000)-ROW($C$2)+1),ROWS(L$20:L388))))</f>
        <v>Kerrie  Worrell</v>
      </c>
      <c r="I388" s="4">
        <f t="array" ref="I388">IF(ROWS(M$20:M388)&gt;$F$6,"",INDEX(C$2:C$10000,SMALL(IF(ISNUMBER(MATCH($B$2:$B$10000,$E$6:$E$22,0)),ROW($C$2:$C$10000)-ROW($C$2)+1),ROWS(M$20:M388))))</f>
        <v>53</v>
      </c>
      <c r="K388" s="7">
        <f t="array" ref="K388">IF(ROWS(K$20:K388)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388))))</f>
        <v>41686</v>
      </c>
      <c r="L388" s="4" t="str">
        <f t="array" ref="L388">IF(ROWS(L$20:L388)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388))))</f>
        <v>Kerrie  Worrell</v>
      </c>
      <c r="M388" s="4">
        <f t="array" ref="M388">IF(ROWS(M$20:M388)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388))))</f>
        <v>53</v>
      </c>
    </row>
    <row r="389" spans="1:13" x14ac:dyDescent="0.25">
      <c r="A389" s="3">
        <v>41313</v>
      </c>
      <c r="B389" s="2" t="s">
        <v>4</v>
      </c>
      <c r="C389" s="2">
        <v>36</v>
      </c>
      <c r="G389" s="7">
        <f t="array" ref="G389">IF(ROWS(K$20:K389)&gt;$F$6,"",INDEX(A$2:A$10000,SMALL(IF(ISNUMBER(MATCH($B$2:$B$10000,$E$6:$E$22,0)),ROW($C$2:$C$10000)-ROW($C$2)+1),ROWS(K$20:K389))))</f>
        <v>41958</v>
      </c>
      <c r="H389" s="4" t="str">
        <f t="array" ref="H389">IF(ROWS(L$20:L389)&gt;$F$6,"",INDEX(B$2:B$10000,SMALL(IF(ISNUMBER(MATCH($B$2:$B$10000,$E$6:$E$22,0)),ROW($C$2:$C$10000)-ROW($C$2)+1),ROWS(L$20:L389))))</f>
        <v>Iliana  Valerio</v>
      </c>
      <c r="I389" s="4">
        <f t="array" ref="I389">IF(ROWS(M$20:M389)&gt;$F$6,"",INDEX(C$2:C$10000,SMALL(IF(ISNUMBER(MATCH($B$2:$B$10000,$E$6:$E$22,0)),ROW($C$2:$C$10000)-ROW($C$2)+1),ROWS(M$20:M389))))</f>
        <v>65</v>
      </c>
      <c r="K389" s="7">
        <f t="array" ref="K389">IF(ROWS(K$20:K389)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389))))</f>
        <v>41958</v>
      </c>
      <c r="L389" s="4" t="str">
        <f t="array" ref="L389">IF(ROWS(L$20:L389)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389))))</f>
        <v>Iliana  Valerio</v>
      </c>
      <c r="M389" s="4">
        <f t="array" ref="M389">IF(ROWS(M$20:M389)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389))))</f>
        <v>65</v>
      </c>
    </row>
    <row r="390" spans="1:13" x14ac:dyDescent="0.25">
      <c r="A390" s="3">
        <v>41994</v>
      </c>
      <c r="B390" s="2" t="s">
        <v>20</v>
      </c>
      <c r="C390" s="2">
        <v>29</v>
      </c>
      <c r="G390" s="7">
        <f t="array" ref="G390">IF(ROWS(K$20:K390)&gt;$F$6,"",INDEX(A$2:A$10000,SMALL(IF(ISNUMBER(MATCH($B$2:$B$10000,$E$6:$E$22,0)),ROW($C$2:$C$10000)-ROW($C$2)+1),ROWS(K$20:K390))))</f>
        <v>41990</v>
      </c>
      <c r="H390" s="4" t="str">
        <f t="array" ref="H390">IF(ROWS(L$20:L390)&gt;$F$6,"",INDEX(B$2:B$10000,SMALL(IF(ISNUMBER(MATCH($B$2:$B$10000,$E$6:$E$22,0)),ROW($C$2:$C$10000)-ROW($C$2)+1),ROWS(L$20:L390))))</f>
        <v>Iliana  Valerio</v>
      </c>
      <c r="I390" s="4">
        <f t="array" ref="I390">IF(ROWS(M$20:M390)&gt;$F$6,"",INDEX(C$2:C$10000,SMALL(IF(ISNUMBER(MATCH($B$2:$B$10000,$E$6:$E$22,0)),ROW($C$2:$C$10000)-ROW($C$2)+1),ROWS(M$20:M390))))</f>
        <v>39</v>
      </c>
      <c r="K390" s="7">
        <f t="array" ref="K390">IF(ROWS(K$20:K390)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390))))</f>
        <v>41990</v>
      </c>
      <c r="L390" s="4" t="str">
        <f t="array" ref="L390">IF(ROWS(L$20:L390)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390))))</f>
        <v>Iliana  Valerio</v>
      </c>
      <c r="M390" s="4">
        <f t="array" ref="M390">IF(ROWS(M$20:M390)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390))))</f>
        <v>39</v>
      </c>
    </row>
    <row r="391" spans="1:13" x14ac:dyDescent="0.25">
      <c r="A391" s="3">
        <v>41993</v>
      </c>
      <c r="B391" s="2" t="s">
        <v>42</v>
      </c>
      <c r="C391" s="2">
        <v>28</v>
      </c>
      <c r="G391" s="7">
        <f t="array" ref="G391">IF(ROWS(K$20:K391)&gt;$F$6,"",INDEX(A$2:A$10000,SMALL(IF(ISNUMBER(MATCH($B$2:$B$10000,$E$6:$E$22,0)),ROW($C$2:$C$10000)-ROW($C$2)+1),ROWS(K$20:K391))))</f>
        <v>41899</v>
      </c>
      <c r="H391" s="4" t="str">
        <f t="array" ref="H391">IF(ROWS(L$20:L391)&gt;$F$6,"",INDEX(B$2:B$10000,SMALL(IF(ISNUMBER(MATCH($B$2:$B$10000,$E$6:$E$22,0)),ROW($C$2:$C$10000)-ROW($C$2)+1),ROWS(L$20:L391))))</f>
        <v>Rosamond  Allard</v>
      </c>
      <c r="I391" s="4">
        <f t="array" ref="I391">IF(ROWS(M$20:M391)&gt;$F$6,"",INDEX(C$2:C$10000,SMALL(IF(ISNUMBER(MATCH($B$2:$B$10000,$E$6:$E$22,0)),ROW($C$2:$C$10000)-ROW($C$2)+1),ROWS(M$20:M391))))</f>
        <v>25</v>
      </c>
      <c r="K391" s="7">
        <f t="array" ref="K391">IF(ROWS(K$20:K391)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391))))</f>
        <v>41899</v>
      </c>
      <c r="L391" s="4" t="str">
        <f t="array" ref="L391">IF(ROWS(L$20:L391)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391))))</f>
        <v>Rosamond  Allard</v>
      </c>
      <c r="M391" s="4">
        <f t="array" ref="M391">IF(ROWS(M$20:M391)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391))))</f>
        <v>25</v>
      </c>
    </row>
    <row r="392" spans="1:13" x14ac:dyDescent="0.25">
      <c r="A392" s="3">
        <v>41321</v>
      </c>
      <c r="B392" s="2" t="s">
        <v>3</v>
      </c>
      <c r="C392" s="2">
        <v>37</v>
      </c>
      <c r="G392" s="7">
        <f t="array" ref="G392">IF(ROWS(K$20:K392)&gt;$F$6,"",INDEX(A$2:A$10000,SMALL(IF(ISNUMBER(MATCH($B$2:$B$10000,$E$6:$E$22,0)),ROW($C$2:$C$10000)-ROW($C$2)+1),ROWS(K$20:K392))))</f>
        <v>41524</v>
      </c>
      <c r="H392" s="4" t="str">
        <f t="array" ref="H392">IF(ROWS(L$20:L392)&gt;$F$6,"",INDEX(B$2:B$10000,SMALL(IF(ISNUMBER(MATCH($B$2:$B$10000,$E$6:$E$22,0)),ROW($C$2:$C$10000)-ROW($C$2)+1),ROWS(L$20:L392))))</f>
        <v>Iliana  Valerio</v>
      </c>
      <c r="I392" s="4">
        <f t="array" ref="I392">IF(ROWS(M$20:M392)&gt;$F$6,"",INDEX(C$2:C$10000,SMALL(IF(ISNUMBER(MATCH($B$2:$B$10000,$E$6:$E$22,0)),ROW($C$2:$C$10000)-ROW($C$2)+1),ROWS(M$20:M392))))</f>
        <v>5</v>
      </c>
      <c r="K392" s="7">
        <f t="array" ref="K392">IF(ROWS(K$20:K392)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392))))</f>
        <v>41524</v>
      </c>
      <c r="L392" s="4" t="str">
        <f t="array" ref="L392">IF(ROWS(L$20:L392)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392))))</f>
        <v>Iliana  Valerio</v>
      </c>
      <c r="M392" s="4">
        <f t="array" ref="M392">IF(ROWS(M$20:M392)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392))))</f>
        <v>5</v>
      </c>
    </row>
    <row r="393" spans="1:13" x14ac:dyDescent="0.25">
      <c r="A393" s="3">
        <v>41559</v>
      </c>
      <c r="B393" s="2" t="s">
        <v>6</v>
      </c>
      <c r="C393" s="2">
        <v>27</v>
      </c>
      <c r="G393" s="7">
        <f t="array" ref="G393">IF(ROWS(K$20:K393)&gt;$F$6,"",INDEX(A$2:A$10000,SMALL(IF(ISNUMBER(MATCH($B$2:$B$10000,$E$6:$E$22,0)),ROW($C$2:$C$10000)-ROW($C$2)+1),ROWS(K$20:K393))))</f>
        <v>41611</v>
      </c>
      <c r="H393" s="4" t="str">
        <f t="array" ref="H393">IF(ROWS(L$20:L393)&gt;$F$6,"",INDEX(B$2:B$10000,SMALL(IF(ISNUMBER(MATCH($B$2:$B$10000,$E$6:$E$22,0)),ROW($C$2:$C$10000)-ROW($C$2)+1),ROWS(L$20:L393))))</f>
        <v>Kerrie  Worrell</v>
      </c>
      <c r="I393" s="4">
        <f t="array" ref="I393">IF(ROWS(M$20:M393)&gt;$F$6,"",INDEX(C$2:C$10000,SMALL(IF(ISNUMBER(MATCH($B$2:$B$10000,$E$6:$E$22,0)),ROW($C$2:$C$10000)-ROW($C$2)+1),ROWS(M$20:M393))))</f>
        <v>34</v>
      </c>
      <c r="K393" s="7">
        <f t="array" ref="K393">IF(ROWS(K$20:K393)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393))))</f>
        <v>41611</v>
      </c>
      <c r="L393" s="4" t="str">
        <f t="array" ref="L393">IF(ROWS(L$20:L393)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393))))</f>
        <v>Kerrie  Worrell</v>
      </c>
      <c r="M393" s="4">
        <f t="array" ref="M393">IF(ROWS(M$20:M393)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393))))</f>
        <v>34</v>
      </c>
    </row>
    <row r="394" spans="1:13" x14ac:dyDescent="0.25">
      <c r="A394" s="3">
        <v>41553</v>
      </c>
      <c r="B394" s="2" t="s">
        <v>41</v>
      </c>
      <c r="C394" s="2">
        <v>24</v>
      </c>
      <c r="G394" s="7">
        <f t="array" ref="G394">IF(ROWS(K$20:K394)&gt;$F$6,"",INDEX(A$2:A$10000,SMALL(IF(ISNUMBER(MATCH($B$2:$B$10000,$E$6:$E$22,0)),ROW($C$2:$C$10000)-ROW($C$2)+1),ROWS(K$20:K394))))</f>
        <v>41380</v>
      </c>
      <c r="H394" s="4" t="str">
        <f t="array" ref="H394">IF(ROWS(L$20:L394)&gt;$F$6,"",INDEX(B$2:B$10000,SMALL(IF(ISNUMBER(MATCH($B$2:$B$10000,$E$6:$E$22,0)),ROW($C$2:$C$10000)-ROW($C$2)+1),ROWS(L$20:L394))))</f>
        <v>Iliana  Valerio</v>
      </c>
      <c r="I394" s="4">
        <f t="array" ref="I394">IF(ROWS(M$20:M394)&gt;$F$6,"",INDEX(C$2:C$10000,SMALL(IF(ISNUMBER(MATCH($B$2:$B$10000,$E$6:$E$22,0)),ROW($C$2:$C$10000)-ROW($C$2)+1),ROWS(M$20:M394))))</f>
        <v>9</v>
      </c>
      <c r="K394" s="7">
        <f t="array" ref="K394">IF(ROWS(K$20:K394)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394))))</f>
        <v>41380</v>
      </c>
      <c r="L394" s="4" t="str">
        <f t="array" ref="L394">IF(ROWS(L$20:L394)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394))))</f>
        <v>Iliana  Valerio</v>
      </c>
      <c r="M394" s="4">
        <f t="array" ref="M394">IF(ROWS(M$20:M394)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394))))</f>
        <v>9</v>
      </c>
    </row>
    <row r="395" spans="1:13" x14ac:dyDescent="0.25">
      <c r="A395" s="3">
        <v>41899</v>
      </c>
      <c r="B395" s="2" t="s">
        <v>37</v>
      </c>
      <c r="C395" s="2">
        <v>1</v>
      </c>
      <c r="G395" s="7">
        <f t="array" ref="G395">IF(ROWS(K$20:K395)&gt;$F$6,"",INDEX(A$2:A$10000,SMALL(IF(ISNUMBER(MATCH($B$2:$B$10000,$E$6:$E$22,0)),ROW($C$2:$C$10000)-ROW($C$2)+1),ROWS(K$20:K395))))</f>
        <v>41527</v>
      </c>
      <c r="H395" s="4" t="str">
        <f t="array" ref="H395">IF(ROWS(L$20:L395)&gt;$F$6,"",INDEX(B$2:B$10000,SMALL(IF(ISNUMBER(MATCH($B$2:$B$10000,$E$6:$E$22,0)),ROW($C$2:$C$10000)-ROW($C$2)+1),ROWS(L$20:L395))))</f>
        <v>Mickey  Bolduc</v>
      </c>
      <c r="I395" s="4">
        <f t="array" ref="I395">IF(ROWS(M$20:M395)&gt;$F$6,"",INDEX(C$2:C$10000,SMALL(IF(ISNUMBER(MATCH($B$2:$B$10000,$E$6:$E$22,0)),ROW($C$2:$C$10000)-ROW($C$2)+1),ROWS(M$20:M395))))</f>
        <v>17</v>
      </c>
      <c r="K395" s="7">
        <f t="array" ref="K395">IF(ROWS(K$20:K395)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395))))</f>
        <v>41527</v>
      </c>
      <c r="L395" s="4" t="str">
        <f t="array" ref="L395">IF(ROWS(L$20:L395)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395))))</f>
        <v>Mickey  Bolduc</v>
      </c>
      <c r="M395" s="4">
        <f t="array" ref="M395">IF(ROWS(M$20:M395)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395))))</f>
        <v>17</v>
      </c>
    </row>
    <row r="396" spans="1:13" x14ac:dyDescent="0.25">
      <c r="A396" s="3">
        <v>41597</v>
      </c>
      <c r="B396" s="2" t="s">
        <v>2</v>
      </c>
      <c r="C396" s="2">
        <v>34</v>
      </c>
      <c r="G396" s="7">
        <f t="array" ref="G396">IF(ROWS(K$20:K396)&gt;$F$6,"",INDEX(A$2:A$10000,SMALL(IF(ISNUMBER(MATCH($B$2:$B$10000,$E$6:$E$22,0)),ROW($C$2:$C$10000)-ROW($C$2)+1),ROWS(K$20:K396))))</f>
        <v>41318</v>
      </c>
      <c r="H396" s="4" t="str">
        <f t="array" ref="H396">IF(ROWS(L$20:L396)&gt;$F$6,"",INDEX(B$2:B$10000,SMALL(IF(ISNUMBER(MATCH($B$2:$B$10000,$E$6:$E$22,0)),ROW($C$2:$C$10000)-ROW($C$2)+1),ROWS(L$20:L396))))</f>
        <v>Galen  Barth</v>
      </c>
      <c r="I396" s="4">
        <f t="array" ref="I396">IF(ROWS(M$20:M396)&gt;$F$6,"",INDEX(C$2:C$10000,SMALL(IF(ISNUMBER(MATCH($B$2:$B$10000,$E$6:$E$22,0)),ROW($C$2:$C$10000)-ROW($C$2)+1),ROWS(M$20:M396))))</f>
        <v>38</v>
      </c>
      <c r="K396" s="7">
        <f t="array" ref="K396">IF(ROWS(K$20:K396)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396))))</f>
        <v>41318</v>
      </c>
      <c r="L396" s="4" t="str">
        <f t="array" ref="L396">IF(ROWS(L$20:L396)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396))))</f>
        <v>Galen  Barth</v>
      </c>
      <c r="M396" s="4">
        <f t="array" ref="M396">IF(ROWS(M$20:M396)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396))))</f>
        <v>38</v>
      </c>
    </row>
    <row r="397" spans="1:13" x14ac:dyDescent="0.25">
      <c r="A397" s="3">
        <v>41494</v>
      </c>
      <c r="B397" s="2" t="s">
        <v>51</v>
      </c>
      <c r="C397" s="2">
        <v>19</v>
      </c>
      <c r="G397" s="7">
        <f t="array" ref="G397">IF(ROWS(K$20:K397)&gt;$F$6,"",INDEX(A$2:A$10000,SMALL(IF(ISNUMBER(MATCH($B$2:$B$10000,$E$6:$E$22,0)),ROW($C$2:$C$10000)-ROW($C$2)+1),ROWS(K$20:K397))))</f>
        <v>41373</v>
      </c>
      <c r="H397" s="4" t="str">
        <f t="array" ref="H397">IF(ROWS(L$20:L397)&gt;$F$6,"",INDEX(B$2:B$10000,SMALL(IF(ISNUMBER(MATCH($B$2:$B$10000,$E$6:$E$22,0)),ROW($C$2:$C$10000)-ROW($C$2)+1),ROWS(L$20:L397))))</f>
        <v>Jenni  Thorton</v>
      </c>
      <c r="I397" s="4">
        <f t="array" ref="I397">IF(ROWS(M$20:M397)&gt;$F$6,"",INDEX(C$2:C$10000,SMALL(IF(ISNUMBER(MATCH($B$2:$B$10000,$E$6:$E$22,0)),ROW($C$2:$C$10000)-ROW($C$2)+1),ROWS(M$20:M397))))</f>
        <v>21</v>
      </c>
      <c r="K397" s="7">
        <f t="array" ref="K397">IF(ROWS(K$20:K397)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397))))</f>
        <v>41373</v>
      </c>
      <c r="L397" s="4" t="str">
        <f t="array" ref="L397">IF(ROWS(L$20:L397)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397))))</f>
        <v>Jenni  Thorton</v>
      </c>
      <c r="M397" s="4">
        <f t="array" ref="M397">IF(ROWS(M$20:M397)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397))))</f>
        <v>21</v>
      </c>
    </row>
    <row r="398" spans="1:13" x14ac:dyDescent="0.25">
      <c r="A398" s="3">
        <v>41438</v>
      </c>
      <c r="B398" s="2" t="s">
        <v>29</v>
      </c>
      <c r="C398" s="2">
        <v>44</v>
      </c>
      <c r="G398" s="7">
        <f t="array" ref="G398">IF(ROWS(K$20:K398)&gt;$F$6,"",INDEX(A$2:A$10000,SMALL(IF(ISNUMBER(MATCH($B$2:$B$10000,$E$6:$E$22,0)),ROW($C$2:$C$10000)-ROW($C$2)+1),ROWS(K$20:K398))))</f>
        <v>41662</v>
      </c>
      <c r="H398" s="4" t="str">
        <f t="array" ref="H398">IF(ROWS(L$20:L398)&gt;$F$6,"",INDEX(B$2:B$10000,SMALL(IF(ISNUMBER(MATCH($B$2:$B$10000,$E$6:$E$22,0)),ROW($C$2:$C$10000)-ROW($C$2)+1),ROWS(L$20:L398))))</f>
        <v>Jenni  Thorton</v>
      </c>
      <c r="I398" s="4">
        <f t="array" ref="I398">IF(ROWS(M$20:M398)&gt;$F$6,"",INDEX(C$2:C$10000,SMALL(IF(ISNUMBER(MATCH($B$2:$B$10000,$E$6:$E$22,0)),ROW($C$2:$C$10000)-ROW($C$2)+1),ROWS(M$20:M398))))</f>
        <v>35</v>
      </c>
      <c r="K398" s="7">
        <f t="array" ref="K398">IF(ROWS(K$20:K398)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398))))</f>
        <v>41662</v>
      </c>
      <c r="L398" s="4" t="str">
        <f t="array" ref="L398">IF(ROWS(L$20:L398)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398))))</f>
        <v>Jenni  Thorton</v>
      </c>
      <c r="M398" s="4">
        <f t="array" ref="M398">IF(ROWS(M$20:M398)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398))))</f>
        <v>35</v>
      </c>
    </row>
    <row r="399" spans="1:13" x14ac:dyDescent="0.25">
      <c r="A399" s="3">
        <v>41609</v>
      </c>
      <c r="B399" s="2" t="s">
        <v>8</v>
      </c>
      <c r="C399" s="2">
        <v>24</v>
      </c>
      <c r="G399" s="7">
        <f t="array" ref="G399">IF(ROWS(K$20:K399)&gt;$F$6,"",INDEX(A$2:A$10000,SMALL(IF(ISNUMBER(MATCH($B$2:$B$10000,$E$6:$E$22,0)),ROW($C$2:$C$10000)-ROW($C$2)+1),ROWS(K$20:K399))))</f>
        <v>41435</v>
      </c>
      <c r="H399" s="4" t="str">
        <f t="array" ref="H399">IF(ROWS(L$20:L399)&gt;$F$6,"",INDEX(B$2:B$10000,SMALL(IF(ISNUMBER(MATCH($B$2:$B$10000,$E$6:$E$22,0)),ROW($C$2:$C$10000)-ROW($C$2)+1),ROWS(L$20:L399))))</f>
        <v>Galen  Barth</v>
      </c>
      <c r="I399" s="4">
        <f t="array" ref="I399">IF(ROWS(M$20:M399)&gt;$F$6,"",INDEX(C$2:C$10000,SMALL(IF(ISNUMBER(MATCH($B$2:$B$10000,$E$6:$E$22,0)),ROW($C$2:$C$10000)-ROW($C$2)+1),ROWS(M$20:M399))))</f>
        <v>4</v>
      </c>
      <c r="K399" s="7">
        <f t="array" ref="K399">IF(ROWS(K$20:K399)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399))))</f>
        <v>41435</v>
      </c>
      <c r="L399" s="4" t="str">
        <f t="array" ref="L399">IF(ROWS(L$20:L399)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399))))</f>
        <v>Galen  Barth</v>
      </c>
      <c r="M399" s="4">
        <f t="array" ref="M399">IF(ROWS(M$20:M399)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399))))</f>
        <v>4</v>
      </c>
    </row>
    <row r="400" spans="1:13" x14ac:dyDescent="0.25">
      <c r="A400" s="3">
        <v>41329</v>
      </c>
      <c r="B400" s="2" t="s">
        <v>36</v>
      </c>
      <c r="C400" s="2">
        <v>31</v>
      </c>
      <c r="G400" s="7">
        <f t="array" ref="G400">IF(ROWS(K$20:K400)&gt;$F$6,"",INDEX(A$2:A$10000,SMALL(IF(ISNUMBER(MATCH($B$2:$B$10000,$E$6:$E$22,0)),ROW($C$2:$C$10000)-ROW($C$2)+1),ROWS(K$20:K400))))</f>
        <v>41786</v>
      </c>
      <c r="H400" s="4" t="str">
        <f t="array" ref="H400">IF(ROWS(L$20:L400)&gt;$F$6,"",INDEX(B$2:B$10000,SMALL(IF(ISNUMBER(MATCH($B$2:$B$10000,$E$6:$E$22,0)),ROW($C$2:$C$10000)-ROW($C$2)+1),ROWS(L$20:L400))))</f>
        <v>Jenni  Thorton</v>
      </c>
      <c r="I400" s="4">
        <f t="array" ref="I400">IF(ROWS(M$20:M400)&gt;$F$6,"",INDEX(C$2:C$10000,SMALL(IF(ISNUMBER(MATCH($B$2:$B$10000,$E$6:$E$22,0)),ROW($C$2:$C$10000)-ROW($C$2)+1),ROWS(M$20:M400))))</f>
        <v>7</v>
      </c>
      <c r="K400" s="7">
        <f t="array" ref="K400">IF(ROWS(K$20:K400)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400))))</f>
        <v>41786</v>
      </c>
      <c r="L400" s="4" t="str">
        <f t="array" ref="L400">IF(ROWS(L$20:L400)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400))))</f>
        <v>Jenni  Thorton</v>
      </c>
      <c r="M400" s="4">
        <f t="array" ref="M400">IF(ROWS(M$20:M400)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400))))</f>
        <v>7</v>
      </c>
    </row>
    <row r="401" spans="1:13" x14ac:dyDescent="0.25">
      <c r="A401" s="3">
        <v>41528</v>
      </c>
      <c r="B401" s="2" t="s">
        <v>6</v>
      </c>
      <c r="C401" s="2">
        <v>39</v>
      </c>
      <c r="G401" s="7">
        <f t="array" ref="G401">IF(ROWS(K$20:K401)&gt;$F$6,"",INDEX(A$2:A$10000,SMALL(IF(ISNUMBER(MATCH($B$2:$B$10000,$E$6:$E$22,0)),ROW($C$2:$C$10000)-ROW($C$2)+1),ROWS(K$20:K401))))</f>
        <v>41905</v>
      </c>
      <c r="H401" s="4" t="str">
        <f t="array" ref="H401">IF(ROWS(L$20:L401)&gt;$F$6,"",INDEX(B$2:B$10000,SMALL(IF(ISNUMBER(MATCH($B$2:$B$10000,$E$6:$E$22,0)),ROW($C$2:$C$10000)-ROW($C$2)+1),ROWS(L$20:L401))))</f>
        <v>Galen  Barth</v>
      </c>
      <c r="I401" s="4">
        <f t="array" ref="I401">IF(ROWS(M$20:M401)&gt;$F$6,"",INDEX(C$2:C$10000,SMALL(IF(ISNUMBER(MATCH($B$2:$B$10000,$E$6:$E$22,0)),ROW($C$2:$C$10000)-ROW($C$2)+1),ROWS(M$20:M401))))</f>
        <v>38</v>
      </c>
      <c r="K401" s="7">
        <f t="array" ref="K401">IF(ROWS(K$20:K401)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401))))</f>
        <v>41905</v>
      </c>
      <c r="L401" s="4" t="str">
        <f t="array" ref="L401">IF(ROWS(L$20:L401)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401))))</f>
        <v>Galen  Barth</v>
      </c>
      <c r="M401" s="4">
        <f t="array" ref="M401">IF(ROWS(M$20:M401)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401))))</f>
        <v>38</v>
      </c>
    </row>
    <row r="402" spans="1:13" x14ac:dyDescent="0.25">
      <c r="A402" s="3">
        <v>41931</v>
      </c>
      <c r="B402" s="2" t="s">
        <v>37</v>
      </c>
      <c r="C402" s="2">
        <v>27</v>
      </c>
      <c r="G402" s="7">
        <f t="array" ref="G402">IF(ROWS(K$20:K402)&gt;$F$6,"",INDEX(A$2:A$10000,SMALL(IF(ISNUMBER(MATCH($B$2:$B$10000,$E$6:$E$22,0)),ROW($C$2:$C$10000)-ROW($C$2)+1),ROWS(K$20:K402))))</f>
        <v>41914</v>
      </c>
      <c r="H402" s="4" t="str">
        <f t="array" ref="H402">IF(ROWS(L$20:L402)&gt;$F$6,"",INDEX(B$2:B$10000,SMALL(IF(ISNUMBER(MATCH($B$2:$B$10000,$E$6:$E$22,0)),ROW($C$2:$C$10000)-ROW($C$2)+1),ROWS(L$20:L402))))</f>
        <v>Rosamond  Allard</v>
      </c>
      <c r="I402" s="4">
        <f t="array" ref="I402">IF(ROWS(M$20:M402)&gt;$F$6,"",INDEX(C$2:C$10000,SMALL(IF(ISNUMBER(MATCH($B$2:$B$10000,$E$6:$E$22,0)),ROW($C$2:$C$10000)-ROW($C$2)+1),ROWS(M$20:M402))))</f>
        <v>19</v>
      </c>
      <c r="K402" s="7">
        <f t="array" ref="K402">IF(ROWS(K$20:K402)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402))))</f>
        <v>41914</v>
      </c>
      <c r="L402" s="4" t="str">
        <f t="array" ref="L402">IF(ROWS(L$20:L402)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402))))</f>
        <v>Rosamond  Allard</v>
      </c>
      <c r="M402" s="4">
        <f t="array" ref="M402">IF(ROWS(M$20:M402)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402))))</f>
        <v>19</v>
      </c>
    </row>
    <row r="403" spans="1:13" x14ac:dyDescent="0.25">
      <c r="A403" s="3">
        <v>41885</v>
      </c>
      <c r="B403" s="2" t="s">
        <v>45</v>
      </c>
      <c r="C403" s="2">
        <v>7</v>
      </c>
      <c r="G403" s="7">
        <f t="array" ref="G403">IF(ROWS(K$20:K403)&gt;$F$6,"",INDEX(A$2:A$10000,SMALL(IF(ISNUMBER(MATCH($B$2:$B$10000,$E$6:$E$22,0)),ROW($C$2:$C$10000)-ROW($C$2)+1),ROWS(K$20:K403))))</f>
        <v>41391</v>
      </c>
      <c r="H403" s="4" t="str">
        <f t="array" ref="H403">IF(ROWS(L$20:L403)&gt;$F$6,"",INDEX(B$2:B$10000,SMALL(IF(ISNUMBER(MATCH($B$2:$B$10000,$E$6:$E$22,0)),ROW($C$2:$C$10000)-ROW($C$2)+1),ROWS(L$20:L403))))</f>
        <v>Iliana  Valerio</v>
      </c>
      <c r="I403" s="4">
        <f t="array" ref="I403">IF(ROWS(M$20:M403)&gt;$F$6,"",INDEX(C$2:C$10000,SMALL(IF(ISNUMBER(MATCH($B$2:$B$10000,$E$6:$E$22,0)),ROW($C$2:$C$10000)-ROW($C$2)+1),ROWS(M$20:M403))))</f>
        <v>28</v>
      </c>
      <c r="K403" s="7">
        <f t="array" ref="K403">IF(ROWS(K$20:K403)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403))))</f>
        <v>41391</v>
      </c>
      <c r="L403" s="4" t="str">
        <f t="array" ref="L403">IF(ROWS(L$20:L403)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403))))</f>
        <v>Iliana  Valerio</v>
      </c>
      <c r="M403" s="4">
        <f t="array" ref="M403">IF(ROWS(M$20:M403)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403))))</f>
        <v>28</v>
      </c>
    </row>
    <row r="404" spans="1:13" x14ac:dyDescent="0.25">
      <c r="A404" s="3">
        <v>41687</v>
      </c>
      <c r="B404" s="2" t="s">
        <v>32</v>
      </c>
      <c r="C404" s="2">
        <v>31</v>
      </c>
      <c r="G404" s="7">
        <f t="array" ref="G404">IF(ROWS(K$20:K404)&gt;$F$6,"",INDEX(A$2:A$10000,SMALL(IF(ISNUMBER(MATCH($B$2:$B$10000,$E$6:$E$22,0)),ROW($C$2:$C$10000)-ROW($C$2)+1),ROWS(K$20:K404))))</f>
        <v>41631</v>
      </c>
      <c r="H404" s="4" t="str">
        <f t="array" ref="H404">IF(ROWS(L$20:L404)&gt;$F$6,"",INDEX(B$2:B$10000,SMALL(IF(ISNUMBER(MATCH($B$2:$B$10000,$E$6:$E$22,0)),ROW($C$2:$C$10000)-ROW($C$2)+1),ROWS(L$20:L404))))</f>
        <v>Rosamond  Allard</v>
      </c>
      <c r="I404" s="4">
        <f t="array" ref="I404">IF(ROWS(M$20:M404)&gt;$F$6,"",INDEX(C$2:C$10000,SMALL(IF(ISNUMBER(MATCH($B$2:$B$10000,$E$6:$E$22,0)),ROW($C$2:$C$10000)-ROW($C$2)+1),ROWS(M$20:M404))))</f>
        <v>58</v>
      </c>
      <c r="K404" s="7">
        <f t="array" ref="K404">IF(ROWS(K$20:K404)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404))))</f>
        <v>41631</v>
      </c>
      <c r="L404" s="4" t="str">
        <f t="array" ref="L404">IF(ROWS(L$20:L404)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404))))</f>
        <v>Rosamond  Allard</v>
      </c>
      <c r="M404" s="4">
        <f t="array" ref="M404">IF(ROWS(M$20:M404)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404))))</f>
        <v>58</v>
      </c>
    </row>
    <row r="405" spans="1:13" x14ac:dyDescent="0.25">
      <c r="A405" s="3">
        <v>41727</v>
      </c>
      <c r="B405" s="2" t="s">
        <v>41</v>
      </c>
      <c r="C405" s="2">
        <v>12</v>
      </c>
      <c r="G405" s="7">
        <f t="array" ref="G405">IF(ROWS(K$20:K405)&gt;$F$6,"",INDEX(A$2:A$10000,SMALL(IF(ISNUMBER(MATCH($B$2:$B$10000,$E$6:$E$22,0)),ROW($C$2:$C$10000)-ROW($C$2)+1),ROWS(K$20:K405))))</f>
        <v>41455</v>
      </c>
      <c r="H405" s="4" t="str">
        <f t="array" ref="H405">IF(ROWS(L$20:L405)&gt;$F$6,"",INDEX(B$2:B$10000,SMALL(IF(ISNUMBER(MATCH($B$2:$B$10000,$E$6:$E$22,0)),ROW($C$2:$C$10000)-ROW($C$2)+1),ROWS(L$20:L405))))</f>
        <v>Kerrie  Worrell</v>
      </c>
      <c r="I405" s="4">
        <f t="array" ref="I405">IF(ROWS(M$20:M405)&gt;$F$6,"",INDEX(C$2:C$10000,SMALL(IF(ISNUMBER(MATCH($B$2:$B$10000,$E$6:$E$22,0)),ROW($C$2:$C$10000)-ROW($C$2)+1),ROWS(M$20:M405))))</f>
        <v>11</v>
      </c>
      <c r="K405" s="7">
        <f t="array" ref="K405">IF(ROWS(K$20:K405)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405))))</f>
        <v>41455</v>
      </c>
      <c r="L405" s="4" t="str">
        <f t="array" ref="L405">IF(ROWS(L$20:L405)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405))))</f>
        <v>Kerrie  Worrell</v>
      </c>
      <c r="M405" s="4">
        <f t="array" ref="M405">IF(ROWS(M$20:M405)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405))))</f>
        <v>11</v>
      </c>
    </row>
    <row r="406" spans="1:13" x14ac:dyDescent="0.25">
      <c r="A406" s="3">
        <v>41935</v>
      </c>
      <c r="B406" s="2" t="s">
        <v>33</v>
      </c>
      <c r="C406" s="2">
        <v>40</v>
      </c>
      <c r="G406" s="7">
        <f t="array" ref="G406">IF(ROWS(K$20:K406)&gt;$F$6,"",INDEX(A$2:A$10000,SMALL(IF(ISNUMBER(MATCH($B$2:$B$10000,$E$6:$E$22,0)),ROW($C$2:$C$10000)-ROW($C$2)+1),ROWS(K$20:K406))))</f>
        <v>41321</v>
      </c>
      <c r="H406" s="4" t="str">
        <f t="array" ref="H406">IF(ROWS(L$20:L406)&gt;$F$6,"",INDEX(B$2:B$10000,SMALL(IF(ISNUMBER(MATCH($B$2:$B$10000,$E$6:$E$22,0)),ROW($C$2:$C$10000)-ROW($C$2)+1),ROWS(L$20:L406))))</f>
        <v>Mickey  Bolduc</v>
      </c>
      <c r="I406" s="4">
        <f t="array" ref="I406">IF(ROWS(M$20:M406)&gt;$F$6,"",INDEX(C$2:C$10000,SMALL(IF(ISNUMBER(MATCH($B$2:$B$10000,$E$6:$E$22,0)),ROW($C$2:$C$10000)-ROW($C$2)+1),ROWS(M$20:M406))))</f>
        <v>20</v>
      </c>
      <c r="K406" s="7">
        <f t="array" ref="K406">IF(ROWS(K$20:K406)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406))))</f>
        <v>41321</v>
      </c>
      <c r="L406" s="4" t="str">
        <f t="array" ref="L406">IF(ROWS(L$20:L406)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406))))</f>
        <v>Mickey  Bolduc</v>
      </c>
      <c r="M406" s="4">
        <f t="array" ref="M406">IF(ROWS(M$20:M406)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406))))</f>
        <v>20</v>
      </c>
    </row>
    <row r="407" spans="1:13" x14ac:dyDescent="0.25">
      <c r="A407" s="3">
        <v>41457</v>
      </c>
      <c r="B407" s="2" t="s">
        <v>32</v>
      </c>
      <c r="C407" s="2">
        <v>2</v>
      </c>
      <c r="G407" s="7">
        <f t="array" ref="G407">IF(ROWS(K$20:K407)&gt;$F$6,"",INDEX(A$2:A$10000,SMALL(IF(ISNUMBER(MATCH($B$2:$B$10000,$E$6:$E$22,0)),ROW($C$2:$C$10000)-ROW($C$2)+1),ROWS(K$20:K407))))</f>
        <v>41417</v>
      </c>
      <c r="H407" s="4" t="str">
        <f t="array" ref="H407">IF(ROWS(L$20:L407)&gt;$F$6,"",INDEX(B$2:B$10000,SMALL(IF(ISNUMBER(MATCH($B$2:$B$10000,$E$6:$E$22,0)),ROW($C$2:$C$10000)-ROW($C$2)+1),ROWS(L$20:L407))))</f>
        <v>Galen  Barth</v>
      </c>
      <c r="I407" s="4">
        <f t="array" ref="I407">IF(ROWS(M$20:M407)&gt;$F$6,"",INDEX(C$2:C$10000,SMALL(IF(ISNUMBER(MATCH($B$2:$B$10000,$E$6:$E$22,0)),ROW($C$2:$C$10000)-ROW($C$2)+1),ROWS(M$20:M407))))</f>
        <v>29</v>
      </c>
      <c r="K407" s="7">
        <f t="array" ref="K407">IF(ROWS(K$20:K407)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407))))</f>
        <v>41417</v>
      </c>
      <c r="L407" s="4" t="str">
        <f t="array" ref="L407">IF(ROWS(L$20:L407)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407))))</f>
        <v>Galen  Barth</v>
      </c>
      <c r="M407" s="4">
        <f t="array" ref="M407">IF(ROWS(M$20:M407)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407))))</f>
        <v>29</v>
      </c>
    </row>
    <row r="408" spans="1:13" x14ac:dyDescent="0.25">
      <c r="A408" s="3">
        <v>41377</v>
      </c>
      <c r="B408" s="2" t="s">
        <v>37</v>
      </c>
      <c r="C408" s="2">
        <v>12</v>
      </c>
      <c r="G408" s="7">
        <f t="array" ref="G408">IF(ROWS(K$20:K408)&gt;$F$6,"",INDEX(A$2:A$10000,SMALL(IF(ISNUMBER(MATCH($B$2:$B$10000,$E$6:$E$22,0)),ROW($C$2:$C$10000)-ROW($C$2)+1),ROWS(K$20:K408))))</f>
        <v>41586</v>
      </c>
      <c r="H408" s="4" t="str">
        <f t="array" ref="H408">IF(ROWS(L$20:L408)&gt;$F$6,"",INDEX(B$2:B$10000,SMALL(IF(ISNUMBER(MATCH($B$2:$B$10000,$E$6:$E$22,0)),ROW($C$2:$C$10000)-ROW($C$2)+1),ROWS(L$20:L408))))</f>
        <v>Galen  Barth</v>
      </c>
      <c r="I408" s="4">
        <f t="array" ref="I408">IF(ROWS(M$20:M408)&gt;$F$6,"",INDEX(C$2:C$10000,SMALL(IF(ISNUMBER(MATCH($B$2:$B$10000,$E$6:$E$22,0)),ROW($C$2:$C$10000)-ROW($C$2)+1),ROWS(M$20:M408))))</f>
        <v>27</v>
      </c>
      <c r="K408" s="7">
        <f t="array" ref="K408">IF(ROWS(K$20:K408)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408))))</f>
        <v>41586</v>
      </c>
      <c r="L408" s="4" t="str">
        <f t="array" ref="L408">IF(ROWS(L$20:L408)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408))))</f>
        <v>Galen  Barth</v>
      </c>
      <c r="M408" s="4">
        <f t="array" ref="M408">IF(ROWS(M$20:M408)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408))))</f>
        <v>27</v>
      </c>
    </row>
    <row r="409" spans="1:13" x14ac:dyDescent="0.25">
      <c r="A409" s="3">
        <v>41762</v>
      </c>
      <c r="B409" s="2" t="s">
        <v>50</v>
      </c>
      <c r="C409" s="2">
        <v>60</v>
      </c>
      <c r="G409" s="7">
        <f t="array" ref="G409">IF(ROWS(K$20:K409)&gt;$F$6,"",INDEX(A$2:A$10000,SMALL(IF(ISNUMBER(MATCH($B$2:$B$10000,$E$6:$E$22,0)),ROW($C$2:$C$10000)-ROW($C$2)+1),ROWS(K$20:K409))))</f>
        <v>41473</v>
      </c>
      <c r="H409" s="4" t="str">
        <f t="array" ref="H409">IF(ROWS(L$20:L409)&gt;$F$6,"",INDEX(B$2:B$10000,SMALL(IF(ISNUMBER(MATCH($B$2:$B$10000,$E$6:$E$22,0)),ROW($C$2:$C$10000)-ROW($C$2)+1),ROWS(L$20:L409))))</f>
        <v>Jenni  Thorton</v>
      </c>
      <c r="I409" s="4">
        <f t="array" ref="I409">IF(ROWS(M$20:M409)&gt;$F$6,"",INDEX(C$2:C$10000,SMALL(IF(ISNUMBER(MATCH($B$2:$B$10000,$E$6:$E$22,0)),ROW($C$2:$C$10000)-ROW($C$2)+1),ROWS(M$20:M409))))</f>
        <v>25</v>
      </c>
      <c r="K409" s="7">
        <f t="array" ref="K409">IF(ROWS(K$20:K409)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409))))</f>
        <v>41473</v>
      </c>
      <c r="L409" s="4" t="str">
        <f t="array" ref="L409">IF(ROWS(L$20:L409)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409))))</f>
        <v>Jenni  Thorton</v>
      </c>
      <c r="M409" s="4">
        <f t="array" ref="M409">IF(ROWS(M$20:M409)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409))))</f>
        <v>25</v>
      </c>
    </row>
    <row r="410" spans="1:13" x14ac:dyDescent="0.25">
      <c r="A410" s="3">
        <v>41999</v>
      </c>
      <c r="B410" s="2" t="s">
        <v>47</v>
      </c>
      <c r="C410" s="2">
        <v>37</v>
      </c>
      <c r="G410" s="7">
        <f t="array" ref="G410">IF(ROWS(K$20:K410)&gt;$F$6,"",INDEX(A$2:A$10000,SMALL(IF(ISNUMBER(MATCH($B$2:$B$10000,$E$6:$E$22,0)),ROW($C$2:$C$10000)-ROW($C$2)+1),ROWS(K$20:K410))))</f>
        <v>41345</v>
      </c>
      <c r="H410" s="4" t="str">
        <f t="array" ref="H410">IF(ROWS(L$20:L410)&gt;$F$6,"",INDEX(B$2:B$10000,SMALL(IF(ISNUMBER(MATCH($B$2:$B$10000,$E$6:$E$22,0)),ROW($C$2:$C$10000)-ROW($C$2)+1),ROWS(L$20:L410))))</f>
        <v>Iliana  Valerio</v>
      </c>
      <c r="I410" s="4">
        <f t="array" ref="I410">IF(ROWS(M$20:M410)&gt;$F$6,"",INDEX(C$2:C$10000,SMALL(IF(ISNUMBER(MATCH($B$2:$B$10000,$E$6:$E$22,0)),ROW($C$2:$C$10000)-ROW($C$2)+1),ROWS(M$20:M410))))</f>
        <v>5</v>
      </c>
      <c r="K410" s="7">
        <f t="array" ref="K410">IF(ROWS(K$20:K410)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410))))</f>
        <v>41345</v>
      </c>
      <c r="L410" s="4" t="str">
        <f t="array" ref="L410">IF(ROWS(L$20:L410)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410))))</f>
        <v>Iliana  Valerio</v>
      </c>
      <c r="M410" s="4">
        <f t="array" ref="M410">IF(ROWS(M$20:M410)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410))))</f>
        <v>5</v>
      </c>
    </row>
    <row r="411" spans="1:13" x14ac:dyDescent="0.25">
      <c r="A411" s="3">
        <v>41803</v>
      </c>
      <c r="B411" s="2" t="s">
        <v>30</v>
      </c>
      <c r="C411" s="2">
        <v>53</v>
      </c>
      <c r="G411" s="7">
        <f t="array" ref="G411">IF(ROWS(K$20:K411)&gt;$F$6,"",INDEX(A$2:A$10000,SMALL(IF(ISNUMBER(MATCH($B$2:$B$10000,$E$6:$E$22,0)),ROW($C$2:$C$10000)-ROW($C$2)+1),ROWS(K$20:K411))))</f>
        <v>41506</v>
      </c>
      <c r="H411" s="4" t="str">
        <f t="array" ref="H411">IF(ROWS(L$20:L411)&gt;$F$6,"",INDEX(B$2:B$10000,SMALL(IF(ISNUMBER(MATCH($B$2:$B$10000,$E$6:$E$22,0)),ROW($C$2:$C$10000)-ROW($C$2)+1),ROWS(L$20:L411))))</f>
        <v>Mickey  Bolduc</v>
      </c>
      <c r="I411" s="4">
        <f t="array" ref="I411">IF(ROWS(M$20:M411)&gt;$F$6,"",INDEX(C$2:C$10000,SMALL(IF(ISNUMBER(MATCH($B$2:$B$10000,$E$6:$E$22,0)),ROW($C$2:$C$10000)-ROW($C$2)+1),ROWS(M$20:M411))))</f>
        <v>46</v>
      </c>
      <c r="K411" s="7">
        <f t="array" ref="K411">IF(ROWS(K$20:K411)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411))))</f>
        <v>41506</v>
      </c>
      <c r="L411" s="4" t="str">
        <f t="array" ref="L411">IF(ROWS(L$20:L411)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411))))</f>
        <v>Mickey  Bolduc</v>
      </c>
      <c r="M411" s="4">
        <f t="array" ref="M411">IF(ROWS(M$20:M411)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411))))</f>
        <v>46</v>
      </c>
    </row>
    <row r="412" spans="1:13" x14ac:dyDescent="0.25">
      <c r="A412" s="3">
        <v>41787</v>
      </c>
      <c r="B412" s="2" t="s">
        <v>5</v>
      </c>
      <c r="C412" s="2">
        <v>31</v>
      </c>
      <c r="G412" s="7">
        <f t="array" ref="G412">IF(ROWS(K$20:K412)&gt;$F$6,"",INDEX(A$2:A$10000,SMALL(IF(ISNUMBER(MATCH($B$2:$B$10000,$E$6:$E$22,0)),ROW($C$2:$C$10000)-ROW($C$2)+1),ROWS(K$20:K412))))</f>
        <v>41477</v>
      </c>
      <c r="H412" s="4" t="str">
        <f t="array" ref="H412">IF(ROWS(L$20:L412)&gt;$F$6,"",INDEX(B$2:B$10000,SMALL(IF(ISNUMBER(MATCH($B$2:$B$10000,$E$6:$E$22,0)),ROW($C$2:$C$10000)-ROW($C$2)+1),ROWS(L$20:L412))))</f>
        <v>Kerrie  Worrell</v>
      </c>
      <c r="I412" s="4">
        <f t="array" ref="I412">IF(ROWS(M$20:M412)&gt;$F$6,"",INDEX(C$2:C$10000,SMALL(IF(ISNUMBER(MATCH($B$2:$B$10000,$E$6:$E$22,0)),ROW($C$2:$C$10000)-ROW($C$2)+1),ROWS(M$20:M412))))</f>
        <v>17</v>
      </c>
      <c r="K412" s="7">
        <f t="array" ref="K412">IF(ROWS(K$20:K412)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412))))</f>
        <v>41477</v>
      </c>
      <c r="L412" s="4" t="str">
        <f t="array" ref="L412">IF(ROWS(L$20:L412)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412))))</f>
        <v>Kerrie  Worrell</v>
      </c>
      <c r="M412" s="4">
        <f t="array" ref="M412">IF(ROWS(M$20:M412)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412))))</f>
        <v>17</v>
      </c>
    </row>
    <row r="413" spans="1:13" x14ac:dyDescent="0.25">
      <c r="A413" s="3">
        <v>41777</v>
      </c>
      <c r="B413" s="2" t="s">
        <v>35</v>
      </c>
      <c r="C413" s="2">
        <v>14</v>
      </c>
      <c r="G413" s="7">
        <f t="array" ref="G413">IF(ROWS(K$20:K413)&gt;$F$6,"",INDEX(A$2:A$10000,SMALL(IF(ISNUMBER(MATCH($B$2:$B$10000,$E$6:$E$22,0)),ROW($C$2:$C$10000)-ROW($C$2)+1),ROWS(K$20:K413))))</f>
        <v>41473</v>
      </c>
      <c r="H413" s="4" t="str">
        <f t="array" ref="H413">IF(ROWS(L$20:L413)&gt;$F$6,"",INDEX(B$2:B$10000,SMALL(IF(ISNUMBER(MATCH($B$2:$B$10000,$E$6:$E$22,0)),ROW($C$2:$C$10000)-ROW($C$2)+1),ROWS(L$20:L413))))</f>
        <v>Rosamond  Allard</v>
      </c>
      <c r="I413" s="4">
        <f t="array" ref="I413">IF(ROWS(M$20:M413)&gt;$F$6,"",INDEX(C$2:C$10000,SMALL(IF(ISNUMBER(MATCH($B$2:$B$10000,$E$6:$E$22,0)),ROW($C$2:$C$10000)-ROW($C$2)+1),ROWS(M$20:M413))))</f>
        <v>17</v>
      </c>
      <c r="K413" s="7">
        <f t="array" ref="K413">IF(ROWS(K$20:K413)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413))))</f>
        <v>41473</v>
      </c>
      <c r="L413" s="4" t="str">
        <f t="array" ref="L413">IF(ROWS(L$20:L413)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413))))</f>
        <v>Rosamond  Allard</v>
      </c>
      <c r="M413" s="4">
        <f t="array" ref="M413">IF(ROWS(M$20:M413)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413))))</f>
        <v>17</v>
      </c>
    </row>
    <row r="414" spans="1:13" x14ac:dyDescent="0.25">
      <c r="A414" s="3">
        <v>41971</v>
      </c>
      <c r="B414" s="2" t="s">
        <v>20</v>
      </c>
      <c r="C414" s="2">
        <v>52</v>
      </c>
      <c r="G414" s="7">
        <f t="array" ref="G414">IF(ROWS(K$20:K414)&gt;$F$6,"",INDEX(A$2:A$10000,SMALL(IF(ISNUMBER(MATCH($B$2:$B$10000,$E$6:$E$22,0)),ROW($C$2:$C$10000)-ROW($C$2)+1),ROWS(K$20:K414))))</f>
        <v>41722</v>
      </c>
      <c r="H414" s="4" t="str">
        <f t="array" ref="H414">IF(ROWS(L$20:L414)&gt;$F$6,"",INDEX(B$2:B$10000,SMALL(IF(ISNUMBER(MATCH($B$2:$B$10000,$E$6:$E$22,0)),ROW($C$2:$C$10000)-ROW($C$2)+1),ROWS(L$20:L414))))</f>
        <v>Rosamond  Allard</v>
      </c>
      <c r="I414" s="4">
        <f t="array" ref="I414">IF(ROWS(M$20:M414)&gt;$F$6,"",INDEX(C$2:C$10000,SMALL(IF(ISNUMBER(MATCH($B$2:$B$10000,$E$6:$E$22,0)),ROW($C$2:$C$10000)-ROW($C$2)+1),ROWS(M$20:M414))))</f>
        <v>42</v>
      </c>
      <c r="K414" s="7">
        <f t="array" ref="K414">IF(ROWS(K$20:K414)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414))))</f>
        <v>41722</v>
      </c>
      <c r="L414" s="4" t="str">
        <f t="array" ref="L414">IF(ROWS(L$20:L414)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414))))</f>
        <v>Rosamond  Allard</v>
      </c>
      <c r="M414" s="4">
        <f t="array" ref="M414">IF(ROWS(M$20:M414)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414))))</f>
        <v>42</v>
      </c>
    </row>
    <row r="415" spans="1:13" x14ac:dyDescent="0.25">
      <c r="A415" s="3">
        <v>41787</v>
      </c>
      <c r="B415" s="2" t="s">
        <v>41</v>
      </c>
      <c r="C415" s="2">
        <v>35</v>
      </c>
      <c r="G415" s="7">
        <f t="array" ref="G415">IF(ROWS(K$20:K415)&gt;$F$6,"",INDEX(A$2:A$10000,SMALL(IF(ISNUMBER(MATCH($B$2:$B$10000,$E$6:$E$22,0)),ROW($C$2:$C$10000)-ROW($C$2)+1),ROWS(K$20:K415))))</f>
        <v>41294</v>
      </c>
      <c r="H415" s="4" t="str">
        <f t="array" ref="H415">IF(ROWS(L$20:L415)&gt;$F$6,"",INDEX(B$2:B$10000,SMALL(IF(ISNUMBER(MATCH($B$2:$B$10000,$E$6:$E$22,0)),ROW($C$2:$C$10000)-ROW($C$2)+1),ROWS(L$20:L415))))</f>
        <v>Mickey  Bolduc</v>
      </c>
      <c r="I415" s="4">
        <f t="array" ref="I415">IF(ROWS(M$20:M415)&gt;$F$6,"",INDEX(C$2:C$10000,SMALL(IF(ISNUMBER(MATCH($B$2:$B$10000,$E$6:$E$22,0)),ROW($C$2:$C$10000)-ROW($C$2)+1),ROWS(M$20:M415))))</f>
        <v>44</v>
      </c>
      <c r="K415" s="7">
        <f t="array" ref="K415">IF(ROWS(K$20:K415)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415))))</f>
        <v>41294</v>
      </c>
      <c r="L415" s="4" t="str">
        <f t="array" ref="L415">IF(ROWS(L$20:L415)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415))))</f>
        <v>Mickey  Bolduc</v>
      </c>
      <c r="M415" s="4">
        <f t="array" ref="M415">IF(ROWS(M$20:M415)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415))))</f>
        <v>44</v>
      </c>
    </row>
    <row r="416" spans="1:13" x14ac:dyDescent="0.25">
      <c r="A416" s="3">
        <v>41672</v>
      </c>
      <c r="B416" s="2" t="s">
        <v>18</v>
      </c>
      <c r="C416" s="2">
        <v>22</v>
      </c>
      <c r="G416" s="7">
        <f t="array" ref="G416">IF(ROWS(K$20:K416)&gt;$F$6,"",INDEX(A$2:A$10000,SMALL(IF(ISNUMBER(MATCH($B$2:$B$10000,$E$6:$E$22,0)),ROW($C$2:$C$10000)-ROW($C$2)+1),ROWS(K$20:K416))))</f>
        <v>41792</v>
      </c>
      <c r="H416" s="4" t="str">
        <f t="array" ref="H416">IF(ROWS(L$20:L416)&gt;$F$6,"",INDEX(B$2:B$10000,SMALL(IF(ISNUMBER(MATCH($B$2:$B$10000,$E$6:$E$22,0)),ROW($C$2:$C$10000)-ROW($C$2)+1),ROWS(L$20:L416))))</f>
        <v>Rosamond  Allard</v>
      </c>
      <c r="I416" s="4">
        <f t="array" ref="I416">IF(ROWS(M$20:M416)&gt;$F$6,"",INDEX(C$2:C$10000,SMALL(IF(ISNUMBER(MATCH($B$2:$B$10000,$E$6:$E$22,0)),ROW($C$2:$C$10000)-ROW($C$2)+1),ROWS(M$20:M416))))</f>
        <v>43</v>
      </c>
      <c r="K416" s="7">
        <f t="array" ref="K416">IF(ROWS(K$20:K416)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416))))</f>
        <v>41792</v>
      </c>
      <c r="L416" s="4" t="str">
        <f t="array" ref="L416">IF(ROWS(L$20:L416)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416))))</f>
        <v>Rosamond  Allard</v>
      </c>
      <c r="M416" s="4">
        <f t="array" ref="M416">IF(ROWS(M$20:M416)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416))))</f>
        <v>43</v>
      </c>
    </row>
    <row r="417" spans="1:13" x14ac:dyDescent="0.25">
      <c r="A417" s="3">
        <v>41361</v>
      </c>
      <c r="B417" s="2" t="s">
        <v>5</v>
      </c>
      <c r="C417" s="2">
        <v>25</v>
      </c>
      <c r="G417" s="7">
        <f t="array" ref="G417">IF(ROWS(K$20:K417)&gt;$F$6,"",INDEX(A$2:A$10000,SMALL(IF(ISNUMBER(MATCH($B$2:$B$10000,$E$6:$E$22,0)),ROW($C$2:$C$10000)-ROW($C$2)+1),ROWS(K$20:K417))))</f>
        <v>41827</v>
      </c>
      <c r="H417" s="4" t="str">
        <f t="array" ref="H417">IF(ROWS(L$20:L417)&gt;$F$6,"",INDEX(B$2:B$10000,SMALL(IF(ISNUMBER(MATCH($B$2:$B$10000,$E$6:$E$22,0)),ROW($C$2:$C$10000)-ROW($C$2)+1),ROWS(L$20:L417))))</f>
        <v>Kerrie  Worrell</v>
      </c>
      <c r="I417" s="4">
        <f t="array" ref="I417">IF(ROWS(M$20:M417)&gt;$F$6,"",INDEX(C$2:C$10000,SMALL(IF(ISNUMBER(MATCH($B$2:$B$10000,$E$6:$E$22,0)),ROW($C$2:$C$10000)-ROW($C$2)+1),ROWS(M$20:M417))))</f>
        <v>44</v>
      </c>
      <c r="K417" s="7">
        <f t="array" ref="K417">IF(ROWS(K$20:K417)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417))))</f>
        <v>41827</v>
      </c>
      <c r="L417" s="4" t="str">
        <f t="array" ref="L417">IF(ROWS(L$20:L417)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417))))</f>
        <v>Kerrie  Worrell</v>
      </c>
      <c r="M417" s="4">
        <f t="array" ref="M417">IF(ROWS(M$20:M417)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417))))</f>
        <v>44</v>
      </c>
    </row>
    <row r="418" spans="1:13" x14ac:dyDescent="0.25">
      <c r="A418" s="3">
        <v>41321</v>
      </c>
      <c r="B418" s="2" t="s">
        <v>30</v>
      </c>
      <c r="C418" s="2">
        <v>27</v>
      </c>
      <c r="G418" s="7">
        <f t="array" ref="G418">IF(ROWS(K$20:K418)&gt;$F$6,"",INDEX(A$2:A$10000,SMALL(IF(ISNUMBER(MATCH($B$2:$B$10000,$E$6:$E$22,0)),ROW($C$2:$C$10000)-ROW($C$2)+1),ROWS(K$20:K418))))</f>
        <v>41968</v>
      </c>
      <c r="H418" s="4" t="str">
        <f t="array" ref="H418">IF(ROWS(L$20:L418)&gt;$F$6,"",INDEX(B$2:B$10000,SMALL(IF(ISNUMBER(MATCH($B$2:$B$10000,$E$6:$E$22,0)),ROW($C$2:$C$10000)-ROW($C$2)+1),ROWS(L$20:L418))))</f>
        <v>Rosamond  Allard</v>
      </c>
      <c r="I418" s="4">
        <f t="array" ref="I418">IF(ROWS(M$20:M418)&gt;$F$6,"",INDEX(C$2:C$10000,SMALL(IF(ISNUMBER(MATCH($B$2:$B$10000,$E$6:$E$22,0)),ROW($C$2:$C$10000)-ROW($C$2)+1),ROWS(M$20:M418))))</f>
        <v>25</v>
      </c>
      <c r="K418" s="7">
        <f t="array" ref="K418">IF(ROWS(K$20:K418)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418))))</f>
        <v>41968</v>
      </c>
      <c r="L418" s="4" t="str">
        <f t="array" ref="L418">IF(ROWS(L$20:L418)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418))))</f>
        <v>Rosamond  Allard</v>
      </c>
      <c r="M418" s="4">
        <f t="array" ref="M418">IF(ROWS(M$20:M418)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418))))</f>
        <v>25</v>
      </c>
    </row>
    <row r="419" spans="1:13" x14ac:dyDescent="0.25">
      <c r="A419" s="3">
        <v>41324</v>
      </c>
      <c r="B419" s="2" t="s">
        <v>31</v>
      </c>
      <c r="C419" s="2">
        <v>11</v>
      </c>
      <c r="G419" s="7">
        <f t="array" ref="G419">IF(ROWS(K$20:K419)&gt;$F$6,"",INDEX(A$2:A$10000,SMALL(IF(ISNUMBER(MATCH($B$2:$B$10000,$E$6:$E$22,0)),ROW($C$2:$C$10000)-ROW($C$2)+1),ROWS(K$20:K419))))</f>
        <v>41904</v>
      </c>
      <c r="H419" s="4" t="str">
        <f t="array" ref="H419">IF(ROWS(L$20:L419)&gt;$F$6,"",INDEX(B$2:B$10000,SMALL(IF(ISNUMBER(MATCH($B$2:$B$10000,$E$6:$E$22,0)),ROW($C$2:$C$10000)-ROW($C$2)+1),ROWS(L$20:L419))))</f>
        <v>Kerrie  Worrell</v>
      </c>
      <c r="I419" s="4">
        <f t="array" ref="I419">IF(ROWS(M$20:M419)&gt;$F$6,"",INDEX(C$2:C$10000,SMALL(IF(ISNUMBER(MATCH($B$2:$B$10000,$E$6:$E$22,0)),ROW($C$2:$C$10000)-ROW($C$2)+1),ROWS(M$20:M419))))</f>
        <v>12</v>
      </c>
      <c r="K419" s="7">
        <f t="array" ref="K419">IF(ROWS(K$20:K419)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419))))</f>
        <v>41904</v>
      </c>
      <c r="L419" s="4" t="str">
        <f t="array" ref="L419">IF(ROWS(L$20:L419)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419))))</f>
        <v>Kerrie  Worrell</v>
      </c>
      <c r="M419" s="4">
        <f t="array" ref="M419">IF(ROWS(M$20:M419)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419))))</f>
        <v>12</v>
      </c>
    </row>
    <row r="420" spans="1:13" x14ac:dyDescent="0.25">
      <c r="A420" s="3">
        <v>41578</v>
      </c>
      <c r="B420" s="2" t="s">
        <v>44</v>
      </c>
      <c r="C420" s="2">
        <v>25</v>
      </c>
      <c r="G420" s="7">
        <f t="array" ref="G420">IF(ROWS(K$20:K420)&gt;$F$6,"",INDEX(A$2:A$10000,SMALL(IF(ISNUMBER(MATCH($B$2:$B$10000,$E$6:$E$22,0)),ROW($C$2:$C$10000)-ROW($C$2)+1),ROWS(K$20:K420))))</f>
        <v>41466</v>
      </c>
      <c r="H420" s="4" t="str">
        <f t="array" ref="H420">IF(ROWS(L$20:L420)&gt;$F$6,"",INDEX(B$2:B$10000,SMALL(IF(ISNUMBER(MATCH($B$2:$B$10000,$E$6:$E$22,0)),ROW($C$2:$C$10000)-ROW($C$2)+1),ROWS(L$20:L420))))</f>
        <v>Jenni  Thorton</v>
      </c>
      <c r="I420" s="4">
        <f t="array" ref="I420">IF(ROWS(M$20:M420)&gt;$F$6,"",INDEX(C$2:C$10000,SMALL(IF(ISNUMBER(MATCH($B$2:$B$10000,$E$6:$E$22,0)),ROW($C$2:$C$10000)-ROW($C$2)+1),ROWS(M$20:M420))))</f>
        <v>17</v>
      </c>
      <c r="K420" s="7">
        <f t="array" ref="K420">IF(ROWS(K$20:K420)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420))))</f>
        <v>41466</v>
      </c>
      <c r="L420" s="4" t="str">
        <f t="array" ref="L420">IF(ROWS(L$20:L420)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420))))</f>
        <v>Jenni  Thorton</v>
      </c>
      <c r="M420" s="4">
        <f t="array" ref="M420">IF(ROWS(M$20:M420)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420))))</f>
        <v>17</v>
      </c>
    </row>
    <row r="421" spans="1:13" x14ac:dyDescent="0.25">
      <c r="A421" s="3">
        <v>41954</v>
      </c>
      <c r="B421" s="2" t="s">
        <v>38</v>
      </c>
      <c r="C421" s="2">
        <v>28</v>
      </c>
      <c r="G421" s="7">
        <f t="array" ref="G421">IF(ROWS(K$20:K421)&gt;$F$6,"",INDEX(A$2:A$10000,SMALL(IF(ISNUMBER(MATCH($B$2:$B$10000,$E$6:$E$22,0)),ROW($C$2:$C$10000)-ROW($C$2)+1),ROWS(K$20:K421))))</f>
        <v>41570</v>
      </c>
      <c r="H421" s="4" t="str">
        <f t="array" ref="H421">IF(ROWS(L$20:L421)&gt;$F$6,"",INDEX(B$2:B$10000,SMALL(IF(ISNUMBER(MATCH($B$2:$B$10000,$E$6:$E$22,0)),ROW($C$2:$C$10000)-ROW($C$2)+1),ROWS(L$20:L421))))</f>
        <v>Mickey  Bolduc</v>
      </c>
      <c r="I421" s="4">
        <f t="array" ref="I421">IF(ROWS(M$20:M421)&gt;$F$6,"",INDEX(C$2:C$10000,SMALL(IF(ISNUMBER(MATCH($B$2:$B$10000,$E$6:$E$22,0)),ROW($C$2:$C$10000)-ROW($C$2)+1),ROWS(M$20:M421))))</f>
        <v>30</v>
      </c>
      <c r="K421" s="7">
        <f t="array" ref="K421">IF(ROWS(K$20:K421)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421))))</f>
        <v>41570</v>
      </c>
      <c r="L421" s="4" t="str">
        <f t="array" ref="L421">IF(ROWS(L$20:L421)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421))))</f>
        <v>Mickey  Bolduc</v>
      </c>
      <c r="M421" s="4">
        <f t="array" ref="M421">IF(ROWS(M$20:M421)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421))))</f>
        <v>30</v>
      </c>
    </row>
    <row r="422" spans="1:13" x14ac:dyDescent="0.25">
      <c r="A422" s="3">
        <v>41629</v>
      </c>
      <c r="B422" s="2" t="s">
        <v>35</v>
      </c>
      <c r="C422" s="2">
        <v>22</v>
      </c>
      <c r="G422" s="7">
        <f t="array" ref="G422">IF(ROWS(K$20:K422)&gt;$F$6,"",INDEX(A$2:A$10000,SMALL(IF(ISNUMBER(MATCH($B$2:$B$10000,$E$6:$E$22,0)),ROW($C$2:$C$10000)-ROW($C$2)+1),ROWS(K$20:K422))))</f>
        <v>41681</v>
      </c>
      <c r="H422" s="4" t="str">
        <f t="array" ref="H422">IF(ROWS(L$20:L422)&gt;$F$6,"",INDEX(B$2:B$10000,SMALL(IF(ISNUMBER(MATCH($B$2:$B$10000,$E$6:$E$22,0)),ROW($C$2:$C$10000)-ROW($C$2)+1),ROWS(L$20:L422))))</f>
        <v>Jenni  Thorton</v>
      </c>
      <c r="I422" s="4">
        <f t="array" ref="I422">IF(ROWS(M$20:M422)&gt;$F$6,"",INDEX(C$2:C$10000,SMALL(IF(ISNUMBER(MATCH($B$2:$B$10000,$E$6:$E$22,0)),ROW($C$2:$C$10000)-ROW($C$2)+1),ROWS(M$20:M422))))</f>
        <v>46</v>
      </c>
      <c r="K422" s="7">
        <f t="array" ref="K422">IF(ROWS(K$20:K422)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422))))</f>
        <v>41681</v>
      </c>
      <c r="L422" s="4" t="str">
        <f t="array" ref="L422">IF(ROWS(L$20:L422)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422))))</f>
        <v>Jenni  Thorton</v>
      </c>
      <c r="M422" s="4">
        <f t="array" ref="M422">IF(ROWS(M$20:M422)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422))))</f>
        <v>46</v>
      </c>
    </row>
    <row r="423" spans="1:13" x14ac:dyDescent="0.25">
      <c r="A423" s="3">
        <v>41528</v>
      </c>
      <c r="B423" s="2" t="s">
        <v>2</v>
      </c>
      <c r="C423" s="2">
        <v>16</v>
      </c>
      <c r="G423" s="7">
        <f t="array" ref="G423">IF(ROWS(K$20:K423)&gt;$F$6,"",INDEX(A$2:A$10000,SMALL(IF(ISNUMBER(MATCH($B$2:$B$10000,$E$6:$E$22,0)),ROW($C$2:$C$10000)-ROW($C$2)+1),ROWS(K$20:K423))))</f>
        <v>41770</v>
      </c>
      <c r="H423" s="4" t="str">
        <f t="array" ref="H423">IF(ROWS(L$20:L423)&gt;$F$6,"",INDEX(B$2:B$10000,SMALL(IF(ISNUMBER(MATCH($B$2:$B$10000,$E$6:$E$22,0)),ROW($C$2:$C$10000)-ROW($C$2)+1),ROWS(L$20:L423))))</f>
        <v>Jenni  Thorton</v>
      </c>
      <c r="I423" s="4">
        <f t="array" ref="I423">IF(ROWS(M$20:M423)&gt;$F$6,"",INDEX(C$2:C$10000,SMALL(IF(ISNUMBER(MATCH($B$2:$B$10000,$E$6:$E$22,0)),ROW($C$2:$C$10000)-ROW($C$2)+1),ROWS(M$20:M423))))</f>
        <v>20</v>
      </c>
      <c r="K423" s="7">
        <f t="array" ref="K423">IF(ROWS(K$20:K423)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423))))</f>
        <v>41770</v>
      </c>
      <c r="L423" s="4" t="str">
        <f t="array" ref="L423">IF(ROWS(L$20:L423)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423))))</f>
        <v>Jenni  Thorton</v>
      </c>
      <c r="M423" s="4">
        <f t="array" ref="M423">IF(ROWS(M$20:M423)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423))))</f>
        <v>20</v>
      </c>
    </row>
    <row r="424" spans="1:13" x14ac:dyDescent="0.25">
      <c r="A424" s="3">
        <v>41694</v>
      </c>
      <c r="B424" s="2" t="s">
        <v>7</v>
      </c>
      <c r="C424" s="2">
        <v>26</v>
      </c>
      <c r="G424" s="7">
        <f t="array" ref="G424">IF(ROWS(K$20:K424)&gt;$F$6,"",INDEX(A$2:A$10000,SMALL(IF(ISNUMBER(MATCH($B$2:$B$10000,$E$6:$E$22,0)),ROW($C$2:$C$10000)-ROW($C$2)+1),ROWS(K$20:K424))))</f>
        <v>41841</v>
      </c>
      <c r="H424" s="4" t="str">
        <f t="array" ref="H424">IF(ROWS(L$20:L424)&gt;$F$6,"",INDEX(B$2:B$10000,SMALL(IF(ISNUMBER(MATCH($B$2:$B$10000,$E$6:$E$22,0)),ROW($C$2:$C$10000)-ROW($C$2)+1),ROWS(L$20:L424))))</f>
        <v>Iliana  Valerio</v>
      </c>
      <c r="I424" s="4">
        <f t="array" ref="I424">IF(ROWS(M$20:M424)&gt;$F$6,"",INDEX(C$2:C$10000,SMALL(IF(ISNUMBER(MATCH($B$2:$B$10000,$E$6:$E$22,0)),ROW($C$2:$C$10000)-ROW($C$2)+1),ROWS(M$20:M424))))</f>
        <v>36</v>
      </c>
      <c r="K424" s="7">
        <f t="array" ref="K424">IF(ROWS(K$20:K424)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424))))</f>
        <v>41841</v>
      </c>
      <c r="L424" s="4" t="str">
        <f t="array" ref="L424">IF(ROWS(L$20:L424)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424))))</f>
        <v>Iliana  Valerio</v>
      </c>
      <c r="M424" s="4">
        <f t="array" ref="M424">IF(ROWS(M$20:M424)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424))))</f>
        <v>36</v>
      </c>
    </row>
    <row r="425" spans="1:13" x14ac:dyDescent="0.25">
      <c r="A425" s="3">
        <v>41628</v>
      </c>
      <c r="B425" s="2" t="s">
        <v>2</v>
      </c>
      <c r="C425" s="2">
        <v>13</v>
      </c>
      <c r="G425" s="7">
        <f t="array" ref="G425">IF(ROWS(K$20:K425)&gt;$F$6,"",INDEX(A$2:A$10000,SMALL(IF(ISNUMBER(MATCH($B$2:$B$10000,$E$6:$E$22,0)),ROW($C$2:$C$10000)-ROW($C$2)+1),ROWS(K$20:K425))))</f>
        <v>41583</v>
      </c>
      <c r="H425" s="4" t="str">
        <f t="array" ref="H425">IF(ROWS(L$20:L425)&gt;$F$6,"",INDEX(B$2:B$10000,SMALL(IF(ISNUMBER(MATCH($B$2:$B$10000,$E$6:$E$22,0)),ROW($C$2:$C$10000)-ROW($C$2)+1),ROWS(L$20:L425))))</f>
        <v>Jenni  Thorton</v>
      </c>
      <c r="I425" s="4">
        <f t="array" ref="I425">IF(ROWS(M$20:M425)&gt;$F$6,"",INDEX(C$2:C$10000,SMALL(IF(ISNUMBER(MATCH($B$2:$B$10000,$E$6:$E$22,0)),ROW($C$2:$C$10000)-ROW($C$2)+1),ROWS(M$20:M425))))</f>
        <v>11</v>
      </c>
      <c r="K425" s="7">
        <f t="array" ref="K425">IF(ROWS(K$20:K425)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425))))</f>
        <v>41583</v>
      </c>
      <c r="L425" s="4" t="str">
        <f t="array" ref="L425">IF(ROWS(L$20:L425)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425))))</f>
        <v>Jenni  Thorton</v>
      </c>
      <c r="M425" s="4">
        <f t="array" ref="M425">IF(ROWS(M$20:M425)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425))))</f>
        <v>11</v>
      </c>
    </row>
    <row r="426" spans="1:13" x14ac:dyDescent="0.25">
      <c r="A426" s="3">
        <v>41723</v>
      </c>
      <c r="B426" s="2" t="s">
        <v>15</v>
      </c>
      <c r="C426" s="2">
        <v>5</v>
      </c>
      <c r="G426" s="7">
        <f t="array" ref="G426">IF(ROWS(K$20:K426)&gt;$F$6,"",INDEX(A$2:A$10000,SMALL(IF(ISNUMBER(MATCH($B$2:$B$10000,$E$6:$E$22,0)),ROW($C$2:$C$10000)-ROW($C$2)+1),ROWS(K$20:K426))))</f>
        <v>41654</v>
      </c>
      <c r="H426" s="4" t="str">
        <f t="array" ref="H426">IF(ROWS(L$20:L426)&gt;$F$6,"",INDEX(B$2:B$10000,SMALL(IF(ISNUMBER(MATCH($B$2:$B$10000,$E$6:$E$22,0)),ROW($C$2:$C$10000)-ROW($C$2)+1),ROWS(L$20:L426))))</f>
        <v>Mickey  Bolduc</v>
      </c>
      <c r="I426" s="4">
        <f t="array" ref="I426">IF(ROWS(M$20:M426)&gt;$F$6,"",INDEX(C$2:C$10000,SMALL(IF(ISNUMBER(MATCH($B$2:$B$10000,$E$6:$E$22,0)),ROW($C$2:$C$10000)-ROW($C$2)+1),ROWS(M$20:M426))))</f>
        <v>21</v>
      </c>
      <c r="K426" s="7">
        <f t="array" ref="K426">IF(ROWS(K$20:K426)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426))))</f>
        <v>41654</v>
      </c>
      <c r="L426" s="4" t="str">
        <f t="array" ref="L426">IF(ROWS(L$20:L426)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426))))</f>
        <v>Mickey  Bolduc</v>
      </c>
      <c r="M426" s="4">
        <f t="array" ref="M426">IF(ROWS(M$20:M426)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426))))</f>
        <v>21</v>
      </c>
    </row>
    <row r="427" spans="1:13" x14ac:dyDescent="0.25">
      <c r="A427" s="3">
        <v>41789</v>
      </c>
      <c r="B427" s="2" t="s">
        <v>6</v>
      </c>
      <c r="C427" s="2">
        <v>14</v>
      </c>
      <c r="G427" s="7">
        <f t="array" ref="G427">IF(ROWS(K$20:K427)&gt;$F$6,"",INDEX(A$2:A$10000,SMALL(IF(ISNUMBER(MATCH($B$2:$B$10000,$E$6:$E$22,0)),ROW($C$2:$C$10000)-ROW($C$2)+1),ROWS(K$20:K427))))</f>
        <v>41815</v>
      </c>
      <c r="H427" s="4" t="str">
        <f t="array" ref="H427">IF(ROWS(L$20:L427)&gt;$F$6,"",INDEX(B$2:B$10000,SMALL(IF(ISNUMBER(MATCH($B$2:$B$10000,$E$6:$E$22,0)),ROW($C$2:$C$10000)-ROW($C$2)+1),ROWS(L$20:L427))))</f>
        <v>Rosamond  Allard</v>
      </c>
      <c r="I427" s="4">
        <f t="array" ref="I427">IF(ROWS(M$20:M427)&gt;$F$6,"",INDEX(C$2:C$10000,SMALL(IF(ISNUMBER(MATCH($B$2:$B$10000,$E$6:$E$22,0)),ROW($C$2:$C$10000)-ROW($C$2)+1),ROWS(M$20:M427))))</f>
        <v>23</v>
      </c>
      <c r="K427" s="7">
        <f t="array" ref="K427">IF(ROWS(K$20:K427)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427))))</f>
        <v>41815</v>
      </c>
      <c r="L427" s="4" t="str">
        <f t="array" ref="L427">IF(ROWS(L$20:L427)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427))))</f>
        <v>Rosamond  Allard</v>
      </c>
      <c r="M427" s="4">
        <f t="array" ref="M427">IF(ROWS(M$20:M427)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427))))</f>
        <v>23</v>
      </c>
    </row>
    <row r="428" spans="1:13" x14ac:dyDescent="0.25">
      <c r="A428" s="3">
        <v>41504</v>
      </c>
      <c r="B428" s="2" t="s">
        <v>22</v>
      </c>
      <c r="C428" s="2">
        <v>0</v>
      </c>
      <c r="G428" s="7">
        <f t="array" ref="G428">IF(ROWS(K$20:K428)&gt;$F$6,"",INDEX(A$2:A$10000,SMALL(IF(ISNUMBER(MATCH($B$2:$B$10000,$E$6:$E$22,0)),ROW($C$2:$C$10000)-ROW($C$2)+1),ROWS(K$20:K428))))</f>
        <v>41891</v>
      </c>
      <c r="H428" s="4" t="str">
        <f t="array" ref="H428">IF(ROWS(L$20:L428)&gt;$F$6,"",INDEX(B$2:B$10000,SMALL(IF(ISNUMBER(MATCH($B$2:$B$10000,$E$6:$E$22,0)),ROW($C$2:$C$10000)-ROW($C$2)+1),ROWS(L$20:L428))))</f>
        <v>Kerrie  Worrell</v>
      </c>
      <c r="I428" s="4">
        <f t="array" ref="I428">IF(ROWS(M$20:M428)&gt;$F$6,"",INDEX(C$2:C$10000,SMALL(IF(ISNUMBER(MATCH($B$2:$B$10000,$E$6:$E$22,0)),ROW($C$2:$C$10000)-ROW($C$2)+1),ROWS(M$20:M428))))</f>
        <v>38</v>
      </c>
      <c r="K428" s="7">
        <f t="array" ref="K428">IF(ROWS(K$20:K428)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428))))</f>
        <v>41891</v>
      </c>
      <c r="L428" s="4" t="str">
        <f t="array" ref="L428">IF(ROWS(L$20:L428)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428))))</f>
        <v>Kerrie  Worrell</v>
      </c>
      <c r="M428" s="4">
        <f t="array" ref="M428">IF(ROWS(M$20:M428)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428))))</f>
        <v>38</v>
      </c>
    </row>
    <row r="429" spans="1:13" x14ac:dyDescent="0.25">
      <c r="A429" s="3">
        <v>41725</v>
      </c>
      <c r="B429" s="2" t="s">
        <v>35</v>
      </c>
      <c r="C429" s="2">
        <v>17</v>
      </c>
      <c r="G429" s="7">
        <f t="array" ref="G429">IF(ROWS(K$20:K429)&gt;$F$6,"",INDEX(A$2:A$10000,SMALL(IF(ISNUMBER(MATCH($B$2:$B$10000,$E$6:$E$22,0)),ROW($C$2:$C$10000)-ROW($C$2)+1),ROWS(K$20:K429))))</f>
        <v>41582</v>
      </c>
      <c r="H429" s="4" t="str">
        <f t="array" ref="H429">IF(ROWS(L$20:L429)&gt;$F$6,"",INDEX(B$2:B$10000,SMALL(IF(ISNUMBER(MATCH($B$2:$B$10000,$E$6:$E$22,0)),ROW($C$2:$C$10000)-ROW($C$2)+1),ROWS(L$20:L429))))</f>
        <v>Jenni  Thorton</v>
      </c>
      <c r="I429" s="4">
        <f t="array" ref="I429">IF(ROWS(M$20:M429)&gt;$F$6,"",INDEX(C$2:C$10000,SMALL(IF(ISNUMBER(MATCH($B$2:$B$10000,$E$6:$E$22,0)),ROW($C$2:$C$10000)-ROW($C$2)+1),ROWS(M$20:M429))))</f>
        <v>32</v>
      </c>
      <c r="K429" s="7">
        <f t="array" ref="K429">IF(ROWS(K$20:K429)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429))))</f>
        <v>41582</v>
      </c>
      <c r="L429" s="4" t="str">
        <f t="array" ref="L429">IF(ROWS(L$20:L429)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429))))</f>
        <v>Jenni  Thorton</v>
      </c>
      <c r="M429" s="4">
        <f t="array" ref="M429">IF(ROWS(M$20:M429)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429))))</f>
        <v>32</v>
      </c>
    </row>
    <row r="430" spans="1:13" x14ac:dyDescent="0.25">
      <c r="A430" s="3">
        <v>41659</v>
      </c>
      <c r="B430" s="2" t="s">
        <v>35</v>
      </c>
      <c r="C430" s="2">
        <v>45</v>
      </c>
      <c r="G430" s="7">
        <f t="array" ref="G430">IF(ROWS(K$20:K430)&gt;$F$6,"",INDEX(A$2:A$10000,SMALL(IF(ISNUMBER(MATCH($B$2:$B$10000,$E$6:$E$22,0)),ROW($C$2:$C$10000)-ROW($C$2)+1),ROWS(K$20:K430))))</f>
        <v>41341</v>
      </c>
      <c r="H430" s="4" t="str">
        <f t="array" ref="H430">IF(ROWS(L$20:L430)&gt;$F$6,"",INDEX(B$2:B$10000,SMALL(IF(ISNUMBER(MATCH($B$2:$B$10000,$E$6:$E$22,0)),ROW($C$2:$C$10000)-ROW($C$2)+1),ROWS(L$20:L430))))</f>
        <v>Jenni  Thorton</v>
      </c>
      <c r="I430" s="4">
        <f t="array" ref="I430">IF(ROWS(M$20:M430)&gt;$F$6,"",INDEX(C$2:C$10000,SMALL(IF(ISNUMBER(MATCH($B$2:$B$10000,$E$6:$E$22,0)),ROW($C$2:$C$10000)-ROW($C$2)+1),ROWS(M$20:M430))))</f>
        <v>4</v>
      </c>
      <c r="K430" s="7">
        <f t="array" ref="K430">IF(ROWS(K$20:K430)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430))))</f>
        <v>41341</v>
      </c>
      <c r="L430" s="4" t="str">
        <f t="array" ref="L430">IF(ROWS(L$20:L430)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430))))</f>
        <v>Jenni  Thorton</v>
      </c>
      <c r="M430" s="4">
        <f t="array" ref="M430">IF(ROWS(M$20:M430)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430))))</f>
        <v>4</v>
      </c>
    </row>
    <row r="431" spans="1:13" x14ac:dyDescent="0.25">
      <c r="A431" s="3">
        <v>41879</v>
      </c>
      <c r="B431" s="2" t="s">
        <v>13</v>
      </c>
      <c r="C431" s="2">
        <v>21</v>
      </c>
      <c r="G431" s="7">
        <f t="array" ref="G431">IF(ROWS(K$20:K431)&gt;$F$6,"",INDEX(A$2:A$10000,SMALL(IF(ISNUMBER(MATCH($B$2:$B$10000,$E$6:$E$22,0)),ROW($C$2:$C$10000)-ROW($C$2)+1),ROWS(K$20:K431))))</f>
        <v>41290</v>
      </c>
      <c r="H431" s="4" t="str">
        <f t="array" ref="H431">IF(ROWS(L$20:L431)&gt;$F$6,"",INDEX(B$2:B$10000,SMALL(IF(ISNUMBER(MATCH($B$2:$B$10000,$E$6:$E$22,0)),ROW($C$2:$C$10000)-ROW($C$2)+1),ROWS(L$20:L431))))</f>
        <v>Iliana  Valerio</v>
      </c>
      <c r="I431" s="4">
        <f t="array" ref="I431">IF(ROWS(M$20:M431)&gt;$F$6,"",INDEX(C$2:C$10000,SMALL(IF(ISNUMBER(MATCH($B$2:$B$10000,$E$6:$E$22,0)),ROW($C$2:$C$10000)-ROW($C$2)+1),ROWS(M$20:M431))))</f>
        <v>32</v>
      </c>
      <c r="K431" s="7">
        <f t="array" ref="K431">IF(ROWS(K$20:K431)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431))))</f>
        <v>41290</v>
      </c>
      <c r="L431" s="4" t="str">
        <f t="array" ref="L431">IF(ROWS(L$20:L431)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431))))</f>
        <v>Iliana  Valerio</v>
      </c>
      <c r="M431" s="4">
        <f t="array" ref="M431">IF(ROWS(M$20:M431)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431))))</f>
        <v>32</v>
      </c>
    </row>
    <row r="432" spans="1:13" x14ac:dyDescent="0.25">
      <c r="A432" s="3">
        <v>41286</v>
      </c>
      <c r="B432" s="2" t="s">
        <v>3</v>
      </c>
      <c r="C432" s="2">
        <v>48</v>
      </c>
      <c r="G432" s="7">
        <f t="array" ref="G432">IF(ROWS(K$20:K432)&gt;$F$6,"",INDEX(A$2:A$10000,SMALL(IF(ISNUMBER(MATCH($B$2:$B$10000,$E$6:$E$22,0)),ROW($C$2:$C$10000)-ROW($C$2)+1),ROWS(K$20:K432))))</f>
        <v>41383</v>
      </c>
      <c r="H432" s="4" t="str">
        <f t="array" ref="H432">IF(ROWS(L$20:L432)&gt;$F$6,"",INDEX(B$2:B$10000,SMALL(IF(ISNUMBER(MATCH($B$2:$B$10000,$E$6:$E$22,0)),ROW($C$2:$C$10000)-ROW($C$2)+1),ROWS(L$20:L432))))</f>
        <v>Iliana  Valerio</v>
      </c>
      <c r="I432" s="4">
        <f t="array" ref="I432">IF(ROWS(M$20:M432)&gt;$F$6,"",INDEX(C$2:C$10000,SMALL(IF(ISNUMBER(MATCH($B$2:$B$10000,$E$6:$E$22,0)),ROW($C$2:$C$10000)-ROW($C$2)+1),ROWS(M$20:M432))))</f>
        <v>14</v>
      </c>
      <c r="K432" s="7">
        <f t="array" ref="K432">IF(ROWS(K$20:K432)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432))))</f>
        <v>41383</v>
      </c>
      <c r="L432" s="4" t="str">
        <f t="array" ref="L432">IF(ROWS(L$20:L432)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432))))</f>
        <v>Iliana  Valerio</v>
      </c>
      <c r="M432" s="4">
        <f t="array" ref="M432">IF(ROWS(M$20:M432)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432))))</f>
        <v>14</v>
      </c>
    </row>
    <row r="433" spans="1:13" x14ac:dyDescent="0.25">
      <c r="A433" s="3">
        <v>41765</v>
      </c>
      <c r="B433" s="2" t="s">
        <v>36</v>
      </c>
      <c r="C433" s="2">
        <v>15</v>
      </c>
      <c r="G433" s="7">
        <f t="array" ref="G433">IF(ROWS(K$20:K433)&gt;$F$6,"",INDEX(A$2:A$10000,SMALL(IF(ISNUMBER(MATCH($B$2:$B$10000,$E$6:$E$22,0)),ROW($C$2:$C$10000)-ROW($C$2)+1),ROWS(K$20:K433))))</f>
        <v>41499</v>
      </c>
      <c r="H433" s="4" t="str">
        <f t="array" ref="H433">IF(ROWS(L$20:L433)&gt;$F$6,"",INDEX(B$2:B$10000,SMALL(IF(ISNUMBER(MATCH($B$2:$B$10000,$E$6:$E$22,0)),ROW($C$2:$C$10000)-ROW($C$2)+1),ROWS(L$20:L433))))</f>
        <v>Galen  Barth</v>
      </c>
      <c r="I433" s="4">
        <f t="array" ref="I433">IF(ROWS(M$20:M433)&gt;$F$6,"",INDEX(C$2:C$10000,SMALL(IF(ISNUMBER(MATCH($B$2:$B$10000,$E$6:$E$22,0)),ROW($C$2:$C$10000)-ROW($C$2)+1),ROWS(M$20:M433))))</f>
        <v>39</v>
      </c>
      <c r="K433" s="7">
        <f t="array" ref="K433">IF(ROWS(K$20:K433)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433))))</f>
        <v>41499</v>
      </c>
      <c r="L433" s="4" t="str">
        <f t="array" ref="L433">IF(ROWS(L$20:L433)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433))))</f>
        <v>Galen  Barth</v>
      </c>
      <c r="M433" s="4">
        <f t="array" ref="M433">IF(ROWS(M$20:M433)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433))))</f>
        <v>39</v>
      </c>
    </row>
    <row r="434" spans="1:13" x14ac:dyDescent="0.25">
      <c r="A434" s="3">
        <v>41538</v>
      </c>
      <c r="B434" s="2" t="s">
        <v>50</v>
      </c>
      <c r="C434" s="2">
        <v>1</v>
      </c>
      <c r="G434" s="7">
        <f t="array" ref="G434">IF(ROWS(K$20:K434)&gt;$F$6,"",INDEX(A$2:A$10000,SMALL(IF(ISNUMBER(MATCH($B$2:$B$10000,$E$6:$E$22,0)),ROW($C$2:$C$10000)-ROW($C$2)+1),ROWS(K$20:K434))))</f>
        <v>41748</v>
      </c>
      <c r="H434" s="4" t="str">
        <f t="array" ref="H434">IF(ROWS(L$20:L434)&gt;$F$6,"",INDEX(B$2:B$10000,SMALL(IF(ISNUMBER(MATCH($B$2:$B$10000,$E$6:$E$22,0)),ROW($C$2:$C$10000)-ROW($C$2)+1),ROWS(L$20:L434))))</f>
        <v>Galen  Barth</v>
      </c>
      <c r="I434" s="4">
        <f t="array" ref="I434">IF(ROWS(M$20:M434)&gt;$F$6,"",INDEX(C$2:C$10000,SMALL(IF(ISNUMBER(MATCH($B$2:$B$10000,$E$6:$E$22,0)),ROW($C$2:$C$10000)-ROW($C$2)+1),ROWS(M$20:M434))))</f>
        <v>1</v>
      </c>
      <c r="K434" s="7">
        <f t="array" ref="K434">IF(ROWS(K$20:K434)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434))))</f>
        <v>41748</v>
      </c>
      <c r="L434" s="4" t="str">
        <f t="array" ref="L434">IF(ROWS(L$20:L434)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434))))</f>
        <v>Galen  Barth</v>
      </c>
      <c r="M434" s="4">
        <f t="array" ref="M434">IF(ROWS(M$20:M434)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434))))</f>
        <v>1</v>
      </c>
    </row>
    <row r="435" spans="1:13" x14ac:dyDescent="0.25">
      <c r="A435" s="3">
        <v>41314</v>
      </c>
      <c r="B435" s="2" t="s">
        <v>3</v>
      </c>
      <c r="C435" s="2">
        <v>24</v>
      </c>
      <c r="G435" s="7">
        <f t="array" ref="G435">IF(ROWS(K$20:K435)&gt;$F$6,"",INDEX(A$2:A$10000,SMALL(IF(ISNUMBER(MATCH($B$2:$B$10000,$E$6:$E$22,0)),ROW($C$2:$C$10000)-ROW($C$2)+1),ROWS(K$20:K435))))</f>
        <v>41375</v>
      </c>
      <c r="H435" s="4" t="str">
        <f t="array" ref="H435">IF(ROWS(L$20:L435)&gt;$F$6,"",INDEX(B$2:B$10000,SMALL(IF(ISNUMBER(MATCH($B$2:$B$10000,$E$6:$E$22,0)),ROW($C$2:$C$10000)-ROW($C$2)+1),ROWS(L$20:L435))))</f>
        <v>Iliana  Valerio</v>
      </c>
      <c r="I435" s="4">
        <f t="array" ref="I435">IF(ROWS(M$20:M435)&gt;$F$6,"",INDEX(C$2:C$10000,SMALL(IF(ISNUMBER(MATCH($B$2:$B$10000,$E$6:$E$22,0)),ROW($C$2:$C$10000)-ROW($C$2)+1),ROWS(M$20:M435))))</f>
        <v>15</v>
      </c>
      <c r="K435" s="7">
        <f t="array" ref="K435">IF(ROWS(K$20:K435)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435))))</f>
        <v>41375</v>
      </c>
      <c r="L435" s="4" t="str">
        <f t="array" ref="L435">IF(ROWS(L$20:L435)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435))))</f>
        <v>Iliana  Valerio</v>
      </c>
      <c r="M435" s="4">
        <f t="array" ref="M435">IF(ROWS(M$20:M435)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435))))</f>
        <v>15</v>
      </c>
    </row>
    <row r="436" spans="1:13" x14ac:dyDescent="0.25">
      <c r="A436" s="3">
        <v>41600</v>
      </c>
      <c r="B436" s="2" t="s">
        <v>43</v>
      </c>
      <c r="C436" s="2">
        <v>33</v>
      </c>
      <c r="G436" s="7">
        <f t="array" ref="G436">IF(ROWS(K$20:K436)&gt;$F$6,"",INDEX(A$2:A$10000,SMALL(IF(ISNUMBER(MATCH($B$2:$B$10000,$E$6:$E$22,0)),ROW($C$2:$C$10000)-ROW($C$2)+1),ROWS(K$20:K436))))</f>
        <v>41434</v>
      </c>
      <c r="H436" s="4" t="str">
        <f t="array" ref="H436">IF(ROWS(L$20:L436)&gt;$F$6,"",INDEX(B$2:B$10000,SMALL(IF(ISNUMBER(MATCH($B$2:$B$10000,$E$6:$E$22,0)),ROW($C$2:$C$10000)-ROW($C$2)+1),ROWS(L$20:L436))))</f>
        <v>Jenni  Thorton</v>
      </c>
      <c r="I436" s="4">
        <f t="array" ref="I436">IF(ROWS(M$20:M436)&gt;$F$6,"",INDEX(C$2:C$10000,SMALL(IF(ISNUMBER(MATCH($B$2:$B$10000,$E$6:$E$22,0)),ROW($C$2:$C$10000)-ROW($C$2)+1),ROWS(M$20:M436))))</f>
        <v>15</v>
      </c>
      <c r="K436" s="7">
        <f t="array" ref="K436">IF(ROWS(K$20:K436)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436))))</f>
        <v>41434</v>
      </c>
      <c r="L436" s="4" t="str">
        <f t="array" ref="L436">IF(ROWS(L$20:L436)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436))))</f>
        <v>Jenni  Thorton</v>
      </c>
      <c r="M436" s="4">
        <f t="array" ref="M436">IF(ROWS(M$20:M436)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436))))</f>
        <v>15</v>
      </c>
    </row>
    <row r="437" spans="1:13" x14ac:dyDescent="0.25">
      <c r="A437" s="3">
        <v>41299</v>
      </c>
      <c r="B437" s="2" t="s">
        <v>44</v>
      </c>
      <c r="C437" s="2">
        <v>46</v>
      </c>
      <c r="G437" s="7">
        <f t="array" ref="G437">IF(ROWS(K$20:K437)&gt;$F$6,"",INDEX(A$2:A$10000,SMALL(IF(ISNUMBER(MATCH($B$2:$B$10000,$E$6:$E$22,0)),ROW($C$2:$C$10000)-ROW($C$2)+1),ROWS(K$20:K437))))</f>
        <v>41510</v>
      </c>
      <c r="H437" s="4" t="str">
        <f t="array" ref="H437">IF(ROWS(L$20:L437)&gt;$F$6,"",INDEX(B$2:B$10000,SMALL(IF(ISNUMBER(MATCH($B$2:$B$10000,$E$6:$E$22,0)),ROW($C$2:$C$10000)-ROW($C$2)+1),ROWS(L$20:L437))))</f>
        <v>Rosamond  Allard</v>
      </c>
      <c r="I437" s="4">
        <f t="array" ref="I437">IF(ROWS(M$20:M437)&gt;$F$6,"",INDEX(C$2:C$10000,SMALL(IF(ISNUMBER(MATCH($B$2:$B$10000,$E$6:$E$22,0)),ROW($C$2:$C$10000)-ROW($C$2)+1),ROWS(M$20:M437))))</f>
        <v>48</v>
      </c>
      <c r="K437" s="7">
        <f t="array" ref="K437">IF(ROWS(K$20:K437)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437))))</f>
        <v>41510</v>
      </c>
      <c r="L437" s="4" t="str">
        <f t="array" ref="L437">IF(ROWS(L$20:L437)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437))))</f>
        <v>Rosamond  Allard</v>
      </c>
      <c r="M437" s="4">
        <f t="array" ref="M437">IF(ROWS(M$20:M437)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437))))</f>
        <v>48</v>
      </c>
    </row>
    <row r="438" spans="1:13" x14ac:dyDescent="0.25">
      <c r="A438" s="3">
        <v>41697</v>
      </c>
      <c r="B438" s="2" t="s">
        <v>49</v>
      </c>
      <c r="C438" s="2">
        <v>32</v>
      </c>
      <c r="G438" s="7">
        <f t="array" ref="G438">IF(ROWS(K$20:K438)&gt;$F$6,"",INDEX(A$2:A$10000,SMALL(IF(ISNUMBER(MATCH($B$2:$B$10000,$E$6:$E$22,0)),ROW($C$2:$C$10000)-ROW($C$2)+1),ROWS(K$20:K438))))</f>
        <v>41426</v>
      </c>
      <c r="H438" s="4" t="str">
        <f t="array" ref="H438">IF(ROWS(L$20:L438)&gt;$F$6,"",INDEX(B$2:B$10000,SMALL(IF(ISNUMBER(MATCH($B$2:$B$10000,$E$6:$E$22,0)),ROW($C$2:$C$10000)-ROW($C$2)+1),ROWS(L$20:L438))))</f>
        <v>Mickey  Bolduc</v>
      </c>
      <c r="I438" s="4">
        <f t="array" ref="I438">IF(ROWS(M$20:M438)&gt;$F$6,"",INDEX(C$2:C$10000,SMALL(IF(ISNUMBER(MATCH($B$2:$B$10000,$E$6:$E$22,0)),ROW($C$2:$C$10000)-ROW($C$2)+1),ROWS(M$20:M438))))</f>
        <v>16</v>
      </c>
      <c r="K438" s="7">
        <f t="array" ref="K438">IF(ROWS(K$20:K438)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438))))</f>
        <v>41426</v>
      </c>
      <c r="L438" s="4" t="str">
        <f t="array" ref="L438">IF(ROWS(L$20:L438)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438))))</f>
        <v>Mickey  Bolduc</v>
      </c>
      <c r="M438" s="4">
        <f t="array" ref="M438">IF(ROWS(M$20:M438)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438))))</f>
        <v>16</v>
      </c>
    </row>
    <row r="439" spans="1:13" x14ac:dyDescent="0.25">
      <c r="A439" s="3">
        <v>41666</v>
      </c>
      <c r="B439" s="2" t="s">
        <v>43</v>
      </c>
      <c r="C439" s="2">
        <v>7</v>
      </c>
      <c r="G439" s="7">
        <f t="array" ref="G439">IF(ROWS(K$20:K439)&gt;$F$6,"",INDEX(A$2:A$10000,SMALL(IF(ISNUMBER(MATCH($B$2:$B$10000,$E$6:$E$22,0)),ROW($C$2:$C$10000)-ROW($C$2)+1),ROWS(K$20:K439))))</f>
        <v>41969</v>
      </c>
      <c r="H439" s="4" t="str">
        <f t="array" ref="H439">IF(ROWS(L$20:L439)&gt;$F$6,"",INDEX(B$2:B$10000,SMALL(IF(ISNUMBER(MATCH($B$2:$B$10000,$E$6:$E$22,0)),ROW($C$2:$C$10000)-ROW($C$2)+1),ROWS(L$20:L439))))</f>
        <v>Kerrie  Worrell</v>
      </c>
      <c r="I439" s="4">
        <f t="array" ref="I439">IF(ROWS(M$20:M439)&gt;$F$6,"",INDEX(C$2:C$10000,SMALL(IF(ISNUMBER(MATCH($B$2:$B$10000,$E$6:$E$22,0)),ROW($C$2:$C$10000)-ROW($C$2)+1),ROWS(M$20:M439))))</f>
        <v>7</v>
      </c>
      <c r="K439" s="7">
        <f t="array" ref="K439">IF(ROWS(K$20:K439)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439))))</f>
        <v>41969</v>
      </c>
      <c r="L439" s="4" t="str">
        <f t="array" ref="L439">IF(ROWS(L$20:L439)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439))))</f>
        <v>Kerrie  Worrell</v>
      </c>
      <c r="M439" s="4">
        <f t="array" ref="M439">IF(ROWS(M$20:M439)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439))))</f>
        <v>7</v>
      </c>
    </row>
    <row r="440" spans="1:13" x14ac:dyDescent="0.25">
      <c r="A440" s="3">
        <v>41680</v>
      </c>
      <c r="B440" s="2" t="s">
        <v>48</v>
      </c>
      <c r="C440" s="2">
        <v>20</v>
      </c>
      <c r="G440" s="7">
        <f t="array" ref="G440">IF(ROWS(K$20:K440)&gt;$F$6,"",INDEX(A$2:A$10000,SMALL(IF(ISNUMBER(MATCH($B$2:$B$10000,$E$6:$E$22,0)),ROW($C$2:$C$10000)-ROW($C$2)+1),ROWS(K$20:K440))))</f>
        <v>41705</v>
      </c>
      <c r="H440" s="4" t="str">
        <f t="array" ref="H440">IF(ROWS(L$20:L440)&gt;$F$6,"",INDEX(B$2:B$10000,SMALL(IF(ISNUMBER(MATCH($B$2:$B$10000,$E$6:$E$22,0)),ROW($C$2:$C$10000)-ROW($C$2)+1),ROWS(L$20:L440))))</f>
        <v>Rosamond  Allard</v>
      </c>
      <c r="I440" s="4">
        <f t="array" ref="I440">IF(ROWS(M$20:M440)&gt;$F$6,"",INDEX(C$2:C$10000,SMALL(IF(ISNUMBER(MATCH($B$2:$B$10000,$E$6:$E$22,0)),ROW($C$2:$C$10000)-ROW($C$2)+1),ROWS(M$20:M440))))</f>
        <v>5</v>
      </c>
      <c r="K440" s="7">
        <f t="array" ref="K440">IF(ROWS(K$20:K440)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440))))</f>
        <v>41705</v>
      </c>
      <c r="L440" s="4" t="str">
        <f t="array" ref="L440">IF(ROWS(L$20:L440)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440))))</f>
        <v>Rosamond  Allard</v>
      </c>
      <c r="M440" s="4">
        <f t="array" ref="M440">IF(ROWS(M$20:M440)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440))))</f>
        <v>5</v>
      </c>
    </row>
    <row r="441" spans="1:13" x14ac:dyDescent="0.25">
      <c r="A441" s="3">
        <v>41512</v>
      </c>
      <c r="B441" s="2" t="s">
        <v>44</v>
      </c>
      <c r="C441" s="2">
        <v>20</v>
      </c>
      <c r="G441" s="7">
        <f t="array" ref="G441">IF(ROWS(K$20:K441)&gt;$F$6,"",INDEX(A$2:A$10000,SMALL(IF(ISNUMBER(MATCH($B$2:$B$10000,$E$6:$E$22,0)),ROW($C$2:$C$10000)-ROW($C$2)+1),ROWS(K$20:K441))))</f>
        <v>41811</v>
      </c>
      <c r="H441" s="4" t="str">
        <f t="array" ref="H441">IF(ROWS(L$20:L441)&gt;$F$6,"",INDEX(B$2:B$10000,SMALL(IF(ISNUMBER(MATCH($B$2:$B$10000,$E$6:$E$22,0)),ROW($C$2:$C$10000)-ROW($C$2)+1),ROWS(L$20:L441))))</f>
        <v>Mickey  Bolduc</v>
      </c>
      <c r="I441" s="4">
        <f t="array" ref="I441">IF(ROWS(M$20:M441)&gt;$F$6,"",INDEX(C$2:C$10000,SMALL(IF(ISNUMBER(MATCH($B$2:$B$10000,$E$6:$E$22,0)),ROW($C$2:$C$10000)-ROW($C$2)+1),ROWS(M$20:M441))))</f>
        <v>46</v>
      </c>
      <c r="K441" s="7">
        <f t="array" ref="K441">IF(ROWS(K$20:K441)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441))))</f>
        <v>41811</v>
      </c>
      <c r="L441" s="4" t="str">
        <f t="array" ref="L441">IF(ROWS(L$20:L441)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441))))</f>
        <v>Mickey  Bolduc</v>
      </c>
      <c r="M441" s="4">
        <f t="array" ref="M441">IF(ROWS(M$20:M441)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441))))</f>
        <v>46</v>
      </c>
    </row>
    <row r="442" spans="1:13" x14ac:dyDescent="0.25">
      <c r="A442" s="3">
        <v>41369</v>
      </c>
      <c r="B442" s="2" t="s">
        <v>49</v>
      </c>
      <c r="C442" s="2">
        <v>13</v>
      </c>
      <c r="G442" s="7">
        <f t="array" ref="G442">IF(ROWS(K$20:K442)&gt;$F$6,"",INDEX(A$2:A$10000,SMALL(IF(ISNUMBER(MATCH($B$2:$B$10000,$E$6:$E$22,0)),ROW($C$2:$C$10000)-ROW($C$2)+1),ROWS(K$20:K442))))</f>
        <v>41920</v>
      </c>
      <c r="H442" s="4" t="str">
        <f t="array" ref="H442">IF(ROWS(L$20:L442)&gt;$F$6,"",INDEX(B$2:B$10000,SMALL(IF(ISNUMBER(MATCH($B$2:$B$10000,$E$6:$E$22,0)),ROW($C$2:$C$10000)-ROW($C$2)+1),ROWS(L$20:L442))))</f>
        <v>Rosamond  Allard</v>
      </c>
      <c r="I442" s="4">
        <f t="array" ref="I442">IF(ROWS(M$20:M442)&gt;$F$6,"",INDEX(C$2:C$10000,SMALL(IF(ISNUMBER(MATCH($B$2:$B$10000,$E$6:$E$22,0)),ROW($C$2:$C$10000)-ROW($C$2)+1),ROWS(M$20:M442))))</f>
        <v>44</v>
      </c>
      <c r="K442" s="7">
        <f t="array" ref="K442">IF(ROWS(K$20:K442)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442))))</f>
        <v>41920</v>
      </c>
      <c r="L442" s="4" t="str">
        <f t="array" ref="L442">IF(ROWS(L$20:L442)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442))))</f>
        <v>Rosamond  Allard</v>
      </c>
      <c r="M442" s="4">
        <f t="array" ref="M442">IF(ROWS(M$20:M442)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442))))</f>
        <v>44</v>
      </c>
    </row>
    <row r="443" spans="1:13" x14ac:dyDescent="0.25">
      <c r="A443" s="3">
        <v>41320</v>
      </c>
      <c r="B443" s="2" t="s">
        <v>4</v>
      </c>
      <c r="C443" s="2">
        <v>28</v>
      </c>
      <c r="G443" s="7">
        <f t="array" ref="G443">IF(ROWS(K$20:K443)&gt;$F$6,"",INDEX(A$2:A$10000,SMALL(IF(ISNUMBER(MATCH($B$2:$B$10000,$E$6:$E$22,0)),ROW($C$2:$C$10000)-ROW($C$2)+1),ROWS(K$20:K443))))</f>
        <v>41300</v>
      </c>
      <c r="H443" s="4" t="str">
        <f t="array" ref="H443">IF(ROWS(L$20:L443)&gt;$F$6,"",INDEX(B$2:B$10000,SMALL(IF(ISNUMBER(MATCH($B$2:$B$10000,$E$6:$E$22,0)),ROW($C$2:$C$10000)-ROW($C$2)+1),ROWS(L$20:L443))))</f>
        <v>Rosamond  Allard</v>
      </c>
      <c r="I443" s="4">
        <f t="array" ref="I443">IF(ROWS(M$20:M443)&gt;$F$6,"",INDEX(C$2:C$10000,SMALL(IF(ISNUMBER(MATCH($B$2:$B$10000,$E$6:$E$22,0)),ROW($C$2:$C$10000)-ROW($C$2)+1),ROWS(M$20:M443))))</f>
        <v>19</v>
      </c>
      <c r="K443" s="7">
        <f t="array" ref="K443">IF(ROWS(K$20:K443)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443))))</f>
        <v>41300</v>
      </c>
      <c r="L443" s="4" t="str">
        <f t="array" ref="L443">IF(ROWS(L$20:L443)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443))))</f>
        <v>Rosamond  Allard</v>
      </c>
      <c r="M443" s="4">
        <f t="array" ref="M443">IF(ROWS(M$20:M443)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443))))</f>
        <v>19</v>
      </c>
    </row>
    <row r="444" spans="1:13" x14ac:dyDescent="0.25">
      <c r="A444" s="3">
        <v>41498</v>
      </c>
      <c r="B444" s="2" t="s">
        <v>33</v>
      </c>
      <c r="C444" s="2">
        <v>9</v>
      </c>
      <c r="G444" s="7">
        <f t="array" ref="G444">IF(ROWS(K$20:K444)&gt;$F$6,"",INDEX(A$2:A$10000,SMALL(IF(ISNUMBER(MATCH($B$2:$B$10000,$E$6:$E$22,0)),ROW($C$2:$C$10000)-ROW($C$2)+1),ROWS(K$20:K444))))</f>
        <v>41747</v>
      </c>
      <c r="H444" s="4" t="str">
        <f t="array" ref="H444">IF(ROWS(L$20:L444)&gt;$F$6,"",INDEX(B$2:B$10000,SMALL(IF(ISNUMBER(MATCH($B$2:$B$10000,$E$6:$E$22,0)),ROW($C$2:$C$10000)-ROW($C$2)+1),ROWS(L$20:L444))))</f>
        <v>Jenni  Thorton</v>
      </c>
      <c r="I444" s="4">
        <f t="array" ref="I444">IF(ROWS(M$20:M444)&gt;$F$6,"",INDEX(C$2:C$10000,SMALL(IF(ISNUMBER(MATCH($B$2:$B$10000,$E$6:$E$22,0)),ROW($C$2:$C$10000)-ROW($C$2)+1),ROWS(M$20:M444))))</f>
        <v>23</v>
      </c>
      <c r="K444" s="7">
        <f t="array" ref="K444">IF(ROWS(K$20:K444)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444))))</f>
        <v>41747</v>
      </c>
      <c r="L444" s="4" t="str">
        <f t="array" ref="L444">IF(ROWS(L$20:L444)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444))))</f>
        <v>Jenni  Thorton</v>
      </c>
      <c r="M444" s="4">
        <f t="array" ref="M444">IF(ROWS(M$20:M444)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444))))</f>
        <v>23</v>
      </c>
    </row>
    <row r="445" spans="1:13" x14ac:dyDescent="0.25">
      <c r="A445" s="3">
        <v>41811</v>
      </c>
      <c r="B445" s="2" t="s">
        <v>2</v>
      </c>
      <c r="C445" s="2">
        <v>17</v>
      </c>
      <c r="G445" s="7">
        <f t="array" ref="G445">IF(ROWS(K$20:K445)&gt;$F$6,"",INDEX(A$2:A$10000,SMALL(IF(ISNUMBER(MATCH($B$2:$B$10000,$E$6:$E$22,0)),ROW($C$2:$C$10000)-ROW($C$2)+1),ROWS(K$20:K445))))</f>
        <v>41674</v>
      </c>
      <c r="H445" s="4" t="str">
        <f t="array" ref="H445">IF(ROWS(L$20:L445)&gt;$F$6,"",INDEX(B$2:B$10000,SMALL(IF(ISNUMBER(MATCH($B$2:$B$10000,$E$6:$E$22,0)),ROW($C$2:$C$10000)-ROW($C$2)+1),ROWS(L$20:L445))))</f>
        <v>Rosamond  Allard</v>
      </c>
      <c r="I445" s="4">
        <f t="array" ref="I445">IF(ROWS(M$20:M445)&gt;$F$6,"",INDEX(C$2:C$10000,SMALL(IF(ISNUMBER(MATCH($B$2:$B$10000,$E$6:$E$22,0)),ROW($C$2:$C$10000)-ROW($C$2)+1),ROWS(M$20:M445))))</f>
        <v>49</v>
      </c>
      <c r="K445" s="7">
        <f t="array" ref="K445">IF(ROWS(K$20:K445)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445))))</f>
        <v>41674</v>
      </c>
      <c r="L445" s="4" t="str">
        <f t="array" ref="L445">IF(ROWS(L$20:L445)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445))))</f>
        <v>Rosamond  Allard</v>
      </c>
      <c r="M445" s="4">
        <f t="array" ref="M445">IF(ROWS(M$20:M445)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445))))</f>
        <v>49</v>
      </c>
    </row>
    <row r="446" spans="1:13" x14ac:dyDescent="0.25">
      <c r="A446" s="3">
        <v>41325</v>
      </c>
      <c r="B446" s="2" t="s">
        <v>22</v>
      </c>
      <c r="C446" s="2">
        <v>24</v>
      </c>
      <c r="G446" s="7">
        <f t="array" ref="G446">IF(ROWS(K$20:K446)&gt;$F$6,"",INDEX(A$2:A$10000,SMALL(IF(ISNUMBER(MATCH($B$2:$B$10000,$E$6:$E$22,0)),ROW($C$2:$C$10000)-ROW($C$2)+1),ROWS(K$20:K446))))</f>
        <v>41308</v>
      </c>
      <c r="H446" s="4" t="str">
        <f t="array" ref="H446">IF(ROWS(L$20:L446)&gt;$F$6,"",INDEX(B$2:B$10000,SMALL(IF(ISNUMBER(MATCH($B$2:$B$10000,$E$6:$E$22,0)),ROW($C$2:$C$10000)-ROW($C$2)+1),ROWS(L$20:L446))))</f>
        <v>Iliana  Valerio</v>
      </c>
      <c r="I446" s="4">
        <f t="array" ref="I446">IF(ROWS(M$20:M446)&gt;$F$6,"",INDEX(C$2:C$10000,SMALL(IF(ISNUMBER(MATCH($B$2:$B$10000,$E$6:$E$22,0)),ROW($C$2:$C$10000)-ROW($C$2)+1),ROWS(M$20:M446))))</f>
        <v>22</v>
      </c>
      <c r="K446" s="7">
        <f t="array" ref="K446">IF(ROWS(K$20:K446)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446))))</f>
        <v>41308</v>
      </c>
      <c r="L446" s="4" t="str">
        <f t="array" ref="L446">IF(ROWS(L$20:L446)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446))))</f>
        <v>Iliana  Valerio</v>
      </c>
      <c r="M446" s="4">
        <f t="array" ref="M446">IF(ROWS(M$20:M446)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446))))</f>
        <v>22</v>
      </c>
    </row>
    <row r="447" spans="1:13" x14ac:dyDescent="0.25">
      <c r="A447" s="3">
        <v>41815</v>
      </c>
      <c r="B447" s="2" t="s">
        <v>14</v>
      </c>
      <c r="C447" s="2">
        <v>28</v>
      </c>
      <c r="G447" s="7">
        <f t="array" ref="G447">IF(ROWS(K$20:K447)&gt;$F$6,"",INDEX(A$2:A$10000,SMALL(IF(ISNUMBER(MATCH($B$2:$B$10000,$E$6:$E$22,0)),ROW($C$2:$C$10000)-ROW($C$2)+1),ROWS(K$20:K447))))</f>
        <v>41999</v>
      </c>
      <c r="H447" s="4" t="str">
        <f t="array" ref="H447">IF(ROWS(L$20:L447)&gt;$F$6,"",INDEX(B$2:B$10000,SMALL(IF(ISNUMBER(MATCH($B$2:$B$10000,$E$6:$E$22,0)),ROW($C$2:$C$10000)-ROW($C$2)+1),ROWS(L$20:L447))))</f>
        <v>Jenni  Thorton</v>
      </c>
      <c r="I447" s="4">
        <f t="array" ref="I447">IF(ROWS(M$20:M447)&gt;$F$6,"",INDEX(C$2:C$10000,SMALL(IF(ISNUMBER(MATCH($B$2:$B$10000,$E$6:$E$22,0)),ROW($C$2:$C$10000)-ROW($C$2)+1),ROWS(M$20:M447))))</f>
        <v>32</v>
      </c>
      <c r="K447" s="7">
        <f t="array" ref="K447">IF(ROWS(K$20:K447)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447))))</f>
        <v>41999</v>
      </c>
      <c r="L447" s="4" t="str">
        <f t="array" ref="L447">IF(ROWS(L$20:L447)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447))))</f>
        <v>Jenni  Thorton</v>
      </c>
      <c r="M447" s="4">
        <f t="array" ref="M447">IF(ROWS(M$20:M447)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447))))</f>
        <v>32</v>
      </c>
    </row>
    <row r="448" spans="1:13" x14ac:dyDescent="0.25">
      <c r="A448" s="3">
        <v>41575</v>
      </c>
      <c r="B448" s="2" t="s">
        <v>45</v>
      </c>
      <c r="C448" s="2">
        <v>28</v>
      </c>
      <c r="G448" s="7">
        <f t="array" ref="G448">IF(ROWS(K$20:K448)&gt;$F$6,"",INDEX(A$2:A$10000,SMALL(IF(ISNUMBER(MATCH($B$2:$B$10000,$E$6:$E$22,0)),ROW($C$2:$C$10000)-ROW($C$2)+1),ROWS(K$20:K448))))</f>
        <v>41747</v>
      </c>
      <c r="H448" s="4" t="str">
        <f t="array" ref="H448">IF(ROWS(L$20:L448)&gt;$F$6,"",INDEX(B$2:B$10000,SMALL(IF(ISNUMBER(MATCH($B$2:$B$10000,$E$6:$E$22,0)),ROW($C$2:$C$10000)-ROW($C$2)+1),ROWS(L$20:L448))))</f>
        <v>Rosamond  Allard</v>
      </c>
      <c r="I448" s="4">
        <f t="array" ref="I448">IF(ROWS(M$20:M448)&gt;$F$6,"",INDEX(C$2:C$10000,SMALL(IF(ISNUMBER(MATCH($B$2:$B$10000,$E$6:$E$22,0)),ROW($C$2:$C$10000)-ROW($C$2)+1),ROWS(M$20:M448))))</f>
        <v>32</v>
      </c>
      <c r="K448" s="7">
        <f t="array" ref="K448">IF(ROWS(K$20:K448)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448))))</f>
        <v>41747</v>
      </c>
      <c r="L448" s="4" t="str">
        <f t="array" ref="L448">IF(ROWS(L$20:L448)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448))))</f>
        <v>Rosamond  Allard</v>
      </c>
      <c r="M448" s="4">
        <f t="array" ref="M448">IF(ROWS(M$20:M448)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448))))</f>
        <v>32</v>
      </c>
    </row>
    <row r="449" spans="1:13" x14ac:dyDescent="0.25">
      <c r="A449" s="3">
        <v>41813</v>
      </c>
      <c r="B449" s="2" t="s">
        <v>28</v>
      </c>
      <c r="C449" s="2">
        <v>47</v>
      </c>
      <c r="G449" s="7">
        <f t="array" ref="G449">IF(ROWS(K$20:K449)&gt;$F$6,"",INDEX(A$2:A$10000,SMALL(IF(ISNUMBER(MATCH($B$2:$B$10000,$E$6:$E$22,0)),ROW($C$2:$C$10000)-ROW($C$2)+1),ROWS(K$20:K449))))</f>
        <v>41559</v>
      </c>
      <c r="H449" s="4" t="str">
        <f t="array" ref="H449">IF(ROWS(L$20:L449)&gt;$F$6,"",INDEX(B$2:B$10000,SMALL(IF(ISNUMBER(MATCH($B$2:$B$10000,$E$6:$E$22,0)),ROW($C$2:$C$10000)-ROW($C$2)+1),ROWS(L$20:L449))))</f>
        <v>Mickey  Bolduc</v>
      </c>
      <c r="I449" s="4">
        <f t="array" ref="I449">IF(ROWS(M$20:M449)&gt;$F$6,"",INDEX(C$2:C$10000,SMALL(IF(ISNUMBER(MATCH($B$2:$B$10000,$E$6:$E$22,0)),ROW($C$2:$C$10000)-ROW($C$2)+1),ROWS(M$20:M449))))</f>
        <v>10</v>
      </c>
      <c r="K449" s="7">
        <f t="array" ref="K449">IF(ROWS(K$20:K449)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449))))</f>
        <v>41559</v>
      </c>
      <c r="L449" s="4" t="str">
        <f t="array" ref="L449">IF(ROWS(L$20:L449)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449))))</f>
        <v>Mickey  Bolduc</v>
      </c>
      <c r="M449" s="4">
        <f t="array" ref="M449">IF(ROWS(M$20:M449)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449))))</f>
        <v>10</v>
      </c>
    </row>
    <row r="450" spans="1:13" x14ac:dyDescent="0.25">
      <c r="A450" s="3">
        <v>41624</v>
      </c>
      <c r="B450" s="2" t="s">
        <v>9</v>
      </c>
      <c r="C450" s="2">
        <v>40</v>
      </c>
      <c r="G450" s="7">
        <f t="array" ref="G450">IF(ROWS(K$20:K450)&gt;$F$6,"",INDEX(A$2:A$10000,SMALL(IF(ISNUMBER(MATCH($B$2:$B$10000,$E$6:$E$22,0)),ROW($C$2:$C$10000)-ROW($C$2)+1),ROWS(K$20:K450))))</f>
        <v>41925</v>
      </c>
      <c r="H450" s="4" t="str">
        <f t="array" ref="H450">IF(ROWS(L$20:L450)&gt;$F$6,"",INDEX(B$2:B$10000,SMALL(IF(ISNUMBER(MATCH($B$2:$B$10000,$E$6:$E$22,0)),ROW($C$2:$C$10000)-ROW($C$2)+1),ROWS(L$20:L450))))</f>
        <v>Iliana  Valerio</v>
      </c>
      <c r="I450" s="4">
        <f t="array" ref="I450">IF(ROWS(M$20:M450)&gt;$F$6,"",INDEX(C$2:C$10000,SMALL(IF(ISNUMBER(MATCH($B$2:$B$10000,$E$6:$E$22,0)),ROW($C$2:$C$10000)-ROW($C$2)+1),ROWS(M$20:M450))))</f>
        <v>47</v>
      </c>
      <c r="K450" s="7">
        <f t="array" ref="K450">IF(ROWS(K$20:K450)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450))))</f>
        <v>41925</v>
      </c>
      <c r="L450" s="4" t="str">
        <f t="array" ref="L450">IF(ROWS(L$20:L450)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450))))</f>
        <v>Iliana  Valerio</v>
      </c>
      <c r="M450" s="4">
        <f t="array" ref="M450">IF(ROWS(M$20:M450)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450))))</f>
        <v>47</v>
      </c>
    </row>
    <row r="451" spans="1:13" x14ac:dyDescent="0.25">
      <c r="A451" s="3">
        <v>41370</v>
      </c>
      <c r="B451" s="2" t="s">
        <v>46</v>
      </c>
      <c r="C451" s="2">
        <v>22</v>
      </c>
      <c r="G451" s="7">
        <f t="array" ref="G451">IF(ROWS(K$20:K451)&gt;$F$6,"",INDEX(A$2:A$10000,SMALL(IF(ISNUMBER(MATCH($B$2:$B$10000,$E$6:$E$22,0)),ROW($C$2:$C$10000)-ROW($C$2)+1),ROWS(K$20:K451))))</f>
        <v>41695</v>
      </c>
      <c r="H451" s="4" t="str">
        <f t="array" ref="H451">IF(ROWS(L$20:L451)&gt;$F$6,"",INDEX(B$2:B$10000,SMALL(IF(ISNUMBER(MATCH($B$2:$B$10000,$E$6:$E$22,0)),ROW($C$2:$C$10000)-ROW($C$2)+1),ROWS(L$20:L451))))</f>
        <v>Galen  Barth</v>
      </c>
      <c r="I451" s="4">
        <f t="array" ref="I451">IF(ROWS(M$20:M451)&gt;$F$6,"",INDEX(C$2:C$10000,SMALL(IF(ISNUMBER(MATCH($B$2:$B$10000,$E$6:$E$22,0)),ROW($C$2:$C$10000)-ROW($C$2)+1),ROWS(M$20:M451))))</f>
        <v>20</v>
      </c>
      <c r="K451" s="7">
        <f t="array" ref="K451">IF(ROWS(K$20:K451)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451))))</f>
        <v>41695</v>
      </c>
      <c r="L451" s="4" t="str">
        <f t="array" ref="L451">IF(ROWS(L$20:L451)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451))))</f>
        <v>Galen  Barth</v>
      </c>
      <c r="M451" s="4">
        <f t="array" ref="M451">IF(ROWS(M$20:M451)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451))))</f>
        <v>20</v>
      </c>
    </row>
    <row r="452" spans="1:13" x14ac:dyDescent="0.25">
      <c r="A452" s="3">
        <v>42002</v>
      </c>
      <c r="B452" s="2" t="s">
        <v>44</v>
      </c>
      <c r="C452" s="2">
        <v>36</v>
      </c>
      <c r="G452" s="7">
        <f t="array" ref="G452">IF(ROWS(K$20:K452)&gt;$F$6,"",INDEX(A$2:A$10000,SMALL(IF(ISNUMBER(MATCH($B$2:$B$10000,$E$6:$E$22,0)),ROW($C$2:$C$10000)-ROW($C$2)+1),ROWS(K$20:K452))))</f>
        <v>41768</v>
      </c>
      <c r="H452" s="4" t="str">
        <f t="array" ref="H452">IF(ROWS(L$20:L452)&gt;$F$6,"",INDEX(B$2:B$10000,SMALL(IF(ISNUMBER(MATCH($B$2:$B$10000,$E$6:$E$22,0)),ROW($C$2:$C$10000)-ROW($C$2)+1),ROWS(L$20:L452))))</f>
        <v>Mickey  Bolduc</v>
      </c>
      <c r="I452" s="4">
        <f t="array" ref="I452">IF(ROWS(M$20:M452)&gt;$F$6,"",INDEX(C$2:C$10000,SMALL(IF(ISNUMBER(MATCH($B$2:$B$10000,$E$6:$E$22,0)),ROW($C$2:$C$10000)-ROW($C$2)+1),ROWS(M$20:M452))))</f>
        <v>35</v>
      </c>
      <c r="K452" s="7">
        <f t="array" ref="K452">IF(ROWS(K$20:K452)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452))))</f>
        <v>41768</v>
      </c>
      <c r="L452" s="4" t="str">
        <f t="array" ref="L452">IF(ROWS(L$20:L452)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452))))</f>
        <v>Mickey  Bolduc</v>
      </c>
      <c r="M452" s="4">
        <f t="array" ref="M452">IF(ROWS(M$20:M452)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452))))</f>
        <v>35</v>
      </c>
    </row>
    <row r="453" spans="1:13" x14ac:dyDescent="0.25">
      <c r="A453" s="3">
        <v>41563</v>
      </c>
      <c r="B453" s="2" t="s">
        <v>6</v>
      </c>
      <c r="C453" s="2">
        <v>44</v>
      </c>
      <c r="G453" s="7">
        <f t="array" ref="G453">IF(ROWS(K$20:K453)&gt;$F$6,"",INDEX(A$2:A$10000,SMALL(IF(ISNUMBER(MATCH($B$2:$B$10000,$E$6:$E$22,0)),ROW($C$2:$C$10000)-ROW($C$2)+1),ROWS(K$20:K453))))</f>
        <v>41835</v>
      </c>
      <c r="H453" s="4" t="str">
        <f t="array" ref="H453">IF(ROWS(L$20:L453)&gt;$F$6,"",INDEX(B$2:B$10000,SMALL(IF(ISNUMBER(MATCH($B$2:$B$10000,$E$6:$E$22,0)),ROW($C$2:$C$10000)-ROW($C$2)+1),ROWS(L$20:L453))))</f>
        <v>Jenni  Thorton</v>
      </c>
      <c r="I453" s="4">
        <f t="array" ref="I453">IF(ROWS(M$20:M453)&gt;$F$6,"",INDEX(C$2:C$10000,SMALL(IF(ISNUMBER(MATCH($B$2:$B$10000,$E$6:$E$22,0)),ROW($C$2:$C$10000)-ROW($C$2)+1),ROWS(M$20:M453))))</f>
        <v>30</v>
      </c>
      <c r="K453" s="7">
        <f t="array" ref="K453">IF(ROWS(K$20:K453)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453))))</f>
        <v>41835</v>
      </c>
      <c r="L453" s="4" t="str">
        <f t="array" ref="L453">IF(ROWS(L$20:L453)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453))))</f>
        <v>Jenni  Thorton</v>
      </c>
      <c r="M453" s="4">
        <f t="array" ref="M453">IF(ROWS(M$20:M453)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453))))</f>
        <v>30</v>
      </c>
    </row>
    <row r="454" spans="1:13" x14ac:dyDescent="0.25">
      <c r="A454" s="3">
        <v>41892</v>
      </c>
      <c r="B454" s="2" t="s">
        <v>17</v>
      </c>
      <c r="C454" s="2">
        <v>48</v>
      </c>
      <c r="G454" s="7">
        <f t="array" ref="G454">IF(ROWS(K$20:K454)&gt;$F$6,"",INDEX(A$2:A$10000,SMALL(IF(ISNUMBER(MATCH($B$2:$B$10000,$E$6:$E$22,0)),ROW($C$2:$C$10000)-ROW($C$2)+1),ROWS(K$20:K454))))</f>
        <v>41703</v>
      </c>
      <c r="H454" s="4" t="str">
        <f t="array" ref="H454">IF(ROWS(L$20:L454)&gt;$F$6,"",INDEX(B$2:B$10000,SMALL(IF(ISNUMBER(MATCH($B$2:$B$10000,$E$6:$E$22,0)),ROW($C$2:$C$10000)-ROW($C$2)+1),ROWS(L$20:L454))))</f>
        <v>Jenni  Thorton</v>
      </c>
      <c r="I454" s="4">
        <f t="array" ref="I454">IF(ROWS(M$20:M454)&gt;$F$6,"",INDEX(C$2:C$10000,SMALL(IF(ISNUMBER(MATCH($B$2:$B$10000,$E$6:$E$22,0)),ROW($C$2:$C$10000)-ROW($C$2)+1),ROWS(M$20:M454))))</f>
        <v>21</v>
      </c>
      <c r="K454" s="7">
        <f t="array" ref="K454">IF(ROWS(K$20:K454)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454))))</f>
        <v>41703</v>
      </c>
      <c r="L454" s="4" t="str">
        <f t="array" ref="L454">IF(ROWS(L$20:L454)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454))))</f>
        <v>Jenni  Thorton</v>
      </c>
      <c r="M454" s="4">
        <f t="array" ref="M454">IF(ROWS(M$20:M454)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454))))</f>
        <v>21</v>
      </c>
    </row>
    <row r="455" spans="1:13" x14ac:dyDescent="0.25">
      <c r="A455" s="3">
        <v>41990</v>
      </c>
      <c r="B455" s="2" t="s">
        <v>45</v>
      </c>
      <c r="C455" s="2">
        <v>13</v>
      </c>
      <c r="G455" s="7">
        <f t="array" ref="G455">IF(ROWS(K$20:K455)&gt;$F$6,"",INDEX(A$2:A$10000,SMALL(IF(ISNUMBER(MATCH($B$2:$B$10000,$E$6:$E$22,0)),ROW($C$2:$C$10000)-ROW($C$2)+1),ROWS(K$20:K455))))</f>
        <v>41693</v>
      </c>
      <c r="H455" s="4" t="str">
        <f t="array" ref="H455">IF(ROWS(L$20:L455)&gt;$F$6,"",INDEX(B$2:B$10000,SMALL(IF(ISNUMBER(MATCH($B$2:$B$10000,$E$6:$E$22,0)),ROW($C$2:$C$10000)-ROW($C$2)+1),ROWS(L$20:L455))))</f>
        <v>Rosamond  Allard</v>
      </c>
      <c r="I455" s="4">
        <f t="array" ref="I455">IF(ROWS(M$20:M455)&gt;$F$6,"",INDEX(C$2:C$10000,SMALL(IF(ISNUMBER(MATCH($B$2:$B$10000,$E$6:$E$22,0)),ROW($C$2:$C$10000)-ROW($C$2)+1),ROWS(M$20:M455))))</f>
        <v>80</v>
      </c>
      <c r="K455" s="7">
        <f t="array" ref="K455">IF(ROWS(K$20:K455)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455))))</f>
        <v>41693</v>
      </c>
      <c r="L455" s="4" t="str">
        <f t="array" ref="L455">IF(ROWS(L$20:L455)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455))))</f>
        <v>Rosamond  Allard</v>
      </c>
      <c r="M455" s="4">
        <f t="array" ref="M455">IF(ROWS(M$20:M455)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455))))</f>
        <v>80</v>
      </c>
    </row>
    <row r="456" spans="1:13" x14ac:dyDescent="0.25">
      <c r="A456" s="3">
        <v>41653</v>
      </c>
      <c r="B456" s="2" t="s">
        <v>42</v>
      </c>
      <c r="C456" s="2">
        <v>41</v>
      </c>
      <c r="G456" s="7">
        <f t="array" ref="G456">IF(ROWS(K$20:K456)&gt;$F$6,"",INDEX(A$2:A$10000,SMALL(IF(ISNUMBER(MATCH($B$2:$B$10000,$E$6:$E$22,0)),ROW($C$2:$C$10000)-ROW($C$2)+1),ROWS(K$20:K456))))</f>
        <v>41290</v>
      </c>
      <c r="H456" s="4" t="str">
        <f t="array" ref="H456">IF(ROWS(L$20:L456)&gt;$F$6,"",INDEX(B$2:B$10000,SMALL(IF(ISNUMBER(MATCH($B$2:$B$10000,$E$6:$E$22,0)),ROW($C$2:$C$10000)-ROW($C$2)+1),ROWS(L$20:L456))))</f>
        <v>Jenni  Thorton</v>
      </c>
      <c r="I456" s="4">
        <f t="array" ref="I456">IF(ROWS(M$20:M456)&gt;$F$6,"",INDEX(C$2:C$10000,SMALL(IF(ISNUMBER(MATCH($B$2:$B$10000,$E$6:$E$22,0)),ROW($C$2:$C$10000)-ROW($C$2)+1),ROWS(M$20:M456))))</f>
        <v>22</v>
      </c>
      <c r="K456" s="7">
        <f t="array" ref="K456">IF(ROWS(K$20:K456)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456))))</f>
        <v>41290</v>
      </c>
      <c r="L456" s="4" t="str">
        <f t="array" ref="L456">IF(ROWS(L$20:L456)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456))))</f>
        <v>Jenni  Thorton</v>
      </c>
      <c r="M456" s="4">
        <f t="array" ref="M456">IF(ROWS(M$20:M456)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456))))</f>
        <v>22</v>
      </c>
    </row>
    <row r="457" spans="1:13" x14ac:dyDescent="0.25">
      <c r="A457" s="3">
        <v>41368</v>
      </c>
      <c r="B457" s="2" t="s">
        <v>34</v>
      </c>
      <c r="C457" s="2">
        <v>10</v>
      </c>
      <c r="G457" s="7">
        <f t="array" ref="G457">IF(ROWS(K$20:K457)&gt;$F$6,"",INDEX(A$2:A$10000,SMALL(IF(ISNUMBER(MATCH($B$2:$B$10000,$E$6:$E$22,0)),ROW($C$2:$C$10000)-ROW($C$2)+1),ROWS(K$20:K457))))</f>
        <v>41952</v>
      </c>
      <c r="H457" s="4" t="str">
        <f t="array" ref="H457">IF(ROWS(L$20:L457)&gt;$F$6,"",INDEX(B$2:B$10000,SMALL(IF(ISNUMBER(MATCH($B$2:$B$10000,$E$6:$E$22,0)),ROW($C$2:$C$10000)-ROW($C$2)+1),ROWS(L$20:L457))))</f>
        <v>Mickey  Bolduc</v>
      </c>
      <c r="I457" s="4">
        <f t="array" ref="I457">IF(ROWS(M$20:M457)&gt;$F$6,"",INDEX(C$2:C$10000,SMALL(IF(ISNUMBER(MATCH($B$2:$B$10000,$E$6:$E$22,0)),ROW($C$2:$C$10000)-ROW($C$2)+1),ROWS(M$20:M457))))</f>
        <v>37</v>
      </c>
      <c r="K457" s="7">
        <f t="array" ref="K457">IF(ROWS(K$20:K457)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457))))</f>
        <v>41952</v>
      </c>
      <c r="L457" s="4" t="str">
        <f t="array" ref="L457">IF(ROWS(L$20:L457)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457))))</f>
        <v>Mickey  Bolduc</v>
      </c>
      <c r="M457" s="4">
        <f t="array" ref="M457">IF(ROWS(M$20:M457)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457))))</f>
        <v>37</v>
      </c>
    </row>
    <row r="458" spans="1:13" x14ac:dyDescent="0.25">
      <c r="A458" s="3">
        <v>41973</v>
      </c>
      <c r="B458" s="2" t="s">
        <v>5</v>
      </c>
      <c r="C458" s="2">
        <v>48</v>
      </c>
      <c r="G458" s="7">
        <f t="array" ref="G458">IF(ROWS(K$20:K458)&gt;$F$6,"",INDEX(A$2:A$10000,SMALL(IF(ISNUMBER(MATCH($B$2:$B$10000,$E$6:$E$22,0)),ROW($C$2:$C$10000)-ROW($C$2)+1),ROWS(K$20:K458))))</f>
        <v>41320</v>
      </c>
      <c r="H458" s="4" t="str">
        <f t="array" ref="H458">IF(ROWS(L$20:L458)&gt;$F$6,"",INDEX(B$2:B$10000,SMALL(IF(ISNUMBER(MATCH($B$2:$B$10000,$E$6:$E$22,0)),ROW($C$2:$C$10000)-ROW($C$2)+1),ROWS(L$20:L458))))</f>
        <v>Kerrie  Worrell</v>
      </c>
      <c r="I458" s="4">
        <f t="array" ref="I458">IF(ROWS(M$20:M458)&gt;$F$6,"",INDEX(C$2:C$10000,SMALL(IF(ISNUMBER(MATCH($B$2:$B$10000,$E$6:$E$22,0)),ROW($C$2:$C$10000)-ROW($C$2)+1),ROWS(M$20:M458))))</f>
        <v>22</v>
      </c>
      <c r="K458" s="7">
        <f t="array" ref="K458">IF(ROWS(K$20:K458)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458))))</f>
        <v>41320</v>
      </c>
      <c r="L458" s="4" t="str">
        <f t="array" ref="L458">IF(ROWS(L$20:L458)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458))))</f>
        <v>Kerrie  Worrell</v>
      </c>
      <c r="M458" s="4">
        <f t="array" ref="M458">IF(ROWS(M$20:M458)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458))))</f>
        <v>22</v>
      </c>
    </row>
    <row r="459" spans="1:13" x14ac:dyDescent="0.25">
      <c r="A459" s="3">
        <v>41989</v>
      </c>
      <c r="B459" s="2" t="s">
        <v>14</v>
      </c>
      <c r="C459" s="2">
        <v>21</v>
      </c>
      <c r="G459" s="7">
        <f t="array" ref="G459">IF(ROWS(K$20:K459)&gt;$F$6,"",INDEX(A$2:A$10000,SMALL(IF(ISNUMBER(MATCH($B$2:$B$10000,$E$6:$E$22,0)),ROW($C$2:$C$10000)-ROW($C$2)+1),ROWS(K$20:K459))))</f>
        <v>41287</v>
      </c>
      <c r="H459" s="4" t="str">
        <f t="array" ref="H459">IF(ROWS(L$20:L459)&gt;$F$6,"",INDEX(B$2:B$10000,SMALL(IF(ISNUMBER(MATCH($B$2:$B$10000,$E$6:$E$22,0)),ROW($C$2:$C$10000)-ROW($C$2)+1),ROWS(L$20:L459))))</f>
        <v>Rosamond  Allard</v>
      </c>
      <c r="I459" s="4">
        <f t="array" ref="I459">IF(ROWS(M$20:M459)&gt;$F$6,"",INDEX(C$2:C$10000,SMALL(IF(ISNUMBER(MATCH($B$2:$B$10000,$E$6:$E$22,0)),ROW($C$2:$C$10000)-ROW($C$2)+1),ROWS(M$20:M459))))</f>
        <v>35</v>
      </c>
      <c r="K459" s="7">
        <f t="array" ref="K459">IF(ROWS(K$20:K459)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459))))</f>
        <v>41287</v>
      </c>
      <c r="L459" s="4" t="str">
        <f t="array" ref="L459">IF(ROWS(L$20:L459)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459))))</f>
        <v>Rosamond  Allard</v>
      </c>
      <c r="M459" s="4">
        <f t="array" ref="M459">IF(ROWS(M$20:M459)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459))))</f>
        <v>35</v>
      </c>
    </row>
    <row r="460" spans="1:13" x14ac:dyDescent="0.25">
      <c r="A460" s="3">
        <v>41807</v>
      </c>
      <c r="B460" s="2" t="s">
        <v>35</v>
      </c>
      <c r="C460" s="2">
        <v>33</v>
      </c>
      <c r="G460" s="7">
        <f t="array" ref="G460">IF(ROWS(K$20:K460)&gt;$F$6,"",INDEX(A$2:A$10000,SMALL(IF(ISNUMBER(MATCH($B$2:$B$10000,$E$6:$E$22,0)),ROW($C$2:$C$10000)-ROW($C$2)+1),ROWS(K$20:K460))))</f>
        <v>41416</v>
      </c>
      <c r="H460" s="4" t="str">
        <f t="array" ref="H460">IF(ROWS(L$20:L460)&gt;$F$6,"",INDEX(B$2:B$10000,SMALL(IF(ISNUMBER(MATCH($B$2:$B$10000,$E$6:$E$22,0)),ROW($C$2:$C$10000)-ROW($C$2)+1),ROWS(L$20:L460))))</f>
        <v>Galen  Barth</v>
      </c>
      <c r="I460" s="4">
        <f t="array" ref="I460">IF(ROWS(M$20:M460)&gt;$F$6,"",INDEX(C$2:C$10000,SMALL(IF(ISNUMBER(MATCH($B$2:$B$10000,$E$6:$E$22,0)),ROW($C$2:$C$10000)-ROW($C$2)+1),ROWS(M$20:M460))))</f>
        <v>15</v>
      </c>
      <c r="K460" s="7">
        <f t="array" ref="K460">IF(ROWS(K$20:K460)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460))))</f>
        <v>41416</v>
      </c>
      <c r="L460" s="4" t="str">
        <f t="array" ref="L460">IF(ROWS(L$20:L460)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460))))</f>
        <v>Galen  Barth</v>
      </c>
      <c r="M460" s="4">
        <f t="array" ref="M460">IF(ROWS(M$20:M460)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460))))</f>
        <v>15</v>
      </c>
    </row>
    <row r="461" spans="1:13" x14ac:dyDescent="0.25">
      <c r="A461" s="3">
        <v>41772</v>
      </c>
      <c r="B461" s="2" t="s">
        <v>31</v>
      </c>
      <c r="C461" s="2">
        <v>48</v>
      </c>
      <c r="G461" s="7">
        <f t="array" ref="G461">IF(ROWS(K$20:K461)&gt;$F$6,"",INDEX(A$2:A$10000,SMALL(IF(ISNUMBER(MATCH($B$2:$B$10000,$E$6:$E$22,0)),ROW($C$2:$C$10000)-ROW($C$2)+1),ROWS(K$20:K461))))</f>
        <v>41371</v>
      </c>
      <c r="H461" s="4" t="str">
        <f t="array" ref="H461">IF(ROWS(L$20:L461)&gt;$F$6,"",INDEX(B$2:B$10000,SMALL(IF(ISNUMBER(MATCH($B$2:$B$10000,$E$6:$E$22,0)),ROW($C$2:$C$10000)-ROW($C$2)+1),ROWS(L$20:L461))))</f>
        <v>Galen  Barth</v>
      </c>
      <c r="I461" s="4">
        <f t="array" ref="I461">IF(ROWS(M$20:M461)&gt;$F$6,"",INDEX(C$2:C$10000,SMALL(IF(ISNUMBER(MATCH($B$2:$B$10000,$E$6:$E$22,0)),ROW($C$2:$C$10000)-ROW($C$2)+1),ROWS(M$20:M461))))</f>
        <v>22</v>
      </c>
      <c r="K461" s="7">
        <f t="array" ref="K461">IF(ROWS(K$20:K461)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461))))</f>
        <v>41371</v>
      </c>
      <c r="L461" s="4" t="str">
        <f t="array" ref="L461">IF(ROWS(L$20:L461)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461))))</f>
        <v>Galen  Barth</v>
      </c>
      <c r="M461" s="4">
        <f t="array" ref="M461">IF(ROWS(M$20:M461)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461))))</f>
        <v>22</v>
      </c>
    </row>
    <row r="462" spans="1:13" x14ac:dyDescent="0.25">
      <c r="A462" s="3">
        <v>41372</v>
      </c>
      <c r="B462" s="2" t="s">
        <v>49</v>
      </c>
      <c r="C462" s="2">
        <v>23</v>
      </c>
      <c r="G462" s="7">
        <f t="array" ref="G462">IF(ROWS(K$20:K462)&gt;$F$6,"",INDEX(A$2:A$10000,SMALL(IF(ISNUMBER(MATCH($B$2:$B$10000,$E$6:$E$22,0)),ROW($C$2:$C$10000)-ROW($C$2)+1),ROWS(K$20:K462))))</f>
        <v>41420</v>
      </c>
      <c r="H462" s="4" t="str">
        <f t="array" ref="H462">IF(ROWS(L$20:L462)&gt;$F$6,"",INDEX(B$2:B$10000,SMALL(IF(ISNUMBER(MATCH($B$2:$B$10000,$E$6:$E$22,0)),ROW($C$2:$C$10000)-ROW($C$2)+1),ROWS(L$20:L462))))</f>
        <v>Rosamond  Allard</v>
      </c>
      <c r="I462" s="4">
        <f t="array" ref="I462">IF(ROWS(M$20:M462)&gt;$F$6,"",INDEX(C$2:C$10000,SMALL(IF(ISNUMBER(MATCH($B$2:$B$10000,$E$6:$E$22,0)),ROW($C$2:$C$10000)-ROW($C$2)+1),ROWS(M$20:M462))))</f>
        <v>29</v>
      </c>
      <c r="K462" s="7">
        <f t="array" ref="K462">IF(ROWS(K$20:K462)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462))))</f>
        <v>41420</v>
      </c>
      <c r="L462" s="4" t="str">
        <f t="array" ref="L462">IF(ROWS(L$20:L462)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462))))</f>
        <v>Rosamond  Allard</v>
      </c>
      <c r="M462" s="4">
        <f t="array" ref="M462">IF(ROWS(M$20:M462)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462))))</f>
        <v>29</v>
      </c>
    </row>
    <row r="463" spans="1:13" x14ac:dyDescent="0.25">
      <c r="A463" s="3">
        <v>41925</v>
      </c>
      <c r="B463" s="2" t="s">
        <v>21</v>
      </c>
      <c r="C463" s="2">
        <v>17</v>
      </c>
      <c r="G463" s="7">
        <f t="array" ref="G463">IF(ROWS(K$20:K463)&gt;$F$6,"",INDEX(A$2:A$10000,SMALL(IF(ISNUMBER(MATCH($B$2:$B$10000,$E$6:$E$22,0)),ROW($C$2:$C$10000)-ROW($C$2)+1),ROWS(K$20:K463))))</f>
        <v>41974</v>
      </c>
      <c r="H463" s="4" t="str">
        <f t="array" ref="H463">IF(ROWS(L$20:L463)&gt;$F$6,"",INDEX(B$2:B$10000,SMALL(IF(ISNUMBER(MATCH($B$2:$B$10000,$E$6:$E$22,0)),ROW($C$2:$C$10000)-ROW($C$2)+1),ROWS(L$20:L463))))</f>
        <v>Iliana  Valerio</v>
      </c>
      <c r="I463" s="4">
        <f t="array" ref="I463">IF(ROWS(M$20:M463)&gt;$F$6,"",INDEX(C$2:C$10000,SMALL(IF(ISNUMBER(MATCH($B$2:$B$10000,$E$6:$E$22,0)),ROW($C$2:$C$10000)-ROW($C$2)+1),ROWS(M$20:M463))))</f>
        <v>30</v>
      </c>
      <c r="K463" s="7">
        <f t="array" ref="K463">IF(ROWS(K$20:K463)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463))))</f>
        <v>41974</v>
      </c>
      <c r="L463" s="4" t="str">
        <f t="array" ref="L463">IF(ROWS(L$20:L463)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463))))</f>
        <v>Iliana  Valerio</v>
      </c>
      <c r="M463" s="4">
        <f t="array" ref="M463">IF(ROWS(M$20:M463)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463))))</f>
        <v>30</v>
      </c>
    </row>
    <row r="464" spans="1:13" x14ac:dyDescent="0.25">
      <c r="A464" s="3">
        <v>41409</v>
      </c>
      <c r="B464" s="2" t="s">
        <v>49</v>
      </c>
      <c r="C464" s="2">
        <v>27</v>
      </c>
      <c r="G464" s="7">
        <f t="array" ref="G464">IF(ROWS(K$20:K464)&gt;$F$6,"",INDEX(A$2:A$10000,SMALL(IF(ISNUMBER(MATCH($B$2:$B$10000,$E$6:$E$22,0)),ROW($C$2:$C$10000)-ROW($C$2)+1),ROWS(K$20:K464))))</f>
        <v>41965</v>
      </c>
      <c r="H464" s="4" t="str">
        <f t="array" ref="H464">IF(ROWS(L$20:L464)&gt;$F$6,"",INDEX(B$2:B$10000,SMALL(IF(ISNUMBER(MATCH($B$2:$B$10000,$E$6:$E$22,0)),ROW($C$2:$C$10000)-ROW($C$2)+1),ROWS(L$20:L464))))</f>
        <v>Iliana  Valerio</v>
      </c>
      <c r="I464" s="4">
        <f t="array" ref="I464">IF(ROWS(M$20:M464)&gt;$F$6,"",INDEX(C$2:C$10000,SMALL(IF(ISNUMBER(MATCH($B$2:$B$10000,$E$6:$E$22,0)),ROW($C$2:$C$10000)-ROW($C$2)+1),ROWS(M$20:M464))))</f>
        <v>22</v>
      </c>
      <c r="K464" s="7">
        <f t="array" ref="K464">IF(ROWS(K$20:K464)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464))))</f>
        <v>41965</v>
      </c>
      <c r="L464" s="4" t="str">
        <f t="array" ref="L464">IF(ROWS(L$20:L464)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464))))</f>
        <v>Iliana  Valerio</v>
      </c>
      <c r="M464" s="4">
        <f t="array" ref="M464">IF(ROWS(M$20:M464)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464))))</f>
        <v>22</v>
      </c>
    </row>
    <row r="465" spans="1:13" x14ac:dyDescent="0.25">
      <c r="A465" s="3">
        <v>41386</v>
      </c>
      <c r="B465" s="2" t="s">
        <v>2</v>
      </c>
      <c r="C465" s="2">
        <v>23</v>
      </c>
      <c r="G465" s="7">
        <f t="array" ref="G465">IF(ROWS(K$20:K465)&gt;$F$6,"",INDEX(A$2:A$10000,SMALL(IF(ISNUMBER(MATCH($B$2:$B$10000,$E$6:$E$22,0)),ROW($C$2:$C$10000)-ROW($C$2)+1),ROWS(K$20:K465))))</f>
        <v>41638</v>
      </c>
      <c r="H465" s="4" t="str">
        <f t="array" ref="H465">IF(ROWS(L$20:L465)&gt;$F$6,"",INDEX(B$2:B$10000,SMALL(IF(ISNUMBER(MATCH($B$2:$B$10000,$E$6:$E$22,0)),ROW($C$2:$C$10000)-ROW($C$2)+1),ROWS(L$20:L465))))</f>
        <v>Kerrie  Worrell</v>
      </c>
      <c r="I465" s="4">
        <f t="array" ref="I465">IF(ROWS(M$20:M465)&gt;$F$6,"",INDEX(C$2:C$10000,SMALL(IF(ISNUMBER(MATCH($B$2:$B$10000,$E$6:$E$22,0)),ROW($C$2:$C$10000)-ROW($C$2)+1),ROWS(M$20:M465))))</f>
        <v>49</v>
      </c>
      <c r="K465" s="7">
        <f t="array" ref="K465">IF(ROWS(K$20:K465)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465))))</f>
        <v>41638</v>
      </c>
      <c r="L465" s="4" t="str">
        <f t="array" ref="L465">IF(ROWS(L$20:L465)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465))))</f>
        <v>Kerrie  Worrell</v>
      </c>
      <c r="M465" s="4">
        <f t="array" ref="M465">IF(ROWS(M$20:M465)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465))))</f>
        <v>49</v>
      </c>
    </row>
    <row r="466" spans="1:13" x14ac:dyDescent="0.25">
      <c r="A466" s="3">
        <v>41892</v>
      </c>
      <c r="B466" s="2" t="s">
        <v>16</v>
      </c>
      <c r="C466" s="2">
        <v>28</v>
      </c>
      <c r="G466" s="7">
        <f t="array" ref="G466">IF(ROWS(K$20:K466)&gt;$F$6,"",INDEX(A$2:A$10000,SMALL(IF(ISNUMBER(MATCH($B$2:$B$10000,$E$6:$E$22,0)),ROW($C$2:$C$10000)-ROW($C$2)+1),ROWS(K$20:K466))))</f>
        <v>41432</v>
      </c>
      <c r="H466" s="4" t="str">
        <f t="array" ref="H466">IF(ROWS(L$20:L466)&gt;$F$6,"",INDEX(B$2:B$10000,SMALL(IF(ISNUMBER(MATCH($B$2:$B$10000,$E$6:$E$22,0)),ROW($C$2:$C$10000)-ROW($C$2)+1),ROWS(L$20:L466))))</f>
        <v>Rosamond  Allard</v>
      </c>
      <c r="I466" s="4">
        <f t="array" ref="I466">IF(ROWS(M$20:M466)&gt;$F$6,"",INDEX(C$2:C$10000,SMALL(IF(ISNUMBER(MATCH($B$2:$B$10000,$E$6:$E$22,0)),ROW($C$2:$C$10000)-ROW($C$2)+1),ROWS(M$20:M466))))</f>
        <v>43</v>
      </c>
      <c r="K466" s="7">
        <f t="array" ref="K466">IF(ROWS(K$20:K466)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466))))</f>
        <v>41432</v>
      </c>
      <c r="L466" s="4" t="str">
        <f t="array" ref="L466">IF(ROWS(L$20:L466)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466))))</f>
        <v>Rosamond  Allard</v>
      </c>
      <c r="M466" s="4">
        <f t="array" ref="M466">IF(ROWS(M$20:M466)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466))))</f>
        <v>43</v>
      </c>
    </row>
    <row r="467" spans="1:13" x14ac:dyDescent="0.25">
      <c r="A467" s="3">
        <v>41349</v>
      </c>
      <c r="B467" s="2" t="s">
        <v>41</v>
      </c>
      <c r="C467" s="2">
        <v>22</v>
      </c>
      <c r="G467" s="7">
        <f t="array" ref="G467">IF(ROWS(K$20:K467)&gt;$F$6,"",INDEX(A$2:A$10000,SMALL(IF(ISNUMBER(MATCH($B$2:$B$10000,$E$6:$E$22,0)),ROW($C$2:$C$10000)-ROW($C$2)+1),ROWS(K$20:K467))))</f>
        <v>41741</v>
      </c>
      <c r="H467" s="4" t="str">
        <f t="array" ref="H467">IF(ROWS(L$20:L467)&gt;$F$6,"",INDEX(B$2:B$10000,SMALL(IF(ISNUMBER(MATCH($B$2:$B$10000,$E$6:$E$22,0)),ROW($C$2:$C$10000)-ROW($C$2)+1),ROWS(L$20:L467))))</f>
        <v>Kerrie  Worrell</v>
      </c>
      <c r="I467" s="4">
        <f t="array" ref="I467">IF(ROWS(M$20:M467)&gt;$F$6,"",INDEX(C$2:C$10000,SMALL(IF(ISNUMBER(MATCH($B$2:$B$10000,$E$6:$E$22,0)),ROW($C$2:$C$10000)-ROW($C$2)+1),ROWS(M$20:M467))))</f>
        <v>51</v>
      </c>
      <c r="K467" s="7">
        <f t="array" ref="K467">IF(ROWS(K$20:K467)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467))))</f>
        <v>41741</v>
      </c>
      <c r="L467" s="4" t="str">
        <f t="array" ref="L467">IF(ROWS(L$20:L467)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467))))</f>
        <v>Kerrie  Worrell</v>
      </c>
      <c r="M467" s="4">
        <f t="array" ref="M467">IF(ROWS(M$20:M467)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467))))</f>
        <v>51</v>
      </c>
    </row>
    <row r="468" spans="1:13" x14ac:dyDescent="0.25">
      <c r="A468" s="3">
        <v>41665</v>
      </c>
      <c r="B468" s="2" t="s">
        <v>33</v>
      </c>
      <c r="C468" s="2">
        <v>31</v>
      </c>
      <c r="G468" s="7">
        <f t="array" ref="G468">IF(ROWS(K$20:K468)&gt;$F$6,"",INDEX(A$2:A$10000,SMALL(IF(ISNUMBER(MATCH($B$2:$B$10000,$E$6:$E$22,0)),ROW($C$2:$C$10000)-ROW($C$2)+1),ROWS(K$20:K468))))</f>
        <v>41852</v>
      </c>
      <c r="H468" s="4" t="str">
        <f t="array" ref="H468">IF(ROWS(L$20:L468)&gt;$F$6,"",INDEX(B$2:B$10000,SMALL(IF(ISNUMBER(MATCH($B$2:$B$10000,$E$6:$E$22,0)),ROW($C$2:$C$10000)-ROW($C$2)+1),ROWS(L$20:L468))))</f>
        <v>Rosamond  Allard</v>
      </c>
      <c r="I468" s="4">
        <f t="array" ref="I468">IF(ROWS(M$20:M468)&gt;$F$6,"",INDEX(C$2:C$10000,SMALL(IF(ISNUMBER(MATCH($B$2:$B$10000,$E$6:$E$22,0)),ROW($C$2:$C$10000)-ROW($C$2)+1),ROWS(M$20:M468))))</f>
        <v>56</v>
      </c>
      <c r="K468" s="7">
        <f t="array" ref="K468">IF(ROWS(K$20:K468)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468))))</f>
        <v>41852</v>
      </c>
      <c r="L468" s="4" t="str">
        <f t="array" ref="L468">IF(ROWS(L$20:L468)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468))))</f>
        <v>Rosamond  Allard</v>
      </c>
      <c r="M468" s="4">
        <f t="array" ref="M468">IF(ROWS(M$20:M468)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468))))</f>
        <v>56</v>
      </c>
    </row>
    <row r="469" spans="1:13" x14ac:dyDescent="0.25">
      <c r="A469" s="3">
        <v>41783</v>
      </c>
      <c r="B469" s="2" t="s">
        <v>12</v>
      </c>
      <c r="C469" s="2">
        <v>7</v>
      </c>
      <c r="G469" s="7">
        <f t="array" ref="G469">IF(ROWS(K$20:K469)&gt;$F$6,"",INDEX(A$2:A$10000,SMALL(IF(ISNUMBER(MATCH($B$2:$B$10000,$E$6:$E$22,0)),ROW($C$2:$C$10000)-ROW($C$2)+1),ROWS(K$20:K469))))</f>
        <v>41408</v>
      </c>
      <c r="H469" s="4" t="str">
        <f t="array" ref="H469">IF(ROWS(L$20:L469)&gt;$F$6,"",INDEX(B$2:B$10000,SMALL(IF(ISNUMBER(MATCH($B$2:$B$10000,$E$6:$E$22,0)),ROW($C$2:$C$10000)-ROW($C$2)+1),ROWS(L$20:L469))))</f>
        <v>Rosamond  Allard</v>
      </c>
      <c r="I469" s="4">
        <f t="array" ref="I469">IF(ROWS(M$20:M469)&gt;$F$6,"",INDEX(C$2:C$10000,SMALL(IF(ISNUMBER(MATCH($B$2:$B$10000,$E$6:$E$22,0)),ROW($C$2:$C$10000)-ROW($C$2)+1),ROWS(M$20:M469))))</f>
        <v>30</v>
      </c>
      <c r="K469" s="7">
        <f t="array" ref="K469">IF(ROWS(K$20:K469)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469))))</f>
        <v>41408</v>
      </c>
      <c r="L469" s="4" t="str">
        <f t="array" ref="L469">IF(ROWS(L$20:L469)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469))))</f>
        <v>Rosamond  Allard</v>
      </c>
      <c r="M469" s="4">
        <f t="array" ref="M469">IF(ROWS(M$20:M469)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469))))</f>
        <v>30</v>
      </c>
    </row>
    <row r="470" spans="1:13" x14ac:dyDescent="0.25">
      <c r="A470" s="3">
        <v>41789</v>
      </c>
      <c r="B470" s="2" t="s">
        <v>29</v>
      </c>
      <c r="C470" s="2">
        <v>38</v>
      </c>
      <c r="G470" s="7">
        <f t="array" ref="G470">IF(ROWS(K$20:K470)&gt;$F$6,"",INDEX(A$2:A$10000,SMALL(IF(ISNUMBER(MATCH($B$2:$B$10000,$E$6:$E$22,0)),ROW($C$2:$C$10000)-ROW($C$2)+1),ROWS(K$20:K470))))</f>
        <v>41749</v>
      </c>
      <c r="H470" s="4" t="str">
        <f t="array" ref="H470">IF(ROWS(L$20:L470)&gt;$F$6,"",INDEX(B$2:B$10000,SMALL(IF(ISNUMBER(MATCH($B$2:$B$10000,$E$6:$E$22,0)),ROW($C$2:$C$10000)-ROW($C$2)+1),ROWS(L$20:L470))))</f>
        <v>Jenni  Thorton</v>
      </c>
      <c r="I470" s="4">
        <f t="array" ref="I470">IF(ROWS(M$20:M470)&gt;$F$6,"",INDEX(C$2:C$10000,SMALL(IF(ISNUMBER(MATCH($B$2:$B$10000,$E$6:$E$22,0)),ROW($C$2:$C$10000)-ROW($C$2)+1),ROWS(M$20:M470))))</f>
        <v>20</v>
      </c>
      <c r="K470" s="7">
        <f t="array" ref="K470">IF(ROWS(K$20:K470)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470))))</f>
        <v>41749</v>
      </c>
      <c r="L470" s="4" t="str">
        <f t="array" ref="L470">IF(ROWS(L$20:L470)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470))))</f>
        <v>Jenni  Thorton</v>
      </c>
      <c r="M470" s="4">
        <f t="array" ref="M470">IF(ROWS(M$20:M470)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470))))</f>
        <v>20</v>
      </c>
    </row>
    <row r="471" spans="1:13" x14ac:dyDescent="0.25">
      <c r="A471" s="3">
        <v>41397</v>
      </c>
      <c r="B471" s="2" t="s">
        <v>31</v>
      </c>
      <c r="C471" s="2">
        <v>5</v>
      </c>
      <c r="G471" s="7">
        <f t="array" ref="G471">IF(ROWS(K$20:K471)&gt;$F$6,"",INDEX(A$2:A$10000,SMALL(IF(ISNUMBER(MATCH($B$2:$B$10000,$E$6:$E$22,0)),ROW($C$2:$C$10000)-ROW($C$2)+1),ROWS(K$20:K471))))</f>
        <v>41947</v>
      </c>
      <c r="H471" s="4" t="str">
        <f t="array" ref="H471">IF(ROWS(L$20:L471)&gt;$F$6,"",INDEX(B$2:B$10000,SMALL(IF(ISNUMBER(MATCH($B$2:$B$10000,$E$6:$E$22,0)),ROW($C$2:$C$10000)-ROW($C$2)+1),ROWS(L$20:L471))))</f>
        <v>Galen  Barth</v>
      </c>
      <c r="I471" s="4">
        <f t="array" ref="I471">IF(ROWS(M$20:M471)&gt;$F$6,"",INDEX(C$2:C$10000,SMALL(IF(ISNUMBER(MATCH($B$2:$B$10000,$E$6:$E$22,0)),ROW($C$2:$C$10000)-ROW($C$2)+1),ROWS(M$20:M471))))</f>
        <v>4</v>
      </c>
      <c r="K471" s="7">
        <f t="array" ref="K471">IF(ROWS(K$20:K471)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471))))</f>
        <v>41947</v>
      </c>
      <c r="L471" s="4" t="str">
        <f t="array" ref="L471">IF(ROWS(L$20:L471)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471))))</f>
        <v>Galen  Barth</v>
      </c>
      <c r="M471" s="4">
        <f t="array" ref="M471">IF(ROWS(M$20:M471)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471))))</f>
        <v>4</v>
      </c>
    </row>
    <row r="472" spans="1:13" x14ac:dyDescent="0.25">
      <c r="A472" s="3">
        <v>41835</v>
      </c>
      <c r="B472" s="2" t="s">
        <v>22</v>
      </c>
      <c r="C472" s="2">
        <v>16</v>
      </c>
      <c r="G472" s="7">
        <f t="array" ref="G472">IF(ROWS(K$20:K472)&gt;$F$6,"",INDEX(A$2:A$10000,SMALL(IF(ISNUMBER(MATCH($B$2:$B$10000,$E$6:$E$22,0)),ROW($C$2:$C$10000)-ROW($C$2)+1),ROWS(K$20:K472))))</f>
        <v>41942</v>
      </c>
      <c r="H472" s="4" t="str">
        <f t="array" ref="H472">IF(ROWS(L$20:L472)&gt;$F$6,"",INDEX(B$2:B$10000,SMALL(IF(ISNUMBER(MATCH($B$2:$B$10000,$E$6:$E$22,0)),ROW($C$2:$C$10000)-ROW($C$2)+1),ROWS(L$20:L472))))</f>
        <v>Iliana  Valerio</v>
      </c>
      <c r="I472" s="4">
        <f t="array" ref="I472">IF(ROWS(M$20:M472)&gt;$F$6,"",INDEX(C$2:C$10000,SMALL(IF(ISNUMBER(MATCH($B$2:$B$10000,$E$6:$E$22,0)),ROW($C$2:$C$10000)-ROW($C$2)+1),ROWS(M$20:M472))))</f>
        <v>8</v>
      </c>
      <c r="K472" s="7">
        <f t="array" ref="K472">IF(ROWS(K$20:K472)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472))))</f>
        <v>41942</v>
      </c>
      <c r="L472" s="4" t="str">
        <f t="array" ref="L472">IF(ROWS(L$20:L472)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472))))</f>
        <v>Iliana  Valerio</v>
      </c>
      <c r="M472" s="4">
        <f t="array" ref="M472">IF(ROWS(M$20:M472)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472))))</f>
        <v>8</v>
      </c>
    </row>
    <row r="473" spans="1:13" x14ac:dyDescent="0.25">
      <c r="A473" s="3">
        <v>41654</v>
      </c>
      <c r="B473" s="2" t="s">
        <v>3</v>
      </c>
      <c r="C473" s="2">
        <v>36</v>
      </c>
      <c r="G473" s="7">
        <f t="array" ref="G473">IF(ROWS(K$20:K473)&gt;$F$6,"",INDEX(A$2:A$10000,SMALL(IF(ISNUMBER(MATCH($B$2:$B$10000,$E$6:$E$22,0)),ROW($C$2:$C$10000)-ROW($C$2)+1),ROWS(K$20:K473))))</f>
        <v>41444</v>
      </c>
      <c r="H473" s="4" t="str">
        <f t="array" ref="H473">IF(ROWS(L$20:L473)&gt;$F$6,"",INDEX(B$2:B$10000,SMALL(IF(ISNUMBER(MATCH($B$2:$B$10000,$E$6:$E$22,0)),ROW($C$2:$C$10000)-ROW($C$2)+1),ROWS(L$20:L473))))</f>
        <v>Mickey  Bolduc</v>
      </c>
      <c r="I473" s="4">
        <f t="array" ref="I473">IF(ROWS(M$20:M473)&gt;$F$6,"",INDEX(C$2:C$10000,SMALL(IF(ISNUMBER(MATCH($B$2:$B$10000,$E$6:$E$22,0)),ROW($C$2:$C$10000)-ROW($C$2)+1),ROWS(M$20:M473))))</f>
        <v>22</v>
      </c>
      <c r="K473" s="7">
        <f t="array" ref="K473">IF(ROWS(K$20:K473)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473))))</f>
        <v>41444</v>
      </c>
      <c r="L473" s="4" t="str">
        <f t="array" ref="L473">IF(ROWS(L$20:L473)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473))))</f>
        <v>Mickey  Bolduc</v>
      </c>
      <c r="M473" s="4">
        <f t="array" ref="M473">IF(ROWS(M$20:M473)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473))))</f>
        <v>22</v>
      </c>
    </row>
    <row r="474" spans="1:13" x14ac:dyDescent="0.25">
      <c r="A474" s="3">
        <v>41296</v>
      </c>
      <c r="B474" s="2" t="s">
        <v>25</v>
      </c>
      <c r="C474" s="2">
        <v>8</v>
      </c>
      <c r="G474" s="7">
        <f t="array" ref="G474">IF(ROWS(K$20:K474)&gt;$F$6,"",INDEX(A$2:A$10000,SMALL(IF(ISNUMBER(MATCH($B$2:$B$10000,$E$6:$E$22,0)),ROW($C$2:$C$10000)-ROW($C$2)+1),ROWS(K$20:K474))))</f>
        <v>41526</v>
      </c>
      <c r="H474" s="4" t="str">
        <f t="array" ref="H474">IF(ROWS(L$20:L474)&gt;$F$6,"",INDEX(B$2:B$10000,SMALL(IF(ISNUMBER(MATCH($B$2:$B$10000,$E$6:$E$22,0)),ROW($C$2:$C$10000)-ROW($C$2)+1),ROWS(L$20:L474))))</f>
        <v>Iliana  Valerio</v>
      </c>
      <c r="I474" s="4">
        <f t="array" ref="I474">IF(ROWS(M$20:M474)&gt;$F$6,"",INDEX(C$2:C$10000,SMALL(IF(ISNUMBER(MATCH($B$2:$B$10000,$E$6:$E$22,0)),ROW($C$2:$C$10000)-ROW($C$2)+1),ROWS(M$20:M474))))</f>
        <v>10</v>
      </c>
      <c r="K474" s="7">
        <f t="array" ref="K474">IF(ROWS(K$20:K474)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474))))</f>
        <v>41526</v>
      </c>
      <c r="L474" s="4" t="str">
        <f t="array" ref="L474">IF(ROWS(L$20:L474)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474))))</f>
        <v>Iliana  Valerio</v>
      </c>
      <c r="M474" s="4">
        <f t="array" ref="M474">IF(ROWS(M$20:M474)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474))))</f>
        <v>10</v>
      </c>
    </row>
    <row r="475" spans="1:13" x14ac:dyDescent="0.25">
      <c r="A475" s="3">
        <v>41405</v>
      </c>
      <c r="B475" s="2" t="s">
        <v>51</v>
      </c>
      <c r="C475" s="2">
        <v>52</v>
      </c>
      <c r="G475" s="7">
        <f t="array" ref="G475">IF(ROWS(K$20:K475)&gt;$F$6,"",INDEX(A$2:A$10000,SMALL(IF(ISNUMBER(MATCH($B$2:$B$10000,$E$6:$E$22,0)),ROW($C$2:$C$10000)-ROW($C$2)+1),ROWS(K$20:K475))))</f>
        <v>41714</v>
      </c>
      <c r="H475" s="4" t="str">
        <f t="array" ref="H475">IF(ROWS(L$20:L475)&gt;$F$6,"",INDEX(B$2:B$10000,SMALL(IF(ISNUMBER(MATCH($B$2:$B$10000,$E$6:$E$22,0)),ROW($C$2:$C$10000)-ROW($C$2)+1),ROWS(L$20:L475))))</f>
        <v>Galen  Barth</v>
      </c>
      <c r="I475" s="4">
        <f t="array" ref="I475">IF(ROWS(M$20:M475)&gt;$F$6,"",INDEX(C$2:C$10000,SMALL(IF(ISNUMBER(MATCH($B$2:$B$10000,$E$6:$E$22,0)),ROW($C$2:$C$10000)-ROW($C$2)+1),ROWS(M$20:M475))))</f>
        <v>37</v>
      </c>
      <c r="K475" s="7">
        <f t="array" ref="K475">IF(ROWS(K$20:K475)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475))))</f>
        <v>41714</v>
      </c>
      <c r="L475" s="4" t="str">
        <f t="array" ref="L475">IF(ROWS(L$20:L475)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475))))</f>
        <v>Galen  Barth</v>
      </c>
      <c r="M475" s="4">
        <f t="array" ref="M475">IF(ROWS(M$20:M475)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475))))</f>
        <v>37</v>
      </c>
    </row>
    <row r="476" spans="1:13" x14ac:dyDescent="0.25">
      <c r="A476" s="3">
        <v>41391</v>
      </c>
      <c r="B476" s="2" t="s">
        <v>39</v>
      </c>
      <c r="C476" s="2">
        <v>17</v>
      </c>
      <c r="G476" s="7">
        <f t="array" ref="G476">IF(ROWS(K$20:K476)&gt;$F$6,"",INDEX(A$2:A$10000,SMALL(IF(ISNUMBER(MATCH($B$2:$B$10000,$E$6:$E$22,0)),ROW($C$2:$C$10000)-ROW($C$2)+1),ROWS(K$20:K476))))</f>
        <v>41450</v>
      </c>
      <c r="H476" s="4" t="str">
        <f t="array" ref="H476">IF(ROWS(L$20:L476)&gt;$F$6,"",INDEX(B$2:B$10000,SMALL(IF(ISNUMBER(MATCH($B$2:$B$10000,$E$6:$E$22,0)),ROW($C$2:$C$10000)-ROW($C$2)+1),ROWS(L$20:L476))))</f>
        <v>Kerrie  Worrell</v>
      </c>
      <c r="I476" s="4">
        <f t="array" ref="I476">IF(ROWS(M$20:M476)&gt;$F$6,"",INDEX(C$2:C$10000,SMALL(IF(ISNUMBER(MATCH($B$2:$B$10000,$E$6:$E$22,0)),ROW($C$2:$C$10000)-ROW($C$2)+1),ROWS(M$20:M476))))</f>
        <v>12</v>
      </c>
      <c r="K476" s="7">
        <f t="array" ref="K476">IF(ROWS(K$20:K476)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476))))</f>
        <v>41450</v>
      </c>
      <c r="L476" s="4" t="str">
        <f t="array" ref="L476">IF(ROWS(L$20:L476)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476))))</f>
        <v>Kerrie  Worrell</v>
      </c>
      <c r="M476" s="4">
        <f t="array" ref="M476">IF(ROWS(M$20:M476)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476))))</f>
        <v>12</v>
      </c>
    </row>
    <row r="477" spans="1:13" x14ac:dyDescent="0.25">
      <c r="A477" s="3">
        <v>41629</v>
      </c>
      <c r="B477" s="2" t="s">
        <v>37</v>
      </c>
      <c r="C477" s="2">
        <v>5</v>
      </c>
      <c r="G477" s="7">
        <f t="array" ref="G477">IF(ROWS(K$20:K477)&gt;$F$6,"",INDEX(A$2:A$10000,SMALL(IF(ISNUMBER(MATCH($B$2:$B$10000,$E$6:$E$22,0)),ROW($C$2:$C$10000)-ROW($C$2)+1),ROWS(K$20:K477))))</f>
        <v>41792</v>
      </c>
      <c r="H477" s="4" t="str">
        <f t="array" ref="H477">IF(ROWS(L$20:L477)&gt;$F$6,"",INDEX(B$2:B$10000,SMALL(IF(ISNUMBER(MATCH($B$2:$B$10000,$E$6:$E$22,0)),ROW($C$2:$C$10000)-ROW($C$2)+1),ROWS(L$20:L477))))</f>
        <v>Galen  Barth</v>
      </c>
      <c r="I477" s="4">
        <f t="array" ref="I477">IF(ROWS(M$20:M477)&gt;$F$6,"",INDEX(C$2:C$10000,SMALL(IF(ISNUMBER(MATCH($B$2:$B$10000,$E$6:$E$22,0)),ROW($C$2:$C$10000)-ROW($C$2)+1),ROWS(M$20:M477))))</f>
        <v>21</v>
      </c>
      <c r="K477" s="7">
        <f t="array" ref="K477">IF(ROWS(K$20:K477)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477))))</f>
        <v>41792</v>
      </c>
      <c r="L477" s="4" t="str">
        <f t="array" ref="L477">IF(ROWS(L$20:L477)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477))))</f>
        <v>Galen  Barth</v>
      </c>
      <c r="M477" s="4">
        <f t="array" ref="M477">IF(ROWS(M$20:M477)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477))))</f>
        <v>21</v>
      </c>
    </row>
    <row r="478" spans="1:13" x14ac:dyDescent="0.25">
      <c r="A478" s="3">
        <v>41690</v>
      </c>
      <c r="B478" s="2" t="s">
        <v>15</v>
      </c>
      <c r="C478" s="2">
        <v>17</v>
      </c>
      <c r="G478" s="7">
        <f t="array" ref="G478">IF(ROWS(K$20:K478)&gt;$F$6,"",INDEX(A$2:A$10000,SMALL(IF(ISNUMBER(MATCH($B$2:$B$10000,$E$6:$E$22,0)),ROW($C$2:$C$10000)-ROW($C$2)+1),ROWS(K$20:K478))))</f>
        <v>41503</v>
      </c>
      <c r="H478" s="4" t="str">
        <f t="array" ref="H478">IF(ROWS(L$20:L478)&gt;$F$6,"",INDEX(B$2:B$10000,SMALL(IF(ISNUMBER(MATCH($B$2:$B$10000,$E$6:$E$22,0)),ROW($C$2:$C$10000)-ROW($C$2)+1),ROWS(L$20:L478))))</f>
        <v>Jenni  Thorton</v>
      </c>
      <c r="I478" s="4">
        <f t="array" ref="I478">IF(ROWS(M$20:M478)&gt;$F$6,"",INDEX(C$2:C$10000,SMALL(IF(ISNUMBER(MATCH($B$2:$B$10000,$E$6:$E$22,0)),ROW($C$2:$C$10000)-ROW($C$2)+1),ROWS(M$20:M478))))</f>
        <v>16</v>
      </c>
      <c r="K478" s="7">
        <f t="array" ref="K478">IF(ROWS(K$20:K478)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478))))</f>
        <v>41503</v>
      </c>
      <c r="L478" s="4" t="str">
        <f t="array" ref="L478">IF(ROWS(L$20:L478)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478))))</f>
        <v>Jenni  Thorton</v>
      </c>
      <c r="M478" s="4">
        <f t="array" ref="M478">IF(ROWS(M$20:M478)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478))))</f>
        <v>16</v>
      </c>
    </row>
    <row r="479" spans="1:13" x14ac:dyDescent="0.25">
      <c r="A479" s="3">
        <v>41337</v>
      </c>
      <c r="B479" s="2" t="s">
        <v>12</v>
      </c>
      <c r="C479" s="2">
        <v>29</v>
      </c>
      <c r="G479" s="7">
        <f t="array" ref="G479">IF(ROWS(K$20:K479)&gt;$F$6,"",INDEX(A$2:A$10000,SMALL(IF(ISNUMBER(MATCH($B$2:$B$10000,$E$6:$E$22,0)),ROW($C$2:$C$10000)-ROW($C$2)+1),ROWS(K$20:K479))))</f>
        <v>41457</v>
      </c>
      <c r="H479" s="4" t="str">
        <f t="array" ref="H479">IF(ROWS(L$20:L479)&gt;$F$6,"",INDEX(B$2:B$10000,SMALL(IF(ISNUMBER(MATCH($B$2:$B$10000,$E$6:$E$22,0)),ROW($C$2:$C$10000)-ROW($C$2)+1),ROWS(L$20:L479))))</f>
        <v>Mickey  Bolduc</v>
      </c>
      <c r="I479" s="4">
        <f t="array" ref="I479">IF(ROWS(M$20:M479)&gt;$F$6,"",INDEX(C$2:C$10000,SMALL(IF(ISNUMBER(MATCH($B$2:$B$10000,$E$6:$E$22,0)),ROW($C$2:$C$10000)-ROW($C$2)+1),ROWS(M$20:M479))))</f>
        <v>26</v>
      </c>
      <c r="K479" s="7">
        <f t="array" ref="K479">IF(ROWS(K$20:K479)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479))))</f>
        <v>41457</v>
      </c>
      <c r="L479" s="4" t="str">
        <f t="array" ref="L479">IF(ROWS(L$20:L479)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479))))</f>
        <v>Mickey  Bolduc</v>
      </c>
      <c r="M479" s="4">
        <f t="array" ref="M479">IF(ROWS(M$20:M479)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479))))</f>
        <v>26</v>
      </c>
    </row>
    <row r="480" spans="1:13" x14ac:dyDescent="0.25">
      <c r="A480" s="3">
        <v>41997</v>
      </c>
      <c r="B480" s="2" t="s">
        <v>6</v>
      </c>
      <c r="C480" s="2">
        <v>22</v>
      </c>
      <c r="G480" s="7">
        <f t="array" ref="G480">IF(ROWS(K$20:K480)&gt;$F$6,"",INDEX(A$2:A$10000,SMALL(IF(ISNUMBER(MATCH($B$2:$B$10000,$E$6:$E$22,0)),ROW($C$2:$C$10000)-ROW($C$2)+1),ROWS(K$20:K480))))</f>
        <v>41861</v>
      </c>
      <c r="H480" s="4" t="str">
        <f t="array" ref="H480">IF(ROWS(L$20:L480)&gt;$F$6,"",INDEX(B$2:B$10000,SMALL(IF(ISNUMBER(MATCH($B$2:$B$10000,$E$6:$E$22,0)),ROW($C$2:$C$10000)-ROW($C$2)+1),ROWS(L$20:L480))))</f>
        <v>Rosamond  Allard</v>
      </c>
      <c r="I480" s="4">
        <f t="array" ref="I480">IF(ROWS(M$20:M480)&gt;$F$6,"",INDEX(C$2:C$10000,SMALL(IF(ISNUMBER(MATCH($B$2:$B$10000,$E$6:$E$22,0)),ROW($C$2:$C$10000)-ROW($C$2)+1),ROWS(M$20:M480))))</f>
        <v>23</v>
      </c>
      <c r="K480" s="7">
        <f t="array" ref="K480">IF(ROWS(K$20:K480)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480))))</f>
        <v>41861</v>
      </c>
      <c r="L480" s="4" t="str">
        <f t="array" ref="L480">IF(ROWS(L$20:L480)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480))))</f>
        <v>Rosamond  Allard</v>
      </c>
      <c r="M480" s="4">
        <f t="array" ref="M480">IF(ROWS(M$20:M480)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480))))</f>
        <v>23</v>
      </c>
    </row>
    <row r="481" spans="1:13" x14ac:dyDescent="0.25">
      <c r="A481" s="3">
        <v>41839</v>
      </c>
      <c r="B481" s="2" t="s">
        <v>7</v>
      </c>
      <c r="C481" s="2">
        <v>30</v>
      </c>
      <c r="G481" s="7">
        <f t="array" ref="G481">IF(ROWS(K$20:K481)&gt;$F$6,"",INDEX(A$2:A$10000,SMALL(IF(ISNUMBER(MATCH($B$2:$B$10000,$E$6:$E$22,0)),ROW($C$2:$C$10000)-ROW($C$2)+1),ROWS(K$20:K481))))</f>
        <v>41767</v>
      </c>
      <c r="H481" s="4" t="str">
        <f t="array" ref="H481">IF(ROWS(L$20:L481)&gt;$F$6,"",INDEX(B$2:B$10000,SMALL(IF(ISNUMBER(MATCH($B$2:$B$10000,$E$6:$E$22,0)),ROW($C$2:$C$10000)-ROW($C$2)+1),ROWS(L$20:L481))))</f>
        <v>Kerrie  Worrell</v>
      </c>
      <c r="I481" s="4">
        <f t="array" ref="I481">IF(ROWS(M$20:M481)&gt;$F$6,"",INDEX(C$2:C$10000,SMALL(IF(ISNUMBER(MATCH($B$2:$B$10000,$E$6:$E$22,0)),ROW($C$2:$C$10000)-ROW($C$2)+1),ROWS(M$20:M481))))</f>
        <v>5</v>
      </c>
      <c r="K481" s="7">
        <f t="array" ref="K481">IF(ROWS(K$20:K481)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481))))</f>
        <v>41767</v>
      </c>
      <c r="L481" s="4" t="str">
        <f t="array" ref="L481">IF(ROWS(L$20:L481)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481))))</f>
        <v>Kerrie  Worrell</v>
      </c>
      <c r="M481" s="4">
        <f t="array" ref="M481">IF(ROWS(M$20:M481)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481))))</f>
        <v>5</v>
      </c>
    </row>
    <row r="482" spans="1:13" x14ac:dyDescent="0.25">
      <c r="A482" s="3">
        <v>41501</v>
      </c>
      <c r="B482" s="2" t="s">
        <v>4</v>
      </c>
      <c r="C482" s="2">
        <v>4</v>
      </c>
      <c r="G482" s="7">
        <f t="array" ref="G482">IF(ROWS(K$20:K482)&gt;$F$6,"",INDEX(A$2:A$10000,SMALL(IF(ISNUMBER(MATCH($B$2:$B$10000,$E$6:$E$22,0)),ROW($C$2:$C$10000)-ROW($C$2)+1),ROWS(K$20:K482))))</f>
        <v>41853</v>
      </c>
      <c r="H482" s="4" t="str">
        <f t="array" ref="H482">IF(ROWS(L$20:L482)&gt;$F$6,"",INDEX(B$2:B$10000,SMALL(IF(ISNUMBER(MATCH($B$2:$B$10000,$E$6:$E$22,0)),ROW($C$2:$C$10000)-ROW($C$2)+1),ROWS(L$20:L482))))</f>
        <v>Rosamond  Allard</v>
      </c>
      <c r="I482" s="4">
        <f t="array" ref="I482">IF(ROWS(M$20:M482)&gt;$F$6,"",INDEX(C$2:C$10000,SMALL(IF(ISNUMBER(MATCH($B$2:$B$10000,$E$6:$E$22,0)),ROW($C$2:$C$10000)-ROW($C$2)+1),ROWS(M$20:M482))))</f>
        <v>33</v>
      </c>
      <c r="K482" s="7">
        <f t="array" ref="K482">IF(ROWS(K$20:K482)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482))))</f>
        <v>41853</v>
      </c>
      <c r="L482" s="4" t="str">
        <f t="array" ref="L482">IF(ROWS(L$20:L482)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482))))</f>
        <v>Rosamond  Allard</v>
      </c>
      <c r="M482" s="4">
        <f t="array" ref="M482">IF(ROWS(M$20:M482)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482))))</f>
        <v>33</v>
      </c>
    </row>
    <row r="483" spans="1:13" x14ac:dyDescent="0.25">
      <c r="A483" s="3">
        <v>41850</v>
      </c>
      <c r="B483" s="2" t="s">
        <v>50</v>
      </c>
      <c r="C483" s="2">
        <v>20</v>
      </c>
      <c r="G483" s="7">
        <f t="array" ref="G483">IF(ROWS(K$20:K483)&gt;$F$6,"",INDEX(A$2:A$10000,SMALL(IF(ISNUMBER(MATCH($B$2:$B$10000,$E$6:$E$22,0)),ROW($C$2:$C$10000)-ROW($C$2)+1),ROWS(K$20:K483))))</f>
        <v>41614</v>
      </c>
      <c r="H483" s="4" t="str">
        <f t="array" ref="H483">IF(ROWS(L$20:L483)&gt;$F$6,"",INDEX(B$2:B$10000,SMALL(IF(ISNUMBER(MATCH($B$2:$B$10000,$E$6:$E$22,0)),ROW($C$2:$C$10000)-ROW($C$2)+1),ROWS(L$20:L483))))</f>
        <v>Jenni  Thorton</v>
      </c>
      <c r="I483" s="4">
        <f t="array" ref="I483">IF(ROWS(M$20:M483)&gt;$F$6,"",INDEX(C$2:C$10000,SMALL(IF(ISNUMBER(MATCH($B$2:$B$10000,$E$6:$E$22,0)),ROW($C$2:$C$10000)-ROW($C$2)+1),ROWS(M$20:M483))))</f>
        <v>45</v>
      </c>
      <c r="K483" s="7">
        <f t="array" ref="K483">IF(ROWS(K$20:K483)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483))))</f>
        <v>41614</v>
      </c>
      <c r="L483" s="4" t="str">
        <f t="array" ref="L483">IF(ROWS(L$20:L483)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483))))</f>
        <v>Jenni  Thorton</v>
      </c>
      <c r="M483" s="4">
        <f t="array" ref="M483">IF(ROWS(M$20:M483)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483))))</f>
        <v>45</v>
      </c>
    </row>
    <row r="484" spans="1:13" x14ac:dyDescent="0.25">
      <c r="A484" s="3">
        <v>41668</v>
      </c>
      <c r="B484" s="2" t="s">
        <v>3</v>
      </c>
      <c r="C484" s="2">
        <v>30</v>
      </c>
      <c r="G484" s="7">
        <f t="array" ref="G484">IF(ROWS(K$20:K484)&gt;$F$6,"",INDEX(A$2:A$10000,SMALL(IF(ISNUMBER(MATCH($B$2:$B$10000,$E$6:$E$22,0)),ROW($C$2:$C$10000)-ROW($C$2)+1),ROWS(K$20:K484))))</f>
        <v>41696</v>
      </c>
      <c r="H484" s="4" t="str">
        <f t="array" ref="H484">IF(ROWS(L$20:L484)&gt;$F$6,"",INDEX(B$2:B$10000,SMALL(IF(ISNUMBER(MATCH($B$2:$B$10000,$E$6:$E$22,0)),ROW($C$2:$C$10000)-ROW($C$2)+1),ROWS(L$20:L484))))</f>
        <v>Rosamond  Allard</v>
      </c>
      <c r="I484" s="4">
        <f t="array" ref="I484">IF(ROWS(M$20:M484)&gt;$F$6,"",INDEX(C$2:C$10000,SMALL(IF(ISNUMBER(MATCH($B$2:$B$10000,$E$6:$E$22,0)),ROW($C$2:$C$10000)-ROW($C$2)+1),ROWS(M$20:M484))))</f>
        <v>36</v>
      </c>
      <c r="K484" s="7">
        <f t="array" ref="K484">IF(ROWS(K$20:K484)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484))))</f>
        <v>41696</v>
      </c>
      <c r="L484" s="4" t="str">
        <f t="array" ref="L484">IF(ROWS(L$20:L484)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484))))</f>
        <v>Rosamond  Allard</v>
      </c>
      <c r="M484" s="4">
        <f t="array" ref="M484">IF(ROWS(M$20:M484)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484))))</f>
        <v>36</v>
      </c>
    </row>
    <row r="485" spans="1:13" x14ac:dyDescent="0.25">
      <c r="A485" s="3">
        <v>41987</v>
      </c>
      <c r="B485" s="2" t="s">
        <v>2</v>
      </c>
      <c r="C485" s="2">
        <v>18</v>
      </c>
      <c r="G485" s="7">
        <f t="array" ref="G485">IF(ROWS(K$20:K485)&gt;$F$6,"",INDEX(A$2:A$10000,SMALL(IF(ISNUMBER(MATCH($B$2:$B$10000,$E$6:$E$22,0)),ROW($C$2:$C$10000)-ROW($C$2)+1),ROWS(K$20:K485))))</f>
        <v>41973</v>
      </c>
      <c r="H485" s="4" t="str">
        <f t="array" ref="H485">IF(ROWS(L$20:L485)&gt;$F$6,"",INDEX(B$2:B$10000,SMALL(IF(ISNUMBER(MATCH($B$2:$B$10000,$E$6:$E$22,0)),ROW($C$2:$C$10000)-ROW($C$2)+1),ROWS(L$20:L485))))</f>
        <v>Jenni  Thorton</v>
      </c>
      <c r="I485" s="4">
        <f t="array" ref="I485">IF(ROWS(M$20:M485)&gt;$F$6,"",INDEX(C$2:C$10000,SMALL(IF(ISNUMBER(MATCH($B$2:$B$10000,$E$6:$E$22,0)),ROW($C$2:$C$10000)-ROW($C$2)+1),ROWS(M$20:M485))))</f>
        <v>22</v>
      </c>
      <c r="K485" s="7">
        <f t="array" ref="K485">IF(ROWS(K$20:K485)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485))))</f>
        <v>41973</v>
      </c>
      <c r="L485" s="4" t="str">
        <f t="array" ref="L485">IF(ROWS(L$20:L485)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485))))</f>
        <v>Jenni  Thorton</v>
      </c>
      <c r="M485" s="4">
        <f t="array" ref="M485">IF(ROWS(M$20:M485)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485))))</f>
        <v>22</v>
      </c>
    </row>
    <row r="486" spans="1:13" x14ac:dyDescent="0.25">
      <c r="A486" s="3">
        <v>41838</v>
      </c>
      <c r="B486" s="2" t="s">
        <v>41</v>
      </c>
      <c r="C486" s="2">
        <v>7</v>
      </c>
      <c r="G486" s="7">
        <f t="array" ref="G486">IF(ROWS(K$20:K486)&gt;$F$6,"",INDEX(A$2:A$10000,SMALL(IF(ISNUMBER(MATCH($B$2:$B$10000,$E$6:$E$22,0)),ROW($C$2:$C$10000)-ROW($C$2)+1),ROWS(K$20:K486))))</f>
        <v>41441</v>
      </c>
      <c r="H486" s="4" t="str">
        <f t="array" ref="H486">IF(ROWS(L$20:L486)&gt;$F$6,"",INDEX(B$2:B$10000,SMALL(IF(ISNUMBER(MATCH($B$2:$B$10000,$E$6:$E$22,0)),ROW($C$2:$C$10000)-ROW($C$2)+1),ROWS(L$20:L486))))</f>
        <v>Galen  Barth</v>
      </c>
      <c r="I486" s="4">
        <f t="array" ref="I486">IF(ROWS(M$20:M486)&gt;$F$6,"",INDEX(C$2:C$10000,SMALL(IF(ISNUMBER(MATCH($B$2:$B$10000,$E$6:$E$22,0)),ROW($C$2:$C$10000)-ROW($C$2)+1),ROWS(M$20:M486))))</f>
        <v>22</v>
      </c>
      <c r="K486" s="7">
        <f t="array" ref="K486">IF(ROWS(K$20:K486)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486))))</f>
        <v>41441</v>
      </c>
      <c r="L486" s="4" t="str">
        <f t="array" ref="L486">IF(ROWS(L$20:L486)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486))))</f>
        <v>Galen  Barth</v>
      </c>
      <c r="M486" s="4">
        <f t="array" ref="M486">IF(ROWS(M$20:M486)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486))))</f>
        <v>22</v>
      </c>
    </row>
    <row r="487" spans="1:13" x14ac:dyDescent="0.25">
      <c r="A487" s="3">
        <v>41810</v>
      </c>
      <c r="B487" s="2" t="s">
        <v>14</v>
      </c>
      <c r="C487" s="2">
        <v>40</v>
      </c>
      <c r="G487" s="7">
        <f t="array" ref="G487">IF(ROWS(K$20:K487)&gt;$F$6,"",INDEX(A$2:A$10000,SMALL(IF(ISNUMBER(MATCH($B$2:$B$10000,$E$6:$E$22,0)),ROW($C$2:$C$10000)-ROW($C$2)+1),ROWS(K$20:K487))))</f>
        <v>41896</v>
      </c>
      <c r="H487" s="4" t="str">
        <f t="array" ref="H487">IF(ROWS(L$20:L487)&gt;$F$6,"",INDEX(B$2:B$10000,SMALL(IF(ISNUMBER(MATCH($B$2:$B$10000,$E$6:$E$22,0)),ROW($C$2:$C$10000)-ROW($C$2)+1),ROWS(L$20:L487))))</f>
        <v>Kerrie  Worrell</v>
      </c>
      <c r="I487" s="4">
        <f t="array" ref="I487">IF(ROWS(M$20:M487)&gt;$F$6,"",INDEX(C$2:C$10000,SMALL(IF(ISNUMBER(MATCH($B$2:$B$10000,$E$6:$E$22,0)),ROW($C$2:$C$10000)-ROW($C$2)+1),ROWS(M$20:M487))))</f>
        <v>32</v>
      </c>
      <c r="K487" s="7">
        <f t="array" ref="K487">IF(ROWS(K$20:K487)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487))))</f>
        <v>41896</v>
      </c>
      <c r="L487" s="4" t="str">
        <f t="array" ref="L487">IF(ROWS(L$20:L487)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487))))</f>
        <v>Kerrie  Worrell</v>
      </c>
      <c r="M487" s="4">
        <f t="array" ref="M487">IF(ROWS(M$20:M487)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487))))</f>
        <v>32</v>
      </c>
    </row>
    <row r="488" spans="1:13" x14ac:dyDescent="0.25">
      <c r="A488" s="3">
        <v>41934</v>
      </c>
      <c r="B488" s="2" t="s">
        <v>26</v>
      </c>
      <c r="C488" s="2">
        <v>11</v>
      </c>
      <c r="G488" s="7">
        <f t="array" ref="G488">IF(ROWS(K$20:K488)&gt;$F$6,"",INDEX(A$2:A$10000,SMALL(IF(ISNUMBER(MATCH($B$2:$B$10000,$E$6:$E$22,0)),ROW($C$2:$C$10000)-ROW($C$2)+1),ROWS(K$20:K488))))</f>
        <v>41677</v>
      </c>
      <c r="H488" s="4" t="str">
        <f t="array" ref="H488">IF(ROWS(L$20:L488)&gt;$F$6,"",INDEX(B$2:B$10000,SMALL(IF(ISNUMBER(MATCH($B$2:$B$10000,$E$6:$E$22,0)),ROW($C$2:$C$10000)-ROW($C$2)+1),ROWS(L$20:L488))))</f>
        <v>Mickey  Bolduc</v>
      </c>
      <c r="I488" s="4">
        <f t="array" ref="I488">IF(ROWS(M$20:M488)&gt;$F$6,"",INDEX(C$2:C$10000,SMALL(IF(ISNUMBER(MATCH($B$2:$B$10000,$E$6:$E$22,0)),ROW($C$2:$C$10000)-ROW($C$2)+1),ROWS(M$20:M488))))</f>
        <v>42</v>
      </c>
      <c r="K488" s="7">
        <f t="array" ref="K488">IF(ROWS(K$20:K488)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488))))</f>
        <v>41677</v>
      </c>
      <c r="L488" s="4" t="str">
        <f t="array" ref="L488">IF(ROWS(L$20:L488)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488))))</f>
        <v>Mickey  Bolduc</v>
      </c>
      <c r="M488" s="4">
        <f t="array" ref="M488">IF(ROWS(M$20:M488)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488))))</f>
        <v>42</v>
      </c>
    </row>
    <row r="489" spans="1:13" x14ac:dyDescent="0.25">
      <c r="A489" s="3">
        <v>41521</v>
      </c>
      <c r="B489" s="2" t="s">
        <v>26</v>
      </c>
      <c r="C489" s="2">
        <v>7</v>
      </c>
      <c r="G489" s="7">
        <f t="array" ref="G489">IF(ROWS(K$20:K489)&gt;$F$6,"",INDEX(A$2:A$10000,SMALL(IF(ISNUMBER(MATCH($B$2:$B$10000,$E$6:$E$22,0)),ROW($C$2:$C$10000)-ROW($C$2)+1),ROWS(K$20:K489))))</f>
        <v>41398</v>
      </c>
      <c r="H489" s="4" t="str">
        <f t="array" ref="H489">IF(ROWS(L$20:L489)&gt;$F$6,"",INDEX(B$2:B$10000,SMALL(IF(ISNUMBER(MATCH($B$2:$B$10000,$E$6:$E$22,0)),ROW($C$2:$C$10000)-ROW($C$2)+1),ROWS(L$20:L489))))</f>
        <v>Iliana  Valerio</v>
      </c>
      <c r="I489" s="4">
        <f t="array" ref="I489">IF(ROWS(M$20:M489)&gt;$F$6,"",INDEX(C$2:C$10000,SMALL(IF(ISNUMBER(MATCH($B$2:$B$10000,$E$6:$E$22,0)),ROW($C$2:$C$10000)-ROW($C$2)+1),ROWS(M$20:M489))))</f>
        <v>12</v>
      </c>
      <c r="K489" s="7">
        <f t="array" ref="K489">IF(ROWS(K$20:K489)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489))))</f>
        <v>41398</v>
      </c>
      <c r="L489" s="4" t="str">
        <f t="array" ref="L489">IF(ROWS(L$20:L489)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489))))</f>
        <v>Iliana  Valerio</v>
      </c>
      <c r="M489" s="4">
        <f t="array" ref="M489">IF(ROWS(M$20:M489)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489))))</f>
        <v>12</v>
      </c>
    </row>
    <row r="490" spans="1:13" x14ac:dyDescent="0.25">
      <c r="A490" s="3">
        <v>41801</v>
      </c>
      <c r="B490" s="2" t="s">
        <v>9</v>
      </c>
      <c r="C490" s="2">
        <v>38</v>
      </c>
      <c r="G490" s="7">
        <f t="array" ref="G490">IF(ROWS(K$20:K490)&gt;$F$6,"",INDEX(A$2:A$10000,SMALL(IF(ISNUMBER(MATCH($B$2:$B$10000,$E$6:$E$22,0)),ROW($C$2:$C$10000)-ROW($C$2)+1),ROWS(K$20:K490))))</f>
        <v>41448</v>
      </c>
      <c r="H490" s="4" t="str">
        <f t="array" ref="H490">IF(ROWS(L$20:L490)&gt;$F$6,"",INDEX(B$2:B$10000,SMALL(IF(ISNUMBER(MATCH($B$2:$B$10000,$E$6:$E$22,0)),ROW($C$2:$C$10000)-ROW($C$2)+1),ROWS(L$20:L490))))</f>
        <v>Kerrie  Worrell</v>
      </c>
      <c r="I490" s="4">
        <f t="array" ref="I490">IF(ROWS(M$20:M490)&gt;$F$6,"",INDEX(C$2:C$10000,SMALL(IF(ISNUMBER(MATCH($B$2:$B$10000,$E$6:$E$22,0)),ROW($C$2:$C$10000)-ROW($C$2)+1),ROWS(M$20:M490))))</f>
        <v>38</v>
      </c>
      <c r="K490" s="7">
        <f t="array" ref="K490">IF(ROWS(K$20:K490)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490))))</f>
        <v>41448</v>
      </c>
      <c r="L490" s="4" t="str">
        <f t="array" ref="L490">IF(ROWS(L$20:L490)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490))))</f>
        <v>Kerrie  Worrell</v>
      </c>
      <c r="M490" s="4">
        <f t="array" ref="M490">IF(ROWS(M$20:M490)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490))))</f>
        <v>38</v>
      </c>
    </row>
    <row r="491" spans="1:13" x14ac:dyDescent="0.25">
      <c r="A491" s="3">
        <v>41461</v>
      </c>
      <c r="B491" s="2" t="s">
        <v>12</v>
      </c>
      <c r="C491" s="2">
        <v>32</v>
      </c>
      <c r="G491" s="7">
        <f t="array" ref="G491">IF(ROWS(K$20:K491)&gt;$F$6,"",INDEX(A$2:A$10000,SMALL(IF(ISNUMBER(MATCH($B$2:$B$10000,$E$6:$E$22,0)),ROW($C$2:$C$10000)-ROW($C$2)+1),ROWS(K$20:K491))))</f>
        <v>41312</v>
      </c>
      <c r="H491" s="4" t="str">
        <f t="array" ref="H491">IF(ROWS(L$20:L491)&gt;$F$6,"",INDEX(B$2:B$10000,SMALL(IF(ISNUMBER(MATCH($B$2:$B$10000,$E$6:$E$22,0)),ROW($C$2:$C$10000)-ROW($C$2)+1),ROWS(L$20:L491))))</f>
        <v>Mickey  Bolduc</v>
      </c>
      <c r="I491" s="4">
        <f t="array" ref="I491">IF(ROWS(M$20:M491)&gt;$F$6,"",INDEX(C$2:C$10000,SMALL(IF(ISNUMBER(MATCH($B$2:$B$10000,$E$6:$E$22,0)),ROW($C$2:$C$10000)-ROW($C$2)+1),ROWS(M$20:M491))))</f>
        <v>19</v>
      </c>
      <c r="K491" s="7">
        <f t="array" ref="K491">IF(ROWS(K$20:K491)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491))))</f>
        <v>41312</v>
      </c>
      <c r="L491" s="4" t="str">
        <f t="array" ref="L491">IF(ROWS(L$20:L491)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491))))</f>
        <v>Mickey  Bolduc</v>
      </c>
      <c r="M491" s="4">
        <f t="array" ref="M491">IF(ROWS(M$20:M491)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491))))</f>
        <v>19</v>
      </c>
    </row>
    <row r="492" spans="1:13" x14ac:dyDescent="0.25">
      <c r="A492" s="3">
        <v>41514</v>
      </c>
      <c r="B492" s="2" t="s">
        <v>36</v>
      </c>
      <c r="C492" s="2">
        <v>26</v>
      </c>
      <c r="G492" s="7">
        <f t="array" ref="G492">IF(ROWS(K$20:K492)&gt;$F$6,"",INDEX(A$2:A$10000,SMALL(IF(ISNUMBER(MATCH($B$2:$B$10000,$E$6:$E$22,0)),ROW($C$2:$C$10000)-ROW($C$2)+1),ROWS(K$20:K492))))</f>
        <v>41616</v>
      </c>
      <c r="H492" s="4" t="str">
        <f t="array" ref="H492">IF(ROWS(L$20:L492)&gt;$F$6,"",INDEX(B$2:B$10000,SMALL(IF(ISNUMBER(MATCH($B$2:$B$10000,$E$6:$E$22,0)),ROW($C$2:$C$10000)-ROW($C$2)+1),ROWS(L$20:L492))))</f>
        <v>Kerrie  Worrell</v>
      </c>
      <c r="I492" s="4">
        <f t="array" ref="I492">IF(ROWS(M$20:M492)&gt;$F$6,"",INDEX(C$2:C$10000,SMALL(IF(ISNUMBER(MATCH($B$2:$B$10000,$E$6:$E$22,0)),ROW($C$2:$C$10000)-ROW($C$2)+1),ROWS(M$20:M492))))</f>
        <v>35</v>
      </c>
      <c r="K492" s="7">
        <f t="array" ref="K492">IF(ROWS(K$20:K492)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492))))</f>
        <v>41616</v>
      </c>
      <c r="L492" s="4" t="str">
        <f t="array" ref="L492">IF(ROWS(L$20:L492)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492))))</f>
        <v>Kerrie  Worrell</v>
      </c>
      <c r="M492" s="4">
        <f t="array" ref="M492">IF(ROWS(M$20:M492)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492))))</f>
        <v>35</v>
      </c>
    </row>
    <row r="493" spans="1:13" x14ac:dyDescent="0.25">
      <c r="A493" s="3">
        <v>41757</v>
      </c>
      <c r="B493" s="2" t="s">
        <v>19</v>
      </c>
      <c r="C493" s="2">
        <v>48</v>
      </c>
      <c r="G493" s="7">
        <f t="array" ref="G493">IF(ROWS(K$20:K493)&gt;$F$6,"",INDEX(A$2:A$10000,SMALL(IF(ISNUMBER(MATCH($B$2:$B$10000,$E$6:$E$22,0)),ROW($C$2:$C$10000)-ROW($C$2)+1),ROWS(K$20:K493))))</f>
        <v>41481</v>
      </c>
      <c r="H493" s="4" t="str">
        <f t="array" ref="H493">IF(ROWS(L$20:L493)&gt;$F$6,"",INDEX(B$2:B$10000,SMALL(IF(ISNUMBER(MATCH($B$2:$B$10000,$E$6:$E$22,0)),ROW($C$2:$C$10000)-ROW($C$2)+1),ROWS(L$20:L493))))</f>
        <v>Kerrie  Worrell</v>
      </c>
      <c r="I493" s="4">
        <f t="array" ref="I493">IF(ROWS(M$20:M493)&gt;$F$6,"",INDEX(C$2:C$10000,SMALL(IF(ISNUMBER(MATCH($B$2:$B$10000,$E$6:$E$22,0)),ROW($C$2:$C$10000)-ROW($C$2)+1),ROWS(M$20:M493))))</f>
        <v>37</v>
      </c>
      <c r="K493" s="7">
        <f t="array" ref="K493">IF(ROWS(K$20:K493)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493))))</f>
        <v>41481</v>
      </c>
      <c r="L493" s="4" t="str">
        <f t="array" ref="L493">IF(ROWS(L$20:L493)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493))))</f>
        <v>Kerrie  Worrell</v>
      </c>
      <c r="M493" s="4">
        <f t="array" ref="M493">IF(ROWS(M$20:M493)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493))))</f>
        <v>37</v>
      </c>
    </row>
    <row r="494" spans="1:13" x14ac:dyDescent="0.25">
      <c r="A494" s="3">
        <v>41702</v>
      </c>
      <c r="B494" s="2" t="s">
        <v>25</v>
      </c>
      <c r="C494" s="2">
        <v>9</v>
      </c>
      <c r="G494" s="7">
        <f t="array" ref="G494">IF(ROWS(K$20:K494)&gt;$F$6,"",INDEX(A$2:A$10000,SMALL(IF(ISNUMBER(MATCH($B$2:$B$10000,$E$6:$E$22,0)),ROW($C$2:$C$10000)-ROW($C$2)+1),ROWS(K$20:K494))))</f>
        <v>41497</v>
      </c>
      <c r="H494" s="4" t="str">
        <f t="array" ref="H494">IF(ROWS(L$20:L494)&gt;$F$6,"",INDEX(B$2:B$10000,SMALL(IF(ISNUMBER(MATCH($B$2:$B$10000,$E$6:$E$22,0)),ROW($C$2:$C$10000)-ROW($C$2)+1),ROWS(L$20:L494))))</f>
        <v>Galen  Barth</v>
      </c>
      <c r="I494" s="4">
        <f t="array" ref="I494">IF(ROWS(M$20:M494)&gt;$F$6,"",INDEX(C$2:C$10000,SMALL(IF(ISNUMBER(MATCH($B$2:$B$10000,$E$6:$E$22,0)),ROW($C$2:$C$10000)-ROW($C$2)+1),ROWS(M$20:M494))))</f>
        <v>18</v>
      </c>
      <c r="K494" s="7">
        <f t="array" ref="K494">IF(ROWS(K$20:K494)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494))))</f>
        <v>41497</v>
      </c>
      <c r="L494" s="4" t="str">
        <f t="array" ref="L494">IF(ROWS(L$20:L494)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494))))</f>
        <v>Galen  Barth</v>
      </c>
      <c r="M494" s="4">
        <f t="array" ref="M494">IF(ROWS(M$20:M494)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494))))</f>
        <v>18</v>
      </c>
    </row>
    <row r="495" spans="1:13" x14ac:dyDescent="0.25">
      <c r="A495" s="3">
        <v>41416</v>
      </c>
      <c r="B495" s="2" t="s">
        <v>41</v>
      </c>
      <c r="C495" s="2">
        <v>50</v>
      </c>
      <c r="G495" s="7">
        <f t="array" ref="G495">IF(ROWS(K$20:K495)&gt;$F$6,"",INDEX(A$2:A$10000,SMALL(IF(ISNUMBER(MATCH($B$2:$B$10000,$E$6:$E$22,0)),ROW($C$2:$C$10000)-ROW($C$2)+1),ROWS(K$20:K495))))</f>
        <v>41639</v>
      </c>
      <c r="H495" s="4" t="str">
        <f t="array" ref="H495">IF(ROWS(L$20:L495)&gt;$F$6,"",INDEX(B$2:B$10000,SMALL(IF(ISNUMBER(MATCH($B$2:$B$10000,$E$6:$E$22,0)),ROW($C$2:$C$10000)-ROW($C$2)+1),ROWS(L$20:L495))))</f>
        <v>Rosamond  Allard</v>
      </c>
      <c r="I495" s="4">
        <f t="array" ref="I495">IF(ROWS(M$20:M495)&gt;$F$6,"",INDEX(C$2:C$10000,SMALL(IF(ISNUMBER(MATCH($B$2:$B$10000,$E$6:$E$22,0)),ROW($C$2:$C$10000)-ROW($C$2)+1),ROWS(M$20:M495))))</f>
        <v>7</v>
      </c>
      <c r="K495" s="7">
        <f t="array" ref="K495">IF(ROWS(K$20:K495)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495))))</f>
        <v>41639</v>
      </c>
      <c r="L495" s="4" t="str">
        <f t="array" ref="L495">IF(ROWS(L$20:L495)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495))))</f>
        <v>Rosamond  Allard</v>
      </c>
      <c r="M495" s="4">
        <f t="array" ref="M495">IF(ROWS(M$20:M495)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495))))</f>
        <v>7</v>
      </c>
    </row>
    <row r="496" spans="1:13" x14ac:dyDescent="0.25">
      <c r="A496" s="3">
        <v>41914</v>
      </c>
      <c r="B496" s="2" t="s">
        <v>42</v>
      </c>
      <c r="C496" s="2">
        <v>11</v>
      </c>
      <c r="G496" s="7">
        <f t="array" ref="G496">IF(ROWS(K$20:K496)&gt;$F$6,"",INDEX(A$2:A$10000,SMALL(IF(ISNUMBER(MATCH($B$2:$B$10000,$E$6:$E$22,0)),ROW($C$2:$C$10000)-ROW($C$2)+1),ROWS(K$20:K496))))</f>
        <v>41316</v>
      </c>
      <c r="H496" s="4" t="str">
        <f t="array" ref="H496">IF(ROWS(L$20:L496)&gt;$F$6,"",INDEX(B$2:B$10000,SMALL(IF(ISNUMBER(MATCH($B$2:$B$10000,$E$6:$E$22,0)),ROW($C$2:$C$10000)-ROW($C$2)+1),ROWS(L$20:L496))))</f>
        <v>Kerrie  Worrell</v>
      </c>
      <c r="I496" s="4">
        <f t="array" ref="I496">IF(ROWS(M$20:M496)&gt;$F$6,"",INDEX(C$2:C$10000,SMALL(IF(ISNUMBER(MATCH($B$2:$B$10000,$E$6:$E$22,0)),ROW($C$2:$C$10000)-ROW($C$2)+1),ROWS(M$20:M496))))</f>
        <v>37</v>
      </c>
      <c r="K496" s="7">
        <f t="array" ref="K496">IF(ROWS(K$20:K496)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496))))</f>
        <v>41316</v>
      </c>
      <c r="L496" s="4" t="str">
        <f t="array" ref="L496">IF(ROWS(L$20:L496)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496))))</f>
        <v>Kerrie  Worrell</v>
      </c>
      <c r="M496" s="4">
        <f t="array" ref="M496">IF(ROWS(M$20:M496)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496))))</f>
        <v>37</v>
      </c>
    </row>
    <row r="497" spans="1:13" x14ac:dyDescent="0.25">
      <c r="A497" s="3">
        <v>41928</v>
      </c>
      <c r="B497" s="2" t="s">
        <v>30</v>
      </c>
      <c r="C497" s="2">
        <v>5</v>
      </c>
      <c r="G497" s="7">
        <f t="array" ref="G497">IF(ROWS(K$20:K497)&gt;$F$6,"",INDEX(A$2:A$10000,SMALL(IF(ISNUMBER(MATCH($B$2:$B$10000,$E$6:$E$22,0)),ROW($C$2:$C$10000)-ROW($C$2)+1),ROWS(K$20:K497))))</f>
        <v>41336</v>
      </c>
      <c r="H497" s="4" t="str">
        <f t="array" ref="H497">IF(ROWS(L$20:L497)&gt;$F$6,"",INDEX(B$2:B$10000,SMALL(IF(ISNUMBER(MATCH($B$2:$B$10000,$E$6:$E$22,0)),ROW($C$2:$C$10000)-ROW($C$2)+1),ROWS(L$20:L497))))</f>
        <v>Rosamond  Allard</v>
      </c>
      <c r="I497" s="4">
        <f t="array" ref="I497">IF(ROWS(M$20:M497)&gt;$F$6,"",INDEX(C$2:C$10000,SMALL(IF(ISNUMBER(MATCH($B$2:$B$10000,$E$6:$E$22,0)),ROW($C$2:$C$10000)-ROW($C$2)+1),ROWS(M$20:M497))))</f>
        <v>32</v>
      </c>
      <c r="K497" s="7">
        <f t="array" ref="K497">IF(ROWS(K$20:K497)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497))))</f>
        <v>41336</v>
      </c>
      <c r="L497" s="4" t="str">
        <f t="array" ref="L497">IF(ROWS(L$20:L497)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497))))</f>
        <v>Rosamond  Allard</v>
      </c>
      <c r="M497" s="4">
        <f t="array" ref="M497">IF(ROWS(M$20:M497)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497))))</f>
        <v>32</v>
      </c>
    </row>
    <row r="498" spans="1:13" x14ac:dyDescent="0.25">
      <c r="A498" s="3">
        <v>41653</v>
      </c>
      <c r="B498" s="2" t="s">
        <v>30</v>
      </c>
      <c r="C498" s="2">
        <v>50</v>
      </c>
      <c r="G498" s="7">
        <f t="array" ref="G498">IF(ROWS(K$20:K498)&gt;$F$6,"",INDEX(A$2:A$10000,SMALL(IF(ISNUMBER(MATCH($B$2:$B$10000,$E$6:$E$22,0)),ROW($C$2:$C$10000)-ROW($C$2)+1),ROWS(K$20:K498))))</f>
        <v>41864</v>
      </c>
      <c r="H498" s="4" t="str">
        <f t="array" ref="H498">IF(ROWS(L$20:L498)&gt;$F$6,"",INDEX(B$2:B$10000,SMALL(IF(ISNUMBER(MATCH($B$2:$B$10000,$E$6:$E$22,0)),ROW($C$2:$C$10000)-ROW($C$2)+1),ROWS(L$20:L498))))</f>
        <v>Jenni  Thorton</v>
      </c>
      <c r="I498" s="4">
        <f t="array" ref="I498">IF(ROWS(M$20:M498)&gt;$F$6,"",INDEX(C$2:C$10000,SMALL(IF(ISNUMBER(MATCH($B$2:$B$10000,$E$6:$E$22,0)),ROW($C$2:$C$10000)-ROW($C$2)+1),ROWS(M$20:M498))))</f>
        <v>9</v>
      </c>
      <c r="K498" s="7">
        <f t="array" ref="K498">IF(ROWS(K$20:K498)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498))))</f>
        <v>41864</v>
      </c>
      <c r="L498" s="4" t="str">
        <f t="array" ref="L498">IF(ROWS(L$20:L498)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498))))</f>
        <v>Jenni  Thorton</v>
      </c>
      <c r="M498" s="4">
        <f t="array" ref="M498">IF(ROWS(M$20:M498)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498))))</f>
        <v>9</v>
      </c>
    </row>
    <row r="499" spans="1:13" x14ac:dyDescent="0.25">
      <c r="A499" s="3">
        <v>41280</v>
      </c>
      <c r="B499" s="2" t="s">
        <v>41</v>
      </c>
      <c r="C499" s="2">
        <v>4</v>
      </c>
      <c r="G499" s="7">
        <f t="array" ref="G499">IF(ROWS(K$20:K499)&gt;$F$6,"",INDEX(A$2:A$10000,SMALL(IF(ISNUMBER(MATCH($B$2:$B$10000,$E$6:$E$22,0)),ROW($C$2:$C$10000)-ROW($C$2)+1),ROWS(K$20:K499))))</f>
        <v>41443</v>
      </c>
      <c r="H499" s="4" t="str">
        <f t="array" ref="H499">IF(ROWS(L$20:L499)&gt;$F$6,"",INDEX(B$2:B$10000,SMALL(IF(ISNUMBER(MATCH($B$2:$B$10000,$E$6:$E$22,0)),ROW($C$2:$C$10000)-ROW($C$2)+1),ROWS(L$20:L499))))</f>
        <v>Galen  Barth</v>
      </c>
      <c r="I499" s="4">
        <f t="array" ref="I499">IF(ROWS(M$20:M499)&gt;$F$6,"",INDEX(C$2:C$10000,SMALL(IF(ISNUMBER(MATCH($B$2:$B$10000,$E$6:$E$22,0)),ROW($C$2:$C$10000)-ROW($C$2)+1),ROWS(M$20:M499))))</f>
        <v>26</v>
      </c>
      <c r="K499" s="7">
        <f t="array" ref="K499">IF(ROWS(K$20:K499)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499))))</f>
        <v>41443</v>
      </c>
      <c r="L499" s="4" t="str">
        <f t="array" ref="L499">IF(ROWS(L$20:L499)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499))))</f>
        <v>Galen  Barth</v>
      </c>
      <c r="M499" s="4">
        <f t="array" ref="M499">IF(ROWS(M$20:M499)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499))))</f>
        <v>26</v>
      </c>
    </row>
    <row r="500" spans="1:13" x14ac:dyDescent="0.25">
      <c r="A500" s="3">
        <v>41438</v>
      </c>
      <c r="B500" s="2" t="s">
        <v>18</v>
      </c>
      <c r="C500" s="2">
        <v>47</v>
      </c>
      <c r="G500" s="7">
        <f t="array" ref="G500">IF(ROWS(K$20:K500)&gt;$F$6,"",INDEX(A$2:A$10000,SMALL(IF(ISNUMBER(MATCH($B$2:$B$10000,$E$6:$E$22,0)),ROW($C$2:$C$10000)-ROW($C$2)+1),ROWS(K$20:K500))))</f>
        <v>41608</v>
      </c>
      <c r="H500" s="4" t="str">
        <f t="array" ref="H500">IF(ROWS(L$20:L500)&gt;$F$6,"",INDEX(B$2:B$10000,SMALL(IF(ISNUMBER(MATCH($B$2:$B$10000,$E$6:$E$22,0)),ROW($C$2:$C$10000)-ROW($C$2)+1),ROWS(L$20:L500))))</f>
        <v>Galen  Barth</v>
      </c>
      <c r="I500" s="4">
        <f t="array" ref="I500">IF(ROWS(M$20:M500)&gt;$F$6,"",INDEX(C$2:C$10000,SMALL(IF(ISNUMBER(MATCH($B$2:$B$10000,$E$6:$E$22,0)),ROW($C$2:$C$10000)-ROW($C$2)+1),ROWS(M$20:M500))))</f>
        <v>9</v>
      </c>
      <c r="K500" s="7">
        <f t="array" ref="K500">IF(ROWS(K$20:K500)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500))))</f>
        <v>41608</v>
      </c>
      <c r="L500" s="4" t="str">
        <f t="array" ref="L500">IF(ROWS(L$20:L500)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500))))</f>
        <v>Galen  Barth</v>
      </c>
      <c r="M500" s="4">
        <f t="array" ref="M500">IF(ROWS(M$20:M500)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500))))</f>
        <v>9</v>
      </c>
    </row>
    <row r="501" spans="1:13" x14ac:dyDescent="0.25">
      <c r="A501" s="3">
        <v>41626</v>
      </c>
      <c r="B501" s="2" t="s">
        <v>38</v>
      </c>
      <c r="C501" s="2">
        <v>34</v>
      </c>
      <c r="G501" s="7">
        <f t="array" ref="G501">IF(ROWS(K$20:K501)&gt;$F$6,"",INDEX(A$2:A$10000,SMALL(IF(ISNUMBER(MATCH($B$2:$B$10000,$E$6:$E$22,0)),ROW($C$2:$C$10000)-ROW($C$2)+1),ROWS(K$20:K501))))</f>
        <v>41385</v>
      </c>
      <c r="H501" s="4" t="str">
        <f t="array" ref="H501">IF(ROWS(L$20:L501)&gt;$F$6,"",INDEX(B$2:B$10000,SMALL(IF(ISNUMBER(MATCH($B$2:$B$10000,$E$6:$E$22,0)),ROW($C$2:$C$10000)-ROW($C$2)+1),ROWS(L$20:L501))))</f>
        <v>Galen  Barth</v>
      </c>
      <c r="I501" s="4">
        <f t="array" ref="I501">IF(ROWS(M$20:M501)&gt;$F$6,"",INDEX(C$2:C$10000,SMALL(IF(ISNUMBER(MATCH($B$2:$B$10000,$E$6:$E$22,0)),ROW($C$2:$C$10000)-ROW($C$2)+1),ROWS(M$20:M501))))</f>
        <v>19</v>
      </c>
      <c r="K501" s="7">
        <f t="array" ref="K501">IF(ROWS(K$20:K501)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501))))</f>
        <v>41385</v>
      </c>
      <c r="L501" s="4" t="str">
        <f t="array" ref="L501">IF(ROWS(L$20:L501)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501))))</f>
        <v>Galen  Barth</v>
      </c>
      <c r="M501" s="4">
        <f t="array" ref="M501">IF(ROWS(M$20:M501)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501))))</f>
        <v>19</v>
      </c>
    </row>
    <row r="502" spans="1:13" x14ac:dyDescent="0.25">
      <c r="A502" s="3">
        <v>41288</v>
      </c>
      <c r="B502" s="2" t="s">
        <v>30</v>
      </c>
      <c r="C502" s="2">
        <v>59</v>
      </c>
      <c r="G502" s="7">
        <f t="array" ref="G502">IF(ROWS(K$20:K502)&gt;$F$6,"",INDEX(A$2:A$10000,SMALL(IF(ISNUMBER(MATCH($B$2:$B$10000,$E$6:$E$22,0)),ROW($C$2:$C$10000)-ROW($C$2)+1),ROWS(K$20:K502))))</f>
        <v>41407</v>
      </c>
      <c r="H502" s="4" t="str">
        <f t="array" ref="H502">IF(ROWS(L$20:L502)&gt;$F$6,"",INDEX(B$2:B$10000,SMALL(IF(ISNUMBER(MATCH($B$2:$B$10000,$E$6:$E$22,0)),ROW($C$2:$C$10000)-ROW($C$2)+1),ROWS(L$20:L502))))</f>
        <v>Mickey  Bolduc</v>
      </c>
      <c r="I502" s="4">
        <f t="array" ref="I502">IF(ROWS(M$20:M502)&gt;$F$6,"",INDEX(C$2:C$10000,SMALL(IF(ISNUMBER(MATCH($B$2:$B$10000,$E$6:$E$22,0)),ROW($C$2:$C$10000)-ROW($C$2)+1),ROWS(M$20:M502))))</f>
        <v>19</v>
      </c>
      <c r="K502" s="7">
        <f t="array" ref="K502">IF(ROWS(K$20:K502)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502))))</f>
        <v>41407</v>
      </c>
      <c r="L502" s="4" t="str">
        <f t="array" ref="L502">IF(ROWS(L$20:L502)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502))))</f>
        <v>Mickey  Bolduc</v>
      </c>
      <c r="M502" s="4">
        <f t="array" ref="M502">IF(ROWS(M$20:M502)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502))))</f>
        <v>19</v>
      </c>
    </row>
    <row r="503" spans="1:13" x14ac:dyDescent="0.25">
      <c r="A503" s="3">
        <v>41587</v>
      </c>
      <c r="B503" s="2" t="s">
        <v>18</v>
      </c>
      <c r="C503" s="2">
        <v>28</v>
      </c>
      <c r="G503" s="7">
        <f t="array" ref="G503">IF(ROWS(K$20:K503)&gt;$F$6,"",INDEX(A$2:A$10000,SMALL(IF(ISNUMBER(MATCH($B$2:$B$10000,$E$6:$E$22,0)),ROW($C$2:$C$10000)-ROW($C$2)+1),ROWS(K$20:K503))))</f>
        <v>41731</v>
      </c>
      <c r="H503" s="4" t="str">
        <f t="array" ref="H503">IF(ROWS(L$20:L503)&gt;$F$6,"",INDEX(B$2:B$10000,SMALL(IF(ISNUMBER(MATCH($B$2:$B$10000,$E$6:$E$22,0)),ROW($C$2:$C$10000)-ROW($C$2)+1),ROWS(L$20:L503))))</f>
        <v>Jenni  Thorton</v>
      </c>
      <c r="I503" s="4">
        <f t="array" ref="I503">IF(ROWS(M$20:M503)&gt;$F$6,"",INDEX(C$2:C$10000,SMALL(IF(ISNUMBER(MATCH($B$2:$B$10000,$E$6:$E$22,0)),ROW($C$2:$C$10000)-ROW($C$2)+1),ROWS(M$20:M503))))</f>
        <v>11</v>
      </c>
      <c r="K503" s="7">
        <f t="array" ref="K503">IF(ROWS(K$20:K503)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503))))</f>
        <v>41731</v>
      </c>
      <c r="L503" s="4" t="str">
        <f t="array" ref="L503">IF(ROWS(L$20:L503)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503))))</f>
        <v>Jenni  Thorton</v>
      </c>
      <c r="M503" s="4">
        <f t="array" ref="M503">IF(ROWS(M$20:M503)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503))))</f>
        <v>11</v>
      </c>
    </row>
    <row r="504" spans="1:13" x14ac:dyDescent="0.25">
      <c r="A504" s="3">
        <v>41794</v>
      </c>
      <c r="B504" s="2" t="s">
        <v>6</v>
      </c>
      <c r="C504" s="2">
        <v>45</v>
      </c>
      <c r="G504" s="7">
        <f t="array" ref="G504">IF(ROWS(K$20:K504)&gt;$F$6,"",INDEX(A$2:A$10000,SMALL(IF(ISNUMBER(MATCH($B$2:$B$10000,$E$6:$E$22,0)),ROW($C$2:$C$10000)-ROW($C$2)+1),ROWS(K$20:K504))))</f>
        <v>41536</v>
      </c>
      <c r="H504" s="4" t="str">
        <f t="array" ref="H504">IF(ROWS(L$20:L504)&gt;$F$6,"",INDEX(B$2:B$10000,SMALL(IF(ISNUMBER(MATCH($B$2:$B$10000,$E$6:$E$22,0)),ROW($C$2:$C$10000)-ROW($C$2)+1),ROWS(L$20:L504))))</f>
        <v>Rosamond  Allard</v>
      </c>
      <c r="I504" s="4">
        <f t="array" ref="I504">IF(ROWS(M$20:M504)&gt;$F$6,"",INDEX(C$2:C$10000,SMALL(IF(ISNUMBER(MATCH($B$2:$B$10000,$E$6:$E$22,0)),ROW($C$2:$C$10000)-ROW($C$2)+1),ROWS(M$20:M504))))</f>
        <v>41</v>
      </c>
      <c r="K504" s="7">
        <f t="array" ref="K504">IF(ROWS(K$20:K504)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504))))</f>
        <v>41536</v>
      </c>
      <c r="L504" s="4" t="str">
        <f t="array" ref="L504">IF(ROWS(L$20:L504)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504))))</f>
        <v>Rosamond  Allard</v>
      </c>
      <c r="M504" s="4">
        <f t="array" ref="M504">IF(ROWS(M$20:M504)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504))))</f>
        <v>41</v>
      </c>
    </row>
    <row r="505" spans="1:13" x14ac:dyDescent="0.25">
      <c r="A505" s="3">
        <v>41746</v>
      </c>
      <c r="B505" s="2" t="s">
        <v>21</v>
      </c>
      <c r="C505" s="2">
        <v>5</v>
      </c>
      <c r="G505" s="7">
        <f t="array" ref="G505">IF(ROWS(K$20:K505)&gt;$F$6,"",INDEX(A$2:A$10000,SMALL(IF(ISNUMBER(MATCH($B$2:$B$10000,$E$6:$E$22,0)),ROW($C$2:$C$10000)-ROW($C$2)+1),ROWS(K$20:K505))))</f>
        <v>41319</v>
      </c>
      <c r="H505" s="4" t="str">
        <f t="array" ref="H505">IF(ROWS(L$20:L505)&gt;$F$6,"",INDEX(B$2:B$10000,SMALL(IF(ISNUMBER(MATCH($B$2:$B$10000,$E$6:$E$22,0)),ROW($C$2:$C$10000)-ROW($C$2)+1),ROWS(L$20:L505))))</f>
        <v>Rosamond  Allard</v>
      </c>
      <c r="I505" s="4">
        <f t="array" ref="I505">IF(ROWS(M$20:M505)&gt;$F$6,"",INDEX(C$2:C$10000,SMALL(IF(ISNUMBER(MATCH($B$2:$B$10000,$E$6:$E$22,0)),ROW($C$2:$C$10000)-ROW($C$2)+1),ROWS(M$20:M505))))</f>
        <v>27</v>
      </c>
      <c r="K505" s="7">
        <f t="array" ref="K505">IF(ROWS(K$20:K505)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505))))</f>
        <v>41319</v>
      </c>
      <c r="L505" s="4" t="str">
        <f t="array" ref="L505">IF(ROWS(L$20:L505)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505))))</f>
        <v>Rosamond  Allard</v>
      </c>
      <c r="M505" s="4">
        <f t="array" ref="M505">IF(ROWS(M$20:M505)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505))))</f>
        <v>27</v>
      </c>
    </row>
    <row r="506" spans="1:13" x14ac:dyDescent="0.25">
      <c r="A506" s="3">
        <v>41702</v>
      </c>
      <c r="B506" s="2" t="s">
        <v>2</v>
      </c>
      <c r="C506" s="2">
        <v>36</v>
      </c>
      <c r="G506" s="7">
        <f t="array" ref="G506">IF(ROWS(K$20:K506)&gt;$F$6,"",INDEX(A$2:A$10000,SMALL(IF(ISNUMBER(MATCH($B$2:$B$10000,$E$6:$E$22,0)),ROW($C$2:$C$10000)-ROW($C$2)+1),ROWS(K$20:K506))))</f>
        <v>41987</v>
      </c>
      <c r="H506" s="4" t="str">
        <f t="array" ref="H506">IF(ROWS(L$20:L506)&gt;$F$6,"",INDEX(B$2:B$10000,SMALL(IF(ISNUMBER(MATCH($B$2:$B$10000,$E$6:$E$22,0)),ROW($C$2:$C$10000)-ROW($C$2)+1),ROWS(L$20:L506))))</f>
        <v>Kerrie  Worrell</v>
      </c>
      <c r="I506" s="4">
        <f t="array" ref="I506">IF(ROWS(M$20:M506)&gt;$F$6,"",INDEX(C$2:C$10000,SMALL(IF(ISNUMBER(MATCH($B$2:$B$10000,$E$6:$E$22,0)),ROW($C$2:$C$10000)-ROW($C$2)+1),ROWS(M$20:M506))))</f>
        <v>9</v>
      </c>
      <c r="K506" s="7">
        <f t="array" ref="K506">IF(ROWS(K$20:K506)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506))))</f>
        <v>41987</v>
      </c>
      <c r="L506" s="4" t="str">
        <f t="array" ref="L506">IF(ROWS(L$20:L506)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506))))</f>
        <v>Kerrie  Worrell</v>
      </c>
      <c r="M506" s="4">
        <f t="array" ref="M506">IF(ROWS(M$20:M506)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506))))</f>
        <v>9</v>
      </c>
    </row>
    <row r="507" spans="1:13" x14ac:dyDescent="0.25">
      <c r="A507" s="3">
        <v>41419</v>
      </c>
      <c r="B507" s="2" t="s">
        <v>44</v>
      </c>
      <c r="C507" s="2">
        <v>17</v>
      </c>
      <c r="G507" s="7">
        <f t="array" ref="G507">IF(ROWS(K$20:K507)&gt;$F$6,"",INDEX(A$2:A$10000,SMALL(IF(ISNUMBER(MATCH($B$2:$B$10000,$E$6:$E$22,0)),ROW($C$2:$C$10000)-ROW($C$2)+1),ROWS(K$20:K507))))</f>
        <v>41854</v>
      </c>
      <c r="H507" s="4" t="str">
        <f t="array" ref="H507">IF(ROWS(L$20:L507)&gt;$F$6,"",INDEX(B$2:B$10000,SMALL(IF(ISNUMBER(MATCH($B$2:$B$10000,$E$6:$E$22,0)),ROW($C$2:$C$10000)-ROW($C$2)+1),ROWS(L$20:L507))))</f>
        <v>Rosamond  Allard</v>
      </c>
      <c r="I507" s="4">
        <f t="array" ref="I507">IF(ROWS(M$20:M507)&gt;$F$6,"",INDEX(C$2:C$10000,SMALL(IF(ISNUMBER(MATCH($B$2:$B$10000,$E$6:$E$22,0)),ROW($C$2:$C$10000)-ROW($C$2)+1),ROWS(M$20:M507))))</f>
        <v>45</v>
      </c>
      <c r="K507" s="7">
        <f t="array" ref="K507">IF(ROWS(K$20:K507)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507))))</f>
        <v>41854</v>
      </c>
      <c r="L507" s="4" t="str">
        <f t="array" ref="L507">IF(ROWS(L$20:L507)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507))))</f>
        <v>Rosamond  Allard</v>
      </c>
      <c r="M507" s="4">
        <f t="array" ref="M507">IF(ROWS(M$20:M507)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507))))</f>
        <v>45</v>
      </c>
    </row>
    <row r="508" spans="1:13" x14ac:dyDescent="0.25">
      <c r="A508" s="3">
        <v>41588</v>
      </c>
      <c r="B508" s="2" t="s">
        <v>50</v>
      </c>
      <c r="C508" s="2">
        <v>37</v>
      </c>
      <c r="G508" s="7">
        <f t="array" ref="G508">IF(ROWS(K$20:K508)&gt;$F$6,"",INDEX(A$2:A$10000,SMALL(IF(ISNUMBER(MATCH($B$2:$B$10000,$E$6:$E$22,0)),ROW($C$2:$C$10000)-ROW($C$2)+1),ROWS(K$20:K508))))</f>
        <v>41341</v>
      </c>
      <c r="H508" s="4" t="str">
        <f t="array" ref="H508">IF(ROWS(L$20:L508)&gt;$F$6,"",INDEX(B$2:B$10000,SMALL(IF(ISNUMBER(MATCH($B$2:$B$10000,$E$6:$E$22,0)),ROW($C$2:$C$10000)-ROW($C$2)+1),ROWS(L$20:L508))))</f>
        <v>Rosamond  Allard</v>
      </c>
      <c r="I508" s="4">
        <f t="array" ref="I508">IF(ROWS(M$20:M508)&gt;$F$6,"",INDEX(C$2:C$10000,SMALL(IF(ISNUMBER(MATCH($B$2:$B$10000,$E$6:$E$22,0)),ROW($C$2:$C$10000)-ROW($C$2)+1),ROWS(M$20:M508))))</f>
        <v>35</v>
      </c>
      <c r="K508" s="7">
        <f t="array" ref="K508">IF(ROWS(K$20:K508)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508))))</f>
        <v>41341</v>
      </c>
      <c r="L508" s="4" t="str">
        <f t="array" ref="L508">IF(ROWS(L$20:L508)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508))))</f>
        <v>Rosamond  Allard</v>
      </c>
      <c r="M508" s="4">
        <f t="array" ref="M508">IF(ROWS(M$20:M508)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508))))</f>
        <v>35</v>
      </c>
    </row>
    <row r="509" spans="1:13" x14ac:dyDescent="0.25">
      <c r="A509" s="3">
        <v>41379</v>
      </c>
      <c r="B509" s="2" t="s">
        <v>26</v>
      </c>
      <c r="C509" s="2">
        <v>22</v>
      </c>
      <c r="G509" s="7">
        <f t="array" ref="G509">IF(ROWS(K$20:K509)&gt;$F$6,"",INDEX(A$2:A$10000,SMALL(IF(ISNUMBER(MATCH($B$2:$B$10000,$E$6:$E$22,0)),ROW($C$2:$C$10000)-ROW($C$2)+1),ROWS(K$20:K509))))</f>
        <v>41639</v>
      </c>
      <c r="H509" s="4" t="str">
        <f t="array" ref="H509">IF(ROWS(L$20:L509)&gt;$F$6,"",INDEX(B$2:B$10000,SMALL(IF(ISNUMBER(MATCH($B$2:$B$10000,$E$6:$E$22,0)),ROW($C$2:$C$10000)-ROW($C$2)+1),ROWS(L$20:L509))))</f>
        <v>Jenni  Thorton</v>
      </c>
      <c r="I509" s="4">
        <f t="array" ref="I509">IF(ROWS(M$20:M509)&gt;$F$6,"",INDEX(C$2:C$10000,SMALL(IF(ISNUMBER(MATCH($B$2:$B$10000,$E$6:$E$22,0)),ROW($C$2:$C$10000)-ROW($C$2)+1),ROWS(M$20:M509))))</f>
        <v>32</v>
      </c>
      <c r="K509" s="7">
        <f t="array" ref="K509">IF(ROWS(K$20:K509)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509))))</f>
        <v>41639</v>
      </c>
      <c r="L509" s="4" t="str">
        <f t="array" ref="L509">IF(ROWS(L$20:L509)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509))))</f>
        <v>Jenni  Thorton</v>
      </c>
      <c r="M509" s="4">
        <f t="array" ref="M509">IF(ROWS(M$20:M509)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509))))</f>
        <v>32</v>
      </c>
    </row>
    <row r="510" spans="1:13" x14ac:dyDescent="0.25">
      <c r="A510" s="3">
        <v>41779</v>
      </c>
      <c r="B510" s="2" t="s">
        <v>27</v>
      </c>
      <c r="C510" s="2">
        <v>40</v>
      </c>
      <c r="G510" s="7">
        <f t="array" ref="G510">IF(ROWS(K$20:K510)&gt;$F$6,"",INDEX(A$2:A$10000,SMALL(IF(ISNUMBER(MATCH($B$2:$B$10000,$E$6:$E$22,0)),ROW($C$2:$C$10000)-ROW($C$2)+1),ROWS(K$20:K510))))</f>
        <v>41885</v>
      </c>
      <c r="H510" s="4" t="str">
        <f t="array" ref="H510">IF(ROWS(L$20:L510)&gt;$F$6,"",INDEX(B$2:B$10000,SMALL(IF(ISNUMBER(MATCH($B$2:$B$10000,$E$6:$E$22,0)),ROW($C$2:$C$10000)-ROW($C$2)+1),ROWS(L$20:L510))))</f>
        <v>Galen  Barth</v>
      </c>
      <c r="I510" s="4">
        <f t="array" ref="I510">IF(ROWS(M$20:M510)&gt;$F$6,"",INDEX(C$2:C$10000,SMALL(IF(ISNUMBER(MATCH($B$2:$B$10000,$E$6:$E$22,0)),ROW($C$2:$C$10000)-ROW($C$2)+1),ROWS(M$20:M510))))</f>
        <v>43</v>
      </c>
      <c r="K510" s="7">
        <f t="array" ref="K510">IF(ROWS(K$20:K510)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510))))</f>
        <v>41885</v>
      </c>
      <c r="L510" s="4" t="str">
        <f t="array" ref="L510">IF(ROWS(L$20:L510)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510))))</f>
        <v>Galen  Barth</v>
      </c>
      <c r="M510" s="4">
        <f t="array" ref="M510">IF(ROWS(M$20:M510)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510))))</f>
        <v>43</v>
      </c>
    </row>
    <row r="511" spans="1:13" x14ac:dyDescent="0.25">
      <c r="A511" s="3">
        <v>41292</v>
      </c>
      <c r="B511" s="2" t="s">
        <v>50</v>
      </c>
      <c r="C511" s="2">
        <v>26</v>
      </c>
      <c r="G511" s="7">
        <f t="array" ref="G511">IF(ROWS(K$20:K511)&gt;$F$6,"",INDEX(A$2:A$10000,SMALL(IF(ISNUMBER(MATCH($B$2:$B$10000,$E$6:$E$22,0)),ROW($C$2:$C$10000)-ROW($C$2)+1),ROWS(K$20:K511))))</f>
        <v>41977</v>
      </c>
      <c r="H511" s="4" t="str">
        <f t="array" ref="H511">IF(ROWS(L$20:L511)&gt;$F$6,"",INDEX(B$2:B$10000,SMALL(IF(ISNUMBER(MATCH($B$2:$B$10000,$E$6:$E$22,0)),ROW($C$2:$C$10000)-ROW($C$2)+1),ROWS(L$20:L511))))</f>
        <v>Kerrie  Worrell</v>
      </c>
      <c r="I511" s="4">
        <f t="array" ref="I511">IF(ROWS(M$20:M511)&gt;$F$6,"",INDEX(C$2:C$10000,SMALL(IF(ISNUMBER(MATCH($B$2:$B$10000,$E$6:$E$22,0)),ROW($C$2:$C$10000)-ROW($C$2)+1),ROWS(M$20:M511))))</f>
        <v>26</v>
      </c>
      <c r="K511" s="7">
        <f t="array" ref="K511">IF(ROWS(K$20:K511)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511))))</f>
        <v>41977</v>
      </c>
      <c r="L511" s="4" t="str">
        <f t="array" ref="L511">IF(ROWS(L$20:L511)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511))))</f>
        <v>Kerrie  Worrell</v>
      </c>
      <c r="M511" s="4">
        <f t="array" ref="M511">IF(ROWS(M$20:M511)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511))))</f>
        <v>26</v>
      </c>
    </row>
    <row r="512" spans="1:13" x14ac:dyDescent="0.25">
      <c r="A512" s="3">
        <v>41884</v>
      </c>
      <c r="B512" s="2" t="s">
        <v>42</v>
      </c>
      <c r="C512" s="2">
        <v>25</v>
      </c>
      <c r="G512" s="7">
        <f t="array" ref="G512">IF(ROWS(K$20:K512)&gt;$F$6,"",INDEX(A$2:A$10000,SMALL(IF(ISNUMBER(MATCH($B$2:$B$10000,$E$6:$E$22,0)),ROW($C$2:$C$10000)-ROW($C$2)+1),ROWS(K$20:K512))))</f>
        <v>41422</v>
      </c>
      <c r="H512" s="4" t="str">
        <f t="array" ref="H512">IF(ROWS(L$20:L512)&gt;$F$6,"",INDEX(B$2:B$10000,SMALL(IF(ISNUMBER(MATCH($B$2:$B$10000,$E$6:$E$22,0)),ROW($C$2:$C$10000)-ROW($C$2)+1),ROWS(L$20:L512))))</f>
        <v>Mickey  Bolduc</v>
      </c>
      <c r="I512" s="4">
        <f t="array" ref="I512">IF(ROWS(M$20:M512)&gt;$F$6,"",INDEX(C$2:C$10000,SMALL(IF(ISNUMBER(MATCH($B$2:$B$10000,$E$6:$E$22,0)),ROW($C$2:$C$10000)-ROW($C$2)+1),ROWS(M$20:M512))))</f>
        <v>25</v>
      </c>
      <c r="K512" s="7">
        <f t="array" ref="K512">IF(ROWS(K$20:K512)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512))))</f>
        <v>41422</v>
      </c>
      <c r="L512" s="4" t="str">
        <f t="array" ref="L512">IF(ROWS(L$20:L512)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512))))</f>
        <v>Mickey  Bolduc</v>
      </c>
      <c r="M512" s="4">
        <f t="array" ref="M512">IF(ROWS(M$20:M512)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512))))</f>
        <v>25</v>
      </c>
    </row>
    <row r="513" spans="1:13" x14ac:dyDescent="0.25">
      <c r="A513" s="3">
        <v>41857</v>
      </c>
      <c r="B513" s="2" t="s">
        <v>7</v>
      </c>
      <c r="C513" s="2">
        <v>49</v>
      </c>
      <c r="G513" s="7">
        <f t="array" ref="G513">IF(ROWS(K$20:K513)&gt;$F$6,"",INDEX(A$2:A$10000,SMALL(IF(ISNUMBER(MATCH($B$2:$B$10000,$E$6:$E$22,0)),ROW($C$2:$C$10000)-ROW($C$2)+1),ROWS(K$20:K513))))</f>
        <v>41343</v>
      </c>
      <c r="H513" s="4" t="str">
        <f t="array" ref="H513">IF(ROWS(L$20:L513)&gt;$F$6,"",INDEX(B$2:B$10000,SMALL(IF(ISNUMBER(MATCH($B$2:$B$10000,$E$6:$E$22,0)),ROW($C$2:$C$10000)-ROW($C$2)+1),ROWS(L$20:L513))))</f>
        <v>Kerrie  Worrell</v>
      </c>
      <c r="I513" s="4">
        <f t="array" ref="I513">IF(ROWS(M$20:M513)&gt;$F$6,"",INDEX(C$2:C$10000,SMALL(IF(ISNUMBER(MATCH($B$2:$B$10000,$E$6:$E$22,0)),ROW($C$2:$C$10000)-ROW($C$2)+1),ROWS(M$20:M513))))</f>
        <v>28</v>
      </c>
      <c r="K513" s="7">
        <f t="array" ref="K513">IF(ROWS(K$20:K513)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513))))</f>
        <v>41343</v>
      </c>
      <c r="L513" s="4" t="str">
        <f t="array" ref="L513">IF(ROWS(L$20:L513)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513))))</f>
        <v>Kerrie  Worrell</v>
      </c>
      <c r="M513" s="4">
        <f t="array" ref="M513">IF(ROWS(M$20:M513)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513))))</f>
        <v>28</v>
      </c>
    </row>
    <row r="514" spans="1:13" x14ac:dyDescent="0.25">
      <c r="A514" s="3">
        <v>41304</v>
      </c>
      <c r="B514" s="2" t="s">
        <v>39</v>
      </c>
      <c r="C514" s="2">
        <v>45</v>
      </c>
      <c r="G514" s="7">
        <f t="array" ref="G514">IF(ROWS(K$20:K514)&gt;$F$6,"",INDEX(A$2:A$10000,SMALL(IF(ISNUMBER(MATCH($B$2:$B$10000,$E$6:$E$22,0)),ROW($C$2:$C$10000)-ROW($C$2)+1),ROWS(K$20:K514))))</f>
        <v>41783</v>
      </c>
      <c r="H514" s="4" t="str">
        <f t="array" ref="H514">IF(ROWS(L$20:L514)&gt;$F$6,"",INDEX(B$2:B$10000,SMALL(IF(ISNUMBER(MATCH($B$2:$B$10000,$E$6:$E$22,0)),ROW($C$2:$C$10000)-ROW($C$2)+1),ROWS(L$20:L514))))</f>
        <v>Iliana  Valerio</v>
      </c>
      <c r="I514" s="4">
        <f t="array" ref="I514">IF(ROWS(M$20:M514)&gt;$F$6,"",INDEX(C$2:C$10000,SMALL(IF(ISNUMBER(MATCH($B$2:$B$10000,$E$6:$E$22,0)),ROW($C$2:$C$10000)-ROW($C$2)+1),ROWS(M$20:M514))))</f>
        <v>24</v>
      </c>
      <c r="K514" s="7">
        <f t="array" ref="K514">IF(ROWS(K$20:K514)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514))))</f>
        <v>41783</v>
      </c>
      <c r="L514" s="4" t="str">
        <f t="array" ref="L514">IF(ROWS(L$20:L514)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514))))</f>
        <v>Iliana  Valerio</v>
      </c>
      <c r="M514" s="4">
        <f t="array" ref="M514">IF(ROWS(M$20:M514)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514))))</f>
        <v>24</v>
      </c>
    </row>
    <row r="515" spans="1:13" x14ac:dyDescent="0.25">
      <c r="A515" s="3">
        <v>41933</v>
      </c>
      <c r="B515" s="2" t="s">
        <v>14</v>
      </c>
      <c r="C515" s="2">
        <v>21</v>
      </c>
      <c r="G515" s="7">
        <f t="array" ref="G515">IF(ROWS(K$20:K515)&gt;$F$6,"",INDEX(A$2:A$10000,SMALL(IF(ISNUMBER(MATCH($B$2:$B$10000,$E$6:$E$22,0)),ROW($C$2:$C$10000)-ROW($C$2)+1),ROWS(K$20:K515))))</f>
        <v>41940</v>
      </c>
      <c r="H515" s="4" t="str">
        <f t="array" ref="H515">IF(ROWS(L$20:L515)&gt;$F$6,"",INDEX(B$2:B$10000,SMALL(IF(ISNUMBER(MATCH($B$2:$B$10000,$E$6:$E$22,0)),ROW($C$2:$C$10000)-ROW($C$2)+1),ROWS(L$20:L515))))</f>
        <v>Jenni  Thorton</v>
      </c>
      <c r="I515" s="4">
        <f t="array" ref="I515">IF(ROWS(M$20:M515)&gt;$F$6,"",INDEX(C$2:C$10000,SMALL(IF(ISNUMBER(MATCH($B$2:$B$10000,$E$6:$E$22,0)),ROW($C$2:$C$10000)-ROW($C$2)+1),ROWS(M$20:M515))))</f>
        <v>44</v>
      </c>
      <c r="K515" s="7">
        <f t="array" ref="K515">IF(ROWS(K$20:K515)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515))))</f>
        <v>41940</v>
      </c>
      <c r="L515" s="4" t="str">
        <f t="array" ref="L515">IF(ROWS(L$20:L515)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515))))</f>
        <v>Jenni  Thorton</v>
      </c>
      <c r="M515" s="4">
        <f t="array" ref="M515">IF(ROWS(M$20:M515)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515))))</f>
        <v>44</v>
      </c>
    </row>
    <row r="516" spans="1:13" x14ac:dyDescent="0.25">
      <c r="A516" s="3">
        <v>41949</v>
      </c>
      <c r="B516" s="2" t="s">
        <v>31</v>
      </c>
      <c r="C516" s="2">
        <v>21</v>
      </c>
      <c r="G516" s="7">
        <f t="array" ref="G516">IF(ROWS(K$20:K516)&gt;$F$6,"",INDEX(A$2:A$10000,SMALL(IF(ISNUMBER(MATCH($B$2:$B$10000,$E$6:$E$22,0)),ROW($C$2:$C$10000)-ROW($C$2)+1),ROWS(K$20:K516))))</f>
        <v>41863</v>
      </c>
      <c r="H516" s="4" t="str">
        <f t="array" ref="H516">IF(ROWS(L$20:L516)&gt;$F$6,"",INDEX(B$2:B$10000,SMALL(IF(ISNUMBER(MATCH($B$2:$B$10000,$E$6:$E$22,0)),ROW($C$2:$C$10000)-ROW($C$2)+1),ROWS(L$20:L516))))</f>
        <v>Jenni  Thorton</v>
      </c>
      <c r="I516" s="4">
        <f t="array" ref="I516">IF(ROWS(M$20:M516)&gt;$F$6,"",INDEX(C$2:C$10000,SMALL(IF(ISNUMBER(MATCH($B$2:$B$10000,$E$6:$E$22,0)),ROW($C$2:$C$10000)-ROW($C$2)+1),ROWS(M$20:M516))))</f>
        <v>32</v>
      </c>
      <c r="K516" s="7">
        <f t="array" ref="K516">IF(ROWS(K$20:K516)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516))))</f>
        <v>41863</v>
      </c>
      <c r="L516" s="4" t="str">
        <f t="array" ref="L516">IF(ROWS(L$20:L516)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516))))</f>
        <v>Jenni  Thorton</v>
      </c>
      <c r="M516" s="4">
        <f t="array" ref="M516">IF(ROWS(M$20:M516)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516))))</f>
        <v>32</v>
      </c>
    </row>
    <row r="517" spans="1:13" x14ac:dyDescent="0.25">
      <c r="A517" s="3">
        <v>41689</v>
      </c>
      <c r="B517" s="2" t="s">
        <v>51</v>
      </c>
      <c r="C517" s="2">
        <v>25</v>
      </c>
      <c r="G517" s="7">
        <f t="array" ref="G517">IF(ROWS(K$20:K517)&gt;$F$6,"",INDEX(A$2:A$10000,SMALL(IF(ISNUMBER(MATCH($B$2:$B$10000,$E$6:$E$22,0)),ROW($C$2:$C$10000)-ROW($C$2)+1),ROWS(K$20:K517))))</f>
        <v>41516</v>
      </c>
      <c r="H517" s="4" t="str">
        <f t="array" ref="H517">IF(ROWS(L$20:L517)&gt;$F$6,"",INDEX(B$2:B$10000,SMALL(IF(ISNUMBER(MATCH($B$2:$B$10000,$E$6:$E$22,0)),ROW($C$2:$C$10000)-ROW($C$2)+1),ROWS(L$20:L517))))</f>
        <v>Iliana  Valerio</v>
      </c>
      <c r="I517" s="4">
        <f t="array" ref="I517">IF(ROWS(M$20:M517)&gt;$F$6,"",INDEX(C$2:C$10000,SMALL(IF(ISNUMBER(MATCH($B$2:$B$10000,$E$6:$E$22,0)),ROW($C$2:$C$10000)-ROW($C$2)+1),ROWS(M$20:M517))))</f>
        <v>3</v>
      </c>
      <c r="K517" s="7">
        <f t="array" ref="K517">IF(ROWS(K$20:K517)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517))))</f>
        <v>41516</v>
      </c>
      <c r="L517" s="4" t="str">
        <f t="array" ref="L517">IF(ROWS(L$20:L517)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517))))</f>
        <v>Iliana  Valerio</v>
      </c>
      <c r="M517" s="4">
        <f t="array" ref="M517">IF(ROWS(M$20:M517)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517))))</f>
        <v>3</v>
      </c>
    </row>
    <row r="518" spans="1:13" x14ac:dyDescent="0.25">
      <c r="A518" s="3">
        <v>41840</v>
      </c>
      <c r="B518" s="2" t="s">
        <v>30</v>
      </c>
      <c r="C518" s="2">
        <v>16</v>
      </c>
      <c r="G518" s="7">
        <f t="array" ref="G518">IF(ROWS(K$20:K518)&gt;$F$6,"",INDEX(A$2:A$10000,SMALL(IF(ISNUMBER(MATCH($B$2:$B$10000,$E$6:$E$22,0)),ROW($C$2:$C$10000)-ROW($C$2)+1),ROWS(K$20:K518))))</f>
        <v>41958</v>
      </c>
      <c r="H518" s="4" t="str">
        <f t="array" ref="H518">IF(ROWS(L$20:L518)&gt;$F$6,"",INDEX(B$2:B$10000,SMALL(IF(ISNUMBER(MATCH($B$2:$B$10000,$E$6:$E$22,0)),ROW($C$2:$C$10000)-ROW($C$2)+1),ROWS(L$20:L518))))</f>
        <v>Jenni  Thorton</v>
      </c>
      <c r="I518" s="4">
        <f t="array" ref="I518">IF(ROWS(M$20:M518)&gt;$F$6,"",INDEX(C$2:C$10000,SMALL(IF(ISNUMBER(MATCH($B$2:$B$10000,$E$6:$E$22,0)),ROW($C$2:$C$10000)-ROW($C$2)+1),ROWS(M$20:M518))))</f>
        <v>8</v>
      </c>
      <c r="K518" s="7">
        <f t="array" ref="K518">IF(ROWS(K$20:K518)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518))))</f>
        <v>41958</v>
      </c>
      <c r="L518" s="4" t="str">
        <f t="array" ref="L518">IF(ROWS(L$20:L518)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518))))</f>
        <v>Jenni  Thorton</v>
      </c>
      <c r="M518" s="4">
        <f t="array" ref="M518">IF(ROWS(M$20:M518)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518))))</f>
        <v>8</v>
      </c>
    </row>
    <row r="519" spans="1:13" x14ac:dyDescent="0.25">
      <c r="A519" s="3">
        <v>41291</v>
      </c>
      <c r="B519" s="2" t="s">
        <v>42</v>
      </c>
      <c r="C519" s="2">
        <v>47</v>
      </c>
      <c r="G519" s="7">
        <f t="array" ref="G519">IF(ROWS(K$20:K519)&gt;$F$6,"",INDEX(A$2:A$10000,SMALL(IF(ISNUMBER(MATCH($B$2:$B$10000,$E$6:$E$22,0)),ROW($C$2:$C$10000)-ROW($C$2)+1),ROWS(K$20:K519))))</f>
        <v>41276</v>
      </c>
      <c r="H519" s="4" t="str">
        <f t="array" ref="H519">IF(ROWS(L$20:L519)&gt;$F$6,"",INDEX(B$2:B$10000,SMALL(IF(ISNUMBER(MATCH($B$2:$B$10000,$E$6:$E$22,0)),ROW($C$2:$C$10000)-ROW($C$2)+1),ROWS(L$20:L519))))</f>
        <v>Mickey  Bolduc</v>
      </c>
      <c r="I519" s="4">
        <f t="array" ref="I519">IF(ROWS(M$20:M519)&gt;$F$6,"",INDEX(C$2:C$10000,SMALL(IF(ISNUMBER(MATCH($B$2:$B$10000,$E$6:$E$22,0)),ROW($C$2:$C$10000)-ROW($C$2)+1),ROWS(M$20:M519))))</f>
        <v>4</v>
      </c>
      <c r="K519" s="7">
        <f t="array" ref="K519">IF(ROWS(K$20:K519)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519))))</f>
        <v>41276</v>
      </c>
      <c r="L519" s="4" t="str">
        <f t="array" ref="L519">IF(ROWS(L$20:L519)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519))))</f>
        <v>Mickey  Bolduc</v>
      </c>
      <c r="M519" s="4">
        <f t="array" ref="M519">IF(ROWS(M$20:M519)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519))))</f>
        <v>4</v>
      </c>
    </row>
    <row r="520" spans="1:13" x14ac:dyDescent="0.25">
      <c r="A520" s="3">
        <v>41824</v>
      </c>
      <c r="B520" s="2" t="s">
        <v>27</v>
      </c>
      <c r="C520" s="2">
        <v>37</v>
      </c>
      <c r="G520" s="7">
        <f t="array" ref="G520">IF(ROWS(K$20:K520)&gt;$F$6,"",INDEX(A$2:A$10000,SMALL(IF(ISNUMBER(MATCH($B$2:$B$10000,$E$6:$E$22,0)),ROW($C$2:$C$10000)-ROW($C$2)+1),ROWS(K$20:K520))))</f>
        <v>41392</v>
      </c>
      <c r="H520" s="4" t="str">
        <f t="array" ref="H520">IF(ROWS(L$20:L520)&gt;$F$6,"",INDEX(B$2:B$10000,SMALL(IF(ISNUMBER(MATCH($B$2:$B$10000,$E$6:$E$22,0)),ROW($C$2:$C$10000)-ROW($C$2)+1),ROWS(L$20:L520))))</f>
        <v>Mickey  Bolduc</v>
      </c>
      <c r="I520" s="4">
        <f t="array" ref="I520">IF(ROWS(M$20:M520)&gt;$F$6,"",INDEX(C$2:C$10000,SMALL(IF(ISNUMBER(MATCH($B$2:$B$10000,$E$6:$E$22,0)),ROW($C$2:$C$10000)-ROW($C$2)+1),ROWS(M$20:M520))))</f>
        <v>31</v>
      </c>
      <c r="K520" s="7">
        <f t="array" ref="K520">IF(ROWS(K$20:K520)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520))))</f>
        <v>41392</v>
      </c>
      <c r="L520" s="4" t="str">
        <f t="array" ref="L520">IF(ROWS(L$20:L520)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520))))</f>
        <v>Mickey  Bolduc</v>
      </c>
      <c r="M520" s="4">
        <f t="array" ref="M520">IF(ROWS(M$20:M520)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520))))</f>
        <v>31</v>
      </c>
    </row>
    <row r="521" spans="1:13" x14ac:dyDescent="0.25">
      <c r="A521" s="3">
        <v>41681</v>
      </c>
      <c r="B521" s="2" t="s">
        <v>34</v>
      </c>
      <c r="C521" s="2">
        <v>0</v>
      </c>
      <c r="G521" s="7">
        <f t="array" ref="G521">IF(ROWS(K$20:K521)&gt;$F$6,"",INDEX(A$2:A$10000,SMALL(IF(ISNUMBER(MATCH($B$2:$B$10000,$E$6:$E$22,0)),ROW($C$2:$C$10000)-ROW($C$2)+1),ROWS(K$20:K521))))</f>
        <v>41883</v>
      </c>
      <c r="H521" s="4" t="str">
        <f t="array" ref="H521">IF(ROWS(L$20:L521)&gt;$F$6,"",INDEX(B$2:B$10000,SMALL(IF(ISNUMBER(MATCH($B$2:$B$10000,$E$6:$E$22,0)),ROW($C$2:$C$10000)-ROW($C$2)+1),ROWS(L$20:L521))))</f>
        <v>Galen  Barth</v>
      </c>
      <c r="I521" s="4">
        <f t="array" ref="I521">IF(ROWS(M$20:M521)&gt;$F$6,"",INDEX(C$2:C$10000,SMALL(IF(ISNUMBER(MATCH($B$2:$B$10000,$E$6:$E$22,0)),ROW($C$2:$C$10000)-ROW($C$2)+1),ROWS(M$20:M521))))</f>
        <v>44</v>
      </c>
      <c r="K521" s="7">
        <f t="array" ref="K521">IF(ROWS(K$20:K521)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521))))</f>
        <v>41883</v>
      </c>
      <c r="L521" s="4" t="str">
        <f t="array" ref="L521">IF(ROWS(L$20:L521)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521))))</f>
        <v>Galen  Barth</v>
      </c>
      <c r="M521" s="4">
        <f t="array" ref="M521">IF(ROWS(M$20:M521)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521))))</f>
        <v>44</v>
      </c>
    </row>
    <row r="522" spans="1:13" x14ac:dyDescent="0.25">
      <c r="A522" s="3">
        <v>41684</v>
      </c>
      <c r="B522" s="2" t="s">
        <v>31</v>
      </c>
      <c r="C522" s="2">
        <v>36</v>
      </c>
      <c r="G522" s="7">
        <f t="array" ref="G522">IF(ROWS(K$20:K522)&gt;$F$6,"",INDEX(A$2:A$10000,SMALL(IF(ISNUMBER(MATCH($B$2:$B$10000,$E$6:$E$22,0)),ROW($C$2:$C$10000)-ROW($C$2)+1),ROWS(K$20:K522))))</f>
        <v>41781</v>
      </c>
      <c r="H522" s="4" t="str">
        <f t="array" ref="H522">IF(ROWS(L$20:L522)&gt;$F$6,"",INDEX(B$2:B$10000,SMALL(IF(ISNUMBER(MATCH($B$2:$B$10000,$E$6:$E$22,0)),ROW($C$2:$C$10000)-ROW($C$2)+1),ROWS(L$20:L522))))</f>
        <v>Rosamond  Allard</v>
      </c>
      <c r="I522" s="4">
        <f t="array" ref="I522">IF(ROWS(M$20:M522)&gt;$F$6,"",INDEX(C$2:C$10000,SMALL(IF(ISNUMBER(MATCH($B$2:$B$10000,$E$6:$E$22,0)),ROW($C$2:$C$10000)-ROW($C$2)+1),ROWS(M$20:M522))))</f>
        <v>39</v>
      </c>
      <c r="K522" s="7">
        <f t="array" ref="K522">IF(ROWS(K$20:K522)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522))))</f>
        <v>41781</v>
      </c>
      <c r="L522" s="4" t="str">
        <f t="array" ref="L522">IF(ROWS(L$20:L522)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522))))</f>
        <v>Rosamond  Allard</v>
      </c>
      <c r="M522" s="4">
        <f t="array" ref="M522">IF(ROWS(M$20:M522)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522))))</f>
        <v>39</v>
      </c>
    </row>
    <row r="523" spans="1:13" x14ac:dyDescent="0.25">
      <c r="A523" s="3">
        <v>41336</v>
      </c>
      <c r="B523" s="2" t="s">
        <v>31</v>
      </c>
      <c r="C523" s="2">
        <v>19</v>
      </c>
      <c r="G523" s="7">
        <f t="array" ref="G523">IF(ROWS(K$20:K523)&gt;$F$6,"",INDEX(A$2:A$10000,SMALL(IF(ISNUMBER(MATCH($B$2:$B$10000,$E$6:$E$22,0)),ROW($C$2:$C$10000)-ROW($C$2)+1),ROWS(K$20:K523))))</f>
        <v>41727</v>
      </c>
      <c r="H523" s="4" t="str">
        <f t="array" ref="H523">IF(ROWS(L$20:L523)&gt;$F$6,"",INDEX(B$2:B$10000,SMALL(IF(ISNUMBER(MATCH($B$2:$B$10000,$E$6:$E$22,0)),ROW($C$2:$C$10000)-ROW($C$2)+1),ROWS(L$20:L523))))</f>
        <v>Jenni  Thorton</v>
      </c>
      <c r="I523" s="4">
        <f t="array" ref="I523">IF(ROWS(M$20:M523)&gt;$F$6,"",INDEX(C$2:C$10000,SMALL(IF(ISNUMBER(MATCH($B$2:$B$10000,$E$6:$E$22,0)),ROW($C$2:$C$10000)-ROW($C$2)+1),ROWS(M$20:M523))))</f>
        <v>33</v>
      </c>
      <c r="K523" s="7">
        <f t="array" ref="K523">IF(ROWS(K$20:K523)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523))))</f>
        <v>41727</v>
      </c>
      <c r="L523" s="4" t="str">
        <f t="array" ref="L523">IF(ROWS(L$20:L523)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523))))</f>
        <v>Jenni  Thorton</v>
      </c>
      <c r="M523" s="4">
        <f t="array" ref="M523">IF(ROWS(M$20:M523)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523))))</f>
        <v>33</v>
      </c>
    </row>
    <row r="524" spans="1:13" x14ac:dyDescent="0.25">
      <c r="A524" s="3">
        <v>41440</v>
      </c>
      <c r="B524" s="2" t="s">
        <v>50</v>
      </c>
      <c r="C524" s="2">
        <v>53</v>
      </c>
      <c r="G524" s="7">
        <f t="array" ref="G524">IF(ROWS(K$20:K524)&gt;$F$6,"",INDEX(A$2:A$10000,SMALL(IF(ISNUMBER(MATCH($B$2:$B$10000,$E$6:$E$22,0)),ROW($C$2:$C$10000)-ROW($C$2)+1),ROWS(K$20:K524))))</f>
        <v>41977</v>
      </c>
      <c r="H524" s="4" t="str">
        <f t="array" ref="H524">IF(ROWS(L$20:L524)&gt;$F$6,"",INDEX(B$2:B$10000,SMALL(IF(ISNUMBER(MATCH($B$2:$B$10000,$E$6:$E$22,0)),ROW($C$2:$C$10000)-ROW($C$2)+1),ROWS(L$20:L524))))</f>
        <v>Kerrie  Worrell</v>
      </c>
      <c r="I524" s="4">
        <f t="array" ref="I524">IF(ROWS(M$20:M524)&gt;$F$6,"",INDEX(C$2:C$10000,SMALL(IF(ISNUMBER(MATCH($B$2:$B$10000,$E$6:$E$22,0)),ROW($C$2:$C$10000)-ROW($C$2)+1),ROWS(M$20:M524))))</f>
        <v>38</v>
      </c>
      <c r="K524" s="7">
        <f t="array" ref="K524">IF(ROWS(K$20:K524)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524))))</f>
        <v>41977</v>
      </c>
      <c r="L524" s="4" t="str">
        <f t="array" ref="L524">IF(ROWS(L$20:L524)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524))))</f>
        <v>Kerrie  Worrell</v>
      </c>
      <c r="M524" s="4">
        <f t="array" ref="M524">IF(ROWS(M$20:M524)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524))))</f>
        <v>38</v>
      </c>
    </row>
    <row r="525" spans="1:13" x14ac:dyDescent="0.25">
      <c r="A525" s="3">
        <v>41391</v>
      </c>
      <c r="B525" s="2" t="s">
        <v>8</v>
      </c>
      <c r="C525" s="2">
        <v>1</v>
      </c>
      <c r="G525" s="7">
        <f t="array" ref="G525">IF(ROWS(K$20:K525)&gt;$F$6,"",INDEX(A$2:A$10000,SMALL(IF(ISNUMBER(MATCH($B$2:$B$10000,$E$6:$E$22,0)),ROW($C$2:$C$10000)-ROW($C$2)+1),ROWS(K$20:K525))))</f>
        <v>41820</v>
      </c>
      <c r="H525" s="4" t="str">
        <f t="array" ref="H525">IF(ROWS(L$20:L525)&gt;$F$6,"",INDEX(B$2:B$10000,SMALL(IF(ISNUMBER(MATCH($B$2:$B$10000,$E$6:$E$22,0)),ROW($C$2:$C$10000)-ROW($C$2)+1),ROWS(L$20:L525))))</f>
        <v>Rosamond  Allard</v>
      </c>
      <c r="I525" s="4">
        <f t="array" ref="I525">IF(ROWS(M$20:M525)&gt;$F$6,"",INDEX(C$2:C$10000,SMALL(IF(ISNUMBER(MATCH($B$2:$B$10000,$E$6:$E$22,0)),ROW($C$2:$C$10000)-ROW($C$2)+1),ROWS(M$20:M525))))</f>
        <v>55</v>
      </c>
      <c r="K525" s="7">
        <f t="array" ref="K525">IF(ROWS(K$20:K525)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525))))</f>
        <v>41820</v>
      </c>
      <c r="L525" s="4" t="str">
        <f t="array" ref="L525">IF(ROWS(L$20:L525)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525))))</f>
        <v>Rosamond  Allard</v>
      </c>
      <c r="M525" s="4">
        <f t="array" ref="M525">IF(ROWS(M$20:M525)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525))))</f>
        <v>55</v>
      </c>
    </row>
    <row r="526" spans="1:13" x14ac:dyDescent="0.25">
      <c r="A526" s="3">
        <v>41762</v>
      </c>
      <c r="B526" s="2" t="s">
        <v>28</v>
      </c>
      <c r="C526" s="2">
        <v>4</v>
      </c>
      <c r="G526" s="7">
        <f t="array" ref="G526">IF(ROWS(K$20:K526)&gt;$F$6,"",INDEX(A$2:A$10000,SMALL(IF(ISNUMBER(MATCH($B$2:$B$10000,$E$6:$E$22,0)),ROW($C$2:$C$10000)-ROW($C$2)+1),ROWS(K$20:K526))))</f>
        <v>41361</v>
      </c>
      <c r="H526" s="4" t="str">
        <f t="array" ref="H526">IF(ROWS(L$20:L526)&gt;$F$6,"",INDEX(B$2:B$10000,SMALL(IF(ISNUMBER(MATCH($B$2:$B$10000,$E$6:$E$22,0)),ROW($C$2:$C$10000)-ROW($C$2)+1),ROWS(L$20:L526))))</f>
        <v>Rosamond  Allard</v>
      </c>
      <c r="I526" s="4">
        <f t="array" ref="I526">IF(ROWS(M$20:M526)&gt;$F$6,"",INDEX(C$2:C$10000,SMALL(IF(ISNUMBER(MATCH($B$2:$B$10000,$E$6:$E$22,0)),ROW($C$2:$C$10000)-ROW($C$2)+1),ROWS(M$20:M526))))</f>
        <v>10</v>
      </c>
      <c r="K526" s="7">
        <f t="array" ref="K526">IF(ROWS(K$20:K526)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526))))</f>
        <v>41361</v>
      </c>
      <c r="L526" s="4" t="str">
        <f t="array" ref="L526">IF(ROWS(L$20:L526)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526))))</f>
        <v>Rosamond  Allard</v>
      </c>
      <c r="M526" s="4">
        <f t="array" ref="M526">IF(ROWS(M$20:M526)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526))))</f>
        <v>10</v>
      </c>
    </row>
    <row r="527" spans="1:13" x14ac:dyDescent="0.25">
      <c r="A527" s="3">
        <v>41827</v>
      </c>
      <c r="B527" s="2" t="s">
        <v>12</v>
      </c>
      <c r="C527" s="2">
        <v>5</v>
      </c>
      <c r="G527" s="7">
        <f t="array" ref="G527">IF(ROWS(K$20:K527)&gt;$F$6,"",INDEX(A$2:A$10000,SMALL(IF(ISNUMBER(MATCH($B$2:$B$10000,$E$6:$E$22,0)),ROW($C$2:$C$10000)-ROW($C$2)+1),ROWS(K$20:K527))))</f>
        <v>41331</v>
      </c>
      <c r="H527" s="4" t="str">
        <f t="array" ref="H527">IF(ROWS(L$20:L527)&gt;$F$6,"",INDEX(B$2:B$10000,SMALL(IF(ISNUMBER(MATCH($B$2:$B$10000,$E$6:$E$22,0)),ROW($C$2:$C$10000)-ROW($C$2)+1),ROWS(L$20:L527))))</f>
        <v>Jenni  Thorton</v>
      </c>
      <c r="I527" s="4">
        <f t="array" ref="I527">IF(ROWS(M$20:M527)&gt;$F$6,"",INDEX(C$2:C$10000,SMALL(IF(ISNUMBER(MATCH($B$2:$B$10000,$E$6:$E$22,0)),ROW($C$2:$C$10000)-ROW($C$2)+1),ROWS(M$20:M527))))</f>
        <v>12</v>
      </c>
      <c r="K527" s="7">
        <f t="array" ref="K527">IF(ROWS(K$20:K527)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527))))</f>
        <v>41331</v>
      </c>
      <c r="L527" s="4" t="str">
        <f t="array" ref="L527">IF(ROWS(L$20:L527)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527))))</f>
        <v>Jenni  Thorton</v>
      </c>
      <c r="M527" s="4">
        <f t="array" ref="M527">IF(ROWS(M$20:M527)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527))))</f>
        <v>12</v>
      </c>
    </row>
    <row r="528" spans="1:13" x14ac:dyDescent="0.25">
      <c r="A528" s="3">
        <v>41976</v>
      </c>
      <c r="B528" s="2" t="s">
        <v>48</v>
      </c>
      <c r="C528" s="2">
        <v>25</v>
      </c>
      <c r="G528" s="7">
        <f t="array" ref="G528">IF(ROWS(K$20:K528)&gt;$F$6,"",INDEX(A$2:A$10000,SMALL(IF(ISNUMBER(MATCH($B$2:$B$10000,$E$6:$E$22,0)),ROW($C$2:$C$10000)-ROW($C$2)+1),ROWS(K$20:K528))))</f>
        <v>41535</v>
      </c>
      <c r="H528" s="4" t="str">
        <f t="array" ref="H528">IF(ROWS(L$20:L528)&gt;$F$6,"",INDEX(B$2:B$10000,SMALL(IF(ISNUMBER(MATCH($B$2:$B$10000,$E$6:$E$22,0)),ROW($C$2:$C$10000)-ROW($C$2)+1),ROWS(L$20:L528))))</f>
        <v>Galen  Barth</v>
      </c>
      <c r="I528" s="4">
        <f t="array" ref="I528">IF(ROWS(M$20:M528)&gt;$F$6,"",INDEX(C$2:C$10000,SMALL(IF(ISNUMBER(MATCH($B$2:$B$10000,$E$6:$E$22,0)),ROW($C$2:$C$10000)-ROW($C$2)+1),ROWS(M$20:M528))))</f>
        <v>32</v>
      </c>
      <c r="K528" s="7">
        <f t="array" ref="K528">IF(ROWS(K$20:K528)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528))))</f>
        <v>41535</v>
      </c>
      <c r="L528" s="4" t="str">
        <f t="array" ref="L528">IF(ROWS(L$20:L528)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528))))</f>
        <v>Galen  Barth</v>
      </c>
      <c r="M528" s="4">
        <f t="array" ref="M528">IF(ROWS(M$20:M528)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528))))</f>
        <v>32</v>
      </c>
    </row>
    <row r="529" spans="1:13" x14ac:dyDescent="0.25">
      <c r="A529" s="3">
        <v>41531</v>
      </c>
      <c r="B529" s="2" t="s">
        <v>45</v>
      </c>
      <c r="C529" s="2">
        <v>43</v>
      </c>
      <c r="G529" s="7">
        <f t="array" ref="G529">IF(ROWS(K$20:K529)&gt;$F$6,"",INDEX(A$2:A$10000,SMALL(IF(ISNUMBER(MATCH($B$2:$B$10000,$E$6:$E$22,0)),ROW($C$2:$C$10000)-ROW($C$2)+1),ROWS(K$20:K529))))</f>
        <v>41626</v>
      </c>
      <c r="H529" s="4" t="str">
        <f t="array" ref="H529">IF(ROWS(L$20:L529)&gt;$F$6,"",INDEX(B$2:B$10000,SMALL(IF(ISNUMBER(MATCH($B$2:$B$10000,$E$6:$E$22,0)),ROW($C$2:$C$10000)-ROW($C$2)+1),ROWS(L$20:L529))))</f>
        <v>Galen  Barth</v>
      </c>
      <c r="I529" s="4">
        <f t="array" ref="I529">IF(ROWS(M$20:M529)&gt;$F$6,"",INDEX(C$2:C$10000,SMALL(IF(ISNUMBER(MATCH($B$2:$B$10000,$E$6:$E$22,0)),ROW($C$2:$C$10000)-ROW($C$2)+1),ROWS(M$20:M529))))</f>
        <v>28</v>
      </c>
      <c r="K529" s="7">
        <f t="array" ref="K529">IF(ROWS(K$20:K529)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529))))</f>
        <v>41626</v>
      </c>
      <c r="L529" s="4" t="str">
        <f t="array" ref="L529">IF(ROWS(L$20:L529)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529))))</f>
        <v>Galen  Barth</v>
      </c>
      <c r="M529" s="4">
        <f t="array" ref="M529">IF(ROWS(M$20:M529)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529))))</f>
        <v>28</v>
      </c>
    </row>
    <row r="530" spans="1:13" x14ac:dyDescent="0.25">
      <c r="A530" s="3">
        <v>41536</v>
      </c>
      <c r="B530" s="2" t="s">
        <v>32</v>
      </c>
      <c r="C530" s="2">
        <v>36</v>
      </c>
      <c r="G530" s="7">
        <f t="array" ref="G530">IF(ROWS(K$20:K530)&gt;$F$6,"",INDEX(A$2:A$10000,SMALL(IF(ISNUMBER(MATCH($B$2:$B$10000,$E$6:$E$22,0)),ROW($C$2:$C$10000)-ROW($C$2)+1),ROWS(K$20:K530))))</f>
        <v>41698</v>
      </c>
      <c r="H530" s="4" t="str">
        <f t="array" ref="H530">IF(ROWS(L$20:L530)&gt;$F$6,"",INDEX(B$2:B$10000,SMALL(IF(ISNUMBER(MATCH($B$2:$B$10000,$E$6:$E$22,0)),ROW($C$2:$C$10000)-ROW($C$2)+1),ROWS(L$20:L530))))</f>
        <v>Galen  Barth</v>
      </c>
      <c r="I530" s="4">
        <f t="array" ref="I530">IF(ROWS(M$20:M530)&gt;$F$6,"",INDEX(C$2:C$10000,SMALL(IF(ISNUMBER(MATCH($B$2:$B$10000,$E$6:$E$22,0)),ROW($C$2:$C$10000)-ROW($C$2)+1),ROWS(M$20:M530))))</f>
        <v>25</v>
      </c>
      <c r="K530" s="7">
        <f t="array" ref="K530">IF(ROWS(K$20:K530)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530))))</f>
        <v>41698</v>
      </c>
      <c r="L530" s="4" t="str">
        <f t="array" ref="L530">IF(ROWS(L$20:L530)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530))))</f>
        <v>Galen  Barth</v>
      </c>
      <c r="M530" s="4">
        <f t="array" ref="M530">IF(ROWS(M$20:M530)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530))))</f>
        <v>25</v>
      </c>
    </row>
    <row r="531" spans="1:13" x14ac:dyDescent="0.25">
      <c r="A531" s="3">
        <v>41981</v>
      </c>
      <c r="B531" s="2" t="s">
        <v>16</v>
      </c>
      <c r="C531" s="2">
        <v>25</v>
      </c>
      <c r="G531" s="7">
        <f t="array" ref="G531">IF(ROWS(K$20:K531)&gt;$F$6,"",INDEX(A$2:A$10000,SMALL(IF(ISNUMBER(MATCH($B$2:$B$10000,$E$6:$E$22,0)),ROW($C$2:$C$10000)-ROW($C$2)+1),ROWS(K$20:K531))))</f>
        <v>41852</v>
      </c>
      <c r="H531" s="4" t="str">
        <f t="array" ref="H531">IF(ROWS(L$20:L531)&gt;$F$6,"",INDEX(B$2:B$10000,SMALL(IF(ISNUMBER(MATCH($B$2:$B$10000,$E$6:$E$22,0)),ROW($C$2:$C$10000)-ROW($C$2)+1),ROWS(L$20:L531))))</f>
        <v>Rosamond  Allard</v>
      </c>
      <c r="I531" s="4">
        <f t="array" ref="I531">IF(ROWS(M$20:M531)&gt;$F$6,"",INDEX(C$2:C$10000,SMALL(IF(ISNUMBER(MATCH($B$2:$B$10000,$E$6:$E$22,0)),ROW($C$2:$C$10000)-ROW($C$2)+1),ROWS(M$20:M531))))</f>
        <v>31</v>
      </c>
      <c r="K531" s="7">
        <f t="array" ref="K531">IF(ROWS(K$20:K531)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531))))</f>
        <v>41852</v>
      </c>
      <c r="L531" s="4" t="str">
        <f t="array" ref="L531">IF(ROWS(L$20:L531)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531))))</f>
        <v>Rosamond  Allard</v>
      </c>
      <c r="M531" s="4">
        <f t="array" ref="M531">IF(ROWS(M$20:M531)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531))))</f>
        <v>31</v>
      </c>
    </row>
    <row r="532" spans="1:13" x14ac:dyDescent="0.25">
      <c r="A532" s="3">
        <v>41304</v>
      </c>
      <c r="B532" s="2" t="s">
        <v>9</v>
      </c>
      <c r="C532" s="2">
        <v>17</v>
      </c>
      <c r="G532" s="7">
        <f t="array" ref="G532">IF(ROWS(K$20:K532)&gt;$F$6,"",INDEX(A$2:A$10000,SMALL(IF(ISNUMBER(MATCH($B$2:$B$10000,$E$6:$E$22,0)),ROW($C$2:$C$10000)-ROW($C$2)+1),ROWS(K$20:K532))))</f>
        <v>41770</v>
      </c>
      <c r="H532" s="4" t="str">
        <f t="array" ref="H532">IF(ROWS(L$20:L532)&gt;$F$6,"",INDEX(B$2:B$10000,SMALL(IF(ISNUMBER(MATCH($B$2:$B$10000,$E$6:$E$22,0)),ROW($C$2:$C$10000)-ROW($C$2)+1),ROWS(L$20:L532))))</f>
        <v>Jenni  Thorton</v>
      </c>
      <c r="I532" s="4">
        <f t="array" ref="I532">IF(ROWS(M$20:M532)&gt;$F$6,"",INDEX(C$2:C$10000,SMALL(IF(ISNUMBER(MATCH($B$2:$B$10000,$E$6:$E$22,0)),ROW($C$2:$C$10000)-ROW($C$2)+1),ROWS(M$20:M532))))</f>
        <v>20</v>
      </c>
      <c r="K532" s="7">
        <f t="array" ref="K532">IF(ROWS(K$20:K532)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532))))</f>
        <v>41770</v>
      </c>
      <c r="L532" s="4" t="str">
        <f t="array" ref="L532">IF(ROWS(L$20:L532)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532))))</f>
        <v>Jenni  Thorton</v>
      </c>
      <c r="M532" s="4">
        <f t="array" ref="M532">IF(ROWS(M$20:M532)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532))))</f>
        <v>20</v>
      </c>
    </row>
    <row r="533" spans="1:13" x14ac:dyDescent="0.25">
      <c r="A533" s="3">
        <v>41463</v>
      </c>
      <c r="B533" s="2" t="s">
        <v>50</v>
      </c>
      <c r="C533" s="2">
        <v>43</v>
      </c>
      <c r="G533" s="7">
        <f t="array" ref="G533">IF(ROWS(K$20:K533)&gt;$F$6,"",INDEX(A$2:A$10000,SMALL(IF(ISNUMBER(MATCH($B$2:$B$10000,$E$6:$E$22,0)),ROW($C$2:$C$10000)-ROW($C$2)+1),ROWS(K$20:K533))))</f>
        <v>41969</v>
      </c>
      <c r="H533" s="4" t="str">
        <f t="array" ref="H533">IF(ROWS(L$20:L533)&gt;$F$6,"",INDEX(B$2:B$10000,SMALL(IF(ISNUMBER(MATCH($B$2:$B$10000,$E$6:$E$22,0)),ROW($C$2:$C$10000)-ROW($C$2)+1),ROWS(L$20:L533))))</f>
        <v>Jenni  Thorton</v>
      </c>
      <c r="I533" s="4">
        <f t="array" ref="I533">IF(ROWS(M$20:M533)&gt;$F$6,"",INDEX(C$2:C$10000,SMALL(IF(ISNUMBER(MATCH($B$2:$B$10000,$E$6:$E$22,0)),ROW($C$2:$C$10000)-ROW($C$2)+1),ROWS(M$20:M533))))</f>
        <v>24</v>
      </c>
      <c r="K533" s="7">
        <f t="array" ref="K533">IF(ROWS(K$20:K533)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533))))</f>
        <v>41969</v>
      </c>
      <c r="L533" s="4" t="str">
        <f t="array" ref="L533">IF(ROWS(L$20:L533)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533))))</f>
        <v>Jenni  Thorton</v>
      </c>
      <c r="M533" s="4">
        <f t="array" ref="M533">IF(ROWS(M$20:M533)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533))))</f>
        <v>24</v>
      </c>
    </row>
    <row r="534" spans="1:13" x14ac:dyDescent="0.25">
      <c r="A534" s="3">
        <v>41606</v>
      </c>
      <c r="B534" s="2" t="s">
        <v>19</v>
      </c>
      <c r="C534" s="2">
        <v>31</v>
      </c>
      <c r="G534" s="7">
        <f t="array" ref="G534">IF(ROWS(K$20:K534)&gt;$F$6,"",INDEX(A$2:A$10000,SMALL(IF(ISNUMBER(MATCH($B$2:$B$10000,$E$6:$E$22,0)),ROW($C$2:$C$10000)-ROW($C$2)+1),ROWS(K$20:K534))))</f>
        <v>41669</v>
      </c>
      <c r="H534" s="4" t="str">
        <f t="array" ref="H534">IF(ROWS(L$20:L534)&gt;$F$6,"",INDEX(B$2:B$10000,SMALL(IF(ISNUMBER(MATCH($B$2:$B$10000,$E$6:$E$22,0)),ROW($C$2:$C$10000)-ROW($C$2)+1),ROWS(L$20:L534))))</f>
        <v>Jenni  Thorton</v>
      </c>
      <c r="I534" s="4">
        <f t="array" ref="I534">IF(ROWS(M$20:M534)&gt;$F$6,"",INDEX(C$2:C$10000,SMALL(IF(ISNUMBER(MATCH($B$2:$B$10000,$E$6:$E$22,0)),ROW($C$2:$C$10000)-ROW($C$2)+1),ROWS(M$20:M534))))</f>
        <v>6</v>
      </c>
      <c r="K534" s="7">
        <f t="array" ref="K534">IF(ROWS(K$20:K534)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534))))</f>
        <v>41669</v>
      </c>
      <c r="L534" s="4" t="str">
        <f t="array" ref="L534">IF(ROWS(L$20:L534)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534))))</f>
        <v>Jenni  Thorton</v>
      </c>
      <c r="M534" s="4">
        <f t="array" ref="M534">IF(ROWS(M$20:M534)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534))))</f>
        <v>6</v>
      </c>
    </row>
    <row r="535" spans="1:13" x14ac:dyDescent="0.25">
      <c r="A535" s="3">
        <v>41376</v>
      </c>
      <c r="B535" s="2" t="s">
        <v>31</v>
      </c>
      <c r="C535" s="2">
        <v>8</v>
      </c>
      <c r="G535" s="7">
        <f t="array" ref="G535">IF(ROWS(K$20:K535)&gt;$F$6,"",INDEX(A$2:A$10000,SMALL(IF(ISNUMBER(MATCH($B$2:$B$10000,$E$6:$E$22,0)),ROW($C$2:$C$10000)-ROW($C$2)+1),ROWS(K$20:K535))))</f>
        <v>41283</v>
      </c>
      <c r="H535" s="4" t="str">
        <f t="array" ref="H535">IF(ROWS(L$20:L535)&gt;$F$6,"",INDEX(B$2:B$10000,SMALL(IF(ISNUMBER(MATCH($B$2:$B$10000,$E$6:$E$22,0)),ROW($C$2:$C$10000)-ROW($C$2)+1),ROWS(L$20:L535))))</f>
        <v>Kerrie  Worrell</v>
      </c>
      <c r="I535" s="4">
        <f t="array" ref="I535">IF(ROWS(M$20:M535)&gt;$F$6,"",INDEX(C$2:C$10000,SMALL(IF(ISNUMBER(MATCH($B$2:$B$10000,$E$6:$E$22,0)),ROW($C$2:$C$10000)-ROW($C$2)+1),ROWS(M$20:M535))))</f>
        <v>62</v>
      </c>
      <c r="K535" s="7">
        <f t="array" ref="K535">IF(ROWS(K$20:K535)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535))))</f>
        <v>41283</v>
      </c>
      <c r="L535" s="4" t="str">
        <f t="array" ref="L535">IF(ROWS(L$20:L535)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535))))</f>
        <v>Kerrie  Worrell</v>
      </c>
      <c r="M535" s="4">
        <f t="array" ref="M535">IF(ROWS(M$20:M535)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535))))</f>
        <v>62</v>
      </c>
    </row>
    <row r="536" spans="1:13" x14ac:dyDescent="0.25">
      <c r="A536" s="3">
        <v>41976</v>
      </c>
      <c r="B536" s="2" t="s">
        <v>35</v>
      </c>
      <c r="C536" s="2">
        <v>27</v>
      </c>
      <c r="G536" s="7">
        <f t="array" ref="G536">IF(ROWS(K$20:K536)&gt;$F$6,"",INDEX(A$2:A$10000,SMALL(IF(ISNUMBER(MATCH($B$2:$B$10000,$E$6:$E$22,0)),ROW($C$2:$C$10000)-ROW($C$2)+1),ROWS(K$20:K536))))</f>
        <v>41748</v>
      </c>
      <c r="H536" s="4" t="str">
        <f t="array" ref="H536">IF(ROWS(L$20:L536)&gt;$F$6,"",INDEX(B$2:B$10000,SMALL(IF(ISNUMBER(MATCH($B$2:$B$10000,$E$6:$E$22,0)),ROW($C$2:$C$10000)-ROW($C$2)+1),ROWS(L$20:L536))))</f>
        <v>Mickey  Bolduc</v>
      </c>
      <c r="I536" s="4">
        <f t="array" ref="I536">IF(ROWS(M$20:M536)&gt;$F$6,"",INDEX(C$2:C$10000,SMALL(IF(ISNUMBER(MATCH($B$2:$B$10000,$E$6:$E$22,0)),ROW($C$2:$C$10000)-ROW($C$2)+1),ROWS(M$20:M536))))</f>
        <v>10</v>
      </c>
      <c r="K536" s="7">
        <f t="array" ref="K536">IF(ROWS(K$20:K536)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536))))</f>
        <v>41748</v>
      </c>
      <c r="L536" s="4" t="str">
        <f t="array" ref="L536">IF(ROWS(L$20:L536)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536))))</f>
        <v>Mickey  Bolduc</v>
      </c>
      <c r="M536" s="4">
        <f t="array" ref="M536">IF(ROWS(M$20:M536)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536))))</f>
        <v>10</v>
      </c>
    </row>
    <row r="537" spans="1:13" x14ac:dyDescent="0.25">
      <c r="A537" s="3">
        <v>41430</v>
      </c>
      <c r="B537" s="2" t="s">
        <v>8</v>
      </c>
      <c r="C537" s="2">
        <v>21</v>
      </c>
      <c r="G537" s="7">
        <f t="array" ref="G537">IF(ROWS(K$20:K537)&gt;$F$6,"",INDEX(A$2:A$10000,SMALL(IF(ISNUMBER(MATCH($B$2:$B$10000,$E$6:$E$22,0)),ROW($C$2:$C$10000)-ROW($C$2)+1),ROWS(K$20:K537))))</f>
        <v>41849</v>
      </c>
      <c r="H537" s="4" t="str">
        <f t="array" ref="H537">IF(ROWS(L$20:L537)&gt;$F$6,"",INDEX(B$2:B$10000,SMALL(IF(ISNUMBER(MATCH($B$2:$B$10000,$E$6:$E$22,0)),ROW($C$2:$C$10000)-ROW($C$2)+1),ROWS(L$20:L537))))</f>
        <v>Mickey  Bolduc</v>
      </c>
      <c r="I537" s="4">
        <f t="array" ref="I537">IF(ROWS(M$20:M537)&gt;$F$6,"",INDEX(C$2:C$10000,SMALL(IF(ISNUMBER(MATCH($B$2:$B$10000,$E$6:$E$22,0)),ROW($C$2:$C$10000)-ROW($C$2)+1),ROWS(M$20:M537))))</f>
        <v>16</v>
      </c>
      <c r="K537" s="7">
        <f t="array" ref="K537">IF(ROWS(K$20:K537)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537))))</f>
        <v>41849</v>
      </c>
      <c r="L537" s="4" t="str">
        <f t="array" ref="L537">IF(ROWS(L$20:L537)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537))))</f>
        <v>Mickey  Bolduc</v>
      </c>
      <c r="M537" s="4">
        <f t="array" ref="M537">IF(ROWS(M$20:M537)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537))))</f>
        <v>16</v>
      </c>
    </row>
    <row r="538" spans="1:13" x14ac:dyDescent="0.25">
      <c r="A538" s="3">
        <v>41494</v>
      </c>
      <c r="B538" s="2" t="s">
        <v>18</v>
      </c>
      <c r="C538" s="2">
        <v>63</v>
      </c>
      <c r="G538" s="7">
        <f t="array" ref="G538">IF(ROWS(K$20:K538)&gt;$F$6,"",INDEX(A$2:A$10000,SMALL(IF(ISNUMBER(MATCH($B$2:$B$10000,$E$6:$E$22,0)),ROW($C$2:$C$10000)-ROW($C$2)+1),ROWS(K$20:K538))))</f>
        <v>42000</v>
      </c>
      <c r="H538" s="4" t="str">
        <f t="array" ref="H538">IF(ROWS(L$20:L538)&gt;$F$6,"",INDEX(B$2:B$10000,SMALL(IF(ISNUMBER(MATCH($B$2:$B$10000,$E$6:$E$22,0)),ROW($C$2:$C$10000)-ROW($C$2)+1),ROWS(L$20:L538))))</f>
        <v>Rosamond  Allard</v>
      </c>
      <c r="I538" s="4">
        <f t="array" ref="I538">IF(ROWS(M$20:M538)&gt;$F$6,"",INDEX(C$2:C$10000,SMALL(IF(ISNUMBER(MATCH($B$2:$B$10000,$E$6:$E$22,0)),ROW($C$2:$C$10000)-ROW($C$2)+1),ROWS(M$20:M538))))</f>
        <v>46</v>
      </c>
      <c r="K538" s="7">
        <f t="array" ref="K538">IF(ROWS(K$20:K538)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538))))</f>
        <v>42000</v>
      </c>
      <c r="L538" s="4" t="str">
        <f t="array" ref="L538">IF(ROWS(L$20:L538)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538))))</f>
        <v>Rosamond  Allard</v>
      </c>
      <c r="M538" s="4">
        <f t="array" ref="M538">IF(ROWS(M$20:M538)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538))))</f>
        <v>46</v>
      </c>
    </row>
    <row r="539" spans="1:13" x14ac:dyDescent="0.25">
      <c r="A539" s="3">
        <v>41426</v>
      </c>
      <c r="B539" s="2" t="s">
        <v>32</v>
      </c>
      <c r="C539" s="2">
        <v>36</v>
      </c>
      <c r="G539" s="7">
        <f t="array" ref="G539">IF(ROWS(K$20:K539)&gt;$F$6,"",INDEX(A$2:A$10000,SMALL(IF(ISNUMBER(MATCH($B$2:$B$10000,$E$6:$E$22,0)),ROW($C$2:$C$10000)-ROW($C$2)+1),ROWS(K$20:K539))))</f>
        <v>41884</v>
      </c>
      <c r="H539" s="4" t="str">
        <f t="array" ref="H539">IF(ROWS(L$20:L539)&gt;$F$6,"",INDEX(B$2:B$10000,SMALL(IF(ISNUMBER(MATCH($B$2:$B$10000,$E$6:$E$22,0)),ROW($C$2:$C$10000)-ROW($C$2)+1),ROWS(L$20:L539))))</f>
        <v>Jenni  Thorton</v>
      </c>
      <c r="I539" s="4">
        <f t="array" ref="I539">IF(ROWS(M$20:M539)&gt;$F$6,"",INDEX(C$2:C$10000,SMALL(IF(ISNUMBER(MATCH($B$2:$B$10000,$E$6:$E$22,0)),ROW($C$2:$C$10000)-ROW($C$2)+1),ROWS(M$20:M539))))</f>
        <v>44</v>
      </c>
      <c r="K539" s="7">
        <f t="array" ref="K539">IF(ROWS(K$20:K539)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539))))</f>
        <v>41884</v>
      </c>
      <c r="L539" s="4" t="str">
        <f t="array" ref="L539">IF(ROWS(L$20:L539)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539))))</f>
        <v>Jenni  Thorton</v>
      </c>
      <c r="M539" s="4">
        <f t="array" ref="M539">IF(ROWS(M$20:M539)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539))))</f>
        <v>44</v>
      </c>
    </row>
    <row r="540" spans="1:13" x14ac:dyDescent="0.25">
      <c r="A540" s="3">
        <v>41735</v>
      </c>
      <c r="B540" s="2" t="s">
        <v>51</v>
      </c>
      <c r="C540" s="2">
        <v>59</v>
      </c>
      <c r="G540" s="7">
        <f t="array" ref="G540">IF(ROWS(K$20:K540)&gt;$F$6,"",INDEX(A$2:A$10000,SMALL(IF(ISNUMBER(MATCH($B$2:$B$10000,$E$6:$E$22,0)),ROW($C$2:$C$10000)-ROW($C$2)+1),ROWS(K$20:K540))))</f>
        <v>41531</v>
      </c>
      <c r="H540" s="4" t="str">
        <f t="array" ref="H540">IF(ROWS(L$20:L540)&gt;$F$6,"",INDEX(B$2:B$10000,SMALL(IF(ISNUMBER(MATCH($B$2:$B$10000,$E$6:$E$22,0)),ROW($C$2:$C$10000)-ROW($C$2)+1),ROWS(L$20:L540))))</f>
        <v>Galen  Barth</v>
      </c>
      <c r="I540" s="4">
        <f t="array" ref="I540">IF(ROWS(M$20:M540)&gt;$F$6,"",INDEX(C$2:C$10000,SMALL(IF(ISNUMBER(MATCH($B$2:$B$10000,$E$6:$E$22,0)),ROW($C$2:$C$10000)-ROW($C$2)+1),ROWS(M$20:M540))))</f>
        <v>45</v>
      </c>
      <c r="K540" s="7">
        <f t="array" ref="K540">IF(ROWS(K$20:K540)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540))))</f>
        <v>41531</v>
      </c>
      <c r="L540" s="4" t="str">
        <f t="array" ref="L540">IF(ROWS(L$20:L540)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540))))</f>
        <v>Galen  Barth</v>
      </c>
      <c r="M540" s="4">
        <f t="array" ref="M540">IF(ROWS(M$20:M540)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540))))</f>
        <v>45</v>
      </c>
    </row>
    <row r="541" spans="1:13" x14ac:dyDescent="0.25">
      <c r="A541" s="3">
        <v>41552</v>
      </c>
      <c r="B541" s="2" t="s">
        <v>27</v>
      </c>
      <c r="C541" s="2">
        <v>35</v>
      </c>
      <c r="G541" s="7">
        <f t="array" ref="G541">IF(ROWS(K$20:K541)&gt;$F$6,"",INDEX(A$2:A$10000,SMALL(IF(ISNUMBER(MATCH($B$2:$B$10000,$E$6:$E$22,0)),ROW($C$2:$C$10000)-ROW($C$2)+1),ROWS(K$20:K541))))</f>
        <v>41376</v>
      </c>
      <c r="H541" s="4" t="str">
        <f t="array" ref="H541">IF(ROWS(L$20:L541)&gt;$F$6,"",INDEX(B$2:B$10000,SMALL(IF(ISNUMBER(MATCH($B$2:$B$10000,$E$6:$E$22,0)),ROW($C$2:$C$10000)-ROW($C$2)+1),ROWS(L$20:L541))))</f>
        <v>Iliana  Valerio</v>
      </c>
      <c r="I541" s="4">
        <f t="array" ref="I541">IF(ROWS(M$20:M541)&gt;$F$6,"",INDEX(C$2:C$10000,SMALL(IF(ISNUMBER(MATCH($B$2:$B$10000,$E$6:$E$22,0)),ROW($C$2:$C$10000)-ROW($C$2)+1),ROWS(M$20:M541))))</f>
        <v>8</v>
      </c>
      <c r="K541" s="7">
        <f t="array" ref="K541">IF(ROWS(K$20:K541)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541))))</f>
        <v>41376</v>
      </c>
      <c r="L541" s="4" t="str">
        <f t="array" ref="L541">IF(ROWS(L$20:L541)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541))))</f>
        <v>Iliana  Valerio</v>
      </c>
      <c r="M541" s="4">
        <f t="array" ref="M541">IF(ROWS(M$20:M541)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541))))</f>
        <v>8</v>
      </c>
    </row>
    <row r="542" spans="1:13" x14ac:dyDescent="0.25">
      <c r="A542" s="3">
        <v>41681</v>
      </c>
      <c r="B542" s="2" t="s">
        <v>15</v>
      </c>
      <c r="C542" s="2">
        <v>21</v>
      </c>
      <c r="G542" s="7">
        <f t="array" ref="G542">IF(ROWS(K$20:K542)&gt;$F$6,"",INDEX(A$2:A$10000,SMALL(IF(ISNUMBER(MATCH($B$2:$B$10000,$E$6:$E$22,0)),ROW($C$2:$C$10000)-ROW($C$2)+1),ROWS(K$20:K542))))</f>
        <v>41334</v>
      </c>
      <c r="H542" s="4" t="str">
        <f t="array" ref="H542">IF(ROWS(L$20:L542)&gt;$F$6,"",INDEX(B$2:B$10000,SMALL(IF(ISNUMBER(MATCH($B$2:$B$10000,$E$6:$E$22,0)),ROW($C$2:$C$10000)-ROW($C$2)+1),ROWS(L$20:L542))))</f>
        <v>Mickey  Bolduc</v>
      </c>
      <c r="I542" s="4">
        <f t="array" ref="I542">IF(ROWS(M$20:M542)&gt;$F$6,"",INDEX(C$2:C$10000,SMALL(IF(ISNUMBER(MATCH($B$2:$B$10000,$E$6:$E$22,0)),ROW($C$2:$C$10000)-ROW($C$2)+1),ROWS(M$20:M542))))</f>
        <v>27</v>
      </c>
      <c r="K542" s="7">
        <f t="array" ref="K542">IF(ROWS(K$20:K542)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542))))</f>
        <v>41334</v>
      </c>
      <c r="L542" s="4" t="str">
        <f t="array" ref="L542">IF(ROWS(L$20:L542)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542))))</f>
        <v>Mickey  Bolduc</v>
      </c>
      <c r="M542" s="4">
        <f t="array" ref="M542">IF(ROWS(M$20:M542)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542))))</f>
        <v>27</v>
      </c>
    </row>
    <row r="543" spans="1:13" x14ac:dyDescent="0.25">
      <c r="A543" s="3">
        <v>41472</v>
      </c>
      <c r="B543" s="2" t="s">
        <v>23</v>
      </c>
      <c r="C543" s="2">
        <v>16</v>
      </c>
      <c r="G543" s="7">
        <f t="array" ref="G543">IF(ROWS(K$20:K543)&gt;$F$6,"",INDEX(A$2:A$10000,SMALL(IF(ISNUMBER(MATCH($B$2:$B$10000,$E$6:$E$22,0)),ROW($C$2:$C$10000)-ROW($C$2)+1),ROWS(K$20:K543))))</f>
        <v>41644</v>
      </c>
      <c r="H543" s="4" t="str">
        <f t="array" ref="H543">IF(ROWS(L$20:L543)&gt;$F$6,"",INDEX(B$2:B$10000,SMALL(IF(ISNUMBER(MATCH($B$2:$B$10000,$E$6:$E$22,0)),ROW($C$2:$C$10000)-ROW($C$2)+1),ROWS(L$20:L543))))</f>
        <v>Kerrie  Worrell</v>
      </c>
      <c r="I543" s="4">
        <f t="array" ref="I543">IF(ROWS(M$20:M543)&gt;$F$6,"",INDEX(C$2:C$10000,SMALL(IF(ISNUMBER(MATCH($B$2:$B$10000,$E$6:$E$22,0)),ROW($C$2:$C$10000)-ROW($C$2)+1),ROWS(M$20:M543))))</f>
        <v>26</v>
      </c>
      <c r="K543" s="7">
        <f t="array" ref="K543">IF(ROWS(K$20:K543)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543))))</f>
        <v>41644</v>
      </c>
      <c r="L543" s="4" t="str">
        <f t="array" ref="L543">IF(ROWS(L$20:L543)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543))))</f>
        <v>Kerrie  Worrell</v>
      </c>
      <c r="M543" s="4">
        <f t="array" ref="M543">IF(ROWS(M$20:M543)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543))))</f>
        <v>26</v>
      </c>
    </row>
    <row r="544" spans="1:13" x14ac:dyDescent="0.25">
      <c r="A544" s="3">
        <v>41374</v>
      </c>
      <c r="B544" s="2" t="s">
        <v>8</v>
      </c>
      <c r="C544" s="2">
        <v>35</v>
      </c>
      <c r="G544" s="7">
        <f t="array" ref="G544">IF(ROWS(K$20:K544)&gt;$F$6,"",INDEX(A$2:A$10000,SMALL(IF(ISNUMBER(MATCH($B$2:$B$10000,$E$6:$E$22,0)),ROW($C$2:$C$10000)-ROW($C$2)+1),ROWS(K$20:K544))))</f>
        <v>41444</v>
      </c>
      <c r="H544" s="4" t="str">
        <f t="array" ref="H544">IF(ROWS(L$20:L544)&gt;$F$6,"",INDEX(B$2:B$10000,SMALL(IF(ISNUMBER(MATCH($B$2:$B$10000,$E$6:$E$22,0)),ROW($C$2:$C$10000)-ROW($C$2)+1),ROWS(L$20:L544))))</f>
        <v>Kerrie  Worrell</v>
      </c>
      <c r="I544" s="4">
        <f t="array" ref="I544">IF(ROWS(M$20:M544)&gt;$F$6,"",INDEX(C$2:C$10000,SMALL(IF(ISNUMBER(MATCH($B$2:$B$10000,$E$6:$E$22,0)),ROW($C$2:$C$10000)-ROW($C$2)+1),ROWS(M$20:M544))))</f>
        <v>16</v>
      </c>
      <c r="K544" s="7">
        <f t="array" ref="K544">IF(ROWS(K$20:K544)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544))))</f>
        <v>41444</v>
      </c>
      <c r="L544" s="4" t="str">
        <f t="array" ref="L544">IF(ROWS(L$20:L544)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544))))</f>
        <v>Kerrie  Worrell</v>
      </c>
      <c r="M544" s="4">
        <f t="array" ref="M544">IF(ROWS(M$20:M544)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544))))</f>
        <v>16</v>
      </c>
    </row>
    <row r="545" spans="1:13" x14ac:dyDescent="0.25">
      <c r="A545" s="3">
        <v>41288</v>
      </c>
      <c r="B545" s="2" t="s">
        <v>41</v>
      </c>
      <c r="C545" s="2">
        <v>36</v>
      </c>
      <c r="G545" s="7">
        <f t="array" ref="G545">IF(ROWS(K$20:K545)&gt;$F$6,"",INDEX(A$2:A$10000,SMALL(IF(ISNUMBER(MATCH($B$2:$B$10000,$E$6:$E$22,0)),ROW($C$2:$C$10000)-ROW($C$2)+1),ROWS(K$20:K545))))</f>
        <v>41738</v>
      </c>
      <c r="H545" s="4" t="str">
        <f t="array" ref="H545">IF(ROWS(L$20:L545)&gt;$F$6,"",INDEX(B$2:B$10000,SMALL(IF(ISNUMBER(MATCH($B$2:$B$10000,$E$6:$E$22,0)),ROW($C$2:$C$10000)-ROW($C$2)+1),ROWS(L$20:L545))))</f>
        <v>Iliana  Valerio</v>
      </c>
      <c r="I545" s="4">
        <f t="array" ref="I545">IF(ROWS(M$20:M545)&gt;$F$6,"",INDEX(C$2:C$10000,SMALL(IF(ISNUMBER(MATCH($B$2:$B$10000,$E$6:$E$22,0)),ROW($C$2:$C$10000)-ROW($C$2)+1),ROWS(M$20:M545))))</f>
        <v>21</v>
      </c>
      <c r="K545" s="7">
        <f t="array" ref="K545">IF(ROWS(K$20:K545)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545))))</f>
        <v>41738</v>
      </c>
      <c r="L545" s="4" t="str">
        <f t="array" ref="L545">IF(ROWS(L$20:L545)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545))))</f>
        <v>Iliana  Valerio</v>
      </c>
      <c r="M545" s="4">
        <f t="array" ref="M545">IF(ROWS(M$20:M545)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545))))</f>
        <v>21</v>
      </c>
    </row>
    <row r="546" spans="1:13" x14ac:dyDescent="0.25">
      <c r="A546" s="3">
        <v>41597</v>
      </c>
      <c r="B546" s="2" t="s">
        <v>30</v>
      </c>
      <c r="C546" s="2">
        <v>26</v>
      </c>
      <c r="G546" s="7">
        <f t="array" ref="G546">IF(ROWS(K$20:K546)&gt;$F$6,"",INDEX(A$2:A$10000,SMALL(IF(ISNUMBER(MATCH($B$2:$B$10000,$E$6:$E$22,0)),ROW($C$2:$C$10000)-ROW($C$2)+1),ROWS(K$20:K546))))</f>
        <v>41811</v>
      </c>
      <c r="H546" s="4" t="str">
        <f t="array" ref="H546">IF(ROWS(L$20:L546)&gt;$F$6,"",INDEX(B$2:B$10000,SMALL(IF(ISNUMBER(MATCH($B$2:$B$10000,$E$6:$E$22,0)),ROW($C$2:$C$10000)-ROW($C$2)+1),ROWS(L$20:L546))))</f>
        <v>Rosamond  Allard</v>
      </c>
      <c r="I546" s="4">
        <f t="array" ref="I546">IF(ROWS(M$20:M546)&gt;$F$6,"",INDEX(C$2:C$10000,SMALL(IF(ISNUMBER(MATCH($B$2:$B$10000,$E$6:$E$22,0)),ROW($C$2:$C$10000)-ROW($C$2)+1),ROWS(M$20:M546))))</f>
        <v>31</v>
      </c>
      <c r="K546" s="7">
        <f t="array" ref="K546">IF(ROWS(K$20:K546)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546))))</f>
        <v>41811</v>
      </c>
      <c r="L546" s="4" t="str">
        <f t="array" ref="L546">IF(ROWS(L$20:L546)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546))))</f>
        <v>Rosamond  Allard</v>
      </c>
      <c r="M546" s="4">
        <f t="array" ref="M546">IF(ROWS(M$20:M546)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546))))</f>
        <v>31</v>
      </c>
    </row>
    <row r="547" spans="1:13" x14ac:dyDescent="0.25">
      <c r="A547" s="3">
        <v>41442</v>
      </c>
      <c r="B547" s="2" t="s">
        <v>47</v>
      </c>
      <c r="C547" s="2">
        <v>27</v>
      </c>
      <c r="G547" s="7">
        <f t="array" ref="G547">IF(ROWS(K$20:K547)&gt;$F$6,"",INDEX(A$2:A$10000,SMALL(IF(ISNUMBER(MATCH($B$2:$B$10000,$E$6:$E$22,0)),ROW($C$2:$C$10000)-ROW($C$2)+1),ROWS(K$20:K547))))</f>
        <v>41837</v>
      </c>
      <c r="H547" s="4" t="str">
        <f t="array" ref="H547">IF(ROWS(L$20:L547)&gt;$F$6,"",INDEX(B$2:B$10000,SMALL(IF(ISNUMBER(MATCH($B$2:$B$10000,$E$6:$E$22,0)),ROW($C$2:$C$10000)-ROW($C$2)+1),ROWS(L$20:L547))))</f>
        <v>Galen  Barth</v>
      </c>
      <c r="I547" s="4">
        <f t="array" ref="I547">IF(ROWS(M$20:M547)&gt;$F$6,"",INDEX(C$2:C$10000,SMALL(IF(ISNUMBER(MATCH($B$2:$B$10000,$E$6:$E$22,0)),ROW($C$2:$C$10000)-ROW($C$2)+1),ROWS(M$20:M547))))</f>
        <v>10</v>
      </c>
      <c r="K547" s="7">
        <f t="array" ref="K547">IF(ROWS(K$20:K547)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547))))</f>
        <v>41837</v>
      </c>
      <c r="L547" s="4" t="str">
        <f t="array" ref="L547">IF(ROWS(L$20:L547)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547))))</f>
        <v>Galen  Barth</v>
      </c>
      <c r="M547" s="4">
        <f t="array" ref="M547">IF(ROWS(M$20:M547)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547))))</f>
        <v>10</v>
      </c>
    </row>
    <row r="548" spans="1:13" x14ac:dyDescent="0.25">
      <c r="A548" s="3">
        <v>41299</v>
      </c>
      <c r="B548" s="2" t="s">
        <v>40</v>
      </c>
      <c r="C548" s="2">
        <v>33</v>
      </c>
      <c r="G548" s="7">
        <f t="array" ref="G548">IF(ROWS(K$20:K548)&gt;$F$6,"",INDEX(A$2:A$10000,SMALL(IF(ISNUMBER(MATCH($B$2:$B$10000,$E$6:$E$22,0)),ROW($C$2:$C$10000)-ROW($C$2)+1),ROWS(K$20:K548))))</f>
        <v>41401</v>
      </c>
      <c r="H548" s="4" t="str">
        <f t="array" ref="H548">IF(ROWS(L$20:L548)&gt;$F$6,"",INDEX(B$2:B$10000,SMALL(IF(ISNUMBER(MATCH($B$2:$B$10000,$E$6:$E$22,0)),ROW($C$2:$C$10000)-ROW($C$2)+1),ROWS(L$20:L548))))</f>
        <v>Rosamond  Allard</v>
      </c>
      <c r="I548" s="4">
        <f t="array" ref="I548">IF(ROWS(M$20:M548)&gt;$F$6,"",INDEX(C$2:C$10000,SMALL(IF(ISNUMBER(MATCH($B$2:$B$10000,$E$6:$E$22,0)),ROW($C$2:$C$10000)-ROW($C$2)+1),ROWS(M$20:M548))))</f>
        <v>23</v>
      </c>
      <c r="K548" s="7">
        <f t="array" ref="K548">IF(ROWS(K$20:K548)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548))))</f>
        <v>41401</v>
      </c>
      <c r="L548" s="4" t="str">
        <f t="array" ref="L548">IF(ROWS(L$20:L548)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548))))</f>
        <v>Rosamond  Allard</v>
      </c>
      <c r="M548" s="4">
        <f t="array" ref="M548">IF(ROWS(M$20:M548)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548))))</f>
        <v>23</v>
      </c>
    </row>
    <row r="549" spans="1:13" x14ac:dyDescent="0.25">
      <c r="A549" s="3">
        <v>41633</v>
      </c>
      <c r="B549" s="2" t="s">
        <v>3</v>
      </c>
      <c r="C549" s="2">
        <v>33</v>
      </c>
      <c r="G549" s="7">
        <f t="array" ref="G549">IF(ROWS(K$20:K549)&gt;$F$6,"",INDEX(A$2:A$10000,SMALL(IF(ISNUMBER(MATCH($B$2:$B$10000,$E$6:$E$22,0)),ROW($C$2:$C$10000)-ROW($C$2)+1),ROWS(K$20:K549))))</f>
        <v>41360</v>
      </c>
      <c r="H549" s="4" t="str">
        <f t="array" ref="H549">IF(ROWS(L$20:L549)&gt;$F$6,"",INDEX(B$2:B$10000,SMALL(IF(ISNUMBER(MATCH($B$2:$B$10000,$E$6:$E$22,0)),ROW($C$2:$C$10000)-ROW($C$2)+1),ROWS(L$20:L549))))</f>
        <v>Rosamond  Allard</v>
      </c>
      <c r="I549" s="4">
        <f t="array" ref="I549">IF(ROWS(M$20:M549)&gt;$F$6,"",INDEX(C$2:C$10000,SMALL(IF(ISNUMBER(MATCH($B$2:$B$10000,$E$6:$E$22,0)),ROW($C$2:$C$10000)-ROW($C$2)+1),ROWS(M$20:M549))))</f>
        <v>22</v>
      </c>
      <c r="K549" s="7">
        <f t="array" ref="K549">IF(ROWS(K$20:K549)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549))))</f>
        <v>41360</v>
      </c>
      <c r="L549" s="4" t="str">
        <f t="array" ref="L549">IF(ROWS(L$20:L549)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549))))</f>
        <v>Rosamond  Allard</v>
      </c>
      <c r="M549" s="4">
        <f t="array" ref="M549">IF(ROWS(M$20:M549)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549))))</f>
        <v>22</v>
      </c>
    </row>
    <row r="550" spans="1:13" x14ac:dyDescent="0.25">
      <c r="A550" s="3">
        <v>41595</v>
      </c>
      <c r="B550" s="2" t="s">
        <v>4</v>
      </c>
      <c r="C550" s="2">
        <v>37</v>
      </c>
      <c r="G550" s="7">
        <f t="array" ref="G550">IF(ROWS(K$20:K550)&gt;$F$6,"",INDEX(A$2:A$10000,SMALL(IF(ISNUMBER(MATCH($B$2:$B$10000,$E$6:$E$22,0)),ROW($C$2:$C$10000)-ROW($C$2)+1),ROWS(K$20:K550))))</f>
        <v>41634</v>
      </c>
      <c r="H550" s="4" t="str">
        <f t="array" ref="H550">IF(ROWS(L$20:L550)&gt;$F$6,"",INDEX(B$2:B$10000,SMALL(IF(ISNUMBER(MATCH($B$2:$B$10000,$E$6:$E$22,0)),ROW($C$2:$C$10000)-ROW($C$2)+1),ROWS(L$20:L550))))</f>
        <v>Galen  Barth</v>
      </c>
      <c r="I550" s="4">
        <f t="array" ref="I550">IF(ROWS(M$20:M550)&gt;$F$6,"",INDEX(C$2:C$10000,SMALL(IF(ISNUMBER(MATCH($B$2:$B$10000,$E$6:$E$22,0)),ROW($C$2:$C$10000)-ROW($C$2)+1),ROWS(M$20:M550))))</f>
        <v>13</v>
      </c>
      <c r="K550" s="7">
        <f t="array" ref="K550">IF(ROWS(K$20:K550)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550))))</f>
        <v>41634</v>
      </c>
      <c r="L550" s="4" t="str">
        <f t="array" ref="L550">IF(ROWS(L$20:L550)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550))))</f>
        <v>Galen  Barth</v>
      </c>
      <c r="M550" s="4">
        <f t="array" ref="M550">IF(ROWS(M$20:M550)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550))))</f>
        <v>13</v>
      </c>
    </row>
    <row r="551" spans="1:13" x14ac:dyDescent="0.25">
      <c r="A551" s="3">
        <v>41751</v>
      </c>
      <c r="B551" s="2" t="s">
        <v>27</v>
      </c>
      <c r="C551" s="2">
        <v>24</v>
      </c>
      <c r="G551" s="7">
        <f t="array" ref="G551">IF(ROWS(K$20:K551)&gt;$F$6,"",INDEX(A$2:A$10000,SMALL(IF(ISNUMBER(MATCH($B$2:$B$10000,$E$6:$E$22,0)),ROW($C$2:$C$10000)-ROW($C$2)+1),ROWS(K$20:K551))))</f>
        <v>41834</v>
      </c>
      <c r="H551" s="4" t="str">
        <f t="array" ref="H551">IF(ROWS(L$20:L551)&gt;$F$6,"",INDEX(B$2:B$10000,SMALL(IF(ISNUMBER(MATCH($B$2:$B$10000,$E$6:$E$22,0)),ROW($C$2:$C$10000)-ROW($C$2)+1),ROWS(L$20:L551))))</f>
        <v>Jenni  Thorton</v>
      </c>
      <c r="I551" s="4">
        <f t="array" ref="I551">IF(ROWS(M$20:M551)&gt;$F$6,"",INDEX(C$2:C$10000,SMALL(IF(ISNUMBER(MATCH($B$2:$B$10000,$E$6:$E$22,0)),ROW($C$2:$C$10000)-ROW($C$2)+1),ROWS(M$20:M551))))</f>
        <v>37</v>
      </c>
      <c r="K551" s="7">
        <f t="array" ref="K551">IF(ROWS(K$20:K551)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551))))</f>
        <v>41834</v>
      </c>
      <c r="L551" s="4" t="str">
        <f t="array" ref="L551">IF(ROWS(L$20:L551)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551))))</f>
        <v>Jenni  Thorton</v>
      </c>
      <c r="M551" s="4">
        <f t="array" ref="M551">IF(ROWS(M$20:M551)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551))))</f>
        <v>37</v>
      </c>
    </row>
    <row r="552" spans="1:13" x14ac:dyDescent="0.25">
      <c r="A552" s="3">
        <v>41958</v>
      </c>
      <c r="B552" s="2" t="s">
        <v>29</v>
      </c>
      <c r="C552" s="2">
        <v>27</v>
      </c>
      <c r="G552" s="7">
        <f t="array" ref="G552">IF(ROWS(K$20:K552)&gt;$F$6,"",INDEX(A$2:A$10000,SMALL(IF(ISNUMBER(MATCH($B$2:$B$10000,$E$6:$E$22,0)),ROW($C$2:$C$10000)-ROW($C$2)+1),ROWS(K$20:K552))))</f>
        <v>41558</v>
      </c>
      <c r="H552" s="4" t="str">
        <f t="array" ref="H552">IF(ROWS(L$20:L552)&gt;$F$6,"",INDEX(B$2:B$10000,SMALL(IF(ISNUMBER(MATCH($B$2:$B$10000,$E$6:$E$22,0)),ROW($C$2:$C$10000)-ROW($C$2)+1),ROWS(L$20:L552))))</f>
        <v>Kerrie  Worrell</v>
      </c>
      <c r="I552" s="4">
        <f t="array" ref="I552">IF(ROWS(M$20:M552)&gt;$F$6,"",INDEX(C$2:C$10000,SMALL(IF(ISNUMBER(MATCH($B$2:$B$10000,$E$6:$E$22,0)),ROW($C$2:$C$10000)-ROW($C$2)+1),ROWS(M$20:M552))))</f>
        <v>3</v>
      </c>
      <c r="K552" s="7">
        <f t="array" ref="K552">IF(ROWS(K$20:K552)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552))))</f>
        <v>41558</v>
      </c>
      <c r="L552" s="4" t="str">
        <f t="array" ref="L552">IF(ROWS(L$20:L552)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552))))</f>
        <v>Kerrie  Worrell</v>
      </c>
      <c r="M552" s="4">
        <f t="array" ref="M552">IF(ROWS(M$20:M552)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552))))</f>
        <v>3</v>
      </c>
    </row>
    <row r="553" spans="1:13" x14ac:dyDescent="0.25">
      <c r="A553" s="3">
        <v>41881</v>
      </c>
      <c r="B553" s="2" t="s">
        <v>24</v>
      </c>
      <c r="C553" s="2">
        <v>19</v>
      </c>
      <c r="G553" s="7">
        <f t="array" ref="G553">IF(ROWS(K$20:K553)&gt;$F$6,"",INDEX(A$2:A$10000,SMALL(IF(ISNUMBER(MATCH($B$2:$B$10000,$E$6:$E$22,0)),ROW($C$2:$C$10000)-ROW($C$2)+1),ROWS(K$20:K553))))</f>
        <v>41450</v>
      </c>
      <c r="H553" s="4" t="str">
        <f t="array" ref="H553">IF(ROWS(L$20:L553)&gt;$F$6,"",INDEX(B$2:B$10000,SMALL(IF(ISNUMBER(MATCH($B$2:$B$10000,$E$6:$E$22,0)),ROW($C$2:$C$10000)-ROW($C$2)+1),ROWS(L$20:L553))))</f>
        <v>Jenni  Thorton</v>
      </c>
      <c r="I553" s="4">
        <f t="array" ref="I553">IF(ROWS(M$20:M553)&gt;$F$6,"",INDEX(C$2:C$10000,SMALL(IF(ISNUMBER(MATCH($B$2:$B$10000,$E$6:$E$22,0)),ROW($C$2:$C$10000)-ROW($C$2)+1),ROWS(M$20:M553))))</f>
        <v>34</v>
      </c>
      <c r="K553" s="7">
        <f t="array" ref="K553">IF(ROWS(K$20:K553)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553))))</f>
        <v>41450</v>
      </c>
      <c r="L553" s="4" t="str">
        <f t="array" ref="L553">IF(ROWS(L$20:L553)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553))))</f>
        <v>Jenni  Thorton</v>
      </c>
      <c r="M553" s="4">
        <f t="array" ref="M553">IF(ROWS(M$20:M553)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553))))</f>
        <v>34</v>
      </c>
    </row>
    <row r="554" spans="1:13" x14ac:dyDescent="0.25">
      <c r="A554" s="3">
        <v>41994</v>
      </c>
      <c r="B554" s="2" t="s">
        <v>44</v>
      </c>
      <c r="C554" s="2">
        <v>18</v>
      </c>
      <c r="G554" s="7">
        <f t="array" ref="G554">IF(ROWS(K$20:K554)&gt;$F$6,"",INDEX(A$2:A$10000,SMALL(IF(ISNUMBER(MATCH($B$2:$B$10000,$E$6:$E$22,0)),ROW($C$2:$C$10000)-ROW($C$2)+1),ROWS(K$20:K554))))</f>
        <v>41987</v>
      </c>
      <c r="H554" s="4" t="str">
        <f t="array" ref="H554">IF(ROWS(L$20:L554)&gt;$F$6,"",INDEX(B$2:B$10000,SMALL(IF(ISNUMBER(MATCH($B$2:$B$10000,$E$6:$E$22,0)),ROW($C$2:$C$10000)-ROW($C$2)+1),ROWS(L$20:L554))))</f>
        <v>Galen  Barth</v>
      </c>
      <c r="I554" s="4">
        <f t="array" ref="I554">IF(ROWS(M$20:M554)&gt;$F$6,"",INDEX(C$2:C$10000,SMALL(IF(ISNUMBER(MATCH($B$2:$B$10000,$E$6:$E$22,0)),ROW($C$2:$C$10000)-ROW($C$2)+1),ROWS(M$20:M554))))</f>
        <v>26</v>
      </c>
      <c r="K554" s="7">
        <f t="array" ref="K554">IF(ROWS(K$20:K554)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554))))</f>
        <v>41987</v>
      </c>
      <c r="L554" s="4" t="str">
        <f t="array" ref="L554">IF(ROWS(L$20:L554)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554))))</f>
        <v>Galen  Barth</v>
      </c>
      <c r="M554" s="4">
        <f t="array" ref="M554">IF(ROWS(M$20:M554)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554))))</f>
        <v>26</v>
      </c>
    </row>
    <row r="555" spans="1:13" x14ac:dyDescent="0.25">
      <c r="A555" s="3">
        <v>41450</v>
      </c>
      <c r="B555" s="2" t="s">
        <v>9</v>
      </c>
      <c r="C555" s="2">
        <v>10</v>
      </c>
      <c r="G555" s="7">
        <f t="array" ref="G555">IF(ROWS(K$20:K555)&gt;$F$6,"",INDEX(A$2:A$10000,SMALL(IF(ISNUMBER(MATCH($B$2:$B$10000,$E$6:$E$22,0)),ROW($C$2:$C$10000)-ROW($C$2)+1),ROWS(K$20:K555))))</f>
        <v>41340</v>
      </c>
      <c r="H555" s="4" t="str">
        <f t="array" ref="H555">IF(ROWS(L$20:L555)&gt;$F$6,"",INDEX(B$2:B$10000,SMALL(IF(ISNUMBER(MATCH($B$2:$B$10000,$E$6:$E$22,0)),ROW($C$2:$C$10000)-ROW($C$2)+1),ROWS(L$20:L555))))</f>
        <v>Mickey  Bolduc</v>
      </c>
      <c r="I555" s="4">
        <f t="array" ref="I555">IF(ROWS(M$20:M555)&gt;$F$6,"",INDEX(C$2:C$10000,SMALL(IF(ISNUMBER(MATCH($B$2:$B$10000,$E$6:$E$22,0)),ROW($C$2:$C$10000)-ROW($C$2)+1),ROWS(M$20:M555))))</f>
        <v>4</v>
      </c>
      <c r="K555" s="7">
        <f t="array" ref="K555">IF(ROWS(K$20:K555)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555))))</f>
        <v>41340</v>
      </c>
      <c r="L555" s="4" t="str">
        <f t="array" ref="L555">IF(ROWS(L$20:L555)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555))))</f>
        <v>Mickey  Bolduc</v>
      </c>
      <c r="M555" s="4">
        <f t="array" ref="M555">IF(ROWS(M$20:M555)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555))))</f>
        <v>4</v>
      </c>
    </row>
    <row r="556" spans="1:13" x14ac:dyDescent="0.25">
      <c r="A556" s="3">
        <v>41399</v>
      </c>
      <c r="B556" s="2" t="s">
        <v>17</v>
      </c>
      <c r="C556" s="2">
        <v>20</v>
      </c>
      <c r="G556" s="7">
        <f t="array" ref="G556">IF(ROWS(K$20:K556)&gt;$F$6,"",INDEX(A$2:A$10000,SMALL(IF(ISNUMBER(MATCH($B$2:$B$10000,$E$6:$E$22,0)),ROW($C$2:$C$10000)-ROW($C$2)+1),ROWS(K$20:K556))))</f>
        <v>41614</v>
      </c>
      <c r="H556" s="4" t="str">
        <f t="array" ref="H556">IF(ROWS(L$20:L556)&gt;$F$6,"",INDEX(B$2:B$10000,SMALL(IF(ISNUMBER(MATCH($B$2:$B$10000,$E$6:$E$22,0)),ROW($C$2:$C$10000)-ROW($C$2)+1),ROWS(L$20:L556))))</f>
        <v>Kerrie  Worrell</v>
      </c>
      <c r="I556" s="4">
        <f t="array" ref="I556">IF(ROWS(M$20:M556)&gt;$F$6,"",INDEX(C$2:C$10000,SMALL(IF(ISNUMBER(MATCH($B$2:$B$10000,$E$6:$E$22,0)),ROW($C$2:$C$10000)-ROW($C$2)+1),ROWS(M$20:M556))))</f>
        <v>51</v>
      </c>
      <c r="K556" s="7">
        <f t="array" ref="K556">IF(ROWS(K$20:K556)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556))))</f>
        <v>41614</v>
      </c>
      <c r="L556" s="4" t="str">
        <f t="array" ref="L556">IF(ROWS(L$20:L556)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556))))</f>
        <v>Kerrie  Worrell</v>
      </c>
      <c r="M556" s="4">
        <f t="array" ref="M556">IF(ROWS(M$20:M556)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556))))</f>
        <v>51</v>
      </c>
    </row>
    <row r="557" spans="1:13" x14ac:dyDescent="0.25">
      <c r="A557" s="3">
        <v>41785</v>
      </c>
      <c r="B557" s="2" t="s">
        <v>33</v>
      </c>
      <c r="C557" s="2">
        <v>8</v>
      </c>
      <c r="G557" s="7">
        <f t="array" ref="G557">IF(ROWS(K$20:K557)&gt;$F$6,"",INDEX(A$2:A$10000,SMALL(IF(ISNUMBER(MATCH($B$2:$B$10000,$E$6:$E$22,0)),ROW($C$2:$C$10000)-ROW($C$2)+1),ROWS(K$20:K557))))</f>
        <v>41806</v>
      </c>
      <c r="H557" s="4" t="str">
        <f t="array" ref="H557">IF(ROWS(L$20:L557)&gt;$F$6,"",INDEX(B$2:B$10000,SMALL(IF(ISNUMBER(MATCH($B$2:$B$10000,$E$6:$E$22,0)),ROW($C$2:$C$10000)-ROW($C$2)+1),ROWS(L$20:L557))))</f>
        <v>Iliana  Valerio</v>
      </c>
      <c r="I557" s="4">
        <f t="array" ref="I557">IF(ROWS(M$20:M557)&gt;$F$6,"",INDEX(C$2:C$10000,SMALL(IF(ISNUMBER(MATCH($B$2:$B$10000,$E$6:$E$22,0)),ROW($C$2:$C$10000)-ROW($C$2)+1),ROWS(M$20:M557))))</f>
        <v>28</v>
      </c>
      <c r="K557" s="7">
        <f t="array" ref="K557">IF(ROWS(K$20:K557)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557))))</f>
        <v>41806</v>
      </c>
      <c r="L557" s="4" t="str">
        <f t="array" ref="L557">IF(ROWS(L$20:L557)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557))))</f>
        <v>Iliana  Valerio</v>
      </c>
      <c r="M557" s="4">
        <f t="array" ref="M557">IF(ROWS(M$20:M557)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557))))</f>
        <v>28</v>
      </c>
    </row>
    <row r="558" spans="1:13" x14ac:dyDescent="0.25">
      <c r="A558" s="3">
        <v>41503</v>
      </c>
      <c r="B558" s="2" t="s">
        <v>31</v>
      </c>
      <c r="C558" s="2">
        <v>44</v>
      </c>
      <c r="G558" s="7">
        <f t="array" ref="G558">IF(ROWS(K$20:K558)&gt;$F$6,"",INDEX(A$2:A$10000,SMALL(IF(ISNUMBER(MATCH($B$2:$B$10000,$E$6:$E$22,0)),ROW($C$2:$C$10000)-ROW($C$2)+1),ROWS(K$20:K558))))</f>
        <v>41888</v>
      </c>
      <c r="H558" s="4" t="str">
        <f t="array" ref="H558">IF(ROWS(L$20:L558)&gt;$F$6,"",INDEX(B$2:B$10000,SMALL(IF(ISNUMBER(MATCH($B$2:$B$10000,$E$6:$E$22,0)),ROW($C$2:$C$10000)-ROW($C$2)+1),ROWS(L$20:L558))))</f>
        <v>Jenni  Thorton</v>
      </c>
      <c r="I558" s="4">
        <f t="array" ref="I558">IF(ROWS(M$20:M558)&gt;$F$6,"",INDEX(C$2:C$10000,SMALL(IF(ISNUMBER(MATCH($B$2:$B$10000,$E$6:$E$22,0)),ROW($C$2:$C$10000)-ROW($C$2)+1),ROWS(M$20:M558))))</f>
        <v>8</v>
      </c>
      <c r="K558" s="7">
        <f t="array" ref="K558">IF(ROWS(K$20:K558)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558))))</f>
        <v>41888</v>
      </c>
      <c r="L558" s="4" t="str">
        <f t="array" ref="L558">IF(ROWS(L$20:L558)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558))))</f>
        <v>Jenni  Thorton</v>
      </c>
      <c r="M558" s="4">
        <f t="array" ref="M558">IF(ROWS(M$20:M558)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558))))</f>
        <v>8</v>
      </c>
    </row>
    <row r="559" spans="1:13" x14ac:dyDescent="0.25">
      <c r="A559" s="3">
        <v>41741</v>
      </c>
      <c r="B559" s="2" t="s">
        <v>4</v>
      </c>
      <c r="C559" s="2">
        <v>20</v>
      </c>
      <c r="G559" s="7">
        <f t="array" ref="G559">IF(ROWS(K$20:K559)&gt;$F$6,"",INDEX(A$2:A$10000,SMALL(IF(ISNUMBER(MATCH($B$2:$B$10000,$E$6:$E$22,0)),ROW($C$2:$C$10000)-ROW($C$2)+1),ROWS(K$20:K559))))</f>
        <v>41546</v>
      </c>
      <c r="H559" s="4" t="str">
        <f t="array" ref="H559">IF(ROWS(L$20:L559)&gt;$F$6,"",INDEX(B$2:B$10000,SMALL(IF(ISNUMBER(MATCH($B$2:$B$10000,$E$6:$E$22,0)),ROW($C$2:$C$10000)-ROW($C$2)+1),ROWS(L$20:L559))))</f>
        <v>Galen  Barth</v>
      </c>
      <c r="I559" s="4">
        <f t="array" ref="I559">IF(ROWS(M$20:M559)&gt;$F$6,"",INDEX(C$2:C$10000,SMALL(IF(ISNUMBER(MATCH($B$2:$B$10000,$E$6:$E$22,0)),ROW($C$2:$C$10000)-ROW($C$2)+1),ROWS(M$20:M559))))</f>
        <v>41</v>
      </c>
      <c r="K559" s="7">
        <f t="array" ref="K559">IF(ROWS(K$20:K559)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559))))</f>
        <v>41546</v>
      </c>
      <c r="L559" s="4" t="str">
        <f t="array" ref="L559">IF(ROWS(L$20:L559)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559))))</f>
        <v>Galen  Barth</v>
      </c>
      <c r="M559" s="4">
        <f t="array" ref="M559">IF(ROWS(M$20:M559)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559))))</f>
        <v>41</v>
      </c>
    </row>
    <row r="560" spans="1:13" x14ac:dyDescent="0.25">
      <c r="A560" s="3">
        <v>41315</v>
      </c>
      <c r="B560" s="2" t="s">
        <v>47</v>
      </c>
      <c r="C560" s="2">
        <v>26</v>
      </c>
      <c r="G560" s="7">
        <f t="array" ref="G560">IF(ROWS(K$20:K560)&gt;$F$6,"",INDEX(A$2:A$10000,SMALL(IF(ISNUMBER(MATCH($B$2:$B$10000,$E$6:$E$22,0)),ROW($C$2:$C$10000)-ROW($C$2)+1),ROWS(K$20:K560))))</f>
        <v>41497</v>
      </c>
      <c r="H560" s="4" t="str">
        <f t="array" ref="H560">IF(ROWS(L$20:L560)&gt;$F$6,"",INDEX(B$2:B$10000,SMALL(IF(ISNUMBER(MATCH($B$2:$B$10000,$E$6:$E$22,0)),ROW($C$2:$C$10000)-ROW($C$2)+1),ROWS(L$20:L560))))</f>
        <v>Galen  Barth</v>
      </c>
      <c r="I560" s="4">
        <f t="array" ref="I560">IF(ROWS(M$20:M560)&gt;$F$6,"",INDEX(C$2:C$10000,SMALL(IF(ISNUMBER(MATCH($B$2:$B$10000,$E$6:$E$22,0)),ROW($C$2:$C$10000)-ROW($C$2)+1),ROWS(M$20:M560))))</f>
        <v>20</v>
      </c>
      <c r="K560" s="7">
        <f t="array" ref="K560">IF(ROWS(K$20:K560)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560))))</f>
        <v>41497</v>
      </c>
      <c r="L560" s="4" t="str">
        <f t="array" ref="L560">IF(ROWS(L$20:L560)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560))))</f>
        <v>Galen  Barth</v>
      </c>
      <c r="M560" s="4">
        <f t="array" ref="M560">IF(ROWS(M$20:M560)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560))))</f>
        <v>20</v>
      </c>
    </row>
    <row r="561" spans="1:13" x14ac:dyDescent="0.25">
      <c r="A561" s="3">
        <v>41342</v>
      </c>
      <c r="B561" s="2" t="s">
        <v>8</v>
      </c>
      <c r="C561" s="2">
        <v>21</v>
      </c>
      <c r="G561" s="7">
        <f t="array" ref="G561">IF(ROWS(K$20:K561)&gt;$F$6,"",INDEX(A$2:A$10000,SMALL(IF(ISNUMBER(MATCH($B$2:$B$10000,$E$6:$E$22,0)),ROW($C$2:$C$10000)-ROW($C$2)+1),ROWS(K$20:K561))))</f>
        <v>41892</v>
      </c>
      <c r="H561" s="4" t="str">
        <f t="array" ref="H561">IF(ROWS(L$20:L561)&gt;$F$6,"",INDEX(B$2:B$10000,SMALL(IF(ISNUMBER(MATCH($B$2:$B$10000,$E$6:$E$22,0)),ROW($C$2:$C$10000)-ROW($C$2)+1),ROWS(L$20:L561))))</f>
        <v>Kerrie  Worrell</v>
      </c>
      <c r="I561" s="4">
        <f t="array" ref="I561">IF(ROWS(M$20:M561)&gt;$F$6,"",INDEX(C$2:C$10000,SMALL(IF(ISNUMBER(MATCH($B$2:$B$10000,$E$6:$E$22,0)),ROW($C$2:$C$10000)-ROW($C$2)+1),ROWS(M$20:M561))))</f>
        <v>35</v>
      </c>
      <c r="K561" s="7">
        <f t="array" ref="K561">IF(ROWS(K$20:K561)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561))))</f>
        <v>41892</v>
      </c>
      <c r="L561" s="4" t="str">
        <f t="array" ref="L561">IF(ROWS(L$20:L561)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561))))</f>
        <v>Kerrie  Worrell</v>
      </c>
      <c r="M561" s="4">
        <f t="array" ref="M561">IF(ROWS(M$20:M561)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561))))</f>
        <v>35</v>
      </c>
    </row>
    <row r="562" spans="1:13" x14ac:dyDescent="0.25">
      <c r="A562" s="3">
        <v>41380</v>
      </c>
      <c r="B562" s="2" t="s">
        <v>7</v>
      </c>
      <c r="C562" s="2">
        <v>31</v>
      </c>
      <c r="G562" s="7">
        <f t="array" ref="G562">IF(ROWS(K$20:K562)&gt;$F$6,"",INDEX(A$2:A$10000,SMALL(IF(ISNUMBER(MATCH($B$2:$B$10000,$E$6:$E$22,0)),ROW($C$2:$C$10000)-ROW($C$2)+1),ROWS(K$20:K562))))</f>
        <v>41553</v>
      </c>
      <c r="H562" s="4" t="str">
        <f t="array" ref="H562">IF(ROWS(L$20:L562)&gt;$F$6,"",INDEX(B$2:B$10000,SMALL(IF(ISNUMBER(MATCH($B$2:$B$10000,$E$6:$E$22,0)),ROW($C$2:$C$10000)-ROW($C$2)+1),ROWS(L$20:L562))))</f>
        <v>Galen  Barth</v>
      </c>
      <c r="I562" s="4">
        <f t="array" ref="I562">IF(ROWS(M$20:M562)&gt;$F$6,"",INDEX(C$2:C$10000,SMALL(IF(ISNUMBER(MATCH($B$2:$B$10000,$E$6:$E$22,0)),ROW($C$2:$C$10000)-ROW($C$2)+1),ROWS(M$20:M562))))</f>
        <v>5</v>
      </c>
      <c r="K562" s="7">
        <f t="array" ref="K562">IF(ROWS(K$20:K562)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562))))</f>
        <v>41553</v>
      </c>
      <c r="L562" s="4" t="str">
        <f t="array" ref="L562">IF(ROWS(L$20:L562)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562))))</f>
        <v>Galen  Barth</v>
      </c>
      <c r="M562" s="4">
        <f t="array" ref="M562">IF(ROWS(M$20:M562)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562))))</f>
        <v>5</v>
      </c>
    </row>
    <row r="563" spans="1:13" x14ac:dyDescent="0.25">
      <c r="A563" s="3">
        <v>41432</v>
      </c>
      <c r="B563" s="2" t="s">
        <v>26</v>
      </c>
      <c r="C563" s="2">
        <v>27</v>
      </c>
      <c r="G563" s="7">
        <f t="array" ref="G563">IF(ROWS(K$20:K563)&gt;$F$6,"",INDEX(A$2:A$10000,SMALL(IF(ISNUMBER(MATCH($B$2:$B$10000,$E$6:$E$22,0)),ROW($C$2:$C$10000)-ROW($C$2)+1),ROWS(K$20:K563))))</f>
        <v>41435</v>
      </c>
      <c r="H563" s="4" t="str">
        <f t="array" ref="H563">IF(ROWS(L$20:L563)&gt;$F$6,"",INDEX(B$2:B$10000,SMALL(IF(ISNUMBER(MATCH($B$2:$B$10000,$E$6:$E$22,0)),ROW($C$2:$C$10000)-ROW($C$2)+1),ROWS(L$20:L563))))</f>
        <v>Mickey  Bolduc</v>
      </c>
      <c r="I563" s="4">
        <f t="array" ref="I563">IF(ROWS(M$20:M563)&gt;$F$6,"",INDEX(C$2:C$10000,SMALL(IF(ISNUMBER(MATCH($B$2:$B$10000,$E$6:$E$22,0)),ROW($C$2:$C$10000)-ROW($C$2)+1),ROWS(M$20:M563))))</f>
        <v>31</v>
      </c>
      <c r="K563" s="7">
        <f t="array" ref="K563">IF(ROWS(K$20:K563)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563))))</f>
        <v>41435</v>
      </c>
      <c r="L563" s="4" t="str">
        <f t="array" ref="L563">IF(ROWS(L$20:L563)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563))))</f>
        <v>Mickey  Bolduc</v>
      </c>
      <c r="M563" s="4">
        <f t="array" ref="M563">IF(ROWS(M$20:M563)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563))))</f>
        <v>31</v>
      </c>
    </row>
    <row r="564" spans="1:13" x14ac:dyDescent="0.25">
      <c r="A564" s="3">
        <v>41973</v>
      </c>
      <c r="B564" s="2" t="s">
        <v>8</v>
      </c>
      <c r="C564" s="2">
        <v>14</v>
      </c>
      <c r="G564" s="7">
        <f t="array" ref="G564">IF(ROWS(K$20:K564)&gt;$F$6,"",INDEX(A$2:A$10000,SMALL(IF(ISNUMBER(MATCH($B$2:$B$10000,$E$6:$E$22,0)),ROW($C$2:$C$10000)-ROW($C$2)+1),ROWS(K$20:K564))))</f>
        <v>41802</v>
      </c>
      <c r="H564" s="4" t="str">
        <f t="array" ref="H564">IF(ROWS(L$20:L564)&gt;$F$6,"",INDEX(B$2:B$10000,SMALL(IF(ISNUMBER(MATCH($B$2:$B$10000,$E$6:$E$22,0)),ROW($C$2:$C$10000)-ROW($C$2)+1),ROWS(L$20:L564))))</f>
        <v>Kerrie  Worrell</v>
      </c>
      <c r="I564" s="4">
        <f t="array" ref="I564">IF(ROWS(M$20:M564)&gt;$F$6,"",INDEX(C$2:C$10000,SMALL(IF(ISNUMBER(MATCH($B$2:$B$10000,$E$6:$E$22,0)),ROW($C$2:$C$10000)-ROW($C$2)+1),ROWS(M$20:M564))))</f>
        <v>47</v>
      </c>
      <c r="K564" s="7">
        <f t="array" ref="K564">IF(ROWS(K$20:K564)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564))))</f>
        <v>41802</v>
      </c>
      <c r="L564" s="4" t="str">
        <f t="array" ref="L564">IF(ROWS(L$20:L564)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564))))</f>
        <v>Kerrie  Worrell</v>
      </c>
      <c r="M564" s="4">
        <f t="array" ref="M564">IF(ROWS(M$20:M564)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564))))</f>
        <v>47</v>
      </c>
    </row>
    <row r="565" spans="1:13" x14ac:dyDescent="0.25">
      <c r="A565" s="3">
        <v>41283</v>
      </c>
      <c r="B565" s="2" t="s">
        <v>45</v>
      </c>
      <c r="C565" s="2">
        <v>3</v>
      </c>
      <c r="G565" s="7">
        <f t="array" ref="G565">IF(ROWS(K$20:K565)&gt;$F$6,"",INDEX(A$2:A$10000,SMALL(IF(ISNUMBER(MATCH($B$2:$B$10000,$E$6:$E$22,0)),ROW($C$2:$C$10000)-ROW($C$2)+1),ROWS(K$20:K565))))</f>
        <v>41976</v>
      </c>
      <c r="H565" s="4" t="str">
        <f t="array" ref="H565">IF(ROWS(L$20:L565)&gt;$F$6,"",INDEX(B$2:B$10000,SMALL(IF(ISNUMBER(MATCH($B$2:$B$10000,$E$6:$E$22,0)),ROW($C$2:$C$10000)-ROW($C$2)+1),ROWS(L$20:L565))))</f>
        <v>Jenni  Thorton</v>
      </c>
      <c r="I565" s="4">
        <f t="array" ref="I565">IF(ROWS(M$20:M565)&gt;$F$6,"",INDEX(C$2:C$10000,SMALL(IF(ISNUMBER(MATCH($B$2:$B$10000,$E$6:$E$22,0)),ROW($C$2:$C$10000)-ROW($C$2)+1),ROWS(M$20:M565))))</f>
        <v>12</v>
      </c>
      <c r="K565" s="7">
        <f t="array" ref="K565">IF(ROWS(K$20:K565)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565))))</f>
        <v>41976</v>
      </c>
      <c r="L565" s="4" t="str">
        <f t="array" ref="L565">IF(ROWS(L$20:L565)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565))))</f>
        <v>Jenni  Thorton</v>
      </c>
      <c r="M565" s="4">
        <f t="array" ref="M565">IF(ROWS(M$20:M565)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565))))</f>
        <v>12</v>
      </c>
    </row>
    <row r="566" spans="1:13" x14ac:dyDescent="0.25">
      <c r="A566" s="3">
        <v>41524</v>
      </c>
      <c r="B566" s="2" t="s">
        <v>49</v>
      </c>
      <c r="C566" s="2">
        <v>40</v>
      </c>
      <c r="G566" s="7">
        <f t="array" ref="G566">IF(ROWS(K$20:K566)&gt;$F$6,"",INDEX(A$2:A$10000,SMALL(IF(ISNUMBER(MATCH($B$2:$B$10000,$E$6:$E$22,0)),ROW($C$2:$C$10000)-ROW($C$2)+1),ROWS(K$20:K566))))</f>
        <v>41768</v>
      </c>
      <c r="H566" s="4" t="str">
        <f t="array" ref="H566">IF(ROWS(L$20:L566)&gt;$F$6,"",INDEX(B$2:B$10000,SMALL(IF(ISNUMBER(MATCH($B$2:$B$10000,$E$6:$E$22,0)),ROW($C$2:$C$10000)-ROW($C$2)+1),ROWS(L$20:L566))))</f>
        <v>Rosamond  Allard</v>
      </c>
      <c r="I566" s="4">
        <f t="array" ref="I566">IF(ROWS(M$20:M566)&gt;$F$6,"",INDEX(C$2:C$10000,SMALL(IF(ISNUMBER(MATCH($B$2:$B$10000,$E$6:$E$22,0)),ROW($C$2:$C$10000)-ROW($C$2)+1),ROWS(M$20:M566))))</f>
        <v>37</v>
      </c>
      <c r="K566" s="7">
        <f t="array" ref="K566">IF(ROWS(K$20:K566)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566))))</f>
        <v>41768</v>
      </c>
      <c r="L566" s="4" t="str">
        <f t="array" ref="L566">IF(ROWS(L$20:L566)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566))))</f>
        <v>Rosamond  Allard</v>
      </c>
      <c r="M566" s="4">
        <f t="array" ref="M566">IF(ROWS(M$20:M566)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566))))</f>
        <v>37</v>
      </c>
    </row>
    <row r="567" spans="1:13" x14ac:dyDescent="0.25">
      <c r="A567" s="3">
        <v>41612</v>
      </c>
      <c r="B567" s="2" t="s">
        <v>29</v>
      </c>
      <c r="C567" s="2">
        <v>21</v>
      </c>
      <c r="G567" s="7">
        <f t="array" ref="G567">IF(ROWS(K$20:K567)&gt;$F$6,"",INDEX(A$2:A$10000,SMALL(IF(ISNUMBER(MATCH($B$2:$B$10000,$E$6:$E$22,0)),ROW($C$2:$C$10000)-ROW($C$2)+1),ROWS(K$20:K567))))</f>
        <v>41750</v>
      </c>
      <c r="H567" s="4" t="str">
        <f t="array" ref="H567">IF(ROWS(L$20:L567)&gt;$F$6,"",INDEX(B$2:B$10000,SMALL(IF(ISNUMBER(MATCH($B$2:$B$10000,$E$6:$E$22,0)),ROW($C$2:$C$10000)-ROW($C$2)+1),ROWS(L$20:L567))))</f>
        <v>Jenni  Thorton</v>
      </c>
      <c r="I567" s="4">
        <f t="array" ref="I567">IF(ROWS(M$20:M567)&gt;$F$6,"",INDEX(C$2:C$10000,SMALL(IF(ISNUMBER(MATCH($B$2:$B$10000,$E$6:$E$22,0)),ROW($C$2:$C$10000)-ROW($C$2)+1),ROWS(M$20:M567))))</f>
        <v>30</v>
      </c>
      <c r="K567" s="7">
        <f t="array" ref="K567">IF(ROWS(K$20:K567)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567))))</f>
        <v>41750</v>
      </c>
      <c r="L567" s="4" t="str">
        <f t="array" ref="L567">IF(ROWS(L$20:L567)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567))))</f>
        <v>Jenni  Thorton</v>
      </c>
      <c r="M567" s="4">
        <f t="array" ref="M567">IF(ROWS(M$20:M567)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567))))</f>
        <v>30</v>
      </c>
    </row>
    <row r="568" spans="1:13" x14ac:dyDescent="0.25">
      <c r="A568" s="3">
        <v>41753</v>
      </c>
      <c r="B568" s="2" t="s">
        <v>17</v>
      </c>
      <c r="C568" s="2">
        <v>28</v>
      </c>
      <c r="G568" s="7">
        <f t="array" ref="G568">IF(ROWS(K$20:K568)&gt;$F$6,"",INDEX(A$2:A$10000,SMALL(IF(ISNUMBER(MATCH($B$2:$B$10000,$E$6:$E$22,0)),ROW($C$2:$C$10000)-ROW($C$2)+1),ROWS(K$20:K568))))</f>
        <v>41961</v>
      </c>
      <c r="H568" s="4" t="str">
        <f t="array" ref="H568">IF(ROWS(L$20:L568)&gt;$F$6,"",INDEX(B$2:B$10000,SMALL(IF(ISNUMBER(MATCH($B$2:$B$10000,$E$6:$E$22,0)),ROW($C$2:$C$10000)-ROW($C$2)+1),ROWS(L$20:L568))))</f>
        <v>Galen  Barth</v>
      </c>
      <c r="I568" s="4">
        <f t="array" ref="I568">IF(ROWS(M$20:M568)&gt;$F$6,"",INDEX(C$2:C$10000,SMALL(IF(ISNUMBER(MATCH($B$2:$B$10000,$E$6:$E$22,0)),ROW($C$2:$C$10000)-ROW($C$2)+1),ROWS(M$20:M568))))</f>
        <v>19</v>
      </c>
      <c r="K568" s="7">
        <f t="array" ref="K568">IF(ROWS(K$20:K568)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568))))</f>
        <v>41961</v>
      </c>
      <c r="L568" s="4" t="str">
        <f t="array" ref="L568">IF(ROWS(L$20:L568)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568))))</f>
        <v>Galen  Barth</v>
      </c>
      <c r="M568" s="4">
        <f t="array" ref="M568">IF(ROWS(M$20:M568)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568))))</f>
        <v>19</v>
      </c>
    </row>
    <row r="569" spans="1:13" x14ac:dyDescent="0.25">
      <c r="A569" s="3">
        <v>41467</v>
      </c>
      <c r="B569" s="2" t="s">
        <v>48</v>
      </c>
      <c r="C569" s="2">
        <v>44</v>
      </c>
      <c r="G569" s="7">
        <f t="array" ref="G569">IF(ROWS(K$20:K569)&gt;$F$6,"",INDEX(A$2:A$10000,SMALL(IF(ISNUMBER(MATCH($B$2:$B$10000,$E$6:$E$22,0)),ROW($C$2:$C$10000)-ROW($C$2)+1),ROWS(K$20:K569))))</f>
        <v>41668</v>
      </c>
      <c r="H569" s="4" t="str">
        <f t="array" ref="H569">IF(ROWS(L$20:L569)&gt;$F$6,"",INDEX(B$2:B$10000,SMALL(IF(ISNUMBER(MATCH($B$2:$B$10000,$E$6:$E$22,0)),ROW($C$2:$C$10000)-ROW($C$2)+1),ROWS(L$20:L569))))</f>
        <v>Kerrie  Worrell</v>
      </c>
      <c r="I569" s="4">
        <f t="array" ref="I569">IF(ROWS(M$20:M569)&gt;$F$6,"",INDEX(C$2:C$10000,SMALL(IF(ISNUMBER(MATCH($B$2:$B$10000,$E$6:$E$22,0)),ROW($C$2:$C$10000)-ROW($C$2)+1),ROWS(M$20:M569))))</f>
        <v>25</v>
      </c>
      <c r="K569" s="7">
        <f t="array" ref="K569">IF(ROWS(K$20:K569)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569))))</f>
        <v>41668</v>
      </c>
      <c r="L569" s="4" t="str">
        <f t="array" ref="L569">IF(ROWS(L$20:L569)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569))))</f>
        <v>Kerrie  Worrell</v>
      </c>
      <c r="M569" s="4">
        <f t="array" ref="M569">IF(ROWS(M$20:M569)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569))))</f>
        <v>25</v>
      </c>
    </row>
    <row r="570" spans="1:13" x14ac:dyDescent="0.25">
      <c r="A570" s="3">
        <v>41280</v>
      </c>
      <c r="B570" s="2" t="s">
        <v>4</v>
      </c>
      <c r="C570" s="2">
        <v>32</v>
      </c>
      <c r="G570" s="7">
        <f t="array" ref="G570">IF(ROWS(K$20:K570)&gt;$F$6,"",INDEX(A$2:A$10000,SMALL(IF(ISNUMBER(MATCH($B$2:$B$10000,$E$6:$E$22,0)),ROW($C$2:$C$10000)-ROW($C$2)+1),ROWS(K$20:K570))))</f>
        <v>41954</v>
      </c>
      <c r="H570" s="4" t="str">
        <f t="array" ref="H570">IF(ROWS(L$20:L570)&gt;$F$6,"",INDEX(B$2:B$10000,SMALL(IF(ISNUMBER(MATCH($B$2:$B$10000,$E$6:$E$22,0)),ROW($C$2:$C$10000)-ROW($C$2)+1),ROWS(L$20:L570))))</f>
        <v>Rosamond  Allard</v>
      </c>
      <c r="I570" s="4">
        <f t="array" ref="I570">IF(ROWS(M$20:M570)&gt;$F$6,"",INDEX(C$2:C$10000,SMALL(IF(ISNUMBER(MATCH($B$2:$B$10000,$E$6:$E$22,0)),ROW($C$2:$C$10000)-ROW($C$2)+1),ROWS(M$20:M570))))</f>
        <v>16</v>
      </c>
      <c r="K570" s="7">
        <f t="array" ref="K570">IF(ROWS(K$20:K570)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570))))</f>
        <v>41954</v>
      </c>
      <c r="L570" s="4" t="str">
        <f t="array" ref="L570">IF(ROWS(L$20:L570)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570))))</f>
        <v>Rosamond  Allard</v>
      </c>
      <c r="M570" s="4">
        <f t="array" ref="M570">IF(ROWS(M$20:M570)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570))))</f>
        <v>16</v>
      </c>
    </row>
    <row r="571" spans="1:13" x14ac:dyDescent="0.25">
      <c r="A571" s="3">
        <v>41815</v>
      </c>
      <c r="B571" s="2" t="s">
        <v>6</v>
      </c>
      <c r="C571" s="2">
        <v>27</v>
      </c>
      <c r="G571" s="7">
        <f t="array" ref="G571">IF(ROWS(K$20:K571)&gt;$F$6,"",INDEX(A$2:A$10000,SMALL(IF(ISNUMBER(MATCH($B$2:$B$10000,$E$6:$E$22,0)),ROW($C$2:$C$10000)-ROW($C$2)+1),ROWS(K$20:K571))))</f>
        <v>41477</v>
      </c>
      <c r="H571" s="4" t="str">
        <f t="array" ref="H571">IF(ROWS(L$20:L571)&gt;$F$6,"",INDEX(B$2:B$10000,SMALL(IF(ISNUMBER(MATCH($B$2:$B$10000,$E$6:$E$22,0)),ROW($C$2:$C$10000)-ROW($C$2)+1),ROWS(L$20:L571))))</f>
        <v>Mickey  Bolduc</v>
      </c>
      <c r="I571" s="4">
        <f t="array" ref="I571">IF(ROWS(M$20:M571)&gt;$F$6,"",INDEX(C$2:C$10000,SMALL(IF(ISNUMBER(MATCH($B$2:$B$10000,$E$6:$E$22,0)),ROW($C$2:$C$10000)-ROW($C$2)+1),ROWS(M$20:M571))))</f>
        <v>28</v>
      </c>
      <c r="K571" s="7">
        <f t="array" ref="K571">IF(ROWS(K$20:K571)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571))))</f>
        <v>41477</v>
      </c>
      <c r="L571" s="4" t="str">
        <f t="array" ref="L571">IF(ROWS(L$20:L571)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571))))</f>
        <v>Mickey  Bolduc</v>
      </c>
      <c r="M571" s="4">
        <f t="array" ref="M571">IF(ROWS(M$20:M571)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571))))</f>
        <v>28</v>
      </c>
    </row>
    <row r="572" spans="1:13" x14ac:dyDescent="0.25">
      <c r="A572" s="3">
        <v>41804</v>
      </c>
      <c r="B572" s="2" t="s">
        <v>22</v>
      </c>
      <c r="C572" s="2">
        <v>18</v>
      </c>
      <c r="G572" s="7">
        <f t="array" ref="G572">IF(ROWS(K$20:K572)&gt;$F$6,"",INDEX(A$2:A$10000,SMALL(IF(ISNUMBER(MATCH($B$2:$B$10000,$E$6:$E$22,0)),ROW($C$2:$C$10000)-ROW($C$2)+1),ROWS(K$20:K572))))</f>
        <v>41504</v>
      </c>
      <c r="H572" s="4" t="str">
        <f t="array" ref="H572">IF(ROWS(L$20:L572)&gt;$F$6,"",INDEX(B$2:B$10000,SMALL(IF(ISNUMBER(MATCH($B$2:$B$10000,$E$6:$E$22,0)),ROW($C$2:$C$10000)-ROW($C$2)+1),ROWS(L$20:L572))))</f>
        <v>Mickey  Bolduc</v>
      </c>
      <c r="I572" s="4">
        <f t="array" ref="I572">IF(ROWS(M$20:M572)&gt;$F$6,"",INDEX(C$2:C$10000,SMALL(IF(ISNUMBER(MATCH($B$2:$B$10000,$E$6:$E$22,0)),ROW($C$2:$C$10000)-ROW($C$2)+1),ROWS(M$20:M572))))</f>
        <v>45</v>
      </c>
      <c r="K572" s="7">
        <f t="array" ref="K572">IF(ROWS(K$20:K572)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572))))</f>
        <v>41504</v>
      </c>
      <c r="L572" s="4" t="str">
        <f t="array" ref="L572">IF(ROWS(L$20:L572)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572))))</f>
        <v>Mickey  Bolduc</v>
      </c>
      <c r="M572" s="4">
        <f t="array" ref="M572">IF(ROWS(M$20:M572)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572))))</f>
        <v>45</v>
      </c>
    </row>
    <row r="573" spans="1:13" x14ac:dyDescent="0.25">
      <c r="A573" s="3">
        <v>41414</v>
      </c>
      <c r="B573" s="2" t="s">
        <v>33</v>
      </c>
      <c r="C573" s="2">
        <v>28</v>
      </c>
      <c r="G573" s="7">
        <f t="array" ref="G573">IF(ROWS(K$20:K573)&gt;$F$6,"",INDEX(A$2:A$10000,SMALL(IF(ISNUMBER(MATCH($B$2:$B$10000,$E$6:$E$22,0)),ROW($C$2:$C$10000)-ROW($C$2)+1),ROWS(K$20:K573))))</f>
        <v>41365</v>
      </c>
      <c r="H573" s="4" t="str">
        <f t="array" ref="H573">IF(ROWS(L$20:L573)&gt;$F$6,"",INDEX(B$2:B$10000,SMALL(IF(ISNUMBER(MATCH($B$2:$B$10000,$E$6:$E$22,0)),ROW($C$2:$C$10000)-ROW($C$2)+1),ROWS(L$20:L573))))</f>
        <v>Rosamond  Allard</v>
      </c>
      <c r="I573" s="4">
        <f t="array" ref="I573">IF(ROWS(M$20:M573)&gt;$F$6,"",INDEX(C$2:C$10000,SMALL(IF(ISNUMBER(MATCH($B$2:$B$10000,$E$6:$E$22,0)),ROW($C$2:$C$10000)-ROW($C$2)+1),ROWS(M$20:M573))))</f>
        <v>45</v>
      </c>
      <c r="K573" s="7">
        <f t="array" ref="K573">IF(ROWS(K$20:K573)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573))))</f>
        <v>41365</v>
      </c>
      <c r="L573" s="4" t="str">
        <f t="array" ref="L573">IF(ROWS(L$20:L573)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573))))</f>
        <v>Rosamond  Allard</v>
      </c>
      <c r="M573" s="4">
        <f t="array" ref="M573">IF(ROWS(M$20:M573)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573))))</f>
        <v>45</v>
      </c>
    </row>
    <row r="574" spans="1:13" x14ac:dyDescent="0.25">
      <c r="A574" s="3">
        <v>41680</v>
      </c>
      <c r="B574" s="2" t="s">
        <v>13</v>
      </c>
      <c r="C574" s="2">
        <v>14</v>
      </c>
      <c r="G574" s="7">
        <f t="array" ref="G574">IF(ROWS(K$20:K574)&gt;$F$6,"",INDEX(A$2:A$10000,SMALL(IF(ISNUMBER(MATCH($B$2:$B$10000,$E$6:$E$22,0)),ROW($C$2:$C$10000)-ROW($C$2)+1),ROWS(K$20:K574))))</f>
        <v>41729</v>
      </c>
      <c r="H574" s="4" t="str">
        <f t="array" ref="H574">IF(ROWS(L$20:L574)&gt;$F$6,"",INDEX(B$2:B$10000,SMALL(IF(ISNUMBER(MATCH($B$2:$B$10000,$E$6:$E$22,0)),ROW($C$2:$C$10000)-ROW($C$2)+1),ROWS(L$20:L574))))</f>
        <v>Galen  Barth</v>
      </c>
      <c r="I574" s="4">
        <f t="array" ref="I574">IF(ROWS(M$20:M574)&gt;$F$6,"",INDEX(C$2:C$10000,SMALL(IF(ISNUMBER(MATCH($B$2:$B$10000,$E$6:$E$22,0)),ROW($C$2:$C$10000)-ROW($C$2)+1),ROWS(M$20:M574))))</f>
        <v>18</v>
      </c>
      <c r="K574" s="7">
        <f t="array" ref="K574">IF(ROWS(K$20:K574)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574))))</f>
        <v>41729</v>
      </c>
      <c r="L574" s="4" t="str">
        <f t="array" ref="L574">IF(ROWS(L$20:L574)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574))))</f>
        <v>Galen  Barth</v>
      </c>
      <c r="M574" s="4">
        <f t="array" ref="M574">IF(ROWS(M$20:M574)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574))))</f>
        <v>18</v>
      </c>
    </row>
    <row r="575" spans="1:13" x14ac:dyDescent="0.25">
      <c r="A575" s="3">
        <v>41325</v>
      </c>
      <c r="B575" s="2" t="s">
        <v>7</v>
      </c>
      <c r="C575" s="2">
        <v>17</v>
      </c>
      <c r="G575" s="7">
        <f t="array" ref="G575">IF(ROWS(K$20:K575)&gt;$F$6,"",INDEX(A$2:A$10000,SMALL(IF(ISNUMBER(MATCH($B$2:$B$10000,$E$6:$E$22,0)),ROW($C$2:$C$10000)-ROW($C$2)+1),ROWS(K$20:K575))))</f>
        <v>41557</v>
      </c>
      <c r="H575" s="4" t="str">
        <f t="array" ref="H575">IF(ROWS(L$20:L575)&gt;$F$6,"",INDEX(B$2:B$10000,SMALL(IF(ISNUMBER(MATCH($B$2:$B$10000,$E$6:$E$22,0)),ROW($C$2:$C$10000)-ROW($C$2)+1),ROWS(L$20:L575))))</f>
        <v>Jenni  Thorton</v>
      </c>
      <c r="I575" s="4">
        <f t="array" ref="I575">IF(ROWS(M$20:M575)&gt;$F$6,"",INDEX(C$2:C$10000,SMALL(IF(ISNUMBER(MATCH($B$2:$B$10000,$E$6:$E$22,0)),ROW($C$2:$C$10000)-ROW($C$2)+1),ROWS(M$20:M575))))</f>
        <v>46</v>
      </c>
      <c r="K575" s="7">
        <f t="array" ref="K575">IF(ROWS(K$20:K575)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575))))</f>
        <v>41557</v>
      </c>
      <c r="L575" s="4" t="str">
        <f t="array" ref="L575">IF(ROWS(L$20:L575)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575))))</f>
        <v>Jenni  Thorton</v>
      </c>
      <c r="M575" s="4">
        <f t="array" ref="M575">IF(ROWS(M$20:M575)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575))))</f>
        <v>46</v>
      </c>
    </row>
    <row r="576" spans="1:13" x14ac:dyDescent="0.25">
      <c r="A576" s="3">
        <v>41782</v>
      </c>
      <c r="B576" s="2" t="s">
        <v>14</v>
      </c>
      <c r="C576" s="2">
        <v>41</v>
      </c>
      <c r="G576" s="7">
        <f t="array" ref="G576">IF(ROWS(K$20:K576)&gt;$F$6,"",INDEX(A$2:A$10000,SMALL(IF(ISNUMBER(MATCH($B$2:$B$10000,$E$6:$E$22,0)),ROW($C$2:$C$10000)-ROW($C$2)+1),ROWS(K$20:K576))))</f>
        <v>41919</v>
      </c>
      <c r="H576" s="4" t="str">
        <f t="array" ref="H576">IF(ROWS(L$20:L576)&gt;$F$6,"",INDEX(B$2:B$10000,SMALL(IF(ISNUMBER(MATCH($B$2:$B$10000,$E$6:$E$22,0)),ROW($C$2:$C$10000)-ROW($C$2)+1),ROWS(L$20:L576))))</f>
        <v>Kerrie  Worrell</v>
      </c>
      <c r="I576" s="4">
        <f t="array" ref="I576">IF(ROWS(M$20:M576)&gt;$F$6,"",INDEX(C$2:C$10000,SMALL(IF(ISNUMBER(MATCH($B$2:$B$10000,$E$6:$E$22,0)),ROW($C$2:$C$10000)-ROW($C$2)+1),ROWS(M$20:M576))))</f>
        <v>43</v>
      </c>
      <c r="K576" s="7">
        <f t="array" ref="K576">IF(ROWS(K$20:K576)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576))))</f>
        <v>41919</v>
      </c>
      <c r="L576" s="4" t="str">
        <f t="array" ref="L576">IF(ROWS(L$20:L576)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576))))</f>
        <v>Kerrie  Worrell</v>
      </c>
      <c r="M576" s="4">
        <f t="array" ref="M576">IF(ROWS(M$20:M576)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576))))</f>
        <v>43</v>
      </c>
    </row>
    <row r="577" spans="1:13" x14ac:dyDescent="0.25">
      <c r="A577" s="3">
        <v>41979</v>
      </c>
      <c r="B577" s="2" t="s">
        <v>20</v>
      </c>
      <c r="C577" s="2">
        <v>4</v>
      </c>
      <c r="G577" s="7">
        <f t="array" ref="G577">IF(ROWS(K$20:K577)&gt;$F$6,"",INDEX(A$2:A$10000,SMALL(IF(ISNUMBER(MATCH($B$2:$B$10000,$E$6:$E$22,0)),ROW($C$2:$C$10000)-ROW($C$2)+1),ROWS(K$20:K577))))</f>
        <v>41699</v>
      </c>
      <c r="H577" s="4" t="str">
        <f t="array" ref="H577">IF(ROWS(L$20:L577)&gt;$F$6,"",INDEX(B$2:B$10000,SMALL(IF(ISNUMBER(MATCH($B$2:$B$10000,$E$6:$E$22,0)),ROW($C$2:$C$10000)-ROW($C$2)+1),ROWS(L$20:L577))))</f>
        <v>Galen  Barth</v>
      </c>
      <c r="I577" s="4">
        <f t="array" ref="I577">IF(ROWS(M$20:M577)&gt;$F$6,"",INDEX(C$2:C$10000,SMALL(IF(ISNUMBER(MATCH($B$2:$B$10000,$E$6:$E$22,0)),ROW($C$2:$C$10000)-ROW($C$2)+1),ROWS(M$20:M577))))</f>
        <v>44</v>
      </c>
      <c r="K577" s="7">
        <f t="array" ref="K577">IF(ROWS(K$20:K577)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577))))</f>
        <v>41699</v>
      </c>
      <c r="L577" s="4" t="str">
        <f t="array" ref="L577">IF(ROWS(L$20:L577)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577))))</f>
        <v>Galen  Barth</v>
      </c>
      <c r="M577" s="4">
        <f t="array" ref="M577">IF(ROWS(M$20:M577)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577))))</f>
        <v>44</v>
      </c>
    </row>
    <row r="578" spans="1:13" x14ac:dyDescent="0.25">
      <c r="A578" s="3">
        <v>41874</v>
      </c>
      <c r="B578" s="2" t="s">
        <v>29</v>
      </c>
      <c r="C578" s="2">
        <v>3</v>
      </c>
      <c r="G578" s="7">
        <f t="array" ref="G578">IF(ROWS(K$20:K578)&gt;$F$6,"",INDEX(A$2:A$10000,SMALL(IF(ISNUMBER(MATCH($B$2:$B$10000,$E$6:$E$22,0)),ROW($C$2:$C$10000)-ROW($C$2)+1),ROWS(K$20:K578))))</f>
        <v>41707</v>
      </c>
      <c r="H578" s="4" t="str">
        <f t="array" ref="H578">IF(ROWS(L$20:L578)&gt;$F$6,"",INDEX(B$2:B$10000,SMALL(IF(ISNUMBER(MATCH($B$2:$B$10000,$E$6:$E$22,0)),ROW($C$2:$C$10000)-ROW($C$2)+1),ROWS(L$20:L578))))</f>
        <v>Jenni  Thorton</v>
      </c>
      <c r="I578" s="4">
        <f t="array" ref="I578">IF(ROWS(M$20:M578)&gt;$F$6,"",INDEX(C$2:C$10000,SMALL(IF(ISNUMBER(MATCH($B$2:$B$10000,$E$6:$E$22,0)),ROW($C$2:$C$10000)-ROW($C$2)+1),ROWS(M$20:M578))))</f>
        <v>44</v>
      </c>
      <c r="K578" s="7">
        <f t="array" ref="K578">IF(ROWS(K$20:K578)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578))))</f>
        <v>41707</v>
      </c>
      <c r="L578" s="4" t="str">
        <f t="array" ref="L578">IF(ROWS(L$20:L578)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578))))</f>
        <v>Jenni  Thorton</v>
      </c>
      <c r="M578" s="4">
        <f t="array" ref="M578">IF(ROWS(M$20:M578)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578))))</f>
        <v>44</v>
      </c>
    </row>
    <row r="579" spans="1:13" x14ac:dyDescent="0.25">
      <c r="A579" s="3">
        <v>41344</v>
      </c>
      <c r="B579" s="2" t="s">
        <v>26</v>
      </c>
      <c r="C579" s="2">
        <v>34</v>
      </c>
      <c r="G579" s="7">
        <f t="array" ref="G579">IF(ROWS(K$20:K579)&gt;$F$6,"",INDEX(A$2:A$10000,SMALL(IF(ISNUMBER(MATCH($B$2:$B$10000,$E$6:$E$22,0)),ROW($C$2:$C$10000)-ROW($C$2)+1),ROWS(K$20:K579))))</f>
        <v>41737</v>
      </c>
      <c r="H579" s="4" t="str">
        <f t="array" ref="H579">IF(ROWS(L$20:L579)&gt;$F$6,"",INDEX(B$2:B$10000,SMALL(IF(ISNUMBER(MATCH($B$2:$B$10000,$E$6:$E$22,0)),ROW($C$2:$C$10000)-ROW($C$2)+1),ROWS(L$20:L579))))</f>
        <v>Kerrie  Worrell</v>
      </c>
      <c r="I579" s="4">
        <f t="array" ref="I579">IF(ROWS(M$20:M579)&gt;$F$6,"",INDEX(C$2:C$10000,SMALL(IF(ISNUMBER(MATCH($B$2:$B$10000,$E$6:$E$22,0)),ROW($C$2:$C$10000)-ROW($C$2)+1),ROWS(M$20:M579))))</f>
        <v>24</v>
      </c>
      <c r="K579" s="7">
        <f t="array" ref="K579">IF(ROWS(K$20:K579)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579))))</f>
        <v>41737</v>
      </c>
      <c r="L579" s="4" t="str">
        <f t="array" ref="L579">IF(ROWS(L$20:L579)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579))))</f>
        <v>Kerrie  Worrell</v>
      </c>
      <c r="M579" s="4">
        <f t="array" ref="M579">IF(ROWS(M$20:M579)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579))))</f>
        <v>24</v>
      </c>
    </row>
    <row r="580" spans="1:13" x14ac:dyDescent="0.25">
      <c r="A580" s="3">
        <v>41765</v>
      </c>
      <c r="B580" s="2" t="s">
        <v>7</v>
      </c>
      <c r="C580" s="2">
        <v>6</v>
      </c>
      <c r="G580" s="7">
        <f t="array" ref="G580">IF(ROWS(K$20:K580)&gt;$F$6,"",INDEX(A$2:A$10000,SMALL(IF(ISNUMBER(MATCH($B$2:$B$10000,$E$6:$E$22,0)),ROW($C$2:$C$10000)-ROW($C$2)+1),ROWS(K$20:K580))))</f>
        <v>41439</v>
      </c>
      <c r="H580" s="4" t="str">
        <f t="array" ref="H580">IF(ROWS(L$20:L580)&gt;$F$6,"",INDEX(B$2:B$10000,SMALL(IF(ISNUMBER(MATCH($B$2:$B$10000,$E$6:$E$22,0)),ROW($C$2:$C$10000)-ROW($C$2)+1),ROWS(L$20:L580))))</f>
        <v>Iliana  Valerio</v>
      </c>
      <c r="I580" s="4">
        <f t="array" ref="I580">IF(ROWS(M$20:M580)&gt;$F$6,"",INDEX(C$2:C$10000,SMALL(IF(ISNUMBER(MATCH($B$2:$B$10000,$E$6:$E$22,0)),ROW($C$2:$C$10000)-ROW($C$2)+1),ROWS(M$20:M580))))</f>
        <v>17</v>
      </c>
      <c r="K580" s="7">
        <f t="array" ref="K580">IF(ROWS(K$20:K580)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580))))</f>
        <v>41439</v>
      </c>
      <c r="L580" s="4" t="str">
        <f t="array" ref="L580">IF(ROWS(L$20:L580)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580))))</f>
        <v>Iliana  Valerio</v>
      </c>
      <c r="M580" s="4">
        <f t="array" ref="M580">IF(ROWS(M$20:M580)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580))))</f>
        <v>17</v>
      </c>
    </row>
    <row r="581" spans="1:13" x14ac:dyDescent="0.25">
      <c r="A581" s="3">
        <v>41734</v>
      </c>
      <c r="B581" s="2" t="s">
        <v>2</v>
      </c>
      <c r="C581" s="2">
        <v>40</v>
      </c>
      <c r="G581" s="7">
        <f t="array" ref="G581">IF(ROWS(K$20:K581)&gt;$F$6,"",INDEX(A$2:A$10000,SMALL(IF(ISNUMBER(MATCH($B$2:$B$10000,$E$6:$E$22,0)),ROW($C$2:$C$10000)-ROW($C$2)+1),ROWS(K$20:K581))))</f>
        <v>41801</v>
      </c>
      <c r="H581" s="4" t="str">
        <f t="array" ref="H581">IF(ROWS(L$20:L581)&gt;$F$6,"",INDEX(B$2:B$10000,SMALL(IF(ISNUMBER(MATCH($B$2:$B$10000,$E$6:$E$22,0)),ROW($C$2:$C$10000)-ROW($C$2)+1),ROWS(L$20:L581))))</f>
        <v>Kerrie  Worrell</v>
      </c>
      <c r="I581" s="4">
        <f t="array" ref="I581">IF(ROWS(M$20:M581)&gt;$F$6,"",INDEX(C$2:C$10000,SMALL(IF(ISNUMBER(MATCH($B$2:$B$10000,$E$6:$E$22,0)),ROW($C$2:$C$10000)-ROW($C$2)+1),ROWS(M$20:M581))))</f>
        <v>12</v>
      </c>
      <c r="K581" s="7">
        <f t="array" ref="K581">IF(ROWS(K$20:K581)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581))))</f>
        <v>41801</v>
      </c>
      <c r="L581" s="4" t="str">
        <f t="array" ref="L581">IF(ROWS(L$20:L581)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581))))</f>
        <v>Kerrie  Worrell</v>
      </c>
      <c r="M581" s="4">
        <f t="array" ref="M581">IF(ROWS(M$20:M581)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581))))</f>
        <v>12</v>
      </c>
    </row>
    <row r="582" spans="1:13" x14ac:dyDescent="0.25">
      <c r="A582" s="3">
        <v>41855</v>
      </c>
      <c r="B582" s="2" t="s">
        <v>17</v>
      </c>
      <c r="C582" s="2">
        <v>21</v>
      </c>
      <c r="G582" s="7">
        <f t="array" ref="G582">IF(ROWS(K$20:K582)&gt;$F$6,"",INDEX(A$2:A$10000,SMALL(IF(ISNUMBER(MATCH($B$2:$B$10000,$E$6:$E$22,0)),ROW($C$2:$C$10000)-ROW($C$2)+1),ROWS(K$20:K582))))</f>
        <v>41794</v>
      </c>
      <c r="H582" s="4" t="str">
        <f t="array" ref="H582">IF(ROWS(L$20:L582)&gt;$F$6,"",INDEX(B$2:B$10000,SMALL(IF(ISNUMBER(MATCH($B$2:$B$10000,$E$6:$E$22,0)),ROW($C$2:$C$10000)-ROW($C$2)+1),ROWS(L$20:L582))))</f>
        <v>Jenni  Thorton</v>
      </c>
      <c r="I582" s="4">
        <f t="array" ref="I582">IF(ROWS(M$20:M582)&gt;$F$6,"",INDEX(C$2:C$10000,SMALL(IF(ISNUMBER(MATCH($B$2:$B$10000,$E$6:$E$22,0)),ROW($C$2:$C$10000)-ROW($C$2)+1),ROWS(M$20:M582))))</f>
        <v>44</v>
      </c>
      <c r="K582" s="7">
        <f t="array" ref="K582">IF(ROWS(K$20:K582)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582))))</f>
        <v>41794</v>
      </c>
      <c r="L582" s="4" t="str">
        <f t="array" ref="L582">IF(ROWS(L$20:L582)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582))))</f>
        <v>Jenni  Thorton</v>
      </c>
      <c r="M582" s="4">
        <f t="array" ref="M582">IF(ROWS(M$20:M582)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582))))</f>
        <v>44</v>
      </c>
    </row>
    <row r="583" spans="1:13" x14ac:dyDescent="0.25">
      <c r="A583" s="3">
        <v>41288</v>
      </c>
      <c r="B583" s="2" t="s">
        <v>51</v>
      </c>
      <c r="C583" s="2">
        <v>30</v>
      </c>
      <c r="G583" s="7">
        <f t="array" ref="G583">IF(ROWS(K$20:K583)&gt;$F$6,"",INDEX(A$2:A$10000,SMALL(IF(ISNUMBER(MATCH($B$2:$B$10000,$E$6:$E$22,0)),ROW($C$2:$C$10000)-ROW($C$2)+1),ROWS(K$20:K583))))</f>
        <v>41976</v>
      </c>
      <c r="H583" s="4" t="str">
        <f t="array" ref="H583">IF(ROWS(L$20:L583)&gt;$F$6,"",INDEX(B$2:B$10000,SMALL(IF(ISNUMBER(MATCH($B$2:$B$10000,$E$6:$E$22,0)),ROW($C$2:$C$10000)-ROW($C$2)+1),ROWS(L$20:L583))))</f>
        <v>Rosamond  Allard</v>
      </c>
      <c r="I583" s="4">
        <f t="array" ref="I583">IF(ROWS(M$20:M583)&gt;$F$6,"",INDEX(C$2:C$10000,SMALL(IF(ISNUMBER(MATCH($B$2:$B$10000,$E$6:$E$22,0)),ROW($C$2:$C$10000)-ROW($C$2)+1),ROWS(M$20:M583))))</f>
        <v>38</v>
      </c>
      <c r="K583" s="7">
        <f t="array" ref="K583">IF(ROWS(K$20:K583)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583))))</f>
        <v>41976</v>
      </c>
      <c r="L583" s="4" t="str">
        <f t="array" ref="L583">IF(ROWS(L$20:L583)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583))))</f>
        <v>Rosamond  Allard</v>
      </c>
      <c r="M583" s="4">
        <f t="array" ref="M583">IF(ROWS(M$20:M583)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583))))</f>
        <v>38</v>
      </c>
    </row>
    <row r="584" spans="1:13" x14ac:dyDescent="0.25">
      <c r="A584" s="3">
        <v>41825</v>
      </c>
      <c r="B584" s="2" t="s">
        <v>26</v>
      </c>
      <c r="C584" s="2">
        <v>8</v>
      </c>
      <c r="G584" s="7">
        <f t="array" ref="G584">IF(ROWS(K$20:K584)&gt;$F$6,"",INDEX(A$2:A$10000,SMALL(IF(ISNUMBER(MATCH($B$2:$B$10000,$E$6:$E$22,0)),ROW($C$2:$C$10000)-ROW($C$2)+1),ROWS(K$20:K584))))</f>
        <v>41468</v>
      </c>
      <c r="H584" s="4" t="str">
        <f t="array" ref="H584">IF(ROWS(L$20:L584)&gt;$F$6,"",INDEX(B$2:B$10000,SMALL(IF(ISNUMBER(MATCH($B$2:$B$10000,$E$6:$E$22,0)),ROW($C$2:$C$10000)-ROW($C$2)+1),ROWS(L$20:L584))))</f>
        <v>Iliana  Valerio</v>
      </c>
      <c r="I584" s="4">
        <f t="array" ref="I584">IF(ROWS(M$20:M584)&gt;$F$6,"",INDEX(C$2:C$10000,SMALL(IF(ISNUMBER(MATCH($B$2:$B$10000,$E$6:$E$22,0)),ROW($C$2:$C$10000)-ROW($C$2)+1),ROWS(M$20:M584))))</f>
        <v>26</v>
      </c>
      <c r="K584" s="7">
        <f t="array" ref="K584">IF(ROWS(K$20:K584)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584))))</f>
        <v>41468</v>
      </c>
      <c r="L584" s="4" t="str">
        <f t="array" ref="L584">IF(ROWS(L$20:L584)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584))))</f>
        <v>Iliana  Valerio</v>
      </c>
      <c r="M584" s="4">
        <f t="array" ref="M584">IF(ROWS(M$20:M584)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584))))</f>
        <v>26</v>
      </c>
    </row>
    <row r="585" spans="1:13" x14ac:dyDescent="0.25">
      <c r="A585" s="3">
        <v>41853</v>
      </c>
      <c r="B585" s="2" t="s">
        <v>32</v>
      </c>
      <c r="C585" s="2">
        <v>44</v>
      </c>
      <c r="G585" s="7">
        <f t="array" ref="G585">IF(ROWS(K$20:K585)&gt;$F$6,"",INDEX(A$2:A$10000,SMALL(IF(ISNUMBER(MATCH($B$2:$B$10000,$E$6:$E$22,0)),ROW($C$2:$C$10000)-ROW($C$2)+1),ROWS(K$20:K585))))</f>
        <v>41686</v>
      </c>
      <c r="H585" s="4" t="str">
        <f t="array" ref="H585">IF(ROWS(L$20:L585)&gt;$F$6,"",INDEX(B$2:B$10000,SMALL(IF(ISNUMBER(MATCH($B$2:$B$10000,$E$6:$E$22,0)),ROW($C$2:$C$10000)-ROW($C$2)+1),ROWS(L$20:L585))))</f>
        <v>Rosamond  Allard</v>
      </c>
      <c r="I585" s="4">
        <f t="array" ref="I585">IF(ROWS(M$20:M585)&gt;$F$6,"",INDEX(C$2:C$10000,SMALL(IF(ISNUMBER(MATCH($B$2:$B$10000,$E$6:$E$22,0)),ROW($C$2:$C$10000)-ROW($C$2)+1),ROWS(M$20:M585))))</f>
        <v>24</v>
      </c>
      <c r="K585" s="7">
        <f t="array" ref="K585">IF(ROWS(K$20:K585)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585))))</f>
        <v>41686</v>
      </c>
      <c r="L585" s="4" t="str">
        <f t="array" ref="L585">IF(ROWS(L$20:L585)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585))))</f>
        <v>Rosamond  Allard</v>
      </c>
      <c r="M585" s="4">
        <f t="array" ref="M585">IF(ROWS(M$20:M585)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585))))</f>
        <v>24</v>
      </c>
    </row>
    <row r="586" spans="1:13" x14ac:dyDescent="0.25">
      <c r="A586" s="3">
        <v>41626</v>
      </c>
      <c r="B586" s="2" t="s">
        <v>5</v>
      </c>
      <c r="C586" s="2">
        <v>29</v>
      </c>
      <c r="G586" s="7">
        <f t="array" ref="G586">IF(ROWS(K$20:K586)&gt;$F$6,"",INDEX(A$2:A$10000,SMALL(IF(ISNUMBER(MATCH($B$2:$B$10000,$E$6:$E$22,0)),ROW($C$2:$C$10000)-ROW($C$2)+1),ROWS(K$20:K586))))</f>
        <v>41292</v>
      </c>
      <c r="H586" s="4" t="str">
        <f t="array" ref="H586">IF(ROWS(L$20:L586)&gt;$F$6,"",INDEX(B$2:B$10000,SMALL(IF(ISNUMBER(MATCH($B$2:$B$10000,$E$6:$E$22,0)),ROW($C$2:$C$10000)-ROW($C$2)+1),ROWS(L$20:L586))))</f>
        <v>Galen  Barth</v>
      </c>
      <c r="I586" s="4">
        <f t="array" ref="I586">IF(ROWS(M$20:M586)&gt;$F$6,"",INDEX(C$2:C$10000,SMALL(IF(ISNUMBER(MATCH($B$2:$B$10000,$E$6:$E$22,0)),ROW($C$2:$C$10000)-ROW($C$2)+1),ROWS(M$20:M586))))</f>
        <v>30</v>
      </c>
      <c r="K586" s="7">
        <f t="array" ref="K586">IF(ROWS(K$20:K586)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586))))</f>
        <v>41292</v>
      </c>
      <c r="L586" s="4" t="str">
        <f t="array" ref="L586">IF(ROWS(L$20:L586)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586))))</f>
        <v>Galen  Barth</v>
      </c>
      <c r="M586" s="4">
        <f t="array" ref="M586">IF(ROWS(M$20:M586)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586))))</f>
        <v>30</v>
      </c>
    </row>
    <row r="587" spans="1:13" x14ac:dyDescent="0.25">
      <c r="A587" s="3">
        <v>41641</v>
      </c>
      <c r="B587" s="2" t="s">
        <v>21</v>
      </c>
      <c r="C587" s="2">
        <v>52</v>
      </c>
      <c r="G587" s="7">
        <f t="array" ref="G587">IF(ROWS(K$20:K587)&gt;$F$6,"",INDEX(A$2:A$10000,SMALL(IF(ISNUMBER(MATCH($B$2:$B$10000,$E$6:$E$22,0)),ROW($C$2:$C$10000)-ROW($C$2)+1),ROWS(K$20:K587))))</f>
        <v>41363</v>
      </c>
      <c r="H587" s="4" t="str">
        <f t="array" ref="H587">IF(ROWS(L$20:L587)&gt;$F$6,"",INDEX(B$2:B$10000,SMALL(IF(ISNUMBER(MATCH($B$2:$B$10000,$E$6:$E$22,0)),ROW($C$2:$C$10000)-ROW($C$2)+1),ROWS(L$20:L587))))</f>
        <v>Rosamond  Allard</v>
      </c>
      <c r="I587" s="4">
        <f t="array" ref="I587">IF(ROWS(M$20:M587)&gt;$F$6,"",INDEX(C$2:C$10000,SMALL(IF(ISNUMBER(MATCH($B$2:$B$10000,$E$6:$E$22,0)),ROW($C$2:$C$10000)-ROW($C$2)+1),ROWS(M$20:M587))))</f>
        <v>34</v>
      </c>
      <c r="K587" s="7">
        <f t="array" ref="K587">IF(ROWS(K$20:K587)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587))))</f>
        <v>41363</v>
      </c>
      <c r="L587" s="4" t="str">
        <f t="array" ref="L587">IF(ROWS(L$20:L587)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587))))</f>
        <v>Rosamond  Allard</v>
      </c>
      <c r="M587" s="4">
        <f t="array" ref="M587">IF(ROWS(M$20:M587)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587))))</f>
        <v>34</v>
      </c>
    </row>
    <row r="588" spans="1:13" x14ac:dyDescent="0.25">
      <c r="A588" s="3">
        <v>41278</v>
      </c>
      <c r="B588" s="2" t="s">
        <v>31</v>
      </c>
      <c r="C588" s="2">
        <v>48</v>
      </c>
      <c r="G588" s="7">
        <f t="array" ref="G588">IF(ROWS(K$20:K588)&gt;$F$6,"",INDEX(A$2:A$10000,SMALL(IF(ISNUMBER(MATCH($B$2:$B$10000,$E$6:$E$22,0)),ROW($C$2:$C$10000)-ROW($C$2)+1),ROWS(K$20:K588))))</f>
        <v>41403</v>
      </c>
      <c r="H588" s="4" t="str">
        <f t="array" ref="H588">IF(ROWS(L$20:L588)&gt;$F$6,"",INDEX(B$2:B$10000,SMALL(IF(ISNUMBER(MATCH($B$2:$B$10000,$E$6:$E$22,0)),ROW($C$2:$C$10000)-ROW($C$2)+1),ROWS(L$20:L588))))</f>
        <v>Kerrie  Worrell</v>
      </c>
      <c r="I588" s="4">
        <f t="array" ref="I588">IF(ROWS(M$20:M588)&gt;$F$6,"",INDEX(C$2:C$10000,SMALL(IF(ISNUMBER(MATCH($B$2:$B$10000,$E$6:$E$22,0)),ROW($C$2:$C$10000)-ROW($C$2)+1),ROWS(M$20:M588))))</f>
        <v>1</v>
      </c>
      <c r="K588" s="7">
        <f t="array" ref="K588">IF(ROWS(K$20:K588)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588))))</f>
        <v>41403</v>
      </c>
      <c r="L588" s="4" t="str">
        <f t="array" ref="L588">IF(ROWS(L$20:L588)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588))))</f>
        <v>Kerrie  Worrell</v>
      </c>
      <c r="M588" s="4">
        <f t="array" ref="M588">IF(ROWS(M$20:M588)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588))))</f>
        <v>1</v>
      </c>
    </row>
    <row r="589" spans="1:13" x14ac:dyDescent="0.25">
      <c r="A589" s="3">
        <v>41509</v>
      </c>
      <c r="B589" s="2" t="s">
        <v>43</v>
      </c>
      <c r="C589" s="2">
        <v>23</v>
      </c>
      <c r="G589" s="7">
        <f t="array" ref="G589">IF(ROWS(K$20:K589)&gt;$F$6,"",INDEX(A$2:A$10000,SMALL(IF(ISNUMBER(MATCH($B$2:$B$10000,$E$6:$E$22,0)),ROW($C$2:$C$10000)-ROW($C$2)+1),ROWS(K$20:K589))))</f>
        <v>41584</v>
      </c>
      <c r="H589" s="4" t="str">
        <f t="array" ref="H589">IF(ROWS(L$20:L589)&gt;$F$6,"",INDEX(B$2:B$10000,SMALL(IF(ISNUMBER(MATCH($B$2:$B$10000,$E$6:$E$22,0)),ROW($C$2:$C$10000)-ROW($C$2)+1),ROWS(L$20:L589))))</f>
        <v>Rosamond  Allard</v>
      </c>
      <c r="I589" s="4">
        <f t="array" ref="I589">IF(ROWS(M$20:M589)&gt;$F$6,"",INDEX(C$2:C$10000,SMALL(IF(ISNUMBER(MATCH($B$2:$B$10000,$E$6:$E$22,0)),ROW($C$2:$C$10000)-ROW($C$2)+1),ROWS(M$20:M589))))</f>
        <v>37</v>
      </c>
      <c r="K589" s="7">
        <f t="array" ref="K589">IF(ROWS(K$20:K589)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589))))</f>
        <v>41584</v>
      </c>
      <c r="L589" s="4" t="str">
        <f t="array" ref="L589">IF(ROWS(L$20:L589)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589))))</f>
        <v>Rosamond  Allard</v>
      </c>
      <c r="M589" s="4">
        <f t="array" ref="M589">IF(ROWS(M$20:M589)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589))))</f>
        <v>37</v>
      </c>
    </row>
    <row r="590" spans="1:13" x14ac:dyDescent="0.25">
      <c r="A590" s="3">
        <v>41752</v>
      </c>
      <c r="B590" s="2" t="s">
        <v>11</v>
      </c>
      <c r="C590" s="2">
        <v>36</v>
      </c>
      <c r="G590" s="7">
        <f t="array" ref="G590">IF(ROWS(K$20:K590)&gt;$F$6,"",INDEX(A$2:A$10000,SMALL(IF(ISNUMBER(MATCH($B$2:$B$10000,$E$6:$E$22,0)),ROW($C$2:$C$10000)-ROW($C$2)+1),ROWS(K$20:K590))))</f>
        <v>41451</v>
      </c>
      <c r="H590" s="4" t="str">
        <f t="array" ref="H590">IF(ROWS(L$20:L590)&gt;$F$6,"",INDEX(B$2:B$10000,SMALL(IF(ISNUMBER(MATCH($B$2:$B$10000,$E$6:$E$22,0)),ROW($C$2:$C$10000)-ROW($C$2)+1),ROWS(L$20:L590))))</f>
        <v>Rosamond  Allard</v>
      </c>
      <c r="I590" s="4">
        <f t="array" ref="I590">IF(ROWS(M$20:M590)&gt;$F$6,"",INDEX(C$2:C$10000,SMALL(IF(ISNUMBER(MATCH($B$2:$B$10000,$E$6:$E$22,0)),ROW($C$2:$C$10000)-ROW($C$2)+1),ROWS(M$20:M590))))</f>
        <v>40</v>
      </c>
      <c r="K590" s="7">
        <f t="array" ref="K590">IF(ROWS(K$20:K590)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590))))</f>
        <v>41451</v>
      </c>
      <c r="L590" s="4" t="str">
        <f t="array" ref="L590">IF(ROWS(L$20:L590)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590))))</f>
        <v>Rosamond  Allard</v>
      </c>
      <c r="M590" s="4">
        <f t="array" ref="M590">IF(ROWS(M$20:M590)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590))))</f>
        <v>40</v>
      </c>
    </row>
    <row r="591" spans="1:13" x14ac:dyDescent="0.25">
      <c r="A591" s="3">
        <v>41415</v>
      </c>
      <c r="B591" s="2" t="s">
        <v>19</v>
      </c>
      <c r="C591" s="2">
        <v>49</v>
      </c>
      <c r="G591" s="7">
        <f t="array" ref="G591">IF(ROWS(K$20:K591)&gt;$F$6,"",INDEX(A$2:A$10000,SMALL(IF(ISNUMBER(MATCH($B$2:$B$10000,$E$6:$E$22,0)),ROW($C$2:$C$10000)-ROW($C$2)+1),ROWS(K$20:K591))))</f>
        <v>41293</v>
      </c>
      <c r="H591" s="4" t="str">
        <f t="array" ref="H591">IF(ROWS(L$20:L591)&gt;$F$6,"",INDEX(B$2:B$10000,SMALL(IF(ISNUMBER(MATCH($B$2:$B$10000,$E$6:$E$22,0)),ROW($C$2:$C$10000)-ROW($C$2)+1),ROWS(L$20:L591))))</f>
        <v>Kerrie  Worrell</v>
      </c>
      <c r="I591" s="4">
        <f t="array" ref="I591">IF(ROWS(M$20:M591)&gt;$F$6,"",INDEX(C$2:C$10000,SMALL(IF(ISNUMBER(MATCH($B$2:$B$10000,$E$6:$E$22,0)),ROW($C$2:$C$10000)-ROW($C$2)+1),ROWS(M$20:M591))))</f>
        <v>17</v>
      </c>
      <c r="K591" s="7">
        <f t="array" ref="K591">IF(ROWS(K$20:K591)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591))))</f>
        <v>41293</v>
      </c>
      <c r="L591" s="4" t="str">
        <f t="array" ref="L591">IF(ROWS(L$20:L591)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591))))</f>
        <v>Kerrie  Worrell</v>
      </c>
      <c r="M591" s="4">
        <f t="array" ref="M591">IF(ROWS(M$20:M591)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591))))</f>
        <v>17</v>
      </c>
    </row>
    <row r="592" spans="1:13" x14ac:dyDescent="0.25">
      <c r="A592" s="3">
        <v>41303</v>
      </c>
      <c r="B592" s="2" t="s">
        <v>5</v>
      </c>
      <c r="C592" s="2">
        <v>48</v>
      </c>
      <c r="G592" s="7">
        <f t="array" ref="G592">IF(ROWS(K$20:K592)&gt;$F$6,"",INDEX(A$2:A$10000,SMALL(IF(ISNUMBER(MATCH($B$2:$B$10000,$E$6:$E$22,0)),ROW($C$2:$C$10000)-ROW($C$2)+1),ROWS(K$20:K592))))</f>
        <v>41554</v>
      </c>
      <c r="H592" s="4" t="str">
        <f t="array" ref="H592">IF(ROWS(L$20:L592)&gt;$F$6,"",INDEX(B$2:B$10000,SMALL(IF(ISNUMBER(MATCH($B$2:$B$10000,$E$6:$E$22,0)),ROW($C$2:$C$10000)-ROW($C$2)+1),ROWS(L$20:L592))))</f>
        <v>Kerrie  Worrell</v>
      </c>
      <c r="I592" s="4">
        <f t="array" ref="I592">IF(ROWS(M$20:M592)&gt;$F$6,"",INDEX(C$2:C$10000,SMALL(IF(ISNUMBER(MATCH($B$2:$B$10000,$E$6:$E$22,0)),ROW($C$2:$C$10000)-ROW($C$2)+1),ROWS(M$20:M592))))</f>
        <v>20</v>
      </c>
      <c r="K592" s="7">
        <f t="array" ref="K592">IF(ROWS(K$20:K592)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592))))</f>
        <v>41554</v>
      </c>
      <c r="L592" s="4" t="str">
        <f t="array" ref="L592">IF(ROWS(L$20:L592)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592))))</f>
        <v>Kerrie  Worrell</v>
      </c>
      <c r="M592" s="4">
        <f t="array" ref="M592">IF(ROWS(M$20:M592)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592))))</f>
        <v>20</v>
      </c>
    </row>
    <row r="593" spans="1:13" x14ac:dyDescent="0.25">
      <c r="A593" s="3">
        <v>41768</v>
      </c>
      <c r="B593" s="2" t="s">
        <v>2</v>
      </c>
      <c r="C593" s="2">
        <v>47</v>
      </c>
      <c r="G593" s="7">
        <f t="array" ref="G593">IF(ROWS(K$20:K593)&gt;$F$6,"",INDEX(A$2:A$10000,SMALL(IF(ISNUMBER(MATCH($B$2:$B$10000,$E$6:$E$22,0)),ROW($C$2:$C$10000)-ROW($C$2)+1),ROWS(K$20:K593))))</f>
        <v>41973</v>
      </c>
      <c r="H593" s="4" t="str">
        <f t="array" ref="H593">IF(ROWS(L$20:L593)&gt;$F$6,"",INDEX(B$2:B$10000,SMALL(IF(ISNUMBER(MATCH($B$2:$B$10000,$E$6:$E$22,0)),ROW($C$2:$C$10000)-ROW($C$2)+1),ROWS(L$20:L593))))</f>
        <v>Mickey  Bolduc</v>
      </c>
      <c r="I593" s="4">
        <f t="array" ref="I593">IF(ROWS(M$20:M593)&gt;$F$6,"",INDEX(C$2:C$10000,SMALL(IF(ISNUMBER(MATCH($B$2:$B$10000,$E$6:$E$22,0)),ROW($C$2:$C$10000)-ROW($C$2)+1),ROWS(M$20:M593))))</f>
        <v>19</v>
      </c>
      <c r="K593" s="7">
        <f t="array" ref="K593">IF(ROWS(K$20:K593)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593))))</f>
        <v>41973</v>
      </c>
      <c r="L593" s="4" t="str">
        <f t="array" ref="L593">IF(ROWS(L$20:L593)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593))))</f>
        <v>Mickey  Bolduc</v>
      </c>
      <c r="M593" s="4">
        <f t="array" ref="M593">IF(ROWS(M$20:M593)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593))))</f>
        <v>19</v>
      </c>
    </row>
    <row r="594" spans="1:13" x14ac:dyDescent="0.25">
      <c r="A594" s="3">
        <v>41291</v>
      </c>
      <c r="B594" s="2" t="s">
        <v>40</v>
      </c>
      <c r="C594" s="2">
        <v>36</v>
      </c>
      <c r="G594" s="7">
        <f t="array" ref="G594">IF(ROWS(K$20:K594)&gt;$F$6,"",INDEX(A$2:A$10000,SMALL(IF(ISNUMBER(MATCH($B$2:$B$10000,$E$6:$E$22,0)),ROW($C$2:$C$10000)-ROW($C$2)+1),ROWS(K$20:K594))))</f>
        <v>41623</v>
      </c>
      <c r="H594" s="4" t="str">
        <f t="array" ref="H594">IF(ROWS(L$20:L594)&gt;$F$6,"",INDEX(B$2:B$10000,SMALL(IF(ISNUMBER(MATCH($B$2:$B$10000,$E$6:$E$22,0)),ROW($C$2:$C$10000)-ROW($C$2)+1),ROWS(L$20:L594))))</f>
        <v>Galen  Barth</v>
      </c>
      <c r="I594" s="4">
        <f t="array" ref="I594">IF(ROWS(M$20:M594)&gt;$F$6,"",INDEX(C$2:C$10000,SMALL(IF(ISNUMBER(MATCH($B$2:$B$10000,$E$6:$E$22,0)),ROW($C$2:$C$10000)-ROW($C$2)+1),ROWS(M$20:M594))))</f>
        <v>16</v>
      </c>
      <c r="K594" s="7">
        <f t="array" ref="K594">IF(ROWS(K$20:K594)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594))))</f>
        <v>41623</v>
      </c>
      <c r="L594" s="4" t="str">
        <f t="array" ref="L594">IF(ROWS(L$20:L594)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594))))</f>
        <v>Galen  Barth</v>
      </c>
      <c r="M594" s="4">
        <f t="array" ref="M594">IF(ROWS(M$20:M594)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594))))</f>
        <v>16</v>
      </c>
    </row>
    <row r="595" spans="1:13" x14ac:dyDescent="0.25">
      <c r="A595" s="3">
        <v>41732</v>
      </c>
      <c r="B595" s="2" t="s">
        <v>50</v>
      </c>
      <c r="C595" s="2">
        <v>33</v>
      </c>
      <c r="G595" s="7">
        <f t="array" ref="G595">IF(ROWS(K$20:K595)&gt;$F$6,"",INDEX(A$2:A$10000,SMALL(IF(ISNUMBER(MATCH($B$2:$B$10000,$E$6:$E$22,0)),ROW($C$2:$C$10000)-ROW($C$2)+1),ROWS(K$20:K595))))</f>
        <v>41724</v>
      </c>
      <c r="H595" s="4" t="str">
        <f t="array" ref="H595">IF(ROWS(L$20:L595)&gt;$F$6,"",INDEX(B$2:B$10000,SMALL(IF(ISNUMBER(MATCH($B$2:$B$10000,$E$6:$E$22,0)),ROW($C$2:$C$10000)-ROW($C$2)+1),ROWS(L$20:L595))))</f>
        <v>Mickey  Bolduc</v>
      </c>
      <c r="I595" s="4">
        <f t="array" ref="I595">IF(ROWS(M$20:M595)&gt;$F$6,"",INDEX(C$2:C$10000,SMALL(IF(ISNUMBER(MATCH($B$2:$B$10000,$E$6:$E$22,0)),ROW($C$2:$C$10000)-ROW($C$2)+1),ROWS(M$20:M595))))</f>
        <v>18</v>
      </c>
      <c r="K595" s="7">
        <f t="array" ref="K595">IF(ROWS(K$20:K595)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595))))</f>
        <v>41724</v>
      </c>
      <c r="L595" s="4" t="str">
        <f t="array" ref="L595">IF(ROWS(L$20:L595)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595))))</f>
        <v>Mickey  Bolduc</v>
      </c>
      <c r="M595" s="4">
        <f t="array" ref="M595">IF(ROWS(M$20:M595)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595))))</f>
        <v>18</v>
      </c>
    </row>
    <row r="596" spans="1:13" x14ac:dyDescent="0.25">
      <c r="A596" s="3">
        <v>41596</v>
      </c>
      <c r="B596" s="2" t="s">
        <v>35</v>
      </c>
      <c r="C596" s="2">
        <v>19</v>
      </c>
      <c r="G596" s="7">
        <f t="array" ref="G596">IF(ROWS(K$20:K596)&gt;$F$6,"",INDEX(A$2:A$10000,SMALL(IF(ISNUMBER(MATCH($B$2:$B$10000,$E$6:$E$22,0)),ROW($C$2:$C$10000)-ROW($C$2)+1),ROWS(K$20:K596))))</f>
        <v>41956</v>
      </c>
      <c r="H596" s="4" t="str">
        <f t="array" ref="H596">IF(ROWS(L$20:L596)&gt;$F$6,"",INDEX(B$2:B$10000,SMALL(IF(ISNUMBER(MATCH($B$2:$B$10000,$E$6:$E$22,0)),ROW($C$2:$C$10000)-ROW($C$2)+1),ROWS(L$20:L596))))</f>
        <v>Mickey  Bolduc</v>
      </c>
      <c r="I596" s="4">
        <f t="array" ref="I596">IF(ROWS(M$20:M596)&gt;$F$6,"",INDEX(C$2:C$10000,SMALL(IF(ISNUMBER(MATCH($B$2:$B$10000,$E$6:$E$22,0)),ROW($C$2:$C$10000)-ROW($C$2)+1),ROWS(M$20:M596))))</f>
        <v>0</v>
      </c>
      <c r="K596" s="7">
        <f t="array" ref="K596">IF(ROWS(K$20:K596)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596))))</f>
        <v>41956</v>
      </c>
      <c r="L596" s="4" t="str">
        <f t="array" ref="L596">IF(ROWS(L$20:L596)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596))))</f>
        <v>Mickey  Bolduc</v>
      </c>
      <c r="M596" s="4">
        <f t="array" ref="M596">IF(ROWS(M$20:M596)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596))))</f>
        <v>0</v>
      </c>
    </row>
    <row r="597" spans="1:13" x14ac:dyDescent="0.25">
      <c r="A597" s="3">
        <v>41861</v>
      </c>
      <c r="B597" s="2" t="s">
        <v>6</v>
      </c>
      <c r="C597" s="2">
        <v>38</v>
      </c>
      <c r="G597" s="7">
        <f t="array" ref="G597">IF(ROWS(K$20:K597)&gt;$F$6,"",INDEX(A$2:A$10000,SMALL(IF(ISNUMBER(MATCH($B$2:$B$10000,$E$6:$E$22,0)),ROW($C$2:$C$10000)-ROW($C$2)+1),ROWS(K$20:K597))))</f>
        <v>41967</v>
      </c>
      <c r="H597" s="4" t="str">
        <f t="array" ref="H597">IF(ROWS(L$20:L597)&gt;$F$6,"",INDEX(B$2:B$10000,SMALL(IF(ISNUMBER(MATCH($B$2:$B$10000,$E$6:$E$22,0)),ROW($C$2:$C$10000)-ROW($C$2)+1),ROWS(L$20:L597))))</f>
        <v>Jenni  Thorton</v>
      </c>
      <c r="I597" s="4">
        <f t="array" ref="I597">IF(ROWS(M$20:M597)&gt;$F$6,"",INDEX(C$2:C$10000,SMALL(IF(ISNUMBER(MATCH($B$2:$B$10000,$E$6:$E$22,0)),ROW($C$2:$C$10000)-ROW($C$2)+1),ROWS(M$20:M597))))</f>
        <v>31</v>
      </c>
      <c r="K597" s="7">
        <f t="array" ref="K597">IF(ROWS(K$20:K597)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597))))</f>
        <v>41967</v>
      </c>
      <c r="L597" s="4" t="str">
        <f t="array" ref="L597">IF(ROWS(L$20:L597)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597))))</f>
        <v>Jenni  Thorton</v>
      </c>
      <c r="M597" s="4">
        <f t="array" ref="M597">IF(ROWS(M$20:M597)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597))))</f>
        <v>31</v>
      </c>
    </row>
    <row r="598" spans="1:13" x14ac:dyDescent="0.25">
      <c r="A598" s="3">
        <v>41488</v>
      </c>
      <c r="B598" s="2" t="s">
        <v>24</v>
      </c>
      <c r="C598" s="2">
        <v>11</v>
      </c>
      <c r="G598" s="7">
        <f t="array" ref="G598">IF(ROWS(K$20:K598)&gt;$F$6,"",INDEX(A$2:A$10000,SMALL(IF(ISNUMBER(MATCH($B$2:$B$10000,$E$6:$E$22,0)),ROW($C$2:$C$10000)-ROW($C$2)+1),ROWS(K$20:K598))))</f>
        <v>41628</v>
      </c>
      <c r="H598" s="4" t="str">
        <f t="array" ref="H598">IF(ROWS(L$20:L598)&gt;$F$6,"",INDEX(B$2:B$10000,SMALL(IF(ISNUMBER(MATCH($B$2:$B$10000,$E$6:$E$22,0)),ROW($C$2:$C$10000)-ROW($C$2)+1),ROWS(L$20:L598))))</f>
        <v>Mickey  Bolduc</v>
      </c>
      <c r="I598" s="4">
        <f t="array" ref="I598">IF(ROWS(M$20:M598)&gt;$F$6,"",INDEX(C$2:C$10000,SMALL(IF(ISNUMBER(MATCH($B$2:$B$10000,$E$6:$E$22,0)),ROW($C$2:$C$10000)-ROW($C$2)+1),ROWS(M$20:M598))))</f>
        <v>18</v>
      </c>
      <c r="K598" s="7">
        <f t="array" ref="K598">IF(ROWS(K$20:K598)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598))))</f>
        <v>41628</v>
      </c>
      <c r="L598" s="4" t="str">
        <f t="array" ref="L598">IF(ROWS(L$20:L598)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598))))</f>
        <v>Mickey  Bolduc</v>
      </c>
      <c r="M598" s="4">
        <f t="array" ref="M598">IF(ROWS(M$20:M598)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598))))</f>
        <v>18</v>
      </c>
    </row>
    <row r="599" spans="1:13" x14ac:dyDescent="0.25">
      <c r="A599" s="3">
        <v>41325</v>
      </c>
      <c r="B599" s="2" t="s">
        <v>9</v>
      </c>
      <c r="C599" s="2">
        <v>31</v>
      </c>
      <c r="G599" s="7">
        <f t="array" ref="G599">IF(ROWS(K$20:K599)&gt;$F$6,"",INDEX(A$2:A$10000,SMALL(IF(ISNUMBER(MATCH($B$2:$B$10000,$E$6:$E$22,0)),ROW($C$2:$C$10000)-ROW($C$2)+1),ROWS(K$20:K599))))</f>
        <v>41726</v>
      </c>
      <c r="H599" s="4" t="str">
        <f t="array" ref="H599">IF(ROWS(L$20:L599)&gt;$F$6,"",INDEX(B$2:B$10000,SMALL(IF(ISNUMBER(MATCH($B$2:$B$10000,$E$6:$E$22,0)),ROW($C$2:$C$10000)-ROW($C$2)+1),ROWS(L$20:L599))))</f>
        <v>Iliana  Valerio</v>
      </c>
      <c r="I599" s="4">
        <f t="array" ref="I599">IF(ROWS(M$20:M599)&gt;$F$6,"",INDEX(C$2:C$10000,SMALL(IF(ISNUMBER(MATCH($B$2:$B$10000,$E$6:$E$22,0)),ROW($C$2:$C$10000)-ROW($C$2)+1),ROWS(M$20:M599))))</f>
        <v>13</v>
      </c>
      <c r="K599" s="7">
        <f t="array" ref="K599">IF(ROWS(K$20:K599)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599))))</f>
        <v>41726</v>
      </c>
      <c r="L599" s="4" t="str">
        <f t="array" ref="L599">IF(ROWS(L$20:L599)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599))))</f>
        <v>Iliana  Valerio</v>
      </c>
      <c r="M599" s="4">
        <f t="array" ref="M599">IF(ROWS(M$20:M599)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599))))</f>
        <v>13</v>
      </c>
    </row>
    <row r="600" spans="1:13" x14ac:dyDescent="0.25">
      <c r="A600" s="3">
        <v>41678</v>
      </c>
      <c r="B600" s="2" t="s">
        <v>5</v>
      </c>
      <c r="C600" s="2">
        <v>11</v>
      </c>
      <c r="G600" s="7">
        <f t="array" ref="G600">IF(ROWS(K$20:K600)&gt;$F$6,"",INDEX(A$2:A$10000,SMALL(IF(ISNUMBER(MATCH($B$2:$B$10000,$E$6:$E$22,0)),ROW($C$2:$C$10000)-ROW($C$2)+1),ROWS(K$20:K600))))</f>
        <v>41881</v>
      </c>
      <c r="H600" s="4" t="str">
        <f t="array" ref="H600">IF(ROWS(L$20:L600)&gt;$F$6,"",INDEX(B$2:B$10000,SMALL(IF(ISNUMBER(MATCH($B$2:$B$10000,$E$6:$E$22,0)),ROW($C$2:$C$10000)-ROW($C$2)+1),ROWS(L$20:L600))))</f>
        <v>Mickey  Bolduc</v>
      </c>
      <c r="I600" s="4">
        <f t="array" ref="I600">IF(ROWS(M$20:M600)&gt;$F$6,"",INDEX(C$2:C$10000,SMALL(IF(ISNUMBER(MATCH($B$2:$B$10000,$E$6:$E$22,0)),ROW($C$2:$C$10000)-ROW($C$2)+1),ROWS(M$20:M600))))</f>
        <v>26</v>
      </c>
      <c r="K600" s="7">
        <f t="array" ref="K600">IF(ROWS(K$20:K600)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600))))</f>
        <v>41881</v>
      </c>
      <c r="L600" s="4" t="str">
        <f t="array" ref="L600">IF(ROWS(L$20:L600)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600))))</f>
        <v>Mickey  Bolduc</v>
      </c>
      <c r="M600" s="4">
        <f t="array" ref="M600">IF(ROWS(M$20:M600)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600))))</f>
        <v>26</v>
      </c>
    </row>
    <row r="601" spans="1:13" x14ac:dyDescent="0.25">
      <c r="A601" s="3">
        <v>41380</v>
      </c>
      <c r="B601" s="2" t="s">
        <v>21</v>
      </c>
      <c r="C601" s="2">
        <v>31</v>
      </c>
      <c r="G601" s="7">
        <f t="array" ref="G601">IF(ROWS(K$20:K601)&gt;$F$6,"",INDEX(A$2:A$10000,SMALL(IF(ISNUMBER(MATCH($B$2:$B$10000,$E$6:$E$22,0)),ROW($C$2:$C$10000)-ROW($C$2)+1),ROWS(K$20:K601))))</f>
        <v>41838</v>
      </c>
      <c r="H601" s="4" t="str">
        <f t="array" ref="H601">IF(ROWS(L$20:L601)&gt;$F$6,"",INDEX(B$2:B$10000,SMALL(IF(ISNUMBER(MATCH($B$2:$B$10000,$E$6:$E$22,0)),ROW($C$2:$C$10000)-ROW($C$2)+1),ROWS(L$20:L601))))</f>
        <v>Kerrie  Worrell</v>
      </c>
      <c r="I601" s="4">
        <f t="array" ref="I601">IF(ROWS(M$20:M601)&gt;$F$6,"",INDEX(C$2:C$10000,SMALL(IF(ISNUMBER(MATCH($B$2:$B$10000,$E$6:$E$22,0)),ROW($C$2:$C$10000)-ROW($C$2)+1),ROWS(M$20:M601))))</f>
        <v>11</v>
      </c>
      <c r="K601" s="7">
        <f t="array" ref="K601">IF(ROWS(K$20:K601)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601))))</f>
        <v>41838</v>
      </c>
      <c r="L601" s="4" t="str">
        <f t="array" ref="L601">IF(ROWS(L$20:L601)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601))))</f>
        <v>Kerrie  Worrell</v>
      </c>
      <c r="M601" s="4">
        <f t="array" ref="M601">IF(ROWS(M$20:M601)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601))))</f>
        <v>11</v>
      </c>
    </row>
    <row r="602" spans="1:13" x14ac:dyDescent="0.25">
      <c r="A602" s="3">
        <v>41664</v>
      </c>
      <c r="B602" s="2" t="s">
        <v>41</v>
      </c>
      <c r="C602" s="2">
        <v>17</v>
      </c>
      <c r="G602" s="7">
        <f t="array" ref="G602">IF(ROWS(K$20:K602)&gt;$F$6,"",INDEX(A$2:A$10000,SMALL(IF(ISNUMBER(MATCH($B$2:$B$10000,$E$6:$E$22,0)),ROW($C$2:$C$10000)-ROW($C$2)+1),ROWS(K$20:K602))))</f>
        <v>41700</v>
      </c>
      <c r="H602" s="4" t="str">
        <f t="array" ref="H602">IF(ROWS(L$20:L602)&gt;$F$6,"",INDEX(B$2:B$10000,SMALL(IF(ISNUMBER(MATCH($B$2:$B$10000,$E$6:$E$22,0)),ROW($C$2:$C$10000)-ROW($C$2)+1),ROWS(L$20:L602))))</f>
        <v>Galen  Barth</v>
      </c>
      <c r="I602" s="4">
        <f t="array" ref="I602">IF(ROWS(M$20:M602)&gt;$F$6,"",INDEX(C$2:C$10000,SMALL(IF(ISNUMBER(MATCH($B$2:$B$10000,$E$6:$E$22,0)),ROW($C$2:$C$10000)-ROW($C$2)+1),ROWS(M$20:M602))))</f>
        <v>28</v>
      </c>
      <c r="K602" s="7">
        <f t="array" ref="K602">IF(ROWS(K$20:K602)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602))))</f>
        <v>41700</v>
      </c>
      <c r="L602" s="4" t="str">
        <f t="array" ref="L602">IF(ROWS(L$20:L602)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602))))</f>
        <v>Galen  Barth</v>
      </c>
      <c r="M602" s="4">
        <f t="array" ref="M602">IF(ROWS(M$20:M602)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602))))</f>
        <v>28</v>
      </c>
    </row>
    <row r="603" spans="1:13" x14ac:dyDescent="0.25">
      <c r="A603" s="3">
        <v>41403</v>
      </c>
      <c r="B603" s="2" t="s">
        <v>24</v>
      </c>
      <c r="C603" s="2">
        <v>14</v>
      </c>
      <c r="G603" s="7">
        <f t="array" ref="G603">IF(ROWS(K$20:K603)&gt;$F$6,"",INDEX(A$2:A$10000,SMALL(IF(ISNUMBER(MATCH($B$2:$B$10000,$E$6:$E$22,0)),ROW($C$2:$C$10000)-ROW($C$2)+1),ROWS(K$20:K603))))</f>
        <v>41747</v>
      </c>
      <c r="H603" s="4" t="str">
        <f t="array" ref="H603">IF(ROWS(L$20:L603)&gt;$F$6,"",INDEX(B$2:B$10000,SMALL(IF(ISNUMBER(MATCH($B$2:$B$10000,$E$6:$E$22,0)),ROW($C$2:$C$10000)-ROW($C$2)+1),ROWS(L$20:L603))))</f>
        <v>Rosamond  Allard</v>
      </c>
      <c r="I603" s="4">
        <f t="array" ref="I603">IF(ROWS(M$20:M603)&gt;$F$6,"",INDEX(C$2:C$10000,SMALL(IF(ISNUMBER(MATCH($B$2:$B$10000,$E$6:$E$22,0)),ROW($C$2:$C$10000)-ROW($C$2)+1),ROWS(M$20:M603))))</f>
        <v>39</v>
      </c>
      <c r="K603" s="7">
        <f t="array" ref="K603">IF(ROWS(K$20:K603)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603))))</f>
        <v>41747</v>
      </c>
      <c r="L603" s="4" t="str">
        <f t="array" ref="L603">IF(ROWS(L$20:L603)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603))))</f>
        <v>Rosamond  Allard</v>
      </c>
      <c r="M603" s="4">
        <f t="array" ref="M603">IF(ROWS(M$20:M603)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603))))</f>
        <v>39</v>
      </c>
    </row>
    <row r="604" spans="1:13" x14ac:dyDescent="0.25">
      <c r="A604" s="3">
        <v>41695</v>
      </c>
      <c r="B604" s="2" t="s">
        <v>46</v>
      </c>
      <c r="C604" s="2">
        <v>44</v>
      </c>
      <c r="G604" s="7">
        <f t="array" ref="G604">IF(ROWS(K$20:K604)&gt;$F$6,"",INDEX(A$2:A$10000,SMALL(IF(ISNUMBER(MATCH($B$2:$B$10000,$E$6:$E$22,0)),ROW($C$2:$C$10000)-ROW($C$2)+1),ROWS(K$20:K604))))</f>
        <v>41571</v>
      </c>
      <c r="H604" s="4" t="str">
        <f t="array" ref="H604">IF(ROWS(L$20:L604)&gt;$F$6,"",INDEX(B$2:B$10000,SMALL(IF(ISNUMBER(MATCH($B$2:$B$10000,$E$6:$E$22,0)),ROW($C$2:$C$10000)-ROW($C$2)+1),ROWS(L$20:L604))))</f>
        <v>Galen  Barth</v>
      </c>
      <c r="I604" s="4">
        <f t="array" ref="I604">IF(ROWS(M$20:M604)&gt;$F$6,"",INDEX(C$2:C$10000,SMALL(IF(ISNUMBER(MATCH($B$2:$B$10000,$E$6:$E$22,0)),ROW($C$2:$C$10000)-ROW($C$2)+1),ROWS(M$20:M604))))</f>
        <v>18</v>
      </c>
      <c r="K604" s="7">
        <f t="array" ref="K604">IF(ROWS(K$20:K604)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604))))</f>
        <v>41571</v>
      </c>
      <c r="L604" s="4" t="str">
        <f t="array" ref="L604">IF(ROWS(L$20:L604)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604))))</f>
        <v>Galen  Barth</v>
      </c>
      <c r="M604" s="4">
        <f t="array" ref="M604">IF(ROWS(M$20:M604)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604))))</f>
        <v>18</v>
      </c>
    </row>
    <row r="605" spans="1:13" x14ac:dyDescent="0.25">
      <c r="A605" s="3">
        <v>41569</v>
      </c>
      <c r="B605" s="2" t="s">
        <v>18</v>
      </c>
      <c r="C605" s="2">
        <v>34</v>
      </c>
      <c r="G605" s="7">
        <f t="array" ref="G605">IF(ROWS(K$20:K605)&gt;$F$6,"",INDEX(A$2:A$10000,SMALL(IF(ISNUMBER(MATCH($B$2:$B$10000,$E$6:$E$22,0)),ROW($C$2:$C$10000)-ROW($C$2)+1),ROWS(K$20:K605))))</f>
        <v>41739</v>
      </c>
      <c r="H605" s="4" t="str">
        <f t="array" ref="H605">IF(ROWS(L$20:L605)&gt;$F$6,"",INDEX(B$2:B$10000,SMALL(IF(ISNUMBER(MATCH($B$2:$B$10000,$E$6:$E$22,0)),ROW($C$2:$C$10000)-ROW($C$2)+1),ROWS(L$20:L605))))</f>
        <v>Jenni  Thorton</v>
      </c>
      <c r="I605" s="4">
        <f t="array" ref="I605">IF(ROWS(M$20:M605)&gt;$F$6,"",INDEX(C$2:C$10000,SMALL(IF(ISNUMBER(MATCH($B$2:$B$10000,$E$6:$E$22,0)),ROW($C$2:$C$10000)-ROW($C$2)+1),ROWS(M$20:M605))))</f>
        <v>24</v>
      </c>
      <c r="K605" s="7">
        <f t="array" ref="K605">IF(ROWS(K$20:K605)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605))))</f>
        <v>41739</v>
      </c>
      <c r="L605" s="4" t="str">
        <f t="array" ref="L605">IF(ROWS(L$20:L605)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605))))</f>
        <v>Jenni  Thorton</v>
      </c>
      <c r="M605" s="4">
        <f t="array" ref="M605">IF(ROWS(M$20:M605)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605))))</f>
        <v>24</v>
      </c>
    </row>
    <row r="606" spans="1:13" x14ac:dyDescent="0.25">
      <c r="A606" s="3">
        <v>41508</v>
      </c>
      <c r="B606" s="2" t="s">
        <v>48</v>
      </c>
      <c r="C606" s="2">
        <v>49</v>
      </c>
      <c r="G606" s="7">
        <f t="array" ref="G606">IF(ROWS(K$20:K606)&gt;$F$6,"",INDEX(A$2:A$10000,SMALL(IF(ISNUMBER(MATCH($B$2:$B$10000,$E$6:$E$22,0)),ROW($C$2:$C$10000)-ROW($C$2)+1),ROWS(K$20:K606))))</f>
        <v>41352</v>
      </c>
      <c r="H606" s="4" t="str">
        <f t="array" ref="H606">IF(ROWS(L$20:L606)&gt;$F$6,"",INDEX(B$2:B$10000,SMALL(IF(ISNUMBER(MATCH($B$2:$B$10000,$E$6:$E$22,0)),ROW($C$2:$C$10000)-ROW($C$2)+1),ROWS(L$20:L606))))</f>
        <v>Galen  Barth</v>
      </c>
      <c r="I606" s="4">
        <f t="array" ref="I606">IF(ROWS(M$20:M606)&gt;$F$6,"",INDEX(C$2:C$10000,SMALL(IF(ISNUMBER(MATCH($B$2:$B$10000,$E$6:$E$22,0)),ROW($C$2:$C$10000)-ROW($C$2)+1),ROWS(M$20:M606))))</f>
        <v>18</v>
      </c>
      <c r="K606" s="7">
        <f t="array" ref="K606">IF(ROWS(K$20:K606)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606))))</f>
        <v>41352</v>
      </c>
      <c r="L606" s="4" t="str">
        <f t="array" ref="L606">IF(ROWS(L$20:L606)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606))))</f>
        <v>Galen  Barth</v>
      </c>
      <c r="M606" s="4">
        <f t="array" ref="M606">IF(ROWS(M$20:M606)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606))))</f>
        <v>18</v>
      </c>
    </row>
    <row r="607" spans="1:13" x14ac:dyDescent="0.25">
      <c r="A607" s="3">
        <v>41585</v>
      </c>
      <c r="B607" s="2" t="s">
        <v>41</v>
      </c>
      <c r="C607" s="2">
        <v>18</v>
      </c>
      <c r="G607" s="7">
        <f t="array" ref="G607">IF(ROWS(K$20:K607)&gt;$F$6,"",INDEX(A$2:A$10000,SMALL(IF(ISNUMBER(MATCH($B$2:$B$10000,$E$6:$E$22,0)),ROW($C$2:$C$10000)-ROW($C$2)+1),ROWS(K$20:K607))))</f>
        <v>41935</v>
      </c>
      <c r="H607" s="4" t="str">
        <f t="array" ref="H607">IF(ROWS(L$20:L607)&gt;$F$6,"",INDEX(B$2:B$10000,SMALL(IF(ISNUMBER(MATCH($B$2:$B$10000,$E$6:$E$22,0)),ROW($C$2:$C$10000)-ROW($C$2)+1),ROWS(L$20:L607))))</f>
        <v>Galen  Barth</v>
      </c>
      <c r="I607" s="4">
        <f t="array" ref="I607">IF(ROWS(M$20:M607)&gt;$F$6,"",INDEX(C$2:C$10000,SMALL(IF(ISNUMBER(MATCH($B$2:$B$10000,$E$6:$E$22,0)),ROW($C$2:$C$10000)-ROW($C$2)+1),ROWS(M$20:M607))))</f>
        <v>45</v>
      </c>
      <c r="K607" s="7">
        <f t="array" ref="K607">IF(ROWS(K$20:K607)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607))))</f>
        <v>41935</v>
      </c>
      <c r="L607" s="4" t="str">
        <f t="array" ref="L607">IF(ROWS(L$20:L607)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607))))</f>
        <v>Galen  Barth</v>
      </c>
      <c r="M607" s="4">
        <f t="array" ref="M607">IF(ROWS(M$20:M607)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607))))</f>
        <v>45</v>
      </c>
    </row>
    <row r="608" spans="1:13" x14ac:dyDescent="0.25">
      <c r="A608" s="3">
        <v>41599</v>
      </c>
      <c r="B608" s="2" t="s">
        <v>31</v>
      </c>
      <c r="C608" s="2">
        <v>14</v>
      </c>
      <c r="G608" s="7">
        <f t="array" ref="G608">IF(ROWS(K$20:K608)&gt;$F$6,"",INDEX(A$2:A$10000,SMALL(IF(ISNUMBER(MATCH($B$2:$B$10000,$E$6:$E$22,0)),ROW($C$2:$C$10000)-ROW($C$2)+1),ROWS(K$20:K608))))</f>
        <v>41303</v>
      </c>
      <c r="H608" s="4" t="str">
        <f t="array" ref="H608">IF(ROWS(L$20:L608)&gt;$F$6,"",INDEX(B$2:B$10000,SMALL(IF(ISNUMBER(MATCH($B$2:$B$10000,$E$6:$E$22,0)),ROW($C$2:$C$10000)-ROW($C$2)+1),ROWS(L$20:L608))))</f>
        <v>Jenni  Thorton</v>
      </c>
      <c r="I608" s="4">
        <f t="array" ref="I608">IF(ROWS(M$20:M608)&gt;$F$6,"",INDEX(C$2:C$10000,SMALL(IF(ISNUMBER(MATCH($B$2:$B$10000,$E$6:$E$22,0)),ROW($C$2:$C$10000)-ROW($C$2)+1),ROWS(M$20:M608))))</f>
        <v>42</v>
      </c>
      <c r="K608" s="7">
        <f t="array" ref="K608">IF(ROWS(K$20:K608)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608))))</f>
        <v>41303</v>
      </c>
      <c r="L608" s="4" t="str">
        <f t="array" ref="L608">IF(ROWS(L$20:L608)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608))))</f>
        <v>Jenni  Thorton</v>
      </c>
      <c r="M608" s="4">
        <f t="array" ref="M608">IF(ROWS(M$20:M608)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608))))</f>
        <v>42</v>
      </c>
    </row>
    <row r="609" spans="1:13" x14ac:dyDescent="0.25">
      <c r="A609" s="3">
        <v>41638</v>
      </c>
      <c r="B609" s="2" t="s">
        <v>5</v>
      </c>
      <c r="C609" s="2">
        <v>9</v>
      </c>
      <c r="G609" s="7">
        <f t="array" ref="G609">IF(ROWS(K$20:K609)&gt;$F$6,"",INDEX(A$2:A$10000,SMALL(IF(ISNUMBER(MATCH($B$2:$B$10000,$E$6:$E$22,0)),ROW($C$2:$C$10000)-ROW($C$2)+1),ROWS(K$20:K609))))</f>
        <v>41578</v>
      </c>
      <c r="H609" s="4" t="str">
        <f t="array" ref="H609">IF(ROWS(L$20:L609)&gt;$F$6,"",INDEX(B$2:B$10000,SMALL(IF(ISNUMBER(MATCH($B$2:$B$10000,$E$6:$E$22,0)),ROW($C$2:$C$10000)-ROW($C$2)+1),ROWS(L$20:L609))))</f>
        <v>Rosamond  Allard</v>
      </c>
      <c r="I609" s="4">
        <f t="array" ref="I609">IF(ROWS(M$20:M609)&gt;$F$6,"",INDEX(C$2:C$10000,SMALL(IF(ISNUMBER(MATCH($B$2:$B$10000,$E$6:$E$22,0)),ROW($C$2:$C$10000)-ROW($C$2)+1),ROWS(M$20:M609))))</f>
        <v>11</v>
      </c>
      <c r="K609" s="7">
        <f t="array" ref="K609">IF(ROWS(K$20:K609)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609))))</f>
        <v>41578</v>
      </c>
      <c r="L609" s="4" t="str">
        <f t="array" ref="L609">IF(ROWS(L$20:L609)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609))))</f>
        <v>Rosamond  Allard</v>
      </c>
      <c r="M609" s="4">
        <f t="array" ref="M609">IF(ROWS(M$20:M609)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609))))</f>
        <v>11</v>
      </c>
    </row>
    <row r="610" spans="1:13" x14ac:dyDescent="0.25">
      <c r="A610" s="3">
        <v>42004</v>
      </c>
      <c r="B610" s="2" t="s">
        <v>14</v>
      </c>
      <c r="C610" s="2">
        <v>47</v>
      </c>
      <c r="G610" s="7">
        <f t="array" ref="G610">IF(ROWS(K$20:K610)&gt;$F$6,"",INDEX(A$2:A$10000,SMALL(IF(ISNUMBER(MATCH($B$2:$B$10000,$E$6:$E$22,0)),ROW($C$2:$C$10000)-ROW($C$2)+1),ROWS(K$20:K610))))</f>
        <v>41992</v>
      </c>
      <c r="H610" s="4" t="str">
        <f t="array" ref="H610">IF(ROWS(L$20:L610)&gt;$F$6,"",INDEX(B$2:B$10000,SMALL(IF(ISNUMBER(MATCH($B$2:$B$10000,$E$6:$E$22,0)),ROW($C$2:$C$10000)-ROW($C$2)+1),ROWS(L$20:L610))))</f>
        <v>Galen  Barth</v>
      </c>
      <c r="I610" s="4">
        <f t="array" ref="I610">IF(ROWS(M$20:M610)&gt;$F$6,"",INDEX(C$2:C$10000,SMALL(IF(ISNUMBER(MATCH($B$2:$B$10000,$E$6:$E$22,0)),ROW($C$2:$C$10000)-ROW($C$2)+1),ROWS(M$20:M610))))</f>
        <v>5</v>
      </c>
      <c r="K610" s="7">
        <f t="array" ref="K610">IF(ROWS(K$20:K610)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610))))</f>
        <v>41992</v>
      </c>
      <c r="L610" s="4" t="str">
        <f t="array" ref="L610">IF(ROWS(L$20:L610)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610))))</f>
        <v>Galen  Barth</v>
      </c>
      <c r="M610" s="4">
        <f t="array" ref="M610">IF(ROWS(M$20:M610)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610))))</f>
        <v>5</v>
      </c>
    </row>
    <row r="611" spans="1:13" x14ac:dyDescent="0.25">
      <c r="A611" s="3">
        <v>41524</v>
      </c>
      <c r="B611" s="2" t="s">
        <v>15</v>
      </c>
      <c r="C611" s="2">
        <v>28</v>
      </c>
      <c r="G611" s="7">
        <f t="array" ref="G611">IF(ROWS(K$20:K611)&gt;$F$6,"",INDEX(A$2:A$10000,SMALL(IF(ISNUMBER(MATCH($B$2:$B$10000,$E$6:$E$22,0)),ROW($C$2:$C$10000)-ROW($C$2)+1),ROWS(K$20:K611))))</f>
        <v>41672</v>
      </c>
      <c r="H611" s="4" t="str">
        <f t="array" ref="H611">IF(ROWS(L$20:L611)&gt;$F$6,"",INDEX(B$2:B$10000,SMALL(IF(ISNUMBER(MATCH($B$2:$B$10000,$E$6:$E$22,0)),ROW($C$2:$C$10000)-ROW($C$2)+1),ROWS(L$20:L611))))</f>
        <v>Kerrie  Worrell</v>
      </c>
      <c r="I611" s="4">
        <f t="array" ref="I611">IF(ROWS(M$20:M611)&gt;$F$6,"",INDEX(C$2:C$10000,SMALL(IF(ISNUMBER(MATCH($B$2:$B$10000,$E$6:$E$22,0)),ROW($C$2:$C$10000)-ROW($C$2)+1),ROWS(M$20:M611))))</f>
        <v>21</v>
      </c>
      <c r="K611" s="7">
        <f t="array" ref="K611">IF(ROWS(K$20:K611)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611))))</f>
        <v>41672</v>
      </c>
      <c r="L611" s="4" t="str">
        <f t="array" ref="L611">IF(ROWS(L$20:L611)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611))))</f>
        <v>Kerrie  Worrell</v>
      </c>
      <c r="M611" s="4">
        <f t="array" ref="M611">IF(ROWS(M$20:M611)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611))))</f>
        <v>21</v>
      </c>
    </row>
    <row r="612" spans="1:13" x14ac:dyDescent="0.25">
      <c r="A612" s="3">
        <v>41719</v>
      </c>
      <c r="B612" s="2" t="s">
        <v>5</v>
      </c>
      <c r="C612" s="2">
        <v>51</v>
      </c>
      <c r="G612" s="7">
        <f t="array" ref="G612">IF(ROWS(K$20:K612)&gt;$F$6,"",INDEX(A$2:A$10000,SMALL(IF(ISNUMBER(MATCH($B$2:$B$10000,$E$6:$E$22,0)),ROW($C$2:$C$10000)-ROW($C$2)+1),ROWS(K$20:K612))))</f>
        <v>41736</v>
      </c>
      <c r="H612" s="4" t="str">
        <f t="array" ref="H612">IF(ROWS(L$20:L612)&gt;$F$6,"",INDEX(B$2:B$10000,SMALL(IF(ISNUMBER(MATCH($B$2:$B$10000,$E$6:$E$22,0)),ROW($C$2:$C$10000)-ROW($C$2)+1),ROWS(L$20:L612))))</f>
        <v>Iliana  Valerio</v>
      </c>
      <c r="I612" s="4">
        <f t="array" ref="I612">IF(ROWS(M$20:M612)&gt;$F$6,"",INDEX(C$2:C$10000,SMALL(IF(ISNUMBER(MATCH($B$2:$B$10000,$E$6:$E$22,0)),ROW($C$2:$C$10000)-ROW($C$2)+1),ROWS(M$20:M612))))</f>
        <v>5</v>
      </c>
      <c r="K612" s="7">
        <f t="array" ref="K612">IF(ROWS(K$20:K612)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612))))</f>
        <v>41736</v>
      </c>
      <c r="L612" s="4" t="str">
        <f t="array" ref="L612">IF(ROWS(L$20:L612)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612))))</f>
        <v>Iliana  Valerio</v>
      </c>
      <c r="M612" s="4">
        <f t="array" ref="M612">IF(ROWS(M$20:M612)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612))))</f>
        <v>5</v>
      </c>
    </row>
    <row r="613" spans="1:13" x14ac:dyDescent="0.25">
      <c r="A613" s="3">
        <v>41346</v>
      </c>
      <c r="B613" s="2" t="s">
        <v>3</v>
      </c>
      <c r="C613" s="2">
        <v>43</v>
      </c>
      <c r="G613" s="7">
        <f t="array" ref="G613">IF(ROWS(K$20:K613)&gt;$F$6,"",INDEX(A$2:A$10000,SMALL(IF(ISNUMBER(MATCH($B$2:$B$10000,$E$6:$E$22,0)),ROW($C$2:$C$10000)-ROW($C$2)+1),ROWS(K$20:K613))))</f>
        <v>42001</v>
      </c>
      <c r="H613" s="4" t="str">
        <f t="array" ref="H613">IF(ROWS(L$20:L613)&gt;$F$6,"",INDEX(B$2:B$10000,SMALL(IF(ISNUMBER(MATCH($B$2:$B$10000,$E$6:$E$22,0)),ROW($C$2:$C$10000)-ROW($C$2)+1),ROWS(L$20:L613))))</f>
        <v>Kerrie  Worrell</v>
      </c>
      <c r="I613" s="4">
        <f t="array" ref="I613">IF(ROWS(M$20:M613)&gt;$F$6,"",INDEX(C$2:C$10000,SMALL(IF(ISNUMBER(MATCH($B$2:$B$10000,$E$6:$E$22,0)),ROW($C$2:$C$10000)-ROW($C$2)+1),ROWS(M$20:M613))))</f>
        <v>34</v>
      </c>
      <c r="K613" s="7">
        <f t="array" ref="K613">IF(ROWS(K$20:K613)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613))))</f>
        <v>42001</v>
      </c>
      <c r="L613" s="4" t="str">
        <f t="array" ref="L613">IF(ROWS(L$20:L613)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613))))</f>
        <v>Kerrie  Worrell</v>
      </c>
      <c r="M613" s="4">
        <f t="array" ref="M613">IF(ROWS(M$20:M613)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613))))</f>
        <v>34</v>
      </c>
    </row>
    <row r="614" spans="1:13" x14ac:dyDescent="0.25">
      <c r="A614" s="3">
        <v>41592</v>
      </c>
      <c r="B614" s="2" t="s">
        <v>25</v>
      </c>
      <c r="C614" s="2">
        <v>5</v>
      </c>
      <c r="G614" s="7">
        <f t="array" ref="G614">IF(ROWS(K$20:K614)&gt;$F$6,"",INDEX(A$2:A$10000,SMALL(IF(ISNUMBER(MATCH($B$2:$B$10000,$E$6:$E$22,0)),ROW($C$2:$C$10000)-ROW($C$2)+1),ROWS(K$20:K614))))</f>
        <v>41547</v>
      </c>
      <c r="H614" s="4" t="str">
        <f t="array" ref="H614">IF(ROWS(L$20:L614)&gt;$F$6,"",INDEX(B$2:B$10000,SMALL(IF(ISNUMBER(MATCH($B$2:$B$10000,$E$6:$E$22,0)),ROW($C$2:$C$10000)-ROW($C$2)+1),ROWS(L$20:L614))))</f>
        <v>Rosamond  Allard</v>
      </c>
      <c r="I614" s="4">
        <f t="array" ref="I614">IF(ROWS(M$20:M614)&gt;$F$6,"",INDEX(C$2:C$10000,SMALL(IF(ISNUMBER(MATCH($B$2:$B$10000,$E$6:$E$22,0)),ROW($C$2:$C$10000)-ROW($C$2)+1),ROWS(M$20:M614))))</f>
        <v>13</v>
      </c>
      <c r="K614" s="7">
        <f t="array" ref="K614">IF(ROWS(K$20:K614)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614))))</f>
        <v>41547</v>
      </c>
      <c r="L614" s="4" t="str">
        <f t="array" ref="L614">IF(ROWS(L$20:L614)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614))))</f>
        <v>Rosamond  Allard</v>
      </c>
      <c r="M614" s="4">
        <f t="array" ref="M614">IF(ROWS(M$20:M614)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614))))</f>
        <v>13</v>
      </c>
    </row>
    <row r="615" spans="1:13" x14ac:dyDescent="0.25">
      <c r="A615" s="3">
        <v>41606</v>
      </c>
      <c r="B615" s="2" t="s">
        <v>42</v>
      </c>
      <c r="C615" s="2">
        <v>5</v>
      </c>
      <c r="G615" s="7">
        <f t="array" ref="G615">IF(ROWS(K$20:K615)&gt;$F$6,"",INDEX(A$2:A$10000,SMALL(IF(ISNUMBER(MATCH($B$2:$B$10000,$E$6:$E$22,0)),ROW($C$2:$C$10000)-ROW($C$2)+1),ROWS(K$20:K615))))</f>
        <v>41978</v>
      </c>
      <c r="H615" s="4" t="str">
        <f t="array" ref="H615">IF(ROWS(L$20:L615)&gt;$F$6,"",INDEX(B$2:B$10000,SMALL(IF(ISNUMBER(MATCH($B$2:$B$10000,$E$6:$E$22,0)),ROW($C$2:$C$10000)-ROW($C$2)+1),ROWS(L$20:L615))))</f>
        <v>Kerrie  Worrell</v>
      </c>
      <c r="I615" s="4">
        <f t="array" ref="I615">IF(ROWS(M$20:M615)&gt;$F$6,"",INDEX(C$2:C$10000,SMALL(IF(ISNUMBER(MATCH($B$2:$B$10000,$E$6:$E$22,0)),ROW($C$2:$C$10000)-ROW($C$2)+1),ROWS(M$20:M615))))</f>
        <v>28</v>
      </c>
      <c r="K615" s="7">
        <f t="array" ref="K615">IF(ROWS(K$20:K615)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615))))</f>
        <v>41978</v>
      </c>
      <c r="L615" s="4" t="str">
        <f t="array" ref="L615">IF(ROWS(L$20:L615)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615))))</f>
        <v>Kerrie  Worrell</v>
      </c>
      <c r="M615" s="4">
        <f t="array" ref="M615">IF(ROWS(M$20:M615)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615))))</f>
        <v>28</v>
      </c>
    </row>
    <row r="616" spans="1:13" x14ac:dyDescent="0.25">
      <c r="A616" s="3">
        <v>41413</v>
      </c>
      <c r="B616" s="2" t="s">
        <v>9</v>
      </c>
      <c r="C616" s="2">
        <v>35</v>
      </c>
      <c r="G616" s="7">
        <f t="array" ref="G616">IF(ROWS(K$20:K616)&gt;$F$6,"",INDEX(A$2:A$10000,SMALL(IF(ISNUMBER(MATCH($B$2:$B$10000,$E$6:$E$22,0)),ROW($C$2:$C$10000)-ROW($C$2)+1),ROWS(K$20:K616))))</f>
        <v>41354</v>
      </c>
      <c r="H616" s="4" t="str">
        <f t="array" ref="H616">IF(ROWS(L$20:L616)&gt;$F$6,"",INDEX(B$2:B$10000,SMALL(IF(ISNUMBER(MATCH($B$2:$B$10000,$E$6:$E$22,0)),ROW($C$2:$C$10000)-ROW($C$2)+1),ROWS(L$20:L616))))</f>
        <v>Kerrie  Worrell</v>
      </c>
      <c r="I616" s="4">
        <f t="array" ref="I616">IF(ROWS(M$20:M616)&gt;$F$6,"",INDEX(C$2:C$10000,SMALL(IF(ISNUMBER(MATCH($B$2:$B$10000,$E$6:$E$22,0)),ROW($C$2:$C$10000)-ROW($C$2)+1),ROWS(M$20:M616))))</f>
        <v>1</v>
      </c>
      <c r="K616" s="7">
        <f t="array" ref="K616">IF(ROWS(K$20:K616)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616))))</f>
        <v>41354</v>
      </c>
      <c r="L616" s="4" t="str">
        <f t="array" ref="L616">IF(ROWS(L$20:L616)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616))))</f>
        <v>Kerrie  Worrell</v>
      </c>
      <c r="M616" s="4">
        <f t="array" ref="M616">IF(ROWS(M$20:M616)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616))))</f>
        <v>1</v>
      </c>
    </row>
    <row r="617" spans="1:13" x14ac:dyDescent="0.25">
      <c r="A617" s="3">
        <v>41724</v>
      </c>
      <c r="B617" s="2" t="s">
        <v>41</v>
      </c>
      <c r="C617" s="2">
        <v>34</v>
      </c>
      <c r="G617" s="7">
        <f t="array" ref="G617">IF(ROWS(K$20:K617)&gt;$F$6,"",INDEX(A$2:A$10000,SMALL(IF(ISNUMBER(MATCH($B$2:$B$10000,$E$6:$E$22,0)),ROW($C$2:$C$10000)-ROW($C$2)+1),ROWS(K$20:K617))))</f>
        <v>41612</v>
      </c>
      <c r="H617" s="4" t="str">
        <f t="array" ref="H617">IF(ROWS(L$20:L617)&gt;$F$6,"",INDEX(B$2:B$10000,SMALL(IF(ISNUMBER(MATCH($B$2:$B$10000,$E$6:$E$22,0)),ROW($C$2:$C$10000)-ROW($C$2)+1),ROWS(L$20:L617))))</f>
        <v>Jenni  Thorton</v>
      </c>
      <c r="I617" s="4">
        <f t="array" ref="I617">IF(ROWS(M$20:M617)&gt;$F$6,"",INDEX(C$2:C$10000,SMALL(IF(ISNUMBER(MATCH($B$2:$B$10000,$E$6:$E$22,0)),ROW($C$2:$C$10000)-ROW($C$2)+1),ROWS(M$20:M617))))</f>
        <v>16</v>
      </c>
      <c r="K617" s="7">
        <f t="array" ref="K617">IF(ROWS(K$20:K617)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617))))</f>
        <v>41612</v>
      </c>
      <c r="L617" s="4" t="str">
        <f t="array" ref="L617">IF(ROWS(L$20:L617)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617))))</f>
        <v>Jenni  Thorton</v>
      </c>
      <c r="M617" s="4">
        <f t="array" ref="M617">IF(ROWS(M$20:M617)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617))))</f>
        <v>16</v>
      </c>
    </row>
    <row r="618" spans="1:13" x14ac:dyDescent="0.25">
      <c r="A618" s="3">
        <v>41304</v>
      </c>
      <c r="B618" s="2" t="s">
        <v>8</v>
      </c>
      <c r="C618" s="2">
        <v>9</v>
      </c>
      <c r="G618" s="7">
        <f t="array" ref="G618">IF(ROWS(K$20:K618)&gt;$F$6,"",INDEX(A$2:A$10000,SMALL(IF(ISNUMBER(MATCH($B$2:$B$10000,$E$6:$E$22,0)),ROW($C$2:$C$10000)-ROW($C$2)+1),ROWS(K$20:K618))))</f>
        <v>41589</v>
      </c>
      <c r="H618" s="4" t="str">
        <f t="array" ref="H618">IF(ROWS(L$20:L618)&gt;$F$6,"",INDEX(B$2:B$10000,SMALL(IF(ISNUMBER(MATCH($B$2:$B$10000,$E$6:$E$22,0)),ROW($C$2:$C$10000)-ROW($C$2)+1),ROWS(L$20:L618))))</f>
        <v>Galen  Barth</v>
      </c>
      <c r="I618" s="4">
        <f t="array" ref="I618">IF(ROWS(M$20:M618)&gt;$F$6,"",INDEX(C$2:C$10000,SMALL(IF(ISNUMBER(MATCH($B$2:$B$10000,$E$6:$E$22,0)),ROW($C$2:$C$10000)-ROW($C$2)+1),ROWS(M$20:M618))))</f>
        <v>16</v>
      </c>
      <c r="K618" s="7">
        <f t="array" ref="K618">IF(ROWS(K$20:K618)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618))))</f>
        <v>41589</v>
      </c>
      <c r="L618" s="4" t="str">
        <f t="array" ref="L618">IF(ROWS(L$20:L618)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618))))</f>
        <v>Galen  Barth</v>
      </c>
      <c r="M618" s="4">
        <f t="array" ref="M618">IF(ROWS(M$20:M618)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618))))</f>
        <v>16</v>
      </c>
    </row>
    <row r="619" spans="1:13" x14ac:dyDescent="0.25">
      <c r="A619" s="3">
        <v>41851</v>
      </c>
      <c r="B619" s="2" t="s">
        <v>17</v>
      </c>
      <c r="C619" s="2">
        <v>13</v>
      </c>
      <c r="G619" s="7">
        <f t="array" ref="G619">IF(ROWS(K$20:K619)&gt;$F$6,"",INDEX(A$2:A$10000,SMALL(IF(ISNUMBER(MATCH($B$2:$B$10000,$E$6:$E$22,0)),ROW($C$2:$C$10000)-ROW($C$2)+1),ROWS(K$20:K619))))</f>
        <v>41580</v>
      </c>
      <c r="H619" s="4" t="str">
        <f t="array" ref="H619">IF(ROWS(L$20:L619)&gt;$F$6,"",INDEX(B$2:B$10000,SMALL(IF(ISNUMBER(MATCH($B$2:$B$10000,$E$6:$E$22,0)),ROW($C$2:$C$10000)-ROW($C$2)+1),ROWS(L$20:L619))))</f>
        <v>Mickey  Bolduc</v>
      </c>
      <c r="I619" s="4">
        <f t="array" ref="I619">IF(ROWS(M$20:M619)&gt;$F$6,"",INDEX(C$2:C$10000,SMALL(IF(ISNUMBER(MATCH($B$2:$B$10000,$E$6:$E$22,0)),ROW($C$2:$C$10000)-ROW($C$2)+1),ROWS(M$20:M619))))</f>
        <v>42</v>
      </c>
      <c r="K619" s="7">
        <f t="array" ref="K619">IF(ROWS(K$20:K619)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619))))</f>
        <v>41580</v>
      </c>
      <c r="L619" s="4" t="str">
        <f t="array" ref="L619">IF(ROWS(L$20:L619)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619))))</f>
        <v>Mickey  Bolduc</v>
      </c>
      <c r="M619" s="4">
        <f t="array" ref="M619">IF(ROWS(M$20:M619)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619))))</f>
        <v>42</v>
      </c>
    </row>
    <row r="620" spans="1:13" x14ac:dyDescent="0.25">
      <c r="A620" s="3">
        <v>41365</v>
      </c>
      <c r="B620" s="2" t="s">
        <v>13</v>
      </c>
      <c r="C620" s="2">
        <v>10</v>
      </c>
      <c r="G620" s="7">
        <f t="array" ref="G620">IF(ROWS(K$20:K620)&gt;$F$6,"",INDEX(A$2:A$10000,SMALL(IF(ISNUMBER(MATCH($B$2:$B$10000,$E$6:$E$22,0)),ROW($C$2:$C$10000)-ROW($C$2)+1),ROWS(K$20:K620))))</f>
        <v>41449</v>
      </c>
      <c r="H620" s="4" t="str">
        <f t="array" ref="H620">IF(ROWS(L$20:L620)&gt;$F$6,"",INDEX(B$2:B$10000,SMALL(IF(ISNUMBER(MATCH($B$2:$B$10000,$E$6:$E$22,0)),ROW($C$2:$C$10000)-ROW($C$2)+1),ROWS(L$20:L620))))</f>
        <v>Rosamond  Allard</v>
      </c>
      <c r="I620" s="4">
        <f t="array" ref="I620">IF(ROWS(M$20:M620)&gt;$F$6,"",INDEX(C$2:C$10000,SMALL(IF(ISNUMBER(MATCH($B$2:$B$10000,$E$6:$E$22,0)),ROW($C$2:$C$10000)-ROW($C$2)+1),ROWS(M$20:M620))))</f>
        <v>11</v>
      </c>
      <c r="K620" s="7">
        <f t="array" ref="K620">IF(ROWS(K$20:K620)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620))))</f>
        <v>41449</v>
      </c>
      <c r="L620" s="4" t="str">
        <f t="array" ref="L620">IF(ROWS(L$20:L620)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620))))</f>
        <v>Rosamond  Allard</v>
      </c>
      <c r="M620" s="4">
        <f t="array" ref="M620">IF(ROWS(M$20:M620)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620))))</f>
        <v>11</v>
      </c>
    </row>
    <row r="621" spans="1:13" x14ac:dyDescent="0.25">
      <c r="A621" s="3">
        <v>41909</v>
      </c>
      <c r="B621" s="2" t="s">
        <v>9</v>
      </c>
      <c r="C621" s="2">
        <v>29</v>
      </c>
      <c r="G621" s="7">
        <f t="array" ref="G621">IF(ROWS(K$20:K621)&gt;$F$6,"",INDEX(A$2:A$10000,SMALL(IF(ISNUMBER(MATCH($B$2:$B$10000,$E$6:$E$22,0)),ROW($C$2:$C$10000)-ROW($C$2)+1),ROWS(K$20:K621))))</f>
        <v>41769</v>
      </c>
      <c r="H621" s="4" t="str">
        <f t="array" ref="H621">IF(ROWS(L$20:L621)&gt;$F$6,"",INDEX(B$2:B$10000,SMALL(IF(ISNUMBER(MATCH($B$2:$B$10000,$E$6:$E$22,0)),ROW($C$2:$C$10000)-ROW($C$2)+1),ROWS(L$20:L621))))</f>
        <v>Jenni  Thorton</v>
      </c>
      <c r="I621" s="4">
        <f t="array" ref="I621">IF(ROWS(M$20:M621)&gt;$F$6,"",INDEX(C$2:C$10000,SMALL(IF(ISNUMBER(MATCH($B$2:$B$10000,$E$6:$E$22,0)),ROW($C$2:$C$10000)-ROW($C$2)+1),ROWS(M$20:M621))))</f>
        <v>24</v>
      </c>
      <c r="K621" s="7">
        <f t="array" ref="K621">IF(ROWS(K$20:K621)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621))))</f>
        <v>41769</v>
      </c>
      <c r="L621" s="4" t="str">
        <f t="array" ref="L621">IF(ROWS(L$20:L621)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621))))</f>
        <v>Jenni  Thorton</v>
      </c>
      <c r="M621" s="4">
        <f t="array" ref="M621">IF(ROWS(M$20:M621)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621))))</f>
        <v>24</v>
      </c>
    </row>
    <row r="622" spans="1:13" x14ac:dyDescent="0.25">
      <c r="A622" s="3">
        <v>41314</v>
      </c>
      <c r="B622" s="2" t="s">
        <v>20</v>
      </c>
      <c r="C622" s="2">
        <v>27</v>
      </c>
      <c r="G622" s="7">
        <f t="array" ref="G622">IF(ROWS(K$20:K622)&gt;$F$6,"",INDEX(A$2:A$10000,SMALL(IF(ISNUMBER(MATCH($B$2:$B$10000,$E$6:$E$22,0)),ROW($C$2:$C$10000)-ROW($C$2)+1),ROWS(K$20:K622))))</f>
        <v>41306</v>
      </c>
      <c r="H622" s="4" t="str">
        <f t="array" ref="H622">IF(ROWS(L$20:L622)&gt;$F$6,"",INDEX(B$2:B$10000,SMALL(IF(ISNUMBER(MATCH($B$2:$B$10000,$E$6:$E$22,0)),ROW($C$2:$C$10000)-ROW($C$2)+1),ROWS(L$20:L622))))</f>
        <v>Iliana  Valerio</v>
      </c>
      <c r="I622" s="4">
        <f t="array" ref="I622">IF(ROWS(M$20:M622)&gt;$F$6,"",INDEX(C$2:C$10000,SMALL(IF(ISNUMBER(MATCH($B$2:$B$10000,$E$6:$E$22,0)),ROW($C$2:$C$10000)-ROW($C$2)+1),ROWS(M$20:M622))))</f>
        <v>61</v>
      </c>
      <c r="K622" s="7">
        <f t="array" ref="K622">IF(ROWS(K$20:K622)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622))))</f>
        <v>41306</v>
      </c>
      <c r="L622" s="4" t="str">
        <f t="array" ref="L622">IF(ROWS(L$20:L622)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622))))</f>
        <v>Iliana  Valerio</v>
      </c>
      <c r="M622" s="4">
        <f t="array" ref="M622">IF(ROWS(M$20:M622)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622))))</f>
        <v>61</v>
      </c>
    </row>
    <row r="623" spans="1:13" x14ac:dyDescent="0.25">
      <c r="A623" s="3">
        <v>41601</v>
      </c>
      <c r="B623" s="2" t="s">
        <v>37</v>
      </c>
      <c r="C623" s="2">
        <v>44</v>
      </c>
      <c r="G623" s="7">
        <f t="array" ref="G623">IF(ROWS(K$20:K623)&gt;$F$6,"",INDEX(A$2:A$10000,SMALL(IF(ISNUMBER(MATCH($B$2:$B$10000,$E$6:$E$22,0)),ROW($C$2:$C$10000)-ROW($C$2)+1),ROWS(K$20:K623))))</f>
        <v>41991</v>
      </c>
      <c r="H623" s="4" t="str">
        <f t="array" ref="H623">IF(ROWS(L$20:L623)&gt;$F$6,"",INDEX(B$2:B$10000,SMALL(IF(ISNUMBER(MATCH($B$2:$B$10000,$E$6:$E$22,0)),ROW($C$2:$C$10000)-ROW($C$2)+1),ROWS(L$20:L623))))</f>
        <v>Jenni  Thorton</v>
      </c>
      <c r="I623" s="4">
        <f t="array" ref="I623">IF(ROWS(M$20:M623)&gt;$F$6,"",INDEX(C$2:C$10000,SMALL(IF(ISNUMBER(MATCH($B$2:$B$10000,$E$6:$E$22,0)),ROW($C$2:$C$10000)-ROW($C$2)+1),ROWS(M$20:M623))))</f>
        <v>18</v>
      </c>
      <c r="K623" s="7">
        <f t="array" ref="K623">IF(ROWS(K$20:K623)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623))))</f>
        <v>41991</v>
      </c>
      <c r="L623" s="4" t="str">
        <f t="array" ref="L623">IF(ROWS(L$20:L623)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623))))</f>
        <v>Jenni  Thorton</v>
      </c>
      <c r="M623" s="4">
        <f t="array" ref="M623">IF(ROWS(M$20:M623)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623))))</f>
        <v>18</v>
      </c>
    </row>
    <row r="624" spans="1:13" x14ac:dyDescent="0.25">
      <c r="A624" s="3">
        <v>41465</v>
      </c>
      <c r="B624" s="2" t="s">
        <v>28</v>
      </c>
      <c r="C624" s="2">
        <v>34</v>
      </c>
      <c r="G624" s="7">
        <f t="array" ref="G624">IF(ROWS(K$20:K624)&gt;$F$6,"",INDEX(A$2:A$10000,SMALL(IF(ISNUMBER(MATCH($B$2:$B$10000,$E$6:$E$22,0)),ROW($C$2:$C$10000)-ROW($C$2)+1),ROWS(K$20:K624))))</f>
        <v>41890</v>
      </c>
      <c r="H624" s="4" t="str">
        <f t="array" ref="H624">IF(ROWS(L$20:L624)&gt;$F$6,"",INDEX(B$2:B$10000,SMALL(IF(ISNUMBER(MATCH($B$2:$B$10000,$E$6:$E$22,0)),ROW($C$2:$C$10000)-ROW($C$2)+1),ROWS(L$20:L624))))</f>
        <v>Iliana  Valerio</v>
      </c>
      <c r="I624" s="4">
        <f t="array" ref="I624">IF(ROWS(M$20:M624)&gt;$F$6,"",INDEX(C$2:C$10000,SMALL(IF(ISNUMBER(MATCH($B$2:$B$10000,$E$6:$E$22,0)),ROW($C$2:$C$10000)-ROW($C$2)+1),ROWS(M$20:M624))))</f>
        <v>18</v>
      </c>
      <c r="K624" s="7">
        <f t="array" ref="K624">IF(ROWS(K$20:K624)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624))))</f>
        <v>41890</v>
      </c>
      <c r="L624" s="4" t="str">
        <f t="array" ref="L624">IF(ROWS(L$20:L624)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624))))</f>
        <v>Iliana  Valerio</v>
      </c>
      <c r="M624" s="4">
        <f t="array" ref="M624">IF(ROWS(M$20:M624)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624))))</f>
        <v>18</v>
      </c>
    </row>
    <row r="625" spans="1:13" x14ac:dyDescent="0.25">
      <c r="A625" s="3">
        <v>41684</v>
      </c>
      <c r="B625" s="2" t="s">
        <v>50</v>
      </c>
      <c r="C625" s="2">
        <v>17</v>
      </c>
      <c r="G625" s="7">
        <f t="array" ref="G625">IF(ROWS(K$20:K625)&gt;$F$6,"",INDEX(A$2:A$10000,SMALL(IF(ISNUMBER(MATCH($B$2:$B$10000,$E$6:$E$22,0)),ROW($C$2:$C$10000)-ROW($C$2)+1),ROWS(K$20:K625))))</f>
        <v>41524</v>
      </c>
      <c r="H625" s="4" t="str">
        <f t="array" ref="H625">IF(ROWS(L$20:L625)&gt;$F$6,"",INDEX(B$2:B$10000,SMALL(IF(ISNUMBER(MATCH($B$2:$B$10000,$E$6:$E$22,0)),ROW($C$2:$C$10000)-ROW($C$2)+1),ROWS(L$20:L625))))</f>
        <v>Jenni  Thorton</v>
      </c>
      <c r="I625" s="4">
        <f t="array" ref="I625">IF(ROWS(M$20:M625)&gt;$F$6,"",INDEX(C$2:C$10000,SMALL(IF(ISNUMBER(MATCH($B$2:$B$10000,$E$6:$E$22,0)),ROW($C$2:$C$10000)-ROW($C$2)+1),ROWS(M$20:M625))))</f>
        <v>56</v>
      </c>
      <c r="K625" s="7">
        <f t="array" ref="K625">IF(ROWS(K$20:K625)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625))))</f>
        <v>41524</v>
      </c>
      <c r="L625" s="4" t="str">
        <f t="array" ref="L625">IF(ROWS(L$20:L625)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625))))</f>
        <v>Jenni  Thorton</v>
      </c>
      <c r="M625" s="4">
        <f t="array" ref="M625">IF(ROWS(M$20:M625)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625))))</f>
        <v>56</v>
      </c>
    </row>
    <row r="626" spans="1:13" x14ac:dyDescent="0.25">
      <c r="A626" s="3">
        <v>41664</v>
      </c>
      <c r="B626" s="2" t="s">
        <v>3</v>
      </c>
      <c r="C626" s="2">
        <v>17</v>
      </c>
      <c r="G626" s="7">
        <f t="array" ref="G626">IF(ROWS(K$20:K626)&gt;$F$6,"",INDEX(A$2:A$10000,SMALL(IF(ISNUMBER(MATCH($B$2:$B$10000,$E$6:$E$22,0)),ROW($C$2:$C$10000)-ROW($C$2)+1),ROWS(K$20:K626))))</f>
        <v>41551</v>
      </c>
      <c r="H626" s="4" t="str">
        <f t="array" ref="H626">IF(ROWS(L$20:L626)&gt;$F$6,"",INDEX(B$2:B$10000,SMALL(IF(ISNUMBER(MATCH($B$2:$B$10000,$E$6:$E$22,0)),ROW($C$2:$C$10000)-ROW($C$2)+1),ROWS(L$20:L626))))</f>
        <v>Rosamond  Allard</v>
      </c>
      <c r="I626" s="4">
        <f t="array" ref="I626">IF(ROWS(M$20:M626)&gt;$F$6,"",INDEX(C$2:C$10000,SMALL(IF(ISNUMBER(MATCH($B$2:$B$10000,$E$6:$E$22,0)),ROW($C$2:$C$10000)-ROW($C$2)+1),ROWS(M$20:M626))))</f>
        <v>50</v>
      </c>
      <c r="K626" s="7">
        <f t="array" ref="K626">IF(ROWS(K$20:K626)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626))))</f>
        <v>41551</v>
      </c>
      <c r="L626" s="4" t="str">
        <f t="array" ref="L626">IF(ROWS(L$20:L626)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626))))</f>
        <v>Rosamond  Allard</v>
      </c>
      <c r="M626" s="4">
        <f t="array" ref="M626">IF(ROWS(M$20:M626)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626))))</f>
        <v>50</v>
      </c>
    </row>
    <row r="627" spans="1:13" x14ac:dyDescent="0.25">
      <c r="A627" s="3">
        <v>41706</v>
      </c>
      <c r="B627" s="2" t="s">
        <v>19</v>
      </c>
      <c r="C627" s="2">
        <v>6</v>
      </c>
      <c r="G627" s="7">
        <f t="array" ref="G627">IF(ROWS(K$20:K627)&gt;$F$6,"",INDEX(A$2:A$10000,SMALL(IF(ISNUMBER(MATCH($B$2:$B$10000,$E$6:$E$22,0)),ROW($C$2:$C$10000)-ROW($C$2)+1),ROWS(K$20:K627))))</f>
        <v>41489</v>
      </c>
      <c r="H627" s="4" t="str">
        <f t="array" ref="H627">IF(ROWS(L$20:L627)&gt;$F$6,"",INDEX(B$2:B$10000,SMALL(IF(ISNUMBER(MATCH($B$2:$B$10000,$E$6:$E$22,0)),ROW($C$2:$C$10000)-ROW($C$2)+1),ROWS(L$20:L627))))</f>
        <v>Jenni  Thorton</v>
      </c>
      <c r="I627" s="4">
        <f t="array" ref="I627">IF(ROWS(M$20:M627)&gt;$F$6,"",INDEX(C$2:C$10000,SMALL(IF(ISNUMBER(MATCH($B$2:$B$10000,$E$6:$E$22,0)),ROW($C$2:$C$10000)-ROW($C$2)+1),ROWS(M$20:M627))))</f>
        <v>11</v>
      </c>
      <c r="K627" s="7">
        <f t="array" ref="K627">IF(ROWS(K$20:K627)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627))))</f>
        <v>41489</v>
      </c>
      <c r="L627" s="4" t="str">
        <f t="array" ref="L627">IF(ROWS(L$20:L627)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627))))</f>
        <v>Jenni  Thorton</v>
      </c>
      <c r="M627" s="4">
        <f t="array" ref="M627">IF(ROWS(M$20:M627)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627))))</f>
        <v>11</v>
      </c>
    </row>
    <row r="628" spans="1:13" x14ac:dyDescent="0.25">
      <c r="A628" s="3">
        <v>41871</v>
      </c>
      <c r="B628" s="2" t="s">
        <v>19</v>
      </c>
      <c r="C628" s="2">
        <v>22</v>
      </c>
      <c r="G628" s="7">
        <f t="array" ref="G628">IF(ROWS(K$20:K628)&gt;$F$6,"",INDEX(A$2:A$10000,SMALL(IF(ISNUMBER(MATCH($B$2:$B$10000,$E$6:$E$22,0)),ROW($C$2:$C$10000)-ROW($C$2)+1),ROWS(K$20:K628))))</f>
        <v>41391</v>
      </c>
      <c r="H628" s="4" t="str">
        <f t="array" ref="H628">IF(ROWS(L$20:L628)&gt;$F$6,"",INDEX(B$2:B$10000,SMALL(IF(ISNUMBER(MATCH($B$2:$B$10000,$E$6:$E$22,0)),ROW($C$2:$C$10000)-ROW($C$2)+1),ROWS(L$20:L628))))</f>
        <v>Jenni  Thorton</v>
      </c>
      <c r="I628" s="4">
        <f t="array" ref="I628">IF(ROWS(M$20:M628)&gt;$F$6,"",INDEX(C$2:C$10000,SMALL(IF(ISNUMBER(MATCH($B$2:$B$10000,$E$6:$E$22,0)),ROW($C$2:$C$10000)-ROW($C$2)+1),ROWS(M$20:M628))))</f>
        <v>18</v>
      </c>
      <c r="K628" s="7">
        <f t="array" ref="K628">IF(ROWS(K$20:K628)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628))))</f>
        <v>41391</v>
      </c>
      <c r="L628" s="4" t="str">
        <f t="array" ref="L628">IF(ROWS(L$20:L628)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628))))</f>
        <v>Jenni  Thorton</v>
      </c>
      <c r="M628" s="4">
        <f t="array" ref="M628">IF(ROWS(M$20:M628)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628))))</f>
        <v>18</v>
      </c>
    </row>
    <row r="629" spans="1:13" x14ac:dyDescent="0.25">
      <c r="A629" s="3">
        <v>41927</v>
      </c>
      <c r="B629" s="2" t="s">
        <v>16</v>
      </c>
      <c r="C629" s="2">
        <v>23</v>
      </c>
      <c r="G629" s="7">
        <f t="array" ref="G629">IF(ROWS(K$20:K629)&gt;$F$6,"",INDEX(A$2:A$10000,SMALL(IF(ISNUMBER(MATCH($B$2:$B$10000,$E$6:$E$22,0)),ROW($C$2:$C$10000)-ROW($C$2)+1),ROWS(K$20:K629))))</f>
        <v>41577</v>
      </c>
      <c r="H629" s="4" t="str">
        <f t="array" ref="H629">IF(ROWS(L$20:L629)&gt;$F$6,"",INDEX(B$2:B$10000,SMALL(IF(ISNUMBER(MATCH($B$2:$B$10000,$E$6:$E$22,0)),ROW($C$2:$C$10000)-ROW($C$2)+1),ROWS(L$20:L629))))</f>
        <v>Galen  Barth</v>
      </c>
      <c r="I629" s="4">
        <f t="array" ref="I629">IF(ROWS(M$20:M629)&gt;$F$6,"",INDEX(C$2:C$10000,SMALL(IF(ISNUMBER(MATCH($B$2:$B$10000,$E$6:$E$22,0)),ROW($C$2:$C$10000)-ROW($C$2)+1),ROWS(M$20:M629))))</f>
        <v>46</v>
      </c>
      <c r="K629" s="7">
        <f t="array" ref="K629">IF(ROWS(K$20:K629)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629))))</f>
        <v>41577</v>
      </c>
      <c r="L629" s="4" t="str">
        <f t="array" ref="L629">IF(ROWS(L$20:L629)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629))))</f>
        <v>Galen  Barth</v>
      </c>
      <c r="M629" s="4">
        <f t="array" ref="M629">IF(ROWS(M$20:M629)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629))))</f>
        <v>46</v>
      </c>
    </row>
    <row r="630" spans="1:13" x14ac:dyDescent="0.25">
      <c r="A630" s="3">
        <v>41974</v>
      </c>
      <c r="B630" s="2" t="s">
        <v>39</v>
      </c>
      <c r="C630" s="2">
        <v>22</v>
      </c>
      <c r="G630" s="7">
        <f t="array" ref="G630">IF(ROWS(K$20:K630)&gt;$F$6,"",INDEX(A$2:A$10000,SMALL(IF(ISNUMBER(MATCH($B$2:$B$10000,$E$6:$E$22,0)),ROW($C$2:$C$10000)-ROW($C$2)+1),ROWS(K$20:K630))))</f>
        <v>41664</v>
      </c>
      <c r="H630" s="4" t="str">
        <f t="array" ref="H630">IF(ROWS(L$20:L630)&gt;$F$6,"",INDEX(B$2:B$10000,SMALL(IF(ISNUMBER(MATCH($B$2:$B$10000,$E$6:$E$22,0)),ROW($C$2:$C$10000)-ROW($C$2)+1),ROWS(L$20:L630))))</f>
        <v>Mickey  Bolduc</v>
      </c>
      <c r="I630" s="4">
        <f t="array" ref="I630">IF(ROWS(M$20:M630)&gt;$F$6,"",INDEX(C$2:C$10000,SMALL(IF(ISNUMBER(MATCH($B$2:$B$10000,$E$6:$E$22,0)),ROW($C$2:$C$10000)-ROW($C$2)+1),ROWS(M$20:M630))))</f>
        <v>15</v>
      </c>
      <c r="K630" s="7">
        <f t="array" ref="K630">IF(ROWS(K$20:K630)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630))))</f>
        <v>41664</v>
      </c>
      <c r="L630" s="4" t="str">
        <f t="array" ref="L630">IF(ROWS(L$20:L630)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630))))</f>
        <v>Mickey  Bolduc</v>
      </c>
      <c r="M630" s="4">
        <f t="array" ref="M630">IF(ROWS(M$20:M630)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630))))</f>
        <v>15</v>
      </c>
    </row>
    <row r="631" spans="1:13" x14ac:dyDescent="0.25">
      <c r="A631" s="3">
        <v>41665</v>
      </c>
      <c r="B631" s="2" t="s">
        <v>3</v>
      </c>
      <c r="C631" s="2">
        <v>22</v>
      </c>
      <c r="G631" s="7">
        <f t="array" ref="G631">IF(ROWS(K$20:K631)&gt;$F$6,"",INDEX(A$2:A$10000,SMALL(IF(ISNUMBER(MATCH($B$2:$B$10000,$E$6:$E$22,0)),ROW($C$2:$C$10000)-ROW($C$2)+1),ROWS(K$20:K631))))</f>
        <v>41330</v>
      </c>
      <c r="H631" s="4" t="str">
        <f t="array" ref="H631">IF(ROWS(L$20:L631)&gt;$F$6,"",INDEX(B$2:B$10000,SMALL(IF(ISNUMBER(MATCH($B$2:$B$10000,$E$6:$E$22,0)),ROW($C$2:$C$10000)-ROW($C$2)+1),ROWS(L$20:L631))))</f>
        <v>Mickey  Bolduc</v>
      </c>
      <c r="I631" s="4">
        <f t="array" ref="I631">IF(ROWS(M$20:M631)&gt;$F$6,"",INDEX(C$2:C$10000,SMALL(IF(ISNUMBER(MATCH($B$2:$B$10000,$E$6:$E$22,0)),ROW($C$2:$C$10000)-ROW($C$2)+1),ROWS(M$20:M631))))</f>
        <v>3</v>
      </c>
      <c r="K631" s="7">
        <f t="array" ref="K631">IF(ROWS(K$20:K631)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631))))</f>
        <v>41330</v>
      </c>
      <c r="L631" s="4" t="str">
        <f t="array" ref="L631">IF(ROWS(L$20:L631)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631))))</f>
        <v>Mickey  Bolduc</v>
      </c>
      <c r="M631" s="4">
        <f t="array" ref="M631">IF(ROWS(M$20:M631)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631))))</f>
        <v>3</v>
      </c>
    </row>
    <row r="632" spans="1:13" x14ac:dyDescent="0.25">
      <c r="A632" s="3">
        <v>41514</v>
      </c>
      <c r="B632" s="2" t="s">
        <v>12</v>
      </c>
      <c r="C632" s="2">
        <v>15</v>
      </c>
      <c r="G632" s="7">
        <f t="array" ref="G632">IF(ROWS(K$20:K632)&gt;$F$6,"",INDEX(A$2:A$10000,SMALL(IF(ISNUMBER(MATCH($B$2:$B$10000,$E$6:$E$22,0)),ROW($C$2:$C$10000)-ROW($C$2)+1),ROWS(K$20:K632))))</f>
        <v>41722</v>
      </c>
      <c r="H632" s="4" t="str">
        <f t="array" ref="H632">IF(ROWS(L$20:L632)&gt;$F$6,"",INDEX(B$2:B$10000,SMALL(IF(ISNUMBER(MATCH($B$2:$B$10000,$E$6:$E$22,0)),ROW($C$2:$C$10000)-ROW($C$2)+1),ROWS(L$20:L632))))</f>
        <v>Jenni  Thorton</v>
      </c>
      <c r="I632" s="4">
        <f t="array" ref="I632">IF(ROWS(M$20:M632)&gt;$F$6,"",INDEX(C$2:C$10000,SMALL(IF(ISNUMBER(MATCH($B$2:$B$10000,$E$6:$E$22,0)),ROW($C$2:$C$10000)-ROW($C$2)+1),ROWS(M$20:M632))))</f>
        <v>50</v>
      </c>
      <c r="K632" s="7">
        <f t="array" ref="K632">IF(ROWS(K$20:K632)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632))))</f>
        <v>41722</v>
      </c>
      <c r="L632" s="4" t="str">
        <f t="array" ref="L632">IF(ROWS(L$20:L632)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632))))</f>
        <v>Jenni  Thorton</v>
      </c>
      <c r="M632" s="4">
        <f t="array" ref="M632">IF(ROWS(M$20:M632)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632))))</f>
        <v>50</v>
      </c>
    </row>
    <row r="633" spans="1:13" x14ac:dyDescent="0.25">
      <c r="A633" s="3">
        <v>41676</v>
      </c>
      <c r="B633" s="2" t="s">
        <v>40</v>
      </c>
      <c r="C633" s="2">
        <v>22</v>
      </c>
      <c r="G633" s="7">
        <f t="array" ref="G633">IF(ROWS(K$20:K633)&gt;$F$6,"",INDEX(A$2:A$10000,SMALL(IF(ISNUMBER(MATCH($B$2:$B$10000,$E$6:$E$22,0)),ROW($C$2:$C$10000)-ROW($C$2)+1),ROWS(K$20:K633))))</f>
        <v>41968</v>
      </c>
      <c r="H633" s="4" t="str">
        <f t="array" ref="H633">IF(ROWS(L$20:L633)&gt;$F$6,"",INDEX(B$2:B$10000,SMALL(IF(ISNUMBER(MATCH($B$2:$B$10000,$E$6:$E$22,0)),ROW($C$2:$C$10000)-ROW($C$2)+1),ROWS(L$20:L633))))</f>
        <v>Rosamond  Allard</v>
      </c>
      <c r="I633" s="4">
        <f t="array" ref="I633">IF(ROWS(M$20:M633)&gt;$F$6,"",INDEX(C$2:C$10000,SMALL(IF(ISNUMBER(MATCH($B$2:$B$10000,$E$6:$E$22,0)),ROW($C$2:$C$10000)-ROW($C$2)+1),ROWS(M$20:M633))))</f>
        <v>22</v>
      </c>
      <c r="K633" s="7">
        <f t="array" ref="K633">IF(ROWS(K$20:K633)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633))))</f>
        <v>41968</v>
      </c>
      <c r="L633" s="4" t="str">
        <f t="array" ref="L633">IF(ROWS(L$20:L633)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633))))</f>
        <v>Rosamond  Allard</v>
      </c>
      <c r="M633" s="4">
        <f t="array" ref="M633">IF(ROWS(M$20:M633)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633))))</f>
        <v>22</v>
      </c>
    </row>
    <row r="634" spans="1:13" x14ac:dyDescent="0.25">
      <c r="A634" s="3">
        <v>41484</v>
      </c>
      <c r="B634" s="2" t="s">
        <v>19</v>
      </c>
      <c r="C634" s="2">
        <v>9</v>
      </c>
      <c r="G634" s="7">
        <f t="array" ref="G634">IF(ROWS(K$20:K634)&gt;$F$6,"",INDEX(A$2:A$10000,SMALL(IF(ISNUMBER(MATCH($B$2:$B$10000,$E$6:$E$22,0)),ROW($C$2:$C$10000)-ROW($C$2)+1),ROWS(K$20:K634))))</f>
        <v>41853</v>
      </c>
      <c r="H634" s="4" t="str">
        <f t="array" ref="H634">IF(ROWS(L$20:L634)&gt;$F$6,"",INDEX(B$2:B$10000,SMALL(IF(ISNUMBER(MATCH($B$2:$B$10000,$E$6:$E$22,0)),ROW($C$2:$C$10000)-ROW($C$2)+1),ROWS(L$20:L634))))</f>
        <v>Rosamond  Allard</v>
      </c>
      <c r="I634" s="4">
        <f t="array" ref="I634">IF(ROWS(M$20:M634)&gt;$F$6,"",INDEX(C$2:C$10000,SMALL(IF(ISNUMBER(MATCH($B$2:$B$10000,$E$6:$E$22,0)),ROW($C$2:$C$10000)-ROW($C$2)+1),ROWS(M$20:M634))))</f>
        <v>12</v>
      </c>
      <c r="K634" s="7">
        <f t="array" ref="K634">IF(ROWS(K$20:K634)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634))))</f>
        <v>41853</v>
      </c>
      <c r="L634" s="4" t="str">
        <f t="array" ref="L634">IF(ROWS(L$20:L634)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634))))</f>
        <v>Rosamond  Allard</v>
      </c>
      <c r="M634" s="4">
        <f t="array" ref="M634">IF(ROWS(M$20:M634)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634))))</f>
        <v>12</v>
      </c>
    </row>
    <row r="635" spans="1:13" x14ac:dyDescent="0.25">
      <c r="A635" s="3">
        <v>41810</v>
      </c>
      <c r="B635" s="2" t="s">
        <v>7</v>
      </c>
      <c r="C635" s="2">
        <v>30</v>
      </c>
      <c r="G635" s="7">
        <f t="array" ref="G635">IF(ROWS(K$20:K635)&gt;$F$6,"",INDEX(A$2:A$10000,SMALL(IF(ISNUMBER(MATCH($B$2:$B$10000,$E$6:$E$22,0)),ROW($C$2:$C$10000)-ROW($C$2)+1),ROWS(K$20:K635))))</f>
        <v>41729</v>
      </c>
      <c r="H635" s="4" t="str">
        <f t="array" ref="H635">IF(ROWS(L$20:L635)&gt;$F$6,"",INDEX(B$2:B$10000,SMALL(IF(ISNUMBER(MATCH($B$2:$B$10000,$E$6:$E$22,0)),ROW($C$2:$C$10000)-ROW($C$2)+1),ROWS(L$20:L635))))</f>
        <v>Kerrie  Worrell</v>
      </c>
      <c r="I635" s="4">
        <f t="array" ref="I635">IF(ROWS(M$20:M635)&gt;$F$6,"",INDEX(C$2:C$10000,SMALL(IF(ISNUMBER(MATCH($B$2:$B$10000,$E$6:$E$22,0)),ROW($C$2:$C$10000)-ROW($C$2)+1),ROWS(M$20:M635))))</f>
        <v>22</v>
      </c>
      <c r="K635" s="7">
        <f t="array" ref="K635">IF(ROWS(K$20:K635)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635))))</f>
        <v>41729</v>
      </c>
      <c r="L635" s="4" t="str">
        <f t="array" ref="L635">IF(ROWS(L$20:L635)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635))))</f>
        <v>Kerrie  Worrell</v>
      </c>
      <c r="M635" s="4">
        <f t="array" ref="M635">IF(ROWS(M$20:M635)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635))))</f>
        <v>22</v>
      </c>
    </row>
    <row r="636" spans="1:13" x14ac:dyDescent="0.25">
      <c r="A636" s="3">
        <v>41760</v>
      </c>
      <c r="B636" s="2" t="s">
        <v>5</v>
      </c>
      <c r="C636" s="2">
        <v>7</v>
      </c>
      <c r="G636" s="7">
        <f t="array" ref="G636">IF(ROWS(K$20:K636)&gt;$F$6,"",INDEX(A$2:A$10000,SMALL(IF(ISNUMBER(MATCH($B$2:$B$10000,$E$6:$E$22,0)),ROW($C$2:$C$10000)-ROW($C$2)+1),ROWS(K$20:K636))))</f>
        <v>41432</v>
      </c>
      <c r="H636" s="4" t="str">
        <f t="array" ref="H636">IF(ROWS(L$20:L636)&gt;$F$6,"",INDEX(B$2:B$10000,SMALL(IF(ISNUMBER(MATCH($B$2:$B$10000,$E$6:$E$22,0)),ROW($C$2:$C$10000)-ROW($C$2)+1),ROWS(L$20:L636))))</f>
        <v>Rosamond  Allard</v>
      </c>
      <c r="I636" s="4">
        <f t="array" ref="I636">IF(ROWS(M$20:M636)&gt;$F$6,"",INDEX(C$2:C$10000,SMALL(IF(ISNUMBER(MATCH($B$2:$B$10000,$E$6:$E$22,0)),ROW($C$2:$C$10000)-ROW($C$2)+1),ROWS(M$20:M636))))</f>
        <v>24</v>
      </c>
      <c r="K636" s="7">
        <f t="array" ref="K636">IF(ROWS(K$20:K636)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636))))</f>
        <v>41432</v>
      </c>
      <c r="L636" s="4" t="str">
        <f t="array" ref="L636">IF(ROWS(L$20:L636)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636))))</f>
        <v>Rosamond  Allard</v>
      </c>
      <c r="M636" s="4">
        <f t="array" ref="M636">IF(ROWS(M$20:M636)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636))))</f>
        <v>24</v>
      </c>
    </row>
    <row r="637" spans="1:13" x14ac:dyDescent="0.25">
      <c r="A637" s="3">
        <v>41450</v>
      </c>
      <c r="B637" s="2" t="s">
        <v>5</v>
      </c>
      <c r="C637" s="2">
        <v>7</v>
      </c>
      <c r="G637" s="7">
        <f t="array" ref="G637">IF(ROWS(K$20:K637)&gt;$F$6,"",INDEX(A$2:A$10000,SMALL(IF(ISNUMBER(MATCH($B$2:$B$10000,$E$6:$E$22,0)),ROW($C$2:$C$10000)-ROW($C$2)+1),ROWS(K$20:K637))))</f>
        <v>41633</v>
      </c>
      <c r="H637" s="4" t="str">
        <f t="array" ref="H637">IF(ROWS(L$20:L637)&gt;$F$6,"",INDEX(B$2:B$10000,SMALL(IF(ISNUMBER(MATCH($B$2:$B$10000,$E$6:$E$22,0)),ROW($C$2:$C$10000)-ROW($C$2)+1),ROWS(L$20:L637))))</f>
        <v>Jenni  Thorton</v>
      </c>
      <c r="I637" s="4">
        <f t="array" ref="I637">IF(ROWS(M$20:M637)&gt;$F$6,"",INDEX(C$2:C$10000,SMALL(IF(ISNUMBER(MATCH($B$2:$B$10000,$E$6:$E$22,0)),ROW($C$2:$C$10000)-ROW($C$2)+1),ROWS(M$20:M637))))</f>
        <v>23</v>
      </c>
      <c r="K637" s="7">
        <f t="array" ref="K637">IF(ROWS(K$20:K637)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637))))</f>
        <v>41633</v>
      </c>
      <c r="L637" s="4" t="str">
        <f t="array" ref="L637">IF(ROWS(L$20:L637)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637))))</f>
        <v>Jenni  Thorton</v>
      </c>
      <c r="M637" s="4">
        <f t="array" ref="M637">IF(ROWS(M$20:M637)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637))))</f>
        <v>23</v>
      </c>
    </row>
    <row r="638" spans="1:13" x14ac:dyDescent="0.25">
      <c r="A638" s="3">
        <v>41581</v>
      </c>
      <c r="B638" s="2" t="s">
        <v>31</v>
      </c>
      <c r="C638" s="2">
        <v>33</v>
      </c>
      <c r="G638" s="7">
        <f t="array" ref="G638">IF(ROWS(K$20:K638)&gt;$F$6,"",INDEX(A$2:A$10000,SMALL(IF(ISNUMBER(MATCH($B$2:$B$10000,$E$6:$E$22,0)),ROW($C$2:$C$10000)-ROW($C$2)+1),ROWS(K$20:K638))))</f>
        <v>41715</v>
      </c>
      <c r="H638" s="4" t="str">
        <f t="array" ref="H638">IF(ROWS(L$20:L638)&gt;$F$6,"",INDEX(B$2:B$10000,SMALL(IF(ISNUMBER(MATCH($B$2:$B$10000,$E$6:$E$22,0)),ROW($C$2:$C$10000)-ROW($C$2)+1),ROWS(L$20:L638))))</f>
        <v>Galen  Barth</v>
      </c>
      <c r="I638" s="4">
        <f t="array" ref="I638">IF(ROWS(M$20:M638)&gt;$F$6,"",INDEX(C$2:C$10000,SMALL(IF(ISNUMBER(MATCH($B$2:$B$10000,$E$6:$E$22,0)),ROW($C$2:$C$10000)-ROW($C$2)+1),ROWS(M$20:M638))))</f>
        <v>26</v>
      </c>
      <c r="K638" s="7">
        <f t="array" ref="K638">IF(ROWS(K$20:K638)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638))))</f>
        <v>41715</v>
      </c>
      <c r="L638" s="4" t="str">
        <f t="array" ref="L638">IF(ROWS(L$20:L638)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638))))</f>
        <v>Galen  Barth</v>
      </c>
      <c r="M638" s="4">
        <f t="array" ref="M638">IF(ROWS(M$20:M638)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638))))</f>
        <v>26</v>
      </c>
    </row>
    <row r="639" spans="1:13" x14ac:dyDescent="0.25">
      <c r="A639" s="3">
        <v>41474</v>
      </c>
      <c r="B639" s="2" t="s">
        <v>11</v>
      </c>
      <c r="C639" s="2">
        <v>21</v>
      </c>
      <c r="G639" s="7">
        <f t="array" ref="G639">IF(ROWS(K$20:K639)&gt;$F$6,"",INDEX(A$2:A$10000,SMALL(IF(ISNUMBER(MATCH($B$2:$B$10000,$E$6:$E$22,0)),ROW($C$2:$C$10000)-ROW($C$2)+1),ROWS(K$20:K639))))</f>
        <v>41768</v>
      </c>
      <c r="H639" s="4" t="str">
        <f t="array" ref="H639">IF(ROWS(L$20:L639)&gt;$F$6,"",INDEX(B$2:B$10000,SMALL(IF(ISNUMBER(MATCH($B$2:$B$10000,$E$6:$E$22,0)),ROW($C$2:$C$10000)-ROW($C$2)+1),ROWS(L$20:L639))))</f>
        <v>Jenni  Thorton</v>
      </c>
      <c r="I639" s="4">
        <f t="array" ref="I639">IF(ROWS(M$20:M639)&gt;$F$6,"",INDEX(C$2:C$10000,SMALL(IF(ISNUMBER(MATCH($B$2:$B$10000,$E$6:$E$22,0)),ROW($C$2:$C$10000)-ROW($C$2)+1),ROWS(M$20:M639))))</f>
        <v>47</v>
      </c>
      <c r="K639" s="7">
        <f t="array" ref="K639">IF(ROWS(K$20:K639)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639))))</f>
        <v>41768</v>
      </c>
      <c r="L639" s="4" t="str">
        <f t="array" ref="L639">IF(ROWS(L$20:L639)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639))))</f>
        <v>Jenni  Thorton</v>
      </c>
      <c r="M639" s="4">
        <f t="array" ref="M639">IF(ROWS(M$20:M639)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639))))</f>
        <v>47</v>
      </c>
    </row>
    <row r="640" spans="1:13" x14ac:dyDescent="0.25">
      <c r="A640" s="3">
        <v>41990</v>
      </c>
      <c r="B640" s="2" t="s">
        <v>35</v>
      </c>
      <c r="C640" s="2">
        <v>4</v>
      </c>
      <c r="G640" s="7">
        <f t="array" ref="G640">IF(ROWS(K$20:K640)&gt;$F$6,"",INDEX(A$2:A$10000,SMALL(IF(ISNUMBER(MATCH($B$2:$B$10000,$E$6:$E$22,0)),ROW($C$2:$C$10000)-ROW($C$2)+1),ROWS(K$20:K640))))</f>
        <v>41953</v>
      </c>
      <c r="H640" s="4" t="str">
        <f t="array" ref="H640">IF(ROWS(L$20:L640)&gt;$F$6,"",INDEX(B$2:B$10000,SMALL(IF(ISNUMBER(MATCH($B$2:$B$10000,$E$6:$E$22,0)),ROW($C$2:$C$10000)-ROW($C$2)+1),ROWS(L$20:L640))))</f>
        <v>Rosamond  Allard</v>
      </c>
      <c r="I640" s="4">
        <f t="array" ref="I640">IF(ROWS(M$20:M640)&gt;$F$6,"",INDEX(C$2:C$10000,SMALL(IF(ISNUMBER(MATCH($B$2:$B$10000,$E$6:$E$22,0)),ROW($C$2:$C$10000)-ROW($C$2)+1),ROWS(M$20:M640))))</f>
        <v>12</v>
      </c>
      <c r="K640" s="7">
        <f t="array" ref="K640">IF(ROWS(K$20:K640)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640))))</f>
        <v>41953</v>
      </c>
      <c r="L640" s="4" t="str">
        <f t="array" ref="L640">IF(ROWS(L$20:L640)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640))))</f>
        <v>Rosamond  Allard</v>
      </c>
      <c r="M640" s="4">
        <f t="array" ref="M640">IF(ROWS(M$20:M640)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640))))</f>
        <v>12</v>
      </c>
    </row>
    <row r="641" spans="1:13" x14ac:dyDescent="0.25">
      <c r="A641" s="3">
        <v>41421</v>
      </c>
      <c r="B641" s="2" t="s">
        <v>37</v>
      </c>
      <c r="C641" s="2">
        <v>23</v>
      </c>
      <c r="G641" s="7">
        <f t="array" ref="G641">IF(ROWS(K$20:K641)&gt;$F$6,"",INDEX(A$2:A$10000,SMALL(IF(ISNUMBER(MATCH($B$2:$B$10000,$E$6:$E$22,0)),ROW($C$2:$C$10000)-ROW($C$2)+1),ROWS(K$20:K641))))</f>
        <v>41379</v>
      </c>
      <c r="H641" s="4" t="str">
        <f t="array" ref="H641">IF(ROWS(L$20:L641)&gt;$F$6,"",INDEX(B$2:B$10000,SMALL(IF(ISNUMBER(MATCH($B$2:$B$10000,$E$6:$E$22,0)),ROW($C$2:$C$10000)-ROW($C$2)+1),ROWS(L$20:L641))))</f>
        <v>Galen  Barth</v>
      </c>
      <c r="I641" s="4">
        <f t="array" ref="I641">IF(ROWS(M$20:M641)&gt;$F$6,"",INDEX(C$2:C$10000,SMALL(IF(ISNUMBER(MATCH($B$2:$B$10000,$E$6:$E$22,0)),ROW($C$2:$C$10000)-ROW($C$2)+1),ROWS(M$20:M641))))</f>
        <v>35</v>
      </c>
      <c r="K641" s="7">
        <f t="array" ref="K641">IF(ROWS(K$20:K641)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641))))</f>
        <v>41379</v>
      </c>
      <c r="L641" s="4" t="str">
        <f t="array" ref="L641">IF(ROWS(L$20:L641)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641))))</f>
        <v>Galen  Barth</v>
      </c>
      <c r="M641" s="4">
        <f t="array" ref="M641">IF(ROWS(M$20:M641)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641))))</f>
        <v>35</v>
      </c>
    </row>
    <row r="642" spans="1:13" x14ac:dyDescent="0.25">
      <c r="A642" s="3">
        <v>41993</v>
      </c>
      <c r="B642" s="2" t="s">
        <v>18</v>
      </c>
      <c r="C642" s="2">
        <v>16</v>
      </c>
      <c r="G642" s="7">
        <f t="array" ref="G642">IF(ROWS(K$20:K642)&gt;$F$6,"",INDEX(A$2:A$10000,SMALL(IF(ISNUMBER(MATCH($B$2:$B$10000,$E$6:$E$22,0)),ROW($C$2:$C$10000)-ROW($C$2)+1),ROWS(K$20:K642))))</f>
        <v>41692</v>
      </c>
      <c r="H642" s="4" t="str">
        <f t="array" ref="H642">IF(ROWS(L$20:L642)&gt;$F$6,"",INDEX(B$2:B$10000,SMALL(IF(ISNUMBER(MATCH($B$2:$B$10000,$E$6:$E$22,0)),ROW($C$2:$C$10000)-ROW($C$2)+1),ROWS(L$20:L642))))</f>
        <v>Kerrie  Worrell</v>
      </c>
      <c r="I642" s="4">
        <f t="array" ref="I642">IF(ROWS(M$20:M642)&gt;$F$6,"",INDEX(C$2:C$10000,SMALL(IF(ISNUMBER(MATCH($B$2:$B$10000,$E$6:$E$22,0)),ROW($C$2:$C$10000)-ROW($C$2)+1),ROWS(M$20:M642))))</f>
        <v>31</v>
      </c>
      <c r="K642" s="7">
        <f t="array" ref="K642">IF(ROWS(K$20:K642)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642))))</f>
        <v>41692</v>
      </c>
      <c r="L642" s="4" t="str">
        <f t="array" ref="L642">IF(ROWS(L$20:L642)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642))))</f>
        <v>Kerrie  Worrell</v>
      </c>
      <c r="M642" s="4">
        <f t="array" ref="M642">IF(ROWS(M$20:M642)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642))))</f>
        <v>31</v>
      </c>
    </row>
    <row r="643" spans="1:13" x14ac:dyDescent="0.25">
      <c r="A643" s="3">
        <v>41848</v>
      </c>
      <c r="B643" s="2" t="s">
        <v>37</v>
      </c>
      <c r="C643" s="2">
        <v>25</v>
      </c>
      <c r="G643" s="7">
        <f t="array" ref="G643">IF(ROWS(K$20:K643)&gt;$F$6,"",INDEX(A$2:A$10000,SMALL(IF(ISNUMBER(MATCH($B$2:$B$10000,$E$6:$E$22,0)),ROW($C$2:$C$10000)-ROW($C$2)+1),ROWS(K$20:K643))))</f>
        <v>41821</v>
      </c>
      <c r="H643" s="4" t="str">
        <f t="array" ref="H643">IF(ROWS(L$20:L643)&gt;$F$6,"",INDEX(B$2:B$10000,SMALL(IF(ISNUMBER(MATCH($B$2:$B$10000,$E$6:$E$22,0)),ROW($C$2:$C$10000)-ROW($C$2)+1),ROWS(L$20:L643))))</f>
        <v>Iliana  Valerio</v>
      </c>
      <c r="I643" s="4">
        <f t="array" ref="I643">IF(ROWS(M$20:M643)&gt;$F$6,"",INDEX(C$2:C$10000,SMALL(IF(ISNUMBER(MATCH($B$2:$B$10000,$E$6:$E$22,0)),ROW($C$2:$C$10000)-ROW($C$2)+1),ROWS(M$20:M643))))</f>
        <v>4</v>
      </c>
      <c r="K643" s="7">
        <f t="array" ref="K643">IF(ROWS(K$20:K643)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643))))</f>
        <v>41821</v>
      </c>
      <c r="L643" s="4" t="str">
        <f t="array" ref="L643">IF(ROWS(L$20:L643)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643))))</f>
        <v>Iliana  Valerio</v>
      </c>
      <c r="M643" s="4">
        <f t="array" ref="M643">IF(ROWS(M$20:M643)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643))))</f>
        <v>4</v>
      </c>
    </row>
    <row r="644" spans="1:13" x14ac:dyDescent="0.25">
      <c r="A644" s="3">
        <v>41800</v>
      </c>
      <c r="B644" s="2" t="s">
        <v>4</v>
      </c>
      <c r="C644" s="2">
        <v>5</v>
      </c>
      <c r="G644" s="7">
        <f t="array" ref="G644">IF(ROWS(K$20:K644)&gt;$F$6,"",INDEX(A$2:A$10000,SMALL(IF(ISNUMBER(MATCH($B$2:$B$10000,$E$6:$E$22,0)),ROW($C$2:$C$10000)-ROW($C$2)+1),ROWS(K$20:K644))))</f>
        <v>41436</v>
      </c>
      <c r="H644" s="4" t="str">
        <f t="array" ref="H644">IF(ROWS(L$20:L644)&gt;$F$6,"",INDEX(B$2:B$10000,SMALL(IF(ISNUMBER(MATCH($B$2:$B$10000,$E$6:$E$22,0)),ROW($C$2:$C$10000)-ROW($C$2)+1),ROWS(L$20:L644))))</f>
        <v>Iliana  Valerio</v>
      </c>
      <c r="I644" s="4">
        <f t="array" ref="I644">IF(ROWS(M$20:M644)&gt;$F$6,"",INDEX(C$2:C$10000,SMALL(IF(ISNUMBER(MATCH($B$2:$B$10000,$E$6:$E$22,0)),ROW($C$2:$C$10000)-ROW($C$2)+1),ROWS(M$20:M644))))</f>
        <v>24</v>
      </c>
      <c r="K644" s="7">
        <f t="array" ref="K644">IF(ROWS(K$20:K644)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644))))</f>
        <v>41436</v>
      </c>
      <c r="L644" s="4" t="str">
        <f t="array" ref="L644">IF(ROWS(L$20:L644)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644))))</f>
        <v>Iliana  Valerio</v>
      </c>
      <c r="M644" s="4">
        <f t="array" ref="M644">IF(ROWS(M$20:M644)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644))))</f>
        <v>24</v>
      </c>
    </row>
    <row r="645" spans="1:13" x14ac:dyDescent="0.25">
      <c r="A645" s="3">
        <v>41803</v>
      </c>
      <c r="B645" s="2" t="s">
        <v>46</v>
      </c>
      <c r="C645" s="2">
        <v>23</v>
      </c>
      <c r="G645" s="7">
        <f t="array" ref="G645">IF(ROWS(K$20:K645)&gt;$F$6,"",INDEX(A$2:A$10000,SMALL(IF(ISNUMBER(MATCH($B$2:$B$10000,$E$6:$E$22,0)),ROW($C$2:$C$10000)-ROW($C$2)+1),ROWS(K$20:K645))))</f>
        <v>41371</v>
      </c>
      <c r="H645" s="4" t="str">
        <f t="array" ref="H645">IF(ROWS(L$20:L645)&gt;$F$6,"",INDEX(B$2:B$10000,SMALL(IF(ISNUMBER(MATCH($B$2:$B$10000,$E$6:$E$22,0)),ROW($C$2:$C$10000)-ROW($C$2)+1),ROWS(L$20:L645))))</f>
        <v>Jenni  Thorton</v>
      </c>
      <c r="I645" s="4">
        <f t="array" ref="I645">IF(ROWS(M$20:M645)&gt;$F$6,"",INDEX(C$2:C$10000,SMALL(IF(ISNUMBER(MATCH($B$2:$B$10000,$E$6:$E$22,0)),ROW($C$2:$C$10000)-ROW($C$2)+1),ROWS(M$20:M645))))</f>
        <v>13</v>
      </c>
      <c r="K645" s="7">
        <f t="array" ref="K645">IF(ROWS(K$20:K645)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645))))</f>
        <v>41371</v>
      </c>
      <c r="L645" s="4" t="str">
        <f t="array" ref="L645">IF(ROWS(L$20:L645)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645))))</f>
        <v>Jenni  Thorton</v>
      </c>
      <c r="M645" s="4">
        <f t="array" ref="M645">IF(ROWS(M$20:M645)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645))))</f>
        <v>13</v>
      </c>
    </row>
    <row r="646" spans="1:13" x14ac:dyDescent="0.25">
      <c r="A646" s="3">
        <v>41916</v>
      </c>
      <c r="B646" s="2" t="s">
        <v>39</v>
      </c>
      <c r="C646" s="2">
        <v>30</v>
      </c>
      <c r="G646" s="7">
        <f t="array" ref="G646">IF(ROWS(K$20:K646)&gt;$F$6,"",INDEX(A$2:A$10000,SMALL(IF(ISNUMBER(MATCH($B$2:$B$10000,$E$6:$E$22,0)),ROW($C$2:$C$10000)-ROW($C$2)+1),ROWS(K$20:K646))))</f>
        <v>41661</v>
      </c>
      <c r="H646" s="4" t="str">
        <f t="array" ref="H646">IF(ROWS(L$20:L646)&gt;$F$6,"",INDEX(B$2:B$10000,SMALL(IF(ISNUMBER(MATCH($B$2:$B$10000,$E$6:$E$22,0)),ROW($C$2:$C$10000)-ROW($C$2)+1),ROWS(L$20:L646))))</f>
        <v>Galen  Barth</v>
      </c>
      <c r="I646" s="4">
        <f t="array" ref="I646">IF(ROWS(M$20:M646)&gt;$F$6,"",INDEX(C$2:C$10000,SMALL(IF(ISNUMBER(MATCH($B$2:$B$10000,$E$6:$E$22,0)),ROW($C$2:$C$10000)-ROW($C$2)+1),ROWS(M$20:M646))))</f>
        <v>31</v>
      </c>
      <c r="K646" s="7">
        <f t="array" ref="K646">IF(ROWS(K$20:K646)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646))))</f>
        <v>41661</v>
      </c>
      <c r="L646" s="4" t="str">
        <f t="array" ref="L646">IF(ROWS(L$20:L646)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646))))</f>
        <v>Galen  Barth</v>
      </c>
      <c r="M646" s="4">
        <f t="array" ref="M646">IF(ROWS(M$20:M646)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646))))</f>
        <v>31</v>
      </c>
    </row>
    <row r="647" spans="1:13" x14ac:dyDescent="0.25">
      <c r="A647" s="3">
        <v>41622</v>
      </c>
      <c r="B647" s="2" t="s">
        <v>21</v>
      </c>
      <c r="C647" s="2">
        <v>24</v>
      </c>
      <c r="G647" s="7">
        <f t="array" ref="G647">IF(ROWS(K$20:K647)&gt;$F$6,"",INDEX(A$2:A$10000,SMALL(IF(ISNUMBER(MATCH($B$2:$B$10000,$E$6:$E$22,0)),ROW($C$2:$C$10000)-ROW($C$2)+1),ROWS(K$20:K647))))</f>
        <v>41933</v>
      </c>
      <c r="H647" s="4" t="str">
        <f t="array" ref="H647">IF(ROWS(L$20:L647)&gt;$F$6,"",INDEX(B$2:B$10000,SMALL(IF(ISNUMBER(MATCH($B$2:$B$10000,$E$6:$E$22,0)),ROW($C$2:$C$10000)-ROW($C$2)+1),ROWS(L$20:L647))))</f>
        <v>Iliana  Valerio</v>
      </c>
      <c r="I647" s="4">
        <f t="array" ref="I647">IF(ROWS(M$20:M647)&gt;$F$6,"",INDEX(C$2:C$10000,SMALL(IF(ISNUMBER(MATCH($B$2:$B$10000,$E$6:$E$22,0)),ROW($C$2:$C$10000)-ROW($C$2)+1),ROWS(M$20:M647))))</f>
        <v>25</v>
      </c>
      <c r="K647" s="7">
        <f t="array" ref="K647">IF(ROWS(K$20:K647)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647))))</f>
        <v>41933</v>
      </c>
      <c r="L647" s="4" t="str">
        <f t="array" ref="L647">IF(ROWS(L$20:L647)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647))))</f>
        <v>Iliana  Valerio</v>
      </c>
      <c r="M647" s="4">
        <f t="array" ref="M647">IF(ROWS(M$20:M647)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647))))</f>
        <v>25</v>
      </c>
    </row>
    <row r="648" spans="1:13" x14ac:dyDescent="0.25">
      <c r="A648" s="3">
        <v>41875</v>
      </c>
      <c r="B648" s="2" t="s">
        <v>26</v>
      </c>
      <c r="C648" s="2">
        <v>27</v>
      </c>
      <c r="G648" s="7">
        <f t="array" ref="G648">IF(ROWS(K$20:K648)&gt;$F$6,"",INDEX(A$2:A$10000,SMALL(IF(ISNUMBER(MATCH($B$2:$B$10000,$E$6:$E$22,0)),ROW($C$2:$C$10000)-ROW($C$2)+1),ROWS(K$20:K648))))</f>
        <v>41336</v>
      </c>
      <c r="H648" s="4" t="str">
        <f t="array" ref="H648">IF(ROWS(L$20:L648)&gt;$F$6,"",INDEX(B$2:B$10000,SMALL(IF(ISNUMBER(MATCH($B$2:$B$10000,$E$6:$E$22,0)),ROW($C$2:$C$10000)-ROW($C$2)+1),ROWS(L$20:L648))))</f>
        <v>Mickey  Bolduc</v>
      </c>
      <c r="I648" s="4">
        <f t="array" ref="I648">IF(ROWS(M$20:M648)&gt;$F$6,"",INDEX(C$2:C$10000,SMALL(IF(ISNUMBER(MATCH($B$2:$B$10000,$E$6:$E$22,0)),ROW($C$2:$C$10000)-ROW($C$2)+1),ROWS(M$20:M648))))</f>
        <v>5</v>
      </c>
      <c r="K648" s="7">
        <f t="array" ref="K648">IF(ROWS(K$20:K648)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648))))</f>
        <v>41336</v>
      </c>
      <c r="L648" s="4" t="str">
        <f t="array" ref="L648">IF(ROWS(L$20:L648)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648))))</f>
        <v>Mickey  Bolduc</v>
      </c>
      <c r="M648" s="4">
        <f t="array" ref="M648">IF(ROWS(M$20:M648)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648))))</f>
        <v>5</v>
      </c>
    </row>
    <row r="649" spans="1:13" x14ac:dyDescent="0.25">
      <c r="A649" s="3">
        <v>41354</v>
      </c>
      <c r="B649" s="2" t="s">
        <v>14</v>
      </c>
      <c r="C649" s="2">
        <v>55</v>
      </c>
      <c r="G649" s="7">
        <f t="array" ref="G649">IF(ROWS(K$20:K649)&gt;$F$6,"",INDEX(A$2:A$10000,SMALL(IF(ISNUMBER(MATCH($B$2:$B$10000,$E$6:$E$22,0)),ROW($C$2:$C$10000)-ROW($C$2)+1),ROWS(K$20:K649))))</f>
        <v>41787</v>
      </c>
      <c r="H649" s="4" t="str">
        <f t="array" ref="H649">IF(ROWS(L$20:L649)&gt;$F$6,"",INDEX(B$2:B$10000,SMALL(IF(ISNUMBER(MATCH($B$2:$B$10000,$E$6:$E$22,0)),ROW($C$2:$C$10000)-ROW($C$2)+1),ROWS(L$20:L649))))</f>
        <v>Jenni  Thorton</v>
      </c>
      <c r="I649" s="4">
        <f t="array" ref="I649">IF(ROWS(M$20:M649)&gt;$F$6,"",INDEX(C$2:C$10000,SMALL(IF(ISNUMBER(MATCH($B$2:$B$10000,$E$6:$E$22,0)),ROW($C$2:$C$10000)-ROW($C$2)+1),ROWS(M$20:M649))))</f>
        <v>44</v>
      </c>
      <c r="K649" s="7">
        <f t="array" ref="K649">IF(ROWS(K$20:K649)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649))))</f>
        <v>41787</v>
      </c>
      <c r="L649" s="4" t="str">
        <f t="array" ref="L649">IF(ROWS(L$20:L649)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649))))</f>
        <v>Jenni  Thorton</v>
      </c>
      <c r="M649" s="4">
        <f t="array" ref="M649">IF(ROWS(M$20:M649)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649))))</f>
        <v>44</v>
      </c>
    </row>
    <row r="650" spans="1:13" x14ac:dyDescent="0.25">
      <c r="A650" s="3">
        <v>41604</v>
      </c>
      <c r="B650" s="2" t="s">
        <v>20</v>
      </c>
      <c r="C650" s="2">
        <v>17</v>
      </c>
      <c r="G650" s="7">
        <f t="array" ref="G650">IF(ROWS(K$20:K650)&gt;$F$6,"",INDEX(A$2:A$10000,SMALL(IF(ISNUMBER(MATCH($B$2:$B$10000,$E$6:$E$22,0)),ROW($C$2:$C$10000)-ROW($C$2)+1),ROWS(K$20:K650))))</f>
        <v>41651</v>
      </c>
      <c r="H650" s="4" t="str">
        <f t="array" ref="H650">IF(ROWS(L$20:L650)&gt;$F$6,"",INDEX(B$2:B$10000,SMALL(IF(ISNUMBER(MATCH($B$2:$B$10000,$E$6:$E$22,0)),ROW($C$2:$C$10000)-ROW($C$2)+1),ROWS(L$20:L650))))</f>
        <v>Jenni  Thorton</v>
      </c>
      <c r="I650" s="4">
        <f t="array" ref="I650">IF(ROWS(M$20:M650)&gt;$F$6,"",INDEX(C$2:C$10000,SMALL(IF(ISNUMBER(MATCH($B$2:$B$10000,$E$6:$E$22,0)),ROW($C$2:$C$10000)-ROW($C$2)+1),ROWS(M$20:M650))))</f>
        <v>7</v>
      </c>
      <c r="K650" s="7">
        <f t="array" ref="K650">IF(ROWS(K$20:K650)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650))))</f>
        <v>41651</v>
      </c>
      <c r="L650" s="4" t="str">
        <f t="array" ref="L650">IF(ROWS(L$20:L650)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650))))</f>
        <v>Jenni  Thorton</v>
      </c>
      <c r="M650" s="4">
        <f t="array" ref="M650">IF(ROWS(M$20:M650)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650))))</f>
        <v>7</v>
      </c>
    </row>
    <row r="651" spans="1:13" x14ac:dyDescent="0.25">
      <c r="A651" s="3">
        <v>41902</v>
      </c>
      <c r="B651" s="2" t="s">
        <v>33</v>
      </c>
      <c r="C651" s="2">
        <v>40</v>
      </c>
      <c r="G651" s="7">
        <f t="array" ref="G651">IF(ROWS(K$20:K651)&gt;$F$6,"",INDEX(A$2:A$10000,SMALL(IF(ISNUMBER(MATCH($B$2:$B$10000,$E$6:$E$22,0)),ROW($C$2:$C$10000)-ROW($C$2)+1),ROWS(K$20:K651))))</f>
        <v>41560</v>
      </c>
      <c r="H651" s="4" t="str">
        <f t="array" ref="H651">IF(ROWS(L$20:L651)&gt;$F$6,"",INDEX(B$2:B$10000,SMALL(IF(ISNUMBER(MATCH($B$2:$B$10000,$E$6:$E$22,0)),ROW($C$2:$C$10000)-ROW($C$2)+1),ROWS(L$20:L651))))</f>
        <v>Iliana  Valerio</v>
      </c>
      <c r="I651" s="4">
        <f t="array" ref="I651">IF(ROWS(M$20:M651)&gt;$F$6,"",INDEX(C$2:C$10000,SMALL(IF(ISNUMBER(MATCH($B$2:$B$10000,$E$6:$E$22,0)),ROW($C$2:$C$10000)-ROW($C$2)+1),ROWS(M$20:M651))))</f>
        <v>39</v>
      </c>
      <c r="K651" s="7">
        <f t="array" ref="K651">IF(ROWS(K$20:K651)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651))))</f>
        <v>41560</v>
      </c>
      <c r="L651" s="4" t="str">
        <f t="array" ref="L651">IF(ROWS(L$20:L651)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651))))</f>
        <v>Iliana  Valerio</v>
      </c>
      <c r="M651" s="4">
        <f t="array" ref="M651">IF(ROWS(M$20:M651)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651))))</f>
        <v>39</v>
      </c>
    </row>
    <row r="652" spans="1:13" x14ac:dyDescent="0.25">
      <c r="A652" s="3">
        <v>41390</v>
      </c>
      <c r="B652" s="2" t="s">
        <v>3</v>
      </c>
      <c r="C652" s="2">
        <v>43</v>
      </c>
      <c r="G652" s="7">
        <f t="array" ref="G652">IF(ROWS(K$20:K652)&gt;$F$6,"",INDEX(A$2:A$10000,SMALL(IF(ISNUMBER(MATCH($B$2:$B$10000,$E$6:$E$22,0)),ROW($C$2:$C$10000)-ROW($C$2)+1),ROWS(K$20:K652))))</f>
        <v>41418</v>
      </c>
      <c r="H652" s="4" t="str">
        <f t="array" ref="H652">IF(ROWS(L$20:L652)&gt;$F$6,"",INDEX(B$2:B$10000,SMALL(IF(ISNUMBER(MATCH($B$2:$B$10000,$E$6:$E$22,0)),ROW($C$2:$C$10000)-ROW($C$2)+1),ROWS(L$20:L652))))</f>
        <v>Jenni  Thorton</v>
      </c>
      <c r="I652" s="4">
        <f t="array" ref="I652">IF(ROWS(M$20:M652)&gt;$F$6,"",INDEX(C$2:C$10000,SMALL(IF(ISNUMBER(MATCH($B$2:$B$10000,$E$6:$E$22,0)),ROW($C$2:$C$10000)-ROW($C$2)+1),ROWS(M$20:M652))))</f>
        <v>4</v>
      </c>
      <c r="K652" s="7">
        <f t="array" ref="K652">IF(ROWS(K$20:K652)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652))))</f>
        <v>41418</v>
      </c>
      <c r="L652" s="4" t="str">
        <f t="array" ref="L652">IF(ROWS(L$20:L652)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652))))</f>
        <v>Jenni  Thorton</v>
      </c>
      <c r="M652" s="4">
        <f t="array" ref="M652">IF(ROWS(M$20:M652)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652))))</f>
        <v>4</v>
      </c>
    </row>
    <row r="653" spans="1:13" x14ac:dyDescent="0.25">
      <c r="A653" s="3">
        <v>41325</v>
      </c>
      <c r="B653" s="2" t="s">
        <v>43</v>
      </c>
      <c r="C653" s="2">
        <v>43</v>
      </c>
      <c r="G653" s="7">
        <f t="array" ref="G653">IF(ROWS(K$20:K653)&gt;$F$6,"",INDEX(A$2:A$10000,SMALL(IF(ISNUMBER(MATCH($B$2:$B$10000,$E$6:$E$22,0)),ROW($C$2:$C$10000)-ROW($C$2)+1),ROWS(K$20:K653))))</f>
        <v>41873</v>
      </c>
      <c r="H653" s="4" t="str">
        <f t="array" ref="H653">IF(ROWS(L$20:L653)&gt;$F$6,"",INDEX(B$2:B$10000,SMALL(IF(ISNUMBER(MATCH($B$2:$B$10000,$E$6:$E$22,0)),ROW($C$2:$C$10000)-ROW($C$2)+1),ROWS(L$20:L653))))</f>
        <v>Galen  Barth</v>
      </c>
      <c r="I653" s="4">
        <f t="array" ref="I653">IF(ROWS(M$20:M653)&gt;$F$6,"",INDEX(C$2:C$10000,SMALL(IF(ISNUMBER(MATCH($B$2:$B$10000,$E$6:$E$22,0)),ROW($C$2:$C$10000)-ROW($C$2)+1),ROWS(M$20:M653))))</f>
        <v>5</v>
      </c>
      <c r="K653" s="7">
        <f t="array" ref="K653">IF(ROWS(K$20:K653)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653))))</f>
        <v>41873</v>
      </c>
      <c r="L653" s="4" t="str">
        <f t="array" ref="L653">IF(ROWS(L$20:L653)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653))))</f>
        <v>Galen  Barth</v>
      </c>
      <c r="M653" s="4">
        <f t="array" ref="M653">IF(ROWS(M$20:M653)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653))))</f>
        <v>5</v>
      </c>
    </row>
    <row r="654" spans="1:13" x14ac:dyDescent="0.25">
      <c r="A654" s="3">
        <v>41872</v>
      </c>
      <c r="B654" s="2" t="s">
        <v>48</v>
      </c>
      <c r="C654" s="2">
        <v>44</v>
      </c>
      <c r="G654" s="7">
        <f t="array" ref="G654">IF(ROWS(K$20:K654)&gt;$F$6,"",INDEX(A$2:A$10000,SMALL(IF(ISNUMBER(MATCH($B$2:$B$10000,$E$6:$E$22,0)),ROW($C$2:$C$10000)-ROW($C$2)+1),ROWS(K$20:K654))))</f>
        <v>41783</v>
      </c>
      <c r="H654" s="4" t="str">
        <f t="array" ref="H654">IF(ROWS(L$20:L654)&gt;$F$6,"",INDEX(B$2:B$10000,SMALL(IF(ISNUMBER(MATCH($B$2:$B$10000,$E$6:$E$22,0)),ROW($C$2:$C$10000)-ROW($C$2)+1),ROWS(L$20:L654))))</f>
        <v>Mickey  Bolduc</v>
      </c>
      <c r="I654" s="4">
        <f t="array" ref="I654">IF(ROWS(M$20:M654)&gt;$F$6,"",INDEX(C$2:C$10000,SMALL(IF(ISNUMBER(MATCH($B$2:$B$10000,$E$6:$E$22,0)),ROW($C$2:$C$10000)-ROW($C$2)+1),ROWS(M$20:M654))))</f>
        <v>4</v>
      </c>
      <c r="K654" s="7">
        <f t="array" ref="K654">IF(ROWS(K$20:K654)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654))))</f>
        <v>41783</v>
      </c>
      <c r="L654" s="4" t="str">
        <f t="array" ref="L654">IF(ROWS(L$20:L654)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654))))</f>
        <v>Mickey  Bolduc</v>
      </c>
      <c r="M654" s="4">
        <f t="array" ref="M654">IF(ROWS(M$20:M654)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654))))</f>
        <v>4</v>
      </c>
    </row>
    <row r="655" spans="1:13" x14ac:dyDescent="0.25">
      <c r="A655" s="3">
        <v>41874</v>
      </c>
      <c r="B655" s="2" t="s">
        <v>36</v>
      </c>
      <c r="C655" s="2">
        <v>38</v>
      </c>
      <c r="G655" s="7">
        <f t="array" ref="G655">IF(ROWS(K$20:K655)&gt;$F$6,"",INDEX(A$2:A$10000,SMALL(IF(ISNUMBER(MATCH($B$2:$B$10000,$E$6:$E$22,0)),ROW($C$2:$C$10000)-ROW($C$2)+1),ROWS(K$20:K655))))</f>
        <v>41713</v>
      </c>
      <c r="H655" s="4" t="str">
        <f t="array" ref="H655">IF(ROWS(L$20:L655)&gt;$F$6,"",INDEX(B$2:B$10000,SMALL(IF(ISNUMBER(MATCH($B$2:$B$10000,$E$6:$E$22,0)),ROW($C$2:$C$10000)-ROW($C$2)+1),ROWS(L$20:L655))))</f>
        <v>Mickey  Bolduc</v>
      </c>
      <c r="I655" s="4">
        <f t="array" ref="I655">IF(ROWS(M$20:M655)&gt;$F$6,"",INDEX(C$2:C$10000,SMALL(IF(ISNUMBER(MATCH($B$2:$B$10000,$E$6:$E$22,0)),ROW($C$2:$C$10000)-ROW($C$2)+1),ROWS(M$20:M655))))</f>
        <v>15</v>
      </c>
      <c r="K655" s="7">
        <f t="array" ref="K655">IF(ROWS(K$20:K655)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655))))</f>
        <v>41713</v>
      </c>
      <c r="L655" s="4" t="str">
        <f t="array" ref="L655">IF(ROWS(L$20:L655)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655))))</f>
        <v>Mickey  Bolduc</v>
      </c>
      <c r="M655" s="4">
        <f t="array" ref="M655">IF(ROWS(M$20:M655)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655))))</f>
        <v>15</v>
      </c>
    </row>
    <row r="656" spans="1:13" x14ac:dyDescent="0.25">
      <c r="A656" s="3">
        <v>41929</v>
      </c>
      <c r="B656" s="2" t="s">
        <v>33</v>
      </c>
      <c r="C656" s="2">
        <v>1</v>
      </c>
      <c r="G656" s="7">
        <f t="array" ref="G656">IF(ROWS(K$20:K656)&gt;$F$6,"",INDEX(A$2:A$10000,SMALL(IF(ISNUMBER(MATCH($B$2:$B$10000,$E$6:$E$22,0)),ROW($C$2:$C$10000)-ROW($C$2)+1),ROWS(K$20:K656))))</f>
        <v>41447</v>
      </c>
      <c r="H656" s="4" t="str">
        <f t="array" ref="H656">IF(ROWS(L$20:L656)&gt;$F$6,"",INDEX(B$2:B$10000,SMALL(IF(ISNUMBER(MATCH($B$2:$B$10000,$E$6:$E$22,0)),ROW($C$2:$C$10000)-ROW($C$2)+1),ROWS(L$20:L656))))</f>
        <v>Mickey  Bolduc</v>
      </c>
      <c r="I656" s="4">
        <f t="array" ref="I656">IF(ROWS(M$20:M656)&gt;$F$6,"",INDEX(C$2:C$10000,SMALL(IF(ISNUMBER(MATCH($B$2:$B$10000,$E$6:$E$22,0)),ROW($C$2:$C$10000)-ROW($C$2)+1),ROWS(M$20:M656))))</f>
        <v>20</v>
      </c>
      <c r="K656" s="7">
        <f t="array" ref="K656">IF(ROWS(K$20:K656)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656))))</f>
        <v>41447</v>
      </c>
      <c r="L656" s="4" t="str">
        <f t="array" ref="L656">IF(ROWS(L$20:L656)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656))))</f>
        <v>Mickey  Bolduc</v>
      </c>
      <c r="M656" s="4">
        <f t="array" ref="M656">IF(ROWS(M$20:M656)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656))))</f>
        <v>20</v>
      </c>
    </row>
    <row r="657" spans="1:13" x14ac:dyDescent="0.25">
      <c r="A657" s="3">
        <v>41346</v>
      </c>
      <c r="B657" s="2" t="s">
        <v>11</v>
      </c>
      <c r="C657" s="2">
        <v>46</v>
      </c>
      <c r="G657" s="7">
        <f t="array" ref="G657">IF(ROWS(K$20:K657)&gt;$F$6,"",INDEX(A$2:A$10000,SMALL(IF(ISNUMBER(MATCH($B$2:$B$10000,$E$6:$E$22,0)),ROW($C$2:$C$10000)-ROW($C$2)+1),ROWS(K$20:K657))))</f>
        <v>41846</v>
      </c>
      <c r="H657" s="4" t="str">
        <f t="array" ref="H657">IF(ROWS(L$20:L657)&gt;$F$6,"",INDEX(B$2:B$10000,SMALL(IF(ISNUMBER(MATCH($B$2:$B$10000,$E$6:$E$22,0)),ROW($C$2:$C$10000)-ROW($C$2)+1),ROWS(L$20:L657))))</f>
        <v>Galen  Barth</v>
      </c>
      <c r="I657" s="4">
        <f t="array" ref="I657">IF(ROWS(M$20:M657)&gt;$F$6,"",INDEX(C$2:C$10000,SMALL(IF(ISNUMBER(MATCH($B$2:$B$10000,$E$6:$E$22,0)),ROW($C$2:$C$10000)-ROW($C$2)+1),ROWS(M$20:M657))))</f>
        <v>32</v>
      </c>
      <c r="K657" s="7">
        <f t="array" ref="K657">IF(ROWS(K$20:K657)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657))))</f>
        <v>41846</v>
      </c>
      <c r="L657" s="4" t="str">
        <f t="array" ref="L657">IF(ROWS(L$20:L657)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657))))</f>
        <v>Galen  Barth</v>
      </c>
      <c r="M657" s="4">
        <f t="array" ref="M657">IF(ROWS(M$20:M657)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657))))</f>
        <v>32</v>
      </c>
    </row>
    <row r="658" spans="1:13" x14ac:dyDescent="0.25">
      <c r="A658" s="3">
        <v>42001</v>
      </c>
      <c r="B658" s="2" t="s">
        <v>9</v>
      </c>
      <c r="C658" s="2">
        <v>4</v>
      </c>
      <c r="G658" s="7">
        <f t="array" ref="G658">IF(ROWS(K$20:K658)&gt;$F$6,"",INDEX(A$2:A$10000,SMALL(IF(ISNUMBER(MATCH($B$2:$B$10000,$E$6:$E$22,0)),ROW($C$2:$C$10000)-ROW($C$2)+1),ROWS(K$20:K658))))</f>
        <v>41632</v>
      </c>
      <c r="H658" s="4" t="str">
        <f t="array" ref="H658">IF(ROWS(L$20:L658)&gt;$F$6,"",INDEX(B$2:B$10000,SMALL(IF(ISNUMBER(MATCH($B$2:$B$10000,$E$6:$E$22,0)),ROW($C$2:$C$10000)-ROW($C$2)+1),ROWS(L$20:L658))))</f>
        <v>Jenni  Thorton</v>
      </c>
      <c r="I658" s="4">
        <f t="array" ref="I658">IF(ROWS(M$20:M658)&gt;$F$6,"",INDEX(C$2:C$10000,SMALL(IF(ISNUMBER(MATCH($B$2:$B$10000,$E$6:$E$22,0)),ROW($C$2:$C$10000)-ROW($C$2)+1),ROWS(M$20:M658))))</f>
        <v>31</v>
      </c>
      <c r="K658" s="7">
        <f t="array" ref="K658">IF(ROWS(K$20:K658)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658))))</f>
        <v>41632</v>
      </c>
      <c r="L658" s="4" t="str">
        <f t="array" ref="L658">IF(ROWS(L$20:L658)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658))))</f>
        <v>Jenni  Thorton</v>
      </c>
      <c r="M658" s="4">
        <f t="array" ref="M658">IF(ROWS(M$20:M658)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658))))</f>
        <v>31</v>
      </c>
    </row>
    <row r="659" spans="1:13" x14ac:dyDescent="0.25">
      <c r="A659" s="3">
        <v>41378</v>
      </c>
      <c r="B659" s="2" t="s">
        <v>19</v>
      </c>
      <c r="C659" s="2">
        <v>22</v>
      </c>
      <c r="G659" s="7">
        <f t="array" ref="G659">IF(ROWS(K$20:K659)&gt;$F$6,"",INDEX(A$2:A$10000,SMALL(IF(ISNUMBER(MATCH($B$2:$B$10000,$E$6:$E$22,0)),ROW($C$2:$C$10000)-ROW($C$2)+1),ROWS(K$20:K659))))</f>
        <v>41350</v>
      </c>
      <c r="H659" s="4" t="str">
        <f t="array" ref="H659">IF(ROWS(L$20:L659)&gt;$F$6,"",INDEX(B$2:B$10000,SMALL(IF(ISNUMBER(MATCH($B$2:$B$10000,$E$6:$E$22,0)),ROW($C$2:$C$10000)-ROW($C$2)+1),ROWS(L$20:L659))))</f>
        <v>Rosamond  Allard</v>
      </c>
      <c r="I659" s="4">
        <f t="array" ref="I659">IF(ROWS(M$20:M659)&gt;$F$6,"",INDEX(C$2:C$10000,SMALL(IF(ISNUMBER(MATCH($B$2:$B$10000,$E$6:$E$22,0)),ROW($C$2:$C$10000)-ROW($C$2)+1),ROWS(M$20:M659))))</f>
        <v>12</v>
      </c>
      <c r="K659" s="7">
        <f t="array" ref="K659">IF(ROWS(K$20:K659)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659))))</f>
        <v>41350</v>
      </c>
      <c r="L659" s="4" t="str">
        <f t="array" ref="L659">IF(ROWS(L$20:L659)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659))))</f>
        <v>Rosamond  Allard</v>
      </c>
      <c r="M659" s="4">
        <f t="array" ref="M659">IF(ROWS(M$20:M659)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659))))</f>
        <v>12</v>
      </c>
    </row>
    <row r="660" spans="1:13" x14ac:dyDescent="0.25">
      <c r="A660" s="3">
        <v>41833</v>
      </c>
      <c r="B660" s="2" t="s">
        <v>24</v>
      </c>
      <c r="C660" s="2">
        <v>41</v>
      </c>
      <c r="G660" s="7">
        <f t="array" ref="G660">IF(ROWS(K$20:K660)&gt;$F$6,"",INDEX(A$2:A$10000,SMALL(IF(ISNUMBER(MATCH($B$2:$B$10000,$E$6:$E$22,0)),ROW($C$2:$C$10000)-ROW($C$2)+1),ROWS(K$20:K660))))</f>
        <v>41711</v>
      </c>
      <c r="H660" s="4" t="str">
        <f t="array" ref="H660">IF(ROWS(L$20:L660)&gt;$F$6,"",INDEX(B$2:B$10000,SMALL(IF(ISNUMBER(MATCH($B$2:$B$10000,$E$6:$E$22,0)),ROW($C$2:$C$10000)-ROW($C$2)+1),ROWS(L$20:L660))))</f>
        <v>Rosamond  Allard</v>
      </c>
      <c r="I660" s="4">
        <f t="array" ref="I660">IF(ROWS(M$20:M660)&gt;$F$6,"",INDEX(C$2:C$10000,SMALL(IF(ISNUMBER(MATCH($B$2:$B$10000,$E$6:$E$22,0)),ROW($C$2:$C$10000)-ROW($C$2)+1),ROWS(M$20:M660))))</f>
        <v>38</v>
      </c>
      <c r="K660" s="7">
        <f t="array" ref="K660">IF(ROWS(K$20:K660)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660))))</f>
        <v>41711</v>
      </c>
      <c r="L660" s="4" t="str">
        <f t="array" ref="L660">IF(ROWS(L$20:L660)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660))))</f>
        <v>Rosamond  Allard</v>
      </c>
      <c r="M660" s="4">
        <f t="array" ref="M660">IF(ROWS(M$20:M660)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660))))</f>
        <v>38</v>
      </c>
    </row>
    <row r="661" spans="1:13" x14ac:dyDescent="0.25">
      <c r="A661" s="3">
        <v>41354</v>
      </c>
      <c r="B661" s="2" t="s">
        <v>39</v>
      </c>
      <c r="C661" s="2">
        <v>8</v>
      </c>
      <c r="G661" s="7">
        <f t="array" ref="G661">IF(ROWS(K$20:K661)&gt;$F$6,"",INDEX(A$2:A$10000,SMALL(IF(ISNUMBER(MATCH($B$2:$B$10000,$E$6:$E$22,0)),ROW($C$2:$C$10000)-ROW($C$2)+1),ROWS(K$20:K661))))</f>
        <v>41897</v>
      </c>
      <c r="H661" s="4" t="str">
        <f t="array" ref="H661">IF(ROWS(L$20:L661)&gt;$F$6,"",INDEX(B$2:B$10000,SMALL(IF(ISNUMBER(MATCH($B$2:$B$10000,$E$6:$E$22,0)),ROW($C$2:$C$10000)-ROW($C$2)+1),ROWS(L$20:L661))))</f>
        <v>Rosamond  Allard</v>
      </c>
      <c r="I661" s="4">
        <f t="array" ref="I661">IF(ROWS(M$20:M661)&gt;$F$6,"",INDEX(C$2:C$10000,SMALL(IF(ISNUMBER(MATCH($B$2:$B$10000,$E$6:$E$22,0)),ROW($C$2:$C$10000)-ROW($C$2)+1),ROWS(M$20:M661))))</f>
        <v>26</v>
      </c>
      <c r="K661" s="7">
        <f t="array" ref="K661">IF(ROWS(K$20:K661)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661))))</f>
        <v>41897</v>
      </c>
      <c r="L661" s="4" t="str">
        <f t="array" ref="L661">IF(ROWS(L$20:L661)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661))))</f>
        <v>Rosamond  Allard</v>
      </c>
      <c r="M661" s="4">
        <f t="array" ref="M661">IF(ROWS(M$20:M661)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661))))</f>
        <v>26</v>
      </c>
    </row>
    <row r="662" spans="1:13" x14ac:dyDescent="0.25">
      <c r="A662" s="3">
        <v>41530</v>
      </c>
      <c r="B662" s="2" t="s">
        <v>14</v>
      </c>
      <c r="C662" s="2">
        <v>15</v>
      </c>
      <c r="G662" s="7">
        <f t="array" ref="G662">IF(ROWS(K$20:K662)&gt;$F$6,"",INDEX(A$2:A$10000,SMALL(IF(ISNUMBER(MATCH($B$2:$B$10000,$E$6:$E$22,0)),ROW($C$2:$C$10000)-ROW($C$2)+1),ROWS(K$20:K662))))</f>
        <v>41428</v>
      </c>
      <c r="H662" s="4" t="str">
        <f t="array" ref="H662">IF(ROWS(L$20:L662)&gt;$F$6,"",INDEX(B$2:B$10000,SMALL(IF(ISNUMBER(MATCH($B$2:$B$10000,$E$6:$E$22,0)),ROW($C$2:$C$10000)-ROW($C$2)+1),ROWS(L$20:L662))))</f>
        <v>Jenni  Thorton</v>
      </c>
      <c r="I662" s="4">
        <f t="array" ref="I662">IF(ROWS(M$20:M662)&gt;$F$6,"",INDEX(C$2:C$10000,SMALL(IF(ISNUMBER(MATCH($B$2:$B$10000,$E$6:$E$22,0)),ROW($C$2:$C$10000)-ROW($C$2)+1),ROWS(M$20:M662))))</f>
        <v>6</v>
      </c>
      <c r="K662" s="7">
        <f t="array" ref="K662">IF(ROWS(K$20:K662)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662))))</f>
        <v>41428</v>
      </c>
      <c r="L662" s="4" t="str">
        <f t="array" ref="L662">IF(ROWS(L$20:L662)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662))))</f>
        <v>Jenni  Thorton</v>
      </c>
      <c r="M662" s="4">
        <f t="array" ref="M662">IF(ROWS(M$20:M662)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662))))</f>
        <v>6</v>
      </c>
    </row>
    <row r="663" spans="1:13" x14ac:dyDescent="0.25">
      <c r="A663" s="3">
        <v>41729</v>
      </c>
      <c r="B663" s="2" t="s">
        <v>26</v>
      </c>
      <c r="C663" s="2">
        <v>26</v>
      </c>
      <c r="G663" s="7">
        <f t="array" ref="G663">IF(ROWS(K$20:K663)&gt;$F$6,"",INDEX(A$2:A$10000,SMALL(IF(ISNUMBER(MATCH($B$2:$B$10000,$E$6:$E$22,0)),ROW($C$2:$C$10000)-ROW($C$2)+1),ROWS(K$20:K663))))</f>
        <v>41438</v>
      </c>
      <c r="H663" s="4" t="str">
        <f t="array" ref="H663">IF(ROWS(L$20:L663)&gt;$F$6,"",INDEX(B$2:B$10000,SMALL(IF(ISNUMBER(MATCH($B$2:$B$10000,$E$6:$E$22,0)),ROW($C$2:$C$10000)-ROW($C$2)+1),ROWS(L$20:L663))))</f>
        <v>Rosamond  Allard</v>
      </c>
      <c r="I663" s="4">
        <f t="array" ref="I663">IF(ROWS(M$20:M663)&gt;$F$6,"",INDEX(C$2:C$10000,SMALL(IF(ISNUMBER(MATCH($B$2:$B$10000,$E$6:$E$22,0)),ROW($C$2:$C$10000)-ROW($C$2)+1),ROWS(M$20:M663))))</f>
        <v>38</v>
      </c>
      <c r="K663" s="7">
        <f t="array" ref="K663">IF(ROWS(K$20:K663)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663))))</f>
        <v>41438</v>
      </c>
      <c r="L663" s="4" t="str">
        <f t="array" ref="L663">IF(ROWS(L$20:L663)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663))))</f>
        <v>Rosamond  Allard</v>
      </c>
      <c r="M663" s="4">
        <f t="array" ref="M663">IF(ROWS(M$20:M663)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663))))</f>
        <v>38</v>
      </c>
    </row>
    <row r="664" spans="1:13" x14ac:dyDescent="0.25">
      <c r="A664" s="3">
        <v>41654</v>
      </c>
      <c r="B664" s="2" t="s">
        <v>46</v>
      </c>
      <c r="C664" s="2">
        <v>12</v>
      </c>
      <c r="G664" s="7">
        <f t="array" ref="G664">IF(ROWS(K$20:K664)&gt;$F$6,"",INDEX(A$2:A$10000,SMALL(IF(ISNUMBER(MATCH($B$2:$B$10000,$E$6:$E$22,0)),ROW($C$2:$C$10000)-ROW($C$2)+1),ROWS(K$20:K664))))</f>
        <v>41290</v>
      </c>
      <c r="H664" s="4" t="str">
        <f t="array" ref="H664">IF(ROWS(L$20:L664)&gt;$F$6,"",INDEX(B$2:B$10000,SMALL(IF(ISNUMBER(MATCH($B$2:$B$10000,$E$6:$E$22,0)),ROW($C$2:$C$10000)-ROW($C$2)+1),ROWS(L$20:L664))))</f>
        <v>Galen  Barth</v>
      </c>
      <c r="I664" s="4">
        <f t="array" ref="I664">IF(ROWS(M$20:M664)&gt;$F$6,"",INDEX(C$2:C$10000,SMALL(IF(ISNUMBER(MATCH($B$2:$B$10000,$E$6:$E$22,0)),ROW($C$2:$C$10000)-ROW($C$2)+1),ROWS(M$20:M664))))</f>
        <v>32</v>
      </c>
      <c r="K664" s="7">
        <f t="array" ref="K664">IF(ROWS(K$20:K664)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664))))</f>
        <v>41290</v>
      </c>
      <c r="L664" s="4" t="str">
        <f t="array" ref="L664">IF(ROWS(L$20:L664)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664))))</f>
        <v>Galen  Barth</v>
      </c>
      <c r="M664" s="4">
        <f t="array" ref="M664">IF(ROWS(M$20:M664)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664))))</f>
        <v>32</v>
      </c>
    </row>
    <row r="665" spans="1:13" x14ac:dyDescent="0.25">
      <c r="A665" s="3">
        <v>41739</v>
      </c>
      <c r="B665" s="2" t="s">
        <v>7</v>
      </c>
      <c r="C665" s="2">
        <v>35</v>
      </c>
      <c r="G665" s="7">
        <f t="array" ref="G665">IF(ROWS(K$20:K665)&gt;$F$6,"",INDEX(A$2:A$10000,SMALL(IF(ISNUMBER(MATCH($B$2:$B$10000,$E$6:$E$22,0)),ROW($C$2:$C$10000)-ROW($C$2)+1),ROWS(K$20:K665))))</f>
        <v>41476</v>
      </c>
      <c r="H665" s="4" t="str">
        <f t="array" ref="H665">IF(ROWS(L$20:L665)&gt;$F$6,"",INDEX(B$2:B$10000,SMALL(IF(ISNUMBER(MATCH($B$2:$B$10000,$E$6:$E$22,0)),ROW($C$2:$C$10000)-ROW($C$2)+1),ROWS(L$20:L665))))</f>
        <v>Rosamond  Allard</v>
      </c>
      <c r="I665" s="4">
        <f t="array" ref="I665">IF(ROWS(M$20:M665)&gt;$F$6,"",INDEX(C$2:C$10000,SMALL(IF(ISNUMBER(MATCH($B$2:$B$10000,$E$6:$E$22,0)),ROW($C$2:$C$10000)-ROW($C$2)+1),ROWS(M$20:M665))))</f>
        <v>24</v>
      </c>
      <c r="K665" s="7">
        <f t="array" ref="K665">IF(ROWS(K$20:K665)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665))))</f>
        <v>41476</v>
      </c>
      <c r="L665" s="4" t="str">
        <f t="array" ref="L665">IF(ROWS(L$20:L665)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665))))</f>
        <v>Rosamond  Allard</v>
      </c>
      <c r="M665" s="4">
        <f t="array" ref="M665">IF(ROWS(M$20:M665)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665))))</f>
        <v>24</v>
      </c>
    </row>
    <row r="666" spans="1:13" x14ac:dyDescent="0.25">
      <c r="A666" s="3">
        <v>41305</v>
      </c>
      <c r="B666" s="2" t="s">
        <v>11</v>
      </c>
      <c r="C666" s="2">
        <v>39</v>
      </c>
      <c r="G666" s="7">
        <f t="array" ref="G666">IF(ROWS(K$20:K666)&gt;$F$6,"",INDEX(A$2:A$10000,SMALL(IF(ISNUMBER(MATCH($B$2:$B$10000,$E$6:$E$22,0)),ROW($C$2:$C$10000)-ROW($C$2)+1),ROWS(K$20:K666))))</f>
        <v>41889</v>
      </c>
      <c r="H666" s="4" t="str">
        <f t="array" ref="H666">IF(ROWS(L$20:L666)&gt;$F$6,"",INDEX(B$2:B$10000,SMALL(IF(ISNUMBER(MATCH($B$2:$B$10000,$E$6:$E$22,0)),ROW($C$2:$C$10000)-ROW($C$2)+1),ROWS(L$20:L666))))</f>
        <v>Jenni  Thorton</v>
      </c>
      <c r="I666" s="4">
        <f t="array" ref="I666">IF(ROWS(M$20:M666)&gt;$F$6,"",INDEX(C$2:C$10000,SMALL(IF(ISNUMBER(MATCH($B$2:$B$10000,$E$6:$E$22,0)),ROW($C$2:$C$10000)-ROW($C$2)+1),ROWS(M$20:M666))))</f>
        <v>11</v>
      </c>
      <c r="K666" s="7">
        <f t="array" ref="K666">IF(ROWS(K$20:K666)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666))))</f>
        <v>41889</v>
      </c>
      <c r="L666" s="4" t="str">
        <f t="array" ref="L666">IF(ROWS(L$20:L666)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666))))</f>
        <v>Jenni  Thorton</v>
      </c>
      <c r="M666" s="4">
        <f t="array" ref="M666">IF(ROWS(M$20:M666)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666))))</f>
        <v>11</v>
      </c>
    </row>
    <row r="667" spans="1:13" x14ac:dyDescent="0.25">
      <c r="A667" s="3">
        <v>41906</v>
      </c>
      <c r="B667" s="2" t="s">
        <v>27</v>
      </c>
      <c r="C667" s="2">
        <v>31</v>
      </c>
      <c r="G667" s="7">
        <f t="array" ref="G667">IF(ROWS(K$20:K667)&gt;$F$6,"",INDEX(A$2:A$10000,SMALL(IF(ISNUMBER(MATCH($B$2:$B$10000,$E$6:$E$22,0)),ROW($C$2:$C$10000)-ROW($C$2)+1),ROWS(K$20:K667))))</f>
        <v>41935</v>
      </c>
      <c r="H667" s="4" t="str">
        <f t="array" ref="H667">IF(ROWS(L$20:L667)&gt;$F$6,"",INDEX(B$2:B$10000,SMALL(IF(ISNUMBER(MATCH($B$2:$B$10000,$E$6:$E$22,0)),ROW($C$2:$C$10000)-ROW($C$2)+1),ROWS(L$20:L667))))</f>
        <v>Mickey  Bolduc</v>
      </c>
      <c r="I667" s="4">
        <f t="array" ref="I667">IF(ROWS(M$20:M667)&gt;$F$6,"",INDEX(C$2:C$10000,SMALL(IF(ISNUMBER(MATCH($B$2:$B$10000,$E$6:$E$22,0)),ROW($C$2:$C$10000)-ROW($C$2)+1),ROWS(M$20:M667))))</f>
        <v>13</v>
      </c>
      <c r="K667" s="7">
        <f t="array" ref="K667">IF(ROWS(K$20:K667)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667))))</f>
        <v>41935</v>
      </c>
      <c r="L667" s="4" t="str">
        <f t="array" ref="L667">IF(ROWS(L$20:L667)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667))))</f>
        <v>Mickey  Bolduc</v>
      </c>
      <c r="M667" s="4">
        <f t="array" ref="M667">IF(ROWS(M$20:M667)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667))))</f>
        <v>13</v>
      </c>
    </row>
    <row r="668" spans="1:13" x14ac:dyDescent="0.25">
      <c r="A668" s="3">
        <v>41363</v>
      </c>
      <c r="B668" s="2" t="s">
        <v>5</v>
      </c>
      <c r="C668" s="2">
        <v>16</v>
      </c>
      <c r="G668" s="7">
        <f t="array" ref="G668">IF(ROWS(K$20:K668)&gt;$F$6,"",INDEX(A$2:A$10000,SMALL(IF(ISNUMBER(MATCH($B$2:$B$10000,$E$6:$E$22,0)),ROW($C$2:$C$10000)-ROW($C$2)+1),ROWS(K$20:K668))))</f>
        <v>41794</v>
      </c>
      <c r="H668" s="4" t="str">
        <f t="array" ref="H668">IF(ROWS(L$20:L668)&gt;$F$6,"",INDEX(B$2:B$10000,SMALL(IF(ISNUMBER(MATCH($B$2:$B$10000,$E$6:$E$22,0)),ROW($C$2:$C$10000)-ROW($C$2)+1),ROWS(L$20:L668))))</f>
        <v>Mickey  Bolduc</v>
      </c>
      <c r="I668" s="4">
        <f t="array" ref="I668">IF(ROWS(M$20:M668)&gt;$F$6,"",INDEX(C$2:C$10000,SMALL(IF(ISNUMBER(MATCH($B$2:$B$10000,$E$6:$E$22,0)),ROW($C$2:$C$10000)-ROW($C$2)+1),ROWS(M$20:M668))))</f>
        <v>35</v>
      </c>
      <c r="K668" s="7">
        <f t="array" ref="K668">IF(ROWS(K$20:K668)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668))))</f>
        <v>41794</v>
      </c>
      <c r="L668" s="4" t="str">
        <f t="array" ref="L668">IF(ROWS(L$20:L668)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668))))</f>
        <v>Mickey  Bolduc</v>
      </c>
      <c r="M668" s="4">
        <f t="array" ref="M668">IF(ROWS(M$20:M668)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668))))</f>
        <v>35</v>
      </c>
    </row>
    <row r="669" spans="1:13" x14ac:dyDescent="0.25">
      <c r="A669" s="3">
        <v>41869</v>
      </c>
      <c r="B669" s="2" t="s">
        <v>43</v>
      </c>
      <c r="C669" s="2">
        <v>16</v>
      </c>
      <c r="G669" s="7">
        <f t="array" ref="G669">IF(ROWS(K$20:K669)&gt;$F$6,"",INDEX(A$2:A$10000,SMALL(IF(ISNUMBER(MATCH($B$2:$B$10000,$E$6:$E$22,0)),ROW($C$2:$C$10000)-ROW($C$2)+1),ROWS(K$20:K669))))</f>
        <v>41511</v>
      </c>
      <c r="H669" s="4" t="str">
        <f t="array" ref="H669">IF(ROWS(L$20:L669)&gt;$F$6,"",INDEX(B$2:B$10000,SMALL(IF(ISNUMBER(MATCH($B$2:$B$10000,$E$6:$E$22,0)),ROW($C$2:$C$10000)-ROW($C$2)+1),ROWS(L$20:L669))))</f>
        <v>Kerrie  Worrell</v>
      </c>
      <c r="I669" s="4">
        <f t="array" ref="I669">IF(ROWS(M$20:M669)&gt;$F$6,"",INDEX(C$2:C$10000,SMALL(IF(ISNUMBER(MATCH($B$2:$B$10000,$E$6:$E$22,0)),ROW($C$2:$C$10000)-ROW($C$2)+1),ROWS(M$20:M669))))</f>
        <v>9</v>
      </c>
      <c r="K669" s="7">
        <f t="array" ref="K669">IF(ROWS(K$20:K669)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669))))</f>
        <v>41511</v>
      </c>
      <c r="L669" s="4" t="str">
        <f t="array" ref="L669">IF(ROWS(L$20:L669)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669))))</f>
        <v>Kerrie  Worrell</v>
      </c>
      <c r="M669" s="4">
        <f t="array" ref="M669">IF(ROWS(M$20:M669)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669))))</f>
        <v>9</v>
      </c>
    </row>
    <row r="670" spans="1:13" x14ac:dyDescent="0.25">
      <c r="A670" s="3">
        <v>41590</v>
      </c>
      <c r="B670" s="2" t="s">
        <v>9</v>
      </c>
      <c r="C670" s="2">
        <v>16</v>
      </c>
      <c r="G670" s="7">
        <f t="array" ref="G670">IF(ROWS(K$20:K670)&gt;$F$6,"",INDEX(A$2:A$10000,SMALL(IF(ISNUMBER(MATCH($B$2:$B$10000,$E$6:$E$22,0)),ROW($C$2:$C$10000)-ROW($C$2)+1),ROWS(K$20:K670))))</f>
        <v>41877</v>
      </c>
      <c r="H670" s="4" t="str">
        <f t="array" ref="H670">IF(ROWS(L$20:L670)&gt;$F$6,"",INDEX(B$2:B$10000,SMALL(IF(ISNUMBER(MATCH($B$2:$B$10000,$E$6:$E$22,0)),ROW($C$2:$C$10000)-ROW($C$2)+1),ROWS(L$20:L670))))</f>
        <v>Iliana  Valerio</v>
      </c>
      <c r="I670" s="4">
        <f t="array" ref="I670">IF(ROWS(M$20:M670)&gt;$F$6,"",INDEX(C$2:C$10000,SMALL(IF(ISNUMBER(MATCH($B$2:$B$10000,$E$6:$E$22,0)),ROW($C$2:$C$10000)-ROW($C$2)+1),ROWS(M$20:M670))))</f>
        <v>43</v>
      </c>
      <c r="K670" s="7">
        <f t="array" ref="K670">IF(ROWS(K$20:K670)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670))))</f>
        <v>41877</v>
      </c>
      <c r="L670" s="4" t="str">
        <f t="array" ref="L670">IF(ROWS(L$20:L670)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670))))</f>
        <v>Iliana  Valerio</v>
      </c>
      <c r="M670" s="4">
        <f t="array" ref="M670">IF(ROWS(M$20:M670)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670))))</f>
        <v>43</v>
      </c>
    </row>
    <row r="671" spans="1:13" x14ac:dyDescent="0.25">
      <c r="A671" s="3">
        <v>41414</v>
      </c>
      <c r="B671" s="2" t="s">
        <v>8</v>
      </c>
      <c r="C671" s="2">
        <v>50</v>
      </c>
      <c r="G671" s="7">
        <f t="array" ref="G671">IF(ROWS(K$20:K671)&gt;$F$6,"",INDEX(A$2:A$10000,SMALL(IF(ISNUMBER(MATCH($B$2:$B$10000,$E$6:$E$22,0)),ROW($C$2:$C$10000)-ROW($C$2)+1),ROWS(K$20:K671))))</f>
        <v>41655</v>
      </c>
      <c r="H671" s="4" t="str">
        <f t="array" ref="H671">IF(ROWS(L$20:L671)&gt;$F$6,"",INDEX(B$2:B$10000,SMALL(IF(ISNUMBER(MATCH($B$2:$B$10000,$E$6:$E$22,0)),ROW($C$2:$C$10000)-ROW($C$2)+1),ROWS(L$20:L671))))</f>
        <v>Kerrie  Worrell</v>
      </c>
      <c r="I671" s="4">
        <f t="array" ref="I671">IF(ROWS(M$20:M671)&gt;$F$6,"",INDEX(C$2:C$10000,SMALL(IF(ISNUMBER(MATCH($B$2:$B$10000,$E$6:$E$22,0)),ROW($C$2:$C$10000)-ROW($C$2)+1),ROWS(M$20:M671))))</f>
        <v>27</v>
      </c>
      <c r="K671" s="7">
        <f t="array" ref="K671">IF(ROWS(K$20:K671)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671))))</f>
        <v>41655</v>
      </c>
      <c r="L671" s="4" t="str">
        <f t="array" ref="L671">IF(ROWS(L$20:L671)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671))))</f>
        <v>Kerrie  Worrell</v>
      </c>
      <c r="M671" s="4">
        <f t="array" ref="M671">IF(ROWS(M$20:M671)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671))))</f>
        <v>27</v>
      </c>
    </row>
    <row r="672" spans="1:13" x14ac:dyDescent="0.25">
      <c r="A672" s="3">
        <v>41540</v>
      </c>
      <c r="B672" s="2" t="s">
        <v>25</v>
      </c>
      <c r="C672" s="2">
        <v>45</v>
      </c>
      <c r="G672" s="7">
        <f t="array" ref="G672">IF(ROWS(K$20:K672)&gt;$F$6,"",INDEX(A$2:A$10000,SMALL(IF(ISNUMBER(MATCH($B$2:$B$10000,$E$6:$E$22,0)),ROW($C$2:$C$10000)-ROW($C$2)+1),ROWS(K$20:K672))))</f>
        <v>41305</v>
      </c>
      <c r="H672" s="4" t="str">
        <f t="array" ref="H672">IF(ROWS(L$20:L672)&gt;$F$6,"",INDEX(B$2:B$10000,SMALL(IF(ISNUMBER(MATCH($B$2:$B$10000,$E$6:$E$22,0)),ROW($C$2:$C$10000)-ROW($C$2)+1),ROWS(L$20:L672))))</f>
        <v>Jenni  Thorton</v>
      </c>
      <c r="I672" s="4">
        <f t="array" ref="I672">IF(ROWS(M$20:M672)&gt;$F$6,"",INDEX(C$2:C$10000,SMALL(IF(ISNUMBER(MATCH($B$2:$B$10000,$E$6:$E$22,0)),ROW($C$2:$C$10000)-ROW($C$2)+1),ROWS(M$20:M672))))</f>
        <v>0</v>
      </c>
      <c r="K672" s="7">
        <f t="array" ref="K672">IF(ROWS(K$20:K672)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672))))</f>
        <v>41305</v>
      </c>
      <c r="L672" s="4" t="str">
        <f t="array" ref="L672">IF(ROWS(L$20:L672)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672))))</f>
        <v>Jenni  Thorton</v>
      </c>
      <c r="M672" s="4">
        <f t="array" ref="M672">IF(ROWS(M$20:M672)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672))))</f>
        <v>0</v>
      </c>
    </row>
    <row r="673" spans="1:13" x14ac:dyDescent="0.25">
      <c r="A673" s="3">
        <v>41537</v>
      </c>
      <c r="B673" s="2" t="s">
        <v>25</v>
      </c>
      <c r="C673" s="2">
        <v>39</v>
      </c>
      <c r="G673" s="7">
        <f t="array" ref="G673">IF(ROWS(K$20:K673)&gt;$F$6,"",INDEX(A$2:A$10000,SMALL(IF(ISNUMBER(MATCH($B$2:$B$10000,$E$6:$E$22,0)),ROW($C$2:$C$10000)-ROW($C$2)+1),ROWS(K$20:K673))))</f>
        <v>41828</v>
      </c>
      <c r="H673" s="4" t="str">
        <f t="array" ref="H673">IF(ROWS(L$20:L673)&gt;$F$6,"",INDEX(B$2:B$10000,SMALL(IF(ISNUMBER(MATCH($B$2:$B$10000,$E$6:$E$22,0)),ROW($C$2:$C$10000)-ROW($C$2)+1),ROWS(L$20:L673))))</f>
        <v>Iliana  Valerio</v>
      </c>
      <c r="I673" s="4">
        <f t="array" ref="I673">IF(ROWS(M$20:M673)&gt;$F$6,"",INDEX(C$2:C$10000,SMALL(IF(ISNUMBER(MATCH($B$2:$B$10000,$E$6:$E$22,0)),ROW($C$2:$C$10000)-ROW($C$2)+1),ROWS(M$20:M673))))</f>
        <v>47</v>
      </c>
      <c r="K673" s="7">
        <f t="array" ref="K673">IF(ROWS(K$20:K673)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673))))</f>
        <v>41828</v>
      </c>
      <c r="L673" s="4" t="str">
        <f t="array" ref="L673">IF(ROWS(L$20:L673)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673))))</f>
        <v>Iliana  Valerio</v>
      </c>
      <c r="M673" s="4">
        <f t="array" ref="M673">IF(ROWS(M$20:M673)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673))))</f>
        <v>47</v>
      </c>
    </row>
    <row r="674" spans="1:13" x14ac:dyDescent="0.25">
      <c r="A674" s="3">
        <v>41682</v>
      </c>
      <c r="B674" s="2" t="s">
        <v>6</v>
      </c>
      <c r="C674" s="2">
        <v>8</v>
      </c>
      <c r="G674" s="7">
        <f t="array" ref="G674">IF(ROWS(K$20:K674)&gt;$F$6,"",INDEX(A$2:A$10000,SMALL(IF(ISNUMBER(MATCH($B$2:$B$10000,$E$6:$E$22,0)),ROW($C$2:$C$10000)-ROW($C$2)+1),ROWS(K$20:K674))))</f>
        <v>41856</v>
      </c>
      <c r="H674" s="4" t="str">
        <f t="array" ref="H674">IF(ROWS(L$20:L674)&gt;$F$6,"",INDEX(B$2:B$10000,SMALL(IF(ISNUMBER(MATCH($B$2:$B$10000,$E$6:$E$22,0)),ROW($C$2:$C$10000)-ROW($C$2)+1),ROWS(L$20:L674))))</f>
        <v>Kerrie  Worrell</v>
      </c>
      <c r="I674" s="4">
        <f t="array" ref="I674">IF(ROWS(M$20:M674)&gt;$F$6,"",INDEX(C$2:C$10000,SMALL(IF(ISNUMBER(MATCH($B$2:$B$10000,$E$6:$E$22,0)),ROW($C$2:$C$10000)-ROW($C$2)+1),ROWS(M$20:M674))))</f>
        <v>9</v>
      </c>
      <c r="K674" s="7">
        <f t="array" ref="K674">IF(ROWS(K$20:K674)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674))))</f>
        <v>41856</v>
      </c>
      <c r="L674" s="4" t="str">
        <f t="array" ref="L674">IF(ROWS(L$20:L674)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674))))</f>
        <v>Kerrie  Worrell</v>
      </c>
      <c r="M674" s="4">
        <f t="array" ref="M674">IF(ROWS(M$20:M674)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674))))</f>
        <v>9</v>
      </c>
    </row>
    <row r="675" spans="1:13" x14ac:dyDescent="0.25">
      <c r="A675" s="3">
        <v>41750</v>
      </c>
      <c r="B675" s="2" t="s">
        <v>8</v>
      </c>
      <c r="C675" s="2">
        <v>10</v>
      </c>
      <c r="G675" s="7">
        <f t="array" ref="G675">IF(ROWS(K$20:K675)&gt;$F$6,"",INDEX(A$2:A$10000,SMALL(IF(ISNUMBER(MATCH($B$2:$B$10000,$E$6:$E$22,0)),ROW($C$2:$C$10000)-ROW($C$2)+1),ROWS(K$20:K675))))</f>
        <v>41814</v>
      </c>
      <c r="H675" s="4" t="str">
        <f t="array" ref="H675">IF(ROWS(L$20:L675)&gt;$F$6,"",INDEX(B$2:B$10000,SMALL(IF(ISNUMBER(MATCH($B$2:$B$10000,$E$6:$E$22,0)),ROW($C$2:$C$10000)-ROW($C$2)+1),ROWS(L$20:L675))))</f>
        <v>Mickey  Bolduc</v>
      </c>
      <c r="I675" s="4">
        <f t="array" ref="I675">IF(ROWS(M$20:M675)&gt;$F$6,"",INDEX(C$2:C$10000,SMALL(IF(ISNUMBER(MATCH($B$2:$B$10000,$E$6:$E$22,0)),ROW($C$2:$C$10000)-ROW($C$2)+1),ROWS(M$20:M675))))</f>
        <v>3</v>
      </c>
      <c r="K675" s="7">
        <f t="array" ref="K675">IF(ROWS(K$20:K675)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675))))</f>
        <v>41814</v>
      </c>
      <c r="L675" s="4" t="str">
        <f t="array" ref="L675">IF(ROWS(L$20:L675)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675))))</f>
        <v>Mickey  Bolduc</v>
      </c>
      <c r="M675" s="4">
        <f t="array" ref="M675">IF(ROWS(M$20:M675)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675))))</f>
        <v>3</v>
      </c>
    </row>
    <row r="676" spans="1:13" x14ac:dyDescent="0.25">
      <c r="A676" s="3">
        <v>41566</v>
      </c>
      <c r="B676" s="2" t="s">
        <v>28</v>
      </c>
      <c r="C676" s="2">
        <v>11</v>
      </c>
      <c r="G676" s="7">
        <f t="array" ref="G676">IF(ROWS(K$20:K676)&gt;$F$6,"",INDEX(A$2:A$10000,SMALL(IF(ISNUMBER(MATCH($B$2:$B$10000,$E$6:$E$22,0)),ROW($C$2:$C$10000)-ROW($C$2)+1),ROWS(K$20:K676))))</f>
        <v>41671</v>
      </c>
      <c r="H676" s="4" t="str">
        <f t="array" ref="H676">IF(ROWS(L$20:L676)&gt;$F$6,"",INDEX(B$2:B$10000,SMALL(IF(ISNUMBER(MATCH($B$2:$B$10000,$E$6:$E$22,0)),ROW($C$2:$C$10000)-ROW($C$2)+1),ROWS(L$20:L676))))</f>
        <v>Rosamond  Allard</v>
      </c>
      <c r="I676" s="4">
        <f t="array" ref="I676">IF(ROWS(M$20:M676)&gt;$F$6,"",INDEX(C$2:C$10000,SMALL(IF(ISNUMBER(MATCH($B$2:$B$10000,$E$6:$E$22,0)),ROW($C$2:$C$10000)-ROW($C$2)+1),ROWS(M$20:M676))))</f>
        <v>49</v>
      </c>
      <c r="K676" s="7">
        <f t="array" ref="K676">IF(ROWS(K$20:K676)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676))))</f>
        <v>41671</v>
      </c>
      <c r="L676" s="4" t="str">
        <f t="array" ref="L676">IF(ROWS(L$20:L676)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676))))</f>
        <v>Rosamond  Allard</v>
      </c>
      <c r="M676" s="4">
        <f t="array" ref="M676">IF(ROWS(M$20:M676)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676))))</f>
        <v>49</v>
      </c>
    </row>
    <row r="677" spans="1:13" x14ac:dyDescent="0.25">
      <c r="A677" s="3">
        <v>41967</v>
      </c>
      <c r="B677" s="2" t="s">
        <v>35</v>
      </c>
      <c r="C677" s="2">
        <v>42</v>
      </c>
      <c r="G677" s="7">
        <f t="array" ref="G677">IF(ROWS(K$20:K677)&gt;$F$6,"",INDEX(A$2:A$10000,SMALL(IF(ISNUMBER(MATCH($B$2:$B$10000,$E$6:$E$22,0)),ROW($C$2:$C$10000)-ROW($C$2)+1),ROWS(K$20:K677))))</f>
        <v>41276</v>
      </c>
      <c r="H677" s="4" t="str">
        <f t="array" ref="H677">IF(ROWS(L$20:L677)&gt;$F$6,"",INDEX(B$2:B$10000,SMALL(IF(ISNUMBER(MATCH($B$2:$B$10000,$E$6:$E$22,0)),ROW($C$2:$C$10000)-ROW($C$2)+1),ROWS(L$20:L677))))</f>
        <v>Iliana  Valerio</v>
      </c>
      <c r="I677" s="4">
        <f t="array" ref="I677">IF(ROWS(M$20:M677)&gt;$F$6,"",INDEX(C$2:C$10000,SMALL(IF(ISNUMBER(MATCH($B$2:$B$10000,$E$6:$E$22,0)),ROW($C$2:$C$10000)-ROW($C$2)+1),ROWS(M$20:M677))))</f>
        <v>41</v>
      </c>
      <c r="K677" s="7">
        <f t="array" ref="K677">IF(ROWS(K$20:K677)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677))))</f>
        <v>41276</v>
      </c>
      <c r="L677" s="4" t="str">
        <f t="array" ref="L677">IF(ROWS(L$20:L677)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677))))</f>
        <v>Iliana  Valerio</v>
      </c>
      <c r="M677" s="4">
        <f t="array" ref="M677">IF(ROWS(M$20:M677)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677))))</f>
        <v>41</v>
      </c>
    </row>
    <row r="678" spans="1:13" x14ac:dyDescent="0.25">
      <c r="A678" s="3">
        <v>41409</v>
      </c>
      <c r="B678" s="2" t="s">
        <v>47</v>
      </c>
      <c r="C678" s="2">
        <v>0</v>
      </c>
      <c r="G678" s="7">
        <f t="array" ref="G678">IF(ROWS(K$20:K678)&gt;$F$6,"",INDEX(A$2:A$10000,SMALL(IF(ISNUMBER(MATCH($B$2:$B$10000,$E$6:$E$22,0)),ROW($C$2:$C$10000)-ROW($C$2)+1),ROWS(K$20:K678))))</f>
        <v>41991</v>
      </c>
      <c r="H678" s="4" t="str">
        <f t="array" ref="H678">IF(ROWS(L$20:L678)&gt;$F$6,"",INDEX(B$2:B$10000,SMALL(IF(ISNUMBER(MATCH($B$2:$B$10000,$E$6:$E$22,0)),ROW($C$2:$C$10000)-ROW($C$2)+1),ROWS(L$20:L678))))</f>
        <v>Jenni  Thorton</v>
      </c>
      <c r="I678" s="4">
        <f t="array" ref="I678">IF(ROWS(M$20:M678)&gt;$F$6,"",INDEX(C$2:C$10000,SMALL(IF(ISNUMBER(MATCH($B$2:$B$10000,$E$6:$E$22,0)),ROW($C$2:$C$10000)-ROW($C$2)+1),ROWS(M$20:M678))))</f>
        <v>11</v>
      </c>
      <c r="K678" s="7">
        <f t="array" ref="K678">IF(ROWS(K$20:K678)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678))))</f>
        <v>41991</v>
      </c>
      <c r="L678" s="4" t="str">
        <f t="array" ref="L678">IF(ROWS(L$20:L678)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678))))</f>
        <v>Jenni  Thorton</v>
      </c>
      <c r="M678" s="4">
        <f t="array" ref="M678">IF(ROWS(M$20:M678)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678))))</f>
        <v>11</v>
      </c>
    </row>
    <row r="679" spans="1:13" x14ac:dyDescent="0.25">
      <c r="A679" s="3">
        <v>41828</v>
      </c>
      <c r="B679" s="2" t="s">
        <v>12</v>
      </c>
      <c r="C679" s="2">
        <v>33</v>
      </c>
      <c r="G679" s="7">
        <f t="array" ref="G679">IF(ROWS(K$20:K679)&gt;$F$6,"",INDEX(A$2:A$10000,SMALL(IF(ISNUMBER(MATCH($B$2:$B$10000,$E$6:$E$22,0)),ROW($C$2:$C$10000)-ROW($C$2)+1),ROWS(K$20:K679))))</f>
        <v>41813</v>
      </c>
      <c r="H679" s="4" t="str">
        <f t="array" ref="H679">IF(ROWS(L$20:L679)&gt;$F$6,"",INDEX(B$2:B$10000,SMALL(IF(ISNUMBER(MATCH($B$2:$B$10000,$E$6:$E$22,0)),ROW($C$2:$C$10000)-ROW($C$2)+1),ROWS(L$20:L679))))</f>
        <v>Kerrie  Worrell</v>
      </c>
      <c r="I679" s="4">
        <f t="array" ref="I679">IF(ROWS(M$20:M679)&gt;$F$6,"",INDEX(C$2:C$10000,SMALL(IF(ISNUMBER(MATCH($B$2:$B$10000,$E$6:$E$22,0)),ROW($C$2:$C$10000)-ROW($C$2)+1),ROWS(M$20:M679))))</f>
        <v>40</v>
      </c>
      <c r="K679" s="7">
        <f t="array" ref="K679">IF(ROWS(K$20:K679)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679))))</f>
        <v>41813</v>
      </c>
      <c r="L679" s="4" t="str">
        <f t="array" ref="L679">IF(ROWS(L$20:L679)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679))))</f>
        <v>Kerrie  Worrell</v>
      </c>
      <c r="M679" s="4">
        <f t="array" ref="M679">IF(ROWS(M$20:M679)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679))))</f>
        <v>40</v>
      </c>
    </row>
    <row r="680" spans="1:13" x14ac:dyDescent="0.25">
      <c r="A680" s="3">
        <v>41308</v>
      </c>
      <c r="B680" s="2" t="s">
        <v>13</v>
      </c>
      <c r="C680" s="2">
        <v>28</v>
      </c>
      <c r="G680" s="7">
        <f t="array" ref="G680">IF(ROWS(K$20:K680)&gt;$F$6,"",INDEX(A$2:A$10000,SMALL(IF(ISNUMBER(MATCH($B$2:$B$10000,$E$6:$E$22,0)),ROW($C$2:$C$10000)-ROW($C$2)+1),ROWS(K$20:K680))))</f>
        <v>41975</v>
      </c>
      <c r="H680" s="4" t="str">
        <f t="array" ref="H680">IF(ROWS(L$20:L680)&gt;$F$6,"",INDEX(B$2:B$10000,SMALL(IF(ISNUMBER(MATCH($B$2:$B$10000,$E$6:$E$22,0)),ROW($C$2:$C$10000)-ROW($C$2)+1),ROWS(L$20:L680))))</f>
        <v>Iliana  Valerio</v>
      </c>
      <c r="I680" s="4">
        <f t="array" ref="I680">IF(ROWS(M$20:M680)&gt;$F$6,"",INDEX(C$2:C$10000,SMALL(IF(ISNUMBER(MATCH($B$2:$B$10000,$E$6:$E$22,0)),ROW($C$2:$C$10000)-ROW($C$2)+1),ROWS(M$20:M680))))</f>
        <v>8</v>
      </c>
      <c r="K680" s="7">
        <f t="array" ref="K680">IF(ROWS(K$20:K680)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680))))</f>
        <v>41975</v>
      </c>
      <c r="L680" s="4" t="str">
        <f t="array" ref="L680">IF(ROWS(L$20:L680)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680))))</f>
        <v>Iliana  Valerio</v>
      </c>
      <c r="M680" s="4">
        <f t="array" ref="M680">IF(ROWS(M$20:M680)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680))))</f>
        <v>8</v>
      </c>
    </row>
    <row r="681" spans="1:13" x14ac:dyDescent="0.25">
      <c r="A681" s="3">
        <v>41381</v>
      </c>
      <c r="B681" s="2" t="s">
        <v>50</v>
      </c>
      <c r="C681" s="2">
        <v>9</v>
      </c>
      <c r="G681" s="7">
        <f t="array" ref="G681">IF(ROWS(K$20:K681)&gt;$F$6,"",INDEX(A$2:A$10000,SMALL(IF(ISNUMBER(MATCH($B$2:$B$10000,$E$6:$E$22,0)),ROW($C$2:$C$10000)-ROW($C$2)+1),ROWS(K$20:K681))))</f>
        <v>41638</v>
      </c>
      <c r="H681" s="4" t="str">
        <f t="array" ref="H681">IF(ROWS(L$20:L681)&gt;$F$6,"",INDEX(B$2:B$10000,SMALL(IF(ISNUMBER(MATCH($B$2:$B$10000,$E$6:$E$22,0)),ROW($C$2:$C$10000)-ROW($C$2)+1),ROWS(L$20:L681))))</f>
        <v>Rosamond  Allard</v>
      </c>
      <c r="I681" s="4">
        <f t="array" ref="I681">IF(ROWS(M$20:M681)&gt;$F$6,"",INDEX(C$2:C$10000,SMALL(IF(ISNUMBER(MATCH($B$2:$B$10000,$E$6:$E$22,0)),ROW($C$2:$C$10000)-ROW($C$2)+1),ROWS(M$20:M681))))</f>
        <v>48</v>
      </c>
      <c r="K681" s="7">
        <f t="array" ref="K681">IF(ROWS(K$20:K681)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681))))</f>
        <v>41638</v>
      </c>
      <c r="L681" s="4" t="str">
        <f t="array" ref="L681">IF(ROWS(L$20:L681)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681))))</f>
        <v>Rosamond  Allard</v>
      </c>
      <c r="M681" s="4">
        <f t="array" ref="M681">IF(ROWS(M$20:M681)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681))))</f>
        <v>48</v>
      </c>
    </row>
    <row r="682" spans="1:13" x14ac:dyDescent="0.25">
      <c r="A682" s="3">
        <v>41309</v>
      </c>
      <c r="B682" s="2" t="s">
        <v>28</v>
      </c>
      <c r="C682" s="2">
        <v>27</v>
      </c>
      <c r="G682" s="7">
        <f t="array" ref="G682">IF(ROWS(K$20:K682)&gt;$F$6,"",INDEX(A$2:A$10000,SMALL(IF(ISNUMBER(MATCH($B$2:$B$10000,$E$6:$E$22,0)),ROW($C$2:$C$10000)-ROW($C$2)+1),ROWS(K$20:K682))))</f>
        <v>41786</v>
      </c>
      <c r="H682" s="4" t="str">
        <f t="array" ref="H682">IF(ROWS(L$20:L682)&gt;$F$6,"",INDEX(B$2:B$10000,SMALL(IF(ISNUMBER(MATCH($B$2:$B$10000,$E$6:$E$22,0)),ROW($C$2:$C$10000)-ROW($C$2)+1),ROWS(L$20:L682))))</f>
        <v>Jenni  Thorton</v>
      </c>
      <c r="I682" s="4">
        <f t="array" ref="I682">IF(ROWS(M$20:M682)&gt;$F$6,"",INDEX(C$2:C$10000,SMALL(IF(ISNUMBER(MATCH($B$2:$B$10000,$E$6:$E$22,0)),ROW($C$2:$C$10000)-ROW($C$2)+1),ROWS(M$20:M682))))</f>
        <v>3</v>
      </c>
      <c r="K682" s="7">
        <f t="array" ref="K682">IF(ROWS(K$20:K682)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682))))</f>
        <v>41786</v>
      </c>
      <c r="L682" s="4" t="str">
        <f t="array" ref="L682">IF(ROWS(L$20:L682)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682))))</f>
        <v>Jenni  Thorton</v>
      </c>
      <c r="M682" s="4">
        <f t="array" ref="M682">IF(ROWS(M$20:M682)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682))))</f>
        <v>3</v>
      </c>
    </row>
    <row r="683" spans="1:13" x14ac:dyDescent="0.25">
      <c r="A683" s="3">
        <v>41464</v>
      </c>
      <c r="B683" s="2" t="s">
        <v>7</v>
      </c>
      <c r="C683" s="2">
        <v>19</v>
      </c>
      <c r="G683" s="7">
        <f t="array" ref="G683">IF(ROWS(K$20:K683)&gt;$F$6,"",INDEX(A$2:A$10000,SMALL(IF(ISNUMBER(MATCH($B$2:$B$10000,$E$6:$E$22,0)),ROW($C$2:$C$10000)-ROW($C$2)+1),ROWS(K$20:K683))))</f>
        <v>41462</v>
      </c>
      <c r="H683" s="4" t="str">
        <f t="array" ref="H683">IF(ROWS(L$20:L683)&gt;$F$6,"",INDEX(B$2:B$10000,SMALL(IF(ISNUMBER(MATCH($B$2:$B$10000,$E$6:$E$22,0)),ROW($C$2:$C$10000)-ROW($C$2)+1),ROWS(L$20:L683))))</f>
        <v>Galen  Barth</v>
      </c>
      <c r="I683" s="4">
        <f t="array" ref="I683">IF(ROWS(M$20:M683)&gt;$F$6,"",INDEX(C$2:C$10000,SMALL(IF(ISNUMBER(MATCH($B$2:$B$10000,$E$6:$E$22,0)),ROW($C$2:$C$10000)-ROW($C$2)+1),ROWS(M$20:M683))))</f>
        <v>27</v>
      </c>
      <c r="K683" s="7">
        <f t="array" ref="K683">IF(ROWS(K$20:K683)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683))))</f>
        <v>41462</v>
      </c>
      <c r="L683" s="4" t="str">
        <f t="array" ref="L683">IF(ROWS(L$20:L683)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683))))</f>
        <v>Galen  Barth</v>
      </c>
      <c r="M683" s="4">
        <f t="array" ref="M683">IF(ROWS(M$20:M683)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683))))</f>
        <v>27</v>
      </c>
    </row>
    <row r="684" spans="1:13" x14ac:dyDescent="0.25">
      <c r="A684" s="3">
        <v>41788</v>
      </c>
      <c r="B684" s="2" t="s">
        <v>18</v>
      </c>
      <c r="C684" s="2">
        <v>13</v>
      </c>
      <c r="G684" s="7">
        <f t="array" ref="G684">IF(ROWS(K$20:K684)&gt;$F$6,"",INDEX(A$2:A$10000,SMALL(IF(ISNUMBER(MATCH($B$2:$B$10000,$E$6:$E$22,0)),ROW($C$2:$C$10000)-ROW($C$2)+1),ROWS(K$20:K684))))</f>
        <v>41705</v>
      </c>
      <c r="H684" s="4" t="str">
        <f t="array" ref="H684">IF(ROWS(L$20:L684)&gt;$F$6,"",INDEX(B$2:B$10000,SMALL(IF(ISNUMBER(MATCH($B$2:$B$10000,$E$6:$E$22,0)),ROW($C$2:$C$10000)-ROW($C$2)+1),ROWS(L$20:L684))))</f>
        <v>Kerrie  Worrell</v>
      </c>
      <c r="I684" s="4">
        <f t="array" ref="I684">IF(ROWS(M$20:M684)&gt;$F$6,"",INDEX(C$2:C$10000,SMALL(IF(ISNUMBER(MATCH($B$2:$B$10000,$E$6:$E$22,0)),ROW($C$2:$C$10000)-ROW($C$2)+1),ROWS(M$20:M684))))</f>
        <v>36</v>
      </c>
      <c r="K684" s="7">
        <f t="array" ref="K684">IF(ROWS(K$20:K684)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684))))</f>
        <v>41705</v>
      </c>
      <c r="L684" s="4" t="str">
        <f t="array" ref="L684">IF(ROWS(L$20:L684)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684))))</f>
        <v>Kerrie  Worrell</v>
      </c>
      <c r="M684" s="4">
        <f t="array" ref="M684">IF(ROWS(M$20:M684)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684))))</f>
        <v>36</v>
      </c>
    </row>
    <row r="685" spans="1:13" x14ac:dyDescent="0.25">
      <c r="A685" s="3">
        <v>41808</v>
      </c>
      <c r="B685" s="2" t="s">
        <v>44</v>
      </c>
      <c r="C685" s="2">
        <v>23</v>
      </c>
      <c r="G685" s="7">
        <f t="array" ref="G685">IF(ROWS(K$20:K685)&gt;$F$6,"",INDEX(A$2:A$10000,SMALL(IF(ISNUMBER(MATCH($B$2:$B$10000,$E$6:$E$22,0)),ROW($C$2:$C$10000)-ROW($C$2)+1),ROWS(K$20:K685))))</f>
        <v>41526</v>
      </c>
      <c r="H685" s="4" t="str">
        <f t="array" ref="H685">IF(ROWS(L$20:L685)&gt;$F$6,"",INDEX(B$2:B$10000,SMALL(IF(ISNUMBER(MATCH($B$2:$B$10000,$E$6:$E$22,0)),ROW($C$2:$C$10000)-ROW($C$2)+1),ROWS(L$20:L685))))</f>
        <v>Jenni  Thorton</v>
      </c>
      <c r="I685" s="4">
        <f t="array" ref="I685">IF(ROWS(M$20:M685)&gt;$F$6,"",INDEX(C$2:C$10000,SMALL(IF(ISNUMBER(MATCH($B$2:$B$10000,$E$6:$E$22,0)),ROW($C$2:$C$10000)-ROW($C$2)+1),ROWS(M$20:M685))))</f>
        <v>42</v>
      </c>
      <c r="K685" s="7">
        <f t="array" ref="K685">IF(ROWS(K$20:K685)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685))))</f>
        <v>41526</v>
      </c>
      <c r="L685" s="4" t="str">
        <f t="array" ref="L685">IF(ROWS(L$20:L685)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685))))</f>
        <v>Jenni  Thorton</v>
      </c>
      <c r="M685" s="4">
        <f t="array" ref="M685">IF(ROWS(M$20:M685)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685))))</f>
        <v>42</v>
      </c>
    </row>
    <row r="686" spans="1:13" x14ac:dyDescent="0.25">
      <c r="A686" s="3">
        <v>41524</v>
      </c>
      <c r="B686" s="2" t="s">
        <v>3</v>
      </c>
      <c r="C686" s="2">
        <v>29</v>
      </c>
      <c r="G686" s="7">
        <f t="array" ref="G686">IF(ROWS(K$20:K686)&gt;$F$6,"",INDEX(A$2:A$10000,SMALL(IF(ISNUMBER(MATCH($B$2:$B$10000,$E$6:$E$22,0)),ROW($C$2:$C$10000)-ROW($C$2)+1),ROWS(K$20:K686))))</f>
        <v>41853</v>
      </c>
      <c r="H686" s="4" t="str">
        <f t="array" ref="H686">IF(ROWS(L$20:L686)&gt;$F$6,"",INDEX(B$2:B$10000,SMALL(IF(ISNUMBER(MATCH($B$2:$B$10000,$E$6:$E$22,0)),ROW($C$2:$C$10000)-ROW($C$2)+1),ROWS(L$20:L686))))</f>
        <v>Iliana  Valerio</v>
      </c>
      <c r="I686" s="4">
        <f t="array" ref="I686">IF(ROWS(M$20:M686)&gt;$F$6,"",INDEX(C$2:C$10000,SMALL(IF(ISNUMBER(MATCH($B$2:$B$10000,$E$6:$E$22,0)),ROW($C$2:$C$10000)-ROW($C$2)+1),ROWS(M$20:M686))))</f>
        <v>14</v>
      </c>
      <c r="K686" s="7">
        <f t="array" ref="K686">IF(ROWS(K$20:K686)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686))))</f>
        <v>41853</v>
      </c>
      <c r="L686" s="4" t="str">
        <f t="array" ref="L686">IF(ROWS(L$20:L686)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686))))</f>
        <v>Iliana  Valerio</v>
      </c>
      <c r="M686" s="4">
        <f t="array" ref="M686">IF(ROWS(M$20:M686)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686))))</f>
        <v>14</v>
      </c>
    </row>
    <row r="687" spans="1:13" x14ac:dyDescent="0.25">
      <c r="A687" s="3">
        <v>41524</v>
      </c>
      <c r="B687" s="2" t="s">
        <v>46</v>
      </c>
      <c r="C687" s="2">
        <v>15</v>
      </c>
      <c r="G687" s="7">
        <f t="array" ref="G687">IF(ROWS(K$20:K687)&gt;$F$6,"",INDEX(A$2:A$10000,SMALL(IF(ISNUMBER(MATCH($B$2:$B$10000,$E$6:$E$22,0)),ROW($C$2:$C$10000)-ROW($C$2)+1),ROWS(K$20:K687))))</f>
        <v>41281</v>
      </c>
      <c r="H687" s="4" t="str">
        <f t="array" ref="H687">IF(ROWS(L$20:L687)&gt;$F$6,"",INDEX(B$2:B$10000,SMALL(IF(ISNUMBER(MATCH($B$2:$B$10000,$E$6:$E$22,0)),ROW($C$2:$C$10000)-ROW($C$2)+1),ROWS(L$20:L687))))</f>
        <v>Galen  Barth</v>
      </c>
      <c r="I687" s="4">
        <f t="array" ref="I687">IF(ROWS(M$20:M687)&gt;$F$6,"",INDEX(C$2:C$10000,SMALL(IF(ISNUMBER(MATCH($B$2:$B$10000,$E$6:$E$22,0)),ROW($C$2:$C$10000)-ROW($C$2)+1),ROWS(M$20:M687))))</f>
        <v>31</v>
      </c>
      <c r="K687" s="7">
        <f t="array" ref="K687">IF(ROWS(K$20:K687)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687))))</f>
        <v>41281</v>
      </c>
      <c r="L687" s="4" t="str">
        <f t="array" ref="L687">IF(ROWS(L$20:L687)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687))))</f>
        <v>Galen  Barth</v>
      </c>
      <c r="M687" s="4">
        <f t="array" ref="M687">IF(ROWS(M$20:M687)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687))))</f>
        <v>31</v>
      </c>
    </row>
    <row r="688" spans="1:13" x14ac:dyDescent="0.25">
      <c r="A688" s="3">
        <v>41362</v>
      </c>
      <c r="B688" s="2" t="s">
        <v>44</v>
      </c>
      <c r="C688" s="2">
        <v>43</v>
      </c>
      <c r="G688" s="7">
        <f t="array" ref="G688">IF(ROWS(K$20:K688)&gt;$F$6,"",INDEX(A$2:A$10000,SMALL(IF(ISNUMBER(MATCH($B$2:$B$10000,$E$6:$E$22,0)),ROW($C$2:$C$10000)-ROW($C$2)+1),ROWS(K$20:K688))))</f>
        <v>41467</v>
      </c>
      <c r="H688" s="4" t="str">
        <f t="array" ref="H688">IF(ROWS(L$20:L688)&gt;$F$6,"",INDEX(B$2:B$10000,SMALL(IF(ISNUMBER(MATCH($B$2:$B$10000,$E$6:$E$22,0)),ROW($C$2:$C$10000)-ROW($C$2)+1),ROWS(L$20:L688))))</f>
        <v>Rosamond  Allard</v>
      </c>
      <c r="I688" s="4">
        <f t="array" ref="I688">IF(ROWS(M$20:M688)&gt;$F$6,"",INDEX(C$2:C$10000,SMALL(IF(ISNUMBER(MATCH($B$2:$B$10000,$E$6:$E$22,0)),ROW($C$2:$C$10000)-ROW($C$2)+1),ROWS(M$20:M688))))</f>
        <v>41</v>
      </c>
      <c r="K688" s="7">
        <f t="array" ref="K688">IF(ROWS(K$20:K688)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688))))</f>
        <v>41467</v>
      </c>
      <c r="L688" s="4" t="str">
        <f t="array" ref="L688">IF(ROWS(L$20:L688)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688))))</f>
        <v>Rosamond  Allard</v>
      </c>
      <c r="M688" s="4">
        <f t="array" ref="M688">IF(ROWS(M$20:M688)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688))))</f>
        <v>41</v>
      </c>
    </row>
    <row r="689" spans="1:13" x14ac:dyDescent="0.25">
      <c r="A689" s="3">
        <v>41944</v>
      </c>
      <c r="B689" s="2" t="s">
        <v>20</v>
      </c>
      <c r="C689" s="2">
        <v>19</v>
      </c>
      <c r="G689" s="7">
        <f t="array" ref="G689">IF(ROWS(K$20:K689)&gt;$F$6,"",INDEX(A$2:A$10000,SMALL(IF(ISNUMBER(MATCH($B$2:$B$10000,$E$6:$E$22,0)),ROW($C$2:$C$10000)-ROW($C$2)+1),ROWS(K$20:K689))))</f>
        <v>41953</v>
      </c>
      <c r="H689" s="4" t="str">
        <f t="array" ref="H689">IF(ROWS(L$20:L689)&gt;$F$6,"",INDEX(B$2:B$10000,SMALL(IF(ISNUMBER(MATCH($B$2:$B$10000,$E$6:$E$22,0)),ROW($C$2:$C$10000)-ROW($C$2)+1),ROWS(L$20:L689))))</f>
        <v>Iliana  Valerio</v>
      </c>
      <c r="I689" s="4">
        <f t="array" ref="I689">IF(ROWS(M$20:M689)&gt;$F$6,"",INDEX(C$2:C$10000,SMALL(IF(ISNUMBER(MATCH($B$2:$B$10000,$E$6:$E$22,0)),ROW($C$2:$C$10000)-ROW($C$2)+1),ROWS(M$20:M689))))</f>
        <v>9</v>
      </c>
      <c r="K689" s="7">
        <f t="array" ref="K689">IF(ROWS(K$20:K689)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689))))</f>
        <v>41953</v>
      </c>
      <c r="L689" s="4" t="str">
        <f t="array" ref="L689">IF(ROWS(L$20:L689)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689))))</f>
        <v>Iliana  Valerio</v>
      </c>
      <c r="M689" s="4">
        <f t="array" ref="M689">IF(ROWS(M$20:M689)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689))))</f>
        <v>9</v>
      </c>
    </row>
    <row r="690" spans="1:13" x14ac:dyDescent="0.25">
      <c r="A690" s="3">
        <v>41488</v>
      </c>
      <c r="B690" s="2" t="s">
        <v>2</v>
      </c>
      <c r="C690" s="2">
        <v>26</v>
      </c>
      <c r="G690" s="7">
        <f t="array" ref="G690">IF(ROWS(K$20:K690)&gt;$F$6,"",INDEX(A$2:A$10000,SMALL(IF(ISNUMBER(MATCH($B$2:$B$10000,$E$6:$E$22,0)),ROW($C$2:$C$10000)-ROW($C$2)+1),ROWS(K$20:K690))))</f>
        <v>41578</v>
      </c>
      <c r="H690" s="4" t="str">
        <f t="array" ref="H690">IF(ROWS(L$20:L690)&gt;$F$6,"",INDEX(B$2:B$10000,SMALL(IF(ISNUMBER(MATCH($B$2:$B$10000,$E$6:$E$22,0)),ROW($C$2:$C$10000)-ROW($C$2)+1),ROWS(L$20:L690))))</f>
        <v>Rosamond  Allard</v>
      </c>
      <c r="I690" s="4">
        <f t="array" ref="I690">IF(ROWS(M$20:M690)&gt;$F$6,"",INDEX(C$2:C$10000,SMALL(IF(ISNUMBER(MATCH($B$2:$B$10000,$E$6:$E$22,0)),ROW($C$2:$C$10000)-ROW($C$2)+1),ROWS(M$20:M690))))</f>
        <v>19</v>
      </c>
      <c r="K690" s="7">
        <f t="array" ref="K690">IF(ROWS(K$20:K690)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690))))</f>
        <v>41578</v>
      </c>
      <c r="L690" s="4" t="str">
        <f t="array" ref="L690">IF(ROWS(L$20:L690)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690))))</f>
        <v>Rosamond  Allard</v>
      </c>
      <c r="M690" s="4">
        <f t="array" ref="M690">IF(ROWS(M$20:M690)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690))))</f>
        <v>19</v>
      </c>
    </row>
    <row r="691" spans="1:13" x14ac:dyDescent="0.25">
      <c r="A691" s="3">
        <v>41929</v>
      </c>
      <c r="B691" s="2" t="s">
        <v>2</v>
      </c>
      <c r="C691" s="2">
        <v>35</v>
      </c>
      <c r="G691" s="7">
        <f t="array" ref="G691">IF(ROWS(K$20:K691)&gt;$F$6,"",INDEX(A$2:A$10000,SMALL(IF(ISNUMBER(MATCH($B$2:$B$10000,$E$6:$E$22,0)),ROW($C$2:$C$10000)-ROW($C$2)+1),ROWS(K$20:K691))))</f>
        <v>41750</v>
      </c>
      <c r="H691" s="4" t="str">
        <f t="array" ref="H691">IF(ROWS(L$20:L691)&gt;$F$6,"",INDEX(B$2:B$10000,SMALL(IF(ISNUMBER(MATCH($B$2:$B$10000,$E$6:$E$22,0)),ROW($C$2:$C$10000)-ROW($C$2)+1),ROWS(L$20:L691))))</f>
        <v>Rosamond  Allard</v>
      </c>
      <c r="I691" s="4">
        <f t="array" ref="I691">IF(ROWS(M$20:M691)&gt;$F$6,"",INDEX(C$2:C$10000,SMALL(IF(ISNUMBER(MATCH($B$2:$B$10000,$E$6:$E$22,0)),ROW($C$2:$C$10000)-ROW($C$2)+1),ROWS(M$20:M691))))</f>
        <v>37</v>
      </c>
      <c r="K691" s="7">
        <f t="array" ref="K691">IF(ROWS(K$20:K691)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691))))</f>
        <v>41750</v>
      </c>
      <c r="L691" s="4" t="str">
        <f t="array" ref="L691">IF(ROWS(L$20:L691)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691))))</f>
        <v>Rosamond  Allard</v>
      </c>
      <c r="M691" s="4">
        <f t="array" ref="M691">IF(ROWS(M$20:M691)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691))))</f>
        <v>37</v>
      </c>
    </row>
    <row r="692" spans="1:13" x14ac:dyDescent="0.25">
      <c r="A692" s="3">
        <v>41978</v>
      </c>
      <c r="B692" s="2" t="s">
        <v>5</v>
      </c>
      <c r="C692" s="2">
        <v>7</v>
      </c>
      <c r="G692" s="7">
        <f t="array" ref="G692">IF(ROWS(K$20:K692)&gt;$F$6,"",INDEX(A$2:A$10000,SMALL(IF(ISNUMBER(MATCH($B$2:$B$10000,$E$6:$E$22,0)),ROW($C$2:$C$10000)-ROW($C$2)+1),ROWS(K$20:K692))))</f>
        <v>41317</v>
      </c>
      <c r="H692" s="4" t="str">
        <f t="array" ref="H692">IF(ROWS(L$20:L692)&gt;$F$6,"",INDEX(B$2:B$10000,SMALL(IF(ISNUMBER(MATCH($B$2:$B$10000,$E$6:$E$22,0)),ROW($C$2:$C$10000)-ROW($C$2)+1),ROWS(L$20:L692))))</f>
        <v>Mickey  Bolduc</v>
      </c>
      <c r="I692" s="4">
        <f t="array" ref="I692">IF(ROWS(M$20:M692)&gt;$F$6,"",INDEX(C$2:C$10000,SMALL(IF(ISNUMBER(MATCH($B$2:$B$10000,$E$6:$E$22,0)),ROW($C$2:$C$10000)-ROW($C$2)+1),ROWS(M$20:M692))))</f>
        <v>36</v>
      </c>
      <c r="K692" s="7">
        <f t="array" ref="K692">IF(ROWS(K$20:K692)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692))))</f>
        <v>41317</v>
      </c>
      <c r="L692" s="4" t="str">
        <f t="array" ref="L692">IF(ROWS(L$20:L692)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692))))</f>
        <v>Mickey  Bolduc</v>
      </c>
      <c r="M692" s="4">
        <f t="array" ref="M692">IF(ROWS(M$20:M692)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692))))</f>
        <v>36</v>
      </c>
    </row>
    <row r="693" spans="1:13" x14ac:dyDescent="0.25">
      <c r="A693" s="3">
        <v>41395</v>
      </c>
      <c r="B693" s="2" t="s">
        <v>14</v>
      </c>
      <c r="C693" s="2">
        <v>12</v>
      </c>
      <c r="G693" s="7">
        <f t="array" ref="G693">IF(ROWS(K$20:K693)&gt;$F$6,"",INDEX(A$2:A$10000,SMALL(IF(ISNUMBER(MATCH($B$2:$B$10000,$E$6:$E$22,0)),ROW($C$2:$C$10000)-ROW($C$2)+1),ROWS(K$20:K693))))</f>
        <v>41843</v>
      </c>
      <c r="H693" s="4" t="str">
        <f t="array" ref="H693">IF(ROWS(L$20:L693)&gt;$F$6,"",INDEX(B$2:B$10000,SMALL(IF(ISNUMBER(MATCH($B$2:$B$10000,$E$6:$E$22,0)),ROW($C$2:$C$10000)-ROW($C$2)+1),ROWS(L$20:L693))))</f>
        <v>Kerrie  Worrell</v>
      </c>
      <c r="I693" s="4">
        <f t="array" ref="I693">IF(ROWS(M$20:M693)&gt;$F$6,"",INDEX(C$2:C$10000,SMALL(IF(ISNUMBER(MATCH($B$2:$B$10000,$E$6:$E$22,0)),ROW($C$2:$C$10000)-ROW($C$2)+1),ROWS(M$20:M693))))</f>
        <v>21</v>
      </c>
      <c r="K693" s="7">
        <f t="array" ref="K693">IF(ROWS(K$20:K693)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693))))</f>
        <v>41843</v>
      </c>
      <c r="L693" s="4" t="str">
        <f t="array" ref="L693">IF(ROWS(L$20:L693)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693))))</f>
        <v>Kerrie  Worrell</v>
      </c>
      <c r="M693" s="4">
        <f t="array" ref="M693">IF(ROWS(M$20:M693)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693))))</f>
        <v>21</v>
      </c>
    </row>
    <row r="694" spans="1:13" x14ac:dyDescent="0.25">
      <c r="A694" s="3">
        <v>41911</v>
      </c>
      <c r="B694" s="2" t="s">
        <v>51</v>
      </c>
      <c r="C694" s="2">
        <v>5</v>
      </c>
      <c r="G694" s="7">
        <f t="array" ref="G694">IF(ROWS(K$20:K694)&gt;$F$6,"",INDEX(A$2:A$10000,SMALL(IF(ISNUMBER(MATCH($B$2:$B$10000,$E$6:$E$22,0)),ROW($C$2:$C$10000)-ROW($C$2)+1),ROWS(K$20:K694))))</f>
        <v>41836</v>
      </c>
      <c r="H694" s="4" t="str">
        <f t="array" ref="H694">IF(ROWS(L$20:L694)&gt;$F$6,"",INDEX(B$2:B$10000,SMALL(IF(ISNUMBER(MATCH($B$2:$B$10000,$E$6:$E$22,0)),ROW($C$2:$C$10000)-ROW($C$2)+1),ROWS(L$20:L694))))</f>
        <v>Kerrie  Worrell</v>
      </c>
      <c r="I694" s="4">
        <f t="array" ref="I694">IF(ROWS(M$20:M694)&gt;$F$6,"",INDEX(C$2:C$10000,SMALL(IF(ISNUMBER(MATCH($B$2:$B$10000,$E$6:$E$22,0)),ROW($C$2:$C$10000)-ROW($C$2)+1),ROWS(M$20:M694))))</f>
        <v>19</v>
      </c>
      <c r="K694" s="7">
        <f t="array" ref="K694">IF(ROWS(K$20:K694)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694))))</f>
        <v>41836</v>
      </c>
      <c r="L694" s="4" t="str">
        <f t="array" ref="L694">IF(ROWS(L$20:L694)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694))))</f>
        <v>Kerrie  Worrell</v>
      </c>
      <c r="M694" s="4">
        <f t="array" ref="M694">IF(ROWS(M$20:M694)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694))))</f>
        <v>19</v>
      </c>
    </row>
    <row r="695" spans="1:13" x14ac:dyDescent="0.25">
      <c r="A695" s="3">
        <v>41965</v>
      </c>
      <c r="B695" s="2" t="s">
        <v>37</v>
      </c>
      <c r="C695" s="2">
        <v>43</v>
      </c>
      <c r="G695" s="7">
        <f t="array" ref="G695">IF(ROWS(K$20:K695)&gt;$F$6,"",INDEX(A$2:A$10000,SMALL(IF(ISNUMBER(MATCH($B$2:$B$10000,$E$6:$E$22,0)),ROW($C$2:$C$10000)-ROW($C$2)+1),ROWS(K$20:K695))))</f>
        <v>41630</v>
      </c>
      <c r="H695" s="4" t="str">
        <f t="array" ref="H695">IF(ROWS(L$20:L695)&gt;$F$6,"",INDEX(B$2:B$10000,SMALL(IF(ISNUMBER(MATCH($B$2:$B$10000,$E$6:$E$22,0)),ROW($C$2:$C$10000)-ROW($C$2)+1),ROWS(L$20:L695))))</f>
        <v>Rosamond  Allard</v>
      </c>
      <c r="I695" s="4">
        <f t="array" ref="I695">IF(ROWS(M$20:M695)&gt;$F$6,"",INDEX(C$2:C$10000,SMALL(IF(ISNUMBER(MATCH($B$2:$B$10000,$E$6:$E$22,0)),ROW($C$2:$C$10000)-ROW($C$2)+1),ROWS(M$20:M695))))</f>
        <v>12</v>
      </c>
      <c r="K695" s="7">
        <f t="array" ref="K695">IF(ROWS(K$20:K695)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695))))</f>
        <v>41630</v>
      </c>
      <c r="L695" s="4" t="str">
        <f t="array" ref="L695">IF(ROWS(L$20:L695)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695))))</f>
        <v>Rosamond  Allard</v>
      </c>
      <c r="M695" s="4">
        <f t="array" ref="M695">IF(ROWS(M$20:M695)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695))))</f>
        <v>12</v>
      </c>
    </row>
    <row r="696" spans="1:13" x14ac:dyDescent="0.25">
      <c r="A696" s="3">
        <v>41712</v>
      </c>
      <c r="B696" s="2" t="s">
        <v>9</v>
      </c>
      <c r="C696" s="2">
        <v>6</v>
      </c>
      <c r="G696" s="7">
        <f t="array" ref="G696">IF(ROWS(K$20:K696)&gt;$F$6,"",INDEX(A$2:A$10000,SMALL(IF(ISNUMBER(MATCH($B$2:$B$10000,$E$6:$E$22,0)),ROW($C$2:$C$10000)-ROW($C$2)+1),ROWS(K$20:K696))))</f>
        <v>41947</v>
      </c>
      <c r="H696" s="4" t="str">
        <f t="array" ref="H696">IF(ROWS(L$20:L696)&gt;$F$6,"",INDEX(B$2:B$10000,SMALL(IF(ISNUMBER(MATCH($B$2:$B$10000,$E$6:$E$22,0)),ROW($C$2:$C$10000)-ROW($C$2)+1),ROWS(L$20:L696))))</f>
        <v>Rosamond  Allard</v>
      </c>
      <c r="I696" s="4">
        <f t="array" ref="I696">IF(ROWS(M$20:M696)&gt;$F$6,"",INDEX(C$2:C$10000,SMALL(IF(ISNUMBER(MATCH($B$2:$B$10000,$E$6:$E$22,0)),ROW($C$2:$C$10000)-ROW($C$2)+1),ROWS(M$20:M696))))</f>
        <v>6</v>
      </c>
      <c r="K696" s="7">
        <f t="array" ref="K696">IF(ROWS(K$20:K696)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696))))</f>
        <v>41947</v>
      </c>
      <c r="L696" s="4" t="str">
        <f t="array" ref="L696">IF(ROWS(L$20:L696)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696))))</f>
        <v>Rosamond  Allard</v>
      </c>
      <c r="M696" s="4">
        <f t="array" ref="M696">IF(ROWS(M$20:M696)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696))))</f>
        <v>6</v>
      </c>
    </row>
    <row r="697" spans="1:13" x14ac:dyDescent="0.25">
      <c r="A697" s="3">
        <v>41526</v>
      </c>
      <c r="B697" s="2" t="s">
        <v>7</v>
      </c>
      <c r="C697" s="2">
        <v>23</v>
      </c>
      <c r="G697" s="7">
        <f t="array" ref="G697">IF(ROWS(K$20:K697)&gt;$F$6,"",INDEX(A$2:A$10000,SMALL(IF(ISNUMBER(MATCH($B$2:$B$10000,$E$6:$E$22,0)),ROW($C$2:$C$10000)-ROW($C$2)+1),ROWS(K$20:K697))))</f>
        <v>41858</v>
      </c>
      <c r="H697" s="4" t="str">
        <f t="array" ref="H697">IF(ROWS(L$20:L697)&gt;$F$6,"",INDEX(B$2:B$10000,SMALL(IF(ISNUMBER(MATCH($B$2:$B$10000,$E$6:$E$22,0)),ROW($C$2:$C$10000)-ROW($C$2)+1),ROWS(L$20:L697))))</f>
        <v>Iliana  Valerio</v>
      </c>
      <c r="I697" s="4">
        <f t="array" ref="I697">IF(ROWS(M$20:M697)&gt;$F$6,"",INDEX(C$2:C$10000,SMALL(IF(ISNUMBER(MATCH($B$2:$B$10000,$E$6:$E$22,0)),ROW($C$2:$C$10000)-ROW($C$2)+1),ROWS(M$20:M697))))</f>
        <v>33</v>
      </c>
      <c r="K697" s="7">
        <f t="array" ref="K697">IF(ROWS(K$20:K697)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697))))</f>
        <v>41858</v>
      </c>
      <c r="L697" s="4" t="str">
        <f t="array" ref="L697">IF(ROWS(L$20:L697)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697))))</f>
        <v>Iliana  Valerio</v>
      </c>
      <c r="M697" s="4">
        <f t="array" ref="M697">IF(ROWS(M$20:M697)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697))))</f>
        <v>33</v>
      </c>
    </row>
    <row r="698" spans="1:13" x14ac:dyDescent="0.25">
      <c r="A698" s="3">
        <v>41608</v>
      </c>
      <c r="B698" s="2" t="s">
        <v>25</v>
      </c>
      <c r="C698" s="2">
        <v>36</v>
      </c>
      <c r="G698" s="7">
        <f t="array" ref="G698">IF(ROWS(K$20:K698)&gt;$F$6,"",INDEX(A$2:A$10000,SMALL(IF(ISNUMBER(MATCH($B$2:$B$10000,$E$6:$E$22,0)),ROW($C$2:$C$10000)-ROW($C$2)+1),ROWS(K$20:K698))))</f>
        <v>41610</v>
      </c>
      <c r="H698" s="4" t="str">
        <f t="array" ref="H698">IF(ROWS(L$20:L698)&gt;$F$6,"",INDEX(B$2:B$10000,SMALL(IF(ISNUMBER(MATCH($B$2:$B$10000,$E$6:$E$22,0)),ROW($C$2:$C$10000)-ROW($C$2)+1),ROWS(L$20:L698))))</f>
        <v>Jenni  Thorton</v>
      </c>
      <c r="I698" s="4">
        <f t="array" ref="I698">IF(ROWS(M$20:M698)&gt;$F$6,"",INDEX(C$2:C$10000,SMALL(IF(ISNUMBER(MATCH($B$2:$B$10000,$E$6:$E$22,0)),ROW($C$2:$C$10000)-ROW($C$2)+1),ROWS(M$20:M698))))</f>
        <v>17</v>
      </c>
      <c r="K698" s="7">
        <f t="array" ref="K698">IF(ROWS(K$20:K698)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698))))</f>
        <v>41610</v>
      </c>
      <c r="L698" s="4" t="str">
        <f t="array" ref="L698">IF(ROWS(L$20:L698)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698))))</f>
        <v>Jenni  Thorton</v>
      </c>
      <c r="M698" s="4">
        <f t="array" ref="M698">IF(ROWS(M$20:M698)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698))))</f>
        <v>17</v>
      </c>
    </row>
    <row r="699" spans="1:13" x14ac:dyDescent="0.25">
      <c r="A699" s="3">
        <v>41719</v>
      </c>
      <c r="B699" s="2" t="s">
        <v>49</v>
      </c>
      <c r="C699" s="2">
        <v>26</v>
      </c>
      <c r="G699" s="7">
        <f t="array" ref="G699">IF(ROWS(K$20:K699)&gt;$F$6,"",INDEX(A$2:A$10000,SMALL(IF(ISNUMBER(MATCH($B$2:$B$10000,$E$6:$E$22,0)),ROW($C$2:$C$10000)-ROW($C$2)+1),ROWS(K$20:K699))))</f>
        <v>41542</v>
      </c>
      <c r="H699" s="4" t="str">
        <f t="array" ref="H699">IF(ROWS(L$20:L699)&gt;$F$6,"",INDEX(B$2:B$10000,SMALL(IF(ISNUMBER(MATCH($B$2:$B$10000,$E$6:$E$22,0)),ROW($C$2:$C$10000)-ROW($C$2)+1),ROWS(L$20:L699))))</f>
        <v>Rosamond  Allard</v>
      </c>
      <c r="I699" s="4">
        <f t="array" ref="I699">IF(ROWS(M$20:M699)&gt;$F$6,"",INDEX(C$2:C$10000,SMALL(IF(ISNUMBER(MATCH($B$2:$B$10000,$E$6:$E$22,0)),ROW($C$2:$C$10000)-ROW($C$2)+1),ROWS(M$20:M699))))</f>
        <v>50</v>
      </c>
      <c r="K699" s="7">
        <f t="array" ref="K699">IF(ROWS(K$20:K699)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699))))</f>
        <v>41542</v>
      </c>
      <c r="L699" s="4" t="str">
        <f t="array" ref="L699">IF(ROWS(L$20:L699)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699))))</f>
        <v>Rosamond  Allard</v>
      </c>
      <c r="M699" s="4">
        <f t="array" ref="M699">IF(ROWS(M$20:M699)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699))))</f>
        <v>50</v>
      </c>
    </row>
    <row r="700" spans="1:13" x14ac:dyDescent="0.25">
      <c r="A700" s="3">
        <v>41661</v>
      </c>
      <c r="B700" s="2" t="s">
        <v>44</v>
      </c>
      <c r="C700" s="2">
        <v>44</v>
      </c>
      <c r="G700" s="7">
        <f t="array" ref="G700">IF(ROWS(K$20:K700)&gt;$F$6,"",INDEX(A$2:A$10000,SMALL(IF(ISNUMBER(MATCH($B$2:$B$10000,$E$6:$E$22,0)),ROW($C$2:$C$10000)-ROW($C$2)+1),ROWS(K$20:K700))))</f>
        <v>41345</v>
      </c>
      <c r="H700" s="4" t="str">
        <f t="array" ref="H700">IF(ROWS(L$20:L700)&gt;$F$6,"",INDEX(B$2:B$10000,SMALL(IF(ISNUMBER(MATCH($B$2:$B$10000,$E$6:$E$22,0)),ROW($C$2:$C$10000)-ROW($C$2)+1),ROWS(L$20:L700))))</f>
        <v>Galen  Barth</v>
      </c>
      <c r="I700" s="4">
        <f t="array" ref="I700">IF(ROWS(M$20:M700)&gt;$F$6,"",INDEX(C$2:C$10000,SMALL(IF(ISNUMBER(MATCH($B$2:$B$10000,$E$6:$E$22,0)),ROW($C$2:$C$10000)-ROW($C$2)+1),ROWS(M$20:M700))))</f>
        <v>44</v>
      </c>
      <c r="K700" s="7">
        <f t="array" ref="K700">IF(ROWS(K$20:K700)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700))))</f>
        <v>41345</v>
      </c>
      <c r="L700" s="4" t="str">
        <f t="array" ref="L700">IF(ROWS(L$20:L700)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700))))</f>
        <v>Galen  Barth</v>
      </c>
      <c r="M700" s="4">
        <f t="array" ref="M700">IF(ROWS(M$20:M700)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700))))</f>
        <v>44</v>
      </c>
    </row>
    <row r="701" spans="1:13" x14ac:dyDescent="0.25">
      <c r="A701" s="3">
        <v>41859</v>
      </c>
      <c r="B701" s="2" t="s">
        <v>25</v>
      </c>
      <c r="C701" s="2">
        <v>21</v>
      </c>
      <c r="G701" s="7">
        <f t="array" ref="G701">IF(ROWS(K$20:K701)&gt;$F$6,"",INDEX(A$2:A$10000,SMALL(IF(ISNUMBER(MATCH($B$2:$B$10000,$E$6:$E$22,0)),ROW($C$2:$C$10000)-ROW($C$2)+1),ROWS(K$20:K701))))</f>
        <v>41309</v>
      </c>
      <c r="H701" s="4" t="str">
        <f t="array" ref="H701">IF(ROWS(L$20:L701)&gt;$F$6,"",INDEX(B$2:B$10000,SMALL(IF(ISNUMBER(MATCH($B$2:$B$10000,$E$6:$E$22,0)),ROW($C$2:$C$10000)-ROW($C$2)+1),ROWS(L$20:L701))))</f>
        <v>Kerrie  Worrell</v>
      </c>
      <c r="I701" s="4">
        <f t="array" ref="I701">IF(ROWS(M$20:M701)&gt;$F$6,"",INDEX(C$2:C$10000,SMALL(IF(ISNUMBER(MATCH($B$2:$B$10000,$E$6:$E$22,0)),ROW($C$2:$C$10000)-ROW($C$2)+1),ROWS(M$20:M701))))</f>
        <v>27</v>
      </c>
      <c r="K701" s="7">
        <f t="array" ref="K701">IF(ROWS(K$20:K701)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701))))</f>
        <v>41309</v>
      </c>
      <c r="L701" s="4" t="str">
        <f t="array" ref="L701">IF(ROWS(L$20:L701)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701))))</f>
        <v>Kerrie  Worrell</v>
      </c>
      <c r="M701" s="4">
        <f t="array" ref="M701">IF(ROWS(M$20:M701)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701))))</f>
        <v>27</v>
      </c>
    </row>
    <row r="702" spans="1:13" x14ac:dyDescent="0.25">
      <c r="A702" s="3">
        <v>41986</v>
      </c>
      <c r="B702" s="2" t="s">
        <v>38</v>
      </c>
      <c r="C702" s="2">
        <v>7</v>
      </c>
      <c r="G702" s="7">
        <f t="array" ref="G702">IF(ROWS(K$20:K702)&gt;$F$6,"",INDEX(A$2:A$10000,SMALL(IF(ISNUMBER(MATCH($B$2:$B$10000,$E$6:$E$22,0)),ROW($C$2:$C$10000)-ROW($C$2)+1),ROWS(K$20:K702))))</f>
        <v>41767</v>
      </c>
      <c r="H702" s="4" t="str">
        <f t="array" ref="H702">IF(ROWS(L$20:L702)&gt;$F$6,"",INDEX(B$2:B$10000,SMALL(IF(ISNUMBER(MATCH($B$2:$B$10000,$E$6:$E$22,0)),ROW($C$2:$C$10000)-ROW($C$2)+1),ROWS(L$20:L702))))</f>
        <v>Mickey  Bolduc</v>
      </c>
      <c r="I702" s="4">
        <f t="array" ref="I702">IF(ROWS(M$20:M702)&gt;$F$6,"",INDEX(C$2:C$10000,SMALL(IF(ISNUMBER(MATCH($B$2:$B$10000,$E$6:$E$22,0)),ROW($C$2:$C$10000)-ROW($C$2)+1),ROWS(M$20:M702))))</f>
        <v>5</v>
      </c>
      <c r="K702" s="7">
        <f t="array" ref="K702">IF(ROWS(K$20:K702)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702))))</f>
        <v>41767</v>
      </c>
      <c r="L702" s="4" t="str">
        <f t="array" ref="L702">IF(ROWS(L$20:L702)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702))))</f>
        <v>Mickey  Bolduc</v>
      </c>
      <c r="M702" s="4">
        <f t="array" ref="M702">IF(ROWS(M$20:M702)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702))))</f>
        <v>5</v>
      </c>
    </row>
    <row r="703" spans="1:13" x14ac:dyDescent="0.25">
      <c r="A703" s="3">
        <v>41384</v>
      </c>
      <c r="B703" s="2" t="s">
        <v>3</v>
      </c>
      <c r="C703" s="2">
        <v>18</v>
      </c>
      <c r="G703" s="7">
        <f t="array" ref="G703">IF(ROWS(K$20:K703)&gt;$F$6,"",INDEX(A$2:A$10000,SMALL(IF(ISNUMBER(MATCH($B$2:$B$10000,$E$6:$E$22,0)),ROW($C$2:$C$10000)-ROW($C$2)+1),ROWS(K$20:K703))))</f>
        <v>41911</v>
      </c>
      <c r="H703" s="4" t="str">
        <f t="array" ref="H703">IF(ROWS(L$20:L703)&gt;$F$6,"",INDEX(B$2:B$10000,SMALL(IF(ISNUMBER(MATCH($B$2:$B$10000,$E$6:$E$22,0)),ROW($C$2:$C$10000)-ROW($C$2)+1),ROWS(L$20:L703))))</f>
        <v>Jenni  Thorton</v>
      </c>
      <c r="I703" s="4">
        <f t="array" ref="I703">IF(ROWS(M$20:M703)&gt;$F$6,"",INDEX(C$2:C$10000,SMALL(IF(ISNUMBER(MATCH($B$2:$B$10000,$E$6:$E$22,0)),ROW($C$2:$C$10000)-ROW($C$2)+1),ROWS(M$20:M703))))</f>
        <v>20</v>
      </c>
      <c r="K703" s="7">
        <f t="array" ref="K703">IF(ROWS(K$20:K703)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703))))</f>
        <v>41911</v>
      </c>
      <c r="L703" s="4" t="str">
        <f t="array" ref="L703">IF(ROWS(L$20:L703)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703))))</f>
        <v>Jenni  Thorton</v>
      </c>
      <c r="M703" s="4">
        <f t="array" ref="M703">IF(ROWS(M$20:M703)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703))))</f>
        <v>20</v>
      </c>
    </row>
    <row r="704" spans="1:13" x14ac:dyDescent="0.25">
      <c r="A704" s="3">
        <v>41726</v>
      </c>
      <c r="B704" s="2" t="s">
        <v>8</v>
      </c>
      <c r="C704" s="2">
        <v>20</v>
      </c>
      <c r="G704" s="7">
        <f t="array" ref="G704">IF(ROWS(K$20:K704)&gt;$F$6,"",INDEX(A$2:A$10000,SMALL(IF(ISNUMBER(MATCH($B$2:$B$10000,$E$6:$E$22,0)),ROW($C$2:$C$10000)-ROW($C$2)+1),ROWS(K$20:K704))))</f>
        <v>41762</v>
      </c>
      <c r="H704" s="4" t="str">
        <f t="array" ref="H704">IF(ROWS(L$20:L704)&gt;$F$6,"",INDEX(B$2:B$10000,SMALL(IF(ISNUMBER(MATCH($B$2:$B$10000,$E$6:$E$22,0)),ROW($C$2:$C$10000)-ROW($C$2)+1),ROWS(L$20:L704))))</f>
        <v>Kerrie  Worrell</v>
      </c>
      <c r="I704" s="4">
        <f t="array" ref="I704">IF(ROWS(M$20:M704)&gt;$F$6,"",INDEX(C$2:C$10000,SMALL(IF(ISNUMBER(MATCH($B$2:$B$10000,$E$6:$E$22,0)),ROW($C$2:$C$10000)-ROW($C$2)+1),ROWS(M$20:M704))))</f>
        <v>1</v>
      </c>
      <c r="K704" s="7">
        <f t="array" ref="K704">IF(ROWS(K$20:K704)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704))))</f>
        <v>41762</v>
      </c>
      <c r="L704" s="4" t="str">
        <f t="array" ref="L704">IF(ROWS(L$20:L704)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704))))</f>
        <v>Kerrie  Worrell</v>
      </c>
      <c r="M704" s="4">
        <f t="array" ref="M704">IF(ROWS(M$20:M704)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704))))</f>
        <v>1</v>
      </c>
    </row>
    <row r="705" spans="1:13" x14ac:dyDescent="0.25">
      <c r="A705" s="3">
        <v>42002</v>
      </c>
      <c r="B705" s="2" t="s">
        <v>12</v>
      </c>
      <c r="C705" s="2">
        <v>11</v>
      </c>
      <c r="G705" s="7">
        <f t="array" ref="G705">IF(ROWS(K$20:K705)&gt;$F$6,"",INDEX(A$2:A$10000,SMALL(IF(ISNUMBER(MATCH($B$2:$B$10000,$E$6:$E$22,0)),ROW($C$2:$C$10000)-ROW($C$2)+1),ROWS(K$20:K705))))</f>
        <v>41495</v>
      </c>
      <c r="H705" s="4" t="str">
        <f t="array" ref="H705">IF(ROWS(L$20:L705)&gt;$F$6,"",INDEX(B$2:B$10000,SMALL(IF(ISNUMBER(MATCH($B$2:$B$10000,$E$6:$E$22,0)),ROW($C$2:$C$10000)-ROW($C$2)+1),ROWS(L$20:L705))))</f>
        <v>Galen  Barth</v>
      </c>
      <c r="I705" s="4">
        <f t="array" ref="I705">IF(ROWS(M$20:M705)&gt;$F$6,"",INDEX(C$2:C$10000,SMALL(IF(ISNUMBER(MATCH($B$2:$B$10000,$E$6:$E$22,0)),ROW($C$2:$C$10000)-ROW($C$2)+1),ROWS(M$20:M705))))</f>
        <v>21</v>
      </c>
      <c r="K705" s="7">
        <f t="array" ref="K705">IF(ROWS(K$20:K705)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705))))</f>
        <v>41495</v>
      </c>
      <c r="L705" s="4" t="str">
        <f t="array" ref="L705">IF(ROWS(L$20:L705)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705))))</f>
        <v>Galen  Barth</v>
      </c>
      <c r="M705" s="4">
        <f t="array" ref="M705">IF(ROWS(M$20:M705)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705))))</f>
        <v>21</v>
      </c>
    </row>
    <row r="706" spans="1:13" x14ac:dyDescent="0.25">
      <c r="A706" s="3">
        <v>41608</v>
      </c>
      <c r="B706" s="2" t="s">
        <v>31</v>
      </c>
      <c r="C706" s="2">
        <v>2</v>
      </c>
      <c r="G706" s="7">
        <f t="array" ref="G706">IF(ROWS(K$20:K706)&gt;$F$6,"",INDEX(A$2:A$10000,SMALL(IF(ISNUMBER(MATCH($B$2:$B$10000,$E$6:$E$22,0)),ROW($C$2:$C$10000)-ROW($C$2)+1),ROWS(K$20:K706))))</f>
        <v>41695</v>
      </c>
      <c r="H706" s="4" t="str">
        <f t="array" ref="H706">IF(ROWS(L$20:L706)&gt;$F$6,"",INDEX(B$2:B$10000,SMALL(IF(ISNUMBER(MATCH($B$2:$B$10000,$E$6:$E$22,0)),ROW($C$2:$C$10000)-ROW($C$2)+1),ROWS(L$20:L706))))</f>
        <v>Rosamond  Allard</v>
      </c>
      <c r="I706" s="4">
        <f t="array" ref="I706">IF(ROWS(M$20:M706)&gt;$F$6,"",INDEX(C$2:C$10000,SMALL(IF(ISNUMBER(MATCH($B$2:$B$10000,$E$6:$E$22,0)),ROW($C$2:$C$10000)-ROW($C$2)+1),ROWS(M$20:M706))))</f>
        <v>51</v>
      </c>
      <c r="K706" s="7">
        <f t="array" ref="K706">IF(ROWS(K$20:K706)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706))))</f>
        <v>41695</v>
      </c>
      <c r="L706" s="4" t="str">
        <f t="array" ref="L706">IF(ROWS(L$20:L706)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706))))</f>
        <v>Rosamond  Allard</v>
      </c>
      <c r="M706" s="4">
        <f t="array" ref="M706">IF(ROWS(M$20:M706)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706))))</f>
        <v>51</v>
      </c>
    </row>
    <row r="707" spans="1:13" x14ac:dyDescent="0.25">
      <c r="A707" s="3">
        <v>41444</v>
      </c>
      <c r="B707" s="2" t="s">
        <v>44</v>
      </c>
      <c r="C707" s="2">
        <v>17</v>
      </c>
      <c r="G707" s="7">
        <f t="array" ref="G707">IF(ROWS(K$20:K707)&gt;$F$6,"",INDEX(A$2:A$10000,SMALL(IF(ISNUMBER(MATCH($B$2:$B$10000,$E$6:$E$22,0)),ROW($C$2:$C$10000)-ROW($C$2)+1),ROWS(K$20:K707))))</f>
        <v>41850</v>
      </c>
      <c r="H707" s="4" t="str">
        <f t="array" ref="H707">IF(ROWS(L$20:L707)&gt;$F$6,"",INDEX(B$2:B$10000,SMALL(IF(ISNUMBER(MATCH($B$2:$B$10000,$E$6:$E$22,0)),ROW($C$2:$C$10000)-ROW($C$2)+1),ROWS(L$20:L707))))</f>
        <v>Iliana  Valerio</v>
      </c>
      <c r="I707" s="4">
        <f t="array" ref="I707">IF(ROWS(M$20:M707)&gt;$F$6,"",INDEX(C$2:C$10000,SMALL(IF(ISNUMBER(MATCH($B$2:$B$10000,$E$6:$E$22,0)),ROW($C$2:$C$10000)-ROW($C$2)+1),ROWS(M$20:M707))))</f>
        <v>28</v>
      </c>
      <c r="K707" s="7">
        <f t="array" ref="K707">IF(ROWS(K$20:K707)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707))))</f>
        <v>41850</v>
      </c>
      <c r="L707" s="4" t="str">
        <f t="array" ref="L707">IF(ROWS(L$20:L707)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707))))</f>
        <v>Iliana  Valerio</v>
      </c>
      <c r="M707" s="4">
        <f t="array" ref="M707">IF(ROWS(M$20:M707)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707))))</f>
        <v>28</v>
      </c>
    </row>
    <row r="708" spans="1:13" x14ac:dyDescent="0.25">
      <c r="A708" s="3">
        <v>41429</v>
      </c>
      <c r="B708" s="2" t="s">
        <v>16</v>
      </c>
      <c r="C708" s="2">
        <v>8</v>
      </c>
      <c r="G708" s="7">
        <f t="array" ref="G708">IF(ROWS(K$20:K708)&gt;$F$6,"",INDEX(A$2:A$10000,SMALL(IF(ISNUMBER(MATCH($B$2:$B$10000,$E$6:$E$22,0)),ROW($C$2:$C$10000)-ROW($C$2)+1),ROWS(K$20:K708))))</f>
        <v>41313</v>
      </c>
      <c r="H708" s="4" t="str">
        <f t="array" ref="H708">IF(ROWS(L$20:L708)&gt;$F$6,"",INDEX(B$2:B$10000,SMALL(IF(ISNUMBER(MATCH($B$2:$B$10000,$E$6:$E$22,0)),ROW($C$2:$C$10000)-ROW($C$2)+1),ROWS(L$20:L708))))</f>
        <v>Kerrie  Worrell</v>
      </c>
      <c r="I708" s="4">
        <f t="array" ref="I708">IF(ROWS(M$20:M708)&gt;$F$6,"",INDEX(C$2:C$10000,SMALL(IF(ISNUMBER(MATCH($B$2:$B$10000,$E$6:$E$22,0)),ROW($C$2:$C$10000)-ROW($C$2)+1),ROWS(M$20:M708))))</f>
        <v>34</v>
      </c>
      <c r="K708" s="7">
        <f t="array" ref="K708">IF(ROWS(K$20:K708)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708))))</f>
        <v>41313</v>
      </c>
      <c r="L708" s="4" t="str">
        <f t="array" ref="L708">IF(ROWS(L$20:L708)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708))))</f>
        <v>Kerrie  Worrell</v>
      </c>
      <c r="M708" s="4">
        <f t="array" ref="M708">IF(ROWS(M$20:M708)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708))))</f>
        <v>34</v>
      </c>
    </row>
    <row r="709" spans="1:13" x14ac:dyDescent="0.25">
      <c r="A709" s="3">
        <v>41902</v>
      </c>
      <c r="B709" s="2" t="s">
        <v>26</v>
      </c>
      <c r="C709" s="2">
        <v>7</v>
      </c>
      <c r="G709" s="7">
        <f t="array" ref="G709">IF(ROWS(K$20:K709)&gt;$F$6,"",INDEX(A$2:A$10000,SMALL(IF(ISNUMBER(MATCH($B$2:$B$10000,$E$6:$E$22,0)),ROW($C$2:$C$10000)-ROW($C$2)+1),ROWS(K$20:K709))))</f>
        <v>41915</v>
      </c>
      <c r="H709" s="4" t="str">
        <f t="array" ref="H709">IF(ROWS(L$20:L709)&gt;$F$6,"",INDEX(B$2:B$10000,SMALL(IF(ISNUMBER(MATCH($B$2:$B$10000,$E$6:$E$22,0)),ROW($C$2:$C$10000)-ROW($C$2)+1),ROWS(L$20:L709))))</f>
        <v>Galen  Barth</v>
      </c>
      <c r="I709" s="4">
        <f t="array" ref="I709">IF(ROWS(M$20:M709)&gt;$F$6,"",INDEX(C$2:C$10000,SMALL(IF(ISNUMBER(MATCH($B$2:$B$10000,$E$6:$E$22,0)),ROW($C$2:$C$10000)-ROW($C$2)+1),ROWS(M$20:M709))))</f>
        <v>27</v>
      </c>
      <c r="K709" s="7">
        <f t="array" ref="K709">IF(ROWS(K$20:K709)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709))))</f>
        <v>41915</v>
      </c>
      <c r="L709" s="4" t="str">
        <f t="array" ref="L709">IF(ROWS(L$20:L709)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709))))</f>
        <v>Galen  Barth</v>
      </c>
      <c r="M709" s="4">
        <f t="array" ref="M709">IF(ROWS(M$20:M709)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709))))</f>
        <v>27</v>
      </c>
    </row>
    <row r="710" spans="1:13" x14ac:dyDescent="0.25">
      <c r="A710" s="3">
        <v>41598</v>
      </c>
      <c r="B710" s="2" t="s">
        <v>11</v>
      </c>
      <c r="C710" s="2">
        <v>10</v>
      </c>
      <c r="G710" s="7">
        <f t="array" ref="G710">IF(ROWS(K$20:K710)&gt;$F$6,"",INDEX(A$2:A$10000,SMALL(IF(ISNUMBER(MATCH($B$2:$B$10000,$E$6:$E$22,0)),ROW($C$2:$C$10000)-ROW($C$2)+1),ROWS(K$20:K710))))</f>
        <v>41367</v>
      </c>
      <c r="H710" s="4" t="str">
        <f t="array" ref="H710">IF(ROWS(L$20:L710)&gt;$F$6,"",INDEX(B$2:B$10000,SMALL(IF(ISNUMBER(MATCH($B$2:$B$10000,$E$6:$E$22,0)),ROW($C$2:$C$10000)-ROW($C$2)+1),ROWS(L$20:L710))))</f>
        <v>Iliana  Valerio</v>
      </c>
      <c r="I710" s="4">
        <f t="array" ref="I710">IF(ROWS(M$20:M710)&gt;$F$6,"",INDEX(C$2:C$10000,SMALL(IF(ISNUMBER(MATCH($B$2:$B$10000,$E$6:$E$22,0)),ROW($C$2:$C$10000)-ROW($C$2)+1),ROWS(M$20:M710))))</f>
        <v>30</v>
      </c>
      <c r="K710" s="7">
        <f t="array" ref="K710">IF(ROWS(K$20:K710)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710))))</f>
        <v>41367</v>
      </c>
      <c r="L710" s="4" t="str">
        <f t="array" ref="L710">IF(ROWS(L$20:L710)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710))))</f>
        <v>Iliana  Valerio</v>
      </c>
      <c r="M710" s="4">
        <f t="array" ref="M710">IF(ROWS(M$20:M710)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710))))</f>
        <v>30</v>
      </c>
    </row>
    <row r="711" spans="1:13" x14ac:dyDescent="0.25">
      <c r="A711" s="3">
        <v>41909</v>
      </c>
      <c r="B711" s="2" t="s">
        <v>51</v>
      </c>
      <c r="C711" s="2">
        <v>25</v>
      </c>
      <c r="G711" s="7">
        <f t="array" ref="G711">IF(ROWS(K$20:K711)&gt;$F$6,"",INDEX(A$2:A$10000,SMALL(IF(ISNUMBER(MATCH($B$2:$B$10000,$E$6:$E$22,0)),ROW($C$2:$C$10000)-ROW($C$2)+1),ROWS(K$20:K711))))</f>
        <v>41379</v>
      </c>
      <c r="H711" s="4" t="str">
        <f t="array" ref="H711">IF(ROWS(L$20:L711)&gt;$F$6,"",INDEX(B$2:B$10000,SMALL(IF(ISNUMBER(MATCH($B$2:$B$10000,$E$6:$E$22,0)),ROW($C$2:$C$10000)-ROW($C$2)+1),ROWS(L$20:L711))))</f>
        <v>Jenni  Thorton</v>
      </c>
      <c r="I711" s="4">
        <f t="array" ref="I711">IF(ROWS(M$20:M711)&gt;$F$6,"",INDEX(C$2:C$10000,SMALL(IF(ISNUMBER(MATCH($B$2:$B$10000,$E$6:$E$22,0)),ROW($C$2:$C$10000)-ROW($C$2)+1),ROWS(M$20:M711))))</f>
        <v>35</v>
      </c>
      <c r="K711" s="7">
        <f t="array" ref="K711">IF(ROWS(K$20:K711)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711))))</f>
        <v>41379</v>
      </c>
      <c r="L711" s="4" t="str">
        <f t="array" ref="L711">IF(ROWS(L$20:L711)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711))))</f>
        <v>Jenni  Thorton</v>
      </c>
      <c r="M711" s="4">
        <f t="array" ref="M711">IF(ROWS(M$20:M711)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711))))</f>
        <v>35</v>
      </c>
    </row>
    <row r="712" spans="1:13" x14ac:dyDescent="0.25">
      <c r="A712" s="3">
        <v>41587</v>
      </c>
      <c r="B712" s="2" t="s">
        <v>2</v>
      </c>
      <c r="C712" s="2">
        <v>33</v>
      </c>
      <c r="G712" s="7">
        <f t="array" ref="G712">IF(ROWS(K$20:K712)&gt;$F$6,"",INDEX(A$2:A$10000,SMALL(IF(ISNUMBER(MATCH($B$2:$B$10000,$E$6:$E$22,0)),ROW($C$2:$C$10000)-ROW($C$2)+1),ROWS(K$20:K712))))</f>
        <v>41709</v>
      </c>
      <c r="H712" s="4" t="str">
        <f t="array" ref="H712">IF(ROWS(L$20:L712)&gt;$F$6,"",INDEX(B$2:B$10000,SMALL(IF(ISNUMBER(MATCH($B$2:$B$10000,$E$6:$E$22,0)),ROW($C$2:$C$10000)-ROW($C$2)+1),ROWS(L$20:L712))))</f>
        <v>Kerrie  Worrell</v>
      </c>
      <c r="I712" s="4">
        <f t="array" ref="I712">IF(ROWS(M$20:M712)&gt;$F$6,"",INDEX(C$2:C$10000,SMALL(IF(ISNUMBER(MATCH($B$2:$B$10000,$E$6:$E$22,0)),ROW($C$2:$C$10000)-ROW($C$2)+1),ROWS(M$20:M712))))</f>
        <v>16</v>
      </c>
      <c r="K712" s="7">
        <f t="array" ref="K712">IF(ROWS(K$20:K712)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712))))</f>
        <v>41709</v>
      </c>
      <c r="L712" s="4" t="str">
        <f t="array" ref="L712">IF(ROWS(L$20:L712)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712))))</f>
        <v>Kerrie  Worrell</v>
      </c>
      <c r="M712" s="4">
        <f t="array" ref="M712">IF(ROWS(M$20:M712)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712))))</f>
        <v>16</v>
      </c>
    </row>
    <row r="713" spans="1:13" x14ac:dyDescent="0.25">
      <c r="A713" s="3">
        <v>41658</v>
      </c>
      <c r="B713" s="2" t="s">
        <v>26</v>
      </c>
      <c r="C713" s="2">
        <v>18</v>
      </c>
      <c r="G713" s="7">
        <f t="array" ref="G713">IF(ROWS(K$20:K713)&gt;$F$6,"",INDEX(A$2:A$10000,SMALL(IF(ISNUMBER(MATCH($B$2:$B$10000,$E$6:$E$22,0)),ROW($C$2:$C$10000)-ROW($C$2)+1),ROWS(K$20:K713))))</f>
        <v>41666</v>
      </c>
      <c r="H713" s="4" t="str">
        <f t="array" ref="H713">IF(ROWS(L$20:L713)&gt;$F$6,"",INDEX(B$2:B$10000,SMALL(IF(ISNUMBER(MATCH($B$2:$B$10000,$E$6:$E$22,0)),ROW($C$2:$C$10000)-ROW($C$2)+1),ROWS(L$20:L713))))</f>
        <v>Iliana  Valerio</v>
      </c>
      <c r="I713" s="4">
        <f t="array" ref="I713">IF(ROWS(M$20:M713)&gt;$F$6,"",INDEX(C$2:C$10000,SMALL(IF(ISNUMBER(MATCH($B$2:$B$10000,$E$6:$E$22,0)),ROW($C$2:$C$10000)-ROW($C$2)+1),ROWS(M$20:M713))))</f>
        <v>25</v>
      </c>
      <c r="K713" s="7">
        <f t="array" ref="K713">IF(ROWS(K$20:K713)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713))))</f>
        <v>41666</v>
      </c>
      <c r="L713" s="4" t="str">
        <f t="array" ref="L713">IF(ROWS(L$20:L713)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713))))</f>
        <v>Iliana  Valerio</v>
      </c>
      <c r="M713" s="4">
        <f t="array" ref="M713">IF(ROWS(M$20:M713)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713))))</f>
        <v>25</v>
      </c>
    </row>
    <row r="714" spans="1:13" x14ac:dyDescent="0.25">
      <c r="A714" s="3">
        <v>41862</v>
      </c>
      <c r="B714" s="2" t="s">
        <v>30</v>
      </c>
      <c r="C714" s="2">
        <v>55</v>
      </c>
      <c r="G714" s="7">
        <f t="array" ref="G714">IF(ROWS(K$20:K714)&gt;$F$6,"",INDEX(A$2:A$10000,SMALL(IF(ISNUMBER(MATCH($B$2:$B$10000,$E$6:$E$22,0)),ROW($C$2:$C$10000)-ROW($C$2)+1),ROWS(K$20:K714))))</f>
        <v>41561</v>
      </c>
      <c r="H714" s="4" t="str">
        <f t="array" ref="H714">IF(ROWS(L$20:L714)&gt;$F$6,"",INDEX(B$2:B$10000,SMALL(IF(ISNUMBER(MATCH($B$2:$B$10000,$E$6:$E$22,0)),ROW($C$2:$C$10000)-ROW($C$2)+1),ROWS(L$20:L714))))</f>
        <v>Kerrie  Worrell</v>
      </c>
      <c r="I714" s="4">
        <f t="array" ref="I714">IF(ROWS(M$20:M714)&gt;$F$6,"",INDEX(C$2:C$10000,SMALL(IF(ISNUMBER(MATCH($B$2:$B$10000,$E$6:$E$22,0)),ROW($C$2:$C$10000)-ROW($C$2)+1),ROWS(M$20:M714))))</f>
        <v>41</v>
      </c>
      <c r="K714" s="7">
        <f t="array" ref="K714">IF(ROWS(K$20:K714)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714))))</f>
        <v>41561</v>
      </c>
      <c r="L714" s="4" t="str">
        <f t="array" ref="L714">IF(ROWS(L$20:L714)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714))))</f>
        <v>Kerrie  Worrell</v>
      </c>
      <c r="M714" s="4">
        <f t="array" ref="M714">IF(ROWS(M$20:M714)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714))))</f>
        <v>41</v>
      </c>
    </row>
    <row r="715" spans="1:13" x14ac:dyDescent="0.25">
      <c r="A715" s="3">
        <v>41958</v>
      </c>
      <c r="B715" s="2" t="s">
        <v>30</v>
      </c>
      <c r="C715" s="2">
        <v>42</v>
      </c>
      <c r="G715" s="7">
        <f t="array" ref="G715">IF(ROWS(K$20:K715)&gt;$F$6,"",INDEX(A$2:A$10000,SMALL(IF(ISNUMBER(MATCH($B$2:$B$10000,$E$6:$E$22,0)),ROW($C$2:$C$10000)-ROW($C$2)+1),ROWS(K$20:K715))))</f>
        <v>41376</v>
      </c>
      <c r="H715" s="4" t="str">
        <f t="array" ref="H715">IF(ROWS(L$20:L715)&gt;$F$6,"",INDEX(B$2:B$10000,SMALL(IF(ISNUMBER(MATCH($B$2:$B$10000,$E$6:$E$22,0)),ROW($C$2:$C$10000)-ROW($C$2)+1),ROWS(L$20:L715))))</f>
        <v>Iliana  Valerio</v>
      </c>
      <c r="I715" s="4">
        <f t="array" ref="I715">IF(ROWS(M$20:M715)&gt;$F$6,"",INDEX(C$2:C$10000,SMALL(IF(ISNUMBER(MATCH($B$2:$B$10000,$E$6:$E$22,0)),ROW($C$2:$C$10000)-ROW($C$2)+1),ROWS(M$20:M715))))</f>
        <v>22</v>
      </c>
      <c r="K715" s="7">
        <f t="array" ref="K715">IF(ROWS(K$20:K715)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715))))</f>
        <v>41376</v>
      </c>
      <c r="L715" s="4" t="str">
        <f t="array" ref="L715">IF(ROWS(L$20:L715)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715))))</f>
        <v>Iliana  Valerio</v>
      </c>
      <c r="M715" s="4">
        <f t="array" ref="M715">IF(ROWS(M$20:M715)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715))))</f>
        <v>22</v>
      </c>
    </row>
    <row r="716" spans="1:13" x14ac:dyDescent="0.25">
      <c r="A716" s="3">
        <v>41299</v>
      </c>
      <c r="B716" s="2" t="s">
        <v>28</v>
      </c>
      <c r="C716" s="2">
        <v>20</v>
      </c>
      <c r="G716" s="7">
        <f t="array" ref="G716">IF(ROWS(K$20:K716)&gt;$F$6,"",INDEX(A$2:A$10000,SMALL(IF(ISNUMBER(MATCH($B$2:$B$10000,$E$6:$E$22,0)),ROW($C$2:$C$10000)-ROW($C$2)+1),ROWS(K$20:K716))))</f>
        <v>41674</v>
      </c>
      <c r="H716" s="4" t="str">
        <f t="array" ref="H716">IF(ROWS(L$20:L716)&gt;$F$6,"",INDEX(B$2:B$10000,SMALL(IF(ISNUMBER(MATCH($B$2:$B$10000,$E$6:$E$22,0)),ROW($C$2:$C$10000)-ROW($C$2)+1),ROWS(L$20:L716))))</f>
        <v>Iliana  Valerio</v>
      </c>
      <c r="I716" s="4">
        <f t="array" ref="I716">IF(ROWS(M$20:M716)&gt;$F$6,"",INDEX(C$2:C$10000,SMALL(IF(ISNUMBER(MATCH($B$2:$B$10000,$E$6:$E$22,0)),ROW($C$2:$C$10000)-ROW($C$2)+1),ROWS(M$20:M716))))</f>
        <v>15</v>
      </c>
      <c r="K716" s="7">
        <f t="array" ref="K716">IF(ROWS(K$20:K716)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716))))</f>
        <v>41674</v>
      </c>
      <c r="L716" s="4" t="str">
        <f t="array" ref="L716">IF(ROWS(L$20:L716)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716))))</f>
        <v>Iliana  Valerio</v>
      </c>
      <c r="M716" s="4">
        <f t="array" ref="M716">IF(ROWS(M$20:M716)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716))))</f>
        <v>15</v>
      </c>
    </row>
    <row r="717" spans="1:13" x14ac:dyDescent="0.25">
      <c r="A717" s="3">
        <v>41952</v>
      </c>
      <c r="B717" s="2" t="s">
        <v>18</v>
      </c>
      <c r="C717" s="2">
        <v>25</v>
      </c>
      <c r="G717" s="7">
        <f t="array" ref="G717">IF(ROWS(K$20:K717)&gt;$F$6,"",INDEX(A$2:A$10000,SMALL(IF(ISNUMBER(MATCH($B$2:$B$10000,$E$6:$E$22,0)),ROW($C$2:$C$10000)-ROW($C$2)+1),ROWS(K$20:K717))))</f>
        <v>41471</v>
      </c>
      <c r="H717" s="4" t="str">
        <f t="array" ref="H717">IF(ROWS(L$20:L717)&gt;$F$6,"",INDEX(B$2:B$10000,SMALL(IF(ISNUMBER(MATCH($B$2:$B$10000,$E$6:$E$22,0)),ROW($C$2:$C$10000)-ROW($C$2)+1),ROWS(L$20:L717))))</f>
        <v>Rosamond  Allard</v>
      </c>
      <c r="I717" s="4">
        <f t="array" ref="I717">IF(ROWS(M$20:M717)&gt;$F$6,"",INDEX(C$2:C$10000,SMALL(IF(ISNUMBER(MATCH($B$2:$B$10000,$E$6:$E$22,0)),ROW($C$2:$C$10000)-ROW($C$2)+1),ROWS(M$20:M717))))</f>
        <v>23</v>
      </c>
      <c r="K717" s="7">
        <f t="array" ref="K717">IF(ROWS(K$20:K717)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717))))</f>
        <v>41471</v>
      </c>
      <c r="L717" s="4" t="str">
        <f t="array" ref="L717">IF(ROWS(L$20:L717)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717))))</f>
        <v>Rosamond  Allard</v>
      </c>
      <c r="M717" s="4">
        <f t="array" ref="M717">IF(ROWS(M$20:M717)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717))))</f>
        <v>23</v>
      </c>
    </row>
    <row r="718" spans="1:13" x14ac:dyDescent="0.25">
      <c r="A718" s="3">
        <v>41525</v>
      </c>
      <c r="B718" s="2" t="s">
        <v>35</v>
      </c>
      <c r="C718" s="2">
        <v>23</v>
      </c>
      <c r="G718" s="7">
        <f t="array" ref="G718">IF(ROWS(K$20:K718)&gt;$F$6,"",INDEX(A$2:A$10000,SMALL(IF(ISNUMBER(MATCH($B$2:$B$10000,$E$6:$E$22,0)),ROW($C$2:$C$10000)-ROW($C$2)+1),ROWS(K$20:K718))))</f>
        <v>41828</v>
      </c>
      <c r="H718" s="4" t="str">
        <f t="array" ref="H718">IF(ROWS(L$20:L718)&gt;$F$6,"",INDEX(B$2:B$10000,SMALL(IF(ISNUMBER(MATCH($B$2:$B$10000,$E$6:$E$22,0)),ROW($C$2:$C$10000)-ROW($C$2)+1),ROWS(L$20:L718))))</f>
        <v>Rosamond  Allard</v>
      </c>
      <c r="I718" s="4">
        <f t="array" ref="I718">IF(ROWS(M$20:M718)&gt;$F$6,"",INDEX(C$2:C$10000,SMALL(IF(ISNUMBER(MATCH($B$2:$B$10000,$E$6:$E$22,0)),ROW($C$2:$C$10000)-ROW($C$2)+1),ROWS(M$20:M718))))</f>
        <v>24</v>
      </c>
      <c r="K718" s="7">
        <f t="array" ref="K718">IF(ROWS(K$20:K718)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718))))</f>
        <v>41828</v>
      </c>
      <c r="L718" s="4" t="str">
        <f t="array" ref="L718">IF(ROWS(L$20:L718)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718))))</f>
        <v>Rosamond  Allard</v>
      </c>
      <c r="M718" s="4">
        <f t="array" ref="M718">IF(ROWS(M$20:M718)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718))))</f>
        <v>24</v>
      </c>
    </row>
    <row r="719" spans="1:13" x14ac:dyDescent="0.25">
      <c r="A719" s="3">
        <v>41515</v>
      </c>
      <c r="B719" s="2" t="s">
        <v>2</v>
      </c>
      <c r="C719" s="2">
        <v>74</v>
      </c>
      <c r="G719" s="7">
        <f t="array" ref="G719">IF(ROWS(K$20:K719)&gt;$F$6,"",INDEX(A$2:A$10000,SMALL(IF(ISNUMBER(MATCH($B$2:$B$10000,$E$6:$E$22,0)),ROW($C$2:$C$10000)-ROW($C$2)+1),ROWS(K$20:K719))))</f>
        <v>41626</v>
      </c>
      <c r="H719" s="4" t="str">
        <f t="array" ref="H719">IF(ROWS(L$20:L719)&gt;$F$6,"",INDEX(B$2:B$10000,SMALL(IF(ISNUMBER(MATCH($B$2:$B$10000,$E$6:$E$22,0)),ROW($C$2:$C$10000)-ROW($C$2)+1),ROWS(L$20:L719))))</f>
        <v>Mickey  Bolduc</v>
      </c>
      <c r="I719" s="4">
        <f t="array" ref="I719">IF(ROWS(M$20:M719)&gt;$F$6,"",INDEX(C$2:C$10000,SMALL(IF(ISNUMBER(MATCH($B$2:$B$10000,$E$6:$E$22,0)),ROW($C$2:$C$10000)-ROW($C$2)+1),ROWS(M$20:M719))))</f>
        <v>32</v>
      </c>
      <c r="K719" s="7">
        <f t="array" ref="K719">IF(ROWS(K$20:K719)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719))))</f>
        <v>41626</v>
      </c>
      <c r="L719" s="4" t="str">
        <f t="array" ref="L719">IF(ROWS(L$20:L719)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719))))</f>
        <v>Mickey  Bolduc</v>
      </c>
      <c r="M719" s="4">
        <f t="array" ref="M719">IF(ROWS(M$20:M719)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719))))</f>
        <v>32</v>
      </c>
    </row>
    <row r="720" spans="1:13" x14ac:dyDescent="0.25">
      <c r="A720" s="3">
        <v>41699</v>
      </c>
      <c r="B720" s="2" t="s">
        <v>25</v>
      </c>
      <c r="C720" s="2">
        <v>44</v>
      </c>
      <c r="G720" s="7">
        <f t="array" ref="G720">IF(ROWS(K$20:K720)&gt;$F$6,"",INDEX(A$2:A$10000,SMALL(IF(ISNUMBER(MATCH($B$2:$B$10000,$E$6:$E$22,0)),ROW($C$2:$C$10000)-ROW($C$2)+1),ROWS(K$20:K720))))</f>
        <v>41723</v>
      </c>
      <c r="H720" s="4" t="str">
        <f t="array" ref="H720">IF(ROWS(L$20:L720)&gt;$F$6,"",INDEX(B$2:B$10000,SMALL(IF(ISNUMBER(MATCH($B$2:$B$10000,$E$6:$E$22,0)),ROW($C$2:$C$10000)-ROW($C$2)+1),ROWS(L$20:L720))))</f>
        <v>Mickey  Bolduc</v>
      </c>
      <c r="I720" s="4">
        <f t="array" ref="I720">IF(ROWS(M$20:M720)&gt;$F$6,"",INDEX(C$2:C$10000,SMALL(IF(ISNUMBER(MATCH($B$2:$B$10000,$E$6:$E$22,0)),ROW($C$2:$C$10000)-ROW($C$2)+1),ROWS(M$20:M720))))</f>
        <v>37</v>
      </c>
      <c r="K720" s="7">
        <f t="array" ref="K720">IF(ROWS(K$20:K720)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720))))</f>
        <v>41723</v>
      </c>
      <c r="L720" s="4" t="str">
        <f t="array" ref="L720">IF(ROWS(L$20:L720)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720))))</f>
        <v>Mickey  Bolduc</v>
      </c>
      <c r="M720" s="4">
        <f t="array" ref="M720">IF(ROWS(M$20:M720)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720))))</f>
        <v>37</v>
      </c>
    </row>
    <row r="721" spans="1:13" x14ac:dyDescent="0.25">
      <c r="A721" s="3">
        <v>41403</v>
      </c>
      <c r="B721" s="2" t="s">
        <v>11</v>
      </c>
      <c r="C721" s="2">
        <v>41</v>
      </c>
      <c r="G721" s="7">
        <f t="array" ref="G721">IF(ROWS(K$20:K721)&gt;$F$6,"",INDEX(A$2:A$10000,SMALL(IF(ISNUMBER(MATCH($B$2:$B$10000,$E$6:$E$22,0)),ROW($C$2:$C$10000)-ROW($C$2)+1),ROWS(K$20:K721))))</f>
        <v>41471</v>
      </c>
      <c r="H721" s="4" t="str">
        <f t="array" ref="H721">IF(ROWS(L$20:L721)&gt;$F$6,"",INDEX(B$2:B$10000,SMALL(IF(ISNUMBER(MATCH($B$2:$B$10000,$E$6:$E$22,0)),ROW($C$2:$C$10000)-ROW($C$2)+1),ROWS(L$20:L721))))</f>
        <v>Rosamond  Allard</v>
      </c>
      <c r="I721" s="4">
        <f t="array" ref="I721">IF(ROWS(M$20:M721)&gt;$F$6,"",INDEX(C$2:C$10000,SMALL(IF(ISNUMBER(MATCH($B$2:$B$10000,$E$6:$E$22,0)),ROW($C$2:$C$10000)-ROW($C$2)+1),ROWS(M$20:M721))))</f>
        <v>46</v>
      </c>
      <c r="K721" s="7">
        <f t="array" ref="K721">IF(ROWS(K$20:K721)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721))))</f>
        <v>41471</v>
      </c>
      <c r="L721" s="4" t="str">
        <f t="array" ref="L721">IF(ROWS(L$20:L721)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721))))</f>
        <v>Rosamond  Allard</v>
      </c>
      <c r="M721" s="4">
        <f t="array" ref="M721">IF(ROWS(M$20:M721)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721))))</f>
        <v>46</v>
      </c>
    </row>
    <row r="722" spans="1:13" x14ac:dyDescent="0.25">
      <c r="A722" s="3">
        <v>41372</v>
      </c>
      <c r="B722" s="2" t="s">
        <v>29</v>
      </c>
      <c r="C722" s="2">
        <v>21</v>
      </c>
      <c r="G722" s="7">
        <f t="array" ref="G722">IF(ROWS(K$20:K722)&gt;$F$6,"",INDEX(A$2:A$10000,SMALL(IF(ISNUMBER(MATCH($B$2:$B$10000,$E$6:$E$22,0)),ROW($C$2:$C$10000)-ROW($C$2)+1),ROWS(K$20:K722))))</f>
        <v>41904</v>
      </c>
      <c r="H722" s="4" t="str">
        <f t="array" ref="H722">IF(ROWS(L$20:L722)&gt;$F$6,"",INDEX(B$2:B$10000,SMALL(IF(ISNUMBER(MATCH($B$2:$B$10000,$E$6:$E$22,0)),ROW($C$2:$C$10000)-ROW($C$2)+1),ROWS(L$20:L722))))</f>
        <v>Jenni  Thorton</v>
      </c>
      <c r="I722" s="4">
        <f t="array" ref="I722">IF(ROWS(M$20:M722)&gt;$F$6,"",INDEX(C$2:C$10000,SMALL(IF(ISNUMBER(MATCH($B$2:$B$10000,$E$6:$E$22,0)),ROW($C$2:$C$10000)-ROW($C$2)+1),ROWS(M$20:M722))))</f>
        <v>15</v>
      </c>
      <c r="K722" s="7">
        <f t="array" ref="K722">IF(ROWS(K$20:K722)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722))))</f>
        <v>41904</v>
      </c>
      <c r="L722" s="4" t="str">
        <f t="array" ref="L722">IF(ROWS(L$20:L722)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722))))</f>
        <v>Jenni  Thorton</v>
      </c>
      <c r="M722" s="4">
        <f t="array" ref="M722">IF(ROWS(M$20:M722)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722))))</f>
        <v>15</v>
      </c>
    </row>
    <row r="723" spans="1:13" x14ac:dyDescent="0.25">
      <c r="A723" s="3">
        <v>41718</v>
      </c>
      <c r="B723" s="2" t="s">
        <v>5</v>
      </c>
      <c r="C723" s="2">
        <v>14</v>
      </c>
      <c r="G723" s="7">
        <f t="array" ref="G723">IF(ROWS(K$20:K723)&gt;$F$6,"",INDEX(A$2:A$10000,SMALL(IF(ISNUMBER(MATCH($B$2:$B$10000,$E$6:$E$22,0)),ROW($C$2:$C$10000)-ROW($C$2)+1),ROWS(K$20:K723))))</f>
        <v>41429</v>
      </c>
      <c r="H723" s="4" t="str">
        <f t="array" ref="H723">IF(ROWS(L$20:L723)&gt;$F$6,"",INDEX(B$2:B$10000,SMALL(IF(ISNUMBER(MATCH($B$2:$B$10000,$E$6:$E$22,0)),ROW($C$2:$C$10000)-ROW($C$2)+1),ROWS(L$20:L723))))</f>
        <v>Rosamond  Allard</v>
      </c>
      <c r="I723" s="4">
        <f t="array" ref="I723">IF(ROWS(M$20:M723)&gt;$F$6,"",INDEX(C$2:C$10000,SMALL(IF(ISNUMBER(MATCH($B$2:$B$10000,$E$6:$E$22,0)),ROW($C$2:$C$10000)-ROW($C$2)+1),ROWS(M$20:M723))))</f>
        <v>39</v>
      </c>
      <c r="K723" s="7">
        <f t="array" ref="K723">IF(ROWS(K$20:K723)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723))))</f>
        <v>41429</v>
      </c>
      <c r="L723" s="4" t="str">
        <f t="array" ref="L723">IF(ROWS(L$20:L723)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723))))</f>
        <v>Rosamond  Allard</v>
      </c>
      <c r="M723" s="4">
        <f t="array" ref="M723">IF(ROWS(M$20:M723)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723))))</f>
        <v>39</v>
      </c>
    </row>
    <row r="724" spans="1:13" x14ac:dyDescent="0.25">
      <c r="A724" s="3">
        <v>41970</v>
      </c>
      <c r="B724" s="2" t="s">
        <v>20</v>
      </c>
      <c r="C724" s="2">
        <v>38</v>
      </c>
      <c r="G724" s="7">
        <f t="array" ref="G724">IF(ROWS(K$20:K724)&gt;$F$6,"",INDEX(A$2:A$10000,SMALL(IF(ISNUMBER(MATCH($B$2:$B$10000,$E$6:$E$22,0)),ROW($C$2:$C$10000)-ROW($C$2)+1),ROWS(K$20:K724))))</f>
        <v>41522</v>
      </c>
      <c r="H724" s="4" t="str">
        <f t="array" ref="H724">IF(ROWS(L$20:L724)&gt;$F$6,"",INDEX(B$2:B$10000,SMALL(IF(ISNUMBER(MATCH($B$2:$B$10000,$E$6:$E$22,0)),ROW($C$2:$C$10000)-ROW($C$2)+1),ROWS(L$20:L724))))</f>
        <v>Galen  Barth</v>
      </c>
      <c r="I724" s="4">
        <f t="array" ref="I724">IF(ROWS(M$20:M724)&gt;$F$6,"",INDEX(C$2:C$10000,SMALL(IF(ISNUMBER(MATCH($B$2:$B$10000,$E$6:$E$22,0)),ROW($C$2:$C$10000)-ROW($C$2)+1),ROWS(M$20:M724))))</f>
        <v>19</v>
      </c>
      <c r="K724" s="7">
        <f t="array" ref="K724">IF(ROWS(K$20:K724)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724))))</f>
        <v>41522</v>
      </c>
      <c r="L724" s="4" t="str">
        <f t="array" ref="L724">IF(ROWS(L$20:L724)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724))))</f>
        <v>Galen  Barth</v>
      </c>
      <c r="M724" s="4">
        <f t="array" ref="M724">IF(ROWS(M$20:M724)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724))))</f>
        <v>19</v>
      </c>
    </row>
    <row r="725" spans="1:13" x14ac:dyDescent="0.25">
      <c r="A725" s="3">
        <v>41416</v>
      </c>
      <c r="B725" s="2" t="s">
        <v>29</v>
      </c>
      <c r="C725" s="2">
        <v>22</v>
      </c>
      <c r="G725" s="7">
        <f t="array" ref="G725">IF(ROWS(K$20:K725)&gt;$F$6,"",INDEX(A$2:A$10000,SMALL(IF(ISNUMBER(MATCH($B$2:$B$10000,$E$6:$E$22,0)),ROW($C$2:$C$10000)-ROW($C$2)+1),ROWS(K$20:K725))))</f>
        <v>41859</v>
      </c>
      <c r="H725" s="4" t="str">
        <f t="array" ref="H725">IF(ROWS(L$20:L725)&gt;$F$6,"",INDEX(B$2:B$10000,SMALL(IF(ISNUMBER(MATCH($B$2:$B$10000,$E$6:$E$22,0)),ROW($C$2:$C$10000)-ROW($C$2)+1),ROWS(L$20:L725))))</f>
        <v>Mickey  Bolduc</v>
      </c>
      <c r="I725" s="4">
        <f t="array" ref="I725">IF(ROWS(M$20:M725)&gt;$F$6,"",INDEX(C$2:C$10000,SMALL(IF(ISNUMBER(MATCH($B$2:$B$10000,$E$6:$E$22,0)),ROW($C$2:$C$10000)-ROW($C$2)+1),ROWS(M$20:M725))))</f>
        <v>34</v>
      </c>
      <c r="K725" s="7">
        <f t="array" ref="K725">IF(ROWS(K$20:K725)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725))))</f>
        <v>41859</v>
      </c>
      <c r="L725" s="4" t="str">
        <f t="array" ref="L725">IF(ROWS(L$20:L725)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725))))</f>
        <v>Mickey  Bolduc</v>
      </c>
      <c r="M725" s="4">
        <f t="array" ref="M725">IF(ROWS(M$20:M725)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725))))</f>
        <v>34</v>
      </c>
    </row>
    <row r="726" spans="1:13" x14ac:dyDescent="0.25">
      <c r="A726" s="3">
        <v>41491</v>
      </c>
      <c r="B726" s="2" t="s">
        <v>40</v>
      </c>
      <c r="C726" s="2">
        <v>23</v>
      </c>
      <c r="G726" s="7">
        <f t="array" ref="G726">IF(ROWS(K$20:K726)&gt;$F$6,"",INDEX(A$2:A$10000,SMALL(IF(ISNUMBER(MATCH($B$2:$B$10000,$E$6:$E$22,0)),ROW($C$2:$C$10000)-ROW($C$2)+1),ROWS(K$20:K726))))</f>
        <v>41297</v>
      </c>
      <c r="H726" s="4" t="str">
        <f t="array" ref="H726">IF(ROWS(L$20:L726)&gt;$F$6,"",INDEX(B$2:B$10000,SMALL(IF(ISNUMBER(MATCH($B$2:$B$10000,$E$6:$E$22,0)),ROW($C$2:$C$10000)-ROW($C$2)+1),ROWS(L$20:L726))))</f>
        <v>Galen  Barth</v>
      </c>
      <c r="I726" s="4">
        <f t="array" ref="I726">IF(ROWS(M$20:M726)&gt;$F$6,"",INDEX(C$2:C$10000,SMALL(IF(ISNUMBER(MATCH($B$2:$B$10000,$E$6:$E$22,0)),ROW($C$2:$C$10000)-ROW($C$2)+1),ROWS(M$20:M726))))</f>
        <v>28</v>
      </c>
      <c r="K726" s="7">
        <f t="array" ref="K726">IF(ROWS(K$20:K726)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726))))</f>
        <v>41297</v>
      </c>
      <c r="L726" s="4" t="str">
        <f t="array" ref="L726">IF(ROWS(L$20:L726)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726))))</f>
        <v>Galen  Barth</v>
      </c>
      <c r="M726" s="4">
        <f t="array" ref="M726">IF(ROWS(M$20:M726)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726))))</f>
        <v>28</v>
      </c>
    </row>
    <row r="727" spans="1:13" x14ac:dyDescent="0.25">
      <c r="A727" s="3">
        <v>41297</v>
      </c>
      <c r="B727" s="2" t="s">
        <v>41</v>
      </c>
      <c r="C727" s="2">
        <v>9</v>
      </c>
      <c r="G727" s="7">
        <f t="array" ref="G727">IF(ROWS(K$20:K727)&gt;$F$6,"",INDEX(A$2:A$10000,SMALL(IF(ISNUMBER(MATCH($B$2:$B$10000,$E$6:$E$22,0)),ROW($C$2:$C$10000)-ROW($C$2)+1),ROWS(K$20:K727))))</f>
        <v>41973</v>
      </c>
      <c r="H727" s="4" t="str">
        <f t="array" ref="H727">IF(ROWS(L$20:L727)&gt;$F$6,"",INDEX(B$2:B$10000,SMALL(IF(ISNUMBER(MATCH($B$2:$B$10000,$E$6:$E$22,0)),ROW($C$2:$C$10000)-ROW($C$2)+1),ROWS(L$20:L727))))</f>
        <v>Iliana  Valerio</v>
      </c>
      <c r="I727" s="4">
        <f t="array" ref="I727">IF(ROWS(M$20:M727)&gt;$F$6,"",INDEX(C$2:C$10000,SMALL(IF(ISNUMBER(MATCH($B$2:$B$10000,$E$6:$E$22,0)),ROW($C$2:$C$10000)-ROW($C$2)+1),ROWS(M$20:M727))))</f>
        <v>19</v>
      </c>
      <c r="K727" s="7">
        <f t="array" ref="K727">IF(ROWS(K$20:K727)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727))))</f>
        <v>41973</v>
      </c>
      <c r="L727" s="4" t="str">
        <f t="array" ref="L727">IF(ROWS(L$20:L727)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727))))</f>
        <v>Iliana  Valerio</v>
      </c>
      <c r="M727" s="4">
        <f t="array" ref="M727">IF(ROWS(M$20:M727)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727))))</f>
        <v>19</v>
      </c>
    </row>
    <row r="728" spans="1:13" x14ac:dyDescent="0.25">
      <c r="A728" s="3">
        <v>41891</v>
      </c>
      <c r="B728" s="2" t="s">
        <v>48</v>
      </c>
      <c r="C728" s="2">
        <v>17</v>
      </c>
      <c r="G728" s="7">
        <f t="array" ref="G728">IF(ROWS(K$20:K728)&gt;$F$6,"",INDEX(A$2:A$10000,SMALL(IF(ISNUMBER(MATCH($B$2:$B$10000,$E$6:$E$22,0)),ROW($C$2:$C$10000)-ROW($C$2)+1),ROWS(K$20:K728))))</f>
        <v>41468</v>
      </c>
      <c r="H728" s="4" t="str">
        <f t="array" ref="H728">IF(ROWS(L$20:L728)&gt;$F$6,"",INDEX(B$2:B$10000,SMALL(IF(ISNUMBER(MATCH($B$2:$B$10000,$E$6:$E$22,0)),ROW($C$2:$C$10000)-ROW($C$2)+1),ROWS(L$20:L728))))</f>
        <v>Mickey  Bolduc</v>
      </c>
      <c r="I728" s="4">
        <f t="array" ref="I728">IF(ROWS(M$20:M728)&gt;$F$6,"",INDEX(C$2:C$10000,SMALL(IF(ISNUMBER(MATCH($B$2:$B$10000,$E$6:$E$22,0)),ROW($C$2:$C$10000)-ROW($C$2)+1),ROWS(M$20:M728))))</f>
        <v>36</v>
      </c>
      <c r="K728" s="7">
        <f t="array" ref="K728">IF(ROWS(K$20:K728)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728))))</f>
        <v>41468</v>
      </c>
      <c r="L728" s="4" t="str">
        <f t="array" ref="L728">IF(ROWS(L$20:L728)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728))))</f>
        <v>Mickey  Bolduc</v>
      </c>
      <c r="M728" s="4">
        <f t="array" ref="M728">IF(ROWS(M$20:M728)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728))))</f>
        <v>36</v>
      </c>
    </row>
    <row r="729" spans="1:13" x14ac:dyDescent="0.25">
      <c r="A729" s="3">
        <v>41884</v>
      </c>
      <c r="B729" s="2" t="s">
        <v>17</v>
      </c>
      <c r="C729" s="2">
        <v>44</v>
      </c>
      <c r="G729" s="7">
        <f t="array" ref="G729">IF(ROWS(K$20:K729)&gt;$F$6,"",INDEX(A$2:A$10000,SMALL(IF(ISNUMBER(MATCH($B$2:$B$10000,$E$6:$E$22,0)),ROW($C$2:$C$10000)-ROW($C$2)+1),ROWS(K$20:K729))))</f>
        <v>41517</v>
      </c>
      <c r="H729" s="4" t="str">
        <f t="array" ref="H729">IF(ROWS(L$20:L729)&gt;$F$6,"",INDEX(B$2:B$10000,SMALL(IF(ISNUMBER(MATCH($B$2:$B$10000,$E$6:$E$22,0)),ROW($C$2:$C$10000)-ROW($C$2)+1),ROWS(L$20:L729))))</f>
        <v>Iliana  Valerio</v>
      </c>
      <c r="I729" s="4">
        <f t="array" ref="I729">IF(ROWS(M$20:M729)&gt;$F$6,"",INDEX(C$2:C$10000,SMALL(IF(ISNUMBER(MATCH($B$2:$B$10000,$E$6:$E$22,0)),ROW($C$2:$C$10000)-ROW($C$2)+1),ROWS(M$20:M729))))</f>
        <v>20</v>
      </c>
      <c r="K729" s="7">
        <f t="array" ref="K729">IF(ROWS(K$20:K729)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729))))</f>
        <v>41517</v>
      </c>
      <c r="L729" s="4" t="str">
        <f t="array" ref="L729">IF(ROWS(L$20:L729)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729))))</f>
        <v>Iliana  Valerio</v>
      </c>
      <c r="M729" s="4">
        <f t="array" ref="M729">IF(ROWS(M$20:M729)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729))))</f>
        <v>20</v>
      </c>
    </row>
    <row r="730" spans="1:13" x14ac:dyDescent="0.25">
      <c r="A730" s="3">
        <v>41795</v>
      </c>
      <c r="B730" s="2" t="s">
        <v>10</v>
      </c>
      <c r="C730" s="2">
        <v>5</v>
      </c>
      <c r="G730" s="7">
        <f t="array" ref="G730">IF(ROWS(K$20:K730)&gt;$F$6,"",INDEX(A$2:A$10000,SMALL(IF(ISNUMBER(MATCH($B$2:$B$10000,$E$6:$E$22,0)),ROW($C$2:$C$10000)-ROW($C$2)+1),ROWS(K$20:K730))))</f>
        <v>41458</v>
      </c>
      <c r="H730" s="4" t="str">
        <f t="array" ref="H730">IF(ROWS(L$20:L730)&gt;$F$6,"",INDEX(B$2:B$10000,SMALL(IF(ISNUMBER(MATCH($B$2:$B$10000,$E$6:$E$22,0)),ROW($C$2:$C$10000)-ROW($C$2)+1),ROWS(L$20:L730))))</f>
        <v>Mickey  Bolduc</v>
      </c>
      <c r="I730" s="4">
        <f t="array" ref="I730">IF(ROWS(M$20:M730)&gt;$F$6,"",INDEX(C$2:C$10000,SMALL(IF(ISNUMBER(MATCH($B$2:$B$10000,$E$6:$E$22,0)),ROW($C$2:$C$10000)-ROW($C$2)+1),ROWS(M$20:M730))))</f>
        <v>36</v>
      </c>
      <c r="K730" s="7">
        <f t="array" ref="K730">IF(ROWS(K$20:K730)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730))))</f>
        <v>41458</v>
      </c>
      <c r="L730" s="4" t="str">
        <f t="array" ref="L730">IF(ROWS(L$20:L730)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730))))</f>
        <v>Mickey  Bolduc</v>
      </c>
      <c r="M730" s="4">
        <f t="array" ref="M730">IF(ROWS(M$20:M730)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730))))</f>
        <v>36</v>
      </c>
    </row>
    <row r="731" spans="1:13" x14ac:dyDescent="0.25">
      <c r="A731" s="3">
        <v>41654</v>
      </c>
      <c r="B731" s="2" t="s">
        <v>51</v>
      </c>
      <c r="C731" s="2">
        <v>10</v>
      </c>
      <c r="G731" s="7">
        <f t="array" ref="G731">IF(ROWS(K$20:K731)&gt;$F$6,"",INDEX(A$2:A$10000,SMALL(IF(ISNUMBER(MATCH($B$2:$B$10000,$E$6:$E$22,0)),ROW($C$2:$C$10000)-ROW($C$2)+1),ROWS(K$20:K731))))</f>
        <v>41683</v>
      </c>
      <c r="H731" s="4" t="str">
        <f t="array" ref="H731">IF(ROWS(L$20:L731)&gt;$F$6,"",INDEX(B$2:B$10000,SMALL(IF(ISNUMBER(MATCH($B$2:$B$10000,$E$6:$E$22,0)),ROW($C$2:$C$10000)-ROW($C$2)+1),ROWS(L$20:L731))))</f>
        <v>Mickey  Bolduc</v>
      </c>
      <c r="I731" s="4">
        <f t="array" ref="I731">IF(ROWS(M$20:M731)&gt;$F$6,"",INDEX(C$2:C$10000,SMALL(IF(ISNUMBER(MATCH($B$2:$B$10000,$E$6:$E$22,0)),ROW($C$2:$C$10000)-ROW($C$2)+1),ROWS(M$20:M731))))</f>
        <v>5</v>
      </c>
      <c r="K731" s="7">
        <f t="array" ref="K731">IF(ROWS(K$20:K731)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731))))</f>
        <v>41683</v>
      </c>
      <c r="L731" s="4" t="str">
        <f t="array" ref="L731">IF(ROWS(L$20:L731)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731))))</f>
        <v>Mickey  Bolduc</v>
      </c>
      <c r="M731" s="4">
        <f t="array" ref="M731">IF(ROWS(M$20:M731)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731))))</f>
        <v>5</v>
      </c>
    </row>
    <row r="732" spans="1:13" x14ac:dyDescent="0.25">
      <c r="A732" s="3">
        <v>41296</v>
      </c>
      <c r="B732" s="2" t="s">
        <v>50</v>
      </c>
      <c r="C732" s="2">
        <v>4</v>
      </c>
      <c r="G732" s="7">
        <f t="array" ref="G732">IF(ROWS(K$20:K732)&gt;$F$6,"",INDEX(A$2:A$10000,SMALL(IF(ISNUMBER(MATCH($B$2:$B$10000,$E$6:$E$22,0)),ROW($C$2:$C$10000)-ROW($C$2)+1),ROWS(K$20:K732))))</f>
        <v>41677</v>
      </c>
      <c r="H732" s="4" t="str">
        <f t="array" ref="H732">IF(ROWS(L$20:L732)&gt;$F$6,"",INDEX(B$2:B$10000,SMALL(IF(ISNUMBER(MATCH($B$2:$B$10000,$E$6:$E$22,0)),ROW($C$2:$C$10000)-ROW($C$2)+1),ROWS(L$20:L732))))</f>
        <v>Jenni  Thorton</v>
      </c>
      <c r="I732" s="4">
        <f t="array" ref="I732">IF(ROWS(M$20:M732)&gt;$F$6,"",INDEX(C$2:C$10000,SMALL(IF(ISNUMBER(MATCH($B$2:$B$10000,$E$6:$E$22,0)),ROW($C$2:$C$10000)-ROW($C$2)+1),ROWS(M$20:M732))))</f>
        <v>20</v>
      </c>
      <c r="K732" s="7">
        <f t="array" ref="K732">IF(ROWS(K$20:K732)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732))))</f>
        <v>41677</v>
      </c>
      <c r="L732" s="4" t="str">
        <f t="array" ref="L732">IF(ROWS(L$20:L732)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732))))</f>
        <v>Jenni  Thorton</v>
      </c>
      <c r="M732" s="4">
        <f t="array" ref="M732">IF(ROWS(M$20:M732)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732))))</f>
        <v>20</v>
      </c>
    </row>
    <row r="733" spans="1:13" x14ac:dyDescent="0.25">
      <c r="A733" s="3">
        <v>41837</v>
      </c>
      <c r="B733" s="2" t="s">
        <v>51</v>
      </c>
      <c r="C733" s="2">
        <v>41</v>
      </c>
      <c r="G733" s="7">
        <f t="array" ref="G733">IF(ROWS(K$20:K733)&gt;$F$6,"",INDEX(A$2:A$10000,SMALL(IF(ISNUMBER(MATCH($B$2:$B$10000,$E$6:$E$22,0)),ROW($C$2:$C$10000)-ROW($C$2)+1),ROWS(K$20:K733))))</f>
        <v>41848</v>
      </c>
      <c r="H733" s="4" t="str">
        <f t="array" ref="H733">IF(ROWS(L$20:L733)&gt;$F$6,"",INDEX(B$2:B$10000,SMALL(IF(ISNUMBER(MATCH($B$2:$B$10000,$E$6:$E$22,0)),ROW($C$2:$C$10000)-ROW($C$2)+1),ROWS(L$20:L733))))</f>
        <v>Mickey  Bolduc</v>
      </c>
      <c r="I733" s="4">
        <f t="array" ref="I733">IF(ROWS(M$20:M733)&gt;$F$6,"",INDEX(C$2:C$10000,SMALL(IF(ISNUMBER(MATCH($B$2:$B$10000,$E$6:$E$22,0)),ROW($C$2:$C$10000)-ROW($C$2)+1),ROWS(M$20:M733))))</f>
        <v>35</v>
      </c>
      <c r="K733" s="7">
        <f t="array" ref="K733">IF(ROWS(K$20:K733)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733))))</f>
        <v>41848</v>
      </c>
      <c r="L733" s="4" t="str">
        <f t="array" ref="L733">IF(ROWS(L$20:L733)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733))))</f>
        <v>Mickey  Bolduc</v>
      </c>
      <c r="M733" s="4">
        <f t="array" ref="M733">IF(ROWS(M$20:M733)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733))))</f>
        <v>35</v>
      </c>
    </row>
    <row r="734" spans="1:13" x14ac:dyDescent="0.25">
      <c r="A734" s="3">
        <v>41919</v>
      </c>
      <c r="B734" s="2" t="s">
        <v>24</v>
      </c>
      <c r="C734" s="2">
        <v>15</v>
      </c>
      <c r="G734" s="7">
        <f t="array" ref="G734">IF(ROWS(K$20:K734)&gt;$F$6,"",INDEX(A$2:A$10000,SMALL(IF(ISNUMBER(MATCH($B$2:$B$10000,$E$6:$E$22,0)),ROW($C$2:$C$10000)-ROW($C$2)+1),ROWS(K$20:K734))))</f>
        <v>41420</v>
      </c>
      <c r="H734" s="4" t="str">
        <f t="array" ref="H734">IF(ROWS(L$20:L734)&gt;$F$6,"",INDEX(B$2:B$10000,SMALL(IF(ISNUMBER(MATCH($B$2:$B$10000,$E$6:$E$22,0)),ROW($C$2:$C$10000)-ROW($C$2)+1),ROWS(L$20:L734))))</f>
        <v>Mickey  Bolduc</v>
      </c>
      <c r="I734" s="4">
        <f t="array" ref="I734">IF(ROWS(M$20:M734)&gt;$F$6,"",INDEX(C$2:C$10000,SMALL(IF(ISNUMBER(MATCH($B$2:$B$10000,$E$6:$E$22,0)),ROW($C$2:$C$10000)-ROW($C$2)+1),ROWS(M$20:M734))))</f>
        <v>23</v>
      </c>
      <c r="K734" s="7">
        <f t="array" ref="K734">IF(ROWS(K$20:K734)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734))))</f>
        <v>41420</v>
      </c>
      <c r="L734" s="4" t="str">
        <f t="array" ref="L734">IF(ROWS(L$20:L734)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734))))</f>
        <v>Mickey  Bolduc</v>
      </c>
      <c r="M734" s="4">
        <f t="array" ref="M734">IF(ROWS(M$20:M734)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734))))</f>
        <v>23</v>
      </c>
    </row>
    <row r="735" spans="1:13" x14ac:dyDescent="0.25">
      <c r="A735" s="3">
        <v>41291</v>
      </c>
      <c r="B735" s="2" t="s">
        <v>33</v>
      </c>
      <c r="C735" s="2">
        <v>30</v>
      </c>
      <c r="G735" s="7">
        <f t="array" ref="G735">IF(ROWS(K$20:K735)&gt;$F$6,"",INDEX(A$2:A$10000,SMALL(IF(ISNUMBER(MATCH($B$2:$B$10000,$E$6:$E$22,0)),ROW($C$2:$C$10000)-ROW($C$2)+1),ROWS(K$20:K735))))</f>
        <v>41279</v>
      </c>
      <c r="H735" s="4" t="str">
        <f t="array" ref="H735">IF(ROWS(L$20:L735)&gt;$F$6,"",INDEX(B$2:B$10000,SMALL(IF(ISNUMBER(MATCH($B$2:$B$10000,$E$6:$E$22,0)),ROW($C$2:$C$10000)-ROW($C$2)+1),ROWS(L$20:L735))))</f>
        <v>Kerrie  Worrell</v>
      </c>
      <c r="I735" s="4">
        <f t="array" ref="I735">IF(ROWS(M$20:M735)&gt;$F$6,"",INDEX(C$2:C$10000,SMALL(IF(ISNUMBER(MATCH($B$2:$B$10000,$E$6:$E$22,0)),ROW($C$2:$C$10000)-ROW($C$2)+1),ROWS(M$20:M735))))</f>
        <v>32</v>
      </c>
      <c r="K735" s="7">
        <f t="array" ref="K735">IF(ROWS(K$20:K735)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735))))</f>
        <v>41279</v>
      </c>
      <c r="L735" s="4" t="str">
        <f t="array" ref="L735">IF(ROWS(L$20:L735)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735))))</f>
        <v>Kerrie  Worrell</v>
      </c>
      <c r="M735" s="4">
        <f t="array" ref="M735">IF(ROWS(M$20:M735)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735))))</f>
        <v>32</v>
      </c>
    </row>
    <row r="736" spans="1:13" x14ac:dyDescent="0.25">
      <c r="A736" s="3">
        <v>41760</v>
      </c>
      <c r="B736" s="2" t="s">
        <v>22</v>
      </c>
      <c r="C736" s="2">
        <v>52</v>
      </c>
      <c r="G736" s="7">
        <f t="array" ref="G736">IF(ROWS(K$20:K736)&gt;$F$6,"",INDEX(A$2:A$10000,SMALL(IF(ISNUMBER(MATCH($B$2:$B$10000,$E$6:$E$22,0)),ROW($C$2:$C$10000)-ROW($C$2)+1),ROWS(K$20:K736))))</f>
        <v>41602</v>
      </c>
      <c r="H736" s="4" t="str">
        <f t="array" ref="H736">IF(ROWS(L$20:L736)&gt;$F$6,"",INDEX(B$2:B$10000,SMALL(IF(ISNUMBER(MATCH($B$2:$B$10000,$E$6:$E$22,0)),ROW($C$2:$C$10000)-ROW($C$2)+1),ROWS(L$20:L736))))</f>
        <v>Iliana  Valerio</v>
      </c>
      <c r="I736" s="4">
        <f t="array" ref="I736">IF(ROWS(M$20:M736)&gt;$F$6,"",INDEX(C$2:C$10000,SMALL(IF(ISNUMBER(MATCH($B$2:$B$10000,$E$6:$E$22,0)),ROW($C$2:$C$10000)-ROW($C$2)+1),ROWS(M$20:M736))))</f>
        <v>34</v>
      </c>
      <c r="K736" s="7">
        <f t="array" ref="K736">IF(ROWS(K$20:K736)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736))))</f>
        <v>41602</v>
      </c>
      <c r="L736" s="4" t="str">
        <f t="array" ref="L736">IF(ROWS(L$20:L736)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736))))</f>
        <v>Iliana  Valerio</v>
      </c>
      <c r="M736" s="4">
        <f t="array" ref="M736">IF(ROWS(M$20:M736)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736))))</f>
        <v>34</v>
      </c>
    </row>
    <row r="737" spans="1:13" x14ac:dyDescent="0.25">
      <c r="A737" s="3">
        <v>41918</v>
      </c>
      <c r="B737" s="2" t="s">
        <v>38</v>
      </c>
      <c r="C737" s="2">
        <v>18</v>
      </c>
      <c r="G737" s="7">
        <f t="array" ref="G737">IF(ROWS(K$20:K737)&gt;$F$6,"",INDEX(A$2:A$10000,SMALL(IF(ISNUMBER(MATCH($B$2:$B$10000,$E$6:$E$22,0)),ROW($C$2:$C$10000)-ROW($C$2)+1),ROWS(K$20:K737))))</f>
        <v>41894</v>
      </c>
      <c r="H737" s="4" t="str">
        <f t="array" ref="H737">IF(ROWS(L$20:L737)&gt;$F$6,"",INDEX(B$2:B$10000,SMALL(IF(ISNUMBER(MATCH($B$2:$B$10000,$E$6:$E$22,0)),ROW($C$2:$C$10000)-ROW($C$2)+1),ROWS(L$20:L737))))</f>
        <v>Galen  Barth</v>
      </c>
      <c r="I737" s="4">
        <f t="array" ref="I737">IF(ROWS(M$20:M737)&gt;$F$6,"",INDEX(C$2:C$10000,SMALL(IF(ISNUMBER(MATCH($B$2:$B$10000,$E$6:$E$22,0)),ROW($C$2:$C$10000)-ROW($C$2)+1),ROWS(M$20:M737))))</f>
        <v>32</v>
      </c>
      <c r="K737" s="7">
        <f t="array" ref="K737">IF(ROWS(K$20:K737)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737))))</f>
        <v>41894</v>
      </c>
      <c r="L737" s="4" t="str">
        <f t="array" ref="L737">IF(ROWS(L$20:L737)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737))))</f>
        <v>Galen  Barth</v>
      </c>
      <c r="M737" s="4">
        <f t="array" ref="M737">IF(ROWS(M$20:M737)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737))))</f>
        <v>32</v>
      </c>
    </row>
    <row r="738" spans="1:13" x14ac:dyDescent="0.25">
      <c r="A738" s="3">
        <v>41709</v>
      </c>
      <c r="B738" s="2" t="s">
        <v>29</v>
      </c>
      <c r="C738" s="2">
        <v>27</v>
      </c>
      <c r="G738" s="7">
        <f t="array" ref="G738">IF(ROWS(K$20:K738)&gt;$F$6,"",INDEX(A$2:A$10000,SMALL(IF(ISNUMBER(MATCH($B$2:$B$10000,$E$6:$E$22,0)),ROW($C$2:$C$10000)-ROW($C$2)+1),ROWS(K$20:K738))))</f>
        <v>41842</v>
      </c>
      <c r="H738" s="4" t="str">
        <f t="array" ref="H738">IF(ROWS(L$20:L738)&gt;$F$6,"",INDEX(B$2:B$10000,SMALL(IF(ISNUMBER(MATCH($B$2:$B$10000,$E$6:$E$22,0)),ROW($C$2:$C$10000)-ROW($C$2)+1),ROWS(L$20:L738))))</f>
        <v>Iliana  Valerio</v>
      </c>
      <c r="I738" s="4">
        <f t="array" ref="I738">IF(ROWS(M$20:M738)&gt;$F$6,"",INDEX(C$2:C$10000,SMALL(IF(ISNUMBER(MATCH($B$2:$B$10000,$E$6:$E$22,0)),ROW($C$2:$C$10000)-ROW($C$2)+1),ROWS(M$20:M738))))</f>
        <v>25</v>
      </c>
      <c r="K738" s="7">
        <f t="array" ref="K738">IF(ROWS(K$20:K738)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738))))</f>
        <v>41842</v>
      </c>
      <c r="L738" s="4" t="str">
        <f t="array" ref="L738">IF(ROWS(L$20:L738)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738))))</f>
        <v>Iliana  Valerio</v>
      </c>
      <c r="M738" s="4">
        <f t="array" ref="M738">IF(ROWS(M$20:M738)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738))))</f>
        <v>25</v>
      </c>
    </row>
    <row r="739" spans="1:13" x14ac:dyDescent="0.25">
      <c r="A739" s="3">
        <v>41989</v>
      </c>
      <c r="B739" s="2" t="s">
        <v>33</v>
      </c>
      <c r="C739" s="2">
        <v>32</v>
      </c>
      <c r="G739" s="7">
        <f t="array" ref="G739">IF(ROWS(K$20:K739)&gt;$F$6,"",INDEX(A$2:A$10000,SMALL(IF(ISNUMBER(MATCH($B$2:$B$10000,$E$6:$E$22,0)),ROW($C$2:$C$10000)-ROW($C$2)+1),ROWS(K$20:K739))))</f>
        <v>41954</v>
      </c>
      <c r="H739" s="4" t="str">
        <f t="array" ref="H739">IF(ROWS(L$20:L739)&gt;$F$6,"",INDEX(B$2:B$10000,SMALL(IF(ISNUMBER(MATCH($B$2:$B$10000,$E$6:$E$22,0)),ROW($C$2:$C$10000)-ROW($C$2)+1),ROWS(L$20:L739))))</f>
        <v>Iliana  Valerio</v>
      </c>
      <c r="I739" s="4">
        <f t="array" ref="I739">IF(ROWS(M$20:M739)&gt;$F$6,"",INDEX(C$2:C$10000,SMALL(IF(ISNUMBER(MATCH($B$2:$B$10000,$E$6:$E$22,0)),ROW($C$2:$C$10000)-ROW($C$2)+1),ROWS(M$20:M739))))</f>
        <v>35</v>
      </c>
      <c r="K739" s="7">
        <f t="array" ref="K739">IF(ROWS(K$20:K739)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739))))</f>
        <v>41954</v>
      </c>
      <c r="L739" s="4" t="str">
        <f t="array" ref="L739">IF(ROWS(L$20:L739)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739))))</f>
        <v>Iliana  Valerio</v>
      </c>
      <c r="M739" s="4">
        <f t="array" ref="M739">IF(ROWS(M$20:M739)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739))))</f>
        <v>35</v>
      </c>
    </row>
    <row r="740" spans="1:13" x14ac:dyDescent="0.25">
      <c r="A740" s="3">
        <v>41947</v>
      </c>
      <c r="B740" s="2" t="s">
        <v>51</v>
      </c>
      <c r="C740" s="2">
        <v>41</v>
      </c>
      <c r="G740" s="7">
        <f t="array" ref="G740">IF(ROWS(K$20:K740)&gt;$F$6,"",INDEX(A$2:A$10000,SMALL(IF(ISNUMBER(MATCH($B$2:$B$10000,$E$6:$E$22,0)),ROW($C$2:$C$10000)-ROW($C$2)+1),ROWS(K$20:K740))))</f>
        <v>41909</v>
      </c>
      <c r="H740" s="4" t="str">
        <f t="array" ref="H740">IF(ROWS(L$20:L740)&gt;$F$6,"",INDEX(B$2:B$10000,SMALL(IF(ISNUMBER(MATCH($B$2:$B$10000,$E$6:$E$22,0)),ROW($C$2:$C$10000)-ROW($C$2)+1),ROWS(L$20:L740))))</f>
        <v>Galen  Barth</v>
      </c>
      <c r="I740" s="4">
        <f t="array" ref="I740">IF(ROWS(M$20:M740)&gt;$F$6,"",INDEX(C$2:C$10000,SMALL(IF(ISNUMBER(MATCH($B$2:$B$10000,$E$6:$E$22,0)),ROW($C$2:$C$10000)-ROW($C$2)+1),ROWS(M$20:M740))))</f>
        <v>37</v>
      </c>
      <c r="K740" s="7">
        <f t="array" ref="K740">IF(ROWS(K$20:K740)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740))))</f>
        <v>41909</v>
      </c>
      <c r="L740" s="4" t="str">
        <f t="array" ref="L740">IF(ROWS(L$20:L740)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740))))</f>
        <v>Galen  Barth</v>
      </c>
      <c r="M740" s="4">
        <f t="array" ref="M740">IF(ROWS(M$20:M740)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740))))</f>
        <v>37</v>
      </c>
    </row>
    <row r="741" spans="1:13" x14ac:dyDescent="0.25">
      <c r="A741" s="3">
        <v>41779</v>
      </c>
      <c r="B741" s="2" t="s">
        <v>32</v>
      </c>
      <c r="C741" s="2">
        <v>30</v>
      </c>
      <c r="G741" s="7">
        <f t="array" ref="G741">IF(ROWS(K$20:K741)&gt;$F$6,"",INDEX(A$2:A$10000,SMALL(IF(ISNUMBER(MATCH($B$2:$B$10000,$E$6:$E$22,0)),ROW($C$2:$C$10000)-ROW($C$2)+1),ROWS(K$20:K741))))</f>
        <v>41326</v>
      </c>
      <c r="H741" s="4" t="str">
        <f t="array" ref="H741">IF(ROWS(L$20:L741)&gt;$F$6,"",INDEX(B$2:B$10000,SMALL(IF(ISNUMBER(MATCH($B$2:$B$10000,$E$6:$E$22,0)),ROW($C$2:$C$10000)-ROW($C$2)+1),ROWS(L$20:L741))))</f>
        <v>Kerrie  Worrell</v>
      </c>
      <c r="I741" s="4">
        <f t="array" ref="I741">IF(ROWS(M$20:M741)&gt;$F$6,"",INDEX(C$2:C$10000,SMALL(IF(ISNUMBER(MATCH($B$2:$B$10000,$E$6:$E$22,0)),ROW($C$2:$C$10000)-ROW($C$2)+1),ROWS(M$20:M741))))</f>
        <v>49</v>
      </c>
      <c r="K741" s="7">
        <f t="array" ref="K741">IF(ROWS(K$20:K741)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741))))</f>
        <v>41326</v>
      </c>
      <c r="L741" s="4" t="str">
        <f t="array" ref="L741">IF(ROWS(L$20:L741)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741))))</f>
        <v>Kerrie  Worrell</v>
      </c>
      <c r="M741" s="4">
        <f t="array" ref="M741">IF(ROWS(M$20:M741)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741))))</f>
        <v>49</v>
      </c>
    </row>
    <row r="742" spans="1:13" x14ac:dyDescent="0.25">
      <c r="A742" s="3">
        <v>41883</v>
      </c>
      <c r="B742" s="2" t="s">
        <v>51</v>
      </c>
      <c r="C742" s="2">
        <v>35</v>
      </c>
      <c r="G742" s="7">
        <f t="array" ref="G742">IF(ROWS(K$20:K742)&gt;$F$6,"",INDEX(A$2:A$10000,SMALL(IF(ISNUMBER(MATCH($B$2:$B$10000,$E$6:$E$22,0)),ROW($C$2:$C$10000)-ROW($C$2)+1),ROWS(K$20:K742))))</f>
        <v>41561</v>
      </c>
      <c r="H742" s="4" t="str">
        <f t="array" ref="H742">IF(ROWS(L$20:L742)&gt;$F$6,"",INDEX(B$2:B$10000,SMALL(IF(ISNUMBER(MATCH($B$2:$B$10000,$E$6:$E$22,0)),ROW($C$2:$C$10000)-ROW($C$2)+1),ROWS(L$20:L742))))</f>
        <v>Iliana  Valerio</v>
      </c>
      <c r="I742" s="4">
        <f t="array" ref="I742">IF(ROWS(M$20:M742)&gt;$F$6,"",INDEX(C$2:C$10000,SMALL(IF(ISNUMBER(MATCH($B$2:$B$10000,$E$6:$E$22,0)),ROW($C$2:$C$10000)-ROW($C$2)+1),ROWS(M$20:M742))))</f>
        <v>11</v>
      </c>
      <c r="K742" s="7">
        <f t="array" ref="K742">IF(ROWS(K$20:K742)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742))))</f>
        <v>41561</v>
      </c>
      <c r="L742" s="4" t="str">
        <f t="array" ref="L742">IF(ROWS(L$20:L742)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742))))</f>
        <v>Iliana  Valerio</v>
      </c>
      <c r="M742" s="4">
        <f t="array" ref="M742">IF(ROWS(M$20:M742)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742))))</f>
        <v>11</v>
      </c>
    </row>
    <row r="743" spans="1:13" x14ac:dyDescent="0.25">
      <c r="A743" s="3">
        <v>41998</v>
      </c>
      <c r="B743" s="2" t="s">
        <v>47</v>
      </c>
      <c r="C743" s="2">
        <v>23</v>
      </c>
      <c r="G743" s="7">
        <f t="array" ref="G743">IF(ROWS(K$20:K743)&gt;$F$6,"",INDEX(A$2:A$10000,SMALL(IF(ISNUMBER(MATCH($B$2:$B$10000,$E$6:$E$22,0)),ROW($C$2:$C$10000)-ROW($C$2)+1),ROWS(K$20:K743))))</f>
        <v>41580</v>
      </c>
      <c r="H743" s="4" t="str">
        <f t="array" ref="H743">IF(ROWS(L$20:L743)&gt;$F$6,"",INDEX(B$2:B$10000,SMALL(IF(ISNUMBER(MATCH($B$2:$B$10000,$E$6:$E$22,0)),ROW($C$2:$C$10000)-ROW($C$2)+1),ROWS(L$20:L743))))</f>
        <v>Rosamond  Allard</v>
      </c>
      <c r="I743" s="4">
        <f t="array" ref="I743">IF(ROWS(M$20:M743)&gt;$F$6,"",INDEX(C$2:C$10000,SMALL(IF(ISNUMBER(MATCH($B$2:$B$10000,$E$6:$E$22,0)),ROW($C$2:$C$10000)-ROW($C$2)+1),ROWS(M$20:M743))))</f>
        <v>11</v>
      </c>
      <c r="K743" s="7">
        <f t="array" ref="K743">IF(ROWS(K$20:K743)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743))))</f>
        <v>41580</v>
      </c>
      <c r="L743" s="4" t="str">
        <f t="array" ref="L743">IF(ROWS(L$20:L743)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743))))</f>
        <v>Rosamond  Allard</v>
      </c>
      <c r="M743" s="4">
        <f t="array" ref="M743">IF(ROWS(M$20:M743)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743))))</f>
        <v>11</v>
      </c>
    </row>
    <row r="744" spans="1:13" x14ac:dyDescent="0.25">
      <c r="A744" s="3">
        <v>41536</v>
      </c>
      <c r="B744" s="2" t="s">
        <v>23</v>
      </c>
      <c r="C744" s="2">
        <v>11</v>
      </c>
      <c r="G744" s="7">
        <f t="array" ref="G744">IF(ROWS(K$20:K744)&gt;$F$6,"",INDEX(A$2:A$10000,SMALL(IF(ISNUMBER(MATCH($B$2:$B$10000,$E$6:$E$22,0)),ROW($C$2:$C$10000)-ROW($C$2)+1),ROWS(K$20:K744))))</f>
        <v>41787</v>
      </c>
      <c r="H744" s="4" t="str">
        <f t="array" ref="H744">IF(ROWS(L$20:L744)&gt;$F$6,"",INDEX(B$2:B$10000,SMALL(IF(ISNUMBER(MATCH($B$2:$B$10000,$E$6:$E$22,0)),ROW($C$2:$C$10000)-ROW($C$2)+1),ROWS(L$20:L744))))</f>
        <v>Galen  Barth</v>
      </c>
      <c r="I744" s="4">
        <f t="array" ref="I744">IF(ROWS(M$20:M744)&gt;$F$6,"",INDEX(C$2:C$10000,SMALL(IF(ISNUMBER(MATCH($B$2:$B$10000,$E$6:$E$22,0)),ROW($C$2:$C$10000)-ROW($C$2)+1),ROWS(M$20:M744))))</f>
        <v>36</v>
      </c>
      <c r="K744" s="7">
        <f t="array" ref="K744">IF(ROWS(K$20:K744)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744))))</f>
        <v>41787</v>
      </c>
      <c r="L744" s="4" t="str">
        <f t="array" ref="L744">IF(ROWS(L$20:L744)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744))))</f>
        <v>Galen  Barth</v>
      </c>
      <c r="M744" s="4">
        <f t="array" ref="M744">IF(ROWS(M$20:M744)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744))))</f>
        <v>36</v>
      </c>
    </row>
    <row r="745" spans="1:13" x14ac:dyDescent="0.25">
      <c r="A745" s="3">
        <v>41354</v>
      </c>
      <c r="B745" s="2" t="s">
        <v>23</v>
      </c>
      <c r="C745" s="2">
        <v>46</v>
      </c>
      <c r="G745" s="7">
        <f t="array" ref="G745">IF(ROWS(K$20:K745)&gt;$F$6,"",INDEX(A$2:A$10000,SMALL(IF(ISNUMBER(MATCH($B$2:$B$10000,$E$6:$E$22,0)),ROW($C$2:$C$10000)-ROW($C$2)+1),ROWS(K$20:K745))))</f>
        <v>41396</v>
      </c>
      <c r="H745" s="4" t="str">
        <f t="array" ref="H745">IF(ROWS(L$20:L745)&gt;$F$6,"",INDEX(B$2:B$10000,SMALL(IF(ISNUMBER(MATCH($B$2:$B$10000,$E$6:$E$22,0)),ROW($C$2:$C$10000)-ROW($C$2)+1),ROWS(L$20:L745))))</f>
        <v>Jenni  Thorton</v>
      </c>
      <c r="I745" s="4">
        <f t="array" ref="I745">IF(ROWS(M$20:M745)&gt;$F$6,"",INDEX(C$2:C$10000,SMALL(IF(ISNUMBER(MATCH($B$2:$B$10000,$E$6:$E$22,0)),ROW($C$2:$C$10000)-ROW($C$2)+1),ROWS(M$20:M745))))</f>
        <v>26</v>
      </c>
      <c r="K745" s="7">
        <f t="array" ref="K745">IF(ROWS(K$20:K745)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745))))</f>
        <v>41396</v>
      </c>
      <c r="L745" s="4" t="str">
        <f t="array" ref="L745">IF(ROWS(L$20:L745)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745))))</f>
        <v>Jenni  Thorton</v>
      </c>
      <c r="M745" s="4">
        <f t="array" ref="M745">IF(ROWS(M$20:M745)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745))))</f>
        <v>26</v>
      </c>
    </row>
    <row r="746" spans="1:13" x14ac:dyDescent="0.25">
      <c r="A746" s="3">
        <v>41492</v>
      </c>
      <c r="B746" s="2" t="s">
        <v>33</v>
      </c>
      <c r="C746" s="2">
        <v>35</v>
      </c>
      <c r="G746" s="7">
        <f t="array" ref="G746">IF(ROWS(K$20:K746)&gt;$F$6,"",INDEX(A$2:A$10000,SMALL(IF(ISNUMBER(MATCH($B$2:$B$10000,$E$6:$E$22,0)),ROW($C$2:$C$10000)-ROW($C$2)+1),ROWS(K$20:K746))))</f>
        <v>41740</v>
      </c>
      <c r="H746" s="4" t="str">
        <f t="array" ref="H746">IF(ROWS(L$20:L746)&gt;$F$6,"",INDEX(B$2:B$10000,SMALL(IF(ISNUMBER(MATCH($B$2:$B$10000,$E$6:$E$22,0)),ROW($C$2:$C$10000)-ROW($C$2)+1),ROWS(L$20:L746))))</f>
        <v>Iliana  Valerio</v>
      </c>
      <c r="I746" s="4">
        <f t="array" ref="I746">IF(ROWS(M$20:M746)&gt;$F$6,"",INDEX(C$2:C$10000,SMALL(IF(ISNUMBER(MATCH($B$2:$B$10000,$E$6:$E$22,0)),ROW($C$2:$C$10000)-ROW($C$2)+1),ROWS(M$20:M746))))</f>
        <v>38</v>
      </c>
      <c r="K746" s="7">
        <f t="array" ref="K746">IF(ROWS(K$20:K746)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746))))</f>
        <v>41740</v>
      </c>
      <c r="L746" s="4" t="str">
        <f t="array" ref="L746">IF(ROWS(L$20:L746)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746))))</f>
        <v>Iliana  Valerio</v>
      </c>
      <c r="M746" s="4">
        <f t="array" ref="M746">IF(ROWS(M$20:M746)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746))))</f>
        <v>38</v>
      </c>
    </row>
    <row r="747" spans="1:13" x14ac:dyDescent="0.25">
      <c r="A747" s="3">
        <v>41319</v>
      </c>
      <c r="B747" s="2" t="s">
        <v>26</v>
      </c>
      <c r="C747" s="2">
        <v>23</v>
      </c>
      <c r="G747" s="7">
        <f t="array" ref="G747">IF(ROWS(K$20:K747)&gt;$F$6,"",INDEX(A$2:A$10000,SMALL(IF(ISNUMBER(MATCH($B$2:$B$10000,$E$6:$E$22,0)),ROW($C$2:$C$10000)-ROW($C$2)+1),ROWS(K$20:K747))))</f>
        <v>41839</v>
      </c>
      <c r="H747" s="4" t="str">
        <f t="array" ref="H747">IF(ROWS(L$20:L747)&gt;$F$6,"",INDEX(B$2:B$10000,SMALL(IF(ISNUMBER(MATCH($B$2:$B$10000,$E$6:$E$22,0)),ROW($C$2:$C$10000)-ROW($C$2)+1),ROWS(L$20:L747))))</f>
        <v>Jenni  Thorton</v>
      </c>
      <c r="I747" s="4">
        <f t="array" ref="I747">IF(ROWS(M$20:M747)&gt;$F$6,"",INDEX(C$2:C$10000,SMALL(IF(ISNUMBER(MATCH($B$2:$B$10000,$E$6:$E$22,0)),ROW($C$2:$C$10000)-ROW($C$2)+1),ROWS(M$20:M747))))</f>
        <v>27</v>
      </c>
      <c r="K747" s="7">
        <f t="array" ref="K747">IF(ROWS(K$20:K747)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747))))</f>
        <v>41839</v>
      </c>
      <c r="L747" s="4" t="str">
        <f t="array" ref="L747">IF(ROWS(L$20:L747)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747))))</f>
        <v>Jenni  Thorton</v>
      </c>
      <c r="M747" s="4">
        <f t="array" ref="M747">IF(ROWS(M$20:M747)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747))))</f>
        <v>27</v>
      </c>
    </row>
    <row r="748" spans="1:13" x14ac:dyDescent="0.25">
      <c r="A748" s="3">
        <v>41397</v>
      </c>
      <c r="B748" s="2" t="s">
        <v>20</v>
      </c>
      <c r="C748" s="2">
        <v>30</v>
      </c>
      <c r="G748" s="7">
        <f t="array" ref="G748">IF(ROWS(K$20:K748)&gt;$F$6,"",INDEX(A$2:A$10000,SMALL(IF(ISNUMBER(MATCH($B$2:$B$10000,$E$6:$E$22,0)),ROW($C$2:$C$10000)-ROW($C$2)+1),ROWS(K$20:K748))))</f>
        <v>41324</v>
      </c>
      <c r="H748" s="4" t="str">
        <f t="array" ref="H748">IF(ROWS(L$20:L748)&gt;$F$6,"",INDEX(B$2:B$10000,SMALL(IF(ISNUMBER(MATCH($B$2:$B$10000,$E$6:$E$22,0)),ROW($C$2:$C$10000)-ROW($C$2)+1),ROWS(L$20:L748))))</f>
        <v>Iliana  Valerio</v>
      </c>
      <c r="I748" s="4">
        <f t="array" ref="I748">IF(ROWS(M$20:M748)&gt;$F$6,"",INDEX(C$2:C$10000,SMALL(IF(ISNUMBER(MATCH($B$2:$B$10000,$E$6:$E$22,0)),ROW($C$2:$C$10000)-ROW($C$2)+1),ROWS(M$20:M748))))</f>
        <v>21</v>
      </c>
      <c r="K748" s="7">
        <f t="array" ref="K748">IF(ROWS(K$20:K748)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748))))</f>
        <v>41324</v>
      </c>
      <c r="L748" s="4" t="str">
        <f t="array" ref="L748">IF(ROWS(L$20:L748)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748))))</f>
        <v>Iliana  Valerio</v>
      </c>
      <c r="M748" s="4">
        <f t="array" ref="M748">IF(ROWS(M$20:M748)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748))))</f>
        <v>21</v>
      </c>
    </row>
    <row r="749" spans="1:13" x14ac:dyDescent="0.25">
      <c r="A749" s="3">
        <v>42002</v>
      </c>
      <c r="B749" s="2" t="s">
        <v>22</v>
      </c>
      <c r="C749" s="2">
        <v>17</v>
      </c>
      <c r="G749" s="7">
        <f t="array" ref="G749">IF(ROWS(K$20:K749)&gt;$F$6,"",INDEX(A$2:A$10000,SMALL(IF(ISNUMBER(MATCH($B$2:$B$10000,$E$6:$E$22,0)),ROW($C$2:$C$10000)-ROW($C$2)+1),ROWS(K$20:K749))))</f>
        <v>41389</v>
      </c>
      <c r="H749" s="4" t="str">
        <f t="array" ref="H749">IF(ROWS(L$20:L749)&gt;$F$6,"",INDEX(B$2:B$10000,SMALL(IF(ISNUMBER(MATCH($B$2:$B$10000,$E$6:$E$22,0)),ROW($C$2:$C$10000)-ROW($C$2)+1),ROWS(L$20:L749))))</f>
        <v>Rosamond  Allard</v>
      </c>
      <c r="I749" s="4">
        <f t="array" ref="I749">IF(ROWS(M$20:M749)&gt;$F$6,"",INDEX(C$2:C$10000,SMALL(IF(ISNUMBER(MATCH($B$2:$B$10000,$E$6:$E$22,0)),ROW($C$2:$C$10000)-ROW($C$2)+1),ROWS(M$20:M749))))</f>
        <v>3</v>
      </c>
      <c r="K749" s="7">
        <f t="array" ref="K749">IF(ROWS(K$20:K749)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749))))</f>
        <v>41389</v>
      </c>
      <c r="L749" s="4" t="str">
        <f t="array" ref="L749">IF(ROWS(L$20:L749)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749))))</f>
        <v>Rosamond  Allard</v>
      </c>
      <c r="M749" s="4">
        <f t="array" ref="M749">IF(ROWS(M$20:M749)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749))))</f>
        <v>3</v>
      </c>
    </row>
    <row r="750" spans="1:13" x14ac:dyDescent="0.25">
      <c r="A750" s="3">
        <v>41688</v>
      </c>
      <c r="B750" s="2" t="s">
        <v>30</v>
      </c>
      <c r="C750" s="2">
        <v>1</v>
      </c>
      <c r="G750" s="7">
        <f t="array" ref="G750">IF(ROWS(K$20:K750)&gt;$F$6,"",INDEX(A$2:A$10000,SMALL(IF(ISNUMBER(MATCH($B$2:$B$10000,$E$6:$E$22,0)),ROW($C$2:$C$10000)-ROW($C$2)+1),ROWS(K$20:K750))))</f>
        <v>41569</v>
      </c>
      <c r="H750" s="4" t="str">
        <f t="array" ref="H750">IF(ROWS(L$20:L750)&gt;$F$6,"",INDEX(B$2:B$10000,SMALL(IF(ISNUMBER(MATCH($B$2:$B$10000,$E$6:$E$22,0)),ROW($C$2:$C$10000)-ROW($C$2)+1),ROWS(L$20:L750))))</f>
        <v>Iliana  Valerio</v>
      </c>
      <c r="I750" s="4">
        <f t="array" ref="I750">IF(ROWS(M$20:M750)&gt;$F$6,"",INDEX(C$2:C$10000,SMALL(IF(ISNUMBER(MATCH($B$2:$B$10000,$E$6:$E$22,0)),ROW($C$2:$C$10000)-ROW($C$2)+1),ROWS(M$20:M750))))</f>
        <v>25</v>
      </c>
      <c r="K750" s="7">
        <f t="array" ref="K750">IF(ROWS(K$20:K750)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750))))</f>
        <v>41569</v>
      </c>
      <c r="L750" s="4" t="str">
        <f t="array" ref="L750">IF(ROWS(L$20:L750)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750))))</f>
        <v>Iliana  Valerio</v>
      </c>
      <c r="M750" s="4">
        <f t="array" ref="M750">IF(ROWS(M$20:M750)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750))))</f>
        <v>25</v>
      </c>
    </row>
    <row r="751" spans="1:13" x14ac:dyDescent="0.25">
      <c r="A751" s="3">
        <v>41897</v>
      </c>
      <c r="B751" s="2" t="s">
        <v>19</v>
      </c>
      <c r="C751" s="2">
        <v>15</v>
      </c>
      <c r="G751" s="7">
        <f t="array" ref="G751">IF(ROWS(K$20:K751)&gt;$F$6,"",INDEX(A$2:A$10000,SMALL(IF(ISNUMBER(MATCH($B$2:$B$10000,$E$6:$E$22,0)),ROW($C$2:$C$10000)-ROW($C$2)+1),ROWS(K$20:K751))))</f>
        <v>41670</v>
      </c>
      <c r="H751" s="4" t="str">
        <f t="array" ref="H751">IF(ROWS(L$20:L751)&gt;$F$6,"",INDEX(B$2:B$10000,SMALL(IF(ISNUMBER(MATCH($B$2:$B$10000,$E$6:$E$22,0)),ROW($C$2:$C$10000)-ROW($C$2)+1),ROWS(L$20:L751))))</f>
        <v>Mickey  Bolduc</v>
      </c>
      <c r="I751" s="4">
        <f t="array" ref="I751">IF(ROWS(M$20:M751)&gt;$F$6,"",INDEX(C$2:C$10000,SMALL(IF(ISNUMBER(MATCH($B$2:$B$10000,$E$6:$E$22,0)),ROW($C$2:$C$10000)-ROW($C$2)+1),ROWS(M$20:M751))))</f>
        <v>12</v>
      </c>
      <c r="K751" s="7">
        <f t="array" ref="K751">IF(ROWS(K$20:K751)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751))))</f>
        <v>41670</v>
      </c>
      <c r="L751" s="4" t="str">
        <f t="array" ref="L751">IF(ROWS(L$20:L751)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751))))</f>
        <v>Mickey  Bolduc</v>
      </c>
      <c r="M751" s="4">
        <f t="array" ref="M751">IF(ROWS(M$20:M751)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751))))</f>
        <v>12</v>
      </c>
    </row>
    <row r="752" spans="1:13" x14ac:dyDescent="0.25">
      <c r="A752" s="3">
        <v>41526</v>
      </c>
      <c r="B752" s="2" t="s">
        <v>26</v>
      </c>
      <c r="C752" s="2">
        <v>18</v>
      </c>
      <c r="G752" s="7">
        <f t="array" ref="G752">IF(ROWS(K$20:K752)&gt;$F$6,"",INDEX(A$2:A$10000,SMALL(IF(ISNUMBER(MATCH($B$2:$B$10000,$E$6:$E$22,0)),ROW($C$2:$C$10000)-ROW($C$2)+1),ROWS(K$20:K752))))</f>
        <v>41672</v>
      </c>
      <c r="H752" s="4" t="str">
        <f t="array" ref="H752">IF(ROWS(L$20:L752)&gt;$F$6,"",INDEX(B$2:B$10000,SMALL(IF(ISNUMBER(MATCH($B$2:$B$10000,$E$6:$E$22,0)),ROW($C$2:$C$10000)-ROW($C$2)+1),ROWS(L$20:L752))))</f>
        <v>Rosamond  Allard</v>
      </c>
      <c r="I752" s="4">
        <f t="array" ref="I752">IF(ROWS(M$20:M752)&gt;$F$6,"",INDEX(C$2:C$10000,SMALL(IF(ISNUMBER(MATCH($B$2:$B$10000,$E$6:$E$22,0)),ROW($C$2:$C$10000)-ROW($C$2)+1),ROWS(M$20:M752))))</f>
        <v>41</v>
      </c>
      <c r="K752" s="7">
        <f t="array" ref="K752">IF(ROWS(K$20:K752)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752))))</f>
        <v>41672</v>
      </c>
      <c r="L752" s="4" t="str">
        <f t="array" ref="L752">IF(ROWS(L$20:L752)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752))))</f>
        <v>Rosamond  Allard</v>
      </c>
      <c r="M752" s="4">
        <f t="array" ref="M752">IF(ROWS(M$20:M752)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752))))</f>
        <v>41</v>
      </c>
    </row>
    <row r="753" spans="1:13" x14ac:dyDescent="0.25">
      <c r="A753" s="3">
        <v>41935</v>
      </c>
      <c r="B753" s="2" t="s">
        <v>16</v>
      </c>
      <c r="C753" s="2">
        <v>21</v>
      </c>
      <c r="G753" s="7">
        <f t="array" ref="G753">IF(ROWS(K$20:K753)&gt;$F$6,"",INDEX(A$2:A$10000,SMALL(IF(ISNUMBER(MATCH($B$2:$B$10000,$E$6:$E$22,0)),ROW($C$2:$C$10000)-ROW($C$2)+1),ROWS(K$20:K753))))</f>
        <v>41585</v>
      </c>
      <c r="H753" s="4" t="str">
        <f t="array" ref="H753">IF(ROWS(L$20:L753)&gt;$F$6,"",INDEX(B$2:B$10000,SMALL(IF(ISNUMBER(MATCH($B$2:$B$10000,$E$6:$E$22,0)),ROW($C$2:$C$10000)-ROW($C$2)+1),ROWS(L$20:L753))))</f>
        <v>Rosamond  Allard</v>
      </c>
      <c r="I753" s="4">
        <f t="array" ref="I753">IF(ROWS(M$20:M753)&gt;$F$6,"",INDEX(C$2:C$10000,SMALL(IF(ISNUMBER(MATCH($B$2:$B$10000,$E$6:$E$22,0)),ROW($C$2:$C$10000)-ROW($C$2)+1),ROWS(M$20:M753))))</f>
        <v>22</v>
      </c>
      <c r="K753" s="7">
        <f t="array" ref="K753">IF(ROWS(K$20:K753)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753))))</f>
        <v>41585</v>
      </c>
      <c r="L753" s="4" t="str">
        <f t="array" ref="L753">IF(ROWS(L$20:L753)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753))))</f>
        <v>Rosamond  Allard</v>
      </c>
      <c r="M753" s="4">
        <f t="array" ref="M753">IF(ROWS(M$20:M753)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753))))</f>
        <v>22</v>
      </c>
    </row>
    <row r="754" spans="1:13" x14ac:dyDescent="0.25">
      <c r="A754" s="3">
        <v>41357</v>
      </c>
      <c r="B754" s="2" t="s">
        <v>25</v>
      </c>
      <c r="C754" s="2">
        <v>34</v>
      </c>
      <c r="G754" s="7">
        <f t="array" ref="G754">IF(ROWS(K$20:K754)&gt;$F$6,"",INDEX(A$2:A$10000,SMALL(IF(ISNUMBER(MATCH($B$2:$B$10000,$E$6:$E$22,0)),ROW($C$2:$C$10000)-ROW($C$2)+1),ROWS(K$20:K754))))</f>
        <v>41373</v>
      </c>
      <c r="H754" s="4" t="str">
        <f t="array" ref="H754">IF(ROWS(L$20:L754)&gt;$F$6,"",INDEX(B$2:B$10000,SMALL(IF(ISNUMBER(MATCH($B$2:$B$10000,$E$6:$E$22,0)),ROW($C$2:$C$10000)-ROW($C$2)+1),ROWS(L$20:L754))))</f>
        <v>Mickey  Bolduc</v>
      </c>
      <c r="I754" s="4">
        <f t="array" ref="I754">IF(ROWS(M$20:M754)&gt;$F$6,"",INDEX(C$2:C$10000,SMALL(IF(ISNUMBER(MATCH($B$2:$B$10000,$E$6:$E$22,0)),ROW($C$2:$C$10000)-ROW($C$2)+1),ROWS(M$20:M754))))</f>
        <v>49</v>
      </c>
      <c r="K754" s="7">
        <f t="array" ref="K754">IF(ROWS(K$20:K754)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754))))</f>
        <v>41373</v>
      </c>
      <c r="L754" s="4" t="str">
        <f t="array" ref="L754">IF(ROWS(L$20:L754)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754))))</f>
        <v>Mickey  Bolduc</v>
      </c>
      <c r="M754" s="4">
        <f t="array" ref="M754">IF(ROWS(M$20:M754)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754))))</f>
        <v>49</v>
      </c>
    </row>
    <row r="755" spans="1:13" x14ac:dyDescent="0.25">
      <c r="A755" s="3">
        <v>41701</v>
      </c>
      <c r="B755" s="2" t="s">
        <v>13</v>
      </c>
      <c r="C755" s="2">
        <v>37</v>
      </c>
      <c r="G755" s="7">
        <f t="array" ref="G755">IF(ROWS(K$20:K755)&gt;$F$6,"",INDEX(A$2:A$10000,SMALL(IF(ISNUMBER(MATCH($B$2:$B$10000,$E$6:$E$22,0)),ROW($C$2:$C$10000)-ROW($C$2)+1),ROWS(K$20:K755))))</f>
        <v>41444</v>
      </c>
      <c r="H755" s="4" t="str">
        <f t="array" ref="H755">IF(ROWS(L$20:L755)&gt;$F$6,"",INDEX(B$2:B$10000,SMALL(IF(ISNUMBER(MATCH($B$2:$B$10000,$E$6:$E$22,0)),ROW($C$2:$C$10000)-ROW($C$2)+1),ROWS(L$20:L755))))</f>
        <v>Kerrie  Worrell</v>
      </c>
      <c r="I755" s="4">
        <f t="array" ref="I755">IF(ROWS(M$20:M755)&gt;$F$6,"",INDEX(C$2:C$10000,SMALL(IF(ISNUMBER(MATCH($B$2:$B$10000,$E$6:$E$22,0)),ROW($C$2:$C$10000)-ROW($C$2)+1),ROWS(M$20:M755))))</f>
        <v>28</v>
      </c>
      <c r="K755" s="7">
        <f t="array" ref="K755">IF(ROWS(K$20:K755)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755))))</f>
        <v>41444</v>
      </c>
      <c r="L755" s="4" t="str">
        <f t="array" ref="L755">IF(ROWS(L$20:L755)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755))))</f>
        <v>Kerrie  Worrell</v>
      </c>
      <c r="M755" s="4">
        <f t="array" ref="M755">IF(ROWS(M$20:M755)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755))))</f>
        <v>28</v>
      </c>
    </row>
    <row r="756" spans="1:13" x14ac:dyDescent="0.25">
      <c r="A756" s="3">
        <v>41945</v>
      </c>
      <c r="B756" s="2" t="s">
        <v>30</v>
      </c>
      <c r="C756" s="2">
        <v>21</v>
      </c>
      <c r="G756" s="7">
        <f t="array" ref="G756">IF(ROWS(K$20:K756)&gt;$F$6,"",INDEX(A$2:A$10000,SMALL(IF(ISNUMBER(MATCH($B$2:$B$10000,$E$6:$E$22,0)),ROW($C$2:$C$10000)-ROW($C$2)+1),ROWS(K$20:K756))))</f>
        <v>41605</v>
      </c>
      <c r="H756" s="4" t="str">
        <f t="array" ref="H756">IF(ROWS(L$20:L756)&gt;$F$6,"",INDEX(B$2:B$10000,SMALL(IF(ISNUMBER(MATCH($B$2:$B$10000,$E$6:$E$22,0)),ROW($C$2:$C$10000)-ROW($C$2)+1),ROWS(L$20:L756))))</f>
        <v>Mickey  Bolduc</v>
      </c>
      <c r="I756" s="4">
        <f t="array" ref="I756">IF(ROWS(M$20:M756)&gt;$F$6,"",INDEX(C$2:C$10000,SMALL(IF(ISNUMBER(MATCH($B$2:$B$10000,$E$6:$E$22,0)),ROW($C$2:$C$10000)-ROW($C$2)+1),ROWS(M$20:M756))))</f>
        <v>20</v>
      </c>
      <c r="K756" s="7">
        <f t="array" ref="K756">IF(ROWS(K$20:K756)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756))))</f>
        <v>41605</v>
      </c>
      <c r="L756" s="4" t="str">
        <f t="array" ref="L756">IF(ROWS(L$20:L756)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756))))</f>
        <v>Mickey  Bolduc</v>
      </c>
      <c r="M756" s="4">
        <f t="array" ref="M756">IF(ROWS(M$20:M756)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756))))</f>
        <v>20</v>
      </c>
    </row>
    <row r="757" spans="1:13" x14ac:dyDescent="0.25">
      <c r="A757" s="3">
        <v>41458</v>
      </c>
      <c r="B757" s="2" t="s">
        <v>38</v>
      </c>
      <c r="C757" s="2">
        <v>22</v>
      </c>
      <c r="G757" s="7">
        <f t="array" ref="G757">IF(ROWS(K$20:K757)&gt;$F$6,"",INDEX(A$2:A$10000,SMALL(IF(ISNUMBER(MATCH($B$2:$B$10000,$E$6:$E$22,0)),ROW($C$2:$C$10000)-ROW($C$2)+1),ROWS(K$20:K757))))</f>
        <v>41664</v>
      </c>
      <c r="H757" s="4" t="str">
        <f t="array" ref="H757">IF(ROWS(L$20:L757)&gt;$F$6,"",INDEX(B$2:B$10000,SMALL(IF(ISNUMBER(MATCH($B$2:$B$10000,$E$6:$E$22,0)),ROW($C$2:$C$10000)-ROW($C$2)+1),ROWS(L$20:L757))))</f>
        <v>Iliana  Valerio</v>
      </c>
      <c r="I757" s="4">
        <f t="array" ref="I757">IF(ROWS(M$20:M757)&gt;$F$6,"",INDEX(C$2:C$10000,SMALL(IF(ISNUMBER(MATCH($B$2:$B$10000,$E$6:$E$22,0)),ROW($C$2:$C$10000)-ROW($C$2)+1),ROWS(M$20:M757))))</f>
        <v>30</v>
      </c>
      <c r="K757" s="7">
        <f t="array" ref="K757">IF(ROWS(K$20:K757)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757))))</f>
        <v>41664</v>
      </c>
      <c r="L757" s="4" t="str">
        <f t="array" ref="L757">IF(ROWS(L$20:L757)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757))))</f>
        <v>Iliana  Valerio</v>
      </c>
      <c r="M757" s="4">
        <f t="array" ref="M757">IF(ROWS(M$20:M757)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757))))</f>
        <v>30</v>
      </c>
    </row>
    <row r="758" spans="1:13" x14ac:dyDescent="0.25">
      <c r="A758" s="3">
        <v>41999</v>
      </c>
      <c r="B758" s="2" t="s">
        <v>37</v>
      </c>
      <c r="C758" s="2">
        <v>27</v>
      </c>
      <c r="G758" s="7">
        <f t="array" ref="G758">IF(ROWS(K$20:K758)&gt;$F$6,"",INDEX(A$2:A$10000,SMALL(IF(ISNUMBER(MATCH($B$2:$B$10000,$E$6:$E$22,0)),ROW($C$2:$C$10000)-ROW($C$2)+1),ROWS(K$20:K758))))</f>
        <v>41977</v>
      </c>
      <c r="H758" s="4" t="str">
        <f t="array" ref="H758">IF(ROWS(L$20:L758)&gt;$F$6,"",INDEX(B$2:B$10000,SMALL(IF(ISNUMBER(MATCH($B$2:$B$10000,$E$6:$E$22,0)),ROW($C$2:$C$10000)-ROW($C$2)+1),ROWS(L$20:L758))))</f>
        <v>Mickey  Bolduc</v>
      </c>
      <c r="I758" s="4">
        <f t="array" ref="I758">IF(ROWS(M$20:M758)&gt;$F$6,"",INDEX(C$2:C$10000,SMALL(IF(ISNUMBER(MATCH($B$2:$B$10000,$E$6:$E$22,0)),ROW($C$2:$C$10000)-ROW($C$2)+1),ROWS(M$20:M758))))</f>
        <v>12</v>
      </c>
      <c r="K758" s="7">
        <f t="array" ref="K758">IF(ROWS(K$20:K758)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758))))</f>
        <v>41977</v>
      </c>
      <c r="L758" s="4" t="str">
        <f t="array" ref="L758">IF(ROWS(L$20:L758)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758))))</f>
        <v>Mickey  Bolduc</v>
      </c>
      <c r="M758" s="4">
        <f t="array" ref="M758">IF(ROWS(M$20:M758)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758))))</f>
        <v>12</v>
      </c>
    </row>
    <row r="759" spans="1:13" x14ac:dyDescent="0.25">
      <c r="A759" s="3">
        <v>41568</v>
      </c>
      <c r="B759" s="2" t="s">
        <v>36</v>
      </c>
      <c r="C759" s="2">
        <v>24</v>
      </c>
      <c r="G759" s="7">
        <f t="array" ref="G759">IF(ROWS(K$20:K759)&gt;$F$6,"",INDEX(A$2:A$10000,SMALL(IF(ISNUMBER(MATCH($B$2:$B$10000,$E$6:$E$22,0)),ROW($C$2:$C$10000)-ROW($C$2)+1),ROWS(K$20:K759))))</f>
        <v>41959</v>
      </c>
      <c r="H759" s="4" t="str">
        <f t="array" ref="H759">IF(ROWS(L$20:L759)&gt;$F$6,"",INDEX(B$2:B$10000,SMALL(IF(ISNUMBER(MATCH($B$2:$B$10000,$E$6:$E$22,0)),ROW($C$2:$C$10000)-ROW($C$2)+1),ROWS(L$20:L759))))</f>
        <v>Galen  Barth</v>
      </c>
      <c r="I759" s="4">
        <f t="array" ref="I759">IF(ROWS(M$20:M759)&gt;$F$6,"",INDEX(C$2:C$10000,SMALL(IF(ISNUMBER(MATCH($B$2:$B$10000,$E$6:$E$22,0)),ROW($C$2:$C$10000)-ROW($C$2)+1),ROWS(M$20:M759))))</f>
        <v>43</v>
      </c>
      <c r="K759" s="7">
        <f t="array" ref="K759">IF(ROWS(K$20:K759)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759))))</f>
        <v>41959</v>
      </c>
      <c r="L759" s="4" t="str">
        <f t="array" ref="L759">IF(ROWS(L$20:L759)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759))))</f>
        <v>Galen  Barth</v>
      </c>
      <c r="M759" s="4">
        <f t="array" ref="M759">IF(ROWS(M$20:M759)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759))))</f>
        <v>43</v>
      </c>
    </row>
    <row r="760" spans="1:13" x14ac:dyDescent="0.25">
      <c r="A760" s="3">
        <v>41952</v>
      </c>
      <c r="B760" s="2" t="s">
        <v>31</v>
      </c>
      <c r="C760" s="2">
        <v>44</v>
      </c>
      <c r="G760" s="7">
        <f t="array" ref="G760">IF(ROWS(K$20:K760)&gt;$F$6,"",INDEX(A$2:A$10000,SMALL(IF(ISNUMBER(MATCH($B$2:$B$10000,$E$6:$E$22,0)),ROW($C$2:$C$10000)-ROW($C$2)+1),ROWS(K$20:K760))))</f>
        <v>41635</v>
      </c>
      <c r="H760" s="4" t="str">
        <f t="array" ref="H760">IF(ROWS(L$20:L760)&gt;$F$6,"",INDEX(B$2:B$10000,SMALL(IF(ISNUMBER(MATCH($B$2:$B$10000,$E$6:$E$22,0)),ROW($C$2:$C$10000)-ROW($C$2)+1),ROWS(L$20:L760))))</f>
        <v>Mickey  Bolduc</v>
      </c>
      <c r="I760" s="4">
        <f t="array" ref="I760">IF(ROWS(M$20:M760)&gt;$F$6,"",INDEX(C$2:C$10000,SMALL(IF(ISNUMBER(MATCH($B$2:$B$10000,$E$6:$E$22,0)),ROW($C$2:$C$10000)-ROW($C$2)+1),ROWS(M$20:M760))))</f>
        <v>9</v>
      </c>
      <c r="K760" s="7">
        <f t="array" ref="K760">IF(ROWS(K$20:K760)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760))))</f>
        <v>41635</v>
      </c>
      <c r="L760" s="4" t="str">
        <f t="array" ref="L760">IF(ROWS(L$20:L760)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760))))</f>
        <v>Mickey  Bolduc</v>
      </c>
      <c r="M760" s="4">
        <f t="array" ref="M760">IF(ROWS(M$20:M760)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760))))</f>
        <v>9</v>
      </c>
    </row>
    <row r="761" spans="1:13" x14ac:dyDescent="0.25">
      <c r="A761" s="3">
        <v>41320</v>
      </c>
      <c r="B761" s="2" t="s">
        <v>44</v>
      </c>
      <c r="C761" s="2">
        <v>41</v>
      </c>
      <c r="G761" s="7">
        <f t="array" ref="G761">IF(ROWS(K$20:K761)&gt;$F$6,"",INDEX(A$2:A$10000,SMALL(IF(ISNUMBER(MATCH($B$2:$B$10000,$E$6:$E$22,0)),ROW($C$2:$C$10000)-ROW($C$2)+1),ROWS(K$20:K761))))</f>
        <v>41792</v>
      </c>
      <c r="H761" s="4" t="str">
        <f t="array" ref="H761">IF(ROWS(L$20:L761)&gt;$F$6,"",INDEX(B$2:B$10000,SMALL(IF(ISNUMBER(MATCH($B$2:$B$10000,$E$6:$E$22,0)),ROW($C$2:$C$10000)-ROW($C$2)+1),ROWS(L$20:L761))))</f>
        <v>Kerrie  Worrell</v>
      </c>
      <c r="I761" s="4">
        <f t="array" ref="I761">IF(ROWS(M$20:M761)&gt;$F$6,"",INDEX(C$2:C$10000,SMALL(IF(ISNUMBER(MATCH($B$2:$B$10000,$E$6:$E$22,0)),ROW($C$2:$C$10000)-ROW($C$2)+1),ROWS(M$20:M761))))</f>
        <v>22</v>
      </c>
      <c r="K761" s="7">
        <f t="array" ref="K761">IF(ROWS(K$20:K761)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761))))</f>
        <v>41792</v>
      </c>
      <c r="L761" s="4" t="str">
        <f t="array" ref="L761">IF(ROWS(L$20:L761)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761))))</f>
        <v>Kerrie  Worrell</v>
      </c>
      <c r="M761" s="4">
        <f t="array" ref="M761">IF(ROWS(M$20:M761)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761))))</f>
        <v>22</v>
      </c>
    </row>
    <row r="762" spans="1:13" x14ac:dyDescent="0.25">
      <c r="A762" s="3">
        <v>41278</v>
      </c>
      <c r="B762" s="2" t="s">
        <v>29</v>
      </c>
      <c r="C762" s="2">
        <v>41</v>
      </c>
      <c r="G762" s="7">
        <f t="array" ref="G762">IF(ROWS(K$20:K762)&gt;$F$6,"",INDEX(A$2:A$10000,SMALL(IF(ISNUMBER(MATCH($B$2:$B$10000,$E$6:$E$22,0)),ROW($C$2:$C$10000)-ROW($C$2)+1),ROWS(K$20:K762))))</f>
        <v>41633</v>
      </c>
      <c r="H762" s="4" t="str">
        <f t="array" ref="H762">IF(ROWS(L$20:L762)&gt;$F$6,"",INDEX(B$2:B$10000,SMALL(IF(ISNUMBER(MATCH($B$2:$B$10000,$E$6:$E$22,0)),ROW($C$2:$C$10000)-ROW($C$2)+1),ROWS(L$20:L762))))</f>
        <v>Rosamond  Allard</v>
      </c>
      <c r="I762" s="4">
        <f t="array" ref="I762">IF(ROWS(M$20:M762)&gt;$F$6,"",INDEX(C$2:C$10000,SMALL(IF(ISNUMBER(MATCH($B$2:$B$10000,$E$6:$E$22,0)),ROW($C$2:$C$10000)-ROW($C$2)+1),ROWS(M$20:M762))))</f>
        <v>7</v>
      </c>
      <c r="K762" s="7">
        <f t="array" ref="K762">IF(ROWS(K$20:K762)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762))))</f>
        <v>41633</v>
      </c>
      <c r="L762" s="4" t="str">
        <f t="array" ref="L762">IF(ROWS(L$20:L762)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762))))</f>
        <v>Rosamond  Allard</v>
      </c>
      <c r="M762" s="4">
        <f t="array" ref="M762">IF(ROWS(M$20:M762)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762))))</f>
        <v>7</v>
      </c>
    </row>
    <row r="763" spans="1:13" x14ac:dyDescent="0.25">
      <c r="A763" s="3">
        <v>41618</v>
      </c>
      <c r="B763" s="2" t="s">
        <v>2</v>
      </c>
      <c r="C763" s="2">
        <v>29</v>
      </c>
      <c r="G763" s="7">
        <f t="array" ref="G763">IF(ROWS(K$20:K763)&gt;$F$6,"",INDEX(A$2:A$10000,SMALL(IF(ISNUMBER(MATCH($B$2:$B$10000,$E$6:$E$22,0)),ROW($C$2:$C$10000)-ROW($C$2)+1),ROWS(K$20:K763))))</f>
        <v>41795</v>
      </c>
      <c r="H763" s="4" t="str">
        <f t="array" ref="H763">IF(ROWS(L$20:L763)&gt;$F$6,"",INDEX(B$2:B$10000,SMALL(IF(ISNUMBER(MATCH($B$2:$B$10000,$E$6:$E$22,0)),ROW($C$2:$C$10000)-ROW($C$2)+1),ROWS(L$20:L763))))</f>
        <v>Mickey  Bolduc</v>
      </c>
      <c r="I763" s="4">
        <f t="array" ref="I763">IF(ROWS(M$20:M763)&gt;$F$6,"",INDEX(C$2:C$10000,SMALL(IF(ISNUMBER(MATCH($B$2:$B$10000,$E$6:$E$22,0)),ROW($C$2:$C$10000)-ROW($C$2)+1),ROWS(M$20:M763))))</f>
        <v>42</v>
      </c>
      <c r="K763" s="7">
        <f t="array" ref="K763">IF(ROWS(K$20:K763)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763))))</f>
        <v>41795</v>
      </c>
      <c r="L763" s="4" t="str">
        <f t="array" ref="L763">IF(ROWS(L$20:L763)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763))))</f>
        <v>Mickey  Bolduc</v>
      </c>
      <c r="M763" s="4">
        <f t="array" ref="M763">IF(ROWS(M$20:M763)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763))))</f>
        <v>42</v>
      </c>
    </row>
    <row r="764" spans="1:13" x14ac:dyDescent="0.25">
      <c r="A764" s="3">
        <v>41551</v>
      </c>
      <c r="B764" s="2" t="s">
        <v>18</v>
      </c>
      <c r="C764" s="2">
        <v>36</v>
      </c>
      <c r="G764" s="7">
        <f t="array" ref="G764">IF(ROWS(K$20:K764)&gt;$F$6,"",INDEX(A$2:A$10000,SMALL(IF(ISNUMBER(MATCH($B$2:$B$10000,$E$6:$E$22,0)),ROW($C$2:$C$10000)-ROW($C$2)+1),ROWS(K$20:K764))))</f>
        <v>41503</v>
      </c>
      <c r="H764" s="4" t="str">
        <f t="array" ref="H764">IF(ROWS(L$20:L764)&gt;$F$6,"",INDEX(B$2:B$10000,SMALL(IF(ISNUMBER(MATCH($B$2:$B$10000,$E$6:$E$22,0)),ROW($C$2:$C$10000)-ROW($C$2)+1),ROWS(L$20:L764))))</f>
        <v>Kerrie  Worrell</v>
      </c>
      <c r="I764" s="4">
        <f t="array" ref="I764">IF(ROWS(M$20:M764)&gt;$F$6,"",INDEX(C$2:C$10000,SMALL(IF(ISNUMBER(MATCH($B$2:$B$10000,$E$6:$E$22,0)),ROW($C$2:$C$10000)-ROW($C$2)+1),ROWS(M$20:M764))))</f>
        <v>34</v>
      </c>
      <c r="K764" s="7">
        <f t="array" ref="K764">IF(ROWS(K$20:K764)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764))))</f>
        <v>41503</v>
      </c>
      <c r="L764" s="4" t="str">
        <f t="array" ref="L764">IF(ROWS(L$20:L764)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764))))</f>
        <v>Kerrie  Worrell</v>
      </c>
      <c r="M764" s="4">
        <f t="array" ref="M764">IF(ROWS(M$20:M764)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764))))</f>
        <v>34</v>
      </c>
    </row>
    <row r="765" spans="1:13" x14ac:dyDescent="0.25">
      <c r="A765" s="3">
        <v>41307</v>
      </c>
      <c r="B765" s="2" t="s">
        <v>26</v>
      </c>
      <c r="C765" s="2">
        <v>19</v>
      </c>
      <c r="G765" s="7">
        <f t="array" ref="G765">IF(ROWS(K$20:K765)&gt;$F$6,"",INDEX(A$2:A$10000,SMALL(IF(ISNUMBER(MATCH($B$2:$B$10000,$E$6:$E$22,0)),ROW($C$2:$C$10000)-ROW($C$2)+1),ROWS(K$20:K765))))</f>
        <v>41730</v>
      </c>
      <c r="H765" s="4" t="str">
        <f t="array" ref="H765">IF(ROWS(L$20:L765)&gt;$F$6,"",INDEX(B$2:B$10000,SMALL(IF(ISNUMBER(MATCH($B$2:$B$10000,$E$6:$E$22,0)),ROW($C$2:$C$10000)-ROW($C$2)+1),ROWS(L$20:L765))))</f>
        <v>Iliana  Valerio</v>
      </c>
      <c r="I765" s="4">
        <f t="array" ref="I765">IF(ROWS(M$20:M765)&gt;$F$6,"",INDEX(C$2:C$10000,SMALL(IF(ISNUMBER(MATCH($B$2:$B$10000,$E$6:$E$22,0)),ROW($C$2:$C$10000)-ROW($C$2)+1),ROWS(M$20:M765))))</f>
        <v>42</v>
      </c>
      <c r="K765" s="7">
        <f t="array" ref="K765">IF(ROWS(K$20:K765)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765))))</f>
        <v>41730</v>
      </c>
      <c r="L765" s="4" t="str">
        <f t="array" ref="L765">IF(ROWS(L$20:L765)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765))))</f>
        <v>Iliana  Valerio</v>
      </c>
      <c r="M765" s="4">
        <f t="array" ref="M765">IF(ROWS(M$20:M765)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765))))</f>
        <v>42</v>
      </c>
    </row>
    <row r="766" spans="1:13" x14ac:dyDescent="0.25">
      <c r="A766" s="3">
        <v>41567</v>
      </c>
      <c r="B766" s="2" t="s">
        <v>26</v>
      </c>
      <c r="C766" s="2">
        <v>59</v>
      </c>
      <c r="G766" s="7">
        <f t="array" ref="G766">IF(ROWS(K$20:K766)&gt;$F$6,"",INDEX(A$2:A$10000,SMALL(IF(ISNUMBER(MATCH($B$2:$B$10000,$E$6:$E$22,0)),ROW($C$2:$C$10000)-ROW($C$2)+1),ROWS(K$20:K766))))</f>
        <v>41354</v>
      </c>
      <c r="H766" s="4" t="str">
        <f t="array" ref="H766">IF(ROWS(L$20:L766)&gt;$F$6,"",INDEX(B$2:B$10000,SMALL(IF(ISNUMBER(MATCH($B$2:$B$10000,$E$6:$E$22,0)),ROW($C$2:$C$10000)-ROW($C$2)+1),ROWS(L$20:L766))))</f>
        <v>Iliana  Valerio</v>
      </c>
      <c r="I766" s="4">
        <f t="array" ref="I766">IF(ROWS(M$20:M766)&gt;$F$6,"",INDEX(C$2:C$10000,SMALL(IF(ISNUMBER(MATCH($B$2:$B$10000,$E$6:$E$22,0)),ROW($C$2:$C$10000)-ROW($C$2)+1),ROWS(M$20:M766))))</f>
        <v>9</v>
      </c>
      <c r="K766" s="7">
        <f t="array" ref="K766">IF(ROWS(K$20:K766)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766))))</f>
        <v>41354</v>
      </c>
      <c r="L766" s="4" t="str">
        <f t="array" ref="L766">IF(ROWS(L$20:L766)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766))))</f>
        <v>Iliana  Valerio</v>
      </c>
      <c r="M766" s="4">
        <f t="array" ref="M766">IF(ROWS(M$20:M766)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766))))</f>
        <v>9</v>
      </c>
    </row>
    <row r="767" spans="1:13" x14ac:dyDescent="0.25">
      <c r="A767" s="3">
        <v>41915</v>
      </c>
      <c r="B767" s="2" t="s">
        <v>2</v>
      </c>
      <c r="C767" s="2">
        <v>25</v>
      </c>
      <c r="G767" s="7">
        <f t="array" ref="G767">IF(ROWS(K$20:K767)&gt;$F$6,"",INDEX(A$2:A$10000,SMALL(IF(ISNUMBER(MATCH($B$2:$B$10000,$E$6:$E$22,0)),ROW($C$2:$C$10000)-ROW($C$2)+1),ROWS(K$20:K767))))</f>
        <v>41613</v>
      </c>
      <c r="H767" s="4" t="str">
        <f t="array" ref="H767">IF(ROWS(L$20:L767)&gt;$F$6,"",INDEX(B$2:B$10000,SMALL(IF(ISNUMBER(MATCH($B$2:$B$10000,$E$6:$E$22,0)),ROW($C$2:$C$10000)-ROW($C$2)+1),ROWS(L$20:L767))))</f>
        <v>Galen  Barth</v>
      </c>
      <c r="I767" s="4">
        <f t="array" ref="I767">IF(ROWS(M$20:M767)&gt;$F$6,"",INDEX(C$2:C$10000,SMALL(IF(ISNUMBER(MATCH($B$2:$B$10000,$E$6:$E$22,0)),ROW($C$2:$C$10000)-ROW($C$2)+1),ROWS(M$20:M767))))</f>
        <v>10</v>
      </c>
      <c r="K767" s="7">
        <f t="array" ref="K767">IF(ROWS(K$20:K767)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767))))</f>
        <v>41613</v>
      </c>
      <c r="L767" s="4" t="str">
        <f t="array" ref="L767">IF(ROWS(L$20:L767)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767))))</f>
        <v>Galen  Barth</v>
      </c>
      <c r="M767" s="4">
        <f t="array" ref="M767">IF(ROWS(M$20:M767)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767))))</f>
        <v>10</v>
      </c>
    </row>
    <row r="768" spans="1:13" x14ac:dyDescent="0.25">
      <c r="A768" s="3">
        <v>41357</v>
      </c>
      <c r="B768" s="2" t="s">
        <v>9</v>
      </c>
      <c r="C768" s="2">
        <v>22</v>
      </c>
      <c r="G768" s="7">
        <f t="array" ref="G768">IF(ROWS(K$20:K768)&gt;$F$6,"",INDEX(A$2:A$10000,SMALL(IF(ISNUMBER(MATCH($B$2:$B$10000,$E$6:$E$22,0)),ROW($C$2:$C$10000)-ROW($C$2)+1),ROWS(K$20:K768))))</f>
        <v>41440</v>
      </c>
      <c r="H768" s="4" t="str">
        <f t="array" ref="H768">IF(ROWS(L$20:L768)&gt;$F$6,"",INDEX(B$2:B$10000,SMALL(IF(ISNUMBER(MATCH($B$2:$B$10000,$E$6:$E$22,0)),ROW($C$2:$C$10000)-ROW($C$2)+1),ROWS(L$20:L768))))</f>
        <v>Jenni  Thorton</v>
      </c>
      <c r="I768" s="4">
        <f t="array" ref="I768">IF(ROWS(M$20:M768)&gt;$F$6,"",INDEX(C$2:C$10000,SMALL(IF(ISNUMBER(MATCH($B$2:$B$10000,$E$6:$E$22,0)),ROW($C$2:$C$10000)-ROW($C$2)+1),ROWS(M$20:M768))))</f>
        <v>44</v>
      </c>
      <c r="K768" s="7">
        <f t="array" ref="K768">IF(ROWS(K$20:K768)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768))))</f>
        <v>41440</v>
      </c>
      <c r="L768" s="4" t="str">
        <f t="array" ref="L768">IF(ROWS(L$20:L768)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768))))</f>
        <v>Jenni  Thorton</v>
      </c>
      <c r="M768" s="4">
        <f t="array" ref="M768">IF(ROWS(M$20:M768)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768))))</f>
        <v>44</v>
      </c>
    </row>
    <row r="769" spans="1:13" x14ac:dyDescent="0.25">
      <c r="A769" s="3">
        <v>41569</v>
      </c>
      <c r="B769" s="2" t="s">
        <v>44</v>
      </c>
      <c r="C769" s="2">
        <v>28</v>
      </c>
      <c r="G769" s="7">
        <f t="array" ref="G769">IF(ROWS(K$20:K769)&gt;$F$6,"",INDEX(A$2:A$10000,SMALL(IF(ISNUMBER(MATCH($B$2:$B$10000,$E$6:$E$22,0)),ROW($C$2:$C$10000)-ROW($C$2)+1),ROWS(K$20:K769))))</f>
        <v>41887</v>
      </c>
      <c r="H769" s="4" t="str">
        <f t="array" ref="H769">IF(ROWS(L$20:L769)&gt;$F$6,"",INDEX(B$2:B$10000,SMALL(IF(ISNUMBER(MATCH($B$2:$B$10000,$E$6:$E$22,0)),ROW($C$2:$C$10000)-ROW($C$2)+1),ROWS(L$20:L769))))</f>
        <v>Rosamond  Allard</v>
      </c>
      <c r="I769" s="4">
        <f t="array" ref="I769">IF(ROWS(M$20:M769)&gt;$F$6,"",INDEX(C$2:C$10000,SMALL(IF(ISNUMBER(MATCH($B$2:$B$10000,$E$6:$E$22,0)),ROW($C$2:$C$10000)-ROW($C$2)+1),ROWS(M$20:M769))))</f>
        <v>13</v>
      </c>
      <c r="K769" s="7">
        <f t="array" ref="K769">IF(ROWS(K$20:K769)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769))))</f>
        <v>41887</v>
      </c>
      <c r="L769" s="4" t="str">
        <f t="array" ref="L769">IF(ROWS(L$20:L769)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769))))</f>
        <v>Rosamond  Allard</v>
      </c>
      <c r="M769" s="4">
        <f t="array" ref="M769">IF(ROWS(M$20:M769)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769))))</f>
        <v>13</v>
      </c>
    </row>
    <row r="770" spans="1:13" x14ac:dyDescent="0.25">
      <c r="A770" s="3">
        <v>41322</v>
      </c>
      <c r="B770" s="2" t="s">
        <v>47</v>
      </c>
      <c r="C770" s="2">
        <v>38</v>
      </c>
      <c r="G770" s="7">
        <f t="array" ref="G770">IF(ROWS(K$20:K770)&gt;$F$6,"",INDEX(A$2:A$10000,SMALL(IF(ISNUMBER(MATCH($B$2:$B$10000,$E$6:$E$22,0)),ROW($C$2:$C$10000)-ROW($C$2)+1),ROWS(K$20:K770))))</f>
        <v>41514</v>
      </c>
      <c r="H770" s="4" t="str">
        <f t="array" ref="H770">IF(ROWS(L$20:L770)&gt;$F$6,"",INDEX(B$2:B$10000,SMALL(IF(ISNUMBER(MATCH($B$2:$B$10000,$E$6:$E$22,0)),ROW($C$2:$C$10000)-ROW($C$2)+1),ROWS(L$20:L770))))</f>
        <v>Jenni  Thorton</v>
      </c>
      <c r="I770" s="4">
        <f t="array" ref="I770">IF(ROWS(M$20:M770)&gt;$F$6,"",INDEX(C$2:C$10000,SMALL(IF(ISNUMBER(MATCH($B$2:$B$10000,$E$6:$E$22,0)),ROW($C$2:$C$10000)-ROW($C$2)+1),ROWS(M$20:M770))))</f>
        <v>59</v>
      </c>
      <c r="K770" s="7">
        <f t="array" ref="K770">IF(ROWS(K$20:K770)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770))))</f>
        <v>41514</v>
      </c>
      <c r="L770" s="4" t="str">
        <f t="array" ref="L770">IF(ROWS(L$20:L770)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770))))</f>
        <v>Jenni  Thorton</v>
      </c>
      <c r="M770" s="4">
        <f t="array" ref="M770">IF(ROWS(M$20:M770)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770))))</f>
        <v>59</v>
      </c>
    </row>
    <row r="771" spans="1:13" x14ac:dyDescent="0.25">
      <c r="A771" s="3">
        <v>41567</v>
      </c>
      <c r="B771" s="2" t="s">
        <v>3</v>
      </c>
      <c r="C771" s="2">
        <v>1</v>
      </c>
      <c r="G771" s="7">
        <f t="array" ref="G771">IF(ROWS(K$20:K771)&gt;$F$6,"",INDEX(A$2:A$10000,SMALL(IF(ISNUMBER(MATCH($B$2:$B$10000,$E$6:$E$22,0)),ROW($C$2:$C$10000)-ROW($C$2)+1),ROWS(K$20:K771))))</f>
        <v>41641</v>
      </c>
      <c r="H771" s="4" t="str">
        <f t="array" ref="H771">IF(ROWS(L$20:L771)&gt;$F$6,"",INDEX(B$2:B$10000,SMALL(IF(ISNUMBER(MATCH($B$2:$B$10000,$E$6:$E$22,0)),ROW($C$2:$C$10000)-ROW($C$2)+1),ROWS(L$20:L771))))</f>
        <v>Kerrie  Worrell</v>
      </c>
      <c r="I771" s="4">
        <f t="array" ref="I771">IF(ROWS(M$20:M771)&gt;$F$6,"",INDEX(C$2:C$10000,SMALL(IF(ISNUMBER(MATCH($B$2:$B$10000,$E$6:$E$22,0)),ROW($C$2:$C$10000)-ROW($C$2)+1),ROWS(M$20:M771))))</f>
        <v>53</v>
      </c>
      <c r="K771" s="7">
        <f t="array" ref="K771">IF(ROWS(K$20:K771)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771))))</f>
        <v>41641</v>
      </c>
      <c r="L771" s="4" t="str">
        <f t="array" ref="L771">IF(ROWS(L$20:L771)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771))))</f>
        <v>Kerrie  Worrell</v>
      </c>
      <c r="M771" s="4">
        <f t="array" ref="M771">IF(ROWS(M$20:M771)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771))))</f>
        <v>53</v>
      </c>
    </row>
    <row r="772" spans="1:13" x14ac:dyDescent="0.25">
      <c r="A772" s="3">
        <v>41446</v>
      </c>
      <c r="B772" s="2" t="s">
        <v>27</v>
      </c>
      <c r="C772" s="2">
        <v>23</v>
      </c>
      <c r="G772" s="7">
        <f t="array" ref="G772">IF(ROWS(K$20:K772)&gt;$F$6,"",INDEX(A$2:A$10000,SMALL(IF(ISNUMBER(MATCH($B$2:$B$10000,$E$6:$E$22,0)),ROW($C$2:$C$10000)-ROW($C$2)+1),ROWS(K$20:K772))))</f>
        <v>41866</v>
      </c>
      <c r="H772" s="4" t="str">
        <f t="array" ref="H772">IF(ROWS(L$20:L772)&gt;$F$6,"",INDEX(B$2:B$10000,SMALL(IF(ISNUMBER(MATCH($B$2:$B$10000,$E$6:$E$22,0)),ROW($C$2:$C$10000)-ROW($C$2)+1),ROWS(L$20:L772))))</f>
        <v>Jenni  Thorton</v>
      </c>
      <c r="I772" s="4">
        <f t="array" ref="I772">IF(ROWS(M$20:M772)&gt;$F$6,"",INDEX(C$2:C$10000,SMALL(IF(ISNUMBER(MATCH($B$2:$B$10000,$E$6:$E$22,0)),ROW($C$2:$C$10000)-ROW($C$2)+1),ROWS(M$20:M772))))</f>
        <v>26</v>
      </c>
      <c r="K772" s="7">
        <f t="array" ref="K772">IF(ROWS(K$20:K772)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772))))</f>
        <v>41866</v>
      </c>
      <c r="L772" s="4" t="str">
        <f t="array" ref="L772">IF(ROWS(L$20:L772)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772))))</f>
        <v>Jenni  Thorton</v>
      </c>
      <c r="M772" s="4">
        <f t="array" ref="M772">IF(ROWS(M$20:M772)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772))))</f>
        <v>26</v>
      </c>
    </row>
    <row r="773" spans="1:13" x14ac:dyDescent="0.25">
      <c r="A773" s="3">
        <v>41626</v>
      </c>
      <c r="B773" s="2" t="s">
        <v>22</v>
      </c>
      <c r="C773" s="2">
        <v>0</v>
      </c>
      <c r="G773" s="7">
        <f t="array" ref="G773">IF(ROWS(K$20:K773)&gt;$F$6,"",INDEX(A$2:A$10000,SMALL(IF(ISNUMBER(MATCH($B$2:$B$10000,$E$6:$E$22,0)),ROW($C$2:$C$10000)-ROW($C$2)+1),ROWS(K$20:K773))))</f>
        <v>41934</v>
      </c>
      <c r="H773" s="4" t="str">
        <f t="array" ref="H773">IF(ROWS(L$20:L773)&gt;$F$6,"",INDEX(B$2:B$10000,SMALL(IF(ISNUMBER(MATCH($B$2:$B$10000,$E$6:$E$22,0)),ROW($C$2:$C$10000)-ROW($C$2)+1),ROWS(L$20:L773))))</f>
        <v>Kerrie  Worrell</v>
      </c>
      <c r="I773" s="4">
        <f t="array" ref="I773">IF(ROWS(M$20:M773)&gt;$F$6,"",INDEX(C$2:C$10000,SMALL(IF(ISNUMBER(MATCH($B$2:$B$10000,$E$6:$E$22,0)),ROW($C$2:$C$10000)-ROW($C$2)+1),ROWS(M$20:M773))))</f>
        <v>41</v>
      </c>
      <c r="K773" s="7">
        <f t="array" ref="K773">IF(ROWS(K$20:K773)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773))))</f>
        <v>41934</v>
      </c>
      <c r="L773" s="4" t="str">
        <f t="array" ref="L773">IF(ROWS(L$20:L773)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773))))</f>
        <v>Kerrie  Worrell</v>
      </c>
      <c r="M773" s="4">
        <f t="array" ref="M773">IF(ROWS(M$20:M773)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773))))</f>
        <v>41</v>
      </c>
    </row>
    <row r="774" spans="1:13" x14ac:dyDescent="0.25">
      <c r="A774" s="3">
        <v>41939</v>
      </c>
      <c r="B774" s="2" t="s">
        <v>40</v>
      </c>
      <c r="C774" s="2">
        <v>31</v>
      </c>
      <c r="G774" s="7">
        <f t="array" ref="G774">IF(ROWS(K$20:K774)&gt;$F$6,"",INDEX(A$2:A$10000,SMALL(IF(ISNUMBER(MATCH($B$2:$B$10000,$E$6:$E$22,0)),ROW($C$2:$C$10000)-ROW($C$2)+1),ROWS(K$20:K774))))</f>
        <v>41938</v>
      </c>
      <c r="H774" s="4" t="str">
        <f t="array" ref="H774">IF(ROWS(L$20:L774)&gt;$F$6,"",INDEX(B$2:B$10000,SMALL(IF(ISNUMBER(MATCH($B$2:$B$10000,$E$6:$E$22,0)),ROW($C$2:$C$10000)-ROW($C$2)+1),ROWS(L$20:L774))))</f>
        <v>Kerrie  Worrell</v>
      </c>
      <c r="I774" s="4">
        <f t="array" ref="I774">IF(ROWS(M$20:M774)&gt;$F$6,"",INDEX(C$2:C$10000,SMALL(IF(ISNUMBER(MATCH($B$2:$B$10000,$E$6:$E$22,0)),ROW($C$2:$C$10000)-ROW($C$2)+1),ROWS(M$20:M774))))</f>
        <v>25</v>
      </c>
      <c r="K774" s="7">
        <f t="array" ref="K774">IF(ROWS(K$20:K774)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774))))</f>
        <v>41938</v>
      </c>
      <c r="L774" s="4" t="str">
        <f t="array" ref="L774">IF(ROWS(L$20:L774)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774))))</f>
        <v>Kerrie  Worrell</v>
      </c>
      <c r="M774" s="4">
        <f t="array" ref="M774">IF(ROWS(M$20:M774)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774))))</f>
        <v>25</v>
      </c>
    </row>
    <row r="775" spans="1:13" x14ac:dyDescent="0.25">
      <c r="A775" s="3">
        <v>41877</v>
      </c>
      <c r="B775" s="2" t="s">
        <v>11</v>
      </c>
      <c r="C775" s="2">
        <v>17</v>
      </c>
      <c r="G775" s="7">
        <f t="array" ref="G775">IF(ROWS(K$20:K775)&gt;$F$6,"",INDEX(A$2:A$10000,SMALL(IF(ISNUMBER(MATCH($B$2:$B$10000,$E$6:$E$22,0)),ROW($C$2:$C$10000)-ROW($C$2)+1),ROWS(K$20:K775))))</f>
        <v>41981</v>
      </c>
      <c r="H775" s="4" t="str">
        <f t="array" ref="H775">IF(ROWS(L$20:L775)&gt;$F$6,"",INDEX(B$2:B$10000,SMALL(IF(ISNUMBER(MATCH($B$2:$B$10000,$E$6:$E$22,0)),ROW($C$2:$C$10000)-ROW($C$2)+1),ROWS(L$20:L775))))</f>
        <v>Kerrie  Worrell</v>
      </c>
      <c r="I775" s="4">
        <f t="array" ref="I775">IF(ROWS(M$20:M775)&gt;$F$6,"",INDEX(C$2:C$10000,SMALL(IF(ISNUMBER(MATCH($B$2:$B$10000,$E$6:$E$22,0)),ROW($C$2:$C$10000)-ROW($C$2)+1),ROWS(M$20:M775))))</f>
        <v>23</v>
      </c>
      <c r="K775" s="7">
        <f t="array" ref="K775">IF(ROWS(K$20:K775)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775))))</f>
        <v>41981</v>
      </c>
      <c r="L775" s="4" t="str">
        <f t="array" ref="L775">IF(ROWS(L$20:L775)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775))))</f>
        <v>Kerrie  Worrell</v>
      </c>
      <c r="M775" s="4">
        <f t="array" ref="M775">IF(ROWS(M$20:M775)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775))))</f>
        <v>23</v>
      </c>
    </row>
    <row r="776" spans="1:13" x14ac:dyDescent="0.25">
      <c r="A776" s="3">
        <v>41531</v>
      </c>
      <c r="B776" s="2" t="s">
        <v>8</v>
      </c>
      <c r="C776" s="2">
        <v>48</v>
      </c>
      <c r="G776" s="7">
        <f t="array" ref="G776">IF(ROWS(K$20:K776)&gt;$F$6,"",INDEX(A$2:A$10000,SMALL(IF(ISNUMBER(MATCH($B$2:$B$10000,$E$6:$E$22,0)),ROW($C$2:$C$10000)-ROW($C$2)+1),ROWS(K$20:K776))))</f>
        <v>41877</v>
      </c>
      <c r="H776" s="4" t="str">
        <f t="array" ref="H776">IF(ROWS(L$20:L776)&gt;$F$6,"",INDEX(B$2:B$10000,SMALL(IF(ISNUMBER(MATCH($B$2:$B$10000,$E$6:$E$22,0)),ROW($C$2:$C$10000)-ROW($C$2)+1),ROWS(L$20:L776))))</f>
        <v>Mickey  Bolduc</v>
      </c>
      <c r="I776" s="4">
        <f t="array" ref="I776">IF(ROWS(M$20:M776)&gt;$F$6,"",INDEX(C$2:C$10000,SMALL(IF(ISNUMBER(MATCH($B$2:$B$10000,$E$6:$E$22,0)),ROW($C$2:$C$10000)-ROW($C$2)+1),ROWS(M$20:M776))))</f>
        <v>4</v>
      </c>
      <c r="K776" s="7">
        <f t="array" ref="K776">IF(ROWS(K$20:K776)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776))))</f>
        <v>41877</v>
      </c>
      <c r="L776" s="4" t="str">
        <f t="array" ref="L776">IF(ROWS(L$20:L776)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776))))</f>
        <v>Mickey  Bolduc</v>
      </c>
      <c r="M776" s="4">
        <f t="array" ref="M776">IF(ROWS(M$20:M776)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776))))</f>
        <v>4</v>
      </c>
    </row>
    <row r="777" spans="1:13" x14ac:dyDescent="0.25">
      <c r="A777" s="3">
        <v>41558</v>
      </c>
      <c r="B777" s="2" t="s">
        <v>50</v>
      </c>
      <c r="C777" s="2">
        <v>25</v>
      </c>
      <c r="G777" s="7">
        <f t="array" ref="G777">IF(ROWS(K$20:K777)&gt;$F$6,"",INDEX(A$2:A$10000,SMALL(IF(ISNUMBER(MATCH($B$2:$B$10000,$E$6:$E$22,0)),ROW($C$2:$C$10000)-ROW($C$2)+1),ROWS(K$20:K777))))</f>
        <v>41847</v>
      </c>
      <c r="H777" s="4" t="str">
        <f t="array" ref="H777">IF(ROWS(L$20:L777)&gt;$F$6,"",INDEX(B$2:B$10000,SMALL(IF(ISNUMBER(MATCH($B$2:$B$10000,$E$6:$E$22,0)),ROW($C$2:$C$10000)-ROW($C$2)+1),ROWS(L$20:L777))))</f>
        <v>Kerrie  Worrell</v>
      </c>
      <c r="I777" s="4">
        <f t="array" ref="I777">IF(ROWS(M$20:M777)&gt;$F$6,"",INDEX(C$2:C$10000,SMALL(IF(ISNUMBER(MATCH($B$2:$B$10000,$E$6:$E$22,0)),ROW($C$2:$C$10000)-ROW($C$2)+1),ROWS(M$20:M777))))</f>
        <v>1</v>
      </c>
      <c r="K777" s="7">
        <f t="array" ref="K777">IF(ROWS(K$20:K777)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777))))</f>
        <v>41847</v>
      </c>
      <c r="L777" s="4" t="str">
        <f t="array" ref="L777">IF(ROWS(L$20:L777)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777))))</f>
        <v>Kerrie  Worrell</v>
      </c>
      <c r="M777" s="4">
        <f t="array" ref="M777">IF(ROWS(M$20:M777)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777))))</f>
        <v>1</v>
      </c>
    </row>
    <row r="778" spans="1:13" x14ac:dyDescent="0.25">
      <c r="A778" s="3">
        <v>41515</v>
      </c>
      <c r="B778" s="2" t="s">
        <v>28</v>
      </c>
      <c r="C778" s="2">
        <v>5</v>
      </c>
      <c r="G778" s="7">
        <f t="array" ref="G778">IF(ROWS(K$20:K778)&gt;$F$6,"",INDEX(A$2:A$10000,SMALL(IF(ISNUMBER(MATCH($B$2:$B$10000,$E$6:$E$22,0)),ROW($C$2:$C$10000)-ROW($C$2)+1),ROWS(K$20:K778))))</f>
        <v>41580</v>
      </c>
      <c r="H778" s="4" t="str">
        <f t="array" ref="H778">IF(ROWS(L$20:L778)&gt;$F$6,"",INDEX(B$2:B$10000,SMALL(IF(ISNUMBER(MATCH($B$2:$B$10000,$E$6:$E$22,0)),ROW($C$2:$C$10000)-ROW($C$2)+1),ROWS(L$20:L778))))</f>
        <v>Rosamond  Allard</v>
      </c>
      <c r="I778" s="4">
        <f t="array" ref="I778">IF(ROWS(M$20:M778)&gt;$F$6,"",INDEX(C$2:C$10000,SMALL(IF(ISNUMBER(MATCH($B$2:$B$10000,$E$6:$E$22,0)),ROW($C$2:$C$10000)-ROW($C$2)+1),ROWS(M$20:M778))))</f>
        <v>28</v>
      </c>
      <c r="K778" s="7">
        <f t="array" ref="K778">IF(ROWS(K$20:K778)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778))))</f>
        <v>41580</v>
      </c>
      <c r="L778" s="4" t="str">
        <f t="array" ref="L778">IF(ROWS(L$20:L778)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778))))</f>
        <v>Rosamond  Allard</v>
      </c>
      <c r="M778" s="4">
        <f t="array" ref="M778">IF(ROWS(M$20:M778)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778))))</f>
        <v>28</v>
      </c>
    </row>
    <row r="779" spans="1:13" x14ac:dyDescent="0.25">
      <c r="A779" s="3">
        <v>41792</v>
      </c>
      <c r="B779" s="2" t="s">
        <v>31</v>
      </c>
      <c r="C779" s="2">
        <v>40</v>
      </c>
      <c r="G779" s="7">
        <f t="array" ref="G779">IF(ROWS(K$20:K779)&gt;$F$6,"",INDEX(A$2:A$10000,SMALL(IF(ISNUMBER(MATCH($B$2:$B$10000,$E$6:$E$22,0)),ROW($C$2:$C$10000)-ROW($C$2)+1),ROWS(K$20:K779))))</f>
        <v>41890</v>
      </c>
      <c r="H779" s="4" t="str">
        <f t="array" ref="H779">IF(ROWS(L$20:L779)&gt;$F$6,"",INDEX(B$2:B$10000,SMALL(IF(ISNUMBER(MATCH($B$2:$B$10000,$E$6:$E$22,0)),ROW($C$2:$C$10000)-ROW($C$2)+1),ROWS(L$20:L779))))</f>
        <v>Iliana  Valerio</v>
      </c>
      <c r="I779" s="4">
        <f t="array" ref="I779">IF(ROWS(M$20:M779)&gt;$F$6,"",INDEX(C$2:C$10000,SMALL(IF(ISNUMBER(MATCH($B$2:$B$10000,$E$6:$E$22,0)),ROW($C$2:$C$10000)-ROW($C$2)+1),ROWS(M$20:M779))))</f>
        <v>1</v>
      </c>
      <c r="K779" s="7">
        <f t="array" ref="K779">IF(ROWS(K$20:K779)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779))))</f>
        <v>41890</v>
      </c>
      <c r="L779" s="4" t="str">
        <f t="array" ref="L779">IF(ROWS(L$20:L779)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779))))</f>
        <v>Iliana  Valerio</v>
      </c>
      <c r="M779" s="4">
        <f t="array" ref="M779">IF(ROWS(M$20:M779)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779))))</f>
        <v>1</v>
      </c>
    </row>
    <row r="780" spans="1:13" x14ac:dyDescent="0.25">
      <c r="A780" s="3">
        <v>41612</v>
      </c>
      <c r="B780" s="2" t="s">
        <v>10</v>
      </c>
      <c r="C780" s="2">
        <v>15</v>
      </c>
      <c r="G780" s="7">
        <f t="array" ref="G780">IF(ROWS(K$20:K780)&gt;$F$6,"",INDEX(A$2:A$10000,SMALL(IF(ISNUMBER(MATCH($B$2:$B$10000,$E$6:$E$22,0)),ROW($C$2:$C$10000)-ROW($C$2)+1),ROWS(K$20:K780))))</f>
        <v>41688</v>
      </c>
      <c r="H780" s="4" t="str">
        <f t="array" ref="H780">IF(ROWS(L$20:L780)&gt;$F$6,"",INDEX(B$2:B$10000,SMALL(IF(ISNUMBER(MATCH($B$2:$B$10000,$E$6:$E$22,0)),ROW($C$2:$C$10000)-ROW($C$2)+1),ROWS(L$20:L780))))</f>
        <v>Mickey  Bolduc</v>
      </c>
      <c r="I780" s="4">
        <f t="array" ref="I780">IF(ROWS(M$20:M780)&gt;$F$6,"",INDEX(C$2:C$10000,SMALL(IF(ISNUMBER(MATCH($B$2:$B$10000,$E$6:$E$22,0)),ROW($C$2:$C$10000)-ROW($C$2)+1),ROWS(M$20:M780))))</f>
        <v>36</v>
      </c>
      <c r="K780" s="7">
        <f t="array" ref="K780">IF(ROWS(K$20:K780)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780))))</f>
        <v>41688</v>
      </c>
      <c r="L780" s="4" t="str">
        <f t="array" ref="L780">IF(ROWS(L$20:L780)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780))))</f>
        <v>Mickey  Bolduc</v>
      </c>
      <c r="M780" s="4">
        <f t="array" ref="M780">IF(ROWS(M$20:M780)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780))))</f>
        <v>36</v>
      </c>
    </row>
    <row r="781" spans="1:13" x14ac:dyDescent="0.25">
      <c r="A781" s="3">
        <v>42003</v>
      </c>
      <c r="B781" s="2" t="s">
        <v>39</v>
      </c>
      <c r="C781" s="2">
        <v>34</v>
      </c>
      <c r="G781" s="7">
        <f t="array" ref="G781">IF(ROWS(K$20:K781)&gt;$F$6,"",INDEX(A$2:A$10000,SMALL(IF(ISNUMBER(MATCH($B$2:$B$10000,$E$6:$E$22,0)),ROW($C$2:$C$10000)-ROW($C$2)+1),ROWS(K$20:K781))))</f>
        <v>41362</v>
      </c>
      <c r="H781" s="4" t="str">
        <f t="array" ref="H781">IF(ROWS(L$20:L781)&gt;$F$6,"",INDEX(B$2:B$10000,SMALL(IF(ISNUMBER(MATCH($B$2:$B$10000,$E$6:$E$22,0)),ROW($C$2:$C$10000)-ROW($C$2)+1),ROWS(L$20:L781))))</f>
        <v>Mickey  Bolduc</v>
      </c>
      <c r="I781" s="4">
        <f t="array" ref="I781">IF(ROWS(M$20:M781)&gt;$F$6,"",INDEX(C$2:C$10000,SMALL(IF(ISNUMBER(MATCH($B$2:$B$10000,$E$6:$E$22,0)),ROW($C$2:$C$10000)-ROW($C$2)+1),ROWS(M$20:M781))))</f>
        <v>27</v>
      </c>
      <c r="K781" s="7">
        <f t="array" ref="K781">IF(ROWS(K$20:K781)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781))))</f>
        <v>41362</v>
      </c>
      <c r="L781" s="4" t="str">
        <f t="array" ref="L781">IF(ROWS(L$20:L781)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781))))</f>
        <v>Mickey  Bolduc</v>
      </c>
      <c r="M781" s="4">
        <f t="array" ref="M781">IF(ROWS(M$20:M781)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781))))</f>
        <v>27</v>
      </c>
    </row>
    <row r="782" spans="1:13" x14ac:dyDescent="0.25">
      <c r="A782" s="3">
        <v>41502</v>
      </c>
      <c r="B782" s="2" t="s">
        <v>19</v>
      </c>
      <c r="C782" s="2">
        <v>39</v>
      </c>
      <c r="G782" s="7">
        <f t="array" ref="G782">IF(ROWS(K$20:K782)&gt;$F$6,"",INDEX(A$2:A$10000,SMALL(IF(ISNUMBER(MATCH($B$2:$B$10000,$E$6:$E$22,0)),ROW($C$2:$C$10000)-ROW($C$2)+1),ROWS(K$20:K782))))</f>
        <v>41402</v>
      </c>
      <c r="H782" s="4" t="str">
        <f t="array" ref="H782">IF(ROWS(L$20:L782)&gt;$F$6,"",INDEX(B$2:B$10000,SMALL(IF(ISNUMBER(MATCH($B$2:$B$10000,$E$6:$E$22,0)),ROW($C$2:$C$10000)-ROW($C$2)+1),ROWS(L$20:L782))))</f>
        <v>Galen  Barth</v>
      </c>
      <c r="I782" s="4">
        <f t="array" ref="I782">IF(ROWS(M$20:M782)&gt;$F$6,"",INDEX(C$2:C$10000,SMALL(IF(ISNUMBER(MATCH($B$2:$B$10000,$E$6:$E$22,0)),ROW($C$2:$C$10000)-ROW($C$2)+1),ROWS(M$20:M782))))</f>
        <v>42</v>
      </c>
      <c r="K782" s="7">
        <f t="array" ref="K782">IF(ROWS(K$20:K782)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782))))</f>
        <v>41402</v>
      </c>
      <c r="L782" s="4" t="str">
        <f t="array" ref="L782">IF(ROWS(L$20:L782)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782))))</f>
        <v>Galen  Barth</v>
      </c>
      <c r="M782" s="4">
        <f t="array" ref="M782">IF(ROWS(M$20:M782)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782))))</f>
        <v>42</v>
      </c>
    </row>
    <row r="783" spans="1:13" x14ac:dyDescent="0.25">
      <c r="A783" s="3">
        <v>41756</v>
      </c>
      <c r="B783" s="2" t="s">
        <v>10</v>
      </c>
      <c r="C783" s="2">
        <v>24</v>
      </c>
      <c r="G783" s="7">
        <f t="array" ref="G783">IF(ROWS(K$20:K783)&gt;$F$6,"",INDEX(A$2:A$10000,SMALL(IF(ISNUMBER(MATCH($B$2:$B$10000,$E$6:$E$22,0)),ROW($C$2:$C$10000)-ROW($C$2)+1),ROWS(K$20:K783))))</f>
        <v>41346</v>
      </c>
      <c r="H783" s="4" t="str">
        <f t="array" ref="H783">IF(ROWS(L$20:L783)&gt;$F$6,"",INDEX(B$2:B$10000,SMALL(IF(ISNUMBER(MATCH($B$2:$B$10000,$E$6:$E$22,0)),ROW($C$2:$C$10000)-ROW($C$2)+1),ROWS(L$20:L783))))</f>
        <v>Rosamond  Allard</v>
      </c>
      <c r="I783" s="4">
        <f t="array" ref="I783">IF(ROWS(M$20:M783)&gt;$F$6,"",INDEX(C$2:C$10000,SMALL(IF(ISNUMBER(MATCH($B$2:$B$10000,$E$6:$E$22,0)),ROW($C$2:$C$10000)-ROW($C$2)+1),ROWS(M$20:M783))))</f>
        <v>27</v>
      </c>
      <c r="K783" s="7">
        <f t="array" ref="K783">IF(ROWS(K$20:K783)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783))))</f>
        <v>41346</v>
      </c>
      <c r="L783" s="4" t="str">
        <f t="array" ref="L783">IF(ROWS(L$20:L783)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783))))</f>
        <v>Rosamond  Allard</v>
      </c>
      <c r="M783" s="4">
        <f t="array" ref="M783">IF(ROWS(M$20:M783)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783))))</f>
        <v>27</v>
      </c>
    </row>
    <row r="784" spans="1:13" x14ac:dyDescent="0.25">
      <c r="A784" s="3">
        <v>41836</v>
      </c>
      <c r="B784" s="2" t="s">
        <v>11</v>
      </c>
      <c r="C784" s="2">
        <v>32</v>
      </c>
      <c r="G784" s="7">
        <f t="array" ref="G784">IF(ROWS(K$20:K784)&gt;$F$6,"",INDEX(A$2:A$10000,SMALL(IF(ISNUMBER(MATCH($B$2:$B$10000,$E$6:$E$22,0)),ROW($C$2:$C$10000)-ROW($C$2)+1),ROWS(K$20:K784))))</f>
        <v>41298</v>
      </c>
      <c r="H784" s="4" t="str">
        <f t="array" ref="H784">IF(ROWS(L$20:L784)&gt;$F$6,"",INDEX(B$2:B$10000,SMALL(IF(ISNUMBER(MATCH($B$2:$B$10000,$E$6:$E$22,0)),ROW($C$2:$C$10000)-ROW($C$2)+1),ROWS(L$20:L784))))</f>
        <v>Jenni  Thorton</v>
      </c>
      <c r="I784" s="4">
        <f t="array" ref="I784">IF(ROWS(M$20:M784)&gt;$F$6,"",INDEX(C$2:C$10000,SMALL(IF(ISNUMBER(MATCH($B$2:$B$10000,$E$6:$E$22,0)),ROW($C$2:$C$10000)-ROW($C$2)+1),ROWS(M$20:M784))))</f>
        <v>50</v>
      </c>
      <c r="K784" s="7">
        <f t="array" ref="K784">IF(ROWS(K$20:K784)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784))))</f>
        <v>41298</v>
      </c>
      <c r="L784" s="4" t="str">
        <f t="array" ref="L784">IF(ROWS(L$20:L784)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784))))</f>
        <v>Jenni  Thorton</v>
      </c>
      <c r="M784" s="4">
        <f t="array" ref="M784">IF(ROWS(M$20:M784)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784))))</f>
        <v>50</v>
      </c>
    </row>
    <row r="785" spans="1:13" x14ac:dyDescent="0.25">
      <c r="A785" s="3">
        <v>41424</v>
      </c>
      <c r="B785" s="2" t="s">
        <v>26</v>
      </c>
      <c r="C785" s="2">
        <v>36</v>
      </c>
      <c r="G785" s="7">
        <f t="array" ref="G785">IF(ROWS(K$20:K785)&gt;$F$6,"",INDEX(A$2:A$10000,SMALL(IF(ISNUMBER(MATCH($B$2:$B$10000,$E$6:$E$22,0)),ROW($C$2:$C$10000)-ROW($C$2)+1),ROWS(K$20:K785))))</f>
        <v>41850</v>
      </c>
      <c r="H785" s="4" t="str">
        <f t="array" ref="H785">IF(ROWS(L$20:L785)&gt;$F$6,"",INDEX(B$2:B$10000,SMALL(IF(ISNUMBER(MATCH($B$2:$B$10000,$E$6:$E$22,0)),ROW($C$2:$C$10000)-ROW($C$2)+1),ROWS(L$20:L785))))</f>
        <v>Galen  Barth</v>
      </c>
      <c r="I785" s="4">
        <f t="array" ref="I785">IF(ROWS(M$20:M785)&gt;$F$6,"",INDEX(C$2:C$10000,SMALL(IF(ISNUMBER(MATCH($B$2:$B$10000,$E$6:$E$22,0)),ROW($C$2:$C$10000)-ROW($C$2)+1),ROWS(M$20:M785))))</f>
        <v>25</v>
      </c>
      <c r="K785" s="7">
        <f t="array" ref="K785">IF(ROWS(K$20:K785)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785))))</f>
        <v>41850</v>
      </c>
      <c r="L785" s="4" t="str">
        <f t="array" ref="L785">IF(ROWS(L$20:L785)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785))))</f>
        <v>Galen  Barth</v>
      </c>
      <c r="M785" s="4">
        <f t="array" ref="M785">IF(ROWS(M$20:M785)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785))))</f>
        <v>25</v>
      </c>
    </row>
    <row r="786" spans="1:13" x14ac:dyDescent="0.25">
      <c r="A786" s="3">
        <v>41766</v>
      </c>
      <c r="B786" s="2" t="s">
        <v>19</v>
      </c>
      <c r="C786" s="2">
        <v>35</v>
      </c>
      <c r="G786" s="7">
        <f t="array" ref="G786">IF(ROWS(K$20:K786)&gt;$F$6,"",INDEX(A$2:A$10000,SMALL(IF(ISNUMBER(MATCH($B$2:$B$10000,$E$6:$E$22,0)),ROW($C$2:$C$10000)-ROW($C$2)+1),ROWS(K$20:K786))))</f>
        <v>41775</v>
      </c>
      <c r="H786" s="4" t="str">
        <f t="array" ref="H786">IF(ROWS(L$20:L786)&gt;$F$6,"",INDEX(B$2:B$10000,SMALL(IF(ISNUMBER(MATCH($B$2:$B$10000,$E$6:$E$22,0)),ROW($C$2:$C$10000)-ROW($C$2)+1),ROWS(L$20:L786))))</f>
        <v>Mickey  Bolduc</v>
      </c>
      <c r="I786" s="4">
        <f t="array" ref="I786">IF(ROWS(M$20:M786)&gt;$F$6,"",INDEX(C$2:C$10000,SMALL(IF(ISNUMBER(MATCH($B$2:$B$10000,$E$6:$E$22,0)),ROW($C$2:$C$10000)-ROW($C$2)+1),ROWS(M$20:M786))))</f>
        <v>16</v>
      </c>
      <c r="K786" s="7">
        <f t="array" ref="K786">IF(ROWS(K$20:K786)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786))))</f>
        <v>41775</v>
      </c>
      <c r="L786" s="4" t="str">
        <f t="array" ref="L786">IF(ROWS(L$20:L786)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786))))</f>
        <v>Mickey  Bolduc</v>
      </c>
      <c r="M786" s="4">
        <f t="array" ref="M786">IF(ROWS(M$20:M786)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786))))</f>
        <v>16</v>
      </c>
    </row>
    <row r="787" spans="1:13" x14ac:dyDescent="0.25">
      <c r="A787" s="3">
        <v>41557</v>
      </c>
      <c r="B787" s="2" t="s">
        <v>5</v>
      </c>
      <c r="C787" s="2">
        <v>27</v>
      </c>
      <c r="G787" s="7">
        <f t="array" ref="G787">IF(ROWS(K$20:K787)&gt;$F$6,"",INDEX(A$2:A$10000,SMALL(IF(ISNUMBER(MATCH($B$2:$B$10000,$E$6:$E$22,0)),ROW($C$2:$C$10000)-ROW($C$2)+1),ROWS(K$20:K787))))</f>
        <v>41459</v>
      </c>
      <c r="H787" s="4" t="str">
        <f t="array" ref="H787">IF(ROWS(L$20:L787)&gt;$F$6,"",INDEX(B$2:B$10000,SMALL(IF(ISNUMBER(MATCH($B$2:$B$10000,$E$6:$E$22,0)),ROW($C$2:$C$10000)-ROW($C$2)+1),ROWS(L$20:L787))))</f>
        <v>Jenni  Thorton</v>
      </c>
      <c r="I787" s="4">
        <f t="array" ref="I787">IF(ROWS(M$20:M787)&gt;$F$6,"",INDEX(C$2:C$10000,SMALL(IF(ISNUMBER(MATCH($B$2:$B$10000,$E$6:$E$22,0)),ROW($C$2:$C$10000)-ROW($C$2)+1),ROWS(M$20:M787))))</f>
        <v>7</v>
      </c>
      <c r="K787" s="7">
        <f t="array" ref="K787">IF(ROWS(K$20:K787)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787))))</f>
        <v>41459</v>
      </c>
      <c r="L787" s="4" t="str">
        <f t="array" ref="L787">IF(ROWS(L$20:L787)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787))))</f>
        <v>Jenni  Thorton</v>
      </c>
      <c r="M787" s="4">
        <f t="array" ref="M787">IF(ROWS(M$20:M787)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787))))</f>
        <v>7</v>
      </c>
    </row>
    <row r="788" spans="1:13" x14ac:dyDescent="0.25">
      <c r="A788" s="3">
        <v>41443</v>
      </c>
      <c r="B788" s="2" t="s">
        <v>34</v>
      </c>
      <c r="C788" s="2">
        <v>39</v>
      </c>
      <c r="G788" s="7">
        <f t="array" ref="G788">IF(ROWS(K$20:K788)&gt;$F$6,"",INDEX(A$2:A$10000,SMALL(IF(ISNUMBER(MATCH($B$2:$B$10000,$E$6:$E$22,0)),ROW($C$2:$C$10000)-ROW($C$2)+1),ROWS(K$20:K788))))</f>
        <v>41322</v>
      </c>
      <c r="H788" s="4" t="str">
        <f t="array" ref="H788">IF(ROWS(L$20:L788)&gt;$F$6,"",INDEX(B$2:B$10000,SMALL(IF(ISNUMBER(MATCH($B$2:$B$10000,$E$6:$E$22,0)),ROW($C$2:$C$10000)-ROW($C$2)+1),ROWS(L$20:L788))))</f>
        <v>Rosamond  Allard</v>
      </c>
      <c r="I788" s="4">
        <f t="array" ref="I788">IF(ROWS(M$20:M788)&gt;$F$6,"",INDEX(C$2:C$10000,SMALL(IF(ISNUMBER(MATCH($B$2:$B$10000,$E$6:$E$22,0)),ROW($C$2:$C$10000)-ROW($C$2)+1),ROWS(M$20:M788))))</f>
        <v>14</v>
      </c>
      <c r="K788" s="7">
        <f t="array" ref="K788">IF(ROWS(K$20:K788)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788))))</f>
        <v>41322</v>
      </c>
      <c r="L788" s="4" t="str">
        <f t="array" ref="L788">IF(ROWS(L$20:L788)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788))))</f>
        <v>Rosamond  Allard</v>
      </c>
      <c r="M788" s="4">
        <f t="array" ref="M788">IF(ROWS(M$20:M788)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788))))</f>
        <v>14</v>
      </c>
    </row>
    <row r="789" spans="1:13" x14ac:dyDescent="0.25">
      <c r="A789" s="3">
        <v>41298</v>
      </c>
      <c r="B789" s="2" t="s">
        <v>43</v>
      </c>
      <c r="C789" s="2">
        <v>23</v>
      </c>
      <c r="G789" s="7">
        <f t="array" ref="G789">IF(ROWS(K$20:K789)&gt;$F$6,"",INDEX(A$2:A$10000,SMALL(IF(ISNUMBER(MATCH($B$2:$B$10000,$E$6:$E$22,0)),ROW($C$2:$C$10000)-ROW($C$2)+1),ROWS(K$20:K789))))</f>
        <v>41356</v>
      </c>
      <c r="H789" s="4" t="str">
        <f t="array" ref="H789">IF(ROWS(L$20:L789)&gt;$F$6,"",INDEX(B$2:B$10000,SMALL(IF(ISNUMBER(MATCH($B$2:$B$10000,$E$6:$E$22,0)),ROW($C$2:$C$10000)-ROW($C$2)+1),ROWS(L$20:L789))))</f>
        <v>Galen  Barth</v>
      </c>
      <c r="I789" s="4">
        <f t="array" ref="I789">IF(ROWS(M$20:M789)&gt;$F$6,"",INDEX(C$2:C$10000,SMALL(IF(ISNUMBER(MATCH($B$2:$B$10000,$E$6:$E$22,0)),ROW($C$2:$C$10000)-ROW($C$2)+1),ROWS(M$20:M789))))</f>
        <v>34</v>
      </c>
      <c r="K789" s="7">
        <f t="array" ref="K789">IF(ROWS(K$20:K789)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789))))</f>
        <v>41356</v>
      </c>
      <c r="L789" s="4" t="str">
        <f t="array" ref="L789">IF(ROWS(L$20:L789)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789))))</f>
        <v>Galen  Barth</v>
      </c>
      <c r="M789" s="4">
        <f t="array" ref="M789">IF(ROWS(M$20:M789)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789))))</f>
        <v>34</v>
      </c>
    </row>
    <row r="790" spans="1:13" x14ac:dyDescent="0.25">
      <c r="A790" s="3">
        <v>41426</v>
      </c>
      <c r="B790" s="2" t="s">
        <v>10</v>
      </c>
      <c r="C790" s="2">
        <v>16</v>
      </c>
      <c r="G790" s="7">
        <f t="array" ref="G790">IF(ROWS(K$20:K790)&gt;$F$6,"",INDEX(A$2:A$10000,SMALL(IF(ISNUMBER(MATCH($B$2:$B$10000,$E$6:$E$22,0)),ROW($C$2:$C$10000)-ROW($C$2)+1),ROWS(K$20:K790))))</f>
        <v>41761</v>
      </c>
      <c r="H790" s="4" t="str">
        <f t="array" ref="H790">IF(ROWS(L$20:L790)&gt;$F$6,"",INDEX(B$2:B$10000,SMALL(IF(ISNUMBER(MATCH($B$2:$B$10000,$E$6:$E$22,0)),ROW($C$2:$C$10000)-ROW($C$2)+1),ROWS(L$20:L790))))</f>
        <v>Mickey  Bolduc</v>
      </c>
      <c r="I790" s="4">
        <f t="array" ref="I790">IF(ROWS(M$20:M790)&gt;$F$6,"",INDEX(C$2:C$10000,SMALL(IF(ISNUMBER(MATCH($B$2:$B$10000,$E$6:$E$22,0)),ROW($C$2:$C$10000)-ROW($C$2)+1),ROWS(M$20:M790))))</f>
        <v>20</v>
      </c>
      <c r="K790" s="7">
        <f t="array" ref="K790">IF(ROWS(K$20:K790)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790))))</f>
        <v>41761</v>
      </c>
      <c r="L790" s="4" t="str">
        <f t="array" ref="L790">IF(ROWS(L$20:L790)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790))))</f>
        <v>Mickey  Bolduc</v>
      </c>
      <c r="M790" s="4">
        <f t="array" ref="M790">IF(ROWS(M$20:M790)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790))))</f>
        <v>20</v>
      </c>
    </row>
    <row r="791" spans="1:13" x14ac:dyDescent="0.25">
      <c r="A791" s="3">
        <v>41322</v>
      </c>
      <c r="B791" s="2" t="s">
        <v>23</v>
      </c>
      <c r="C791" s="2">
        <v>40</v>
      </c>
      <c r="G791" s="7">
        <f t="array" ref="G791">IF(ROWS(K$20:K791)&gt;$F$6,"",INDEX(A$2:A$10000,SMALL(IF(ISNUMBER(MATCH($B$2:$B$10000,$E$6:$E$22,0)),ROW($C$2:$C$10000)-ROW($C$2)+1),ROWS(K$20:K791))))</f>
        <v>41950</v>
      </c>
      <c r="H791" s="4" t="str">
        <f t="array" ref="H791">IF(ROWS(L$20:L791)&gt;$F$6,"",INDEX(B$2:B$10000,SMALL(IF(ISNUMBER(MATCH($B$2:$B$10000,$E$6:$E$22,0)),ROW($C$2:$C$10000)-ROW($C$2)+1),ROWS(L$20:L791))))</f>
        <v>Rosamond  Allard</v>
      </c>
      <c r="I791" s="4">
        <f t="array" ref="I791">IF(ROWS(M$20:M791)&gt;$F$6,"",INDEX(C$2:C$10000,SMALL(IF(ISNUMBER(MATCH($B$2:$B$10000,$E$6:$E$22,0)),ROW($C$2:$C$10000)-ROW($C$2)+1),ROWS(M$20:M791))))</f>
        <v>13</v>
      </c>
      <c r="K791" s="7">
        <f t="array" ref="K791">IF(ROWS(K$20:K791)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791))))</f>
        <v>41950</v>
      </c>
      <c r="L791" s="4" t="str">
        <f t="array" ref="L791">IF(ROWS(L$20:L791)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791))))</f>
        <v>Rosamond  Allard</v>
      </c>
      <c r="M791" s="4">
        <f t="array" ref="M791">IF(ROWS(M$20:M791)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791))))</f>
        <v>13</v>
      </c>
    </row>
    <row r="792" spans="1:13" x14ac:dyDescent="0.25">
      <c r="A792" s="3">
        <v>41392</v>
      </c>
      <c r="B792" s="2" t="s">
        <v>40</v>
      </c>
      <c r="C792" s="2">
        <v>6</v>
      </c>
      <c r="G792" s="7">
        <f t="array" ref="G792">IF(ROWS(K$20:K792)&gt;$F$6,"",INDEX(A$2:A$10000,SMALL(IF(ISNUMBER(MATCH($B$2:$B$10000,$E$6:$E$22,0)),ROW($C$2:$C$10000)-ROW($C$2)+1),ROWS(K$20:K792))))</f>
        <v>41744</v>
      </c>
      <c r="H792" s="4" t="str">
        <f t="array" ref="H792">IF(ROWS(L$20:L792)&gt;$F$6,"",INDEX(B$2:B$10000,SMALL(IF(ISNUMBER(MATCH($B$2:$B$10000,$E$6:$E$22,0)),ROW($C$2:$C$10000)-ROW($C$2)+1),ROWS(L$20:L792))))</f>
        <v>Galen  Barth</v>
      </c>
      <c r="I792" s="4">
        <f t="array" ref="I792">IF(ROWS(M$20:M792)&gt;$F$6,"",INDEX(C$2:C$10000,SMALL(IF(ISNUMBER(MATCH($B$2:$B$10000,$E$6:$E$22,0)),ROW($C$2:$C$10000)-ROW($C$2)+1),ROWS(M$20:M792))))</f>
        <v>24</v>
      </c>
      <c r="K792" s="7">
        <f t="array" ref="K792">IF(ROWS(K$20:K792)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792))))</f>
        <v>41744</v>
      </c>
      <c r="L792" s="4" t="str">
        <f t="array" ref="L792">IF(ROWS(L$20:L792)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792))))</f>
        <v>Galen  Barth</v>
      </c>
      <c r="M792" s="4">
        <f t="array" ref="M792">IF(ROWS(M$20:M792)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792))))</f>
        <v>24</v>
      </c>
    </row>
    <row r="793" spans="1:13" x14ac:dyDescent="0.25">
      <c r="A793" s="3">
        <v>41601</v>
      </c>
      <c r="B793" s="2" t="s">
        <v>8</v>
      </c>
      <c r="C793" s="2">
        <v>29</v>
      </c>
      <c r="G793" s="7">
        <f t="array" ref="G793">IF(ROWS(K$20:K793)&gt;$F$6,"",INDEX(A$2:A$10000,SMALL(IF(ISNUMBER(MATCH($B$2:$B$10000,$E$6:$E$22,0)),ROW($C$2:$C$10000)-ROW($C$2)+1),ROWS(K$20:K793))))</f>
        <v>41653</v>
      </c>
      <c r="H793" s="4" t="str">
        <f t="array" ref="H793">IF(ROWS(L$20:L793)&gt;$F$6,"",INDEX(B$2:B$10000,SMALL(IF(ISNUMBER(MATCH($B$2:$B$10000,$E$6:$E$22,0)),ROW($C$2:$C$10000)-ROW($C$2)+1),ROWS(L$20:L793))))</f>
        <v>Mickey  Bolduc</v>
      </c>
      <c r="I793" s="4">
        <f t="array" ref="I793">IF(ROWS(M$20:M793)&gt;$F$6,"",INDEX(C$2:C$10000,SMALL(IF(ISNUMBER(MATCH($B$2:$B$10000,$E$6:$E$22,0)),ROW($C$2:$C$10000)-ROW($C$2)+1),ROWS(M$20:M793))))</f>
        <v>29</v>
      </c>
      <c r="K793" s="7">
        <f t="array" ref="K793">IF(ROWS(K$20:K793)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793))))</f>
        <v>41653</v>
      </c>
      <c r="L793" s="4" t="str">
        <f t="array" ref="L793">IF(ROWS(L$20:L793)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793))))</f>
        <v>Mickey  Bolduc</v>
      </c>
      <c r="M793" s="4">
        <f t="array" ref="M793">IF(ROWS(M$20:M793)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793))))</f>
        <v>29</v>
      </c>
    </row>
    <row r="794" spans="1:13" x14ac:dyDescent="0.25">
      <c r="A794" s="3">
        <v>41843</v>
      </c>
      <c r="B794" s="2" t="s">
        <v>38</v>
      </c>
      <c r="C794" s="2">
        <v>26</v>
      </c>
      <c r="G794" s="7">
        <f t="array" ref="G794">IF(ROWS(K$20:K794)&gt;$F$6,"",INDEX(A$2:A$10000,SMALL(IF(ISNUMBER(MATCH($B$2:$B$10000,$E$6:$E$22,0)),ROW($C$2:$C$10000)-ROW($C$2)+1),ROWS(K$20:K794))))</f>
        <v>41713</v>
      </c>
      <c r="H794" s="4" t="str">
        <f t="array" ref="H794">IF(ROWS(L$20:L794)&gt;$F$6,"",INDEX(B$2:B$10000,SMALL(IF(ISNUMBER(MATCH($B$2:$B$10000,$E$6:$E$22,0)),ROW($C$2:$C$10000)-ROW($C$2)+1),ROWS(L$20:L794))))</f>
        <v>Rosamond  Allard</v>
      </c>
      <c r="I794" s="4">
        <f t="array" ref="I794">IF(ROWS(M$20:M794)&gt;$F$6,"",INDEX(C$2:C$10000,SMALL(IF(ISNUMBER(MATCH($B$2:$B$10000,$E$6:$E$22,0)),ROW($C$2:$C$10000)-ROW($C$2)+1),ROWS(M$20:M794))))</f>
        <v>23</v>
      </c>
      <c r="K794" s="7">
        <f t="array" ref="K794">IF(ROWS(K$20:K794)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794))))</f>
        <v>41713</v>
      </c>
      <c r="L794" s="4" t="str">
        <f t="array" ref="L794">IF(ROWS(L$20:L794)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794))))</f>
        <v>Rosamond  Allard</v>
      </c>
      <c r="M794" s="4">
        <f t="array" ref="M794">IF(ROWS(M$20:M794)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794))))</f>
        <v>23</v>
      </c>
    </row>
    <row r="795" spans="1:13" x14ac:dyDescent="0.25">
      <c r="A795" s="3">
        <v>41432</v>
      </c>
      <c r="B795" s="2" t="s">
        <v>30</v>
      </c>
      <c r="C795" s="2">
        <v>7</v>
      </c>
      <c r="G795" s="7">
        <f t="array" ref="G795">IF(ROWS(K$20:K795)&gt;$F$6,"",INDEX(A$2:A$10000,SMALL(IF(ISNUMBER(MATCH($B$2:$B$10000,$E$6:$E$22,0)),ROW($C$2:$C$10000)-ROW($C$2)+1),ROWS(K$20:K795))))</f>
        <v>41624</v>
      </c>
      <c r="H795" s="4" t="str">
        <f t="array" ref="H795">IF(ROWS(L$20:L795)&gt;$F$6,"",INDEX(B$2:B$10000,SMALL(IF(ISNUMBER(MATCH($B$2:$B$10000,$E$6:$E$22,0)),ROW($C$2:$C$10000)-ROW($C$2)+1),ROWS(L$20:L795))))</f>
        <v>Jenni  Thorton</v>
      </c>
      <c r="I795" s="4">
        <f t="array" ref="I795">IF(ROWS(M$20:M795)&gt;$F$6,"",INDEX(C$2:C$10000,SMALL(IF(ISNUMBER(MATCH($B$2:$B$10000,$E$6:$E$22,0)),ROW($C$2:$C$10000)-ROW($C$2)+1),ROWS(M$20:M795))))</f>
        <v>36</v>
      </c>
      <c r="K795" s="7">
        <f t="array" ref="K795">IF(ROWS(K$20:K795)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795))))</f>
        <v>41624</v>
      </c>
      <c r="L795" s="4" t="str">
        <f t="array" ref="L795">IF(ROWS(L$20:L795)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795))))</f>
        <v>Jenni  Thorton</v>
      </c>
      <c r="M795" s="4">
        <f t="array" ref="M795">IF(ROWS(M$20:M795)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795))))</f>
        <v>36</v>
      </c>
    </row>
    <row r="796" spans="1:13" x14ac:dyDescent="0.25">
      <c r="A796" s="3">
        <v>41473</v>
      </c>
      <c r="B796" s="2" t="s">
        <v>34</v>
      </c>
      <c r="C796" s="2">
        <v>35</v>
      </c>
      <c r="G796" s="7">
        <f t="array" ref="G796">IF(ROWS(K$20:K796)&gt;$F$6,"",INDEX(A$2:A$10000,SMALL(IF(ISNUMBER(MATCH($B$2:$B$10000,$E$6:$E$22,0)),ROW($C$2:$C$10000)-ROW($C$2)+1),ROWS(K$20:K796))))</f>
        <v>41694</v>
      </c>
      <c r="H796" s="4" t="str">
        <f t="array" ref="H796">IF(ROWS(L$20:L796)&gt;$F$6,"",INDEX(B$2:B$10000,SMALL(IF(ISNUMBER(MATCH($B$2:$B$10000,$E$6:$E$22,0)),ROW($C$2:$C$10000)-ROW($C$2)+1),ROWS(L$20:L796))))</f>
        <v>Galen  Barth</v>
      </c>
      <c r="I796" s="4">
        <f t="array" ref="I796">IF(ROWS(M$20:M796)&gt;$F$6,"",INDEX(C$2:C$10000,SMALL(IF(ISNUMBER(MATCH($B$2:$B$10000,$E$6:$E$22,0)),ROW($C$2:$C$10000)-ROW($C$2)+1),ROWS(M$20:M796))))</f>
        <v>26</v>
      </c>
      <c r="K796" s="7">
        <f t="array" ref="K796">IF(ROWS(K$20:K796)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796))))</f>
        <v>41694</v>
      </c>
      <c r="L796" s="4" t="str">
        <f t="array" ref="L796">IF(ROWS(L$20:L796)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796))))</f>
        <v>Galen  Barth</v>
      </c>
      <c r="M796" s="4">
        <f t="array" ref="M796">IF(ROWS(M$20:M796)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796))))</f>
        <v>26</v>
      </c>
    </row>
    <row r="797" spans="1:13" x14ac:dyDescent="0.25">
      <c r="A797" s="3">
        <v>41422</v>
      </c>
      <c r="B797" s="2" t="s">
        <v>27</v>
      </c>
      <c r="C797" s="2">
        <v>22</v>
      </c>
      <c r="G797" s="7">
        <f t="array" ref="G797">IF(ROWS(K$20:K797)&gt;$F$6,"",INDEX(A$2:A$10000,SMALL(IF(ISNUMBER(MATCH($B$2:$B$10000,$E$6:$E$22,0)),ROW($C$2:$C$10000)-ROW($C$2)+1),ROWS(K$20:K797))))</f>
        <v>41380</v>
      </c>
      <c r="H797" s="4" t="str">
        <f t="array" ref="H797">IF(ROWS(L$20:L797)&gt;$F$6,"",INDEX(B$2:B$10000,SMALL(IF(ISNUMBER(MATCH($B$2:$B$10000,$E$6:$E$22,0)),ROW($C$2:$C$10000)-ROW($C$2)+1),ROWS(L$20:L797))))</f>
        <v>Iliana  Valerio</v>
      </c>
      <c r="I797" s="4">
        <f t="array" ref="I797">IF(ROWS(M$20:M797)&gt;$F$6,"",INDEX(C$2:C$10000,SMALL(IF(ISNUMBER(MATCH($B$2:$B$10000,$E$6:$E$22,0)),ROW($C$2:$C$10000)-ROW($C$2)+1),ROWS(M$20:M797))))</f>
        <v>3</v>
      </c>
      <c r="K797" s="7">
        <f t="array" ref="K797">IF(ROWS(K$20:K797)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797))))</f>
        <v>41380</v>
      </c>
      <c r="L797" s="4" t="str">
        <f t="array" ref="L797">IF(ROWS(L$20:L797)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797))))</f>
        <v>Iliana  Valerio</v>
      </c>
      <c r="M797" s="4">
        <f t="array" ref="M797">IF(ROWS(M$20:M797)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797))))</f>
        <v>3</v>
      </c>
    </row>
    <row r="798" spans="1:13" x14ac:dyDescent="0.25">
      <c r="A798" s="3">
        <v>41444</v>
      </c>
      <c r="B798" s="2" t="s">
        <v>49</v>
      </c>
      <c r="C798" s="2">
        <v>34</v>
      </c>
      <c r="G798" s="7">
        <f t="array" ref="G798">IF(ROWS(K$20:K798)&gt;$F$6,"",INDEX(A$2:A$10000,SMALL(IF(ISNUMBER(MATCH($B$2:$B$10000,$E$6:$E$22,0)),ROW($C$2:$C$10000)-ROW($C$2)+1),ROWS(K$20:K798))))</f>
        <v>41510</v>
      </c>
      <c r="H798" s="4" t="str">
        <f t="array" ref="H798">IF(ROWS(L$20:L798)&gt;$F$6,"",INDEX(B$2:B$10000,SMALL(IF(ISNUMBER(MATCH($B$2:$B$10000,$E$6:$E$22,0)),ROW($C$2:$C$10000)-ROW($C$2)+1),ROWS(L$20:L798))))</f>
        <v>Galen  Barth</v>
      </c>
      <c r="I798" s="4">
        <f t="array" ref="I798">IF(ROWS(M$20:M798)&gt;$F$6,"",INDEX(C$2:C$10000,SMALL(IF(ISNUMBER(MATCH($B$2:$B$10000,$E$6:$E$22,0)),ROW($C$2:$C$10000)-ROW($C$2)+1),ROWS(M$20:M798))))</f>
        <v>41</v>
      </c>
      <c r="K798" s="7">
        <f t="array" ref="K798">IF(ROWS(K$20:K798)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798))))</f>
        <v>41510</v>
      </c>
      <c r="L798" s="4" t="str">
        <f t="array" ref="L798">IF(ROWS(L$20:L798)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798))))</f>
        <v>Galen  Barth</v>
      </c>
      <c r="M798" s="4">
        <f t="array" ref="M798">IF(ROWS(M$20:M798)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798))))</f>
        <v>41</v>
      </c>
    </row>
    <row r="799" spans="1:13" x14ac:dyDescent="0.25">
      <c r="A799" s="3">
        <v>41278</v>
      </c>
      <c r="B799" s="2" t="s">
        <v>37</v>
      </c>
      <c r="C799" s="2">
        <v>13</v>
      </c>
      <c r="G799" s="7">
        <f t="array" ref="G799">IF(ROWS(K$20:K799)&gt;$F$6,"",INDEX(A$2:A$10000,SMALL(IF(ISNUMBER(MATCH($B$2:$B$10000,$E$6:$E$22,0)),ROW($C$2:$C$10000)-ROW($C$2)+1),ROWS(K$20:K799))))</f>
        <v>41570</v>
      </c>
      <c r="H799" s="4" t="str">
        <f t="array" ref="H799">IF(ROWS(L$20:L799)&gt;$F$6,"",INDEX(B$2:B$10000,SMALL(IF(ISNUMBER(MATCH($B$2:$B$10000,$E$6:$E$22,0)),ROW($C$2:$C$10000)-ROW($C$2)+1),ROWS(L$20:L799))))</f>
        <v>Iliana  Valerio</v>
      </c>
      <c r="I799" s="4">
        <f t="array" ref="I799">IF(ROWS(M$20:M799)&gt;$F$6,"",INDEX(C$2:C$10000,SMALL(IF(ISNUMBER(MATCH($B$2:$B$10000,$E$6:$E$22,0)),ROW($C$2:$C$10000)-ROW($C$2)+1),ROWS(M$20:M799))))</f>
        <v>0</v>
      </c>
      <c r="K799" s="7">
        <f t="array" ref="K799">IF(ROWS(K$20:K799)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799))))</f>
        <v>41570</v>
      </c>
      <c r="L799" s="4" t="str">
        <f t="array" ref="L799">IF(ROWS(L$20:L799)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799))))</f>
        <v>Iliana  Valerio</v>
      </c>
      <c r="M799" s="4">
        <f t="array" ref="M799">IF(ROWS(M$20:M799)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799))))</f>
        <v>0</v>
      </c>
    </row>
    <row r="800" spans="1:13" x14ac:dyDescent="0.25">
      <c r="A800" s="3">
        <v>41546</v>
      </c>
      <c r="B800" s="2" t="s">
        <v>48</v>
      </c>
      <c r="C800" s="2">
        <v>71</v>
      </c>
      <c r="G800" s="7">
        <f t="array" ref="G800">IF(ROWS(K$20:K800)&gt;$F$6,"",INDEX(A$2:A$10000,SMALL(IF(ISNUMBER(MATCH($B$2:$B$10000,$E$6:$E$22,0)),ROW($C$2:$C$10000)-ROW($C$2)+1),ROWS(K$20:K800))))</f>
        <v>41759</v>
      </c>
      <c r="H800" s="4" t="str">
        <f t="array" ref="H800">IF(ROWS(L$20:L800)&gt;$F$6,"",INDEX(B$2:B$10000,SMALL(IF(ISNUMBER(MATCH($B$2:$B$10000,$E$6:$E$22,0)),ROW($C$2:$C$10000)-ROW($C$2)+1),ROWS(L$20:L800))))</f>
        <v>Kerrie  Worrell</v>
      </c>
      <c r="I800" s="4">
        <f t="array" ref="I800">IF(ROWS(M$20:M800)&gt;$F$6,"",INDEX(C$2:C$10000,SMALL(IF(ISNUMBER(MATCH($B$2:$B$10000,$E$6:$E$22,0)),ROW($C$2:$C$10000)-ROW($C$2)+1),ROWS(M$20:M800))))</f>
        <v>29</v>
      </c>
      <c r="K800" s="7">
        <f t="array" ref="K800">IF(ROWS(K$20:K800)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800))))</f>
        <v>41759</v>
      </c>
      <c r="L800" s="4" t="str">
        <f t="array" ref="L800">IF(ROWS(L$20:L800)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800))))</f>
        <v>Kerrie  Worrell</v>
      </c>
      <c r="M800" s="4">
        <f t="array" ref="M800">IF(ROWS(M$20:M800)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800))))</f>
        <v>29</v>
      </c>
    </row>
    <row r="801" spans="1:13" x14ac:dyDescent="0.25">
      <c r="A801" s="3">
        <v>41342</v>
      </c>
      <c r="B801" s="2" t="s">
        <v>24</v>
      </c>
      <c r="C801" s="2">
        <v>31</v>
      </c>
      <c r="G801" s="7">
        <f t="array" ref="G801">IF(ROWS(K$20:K801)&gt;$F$6,"",INDEX(A$2:A$10000,SMALL(IF(ISNUMBER(MATCH($B$2:$B$10000,$E$6:$E$22,0)),ROW($C$2:$C$10000)-ROW($C$2)+1),ROWS(K$20:K801))))</f>
        <v>41648</v>
      </c>
      <c r="H801" s="4" t="str">
        <f t="array" ref="H801">IF(ROWS(L$20:L801)&gt;$F$6,"",INDEX(B$2:B$10000,SMALL(IF(ISNUMBER(MATCH($B$2:$B$10000,$E$6:$E$22,0)),ROW($C$2:$C$10000)-ROW($C$2)+1),ROWS(L$20:L801))))</f>
        <v>Jenni  Thorton</v>
      </c>
      <c r="I801" s="4">
        <f t="array" ref="I801">IF(ROWS(M$20:M801)&gt;$F$6,"",INDEX(C$2:C$10000,SMALL(IF(ISNUMBER(MATCH($B$2:$B$10000,$E$6:$E$22,0)),ROW($C$2:$C$10000)-ROW($C$2)+1),ROWS(M$20:M801))))</f>
        <v>41</v>
      </c>
      <c r="K801" s="7">
        <f t="array" ref="K801">IF(ROWS(K$20:K801)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801))))</f>
        <v>41648</v>
      </c>
      <c r="L801" s="4" t="str">
        <f t="array" ref="L801">IF(ROWS(L$20:L801)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801))))</f>
        <v>Jenni  Thorton</v>
      </c>
      <c r="M801" s="4">
        <f t="array" ref="M801">IF(ROWS(M$20:M801)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801))))</f>
        <v>41</v>
      </c>
    </row>
    <row r="802" spans="1:13" x14ac:dyDescent="0.25">
      <c r="A802" s="3">
        <v>41795</v>
      </c>
      <c r="B802" s="2" t="s">
        <v>51</v>
      </c>
      <c r="C802" s="2">
        <v>19</v>
      </c>
      <c r="G802" s="7">
        <f t="array" ref="G802">IF(ROWS(K$20:K802)&gt;$F$6,"",INDEX(A$2:A$10000,SMALL(IF(ISNUMBER(MATCH($B$2:$B$10000,$E$6:$E$22,0)),ROW($C$2:$C$10000)-ROW($C$2)+1),ROWS(K$20:K802))))</f>
        <v>41304</v>
      </c>
      <c r="H802" s="4" t="str">
        <f t="array" ref="H802">IF(ROWS(L$20:L802)&gt;$F$6,"",INDEX(B$2:B$10000,SMALL(IF(ISNUMBER(MATCH($B$2:$B$10000,$E$6:$E$22,0)),ROW($C$2:$C$10000)-ROW($C$2)+1),ROWS(L$20:L802))))</f>
        <v>Kerrie  Worrell</v>
      </c>
      <c r="I802" s="4">
        <f t="array" ref="I802">IF(ROWS(M$20:M802)&gt;$F$6,"",INDEX(C$2:C$10000,SMALL(IF(ISNUMBER(MATCH($B$2:$B$10000,$E$6:$E$22,0)),ROW($C$2:$C$10000)-ROW($C$2)+1),ROWS(M$20:M802))))</f>
        <v>35</v>
      </c>
      <c r="K802" s="7">
        <f t="array" ref="K802">IF(ROWS(K$20:K802)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802))))</f>
        <v>41304</v>
      </c>
      <c r="L802" s="4" t="str">
        <f t="array" ref="L802">IF(ROWS(L$20:L802)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802))))</f>
        <v>Kerrie  Worrell</v>
      </c>
      <c r="M802" s="4">
        <f t="array" ref="M802">IF(ROWS(M$20:M802)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802))))</f>
        <v>35</v>
      </c>
    </row>
    <row r="803" spans="1:13" x14ac:dyDescent="0.25">
      <c r="A803" s="3">
        <v>41898</v>
      </c>
      <c r="B803" s="2" t="s">
        <v>33</v>
      </c>
      <c r="C803" s="2">
        <v>39</v>
      </c>
      <c r="G803" s="7">
        <f t="array" ref="G803">IF(ROWS(K$20:K803)&gt;$F$6,"",INDEX(A$2:A$10000,SMALL(IF(ISNUMBER(MATCH($B$2:$B$10000,$E$6:$E$22,0)),ROW($C$2:$C$10000)-ROW($C$2)+1),ROWS(K$20:K803))))</f>
        <v>41816</v>
      </c>
      <c r="H803" s="4" t="str">
        <f t="array" ref="H803">IF(ROWS(L$20:L803)&gt;$F$6,"",INDEX(B$2:B$10000,SMALL(IF(ISNUMBER(MATCH($B$2:$B$10000,$E$6:$E$22,0)),ROW($C$2:$C$10000)-ROW($C$2)+1),ROWS(L$20:L803))))</f>
        <v>Jenni  Thorton</v>
      </c>
      <c r="I803" s="4">
        <f t="array" ref="I803">IF(ROWS(M$20:M803)&gt;$F$6,"",INDEX(C$2:C$10000,SMALL(IF(ISNUMBER(MATCH($B$2:$B$10000,$E$6:$E$22,0)),ROW($C$2:$C$10000)-ROW($C$2)+1),ROWS(M$20:M803))))</f>
        <v>12</v>
      </c>
      <c r="K803" s="7">
        <f t="array" ref="K803">IF(ROWS(K$20:K803)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803))))</f>
        <v>41816</v>
      </c>
      <c r="L803" s="4" t="str">
        <f t="array" ref="L803">IF(ROWS(L$20:L803)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803))))</f>
        <v>Jenni  Thorton</v>
      </c>
      <c r="M803" s="4">
        <f t="array" ref="M803">IF(ROWS(M$20:M803)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803))))</f>
        <v>12</v>
      </c>
    </row>
    <row r="804" spans="1:13" x14ac:dyDescent="0.25">
      <c r="A804" s="3">
        <v>41404</v>
      </c>
      <c r="B804" s="2" t="s">
        <v>10</v>
      </c>
      <c r="C804" s="2">
        <v>9</v>
      </c>
      <c r="G804" s="7">
        <f t="array" ref="G804">IF(ROWS(K$20:K804)&gt;$F$6,"",INDEX(A$2:A$10000,SMALL(IF(ISNUMBER(MATCH($B$2:$B$10000,$E$6:$E$22,0)),ROW($C$2:$C$10000)-ROW($C$2)+1),ROWS(K$20:K804))))</f>
        <v>41379</v>
      </c>
      <c r="H804" s="4" t="str">
        <f t="array" ref="H804">IF(ROWS(L$20:L804)&gt;$F$6,"",INDEX(B$2:B$10000,SMALL(IF(ISNUMBER(MATCH($B$2:$B$10000,$E$6:$E$22,0)),ROW($C$2:$C$10000)-ROW($C$2)+1),ROWS(L$20:L804))))</f>
        <v>Galen  Barth</v>
      </c>
      <c r="I804" s="4">
        <f t="array" ref="I804">IF(ROWS(M$20:M804)&gt;$F$6,"",INDEX(C$2:C$10000,SMALL(IF(ISNUMBER(MATCH($B$2:$B$10000,$E$6:$E$22,0)),ROW($C$2:$C$10000)-ROW($C$2)+1),ROWS(M$20:M804))))</f>
        <v>54</v>
      </c>
      <c r="K804" s="7">
        <f t="array" ref="K804">IF(ROWS(K$20:K804)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804))))</f>
        <v>41379</v>
      </c>
      <c r="L804" s="4" t="str">
        <f t="array" ref="L804">IF(ROWS(L$20:L804)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804))))</f>
        <v>Galen  Barth</v>
      </c>
      <c r="M804" s="4">
        <f t="array" ref="M804">IF(ROWS(M$20:M804)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804))))</f>
        <v>54</v>
      </c>
    </row>
    <row r="805" spans="1:13" x14ac:dyDescent="0.25">
      <c r="A805" s="3">
        <v>41681</v>
      </c>
      <c r="B805" s="2" t="s">
        <v>32</v>
      </c>
      <c r="C805" s="2">
        <v>19</v>
      </c>
      <c r="G805" s="7">
        <f t="array" ref="G805">IF(ROWS(K$20:K805)&gt;$F$6,"",INDEX(A$2:A$10000,SMALL(IF(ISNUMBER(MATCH($B$2:$B$10000,$E$6:$E$22,0)),ROW($C$2:$C$10000)-ROW($C$2)+1),ROWS(K$20:K805))))</f>
        <v>41372</v>
      </c>
      <c r="H805" s="4" t="str">
        <f t="array" ref="H805">IF(ROWS(L$20:L805)&gt;$F$6,"",INDEX(B$2:B$10000,SMALL(IF(ISNUMBER(MATCH($B$2:$B$10000,$E$6:$E$22,0)),ROW($C$2:$C$10000)-ROW($C$2)+1),ROWS(L$20:L805))))</f>
        <v>Galen  Barth</v>
      </c>
      <c r="I805" s="4">
        <f t="array" ref="I805">IF(ROWS(M$20:M805)&gt;$F$6,"",INDEX(C$2:C$10000,SMALL(IF(ISNUMBER(MATCH($B$2:$B$10000,$E$6:$E$22,0)),ROW($C$2:$C$10000)-ROW($C$2)+1),ROWS(M$20:M805))))</f>
        <v>22</v>
      </c>
      <c r="K805" s="7">
        <f t="array" ref="K805">IF(ROWS(K$20:K805)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805))))</f>
        <v>41372</v>
      </c>
      <c r="L805" s="4" t="str">
        <f t="array" ref="L805">IF(ROWS(L$20:L805)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805))))</f>
        <v>Galen  Barth</v>
      </c>
      <c r="M805" s="4">
        <f t="array" ref="M805">IF(ROWS(M$20:M805)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805))))</f>
        <v>22</v>
      </c>
    </row>
    <row r="806" spans="1:13" x14ac:dyDescent="0.25">
      <c r="A806" s="3">
        <v>41595</v>
      </c>
      <c r="B806" s="2" t="s">
        <v>15</v>
      </c>
      <c r="C806" s="2">
        <v>37</v>
      </c>
      <c r="G806" s="7">
        <f t="array" ref="G806">IF(ROWS(K$20:K806)&gt;$F$6,"",INDEX(A$2:A$10000,SMALL(IF(ISNUMBER(MATCH($B$2:$B$10000,$E$6:$E$22,0)),ROW($C$2:$C$10000)-ROW($C$2)+1),ROWS(K$20:K806))))</f>
        <v>41352</v>
      </c>
      <c r="H806" s="4" t="str">
        <f t="array" ref="H806">IF(ROWS(L$20:L806)&gt;$F$6,"",INDEX(B$2:B$10000,SMALL(IF(ISNUMBER(MATCH($B$2:$B$10000,$E$6:$E$22,0)),ROW($C$2:$C$10000)-ROW($C$2)+1),ROWS(L$20:L806))))</f>
        <v>Iliana  Valerio</v>
      </c>
      <c r="I806" s="4">
        <f t="array" ref="I806">IF(ROWS(M$20:M806)&gt;$F$6,"",INDEX(C$2:C$10000,SMALL(IF(ISNUMBER(MATCH($B$2:$B$10000,$E$6:$E$22,0)),ROW($C$2:$C$10000)-ROW($C$2)+1),ROWS(M$20:M806))))</f>
        <v>33</v>
      </c>
      <c r="K806" s="7">
        <f t="array" ref="K806">IF(ROWS(K$20:K806)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806))))</f>
        <v>41352</v>
      </c>
      <c r="L806" s="4" t="str">
        <f t="array" ref="L806">IF(ROWS(L$20:L806)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806))))</f>
        <v>Iliana  Valerio</v>
      </c>
      <c r="M806" s="4">
        <f t="array" ref="M806">IF(ROWS(M$20:M806)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806))))</f>
        <v>33</v>
      </c>
    </row>
    <row r="807" spans="1:13" x14ac:dyDescent="0.25">
      <c r="A807" s="3">
        <v>41552</v>
      </c>
      <c r="B807" s="2" t="s">
        <v>30</v>
      </c>
      <c r="C807" s="2">
        <v>5</v>
      </c>
      <c r="G807" s="7">
        <f t="array" ref="G807">IF(ROWS(K$20:K807)&gt;$F$6,"",INDEX(A$2:A$10000,SMALL(IF(ISNUMBER(MATCH($B$2:$B$10000,$E$6:$E$22,0)),ROW($C$2:$C$10000)-ROW($C$2)+1),ROWS(K$20:K807))))</f>
        <v>41761</v>
      </c>
      <c r="H807" s="4" t="str">
        <f t="array" ref="H807">IF(ROWS(L$20:L807)&gt;$F$6,"",INDEX(B$2:B$10000,SMALL(IF(ISNUMBER(MATCH($B$2:$B$10000,$E$6:$E$22,0)),ROW($C$2:$C$10000)-ROW($C$2)+1),ROWS(L$20:L807))))</f>
        <v>Iliana  Valerio</v>
      </c>
      <c r="I807" s="4">
        <f t="array" ref="I807">IF(ROWS(M$20:M807)&gt;$F$6,"",INDEX(C$2:C$10000,SMALL(IF(ISNUMBER(MATCH($B$2:$B$10000,$E$6:$E$22,0)),ROW($C$2:$C$10000)-ROW($C$2)+1),ROWS(M$20:M807))))</f>
        <v>32</v>
      </c>
      <c r="K807" s="7">
        <f t="array" ref="K807">IF(ROWS(K$20:K807)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807))))</f>
        <v>41761</v>
      </c>
      <c r="L807" s="4" t="str">
        <f t="array" ref="L807">IF(ROWS(L$20:L807)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807))))</f>
        <v>Iliana  Valerio</v>
      </c>
      <c r="M807" s="4">
        <f t="array" ref="M807">IF(ROWS(M$20:M807)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807))))</f>
        <v>32</v>
      </c>
    </row>
    <row r="808" spans="1:13" x14ac:dyDescent="0.25">
      <c r="A808" s="3">
        <v>41823</v>
      </c>
      <c r="B808" s="2" t="s">
        <v>8</v>
      </c>
      <c r="C808" s="2">
        <v>13</v>
      </c>
      <c r="G808" s="7">
        <f t="array" ref="G808">IF(ROWS(K$20:K808)&gt;$F$6,"",INDEX(A$2:A$10000,SMALL(IF(ISNUMBER(MATCH($B$2:$B$10000,$E$6:$E$22,0)),ROW($C$2:$C$10000)-ROW($C$2)+1),ROWS(K$20:K808))))</f>
        <v>41519</v>
      </c>
      <c r="H808" s="4" t="str">
        <f t="array" ref="H808">IF(ROWS(L$20:L808)&gt;$F$6,"",INDEX(B$2:B$10000,SMALL(IF(ISNUMBER(MATCH($B$2:$B$10000,$E$6:$E$22,0)),ROW($C$2:$C$10000)-ROW($C$2)+1),ROWS(L$20:L808))))</f>
        <v>Jenni  Thorton</v>
      </c>
      <c r="I808" s="4">
        <f t="array" ref="I808">IF(ROWS(M$20:M808)&gt;$F$6,"",INDEX(C$2:C$10000,SMALL(IF(ISNUMBER(MATCH($B$2:$B$10000,$E$6:$E$22,0)),ROW($C$2:$C$10000)-ROW($C$2)+1),ROWS(M$20:M808))))</f>
        <v>29</v>
      </c>
      <c r="K808" s="7">
        <f t="array" ref="K808">IF(ROWS(K$20:K808)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808))))</f>
        <v>41519</v>
      </c>
      <c r="L808" s="4" t="str">
        <f t="array" ref="L808">IF(ROWS(L$20:L808)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808))))</f>
        <v>Jenni  Thorton</v>
      </c>
      <c r="M808" s="4">
        <f t="array" ref="M808">IF(ROWS(M$20:M808)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808))))</f>
        <v>29</v>
      </c>
    </row>
    <row r="809" spans="1:13" x14ac:dyDescent="0.25">
      <c r="A809" s="3">
        <v>41397</v>
      </c>
      <c r="B809" s="2" t="s">
        <v>20</v>
      </c>
      <c r="C809" s="2">
        <v>2</v>
      </c>
      <c r="G809" s="7">
        <f t="array" ref="G809">IF(ROWS(K$20:K809)&gt;$F$6,"",INDEX(A$2:A$10000,SMALL(IF(ISNUMBER(MATCH($B$2:$B$10000,$E$6:$E$22,0)),ROW($C$2:$C$10000)-ROW($C$2)+1),ROWS(K$20:K809))))</f>
        <v>41589</v>
      </c>
      <c r="H809" s="4" t="str">
        <f t="array" ref="H809">IF(ROWS(L$20:L809)&gt;$F$6,"",INDEX(B$2:B$10000,SMALL(IF(ISNUMBER(MATCH($B$2:$B$10000,$E$6:$E$22,0)),ROW($C$2:$C$10000)-ROW($C$2)+1),ROWS(L$20:L809))))</f>
        <v>Rosamond  Allard</v>
      </c>
      <c r="I809" s="4">
        <f t="array" ref="I809">IF(ROWS(M$20:M809)&gt;$F$6,"",INDEX(C$2:C$10000,SMALL(IF(ISNUMBER(MATCH($B$2:$B$10000,$E$6:$E$22,0)),ROW($C$2:$C$10000)-ROW($C$2)+1),ROWS(M$20:M809))))</f>
        <v>43</v>
      </c>
      <c r="K809" s="7">
        <f t="array" ref="K809">IF(ROWS(K$20:K809)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809))))</f>
        <v>41589</v>
      </c>
      <c r="L809" s="4" t="str">
        <f t="array" ref="L809">IF(ROWS(L$20:L809)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809))))</f>
        <v>Rosamond  Allard</v>
      </c>
      <c r="M809" s="4">
        <f t="array" ref="M809">IF(ROWS(M$20:M809)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809))))</f>
        <v>43</v>
      </c>
    </row>
    <row r="810" spans="1:13" x14ac:dyDescent="0.25">
      <c r="A810" s="3">
        <v>41694</v>
      </c>
      <c r="B810" s="2" t="s">
        <v>48</v>
      </c>
      <c r="C810" s="2">
        <v>23</v>
      </c>
      <c r="G810" s="7">
        <f t="array" ref="G810">IF(ROWS(K$20:K810)&gt;$F$6,"",INDEX(A$2:A$10000,SMALL(IF(ISNUMBER(MATCH($B$2:$B$10000,$E$6:$E$22,0)),ROW($C$2:$C$10000)-ROW($C$2)+1),ROWS(K$20:K810))))</f>
        <v>41959</v>
      </c>
      <c r="H810" s="4" t="str">
        <f t="array" ref="H810">IF(ROWS(L$20:L810)&gt;$F$6,"",INDEX(B$2:B$10000,SMALL(IF(ISNUMBER(MATCH($B$2:$B$10000,$E$6:$E$22,0)),ROW($C$2:$C$10000)-ROW($C$2)+1),ROWS(L$20:L810))))</f>
        <v>Jenni  Thorton</v>
      </c>
      <c r="I810" s="4">
        <f t="array" ref="I810">IF(ROWS(M$20:M810)&gt;$F$6,"",INDEX(C$2:C$10000,SMALL(IF(ISNUMBER(MATCH($B$2:$B$10000,$E$6:$E$22,0)),ROW($C$2:$C$10000)-ROW($C$2)+1),ROWS(M$20:M810))))</f>
        <v>7</v>
      </c>
      <c r="K810" s="7">
        <f t="array" ref="K810">IF(ROWS(K$20:K810)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810))))</f>
        <v>41959</v>
      </c>
      <c r="L810" s="4" t="str">
        <f t="array" ref="L810">IF(ROWS(L$20:L810)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810))))</f>
        <v>Jenni  Thorton</v>
      </c>
      <c r="M810" s="4">
        <f t="array" ref="M810">IF(ROWS(M$20:M810)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810))))</f>
        <v>7</v>
      </c>
    </row>
    <row r="811" spans="1:13" x14ac:dyDescent="0.25">
      <c r="A811" s="3">
        <v>41797</v>
      </c>
      <c r="B811" s="2" t="s">
        <v>50</v>
      </c>
      <c r="C811" s="2">
        <v>25</v>
      </c>
      <c r="G811" s="7">
        <f t="array" ref="G811">IF(ROWS(K$20:K811)&gt;$F$6,"",INDEX(A$2:A$10000,SMALL(IF(ISNUMBER(MATCH($B$2:$B$10000,$E$6:$E$22,0)),ROW($C$2:$C$10000)-ROW($C$2)+1),ROWS(K$20:K811))))</f>
        <v>41932</v>
      </c>
      <c r="H811" s="4" t="str">
        <f t="array" ref="H811">IF(ROWS(L$20:L811)&gt;$F$6,"",INDEX(B$2:B$10000,SMALL(IF(ISNUMBER(MATCH($B$2:$B$10000,$E$6:$E$22,0)),ROW($C$2:$C$10000)-ROW($C$2)+1),ROWS(L$20:L811))))</f>
        <v>Mickey  Bolduc</v>
      </c>
      <c r="I811" s="4">
        <f t="array" ref="I811">IF(ROWS(M$20:M811)&gt;$F$6,"",INDEX(C$2:C$10000,SMALL(IF(ISNUMBER(MATCH($B$2:$B$10000,$E$6:$E$22,0)),ROW($C$2:$C$10000)-ROW($C$2)+1),ROWS(M$20:M811))))</f>
        <v>13</v>
      </c>
      <c r="K811" s="7">
        <f t="array" ref="K811">IF(ROWS(K$20:K811)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811))))</f>
        <v>41932</v>
      </c>
      <c r="L811" s="4" t="str">
        <f t="array" ref="L811">IF(ROWS(L$20:L811)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811))))</f>
        <v>Mickey  Bolduc</v>
      </c>
      <c r="M811" s="4">
        <f t="array" ref="M811">IF(ROWS(M$20:M811)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811))))</f>
        <v>13</v>
      </c>
    </row>
    <row r="812" spans="1:13" x14ac:dyDescent="0.25">
      <c r="A812" s="3">
        <v>41566</v>
      </c>
      <c r="B812" s="2" t="s">
        <v>22</v>
      </c>
      <c r="C812" s="2">
        <v>32</v>
      </c>
      <c r="G812" s="7">
        <f t="array" ref="G812">IF(ROWS(K$20:K812)&gt;$F$6,"",INDEX(A$2:A$10000,SMALL(IF(ISNUMBER(MATCH($B$2:$B$10000,$E$6:$E$22,0)),ROW($C$2:$C$10000)-ROW($C$2)+1),ROWS(K$20:K812))))</f>
        <v>41672</v>
      </c>
      <c r="H812" s="4" t="str">
        <f t="array" ref="H812">IF(ROWS(L$20:L812)&gt;$F$6,"",INDEX(B$2:B$10000,SMALL(IF(ISNUMBER(MATCH($B$2:$B$10000,$E$6:$E$22,0)),ROW($C$2:$C$10000)-ROW($C$2)+1),ROWS(L$20:L812))))</f>
        <v>Mickey  Bolduc</v>
      </c>
      <c r="I812" s="4">
        <f t="array" ref="I812">IF(ROWS(M$20:M812)&gt;$F$6,"",INDEX(C$2:C$10000,SMALL(IF(ISNUMBER(MATCH($B$2:$B$10000,$E$6:$E$22,0)),ROW($C$2:$C$10000)-ROW($C$2)+1),ROWS(M$20:M812))))</f>
        <v>30</v>
      </c>
      <c r="K812" s="7">
        <f t="array" ref="K812">IF(ROWS(K$20:K812)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812))))</f>
        <v>41672</v>
      </c>
      <c r="L812" s="4" t="str">
        <f t="array" ref="L812">IF(ROWS(L$20:L812)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812))))</f>
        <v>Mickey  Bolduc</v>
      </c>
      <c r="M812" s="4">
        <f t="array" ref="M812">IF(ROWS(M$20:M812)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812))))</f>
        <v>30</v>
      </c>
    </row>
    <row r="813" spans="1:13" x14ac:dyDescent="0.25">
      <c r="A813" s="3">
        <v>41812</v>
      </c>
      <c r="B813" s="2" t="s">
        <v>31</v>
      </c>
      <c r="C813" s="2">
        <v>21</v>
      </c>
      <c r="G813" s="7">
        <f t="array" ref="G813">IF(ROWS(K$20:K813)&gt;$F$6,"",INDEX(A$2:A$10000,SMALL(IF(ISNUMBER(MATCH($B$2:$B$10000,$E$6:$E$22,0)),ROW($C$2:$C$10000)-ROW($C$2)+1),ROWS(K$20:K813))))</f>
        <v>41365</v>
      </c>
      <c r="H813" s="4" t="str">
        <f t="array" ref="H813">IF(ROWS(L$20:L813)&gt;$F$6,"",INDEX(B$2:B$10000,SMALL(IF(ISNUMBER(MATCH($B$2:$B$10000,$E$6:$E$22,0)),ROW($C$2:$C$10000)-ROW($C$2)+1),ROWS(L$20:L813))))</f>
        <v>Jenni  Thorton</v>
      </c>
      <c r="I813" s="4">
        <f t="array" ref="I813">IF(ROWS(M$20:M813)&gt;$F$6,"",INDEX(C$2:C$10000,SMALL(IF(ISNUMBER(MATCH($B$2:$B$10000,$E$6:$E$22,0)),ROW($C$2:$C$10000)-ROW($C$2)+1),ROWS(M$20:M813))))</f>
        <v>29</v>
      </c>
      <c r="K813" s="7">
        <f t="array" ref="K813">IF(ROWS(K$20:K813)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813))))</f>
        <v>41365</v>
      </c>
      <c r="L813" s="4" t="str">
        <f t="array" ref="L813">IF(ROWS(L$20:L813)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813))))</f>
        <v>Jenni  Thorton</v>
      </c>
      <c r="M813" s="4">
        <f t="array" ref="M813">IF(ROWS(M$20:M813)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813))))</f>
        <v>29</v>
      </c>
    </row>
    <row r="814" spans="1:13" x14ac:dyDescent="0.25">
      <c r="A814" s="3">
        <v>41983</v>
      </c>
      <c r="B814" s="2" t="s">
        <v>27</v>
      </c>
      <c r="C814" s="2">
        <v>39</v>
      </c>
      <c r="G814" s="7">
        <f t="array" ref="G814">IF(ROWS(K$20:K814)&gt;$F$6,"",INDEX(A$2:A$10000,SMALL(IF(ISNUMBER(MATCH($B$2:$B$10000,$E$6:$E$22,0)),ROW($C$2:$C$10000)-ROW($C$2)+1),ROWS(K$20:K814))))</f>
        <v>41544</v>
      </c>
      <c r="H814" s="4" t="str">
        <f t="array" ref="H814">IF(ROWS(L$20:L814)&gt;$F$6,"",INDEX(B$2:B$10000,SMALL(IF(ISNUMBER(MATCH($B$2:$B$10000,$E$6:$E$22,0)),ROW($C$2:$C$10000)-ROW($C$2)+1),ROWS(L$20:L814))))</f>
        <v>Kerrie  Worrell</v>
      </c>
      <c r="I814" s="4">
        <f t="array" ref="I814">IF(ROWS(M$20:M814)&gt;$F$6,"",INDEX(C$2:C$10000,SMALL(IF(ISNUMBER(MATCH($B$2:$B$10000,$E$6:$E$22,0)),ROW($C$2:$C$10000)-ROW($C$2)+1),ROWS(M$20:M814))))</f>
        <v>45</v>
      </c>
      <c r="K814" s="7">
        <f t="array" ref="K814">IF(ROWS(K$20:K814)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814))))</f>
        <v>41544</v>
      </c>
      <c r="L814" s="4" t="str">
        <f t="array" ref="L814">IF(ROWS(L$20:L814)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814))))</f>
        <v>Kerrie  Worrell</v>
      </c>
      <c r="M814" s="4">
        <f t="array" ref="M814">IF(ROWS(M$20:M814)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814))))</f>
        <v>45</v>
      </c>
    </row>
    <row r="815" spans="1:13" x14ac:dyDescent="0.25">
      <c r="A815" s="3">
        <v>42004</v>
      </c>
      <c r="B815" s="2" t="s">
        <v>42</v>
      </c>
      <c r="C815" s="2">
        <v>21</v>
      </c>
      <c r="G815" s="7">
        <f t="array" ref="G815">IF(ROWS(K$20:K815)&gt;$F$6,"",INDEX(A$2:A$10000,SMALL(IF(ISNUMBER(MATCH($B$2:$B$10000,$E$6:$E$22,0)),ROW($C$2:$C$10000)-ROW($C$2)+1),ROWS(K$20:K815))))</f>
        <v>41588</v>
      </c>
      <c r="H815" s="4" t="str">
        <f t="array" ref="H815">IF(ROWS(L$20:L815)&gt;$F$6,"",INDEX(B$2:B$10000,SMALL(IF(ISNUMBER(MATCH($B$2:$B$10000,$E$6:$E$22,0)),ROW($C$2:$C$10000)-ROW($C$2)+1),ROWS(L$20:L815))))</f>
        <v>Galen  Barth</v>
      </c>
      <c r="I815" s="4">
        <f t="array" ref="I815">IF(ROWS(M$20:M815)&gt;$F$6,"",INDEX(C$2:C$10000,SMALL(IF(ISNUMBER(MATCH($B$2:$B$10000,$E$6:$E$22,0)),ROW($C$2:$C$10000)-ROW($C$2)+1),ROWS(M$20:M815))))</f>
        <v>6</v>
      </c>
      <c r="K815" s="7">
        <f t="array" ref="K815">IF(ROWS(K$20:K815)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815))))</f>
        <v>41588</v>
      </c>
      <c r="L815" s="4" t="str">
        <f t="array" ref="L815">IF(ROWS(L$20:L815)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815))))</f>
        <v>Galen  Barth</v>
      </c>
      <c r="M815" s="4">
        <f t="array" ref="M815">IF(ROWS(M$20:M815)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815))))</f>
        <v>6</v>
      </c>
    </row>
    <row r="816" spans="1:13" x14ac:dyDescent="0.25">
      <c r="A816" s="3">
        <v>41594</v>
      </c>
      <c r="B816" s="2" t="s">
        <v>6</v>
      </c>
      <c r="C816" s="2">
        <v>37</v>
      </c>
      <c r="G816" s="7">
        <f t="array" ref="G816">IF(ROWS(K$20:K816)&gt;$F$6,"",INDEX(A$2:A$10000,SMALL(IF(ISNUMBER(MATCH($B$2:$B$10000,$E$6:$E$22,0)),ROW($C$2:$C$10000)-ROW($C$2)+1),ROWS(K$20:K816))))</f>
        <v>41467</v>
      </c>
      <c r="H816" s="4" t="str">
        <f t="array" ref="H816">IF(ROWS(L$20:L816)&gt;$F$6,"",INDEX(B$2:B$10000,SMALL(IF(ISNUMBER(MATCH($B$2:$B$10000,$E$6:$E$22,0)),ROW($C$2:$C$10000)-ROW($C$2)+1),ROWS(L$20:L816))))</f>
        <v>Iliana  Valerio</v>
      </c>
      <c r="I816" s="4">
        <f t="array" ref="I816">IF(ROWS(M$20:M816)&gt;$F$6,"",INDEX(C$2:C$10000,SMALL(IF(ISNUMBER(MATCH($B$2:$B$10000,$E$6:$E$22,0)),ROW($C$2:$C$10000)-ROW($C$2)+1),ROWS(M$20:M816))))</f>
        <v>32</v>
      </c>
      <c r="K816" s="7">
        <f t="array" ref="K816">IF(ROWS(K$20:K816)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816))))</f>
        <v>41467</v>
      </c>
      <c r="L816" s="4" t="str">
        <f t="array" ref="L816">IF(ROWS(L$20:L816)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816))))</f>
        <v>Iliana  Valerio</v>
      </c>
      <c r="M816" s="4">
        <f t="array" ref="M816">IF(ROWS(M$20:M816)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816))))</f>
        <v>32</v>
      </c>
    </row>
    <row r="817" spans="1:13" x14ac:dyDescent="0.25">
      <c r="A817" s="3">
        <v>41339</v>
      </c>
      <c r="B817" s="2" t="s">
        <v>43</v>
      </c>
      <c r="C817" s="2">
        <v>1</v>
      </c>
      <c r="G817" s="7">
        <f t="array" ref="G817">IF(ROWS(K$20:K817)&gt;$F$6,"",INDEX(A$2:A$10000,SMALL(IF(ISNUMBER(MATCH($B$2:$B$10000,$E$6:$E$22,0)),ROW($C$2:$C$10000)-ROW($C$2)+1),ROWS(K$20:K817))))</f>
        <v>41979</v>
      </c>
      <c r="H817" s="4" t="str">
        <f t="array" ref="H817">IF(ROWS(L$20:L817)&gt;$F$6,"",INDEX(B$2:B$10000,SMALL(IF(ISNUMBER(MATCH($B$2:$B$10000,$E$6:$E$22,0)),ROW($C$2:$C$10000)-ROW($C$2)+1),ROWS(L$20:L817))))</f>
        <v>Jenni  Thorton</v>
      </c>
      <c r="I817" s="4">
        <f t="array" ref="I817">IF(ROWS(M$20:M817)&gt;$F$6,"",INDEX(C$2:C$10000,SMALL(IF(ISNUMBER(MATCH($B$2:$B$10000,$E$6:$E$22,0)),ROW($C$2:$C$10000)-ROW($C$2)+1),ROWS(M$20:M817))))</f>
        <v>27</v>
      </c>
      <c r="K817" s="7">
        <f t="array" ref="K817">IF(ROWS(K$20:K817)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817))))</f>
        <v>41979</v>
      </c>
      <c r="L817" s="4" t="str">
        <f t="array" ref="L817">IF(ROWS(L$20:L817)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817))))</f>
        <v>Jenni  Thorton</v>
      </c>
      <c r="M817" s="4">
        <f t="array" ref="M817">IF(ROWS(M$20:M817)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817))))</f>
        <v>27</v>
      </c>
    </row>
    <row r="818" spans="1:13" x14ac:dyDescent="0.25">
      <c r="A818" s="3">
        <v>41401</v>
      </c>
      <c r="B818" s="2" t="s">
        <v>45</v>
      </c>
      <c r="C818" s="2">
        <v>32</v>
      </c>
      <c r="G818" s="7">
        <f t="array" ref="G818">IF(ROWS(K$20:K818)&gt;$F$6,"",INDEX(A$2:A$10000,SMALL(IF(ISNUMBER(MATCH($B$2:$B$10000,$E$6:$E$22,0)),ROW($C$2:$C$10000)-ROW($C$2)+1),ROWS(K$20:K818))))</f>
        <v>41887</v>
      </c>
      <c r="H818" s="4" t="str">
        <f t="array" ref="H818">IF(ROWS(L$20:L818)&gt;$F$6,"",INDEX(B$2:B$10000,SMALL(IF(ISNUMBER(MATCH($B$2:$B$10000,$E$6:$E$22,0)),ROW($C$2:$C$10000)-ROW($C$2)+1),ROWS(L$20:L818))))</f>
        <v>Mickey  Bolduc</v>
      </c>
      <c r="I818" s="4">
        <f t="array" ref="I818">IF(ROWS(M$20:M818)&gt;$F$6,"",INDEX(C$2:C$10000,SMALL(IF(ISNUMBER(MATCH($B$2:$B$10000,$E$6:$E$22,0)),ROW($C$2:$C$10000)-ROW($C$2)+1),ROWS(M$20:M818))))</f>
        <v>28</v>
      </c>
      <c r="K818" s="7">
        <f t="array" ref="K818">IF(ROWS(K$20:K818)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818))))</f>
        <v>41887</v>
      </c>
      <c r="L818" s="4" t="str">
        <f t="array" ref="L818">IF(ROWS(L$20:L818)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818))))</f>
        <v>Mickey  Bolduc</v>
      </c>
      <c r="M818" s="4">
        <f t="array" ref="M818">IF(ROWS(M$20:M818)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818))))</f>
        <v>28</v>
      </c>
    </row>
    <row r="819" spans="1:13" x14ac:dyDescent="0.25">
      <c r="A819" s="3">
        <v>41848</v>
      </c>
      <c r="B819" s="2" t="s">
        <v>2</v>
      </c>
      <c r="C819" s="2">
        <v>19</v>
      </c>
      <c r="G819" s="7">
        <f t="array" ref="G819">IF(ROWS(K$20:K819)&gt;$F$6,"",INDEX(A$2:A$10000,SMALL(IF(ISNUMBER(MATCH($B$2:$B$10000,$E$6:$E$22,0)),ROW($C$2:$C$10000)-ROW($C$2)+1),ROWS(K$20:K819))))</f>
        <v>41909</v>
      </c>
      <c r="H819" s="4" t="str">
        <f t="array" ref="H819">IF(ROWS(L$20:L819)&gt;$F$6,"",INDEX(B$2:B$10000,SMALL(IF(ISNUMBER(MATCH($B$2:$B$10000,$E$6:$E$22,0)),ROW($C$2:$C$10000)-ROW($C$2)+1),ROWS(L$20:L819))))</f>
        <v>Jenni  Thorton</v>
      </c>
      <c r="I819" s="4">
        <f t="array" ref="I819">IF(ROWS(M$20:M819)&gt;$F$6,"",INDEX(C$2:C$10000,SMALL(IF(ISNUMBER(MATCH($B$2:$B$10000,$E$6:$E$22,0)),ROW($C$2:$C$10000)-ROW($C$2)+1),ROWS(M$20:M819))))</f>
        <v>44</v>
      </c>
      <c r="K819" s="7">
        <f t="array" ref="K819">IF(ROWS(K$20:K819)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819))))</f>
        <v>41909</v>
      </c>
      <c r="L819" s="4" t="str">
        <f t="array" ref="L819">IF(ROWS(L$20:L819)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819))))</f>
        <v>Jenni  Thorton</v>
      </c>
      <c r="M819" s="4">
        <f t="array" ref="M819">IF(ROWS(M$20:M819)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819))))</f>
        <v>44</v>
      </c>
    </row>
    <row r="820" spans="1:13" x14ac:dyDescent="0.25">
      <c r="A820" s="3">
        <v>41284</v>
      </c>
      <c r="B820" s="2" t="s">
        <v>38</v>
      </c>
      <c r="C820" s="2">
        <v>38</v>
      </c>
      <c r="G820" s="7">
        <f t="array" ref="G820">IF(ROWS(K$20:K820)&gt;$F$6,"",INDEX(A$2:A$10000,SMALL(IF(ISNUMBER(MATCH($B$2:$B$10000,$E$6:$E$22,0)),ROW($C$2:$C$10000)-ROW($C$2)+1),ROWS(K$20:K820))))</f>
        <v>41680</v>
      </c>
      <c r="H820" s="4" t="str">
        <f t="array" ref="H820">IF(ROWS(L$20:L820)&gt;$F$6,"",INDEX(B$2:B$10000,SMALL(IF(ISNUMBER(MATCH($B$2:$B$10000,$E$6:$E$22,0)),ROW($C$2:$C$10000)-ROW($C$2)+1),ROWS(L$20:L820))))</f>
        <v>Iliana  Valerio</v>
      </c>
      <c r="I820" s="4">
        <f t="array" ref="I820">IF(ROWS(M$20:M820)&gt;$F$6,"",INDEX(C$2:C$10000,SMALL(IF(ISNUMBER(MATCH($B$2:$B$10000,$E$6:$E$22,0)),ROW($C$2:$C$10000)-ROW($C$2)+1),ROWS(M$20:M820))))</f>
        <v>15</v>
      </c>
      <c r="K820" s="7">
        <f t="array" ref="K820">IF(ROWS(K$20:K820)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820))))</f>
        <v>41680</v>
      </c>
      <c r="L820" s="4" t="str">
        <f t="array" ref="L820">IF(ROWS(L$20:L820)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820))))</f>
        <v>Iliana  Valerio</v>
      </c>
      <c r="M820" s="4">
        <f t="array" ref="M820">IF(ROWS(M$20:M820)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820))))</f>
        <v>15</v>
      </c>
    </row>
    <row r="821" spans="1:13" x14ac:dyDescent="0.25">
      <c r="A821" s="3">
        <v>41664</v>
      </c>
      <c r="B821" s="2" t="s">
        <v>11</v>
      </c>
      <c r="C821" s="2">
        <v>19</v>
      </c>
      <c r="G821" s="7">
        <f t="array" ref="G821">IF(ROWS(K$20:K821)&gt;$F$6,"",INDEX(A$2:A$10000,SMALL(IF(ISNUMBER(MATCH($B$2:$B$10000,$E$6:$E$22,0)),ROW($C$2:$C$10000)-ROW($C$2)+1),ROWS(K$20:K821))))</f>
        <v>41695</v>
      </c>
      <c r="H821" s="4" t="str">
        <f t="array" ref="H821">IF(ROWS(L$20:L821)&gt;$F$6,"",INDEX(B$2:B$10000,SMALL(IF(ISNUMBER(MATCH($B$2:$B$10000,$E$6:$E$22,0)),ROW($C$2:$C$10000)-ROW($C$2)+1),ROWS(L$20:L821))))</f>
        <v>Iliana  Valerio</v>
      </c>
      <c r="I821" s="4">
        <f t="array" ref="I821">IF(ROWS(M$20:M821)&gt;$F$6,"",INDEX(C$2:C$10000,SMALL(IF(ISNUMBER(MATCH($B$2:$B$10000,$E$6:$E$22,0)),ROW($C$2:$C$10000)-ROW($C$2)+1),ROWS(M$20:M821))))</f>
        <v>0</v>
      </c>
      <c r="K821" s="7">
        <f t="array" ref="K821">IF(ROWS(K$20:K821)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821))))</f>
        <v>41695</v>
      </c>
      <c r="L821" s="4" t="str">
        <f t="array" ref="L821">IF(ROWS(L$20:L821)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821))))</f>
        <v>Iliana  Valerio</v>
      </c>
      <c r="M821" s="4">
        <f t="array" ref="M821">IF(ROWS(M$20:M821)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821))))</f>
        <v>0</v>
      </c>
    </row>
    <row r="822" spans="1:13" x14ac:dyDescent="0.25">
      <c r="A822" s="3">
        <v>41595</v>
      </c>
      <c r="B822" s="2" t="s">
        <v>47</v>
      </c>
      <c r="C822" s="2">
        <v>26</v>
      </c>
      <c r="G822" s="7">
        <f t="array" ref="G822">IF(ROWS(K$20:K822)&gt;$F$6,"",INDEX(A$2:A$10000,SMALL(IF(ISNUMBER(MATCH($B$2:$B$10000,$E$6:$E$22,0)),ROW($C$2:$C$10000)-ROW($C$2)+1),ROWS(K$20:K822))))</f>
        <v>41858</v>
      </c>
      <c r="H822" s="4" t="str">
        <f t="array" ref="H822">IF(ROWS(L$20:L822)&gt;$F$6,"",INDEX(B$2:B$10000,SMALL(IF(ISNUMBER(MATCH($B$2:$B$10000,$E$6:$E$22,0)),ROW($C$2:$C$10000)-ROW($C$2)+1),ROWS(L$20:L822))))</f>
        <v>Jenni  Thorton</v>
      </c>
      <c r="I822" s="4">
        <f t="array" ref="I822">IF(ROWS(M$20:M822)&gt;$F$6,"",INDEX(C$2:C$10000,SMALL(IF(ISNUMBER(MATCH($B$2:$B$10000,$E$6:$E$22,0)),ROW($C$2:$C$10000)-ROW($C$2)+1),ROWS(M$20:M822))))</f>
        <v>16</v>
      </c>
      <c r="K822" s="7">
        <f t="array" ref="K822">IF(ROWS(K$20:K822)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822))))</f>
        <v>41858</v>
      </c>
      <c r="L822" s="4" t="str">
        <f t="array" ref="L822">IF(ROWS(L$20:L822)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822))))</f>
        <v>Jenni  Thorton</v>
      </c>
      <c r="M822" s="4">
        <f t="array" ref="M822">IF(ROWS(M$20:M822)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822))))</f>
        <v>16</v>
      </c>
    </row>
    <row r="823" spans="1:13" x14ac:dyDescent="0.25">
      <c r="A823" s="3">
        <v>41850</v>
      </c>
      <c r="B823" s="2" t="s">
        <v>41</v>
      </c>
      <c r="C823" s="2">
        <v>13</v>
      </c>
      <c r="G823" s="7">
        <f t="array" ref="G823">IF(ROWS(K$20:K823)&gt;$F$6,"",INDEX(A$2:A$10000,SMALL(IF(ISNUMBER(MATCH($B$2:$B$10000,$E$6:$E$22,0)),ROW($C$2:$C$10000)-ROW($C$2)+1),ROWS(K$20:K823))))</f>
        <v>41876</v>
      </c>
      <c r="H823" s="4" t="str">
        <f t="array" ref="H823">IF(ROWS(L$20:L823)&gt;$F$6,"",INDEX(B$2:B$10000,SMALL(IF(ISNUMBER(MATCH($B$2:$B$10000,$E$6:$E$22,0)),ROW($C$2:$C$10000)-ROW($C$2)+1),ROWS(L$20:L823))))</f>
        <v>Mickey  Bolduc</v>
      </c>
      <c r="I823" s="4">
        <f t="array" ref="I823">IF(ROWS(M$20:M823)&gt;$F$6,"",INDEX(C$2:C$10000,SMALL(IF(ISNUMBER(MATCH($B$2:$B$10000,$E$6:$E$22,0)),ROW($C$2:$C$10000)-ROW($C$2)+1),ROWS(M$20:M823))))</f>
        <v>23</v>
      </c>
      <c r="K823" s="7">
        <f t="array" ref="K823">IF(ROWS(K$20:K823)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823))))</f>
        <v>41876</v>
      </c>
      <c r="L823" s="4" t="str">
        <f t="array" ref="L823">IF(ROWS(L$20:L823)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823))))</f>
        <v>Mickey  Bolduc</v>
      </c>
      <c r="M823" s="4">
        <f t="array" ref="M823">IF(ROWS(M$20:M823)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823))))</f>
        <v>23</v>
      </c>
    </row>
    <row r="824" spans="1:13" x14ac:dyDescent="0.25">
      <c r="A824" s="3">
        <v>41891</v>
      </c>
      <c r="B824" s="2" t="s">
        <v>49</v>
      </c>
      <c r="C824" s="2">
        <v>12</v>
      </c>
      <c r="G824" s="7">
        <f t="array" ref="G824">IF(ROWS(K$20:K824)&gt;$F$6,"",INDEX(A$2:A$10000,SMALL(IF(ISNUMBER(MATCH($B$2:$B$10000,$E$6:$E$22,0)),ROW($C$2:$C$10000)-ROW($C$2)+1),ROWS(K$20:K824))))</f>
        <v>41984</v>
      </c>
      <c r="H824" s="4" t="str">
        <f t="array" ref="H824">IF(ROWS(L$20:L824)&gt;$F$6,"",INDEX(B$2:B$10000,SMALL(IF(ISNUMBER(MATCH($B$2:$B$10000,$E$6:$E$22,0)),ROW($C$2:$C$10000)-ROW($C$2)+1),ROWS(L$20:L824))))</f>
        <v>Galen  Barth</v>
      </c>
      <c r="I824" s="4">
        <f t="array" ref="I824">IF(ROWS(M$20:M824)&gt;$F$6,"",INDEX(C$2:C$10000,SMALL(IF(ISNUMBER(MATCH($B$2:$B$10000,$E$6:$E$22,0)),ROW($C$2:$C$10000)-ROW($C$2)+1),ROWS(M$20:M824))))</f>
        <v>32</v>
      </c>
      <c r="K824" s="7">
        <f t="array" ref="K824">IF(ROWS(K$20:K824)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824))))</f>
        <v>41984</v>
      </c>
      <c r="L824" s="4" t="str">
        <f t="array" ref="L824">IF(ROWS(L$20:L824)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824))))</f>
        <v>Galen  Barth</v>
      </c>
      <c r="M824" s="4">
        <f t="array" ref="M824">IF(ROWS(M$20:M824)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824))))</f>
        <v>32</v>
      </c>
    </row>
    <row r="825" spans="1:13" x14ac:dyDescent="0.25">
      <c r="A825" s="3">
        <v>41953</v>
      </c>
      <c r="B825" s="2" t="s">
        <v>46</v>
      </c>
      <c r="C825" s="2">
        <v>18</v>
      </c>
      <c r="G825" s="7">
        <f t="array" ref="G825">IF(ROWS(K$20:K825)&gt;$F$6,"",INDEX(A$2:A$10000,SMALL(IF(ISNUMBER(MATCH($B$2:$B$10000,$E$6:$E$22,0)),ROW($C$2:$C$10000)-ROW($C$2)+1),ROWS(K$20:K825))))</f>
        <v>41678</v>
      </c>
      <c r="H825" s="4" t="str">
        <f t="array" ref="H825">IF(ROWS(L$20:L825)&gt;$F$6,"",INDEX(B$2:B$10000,SMALL(IF(ISNUMBER(MATCH($B$2:$B$10000,$E$6:$E$22,0)),ROW($C$2:$C$10000)-ROW($C$2)+1),ROWS(L$20:L825))))</f>
        <v>Kerrie  Worrell</v>
      </c>
      <c r="I825" s="4">
        <f t="array" ref="I825">IF(ROWS(M$20:M825)&gt;$F$6,"",INDEX(C$2:C$10000,SMALL(IF(ISNUMBER(MATCH($B$2:$B$10000,$E$6:$E$22,0)),ROW($C$2:$C$10000)-ROW($C$2)+1),ROWS(M$20:M825))))</f>
        <v>30</v>
      </c>
      <c r="K825" s="7">
        <f t="array" ref="K825">IF(ROWS(K$20:K825)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825))))</f>
        <v>41678</v>
      </c>
      <c r="L825" s="4" t="str">
        <f t="array" ref="L825">IF(ROWS(L$20:L825)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825))))</f>
        <v>Kerrie  Worrell</v>
      </c>
      <c r="M825" s="4">
        <f t="array" ref="M825">IF(ROWS(M$20:M825)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825))))</f>
        <v>30</v>
      </c>
    </row>
    <row r="826" spans="1:13" x14ac:dyDescent="0.25">
      <c r="A826" s="3">
        <v>41952</v>
      </c>
      <c r="B826" s="2" t="s">
        <v>16</v>
      </c>
      <c r="C826" s="2">
        <v>9</v>
      </c>
      <c r="G826" s="7">
        <f t="array" ref="G826">IF(ROWS(K$20:K826)&gt;$F$6,"",INDEX(A$2:A$10000,SMALL(IF(ISNUMBER(MATCH($B$2:$B$10000,$E$6:$E$22,0)),ROW($C$2:$C$10000)-ROW($C$2)+1),ROWS(K$20:K826))))</f>
        <v>41747</v>
      </c>
      <c r="H826" s="4" t="str">
        <f t="array" ref="H826">IF(ROWS(L$20:L826)&gt;$F$6,"",INDEX(B$2:B$10000,SMALL(IF(ISNUMBER(MATCH($B$2:$B$10000,$E$6:$E$22,0)),ROW($C$2:$C$10000)-ROW($C$2)+1),ROWS(L$20:L826))))</f>
        <v>Mickey  Bolduc</v>
      </c>
      <c r="I826" s="4">
        <f t="array" ref="I826">IF(ROWS(M$20:M826)&gt;$F$6,"",INDEX(C$2:C$10000,SMALL(IF(ISNUMBER(MATCH($B$2:$B$10000,$E$6:$E$22,0)),ROW($C$2:$C$10000)-ROW($C$2)+1),ROWS(M$20:M826))))</f>
        <v>37</v>
      </c>
      <c r="K826" s="7">
        <f t="array" ref="K826">IF(ROWS(K$20:K826)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826))))</f>
        <v>41747</v>
      </c>
      <c r="L826" s="4" t="str">
        <f t="array" ref="L826">IF(ROWS(L$20:L826)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826))))</f>
        <v>Mickey  Bolduc</v>
      </c>
      <c r="M826" s="4">
        <f t="array" ref="M826">IF(ROWS(M$20:M826)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826))))</f>
        <v>37</v>
      </c>
    </row>
    <row r="827" spans="1:13" x14ac:dyDescent="0.25">
      <c r="A827" s="3">
        <v>41419</v>
      </c>
      <c r="B827" s="2" t="s">
        <v>43</v>
      </c>
      <c r="C827" s="2">
        <v>22</v>
      </c>
      <c r="G827" s="7">
        <f t="array" ref="G827">IF(ROWS(K$20:K827)&gt;$F$6,"",INDEX(A$2:A$10000,SMALL(IF(ISNUMBER(MATCH($B$2:$B$10000,$E$6:$E$22,0)),ROW($C$2:$C$10000)-ROW($C$2)+1),ROWS(K$20:K827))))</f>
        <v>41527</v>
      </c>
      <c r="H827" s="4" t="str">
        <f t="array" ref="H827">IF(ROWS(L$20:L827)&gt;$F$6,"",INDEX(B$2:B$10000,SMALL(IF(ISNUMBER(MATCH($B$2:$B$10000,$E$6:$E$22,0)),ROW($C$2:$C$10000)-ROW($C$2)+1),ROWS(L$20:L827))))</f>
        <v>Iliana  Valerio</v>
      </c>
      <c r="I827" s="4">
        <f t="array" ref="I827">IF(ROWS(M$20:M827)&gt;$F$6,"",INDEX(C$2:C$10000,SMALL(IF(ISNUMBER(MATCH($B$2:$B$10000,$E$6:$E$22,0)),ROW($C$2:$C$10000)-ROW($C$2)+1),ROWS(M$20:M827))))</f>
        <v>14</v>
      </c>
      <c r="K827" s="7">
        <f t="array" ref="K827">IF(ROWS(K$20:K827)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827))))</f>
        <v>41527</v>
      </c>
      <c r="L827" s="4" t="str">
        <f t="array" ref="L827">IF(ROWS(L$20:L827)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827))))</f>
        <v>Iliana  Valerio</v>
      </c>
      <c r="M827" s="4">
        <f t="array" ref="M827">IF(ROWS(M$20:M827)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827))))</f>
        <v>14</v>
      </c>
    </row>
    <row r="828" spans="1:13" x14ac:dyDescent="0.25">
      <c r="A828" s="3">
        <v>41769</v>
      </c>
      <c r="B828" s="2" t="s">
        <v>31</v>
      </c>
      <c r="C828" s="2">
        <v>30</v>
      </c>
      <c r="G828" s="7">
        <f t="array" ref="G828">IF(ROWS(K$20:K828)&gt;$F$6,"",INDEX(A$2:A$10000,SMALL(IF(ISNUMBER(MATCH($B$2:$B$10000,$E$6:$E$22,0)),ROW($C$2:$C$10000)-ROW($C$2)+1),ROWS(K$20:K828))))</f>
        <v>41709</v>
      </c>
      <c r="H828" s="4" t="str">
        <f t="array" ref="H828">IF(ROWS(L$20:L828)&gt;$F$6,"",INDEX(B$2:B$10000,SMALL(IF(ISNUMBER(MATCH($B$2:$B$10000,$E$6:$E$22,0)),ROW($C$2:$C$10000)-ROW($C$2)+1),ROWS(L$20:L828))))</f>
        <v>Jenni  Thorton</v>
      </c>
      <c r="I828" s="4">
        <f t="array" ref="I828">IF(ROWS(M$20:M828)&gt;$F$6,"",INDEX(C$2:C$10000,SMALL(IF(ISNUMBER(MATCH($B$2:$B$10000,$E$6:$E$22,0)),ROW($C$2:$C$10000)-ROW($C$2)+1),ROWS(M$20:M828))))</f>
        <v>15</v>
      </c>
      <c r="K828" s="7">
        <f t="array" ref="K828">IF(ROWS(K$20:K828)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828))))</f>
        <v>41709</v>
      </c>
      <c r="L828" s="4" t="str">
        <f t="array" ref="L828">IF(ROWS(L$20:L828)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828))))</f>
        <v>Jenni  Thorton</v>
      </c>
      <c r="M828" s="4">
        <f t="array" ref="M828">IF(ROWS(M$20:M828)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828))))</f>
        <v>15</v>
      </c>
    </row>
    <row r="829" spans="1:13" x14ac:dyDescent="0.25">
      <c r="A829" s="3">
        <v>41804</v>
      </c>
      <c r="B829" s="2" t="s">
        <v>48</v>
      </c>
      <c r="C829" s="2">
        <v>34</v>
      </c>
      <c r="G829" s="7">
        <f t="array" ref="G829">IF(ROWS(K$20:K829)&gt;$F$6,"",INDEX(A$2:A$10000,SMALL(IF(ISNUMBER(MATCH($B$2:$B$10000,$E$6:$E$22,0)),ROW($C$2:$C$10000)-ROW($C$2)+1),ROWS(K$20:K829))))</f>
        <v>41525</v>
      </c>
      <c r="H829" s="4" t="str">
        <f t="array" ref="H829">IF(ROWS(L$20:L829)&gt;$F$6,"",INDEX(B$2:B$10000,SMALL(IF(ISNUMBER(MATCH($B$2:$B$10000,$E$6:$E$22,0)),ROW($C$2:$C$10000)-ROW($C$2)+1),ROWS(L$20:L829))))</f>
        <v>Kerrie  Worrell</v>
      </c>
      <c r="I829" s="4">
        <f t="array" ref="I829">IF(ROWS(M$20:M829)&gt;$F$6,"",INDEX(C$2:C$10000,SMALL(IF(ISNUMBER(MATCH($B$2:$B$10000,$E$6:$E$22,0)),ROW($C$2:$C$10000)-ROW($C$2)+1),ROWS(M$20:M829))))</f>
        <v>18</v>
      </c>
      <c r="K829" s="7">
        <f t="array" ref="K829">IF(ROWS(K$20:K829)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829))))</f>
        <v>41525</v>
      </c>
      <c r="L829" s="4" t="str">
        <f t="array" ref="L829">IF(ROWS(L$20:L829)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829))))</f>
        <v>Kerrie  Worrell</v>
      </c>
      <c r="M829" s="4">
        <f t="array" ref="M829">IF(ROWS(M$20:M829)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829))))</f>
        <v>18</v>
      </c>
    </row>
    <row r="830" spans="1:13" x14ac:dyDescent="0.25">
      <c r="A830" s="3">
        <v>41713</v>
      </c>
      <c r="B830" s="2" t="s">
        <v>30</v>
      </c>
      <c r="C830" s="2">
        <v>57</v>
      </c>
      <c r="G830" s="7">
        <f t="array" ref="G830">IF(ROWS(K$20:K830)&gt;$F$6,"",INDEX(A$2:A$10000,SMALL(IF(ISNUMBER(MATCH($B$2:$B$10000,$E$6:$E$22,0)),ROW($C$2:$C$10000)-ROW($C$2)+1),ROWS(K$20:K830))))</f>
        <v>41693</v>
      </c>
      <c r="H830" s="4" t="str">
        <f t="array" ref="H830">IF(ROWS(L$20:L830)&gt;$F$6,"",INDEX(B$2:B$10000,SMALL(IF(ISNUMBER(MATCH($B$2:$B$10000,$E$6:$E$22,0)),ROW($C$2:$C$10000)-ROW($C$2)+1),ROWS(L$20:L830))))</f>
        <v>Mickey  Bolduc</v>
      </c>
      <c r="I830" s="4">
        <f t="array" ref="I830">IF(ROWS(M$20:M830)&gt;$F$6,"",INDEX(C$2:C$10000,SMALL(IF(ISNUMBER(MATCH($B$2:$B$10000,$E$6:$E$22,0)),ROW($C$2:$C$10000)-ROW($C$2)+1),ROWS(M$20:M830))))</f>
        <v>7</v>
      </c>
      <c r="K830" s="7">
        <f t="array" ref="K830">IF(ROWS(K$20:K830)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830))))</f>
        <v>41693</v>
      </c>
      <c r="L830" s="4" t="str">
        <f t="array" ref="L830">IF(ROWS(L$20:L830)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830))))</f>
        <v>Mickey  Bolduc</v>
      </c>
      <c r="M830" s="4">
        <f t="array" ref="M830">IF(ROWS(M$20:M830)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830))))</f>
        <v>7</v>
      </c>
    </row>
    <row r="831" spans="1:13" x14ac:dyDescent="0.25">
      <c r="A831" s="3">
        <v>41341</v>
      </c>
      <c r="B831" s="2" t="s">
        <v>37</v>
      </c>
      <c r="C831" s="2">
        <v>38</v>
      </c>
      <c r="G831" s="7">
        <f t="array" ref="G831">IF(ROWS(K$20:K831)&gt;$F$6,"",INDEX(A$2:A$10000,SMALL(IF(ISNUMBER(MATCH($B$2:$B$10000,$E$6:$E$22,0)),ROW($C$2:$C$10000)-ROW($C$2)+1),ROWS(K$20:K831))))</f>
        <v>41370</v>
      </c>
      <c r="H831" s="4" t="str">
        <f t="array" ref="H831">IF(ROWS(L$20:L831)&gt;$F$6,"",INDEX(B$2:B$10000,SMALL(IF(ISNUMBER(MATCH($B$2:$B$10000,$E$6:$E$22,0)),ROW($C$2:$C$10000)-ROW($C$2)+1),ROWS(L$20:L831))))</f>
        <v>Galen  Barth</v>
      </c>
      <c r="I831" s="4">
        <f t="array" ref="I831">IF(ROWS(M$20:M831)&gt;$F$6,"",INDEX(C$2:C$10000,SMALL(IF(ISNUMBER(MATCH($B$2:$B$10000,$E$6:$E$22,0)),ROW($C$2:$C$10000)-ROW($C$2)+1),ROWS(M$20:M831))))</f>
        <v>30</v>
      </c>
      <c r="K831" s="7">
        <f t="array" ref="K831">IF(ROWS(K$20:K831)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831))))</f>
        <v>41370</v>
      </c>
      <c r="L831" s="4" t="str">
        <f t="array" ref="L831">IF(ROWS(L$20:L831)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831))))</f>
        <v>Galen  Barth</v>
      </c>
      <c r="M831" s="4">
        <f t="array" ref="M831">IF(ROWS(M$20:M831)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831))))</f>
        <v>30</v>
      </c>
    </row>
    <row r="832" spans="1:13" x14ac:dyDescent="0.25">
      <c r="A832" s="3">
        <v>41623</v>
      </c>
      <c r="B832" s="2" t="s">
        <v>48</v>
      </c>
      <c r="C832" s="2">
        <v>41</v>
      </c>
      <c r="G832" s="7">
        <f t="array" ref="G832">IF(ROWS(K$20:K832)&gt;$F$6,"",INDEX(A$2:A$10000,SMALL(IF(ISNUMBER(MATCH($B$2:$B$10000,$E$6:$E$22,0)),ROW($C$2:$C$10000)-ROW($C$2)+1),ROWS(K$20:K832))))</f>
        <v>41318</v>
      </c>
      <c r="H832" s="4" t="str">
        <f t="array" ref="H832">IF(ROWS(L$20:L832)&gt;$F$6,"",INDEX(B$2:B$10000,SMALL(IF(ISNUMBER(MATCH($B$2:$B$10000,$E$6:$E$22,0)),ROW($C$2:$C$10000)-ROW($C$2)+1),ROWS(L$20:L832))))</f>
        <v>Mickey  Bolduc</v>
      </c>
      <c r="I832" s="4">
        <f t="array" ref="I832">IF(ROWS(M$20:M832)&gt;$F$6,"",INDEX(C$2:C$10000,SMALL(IF(ISNUMBER(MATCH($B$2:$B$10000,$E$6:$E$22,0)),ROW($C$2:$C$10000)-ROW($C$2)+1),ROWS(M$20:M832))))</f>
        <v>15</v>
      </c>
      <c r="K832" s="7">
        <f t="array" ref="K832">IF(ROWS(K$20:K832)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832))))</f>
        <v>41318</v>
      </c>
      <c r="L832" s="4" t="str">
        <f t="array" ref="L832">IF(ROWS(L$20:L832)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832))))</f>
        <v>Mickey  Bolduc</v>
      </c>
      <c r="M832" s="4">
        <f t="array" ref="M832">IF(ROWS(M$20:M832)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832))))</f>
        <v>15</v>
      </c>
    </row>
    <row r="833" spans="1:13" x14ac:dyDescent="0.25">
      <c r="A833" s="3">
        <v>41815</v>
      </c>
      <c r="B833" s="2" t="s">
        <v>51</v>
      </c>
      <c r="C833" s="2">
        <v>41</v>
      </c>
      <c r="G833" s="7">
        <f t="array" ref="G833">IF(ROWS(K$20:K833)&gt;$F$6,"",INDEX(A$2:A$10000,SMALL(IF(ISNUMBER(MATCH($B$2:$B$10000,$E$6:$E$22,0)),ROW($C$2:$C$10000)-ROW($C$2)+1),ROWS(K$20:K833))))</f>
        <v>41612</v>
      </c>
      <c r="H833" s="4" t="str">
        <f t="array" ref="H833">IF(ROWS(L$20:L833)&gt;$F$6,"",INDEX(B$2:B$10000,SMALL(IF(ISNUMBER(MATCH($B$2:$B$10000,$E$6:$E$22,0)),ROW($C$2:$C$10000)-ROW($C$2)+1),ROWS(L$20:L833))))</f>
        <v>Jenni  Thorton</v>
      </c>
      <c r="I833" s="4">
        <f t="array" ref="I833">IF(ROWS(M$20:M833)&gt;$F$6,"",INDEX(C$2:C$10000,SMALL(IF(ISNUMBER(MATCH($B$2:$B$10000,$E$6:$E$22,0)),ROW($C$2:$C$10000)-ROW($C$2)+1),ROWS(M$20:M833))))</f>
        <v>1</v>
      </c>
      <c r="K833" s="7">
        <f t="array" ref="K833">IF(ROWS(K$20:K833)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833))))</f>
        <v>41612</v>
      </c>
      <c r="L833" s="4" t="str">
        <f t="array" ref="L833">IF(ROWS(L$20:L833)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833))))</f>
        <v>Jenni  Thorton</v>
      </c>
      <c r="M833" s="4">
        <f t="array" ref="M833">IF(ROWS(M$20:M833)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833))))</f>
        <v>1</v>
      </c>
    </row>
    <row r="834" spans="1:13" x14ac:dyDescent="0.25">
      <c r="A834" s="3">
        <v>41404</v>
      </c>
      <c r="B834" s="2" t="s">
        <v>3</v>
      </c>
      <c r="C834" s="2">
        <v>12</v>
      </c>
      <c r="G834" s="7">
        <f t="array" ref="G834">IF(ROWS(K$20:K834)&gt;$F$6,"",INDEX(A$2:A$10000,SMALL(IF(ISNUMBER(MATCH($B$2:$B$10000,$E$6:$E$22,0)),ROW($C$2:$C$10000)-ROW($C$2)+1),ROWS(K$20:K834))))</f>
        <v>41900</v>
      </c>
      <c r="H834" s="4" t="str">
        <f t="array" ref="H834">IF(ROWS(L$20:L834)&gt;$F$6,"",INDEX(B$2:B$10000,SMALL(IF(ISNUMBER(MATCH($B$2:$B$10000,$E$6:$E$22,0)),ROW($C$2:$C$10000)-ROW($C$2)+1),ROWS(L$20:L834))))</f>
        <v>Iliana  Valerio</v>
      </c>
      <c r="I834" s="4">
        <f t="array" ref="I834">IF(ROWS(M$20:M834)&gt;$F$6,"",INDEX(C$2:C$10000,SMALL(IF(ISNUMBER(MATCH($B$2:$B$10000,$E$6:$E$22,0)),ROW($C$2:$C$10000)-ROW($C$2)+1),ROWS(M$20:M834))))</f>
        <v>22</v>
      </c>
      <c r="K834" s="7">
        <f t="array" ref="K834">IF(ROWS(K$20:K834)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834))))</f>
        <v>41900</v>
      </c>
      <c r="L834" s="4" t="str">
        <f t="array" ref="L834">IF(ROWS(L$20:L834)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834))))</f>
        <v>Iliana  Valerio</v>
      </c>
      <c r="M834" s="4">
        <f t="array" ref="M834">IF(ROWS(M$20:M834)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834))))</f>
        <v>22</v>
      </c>
    </row>
    <row r="835" spans="1:13" x14ac:dyDescent="0.25">
      <c r="A835" s="3">
        <v>41847</v>
      </c>
      <c r="B835" s="2" t="s">
        <v>31</v>
      </c>
      <c r="C835" s="2">
        <v>17</v>
      </c>
      <c r="G835" s="7">
        <f t="array" ref="G835">IF(ROWS(K$20:K835)&gt;$F$6,"",INDEX(A$2:A$10000,SMALL(IF(ISNUMBER(MATCH($B$2:$B$10000,$E$6:$E$22,0)),ROW($C$2:$C$10000)-ROW($C$2)+1),ROWS(K$20:K835))))</f>
        <v>41438</v>
      </c>
      <c r="H835" s="4" t="str">
        <f t="array" ref="H835">IF(ROWS(L$20:L835)&gt;$F$6,"",INDEX(B$2:B$10000,SMALL(IF(ISNUMBER(MATCH($B$2:$B$10000,$E$6:$E$22,0)),ROW($C$2:$C$10000)-ROW($C$2)+1),ROWS(L$20:L835))))</f>
        <v>Jenni  Thorton</v>
      </c>
      <c r="I835" s="4">
        <f t="array" ref="I835">IF(ROWS(M$20:M835)&gt;$F$6,"",INDEX(C$2:C$10000,SMALL(IF(ISNUMBER(MATCH($B$2:$B$10000,$E$6:$E$22,0)),ROW($C$2:$C$10000)-ROW($C$2)+1),ROWS(M$20:M835))))</f>
        <v>27</v>
      </c>
      <c r="K835" s="7">
        <f t="array" ref="K835">IF(ROWS(K$20:K835)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835))))</f>
        <v>41438</v>
      </c>
      <c r="L835" s="4" t="str">
        <f t="array" ref="L835">IF(ROWS(L$20:L835)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835))))</f>
        <v>Jenni  Thorton</v>
      </c>
      <c r="M835" s="4">
        <f t="array" ref="M835">IF(ROWS(M$20:M835)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835))))</f>
        <v>27</v>
      </c>
    </row>
    <row r="836" spans="1:13" x14ac:dyDescent="0.25">
      <c r="A836" s="3">
        <v>41738</v>
      </c>
      <c r="B836" s="2" t="s">
        <v>39</v>
      </c>
      <c r="C836" s="2">
        <v>30</v>
      </c>
      <c r="G836" s="7">
        <f t="array" ref="G836">IF(ROWS(K$20:K836)&gt;$F$6,"",INDEX(A$2:A$10000,SMALL(IF(ISNUMBER(MATCH($B$2:$B$10000,$E$6:$E$22,0)),ROW($C$2:$C$10000)-ROW($C$2)+1),ROWS(K$20:K836))))</f>
        <v>41540</v>
      </c>
      <c r="H836" s="4" t="str">
        <f t="array" ref="H836">IF(ROWS(L$20:L836)&gt;$F$6,"",INDEX(B$2:B$10000,SMALL(IF(ISNUMBER(MATCH($B$2:$B$10000,$E$6:$E$22,0)),ROW($C$2:$C$10000)-ROW($C$2)+1),ROWS(L$20:L836))))</f>
        <v>Mickey  Bolduc</v>
      </c>
      <c r="I836" s="4">
        <f t="array" ref="I836">IF(ROWS(M$20:M836)&gt;$F$6,"",INDEX(C$2:C$10000,SMALL(IF(ISNUMBER(MATCH($B$2:$B$10000,$E$6:$E$22,0)),ROW($C$2:$C$10000)-ROW($C$2)+1),ROWS(M$20:M836))))</f>
        <v>9</v>
      </c>
      <c r="K836" s="7">
        <f t="array" ref="K836">IF(ROWS(K$20:K836)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836))))</f>
        <v>41540</v>
      </c>
      <c r="L836" s="4" t="str">
        <f t="array" ref="L836">IF(ROWS(L$20:L836)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836))))</f>
        <v>Mickey  Bolduc</v>
      </c>
      <c r="M836" s="4">
        <f t="array" ref="M836">IF(ROWS(M$20:M836)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836))))</f>
        <v>9</v>
      </c>
    </row>
    <row r="837" spans="1:13" x14ac:dyDescent="0.25">
      <c r="A837" s="3">
        <v>41662</v>
      </c>
      <c r="B837" s="2" t="s">
        <v>32</v>
      </c>
      <c r="C837" s="2">
        <v>17</v>
      </c>
      <c r="G837" s="7">
        <f t="array" ref="G837">IF(ROWS(K$20:K837)&gt;$F$6,"",INDEX(A$2:A$10000,SMALL(IF(ISNUMBER(MATCH($B$2:$B$10000,$E$6:$E$22,0)),ROW($C$2:$C$10000)-ROW($C$2)+1),ROWS(K$20:K837))))</f>
        <v>41601</v>
      </c>
      <c r="H837" s="4" t="str">
        <f t="array" ref="H837">IF(ROWS(L$20:L837)&gt;$F$6,"",INDEX(B$2:B$10000,SMALL(IF(ISNUMBER(MATCH($B$2:$B$10000,$E$6:$E$22,0)),ROW($C$2:$C$10000)-ROW($C$2)+1),ROWS(L$20:L837))))</f>
        <v>Rosamond  Allard</v>
      </c>
      <c r="I837" s="4">
        <f t="array" ref="I837">IF(ROWS(M$20:M837)&gt;$F$6,"",INDEX(C$2:C$10000,SMALL(IF(ISNUMBER(MATCH($B$2:$B$10000,$E$6:$E$22,0)),ROW($C$2:$C$10000)-ROW($C$2)+1),ROWS(M$20:M837))))</f>
        <v>33</v>
      </c>
      <c r="K837" s="7">
        <f t="array" ref="K837">IF(ROWS(K$20:K837)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837))))</f>
        <v>41601</v>
      </c>
      <c r="L837" s="4" t="str">
        <f t="array" ref="L837">IF(ROWS(L$20:L837)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837))))</f>
        <v>Rosamond  Allard</v>
      </c>
      <c r="M837" s="4">
        <f t="array" ref="M837">IF(ROWS(M$20:M837)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837))))</f>
        <v>33</v>
      </c>
    </row>
    <row r="838" spans="1:13" x14ac:dyDescent="0.25">
      <c r="A838" s="3">
        <v>41518</v>
      </c>
      <c r="B838" s="2" t="s">
        <v>27</v>
      </c>
      <c r="C838" s="2">
        <v>9</v>
      </c>
      <c r="G838" s="7">
        <f t="array" ref="G838">IF(ROWS(K$20:K838)&gt;$F$6,"",INDEX(A$2:A$10000,SMALL(IF(ISNUMBER(MATCH($B$2:$B$10000,$E$6:$E$22,0)),ROW($C$2:$C$10000)-ROW($C$2)+1),ROWS(K$20:K838))))</f>
        <v>41552</v>
      </c>
      <c r="H838" s="4" t="str">
        <f t="array" ref="H838">IF(ROWS(L$20:L838)&gt;$F$6,"",INDEX(B$2:B$10000,SMALL(IF(ISNUMBER(MATCH($B$2:$B$10000,$E$6:$E$22,0)),ROW($C$2:$C$10000)-ROW($C$2)+1),ROWS(L$20:L838))))</f>
        <v>Mickey  Bolduc</v>
      </c>
      <c r="I838" s="4">
        <f t="array" ref="I838">IF(ROWS(M$20:M838)&gt;$F$6,"",INDEX(C$2:C$10000,SMALL(IF(ISNUMBER(MATCH($B$2:$B$10000,$E$6:$E$22,0)),ROW($C$2:$C$10000)-ROW($C$2)+1),ROWS(M$20:M838))))</f>
        <v>29</v>
      </c>
      <c r="K838" s="7">
        <f t="array" ref="K838">IF(ROWS(K$20:K838)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838))))</f>
        <v>41552</v>
      </c>
      <c r="L838" s="4" t="str">
        <f t="array" ref="L838">IF(ROWS(L$20:L838)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838))))</f>
        <v>Mickey  Bolduc</v>
      </c>
      <c r="M838" s="4">
        <f t="array" ref="M838">IF(ROWS(M$20:M838)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838))))</f>
        <v>29</v>
      </c>
    </row>
    <row r="839" spans="1:13" x14ac:dyDescent="0.25">
      <c r="A839" s="3">
        <v>41725</v>
      </c>
      <c r="B839" s="2" t="s">
        <v>12</v>
      </c>
      <c r="C839" s="2">
        <v>54</v>
      </c>
      <c r="G839" s="7">
        <f t="array" ref="G839">IF(ROWS(K$20:K839)&gt;$F$6,"",INDEX(A$2:A$10000,SMALL(IF(ISNUMBER(MATCH($B$2:$B$10000,$E$6:$E$22,0)),ROW($C$2:$C$10000)-ROW($C$2)+1),ROWS(K$20:K839))))</f>
        <v>41461</v>
      </c>
      <c r="H839" s="4" t="str">
        <f t="array" ref="H839">IF(ROWS(L$20:L839)&gt;$F$6,"",INDEX(B$2:B$10000,SMALL(IF(ISNUMBER(MATCH($B$2:$B$10000,$E$6:$E$22,0)),ROW($C$2:$C$10000)-ROW($C$2)+1),ROWS(L$20:L839))))</f>
        <v>Jenni  Thorton</v>
      </c>
      <c r="I839" s="4">
        <f t="array" ref="I839">IF(ROWS(M$20:M839)&gt;$F$6,"",INDEX(C$2:C$10000,SMALL(IF(ISNUMBER(MATCH($B$2:$B$10000,$E$6:$E$22,0)),ROW($C$2:$C$10000)-ROW($C$2)+1),ROWS(M$20:M839))))</f>
        <v>16</v>
      </c>
      <c r="K839" s="7">
        <f t="array" ref="K839">IF(ROWS(K$20:K839)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839))))</f>
        <v>41461</v>
      </c>
      <c r="L839" s="4" t="str">
        <f t="array" ref="L839">IF(ROWS(L$20:L839)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839))))</f>
        <v>Jenni  Thorton</v>
      </c>
      <c r="M839" s="4">
        <f t="array" ref="M839">IF(ROWS(M$20:M839)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839))))</f>
        <v>16</v>
      </c>
    </row>
    <row r="840" spans="1:13" x14ac:dyDescent="0.25">
      <c r="A840" s="3">
        <v>41997</v>
      </c>
      <c r="B840" s="2" t="s">
        <v>4</v>
      </c>
      <c r="C840" s="2">
        <v>5</v>
      </c>
      <c r="G840" s="7">
        <f t="array" ref="G840">IF(ROWS(K$20:K840)&gt;$F$6,"",INDEX(A$2:A$10000,SMALL(IF(ISNUMBER(MATCH($B$2:$B$10000,$E$6:$E$22,0)),ROW($C$2:$C$10000)-ROW($C$2)+1),ROWS(K$20:K840))))</f>
        <v>41953</v>
      </c>
      <c r="H840" s="4" t="str">
        <f t="array" ref="H840">IF(ROWS(L$20:L840)&gt;$F$6,"",INDEX(B$2:B$10000,SMALL(IF(ISNUMBER(MATCH($B$2:$B$10000,$E$6:$E$22,0)),ROW($C$2:$C$10000)-ROW($C$2)+1),ROWS(L$20:L840))))</f>
        <v>Mickey  Bolduc</v>
      </c>
      <c r="I840" s="4">
        <f t="array" ref="I840">IF(ROWS(M$20:M840)&gt;$F$6,"",INDEX(C$2:C$10000,SMALL(IF(ISNUMBER(MATCH($B$2:$B$10000,$E$6:$E$22,0)),ROW($C$2:$C$10000)-ROW($C$2)+1),ROWS(M$20:M840))))</f>
        <v>31</v>
      </c>
      <c r="K840" s="7">
        <f t="array" ref="K840">IF(ROWS(K$20:K840)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840))))</f>
        <v>41953</v>
      </c>
      <c r="L840" s="4" t="str">
        <f t="array" ref="L840">IF(ROWS(L$20:L840)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840))))</f>
        <v>Mickey  Bolduc</v>
      </c>
      <c r="M840" s="4">
        <f t="array" ref="M840">IF(ROWS(M$20:M840)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840))))</f>
        <v>31</v>
      </c>
    </row>
    <row r="841" spans="1:13" x14ac:dyDescent="0.25">
      <c r="A841" s="3">
        <v>41347</v>
      </c>
      <c r="B841" s="2" t="s">
        <v>11</v>
      </c>
      <c r="C841" s="2">
        <v>30</v>
      </c>
      <c r="G841" s="7">
        <f t="array" ref="G841">IF(ROWS(K$20:K841)&gt;$F$6,"",INDEX(A$2:A$10000,SMALL(IF(ISNUMBER(MATCH($B$2:$B$10000,$E$6:$E$22,0)),ROW($C$2:$C$10000)-ROW($C$2)+1),ROWS(K$20:K841))))</f>
        <v>41474</v>
      </c>
      <c r="H841" s="4" t="str">
        <f t="array" ref="H841">IF(ROWS(L$20:L841)&gt;$F$6,"",INDEX(B$2:B$10000,SMALL(IF(ISNUMBER(MATCH($B$2:$B$10000,$E$6:$E$22,0)),ROW($C$2:$C$10000)-ROW($C$2)+1),ROWS(L$20:L841))))</f>
        <v>Jenni  Thorton</v>
      </c>
      <c r="I841" s="4">
        <f t="array" ref="I841">IF(ROWS(M$20:M841)&gt;$F$6,"",INDEX(C$2:C$10000,SMALL(IF(ISNUMBER(MATCH($B$2:$B$10000,$E$6:$E$22,0)),ROW($C$2:$C$10000)-ROW($C$2)+1),ROWS(M$20:M841))))</f>
        <v>2</v>
      </c>
      <c r="K841" s="7">
        <f t="array" ref="K841">IF(ROWS(K$20:K841)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841))))</f>
        <v>41474</v>
      </c>
      <c r="L841" s="4" t="str">
        <f t="array" ref="L841">IF(ROWS(L$20:L841)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841))))</f>
        <v>Jenni  Thorton</v>
      </c>
      <c r="M841" s="4">
        <f t="array" ref="M841">IF(ROWS(M$20:M841)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841))))</f>
        <v>2</v>
      </c>
    </row>
    <row r="842" spans="1:13" x14ac:dyDescent="0.25">
      <c r="A842" s="3">
        <v>41946</v>
      </c>
      <c r="B842" s="2" t="s">
        <v>21</v>
      </c>
      <c r="C842" s="2">
        <v>5</v>
      </c>
      <c r="G842" s="7">
        <f t="array" ref="G842">IF(ROWS(K$20:K842)&gt;$F$6,"",INDEX(A$2:A$10000,SMALL(IF(ISNUMBER(MATCH($B$2:$B$10000,$E$6:$E$22,0)),ROW($C$2:$C$10000)-ROW($C$2)+1),ROWS(K$20:K842))))</f>
        <v>41536</v>
      </c>
      <c r="H842" s="4" t="str">
        <f t="array" ref="H842">IF(ROWS(L$20:L842)&gt;$F$6,"",INDEX(B$2:B$10000,SMALL(IF(ISNUMBER(MATCH($B$2:$B$10000,$E$6:$E$22,0)),ROW($C$2:$C$10000)-ROW($C$2)+1),ROWS(L$20:L842))))</f>
        <v>Rosamond  Allard</v>
      </c>
      <c r="I842" s="4">
        <f t="array" ref="I842">IF(ROWS(M$20:M842)&gt;$F$6,"",INDEX(C$2:C$10000,SMALL(IF(ISNUMBER(MATCH($B$2:$B$10000,$E$6:$E$22,0)),ROW($C$2:$C$10000)-ROW($C$2)+1),ROWS(M$20:M842))))</f>
        <v>61</v>
      </c>
      <c r="K842" s="7">
        <f t="array" ref="K842">IF(ROWS(K$20:K842)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842))))</f>
        <v>41536</v>
      </c>
      <c r="L842" s="4" t="str">
        <f t="array" ref="L842">IF(ROWS(L$20:L842)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842))))</f>
        <v>Rosamond  Allard</v>
      </c>
      <c r="M842" s="4">
        <f t="array" ref="M842">IF(ROWS(M$20:M842)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842))))</f>
        <v>61</v>
      </c>
    </row>
    <row r="843" spans="1:13" x14ac:dyDescent="0.25">
      <c r="A843" s="3">
        <v>42003</v>
      </c>
      <c r="B843" s="2" t="s">
        <v>20</v>
      </c>
      <c r="C843" s="2">
        <v>46</v>
      </c>
      <c r="G843" s="7">
        <f t="array" ref="G843">IF(ROWS(K$20:K843)&gt;$F$6,"",INDEX(A$2:A$10000,SMALL(IF(ISNUMBER(MATCH($B$2:$B$10000,$E$6:$E$22,0)),ROW($C$2:$C$10000)-ROW($C$2)+1),ROWS(K$20:K843))))</f>
        <v>41707</v>
      </c>
      <c r="H843" s="4" t="str">
        <f t="array" ref="H843">IF(ROWS(L$20:L843)&gt;$F$6,"",INDEX(B$2:B$10000,SMALL(IF(ISNUMBER(MATCH($B$2:$B$10000,$E$6:$E$22,0)),ROW($C$2:$C$10000)-ROW($C$2)+1),ROWS(L$20:L843))))</f>
        <v>Rosamond  Allard</v>
      </c>
      <c r="I843" s="4">
        <f t="array" ref="I843">IF(ROWS(M$20:M843)&gt;$F$6,"",INDEX(C$2:C$10000,SMALL(IF(ISNUMBER(MATCH($B$2:$B$10000,$E$6:$E$22,0)),ROW($C$2:$C$10000)-ROW($C$2)+1),ROWS(M$20:M843))))</f>
        <v>32</v>
      </c>
      <c r="K843" s="7">
        <f t="array" ref="K843">IF(ROWS(K$20:K843)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843))))</f>
        <v>41707</v>
      </c>
      <c r="L843" s="4" t="str">
        <f t="array" ref="L843">IF(ROWS(L$20:L843)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843))))</f>
        <v>Rosamond  Allard</v>
      </c>
      <c r="M843" s="4">
        <f t="array" ref="M843">IF(ROWS(M$20:M843)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843))))</f>
        <v>32</v>
      </c>
    </row>
    <row r="844" spans="1:13" x14ac:dyDescent="0.25">
      <c r="A844" s="3">
        <v>41728</v>
      </c>
      <c r="B844" s="2" t="s">
        <v>33</v>
      </c>
      <c r="C844" s="2">
        <v>35</v>
      </c>
      <c r="G844" s="7">
        <f t="array" ref="G844">IF(ROWS(K$20:K844)&gt;$F$6,"",INDEX(A$2:A$10000,SMALL(IF(ISNUMBER(MATCH($B$2:$B$10000,$E$6:$E$22,0)),ROW($C$2:$C$10000)-ROW($C$2)+1),ROWS(K$20:K844))))</f>
        <v>41798</v>
      </c>
      <c r="H844" s="4" t="str">
        <f t="array" ref="H844">IF(ROWS(L$20:L844)&gt;$F$6,"",INDEX(B$2:B$10000,SMALL(IF(ISNUMBER(MATCH($B$2:$B$10000,$E$6:$E$22,0)),ROW($C$2:$C$10000)-ROW($C$2)+1),ROWS(L$20:L844))))</f>
        <v>Galen  Barth</v>
      </c>
      <c r="I844" s="4">
        <f t="array" ref="I844">IF(ROWS(M$20:M844)&gt;$F$6,"",INDEX(C$2:C$10000,SMALL(IF(ISNUMBER(MATCH($B$2:$B$10000,$E$6:$E$22,0)),ROW($C$2:$C$10000)-ROW($C$2)+1),ROWS(M$20:M844))))</f>
        <v>32</v>
      </c>
      <c r="K844" s="7">
        <f t="array" ref="K844">IF(ROWS(K$20:K844)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844))))</f>
        <v>41798</v>
      </c>
      <c r="L844" s="4" t="str">
        <f t="array" ref="L844">IF(ROWS(L$20:L844)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844))))</f>
        <v>Galen  Barth</v>
      </c>
      <c r="M844" s="4">
        <f t="array" ref="M844">IF(ROWS(M$20:M844)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844))))</f>
        <v>32</v>
      </c>
    </row>
    <row r="845" spans="1:13" x14ac:dyDescent="0.25">
      <c r="A845" s="3">
        <v>41563</v>
      </c>
      <c r="B845" s="2" t="s">
        <v>43</v>
      </c>
      <c r="C845" s="2">
        <v>41</v>
      </c>
      <c r="G845" s="7">
        <f t="array" ref="G845">IF(ROWS(K$20:K845)&gt;$F$6,"",INDEX(A$2:A$10000,SMALL(IF(ISNUMBER(MATCH($B$2:$B$10000,$E$6:$E$22,0)),ROW($C$2:$C$10000)-ROW($C$2)+1),ROWS(K$20:K845))))</f>
        <v>41382</v>
      </c>
      <c r="H845" s="4" t="str">
        <f t="array" ref="H845">IF(ROWS(L$20:L845)&gt;$F$6,"",INDEX(B$2:B$10000,SMALL(IF(ISNUMBER(MATCH($B$2:$B$10000,$E$6:$E$22,0)),ROW($C$2:$C$10000)-ROW($C$2)+1),ROWS(L$20:L845))))</f>
        <v>Galen  Barth</v>
      </c>
      <c r="I845" s="4">
        <f t="array" ref="I845">IF(ROWS(M$20:M845)&gt;$F$6,"",INDEX(C$2:C$10000,SMALL(IF(ISNUMBER(MATCH($B$2:$B$10000,$E$6:$E$22,0)),ROW($C$2:$C$10000)-ROW($C$2)+1),ROWS(M$20:M845))))</f>
        <v>20</v>
      </c>
      <c r="K845" s="7">
        <f t="array" ref="K845">IF(ROWS(K$20:K845)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845))))</f>
        <v>41382</v>
      </c>
      <c r="L845" s="4" t="str">
        <f t="array" ref="L845">IF(ROWS(L$20:L845)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845))))</f>
        <v>Galen  Barth</v>
      </c>
      <c r="M845" s="4">
        <f t="array" ref="M845">IF(ROWS(M$20:M845)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845))))</f>
        <v>20</v>
      </c>
    </row>
    <row r="846" spans="1:13" x14ac:dyDescent="0.25">
      <c r="A846" s="3">
        <v>41340</v>
      </c>
      <c r="B846" s="2" t="s">
        <v>18</v>
      </c>
      <c r="C846" s="2">
        <v>31</v>
      </c>
      <c r="G846" s="7">
        <f t="array" ref="G846">IF(ROWS(K$20:K846)&gt;$F$6,"",INDEX(A$2:A$10000,SMALL(IF(ISNUMBER(MATCH($B$2:$B$10000,$E$6:$E$22,0)),ROW($C$2:$C$10000)-ROW($C$2)+1),ROWS(K$20:K846))))</f>
        <v>41944</v>
      </c>
      <c r="H846" s="4" t="str">
        <f t="array" ref="H846">IF(ROWS(L$20:L846)&gt;$F$6,"",INDEX(B$2:B$10000,SMALL(IF(ISNUMBER(MATCH($B$2:$B$10000,$E$6:$E$22,0)),ROW($C$2:$C$10000)-ROW($C$2)+1),ROWS(L$20:L846))))</f>
        <v>Iliana  Valerio</v>
      </c>
      <c r="I846" s="4">
        <f t="array" ref="I846">IF(ROWS(M$20:M846)&gt;$F$6,"",INDEX(C$2:C$10000,SMALL(IF(ISNUMBER(MATCH($B$2:$B$10000,$E$6:$E$22,0)),ROW($C$2:$C$10000)-ROW($C$2)+1),ROWS(M$20:M846))))</f>
        <v>44</v>
      </c>
      <c r="K846" s="7">
        <f t="array" ref="K846">IF(ROWS(K$20:K846)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846))))</f>
        <v>41944</v>
      </c>
      <c r="L846" s="4" t="str">
        <f t="array" ref="L846">IF(ROWS(L$20:L846)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846))))</f>
        <v>Iliana  Valerio</v>
      </c>
      <c r="M846" s="4">
        <f t="array" ref="M846">IF(ROWS(M$20:M846)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846))))</f>
        <v>44</v>
      </c>
    </row>
    <row r="847" spans="1:13" x14ac:dyDescent="0.25">
      <c r="A847" s="3">
        <v>41855</v>
      </c>
      <c r="B847" s="2" t="s">
        <v>8</v>
      </c>
      <c r="C847" s="2">
        <v>30</v>
      </c>
      <c r="G847" s="7">
        <f t="array" ref="G847">IF(ROWS(K$20:K847)&gt;$F$6,"",INDEX(A$2:A$10000,SMALL(IF(ISNUMBER(MATCH($B$2:$B$10000,$E$6:$E$22,0)),ROW($C$2:$C$10000)-ROW($C$2)+1),ROWS(K$20:K847))))</f>
        <v>41696</v>
      </c>
      <c r="H847" s="4" t="str">
        <f t="array" ref="H847">IF(ROWS(L$20:L847)&gt;$F$6,"",INDEX(B$2:B$10000,SMALL(IF(ISNUMBER(MATCH($B$2:$B$10000,$E$6:$E$22,0)),ROW($C$2:$C$10000)-ROW($C$2)+1),ROWS(L$20:L847))))</f>
        <v>Rosamond  Allard</v>
      </c>
      <c r="I847" s="4">
        <f t="array" ref="I847">IF(ROWS(M$20:M847)&gt;$F$6,"",INDEX(C$2:C$10000,SMALL(IF(ISNUMBER(MATCH($B$2:$B$10000,$E$6:$E$22,0)),ROW($C$2:$C$10000)-ROW($C$2)+1),ROWS(M$20:M847))))</f>
        <v>2</v>
      </c>
      <c r="K847" s="7">
        <f t="array" ref="K847">IF(ROWS(K$20:K847)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847))))</f>
        <v>41696</v>
      </c>
      <c r="L847" s="4" t="str">
        <f t="array" ref="L847">IF(ROWS(L$20:L847)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847))))</f>
        <v>Rosamond  Allard</v>
      </c>
      <c r="M847" s="4">
        <f t="array" ref="M847">IF(ROWS(M$20:M847)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847))))</f>
        <v>2</v>
      </c>
    </row>
    <row r="848" spans="1:13" x14ac:dyDescent="0.25">
      <c r="A848" s="3">
        <v>41725</v>
      </c>
      <c r="B848" s="2" t="s">
        <v>16</v>
      </c>
      <c r="C848" s="2">
        <v>28</v>
      </c>
      <c r="G848" s="7">
        <f t="array" ref="G848">IF(ROWS(K$20:K848)&gt;$F$6,"",INDEX(A$2:A$10000,SMALL(IF(ISNUMBER(MATCH($B$2:$B$10000,$E$6:$E$22,0)),ROW($C$2:$C$10000)-ROW($C$2)+1),ROWS(K$20:K848))))</f>
        <v>41275</v>
      </c>
      <c r="H848" s="4" t="str">
        <f t="array" ref="H848">IF(ROWS(L$20:L848)&gt;$F$6,"",INDEX(B$2:B$10000,SMALL(IF(ISNUMBER(MATCH($B$2:$B$10000,$E$6:$E$22,0)),ROW($C$2:$C$10000)-ROW($C$2)+1),ROWS(L$20:L848))))</f>
        <v>Jenni  Thorton</v>
      </c>
      <c r="I848" s="4">
        <f t="array" ref="I848">IF(ROWS(M$20:M848)&gt;$F$6,"",INDEX(C$2:C$10000,SMALL(IF(ISNUMBER(MATCH($B$2:$B$10000,$E$6:$E$22,0)),ROW($C$2:$C$10000)-ROW($C$2)+1),ROWS(M$20:M848))))</f>
        <v>19</v>
      </c>
      <c r="K848" s="7">
        <f t="array" ref="K848">IF(ROWS(K$20:K848)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848))))</f>
        <v>41275</v>
      </c>
      <c r="L848" s="4" t="str">
        <f t="array" ref="L848">IF(ROWS(L$20:L848)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848))))</f>
        <v>Jenni  Thorton</v>
      </c>
      <c r="M848" s="4">
        <f t="array" ref="M848">IF(ROWS(M$20:M848)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848))))</f>
        <v>19</v>
      </c>
    </row>
    <row r="849" spans="1:13" x14ac:dyDescent="0.25">
      <c r="A849" s="3">
        <v>41854</v>
      </c>
      <c r="B849" s="2" t="s">
        <v>27</v>
      </c>
      <c r="C849" s="2">
        <v>42</v>
      </c>
      <c r="G849" s="7">
        <f t="array" ref="G849">IF(ROWS(K$20:K849)&gt;$F$6,"",INDEX(A$2:A$10000,SMALL(IF(ISNUMBER(MATCH($B$2:$B$10000,$E$6:$E$22,0)),ROW($C$2:$C$10000)-ROW($C$2)+1),ROWS(K$20:K849))))</f>
        <v>41930</v>
      </c>
      <c r="H849" s="4" t="str">
        <f t="array" ref="H849">IF(ROWS(L$20:L849)&gt;$F$6,"",INDEX(B$2:B$10000,SMALL(IF(ISNUMBER(MATCH($B$2:$B$10000,$E$6:$E$22,0)),ROW($C$2:$C$10000)-ROW($C$2)+1),ROWS(L$20:L849))))</f>
        <v>Rosamond  Allard</v>
      </c>
      <c r="I849" s="4">
        <f t="array" ref="I849">IF(ROWS(M$20:M849)&gt;$F$6,"",INDEX(C$2:C$10000,SMALL(IF(ISNUMBER(MATCH($B$2:$B$10000,$E$6:$E$22,0)),ROW($C$2:$C$10000)-ROW($C$2)+1),ROWS(M$20:M849))))</f>
        <v>21</v>
      </c>
      <c r="K849" s="7">
        <f t="array" ref="K849">IF(ROWS(K$20:K849)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849))))</f>
        <v>41930</v>
      </c>
      <c r="L849" s="4" t="str">
        <f t="array" ref="L849">IF(ROWS(L$20:L849)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849))))</f>
        <v>Rosamond  Allard</v>
      </c>
      <c r="M849" s="4">
        <f t="array" ref="M849">IF(ROWS(M$20:M849)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849))))</f>
        <v>21</v>
      </c>
    </row>
    <row r="850" spans="1:13" x14ac:dyDescent="0.25">
      <c r="A850" s="3">
        <v>41428</v>
      </c>
      <c r="B850" s="2" t="s">
        <v>11</v>
      </c>
      <c r="C850" s="2">
        <v>14</v>
      </c>
      <c r="G850" s="7">
        <f t="array" ref="G850">IF(ROWS(K$20:K850)&gt;$F$6,"",INDEX(A$2:A$10000,SMALL(IF(ISNUMBER(MATCH($B$2:$B$10000,$E$6:$E$22,0)),ROW($C$2:$C$10000)-ROW($C$2)+1),ROWS(K$20:K850))))</f>
        <v>41875</v>
      </c>
      <c r="H850" s="4" t="str">
        <f t="array" ref="H850">IF(ROWS(L$20:L850)&gt;$F$6,"",INDEX(B$2:B$10000,SMALL(IF(ISNUMBER(MATCH($B$2:$B$10000,$E$6:$E$22,0)),ROW($C$2:$C$10000)-ROW($C$2)+1),ROWS(L$20:L850))))</f>
        <v>Mickey  Bolduc</v>
      </c>
      <c r="I850" s="4">
        <f t="array" ref="I850">IF(ROWS(M$20:M850)&gt;$F$6,"",INDEX(C$2:C$10000,SMALL(IF(ISNUMBER(MATCH($B$2:$B$10000,$E$6:$E$22,0)),ROW($C$2:$C$10000)-ROW($C$2)+1),ROWS(M$20:M850))))</f>
        <v>26</v>
      </c>
      <c r="K850" s="7">
        <f t="array" ref="K850">IF(ROWS(K$20:K850)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850))))</f>
        <v>41875</v>
      </c>
      <c r="L850" s="4" t="str">
        <f t="array" ref="L850">IF(ROWS(L$20:L850)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850))))</f>
        <v>Mickey  Bolduc</v>
      </c>
      <c r="M850" s="4">
        <f t="array" ref="M850">IF(ROWS(M$20:M850)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850))))</f>
        <v>26</v>
      </c>
    </row>
    <row r="851" spans="1:13" x14ac:dyDescent="0.25">
      <c r="A851" s="3">
        <v>41729</v>
      </c>
      <c r="B851" s="2" t="s">
        <v>28</v>
      </c>
      <c r="C851" s="2">
        <v>35</v>
      </c>
      <c r="G851" s="7">
        <f t="array" ref="G851">IF(ROWS(K$20:K851)&gt;$F$6,"",INDEX(A$2:A$10000,SMALL(IF(ISNUMBER(MATCH($B$2:$B$10000,$E$6:$E$22,0)),ROW($C$2:$C$10000)-ROW($C$2)+1),ROWS(K$20:K851))))</f>
        <v>41522</v>
      </c>
      <c r="H851" s="4" t="str">
        <f t="array" ref="H851">IF(ROWS(L$20:L851)&gt;$F$6,"",INDEX(B$2:B$10000,SMALL(IF(ISNUMBER(MATCH($B$2:$B$10000,$E$6:$E$22,0)),ROW($C$2:$C$10000)-ROW($C$2)+1),ROWS(L$20:L851))))</f>
        <v>Kerrie  Worrell</v>
      </c>
      <c r="I851" s="4">
        <f t="array" ref="I851">IF(ROWS(M$20:M851)&gt;$F$6,"",INDEX(C$2:C$10000,SMALL(IF(ISNUMBER(MATCH($B$2:$B$10000,$E$6:$E$22,0)),ROW($C$2:$C$10000)-ROW($C$2)+1),ROWS(M$20:M851))))</f>
        <v>48</v>
      </c>
      <c r="K851" s="7">
        <f t="array" ref="K851">IF(ROWS(K$20:K851)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851))))</f>
        <v>41522</v>
      </c>
      <c r="L851" s="4" t="str">
        <f t="array" ref="L851">IF(ROWS(L$20:L851)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851))))</f>
        <v>Kerrie  Worrell</v>
      </c>
      <c r="M851" s="4">
        <f t="array" ref="M851">IF(ROWS(M$20:M851)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851))))</f>
        <v>48</v>
      </c>
    </row>
    <row r="852" spans="1:13" x14ac:dyDescent="0.25">
      <c r="A852" s="3">
        <v>41885</v>
      </c>
      <c r="B852" s="2" t="s">
        <v>30</v>
      </c>
      <c r="C852" s="2">
        <v>44</v>
      </c>
      <c r="G852" s="7">
        <f t="array" ref="G852">IF(ROWS(K$20:K852)&gt;$F$6,"",INDEX(A$2:A$10000,SMALL(IF(ISNUMBER(MATCH($B$2:$B$10000,$E$6:$E$22,0)),ROW($C$2:$C$10000)-ROW($C$2)+1),ROWS(K$20:K852))))</f>
        <v>41879</v>
      </c>
      <c r="H852" s="4" t="str">
        <f t="array" ref="H852">IF(ROWS(L$20:L852)&gt;$F$6,"",INDEX(B$2:B$10000,SMALL(IF(ISNUMBER(MATCH($B$2:$B$10000,$E$6:$E$22,0)),ROW($C$2:$C$10000)-ROW($C$2)+1),ROWS(L$20:L852))))</f>
        <v>Iliana  Valerio</v>
      </c>
      <c r="I852" s="4">
        <f t="array" ref="I852">IF(ROWS(M$20:M852)&gt;$F$6,"",INDEX(C$2:C$10000,SMALL(IF(ISNUMBER(MATCH($B$2:$B$10000,$E$6:$E$22,0)),ROW($C$2:$C$10000)-ROW($C$2)+1),ROWS(M$20:M852))))</f>
        <v>20</v>
      </c>
      <c r="K852" s="7">
        <f t="array" ref="K852">IF(ROWS(K$20:K852)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852))))</f>
        <v>41879</v>
      </c>
      <c r="L852" s="4" t="str">
        <f t="array" ref="L852">IF(ROWS(L$20:L852)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852))))</f>
        <v>Iliana  Valerio</v>
      </c>
      <c r="M852" s="4">
        <f t="array" ref="M852">IF(ROWS(M$20:M852)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852))))</f>
        <v>20</v>
      </c>
    </row>
    <row r="853" spans="1:13" x14ac:dyDescent="0.25">
      <c r="A853" s="3">
        <v>41575</v>
      </c>
      <c r="B853" s="2" t="s">
        <v>20</v>
      </c>
      <c r="C853" s="2">
        <v>25</v>
      </c>
      <c r="G853" s="7">
        <f t="array" ref="G853">IF(ROWS(K$20:K853)&gt;$F$6,"",INDEX(A$2:A$10000,SMALL(IF(ISNUMBER(MATCH($B$2:$B$10000,$E$6:$E$22,0)),ROW($C$2:$C$10000)-ROW($C$2)+1),ROWS(K$20:K853))))</f>
        <v>42001</v>
      </c>
      <c r="H853" s="4" t="str">
        <f t="array" ref="H853">IF(ROWS(L$20:L853)&gt;$F$6,"",INDEX(B$2:B$10000,SMALL(IF(ISNUMBER(MATCH($B$2:$B$10000,$E$6:$E$22,0)),ROW($C$2:$C$10000)-ROW($C$2)+1),ROWS(L$20:L853))))</f>
        <v>Galen  Barth</v>
      </c>
      <c r="I853" s="4">
        <f t="array" ref="I853">IF(ROWS(M$20:M853)&gt;$F$6,"",INDEX(C$2:C$10000,SMALL(IF(ISNUMBER(MATCH($B$2:$B$10000,$E$6:$E$22,0)),ROW($C$2:$C$10000)-ROW($C$2)+1),ROWS(M$20:M853))))</f>
        <v>56</v>
      </c>
      <c r="K853" s="7">
        <f t="array" ref="K853">IF(ROWS(K$20:K853)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853))))</f>
        <v>42001</v>
      </c>
      <c r="L853" s="4" t="str">
        <f t="array" ref="L853">IF(ROWS(L$20:L853)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853))))</f>
        <v>Galen  Barth</v>
      </c>
      <c r="M853" s="4">
        <f t="array" ref="M853">IF(ROWS(M$20:M853)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853))))</f>
        <v>56</v>
      </c>
    </row>
    <row r="854" spans="1:13" x14ac:dyDescent="0.25">
      <c r="A854" s="3">
        <v>41286</v>
      </c>
      <c r="B854" s="2" t="s">
        <v>34</v>
      </c>
      <c r="C854" s="2">
        <v>23</v>
      </c>
      <c r="G854" s="7">
        <f t="array" ref="G854">IF(ROWS(K$20:K854)&gt;$F$6,"",INDEX(A$2:A$10000,SMALL(IF(ISNUMBER(MATCH($B$2:$B$10000,$E$6:$E$22,0)),ROW($C$2:$C$10000)-ROW($C$2)+1),ROWS(K$20:K854))))</f>
        <v>41981</v>
      </c>
      <c r="H854" s="4" t="str">
        <f t="array" ref="H854">IF(ROWS(L$20:L854)&gt;$F$6,"",INDEX(B$2:B$10000,SMALL(IF(ISNUMBER(MATCH($B$2:$B$10000,$E$6:$E$22,0)),ROW($C$2:$C$10000)-ROW($C$2)+1),ROWS(L$20:L854))))</f>
        <v>Iliana  Valerio</v>
      </c>
      <c r="I854" s="4">
        <f t="array" ref="I854">IF(ROWS(M$20:M854)&gt;$F$6,"",INDEX(C$2:C$10000,SMALL(IF(ISNUMBER(MATCH($B$2:$B$10000,$E$6:$E$22,0)),ROW($C$2:$C$10000)-ROW($C$2)+1),ROWS(M$20:M854))))</f>
        <v>13</v>
      </c>
      <c r="K854" s="7">
        <f t="array" ref="K854">IF(ROWS(K$20:K854)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854))))</f>
        <v>41981</v>
      </c>
      <c r="L854" s="4" t="str">
        <f t="array" ref="L854">IF(ROWS(L$20:L854)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854))))</f>
        <v>Iliana  Valerio</v>
      </c>
      <c r="M854" s="4">
        <f t="array" ref="M854">IF(ROWS(M$20:M854)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854))))</f>
        <v>13</v>
      </c>
    </row>
    <row r="855" spans="1:13" x14ac:dyDescent="0.25">
      <c r="A855" s="3">
        <v>41436</v>
      </c>
      <c r="B855" s="2" t="s">
        <v>30</v>
      </c>
      <c r="C855" s="2">
        <v>40</v>
      </c>
      <c r="G855" s="7">
        <f t="array" ref="G855">IF(ROWS(K$20:K855)&gt;$F$6,"",INDEX(A$2:A$10000,SMALL(IF(ISNUMBER(MATCH($B$2:$B$10000,$E$6:$E$22,0)),ROW($C$2:$C$10000)-ROW($C$2)+1),ROWS(K$20:K855))))</f>
        <v>41304</v>
      </c>
      <c r="H855" s="4" t="str">
        <f t="array" ref="H855">IF(ROWS(L$20:L855)&gt;$F$6,"",INDEX(B$2:B$10000,SMALL(IF(ISNUMBER(MATCH($B$2:$B$10000,$E$6:$E$22,0)),ROW($C$2:$C$10000)-ROW($C$2)+1),ROWS(L$20:L855))))</f>
        <v>Mickey  Bolduc</v>
      </c>
      <c r="I855" s="4">
        <f t="array" ref="I855">IF(ROWS(M$20:M855)&gt;$F$6,"",INDEX(C$2:C$10000,SMALL(IF(ISNUMBER(MATCH($B$2:$B$10000,$E$6:$E$22,0)),ROW($C$2:$C$10000)-ROW($C$2)+1),ROWS(M$20:M855))))</f>
        <v>22</v>
      </c>
      <c r="K855" s="7">
        <f t="array" ref="K855">IF(ROWS(K$20:K855)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855))))</f>
        <v>41304</v>
      </c>
      <c r="L855" s="4" t="str">
        <f t="array" ref="L855">IF(ROWS(L$20:L855)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855))))</f>
        <v>Mickey  Bolduc</v>
      </c>
      <c r="M855" s="4">
        <f t="array" ref="M855">IF(ROWS(M$20:M855)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855))))</f>
        <v>22</v>
      </c>
    </row>
    <row r="856" spans="1:13" x14ac:dyDescent="0.25">
      <c r="A856" s="3">
        <v>41998</v>
      </c>
      <c r="B856" s="2" t="s">
        <v>32</v>
      </c>
      <c r="C856" s="2">
        <v>24</v>
      </c>
      <c r="G856" s="7">
        <f t="array" ref="G856">IF(ROWS(K$20:K856)&gt;$F$6,"",INDEX(A$2:A$10000,SMALL(IF(ISNUMBER(MATCH($B$2:$B$10000,$E$6:$E$22,0)),ROW($C$2:$C$10000)-ROW($C$2)+1),ROWS(K$20:K856))))</f>
        <v>41820</v>
      </c>
      <c r="H856" s="4" t="str">
        <f t="array" ref="H856">IF(ROWS(L$20:L856)&gt;$F$6,"",INDEX(B$2:B$10000,SMALL(IF(ISNUMBER(MATCH($B$2:$B$10000,$E$6:$E$22,0)),ROW($C$2:$C$10000)-ROW($C$2)+1),ROWS(L$20:L856))))</f>
        <v>Mickey  Bolduc</v>
      </c>
      <c r="I856" s="4">
        <f t="array" ref="I856">IF(ROWS(M$20:M856)&gt;$F$6,"",INDEX(C$2:C$10000,SMALL(IF(ISNUMBER(MATCH($B$2:$B$10000,$E$6:$E$22,0)),ROW($C$2:$C$10000)-ROW($C$2)+1),ROWS(M$20:M856))))</f>
        <v>11</v>
      </c>
      <c r="K856" s="7">
        <f t="array" ref="K856">IF(ROWS(K$20:K856)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856))))</f>
        <v>41820</v>
      </c>
      <c r="L856" s="4" t="str">
        <f t="array" ref="L856">IF(ROWS(L$20:L856)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856))))</f>
        <v>Mickey  Bolduc</v>
      </c>
      <c r="M856" s="4">
        <f t="array" ref="M856">IF(ROWS(M$20:M856)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856))))</f>
        <v>11</v>
      </c>
    </row>
    <row r="857" spans="1:13" x14ac:dyDescent="0.25">
      <c r="A857" s="3">
        <v>41782</v>
      </c>
      <c r="B857" s="2" t="s">
        <v>26</v>
      </c>
      <c r="C857" s="2">
        <v>45</v>
      </c>
      <c r="G857" s="7">
        <f t="array" ref="G857">IF(ROWS(K$20:K857)&gt;$F$6,"",INDEX(A$2:A$10000,SMALL(IF(ISNUMBER(MATCH($B$2:$B$10000,$E$6:$E$22,0)),ROW($C$2:$C$10000)-ROW($C$2)+1),ROWS(K$20:K857))))</f>
        <v>41735</v>
      </c>
      <c r="H857" s="4" t="str">
        <f t="array" ref="H857">IF(ROWS(L$20:L857)&gt;$F$6,"",INDEX(B$2:B$10000,SMALL(IF(ISNUMBER(MATCH($B$2:$B$10000,$E$6:$E$22,0)),ROW($C$2:$C$10000)-ROW($C$2)+1),ROWS(L$20:L857))))</f>
        <v>Iliana  Valerio</v>
      </c>
      <c r="I857" s="4">
        <f t="array" ref="I857">IF(ROWS(M$20:M857)&gt;$F$6,"",INDEX(C$2:C$10000,SMALL(IF(ISNUMBER(MATCH($B$2:$B$10000,$E$6:$E$22,0)),ROW($C$2:$C$10000)-ROW($C$2)+1),ROWS(M$20:M857))))</f>
        <v>22</v>
      </c>
      <c r="K857" s="7">
        <f t="array" ref="K857">IF(ROWS(K$20:K857)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857))))</f>
        <v>41735</v>
      </c>
      <c r="L857" s="4" t="str">
        <f t="array" ref="L857">IF(ROWS(L$20:L857)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857))))</f>
        <v>Iliana  Valerio</v>
      </c>
      <c r="M857" s="4">
        <f t="array" ref="M857">IF(ROWS(M$20:M857)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857))))</f>
        <v>22</v>
      </c>
    </row>
    <row r="858" spans="1:13" x14ac:dyDescent="0.25">
      <c r="A858" s="3">
        <v>41408</v>
      </c>
      <c r="B858" s="2" t="s">
        <v>51</v>
      </c>
      <c r="C858" s="2">
        <v>36</v>
      </c>
      <c r="G858" s="7">
        <f t="array" ref="G858">IF(ROWS(K$20:K858)&gt;$F$6,"",INDEX(A$2:A$10000,SMALL(IF(ISNUMBER(MATCH($B$2:$B$10000,$E$6:$E$22,0)),ROW($C$2:$C$10000)-ROW($C$2)+1),ROWS(K$20:K858))))</f>
        <v>41916</v>
      </c>
      <c r="H858" s="4" t="str">
        <f t="array" ref="H858">IF(ROWS(L$20:L858)&gt;$F$6,"",INDEX(B$2:B$10000,SMALL(IF(ISNUMBER(MATCH($B$2:$B$10000,$E$6:$E$22,0)),ROW($C$2:$C$10000)-ROW($C$2)+1),ROWS(L$20:L858))))</f>
        <v>Rosamond  Allard</v>
      </c>
      <c r="I858" s="4">
        <f t="array" ref="I858">IF(ROWS(M$20:M858)&gt;$F$6,"",INDEX(C$2:C$10000,SMALL(IF(ISNUMBER(MATCH($B$2:$B$10000,$E$6:$E$22,0)),ROW($C$2:$C$10000)-ROW($C$2)+1),ROWS(M$20:M858))))</f>
        <v>6</v>
      </c>
      <c r="K858" s="7">
        <f t="array" ref="K858">IF(ROWS(K$20:K858)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858))))</f>
        <v>41916</v>
      </c>
      <c r="L858" s="4" t="str">
        <f t="array" ref="L858">IF(ROWS(L$20:L858)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858))))</f>
        <v>Rosamond  Allard</v>
      </c>
      <c r="M858" s="4">
        <f t="array" ref="M858">IF(ROWS(M$20:M858)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858))))</f>
        <v>6</v>
      </c>
    </row>
    <row r="859" spans="1:13" x14ac:dyDescent="0.25">
      <c r="A859" s="3">
        <v>41855</v>
      </c>
      <c r="B859" s="2" t="s">
        <v>29</v>
      </c>
      <c r="C859" s="2">
        <v>38</v>
      </c>
      <c r="G859" s="7">
        <f t="array" ref="G859">IF(ROWS(K$20:K859)&gt;$F$6,"",INDEX(A$2:A$10000,SMALL(IF(ISNUMBER(MATCH($B$2:$B$10000,$E$6:$E$22,0)),ROW($C$2:$C$10000)-ROW($C$2)+1),ROWS(K$20:K859))))</f>
        <v>41907</v>
      </c>
      <c r="H859" s="4" t="str">
        <f t="array" ref="H859">IF(ROWS(L$20:L859)&gt;$F$6,"",INDEX(B$2:B$10000,SMALL(IF(ISNUMBER(MATCH($B$2:$B$10000,$E$6:$E$22,0)),ROW($C$2:$C$10000)-ROW($C$2)+1),ROWS(L$20:L859))))</f>
        <v>Jenni  Thorton</v>
      </c>
      <c r="I859" s="4">
        <f t="array" ref="I859">IF(ROWS(M$20:M859)&gt;$F$6,"",INDEX(C$2:C$10000,SMALL(IF(ISNUMBER(MATCH($B$2:$B$10000,$E$6:$E$22,0)),ROW($C$2:$C$10000)-ROW($C$2)+1),ROWS(M$20:M859))))</f>
        <v>20</v>
      </c>
      <c r="K859" s="7">
        <f t="array" ref="K859">IF(ROWS(K$20:K859)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859))))</f>
        <v>41907</v>
      </c>
      <c r="L859" s="4" t="str">
        <f t="array" ref="L859">IF(ROWS(L$20:L859)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859))))</f>
        <v>Jenni  Thorton</v>
      </c>
      <c r="M859" s="4">
        <f t="array" ref="M859">IF(ROWS(M$20:M859)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859))))</f>
        <v>20</v>
      </c>
    </row>
    <row r="860" spans="1:13" x14ac:dyDescent="0.25">
      <c r="A860" s="3">
        <v>41952</v>
      </c>
      <c r="B860" s="2" t="s">
        <v>48</v>
      </c>
      <c r="C860" s="2">
        <v>46</v>
      </c>
      <c r="G860" s="7">
        <f t="array" ref="G860">IF(ROWS(K$20:K860)&gt;$F$6,"",INDEX(A$2:A$10000,SMALL(IF(ISNUMBER(MATCH($B$2:$B$10000,$E$6:$E$22,0)),ROW($C$2:$C$10000)-ROW($C$2)+1),ROWS(K$20:K860))))</f>
        <v>41485</v>
      </c>
      <c r="H860" s="4" t="str">
        <f t="array" ref="H860">IF(ROWS(L$20:L860)&gt;$F$6,"",INDEX(B$2:B$10000,SMALL(IF(ISNUMBER(MATCH($B$2:$B$10000,$E$6:$E$22,0)),ROW($C$2:$C$10000)-ROW($C$2)+1),ROWS(L$20:L860))))</f>
        <v>Galen  Barth</v>
      </c>
      <c r="I860" s="4">
        <f t="array" ref="I860">IF(ROWS(M$20:M860)&gt;$F$6,"",INDEX(C$2:C$10000,SMALL(IF(ISNUMBER(MATCH($B$2:$B$10000,$E$6:$E$22,0)),ROW($C$2:$C$10000)-ROW($C$2)+1),ROWS(M$20:M860))))</f>
        <v>7</v>
      </c>
      <c r="K860" s="7">
        <f t="array" ref="K860">IF(ROWS(K$20:K860)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860))))</f>
        <v>41485</v>
      </c>
      <c r="L860" s="4" t="str">
        <f t="array" ref="L860">IF(ROWS(L$20:L860)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860))))</f>
        <v>Galen  Barth</v>
      </c>
      <c r="M860" s="4">
        <f t="array" ref="M860">IF(ROWS(M$20:M860)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860))))</f>
        <v>7</v>
      </c>
    </row>
    <row r="861" spans="1:13" x14ac:dyDescent="0.25">
      <c r="A861" s="3">
        <v>41595</v>
      </c>
      <c r="B861" s="2" t="s">
        <v>5</v>
      </c>
      <c r="C861" s="2">
        <v>13</v>
      </c>
      <c r="G861" s="7">
        <f t="array" ref="G861">IF(ROWS(K$20:K861)&gt;$F$6,"",INDEX(A$2:A$10000,SMALL(IF(ISNUMBER(MATCH($B$2:$B$10000,$E$6:$E$22,0)),ROW($C$2:$C$10000)-ROW($C$2)+1),ROWS(K$20:K861))))</f>
        <v>41706</v>
      </c>
      <c r="H861" s="4" t="str">
        <f t="array" ref="H861">IF(ROWS(L$20:L861)&gt;$F$6,"",INDEX(B$2:B$10000,SMALL(IF(ISNUMBER(MATCH($B$2:$B$10000,$E$6:$E$22,0)),ROW($C$2:$C$10000)-ROW($C$2)+1),ROWS(L$20:L861))))</f>
        <v>Galen  Barth</v>
      </c>
      <c r="I861" s="4">
        <f t="array" ref="I861">IF(ROWS(M$20:M861)&gt;$F$6,"",INDEX(C$2:C$10000,SMALL(IF(ISNUMBER(MATCH($B$2:$B$10000,$E$6:$E$22,0)),ROW($C$2:$C$10000)-ROW($C$2)+1),ROWS(M$20:M861))))</f>
        <v>39</v>
      </c>
      <c r="K861" s="7">
        <f t="array" ref="K861">IF(ROWS(K$20:K861)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861))))</f>
        <v>41706</v>
      </c>
      <c r="L861" s="4" t="str">
        <f t="array" ref="L861">IF(ROWS(L$20:L861)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861))))</f>
        <v>Galen  Barth</v>
      </c>
      <c r="M861" s="4">
        <f t="array" ref="M861">IF(ROWS(M$20:M861)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861))))</f>
        <v>39</v>
      </c>
    </row>
    <row r="862" spans="1:13" x14ac:dyDescent="0.25">
      <c r="A862" s="3">
        <v>41942</v>
      </c>
      <c r="B862" s="2" t="s">
        <v>11</v>
      </c>
      <c r="C862" s="2">
        <v>17</v>
      </c>
      <c r="G862" s="7">
        <f t="array" ref="G862">IF(ROWS(K$20:K862)&gt;$F$6,"",INDEX(A$2:A$10000,SMALL(IF(ISNUMBER(MATCH($B$2:$B$10000,$E$6:$E$22,0)),ROW($C$2:$C$10000)-ROW($C$2)+1),ROWS(K$20:K862))))</f>
        <v>41994</v>
      </c>
      <c r="H862" s="4" t="str">
        <f t="array" ref="H862">IF(ROWS(L$20:L862)&gt;$F$6,"",INDEX(B$2:B$10000,SMALL(IF(ISNUMBER(MATCH($B$2:$B$10000,$E$6:$E$22,0)),ROW($C$2:$C$10000)-ROW($C$2)+1),ROWS(L$20:L862))))</f>
        <v>Iliana  Valerio</v>
      </c>
      <c r="I862" s="4">
        <f t="array" ref="I862">IF(ROWS(M$20:M862)&gt;$F$6,"",INDEX(C$2:C$10000,SMALL(IF(ISNUMBER(MATCH($B$2:$B$10000,$E$6:$E$22,0)),ROW($C$2:$C$10000)-ROW($C$2)+1),ROWS(M$20:M862))))</f>
        <v>26</v>
      </c>
      <c r="K862" s="7">
        <f t="array" ref="K862">IF(ROWS(K$20:K862)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862))))</f>
        <v>41994</v>
      </c>
      <c r="L862" s="4" t="str">
        <f t="array" ref="L862">IF(ROWS(L$20:L862)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862))))</f>
        <v>Iliana  Valerio</v>
      </c>
      <c r="M862" s="4">
        <f t="array" ref="M862">IF(ROWS(M$20:M862)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862))))</f>
        <v>26</v>
      </c>
    </row>
    <row r="863" spans="1:13" x14ac:dyDescent="0.25">
      <c r="A863" s="3">
        <v>41828</v>
      </c>
      <c r="B863" s="2" t="s">
        <v>25</v>
      </c>
      <c r="C863" s="2">
        <v>13</v>
      </c>
      <c r="G863" s="7">
        <f t="array" ref="G863">IF(ROWS(K$20:K863)&gt;$F$6,"",INDEX(A$2:A$10000,SMALL(IF(ISNUMBER(MATCH($B$2:$B$10000,$E$6:$E$22,0)),ROW($C$2:$C$10000)-ROW($C$2)+1),ROWS(K$20:K863))))</f>
        <v>41793</v>
      </c>
      <c r="H863" s="4" t="str">
        <f t="array" ref="H863">IF(ROWS(L$20:L863)&gt;$F$6,"",INDEX(B$2:B$10000,SMALL(IF(ISNUMBER(MATCH($B$2:$B$10000,$E$6:$E$22,0)),ROW($C$2:$C$10000)-ROW($C$2)+1),ROWS(L$20:L863))))</f>
        <v>Mickey  Bolduc</v>
      </c>
      <c r="I863" s="4">
        <f t="array" ref="I863">IF(ROWS(M$20:M863)&gt;$F$6,"",INDEX(C$2:C$10000,SMALL(IF(ISNUMBER(MATCH($B$2:$B$10000,$E$6:$E$22,0)),ROW($C$2:$C$10000)-ROW($C$2)+1),ROWS(M$20:M863))))</f>
        <v>48</v>
      </c>
      <c r="K863" s="7">
        <f t="array" ref="K863">IF(ROWS(K$20:K863)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863))))</f>
        <v>41793</v>
      </c>
      <c r="L863" s="4" t="str">
        <f t="array" ref="L863">IF(ROWS(L$20:L863)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863))))</f>
        <v>Mickey  Bolduc</v>
      </c>
      <c r="M863" s="4">
        <f t="array" ref="M863">IF(ROWS(M$20:M863)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863))))</f>
        <v>48</v>
      </c>
    </row>
    <row r="864" spans="1:13" x14ac:dyDescent="0.25">
      <c r="A864" s="3">
        <v>41979</v>
      </c>
      <c r="B864" s="2" t="s">
        <v>12</v>
      </c>
      <c r="C864" s="2">
        <v>19</v>
      </c>
      <c r="G864" s="7">
        <f t="array" ref="G864">IF(ROWS(K$20:K864)&gt;$F$6,"",INDEX(A$2:A$10000,SMALL(IF(ISNUMBER(MATCH($B$2:$B$10000,$E$6:$E$22,0)),ROW($C$2:$C$10000)-ROW($C$2)+1),ROWS(K$20:K864))))</f>
        <v>41982</v>
      </c>
      <c r="H864" s="4" t="str">
        <f t="array" ref="H864">IF(ROWS(L$20:L864)&gt;$F$6,"",INDEX(B$2:B$10000,SMALL(IF(ISNUMBER(MATCH($B$2:$B$10000,$E$6:$E$22,0)),ROW($C$2:$C$10000)-ROW($C$2)+1),ROWS(L$20:L864))))</f>
        <v>Iliana  Valerio</v>
      </c>
      <c r="I864" s="4">
        <f t="array" ref="I864">IF(ROWS(M$20:M864)&gt;$F$6,"",INDEX(C$2:C$10000,SMALL(IF(ISNUMBER(MATCH($B$2:$B$10000,$E$6:$E$22,0)),ROW($C$2:$C$10000)-ROW($C$2)+1),ROWS(M$20:M864))))</f>
        <v>15</v>
      </c>
      <c r="K864" s="7">
        <f t="array" ref="K864">IF(ROWS(K$20:K864)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864))))</f>
        <v>41982</v>
      </c>
      <c r="L864" s="4" t="str">
        <f t="array" ref="L864">IF(ROWS(L$20:L864)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864))))</f>
        <v>Iliana  Valerio</v>
      </c>
      <c r="M864" s="4">
        <f t="array" ref="M864">IF(ROWS(M$20:M864)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864))))</f>
        <v>15</v>
      </c>
    </row>
    <row r="865" spans="1:13" x14ac:dyDescent="0.25">
      <c r="A865" s="3">
        <v>41828</v>
      </c>
      <c r="B865" s="2" t="s">
        <v>48</v>
      </c>
      <c r="C865" s="2">
        <v>17</v>
      </c>
      <c r="G865" s="7">
        <f t="array" ref="G865">IF(ROWS(K$20:K865)&gt;$F$6,"",INDEX(A$2:A$10000,SMALL(IF(ISNUMBER(MATCH($B$2:$B$10000,$E$6:$E$22,0)),ROW($C$2:$C$10000)-ROW($C$2)+1),ROWS(K$20:K865))))</f>
        <v>41729</v>
      </c>
      <c r="H865" s="4" t="str">
        <f t="array" ref="H865">IF(ROWS(L$20:L865)&gt;$F$6,"",INDEX(B$2:B$10000,SMALL(IF(ISNUMBER(MATCH($B$2:$B$10000,$E$6:$E$22,0)),ROW($C$2:$C$10000)-ROW($C$2)+1),ROWS(L$20:L865))))</f>
        <v>Galen  Barth</v>
      </c>
      <c r="I865" s="4">
        <f t="array" ref="I865">IF(ROWS(M$20:M865)&gt;$F$6,"",INDEX(C$2:C$10000,SMALL(IF(ISNUMBER(MATCH($B$2:$B$10000,$E$6:$E$22,0)),ROW($C$2:$C$10000)-ROW($C$2)+1),ROWS(M$20:M865))))</f>
        <v>26</v>
      </c>
      <c r="K865" s="7">
        <f t="array" ref="K865">IF(ROWS(K$20:K865)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865))))</f>
        <v>41729</v>
      </c>
      <c r="L865" s="4" t="str">
        <f t="array" ref="L865">IF(ROWS(L$20:L865)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865))))</f>
        <v>Galen  Barth</v>
      </c>
      <c r="M865" s="4">
        <f t="array" ref="M865">IF(ROWS(M$20:M865)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865))))</f>
        <v>26</v>
      </c>
    </row>
    <row r="866" spans="1:13" x14ac:dyDescent="0.25">
      <c r="A866" s="3">
        <v>41824</v>
      </c>
      <c r="B866" s="2" t="s">
        <v>5</v>
      </c>
      <c r="C866" s="2">
        <v>47</v>
      </c>
      <c r="G866" s="7">
        <f t="array" ref="G866">IF(ROWS(K$20:K866)&gt;$F$6,"",INDEX(A$2:A$10000,SMALL(IF(ISNUMBER(MATCH($B$2:$B$10000,$E$6:$E$22,0)),ROW($C$2:$C$10000)-ROW($C$2)+1),ROWS(K$20:K866))))</f>
        <v>41324</v>
      </c>
      <c r="H866" s="4" t="str">
        <f t="array" ref="H866">IF(ROWS(L$20:L866)&gt;$F$6,"",INDEX(B$2:B$10000,SMALL(IF(ISNUMBER(MATCH($B$2:$B$10000,$E$6:$E$22,0)),ROW($C$2:$C$10000)-ROW($C$2)+1),ROWS(L$20:L866))))</f>
        <v>Iliana  Valerio</v>
      </c>
      <c r="I866" s="4">
        <f t="array" ref="I866">IF(ROWS(M$20:M866)&gt;$F$6,"",INDEX(C$2:C$10000,SMALL(IF(ISNUMBER(MATCH($B$2:$B$10000,$E$6:$E$22,0)),ROW($C$2:$C$10000)-ROW($C$2)+1),ROWS(M$20:M866))))</f>
        <v>31</v>
      </c>
      <c r="K866" s="7">
        <f t="array" ref="K866">IF(ROWS(K$20:K866)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866))))</f>
        <v>41324</v>
      </c>
      <c r="L866" s="4" t="str">
        <f t="array" ref="L866">IF(ROWS(L$20:L866)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866))))</f>
        <v>Iliana  Valerio</v>
      </c>
      <c r="M866" s="4">
        <f t="array" ref="M866">IF(ROWS(M$20:M866)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866))))</f>
        <v>31</v>
      </c>
    </row>
    <row r="867" spans="1:13" x14ac:dyDescent="0.25">
      <c r="A867" s="3">
        <v>41907</v>
      </c>
      <c r="B867" s="2" t="s">
        <v>23</v>
      </c>
      <c r="C867" s="2">
        <v>12</v>
      </c>
      <c r="G867" s="7">
        <f t="array" ref="G867">IF(ROWS(K$20:K867)&gt;$F$6,"",INDEX(A$2:A$10000,SMALL(IF(ISNUMBER(MATCH($B$2:$B$10000,$E$6:$E$22,0)),ROW($C$2:$C$10000)-ROW($C$2)+1),ROWS(K$20:K867))))</f>
        <v>41373</v>
      </c>
      <c r="H867" s="4" t="str">
        <f t="array" ref="H867">IF(ROWS(L$20:L867)&gt;$F$6,"",INDEX(B$2:B$10000,SMALL(IF(ISNUMBER(MATCH($B$2:$B$10000,$E$6:$E$22,0)),ROW($C$2:$C$10000)-ROW($C$2)+1),ROWS(L$20:L867))))</f>
        <v>Jenni  Thorton</v>
      </c>
      <c r="I867" s="4">
        <f t="array" ref="I867">IF(ROWS(M$20:M867)&gt;$F$6,"",INDEX(C$2:C$10000,SMALL(IF(ISNUMBER(MATCH($B$2:$B$10000,$E$6:$E$22,0)),ROW($C$2:$C$10000)-ROW($C$2)+1),ROWS(M$20:M867))))</f>
        <v>35</v>
      </c>
      <c r="K867" s="7">
        <f t="array" ref="K867">IF(ROWS(K$20:K867)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867))))</f>
        <v>41373</v>
      </c>
      <c r="L867" s="4" t="str">
        <f t="array" ref="L867">IF(ROWS(L$20:L867)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867))))</f>
        <v>Jenni  Thorton</v>
      </c>
      <c r="M867" s="4">
        <f t="array" ref="M867">IF(ROWS(M$20:M867)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867))))</f>
        <v>35</v>
      </c>
    </row>
    <row r="868" spans="1:13" x14ac:dyDescent="0.25">
      <c r="A868" s="3">
        <v>41656</v>
      </c>
      <c r="B868" s="2" t="s">
        <v>2</v>
      </c>
      <c r="C868" s="2">
        <v>46</v>
      </c>
      <c r="G868" s="7">
        <f t="array" ref="G868">IF(ROWS(K$20:K868)&gt;$F$6,"",INDEX(A$2:A$10000,SMALL(IF(ISNUMBER(MATCH($B$2:$B$10000,$E$6:$E$22,0)),ROW($C$2:$C$10000)-ROW($C$2)+1),ROWS(K$20:K868))))</f>
        <v>41944</v>
      </c>
      <c r="H868" s="4" t="str">
        <f t="array" ref="H868">IF(ROWS(L$20:L868)&gt;$F$6,"",INDEX(B$2:B$10000,SMALL(IF(ISNUMBER(MATCH($B$2:$B$10000,$E$6:$E$22,0)),ROW($C$2:$C$10000)-ROW($C$2)+1),ROWS(L$20:L868))))</f>
        <v>Mickey  Bolduc</v>
      </c>
      <c r="I868" s="4">
        <f t="array" ref="I868">IF(ROWS(M$20:M868)&gt;$F$6,"",INDEX(C$2:C$10000,SMALL(IF(ISNUMBER(MATCH($B$2:$B$10000,$E$6:$E$22,0)),ROW($C$2:$C$10000)-ROW($C$2)+1),ROWS(M$20:M868))))</f>
        <v>31</v>
      </c>
      <c r="K868" s="7">
        <f t="array" ref="K868">IF(ROWS(K$20:K868)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868))))</f>
        <v>41944</v>
      </c>
      <c r="L868" s="4" t="str">
        <f t="array" ref="L868">IF(ROWS(L$20:L868)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868))))</f>
        <v>Mickey  Bolduc</v>
      </c>
      <c r="M868" s="4">
        <f t="array" ref="M868">IF(ROWS(M$20:M868)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868))))</f>
        <v>31</v>
      </c>
    </row>
    <row r="869" spans="1:13" x14ac:dyDescent="0.25">
      <c r="A869" s="3">
        <v>41515</v>
      </c>
      <c r="B869" s="2" t="s">
        <v>50</v>
      </c>
      <c r="C869" s="2">
        <v>22</v>
      </c>
      <c r="G869" s="7">
        <f t="array" ref="G869">IF(ROWS(K$20:K869)&gt;$F$6,"",INDEX(A$2:A$10000,SMALL(IF(ISNUMBER(MATCH($B$2:$B$10000,$E$6:$E$22,0)),ROW($C$2:$C$10000)-ROW($C$2)+1),ROWS(K$20:K869))))</f>
        <v>41746</v>
      </c>
      <c r="H869" s="4" t="str">
        <f t="array" ref="H869">IF(ROWS(L$20:L869)&gt;$F$6,"",INDEX(B$2:B$10000,SMALL(IF(ISNUMBER(MATCH($B$2:$B$10000,$E$6:$E$22,0)),ROW($C$2:$C$10000)-ROW($C$2)+1),ROWS(L$20:L869))))</f>
        <v>Mickey  Bolduc</v>
      </c>
      <c r="I869" s="4">
        <f t="array" ref="I869">IF(ROWS(M$20:M869)&gt;$F$6,"",INDEX(C$2:C$10000,SMALL(IF(ISNUMBER(MATCH($B$2:$B$10000,$E$6:$E$22,0)),ROW($C$2:$C$10000)-ROW($C$2)+1),ROWS(M$20:M869))))</f>
        <v>33</v>
      </c>
      <c r="K869" s="7">
        <f t="array" ref="K869">IF(ROWS(K$20:K869)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869))))</f>
        <v>41746</v>
      </c>
      <c r="L869" s="4" t="str">
        <f t="array" ref="L869">IF(ROWS(L$20:L869)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869))))</f>
        <v>Mickey  Bolduc</v>
      </c>
      <c r="M869" s="4">
        <f t="array" ref="M869">IF(ROWS(M$20:M869)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869))))</f>
        <v>33</v>
      </c>
    </row>
    <row r="870" spans="1:13" x14ac:dyDescent="0.25">
      <c r="A870" s="3">
        <v>41321</v>
      </c>
      <c r="B870" s="2" t="s">
        <v>25</v>
      </c>
      <c r="C870" s="2">
        <v>47</v>
      </c>
      <c r="G870" s="7">
        <f t="array" ref="G870">IF(ROWS(K$20:K870)&gt;$F$6,"",INDEX(A$2:A$10000,SMALL(IF(ISNUMBER(MATCH($B$2:$B$10000,$E$6:$E$22,0)),ROW($C$2:$C$10000)-ROW($C$2)+1),ROWS(K$20:K870))))</f>
        <v>41660</v>
      </c>
      <c r="H870" s="4" t="str">
        <f t="array" ref="H870">IF(ROWS(L$20:L870)&gt;$F$6,"",INDEX(B$2:B$10000,SMALL(IF(ISNUMBER(MATCH($B$2:$B$10000,$E$6:$E$22,0)),ROW($C$2:$C$10000)-ROW($C$2)+1),ROWS(L$20:L870))))</f>
        <v>Iliana  Valerio</v>
      </c>
      <c r="I870" s="4">
        <f t="array" ref="I870">IF(ROWS(M$20:M870)&gt;$F$6,"",INDEX(C$2:C$10000,SMALL(IF(ISNUMBER(MATCH($B$2:$B$10000,$E$6:$E$22,0)),ROW($C$2:$C$10000)-ROW($C$2)+1),ROWS(M$20:M870))))</f>
        <v>9</v>
      </c>
      <c r="K870" s="7">
        <f t="array" ref="K870">IF(ROWS(K$20:K870)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870))))</f>
        <v>41660</v>
      </c>
      <c r="L870" s="4" t="str">
        <f t="array" ref="L870">IF(ROWS(L$20:L870)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870))))</f>
        <v>Iliana  Valerio</v>
      </c>
      <c r="M870" s="4">
        <f t="array" ref="M870">IF(ROWS(M$20:M870)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870))))</f>
        <v>9</v>
      </c>
    </row>
    <row r="871" spans="1:13" x14ac:dyDescent="0.25">
      <c r="A871" s="3">
        <v>41578</v>
      </c>
      <c r="B871" s="2" t="s">
        <v>35</v>
      </c>
      <c r="C871" s="2">
        <v>32</v>
      </c>
      <c r="G871" s="7">
        <f t="array" ref="G871">IF(ROWS(K$20:K871)&gt;$F$6,"",INDEX(A$2:A$10000,SMALL(IF(ISNUMBER(MATCH($B$2:$B$10000,$E$6:$E$22,0)),ROW($C$2:$C$10000)-ROW($C$2)+1),ROWS(K$20:K871))))</f>
        <v>41278</v>
      </c>
      <c r="H871" s="4" t="str">
        <f t="array" ref="H871">IF(ROWS(L$20:L871)&gt;$F$6,"",INDEX(B$2:B$10000,SMALL(IF(ISNUMBER(MATCH($B$2:$B$10000,$E$6:$E$22,0)),ROW($C$2:$C$10000)-ROW($C$2)+1),ROWS(L$20:L871))))</f>
        <v>Galen  Barth</v>
      </c>
      <c r="I871" s="4">
        <f t="array" ref="I871">IF(ROWS(M$20:M871)&gt;$F$6,"",INDEX(C$2:C$10000,SMALL(IF(ISNUMBER(MATCH($B$2:$B$10000,$E$6:$E$22,0)),ROW($C$2:$C$10000)-ROW($C$2)+1),ROWS(M$20:M871))))</f>
        <v>20</v>
      </c>
      <c r="K871" s="7">
        <f t="array" ref="K871">IF(ROWS(K$20:K871)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871))))</f>
        <v>41278</v>
      </c>
      <c r="L871" s="4" t="str">
        <f t="array" ref="L871">IF(ROWS(L$20:L871)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871))))</f>
        <v>Galen  Barth</v>
      </c>
      <c r="M871" s="4">
        <f t="array" ref="M871">IF(ROWS(M$20:M871)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871))))</f>
        <v>20</v>
      </c>
    </row>
    <row r="872" spans="1:13" x14ac:dyDescent="0.25">
      <c r="A872" s="3">
        <v>41855</v>
      </c>
      <c r="B872" s="2" t="s">
        <v>5</v>
      </c>
      <c r="C872" s="2">
        <v>21</v>
      </c>
      <c r="G872" s="7">
        <f t="array" ref="G872">IF(ROWS(K$20:K872)&gt;$F$6,"",INDEX(A$2:A$10000,SMALL(IF(ISNUMBER(MATCH($B$2:$B$10000,$E$6:$E$22,0)),ROW($C$2:$C$10000)-ROW($C$2)+1),ROWS(K$20:K872))))</f>
        <v>41318</v>
      </c>
      <c r="H872" s="4" t="str">
        <f t="array" ref="H872">IF(ROWS(L$20:L872)&gt;$F$6,"",INDEX(B$2:B$10000,SMALL(IF(ISNUMBER(MATCH($B$2:$B$10000,$E$6:$E$22,0)),ROW($C$2:$C$10000)-ROW($C$2)+1),ROWS(L$20:L872))))</f>
        <v>Galen  Barth</v>
      </c>
      <c r="I872" s="4">
        <f t="array" ref="I872">IF(ROWS(M$20:M872)&gt;$F$6,"",INDEX(C$2:C$10000,SMALL(IF(ISNUMBER(MATCH($B$2:$B$10000,$E$6:$E$22,0)),ROW($C$2:$C$10000)-ROW($C$2)+1),ROWS(M$20:M872))))</f>
        <v>23</v>
      </c>
      <c r="K872" s="7">
        <f t="array" ref="K872">IF(ROWS(K$20:K872)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872))))</f>
        <v>41318</v>
      </c>
      <c r="L872" s="4" t="str">
        <f t="array" ref="L872">IF(ROWS(L$20:L872)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872))))</f>
        <v>Galen  Barth</v>
      </c>
      <c r="M872" s="4">
        <f t="array" ref="M872">IF(ROWS(M$20:M872)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872))))</f>
        <v>23</v>
      </c>
    </row>
    <row r="873" spans="1:13" x14ac:dyDescent="0.25">
      <c r="A873" s="3">
        <v>41524</v>
      </c>
      <c r="B873" s="2" t="s">
        <v>24</v>
      </c>
      <c r="C873" s="2">
        <v>10</v>
      </c>
      <c r="G873" s="7">
        <f t="array" ref="G873">IF(ROWS(K$20:K873)&gt;$F$6,"",INDEX(A$2:A$10000,SMALL(IF(ISNUMBER(MATCH($B$2:$B$10000,$E$6:$E$22,0)),ROW($C$2:$C$10000)-ROW($C$2)+1),ROWS(K$20:K873))))</f>
        <v>41376</v>
      </c>
      <c r="H873" s="4" t="str">
        <f t="array" ref="H873">IF(ROWS(L$20:L873)&gt;$F$6,"",INDEX(B$2:B$10000,SMALL(IF(ISNUMBER(MATCH($B$2:$B$10000,$E$6:$E$22,0)),ROW($C$2:$C$10000)-ROW($C$2)+1),ROWS(L$20:L873))))</f>
        <v>Galen  Barth</v>
      </c>
      <c r="I873" s="4">
        <f t="array" ref="I873">IF(ROWS(M$20:M873)&gt;$F$6,"",INDEX(C$2:C$10000,SMALL(IF(ISNUMBER(MATCH($B$2:$B$10000,$E$6:$E$22,0)),ROW($C$2:$C$10000)-ROW($C$2)+1),ROWS(M$20:M873))))</f>
        <v>35</v>
      </c>
      <c r="K873" s="7">
        <f t="array" ref="K873">IF(ROWS(K$20:K873)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873))))</f>
        <v>41376</v>
      </c>
      <c r="L873" s="4" t="str">
        <f t="array" ref="L873">IF(ROWS(L$20:L873)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873))))</f>
        <v>Galen  Barth</v>
      </c>
      <c r="M873" s="4">
        <f t="array" ref="M873">IF(ROWS(M$20:M873)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873))))</f>
        <v>35</v>
      </c>
    </row>
    <row r="874" spans="1:13" x14ac:dyDescent="0.25">
      <c r="A874" s="3">
        <v>41782</v>
      </c>
      <c r="B874" s="2" t="s">
        <v>51</v>
      </c>
      <c r="C874" s="2">
        <v>32</v>
      </c>
      <c r="G874" s="7">
        <f t="array" ref="G874">IF(ROWS(K$20:K874)&gt;$F$6,"",INDEX(A$2:A$10000,SMALL(IF(ISNUMBER(MATCH($B$2:$B$10000,$E$6:$E$22,0)),ROW($C$2:$C$10000)-ROW($C$2)+1),ROWS(K$20:K874))))</f>
        <v>41538</v>
      </c>
      <c r="H874" s="4" t="str">
        <f t="array" ref="H874">IF(ROWS(L$20:L874)&gt;$F$6,"",INDEX(B$2:B$10000,SMALL(IF(ISNUMBER(MATCH($B$2:$B$10000,$E$6:$E$22,0)),ROW($C$2:$C$10000)-ROW($C$2)+1),ROWS(L$20:L874))))</f>
        <v>Mickey  Bolduc</v>
      </c>
      <c r="I874" s="4">
        <f t="array" ref="I874">IF(ROWS(M$20:M874)&gt;$F$6,"",INDEX(C$2:C$10000,SMALL(IF(ISNUMBER(MATCH($B$2:$B$10000,$E$6:$E$22,0)),ROW($C$2:$C$10000)-ROW($C$2)+1),ROWS(M$20:M874))))</f>
        <v>45</v>
      </c>
      <c r="K874" s="7">
        <f t="array" ref="K874">IF(ROWS(K$20:K874)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874))))</f>
        <v>41538</v>
      </c>
      <c r="L874" s="4" t="str">
        <f t="array" ref="L874">IF(ROWS(L$20:L874)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874))))</f>
        <v>Mickey  Bolduc</v>
      </c>
      <c r="M874" s="4">
        <f t="array" ref="M874">IF(ROWS(M$20:M874)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874))))</f>
        <v>45</v>
      </c>
    </row>
    <row r="875" spans="1:13" x14ac:dyDescent="0.25">
      <c r="A875" s="3">
        <v>41368</v>
      </c>
      <c r="B875" s="2" t="s">
        <v>11</v>
      </c>
      <c r="C875" s="2">
        <v>7</v>
      </c>
      <c r="G875" s="7">
        <f t="array" ref="G875">IF(ROWS(K$20:K875)&gt;$F$6,"",INDEX(A$2:A$10000,SMALL(IF(ISNUMBER(MATCH($B$2:$B$10000,$E$6:$E$22,0)),ROW($C$2:$C$10000)-ROW($C$2)+1),ROWS(K$20:K875))))</f>
        <v>41315</v>
      </c>
      <c r="H875" s="4" t="str">
        <f t="array" ref="H875">IF(ROWS(L$20:L875)&gt;$F$6,"",INDEX(B$2:B$10000,SMALL(IF(ISNUMBER(MATCH($B$2:$B$10000,$E$6:$E$22,0)),ROW($C$2:$C$10000)-ROW($C$2)+1),ROWS(L$20:L875))))</f>
        <v>Iliana  Valerio</v>
      </c>
      <c r="I875" s="4">
        <f t="array" ref="I875">IF(ROWS(M$20:M875)&gt;$F$6,"",INDEX(C$2:C$10000,SMALL(IF(ISNUMBER(MATCH($B$2:$B$10000,$E$6:$E$22,0)),ROW($C$2:$C$10000)-ROW($C$2)+1),ROWS(M$20:M875))))</f>
        <v>24</v>
      </c>
      <c r="K875" s="7">
        <f t="array" ref="K875">IF(ROWS(K$20:K875)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875))))</f>
        <v>41315</v>
      </c>
      <c r="L875" s="4" t="str">
        <f t="array" ref="L875">IF(ROWS(L$20:L875)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875))))</f>
        <v>Iliana  Valerio</v>
      </c>
      <c r="M875" s="4">
        <f t="array" ref="M875">IF(ROWS(M$20:M875)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875))))</f>
        <v>24</v>
      </c>
    </row>
    <row r="876" spans="1:13" x14ac:dyDescent="0.25">
      <c r="A876" s="3">
        <v>41357</v>
      </c>
      <c r="B876" s="2" t="s">
        <v>21</v>
      </c>
      <c r="C876" s="2">
        <v>22</v>
      </c>
      <c r="G876" s="7">
        <f t="array" ref="G876">IF(ROWS(K$20:K876)&gt;$F$6,"",INDEX(A$2:A$10000,SMALL(IF(ISNUMBER(MATCH($B$2:$B$10000,$E$6:$E$22,0)),ROW($C$2:$C$10000)-ROW($C$2)+1),ROWS(K$20:K876))))</f>
        <v>41584</v>
      </c>
      <c r="H876" s="4" t="str">
        <f t="array" ref="H876">IF(ROWS(L$20:L876)&gt;$F$6,"",INDEX(B$2:B$10000,SMALL(IF(ISNUMBER(MATCH($B$2:$B$10000,$E$6:$E$22,0)),ROW($C$2:$C$10000)-ROW($C$2)+1),ROWS(L$20:L876))))</f>
        <v>Mickey  Bolduc</v>
      </c>
      <c r="I876" s="4">
        <f t="array" ref="I876">IF(ROWS(M$20:M876)&gt;$F$6,"",INDEX(C$2:C$10000,SMALL(IF(ISNUMBER(MATCH($B$2:$B$10000,$E$6:$E$22,0)),ROW($C$2:$C$10000)-ROW($C$2)+1),ROWS(M$20:M876))))</f>
        <v>41</v>
      </c>
      <c r="K876" s="7">
        <f t="array" ref="K876">IF(ROWS(K$20:K876)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876))))</f>
        <v>41584</v>
      </c>
      <c r="L876" s="4" t="str">
        <f t="array" ref="L876">IF(ROWS(L$20:L876)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876))))</f>
        <v>Mickey  Bolduc</v>
      </c>
      <c r="M876" s="4">
        <f t="array" ref="M876">IF(ROWS(M$20:M876)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876))))</f>
        <v>41</v>
      </c>
    </row>
    <row r="877" spans="1:13" x14ac:dyDescent="0.25">
      <c r="A877" s="3">
        <v>41945</v>
      </c>
      <c r="B877" s="2" t="s">
        <v>29</v>
      </c>
      <c r="C877" s="2">
        <v>40</v>
      </c>
      <c r="G877" s="7">
        <f t="array" ref="G877">IF(ROWS(K$20:K877)&gt;$F$6,"",INDEX(A$2:A$10000,SMALL(IF(ISNUMBER(MATCH($B$2:$B$10000,$E$6:$E$22,0)),ROW($C$2:$C$10000)-ROW($C$2)+1),ROWS(K$20:K877))))</f>
        <v>41803</v>
      </c>
      <c r="H877" s="4" t="str">
        <f t="array" ref="H877">IF(ROWS(L$20:L877)&gt;$F$6,"",INDEX(B$2:B$10000,SMALL(IF(ISNUMBER(MATCH($B$2:$B$10000,$E$6:$E$22,0)),ROW($C$2:$C$10000)-ROW($C$2)+1),ROWS(L$20:L877))))</f>
        <v>Iliana  Valerio</v>
      </c>
      <c r="I877" s="4">
        <f t="array" ref="I877">IF(ROWS(M$20:M877)&gt;$F$6,"",INDEX(C$2:C$10000,SMALL(IF(ISNUMBER(MATCH($B$2:$B$10000,$E$6:$E$22,0)),ROW($C$2:$C$10000)-ROW($C$2)+1),ROWS(M$20:M877))))</f>
        <v>40</v>
      </c>
      <c r="K877" s="7">
        <f t="array" ref="K877">IF(ROWS(K$20:K877)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877))))</f>
        <v>41803</v>
      </c>
      <c r="L877" s="4" t="str">
        <f t="array" ref="L877">IF(ROWS(L$20:L877)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877))))</f>
        <v>Iliana  Valerio</v>
      </c>
      <c r="M877" s="4">
        <f t="array" ref="M877">IF(ROWS(M$20:M877)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877))))</f>
        <v>40</v>
      </c>
    </row>
    <row r="878" spans="1:13" x14ac:dyDescent="0.25">
      <c r="A878" s="3">
        <v>41849</v>
      </c>
      <c r="B878" s="2" t="s">
        <v>34</v>
      </c>
      <c r="C878" s="2">
        <v>40</v>
      </c>
      <c r="G878" s="7">
        <f t="array" ref="G878">IF(ROWS(K$20:K878)&gt;$F$6,"",INDEX(A$2:A$10000,SMALL(IF(ISNUMBER(MATCH($B$2:$B$10000,$E$6:$E$22,0)),ROW($C$2:$C$10000)-ROW($C$2)+1),ROWS(K$20:K878))))</f>
        <v>41655</v>
      </c>
      <c r="H878" s="4" t="str">
        <f t="array" ref="H878">IF(ROWS(L$20:L878)&gt;$F$6,"",INDEX(B$2:B$10000,SMALL(IF(ISNUMBER(MATCH($B$2:$B$10000,$E$6:$E$22,0)),ROW($C$2:$C$10000)-ROW($C$2)+1),ROWS(L$20:L878))))</f>
        <v>Kerrie  Worrell</v>
      </c>
      <c r="I878" s="4">
        <f t="array" ref="I878">IF(ROWS(M$20:M878)&gt;$F$6,"",INDEX(C$2:C$10000,SMALL(IF(ISNUMBER(MATCH($B$2:$B$10000,$E$6:$E$22,0)),ROW($C$2:$C$10000)-ROW($C$2)+1),ROWS(M$20:M878))))</f>
        <v>8</v>
      </c>
      <c r="K878" s="7">
        <f t="array" ref="K878">IF(ROWS(K$20:K878)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878))))</f>
        <v>41655</v>
      </c>
      <c r="L878" s="4" t="str">
        <f t="array" ref="L878">IF(ROWS(L$20:L878)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878))))</f>
        <v>Kerrie  Worrell</v>
      </c>
      <c r="M878" s="4">
        <f t="array" ref="M878">IF(ROWS(M$20:M878)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878))))</f>
        <v>8</v>
      </c>
    </row>
    <row r="879" spans="1:13" x14ac:dyDescent="0.25">
      <c r="A879" s="3">
        <v>41710</v>
      </c>
      <c r="B879" s="2" t="s">
        <v>43</v>
      </c>
      <c r="C879" s="2">
        <v>34</v>
      </c>
      <c r="G879" s="7">
        <f t="array" ref="G879">IF(ROWS(K$20:K879)&gt;$F$6,"",INDEX(A$2:A$10000,SMALL(IF(ISNUMBER(MATCH($B$2:$B$10000,$E$6:$E$22,0)),ROW($C$2:$C$10000)-ROW($C$2)+1),ROWS(K$20:K879))))</f>
        <v>41307</v>
      </c>
      <c r="H879" s="4" t="str">
        <f t="array" ref="H879">IF(ROWS(L$20:L879)&gt;$F$6,"",INDEX(B$2:B$10000,SMALL(IF(ISNUMBER(MATCH($B$2:$B$10000,$E$6:$E$22,0)),ROW($C$2:$C$10000)-ROW($C$2)+1),ROWS(L$20:L879))))</f>
        <v>Rosamond  Allard</v>
      </c>
      <c r="I879" s="4">
        <f t="array" ref="I879">IF(ROWS(M$20:M879)&gt;$F$6,"",INDEX(C$2:C$10000,SMALL(IF(ISNUMBER(MATCH($B$2:$B$10000,$E$6:$E$22,0)),ROW($C$2:$C$10000)-ROW($C$2)+1),ROWS(M$20:M879))))</f>
        <v>22</v>
      </c>
      <c r="K879" s="7">
        <f t="array" ref="K879">IF(ROWS(K$20:K879)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879))))</f>
        <v>41307</v>
      </c>
      <c r="L879" s="4" t="str">
        <f t="array" ref="L879">IF(ROWS(L$20:L879)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879))))</f>
        <v>Rosamond  Allard</v>
      </c>
      <c r="M879" s="4">
        <f t="array" ref="M879">IF(ROWS(M$20:M879)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879))))</f>
        <v>22</v>
      </c>
    </row>
    <row r="880" spans="1:13" x14ac:dyDescent="0.25">
      <c r="A880" s="3">
        <v>41690</v>
      </c>
      <c r="B880" s="2" t="s">
        <v>23</v>
      </c>
      <c r="C880" s="2">
        <v>39</v>
      </c>
      <c r="G880" s="7">
        <f t="array" ref="G880">IF(ROWS(K$20:K880)&gt;$F$6,"",INDEX(A$2:A$10000,SMALL(IF(ISNUMBER(MATCH($B$2:$B$10000,$E$6:$E$22,0)),ROW($C$2:$C$10000)-ROW($C$2)+1),ROWS(K$20:K880))))</f>
        <v>41668</v>
      </c>
      <c r="H880" s="4" t="str">
        <f t="array" ref="H880">IF(ROWS(L$20:L880)&gt;$F$6,"",INDEX(B$2:B$10000,SMALL(IF(ISNUMBER(MATCH($B$2:$B$10000,$E$6:$E$22,0)),ROW($C$2:$C$10000)-ROW($C$2)+1),ROWS(L$20:L880))))</f>
        <v>Jenni  Thorton</v>
      </c>
      <c r="I880" s="4">
        <f t="array" ref="I880">IF(ROWS(M$20:M880)&gt;$F$6,"",INDEX(C$2:C$10000,SMALL(IF(ISNUMBER(MATCH($B$2:$B$10000,$E$6:$E$22,0)),ROW($C$2:$C$10000)-ROW($C$2)+1),ROWS(M$20:M880))))</f>
        <v>27</v>
      </c>
      <c r="K880" s="7">
        <f t="array" ref="K880">IF(ROWS(K$20:K880)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880))))</f>
        <v>41668</v>
      </c>
      <c r="L880" s="4" t="str">
        <f t="array" ref="L880">IF(ROWS(L$20:L880)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880))))</f>
        <v>Jenni  Thorton</v>
      </c>
      <c r="M880" s="4">
        <f t="array" ref="M880">IF(ROWS(M$20:M880)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880))))</f>
        <v>27</v>
      </c>
    </row>
    <row r="881" spans="1:13" x14ac:dyDescent="0.25">
      <c r="A881" s="3">
        <v>41630</v>
      </c>
      <c r="B881" s="2" t="s">
        <v>11</v>
      </c>
      <c r="C881" s="2">
        <v>37</v>
      </c>
      <c r="G881" s="7">
        <f t="array" ref="G881">IF(ROWS(K$20:K881)&gt;$F$6,"",INDEX(A$2:A$10000,SMALL(IF(ISNUMBER(MATCH($B$2:$B$10000,$E$6:$E$22,0)),ROW($C$2:$C$10000)-ROW($C$2)+1),ROWS(K$20:K881))))</f>
        <v>41518</v>
      </c>
      <c r="H881" s="4" t="str">
        <f t="array" ref="H881">IF(ROWS(L$20:L881)&gt;$F$6,"",INDEX(B$2:B$10000,SMALL(IF(ISNUMBER(MATCH($B$2:$B$10000,$E$6:$E$22,0)),ROW($C$2:$C$10000)-ROW($C$2)+1),ROWS(L$20:L881))))</f>
        <v>Kerrie  Worrell</v>
      </c>
      <c r="I881" s="4">
        <f t="array" ref="I881">IF(ROWS(M$20:M881)&gt;$F$6,"",INDEX(C$2:C$10000,SMALL(IF(ISNUMBER(MATCH($B$2:$B$10000,$E$6:$E$22,0)),ROW($C$2:$C$10000)-ROW($C$2)+1),ROWS(M$20:M881))))</f>
        <v>18</v>
      </c>
      <c r="K881" s="7">
        <f t="array" ref="K881">IF(ROWS(K$20:K881)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881))))</f>
        <v>41518</v>
      </c>
      <c r="L881" s="4" t="str">
        <f t="array" ref="L881">IF(ROWS(L$20:L881)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881))))</f>
        <v>Kerrie  Worrell</v>
      </c>
      <c r="M881" s="4">
        <f t="array" ref="M881">IF(ROWS(M$20:M881)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881))))</f>
        <v>18</v>
      </c>
    </row>
    <row r="882" spans="1:13" x14ac:dyDescent="0.25">
      <c r="A882" s="3">
        <v>41357</v>
      </c>
      <c r="B882" s="2" t="s">
        <v>32</v>
      </c>
      <c r="C882" s="2">
        <v>2</v>
      </c>
      <c r="G882" s="7">
        <f t="array" ref="G882">IF(ROWS(K$20:K882)&gt;$F$6,"",INDEX(A$2:A$10000,SMALL(IF(ISNUMBER(MATCH($B$2:$B$10000,$E$6:$E$22,0)),ROW($C$2:$C$10000)-ROW($C$2)+1),ROWS(K$20:K882))))</f>
        <v>41403</v>
      </c>
      <c r="H882" s="4" t="str">
        <f t="array" ref="H882">IF(ROWS(L$20:L882)&gt;$F$6,"",INDEX(B$2:B$10000,SMALL(IF(ISNUMBER(MATCH($B$2:$B$10000,$E$6:$E$22,0)),ROW($C$2:$C$10000)-ROW($C$2)+1),ROWS(L$20:L882))))</f>
        <v>Jenni  Thorton</v>
      </c>
      <c r="I882" s="4">
        <f t="array" ref="I882">IF(ROWS(M$20:M882)&gt;$F$6,"",INDEX(C$2:C$10000,SMALL(IF(ISNUMBER(MATCH($B$2:$B$10000,$E$6:$E$22,0)),ROW($C$2:$C$10000)-ROW($C$2)+1),ROWS(M$20:M882))))</f>
        <v>34</v>
      </c>
      <c r="K882" s="7">
        <f t="array" ref="K882">IF(ROWS(K$20:K882)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882))))</f>
        <v>41403</v>
      </c>
      <c r="L882" s="4" t="str">
        <f t="array" ref="L882">IF(ROWS(L$20:L882)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882))))</f>
        <v>Jenni  Thorton</v>
      </c>
      <c r="M882" s="4">
        <f t="array" ref="M882">IF(ROWS(M$20:M882)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882))))</f>
        <v>34</v>
      </c>
    </row>
    <row r="883" spans="1:13" x14ac:dyDescent="0.25">
      <c r="A883" s="3">
        <v>41994</v>
      </c>
      <c r="B883" s="2" t="s">
        <v>35</v>
      </c>
      <c r="C883" s="2">
        <v>40</v>
      </c>
      <c r="G883" s="7">
        <f t="array" ref="G883">IF(ROWS(K$20:K883)&gt;$F$6,"",INDEX(A$2:A$10000,SMALL(IF(ISNUMBER(MATCH($B$2:$B$10000,$E$6:$E$22,0)),ROW($C$2:$C$10000)-ROW($C$2)+1),ROWS(K$20:K883))))</f>
        <v>41882</v>
      </c>
      <c r="H883" s="4" t="str">
        <f t="array" ref="H883">IF(ROWS(L$20:L883)&gt;$F$6,"",INDEX(B$2:B$10000,SMALL(IF(ISNUMBER(MATCH($B$2:$B$10000,$E$6:$E$22,0)),ROW($C$2:$C$10000)-ROW($C$2)+1),ROWS(L$20:L883))))</f>
        <v>Galen  Barth</v>
      </c>
      <c r="I883" s="4">
        <f t="array" ref="I883">IF(ROWS(M$20:M883)&gt;$F$6,"",INDEX(C$2:C$10000,SMALL(IF(ISNUMBER(MATCH($B$2:$B$10000,$E$6:$E$22,0)),ROW($C$2:$C$10000)-ROW($C$2)+1),ROWS(M$20:M883))))</f>
        <v>7</v>
      </c>
      <c r="K883" s="7">
        <f t="array" ref="K883">IF(ROWS(K$20:K883)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883))))</f>
        <v>41882</v>
      </c>
      <c r="L883" s="4" t="str">
        <f t="array" ref="L883">IF(ROWS(L$20:L883)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883))))</f>
        <v>Galen  Barth</v>
      </c>
      <c r="M883" s="4">
        <f t="array" ref="M883">IF(ROWS(M$20:M883)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883))))</f>
        <v>7</v>
      </c>
    </row>
    <row r="884" spans="1:13" x14ac:dyDescent="0.25">
      <c r="A884" s="3">
        <v>41936</v>
      </c>
      <c r="B884" s="2" t="s">
        <v>7</v>
      </c>
      <c r="C884" s="2">
        <v>28</v>
      </c>
      <c r="G884" s="7">
        <f t="array" ref="G884">IF(ROWS(K$20:K884)&gt;$F$6,"",INDEX(A$2:A$10000,SMALL(IF(ISNUMBER(MATCH($B$2:$B$10000,$E$6:$E$22,0)),ROW($C$2:$C$10000)-ROW($C$2)+1),ROWS(K$20:K884))))</f>
        <v>41313</v>
      </c>
      <c r="H884" s="4" t="str">
        <f t="array" ref="H884">IF(ROWS(L$20:L884)&gt;$F$6,"",INDEX(B$2:B$10000,SMALL(IF(ISNUMBER(MATCH($B$2:$B$10000,$E$6:$E$22,0)),ROW($C$2:$C$10000)-ROW($C$2)+1),ROWS(L$20:L884))))</f>
        <v>Galen  Barth</v>
      </c>
      <c r="I884" s="4">
        <f t="array" ref="I884">IF(ROWS(M$20:M884)&gt;$F$6,"",INDEX(C$2:C$10000,SMALL(IF(ISNUMBER(MATCH($B$2:$B$10000,$E$6:$E$22,0)),ROW($C$2:$C$10000)-ROW($C$2)+1),ROWS(M$20:M884))))</f>
        <v>20</v>
      </c>
      <c r="K884" s="7">
        <f t="array" ref="K884">IF(ROWS(K$20:K884)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884))))</f>
        <v>41313</v>
      </c>
      <c r="L884" s="4" t="str">
        <f t="array" ref="L884">IF(ROWS(L$20:L884)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884))))</f>
        <v>Galen  Barth</v>
      </c>
      <c r="M884" s="4">
        <f t="array" ref="M884">IF(ROWS(M$20:M884)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884))))</f>
        <v>20</v>
      </c>
    </row>
    <row r="885" spans="1:13" x14ac:dyDescent="0.25">
      <c r="A885" s="3">
        <v>41694</v>
      </c>
      <c r="B885" s="2" t="s">
        <v>25</v>
      </c>
      <c r="C885" s="2">
        <v>33</v>
      </c>
      <c r="G885" s="7">
        <f t="array" ref="G885">IF(ROWS(K$20:K885)&gt;$F$6,"",INDEX(A$2:A$10000,SMALL(IF(ISNUMBER(MATCH($B$2:$B$10000,$E$6:$E$22,0)),ROW($C$2:$C$10000)-ROW($C$2)+1),ROWS(K$20:K885))))</f>
        <v>41465</v>
      </c>
      <c r="H885" s="4" t="str">
        <f t="array" ref="H885">IF(ROWS(L$20:L885)&gt;$F$6,"",INDEX(B$2:B$10000,SMALL(IF(ISNUMBER(MATCH($B$2:$B$10000,$E$6:$E$22,0)),ROW($C$2:$C$10000)-ROW($C$2)+1),ROWS(L$20:L885))))</f>
        <v>Iliana  Valerio</v>
      </c>
      <c r="I885" s="4">
        <f t="array" ref="I885">IF(ROWS(M$20:M885)&gt;$F$6,"",INDEX(C$2:C$10000,SMALL(IF(ISNUMBER(MATCH($B$2:$B$10000,$E$6:$E$22,0)),ROW($C$2:$C$10000)-ROW($C$2)+1),ROWS(M$20:M885))))</f>
        <v>35</v>
      </c>
      <c r="K885" s="7">
        <f t="array" ref="K885">IF(ROWS(K$20:K885)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885))))</f>
        <v>41465</v>
      </c>
      <c r="L885" s="4" t="str">
        <f t="array" ref="L885">IF(ROWS(L$20:L885)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885))))</f>
        <v>Iliana  Valerio</v>
      </c>
      <c r="M885" s="4">
        <f t="array" ref="M885">IF(ROWS(M$20:M885)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885))))</f>
        <v>35</v>
      </c>
    </row>
    <row r="886" spans="1:13" x14ac:dyDescent="0.25">
      <c r="A886" s="3">
        <v>41488</v>
      </c>
      <c r="B886" s="2" t="s">
        <v>5</v>
      </c>
      <c r="C886" s="2">
        <v>13</v>
      </c>
      <c r="G886" s="7">
        <f t="array" ref="G886">IF(ROWS(K$20:K886)&gt;$F$6,"",INDEX(A$2:A$10000,SMALL(IF(ISNUMBER(MATCH($B$2:$B$10000,$E$6:$E$22,0)),ROW($C$2:$C$10000)-ROW($C$2)+1),ROWS(K$20:K886))))</f>
        <v>41651</v>
      </c>
      <c r="H886" s="4" t="str">
        <f t="array" ref="H886">IF(ROWS(L$20:L886)&gt;$F$6,"",INDEX(B$2:B$10000,SMALL(IF(ISNUMBER(MATCH($B$2:$B$10000,$E$6:$E$22,0)),ROW($C$2:$C$10000)-ROW($C$2)+1),ROWS(L$20:L886))))</f>
        <v>Iliana  Valerio</v>
      </c>
      <c r="I886" s="4">
        <f t="array" ref="I886">IF(ROWS(M$20:M886)&gt;$F$6,"",INDEX(C$2:C$10000,SMALL(IF(ISNUMBER(MATCH($B$2:$B$10000,$E$6:$E$22,0)),ROW($C$2:$C$10000)-ROW($C$2)+1),ROWS(M$20:M886))))</f>
        <v>23</v>
      </c>
      <c r="K886" s="7">
        <f t="array" ref="K886">IF(ROWS(K$20:K886)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886))))</f>
        <v>41651</v>
      </c>
      <c r="L886" s="4" t="str">
        <f t="array" ref="L886">IF(ROWS(L$20:L886)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886))))</f>
        <v>Iliana  Valerio</v>
      </c>
      <c r="M886" s="4">
        <f t="array" ref="M886">IF(ROWS(M$20:M886)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886))))</f>
        <v>23</v>
      </c>
    </row>
    <row r="887" spans="1:13" x14ac:dyDescent="0.25">
      <c r="A887" s="3">
        <v>41742</v>
      </c>
      <c r="B887" s="2" t="s">
        <v>15</v>
      </c>
      <c r="C887" s="2">
        <v>49</v>
      </c>
      <c r="G887" s="7">
        <f t="array" ref="G887">IF(ROWS(K$20:K887)&gt;$F$6,"",INDEX(A$2:A$10000,SMALL(IF(ISNUMBER(MATCH($B$2:$B$10000,$E$6:$E$22,0)),ROW($C$2:$C$10000)-ROW($C$2)+1),ROWS(K$20:K887))))</f>
        <v>41803</v>
      </c>
      <c r="H887" s="4" t="str">
        <f t="array" ref="H887">IF(ROWS(L$20:L887)&gt;$F$6,"",INDEX(B$2:B$10000,SMALL(IF(ISNUMBER(MATCH($B$2:$B$10000,$E$6:$E$22,0)),ROW($C$2:$C$10000)-ROW($C$2)+1),ROWS(L$20:L887))))</f>
        <v>Jenni  Thorton</v>
      </c>
      <c r="I887" s="4">
        <f t="array" ref="I887">IF(ROWS(M$20:M887)&gt;$F$6,"",INDEX(C$2:C$10000,SMALL(IF(ISNUMBER(MATCH($B$2:$B$10000,$E$6:$E$22,0)),ROW($C$2:$C$10000)-ROW($C$2)+1),ROWS(M$20:M887))))</f>
        <v>47</v>
      </c>
      <c r="K887" s="7">
        <f t="array" ref="K887">IF(ROWS(K$20:K887)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887))))</f>
        <v>41803</v>
      </c>
      <c r="L887" s="4" t="str">
        <f t="array" ref="L887">IF(ROWS(L$20:L887)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887))))</f>
        <v>Jenni  Thorton</v>
      </c>
      <c r="M887" s="4">
        <f t="array" ref="M887">IF(ROWS(M$20:M887)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887))))</f>
        <v>47</v>
      </c>
    </row>
    <row r="888" spans="1:13" x14ac:dyDescent="0.25">
      <c r="A888" s="3">
        <v>41289</v>
      </c>
      <c r="B888" s="2" t="s">
        <v>30</v>
      </c>
      <c r="C888" s="2">
        <v>20</v>
      </c>
      <c r="G888" s="7">
        <f t="array" ref="G888">IF(ROWS(K$20:K888)&gt;$F$6,"",INDEX(A$2:A$10000,SMALL(IF(ISNUMBER(MATCH($B$2:$B$10000,$E$6:$E$22,0)),ROW($C$2:$C$10000)-ROW($C$2)+1),ROWS(K$20:K888))))</f>
        <v>41618</v>
      </c>
      <c r="H888" s="4" t="str">
        <f t="array" ref="H888">IF(ROWS(L$20:L888)&gt;$F$6,"",INDEX(B$2:B$10000,SMALL(IF(ISNUMBER(MATCH($B$2:$B$10000,$E$6:$E$22,0)),ROW($C$2:$C$10000)-ROW($C$2)+1),ROWS(L$20:L888))))</f>
        <v>Iliana  Valerio</v>
      </c>
      <c r="I888" s="4">
        <f t="array" ref="I888">IF(ROWS(M$20:M888)&gt;$F$6,"",INDEX(C$2:C$10000,SMALL(IF(ISNUMBER(MATCH($B$2:$B$10000,$E$6:$E$22,0)),ROW($C$2:$C$10000)-ROW($C$2)+1),ROWS(M$20:M888))))</f>
        <v>24</v>
      </c>
      <c r="K888" s="7">
        <f t="array" ref="K888">IF(ROWS(K$20:K888)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888))))</f>
        <v>41618</v>
      </c>
      <c r="L888" s="4" t="str">
        <f t="array" ref="L888">IF(ROWS(L$20:L888)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888))))</f>
        <v>Iliana  Valerio</v>
      </c>
      <c r="M888" s="4">
        <f t="array" ref="M888">IF(ROWS(M$20:M888)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888))))</f>
        <v>24</v>
      </c>
    </row>
    <row r="889" spans="1:13" x14ac:dyDescent="0.25">
      <c r="A889" s="3">
        <v>41617</v>
      </c>
      <c r="B889" s="2" t="s">
        <v>32</v>
      </c>
      <c r="C889" s="2">
        <v>22</v>
      </c>
      <c r="G889" s="7">
        <f t="array" ref="G889">IF(ROWS(K$20:K889)&gt;$F$6,"",INDEX(A$2:A$10000,SMALL(IF(ISNUMBER(MATCH($B$2:$B$10000,$E$6:$E$22,0)),ROW($C$2:$C$10000)-ROW($C$2)+1),ROWS(K$20:K889))))</f>
        <v>41415</v>
      </c>
      <c r="H889" s="4" t="str">
        <f t="array" ref="H889">IF(ROWS(L$20:L889)&gt;$F$6,"",INDEX(B$2:B$10000,SMALL(IF(ISNUMBER(MATCH($B$2:$B$10000,$E$6:$E$22,0)),ROW($C$2:$C$10000)-ROW($C$2)+1),ROWS(L$20:L889))))</f>
        <v>Jenni  Thorton</v>
      </c>
      <c r="I889" s="4">
        <f t="array" ref="I889">IF(ROWS(M$20:M889)&gt;$F$6,"",INDEX(C$2:C$10000,SMALL(IF(ISNUMBER(MATCH($B$2:$B$10000,$E$6:$E$22,0)),ROW($C$2:$C$10000)-ROW($C$2)+1),ROWS(M$20:M889))))</f>
        <v>35</v>
      </c>
      <c r="K889" s="7">
        <f t="array" ref="K889">IF(ROWS(K$20:K889)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889))))</f>
        <v>41415</v>
      </c>
      <c r="L889" s="4" t="str">
        <f t="array" ref="L889">IF(ROWS(L$20:L889)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889))))</f>
        <v>Jenni  Thorton</v>
      </c>
      <c r="M889" s="4">
        <f t="array" ref="M889">IF(ROWS(M$20:M889)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889))))</f>
        <v>35</v>
      </c>
    </row>
    <row r="890" spans="1:13" x14ac:dyDescent="0.25">
      <c r="A890" s="3">
        <v>41347</v>
      </c>
      <c r="B890" s="2" t="s">
        <v>22</v>
      </c>
      <c r="C890" s="2">
        <v>36</v>
      </c>
      <c r="G890" s="7">
        <f t="array" ref="G890">IF(ROWS(K$20:K890)&gt;$F$6,"",INDEX(A$2:A$10000,SMALL(IF(ISNUMBER(MATCH($B$2:$B$10000,$E$6:$E$22,0)),ROW($C$2:$C$10000)-ROW($C$2)+1),ROWS(K$20:K890))))</f>
        <v>41938</v>
      </c>
      <c r="H890" s="4" t="str">
        <f t="array" ref="H890">IF(ROWS(L$20:L890)&gt;$F$6,"",INDEX(B$2:B$10000,SMALL(IF(ISNUMBER(MATCH($B$2:$B$10000,$E$6:$E$22,0)),ROW($C$2:$C$10000)-ROW($C$2)+1),ROWS(L$20:L890))))</f>
        <v>Mickey  Bolduc</v>
      </c>
      <c r="I890" s="4">
        <f t="array" ref="I890">IF(ROWS(M$20:M890)&gt;$F$6,"",INDEX(C$2:C$10000,SMALL(IF(ISNUMBER(MATCH($B$2:$B$10000,$E$6:$E$22,0)),ROW($C$2:$C$10000)-ROW($C$2)+1),ROWS(M$20:M890))))</f>
        <v>39</v>
      </c>
      <c r="K890" s="7">
        <f t="array" ref="K890">IF(ROWS(K$20:K890)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890))))</f>
        <v>41938</v>
      </c>
      <c r="L890" s="4" t="str">
        <f t="array" ref="L890">IF(ROWS(L$20:L890)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890))))</f>
        <v>Mickey  Bolduc</v>
      </c>
      <c r="M890" s="4">
        <f t="array" ref="M890">IF(ROWS(M$20:M890)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890))))</f>
        <v>39</v>
      </c>
    </row>
    <row r="891" spans="1:13" x14ac:dyDescent="0.25">
      <c r="A891" s="3">
        <v>41877</v>
      </c>
      <c r="B891" s="2" t="s">
        <v>44</v>
      </c>
      <c r="C891" s="2">
        <v>48</v>
      </c>
      <c r="G891" s="7">
        <f t="array" ref="G891">IF(ROWS(K$20:K891)&gt;$F$6,"",INDEX(A$2:A$10000,SMALL(IF(ISNUMBER(MATCH($B$2:$B$10000,$E$6:$E$22,0)),ROW($C$2:$C$10000)-ROW($C$2)+1),ROWS(K$20:K891))))</f>
        <v>41735</v>
      </c>
      <c r="H891" s="4" t="str">
        <f t="array" ref="H891">IF(ROWS(L$20:L891)&gt;$F$6,"",INDEX(B$2:B$10000,SMALL(IF(ISNUMBER(MATCH($B$2:$B$10000,$E$6:$E$22,0)),ROW($C$2:$C$10000)-ROW($C$2)+1),ROWS(L$20:L891))))</f>
        <v>Galen  Barth</v>
      </c>
      <c r="I891" s="4">
        <f t="array" ref="I891">IF(ROWS(M$20:M891)&gt;$F$6,"",INDEX(C$2:C$10000,SMALL(IF(ISNUMBER(MATCH($B$2:$B$10000,$E$6:$E$22,0)),ROW($C$2:$C$10000)-ROW($C$2)+1),ROWS(M$20:M891))))</f>
        <v>40</v>
      </c>
      <c r="K891" s="7">
        <f t="array" ref="K891">IF(ROWS(K$20:K891)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891))))</f>
        <v>41735</v>
      </c>
      <c r="L891" s="4" t="str">
        <f t="array" ref="L891">IF(ROWS(L$20:L891)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891))))</f>
        <v>Galen  Barth</v>
      </c>
      <c r="M891" s="4">
        <f t="array" ref="M891">IF(ROWS(M$20:M891)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891))))</f>
        <v>40</v>
      </c>
    </row>
    <row r="892" spans="1:13" x14ac:dyDescent="0.25">
      <c r="A892" s="3">
        <v>41551</v>
      </c>
      <c r="B892" s="2" t="s">
        <v>23</v>
      </c>
      <c r="C892" s="2">
        <v>18</v>
      </c>
      <c r="G892" s="7">
        <f t="array" ref="G892">IF(ROWS(K$20:K892)&gt;$F$6,"",INDEX(A$2:A$10000,SMALL(IF(ISNUMBER(MATCH($B$2:$B$10000,$E$6:$E$22,0)),ROW($C$2:$C$10000)-ROW($C$2)+1),ROWS(K$20:K892))))</f>
        <v>41616</v>
      </c>
      <c r="H892" s="4" t="str">
        <f t="array" ref="H892">IF(ROWS(L$20:L892)&gt;$F$6,"",INDEX(B$2:B$10000,SMALL(IF(ISNUMBER(MATCH($B$2:$B$10000,$E$6:$E$22,0)),ROW($C$2:$C$10000)-ROW($C$2)+1),ROWS(L$20:L892))))</f>
        <v>Mickey  Bolduc</v>
      </c>
      <c r="I892" s="4">
        <f t="array" ref="I892">IF(ROWS(M$20:M892)&gt;$F$6,"",INDEX(C$2:C$10000,SMALL(IF(ISNUMBER(MATCH($B$2:$B$10000,$E$6:$E$22,0)),ROW($C$2:$C$10000)-ROW($C$2)+1),ROWS(M$20:M892))))</f>
        <v>49</v>
      </c>
      <c r="K892" s="7">
        <f t="array" ref="K892">IF(ROWS(K$20:K892)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892))))</f>
        <v>41616</v>
      </c>
      <c r="L892" s="4" t="str">
        <f t="array" ref="L892">IF(ROWS(L$20:L892)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892))))</f>
        <v>Mickey  Bolduc</v>
      </c>
      <c r="M892" s="4">
        <f t="array" ref="M892">IF(ROWS(M$20:M892)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892))))</f>
        <v>49</v>
      </c>
    </row>
    <row r="893" spans="1:13" x14ac:dyDescent="0.25">
      <c r="A893" s="3">
        <v>41314</v>
      </c>
      <c r="B893" s="2" t="s">
        <v>45</v>
      </c>
      <c r="C893" s="2">
        <v>22</v>
      </c>
      <c r="G893" s="7">
        <f t="array" ref="G893">IF(ROWS(K$20:K893)&gt;$F$6,"",INDEX(A$2:A$10000,SMALL(IF(ISNUMBER(MATCH($B$2:$B$10000,$E$6:$E$22,0)),ROW($C$2:$C$10000)-ROW($C$2)+1),ROWS(K$20:K893))))</f>
        <v>41571</v>
      </c>
      <c r="H893" s="4" t="str">
        <f t="array" ref="H893">IF(ROWS(L$20:L893)&gt;$F$6,"",INDEX(B$2:B$10000,SMALL(IF(ISNUMBER(MATCH($B$2:$B$10000,$E$6:$E$22,0)),ROW($C$2:$C$10000)-ROW($C$2)+1),ROWS(L$20:L893))))</f>
        <v>Rosamond  Allard</v>
      </c>
      <c r="I893" s="4">
        <f t="array" ref="I893">IF(ROWS(M$20:M893)&gt;$F$6,"",INDEX(C$2:C$10000,SMALL(IF(ISNUMBER(MATCH($B$2:$B$10000,$E$6:$E$22,0)),ROW($C$2:$C$10000)-ROW($C$2)+1),ROWS(M$20:M893))))</f>
        <v>24</v>
      </c>
      <c r="K893" s="7">
        <f t="array" ref="K893">IF(ROWS(K$20:K893)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893))))</f>
        <v>41571</v>
      </c>
      <c r="L893" s="4" t="str">
        <f t="array" ref="L893">IF(ROWS(L$20:L893)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893))))</f>
        <v>Rosamond  Allard</v>
      </c>
      <c r="M893" s="4">
        <f t="array" ref="M893">IF(ROWS(M$20:M893)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893))))</f>
        <v>24</v>
      </c>
    </row>
    <row r="894" spans="1:13" x14ac:dyDescent="0.25">
      <c r="A894" s="3">
        <v>41550</v>
      </c>
      <c r="B894" s="2" t="s">
        <v>22</v>
      </c>
      <c r="C894" s="2">
        <v>13</v>
      </c>
      <c r="G894" s="7">
        <f t="array" ref="G894">IF(ROWS(K$20:K894)&gt;$F$6,"",INDEX(A$2:A$10000,SMALL(IF(ISNUMBER(MATCH($B$2:$B$10000,$E$6:$E$22,0)),ROW($C$2:$C$10000)-ROW($C$2)+1),ROWS(K$20:K894))))</f>
        <v>41831</v>
      </c>
      <c r="H894" s="4" t="str">
        <f t="array" ref="H894">IF(ROWS(L$20:L894)&gt;$F$6,"",INDEX(B$2:B$10000,SMALL(IF(ISNUMBER(MATCH($B$2:$B$10000,$E$6:$E$22,0)),ROW($C$2:$C$10000)-ROW($C$2)+1),ROWS(L$20:L894))))</f>
        <v>Jenni  Thorton</v>
      </c>
      <c r="I894" s="4">
        <f t="array" ref="I894">IF(ROWS(M$20:M894)&gt;$F$6,"",INDEX(C$2:C$10000,SMALL(IF(ISNUMBER(MATCH($B$2:$B$10000,$E$6:$E$22,0)),ROW($C$2:$C$10000)-ROW($C$2)+1),ROWS(M$20:M894))))</f>
        <v>22</v>
      </c>
      <c r="K894" s="7">
        <f t="array" ref="K894">IF(ROWS(K$20:K894)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894))))</f>
        <v>41831</v>
      </c>
      <c r="L894" s="4" t="str">
        <f t="array" ref="L894">IF(ROWS(L$20:L894)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894))))</f>
        <v>Jenni  Thorton</v>
      </c>
      <c r="M894" s="4">
        <f t="array" ref="M894">IF(ROWS(M$20:M894)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894))))</f>
        <v>22</v>
      </c>
    </row>
    <row r="895" spans="1:13" x14ac:dyDescent="0.25">
      <c r="A895" s="3">
        <v>41814</v>
      </c>
      <c r="B895" s="2" t="s">
        <v>37</v>
      </c>
      <c r="C895" s="2">
        <v>34</v>
      </c>
      <c r="G895" s="7">
        <f t="array" ref="G895">IF(ROWS(K$20:K895)&gt;$F$6,"",INDEX(A$2:A$10000,SMALL(IF(ISNUMBER(MATCH($B$2:$B$10000,$E$6:$E$22,0)),ROW($C$2:$C$10000)-ROW($C$2)+1),ROWS(K$20:K895))))</f>
        <v>41886</v>
      </c>
      <c r="H895" s="4" t="str">
        <f t="array" ref="H895">IF(ROWS(L$20:L895)&gt;$F$6,"",INDEX(B$2:B$10000,SMALL(IF(ISNUMBER(MATCH($B$2:$B$10000,$E$6:$E$22,0)),ROW($C$2:$C$10000)-ROW($C$2)+1),ROWS(L$20:L895))))</f>
        <v>Mickey  Bolduc</v>
      </c>
      <c r="I895" s="4">
        <f t="array" ref="I895">IF(ROWS(M$20:M895)&gt;$F$6,"",INDEX(C$2:C$10000,SMALL(IF(ISNUMBER(MATCH($B$2:$B$10000,$E$6:$E$22,0)),ROW($C$2:$C$10000)-ROW($C$2)+1),ROWS(M$20:M895))))</f>
        <v>26</v>
      </c>
      <c r="K895" s="7">
        <f t="array" ref="K895">IF(ROWS(K$20:K895)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895))))</f>
        <v>41886</v>
      </c>
      <c r="L895" s="4" t="str">
        <f t="array" ref="L895">IF(ROWS(L$20:L895)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895))))</f>
        <v>Mickey  Bolduc</v>
      </c>
      <c r="M895" s="4">
        <f t="array" ref="M895">IF(ROWS(M$20:M895)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895))))</f>
        <v>26</v>
      </c>
    </row>
    <row r="896" spans="1:13" x14ac:dyDescent="0.25">
      <c r="A896" s="3">
        <v>41955</v>
      </c>
      <c r="B896" s="2" t="s">
        <v>20</v>
      </c>
      <c r="C896" s="2">
        <v>26</v>
      </c>
      <c r="G896" s="7">
        <f t="array" ref="G896">IF(ROWS(K$20:K896)&gt;$F$6,"",INDEX(A$2:A$10000,SMALL(IF(ISNUMBER(MATCH($B$2:$B$10000,$E$6:$E$22,0)),ROW($C$2:$C$10000)-ROW($C$2)+1),ROWS(K$20:K896))))</f>
        <v>41518</v>
      </c>
      <c r="H896" s="4" t="str">
        <f t="array" ref="H896">IF(ROWS(L$20:L896)&gt;$F$6,"",INDEX(B$2:B$10000,SMALL(IF(ISNUMBER(MATCH($B$2:$B$10000,$E$6:$E$22,0)),ROW($C$2:$C$10000)-ROW($C$2)+1),ROWS(L$20:L896))))</f>
        <v>Kerrie  Worrell</v>
      </c>
      <c r="I896" s="4">
        <f t="array" ref="I896">IF(ROWS(M$20:M896)&gt;$F$6,"",INDEX(C$2:C$10000,SMALL(IF(ISNUMBER(MATCH($B$2:$B$10000,$E$6:$E$22,0)),ROW($C$2:$C$10000)-ROW($C$2)+1),ROWS(M$20:M896))))</f>
        <v>45</v>
      </c>
      <c r="K896" s="7">
        <f t="array" ref="K896">IF(ROWS(K$20:K896)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896))))</f>
        <v>41518</v>
      </c>
      <c r="L896" s="4" t="str">
        <f t="array" ref="L896">IF(ROWS(L$20:L896)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896))))</f>
        <v>Kerrie  Worrell</v>
      </c>
      <c r="M896" s="4">
        <f t="array" ref="M896">IF(ROWS(M$20:M896)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896))))</f>
        <v>45</v>
      </c>
    </row>
    <row r="897" spans="1:13" x14ac:dyDescent="0.25">
      <c r="A897" s="3">
        <v>41750</v>
      </c>
      <c r="B897" s="2" t="s">
        <v>24</v>
      </c>
      <c r="C897" s="2">
        <v>32</v>
      </c>
      <c r="G897" s="7">
        <f t="array" ref="G897">IF(ROWS(K$20:K897)&gt;$F$6,"",INDEX(A$2:A$10000,SMALL(IF(ISNUMBER(MATCH($B$2:$B$10000,$E$6:$E$22,0)),ROW($C$2:$C$10000)-ROW($C$2)+1),ROWS(K$20:K897))))</f>
        <v>42000</v>
      </c>
      <c r="H897" s="4" t="str">
        <f t="array" ref="H897">IF(ROWS(L$20:L897)&gt;$F$6,"",INDEX(B$2:B$10000,SMALL(IF(ISNUMBER(MATCH($B$2:$B$10000,$E$6:$E$22,0)),ROW($C$2:$C$10000)-ROW($C$2)+1),ROWS(L$20:L897))))</f>
        <v>Rosamond  Allard</v>
      </c>
      <c r="I897" s="4">
        <f t="array" ref="I897">IF(ROWS(M$20:M897)&gt;$F$6,"",INDEX(C$2:C$10000,SMALL(IF(ISNUMBER(MATCH($B$2:$B$10000,$E$6:$E$22,0)),ROW($C$2:$C$10000)-ROW($C$2)+1),ROWS(M$20:M897))))</f>
        <v>19</v>
      </c>
      <c r="K897" s="7">
        <f t="array" ref="K897">IF(ROWS(K$20:K897)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897))))</f>
        <v>42000</v>
      </c>
      <c r="L897" s="4" t="str">
        <f t="array" ref="L897">IF(ROWS(L$20:L897)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897))))</f>
        <v>Rosamond  Allard</v>
      </c>
      <c r="M897" s="4">
        <f t="array" ref="M897">IF(ROWS(M$20:M897)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897))))</f>
        <v>19</v>
      </c>
    </row>
    <row r="898" spans="1:13" x14ac:dyDescent="0.25">
      <c r="A898" s="3">
        <v>41738</v>
      </c>
      <c r="B898" s="2" t="s">
        <v>32</v>
      </c>
      <c r="C898" s="2">
        <v>31</v>
      </c>
      <c r="G898" s="7">
        <f t="array" ref="G898">IF(ROWS(K$20:K898)&gt;$F$6,"",INDEX(A$2:A$10000,SMALL(IF(ISNUMBER(MATCH($B$2:$B$10000,$E$6:$E$22,0)),ROW($C$2:$C$10000)-ROW($C$2)+1),ROWS(K$20:K898))))</f>
        <v>41956</v>
      </c>
      <c r="H898" s="4" t="str">
        <f t="array" ref="H898">IF(ROWS(L$20:L898)&gt;$F$6,"",INDEX(B$2:B$10000,SMALL(IF(ISNUMBER(MATCH($B$2:$B$10000,$E$6:$E$22,0)),ROW($C$2:$C$10000)-ROW($C$2)+1),ROWS(L$20:L898))))</f>
        <v>Jenni  Thorton</v>
      </c>
      <c r="I898" s="4">
        <f t="array" ref="I898">IF(ROWS(M$20:M898)&gt;$F$6,"",INDEX(C$2:C$10000,SMALL(IF(ISNUMBER(MATCH($B$2:$B$10000,$E$6:$E$22,0)),ROW($C$2:$C$10000)-ROW($C$2)+1),ROWS(M$20:M898))))</f>
        <v>28</v>
      </c>
      <c r="K898" s="7">
        <f t="array" ref="K898">IF(ROWS(K$20:K898)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898))))</f>
        <v>41956</v>
      </c>
      <c r="L898" s="4" t="str">
        <f t="array" ref="L898">IF(ROWS(L$20:L898)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898))))</f>
        <v>Jenni  Thorton</v>
      </c>
      <c r="M898" s="4">
        <f t="array" ref="M898">IF(ROWS(M$20:M898)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898))))</f>
        <v>28</v>
      </c>
    </row>
    <row r="899" spans="1:13" x14ac:dyDescent="0.25">
      <c r="A899" s="3">
        <v>41922</v>
      </c>
      <c r="B899" s="2" t="s">
        <v>15</v>
      </c>
      <c r="C899" s="2">
        <v>39</v>
      </c>
      <c r="G899" s="7">
        <f t="array" ref="G899">IF(ROWS(K$20:K899)&gt;$F$6,"",INDEX(A$2:A$10000,SMALL(IF(ISNUMBER(MATCH($B$2:$B$10000,$E$6:$E$22,0)),ROW($C$2:$C$10000)-ROW($C$2)+1),ROWS(K$20:K899))))</f>
        <v>41644</v>
      </c>
      <c r="H899" s="4" t="str">
        <f t="array" ref="H899">IF(ROWS(L$20:L899)&gt;$F$6,"",INDEX(B$2:B$10000,SMALL(IF(ISNUMBER(MATCH($B$2:$B$10000,$E$6:$E$22,0)),ROW($C$2:$C$10000)-ROW($C$2)+1),ROWS(L$20:L899))))</f>
        <v>Jenni  Thorton</v>
      </c>
      <c r="I899" s="4">
        <f t="array" ref="I899">IF(ROWS(M$20:M899)&gt;$F$6,"",INDEX(C$2:C$10000,SMALL(IF(ISNUMBER(MATCH($B$2:$B$10000,$E$6:$E$22,0)),ROW($C$2:$C$10000)-ROW($C$2)+1),ROWS(M$20:M899))))</f>
        <v>11</v>
      </c>
      <c r="K899" s="7">
        <f t="array" ref="K899">IF(ROWS(K$20:K899)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899))))</f>
        <v>41644</v>
      </c>
      <c r="L899" s="4" t="str">
        <f t="array" ref="L899">IF(ROWS(L$20:L899)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899))))</f>
        <v>Jenni  Thorton</v>
      </c>
      <c r="M899" s="4">
        <f t="array" ref="M899">IF(ROWS(M$20:M899)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899))))</f>
        <v>11</v>
      </c>
    </row>
    <row r="900" spans="1:13" x14ac:dyDescent="0.25">
      <c r="A900" s="3">
        <v>41951</v>
      </c>
      <c r="B900" s="2" t="s">
        <v>3</v>
      </c>
      <c r="C900" s="2">
        <v>61</v>
      </c>
      <c r="G900" s="7">
        <f t="array" ref="G900">IF(ROWS(K$20:K900)&gt;$F$6,"",INDEX(A$2:A$10000,SMALL(IF(ISNUMBER(MATCH($B$2:$B$10000,$E$6:$E$22,0)),ROW($C$2:$C$10000)-ROW($C$2)+1),ROWS(K$20:K900))))</f>
        <v>41619</v>
      </c>
      <c r="H900" s="4" t="str">
        <f t="array" ref="H900">IF(ROWS(L$20:L900)&gt;$F$6,"",INDEX(B$2:B$10000,SMALL(IF(ISNUMBER(MATCH($B$2:$B$10000,$E$6:$E$22,0)),ROW($C$2:$C$10000)-ROW($C$2)+1),ROWS(L$20:L900))))</f>
        <v>Kerrie  Worrell</v>
      </c>
      <c r="I900" s="4">
        <f t="array" ref="I900">IF(ROWS(M$20:M900)&gt;$F$6,"",INDEX(C$2:C$10000,SMALL(IF(ISNUMBER(MATCH($B$2:$B$10000,$E$6:$E$22,0)),ROW($C$2:$C$10000)-ROW($C$2)+1),ROWS(M$20:M900))))</f>
        <v>44</v>
      </c>
      <c r="K900" s="7">
        <f t="array" ref="K900">IF(ROWS(K$20:K900)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900))))</f>
        <v>41619</v>
      </c>
      <c r="L900" s="4" t="str">
        <f t="array" ref="L900">IF(ROWS(L$20:L900)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900))))</f>
        <v>Kerrie  Worrell</v>
      </c>
      <c r="M900" s="4">
        <f t="array" ref="M900">IF(ROWS(M$20:M900)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900))))</f>
        <v>44</v>
      </c>
    </row>
    <row r="901" spans="1:13" x14ac:dyDescent="0.25">
      <c r="A901" s="3">
        <v>41810</v>
      </c>
      <c r="B901" s="2" t="s">
        <v>51</v>
      </c>
      <c r="C901" s="2">
        <v>16</v>
      </c>
      <c r="G901" s="7">
        <f t="array" ref="G901">IF(ROWS(K$20:K901)&gt;$F$6,"",INDEX(A$2:A$10000,SMALL(IF(ISNUMBER(MATCH($B$2:$B$10000,$E$6:$E$22,0)),ROW($C$2:$C$10000)-ROW($C$2)+1),ROWS(K$20:K901))))</f>
        <v>41853</v>
      </c>
      <c r="H901" s="4" t="str">
        <f t="array" ref="H901">IF(ROWS(L$20:L901)&gt;$F$6,"",INDEX(B$2:B$10000,SMALL(IF(ISNUMBER(MATCH($B$2:$B$10000,$E$6:$E$22,0)),ROW($C$2:$C$10000)-ROW($C$2)+1),ROWS(L$20:L901))))</f>
        <v>Jenni  Thorton</v>
      </c>
      <c r="I901" s="4">
        <f t="array" ref="I901">IF(ROWS(M$20:M901)&gt;$F$6,"",INDEX(C$2:C$10000,SMALL(IF(ISNUMBER(MATCH($B$2:$B$10000,$E$6:$E$22,0)),ROW($C$2:$C$10000)-ROW($C$2)+1),ROWS(M$20:M901))))</f>
        <v>56</v>
      </c>
      <c r="K901" s="7">
        <f t="array" ref="K901">IF(ROWS(K$20:K901)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901))))</f>
        <v>41853</v>
      </c>
      <c r="L901" s="4" t="str">
        <f t="array" ref="L901">IF(ROWS(L$20:L901)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901))))</f>
        <v>Jenni  Thorton</v>
      </c>
      <c r="M901" s="4">
        <f t="array" ref="M901">IF(ROWS(M$20:M901)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901))))</f>
        <v>56</v>
      </c>
    </row>
    <row r="902" spans="1:13" x14ac:dyDescent="0.25">
      <c r="A902" s="3">
        <v>41984</v>
      </c>
      <c r="B902" s="2" t="s">
        <v>5</v>
      </c>
      <c r="C902" s="2">
        <v>36</v>
      </c>
      <c r="G902" s="7">
        <f t="array" ref="G902">IF(ROWS(K$20:K902)&gt;$F$6,"",INDEX(A$2:A$10000,SMALL(IF(ISNUMBER(MATCH($B$2:$B$10000,$E$6:$E$22,0)),ROW($C$2:$C$10000)-ROW($C$2)+1),ROWS(K$20:K902))))</f>
        <v>41582</v>
      </c>
      <c r="H902" s="4" t="str">
        <f t="array" ref="H902">IF(ROWS(L$20:L902)&gt;$F$6,"",INDEX(B$2:B$10000,SMALL(IF(ISNUMBER(MATCH($B$2:$B$10000,$E$6:$E$22,0)),ROW($C$2:$C$10000)-ROW($C$2)+1),ROWS(L$20:L902))))</f>
        <v>Jenni  Thorton</v>
      </c>
      <c r="I902" s="4">
        <f t="array" ref="I902">IF(ROWS(M$20:M902)&gt;$F$6,"",INDEX(C$2:C$10000,SMALL(IF(ISNUMBER(MATCH($B$2:$B$10000,$E$6:$E$22,0)),ROW($C$2:$C$10000)-ROW($C$2)+1),ROWS(M$20:M902))))</f>
        <v>20</v>
      </c>
      <c r="K902" s="7">
        <f t="array" ref="K902">IF(ROWS(K$20:K902)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902))))</f>
        <v>41582</v>
      </c>
      <c r="L902" s="4" t="str">
        <f t="array" ref="L902">IF(ROWS(L$20:L902)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902))))</f>
        <v>Jenni  Thorton</v>
      </c>
      <c r="M902" s="4">
        <f t="array" ref="M902">IF(ROWS(M$20:M902)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902))))</f>
        <v>20</v>
      </c>
    </row>
    <row r="903" spans="1:13" x14ac:dyDescent="0.25">
      <c r="A903" s="3">
        <v>42002</v>
      </c>
      <c r="B903" s="2" t="s">
        <v>36</v>
      </c>
      <c r="C903" s="2">
        <v>9</v>
      </c>
      <c r="G903" s="7">
        <f t="array" ref="G903">IF(ROWS(K$20:K903)&gt;$F$6,"",INDEX(A$2:A$10000,SMALL(IF(ISNUMBER(MATCH($B$2:$B$10000,$E$6:$E$22,0)),ROW($C$2:$C$10000)-ROW($C$2)+1),ROWS(K$20:K903))))</f>
        <v>41840</v>
      </c>
      <c r="H903" s="4" t="str">
        <f t="array" ref="H903">IF(ROWS(L$20:L903)&gt;$F$6,"",INDEX(B$2:B$10000,SMALL(IF(ISNUMBER(MATCH($B$2:$B$10000,$E$6:$E$22,0)),ROW($C$2:$C$10000)-ROW($C$2)+1),ROWS(L$20:L903))))</f>
        <v>Kerrie  Worrell</v>
      </c>
      <c r="I903" s="4">
        <f t="array" ref="I903">IF(ROWS(M$20:M903)&gt;$F$6,"",INDEX(C$2:C$10000,SMALL(IF(ISNUMBER(MATCH($B$2:$B$10000,$E$6:$E$22,0)),ROW($C$2:$C$10000)-ROW($C$2)+1),ROWS(M$20:M903))))</f>
        <v>0</v>
      </c>
      <c r="K903" s="7">
        <f t="array" ref="K903">IF(ROWS(K$20:K903)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903))))</f>
        <v>41840</v>
      </c>
      <c r="L903" s="4" t="str">
        <f t="array" ref="L903">IF(ROWS(L$20:L903)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903))))</f>
        <v>Kerrie  Worrell</v>
      </c>
      <c r="M903" s="4">
        <f t="array" ref="M903">IF(ROWS(M$20:M903)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903))))</f>
        <v>0</v>
      </c>
    </row>
    <row r="904" spans="1:13" x14ac:dyDescent="0.25">
      <c r="A904" s="3">
        <v>41868</v>
      </c>
      <c r="B904" s="2" t="s">
        <v>27</v>
      </c>
      <c r="C904" s="2">
        <v>41</v>
      </c>
      <c r="G904" s="7">
        <f t="array" ref="G904">IF(ROWS(K$20:K904)&gt;$F$6,"",INDEX(A$2:A$10000,SMALL(IF(ISNUMBER(MATCH($B$2:$B$10000,$E$6:$E$22,0)),ROW($C$2:$C$10000)-ROW($C$2)+1),ROWS(K$20:K904))))</f>
        <v>41751</v>
      </c>
      <c r="H904" s="4" t="str">
        <f t="array" ref="H904">IF(ROWS(L$20:L904)&gt;$F$6,"",INDEX(B$2:B$10000,SMALL(IF(ISNUMBER(MATCH($B$2:$B$10000,$E$6:$E$22,0)),ROW($C$2:$C$10000)-ROW($C$2)+1),ROWS(L$20:L904))))</f>
        <v>Mickey  Bolduc</v>
      </c>
      <c r="I904" s="4">
        <f t="array" ref="I904">IF(ROWS(M$20:M904)&gt;$F$6,"",INDEX(C$2:C$10000,SMALL(IF(ISNUMBER(MATCH($B$2:$B$10000,$E$6:$E$22,0)),ROW($C$2:$C$10000)-ROW($C$2)+1),ROWS(M$20:M904))))</f>
        <v>18</v>
      </c>
      <c r="K904" s="7">
        <f t="array" ref="K904">IF(ROWS(K$20:K904)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904))))</f>
        <v>41751</v>
      </c>
      <c r="L904" s="4" t="str">
        <f t="array" ref="L904">IF(ROWS(L$20:L904)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904))))</f>
        <v>Mickey  Bolduc</v>
      </c>
      <c r="M904" s="4">
        <f t="array" ref="M904">IF(ROWS(M$20:M904)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904))))</f>
        <v>18</v>
      </c>
    </row>
    <row r="905" spans="1:13" x14ac:dyDescent="0.25">
      <c r="A905" s="3">
        <v>41946</v>
      </c>
      <c r="B905" s="2" t="s">
        <v>32</v>
      </c>
      <c r="C905" s="2">
        <v>12</v>
      </c>
      <c r="G905" s="7">
        <f t="array" ref="G905">IF(ROWS(K$20:K905)&gt;$F$6,"",INDEX(A$2:A$10000,SMALL(IF(ISNUMBER(MATCH($B$2:$B$10000,$E$6:$E$22,0)),ROW($C$2:$C$10000)-ROW($C$2)+1),ROWS(K$20:K905))))</f>
        <v>41482</v>
      </c>
      <c r="H905" s="4" t="str">
        <f t="array" ref="H905">IF(ROWS(L$20:L905)&gt;$F$6,"",INDEX(B$2:B$10000,SMALL(IF(ISNUMBER(MATCH($B$2:$B$10000,$E$6:$E$22,0)),ROW($C$2:$C$10000)-ROW($C$2)+1),ROWS(L$20:L905))))</f>
        <v>Mickey  Bolduc</v>
      </c>
      <c r="I905" s="4">
        <f t="array" ref="I905">IF(ROWS(M$20:M905)&gt;$F$6,"",INDEX(C$2:C$10000,SMALL(IF(ISNUMBER(MATCH($B$2:$B$10000,$E$6:$E$22,0)),ROW($C$2:$C$10000)-ROW($C$2)+1),ROWS(M$20:M905))))</f>
        <v>23</v>
      </c>
      <c r="K905" s="7">
        <f t="array" ref="K905">IF(ROWS(K$20:K905)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905))))</f>
        <v>41482</v>
      </c>
      <c r="L905" s="4" t="str">
        <f t="array" ref="L905">IF(ROWS(L$20:L905)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905))))</f>
        <v>Mickey  Bolduc</v>
      </c>
      <c r="M905" s="4">
        <f t="array" ref="M905">IF(ROWS(M$20:M905)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905))))</f>
        <v>23</v>
      </c>
    </row>
    <row r="906" spans="1:13" x14ac:dyDescent="0.25">
      <c r="A906" s="3">
        <v>41286</v>
      </c>
      <c r="B906" s="2" t="s">
        <v>16</v>
      </c>
      <c r="C906" s="2">
        <v>36</v>
      </c>
      <c r="G906" s="7">
        <f t="array" ref="G906">IF(ROWS(K$20:K906)&gt;$F$6,"",INDEX(A$2:A$10000,SMALL(IF(ISNUMBER(MATCH($B$2:$B$10000,$E$6:$E$22,0)),ROW($C$2:$C$10000)-ROW($C$2)+1),ROWS(K$20:K906))))</f>
        <v>41794</v>
      </c>
      <c r="H906" s="4" t="str">
        <f t="array" ref="H906">IF(ROWS(L$20:L906)&gt;$F$6,"",INDEX(B$2:B$10000,SMALL(IF(ISNUMBER(MATCH($B$2:$B$10000,$E$6:$E$22,0)),ROW($C$2:$C$10000)-ROW($C$2)+1),ROWS(L$20:L906))))</f>
        <v>Galen  Barth</v>
      </c>
      <c r="I906" s="4">
        <f t="array" ref="I906">IF(ROWS(M$20:M906)&gt;$F$6,"",INDEX(C$2:C$10000,SMALL(IF(ISNUMBER(MATCH($B$2:$B$10000,$E$6:$E$22,0)),ROW($C$2:$C$10000)-ROW($C$2)+1),ROWS(M$20:M906))))</f>
        <v>5</v>
      </c>
      <c r="K906" s="7">
        <f t="array" ref="K906">IF(ROWS(K$20:K906)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906))))</f>
        <v>41794</v>
      </c>
      <c r="L906" s="4" t="str">
        <f t="array" ref="L906">IF(ROWS(L$20:L906)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906))))</f>
        <v>Galen  Barth</v>
      </c>
      <c r="M906" s="4">
        <f t="array" ref="M906">IF(ROWS(M$20:M906)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906))))</f>
        <v>5</v>
      </c>
    </row>
    <row r="907" spans="1:13" x14ac:dyDescent="0.25">
      <c r="A907" s="3">
        <v>41311</v>
      </c>
      <c r="B907" s="2" t="s">
        <v>35</v>
      </c>
      <c r="C907" s="2">
        <v>6</v>
      </c>
      <c r="G907" s="7">
        <f t="array" ref="G907">IF(ROWS(K$20:K907)&gt;$F$6,"",INDEX(A$2:A$10000,SMALL(IF(ISNUMBER(MATCH($B$2:$B$10000,$E$6:$E$22,0)),ROW($C$2:$C$10000)-ROW($C$2)+1),ROWS(K$20:K907))))</f>
        <v>41382</v>
      </c>
      <c r="H907" s="4" t="str">
        <f t="array" ref="H907">IF(ROWS(L$20:L907)&gt;$F$6,"",INDEX(B$2:B$10000,SMALL(IF(ISNUMBER(MATCH($B$2:$B$10000,$E$6:$E$22,0)),ROW($C$2:$C$10000)-ROW($C$2)+1),ROWS(L$20:L907))))</f>
        <v>Galen  Barth</v>
      </c>
      <c r="I907" s="4">
        <f t="array" ref="I907">IF(ROWS(M$20:M907)&gt;$F$6,"",INDEX(C$2:C$10000,SMALL(IF(ISNUMBER(MATCH($B$2:$B$10000,$E$6:$E$22,0)),ROW($C$2:$C$10000)-ROW($C$2)+1),ROWS(M$20:M907))))</f>
        <v>36</v>
      </c>
      <c r="K907" s="7">
        <f t="array" ref="K907">IF(ROWS(K$20:K907)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907))))</f>
        <v>41382</v>
      </c>
      <c r="L907" s="4" t="str">
        <f t="array" ref="L907">IF(ROWS(L$20:L907)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907))))</f>
        <v>Galen  Barth</v>
      </c>
      <c r="M907" s="4">
        <f t="array" ref="M907">IF(ROWS(M$20:M907)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907))))</f>
        <v>36</v>
      </c>
    </row>
    <row r="908" spans="1:13" x14ac:dyDescent="0.25">
      <c r="A908" s="3">
        <v>41610</v>
      </c>
      <c r="B908" s="2" t="s">
        <v>47</v>
      </c>
      <c r="C908" s="2">
        <v>6</v>
      </c>
      <c r="G908" s="7">
        <f t="array" ref="G908">IF(ROWS(K$20:K908)&gt;$F$6,"",INDEX(A$2:A$10000,SMALL(IF(ISNUMBER(MATCH($B$2:$B$10000,$E$6:$E$22,0)),ROW($C$2:$C$10000)-ROW($C$2)+1),ROWS(K$20:K908))))</f>
        <v>41954</v>
      </c>
      <c r="H908" s="4" t="str">
        <f t="array" ref="H908">IF(ROWS(L$20:L908)&gt;$F$6,"",INDEX(B$2:B$10000,SMALL(IF(ISNUMBER(MATCH($B$2:$B$10000,$E$6:$E$22,0)),ROW($C$2:$C$10000)-ROW($C$2)+1),ROWS(L$20:L908))))</f>
        <v>Kerrie  Worrell</v>
      </c>
      <c r="I908" s="4">
        <f t="array" ref="I908">IF(ROWS(M$20:M908)&gt;$F$6,"",INDEX(C$2:C$10000,SMALL(IF(ISNUMBER(MATCH($B$2:$B$10000,$E$6:$E$22,0)),ROW($C$2:$C$10000)-ROW($C$2)+1),ROWS(M$20:M908))))</f>
        <v>19</v>
      </c>
      <c r="K908" s="7">
        <f t="array" ref="K908">IF(ROWS(K$20:K908)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908))))</f>
        <v>41954</v>
      </c>
      <c r="L908" s="4" t="str">
        <f t="array" ref="L908">IF(ROWS(L$20:L908)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908))))</f>
        <v>Kerrie  Worrell</v>
      </c>
      <c r="M908" s="4">
        <f t="array" ref="M908">IF(ROWS(M$20:M908)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908))))</f>
        <v>19</v>
      </c>
    </row>
    <row r="909" spans="1:13" x14ac:dyDescent="0.25">
      <c r="A909" s="3">
        <v>41617</v>
      </c>
      <c r="B909" s="2" t="s">
        <v>45</v>
      </c>
      <c r="C909" s="2">
        <v>44</v>
      </c>
      <c r="G909" s="7">
        <f t="array" ref="G909">IF(ROWS(K$20:K909)&gt;$F$6,"",INDEX(A$2:A$10000,SMALL(IF(ISNUMBER(MATCH($B$2:$B$10000,$E$6:$E$22,0)),ROW($C$2:$C$10000)-ROW($C$2)+1),ROWS(K$20:K909))))</f>
        <v>41359</v>
      </c>
      <c r="H909" s="4" t="str">
        <f t="array" ref="H909">IF(ROWS(L$20:L909)&gt;$F$6,"",INDEX(B$2:B$10000,SMALL(IF(ISNUMBER(MATCH($B$2:$B$10000,$E$6:$E$22,0)),ROW($C$2:$C$10000)-ROW($C$2)+1),ROWS(L$20:L909))))</f>
        <v>Rosamond  Allard</v>
      </c>
      <c r="I909" s="4">
        <f t="array" ref="I909">IF(ROWS(M$20:M909)&gt;$F$6,"",INDEX(C$2:C$10000,SMALL(IF(ISNUMBER(MATCH($B$2:$B$10000,$E$6:$E$22,0)),ROW($C$2:$C$10000)-ROW($C$2)+1),ROWS(M$20:M909))))</f>
        <v>16</v>
      </c>
      <c r="K909" s="7">
        <f t="array" ref="K909">IF(ROWS(K$20:K909)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909))))</f>
        <v>41359</v>
      </c>
      <c r="L909" s="4" t="str">
        <f t="array" ref="L909">IF(ROWS(L$20:L909)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909))))</f>
        <v>Rosamond  Allard</v>
      </c>
      <c r="M909" s="4">
        <f t="array" ref="M909">IF(ROWS(M$20:M909)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909))))</f>
        <v>16</v>
      </c>
    </row>
    <row r="910" spans="1:13" x14ac:dyDescent="0.25">
      <c r="A910" s="3">
        <v>41901</v>
      </c>
      <c r="B910" s="2" t="s">
        <v>34</v>
      </c>
      <c r="C910" s="2">
        <v>3</v>
      </c>
      <c r="G910" s="7">
        <f t="array" ref="G910">IF(ROWS(K$20:K910)&gt;$F$6,"",INDEX(A$2:A$10000,SMALL(IF(ISNUMBER(MATCH($B$2:$B$10000,$E$6:$E$22,0)),ROW($C$2:$C$10000)-ROW($C$2)+1),ROWS(K$20:K910))))</f>
        <v>41845</v>
      </c>
      <c r="H910" s="4" t="str">
        <f t="array" ref="H910">IF(ROWS(L$20:L910)&gt;$F$6,"",INDEX(B$2:B$10000,SMALL(IF(ISNUMBER(MATCH($B$2:$B$10000,$E$6:$E$22,0)),ROW($C$2:$C$10000)-ROW($C$2)+1),ROWS(L$20:L910))))</f>
        <v>Iliana  Valerio</v>
      </c>
      <c r="I910" s="4">
        <f t="array" ref="I910">IF(ROWS(M$20:M910)&gt;$F$6,"",INDEX(C$2:C$10000,SMALL(IF(ISNUMBER(MATCH($B$2:$B$10000,$E$6:$E$22,0)),ROW($C$2:$C$10000)-ROW($C$2)+1),ROWS(M$20:M910))))</f>
        <v>5</v>
      </c>
      <c r="K910" s="7">
        <f t="array" ref="K910">IF(ROWS(K$20:K910)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910))))</f>
        <v>41845</v>
      </c>
      <c r="L910" s="4" t="str">
        <f t="array" ref="L910">IF(ROWS(L$20:L910)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910))))</f>
        <v>Iliana  Valerio</v>
      </c>
      <c r="M910" s="4">
        <f t="array" ref="M910">IF(ROWS(M$20:M910)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910))))</f>
        <v>5</v>
      </c>
    </row>
    <row r="911" spans="1:13" x14ac:dyDescent="0.25">
      <c r="A911" s="3">
        <v>42004</v>
      </c>
      <c r="B911" s="2" t="s">
        <v>48</v>
      </c>
      <c r="C911" s="2">
        <v>8</v>
      </c>
      <c r="G911" s="7">
        <f t="array" ref="G911">IF(ROWS(K$20:K911)&gt;$F$6,"",INDEX(A$2:A$10000,SMALL(IF(ISNUMBER(MATCH($B$2:$B$10000,$E$6:$E$22,0)),ROW($C$2:$C$10000)-ROW($C$2)+1),ROWS(K$20:K911))))</f>
        <v>41332</v>
      </c>
      <c r="H911" s="4" t="str">
        <f t="array" ref="H911">IF(ROWS(L$20:L911)&gt;$F$6,"",INDEX(B$2:B$10000,SMALL(IF(ISNUMBER(MATCH($B$2:$B$10000,$E$6:$E$22,0)),ROW($C$2:$C$10000)-ROW($C$2)+1),ROWS(L$20:L911))))</f>
        <v>Jenni  Thorton</v>
      </c>
      <c r="I911" s="4">
        <f t="array" ref="I911">IF(ROWS(M$20:M911)&gt;$F$6,"",INDEX(C$2:C$10000,SMALL(IF(ISNUMBER(MATCH($B$2:$B$10000,$E$6:$E$22,0)),ROW($C$2:$C$10000)-ROW($C$2)+1),ROWS(M$20:M911))))</f>
        <v>29</v>
      </c>
      <c r="K911" s="7">
        <f t="array" ref="K911">IF(ROWS(K$20:K911)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911))))</f>
        <v>41332</v>
      </c>
      <c r="L911" s="4" t="str">
        <f t="array" ref="L911">IF(ROWS(L$20:L911)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911))))</f>
        <v>Jenni  Thorton</v>
      </c>
      <c r="M911" s="4">
        <f t="array" ref="M911">IF(ROWS(M$20:M911)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911))))</f>
        <v>29</v>
      </c>
    </row>
    <row r="912" spans="1:13" x14ac:dyDescent="0.25">
      <c r="A912" s="3">
        <v>41721</v>
      </c>
      <c r="B912" s="2" t="s">
        <v>50</v>
      </c>
      <c r="C912" s="2">
        <v>49</v>
      </c>
      <c r="G912" s="7">
        <f t="array" ref="G912">IF(ROWS(K$20:K912)&gt;$F$6,"",INDEX(A$2:A$10000,SMALL(IF(ISNUMBER(MATCH($B$2:$B$10000,$E$6:$E$22,0)),ROW($C$2:$C$10000)-ROW($C$2)+1),ROWS(K$20:K912))))</f>
        <v>41337</v>
      </c>
      <c r="H912" s="4" t="str">
        <f t="array" ref="H912">IF(ROWS(L$20:L912)&gt;$F$6,"",INDEX(B$2:B$10000,SMALL(IF(ISNUMBER(MATCH($B$2:$B$10000,$E$6:$E$22,0)),ROW($C$2:$C$10000)-ROW($C$2)+1),ROWS(L$20:L912))))</f>
        <v>Kerrie  Worrell</v>
      </c>
      <c r="I912" s="4">
        <f t="array" ref="I912">IF(ROWS(M$20:M912)&gt;$F$6,"",INDEX(C$2:C$10000,SMALL(IF(ISNUMBER(MATCH($B$2:$B$10000,$E$6:$E$22,0)),ROW($C$2:$C$10000)-ROW($C$2)+1),ROWS(M$20:M912))))</f>
        <v>26</v>
      </c>
      <c r="K912" s="7">
        <f t="array" ref="K912">IF(ROWS(K$20:K912)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912))))</f>
        <v>41337</v>
      </c>
      <c r="L912" s="4" t="str">
        <f t="array" ref="L912">IF(ROWS(L$20:L912)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912))))</f>
        <v>Kerrie  Worrell</v>
      </c>
      <c r="M912" s="4">
        <f t="array" ref="M912">IF(ROWS(M$20:M912)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912))))</f>
        <v>26</v>
      </c>
    </row>
    <row r="913" spans="1:13" x14ac:dyDescent="0.25">
      <c r="A913" s="3">
        <v>41864</v>
      </c>
      <c r="B913" s="2" t="s">
        <v>30</v>
      </c>
      <c r="C913" s="2">
        <v>47</v>
      </c>
      <c r="G913" s="7">
        <f t="array" ref="G913">IF(ROWS(K$20:K913)&gt;$F$6,"",INDEX(A$2:A$10000,SMALL(IF(ISNUMBER(MATCH($B$2:$B$10000,$E$6:$E$22,0)),ROW($C$2:$C$10000)-ROW($C$2)+1),ROWS(K$20:K913))))</f>
        <v>41689</v>
      </c>
      <c r="H913" s="4" t="str">
        <f t="array" ref="H913">IF(ROWS(L$20:L913)&gt;$F$6,"",INDEX(B$2:B$10000,SMALL(IF(ISNUMBER(MATCH($B$2:$B$10000,$E$6:$E$22,0)),ROW($C$2:$C$10000)-ROW($C$2)+1),ROWS(L$20:L913))))</f>
        <v>Mickey  Bolduc</v>
      </c>
      <c r="I913" s="4">
        <f t="array" ref="I913">IF(ROWS(M$20:M913)&gt;$F$6,"",INDEX(C$2:C$10000,SMALL(IF(ISNUMBER(MATCH($B$2:$B$10000,$E$6:$E$22,0)),ROW($C$2:$C$10000)-ROW($C$2)+1),ROWS(M$20:M913))))</f>
        <v>35</v>
      </c>
      <c r="K913" s="7">
        <f t="array" ref="K913">IF(ROWS(K$20:K913)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913))))</f>
        <v>41689</v>
      </c>
      <c r="L913" s="4" t="str">
        <f t="array" ref="L913">IF(ROWS(L$20:L913)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913))))</f>
        <v>Mickey  Bolduc</v>
      </c>
      <c r="M913" s="4">
        <f t="array" ref="M913">IF(ROWS(M$20:M913)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913))))</f>
        <v>35</v>
      </c>
    </row>
    <row r="914" spans="1:13" x14ac:dyDescent="0.25">
      <c r="A914" s="3">
        <v>41786</v>
      </c>
      <c r="B914" s="2" t="s">
        <v>40</v>
      </c>
      <c r="C914" s="2">
        <v>22</v>
      </c>
      <c r="G914" s="7">
        <f t="array" ref="G914">IF(ROWS(K$20:K914)&gt;$F$6,"",INDEX(A$2:A$10000,SMALL(IF(ISNUMBER(MATCH($B$2:$B$10000,$E$6:$E$22,0)),ROW($C$2:$C$10000)-ROW($C$2)+1),ROWS(K$20:K914))))</f>
        <v>41783</v>
      </c>
      <c r="H914" s="4" t="str">
        <f t="array" ref="H914">IF(ROWS(L$20:L914)&gt;$F$6,"",INDEX(B$2:B$10000,SMALL(IF(ISNUMBER(MATCH($B$2:$B$10000,$E$6:$E$22,0)),ROW($C$2:$C$10000)-ROW($C$2)+1),ROWS(L$20:L914))))</f>
        <v>Galen  Barth</v>
      </c>
      <c r="I914" s="4">
        <f t="array" ref="I914">IF(ROWS(M$20:M914)&gt;$F$6,"",INDEX(C$2:C$10000,SMALL(IF(ISNUMBER(MATCH($B$2:$B$10000,$E$6:$E$22,0)),ROW($C$2:$C$10000)-ROW($C$2)+1),ROWS(M$20:M914))))</f>
        <v>33</v>
      </c>
      <c r="K914" s="7">
        <f t="array" ref="K914">IF(ROWS(K$20:K914)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914))))</f>
        <v>41783</v>
      </c>
      <c r="L914" s="4" t="str">
        <f t="array" ref="L914">IF(ROWS(L$20:L914)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914))))</f>
        <v>Galen  Barth</v>
      </c>
      <c r="M914" s="4">
        <f t="array" ref="M914">IF(ROWS(M$20:M914)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914))))</f>
        <v>33</v>
      </c>
    </row>
    <row r="915" spans="1:13" x14ac:dyDescent="0.25">
      <c r="A915" s="3">
        <v>41736</v>
      </c>
      <c r="B915" s="2" t="s">
        <v>32</v>
      </c>
      <c r="C915" s="2">
        <v>11</v>
      </c>
      <c r="G915" s="7">
        <f t="array" ref="G915">IF(ROWS(K$20:K915)&gt;$F$6,"",INDEX(A$2:A$10000,SMALL(IF(ISNUMBER(MATCH($B$2:$B$10000,$E$6:$E$22,0)),ROW($C$2:$C$10000)-ROW($C$2)+1),ROWS(K$20:K915))))</f>
        <v>41789</v>
      </c>
      <c r="H915" s="4" t="str">
        <f t="array" ref="H915">IF(ROWS(L$20:L915)&gt;$F$6,"",INDEX(B$2:B$10000,SMALL(IF(ISNUMBER(MATCH($B$2:$B$10000,$E$6:$E$22,0)),ROW($C$2:$C$10000)-ROW($C$2)+1),ROWS(L$20:L915))))</f>
        <v>Iliana  Valerio</v>
      </c>
      <c r="I915" s="4">
        <f t="array" ref="I915">IF(ROWS(M$20:M915)&gt;$F$6,"",INDEX(C$2:C$10000,SMALL(IF(ISNUMBER(MATCH($B$2:$B$10000,$E$6:$E$22,0)),ROW($C$2:$C$10000)-ROW($C$2)+1),ROWS(M$20:M915))))</f>
        <v>18</v>
      </c>
      <c r="K915" s="7">
        <f t="array" ref="K915">IF(ROWS(K$20:K915)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915))))</f>
        <v>41789</v>
      </c>
      <c r="L915" s="4" t="str">
        <f t="array" ref="L915">IF(ROWS(L$20:L915)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915))))</f>
        <v>Iliana  Valerio</v>
      </c>
      <c r="M915" s="4">
        <f t="array" ref="M915">IF(ROWS(M$20:M915)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915))))</f>
        <v>18</v>
      </c>
    </row>
    <row r="916" spans="1:13" x14ac:dyDescent="0.25">
      <c r="A916" s="3">
        <v>41616</v>
      </c>
      <c r="B916" s="2" t="s">
        <v>23</v>
      </c>
      <c r="C916" s="2">
        <v>37</v>
      </c>
      <c r="G916" s="7">
        <f t="array" ref="G916">IF(ROWS(K$20:K916)&gt;$F$6,"",INDEX(A$2:A$10000,SMALL(IF(ISNUMBER(MATCH($B$2:$B$10000,$E$6:$E$22,0)),ROW($C$2:$C$10000)-ROW($C$2)+1),ROWS(K$20:K916))))</f>
        <v>41549</v>
      </c>
      <c r="H916" s="4" t="str">
        <f t="array" ref="H916">IF(ROWS(L$20:L916)&gt;$F$6,"",INDEX(B$2:B$10000,SMALL(IF(ISNUMBER(MATCH($B$2:$B$10000,$E$6:$E$22,0)),ROW($C$2:$C$10000)-ROW($C$2)+1),ROWS(L$20:L916))))</f>
        <v>Kerrie  Worrell</v>
      </c>
      <c r="I916" s="4">
        <f t="array" ref="I916">IF(ROWS(M$20:M916)&gt;$F$6,"",INDEX(C$2:C$10000,SMALL(IF(ISNUMBER(MATCH($B$2:$B$10000,$E$6:$E$22,0)),ROW($C$2:$C$10000)-ROW($C$2)+1),ROWS(M$20:M916))))</f>
        <v>52</v>
      </c>
      <c r="K916" s="7">
        <f t="array" ref="K916">IF(ROWS(K$20:K916)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916))))</f>
        <v>41549</v>
      </c>
      <c r="L916" s="4" t="str">
        <f t="array" ref="L916">IF(ROWS(L$20:L916)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916))))</f>
        <v>Kerrie  Worrell</v>
      </c>
      <c r="M916" s="4">
        <f t="array" ref="M916">IF(ROWS(M$20:M916)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916))))</f>
        <v>52</v>
      </c>
    </row>
    <row r="917" spans="1:13" x14ac:dyDescent="0.25">
      <c r="A917" s="3">
        <v>41284</v>
      </c>
      <c r="B917" s="2" t="s">
        <v>37</v>
      </c>
      <c r="C917" s="2">
        <v>35</v>
      </c>
      <c r="G917" s="7">
        <f t="array" ref="G917">IF(ROWS(K$20:K917)&gt;$F$6,"",INDEX(A$2:A$10000,SMALL(IF(ISNUMBER(MATCH($B$2:$B$10000,$E$6:$E$22,0)),ROW($C$2:$C$10000)-ROW($C$2)+1),ROWS(K$20:K917))))</f>
        <v>41379</v>
      </c>
      <c r="H917" s="4" t="str">
        <f t="array" ref="H917">IF(ROWS(L$20:L917)&gt;$F$6,"",INDEX(B$2:B$10000,SMALL(IF(ISNUMBER(MATCH($B$2:$B$10000,$E$6:$E$22,0)),ROW($C$2:$C$10000)-ROW($C$2)+1),ROWS(L$20:L917))))</f>
        <v>Iliana  Valerio</v>
      </c>
      <c r="I917" s="4">
        <f t="array" ref="I917">IF(ROWS(M$20:M917)&gt;$F$6,"",INDEX(C$2:C$10000,SMALL(IF(ISNUMBER(MATCH($B$2:$B$10000,$E$6:$E$22,0)),ROW($C$2:$C$10000)-ROW($C$2)+1),ROWS(M$20:M917))))</f>
        <v>42</v>
      </c>
      <c r="K917" s="7">
        <f t="array" ref="K917">IF(ROWS(K$20:K917)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917))))</f>
        <v>41379</v>
      </c>
      <c r="L917" s="4" t="str">
        <f t="array" ref="L917">IF(ROWS(L$20:L917)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917))))</f>
        <v>Iliana  Valerio</v>
      </c>
      <c r="M917" s="4">
        <f t="array" ref="M917">IF(ROWS(M$20:M917)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917))))</f>
        <v>42</v>
      </c>
    </row>
    <row r="918" spans="1:13" x14ac:dyDescent="0.25">
      <c r="A918" s="3">
        <v>41720</v>
      </c>
      <c r="B918" s="2" t="s">
        <v>16</v>
      </c>
      <c r="C918" s="2">
        <v>15</v>
      </c>
      <c r="G918" s="7">
        <f t="array" ref="G918">IF(ROWS(K$20:K918)&gt;$F$6,"",INDEX(A$2:A$10000,SMALL(IF(ISNUMBER(MATCH($B$2:$B$10000,$E$6:$E$22,0)),ROW($C$2:$C$10000)-ROW($C$2)+1),ROWS(K$20:K918))))</f>
        <v>41981</v>
      </c>
      <c r="H918" s="4" t="str">
        <f t="array" ref="H918">IF(ROWS(L$20:L918)&gt;$F$6,"",INDEX(B$2:B$10000,SMALL(IF(ISNUMBER(MATCH($B$2:$B$10000,$E$6:$E$22,0)),ROW($C$2:$C$10000)-ROW($C$2)+1),ROWS(L$20:L918))))</f>
        <v>Galen  Barth</v>
      </c>
      <c r="I918" s="4">
        <f t="array" ref="I918">IF(ROWS(M$20:M918)&gt;$F$6,"",INDEX(C$2:C$10000,SMALL(IF(ISNUMBER(MATCH($B$2:$B$10000,$E$6:$E$22,0)),ROW($C$2:$C$10000)-ROW($C$2)+1),ROWS(M$20:M918))))</f>
        <v>33</v>
      </c>
      <c r="K918" s="7">
        <f t="array" ref="K918">IF(ROWS(K$20:K918)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918))))</f>
        <v>41981</v>
      </c>
      <c r="L918" s="4" t="str">
        <f t="array" ref="L918">IF(ROWS(L$20:L918)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918))))</f>
        <v>Galen  Barth</v>
      </c>
      <c r="M918" s="4">
        <f t="array" ref="M918">IF(ROWS(M$20:M918)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918))))</f>
        <v>33</v>
      </c>
    </row>
    <row r="919" spans="1:13" x14ac:dyDescent="0.25">
      <c r="A919" s="3">
        <v>41510</v>
      </c>
      <c r="B919" s="2" t="s">
        <v>39</v>
      </c>
      <c r="C919" s="2">
        <v>26</v>
      </c>
      <c r="G919" s="7">
        <f t="array" ref="G919">IF(ROWS(K$20:K919)&gt;$F$6,"",INDEX(A$2:A$10000,SMALL(IF(ISNUMBER(MATCH($B$2:$B$10000,$E$6:$E$22,0)),ROW($C$2:$C$10000)-ROW($C$2)+1),ROWS(K$20:K919))))</f>
        <v>41953</v>
      </c>
      <c r="H919" s="4" t="str">
        <f t="array" ref="H919">IF(ROWS(L$20:L919)&gt;$F$6,"",INDEX(B$2:B$10000,SMALL(IF(ISNUMBER(MATCH($B$2:$B$10000,$E$6:$E$22,0)),ROW($C$2:$C$10000)-ROW($C$2)+1),ROWS(L$20:L919))))</f>
        <v>Jenni  Thorton</v>
      </c>
      <c r="I919" s="4">
        <f t="array" ref="I919">IF(ROWS(M$20:M919)&gt;$F$6,"",INDEX(C$2:C$10000,SMALL(IF(ISNUMBER(MATCH($B$2:$B$10000,$E$6:$E$22,0)),ROW($C$2:$C$10000)-ROW($C$2)+1),ROWS(M$20:M919))))</f>
        <v>16</v>
      </c>
      <c r="K919" s="7">
        <f t="array" ref="K919">IF(ROWS(K$20:K919)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919))))</f>
        <v>41953</v>
      </c>
      <c r="L919" s="4" t="str">
        <f t="array" ref="L919">IF(ROWS(L$20:L919)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919))))</f>
        <v>Jenni  Thorton</v>
      </c>
      <c r="M919" s="4">
        <f t="array" ref="M919">IF(ROWS(M$20:M919)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919))))</f>
        <v>16</v>
      </c>
    </row>
    <row r="920" spans="1:13" x14ac:dyDescent="0.25">
      <c r="A920" s="3">
        <v>41397</v>
      </c>
      <c r="B920" s="2" t="s">
        <v>9</v>
      </c>
      <c r="C920" s="2">
        <v>17</v>
      </c>
      <c r="G920" s="7">
        <f t="array" ref="G920">IF(ROWS(K$20:K920)&gt;$F$6,"",INDEX(A$2:A$10000,SMALL(IF(ISNUMBER(MATCH($B$2:$B$10000,$E$6:$E$22,0)),ROW($C$2:$C$10000)-ROW($C$2)+1),ROWS(K$20:K920))))</f>
        <v>41574</v>
      </c>
      <c r="H920" s="4" t="str">
        <f t="array" ref="H920">IF(ROWS(L$20:L920)&gt;$F$6,"",INDEX(B$2:B$10000,SMALL(IF(ISNUMBER(MATCH($B$2:$B$10000,$E$6:$E$22,0)),ROW($C$2:$C$10000)-ROW($C$2)+1),ROWS(L$20:L920))))</f>
        <v>Jenni  Thorton</v>
      </c>
      <c r="I920" s="4">
        <f t="array" ref="I920">IF(ROWS(M$20:M920)&gt;$F$6,"",INDEX(C$2:C$10000,SMALL(IF(ISNUMBER(MATCH($B$2:$B$10000,$E$6:$E$22,0)),ROW($C$2:$C$10000)-ROW($C$2)+1),ROWS(M$20:M920))))</f>
        <v>36</v>
      </c>
      <c r="K920" s="7">
        <f t="array" ref="K920">IF(ROWS(K$20:K920)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920))))</f>
        <v>41574</v>
      </c>
      <c r="L920" s="4" t="str">
        <f t="array" ref="L920">IF(ROWS(L$20:L920)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920))))</f>
        <v>Jenni  Thorton</v>
      </c>
      <c r="M920" s="4">
        <f t="array" ref="M920">IF(ROWS(M$20:M920)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920))))</f>
        <v>36</v>
      </c>
    </row>
    <row r="921" spans="1:13" x14ac:dyDescent="0.25">
      <c r="A921" s="3">
        <v>41621</v>
      </c>
      <c r="B921" s="2" t="s">
        <v>39</v>
      </c>
      <c r="C921" s="2">
        <v>46</v>
      </c>
      <c r="G921" s="7">
        <f t="array" ref="G921">IF(ROWS(K$20:K921)&gt;$F$6,"",INDEX(A$2:A$10000,SMALL(IF(ISNUMBER(MATCH($B$2:$B$10000,$E$6:$E$22,0)),ROW($C$2:$C$10000)-ROW($C$2)+1),ROWS(K$20:K921))))</f>
        <v>41333</v>
      </c>
      <c r="H921" s="4" t="str">
        <f t="array" ref="H921">IF(ROWS(L$20:L921)&gt;$F$6,"",INDEX(B$2:B$10000,SMALL(IF(ISNUMBER(MATCH($B$2:$B$10000,$E$6:$E$22,0)),ROW($C$2:$C$10000)-ROW($C$2)+1),ROWS(L$20:L921))))</f>
        <v>Mickey  Bolduc</v>
      </c>
      <c r="I921" s="4">
        <f t="array" ref="I921">IF(ROWS(M$20:M921)&gt;$F$6,"",INDEX(C$2:C$10000,SMALL(IF(ISNUMBER(MATCH($B$2:$B$10000,$E$6:$E$22,0)),ROW($C$2:$C$10000)-ROW($C$2)+1),ROWS(M$20:M921))))</f>
        <v>20</v>
      </c>
      <c r="K921" s="7">
        <f t="array" ref="K921">IF(ROWS(K$20:K921)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921))))</f>
        <v>41333</v>
      </c>
      <c r="L921" s="4" t="str">
        <f t="array" ref="L921">IF(ROWS(L$20:L921)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921))))</f>
        <v>Mickey  Bolduc</v>
      </c>
      <c r="M921" s="4">
        <f t="array" ref="M921">IF(ROWS(M$20:M921)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921))))</f>
        <v>20</v>
      </c>
    </row>
    <row r="922" spans="1:13" x14ac:dyDescent="0.25">
      <c r="A922" s="3">
        <v>41359</v>
      </c>
      <c r="B922" s="2" t="s">
        <v>19</v>
      </c>
      <c r="C922" s="2">
        <v>27</v>
      </c>
      <c r="G922" s="7">
        <f t="array" ref="G922">IF(ROWS(K$20:K922)&gt;$F$6,"",INDEX(A$2:A$10000,SMALL(IF(ISNUMBER(MATCH($B$2:$B$10000,$E$6:$E$22,0)),ROW($C$2:$C$10000)-ROW($C$2)+1),ROWS(K$20:K922))))</f>
        <v>41408</v>
      </c>
      <c r="H922" s="4" t="str">
        <f t="array" ref="H922">IF(ROWS(L$20:L922)&gt;$F$6,"",INDEX(B$2:B$10000,SMALL(IF(ISNUMBER(MATCH($B$2:$B$10000,$E$6:$E$22,0)),ROW($C$2:$C$10000)-ROW($C$2)+1),ROWS(L$20:L922))))</f>
        <v>Mickey  Bolduc</v>
      </c>
      <c r="I922" s="4">
        <f t="array" ref="I922">IF(ROWS(M$20:M922)&gt;$F$6,"",INDEX(C$2:C$10000,SMALL(IF(ISNUMBER(MATCH($B$2:$B$10000,$E$6:$E$22,0)),ROW($C$2:$C$10000)-ROW($C$2)+1),ROWS(M$20:M922))))</f>
        <v>7</v>
      </c>
      <c r="K922" s="7">
        <f t="array" ref="K922">IF(ROWS(K$20:K922)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922))))</f>
        <v>41408</v>
      </c>
      <c r="L922" s="4" t="str">
        <f t="array" ref="L922">IF(ROWS(L$20:L922)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922))))</f>
        <v>Mickey  Bolduc</v>
      </c>
      <c r="M922" s="4">
        <f t="array" ref="M922">IF(ROWS(M$20:M922)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922))))</f>
        <v>7</v>
      </c>
    </row>
    <row r="923" spans="1:13" x14ac:dyDescent="0.25">
      <c r="A923" s="3">
        <v>41366</v>
      </c>
      <c r="B923" s="2" t="s">
        <v>22</v>
      </c>
      <c r="C923" s="2">
        <v>12</v>
      </c>
      <c r="G923" s="7">
        <f t="array" ref="G923">IF(ROWS(K$20:K923)&gt;$F$6,"",INDEX(A$2:A$10000,SMALL(IF(ISNUMBER(MATCH($B$2:$B$10000,$E$6:$E$22,0)),ROW($C$2:$C$10000)-ROW($C$2)+1),ROWS(K$20:K923))))</f>
        <v>41925</v>
      </c>
      <c r="H923" s="4" t="str">
        <f t="array" ref="H923">IF(ROWS(L$20:L923)&gt;$F$6,"",INDEX(B$2:B$10000,SMALL(IF(ISNUMBER(MATCH($B$2:$B$10000,$E$6:$E$22,0)),ROW($C$2:$C$10000)-ROW($C$2)+1),ROWS(L$20:L923))))</f>
        <v>Iliana  Valerio</v>
      </c>
      <c r="I923" s="4">
        <f t="array" ref="I923">IF(ROWS(M$20:M923)&gt;$F$6,"",INDEX(C$2:C$10000,SMALL(IF(ISNUMBER(MATCH($B$2:$B$10000,$E$6:$E$22,0)),ROW($C$2:$C$10000)-ROW($C$2)+1),ROWS(M$20:M923))))</f>
        <v>29</v>
      </c>
      <c r="K923" s="7">
        <f t="array" ref="K923">IF(ROWS(K$20:K923)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923))))</f>
        <v>41925</v>
      </c>
      <c r="L923" s="4" t="str">
        <f t="array" ref="L923">IF(ROWS(L$20:L923)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923))))</f>
        <v>Iliana  Valerio</v>
      </c>
      <c r="M923" s="4">
        <f t="array" ref="M923">IF(ROWS(M$20:M923)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923))))</f>
        <v>29</v>
      </c>
    </row>
    <row r="924" spans="1:13" x14ac:dyDescent="0.25">
      <c r="A924" s="3">
        <v>41928</v>
      </c>
      <c r="B924" s="2" t="s">
        <v>10</v>
      </c>
      <c r="C924" s="2">
        <v>51</v>
      </c>
      <c r="G924" s="7">
        <f t="array" ref="G924">IF(ROWS(K$20:K924)&gt;$F$6,"",INDEX(A$2:A$10000,SMALL(IF(ISNUMBER(MATCH($B$2:$B$10000,$E$6:$E$22,0)),ROW($C$2:$C$10000)-ROW($C$2)+1),ROWS(K$20:K924))))</f>
        <v>41445</v>
      </c>
      <c r="H924" s="4" t="str">
        <f t="array" ref="H924">IF(ROWS(L$20:L924)&gt;$F$6,"",INDEX(B$2:B$10000,SMALL(IF(ISNUMBER(MATCH($B$2:$B$10000,$E$6:$E$22,0)),ROW($C$2:$C$10000)-ROW($C$2)+1),ROWS(L$20:L924))))</f>
        <v>Kerrie  Worrell</v>
      </c>
      <c r="I924" s="4">
        <f t="array" ref="I924">IF(ROWS(M$20:M924)&gt;$F$6,"",INDEX(C$2:C$10000,SMALL(IF(ISNUMBER(MATCH($B$2:$B$10000,$E$6:$E$22,0)),ROW($C$2:$C$10000)-ROW($C$2)+1),ROWS(M$20:M924))))</f>
        <v>33</v>
      </c>
      <c r="K924" s="7">
        <f t="array" ref="K924">IF(ROWS(K$20:K924)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924))))</f>
        <v>41445</v>
      </c>
      <c r="L924" s="4" t="str">
        <f t="array" ref="L924">IF(ROWS(L$20:L924)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924))))</f>
        <v>Kerrie  Worrell</v>
      </c>
      <c r="M924" s="4">
        <f t="array" ref="M924">IF(ROWS(M$20:M924)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924))))</f>
        <v>33</v>
      </c>
    </row>
    <row r="925" spans="1:13" x14ac:dyDescent="0.25">
      <c r="A925" s="3">
        <v>41926</v>
      </c>
      <c r="B925" s="2" t="s">
        <v>23</v>
      </c>
      <c r="C925" s="2">
        <v>32</v>
      </c>
      <c r="G925" s="7">
        <f t="array" ref="G925">IF(ROWS(K$20:K925)&gt;$F$6,"",INDEX(A$2:A$10000,SMALL(IF(ISNUMBER(MATCH($B$2:$B$10000,$E$6:$E$22,0)),ROW($C$2:$C$10000)-ROW($C$2)+1),ROWS(K$20:K925))))</f>
        <v>41690</v>
      </c>
      <c r="H925" s="4" t="str">
        <f t="array" ref="H925">IF(ROWS(L$20:L925)&gt;$F$6,"",INDEX(B$2:B$10000,SMALL(IF(ISNUMBER(MATCH($B$2:$B$10000,$E$6:$E$22,0)),ROW($C$2:$C$10000)-ROW($C$2)+1),ROWS(L$20:L925))))</f>
        <v>Jenni  Thorton</v>
      </c>
      <c r="I925" s="4">
        <f t="array" ref="I925">IF(ROWS(M$20:M925)&gt;$F$6,"",INDEX(C$2:C$10000,SMALL(IF(ISNUMBER(MATCH($B$2:$B$10000,$E$6:$E$22,0)),ROW($C$2:$C$10000)-ROW($C$2)+1),ROWS(M$20:M925))))</f>
        <v>35</v>
      </c>
      <c r="K925" s="7">
        <f t="array" ref="K925">IF(ROWS(K$20:K925)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925))))</f>
        <v>41690</v>
      </c>
      <c r="L925" s="4" t="str">
        <f t="array" ref="L925">IF(ROWS(L$20:L925)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925))))</f>
        <v>Jenni  Thorton</v>
      </c>
      <c r="M925" s="4">
        <f t="array" ref="M925">IF(ROWS(M$20:M925)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925))))</f>
        <v>35</v>
      </c>
    </row>
    <row r="926" spans="1:13" x14ac:dyDescent="0.25">
      <c r="A926" s="3">
        <v>41832</v>
      </c>
      <c r="B926" s="2" t="s">
        <v>17</v>
      </c>
      <c r="C926" s="2">
        <v>36</v>
      </c>
      <c r="G926" s="7">
        <f t="array" ref="G926">IF(ROWS(K$20:K926)&gt;$F$6,"",INDEX(A$2:A$10000,SMALL(IF(ISNUMBER(MATCH($B$2:$B$10000,$E$6:$E$22,0)),ROW($C$2:$C$10000)-ROW($C$2)+1),ROWS(K$20:K926))))</f>
        <v>41462</v>
      </c>
      <c r="H926" s="4" t="str">
        <f t="array" ref="H926">IF(ROWS(L$20:L926)&gt;$F$6,"",INDEX(B$2:B$10000,SMALL(IF(ISNUMBER(MATCH($B$2:$B$10000,$E$6:$E$22,0)),ROW($C$2:$C$10000)-ROW($C$2)+1),ROWS(L$20:L926))))</f>
        <v>Kerrie  Worrell</v>
      </c>
      <c r="I926" s="4">
        <f t="array" ref="I926">IF(ROWS(M$20:M926)&gt;$F$6,"",INDEX(C$2:C$10000,SMALL(IF(ISNUMBER(MATCH($B$2:$B$10000,$E$6:$E$22,0)),ROW($C$2:$C$10000)-ROW($C$2)+1),ROWS(M$20:M926))))</f>
        <v>17</v>
      </c>
      <c r="K926" s="7">
        <f t="array" ref="K926">IF(ROWS(K$20:K926)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926))))</f>
        <v>41462</v>
      </c>
      <c r="L926" s="4" t="str">
        <f t="array" ref="L926">IF(ROWS(L$20:L926)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926))))</f>
        <v>Kerrie  Worrell</v>
      </c>
      <c r="M926" s="4">
        <f t="array" ref="M926">IF(ROWS(M$20:M926)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926))))</f>
        <v>17</v>
      </c>
    </row>
    <row r="927" spans="1:13" x14ac:dyDescent="0.25">
      <c r="A927" s="3">
        <v>41662</v>
      </c>
      <c r="B927" s="2" t="s">
        <v>44</v>
      </c>
      <c r="C927" s="2">
        <v>29</v>
      </c>
      <c r="G927" s="7">
        <f t="array" ref="G927">IF(ROWS(K$20:K927)&gt;$F$6,"",INDEX(A$2:A$10000,SMALL(IF(ISNUMBER(MATCH($B$2:$B$10000,$E$6:$E$22,0)),ROW($C$2:$C$10000)-ROW($C$2)+1),ROWS(K$20:K927))))</f>
        <v>41938</v>
      </c>
      <c r="H927" s="4" t="str">
        <f t="array" ref="H927">IF(ROWS(L$20:L927)&gt;$F$6,"",INDEX(B$2:B$10000,SMALL(IF(ISNUMBER(MATCH($B$2:$B$10000,$E$6:$E$22,0)),ROW($C$2:$C$10000)-ROW($C$2)+1),ROWS(L$20:L927))))</f>
        <v>Iliana  Valerio</v>
      </c>
      <c r="I927" s="4">
        <f t="array" ref="I927">IF(ROWS(M$20:M927)&gt;$F$6,"",INDEX(C$2:C$10000,SMALL(IF(ISNUMBER(MATCH($B$2:$B$10000,$E$6:$E$22,0)),ROW($C$2:$C$10000)-ROW($C$2)+1),ROWS(M$20:M927))))</f>
        <v>29</v>
      </c>
      <c r="K927" s="7">
        <f t="array" ref="K927">IF(ROWS(K$20:K927)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927))))</f>
        <v>41938</v>
      </c>
      <c r="L927" s="4" t="str">
        <f t="array" ref="L927">IF(ROWS(L$20:L927)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927))))</f>
        <v>Iliana  Valerio</v>
      </c>
      <c r="M927" s="4">
        <f t="array" ref="M927">IF(ROWS(M$20:M927)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927))))</f>
        <v>29</v>
      </c>
    </row>
    <row r="928" spans="1:13" x14ac:dyDescent="0.25">
      <c r="A928" s="3">
        <v>41420</v>
      </c>
      <c r="B928" s="2" t="s">
        <v>6</v>
      </c>
      <c r="C928" s="2">
        <v>4</v>
      </c>
      <c r="G928" s="7">
        <f t="array" ref="G928">IF(ROWS(K$20:K928)&gt;$F$6,"",INDEX(A$2:A$10000,SMALL(IF(ISNUMBER(MATCH($B$2:$B$10000,$E$6:$E$22,0)),ROW($C$2:$C$10000)-ROW($C$2)+1),ROWS(K$20:K928))))</f>
        <v>41301</v>
      </c>
      <c r="H928" s="4" t="str">
        <f t="array" ref="H928">IF(ROWS(L$20:L928)&gt;$F$6,"",INDEX(B$2:B$10000,SMALL(IF(ISNUMBER(MATCH($B$2:$B$10000,$E$6:$E$22,0)),ROW($C$2:$C$10000)-ROW($C$2)+1),ROWS(L$20:L928))))</f>
        <v>Galen  Barth</v>
      </c>
      <c r="I928" s="4">
        <f t="array" ref="I928">IF(ROWS(M$20:M928)&gt;$F$6,"",INDEX(C$2:C$10000,SMALL(IF(ISNUMBER(MATCH($B$2:$B$10000,$E$6:$E$22,0)),ROW($C$2:$C$10000)-ROW($C$2)+1),ROWS(M$20:M928))))</f>
        <v>37</v>
      </c>
      <c r="K928" s="7">
        <f t="array" ref="K928">IF(ROWS(K$20:K928)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928))))</f>
        <v>41301</v>
      </c>
      <c r="L928" s="4" t="str">
        <f t="array" ref="L928">IF(ROWS(L$20:L928)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928))))</f>
        <v>Galen  Barth</v>
      </c>
      <c r="M928" s="4">
        <f t="array" ref="M928">IF(ROWS(M$20:M928)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928))))</f>
        <v>37</v>
      </c>
    </row>
    <row r="929" spans="1:13" x14ac:dyDescent="0.25">
      <c r="A929" s="3">
        <v>41301</v>
      </c>
      <c r="B929" s="2" t="s">
        <v>50</v>
      </c>
      <c r="C929" s="2">
        <v>22</v>
      </c>
      <c r="G929" s="7">
        <f t="array" ref="G929">IF(ROWS(K$20:K929)&gt;$F$6,"",INDEX(A$2:A$10000,SMALL(IF(ISNUMBER(MATCH($B$2:$B$10000,$E$6:$E$22,0)),ROW($C$2:$C$10000)-ROW($C$2)+1),ROWS(K$20:K929))))</f>
        <v>41936</v>
      </c>
      <c r="H929" s="4" t="str">
        <f t="array" ref="H929">IF(ROWS(L$20:L929)&gt;$F$6,"",INDEX(B$2:B$10000,SMALL(IF(ISNUMBER(MATCH($B$2:$B$10000,$E$6:$E$22,0)),ROW($C$2:$C$10000)-ROW($C$2)+1),ROWS(L$20:L929))))</f>
        <v>Kerrie  Worrell</v>
      </c>
      <c r="I929" s="4">
        <f t="array" ref="I929">IF(ROWS(M$20:M929)&gt;$F$6,"",INDEX(C$2:C$10000,SMALL(IF(ISNUMBER(MATCH($B$2:$B$10000,$E$6:$E$22,0)),ROW($C$2:$C$10000)-ROW($C$2)+1),ROWS(M$20:M929))))</f>
        <v>12</v>
      </c>
      <c r="K929" s="7">
        <f t="array" ref="K929">IF(ROWS(K$20:K929)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929))))</f>
        <v>41936</v>
      </c>
      <c r="L929" s="4" t="str">
        <f t="array" ref="L929">IF(ROWS(L$20:L929)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929))))</f>
        <v>Kerrie  Worrell</v>
      </c>
      <c r="M929" s="4">
        <f t="array" ref="M929">IF(ROWS(M$20:M929)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929))))</f>
        <v>12</v>
      </c>
    </row>
    <row r="930" spans="1:13" x14ac:dyDescent="0.25">
      <c r="A930" s="3">
        <v>41907</v>
      </c>
      <c r="B930" s="2" t="s">
        <v>6</v>
      </c>
      <c r="C930" s="2">
        <v>15</v>
      </c>
      <c r="G930" s="7">
        <f t="array" ref="G930">IF(ROWS(K$20:K930)&gt;$F$6,"",INDEX(A$2:A$10000,SMALL(IF(ISNUMBER(MATCH($B$2:$B$10000,$E$6:$E$22,0)),ROW($C$2:$C$10000)-ROW($C$2)+1),ROWS(K$20:K930))))</f>
        <v>41469</v>
      </c>
      <c r="H930" s="4" t="str">
        <f t="array" ref="H930">IF(ROWS(L$20:L930)&gt;$F$6,"",INDEX(B$2:B$10000,SMALL(IF(ISNUMBER(MATCH($B$2:$B$10000,$E$6:$E$22,0)),ROW($C$2:$C$10000)-ROW($C$2)+1),ROWS(L$20:L930))))</f>
        <v>Iliana  Valerio</v>
      </c>
      <c r="I930" s="4">
        <f t="array" ref="I930">IF(ROWS(M$20:M930)&gt;$F$6,"",INDEX(C$2:C$10000,SMALL(IF(ISNUMBER(MATCH($B$2:$B$10000,$E$6:$E$22,0)),ROW($C$2:$C$10000)-ROW($C$2)+1),ROWS(M$20:M930))))</f>
        <v>20</v>
      </c>
      <c r="K930" s="7">
        <f t="array" ref="K930">IF(ROWS(K$20:K930)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930))))</f>
        <v>41469</v>
      </c>
      <c r="L930" s="4" t="str">
        <f t="array" ref="L930">IF(ROWS(L$20:L930)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930))))</f>
        <v>Iliana  Valerio</v>
      </c>
      <c r="M930" s="4">
        <f t="array" ref="M930">IF(ROWS(M$20:M930)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930))))</f>
        <v>20</v>
      </c>
    </row>
    <row r="931" spans="1:13" x14ac:dyDescent="0.25">
      <c r="A931" s="3">
        <v>41876</v>
      </c>
      <c r="B931" s="2" t="s">
        <v>36</v>
      </c>
      <c r="C931" s="2">
        <v>28</v>
      </c>
      <c r="G931" s="7">
        <f t="array" ref="G931">IF(ROWS(K$20:K931)&gt;$F$6,"",INDEX(A$2:A$10000,SMALL(IF(ISNUMBER(MATCH($B$2:$B$10000,$E$6:$E$22,0)),ROW($C$2:$C$10000)-ROW($C$2)+1),ROWS(K$20:K931))))</f>
        <v>41845</v>
      </c>
      <c r="H931" s="4" t="str">
        <f t="array" ref="H931">IF(ROWS(L$20:L931)&gt;$F$6,"",INDEX(B$2:B$10000,SMALL(IF(ISNUMBER(MATCH($B$2:$B$10000,$E$6:$E$22,0)),ROW($C$2:$C$10000)-ROW($C$2)+1),ROWS(L$20:L931))))</f>
        <v>Iliana  Valerio</v>
      </c>
      <c r="I931" s="4">
        <f t="array" ref="I931">IF(ROWS(M$20:M931)&gt;$F$6,"",INDEX(C$2:C$10000,SMALL(IF(ISNUMBER(MATCH($B$2:$B$10000,$E$6:$E$22,0)),ROW($C$2:$C$10000)-ROW($C$2)+1),ROWS(M$20:M931))))</f>
        <v>46</v>
      </c>
      <c r="K931" s="7">
        <f t="array" ref="K931">IF(ROWS(K$20:K931)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931))))</f>
        <v>41845</v>
      </c>
      <c r="L931" s="4" t="str">
        <f t="array" ref="L931">IF(ROWS(L$20:L931)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931))))</f>
        <v>Iliana  Valerio</v>
      </c>
      <c r="M931" s="4">
        <f t="array" ref="M931">IF(ROWS(M$20:M931)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931))))</f>
        <v>46</v>
      </c>
    </row>
    <row r="932" spans="1:13" x14ac:dyDescent="0.25">
      <c r="A932" s="3">
        <v>41496</v>
      </c>
      <c r="B932" s="2" t="s">
        <v>26</v>
      </c>
      <c r="C932" s="2">
        <v>39</v>
      </c>
      <c r="G932" s="7">
        <f t="array" ref="G932">IF(ROWS(K$20:K932)&gt;$F$6,"",INDEX(A$2:A$10000,SMALL(IF(ISNUMBER(MATCH($B$2:$B$10000,$E$6:$E$22,0)),ROW($C$2:$C$10000)-ROW($C$2)+1),ROWS(K$20:K932))))</f>
        <v>41810</v>
      </c>
      <c r="H932" s="4" t="str">
        <f t="array" ref="H932">IF(ROWS(L$20:L932)&gt;$F$6,"",INDEX(B$2:B$10000,SMALL(IF(ISNUMBER(MATCH($B$2:$B$10000,$E$6:$E$22,0)),ROW($C$2:$C$10000)-ROW($C$2)+1),ROWS(L$20:L932))))</f>
        <v>Mickey  Bolduc</v>
      </c>
      <c r="I932" s="4">
        <f t="array" ref="I932">IF(ROWS(M$20:M932)&gt;$F$6,"",INDEX(C$2:C$10000,SMALL(IF(ISNUMBER(MATCH($B$2:$B$10000,$E$6:$E$22,0)),ROW($C$2:$C$10000)-ROW($C$2)+1),ROWS(M$20:M932))))</f>
        <v>13</v>
      </c>
      <c r="K932" s="7">
        <f t="array" ref="K932">IF(ROWS(K$20:K932)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932))))</f>
        <v>41810</v>
      </c>
      <c r="L932" s="4" t="str">
        <f t="array" ref="L932">IF(ROWS(L$20:L932)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932))))</f>
        <v>Mickey  Bolduc</v>
      </c>
      <c r="M932" s="4">
        <f t="array" ref="M932">IF(ROWS(M$20:M932)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932))))</f>
        <v>13</v>
      </c>
    </row>
    <row r="933" spans="1:13" x14ac:dyDescent="0.25">
      <c r="A933" s="3">
        <v>41971</v>
      </c>
      <c r="B933" s="2" t="s">
        <v>10</v>
      </c>
      <c r="C933" s="2">
        <v>4</v>
      </c>
      <c r="G933" s="7">
        <f t="array" ref="G933">IF(ROWS(K$20:K933)&gt;$F$6,"",INDEX(A$2:A$10000,SMALL(IF(ISNUMBER(MATCH($B$2:$B$10000,$E$6:$E$22,0)),ROW($C$2:$C$10000)-ROW($C$2)+1),ROWS(K$20:K933))))</f>
        <v>41772</v>
      </c>
      <c r="H933" s="4" t="str">
        <f t="array" ref="H933">IF(ROWS(L$20:L933)&gt;$F$6,"",INDEX(B$2:B$10000,SMALL(IF(ISNUMBER(MATCH($B$2:$B$10000,$E$6:$E$22,0)),ROW($C$2:$C$10000)-ROW($C$2)+1),ROWS(L$20:L933))))</f>
        <v>Rosamond  Allard</v>
      </c>
      <c r="I933" s="4">
        <f t="array" ref="I933">IF(ROWS(M$20:M933)&gt;$F$6,"",INDEX(C$2:C$10000,SMALL(IF(ISNUMBER(MATCH($B$2:$B$10000,$E$6:$E$22,0)),ROW($C$2:$C$10000)-ROW($C$2)+1),ROWS(M$20:M933))))</f>
        <v>23</v>
      </c>
      <c r="K933" s="7">
        <f t="array" ref="K933">IF(ROWS(K$20:K933)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933))))</f>
        <v>41772</v>
      </c>
      <c r="L933" s="4" t="str">
        <f t="array" ref="L933">IF(ROWS(L$20:L933)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933))))</f>
        <v>Rosamond  Allard</v>
      </c>
      <c r="M933" s="4">
        <f t="array" ref="M933">IF(ROWS(M$20:M933)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933))))</f>
        <v>23</v>
      </c>
    </row>
    <row r="934" spans="1:13" x14ac:dyDescent="0.25">
      <c r="A934" s="3">
        <v>41417</v>
      </c>
      <c r="B934" s="2" t="s">
        <v>47</v>
      </c>
      <c r="C934" s="2">
        <v>24</v>
      </c>
      <c r="G934" s="7">
        <f t="array" ref="G934">IF(ROWS(K$20:K934)&gt;$F$6,"",INDEX(A$2:A$10000,SMALL(IF(ISNUMBER(MATCH($B$2:$B$10000,$E$6:$E$22,0)),ROW($C$2:$C$10000)-ROW($C$2)+1),ROWS(K$20:K934))))</f>
        <v>41682</v>
      </c>
      <c r="H934" s="4" t="str">
        <f t="array" ref="H934">IF(ROWS(L$20:L934)&gt;$F$6,"",INDEX(B$2:B$10000,SMALL(IF(ISNUMBER(MATCH($B$2:$B$10000,$E$6:$E$22,0)),ROW($C$2:$C$10000)-ROW($C$2)+1),ROWS(L$20:L934))))</f>
        <v>Mickey  Bolduc</v>
      </c>
      <c r="I934" s="4">
        <f t="array" ref="I934">IF(ROWS(M$20:M934)&gt;$F$6,"",INDEX(C$2:C$10000,SMALL(IF(ISNUMBER(MATCH($B$2:$B$10000,$E$6:$E$22,0)),ROW($C$2:$C$10000)-ROW($C$2)+1),ROWS(M$20:M934))))</f>
        <v>28</v>
      </c>
      <c r="K934" s="7">
        <f t="array" ref="K934">IF(ROWS(K$20:K934)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934))))</f>
        <v>41682</v>
      </c>
      <c r="L934" s="4" t="str">
        <f t="array" ref="L934">IF(ROWS(L$20:L934)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934))))</f>
        <v>Mickey  Bolduc</v>
      </c>
      <c r="M934" s="4">
        <f t="array" ref="M934">IF(ROWS(M$20:M934)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934))))</f>
        <v>28</v>
      </c>
    </row>
    <row r="935" spans="1:13" x14ac:dyDescent="0.25">
      <c r="A935" s="3">
        <v>41429</v>
      </c>
      <c r="B935" s="2" t="s">
        <v>36</v>
      </c>
      <c r="C935" s="2">
        <v>42</v>
      </c>
      <c r="G935" s="7">
        <f t="array" ref="G935">IF(ROWS(K$20:K935)&gt;$F$6,"",INDEX(A$2:A$10000,SMALL(IF(ISNUMBER(MATCH($B$2:$B$10000,$E$6:$E$22,0)),ROW($C$2:$C$10000)-ROW($C$2)+1),ROWS(K$20:K935))))</f>
        <v>41619</v>
      </c>
      <c r="H935" s="4" t="str">
        <f t="array" ref="H935">IF(ROWS(L$20:L935)&gt;$F$6,"",INDEX(B$2:B$10000,SMALL(IF(ISNUMBER(MATCH($B$2:$B$10000,$E$6:$E$22,0)),ROW($C$2:$C$10000)-ROW($C$2)+1),ROWS(L$20:L935))))</f>
        <v>Kerrie  Worrell</v>
      </c>
      <c r="I935" s="4">
        <f t="array" ref="I935">IF(ROWS(M$20:M935)&gt;$F$6,"",INDEX(C$2:C$10000,SMALL(IF(ISNUMBER(MATCH($B$2:$B$10000,$E$6:$E$22,0)),ROW($C$2:$C$10000)-ROW($C$2)+1),ROWS(M$20:M935))))</f>
        <v>6</v>
      </c>
      <c r="K935" s="7">
        <f t="array" ref="K935">IF(ROWS(K$20:K935)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935))))</f>
        <v>41619</v>
      </c>
      <c r="L935" s="4" t="str">
        <f t="array" ref="L935">IF(ROWS(L$20:L935)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935))))</f>
        <v>Kerrie  Worrell</v>
      </c>
      <c r="M935" s="4">
        <f t="array" ref="M935">IF(ROWS(M$20:M935)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935))))</f>
        <v>6</v>
      </c>
    </row>
    <row r="936" spans="1:13" x14ac:dyDescent="0.25">
      <c r="A936" s="3">
        <v>41773</v>
      </c>
      <c r="B936" s="2" t="s">
        <v>47</v>
      </c>
      <c r="C936" s="2">
        <v>5</v>
      </c>
      <c r="G936" s="7">
        <f t="array" ref="G936">IF(ROWS(K$20:K936)&gt;$F$6,"",INDEX(A$2:A$10000,SMALL(IF(ISNUMBER(MATCH($B$2:$B$10000,$E$6:$E$22,0)),ROW($C$2:$C$10000)-ROW($C$2)+1),ROWS(K$20:K936))))</f>
        <v>41650</v>
      </c>
      <c r="H936" s="4" t="str">
        <f t="array" ref="H936">IF(ROWS(L$20:L936)&gt;$F$6,"",INDEX(B$2:B$10000,SMALL(IF(ISNUMBER(MATCH($B$2:$B$10000,$E$6:$E$22,0)),ROW($C$2:$C$10000)-ROW($C$2)+1),ROWS(L$20:L936))))</f>
        <v>Iliana  Valerio</v>
      </c>
      <c r="I936" s="4">
        <f t="array" ref="I936">IF(ROWS(M$20:M936)&gt;$F$6,"",INDEX(C$2:C$10000,SMALL(IF(ISNUMBER(MATCH($B$2:$B$10000,$E$6:$E$22,0)),ROW($C$2:$C$10000)-ROW($C$2)+1),ROWS(M$20:M936))))</f>
        <v>18</v>
      </c>
      <c r="K936" s="7">
        <f t="array" ref="K936">IF(ROWS(K$20:K936)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936))))</f>
        <v>41650</v>
      </c>
      <c r="L936" s="4" t="str">
        <f t="array" ref="L936">IF(ROWS(L$20:L936)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936))))</f>
        <v>Iliana  Valerio</v>
      </c>
      <c r="M936" s="4">
        <f t="array" ref="M936">IF(ROWS(M$20:M936)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936))))</f>
        <v>18</v>
      </c>
    </row>
    <row r="937" spans="1:13" x14ac:dyDescent="0.25">
      <c r="A937" s="3">
        <v>41740</v>
      </c>
      <c r="B937" s="2" t="s">
        <v>28</v>
      </c>
      <c r="C937" s="2">
        <v>61</v>
      </c>
      <c r="G937" s="7">
        <f t="array" ref="G937">IF(ROWS(K$20:K937)&gt;$F$6,"",INDEX(A$2:A$10000,SMALL(IF(ISNUMBER(MATCH($B$2:$B$10000,$E$6:$E$22,0)),ROW($C$2:$C$10000)-ROW($C$2)+1),ROWS(K$20:K937))))</f>
        <v>41380</v>
      </c>
      <c r="H937" s="4" t="str">
        <f t="array" ref="H937">IF(ROWS(L$20:L937)&gt;$F$6,"",INDEX(B$2:B$10000,SMALL(IF(ISNUMBER(MATCH($B$2:$B$10000,$E$6:$E$22,0)),ROW($C$2:$C$10000)-ROW($C$2)+1),ROWS(L$20:L937))))</f>
        <v>Jenni  Thorton</v>
      </c>
      <c r="I937" s="4">
        <f t="array" ref="I937">IF(ROWS(M$20:M937)&gt;$F$6,"",INDEX(C$2:C$10000,SMALL(IF(ISNUMBER(MATCH($B$2:$B$10000,$E$6:$E$22,0)),ROW($C$2:$C$10000)-ROW($C$2)+1),ROWS(M$20:M937))))</f>
        <v>27</v>
      </c>
      <c r="K937" s="7">
        <f t="array" ref="K937">IF(ROWS(K$20:K937)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937))))</f>
        <v>41380</v>
      </c>
      <c r="L937" s="4" t="str">
        <f t="array" ref="L937">IF(ROWS(L$20:L937)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937))))</f>
        <v>Jenni  Thorton</v>
      </c>
      <c r="M937" s="4">
        <f t="array" ref="M937">IF(ROWS(M$20:M937)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937))))</f>
        <v>27</v>
      </c>
    </row>
    <row r="938" spans="1:13" x14ac:dyDescent="0.25">
      <c r="A938" s="3">
        <v>41328</v>
      </c>
      <c r="B938" s="2" t="s">
        <v>33</v>
      </c>
      <c r="C938" s="2">
        <v>21</v>
      </c>
      <c r="G938" s="7">
        <f t="array" ref="G938">IF(ROWS(K$20:K938)&gt;$F$6,"",INDEX(A$2:A$10000,SMALL(IF(ISNUMBER(MATCH($B$2:$B$10000,$E$6:$E$22,0)),ROW($C$2:$C$10000)-ROW($C$2)+1),ROWS(K$20:K938))))</f>
        <v>41635</v>
      </c>
      <c r="H938" s="4" t="str">
        <f t="array" ref="H938">IF(ROWS(L$20:L938)&gt;$F$6,"",INDEX(B$2:B$10000,SMALL(IF(ISNUMBER(MATCH($B$2:$B$10000,$E$6:$E$22,0)),ROW($C$2:$C$10000)-ROW($C$2)+1),ROWS(L$20:L938))))</f>
        <v>Rosamond  Allard</v>
      </c>
      <c r="I938" s="4">
        <f t="array" ref="I938">IF(ROWS(M$20:M938)&gt;$F$6,"",INDEX(C$2:C$10000,SMALL(IF(ISNUMBER(MATCH($B$2:$B$10000,$E$6:$E$22,0)),ROW($C$2:$C$10000)-ROW($C$2)+1),ROWS(M$20:M938))))</f>
        <v>22</v>
      </c>
      <c r="K938" s="7">
        <f t="array" ref="K938">IF(ROWS(K$20:K938)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938))))</f>
        <v>41635</v>
      </c>
      <c r="L938" s="4" t="str">
        <f t="array" ref="L938">IF(ROWS(L$20:L938)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938))))</f>
        <v>Rosamond  Allard</v>
      </c>
      <c r="M938" s="4">
        <f t="array" ref="M938">IF(ROWS(M$20:M938)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938))))</f>
        <v>22</v>
      </c>
    </row>
    <row r="939" spans="1:13" x14ac:dyDescent="0.25">
      <c r="A939" s="3">
        <v>41687</v>
      </c>
      <c r="B939" s="2" t="s">
        <v>46</v>
      </c>
      <c r="C939" s="2">
        <v>31</v>
      </c>
      <c r="G939" s="7">
        <f t="array" ref="G939">IF(ROWS(K$20:K939)&gt;$F$6,"",INDEX(A$2:A$10000,SMALL(IF(ISNUMBER(MATCH($B$2:$B$10000,$E$6:$E$22,0)),ROW($C$2:$C$10000)-ROW($C$2)+1),ROWS(K$20:K939))))</f>
        <v>41675</v>
      </c>
      <c r="H939" s="4" t="str">
        <f t="array" ref="H939">IF(ROWS(L$20:L939)&gt;$F$6,"",INDEX(B$2:B$10000,SMALL(IF(ISNUMBER(MATCH($B$2:$B$10000,$E$6:$E$22,0)),ROW($C$2:$C$10000)-ROW($C$2)+1),ROWS(L$20:L939))))</f>
        <v>Mickey  Bolduc</v>
      </c>
      <c r="I939" s="4">
        <f t="array" ref="I939">IF(ROWS(M$20:M939)&gt;$F$6,"",INDEX(C$2:C$10000,SMALL(IF(ISNUMBER(MATCH($B$2:$B$10000,$E$6:$E$22,0)),ROW($C$2:$C$10000)-ROW($C$2)+1),ROWS(M$20:M939))))</f>
        <v>16</v>
      </c>
      <c r="K939" s="7">
        <f t="array" ref="K939">IF(ROWS(K$20:K939)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939))))</f>
        <v>41675</v>
      </c>
      <c r="L939" s="4" t="str">
        <f t="array" ref="L939">IF(ROWS(L$20:L939)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939))))</f>
        <v>Mickey  Bolduc</v>
      </c>
      <c r="M939" s="4">
        <f t="array" ref="M939">IF(ROWS(M$20:M939)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939))))</f>
        <v>16</v>
      </c>
    </row>
    <row r="940" spans="1:13" x14ac:dyDescent="0.25">
      <c r="A940" s="3">
        <v>41568</v>
      </c>
      <c r="B940" s="2" t="s">
        <v>35</v>
      </c>
      <c r="C940" s="2">
        <v>7</v>
      </c>
      <c r="G940" s="7">
        <f t="array" ref="G940">IF(ROWS(K$20:K940)&gt;$F$6,"",INDEX(A$2:A$10000,SMALL(IF(ISNUMBER(MATCH($B$2:$B$10000,$E$6:$E$22,0)),ROW($C$2:$C$10000)-ROW($C$2)+1),ROWS(K$20:K940))))</f>
        <v>41657</v>
      </c>
      <c r="H940" s="4" t="str">
        <f t="array" ref="H940">IF(ROWS(L$20:L940)&gt;$F$6,"",INDEX(B$2:B$10000,SMALL(IF(ISNUMBER(MATCH($B$2:$B$10000,$E$6:$E$22,0)),ROW($C$2:$C$10000)-ROW($C$2)+1),ROWS(L$20:L940))))</f>
        <v>Iliana  Valerio</v>
      </c>
      <c r="I940" s="4">
        <f t="array" ref="I940">IF(ROWS(M$20:M940)&gt;$F$6,"",INDEX(C$2:C$10000,SMALL(IF(ISNUMBER(MATCH($B$2:$B$10000,$E$6:$E$22,0)),ROW($C$2:$C$10000)-ROW($C$2)+1),ROWS(M$20:M940))))</f>
        <v>44</v>
      </c>
      <c r="K940" s="7">
        <f t="array" ref="K940">IF(ROWS(K$20:K940)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940))))</f>
        <v>41657</v>
      </c>
      <c r="L940" s="4" t="str">
        <f t="array" ref="L940">IF(ROWS(L$20:L940)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940))))</f>
        <v>Iliana  Valerio</v>
      </c>
      <c r="M940" s="4">
        <f t="array" ref="M940">IF(ROWS(M$20:M940)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940))))</f>
        <v>44</v>
      </c>
    </row>
    <row r="941" spans="1:13" x14ac:dyDescent="0.25">
      <c r="A941" s="3">
        <v>41587</v>
      </c>
      <c r="B941" s="2" t="s">
        <v>25</v>
      </c>
      <c r="C941" s="2">
        <v>51</v>
      </c>
      <c r="G941" s="7">
        <f t="array" ref="G941">IF(ROWS(K$20:K941)&gt;$F$6,"",INDEX(A$2:A$10000,SMALL(IF(ISNUMBER(MATCH($B$2:$B$10000,$E$6:$E$22,0)),ROW($C$2:$C$10000)-ROW($C$2)+1),ROWS(K$20:K941))))</f>
        <v>42000</v>
      </c>
      <c r="H941" s="4" t="str">
        <f t="array" ref="H941">IF(ROWS(L$20:L941)&gt;$F$6,"",INDEX(B$2:B$10000,SMALL(IF(ISNUMBER(MATCH($B$2:$B$10000,$E$6:$E$22,0)),ROW($C$2:$C$10000)-ROW($C$2)+1),ROWS(L$20:L941))))</f>
        <v>Mickey  Bolduc</v>
      </c>
      <c r="I941" s="4">
        <f t="array" ref="I941">IF(ROWS(M$20:M941)&gt;$F$6,"",INDEX(C$2:C$10000,SMALL(IF(ISNUMBER(MATCH($B$2:$B$10000,$E$6:$E$22,0)),ROW($C$2:$C$10000)-ROW($C$2)+1),ROWS(M$20:M941))))</f>
        <v>41</v>
      </c>
      <c r="K941" s="7">
        <f t="array" ref="K941">IF(ROWS(K$20:K941)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941))))</f>
        <v>42000</v>
      </c>
      <c r="L941" s="4" t="str">
        <f t="array" ref="L941">IF(ROWS(L$20:L941)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941))))</f>
        <v>Mickey  Bolduc</v>
      </c>
      <c r="M941" s="4">
        <f t="array" ref="M941">IF(ROWS(M$20:M941)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941))))</f>
        <v>41</v>
      </c>
    </row>
    <row r="942" spans="1:13" x14ac:dyDescent="0.25">
      <c r="A942" s="3">
        <v>41771</v>
      </c>
      <c r="B942" s="2" t="s">
        <v>30</v>
      </c>
      <c r="C942" s="2">
        <v>25</v>
      </c>
      <c r="G942" s="7">
        <f t="array" ref="G942">IF(ROWS(K$20:K942)&gt;$F$6,"",INDEX(A$2:A$10000,SMALL(IF(ISNUMBER(MATCH($B$2:$B$10000,$E$6:$E$22,0)),ROW($C$2:$C$10000)-ROW($C$2)+1),ROWS(K$20:K942))))</f>
        <v>41975</v>
      </c>
      <c r="H942" s="4" t="str">
        <f t="array" ref="H942">IF(ROWS(L$20:L942)&gt;$F$6,"",INDEX(B$2:B$10000,SMALL(IF(ISNUMBER(MATCH($B$2:$B$10000,$E$6:$E$22,0)),ROW($C$2:$C$10000)-ROW($C$2)+1),ROWS(L$20:L942))))</f>
        <v>Jenni  Thorton</v>
      </c>
      <c r="I942" s="4">
        <f t="array" ref="I942">IF(ROWS(M$20:M942)&gt;$F$6,"",INDEX(C$2:C$10000,SMALL(IF(ISNUMBER(MATCH($B$2:$B$10000,$E$6:$E$22,0)),ROW($C$2:$C$10000)-ROW($C$2)+1),ROWS(M$20:M942))))</f>
        <v>39</v>
      </c>
      <c r="K942" s="7">
        <f t="array" ref="K942">IF(ROWS(K$20:K942)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942))))</f>
        <v>41975</v>
      </c>
      <c r="L942" s="4" t="str">
        <f t="array" ref="L942">IF(ROWS(L$20:L942)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942))))</f>
        <v>Jenni  Thorton</v>
      </c>
      <c r="M942" s="4">
        <f t="array" ref="M942">IF(ROWS(M$20:M942)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942))))</f>
        <v>39</v>
      </c>
    </row>
    <row r="943" spans="1:13" x14ac:dyDescent="0.25">
      <c r="A943" s="3">
        <v>41554</v>
      </c>
      <c r="B943" s="2" t="s">
        <v>25</v>
      </c>
      <c r="C943" s="2">
        <v>5</v>
      </c>
      <c r="G943" s="7">
        <f t="array" ref="G943">IF(ROWS(K$20:K943)&gt;$F$6,"",INDEX(A$2:A$10000,SMALL(IF(ISNUMBER(MATCH($B$2:$B$10000,$E$6:$E$22,0)),ROW($C$2:$C$10000)-ROW($C$2)+1),ROWS(K$20:K943))))</f>
        <v>41929</v>
      </c>
      <c r="H943" s="4" t="str">
        <f t="array" ref="H943">IF(ROWS(L$20:L943)&gt;$F$6,"",INDEX(B$2:B$10000,SMALL(IF(ISNUMBER(MATCH($B$2:$B$10000,$E$6:$E$22,0)),ROW($C$2:$C$10000)-ROW($C$2)+1),ROWS(L$20:L943))))</f>
        <v>Kerrie  Worrell</v>
      </c>
      <c r="I943" s="4">
        <f t="array" ref="I943">IF(ROWS(M$20:M943)&gt;$F$6,"",INDEX(C$2:C$10000,SMALL(IF(ISNUMBER(MATCH($B$2:$B$10000,$E$6:$E$22,0)),ROW($C$2:$C$10000)-ROW($C$2)+1),ROWS(M$20:M943))))</f>
        <v>37</v>
      </c>
      <c r="K943" s="7">
        <f t="array" ref="K943">IF(ROWS(K$20:K943)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943))))</f>
        <v>41929</v>
      </c>
      <c r="L943" s="4" t="str">
        <f t="array" ref="L943">IF(ROWS(L$20:L943)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943))))</f>
        <v>Kerrie  Worrell</v>
      </c>
      <c r="M943" s="4">
        <f t="array" ref="M943">IF(ROWS(M$20:M943)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943))))</f>
        <v>37</v>
      </c>
    </row>
    <row r="944" spans="1:13" x14ac:dyDescent="0.25">
      <c r="A944" s="3">
        <v>41950</v>
      </c>
      <c r="B944" s="2" t="s">
        <v>34</v>
      </c>
      <c r="C944" s="2">
        <v>22</v>
      </c>
      <c r="G944" s="7">
        <f t="array" ref="G944">IF(ROWS(K$20:K944)&gt;$F$6,"",INDEX(A$2:A$10000,SMALL(IF(ISNUMBER(MATCH($B$2:$B$10000,$E$6:$E$22,0)),ROW($C$2:$C$10000)-ROW($C$2)+1),ROWS(K$20:K944))))</f>
        <v>41980</v>
      </c>
      <c r="H944" s="4" t="str">
        <f t="array" ref="H944">IF(ROWS(L$20:L944)&gt;$F$6,"",INDEX(B$2:B$10000,SMALL(IF(ISNUMBER(MATCH($B$2:$B$10000,$E$6:$E$22,0)),ROW($C$2:$C$10000)-ROW($C$2)+1),ROWS(L$20:L944))))</f>
        <v>Iliana  Valerio</v>
      </c>
      <c r="I944" s="4">
        <f t="array" ref="I944">IF(ROWS(M$20:M944)&gt;$F$6,"",INDEX(C$2:C$10000,SMALL(IF(ISNUMBER(MATCH($B$2:$B$10000,$E$6:$E$22,0)),ROW($C$2:$C$10000)-ROW($C$2)+1),ROWS(M$20:M944))))</f>
        <v>43</v>
      </c>
      <c r="K944" s="7">
        <f t="array" ref="K944">IF(ROWS(K$20:K944)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944))))</f>
        <v>41980</v>
      </c>
      <c r="L944" s="4" t="str">
        <f t="array" ref="L944">IF(ROWS(L$20:L944)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944))))</f>
        <v>Iliana  Valerio</v>
      </c>
      <c r="M944" s="4">
        <f t="array" ref="M944">IF(ROWS(M$20:M944)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944))))</f>
        <v>43</v>
      </c>
    </row>
    <row r="945" spans="1:13" x14ac:dyDescent="0.25">
      <c r="A945" s="3">
        <v>41901</v>
      </c>
      <c r="B945" s="2" t="s">
        <v>36</v>
      </c>
      <c r="C945" s="2">
        <v>1</v>
      </c>
      <c r="G945" s="7">
        <f t="array" ref="G945">IF(ROWS(K$20:K945)&gt;$F$6,"",INDEX(A$2:A$10000,SMALL(IF(ISNUMBER(MATCH($B$2:$B$10000,$E$6:$E$22,0)),ROW($C$2:$C$10000)-ROW($C$2)+1),ROWS(K$20:K945))))</f>
        <v>41341</v>
      </c>
      <c r="H945" s="4" t="str">
        <f t="array" ref="H945">IF(ROWS(L$20:L945)&gt;$F$6,"",INDEX(B$2:B$10000,SMALL(IF(ISNUMBER(MATCH($B$2:$B$10000,$E$6:$E$22,0)),ROW($C$2:$C$10000)-ROW($C$2)+1),ROWS(L$20:L945))))</f>
        <v>Iliana  Valerio</v>
      </c>
      <c r="I945" s="4">
        <f t="array" ref="I945">IF(ROWS(M$20:M945)&gt;$F$6,"",INDEX(C$2:C$10000,SMALL(IF(ISNUMBER(MATCH($B$2:$B$10000,$E$6:$E$22,0)),ROW($C$2:$C$10000)-ROW($C$2)+1),ROWS(M$20:M945))))</f>
        <v>34</v>
      </c>
      <c r="K945" s="7">
        <f t="array" ref="K945">IF(ROWS(K$20:K945)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945))))</f>
        <v>41341</v>
      </c>
      <c r="L945" s="4" t="str">
        <f t="array" ref="L945">IF(ROWS(L$20:L945)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945))))</f>
        <v>Iliana  Valerio</v>
      </c>
      <c r="M945" s="4">
        <f t="array" ref="M945">IF(ROWS(M$20:M945)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945))))</f>
        <v>34</v>
      </c>
    </row>
    <row r="946" spans="1:13" x14ac:dyDescent="0.25">
      <c r="A946" s="3">
        <v>41829</v>
      </c>
      <c r="B946" s="2" t="s">
        <v>27</v>
      </c>
      <c r="C946" s="2">
        <v>25</v>
      </c>
      <c r="G946" s="7">
        <f t="array" ref="G946">IF(ROWS(K$20:K946)&gt;$F$6,"",INDEX(A$2:A$10000,SMALL(IF(ISNUMBER(MATCH($B$2:$B$10000,$E$6:$E$22,0)),ROW($C$2:$C$10000)-ROW($C$2)+1),ROWS(K$20:K946))))</f>
        <v>41420</v>
      </c>
      <c r="H946" s="4" t="str">
        <f t="array" ref="H946">IF(ROWS(L$20:L946)&gt;$F$6,"",INDEX(B$2:B$10000,SMALL(IF(ISNUMBER(MATCH($B$2:$B$10000,$E$6:$E$22,0)),ROW($C$2:$C$10000)-ROW($C$2)+1),ROWS(L$20:L946))))</f>
        <v>Galen  Barth</v>
      </c>
      <c r="I946" s="4">
        <f t="array" ref="I946">IF(ROWS(M$20:M946)&gt;$F$6,"",INDEX(C$2:C$10000,SMALL(IF(ISNUMBER(MATCH($B$2:$B$10000,$E$6:$E$22,0)),ROW($C$2:$C$10000)-ROW($C$2)+1),ROWS(M$20:M946))))</f>
        <v>4</v>
      </c>
      <c r="K946" s="7">
        <f t="array" ref="K946">IF(ROWS(K$20:K946)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946))))</f>
        <v>41420</v>
      </c>
      <c r="L946" s="4" t="str">
        <f t="array" ref="L946">IF(ROWS(L$20:L946)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946))))</f>
        <v>Galen  Barth</v>
      </c>
      <c r="M946" s="4">
        <f t="array" ref="M946">IF(ROWS(M$20:M946)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946))))</f>
        <v>4</v>
      </c>
    </row>
    <row r="947" spans="1:13" x14ac:dyDescent="0.25">
      <c r="A947" s="3">
        <v>41790</v>
      </c>
      <c r="B947" s="2" t="s">
        <v>48</v>
      </c>
      <c r="C947" s="2">
        <v>43</v>
      </c>
      <c r="G947" s="7">
        <f t="array" ref="G947">IF(ROWS(K$20:K947)&gt;$F$6,"",INDEX(A$2:A$10000,SMALL(IF(ISNUMBER(MATCH($B$2:$B$10000,$E$6:$E$22,0)),ROW($C$2:$C$10000)-ROW($C$2)+1),ROWS(K$20:K947))))</f>
        <v>41498</v>
      </c>
      <c r="H947" s="4" t="str">
        <f t="array" ref="H947">IF(ROWS(L$20:L947)&gt;$F$6,"",INDEX(B$2:B$10000,SMALL(IF(ISNUMBER(MATCH($B$2:$B$10000,$E$6:$E$22,0)),ROW($C$2:$C$10000)-ROW($C$2)+1),ROWS(L$20:L947))))</f>
        <v>Kerrie  Worrell</v>
      </c>
      <c r="I947" s="4">
        <f t="array" ref="I947">IF(ROWS(M$20:M947)&gt;$F$6,"",INDEX(C$2:C$10000,SMALL(IF(ISNUMBER(MATCH($B$2:$B$10000,$E$6:$E$22,0)),ROW($C$2:$C$10000)-ROW($C$2)+1),ROWS(M$20:M947))))</f>
        <v>32</v>
      </c>
      <c r="K947" s="7">
        <f t="array" ref="K947">IF(ROWS(K$20:K947)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947))))</f>
        <v>41498</v>
      </c>
      <c r="L947" s="4" t="str">
        <f t="array" ref="L947">IF(ROWS(L$20:L947)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947))))</f>
        <v>Kerrie  Worrell</v>
      </c>
      <c r="M947" s="4">
        <f t="array" ref="M947">IF(ROWS(M$20:M947)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947))))</f>
        <v>32</v>
      </c>
    </row>
    <row r="948" spans="1:13" x14ac:dyDescent="0.25">
      <c r="A948" s="3">
        <v>41672</v>
      </c>
      <c r="B948" s="2" t="s">
        <v>13</v>
      </c>
      <c r="C948" s="2">
        <v>42</v>
      </c>
      <c r="G948" s="7">
        <f t="array" ref="G948">IF(ROWS(K$20:K948)&gt;$F$6,"",INDEX(A$2:A$10000,SMALL(IF(ISNUMBER(MATCH($B$2:$B$10000,$E$6:$E$22,0)),ROW($C$2:$C$10000)-ROW($C$2)+1),ROWS(K$20:K948))))</f>
        <v>41792</v>
      </c>
      <c r="H948" s="4" t="str">
        <f t="array" ref="H948">IF(ROWS(L$20:L948)&gt;$F$6,"",INDEX(B$2:B$10000,SMALL(IF(ISNUMBER(MATCH($B$2:$B$10000,$E$6:$E$22,0)),ROW($C$2:$C$10000)-ROW($C$2)+1),ROWS(L$20:L948))))</f>
        <v>Mickey  Bolduc</v>
      </c>
      <c r="I948" s="4">
        <f t="array" ref="I948">IF(ROWS(M$20:M948)&gt;$F$6,"",INDEX(C$2:C$10000,SMALL(IF(ISNUMBER(MATCH($B$2:$B$10000,$E$6:$E$22,0)),ROW($C$2:$C$10000)-ROW($C$2)+1),ROWS(M$20:M948))))</f>
        <v>34</v>
      </c>
      <c r="K948" s="7">
        <f t="array" ref="K948">IF(ROWS(K$20:K948)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948))))</f>
        <v>41792</v>
      </c>
      <c r="L948" s="4" t="str">
        <f t="array" ref="L948">IF(ROWS(L$20:L948)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948))))</f>
        <v>Mickey  Bolduc</v>
      </c>
      <c r="M948" s="4">
        <f t="array" ref="M948">IF(ROWS(M$20:M948)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948))))</f>
        <v>34</v>
      </c>
    </row>
    <row r="949" spans="1:13" x14ac:dyDescent="0.25">
      <c r="A949" s="3">
        <v>41329</v>
      </c>
      <c r="B949" s="2" t="s">
        <v>41</v>
      </c>
      <c r="C949" s="2">
        <v>9</v>
      </c>
      <c r="G949" s="7">
        <f t="array" ref="G949">IF(ROWS(K$20:K949)&gt;$F$6,"",INDEX(A$2:A$10000,SMALL(IF(ISNUMBER(MATCH($B$2:$B$10000,$E$6:$E$22,0)),ROW($C$2:$C$10000)-ROW($C$2)+1),ROWS(K$20:K949))))</f>
        <v>41617</v>
      </c>
      <c r="H949" s="4" t="str">
        <f t="array" ref="H949">IF(ROWS(L$20:L949)&gt;$F$6,"",INDEX(B$2:B$10000,SMALL(IF(ISNUMBER(MATCH($B$2:$B$10000,$E$6:$E$22,0)),ROW($C$2:$C$10000)-ROW($C$2)+1),ROWS(L$20:L949))))</f>
        <v>Rosamond  Allard</v>
      </c>
      <c r="I949" s="4">
        <f t="array" ref="I949">IF(ROWS(M$20:M949)&gt;$F$6,"",INDEX(C$2:C$10000,SMALL(IF(ISNUMBER(MATCH($B$2:$B$10000,$E$6:$E$22,0)),ROW($C$2:$C$10000)-ROW($C$2)+1),ROWS(M$20:M949))))</f>
        <v>15</v>
      </c>
      <c r="K949" s="7">
        <f t="array" ref="K949">IF(ROWS(K$20:K949)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949))))</f>
        <v>41617</v>
      </c>
      <c r="L949" s="4" t="str">
        <f t="array" ref="L949">IF(ROWS(L$20:L949)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949))))</f>
        <v>Rosamond  Allard</v>
      </c>
      <c r="M949" s="4">
        <f t="array" ref="M949">IF(ROWS(M$20:M949)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949))))</f>
        <v>15</v>
      </c>
    </row>
    <row r="950" spans="1:13" x14ac:dyDescent="0.25">
      <c r="A950" s="3">
        <v>41931</v>
      </c>
      <c r="B950" s="2" t="s">
        <v>26</v>
      </c>
      <c r="C950" s="2">
        <v>27</v>
      </c>
      <c r="G950" s="7">
        <f t="array" ref="G950">IF(ROWS(K$20:K950)&gt;$F$6,"",INDEX(A$2:A$10000,SMALL(IF(ISNUMBER(MATCH($B$2:$B$10000,$E$6:$E$22,0)),ROW($C$2:$C$10000)-ROW($C$2)+1),ROWS(K$20:K950))))</f>
        <v>41876</v>
      </c>
      <c r="H950" s="4" t="str">
        <f t="array" ref="H950">IF(ROWS(L$20:L950)&gt;$F$6,"",INDEX(B$2:B$10000,SMALL(IF(ISNUMBER(MATCH($B$2:$B$10000,$E$6:$E$22,0)),ROW($C$2:$C$10000)-ROW($C$2)+1),ROWS(L$20:L950))))</f>
        <v>Kerrie  Worrell</v>
      </c>
      <c r="I950" s="4">
        <f t="array" ref="I950">IF(ROWS(M$20:M950)&gt;$F$6,"",INDEX(C$2:C$10000,SMALL(IF(ISNUMBER(MATCH($B$2:$B$10000,$E$6:$E$22,0)),ROW($C$2:$C$10000)-ROW($C$2)+1),ROWS(M$20:M950))))</f>
        <v>17</v>
      </c>
      <c r="K950" s="7">
        <f t="array" ref="K950">IF(ROWS(K$20:K950)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950))))</f>
        <v>41876</v>
      </c>
      <c r="L950" s="4" t="str">
        <f t="array" ref="L950">IF(ROWS(L$20:L950)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950))))</f>
        <v>Kerrie  Worrell</v>
      </c>
      <c r="M950" s="4">
        <f t="array" ref="M950">IF(ROWS(M$20:M950)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950))))</f>
        <v>17</v>
      </c>
    </row>
    <row r="951" spans="1:13" x14ac:dyDescent="0.25">
      <c r="A951" s="3">
        <v>41487</v>
      </c>
      <c r="B951" s="2" t="s">
        <v>45</v>
      </c>
      <c r="C951" s="2">
        <v>22</v>
      </c>
      <c r="G951" s="7">
        <f t="array" ref="G951">IF(ROWS(K$20:K951)&gt;$F$6,"",INDEX(A$2:A$10000,SMALL(IF(ISNUMBER(MATCH($B$2:$B$10000,$E$6:$E$22,0)),ROW($C$2:$C$10000)-ROW($C$2)+1),ROWS(K$20:K951))))</f>
        <v>41812</v>
      </c>
      <c r="H951" s="4" t="str">
        <f t="array" ref="H951">IF(ROWS(L$20:L951)&gt;$F$6,"",INDEX(B$2:B$10000,SMALL(IF(ISNUMBER(MATCH($B$2:$B$10000,$E$6:$E$22,0)),ROW($C$2:$C$10000)-ROW($C$2)+1),ROWS(L$20:L951))))</f>
        <v>Iliana  Valerio</v>
      </c>
      <c r="I951" s="4">
        <f t="array" ref="I951">IF(ROWS(M$20:M951)&gt;$F$6,"",INDEX(C$2:C$10000,SMALL(IF(ISNUMBER(MATCH($B$2:$B$10000,$E$6:$E$22,0)),ROW($C$2:$C$10000)-ROW($C$2)+1),ROWS(M$20:M951))))</f>
        <v>53</v>
      </c>
      <c r="K951" s="7">
        <f t="array" ref="K951">IF(ROWS(K$20:K951)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951))))</f>
        <v>41812</v>
      </c>
      <c r="L951" s="4" t="str">
        <f t="array" ref="L951">IF(ROWS(L$20:L951)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951))))</f>
        <v>Iliana  Valerio</v>
      </c>
      <c r="M951" s="4">
        <f t="array" ref="M951">IF(ROWS(M$20:M951)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951))))</f>
        <v>53</v>
      </c>
    </row>
    <row r="952" spans="1:13" x14ac:dyDescent="0.25">
      <c r="A952" s="3">
        <v>41942</v>
      </c>
      <c r="B952" s="2" t="s">
        <v>31</v>
      </c>
      <c r="C952" s="2">
        <v>21</v>
      </c>
      <c r="G952" s="7">
        <f t="array" ref="G952">IF(ROWS(K$20:K952)&gt;$F$6,"",INDEX(A$2:A$10000,SMALL(IF(ISNUMBER(MATCH($B$2:$B$10000,$E$6:$E$22,0)),ROW($C$2:$C$10000)-ROW($C$2)+1),ROWS(K$20:K952))))</f>
        <v>41959</v>
      </c>
      <c r="H952" s="4" t="str">
        <f t="array" ref="H952">IF(ROWS(L$20:L952)&gt;$F$6,"",INDEX(B$2:B$10000,SMALL(IF(ISNUMBER(MATCH($B$2:$B$10000,$E$6:$E$22,0)),ROW($C$2:$C$10000)-ROW($C$2)+1),ROWS(L$20:L952))))</f>
        <v>Iliana  Valerio</v>
      </c>
      <c r="I952" s="4">
        <f t="array" ref="I952">IF(ROWS(M$20:M952)&gt;$F$6,"",INDEX(C$2:C$10000,SMALL(IF(ISNUMBER(MATCH($B$2:$B$10000,$E$6:$E$22,0)),ROW($C$2:$C$10000)-ROW($C$2)+1),ROWS(M$20:M952))))</f>
        <v>21</v>
      </c>
      <c r="K952" s="7">
        <f t="array" ref="K952">IF(ROWS(K$20:K952)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952))))</f>
        <v>41959</v>
      </c>
      <c r="L952" s="4" t="str">
        <f t="array" ref="L952">IF(ROWS(L$20:L952)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952))))</f>
        <v>Iliana  Valerio</v>
      </c>
      <c r="M952" s="4">
        <f t="array" ref="M952">IF(ROWS(M$20:M952)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952))))</f>
        <v>21</v>
      </c>
    </row>
    <row r="953" spans="1:13" x14ac:dyDescent="0.25">
      <c r="A953" s="3">
        <v>41328</v>
      </c>
      <c r="B953" s="2" t="s">
        <v>6</v>
      </c>
      <c r="C953" s="2">
        <v>48</v>
      </c>
      <c r="G953" s="7">
        <f t="array" ref="G953">IF(ROWS(K$20:K953)&gt;$F$6,"",INDEX(A$2:A$10000,SMALL(IF(ISNUMBER(MATCH($B$2:$B$10000,$E$6:$E$22,0)),ROW($C$2:$C$10000)-ROW($C$2)+1),ROWS(K$20:K953))))</f>
        <v>41671</v>
      </c>
      <c r="H953" s="4" t="str">
        <f t="array" ref="H953">IF(ROWS(L$20:L953)&gt;$F$6,"",INDEX(B$2:B$10000,SMALL(IF(ISNUMBER(MATCH($B$2:$B$10000,$E$6:$E$22,0)),ROW($C$2:$C$10000)-ROW($C$2)+1),ROWS(L$20:L953))))</f>
        <v>Kerrie  Worrell</v>
      </c>
      <c r="I953" s="4">
        <f t="array" ref="I953">IF(ROWS(M$20:M953)&gt;$F$6,"",INDEX(C$2:C$10000,SMALL(IF(ISNUMBER(MATCH($B$2:$B$10000,$E$6:$E$22,0)),ROW($C$2:$C$10000)-ROW($C$2)+1),ROWS(M$20:M953))))</f>
        <v>37</v>
      </c>
      <c r="K953" s="7">
        <f t="array" ref="K953">IF(ROWS(K$20:K953)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953))))</f>
        <v>41671</v>
      </c>
      <c r="L953" s="4" t="str">
        <f t="array" ref="L953">IF(ROWS(L$20:L953)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953))))</f>
        <v>Kerrie  Worrell</v>
      </c>
      <c r="M953" s="4">
        <f t="array" ref="M953">IF(ROWS(M$20:M953)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953))))</f>
        <v>37</v>
      </c>
    </row>
    <row r="954" spans="1:13" x14ac:dyDescent="0.25">
      <c r="A954" s="3">
        <v>41338</v>
      </c>
      <c r="B954" s="2" t="s">
        <v>30</v>
      </c>
      <c r="C954" s="2">
        <v>5</v>
      </c>
      <c r="G954" s="7">
        <f t="array" ref="G954">IF(ROWS(K$20:K954)&gt;$F$6,"",INDEX(A$2:A$10000,SMALL(IF(ISNUMBER(MATCH($B$2:$B$10000,$E$6:$E$22,0)),ROW($C$2:$C$10000)-ROW($C$2)+1),ROWS(K$20:K954))))</f>
        <v>41446</v>
      </c>
      <c r="H954" s="4" t="str">
        <f t="array" ref="H954">IF(ROWS(L$20:L954)&gt;$F$6,"",INDEX(B$2:B$10000,SMALL(IF(ISNUMBER(MATCH($B$2:$B$10000,$E$6:$E$22,0)),ROW($C$2:$C$10000)-ROW($C$2)+1),ROWS(L$20:L954))))</f>
        <v>Rosamond  Allard</v>
      </c>
      <c r="I954" s="4">
        <f t="array" ref="I954">IF(ROWS(M$20:M954)&gt;$F$6,"",INDEX(C$2:C$10000,SMALL(IF(ISNUMBER(MATCH($B$2:$B$10000,$E$6:$E$22,0)),ROW($C$2:$C$10000)-ROW($C$2)+1),ROWS(M$20:M954))))</f>
        <v>19</v>
      </c>
      <c r="K954" s="7">
        <f t="array" ref="K954">IF(ROWS(K$20:K954)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954))))</f>
        <v>41446</v>
      </c>
      <c r="L954" s="4" t="str">
        <f t="array" ref="L954">IF(ROWS(L$20:L954)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954))))</f>
        <v>Rosamond  Allard</v>
      </c>
      <c r="M954" s="4">
        <f t="array" ref="M954">IF(ROWS(M$20:M954)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954))))</f>
        <v>19</v>
      </c>
    </row>
    <row r="955" spans="1:13" x14ac:dyDescent="0.25">
      <c r="A955" s="3">
        <v>41319</v>
      </c>
      <c r="B955" s="2" t="s">
        <v>16</v>
      </c>
      <c r="C955" s="2">
        <v>15</v>
      </c>
      <c r="G955" s="7">
        <f t="array" ref="G955">IF(ROWS(K$20:K955)&gt;$F$6,"",INDEX(A$2:A$10000,SMALL(IF(ISNUMBER(MATCH($B$2:$B$10000,$E$6:$E$22,0)),ROW($C$2:$C$10000)-ROW($C$2)+1),ROWS(K$20:K955))))</f>
        <v>41648</v>
      </c>
      <c r="H955" s="4" t="str">
        <f t="array" ref="H955">IF(ROWS(L$20:L955)&gt;$F$6,"",INDEX(B$2:B$10000,SMALL(IF(ISNUMBER(MATCH($B$2:$B$10000,$E$6:$E$22,0)),ROW($C$2:$C$10000)-ROW($C$2)+1),ROWS(L$20:L955))))</f>
        <v>Kerrie  Worrell</v>
      </c>
      <c r="I955" s="4">
        <f t="array" ref="I955">IF(ROWS(M$20:M955)&gt;$F$6,"",INDEX(C$2:C$10000,SMALL(IF(ISNUMBER(MATCH($B$2:$B$10000,$E$6:$E$22,0)),ROW($C$2:$C$10000)-ROW($C$2)+1),ROWS(M$20:M955))))</f>
        <v>45</v>
      </c>
      <c r="K955" s="7">
        <f t="array" ref="K955">IF(ROWS(K$20:K955)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955))))</f>
        <v>41648</v>
      </c>
      <c r="L955" s="4" t="str">
        <f t="array" ref="L955">IF(ROWS(L$20:L955)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955))))</f>
        <v>Kerrie  Worrell</v>
      </c>
      <c r="M955" s="4">
        <f t="array" ref="M955">IF(ROWS(M$20:M955)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955))))</f>
        <v>45</v>
      </c>
    </row>
    <row r="956" spans="1:13" x14ac:dyDescent="0.25">
      <c r="A956" s="3">
        <v>41560</v>
      </c>
      <c r="B956" s="2" t="s">
        <v>14</v>
      </c>
      <c r="C956" s="2">
        <v>26</v>
      </c>
      <c r="G956" s="7">
        <f t="array" ref="G956">IF(ROWS(K$20:K956)&gt;$F$6,"",INDEX(A$2:A$10000,SMALL(IF(ISNUMBER(MATCH($B$2:$B$10000,$E$6:$E$22,0)),ROW($C$2:$C$10000)-ROW($C$2)+1),ROWS(K$20:K956))))</f>
        <v>41836</v>
      </c>
      <c r="H956" s="4" t="str">
        <f t="array" ref="H956">IF(ROWS(L$20:L956)&gt;$F$6,"",INDEX(B$2:B$10000,SMALL(IF(ISNUMBER(MATCH($B$2:$B$10000,$E$6:$E$22,0)),ROW($C$2:$C$10000)-ROW($C$2)+1),ROWS(L$20:L956))))</f>
        <v>Kerrie  Worrell</v>
      </c>
      <c r="I956" s="4">
        <f t="array" ref="I956">IF(ROWS(M$20:M956)&gt;$F$6,"",INDEX(C$2:C$10000,SMALL(IF(ISNUMBER(MATCH($B$2:$B$10000,$E$6:$E$22,0)),ROW($C$2:$C$10000)-ROW($C$2)+1),ROWS(M$20:M956))))</f>
        <v>15</v>
      </c>
      <c r="K956" s="7">
        <f t="array" ref="K956">IF(ROWS(K$20:K956)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956))))</f>
        <v>41836</v>
      </c>
      <c r="L956" s="4" t="str">
        <f t="array" ref="L956">IF(ROWS(L$20:L956)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956))))</f>
        <v>Kerrie  Worrell</v>
      </c>
      <c r="M956" s="4">
        <f t="array" ref="M956">IF(ROWS(M$20:M956)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956))))</f>
        <v>15</v>
      </c>
    </row>
    <row r="957" spans="1:13" x14ac:dyDescent="0.25">
      <c r="A957" s="3">
        <v>41813</v>
      </c>
      <c r="B957" s="2" t="s">
        <v>15</v>
      </c>
      <c r="C957" s="2">
        <v>23</v>
      </c>
      <c r="G957" s="7">
        <f t="array" ref="G957">IF(ROWS(K$20:K957)&gt;$F$6,"",INDEX(A$2:A$10000,SMALL(IF(ISNUMBER(MATCH($B$2:$B$10000,$E$6:$E$22,0)),ROW($C$2:$C$10000)-ROW($C$2)+1),ROWS(K$20:K957))))</f>
        <v>41806</v>
      </c>
      <c r="H957" s="4" t="str">
        <f t="array" ref="H957">IF(ROWS(L$20:L957)&gt;$F$6,"",INDEX(B$2:B$10000,SMALL(IF(ISNUMBER(MATCH($B$2:$B$10000,$E$6:$E$22,0)),ROW($C$2:$C$10000)-ROW($C$2)+1),ROWS(L$20:L957))))</f>
        <v>Iliana  Valerio</v>
      </c>
      <c r="I957" s="4">
        <f t="array" ref="I957">IF(ROWS(M$20:M957)&gt;$F$6,"",INDEX(C$2:C$10000,SMALL(IF(ISNUMBER(MATCH($B$2:$B$10000,$E$6:$E$22,0)),ROW($C$2:$C$10000)-ROW($C$2)+1),ROWS(M$20:M957))))</f>
        <v>3</v>
      </c>
      <c r="K957" s="7">
        <f t="array" ref="K957">IF(ROWS(K$20:K957)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957))))</f>
        <v>41806</v>
      </c>
      <c r="L957" s="4" t="str">
        <f t="array" ref="L957">IF(ROWS(L$20:L957)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957))))</f>
        <v>Iliana  Valerio</v>
      </c>
      <c r="M957" s="4">
        <f t="array" ref="M957">IF(ROWS(M$20:M957)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957))))</f>
        <v>3</v>
      </c>
    </row>
    <row r="958" spans="1:13" x14ac:dyDescent="0.25">
      <c r="A958" s="3">
        <v>41366</v>
      </c>
      <c r="B958" s="2" t="s">
        <v>8</v>
      </c>
      <c r="C958" s="2">
        <v>31</v>
      </c>
      <c r="G958" s="7">
        <f t="array" ref="G958">IF(ROWS(K$20:K958)&gt;$F$6,"",INDEX(A$2:A$10000,SMALL(IF(ISNUMBER(MATCH($B$2:$B$10000,$E$6:$E$22,0)),ROW($C$2:$C$10000)-ROW($C$2)+1),ROWS(K$20:K958))))</f>
        <v>41819</v>
      </c>
      <c r="H958" s="4" t="str">
        <f t="array" ref="H958">IF(ROWS(L$20:L958)&gt;$F$6,"",INDEX(B$2:B$10000,SMALL(IF(ISNUMBER(MATCH($B$2:$B$10000,$E$6:$E$22,0)),ROW($C$2:$C$10000)-ROW($C$2)+1),ROWS(L$20:L958))))</f>
        <v>Rosamond  Allard</v>
      </c>
      <c r="I958" s="4">
        <f t="array" ref="I958">IF(ROWS(M$20:M958)&gt;$F$6,"",INDEX(C$2:C$10000,SMALL(IF(ISNUMBER(MATCH($B$2:$B$10000,$E$6:$E$22,0)),ROW($C$2:$C$10000)-ROW($C$2)+1),ROWS(M$20:M958))))</f>
        <v>26</v>
      </c>
      <c r="K958" s="7">
        <f t="array" ref="K958">IF(ROWS(K$20:K958)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958))))</f>
        <v>41819</v>
      </c>
      <c r="L958" s="4" t="str">
        <f t="array" ref="L958">IF(ROWS(L$20:L958)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958))))</f>
        <v>Rosamond  Allard</v>
      </c>
      <c r="M958" s="4">
        <f t="array" ref="M958">IF(ROWS(M$20:M958)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958))))</f>
        <v>26</v>
      </c>
    </row>
    <row r="959" spans="1:13" x14ac:dyDescent="0.25">
      <c r="A959" s="3">
        <v>41969</v>
      </c>
      <c r="B959" s="2" t="s">
        <v>37</v>
      </c>
      <c r="C959" s="2">
        <v>25</v>
      </c>
      <c r="G959" s="7">
        <f t="array" ref="G959">IF(ROWS(K$20:K959)&gt;$F$6,"",INDEX(A$2:A$10000,SMALL(IF(ISNUMBER(MATCH($B$2:$B$10000,$E$6:$E$22,0)),ROW($C$2:$C$10000)-ROW($C$2)+1),ROWS(K$20:K959))))</f>
        <v>41821</v>
      </c>
      <c r="H959" s="4" t="str">
        <f t="array" ref="H959">IF(ROWS(L$20:L959)&gt;$F$6,"",INDEX(B$2:B$10000,SMALL(IF(ISNUMBER(MATCH($B$2:$B$10000,$E$6:$E$22,0)),ROW($C$2:$C$10000)-ROW($C$2)+1),ROWS(L$20:L959))))</f>
        <v>Iliana  Valerio</v>
      </c>
      <c r="I959" s="4">
        <f t="array" ref="I959">IF(ROWS(M$20:M959)&gt;$F$6,"",INDEX(C$2:C$10000,SMALL(IF(ISNUMBER(MATCH($B$2:$B$10000,$E$6:$E$22,0)),ROW($C$2:$C$10000)-ROW($C$2)+1),ROWS(M$20:M959))))</f>
        <v>27</v>
      </c>
      <c r="K959" s="7">
        <f t="array" ref="K959">IF(ROWS(K$20:K959)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959))))</f>
        <v>41821</v>
      </c>
      <c r="L959" s="4" t="str">
        <f t="array" ref="L959">IF(ROWS(L$20:L959)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959))))</f>
        <v>Iliana  Valerio</v>
      </c>
      <c r="M959" s="4">
        <f t="array" ref="M959">IF(ROWS(M$20:M959)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959))))</f>
        <v>27</v>
      </c>
    </row>
    <row r="960" spans="1:13" x14ac:dyDescent="0.25">
      <c r="A960" s="3">
        <v>41999</v>
      </c>
      <c r="B960" s="2" t="s">
        <v>29</v>
      </c>
      <c r="C960" s="2">
        <v>24</v>
      </c>
      <c r="G960" s="7">
        <f t="array" ref="G960">IF(ROWS(K$20:K960)&gt;$F$6,"",INDEX(A$2:A$10000,SMALL(IF(ISNUMBER(MATCH($B$2:$B$10000,$E$6:$E$22,0)),ROW($C$2:$C$10000)-ROW($C$2)+1),ROWS(K$20:K960))))</f>
        <v>41467</v>
      </c>
      <c r="H960" s="4" t="str">
        <f t="array" ref="H960">IF(ROWS(L$20:L960)&gt;$F$6,"",INDEX(B$2:B$10000,SMALL(IF(ISNUMBER(MATCH($B$2:$B$10000,$E$6:$E$22,0)),ROW($C$2:$C$10000)-ROW($C$2)+1),ROWS(L$20:L960))))</f>
        <v>Jenni  Thorton</v>
      </c>
      <c r="I960" s="4">
        <f t="array" ref="I960">IF(ROWS(M$20:M960)&gt;$F$6,"",INDEX(C$2:C$10000,SMALL(IF(ISNUMBER(MATCH($B$2:$B$10000,$E$6:$E$22,0)),ROW($C$2:$C$10000)-ROW($C$2)+1),ROWS(M$20:M960))))</f>
        <v>34</v>
      </c>
      <c r="K960" s="7">
        <f t="array" ref="K960">IF(ROWS(K$20:K960)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960))))</f>
        <v>41467</v>
      </c>
      <c r="L960" s="4" t="str">
        <f t="array" ref="L960">IF(ROWS(L$20:L960)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960))))</f>
        <v>Jenni  Thorton</v>
      </c>
      <c r="M960" s="4">
        <f t="array" ref="M960">IF(ROWS(M$20:M960)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960))))</f>
        <v>34</v>
      </c>
    </row>
    <row r="961" spans="1:13" x14ac:dyDescent="0.25">
      <c r="A961" s="3">
        <v>41326</v>
      </c>
      <c r="B961" s="2" t="s">
        <v>10</v>
      </c>
      <c r="C961" s="2">
        <v>20</v>
      </c>
      <c r="G961" s="7">
        <f t="array" ref="G961">IF(ROWS(K$20:K961)&gt;$F$6,"",INDEX(A$2:A$10000,SMALL(IF(ISNUMBER(MATCH($B$2:$B$10000,$E$6:$E$22,0)),ROW($C$2:$C$10000)-ROW($C$2)+1),ROWS(K$20:K961))))</f>
        <v>41713</v>
      </c>
      <c r="H961" s="4" t="str">
        <f t="array" ref="H961">IF(ROWS(L$20:L961)&gt;$F$6,"",INDEX(B$2:B$10000,SMALL(IF(ISNUMBER(MATCH($B$2:$B$10000,$E$6:$E$22,0)),ROW($C$2:$C$10000)-ROW($C$2)+1),ROWS(L$20:L961))))</f>
        <v>Jenni  Thorton</v>
      </c>
      <c r="I961" s="4">
        <f t="array" ref="I961">IF(ROWS(M$20:M961)&gt;$F$6,"",INDEX(C$2:C$10000,SMALL(IF(ISNUMBER(MATCH($B$2:$B$10000,$E$6:$E$22,0)),ROW($C$2:$C$10000)-ROW($C$2)+1),ROWS(M$20:M961))))</f>
        <v>29</v>
      </c>
      <c r="K961" s="7">
        <f t="array" ref="K961">IF(ROWS(K$20:K961)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961))))</f>
        <v>41713</v>
      </c>
      <c r="L961" s="4" t="str">
        <f t="array" ref="L961">IF(ROWS(L$20:L961)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961))))</f>
        <v>Jenni  Thorton</v>
      </c>
      <c r="M961" s="4">
        <f t="array" ref="M961">IF(ROWS(M$20:M961)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961))))</f>
        <v>29</v>
      </c>
    </row>
    <row r="962" spans="1:13" x14ac:dyDescent="0.25">
      <c r="A962" s="3">
        <v>41317</v>
      </c>
      <c r="B962" s="2" t="s">
        <v>20</v>
      </c>
      <c r="C962" s="2">
        <v>23</v>
      </c>
      <c r="G962" s="7">
        <f t="array" ref="G962">IF(ROWS(K$20:K962)&gt;$F$6,"",INDEX(A$2:A$10000,SMALL(IF(ISNUMBER(MATCH($B$2:$B$10000,$E$6:$E$22,0)),ROW($C$2:$C$10000)-ROW($C$2)+1),ROWS(K$20:K962))))</f>
        <v>41423</v>
      </c>
      <c r="H962" s="4" t="str">
        <f t="array" ref="H962">IF(ROWS(L$20:L962)&gt;$F$6,"",INDEX(B$2:B$10000,SMALL(IF(ISNUMBER(MATCH($B$2:$B$10000,$E$6:$E$22,0)),ROW($C$2:$C$10000)-ROW($C$2)+1),ROWS(L$20:L962))))</f>
        <v>Mickey  Bolduc</v>
      </c>
      <c r="I962" s="4">
        <f t="array" ref="I962">IF(ROWS(M$20:M962)&gt;$F$6,"",INDEX(C$2:C$10000,SMALL(IF(ISNUMBER(MATCH($B$2:$B$10000,$E$6:$E$22,0)),ROW($C$2:$C$10000)-ROW($C$2)+1),ROWS(M$20:M962))))</f>
        <v>45</v>
      </c>
      <c r="K962" s="7">
        <f t="array" ref="K962">IF(ROWS(K$20:K962)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962))))</f>
        <v>41423</v>
      </c>
      <c r="L962" s="4" t="str">
        <f t="array" ref="L962">IF(ROWS(L$20:L962)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962))))</f>
        <v>Mickey  Bolduc</v>
      </c>
      <c r="M962" s="4">
        <f t="array" ref="M962">IF(ROWS(M$20:M962)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962))))</f>
        <v>45</v>
      </c>
    </row>
    <row r="963" spans="1:13" x14ac:dyDescent="0.25">
      <c r="A963" s="3">
        <v>41685</v>
      </c>
      <c r="B963" s="2" t="s">
        <v>8</v>
      </c>
      <c r="C963" s="2">
        <v>18</v>
      </c>
      <c r="G963" s="7">
        <f t="array" ref="G963">IF(ROWS(K$20:K963)&gt;$F$6,"",INDEX(A$2:A$10000,SMALL(IF(ISNUMBER(MATCH($B$2:$B$10000,$E$6:$E$22,0)),ROW($C$2:$C$10000)-ROW($C$2)+1),ROWS(K$20:K963))))</f>
        <v>41335</v>
      </c>
      <c r="H963" s="4" t="str">
        <f t="array" ref="H963">IF(ROWS(L$20:L963)&gt;$F$6,"",INDEX(B$2:B$10000,SMALL(IF(ISNUMBER(MATCH($B$2:$B$10000,$E$6:$E$22,0)),ROW($C$2:$C$10000)-ROW($C$2)+1),ROWS(L$20:L963))))</f>
        <v>Iliana  Valerio</v>
      </c>
      <c r="I963" s="4">
        <f t="array" ref="I963">IF(ROWS(M$20:M963)&gt;$F$6,"",INDEX(C$2:C$10000,SMALL(IF(ISNUMBER(MATCH($B$2:$B$10000,$E$6:$E$22,0)),ROW($C$2:$C$10000)-ROW($C$2)+1),ROWS(M$20:M963))))</f>
        <v>49</v>
      </c>
      <c r="K963" s="7">
        <f t="array" ref="K963">IF(ROWS(K$20:K963)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963))))</f>
        <v>41335</v>
      </c>
      <c r="L963" s="4" t="str">
        <f t="array" ref="L963">IF(ROWS(L$20:L963)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963))))</f>
        <v>Iliana  Valerio</v>
      </c>
      <c r="M963" s="4">
        <f t="array" ref="M963">IF(ROWS(M$20:M963)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963))))</f>
        <v>49</v>
      </c>
    </row>
    <row r="964" spans="1:13" x14ac:dyDescent="0.25">
      <c r="A964" s="3">
        <v>41935</v>
      </c>
      <c r="B964" s="2" t="s">
        <v>4</v>
      </c>
      <c r="C964" s="2">
        <v>11</v>
      </c>
      <c r="G964" s="7">
        <f t="array" ref="G964">IF(ROWS(K$20:K964)&gt;$F$6,"",INDEX(A$2:A$10000,SMALL(IF(ISNUMBER(MATCH($B$2:$B$10000,$E$6:$E$22,0)),ROW($C$2:$C$10000)-ROW($C$2)+1),ROWS(K$20:K964))))</f>
        <v>41485</v>
      </c>
      <c r="H964" s="4" t="str">
        <f t="array" ref="H964">IF(ROWS(L$20:L964)&gt;$F$6,"",INDEX(B$2:B$10000,SMALL(IF(ISNUMBER(MATCH($B$2:$B$10000,$E$6:$E$22,0)),ROW($C$2:$C$10000)-ROW($C$2)+1),ROWS(L$20:L964))))</f>
        <v>Kerrie  Worrell</v>
      </c>
      <c r="I964" s="4">
        <f t="array" ref="I964">IF(ROWS(M$20:M964)&gt;$F$6,"",INDEX(C$2:C$10000,SMALL(IF(ISNUMBER(MATCH($B$2:$B$10000,$E$6:$E$22,0)),ROW($C$2:$C$10000)-ROW($C$2)+1),ROWS(M$20:M964))))</f>
        <v>2</v>
      </c>
      <c r="K964" s="7">
        <f t="array" ref="K964">IF(ROWS(K$20:K964)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964))))</f>
        <v>41485</v>
      </c>
      <c r="L964" s="4" t="str">
        <f t="array" ref="L964">IF(ROWS(L$20:L964)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964))))</f>
        <v>Kerrie  Worrell</v>
      </c>
      <c r="M964" s="4">
        <f t="array" ref="M964">IF(ROWS(M$20:M964)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964))))</f>
        <v>2</v>
      </c>
    </row>
    <row r="965" spans="1:13" x14ac:dyDescent="0.25">
      <c r="A965" s="3">
        <v>41441</v>
      </c>
      <c r="B965" s="2" t="s">
        <v>20</v>
      </c>
      <c r="C965" s="2">
        <v>18</v>
      </c>
      <c r="G965" s="7">
        <f t="array" ref="G965">IF(ROWS(K$20:K965)&gt;$F$6,"",INDEX(A$2:A$10000,SMALL(IF(ISNUMBER(MATCH($B$2:$B$10000,$E$6:$E$22,0)),ROW($C$2:$C$10000)-ROW($C$2)+1),ROWS(K$20:K965))))</f>
        <v>41816</v>
      </c>
      <c r="H965" s="4" t="str">
        <f t="array" ref="H965">IF(ROWS(L$20:L965)&gt;$F$6,"",INDEX(B$2:B$10000,SMALL(IF(ISNUMBER(MATCH($B$2:$B$10000,$E$6:$E$22,0)),ROW($C$2:$C$10000)-ROW($C$2)+1),ROWS(L$20:L965))))</f>
        <v>Jenni  Thorton</v>
      </c>
      <c r="I965" s="4">
        <f t="array" ref="I965">IF(ROWS(M$20:M965)&gt;$F$6,"",INDEX(C$2:C$10000,SMALL(IF(ISNUMBER(MATCH($B$2:$B$10000,$E$6:$E$22,0)),ROW($C$2:$C$10000)-ROW($C$2)+1),ROWS(M$20:M965))))</f>
        <v>26</v>
      </c>
      <c r="K965" s="7">
        <f t="array" ref="K965">IF(ROWS(K$20:K965)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965))))</f>
        <v>41816</v>
      </c>
      <c r="L965" s="4" t="str">
        <f t="array" ref="L965">IF(ROWS(L$20:L965)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965))))</f>
        <v>Jenni  Thorton</v>
      </c>
      <c r="M965" s="4">
        <f t="array" ref="M965">IF(ROWS(M$20:M965)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965))))</f>
        <v>26</v>
      </c>
    </row>
    <row r="966" spans="1:13" x14ac:dyDescent="0.25">
      <c r="A966" s="3">
        <v>41698</v>
      </c>
      <c r="B966" s="2" t="s">
        <v>47</v>
      </c>
      <c r="C966" s="2">
        <v>48</v>
      </c>
      <c r="G966" s="7">
        <f t="array" ref="G966">IF(ROWS(K$20:K966)&gt;$F$6,"",INDEX(A$2:A$10000,SMALL(IF(ISNUMBER(MATCH($B$2:$B$10000,$E$6:$E$22,0)),ROW($C$2:$C$10000)-ROW($C$2)+1),ROWS(K$20:K966))))</f>
        <v>41421</v>
      </c>
      <c r="H966" s="4" t="str">
        <f t="array" ref="H966">IF(ROWS(L$20:L966)&gt;$F$6,"",INDEX(B$2:B$10000,SMALL(IF(ISNUMBER(MATCH($B$2:$B$10000,$E$6:$E$22,0)),ROW($C$2:$C$10000)-ROW($C$2)+1),ROWS(L$20:L966))))</f>
        <v>Jenni  Thorton</v>
      </c>
      <c r="I966" s="4">
        <f t="array" ref="I966">IF(ROWS(M$20:M966)&gt;$F$6,"",INDEX(C$2:C$10000,SMALL(IF(ISNUMBER(MATCH($B$2:$B$10000,$E$6:$E$22,0)),ROW($C$2:$C$10000)-ROW($C$2)+1),ROWS(M$20:M966))))</f>
        <v>33</v>
      </c>
      <c r="K966" s="7">
        <f t="array" ref="K966">IF(ROWS(K$20:K966)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966))))</f>
        <v>41421</v>
      </c>
      <c r="L966" s="4" t="str">
        <f t="array" ref="L966">IF(ROWS(L$20:L966)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966))))</f>
        <v>Jenni  Thorton</v>
      </c>
      <c r="M966" s="4">
        <f t="array" ref="M966">IF(ROWS(M$20:M966)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966))))</f>
        <v>33</v>
      </c>
    </row>
    <row r="967" spans="1:13" x14ac:dyDescent="0.25">
      <c r="A967" s="3">
        <v>41482</v>
      </c>
      <c r="B967" s="2" t="s">
        <v>24</v>
      </c>
      <c r="C967" s="2">
        <v>28</v>
      </c>
      <c r="G967" s="7">
        <f t="array" ref="G967">IF(ROWS(K$20:K967)&gt;$F$6,"",INDEX(A$2:A$10000,SMALL(IF(ISNUMBER(MATCH($B$2:$B$10000,$E$6:$E$22,0)),ROW($C$2:$C$10000)-ROW($C$2)+1),ROWS(K$20:K967))))</f>
        <v>41995</v>
      </c>
      <c r="H967" s="4" t="str">
        <f t="array" ref="H967">IF(ROWS(L$20:L967)&gt;$F$6,"",INDEX(B$2:B$10000,SMALL(IF(ISNUMBER(MATCH($B$2:$B$10000,$E$6:$E$22,0)),ROW($C$2:$C$10000)-ROW($C$2)+1),ROWS(L$20:L967))))</f>
        <v>Iliana  Valerio</v>
      </c>
      <c r="I967" s="4">
        <f t="array" ref="I967">IF(ROWS(M$20:M967)&gt;$F$6,"",INDEX(C$2:C$10000,SMALL(IF(ISNUMBER(MATCH($B$2:$B$10000,$E$6:$E$22,0)),ROW($C$2:$C$10000)-ROW($C$2)+1),ROWS(M$20:M967))))</f>
        <v>1</v>
      </c>
      <c r="K967" s="7">
        <f t="array" ref="K967">IF(ROWS(K$20:K967)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967))))</f>
        <v>41995</v>
      </c>
      <c r="L967" s="4" t="str">
        <f t="array" ref="L967">IF(ROWS(L$20:L967)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967))))</f>
        <v>Iliana  Valerio</v>
      </c>
      <c r="M967" s="4">
        <f t="array" ref="M967">IF(ROWS(M$20:M967)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967))))</f>
        <v>1</v>
      </c>
    </row>
    <row r="968" spans="1:13" x14ac:dyDescent="0.25">
      <c r="A968" s="3">
        <v>41382</v>
      </c>
      <c r="B968" s="2" t="s">
        <v>44</v>
      </c>
      <c r="C968" s="2">
        <v>20</v>
      </c>
      <c r="G968" s="7">
        <f t="array" ref="G968">IF(ROWS(K$20:K968)&gt;$F$6,"",INDEX(A$2:A$10000,SMALL(IF(ISNUMBER(MATCH($B$2:$B$10000,$E$6:$E$22,0)),ROW($C$2:$C$10000)-ROW($C$2)+1),ROWS(K$20:K968))))</f>
        <v>41553</v>
      </c>
      <c r="H968" s="4" t="str">
        <f t="array" ref="H968">IF(ROWS(L$20:L968)&gt;$F$6,"",INDEX(B$2:B$10000,SMALL(IF(ISNUMBER(MATCH($B$2:$B$10000,$E$6:$E$22,0)),ROW($C$2:$C$10000)-ROW($C$2)+1),ROWS(L$20:L968))))</f>
        <v>Mickey  Bolduc</v>
      </c>
      <c r="I968" s="4">
        <f t="array" ref="I968">IF(ROWS(M$20:M968)&gt;$F$6,"",INDEX(C$2:C$10000,SMALL(IF(ISNUMBER(MATCH($B$2:$B$10000,$E$6:$E$22,0)),ROW($C$2:$C$10000)-ROW($C$2)+1),ROWS(M$20:M968))))</f>
        <v>37</v>
      </c>
      <c r="K968" s="7">
        <f t="array" ref="K968">IF(ROWS(K$20:K968)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968))))</f>
        <v>41553</v>
      </c>
      <c r="L968" s="4" t="str">
        <f t="array" ref="L968">IF(ROWS(L$20:L968)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968))))</f>
        <v>Mickey  Bolduc</v>
      </c>
      <c r="M968" s="4">
        <f t="array" ref="M968">IF(ROWS(M$20:M968)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968))))</f>
        <v>37</v>
      </c>
    </row>
    <row r="969" spans="1:13" x14ac:dyDescent="0.25">
      <c r="A969" s="3">
        <v>41691</v>
      </c>
      <c r="B969" s="2" t="s">
        <v>37</v>
      </c>
      <c r="C969" s="2">
        <v>36</v>
      </c>
      <c r="G969" s="7">
        <f t="array" ref="G969">IF(ROWS(K$20:K969)&gt;$F$6,"",INDEX(A$2:A$10000,SMALL(IF(ISNUMBER(MATCH($B$2:$B$10000,$E$6:$E$22,0)),ROW($C$2:$C$10000)-ROW($C$2)+1),ROWS(K$20:K969))))</f>
        <v>41752</v>
      </c>
      <c r="H969" s="4" t="str">
        <f t="array" ref="H969">IF(ROWS(L$20:L969)&gt;$F$6,"",INDEX(B$2:B$10000,SMALL(IF(ISNUMBER(MATCH($B$2:$B$10000,$E$6:$E$22,0)),ROW($C$2:$C$10000)-ROW($C$2)+1),ROWS(L$20:L969))))</f>
        <v>Mickey  Bolduc</v>
      </c>
      <c r="I969" s="4">
        <f t="array" ref="I969">IF(ROWS(M$20:M969)&gt;$F$6,"",INDEX(C$2:C$10000,SMALL(IF(ISNUMBER(MATCH($B$2:$B$10000,$E$6:$E$22,0)),ROW($C$2:$C$10000)-ROW($C$2)+1),ROWS(M$20:M969))))</f>
        <v>17</v>
      </c>
      <c r="K969" s="7">
        <f t="array" ref="K969">IF(ROWS(K$20:K969)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969))))</f>
        <v>41752</v>
      </c>
      <c r="L969" s="4" t="str">
        <f t="array" ref="L969">IF(ROWS(L$20:L969)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969))))</f>
        <v>Mickey  Bolduc</v>
      </c>
      <c r="M969" s="4">
        <f t="array" ref="M969">IF(ROWS(M$20:M969)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969))))</f>
        <v>17</v>
      </c>
    </row>
    <row r="970" spans="1:13" x14ac:dyDescent="0.25">
      <c r="A970" s="3">
        <v>41745</v>
      </c>
      <c r="B970" s="2" t="s">
        <v>51</v>
      </c>
      <c r="C970" s="2">
        <v>16</v>
      </c>
      <c r="G970" s="7">
        <f t="array" ref="G970">IF(ROWS(K$20:K970)&gt;$F$6,"",INDEX(A$2:A$10000,SMALL(IF(ISNUMBER(MATCH($B$2:$B$10000,$E$6:$E$22,0)),ROW($C$2:$C$10000)-ROW($C$2)+1),ROWS(K$20:K970))))</f>
        <v>41799</v>
      </c>
      <c r="H970" s="4" t="str">
        <f t="array" ref="H970">IF(ROWS(L$20:L970)&gt;$F$6,"",INDEX(B$2:B$10000,SMALL(IF(ISNUMBER(MATCH($B$2:$B$10000,$E$6:$E$22,0)),ROW($C$2:$C$10000)-ROW($C$2)+1),ROWS(L$20:L970))))</f>
        <v>Kerrie  Worrell</v>
      </c>
      <c r="I970" s="4">
        <f t="array" ref="I970">IF(ROWS(M$20:M970)&gt;$F$6,"",INDEX(C$2:C$10000,SMALL(IF(ISNUMBER(MATCH($B$2:$B$10000,$E$6:$E$22,0)),ROW($C$2:$C$10000)-ROW($C$2)+1),ROWS(M$20:M970))))</f>
        <v>22</v>
      </c>
      <c r="K970" s="7">
        <f t="array" ref="K970">IF(ROWS(K$20:K970)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970))))</f>
        <v>41799</v>
      </c>
      <c r="L970" s="4" t="str">
        <f t="array" ref="L970">IF(ROWS(L$20:L970)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970))))</f>
        <v>Kerrie  Worrell</v>
      </c>
      <c r="M970" s="4">
        <f t="array" ref="M970">IF(ROWS(M$20:M970)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970))))</f>
        <v>22</v>
      </c>
    </row>
    <row r="971" spans="1:13" x14ac:dyDescent="0.25">
      <c r="A971" s="3">
        <v>41311</v>
      </c>
      <c r="B971" s="2" t="s">
        <v>47</v>
      </c>
      <c r="C971" s="2">
        <v>23</v>
      </c>
      <c r="G971" s="7">
        <f t="array" ref="G971">IF(ROWS(K$20:K971)&gt;$F$6,"",INDEX(A$2:A$10000,SMALL(IF(ISNUMBER(MATCH($B$2:$B$10000,$E$6:$E$22,0)),ROW($C$2:$C$10000)-ROW($C$2)+1),ROWS(K$20:K971))))</f>
        <v>41295</v>
      </c>
      <c r="H971" s="4" t="str">
        <f t="array" ref="H971">IF(ROWS(L$20:L971)&gt;$F$6,"",INDEX(B$2:B$10000,SMALL(IF(ISNUMBER(MATCH($B$2:$B$10000,$E$6:$E$22,0)),ROW($C$2:$C$10000)-ROW($C$2)+1),ROWS(L$20:L971))))</f>
        <v>Rosamond  Allard</v>
      </c>
      <c r="I971" s="4">
        <f t="array" ref="I971">IF(ROWS(M$20:M971)&gt;$F$6,"",INDEX(C$2:C$10000,SMALL(IF(ISNUMBER(MATCH($B$2:$B$10000,$E$6:$E$22,0)),ROW($C$2:$C$10000)-ROW($C$2)+1),ROWS(M$20:M971))))</f>
        <v>51</v>
      </c>
      <c r="K971" s="7">
        <f t="array" ref="K971">IF(ROWS(K$20:K971)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971))))</f>
        <v>41295</v>
      </c>
      <c r="L971" s="4" t="str">
        <f t="array" ref="L971">IF(ROWS(L$20:L971)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971))))</f>
        <v>Rosamond  Allard</v>
      </c>
      <c r="M971" s="4">
        <f t="array" ref="M971">IF(ROWS(M$20:M971)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971))))</f>
        <v>51</v>
      </c>
    </row>
    <row r="972" spans="1:13" x14ac:dyDescent="0.25">
      <c r="A972" s="3">
        <v>41684</v>
      </c>
      <c r="B972" s="2" t="s">
        <v>41</v>
      </c>
      <c r="C972" s="2">
        <v>6</v>
      </c>
      <c r="G972" s="7">
        <f t="array" ref="G972">IF(ROWS(K$20:K972)&gt;$F$6,"",INDEX(A$2:A$10000,SMALL(IF(ISNUMBER(MATCH($B$2:$B$10000,$E$6:$E$22,0)),ROW($C$2:$C$10000)-ROW($C$2)+1),ROWS(K$20:K972))))</f>
        <v>41779</v>
      </c>
      <c r="H972" s="4" t="str">
        <f t="array" ref="H972">IF(ROWS(L$20:L972)&gt;$F$6,"",INDEX(B$2:B$10000,SMALL(IF(ISNUMBER(MATCH($B$2:$B$10000,$E$6:$E$22,0)),ROW($C$2:$C$10000)-ROW($C$2)+1),ROWS(L$20:L972))))</f>
        <v>Mickey  Bolduc</v>
      </c>
      <c r="I972" s="4">
        <f t="array" ref="I972">IF(ROWS(M$20:M972)&gt;$F$6,"",INDEX(C$2:C$10000,SMALL(IF(ISNUMBER(MATCH($B$2:$B$10000,$E$6:$E$22,0)),ROW($C$2:$C$10000)-ROW($C$2)+1),ROWS(M$20:M972))))</f>
        <v>21</v>
      </c>
      <c r="K972" s="7">
        <f t="array" ref="K972">IF(ROWS(K$20:K972)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972))))</f>
        <v>41779</v>
      </c>
      <c r="L972" s="4" t="str">
        <f t="array" ref="L972">IF(ROWS(L$20:L972)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972))))</f>
        <v>Mickey  Bolduc</v>
      </c>
      <c r="M972" s="4">
        <f t="array" ref="M972">IF(ROWS(M$20:M972)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972))))</f>
        <v>21</v>
      </c>
    </row>
    <row r="973" spans="1:13" x14ac:dyDescent="0.25">
      <c r="A973" s="3">
        <v>41814</v>
      </c>
      <c r="B973" s="2" t="s">
        <v>41</v>
      </c>
      <c r="C973" s="2">
        <v>1</v>
      </c>
      <c r="G973" s="7">
        <f t="array" ref="G973">IF(ROWS(K$20:K973)&gt;$F$6,"",INDEX(A$2:A$10000,SMALL(IF(ISNUMBER(MATCH($B$2:$B$10000,$E$6:$E$22,0)),ROW($C$2:$C$10000)-ROW($C$2)+1),ROWS(K$20:K973))))</f>
        <v>41922</v>
      </c>
      <c r="H973" s="4" t="str">
        <f t="array" ref="H973">IF(ROWS(L$20:L973)&gt;$F$6,"",INDEX(B$2:B$10000,SMALL(IF(ISNUMBER(MATCH($B$2:$B$10000,$E$6:$E$22,0)),ROW($C$2:$C$10000)-ROW($C$2)+1),ROWS(L$20:L973))))</f>
        <v>Iliana  Valerio</v>
      </c>
      <c r="I973" s="4">
        <f t="array" ref="I973">IF(ROWS(M$20:M973)&gt;$F$6,"",INDEX(C$2:C$10000,SMALL(IF(ISNUMBER(MATCH($B$2:$B$10000,$E$6:$E$22,0)),ROW($C$2:$C$10000)-ROW($C$2)+1),ROWS(M$20:M973))))</f>
        <v>23</v>
      </c>
      <c r="K973" s="7">
        <f t="array" ref="K973">IF(ROWS(K$20:K973)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973))))</f>
        <v>41922</v>
      </c>
      <c r="L973" s="4" t="str">
        <f t="array" ref="L973">IF(ROWS(L$20:L973)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973))))</f>
        <v>Iliana  Valerio</v>
      </c>
      <c r="M973" s="4">
        <f t="array" ref="M973">IF(ROWS(M$20:M973)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973))))</f>
        <v>23</v>
      </c>
    </row>
    <row r="974" spans="1:13" x14ac:dyDescent="0.25">
      <c r="A974" s="3">
        <v>41829</v>
      </c>
      <c r="B974" s="2" t="s">
        <v>8</v>
      </c>
      <c r="C974" s="2">
        <v>28</v>
      </c>
      <c r="G974" s="7">
        <f t="array" ref="G974">IF(ROWS(K$20:K974)&gt;$F$6,"",INDEX(A$2:A$10000,SMALL(IF(ISNUMBER(MATCH($B$2:$B$10000,$E$6:$E$22,0)),ROW($C$2:$C$10000)-ROW($C$2)+1),ROWS(K$20:K974))))</f>
        <v>41482</v>
      </c>
      <c r="H974" s="4" t="str">
        <f t="array" ref="H974">IF(ROWS(L$20:L974)&gt;$F$6,"",INDEX(B$2:B$10000,SMALL(IF(ISNUMBER(MATCH($B$2:$B$10000,$E$6:$E$22,0)),ROW($C$2:$C$10000)-ROW($C$2)+1),ROWS(L$20:L974))))</f>
        <v>Mickey  Bolduc</v>
      </c>
      <c r="I974" s="4">
        <f t="array" ref="I974">IF(ROWS(M$20:M974)&gt;$F$6,"",INDEX(C$2:C$10000,SMALL(IF(ISNUMBER(MATCH($B$2:$B$10000,$E$6:$E$22,0)),ROW($C$2:$C$10000)-ROW($C$2)+1),ROWS(M$20:M974))))</f>
        <v>24</v>
      </c>
      <c r="K974" s="7">
        <f t="array" ref="K974">IF(ROWS(K$20:K974)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974))))</f>
        <v>41482</v>
      </c>
      <c r="L974" s="4" t="str">
        <f t="array" ref="L974">IF(ROWS(L$20:L974)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974))))</f>
        <v>Mickey  Bolduc</v>
      </c>
      <c r="M974" s="4">
        <f t="array" ref="M974">IF(ROWS(M$20:M974)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974))))</f>
        <v>24</v>
      </c>
    </row>
    <row r="975" spans="1:13" x14ac:dyDescent="0.25">
      <c r="A975" s="3">
        <v>41958</v>
      </c>
      <c r="B975" s="2" t="s">
        <v>16</v>
      </c>
      <c r="C975" s="2">
        <v>33</v>
      </c>
      <c r="G975" s="7">
        <f t="array" ref="G975">IF(ROWS(K$20:K975)&gt;$F$6,"",INDEX(A$2:A$10000,SMALL(IF(ISNUMBER(MATCH($B$2:$B$10000,$E$6:$E$22,0)),ROW($C$2:$C$10000)-ROW($C$2)+1),ROWS(K$20:K975))))</f>
        <v>41614</v>
      </c>
      <c r="H975" s="4" t="str">
        <f t="array" ref="H975">IF(ROWS(L$20:L975)&gt;$F$6,"",INDEX(B$2:B$10000,SMALL(IF(ISNUMBER(MATCH($B$2:$B$10000,$E$6:$E$22,0)),ROW($C$2:$C$10000)-ROW($C$2)+1),ROWS(L$20:L975))))</f>
        <v>Iliana  Valerio</v>
      </c>
      <c r="I975" s="4">
        <f t="array" ref="I975">IF(ROWS(M$20:M975)&gt;$F$6,"",INDEX(C$2:C$10000,SMALL(IF(ISNUMBER(MATCH($B$2:$B$10000,$E$6:$E$22,0)),ROW($C$2:$C$10000)-ROW($C$2)+1),ROWS(M$20:M975))))</f>
        <v>48</v>
      </c>
      <c r="K975" s="7">
        <f t="array" ref="K975">IF(ROWS(K$20:K975)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975))))</f>
        <v>41614</v>
      </c>
      <c r="L975" s="4" t="str">
        <f t="array" ref="L975">IF(ROWS(L$20:L975)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975))))</f>
        <v>Iliana  Valerio</v>
      </c>
      <c r="M975" s="4">
        <f t="array" ref="M975">IF(ROWS(M$20:M975)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975))))</f>
        <v>48</v>
      </c>
    </row>
    <row r="976" spans="1:13" x14ac:dyDescent="0.25">
      <c r="A976" s="3">
        <v>41993</v>
      </c>
      <c r="B976" s="2" t="s">
        <v>8</v>
      </c>
      <c r="C976" s="2">
        <v>35</v>
      </c>
      <c r="G976" s="7">
        <f t="array" ref="G976">IF(ROWS(K$20:K976)&gt;$F$6,"",INDEX(A$2:A$10000,SMALL(IF(ISNUMBER(MATCH($B$2:$B$10000,$E$6:$E$22,0)),ROW($C$2:$C$10000)-ROW($C$2)+1),ROWS(K$20:K976))))</f>
        <v>41659</v>
      </c>
      <c r="H976" s="4" t="str">
        <f t="array" ref="H976">IF(ROWS(L$20:L976)&gt;$F$6,"",INDEX(B$2:B$10000,SMALL(IF(ISNUMBER(MATCH($B$2:$B$10000,$E$6:$E$22,0)),ROW($C$2:$C$10000)-ROW($C$2)+1),ROWS(L$20:L976))))</f>
        <v>Galen  Barth</v>
      </c>
      <c r="I976" s="4">
        <f t="array" ref="I976">IF(ROWS(M$20:M976)&gt;$F$6,"",INDEX(C$2:C$10000,SMALL(IF(ISNUMBER(MATCH($B$2:$B$10000,$E$6:$E$22,0)),ROW($C$2:$C$10000)-ROW($C$2)+1),ROWS(M$20:M976))))</f>
        <v>38</v>
      </c>
      <c r="K976" s="7">
        <f t="array" ref="K976">IF(ROWS(K$20:K976)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976))))</f>
        <v>41659</v>
      </c>
      <c r="L976" s="4" t="str">
        <f t="array" ref="L976">IF(ROWS(L$20:L976)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976))))</f>
        <v>Galen  Barth</v>
      </c>
      <c r="M976" s="4">
        <f t="array" ref="M976">IF(ROWS(M$20:M976)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976))))</f>
        <v>38</v>
      </c>
    </row>
    <row r="977" spans="1:13" x14ac:dyDescent="0.25">
      <c r="A977" s="3">
        <v>41839</v>
      </c>
      <c r="B977" s="2" t="s">
        <v>4</v>
      </c>
      <c r="C977" s="2">
        <v>30</v>
      </c>
      <c r="G977" s="7">
        <f t="array" ref="G977">IF(ROWS(K$20:K977)&gt;$F$6,"",INDEX(A$2:A$10000,SMALL(IF(ISNUMBER(MATCH($B$2:$B$10000,$E$6:$E$22,0)),ROW($C$2:$C$10000)-ROW($C$2)+1),ROWS(K$20:K977))))</f>
        <v>41613</v>
      </c>
      <c r="H977" s="4" t="str">
        <f t="array" ref="H977">IF(ROWS(L$20:L977)&gt;$F$6,"",INDEX(B$2:B$10000,SMALL(IF(ISNUMBER(MATCH($B$2:$B$10000,$E$6:$E$22,0)),ROW($C$2:$C$10000)-ROW($C$2)+1),ROWS(L$20:L977))))</f>
        <v>Iliana  Valerio</v>
      </c>
      <c r="I977" s="4">
        <f t="array" ref="I977">IF(ROWS(M$20:M977)&gt;$F$6,"",INDEX(C$2:C$10000,SMALL(IF(ISNUMBER(MATCH($B$2:$B$10000,$E$6:$E$22,0)),ROW($C$2:$C$10000)-ROW($C$2)+1),ROWS(M$20:M977))))</f>
        <v>11</v>
      </c>
      <c r="K977" s="7">
        <f t="array" ref="K977">IF(ROWS(K$20:K977)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977))))</f>
        <v>41613</v>
      </c>
      <c r="L977" s="4" t="str">
        <f t="array" ref="L977">IF(ROWS(L$20:L977)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977))))</f>
        <v>Iliana  Valerio</v>
      </c>
      <c r="M977" s="4">
        <f t="array" ref="M977">IF(ROWS(M$20:M977)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977))))</f>
        <v>11</v>
      </c>
    </row>
    <row r="978" spans="1:13" x14ac:dyDescent="0.25">
      <c r="A978" s="3">
        <v>41701</v>
      </c>
      <c r="B978" s="2" t="s">
        <v>13</v>
      </c>
      <c r="C978" s="2">
        <v>17</v>
      </c>
      <c r="G978" s="7">
        <f t="array" ref="G978">IF(ROWS(K$20:K978)&gt;$F$6,"",INDEX(A$2:A$10000,SMALL(IF(ISNUMBER(MATCH($B$2:$B$10000,$E$6:$E$22,0)),ROW($C$2:$C$10000)-ROW($C$2)+1),ROWS(K$20:K978))))</f>
        <v>41819</v>
      </c>
      <c r="H978" s="4" t="str">
        <f t="array" ref="H978">IF(ROWS(L$20:L978)&gt;$F$6,"",INDEX(B$2:B$10000,SMALL(IF(ISNUMBER(MATCH($B$2:$B$10000,$E$6:$E$22,0)),ROW($C$2:$C$10000)-ROW($C$2)+1),ROWS(L$20:L978))))</f>
        <v>Galen  Barth</v>
      </c>
      <c r="I978" s="4">
        <f t="array" ref="I978">IF(ROWS(M$20:M978)&gt;$F$6,"",INDEX(C$2:C$10000,SMALL(IF(ISNUMBER(MATCH($B$2:$B$10000,$E$6:$E$22,0)),ROW($C$2:$C$10000)-ROW($C$2)+1),ROWS(M$20:M978))))</f>
        <v>11</v>
      </c>
      <c r="K978" s="7">
        <f t="array" ref="K978">IF(ROWS(K$20:K978)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978))))</f>
        <v>41819</v>
      </c>
      <c r="L978" s="4" t="str">
        <f t="array" ref="L978">IF(ROWS(L$20:L978)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978))))</f>
        <v>Galen  Barth</v>
      </c>
      <c r="M978" s="4">
        <f t="array" ref="M978">IF(ROWS(M$20:M978)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978))))</f>
        <v>11</v>
      </c>
    </row>
    <row r="979" spans="1:13" x14ac:dyDescent="0.25">
      <c r="A979" s="3">
        <v>41879</v>
      </c>
      <c r="B979" s="2" t="s">
        <v>41</v>
      </c>
      <c r="C979" s="2">
        <v>37</v>
      </c>
      <c r="G979" s="7">
        <f t="array" ref="G979">IF(ROWS(K$20:K979)&gt;$F$6,"",INDEX(A$2:A$10000,SMALL(IF(ISNUMBER(MATCH($B$2:$B$10000,$E$6:$E$22,0)),ROW($C$2:$C$10000)-ROW($C$2)+1),ROWS(K$20:K979))))</f>
        <v>41545</v>
      </c>
      <c r="H979" s="4" t="str">
        <f t="array" ref="H979">IF(ROWS(L$20:L979)&gt;$F$6,"",INDEX(B$2:B$10000,SMALL(IF(ISNUMBER(MATCH($B$2:$B$10000,$E$6:$E$22,0)),ROW($C$2:$C$10000)-ROW($C$2)+1),ROWS(L$20:L979))))</f>
        <v>Galen  Barth</v>
      </c>
      <c r="I979" s="4">
        <f t="array" ref="I979">IF(ROWS(M$20:M979)&gt;$F$6,"",INDEX(C$2:C$10000,SMALL(IF(ISNUMBER(MATCH($B$2:$B$10000,$E$6:$E$22,0)),ROW($C$2:$C$10000)-ROW($C$2)+1),ROWS(M$20:M979))))</f>
        <v>21</v>
      </c>
      <c r="K979" s="7">
        <f t="array" ref="K979">IF(ROWS(K$20:K979)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979))))</f>
        <v>41545</v>
      </c>
      <c r="L979" s="4" t="str">
        <f t="array" ref="L979">IF(ROWS(L$20:L979)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979))))</f>
        <v>Galen  Barth</v>
      </c>
      <c r="M979" s="4">
        <f t="array" ref="M979">IF(ROWS(M$20:M979)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979))))</f>
        <v>21</v>
      </c>
    </row>
    <row r="980" spans="1:13" x14ac:dyDescent="0.25">
      <c r="A980" s="3">
        <v>41399</v>
      </c>
      <c r="B980" s="2" t="s">
        <v>2</v>
      </c>
      <c r="C980" s="2">
        <v>1</v>
      </c>
      <c r="G980" s="7">
        <f t="array" ref="G980">IF(ROWS(K$20:K980)&gt;$F$6,"",INDEX(A$2:A$10000,SMALL(IF(ISNUMBER(MATCH($B$2:$B$10000,$E$6:$E$22,0)),ROW($C$2:$C$10000)-ROW($C$2)+1),ROWS(K$20:K980))))</f>
        <v>41945</v>
      </c>
      <c r="H980" s="4" t="str">
        <f t="array" ref="H980">IF(ROWS(L$20:L980)&gt;$F$6,"",INDEX(B$2:B$10000,SMALL(IF(ISNUMBER(MATCH($B$2:$B$10000,$E$6:$E$22,0)),ROW($C$2:$C$10000)-ROW($C$2)+1),ROWS(L$20:L980))))</f>
        <v>Rosamond  Allard</v>
      </c>
      <c r="I980" s="4">
        <f t="array" ref="I980">IF(ROWS(M$20:M980)&gt;$F$6,"",INDEX(C$2:C$10000,SMALL(IF(ISNUMBER(MATCH($B$2:$B$10000,$E$6:$E$22,0)),ROW($C$2:$C$10000)-ROW($C$2)+1),ROWS(M$20:M980))))</f>
        <v>20</v>
      </c>
      <c r="K980" s="7">
        <f t="array" ref="K980">IF(ROWS(K$20:K980)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980))))</f>
        <v>41945</v>
      </c>
      <c r="L980" s="4" t="str">
        <f t="array" ref="L980">IF(ROWS(L$20:L980)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980))))</f>
        <v>Rosamond  Allard</v>
      </c>
      <c r="M980" s="4">
        <f t="array" ref="M980">IF(ROWS(M$20:M980)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980))))</f>
        <v>20</v>
      </c>
    </row>
    <row r="981" spans="1:13" x14ac:dyDescent="0.25">
      <c r="A981" s="3">
        <v>41305</v>
      </c>
      <c r="B981" s="2" t="s">
        <v>25</v>
      </c>
      <c r="C981" s="2">
        <v>16</v>
      </c>
      <c r="G981" s="7">
        <f t="array" ref="G981">IF(ROWS(K$20:K981)&gt;$F$6,"",INDEX(A$2:A$10000,SMALL(IF(ISNUMBER(MATCH($B$2:$B$10000,$E$6:$E$22,0)),ROW($C$2:$C$10000)-ROW($C$2)+1),ROWS(K$20:K981))))</f>
        <v>41428</v>
      </c>
      <c r="H981" s="4" t="str">
        <f t="array" ref="H981">IF(ROWS(L$20:L981)&gt;$F$6,"",INDEX(B$2:B$10000,SMALL(IF(ISNUMBER(MATCH($B$2:$B$10000,$E$6:$E$22,0)),ROW($C$2:$C$10000)-ROW($C$2)+1),ROWS(L$20:L981))))</f>
        <v>Iliana  Valerio</v>
      </c>
      <c r="I981" s="4">
        <f t="array" ref="I981">IF(ROWS(M$20:M981)&gt;$F$6,"",INDEX(C$2:C$10000,SMALL(IF(ISNUMBER(MATCH($B$2:$B$10000,$E$6:$E$22,0)),ROW($C$2:$C$10000)-ROW($C$2)+1),ROWS(M$20:M981))))</f>
        <v>44</v>
      </c>
      <c r="K981" s="7">
        <f t="array" ref="K981">IF(ROWS(K$20:K981)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981))))</f>
        <v>41428</v>
      </c>
      <c r="L981" s="4" t="str">
        <f t="array" ref="L981">IF(ROWS(L$20:L981)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981))))</f>
        <v>Iliana  Valerio</v>
      </c>
      <c r="M981" s="4">
        <f t="array" ref="M981">IF(ROWS(M$20:M981)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981))))</f>
        <v>44</v>
      </c>
    </row>
    <row r="982" spans="1:13" x14ac:dyDescent="0.25">
      <c r="A982" s="3">
        <v>41954</v>
      </c>
      <c r="B982" s="2" t="s">
        <v>31</v>
      </c>
      <c r="C982" s="2">
        <v>13</v>
      </c>
      <c r="G982" s="7">
        <f t="array" ref="G982">IF(ROWS(K$20:K982)&gt;$F$6,"",INDEX(A$2:A$10000,SMALL(IF(ISNUMBER(MATCH($B$2:$B$10000,$E$6:$E$22,0)),ROW($C$2:$C$10000)-ROW($C$2)+1),ROWS(K$20:K982))))</f>
        <v>41460</v>
      </c>
      <c r="H982" s="4" t="str">
        <f t="array" ref="H982">IF(ROWS(L$20:L982)&gt;$F$6,"",INDEX(B$2:B$10000,SMALL(IF(ISNUMBER(MATCH($B$2:$B$10000,$E$6:$E$22,0)),ROW($C$2:$C$10000)-ROW($C$2)+1),ROWS(L$20:L982))))</f>
        <v>Galen  Barth</v>
      </c>
      <c r="I982" s="4">
        <f t="array" ref="I982">IF(ROWS(M$20:M982)&gt;$F$6,"",INDEX(C$2:C$10000,SMALL(IF(ISNUMBER(MATCH($B$2:$B$10000,$E$6:$E$22,0)),ROW($C$2:$C$10000)-ROW($C$2)+1),ROWS(M$20:M982))))</f>
        <v>39</v>
      </c>
      <c r="K982" s="7">
        <f t="array" ref="K982">IF(ROWS(K$20:K982)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982))))</f>
        <v>41460</v>
      </c>
      <c r="L982" s="4" t="str">
        <f t="array" ref="L982">IF(ROWS(L$20:L982)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982))))</f>
        <v>Galen  Barth</v>
      </c>
      <c r="M982" s="4">
        <f t="array" ref="M982">IF(ROWS(M$20:M982)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982))))</f>
        <v>39</v>
      </c>
    </row>
    <row r="983" spans="1:13" x14ac:dyDescent="0.25">
      <c r="A983" s="3">
        <v>41386</v>
      </c>
      <c r="B983" s="2" t="s">
        <v>47</v>
      </c>
      <c r="C983" s="2">
        <v>7</v>
      </c>
      <c r="G983" s="7">
        <f t="array" ref="G983">IF(ROWS(K$20:K983)&gt;$F$6,"",INDEX(A$2:A$10000,SMALL(IF(ISNUMBER(MATCH($B$2:$B$10000,$E$6:$E$22,0)),ROW($C$2:$C$10000)-ROW($C$2)+1),ROWS(K$20:K983))))</f>
        <v>41955</v>
      </c>
      <c r="H983" s="4" t="str">
        <f t="array" ref="H983">IF(ROWS(L$20:L983)&gt;$F$6,"",INDEX(B$2:B$10000,SMALL(IF(ISNUMBER(MATCH($B$2:$B$10000,$E$6:$E$22,0)),ROW($C$2:$C$10000)-ROW($C$2)+1),ROWS(L$20:L983))))</f>
        <v>Rosamond  Allard</v>
      </c>
      <c r="I983" s="4">
        <f t="array" ref="I983">IF(ROWS(M$20:M983)&gt;$F$6,"",INDEX(C$2:C$10000,SMALL(IF(ISNUMBER(MATCH($B$2:$B$10000,$E$6:$E$22,0)),ROW($C$2:$C$10000)-ROW($C$2)+1),ROWS(M$20:M983))))</f>
        <v>13</v>
      </c>
      <c r="K983" s="7">
        <f t="array" ref="K983">IF(ROWS(K$20:K983)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983))))</f>
        <v>41955</v>
      </c>
      <c r="L983" s="4" t="str">
        <f t="array" ref="L983">IF(ROWS(L$20:L983)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983))))</f>
        <v>Rosamond  Allard</v>
      </c>
      <c r="M983" s="4">
        <f t="array" ref="M983">IF(ROWS(M$20:M983)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983))))</f>
        <v>13</v>
      </c>
    </row>
    <row r="984" spans="1:13" x14ac:dyDescent="0.25">
      <c r="A984" s="3">
        <v>41858</v>
      </c>
      <c r="B984" s="2" t="s">
        <v>6</v>
      </c>
      <c r="C984" s="2">
        <v>43</v>
      </c>
      <c r="G984" s="7">
        <f t="array" ref="G984">IF(ROWS(K$20:K984)&gt;$F$6,"",INDEX(A$2:A$10000,SMALL(IF(ISNUMBER(MATCH($B$2:$B$10000,$E$6:$E$22,0)),ROW($C$2:$C$10000)-ROW($C$2)+1),ROWS(K$20:K984))))</f>
        <v>41553</v>
      </c>
      <c r="H984" s="4" t="str">
        <f t="array" ref="H984">IF(ROWS(L$20:L984)&gt;$F$6,"",INDEX(B$2:B$10000,SMALL(IF(ISNUMBER(MATCH($B$2:$B$10000,$E$6:$E$22,0)),ROW($C$2:$C$10000)-ROW($C$2)+1),ROWS(L$20:L984))))</f>
        <v>Kerrie  Worrell</v>
      </c>
      <c r="I984" s="4">
        <f t="array" ref="I984">IF(ROWS(M$20:M984)&gt;$F$6,"",INDEX(C$2:C$10000,SMALL(IF(ISNUMBER(MATCH($B$2:$B$10000,$E$6:$E$22,0)),ROW($C$2:$C$10000)-ROW($C$2)+1),ROWS(M$20:M984))))</f>
        <v>0</v>
      </c>
      <c r="K984" s="7">
        <f t="array" ref="K984">IF(ROWS(K$20:K984)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984))))</f>
        <v>41553</v>
      </c>
      <c r="L984" s="4" t="str">
        <f t="array" ref="L984">IF(ROWS(L$20:L984)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984))))</f>
        <v>Kerrie  Worrell</v>
      </c>
      <c r="M984" s="4">
        <f t="array" ref="M984">IF(ROWS(M$20:M984)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984))))</f>
        <v>0</v>
      </c>
    </row>
    <row r="985" spans="1:13" x14ac:dyDescent="0.25">
      <c r="A985" s="3">
        <v>41931</v>
      </c>
      <c r="B985" s="2" t="s">
        <v>31</v>
      </c>
      <c r="C985" s="2">
        <v>51</v>
      </c>
      <c r="G985" s="7">
        <f t="array" ref="G985">IF(ROWS(K$20:K985)&gt;$F$6,"",INDEX(A$2:A$10000,SMALL(IF(ISNUMBER(MATCH($B$2:$B$10000,$E$6:$E$22,0)),ROW($C$2:$C$10000)-ROW($C$2)+1),ROWS(K$20:K985))))</f>
        <v>41995</v>
      </c>
      <c r="H985" s="4" t="str">
        <f t="array" ref="H985">IF(ROWS(L$20:L985)&gt;$F$6,"",INDEX(B$2:B$10000,SMALL(IF(ISNUMBER(MATCH($B$2:$B$10000,$E$6:$E$22,0)),ROW($C$2:$C$10000)-ROW($C$2)+1),ROWS(L$20:L985))))</f>
        <v>Kerrie  Worrell</v>
      </c>
      <c r="I985" s="4">
        <f t="array" ref="I985">IF(ROWS(M$20:M985)&gt;$F$6,"",INDEX(C$2:C$10000,SMALL(IF(ISNUMBER(MATCH($B$2:$B$10000,$E$6:$E$22,0)),ROW($C$2:$C$10000)-ROW($C$2)+1),ROWS(M$20:M985))))</f>
        <v>1</v>
      </c>
      <c r="K985" s="7">
        <f t="array" ref="K985">IF(ROWS(K$20:K985)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985))))</f>
        <v>41995</v>
      </c>
      <c r="L985" s="4" t="str">
        <f t="array" ref="L985">IF(ROWS(L$20:L985)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985))))</f>
        <v>Kerrie  Worrell</v>
      </c>
      <c r="M985" s="4">
        <f t="array" ref="M985">IF(ROWS(M$20:M985)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985))))</f>
        <v>1</v>
      </c>
    </row>
    <row r="986" spans="1:13" x14ac:dyDescent="0.25">
      <c r="A986" s="3">
        <v>41717</v>
      </c>
      <c r="B986" s="2" t="s">
        <v>11</v>
      </c>
      <c r="C986" s="2">
        <v>23</v>
      </c>
      <c r="G986" s="7">
        <f t="array" ref="G986">IF(ROWS(K$20:K986)&gt;$F$6,"",INDEX(A$2:A$10000,SMALL(IF(ISNUMBER(MATCH($B$2:$B$10000,$E$6:$E$22,0)),ROW($C$2:$C$10000)-ROW($C$2)+1),ROWS(K$20:K986))))</f>
        <v>41464</v>
      </c>
      <c r="H986" s="4" t="str">
        <f t="array" ref="H986">IF(ROWS(L$20:L986)&gt;$F$6,"",INDEX(B$2:B$10000,SMALL(IF(ISNUMBER(MATCH($B$2:$B$10000,$E$6:$E$22,0)),ROW($C$2:$C$10000)-ROW($C$2)+1),ROWS(L$20:L986))))</f>
        <v>Jenni  Thorton</v>
      </c>
      <c r="I986" s="4">
        <f t="array" ref="I986">IF(ROWS(M$20:M986)&gt;$F$6,"",INDEX(C$2:C$10000,SMALL(IF(ISNUMBER(MATCH($B$2:$B$10000,$E$6:$E$22,0)),ROW($C$2:$C$10000)-ROW($C$2)+1),ROWS(M$20:M986))))</f>
        <v>29</v>
      </c>
      <c r="K986" s="7">
        <f t="array" ref="K986">IF(ROWS(K$20:K986)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986))))</f>
        <v>41464</v>
      </c>
      <c r="L986" s="4" t="str">
        <f t="array" ref="L986">IF(ROWS(L$20:L986)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986))))</f>
        <v>Jenni  Thorton</v>
      </c>
      <c r="M986" s="4">
        <f t="array" ref="M986">IF(ROWS(M$20:M986)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986))))</f>
        <v>29</v>
      </c>
    </row>
    <row r="987" spans="1:13" x14ac:dyDescent="0.25">
      <c r="A987" s="3">
        <v>41772</v>
      </c>
      <c r="B987" s="2" t="s">
        <v>27</v>
      </c>
      <c r="C987" s="2">
        <v>49</v>
      </c>
      <c r="G987" s="7">
        <f t="array" ref="G987">IF(ROWS(K$20:K987)&gt;$F$6,"",INDEX(A$2:A$10000,SMALL(IF(ISNUMBER(MATCH($B$2:$B$10000,$E$6:$E$22,0)),ROW($C$2:$C$10000)-ROW($C$2)+1),ROWS(K$20:K987))))</f>
        <v>41594</v>
      </c>
      <c r="H987" s="4" t="str">
        <f t="array" ref="H987">IF(ROWS(L$20:L987)&gt;$F$6,"",INDEX(B$2:B$10000,SMALL(IF(ISNUMBER(MATCH($B$2:$B$10000,$E$6:$E$22,0)),ROW($C$2:$C$10000)-ROW($C$2)+1),ROWS(L$20:L987))))</f>
        <v>Rosamond  Allard</v>
      </c>
      <c r="I987" s="4">
        <f t="array" ref="I987">IF(ROWS(M$20:M987)&gt;$F$6,"",INDEX(C$2:C$10000,SMALL(IF(ISNUMBER(MATCH($B$2:$B$10000,$E$6:$E$22,0)),ROW($C$2:$C$10000)-ROW($C$2)+1),ROWS(M$20:M987))))</f>
        <v>6</v>
      </c>
      <c r="K987" s="7">
        <f t="array" ref="K987">IF(ROWS(K$20:K987)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987))))</f>
        <v>41594</v>
      </c>
      <c r="L987" s="4" t="str">
        <f t="array" ref="L987">IF(ROWS(L$20:L987)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987))))</f>
        <v>Rosamond  Allard</v>
      </c>
      <c r="M987" s="4">
        <f t="array" ref="M987">IF(ROWS(M$20:M987)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987))))</f>
        <v>6</v>
      </c>
    </row>
    <row r="988" spans="1:13" x14ac:dyDescent="0.25">
      <c r="A988" s="3">
        <v>41427</v>
      </c>
      <c r="B988" s="2" t="s">
        <v>28</v>
      </c>
      <c r="C988" s="2">
        <v>22</v>
      </c>
      <c r="G988" s="7">
        <f t="array" ref="G988">IF(ROWS(K$20:K988)&gt;$F$6,"",INDEX(A$2:A$10000,SMALL(IF(ISNUMBER(MATCH($B$2:$B$10000,$E$6:$E$22,0)),ROW($C$2:$C$10000)-ROW($C$2)+1),ROWS(K$20:K988))))</f>
        <v>41969</v>
      </c>
      <c r="H988" s="4" t="str">
        <f t="array" ref="H988">IF(ROWS(L$20:L988)&gt;$F$6,"",INDEX(B$2:B$10000,SMALL(IF(ISNUMBER(MATCH($B$2:$B$10000,$E$6:$E$22,0)),ROW($C$2:$C$10000)-ROW($C$2)+1),ROWS(L$20:L988))))</f>
        <v>Iliana  Valerio</v>
      </c>
      <c r="I988" s="4">
        <f t="array" ref="I988">IF(ROWS(M$20:M988)&gt;$F$6,"",INDEX(C$2:C$10000,SMALL(IF(ISNUMBER(MATCH($B$2:$B$10000,$E$6:$E$22,0)),ROW($C$2:$C$10000)-ROW($C$2)+1),ROWS(M$20:M988))))</f>
        <v>38</v>
      </c>
      <c r="K988" s="7">
        <f t="array" ref="K988">IF(ROWS(K$20:K988)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988))))</f>
        <v>41969</v>
      </c>
      <c r="L988" s="4" t="str">
        <f t="array" ref="L988">IF(ROWS(L$20:L988)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988))))</f>
        <v>Iliana  Valerio</v>
      </c>
      <c r="M988" s="4">
        <f t="array" ref="M988">IF(ROWS(M$20:M988)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988))))</f>
        <v>38</v>
      </c>
    </row>
    <row r="989" spans="1:13" x14ac:dyDescent="0.25">
      <c r="A989" s="3">
        <v>41743</v>
      </c>
      <c r="B989" s="2" t="s">
        <v>24</v>
      </c>
      <c r="C989" s="2">
        <v>25</v>
      </c>
      <c r="G989" s="7">
        <f t="array" ref="G989">IF(ROWS(K$20:K989)&gt;$F$6,"",INDEX(A$2:A$10000,SMALL(IF(ISNUMBER(MATCH($B$2:$B$10000,$E$6:$E$22,0)),ROW($C$2:$C$10000)-ROW($C$2)+1),ROWS(K$20:K989))))</f>
        <v>41674</v>
      </c>
      <c r="H989" s="4" t="str">
        <f t="array" ref="H989">IF(ROWS(L$20:L989)&gt;$F$6,"",INDEX(B$2:B$10000,SMALL(IF(ISNUMBER(MATCH($B$2:$B$10000,$E$6:$E$22,0)),ROW($C$2:$C$10000)-ROW($C$2)+1),ROWS(L$20:L989))))</f>
        <v>Galen  Barth</v>
      </c>
      <c r="I989" s="4">
        <f t="array" ref="I989">IF(ROWS(M$20:M989)&gt;$F$6,"",INDEX(C$2:C$10000,SMALL(IF(ISNUMBER(MATCH($B$2:$B$10000,$E$6:$E$22,0)),ROW($C$2:$C$10000)-ROW($C$2)+1),ROWS(M$20:M989))))</f>
        <v>50</v>
      </c>
      <c r="K989" s="7">
        <f t="array" ref="K989">IF(ROWS(K$20:K989)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989))))</f>
        <v>41674</v>
      </c>
      <c r="L989" s="4" t="str">
        <f t="array" ref="L989">IF(ROWS(L$20:L989)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989))))</f>
        <v>Galen  Barth</v>
      </c>
      <c r="M989" s="4">
        <f t="array" ref="M989">IF(ROWS(M$20:M989)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989))))</f>
        <v>50</v>
      </c>
    </row>
    <row r="990" spans="1:13" x14ac:dyDescent="0.25">
      <c r="A990" s="3">
        <v>41911</v>
      </c>
      <c r="B990" s="2" t="s">
        <v>48</v>
      </c>
      <c r="C990" s="2">
        <v>21</v>
      </c>
      <c r="G990" s="7">
        <f t="array" ref="G990">IF(ROWS(K$20:K990)&gt;$F$6,"",INDEX(A$2:A$10000,SMALL(IF(ISNUMBER(MATCH($B$2:$B$10000,$E$6:$E$22,0)),ROW($C$2:$C$10000)-ROW($C$2)+1),ROWS(K$20:K990))))</f>
        <v>41606</v>
      </c>
      <c r="H990" s="4" t="str">
        <f t="array" ref="H990">IF(ROWS(L$20:L990)&gt;$F$6,"",INDEX(B$2:B$10000,SMALL(IF(ISNUMBER(MATCH($B$2:$B$10000,$E$6:$E$22,0)),ROW($C$2:$C$10000)-ROW($C$2)+1),ROWS(L$20:L990))))</f>
        <v>Jenni  Thorton</v>
      </c>
      <c r="I990" s="4">
        <f t="array" ref="I990">IF(ROWS(M$20:M990)&gt;$F$6,"",INDEX(C$2:C$10000,SMALL(IF(ISNUMBER(MATCH($B$2:$B$10000,$E$6:$E$22,0)),ROW($C$2:$C$10000)-ROW($C$2)+1),ROWS(M$20:M990))))</f>
        <v>28</v>
      </c>
      <c r="K990" s="7">
        <f t="array" ref="K990">IF(ROWS(K$20:K990)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990))))</f>
        <v>41606</v>
      </c>
      <c r="L990" s="4" t="str">
        <f t="array" ref="L990">IF(ROWS(L$20:L990)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990))))</f>
        <v>Jenni  Thorton</v>
      </c>
      <c r="M990" s="4">
        <f t="array" ref="M990">IF(ROWS(M$20:M990)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990))))</f>
        <v>28</v>
      </c>
    </row>
    <row r="991" spans="1:13" x14ac:dyDescent="0.25">
      <c r="A991" s="3">
        <v>41889</v>
      </c>
      <c r="B991" s="2" t="s">
        <v>28</v>
      </c>
      <c r="C991" s="2">
        <v>19</v>
      </c>
      <c r="G991" s="7">
        <f t="array" ref="G991">IF(ROWS(K$20:K991)&gt;$F$6,"",INDEX(A$2:A$10000,SMALL(IF(ISNUMBER(MATCH($B$2:$B$10000,$E$6:$E$22,0)),ROW($C$2:$C$10000)-ROW($C$2)+1),ROWS(K$20:K991))))</f>
        <v>41346</v>
      </c>
      <c r="H991" s="4" t="str">
        <f t="array" ref="H991">IF(ROWS(L$20:L991)&gt;$F$6,"",INDEX(B$2:B$10000,SMALL(IF(ISNUMBER(MATCH($B$2:$B$10000,$E$6:$E$22,0)),ROW($C$2:$C$10000)-ROW($C$2)+1),ROWS(L$20:L991))))</f>
        <v>Iliana  Valerio</v>
      </c>
      <c r="I991" s="4">
        <f t="array" ref="I991">IF(ROWS(M$20:M991)&gt;$F$6,"",INDEX(C$2:C$10000,SMALL(IF(ISNUMBER(MATCH($B$2:$B$10000,$E$6:$E$22,0)),ROW($C$2:$C$10000)-ROW($C$2)+1),ROWS(M$20:M991))))</f>
        <v>14</v>
      </c>
      <c r="K991" s="7">
        <f t="array" ref="K991">IF(ROWS(K$20:K991)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991))))</f>
        <v>41346</v>
      </c>
      <c r="L991" s="4" t="str">
        <f t="array" ref="L991">IF(ROWS(L$20:L991)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991))))</f>
        <v>Iliana  Valerio</v>
      </c>
      <c r="M991" s="4">
        <f t="array" ref="M991">IF(ROWS(M$20:M991)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991))))</f>
        <v>14</v>
      </c>
    </row>
    <row r="992" spans="1:13" x14ac:dyDescent="0.25">
      <c r="A992" s="3">
        <v>41677</v>
      </c>
      <c r="B992" s="2" t="s">
        <v>39</v>
      </c>
      <c r="C992" s="2">
        <v>10</v>
      </c>
      <c r="G992" s="7">
        <f t="array" ref="G992">IF(ROWS(K$20:K992)&gt;$F$6,"",INDEX(A$2:A$10000,SMALL(IF(ISNUMBER(MATCH($B$2:$B$10000,$E$6:$E$22,0)),ROW($C$2:$C$10000)-ROW($C$2)+1),ROWS(K$20:K992))))</f>
        <v>41782</v>
      </c>
      <c r="H992" s="4" t="str">
        <f t="array" ref="H992">IF(ROWS(L$20:L992)&gt;$F$6,"",INDEX(B$2:B$10000,SMALL(IF(ISNUMBER(MATCH($B$2:$B$10000,$E$6:$E$22,0)),ROW($C$2:$C$10000)-ROW($C$2)+1),ROWS(L$20:L992))))</f>
        <v>Rosamond  Allard</v>
      </c>
      <c r="I992" s="4">
        <f t="array" ref="I992">IF(ROWS(M$20:M992)&gt;$F$6,"",INDEX(C$2:C$10000,SMALL(IF(ISNUMBER(MATCH($B$2:$B$10000,$E$6:$E$22,0)),ROW($C$2:$C$10000)-ROW($C$2)+1),ROWS(M$20:M992))))</f>
        <v>24</v>
      </c>
      <c r="K992" s="7">
        <f t="array" ref="K992">IF(ROWS(K$20:K992)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992))))</f>
        <v>41782</v>
      </c>
      <c r="L992" s="4" t="str">
        <f t="array" ref="L992">IF(ROWS(L$20:L992)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992))))</f>
        <v>Rosamond  Allard</v>
      </c>
      <c r="M992" s="4">
        <f t="array" ref="M992">IF(ROWS(M$20:M992)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992))))</f>
        <v>24</v>
      </c>
    </row>
    <row r="993" spans="1:13" x14ac:dyDescent="0.25">
      <c r="A993" s="3">
        <v>41986</v>
      </c>
      <c r="B993" s="2" t="s">
        <v>5</v>
      </c>
      <c r="C993" s="2">
        <v>8</v>
      </c>
      <c r="G993" s="7">
        <f t="array" ref="G993">IF(ROWS(K$20:K993)&gt;$F$6,"",INDEX(A$2:A$10000,SMALL(IF(ISNUMBER(MATCH($B$2:$B$10000,$E$6:$E$22,0)),ROW($C$2:$C$10000)-ROW($C$2)+1),ROWS(K$20:K993))))</f>
        <v>41536</v>
      </c>
      <c r="H993" s="4" t="str">
        <f t="array" ref="H993">IF(ROWS(L$20:L993)&gt;$F$6,"",INDEX(B$2:B$10000,SMALL(IF(ISNUMBER(MATCH($B$2:$B$10000,$E$6:$E$22,0)),ROW($C$2:$C$10000)-ROW($C$2)+1),ROWS(L$20:L993))))</f>
        <v>Iliana  Valerio</v>
      </c>
      <c r="I993" s="4">
        <f t="array" ref="I993">IF(ROWS(M$20:M993)&gt;$F$6,"",INDEX(C$2:C$10000,SMALL(IF(ISNUMBER(MATCH($B$2:$B$10000,$E$6:$E$22,0)),ROW($C$2:$C$10000)-ROW($C$2)+1),ROWS(M$20:M993))))</f>
        <v>28</v>
      </c>
      <c r="K993" s="7">
        <f t="array" ref="K993">IF(ROWS(K$20:K993)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993))))</f>
        <v>41536</v>
      </c>
      <c r="L993" s="4" t="str">
        <f t="array" ref="L993">IF(ROWS(L$20:L993)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993))))</f>
        <v>Iliana  Valerio</v>
      </c>
      <c r="M993" s="4">
        <f t="array" ref="M993">IF(ROWS(M$20:M993)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993))))</f>
        <v>28</v>
      </c>
    </row>
    <row r="994" spans="1:13" x14ac:dyDescent="0.25">
      <c r="A994" s="3">
        <v>41377</v>
      </c>
      <c r="B994" s="2" t="s">
        <v>11</v>
      </c>
      <c r="C994" s="2">
        <v>17</v>
      </c>
      <c r="G994" s="7">
        <f t="array" ref="G994">IF(ROWS(K$20:K994)&gt;$F$6,"",INDEX(A$2:A$10000,SMALL(IF(ISNUMBER(MATCH($B$2:$B$10000,$E$6:$E$22,0)),ROW($C$2:$C$10000)-ROW($C$2)+1),ROWS(K$20:K994))))</f>
        <v>41689</v>
      </c>
      <c r="H994" s="4" t="str">
        <f t="array" ref="H994">IF(ROWS(L$20:L994)&gt;$F$6,"",INDEX(B$2:B$10000,SMALL(IF(ISNUMBER(MATCH($B$2:$B$10000,$E$6:$E$22,0)),ROW($C$2:$C$10000)-ROW($C$2)+1),ROWS(L$20:L994))))</f>
        <v>Kerrie  Worrell</v>
      </c>
      <c r="I994" s="4">
        <f t="array" ref="I994">IF(ROWS(M$20:M994)&gt;$F$6,"",INDEX(C$2:C$10000,SMALL(IF(ISNUMBER(MATCH($B$2:$B$10000,$E$6:$E$22,0)),ROW($C$2:$C$10000)-ROW($C$2)+1),ROWS(M$20:M994))))</f>
        <v>12</v>
      </c>
      <c r="K994" s="7">
        <f t="array" ref="K994">IF(ROWS(K$20:K994)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994))))</f>
        <v>41689</v>
      </c>
      <c r="L994" s="4" t="str">
        <f t="array" ref="L994">IF(ROWS(L$20:L994)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994))))</f>
        <v>Kerrie  Worrell</v>
      </c>
      <c r="M994" s="4">
        <f t="array" ref="M994">IF(ROWS(M$20:M994)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994))))</f>
        <v>12</v>
      </c>
    </row>
    <row r="995" spans="1:13" x14ac:dyDescent="0.25">
      <c r="A995" s="3">
        <v>41420</v>
      </c>
      <c r="B995" s="2" t="s">
        <v>30</v>
      </c>
      <c r="C995" s="2">
        <v>41</v>
      </c>
      <c r="G995" s="7">
        <f t="array" ref="G995">IF(ROWS(K$20:K995)&gt;$F$6,"",INDEX(A$2:A$10000,SMALL(IF(ISNUMBER(MATCH($B$2:$B$10000,$E$6:$E$22,0)),ROW($C$2:$C$10000)-ROW($C$2)+1),ROWS(K$20:K995))))</f>
        <v>41570</v>
      </c>
      <c r="H995" s="4" t="str">
        <f t="array" ref="H995">IF(ROWS(L$20:L995)&gt;$F$6,"",INDEX(B$2:B$10000,SMALL(IF(ISNUMBER(MATCH($B$2:$B$10000,$E$6:$E$22,0)),ROW($C$2:$C$10000)-ROW($C$2)+1),ROWS(L$20:L995))))</f>
        <v>Iliana  Valerio</v>
      </c>
      <c r="I995" s="4">
        <f t="array" ref="I995">IF(ROWS(M$20:M995)&gt;$F$6,"",INDEX(C$2:C$10000,SMALL(IF(ISNUMBER(MATCH($B$2:$B$10000,$E$6:$E$22,0)),ROW($C$2:$C$10000)-ROW($C$2)+1),ROWS(M$20:M995))))</f>
        <v>34</v>
      </c>
      <c r="K995" s="7">
        <f t="array" ref="K995">IF(ROWS(K$20:K995)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995))))</f>
        <v>41570</v>
      </c>
      <c r="L995" s="4" t="str">
        <f t="array" ref="L995">IF(ROWS(L$20:L995)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995))))</f>
        <v>Iliana  Valerio</v>
      </c>
      <c r="M995" s="4">
        <f t="array" ref="M995">IF(ROWS(M$20:M995)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995))))</f>
        <v>34</v>
      </c>
    </row>
    <row r="996" spans="1:13" x14ac:dyDescent="0.25">
      <c r="A996" s="3">
        <v>41543</v>
      </c>
      <c r="B996" s="2" t="s">
        <v>21</v>
      </c>
      <c r="C996" s="2">
        <v>13</v>
      </c>
      <c r="G996" s="7">
        <f t="array" ref="G996">IF(ROWS(K$20:K996)&gt;$F$6,"",INDEX(A$2:A$10000,SMALL(IF(ISNUMBER(MATCH($B$2:$B$10000,$E$6:$E$22,0)),ROW($C$2:$C$10000)-ROW($C$2)+1),ROWS(K$20:K996))))</f>
        <v>41951</v>
      </c>
      <c r="H996" s="4" t="str">
        <f t="array" ref="H996">IF(ROWS(L$20:L996)&gt;$F$6,"",INDEX(B$2:B$10000,SMALL(IF(ISNUMBER(MATCH($B$2:$B$10000,$E$6:$E$22,0)),ROW($C$2:$C$10000)-ROW($C$2)+1),ROWS(L$20:L996))))</f>
        <v>Iliana  Valerio</v>
      </c>
      <c r="I996" s="4">
        <f t="array" ref="I996">IF(ROWS(M$20:M996)&gt;$F$6,"",INDEX(C$2:C$10000,SMALL(IF(ISNUMBER(MATCH($B$2:$B$10000,$E$6:$E$22,0)),ROW($C$2:$C$10000)-ROW($C$2)+1),ROWS(M$20:M996))))</f>
        <v>43</v>
      </c>
      <c r="K996" s="7">
        <f t="array" ref="K996">IF(ROWS(K$20:K996)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996))))</f>
        <v>41951</v>
      </c>
      <c r="L996" s="4" t="str">
        <f t="array" ref="L996">IF(ROWS(L$20:L996)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996))))</f>
        <v>Iliana  Valerio</v>
      </c>
      <c r="M996" s="4">
        <f t="array" ref="M996">IF(ROWS(M$20:M996)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996))))</f>
        <v>43</v>
      </c>
    </row>
    <row r="997" spans="1:13" x14ac:dyDescent="0.25">
      <c r="A997" s="3">
        <v>41624</v>
      </c>
      <c r="B997" s="2" t="s">
        <v>4</v>
      </c>
      <c r="C997" s="2">
        <v>14</v>
      </c>
      <c r="G997" s="7">
        <f t="array" ref="G997">IF(ROWS(K$20:K997)&gt;$F$6,"",INDEX(A$2:A$10000,SMALL(IF(ISNUMBER(MATCH($B$2:$B$10000,$E$6:$E$22,0)),ROW($C$2:$C$10000)-ROW($C$2)+1),ROWS(K$20:K997))))</f>
        <v>41803</v>
      </c>
      <c r="H997" s="4" t="str">
        <f t="array" ref="H997">IF(ROWS(L$20:L997)&gt;$F$6,"",INDEX(B$2:B$10000,SMALL(IF(ISNUMBER(MATCH($B$2:$B$10000,$E$6:$E$22,0)),ROW($C$2:$C$10000)-ROW($C$2)+1),ROWS(L$20:L997))))</f>
        <v>Kerrie  Worrell</v>
      </c>
      <c r="I997" s="4">
        <f t="array" ref="I997">IF(ROWS(M$20:M997)&gt;$F$6,"",INDEX(C$2:C$10000,SMALL(IF(ISNUMBER(MATCH($B$2:$B$10000,$E$6:$E$22,0)),ROW($C$2:$C$10000)-ROW($C$2)+1),ROWS(M$20:M997))))</f>
        <v>37</v>
      </c>
      <c r="K997" s="7">
        <f t="array" ref="K997">IF(ROWS(K$20:K997)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997))))</f>
        <v>41803</v>
      </c>
      <c r="L997" s="4" t="str">
        <f t="array" ref="L997">IF(ROWS(L$20:L997)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997))))</f>
        <v>Kerrie  Worrell</v>
      </c>
      <c r="M997" s="4">
        <f t="array" ref="M997">IF(ROWS(M$20:M997)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997))))</f>
        <v>37</v>
      </c>
    </row>
    <row r="998" spans="1:13" x14ac:dyDescent="0.25">
      <c r="A998" s="3">
        <v>41430</v>
      </c>
      <c r="B998" s="2" t="s">
        <v>5</v>
      </c>
      <c r="C998" s="2">
        <v>29</v>
      </c>
      <c r="G998" s="7">
        <f t="array" ref="G998">IF(ROWS(K$20:K998)&gt;$F$6,"",INDEX(A$2:A$10000,SMALL(IF(ISNUMBER(MATCH($B$2:$B$10000,$E$6:$E$22,0)),ROW($C$2:$C$10000)-ROW($C$2)+1),ROWS(K$20:K998))))</f>
        <v>41642</v>
      </c>
      <c r="H998" s="4" t="str">
        <f t="array" ref="H998">IF(ROWS(L$20:L998)&gt;$F$6,"",INDEX(B$2:B$10000,SMALL(IF(ISNUMBER(MATCH($B$2:$B$10000,$E$6:$E$22,0)),ROW($C$2:$C$10000)-ROW($C$2)+1),ROWS(L$20:L998))))</f>
        <v>Iliana  Valerio</v>
      </c>
      <c r="I998" s="4">
        <f t="array" ref="I998">IF(ROWS(M$20:M998)&gt;$F$6,"",INDEX(C$2:C$10000,SMALL(IF(ISNUMBER(MATCH($B$2:$B$10000,$E$6:$E$22,0)),ROW($C$2:$C$10000)-ROW($C$2)+1),ROWS(M$20:M998))))</f>
        <v>29</v>
      </c>
      <c r="K998" s="7">
        <f t="array" ref="K998">IF(ROWS(K$20:K998)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998))))</f>
        <v>41642</v>
      </c>
      <c r="L998" s="4" t="str">
        <f t="array" ref="L998">IF(ROWS(L$20:L998)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998))))</f>
        <v>Iliana  Valerio</v>
      </c>
      <c r="M998" s="4">
        <f t="array" ref="M998">IF(ROWS(M$20:M998)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998))))</f>
        <v>29</v>
      </c>
    </row>
    <row r="999" spans="1:13" x14ac:dyDescent="0.25">
      <c r="A999" s="3">
        <v>41732</v>
      </c>
      <c r="B999" s="2" t="s">
        <v>38</v>
      </c>
      <c r="C999" s="2">
        <v>50</v>
      </c>
      <c r="G999" s="7">
        <f t="array" ref="G999">IF(ROWS(K$20:K999)&gt;$F$6,"",INDEX(A$2:A$10000,SMALL(IF(ISNUMBER(MATCH($B$2:$B$10000,$E$6:$E$22,0)),ROW($C$2:$C$10000)-ROW($C$2)+1),ROWS(K$20:K999))))</f>
        <v>41596</v>
      </c>
      <c r="H999" s="4" t="str">
        <f t="array" ref="H999">IF(ROWS(L$20:L999)&gt;$F$6,"",INDEX(B$2:B$10000,SMALL(IF(ISNUMBER(MATCH($B$2:$B$10000,$E$6:$E$22,0)),ROW($C$2:$C$10000)-ROW($C$2)+1),ROWS(L$20:L999))))</f>
        <v>Galen  Barth</v>
      </c>
      <c r="I999" s="4">
        <f t="array" ref="I999">IF(ROWS(M$20:M999)&gt;$F$6,"",INDEX(C$2:C$10000,SMALL(IF(ISNUMBER(MATCH($B$2:$B$10000,$E$6:$E$22,0)),ROW($C$2:$C$10000)-ROW($C$2)+1),ROWS(M$20:M999))))</f>
        <v>11</v>
      </c>
      <c r="K999" s="7">
        <f t="array" ref="K999">IF(ROWS(K$20:K999)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999))))</f>
        <v>41596</v>
      </c>
      <c r="L999" s="4" t="str">
        <f t="array" ref="L999">IF(ROWS(L$20:L999)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999))))</f>
        <v>Galen  Barth</v>
      </c>
      <c r="M999" s="4">
        <f t="array" ref="M999">IF(ROWS(M$20:M999)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999))))</f>
        <v>11</v>
      </c>
    </row>
    <row r="1000" spans="1:13" x14ac:dyDescent="0.25">
      <c r="A1000" s="3">
        <v>41525</v>
      </c>
      <c r="B1000" s="2" t="s">
        <v>2</v>
      </c>
      <c r="C1000" s="2">
        <v>12</v>
      </c>
      <c r="G1000" s="7">
        <f t="array" ref="G1000">IF(ROWS(K$20:K1000)&gt;$F$6,"",INDEX(A$2:A$10000,SMALL(IF(ISNUMBER(MATCH($B$2:$B$10000,$E$6:$E$22,0)),ROW($C$2:$C$10000)-ROW($C$2)+1),ROWS(K$20:K1000))))</f>
        <v>41581</v>
      </c>
      <c r="H1000" s="4" t="str">
        <f t="array" ref="H1000">IF(ROWS(L$20:L1000)&gt;$F$6,"",INDEX(B$2:B$10000,SMALL(IF(ISNUMBER(MATCH($B$2:$B$10000,$E$6:$E$22,0)),ROW($C$2:$C$10000)-ROW($C$2)+1),ROWS(L$20:L1000))))</f>
        <v>Iliana  Valerio</v>
      </c>
      <c r="I1000" s="4">
        <f t="array" ref="I1000">IF(ROWS(M$20:M1000)&gt;$F$6,"",INDEX(C$2:C$10000,SMALL(IF(ISNUMBER(MATCH($B$2:$B$10000,$E$6:$E$22,0)),ROW($C$2:$C$10000)-ROW($C$2)+1),ROWS(M$20:M1000))))</f>
        <v>45</v>
      </c>
      <c r="K1000" s="7">
        <f t="array" ref="K1000">IF(ROWS(K$20:K1000)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1000))))</f>
        <v>41581</v>
      </c>
      <c r="L1000" s="4" t="str">
        <f t="array" ref="L1000">IF(ROWS(L$20:L1000)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1000))))</f>
        <v>Iliana  Valerio</v>
      </c>
      <c r="M1000" s="4">
        <f t="array" ref="M1000">IF(ROWS(M$20:M1000)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1000))))</f>
        <v>45</v>
      </c>
    </row>
    <row r="1001" spans="1:13" x14ac:dyDescent="0.25">
      <c r="A1001" s="3">
        <v>41646</v>
      </c>
      <c r="B1001" s="2" t="s">
        <v>44</v>
      </c>
      <c r="C1001" s="2">
        <v>17</v>
      </c>
      <c r="G1001" s="7">
        <f t="array" ref="G1001">IF(ROWS(K$20:K1001)&gt;$F$6,"",INDEX(A$2:A$10000,SMALL(IF(ISNUMBER(MATCH($B$2:$B$10000,$E$6:$E$22,0)),ROW($C$2:$C$10000)-ROW($C$2)+1),ROWS(K$20:K1001))))</f>
        <v>41378</v>
      </c>
      <c r="H1001" s="4" t="str">
        <f t="array" ref="H1001">IF(ROWS(L$20:L1001)&gt;$F$6,"",INDEX(B$2:B$10000,SMALL(IF(ISNUMBER(MATCH($B$2:$B$10000,$E$6:$E$22,0)),ROW($C$2:$C$10000)-ROW($C$2)+1),ROWS(L$20:L1001))))</f>
        <v>Rosamond  Allard</v>
      </c>
      <c r="I1001" s="4">
        <f t="array" ref="I1001">IF(ROWS(M$20:M1001)&gt;$F$6,"",INDEX(C$2:C$10000,SMALL(IF(ISNUMBER(MATCH($B$2:$B$10000,$E$6:$E$22,0)),ROW($C$2:$C$10000)-ROW($C$2)+1),ROWS(M$20:M1001))))</f>
        <v>34</v>
      </c>
      <c r="K1001" s="7">
        <f t="array" ref="K1001">IF(ROWS(K$20:K1001)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1001))))</f>
        <v>41378</v>
      </c>
      <c r="L1001" s="4" t="str">
        <f t="array" ref="L1001">IF(ROWS(L$20:L1001)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1001))))</f>
        <v>Rosamond  Allard</v>
      </c>
      <c r="M1001" s="4">
        <f t="array" ref="M1001">IF(ROWS(M$20:M1001)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1001))))</f>
        <v>34</v>
      </c>
    </row>
    <row r="1002" spans="1:13" x14ac:dyDescent="0.25">
      <c r="A1002" s="3">
        <v>41312</v>
      </c>
      <c r="B1002" s="2" t="s">
        <v>11</v>
      </c>
      <c r="C1002" s="2">
        <v>24</v>
      </c>
      <c r="G1002" s="7">
        <f t="array" ref="G1002">IF(ROWS(K$20:K1002)&gt;$F$6,"",INDEX(A$2:A$10000,SMALL(IF(ISNUMBER(MATCH($B$2:$B$10000,$E$6:$E$22,0)),ROW($C$2:$C$10000)-ROW($C$2)+1),ROWS(K$20:K1002))))</f>
        <v>41417</v>
      </c>
      <c r="H1002" s="4" t="str">
        <f t="array" ref="H1002">IF(ROWS(L$20:L1002)&gt;$F$6,"",INDEX(B$2:B$10000,SMALL(IF(ISNUMBER(MATCH($B$2:$B$10000,$E$6:$E$22,0)),ROW($C$2:$C$10000)-ROW($C$2)+1),ROWS(L$20:L1002))))</f>
        <v>Kerrie  Worrell</v>
      </c>
      <c r="I1002" s="4">
        <f t="array" ref="I1002">IF(ROWS(M$20:M1002)&gt;$F$6,"",INDEX(C$2:C$10000,SMALL(IF(ISNUMBER(MATCH($B$2:$B$10000,$E$6:$E$22,0)),ROW($C$2:$C$10000)-ROW($C$2)+1),ROWS(M$20:M1002))))</f>
        <v>33</v>
      </c>
      <c r="K1002" s="7">
        <f t="array" ref="K1002">IF(ROWS(K$20:K1002)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1002))))</f>
        <v>41417</v>
      </c>
      <c r="L1002" s="4" t="str">
        <f t="array" ref="L1002">IF(ROWS(L$20:L1002)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1002))))</f>
        <v>Kerrie  Worrell</v>
      </c>
      <c r="M1002" s="4">
        <f t="array" ref="M1002">IF(ROWS(M$20:M1002)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1002))))</f>
        <v>33</v>
      </c>
    </row>
    <row r="1003" spans="1:13" x14ac:dyDescent="0.25">
      <c r="A1003" s="3">
        <v>41487</v>
      </c>
      <c r="B1003" s="2" t="s">
        <v>34</v>
      </c>
      <c r="C1003" s="2">
        <v>43</v>
      </c>
      <c r="G1003" s="7">
        <f t="array" ref="G1003">IF(ROWS(K$20:K1003)&gt;$F$6,"",INDEX(A$2:A$10000,SMALL(IF(ISNUMBER(MATCH($B$2:$B$10000,$E$6:$E$22,0)),ROW($C$2:$C$10000)-ROW($C$2)+1),ROWS(K$20:K1003))))</f>
        <v>41538</v>
      </c>
      <c r="H1003" s="4" t="str">
        <f t="array" ref="H1003">IF(ROWS(L$20:L1003)&gt;$F$6,"",INDEX(B$2:B$10000,SMALL(IF(ISNUMBER(MATCH($B$2:$B$10000,$E$6:$E$22,0)),ROW($C$2:$C$10000)-ROW($C$2)+1),ROWS(L$20:L1003))))</f>
        <v>Mickey  Bolduc</v>
      </c>
      <c r="I1003" s="4">
        <f t="array" ref="I1003">IF(ROWS(M$20:M1003)&gt;$F$6,"",INDEX(C$2:C$10000,SMALL(IF(ISNUMBER(MATCH($B$2:$B$10000,$E$6:$E$22,0)),ROW($C$2:$C$10000)-ROW($C$2)+1),ROWS(M$20:M1003))))</f>
        <v>41</v>
      </c>
      <c r="K1003" s="7">
        <f t="array" ref="K1003">IF(ROWS(K$20:K1003)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1003))))</f>
        <v>41538</v>
      </c>
      <c r="L1003" s="4" t="str">
        <f t="array" ref="L1003">IF(ROWS(L$20:L1003)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1003))))</f>
        <v>Mickey  Bolduc</v>
      </c>
      <c r="M1003" s="4">
        <f t="array" ref="M1003">IF(ROWS(M$20:M1003)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1003))))</f>
        <v>41</v>
      </c>
    </row>
    <row r="1004" spans="1:13" x14ac:dyDescent="0.25">
      <c r="A1004" s="3">
        <v>41361</v>
      </c>
      <c r="B1004" s="2" t="s">
        <v>21</v>
      </c>
      <c r="C1004" s="2">
        <v>0</v>
      </c>
      <c r="G1004" s="7">
        <f t="array" ref="G1004">IF(ROWS(K$20:K1004)&gt;$F$6,"",INDEX(A$2:A$10000,SMALL(IF(ISNUMBER(MATCH($B$2:$B$10000,$E$6:$E$22,0)),ROW($C$2:$C$10000)-ROW($C$2)+1),ROWS(K$20:K1004))))</f>
        <v>41306</v>
      </c>
      <c r="H1004" s="4" t="str">
        <f t="array" ref="H1004">IF(ROWS(L$20:L1004)&gt;$F$6,"",INDEX(B$2:B$10000,SMALL(IF(ISNUMBER(MATCH($B$2:$B$10000,$E$6:$E$22,0)),ROW($C$2:$C$10000)-ROW($C$2)+1),ROWS(L$20:L1004))))</f>
        <v>Galen  Barth</v>
      </c>
      <c r="I1004" s="4">
        <f t="array" ref="I1004">IF(ROWS(M$20:M1004)&gt;$F$6,"",INDEX(C$2:C$10000,SMALL(IF(ISNUMBER(MATCH($B$2:$B$10000,$E$6:$E$22,0)),ROW($C$2:$C$10000)-ROW($C$2)+1),ROWS(M$20:M1004))))</f>
        <v>21</v>
      </c>
      <c r="K1004" s="7">
        <f t="array" ref="K1004">IF(ROWS(K$20:K1004)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1004))))</f>
        <v>41306</v>
      </c>
      <c r="L1004" s="4" t="str">
        <f t="array" ref="L1004">IF(ROWS(L$20:L1004)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1004))))</f>
        <v>Galen  Barth</v>
      </c>
      <c r="M1004" s="4">
        <f t="array" ref="M1004">IF(ROWS(M$20:M1004)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1004))))</f>
        <v>21</v>
      </c>
    </row>
    <row r="1005" spans="1:13" x14ac:dyDescent="0.25">
      <c r="A1005" s="3">
        <v>41858</v>
      </c>
      <c r="B1005" s="2" t="s">
        <v>5</v>
      </c>
      <c r="C1005" s="2">
        <v>27</v>
      </c>
      <c r="G1005" s="7">
        <f t="array" ref="G1005">IF(ROWS(K$20:K1005)&gt;$F$6,"",INDEX(A$2:A$10000,SMALL(IF(ISNUMBER(MATCH($B$2:$B$10000,$E$6:$E$22,0)),ROW($C$2:$C$10000)-ROW($C$2)+1),ROWS(K$20:K1005))))</f>
        <v>41696</v>
      </c>
      <c r="H1005" s="4" t="str">
        <f t="array" ref="H1005">IF(ROWS(L$20:L1005)&gt;$F$6,"",INDEX(B$2:B$10000,SMALL(IF(ISNUMBER(MATCH($B$2:$B$10000,$E$6:$E$22,0)),ROW($C$2:$C$10000)-ROW($C$2)+1),ROWS(L$20:L1005))))</f>
        <v>Galen  Barth</v>
      </c>
      <c r="I1005" s="4">
        <f t="array" ref="I1005">IF(ROWS(M$20:M1005)&gt;$F$6,"",INDEX(C$2:C$10000,SMALL(IF(ISNUMBER(MATCH($B$2:$B$10000,$E$6:$E$22,0)),ROW($C$2:$C$10000)-ROW($C$2)+1),ROWS(M$20:M1005))))</f>
        <v>12</v>
      </c>
      <c r="K1005" s="7">
        <f t="array" ref="K1005">IF(ROWS(K$20:K1005)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1005))))</f>
        <v>41696</v>
      </c>
      <c r="L1005" s="4" t="str">
        <f t="array" ref="L1005">IF(ROWS(L$20:L1005)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1005))))</f>
        <v>Galen  Barth</v>
      </c>
      <c r="M1005" s="4">
        <f t="array" ref="M1005">IF(ROWS(M$20:M1005)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1005))))</f>
        <v>12</v>
      </c>
    </row>
    <row r="1006" spans="1:13" x14ac:dyDescent="0.25">
      <c r="A1006" s="3">
        <v>41404</v>
      </c>
      <c r="B1006" s="2" t="s">
        <v>49</v>
      </c>
      <c r="C1006" s="2">
        <v>24</v>
      </c>
      <c r="G1006" s="7">
        <f t="array" ref="G1006">IF(ROWS(K$20:K1006)&gt;$F$6,"",INDEX(A$2:A$10000,SMALL(IF(ISNUMBER(MATCH($B$2:$B$10000,$E$6:$E$22,0)),ROW($C$2:$C$10000)-ROW($C$2)+1),ROWS(K$20:K1006))))</f>
        <v>41373</v>
      </c>
      <c r="H1006" s="4" t="str">
        <f t="array" ref="H1006">IF(ROWS(L$20:L1006)&gt;$F$6,"",INDEX(B$2:B$10000,SMALL(IF(ISNUMBER(MATCH($B$2:$B$10000,$E$6:$E$22,0)),ROW($C$2:$C$10000)-ROW($C$2)+1),ROWS(L$20:L1006))))</f>
        <v>Galen  Barth</v>
      </c>
      <c r="I1006" s="4">
        <f t="array" ref="I1006">IF(ROWS(M$20:M1006)&gt;$F$6,"",INDEX(C$2:C$10000,SMALL(IF(ISNUMBER(MATCH($B$2:$B$10000,$E$6:$E$22,0)),ROW($C$2:$C$10000)-ROW($C$2)+1),ROWS(M$20:M1006))))</f>
        <v>29</v>
      </c>
      <c r="K1006" s="7">
        <f t="array" ref="K1006">IF(ROWS(K$20:K1006)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1006))))</f>
        <v>41373</v>
      </c>
      <c r="L1006" s="4" t="str">
        <f t="array" ref="L1006">IF(ROWS(L$20:L1006)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1006))))</f>
        <v>Galen  Barth</v>
      </c>
      <c r="M1006" s="4">
        <f t="array" ref="M1006">IF(ROWS(M$20:M1006)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1006))))</f>
        <v>29</v>
      </c>
    </row>
    <row r="1007" spans="1:13" x14ac:dyDescent="0.25">
      <c r="A1007" s="3">
        <v>41316</v>
      </c>
      <c r="B1007" s="2" t="s">
        <v>50</v>
      </c>
      <c r="C1007" s="2">
        <v>25</v>
      </c>
      <c r="G1007" s="7">
        <f t="array" ref="G1007">IF(ROWS(K$20:K1007)&gt;$F$6,"",INDEX(A$2:A$10000,SMALL(IF(ISNUMBER(MATCH($B$2:$B$10000,$E$6:$E$22,0)),ROW($C$2:$C$10000)-ROW($C$2)+1),ROWS(K$20:K1007))))</f>
        <v>41719</v>
      </c>
      <c r="H1007" s="4" t="str">
        <f t="array" ref="H1007">IF(ROWS(L$20:L1007)&gt;$F$6,"",INDEX(B$2:B$10000,SMALL(IF(ISNUMBER(MATCH($B$2:$B$10000,$E$6:$E$22,0)),ROW($C$2:$C$10000)-ROW($C$2)+1),ROWS(L$20:L1007))))</f>
        <v>Rosamond  Allard</v>
      </c>
      <c r="I1007" s="4">
        <f t="array" ref="I1007">IF(ROWS(M$20:M1007)&gt;$F$6,"",INDEX(C$2:C$10000,SMALL(IF(ISNUMBER(MATCH($B$2:$B$10000,$E$6:$E$22,0)),ROW($C$2:$C$10000)-ROW($C$2)+1),ROWS(M$20:M1007))))</f>
        <v>5</v>
      </c>
      <c r="K1007" s="7">
        <f t="array" ref="K1007">IF(ROWS(K$20:K1007)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1007))))</f>
        <v>41719</v>
      </c>
      <c r="L1007" s="4" t="str">
        <f t="array" ref="L1007">IF(ROWS(L$20:L1007)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1007))))</f>
        <v>Rosamond  Allard</v>
      </c>
      <c r="M1007" s="4">
        <f t="array" ref="M1007">IF(ROWS(M$20:M1007)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1007))))</f>
        <v>5</v>
      </c>
    </row>
    <row r="1008" spans="1:13" x14ac:dyDescent="0.25">
      <c r="A1008" s="3">
        <v>41859</v>
      </c>
      <c r="B1008" s="2" t="s">
        <v>43</v>
      </c>
      <c r="C1008" s="2">
        <v>42</v>
      </c>
      <c r="G1008" s="7">
        <f t="array" ref="G1008">IF(ROWS(K$20:K1008)&gt;$F$6,"",INDEX(A$2:A$10000,SMALL(IF(ISNUMBER(MATCH($B$2:$B$10000,$E$6:$E$22,0)),ROW($C$2:$C$10000)-ROW($C$2)+1),ROWS(K$20:K1008))))</f>
        <v>41828</v>
      </c>
      <c r="H1008" s="4" t="str">
        <f t="array" ref="H1008">IF(ROWS(L$20:L1008)&gt;$F$6,"",INDEX(B$2:B$10000,SMALL(IF(ISNUMBER(MATCH($B$2:$B$10000,$E$6:$E$22,0)),ROW($C$2:$C$10000)-ROW($C$2)+1),ROWS(L$20:L1008))))</f>
        <v>Mickey  Bolduc</v>
      </c>
      <c r="I1008" s="4">
        <f t="array" ref="I1008">IF(ROWS(M$20:M1008)&gt;$F$6,"",INDEX(C$2:C$10000,SMALL(IF(ISNUMBER(MATCH($B$2:$B$10000,$E$6:$E$22,0)),ROW($C$2:$C$10000)-ROW($C$2)+1),ROWS(M$20:M1008))))</f>
        <v>27</v>
      </c>
      <c r="K1008" s="7">
        <f t="array" ref="K1008">IF(ROWS(K$20:K1008)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1008))))</f>
        <v>41828</v>
      </c>
      <c r="L1008" s="4" t="str">
        <f t="array" ref="L1008">IF(ROWS(L$20:L1008)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1008))))</f>
        <v>Mickey  Bolduc</v>
      </c>
      <c r="M1008" s="4">
        <f t="array" ref="M1008">IF(ROWS(M$20:M1008)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1008))))</f>
        <v>27</v>
      </c>
    </row>
    <row r="1009" spans="1:13" x14ac:dyDescent="0.25">
      <c r="A1009" s="3">
        <v>41549</v>
      </c>
      <c r="B1009" s="2" t="s">
        <v>35</v>
      </c>
      <c r="C1009" s="2">
        <v>33</v>
      </c>
      <c r="G1009" s="7">
        <f t="array" ref="G1009">IF(ROWS(K$20:K1009)&gt;$F$6,"",INDEX(A$2:A$10000,SMALL(IF(ISNUMBER(MATCH($B$2:$B$10000,$E$6:$E$22,0)),ROW($C$2:$C$10000)-ROW($C$2)+1),ROWS(K$20:K1009))))</f>
        <v>41649</v>
      </c>
      <c r="H1009" s="4" t="str">
        <f t="array" ref="H1009">IF(ROWS(L$20:L1009)&gt;$F$6,"",INDEX(B$2:B$10000,SMALL(IF(ISNUMBER(MATCH($B$2:$B$10000,$E$6:$E$22,0)),ROW($C$2:$C$10000)-ROW($C$2)+1),ROWS(L$20:L1009))))</f>
        <v>Jenni  Thorton</v>
      </c>
      <c r="I1009" s="4">
        <f t="array" ref="I1009">IF(ROWS(M$20:M1009)&gt;$F$6,"",INDEX(C$2:C$10000,SMALL(IF(ISNUMBER(MATCH($B$2:$B$10000,$E$6:$E$22,0)),ROW($C$2:$C$10000)-ROW($C$2)+1),ROWS(M$20:M1009))))</f>
        <v>25</v>
      </c>
      <c r="K1009" s="7">
        <f t="array" ref="K1009">IF(ROWS(K$20:K1009)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1009))))</f>
        <v>41649</v>
      </c>
      <c r="L1009" s="4" t="str">
        <f t="array" ref="L1009">IF(ROWS(L$20:L1009)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1009))))</f>
        <v>Jenni  Thorton</v>
      </c>
      <c r="M1009" s="4">
        <f t="array" ref="M1009">IF(ROWS(M$20:M1009)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1009))))</f>
        <v>25</v>
      </c>
    </row>
    <row r="1010" spans="1:13" x14ac:dyDescent="0.25">
      <c r="A1010" s="3">
        <v>41759</v>
      </c>
      <c r="B1010" s="2" t="s">
        <v>28</v>
      </c>
      <c r="C1010" s="2">
        <v>13</v>
      </c>
      <c r="G1010" s="7">
        <f t="array" ref="G1010">IF(ROWS(K$20:K1010)&gt;$F$6,"",INDEX(A$2:A$10000,SMALL(IF(ISNUMBER(MATCH($B$2:$B$10000,$E$6:$E$22,0)),ROW($C$2:$C$10000)-ROW($C$2)+1),ROWS(K$20:K1010))))</f>
        <v>41902</v>
      </c>
      <c r="H1010" s="4" t="str">
        <f t="array" ref="H1010">IF(ROWS(L$20:L1010)&gt;$F$6,"",INDEX(B$2:B$10000,SMALL(IF(ISNUMBER(MATCH($B$2:$B$10000,$E$6:$E$22,0)),ROW($C$2:$C$10000)-ROW($C$2)+1),ROWS(L$20:L1010))))</f>
        <v>Galen  Barth</v>
      </c>
      <c r="I1010" s="4">
        <f t="array" ref="I1010">IF(ROWS(M$20:M1010)&gt;$F$6,"",INDEX(C$2:C$10000,SMALL(IF(ISNUMBER(MATCH($B$2:$B$10000,$E$6:$E$22,0)),ROW($C$2:$C$10000)-ROW($C$2)+1),ROWS(M$20:M1010))))</f>
        <v>32</v>
      </c>
      <c r="K1010" s="7">
        <f t="array" ref="K1010">IF(ROWS(K$20:K1010)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1010))))</f>
        <v>41902</v>
      </c>
      <c r="L1010" s="4" t="str">
        <f t="array" ref="L1010">IF(ROWS(L$20:L1010)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1010))))</f>
        <v>Galen  Barth</v>
      </c>
      <c r="M1010" s="4">
        <f t="array" ref="M1010">IF(ROWS(M$20:M1010)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1010))))</f>
        <v>32</v>
      </c>
    </row>
    <row r="1011" spans="1:13" x14ac:dyDescent="0.25">
      <c r="A1011" s="3">
        <v>41917</v>
      </c>
      <c r="B1011" s="2" t="s">
        <v>7</v>
      </c>
      <c r="C1011" s="2">
        <v>56</v>
      </c>
      <c r="G1011" s="7">
        <f t="array" ref="G1011">IF(ROWS(K$20:K1011)&gt;$F$6,"",INDEX(A$2:A$10000,SMALL(IF(ISNUMBER(MATCH($B$2:$B$10000,$E$6:$E$22,0)),ROW($C$2:$C$10000)-ROW($C$2)+1),ROWS(K$20:K1011))))</f>
        <v>41586</v>
      </c>
      <c r="H1011" s="4" t="str">
        <f t="array" ref="H1011">IF(ROWS(L$20:L1011)&gt;$F$6,"",INDEX(B$2:B$10000,SMALL(IF(ISNUMBER(MATCH($B$2:$B$10000,$E$6:$E$22,0)),ROW($C$2:$C$10000)-ROW($C$2)+1),ROWS(L$20:L1011))))</f>
        <v>Kerrie  Worrell</v>
      </c>
      <c r="I1011" s="4">
        <f t="array" ref="I1011">IF(ROWS(M$20:M1011)&gt;$F$6,"",INDEX(C$2:C$10000,SMALL(IF(ISNUMBER(MATCH($B$2:$B$10000,$E$6:$E$22,0)),ROW($C$2:$C$10000)-ROW($C$2)+1),ROWS(M$20:M1011))))</f>
        <v>37</v>
      </c>
      <c r="K1011" s="7">
        <f t="array" ref="K1011">IF(ROWS(K$20:K1011)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1011))))</f>
        <v>41586</v>
      </c>
      <c r="L1011" s="4" t="str">
        <f t="array" ref="L1011">IF(ROWS(L$20:L1011)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1011))))</f>
        <v>Kerrie  Worrell</v>
      </c>
      <c r="M1011" s="4">
        <f t="array" ref="M1011">IF(ROWS(M$20:M1011)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1011))))</f>
        <v>37</v>
      </c>
    </row>
    <row r="1012" spans="1:13" x14ac:dyDescent="0.25">
      <c r="A1012" s="3">
        <v>41588</v>
      </c>
      <c r="B1012" s="2" t="s">
        <v>48</v>
      </c>
      <c r="C1012" s="2">
        <v>38</v>
      </c>
      <c r="G1012" s="7">
        <f t="array" ref="G1012">IF(ROWS(K$20:K1012)&gt;$F$6,"",INDEX(A$2:A$10000,SMALL(IF(ISNUMBER(MATCH($B$2:$B$10000,$E$6:$E$22,0)),ROW($C$2:$C$10000)-ROW($C$2)+1),ROWS(K$20:K1012))))</f>
        <v>41687</v>
      </c>
      <c r="H1012" s="4" t="str">
        <f t="array" ref="H1012">IF(ROWS(L$20:L1012)&gt;$F$6,"",INDEX(B$2:B$10000,SMALL(IF(ISNUMBER(MATCH($B$2:$B$10000,$E$6:$E$22,0)),ROW($C$2:$C$10000)-ROW($C$2)+1),ROWS(L$20:L1012))))</f>
        <v>Rosamond  Allard</v>
      </c>
      <c r="I1012" s="4">
        <f t="array" ref="I1012">IF(ROWS(M$20:M1012)&gt;$F$6,"",INDEX(C$2:C$10000,SMALL(IF(ISNUMBER(MATCH($B$2:$B$10000,$E$6:$E$22,0)),ROW($C$2:$C$10000)-ROW($C$2)+1),ROWS(M$20:M1012))))</f>
        <v>18</v>
      </c>
      <c r="K1012" s="7">
        <f t="array" ref="K1012">IF(ROWS(K$20:K1012)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1012))))</f>
        <v>41687</v>
      </c>
      <c r="L1012" s="4" t="str">
        <f t="array" ref="L1012">IF(ROWS(L$20:L1012)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1012))))</f>
        <v>Rosamond  Allard</v>
      </c>
      <c r="M1012" s="4">
        <f t="array" ref="M1012">IF(ROWS(M$20:M1012)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1012))))</f>
        <v>18</v>
      </c>
    </row>
    <row r="1013" spans="1:13" x14ac:dyDescent="0.25">
      <c r="A1013" s="3">
        <v>41914</v>
      </c>
      <c r="B1013" s="2" t="s">
        <v>12</v>
      </c>
      <c r="C1013" s="2">
        <v>32</v>
      </c>
      <c r="G1013" s="7">
        <f t="array" ref="G1013">IF(ROWS(K$20:K1013)&gt;$F$6,"",INDEX(A$2:A$10000,SMALL(IF(ISNUMBER(MATCH($B$2:$B$10000,$E$6:$E$22,0)),ROW($C$2:$C$10000)-ROW($C$2)+1),ROWS(K$20:K1013))))</f>
        <v>41295</v>
      </c>
      <c r="H1013" s="4" t="str">
        <f t="array" ref="H1013">IF(ROWS(L$20:L1013)&gt;$F$6,"",INDEX(B$2:B$10000,SMALL(IF(ISNUMBER(MATCH($B$2:$B$10000,$E$6:$E$22,0)),ROW($C$2:$C$10000)-ROW($C$2)+1),ROWS(L$20:L1013))))</f>
        <v>Kerrie  Worrell</v>
      </c>
      <c r="I1013" s="4">
        <f t="array" ref="I1013">IF(ROWS(M$20:M1013)&gt;$F$6,"",INDEX(C$2:C$10000,SMALL(IF(ISNUMBER(MATCH($B$2:$B$10000,$E$6:$E$22,0)),ROW($C$2:$C$10000)-ROW($C$2)+1),ROWS(M$20:M1013))))</f>
        <v>34</v>
      </c>
      <c r="K1013" s="7">
        <f t="array" ref="K1013">IF(ROWS(K$20:K1013)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1013))))</f>
        <v>41295</v>
      </c>
      <c r="L1013" s="4" t="str">
        <f t="array" ref="L1013">IF(ROWS(L$20:L1013)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1013))))</f>
        <v>Kerrie  Worrell</v>
      </c>
      <c r="M1013" s="4">
        <f t="array" ref="M1013">IF(ROWS(M$20:M1013)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1013))))</f>
        <v>34</v>
      </c>
    </row>
    <row r="1014" spans="1:13" x14ac:dyDescent="0.25">
      <c r="A1014" s="3">
        <v>41839</v>
      </c>
      <c r="B1014" s="2" t="s">
        <v>26</v>
      </c>
      <c r="C1014" s="2">
        <v>16</v>
      </c>
      <c r="G1014" s="7">
        <f t="array" ref="G1014">IF(ROWS(K$20:K1014)&gt;$F$6,"",INDEX(A$2:A$10000,SMALL(IF(ISNUMBER(MATCH($B$2:$B$10000,$E$6:$E$22,0)),ROW($C$2:$C$10000)-ROW($C$2)+1),ROWS(K$20:K1014))))</f>
        <v>41613</v>
      </c>
      <c r="H1014" s="4" t="str">
        <f t="array" ref="H1014">IF(ROWS(L$20:L1014)&gt;$F$6,"",INDEX(B$2:B$10000,SMALL(IF(ISNUMBER(MATCH($B$2:$B$10000,$E$6:$E$22,0)),ROW($C$2:$C$10000)-ROW($C$2)+1),ROWS(L$20:L1014))))</f>
        <v>Galen  Barth</v>
      </c>
      <c r="I1014" s="4">
        <f t="array" ref="I1014">IF(ROWS(M$20:M1014)&gt;$F$6,"",INDEX(C$2:C$10000,SMALL(IF(ISNUMBER(MATCH($B$2:$B$10000,$E$6:$E$22,0)),ROW($C$2:$C$10000)-ROW($C$2)+1),ROWS(M$20:M1014))))</f>
        <v>17</v>
      </c>
      <c r="K1014" s="7">
        <f t="array" ref="K1014">IF(ROWS(K$20:K1014)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1014))))</f>
        <v>41613</v>
      </c>
      <c r="L1014" s="4" t="str">
        <f t="array" ref="L1014">IF(ROWS(L$20:L1014)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1014))))</f>
        <v>Galen  Barth</v>
      </c>
      <c r="M1014" s="4">
        <f t="array" ref="M1014">IF(ROWS(M$20:M1014)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1014))))</f>
        <v>17</v>
      </c>
    </row>
    <row r="1015" spans="1:13" x14ac:dyDescent="0.25">
      <c r="A1015" s="3">
        <v>41613</v>
      </c>
      <c r="B1015" s="2" t="s">
        <v>43</v>
      </c>
      <c r="C1015" s="2">
        <v>40</v>
      </c>
      <c r="G1015" s="7">
        <f t="array" ref="G1015">IF(ROWS(K$20:K1015)&gt;$F$6,"",INDEX(A$2:A$10000,SMALL(IF(ISNUMBER(MATCH($B$2:$B$10000,$E$6:$E$22,0)),ROW($C$2:$C$10000)-ROW($C$2)+1),ROWS(K$20:K1015))))</f>
        <v>41823</v>
      </c>
      <c r="H1015" s="4" t="str">
        <f t="array" ref="H1015">IF(ROWS(L$20:L1015)&gt;$F$6,"",INDEX(B$2:B$10000,SMALL(IF(ISNUMBER(MATCH($B$2:$B$10000,$E$6:$E$22,0)),ROW($C$2:$C$10000)-ROW($C$2)+1),ROWS(L$20:L1015))))</f>
        <v>Galen  Barth</v>
      </c>
      <c r="I1015" s="4">
        <f t="array" ref="I1015">IF(ROWS(M$20:M1015)&gt;$F$6,"",INDEX(C$2:C$10000,SMALL(IF(ISNUMBER(MATCH($B$2:$B$10000,$E$6:$E$22,0)),ROW($C$2:$C$10000)-ROW($C$2)+1),ROWS(M$20:M1015))))</f>
        <v>21</v>
      </c>
      <c r="K1015" s="7">
        <f t="array" ref="K1015">IF(ROWS(K$20:K1015)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1015))))</f>
        <v>41823</v>
      </c>
      <c r="L1015" s="4" t="str">
        <f t="array" ref="L1015">IF(ROWS(L$20:L1015)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1015))))</f>
        <v>Galen  Barth</v>
      </c>
      <c r="M1015" s="4">
        <f t="array" ref="M1015">IF(ROWS(M$20:M1015)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1015))))</f>
        <v>21</v>
      </c>
    </row>
    <row r="1016" spans="1:13" x14ac:dyDescent="0.25">
      <c r="A1016" s="3">
        <v>41637</v>
      </c>
      <c r="B1016" s="2" t="s">
        <v>34</v>
      </c>
      <c r="C1016" s="2">
        <v>27</v>
      </c>
      <c r="G1016" s="7">
        <f t="array" ref="G1016">IF(ROWS(K$20:K1016)&gt;$F$6,"",INDEX(A$2:A$10000,SMALL(IF(ISNUMBER(MATCH($B$2:$B$10000,$E$6:$E$22,0)),ROW($C$2:$C$10000)-ROW($C$2)+1),ROWS(K$20:K1016))))</f>
        <v>41753</v>
      </c>
      <c r="H1016" s="4" t="str">
        <f t="array" ref="H1016">IF(ROWS(L$20:L1016)&gt;$F$6,"",INDEX(B$2:B$10000,SMALL(IF(ISNUMBER(MATCH($B$2:$B$10000,$E$6:$E$22,0)),ROW($C$2:$C$10000)-ROW($C$2)+1),ROWS(L$20:L1016))))</f>
        <v>Iliana  Valerio</v>
      </c>
      <c r="I1016" s="4">
        <f t="array" ref="I1016">IF(ROWS(M$20:M1016)&gt;$F$6,"",INDEX(C$2:C$10000,SMALL(IF(ISNUMBER(MATCH($B$2:$B$10000,$E$6:$E$22,0)),ROW($C$2:$C$10000)-ROW($C$2)+1),ROWS(M$20:M1016))))</f>
        <v>18</v>
      </c>
      <c r="K1016" s="7">
        <f t="array" ref="K1016">IF(ROWS(K$20:K1016)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1016))))</f>
        <v>41753</v>
      </c>
      <c r="L1016" s="4" t="str">
        <f t="array" ref="L1016">IF(ROWS(L$20:L1016)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1016))))</f>
        <v>Iliana  Valerio</v>
      </c>
      <c r="M1016" s="4">
        <f t="array" ref="M1016">IF(ROWS(M$20:M1016)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1016))))</f>
        <v>18</v>
      </c>
    </row>
    <row r="1017" spans="1:13" x14ac:dyDescent="0.25">
      <c r="A1017" s="3">
        <v>41734</v>
      </c>
      <c r="B1017" s="2" t="s">
        <v>50</v>
      </c>
      <c r="C1017" s="2">
        <v>15</v>
      </c>
      <c r="G1017" s="7">
        <f t="array" ref="G1017">IF(ROWS(K$20:K1017)&gt;$F$6,"",INDEX(A$2:A$10000,SMALL(IF(ISNUMBER(MATCH($B$2:$B$10000,$E$6:$E$22,0)),ROW($C$2:$C$10000)-ROW($C$2)+1),ROWS(K$20:K1017))))</f>
        <v>41425</v>
      </c>
      <c r="H1017" s="4" t="str">
        <f t="array" ref="H1017">IF(ROWS(L$20:L1017)&gt;$F$6,"",INDEX(B$2:B$10000,SMALL(IF(ISNUMBER(MATCH($B$2:$B$10000,$E$6:$E$22,0)),ROW($C$2:$C$10000)-ROW($C$2)+1),ROWS(L$20:L1017))))</f>
        <v>Kerrie  Worrell</v>
      </c>
      <c r="I1017" s="4">
        <f t="array" ref="I1017">IF(ROWS(M$20:M1017)&gt;$F$6,"",INDEX(C$2:C$10000,SMALL(IF(ISNUMBER(MATCH($B$2:$B$10000,$E$6:$E$22,0)),ROW($C$2:$C$10000)-ROW($C$2)+1),ROWS(M$20:M1017))))</f>
        <v>23</v>
      </c>
      <c r="K1017" s="7">
        <f t="array" ref="K1017">IF(ROWS(K$20:K1017)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1017))))</f>
        <v>41425</v>
      </c>
      <c r="L1017" s="4" t="str">
        <f t="array" ref="L1017">IF(ROWS(L$20:L1017)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1017))))</f>
        <v>Kerrie  Worrell</v>
      </c>
      <c r="M1017" s="4">
        <f t="array" ref="M1017">IF(ROWS(M$20:M1017)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1017))))</f>
        <v>23</v>
      </c>
    </row>
    <row r="1018" spans="1:13" x14ac:dyDescent="0.25">
      <c r="A1018" s="3">
        <v>41946</v>
      </c>
      <c r="B1018" s="2" t="s">
        <v>36</v>
      </c>
      <c r="C1018" s="2">
        <v>37</v>
      </c>
      <c r="G1018" s="7">
        <f t="array" ref="G1018">IF(ROWS(K$20:K1018)&gt;$F$6,"",INDEX(A$2:A$10000,SMALL(IF(ISNUMBER(MATCH($B$2:$B$10000,$E$6:$E$22,0)),ROW($C$2:$C$10000)-ROW($C$2)+1),ROWS(K$20:K1018))))</f>
        <v>41812</v>
      </c>
      <c r="H1018" s="4" t="str">
        <f t="array" ref="H1018">IF(ROWS(L$20:L1018)&gt;$F$6,"",INDEX(B$2:B$10000,SMALL(IF(ISNUMBER(MATCH($B$2:$B$10000,$E$6:$E$22,0)),ROW($C$2:$C$10000)-ROW($C$2)+1),ROWS(L$20:L1018))))</f>
        <v>Mickey  Bolduc</v>
      </c>
      <c r="I1018" s="4">
        <f t="array" ref="I1018">IF(ROWS(M$20:M1018)&gt;$F$6,"",INDEX(C$2:C$10000,SMALL(IF(ISNUMBER(MATCH($B$2:$B$10000,$E$6:$E$22,0)),ROW($C$2:$C$10000)-ROW($C$2)+1),ROWS(M$20:M1018))))</f>
        <v>41</v>
      </c>
      <c r="K1018" s="7">
        <f t="array" ref="K1018">IF(ROWS(K$20:K1018)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1018))))</f>
        <v>41812</v>
      </c>
      <c r="L1018" s="4" t="str">
        <f t="array" ref="L1018">IF(ROWS(L$20:L1018)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1018))))</f>
        <v>Mickey  Bolduc</v>
      </c>
      <c r="M1018" s="4">
        <f t="array" ref="M1018">IF(ROWS(M$20:M1018)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1018))))</f>
        <v>41</v>
      </c>
    </row>
    <row r="1019" spans="1:13" x14ac:dyDescent="0.25">
      <c r="A1019" s="3">
        <v>41961</v>
      </c>
      <c r="B1019" s="2" t="s">
        <v>26</v>
      </c>
      <c r="C1019" s="2">
        <v>19</v>
      </c>
      <c r="G1019" s="7">
        <f t="array" ref="G1019">IF(ROWS(K$20:K1019)&gt;$F$6,"",INDEX(A$2:A$10000,SMALL(IF(ISNUMBER(MATCH($B$2:$B$10000,$E$6:$E$22,0)),ROW($C$2:$C$10000)-ROW($C$2)+1),ROWS(K$20:K1019))))</f>
        <v>41783</v>
      </c>
      <c r="H1019" s="4" t="str">
        <f t="array" ref="H1019">IF(ROWS(L$20:L1019)&gt;$F$6,"",INDEX(B$2:B$10000,SMALL(IF(ISNUMBER(MATCH($B$2:$B$10000,$E$6:$E$22,0)),ROW($C$2:$C$10000)-ROW($C$2)+1),ROWS(L$20:L1019))))</f>
        <v>Iliana  Valerio</v>
      </c>
      <c r="I1019" s="4">
        <f t="array" ref="I1019">IF(ROWS(M$20:M1019)&gt;$F$6,"",INDEX(C$2:C$10000,SMALL(IF(ISNUMBER(MATCH($B$2:$B$10000,$E$6:$E$22,0)),ROW($C$2:$C$10000)-ROW($C$2)+1),ROWS(M$20:M1019))))</f>
        <v>18</v>
      </c>
      <c r="K1019" s="7">
        <f t="array" ref="K1019">IF(ROWS(K$20:K1019)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1019))))</f>
        <v>41783</v>
      </c>
      <c r="L1019" s="4" t="str">
        <f t="array" ref="L1019">IF(ROWS(L$20:L1019)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1019))))</f>
        <v>Iliana  Valerio</v>
      </c>
      <c r="M1019" s="4">
        <f t="array" ref="M1019">IF(ROWS(M$20:M1019)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1019))))</f>
        <v>18</v>
      </c>
    </row>
    <row r="1020" spans="1:13" x14ac:dyDescent="0.25">
      <c r="A1020" s="3">
        <v>41298</v>
      </c>
      <c r="B1020" s="2" t="s">
        <v>28</v>
      </c>
      <c r="C1020" s="2">
        <v>19</v>
      </c>
      <c r="G1020" s="7">
        <f t="array" ref="G1020">IF(ROWS(K$20:K1020)&gt;$F$6,"",INDEX(A$2:A$10000,SMALL(IF(ISNUMBER(MATCH($B$2:$B$10000,$E$6:$E$22,0)),ROW($C$2:$C$10000)-ROW($C$2)+1),ROWS(K$20:K1020))))</f>
        <v>41856</v>
      </c>
      <c r="H1020" s="4" t="str">
        <f t="array" ref="H1020">IF(ROWS(L$20:L1020)&gt;$F$6,"",INDEX(B$2:B$10000,SMALL(IF(ISNUMBER(MATCH($B$2:$B$10000,$E$6:$E$22,0)),ROW($C$2:$C$10000)-ROW($C$2)+1),ROWS(L$20:L1020))))</f>
        <v>Rosamond  Allard</v>
      </c>
      <c r="I1020" s="4">
        <f t="array" ref="I1020">IF(ROWS(M$20:M1020)&gt;$F$6,"",INDEX(C$2:C$10000,SMALL(IF(ISNUMBER(MATCH($B$2:$B$10000,$E$6:$E$22,0)),ROW($C$2:$C$10000)-ROW($C$2)+1),ROWS(M$20:M1020))))</f>
        <v>6</v>
      </c>
      <c r="K1020" s="7">
        <f t="array" ref="K1020">IF(ROWS(K$20:K1020)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1020))))</f>
        <v>41856</v>
      </c>
      <c r="L1020" s="4" t="str">
        <f t="array" ref="L1020">IF(ROWS(L$20:L1020)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1020))))</f>
        <v>Rosamond  Allard</v>
      </c>
      <c r="M1020" s="4">
        <f t="array" ref="M1020">IF(ROWS(M$20:M1020)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1020))))</f>
        <v>6</v>
      </c>
    </row>
    <row r="1021" spans="1:13" x14ac:dyDescent="0.25">
      <c r="A1021" s="3">
        <v>41961</v>
      </c>
      <c r="B1021" s="2" t="s">
        <v>37</v>
      </c>
      <c r="C1021" s="2">
        <v>48</v>
      </c>
      <c r="G1021" s="7">
        <f t="array" ref="G1021">IF(ROWS(K$20:K1021)&gt;$F$6,"",INDEX(A$2:A$10000,SMALL(IF(ISNUMBER(MATCH($B$2:$B$10000,$E$6:$E$22,0)),ROW($C$2:$C$10000)-ROW($C$2)+1),ROWS(K$20:K1021))))</f>
        <v>41723</v>
      </c>
      <c r="H1021" s="4" t="str">
        <f t="array" ref="H1021">IF(ROWS(L$20:L1021)&gt;$F$6,"",INDEX(B$2:B$10000,SMALL(IF(ISNUMBER(MATCH($B$2:$B$10000,$E$6:$E$22,0)),ROW($C$2:$C$10000)-ROW($C$2)+1),ROWS(L$20:L1021))))</f>
        <v>Kerrie  Worrell</v>
      </c>
      <c r="I1021" s="4">
        <f t="array" ref="I1021">IF(ROWS(M$20:M1021)&gt;$F$6,"",INDEX(C$2:C$10000,SMALL(IF(ISNUMBER(MATCH($B$2:$B$10000,$E$6:$E$22,0)),ROW($C$2:$C$10000)-ROW($C$2)+1),ROWS(M$20:M1021))))</f>
        <v>25</v>
      </c>
      <c r="K1021" s="7">
        <f t="array" ref="K1021">IF(ROWS(K$20:K1021)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1021))))</f>
        <v>41723</v>
      </c>
      <c r="L1021" s="4" t="str">
        <f t="array" ref="L1021">IF(ROWS(L$20:L1021)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1021))))</f>
        <v>Kerrie  Worrell</v>
      </c>
      <c r="M1021" s="4">
        <f t="array" ref="M1021">IF(ROWS(M$20:M1021)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1021))))</f>
        <v>25</v>
      </c>
    </row>
    <row r="1022" spans="1:13" x14ac:dyDescent="0.25">
      <c r="A1022" s="3">
        <v>41709</v>
      </c>
      <c r="B1022" s="2" t="s">
        <v>23</v>
      </c>
      <c r="C1022" s="2">
        <v>25</v>
      </c>
      <c r="G1022" s="7">
        <f t="array" ref="G1022">IF(ROWS(K$20:K1022)&gt;$F$6,"",INDEX(A$2:A$10000,SMALL(IF(ISNUMBER(MATCH($B$2:$B$10000,$E$6:$E$22,0)),ROW($C$2:$C$10000)-ROW($C$2)+1),ROWS(K$20:K1022))))</f>
        <v>41943</v>
      </c>
      <c r="H1022" s="4" t="str">
        <f t="array" ref="H1022">IF(ROWS(L$20:L1022)&gt;$F$6,"",INDEX(B$2:B$10000,SMALL(IF(ISNUMBER(MATCH($B$2:$B$10000,$E$6:$E$22,0)),ROW($C$2:$C$10000)-ROW($C$2)+1),ROWS(L$20:L1022))))</f>
        <v>Kerrie  Worrell</v>
      </c>
      <c r="I1022" s="4">
        <f t="array" ref="I1022">IF(ROWS(M$20:M1022)&gt;$F$6,"",INDEX(C$2:C$10000,SMALL(IF(ISNUMBER(MATCH($B$2:$B$10000,$E$6:$E$22,0)),ROW($C$2:$C$10000)-ROW($C$2)+1),ROWS(M$20:M1022))))</f>
        <v>29</v>
      </c>
      <c r="K1022" s="7">
        <f t="array" ref="K1022">IF(ROWS(K$20:K1022)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1022))))</f>
        <v>41943</v>
      </c>
      <c r="L1022" s="4" t="str">
        <f t="array" ref="L1022">IF(ROWS(L$20:L1022)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1022))))</f>
        <v>Kerrie  Worrell</v>
      </c>
      <c r="M1022" s="4">
        <f t="array" ref="M1022">IF(ROWS(M$20:M1022)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1022))))</f>
        <v>29</v>
      </c>
    </row>
    <row r="1023" spans="1:13" x14ac:dyDescent="0.25">
      <c r="A1023" s="3">
        <v>41970</v>
      </c>
      <c r="B1023" s="2" t="s">
        <v>8</v>
      </c>
      <c r="C1023" s="2">
        <v>3</v>
      </c>
      <c r="G1023" s="7">
        <f t="array" ref="G1023">IF(ROWS(K$20:K1023)&gt;$F$6,"",INDEX(A$2:A$10000,SMALL(IF(ISNUMBER(MATCH($B$2:$B$10000,$E$6:$E$22,0)),ROW($C$2:$C$10000)-ROW($C$2)+1),ROWS(K$20:K1023))))</f>
        <v>41382</v>
      </c>
      <c r="H1023" s="4" t="str">
        <f t="array" ref="H1023">IF(ROWS(L$20:L1023)&gt;$F$6,"",INDEX(B$2:B$10000,SMALL(IF(ISNUMBER(MATCH($B$2:$B$10000,$E$6:$E$22,0)),ROW($C$2:$C$10000)-ROW($C$2)+1),ROWS(L$20:L1023))))</f>
        <v>Galen  Barth</v>
      </c>
      <c r="I1023" s="4">
        <f t="array" ref="I1023">IF(ROWS(M$20:M1023)&gt;$F$6,"",INDEX(C$2:C$10000,SMALL(IF(ISNUMBER(MATCH($B$2:$B$10000,$E$6:$E$22,0)),ROW($C$2:$C$10000)-ROW($C$2)+1),ROWS(M$20:M1023))))</f>
        <v>26</v>
      </c>
      <c r="K1023" s="7">
        <f t="array" ref="K1023">IF(ROWS(K$20:K1023)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1023))))</f>
        <v>41382</v>
      </c>
      <c r="L1023" s="4" t="str">
        <f t="array" ref="L1023">IF(ROWS(L$20:L1023)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1023))))</f>
        <v>Galen  Barth</v>
      </c>
      <c r="M1023" s="4">
        <f t="array" ref="M1023">IF(ROWS(M$20:M1023)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1023))))</f>
        <v>26</v>
      </c>
    </row>
    <row r="1024" spans="1:13" x14ac:dyDescent="0.25">
      <c r="A1024" s="3">
        <v>41625</v>
      </c>
      <c r="B1024" s="2" t="s">
        <v>5</v>
      </c>
      <c r="C1024" s="2">
        <v>23</v>
      </c>
      <c r="G1024" s="7">
        <f t="array" ref="G1024">IF(ROWS(K$20:K1024)&gt;$F$6,"",INDEX(A$2:A$10000,SMALL(IF(ISNUMBER(MATCH($B$2:$B$10000,$E$6:$E$22,0)),ROW($C$2:$C$10000)-ROW($C$2)+1),ROWS(K$20:K1024))))</f>
        <v>41834</v>
      </c>
      <c r="H1024" s="4" t="str">
        <f t="array" ref="H1024">IF(ROWS(L$20:L1024)&gt;$F$6,"",INDEX(B$2:B$10000,SMALL(IF(ISNUMBER(MATCH($B$2:$B$10000,$E$6:$E$22,0)),ROW($C$2:$C$10000)-ROW($C$2)+1),ROWS(L$20:L1024))))</f>
        <v>Jenni  Thorton</v>
      </c>
      <c r="I1024" s="4">
        <f t="array" ref="I1024">IF(ROWS(M$20:M1024)&gt;$F$6,"",INDEX(C$2:C$10000,SMALL(IF(ISNUMBER(MATCH($B$2:$B$10000,$E$6:$E$22,0)),ROW($C$2:$C$10000)-ROW($C$2)+1),ROWS(M$20:M1024))))</f>
        <v>43</v>
      </c>
      <c r="K1024" s="7">
        <f t="array" ref="K1024">IF(ROWS(K$20:K1024)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1024))))</f>
        <v>41834</v>
      </c>
      <c r="L1024" s="4" t="str">
        <f t="array" ref="L1024">IF(ROWS(L$20:L1024)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1024))))</f>
        <v>Jenni  Thorton</v>
      </c>
      <c r="M1024" s="4">
        <f t="array" ref="M1024">IF(ROWS(M$20:M1024)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1024))))</f>
        <v>43</v>
      </c>
    </row>
    <row r="1025" spans="1:13" x14ac:dyDescent="0.25">
      <c r="A1025" s="3">
        <v>41539</v>
      </c>
      <c r="B1025" s="2" t="s">
        <v>25</v>
      </c>
      <c r="C1025" s="2">
        <v>45</v>
      </c>
      <c r="G1025" s="7">
        <f t="array" ref="G1025">IF(ROWS(K$20:K1025)&gt;$F$6,"",INDEX(A$2:A$10000,SMALL(IF(ISNUMBER(MATCH($B$2:$B$10000,$E$6:$E$22,0)),ROW($C$2:$C$10000)-ROW($C$2)+1),ROWS(K$20:K1025))))</f>
        <v>41380</v>
      </c>
      <c r="H1025" s="4" t="str">
        <f t="array" ref="H1025">IF(ROWS(L$20:L1025)&gt;$F$6,"",INDEX(B$2:B$10000,SMALL(IF(ISNUMBER(MATCH($B$2:$B$10000,$E$6:$E$22,0)),ROW($C$2:$C$10000)-ROW($C$2)+1),ROWS(L$20:L1025))))</f>
        <v>Galen  Barth</v>
      </c>
      <c r="I1025" s="4">
        <f t="array" ref="I1025">IF(ROWS(M$20:M1025)&gt;$F$6,"",INDEX(C$2:C$10000,SMALL(IF(ISNUMBER(MATCH($B$2:$B$10000,$E$6:$E$22,0)),ROW($C$2:$C$10000)-ROW($C$2)+1),ROWS(M$20:M1025))))</f>
        <v>43</v>
      </c>
      <c r="K1025" s="7">
        <f t="array" ref="K1025">IF(ROWS(K$20:K1025)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1025))))</f>
        <v>41380</v>
      </c>
      <c r="L1025" s="4" t="str">
        <f t="array" ref="L1025">IF(ROWS(L$20:L1025)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1025))))</f>
        <v>Galen  Barth</v>
      </c>
      <c r="M1025" s="4">
        <f t="array" ref="M1025">IF(ROWS(M$20:M1025)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1025))))</f>
        <v>43</v>
      </c>
    </row>
    <row r="1026" spans="1:13" x14ac:dyDescent="0.25">
      <c r="A1026" s="3">
        <v>41444</v>
      </c>
      <c r="B1026" s="2" t="s">
        <v>49</v>
      </c>
      <c r="C1026" s="2">
        <v>27</v>
      </c>
      <c r="G1026" s="7">
        <f t="array" ref="G1026">IF(ROWS(K$20:K1026)&gt;$F$6,"",INDEX(A$2:A$10000,SMALL(IF(ISNUMBER(MATCH($B$2:$B$10000,$E$6:$E$22,0)),ROW($C$2:$C$10000)-ROW($C$2)+1),ROWS(K$20:K1026))))</f>
        <v>41538</v>
      </c>
      <c r="H1026" s="4" t="str">
        <f t="array" ref="H1026">IF(ROWS(L$20:L1026)&gt;$F$6,"",INDEX(B$2:B$10000,SMALL(IF(ISNUMBER(MATCH($B$2:$B$10000,$E$6:$E$22,0)),ROW($C$2:$C$10000)-ROW($C$2)+1),ROWS(L$20:L1026))))</f>
        <v>Rosamond  Allard</v>
      </c>
      <c r="I1026" s="4">
        <f t="array" ref="I1026">IF(ROWS(M$20:M1026)&gt;$F$6,"",INDEX(C$2:C$10000,SMALL(IF(ISNUMBER(MATCH($B$2:$B$10000,$E$6:$E$22,0)),ROW($C$2:$C$10000)-ROW($C$2)+1),ROWS(M$20:M1026))))</f>
        <v>29</v>
      </c>
      <c r="K1026" s="7">
        <f t="array" ref="K1026">IF(ROWS(K$20:K1026)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1026))))</f>
        <v>41538</v>
      </c>
      <c r="L1026" s="4" t="str">
        <f t="array" ref="L1026">IF(ROWS(L$20:L1026)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1026))))</f>
        <v>Rosamond  Allard</v>
      </c>
      <c r="M1026" s="4">
        <f t="array" ref="M1026">IF(ROWS(M$20:M1026)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1026))))</f>
        <v>29</v>
      </c>
    </row>
    <row r="1027" spans="1:13" x14ac:dyDescent="0.25">
      <c r="A1027" s="3">
        <v>41661</v>
      </c>
      <c r="B1027" s="2" t="s">
        <v>13</v>
      </c>
      <c r="C1027" s="2">
        <v>32</v>
      </c>
      <c r="G1027" s="7">
        <f t="array" ref="G1027">IF(ROWS(K$20:K1027)&gt;$F$6,"",INDEX(A$2:A$10000,SMALL(IF(ISNUMBER(MATCH($B$2:$B$10000,$E$6:$E$22,0)),ROW($C$2:$C$10000)-ROW($C$2)+1),ROWS(K$20:K1027))))</f>
        <v>41305</v>
      </c>
      <c r="H1027" s="4" t="str">
        <f t="array" ref="H1027">IF(ROWS(L$20:L1027)&gt;$F$6,"",INDEX(B$2:B$10000,SMALL(IF(ISNUMBER(MATCH($B$2:$B$10000,$E$6:$E$22,0)),ROW($C$2:$C$10000)-ROW($C$2)+1),ROWS(L$20:L1027))))</f>
        <v>Iliana  Valerio</v>
      </c>
      <c r="I1027" s="4">
        <f t="array" ref="I1027">IF(ROWS(M$20:M1027)&gt;$F$6,"",INDEX(C$2:C$10000,SMALL(IF(ISNUMBER(MATCH($B$2:$B$10000,$E$6:$E$22,0)),ROW($C$2:$C$10000)-ROW($C$2)+1),ROWS(M$20:M1027))))</f>
        <v>21</v>
      </c>
      <c r="K1027" s="7">
        <f t="array" ref="K1027">IF(ROWS(K$20:K1027)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1027))))</f>
        <v>41305</v>
      </c>
      <c r="L1027" s="4" t="str">
        <f t="array" ref="L1027">IF(ROWS(L$20:L1027)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1027))))</f>
        <v>Iliana  Valerio</v>
      </c>
      <c r="M1027" s="4">
        <f t="array" ref="M1027">IF(ROWS(M$20:M1027)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1027))))</f>
        <v>21</v>
      </c>
    </row>
    <row r="1028" spans="1:13" x14ac:dyDescent="0.25">
      <c r="A1028" s="3">
        <v>41798</v>
      </c>
      <c r="B1028" s="2" t="s">
        <v>16</v>
      </c>
      <c r="C1028" s="2">
        <v>8</v>
      </c>
      <c r="G1028" s="7">
        <f t="array" ref="G1028">IF(ROWS(K$20:K1028)&gt;$F$6,"",INDEX(A$2:A$10000,SMALL(IF(ISNUMBER(MATCH($B$2:$B$10000,$E$6:$E$22,0)),ROW($C$2:$C$10000)-ROW($C$2)+1),ROWS(K$20:K1028))))</f>
        <v>41901</v>
      </c>
      <c r="H1028" s="4" t="str">
        <f t="array" ref="H1028">IF(ROWS(L$20:L1028)&gt;$F$6,"",INDEX(B$2:B$10000,SMALL(IF(ISNUMBER(MATCH($B$2:$B$10000,$E$6:$E$22,0)),ROW($C$2:$C$10000)-ROW($C$2)+1),ROWS(L$20:L1028))))</f>
        <v>Iliana  Valerio</v>
      </c>
      <c r="I1028" s="4">
        <f t="array" ref="I1028">IF(ROWS(M$20:M1028)&gt;$F$6,"",INDEX(C$2:C$10000,SMALL(IF(ISNUMBER(MATCH($B$2:$B$10000,$E$6:$E$22,0)),ROW($C$2:$C$10000)-ROW($C$2)+1),ROWS(M$20:M1028))))</f>
        <v>31</v>
      </c>
      <c r="K1028" s="7">
        <f t="array" ref="K1028">IF(ROWS(K$20:K1028)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1028))))</f>
        <v>41901</v>
      </c>
      <c r="L1028" s="4" t="str">
        <f t="array" ref="L1028">IF(ROWS(L$20:L1028)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1028))))</f>
        <v>Iliana  Valerio</v>
      </c>
      <c r="M1028" s="4">
        <f t="array" ref="M1028">IF(ROWS(M$20:M1028)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1028))))</f>
        <v>31</v>
      </c>
    </row>
    <row r="1029" spans="1:13" x14ac:dyDescent="0.25">
      <c r="A1029" s="3">
        <v>41550</v>
      </c>
      <c r="B1029" s="2" t="s">
        <v>40</v>
      </c>
      <c r="C1029" s="2">
        <v>47</v>
      </c>
      <c r="G1029" s="7">
        <f t="array" ref="G1029">IF(ROWS(K$20:K1029)&gt;$F$6,"",INDEX(A$2:A$10000,SMALL(IF(ISNUMBER(MATCH($B$2:$B$10000,$E$6:$E$22,0)),ROW($C$2:$C$10000)-ROW($C$2)+1),ROWS(K$20:K1029))))</f>
        <v>41951</v>
      </c>
      <c r="H1029" s="4" t="str">
        <f t="array" ref="H1029">IF(ROWS(L$20:L1029)&gt;$F$6,"",INDEX(B$2:B$10000,SMALL(IF(ISNUMBER(MATCH($B$2:$B$10000,$E$6:$E$22,0)),ROW($C$2:$C$10000)-ROW($C$2)+1),ROWS(L$20:L1029))))</f>
        <v>Iliana  Valerio</v>
      </c>
      <c r="I1029" s="4">
        <f t="array" ref="I1029">IF(ROWS(M$20:M1029)&gt;$F$6,"",INDEX(C$2:C$10000,SMALL(IF(ISNUMBER(MATCH($B$2:$B$10000,$E$6:$E$22,0)),ROW($C$2:$C$10000)-ROW($C$2)+1),ROWS(M$20:M1029))))</f>
        <v>55</v>
      </c>
      <c r="K1029" s="7">
        <f t="array" ref="K1029">IF(ROWS(K$20:K1029)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1029))))</f>
        <v>41951</v>
      </c>
      <c r="L1029" s="4" t="str">
        <f t="array" ref="L1029">IF(ROWS(L$20:L1029)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1029))))</f>
        <v>Iliana  Valerio</v>
      </c>
      <c r="M1029" s="4">
        <f t="array" ref="M1029">IF(ROWS(M$20:M1029)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1029))))</f>
        <v>55</v>
      </c>
    </row>
    <row r="1030" spans="1:13" x14ac:dyDescent="0.25">
      <c r="A1030" s="3">
        <v>41894</v>
      </c>
      <c r="B1030" s="2" t="s">
        <v>44</v>
      </c>
      <c r="C1030" s="2">
        <v>22</v>
      </c>
      <c r="G1030" s="7">
        <f t="array" ref="G1030">IF(ROWS(K$20:K1030)&gt;$F$6,"",INDEX(A$2:A$10000,SMALL(IF(ISNUMBER(MATCH($B$2:$B$10000,$E$6:$E$22,0)),ROW($C$2:$C$10000)-ROW($C$2)+1),ROWS(K$20:K1030))))</f>
        <v>41340</v>
      </c>
      <c r="H1030" s="4" t="str">
        <f t="array" ref="H1030">IF(ROWS(L$20:L1030)&gt;$F$6,"",INDEX(B$2:B$10000,SMALL(IF(ISNUMBER(MATCH($B$2:$B$10000,$E$6:$E$22,0)),ROW($C$2:$C$10000)-ROW($C$2)+1),ROWS(L$20:L1030))))</f>
        <v>Kerrie  Worrell</v>
      </c>
      <c r="I1030" s="4">
        <f t="array" ref="I1030">IF(ROWS(M$20:M1030)&gt;$F$6,"",INDEX(C$2:C$10000,SMALL(IF(ISNUMBER(MATCH($B$2:$B$10000,$E$6:$E$22,0)),ROW($C$2:$C$10000)-ROW($C$2)+1),ROWS(M$20:M1030))))</f>
        <v>5</v>
      </c>
      <c r="K1030" s="7">
        <f t="array" ref="K1030">IF(ROWS(K$20:K1030)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1030))))</f>
        <v>41340</v>
      </c>
      <c r="L1030" s="4" t="str">
        <f t="array" ref="L1030">IF(ROWS(L$20:L1030)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1030))))</f>
        <v>Kerrie  Worrell</v>
      </c>
      <c r="M1030" s="4">
        <f t="array" ref="M1030">IF(ROWS(M$20:M1030)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1030))))</f>
        <v>5</v>
      </c>
    </row>
    <row r="1031" spans="1:13" x14ac:dyDescent="0.25">
      <c r="A1031" s="3">
        <v>41999</v>
      </c>
      <c r="B1031" s="2" t="s">
        <v>16</v>
      </c>
      <c r="C1031" s="2">
        <v>22</v>
      </c>
      <c r="G1031" s="7">
        <f t="array" ref="G1031">IF(ROWS(K$20:K1031)&gt;$F$6,"",INDEX(A$2:A$10000,SMALL(IF(ISNUMBER(MATCH($B$2:$B$10000,$E$6:$E$22,0)),ROW($C$2:$C$10000)-ROW($C$2)+1),ROWS(K$20:K1031))))</f>
        <v>41690</v>
      </c>
      <c r="H1031" s="4" t="str">
        <f t="array" ref="H1031">IF(ROWS(L$20:L1031)&gt;$F$6,"",INDEX(B$2:B$10000,SMALL(IF(ISNUMBER(MATCH($B$2:$B$10000,$E$6:$E$22,0)),ROW($C$2:$C$10000)-ROW($C$2)+1),ROWS(L$20:L1031))))</f>
        <v>Rosamond  Allard</v>
      </c>
      <c r="I1031" s="4">
        <f t="array" ref="I1031">IF(ROWS(M$20:M1031)&gt;$F$6,"",INDEX(C$2:C$10000,SMALL(IF(ISNUMBER(MATCH($B$2:$B$10000,$E$6:$E$22,0)),ROW($C$2:$C$10000)-ROW($C$2)+1),ROWS(M$20:M1031))))</f>
        <v>15</v>
      </c>
      <c r="K1031" s="7">
        <f t="array" ref="K1031">IF(ROWS(K$20:K1031)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1031))))</f>
        <v>41690</v>
      </c>
      <c r="L1031" s="4" t="str">
        <f t="array" ref="L1031">IF(ROWS(L$20:L1031)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1031))))</f>
        <v>Rosamond  Allard</v>
      </c>
      <c r="M1031" s="4">
        <f t="array" ref="M1031">IF(ROWS(M$20:M1031)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1031))))</f>
        <v>15</v>
      </c>
    </row>
    <row r="1032" spans="1:13" x14ac:dyDescent="0.25">
      <c r="A1032" s="3">
        <v>41647</v>
      </c>
      <c r="B1032" s="2" t="s">
        <v>34</v>
      </c>
      <c r="C1032" s="2">
        <v>25</v>
      </c>
      <c r="G1032" s="7">
        <f t="array" ref="G1032">IF(ROWS(K$20:K1032)&gt;$F$6,"",INDEX(A$2:A$10000,SMALL(IF(ISNUMBER(MATCH($B$2:$B$10000,$E$6:$E$22,0)),ROW($C$2:$C$10000)-ROW($C$2)+1),ROWS(K$20:K1032))))</f>
        <v>41470</v>
      </c>
      <c r="H1032" s="4" t="str">
        <f t="array" ref="H1032">IF(ROWS(L$20:L1032)&gt;$F$6,"",INDEX(B$2:B$10000,SMALL(IF(ISNUMBER(MATCH($B$2:$B$10000,$E$6:$E$22,0)),ROW($C$2:$C$10000)-ROW($C$2)+1),ROWS(L$20:L1032))))</f>
        <v>Mickey  Bolduc</v>
      </c>
      <c r="I1032" s="4">
        <f t="array" ref="I1032">IF(ROWS(M$20:M1032)&gt;$F$6,"",INDEX(C$2:C$10000,SMALL(IF(ISNUMBER(MATCH($B$2:$B$10000,$E$6:$E$22,0)),ROW($C$2:$C$10000)-ROW($C$2)+1),ROWS(M$20:M1032))))</f>
        <v>59</v>
      </c>
      <c r="K1032" s="7">
        <f t="array" ref="K1032">IF(ROWS(K$20:K1032)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1032))))</f>
        <v>41470</v>
      </c>
      <c r="L1032" s="4" t="str">
        <f t="array" ref="L1032">IF(ROWS(L$20:L1032)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1032))))</f>
        <v>Mickey  Bolduc</v>
      </c>
      <c r="M1032" s="4">
        <f t="array" ref="M1032">IF(ROWS(M$20:M1032)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1032))))</f>
        <v>59</v>
      </c>
    </row>
    <row r="1033" spans="1:13" x14ac:dyDescent="0.25">
      <c r="A1033" s="3">
        <v>41368</v>
      </c>
      <c r="B1033" s="2" t="s">
        <v>50</v>
      </c>
      <c r="C1033" s="2">
        <v>24</v>
      </c>
      <c r="G1033" s="7">
        <f t="array" ref="G1033">IF(ROWS(K$20:K1033)&gt;$F$6,"",INDEX(A$2:A$10000,SMALL(IF(ISNUMBER(MATCH($B$2:$B$10000,$E$6:$E$22,0)),ROW($C$2:$C$10000)-ROW($C$2)+1),ROWS(K$20:K1033))))</f>
        <v>41548</v>
      </c>
      <c r="H1033" s="4" t="str">
        <f t="array" ref="H1033">IF(ROWS(L$20:L1033)&gt;$F$6,"",INDEX(B$2:B$10000,SMALL(IF(ISNUMBER(MATCH($B$2:$B$10000,$E$6:$E$22,0)),ROW($C$2:$C$10000)-ROW($C$2)+1),ROWS(L$20:L1033))))</f>
        <v>Galen  Barth</v>
      </c>
      <c r="I1033" s="4">
        <f t="array" ref="I1033">IF(ROWS(M$20:M1033)&gt;$F$6,"",INDEX(C$2:C$10000,SMALL(IF(ISNUMBER(MATCH($B$2:$B$10000,$E$6:$E$22,0)),ROW($C$2:$C$10000)-ROW($C$2)+1),ROWS(M$20:M1033))))</f>
        <v>17</v>
      </c>
      <c r="K1033" s="7">
        <f t="array" ref="K1033">IF(ROWS(K$20:K1033)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1033))))</f>
        <v>41548</v>
      </c>
      <c r="L1033" s="4" t="str">
        <f t="array" ref="L1033">IF(ROWS(L$20:L1033)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1033))))</f>
        <v>Galen  Barth</v>
      </c>
      <c r="M1033" s="4">
        <f t="array" ref="M1033">IF(ROWS(M$20:M1033)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1033))))</f>
        <v>17</v>
      </c>
    </row>
    <row r="1034" spans="1:13" x14ac:dyDescent="0.25">
      <c r="A1034" s="3">
        <v>41966</v>
      </c>
      <c r="B1034" s="2" t="s">
        <v>6</v>
      </c>
      <c r="C1034" s="2">
        <v>49</v>
      </c>
      <c r="G1034" s="7">
        <f t="array" ref="G1034">IF(ROWS(K$20:K1034)&gt;$F$6,"",INDEX(A$2:A$10000,SMALL(IF(ISNUMBER(MATCH($B$2:$B$10000,$E$6:$E$22,0)),ROW($C$2:$C$10000)-ROW($C$2)+1),ROWS(K$20:K1034))))</f>
        <v>41647</v>
      </c>
      <c r="H1034" s="4" t="str">
        <f t="array" ref="H1034">IF(ROWS(L$20:L1034)&gt;$F$6,"",INDEX(B$2:B$10000,SMALL(IF(ISNUMBER(MATCH($B$2:$B$10000,$E$6:$E$22,0)),ROW($C$2:$C$10000)-ROW($C$2)+1),ROWS(L$20:L1034))))</f>
        <v>Rosamond  Allard</v>
      </c>
      <c r="I1034" s="4">
        <f t="array" ref="I1034">IF(ROWS(M$20:M1034)&gt;$F$6,"",INDEX(C$2:C$10000,SMALL(IF(ISNUMBER(MATCH($B$2:$B$10000,$E$6:$E$22,0)),ROW($C$2:$C$10000)-ROW($C$2)+1),ROWS(M$20:M1034))))</f>
        <v>42</v>
      </c>
      <c r="K1034" s="7">
        <f t="array" ref="K1034">IF(ROWS(K$20:K1034)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1034))))</f>
        <v>41647</v>
      </c>
      <c r="L1034" s="4" t="str">
        <f t="array" ref="L1034">IF(ROWS(L$20:L1034)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1034))))</f>
        <v>Rosamond  Allard</v>
      </c>
      <c r="M1034" s="4">
        <f t="array" ref="M1034">IF(ROWS(M$20:M1034)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1034))))</f>
        <v>42</v>
      </c>
    </row>
    <row r="1035" spans="1:13" x14ac:dyDescent="0.25">
      <c r="A1035" s="3">
        <v>41421</v>
      </c>
      <c r="B1035" s="2" t="s">
        <v>22</v>
      </c>
      <c r="C1035" s="2">
        <v>15</v>
      </c>
      <c r="G1035" s="7">
        <f t="array" ref="G1035">IF(ROWS(K$20:K1035)&gt;$F$6,"",INDEX(A$2:A$10000,SMALL(IF(ISNUMBER(MATCH($B$2:$B$10000,$E$6:$E$22,0)),ROW($C$2:$C$10000)-ROW($C$2)+1),ROWS(K$20:K1035))))</f>
        <v>41534</v>
      </c>
      <c r="H1035" s="4" t="str">
        <f t="array" ref="H1035">IF(ROWS(L$20:L1035)&gt;$F$6,"",INDEX(B$2:B$10000,SMALL(IF(ISNUMBER(MATCH($B$2:$B$10000,$E$6:$E$22,0)),ROW($C$2:$C$10000)-ROW($C$2)+1),ROWS(L$20:L1035))))</f>
        <v>Kerrie  Worrell</v>
      </c>
      <c r="I1035" s="4">
        <f t="array" ref="I1035">IF(ROWS(M$20:M1035)&gt;$F$6,"",INDEX(C$2:C$10000,SMALL(IF(ISNUMBER(MATCH($B$2:$B$10000,$E$6:$E$22,0)),ROW($C$2:$C$10000)-ROW($C$2)+1),ROWS(M$20:M1035))))</f>
        <v>24</v>
      </c>
      <c r="K1035" s="7">
        <f t="array" ref="K1035">IF(ROWS(K$20:K1035)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1035))))</f>
        <v>41534</v>
      </c>
      <c r="L1035" s="4" t="str">
        <f t="array" ref="L1035">IF(ROWS(L$20:L1035)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1035))))</f>
        <v>Kerrie  Worrell</v>
      </c>
      <c r="M1035" s="4">
        <f t="array" ref="M1035">IF(ROWS(M$20:M1035)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1035))))</f>
        <v>24</v>
      </c>
    </row>
    <row r="1036" spans="1:13" x14ac:dyDescent="0.25">
      <c r="A1036" s="3">
        <v>41788</v>
      </c>
      <c r="B1036" s="2" t="s">
        <v>16</v>
      </c>
      <c r="C1036" s="2">
        <v>18</v>
      </c>
      <c r="G1036" s="7">
        <f t="array" ref="G1036">IF(ROWS(K$20:K1036)&gt;$F$6,"",INDEX(A$2:A$10000,SMALL(IF(ISNUMBER(MATCH($B$2:$B$10000,$E$6:$E$22,0)),ROW($C$2:$C$10000)-ROW($C$2)+1),ROWS(K$20:K1036))))</f>
        <v>41776</v>
      </c>
      <c r="H1036" s="4" t="str">
        <f t="array" ref="H1036">IF(ROWS(L$20:L1036)&gt;$F$6,"",INDEX(B$2:B$10000,SMALL(IF(ISNUMBER(MATCH($B$2:$B$10000,$E$6:$E$22,0)),ROW($C$2:$C$10000)-ROW($C$2)+1),ROWS(L$20:L1036))))</f>
        <v>Mickey  Bolduc</v>
      </c>
      <c r="I1036" s="4">
        <f t="array" ref="I1036">IF(ROWS(M$20:M1036)&gt;$F$6,"",INDEX(C$2:C$10000,SMALL(IF(ISNUMBER(MATCH($B$2:$B$10000,$E$6:$E$22,0)),ROW($C$2:$C$10000)-ROW($C$2)+1),ROWS(M$20:M1036))))</f>
        <v>24</v>
      </c>
      <c r="K1036" s="7">
        <f t="array" ref="K1036">IF(ROWS(K$20:K1036)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1036))))</f>
        <v>41776</v>
      </c>
      <c r="L1036" s="4" t="str">
        <f t="array" ref="L1036">IF(ROWS(L$20:L1036)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1036))))</f>
        <v>Mickey  Bolduc</v>
      </c>
      <c r="M1036" s="4">
        <f t="array" ref="M1036">IF(ROWS(M$20:M1036)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1036))))</f>
        <v>24</v>
      </c>
    </row>
    <row r="1037" spans="1:13" x14ac:dyDescent="0.25">
      <c r="A1037" s="3">
        <v>41760</v>
      </c>
      <c r="B1037" s="2" t="s">
        <v>17</v>
      </c>
      <c r="C1037" s="2">
        <v>19</v>
      </c>
      <c r="G1037" s="7">
        <f t="array" ref="G1037">IF(ROWS(K$20:K1037)&gt;$F$6,"",INDEX(A$2:A$10000,SMALL(IF(ISNUMBER(MATCH($B$2:$B$10000,$E$6:$E$22,0)),ROW($C$2:$C$10000)-ROW($C$2)+1),ROWS(K$20:K1037))))</f>
        <v>41348</v>
      </c>
      <c r="H1037" s="4" t="str">
        <f t="array" ref="H1037">IF(ROWS(L$20:L1037)&gt;$F$6,"",INDEX(B$2:B$10000,SMALL(IF(ISNUMBER(MATCH($B$2:$B$10000,$E$6:$E$22,0)),ROW($C$2:$C$10000)-ROW($C$2)+1),ROWS(L$20:L1037))))</f>
        <v>Jenni  Thorton</v>
      </c>
      <c r="I1037" s="4">
        <f t="array" ref="I1037">IF(ROWS(M$20:M1037)&gt;$F$6,"",INDEX(C$2:C$10000,SMALL(IF(ISNUMBER(MATCH($B$2:$B$10000,$E$6:$E$22,0)),ROW($C$2:$C$10000)-ROW($C$2)+1),ROWS(M$20:M1037))))</f>
        <v>14</v>
      </c>
      <c r="K1037" s="7">
        <f t="array" ref="K1037">IF(ROWS(K$20:K1037)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1037))))</f>
        <v>41348</v>
      </c>
      <c r="L1037" s="4" t="str">
        <f t="array" ref="L1037">IF(ROWS(L$20:L1037)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1037))))</f>
        <v>Jenni  Thorton</v>
      </c>
      <c r="M1037" s="4">
        <f t="array" ref="M1037">IF(ROWS(M$20:M1037)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1037))))</f>
        <v>14</v>
      </c>
    </row>
    <row r="1038" spans="1:13" x14ac:dyDescent="0.25">
      <c r="A1038" s="3">
        <v>41391</v>
      </c>
      <c r="B1038" s="2" t="s">
        <v>20</v>
      </c>
      <c r="C1038" s="2">
        <v>7</v>
      </c>
      <c r="G1038" s="7">
        <f t="array" ref="G1038">IF(ROWS(K$20:K1038)&gt;$F$6,"",INDEX(A$2:A$10000,SMALL(IF(ISNUMBER(MATCH($B$2:$B$10000,$E$6:$E$22,0)),ROW($C$2:$C$10000)-ROW($C$2)+1),ROWS(K$20:K1038))))</f>
        <v>41950</v>
      </c>
      <c r="H1038" s="4" t="str">
        <f t="array" ref="H1038">IF(ROWS(L$20:L1038)&gt;$F$6,"",INDEX(B$2:B$10000,SMALL(IF(ISNUMBER(MATCH($B$2:$B$10000,$E$6:$E$22,0)),ROW($C$2:$C$10000)-ROW($C$2)+1),ROWS(L$20:L1038))))</f>
        <v>Rosamond  Allard</v>
      </c>
      <c r="I1038" s="4">
        <f t="array" ref="I1038">IF(ROWS(M$20:M1038)&gt;$F$6,"",INDEX(C$2:C$10000,SMALL(IF(ISNUMBER(MATCH($B$2:$B$10000,$E$6:$E$22,0)),ROW($C$2:$C$10000)-ROW($C$2)+1),ROWS(M$20:M1038))))</f>
        <v>54</v>
      </c>
      <c r="K1038" s="7">
        <f t="array" ref="K1038">IF(ROWS(K$20:K1038)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1038))))</f>
        <v>41950</v>
      </c>
      <c r="L1038" s="4" t="str">
        <f t="array" ref="L1038">IF(ROWS(L$20:L1038)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1038))))</f>
        <v>Rosamond  Allard</v>
      </c>
      <c r="M1038" s="4">
        <f t="array" ref="M1038">IF(ROWS(M$20:M1038)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1038))))</f>
        <v>54</v>
      </c>
    </row>
    <row r="1039" spans="1:13" x14ac:dyDescent="0.25">
      <c r="A1039" s="3">
        <v>41279</v>
      </c>
      <c r="B1039" s="2" t="s">
        <v>51</v>
      </c>
      <c r="C1039" s="2">
        <v>47</v>
      </c>
      <c r="G1039" s="7">
        <f t="array" ref="G1039">IF(ROWS(K$20:K1039)&gt;$F$6,"",INDEX(A$2:A$10000,SMALL(IF(ISNUMBER(MATCH($B$2:$B$10000,$E$6:$E$22,0)),ROW($C$2:$C$10000)-ROW($C$2)+1),ROWS(K$20:K1039))))</f>
        <v>41411</v>
      </c>
      <c r="H1039" s="4" t="str">
        <f t="array" ref="H1039">IF(ROWS(L$20:L1039)&gt;$F$6,"",INDEX(B$2:B$10000,SMALL(IF(ISNUMBER(MATCH($B$2:$B$10000,$E$6:$E$22,0)),ROW($C$2:$C$10000)-ROW($C$2)+1),ROWS(L$20:L1039))))</f>
        <v>Rosamond  Allard</v>
      </c>
      <c r="I1039" s="4">
        <f t="array" ref="I1039">IF(ROWS(M$20:M1039)&gt;$F$6,"",INDEX(C$2:C$10000,SMALL(IF(ISNUMBER(MATCH($B$2:$B$10000,$E$6:$E$22,0)),ROW($C$2:$C$10000)-ROW($C$2)+1),ROWS(M$20:M1039))))</f>
        <v>33</v>
      </c>
      <c r="K1039" s="7">
        <f t="array" ref="K1039">IF(ROWS(K$20:K1039)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1039))))</f>
        <v>41411</v>
      </c>
      <c r="L1039" s="4" t="str">
        <f t="array" ref="L1039">IF(ROWS(L$20:L1039)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1039))))</f>
        <v>Rosamond  Allard</v>
      </c>
      <c r="M1039" s="4">
        <f t="array" ref="M1039">IF(ROWS(M$20:M1039)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1039))))</f>
        <v>33</v>
      </c>
    </row>
    <row r="1040" spans="1:13" x14ac:dyDescent="0.25">
      <c r="A1040" s="3">
        <v>41948</v>
      </c>
      <c r="B1040" s="2" t="s">
        <v>41</v>
      </c>
      <c r="C1040" s="2">
        <v>14</v>
      </c>
      <c r="G1040" s="7">
        <f t="array" ref="G1040">IF(ROWS(K$20:K1040)&gt;$F$6,"",INDEX(A$2:A$10000,SMALL(IF(ISNUMBER(MATCH($B$2:$B$10000,$E$6:$E$22,0)),ROW($C$2:$C$10000)-ROW($C$2)+1),ROWS(K$20:K1040))))</f>
        <v>41906</v>
      </c>
      <c r="H1040" s="4" t="str">
        <f t="array" ref="H1040">IF(ROWS(L$20:L1040)&gt;$F$6,"",INDEX(B$2:B$10000,SMALL(IF(ISNUMBER(MATCH($B$2:$B$10000,$E$6:$E$22,0)),ROW($C$2:$C$10000)-ROW($C$2)+1),ROWS(L$20:L1040))))</f>
        <v>Rosamond  Allard</v>
      </c>
      <c r="I1040" s="4">
        <f t="array" ref="I1040">IF(ROWS(M$20:M1040)&gt;$F$6,"",INDEX(C$2:C$10000,SMALL(IF(ISNUMBER(MATCH($B$2:$B$10000,$E$6:$E$22,0)),ROW($C$2:$C$10000)-ROW($C$2)+1),ROWS(M$20:M1040))))</f>
        <v>14</v>
      </c>
      <c r="K1040" s="7">
        <f t="array" ref="K1040">IF(ROWS(K$20:K1040)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1040))))</f>
        <v>41906</v>
      </c>
      <c r="L1040" s="4" t="str">
        <f t="array" ref="L1040">IF(ROWS(L$20:L1040)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1040))))</f>
        <v>Rosamond  Allard</v>
      </c>
      <c r="M1040" s="4">
        <f t="array" ref="M1040">IF(ROWS(M$20:M1040)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1040))))</f>
        <v>14</v>
      </c>
    </row>
    <row r="1041" spans="1:13" x14ac:dyDescent="0.25">
      <c r="A1041" s="3">
        <v>41339</v>
      </c>
      <c r="B1041" s="2" t="s">
        <v>29</v>
      </c>
      <c r="C1041" s="2">
        <v>6</v>
      </c>
      <c r="G1041" s="7">
        <f t="array" ref="G1041">IF(ROWS(K$20:K1041)&gt;$F$6,"",INDEX(A$2:A$10000,SMALL(IF(ISNUMBER(MATCH($B$2:$B$10000,$E$6:$E$22,0)),ROW($C$2:$C$10000)-ROW($C$2)+1),ROWS(K$20:K1041))))</f>
        <v>41804</v>
      </c>
      <c r="H1041" s="4" t="str">
        <f t="array" ref="H1041">IF(ROWS(L$20:L1041)&gt;$F$6,"",INDEX(B$2:B$10000,SMALL(IF(ISNUMBER(MATCH($B$2:$B$10000,$E$6:$E$22,0)),ROW($C$2:$C$10000)-ROW($C$2)+1),ROWS(L$20:L1041))))</f>
        <v>Galen  Barth</v>
      </c>
      <c r="I1041" s="4">
        <f t="array" ref="I1041">IF(ROWS(M$20:M1041)&gt;$F$6,"",INDEX(C$2:C$10000,SMALL(IF(ISNUMBER(MATCH($B$2:$B$10000,$E$6:$E$22,0)),ROW($C$2:$C$10000)-ROW($C$2)+1),ROWS(M$20:M1041))))</f>
        <v>49</v>
      </c>
      <c r="K1041" s="7">
        <f t="array" ref="K1041">IF(ROWS(K$20:K1041)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1041))))</f>
        <v>41804</v>
      </c>
      <c r="L1041" s="4" t="str">
        <f t="array" ref="L1041">IF(ROWS(L$20:L1041)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1041))))</f>
        <v>Galen  Barth</v>
      </c>
      <c r="M1041" s="4">
        <f t="array" ref="M1041">IF(ROWS(M$20:M1041)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1041))))</f>
        <v>49</v>
      </c>
    </row>
    <row r="1042" spans="1:13" x14ac:dyDescent="0.25">
      <c r="A1042" s="3">
        <v>41350</v>
      </c>
      <c r="B1042" s="2" t="s">
        <v>45</v>
      </c>
      <c r="C1042" s="2">
        <v>3</v>
      </c>
      <c r="G1042" s="7">
        <f t="array" ref="G1042">IF(ROWS(K$20:K1042)&gt;$F$6,"",INDEX(A$2:A$10000,SMALL(IF(ISNUMBER(MATCH($B$2:$B$10000,$E$6:$E$22,0)),ROW($C$2:$C$10000)-ROW($C$2)+1),ROWS(K$20:K1042))))</f>
        <v>41485</v>
      </c>
      <c r="H1042" s="4" t="str">
        <f t="array" ref="H1042">IF(ROWS(L$20:L1042)&gt;$F$6,"",INDEX(B$2:B$10000,SMALL(IF(ISNUMBER(MATCH($B$2:$B$10000,$E$6:$E$22,0)),ROW($C$2:$C$10000)-ROW($C$2)+1),ROWS(L$20:L1042))))</f>
        <v>Kerrie  Worrell</v>
      </c>
      <c r="I1042" s="4">
        <f t="array" ref="I1042">IF(ROWS(M$20:M1042)&gt;$F$6,"",INDEX(C$2:C$10000,SMALL(IF(ISNUMBER(MATCH($B$2:$B$10000,$E$6:$E$22,0)),ROW($C$2:$C$10000)-ROW($C$2)+1),ROWS(M$20:M1042))))</f>
        <v>25</v>
      </c>
      <c r="K1042" s="7">
        <f t="array" ref="K1042">IF(ROWS(K$20:K1042)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1042))))</f>
        <v>41485</v>
      </c>
      <c r="L1042" s="4" t="str">
        <f t="array" ref="L1042">IF(ROWS(L$20:L1042)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1042))))</f>
        <v>Kerrie  Worrell</v>
      </c>
      <c r="M1042" s="4">
        <f t="array" ref="M1042">IF(ROWS(M$20:M1042)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1042))))</f>
        <v>25</v>
      </c>
    </row>
    <row r="1043" spans="1:13" x14ac:dyDescent="0.25">
      <c r="A1043" s="3">
        <v>41829</v>
      </c>
      <c r="B1043" s="2" t="s">
        <v>23</v>
      </c>
      <c r="C1043" s="2">
        <v>27</v>
      </c>
      <c r="G1043" s="7">
        <f t="array" ref="G1043">IF(ROWS(K$20:K1043)&gt;$F$6,"",INDEX(A$2:A$10000,SMALL(IF(ISNUMBER(MATCH($B$2:$B$10000,$E$6:$E$22,0)),ROW($C$2:$C$10000)-ROW($C$2)+1),ROWS(K$20:K1043))))</f>
        <v>41798</v>
      </c>
      <c r="H1043" s="4" t="str">
        <f t="array" ref="H1043">IF(ROWS(L$20:L1043)&gt;$F$6,"",INDEX(B$2:B$10000,SMALL(IF(ISNUMBER(MATCH($B$2:$B$10000,$E$6:$E$22,0)),ROW($C$2:$C$10000)-ROW($C$2)+1),ROWS(L$20:L1043))))</f>
        <v>Galen  Barth</v>
      </c>
      <c r="I1043" s="4">
        <f t="array" ref="I1043">IF(ROWS(M$20:M1043)&gt;$F$6,"",INDEX(C$2:C$10000,SMALL(IF(ISNUMBER(MATCH($B$2:$B$10000,$E$6:$E$22,0)),ROW($C$2:$C$10000)-ROW($C$2)+1),ROWS(M$20:M1043))))</f>
        <v>45</v>
      </c>
      <c r="K1043" s="7">
        <f t="array" ref="K1043">IF(ROWS(K$20:K1043)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1043))))</f>
        <v>41798</v>
      </c>
      <c r="L1043" s="4" t="str">
        <f t="array" ref="L1043">IF(ROWS(L$20:L1043)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1043))))</f>
        <v>Galen  Barth</v>
      </c>
      <c r="M1043" s="4">
        <f t="array" ref="M1043">IF(ROWS(M$20:M1043)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1043))))</f>
        <v>45</v>
      </c>
    </row>
    <row r="1044" spans="1:13" x14ac:dyDescent="0.25">
      <c r="A1044" s="3">
        <v>41601</v>
      </c>
      <c r="B1044" s="2" t="s">
        <v>31</v>
      </c>
      <c r="C1044" s="2">
        <v>5</v>
      </c>
      <c r="G1044" s="7">
        <f t="array" ref="G1044">IF(ROWS(K$20:K1044)&gt;$F$6,"",INDEX(A$2:A$10000,SMALL(IF(ISNUMBER(MATCH($B$2:$B$10000,$E$6:$E$22,0)),ROW($C$2:$C$10000)-ROW($C$2)+1),ROWS(K$20:K1044))))</f>
        <v>41786</v>
      </c>
      <c r="H1044" s="4" t="str">
        <f t="array" ref="H1044">IF(ROWS(L$20:L1044)&gt;$F$6,"",INDEX(B$2:B$10000,SMALL(IF(ISNUMBER(MATCH($B$2:$B$10000,$E$6:$E$22,0)),ROW($C$2:$C$10000)-ROW($C$2)+1),ROWS(L$20:L1044))))</f>
        <v>Iliana  Valerio</v>
      </c>
      <c r="I1044" s="4">
        <f t="array" ref="I1044">IF(ROWS(M$20:M1044)&gt;$F$6,"",INDEX(C$2:C$10000,SMALL(IF(ISNUMBER(MATCH($B$2:$B$10000,$E$6:$E$22,0)),ROW($C$2:$C$10000)-ROW($C$2)+1),ROWS(M$20:M1044))))</f>
        <v>23</v>
      </c>
      <c r="K1044" s="7">
        <f t="array" ref="K1044">IF(ROWS(K$20:K1044)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1044))))</f>
        <v>41786</v>
      </c>
      <c r="L1044" s="4" t="str">
        <f t="array" ref="L1044">IF(ROWS(L$20:L1044)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1044))))</f>
        <v>Iliana  Valerio</v>
      </c>
      <c r="M1044" s="4">
        <f t="array" ref="M1044">IF(ROWS(M$20:M1044)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1044))))</f>
        <v>23</v>
      </c>
    </row>
    <row r="1045" spans="1:13" x14ac:dyDescent="0.25">
      <c r="A1045" s="3">
        <v>41873</v>
      </c>
      <c r="B1045" s="2" t="s">
        <v>3</v>
      </c>
      <c r="C1045" s="2">
        <v>27</v>
      </c>
      <c r="G1045" s="7">
        <f t="array" ref="G1045">IF(ROWS(K$20:K1045)&gt;$F$6,"",INDEX(A$2:A$10000,SMALL(IF(ISNUMBER(MATCH($B$2:$B$10000,$E$6:$E$22,0)),ROW($C$2:$C$10000)-ROW($C$2)+1),ROWS(K$20:K1045))))</f>
        <v>41744</v>
      </c>
      <c r="H1045" s="4" t="str">
        <f t="array" ref="H1045">IF(ROWS(L$20:L1045)&gt;$F$6,"",INDEX(B$2:B$10000,SMALL(IF(ISNUMBER(MATCH($B$2:$B$10000,$E$6:$E$22,0)),ROW($C$2:$C$10000)-ROW($C$2)+1),ROWS(L$20:L1045))))</f>
        <v>Rosamond  Allard</v>
      </c>
      <c r="I1045" s="4">
        <f t="array" ref="I1045">IF(ROWS(M$20:M1045)&gt;$F$6,"",INDEX(C$2:C$10000,SMALL(IF(ISNUMBER(MATCH($B$2:$B$10000,$E$6:$E$22,0)),ROW($C$2:$C$10000)-ROW($C$2)+1),ROWS(M$20:M1045))))</f>
        <v>22</v>
      </c>
      <c r="K1045" s="7">
        <f t="array" ref="K1045">IF(ROWS(K$20:K1045)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1045))))</f>
        <v>41744</v>
      </c>
      <c r="L1045" s="4" t="str">
        <f t="array" ref="L1045">IF(ROWS(L$20:L1045)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1045))))</f>
        <v>Rosamond  Allard</v>
      </c>
      <c r="M1045" s="4">
        <f t="array" ref="M1045">IF(ROWS(M$20:M1045)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1045))))</f>
        <v>22</v>
      </c>
    </row>
    <row r="1046" spans="1:13" x14ac:dyDescent="0.25">
      <c r="A1046" s="3">
        <v>41459</v>
      </c>
      <c r="B1046" s="2" t="s">
        <v>8</v>
      </c>
      <c r="C1046" s="2">
        <v>30</v>
      </c>
      <c r="G1046" s="7">
        <f t="array" ref="G1046">IF(ROWS(K$20:K1046)&gt;$F$6,"",INDEX(A$2:A$10000,SMALL(IF(ISNUMBER(MATCH($B$2:$B$10000,$E$6:$E$22,0)),ROW($C$2:$C$10000)-ROW($C$2)+1),ROWS(K$20:K1046))))</f>
        <v>41527</v>
      </c>
      <c r="H1046" s="4" t="str">
        <f t="array" ref="H1046">IF(ROWS(L$20:L1046)&gt;$F$6,"",INDEX(B$2:B$10000,SMALL(IF(ISNUMBER(MATCH($B$2:$B$10000,$E$6:$E$22,0)),ROW($C$2:$C$10000)-ROW($C$2)+1),ROWS(L$20:L1046))))</f>
        <v>Galen  Barth</v>
      </c>
      <c r="I1046" s="4">
        <f t="array" ref="I1046">IF(ROWS(M$20:M1046)&gt;$F$6,"",INDEX(C$2:C$10000,SMALL(IF(ISNUMBER(MATCH($B$2:$B$10000,$E$6:$E$22,0)),ROW($C$2:$C$10000)-ROW($C$2)+1),ROWS(M$20:M1046))))</f>
        <v>28</v>
      </c>
      <c r="K1046" s="7">
        <f t="array" ref="K1046">IF(ROWS(K$20:K1046)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1046))))</f>
        <v>41527</v>
      </c>
      <c r="L1046" s="4" t="str">
        <f t="array" ref="L1046">IF(ROWS(L$20:L1046)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1046))))</f>
        <v>Galen  Barth</v>
      </c>
      <c r="M1046" s="4">
        <f t="array" ref="M1046">IF(ROWS(M$20:M1046)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1046))))</f>
        <v>28</v>
      </c>
    </row>
    <row r="1047" spans="1:13" x14ac:dyDescent="0.25">
      <c r="A1047" s="3">
        <v>41957</v>
      </c>
      <c r="B1047" s="2" t="s">
        <v>9</v>
      </c>
      <c r="C1047" s="2">
        <v>27</v>
      </c>
      <c r="G1047" s="7">
        <f t="array" ref="G1047">IF(ROWS(K$20:K1047)&gt;$F$6,"",INDEX(A$2:A$10000,SMALL(IF(ISNUMBER(MATCH($B$2:$B$10000,$E$6:$E$22,0)),ROW($C$2:$C$10000)-ROW($C$2)+1),ROWS(K$20:K1047))))</f>
        <v>41432</v>
      </c>
      <c r="H1047" s="4" t="str">
        <f t="array" ref="H1047">IF(ROWS(L$20:L1047)&gt;$F$6,"",INDEX(B$2:B$10000,SMALL(IF(ISNUMBER(MATCH($B$2:$B$10000,$E$6:$E$22,0)),ROW($C$2:$C$10000)-ROW($C$2)+1),ROWS(L$20:L1047))))</f>
        <v>Mickey  Bolduc</v>
      </c>
      <c r="I1047" s="4">
        <f t="array" ref="I1047">IF(ROWS(M$20:M1047)&gt;$F$6,"",INDEX(C$2:C$10000,SMALL(IF(ISNUMBER(MATCH($B$2:$B$10000,$E$6:$E$22,0)),ROW($C$2:$C$10000)-ROW($C$2)+1),ROWS(M$20:M1047))))</f>
        <v>24</v>
      </c>
      <c r="K1047" s="7">
        <f t="array" ref="K1047">IF(ROWS(K$20:K1047)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1047))))</f>
        <v>41432</v>
      </c>
      <c r="L1047" s="4" t="str">
        <f t="array" ref="L1047">IF(ROWS(L$20:L1047)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1047))))</f>
        <v>Mickey  Bolduc</v>
      </c>
      <c r="M1047" s="4">
        <f t="array" ref="M1047">IF(ROWS(M$20:M1047)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1047))))</f>
        <v>24</v>
      </c>
    </row>
    <row r="1048" spans="1:13" x14ac:dyDescent="0.25">
      <c r="A1048" s="3">
        <v>41532</v>
      </c>
      <c r="B1048" s="2" t="s">
        <v>20</v>
      </c>
      <c r="C1048" s="2">
        <v>27</v>
      </c>
      <c r="G1048" s="7">
        <f t="array" ref="G1048">IF(ROWS(K$20:K1048)&gt;$F$6,"",INDEX(A$2:A$10000,SMALL(IF(ISNUMBER(MATCH($B$2:$B$10000,$E$6:$E$22,0)),ROW($C$2:$C$10000)-ROW($C$2)+1),ROWS(K$20:K1048))))</f>
        <v>41536</v>
      </c>
      <c r="H1048" s="4" t="str">
        <f t="array" ref="H1048">IF(ROWS(L$20:L1048)&gt;$F$6,"",INDEX(B$2:B$10000,SMALL(IF(ISNUMBER(MATCH($B$2:$B$10000,$E$6:$E$22,0)),ROW($C$2:$C$10000)-ROW($C$2)+1),ROWS(L$20:L1048))))</f>
        <v>Iliana  Valerio</v>
      </c>
      <c r="I1048" s="4">
        <f t="array" ref="I1048">IF(ROWS(M$20:M1048)&gt;$F$6,"",INDEX(C$2:C$10000,SMALL(IF(ISNUMBER(MATCH($B$2:$B$10000,$E$6:$E$22,0)),ROW($C$2:$C$10000)-ROW($C$2)+1),ROWS(M$20:M1048))))</f>
        <v>9</v>
      </c>
      <c r="K1048" s="7">
        <f t="array" ref="K1048">IF(ROWS(K$20:K1048)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1048))))</f>
        <v>41536</v>
      </c>
      <c r="L1048" s="4" t="str">
        <f t="array" ref="L1048">IF(ROWS(L$20:L1048)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1048))))</f>
        <v>Iliana  Valerio</v>
      </c>
      <c r="M1048" s="4">
        <f t="array" ref="M1048">IF(ROWS(M$20:M1048)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1048))))</f>
        <v>9</v>
      </c>
    </row>
    <row r="1049" spans="1:13" x14ac:dyDescent="0.25">
      <c r="A1049" s="3">
        <v>41798</v>
      </c>
      <c r="B1049" s="2" t="s">
        <v>26</v>
      </c>
      <c r="C1049" s="2">
        <v>15</v>
      </c>
      <c r="G1049" s="7">
        <f t="array" ref="G1049">IF(ROWS(K$20:K1049)&gt;$F$6,"",INDEX(A$2:A$10000,SMALL(IF(ISNUMBER(MATCH($B$2:$B$10000,$E$6:$E$22,0)),ROW($C$2:$C$10000)-ROW($C$2)+1),ROWS(K$20:K1049))))</f>
        <v>41521</v>
      </c>
      <c r="H1049" s="4" t="str">
        <f t="array" ref="H1049">IF(ROWS(L$20:L1049)&gt;$F$6,"",INDEX(B$2:B$10000,SMALL(IF(ISNUMBER(MATCH($B$2:$B$10000,$E$6:$E$22,0)),ROW($C$2:$C$10000)-ROW($C$2)+1),ROWS(L$20:L1049))))</f>
        <v>Kerrie  Worrell</v>
      </c>
      <c r="I1049" s="4">
        <f t="array" ref="I1049">IF(ROWS(M$20:M1049)&gt;$F$6,"",INDEX(C$2:C$10000,SMALL(IF(ISNUMBER(MATCH($B$2:$B$10000,$E$6:$E$22,0)),ROW($C$2:$C$10000)-ROW($C$2)+1),ROWS(M$20:M1049))))</f>
        <v>35</v>
      </c>
      <c r="K1049" s="7">
        <f t="array" ref="K1049">IF(ROWS(K$20:K1049)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1049))))</f>
        <v>41521</v>
      </c>
      <c r="L1049" s="4" t="str">
        <f t="array" ref="L1049">IF(ROWS(L$20:L1049)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1049))))</f>
        <v>Kerrie  Worrell</v>
      </c>
      <c r="M1049" s="4">
        <f t="array" ref="M1049">IF(ROWS(M$20:M1049)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1049))))</f>
        <v>35</v>
      </c>
    </row>
    <row r="1050" spans="1:13" x14ac:dyDescent="0.25">
      <c r="A1050" s="3">
        <v>41941</v>
      </c>
      <c r="B1050" s="2" t="s">
        <v>12</v>
      </c>
      <c r="C1050" s="2">
        <v>25</v>
      </c>
      <c r="G1050" s="7">
        <f t="array" ref="G1050">IF(ROWS(K$20:K1050)&gt;$F$6,"",INDEX(A$2:A$10000,SMALL(IF(ISNUMBER(MATCH($B$2:$B$10000,$E$6:$E$22,0)),ROW($C$2:$C$10000)-ROW($C$2)+1),ROWS(K$20:K1050))))</f>
        <v>41468</v>
      </c>
      <c r="H1050" s="4" t="str">
        <f t="array" ref="H1050">IF(ROWS(L$20:L1050)&gt;$F$6,"",INDEX(B$2:B$10000,SMALL(IF(ISNUMBER(MATCH($B$2:$B$10000,$E$6:$E$22,0)),ROW($C$2:$C$10000)-ROW($C$2)+1),ROWS(L$20:L1050))))</f>
        <v>Rosamond  Allard</v>
      </c>
      <c r="I1050" s="4">
        <f t="array" ref="I1050">IF(ROWS(M$20:M1050)&gt;$F$6,"",INDEX(C$2:C$10000,SMALL(IF(ISNUMBER(MATCH($B$2:$B$10000,$E$6:$E$22,0)),ROW($C$2:$C$10000)-ROW($C$2)+1),ROWS(M$20:M1050))))</f>
        <v>24</v>
      </c>
      <c r="K1050" s="7">
        <f t="array" ref="K1050">IF(ROWS(K$20:K1050)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1050))))</f>
        <v>41468</v>
      </c>
      <c r="L1050" s="4" t="str">
        <f t="array" ref="L1050">IF(ROWS(L$20:L1050)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1050))))</f>
        <v>Rosamond  Allard</v>
      </c>
      <c r="M1050" s="4">
        <f t="array" ref="M1050">IF(ROWS(M$20:M1050)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1050))))</f>
        <v>24</v>
      </c>
    </row>
    <row r="1051" spans="1:13" x14ac:dyDescent="0.25">
      <c r="A1051" s="3">
        <v>41589</v>
      </c>
      <c r="B1051" s="2" t="s">
        <v>25</v>
      </c>
      <c r="C1051" s="2">
        <v>11</v>
      </c>
      <c r="G1051" s="7">
        <f t="array" ref="G1051">IF(ROWS(K$20:K1051)&gt;$F$6,"",INDEX(A$2:A$10000,SMALL(IF(ISNUMBER(MATCH($B$2:$B$10000,$E$6:$E$22,0)),ROW($C$2:$C$10000)-ROW($C$2)+1),ROWS(K$20:K1051))))</f>
        <v>41656</v>
      </c>
      <c r="H1051" s="4" t="str">
        <f t="array" ref="H1051">IF(ROWS(L$20:L1051)&gt;$F$6,"",INDEX(B$2:B$10000,SMALL(IF(ISNUMBER(MATCH($B$2:$B$10000,$E$6:$E$22,0)),ROW($C$2:$C$10000)-ROW($C$2)+1),ROWS(L$20:L1051))))</f>
        <v>Rosamond  Allard</v>
      </c>
      <c r="I1051" s="4">
        <f t="array" ref="I1051">IF(ROWS(M$20:M1051)&gt;$F$6,"",INDEX(C$2:C$10000,SMALL(IF(ISNUMBER(MATCH($B$2:$B$10000,$E$6:$E$22,0)),ROW($C$2:$C$10000)-ROW($C$2)+1),ROWS(M$20:M1051))))</f>
        <v>31</v>
      </c>
      <c r="K1051" s="7">
        <f t="array" ref="K1051">IF(ROWS(K$20:K1051)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1051))))</f>
        <v>41656</v>
      </c>
      <c r="L1051" s="4" t="str">
        <f t="array" ref="L1051">IF(ROWS(L$20:L1051)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1051))))</f>
        <v>Rosamond  Allard</v>
      </c>
      <c r="M1051" s="4">
        <f t="array" ref="M1051">IF(ROWS(M$20:M1051)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1051))))</f>
        <v>31</v>
      </c>
    </row>
    <row r="1052" spans="1:13" x14ac:dyDescent="0.25">
      <c r="A1052" s="3">
        <v>41814</v>
      </c>
      <c r="B1052" s="2" t="s">
        <v>9</v>
      </c>
      <c r="C1052" s="2">
        <v>47</v>
      </c>
      <c r="G1052" s="7">
        <f t="array" ref="G1052">IF(ROWS(K$20:K1052)&gt;$F$6,"",INDEX(A$2:A$10000,SMALL(IF(ISNUMBER(MATCH($B$2:$B$10000,$E$6:$E$22,0)),ROW($C$2:$C$10000)-ROW($C$2)+1),ROWS(K$20:K1052))))</f>
        <v>41942</v>
      </c>
      <c r="H1052" s="4" t="str">
        <f t="array" ref="H1052">IF(ROWS(L$20:L1052)&gt;$F$6,"",INDEX(B$2:B$10000,SMALL(IF(ISNUMBER(MATCH($B$2:$B$10000,$E$6:$E$22,0)),ROW($C$2:$C$10000)-ROW($C$2)+1),ROWS(L$20:L1052))))</f>
        <v>Mickey  Bolduc</v>
      </c>
      <c r="I1052" s="4">
        <f t="array" ref="I1052">IF(ROWS(M$20:M1052)&gt;$F$6,"",INDEX(C$2:C$10000,SMALL(IF(ISNUMBER(MATCH($B$2:$B$10000,$E$6:$E$22,0)),ROW($C$2:$C$10000)-ROW($C$2)+1),ROWS(M$20:M1052))))</f>
        <v>46</v>
      </c>
      <c r="K1052" s="7">
        <f t="array" ref="K1052">IF(ROWS(K$20:K1052)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1052))))</f>
        <v>41942</v>
      </c>
      <c r="L1052" s="4" t="str">
        <f t="array" ref="L1052">IF(ROWS(L$20:L1052)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1052))))</f>
        <v>Mickey  Bolduc</v>
      </c>
      <c r="M1052" s="4">
        <f t="array" ref="M1052">IF(ROWS(M$20:M1052)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1052))))</f>
        <v>46</v>
      </c>
    </row>
    <row r="1053" spans="1:13" x14ac:dyDescent="0.25">
      <c r="A1053" s="3">
        <v>41527</v>
      </c>
      <c r="B1053" s="2" t="s">
        <v>27</v>
      </c>
      <c r="C1053" s="2">
        <v>36</v>
      </c>
      <c r="G1053" s="7">
        <f t="array" ref="G1053">IF(ROWS(K$20:K1053)&gt;$F$6,"",INDEX(A$2:A$10000,SMALL(IF(ISNUMBER(MATCH($B$2:$B$10000,$E$6:$E$22,0)),ROW($C$2:$C$10000)-ROW($C$2)+1),ROWS(K$20:K1053))))</f>
        <v>41653</v>
      </c>
      <c r="H1053" s="4" t="str">
        <f t="array" ref="H1053">IF(ROWS(L$20:L1053)&gt;$F$6,"",INDEX(B$2:B$10000,SMALL(IF(ISNUMBER(MATCH($B$2:$B$10000,$E$6:$E$22,0)),ROW($C$2:$C$10000)-ROW($C$2)+1),ROWS(L$20:L1053))))</f>
        <v>Mickey  Bolduc</v>
      </c>
      <c r="I1053" s="4">
        <f t="array" ref="I1053">IF(ROWS(M$20:M1053)&gt;$F$6,"",INDEX(C$2:C$10000,SMALL(IF(ISNUMBER(MATCH($B$2:$B$10000,$E$6:$E$22,0)),ROW($C$2:$C$10000)-ROW($C$2)+1),ROWS(M$20:M1053))))</f>
        <v>2</v>
      </c>
      <c r="K1053" s="7">
        <f t="array" ref="K1053">IF(ROWS(K$20:K1053)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1053))))</f>
        <v>41653</v>
      </c>
      <c r="L1053" s="4" t="str">
        <f t="array" ref="L1053">IF(ROWS(L$20:L1053)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1053))))</f>
        <v>Mickey  Bolduc</v>
      </c>
      <c r="M1053" s="4">
        <f t="array" ref="M1053">IF(ROWS(M$20:M1053)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1053))))</f>
        <v>2</v>
      </c>
    </row>
    <row r="1054" spans="1:13" x14ac:dyDescent="0.25">
      <c r="A1054" s="3">
        <v>41283</v>
      </c>
      <c r="B1054" s="2" t="s">
        <v>18</v>
      </c>
      <c r="C1054" s="2">
        <v>20</v>
      </c>
      <c r="G1054" s="7">
        <f t="array" ref="G1054">IF(ROWS(K$20:K1054)&gt;$F$6,"",INDEX(A$2:A$10000,SMALL(IF(ISNUMBER(MATCH($B$2:$B$10000,$E$6:$E$22,0)),ROW($C$2:$C$10000)-ROW($C$2)+1),ROWS(K$20:K1054))))</f>
        <v>41752</v>
      </c>
      <c r="H1054" s="4" t="str">
        <f t="array" ref="H1054">IF(ROWS(L$20:L1054)&gt;$F$6,"",INDEX(B$2:B$10000,SMALL(IF(ISNUMBER(MATCH($B$2:$B$10000,$E$6:$E$22,0)),ROW($C$2:$C$10000)-ROW($C$2)+1),ROWS(L$20:L1054))))</f>
        <v>Mickey  Bolduc</v>
      </c>
      <c r="I1054" s="4">
        <f t="array" ref="I1054">IF(ROWS(M$20:M1054)&gt;$F$6,"",INDEX(C$2:C$10000,SMALL(IF(ISNUMBER(MATCH($B$2:$B$10000,$E$6:$E$22,0)),ROW($C$2:$C$10000)-ROW($C$2)+1),ROWS(M$20:M1054))))</f>
        <v>26</v>
      </c>
      <c r="K1054" s="7">
        <f t="array" ref="K1054">IF(ROWS(K$20:K1054)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1054))))</f>
        <v>41752</v>
      </c>
      <c r="L1054" s="4" t="str">
        <f t="array" ref="L1054">IF(ROWS(L$20:L1054)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1054))))</f>
        <v>Mickey  Bolduc</v>
      </c>
      <c r="M1054" s="4">
        <f t="array" ref="M1054">IF(ROWS(M$20:M1054)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1054))))</f>
        <v>26</v>
      </c>
    </row>
    <row r="1055" spans="1:13" x14ac:dyDescent="0.25">
      <c r="A1055" s="3">
        <v>41805</v>
      </c>
      <c r="B1055" s="2" t="s">
        <v>51</v>
      </c>
      <c r="C1055" s="2">
        <v>28</v>
      </c>
      <c r="G1055" s="7">
        <f t="array" ref="G1055">IF(ROWS(K$20:K1055)&gt;$F$6,"",INDEX(A$2:A$10000,SMALL(IF(ISNUMBER(MATCH($B$2:$B$10000,$E$6:$E$22,0)),ROW($C$2:$C$10000)-ROW($C$2)+1),ROWS(K$20:K1055))))</f>
        <v>41787</v>
      </c>
      <c r="H1055" s="4" t="str">
        <f t="array" ref="H1055">IF(ROWS(L$20:L1055)&gt;$F$6,"",INDEX(B$2:B$10000,SMALL(IF(ISNUMBER(MATCH($B$2:$B$10000,$E$6:$E$22,0)),ROW($C$2:$C$10000)-ROW($C$2)+1),ROWS(L$20:L1055))))</f>
        <v>Kerrie  Worrell</v>
      </c>
      <c r="I1055" s="4">
        <f t="array" ref="I1055">IF(ROWS(M$20:M1055)&gt;$F$6,"",INDEX(C$2:C$10000,SMALL(IF(ISNUMBER(MATCH($B$2:$B$10000,$E$6:$E$22,0)),ROW($C$2:$C$10000)-ROW($C$2)+1),ROWS(M$20:M1055))))</f>
        <v>27</v>
      </c>
      <c r="K1055" s="7">
        <f t="array" ref="K1055">IF(ROWS(K$20:K1055)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1055))))</f>
        <v>41787</v>
      </c>
      <c r="L1055" s="4" t="str">
        <f t="array" ref="L1055">IF(ROWS(L$20:L1055)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1055))))</f>
        <v>Kerrie  Worrell</v>
      </c>
      <c r="M1055" s="4">
        <f t="array" ref="M1055">IF(ROWS(M$20:M1055)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1055))))</f>
        <v>27</v>
      </c>
    </row>
    <row r="1056" spans="1:13" x14ac:dyDescent="0.25">
      <c r="A1056" s="3">
        <v>41323</v>
      </c>
      <c r="B1056" s="2" t="s">
        <v>15</v>
      </c>
      <c r="C1056" s="2">
        <v>34</v>
      </c>
      <c r="G1056" s="7">
        <f t="array" ref="G1056">IF(ROWS(K$20:K1056)&gt;$F$6,"",INDEX(A$2:A$10000,SMALL(IF(ISNUMBER(MATCH($B$2:$B$10000,$E$6:$E$22,0)),ROW($C$2:$C$10000)-ROW($C$2)+1),ROWS(K$20:K1056))))</f>
        <v>41472</v>
      </c>
      <c r="H1056" s="4" t="str">
        <f t="array" ref="H1056">IF(ROWS(L$20:L1056)&gt;$F$6,"",INDEX(B$2:B$10000,SMALL(IF(ISNUMBER(MATCH($B$2:$B$10000,$E$6:$E$22,0)),ROW($C$2:$C$10000)-ROW($C$2)+1),ROWS(L$20:L1056))))</f>
        <v>Jenni  Thorton</v>
      </c>
      <c r="I1056" s="4">
        <f t="array" ref="I1056">IF(ROWS(M$20:M1056)&gt;$F$6,"",INDEX(C$2:C$10000,SMALL(IF(ISNUMBER(MATCH($B$2:$B$10000,$E$6:$E$22,0)),ROW($C$2:$C$10000)-ROW($C$2)+1),ROWS(M$20:M1056))))</f>
        <v>38</v>
      </c>
      <c r="K1056" s="7">
        <f t="array" ref="K1056">IF(ROWS(K$20:K1056)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1056))))</f>
        <v>41472</v>
      </c>
      <c r="L1056" s="4" t="str">
        <f t="array" ref="L1056">IF(ROWS(L$20:L1056)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1056))))</f>
        <v>Jenni  Thorton</v>
      </c>
      <c r="M1056" s="4">
        <f t="array" ref="M1056">IF(ROWS(M$20:M1056)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1056))))</f>
        <v>38</v>
      </c>
    </row>
    <row r="1057" spans="1:13" x14ac:dyDescent="0.25">
      <c r="A1057" s="3">
        <v>41388</v>
      </c>
      <c r="B1057" s="2" t="s">
        <v>24</v>
      </c>
      <c r="C1057" s="2">
        <v>10</v>
      </c>
      <c r="G1057" s="7">
        <f t="array" ref="G1057">IF(ROWS(K$20:K1057)&gt;$F$6,"",INDEX(A$2:A$10000,SMALL(IF(ISNUMBER(MATCH($B$2:$B$10000,$E$6:$E$22,0)),ROW($C$2:$C$10000)-ROW($C$2)+1),ROWS(K$20:K1057))))</f>
        <v>41516</v>
      </c>
      <c r="H1057" s="4" t="str">
        <f t="array" ref="H1057">IF(ROWS(L$20:L1057)&gt;$F$6,"",INDEX(B$2:B$10000,SMALL(IF(ISNUMBER(MATCH($B$2:$B$10000,$E$6:$E$22,0)),ROW($C$2:$C$10000)-ROW($C$2)+1),ROWS(L$20:L1057))))</f>
        <v>Iliana  Valerio</v>
      </c>
      <c r="I1057" s="4">
        <f t="array" ref="I1057">IF(ROWS(M$20:M1057)&gt;$F$6,"",INDEX(C$2:C$10000,SMALL(IF(ISNUMBER(MATCH($B$2:$B$10000,$E$6:$E$22,0)),ROW($C$2:$C$10000)-ROW($C$2)+1),ROWS(M$20:M1057))))</f>
        <v>9</v>
      </c>
      <c r="K1057" s="7">
        <f t="array" ref="K1057">IF(ROWS(K$20:K1057)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1057))))</f>
        <v>41516</v>
      </c>
      <c r="L1057" s="4" t="str">
        <f t="array" ref="L1057">IF(ROWS(L$20:L1057)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1057))))</f>
        <v>Iliana  Valerio</v>
      </c>
      <c r="M1057" s="4">
        <f t="array" ref="M1057">IF(ROWS(M$20:M1057)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1057))))</f>
        <v>9</v>
      </c>
    </row>
    <row r="1058" spans="1:13" x14ac:dyDescent="0.25">
      <c r="A1058" s="3">
        <v>41579</v>
      </c>
      <c r="B1058" s="2" t="s">
        <v>51</v>
      </c>
      <c r="C1058" s="2">
        <v>6</v>
      </c>
      <c r="G1058" s="7">
        <f t="array" ref="G1058">IF(ROWS(K$20:K1058)&gt;$F$6,"",INDEX(A$2:A$10000,SMALL(IF(ISNUMBER(MATCH($B$2:$B$10000,$E$6:$E$22,0)),ROW($C$2:$C$10000)-ROW($C$2)+1),ROWS(K$20:K1058))))</f>
        <v>41478</v>
      </c>
      <c r="H1058" s="4" t="str">
        <f t="array" ref="H1058">IF(ROWS(L$20:L1058)&gt;$F$6,"",INDEX(B$2:B$10000,SMALL(IF(ISNUMBER(MATCH($B$2:$B$10000,$E$6:$E$22,0)),ROW($C$2:$C$10000)-ROW($C$2)+1),ROWS(L$20:L1058))))</f>
        <v>Galen  Barth</v>
      </c>
      <c r="I1058" s="4">
        <f t="array" ref="I1058">IF(ROWS(M$20:M1058)&gt;$F$6,"",INDEX(C$2:C$10000,SMALL(IF(ISNUMBER(MATCH($B$2:$B$10000,$E$6:$E$22,0)),ROW($C$2:$C$10000)-ROW($C$2)+1),ROWS(M$20:M1058))))</f>
        <v>11</v>
      </c>
      <c r="K1058" s="7">
        <f t="array" ref="K1058">IF(ROWS(K$20:K1058)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1058))))</f>
        <v>41478</v>
      </c>
      <c r="L1058" s="4" t="str">
        <f t="array" ref="L1058">IF(ROWS(L$20:L1058)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1058))))</f>
        <v>Galen  Barth</v>
      </c>
      <c r="M1058" s="4">
        <f t="array" ref="M1058">IF(ROWS(M$20:M1058)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1058))))</f>
        <v>11</v>
      </c>
    </row>
    <row r="1059" spans="1:13" x14ac:dyDescent="0.25">
      <c r="A1059" s="3">
        <v>41846</v>
      </c>
      <c r="B1059" s="2" t="s">
        <v>33</v>
      </c>
      <c r="C1059" s="2">
        <v>7</v>
      </c>
      <c r="G1059" s="7">
        <f t="array" ref="G1059">IF(ROWS(K$20:K1059)&gt;$F$6,"",INDEX(A$2:A$10000,SMALL(IF(ISNUMBER(MATCH($B$2:$B$10000,$E$6:$E$22,0)),ROW($C$2:$C$10000)-ROW($C$2)+1),ROWS(K$20:K1059))))</f>
        <v>41356</v>
      </c>
      <c r="H1059" s="4" t="str">
        <f t="array" ref="H1059">IF(ROWS(L$20:L1059)&gt;$F$6,"",INDEX(B$2:B$10000,SMALL(IF(ISNUMBER(MATCH($B$2:$B$10000,$E$6:$E$22,0)),ROW($C$2:$C$10000)-ROW($C$2)+1),ROWS(L$20:L1059))))</f>
        <v>Kerrie  Worrell</v>
      </c>
      <c r="I1059" s="4">
        <f t="array" ref="I1059">IF(ROWS(M$20:M1059)&gt;$F$6,"",INDEX(C$2:C$10000,SMALL(IF(ISNUMBER(MATCH($B$2:$B$10000,$E$6:$E$22,0)),ROW($C$2:$C$10000)-ROW($C$2)+1),ROWS(M$20:M1059))))</f>
        <v>28</v>
      </c>
      <c r="K1059" s="7">
        <f t="array" ref="K1059">IF(ROWS(K$20:K1059)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1059))))</f>
        <v>41356</v>
      </c>
      <c r="L1059" s="4" t="str">
        <f t="array" ref="L1059">IF(ROWS(L$20:L1059)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1059))))</f>
        <v>Kerrie  Worrell</v>
      </c>
      <c r="M1059" s="4">
        <f t="array" ref="M1059">IF(ROWS(M$20:M1059)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1059))))</f>
        <v>28</v>
      </c>
    </row>
    <row r="1060" spans="1:13" x14ac:dyDescent="0.25">
      <c r="A1060" s="3">
        <v>41904</v>
      </c>
      <c r="B1060" s="2" t="s">
        <v>9</v>
      </c>
      <c r="C1060" s="2">
        <v>27</v>
      </c>
      <c r="G1060" s="7">
        <f t="array" ref="G1060">IF(ROWS(K$20:K1060)&gt;$F$6,"",INDEX(A$2:A$10000,SMALL(IF(ISNUMBER(MATCH($B$2:$B$10000,$E$6:$E$22,0)),ROW($C$2:$C$10000)-ROW($C$2)+1),ROWS(K$20:K1060))))</f>
        <v>41459</v>
      </c>
      <c r="H1060" s="4" t="str">
        <f t="array" ref="H1060">IF(ROWS(L$20:L1060)&gt;$F$6,"",INDEX(B$2:B$10000,SMALL(IF(ISNUMBER(MATCH($B$2:$B$10000,$E$6:$E$22,0)),ROW($C$2:$C$10000)-ROW($C$2)+1),ROWS(L$20:L1060))))</f>
        <v>Galen  Barth</v>
      </c>
      <c r="I1060" s="4">
        <f t="array" ref="I1060">IF(ROWS(M$20:M1060)&gt;$F$6,"",INDEX(C$2:C$10000,SMALL(IF(ISNUMBER(MATCH($B$2:$B$10000,$E$6:$E$22,0)),ROW($C$2:$C$10000)-ROW($C$2)+1),ROWS(M$20:M1060))))</f>
        <v>4</v>
      </c>
      <c r="K1060" s="7">
        <f t="array" ref="K1060">IF(ROWS(K$20:K1060)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1060))))</f>
        <v>41459</v>
      </c>
      <c r="L1060" s="4" t="str">
        <f t="array" ref="L1060">IF(ROWS(L$20:L1060)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1060))))</f>
        <v>Galen  Barth</v>
      </c>
      <c r="M1060" s="4">
        <f t="array" ref="M1060">IF(ROWS(M$20:M1060)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1060))))</f>
        <v>4</v>
      </c>
    </row>
    <row r="1061" spans="1:13" x14ac:dyDescent="0.25">
      <c r="A1061" s="3">
        <v>41402</v>
      </c>
      <c r="B1061" s="2" t="s">
        <v>23</v>
      </c>
      <c r="C1061" s="2">
        <v>4</v>
      </c>
      <c r="G1061" s="7">
        <f t="array" ref="G1061">IF(ROWS(K$20:K1061)&gt;$F$6,"",INDEX(A$2:A$10000,SMALL(IF(ISNUMBER(MATCH($B$2:$B$10000,$E$6:$E$22,0)),ROW($C$2:$C$10000)-ROW($C$2)+1),ROWS(K$20:K1061))))</f>
        <v>41975</v>
      </c>
      <c r="H1061" s="4" t="str">
        <f t="array" ref="H1061">IF(ROWS(L$20:L1061)&gt;$F$6,"",INDEX(B$2:B$10000,SMALL(IF(ISNUMBER(MATCH($B$2:$B$10000,$E$6:$E$22,0)),ROW($C$2:$C$10000)-ROW($C$2)+1),ROWS(L$20:L1061))))</f>
        <v>Mickey  Bolduc</v>
      </c>
      <c r="I1061" s="4">
        <f t="array" ref="I1061">IF(ROWS(M$20:M1061)&gt;$F$6,"",INDEX(C$2:C$10000,SMALL(IF(ISNUMBER(MATCH($B$2:$B$10000,$E$6:$E$22,0)),ROW($C$2:$C$10000)-ROW($C$2)+1),ROWS(M$20:M1061))))</f>
        <v>27</v>
      </c>
      <c r="K1061" s="7">
        <f t="array" ref="K1061">IF(ROWS(K$20:K1061)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1061))))</f>
        <v>41975</v>
      </c>
      <c r="L1061" s="4" t="str">
        <f t="array" ref="L1061">IF(ROWS(L$20:L1061)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1061))))</f>
        <v>Mickey  Bolduc</v>
      </c>
      <c r="M1061" s="4">
        <f t="array" ref="M1061">IF(ROWS(M$20:M1061)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1061))))</f>
        <v>27</v>
      </c>
    </row>
    <row r="1062" spans="1:13" x14ac:dyDescent="0.25">
      <c r="A1062" s="3">
        <v>41933</v>
      </c>
      <c r="B1062" s="2" t="s">
        <v>11</v>
      </c>
      <c r="C1062" s="2">
        <v>22</v>
      </c>
      <c r="G1062" s="7">
        <f t="array" ref="G1062">IF(ROWS(K$20:K1062)&gt;$F$6,"",INDEX(A$2:A$10000,SMALL(IF(ISNUMBER(MATCH($B$2:$B$10000,$E$6:$E$22,0)),ROW($C$2:$C$10000)-ROW($C$2)+1),ROWS(K$20:K1062))))</f>
        <v>41646</v>
      </c>
      <c r="H1062" s="4" t="str">
        <f t="array" ref="H1062">IF(ROWS(L$20:L1062)&gt;$F$6,"",INDEX(B$2:B$10000,SMALL(IF(ISNUMBER(MATCH($B$2:$B$10000,$E$6:$E$22,0)),ROW($C$2:$C$10000)-ROW($C$2)+1),ROWS(L$20:L1062))))</f>
        <v>Kerrie  Worrell</v>
      </c>
      <c r="I1062" s="4">
        <f t="array" ref="I1062">IF(ROWS(M$20:M1062)&gt;$F$6,"",INDEX(C$2:C$10000,SMALL(IF(ISNUMBER(MATCH($B$2:$B$10000,$E$6:$E$22,0)),ROW($C$2:$C$10000)-ROW($C$2)+1),ROWS(M$20:M1062))))</f>
        <v>41</v>
      </c>
      <c r="K1062" s="7">
        <f t="array" ref="K1062">IF(ROWS(K$20:K1062)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1062))))</f>
        <v>41646</v>
      </c>
      <c r="L1062" s="4" t="str">
        <f t="array" ref="L1062">IF(ROWS(L$20:L1062)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1062))))</f>
        <v>Kerrie  Worrell</v>
      </c>
      <c r="M1062" s="4">
        <f t="array" ref="M1062">IF(ROWS(M$20:M1062)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1062))))</f>
        <v>41</v>
      </c>
    </row>
    <row r="1063" spans="1:13" x14ac:dyDescent="0.25">
      <c r="A1063" s="3">
        <v>41551</v>
      </c>
      <c r="B1063" s="2" t="s">
        <v>41</v>
      </c>
      <c r="C1063" s="2">
        <v>32</v>
      </c>
      <c r="G1063" s="7">
        <f t="array" ref="G1063">IF(ROWS(K$20:K1063)&gt;$F$6,"",INDEX(A$2:A$10000,SMALL(IF(ISNUMBER(MATCH($B$2:$B$10000,$E$6:$E$22,0)),ROW($C$2:$C$10000)-ROW($C$2)+1),ROWS(K$20:K1063))))</f>
        <v>41799</v>
      </c>
      <c r="H1063" s="4" t="str">
        <f t="array" ref="H1063">IF(ROWS(L$20:L1063)&gt;$F$6,"",INDEX(B$2:B$10000,SMALL(IF(ISNUMBER(MATCH($B$2:$B$10000,$E$6:$E$22,0)),ROW($C$2:$C$10000)-ROW($C$2)+1),ROWS(L$20:L1063))))</f>
        <v>Rosamond  Allard</v>
      </c>
      <c r="I1063" s="4">
        <f t="array" ref="I1063">IF(ROWS(M$20:M1063)&gt;$F$6,"",INDEX(C$2:C$10000,SMALL(IF(ISNUMBER(MATCH($B$2:$B$10000,$E$6:$E$22,0)),ROW($C$2:$C$10000)-ROW($C$2)+1),ROWS(M$20:M1063))))</f>
        <v>6</v>
      </c>
      <c r="K1063" s="7">
        <f t="array" ref="K1063">IF(ROWS(K$20:K1063)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1063))))</f>
        <v>41799</v>
      </c>
      <c r="L1063" s="4" t="str">
        <f t="array" ref="L1063">IF(ROWS(L$20:L1063)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1063))))</f>
        <v>Rosamond  Allard</v>
      </c>
      <c r="M1063" s="4">
        <f t="array" ref="M1063">IF(ROWS(M$20:M1063)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1063))))</f>
        <v>6</v>
      </c>
    </row>
    <row r="1064" spans="1:13" x14ac:dyDescent="0.25">
      <c r="A1064" s="3">
        <v>41374</v>
      </c>
      <c r="B1064" s="2" t="s">
        <v>46</v>
      </c>
      <c r="C1064" s="2">
        <v>20</v>
      </c>
      <c r="G1064" s="7">
        <f t="array" ref="G1064">IF(ROWS(K$20:K1064)&gt;$F$6,"",INDEX(A$2:A$10000,SMALL(IF(ISNUMBER(MATCH($B$2:$B$10000,$E$6:$E$22,0)),ROW($C$2:$C$10000)-ROW($C$2)+1),ROWS(K$20:K1064))))</f>
        <v>41913</v>
      </c>
      <c r="H1064" s="4" t="str">
        <f t="array" ref="H1064">IF(ROWS(L$20:L1064)&gt;$F$6,"",INDEX(B$2:B$10000,SMALL(IF(ISNUMBER(MATCH($B$2:$B$10000,$E$6:$E$22,0)),ROW($C$2:$C$10000)-ROW($C$2)+1),ROWS(L$20:L1064))))</f>
        <v>Iliana  Valerio</v>
      </c>
      <c r="I1064" s="4">
        <f t="array" ref="I1064">IF(ROWS(M$20:M1064)&gt;$F$6,"",INDEX(C$2:C$10000,SMALL(IF(ISNUMBER(MATCH($B$2:$B$10000,$E$6:$E$22,0)),ROW($C$2:$C$10000)-ROW($C$2)+1),ROWS(M$20:M1064))))</f>
        <v>16</v>
      </c>
      <c r="K1064" s="7">
        <f t="array" ref="K1064">IF(ROWS(K$20:K1064)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1064))))</f>
        <v>41913</v>
      </c>
      <c r="L1064" s="4" t="str">
        <f t="array" ref="L1064">IF(ROWS(L$20:L1064)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1064))))</f>
        <v>Iliana  Valerio</v>
      </c>
      <c r="M1064" s="4">
        <f t="array" ref="M1064">IF(ROWS(M$20:M1064)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1064))))</f>
        <v>16</v>
      </c>
    </row>
    <row r="1065" spans="1:13" x14ac:dyDescent="0.25">
      <c r="A1065" s="3">
        <v>41938</v>
      </c>
      <c r="B1065" s="2" t="s">
        <v>20</v>
      </c>
      <c r="C1065" s="2">
        <v>33</v>
      </c>
      <c r="G1065" s="7">
        <f t="array" ref="G1065">IF(ROWS(K$20:K1065)&gt;$F$6,"",INDEX(A$2:A$10000,SMALL(IF(ISNUMBER(MATCH($B$2:$B$10000,$E$6:$E$22,0)),ROW($C$2:$C$10000)-ROW($C$2)+1),ROWS(K$20:K1065))))</f>
        <v>41491</v>
      </c>
      <c r="H1065" s="4" t="str">
        <f t="array" ref="H1065">IF(ROWS(L$20:L1065)&gt;$F$6,"",INDEX(B$2:B$10000,SMALL(IF(ISNUMBER(MATCH($B$2:$B$10000,$E$6:$E$22,0)),ROW($C$2:$C$10000)-ROW($C$2)+1),ROWS(L$20:L1065))))</f>
        <v>Iliana  Valerio</v>
      </c>
      <c r="I1065" s="4">
        <f t="array" ref="I1065">IF(ROWS(M$20:M1065)&gt;$F$6,"",INDEX(C$2:C$10000,SMALL(IF(ISNUMBER(MATCH($B$2:$B$10000,$E$6:$E$22,0)),ROW($C$2:$C$10000)-ROW($C$2)+1),ROWS(M$20:M1065))))</f>
        <v>32</v>
      </c>
      <c r="K1065" s="7">
        <f t="array" ref="K1065">IF(ROWS(K$20:K1065)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1065))))</f>
        <v>41491</v>
      </c>
      <c r="L1065" s="4" t="str">
        <f t="array" ref="L1065">IF(ROWS(L$20:L1065)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1065))))</f>
        <v>Iliana  Valerio</v>
      </c>
      <c r="M1065" s="4">
        <f t="array" ref="M1065">IF(ROWS(M$20:M1065)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1065))))</f>
        <v>32</v>
      </c>
    </row>
    <row r="1066" spans="1:13" x14ac:dyDescent="0.25">
      <c r="A1066" s="3">
        <v>41752</v>
      </c>
      <c r="B1066" s="2" t="s">
        <v>49</v>
      </c>
      <c r="C1066" s="2">
        <v>15</v>
      </c>
      <c r="G1066" s="7">
        <f t="array" ref="G1066">IF(ROWS(K$20:K1066)&gt;$F$6,"",INDEX(A$2:A$10000,SMALL(IF(ISNUMBER(MATCH($B$2:$B$10000,$E$6:$E$22,0)),ROW($C$2:$C$10000)-ROW($C$2)+1),ROWS(K$20:K1066))))</f>
        <v>41938</v>
      </c>
      <c r="H1066" s="4" t="str">
        <f t="array" ref="H1066">IF(ROWS(L$20:L1066)&gt;$F$6,"",INDEX(B$2:B$10000,SMALL(IF(ISNUMBER(MATCH($B$2:$B$10000,$E$6:$E$22,0)),ROW($C$2:$C$10000)-ROW($C$2)+1),ROWS(L$20:L1066))))</f>
        <v>Mickey  Bolduc</v>
      </c>
      <c r="I1066" s="4">
        <f t="array" ref="I1066">IF(ROWS(M$20:M1066)&gt;$F$6,"",INDEX(C$2:C$10000,SMALL(IF(ISNUMBER(MATCH($B$2:$B$10000,$E$6:$E$22,0)),ROW($C$2:$C$10000)-ROW($C$2)+1),ROWS(M$20:M1066))))</f>
        <v>6</v>
      </c>
      <c r="K1066" s="7">
        <f t="array" ref="K1066">IF(ROWS(K$20:K1066)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1066))))</f>
        <v>41938</v>
      </c>
      <c r="L1066" s="4" t="str">
        <f t="array" ref="L1066">IF(ROWS(L$20:L1066)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1066))))</f>
        <v>Mickey  Bolduc</v>
      </c>
      <c r="M1066" s="4">
        <f t="array" ref="M1066">IF(ROWS(M$20:M1066)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1066))))</f>
        <v>6</v>
      </c>
    </row>
    <row r="1067" spans="1:13" x14ac:dyDescent="0.25">
      <c r="A1067" s="3">
        <v>41771</v>
      </c>
      <c r="B1067" s="2" t="s">
        <v>9</v>
      </c>
      <c r="C1067" s="2">
        <v>0</v>
      </c>
      <c r="G1067" s="7">
        <f t="array" ref="G1067">IF(ROWS(K$20:K1067)&gt;$F$6,"",INDEX(A$2:A$10000,SMALL(IF(ISNUMBER(MATCH($B$2:$B$10000,$E$6:$E$22,0)),ROW($C$2:$C$10000)-ROW($C$2)+1),ROWS(K$20:K1067))))</f>
        <v>41913</v>
      </c>
      <c r="H1067" s="4" t="str">
        <f t="array" ref="H1067">IF(ROWS(L$20:L1067)&gt;$F$6,"",INDEX(B$2:B$10000,SMALL(IF(ISNUMBER(MATCH($B$2:$B$10000,$E$6:$E$22,0)),ROW($C$2:$C$10000)-ROW($C$2)+1),ROWS(L$20:L1067))))</f>
        <v>Iliana  Valerio</v>
      </c>
      <c r="I1067" s="4">
        <f t="array" ref="I1067">IF(ROWS(M$20:M1067)&gt;$F$6,"",INDEX(C$2:C$10000,SMALL(IF(ISNUMBER(MATCH($B$2:$B$10000,$E$6:$E$22,0)),ROW($C$2:$C$10000)-ROW($C$2)+1),ROWS(M$20:M1067))))</f>
        <v>34</v>
      </c>
      <c r="K1067" s="7">
        <f t="array" ref="K1067">IF(ROWS(K$20:K1067)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1067))))</f>
        <v>41913</v>
      </c>
      <c r="L1067" s="4" t="str">
        <f t="array" ref="L1067">IF(ROWS(L$20:L1067)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1067))))</f>
        <v>Iliana  Valerio</v>
      </c>
      <c r="M1067" s="4">
        <f t="array" ref="M1067">IF(ROWS(M$20:M1067)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1067))))</f>
        <v>34</v>
      </c>
    </row>
    <row r="1068" spans="1:13" x14ac:dyDescent="0.25">
      <c r="A1068" s="3">
        <v>41803</v>
      </c>
      <c r="B1068" s="2" t="s">
        <v>5</v>
      </c>
      <c r="C1068" s="2">
        <v>40</v>
      </c>
      <c r="G1068" s="7">
        <f t="array" ref="G1068">IF(ROWS(K$20:K1068)&gt;$F$6,"",INDEX(A$2:A$10000,SMALL(IF(ISNUMBER(MATCH($B$2:$B$10000,$E$6:$E$22,0)),ROW($C$2:$C$10000)-ROW($C$2)+1),ROWS(K$20:K1068))))</f>
        <v>41286</v>
      </c>
      <c r="H1068" s="4" t="str">
        <f t="array" ref="H1068">IF(ROWS(L$20:L1068)&gt;$F$6,"",INDEX(B$2:B$10000,SMALL(IF(ISNUMBER(MATCH($B$2:$B$10000,$E$6:$E$22,0)),ROW($C$2:$C$10000)-ROW($C$2)+1),ROWS(L$20:L1068))))</f>
        <v>Jenni  Thorton</v>
      </c>
      <c r="I1068" s="4">
        <f t="array" ref="I1068">IF(ROWS(M$20:M1068)&gt;$F$6,"",INDEX(C$2:C$10000,SMALL(IF(ISNUMBER(MATCH($B$2:$B$10000,$E$6:$E$22,0)),ROW($C$2:$C$10000)-ROW($C$2)+1),ROWS(M$20:M1068))))</f>
        <v>40</v>
      </c>
      <c r="K1068" s="7">
        <f t="array" ref="K1068">IF(ROWS(K$20:K1068)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1068))))</f>
        <v>41286</v>
      </c>
      <c r="L1068" s="4" t="str">
        <f t="array" ref="L1068">IF(ROWS(L$20:L1068)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1068))))</f>
        <v>Jenni  Thorton</v>
      </c>
      <c r="M1068" s="4">
        <f t="array" ref="M1068">IF(ROWS(M$20:M1068)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1068))))</f>
        <v>40</v>
      </c>
    </row>
    <row r="1069" spans="1:13" x14ac:dyDescent="0.25">
      <c r="A1069" s="3">
        <v>41894</v>
      </c>
      <c r="B1069" s="2" t="s">
        <v>40</v>
      </c>
      <c r="C1069" s="2">
        <v>50</v>
      </c>
      <c r="G1069" s="7">
        <f t="array" ref="G1069">IF(ROWS(K$20:K1069)&gt;$F$6,"",INDEX(A$2:A$10000,SMALL(IF(ISNUMBER(MATCH($B$2:$B$10000,$E$6:$E$22,0)),ROW($C$2:$C$10000)-ROW($C$2)+1),ROWS(K$20:K1069))))</f>
        <v>41804</v>
      </c>
      <c r="H1069" s="4" t="str">
        <f t="array" ref="H1069">IF(ROWS(L$20:L1069)&gt;$F$6,"",INDEX(B$2:B$10000,SMALL(IF(ISNUMBER(MATCH($B$2:$B$10000,$E$6:$E$22,0)),ROW($C$2:$C$10000)-ROW($C$2)+1),ROWS(L$20:L1069))))</f>
        <v>Jenni  Thorton</v>
      </c>
      <c r="I1069" s="4">
        <f t="array" ref="I1069">IF(ROWS(M$20:M1069)&gt;$F$6,"",INDEX(C$2:C$10000,SMALL(IF(ISNUMBER(MATCH($B$2:$B$10000,$E$6:$E$22,0)),ROW($C$2:$C$10000)-ROW($C$2)+1),ROWS(M$20:M1069))))</f>
        <v>30</v>
      </c>
      <c r="K1069" s="7">
        <f t="array" ref="K1069">IF(ROWS(K$20:K1069)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1069))))</f>
        <v>41804</v>
      </c>
      <c r="L1069" s="4" t="str">
        <f t="array" ref="L1069">IF(ROWS(L$20:L1069)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1069))))</f>
        <v>Jenni  Thorton</v>
      </c>
      <c r="M1069" s="4">
        <f t="array" ref="M1069">IF(ROWS(M$20:M1069)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1069))))</f>
        <v>30</v>
      </c>
    </row>
    <row r="1070" spans="1:13" x14ac:dyDescent="0.25">
      <c r="A1070" s="3">
        <v>41536</v>
      </c>
      <c r="B1070" s="2" t="s">
        <v>23</v>
      </c>
      <c r="C1070" s="2">
        <v>32</v>
      </c>
      <c r="G1070" s="7">
        <f t="array" ref="G1070">IF(ROWS(K$20:K1070)&gt;$F$6,"",INDEX(A$2:A$10000,SMALL(IF(ISNUMBER(MATCH($B$2:$B$10000,$E$6:$E$22,0)),ROW($C$2:$C$10000)-ROW($C$2)+1),ROWS(K$20:K1070))))</f>
        <v>41592</v>
      </c>
      <c r="H1070" s="4" t="str">
        <f t="array" ref="H1070">IF(ROWS(L$20:L1070)&gt;$F$6,"",INDEX(B$2:B$10000,SMALL(IF(ISNUMBER(MATCH($B$2:$B$10000,$E$6:$E$22,0)),ROW($C$2:$C$10000)-ROW($C$2)+1),ROWS(L$20:L1070))))</f>
        <v>Jenni  Thorton</v>
      </c>
      <c r="I1070" s="4">
        <f t="array" ref="I1070">IF(ROWS(M$20:M1070)&gt;$F$6,"",INDEX(C$2:C$10000,SMALL(IF(ISNUMBER(MATCH($B$2:$B$10000,$E$6:$E$22,0)),ROW($C$2:$C$10000)-ROW($C$2)+1),ROWS(M$20:M1070))))</f>
        <v>23</v>
      </c>
      <c r="K1070" s="7">
        <f t="array" ref="K1070">IF(ROWS(K$20:K1070)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1070))))</f>
        <v>41592</v>
      </c>
      <c r="L1070" s="4" t="str">
        <f t="array" ref="L1070">IF(ROWS(L$20:L1070)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1070))))</f>
        <v>Jenni  Thorton</v>
      </c>
      <c r="M1070" s="4">
        <f t="array" ref="M1070">IF(ROWS(M$20:M1070)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1070))))</f>
        <v>23</v>
      </c>
    </row>
    <row r="1071" spans="1:13" x14ac:dyDescent="0.25">
      <c r="A1071" s="3">
        <v>41285</v>
      </c>
      <c r="B1071" s="2" t="s">
        <v>47</v>
      </c>
      <c r="C1071" s="2">
        <v>41</v>
      </c>
      <c r="G1071" s="7">
        <f t="array" ref="G1071">IF(ROWS(K$20:K1071)&gt;$F$6,"",INDEX(A$2:A$10000,SMALL(IF(ISNUMBER(MATCH($B$2:$B$10000,$E$6:$E$22,0)),ROW($C$2:$C$10000)-ROW($C$2)+1),ROWS(K$20:K1071))))</f>
        <v>41711</v>
      </c>
      <c r="H1071" s="4" t="str">
        <f t="array" ref="H1071">IF(ROWS(L$20:L1071)&gt;$F$6,"",INDEX(B$2:B$10000,SMALL(IF(ISNUMBER(MATCH($B$2:$B$10000,$E$6:$E$22,0)),ROW($C$2:$C$10000)-ROW($C$2)+1),ROWS(L$20:L1071))))</f>
        <v>Rosamond  Allard</v>
      </c>
      <c r="I1071" s="4">
        <f t="array" ref="I1071">IF(ROWS(M$20:M1071)&gt;$F$6,"",INDEX(C$2:C$10000,SMALL(IF(ISNUMBER(MATCH($B$2:$B$10000,$E$6:$E$22,0)),ROW($C$2:$C$10000)-ROW($C$2)+1),ROWS(M$20:M1071))))</f>
        <v>34</v>
      </c>
      <c r="K1071" s="7">
        <f t="array" ref="K1071">IF(ROWS(K$20:K1071)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1071))))</f>
        <v>41711</v>
      </c>
      <c r="L1071" s="4" t="str">
        <f t="array" ref="L1071">IF(ROWS(L$20:L1071)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1071))))</f>
        <v>Rosamond  Allard</v>
      </c>
      <c r="M1071" s="4">
        <f t="array" ref="M1071">IF(ROWS(M$20:M1071)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1071))))</f>
        <v>34</v>
      </c>
    </row>
    <row r="1072" spans="1:13" x14ac:dyDescent="0.25">
      <c r="A1072" s="3">
        <v>41815</v>
      </c>
      <c r="B1072" s="2" t="s">
        <v>20</v>
      </c>
      <c r="C1072" s="2">
        <v>1</v>
      </c>
      <c r="G1072" s="7">
        <f t="array" ref="G1072">IF(ROWS(K$20:K1072)&gt;$F$6,"",INDEX(A$2:A$10000,SMALL(IF(ISNUMBER(MATCH($B$2:$B$10000,$E$6:$E$22,0)),ROW($C$2:$C$10000)-ROW($C$2)+1),ROWS(K$20:K1072))))</f>
        <v>41592</v>
      </c>
      <c r="H1072" s="4" t="str">
        <f t="array" ref="H1072">IF(ROWS(L$20:L1072)&gt;$F$6,"",INDEX(B$2:B$10000,SMALL(IF(ISNUMBER(MATCH($B$2:$B$10000,$E$6:$E$22,0)),ROW($C$2:$C$10000)-ROW($C$2)+1),ROWS(L$20:L1072))))</f>
        <v>Jenni  Thorton</v>
      </c>
      <c r="I1072" s="4">
        <f t="array" ref="I1072">IF(ROWS(M$20:M1072)&gt;$F$6,"",INDEX(C$2:C$10000,SMALL(IF(ISNUMBER(MATCH($B$2:$B$10000,$E$6:$E$22,0)),ROW($C$2:$C$10000)-ROW($C$2)+1),ROWS(M$20:M1072))))</f>
        <v>2</v>
      </c>
      <c r="K1072" s="7">
        <f t="array" ref="K1072">IF(ROWS(K$20:K1072)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1072))))</f>
        <v>41592</v>
      </c>
      <c r="L1072" s="4" t="str">
        <f t="array" ref="L1072">IF(ROWS(L$20:L1072)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1072))))</f>
        <v>Jenni  Thorton</v>
      </c>
      <c r="M1072" s="4">
        <f t="array" ref="M1072">IF(ROWS(M$20:M1072)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1072))))</f>
        <v>2</v>
      </c>
    </row>
    <row r="1073" spans="1:13" x14ac:dyDescent="0.25">
      <c r="A1073" s="3">
        <v>41547</v>
      </c>
      <c r="B1073" s="2" t="s">
        <v>51</v>
      </c>
      <c r="C1073" s="2">
        <v>26</v>
      </c>
      <c r="G1073" s="7">
        <f t="array" ref="G1073">IF(ROWS(K$20:K1073)&gt;$F$6,"",INDEX(A$2:A$10000,SMALL(IF(ISNUMBER(MATCH($B$2:$B$10000,$E$6:$E$22,0)),ROW($C$2:$C$10000)-ROW($C$2)+1),ROWS(K$20:K1073))))</f>
        <v>41472</v>
      </c>
      <c r="H1073" s="4" t="str">
        <f t="array" ref="H1073">IF(ROWS(L$20:L1073)&gt;$F$6,"",INDEX(B$2:B$10000,SMALL(IF(ISNUMBER(MATCH($B$2:$B$10000,$E$6:$E$22,0)),ROW($C$2:$C$10000)-ROW($C$2)+1),ROWS(L$20:L1073))))</f>
        <v>Rosamond  Allard</v>
      </c>
      <c r="I1073" s="4">
        <f t="array" ref="I1073">IF(ROWS(M$20:M1073)&gt;$F$6,"",INDEX(C$2:C$10000,SMALL(IF(ISNUMBER(MATCH($B$2:$B$10000,$E$6:$E$22,0)),ROW($C$2:$C$10000)-ROW($C$2)+1),ROWS(M$20:M1073))))</f>
        <v>31</v>
      </c>
      <c r="K1073" s="7">
        <f t="array" ref="K1073">IF(ROWS(K$20:K1073)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1073))))</f>
        <v>41472</v>
      </c>
      <c r="L1073" s="4" t="str">
        <f t="array" ref="L1073">IF(ROWS(L$20:L1073)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1073))))</f>
        <v>Rosamond  Allard</v>
      </c>
      <c r="M1073" s="4">
        <f t="array" ref="M1073">IF(ROWS(M$20:M1073)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1073))))</f>
        <v>31</v>
      </c>
    </row>
    <row r="1074" spans="1:13" x14ac:dyDescent="0.25">
      <c r="A1074" s="3">
        <v>41318</v>
      </c>
      <c r="B1074" s="2" t="s">
        <v>9</v>
      </c>
      <c r="C1074" s="2">
        <v>13</v>
      </c>
      <c r="G1074" s="7">
        <f t="array" ref="G1074">IF(ROWS(K$20:K1074)&gt;$F$6,"",INDEX(A$2:A$10000,SMALL(IF(ISNUMBER(MATCH($B$2:$B$10000,$E$6:$E$22,0)),ROW($C$2:$C$10000)-ROW($C$2)+1),ROWS(K$20:K1074))))</f>
        <v>41724</v>
      </c>
      <c r="H1074" s="4" t="str">
        <f t="array" ref="H1074">IF(ROWS(L$20:L1074)&gt;$F$6,"",INDEX(B$2:B$10000,SMALL(IF(ISNUMBER(MATCH($B$2:$B$10000,$E$6:$E$22,0)),ROW($C$2:$C$10000)-ROW($C$2)+1),ROWS(L$20:L1074))))</f>
        <v>Rosamond  Allard</v>
      </c>
      <c r="I1074" s="4">
        <f t="array" ref="I1074">IF(ROWS(M$20:M1074)&gt;$F$6,"",INDEX(C$2:C$10000,SMALL(IF(ISNUMBER(MATCH($B$2:$B$10000,$E$6:$E$22,0)),ROW($C$2:$C$10000)-ROW($C$2)+1),ROWS(M$20:M1074))))</f>
        <v>13</v>
      </c>
      <c r="K1074" s="7">
        <f t="array" ref="K1074">IF(ROWS(K$20:K1074)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1074))))</f>
        <v>41724</v>
      </c>
      <c r="L1074" s="4" t="str">
        <f t="array" ref="L1074">IF(ROWS(L$20:L1074)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1074))))</f>
        <v>Rosamond  Allard</v>
      </c>
      <c r="M1074" s="4">
        <f t="array" ref="M1074">IF(ROWS(M$20:M1074)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1074))))</f>
        <v>13</v>
      </c>
    </row>
    <row r="1075" spans="1:13" x14ac:dyDescent="0.25">
      <c r="A1075" s="3">
        <v>41329</v>
      </c>
      <c r="B1075" s="2" t="s">
        <v>3</v>
      </c>
      <c r="C1075" s="2">
        <v>2</v>
      </c>
      <c r="G1075" s="7">
        <f t="array" ref="G1075">IF(ROWS(K$20:K1075)&gt;$F$6,"",INDEX(A$2:A$10000,SMALL(IF(ISNUMBER(MATCH($B$2:$B$10000,$E$6:$E$22,0)),ROW($C$2:$C$10000)-ROW($C$2)+1),ROWS(K$20:K1075))))</f>
        <v>41797</v>
      </c>
      <c r="H1075" s="4" t="str">
        <f t="array" ref="H1075">IF(ROWS(L$20:L1075)&gt;$F$6,"",INDEX(B$2:B$10000,SMALL(IF(ISNUMBER(MATCH($B$2:$B$10000,$E$6:$E$22,0)),ROW($C$2:$C$10000)-ROW($C$2)+1),ROWS(L$20:L1075))))</f>
        <v>Kerrie  Worrell</v>
      </c>
      <c r="I1075" s="4">
        <f t="array" ref="I1075">IF(ROWS(M$20:M1075)&gt;$F$6,"",INDEX(C$2:C$10000,SMALL(IF(ISNUMBER(MATCH($B$2:$B$10000,$E$6:$E$22,0)),ROW($C$2:$C$10000)-ROW($C$2)+1),ROWS(M$20:M1075))))</f>
        <v>19</v>
      </c>
      <c r="K1075" s="7">
        <f t="array" ref="K1075">IF(ROWS(K$20:K1075)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1075))))</f>
        <v>41797</v>
      </c>
      <c r="L1075" s="4" t="str">
        <f t="array" ref="L1075">IF(ROWS(L$20:L1075)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1075))))</f>
        <v>Kerrie  Worrell</v>
      </c>
      <c r="M1075" s="4">
        <f t="array" ref="M1075">IF(ROWS(M$20:M1075)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1075))))</f>
        <v>19</v>
      </c>
    </row>
    <row r="1076" spans="1:13" x14ac:dyDescent="0.25">
      <c r="A1076" s="3">
        <v>41501</v>
      </c>
      <c r="B1076" s="2" t="s">
        <v>4</v>
      </c>
      <c r="C1076" s="2">
        <v>53</v>
      </c>
      <c r="G1076" s="7">
        <f t="array" ref="G1076">IF(ROWS(K$20:K1076)&gt;$F$6,"",INDEX(A$2:A$10000,SMALL(IF(ISNUMBER(MATCH($B$2:$B$10000,$E$6:$E$22,0)),ROW($C$2:$C$10000)-ROW($C$2)+1),ROWS(K$20:K1076))))</f>
        <v>41768</v>
      </c>
      <c r="H1076" s="4" t="str">
        <f t="array" ref="H1076">IF(ROWS(L$20:L1076)&gt;$F$6,"",INDEX(B$2:B$10000,SMALL(IF(ISNUMBER(MATCH($B$2:$B$10000,$E$6:$E$22,0)),ROW($C$2:$C$10000)-ROW($C$2)+1),ROWS(L$20:L1076))))</f>
        <v>Rosamond  Allard</v>
      </c>
      <c r="I1076" s="4">
        <f t="array" ref="I1076">IF(ROWS(M$20:M1076)&gt;$F$6,"",INDEX(C$2:C$10000,SMALL(IF(ISNUMBER(MATCH($B$2:$B$10000,$E$6:$E$22,0)),ROW($C$2:$C$10000)-ROW($C$2)+1),ROWS(M$20:M1076))))</f>
        <v>28</v>
      </c>
      <c r="K1076" s="7">
        <f t="array" ref="K1076">IF(ROWS(K$20:K1076)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1076))))</f>
        <v>41768</v>
      </c>
      <c r="L1076" s="4" t="str">
        <f t="array" ref="L1076">IF(ROWS(L$20:L1076)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1076))))</f>
        <v>Rosamond  Allard</v>
      </c>
      <c r="M1076" s="4">
        <f t="array" ref="M1076">IF(ROWS(M$20:M1076)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1076))))</f>
        <v>28</v>
      </c>
    </row>
    <row r="1077" spans="1:13" x14ac:dyDescent="0.25">
      <c r="A1077" s="3">
        <v>41493</v>
      </c>
      <c r="B1077" s="2" t="s">
        <v>41</v>
      </c>
      <c r="C1077" s="2">
        <v>23</v>
      </c>
      <c r="G1077" s="7">
        <f t="array" ref="G1077">IF(ROWS(K$20:K1077)&gt;$F$6,"",INDEX(A$2:A$10000,SMALL(IF(ISNUMBER(MATCH($B$2:$B$10000,$E$6:$E$22,0)),ROW($C$2:$C$10000)-ROW($C$2)+1),ROWS(K$20:K1077))))</f>
        <v>41579</v>
      </c>
      <c r="H1077" s="4" t="str">
        <f t="array" ref="H1077">IF(ROWS(L$20:L1077)&gt;$F$6,"",INDEX(B$2:B$10000,SMALL(IF(ISNUMBER(MATCH($B$2:$B$10000,$E$6:$E$22,0)),ROW($C$2:$C$10000)-ROW($C$2)+1),ROWS(L$20:L1077))))</f>
        <v>Rosamond  Allard</v>
      </c>
      <c r="I1077" s="4">
        <f t="array" ref="I1077">IF(ROWS(M$20:M1077)&gt;$F$6,"",INDEX(C$2:C$10000,SMALL(IF(ISNUMBER(MATCH($B$2:$B$10000,$E$6:$E$22,0)),ROW($C$2:$C$10000)-ROW($C$2)+1),ROWS(M$20:M1077))))</f>
        <v>24</v>
      </c>
      <c r="K1077" s="7">
        <f t="array" ref="K1077">IF(ROWS(K$20:K1077)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1077))))</f>
        <v>41579</v>
      </c>
      <c r="L1077" s="4" t="str">
        <f t="array" ref="L1077">IF(ROWS(L$20:L1077)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1077))))</f>
        <v>Rosamond  Allard</v>
      </c>
      <c r="M1077" s="4">
        <f t="array" ref="M1077">IF(ROWS(M$20:M1077)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1077))))</f>
        <v>24</v>
      </c>
    </row>
    <row r="1078" spans="1:13" x14ac:dyDescent="0.25">
      <c r="A1078" s="3">
        <v>41625</v>
      </c>
      <c r="B1078" s="2" t="s">
        <v>6</v>
      </c>
      <c r="C1078" s="2">
        <v>41</v>
      </c>
      <c r="G1078" s="7">
        <f t="array" ref="G1078">IF(ROWS(K$20:K1078)&gt;$F$6,"",INDEX(A$2:A$10000,SMALL(IF(ISNUMBER(MATCH($B$2:$B$10000,$E$6:$E$22,0)),ROW($C$2:$C$10000)-ROW($C$2)+1),ROWS(K$20:K1078))))</f>
        <v>41707</v>
      </c>
      <c r="H1078" s="4" t="str">
        <f t="array" ref="H1078">IF(ROWS(L$20:L1078)&gt;$F$6,"",INDEX(B$2:B$10000,SMALL(IF(ISNUMBER(MATCH($B$2:$B$10000,$E$6:$E$22,0)),ROW($C$2:$C$10000)-ROW($C$2)+1),ROWS(L$20:L1078))))</f>
        <v>Jenni  Thorton</v>
      </c>
      <c r="I1078" s="4">
        <f t="array" ref="I1078">IF(ROWS(M$20:M1078)&gt;$F$6,"",INDEX(C$2:C$10000,SMALL(IF(ISNUMBER(MATCH($B$2:$B$10000,$E$6:$E$22,0)),ROW($C$2:$C$10000)-ROW($C$2)+1),ROWS(M$20:M1078))))</f>
        <v>2</v>
      </c>
      <c r="K1078" s="7">
        <f t="array" ref="K1078">IF(ROWS(K$20:K1078)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1078))))</f>
        <v>41707</v>
      </c>
      <c r="L1078" s="4" t="str">
        <f t="array" ref="L1078">IF(ROWS(L$20:L1078)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1078))))</f>
        <v>Jenni  Thorton</v>
      </c>
      <c r="M1078" s="4">
        <f t="array" ref="M1078">IF(ROWS(M$20:M1078)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1078))))</f>
        <v>2</v>
      </c>
    </row>
    <row r="1079" spans="1:13" x14ac:dyDescent="0.25">
      <c r="A1079" s="3">
        <v>41786</v>
      </c>
      <c r="B1079" s="2" t="s">
        <v>32</v>
      </c>
      <c r="C1079" s="2">
        <v>47</v>
      </c>
      <c r="G1079" s="7">
        <f t="array" ref="G1079">IF(ROWS(K$20:K1079)&gt;$F$6,"",INDEX(A$2:A$10000,SMALL(IF(ISNUMBER(MATCH($B$2:$B$10000,$E$6:$E$22,0)),ROW($C$2:$C$10000)-ROW($C$2)+1),ROWS(K$20:K1079))))</f>
        <v>41523</v>
      </c>
      <c r="H1079" s="4" t="str">
        <f t="array" ref="H1079">IF(ROWS(L$20:L1079)&gt;$F$6,"",INDEX(B$2:B$10000,SMALL(IF(ISNUMBER(MATCH($B$2:$B$10000,$E$6:$E$22,0)),ROW($C$2:$C$10000)-ROW($C$2)+1),ROWS(L$20:L1079))))</f>
        <v>Mickey  Bolduc</v>
      </c>
      <c r="I1079" s="4">
        <f t="array" ref="I1079">IF(ROWS(M$20:M1079)&gt;$F$6,"",INDEX(C$2:C$10000,SMALL(IF(ISNUMBER(MATCH($B$2:$B$10000,$E$6:$E$22,0)),ROW($C$2:$C$10000)-ROW($C$2)+1),ROWS(M$20:M1079))))</f>
        <v>25</v>
      </c>
      <c r="K1079" s="7">
        <f t="array" ref="K1079">IF(ROWS(K$20:K1079)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1079))))</f>
        <v>41523</v>
      </c>
      <c r="L1079" s="4" t="str">
        <f t="array" ref="L1079">IF(ROWS(L$20:L1079)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1079))))</f>
        <v>Mickey  Bolduc</v>
      </c>
      <c r="M1079" s="4">
        <f t="array" ref="M1079">IF(ROWS(M$20:M1079)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1079))))</f>
        <v>25</v>
      </c>
    </row>
    <row r="1080" spans="1:13" x14ac:dyDescent="0.25">
      <c r="A1080" s="3">
        <v>41892</v>
      </c>
      <c r="B1080" s="2" t="s">
        <v>33</v>
      </c>
      <c r="C1080" s="2">
        <v>50</v>
      </c>
      <c r="G1080" s="7">
        <f t="array" ref="G1080">IF(ROWS(K$20:K1080)&gt;$F$6,"",INDEX(A$2:A$10000,SMALL(IF(ISNUMBER(MATCH($B$2:$B$10000,$E$6:$E$22,0)),ROW($C$2:$C$10000)-ROW($C$2)+1),ROWS(K$20:K1080))))</f>
        <v>41321</v>
      </c>
      <c r="H1080" s="4" t="str">
        <f t="array" ref="H1080">IF(ROWS(L$20:L1080)&gt;$F$6,"",INDEX(B$2:B$10000,SMALL(IF(ISNUMBER(MATCH($B$2:$B$10000,$E$6:$E$22,0)),ROW($C$2:$C$10000)-ROW($C$2)+1),ROWS(L$20:L1080))))</f>
        <v>Rosamond  Allard</v>
      </c>
      <c r="I1080" s="4">
        <f t="array" ref="I1080">IF(ROWS(M$20:M1080)&gt;$F$6,"",INDEX(C$2:C$10000,SMALL(IF(ISNUMBER(MATCH($B$2:$B$10000,$E$6:$E$22,0)),ROW($C$2:$C$10000)-ROW($C$2)+1),ROWS(M$20:M1080))))</f>
        <v>22</v>
      </c>
      <c r="K1080" s="7">
        <f t="array" ref="K1080">IF(ROWS(K$20:K1080)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1080))))</f>
        <v>41321</v>
      </c>
      <c r="L1080" s="4" t="str">
        <f t="array" ref="L1080">IF(ROWS(L$20:L1080)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1080))))</f>
        <v>Rosamond  Allard</v>
      </c>
      <c r="M1080" s="4">
        <f t="array" ref="M1080">IF(ROWS(M$20:M1080)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1080))))</f>
        <v>22</v>
      </c>
    </row>
    <row r="1081" spans="1:13" x14ac:dyDescent="0.25">
      <c r="A1081" s="3">
        <v>41943</v>
      </c>
      <c r="B1081" s="2" t="s">
        <v>22</v>
      </c>
      <c r="C1081" s="2">
        <v>28</v>
      </c>
      <c r="G1081" s="7">
        <f t="array" ref="G1081">IF(ROWS(K$20:K1081)&gt;$F$6,"",INDEX(A$2:A$10000,SMALL(IF(ISNUMBER(MATCH($B$2:$B$10000,$E$6:$E$22,0)),ROW($C$2:$C$10000)-ROW($C$2)+1),ROWS(K$20:K1081))))</f>
        <v>41596</v>
      </c>
      <c r="H1081" s="4" t="str">
        <f t="array" ref="H1081">IF(ROWS(L$20:L1081)&gt;$F$6,"",INDEX(B$2:B$10000,SMALL(IF(ISNUMBER(MATCH($B$2:$B$10000,$E$6:$E$22,0)),ROW($C$2:$C$10000)-ROW($C$2)+1),ROWS(L$20:L1081))))</f>
        <v>Rosamond  Allard</v>
      </c>
      <c r="I1081" s="4">
        <f t="array" ref="I1081">IF(ROWS(M$20:M1081)&gt;$F$6,"",INDEX(C$2:C$10000,SMALL(IF(ISNUMBER(MATCH($B$2:$B$10000,$E$6:$E$22,0)),ROW($C$2:$C$10000)-ROW($C$2)+1),ROWS(M$20:M1081))))</f>
        <v>14</v>
      </c>
      <c r="K1081" s="7">
        <f t="array" ref="K1081">IF(ROWS(K$20:K1081)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1081))))</f>
        <v>41596</v>
      </c>
      <c r="L1081" s="4" t="str">
        <f t="array" ref="L1081">IF(ROWS(L$20:L1081)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1081))))</f>
        <v>Rosamond  Allard</v>
      </c>
      <c r="M1081" s="4">
        <f t="array" ref="M1081">IF(ROWS(M$20:M1081)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1081))))</f>
        <v>14</v>
      </c>
    </row>
    <row r="1082" spans="1:13" x14ac:dyDescent="0.25">
      <c r="A1082" s="3">
        <v>41899</v>
      </c>
      <c r="B1082" s="2" t="s">
        <v>40</v>
      </c>
      <c r="C1082" s="2">
        <v>29</v>
      </c>
      <c r="G1082" s="7">
        <f t="array" ref="G1082">IF(ROWS(K$20:K1082)&gt;$F$6,"",INDEX(A$2:A$10000,SMALL(IF(ISNUMBER(MATCH($B$2:$B$10000,$E$6:$E$22,0)),ROW($C$2:$C$10000)-ROW($C$2)+1),ROWS(K$20:K1082))))</f>
        <v>41820</v>
      </c>
      <c r="H1082" s="4" t="str">
        <f t="array" ref="H1082">IF(ROWS(L$20:L1082)&gt;$F$6,"",INDEX(B$2:B$10000,SMALL(IF(ISNUMBER(MATCH($B$2:$B$10000,$E$6:$E$22,0)),ROW($C$2:$C$10000)-ROW($C$2)+1),ROWS(L$20:L1082))))</f>
        <v>Galen  Barth</v>
      </c>
      <c r="I1082" s="4">
        <f t="array" ref="I1082">IF(ROWS(M$20:M1082)&gt;$F$6,"",INDEX(C$2:C$10000,SMALL(IF(ISNUMBER(MATCH($B$2:$B$10000,$E$6:$E$22,0)),ROW($C$2:$C$10000)-ROW($C$2)+1),ROWS(M$20:M1082))))</f>
        <v>36</v>
      </c>
      <c r="K1082" s="7">
        <f t="array" ref="K1082">IF(ROWS(K$20:K1082)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1082))))</f>
        <v>41820</v>
      </c>
      <c r="L1082" s="4" t="str">
        <f t="array" ref="L1082">IF(ROWS(L$20:L1082)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1082))))</f>
        <v>Galen  Barth</v>
      </c>
      <c r="M1082" s="4">
        <f t="array" ref="M1082">IF(ROWS(M$20:M1082)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1082))))</f>
        <v>36</v>
      </c>
    </row>
    <row r="1083" spans="1:13" x14ac:dyDescent="0.25">
      <c r="A1083" s="3">
        <v>41446</v>
      </c>
      <c r="B1083" s="2" t="s">
        <v>39</v>
      </c>
      <c r="C1083" s="2">
        <v>34</v>
      </c>
      <c r="G1083" s="7">
        <f t="array" ref="G1083">IF(ROWS(K$20:K1083)&gt;$F$6,"",INDEX(A$2:A$10000,SMALL(IF(ISNUMBER(MATCH($B$2:$B$10000,$E$6:$E$22,0)),ROW($C$2:$C$10000)-ROW($C$2)+1),ROWS(K$20:K1083))))</f>
        <v>41702</v>
      </c>
      <c r="H1083" s="4" t="str">
        <f t="array" ref="H1083">IF(ROWS(L$20:L1083)&gt;$F$6,"",INDEX(B$2:B$10000,SMALL(IF(ISNUMBER(MATCH($B$2:$B$10000,$E$6:$E$22,0)),ROW($C$2:$C$10000)-ROW($C$2)+1),ROWS(L$20:L1083))))</f>
        <v>Jenni  Thorton</v>
      </c>
      <c r="I1083" s="4">
        <f t="array" ref="I1083">IF(ROWS(M$20:M1083)&gt;$F$6,"",INDEX(C$2:C$10000,SMALL(IF(ISNUMBER(MATCH($B$2:$B$10000,$E$6:$E$22,0)),ROW($C$2:$C$10000)-ROW($C$2)+1),ROWS(M$20:M1083))))</f>
        <v>32</v>
      </c>
      <c r="K1083" s="7">
        <f t="array" ref="K1083">IF(ROWS(K$20:K1083)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1083))))</f>
        <v>41702</v>
      </c>
      <c r="L1083" s="4" t="str">
        <f t="array" ref="L1083">IF(ROWS(L$20:L1083)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1083))))</f>
        <v>Jenni  Thorton</v>
      </c>
      <c r="M1083" s="4">
        <f t="array" ref="M1083">IF(ROWS(M$20:M1083)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1083))))</f>
        <v>32</v>
      </c>
    </row>
    <row r="1084" spans="1:13" x14ac:dyDescent="0.25">
      <c r="A1084" s="3">
        <v>41378</v>
      </c>
      <c r="B1084" s="2" t="s">
        <v>18</v>
      </c>
      <c r="C1084" s="2">
        <v>28</v>
      </c>
      <c r="G1084" s="7">
        <f t="array" ref="G1084">IF(ROWS(K$20:K1084)&gt;$F$6,"",INDEX(A$2:A$10000,SMALL(IF(ISNUMBER(MATCH($B$2:$B$10000,$E$6:$E$22,0)),ROW($C$2:$C$10000)-ROW($C$2)+1),ROWS(K$20:K1084))))</f>
        <v>41374</v>
      </c>
      <c r="H1084" s="4" t="str">
        <f t="array" ref="H1084">IF(ROWS(L$20:L1084)&gt;$F$6,"",INDEX(B$2:B$10000,SMALL(IF(ISNUMBER(MATCH($B$2:$B$10000,$E$6:$E$22,0)),ROW($C$2:$C$10000)-ROW($C$2)+1),ROWS(L$20:L1084))))</f>
        <v>Mickey  Bolduc</v>
      </c>
      <c r="I1084" s="4">
        <f t="array" ref="I1084">IF(ROWS(M$20:M1084)&gt;$F$6,"",INDEX(C$2:C$10000,SMALL(IF(ISNUMBER(MATCH($B$2:$B$10000,$E$6:$E$22,0)),ROW($C$2:$C$10000)-ROW($C$2)+1),ROWS(M$20:M1084))))</f>
        <v>8</v>
      </c>
      <c r="K1084" s="7">
        <f t="array" ref="K1084">IF(ROWS(K$20:K1084)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1084))))</f>
        <v>41374</v>
      </c>
      <c r="L1084" s="4" t="str">
        <f t="array" ref="L1084">IF(ROWS(L$20:L1084)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1084))))</f>
        <v>Mickey  Bolduc</v>
      </c>
      <c r="M1084" s="4">
        <f t="array" ref="M1084">IF(ROWS(M$20:M1084)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1084))))</f>
        <v>8</v>
      </c>
    </row>
    <row r="1085" spans="1:13" x14ac:dyDescent="0.25">
      <c r="A1085" s="3">
        <v>41738</v>
      </c>
      <c r="B1085" s="2" t="s">
        <v>35</v>
      </c>
      <c r="C1085" s="2">
        <v>17</v>
      </c>
      <c r="G1085" s="7">
        <f t="array" ref="G1085">IF(ROWS(K$20:K1085)&gt;$F$6,"",INDEX(A$2:A$10000,SMALL(IF(ISNUMBER(MATCH($B$2:$B$10000,$E$6:$E$22,0)),ROW($C$2:$C$10000)-ROW($C$2)+1),ROWS(K$20:K1085))))</f>
        <v>41507</v>
      </c>
      <c r="H1085" s="4" t="str">
        <f t="array" ref="H1085">IF(ROWS(L$20:L1085)&gt;$F$6,"",INDEX(B$2:B$10000,SMALL(IF(ISNUMBER(MATCH($B$2:$B$10000,$E$6:$E$22,0)),ROW($C$2:$C$10000)-ROW($C$2)+1),ROWS(L$20:L1085))))</f>
        <v>Mickey  Bolduc</v>
      </c>
      <c r="I1085" s="4">
        <f t="array" ref="I1085">IF(ROWS(M$20:M1085)&gt;$F$6,"",INDEX(C$2:C$10000,SMALL(IF(ISNUMBER(MATCH($B$2:$B$10000,$E$6:$E$22,0)),ROW($C$2:$C$10000)-ROW($C$2)+1),ROWS(M$20:M1085))))</f>
        <v>38</v>
      </c>
      <c r="K1085" s="7">
        <f t="array" ref="K1085">IF(ROWS(K$20:K1085)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1085))))</f>
        <v>41507</v>
      </c>
      <c r="L1085" s="4" t="str">
        <f t="array" ref="L1085">IF(ROWS(L$20:L1085)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1085))))</f>
        <v>Mickey  Bolduc</v>
      </c>
      <c r="M1085" s="4">
        <f t="array" ref="M1085">IF(ROWS(M$20:M1085)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1085))))</f>
        <v>38</v>
      </c>
    </row>
    <row r="1086" spans="1:13" x14ac:dyDescent="0.25">
      <c r="A1086" s="3">
        <v>41494</v>
      </c>
      <c r="B1086" s="2" t="s">
        <v>38</v>
      </c>
      <c r="C1086" s="2">
        <v>31</v>
      </c>
      <c r="G1086" s="7">
        <f t="array" ref="G1086">IF(ROWS(K$20:K1086)&gt;$F$6,"",INDEX(A$2:A$10000,SMALL(IF(ISNUMBER(MATCH($B$2:$B$10000,$E$6:$E$22,0)),ROW($C$2:$C$10000)-ROW($C$2)+1),ROWS(K$20:K1086))))</f>
        <v>41350</v>
      </c>
      <c r="H1086" s="4" t="str">
        <f t="array" ref="H1086">IF(ROWS(L$20:L1086)&gt;$F$6,"",INDEX(B$2:B$10000,SMALL(IF(ISNUMBER(MATCH($B$2:$B$10000,$E$6:$E$22,0)),ROW($C$2:$C$10000)-ROW($C$2)+1),ROWS(L$20:L1086))))</f>
        <v>Kerrie  Worrell</v>
      </c>
      <c r="I1086" s="4">
        <f t="array" ref="I1086">IF(ROWS(M$20:M1086)&gt;$F$6,"",INDEX(C$2:C$10000,SMALL(IF(ISNUMBER(MATCH($B$2:$B$10000,$E$6:$E$22,0)),ROW($C$2:$C$10000)-ROW($C$2)+1),ROWS(M$20:M1086))))</f>
        <v>8</v>
      </c>
      <c r="K1086" s="7">
        <f t="array" ref="K1086">IF(ROWS(K$20:K1086)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1086))))</f>
        <v>41350</v>
      </c>
      <c r="L1086" s="4" t="str">
        <f t="array" ref="L1086">IF(ROWS(L$20:L1086)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1086))))</f>
        <v>Kerrie  Worrell</v>
      </c>
      <c r="M1086" s="4">
        <f t="array" ref="M1086">IF(ROWS(M$20:M1086)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1086))))</f>
        <v>8</v>
      </c>
    </row>
    <row r="1087" spans="1:13" x14ac:dyDescent="0.25">
      <c r="A1087" s="3">
        <v>41415</v>
      </c>
      <c r="B1087" s="2" t="s">
        <v>42</v>
      </c>
      <c r="C1087" s="2">
        <v>19</v>
      </c>
      <c r="G1087" s="7">
        <f t="array" ref="G1087">IF(ROWS(K$20:K1087)&gt;$F$6,"",INDEX(A$2:A$10000,SMALL(IF(ISNUMBER(MATCH($B$2:$B$10000,$E$6:$E$22,0)),ROW($C$2:$C$10000)-ROW($C$2)+1),ROWS(K$20:K1087))))</f>
        <v>41953</v>
      </c>
      <c r="H1087" s="4" t="str">
        <f t="array" ref="H1087">IF(ROWS(L$20:L1087)&gt;$F$6,"",INDEX(B$2:B$10000,SMALL(IF(ISNUMBER(MATCH($B$2:$B$10000,$E$6:$E$22,0)),ROW($C$2:$C$10000)-ROW($C$2)+1),ROWS(L$20:L1087))))</f>
        <v>Mickey  Bolduc</v>
      </c>
      <c r="I1087" s="4">
        <f t="array" ref="I1087">IF(ROWS(M$20:M1087)&gt;$F$6,"",INDEX(C$2:C$10000,SMALL(IF(ISNUMBER(MATCH($B$2:$B$10000,$E$6:$E$22,0)),ROW($C$2:$C$10000)-ROW($C$2)+1),ROWS(M$20:M1087))))</f>
        <v>27</v>
      </c>
      <c r="K1087" s="7">
        <f t="array" ref="K1087">IF(ROWS(K$20:K1087)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1087))))</f>
        <v>41953</v>
      </c>
      <c r="L1087" s="4" t="str">
        <f t="array" ref="L1087">IF(ROWS(L$20:L1087)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1087))))</f>
        <v>Mickey  Bolduc</v>
      </c>
      <c r="M1087" s="4">
        <f t="array" ref="M1087">IF(ROWS(M$20:M1087)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1087))))</f>
        <v>27</v>
      </c>
    </row>
    <row r="1088" spans="1:13" x14ac:dyDescent="0.25">
      <c r="A1088" s="3">
        <v>41411</v>
      </c>
      <c r="B1088" s="2" t="s">
        <v>14</v>
      </c>
      <c r="C1088" s="2">
        <v>25</v>
      </c>
      <c r="G1088" s="7">
        <f t="array" ref="G1088">IF(ROWS(K$20:K1088)&gt;$F$6,"",INDEX(A$2:A$10000,SMALL(IF(ISNUMBER(MATCH($B$2:$B$10000,$E$6:$E$22,0)),ROW($C$2:$C$10000)-ROW($C$2)+1),ROWS(K$20:K1088))))</f>
        <v>41440</v>
      </c>
      <c r="H1088" s="4" t="str">
        <f t="array" ref="H1088">IF(ROWS(L$20:L1088)&gt;$F$6,"",INDEX(B$2:B$10000,SMALL(IF(ISNUMBER(MATCH($B$2:$B$10000,$E$6:$E$22,0)),ROW($C$2:$C$10000)-ROW($C$2)+1),ROWS(L$20:L1088))))</f>
        <v>Mickey  Bolduc</v>
      </c>
      <c r="I1088" s="4">
        <f t="array" ref="I1088">IF(ROWS(M$20:M1088)&gt;$F$6,"",INDEX(C$2:C$10000,SMALL(IF(ISNUMBER(MATCH($B$2:$B$10000,$E$6:$E$22,0)),ROW($C$2:$C$10000)-ROW($C$2)+1),ROWS(M$20:M1088))))</f>
        <v>20</v>
      </c>
      <c r="K1088" s="7">
        <f t="array" ref="K1088">IF(ROWS(K$20:K1088)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1088))))</f>
        <v>41440</v>
      </c>
      <c r="L1088" s="4" t="str">
        <f t="array" ref="L1088">IF(ROWS(L$20:L1088)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1088))))</f>
        <v>Mickey  Bolduc</v>
      </c>
      <c r="M1088" s="4">
        <f t="array" ref="M1088">IF(ROWS(M$20:M1088)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1088))))</f>
        <v>20</v>
      </c>
    </row>
    <row r="1089" spans="1:13" x14ac:dyDescent="0.25">
      <c r="A1089" s="3">
        <v>41521</v>
      </c>
      <c r="B1089" s="2" t="s">
        <v>17</v>
      </c>
      <c r="C1089" s="2">
        <v>19</v>
      </c>
      <c r="G1089" s="7">
        <f t="array" ref="G1089">IF(ROWS(K$20:K1089)&gt;$F$6,"",INDEX(A$2:A$10000,SMALL(IF(ISNUMBER(MATCH($B$2:$B$10000,$E$6:$E$22,0)),ROW($C$2:$C$10000)-ROW($C$2)+1),ROWS(K$20:K1089))))</f>
        <v>41332</v>
      </c>
      <c r="H1089" s="4" t="str">
        <f t="array" ref="H1089">IF(ROWS(L$20:L1089)&gt;$F$6,"",INDEX(B$2:B$10000,SMALL(IF(ISNUMBER(MATCH($B$2:$B$10000,$E$6:$E$22,0)),ROW($C$2:$C$10000)-ROW($C$2)+1),ROWS(L$20:L1089))))</f>
        <v>Galen  Barth</v>
      </c>
      <c r="I1089" s="4">
        <f t="array" ref="I1089">IF(ROWS(M$20:M1089)&gt;$F$6,"",INDEX(C$2:C$10000,SMALL(IF(ISNUMBER(MATCH($B$2:$B$10000,$E$6:$E$22,0)),ROW($C$2:$C$10000)-ROW($C$2)+1),ROWS(M$20:M1089))))</f>
        <v>13</v>
      </c>
      <c r="K1089" s="7">
        <f t="array" ref="K1089">IF(ROWS(K$20:K1089)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1089))))</f>
        <v>41332</v>
      </c>
      <c r="L1089" s="4" t="str">
        <f t="array" ref="L1089">IF(ROWS(L$20:L1089)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1089))))</f>
        <v>Galen  Barth</v>
      </c>
      <c r="M1089" s="4">
        <f t="array" ref="M1089">IF(ROWS(M$20:M1089)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1089))))</f>
        <v>13</v>
      </c>
    </row>
    <row r="1090" spans="1:13" x14ac:dyDescent="0.25">
      <c r="A1090" s="3">
        <v>41355</v>
      </c>
      <c r="B1090" s="2" t="s">
        <v>18</v>
      </c>
      <c r="C1090" s="2">
        <v>39</v>
      </c>
      <c r="G1090" s="7">
        <f t="array" ref="G1090">IF(ROWS(K$20:K1090)&gt;$F$6,"",INDEX(A$2:A$10000,SMALL(IF(ISNUMBER(MATCH($B$2:$B$10000,$E$6:$E$22,0)),ROW($C$2:$C$10000)-ROW($C$2)+1),ROWS(K$20:K1090))))</f>
        <v>41372</v>
      </c>
      <c r="H1090" s="4" t="str">
        <f t="array" ref="H1090">IF(ROWS(L$20:L1090)&gt;$F$6,"",INDEX(B$2:B$10000,SMALL(IF(ISNUMBER(MATCH($B$2:$B$10000,$E$6:$E$22,0)),ROW($C$2:$C$10000)-ROW($C$2)+1),ROWS(L$20:L1090))))</f>
        <v>Iliana  Valerio</v>
      </c>
      <c r="I1090" s="4">
        <f t="array" ref="I1090">IF(ROWS(M$20:M1090)&gt;$F$6,"",INDEX(C$2:C$10000,SMALL(IF(ISNUMBER(MATCH($B$2:$B$10000,$E$6:$E$22,0)),ROW($C$2:$C$10000)-ROW($C$2)+1),ROWS(M$20:M1090))))</f>
        <v>24</v>
      </c>
      <c r="K1090" s="7">
        <f t="array" ref="K1090">IF(ROWS(K$20:K1090)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1090))))</f>
        <v>41372</v>
      </c>
      <c r="L1090" s="4" t="str">
        <f t="array" ref="L1090">IF(ROWS(L$20:L1090)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1090))))</f>
        <v>Iliana  Valerio</v>
      </c>
      <c r="M1090" s="4">
        <f t="array" ref="M1090">IF(ROWS(M$20:M1090)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1090))))</f>
        <v>24</v>
      </c>
    </row>
    <row r="1091" spans="1:13" x14ac:dyDescent="0.25">
      <c r="A1091" s="3">
        <v>41927</v>
      </c>
      <c r="B1091" s="2" t="s">
        <v>23</v>
      </c>
      <c r="C1091" s="2">
        <v>48</v>
      </c>
      <c r="G1091" s="7">
        <f t="array" ref="G1091">IF(ROWS(K$20:K1091)&gt;$F$6,"",INDEX(A$2:A$10000,SMALL(IF(ISNUMBER(MATCH($B$2:$B$10000,$E$6:$E$22,0)),ROW($C$2:$C$10000)-ROW($C$2)+1),ROWS(K$20:K1091))))</f>
        <v>41499</v>
      </c>
      <c r="H1091" s="4" t="str">
        <f t="array" ref="H1091">IF(ROWS(L$20:L1091)&gt;$F$6,"",INDEX(B$2:B$10000,SMALL(IF(ISNUMBER(MATCH($B$2:$B$10000,$E$6:$E$22,0)),ROW($C$2:$C$10000)-ROW($C$2)+1),ROWS(L$20:L1091))))</f>
        <v>Jenni  Thorton</v>
      </c>
      <c r="I1091" s="4">
        <f t="array" ref="I1091">IF(ROWS(M$20:M1091)&gt;$F$6,"",INDEX(C$2:C$10000,SMALL(IF(ISNUMBER(MATCH($B$2:$B$10000,$E$6:$E$22,0)),ROW($C$2:$C$10000)-ROW($C$2)+1),ROWS(M$20:M1091))))</f>
        <v>7</v>
      </c>
      <c r="K1091" s="7">
        <f t="array" ref="K1091">IF(ROWS(K$20:K1091)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1091))))</f>
        <v>41499</v>
      </c>
      <c r="L1091" s="4" t="str">
        <f t="array" ref="L1091">IF(ROWS(L$20:L1091)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1091))))</f>
        <v>Jenni  Thorton</v>
      </c>
      <c r="M1091" s="4">
        <f t="array" ref="M1091">IF(ROWS(M$20:M1091)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1091))))</f>
        <v>7</v>
      </c>
    </row>
    <row r="1092" spans="1:13" x14ac:dyDescent="0.25">
      <c r="A1092" s="3">
        <v>41323</v>
      </c>
      <c r="B1092" s="2" t="s">
        <v>19</v>
      </c>
      <c r="C1092" s="2">
        <v>39</v>
      </c>
      <c r="G1092" s="7">
        <f t="array" ref="G1092">IF(ROWS(K$20:K1092)&gt;$F$6,"",INDEX(A$2:A$10000,SMALL(IF(ISNUMBER(MATCH($B$2:$B$10000,$E$6:$E$22,0)),ROW($C$2:$C$10000)-ROW($C$2)+1),ROWS(K$20:K1092))))</f>
        <v>41816</v>
      </c>
      <c r="H1092" s="4" t="str">
        <f t="array" ref="H1092">IF(ROWS(L$20:L1092)&gt;$F$6,"",INDEX(B$2:B$10000,SMALL(IF(ISNUMBER(MATCH($B$2:$B$10000,$E$6:$E$22,0)),ROW($C$2:$C$10000)-ROW($C$2)+1),ROWS(L$20:L1092))))</f>
        <v>Galen  Barth</v>
      </c>
      <c r="I1092" s="4">
        <f t="array" ref="I1092">IF(ROWS(M$20:M1092)&gt;$F$6,"",INDEX(C$2:C$10000,SMALL(IF(ISNUMBER(MATCH($B$2:$B$10000,$E$6:$E$22,0)),ROW($C$2:$C$10000)-ROW($C$2)+1),ROWS(M$20:M1092))))</f>
        <v>9</v>
      </c>
      <c r="K1092" s="7">
        <f t="array" ref="K1092">IF(ROWS(K$20:K1092)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1092))))</f>
        <v>41816</v>
      </c>
      <c r="L1092" s="4" t="str">
        <f t="array" ref="L1092">IF(ROWS(L$20:L1092)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1092))))</f>
        <v>Galen  Barth</v>
      </c>
      <c r="M1092" s="4">
        <f t="array" ref="M1092">IF(ROWS(M$20:M1092)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1092))))</f>
        <v>9</v>
      </c>
    </row>
    <row r="1093" spans="1:13" x14ac:dyDescent="0.25">
      <c r="A1093" s="3">
        <v>41936</v>
      </c>
      <c r="B1093" s="2" t="s">
        <v>46</v>
      </c>
      <c r="C1093" s="2">
        <v>16</v>
      </c>
      <c r="G1093" s="7">
        <f t="array" ref="G1093">IF(ROWS(K$20:K1093)&gt;$F$6,"",INDEX(A$2:A$10000,SMALL(IF(ISNUMBER(MATCH($B$2:$B$10000,$E$6:$E$22,0)),ROW($C$2:$C$10000)-ROW($C$2)+1),ROWS(K$20:K1093))))</f>
        <v>41492</v>
      </c>
      <c r="H1093" s="4" t="str">
        <f t="array" ref="H1093">IF(ROWS(L$20:L1093)&gt;$F$6,"",INDEX(B$2:B$10000,SMALL(IF(ISNUMBER(MATCH($B$2:$B$10000,$E$6:$E$22,0)),ROW($C$2:$C$10000)-ROW($C$2)+1),ROWS(L$20:L1093))))</f>
        <v>Rosamond  Allard</v>
      </c>
      <c r="I1093" s="4">
        <f t="array" ref="I1093">IF(ROWS(M$20:M1093)&gt;$F$6,"",INDEX(C$2:C$10000,SMALL(IF(ISNUMBER(MATCH($B$2:$B$10000,$E$6:$E$22,0)),ROW($C$2:$C$10000)-ROW($C$2)+1),ROWS(M$20:M1093))))</f>
        <v>37</v>
      </c>
      <c r="K1093" s="7">
        <f t="array" ref="K1093">IF(ROWS(K$20:K1093)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1093))))</f>
        <v>41492</v>
      </c>
      <c r="L1093" s="4" t="str">
        <f t="array" ref="L1093">IF(ROWS(L$20:L1093)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1093))))</f>
        <v>Rosamond  Allard</v>
      </c>
      <c r="M1093" s="4">
        <f t="array" ref="M1093">IF(ROWS(M$20:M1093)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1093))))</f>
        <v>37</v>
      </c>
    </row>
    <row r="1094" spans="1:13" x14ac:dyDescent="0.25">
      <c r="A1094" s="3">
        <v>41894</v>
      </c>
      <c r="B1094" s="2" t="s">
        <v>47</v>
      </c>
      <c r="C1094" s="2">
        <v>48</v>
      </c>
      <c r="G1094" s="7">
        <f t="array" ref="G1094">IF(ROWS(K$20:K1094)&gt;$F$6,"",INDEX(A$2:A$10000,SMALL(IF(ISNUMBER(MATCH($B$2:$B$10000,$E$6:$E$22,0)),ROW($C$2:$C$10000)-ROW($C$2)+1),ROWS(K$20:K1094))))</f>
        <v>41965</v>
      </c>
      <c r="H1094" s="4" t="str">
        <f t="array" ref="H1094">IF(ROWS(L$20:L1094)&gt;$F$6,"",INDEX(B$2:B$10000,SMALL(IF(ISNUMBER(MATCH($B$2:$B$10000,$E$6:$E$22,0)),ROW($C$2:$C$10000)-ROW($C$2)+1),ROWS(L$20:L1094))))</f>
        <v>Galen  Barth</v>
      </c>
      <c r="I1094" s="4">
        <f t="array" ref="I1094">IF(ROWS(M$20:M1094)&gt;$F$6,"",INDEX(C$2:C$10000,SMALL(IF(ISNUMBER(MATCH($B$2:$B$10000,$E$6:$E$22,0)),ROW($C$2:$C$10000)-ROW($C$2)+1),ROWS(M$20:M1094))))</f>
        <v>52</v>
      </c>
      <c r="K1094" s="7">
        <f t="array" ref="K1094">IF(ROWS(K$20:K1094)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1094))))</f>
        <v>41965</v>
      </c>
      <c r="L1094" s="4" t="str">
        <f t="array" ref="L1094">IF(ROWS(L$20:L1094)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1094))))</f>
        <v>Galen  Barth</v>
      </c>
      <c r="M1094" s="4">
        <f t="array" ref="M1094">IF(ROWS(M$20:M1094)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1094))))</f>
        <v>52</v>
      </c>
    </row>
    <row r="1095" spans="1:13" x14ac:dyDescent="0.25">
      <c r="A1095" s="3">
        <v>41282</v>
      </c>
      <c r="B1095" s="2" t="s">
        <v>47</v>
      </c>
      <c r="C1095" s="2">
        <v>37</v>
      </c>
      <c r="G1095" s="7">
        <f t="array" ref="G1095">IF(ROWS(K$20:K1095)&gt;$F$6,"",INDEX(A$2:A$10000,SMALL(IF(ISNUMBER(MATCH($B$2:$B$10000,$E$6:$E$22,0)),ROW($C$2:$C$10000)-ROW($C$2)+1),ROWS(K$20:K1095))))</f>
        <v>41583</v>
      </c>
      <c r="H1095" s="4" t="str">
        <f t="array" ref="H1095">IF(ROWS(L$20:L1095)&gt;$F$6,"",INDEX(B$2:B$10000,SMALL(IF(ISNUMBER(MATCH($B$2:$B$10000,$E$6:$E$22,0)),ROW($C$2:$C$10000)-ROW($C$2)+1),ROWS(L$20:L1095))))</f>
        <v>Galen  Barth</v>
      </c>
      <c r="I1095" s="4">
        <f t="array" ref="I1095">IF(ROWS(M$20:M1095)&gt;$F$6,"",INDEX(C$2:C$10000,SMALL(IF(ISNUMBER(MATCH($B$2:$B$10000,$E$6:$E$22,0)),ROW($C$2:$C$10000)-ROW($C$2)+1),ROWS(M$20:M1095))))</f>
        <v>10</v>
      </c>
      <c r="K1095" s="7">
        <f t="array" ref="K1095">IF(ROWS(K$20:K1095)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1095))))</f>
        <v>41583</v>
      </c>
      <c r="L1095" s="4" t="str">
        <f t="array" ref="L1095">IF(ROWS(L$20:L1095)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1095))))</f>
        <v>Galen  Barth</v>
      </c>
      <c r="M1095" s="4">
        <f t="array" ref="M1095">IF(ROWS(M$20:M1095)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1095))))</f>
        <v>10</v>
      </c>
    </row>
    <row r="1096" spans="1:13" x14ac:dyDescent="0.25">
      <c r="A1096" s="3">
        <v>41765</v>
      </c>
      <c r="B1096" s="2" t="s">
        <v>8</v>
      </c>
      <c r="C1096" s="2">
        <v>18</v>
      </c>
      <c r="G1096" s="7">
        <f t="array" ref="G1096">IF(ROWS(K$20:K1096)&gt;$F$6,"",INDEX(A$2:A$10000,SMALL(IF(ISNUMBER(MATCH($B$2:$B$10000,$E$6:$E$22,0)),ROW($C$2:$C$10000)-ROW($C$2)+1),ROWS(K$20:K1096))))</f>
        <v>41399</v>
      </c>
      <c r="H1096" s="4" t="str">
        <f t="array" ref="H1096">IF(ROWS(L$20:L1096)&gt;$F$6,"",INDEX(B$2:B$10000,SMALL(IF(ISNUMBER(MATCH($B$2:$B$10000,$E$6:$E$22,0)),ROW($C$2:$C$10000)-ROW($C$2)+1),ROWS(L$20:L1096))))</f>
        <v>Kerrie  Worrell</v>
      </c>
      <c r="I1096" s="4">
        <f t="array" ref="I1096">IF(ROWS(M$20:M1096)&gt;$F$6,"",INDEX(C$2:C$10000,SMALL(IF(ISNUMBER(MATCH($B$2:$B$10000,$E$6:$E$22,0)),ROW($C$2:$C$10000)-ROW($C$2)+1),ROWS(M$20:M1096))))</f>
        <v>3</v>
      </c>
      <c r="K1096" s="7">
        <f t="array" ref="K1096">IF(ROWS(K$20:K1096)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1096))))</f>
        <v>41399</v>
      </c>
      <c r="L1096" s="4" t="str">
        <f t="array" ref="L1096">IF(ROWS(L$20:L1096)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1096))))</f>
        <v>Kerrie  Worrell</v>
      </c>
      <c r="M1096" s="4">
        <f t="array" ref="M1096">IF(ROWS(M$20:M1096)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1096))))</f>
        <v>3</v>
      </c>
    </row>
    <row r="1097" spans="1:13" x14ac:dyDescent="0.25">
      <c r="A1097" s="3">
        <v>41795</v>
      </c>
      <c r="B1097" s="2" t="s">
        <v>32</v>
      </c>
      <c r="C1097" s="2">
        <v>13</v>
      </c>
      <c r="G1097" s="7">
        <f t="array" ref="G1097">IF(ROWS(K$20:K1097)&gt;$F$6,"",INDEX(A$2:A$10000,SMALL(IF(ISNUMBER(MATCH($B$2:$B$10000,$E$6:$E$22,0)),ROW($C$2:$C$10000)-ROW($C$2)+1),ROWS(K$20:K1097))))</f>
        <v>41323</v>
      </c>
      <c r="H1097" s="4" t="str">
        <f t="array" ref="H1097">IF(ROWS(L$20:L1097)&gt;$F$6,"",INDEX(B$2:B$10000,SMALL(IF(ISNUMBER(MATCH($B$2:$B$10000,$E$6:$E$22,0)),ROW($C$2:$C$10000)-ROW($C$2)+1),ROWS(L$20:L1097))))</f>
        <v>Kerrie  Worrell</v>
      </c>
      <c r="I1097" s="4">
        <f t="array" ref="I1097">IF(ROWS(M$20:M1097)&gt;$F$6,"",INDEX(C$2:C$10000,SMALL(IF(ISNUMBER(MATCH($B$2:$B$10000,$E$6:$E$22,0)),ROW($C$2:$C$10000)-ROW($C$2)+1),ROWS(M$20:M1097))))</f>
        <v>36</v>
      </c>
      <c r="K1097" s="7">
        <f t="array" ref="K1097">IF(ROWS(K$20:K1097)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1097))))</f>
        <v>41323</v>
      </c>
      <c r="L1097" s="4" t="str">
        <f t="array" ref="L1097">IF(ROWS(L$20:L1097)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1097))))</f>
        <v>Kerrie  Worrell</v>
      </c>
      <c r="M1097" s="4">
        <f t="array" ref="M1097">IF(ROWS(M$20:M1097)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1097))))</f>
        <v>36</v>
      </c>
    </row>
    <row r="1098" spans="1:13" x14ac:dyDescent="0.25">
      <c r="A1098" s="3">
        <v>41287</v>
      </c>
      <c r="B1098" s="2" t="s">
        <v>9</v>
      </c>
      <c r="C1098" s="2">
        <v>26</v>
      </c>
      <c r="G1098" s="7">
        <f t="array" ref="G1098">IF(ROWS(K$20:K1098)&gt;$F$6,"",INDEX(A$2:A$10000,SMALL(IF(ISNUMBER(MATCH($B$2:$B$10000,$E$6:$E$22,0)),ROW($C$2:$C$10000)-ROW($C$2)+1),ROWS(K$20:K1098))))</f>
        <v>41379</v>
      </c>
      <c r="H1098" s="4" t="str">
        <f t="array" ref="H1098">IF(ROWS(L$20:L1098)&gt;$F$6,"",INDEX(B$2:B$10000,SMALL(IF(ISNUMBER(MATCH($B$2:$B$10000,$E$6:$E$22,0)),ROW($C$2:$C$10000)-ROW($C$2)+1),ROWS(L$20:L1098))))</f>
        <v>Jenni  Thorton</v>
      </c>
      <c r="I1098" s="4">
        <f t="array" ref="I1098">IF(ROWS(M$20:M1098)&gt;$F$6,"",INDEX(C$2:C$10000,SMALL(IF(ISNUMBER(MATCH($B$2:$B$10000,$E$6:$E$22,0)),ROW($C$2:$C$10000)-ROW($C$2)+1),ROWS(M$20:M1098))))</f>
        <v>15</v>
      </c>
      <c r="K1098" s="7">
        <f t="array" ref="K1098">IF(ROWS(K$20:K1098)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1098))))</f>
        <v>41379</v>
      </c>
      <c r="L1098" s="4" t="str">
        <f t="array" ref="L1098">IF(ROWS(L$20:L1098)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1098))))</f>
        <v>Jenni  Thorton</v>
      </c>
      <c r="M1098" s="4">
        <f t="array" ref="M1098">IF(ROWS(M$20:M1098)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1098))))</f>
        <v>15</v>
      </c>
    </row>
    <row r="1099" spans="1:13" x14ac:dyDescent="0.25">
      <c r="A1099" s="3">
        <v>41574</v>
      </c>
      <c r="B1099" s="2" t="s">
        <v>41</v>
      </c>
      <c r="C1099" s="2">
        <v>47</v>
      </c>
      <c r="G1099" s="7">
        <f t="array" ref="G1099">IF(ROWS(K$20:K1099)&gt;$F$6,"",INDEX(A$2:A$10000,SMALL(IF(ISNUMBER(MATCH($B$2:$B$10000,$E$6:$E$22,0)),ROW($C$2:$C$10000)-ROW($C$2)+1),ROWS(K$20:K1099))))</f>
        <v>41411</v>
      </c>
      <c r="H1099" s="4" t="str">
        <f t="array" ref="H1099">IF(ROWS(L$20:L1099)&gt;$F$6,"",INDEX(B$2:B$10000,SMALL(IF(ISNUMBER(MATCH($B$2:$B$10000,$E$6:$E$22,0)),ROW($C$2:$C$10000)-ROW($C$2)+1),ROWS(L$20:L1099))))</f>
        <v>Kerrie  Worrell</v>
      </c>
      <c r="I1099" s="4">
        <f t="array" ref="I1099">IF(ROWS(M$20:M1099)&gt;$F$6,"",INDEX(C$2:C$10000,SMALL(IF(ISNUMBER(MATCH($B$2:$B$10000,$E$6:$E$22,0)),ROW($C$2:$C$10000)-ROW($C$2)+1),ROWS(M$20:M1099))))</f>
        <v>19</v>
      </c>
      <c r="K1099" s="7">
        <f t="array" ref="K1099">IF(ROWS(K$20:K1099)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1099))))</f>
        <v>41411</v>
      </c>
      <c r="L1099" s="4" t="str">
        <f t="array" ref="L1099">IF(ROWS(L$20:L1099)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1099))))</f>
        <v>Kerrie  Worrell</v>
      </c>
      <c r="M1099" s="4">
        <f t="array" ref="M1099">IF(ROWS(M$20:M1099)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1099))))</f>
        <v>19</v>
      </c>
    </row>
    <row r="1100" spans="1:13" x14ac:dyDescent="0.25">
      <c r="A1100" s="3">
        <v>41857</v>
      </c>
      <c r="B1100" s="2" t="s">
        <v>12</v>
      </c>
      <c r="C1100" s="2">
        <v>28</v>
      </c>
      <c r="G1100" s="7">
        <f t="array" ref="G1100">IF(ROWS(K$20:K1100)&gt;$F$6,"",INDEX(A$2:A$10000,SMALL(IF(ISNUMBER(MATCH($B$2:$B$10000,$E$6:$E$22,0)),ROW($C$2:$C$10000)-ROW($C$2)+1),ROWS(K$20:K1100))))</f>
        <v>41520</v>
      </c>
      <c r="H1100" s="4" t="str">
        <f t="array" ref="H1100">IF(ROWS(L$20:L1100)&gt;$F$6,"",INDEX(B$2:B$10000,SMALL(IF(ISNUMBER(MATCH($B$2:$B$10000,$E$6:$E$22,0)),ROW($C$2:$C$10000)-ROW($C$2)+1),ROWS(L$20:L1100))))</f>
        <v>Mickey  Bolduc</v>
      </c>
      <c r="I1100" s="4">
        <f t="array" ref="I1100">IF(ROWS(M$20:M1100)&gt;$F$6,"",INDEX(C$2:C$10000,SMALL(IF(ISNUMBER(MATCH($B$2:$B$10000,$E$6:$E$22,0)),ROW($C$2:$C$10000)-ROW($C$2)+1),ROWS(M$20:M1100))))</f>
        <v>24</v>
      </c>
      <c r="K1100" s="7">
        <f t="array" ref="K1100">IF(ROWS(K$20:K1100)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1100))))</f>
        <v>41520</v>
      </c>
      <c r="L1100" s="4" t="str">
        <f t="array" ref="L1100">IF(ROWS(L$20:L1100)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1100))))</f>
        <v>Mickey  Bolduc</v>
      </c>
      <c r="M1100" s="4">
        <f t="array" ref="M1100">IF(ROWS(M$20:M1100)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1100))))</f>
        <v>24</v>
      </c>
    </row>
    <row r="1101" spans="1:13" x14ac:dyDescent="0.25">
      <c r="A1101" s="3">
        <v>41565</v>
      </c>
      <c r="B1101" s="2" t="s">
        <v>46</v>
      </c>
      <c r="C1101" s="2">
        <v>34</v>
      </c>
      <c r="G1101" s="7">
        <f t="array" ref="G1101">IF(ROWS(K$20:K1101)&gt;$F$6,"",INDEX(A$2:A$10000,SMALL(IF(ISNUMBER(MATCH($B$2:$B$10000,$E$6:$E$22,0)),ROW($C$2:$C$10000)-ROW($C$2)+1),ROWS(K$20:K1101))))</f>
        <v>41980</v>
      </c>
      <c r="H1101" s="4" t="str">
        <f t="array" ref="H1101">IF(ROWS(L$20:L1101)&gt;$F$6,"",INDEX(B$2:B$10000,SMALL(IF(ISNUMBER(MATCH($B$2:$B$10000,$E$6:$E$22,0)),ROW($C$2:$C$10000)-ROW($C$2)+1),ROWS(L$20:L1101))))</f>
        <v>Galen  Barth</v>
      </c>
      <c r="I1101" s="4">
        <f t="array" ref="I1101">IF(ROWS(M$20:M1101)&gt;$F$6,"",INDEX(C$2:C$10000,SMALL(IF(ISNUMBER(MATCH($B$2:$B$10000,$E$6:$E$22,0)),ROW($C$2:$C$10000)-ROW($C$2)+1),ROWS(M$20:M1101))))</f>
        <v>14</v>
      </c>
      <c r="K1101" s="7">
        <f t="array" ref="K1101">IF(ROWS(K$20:K1101)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1101))))</f>
        <v>41980</v>
      </c>
      <c r="L1101" s="4" t="str">
        <f t="array" ref="L1101">IF(ROWS(L$20:L1101)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1101))))</f>
        <v>Galen  Barth</v>
      </c>
      <c r="M1101" s="4">
        <f t="array" ref="M1101">IF(ROWS(M$20:M1101)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1101))))</f>
        <v>14</v>
      </c>
    </row>
    <row r="1102" spans="1:13" x14ac:dyDescent="0.25">
      <c r="A1102" s="3">
        <v>41557</v>
      </c>
      <c r="B1102" s="2" t="s">
        <v>15</v>
      </c>
      <c r="C1102" s="2">
        <v>33</v>
      </c>
      <c r="G1102" s="7">
        <f t="array" ref="G1102">IF(ROWS(K$20:K1102)&gt;$F$6,"",INDEX(A$2:A$10000,SMALL(IF(ISNUMBER(MATCH($B$2:$B$10000,$E$6:$E$22,0)),ROW($C$2:$C$10000)-ROW($C$2)+1),ROWS(K$20:K1102))))</f>
        <v>41745</v>
      </c>
      <c r="H1102" s="4" t="str">
        <f t="array" ref="H1102">IF(ROWS(L$20:L1102)&gt;$F$6,"",INDEX(B$2:B$10000,SMALL(IF(ISNUMBER(MATCH($B$2:$B$10000,$E$6:$E$22,0)),ROW($C$2:$C$10000)-ROW($C$2)+1),ROWS(L$20:L1102))))</f>
        <v>Iliana  Valerio</v>
      </c>
      <c r="I1102" s="4">
        <f t="array" ref="I1102">IF(ROWS(M$20:M1102)&gt;$F$6,"",INDEX(C$2:C$10000,SMALL(IF(ISNUMBER(MATCH($B$2:$B$10000,$E$6:$E$22,0)),ROW($C$2:$C$10000)-ROW($C$2)+1),ROWS(M$20:M1102))))</f>
        <v>36</v>
      </c>
      <c r="K1102" s="7">
        <f t="array" ref="K1102">IF(ROWS(K$20:K1102)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1102))))</f>
        <v>41745</v>
      </c>
      <c r="L1102" s="4" t="str">
        <f t="array" ref="L1102">IF(ROWS(L$20:L1102)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1102))))</f>
        <v>Iliana  Valerio</v>
      </c>
      <c r="M1102" s="4">
        <f t="array" ref="M1102">IF(ROWS(M$20:M1102)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1102))))</f>
        <v>36</v>
      </c>
    </row>
    <row r="1103" spans="1:13" x14ac:dyDescent="0.25">
      <c r="A1103" s="3">
        <v>41404</v>
      </c>
      <c r="B1103" s="2" t="s">
        <v>37</v>
      </c>
      <c r="C1103" s="2">
        <v>22</v>
      </c>
      <c r="G1103" s="7">
        <f t="array" ref="G1103">IF(ROWS(K$20:K1103)&gt;$F$6,"",INDEX(A$2:A$10000,SMALL(IF(ISNUMBER(MATCH($B$2:$B$10000,$E$6:$E$22,0)),ROW($C$2:$C$10000)-ROW($C$2)+1),ROWS(K$20:K1103))))</f>
        <v>41591</v>
      </c>
      <c r="H1103" s="4" t="str">
        <f t="array" ref="H1103">IF(ROWS(L$20:L1103)&gt;$F$6,"",INDEX(B$2:B$10000,SMALL(IF(ISNUMBER(MATCH($B$2:$B$10000,$E$6:$E$22,0)),ROW($C$2:$C$10000)-ROW($C$2)+1),ROWS(L$20:L1103))))</f>
        <v>Kerrie  Worrell</v>
      </c>
      <c r="I1103" s="4">
        <f t="array" ref="I1103">IF(ROWS(M$20:M1103)&gt;$F$6,"",INDEX(C$2:C$10000,SMALL(IF(ISNUMBER(MATCH($B$2:$B$10000,$E$6:$E$22,0)),ROW($C$2:$C$10000)-ROW($C$2)+1),ROWS(M$20:M1103))))</f>
        <v>1</v>
      </c>
      <c r="K1103" s="7">
        <f t="array" ref="K1103">IF(ROWS(K$20:K1103)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1103))))</f>
        <v>41591</v>
      </c>
      <c r="L1103" s="4" t="str">
        <f t="array" ref="L1103">IF(ROWS(L$20:L1103)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1103))))</f>
        <v>Kerrie  Worrell</v>
      </c>
      <c r="M1103" s="4">
        <f t="array" ref="M1103">IF(ROWS(M$20:M1103)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1103))))</f>
        <v>1</v>
      </c>
    </row>
    <row r="1104" spans="1:13" x14ac:dyDescent="0.25">
      <c r="A1104" s="3">
        <v>41970</v>
      </c>
      <c r="B1104" s="2" t="s">
        <v>26</v>
      </c>
      <c r="C1104" s="2">
        <v>39</v>
      </c>
      <c r="G1104" s="7">
        <f t="array" ref="G1104">IF(ROWS(K$20:K1104)&gt;$F$6,"",INDEX(A$2:A$10000,SMALL(IF(ISNUMBER(MATCH($B$2:$B$10000,$E$6:$E$22,0)),ROW($C$2:$C$10000)-ROW($C$2)+1),ROWS(K$20:K1104))))</f>
        <v>41851</v>
      </c>
      <c r="H1104" s="4" t="str">
        <f t="array" ref="H1104">IF(ROWS(L$20:L1104)&gt;$F$6,"",INDEX(B$2:B$10000,SMALL(IF(ISNUMBER(MATCH($B$2:$B$10000,$E$6:$E$22,0)),ROW($C$2:$C$10000)-ROW($C$2)+1),ROWS(L$20:L1104))))</f>
        <v>Jenni  Thorton</v>
      </c>
      <c r="I1104" s="4">
        <f t="array" ref="I1104">IF(ROWS(M$20:M1104)&gt;$F$6,"",INDEX(C$2:C$10000,SMALL(IF(ISNUMBER(MATCH($B$2:$B$10000,$E$6:$E$22,0)),ROW($C$2:$C$10000)-ROW($C$2)+1),ROWS(M$20:M1104))))</f>
        <v>23</v>
      </c>
      <c r="K1104" s="7">
        <f t="array" ref="K1104">IF(ROWS(K$20:K1104)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1104))))</f>
        <v>41851</v>
      </c>
      <c r="L1104" s="4" t="str">
        <f t="array" ref="L1104">IF(ROWS(L$20:L1104)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1104))))</f>
        <v>Jenni  Thorton</v>
      </c>
      <c r="M1104" s="4">
        <f t="array" ref="M1104">IF(ROWS(M$20:M1104)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1104))))</f>
        <v>23</v>
      </c>
    </row>
    <row r="1105" spans="1:13" x14ac:dyDescent="0.25">
      <c r="A1105" s="3">
        <v>41492</v>
      </c>
      <c r="B1105" s="2" t="s">
        <v>32</v>
      </c>
      <c r="C1105" s="2">
        <v>37</v>
      </c>
      <c r="G1105" s="7">
        <f t="array" ref="G1105">IF(ROWS(K$20:K1105)&gt;$F$6,"",INDEX(A$2:A$10000,SMALL(IF(ISNUMBER(MATCH($B$2:$B$10000,$E$6:$E$22,0)),ROW($C$2:$C$10000)-ROW($C$2)+1),ROWS(K$20:K1105))))</f>
        <v>41405</v>
      </c>
      <c r="H1105" s="4" t="str">
        <f t="array" ref="H1105">IF(ROWS(L$20:L1105)&gt;$F$6,"",INDEX(B$2:B$10000,SMALL(IF(ISNUMBER(MATCH($B$2:$B$10000,$E$6:$E$22,0)),ROW($C$2:$C$10000)-ROW($C$2)+1),ROWS(L$20:L1105))))</f>
        <v>Rosamond  Allard</v>
      </c>
      <c r="I1105" s="4">
        <f t="array" ref="I1105">IF(ROWS(M$20:M1105)&gt;$F$6,"",INDEX(C$2:C$10000,SMALL(IF(ISNUMBER(MATCH($B$2:$B$10000,$E$6:$E$22,0)),ROW($C$2:$C$10000)-ROW($C$2)+1),ROWS(M$20:M1105))))</f>
        <v>38</v>
      </c>
      <c r="K1105" s="7">
        <f t="array" ref="K1105">IF(ROWS(K$20:K1105)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1105))))</f>
        <v>41405</v>
      </c>
      <c r="L1105" s="4" t="str">
        <f t="array" ref="L1105">IF(ROWS(L$20:L1105)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1105))))</f>
        <v>Rosamond  Allard</v>
      </c>
      <c r="M1105" s="4">
        <f t="array" ref="M1105">IF(ROWS(M$20:M1105)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1105))))</f>
        <v>38</v>
      </c>
    </row>
    <row r="1106" spans="1:13" x14ac:dyDescent="0.25">
      <c r="A1106" s="3">
        <v>41496</v>
      </c>
      <c r="B1106" s="2" t="s">
        <v>8</v>
      </c>
      <c r="C1106" s="2">
        <v>33</v>
      </c>
      <c r="G1106" s="7">
        <f t="array" ref="G1106">IF(ROWS(K$20:K1106)&gt;$F$6,"",INDEX(A$2:A$10000,SMALL(IF(ISNUMBER(MATCH($B$2:$B$10000,$E$6:$E$22,0)),ROW($C$2:$C$10000)-ROW($C$2)+1),ROWS(K$20:K1106))))</f>
        <v>41797</v>
      </c>
      <c r="H1106" s="4" t="str">
        <f t="array" ref="H1106">IF(ROWS(L$20:L1106)&gt;$F$6,"",INDEX(B$2:B$10000,SMALL(IF(ISNUMBER(MATCH($B$2:$B$10000,$E$6:$E$22,0)),ROW($C$2:$C$10000)-ROW($C$2)+1),ROWS(L$20:L1106))))</f>
        <v>Rosamond  Allard</v>
      </c>
      <c r="I1106" s="4">
        <f t="array" ref="I1106">IF(ROWS(M$20:M1106)&gt;$F$6,"",INDEX(C$2:C$10000,SMALL(IF(ISNUMBER(MATCH($B$2:$B$10000,$E$6:$E$22,0)),ROW($C$2:$C$10000)-ROW($C$2)+1),ROWS(M$20:M1106))))</f>
        <v>22</v>
      </c>
      <c r="K1106" s="7">
        <f t="array" ref="K1106">IF(ROWS(K$20:K1106)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1106))))</f>
        <v>41797</v>
      </c>
      <c r="L1106" s="4" t="str">
        <f t="array" ref="L1106">IF(ROWS(L$20:L1106)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1106))))</f>
        <v>Rosamond  Allard</v>
      </c>
      <c r="M1106" s="4">
        <f t="array" ref="M1106">IF(ROWS(M$20:M1106)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1106))))</f>
        <v>22</v>
      </c>
    </row>
    <row r="1107" spans="1:13" x14ac:dyDescent="0.25">
      <c r="A1107" s="3">
        <v>42002</v>
      </c>
      <c r="B1107" s="2" t="s">
        <v>48</v>
      </c>
      <c r="C1107" s="2">
        <v>4</v>
      </c>
      <c r="G1107" s="7">
        <f t="array" ref="G1107">IF(ROWS(K$20:K1107)&gt;$F$6,"",INDEX(A$2:A$10000,SMALL(IF(ISNUMBER(MATCH($B$2:$B$10000,$E$6:$E$22,0)),ROW($C$2:$C$10000)-ROW($C$2)+1),ROWS(K$20:K1107))))</f>
        <v>41982</v>
      </c>
      <c r="H1107" s="4" t="str">
        <f t="array" ref="H1107">IF(ROWS(L$20:L1107)&gt;$F$6,"",INDEX(B$2:B$10000,SMALL(IF(ISNUMBER(MATCH($B$2:$B$10000,$E$6:$E$22,0)),ROW($C$2:$C$10000)-ROW($C$2)+1),ROWS(L$20:L1107))))</f>
        <v>Galen  Barth</v>
      </c>
      <c r="I1107" s="4">
        <f t="array" ref="I1107">IF(ROWS(M$20:M1107)&gt;$F$6,"",INDEX(C$2:C$10000,SMALL(IF(ISNUMBER(MATCH($B$2:$B$10000,$E$6:$E$22,0)),ROW($C$2:$C$10000)-ROW($C$2)+1),ROWS(M$20:M1107))))</f>
        <v>42</v>
      </c>
      <c r="K1107" s="7">
        <f t="array" ref="K1107">IF(ROWS(K$20:K1107)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1107))))</f>
        <v>41982</v>
      </c>
      <c r="L1107" s="4" t="str">
        <f t="array" ref="L1107">IF(ROWS(L$20:L1107)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1107))))</f>
        <v>Galen  Barth</v>
      </c>
      <c r="M1107" s="4">
        <f t="array" ref="M1107">IF(ROWS(M$20:M1107)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1107))))</f>
        <v>42</v>
      </c>
    </row>
    <row r="1108" spans="1:13" x14ac:dyDescent="0.25">
      <c r="A1108" s="3">
        <v>41280</v>
      </c>
      <c r="B1108" s="2" t="s">
        <v>17</v>
      </c>
      <c r="C1108" s="2">
        <v>15</v>
      </c>
      <c r="G1108" s="7">
        <f t="array" ref="G1108">IF(ROWS(K$20:K1108)&gt;$F$6,"",INDEX(A$2:A$10000,SMALL(IF(ISNUMBER(MATCH($B$2:$B$10000,$E$6:$E$22,0)),ROW($C$2:$C$10000)-ROW($C$2)+1),ROWS(K$20:K1108))))</f>
        <v>41576</v>
      </c>
      <c r="H1108" s="4" t="str">
        <f t="array" ref="H1108">IF(ROWS(L$20:L1108)&gt;$F$6,"",INDEX(B$2:B$10000,SMALL(IF(ISNUMBER(MATCH($B$2:$B$10000,$E$6:$E$22,0)),ROW($C$2:$C$10000)-ROW($C$2)+1),ROWS(L$20:L1108))))</f>
        <v>Rosamond  Allard</v>
      </c>
      <c r="I1108" s="4">
        <f t="array" ref="I1108">IF(ROWS(M$20:M1108)&gt;$F$6,"",INDEX(C$2:C$10000,SMALL(IF(ISNUMBER(MATCH($B$2:$B$10000,$E$6:$E$22,0)),ROW($C$2:$C$10000)-ROW($C$2)+1),ROWS(M$20:M1108))))</f>
        <v>21</v>
      </c>
      <c r="K1108" s="7">
        <f t="array" ref="K1108">IF(ROWS(K$20:K1108)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1108))))</f>
        <v>41576</v>
      </c>
      <c r="L1108" s="4" t="str">
        <f t="array" ref="L1108">IF(ROWS(L$20:L1108)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1108))))</f>
        <v>Rosamond  Allard</v>
      </c>
      <c r="M1108" s="4">
        <f t="array" ref="M1108">IF(ROWS(M$20:M1108)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1108))))</f>
        <v>21</v>
      </c>
    </row>
    <row r="1109" spans="1:13" x14ac:dyDescent="0.25">
      <c r="A1109" s="3">
        <v>41621</v>
      </c>
      <c r="B1109" s="2" t="s">
        <v>27</v>
      </c>
      <c r="C1109" s="2">
        <v>39</v>
      </c>
      <c r="G1109" s="7">
        <f t="array" ref="G1109">IF(ROWS(K$20:K1109)&gt;$F$6,"",INDEX(A$2:A$10000,SMALL(IF(ISNUMBER(MATCH($B$2:$B$10000,$E$6:$E$22,0)),ROW($C$2:$C$10000)-ROW($C$2)+1),ROWS(K$20:K1109))))</f>
        <v>41342</v>
      </c>
      <c r="H1109" s="4" t="str">
        <f t="array" ref="H1109">IF(ROWS(L$20:L1109)&gt;$F$6,"",INDEX(B$2:B$10000,SMALL(IF(ISNUMBER(MATCH($B$2:$B$10000,$E$6:$E$22,0)),ROW($C$2:$C$10000)-ROW($C$2)+1),ROWS(L$20:L1109))))</f>
        <v>Jenni  Thorton</v>
      </c>
      <c r="I1109" s="4">
        <f t="array" ref="I1109">IF(ROWS(M$20:M1109)&gt;$F$6,"",INDEX(C$2:C$10000,SMALL(IF(ISNUMBER(MATCH($B$2:$B$10000,$E$6:$E$22,0)),ROW($C$2:$C$10000)-ROW($C$2)+1),ROWS(M$20:M1109))))</f>
        <v>21</v>
      </c>
      <c r="K1109" s="7">
        <f t="array" ref="K1109">IF(ROWS(K$20:K1109)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1109))))</f>
        <v>41342</v>
      </c>
      <c r="L1109" s="4" t="str">
        <f t="array" ref="L1109">IF(ROWS(L$20:L1109)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1109))))</f>
        <v>Jenni  Thorton</v>
      </c>
      <c r="M1109" s="4">
        <f t="array" ref="M1109">IF(ROWS(M$20:M1109)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1109))))</f>
        <v>21</v>
      </c>
    </row>
    <row r="1110" spans="1:13" x14ac:dyDescent="0.25">
      <c r="A1110" s="3">
        <v>41734</v>
      </c>
      <c r="B1110" s="2" t="s">
        <v>49</v>
      </c>
      <c r="C1110" s="2">
        <v>29</v>
      </c>
      <c r="G1110" s="7">
        <f t="array" ref="G1110">IF(ROWS(K$20:K1110)&gt;$F$6,"",INDEX(A$2:A$10000,SMALL(IF(ISNUMBER(MATCH($B$2:$B$10000,$E$6:$E$22,0)),ROW($C$2:$C$10000)-ROW($C$2)+1),ROWS(K$20:K1110))))</f>
        <v>41347</v>
      </c>
      <c r="H1110" s="4" t="str">
        <f t="array" ref="H1110">IF(ROWS(L$20:L1110)&gt;$F$6,"",INDEX(B$2:B$10000,SMALL(IF(ISNUMBER(MATCH($B$2:$B$10000,$E$6:$E$22,0)),ROW($C$2:$C$10000)-ROW($C$2)+1),ROWS(L$20:L1110))))</f>
        <v>Kerrie  Worrell</v>
      </c>
      <c r="I1110" s="4">
        <f t="array" ref="I1110">IF(ROWS(M$20:M1110)&gt;$F$6,"",INDEX(C$2:C$10000,SMALL(IF(ISNUMBER(MATCH($B$2:$B$10000,$E$6:$E$22,0)),ROW($C$2:$C$10000)-ROW($C$2)+1),ROWS(M$20:M1110))))</f>
        <v>31</v>
      </c>
      <c r="K1110" s="7">
        <f t="array" ref="K1110">IF(ROWS(K$20:K1110)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1110))))</f>
        <v>41347</v>
      </c>
      <c r="L1110" s="4" t="str">
        <f t="array" ref="L1110">IF(ROWS(L$20:L1110)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1110))))</f>
        <v>Kerrie  Worrell</v>
      </c>
      <c r="M1110" s="4">
        <f t="array" ref="M1110">IF(ROWS(M$20:M1110)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1110))))</f>
        <v>31</v>
      </c>
    </row>
    <row r="1111" spans="1:13" x14ac:dyDescent="0.25">
      <c r="A1111" s="3">
        <v>41749</v>
      </c>
      <c r="B1111" s="2" t="s">
        <v>49</v>
      </c>
      <c r="C1111" s="2">
        <v>41</v>
      </c>
      <c r="G1111" s="7">
        <f t="array" ref="G1111">IF(ROWS(K$20:K1111)&gt;$F$6,"",INDEX(A$2:A$10000,SMALL(IF(ISNUMBER(MATCH($B$2:$B$10000,$E$6:$E$22,0)),ROW($C$2:$C$10000)-ROW($C$2)+1),ROWS(K$20:K1111))))</f>
        <v>41716</v>
      </c>
      <c r="H1111" s="4" t="str">
        <f t="array" ref="H1111">IF(ROWS(L$20:L1111)&gt;$F$6,"",INDEX(B$2:B$10000,SMALL(IF(ISNUMBER(MATCH($B$2:$B$10000,$E$6:$E$22,0)),ROW($C$2:$C$10000)-ROW($C$2)+1),ROWS(L$20:L1111))))</f>
        <v>Jenni  Thorton</v>
      </c>
      <c r="I1111" s="4">
        <f t="array" ref="I1111">IF(ROWS(M$20:M1111)&gt;$F$6,"",INDEX(C$2:C$10000,SMALL(IF(ISNUMBER(MATCH($B$2:$B$10000,$E$6:$E$22,0)),ROW($C$2:$C$10000)-ROW($C$2)+1),ROWS(M$20:M1111))))</f>
        <v>32</v>
      </c>
      <c r="K1111" s="7">
        <f t="array" ref="K1111">IF(ROWS(K$20:K1111)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1111))))</f>
        <v>41716</v>
      </c>
      <c r="L1111" s="4" t="str">
        <f t="array" ref="L1111">IF(ROWS(L$20:L1111)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1111))))</f>
        <v>Jenni  Thorton</v>
      </c>
      <c r="M1111" s="4">
        <f t="array" ref="M1111">IF(ROWS(M$20:M1111)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1111))))</f>
        <v>32</v>
      </c>
    </row>
    <row r="1112" spans="1:13" x14ac:dyDescent="0.25">
      <c r="A1112" s="3">
        <v>41305</v>
      </c>
      <c r="B1112" s="2" t="s">
        <v>35</v>
      </c>
      <c r="C1112" s="2">
        <v>15</v>
      </c>
      <c r="G1112" s="7">
        <f t="array" ref="G1112">IF(ROWS(K$20:K1112)&gt;$F$6,"",INDEX(A$2:A$10000,SMALL(IF(ISNUMBER(MATCH($B$2:$B$10000,$E$6:$E$22,0)),ROW($C$2:$C$10000)-ROW($C$2)+1),ROWS(K$20:K1112))))</f>
        <v>41493</v>
      </c>
      <c r="H1112" s="4" t="str">
        <f t="array" ref="H1112">IF(ROWS(L$20:L1112)&gt;$F$6,"",INDEX(B$2:B$10000,SMALL(IF(ISNUMBER(MATCH($B$2:$B$10000,$E$6:$E$22,0)),ROW($C$2:$C$10000)-ROW($C$2)+1),ROWS(L$20:L1112))))</f>
        <v>Galen  Barth</v>
      </c>
      <c r="I1112" s="4">
        <f t="array" ref="I1112">IF(ROWS(M$20:M1112)&gt;$F$6,"",INDEX(C$2:C$10000,SMALL(IF(ISNUMBER(MATCH($B$2:$B$10000,$E$6:$E$22,0)),ROW($C$2:$C$10000)-ROW($C$2)+1),ROWS(M$20:M1112))))</f>
        <v>22</v>
      </c>
      <c r="K1112" s="7">
        <f t="array" ref="K1112">IF(ROWS(K$20:K1112)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1112))))</f>
        <v>41493</v>
      </c>
      <c r="L1112" s="4" t="str">
        <f t="array" ref="L1112">IF(ROWS(L$20:L1112)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1112))))</f>
        <v>Galen  Barth</v>
      </c>
      <c r="M1112" s="4">
        <f t="array" ref="M1112">IF(ROWS(M$20:M1112)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1112))))</f>
        <v>22</v>
      </c>
    </row>
    <row r="1113" spans="1:13" x14ac:dyDescent="0.25">
      <c r="A1113" s="3">
        <v>41906</v>
      </c>
      <c r="B1113" s="2" t="s">
        <v>33</v>
      </c>
      <c r="C1113" s="2">
        <v>31</v>
      </c>
      <c r="G1113" s="7">
        <f t="array" ref="G1113">IF(ROWS(K$20:K1113)&gt;$F$6,"",INDEX(A$2:A$10000,SMALL(IF(ISNUMBER(MATCH($B$2:$B$10000,$E$6:$E$22,0)),ROW($C$2:$C$10000)-ROW($C$2)+1),ROWS(K$20:K1113))))</f>
        <v>41469</v>
      </c>
      <c r="H1113" s="4" t="str">
        <f t="array" ref="H1113">IF(ROWS(L$20:L1113)&gt;$F$6,"",INDEX(B$2:B$10000,SMALL(IF(ISNUMBER(MATCH($B$2:$B$10000,$E$6:$E$22,0)),ROW($C$2:$C$10000)-ROW($C$2)+1),ROWS(L$20:L1113))))</f>
        <v>Galen  Barth</v>
      </c>
      <c r="I1113" s="4">
        <f t="array" ref="I1113">IF(ROWS(M$20:M1113)&gt;$F$6,"",INDEX(C$2:C$10000,SMALL(IF(ISNUMBER(MATCH($B$2:$B$10000,$E$6:$E$22,0)),ROW($C$2:$C$10000)-ROW($C$2)+1),ROWS(M$20:M1113))))</f>
        <v>35</v>
      </c>
      <c r="K1113" s="7">
        <f t="array" ref="K1113">IF(ROWS(K$20:K1113)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1113))))</f>
        <v>41469</v>
      </c>
      <c r="L1113" s="4" t="str">
        <f t="array" ref="L1113">IF(ROWS(L$20:L1113)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1113))))</f>
        <v>Galen  Barth</v>
      </c>
      <c r="M1113" s="4">
        <f t="array" ref="M1113">IF(ROWS(M$20:M1113)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1113))))</f>
        <v>35</v>
      </c>
    </row>
    <row r="1114" spans="1:13" x14ac:dyDescent="0.25">
      <c r="A1114" s="3">
        <v>41530</v>
      </c>
      <c r="B1114" s="2" t="s">
        <v>17</v>
      </c>
      <c r="C1114" s="2">
        <v>25</v>
      </c>
      <c r="G1114" s="7">
        <f t="array" ref="G1114">IF(ROWS(K$20:K1114)&gt;$F$6,"",INDEX(A$2:A$10000,SMALL(IF(ISNUMBER(MATCH($B$2:$B$10000,$E$6:$E$22,0)),ROW($C$2:$C$10000)-ROW($C$2)+1),ROWS(K$20:K1114))))</f>
        <v>41356</v>
      </c>
      <c r="H1114" s="4" t="str">
        <f t="array" ref="H1114">IF(ROWS(L$20:L1114)&gt;$F$6,"",INDEX(B$2:B$10000,SMALL(IF(ISNUMBER(MATCH($B$2:$B$10000,$E$6:$E$22,0)),ROW($C$2:$C$10000)-ROW($C$2)+1),ROWS(L$20:L1114))))</f>
        <v>Mickey  Bolduc</v>
      </c>
      <c r="I1114" s="4">
        <f t="array" ref="I1114">IF(ROWS(M$20:M1114)&gt;$F$6,"",INDEX(C$2:C$10000,SMALL(IF(ISNUMBER(MATCH($B$2:$B$10000,$E$6:$E$22,0)),ROW($C$2:$C$10000)-ROW($C$2)+1),ROWS(M$20:M1114))))</f>
        <v>23</v>
      </c>
      <c r="K1114" s="7">
        <f t="array" ref="K1114">IF(ROWS(K$20:K1114)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1114))))</f>
        <v>41356</v>
      </c>
      <c r="L1114" s="4" t="str">
        <f t="array" ref="L1114">IF(ROWS(L$20:L1114)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1114))))</f>
        <v>Mickey  Bolduc</v>
      </c>
      <c r="M1114" s="4">
        <f t="array" ref="M1114">IF(ROWS(M$20:M1114)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1114))))</f>
        <v>23</v>
      </c>
    </row>
    <row r="1115" spans="1:13" x14ac:dyDescent="0.25">
      <c r="A1115" s="3">
        <v>41503</v>
      </c>
      <c r="B1115" s="2" t="s">
        <v>23</v>
      </c>
      <c r="C1115" s="2">
        <v>12</v>
      </c>
      <c r="G1115" s="7">
        <f t="array" ref="G1115">IF(ROWS(K$20:K1115)&gt;$F$6,"",INDEX(A$2:A$10000,SMALL(IF(ISNUMBER(MATCH($B$2:$B$10000,$E$6:$E$22,0)),ROW($C$2:$C$10000)-ROW($C$2)+1),ROWS(K$20:K1115))))</f>
        <v>41482</v>
      </c>
      <c r="H1115" s="4" t="str">
        <f t="array" ref="H1115">IF(ROWS(L$20:L1115)&gt;$F$6,"",INDEX(B$2:B$10000,SMALL(IF(ISNUMBER(MATCH($B$2:$B$10000,$E$6:$E$22,0)),ROW($C$2:$C$10000)-ROW($C$2)+1),ROWS(L$20:L1115))))</f>
        <v>Jenni  Thorton</v>
      </c>
      <c r="I1115" s="4">
        <f t="array" ref="I1115">IF(ROWS(M$20:M1115)&gt;$F$6,"",INDEX(C$2:C$10000,SMALL(IF(ISNUMBER(MATCH($B$2:$B$10000,$E$6:$E$22,0)),ROW($C$2:$C$10000)-ROW($C$2)+1),ROWS(M$20:M1115))))</f>
        <v>58</v>
      </c>
      <c r="K1115" s="7">
        <f t="array" ref="K1115">IF(ROWS(K$20:K1115)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1115))))</f>
        <v>41482</v>
      </c>
      <c r="L1115" s="4" t="str">
        <f t="array" ref="L1115">IF(ROWS(L$20:L1115)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1115))))</f>
        <v>Jenni  Thorton</v>
      </c>
      <c r="M1115" s="4">
        <f t="array" ref="M1115">IF(ROWS(M$20:M1115)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1115))))</f>
        <v>58</v>
      </c>
    </row>
    <row r="1116" spans="1:13" x14ac:dyDescent="0.25">
      <c r="A1116" s="3">
        <v>41961</v>
      </c>
      <c r="B1116" s="2" t="s">
        <v>5</v>
      </c>
      <c r="C1116" s="2">
        <v>15</v>
      </c>
      <c r="G1116" s="7">
        <f t="array" ref="G1116">IF(ROWS(K$20:K1116)&gt;$F$6,"",INDEX(A$2:A$10000,SMALL(IF(ISNUMBER(MATCH($B$2:$B$10000,$E$6:$E$22,0)),ROW($C$2:$C$10000)-ROW($C$2)+1),ROWS(K$20:K1116))))</f>
        <v>41976</v>
      </c>
      <c r="H1116" s="4" t="str">
        <f t="array" ref="H1116">IF(ROWS(L$20:L1116)&gt;$F$6,"",INDEX(B$2:B$10000,SMALL(IF(ISNUMBER(MATCH($B$2:$B$10000,$E$6:$E$22,0)),ROW($C$2:$C$10000)-ROW($C$2)+1),ROWS(L$20:L1116))))</f>
        <v>Mickey  Bolduc</v>
      </c>
      <c r="I1116" s="4">
        <f t="array" ref="I1116">IF(ROWS(M$20:M1116)&gt;$F$6,"",INDEX(C$2:C$10000,SMALL(IF(ISNUMBER(MATCH($B$2:$B$10000,$E$6:$E$22,0)),ROW($C$2:$C$10000)-ROW($C$2)+1),ROWS(M$20:M1116))))</f>
        <v>9</v>
      </c>
      <c r="K1116" s="7">
        <f t="array" ref="K1116">IF(ROWS(K$20:K1116)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1116))))</f>
        <v>41976</v>
      </c>
      <c r="L1116" s="4" t="str">
        <f t="array" ref="L1116">IF(ROWS(L$20:L1116)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1116))))</f>
        <v>Mickey  Bolduc</v>
      </c>
      <c r="M1116" s="4">
        <f t="array" ref="M1116">IF(ROWS(M$20:M1116)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1116))))</f>
        <v>9</v>
      </c>
    </row>
    <row r="1117" spans="1:13" x14ac:dyDescent="0.25">
      <c r="A1117" s="3">
        <v>41502</v>
      </c>
      <c r="B1117" s="2" t="s">
        <v>26</v>
      </c>
      <c r="C1117" s="2">
        <v>9</v>
      </c>
      <c r="G1117" s="7">
        <f t="array" ref="G1117">IF(ROWS(K$20:K1117)&gt;$F$6,"",INDEX(A$2:A$10000,SMALL(IF(ISNUMBER(MATCH($B$2:$B$10000,$E$6:$E$22,0)),ROW($C$2:$C$10000)-ROW($C$2)+1),ROWS(K$20:K1117))))</f>
        <v>41299</v>
      </c>
      <c r="H1117" s="4" t="str">
        <f t="array" ref="H1117">IF(ROWS(L$20:L1117)&gt;$F$6,"",INDEX(B$2:B$10000,SMALL(IF(ISNUMBER(MATCH($B$2:$B$10000,$E$6:$E$22,0)),ROW($C$2:$C$10000)-ROW($C$2)+1),ROWS(L$20:L1117))))</f>
        <v>Rosamond  Allard</v>
      </c>
      <c r="I1117" s="4">
        <f t="array" ref="I1117">IF(ROWS(M$20:M1117)&gt;$F$6,"",INDEX(C$2:C$10000,SMALL(IF(ISNUMBER(MATCH($B$2:$B$10000,$E$6:$E$22,0)),ROW($C$2:$C$10000)-ROW($C$2)+1),ROWS(M$20:M1117))))</f>
        <v>14</v>
      </c>
      <c r="K1117" s="7">
        <f t="array" ref="K1117">IF(ROWS(K$20:K1117)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1117))))</f>
        <v>41299</v>
      </c>
      <c r="L1117" s="4" t="str">
        <f t="array" ref="L1117">IF(ROWS(L$20:L1117)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1117))))</f>
        <v>Rosamond  Allard</v>
      </c>
      <c r="M1117" s="4">
        <f t="array" ref="M1117">IF(ROWS(M$20:M1117)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1117))))</f>
        <v>14</v>
      </c>
    </row>
    <row r="1118" spans="1:13" x14ac:dyDescent="0.25">
      <c r="A1118" s="3">
        <v>41372</v>
      </c>
      <c r="B1118" s="2" t="s">
        <v>14</v>
      </c>
      <c r="C1118" s="2">
        <v>18</v>
      </c>
      <c r="G1118" s="7">
        <f t="array" ref="G1118">IF(ROWS(K$20:K1118)&gt;$F$6,"",INDEX(A$2:A$10000,SMALL(IF(ISNUMBER(MATCH($B$2:$B$10000,$E$6:$E$22,0)),ROW($C$2:$C$10000)-ROW($C$2)+1),ROWS(K$20:K1118))))</f>
        <v>41740</v>
      </c>
      <c r="H1118" s="4" t="str">
        <f t="array" ref="H1118">IF(ROWS(L$20:L1118)&gt;$F$6,"",INDEX(B$2:B$10000,SMALL(IF(ISNUMBER(MATCH($B$2:$B$10000,$E$6:$E$22,0)),ROW($C$2:$C$10000)-ROW($C$2)+1),ROWS(L$20:L1118))))</f>
        <v>Kerrie  Worrell</v>
      </c>
      <c r="I1118" s="4">
        <f t="array" ref="I1118">IF(ROWS(M$20:M1118)&gt;$F$6,"",INDEX(C$2:C$10000,SMALL(IF(ISNUMBER(MATCH($B$2:$B$10000,$E$6:$E$22,0)),ROW($C$2:$C$10000)-ROW($C$2)+1),ROWS(M$20:M1118))))</f>
        <v>15</v>
      </c>
      <c r="K1118" s="7">
        <f t="array" ref="K1118">IF(ROWS(K$20:K1118)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1118))))</f>
        <v>41740</v>
      </c>
      <c r="L1118" s="4" t="str">
        <f t="array" ref="L1118">IF(ROWS(L$20:L1118)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1118))))</f>
        <v>Kerrie  Worrell</v>
      </c>
      <c r="M1118" s="4">
        <f t="array" ref="M1118">IF(ROWS(M$20:M1118)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1118))))</f>
        <v>15</v>
      </c>
    </row>
    <row r="1119" spans="1:13" x14ac:dyDescent="0.25">
      <c r="A1119" s="3">
        <v>41603</v>
      </c>
      <c r="B1119" s="2" t="s">
        <v>45</v>
      </c>
      <c r="C1119" s="2">
        <v>31</v>
      </c>
      <c r="G1119" s="7">
        <f t="array" ref="G1119">IF(ROWS(K$20:K1119)&gt;$F$6,"",INDEX(A$2:A$10000,SMALL(IF(ISNUMBER(MATCH($B$2:$B$10000,$E$6:$E$22,0)),ROW($C$2:$C$10000)-ROW($C$2)+1),ROWS(K$20:K1119))))</f>
        <v>41311</v>
      </c>
      <c r="H1119" s="4" t="str">
        <f t="array" ref="H1119">IF(ROWS(L$20:L1119)&gt;$F$6,"",INDEX(B$2:B$10000,SMALL(IF(ISNUMBER(MATCH($B$2:$B$10000,$E$6:$E$22,0)),ROW($C$2:$C$10000)-ROW($C$2)+1),ROWS(L$20:L1119))))</f>
        <v>Galen  Barth</v>
      </c>
      <c r="I1119" s="4">
        <f t="array" ref="I1119">IF(ROWS(M$20:M1119)&gt;$F$6,"",INDEX(C$2:C$10000,SMALL(IF(ISNUMBER(MATCH($B$2:$B$10000,$E$6:$E$22,0)),ROW($C$2:$C$10000)-ROW($C$2)+1),ROWS(M$20:M1119))))</f>
        <v>11</v>
      </c>
      <c r="K1119" s="7">
        <f t="array" ref="K1119">IF(ROWS(K$20:K1119)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1119))))</f>
        <v>41311</v>
      </c>
      <c r="L1119" s="4" t="str">
        <f t="array" ref="L1119">IF(ROWS(L$20:L1119)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1119))))</f>
        <v>Galen  Barth</v>
      </c>
      <c r="M1119" s="4">
        <f t="array" ref="M1119">IF(ROWS(M$20:M1119)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1119))))</f>
        <v>11</v>
      </c>
    </row>
    <row r="1120" spans="1:13" x14ac:dyDescent="0.25">
      <c r="A1120" s="3">
        <v>41310</v>
      </c>
      <c r="B1120" s="2" t="s">
        <v>20</v>
      </c>
      <c r="C1120" s="2">
        <v>27</v>
      </c>
      <c r="G1120" s="7">
        <f t="array" ref="G1120">IF(ROWS(K$20:K1120)&gt;$F$6,"",INDEX(A$2:A$10000,SMALL(IF(ISNUMBER(MATCH($B$2:$B$10000,$E$6:$E$22,0)),ROW($C$2:$C$10000)-ROW($C$2)+1),ROWS(K$20:K1120))))</f>
        <v>41899</v>
      </c>
      <c r="H1120" s="4" t="str">
        <f t="array" ref="H1120">IF(ROWS(L$20:L1120)&gt;$F$6,"",INDEX(B$2:B$10000,SMALL(IF(ISNUMBER(MATCH($B$2:$B$10000,$E$6:$E$22,0)),ROW($C$2:$C$10000)-ROW($C$2)+1),ROWS(L$20:L1120))))</f>
        <v>Mickey  Bolduc</v>
      </c>
      <c r="I1120" s="4">
        <f t="array" ref="I1120">IF(ROWS(M$20:M1120)&gt;$F$6,"",INDEX(C$2:C$10000,SMALL(IF(ISNUMBER(MATCH($B$2:$B$10000,$E$6:$E$22,0)),ROW($C$2:$C$10000)-ROW($C$2)+1),ROWS(M$20:M1120))))</f>
        <v>48</v>
      </c>
      <c r="K1120" s="7">
        <f t="array" ref="K1120">IF(ROWS(K$20:K1120)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1120))))</f>
        <v>41899</v>
      </c>
      <c r="L1120" s="4" t="str">
        <f t="array" ref="L1120">IF(ROWS(L$20:L1120)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1120))))</f>
        <v>Mickey  Bolduc</v>
      </c>
      <c r="M1120" s="4">
        <f t="array" ref="M1120">IF(ROWS(M$20:M1120)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1120))))</f>
        <v>48</v>
      </c>
    </row>
    <row r="1121" spans="1:13" x14ac:dyDescent="0.25">
      <c r="A1121" s="3">
        <v>41389</v>
      </c>
      <c r="B1121" s="2" t="s">
        <v>44</v>
      </c>
      <c r="C1121" s="2">
        <v>24</v>
      </c>
      <c r="G1121" s="7">
        <f t="array" ref="G1121">IF(ROWS(K$20:K1121)&gt;$F$6,"",INDEX(A$2:A$10000,SMALL(IF(ISNUMBER(MATCH($B$2:$B$10000,$E$6:$E$22,0)),ROW($C$2:$C$10000)-ROW($C$2)+1),ROWS(K$20:K1121))))</f>
        <v>41898</v>
      </c>
      <c r="H1121" s="4" t="str">
        <f t="array" ref="H1121">IF(ROWS(L$20:L1121)&gt;$F$6,"",INDEX(B$2:B$10000,SMALL(IF(ISNUMBER(MATCH($B$2:$B$10000,$E$6:$E$22,0)),ROW($C$2:$C$10000)-ROW($C$2)+1),ROWS(L$20:L1121))))</f>
        <v>Rosamond  Allard</v>
      </c>
      <c r="I1121" s="4">
        <f t="array" ref="I1121">IF(ROWS(M$20:M1121)&gt;$F$6,"",INDEX(C$2:C$10000,SMALL(IF(ISNUMBER(MATCH($B$2:$B$10000,$E$6:$E$22,0)),ROW($C$2:$C$10000)-ROW($C$2)+1),ROWS(M$20:M1121))))</f>
        <v>20</v>
      </c>
      <c r="K1121" s="7">
        <f t="array" ref="K1121">IF(ROWS(K$20:K1121)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1121))))</f>
        <v>41898</v>
      </c>
      <c r="L1121" s="4" t="str">
        <f t="array" ref="L1121">IF(ROWS(L$20:L1121)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1121))))</f>
        <v>Rosamond  Allard</v>
      </c>
      <c r="M1121" s="4">
        <f t="array" ref="M1121">IF(ROWS(M$20:M1121)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1121))))</f>
        <v>20</v>
      </c>
    </row>
    <row r="1122" spans="1:13" x14ac:dyDescent="0.25">
      <c r="A1122" s="3">
        <v>41312</v>
      </c>
      <c r="B1122" s="2" t="s">
        <v>23</v>
      </c>
      <c r="C1122" s="2">
        <v>13</v>
      </c>
      <c r="G1122" s="7">
        <f t="array" ref="G1122">IF(ROWS(K$20:K1122)&gt;$F$6,"",INDEX(A$2:A$10000,SMALL(IF(ISNUMBER(MATCH($B$2:$B$10000,$E$6:$E$22,0)),ROW($C$2:$C$10000)-ROW($C$2)+1),ROWS(K$20:K1122))))</f>
        <v>41856</v>
      </c>
      <c r="H1122" s="4" t="str">
        <f t="array" ref="H1122">IF(ROWS(L$20:L1122)&gt;$F$6,"",INDEX(B$2:B$10000,SMALL(IF(ISNUMBER(MATCH($B$2:$B$10000,$E$6:$E$22,0)),ROW($C$2:$C$10000)-ROW($C$2)+1),ROWS(L$20:L1122))))</f>
        <v>Jenni  Thorton</v>
      </c>
      <c r="I1122" s="4">
        <f t="array" ref="I1122">IF(ROWS(M$20:M1122)&gt;$F$6,"",INDEX(C$2:C$10000,SMALL(IF(ISNUMBER(MATCH($B$2:$B$10000,$E$6:$E$22,0)),ROW($C$2:$C$10000)-ROW($C$2)+1),ROWS(M$20:M1122))))</f>
        <v>47</v>
      </c>
      <c r="K1122" s="7">
        <f t="array" ref="K1122">IF(ROWS(K$20:K1122)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1122))))</f>
        <v>41856</v>
      </c>
      <c r="L1122" s="4" t="str">
        <f t="array" ref="L1122">IF(ROWS(L$20:L1122)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1122))))</f>
        <v>Jenni  Thorton</v>
      </c>
      <c r="M1122" s="4">
        <f t="array" ref="M1122">IF(ROWS(M$20:M1122)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1122))))</f>
        <v>47</v>
      </c>
    </row>
    <row r="1123" spans="1:13" x14ac:dyDescent="0.25">
      <c r="A1123" s="3">
        <v>41490</v>
      </c>
      <c r="B1123" s="2" t="s">
        <v>44</v>
      </c>
      <c r="C1123" s="2">
        <v>14</v>
      </c>
      <c r="G1123" s="7">
        <f t="array" ref="G1123">IF(ROWS(K$20:K1123)&gt;$F$6,"",INDEX(A$2:A$10000,SMALL(IF(ISNUMBER(MATCH($B$2:$B$10000,$E$6:$E$22,0)),ROW($C$2:$C$10000)-ROW($C$2)+1),ROWS(K$20:K1123))))</f>
        <v>41728</v>
      </c>
      <c r="H1123" s="4" t="str">
        <f t="array" ref="H1123">IF(ROWS(L$20:L1123)&gt;$F$6,"",INDEX(B$2:B$10000,SMALL(IF(ISNUMBER(MATCH($B$2:$B$10000,$E$6:$E$22,0)),ROW($C$2:$C$10000)-ROW($C$2)+1),ROWS(L$20:L1123))))</f>
        <v>Iliana  Valerio</v>
      </c>
      <c r="I1123" s="4">
        <f t="array" ref="I1123">IF(ROWS(M$20:M1123)&gt;$F$6,"",INDEX(C$2:C$10000,SMALL(IF(ISNUMBER(MATCH($B$2:$B$10000,$E$6:$E$22,0)),ROW($C$2:$C$10000)-ROW($C$2)+1),ROWS(M$20:M1123))))</f>
        <v>24</v>
      </c>
      <c r="K1123" s="7">
        <f t="array" ref="K1123">IF(ROWS(K$20:K1123)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1123))))</f>
        <v>41728</v>
      </c>
      <c r="L1123" s="4" t="str">
        <f t="array" ref="L1123">IF(ROWS(L$20:L1123)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1123))))</f>
        <v>Iliana  Valerio</v>
      </c>
      <c r="M1123" s="4">
        <f t="array" ref="M1123">IF(ROWS(M$20:M1123)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1123))))</f>
        <v>24</v>
      </c>
    </row>
    <row r="1124" spans="1:13" x14ac:dyDescent="0.25">
      <c r="A1124" s="3">
        <v>41850</v>
      </c>
      <c r="B1124" s="2" t="s">
        <v>29</v>
      </c>
      <c r="C1124" s="2">
        <v>30</v>
      </c>
      <c r="G1124" s="7">
        <f t="array" ref="G1124">IF(ROWS(K$20:K1124)&gt;$F$6,"",INDEX(A$2:A$10000,SMALL(IF(ISNUMBER(MATCH($B$2:$B$10000,$E$6:$E$22,0)),ROW($C$2:$C$10000)-ROW($C$2)+1),ROWS(K$20:K1124))))</f>
        <v>41949</v>
      </c>
      <c r="H1124" s="4" t="str">
        <f t="array" ref="H1124">IF(ROWS(L$20:L1124)&gt;$F$6,"",INDEX(B$2:B$10000,SMALL(IF(ISNUMBER(MATCH($B$2:$B$10000,$E$6:$E$22,0)),ROW($C$2:$C$10000)-ROW($C$2)+1),ROWS(L$20:L1124))))</f>
        <v>Galen  Barth</v>
      </c>
      <c r="I1124" s="4">
        <f t="array" ref="I1124">IF(ROWS(M$20:M1124)&gt;$F$6,"",INDEX(C$2:C$10000,SMALL(IF(ISNUMBER(MATCH($B$2:$B$10000,$E$6:$E$22,0)),ROW($C$2:$C$10000)-ROW($C$2)+1),ROWS(M$20:M1124))))</f>
        <v>18</v>
      </c>
      <c r="K1124" s="7">
        <f t="array" ref="K1124">IF(ROWS(K$20:K1124)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1124))))</f>
        <v>41949</v>
      </c>
      <c r="L1124" s="4" t="str">
        <f t="array" ref="L1124">IF(ROWS(L$20:L1124)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1124))))</f>
        <v>Galen  Barth</v>
      </c>
      <c r="M1124" s="4">
        <f t="array" ref="M1124">IF(ROWS(M$20:M1124)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1124))))</f>
        <v>18</v>
      </c>
    </row>
    <row r="1125" spans="1:13" x14ac:dyDescent="0.25">
      <c r="A1125" s="3">
        <v>41819</v>
      </c>
      <c r="B1125" s="2" t="s">
        <v>39</v>
      </c>
      <c r="C1125" s="2">
        <v>3</v>
      </c>
      <c r="G1125" s="7">
        <f t="array" ref="G1125">IF(ROWS(K$20:K1125)&gt;$F$6,"",INDEX(A$2:A$10000,SMALL(IF(ISNUMBER(MATCH($B$2:$B$10000,$E$6:$E$22,0)),ROW($C$2:$C$10000)-ROW($C$2)+1),ROWS(K$20:K1125))))</f>
        <v>41371</v>
      </c>
      <c r="H1125" s="4" t="str">
        <f t="array" ref="H1125">IF(ROWS(L$20:L1125)&gt;$F$6,"",INDEX(B$2:B$10000,SMALL(IF(ISNUMBER(MATCH($B$2:$B$10000,$E$6:$E$22,0)),ROW($C$2:$C$10000)-ROW($C$2)+1),ROWS(L$20:L1125))))</f>
        <v>Jenni  Thorton</v>
      </c>
      <c r="I1125" s="4">
        <f t="array" ref="I1125">IF(ROWS(M$20:M1125)&gt;$F$6,"",INDEX(C$2:C$10000,SMALL(IF(ISNUMBER(MATCH($B$2:$B$10000,$E$6:$E$22,0)),ROW($C$2:$C$10000)-ROW($C$2)+1),ROWS(M$20:M1125))))</f>
        <v>8</v>
      </c>
      <c r="K1125" s="7">
        <f t="array" ref="K1125">IF(ROWS(K$20:K1125)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1125))))</f>
        <v>41371</v>
      </c>
      <c r="L1125" s="4" t="str">
        <f t="array" ref="L1125">IF(ROWS(L$20:L1125)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1125))))</f>
        <v>Jenni  Thorton</v>
      </c>
      <c r="M1125" s="4">
        <f t="array" ref="M1125">IF(ROWS(M$20:M1125)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1125))))</f>
        <v>8</v>
      </c>
    </row>
    <row r="1126" spans="1:13" x14ac:dyDescent="0.25">
      <c r="A1126" s="3">
        <v>41900</v>
      </c>
      <c r="B1126" s="2" t="s">
        <v>12</v>
      </c>
      <c r="C1126" s="2">
        <v>35</v>
      </c>
      <c r="G1126" s="7">
        <f t="array" ref="G1126">IF(ROWS(K$20:K1126)&gt;$F$6,"",INDEX(A$2:A$10000,SMALL(IF(ISNUMBER(MATCH($B$2:$B$10000,$E$6:$E$22,0)),ROW($C$2:$C$10000)-ROW($C$2)+1),ROWS(K$20:K1126))))</f>
        <v>41359</v>
      </c>
      <c r="H1126" s="4" t="str">
        <f t="array" ref="H1126">IF(ROWS(L$20:L1126)&gt;$F$6,"",INDEX(B$2:B$10000,SMALL(IF(ISNUMBER(MATCH($B$2:$B$10000,$E$6:$E$22,0)),ROW($C$2:$C$10000)-ROW($C$2)+1),ROWS(L$20:L1126))))</f>
        <v>Iliana  Valerio</v>
      </c>
      <c r="I1126" s="4">
        <f t="array" ref="I1126">IF(ROWS(M$20:M1126)&gt;$F$6,"",INDEX(C$2:C$10000,SMALL(IF(ISNUMBER(MATCH($B$2:$B$10000,$E$6:$E$22,0)),ROW($C$2:$C$10000)-ROW($C$2)+1),ROWS(M$20:M1126))))</f>
        <v>41</v>
      </c>
      <c r="K1126" s="7">
        <f t="array" ref="K1126">IF(ROWS(K$20:K1126)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1126))))</f>
        <v>41359</v>
      </c>
      <c r="L1126" s="4" t="str">
        <f t="array" ref="L1126">IF(ROWS(L$20:L1126)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1126))))</f>
        <v>Iliana  Valerio</v>
      </c>
      <c r="M1126" s="4">
        <f t="array" ref="M1126">IF(ROWS(M$20:M1126)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1126))))</f>
        <v>41</v>
      </c>
    </row>
    <row r="1127" spans="1:13" x14ac:dyDescent="0.25">
      <c r="A1127" s="3">
        <v>41810</v>
      </c>
      <c r="B1127" s="2" t="s">
        <v>24</v>
      </c>
      <c r="C1127" s="2">
        <v>14</v>
      </c>
      <c r="G1127" s="7">
        <f t="array" ref="G1127">IF(ROWS(K$20:K1127)&gt;$F$6,"",INDEX(A$2:A$10000,SMALL(IF(ISNUMBER(MATCH($B$2:$B$10000,$E$6:$E$22,0)),ROW($C$2:$C$10000)-ROW($C$2)+1),ROWS(K$20:K1127))))</f>
        <v>41311</v>
      </c>
      <c r="H1127" s="4" t="str">
        <f t="array" ref="H1127">IF(ROWS(L$20:L1127)&gt;$F$6,"",INDEX(B$2:B$10000,SMALL(IF(ISNUMBER(MATCH($B$2:$B$10000,$E$6:$E$22,0)),ROW($C$2:$C$10000)-ROW($C$2)+1),ROWS(L$20:L1127))))</f>
        <v>Jenni  Thorton</v>
      </c>
      <c r="I1127" s="4">
        <f t="array" ref="I1127">IF(ROWS(M$20:M1127)&gt;$F$6,"",INDEX(C$2:C$10000,SMALL(IF(ISNUMBER(MATCH($B$2:$B$10000,$E$6:$E$22,0)),ROW($C$2:$C$10000)-ROW($C$2)+1),ROWS(M$20:M1127))))</f>
        <v>12</v>
      </c>
      <c r="K1127" s="7">
        <f t="array" ref="K1127">IF(ROWS(K$20:K1127)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1127))))</f>
        <v>41311</v>
      </c>
      <c r="L1127" s="4" t="str">
        <f t="array" ref="L1127">IF(ROWS(L$20:L1127)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1127))))</f>
        <v>Jenni  Thorton</v>
      </c>
      <c r="M1127" s="4">
        <f t="array" ref="M1127">IF(ROWS(M$20:M1127)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1127))))</f>
        <v>12</v>
      </c>
    </row>
    <row r="1128" spans="1:13" x14ac:dyDescent="0.25">
      <c r="A1128" s="3">
        <v>41883</v>
      </c>
      <c r="B1128" s="2" t="s">
        <v>14</v>
      </c>
      <c r="C1128" s="2">
        <v>22</v>
      </c>
      <c r="G1128" s="7">
        <f t="array" ref="G1128">IF(ROWS(K$20:K1128)&gt;$F$6,"",INDEX(A$2:A$10000,SMALL(IF(ISNUMBER(MATCH($B$2:$B$10000,$E$6:$E$22,0)),ROW($C$2:$C$10000)-ROW($C$2)+1),ROWS(K$20:K1128))))</f>
        <v>41905</v>
      </c>
      <c r="H1128" s="4" t="str">
        <f t="array" ref="H1128">IF(ROWS(L$20:L1128)&gt;$F$6,"",INDEX(B$2:B$10000,SMALL(IF(ISNUMBER(MATCH($B$2:$B$10000,$E$6:$E$22,0)),ROW($C$2:$C$10000)-ROW($C$2)+1),ROWS(L$20:L1128))))</f>
        <v>Iliana  Valerio</v>
      </c>
      <c r="I1128" s="4">
        <f t="array" ref="I1128">IF(ROWS(M$20:M1128)&gt;$F$6,"",INDEX(C$2:C$10000,SMALL(IF(ISNUMBER(MATCH($B$2:$B$10000,$E$6:$E$22,0)),ROW($C$2:$C$10000)-ROW($C$2)+1),ROWS(M$20:M1128))))</f>
        <v>46</v>
      </c>
      <c r="K1128" s="7">
        <f t="array" ref="K1128">IF(ROWS(K$20:K1128)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1128))))</f>
        <v>41905</v>
      </c>
      <c r="L1128" s="4" t="str">
        <f t="array" ref="L1128">IF(ROWS(L$20:L1128)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1128))))</f>
        <v>Iliana  Valerio</v>
      </c>
      <c r="M1128" s="4">
        <f t="array" ref="M1128">IF(ROWS(M$20:M1128)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1128))))</f>
        <v>46</v>
      </c>
    </row>
    <row r="1129" spans="1:13" x14ac:dyDescent="0.25">
      <c r="A1129" s="3">
        <v>41920</v>
      </c>
      <c r="B1129" s="2" t="s">
        <v>20</v>
      </c>
      <c r="C1129" s="2">
        <v>13</v>
      </c>
      <c r="G1129" s="7">
        <f t="array" ref="G1129">IF(ROWS(K$20:K1129)&gt;$F$6,"",INDEX(A$2:A$10000,SMALL(IF(ISNUMBER(MATCH($B$2:$B$10000,$E$6:$E$22,0)),ROW($C$2:$C$10000)-ROW($C$2)+1),ROWS(K$20:K1129))))</f>
        <v>41569</v>
      </c>
      <c r="H1129" s="4" t="str">
        <f t="array" ref="H1129">IF(ROWS(L$20:L1129)&gt;$F$6,"",INDEX(B$2:B$10000,SMALL(IF(ISNUMBER(MATCH($B$2:$B$10000,$E$6:$E$22,0)),ROW($C$2:$C$10000)-ROW($C$2)+1),ROWS(L$20:L1129))))</f>
        <v>Kerrie  Worrell</v>
      </c>
      <c r="I1129" s="4">
        <f t="array" ref="I1129">IF(ROWS(M$20:M1129)&gt;$F$6,"",INDEX(C$2:C$10000,SMALL(IF(ISNUMBER(MATCH($B$2:$B$10000,$E$6:$E$22,0)),ROW($C$2:$C$10000)-ROW($C$2)+1),ROWS(M$20:M1129))))</f>
        <v>20</v>
      </c>
      <c r="K1129" s="7">
        <f t="array" ref="K1129">IF(ROWS(K$20:K1129)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1129))))</f>
        <v>41569</v>
      </c>
      <c r="L1129" s="4" t="str">
        <f t="array" ref="L1129">IF(ROWS(L$20:L1129)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1129))))</f>
        <v>Kerrie  Worrell</v>
      </c>
      <c r="M1129" s="4">
        <f t="array" ref="M1129">IF(ROWS(M$20:M1129)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1129))))</f>
        <v>20</v>
      </c>
    </row>
    <row r="1130" spans="1:13" x14ac:dyDescent="0.25">
      <c r="A1130" s="3">
        <v>41633</v>
      </c>
      <c r="B1130" s="2" t="s">
        <v>22</v>
      </c>
      <c r="C1130" s="2">
        <v>24</v>
      </c>
      <c r="G1130" s="7">
        <f t="array" ref="G1130">IF(ROWS(K$20:K1130)&gt;$F$6,"",INDEX(A$2:A$10000,SMALL(IF(ISNUMBER(MATCH($B$2:$B$10000,$E$6:$E$22,0)),ROW($C$2:$C$10000)-ROW($C$2)+1),ROWS(K$20:K1130))))</f>
        <v>41395</v>
      </c>
      <c r="H1130" s="4" t="str">
        <f t="array" ref="H1130">IF(ROWS(L$20:L1130)&gt;$F$6,"",INDEX(B$2:B$10000,SMALL(IF(ISNUMBER(MATCH($B$2:$B$10000,$E$6:$E$22,0)),ROW($C$2:$C$10000)-ROW($C$2)+1),ROWS(L$20:L1130))))</f>
        <v>Kerrie  Worrell</v>
      </c>
      <c r="I1130" s="4">
        <f t="array" ref="I1130">IF(ROWS(M$20:M1130)&gt;$F$6,"",INDEX(C$2:C$10000,SMALL(IF(ISNUMBER(MATCH($B$2:$B$10000,$E$6:$E$22,0)),ROW($C$2:$C$10000)-ROW($C$2)+1),ROWS(M$20:M1130))))</f>
        <v>33</v>
      </c>
      <c r="K1130" s="7">
        <f t="array" ref="K1130">IF(ROWS(K$20:K1130)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1130))))</f>
        <v>41395</v>
      </c>
      <c r="L1130" s="4" t="str">
        <f t="array" ref="L1130">IF(ROWS(L$20:L1130)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1130))))</f>
        <v>Kerrie  Worrell</v>
      </c>
      <c r="M1130" s="4">
        <f t="array" ref="M1130">IF(ROWS(M$20:M1130)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1130))))</f>
        <v>33</v>
      </c>
    </row>
    <row r="1131" spans="1:13" x14ac:dyDescent="0.25">
      <c r="A1131" s="3">
        <v>41520</v>
      </c>
      <c r="B1131" s="2" t="s">
        <v>17</v>
      </c>
      <c r="C1131" s="2">
        <v>13</v>
      </c>
      <c r="G1131" s="7">
        <f t="array" ref="G1131">IF(ROWS(K$20:K1131)&gt;$F$6,"",INDEX(A$2:A$10000,SMALL(IF(ISNUMBER(MATCH($B$2:$B$10000,$E$6:$E$22,0)),ROW($C$2:$C$10000)-ROW($C$2)+1),ROWS(K$20:K1131))))</f>
        <v>41693</v>
      </c>
      <c r="H1131" s="4" t="str">
        <f t="array" ref="H1131">IF(ROWS(L$20:L1131)&gt;$F$6,"",INDEX(B$2:B$10000,SMALL(IF(ISNUMBER(MATCH($B$2:$B$10000,$E$6:$E$22,0)),ROW($C$2:$C$10000)-ROW($C$2)+1),ROWS(L$20:L1131))))</f>
        <v>Jenni  Thorton</v>
      </c>
      <c r="I1131" s="4">
        <f t="array" ref="I1131">IF(ROWS(M$20:M1131)&gt;$F$6,"",INDEX(C$2:C$10000,SMALL(IF(ISNUMBER(MATCH($B$2:$B$10000,$E$6:$E$22,0)),ROW($C$2:$C$10000)-ROW($C$2)+1),ROWS(M$20:M1131))))</f>
        <v>31</v>
      </c>
      <c r="K1131" s="7">
        <f t="array" ref="K1131">IF(ROWS(K$20:K1131)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1131))))</f>
        <v>41693</v>
      </c>
      <c r="L1131" s="4" t="str">
        <f t="array" ref="L1131">IF(ROWS(L$20:L1131)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1131))))</f>
        <v>Jenni  Thorton</v>
      </c>
      <c r="M1131" s="4">
        <f t="array" ref="M1131">IF(ROWS(M$20:M1131)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1131))))</f>
        <v>31</v>
      </c>
    </row>
    <row r="1132" spans="1:13" x14ac:dyDescent="0.25">
      <c r="A1132" s="3">
        <v>41540</v>
      </c>
      <c r="B1132" s="2" t="s">
        <v>37</v>
      </c>
      <c r="C1132" s="2">
        <v>38</v>
      </c>
      <c r="G1132" s="7">
        <f t="array" ref="G1132">IF(ROWS(K$20:K1132)&gt;$F$6,"",INDEX(A$2:A$10000,SMALL(IF(ISNUMBER(MATCH($B$2:$B$10000,$E$6:$E$22,0)),ROW($C$2:$C$10000)-ROW($C$2)+1),ROWS(K$20:K1132))))</f>
        <v>41352</v>
      </c>
      <c r="H1132" s="4" t="str">
        <f t="array" ref="H1132">IF(ROWS(L$20:L1132)&gt;$F$6,"",INDEX(B$2:B$10000,SMALL(IF(ISNUMBER(MATCH($B$2:$B$10000,$E$6:$E$22,0)),ROW($C$2:$C$10000)-ROW($C$2)+1),ROWS(L$20:L1132))))</f>
        <v>Galen  Barth</v>
      </c>
      <c r="I1132" s="4">
        <f t="array" ref="I1132">IF(ROWS(M$20:M1132)&gt;$F$6,"",INDEX(C$2:C$10000,SMALL(IF(ISNUMBER(MATCH($B$2:$B$10000,$E$6:$E$22,0)),ROW($C$2:$C$10000)-ROW($C$2)+1),ROWS(M$20:M1132))))</f>
        <v>16</v>
      </c>
      <c r="K1132" s="7">
        <f t="array" ref="K1132">IF(ROWS(K$20:K1132)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1132))))</f>
        <v>41352</v>
      </c>
      <c r="L1132" s="4" t="str">
        <f t="array" ref="L1132">IF(ROWS(L$20:L1132)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1132))))</f>
        <v>Galen  Barth</v>
      </c>
      <c r="M1132" s="4">
        <f t="array" ref="M1132">IF(ROWS(M$20:M1132)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1132))))</f>
        <v>16</v>
      </c>
    </row>
    <row r="1133" spans="1:13" x14ac:dyDescent="0.25">
      <c r="A1133" s="3">
        <v>41344</v>
      </c>
      <c r="B1133" s="2" t="s">
        <v>6</v>
      </c>
      <c r="C1133" s="2">
        <v>22</v>
      </c>
      <c r="G1133" s="7">
        <f t="array" ref="G1133">IF(ROWS(K$20:K1133)&gt;$F$6,"",INDEX(A$2:A$10000,SMALL(IF(ISNUMBER(MATCH($B$2:$B$10000,$E$6:$E$22,0)),ROW($C$2:$C$10000)-ROW($C$2)+1),ROWS(K$20:K1133))))</f>
        <v>41886</v>
      </c>
      <c r="H1133" s="4" t="str">
        <f t="array" ref="H1133">IF(ROWS(L$20:L1133)&gt;$F$6,"",INDEX(B$2:B$10000,SMALL(IF(ISNUMBER(MATCH($B$2:$B$10000,$E$6:$E$22,0)),ROW($C$2:$C$10000)-ROW($C$2)+1),ROWS(L$20:L1133))))</f>
        <v>Iliana  Valerio</v>
      </c>
      <c r="I1133" s="4">
        <f t="array" ref="I1133">IF(ROWS(M$20:M1133)&gt;$F$6,"",INDEX(C$2:C$10000,SMALL(IF(ISNUMBER(MATCH($B$2:$B$10000,$E$6:$E$22,0)),ROW($C$2:$C$10000)-ROW($C$2)+1),ROWS(M$20:M1133))))</f>
        <v>37</v>
      </c>
      <c r="K1133" s="7">
        <f t="array" ref="K1133">IF(ROWS(K$20:K1133)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1133))))</f>
        <v>41886</v>
      </c>
      <c r="L1133" s="4" t="str">
        <f t="array" ref="L1133">IF(ROWS(L$20:L1133)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1133))))</f>
        <v>Iliana  Valerio</v>
      </c>
      <c r="M1133" s="4">
        <f t="array" ref="M1133">IF(ROWS(M$20:M1133)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1133))))</f>
        <v>37</v>
      </c>
    </row>
    <row r="1134" spans="1:13" x14ac:dyDescent="0.25">
      <c r="A1134" s="3">
        <v>41613</v>
      </c>
      <c r="B1134" s="2" t="s">
        <v>2</v>
      </c>
      <c r="C1134" s="2">
        <v>30</v>
      </c>
      <c r="G1134" s="7">
        <f t="array" ref="G1134">IF(ROWS(K$20:K1134)&gt;$F$6,"",INDEX(A$2:A$10000,SMALL(IF(ISNUMBER(MATCH($B$2:$B$10000,$E$6:$E$22,0)),ROW($C$2:$C$10000)-ROW($C$2)+1),ROWS(K$20:K1134))))</f>
        <v>41545</v>
      </c>
      <c r="H1134" s="4" t="str">
        <f t="array" ref="H1134">IF(ROWS(L$20:L1134)&gt;$F$6,"",INDEX(B$2:B$10000,SMALL(IF(ISNUMBER(MATCH($B$2:$B$10000,$E$6:$E$22,0)),ROW($C$2:$C$10000)-ROW($C$2)+1),ROWS(L$20:L1134))))</f>
        <v>Mickey  Bolduc</v>
      </c>
      <c r="I1134" s="4">
        <f t="array" ref="I1134">IF(ROWS(M$20:M1134)&gt;$F$6,"",INDEX(C$2:C$10000,SMALL(IF(ISNUMBER(MATCH($B$2:$B$10000,$E$6:$E$22,0)),ROW($C$2:$C$10000)-ROW($C$2)+1),ROWS(M$20:M1134))))</f>
        <v>19</v>
      </c>
      <c r="K1134" s="7">
        <f t="array" ref="K1134">IF(ROWS(K$20:K1134)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1134))))</f>
        <v>41545</v>
      </c>
      <c r="L1134" s="4" t="str">
        <f t="array" ref="L1134">IF(ROWS(L$20:L1134)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1134))))</f>
        <v>Mickey  Bolduc</v>
      </c>
      <c r="M1134" s="4">
        <f t="array" ref="M1134">IF(ROWS(M$20:M1134)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1134))))</f>
        <v>19</v>
      </c>
    </row>
    <row r="1135" spans="1:13" x14ac:dyDescent="0.25">
      <c r="A1135" s="3">
        <v>41279</v>
      </c>
      <c r="B1135" s="2" t="s">
        <v>21</v>
      </c>
      <c r="C1135" s="2">
        <v>49</v>
      </c>
      <c r="G1135" s="7">
        <f t="array" ref="G1135">IF(ROWS(K$20:K1135)&gt;$F$6,"",INDEX(A$2:A$10000,SMALL(IF(ISNUMBER(MATCH($B$2:$B$10000,$E$6:$E$22,0)),ROW($C$2:$C$10000)-ROW($C$2)+1),ROWS(K$20:K1135))))</f>
        <v>41291</v>
      </c>
      <c r="H1135" s="4" t="str">
        <f t="array" ref="H1135">IF(ROWS(L$20:L1135)&gt;$F$6,"",INDEX(B$2:B$10000,SMALL(IF(ISNUMBER(MATCH($B$2:$B$10000,$E$6:$E$22,0)),ROW($C$2:$C$10000)-ROW($C$2)+1),ROWS(L$20:L1135))))</f>
        <v>Iliana  Valerio</v>
      </c>
      <c r="I1135" s="4">
        <f t="array" ref="I1135">IF(ROWS(M$20:M1135)&gt;$F$6,"",INDEX(C$2:C$10000,SMALL(IF(ISNUMBER(MATCH($B$2:$B$10000,$E$6:$E$22,0)),ROW($C$2:$C$10000)-ROW($C$2)+1),ROWS(M$20:M1135))))</f>
        <v>14</v>
      </c>
      <c r="K1135" s="7">
        <f t="array" ref="K1135">IF(ROWS(K$20:K1135)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1135))))</f>
        <v>41291</v>
      </c>
      <c r="L1135" s="4" t="str">
        <f t="array" ref="L1135">IF(ROWS(L$20:L1135)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1135))))</f>
        <v>Iliana  Valerio</v>
      </c>
      <c r="M1135" s="4">
        <f t="array" ref="M1135">IF(ROWS(M$20:M1135)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1135))))</f>
        <v>14</v>
      </c>
    </row>
    <row r="1136" spans="1:13" x14ac:dyDescent="0.25">
      <c r="A1136" s="3">
        <v>41645</v>
      </c>
      <c r="B1136" s="2" t="s">
        <v>28</v>
      </c>
      <c r="C1136" s="2">
        <v>6</v>
      </c>
      <c r="G1136" s="7">
        <f t="array" ref="G1136">IF(ROWS(K$20:K1136)&gt;$F$6,"",INDEX(A$2:A$10000,SMALL(IF(ISNUMBER(MATCH($B$2:$B$10000,$E$6:$E$22,0)),ROW($C$2:$C$10000)-ROW($C$2)+1),ROWS(K$20:K1136))))</f>
        <v>41757</v>
      </c>
      <c r="H1136" s="4" t="str">
        <f t="array" ref="H1136">IF(ROWS(L$20:L1136)&gt;$F$6,"",INDEX(B$2:B$10000,SMALL(IF(ISNUMBER(MATCH($B$2:$B$10000,$E$6:$E$22,0)),ROW($C$2:$C$10000)-ROW($C$2)+1),ROWS(L$20:L1136))))</f>
        <v>Iliana  Valerio</v>
      </c>
      <c r="I1136" s="4">
        <f t="array" ref="I1136">IF(ROWS(M$20:M1136)&gt;$F$6,"",INDEX(C$2:C$10000,SMALL(IF(ISNUMBER(MATCH($B$2:$B$10000,$E$6:$E$22,0)),ROW($C$2:$C$10000)-ROW($C$2)+1),ROWS(M$20:M1136))))</f>
        <v>23</v>
      </c>
      <c r="K1136" s="7">
        <f t="array" ref="K1136">IF(ROWS(K$20:K1136)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1136))))</f>
        <v>41757</v>
      </c>
      <c r="L1136" s="4" t="str">
        <f t="array" ref="L1136">IF(ROWS(L$20:L1136)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1136))))</f>
        <v>Iliana  Valerio</v>
      </c>
      <c r="M1136" s="4">
        <f t="array" ref="M1136">IF(ROWS(M$20:M1136)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1136))))</f>
        <v>23</v>
      </c>
    </row>
    <row r="1137" spans="1:13" x14ac:dyDescent="0.25">
      <c r="A1137" s="3">
        <v>41964</v>
      </c>
      <c r="B1137" s="2" t="s">
        <v>31</v>
      </c>
      <c r="C1137" s="2">
        <v>19</v>
      </c>
      <c r="G1137" s="7">
        <f t="array" ref="G1137">IF(ROWS(K$20:K1137)&gt;$F$6,"",INDEX(A$2:A$10000,SMALL(IF(ISNUMBER(MATCH($B$2:$B$10000,$E$6:$E$22,0)),ROW($C$2:$C$10000)-ROW($C$2)+1),ROWS(K$20:K1137))))</f>
        <v>41497</v>
      </c>
      <c r="H1137" s="4" t="str">
        <f t="array" ref="H1137">IF(ROWS(L$20:L1137)&gt;$F$6,"",INDEX(B$2:B$10000,SMALL(IF(ISNUMBER(MATCH($B$2:$B$10000,$E$6:$E$22,0)),ROW($C$2:$C$10000)-ROW($C$2)+1),ROWS(L$20:L1137))))</f>
        <v>Iliana  Valerio</v>
      </c>
      <c r="I1137" s="4">
        <f t="array" ref="I1137">IF(ROWS(M$20:M1137)&gt;$F$6,"",INDEX(C$2:C$10000,SMALL(IF(ISNUMBER(MATCH($B$2:$B$10000,$E$6:$E$22,0)),ROW($C$2:$C$10000)-ROW($C$2)+1),ROWS(M$20:M1137))))</f>
        <v>37</v>
      </c>
      <c r="K1137" s="7">
        <f t="array" ref="K1137">IF(ROWS(K$20:K1137)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1137))))</f>
        <v>41497</v>
      </c>
      <c r="L1137" s="4" t="str">
        <f t="array" ref="L1137">IF(ROWS(L$20:L1137)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1137))))</f>
        <v>Iliana  Valerio</v>
      </c>
      <c r="M1137" s="4">
        <f t="array" ref="M1137">IF(ROWS(M$20:M1137)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1137))))</f>
        <v>37</v>
      </c>
    </row>
    <row r="1138" spans="1:13" x14ac:dyDescent="0.25">
      <c r="A1138" s="3">
        <v>41921</v>
      </c>
      <c r="B1138" s="2" t="s">
        <v>35</v>
      </c>
      <c r="C1138" s="2">
        <v>28</v>
      </c>
      <c r="G1138" s="7">
        <f t="array" ref="G1138">IF(ROWS(K$20:K1138)&gt;$F$6,"",INDEX(A$2:A$10000,SMALL(IF(ISNUMBER(MATCH($B$2:$B$10000,$E$6:$E$22,0)),ROW($C$2:$C$10000)-ROW($C$2)+1),ROWS(K$20:K1138))))</f>
        <v>41946</v>
      </c>
      <c r="H1138" s="4" t="str">
        <f t="array" ref="H1138">IF(ROWS(L$20:L1138)&gt;$F$6,"",INDEX(B$2:B$10000,SMALL(IF(ISNUMBER(MATCH($B$2:$B$10000,$E$6:$E$22,0)),ROW($C$2:$C$10000)-ROW($C$2)+1),ROWS(L$20:L1138))))</f>
        <v>Galen  Barth</v>
      </c>
      <c r="I1138" s="4">
        <f t="array" ref="I1138">IF(ROWS(M$20:M1138)&gt;$F$6,"",INDEX(C$2:C$10000,SMALL(IF(ISNUMBER(MATCH($B$2:$B$10000,$E$6:$E$22,0)),ROW($C$2:$C$10000)-ROW($C$2)+1),ROWS(M$20:M1138))))</f>
        <v>4</v>
      </c>
      <c r="K1138" s="7">
        <f t="array" ref="K1138">IF(ROWS(K$20:K1138)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1138))))</f>
        <v>41946</v>
      </c>
      <c r="L1138" s="4" t="str">
        <f t="array" ref="L1138">IF(ROWS(L$20:L1138)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1138))))</f>
        <v>Galen  Barth</v>
      </c>
      <c r="M1138" s="4">
        <f t="array" ref="M1138">IF(ROWS(M$20:M1138)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1138))))</f>
        <v>4</v>
      </c>
    </row>
    <row r="1139" spans="1:13" x14ac:dyDescent="0.25">
      <c r="A1139" s="3">
        <v>41432</v>
      </c>
      <c r="B1139" s="2" t="s">
        <v>16</v>
      </c>
      <c r="C1139" s="2">
        <v>36</v>
      </c>
      <c r="G1139" s="7">
        <f t="array" ref="G1139">IF(ROWS(K$20:K1139)&gt;$F$6,"",INDEX(A$2:A$10000,SMALL(IF(ISNUMBER(MATCH($B$2:$B$10000,$E$6:$E$22,0)),ROW($C$2:$C$10000)-ROW($C$2)+1),ROWS(K$20:K1139))))</f>
        <v>41806</v>
      </c>
      <c r="H1139" s="4" t="str">
        <f t="array" ref="H1139">IF(ROWS(L$20:L1139)&gt;$F$6,"",INDEX(B$2:B$10000,SMALL(IF(ISNUMBER(MATCH($B$2:$B$10000,$E$6:$E$22,0)),ROW($C$2:$C$10000)-ROW($C$2)+1),ROWS(L$20:L1139))))</f>
        <v>Rosamond  Allard</v>
      </c>
      <c r="I1139" s="4">
        <f t="array" ref="I1139">IF(ROWS(M$20:M1139)&gt;$F$6,"",INDEX(C$2:C$10000,SMALL(IF(ISNUMBER(MATCH($B$2:$B$10000,$E$6:$E$22,0)),ROW($C$2:$C$10000)-ROW($C$2)+1),ROWS(M$20:M1139))))</f>
        <v>2</v>
      </c>
      <c r="K1139" s="7">
        <f t="array" ref="K1139">IF(ROWS(K$20:K1139)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1139))))</f>
        <v>41806</v>
      </c>
      <c r="L1139" s="4" t="str">
        <f t="array" ref="L1139">IF(ROWS(L$20:L1139)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1139))))</f>
        <v>Rosamond  Allard</v>
      </c>
      <c r="M1139" s="4">
        <f t="array" ref="M1139">IF(ROWS(M$20:M1139)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1139))))</f>
        <v>2</v>
      </c>
    </row>
    <row r="1140" spans="1:13" x14ac:dyDescent="0.25">
      <c r="A1140" s="3">
        <v>41293</v>
      </c>
      <c r="B1140" s="2" t="s">
        <v>51</v>
      </c>
      <c r="C1140" s="2">
        <v>24</v>
      </c>
      <c r="G1140" s="7">
        <f t="array" ref="G1140">IF(ROWS(K$20:K1140)&gt;$F$6,"",INDEX(A$2:A$10000,SMALL(IF(ISNUMBER(MATCH($B$2:$B$10000,$E$6:$E$22,0)),ROW($C$2:$C$10000)-ROW($C$2)+1),ROWS(K$20:K1140))))</f>
        <v>41346</v>
      </c>
      <c r="H1140" s="4" t="str">
        <f t="array" ref="H1140">IF(ROWS(L$20:L1140)&gt;$F$6,"",INDEX(B$2:B$10000,SMALL(IF(ISNUMBER(MATCH($B$2:$B$10000,$E$6:$E$22,0)),ROW($C$2:$C$10000)-ROW($C$2)+1),ROWS(L$20:L1140))))</f>
        <v>Rosamond  Allard</v>
      </c>
      <c r="I1140" s="4">
        <f t="array" ref="I1140">IF(ROWS(M$20:M1140)&gt;$F$6,"",INDEX(C$2:C$10000,SMALL(IF(ISNUMBER(MATCH($B$2:$B$10000,$E$6:$E$22,0)),ROW($C$2:$C$10000)-ROW($C$2)+1),ROWS(M$20:M1140))))</f>
        <v>32</v>
      </c>
      <c r="K1140" s="7">
        <f t="array" ref="K1140">IF(ROWS(K$20:K1140)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1140))))</f>
        <v>41346</v>
      </c>
      <c r="L1140" s="4" t="str">
        <f t="array" ref="L1140">IF(ROWS(L$20:L1140)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1140))))</f>
        <v>Rosamond  Allard</v>
      </c>
      <c r="M1140" s="4">
        <f t="array" ref="M1140">IF(ROWS(M$20:M1140)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1140))))</f>
        <v>32</v>
      </c>
    </row>
    <row r="1141" spans="1:13" x14ac:dyDescent="0.25">
      <c r="A1141" s="3">
        <v>41594</v>
      </c>
      <c r="B1141" s="2" t="s">
        <v>44</v>
      </c>
      <c r="C1141" s="2">
        <v>33</v>
      </c>
      <c r="G1141" s="7">
        <f t="array" ref="G1141">IF(ROWS(K$20:K1141)&gt;$F$6,"",INDEX(A$2:A$10000,SMALL(IF(ISNUMBER(MATCH($B$2:$B$10000,$E$6:$E$22,0)),ROW($C$2:$C$10000)-ROW($C$2)+1),ROWS(K$20:K1141))))</f>
        <v>41657</v>
      </c>
      <c r="H1141" s="4" t="str">
        <f t="array" ref="H1141">IF(ROWS(L$20:L1141)&gt;$F$6,"",INDEX(B$2:B$10000,SMALL(IF(ISNUMBER(MATCH($B$2:$B$10000,$E$6:$E$22,0)),ROW($C$2:$C$10000)-ROW($C$2)+1),ROWS(L$20:L1141))))</f>
        <v>Kerrie  Worrell</v>
      </c>
      <c r="I1141" s="4">
        <f t="array" ref="I1141">IF(ROWS(M$20:M1141)&gt;$F$6,"",INDEX(C$2:C$10000,SMALL(IF(ISNUMBER(MATCH($B$2:$B$10000,$E$6:$E$22,0)),ROW($C$2:$C$10000)-ROW($C$2)+1),ROWS(M$20:M1141))))</f>
        <v>27</v>
      </c>
      <c r="K1141" s="7">
        <f t="array" ref="K1141">IF(ROWS(K$20:K1141)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1141))))</f>
        <v>41657</v>
      </c>
      <c r="L1141" s="4" t="str">
        <f t="array" ref="L1141">IF(ROWS(L$20:L1141)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1141))))</f>
        <v>Kerrie  Worrell</v>
      </c>
      <c r="M1141" s="4">
        <f t="array" ref="M1141">IF(ROWS(M$20:M1141)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1141))))</f>
        <v>27</v>
      </c>
    </row>
    <row r="1142" spans="1:13" x14ac:dyDescent="0.25">
      <c r="A1142" s="3">
        <v>41590</v>
      </c>
      <c r="B1142" s="2" t="s">
        <v>22</v>
      </c>
      <c r="C1142" s="2">
        <v>14</v>
      </c>
      <c r="G1142" s="7">
        <f t="array" ref="G1142">IF(ROWS(K$20:K1142)&gt;$F$6,"",INDEX(A$2:A$10000,SMALL(IF(ISNUMBER(MATCH($B$2:$B$10000,$E$6:$E$22,0)),ROW($C$2:$C$10000)-ROW($C$2)+1),ROWS(K$20:K1142))))</f>
        <v>41751</v>
      </c>
      <c r="H1142" s="4" t="str">
        <f t="array" ref="H1142">IF(ROWS(L$20:L1142)&gt;$F$6,"",INDEX(B$2:B$10000,SMALL(IF(ISNUMBER(MATCH($B$2:$B$10000,$E$6:$E$22,0)),ROW($C$2:$C$10000)-ROW($C$2)+1),ROWS(L$20:L1142))))</f>
        <v>Mickey  Bolduc</v>
      </c>
      <c r="I1142" s="4">
        <f t="array" ref="I1142">IF(ROWS(M$20:M1142)&gt;$F$6,"",INDEX(C$2:C$10000,SMALL(IF(ISNUMBER(MATCH($B$2:$B$10000,$E$6:$E$22,0)),ROW($C$2:$C$10000)-ROW($C$2)+1),ROWS(M$20:M1142))))</f>
        <v>21</v>
      </c>
      <c r="K1142" s="7">
        <f t="array" ref="K1142">IF(ROWS(K$20:K1142)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1142))))</f>
        <v>41751</v>
      </c>
      <c r="L1142" s="4" t="str">
        <f t="array" ref="L1142">IF(ROWS(L$20:L1142)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1142))))</f>
        <v>Mickey  Bolduc</v>
      </c>
      <c r="M1142" s="4">
        <f t="array" ref="M1142">IF(ROWS(M$20:M1142)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1142))))</f>
        <v>21</v>
      </c>
    </row>
    <row r="1143" spans="1:13" x14ac:dyDescent="0.25">
      <c r="A1143" s="3">
        <v>41584</v>
      </c>
      <c r="B1143" s="2" t="s">
        <v>25</v>
      </c>
      <c r="C1143" s="2">
        <v>39</v>
      </c>
      <c r="G1143" s="7">
        <f t="array" ref="G1143">IF(ROWS(K$20:K1143)&gt;$F$6,"",INDEX(A$2:A$10000,SMALL(IF(ISNUMBER(MATCH($B$2:$B$10000,$E$6:$E$22,0)),ROW($C$2:$C$10000)-ROW($C$2)+1),ROWS(K$20:K1143))))</f>
        <v>41511</v>
      </c>
      <c r="H1143" s="4" t="str">
        <f t="array" ref="H1143">IF(ROWS(L$20:L1143)&gt;$F$6,"",INDEX(B$2:B$10000,SMALL(IF(ISNUMBER(MATCH($B$2:$B$10000,$E$6:$E$22,0)),ROW($C$2:$C$10000)-ROW($C$2)+1),ROWS(L$20:L1143))))</f>
        <v>Galen  Barth</v>
      </c>
      <c r="I1143" s="4">
        <f t="array" ref="I1143">IF(ROWS(M$20:M1143)&gt;$F$6,"",INDEX(C$2:C$10000,SMALL(IF(ISNUMBER(MATCH($B$2:$B$10000,$E$6:$E$22,0)),ROW($C$2:$C$10000)-ROW($C$2)+1),ROWS(M$20:M1143))))</f>
        <v>27</v>
      </c>
      <c r="K1143" s="7">
        <f t="array" ref="K1143">IF(ROWS(K$20:K1143)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1143))))</f>
        <v>41511</v>
      </c>
      <c r="L1143" s="4" t="str">
        <f t="array" ref="L1143">IF(ROWS(L$20:L1143)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1143))))</f>
        <v>Galen  Barth</v>
      </c>
      <c r="M1143" s="4">
        <f t="array" ref="M1143">IF(ROWS(M$20:M1143)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1143))))</f>
        <v>27</v>
      </c>
    </row>
    <row r="1144" spans="1:13" x14ac:dyDescent="0.25">
      <c r="A1144" s="3">
        <v>41493</v>
      </c>
      <c r="B1144" s="2" t="s">
        <v>19</v>
      </c>
      <c r="C1144" s="2">
        <v>61</v>
      </c>
      <c r="G1144" s="7">
        <f t="array" ref="G1144">IF(ROWS(K$20:K1144)&gt;$F$6,"",INDEX(A$2:A$10000,SMALL(IF(ISNUMBER(MATCH($B$2:$B$10000,$E$6:$E$22,0)),ROW($C$2:$C$10000)-ROW($C$2)+1),ROWS(K$20:K1144))))</f>
        <v>41993</v>
      </c>
      <c r="H1144" s="4" t="str">
        <f t="array" ref="H1144">IF(ROWS(L$20:L1144)&gt;$F$6,"",INDEX(B$2:B$10000,SMALL(IF(ISNUMBER(MATCH($B$2:$B$10000,$E$6:$E$22,0)),ROW($C$2:$C$10000)-ROW($C$2)+1),ROWS(L$20:L1144))))</f>
        <v>Galen  Barth</v>
      </c>
      <c r="I1144" s="4">
        <f t="array" ref="I1144">IF(ROWS(M$20:M1144)&gt;$F$6,"",INDEX(C$2:C$10000,SMALL(IF(ISNUMBER(MATCH($B$2:$B$10000,$E$6:$E$22,0)),ROW($C$2:$C$10000)-ROW($C$2)+1),ROWS(M$20:M1144))))</f>
        <v>16</v>
      </c>
      <c r="K1144" s="7">
        <f t="array" ref="K1144">IF(ROWS(K$20:K1144)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1144))))</f>
        <v>41993</v>
      </c>
      <c r="L1144" s="4" t="str">
        <f t="array" ref="L1144">IF(ROWS(L$20:L1144)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1144))))</f>
        <v>Galen  Barth</v>
      </c>
      <c r="M1144" s="4">
        <f t="array" ref="M1144">IF(ROWS(M$20:M1144)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1144))))</f>
        <v>16</v>
      </c>
    </row>
    <row r="1145" spans="1:13" x14ac:dyDescent="0.25">
      <c r="A1145" s="3">
        <v>41428</v>
      </c>
      <c r="B1145" s="2" t="s">
        <v>45</v>
      </c>
      <c r="C1145" s="2">
        <v>29</v>
      </c>
      <c r="G1145" s="7">
        <f t="array" ref="G1145">IF(ROWS(K$20:K1145)&gt;$F$6,"",INDEX(A$2:A$10000,SMALL(IF(ISNUMBER(MATCH($B$2:$B$10000,$E$6:$E$22,0)),ROW($C$2:$C$10000)-ROW($C$2)+1),ROWS(K$20:K1145))))</f>
        <v>41497</v>
      </c>
      <c r="H1145" s="4" t="str">
        <f t="array" ref="H1145">IF(ROWS(L$20:L1145)&gt;$F$6,"",INDEX(B$2:B$10000,SMALL(IF(ISNUMBER(MATCH($B$2:$B$10000,$E$6:$E$22,0)),ROW($C$2:$C$10000)-ROW($C$2)+1),ROWS(L$20:L1145))))</f>
        <v>Jenni  Thorton</v>
      </c>
      <c r="I1145" s="4">
        <f t="array" ref="I1145">IF(ROWS(M$20:M1145)&gt;$F$6,"",INDEX(C$2:C$10000,SMALL(IF(ISNUMBER(MATCH($B$2:$B$10000,$E$6:$E$22,0)),ROW($C$2:$C$10000)-ROW($C$2)+1),ROWS(M$20:M1145))))</f>
        <v>43</v>
      </c>
      <c r="K1145" s="7">
        <f t="array" ref="K1145">IF(ROWS(K$20:K1145)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1145))))</f>
        <v>41497</v>
      </c>
      <c r="L1145" s="4" t="str">
        <f t="array" ref="L1145">IF(ROWS(L$20:L1145)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1145))))</f>
        <v>Jenni  Thorton</v>
      </c>
      <c r="M1145" s="4">
        <f t="array" ref="M1145">IF(ROWS(M$20:M1145)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1145))))</f>
        <v>43</v>
      </c>
    </row>
    <row r="1146" spans="1:13" x14ac:dyDescent="0.25">
      <c r="A1146" s="3">
        <v>41896</v>
      </c>
      <c r="B1146" s="2" t="s">
        <v>6</v>
      </c>
      <c r="C1146" s="2">
        <v>21</v>
      </c>
      <c r="G1146" s="7">
        <f t="array" ref="G1146">IF(ROWS(K$20:K1146)&gt;$F$6,"",INDEX(A$2:A$10000,SMALL(IF(ISNUMBER(MATCH($B$2:$B$10000,$E$6:$E$22,0)),ROW($C$2:$C$10000)-ROW($C$2)+1),ROWS(K$20:K1146))))</f>
        <v>41797</v>
      </c>
      <c r="H1146" s="4" t="str">
        <f t="array" ref="H1146">IF(ROWS(L$20:L1146)&gt;$F$6,"",INDEX(B$2:B$10000,SMALL(IF(ISNUMBER(MATCH($B$2:$B$10000,$E$6:$E$22,0)),ROW($C$2:$C$10000)-ROW($C$2)+1),ROWS(L$20:L1146))))</f>
        <v>Galen  Barth</v>
      </c>
      <c r="I1146" s="4">
        <f t="array" ref="I1146">IF(ROWS(M$20:M1146)&gt;$F$6,"",INDEX(C$2:C$10000,SMALL(IF(ISNUMBER(MATCH($B$2:$B$10000,$E$6:$E$22,0)),ROW($C$2:$C$10000)-ROW($C$2)+1),ROWS(M$20:M1146))))</f>
        <v>14</v>
      </c>
      <c r="K1146" s="7">
        <f t="array" ref="K1146">IF(ROWS(K$20:K1146)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1146))))</f>
        <v>41797</v>
      </c>
      <c r="L1146" s="4" t="str">
        <f t="array" ref="L1146">IF(ROWS(L$20:L1146)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1146))))</f>
        <v>Galen  Barth</v>
      </c>
      <c r="M1146" s="4">
        <f t="array" ref="M1146">IF(ROWS(M$20:M1146)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1146))))</f>
        <v>14</v>
      </c>
    </row>
    <row r="1147" spans="1:13" x14ac:dyDescent="0.25">
      <c r="A1147" s="3">
        <v>41853</v>
      </c>
      <c r="B1147" s="2" t="s">
        <v>21</v>
      </c>
      <c r="C1147" s="2">
        <v>21</v>
      </c>
      <c r="G1147" s="7">
        <f t="array" ref="G1147">IF(ROWS(K$20:K1147)&gt;$F$6,"",INDEX(A$2:A$10000,SMALL(IF(ISNUMBER(MATCH($B$2:$B$10000,$E$6:$E$22,0)),ROW($C$2:$C$10000)-ROW($C$2)+1),ROWS(K$20:K1147))))</f>
        <v>41915</v>
      </c>
      <c r="H1147" s="4" t="str">
        <f t="array" ref="H1147">IF(ROWS(L$20:L1147)&gt;$F$6,"",INDEX(B$2:B$10000,SMALL(IF(ISNUMBER(MATCH($B$2:$B$10000,$E$6:$E$22,0)),ROW($C$2:$C$10000)-ROW($C$2)+1),ROWS(L$20:L1147))))</f>
        <v>Iliana  Valerio</v>
      </c>
      <c r="I1147" s="4">
        <f t="array" ref="I1147">IF(ROWS(M$20:M1147)&gt;$F$6,"",INDEX(C$2:C$10000,SMALL(IF(ISNUMBER(MATCH($B$2:$B$10000,$E$6:$E$22,0)),ROW($C$2:$C$10000)-ROW($C$2)+1),ROWS(M$20:M1147))))</f>
        <v>30</v>
      </c>
      <c r="K1147" s="7">
        <f t="array" ref="K1147">IF(ROWS(K$20:K1147)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1147))))</f>
        <v>41915</v>
      </c>
      <c r="L1147" s="4" t="str">
        <f t="array" ref="L1147">IF(ROWS(L$20:L1147)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1147))))</f>
        <v>Iliana  Valerio</v>
      </c>
      <c r="M1147" s="4">
        <f t="array" ref="M1147">IF(ROWS(M$20:M1147)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1147))))</f>
        <v>30</v>
      </c>
    </row>
    <row r="1148" spans="1:13" x14ac:dyDescent="0.25">
      <c r="A1148" s="3">
        <v>41799</v>
      </c>
      <c r="B1148" s="2" t="s">
        <v>41</v>
      </c>
      <c r="C1148" s="2">
        <v>37</v>
      </c>
      <c r="G1148" s="7">
        <f t="array" ref="G1148">IF(ROWS(K$20:K1148)&gt;$F$6,"",INDEX(A$2:A$10000,SMALL(IF(ISNUMBER(MATCH($B$2:$B$10000,$E$6:$E$22,0)),ROW($C$2:$C$10000)-ROW($C$2)+1),ROWS(K$20:K1148))))</f>
        <v>41922</v>
      </c>
      <c r="H1148" s="4" t="str">
        <f t="array" ref="H1148">IF(ROWS(L$20:L1148)&gt;$F$6,"",INDEX(B$2:B$10000,SMALL(IF(ISNUMBER(MATCH($B$2:$B$10000,$E$6:$E$22,0)),ROW($C$2:$C$10000)-ROW($C$2)+1),ROWS(L$20:L1148))))</f>
        <v>Iliana  Valerio</v>
      </c>
      <c r="I1148" s="4">
        <f t="array" ref="I1148">IF(ROWS(M$20:M1148)&gt;$F$6,"",INDEX(C$2:C$10000,SMALL(IF(ISNUMBER(MATCH($B$2:$B$10000,$E$6:$E$22,0)),ROW($C$2:$C$10000)-ROW($C$2)+1),ROWS(M$20:M1148))))</f>
        <v>24</v>
      </c>
      <c r="K1148" s="7">
        <f t="array" ref="K1148">IF(ROWS(K$20:K1148)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1148))))</f>
        <v>41922</v>
      </c>
      <c r="L1148" s="4" t="str">
        <f t="array" ref="L1148">IF(ROWS(L$20:L1148)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1148))))</f>
        <v>Iliana  Valerio</v>
      </c>
      <c r="M1148" s="4">
        <f t="array" ref="M1148">IF(ROWS(M$20:M1148)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1148))))</f>
        <v>24</v>
      </c>
    </row>
    <row r="1149" spans="1:13" x14ac:dyDescent="0.25">
      <c r="A1149" s="3">
        <v>41526</v>
      </c>
      <c r="B1149" s="2" t="s">
        <v>28</v>
      </c>
      <c r="C1149" s="2">
        <v>4</v>
      </c>
      <c r="G1149" s="7">
        <f t="array" ref="G1149">IF(ROWS(K$20:K1149)&gt;$F$6,"",INDEX(A$2:A$10000,SMALL(IF(ISNUMBER(MATCH($B$2:$B$10000,$E$6:$E$22,0)),ROW($C$2:$C$10000)-ROW($C$2)+1),ROWS(K$20:K1149))))</f>
        <v>41480</v>
      </c>
      <c r="H1149" s="4" t="str">
        <f t="array" ref="H1149">IF(ROWS(L$20:L1149)&gt;$F$6,"",INDEX(B$2:B$10000,SMALL(IF(ISNUMBER(MATCH($B$2:$B$10000,$E$6:$E$22,0)),ROW($C$2:$C$10000)-ROW($C$2)+1),ROWS(L$20:L1149))))</f>
        <v>Galen  Barth</v>
      </c>
      <c r="I1149" s="4">
        <f t="array" ref="I1149">IF(ROWS(M$20:M1149)&gt;$F$6,"",INDEX(C$2:C$10000,SMALL(IF(ISNUMBER(MATCH($B$2:$B$10000,$E$6:$E$22,0)),ROW($C$2:$C$10000)-ROW($C$2)+1),ROWS(M$20:M1149))))</f>
        <v>29</v>
      </c>
      <c r="K1149" s="7">
        <f t="array" ref="K1149">IF(ROWS(K$20:K1149)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1149))))</f>
        <v>41480</v>
      </c>
      <c r="L1149" s="4" t="str">
        <f t="array" ref="L1149">IF(ROWS(L$20:L1149)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1149))))</f>
        <v>Galen  Barth</v>
      </c>
      <c r="M1149" s="4">
        <f t="array" ref="M1149">IF(ROWS(M$20:M1149)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1149))))</f>
        <v>29</v>
      </c>
    </row>
    <row r="1150" spans="1:13" x14ac:dyDescent="0.25">
      <c r="A1150" s="3">
        <v>41352</v>
      </c>
      <c r="B1150" s="2" t="s">
        <v>9</v>
      </c>
      <c r="C1150" s="2">
        <v>33</v>
      </c>
      <c r="G1150" s="7">
        <f t="array" ref="G1150">IF(ROWS(K$20:K1150)&gt;$F$6,"",INDEX(A$2:A$10000,SMALL(IF(ISNUMBER(MATCH($B$2:$B$10000,$E$6:$E$22,0)),ROW($C$2:$C$10000)-ROW($C$2)+1),ROWS(K$20:K1150))))</f>
        <v>41498</v>
      </c>
      <c r="H1150" s="4" t="str">
        <f t="array" ref="H1150">IF(ROWS(L$20:L1150)&gt;$F$6,"",INDEX(B$2:B$10000,SMALL(IF(ISNUMBER(MATCH($B$2:$B$10000,$E$6:$E$22,0)),ROW($C$2:$C$10000)-ROW($C$2)+1),ROWS(L$20:L1150))))</f>
        <v>Mickey  Bolduc</v>
      </c>
      <c r="I1150" s="4">
        <f t="array" ref="I1150">IF(ROWS(M$20:M1150)&gt;$F$6,"",INDEX(C$2:C$10000,SMALL(IF(ISNUMBER(MATCH($B$2:$B$10000,$E$6:$E$22,0)),ROW($C$2:$C$10000)-ROW($C$2)+1),ROWS(M$20:M1150))))</f>
        <v>54</v>
      </c>
      <c r="K1150" s="7">
        <f t="array" ref="K1150">IF(ROWS(K$20:K1150)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1150))))</f>
        <v>41498</v>
      </c>
      <c r="L1150" s="4" t="str">
        <f t="array" ref="L1150">IF(ROWS(L$20:L1150)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1150))))</f>
        <v>Mickey  Bolduc</v>
      </c>
      <c r="M1150" s="4">
        <f t="array" ref="M1150">IF(ROWS(M$20:M1150)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1150))))</f>
        <v>54</v>
      </c>
    </row>
    <row r="1151" spans="1:13" x14ac:dyDescent="0.25">
      <c r="A1151" s="3">
        <v>41326</v>
      </c>
      <c r="B1151" s="2" t="s">
        <v>26</v>
      </c>
      <c r="C1151" s="2">
        <v>19</v>
      </c>
      <c r="G1151" s="7">
        <f t="array" ref="G1151">IF(ROWS(K$20:K1151)&gt;$F$6,"",INDEX(A$2:A$10000,SMALL(IF(ISNUMBER(MATCH($B$2:$B$10000,$E$6:$E$22,0)),ROW($C$2:$C$10000)-ROW($C$2)+1),ROWS(K$20:K1151))))</f>
        <v>41823</v>
      </c>
      <c r="H1151" s="4" t="str">
        <f t="array" ref="H1151">IF(ROWS(L$20:L1151)&gt;$F$6,"",INDEX(B$2:B$10000,SMALL(IF(ISNUMBER(MATCH($B$2:$B$10000,$E$6:$E$22,0)),ROW($C$2:$C$10000)-ROW($C$2)+1),ROWS(L$20:L1151))))</f>
        <v>Mickey  Bolduc</v>
      </c>
      <c r="I1151" s="4">
        <f t="array" ref="I1151">IF(ROWS(M$20:M1151)&gt;$F$6,"",INDEX(C$2:C$10000,SMALL(IF(ISNUMBER(MATCH($B$2:$B$10000,$E$6:$E$22,0)),ROW($C$2:$C$10000)-ROW($C$2)+1),ROWS(M$20:M1151))))</f>
        <v>14</v>
      </c>
      <c r="K1151" s="7">
        <f t="array" ref="K1151">IF(ROWS(K$20:K1151)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1151))))</f>
        <v>41823</v>
      </c>
      <c r="L1151" s="4" t="str">
        <f t="array" ref="L1151">IF(ROWS(L$20:L1151)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1151))))</f>
        <v>Mickey  Bolduc</v>
      </c>
      <c r="M1151" s="4">
        <f t="array" ref="M1151">IF(ROWS(M$20:M1151)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1151))))</f>
        <v>14</v>
      </c>
    </row>
    <row r="1152" spans="1:13" x14ac:dyDescent="0.25">
      <c r="A1152" s="3">
        <v>41472</v>
      </c>
      <c r="B1152" s="2" t="s">
        <v>15</v>
      </c>
      <c r="C1152" s="2">
        <v>12</v>
      </c>
      <c r="G1152" s="7">
        <f t="array" ref="G1152">IF(ROWS(K$20:K1152)&gt;$F$6,"",INDEX(A$2:A$10000,SMALL(IF(ISNUMBER(MATCH($B$2:$B$10000,$E$6:$E$22,0)),ROW($C$2:$C$10000)-ROW($C$2)+1),ROWS(K$20:K1152))))</f>
        <v>41315</v>
      </c>
      <c r="H1152" s="4" t="str">
        <f t="array" ref="H1152">IF(ROWS(L$20:L1152)&gt;$F$6,"",INDEX(B$2:B$10000,SMALL(IF(ISNUMBER(MATCH($B$2:$B$10000,$E$6:$E$22,0)),ROW($C$2:$C$10000)-ROW($C$2)+1),ROWS(L$20:L1152))))</f>
        <v>Mickey  Bolduc</v>
      </c>
      <c r="I1152" s="4">
        <f t="array" ref="I1152">IF(ROWS(M$20:M1152)&gt;$F$6,"",INDEX(C$2:C$10000,SMALL(IF(ISNUMBER(MATCH($B$2:$B$10000,$E$6:$E$22,0)),ROW($C$2:$C$10000)-ROW($C$2)+1),ROWS(M$20:M1152))))</f>
        <v>32</v>
      </c>
      <c r="K1152" s="7">
        <f t="array" ref="K1152">IF(ROWS(K$20:K1152)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1152))))</f>
        <v>41315</v>
      </c>
      <c r="L1152" s="4" t="str">
        <f t="array" ref="L1152">IF(ROWS(L$20:L1152)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1152))))</f>
        <v>Mickey  Bolduc</v>
      </c>
      <c r="M1152" s="4">
        <f t="array" ref="M1152">IF(ROWS(M$20:M1152)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1152))))</f>
        <v>32</v>
      </c>
    </row>
    <row r="1153" spans="1:13" x14ac:dyDescent="0.25">
      <c r="A1153" s="3">
        <v>41310</v>
      </c>
      <c r="B1153" s="2" t="s">
        <v>23</v>
      </c>
      <c r="C1153" s="2">
        <v>5</v>
      </c>
      <c r="G1153" s="7">
        <f t="array" ref="G1153">IF(ROWS(K$20:K1153)&gt;$F$6,"",INDEX(A$2:A$10000,SMALL(IF(ISNUMBER(MATCH($B$2:$B$10000,$E$6:$E$22,0)),ROW($C$2:$C$10000)-ROW($C$2)+1),ROWS(K$20:K1153))))</f>
        <v>41373</v>
      </c>
      <c r="H1153" s="4" t="str">
        <f t="array" ref="H1153">IF(ROWS(L$20:L1153)&gt;$F$6,"",INDEX(B$2:B$10000,SMALL(IF(ISNUMBER(MATCH($B$2:$B$10000,$E$6:$E$22,0)),ROW($C$2:$C$10000)-ROW($C$2)+1),ROWS(L$20:L1153))))</f>
        <v>Iliana  Valerio</v>
      </c>
      <c r="I1153" s="4">
        <f t="array" ref="I1153">IF(ROWS(M$20:M1153)&gt;$F$6,"",INDEX(C$2:C$10000,SMALL(IF(ISNUMBER(MATCH($B$2:$B$10000,$E$6:$E$22,0)),ROW($C$2:$C$10000)-ROW($C$2)+1),ROWS(M$20:M1153))))</f>
        <v>25</v>
      </c>
      <c r="K1153" s="7">
        <f t="array" ref="K1153">IF(ROWS(K$20:K1153)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1153))))</f>
        <v>41373</v>
      </c>
      <c r="L1153" s="4" t="str">
        <f t="array" ref="L1153">IF(ROWS(L$20:L1153)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1153))))</f>
        <v>Iliana  Valerio</v>
      </c>
      <c r="M1153" s="4">
        <f t="array" ref="M1153">IF(ROWS(M$20:M1153)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1153))))</f>
        <v>25</v>
      </c>
    </row>
    <row r="1154" spans="1:13" x14ac:dyDescent="0.25">
      <c r="A1154" s="3">
        <v>41475</v>
      </c>
      <c r="B1154" s="2" t="s">
        <v>46</v>
      </c>
      <c r="C1154" s="2">
        <v>30</v>
      </c>
      <c r="G1154" s="7">
        <f t="array" ref="G1154">IF(ROWS(K$20:K1154)&gt;$F$6,"",INDEX(A$2:A$10000,SMALL(IF(ISNUMBER(MATCH($B$2:$B$10000,$E$6:$E$22,0)),ROW($C$2:$C$10000)-ROW($C$2)+1),ROWS(K$20:K1154))))</f>
        <v>41690</v>
      </c>
      <c r="H1154" s="4" t="str">
        <f t="array" ref="H1154">IF(ROWS(L$20:L1154)&gt;$F$6,"",INDEX(B$2:B$10000,SMALL(IF(ISNUMBER(MATCH($B$2:$B$10000,$E$6:$E$22,0)),ROW($C$2:$C$10000)-ROW($C$2)+1),ROWS(L$20:L1154))))</f>
        <v>Galen  Barth</v>
      </c>
      <c r="I1154" s="4">
        <f t="array" ref="I1154">IF(ROWS(M$20:M1154)&gt;$F$6,"",INDEX(C$2:C$10000,SMALL(IF(ISNUMBER(MATCH($B$2:$B$10000,$E$6:$E$22,0)),ROW($C$2:$C$10000)-ROW($C$2)+1),ROWS(M$20:M1154))))</f>
        <v>26</v>
      </c>
      <c r="K1154" s="7">
        <f t="array" ref="K1154">IF(ROWS(K$20:K1154)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1154))))</f>
        <v>41690</v>
      </c>
      <c r="L1154" s="4" t="str">
        <f t="array" ref="L1154">IF(ROWS(L$20:L1154)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1154))))</f>
        <v>Galen  Barth</v>
      </c>
      <c r="M1154" s="4">
        <f t="array" ref="M1154">IF(ROWS(M$20:M1154)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1154))))</f>
        <v>26</v>
      </c>
    </row>
    <row r="1155" spans="1:13" x14ac:dyDescent="0.25">
      <c r="A1155" s="3">
        <v>41778</v>
      </c>
      <c r="B1155" s="2" t="s">
        <v>15</v>
      </c>
      <c r="C1155" s="2">
        <v>14</v>
      </c>
      <c r="G1155" s="7">
        <f t="array" ref="G1155">IF(ROWS(K$20:K1155)&gt;$F$6,"",INDEX(A$2:A$10000,SMALL(IF(ISNUMBER(MATCH($B$2:$B$10000,$E$6:$E$22,0)),ROW($C$2:$C$10000)-ROW($C$2)+1),ROWS(K$20:K1155))))</f>
        <v>41911</v>
      </c>
      <c r="H1155" s="4" t="str">
        <f t="array" ref="H1155">IF(ROWS(L$20:L1155)&gt;$F$6,"",INDEX(B$2:B$10000,SMALL(IF(ISNUMBER(MATCH($B$2:$B$10000,$E$6:$E$22,0)),ROW($C$2:$C$10000)-ROW($C$2)+1),ROWS(L$20:L1155))))</f>
        <v>Iliana  Valerio</v>
      </c>
      <c r="I1155" s="4">
        <f t="array" ref="I1155">IF(ROWS(M$20:M1155)&gt;$F$6,"",INDEX(C$2:C$10000,SMALL(IF(ISNUMBER(MATCH($B$2:$B$10000,$E$6:$E$22,0)),ROW($C$2:$C$10000)-ROW($C$2)+1),ROWS(M$20:M1155))))</f>
        <v>22</v>
      </c>
      <c r="K1155" s="7">
        <f t="array" ref="K1155">IF(ROWS(K$20:K1155)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1155))))</f>
        <v>41911</v>
      </c>
      <c r="L1155" s="4" t="str">
        <f t="array" ref="L1155">IF(ROWS(L$20:L1155)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1155))))</f>
        <v>Iliana  Valerio</v>
      </c>
      <c r="M1155" s="4">
        <f t="array" ref="M1155">IF(ROWS(M$20:M1155)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1155))))</f>
        <v>22</v>
      </c>
    </row>
    <row r="1156" spans="1:13" x14ac:dyDescent="0.25">
      <c r="A1156" s="3">
        <v>41902</v>
      </c>
      <c r="B1156" s="2" t="s">
        <v>10</v>
      </c>
      <c r="C1156" s="2">
        <v>28</v>
      </c>
      <c r="G1156" s="7">
        <f t="array" ref="G1156">IF(ROWS(K$20:K1156)&gt;$F$6,"",INDEX(A$2:A$10000,SMALL(IF(ISNUMBER(MATCH($B$2:$B$10000,$E$6:$E$22,0)),ROW($C$2:$C$10000)-ROW($C$2)+1),ROWS(K$20:K1156))))</f>
        <v>41952</v>
      </c>
      <c r="H1156" s="4" t="str">
        <f t="array" ref="H1156">IF(ROWS(L$20:L1156)&gt;$F$6,"",INDEX(B$2:B$10000,SMALL(IF(ISNUMBER(MATCH($B$2:$B$10000,$E$6:$E$22,0)),ROW($C$2:$C$10000)-ROW($C$2)+1),ROWS(L$20:L1156))))</f>
        <v>Galen  Barth</v>
      </c>
      <c r="I1156" s="4">
        <f t="array" ref="I1156">IF(ROWS(M$20:M1156)&gt;$F$6,"",INDEX(C$2:C$10000,SMALL(IF(ISNUMBER(MATCH($B$2:$B$10000,$E$6:$E$22,0)),ROW($C$2:$C$10000)-ROW($C$2)+1),ROWS(M$20:M1156))))</f>
        <v>51</v>
      </c>
      <c r="K1156" s="7">
        <f t="array" ref="K1156">IF(ROWS(K$20:K1156)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1156))))</f>
        <v>41952</v>
      </c>
      <c r="L1156" s="4" t="str">
        <f t="array" ref="L1156">IF(ROWS(L$20:L1156)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1156))))</f>
        <v>Galen  Barth</v>
      </c>
      <c r="M1156" s="4">
        <f t="array" ref="M1156">IF(ROWS(M$20:M1156)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1156))))</f>
        <v>51</v>
      </c>
    </row>
    <row r="1157" spans="1:13" x14ac:dyDescent="0.25">
      <c r="A1157" s="3">
        <v>41661</v>
      </c>
      <c r="B1157" s="2" t="s">
        <v>41</v>
      </c>
      <c r="C1157" s="2">
        <v>35</v>
      </c>
      <c r="G1157" s="7">
        <f t="array" ref="G1157">IF(ROWS(K$20:K1157)&gt;$F$6,"",INDEX(A$2:A$10000,SMALL(IF(ISNUMBER(MATCH($B$2:$B$10000,$E$6:$E$22,0)),ROW($C$2:$C$10000)-ROW($C$2)+1),ROWS(K$20:K1157))))</f>
        <v>41435</v>
      </c>
      <c r="H1157" s="4" t="str">
        <f t="array" ref="H1157">IF(ROWS(L$20:L1157)&gt;$F$6,"",INDEX(B$2:B$10000,SMALL(IF(ISNUMBER(MATCH($B$2:$B$10000,$E$6:$E$22,0)),ROW($C$2:$C$10000)-ROW($C$2)+1),ROWS(L$20:L1157))))</f>
        <v>Iliana  Valerio</v>
      </c>
      <c r="I1157" s="4">
        <f t="array" ref="I1157">IF(ROWS(M$20:M1157)&gt;$F$6,"",INDEX(C$2:C$10000,SMALL(IF(ISNUMBER(MATCH($B$2:$B$10000,$E$6:$E$22,0)),ROW($C$2:$C$10000)-ROW($C$2)+1),ROWS(M$20:M1157))))</f>
        <v>21</v>
      </c>
      <c r="K1157" s="7">
        <f t="array" ref="K1157">IF(ROWS(K$20:K1157)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1157))))</f>
        <v>41435</v>
      </c>
      <c r="L1157" s="4" t="str">
        <f t="array" ref="L1157">IF(ROWS(L$20:L1157)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1157))))</f>
        <v>Iliana  Valerio</v>
      </c>
      <c r="M1157" s="4">
        <f t="array" ref="M1157">IF(ROWS(M$20:M1157)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1157))))</f>
        <v>21</v>
      </c>
    </row>
    <row r="1158" spans="1:13" x14ac:dyDescent="0.25">
      <c r="A1158" s="3">
        <v>41780</v>
      </c>
      <c r="B1158" s="2" t="s">
        <v>47</v>
      </c>
      <c r="C1158" s="2">
        <v>18</v>
      </c>
      <c r="G1158" s="7">
        <f t="array" ref="G1158">IF(ROWS(K$20:K1158)&gt;$F$6,"",INDEX(A$2:A$10000,SMALL(IF(ISNUMBER(MATCH($B$2:$B$10000,$E$6:$E$22,0)),ROW($C$2:$C$10000)-ROW($C$2)+1),ROWS(K$20:K1158))))</f>
        <v>41708</v>
      </c>
      <c r="H1158" s="4" t="str">
        <f t="array" ref="H1158">IF(ROWS(L$20:L1158)&gt;$F$6,"",INDEX(B$2:B$10000,SMALL(IF(ISNUMBER(MATCH($B$2:$B$10000,$E$6:$E$22,0)),ROW($C$2:$C$10000)-ROW($C$2)+1),ROWS(L$20:L1158))))</f>
        <v>Mickey  Bolduc</v>
      </c>
      <c r="I1158" s="4">
        <f t="array" ref="I1158">IF(ROWS(M$20:M1158)&gt;$F$6,"",INDEX(C$2:C$10000,SMALL(IF(ISNUMBER(MATCH($B$2:$B$10000,$E$6:$E$22,0)),ROW($C$2:$C$10000)-ROW($C$2)+1),ROWS(M$20:M1158))))</f>
        <v>42</v>
      </c>
      <c r="K1158" s="7">
        <f t="array" ref="K1158">IF(ROWS(K$20:K1158)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1158))))</f>
        <v>41708</v>
      </c>
      <c r="L1158" s="4" t="str">
        <f t="array" ref="L1158">IF(ROWS(L$20:L1158)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1158))))</f>
        <v>Mickey  Bolduc</v>
      </c>
      <c r="M1158" s="4">
        <f t="array" ref="M1158">IF(ROWS(M$20:M1158)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1158))))</f>
        <v>42</v>
      </c>
    </row>
    <row r="1159" spans="1:13" x14ac:dyDescent="0.25">
      <c r="A1159" s="3">
        <v>41604</v>
      </c>
      <c r="B1159" s="2" t="s">
        <v>43</v>
      </c>
      <c r="C1159" s="2">
        <v>50</v>
      </c>
      <c r="G1159" s="7">
        <f t="array" ref="G1159">IF(ROWS(K$20:K1159)&gt;$F$6,"",INDEX(A$2:A$10000,SMALL(IF(ISNUMBER(MATCH($B$2:$B$10000,$E$6:$E$22,0)),ROW($C$2:$C$10000)-ROW($C$2)+1),ROWS(K$20:K1159))))</f>
        <v>41751</v>
      </c>
      <c r="H1159" s="4" t="str">
        <f t="array" ref="H1159">IF(ROWS(L$20:L1159)&gt;$F$6,"",INDEX(B$2:B$10000,SMALL(IF(ISNUMBER(MATCH($B$2:$B$10000,$E$6:$E$22,0)),ROW($C$2:$C$10000)-ROW($C$2)+1),ROWS(L$20:L1159))))</f>
        <v>Galen  Barth</v>
      </c>
      <c r="I1159" s="4">
        <f t="array" ref="I1159">IF(ROWS(M$20:M1159)&gt;$F$6,"",INDEX(C$2:C$10000,SMALL(IF(ISNUMBER(MATCH($B$2:$B$10000,$E$6:$E$22,0)),ROW($C$2:$C$10000)-ROW($C$2)+1),ROWS(M$20:M1159))))</f>
        <v>14</v>
      </c>
      <c r="K1159" s="7">
        <f t="array" ref="K1159">IF(ROWS(K$20:K1159)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1159))))</f>
        <v>41751</v>
      </c>
      <c r="L1159" s="4" t="str">
        <f t="array" ref="L1159">IF(ROWS(L$20:L1159)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1159))))</f>
        <v>Galen  Barth</v>
      </c>
      <c r="M1159" s="4">
        <f t="array" ref="M1159">IF(ROWS(M$20:M1159)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1159))))</f>
        <v>14</v>
      </c>
    </row>
    <row r="1160" spans="1:13" x14ac:dyDescent="0.25">
      <c r="A1160" s="3">
        <v>41523</v>
      </c>
      <c r="B1160" s="2" t="s">
        <v>44</v>
      </c>
      <c r="C1160" s="2">
        <v>18</v>
      </c>
      <c r="G1160" s="7">
        <f t="array" ref="G1160">IF(ROWS(K$20:K1160)&gt;$F$6,"",INDEX(A$2:A$10000,SMALL(IF(ISNUMBER(MATCH($B$2:$B$10000,$E$6:$E$22,0)),ROW($C$2:$C$10000)-ROW($C$2)+1),ROWS(K$20:K1160))))</f>
        <v>41784</v>
      </c>
      <c r="H1160" s="4" t="str">
        <f t="array" ref="H1160">IF(ROWS(L$20:L1160)&gt;$F$6,"",INDEX(B$2:B$10000,SMALL(IF(ISNUMBER(MATCH($B$2:$B$10000,$E$6:$E$22,0)),ROW($C$2:$C$10000)-ROW($C$2)+1),ROWS(L$20:L1160))))</f>
        <v>Rosamond  Allard</v>
      </c>
      <c r="I1160" s="4">
        <f t="array" ref="I1160">IF(ROWS(M$20:M1160)&gt;$F$6,"",INDEX(C$2:C$10000,SMALL(IF(ISNUMBER(MATCH($B$2:$B$10000,$E$6:$E$22,0)),ROW($C$2:$C$10000)-ROW($C$2)+1),ROWS(M$20:M1160))))</f>
        <v>30</v>
      </c>
      <c r="K1160" s="7">
        <f t="array" ref="K1160">IF(ROWS(K$20:K1160)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1160))))</f>
        <v>41784</v>
      </c>
      <c r="L1160" s="4" t="str">
        <f t="array" ref="L1160">IF(ROWS(L$20:L1160)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1160))))</f>
        <v>Rosamond  Allard</v>
      </c>
      <c r="M1160" s="4">
        <f t="array" ref="M1160">IF(ROWS(M$20:M1160)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1160))))</f>
        <v>30</v>
      </c>
    </row>
    <row r="1161" spans="1:13" x14ac:dyDescent="0.25">
      <c r="A1161" s="3">
        <v>41948</v>
      </c>
      <c r="B1161" s="2" t="s">
        <v>46</v>
      </c>
      <c r="C1161" s="2">
        <v>40</v>
      </c>
      <c r="G1161" s="7">
        <f t="array" ref="G1161">IF(ROWS(K$20:K1161)&gt;$F$6,"",INDEX(A$2:A$10000,SMALL(IF(ISNUMBER(MATCH($B$2:$B$10000,$E$6:$E$22,0)),ROW($C$2:$C$10000)-ROW($C$2)+1),ROWS(K$20:K1161))))</f>
        <v>41800</v>
      </c>
      <c r="H1161" s="4" t="str">
        <f t="array" ref="H1161">IF(ROWS(L$20:L1161)&gt;$F$6,"",INDEX(B$2:B$10000,SMALL(IF(ISNUMBER(MATCH($B$2:$B$10000,$E$6:$E$22,0)),ROW($C$2:$C$10000)-ROW($C$2)+1),ROWS(L$20:L1161))))</f>
        <v>Jenni  Thorton</v>
      </c>
      <c r="I1161" s="4">
        <f t="array" ref="I1161">IF(ROWS(M$20:M1161)&gt;$F$6,"",INDEX(C$2:C$10000,SMALL(IF(ISNUMBER(MATCH($B$2:$B$10000,$E$6:$E$22,0)),ROW($C$2:$C$10000)-ROW($C$2)+1),ROWS(M$20:M1161))))</f>
        <v>1</v>
      </c>
      <c r="K1161" s="7">
        <f t="array" ref="K1161">IF(ROWS(K$20:K1161)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1161))))</f>
        <v>41800</v>
      </c>
      <c r="L1161" s="4" t="str">
        <f t="array" ref="L1161">IF(ROWS(L$20:L1161)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1161))))</f>
        <v>Jenni  Thorton</v>
      </c>
      <c r="M1161" s="4">
        <f t="array" ref="M1161">IF(ROWS(M$20:M1161)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1161))))</f>
        <v>1</v>
      </c>
    </row>
    <row r="1162" spans="1:13" x14ac:dyDescent="0.25">
      <c r="A1162" s="3">
        <v>41290</v>
      </c>
      <c r="B1162" s="2" t="s">
        <v>14</v>
      </c>
      <c r="C1162" s="2">
        <v>25</v>
      </c>
      <c r="G1162" s="7">
        <f t="array" ref="G1162">IF(ROWS(K$20:K1162)&gt;$F$6,"",INDEX(A$2:A$10000,SMALL(IF(ISNUMBER(MATCH($B$2:$B$10000,$E$6:$E$22,0)),ROW($C$2:$C$10000)-ROW($C$2)+1),ROWS(K$20:K1162))))</f>
        <v>41999</v>
      </c>
      <c r="H1162" s="4" t="str">
        <f t="array" ref="H1162">IF(ROWS(L$20:L1162)&gt;$F$6,"",INDEX(B$2:B$10000,SMALL(IF(ISNUMBER(MATCH($B$2:$B$10000,$E$6:$E$22,0)),ROW($C$2:$C$10000)-ROW($C$2)+1),ROWS(L$20:L1162))))</f>
        <v>Iliana  Valerio</v>
      </c>
      <c r="I1162" s="4">
        <f t="array" ref="I1162">IF(ROWS(M$20:M1162)&gt;$F$6,"",INDEX(C$2:C$10000,SMALL(IF(ISNUMBER(MATCH($B$2:$B$10000,$E$6:$E$22,0)),ROW($C$2:$C$10000)-ROW($C$2)+1),ROWS(M$20:M1162))))</f>
        <v>51</v>
      </c>
      <c r="K1162" s="7">
        <f t="array" ref="K1162">IF(ROWS(K$20:K1162)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1162))))</f>
        <v>41999</v>
      </c>
      <c r="L1162" s="4" t="str">
        <f t="array" ref="L1162">IF(ROWS(L$20:L1162)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1162))))</f>
        <v>Iliana  Valerio</v>
      </c>
      <c r="M1162" s="4">
        <f t="array" ref="M1162">IF(ROWS(M$20:M1162)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1162))))</f>
        <v>51</v>
      </c>
    </row>
    <row r="1163" spans="1:13" x14ac:dyDescent="0.25">
      <c r="A1163" s="3">
        <v>41521</v>
      </c>
      <c r="B1163" s="2" t="s">
        <v>29</v>
      </c>
      <c r="C1163" s="2">
        <v>22</v>
      </c>
      <c r="G1163" s="7">
        <f t="array" ref="G1163">IF(ROWS(K$20:K1163)&gt;$F$6,"",INDEX(A$2:A$10000,SMALL(IF(ISNUMBER(MATCH($B$2:$B$10000,$E$6:$E$22,0)),ROW($C$2:$C$10000)-ROW($C$2)+1),ROWS(K$20:K1163))))</f>
        <v>41542</v>
      </c>
      <c r="H1163" s="4" t="str">
        <f t="array" ref="H1163">IF(ROWS(L$20:L1163)&gt;$F$6,"",INDEX(B$2:B$10000,SMALL(IF(ISNUMBER(MATCH($B$2:$B$10000,$E$6:$E$22,0)),ROW($C$2:$C$10000)-ROW($C$2)+1),ROWS(L$20:L1163))))</f>
        <v>Rosamond  Allard</v>
      </c>
      <c r="I1163" s="4">
        <f t="array" ref="I1163">IF(ROWS(M$20:M1163)&gt;$F$6,"",INDEX(C$2:C$10000,SMALL(IF(ISNUMBER(MATCH($B$2:$B$10000,$E$6:$E$22,0)),ROW($C$2:$C$10000)-ROW($C$2)+1),ROWS(M$20:M1163))))</f>
        <v>34</v>
      </c>
      <c r="K1163" s="7">
        <f t="array" ref="K1163">IF(ROWS(K$20:K1163)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1163))))</f>
        <v>41542</v>
      </c>
      <c r="L1163" s="4" t="str">
        <f t="array" ref="L1163">IF(ROWS(L$20:L1163)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1163))))</f>
        <v>Rosamond  Allard</v>
      </c>
      <c r="M1163" s="4">
        <f t="array" ref="M1163">IF(ROWS(M$20:M1163)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1163))))</f>
        <v>34</v>
      </c>
    </row>
    <row r="1164" spans="1:13" x14ac:dyDescent="0.25">
      <c r="A1164" s="3">
        <v>41837</v>
      </c>
      <c r="B1164" s="2" t="s">
        <v>33</v>
      </c>
      <c r="C1164" s="2">
        <v>8</v>
      </c>
      <c r="G1164" s="7">
        <f t="array" ref="G1164">IF(ROWS(K$20:K1164)&gt;$F$6,"",INDEX(A$2:A$10000,SMALL(IF(ISNUMBER(MATCH($B$2:$B$10000,$E$6:$E$22,0)),ROW($C$2:$C$10000)-ROW($C$2)+1),ROWS(K$20:K1164))))</f>
        <v>41969</v>
      </c>
      <c r="H1164" s="4" t="str">
        <f t="array" ref="H1164">IF(ROWS(L$20:L1164)&gt;$F$6,"",INDEX(B$2:B$10000,SMALL(IF(ISNUMBER(MATCH($B$2:$B$10000,$E$6:$E$22,0)),ROW($C$2:$C$10000)-ROW($C$2)+1),ROWS(L$20:L1164))))</f>
        <v>Iliana  Valerio</v>
      </c>
      <c r="I1164" s="4">
        <f t="array" ref="I1164">IF(ROWS(M$20:M1164)&gt;$F$6,"",INDEX(C$2:C$10000,SMALL(IF(ISNUMBER(MATCH($B$2:$B$10000,$E$6:$E$22,0)),ROW($C$2:$C$10000)-ROW($C$2)+1),ROWS(M$20:M1164))))</f>
        <v>32</v>
      </c>
      <c r="K1164" s="7">
        <f t="array" ref="K1164">IF(ROWS(K$20:K1164)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1164))))</f>
        <v>41969</v>
      </c>
      <c r="L1164" s="4" t="str">
        <f t="array" ref="L1164">IF(ROWS(L$20:L1164)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1164))))</f>
        <v>Iliana  Valerio</v>
      </c>
      <c r="M1164" s="4">
        <f t="array" ref="M1164">IF(ROWS(M$20:M1164)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1164))))</f>
        <v>32</v>
      </c>
    </row>
    <row r="1165" spans="1:13" x14ac:dyDescent="0.25">
      <c r="A1165" s="3">
        <v>41740</v>
      </c>
      <c r="B1165" s="2" t="s">
        <v>36</v>
      </c>
      <c r="C1165" s="2">
        <v>25</v>
      </c>
      <c r="G1165" s="7">
        <f t="array" ref="G1165">IF(ROWS(K$20:K1165)&gt;$F$6,"",INDEX(A$2:A$10000,SMALL(IF(ISNUMBER(MATCH($B$2:$B$10000,$E$6:$E$22,0)),ROW($C$2:$C$10000)-ROW($C$2)+1),ROWS(K$20:K1165))))</f>
        <v>41505</v>
      </c>
      <c r="H1165" s="4" t="str">
        <f t="array" ref="H1165">IF(ROWS(L$20:L1165)&gt;$F$6,"",INDEX(B$2:B$10000,SMALL(IF(ISNUMBER(MATCH($B$2:$B$10000,$E$6:$E$22,0)),ROW($C$2:$C$10000)-ROW($C$2)+1),ROWS(L$20:L1165))))</f>
        <v>Galen  Barth</v>
      </c>
      <c r="I1165" s="4">
        <f t="array" ref="I1165">IF(ROWS(M$20:M1165)&gt;$F$6,"",INDEX(C$2:C$10000,SMALL(IF(ISNUMBER(MATCH($B$2:$B$10000,$E$6:$E$22,0)),ROW($C$2:$C$10000)-ROW($C$2)+1),ROWS(M$20:M1165))))</f>
        <v>34</v>
      </c>
      <c r="K1165" s="7">
        <f t="array" ref="K1165">IF(ROWS(K$20:K1165)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1165))))</f>
        <v>41505</v>
      </c>
      <c r="L1165" s="4" t="str">
        <f t="array" ref="L1165">IF(ROWS(L$20:L1165)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1165))))</f>
        <v>Galen  Barth</v>
      </c>
      <c r="M1165" s="4">
        <f t="array" ref="M1165">IF(ROWS(M$20:M1165)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1165))))</f>
        <v>34</v>
      </c>
    </row>
    <row r="1166" spans="1:13" x14ac:dyDescent="0.25">
      <c r="A1166" s="3">
        <v>41764</v>
      </c>
      <c r="B1166" s="2" t="s">
        <v>14</v>
      </c>
      <c r="C1166" s="2">
        <v>51</v>
      </c>
      <c r="G1166" s="7">
        <f t="array" ref="G1166">IF(ROWS(K$20:K1166)&gt;$F$6,"",INDEX(A$2:A$10000,SMALL(IF(ISNUMBER(MATCH($B$2:$B$10000,$E$6:$E$22,0)),ROW($C$2:$C$10000)-ROW($C$2)+1),ROWS(K$20:K1166))))</f>
        <v>41816</v>
      </c>
      <c r="H1166" s="4" t="str">
        <f t="array" ref="H1166">IF(ROWS(L$20:L1166)&gt;$F$6,"",INDEX(B$2:B$10000,SMALL(IF(ISNUMBER(MATCH($B$2:$B$10000,$E$6:$E$22,0)),ROW($C$2:$C$10000)-ROW($C$2)+1),ROWS(L$20:L1166))))</f>
        <v>Mickey  Bolduc</v>
      </c>
      <c r="I1166" s="4">
        <f t="array" ref="I1166">IF(ROWS(M$20:M1166)&gt;$F$6,"",INDEX(C$2:C$10000,SMALL(IF(ISNUMBER(MATCH($B$2:$B$10000,$E$6:$E$22,0)),ROW($C$2:$C$10000)-ROW($C$2)+1),ROWS(M$20:M1166))))</f>
        <v>39</v>
      </c>
      <c r="K1166" s="7">
        <f t="array" ref="K1166">IF(ROWS(K$20:K1166)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1166))))</f>
        <v>41816</v>
      </c>
      <c r="L1166" s="4" t="str">
        <f t="array" ref="L1166">IF(ROWS(L$20:L1166)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1166))))</f>
        <v>Mickey  Bolduc</v>
      </c>
      <c r="M1166" s="4">
        <f t="array" ref="M1166">IF(ROWS(M$20:M1166)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1166))))</f>
        <v>39</v>
      </c>
    </row>
    <row r="1167" spans="1:13" x14ac:dyDescent="0.25">
      <c r="A1167" s="3">
        <v>41878</v>
      </c>
      <c r="B1167" s="2" t="s">
        <v>22</v>
      </c>
      <c r="C1167" s="2">
        <v>33</v>
      </c>
      <c r="G1167" s="7">
        <f t="array" ref="G1167">IF(ROWS(K$20:K1167)&gt;$F$6,"",INDEX(A$2:A$10000,SMALL(IF(ISNUMBER(MATCH($B$2:$B$10000,$E$6:$E$22,0)),ROW($C$2:$C$10000)-ROW($C$2)+1),ROWS(K$20:K1167))))</f>
        <v>41491</v>
      </c>
      <c r="H1167" s="4" t="str">
        <f t="array" ref="H1167">IF(ROWS(L$20:L1167)&gt;$F$6,"",INDEX(B$2:B$10000,SMALL(IF(ISNUMBER(MATCH($B$2:$B$10000,$E$6:$E$22,0)),ROW($C$2:$C$10000)-ROW($C$2)+1),ROWS(L$20:L1167))))</f>
        <v>Mickey  Bolduc</v>
      </c>
      <c r="I1167" s="4">
        <f t="array" ref="I1167">IF(ROWS(M$20:M1167)&gt;$F$6,"",INDEX(C$2:C$10000,SMALL(IF(ISNUMBER(MATCH($B$2:$B$10000,$E$6:$E$22,0)),ROW($C$2:$C$10000)-ROW($C$2)+1),ROWS(M$20:M1167))))</f>
        <v>35</v>
      </c>
      <c r="K1167" s="7">
        <f t="array" ref="K1167">IF(ROWS(K$20:K1167)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1167))))</f>
        <v>41491</v>
      </c>
      <c r="L1167" s="4" t="str">
        <f t="array" ref="L1167">IF(ROWS(L$20:L1167)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1167))))</f>
        <v>Mickey  Bolduc</v>
      </c>
      <c r="M1167" s="4">
        <f t="array" ref="M1167">IF(ROWS(M$20:M1167)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1167))))</f>
        <v>35</v>
      </c>
    </row>
    <row r="1168" spans="1:13" x14ac:dyDescent="0.25">
      <c r="A1168" s="3">
        <v>41978</v>
      </c>
      <c r="B1168" s="2" t="s">
        <v>18</v>
      </c>
      <c r="C1168" s="2">
        <v>21</v>
      </c>
      <c r="G1168" s="7">
        <f t="array" ref="G1168">IF(ROWS(K$20:K1168)&gt;$F$6,"",INDEX(A$2:A$10000,SMALL(IF(ISNUMBER(MATCH($B$2:$B$10000,$E$6:$E$22,0)),ROW($C$2:$C$10000)-ROW($C$2)+1),ROWS(K$20:K1168))))</f>
        <v>41552</v>
      </c>
      <c r="H1168" s="4" t="str">
        <f t="array" ref="H1168">IF(ROWS(L$20:L1168)&gt;$F$6,"",INDEX(B$2:B$10000,SMALL(IF(ISNUMBER(MATCH($B$2:$B$10000,$E$6:$E$22,0)),ROW($C$2:$C$10000)-ROW($C$2)+1),ROWS(L$20:L1168))))</f>
        <v>Mickey  Bolduc</v>
      </c>
      <c r="I1168" s="4">
        <f t="array" ref="I1168">IF(ROWS(M$20:M1168)&gt;$F$6,"",INDEX(C$2:C$10000,SMALL(IF(ISNUMBER(MATCH($B$2:$B$10000,$E$6:$E$22,0)),ROW($C$2:$C$10000)-ROW($C$2)+1),ROWS(M$20:M1168))))</f>
        <v>12</v>
      </c>
      <c r="K1168" s="7">
        <f t="array" ref="K1168">IF(ROWS(K$20:K1168)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1168))))</f>
        <v>41552</v>
      </c>
      <c r="L1168" s="4" t="str">
        <f t="array" ref="L1168">IF(ROWS(L$20:L1168)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1168))))</f>
        <v>Mickey  Bolduc</v>
      </c>
      <c r="M1168" s="4">
        <f t="array" ref="M1168">IF(ROWS(M$20:M1168)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1168))))</f>
        <v>12</v>
      </c>
    </row>
    <row r="1169" spans="1:13" x14ac:dyDescent="0.25">
      <c r="A1169" s="3">
        <v>41737</v>
      </c>
      <c r="B1169" s="2" t="s">
        <v>7</v>
      </c>
      <c r="C1169" s="2">
        <v>23</v>
      </c>
      <c r="G1169" s="7">
        <f t="array" ref="G1169">IF(ROWS(K$20:K1169)&gt;$F$6,"",INDEX(A$2:A$10000,SMALL(IF(ISNUMBER(MATCH($B$2:$B$10000,$E$6:$E$22,0)),ROW($C$2:$C$10000)-ROW($C$2)+1),ROWS(K$20:K1169))))</f>
        <v>41319</v>
      </c>
      <c r="H1169" s="4" t="str">
        <f t="array" ref="H1169">IF(ROWS(L$20:L1169)&gt;$F$6,"",INDEX(B$2:B$10000,SMALL(IF(ISNUMBER(MATCH($B$2:$B$10000,$E$6:$E$22,0)),ROW($C$2:$C$10000)-ROW($C$2)+1),ROWS(L$20:L1169))))</f>
        <v>Iliana  Valerio</v>
      </c>
      <c r="I1169" s="4">
        <f t="array" ref="I1169">IF(ROWS(M$20:M1169)&gt;$F$6,"",INDEX(C$2:C$10000,SMALL(IF(ISNUMBER(MATCH($B$2:$B$10000,$E$6:$E$22,0)),ROW($C$2:$C$10000)-ROW($C$2)+1),ROWS(M$20:M1169))))</f>
        <v>2</v>
      </c>
      <c r="K1169" s="7">
        <f t="array" ref="K1169">IF(ROWS(K$20:K1169)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1169))))</f>
        <v>41319</v>
      </c>
      <c r="L1169" s="4" t="str">
        <f t="array" ref="L1169">IF(ROWS(L$20:L1169)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1169))))</f>
        <v>Iliana  Valerio</v>
      </c>
      <c r="M1169" s="4">
        <f t="array" ref="M1169">IF(ROWS(M$20:M1169)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1169))))</f>
        <v>2</v>
      </c>
    </row>
    <row r="1170" spans="1:13" x14ac:dyDescent="0.25">
      <c r="A1170" s="3">
        <v>41276</v>
      </c>
      <c r="B1170" s="2" t="s">
        <v>7</v>
      </c>
      <c r="C1170" s="2">
        <v>52</v>
      </c>
      <c r="G1170" s="7">
        <f t="array" ref="G1170">IF(ROWS(K$20:K1170)&gt;$F$6,"",INDEX(A$2:A$10000,SMALL(IF(ISNUMBER(MATCH($B$2:$B$10000,$E$6:$E$22,0)),ROW($C$2:$C$10000)-ROW($C$2)+1),ROWS(K$20:K1170))))</f>
        <v>41510</v>
      </c>
      <c r="H1170" s="4" t="str">
        <f t="array" ref="H1170">IF(ROWS(L$20:L1170)&gt;$F$6,"",INDEX(B$2:B$10000,SMALL(IF(ISNUMBER(MATCH($B$2:$B$10000,$E$6:$E$22,0)),ROW($C$2:$C$10000)-ROW($C$2)+1),ROWS(L$20:L1170))))</f>
        <v>Iliana  Valerio</v>
      </c>
      <c r="I1170" s="4">
        <f t="array" ref="I1170">IF(ROWS(M$20:M1170)&gt;$F$6,"",INDEX(C$2:C$10000,SMALL(IF(ISNUMBER(MATCH($B$2:$B$10000,$E$6:$E$22,0)),ROW($C$2:$C$10000)-ROW($C$2)+1),ROWS(M$20:M1170))))</f>
        <v>40</v>
      </c>
      <c r="K1170" s="7">
        <f t="array" ref="K1170">IF(ROWS(K$20:K1170)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1170))))</f>
        <v>41510</v>
      </c>
      <c r="L1170" s="4" t="str">
        <f t="array" ref="L1170">IF(ROWS(L$20:L1170)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1170))))</f>
        <v>Iliana  Valerio</v>
      </c>
      <c r="M1170" s="4">
        <f t="array" ref="M1170">IF(ROWS(M$20:M1170)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1170))))</f>
        <v>40</v>
      </c>
    </row>
    <row r="1171" spans="1:13" x14ac:dyDescent="0.25">
      <c r="A1171" s="3">
        <v>41666</v>
      </c>
      <c r="B1171" s="2" t="s">
        <v>33</v>
      </c>
      <c r="C1171" s="2">
        <v>33</v>
      </c>
      <c r="G1171" s="7">
        <f t="array" ref="G1171">IF(ROWS(K$20:K1171)&gt;$F$6,"",INDEX(A$2:A$10000,SMALL(IF(ISNUMBER(MATCH($B$2:$B$10000,$E$6:$E$22,0)),ROW($C$2:$C$10000)-ROW($C$2)+1),ROWS(K$20:K1171))))</f>
        <v>41995</v>
      </c>
      <c r="H1171" s="4" t="str">
        <f t="array" ref="H1171">IF(ROWS(L$20:L1171)&gt;$F$6,"",INDEX(B$2:B$10000,SMALL(IF(ISNUMBER(MATCH($B$2:$B$10000,$E$6:$E$22,0)),ROW($C$2:$C$10000)-ROW($C$2)+1),ROWS(L$20:L1171))))</f>
        <v>Kerrie  Worrell</v>
      </c>
      <c r="I1171" s="4">
        <f t="array" ref="I1171">IF(ROWS(M$20:M1171)&gt;$F$6,"",INDEX(C$2:C$10000,SMALL(IF(ISNUMBER(MATCH($B$2:$B$10000,$E$6:$E$22,0)),ROW($C$2:$C$10000)-ROW($C$2)+1),ROWS(M$20:M1171))))</f>
        <v>35</v>
      </c>
      <c r="K1171" s="7">
        <f t="array" ref="K1171">IF(ROWS(K$20:K1171)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1171))))</f>
        <v>41995</v>
      </c>
      <c r="L1171" s="4" t="str">
        <f t="array" ref="L1171">IF(ROWS(L$20:L1171)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1171))))</f>
        <v>Kerrie  Worrell</v>
      </c>
      <c r="M1171" s="4">
        <f t="array" ref="M1171">IF(ROWS(M$20:M1171)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1171))))</f>
        <v>35</v>
      </c>
    </row>
    <row r="1172" spans="1:13" x14ac:dyDescent="0.25">
      <c r="A1172" s="3">
        <v>41386</v>
      </c>
      <c r="B1172" s="2" t="s">
        <v>19</v>
      </c>
      <c r="C1172" s="2">
        <v>12</v>
      </c>
      <c r="G1172" s="7">
        <f t="array" ref="G1172">IF(ROWS(K$20:K1172)&gt;$F$6,"",INDEX(A$2:A$10000,SMALL(IF(ISNUMBER(MATCH($B$2:$B$10000,$E$6:$E$22,0)),ROW($C$2:$C$10000)-ROW($C$2)+1),ROWS(K$20:K1172))))</f>
        <v>41970</v>
      </c>
      <c r="H1172" s="4" t="str">
        <f t="array" ref="H1172">IF(ROWS(L$20:L1172)&gt;$F$6,"",INDEX(B$2:B$10000,SMALL(IF(ISNUMBER(MATCH($B$2:$B$10000,$E$6:$E$22,0)),ROW($C$2:$C$10000)-ROW($C$2)+1),ROWS(L$20:L1172))))</f>
        <v>Jenni  Thorton</v>
      </c>
      <c r="I1172" s="4">
        <f t="array" ref="I1172">IF(ROWS(M$20:M1172)&gt;$F$6,"",INDEX(C$2:C$10000,SMALL(IF(ISNUMBER(MATCH($B$2:$B$10000,$E$6:$E$22,0)),ROW($C$2:$C$10000)-ROW($C$2)+1),ROWS(M$20:M1172))))</f>
        <v>37</v>
      </c>
      <c r="K1172" s="7">
        <f t="array" ref="K1172">IF(ROWS(K$20:K1172)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1172))))</f>
        <v>41970</v>
      </c>
      <c r="L1172" s="4" t="str">
        <f t="array" ref="L1172">IF(ROWS(L$20:L1172)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1172))))</f>
        <v>Jenni  Thorton</v>
      </c>
      <c r="M1172" s="4">
        <f t="array" ref="M1172">IF(ROWS(M$20:M1172)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1172))))</f>
        <v>37</v>
      </c>
    </row>
    <row r="1173" spans="1:13" x14ac:dyDescent="0.25">
      <c r="A1173" s="3">
        <v>41890</v>
      </c>
      <c r="B1173" s="2" t="s">
        <v>25</v>
      </c>
      <c r="C1173" s="2">
        <v>15</v>
      </c>
      <c r="G1173" s="7">
        <f t="array" ref="G1173">IF(ROWS(K$20:K1173)&gt;$F$6,"",INDEX(A$2:A$10000,SMALL(IF(ISNUMBER(MATCH($B$2:$B$10000,$E$6:$E$22,0)),ROW($C$2:$C$10000)-ROW($C$2)+1),ROWS(K$20:K1173))))</f>
        <v>41915</v>
      </c>
      <c r="H1173" s="4" t="str">
        <f t="array" ref="H1173">IF(ROWS(L$20:L1173)&gt;$F$6,"",INDEX(B$2:B$10000,SMALL(IF(ISNUMBER(MATCH($B$2:$B$10000,$E$6:$E$22,0)),ROW($C$2:$C$10000)-ROW($C$2)+1),ROWS(L$20:L1173))))</f>
        <v>Rosamond  Allard</v>
      </c>
      <c r="I1173" s="4">
        <f t="array" ref="I1173">IF(ROWS(M$20:M1173)&gt;$F$6,"",INDEX(C$2:C$10000,SMALL(IF(ISNUMBER(MATCH($B$2:$B$10000,$E$6:$E$22,0)),ROW($C$2:$C$10000)-ROW($C$2)+1),ROWS(M$20:M1173))))</f>
        <v>14</v>
      </c>
      <c r="K1173" s="7">
        <f t="array" ref="K1173">IF(ROWS(K$20:K1173)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1173))))</f>
        <v>41915</v>
      </c>
      <c r="L1173" s="4" t="str">
        <f t="array" ref="L1173">IF(ROWS(L$20:L1173)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1173))))</f>
        <v>Rosamond  Allard</v>
      </c>
      <c r="M1173" s="4">
        <f t="array" ref="M1173">IF(ROWS(M$20:M1173)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1173))))</f>
        <v>14</v>
      </c>
    </row>
    <row r="1174" spans="1:13" x14ac:dyDescent="0.25">
      <c r="A1174" s="3">
        <v>41330</v>
      </c>
      <c r="B1174" s="2" t="s">
        <v>33</v>
      </c>
      <c r="C1174" s="2">
        <v>40</v>
      </c>
      <c r="G1174" s="7">
        <f t="array" ref="G1174">IF(ROWS(K$20:K1174)&gt;$F$6,"",INDEX(A$2:A$10000,SMALL(IF(ISNUMBER(MATCH($B$2:$B$10000,$E$6:$E$22,0)),ROW($C$2:$C$10000)-ROW($C$2)+1),ROWS(K$20:K1174))))</f>
        <v>41395</v>
      </c>
      <c r="H1174" s="4" t="str">
        <f t="array" ref="H1174">IF(ROWS(L$20:L1174)&gt;$F$6,"",INDEX(B$2:B$10000,SMALL(IF(ISNUMBER(MATCH($B$2:$B$10000,$E$6:$E$22,0)),ROW($C$2:$C$10000)-ROW($C$2)+1),ROWS(L$20:L1174))))</f>
        <v>Jenni  Thorton</v>
      </c>
      <c r="I1174" s="4">
        <f t="array" ref="I1174">IF(ROWS(M$20:M1174)&gt;$F$6,"",INDEX(C$2:C$10000,SMALL(IF(ISNUMBER(MATCH($B$2:$B$10000,$E$6:$E$22,0)),ROW($C$2:$C$10000)-ROW($C$2)+1),ROWS(M$20:M1174))))</f>
        <v>41</v>
      </c>
      <c r="K1174" s="7">
        <f t="array" ref="K1174">IF(ROWS(K$20:K1174)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1174))))</f>
        <v>41395</v>
      </c>
      <c r="L1174" s="4" t="str">
        <f t="array" ref="L1174">IF(ROWS(L$20:L1174)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1174))))</f>
        <v>Jenni  Thorton</v>
      </c>
      <c r="M1174" s="4">
        <f t="array" ref="M1174">IF(ROWS(M$20:M1174)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1174))))</f>
        <v>41</v>
      </c>
    </row>
    <row r="1175" spans="1:13" x14ac:dyDescent="0.25">
      <c r="A1175" s="3">
        <v>41363</v>
      </c>
      <c r="B1175" s="2" t="s">
        <v>12</v>
      </c>
      <c r="C1175" s="2">
        <v>10</v>
      </c>
      <c r="G1175" s="7">
        <f t="array" ref="G1175">IF(ROWS(K$20:K1175)&gt;$F$6,"",INDEX(A$2:A$10000,SMALL(IF(ISNUMBER(MATCH($B$2:$B$10000,$E$6:$E$22,0)),ROW($C$2:$C$10000)-ROW($C$2)+1),ROWS(K$20:K1175))))</f>
        <v>41566</v>
      </c>
      <c r="H1175" s="4" t="str">
        <f t="array" ref="H1175">IF(ROWS(L$20:L1175)&gt;$F$6,"",INDEX(B$2:B$10000,SMALL(IF(ISNUMBER(MATCH($B$2:$B$10000,$E$6:$E$22,0)),ROW($C$2:$C$10000)-ROW($C$2)+1),ROWS(L$20:L1175))))</f>
        <v>Iliana  Valerio</v>
      </c>
      <c r="I1175" s="4">
        <f t="array" ref="I1175">IF(ROWS(M$20:M1175)&gt;$F$6,"",INDEX(C$2:C$10000,SMALL(IF(ISNUMBER(MATCH($B$2:$B$10000,$E$6:$E$22,0)),ROW($C$2:$C$10000)-ROW($C$2)+1),ROWS(M$20:M1175))))</f>
        <v>20</v>
      </c>
      <c r="K1175" s="7">
        <f t="array" ref="K1175">IF(ROWS(K$20:K1175)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1175))))</f>
        <v>41566</v>
      </c>
      <c r="L1175" s="4" t="str">
        <f t="array" ref="L1175">IF(ROWS(L$20:L1175)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1175))))</f>
        <v>Iliana  Valerio</v>
      </c>
      <c r="M1175" s="4">
        <f t="array" ref="M1175">IF(ROWS(M$20:M1175)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1175))))</f>
        <v>20</v>
      </c>
    </row>
    <row r="1176" spans="1:13" x14ac:dyDescent="0.25">
      <c r="A1176" s="3">
        <v>41593</v>
      </c>
      <c r="B1176" s="2" t="s">
        <v>6</v>
      </c>
      <c r="C1176" s="2">
        <v>52</v>
      </c>
      <c r="G1176" s="7">
        <f t="array" ref="G1176">IF(ROWS(K$20:K1176)&gt;$F$6,"",INDEX(A$2:A$10000,SMALL(IF(ISNUMBER(MATCH($B$2:$B$10000,$E$6:$E$22,0)),ROW($C$2:$C$10000)-ROW($C$2)+1),ROWS(K$20:K1176))))</f>
        <v>41598</v>
      </c>
      <c r="H1176" s="4" t="str">
        <f t="array" ref="H1176">IF(ROWS(L$20:L1176)&gt;$F$6,"",INDEX(B$2:B$10000,SMALL(IF(ISNUMBER(MATCH($B$2:$B$10000,$E$6:$E$22,0)),ROW($C$2:$C$10000)-ROW($C$2)+1),ROWS(L$20:L1176))))</f>
        <v>Jenni  Thorton</v>
      </c>
      <c r="I1176" s="4">
        <f t="array" ref="I1176">IF(ROWS(M$20:M1176)&gt;$F$6,"",INDEX(C$2:C$10000,SMALL(IF(ISNUMBER(MATCH($B$2:$B$10000,$E$6:$E$22,0)),ROW($C$2:$C$10000)-ROW($C$2)+1),ROWS(M$20:M1176))))</f>
        <v>8</v>
      </c>
      <c r="K1176" s="7">
        <f t="array" ref="K1176">IF(ROWS(K$20:K1176)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1176))))</f>
        <v>41598</v>
      </c>
      <c r="L1176" s="4" t="str">
        <f t="array" ref="L1176">IF(ROWS(L$20:L1176)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1176))))</f>
        <v>Jenni  Thorton</v>
      </c>
      <c r="M1176" s="4">
        <f t="array" ref="M1176">IF(ROWS(M$20:M1176)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1176))))</f>
        <v>8</v>
      </c>
    </row>
    <row r="1177" spans="1:13" x14ac:dyDescent="0.25">
      <c r="A1177" s="3">
        <v>41359</v>
      </c>
      <c r="B1177" s="2" t="s">
        <v>37</v>
      </c>
      <c r="C1177" s="2">
        <v>32</v>
      </c>
      <c r="G1177" s="7">
        <f t="array" ref="G1177">IF(ROWS(K$20:K1177)&gt;$F$6,"",INDEX(A$2:A$10000,SMALL(IF(ISNUMBER(MATCH($B$2:$B$10000,$E$6:$E$22,0)),ROW($C$2:$C$10000)-ROW($C$2)+1),ROWS(K$20:K1177))))</f>
        <v>41325</v>
      </c>
      <c r="H1177" s="4" t="str">
        <f t="array" ref="H1177">IF(ROWS(L$20:L1177)&gt;$F$6,"",INDEX(B$2:B$10000,SMALL(IF(ISNUMBER(MATCH($B$2:$B$10000,$E$6:$E$22,0)),ROW($C$2:$C$10000)-ROW($C$2)+1),ROWS(L$20:L1177))))</f>
        <v>Galen  Barth</v>
      </c>
      <c r="I1177" s="4">
        <f t="array" ref="I1177">IF(ROWS(M$20:M1177)&gt;$F$6,"",INDEX(C$2:C$10000,SMALL(IF(ISNUMBER(MATCH($B$2:$B$10000,$E$6:$E$22,0)),ROW($C$2:$C$10000)-ROW($C$2)+1),ROWS(M$20:M1177))))</f>
        <v>23</v>
      </c>
      <c r="K1177" s="7">
        <f t="array" ref="K1177">IF(ROWS(K$20:K1177)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1177))))</f>
        <v>41325</v>
      </c>
      <c r="L1177" s="4" t="str">
        <f t="array" ref="L1177">IF(ROWS(L$20:L1177)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1177))))</f>
        <v>Galen  Barth</v>
      </c>
      <c r="M1177" s="4">
        <f t="array" ref="M1177">IF(ROWS(M$20:M1177)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1177))))</f>
        <v>23</v>
      </c>
    </row>
    <row r="1178" spans="1:13" x14ac:dyDescent="0.25">
      <c r="A1178" s="3">
        <v>41609</v>
      </c>
      <c r="B1178" s="2" t="s">
        <v>23</v>
      </c>
      <c r="C1178" s="2">
        <v>30</v>
      </c>
      <c r="G1178" s="7">
        <f t="array" ref="G1178">IF(ROWS(K$20:K1178)&gt;$F$6,"",INDEX(A$2:A$10000,SMALL(IF(ISNUMBER(MATCH($B$2:$B$10000,$E$6:$E$22,0)),ROW($C$2:$C$10000)-ROW($C$2)+1),ROWS(K$20:K1178))))</f>
        <v>41558</v>
      </c>
      <c r="H1178" s="4" t="str">
        <f t="array" ref="H1178">IF(ROWS(L$20:L1178)&gt;$F$6,"",INDEX(B$2:B$10000,SMALL(IF(ISNUMBER(MATCH($B$2:$B$10000,$E$6:$E$22,0)),ROW($C$2:$C$10000)-ROW($C$2)+1),ROWS(L$20:L1178))))</f>
        <v>Kerrie  Worrell</v>
      </c>
      <c r="I1178" s="4">
        <f t="array" ref="I1178">IF(ROWS(M$20:M1178)&gt;$F$6,"",INDEX(C$2:C$10000,SMALL(IF(ISNUMBER(MATCH($B$2:$B$10000,$E$6:$E$22,0)),ROW($C$2:$C$10000)-ROW($C$2)+1),ROWS(M$20:M1178))))</f>
        <v>23</v>
      </c>
      <c r="K1178" s="7">
        <f t="array" ref="K1178">IF(ROWS(K$20:K1178)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1178))))</f>
        <v>41558</v>
      </c>
      <c r="L1178" s="4" t="str">
        <f t="array" ref="L1178">IF(ROWS(L$20:L1178)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1178))))</f>
        <v>Kerrie  Worrell</v>
      </c>
      <c r="M1178" s="4">
        <f t="array" ref="M1178">IF(ROWS(M$20:M1178)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1178))))</f>
        <v>23</v>
      </c>
    </row>
    <row r="1179" spans="1:13" x14ac:dyDescent="0.25">
      <c r="A1179" s="3">
        <v>41582</v>
      </c>
      <c r="B1179" s="2" t="s">
        <v>23</v>
      </c>
      <c r="C1179" s="2">
        <v>12</v>
      </c>
      <c r="G1179" s="7">
        <f t="array" ref="G1179">IF(ROWS(K$20:K1179)&gt;$F$6,"",INDEX(A$2:A$10000,SMALL(IF(ISNUMBER(MATCH($B$2:$B$10000,$E$6:$E$22,0)),ROW($C$2:$C$10000)-ROW($C$2)+1),ROWS(K$20:K1179))))</f>
        <v>41676</v>
      </c>
      <c r="H1179" s="4" t="str">
        <f t="array" ref="H1179">IF(ROWS(L$20:L1179)&gt;$F$6,"",INDEX(B$2:B$10000,SMALL(IF(ISNUMBER(MATCH($B$2:$B$10000,$E$6:$E$22,0)),ROW($C$2:$C$10000)-ROW($C$2)+1),ROWS(L$20:L1179))))</f>
        <v>Galen  Barth</v>
      </c>
      <c r="I1179" s="4">
        <f t="array" ref="I1179">IF(ROWS(M$20:M1179)&gt;$F$6,"",INDEX(C$2:C$10000,SMALL(IF(ISNUMBER(MATCH($B$2:$B$10000,$E$6:$E$22,0)),ROW($C$2:$C$10000)-ROW($C$2)+1),ROWS(M$20:M1179))))</f>
        <v>24</v>
      </c>
      <c r="K1179" s="7">
        <f t="array" ref="K1179">IF(ROWS(K$20:K1179)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1179))))</f>
        <v>41676</v>
      </c>
      <c r="L1179" s="4" t="str">
        <f t="array" ref="L1179">IF(ROWS(L$20:L1179)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1179))))</f>
        <v>Galen  Barth</v>
      </c>
      <c r="M1179" s="4">
        <f t="array" ref="M1179">IF(ROWS(M$20:M1179)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1179))))</f>
        <v>24</v>
      </c>
    </row>
    <row r="1180" spans="1:13" x14ac:dyDescent="0.25">
      <c r="A1180" s="3">
        <v>41405</v>
      </c>
      <c r="B1180" s="2" t="s">
        <v>30</v>
      </c>
      <c r="C1180" s="2">
        <v>18</v>
      </c>
      <c r="G1180" s="7">
        <f t="array" ref="G1180">IF(ROWS(K$20:K1180)&gt;$F$6,"",INDEX(A$2:A$10000,SMALL(IF(ISNUMBER(MATCH($B$2:$B$10000,$E$6:$E$22,0)),ROW($C$2:$C$10000)-ROW($C$2)+1),ROWS(K$20:K1180))))</f>
        <v>41628</v>
      </c>
      <c r="H1180" s="4" t="str">
        <f t="array" ref="H1180">IF(ROWS(L$20:L1180)&gt;$F$6,"",INDEX(B$2:B$10000,SMALL(IF(ISNUMBER(MATCH($B$2:$B$10000,$E$6:$E$22,0)),ROW($C$2:$C$10000)-ROW($C$2)+1),ROWS(L$20:L1180))))</f>
        <v>Rosamond  Allard</v>
      </c>
      <c r="I1180" s="4">
        <f t="array" ref="I1180">IF(ROWS(M$20:M1180)&gt;$F$6,"",INDEX(C$2:C$10000,SMALL(IF(ISNUMBER(MATCH($B$2:$B$10000,$E$6:$E$22,0)),ROW($C$2:$C$10000)-ROW($C$2)+1),ROWS(M$20:M1180))))</f>
        <v>43</v>
      </c>
      <c r="K1180" s="7">
        <f t="array" ref="K1180">IF(ROWS(K$20:K1180)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1180))))</f>
        <v>41628</v>
      </c>
      <c r="L1180" s="4" t="str">
        <f t="array" ref="L1180">IF(ROWS(L$20:L1180)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1180))))</f>
        <v>Rosamond  Allard</v>
      </c>
      <c r="M1180" s="4">
        <f t="array" ref="M1180">IF(ROWS(M$20:M1180)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1180))))</f>
        <v>43</v>
      </c>
    </row>
    <row r="1181" spans="1:13" x14ac:dyDescent="0.25">
      <c r="A1181" s="3">
        <v>41467</v>
      </c>
      <c r="B1181" s="2" t="s">
        <v>44</v>
      </c>
      <c r="C1181" s="2">
        <v>24</v>
      </c>
      <c r="G1181" s="7">
        <f t="array" ref="G1181">IF(ROWS(K$20:K1181)&gt;$F$6,"",INDEX(A$2:A$10000,SMALL(IF(ISNUMBER(MATCH($B$2:$B$10000,$E$6:$E$22,0)),ROW($C$2:$C$10000)-ROW($C$2)+1),ROWS(K$20:K1181))))</f>
        <v>41941</v>
      </c>
      <c r="H1181" s="4" t="str">
        <f t="array" ref="H1181">IF(ROWS(L$20:L1181)&gt;$F$6,"",INDEX(B$2:B$10000,SMALL(IF(ISNUMBER(MATCH($B$2:$B$10000,$E$6:$E$22,0)),ROW($C$2:$C$10000)-ROW($C$2)+1),ROWS(L$20:L1181))))</f>
        <v>Rosamond  Allard</v>
      </c>
      <c r="I1181" s="4">
        <f t="array" ref="I1181">IF(ROWS(M$20:M1181)&gt;$F$6,"",INDEX(C$2:C$10000,SMALL(IF(ISNUMBER(MATCH($B$2:$B$10000,$E$6:$E$22,0)),ROW($C$2:$C$10000)-ROW($C$2)+1),ROWS(M$20:M1181))))</f>
        <v>4</v>
      </c>
      <c r="K1181" s="7">
        <f t="array" ref="K1181">IF(ROWS(K$20:K1181)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1181))))</f>
        <v>41941</v>
      </c>
      <c r="L1181" s="4" t="str">
        <f t="array" ref="L1181">IF(ROWS(L$20:L1181)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1181))))</f>
        <v>Rosamond  Allard</v>
      </c>
      <c r="M1181" s="4">
        <f t="array" ref="M1181">IF(ROWS(M$20:M1181)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1181))))</f>
        <v>4</v>
      </c>
    </row>
    <row r="1182" spans="1:13" x14ac:dyDescent="0.25">
      <c r="A1182" s="3">
        <v>41605</v>
      </c>
      <c r="B1182" s="2" t="s">
        <v>29</v>
      </c>
      <c r="C1182" s="2">
        <v>16</v>
      </c>
      <c r="G1182" s="7">
        <f t="array" ref="G1182">IF(ROWS(K$20:K1182)&gt;$F$6,"",INDEX(A$2:A$10000,SMALL(IF(ISNUMBER(MATCH($B$2:$B$10000,$E$6:$E$22,0)),ROW($C$2:$C$10000)-ROW($C$2)+1),ROWS(K$20:K1182))))</f>
        <v>41361</v>
      </c>
      <c r="H1182" s="4" t="str">
        <f t="array" ref="H1182">IF(ROWS(L$20:L1182)&gt;$F$6,"",INDEX(B$2:B$10000,SMALL(IF(ISNUMBER(MATCH($B$2:$B$10000,$E$6:$E$22,0)),ROW($C$2:$C$10000)-ROW($C$2)+1),ROWS(L$20:L1182))))</f>
        <v>Jenni  Thorton</v>
      </c>
      <c r="I1182" s="4">
        <f t="array" ref="I1182">IF(ROWS(M$20:M1182)&gt;$F$6,"",INDEX(C$2:C$10000,SMALL(IF(ISNUMBER(MATCH($B$2:$B$10000,$E$6:$E$22,0)),ROW($C$2:$C$10000)-ROW($C$2)+1),ROWS(M$20:M1182))))</f>
        <v>10</v>
      </c>
      <c r="K1182" s="7">
        <f t="array" ref="K1182">IF(ROWS(K$20:K1182)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1182))))</f>
        <v>41361</v>
      </c>
      <c r="L1182" s="4" t="str">
        <f t="array" ref="L1182">IF(ROWS(L$20:L1182)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1182))))</f>
        <v>Jenni  Thorton</v>
      </c>
      <c r="M1182" s="4">
        <f t="array" ref="M1182">IF(ROWS(M$20:M1182)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1182))))</f>
        <v>10</v>
      </c>
    </row>
    <row r="1183" spans="1:13" x14ac:dyDescent="0.25">
      <c r="A1183" s="3">
        <v>41433</v>
      </c>
      <c r="B1183" s="2" t="s">
        <v>38</v>
      </c>
      <c r="C1183" s="2">
        <v>13</v>
      </c>
      <c r="G1183" s="7">
        <f t="array" ref="G1183">IF(ROWS(K$20:K1183)&gt;$F$6,"",INDEX(A$2:A$10000,SMALL(IF(ISNUMBER(MATCH($B$2:$B$10000,$E$6:$E$22,0)),ROW($C$2:$C$10000)-ROW($C$2)+1),ROWS(K$20:K1183))))</f>
        <v>41653</v>
      </c>
      <c r="H1183" s="4" t="str">
        <f t="array" ref="H1183">IF(ROWS(L$20:L1183)&gt;$F$6,"",INDEX(B$2:B$10000,SMALL(IF(ISNUMBER(MATCH($B$2:$B$10000,$E$6:$E$22,0)),ROW($C$2:$C$10000)-ROW($C$2)+1),ROWS(L$20:L1183))))</f>
        <v>Mickey  Bolduc</v>
      </c>
      <c r="I1183" s="4">
        <f t="array" ref="I1183">IF(ROWS(M$20:M1183)&gt;$F$6,"",INDEX(C$2:C$10000,SMALL(IF(ISNUMBER(MATCH($B$2:$B$10000,$E$6:$E$22,0)),ROW($C$2:$C$10000)-ROW($C$2)+1),ROWS(M$20:M1183))))</f>
        <v>2</v>
      </c>
      <c r="K1183" s="7">
        <f t="array" ref="K1183">IF(ROWS(K$20:K1183)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1183))))</f>
        <v>41653</v>
      </c>
      <c r="L1183" s="4" t="str">
        <f t="array" ref="L1183">IF(ROWS(L$20:L1183)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1183))))</f>
        <v>Mickey  Bolduc</v>
      </c>
      <c r="M1183" s="4">
        <f t="array" ref="M1183">IF(ROWS(M$20:M1183)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1183))))</f>
        <v>2</v>
      </c>
    </row>
    <row r="1184" spans="1:13" x14ac:dyDescent="0.25">
      <c r="A1184" s="3">
        <v>41611</v>
      </c>
      <c r="B1184" s="2" t="s">
        <v>37</v>
      </c>
      <c r="C1184" s="2">
        <v>10</v>
      </c>
      <c r="G1184" s="7">
        <f t="array" ref="G1184">IF(ROWS(K$20:K1184)&gt;$F$6,"",INDEX(A$2:A$10000,SMALL(IF(ISNUMBER(MATCH($B$2:$B$10000,$E$6:$E$22,0)),ROW($C$2:$C$10000)-ROW($C$2)+1),ROWS(K$20:K1184))))</f>
        <v>41801</v>
      </c>
      <c r="H1184" s="4" t="str">
        <f t="array" ref="H1184">IF(ROWS(L$20:L1184)&gt;$F$6,"",INDEX(B$2:B$10000,SMALL(IF(ISNUMBER(MATCH($B$2:$B$10000,$E$6:$E$22,0)),ROW($C$2:$C$10000)-ROW($C$2)+1),ROWS(L$20:L1184))))</f>
        <v>Iliana  Valerio</v>
      </c>
      <c r="I1184" s="4">
        <f t="array" ref="I1184">IF(ROWS(M$20:M1184)&gt;$F$6,"",INDEX(C$2:C$10000,SMALL(IF(ISNUMBER(MATCH($B$2:$B$10000,$E$6:$E$22,0)),ROW($C$2:$C$10000)-ROW($C$2)+1),ROWS(M$20:M1184))))</f>
        <v>51</v>
      </c>
      <c r="K1184" s="7">
        <f t="array" ref="K1184">IF(ROWS(K$20:K1184)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1184))))</f>
        <v>41801</v>
      </c>
      <c r="L1184" s="4" t="str">
        <f t="array" ref="L1184">IF(ROWS(L$20:L1184)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1184))))</f>
        <v>Iliana  Valerio</v>
      </c>
      <c r="M1184" s="4">
        <f t="array" ref="M1184">IF(ROWS(M$20:M1184)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1184))))</f>
        <v>51</v>
      </c>
    </row>
    <row r="1185" spans="1:13" x14ac:dyDescent="0.25">
      <c r="A1185" s="3">
        <v>41896</v>
      </c>
      <c r="B1185" s="2" t="s">
        <v>5</v>
      </c>
      <c r="C1185" s="2">
        <v>3</v>
      </c>
      <c r="G1185" s="7">
        <f t="array" ref="G1185">IF(ROWS(K$20:K1185)&gt;$F$6,"",INDEX(A$2:A$10000,SMALL(IF(ISNUMBER(MATCH($B$2:$B$10000,$E$6:$E$22,0)),ROW($C$2:$C$10000)-ROW($C$2)+1),ROWS(K$20:K1185))))</f>
        <v>41699</v>
      </c>
      <c r="H1185" s="4" t="str">
        <f t="array" ref="H1185">IF(ROWS(L$20:L1185)&gt;$F$6,"",INDEX(B$2:B$10000,SMALL(IF(ISNUMBER(MATCH($B$2:$B$10000,$E$6:$E$22,0)),ROW($C$2:$C$10000)-ROW($C$2)+1),ROWS(L$20:L1185))))</f>
        <v>Rosamond  Allard</v>
      </c>
      <c r="I1185" s="4">
        <f t="array" ref="I1185">IF(ROWS(M$20:M1185)&gt;$F$6,"",INDEX(C$2:C$10000,SMALL(IF(ISNUMBER(MATCH($B$2:$B$10000,$E$6:$E$22,0)),ROW($C$2:$C$10000)-ROW($C$2)+1),ROWS(M$20:M1185))))</f>
        <v>13</v>
      </c>
      <c r="K1185" s="7">
        <f t="array" ref="K1185">IF(ROWS(K$20:K1185)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1185))))</f>
        <v>41699</v>
      </c>
      <c r="L1185" s="4" t="str">
        <f t="array" ref="L1185">IF(ROWS(L$20:L1185)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1185))))</f>
        <v>Rosamond  Allard</v>
      </c>
      <c r="M1185" s="4">
        <f t="array" ref="M1185">IF(ROWS(M$20:M1185)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1185))))</f>
        <v>13</v>
      </c>
    </row>
    <row r="1186" spans="1:13" x14ac:dyDescent="0.25">
      <c r="A1186" s="3">
        <v>41370</v>
      </c>
      <c r="B1186" s="2" t="s">
        <v>4</v>
      </c>
      <c r="C1186" s="2">
        <v>55</v>
      </c>
      <c r="G1186" s="7">
        <f t="array" ref="G1186">IF(ROWS(K$20:K1186)&gt;$F$6,"",INDEX(A$2:A$10000,SMALL(IF(ISNUMBER(MATCH($B$2:$B$10000,$E$6:$E$22,0)),ROW($C$2:$C$10000)-ROW($C$2)+1),ROWS(K$20:K1186))))</f>
        <v>41347</v>
      </c>
      <c r="H1186" s="4" t="str">
        <f t="array" ref="H1186">IF(ROWS(L$20:L1186)&gt;$F$6,"",INDEX(B$2:B$10000,SMALL(IF(ISNUMBER(MATCH($B$2:$B$10000,$E$6:$E$22,0)),ROW($C$2:$C$10000)-ROW($C$2)+1),ROWS(L$20:L1186))))</f>
        <v>Mickey  Bolduc</v>
      </c>
      <c r="I1186" s="4">
        <f t="array" ref="I1186">IF(ROWS(M$20:M1186)&gt;$F$6,"",INDEX(C$2:C$10000,SMALL(IF(ISNUMBER(MATCH($B$2:$B$10000,$E$6:$E$22,0)),ROW($C$2:$C$10000)-ROW($C$2)+1),ROWS(M$20:M1186))))</f>
        <v>4</v>
      </c>
      <c r="K1186" s="7">
        <f t="array" ref="K1186">IF(ROWS(K$20:K1186)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1186))))</f>
        <v>41347</v>
      </c>
      <c r="L1186" s="4" t="str">
        <f t="array" ref="L1186">IF(ROWS(L$20:L1186)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1186))))</f>
        <v>Mickey  Bolduc</v>
      </c>
      <c r="M1186" s="4">
        <f t="array" ref="M1186">IF(ROWS(M$20:M1186)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1186))))</f>
        <v>4</v>
      </c>
    </row>
    <row r="1187" spans="1:13" x14ac:dyDescent="0.25">
      <c r="A1187" s="3">
        <v>41527</v>
      </c>
      <c r="B1187" s="2" t="s">
        <v>50</v>
      </c>
      <c r="C1187" s="2">
        <v>8</v>
      </c>
      <c r="G1187" s="7">
        <f t="array" ref="G1187">IF(ROWS(K$20:K1187)&gt;$F$6,"",INDEX(A$2:A$10000,SMALL(IF(ISNUMBER(MATCH($B$2:$B$10000,$E$6:$E$22,0)),ROW($C$2:$C$10000)-ROW($C$2)+1),ROWS(K$20:K1187))))</f>
        <v>41501</v>
      </c>
      <c r="H1187" s="4" t="str">
        <f t="array" ref="H1187">IF(ROWS(L$20:L1187)&gt;$F$6,"",INDEX(B$2:B$10000,SMALL(IF(ISNUMBER(MATCH($B$2:$B$10000,$E$6:$E$22,0)),ROW($C$2:$C$10000)-ROW($C$2)+1),ROWS(L$20:L1187))))</f>
        <v>Galen  Barth</v>
      </c>
      <c r="I1187" s="4">
        <f t="array" ref="I1187">IF(ROWS(M$20:M1187)&gt;$F$6,"",INDEX(C$2:C$10000,SMALL(IF(ISNUMBER(MATCH($B$2:$B$10000,$E$6:$E$22,0)),ROW($C$2:$C$10000)-ROW($C$2)+1),ROWS(M$20:M1187))))</f>
        <v>54</v>
      </c>
      <c r="K1187" s="7">
        <f t="array" ref="K1187">IF(ROWS(K$20:K1187)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1187))))</f>
        <v>41501</v>
      </c>
      <c r="L1187" s="4" t="str">
        <f t="array" ref="L1187">IF(ROWS(L$20:L1187)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1187))))</f>
        <v>Galen  Barth</v>
      </c>
      <c r="M1187" s="4">
        <f t="array" ref="M1187">IF(ROWS(M$20:M1187)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1187))))</f>
        <v>54</v>
      </c>
    </row>
    <row r="1188" spans="1:13" x14ac:dyDescent="0.25">
      <c r="A1188" s="3">
        <v>41829</v>
      </c>
      <c r="B1188" s="2" t="s">
        <v>51</v>
      </c>
      <c r="C1188" s="2">
        <v>25</v>
      </c>
      <c r="G1188" s="7">
        <f t="array" ref="G1188">IF(ROWS(K$20:K1188)&gt;$F$6,"",INDEX(A$2:A$10000,SMALL(IF(ISNUMBER(MATCH($B$2:$B$10000,$E$6:$E$22,0)),ROW($C$2:$C$10000)-ROW($C$2)+1),ROWS(K$20:K1188))))</f>
        <v>41314</v>
      </c>
      <c r="H1188" s="4" t="str">
        <f t="array" ref="H1188">IF(ROWS(L$20:L1188)&gt;$F$6,"",INDEX(B$2:B$10000,SMALL(IF(ISNUMBER(MATCH($B$2:$B$10000,$E$6:$E$22,0)),ROW($C$2:$C$10000)-ROW($C$2)+1),ROWS(L$20:L1188))))</f>
        <v>Iliana  Valerio</v>
      </c>
      <c r="I1188" s="4">
        <f t="array" ref="I1188">IF(ROWS(M$20:M1188)&gt;$F$6,"",INDEX(C$2:C$10000,SMALL(IF(ISNUMBER(MATCH($B$2:$B$10000,$E$6:$E$22,0)),ROW($C$2:$C$10000)-ROW($C$2)+1),ROWS(M$20:M1188))))</f>
        <v>44</v>
      </c>
      <c r="K1188" s="7">
        <f t="array" ref="K1188">IF(ROWS(K$20:K1188)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1188))))</f>
        <v>41314</v>
      </c>
      <c r="L1188" s="4" t="str">
        <f t="array" ref="L1188">IF(ROWS(L$20:L1188)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1188))))</f>
        <v>Iliana  Valerio</v>
      </c>
      <c r="M1188" s="4">
        <f t="array" ref="M1188">IF(ROWS(M$20:M1188)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1188))))</f>
        <v>44</v>
      </c>
    </row>
    <row r="1189" spans="1:13" x14ac:dyDescent="0.25">
      <c r="A1189" s="3">
        <v>41586</v>
      </c>
      <c r="B1189" s="2" t="s">
        <v>28</v>
      </c>
      <c r="C1189" s="2">
        <v>41</v>
      </c>
      <c r="G1189" s="7">
        <f t="array" ref="G1189">IF(ROWS(K$20:K1189)&gt;$F$6,"",INDEX(A$2:A$10000,SMALL(IF(ISNUMBER(MATCH($B$2:$B$10000,$E$6:$E$22,0)),ROW($C$2:$C$10000)-ROW($C$2)+1),ROWS(K$20:K1189))))</f>
        <v>41772</v>
      </c>
      <c r="H1189" s="4" t="str">
        <f t="array" ref="H1189">IF(ROWS(L$20:L1189)&gt;$F$6,"",INDEX(B$2:B$10000,SMALL(IF(ISNUMBER(MATCH($B$2:$B$10000,$E$6:$E$22,0)),ROW($C$2:$C$10000)-ROW($C$2)+1),ROWS(L$20:L1189))))</f>
        <v>Galen  Barth</v>
      </c>
      <c r="I1189" s="4">
        <f t="array" ref="I1189">IF(ROWS(M$20:M1189)&gt;$F$6,"",INDEX(C$2:C$10000,SMALL(IF(ISNUMBER(MATCH($B$2:$B$10000,$E$6:$E$22,0)),ROW($C$2:$C$10000)-ROW($C$2)+1),ROWS(M$20:M1189))))</f>
        <v>23</v>
      </c>
      <c r="K1189" s="7">
        <f t="array" ref="K1189">IF(ROWS(K$20:K1189)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1189))))</f>
        <v>41772</v>
      </c>
      <c r="L1189" s="4" t="str">
        <f t="array" ref="L1189">IF(ROWS(L$20:L1189)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1189))))</f>
        <v>Galen  Barth</v>
      </c>
      <c r="M1189" s="4">
        <f t="array" ref="M1189">IF(ROWS(M$20:M1189)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1189))))</f>
        <v>23</v>
      </c>
    </row>
    <row r="1190" spans="1:13" x14ac:dyDescent="0.25">
      <c r="A1190" s="3">
        <v>41315</v>
      </c>
      <c r="B1190" s="2" t="s">
        <v>29</v>
      </c>
      <c r="C1190" s="2">
        <v>50</v>
      </c>
      <c r="G1190" s="7">
        <f t="array" ref="G1190">IF(ROWS(K$20:K1190)&gt;$F$6,"",INDEX(A$2:A$10000,SMALL(IF(ISNUMBER(MATCH($B$2:$B$10000,$E$6:$E$22,0)),ROW($C$2:$C$10000)-ROW($C$2)+1),ROWS(K$20:K1190))))</f>
        <v>41619</v>
      </c>
      <c r="H1190" s="4" t="str">
        <f t="array" ref="H1190">IF(ROWS(L$20:L1190)&gt;$F$6,"",INDEX(B$2:B$10000,SMALL(IF(ISNUMBER(MATCH($B$2:$B$10000,$E$6:$E$22,0)),ROW($C$2:$C$10000)-ROW($C$2)+1),ROWS(L$20:L1190))))</f>
        <v>Iliana  Valerio</v>
      </c>
      <c r="I1190" s="4">
        <f t="array" ref="I1190">IF(ROWS(M$20:M1190)&gt;$F$6,"",INDEX(C$2:C$10000,SMALL(IF(ISNUMBER(MATCH($B$2:$B$10000,$E$6:$E$22,0)),ROW($C$2:$C$10000)-ROW($C$2)+1),ROWS(M$20:M1190))))</f>
        <v>34</v>
      </c>
      <c r="K1190" s="7">
        <f t="array" ref="K1190">IF(ROWS(K$20:K1190)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1190))))</f>
        <v>41619</v>
      </c>
      <c r="L1190" s="4" t="str">
        <f t="array" ref="L1190">IF(ROWS(L$20:L1190)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1190))))</f>
        <v>Iliana  Valerio</v>
      </c>
      <c r="M1190" s="4">
        <f t="array" ref="M1190">IF(ROWS(M$20:M1190)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1190))))</f>
        <v>34</v>
      </c>
    </row>
    <row r="1191" spans="1:13" x14ac:dyDescent="0.25">
      <c r="A1191" s="3">
        <v>41682</v>
      </c>
      <c r="B1191" s="2" t="s">
        <v>31</v>
      </c>
      <c r="C1191" s="2">
        <v>45</v>
      </c>
      <c r="G1191" s="7">
        <f t="array" ref="G1191">IF(ROWS(K$20:K1191)&gt;$F$6,"",INDEX(A$2:A$10000,SMALL(IF(ISNUMBER(MATCH($B$2:$B$10000,$E$6:$E$22,0)),ROW($C$2:$C$10000)-ROW($C$2)+1),ROWS(K$20:K1191))))</f>
        <v>41929</v>
      </c>
      <c r="H1191" s="4" t="str">
        <f t="array" ref="H1191">IF(ROWS(L$20:L1191)&gt;$F$6,"",INDEX(B$2:B$10000,SMALL(IF(ISNUMBER(MATCH($B$2:$B$10000,$E$6:$E$22,0)),ROW($C$2:$C$10000)-ROW($C$2)+1),ROWS(L$20:L1191))))</f>
        <v>Rosamond  Allard</v>
      </c>
      <c r="I1191" s="4">
        <f t="array" ref="I1191">IF(ROWS(M$20:M1191)&gt;$F$6,"",INDEX(C$2:C$10000,SMALL(IF(ISNUMBER(MATCH($B$2:$B$10000,$E$6:$E$22,0)),ROW($C$2:$C$10000)-ROW($C$2)+1),ROWS(M$20:M1191))))</f>
        <v>4</v>
      </c>
      <c r="K1191" s="7">
        <f t="array" ref="K1191">IF(ROWS(K$20:K1191)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1191))))</f>
        <v>41929</v>
      </c>
      <c r="L1191" s="4" t="str">
        <f t="array" ref="L1191">IF(ROWS(L$20:L1191)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1191))))</f>
        <v>Rosamond  Allard</v>
      </c>
      <c r="M1191" s="4">
        <f t="array" ref="M1191">IF(ROWS(M$20:M1191)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1191))))</f>
        <v>4</v>
      </c>
    </row>
    <row r="1192" spans="1:13" x14ac:dyDescent="0.25">
      <c r="A1192" s="3">
        <v>41815</v>
      </c>
      <c r="B1192" s="2" t="s">
        <v>37</v>
      </c>
      <c r="C1192" s="2">
        <v>27</v>
      </c>
      <c r="G1192" s="7">
        <f t="array" ref="G1192">IF(ROWS(K$20:K1192)&gt;$F$6,"",INDEX(A$2:A$10000,SMALL(IF(ISNUMBER(MATCH($B$2:$B$10000,$E$6:$E$22,0)),ROW($C$2:$C$10000)-ROW($C$2)+1),ROWS(K$20:K1192))))</f>
        <v>41777</v>
      </c>
      <c r="H1192" s="4" t="str">
        <f t="array" ref="H1192">IF(ROWS(L$20:L1192)&gt;$F$6,"",INDEX(B$2:B$10000,SMALL(IF(ISNUMBER(MATCH($B$2:$B$10000,$E$6:$E$22,0)),ROW($C$2:$C$10000)-ROW($C$2)+1),ROWS(L$20:L1192))))</f>
        <v>Mickey  Bolduc</v>
      </c>
      <c r="I1192" s="4">
        <f t="array" ref="I1192">IF(ROWS(M$20:M1192)&gt;$F$6,"",INDEX(C$2:C$10000,SMALL(IF(ISNUMBER(MATCH($B$2:$B$10000,$E$6:$E$22,0)),ROW($C$2:$C$10000)-ROW($C$2)+1),ROWS(M$20:M1192))))</f>
        <v>18</v>
      </c>
      <c r="K1192" s="7">
        <f t="array" ref="K1192">IF(ROWS(K$20:K1192)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1192))))</f>
        <v>41777</v>
      </c>
      <c r="L1192" s="4" t="str">
        <f t="array" ref="L1192">IF(ROWS(L$20:L1192)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1192))))</f>
        <v>Mickey  Bolduc</v>
      </c>
      <c r="M1192" s="4">
        <f t="array" ref="M1192">IF(ROWS(M$20:M1192)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1192))))</f>
        <v>18</v>
      </c>
    </row>
    <row r="1193" spans="1:13" x14ac:dyDescent="0.25">
      <c r="A1193" s="3">
        <v>41526</v>
      </c>
      <c r="B1193" s="2" t="s">
        <v>17</v>
      </c>
      <c r="C1193" s="2">
        <v>52</v>
      </c>
      <c r="G1193" s="7">
        <f t="array" ref="G1193">IF(ROWS(K$20:K1193)&gt;$F$6,"",INDEX(A$2:A$10000,SMALL(IF(ISNUMBER(MATCH($B$2:$B$10000,$E$6:$E$22,0)),ROW($C$2:$C$10000)-ROW($C$2)+1),ROWS(K$20:K1193))))</f>
        <v>41986</v>
      </c>
      <c r="H1193" s="4" t="str">
        <f t="array" ref="H1193">IF(ROWS(L$20:L1193)&gt;$F$6,"",INDEX(B$2:B$10000,SMALL(IF(ISNUMBER(MATCH($B$2:$B$10000,$E$6:$E$22,0)),ROW($C$2:$C$10000)-ROW($C$2)+1),ROWS(L$20:L1193))))</f>
        <v>Rosamond  Allard</v>
      </c>
      <c r="I1193" s="4">
        <f t="array" ref="I1193">IF(ROWS(M$20:M1193)&gt;$F$6,"",INDEX(C$2:C$10000,SMALL(IF(ISNUMBER(MATCH($B$2:$B$10000,$E$6:$E$22,0)),ROW($C$2:$C$10000)-ROW($C$2)+1),ROWS(M$20:M1193))))</f>
        <v>47</v>
      </c>
      <c r="K1193" s="7">
        <f t="array" ref="K1193">IF(ROWS(K$20:K1193)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1193))))</f>
        <v>41986</v>
      </c>
      <c r="L1193" s="4" t="str">
        <f t="array" ref="L1193">IF(ROWS(L$20:L1193)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1193))))</f>
        <v>Rosamond  Allard</v>
      </c>
      <c r="M1193" s="4">
        <f t="array" ref="M1193">IF(ROWS(M$20:M1193)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1193))))</f>
        <v>47</v>
      </c>
    </row>
    <row r="1194" spans="1:13" x14ac:dyDescent="0.25">
      <c r="A1194" s="3">
        <v>41509</v>
      </c>
      <c r="B1194" s="2" t="s">
        <v>4</v>
      </c>
      <c r="C1194" s="2">
        <v>11</v>
      </c>
      <c r="G1194" s="7">
        <f t="array" ref="G1194">IF(ROWS(K$20:K1194)&gt;$F$6,"",INDEX(A$2:A$10000,SMALL(IF(ISNUMBER(MATCH($B$2:$B$10000,$E$6:$E$22,0)),ROW($C$2:$C$10000)-ROW($C$2)+1),ROWS(K$20:K1194))))</f>
        <v>41448</v>
      </c>
      <c r="H1194" s="4" t="str">
        <f t="array" ref="H1194">IF(ROWS(L$20:L1194)&gt;$F$6,"",INDEX(B$2:B$10000,SMALL(IF(ISNUMBER(MATCH($B$2:$B$10000,$E$6:$E$22,0)),ROW($C$2:$C$10000)-ROW($C$2)+1),ROWS(L$20:L1194))))</f>
        <v>Jenni  Thorton</v>
      </c>
      <c r="I1194" s="4">
        <f t="array" ref="I1194">IF(ROWS(M$20:M1194)&gt;$F$6,"",INDEX(C$2:C$10000,SMALL(IF(ISNUMBER(MATCH($B$2:$B$10000,$E$6:$E$22,0)),ROW($C$2:$C$10000)-ROW($C$2)+1),ROWS(M$20:M1194))))</f>
        <v>34</v>
      </c>
      <c r="K1194" s="7">
        <f t="array" ref="K1194">IF(ROWS(K$20:K1194)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1194))))</f>
        <v>41448</v>
      </c>
      <c r="L1194" s="4" t="str">
        <f t="array" ref="L1194">IF(ROWS(L$20:L1194)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1194))))</f>
        <v>Jenni  Thorton</v>
      </c>
      <c r="M1194" s="4">
        <f t="array" ref="M1194">IF(ROWS(M$20:M1194)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1194))))</f>
        <v>34</v>
      </c>
    </row>
    <row r="1195" spans="1:13" x14ac:dyDescent="0.25">
      <c r="A1195" s="3">
        <v>41349</v>
      </c>
      <c r="B1195" s="2" t="s">
        <v>13</v>
      </c>
      <c r="C1195" s="2">
        <v>28</v>
      </c>
      <c r="G1195" s="7">
        <f t="array" ref="G1195">IF(ROWS(K$20:K1195)&gt;$F$6,"",INDEX(A$2:A$10000,SMALL(IF(ISNUMBER(MATCH($B$2:$B$10000,$E$6:$E$22,0)),ROW($C$2:$C$10000)-ROW($C$2)+1),ROWS(K$20:K1195))))</f>
        <v>41565</v>
      </c>
      <c r="H1195" s="4" t="str">
        <f t="array" ref="H1195">IF(ROWS(L$20:L1195)&gt;$F$6,"",INDEX(B$2:B$10000,SMALL(IF(ISNUMBER(MATCH($B$2:$B$10000,$E$6:$E$22,0)),ROW($C$2:$C$10000)-ROW($C$2)+1),ROWS(L$20:L1195))))</f>
        <v>Jenni  Thorton</v>
      </c>
      <c r="I1195" s="4">
        <f t="array" ref="I1195">IF(ROWS(M$20:M1195)&gt;$F$6,"",INDEX(C$2:C$10000,SMALL(IF(ISNUMBER(MATCH($B$2:$B$10000,$E$6:$E$22,0)),ROW($C$2:$C$10000)-ROW($C$2)+1),ROWS(M$20:M1195))))</f>
        <v>23</v>
      </c>
      <c r="K1195" s="7">
        <f t="array" ref="K1195">IF(ROWS(K$20:K1195)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1195))))</f>
        <v>41565</v>
      </c>
      <c r="L1195" s="4" t="str">
        <f t="array" ref="L1195">IF(ROWS(L$20:L1195)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1195))))</f>
        <v>Jenni  Thorton</v>
      </c>
      <c r="M1195" s="4">
        <f t="array" ref="M1195">IF(ROWS(M$20:M1195)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1195))))</f>
        <v>23</v>
      </c>
    </row>
    <row r="1196" spans="1:13" x14ac:dyDescent="0.25">
      <c r="A1196" s="3">
        <v>41451</v>
      </c>
      <c r="B1196" s="2" t="s">
        <v>8</v>
      </c>
      <c r="C1196" s="2">
        <v>24</v>
      </c>
      <c r="G1196" s="7">
        <f t="array" ref="G1196">IF(ROWS(K$20:K1196)&gt;$F$6,"",INDEX(A$2:A$10000,SMALL(IF(ISNUMBER(MATCH($B$2:$B$10000,$E$6:$E$22,0)),ROW($C$2:$C$10000)-ROW($C$2)+1),ROWS(K$20:K1196))))</f>
        <v>41372</v>
      </c>
      <c r="H1196" s="4" t="str">
        <f t="array" ref="H1196">IF(ROWS(L$20:L1196)&gt;$F$6,"",INDEX(B$2:B$10000,SMALL(IF(ISNUMBER(MATCH($B$2:$B$10000,$E$6:$E$22,0)),ROW($C$2:$C$10000)-ROW($C$2)+1),ROWS(L$20:L1196))))</f>
        <v>Kerrie  Worrell</v>
      </c>
      <c r="I1196" s="4">
        <f t="array" ref="I1196">IF(ROWS(M$20:M1196)&gt;$F$6,"",INDEX(C$2:C$10000,SMALL(IF(ISNUMBER(MATCH($B$2:$B$10000,$E$6:$E$22,0)),ROW($C$2:$C$10000)-ROW($C$2)+1),ROWS(M$20:M1196))))</f>
        <v>11</v>
      </c>
      <c r="K1196" s="7">
        <f t="array" ref="K1196">IF(ROWS(K$20:K1196)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1196))))</f>
        <v>41372</v>
      </c>
      <c r="L1196" s="4" t="str">
        <f t="array" ref="L1196">IF(ROWS(L$20:L1196)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1196))))</f>
        <v>Kerrie  Worrell</v>
      </c>
      <c r="M1196" s="4">
        <f t="array" ref="M1196">IF(ROWS(M$20:M1196)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1196))))</f>
        <v>11</v>
      </c>
    </row>
    <row r="1197" spans="1:13" x14ac:dyDescent="0.25">
      <c r="A1197" s="3">
        <v>41582</v>
      </c>
      <c r="B1197" s="2" t="s">
        <v>8</v>
      </c>
      <c r="C1197" s="2">
        <v>26</v>
      </c>
      <c r="G1197" s="7">
        <f t="array" ref="G1197">IF(ROWS(K$20:K1197)&gt;$F$6,"",INDEX(A$2:A$10000,SMALL(IF(ISNUMBER(MATCH($B$2:$B$10000,$E$6:$E$22,0)),ROW($C$2:$C$10000)-ROW($C$2)+1),ROWS(K$20:K1197))))</f>
        <v>41614</v>
      </c>
      <c r="H1197" s="4" t="str">
        <f t="array" ref="H1197">IF(ROWS(L$20:L1197)&gt;$F$6,"",INDEX(B$2:B$10000,SMALL(IF(ISNUMBER(MATCH($B$2:$B$10000,$E$6:$E$22,0)),ROW($C$2:$C$10000)-ROW($C$2)+1),ROWS(L$20:L1197))))</f>
        <v>Jenni  Thorton</v>
      </c>
      <c r="I1197" s="4">
        <f t="array" ref="I1197">IF(ROWS(M$20:M1197)&gt;$F$6,"",INDEX(C$2:C$10000,SMALL(IF(ISNUMBER(MATCH($B$2:$B$10000,$E$6:$E$22,0)),ROW($C$2:$C$10000)-ROW($C$2)+1),ROWS(M$20:M1197))))</f>
        <v>4</v>
      </c>
      <c r="K1197" s="7">
        <f t="array" ref="K1197">IF(ROWS(K$20:K1197)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1197))))</f>
        <v>41614</v>
      </c>
      <c r="L1197" s="4" t="str">
        <f t="array" ref="L1197">IF(ROWS(L$20:L1197)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1197))))</f>
        <v>Jenni  Thorton</v>
      </c>
      <c r="M1197" s="4">
        <f t="array" ref="M1197">IF(ROWS(M$20:M1197)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1197))))</f>
        <v>4</v>
      </c>
    </row>
    <row r="1198" spans="1:13" x14ac:dyDescent="0.25">
      <c r="A1198" s="3">
        <v>41537</v>
      </c>
      <c r="B1198" s="2" t="s">
        <v>36</v>
      </c>
      <c r="C1198" s="2">
        <v>40</v>
      </c>
      <c r="G1198" s="7">
        <f t="array" ref="G1198">IF(ROWS(K$20:K1198)&gt;$F$6,"",INDEX(A$2:A$10000,SMALL(IF(ISNUMBER(MATCH($B$2:$B$10000,$E$6:$E$22,0)),ROW($C$2:$C$10000)-ROW($C$2)+1),ROWS(K$20:K1198))))</f>
        <v>41683</v>
      </c>
      <c r="H1198" s="4" t="str">
        <f t="array" ref="H1198">IF(ROWS(L$20:L1198)&gt;$F$6,"",INDEX(B$2:B$10000,SMALL(IF(ISNUMBER(MATCH($B$2:$B$10000,$E$6:$E$22,0)),ROW($C$2:$C$10000)-ROW($C$2)+1),ROWS(L$20:L1198))))</f>
        <v>Mickey  Bolduc</v>
      </c>
      <c r="I1198" s="4">
        <f t="array" ref="I1198">IF(ROWS(M$20:M1198)&gt;$F$6,"",INDEX(C$2:C$10000,SMALL(IF(ISNUMBER(MATCH($B$2:$B$10000,$E$6:$E$22,0)),ROW($C$2:$C$10000)-ROW($C$2)+1),ROWS(M$20:M1198))))</f>
        <v>27</v>
      </c>
      <c r="K1198" s="7">
        <f t="array" ref="K1198">IF(ROWS(K$20:K1198)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1198))))</f>
        <v>41683</v>
      </c>
      <c r="L1198" s="4" t="str">
        <f t="array" ref="L1198">IF(ROWS(L$20:L1198)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1198))))</f>
        <v>Mickey  Bolduc</v>
      </c>
      <c r="M1198" s="4">
        <f t="array" ref="M1198">IF(ROWS(M$20:M1198)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1198))))</f>
        <v>27</v>
      </c>
    </row>
    <row r="1199" spans="1:13" x14ac:dyDescent="0.25">
      <c r="A1199" s="3">
        <v>41558</v>
      </c>
      <c r="B1199" s="2" t="s">
        <v>38</v>
      </c>
      <c r="C1199" s="2">
        <v>22</v>
      </c>
      <c r="G1199" s="7">
        <f t="array" ref="G1199">IF(ROWS(K$20:K1199)&gt;$F$6,"",INDEX(A$2:A$10000,SMALL(IF(ISNUMBER(MATCH($B$2:$B$10000,$E$6:$E$22,0)),ROW($C$2:$C$10000)-ROW($C$2)+1),ROWS(K$20:K1199))))</f>
        <v>41419</v>
      </c>
      <c r="H1199" s="4" t="str">
        <f t="array" ref="H1199">IF(ROWS(L$20:L1199)&gt;$F$6,"",INDEX(B$2:B$10000,SMALL(IF(ISNUMBER(MATCH($B$2:$B$10000,$E$6:$E$22,0)),ROW($C$2:$C$10000)-ROW($C$2)+1),ROWS(L$20:L1199))))</f>
        <v>Iliana  Valerio</v>
      </c>
      <c r="I1199" s="4">
        <f t="array" ref="I1199">IF(ROWS(M$20:M1199)&gt;$F$6,"",INDEX(C$2:C$10000,SMALL(IF(ISNUMBER(MATCH($B$2:$B$10000,$E$6:$E$22,0)),ROW($C$2:$C$10000)-ROW($C$2)+1),ROWS(M$20:M1199))))</f>
        <v>23</v>
      </c>
      <c r="K1199" s="7">
        <f t="array" ref="K1199">IF(ROWS(K$20:K1199)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1199))))</f>
        <v>41419</v>
      </c>
      <c r="L1199" s="4" t="str">
        <f t="array" ref="L1199">IF(ROWS(L$20:L1199)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1199))))</f>
        <v>Iliana  Valerio</v>
      </c>
      <c r="M1199" s="4">
        <f t="array" ref="M1199">IF(ROWS(M$20:M1199)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1199))))</f>
        <v>23</v>
      </c>
    </row>
    <row r="1200" spans="1:13" x14ac:dyDescent="0.25">
      <c r="A1200" s="3">
        <v>41336</v>
      </c>
      <c r="B1200" s="2" t="s">
        <v>32</v>
      </c>
      <c r="C1200" s="2">
        <v>35</v>
      </c>
      <c r="G1200" s="7">
        <f t="array" ref="G1200">IF(ROWS(K$20:K1200)&gt;$F$6,"",INDEX(A$2:A$10000,SMALL(IF(ISNUMBER(MATCH($B$2:$B$10000,$E$6:$E$22,0)),ROW($C$2:$C$10000)-ROW($C$2)+1),ROWS(K$20:K1200))))</f>
        <v>41682</v>
      </c>
      <c r="H1200" s="4" t="str">
        <f t="array" ref="H1200">IF(ROWS(L$20:L1200)&gt;$F$6,"",INDEX(B$2:B$10000,SMALL(IF(ISNUMBER(MATCH($B$2:$B$10000,$E$6:$E$22,0)),ROW($C$2:$C$10000)-ROW($C$2)+1),ROWS(L$20:L1200))))</f>
        <v>Iliana  Valerio</v>
      </c>
      <c r="I1200" s="4">
        <f t="array" ref="I1200">IF(ROWS(M$20:M1200)&gt;$F$6,"",INDEX(C$2:C$10000,SMALL(IF(ISNUMBER(MATCH($B$2:$B$10000,$E$6:$E$22,0)),ROW($C$2:$C$10000)-ROW($C$2)+1),ROWS(M$20:M1200))))</f>
        <v>22</v>
      </c>
      <c r="K1200" s="7">
        <f t="array" ref="K1200">IF(ROWS(K$20:K1200)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1200))))</f>
        <v>41682</v>
      </c>
      <c r="L1200" s="4" t="str">
        <f t="array" ref="L1200">IF(ROWS(L$20:L1200)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1200))))</f>
        <v>Iliana  Valerio</v>
      </c>
      <c r="M1200" s="4">
        <f t="array" ref="M1200">IF(ROWS(M$20:M1200)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1200))))</f>
        <v>22</v>
      </c>
    </row>
    <row r="1201" spans="1:13" x14ac:dyDescent="0.25">
      <c r="A1201" s="3">
        <v>41953</v>
      </c>
      <c r="B1201" s="2" t="s">
        <v>28</v>
      </c>
      <c r="C1201" s="2">
        <v>28</v>
      </c>
      <c r="G1201" s="7">
        <f t="array" ref="G1201">IF(ROWS(K$20:K1201)&gt;$F$6,"",INDEX(A$2:A$10000,SMALL(IF(ISNUMBER(MATCH($B$2:$B$10000,$E$6:$E$22,0)),ROW($C$2:$C$10000)-ROW($C$2)+1),ROWS(K$20:K1201))))</f>
        <v>41675</v>
      </c>
      <c r="H1201" s="4" t="str">
        <f t="array" ref="H1201">IF(ROWS(L$20:L1201)&gt;$F$6,"",INDEX(B$2:B$10000,SMALL(IF(ISNUMBER(MATCH($B$2:$B$10000,$E$6:$E$22,0)),ROW($C$2:$C$10000)-ROW($C$2)+1),ROWS(L$20:L1201))))</f>
        <v>Jenni  Thorton</v>
      </c>
      <c r="I1201" s="4">
        <f t="array" ref="I1201">IF(ROWS(M$20:M1201)&gt;$F$6,"",INDEX(C$2:C$10000,SMALL(IF(ISNUMBER(MATCH($B$2:$B$10000,$E$6:$E$22,0)),ROW($C$2:$C$10000)-ROW($C$2)+1),ROWS(M$20:M1201))))</f>
        <v>20</v>
      </c>
      <c r="K1201" s="7">
        <f t="array" ref="K1201">IF(ROWS(K$20:K1201)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1201))))</f>
        <v>41675</v>
      </c>
      <c r="L1201" s="4" t="str">
        <f t="array" ref="L1201">IF(ROWS(L$20:L1201)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1201))))</f>
        <v>Jenni  Thorton</v>
      </c>
      <c r="M1201" s="4">
        <f t="array" ref="M1201">IF(ROWS(M$20:M1201)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1201))))</f>
        <v>20</v>
      </c>
    </row>
    <row r="1202" spans="1:13" x14ac:dyDescent="0.25">
      <c r="A1202" s="3">
        <v>41859</v>
      </c>
      <c r="B1202" s="2" t="s">
        <v>25</v>
      </c>
      <c r="C1202" s="2">
        <v>43</v>
      </c>
      <c r="G1202" s="7">
        <f t="array" ref="G1202">IF(ROWS(K$20:K1202)&gt;$F$6,"",INDEX(A$2:A$10000,SMALL(IF(ISNUMBER(MATCH($B$2:$B$10000,$E$6:$E$22,0)),ROW($C$2:$C$10000)-ROW($C$2)+1),ROWS(K$20:K1202))))</f>
        <v>41704</v>
      </c>
      <c r="H1202" s="4" t="str">
        <f t="array" ref="H1202">IF(ROWS(L$20:L1202)&gt;$F$6,"",INDEX(B$2:B$10000,SMALL(IF(ISNUMBER(MATCH($B$2:$B$10000,$E$6:$E$22,0)),ROW($C$2:$C$10000)-ROW($C$2)+1),ROWS(L$20:L1202))))</f>
        <v>Mickey  Bolduc</v>
      </c>
      <c r="I1202" s="4">
        <f t="array" ref="I1202">IF(ROWS(M$20:M1202)&gt;$F$6,"",INDEX(C$2:C$10000,SMALL(IF(ISNUMBER(MATCH($B$2:$B$10000,$E$6:$E$22,0)),ROW($C$2:$C$10000)-ROW($C$2)+1),ROWS(M$20:M1202))))</f>
        <v>28</v>
      </c>
      <c r="K1202" s="7">
        <f t="array" ref="K1202">IF(ROWS(K$20:K1202)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1202))))</f>
        <v>41704</v>
      </c>
      <c r="L1202" s="4" t="str">
        <f t="array" ref="L1202">IF(ROWS(L$20:L1202)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1202))))</f>
        <v>Mickey  Bolduc</v>
      </c>
      <c r="M1202" s="4">
        <f t="array" ref="M1202">IF(ROWS(M$20:M1202)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1202))))</f>
        <v>28</v>
      </c>
    </row>
    <row r="1203" spans="1:13" x14ac:dyDescent="0.25">
      <c r="A1203" s="3">
        <v>41293</v>
      </c>
      <c r="B1203" s="2" t="s">
        <v>2</v>
      </c>
      <c r="C1203" s="2">
        <v>3</v>
      </c>
      <c r="G1203" s="7">
        <f t="array" ref="G1203">IF(ROWS(K$20:K1203)&gt;$F$6,"",INDEX(A$2:A$10000,SMALL(IF(ISNUMBER(MATCH($B$2:$B$10000,$E$6:$E$22,0)),ROW($C$2:$C$10000)-ROW($C$2)+1),ROWS(K$20:K1203))))</f>
        <v>41296</v>
      </c>
      <c r="H1203" s="4" t="str">
        <f t="array" ref="H1203">IF(ROWS(L$20:L1203)&gt;$F$6,"",INDEX(B$2:B$10000,SMALL(IF(ISNUMBER(MATCH($B$2:$B$10000,$E$6:$E$22,0)),ROW($C$2:$C$10000)-ROW($C$2)+1),ROWS(L$20:L1203))))</f>
        <v>Rosamond  Allard</v>
      </c>
      <c r="I1203" s="4">
        <f t="array" ref="I1203">IF(ROWS(M$20:M1203)&gt;$F$6,"",INDEX(C$2:C$10000,SMALL(IF(ISNUMBER(MATCH($B$2:$B$10000,$E$6:$E$22,0)),ROW($C$2:$C$10000)-ROW($C$2)+1),ROWS(M$20:M1203))))</f>
        <v>10</v>
      </c>
      <c r="K1203" s="7">
        <f t="array" ref="K1203">IF(ROWS(K$20:K1203)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1203))))</f>
        <v>41296</v>
      </c>
      <c r="L1203" s="4" t="str">
        <f t="array" ref="L1203">IF(ROWS(L$20:L1203)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1203))))</f>
        <v>Rosamond  Allard</v>
      </c>
      <c r="M1203" s="4">
        <f t="array" ref="M1203">IF(ROWS(M$20:M1203)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1203))))</f>
        <v>10</v>
      </c>
    </row>
    <row r="1204" spans="1:13" x14ac:dyDescent="0.25">
      <c r="A1204" s="3">
        <v>41335</v>
      </c>
      <c r="B1204" s="2" t="s">
        <v>19</v>
      </c>
      <c r="C1204" s="2">
        <v>44</v>
      </c>
      <c r="G1204" s="7">
        <f t="array" ref="G1204">IF(ROWS(K$20:K1204)&gt;$F$6,"",INDEX(A$2:A$10000,SMALL(IF(ISNUMBER(MATCH($B$2:$B$10000,$E$6:$E$22,0)),ROW($C$2:$C$10000)-ROW($C$2)+1),ROWS(K$20:K1204))))</f>
        <v>41762</v>
      </c>
      <c r="H1204" s="4" t="str">
        <f t="array" ref="H1204">IF(ROWS(L$20:L1204)&gt;$F$6,"",INDEX(B$2:B$10000,SMALL(IF(ISNUMBER(MATCH($B$2:$B$10000,$E$6:$E$22,0)),ROW($C$2:$C$10000)-ROW($C$2)+1),ROWS(L$20:L1204))))</f>
        <v>Iliana  Valerio</v>
      </c>
      <c r="I1204" s="4">
        <f t="array" ref="I1204">IF(ROWS(M$20:M1204)&gt;$F$6,"",INDEX(C$2:C$10000,SMALL(IF(ISNUMBER(MATCH($B$2:$B$10000,$E$6:$E$22,0)),ROW($C$2:$C$10000)-ROW($C$2)+1),ROWS(M$20:M1204))))</f>
        <v>20</v>
      </c>
      <c r="K1204" s="7">
        <f t="array" ref="K1204">IF(ROWS(K$20:K1204)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1204))))</f>
        <v>41762</v>
      </c>
      <c r="L1204" s="4" t="str">
        <f t="array" ref="L1204">IF(ROWS(L$20:L1204)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1204))))</f>
        <v>Iliana  Valerio</v>
      </c>
      <c r="M1204" s="4">
        <f t="array" ref="M1204">IF(ROWS(M$20:M1204)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1204))))</f>
        <v>20</v>
      </c>
    </row>
    <row r="1205" spans="1:13" x14ac:dyDescent="0.25">
      <c r="A1205" s="3">
        <v>41989</v>
      </c>
      <c r="B1205" s="2" t="s">
        <v>51</v>
      </c>
      <c r="C1205" s="2">
        <v>26</v>
      </c>
      <c r="G1205" s="7">
        <f t="array" ref="G1205">IF(ROWS(K$20:K1205)&gt;$F$6,"",INDEX(A$2:A$10000,SMALL(IF(ISNUMBER(MATCH($B$2:$B$10000,$E$6:$E$22,0)),ROW($C$2:$C$10000)-ROW($C$2)+1),ROWS(K$20:K1205))))</f>
        <v>41840</v>
      </c>
      <c r="H1205" s="4" t="str">
        <f t="array" ref="H1205">IF(ROWS(L$20:L1205)&gt;$F$6,"",INDEX(B$2:B$10000,SMALL(IF(ISNUMBER(MATCH($B$2:$B$10000,$E$6:$E$22,0)),ROW($C$2:$C$10000)-ROW($C$2)+1),ROWS(L$20:L1205))))</f>
        <v>Iliana  Valerio</v>
      </c>
      <c r="I1205" s="4">
        <f t="array" ref="I1205">IF(ROWS(M$20:M1205)&gt;$F$6,"",INDEX(C$2:C$10000,SMALL(IF(ISNUMBER(MATCH($B$2:$B$10000,$E$6:$E$22,0)),ROW($C$2:$C$10000)-ROW($C$2)+1),ROWS(M$20:M1205))))</f>
        <v>37</v>
      </c>
      <c r="K1205" s="7">
        <f t="array" ref="K1205">IF(ROWS(K$20:K1205)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1205))))</f>
        <v>41840</v>
      </c>
      <c r="L1205" s="4" t="str">
        <f t="array" ref="L1205">IF(ROWS(L$20:L1205)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1205))))</f>
        <v>Iliana  Valerio</v>
      </c>
      <c r="M1205" s="4">
        <f t="array" ref="M1205">IF(ROWS(M$20:M1205)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1205))))</f>
        <v>37</v>
      </c>
    </row>
    <row r="1206" spans="1:13" x14ac:dyDescent="0.25">
      <c r="A1206" s="3">
        <v>41612</v>
      </c>
      <c r="B1206" s="2" t="s">
        <v>18</v>
      </c>
      <c r="C1206" s="2">
        <v>9</v>
      </c>
      <c r="G1206" s="7">
        <f t="array" ref="G1206">IF(ROWS(K$20:K1206)&gt;$F$6,"",INDEX(A$2:A$10000,SMALL(IF(ISNUMBER(MATCH($B$2:$B$10000,$E$6:$E$22,0)),ROW($C$2:$C$10000)-ROW($C$2)+1),ROWS(K$20:K1206))))</f>
        <v>41972</v>
      </c>
      <c r="H1206" s="4" t="str">
        <f t="array" ref="H1206">IF(ROWS(L$20:L1206)&gt;$F$6,"",INDEX(B$2:B$10000,SMALL(IF(ISNUMBER(MATCH($B$2:$B$10000,$E$6:$E$22,0)),ROW($C$2:$C$10000)-ROW($C$2)+1),ROWS(L$20:L1206))))</f>
        <v>Iliana  Valerio</v>
      </c>
      <c r="I1206" s="4">
        <f t="array" ref="I1206">IF(ROWS(M$20:M1206)&gt;$F$6,"",INDEX(C$2:C$10000,SMALL(IF(ISNUMBER(MATCH($B$2:$B$10000,$E$6:$E$22,0)),ROW($C$2:$C$10000)-ROW($C$2)+1),ROWS(M$20:M1206))))</f>
        <v>33</v>
      </c>
      <c r="K1206" s="7">
        <f t="array" ref="K1206">IF(ROWS(K$20:K1206)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1206))))</f>
        <v>41972</v>
      </c>
      <c r="L1206" s="4" t="str">
        <f t="array" ref="L1206">IF(ROWS(L$20:L1206)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1206))))</f>
        <v>Iliana  Valerio</v>
      </c>
      <c r="M1206" s="4">
        <f t="array" ref="M1206">IF(ROWS(M$20:M1206)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1206))))</f>
        <v>33</v>
      </c>
    </row>
    <row r="1207" spans="1:13" x14ac:dyDescent="0.25">
      <c r="A1207" s="3">
        <v>41877</v>
      </c>
      <c r="B1207" s="2" t="s">
        <v>13</v>
      </c>
      <c r="C1207" s="2">
        <v>19</v>
      </c>
      <c r="G1207" s="7">
        <f t="array" ref="G1207">IF(ROWS(K$20:K1207)&gt;$F$6,"",INDEX(A$2:A$10000,SMALL(IF(ISNUMBER(MATCH($B$2:$B$10000,$E$6:$E$22,0)),ROW($C$2:$C$10000)-ROW($C$2)+1),ROWS(K$20:K1207))))</f>
        <v>41825</v>
      </c>
      <c r="H1207" s="4" t="str">
        <f t="array" ref="H1207">IF(ROWS(L$20:L1207)&gt;$F$6,"",INDEX(B$2:B$10000,SMALL(IF(ISNUMBER(MATCH($B$2:$B$10000,$E$6:$E$22,0)),ROW($C$2:$C$10000)-ROW($C$2)+1),ROWS(L$20:L1207))))</f>
        <v>Rosamond  Allard</v>
      </c>
      <c r="I1207" s="4">
        <f t="array" ref="I1207">IF(ROWS(M$20:M1207)&gt;$F$6,"",INDEX(C$2:C$10000,SMALL(IF(ISNUMBER(MATCH($B$2:$B$10000,$E$6:$E$22,0)),ROW($C$2:$C$10000)-ROW($C$2)+1),ROWS(M$20:M1207))))</f>
        <v>26</v>
      </c>
      <c r="K1207" s="7">
        <f t="array" ref="K1207">IF(ROWS(K$20:K1207)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1207))))</f>
        <v>41825</v>
      </c>
      <c r="L1207" s="4" t="str">
        <f t="array" ref="L1207">IF(ROWS(L$20:L1207)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1207))))</f>
        <v>Rosamond  Allard</v>
      </c>
      <c r="M1207" s="4">
        <f t="array" ref="M1207">IF(ROWS(M$20:M1207)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1207))))</f>
        <v>26</v>
      </c>
    </row>
    <row r="1208" spans="1:13" x14ac:dyDescent="0.25">
      <c r="A1208" s="3">
        <v>41735</v>
      </c>
      <c r="B1208" s="2" t="s">
        <v>16</v>
      </c>
      <c r="C1208" s="2">
        <v>39</v>
      </c>
      <c r="G1208" s="7">
        <f t="array" ref="G1208">IF(ROWS(K$20:K1208)&gt;$F$6,"",INDEX(A$2:A$10000,SMALL(IF(ISNUMBER(MATCH($B$2:$B$10000,$E$6:$E$22,0)),ROW($C$2:$C$10000)-ROW($C$2)+1),ROWS(K$20:K1208))))</f>
        <v>41705</v>
      </c>
      <c r="H1208" s="4" t="str">
        <f t="array" ref="H1208">IF(ROWS(L$20:L1208)&gt;$F$6,"",INDEX(B$2:B$10000,SMALL(IF(ISNUMBER(MATCH($B$2:$B$10000,$E$6:$E$22,0)),ROW($C$2:$C$10000)-ROW($C$2)+1),ROWS(L$20:L1208))))</f>
        <v>Mickey  Bolduc</v>
      </c>
      <c r="I1208" s="4">
        <f t="array" ref="I1208">IF(ROWS(M$20:M1208)&gt;$F$6,"",INDEX(C$2:C$10000,SMALL(IF(ISNUMBER(MATCH($B$2:$B$10000,$E$6:$E$22,0)),ROW($C$2:$C$10000)-ROW($C$2)+1),ROWS(M$20:M1208))))</f>
        <v>8</v>
      </c>
      <c r="K1208" s="7">
        <f t="array" ref="K1208">IF(ROWS(K$20:K1208)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1208))))</f>
        <v>41705</v>
      </c>
      <c r="L1208" s="4" t="str">
        <f t="array" ref="L1208">IF(ROWS(L$20:L1208)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1208))))</f>
        <v>Mickey  Bolduc</v>
      </c>
      <c r="M1208" s="4">
        <f t="array" ref="M1208">IF(ROWS(M$20:M1208)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1208))))</f>
        <v>8</v>
      </c>
    </row>
    <row r="1209" spans="1:13" x14ac:dyDescent="0.25">
      <c r="A1209" s="3">
        <v>41617</v>
      </c>
      <c r="B1209" s="2" t="s">
        <v>46</v>
      </c>
      <c r="C1209" s="2">
        <v>32</v>
      </c>
      <c r="G1209" s="7">
        <f t="array" ref="G1209">IF(ROWS(K$20:K1209)&gt;$F$6,"",INDEX(A$2:A$10000,SMALL(IF(ISNUMBER(MATCH($B$2:$B$10000,$E$6:$E$22,0)),ROW($C$2:$C$10000)-ROW($C$2)+1),ROWS(K$20:K1209))))</f>
        <v>41751</v>
      </c>
      <c r="H1209" s="4" t="str">
        <f t="array" ref="H1209">IF(ROWS(L$20:L1209)&gt;$F$6,"",INDEX(B$2:B$10000,SMALL(IF(ISNUMBER(MATCH($B$2:$B$10000,$E$6:$E$22,0)),ROW($C$2:$C$10000)-ROW($C$2)+1),ROWS(L$20:L1209))))</f>
        <v>Galen  Barth</v>
      </c>
      <c r="I1209" s="4">
        <f t="array" ref="I1209">IF(ROWS(M$20:M1209)&gt;$F$6,"",INDEX(C$2:C$10000,SMALL(IF(ISNUMBER(MATCH($B$2:$B$10000,$E$6:$E$22,0)),ROW($C$2:$C$10000)-ROW($C$2)+1),ROWS(M$20:M1209))))</f>
        <v>32</v>
      </c>
      <c r="K1209" s="7">
        <f t="array" ref="K1209">IF(ROWS(K$20:K1209)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1209))))</f>
        <v>41751</v>
      </c>
      <c r="L1209" s="4" t="str">
        <f t="array" ref="L1209">IF(ROWS(L$20:L1209)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1209))))</f>
        <v>Galen  Barth</v>
      </c>
      <c r="M1209" s="4">
        <f t="array" ref="M1209">IF(ROWS(M$20:M1209)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1209))))</f>
        <v>32</v>
      </c>
    </row>
    <row r="1210" spans="1:13" x14ac:dyDescent="0.25">
      <c r="A1210" s="3">
        <v>41599</v>
      </c>
      <c r="B1210" s="2" t="s">
        <v>29</v>
      </c>
      <c r="C1210" s="2">
        <v>33</v>
      </c>
      <c r="G1210" s="7">
        <f t="array" ref="G1210">IF(ROWS(K$20:K1210)&gt;$F$6,"",INDEX(A$2:A$10000,SMALL(IF(ISNUMBER(MATCH($B$2:$B$10000,$E$6:$E$22,0)),ROW($C$2:$C$10000)-ROW($C$2)+1),ROWS(K$20:K1210))))</f>
        <v>41884</v>
      </c>
      <c r="H1210" s="4" t="str">
        <f t="array" ref="H1210">IF(ROWS(L$20:L1210)&gt;$F$6,"",INDEX(B$2:B$10000,SMALL(IF(ISNUMBER(MATCH($B$2:$B$10000,$E$6:$E$22,0)),ROW($C$2:$C$10000)-ROW($C$2)+1),ROWS(L$20:L1210))))</f>
        <v>Jenni  Thorton</v>
      </c>
      <c r="I1210" s="4">
        <f t="array" ref="I1210">IF(ROWS(M$20:M1210)&gt;$F$6,"",INDEX(C$2:C$10000,SMALL(IF(ISNUMBER(MATCH($B$2:$B$10000,$E$6:$E$22,0)),ROW($C$2:$C$10000)-ROW($C$2)+1),ROWS(M$20:M1210))))</f>
        <v>38</v>
      </c>
      <c r="K1210" s="7">
        <f t="array" ref="K1210">IF(ROWS(K$20:K1210)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1210))))</f>
        <v>41884</v>
      </c>
      <c r="L1210" s="4" t="str">
        <f t="array" ref="L1210">IF(ROWS(L$20:L1210)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1210))))</f>
        <v>Jenni  Thorton</v>
      </c>
      <c r="M1210" s="4">
        <f t="array" ref="M1210">IF(ROWS(M$20:M1210)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1210))))</f>
        <v>38</v>
      </c>
    </row>
    <row r="1211" spans="1:13" x14ac:dyDescent="0.25">
      <c r="A1211" s="3">
        <v>41997</v>
      </c>
      <c r="B1211" s="2" t="s">
        <v>28</v>
      </c>
      <c r="C1211" s="2">
        <v>18</v>
      </c>
      <c r="G1211" s="7">
        <f t="array" ref="G1211">IF(ROWS(K$20:K1211)&gt;$F$6,"",INDEX(A$2:A$10000,SMALL(IF(ISNUMBER(MATCH($B$2:$B$10000,$E$6:$E$22,0)),ROW($C$2:$C$10000)-ROW($C$2)+1),ROWS(K$20:K1211))))</f>
        <v>41783</v>
      </c>
      <c r="H1211" s="4" t="str">
        <f t="array" ref="H1211">IF(ROWS(L$20:L1211)&gt;$F$6,"",INDEX(B$2:B$10000,SMALL(IF(ISNUMBER(MATCH($B$2:$B$10000,$E$6:$E$22,0)),ROW($C$2:$C$10000)-ROW($C$2)+1),ROWS(L$20:L1211))))</f>
        <v>Galen  Barth</v>
      </c>
      <c r="I1211" s="4">
        <f t="array" ref="I1211">IF(ROWS(M$20:M1211)&gt;$F$6,"",INDEX(C$2:C$10000,SMALL(IF(ISNUMBER(MATCH($B$2:$B$10000,$E$6:$E$22,0)),ROW($C$2:$C$10000)-ROW($C$2)+1),ROWS(M$20:M1211))))</f>
        <v>0</v>
      </c>
      <c r="K1211" s="7">
        <f t="array" ref="K1211">IF(ROWS(K$20:K1211)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1211))))</f>
        <v>41783</v>
      </c>
      <c r="L1211" s="4" t="str">
        <f t="array" ref="L1211">IF(ROWS(L$20:L1211)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1211))))</f>
        <v>Galen  Barth</v>
      </c>
      <c r="M1211" s="4">
        <f t="array" ref="M1211">IF(ROWS(M$20:M1211)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1211))))</f>
        <v>0</v>
      </c>
    </row>
    <row r="1212" spans="1:13" x14ac:dyDescent="0.25">
      <c r="A1212" s="3">
        <v>41827</v>
      </c>
      <c r="B1212" s="2" t="s">
        <v>3</v>
      </c>
      <c r="C1212" s="2">
        <v>37</v>
      </c>
      <c r="G1212" s="7">
        <f t="array" ref="G1212">IF(ROWS(K$20:K1212)&gt;$F$6,"",INDEX(A$2:A$10000,SMALL(IF(ISNUMBER(MATCH($B$2:$B$10000,$E$6:$E$22,0)),ROW($C$2:$C$10000)-ROW($C$2)+1),ROWS(K$20:K1212))))</f>
        <v>41905</v>
      </c>
      <c r="H1212" s="4" t="str">
        <f t="array" ref="H1212">IF(ROWS(L$20:L1212)&gt;$F$6,"",INDEX(B$2:B$10000,SMALL(IF(ISNUMBER(MATCH($B$2:$B$10000,$E$6:$E$22,0)),ROW($C$2:$C$10000)-ROW($C$2)+1),ROWS(L$20:L1212))))</f>
        <v>Rosamond  Allard</v>
      </c>
      <c r="I1212" s="4">
        <f t="array" ref="I1212">IF(ROWS(M$20:M1212)&gt;$F$6,"",INDEX(C$2:C$10000,SMALL(IF(ISNUMBER(MATCH($B$2:$B$10000,$E$6:$E$22,0)),ROW($C$2:$C$10000)-ROW($C$2)+1),ROWS(M$20:M1212))))</f>
        <v>24</v>
      </c>
      <c r="K1212" s="7">
        <f t="array" ref="K1212">IF(ROWS(K$20:K1212)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1212))))</f>
        <v>41905</v>
      </c>
      <c r="L1212" s="4" t="str">
        <f t="array" ref="L1212">IF(ROWS(L$20:L1212)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1212))))</f>
        <v>Rosamond  Allard</v>
      </c>
      <c r="M1212" s="4">
        <f t="array" ref="M1212">IF(ROWS(M$20:M1212)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1212))))</f>
        <v>24</v>
      </c>
    </row>
    <row r="1213" spans="1:13" x14ac:dyDescent="0.25">
      <c r="A1213" s="3">
        <v>41829</v>
      </c>
      <c r="B1213" s="2" t="s">
        <v>19</v>
      </c>
      <c r="C1213" s="2">
        <v>27</v>
      </c>
      <c r="G1213" s="7">
        <f t="array" ref="G1213">IF(ROWS(K$20:K1213)&gt;$F$6,"",INDEX(A$2:A$10000,SMALL(IF(ISNUMBER(MATCH($B$2:$B$10000,$E$6:$E$22,0)),ROW($C$2:$C$10000)-ROW($C$2)+1),ROWS(K$20:K1213))))</f>
        <v>41711</v>
      </c>
      <c r="H1213" s="4" t="str">
        <f t="array" ref="H1213">IF(ROWS(L$20:L1213)&gt;$F$6,"",INDEX(B$2:B$10000,SMALL(IF(ISNUMBER(MATCH($B$2:$B$10000,$E$6:$E$22,0)),ROW($C$2:$C$10000)-ROW($C$2)+1),ROWS(L$20:L1213))))</f>
        <v>Galen  Barth</v>
      </c>
      <c r="I1213" s="4">
        <f t="array" ref="I1213">IF(ROWS(M$20:M1213)&gt;$F$6,"",INDEX(C$2:C$10000,SMALL(IF(ISNUMBER(MATCH($B$2:$B$10000,$E$6:$E$22,0)),ROW($C$2:$C$10000)-ROW($C$2)+1),ROWS(M$20:M1213))))</f>
        <v>46</v>
      </c>
      <c r="K1213" s="7">
        <f t="array" ref="K1213">IF(ROWS(K$20:K1213)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1213))))</f>
        <v>41711</v>
      </c>
      <c r="L1213" s="4" t="str">
        <f t="array" ref="L1213">IF(ROWS(L$20:L1213)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1213))))</f>
        <v>Galen  Barth</v>
      </c>
      <c r="M1213" s="4">
        <f t="array" ref="M1213">IF(ROWS(M$20:M1213)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1213))))</f>
        <v>46</v>
      </c>
    </row>
    <row r="1214" spans="1:13" x14ac:dyDescent="0.25">
      <c r="A1214" s="3">
        <v>41287</v>
      </c>
      <c r="B1214" s="2" t="s">
        <v>18</v>
      </c>
      <c r="C1214" s="2">
        <v>34</v>
      </c>
      <c r="G1214" s="7">
        <f t="array" ref="G1214">IF(ROWS(K$20:K1214)&gt;$F$6,"",INDEX(A$2:A$10000,SMALL(IF(ISNUMBER(MATCH($B$2:$B$10000,$E$6:$E$22,0)),ROW($C$2:$C$10000)-ROW($C$2)+1),ROWS(K$20:K1214))))</f>
        <v>41552</v>
      </c>
      <c r="H1214" s="4" t="str">
        <f t="array" ref="H1214">IF(ROWS(L$20:L1214)&gt;$F$6,"",INDEX(B$2:B$10000,SMALL(IF(ISNUMBER(MATCH($B$2:$B$10000,$E$6:$E$22,0)),ROW($C$2:$C$10000)-ROW($C$2)+1),ROWS(L$20:L1214))))</f>
        <v>Rosamond  Allard</v>
      </c>
      <c r="I1214" s="4">
        <f t="array" ref="I1214">IF(ROWS(M$20:M1214)&gt;$F$6,"",INDEX(C$2:C$10000,SMALL(IF(ISNUMBER(MATCH($B$2:$B$10000,$E$6:$E$22,0)),ROW($C$2:$C$10000)-ROW($C$2)+1),ROWS(M$20:M1214))))</f>
        <v>49</v>
      </c>
      <c r="K1214" s="7">
        <f t="array" ref="K1214">IF(ROWS(K$20:K1214)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1214))))</f>
        <v>41552</v>
      </c>
      <c r="L1214" s="4" t="str">
        <f t="array" ref="L1214">IF(ROWS(L$20:L1214)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1214))))</f>
        <v>Rosamond  Allard</v>
      </c>
      <c r="M1214" s="4">
        <f t="array" ref="M1214">IF(ROWS(M$20:M1214)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1214))))</f>
        <v>49</v>
      </c>
    </row>
    <row r="1215" spans="1:13" x14ac:dyDescent="0.25">
      <c r="A1215" s="3">
        <v>41541</v>
      </c>
      <c r="B1215" s="2" t="s">
        <v>3</v>
      </c>
      <c r="C1215" s="2">
        <v>41</v>
      </c>
      <c r="G1215" s="7">
        <f t="array" ref="G1215">IF(ROWS(K$20:K1215)&gt;$F$6,"",INDEX(A$2:A$10000,SMALL(IF(ISNUMBER(MATCH($B$2:$B$10000,$E$6:$E$22,0)),ROW($C$2:$C$10000)-ROW($C$2)+1),ROWS(K$20:K1215))))</f>
        <v>41954</v>
      </c>
      <c r="H1215" s="4" t="str">
        <f t="array" ref="H1215">IF(ROWS(L$20:L1215)&gt;$F$6,"",INDEX(B$2:B$10000,SMALL(IF(ISNUMBER(MATCH($B$2:$B$10000,$E$6:$E$22,0)),ROW($C$2:$C$10000)-ROW($C$2)+1),ROWS(L$20:L1215))))</f>
        <v>Rosamond  Allard</v>
      </c>
      <c r="I1215" s="4">
        <f t="array" ref="I1215">IF(ROWS(M$20:M1215)&gt;$F$6,"",INDEX(C$2:C$10000,SMALL(IF(ISNUMBER(MATCH($B$2:$B$10000,$E$6:$E$22,0)),ROW($C$2:$C$10000)-ROW($C$2)+1),ROWS(M$20:M1215))))</f>
        <v>46</v>
      </c>
      <c r="K1215" s="7">
        <f t="array" ref="K1215">IF(ROWS(K$20:K1215)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1215))))</f>
        <v>41954</v>
      </c>
      <c r="L1215" s="4" t="str">
        <f t="array" ref="L1215">IF(ROWS(L$20:L1215)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1215))))</f>
        <v>Rosamond  Allard</v>
      </c>
      <c r="M1215" s="4">
        <f t="array" ref="M1215">IF(ROWS(M$20:M1215)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1215))))</f>
        <v>46</v>
      </c>
    </row>
    <row r="1216" spans="1:13" x14ac:dyDescent="0.25">
      <c r="A1216" s="3">
        <v>41860</v>
      </c>
      <c r="B1216" s="2" t="s">
        <v>42</v>
      </c>
      <c r="C1216" s="2">
        <v>21</v>
      </c>
      <c r="G1216" s="7">
        <f t="array" ref="G1216">IF(ROWS(K$20:K1216)&gt;$F$6,"",INDEX(A$2:A$10000,SMALL(IF(ISNUMBER(MATCH($B$2:$B$10000,$E$6:$E$22,0)),ROW($C$2:$C$10000)-ROW($C$2)+1),ROWS(K$20:K1216))))</f>
        <v>41575</v>
      </c>
      <c r="H1216" s="4" t="str">
        <f t="array" ref="H1216">IF(ROWS(L$20:L1216)&gt;$F$6,"",INDEX(B$2:B$10000,SMALL(IF(ISNUMBER(MATCH($B$2:$B$10000,$E$6:$E$22,0)),ROW($C$2:$C$10000)-ROW($C$2)+1),ROWS(L$20:L1216))))</f>
        <v>Jenni  Thorton</v>
      </c>
      <c r="I1216" s="4">
        <f t="array" ref="I1216">IF(ROWS(M$20:M1216)&gt;$F$6,"",INDEX(C$2:C$10000,SMALL(IF(ISNUMBER(MATCH($B$2:$B$10000,$E$6:$E$22,0)),ROW($C$2:$C$10000)-ROW($C$2)+1),ROWS(M$20:M1216))))</f>
        <v>34</v>
      </c>
      <c r="K1216" s="7">
        <f t="array" ref="K1216">IF(ROWS(K$20:K1216)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1216))))</f>
        <v>41575</v>
      </c>
      <c r="L1216" s="4" t="str">
        <f t="array" ref="L1216">IF(ROWS(L$20:L1216)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1216))))</f>
        <v>Jenni  Thorton</v>
      </c>
      <c r="M1216" s="4">
        <f t="array" ref="M1216">IF(ROWS(M$20:M1216)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1216))))</f>
        <v>34</v>
      </c>
    </row>
    <row r="1217" spans="1:13" x14ac:dyDescent="0.25">
      <c r="A1217" s="3">
        <v>41681</v>
      </c>
      <c r="B1217" s="2" t="s">
        <v>30</v>
      </c>
      <c r="C1217" s="2">
        <v>38</v>
      </c>
      <c r="G1217" s="7">
        <f t="array" ref="G1217">IF(ROWS(K$20:K1217)&gt;$F$6,"",INDEX(A$2:A$10000,SMALL(IF(ISNUMBER(MATCH($B$2:$B$10000,$E$6:$E$22,0)),ROW($C$2:$C$10000)-ROW($C$2)+1),ROWS(K$20:K1217))))</f>
        <v>41361</v>
      </c>
      <c r="H1217" s="4" t="str">
        <f t="array" ref="H1217">IF(ROWS(L$20:L1217)&gt;$F$6,"",INDEX(B$2:B$10000,SMALL(IF(ISNUMBER(MATCH($B$2:$B$10000,$E$6:$E$22,0)),ROW($C$2:$C$10000)-ROW($C$2)+1),ROWS(L$20:L1217))))</f>
        <v>Galen  Barth</v>
      </c>
      <c r="I1217" s="4">
        <f t="array" ref="I1217">IF(ROWS(M$20:M1217)&gt;$F$6,"",INDEX(C$2:C$10000,SMALL(IF(ISNUMBER(MATCH($B$2:$B$10000,$E$6:$E$22,0)),ROW($C$2:$C$10000)-ROW($C$2)+1),ROWS(M$20:M1217))))</f>
        <v>7</v>
      </c>
      <c r="K1217" s="7">
        <f t="array" ref="K1217">IF(ROWS(K$20:K1217)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1217))))</f>
        <v>41361</v>
      </c>
      <c r="L1217" s="4" t="str">
        <f t="array" ref="L1217">IF(ROWS(L$20:L1217)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1217))))</f>
        <v>Galen  Barth</v>
      </c>
      <c r="M1217" s="4">
        <f t="array" ref="M1217">IF(ROWS(M$20:M1217)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1217))))</f>
        <v>7</v>
      </c>
    </row>
    <row r="1218" spans="1:13" x14ac:dyDescent="0.25">
      <c r="A1218" s="3">
        <v>41864</v>
      </c>
      <c r="B1218" s="2" t="s">
        <v>46</v>
      </c>
      <c r="C1218" s="2">
        <v>9</v>
      </c>
      <c r="G1218" s="7">
        <f t="array" ref="G1218">IF(ROWS(K$20:K1218)&gt;$F$6,"",INDEX(A$2:A$10000,SMALL(IF(ISNUMBER(MATCH($B$2:$B$10000,$E$6:$E$22,0)),ROW($C$2:$C$10000)-ROW($C$2)+1),ROWS(K$20:K1218))))</f>
        <v>41573</v>
      </c>
      <c r="H1218" s="4" t="str">
        <f t="array" ref="H1218">IF(ROWS(L$20:L1218)&gt;$F$6,"",INDEX(B$2:B$10000,SMALL(IF(ISNUMBER(MATCH($B$2:$B$10000,$E$6:$E$22,0)),ROW($C$2:$C$10000)-ROW($C$2)+1),ROWS(L$20:L1218))))</f>
        <v>Iliana  Valerio</v>
      </c>
      <c r="I1218" s="4">
        <f t="array" ref="I1218">IF(ROWS(M$20:M1218)&gt;$F$6,"",INDEX(C$2:C$10000,SMALL(IF(ISNUMBER(MATCH($B$2:$B$10000,$E$6:$E$22,0)),ROW($C$2:$C$10000)-ROW($C$2)+1),ROWS(M$20:M1218))))</f>
        <v>33</v>
      </c>
      <c r="K1218" s="7">
        <f t="array" ref="K1218">IF(ROWS(K$20:K1218)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1218))))</f>
        <v>41573</v>
      </c>
      <c r="L1218" s="4" t="str">
        <f t="array" ref="L1218">IF(ROWS(L$20:L1218)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1218))))</f>
        <v>Iliana  Valerio</v>
      </c>
      <c r="M1218" s="4">
        <f t="array" ref="M1218">IF(ROWS(M$20:M1218)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1218))))</f>
        <v>33</v>
      </c>
    </row>
    <row r="1219" spans="1:13" x14ac:dyDescent="0.25">
      <c r="A1219" s="3">
        <v>41745</v>
      </c>
      <c r="B1219" s="2" t="s">
        <v>29</v>
      </c>
      <c r="C1219" s="2">
        <v>33</v>
      </c>
      <c r="G1219" s="7">
        <f t="array" ref="G1219">IF(ROWS(K$20:K1219)&gt;$F$6,"",INDEX(A$2:A$10000,SMALL(IF(ISNUMBER(MATCH($B$2:$B$10000,$E$6:$E$22,0)),ROW($C$2:$C$10000)-ROW($C$2)+1),ROWS(K$20:K1219))))</f>
        <v>41739</v>
      </c>
      <c r="H1219" s="4" t="str">
        <f t="array" ref="H1219">IF(ROWS(L$20:L1219)&gt;$F$6,"",INDEX(B$2:B$10000,SMALL(IF(ISNUMBER(MATCH($B$2:$B$10000,$E$6:$E$22,0)),ROW($C$2:$C$10000)-ROW($C$2)+1),ROWS(L$20:L1219))))</f>
        <v>Iliana  Valerio</v>
      </c>
      <c r="I1219" s="4">
        <f t="array" ref="I1219">IF(ROWS(M$20:M1219)&gt;$F$6,"",INDEX(C$2:C$10000,SMALL(IF(ISNUMBER(MATCH($B$2:$B$10000,$E$6:$E$22,0)),ROW($C$2:$C$10000)-ROW($C$2)+1),ROWS(M$20:M1219))))</f>
        <v>55</v>
      </c>
      <c r="K1219" s="7">
        <f t="array" ref="K1219">IF(ROWS(K$20:K1219)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1219))))</f>
        <v>41739</v>
      </c>
      <c r="L1219" s="4" t="str">
        <f t="array" ref="L1219">IF(ROWS(L$20:L1219)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1219))))</f>
        <v>Iliana  Valerio</v>
      </c>
      <c r="M1219" s="4">
        <f t="array" ref="M1219">IF(ROWS(M$20:M1219)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1219))))</f>
        <v>55</v>
      </c>
    </row>
    <row r="1220" spans="1:13" x14ac:dyDescent="0.25">
      <c r="A1220" s="3">
        <v>41467</v>
      </c>
      <c r="B1220" s="2" t="s">
        <v>48</v>
      </c>
      <c r="C1220" s="2">
        <v>28</v>
      </c>
      <c r="G1220" s="7">
        <f t="array" ref="G1220">IF(ROWS(K$20:K1220)&gt;$F$6,"",INDEX(A$2:A$10000,SMALL(IF(ISNUMBER(MATCH($B$2:$B$10000,$E$6:$E$22,0)),ROW($C$2:$C$10000)-ROW($C$2)+1),ROWS(K$20:K1220))))</f>
        <v>41335</v>
      </c>
      <c r="H1220" s="4" t="str">
        <f t="array" ref="H1220">IF(ROWS(L$20:L1220)&gt;$F$6,"",INDEX(B$2:B$10000,SMALL(IF(ISNUMBER(MATCH($B$2:$B$10000,$E$6:$E$22,0)),ROW($C$2:$C$10000)-ROW($C$2)+1),ROWS(L$20:L1220))))</f>
        <v>Iliana  Valerio</v>
      </c>
      <c r="I1220" s="4">
        <f t="array" ref="I1220">IF(ROWS(M$20:M1220)&gt;$F$6,"",INDEX(C$2:C$10000,SMALL(IF(ISNUMBER(MATCH($B$2:$B$10000,$E$6:$E$22,0)),ROW($C$2:$C$10000)-ROW($C$2)+1),ROWS(M$20:M1220))))</f>
        <v>25</v>
      </c>
      <c r="K1220" s="7">
        <f t="array" ref="K1220">IF(ROWS(K$20:K1220)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1220))))</f>
        <v>41335</v>
      </c>
      <c r="L1220" s="4" t="str">
        <f t="array" ref="L1220">IF(ROWS(L$20:L1220)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1220))))</f>
        <v>Iliana  Valerio</v>
      </c>
      <c r="M1220" s="4">
        <f t="array" ref="M1220">IF(ROWS(M$20:M1220)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1220))))</f>
        <v>25</v>
      </c>
    </row>
    <row r="1221" spans="1:13" x14ac:dyDescent="0.25">
      <c r="A1221" s="3">
        <v>41668</v>
      </c>
      <c r="B1221" s="2" t="s">
        <v>11</v>
      </c>
      <c r="C1221" s="2">
        <v>20</v>
      </c>
      <c r="G1221" s="7">
        <f t="array" ref="G1221">IF(ROWS(K$20:K1221)&gt;$F$6,"",INDEX(A$2:A$10000,SMALL(IF(ISNUMBER(MATCH($B$2:$B$10000,$E$6:$E$22,0)),ROW($C$2:$C$10000)-ROW($C$2)+1),ROWS(K$20:K1221))))</f>
        <v>41594</v>
      </c>
      <c r="H1221" s="4" t="str">
        <f t="array" ref="H1221">IF(ROWS(L$20:L1221)&gt;$F$6,"",INDEX(B$2:B$10000,SMALL(IF(ISNUMBER(MATCH($B$2:$B$10000,$E$6:$E$22,0)),ROW($C$2:$C$10000)-ROW($C$2)+1),ROWS(L$20:L1221))))</f>
        <v>Jenni  Thorton</v>
      </c>
      <c r="I1221" s="4">
        <f t="array" ref="I1221">IF(ROWS(M$20:M1221)&gt;$F$6,"",INDEX(C$2:C$10000,SMALL(IF(ISNUMBER(MATCH($B$2:$B$10000,$E$6:$E$22,0)),ROW($C$2:$C$10000)-ROW($C$2)+1),ROWS(M$20:M1221))))</f>
        <v>26</v>
      </c>
      <c r="K1221" s="7">
        <f t="array" ref="K1221">IF(ROWS(K$20:K1221)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1221))))</f>
        <v>41594</v>
      </c>
      <c r="L1221" s="4" t="str">
        <f t="array" ref="L1221">IF(ROWS(L$20:L1221)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1221))))</f>
        <v>Jenni  Thorton</v>
      </c>
      <c r="M1221" s="4">
        <f t="array" ref="M1221">IF(ROWS(M$20:M1221)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1221))))</f>
        <v>26</v>
      </c>
    </row>
    <row r="1222" spans="1:13" x14ac:dyDescent="0.25">
      <c r="A1222" s="3">
        <v>41352</v>
      </c>
      <c r="B1222" s="2" t="s">
        <v>30</v>
      </c>
      <c r="C1222" s="2">
        <v>48</v>
      </c>
      <c r="G1222" s="7">
        <f t="array" ref="G1222">IF(ROWS(K$20:K1222)&gt;$F$6,"",INDEX(A$2:A$10000,SMALL(IF(ISNUMBER(MATCH($B$2:$B$10000,$E$6:$E$22,0)),ROW($C$2:$C$10000)-ROW($C$2)+1),ROWS(K$20:K1222))))</f>
        <v>41983</v>
      </c>
      <c r="H1222" s="4" t="str">
        <f t="array" ref="H1222">IF(ROWS(L$20:L1222)&gt;$F$6,"",INDEX(B$2:B$10000,SMALL(IF(ISNUMBER(MATCH($B$2:$B$10000,$E$6:$E$22,0)),ROW($C$2:$C$10000)-ROW($C$2)+1),ROWS(L$20:L1222))))</f>
        <v>Iliana  Valerio</v>
      </c>
      <c r="I1222" s="4">
        <f t="array" ref="I1222">IF(ROWS(M$20:M1222)&gt;$F$6,"",INDEX(C$2:C$10000,SMALL(IF(ISNUMBER(MATCH($B$2:$B$10000,$E$6:$E$22,0)),ROW($C$2:$C$10000)-ROW($C$2)+1),ROWS(M$20:M1222))))</f>
        <v>30</v>
      </c>
      <c r="K1222" s="7">
        <f t="array" ref="K1222">IF(ROWS(K$20:K1222)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1222))))</f>
        <v>41983</v>
      </c>
      <c r="L1222" s="4" t="str">
        <f t="array" ref="L1222">IF(ROWS(L$20:L1222)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1222))))</f>
        <v>Iliana  Valerio</v>
      </c>
      <c r="M1222" s="4">
        <f t="array" ref="M1222">IF(ROWS(M$20:M1222)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1222))))</f>
        <v>30</v>
      </c>
    </row>
    <row r="1223" spans="1:13" x14ac:dyDescent="0.25">
      <c r="A1223" s="3">
        <v>41454</v>
      </c>
      <c r="B1223" s="2" t="s">
        <v>26</v>
      </c>
      <c r="C1223" s="2">
        <v>28</v>
      </c>
      <c r="G1223" s="7">
        <f t="array" ref="G1223">IF(ROWS(K$20:K1223)&gt;$F$6,"",INDEX(A$2:A$10000,SMALL(IF(ISNUMBER(MATCH($B$2:$B$10000,$E$6:$E$22,0)),ROW($C$2:$C$10000)-ROW($C$2)+1),ROWS(K$20:K1223))))</f>
        <v>41300</v>
      </c>
      <c r="H1223" s="4" t="str">
        <f t="array" ref="H1223">IF(ROWS(L$20:L1223)&gt;$F$6,"",INDEX(B$2:B$10000,SMALL(IF(ISNUMBER(MATCH($B$2:$B$10000,$E$6:$E$22,0)),ROW($C$2:$C$10000)-ROW($C$2)+1),ROWS(L$20:L1223))))</f>
        <v>Rosamond  Allard</v>
      </c>
      <c r="I1223" s="4">
        <f t="array" ref="I1223">IF(ROWS(M$20:M1223)&gt;$F$6,"",INDEX(C$2:C$10000,SMALL(IF(ISNUMBER(MATCH($B$2:$B$10000,$E$6:$E$22,0)),ROW($C$2:$C$10000)-ROW($C$2)+1),ROWS(M$20:M1223))))</f>
        <v>6</v>
      </c>
      <c r="K1223" s="7">
        <f t="array" ref="K1223">IF(ROWS(K$20:K1223)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1223))))</f>
        <v>41300</v>
      </c>
      <c r="L1223" s="4" t="str">
        <f t="array" ref="L1223">IF(ROWS(L$20:L1223)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1223))))</f>
        <v>Rosamond  Allard</v>
      </c>
      <c r="M1223" s="4">
        <f t="array" ref="M1223">IF(ROWS(M$20:M1223)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1223))))</f>
        <v>6</v>
      </c>
    </row>
    <row r="1224" spans="1:13" x14ac:dyDescent="0.25">
      <c r="A1224" s="3">
        <v>41521</v>
      </c>
      <c r="B1224" s="2" t="s">
        <v>26</v>
      </c>
      <c r="C1224" s="2">
        <v>38</v>
      </c>
      <c r="G1224" s="7">
        <f t="array" ref="G1224">IF(ROWS(K$20:K1224)&gt;$F$6,"",INDEX(A$2:A$10000,SMALL(IF(ISNUMBER(MATCH($B$2:$B$10000,$E$6:$E$22,0)),ROW($C$2:$C$10000)-ROW($C$2)+1),ROWS(K$20:K1224))))</f>
        <v>41556</v>
      </c>
      <c r="H1224" s="4" t="str">
        <f t="array" ref="H1224">IF(ROWS(L$20:L1224)&gt;$F$6,"",INDEX(B$2:B$10000,SMALL(IF(ISNUMBER(MATCH($B$2:$B$10000,$E$6:$E$22,0)),ROW($C$2:$C$10000)-ROW($C$2)+1),ROWS(L$20:L1224))))</f>
        <v>Mickey  Bolduc</v>
      </c>
      <c r="I1224" s="4">
        <f t="array" ref="I1224">IF(ROWS(M$20:M1224)&gt;$F$6,"",INDEX(C$2:C$10000,SMALL(IF(ISNUMBER(MATCH($B$2:$B$10000,$E$6:$E$22,0)),ROW($C$2:$C$10000)-ROW($C$2)+1),ROWS(M$20:M1224))))</f>
        <v>47</v>
      </c>
      <c r="K1224" s="7">
        <f t="array" ref="K1224">IF(ROWS(K$20:K1224)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1224))))</f>
        <v>41556</v>
      </c>
      <c r="L1224" s="4" t="str">
        <f t="array" ref="L1224">IF(ROWS(L$20:L1224)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1224))))</f>
        <v>Mickey  Bolduc</v>
      </c>
      <c r="M1224" s="4">
        <f t="array" ref="M1224">IF(ROWS(M$20:M1224)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1224))))</f>
        <v>47</v>
      </c>
    </row>
    <row r="1225" spans="1:13" x14ac:dyDescent="0.25">
      <c r="A1225" s="3">
        <v>41312</v>
      </c>
      <c r="B1225" s="2" t="s">
        <v>21</v>
      </c>
      <c r="C1225" s="2">
        <v>2</v>
      </c>
      <c r="G1225" s="7">
        <f t="array" ref="G1225">IF(ROWS(K$20:K1225)&gt;$F$6,"",INDEX(A$2:A$10000,SMALL(IF(ISNUMBER(MATCH($B$2:$B$10000,$E$6:$E$22,0)),ROW($C$2:$C$10000)-ROW($C$2)+1),ROWS(K$20:K1225))))</f>
        <v>41946</v>
      </c>
      <c r="H1225" s="4" t="str">
        <f t="array" ref="H1225">IF(ROWS(L$20:L1225)&gt;$F$6,"",INDEX(B$2:B$10000,SMALL(IF(ISNUMBER(MATCH($B$2:$B$10000,$E$6:$E$22,0)),ROW($C$2:$C$10000)-ROW($C$2)+1),ROWS(L$20:L1225))))</f>
        <v>Rosamond  Allard</v>
      </c>
      <c r="I1225" s="4">
        <f t="array" ref="I1225">IF(ROWS(M$20:M1225)&gt;$F$6,"",INDEX(C$2:C$10000,SMALL(IF(ISNUMBER(MATCH($B$2:$B$10000,$E$6:$E$22,0)),ROW($C$2:$C$10000)-ROW($C$2)+1),ROWS(M$20:M1225))))</f>
        <v>34</v>
      </c>
      <c r="K1225" s="7">
        <f t="array" ref="K1225">IF(ROWS(K$20:K1225)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1225))))</f>
        <v>41946</v>
      </c>
      <c r="L1225" s="4" t="str">
        <f t="array" ref="L1225">IF(ROWS(L$20:L1225)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1225))))</f>
        <v>Rosamond  Allard</v>
      </c>
      <c r="M1225" s="4">
        <f t="array" ref="M1225">IF(ROWS(M$20:M1225)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1225))))</f>
        <v>34</v>
      </c>
    </row>
    <row r="1226" spans="1:13" x14ac:dyDescent="0.25">
      <c r="A1226" s="3">
        <v>41699</v>
      </c>
      <c r="B1226" s="2" t="s">
        <v>18</v>
      </c>
      <c r="C1226" s="2">
        <v>20</v>
      </c>
      <c r="G1226" s="7">
        <f t="array" ref="G1226">IF(ROWS(K$20:K1226)&gt;$F$6,"",INDEX(A$2:A$10000,SMALL(IF(ISNUMBER(MATCH($B$2:$B$10000,$E$6:$E$22,0)),ROW($C$2:$C$10000)-ROW($C$2)+1),ROWS(K$20:K1226))))</f>
        <v>41644</v>
      </c>
      <c r="H1226" s="4" t="str">
        <f t="array" ref="H1226">IF(ROWS(L$20:L1226)&gt;$F$6,"",INDEX(B$2:B$10000,SMALL(IF(ISNUMBER(MATCH($B$2:$B$10000,$E$6:$E$22,0)),ROW($C$2:$C$10000)-ROW($C$2)+1),ROWS(L$20:L1226))))</f>
        <v>Jenni  Thorton</v>
      </c>
      <c r="I1226" s="4">
        <f t="array" ref="I1226">IF(ROWS(M$20:M1226)&gt;$F$6,"",INDEX(C$2:C$10000,SMALL(IF(ISNUMBER(MATCH($B$2:$B$10000,$E$6:$E$22,0)),ROW($C$2:$C$10000)-ROW($C$2)+1),ROWS(M$20:M1226))))</f>
        <v>32</v>
      </c>
      <c r="K1226" s="7">
        <f t="array" ref="K1226">IF(ROWS(K$20:K1226)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1226))))</f>
        <v>41644</v>
      </c>
      <c r="L1226" s="4" t="str">
        <f t="array" ref="L1226">IF(ROWS(L$20:L1226)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1226))))</f>
        <v>Jenni  Thorton</v>
      </c>
      <c r="M1226" s="4">
        <f t="array" ref="M1226">IF(ROWS(M$20:M1226)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1226))))</f>
        <v>32</v>
      </c>
    </row>
    <row r="1227" spans="1:13" x14ac:dyDescent="0.25">
      <c r="A1227" s="3">
        <v>41941</v>
      </c>
      <c r="B1227" s="2" t="s">
        <v>34</v>
      </c>
      <c r="C1227" s="2">
        <v>59</v>
      </c>
      <c r="G1227" s="7">
        <f t="array" ref="G1227">IF(ROWS(K$20:K1227)&gt;$F$6,"",INDEX(A$2:A$10000,SMALL(IF(ISNUMBER(MATCH($B$2:$B$10000,$E$6:$E$22,0)),ROW($C$2:$C$10000)-ROW($C$2)+1),ROWS(K$20:K1227))))</f>
        <v>41562</v>
      </c>
      <c r="H1227" s="4" t="str">
        <f t="array" ref="H1227">IF(ROWS(L$20:L1227)&gt;$F$6,"",INDEX(B$2:B$10000,SMALL(IF(ISNUMBER(MATCH($B$2:$B$10000,$E$6:$E$22,0)),ROW($C$2:$C$10000)-ROW($C$2)+1),ROWS(L$20:L1227))))</f>
        <v>Mickey  Bolduc</v>
      </c>
      <c r="I1227" s="4">
        <f t="array" ref="I1227">IF(ROWS(M$20:M1227)&gt;$F$6,"",INDEX(C$2:C$10000,SMALL(IF(ISNUMBER(MATCH($B$2:$B$10000,$E$6:$E$22,0)),ROW($C$2:$C$10000)-ROW($C$2)+1),ROWS(M$20:M1227))))</f>
        <v>32</v>
      </c>
      <c r="K1227" s="7">
        <f t="array" ref="K1227">IF(ROWS(K$20:K1227)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1227))))</f>
        <v>41562</v>
      </c>
      <c r="L1227" s="4" t="str">
        <f t="array" ref="L1227">IF(ROWS(L$20:L1227)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1227))))</f>
        <v>Mickey  Bolduc</v>
      </c>
      <c r="M1227" s="4">
        <f t="array" ref="M1227">IF(ROWS(M$20:M1227)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1227))))</f>
        <v>32</v>
      </c>
    </row>
    <row r="1228" spans="1:13" x14ac:dyDescent="0.25">
      <c r="A1228" s="3">
        <v>41403</v>
      </c>
      <c r="B1228" s="2" t="s">
        <v>19</v>
      </c>
      <c r="C1228" s="2">
        <v>38</v>
      </c>
      <c r="G1228" s="7">
        <f t="array" ref="G1228">IF(ROWS(K$20:K1228)&gt;$F$6,"",INDEX(A$2:A$10000,SMALL(IF(ISNUMBER(MATCH($B$2:$B$10000,$E$6:$E$22,0)),ROW($C$2:$C$10000)-ROW($C$2)+1),ROWS(K$20:K1228))))</f>
        <v>41289</v>
      </c>
      <c r="H1228" s="4" t="str">
        <f t="array" ref="H1228">IF(ROWS(L$20:L1228)&gt;$F$6,"",INDEX(B$2:B$10000,SMALL(IF(ISNUMBER(MATCH($B$2:$B$10000,$E$6:$E$22,0)),ROW($C$2:$C$10000)-ROW($C$2)+1),ROWS(L$20:L1228))))</f>
        <v>Jenni  Thorton</v>
      </c>
      <c r="I1228" s="4">
        <f t="array" ref="I1228">IF(ROWS(M$20:M1228)&gt;$F$6,"",INDEX(C$2:C$10000,SMALL(IF(ISNUMBER(MATCH($B$2:$B$10000,$E$6:$E$22,0)),ROW($C$2:$C$10000)-ROW($C$2)+1),ROWS(M$20:M1228))))</f>
        <v>30</v>
      </c>
      <c r="K1228" s="7">
        <f t="array" ref="K1228">IF(ROWS(K$20:K1228)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1228))))</f>
        <v>41289</v>
      </c>
      <c r="L1228" s="4" t="str">
        <f t="array" ref="L1228">IF(ROWS(L$20:L1228)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1228))))</f>
        <v>Jenni  Thorton</v>
      </c>
      <c r="M1228" s="4">
        <f t="array" ref="M1228">IF(ROWS(M$20:M1228)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1228))))</f>
        <v>30</v>
      </c>
    </row>
    <row r="1229" spans="1:13" x14ac:dyDescent="0.25">
      <c r="A1229" s="3">
        <v>41569</v>
      </c>
      <c r="B1229" s="2" t="s">
        <v>28</v>
      </c>
      <c r="C1229" s="2">
        <v>1</v>
      </c>
      <c r="G1229" s="7">
        <f t="array" ref="G1229">IF(ROWS(K$20:K1229)&gt;$F$6,"",INDEX(A$2:A$10000,SMALL(IF(ISNUMBER(MATCH($B$2:$B$10000,$E$6:$E$22,0)),ROW($C$2:$C$10000)-ROW($C$2)+1),ROWS(K$20:K1229))))</f>
        <v>41423</v>
      </c>
      <c r="H1229" s="4" t="str">
        <f t="array" ref="H1229">IF(ROWS(L$20:L1229)&gt;$F$6,"",INDEX(B$2:B$10000,SMALL(IF(ISNUMBER(MATCH($B$2:$B$10000,$E$6:$E$22,0)),ROW($C$2:$C$10000)-ROW($C$2)+1),ROWS(L$20:L1229))))</f>
        <v>Iliana  Valerio</v>
      </c>
      <c r="I1229" s="4">
        <f t="array" ref="I1229">IF(ROWS(M$20:M1229)&gt;$F$6,"",INDEX(C$2:C$10000,SMALL(IF(ISNUMBER(MATCH($B$2:$B$10000,$E$6:$E$22,0)),ROW($C$2:$C$10000)-ROW($C$2)+1),ROWS(M$20:M1229))))</f>
        <v>53</v>
      </c>
      <c r="K1229" s="7">
        <f t="array" ref="K1229">IF(ROWS(K$20:K1229)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1229))))</f>
        <v>41423</v>
      </c>
      <c r="L1229" s="4" t="str">
        <f t="array" ref="L1229">IF(ROWS(L$20:L1229)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1229))))</f>
        <v>Iliana  Valerio</v>
      </c>
      <c r="M1229" s="4">
        <f t="array" ref="M1229">IF(ROWS(M$20:M1229)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1229))))</f>
        <v>53</v>
      </c>
    </row>
    <row r="1230" spans="1:13" x14ac:dyDescent="0.25">
      <c r="A1230" s="3">
        <v>41899</v>
      </c>
      <c r="B1230" s="2" t="s">
        <v>44</v>
      </c>
      <c r="C1230" s="2">
        <v>3</v>
      </c>
      <c r="G1230" s="7">
        <f t="array" ref="G1230">IF(ROWS(K$20:K1230)&gt;$F$6,"",INDEX(A$2:A$10000,SMALL(IF(ISNUMBER(MATCH($B$2:$B$10000,$E$6:$E$22,0)),ROW($C$2:$C$10000)-ROW($C$2)+1),ROWS(K$20:K1230))))</f>
        <v>41359</v>
      </c>
      <c r="H1230" s="4" t="str">
        <f t="array" ref="H1230">IF(ROWS(L$20:L1230)&gt;$F$6,"",INDEX(B$2:B$10000,SMALL(IF(ISNUMBER(MATCH($B$2:$B$10000,$E$6:$E$22,0)),ROW($C$2:$C$10000)-ROW($C$2)+1),ROWS(L$20:L1230))))</f>
        <v>Mickey  Bolduc</v>
      </c>
      <c r="I1230" s="4">
        <f t="array" ref="I1230">IF(ROWS(M$20:M1230)&gt;$F$6,"",INDEX(C$2:C$10000,SMALL(IF(ISNUMBER(MATCH($B$2:$B$10000,$E$6:$E$22,0)),ROW($C$2:$C$10000)-ROW($C$2)+1),ROWS(M$20:M1230))))</f>
        <v>29</v>
      </c>
      <c r="K1230" s="7">
        <f t="array" ref="K1230">IF(ROWS(K$20:K1230)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1230))))</f>
        <v>41359</v>
      </c>
      <c r="L1230" s="4" t="str">
        <f t="array" ref="L1230">IF(ROWS(L$20:L1230)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1230))))</f>
        <v>Mickey  Bolduc</v>
      </c>
      <c r="M1230" s="4">
        <f t="array" ref="M1230">IF(ROWS(M$20:M1230)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1230))))</f>
        <v>29</v>
      </c>
    </row>
    <row r="1231" spans="1:13" x14ac:dyDescent="0.25">
      <c r="A1231" s="3">
        <v>41865</v>
      </c>
      <c r="B1231" s="2" t="s">
        <v>45</v>
      </c>
      <c r="C1231" s="2">
        <v>29</v>
      </c>
      <c r="G1231" s="7">
        <f t="array" ref="G1231">IF(ROWS(K$20:K1231)&gt;$F$6,"",INDEX(A$2:A$10000,SMALL(IF(ISNUMBER(MATCH($B$2:$B$10000,$E$6:$E$22,0)),ROW($C$2:$C$10000)-ROW($C$2)+1),ROWS(K$20:K1231))))</f>
        <v>41853</v>
      </c>
      <c r="H1231" s="4" t="str">
        <f t="array" ref="H1231">IF(ROWS(L$20:L1231)&gt;$F$6,"",INDEX(B$2:B$10000,SMALL(IF(ISNUMBER(MATCH($B$2:$B$10000,$E$6:$E$22,0)),ROW($C$2:$C$10000)-ROW($C$2)+1),ROWS(L$20:L1231))))</f>
        <v>Kerrie  Worrell</v>
      </c>
      <c r="I1231" s="4">
        <f t="array" ref="I1231">IF(ROWS(M$20:M1231)&gt;$F$6,"",INDEX(C$2:C$10000,SMALL(IF(ISNUMBER(MATCH($B$2:$B$10000,$E$6:$E$22,0)),ROW($C$2:$C$10000)-ROW($C$2)+1),ROWS(M$20:M1231))))</f>
        <v>15</v>
      </c>
      <c r="K1231" s="7">
        <f t="array" ref="K1231">IF(ROWS(K$20:K1231)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1231))))</f>
        <v>41853</v>
      </c>
      <c r="L1231" s="4" t="str">
        <f t="array" ref="L1231">IF(ROWS(L$20:L1231)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1231))))</f>
        <v>Kerrie  Worrell</v>
      </c>
      <c r="M1231" s="4">
        <f t="array" ref="M1231">IF(ROWS(M$20:M1231)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1231))))</f>
        <v>15</v>
      </c>
    </row>
    <row r="1232" spans="1:13" x14ac:dyDescent="0.25">
      <c r="A1232" s="3">
        <v>41351</v>
      </c>
      <c r="B1232" s="2" t="s">
        <v>32</v>
      </c>
      <c r="C1232" s="2">
        <v>44</v>
      </c>
      <c r="G1232" s="7">
        <f t="array" ref="G1232">IF(ROWS(K$20:K1232)&gt;$F$6,"",INDEX(A$2:A$10000,SMALL(IF(ISNUMBER(MATCH($B$2:$B$10000,$E$6:$E$22,0)),ROW($C$2:$C$10000)-ROW($C$2)+1),ROWS(K$20:K1232))))</f>
        <v>41644</v>
      </c>
      <c r="H1232" s="4" t="str">
        <f t="array" ref="H1232">IF(ROWS(L$20:L1232)&gt;$F$6,"",INDEX(B$2:B$10000,SMALL(IF(ISNUMBER(MATCH($B$2:$B$10000,$E$6:$E$22,0)),ROW($C$2:$C$10000)-ROW($C$2)+1),ROWS(L$20:L1232))))</f>
        <v>Galen  Barth</v>
      </c>
      <c r="I1232" s="4">
        <f t="array" ref="I1232">IF(ROWS(M$20:M1232)&gt;$F$6,"",INDEX(C$2:C$10000,SMALL(IF(ISNUMBER(MATCH($B$2:$B$10000,$E$6:$E$22,0)),ROW($C$2:$C$10000)-ROW($C$2)+1),ROWS(M$20:M1232))))</f>
        <v>33</v>
      </c>
      <c r="K1232" s="7">
        <f t="array" ref="K1232">IF(ROWS(K$20:K1232)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1232))))</f>
        <v>41644</v>
      </c>
      <c r="L1232" s="4" t="str">
        <f t="array" ref="L1232">IF(ROWS(L$20:L1232)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1232))))</f>
        <v>Galen  Barth</v>
      </c>
      <c r="M1232" s="4">
        <f t="array" ref="M1232">IF(ROWS(M$20:M1232)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1232))))</f>
        <v>33</v>
      </c>
    </row>
    <row r="1233" spans="1:13" x14ac:dyDescent="0.25">
      <c r="A1233" s="3">
        <v>41812</v>
      </c>
      <c r="B1233" s="2" t="s">
        <v>2</v>
      </c>
      <c r="C1233" s="2">
        <v>29</v>
      </c>
      <c r="G1233" s="7">
        <f t="array" ref="G1233">IF(ROWS(K$20:K1233)&gt;$F$6,"",INDEX(A$2:A$10000,SMALL(IF(ISNUMBER(MATCH($B$2:$B$10000,$E$6:$E$22,0)),ROW($C$2:$C$10000)-ROW($C$2)+1),ROWS(K$20:K1233))))</f>
        <v>41307</v>
      </c>
      <c r="H1233" s="4" t="str">
        <f t="array" ref="H1233">IF(ROWS(L$20:L1233)&gt;$F$6,"",INDEX(B$2:B$10000,SMALL(IF(ISNUMBER(MATCH($B$2:$B$10000,$E$6:$E$22,0)),ROW($C$2:$C$10000)-ROW($C$2)+1),ROWS(L$20:L1233))))</f>
        <v>Mickey  Bolduc</v>
      </c>
      <c r="I1233" s="4">
        <f t="array" ref="I1233">IF(ROWS(M$20:M1233)&gt;$F$6,"",INDEX(C$2:C$10000,SMALL(IF(ISNUMBER(MATCH($B$2:$B$10000,$E$6:$E$22,0)),ROW($C$2:$C$10000)-ROW($C$2)+1),ROWS(M$20:M1233))))</f>
        <v>33</v>
      </c>
      <c r="K1233" s="7">
        <f t="array" ref="K1233">IF(ROWS(K$20:K1233)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1233))))</f>
        <v>41307</v>
      </c>
      <c r="L1233" s="4" t="str">
        <f t="array" ref="L1233">IF(ROWS(L$20:L1233)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1233))))</f>
        <v>Mickey  Bolduc</v>
      </c>
      <c r="M1233" s="4">
        <f t="array" ref="M1233">IF(ROWS(M$20:M1233)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1233))))</f>
        <v>33</v>
      </c>
    </row>
    <row r="1234" spans="1:13" x14ac:dyDescent="0.25">
      <c r="A1234" s="3">
        <v>41810</v>
      </c>
      <c r="B1234" s="2" t="s">
        <v>48</v>
      </c>
      <c r="C1234" s="2">
        <v>20</v>
      </c>
      <c r="G1234" s="7">
        <f t="array" ref="G1234">IF(ROWS(K$20:K1234)&gt;$F$6,"",INDEX(A$2:A$10000,SMALL(IF(ISNUMBER(MATCH($B$2:$B$10000,$E$6:$E$22,0)),ROW($C$2:$C$10000)-ROW($C$2)+1),ROWS(K$20:K1234))))</f>
        <v>41455</v>
      </c>
      <c r="H1234" s="4" t="str">
        <f t="array" ref="H1234">IF(ROWS(L$20:L1234)&gt;$F$6,"",INDEX(B$2:B$10000,SMALL(IF(ISNUMBER(MATCH($B$2:$B$10000,$E$6:$E$22,0)),ROW($C$2:$C$10000)-ROW($C$2)+1),ROWS(L$20:L1234))))</f>
        <v>Jenni  Thorton</v>
      </c>
      <c r="I1234" s="4">
        <f t="array" ref="I1234">IF(ROWS(M$20:M1234)&gt;$F$6,"",INDEX(C$2:C$10000,SMALL(IF(ISNUMBER(MATCH($B$2:$B$10000,$E$6:$E$22,0)),ROW($C$2:$C$10000)-ROW($C$2)+1),ROWS(M$20:M1234))))</f>
        <v>28</v>
      </c>
      <c r="K1234" s="7">
        <f t="array" ref="K1234">IF(ROWS(K$20:K1234)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1234))))</f>
        <v>41455</v>
      </c>
      <c r="L1234" s="4" t="str">
        <f t="array" ref="L1234">IF(ROWS(L$20:L1234)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1234))))</f>
        <v>Jenni  Thorton</v>
      </c>
      <c r="M1234" s="4">
        <f t="array" ref="M1234">IF(ROWS(M$20:M1234)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1234))))</f>
        <v>28</v>
      </c>
    </row>
    <row r="1235" spans="1:13" x14ac:dyDescent="0.25">
      <c r="A1235" s="3">
        <v>41730</v>
      </c>
      <c r="B1235" s="2" t="s">
        <v>46</v>
      </c>
      <c r="C1235" s="2">
        <v>22</v>
      </c>
      <c r="G1235" s="7">
        <f t="array" ref="G1235">IF(ROWS(K$20:K1235)&gt;$F$6,"",INDEX(A$2:A$10000,SMALL(IF(ISNUMBER(MATCH($B$2:$B$10000,$E$6:$E$22,0)),ROW($C$2:$C$10000)-ROW($C$2)+1),ROWS(K$20:K1235))))</f>
        <v>41700</v>
      </c>
      <c r="H1235" s="4" t="str">
        <f t="array" ref="H1235">IF(ROWS(L$20:L1235)&gt;$F$6,"",INDEX(B$2:B$10000,SMALL(IF(ISNUMBER(MATCH($B$2:$B$10000,$E$6:$E$22,0)),ROW($C$2:$C$10000)-ROW($C$2)+1),ROWS(L$20:L1235))))</f>
        <v>Iliana  Valerio</v>
      </c>
      <c r="I1235" s="4">
        <f t="array" ref="I1235">IF(ROWS(M$20:M1235)&gt;$F$6,"",INDEX(C$2:C$10000,SMALL(IF(ISNUMBER(MATCH($B$2:$B$10000,$E$6:$E$22,0)),ROW($C$2:$C$10000)-ROW($C$2)+1),ROWS(M$20:M1235))))</f>
        <v>29</v>
      </c>
      <c r="K1235" s="7">
        <f t="array" ref="K1235">IF(ROWS(K$20:K1235)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1235))))</f>
        <v>41700</v>
      </c>
      <c r="L1235" s="4" t="str">
        <f t="array" ref="L1235">IF(ROWS(L$20:L1235)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1235))))</f>
        <v>Iliana  Valerio</v>
      </c>
      <c r="M1235" s="4">
        <f t="array" ref="M1235">IF(ROWS(M$20:M1235)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1235))))</f>
        <v>29</v>
      </c>
    </row>
    <row r="1236" spans="1:13" x14ac:dyDescent="0.25">
      <c r="A1236" s="3">
        <v>41733</v>
      </c>
      <c r="B1236" s="2" t="s">
        <v>14</v>
      </c>
      <c r="C1236" s="2">
        <v>24</v>
      </c>
      <c r="G1236" s="7">
        <f t="array" ref="G1236">IF(ROWS(K$20:K1236)&gt;$F$6,"",INDEX(A$2:A$10000,SMALL(IF(ISNUMBER(MATCH($B$2:$B$10000,$E$6:$E$22,0)),ROW($C$2:$C$10000)-ROW($C$2)+1),ROWS(K$20:K1236))))</f>
        <v>41925</v>
      </c>
      <c r="H1236" s="4" t="str">
        <f t="array" ref="H1236">IF(ROWS(L$20:L1236)&gt;$F$6,"",INDEX(B$2:B$10000,SMALL(IF(ISNUMBER(MATCH($B$2:$B$10000,$E$6:$E$22,0)),ROW($C$2:$C$10000)-ROW($C$2)+1),ROWS(L$20:L1236))))</f>
        <v>Jenni  Thorton</v>
      </c>
      <c r="I1236" s="4">
        <f t="array" ref="I1236">IF(ROWS(M$20:M1236)&gt;$F$6,"",INDEX(C$2:C$10000,SMALL(IF(ISNUMBER(MATCH($B$2:$B$10000,$E$6:$E$22,0)),ROW($C$2:$C$10000)-ROW($C$2)+1),ROWS(M$20:M1236))))</f>
        <v>1</v>
      </c>
      <c r="K1236" s="7">
        <f t="array" ref="K1236">IF(ROWS(K$20:K1236)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1236))))</f>
        <v>41925</v>
      </c>
      <c r="L1236" s="4" t="str">
        <f t="array" ref="L1236">IF(ROWS(L$20:L1236)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1236))))</f>
        <v>Jenni  Thorton</v>
      </c>
      <c r="M1236" s="4">
        <f t="array" ref="M1236">IF(ROWS(M$20:M1236)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1236))))</f>
        <v>1</v>
      </c>
    </row>
    <row r="1237" spans="1:13" x14ac:dyDescent="0.25">
      <c r="A1237" s="3">
        <v>41721</v>
      </c>
      <c r="B1237" s="2" t="s">
        <v>39</v>
      </c>
      <c r="C1237" s="2">
        <v>10</v>
      </c>
      <c r="G1237" s="7">
        <f t="array" ref="G1237">IF(ROWS(K$20:K1237)&gt;$F$6,"",INDEX(A$2:A$10000,SMALL(IF(ISNUMBER(MATCH($B$2:$B$10000,$E$6:$E$22,0)),ROW($C$2:$C$10000)-ROW($C$2)+1),ROWS(K$20:K1237))))</f>
        <v>41286</v>
      </c>
      <c r="H1237" s="4" t="str">
        <f t="array" ref="H1237">IF(ROWS(L$20:L1237)&gt;$F$6,"",INDEX(B$2:B$10000,SMALL(IF(ISNUMBER(MATCH($B$2:$B$10000,$E$6:$E$22,0)),ROW($C$2:$C$10000)-ROW($C$2)+1),ROWS(L$20:L1237))))</f>
        <v>Rosamond  Allard</v>
      </c>
      <c r="I1237" s="4">
        <f t="array" ref="I1237">IF(ROWS(M$20:M1237)&gt;$F$6,"",INDEX(C$2:C$10000,SMALL(IF(ISNUMBER(MATCH($B$2:$B$10000,$E$6:$E$22,0)),ROW($C$2:$C$10000)-ROW($C$2)+1),ROWS(M$20:M1237))))</f>
        <v>35</v>
      </c>
      <c r="K1237" s="7">
        <f t="array" ref="K1237">IF(ROWS(K$20:K1237)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1237))))</f>
        <v>41286</v>
      </c>
      <c r="L1237" s="4" t="str">
        <f t="array" ref="L1237">IF(ROWS(L$20:L1237)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1237))))</f>
        <v>Rosamond  Allard</v>
      </c>
      <c r="M1237" s="4">
        <f t="array" ref="M1237">IF(ROWS(M$20:M1237)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1237))))</f>
        <v>35</v>
      </c>
    </row>
    <row r="1238" spans="1:13" x14ac:dyDescent="0.25">
      <c r="A1238" s="3">
        <v>41736</v>
      </c>
      <c r="B1238" s="2" t="s">
        <v>30</v>
      </c>
      <c r="C1238" s="2">
        <v>2</v>
      </c>
      <c r="G1238" s="7">
        <f t="array" ref="G1238">IF(ROWS(K$20:K1238)&gt;$F$6,"",INDEX(A$2:A$10000,SMALL(IF(ISNUMBER(MATCH($B$2:$B$10000,$E$6:$E$22,0)),ROW($C$2:$C$10000)-ROW($C$2)+1),ROWS(K$20:K1238))))</f>
        <v>41278</v>
      </c>
      <c r="H1238" s="4" t="str">
        <f t="array" ref="H1238">IF(ROWS(L$20:L1238)&gt;$F$6,"",INDEX(B$2:B$10000,SMALL(IF(ISNUMBER(MATCH($B$2:$B$10000,$E$6:$E$22,0)),ROW($C$2:$C$10000)-ROW($C$2)+1),ROWS(L$20:L1238))))</f>
        <v>Iliana  Valerio</v>
      </c>
      <c r="I1238" s="4">
        <f t="array" ref="I1238">IF(ROWS(M$20:M1238)&gt;$F$6,"",INDEX(C$2:C$10000,SMALL(IF(ISNUMBER(MATCH($B$2:$B$10000,$E$6:$E$22,0)),ROW($C$2:$C$10000)-ROW($C$2)+1),ROWS(M$20:M1238))))</f>
        <v>56</v>
      </c>
      <c r="K1238" s="7">
        <f t="array" ref="K1238">IF(ROWS(K$20:K1238)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1238))))</f>
        <v>41278</v>
      </c>
      <c r="L1238" s="4" t="str">
        <f t="array" ref="L1238">IF(ROWS(L$20:L1238)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1238))))</f>
        <v>Iliana  Valerio</v>
      </c>
      <c r="M1238" s="4">
        <f t="array" ref="M1238">IF(ROWS(M$20:M1238)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1238))))</f>
        <v>56</v>
      </c>
    </row>
    <row r="1239" spans="1:13" x14ac:dyDescent="0.25">
      <c r="A1239" s="3">
        <v>41910</v>
      </c>
      <c r="B1239" s="2" t="s">
        <v>22</v>
      </c>
      <c r="C1239" s="2">
        <v>13</v>
      </c>
      <c r="G1239" s="7">
        <f t="array" ref="G1239">IF(ROWS(K$20:K1239)&gt;$F$6,"",INDEX(A$2:A$10000,SMALL(IF(ISNUMBER(MATCH($B$2:$B$10000,$E$6:$E$22,0)),ROW($C$2:$C$10000)-ROW($C$2)+1),ROWS(K$20:K1239))))</f>
        <v>41468</v>
      </c>
      <c r="H1239" s="4" t="str">
        <f t="array" ref="H1239">IF(ROWS(L$20:L1239)&gt;$F$6,"",INDEX(B$2:B$10000,SMALL(IF(ISNUMBER(MATCH($B$2:$B$10000,$E$6:$E$22,0)),ROW($C$2:$C$10000)-ROW($C$2)+1),ROWS(L$20:L1239))))</f>
        <v>Iliana  Valerio</v>
      </c>
      <c r="I1239" s="4">
        <f t="array" ref="I1239">IF(ROWS(M$20:M1239)&gt;$F$6,"",INDEX(C$2:C$10000,SMALL(IF(ISNUMBER(MATCH($B$2:$B$10000,$E$6:$E$22,0)),ROW($C$2:$C$10000)-ROW($C$2)+1),ROWS(M$20:M1239))))</f>
        <v>45</v>
      </c>
      <c r="K1239" s="7">
        <f t="array" ref="K1239">IF(ROWS(K$20:K1239)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1239))))</f>
        <v>41468</v>
      </c>
      <c r="L1239" s="4" t="str">
        <f t="array" ref="L1239">IF(ROWS(L$20:L1239)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1239))))</f>
        <v>Iliana  Valerio</v>
      </c>
      <c r="M1239" s="4">
        <f t="array" ref="M1239">IF(ROWS(M$20:M1239)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1239))))</f>
        <v>45</v>
      </c>
    </row>
    <row r="1240" spans="1:13" x14ac:dyDescent="0.25">
      <c r="A1240" s="3">
        <v>41857</v>
      </c>
      <c r="B1240" s="2" t="s">
        <v>50</v>
      </c>
      <c r="C1240" s="2">
        <v>20</v>
      </c>
      <c r="G1240" s="7">
        <f t="array" ref="G1240">IF(ROWS(K$20:K1240)&gt;$F$6,"",INDEX(A$2:A$10000,SMALL(IF(ISNUMBER(MATCH($B$2:$B$10000,$E$6:$E$22,0)),ROW($C$2:$C$10000)-ROW($C$2)+1),ROWS(K$20:K1240))))</f>
        <v>41700</v>
      </c>
      <c r="H1240" s="4" t="str">
        <f t="array" ref="H1240">IF(ROWS(L$20:L1240)&gt;$F$6,"",INDEX(B$2:B$10000,SMALL(IF(ISNUMBER(MATCH($B$2:$B$10000,$E$6:$E$22,0)),ROW($C$2:$C$10000)-ROW($C$2)+1),ROWS(L$20:L1240))))</f>
        <v>Mickey  Bolduc</v>
      </c>
      <c r="I1240" s="4">
        <f t="array" ref="I1240">IF(ROWS(M$20:M1240)&gt;$F$6,"",INDEX(C$2:C$10000,SMALL(IF(ISNUMBER(MATCH($B$2:$B$10000,$E$6:$E$22,0)),ROW($C$2:$C$10000)-ROW($C$2)+1),ROWS(M$20:M1240))))</f>
        <v>37</v>
      </c>
      <c r="K1240" s="7">
        <f t="array" ref="K1240">IF(ROWS(K$20:K1240)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1240))))</f>
        <v>41700</v>
      </c>
      <c r="L1240" s="4" t="str">
        <f t="array" ref="L1240">IF(ROWS(L$20:L1240)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1240))))</f>
        <v>Mickey  Bolduc</v>
      </c>
      <c r="M1240" s="4">
        <f t="array" ref="M1240">IF(ROWS(M$20:M1240)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1240))))</f>
        <v>37</v>
      </c>
    </row>
    <row r="1241" spans="1:13" x14ac:dyDescent="0.25">
      <c r="A1241" s="3">
        <v>41805</v>
      </c>
      <c r="B1241" s="2" t="s">
        <v>29</v>
      </c>
      <c r="C1241" s="2">
        <v>28</v>
      </c>
      <c r="G1241" s="7">
        <f t="array" ref="G1241">IF(ROWS(K$20:K1241)&gt;$F$6,"",INDEX(A$2:A$10000,SMALL(IF(ISNUMBER(MATCH($B$2:$B$10000,$E$6:$E$22,0)),ROW($C$2:$C$10000)-ROW($C$2)+1),ROWS(K$20:K1241))))</f>
        <v>41838</v>
      </c>
      <c r="H1241" s="4" t="str">
        <f t="array" ref="H1241">IF(ROWS(L$20:L1241)&gt;$F$6,"",INDEX(B$2:B$10000,SMALL(IF(ISNUMBER(MATCH($B$2:$B$10000,$E$6:$E$22,0)),ROW($C$2:$C$10000)-ROW($C$2)+1),ROWS(L$20:L1241))))</f>
        <v>Mickey  Bolduc</v>
      </c>
      <c r="I1241" s="4">
        <f t="array" ref="I1241">IF(ROWS(M$20:M1241)&gt;$F$6,"",INDEX(C$2:C$10000,SMALL(IF(ISNUMBER(MATCH($B$2:$B$10000,$E$6:$E$22,0)),ROW($C$2:$C$10000)-ROW($C$2)+1),ROWS(M$20:M1241))))</f>
        <v>24</v>
      </c>
      <c r="K1241" s="7">
        <f t="array" ref="K1241">IF(ROWS(K$20:K1241)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1241))))</f>
        <v>41838</v>
      </c>
      <c r="L1241" s="4" t="str">
        <f t="array" ref="L1241">IF(ROWS(L$20:L1241)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1241))))</f>
        <v>Mickey  Bolduc</v>
      </c>
      <c r="M1241" s="4">
        <f t="array" ref="M1241">IF(ROWS(M$20:M1241)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1241))))</f>
        <v>24</v>
      </c>
    </row>
    <row r="1242" spans="1:13" x14ac:dyDescent="0.25">
      <c r="A1242" s="3">
        <v>41532</v>
      </c>
      <c r="B1242" s="2" t="s">
        <v>19</v>
      </c>
      <c r="C1242" s="2">
        <v>24</v>
      </c>
      <c r="G1242" s="7">
        <f t="array" ref="G1242">IF(ROWS(K$20:K1242)&gt;$F$6,"",INDEX(A$2:A$10000,SMALL(IF(ISNUMBER(MATCH($B$2:$B$10000,$E$6:$E$22,0)),ROW($C$2:$C$10000)-ROW($C$2)+1),ROWS(K$20:K1242))))</f>
        <v>41591</v>
      </c>
      <c r="H1242" s="4" t="str">
        <f t="array" ref="H1242">IF(ROWS(L$20:L1242)&gt;$F$6,"",INDEX(B$2:B$10000,SMALL(IF(ISNUMBER(MATCH($B$2:$B$10000,$E$6:$E$22,0)),ROW($C$2:$C$10000)-ROW($C$2)+1),ROWS(L$20:L1242))))</f>
        <v>Rosamond  Allard</v>
      </c>
      <c r="I1242" s="4">
        <f t="array" ref="I1242">IF(ROWS(M$20:M1242)&gt;$F$6,"",INDEX(C$2:C$10000,SMALL(IF(ISNUMBER(MATCH($B$2:$B$10000,$E$6:$E$22,0)),ROW($C$2:$C$10000)-ROW($C$2)+1),ROWS(M$20:M1242))))</f>
        <v>18</v>
      </c>
      <c r="K1242" s="7">
        <f t="array" ref="K1242">IF(ROWS(K$20:K1242)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1242))))</f>
        <v>41591</v>
      </c>
      <c r="L1242" s="4" t="str">
        <f t="array" ref="L1242">IF(ROWS(L$20:L1242)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1242))))</f>
        <v>Rosamond  Allard</v>
      </c>
      <c r="M1242" s="4">
        <f t="array" ref="M1242">IF(ROWS(M$20:M1242)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1242))))</f>
        <v>18</v>
      </c>
    </row>
    <row r="1243" spans="1:13" x14ac:dyDescent="0.25">
      <c r="A1243" s="3">
        <v>41345</v>
      </c>
      <c r="B1243" s="2" t="s">
        <v>3</v>
      </c>
      <c r="C1243" s="2">
        <v>14</v>
      </c>
      <c r="G1243" s="7">
        <f t="array" ref="G1243">IF(ROWS(K$20:K1243)&gt;$F$6,"",INDEX(A$2:A$10000,SMALL(IF(ISNUMBER(MATCH($B$2:$B$10000,$E$6:$E$22,0)),ROW($C$2:$C$10000)-ROW($C$2)+1),ROWS(K$20:K1243))))</f>
        <v>41587</v>
      </c>
      <c r="H1243" s="4" t="str">
        <f t="array" ref="H1243">IF(ROWS(L$20:L1243)&gt;$F$6,"",INDEX(B$2:B$10000,SMALL(IF(ISNUMBER(MATCH($B$2:$B$10000,$E$6:$E$22,0)),ROW($C$2:$C$10000)-ROW($C$2)+1),ROWS(L$20:L1243))))</f>
        <v>Iliana  Valerio</v>
      </c>
      <c r="I1243" s="4">
        <f t="array" ref="I1243">IF(ROWS(M$20:M1243)&gt;$F$6,"",INDEX(C$2:C$10000,SMALL(IF(ISNUMBER(MATCH($B$2:$B$10000,$E$6:$E$22,0)),ROW($C$2:$C$10000)-ROW($C$2)+1),ROWS(M$20:M1243))))</f>
        <v>12</v>
      </c>
      <c r="K1243" s="7">
        <f t="array" ref="K1243">IF(ROWS(K$20:K1243)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1243))))</f>
        <v>41587</v>
      </c>
      <c r="L1243" s="4" t="str">
        <f t="array" ref="L1243">IF(ROWS(L$20:L1243)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1243))))</f>
        <v>Iliana  Valerio</v>
      </c>
      <c r="M1243" s="4">
        <f t="array" ref="M1243">IF(ROWS(M$20:M1243)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1243))))</f>
        <v>12</v>
      </c>
    </row>
    <row r="1244" spans="1:13" x14ac:dyDescent="0.25">
      <c r="A1244" s="3">
        <v>41349</v>
      </c>
      <c r="B1244" s="2" t="s">
        <v>6</v>
      </c>
      <c r="C1244" s="2">
        <v>12</v>
      </c>
      <c r="G1244" s="7">
        <f t="array" ref="G1244">IF(ROWS(K$20:K1244)&gt;$F$6,"",INDEX(A$2:A$10000,SMALL(IF(ISNUMBER(MATCH($B$2:$B$10000,$E$6:$E$22,0)),ROW($C$2:$C$10000)-ROW($C$2)+1),ROWS(K$20:K1244))))</f>
        <v>41736</v>
      </c>
      <c r="H1244" s="4" t="str">
        <f t="array" ref="H1244">IF(ROWS(L$20:L1244)&gt;$F$6,"",INDEX(B$2:B$10000,SMALL(IF(ISNUMBER(MATCH($B$2:$B$10000,$E$6:$E$22,0)),ROW($C$2:$C$10000)-ROW($C$2)+1),ROWS(L$20:L1244))))</f>
        <v>Kerrie  Worrell</v>
      </c>
      <c r="I1244" s="4">
        <f t="array" ref="I1244">IF(ROWS(M$20:M1244)&gt;$F$6,"",INDEX(C$2:C$10000,SMALL(IF(ISNUMBER(MATCH($B$2:$B$10000,$E$6:$E$22,0)),ROW($C$2:$C$10000)-ROW($C$2)+1),ROWS(M$20:M1244))))</f>
        <v>17</v>
      </c>
      <c r="K1244" s="7">
        <f t="array" ref="K1244">IF(ROWS(K$20:K1244)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1244))))</f>
        <v>41736</v>
      </c>
      <c r="L1244" s="4" t="str">
        <f t="array" ref="L1244">IF(ROWS(L$20:L1244)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1244))))</f>
        <v>Kerrie  Worrell</v>
      </c>
      <c r="M1244" s="4">
        <f t="array" ref="M1244">IF(ROWS(M$20:M1244)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1244))))</f>
        <v>17</v>
      </c>
    </row>
    <row r="1245" spans="1:13" x14ac:dyDescent="0.25">
      <c r="A1245" s="3">
        <v>41902</v>
      </c>
      <c r="B1245" s="2" t="s">
        <v>14</v>
      </c>
      <c r="C1245" s="2">
        <v>14</v>
      </c>
      <c r="G1245" s="7">
        <f t="array" ref="G1245">IF(ROWS(K$20:K1245)&gt;$F$6,"",INDEX(A$2:A$10000,SMALL(IF(ISNUMBER(MATCH($B$2:$B$10000,$E$6:$E$22,0)),ROW($C$2:$C$10000)-ROW($C$2)+1),ROWS(K$20:K1245))))</f>
        <v>41998</v>
      </c>
      <c r="H1245" s="4" t="str">
        <f t="array" ref="H1245">IF(ROWS(L$20:L1245)&gt;$F$6,"",INDEX(B$2:B$10000,SMALL(IF(ISNUMBER(MATCH($B$2:$B$10000,$E$6:$E$22,0)),ROW($C$2:$C$10000)-ROW($C$2)+1),ROWS(L$20:L1245))))</f>
        <v>Galen  Barth</v>
      </c>
      <c r="I1245" s="4">
        <f t="array" ref="I1245">IF(ROWS(M$20:M1245)&gt;$F$6,"",INDEX(C$2:C$10000,SMALL(IF(ISNUMBER(MATCH($B$2:$B$10000,$E$6:$E$22,0)),ROW($C$2:$C$10000)-ROW($C$2)+1),ROWS(M$20:M1245))))</f>
        <v>19</v>
      </c>
      <c r="K1245" s="7">
        <f t="array" ref="K1245">IF(ROWS(K$20:K1245)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1245))))</f>
        <v>41998</v>
      </c>
      <c r="L1245" s="4" t="str">
        <f t="array" ref="L1245">IF(ROWS(L$20:L1245)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1245))))</f>
        <v>Galen  Barth</v>
      </c>
      <c r="M1245" s="4">
        <f t="array" ref="M1245">IF(ROWS(M$20:M1245)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1245))))</f>
        <v>19</v>
      </c>
    </row>
    <row r="1246" spans="1:13" x14ac:dyDescent="0.25">
      <c r="A1246" s="3">
        <v>41760</v>
      </c>
      <c r="B1246" s="2" t="s">
        <v>35</v>
      </c>
      <c r="C1246" s="2">
        <v>15</v>
      </c>
      <c r="G1246" s="7">
        <f t="array" ref="G1246">IF(ROWS(K$20:K1246)&gt;$F$6,"",INDEX(A$2:A$10000,SMALL(IF(ISNUMBER(MATCH($B$2:$B$10000,$E$6:$E$22,0)),ROW($C$2:$C$10000)-ROW($C$2)+1),ROWS(K$20:K1246))))</f>
        <v>41988</v>
      </c>
      <c r="H1246" s="4" t="str">
        <f t="array" ref="H1246">IF(ROWS(L$20:L1246)&gt;$F$6,"",INDEX(B$2:B$10000,SMALL(IF(ISNUMBER(MATCH($B$2:$B$10000,$E$6:$E$22,0)),ROW($C$2:$C$10000)-ROW($C$2)+1),ROWS(L$20:L1246))))</f>
        <v>Mickey  Bolduc</v>
      </c>
      <c r="I1246" s="4">
        <f t="array" ref="I1246">IF(ROWS(M$20:M1246)&gt;$F$6,"",INDEX(C$2:C$10000,SMALL(IF(ISNUMBER(MATCH($B$2:$B$10000,$E$6:$E$22,0)),ROW($C$2:$C$10000)-ROW($C$2)+1),ROWS(M$20:M1246))))</f>
        <v>30</v>
      </c>
      <c r="K1246" s="7">
        <f t="array" ref="K1246">IF(ROWS(K$20:K1246)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1246))))</f>
        <v>41988</v>
      </c>
      <c r="L1246" s="4" t="str">
        <f t="array" ref="L1246">IF(ROWS(L$20:L1246)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1246))))</f>
        <v>Mickey  Bolduc</v>
      </c>
      <c r="M1246" s="4">
        <f t="array" ref="M1246">IF(ROWS(M$20:M1246)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1246))))</f>
        <v>30</v>
      </c>
    </row>
    <row r="1247" spans="1:13" x14ac:dyDescent="0.25">
      <c r="A1247" s="3">
        <v>41882</v>
      </c>
      <c r="B1247" s="2" t="s">
        <v>22</v>
      </c>
      <c r="C1247" s="2">
        <v>19</v>
      </c>
      <c r="G1247" s="7">
        <f t="array" ref="G1247">IF(ROWS(K$20:K1247)&gt;$F$6,"",INDEX(A$2:A$10000,SMALL(IF(ISNUMBER(MATCH($B$2:$B$10000,$E$6:$E$22,0)),ROW($C$2:$C$10000)-ROW($C$2)+1),ROWS(K$20:K1247))))</f>
        <v>41901</v>
      </c>
      <c r="H1247" s="4" t="str">
        <f t="array" ref="H1247">IF(ROWS(L$20:L1247)&gt;$F$6,"",INDEX(B$2:B$10000,SMALL(IF(ISNUMBER(MATCH($B$2:$B$10000,$E$6:$E$22,0)),ROW($C$2:$C$10000)-ROW($C$2)+1),ROWS(L$20:L1247))))</f>
        <v>Mickey  Bolduc</v>
      </c>
      <c r="I1247" s="4">
        <f t="array" ref="I1247">IF(ROWS(M$20:M1247)&gt;$F$6,"",INDEX(C$2:C$10000,SMALL(IF(ISNUMBER(MATCH($B$2:$B$10000,$E$6:$E$22,0)),ROW($C$2:$C$10000)-ROW($C$2)+1),ROWS(M$20:M1247))))</f>
        <v>26</v>
      </c>
      <c r="K1247" s="7">
        <f t="array" ref="K1247">IF(ROWS(K$20:K1247)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1247))))</f>
        <v>41901</v>
      </c>
      <c r="L1247" s="4" t="str">
        <f t="array" ref="L1247">IF(ROWS(L$20:L1247)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1247))))</f>
        <v>Mickey  Bolduc</v>
      </c>
      <c r="M1247" s="4">
        <f t="array" ref="M1247">IF(ROWS(M$20:M1247)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1247))))</f>
        <v>26</v>
      </c>
    </row>
    <row r="1248" spans="1:13" x14ac:dyDescent="0.25">
      <c r="A1248" s="3">
        <v>41919</v>
      </c>
      <c r="B1248" s="2" t="s">
        <v>29</v>
      </c>
      <c r="C1248" s="2">
        <v>20</v>
      </c>
      <c r="G1248" s="7">
        <f t="array" ref="G1248">IF(ROWS(K$20:K1248)&gt;$F$6,"",INDEX(A$2:A$10000,SMALL(IF(ISNUMBER(MATCH($B$2:$B$10000,$E$6:$E$22,0)),ROW($C$2:$C$10000)-ROW($C$2)+1),ROWS(K$20:K1248))))</f>
        <v>41706</v>
      </c>
      <c r="H1248" s="4" t="str">
        <f t="array" ref="H1248">IF(ROWS(L$20:L1248)&gt;$F$6,"",INDEX(B$2:B$10000,SMALL(IF(ISNUMBER(MATCH($B$2:$B$10000,$E$6:$E$22,0)),ROW($C$2:$C$10000)-ROW($C$2)+1),ROWS(L$20:L1248))))</f>
        <v>Iliana  Valerio</v>
      </c>
      <c r="I1248" s="4">
        <f t="array" ref="I1248">IF(ROWS(M$20:M1248)&gt;$F$6,"",INDEX(C$2:C$10000,SMALL(IF(ISNUMBER(MATCH($B$2:$B$10000,$E$6:$E$22,0)),ROW($C$2:$C$10000)-ROW($C$2)+1),ROWS(M$20:M1248))))</f>
        <v>15</v>
      </c>
      <c r="K1248" s="7">
        <f t="array" ref="K1248">IF(ROWS(K$20:K1248)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1248))))</f>
        <v>41706</v>
      </c>
      <c r="L1248" s="4" t="str">
        <f t="array" ref="L1248">IF(ROWS(L$20:L1248)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1248))))</f>
        <v>Iliana  Valerio</v>
      </c>
      <c r="M1248" s="4">
        <f t="array" ref="M1248">IF(ROWS(M$20:M1248)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1248))))</f>
        <v>15</v>
      </c>
    </row>
    <row r="1249" spans="1:13" x14ac:dyDescent="0.25">
      <c r="A1249" s="3">
        <v>41738</v>
      </c>
      <c r="B1249" s="2" t="s">
        <v>14</v>
      </c>
      <c r="C1249" s="2">
        <v>8</v>
      </c>
      <c r="G1249" s="7">
        <f t="array" ref="G1249">IF(ROWS(K$20:K1249)&gt;$F$6,"",INDEX(A$2:A$10000,SMALL(IF(ISNUMBER(MATCH($B$2:$B$10000,$E$6:$E$22,0)),ROW($C$2:$C$10000)-ROW($C$2)+1),ROWS(K$20:K1249))))</f>
        <v>41462</v>
      </c>
      <c r="H1249" s="4" t="str">
        <f t="array" ref="H1249">IF(ROWS(L$20:L1249)&gt;$F$6,"",INDEX(B$2:B$10000,SMALL(IF(ISNUMBER(MATCH($B$2:$B$10000,$E$6:$E$22,0)),ROW($C$2:$C$10000)-ROW($C$2)+1),ROWS(L$20:L1249))))</f>
        <v>Rosamond  Allard</v>
      </c>
      <c r="I1249" s="4">
        <f t="array" ref="I1249">IF(ROWS(M$20:M1249)&gt;$F$6,"",INDEX(C$2:C$10000,SMALL(IF(ISNUMBER(MATCH($B$2:$B$10000,$E$6:$E$22,0)),ROW($C$2:$C$10000)-ROW($C$2)+1),ROWS(M$20:M1249))))</f>
        <v>6</v>
      </c>
      <c r="K1249" s="7">
        <f t="array" ref="K1249">IF(ROWS(K$20:K1249)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1249))))</f>
        <v>41462</v>
      </c>
      <c r="L1249" s="4" t="str">
        <f t="array" ref="L1249">IF(ROWS(L$20:L1249)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1249))))</f>
        <v>Rosamond  Allard</v>
      </c>
      <c r="M1249" s="4">
        <f t="array" ref="M1249">IF(ROWS(M$20:M1249)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1249))))</f>
        <v>6</v>
      </c>
    </row>
    <row r="1250" spans="1:13" x14ac:dyDescent="0.25">
      <c r="A1250" s="3">
        <v>41784</v>
      </c>
      <c r="B1250" s="2" t="s">
        <v>32</v>
      </c>
      <c r="C1250" s="2">
        <v>18</v>
      </c>
      <c r="G1250" s="7">
        <f t="array" ref="G1250">IF(ROWS(K$20:K1250)&gt;$F$6,"",INDEX(A$2:A$10000,SMALL(IF(ISNUMBER(MATCH($B$2:$B$10000,$E$6:$E$22,0)),ROW($C$2:$C$10000)-ROW($C$2)+1),ROWS(K$20:K1250))))</f>
        <v>41491</v>
      </c>
      <c r="H1250" s="4" t="str">
        <f t="array" ref="H1250">IF(ROWS(L$20:L1250)&gt;$F$6,"",INDEX(B$2:B$10000,SMALL(IF(ISNUMBER(MATCH($B$2:$B$10000,$E$6:$E$22,0)),ROW($C$2:$C$10000)-ROW($C$2)+1),ROWS(L$20:L1250))))</f>
        <v>Rosamond  Allard</v>
      </c>
      <c r="I1250" s="4">
        <f t="array" ref="I1250">IF(ROWS(M$20:M1250)&gt;$F$6,"",INDEX(C$2:C$10000,SMALL(IF(ISNUMBER(MATCH($B$2:$B$10000,$E$6:$E$22,0)),ROW($C$2:$C$10000)-ROW($C$2)+1),ROWS(M$20:M1250))))</f>
        <v>64</v>
      </c>
      <c r="K1250" s="7">
        <f t="array" ref="K1250">IF(ROWS(K$20:K1250)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1250))))</f>
        <v>41491</v>
      </c>
      <c r="L1250" s="4" t="str">
        <f t="array" ref="L1250">IF(ROWS(L$20:L1250)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1250))))</f>
        <v>Rosamond  Allard</v>
      </c>
      <c r="M1250" s="4">
        <f t="array" ref="M1250">IF(ROWS(M$20:M1250)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1250))))</f>
        <v>64</v>
      </c>
    </row>
    <row r="1251" spans="1:13" x14ac:dyDescent="0.25">
      <c r="A1251" s="3">
        <v>41755</v>
      </c>
      <c r="B1251" s="2" t="s">
        <v>7</v>
      </c>
      <c r="C1251" s="2">
        <v>15</v>
      </c>
      <c r="G1251" s="7">
        <f t="array" ref="G1251">IF(ROWS(K$20:K1251)&gt;$F$6,"",INDEX(A$2:A$10000,SMALL(IF(ISNUMBER(MATCH($B$2:$B$10000,$E$6:$E$22,0)),ROW($C$2:$C$10000)-ROW($C$2)+1),ROWS(K$20:K1251))))</f>
        <v>41863</v>
      </c>
      <c r="H1251" s="4" t="str">
        <f t="array" ref="H1251">IF(ROWS(L$20:L1251)&gt;$F$6,"",INDEX(B$2:B$10000,SMALL(IF(ISNUMBER(MATCH($B$2:$B$10000,$E$6:$E$22,0)),ROW($C$2:$C$10000)-ROW($C$2)+1),ROWS(L$20:L1251))))</f>
        <v>Mickey  Bolduc</v>
      </c>
      <c r="I1251" s="4">
        <f t="array" ref="I1251">IF(ROWS(M$20:M1251)&gt;$F$6,"",INDEX(C$2:C$10000,SMALL(IF(ISNUMBER(MATCH($B$2:$B$10000,$E$6:$E$22,0)),ROW($C$2:$C$10000)-ROW($C$2)+1),ROWS(M$20:M1251))))</f>
        <v>13</v>
      </c>
      <c r="K1251" s="7">
        <f t="array" ref="K1251">IF(ROWS(K$20:K1251)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1251))))</f>
        <v>41863</v>
      </c>
      <c r="L1251" s="4" t="str">
        <f t="array" ref="L1251">IF(ROWS(L$20:L1251)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1251))))</f>
        <v>Mickey  Bolduc</v>
      </c>
      <c r="M1251" s="4">
        <f t="array" ref="M1251">IF(ROWS(M$20:M1251)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1251))))</f>
        <v>13</v>
      </c>
    </row>
    <row r="1252" spans="1:13" x14ac:dyDescent="0.25">
      <c r="A1252" s="3">
        <v>41653</v>
      </c>
      <c r="B1252" s="2" t="s">
        <v>7</v>
      </c>
      <c r="C1252" s="2">
        <v>30</v>
      </c>
      <c r="G1252" s="7">
        <f t="array" ref="G1252">IF(ROWS(K$20:K1252)&gt;$F$6,"",INDEX(A$2:A$10000,SMALL(IF(ISNUMBER(MATCH($B$2:$B$10000,$E$6:$E$22,0)),ROW($C$2:$C$10000)-ROW($C$2)+1),ROWS(K$20:K1252))))</f>
        <v>41503</v>
      </c>
      <c r="H1252" s="4" t="str">
        <f t="array" ref="H1252">IF(ROWS(L$20:L1252)&gt;$F$6,"",INDEX(B$2:B$10000,SMALL(IF(ISNUMBER(MATCH($B$2:$B$10000,$E$6:$E$22,0)),ROW($C$2:$C$10000)-ROW($C$2)+1),ROWS(L$20:L1252))))</f>
        <v>Galen  Barth</v>
      </c>
      <c r="I1252" s="4">
        <f t="array" ref="I1252">IF(ROWS(M$20:M1252)&gt;$F$6,"",INDEX(C$2:C$10000,SMALL(IF(ISNUMBER(MATCH($B$2:$B$10000,$E$6:$E$22,0)),ROW($C$2:$C$10000)-ROW($C$2)+1),ROWS(M$20:M1252))))</f>
        <v>22</v>
      </c>
      <c r="K1252" s="7">
        <f t="array" ref="K1252">IF(ROWS(K$20:K1252)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1252))))</f>
        <v>41503</v>
      </c>
      <c r="L1252" s="4" t="str">
        <f t="array" ref="L1252">IF(ROWS(L$20:L1252)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1252))))</f>
        <v>Galen  Barth</v>
      </c>
      <c r="M1252" s="4">
        <f t="array" ref="M1252">IF(ROWS(M$20:M1252)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1252))))</f>
        <v>22</v>
      </c>
    </row>
    <row r="1253" spans="1:13" x14ac:dyDescent="0.25">
      <c r="A1253" s="3">
        <v>41415</v>
      </c>
      <c r="B1253" s="2" t="s">
        <v>47</v>
      </c>
      <c r="C1253" s="2">
        <v>22</v>
      </c>
      <c r="G1253" s="7">
        <f t="array" ref="G1253">IF(ROWS(K$20:K1253)&gt;$F$6,"",INDEX(A$2:A$10000,SMALL(IF(ISNUMBER(MATCH($B$2:$B$10000,$E$6:$E$22,0)),ROW($C$2:$C$10000)-ROW($C$2)+1),ROWS(K$20:K1253))))</f>
        <v>41762</v>
      </c>
      <c r="H1253" s="4" t="str">
        <f t="array" ref="H1253">IF(ROWS(L$20:L1253)&gt;$F$6,"",INDEX(B$2:B$10000,SMALL(IF(ISNUMBER(MATCH($B$2:$B$10000,$E$6:$E$22,0)),ROW($C$2:$C$10000)-ROW($C$2)+1),ROWS(L$20:L1253))))</f>
        <v>Kerrie  Worrell</v>
      </c>
      <c r="I1253" s="4">
        <f t="array" ref="I1253">IF(ROWS(M$20:M1253)&gt;$F$6,"",INDEX(C$2:C$10000,SMALL(IF(ISNUMBER(MATCH($B$2:$B$10000,$E$6:$E$22,0)),ROW($C$2:$C$10000)-ROW($C$2)+1),ROWS(M$20:M1253))))</f>
        <v>6</v>
      </c>
      <c r="K1253" s="7">
        <f t="array" ref="K1253">IF(ROWS(K$20:K1253)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1253))))</f>
        <v>41762</v>
      </c>
      <c r="L1253" s="4" t="str">
        <f t="array" ref="L1253">IF(ROWS(L$20:L1253)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1253))))</f>
        <v>Kerrie  Worrell</v>
      </c>
      <c r="M1253" s="4">
        <f t="array" ref="M1253">IF(ROWS(M$20:M1253)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1253))))</f>
        <v>6</v>
      </c>
    </row>
    <row r="1254" spans="1:13" x14ac:dyDescent="0.25">
      <c r="A1254" s="3">
        <v>41348</v>
      </c>
      <c r="B1254" s="2" t="s">
        <v>36</v>
      </c>
      <c r="C1254" s="2">
        <v>21</v>
      </c>
      <c r="G1254" s="7">
        <f t="array" ref="G1254">IF(ROWS(K$20:K1254)&gt;$F$6,"",INDEX(A$2:A$10000,SMALL(IF(ISNUMBER(MATCH($B$2:$B$10000,$E$6:$E$22,0)),ROW($C$2:$C$10000)-ROW($C$2)+1),ROWS(K$20:K1254))))</f>
        <v>41495</v>
      </c>
      <c r="H1254" s="4" t="str">
        <f t="array" ref="H1254">IF(ROWS(L$20:L1254)&gt;$F$6,"",INDEX(B$2:B$10000,SMALL(IF(ISNUMBER(MATCH($B$2:$B$10000,$E$6:$E$22,0)),ROW($C$2:$C$10000)-ROW($C$2)+1),ROWS(L$20:L1254))))</f>
        <v>Galen  Barth</v>
      </c>
      <c r="I1254" s="4">
        <f t="array" ref="I1254">IF(ROWS(M$20:M1254)&gt;$F$6,"",INDEX(C$2:C$10000,SMALL(IF(ISNUMBER(MATCH($B$2:$B$10000,$E$6:$E$22,0)),ROW($C$2:$C$10000)-ROW($C$2)+1),ROWS(M$20:M1254))))</f>
        <v>9</v>
      </c>
      <c r="K1254" s="7">
        <f t="array" ref="K1254">IF(ROWS(K$20:K1254)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1254))))</f>
        <v>41495</v>
      </c>
      <c r="L1254" s="4" t="str">
        <f t="array" ref="L1254">IF(ROWS(L$20:L1254)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1254))))</f>
        <v>Galen  Barth</v>
      </c>
      <c r="M1254" s="4">
        <f t="array" ref="M1254">IF(ROWS(M$20:M1254)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1254))))</f>
        <v>9</v>
      </c>
    </row>
    <row r="1255" spans="1:13" x14ac:dyDescent="0.25">
      <c r="A1255" s="3">
        <v>41984</v>
      </c>
      <c r="B1255" s="2" t="s">
        <v>9</v>
      </c>
      <c r="C1255" s="2">
        <v>18</v>
      </c>
      <c r="G1255" s="7">
        <f t="array" ref="G1255">IF(ROWS(K$20:K1255)&gt;$F$6,"",INDEX(A$2:A$10000,SMALL(IF(ISNUMBER(MATCH($B$2:$B$10000,$E$6:$E$22,0)),ROW($C$2:$C$10000)-ROW($C$2)+1),ROWS(K$20:K1255))))</f>
        <v>41588</v>
      </c>
      <c r="H1255" s="4" t="str">
        <f t="array" ref="H1255">IF(ROWS(L$20:L1255)&gt;$F$6,"",INDEX(B$2:B$10000,SMALL(IF(ISNUMBER(MATCH($B$2:$B$10000,$E$6:$E$22,0)),ROW($C$2:$C$10000)-ROW($C$2)+1),ROWS(L$20:L1255))))</f>
        <v>Iliana  Valerio</v>
      </c>
      <c r="I1255" s="4">
        <f t="array" ref="I1255">IF(ROWS(M$20:M1255)&gt;$F$6,"",INDEX(C$2:C$10000,SMALL(IF(ISNUMBER(MATCH($B$2:$B$10000,$E$6:$E$22,0)),ROW($C$2:$C$10000)-ROW($C$2)+1),ROWS(M$20:M1255))))</f>
        <v>11</v>
      </c>
      <c r="K1255" s="7">
        <f t="array" ref="K1255">IF(ROWS(K$20:K1255)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1255))))</f>
        <v>41588</v>
      </c>
      <c r="L1255" s="4" t="str">
        <f t="array" ref="L1255">IF(ROWS(L$20:L1255)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1255))))</f>
        <v>Iliana  Valerio</v>
      </c>
      <c r="M1255" s="4">
        <f t="array" ref="M1255">IF(ROWS(M$20:M1255)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1255))))</f>
        <v>11</v>
      </c>
    </row>
    <row r="1256" spans="1:13" x14ac:dyDescent="0.25">
      <c r="A1256" s="3">
        <v>41759</v>
      </c>
      <c r="B1256" s="2" t="s">
        <v>28</v>
      </c>
      <c r="C1256" s="2">
        <v>1</v>
      </c>
      <c r="G1256" s="7">
        <f t="array" ref="G1256">IF(ROWS(K$20:K1256)&gt;$F$6,"",INDEX(A$2:A$10000,SMALL(IF(ISNUMBER(MATCH($B$2:$B$10000,$E$6:$E$22,0)),ROW($C$2:$C$10000)-ROW($C$2)+1),ROWS(K$20:K1256))))</f>
        <v>41678</v>
      </c>
      <c r="H1256" s="4" t="str">
        <f t="array" ref="H1256">IF(ROWS(L$20:L1256)&gt;$F$6,"",INDEX(B$2:B$10000,SMALL(IF(ISNUMBER(MATCH($B$2:$B$10000,$E$6:$E$22,0)),ROW($C$2:$C$10000)-ROW($C$2)+1),ROWS(L$20:L1256))))</f>
        <v>Kerrie  Worrell</v>
      </c>
      <c r="I1256" s="4">
        <f t="array" ref="I1256">IF(ROWS(M$20:M1256)&gt;$F$6,"",INDEX(C$2:C$10000,SMALL(IF(ISNUMBER(MATCH($B$2:$B$10000,$E$6:$E$22,0)),ROW($C$2:$C$10000)-ROW($C$2)+1),ROWS(M$20:M1256))))</f>
        <v>27</v>
      </c>
      <c r="K1256" s="7">
        <f t="array" ref="K1256">IF(ROWS(K$20:K1256)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1256))))</f>
        <v>41678</v>
      </c>
      <c r="L1256" s="4" t="str">
        <f t="array" ref="L1256">IF(ROWS(L$20:L1256)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1256))))</f>
        <v>Kerrie  Worrell</v>
      </c>
      <c r="M1256" s="4">
        <f t="array" ref="M1256">IF(ROWS(M$20:M1256)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1256))))</f>
        <v>27</v>
      </c>
    </row>
    <row r="1257" spans="1:13" x14ac:dyDescent="0.25">
      <c r="A1257" s="3">
        <v>41527</v>
      </c>
      <c r="B1257" s="2" t="s">
        <v>9</v>
      </c>
      <c r="C1257" s="2">
        <v>21</v>
      </c>
      <c r="G1257" s="7">
        <f t="array" ref="G1257">IF(ROWS(K$20:K1257)&gt;$F$6,"",INDEX(A$2:A$10000,SMALL(IF(ISNUMBER(MATCH($B$2:$B$10000,$E$6:$E$22,0)),ROW($C$2:$C$10000)-ROW($C$2)+1),ROWS(K$20:K1257))))</f>
        <v>41601</v>
      </c>
      <c r="H1257" s="4" t="str">
        <f t="array" ref="H1257">IF(ROWS(L$20:L1257)&gt;$F$6,"",INDEX(B$2:B$10000,SMALL(IF(ISNUMBER(MATCH($B$2:$B$10000,$E$6:$E$22,0)),ROW($C$2:$C$10000)-ROW($C$2)+1),ROWS(L$20:L1257))))</f>
        <v>Galen  Barth</v>
      </c>
      <c r="I1257" s="4">
        <f t="array" ref="I1257">IF(ROWS(M$20:M1257)&gt;$F$6,"",INDEX(C$2:C$10000,SMALL(IF(ISNUMBER(MATCH($B$2:$B$10000,$E$6:$E$22,0)),ROW($C$2:$C$10000)-ROW($C$2)+1),ROWS(M$20:M1257))))</f>
        <v>14</v>
      </c>
      <c r="K1257" s="7">
        <f t="array" ref="K1257">IF(ROWS(K$20:K1257)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1257))))</f>
        <v>41601</v>
      </c>
      <c r="L1257" s="4" t="str">
        <f t="array" ref="L1257">IF(ROWS(L$20:L1257)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1257))))</f>
        <v>Galen  Barth</v>
      </c>
      <c r="M1257" s="4">
        <f t="array" ref="M1257">IF(ROWS(M$20:M1257)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1257))))</f>
        <v>14</v>
      </c>
    </row>
    <row r="1258" spans="1:13" x14ac:dyDescent="0.25">
      <c r="A1258" s="3">
        <v>41463</v>
      </c>
      <c r="B1258" s="2" t="s">
        <v>33</v>
      </c>
      <c r="C1258" s="2">
        <v>9</v>
      </c>
      <c r="G1258" s="7">
        <f t="array" ref="G1258">IF(ROWS(K$20:K1258)&gt;$F$6,"",INDEX(A$2:A$10000,SMALL(IF(ISNUMBER(MATCH($B$2:$B$10000,$E$6:$E$22,0)),ROW($C$2:$C$10000)-ROW($C$2)+1),ROWS(K$20:K1258))))</f>
        <v>41879</v>
      </c>
      <c r="H1258" s="4" t="str">
        <f t="array" ref="H1258">IF(ROWS(L$20:L1258)&gt;$F$6,"",INDEX(B$2:B$10000,SMALL(IF(ISNUMBER(MATCH($B$2:$B$10000,$E$6:$E$22,0)),ROW($C$2:$C$10000)-ROW($C$2)+1),ROWS(L$20:L1258))))</f>
        <v>Iliana  Valerio</v>
      </c>
      <c r="I1258" s="4">
        <f t="array" ref="I1258">IF(ROWS(M$20:M1258)&gt;$F$6,"",INDEX(C$2:C$10000,SMALL(IF(ISNUMBER(MATCH($B$2:$B$10000,$E$6:$E$22,0)),ROW($C$2:$C$10000)-ROW($C$2)+1),ROWS(M$20:M1258))))</f>
        <v>29</v>
      </c>
      <c r="K1258" s="7">
        <f t="array" ref="K1258">IF(ROWS(K$20:K1258)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1258))))</f>
        <v>41879</v>
      </c>
      <c r="L1258" s="4" t="str">
        <f t="array" ref="L1258">IF(ROWS(L$20:L1258)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1258))))</f>
        <v>Iliana  Valerio</v>
      </c>
      <c r="M1258" s="4">
        <f t="array" ref="M1258">IF(ROWS(M$20:M1258)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1258))))</f>
        <v>29</v>
      </c>
    </row>
    <row r="1259" spans="1:13" x14ac:dyDescent="0.25">
      <c r="A1259" s="3">
        <v>41295</v>
      </c>
      <c r="B1259" s="2" t="s">
        <v>39</v>
      </c>
      <c r="C1259" s="2">
        <v>33</v>
      </c>
      <c r="G1259" s="7">
        <f t="array" ref="G1259">IF(ROWS(K$20:K1259)&gt;$F$6,"",INDEX(A$2:A$10000,SMALL(IF(ISNUMBER(MATCH($B$2:$B$10000,$E$6:$E$22,0)),ROW($C$2:$C$10000)-ROW($C$2)+1),ROWS(K$20:K1259))))</f>
        <v>41759</v>
      </c>
      <c r="H1259" s="4" t="str">
        <f t="array" ref="H1259">IF(ROWS(L$20:L1259)&gt;$F$6,"",INDEX(B$2:B$10000,SMALL(IF(ISNUMBER(MATCH($B$2:$B$10000,$E$6:$E$22,0)),ROW($C$2:$C$10000)-ROW($C$2)+1),ROWS(L$20:L1259))))</f>
        <v>Galen  Barth</v>
      </c>
      <c r="I1259" s="4">
        <f t="array" ref="I1259">IF(ROWS(M$20:M1259)&gt;$F$6,"",INDEX(C$2:C$10000,SMALL(IF(ISNUMBER(MATCH($B$2:$B$10000,$E$6:$E$22,0)),ROW($C$2:$C$10000)-ROW($C$2)+1),ROWS(M$20:M1259))))</f>
        <v>42</v>
      </c>
      <c r="K1259" s="7">
        <f t="array" ref="K1259">IF(ROWS(K$20:K1259)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1259))))</f>
        <v>41759</v>
      </c>
      <c r="L1259" s="4" t="str">
        <f t="array" ref="L1259">IF(ROWS(L$20:L1259)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1259))))</f>
        <v>Galen  Barth</v>
      </c>
      <c r="M1259" s="4">
        <f t="array" ref="M1259">IF(ROWS(M$20:M1259)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1259))))</f>
        <v>42</v>
      </c>
    </row>
    <row r="1260" spans="1:13" x14ac:dyDescent="0.25">
      <c r="A1260" s="3">
        <v>41692</v>
      </c>
      <c r="B1260" s="2" t="s">
        <v>16</v>
      </c>
      <c r="C1260" s="2">
        <v>45</v>
      </c>
      <c r="G1260" s="7">
        <f t="array" ref="G1260">IF(ROWS(K$20:K1260)&gt;$F$6,"",INDEX(A$2:A$10000,SMALL(IF(ISNUMBER(MATCH($B$2:$B$10000,$E$6:$E$22,0)),ROW($C$2:$C$10000)-ROW($C$2)+1),ROWS(K$20:K1260))))</f>
        <v>41306</v>
      </c>
      <c r="H1260" s="4" t="str">
        <f t="array" ref="H1260">IF(ROWS(L$20:L1260)&gt;$F$6,"",INDEX(B$2:B$10000,SMALL(IF(ISNUMBER(MATCH($B$2:$B$10000,$E$6:$E$22,0)),ROW($C$2:$C$10000)-ROW($C$2)+1),ROWS(L$20:L1260))))</f>
        <v>Kerrie  Worrell</v>
      </c>
      <c r="I1260" s="4">
        <f t="array" ref="I1260">IF(ROWS(M$20:M1260)&gt;$F$6,"",INDEX(C$2:C$10000,SMALL(IF(ISNUMBER(MATCH($B$2:$B$10000,$E$6:$E$22,0)),ROW($C$2:$C$10000)-ROW($C$2)+1),ROWS(M$20:M1260))))</f>
        <v>22</v>
      </c>
      <c r="K1260" s="7">
        <f t="array" ref="K1260">IF(ROWS(K$20:K1260)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1260))))</f>
        <v>41306</v>
      </c>
      <c r="L1260" s="4" t="str">
        <f t="array" ref="L1260">IF(ROWS(L$20:L1260)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1260))))</f>
        <v>Kerrie  Worrell</v>
      </c>
      <c r="M1260" s="4">
        <f t="array" ref="M1260">IF(ROWS(M$20:M1260)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1260))))</f>
        <v>22</v>
      </c>
    </row>
    <row r="1261" spans="1:13" x14ac:dyDescent="0.25">
      <c r="A1261" s="3">
        <v>41287</v>
      </c>
      <c r="B1261" s="2" t="s">
        <v>40</v>
      </c>
      <c r="C1261" s="2">
        <v>9</v>
      </c>
      <c r="G1261" s="7">
        <f t="array" ref="G1261">IF(ROWS(K$20:K1261)&gt;$F$6,"",INDEX(A$2:A$10000,SMALL(IF(ISNUMBER(MATCH($B$2:$B$10000,$E$6:$E$22,0)),ROW($C$2:$C$10000)-ROW($C$2)+1),ROWS(K$20:K1261))))</f>
        <v>41908</v>
      </c>
      <c r="H1261" s="4" t="str">
        <f t="array" ref="H1261">IF(ROWS(L$20:L1261)&gt;$F$6,"",INDEX(B$2:B$10000,SMALL(IF(ISNUMBER(MATCH($B$2:$B$10000,$E$6:$E$22,0)),ROW($C$2:$C$10000)-ROW($C$2)+1),ROWS(L$20:L1261))))</f>
        <v>Rosamond  Allard</v>
      </c>
      <c r="I1261" s="4">
        <f t="array" ref="I1261">IF(ROWS(M$20:M1261)&gt;$F$6,"",INDEX(C$2:C$10000,SMALL(IF(ISNUMBER(MATCH($B$2:$B$10000,$E$6:$E$22,0)),ROW($C$2:$C$10000)-ROW($C$2)+1),ROWS(M$20:M1261))))</f>
        <v>30</v>
      </c>
      <c r="K1261" s="7">
        <f t="array" ref="K1261">IF(ROWS(K$20:K1261)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1261))))</f>
        <v>41908</v>
      </c>
      <c r="L1261" s="4" t="str">
        <f t="array" ref="L1261">IF(ROWS(L$20:L1261)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1261))))</f>
        <v>Rosamond  Allard</v>
      </c>
      <c r="M1261" s="4">
        <f t="array" ref="M1261">IF(ROWS(M$20:M1261)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1261))))</f>
        <v>30</v>
      </c>
    </row>
    <row r="1262" spans="1:13" x14ac:dyDescent="0.25">
      <c r="A1262" s="3">
        <v>41581</v>
      </c>
      <c r="B1262" s="2" t="s">
        <v>47</v>
      </c>
      <c r="C1262" s="2">
        <v>29</v>
      </c>
      <c r="G1262" s="7">
        <f t="array" ref="G1262">IF(ROWS(K$20:K1262)&gt;$F$6,"",INDEX(A$2:A$10000,SMALL(IF(ISNUMBER(MATCH($B$2:$B$10000,$E$6:$E$22,0)),ROW($C$2:$C$10000)-ROW($C$2)+1),ROWS(K$20:K1262))))</f>
        <v>41858</v>
      </c>
      <c r="H1262" s="4" t="str">
        <f t="array" ref="H1262">IF(ROWS(L$20:L1262)&gt;$F$6,"",INDEX(B$2:B$10000,SMALL(IF(ISNUMBER(MATCH($B$2:$B$10000,$E$6:$E$22,0)),ROW($C$2:$C$10000)-ROW($C$2)+1),ROWS(L$20:L1262))))</f>
        <v>Galen  Barth</v>
      </c>
      <c r="I1262" s="4">
        <f t="array" ref="I1262">IF(ROWS(M$20:M1262)&gt;$F$6,"",INDEX(C$2:C$10000,SMALL(IF(ISNUMBER(MATCH($B$2:$B$10000,$E$6:$E$22,0)),ROW($C$2:$C$10000)-ROW($C$2)+1),ROWS(M$20:M1262))))</f>
        <v>34</v>
      </c>
      <c r="K1262" s="7">
        <f t="array" ref="K1262">IF(ROWS(K$20:K1262)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1262))))</f>
        <v>41858</v>
      </c>
      <c r="L1262" s="4" t="str">
        <f t="array" ref="L1262">IF(ROWS(L$20:L1262)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1262))))</f>
        <v>Galen  Barth</v>
      </c>
      <c r="M1262" s="4">
        <f t="array" ref="M1262">IF(ROWS(M$20:M1262)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1262))))</f>
        <v>34</v>
      </c>
    </row>
    <row r="1263" spans="1:13" x14ac:dyDescent="0.25">
      <c r="A1263" s="3">
        <v>41711</v>
      </c>
      <c r="B1263" s="2" t="s">
        <v>8</v>
      </c>
      <c r="C1263" s="2">
        <v>13</v>
      </c>
      <c r="G1263" s="7">
        <f t="array" ref="G1263">IF(ROWS(K$20:K1263)&gt;$F$6,"",INDEX(A$2:A$10000,SMALL(IF(ISNUMBER(MATCH($B$2:$B$10000,$E$6:$E$22,0)),ROW($C$2:$C$10000)-ROW($C$2)+1),ROWS(K$20:K1263))))</f>
        <v>41281</v>
      </c>
      <c r="H1263" s="4" t="str">
        <f t="array" ref="H1263">IF(ROWS(L$20:L1263)&gt;$F$6,"",INDEX(B$2:B$10000,SMALL(IF(ISNUMBER(MATCH($B$2:$B$10000,$E$6:$E$22,0)),ROW($C$2:$C$10000)-ROW($C$2)+1),ROWS(L$20:L1263))))</f>
        <v>Jenni  Thorton</v>
      </c>
      <c r="I1263" s="4">
        <f t="array" ref="I1263">IF(ROWS(M$20:M1263)&gt;$F$6,"",INDEX(C$2:C$10000,SMALL(IF(ISNUMBER(MATCH($B$2:$B$10000,$E$6:$E$22,0)),ROW($C$2:$C$10000)-ROW($C$2)+1),ROWS(M$20:M1263))))</f>
        <v>50</v>
      </c>
      <c r="K1263" s="7">
        <f t="array" ref="K1263">IF(ROWS(K$20:K1263)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1263))))</f>
        <v>41281</v>
      </c>
      <c r="L1263" s="4" t="str">
        <f t="array" ref="L1263">IF(ROWS(L$20:L1263)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1263))))</f>
        <v>Jenni  Thorton</v>
      </c>
      <c r="M1263" s="4">
        <f t="array" ref="M1263">IF(ROWS(M$20:M1263)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1263))))</f>
        <v>50</v>
      </c>
    </row>
    <row r="1264" spans="1:13" x14ac:dyDescent="0.25">
      <c r="A1264" s="3">
        <v>41526</v>
      </c>
      <c r="B1264" s="2" t="s">
        <v>32</v>
      </c>
      <c r="C1264" s="2">
        <v>33</v>
      </c>
      <c r="G1264" s="7">
        <f t="array" ref="G1264">IF(ROWS(K$20:K1264)&gt;$F$6,"",INDEX(A$2:A$10000,SMALL(IF(ISNUMBER(MATCH($B$2:$B$10000,$E$6:$E$22,0)),ROW($C$2:$C$10000)-ROW($C$2)+1),ROWS(K$20:K1264))))</f>
        <v>41876</v>
      </c>
      <c r="H1264" s="4" t="str">
        <f t="array" ref="H1264">IF(ROWS(L$20:L1264)&gt;$F$6,"",INDEX(B$2:B$10000,SMALL(IF(ISNUMBER(MATCH($B$2:$B$10000,$E$6:$E$22,0)),ROW($C$2:$C$10000)-ROW($C$2)+1),ROWS(L$20:L1264))))</f>
        <v>Rosamond  Allard</v>
      </c>
      <c r="I1264" s="4">
        <f t="array" ref="I1264">IF(ROWS(M$20:M1264)&gt;$F$6,"",INDEX(C$2:C$10000,SMALL(IF(ISNUMBER(MATCH($B$2:$B$10000,$E$6:$E$22,0)),ROW($C$2:$C$10000)-ROW($C$2)+1),ROWS(M$20:M1264))))</f>
        <v>28</v>
      </c>
      <c r="K1264" s="7">
        <f t="array" ref="K1264">IF(ROWS(K$20:K1264)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1264))))</f>
        <v>41876</v>
      </c>
      <c r="L1264" s="4" t="str">
        <f t="array" ref="L1264">IF(ROWS(L$20:L1264)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1264))))</f>
        <v>Rosamond  Allard</v>
      </c>
      <c r="M1264" s="4">
        <f t="array" ref="M1264">IF(ROWS(M$20:M1264)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1264))))</f>
        <v>28</v>
      </c>
    </row>
    <row r="1265" spans="1:13" x14ac:dyDescent="0.25">
      <c r="A1265" s="3">
        <v>41404</v>
      </c>
      <c r="B1265" s="2" t="s">
        <v>29</v>
      </c>
      <c r="C1265" s="2">
        <v>48</v>
      </c>
      <c r="G1265" s="7" t="str">
        <f t="array" ref="G1265">IF(ROWS(K$20:K1265)&gt;$F$6,"",INDEX(A$2:A$10000,SMALL(IF(ISNUMBER(MATCH($B$2:$B$10000,$E$6:$E$22,0)),ROW($C$2:$C$10000)-ROW($C$2)+1),ROWS(K$20:K1265))))</f>
        <v/>
      </c>
      <c r="H1265" s="4" t="str">
        <f t="array" ref="H1265">IF(ROWS(L$20:L1265)&gt;$F$6,"",INDEX(B$2:B$10000,SMALL(IF(ISNUMBER(MATCH($B$2:$B$10000,$E$6:$E$22,0)),ROW($C$2:$C$10000)-ROW($C$2)+1),ROWS(L$20:L1265))))</f>
        <v/>
      </c>
      <c r="I1265" s="4" t="str">
        <f t="array" ref="I1265">IF(ROWS(M$20:M1265)&gt;$F$6,"",INDEX(C$2:C$10000,SMALL(IF(ISNUMBER(MATCH($B$2:$B$10000,$E$6:$E$22,0)),ROW($C$2:$C$10000)-ROW($C$2)+1),ROWS(M$20:M1265))))</f>
        <v/>
      </c>
      <c r="K1265" s="7" t="str">
        <f t="array" ref="K1265">IF(ROWS(K$20:K1265)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1265))))</f>
        <v/>
      </c>
      <c r="L1265" s="4" t="str">
        <f t="array" ref="L1265">IF(ROWS(L$20:L1265)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1265))))</f>
        <v/>
      </c>
      <c r="M1265" s="4" t="str">
        <f t="array" ref="M1265">IF(ROWS(M$20:M1265)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1265))))</f>
        <v/>
      </c>
    </row>
    <row r="1266" spans="1:13" x14ac:dyDescent="0.25">
      <c r="A1266" s="3">
        <v>41587</v>
      </c>
      <c r="B1266" s="2" t="s">
        <v>2</v>
      </c>
      <c r="C1266" s="2">
        <v>33</v>
      </c>
      <c r="G1266" s="7" t="str">
        <f t="array" ref="G1266">IF(ROWS(K$20:K1266)&gt;$F$6,"",INDEX(A$2:A$10000,SMALL(IF(ISNUMBER(MATCH($B$2:$B$10000,$E$6:$E$22,0)),ROW($C$2:$C$10000)-ROW($C$2)+1),ROWS(K$20:K1266))))</f>
        <v/>
      </c>
      <c r="H1266" s="4" t="str">
        <f t="array" ref="H1266">IF(ROWS(L$20:L1266)&gt;$F$6,"",INDEX(B$2:B$10000,SMALL(IF(ISNUMBER(MATCH($B$2:$B$10000,$E$6:$E$22,0)),ROW($C$2:$C$10000)-ROW($C$2)+1),ROWS(L$20:L1266))))</f>
        <v/>
      </c>
      <c r="I1266" s="4" t="str">
        <f t="array" ref="I1266">IF(ROWS(M$20:M1266)&gt;$F$6,"",INDEX(C$2:C$10000,SMALL(IF(ISNUMBER(MATCH($B$2:$B$10000,$E$6:$E$22,0)),ROW($C$2:$C$10000)-ROW($C$2)+1),ROWS(M$20:M1266))))</f>
        <v/>
      </c>
      <c r="K1266" s="7" t="str">
        <f t="array" ref="K1266">IF(ROWS(K$20:K1266)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1266))))</f>
        <v/>
      </c>
      <c r="L1266" s="4" t="str">
        <f t="array" ref="L1266">IF(ROWS(L$20:L1266)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1266))))</f>
        <v/>
      </c>
      <c r="M1266" s="4" t="str">
        <f t="array" ref="M1266">IF(ROWS(M$20:M1266)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1266))))</f>
        <v/>
      </c>
    </row>
    <row r="1267" spans="1:13" x14ac:dyDescent="0.25">
      <c r="A1267" s="3">
        <v>41644</v>
      </c>
      <c r="B1267" s="2" t="s">
        <v>10</v>
      </c>
      <c r="C1267" s="2">
        <v>37</v>
      </c>
      <c r="G1267" s="7" t="str">
        <f t="array" ref="G1267">IF(ROWS(K$20:K1267)&gt;$F$6,"",INDEX(A$2:A$10000,SMALL(IF(ISNUMBER(MATCH($B$2:$B$10000,$E$6:$E$22,0)),ROW($C$2:$C$10000)-ROW($C$2)+1),ROWS(K$20:K1267))))</f>
        <v/>
      </c>
      <c r="H1267" s="4" t="str">
        <f t="array" ref="H1267">IF(ROWS(L$20:L1267)&gt;$F$6,"",INDEX(B$2:B$10000,SMALL(IF(ISNUMBER(MATCH($B$2:$B$10000,$E$6:$E$22,0)),ROW($C$2:$C$10000)-ROW($C$2)+1),ROWS(L$20:L1267))))</f>
        <v/>
      </c>
      <c r="I1267" s="4" t="str">
        <f t="array" ref="I1267">IF(ROWS(M$20:M1267)&gt;$F$6,"",INDEX(C$2:C$10000,SMALL(IF(ISNUMBER(MATCH($B$2:$B$10000,$E$6:$E$22,0)),ROW($C$2:$C$10000)-ROW($C$2)+1),ROWS(M$20:M1267))))</f>
        <v/>
      </c>
      <c r="K1267" s="7" t="str">
        <f t="array" ref="K1267">IF(ROWS(K$20:K1267)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1267))))</f>
        <v/>
      </c>
      <c r="L1267" s="4" t="str">
        <f t="array" ref="L1267">IF(ROWS(L$20:L1267)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1267))))</f>
        <v/>
      </c>
      <c r="M1267" s="4" t="str">
        <f t="array" ref="M1267">IF(ROWS(M$20:M1267)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1267))))</f>
        <v/>
      </c>
    </row>
    <row r="1268" spans="1:13" x14ac:dyDescent="0.25">
      <c r="A1268" s="3">
        <v>41287</v>
      </c>
      <c r="B1268" s="2" t="s">
        <v>9</v>
      </c>
      <c r="C1268" s="2">
        <v>14</v>
      </c>
      <c r="G1268" s="7" t="str">
        <f t="array" ref="G1268">IF(ROWS(K$20:K1268)&gt;$F$6,"",INDEX(A$2:A$10000,SMALL(IF(ISNUMBER(MATCH($B$2:$B$10000,$E$6:$E$22,0)),ROW($C$2:$C$10000)-ROW($C$2)+1),ROWS(K$20:K1268))))</f>
        <v/>
      </c>
      <c r="H1268" s="4" t="str">
        <f t="array" ref="H1268">IF(ROWS(L$20:L1268)&gt;$F$6,"",INDEX(B$2:B$10000,SMALL(IF(ISNUMBER(MATCH($B$2:$B$10000,$E$6:$E$22,0)),ROW($C$2:$C$10000)-ROW($C$2)+1),ROWS(L$20:L1268))))</f>
        <v/>
      </c>
      <c r="I1268" s="4" t="str">
        <f t="array" ref="I1268">IF(ROWS(M$20:M1268)&gt;$F$6,"",INDEX(C$2:C$10000,SMALL(IF(ISNUMBER(MATCH($B$2:$B$10000,$E$6:$E$22,0)),ROW($C$2:$C$10000)-ROW($C$2)+1),ROWS(M$20:M1268))))</f>
        <v/>
      </c>
      <c r="K1268" s="7" t="str">
        <f t="array" ref="K1268">IF(ROWS(K$20:K1268)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1268))))</f>
        <v/>
      </c>
      <c r="L1268" s="4" t="str">
        <f t="array" ref="L1268">IF(ROWS(L$20:L1268)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1268))))</f>
        <v/>
      </c>
      <c r="M1268" s="4" t="str">
        <f t="array" ref="M1268">IF(ROWS(M$20:M1268)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1268))))</f>
        <v/>
      </c>
    </row>
    <row r="1269" spans="1:13" x14ac:dyDescent="0.25">
      <c r="A1269" s="3">
        <v>41747</v>
      </c>
      <c r="B1269" s="2" t="s">
        <v>47</v>
      </c>
      <c r="C1269" s="2">
        <v>0</v>
      </c>
      <c r="G1269" s="7" t="str">
        <f t="array" ref="G1269">IF(ROWS(K$20:K1269)&gt;$F$6,"",INDEX(A$2:A$10000,SMALL(IF(ISNUMBER(MATCH($B$2:$B$10000,$E$6:$E$22,0)),ROW($C$2:$C$10000)-ROW($C$2)+1),ROWS(K$20:K1269))))</f>
        <v/>
      </c>
      <c r="H1269" s="4" t="str">
        <f t="array" ref="H1269">IF(ROWS(L$20:L1269)&gt;$F$6,"",INDEX(B$2:B$10000,SMALL(IF(ISNUMBER(MATCH($B$2:$B$10000,$E$6:$E$22,0)),ROW($C$2:$C$10000)-ROW($C$2)+1),ROWS(L$20:L1269))))</f>
        <v/>
      </c>
      <c r="I1269" s="4" t="str">
        <f t="array" ref="I1269">IF(ROWS(M$20:M1269)&gt;$F$6,"",INDEX(C$2:C$10000,SMALL(IF(ISNUMBER(MATCH($B$2:$B$10000,$E$6:$E$22,0)),ROW($C$2:$C$10000)-ROW($C$2)+1),ROWS(M$20:M1269))))</f>
        <v/>
      </c>
      <c r="K1269" s="7" t="str">
        <f t="array" ref="K1269">IF(ROWS(K$20:K1269)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1269))))</f>
        <v/>
      </c>
      <c r="L1269" s="4" t="str">
        <f t="array" ref="L1269">IF(ROWS(L$20:L1269)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1269))))</f>
        <v/>
      </c>
      <c r="M1269" s="4" t="str">
        <f t="array" ref="M1269">IF(ROWS(M$20:M1269)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1269))))</f>
        <v/>
      </c>
    </row>
    <row r="1270" spans="1:13" x14ac:dyDescent="0.25">
      <c r="A1270" s="3">
        <v>41433</v>
      </c>
      <c r="B1270" s="2" t="s">
        <v>44</v>
      </c>
      <c r="C1270" s="2">
        <v>27</v>
      </c>
      <c r="G1270" s="7" t="str">
        <f t="array" ref="G1270">IF(ROWS(K$20:K1270)&gt;$F$6,"",INDEX(A$2:A$10000,SMALL(IF(ISNUMBER(MATCH($B$2:$B$10000,$E$6:$E$22,0)),ROW($C$2:$C$10000)-ROW($C$2)+1),ROWS(K$20:K1270))))</f>
        <v/>
      </c>
      <c r="H1270" s="4" t="str">
        <f t="array" ref="H1270">IF(ROWS(L$20:L1270)&gt;$F$6,"",INDEX(B$2:B$10000,SMALL(IF(ISNUMBER(MATCH($B$2:$B$10000,$E$6:$E$22,0)),ROW($C$2:$C$10000)-ROW($C$2)+1),ROWS(L$20:L1270))))</f>
        <v/>
      </c>
      <c r="I1270" s="4" t="str">
        <f t="array" ref="I1270">IF(ROWS(M$20:M1270)&gt;$F$6,"",INDEX(C$2:C$10000,SMALL(IF(ISNUMBER(MATCH($B$2:$B$10000,$E$6:$E$22,0)),ROW($C$2:$C$10000)-ROW($C$2)+1),ROWS(M$20:M1270))))</f>
        <v/>
      </c>
      <c r="K1270" s="7" t="str">
        <f t="array" ref="K1270">IF(ROWS(K$20:K1270)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1270))))</f>
        <v/>
      </c>
      <c r="L1270" s="4" t="str">
        <f t="array" ref="L1270">IF(ROWS(L$20:L1270)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1270))))</f>
        <v/>
      </c>
      <c r="M1270" s="4" t="str">
        <f t="array" ref="M1270">IF(ROWS(M$20:M1270)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1270))))</f>
        <v/>
      </c>
    </row>
    <row r="1271" spans="1:13" x14ac:dyDescent="0.25">
      <c r="A1271" s="3">
        <v>41540</v>
      </c>
      <c r="B1271" s="2" t="s">
        <v>30</v>
      </c>
      <c r="C1271" s="2">
        <v>13</v>
      </c>
      <c r="G1271" s="7" t="str">
        <f t="array" ref="G1271">IF(ROWS(K$20:K1271)&gt;$F$6,"",INDEX(A$2:A$10000,SMALL(IF(ISNUMBER(MATCH($B$2:$B$10000,$E$6:$E$22,0)),ROW($C$2:$C$10000)-ROW($C$2)+1),ROWS(K$20:K1271))))</f>
        <v/>
      </c>
      <c r="H1271" s="4" t="str">
        <f t="array" ref="H1271">IF(ROWS(L$20:L1271)&gt;$F$6,"",INDEX(B$2:B$10000,SMALL(IF(ISNUMBER(MATCH($B$2:$B$10000,$E$6:$E$22,0)),ROW($C$2:$C$10000)-ROW($C$2)+1),ROWS(L$20:L1271))))</f>
        <v/>
      </c>
      <c r="I1271" s="4" t="str">
        <f t="array" ref="I1271">IF(ROWS(M$20:M1271)&gt;$F$6,"",INDEX(C$2:C$10000,SMALL(IF(ISNUMBER(MATCH($B$2:$B$10000,$E$6:$E$22,0)),ROW($C$2:$C$10000)-ROW($C$2)+1),ROWS(M$20:M1271))))</f>
        <v/>
      </c>
      <c r="K1271" s="7" t="str">
        <f t="array" ref="K1271">IF(ROWS(K$20:K1271)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1271))))</f>
        <v/>
      </c>
      <c r="L1271" s="4" t="str">
        <f t="array" ref="L1271">IF(ROWS(L$20:L1271)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1271))))</f>
        <v/>
      </c>
      <c r="M1271" s="4" t="str">
        <f t="array" ref="M1271">IF(ROWS(M$20:M1271)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1271))))</f>
        <v/>
      </c>
    </row>
    <row r="1272" spans="1:13" x14ac:dyDescent="0.25">
      <c r="A1272" s="3">
        <v>41350</v>
      </c>
      <c r="B1272" s="2" t="s">
        <v>3</v>
      </c>
      <c r="C1272" s="2">
        <v>34</v>
      </c>
      <c r="G1272" s="7" t="str">
        <f t="array" ref="G1272">IF(ROWS(K$20:K1272)&gt;$F$6,"",INDEX(A$2:A$10000,SMALL(IF(ISNUMBER(MATCH($B$2:$B$10000,$E$6:$E$22,0)),ROW($C$2:$C$10000)-ROW($C$2)+1),ROWS(K$20:K1272))))</f>
        <v/>
      </c>
      <c r="H1272" s="4" t="str">
        <f t="array" ref="H1272">IF(ROWS(L$20:L1272)&gt;$F$6,"",INDEX(B$2:B$10000,SMALL(IF(ISNUMBER(MATCH($B$2:$B$10000,$E$6:$E$22,0)),ROW($C$2:$C$10000)-ROW($C$2)+1),ROWS(L$20:L1272))))</f>
        <v/>
      </c>
      <c r="I1272" s="4" t="str">
        <f t="array" ref="I1272">IF(ROWS(M$20:M1272)&gt;$F$6,"",INDEX(C$2:C$10000,SMALL(IF(ISNUMBER(MATCH($B$2:$B$10000,$E$6:$E$22,0)),ROW($C$2:$C$10000)-ROW($C$2)+1),ROWS(M$20:M1272))))</f>
        <v/>
      </c>
      <c r="K1272" s="7" t="str">
        <f t="array" ref="K1272">IF(ROWS(K$20:K1272)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1272))))</f>
        <v/>
      </c>
      <c r="L1272" s="4" t="str">
        <f t="array" ref="L1272">IF(ROWS(L$20:L1272)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1272))))</f>
        <v/>
      </c>
      <c r="M1272" s="4" t="str">
        <f t="array" ref="M1272">IF(ROWS(M$20:M1272)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1272))))</f>
        <v/>
      </c>
    </row>
    <row r="1273" spans="1:13" x14ac:dyDescent="0.25">
      <c r="A1273" s="3">
        <v>42003</v>
      </c>
      <c r="B1273" s="2" t="s">
        <v>6</v>
      </c>
      <c r="C1273" s="2">
        <v>1</v>
      </c>
      <c r="G1273" s="7" t="str">
        <f t="array" ref="G1273">IF(ROWS(K$20:K1273)&gt;$F$6,"",INDEX(A$2:A$10000,SMALL(IF(ISNUMBER(MATCH($B$2:$B$10000,$E$6:$E$22,0)),ROW($C$2:$C$10000)-ROW($C$2)+1),ROWS(K$20:K1273))))</f>
        <v/>
      </c>
      <c r="H1273" s="4" t="str">
        <f t="array" ref="H1273">IF(ROWS(L$20:L1273)&gt;$F$6,"",INDEX(B$2:B$10000,SMALL(IF(ISNUMBER(MATCH($B$2:$B$10000,$E$6:$E$22,0)),ROW($C$2:$C$10000)-ROW($C$2)+1),ROWS(L$20:L1273))))</f>
        <v/>
      </c>
      <c r="I1273" s="4" t="str">
        <f t="array" ref="I1273">IF(ROWS(M$20:M1273)&gt;$F$6,"",INDEX(C$2:C$10000,SMALL(IF(ISNUMBER(MATCH($B$2:$B$10000,$E$6:$E$22,0)),ROW($C$2:$C$10000)-ROW($C$2)+1),ROWS(M$20:M1273))))</f>
        <v/>
      </c>
      <c r="K1273" s="7" t="str">
        <f t="array" ref="K1273">IF(ROWS(K$20:K1273)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1273))))</f>
        <v/>
      </c>
      <c r="L1273" s="4" t="str">
        <f t="array" ref="L1273">IF(ROWS(L$20:L1273)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1273))))</f>
        <v/>
      </c>
      <c r="M1273" s="4" t="str">
        <f t="array" ref="M1273">IF(ROWS(M$20:M1273)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1273))))</f>
        <v/>
      </c>
    </row>
    <row r="1274" spans="1:13" x14ac:dyDescent="0.25">
      <c r="A1274" s="3">
        <v>41681</v>
      </c>
      <c r="B1274" s="2" t="s">
        <v>41</v>
      </c>
      <c r="C1274" s="2">
        <v>38</v>
      </c>
      <c r="G1274" s="7" t="str">
        <f t="array" ref="G1274">IF(ROWS(K$20:K1274)&gt;$F$6,"",INDEX(A$2:A$10000,SMALL(IF(ISNUMBER(MATCH($B$2:$B$10000,$E$6:$E$22,0)),ROW($C$2:$C$10000)-ROW($C$2)+1),ROWS(K$20:K1274))))</f>
        <v/>
      </c>
      <c r="H1274" s="4" t="str">
        <f t="array" ref="H1274">IF(ROWS(L$20:L1274)&gt;$F$6,"",INDEX(B$2:B$10000,SMALL(IF(ISNUMBER(MATCH($B$2:$B$10000,$E$6:$E$22,0)),ROW($C$2:$C$10000)-ROW($C$2)+1),ROWS(L$20:L1274))))</f>
        <v/>
      </c>
      <c r="I1274" s="4" t="str">
        <f t="array" ref="I1274">IF(ROWS(M$20:M1274)&gt;$F$6,"",INDEX(C$2:C$10000,SMALL(IF(ISNUMBER(MATCH($B$2:$B$10000,$E$6:$E$22,0)),ROW($C$2:$C$10000)-ROW($C$2)+1),ROWS(M$20:M1274))))</f>
        <v/>
      </c>
      <c r="K1274" s="7" t="str">
        <f t="array" ref="K1274">IF(ROWS(K$20:K1274)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1274))))</f>
        <v/>
      </c>
      <c r="L1274" s="4" t="str">
        <f t="array" ref="L1274">IF(ROWS(L$20:L1274)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1274))))</f>
        <v/>
      </c>
      <c r="M1274" s="4" t="str">
        <f t="array" ref="M1274">IF(ROWS(M$20:M1274)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1274))))</f>
        <v/>
      </c>
    </row>
    <row r="1275" spans="1:13" x14ac:dyDescent="0.25">
      <c r="A1275" s="3">
        <v>41998</v>
      </c>
      <c r="B1275" s="2" t="s">
        <v>4</v>
      </c>
      <c r="C1275" s="2">
        <v>34</v>
      </c>
      <c r="G1275" s="7" t="str">
        <f t="array" ref="G1275">IF(ROWS(K$20:K1275)&gt;$F$6,"",INDEX(A$2:A$10000,SMALL(IF(ISNUMBER(MATCH($B$2:$B$10000,$E$6:$E$22,0)),ROW($C$2:$C$10000)-ROW($C$2)+1),ROWS(K$20:K1275))))</f>
        <v/>
      </c>
      <c r="H1275" s="4" t="str">
        <f t="array" ref="H1275">IF(ROWS(L$20:L1275)&gt;$F$6,"",INDEX(B$2:B$10000,SMALL(IF(ISNUMBER(MATCH($B$2:$B$10000,$E$6:$E$22,0)),ROW($C$2:$C$10000)-ROW($C$2)+1),ROWS(L$20:L1275))))</f>
        <v/>
      </c>
      <c r="I1275" s="4" t="str">
        <f t="array" ref="I1275">IF(ROWS(M$20:M1275)&gt;$F$6,"",INDEX(C$2:C$10000,SMALL(IF(ISNUMBER(MATCH($B$2:$B$10000,$E$6:$E$22,0)),ROW($C$2:$C$10000)-ROW($C$2)+1),ROWS(M$20:M1275))))</f>
        <v/>
      </c>
      <c r="K1275" s="7" t="str">
        <f t="array" ref="K1275">IF(ROWS(K$20:K1275)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1275))))</f>
        <v/>
      </c>
      <c r="L1275" s="4" t="str">
        <f t="array" ref="L1275">IF(ROWS(L$20:L1275)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1275))))</f>
        <v/>
      </c>
      <c r="M1275" s="4" t="str">
        <f t="array" ref="M1275">IF(ROWS(M$20:M1275)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1275))))</f>
        <v/>
      </c>
    </row>
    <row r="1276" spans="1:13" x14ac:dyDescent="0.25">
      <c r="A1276" s="3">
        <v>41562</v>
      </c>
      <c r="B1276" s="2" t="s">
        <v>20</v>
      </c>
      <c r="C1276" s="2">
        <v>31</v>
      </c>
      <c r="G1276" s="7" t="str">
        <f t="array" ref="G1276">IF(ROWS(K$20:K1276)&gt;$F$6,"",INDEX(A$2:A$10000,SMALL(IF(ISNUMBER(MATCH($B$2:$B$10000,$E$6:$E$22,0)),ROW($C$2:$C$10000)-ROW($C$2)+1),ROWS(K$20:K1276))))</f>
        <v/>
      </c>
      <c r="H1276" s="4" t="str">
        <f t="array" ref="H1276">IF(ROWS(L$20:L1276)&gt;$F$6,"",INDEX(B$2:B$10000,SMALL(IF(ISNUMBER(MATCH($B$2:$B$10000,$E$6:$E$22,0)),ROW($C$2:$C$10000)-ROW($C$2)+1),ROWS(L$20:L1276))))</f>
        <v/>
      </c>
      <c r="I1276" s="4" t="str">
        <f t="array" ref="I1276">IF(ROWS(M$20:M1276)&gt;$F$6,"",INDEX(C$2:C$10000,SMALL(IF(ISNUMBER(MATCH($B$2:$B$10000,$E$6:$E$22,0)),ROW($C$2:$C$10000)-ROW($C$2)+1),ROWS(M$20:M1276))))</f>
        <v/>
      </c>
      <c r="K1276" s="7" t="str">
        <f t="array" ref="K1276">IF(ROWS(K$20:K1276)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1276))))</f>
        <v/>
      </c>
      <c r="L1276" s="4" t="str">
        <f t="array" ref="L1276">IF(ROWS(L$20:L1276)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1276))))</f>
        <v/>
      </c>
      <c r="M1276" s="4" t="str">
        <f t="array" ref="M1276">IF(ROWS(M$20:M1276)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1276))))</f>
        <v/>
      </c>
    </row>
    <row r="1277" spans="1:13" x14ac:dyDescent="0.25">
      <c r="A1277" s="3">
        <v>41918</v>
      </c>
      <c r="B1277" s="2" t="s">
        <v>10</v>
      </c>
      <c r="C1277" s="2">
        <v>22</v>
      </c>
      <c r="G1277" s="7" t="str">
        <f t="array" ref="G1277">IF(ROWS(K$20:K1277)&gt;$F$6,"",INDEX(A$2:A$10000,SMALL(IF(ISNUMBER(MATCH($B$2:$B$10000,$E$6:$E$22,0)),ROW($C$2:$C$10000)-ROW($C$2)+1),ROWS(K$20:K1277))))</f>
        <v/>
      </c>
      <c r="H1277" s="4" t="str">
        <f t="array" ref="H1277">IF(ROWS(L$20:L1277)&gt;$F$6,"",INDEX(B$2:B$10000,SMALL(IF(ISNUMBER(MATCH($B$2:$B$10000,$E$6:$E$22,0)),ROW($C$2:$C$10000)-ROW($C$2)+1),ROWS(L$20:L1277))))</f>
        <v/>
      </c>
      <c r="I1277" s="4" t="str">
        <f t="array" ref="I1277">IF(ROWS(M$20:M1277)&gt;$F$6,"",INDEX(C$2:C$10000,SMALL(IF(ISNUMBER(MATCH($B$2:$B$10000,$E$6:$E$22,0)),ROW($C$2:$C$10000)-ROW($C$2)+1),ROWS(M$20:M1277))))</f>
        <v/>
      </c>
      <c r="K1277" s="7" t="str">
        <f t="array" ref="K1277">IF(ROWS(K$20:K1277)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1277))))</f>
        <v/>
      </c>
      <c r="L1277" s="4" t="str">
        <f t="array" ref="L1277">IF(ROWS(L$20:L1277)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1277))))</f>
        <v/>
      </c>
      <c r="M1277" s="4" t="str">
        <f t="array" ref="M1277">IF(ROWS(M$20:M1277)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1277))))</f>
        <v/>
      </c>
    </row>
    <row r="1278" spans="1:13" x14ac:dyDescent="0.25">
      <c r="A1278" s="3">
        <v>41970</v>
      </c>
      <c r="B1278" s="2" t="s">
        <v>24</v>
      </c>
      <c r="C1278" s="2">
        <v>23</v>
      </c>
      <c r="G1278" s="7" t="str">
        <f t="array" ref="G1278">IF(ROWS(K$20:K1278)&gt;$F$6,"",INDEX(A$2:A$10000,SMALL(IF(ISNUMBER(MATCH($B$2:$B$10000,$E$6:$E$22,0)),ROW($C$2:$C$10000)-ROW($C$2)+1),ROWS(K$20:K1278))))</f>
        <v/>
      </c>
      <c r="H1278" s="4" t="str">
        <f t="array" ref="H1278">IF(ROWS(L$20:L1278)&gt;$F$6,"",INDEX(B$2:B$10000,SMALL(IF(ISNUMBER(MATCH($B$2:$B$10000,$E$6:$E$22,0)),ROW($C$2:$C$10000)-ROW($C$2)+1),ROWS(L$20:L1278))))</f>
        <v/>
      </c>
      <c r="I1278" s="4" t="str">
        <f t="array" ref="I1278">IF(ROWS(M$20:M1278)&gt;$F$6,"",INDEX(C$2:C$10000,SMALL(IF(ISNUMBER(MATCH($B$2:$B$10000,$E$6:$E$22,0)),ROW($C$2:$C$10000)-ROW($C$2)+1),ROWS(M$20:M1278))))</f>
        <v/>
      </c>
      <c r="K1278" s="7" t="str">
        <f t="array" ref="K1278">IF(ROWS(K$20:K1278)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1278))))</f>
        <v/>
      </c>
      <c r="L1278" s="4" t="str">
        <f t="array" ref="L1278">IF(ROWS(L$20:L1278)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1278))))</f>
        <v/>
      </c>
      <c r="M1278" s="4" t="str">
        <f t="array" ref="M1278">IF(ROWS(M$20:M1278)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1278))))</f>
        <v/>
      </c>
    </row>
    <row r="1279" spans="1:13" x14ac:dyDescent="0.25">
      <c r="A1279" s="3">
        <v>41453</v>
      </c>
      <c r="B1279" s="2" t="s">
        <v>21</v>
      </c>
      <c r="C1279" s="2">
        <v>49</v>
      </c>
      <c r="G1279" s="7" t="str">
        <f t="array" ref="G1279">IF(ROWS(K$20:K1279)&gt;$F$6,"",INDEX(A$2:A$10000,SMALL(IF(ISNUMBER(MATCH($B$2:$B$10000,$E$6:$E$22,0)),ROW($C$2:$C$10000)-ROW($C$2)+1),ROWS(K$20:K1279))))</f>
        <v/>
      </c>
      <c r="H1279" s="4" t="str">
        <f t="array" ref="H1279">IF(ROWS(L$20:L1279)&gt;$F$6,"",INDEX(B$2:B$10000,SMALL(IF(ISNUMBER(MATCH($B$2:$B$10000,$E$6:$E$22,0)),ROW($C$2:$C$10000)-ROW($C$2)+1),ROWS(L$20:L1279))))</f>
        <v/>
      </c>
      <c r="I1279" s="4" t="str">
        <f t="array" ref="I1279">IF(ROWS(M$20:M1279)&gt;$F$6,"",INDEX(C$2:C$10000,SMALL(IF(ISNUMBER(MATCH($B$2:$B$10000,$E$6:$E$22,0)),ROW($C$2:$C$10000)-ROW($C$2)+1),ROWS(M$20:M1279))))</f>
        <v/>
      </c>
      <c r="K1279" s="7" t="str">
        <f t="array" ref="K1279">IF(ROWS(K$20:K1279)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1279))))</f>
        <v/>
      </c>
      <c r="L1279" s="4" t="str">
        <f t="array" ref="L1279">IF(ROWS(L$20:L1279)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1279))))</f>
        <v/>
      </c>
      <c r="M1279" s="4" t="str">
        <f t="array" ref="M1279">IF(ROWS(M$20:M1279)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1279))))</f>
        <v/>
      </c>
    </row>
    <row r="1280" spans="1:13" x14ac:dyDescent="0.25">
      <c r="A1280" s="3">
        <v>41797</v>
      </c>
      <c r="B1280" s="2" t="s">
        <v>5</v>
      </c>
      <c r="C1280" s="2">
        <v>15</v>
      </c>
      <c r="G1280" s="7" t="str">
        <f t="array" ref="G1280">IF(ROWS(K$20:K1280)&gt;$F$6,"",INDEX(A$2:A$10000,SMALL(IF(ISNUMBER(MATCH($B$2:$B$10000,$E$6:$E$22,0)),ROW($C$2:$C$10000)-ROW($C$2)+1),ROWS(K$20:K1280))))</f>
        <v/>
      </c>
      <c r="H1280" s="4" t="str">
        <f t="array" ref="H1280">IF(ROWS(L$20:L1280)&gt;$F$6,"",INDEX(B$2:B$10000,SMALL(IF(ISNUMBER(MATCH($B$2:$B$10000,$E$6:$E$22,0)),ROW($C$2:$C$10000)-ROW($C$2)+1),ROWS(L$20:L1280))))</f>
        <v/>
      </c>
      <c r="I1280" s="4" t="str">
        <f t="array" ref="I1280">IF(ROWS(M$20:M1280)&gt;$F$6,"",INDEX(C$2:C$10000,SMALL(IF(ISNUMBER(MATCH($B$2:$B$10000,$E$6:$E$22,0)),ROW($C$2:$C$10000)-ROW($C$2)+1),ROWS(M$20:M1280))))</f>
        <v/>
      </c>
      <c r="K1280" s="7" t="str">
        <f t="array" ref="K1280">IF(ROWS(K$20:K1280)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1280))))</f>
        <v/>
      </c>
      <c r="L1280" s="4" t="str">
        <f t="array" ref="L1280">IF(ROWS(L$20:L1280)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1280))))</f>
        <v/>
      </c>
      <c r="M1280" s="4" t="str">
        <f t="array" ref="M1280">IF(ROWS(M$20:M1280)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1280))))</f>
        <v/>
      </c>
    </row>
    <row r="1281" spans="1:13" x14ac:dyDescent="0.25">
      <c r="A1281" s="3">
        <v>41958</v>
      </c>
      <c r="B1281" s="2" t="s">
        <v>34</v>
      </c>
      <c r="C1281" s="2">
        <v>50</v>
      </c>
      <c r="G1281" s="7" t="str">
        <f t="array" ref="G1281">IF(ROWS(K$20:K1281)&gt;$F$6,"",INDEX(A$2:A$10000,SMALL(IF(ISNUMBER(MATCH($B$2:$B$10000,$E$6:$E$22,0)),ROW($C$2:$C$10000)-ROW($C$2)+1),ROWS(K$20:K1281))))</f>
        <v/>
      </c>
      <c r="H1281" s="4" t="str">
        <f t="array" ref="H1281">IF(ROWS(L$20:L1281)&gt;$F$6,"",INDEX(B$2:B$10000,SMALL(IF(ISNUMBER(MATCH($B$2:$B$10000,$E$6:$E$22,0)),ROW($C$2:$C$10000)-ROW($C$2)+1),ROWS(L$20:L1281))))</f>
        <v/>
      </c>
      <c r="I1281" s="4" t="str">
        <f t="array" ref="I1281">IF(ROWS(M$20:M1281)&gt;$F$6,"",INDEX(C$2:C$10000,SMALL(IF(ISNUMBER(MATCH($B$2:$B$10000,$E$6:$E$22,0)),ROW($C$2:$C$10000)-ROW($C$2)+1),ROWS(M$20:M1281))))</f>
        <v/>
      </c>
      <c r="K1281" s="7" t="str">
        <f t="array" ref="K1281">IF(ROWS(K$20:K1281)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1281))))</f>
        <v/>
      </c>
      <c r="L1281" s="4" t="str">
        <f t="array" ref="L1281">IF(ROWS(L$20:L1281)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1281))))</f>
        <v/>
      </c>
      <c r="M1281" s="4" t="str">
        <f t="array" ref="M1281">IF(ROWS(M$20:M1281)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1281))))</f>
        <v/>
      </c>
    </row>
    <row r="1282" spans="1:13" x14ac:dyDescent="0.25">
      <c r="A1282" s="3">
        <v>41673</v>
      </c>
      <c r="B1282" s="2" t="s">
        <v>27</v>
      </c>
      <c r="C1282" s="2">
        <v>1</v>
      </c>
      <c r="G1282" s="7" t="str">
        <f t="array" ref="G1282">IF(ROWS(K$20:K1282)&gt;$F$6,"",INDEX(A$2:A$10000,SMALL(IF(ISNUMBER(MATCH($B$2:$B$10000,$E$6:$E$22,0)),ROW($C$2:$C$10000)-ROW($C$2)+1),ROWS(K$20:K1282))))</f>
        <v/>
      </c>
      <c r="H1282" s="4" t="str">
        <f t="array" ref="H1282">IF(ROWS(L$20:L1282)&gt;$F$6,"",INDEX(B$2:B$10000,SMALL(IF(ISNUMBER(MATCH($B$2:$B$10000,$E$6:$E$22,0)),ROW($C$2:$C$10000)-ROW($C$2)+1),ROWS(L$20:L1282))))</f>
        <v/>
      </c>
      <c r="I1282" s="4" t="str">
        <f t="array" ref="I1282">IF(ROWS(M$20:M1282)&gt;$F$6,"",INDEX(C$2:C$10000,SMALL(IF(ISNUMBER(MATCH($B$2:$B$10000,$E$6:$E$22,0)),ROW($C$2:$C$10000)-ROW($C$2)+1),ROWS(M$20:M1282))))</f>
        <v/>
      </c>
      <c r="K1282" s="7" t="str">
        <f t="array" ref="K1282">IF(ROWS(K$20:K1282)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1282))))</f>
        <v/>
      </c>
      <c r="L1282" s="4" t="str">
        <f t="array" ref="L1282">IF(ROWS(L$20:L1282)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1282))))</f>
        <v/>
      </c>
      <c r="M1282" s="4" t="str">
        <f t="array" ref="M1282">IF(ROWS(M$20:M1282)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1282))))</f>
        <v/>
      </c>
    </row>
    <row r="1283" spans="1:13" x14ac:dyDescent="0.25">
      <c r="A1283" s="3">
        <v>41797</v>
      </c>
      <c r="B1283" s="2" t="s">
        <v>3</v>
      </c>
      <c r="C1283" s="2">
        <v>32</v>
      </c>
      <c r="G1283" s="7" t="str">
        <f t="array" ref="G1283">IF(ROWS(K$20:K1283)&gt;$F$6,"",INDEX(A$2:A$10000,SMALL(IF(ISNUMBER(MATCH($B$2:$B$10000,$E$6:$E$22,0)),ROW($C$2:$C$10000)-ROW($C$2)+1),ROWS(K$20:K1283))))</f>
        <v/>
      </c>
      <c r="H1283" s="4" t="str">
        <f t="array" ref="H1283">IF(ROWS(L$20:L1283)&gt;$F$6,"",INDEX(B$2:B$10000,SMALL(IF(ISNUMBER(MATCH($B$2:$B$10000,$E$6:$E$22,0)),ROW($C$2:$C$10000)-ROW($C$2)+1),ROWS(L$20:L1283))))</f>
        <v/>
      </c>
      <c r="I1283" s="4" t="str">
        <f t="array" ref="I1283">IF(ROWS(M$20:M1283)&gt;$F$6,"",INDEX(C$2:C$10000,SMALL(IF(ISNUMBER(MATCH($B$2:$B$10000,$E$6:$E$22,0)),ROW($C$2:$C$10000)-ROW($C$2)+1),ROWS(M$20:M1283))))</f>
        <v/>
      </c>
      <c r="K1283" s="7" t="str">
        <f t="array" ref="K1283">IF(ROWS(K$20:K1283)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1283))))</f>
        <v/>
      </c>
      <c r="L1283" s="4" t="str">
        <f t="array" ref="L1283">IF(ROWS(L$20:L1283)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1283))))</f>
        <v/>
      </c>
      <c r="M1283" s="4" t="str">
        <f t="array" ref="M1283">IF(ROWS(M$20:M1283)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1283))))</f>
        <v/>
      </c>
    </row>
    <row r="1284" spans="1:13" x14ac:dyDescent="0.25">
      <c r="A1284" s="3">
        <v>41446</v>
      </c>
      <c r="B1284" s="2" t="s">
        <v>43</v>
      </c>
      <c r="C1284" s="2">
        <v>47</v>
      </c>
      <c r="G1284" s="7" t="str">
        <f t="array" ref="G1284">IF(ROWS(K$20:K1284)&gt;$F$6,"",INDEX(A$2:A$10000,SMALL(IF(ISNUMBER(MATCH($B$2:$B$10000,$E$6:$E$22,0)),ROW($C$2:$C$10000)-ROW($C$2)+1),ROWS(K$20:K1284))))</f>
        <v/>
      </c>
      <c r="H1284" s="4" t="str">
        <f t="array" ref="H1284">IF(ROWS(L$20:L1284)&gt;$F$6,"",INDEX(B$2:B$10000,SMALL(IF(ISNUMBER(MATCH($B$2:$B$10000,$E$6:$E$22,0)),ROW($C$2:$C$10000)-ROW($C$2)+1),ROWS(L$20:L1284))))</f>
        <v/>
      </c>
      <c r="I1284" s="4" t="str">
        <f t="array" ref="I1284">IF(ROWS(M$20:M1284)&gt;$F$6,"",INDEX(C$2:C$10000,SMALL(IF(ISNUMBER(MATCH($B$2:$B$10000,$E$6:$E$22,0)),ROW($C$2:$C$10000)-ROW($C$2)+1),ROWS(M$20:M1284))))</f>
        <v/>
      </c>
      <c r="K1284" s="7" t="str">
        <f t="array" ref="K1284">IF(ROWS(K$20:K1284)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1284))))</f>
        <v/>
      </c>
      <c r="L1284" s="4" t="str">
        <f t="array" ref="L1284">IF(ROWS(L$20:L1284)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1284))))</f>
        <v/>
      </c>
      <c r="M1284" s="4" t="str">
        <f t="array" ref="M1284">IF(ROWS(M$20:M1284)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1284))))</f>
        <v/>
      </c>
    </row>
    <row r="1285" spans="1:13" x14ac:dyDescent="0.25">
      <c r="A1285" s="3">
        <v>41875</v>
      </c>
      <c r="B1285" s="2" t="s">
        <v>26</v>
      </c>
      <c r="C1285" s="2">
        <v>38</v>
      </c>
      <c r="G1285" s="7" t="str">
        <f t="array" ref="G1285">IF(ROWS(K$20:K1285)&gt;$F$6,"",INDEX(A$2:A$10000,SMALL(IF(ISNUMBER(MATCH($B$2:$B$10000,$E$6:$E$22,0)),ROW($C$2:$C$10000)-ROW($C$2)+1),ROWS(K$20:K1285))))</f>
        <v/>
      </c>
      <c r="H1285" s="4" t="str">
        <f t="array" ref="H1285">IF(ROWS(L$20:L1285)&gt;$F$6,"",INDEX(B$2:B$10000,SMALL(IF(ISNUMBER(MATCH($B$2:$B$10000,$E$6:$E$22,0)),ROW($C$2:$C$10000)-ROW($C$2)+1),ROWS(L$20:L1285))))</f>
        <v/>
      </c>
      <c r="I1285" s="4" t="str">
        <f t="array" ref="I1285">IF(ROWS(M$20:M1285)&gt;$F$6,"",INDEX(C$2:C$10000,SMALL(IF(ISNUMBER(MATCH($B$2:$B$10000,$E$6:$E$22,0)),ROW($C$2:$C$10000)-ROW($C$2)+1),ROWS(M$20:M1285))))</f>
        <v/>
      </c>
      <c r="K1285" s="7" t="str">
        <f t="array" ref="K1285">IF(ROWS(K$20:K1285)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1285))))</f>
        <v/>
      </c>
      <c r="L1285" s="4" t="str">
        <f t="array" ref="L1285">IF(ROWS(L$20:L1285)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1285))))</f>
        <v/>
      </c>
      <c r="M1285" s="4" t="str">
        <f t="array" ref="M1285">IF(ROWS(M$20:M1285)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1285))))</f>
        <v/>
      </c>
    </row>
    <row r="1286" spans="1:13" x14ac:dyDescent="0.25">
      <c r="A1286" s="3">
        <v>41353</v>
      </c>
      <c r="B1286" s="2" t="s">
        <v>44</v>
      </c>
      <c r="C1286" s="2">
        <v>39</v>
      </c>
      <c r="G1286" s="7" t="str">
        <f t="array" ref="G1286">IF(ROWS(K$20:K1286)&gt;$F$6,"",INDEX(A$2:A$10000,SMALL(IF(ISNUMBER(MATCH($B$2:$B$10000,$E$6:$E$22,0)),ROW($C$2:$C$10000)-ROW($C$2)+1),ROWS(K$20:K1286))))</f>
        <v/>
      </c>
      <c r="H1286" s="4" t="str">
        <f t="array" ref="H1286">IF(ROWS(L$20:L1286)&gt;$F$6,"",INDEX(B$2:B$10000,SMALL(IF(ISNUMBER(MATCH($B$2:$B$10000,$E$6:$E$22,0)),ROW($C$2:$C$10000)-ROW($C$2)+1),ROWS(L$20:L1286))))</f>
        <v/>
      </c>
      <c r="I1286" s="4" t="str">
        <f t="array" ref="I1286">IF(ROWS(M$20:M1286)&gt;$F$6,"",INDEX(C$2:C$10000,SMALL(IF(ISNUMBER(MATCH($B$2:$B$10000,$E$6:$E$22,0)),ROW($C$2:$C$10000)-ROW($C$2)+1),ROWS(M$20:M1286))))</f>
        <v/>
      </c>
      <c r="K1286" s="7" t="str">
        <f t="array" ref="K1286">IF(ROWS(K$20:K1286)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1286))))</f>
        <v/>
      </c>
      <c r="L1286" s="4" t="str">
        <f t="array" ref="L1286">IF(ROWS(L$20:L1286)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1286))))</f>
        <v/>
      </c>
      <c r="M1286" s="4" t="str">
        <f t="array" ref="M1286">IF(ROWS(M$20:M1286)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1286))))</f>
        <v/>
      </c>
    </row>
    <row r="1287" spans="1:13" x14ac:dyDescent="0.25">
      <c r="A1287" s="3">
        <v>41652</v>
      </c>
      <c r="B1287" s="2" t="s">
        <v>34</v>
      </c>
      <c r="C1287" s="2">
        <v>43</v>
      </c>
      <c r="G1287" s="7" t="str">
        <f t="array" ref="G1287">IF(ROWS(K$20:K1287)&gt;$F$6,"",INDEX(A$2:A$10000,SMALL(IF(ISNUMBER(MATCH($B$2:$B$10000,$E$6:$E$22,0)),ROW($C$2:$C$10000)-ROW($C$2)+1),ROWS(K$20:K1287))))</f>
        <v/>
      </c>
      <c r="H1287" s="4" t="str">
        <f t="array" ref="H1287">IF(ROWS(L$20:L1287)&gt;$F$6,"",INDEX(B$2:B$10000,SMALL(IF(ISNUMBER(MATCH($B$2:$B$10000,$E$6:$E$22,0)),ROW($C$2:$C$10000)-ROW($C$2)+1),ROWS(L$20:L1287))))</f>
        <v/>
      </c>
      <c r="I1287" s="4" t="str">
        <f t="array" ref="I1287">IF(ROWS(M$20:M1287)&gt;$F$6,"",INDEX(C$2:C$10000,SMALL(IF(ISNUMBER(MATCH($B$2:$B$10000,$E$6:$E$22,0)),ROW($C$2:$C$10000)-ROW($C$2)+1),ROWS(M$20:M1287))))</f>
        <v/>
      </c>
      <c r="K1287" s="7" t="str">
        <f t="array" ref="K1287">IF(ROWS(K$20:K1287)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1287))))</f>
        <v/>
      </c>
      <c r="L1287" s="4" t="str">
        <f t="array" ref="L1287">IF(ROWS(L$20:L1287)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1287))))</f>
        <v/>
      </c>
      <c r="M1287" s="4" t="str">
        <f t="array" ref="M1287">IF(ROWS(M$20:M1287)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1287))))</f>
        <v/>
      </c>
    </row>
    <row r="1288" spans="1:13" x14ac:dyDescent="0.25">
      <c r="A1288" s="3">
        <v>41893</v>
      </c>
      <c r="B1288" s="2" t="s">
        <v>24</v>
      </c>
      <c r="C1288" s="2">
        <v>45</v>
      </c>
      <c r="G1288" s="7" t="str">
        <f t="array" ref="G1288">IF(ROWS(K$20:K1288)&gt;$F$6,"",INDEX(A$2:A$10000,SMALL(IF(ISNUMBER(MATCH($B$2:$B$10000,$E$6:$E$22,0)),ROW($C$2:$C$10000)-ROW($C$2)+1),ROWS(K$20:K1288))))</f>
        <v/>
      </c>
      <c r="H1288" s="4" t="str">
        <f t="array" ref="H1288">IF(ROWS(L$20:L1288)&gt;$F$6,"",INDEX(B$2:B$10000,SMALL(IF(ISNUMBER(MATCH($B$2:$B$10000,$E$6:$E$22,0)),ROW($C$2:$C$10000)-ROW($C$2)+1),ROWS(L$20:L1288))))</f>
        <v/>
      </c>
      <c r="I1288" s="4" t="str">
        <f t="array" ref="I1288">IF(ROWS(M$20:M1288)&gt;$F$6,"",INDEX(C$2:C$10000,SMALL(IF(ISNUMBER(MATCH($B$2:$B$10000,$E$6:$E$22,0)),ROW($C$2:$C$10000)-ROW($C$2)+1),ROWS(M$20:M1288))))</f>
        <v/>
      </c>
      <c r="K1288" s="7" t="str">
        <f t="array" ref="K1288">IF(ROWS(K$20:K1288)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1288))))</f>
        <v/>
      </c>
      <c r="L1288" s="4" t="str">
        <f t="array" ref="L1288">IF(ROWS(L$20:L1288)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1288))))</f>
        <v/>
      </c>
      <c r="M1288" s="4" t="str">
        <f t="array" ref="M1288">IF(ROWS(M$20:M1288)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1288))))</f>
        <v/>
      </c>
    </row>
    <row r="1289" spans="1:13" x14ac:dyDescent="0.25">
      <c r="A1289" s="3">
        <v>41275</v>
      </c>
      <c r="B1289" s="2" t="s">
        <v>41</v>
      </c>
      <c r="C1289" s="2">
        <v>41</v>
      </c>
      <c r="G1289" s="7" t="str">
        <f t="array" ref="G1289">IF(ROWS(K$20:K1289)&gt;$F$6,"",INDEX(A$2:A$10000,SMALL(IF(ISNUMBER(MATCH($B$2:$B$10000,$E$6:$E$22,0)),ROW($C$2:$C$10000)-ROW($C$2)+1),ROWS(K$20:K1289))))</f>
        <v/>
      </c>
      <c r="H1289" s="4" t="str">
        <f t="array" ref="H1289">IF(ROWS(L$20:L1289)&gt;$F$6,"",INDEX(B$2:B$10000,SMALL(IF(ISNUMBER(MATCH($B$2:$B$10000,$E$6:$E$22,0)),ROW($C$2:$C$10000)-ROW($C$2)+1),ROWS(L$20:L1289))))</f>
        <v/>
      </c>
      <c r="I1289" s="4" t="str">
        <f t="array" ref="I1289">IF(ROWS(M$20:M1289)&gt;$F$6,"",INDEX(C$2:C$10000,SMALL(IF(ISNUMBER(MATCH($B$2:$B$10000,$E$6:$E$22,0)),ROW($C$2:$C$10000)-ROW($C$2)+1),ROWS(M$20:M1289))))</f>
        <v/>
      </c>
      <c r="K1289" s="7" t="str">
        <f t="array" ref="K1289">IF(ROWS(K$20:K1289)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1289))))</f>
        <v/>
      </c>
      <c r="L1289" s="4" t="str">
        <f t="array" ref="L1289">IF(ROWS(L$20:L1289)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1289))))</f>
        <v/>
      </c>
      <c r="M1289" s="4" t="str">
        <f t="array" ref="M1289">IF(ROWS(M$20:M1289)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1289))))</f>
        <v/>
      </c>
    </row>
    <row r="1290" spans="1:13" x14ac:dyDescent="0.25">
      <c r="A1290" s="3">
        <v>41351</v>
      </c>
      <c r="B1290" s="2" t="s">
        <v>9</v>
      </c>
      <c r="C1290" s="2">
        <v>12</v>
      </c>
      <c r="G1290" s="7" t="str">
        <f t="array" ref="G1290">IF(ROWS(K$20:K1290)&gt;$F$6,"",INDEX(A$2:A$10000,SMALL(IF(ISNUMBER(MATCH($B$2:$B$10000,$E$6:$E$22,0)),ROW($C$2:$C$10000)-ROW($C$2)+1),ROWS(K$20:K1290))))</f>
        <v/>
      </c>
      <c r="H1290" s="4" t="str">
        <f t="array" ref="H1290">IF(ROWS(L$20:L1290)&gt;$F$6,"",INDEX(B$2:B$10000,SMALL(IF(ISNUMBER(MATCH($B$2:$B$10000,$E$6:$E$22,0)),ROW($C$2:$C$10000)-ROW($C$2)+1),ROWS(L$20:L1290))))</f>
        <v/>
      </c>
      <c r="I1290" s="4" t="str">
        <f t="array" ref="I1290">IF(ROWS(M$20:M1290)&gt;$F$6,"",INDEX(C$2:C$10000,SMALL(IF(ISNUMBER(MATCH($B$2:$B$10000,$E$6:$E$22,0)),ROW($C$2:$C$10000)-ROW($C$2)+1),ROWS(M$20:M1290))))</f>
        <v/>
      </c>
      <c r="K1290" s="7" t="str">
        <f t="array" ref="K1290">IF(ROWS(K$20:K1290)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1290))))</f>
        <v/>
      </c>
      <c r="L1290" s="4" t="str">
        <f t="array" ref="L1290">IF(ROWS(L$20:L1290)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1290))))</f>
        <v/>
      </c>
      <c r="M1290" s="4" t="str">
        <f t="array" ref="M1290">IF(ROWS(M$20:M1290)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1290))))</f>
        <v/>
      </c>
    </row>
    <row r="1291" spans="1:13" x14ac:dyDescent="0.25">
      <c r="A1291" s="3">
        <v>41276</v>
      </c>
      <c r="B1291" s="2" t="s">
        <v>18</v>
      </c>
      <c r="C1291" s="2">
        <v>42</v>
      </c>
      <c r="G1291" s="7" t="str">
        <f t="array" ref="G1291">IF(ROWS(K$20:K1291)&gt;$F$6,"",INDEX(A$2:A$10000,SMALL(IF(ISNUMBER(MATCH($B$2:$B$10000,$E$6:$E$22,0)),ROW($C$2:$C$10000)-ROW($C$2)+1),ROWS(K$20:K1291))))</f>
        <v/>
      </c>
      <c r="H1291" s="4" t="str">
        <f t="array" ref="H1291">IF(ROWS(L$20:L1291)&gt;$F$6,"",INDEX(B$2:B$10000,SMALL(IF(ISNUMBER(MATCH($B$2:$B$10000,$E$6:$E$22,0)),ROW($C$2:$C$10000)-ROW($C$2)+1),ROWS(L$20:L1291))))</f>
        <v/>
      </c>
      <c r="I1291" s="4" t="str">
        <f t="array" ref="I1291">IF(ROWS(M$20:M1291)&gt;$F$6,"",INDEX(C$2:C$10000,SMALL(IF(ISNUMBER(MATCH($B$2:$B$10000,$E$6:$E$22,0)),ROW($C$2:$C$10000)-ROW($C$2)+1),ROWS(M$20:M1291))))</f>
        <v/>
      </c>
      <c r="K1291" s="7" t="str">
        <f t="array" ref="K1291">IF(ROWS(K$20:K1291)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1291))))</f>
        <v/>
      </c>
      <c r="L1291" s="4" t="str">
        <f t="array" ref="L1291">IF(ROWS(L$20:L1291)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1291))))</f>
        <v/>
      </c>
      <c r="M1291" s="4" t="str">
        <f t="array" ref="M1291">IF(ROWS(M$20:M1291)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1291))))</f>
        <v/>
      </c>
    </row>
    <row r="1292" spans="1:13" x14ac:dyDescent="0.25">
      <c r="A1292" s="3">
        <v>41288</v>
      </c>
      <c r="B1292" s="2" t="s">
        <v>8</v>
      </c>
      <c r="C1292" s="2">
        <v>62</v>
      </c>
      <c r="G1292" s="7" t="str">
        <f t="array" ref="G1292">IF(ROWS(K$20:K1292)&gt;$F$6,"",INDEX(A$2:A$10000,SMALL(IF(ISNUMBER(MATCH($B$2:$B$10000,$E$6:$E$22,0)),ROW($C$2:$C$10000)-ROW($C$2)+1),ROWS(K$20:K1292))))</f>
        <v/>
      </c>
      <c r="H1292" s="4" t="str">
        <f t="array" ref="H1292">IF(ROWS(L$20:L1292)&gt;$F$6,"",INDEX(B$2:B$10000,SMALL(IF(ISNUMBER(MATCH($B$2:$B$10000,$E$6:$E$22,0)),ROW($C$2:$C$10000)-ROW($C$2)+1),ROWS(L$20:L1292))))</f>
        <v/>
      </c>
      <c r="I1292" s="4" t="str">
        <f t="array" ref="I1292">IF(ROWS(M$20:M1292)&gt;$F$6,"",INDEX(C$2:C$10000,SMALL(IF(ISNUMBER(MATCH($B$2:$B$10000,$E$6:$E$22,0)),ROW($C$2:$C$10000)-ROW($C$2)+1),ROWS(M$20:M1292))))</f>
        <v/>
      </c>
      <c r="K1292" s="7" t="str">
        <f t="array" ref="K1292">IF(ROWS(K$20:K1292)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1292))))</f>
        <v/>
      </c>
      <c r="L1292" s="4" t="str">
        <f t="array" ref="L1292">IF(ROWS(L$20:L1292)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1292))))</f>
        <v/>
      </c>
      <c r="M1292" s="4" t="str">
        <f t="array" ref="M1292">IF(ROWS(M$20:M1292)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1292))))</f>
        <v/>
      </c>
    </row>
    <row r="1293" spans="1:13" x14ac:dyDescent="0.25">
      <c r="A1293" s="3">
        <v>41305</v>
      </c>
      <c r="B1293" s="2" t="s">
        <v>28</v>
      </c>
      <c r="C1293" s="2">
        <v>11</v>
      </c>
      <c r="G1293" s="7" t="str">
        <f t="array" ref="G1293">IF(ROWS(K$20:K1293)&gt;$F$6,"",INDEX(A$2:A$10000,SMALL(IF(ISNUMBER(MATCH($B$2:$B$10000,$E$6:$E$22,0)),ROW($C$2:$C$10000)-ROW($C$2)+1),ROWS(K$20:K1293))))</f>
        <v/>
      </c>
      <c r="H1293" s="4" t="str">
        <f t="array" ref="H1293">IF(ROWS(L$20:L1293)&gt;$F$6,"",INDEX(B$2:B$10000,SMALL(IF(ISNUMBER(MATCH($B$2:$B$10000,$E$6:$E$22,0)),ROW($C$2:$C$10000)-ROW($C$2)+1),ROWS(L$20:L1293))))</f>
        <v/>
      </c>
      <c r="I1293" s="4" t="str">
        <f t="array" ref="I1293">IF(ROWS(M$20:M1293)&gt;$F$6,"",INDEX(C$2:C$10000,SMALL(IF(ISNUMBER(MATCH($B$2:$B$10000,$E$6:$E$22,0)),ROW($C$2:$C$10000)-ROW($C$2)+1),ROWS(M$20:M1293))))</f>
        <v/>
      </c>
      <c r="K1293" s="7" t="str">
        <f t="array" ref="K1293">IF(ROWS(K$20:K1293)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1293))))</f>
        <v/>
      </c>
      <c r="L1293" s="4" t="str">
        <f t="array" ref="L1293">IF(ROWS(L$20:L1293)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1293))))</f>
        <v/>
      </c>
      <c r="M1293" s="4" t="str">
        <f t="array" ref="M1293">IF(ROWS(M$20:M1293)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1293))))</f>
        <v/>
      </c>
    </row>
    <row r="1294" spans="1:13" x14ac:dyDescent="0.25">
      <c r="A1294" s="3">
        <v>41781</v>
      </c>
      <c r="B1294" s="2" t="s">
        <v>36</v>
      </c>
      <c r="C1294" s="2">
        <v>42</v>
      </c>
      <c r="G1294" s="7" t="str">
        <f t="array" ref="G1294">IF(ROWS(K$20:K1294)&gt;$F$6,"",INDEX(A$2:A$10000,SMALL(IF(ISNUMBER(MATCH($B$2:$B$10000,$E$6:$E$22,0)),ROW($C$2:$C$10000)-ROW($C$2)+1),ROWS(K$20:K1294))))</f>
        <v/>
      </c>
      <c r="H1294" s="4" t="str">
        <f t="array" ref="H1294">IF(ROWS(L$20:L1294)&gt;$F$6,"",INDEX(B$2:B$10000,SMALL(IF(ISNUMBER(MATCH($B$2:$B$10000,$E$6:$E$22,0)),ROW($C$2:$C$10000)-ROW($C$2)+1),ROWS(L$20:L1294))))</f>
        <v/>
      </c>
      <c r="I1294" s="4" t="str">
        <f t="array" ref="I1294">IF(ROWS(M$20:M1294)&gt;$F$6,"",INDEX(C$2:C$10000,SMALL(IF(ISNUMBER(MATCH($B$2:$B$10000,$E$6:$E$22,0)),ROW($C$2:$C$10000)-ROW($C$2)+1),ROWS(M$20:M1294))))</f>
        <v/>
      </c>
      <c r="K1294" s="7" t="str">
        <f t="array" ref="K1294">IF(ROWS(K$20:K1294)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1294))))</f>
        <v/>
      </c>
      <c r="L1294" s="4" t="str">
        <f t="array" ref="L1294">IF(ROWS(L$20:L1294)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1294))))</f>
        <v/>
      </c>
      <c r="M1294" s="4" t="str">
        <f t="array" ref="M1294">IF(ROWS(M$20:M1294)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1294))))</f>
        <v/>
      </c>
    </row>
    <row r="1295" spans="1:13" x14ac:dyDescent="0.25">
      <c r="A1295" s="3">
        <v>41788</v>
      </c>
      <c r="B1295" s="2" t="s">
        <v>20</v>
      </c>
      <c r="C1295" s="2">
        <v>2</v>
      </c>
      <c r="G1295" s="7" t="str">
        <f t="array" ref="G1295">IF(ROWS(K$20:K1295)&gt;$F$6,"",INDEX(A$2:A$10000,SMALL(IF(ISNUMBER(MATCH($B$2:$B$10000,$E$6:$E$22,0)),ROW($C$2:$C$10000)-ROW($C$2)+1),ROWS(K$20:K1295))))</f>
        <v/>
      </c>
      <c r="H1295" s="4" t="str">
        <f t="array" ref="H1295">IF(ROWS(L$20:L1295)&gt;$F$6,"",INDEX(B$2:B$10000,SMALL(IF(ISNUMBER(MATCH($B$2:$B$10000,$E$6:$E$22,0)),ROW($C$2:$C$10000)-ROW($C$2)+1),ROWS(L$20:L1295))))</f>
        <v/>
      </c>
      <c r="I1295" s="4" t="str">
        <f t="array" ref="I1295">IF(ROWS(M$20:M1295)&gt;$F$6,"",INDEX(C$2:C$10000,SMALL(IF(ISNUMBER(MATCH($B$2:$B$10000,$E$6:$E$22,0)),ROW($C$2:$C$10000)-ROW($C$2)+1),ROWS(M$20:M1295))))</f>
        <v/>
      </c>
      <c r="K1295" s="7" t="str">
        <f t="array" ref="K1295">IF(ROWS(K$20:K1295)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1295))))</f>
        <v/>
      </c>
      <c r="L1295" s="4" t="str">
        <f t="array" ref="L1295">IF(ROWS(L$20:L1295)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1295))))</f>
        <v/>
      </c>
      <c r="M1295" s="4" t="str">
        <f t="array" ref="M1295">IF(ROWS(M$20:M1295)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1295))))</f>
        <v/>
      </c>
    </row>
    <row r="1296" spans="1:13" x14ac:dyDescent="0.25">
      <c r="A1296" s="3">
        <v>41648</v>
      </c>
      <c r="B1296" s="2" t="s">
        <v>7</v>
      </c>
      <c r="C1296" s="2">
        <v>30</v>
      </c>
      <c r="G1296" s="7" t="str">
        <f t="array" ref="G1296">IF(ROWS(K$20:K1296)&gt;$F$6,"",INDEX(A$2:A$10000,SMALL(IF(ISNUMBER(MATCH($B$2:$B$10000,$E$6:$E$22,0)),ROW($C$2:$C$10000)-ROW($C$2)+1),ROWS(K$20:K1296))))</f>
        <v/>
      </c>
      <c r="H1296" s="4" t="str">
        <f t="array" ref="H1296">IF(ROWS(L$20:L1296)&gt;$F$6,"",INDEX(B$2:B$10000,SMALL(IF(ISNUMBER(MATCH($B$2:$B$10000,$E$6:$E$22,0)),ROW($C$2:$C$10000)-ROW($C$2)+1),ROWS(L$20:L1296))))</f>
        <v/>
      </c>
      <c r="I1296" s="4" t="str">
        <f t="array" ref="I1296">IF(ROWS(M$20:M1296)&gt;$F$6,"",INDEX(C$2:C$10000,SMALL(IF(ISNUMBER(MATCH($B$2:$B$10000,$E$6:$E$22,0)),ROW($C$2:$C$10000)-ROW($C$2)+1),ROWS(M$20:M1296))))</f>
        <v/>
      </c>
      <c r="K1296" s="7" t="str">
        <f t="array" ref="K1296">IF(ROWS(K$20:K1296)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1296))))</f>
        <v/>
      </c>
      <c r="L1296" s="4" t="str">
        <f t="array" ref="L1296">IF(ROWS(L$20:L1296)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1296))))</f>
        <v/>
      </c>
      <c r="M1296" s="4" t="str">
        <f t="array" ref="M1296">IF(ROWS(M$20:M1296)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1296))))</f>
        <v/>
      </c>
    </row>
    <row r="1297" spans="1:13" x14ac:dyDescent="0.25">
      <c r="A1297" s="3">
        <v>41934</v>
      </c>
      <c r="B1297" s="2" t="s">
        <v>39</v>
      </c>
      <c r="C1297" s="2">
        <v>50</v>
      </c>
      <c r="G1297" s="7" t="str">
        <f t="array" ref="G1297">IF(ROWS(K$20:K1297)&gt;$F$6,"",INDEX(A$2:A$10000,SMALL(IF(ISNUMBER(MATCH($B$2:$B$10000,$E$6:$E$22,0)),ROW($C$2:$C$10000)-ROW($C$2)+1),ROWS(K$20:K1297))))</f>
        <v/>
      </c>
      <c r="H1297" s="4" t="str">
        <f t="array" ref="H1297">IF(ROWS(L$20:L1297)&gt;$F$6,"",INDEX(B$2:B$10000,SMALL(IF(ISNUMBER(MATCH($B$2:$B$10000,$E$6:$E$22,0)),ROW($C$2:$C$10000)-ROW($C$2)+1),ROWS(L$20:L1297))))</f>
        <v/>
      </c>
      <c r="I1297" s="4" t="str">
        <f t="array" ref="I1297">IF(ROWS(M$20:M1297)&gt;$F$6,"",INDEX(C$2:C$10000,SMALL(IF(ISNUMBER(MATCH($B$2:$B$10000,$E$6:$E$22,0)),ROW($C$2:$C$10000)-ROW($C$2)+1),ROWS(M$20:M1297))))</f>
        <v/>
      </c>
      <c r="K1297" s="7" t="str">
        <f t="array" ref="K1297">IF(ROWS(K$20:K1297)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1297))))</f>
        <v/>
      </c>
      <c r="L1297" s="4" t="str">
        <f t="array" ref="L1297">IF(ROWS(L$20:L1297)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1297))))</f>
        <v/>
      </c>
      <c r="M1297" s="4" t="str">
        <f t="array" ref="M1297">IF(ROWS(M$20:M1297)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1297))))</f>
        <v/>
      </c>
    </row>
    <row r="1298" spans="1:13" x14ac:dyDescent="0.25">
      <c r="A1298" s="3">
        <v>41761</v>
      </c>
      <c r="B1298" s="2" t="s">
        <v>35</v>
      </c>
      <c r="C1298" s="2">
        <v>25</v>
      </c>
      <c r="G1298" s="7" t="str">
        <f t="array" ref="G1298">IF(ROWS(K$20:K1298)&gt;$F$6,"",INDEX(A$2:A$10000,SMALL(IF(ISNUMBER(MATCH($B$2:$B$10000,$E$6:$E$22,0)),ROW($C$2:$C$10000)-ROW($C$2)+1),ROWS(K$20:K1298))))</f>
        <v/>
      </c>
      <c r="H1298" s="4" t="str">
        <f t="array" ref="H1298">IF(ROWS(L$20:L1298)&gt;$F$6,"",INDEX(B$2:B$10000,SMALL(IF(ISNUMBER(MATCH($B$2:$B$10000,$E$6:$E$22,0)),ROW($C$2:$C$10000)-ROW($C$2)+1),ROWS(L$20:L1298))))</f>
        <v/>
      </c>
      <c r="I1298" s="4" t="str">
        <f t="array" ref="I1298">IF(ROWS(M$20:M1298)&gt;$F$6,"",INDEX(C$2:C$10000,SMALL(IF(ISNUMBER(MATCH($B$2:$B$10000,$E$6:$E$22,0)),ROW($C$2:$C$10000)-ROW($C$2)+1),ROWS(M$20:M1298))))</f>
        <v/>
      </c>
      <c r="K1298" s="7" t="str">
        <f t="array" ref="K1298">IF(ROWS(K$20:K1298)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1298))))</f>
        <v/>
      </c>
      <c r="L1298" s="4" t="str">
        <f t="array" ref="L1298">IF(ROWS(L$20:L1298)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1298))))</f>
        <v/>
      </c>
      <c r="M1298" s="4" t="str">
        <f t="array" ref="M1298">IF(ROWS(M$20:M1298)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1298))))</f>
        <v/>
      </c>
    </row>
    <row r="1299" spans="1:13" x14ac:dyDescent="0.25">
      <c r="A1299" s="3">
        <v>41809</v>
      </c>
      <c r="B1299" s="2" t="s">
        <v>43</v>
      </c>
      <c r="C1299" s="2">
        <v>9</v>
      </c>
      <c r="G1299" s="7" t="str">
        <f t="array" ref="G1299">IF(ROWS(K$20:K1299)&gt;$F$6,"",INDEX(A$2:A$10000,SMALL(IF(ISNUMBER(MATCH($B$2:$B$10000,$E$6:$E$22,0)),ROW($C$2:$C$10000)-ROW($C$2)+1),ROWS(K$20:K1299))))</f>
        <v/>
      </c>
      <c r="H1299" s="4" t="str">
        <f t="array" ref="H1299">IF(ROWS(L$20:L1299)&gt;$F$6,"",INDEX(B$2:B$10000,SMALL(IF(ISNUMBER(MATCH($B$2:$B$10000,$E$6:$E$22,0)),ROW($C$2:$C$10000)-ROW($C$2)+1),ROWS(L$20:L1299))))</f>
        <v/>
      </c>
      <c r="I1299" s="4" t="str">
        <f t="array" ref="I1299">IF(ROWS(M$20:M1299)&gt;$F$6,"",INDEX(C$2:C$10000,SMALL(IF(ISNUMBER(MATCH($B$2:$B$10000,$E$6:$E$22,0)),ROW($C$2:$C$10000)-ROW($C$2)+1),ROWS(M$20:M1299))))</f>
        <v/>
      </c>
      <c r="K1299" s="7" t="str">
        <f t="array" ref="K1299">IF(ROWS(K$20:K1299)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1299))))</f>
        <v/>
      </c>
      <c r="L1299" s="4" t="str">
        <f t="array" ref="L1299">IF(ROWS(L$20:L1299)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1299))))</f>
        <v/>
      </c>
      <c r="M1299" s="4" t="str">
        <f t="array" ref="M1299">IF(ROWS(M$20:M1299)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1299))))</f>
        <v/>
      </c>
    </row>
    <row r="1300" spans="1:13" x14ac:dyDescent="0.25">
      <c r="A1300" s="3">
        <v>41555</v>
      </c>
      <c r="B1300" s="2" t="s">
        <v>46</v>
      </c>
      <c r="C1300" s="2">
        <v>15</v>
      </c>
      <c r="G1300" s="7" t="str">
        <f t="array" ref="G1300">IF(ROWS(K$20:K1300)&gt;$F$6,"",INDEX(A$2:A$10000,SMALL(IF(ISNUMBER(MATCH($B$2:$B$10000,$E$6:$E$22,0)),ROW($C$2:$C$10000)-ROW($C$2)+1),ROWS(K$20:K1300))))</f>
        <v/>
      </c>
      <c r="H1300" s="4" t="str">
        <f t="array" ref="H1300">IF(ROWS(L$20:L1300)&gt;$F$6,"",INDEX(B$2:B$10000,SMALL(IF(ISNUMBER(MATCH($B$2:$B$10000,$E$6:$E$22,0)),ROW($C$2:$C$10000)-ROW($C$2)+1),ROWS(L$20:L1300))))</f>
        <v/>
      </c>
      <c r="I1300" s="4" t="str">
        <f t="array" ref="I1300">IF(ROWS(M$20:M1300)&gt;$F$6,"",INDEX(C$2:C$10000,SMALL(IF(ISNUMBER(MATCH($B$2:$B$10000,$E$6:$E$22,0)),ROW($C$2:$C$10000)-ROW($C$2)+1),ROWS(M$20:M1300))))</f>
        <v/>
      </c>
      <c r="K1300" s="7" t="str">
        <f t="array" ref="K1300">IF(ROWS(K$20:K1300)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1300))))</f>
        <v/>
      </c>
      <c r="L1300" s="4" t="str">
        <f t="array" ref="L1300">IF(ROWS(L$20:L1300)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1300))))</f>
        <v/>
      </c>
      <c r="M1300" s="4" t="str">
        <f t="array" ref="M1300">IF(ROWS(M$20:M1300)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1300))))</f>
        <v/>
      </c>
    </row>
    <row r="1301" spans="1:13" x14ac:dyDescent="0.25">
      <c r="A1301" s="3">
        <v>41499</v>
      </c>
      <c r="B1301" s="2" t="s">
        <v>50</v>
      </c>
      <c r="C1301" s="2">
        <v>29</v>
      </c>
      <c r="G1301" s="7" t="str">
        <f t="array" ref="G1301">IF(ROWS(K$20:K1301)&gt;$F$6,"",INDEX(A$2:A$10000,SMALL(IF(ISNUMBER(MATCH($B$2:$B$10000,$E$6:$E$22,0)),ROW($C$2:$C$10000)-ROW($C$2)+1),ROWS(K$20:K1301))))</f>
        <v/>
      </c>
      <c r="H1301" s="4" t="str">
        <f t="array" ref="H1301">IF(ROWS(L$20:L1301)&gt;$F$6,"",INDEX(B$2:B$10000,SMALL(IF(ISNUMBER(MATCH($B$2:$B$10000,$E$6:$E$22,0)),ROW($C$2:$C$10000)-ROW($C$2)+1),ROWS(L$20:L1301))))</f>
        <v/>
      </c>
      <c r="I1301" s="4" t="str">
        <f t="array" ref="I1301">IF(ROWS(M$20:M1301)&gt;$F$6,"",INDEX(C$2:C$10000,SMALL(IF(ISNUMBER(MATCH($B$2:$B$10000,$E$6:$E$22,0)),ROW($C$2:$C$10000)-ROW($C$2)+1),ROWS(M$20:M1301))))</f>
        <v/>
      </c>
      <c r="K1301" s="7" t="str">
        <f t="array" ref="K1301">IF(ROWS(K$20:K1301)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1301))))</f>
        <v/>
      </c>
      <c r="L1301" s="4" t="str">
        <f t="array" ref="L1301">IF(ROWS(L$20:L1301)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1301))))</f>
        <v/>
      </c>
      <c r="M1301" s="4" t="str">
        <f t="array" ref="M1301">IF(ROWS(M$20:M1301)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1301))))</f>
        <v/>
      </c>
    </row>
    <row r="1302" spans="1:13" x14ac:dyDescent="0.25">
      <c r="A1302" s="3">
        <v>41374</v>
      </c>
      <c r="B1302" s="2" t="s">
        <v>14</v>
      </c>
      <c r="C1302" s="2">
        <v>16</v>
      </c>
      <c r="G1302" s="7" t="str">
        <f t="array" ref="G1302">IF(ROWS(K$20:K1302)&gt;$F$6,"",INDEX(A$2:A$10000,SMALL(IF(ISNUMBER(MATCH($B$2:$B$10000,$E$6:$E$22,0)),ROW($C$2:$C$10000)-ROW($C$2)+1),ROWS(K$20:K1302))))</f>
        <v/>
      </c>
      <c r="H1302" s="4" t="str">
        <f t="array" ref="H1302">IF(ROWS(L$20:L1302)&gt;$F$6,"",INDEX(B$2:B$10000,SMALL(IF(ISNUMBER(MATCH($B$2:$B$10000,$E$6:$E$22,0)),ROW($C$2:$C$10000)-ROW($C$2)+1),ROWS(L$20:L1302))))</f>
        <v/>
      </c>
      <c r="I1302" s="4" t="str">
        <f t="array" ref="I1302">IF(ROWS(M$20:M1302)&gt;$F$6,"",INDEX(C$2:C$10000,SMALL(IF(ISNUMBER(MATCH($B$2:$B$10000,$E$6:$E$22,0)),ROW($C$2:$C$10000)-ROW($C$2)+1),ROWS(M$20:M1302))))</f>
        <v/>
      </c>
      <c r="K1302" s="7" t="str">
        <f t="array" ref="K1302">IF(ROWS(K$20:K1302)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1302))))</f>
        <v/>
      </c>
      <c r="L1302" s="4" t="str">
        <f t="array" ref="L1302">IF(ROWS(L$20:L1302)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1302))))</f>
        <v/>
      </c>
      <c r="M1302" s="4" t="str">
        <f t="array" ref="M1302">IF(ROWS(M$20:M1302)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1302))))</f>
        <v/>
      </c>
    </row>
    <row r="1303" spans="1:13" x14ac:dyDescent="0.25">
      <c r="A1303" s="3">
        <v>41974</v>
      </c>
      <c r="B1303" s="2" t="s">
        <v>7</v>
      </c>
      <c r="C1303" s="2">
        <v>21</v>
      </c>
      <c r="G1303" s="7" t="str">
        <f t="array" ref="G1303">IF(ROWS(K$20:K1303)&gt;$F$6,"",INDEX(A$2:A$10000,SMALL(IF(ISNUMBER(MATCH($B$2:$B$10000,$E$6:$E$22,0)),ROW($C$2:$C$10000)-ROW($C$2)+1),ROWS(K$20:K1303))))</f>
        <v/>
      </c>
      <c r="H1303" s="4" t="str">
        <f t="array" ref="H1303">IF(ROWS(L$20:L1303)&gt;$F$6,"",INDEX(B$2:B$10000,SMALL(IF(ISNUMBER(MATCH($B$2:$B$10000,$E$6:$E$22,0)),ROW($C$2:$C$10000)-ROW($C$2)+1),ROWS(L$20:L1303))))</f>
        <v/>
      </c>
      <c r="I1303" s="4" t="str">
        <f t="array" ref="I1303">IF(ROWS(M$20:M1303)&gt;$F$6,"",INDEX(C$2:C$10000,SMALL(IF(ISNUMBER(MATCH($B$2:$B$10000,$E$6:$E$22,0)),ROW($C$2:$C$10000)-ROW($C$2)+1),ROWS(M$20:M1303))))</f>
        <v/>
      </c>
      <c r="K1303" s="7" t="str">
        <f t="array" ref="K1303">IF(ROWS(K$20:K1303)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1303))))</f>
        <v/>
      </c>
      <c r="L1303" s="4" t="str">
        <f t="array" ref="L1303">IF(ROWS(L$20:L1303)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1303))))</f>
        <v/>
      </c>
      <c r="M1303" s="4" t="str">
        <f t="array" ref="M1303">IF(ROWS(M$20:M1303)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1303))))</f>
        <v/>
      </c>
    </row>
    <row r="1304" spans="1:13" x14ac:dyDescent="0.25">
      <c r="A1304" s="3">
        <v>41903</v>
      </c>
      <c r="B1304" s="2" t="s">
        <v>19</v>
      </c>
      <c r="C1304" s="2">
        <v>22</v>
      </c>
      <c r="G1304" s="7" t="str">
        <f t="array" ref="G1304">IF(ROWS(K$20:K1304)&gt;$F$6,"",INDEX(A$2:A$10000,SMALL(IF(ISNUMBER(MATCH($B$2:$B$10000,$E$6:$E$22,0)),ROW($C$2:$C$10000)-ROW($C$2)+1),ROWS(K$20:K1304))))</f>
        <v/>
      </c>
      <c r="H1304" s="4" t="str">
        <f t="array" ref="H1304">IF(ROWS(L$20:L1304)&gt;$F$6,"",INDEX(B$2:B$10000,SMALL(IF(ISNUMBER(MATCH($B$2:$B$10000,$E$6:$E$22,0)),ROW($C$2:$C$10000)-ROW($C$2)+1),ROWS(L$20:L1304))))</f>
        <v/>
      </c>
      <c r="I1304" s="4" t="str">
        <f t="array" ref="I1304">IF(ROWS(M$20:M1304)&gt;$F$6,"",INDEX(C$2:C$10000,SMALL(IF(ISNUMBER(MATCH($B$2:$B$10000,$E$6:$E$22,0)),ROW($C$2:$C$10000)-ROW($C$2)+1),ROWS(M$20:M1304))))</f>
        <v/>
      </c>
      <c r="K1304" s="7" t="str">
        <f t="array" ref="K1304">IF(ROWS(K$20:K1304)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1304))))</f>
        <v/>
      </c>
      <c r="L1304" s="4" t="str">
        <f t="array" ref="L1304">IF(ROWS(L$20:L1304)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1304))))</f>
        <v/>
      </c>
      <c r="M1304" s="4" t="str">
        <f t="array" ref="M1304">IF(ROWS(M$20:M1304)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1304))))</f>
        <v/>
      </c>
    </row>
    <row r="1305" spans="1:13" x14ac:dyDescent="0.25">
      <c r="A1305" s="3">
        <v>41767</v>
      </c>
      <c r="B1305" s="2" t="s">
        <v>40</v>
      </c>
      <c r="C1305" s="2">
        <v>45</v>
      </c>
      <c r="G1305" s="7" t="str">
        <f t="array" ref="G1305">IF(ROWS(K$20:K1305)&gt;$F$6,"",INDEX(A$2:A$10000,SMALL(IF(ISNUMBER(MATCH($B$2:$B$10000,$E$6:$E$22,0)),ROW($C$2:$C$10000)-ROW($C$2)+1),ROWS(K$20:K1305))))</f>
        <v/>
      </c>
      <c r="H1305" s="4" t="str">
        <f t="array" ref="H1305">IF(ROWS(L$20:L1305)&gt;$F$6,"",INDEX(B$2:B$10000,SMALL(IF(ISNUMBER(MATCH($B$2:$B$10000,$E$6:$E$22,0)),ROW($C$2:$C$10000)-ROW($C$2)+1),ROWS(L$20:L1305))))</f>
        <v/>
      </c>
      <c r="I1305" s="4" t="str">
        <f t="array" ref="I1305">IF(ROWS(M$20:M1305)&gt;$F$6,"",INDEX(C$2:C$10000,SMALL(IF(ISNUMBER(MATCH($B$2:$B$10000,$E$6:$E$22,0)),ROW($C$2:$C$10000)-ROW($C$2)+1),ROWS(M$20:M1305))))</f>
        <v/>
      </c>
      <c r="K1305" s="7" t="str">
        <f t="array" ref="K1305">IF(ROWS(K$20:K1305)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1305))))</f>
        <v/>
      </c>
      <c r="L1305" s="4" t="str">
        <f t="array" ref="L1305">IF(ROWS(L$20:L1305)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1305))))</f>
        <v/>
      </c>
      <c r="M1305" s="4" t="str">
        <f t="array" ref="M1305">IF(ROWS(M$20:M1305)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1305))))</f>
        <v/>
      </c>
    </row>
    <row r="1306" spans="1:13" x14ac:dyDescent="0.25">
      <c r="A1306" s="3">
        <v>41495</v>
      </c>
      <c r="B1306" s="2" t="s">
        <v>23</v>
      </c>
      <c r="C1306" s="2">
        <v>36</v>
      </c>
      <c r="G1306" s="7" t="str">
        <f t="array" ref="G1306">IF(ROWS(K$20:K1306)&gt;$F$6,"",INDEX(A$2:A$10000,SMALL(IF(ISNUMBER(MATCH($B$2:$B$10000,$E$6:$E$22,0)),ROW($C$2:$C$10000)-ROW($C$2)+1),ROWS(K$20:K1306))))</f>
        <v/>
      </c>
      <c r="H1306" s="4" t="str">
        <f t="array" ref="H1306">IF(ROWS(L$20:L1306)&gt;$F$6,"",INDEX(B$2:B$10000,SMALL(IF(ISNUMBER(MATCH($B$2:$B$10000,$E$6:$E$22,0)),ROW($C$2:$C$10000)-ROW($C$2)+1),ROWS(L$20:L1306))))</f>
        <v/>
      </c>
      <c r="I1306" s="4" t="str">
        <f t="array" ref="I1306">IF(ROWS(M$20:M1306)&gt;$F$6,"",INDEX(C$2:C$10000,SMALL(IF(ISNUMBER(MATCH($B$2:$B$10000,$E$6:$E$22,0)),ROW($C$2:$C$10000)-ROW($C$2)+1),ROWS(M$20:M1306))))</f>
        <v/>
      </c>
      <c r="K1306" s="7" t="str">
        <f t="array" ref="K1306">IF(ROWS(K$20:K1306)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1306))))</f>
        <v/>
      </c>
      <c r="L1306" s="4" t="str">
        <f t="array" ref="L1306">IF(ROWS(L$20:L1306)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1306))))</f>
        <v/>
      </c>
      <c r="M1306" s="4" t="str">
        <f t="array" ref="M1306">IF(ROWS(M$20:M1306)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1306))))</f>
        <v/>
      </c>
    </row>
    <row r="1307" spans="1:13" x14ac:dyDescent="0.25">
      <c r="A1307" s="3">
        <v>41301</v>
      </c>
      <c r="B1307" s="2" t="s">
        <v>24</v>
      </c>
      <c r="C1307" s="2">
        <v>14</v>
      </c>
      <c r="G1307" s="7" t="str">
        <f t="array" ref="G1307">IF(ROWS(K$20:K1307)&gt;$F$6,"",INDEX(A$2:A$10000,SMALL(IF(ISNUMBER(MATCH($B$2:$B$10000,$E$6:$E$22,0)),ROW($C$2:$C$10000)-ROW($C$2)+1),ROWS(K$20:K1307))))</f>
        <v/>
      </c>
      <c r="H1307" s="4" t="str">
        <f t="array" ref="H1307">IF(ROWS(L$20:L1307)&gt;$F$6,"",INDEX(B$2:B$10000,SMALL(IF(ISNUMBER(MATCH($B$2:$B$10000,$E$6:$E$22,0)),ROW($C$2:$C$10000)-ROW($C$2)+1),ROWS(L$20:L1307))))</f>
        <v/>
      </c>
      <c r="I1307" s="4" t="str">
        <f t="array" ref="I1307">IF(ROWS(M$20:M1307)&gt;$F$6,"",INDEX(C$2:C$10000,SMALL(IF(ISNUMBER(MATCH($B$2:$B$10000,$E$6:$E$22,0)),ROW($C$2:$C$10000)-ROW($C$2)+1),ROWS(M$20:M1307))))</f>
        <v/>
      </c>
      <c r="K1307" s="7" t="str">
        <f t="array" ref="K1307">IF(ROWS(K$20:K1307)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1307))))</f>
        <v/>
      </c>
      <c r="L1307" s="4" t="str">
        <f t="array" ref="L1307">IF(ROWS(L$20:L1307)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1307))))</f>
        <v/>
      </c>
      <c r="M1307" s="4" t="str">
        <f t="array" ref="M1307">IF(ROWS(M$20:M1307)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1307))))</f>
        <v/>
      </c>
    </row>
    <row r="1308" spans="1:13" x14ac:dyDescent="0.25">
      <c r="A1308" s="3">
        <v>41735</v>
      </c>
      <c r="B1308" s="2" t="s">
        <v>32</v>
      </c>
      <c r="C1308" s="2">
        <v>40</v>
      </c>
      <c r="G1308" s="7" t="str">
        <f t="array" ref="G1308">IF(ROWS(K$20:K1308)&gt;$F$6,"",INDEX(A$2:A$10000,SMALL(IF(ISNUMBER(MATCH($B$2:$B$10000,$E$6:$E$22,0)),ROW($C$2:$C$10000)-ROW($C$2)+1),ROWS(K$20:K1308))))</f>
        <v/>
      </c>
      <c r="H1308" s="4" t="str">
        <f t="array" ref="H1308">IF(ROWS(L$20:L1308)&gt;$F$6,"",INDEX(B$2:B$10000,SMALL(IF(ISNUMBER(MATCH($B$2:$B$10000,$E$6:$E$22,0)),ROW($C$2:$C$10000)-ROW($C$2)+1),ROWS(L$20:L1308))))</f>
        <v/>
      </c>
      <c r="I1308" s="4" t="str">
        <f t="array" ref="I1308">IF(ROWS(M$20:M1308)&gt;$F$6,"",INDEX(C$2:C$10000,SMALL(IF(ISNUMBER(MATCH($B$2:$B$10000,$E$6:$E$22,0)),ROW($C$2:$C$10000)-ROW($C$2)+1),ROWS(M$20:M1308))))</f>
        <v/>
      </c>
      <c r="K1308" s="7" t="str">
        <f t="array" ref="K1308">IF(ROWS(K$20:K1308)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1308))))</f>
        <v/>
      </c>
      <c r="L1308" s="4" t="str">
        <f t="array" ref="L1308">IF(ROWS(L$20:L1308)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1308))))</f>
        <v/>
      </c>
      <c r="M1308" s="4" t="str">
        <f t="array" ref="M1308">IF(ROWS(M$20:M1308)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1308))))</f>
        <v/>
      </c>
    </row>
    <row r="1309" spans="1:13" x14ac:dyDescent="0.25">
      <c r="A1309" s="3">
        <v>41990</v>
      </c>
      <c r="B1309" s="2" t="s">
        <v>44</v>
      </c>
      <c r="C1309" s="2">
        <v>14</v>
      </c>
      <c r="G1309" s="7" t="str">
        <f t="array" ref="G1309">IF(ROWS(K$20:K1309)&gt;$F$6,"",INDEX(A$2:A$10000,SMALL(IF(ISNUMBER(MATCH($B$2:$B$10000,$E$6:$E$22,0)),ROW($C$2:$C$10000)-ROW($C$2)+1),ROWS(K$20:K1309))))</f>
        <v/>
      </c>
      <c r="H1309" s="4" t="str">
        <f t="array" ref="H1309">IF(ROWS(L$20:L1309)&gt;$F$6,"",INDEX(B$2:B$10000,SMALL(IF(ISNUMBER(MATCH($B$2:$B$10000,$E$6:$E$22,0)),ROW($C$2:$C$10000)-ROW($C$2)+1),ROWS(L$20:L1309))))</f>
        <v/>
      </c>
      <c r="I1309" s="4" t="str">
        <f t="array" ref="I1309">IF(ROWS(M$20:M1309)&gt;$F$6,"",INDEX(C$2:C$10000,SMALL(IF(ISNUMBER(MATCH($B$2:$B$10000,$E$6:$E$22,0)),ROW($C$2:$C$10000)-ROW($C$2)+1),ROWS(M$20:M1309))))</f>
        <v/>
      </c>
      <c r="K1309" s="7" t="str">
        <f t="array" ref="K1309">IF(ROWS(K$20:K1309)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1309))))</f>
        <v/>
      </c>
      <c r="L1309" s="4" t="str">
        <f t="array" ref="L1309">IF(ROWS(L$20:L1309)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1309))))</f>
        <v/>
      </c>
      <c r="M1309" s="4" t="str">
        <f t="array" ref="M1309">IF(ROWS(M$20:M1309)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1309))))</f>
        <v/>
      </c>
    </row>
    <row r="1310" spans="1:13" x14ac:dyDescent="0.25">
      <c r="A1310" s="3">
        <v>41422</v>
      </c>
      <c r="B1310" s="2" t="s">
        <v>36</v>
      </c>
      <c r="C1310" s="2">
        <v>38</v>
      </c>
      <c r="G1310" s="7" t="str">
        <f t="array" ref="G1310">IF(ROWS(K$20:K1310)&gt;$F$6,"",INDEX(A$2:A$10000,SMALL(IF(ISNUMBER(MATCH($B$2:$B$10000,$E$6:$E$22,0)),ROW($C$2:$C$10000)-ROW($C$2)+1),ROWS(K$20:K1310))))</f>
        <v/>
      </c>
      <c r="H1310" s="4" t="str">
        <f t="array" ref="H1310">IF(ROWS(L$20:L1310)&gt;$F$6,"",INDEX(B$2:B$10000,SMALL(IF(ISNUMBER(MATCH($B$2:$B$10000,$E$6:$E$22,0)),ROW($C$2:$C$10000)-ROW($C$2)+1),ROWS(L$20:L1310))))</f>
        <v/>
      </c>
      <c r="I1310" s="4" t="str">
        <f t="array" ref="I1310">IF(ROWS(M$20:M1310)&gt;$F$6,"",INDEX(C$2:C$10000,SMALL(IF(ISNUMBER(MATCH($B$2:$B$10000,$E$6:$E$22,0)),ROW($C$2:$C$10000)-ROW($C$2)+1),ROWS(M$20:M1310))))</f>
        <v/>
      </c>
      <c r="K1310" s="7" t="str">
        <f t="array" ref="K1310">IF(ROWS(K$20:K1310)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1310))))</f>
        <v/>
      </c>
      <c r="L1310" s="4" t="str">
        <f t="array" ref="L1310">IF(ROWS(L$20:L1310)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1310))))</f>
        <v/>
      </c>
      <c r="M1310" s="4" t="str">
        <f t="array" ref="M1310">IF(ROWS(M$20:M1310)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1310))))</f>
        <v/>
      </c>
    </row>
    <row r="1311" spans="1:13" x14ac:dyDescent="0.25">
      <c r="A1311" s="3">
        <v>41563</v>
      </c>
      <c r="B1311" s="2" t="s">
        <v>42</v>
      </c>
      <c r="C1311" s="2">
        <v>26</v>
      </c>
      <c r="G1311" s="7" t="str">
        <f t="array" ref="G1311">IF(ROWS(K$20:K1311)&gt;$F$6,"",INDEX(A$2:A$10000,SMALL(IF(ISNUMBER(MATCH($B$2:$B$10000,$E$6:$E$22,0)),ROW($C$2:$C$10000)-ROW($C$2)+1),ROWS(K$20:K1311))))</f>
        <v/>
      </c>
      <c r="H1311" s="4" t="str">
        <f t="array" ref="H1311">IF(ROWS(L$20:L1311)&gt;$F$6,"",INDEX(B$2:B$10000,SMALL(IF(ISNUMBER(MATCH($B$2:$B$10000,$E$6:$E$22,0)),ROW($C$2:$C$10000)-ROW($C$2)+1),ROWS(L$20:L1311))))</f>
        <v/>
      </c>
      <c r="I1311" s="4" t="str">
        <f t="array" ref="I1311">IF(ROWS(M$20:M1311)&gt;$F$6,"",INDEX(C$2:C$10000,SMALL(IF(ISNUMBER(MATCH($B$2:$B$10000,$E$6:$E$22,0)),ROW($C$2:$C$10000)-ROW($C$2)+1),ROWS(M$20:M1311))))</f>
        <v/>
      </c>
      <c r="K1311" s="7" t="str">
        <f t="array" ref="K1311">IF(ROWS(K$20:K1311)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1311))))</f>
        <v/>
      </c>
      <c r="L1311" s="4" t="str">
        <f t="array" ref="L1311">IF(ROWS(L$20:L1311)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1311))))</f>
        <v/>
      </c>
      <c r="M1311" s="4" t="str">
        <f t="array" ref="M1311">IF(ROWS(M$20:M1311)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1311))))</f>
        <v/>
      </c>
    </row>
    <row r="1312" spans="1:13" x14ac:dyDescent="0.25">
      <c r="A1312" s="3">
        <v>42003</v>
      </c>
      <c r="B1312" s="2" t="s">
        <v>39</v>
      </c>
      <c r="C1312" s="2">
        <v>6</v>
      </c>
      <c r="G1312" s="7" t="str">
        <f t="array" ref="G1312">IF(ROWS(K$20:K1312)&gt;$F$6,"",INDEX(A$2:A$10000,SMALL(IF(ISNUMBER(MATCH($B$2:$B$10000,$E$6:$E$22,0)),ROW($C$2:$C$10000)-ROW($C$2)+1),ROWS(K$20:K1312))))</f>
        <v/>
      </c>
      <c r="H1312" s="4" t="str">
        <f t="array" ref="H1312">IF(ROWS(L$20:L1312)&gt;$F$6,"",INDEX(B$2:B$10000,SMALL(IF(ISNUMBER(MATCH($B$2:$B$10000,$E$6:$E$22,0)),ROW($C$2:$C$10000)-ROW($C$2)+1),ROWS(L$20:L1312))))</f>
        <v/>
      </c>
      <c r="I1312" s="4" t="str">
        <f t="array" ref="I1312">IF(ROWS(M$20:M1312)&gt;$F$6,"",INDEX(C$2:C$10000,SMALL(IF(ISNUMBER(MATCH($B$2:$B$10000,$E$6:$E$22,0)),ROW($C$2:$C$10000)-ROW($C$2)+1),ROWS(M$20:M1312))))</f>
        <v/>
      </c>
      <c r="K1312" s="7" t="str">
        <f t="array" ref="K1312">IF(ROWS(K$20:K1312)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1312))))</f>
        <v/>
      </c>
      <c r="L1312" s="4" t="str">
        <f t="array" ref="L1312">IF(ROWS(L$20:L1312)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1312))))</f>
        <v/>
      </c>
      <c r="M1312" s="4" t="str">
        <f t="array" ref="M1312">IF(ROWS(M$20:M1312)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1312))))</f>
        <v/>
      </c>
    </row>
    <row r="1313" spans="1:13" x14ac:dyDescent="0.25">
      <c r="A1313" s="3">
        <v>41852</v>
      </c>
      <c r="B1313" s="2" t="s">
        <v>20</v>
      </c>
      <c r="C1313" s="2">
        <v>40</v>
      </c>
      <c r="G1313" s="7" t="str">
        <f t="array" ref="G1313">IF(ROWS(K$20:K1313)&gt;$F$6,"",INDEX(A$2:A$10000,SMALL(IF(ISNUMBER(MATCH($B$2:$B$10000,$E$6:$E$22,0)),ROW($C$2:$C$10000)-ROW($C$2)+1),ROWS(K$20:K1313))))</f>
        <v/>
      </c>
      <c r="H1313" s="4" t="str">
        <f t="array" ref="H1313">IF(ROWS(L$20:L1313)&gt;$F$6,"",INDEX(B$2:B$10000,SMALL(IF(ISNUMBER(MATCH($B$2:$B$10000,$E$6:$E$22,0)),ROW($C$2:$C$10000)-ROW($C$2)+1),ROWS(L$20:L1313))))</f>
        <v/>
      </c>
      <c r="I1313" s="4" t="str">
        <f t="array" ref="I1313">IF(ROWS(M$20:M1313)&gt;$F$6,"",INDEX(C$2:C$10000,SMALL(IF(ISNUMBER(MATCH($B$2:$B$10000,$E$6:$E$22,0)),ROW($C$2:$C$10000)-ROW($C$2)+1),ROWS(M$20:M1313))))</f>
        <v/>
      </c>
      <c r="K1313" s="7" t="str">
        <f t="array" ref="K1313">IF(ROWS(K$20:K1313)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1313))))</f>
        <v/>
      </c>
      <c r="L1313" s="4" t="str">
        <f t="array" ref="L1313">IF(ROWS(L$20:L1313)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1313))))</f>
        <v/>
      </c>
      <c r="M1313" s="4" t="str">
        <f t="array" ref="M1313">IF(ROWS(M$20:M1313)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1313))))</f>
        <v/>
      </c>
    </row>
    <row r="1314" spans="1:13" x14ac:dyDescent="0.25">
      <c r="A1314" s="3">
        <v>41696</v>
      </c>
      <c r="B1314" s="2" t="s">
        <v>17</v>
      </c>
      <c r="C1314" s="2">
        <v>17</v>
      </c>
      <c r="G1314" s="7" t="str">
        <f t="array" ref="G1314">IF(ROWS(K$20:K1314)&gt;$F$6,"",INDEX(A$2:A$10000,SMALL(IF(ISNUMBER(MATCH($B$2:$B$10000,$E$6:$E$22,0)),ROW($C$2:$C$10000)-ROW($C$2)+1),ROWS(K$20:K1314))))</f>
        <v/>
      </c>
      <c r="H1314" s="4" t="str">
        <f t="array" ref="H1314">IF(ROWS(L$20:L1314)&gt;$F$6,"",INDEX(B$2:B$10000,SMALL(IF(ISNUMBER(MATCH($B$2:$B$10000,$E$6:$E$22,0)),ROW($C$2:$C$10000)-ROW($C$2)+1),ROWS(L$20:L1314))))</f>
        <v/>
      </c>
      <c r="I1314" s="4" t="str">
        <f t="array" ref="I1314">IF(ROWS(M$20:M1314)&gt;$F$6,"",INDEX(C$2:C$10000,SMALL(IF(ISNUMBER(MATCH($B$2:$B$10000,$E$6:$E$22,0)),ROW($C$2:$C$10000)-ROW($C$2)+1),ROWS(M$20:M1314))))</f>
        <v/>
      </c>
      <c r="K1314" s="7" t="str">
        <f t="array" ref="K1314">IF(ROWS(K$20:K1314)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1314))))</f>
        <v/>
      </c>
      <c r="L1314" s="4" t="str">
        <f t="array" ref="L1314">IF(ROWS(L$20:L1314)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1314))))</f>
        <v/>
      </c>
      <c r="M1314" s="4" t="str">
        <f t="array" ref="M1314">IF(ROWS(M$20:M1314)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1314))))</f>
        <v/>
      </c>
    </row>
    <row r="1315" spans="1:13" x14ac:dyDescent="0.25">
      <c r="A1315" s="3">
        <v>41564</v>
      </c>
      <c r="B1315" s="2" t="s">
        <v>42</v>
      </c>
      <c r="C1315" s="2">
        <v>22</v>
      </c>
      <c r="G1315" s="7" t="str">
        <f t="array" ref="G1315">IF(ROWS(K$20:K1315)&gt;$F$6,"",INDEX(A$2:A$10000,SMALL(IF(ISNUMBER(MATCH($B$2:$B$10000,$E$6:$E$22,0)),ROW($C$2:$C$10000)-ROW($C$2)+1),ROWS(K$20:K1315))))</f>
        <v/>
      </c>
      <c r="H1315" s="4" t="str">
        <f t="array" ref="H1315">IF(ROWS(L$20:L1315)&gt;$F$6,"",INDEX(B$2:B$10000,SMALL(IF(ISNUMBER(MATCH($B$2:$B$10000,$E$6:$E$22,0)),ROW($C$2:$C$10000)-ROW($C$2)+1),ROWS(L$20:L1315))))</f>
        <v/>
      </c>
      <c r="I1315" s="4" t="str">
        <f t="array" ref="I1315">IF(ROWS(M$20:M1315)&gt;$F$6,"",INDEX(C$2:C$10000,SMALL(IF(ISNUMBER(MATCH($B$2:$B$10000,$E$6:$E$22,0)),ROW($C$2:$C$10000)-ROW($C$2)+1),ROWS(M$20:M1315))))</f>
        <v/>
      </c>
      <c r="K1315" s="7" t="str">
        <f t="array" ref="K1315">IF(ROWS(K$20:K1315)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1315))))</f>
        <v/>
      </c>
      <c r="L1315" s="4" t="str">
        <f t="array" ref="L1315">IF(ROWS(L$20:L1315)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1315))))</f>
        <v/>
      </c>
      <c r="M1315" s="4" t="str">
        <f t="array" ref="M1315">IF(ROWS(M$20:M1315)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1315))))</f>
        <v/>
      </c>
    </row>
    <row r="1316" spans="1:13" x14ac:dyDescent="0.25">
      <c r="A1316" s="3">
        <v>41394</v>
      </c>
      <c r="B1316" s="2" t="s">
        <v>41</v>
      </c>
      <c r="C1316" s="2">
        <v>25</v>
      </c>
      <c r="G1316" s="7" t="str">
        <f t="array" ref="G1316">IF(ROWS(K$20:K1316)&gt;$F$6,"",INDEX(A$2:A$10000,SMALL(IF(ISNUMBER(MATCH($B$2:$B$10000,$E$6:$E$22,0)),ROW($C$2:$C$10000)-ROW($C$2)+1),ROWS(K$20:K1316))))</f>
        <v/>
      </c>
      <c r="H1316" s="4" t="str">
        <f t="array" ref="H1316">IF(ROWS(L$20:L1316)&gt;$F$6,"",INDEX(B$2:B$10000,SMALL(IF(ISNUMBER(MATCH($B$2:$B$10000,$E$6:$E$22,0)),ROW($C$2:$C$10000)-ROW($C$2)+1),ROWS(L$20:L1316))))</f>
        <v/>
      </c>
      <c r="I1316" s="4" t="str">
        <f t="array" ref="I1316">IF(ROWS(M$20:M1316)&gt;$F$6,"",INDEX(C$2:C$10000,SMALL(IF(ISNUMBER(MATCH($B$2:$B$10000,$E$6:$E$22,0)),ROW($C$2:$C$10000)-ROW($C$2)+1),ROWS(M$20:M1316))))</f>
        <v/>
      </c>
      <c r="K1316" s="7" t="str">
        <f t="array" ref="K1316">IF(ROWS(K$20:K1316)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1316))))</f>
        <v/>
      </c>
      <c r="L1316" s="4" t="str">
        <f t="array" ref="L1316">IF(ROWS(L$20:L1316)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1316))))</f>
        <v/>
      </c>
      <c r="M1316" s="4" t="str">
        <f t="array" ref="M1316">IF(ROWS(M$20:M1316)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1316))))</f>
        <v/>
      </c>
    </row>
    <row r="1317" spans="1:13" x14ac:dyDescent="0.25">
      <c r="A1317" s="3">
        <v>41589</v>
      </c>
      <c r="B1317" s="2" t="s">
        <v>27</v>
      </c>
      <c r="C1317" s="2">
        <v>31</v>
      </c>
      <c r="G1317" s="7" t="str">
        <f t="array" ref="G1317">IF(ROWS(K$20:K1317)&gt;$F$6,"",INDEX(A$2:A$10000,SMALL(IF(ISNUMBER(MATCH($B$2:$B$10000,$E$6:$E$22,0)),ROW($C$2:$C$10000)-ROW($C$2)+1),ROWS(K$20:K1317))))</f>
        <v/>
      </c>
      <c r="H1317" s="4" t="str">
        <f t="array" ref="H1317">IF(ROWS(L$20:L1317)&gt;$F$6,"",INDEX(B$2:B$10000,SMALL(IF(ISNUMBER(MATCH($B$2:$B$10000,$E$6:$E$22,0)),ROW($C$2:$C$10000)-ROW($C$2)+1),ROWS(L$20:L1317))))</f>
        <v/>
      </c>
      <c r="I1317" s="4" t="str">
        <f t="array" ref="I1317">IF(ROWS(M$20:M1317)&gt;$F$6,"",INDEX(C$2:C$10000,SMALL(IF(ISNUMBER(MATCH($B$2:$B$10000,$E$6:$E$22,0)),ROW($C$2:$C$10000)-ROW($C$2)+1),ROWS(M$20:M1317))))</f>
        <v/>
      </c>
      <c r="K1317" s="7" t="str">
        <f t="array" ref="K1317">IF(ROWS(K$20:K1317)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1317))))</f>
        <v/>
      </c>
      <c r="L1317" s="4" t="str">
        <f t="array" ref="L1317">IF(ROWS(L$20:L1317)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1317))))</f>
        <v/>
      </c>
      <c r="M1317" s="4" t="str">
        <f t="array" ref="M1317">IF(ROWS(M$20:M1317)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1317))))</f>
        <v/>
      </c>
    </row>
    <row r="1318" spans="1:13" x14ac:dyDescent="0.25">
      <c r="A1318" s="3">
        <v>41443</v>
      </c>
      <c r="B1318" s="2" t="s">
        <v>40</v>
      </c>
      <c r="C1318" s="2">
        <v>29</v>
      </c>
      <c r="G1318" s="7" t="str">
        <f t="array" ref="G1318">IF(ROWS(K$20:K1318)&gt;$F$6,"",INDEX(A$2:A$10000,SMALL(IF(ISNUMBER(MATCH($B$2:$B$10000,$E$6:$E$22,0)),ROW($C$2:$C$10000)-ROW($C$2)+1),ROWS(K$20:K1318))))</f>
        <v/>
      </c>
      <c r="H1318" s="4" t="str">
        <f t="array" ref="H1318">IF(ROWS(L$20:L1318)&gt;$F$6,"",INDEX(B$2:B$10000,SMALL(IF(ISNUMBER(MATCH($B$2:$B$10000,$E$6:$E$22,0)),ROW($C$2:$C$10000)-ROW($C$2)+1),ROWS(L$20:L1318))))</f>
        <v/>
      </c>
      <c r="I1318" s="4" t="str">
        <f t="array" ref="I1318">IF(ROWS(M$20:M1318)&gt;$F$6,"",INDEX(C$2:C$10000,SMALL(IF(ISNUMBER(MATCH($B$2:$B$10000,$E$6:$E$22,0)),ROW($C$2:$C$10000)-ROW($C$2)+1),ROWS(M$20:M1318))))</f>
        <v/>
      </c>
      <c r="K1318" s="7" t="str">
        <f t="array" ref="K1318">IF(ROWS(K$20:K1318)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1318))))</f>
        <v/>
      </c>
      <c r="L1318" s="4" t="str">
        <f t="array" ref="L1318">IF(ROWS(L$20:L1318)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1318))))</f>
        <v/>
      </c>
      <c r="M1318" s="4" t="str">
        <f t="array" ref="M1318">IF(ROWS(M$20:M1318)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1318))))</f>
        <v/>
      </c>
    </row>
    <row r="1319" spans="1:13" x14ac:dyDescent="0.25">
      <c r="A1319" s="3">
        <v>41952</v>
      </c>
      <c r="B1319" s="2" t="s">
        <v>41</v>
      </c>
      <c r="C1319" s="2">
        <v>5</v>
      </c>
      <c r="G1319" s="7" t="str">
        <f t="array" ref="G1319">IF(ROWS(K$20:K1319)&gt;$F$6,"",INDEX(A$2:A$10000,SMALL(IF(ISNUMBER(MATCH($B$2:$B$10000,$E$6:$E$22,0)),ROW($C$2:$C$10000)-ROW($C$2)+1),ROWS(K$20:K1319))))</f>
        <v/>
      </c>
      <c r="H1319" s="4" t="str">
        <f t="array" ref="H1319">IF(ROWS(L$20:L1319)&gt;$F$6,"",INDEX(B$2:B$10000,SMALL(IF(ISNUMBER(MATCH($B$2:$B$10000,$E$6:$E$22,0)),ROW($C$2:$C$10000)-ROW($C$2)+1),ROWS(L$20:L1319))))</f>
        <v/>
      </c>
      <c r="I1319" s="4" t="str">
        <f t="array" ref="I1319">IF(ROWS(M$20:M1319)&gt;$F$6,"",INDEX(C$2:C$10000,SMALL(IF(ISNUMBER(MATCH($B$2:$B$10000,$E$6:$E$22,0)),ROW($C$2:$C$10000)-ROW($C$2)+1),ROWS(M$20:M1319))))</f>
        <v/>
      </c>
      <c r="K1319" s="7" t="str">
        <f t="array" ref="K1319">IF(ROWS(K$20:K1319)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1319))))</f>
        <v/>
      </c>
      <c r="L1319" s="4" t="str">
        <f t="array" ref="L1319">IF(ROWS(L$20:L1319)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1319))))</f>
        <v/>
      </c>
      <c r="M1319" s="4" t="str">
        <f t="array" ref="M1319">IF(ROWS(M$20:M1319)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1319))))</f>
        <v/>
      </c>
    </row>
    <row r="1320" spans="1:13" x14ac:dyDescent="0.25">
      <c r="A1320" s="3">
        <v>41824</v>
      </c>
      <c r="B1320" s="2" t="s">
        <v>47</v>
      </c>
      <c r="C1320" s="2">
        <v>18</v>
      </c>
      <c r="G1320" s="7" t="str">
        <f t="array" ref="G1320">IF(ROWS(K$20:K1320)&gt;$F$6,"",INDEX(A$2:A$10000,SMALL(IF(ISNUMBER(MATCH($B$2:$B$10000,$E$6:$E$22,0)),ROW($C$2:$C$10000)-ROW($C$2)+1),ROWS(K$20:K1320))))</f>
        <v/>
      </c>
      <c r="H1320" s="4" t="str">
        <f t="array" ref="H1320">IF(ROWS(L$20:L1320)&gt;$F$6,"",INDEX(B$2:B$10000,SMALL(IF(ISNUMBER(MATCH($B$2:$B$10000,$E$6:$E$22,0)),ROW($C$2:$C$10000)-ROW($C$2)+1),ROWS(L$20:L1320))))</f>
        <v/>
      </c>
      <c r="I1320" s="4" t="str">
        <f t="array" ref="I1320">IF(ROWS(M$20:M1320)&gt;$F$6,"",INDEX(C$2:C$10000,SMALL(IF(ISNUMBER(MATCH($B$2:$B$10000,$E$6:$E$22,0)),ROW($C$2:$C$10000)-ROW($C$2)+1),ROWS(M$20:M1320))))</f>
        <v/>
      </c>
      <c r="K1320" s="7" t="str">
        <f t="array" ref="K1320">IF(ROWS(K$20:K1320)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1320))))</f>
        <v/>
      </c>
      <c r="L1320" s="4" t="str">
        <f t="array" ref="L1320">IF(ROWS(L$20:L1320)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1320))))</f>
        <v/>
      </c>
      <c r="M1320" s="4" t="str">
        <f t="array" ref="M1320">IF(ROWS(M$20:M1320)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1320))))</f>
        <v/>
      </c>
    </row>
    <row r="1321" spans="1:13" x14ac:dyDescent="0.25">
      <c r="A1321" s="3">
        <v>41767</v>
      </c>
      <c r="B1321" s="2" t="s">
        <v>45</v>
      </c>
      <c r="C1321" s="2">
        <v>19</v>
      </c>
      <c r="G1321" s="7" t="str">
        <f t="array" ref="G1321">IF(ROWS(K$20:K1321)&gt;$F$6,"",INDEX(A$2:A$10000,SMALL(IF(ISNUMBER(MATCH($B$2:$B$10000,$E$6:$E$22,0)),ROW($C$2:$C$10000)-ROW($C$2)+1),ROWS(K$20:K1321))))</f>
        <v/>
      </c>
      <c r="H1321" s="4" t="str">
        <f t="array" ref="H1321">IF(ROWS(L$20:L1321)&gt;$F$6,"",INDEX(B$2:B$10000,SMALL(IF(ISNUMBER(MATCH($B$2:$B$10000,$E$6:$E$22,0)),ROW($C$2:$C$10000)-ROW($C$2)+1),ROWS(L$20:L1321))))</f>
        <v/>
      </c>
      <c r="I1321" s="4" t="str">
        <f t="array" ref="I1321">IF(ROWS(M$20:M1321)&gt;$F$6,"",INDEX(C$2:C$10000,SMALL(IF(ISNUMBER(MATCH($B$2:$B$10000,$E$6:$E$22,0)),ROW($C$2:$C$10000)-ROW($C$2)+1),ROWS(M$20:M1321))))</f>
        <v/>
      </c>
      <c r="K1321" s="7" t="str">
        <f t="array" ref="K1321">IF(ROWS(K$20:K1321)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1321))))</f>
        <v/>
      </c>
      <c r="L1321" s="4" t="str">
        <f t="array" ref="L1321">IF(ROWS(L$20:L1321)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1321))))</f>
        <v/>
      </c>
      <c r="M1321" s="4" t="str">
        <f t="array" ref="M1321">IF(ROWS(M$20:M1321)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1321))))</f>
        <v/>
      </c>
    </row>
    <row r="1322" spans="1:13" x14ac:dyDescent="0.25">
      <c r="A1322" s="3">
        <v>41715</v>
      </c>
      <c r="B1322" s="2" t="s">
        <v>36</v>
      </c>
      <c r="C1322" s="2">
        <v>8</v>
      </c>
      <c r="G1322" s="7" t="str">
        <f t="array" ref="G1322">IF(ROWS(K$20:K1322)&gt;$F$6,"",INDEX(A$2:A$10000,SMALL(IF(ISNUMBER(MATCH($B$2:$B$10000,$E$6:$E$22,0)),ROW($C$2:$C$10000)-ROW($C$2)+1),ROWS(K$20:K1322))))</f>
        <v/>
      </c>
      <c r="H1322" s="4" t="str">
        <f t="array" ref="H1322">IF(ROWS(L$20:L1322)&gt;$F$6,"",INDEX(B$2:B$10000,SMALL(IF(ISNUMBER(MATCH($B$2:$B$10000,$E$6:$E$22,0)),ROW($C$2:$C$10000)-ROW($C$2)+1),ROWS(L$20:L1322))))</f>
        <v/>
      </c>
      <c r="I1322" s="4" t="str">
        <f t="array" ref="I1322">IF(ROWS(M$20:M1322)&gt;$F$6,"",INDEX(C$2:C$10000,SMALL(IF(ISNUMBER(MATCH($B$2:$B$10000,$E$6:$E$22,0)),ROW($C$2:$C$10000)-ROW($C$2)+1),ROWS(M$20:M1322))))</f>
        <v/>
      </c>
      <c r="K1322" s="7" t="str">
        <f t="array" ref="K1322">IF(ROWS(K$20:K1322)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1322))))</f>
        <v/>
      </c>
      <c r="L1322" s="4" t="str">
        <f t="array" ref="L1322">IF(ROWS(L$20:L1322)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1322))))</f>
        <v/>
      </c>
      <c r="M1322" s="4" t="str">
        <f t="array" ref="M1322">IF(ROWS(M$20:M1322)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1322))))</f>
        <v/>
      </c>
    </row>
    <row r="1323" spans="1:13" x14ac:dyDescent="0.25">
      <c r="A1323" s="3">
        <v>41873</v>
      </c>
      <c r="B1323" s="2" t="s">
        <v>10</v>
      </c>
      <c r="C1323" s="2">
        <v>29</v>
      </c>
      <c r="G1323" s="7" t="str">
        <f t="array" ref="G1323">IF(ROWS(K$20:K1323)&gt;$F$6,"",INDEX(A$2:A$10000,SMALL(IF(ISNUMBER(MATCH($B$2:$B$10000,$E$6:$E$22,0)),ROW($C$2:$C$10000)-ROW($C$2)+1),ROWS(K$20:K1323))))</f>
        <v/>
      </c>
      <c r="H1323" s="4" t="str">
        <f t="array" ref="H1323">IF(ROWS(L$20:L1323)&gt;$F$6,"",INDEX(B$2:B$10000,SMALL(IF(ISNUMBER(MATCH($B$2:$B$10000,$E$6:$E$22,0)),ROW($C$2:$C$10000)-ROW($C$2)+1),ROWS(L$20:L1323))))</f>
        <v/>
      </c>
      <c r="I1323" s="4" t="str">
        <f t="array" ref="I1323">IF(ROWS(M$20:M1323)&gt;$F$6,"",INDEX(C$2:C$10000,SMALL(IF(ISNUMBER(MATCH($B$2:$B$10000,$E$6:$E$22,0)),ROW($C$2:$C$10000)-ROW($C$2)+1),ROWS(M$20:M1323))))</f>
        <v/>
      </c>
      <c r="K1323" s="7" t="str">
        <f t="array" ref="K1323">IF(ROWS(K$20:K1323)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1323))))</f>
        <v/>
      </c>
      <c r="L1323" s="4" t="str">
        <f t="array" ref="L1323">IF(ROWS(L$20:L1323)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1323))))</f>
        <v/>
      </c>
      <c r="M1323" s="4" t="str">
        <f t="array" ref="M1323">IF(ROWS(M$20:M1323)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1323))))</f>
        <v/>
      </c>
    </row>
    <row r="1324" spans="1:13" x14ac:dyDescent="0.25">
      <c r="A1324" s="3">
        <v>41364</v>
      </c>
      <c r="B1324" s="2" t="s">
        <v>25</v>
      </c>
      <c r="C1324" s="2">
        <v>43</v>
      </c>
      <c r="G1324" s="7" t="str">
        <f t="array" ref="G1324">IF(ROWS(K$20:K1324)&gt;$F$6,"",INDEX(A$2:A$10000,SMALL(IF(ISNUMBER(MATCH($B$2:$B$10000,$E$6:$E$22,0)),ROW($C$2:$C$10000)-ROW($C$2)+1),ROWS(K$20:K1324))))</f>
        <v/>
      </c>
      <c r="H1324" s="4" t="str">
        <f t="array" ref="H1324">IF(ROWS(L$20:L1324)&gt;$F$6,"",INDEX(B$2:B$10000,SMALL(IF(ISNUMBER(MATCH($B$2:$B$10000,$E$6:$E$22,0)),ROW($C$2:$C$10000)-ROW($C$2)+1),ROWS(L$20:L1324))))</f>
        <v/>
      </c>
      <c r="I1324" s="4" t="str">
        <f t="array" ref="I1324">IF(ROWS(M$20:M1324)&gt;$F$6,"",INDEX(C$2:C$10000,SMALL(IF(ISNUMBER(MATCH($B$2:$B$10000,$E$6:$E$22,0)),ROW($C$2:$C$10000)-ROW($C$2)+1),ROWS(M$20:M1324))))</f>
        <v/>
      </c>
      <c r="K1324" s="7" t="str">
        <f t="array" ref="K1324">IF(ROWS(K$20:K1324)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1324))))</f>
        <v/>
      </c>
      <c r="L1324" s="4" t="str">
        <f t="array" ref="L1324">IF(ROWS(L$20:L1324)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1324))))</f>
        <v/>
      </c>
      <c r="M1324" s="4" t="str">
        <f t="array" ref="M1324">IF(ROWS(M$20:M1324)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1324))))</f>
        <v/>
      </c>
    </row>
    <row r="1325" spans="1:13" x14ac:dyDescent="0.25">
      <c r="A1325" s="3">
        <v>41681</v>
      </c>
      <c r="B1325" s="2" t="s">
        <v>36</v>
      </c>
      <c r="C1325" s="2">
        <v>42</v>
      </c>
      <c r="G1325" s="7" t="str">
        <f t="array" ref="G1325">IF(ROWS(K$20:K1325)&gt;$F$6,"",INDEX(A$2:A$10000,SMALL(IF(ISNUMBER(MATCH($B$2:$B$10000,$E$6:$E$22,0)),ROW($C$2:$C$10000)-ROW($C$2)+1),ROWS(K$20:K1325))))</f>
        <v/>
      </c>
      <c r="H1325" s="4" t="str">
        <f t="array" ref="H1325">IF(ROWS(L$20:L1325)&gt;$F$6,"",INDEX(B$2:B$10000,SMALL(IF(ISNUMBER(MATCH($B$2:$B$10000,$E$6:$E$22,0)),ROW($C$2:$C$10000)-ROW($C$2)+1),ROWS(L$20:L1325))))</f>
        <v/>
      </c>
      <c r="I1325" s="4" t="str">
        <f t="array" ref="I1325">IF(ROWS(M$20:M1325)&gt;$F$6,"",INDEX(C$2:C$10000,SMALL(IF(ISNUMBER(MATCH($B$2:$B$10000,$E$6:$E$22,0)),ROW($C$2:$C$10000)-ROW($C$2)+1),ROWS(M$20:M1325))))</f>
        <v/>
      </c>
      <c r="K1325" s="7" t="str">
        <f t="array" ref="K1325">IF(ROWS(K$20:K1325)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1325))))</f>
        <v/>
      </c>
      <c r="L1325" s="4" t="str">
        <f t="array" ref="L1325">IF(ROWS(L$20:L1325)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1325))))</f>
        <v/>
      </c>
      <c r="M1325" s="4" t="str">
        <f t="array" ref="M1325">IF(ROWS(M$20:M1325)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1325))))</f>
        <v/>
      </c>
    </row>
    <row r="1326" spans="1:13" x14ac:dyDescent="0.25">
      <c r="A1326" s="3">
        <v>41442</v>
      </c>
      <c r="B1326" s="2" t="s">
        <v>17</v>
      </c>
      <c r="C1326" s="2">
        <v>35</v>
      </c>
      <c r="G1326" s="7" t="str">
        <f t="array" ref="G1326">IF(ROWS(K$20:K1326)&gt;$F$6,"",INDEX(A$2:A$10000,SMALL(IF(ISNUMBER(MATCH($B$2:$B$10000,$E$6:$E$22,0)),ROW($C$2:$C$10000)-ROW($C$2)+1),ROWS(K$20:K1326))))</f>
        <v/>
      </c>
      <c r="H1326" s="4" t="str">
        <f t="array" ref="H1326">IF(ROWS(L$20:L1326)&gt;$F$6,"",INDEX(B$2:B$10000,SMALL(IF(ISNUMBER(MATCH($B$2:$B$10000,$E$6:$E$22,0)),ROW($C$2:$C$10000)-ROW($C$2)+1),ROWS(L$20:L1326))))</f>
        <v/>
      </c>
      <c r="I1326" s="4" t="str">
        <f t="array" ref="I1326">IF(ROWS(M$20:M1326)&gt;$F$6,"",INDEX(C$2:C$10000,SMALL(IF(ISNUMBER(MATCH($B$2:$B$10000,$E$6:$E$22,0)),ROW($C$2:$C$10000)-ROW($C$2)+1),ROWS(M$20:M1326))))</f>
        <v/>
      </c>
      <c r="K1326" s="7" t="str">
        <f t="array" ref="K1326">IF(ROWS(K$20:K1326)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1326))))</f>
        <v/>
      </c>
      <c r="L1326" s="4" t="str">
        <f t="array" ref="L1326">IF(ROWS(L$20:L1326)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1326))))</f>
        <v/>
      </c>
      <c r="M1326" s="4" t="str">
        <f t="array" ref="M1326">IF(ROWS(M$20:M1326)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1326))))</f>
        <v/>
      </c>
    </row>
    <row r="1327" spans="1:13" x14ac:dyDescent="0.25">
      <c r="A1327" s="3">
        <v>41630</v>
      </c>
      <c r="B1327" s="2" t="s">
        <v>6</v>
      </c>
      <c r="C1327" s="2">
        <v>46</v>
      </c>
      <c r="G1327" s="7" t="str">
        <f t="array" ref="G1327">IF(ROWS(K$20:K1327)&gt;$F$6,"",INDEX(A$2:A$10000,SMALL(IF(ISNUMBER(MATCH($B$2:$B$10000,$E$6:$E$22,0)),ROW($C$2:$C$10000)-ROW($C$2)+1),ROWS(K$20:K1327))))</f>
        <v/>
      </c>
      <c r="H1327" s="4" t="str">
        <f t="array" ref="H1327">IF(ROWS(L$20:L1327)&gt;$F$6,"",INDEX(B$2:B$10000,SMALL(IF(ISNUMBER(MATCH($B$2:$B$10000,$E$6:$E$22,0)),ROW($C$2:$C$10000)-ROW($C$2)+1),ROWS(L$20:L1327))))</f>
        <v/>
      </c>
      <c r="I1327" s="4" t="str">
        <f t="array" ref="I1327">IF(ROWS(M$20:M1327)&gt;$F$6,"",INDEX(C$2:C$10000,SMALL(IF(ISNUMBER(MATCH($B$2:$B$10000,$E$6:$E$22,0)),ROW($C$2:$C$10000)-ROW($C$2)+1),ROWS(M$20:M1327))))</f>
        <v/>
      </c>
      <c r="K1327" s="7" t="str">
        <f t="array" ref="K1327">IF(ROWS(K$20:K1327)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1327))))</f>
        <v/>
      </c>
      <c r="L1327" s="4" t="str">
        <f t="array" ref="L1327">IF(ROWS(L$20:L1327)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1327))))</f>
        <v/>
      </c>
      <c r="M1327" s="4" t="str">
        <f t="array" ref="M1327">IF(ROWS(M$20:M1327)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1327))))</f>
        <v/>
      </c>
    </row>
    <row r="1328" spans="1:13" x14ac:dyDescent="0.25">
      <c r="A1328" s="3">
        <v>41531</v>
      </c>
      <c r="B1328" s="2" t="s">
        <v>45</v>
      </c>
      <c r="C1328" s="2">
        <v>39</v>
      </c>
      <c r="G1328" s="7" t="str">
        <f t="array" ref="G1328">IF(ROWS(K$20:K1328)&gt;$F$6,"",INDEX(A$2:A$10000,SMALL(IF(ISNUMBER(MATCH($B$2:$B$10000,$E$6:$E$22,0)),ROW($C$2:$C$10000)-ROW($C$2)+1),ROWS(K$20:K1328))))</f>
        <v/>
      </c>
      <c r="H1328" s="4" t="str">
        <f t="array" ref="H1328">IF(ROWS(L$20:L1328)&gt;$F$6,"",INDEX(B$2:B$10000,SMALL(IF(ISNUMBER(MATCH($B$2:$B$10000,$E$6:$E$22,0)),ROW($C$2:$C$10000)-ROW($C$2)+1),ROWS(L$20:L1328))))</f>
        <v/>
      </c>
      <c r="I1328" s="4" t="str">
        <f t="array" ref="I1328">IF(ROWS(M$20:M1328)&gt;$F$6,"",INDEX(C$2:C$10000,SMALL(IF(ISNUMBER(MATCH($B$2:$B$10000,$E$6:$E$22,0)),ROW($C$2:$C$10000)-ROW($C$2)+1),ROWS(M$20:M1328))))</f>
        <v/>
      </c>
      <c r="K1328" s="7" t="str">
        <f t="array" ref="K1328">IF(ROWS(K$20:K1328)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1328))))</f>
        <v/>
      </c>
      <c r="L1328" s="4" t="str">
        <f t="array" ref="L1328">IF(ROWS(L$20:L1328)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1328))))</f>
        <v/>
      </c>
      <c r="M1328" s="4" t="str">
        <f t="array" ref="M1328">IF(ROWS(M$20:M1328)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1328))))</f>
        <v/>
      </c>
    </row>
    <row r="1329" spans="1:13" x14ac:dyDescent="0.25">
      <c r="A1329" s="3">
        <v>41696</v>
      </c>
      <c r="B1329" s="2" t="s">
        <v>51</v>
      </c>
      <c r="C1329" s="2">
        <v>14</v>
      </c>
      <c r="G1329" s="7" t="str">
        <f t="array" ref="G1329">IF(ROWS(K$20:K1329)&gt;$F$6,"",INDEX(A$2:A$10000,SMALL(IF(ISNUMBER(MATCH($B$2:$B$10000,$E$6:$E$22,0)),ROW($C$2:$C$10000)-ROW($C$2)+1),ROWS(K$20:K1329))))</f>
        <v/>
      </c>
      <c r="H1329" s="4" t="str">
        <f t="array" ref="H1329">IF(ROWS(L$20:L1329)&gt;$F$6,"",INDEX(B$2:B$10000,SMALL(IF(ISNUMBER(MATCH($B$2:$B$10000,$E$6:$E$22,0)),ROW($C$2:$C$10000)-ROW($C$2)+1),ROWS(L$20:L1329))))</f>
        <v/>
      </c>
      <c r="I1329" s="4" t="str">
        <f t="array" ref="I1329">IF(ROWS(M$20:M1329)&gt;$F$6,"",INDEX(C$2:C$10000,SMALL(IF(ISNUMBER(MATCH($B$2:$B$10000,$E$6:$E$22,0)),ROW($C$2:$C$10000)-ROW($C$2)+1),ROWS(M$20:M1329))))</f>
        <v/>
      </c>
      <c r="K1329" s="7" t="str">
        <f t="array" ref="K1329">IF(ROWS(K$20:K1329)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1329))))</f>
        <v/>
      </c>
      <c r="L1329" s="4" t="str">
        <f t="array" ref="L1329">IF(ROWS(L$20:L1329)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1329))))</f>
        <v/>
      </c>
      <c r="M1329" s="4" t="str">
        <f t="array" ref="M1329">IF(ROWS(M$20:M1329)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1329))))</f>
        <v/>
      </c>
    </row>
    <row r="1330" spans="1:13" x14ac:dyDescent="0.25">
      <c r="A1330" s="3">
        <v>41800</v>
      </c>
      <c r="B1330" s="2" t="s">
        <v>9</v>
      </c>
      <c r="C1330" s="2">
        <v>33</v>
      </c>
      <c r="G1330" s="7" t="str">
        <f t="array" ref="G1330">IF(ROWS(K$20:K1330)&gt;$F$6,"",INDEX(A$2:A$10000,SMALL(IF(ISNUMBER(MATCH($B$2:$B$10000,$E$6:$E$22,0)),ROW($C$2:$C$10000)-ROW($C$2)+1),ROWS(K$20:K1330))))</f>
        <v/>
      </c>
      <c r="H1330" s="4" t="str">
        <f t="array" ref="H1330">IF(ROWS(L$20:L1330)&gt;$F$6,"",INDEX(B$2:B$10000,SMALL(IF(ISNUMBER(MATCH($B$2:$B$10000,$E$6:$E$22,0)),ROW($C$2:$C$10000)-ROW($C$2)+1),ROWS(L$20:L1330))))</f>
        <v/>
      </c>
      <c r="I1330" s="4" t="str">
        <f t="array" ref="I1330">IF(ROWS(M$20:M1330)&gt;$F$6,"",INDEX(C$2:C$10000,SMALL(IF(ISNUMBER(MATCH($B$2:$B$10000,$E$6:$E$22,0)),ROW($C$2:$C$10000)-ROW($C$2)+1),ROWS(M$20:M1330))))</f>
        <v/>
      </c>
      <c r="K1330" s="7" t="str">
        <f t="array" ref="K1330">IF(ROWS(K$20:K1330)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1330))))</f>
        <v/>
      </c>
      <c r="L1330" s="4" t="str">
        <f t="array" ref="L1330">IF(ROWS(L$20:L1330)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1330))))</f>
        <v/>
      </c>
      <c r="M1330" s="4" t="str">
        <f t="array" ref="M1330">IF(ROWS(M$20:M1330)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1330))))</f>
        <v/>
      </c>
    </row>
    <row r="1331" spans="1:13" x14ac:dyDescent="0.25">
      <c r="A1331" s="3">
        <v>41917</v>
      </c>
      <c r="B1331" s="2" t="s">
        <v>9</v>
      </c>
      <c r="C1331" s="2">
        <v>35</v>
      </c>
      <c r="G1331" s="7" t="str">
        <f t="array" ref="G1331">IF(ROWS(K$20:K1331)&gt;$F$6,"",INDEX(A$2:A$10000,SMALL(IF(ISNUMBER(MATCH($B$2:$B$10000,$E$6:$E$22,0)),ROW($C$2:$C$10000)-ROW($C$2)+1),ROWS(K$20:K1331))))</f>
        <v/>
      </c>
      <c r="H1331" s="4" t="str">
        <f t="array" ref="H1331">IF(ROWS(L$20:L1331)&gt;$F$6,"",INDEX(B$2:B$10000,SMALL(IF(ISNUMBER(MATCH($B$2:$B$10000,$E$6:$E$22,0)),ROW($C$2:$C$10000)-ROW($C$2)+1),ROWS(L$20:L1331))))</f>
        <v/>
      </c>
      <c r="I1331" s="4" t="str">
        <f t="array" ref="I1331">IF(ROWS(M$20:M1331)&gt;$F$6,"",INDEX(C$2:C$10000,SMALL(IF(ISNUMBER(MATCH($B$2:$B$10000,$E$6:$E$22,0)),ROW($C$2:$C$10000)-ROW($C$2)+1),ROWS(M$20:M1331))))</f>
        <v/>
      </c>
      <c r="K1331" s="7" t="str">
        <f t="array" ref="K1331">IF(ROWS(K$20:K1331)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1331))))</f>
        <v/>
      </c>
      <c r="L1331" s="4" t="str">
        <f t="array" ref="L1331">IF(ROWS(L$20:L1331)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1331))))</f>
        <v/>
      </c>
      <c r="M1331" s="4" t="str">
        <f t="array" ref="M1331">IF(ROWS(M$20:M1331)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1331))))</f>
        <v/>
      </c>
    </row>
    <row r="1332" spans="1:13" x14ac:dyDescent="0.25">
      <c r="A1332" s="3">
        <v>41980</v>
      </c>
      <c r="B1332" s="2" t="s">
        <v>19</v>
      </c>
      <c r="C1332" s="2">
        <v>24</v>
      </c>
      <c r="G1332" s="7" t="str">
        <f t="array" ref="G1332">IF(ROWS(K$20:K1332)&gt;$F$6,"",INDEX(A$2:A$10000,SMALL(IF(ISNUMBER(MATCH($B$2:$B$10000,$E$6:$E$22,0)),ROW($C$2:$C$10000)-ROW($C$2)+1),ROWS(K$20:K1332))))</f>
        <v/>
      </c>
      <c r="H1332" s="4" t="str">
        <f t="array" ref="H1332">IF(ROWS(L$20:L1332)&gt;$F$6,"",INDEX(B$2:B$10000,SMALL(IF(ISNUMBER(MATCH($B$2:$B$10000,$E$6:$E$22,0)),ROW($C$2:$C$10000)-ROW($C$2)+1),ROWS(L$20:L1332))))</f>
        <v/>
      </c>
      <c r="I1332" s="4" t="str">
        <f t="array" ref="I1332">IF(ROWS(M$20:M1332)&gt;$F$6,"",INDEX(C$2:C$10000,SMALL(IF(ISNUMBER(MATCH($B$2:$B$10000,$E$6:$E$22,0)),ROW($C$2:$C$10000)-ROW($C$2)+1),ROWS(M$20:M1332))))</f>
        <v/>
      </c>
      <c r="K1332" s="7" t="str">
        <f t="array" ref="K1332">IF(ROWS(K$20:K1332)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1332))))</f>
        <v/>
      </c>
      <c r="L1332" s="4" t="str">
        <f t="array" ref="L1332">IF(ROWS(L$20:L1332)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1332))))</f>
        <v/>
      </c>
      <c r="M1332" s="4" t="str">
        <f t="array" ref="M1332">IF(ROWS(M$20:M1332)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1332))))</f>
        <v/>
      </c>
    </row>
    <row r="1333" spans="1:13" x14ac:dyDescent="0.25">
      <c r="A1333" s="3">
        <v>41721</v>
      </c>
      <c r="B1333" s="2" t="s">
        <v>50</v>
      </c>
      <c r="C1333" s="2">
        <v>2</v>
      </c>
      <c r="G1333" s="7" t="str">
        <f t="array" ref="G1333">IF(ROWS(K$20:K1333)&gt;$F$6,"",INDEX(A$2:A$10000,SMALL(IF(ISNUMBER(MATCH($B$2:$B$10000,$E$6:$E$22,0)),ROW($C$2:$C$10000)-ROW($C$2)+1),ROWS(K$20:K1333))))</f>
        <v/>
      </c>
      <c r="H1333" s="4" t="str">
        <f t="array" ref="H1333">IF(ROWS(L$20:L1333)&gt;$F$6,"",INDEX(B$2:B$10000,SMALL(IF(ISNUMBER(MATCH($B$2:$B$10000,$E$6:$E$22,0)),ROW($C$2:$C$10000)-ROW($C$2)+1),ROWS(L$20:L1333))))</f>
        <v/>
      </c>
      <c r="I1333" s="4" t="str">
        <f t="array" ref="I1333">IF(ROWS(M$20:M1333)&gt;$F$6,"",INDEX(C$2:C$10000,SMALL(IF(ISNUMBER(MATCH($B$2:$B$10000,$E$6:$E$22,0)),ROW($C$2:$C$10000)-ROW($C$2)+1),ROWS(M$20:M1333))))</f>
        <v/>
      </c>
      <c r="K1333" s="7" t="str">
        <f t="array" ref="K1333">IF(ROWS(K$20:K1333)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1333))))</f>
        <v/>
      </c>
      <c r="L1333" s="4" t="str">
        <f t="array" ref="L1333">IF(ROWS(L$20:L1333)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1333))))</f>
        <v/>
      </c>
      <c r="M1333" s="4" t="str">
        <f t="array" ref="M1333">IF(ROWS(M$20:M1333)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1333))))</f>
        <v/>
      </c>
    </row>
    <row r="1334" spans="1:13" x14ac:dyDescent="0.25">
      <c r="A1334" s="3">
        <v>41807</v>
      </c>
      <c r="B1334" s="2" t="s">
        <v>31</v>
      </c>
      <c r="C1334" s="2">
        <v>23</v>
      </c>
      <c r="G1334" s="7" t="str">
        <f t="array" ref="G1334">IF(ROWS(K$20:K1334)&gt;$F$6,"",INDEX(A$2:A$10000,SMALL(IF(ISNUMBER(MATCH($B$2:$B$10000,$E$6:$E$22,0)),ROW($C$2:$C$10000)-ROW($C$2)+1),ROWS(K$20:K1334))))</f>
        <v/>
      </c>
      <c r="H1334" s="4" t="str">
        <f t="array" ref="H1334">IF(ROWS(L$20:L1334)&gt;$F$6,"",INDEX(B$2:B$10000,SMALL(IF(ISNUMBER(MATCH($B$2:$B$10000,$E$6:$E$22,0)),ROW($C$2:$C$10000)-ROW($C$2)+1),ROWS(L$20:L1334))))</f>
        <v/>
      </c>
      <c r="I1334" s="4" t="str">
        <f t="array" ref="I1334">IF(ROWS(M$20:M1334)&gt;$F$6,"",INDEX(C$2:C$10000,SMALL(IF(ISNUMBER(MATCH($B$2:$B$10000,$E$6:$E$22,0)),ROW($C$2:$C$10000)-ROW($C$2)+1),ROWS(M$20:M1334))))</f>
        <v/>
      </c>
      <c r="K1334" s="7" t="str">
        <f t="array" ref="K1334">IF(ROWS(K$20:K1334)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1334))))</f>
        <v/>
      </c>
      <c r="L1334" s="4" t="str">
        <f t="array" ref="L1334">IF(ROWS(L$20:L1334)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1334))))</f>
        <v/>
      </c>
      <c r="M1334" s="4" t="str">
        <f t="array" ref="M1334">IF(ROWS(M$20:M1334)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1334))))</f>
        <v/>
      </c>
    </row>
    <row r="1335" spans="1:13" x14ac:dyDescent="0.25">
      <c r="A1335" s="3">
        <v>41681</v>
      </c>
      <c r="B1335" s="2" t="s">
        <v>24</v>
      </c>
      <c r="C1335" s="2">
        <v>40</v>
      </c>
      <c r="G1335" s="7" t="str">
        <f t="array" ref="G1335">IF(ROWS(K$20:K1335)&gt;$F$6,"",INDEX(A$2:A$10000,SMALL(IF(ISNUMBER(MATCH($B$2:$B$10000,$E$6:$E$22,0)),ROW($C$2:$C$10000)-ROW($C$2)+1),ROWS(K$20:K1335))))</f>
        <v/>
      </c>
      <c r="H1335" s="4" t="str">
        <f t="array" ref="H1335">IF(ROWS(L$20:L1335)&gt;$F$6,"",INDEX(B$2:B$10000,SMALL(IF(ISNUMBER(MATCH($B$2:$B$10000,$E$6:$E$22,0)),ROW($C$2:$C$10000)-ROW($C$2)+1),ROWS(L$20:L1335))))</f>
        <v/>
      </c>
      <c r="I1335" s="4" t="str">
        <f t="array" ref="I1335">IF(ROWS(M$20:M1335)&gt;$F$6,"",INDEX(C$2:C$10000,SMALL(IF(ISNUMBER(MATCH($B$2:$B$10000,$E$6:$E$22,0)),ROW($C$2:$C$10000)-ROW($C$2)+1),ROWS(M$20:M1335))))</f>
        <v/>
      </c>
      <c r="K1335" s="7" t="str">
        <f t="array" ref="K1335">IF(ROWS(K$20:K1335)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1335))))</f>
        <v/>
      </c>
      <c r="L1335" s="4" t="str">
        <f t="array" ref="L1335">IF(ROWS(L$20:L1335)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1335))))</f>
        <v/>
      </c>
      <c r="M1335" s="4" t="str">
        <f t="array" ref="M1335">IF(ROWS(M$20:M1335)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1335))))</f>
        <v/>
      </c>
    </row>
    <row r="1336" spans="1:13" x14ac:dyDescent="0.25">
      <c r="A1336" s="3">
        <v>41414</v>
      </c>
      <c r="B1336" s="2" t="s">
        <v>40</v>
      </c>
      <c r="C1336" s="2">
        <v>44</v>
      </c>
      <c r="G1336" s="7" t="str">
        <f t="array" ref="G1336">IF(ROWS(K$20:K1336)&gt;$F$6,"",INDEX(A$2:A$10000,SMALL(IF(ISNUMBER(MATCH($B$2:$B$10000,$E$6:$E$22,0)),ROW($C$2:$C$10000)-ROW($C$2)+1),ROWS(K$20:K1336))))</f>
        <v/>
      </c>
      <c r="H1336" s="4" t="str">
        <f t="array" ref="H1336">IF(ROWS(L$20:L1336)&gt;$F$6,"",INDEX(B$2:B$10000,SMALL(IF(ISNUMBER(MATCH($B$2:$B$10000,$E$6:$E$22,0)),ROW($C$2:$C$10000)-ROW($C$2)+1),ROWS(L$20:L1336))))</f>
        <v/>
      </c>
      <c r="I1336" s="4" t="str">
        <f t="array" ref="I1336">IF(ROWS(M$20:M1336)&gt;$F$6,"",INDEX(C$2:C$10000,SMALL(IF(ISNUMBER(MATCH($B$2:$B$10000,$E$6:$E$22,0)),ROW($C$2:$C$10000)-ROW($C$2)+1),ROWS(M$20:M1336))))</f>
        <v/>
      </c>
      <c r="K1336" s="7" t="str">
        <f t="array" ref="K1336">IF(ROWS(K$20:K1336)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1336))))</f>
        <v/>
      </c>
      <c r="L1336" s="4" t="str">
        <f t="array" ref="L1336">IF(ROWS(L$20:L1336)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1336))))</f>
        <v/>
      </c>
      <c r="M1336" s="4" t="str">
        <f t="array" ref="M1336">IF(ROWS(M$20:M1336)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1336))))</f>
        <v/>
      </c>
    </row>
    <row r="1337" spans="1:13" x14ac:dyDescent="0.25">
      <c r="A1337" s="3">
        <v>41977</v>
      </c>
      <c r="B1337" s="2" t="s">
        <v>46</v>
      </c>
      <c r="C1337" s="2">
        <v>10</v>
      </c>
      <c r="G1337" s="7" t="str">
        <f t="array" ref="G1337">IF(ROWS(K$20:K1337)&gt;$F$6,"",INDEX(A$2:A$10000,SMALL(IF(ISNUMBER(MATCH($B$2:$B$10000,$E$6:$E$22,0)),ROW($C$2:$C$10000)-ROW($C$2)+1),ROWS(K$20:K1337))))</f>
        <v/>
      </c>
      <c r="H1337" s="4" t="str">
        <f t="array" ref="H1337">IF(ROWS(L$20:L1337)&gt;$F$6,"",INDEX(B$2:B$10000,SMALL(IF(ISNUMBER(MATCH($B$2:$B$10000,$E$6:$E$22,0)),ROW($C$2:$C$10000)-ROW($C$2)+1),ROWS(L$20:L1337))))</f>
        <v/>
      </c>
      <c r="I1337" s="4" t="str">
        <f t="array" ref="I1337">IF(ROWS(M$20:M1337)&gt;$F$6,"",INDEX(C$2:C$10000,SMALL(IF(ISNUMBER(MATCH($B$2:$B$10000,$E$6:$E$22,0)),ROW($C$2:$C$10000)-ROW($C$2)+1),ROWS(M$20:M1337))))</f>
        <v/>
      </c>
      <c r="K1337" s="7" t="str">
        <f t="array" ref="K1337">IF(ROWS(K$20:K1337)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1337))))</f>
        <v/>
      </c>
      <c r="L1337" s="4" t="str">
        <f t="array" ref="L1337">IF(ROWS(L$20:L1337)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1337))))</f>
        <v/>
      </c>
      <c r="M1337" s="4" t="str">
        <f t="array" ref="M1337">IF(ROWS(M$20:M1337)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1337))))</f>
        <v/>
      </c>
    </row>
    <row r="1338" spans="1:13" x14ac:dyDescent="0.25">
      <c r="A1338" s="3">
        <v>41453</v>
      </c>
      <c r="B1338" s="2" t="s">
        <v>2</v>
      </c>
      <c r="C1338" s="2">
        <v>40</v>
      </c>
      <c r="G1338" s="7" t="str">
        <f t="array" ref="G1338">IF(ROWS(K$20:K1338)&gt;$F$6,"",INDEX(A$2:A$10000,SMALL(IF(ISNUMBER(MATCH($B$2:$B$10000,$E$6:$E$22,0)),ROW($C$2:$C$10000)-ROW($C$2)+1),ROWS(K$20:K1338))))</f>
        <v/>
      </c>
      <c r="H1338" s="4" t="str">
        <f t="array" ref="H1338">IF(ROWS(L$20:L1338)&gt;$F$6,"",INDEX(B$2:B$10000,SMALL(IF(ISNUMBER(MATCH($B$2:$B$10000,$E$6:$E$22,0)),ROW($C$2:$C$10000)-ROW($C$2)+1),ROWS(L$20:L1338))))</f>
        <v/>
      </c>
      <c r="I1338" s="4" t="str">
        <f t="array" ref="I1338">IF(ROWS(M$20:M1338)&gt;$F$6,"",INDEX(C$2:C$10000,SMALL(IF(ISNUMBER(MATCH($B$2:$B$10000,$E$6:$E$22,0)),ROW($C$2:$C$10000)-ROW($C$2)+1),ROWS(M$20:M1338))))</f>
        <v/>
      </c>
      <c r="K1338" s="7" t="str">
        <f t="array" ref="K1338">IF(ROWS(K$20:K1338)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1338))))</f>
        <v/>
      </c>
      <c r="L1338" s="4" t="str">
        <f t="array" ref="L1338">IF(ROWS(L$20:L1338)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1338))))</f>
        <v/>
      </c>
      <c r="M1338" s="4" t="str">
        <f t="array" ref="M1338">IF(ROWS(M$20:M1338)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1338))))</f>
        <v/>
      </c>
    </row>
    <row r="1339" spans="1:13" x14ac:dyDescent="0.25">
      <c r="A1339" s="3">
        <v>41720</v>
      </c>
      <c r="B1339" s="2" t="s">
        <v>41</v>
      </c>
      <c r="C1339" s="2">
        <v>52</v>
      </c>
      <c r="G1339" s="7" t="str">
        <f t="array" ref="G1339">IF(ROWS(K$20:K1339)&gt;$F$6,"",INDEX(A$2:A$10000,SMALL(IF(ISNUMBER(MATCH($B$2:$B$10000,$E$6:$E$22,0)),ROW($C$2:$C$10000)-ROW($C$2)+1),ROWS(K$20:K1339))))</f>
        <v/>
      </c>
      <c r="H1339" s="4" t="str">
        <f t="array" ref="H1339">IF(ROWS(L$20:L1339)&gt;$F$6,"",INDEX(B$2:B$10000,SMALL(IF(ISNUMBER(MATCH($B$2:$B$10000,$E$6:$E$22,0)),ROW($C$2:$C$10000)-ROW($C$2)+1),ROWS(L$20:L1339))))</f>
        <v/>
      </c>
      <c r="I1339" s="4" t="str">
        <f t="array" ref="I1339">IF(ROWS(M$20:M1339)&gt;$F$6,"",INDEX(C$2:C$10000,SMALL(IF(ISNUMBER(MATCH($B$2:$B$10000,$E$6:$E$22,0)),ROW($C$2:$C$10000)-ROW($C$2)+1),ROWS(M$20:M1339))))</f>
        <v/>
      </c>
      <c r="K1339" s="7" t="str">
        <f t="array" ref="K1339">IF(ROWS(K$20:K1339)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1339))))</f>
        <v/>
      </c>
      <c r="L1339" s="4" t="str">
        <f t="array" ref="L1339">IF(ROWS(L$20:L1339)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1339))))</f>
        <v/>
      </c>
      <c r="M1339" s="4" t="str">
        <f t="array" ref="M1339">IF(ROWS(M$20:M1339)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1339))))</f>
        <v/>
      </c>
    </row>
    <row r="1340" spans="1:13" x14ac:dyDescent="0.25">
      <c r="A1340" s="3">
        <v>41496</v>
      </c>
      <c r="B1340" s="2" t="s">
        <v>15</v>
      </c>
      <c r="C1340" s="2">
        <v>2</v>
      </c>
      <c r="G1340" s="7" t="str">
        <f t="array" ref="G1340">IF(ROWS(K$20:K1340)&gt;$F$6,"",INDEX(A$2:A$10000,SMALL(IF(ISNUMBER(MATCH($B$2:$B$10000,$E$6:$E$22,0)),ROW($C$2:$C$10000)-ROW($C$2)+1),ROWS(K$20:K1340))))</f>
        <v/>
      </c>
      <c r="H1340" s="4" t="str">
        <f t="array" ref="H1340">IF(ROWS(L$20:L1340)&gt;$F$6,"",INDEX(B$2:B$10000,SMALL(IF(ISNUMBER(MATCH($B$2:$B$10000,$E$6:$E$22,0)),ROW($C$2:$C$10000)-ROW($C$2)+1),ROWS(L$20:L1340))))</f>
        <v/>
      </c>
      <c r="I1340" s="4" t="str">
        <f t="array" ref="I1340">IF(ROWS(M$20:M1340)&gt;$F$6,"",INDEX(C$2:C$10000,SMALL(IF(ISNUMBER(MATCH($B$2:$B$10000,$E$6:$E$22,0)),ROW($C$2:$C$10000)-ROW($C$2)+1),ROWS(M$20:M1340))))</f>
        <v/>
      </c>
      <c r="K1340" s="7" t="str">
        <f t="array" ref="K1340">IF(ROWS(K$20:K1340)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1340))))</f>
        <v/>
      </c>
      <c r="L1340" s="4" t="str">
        <f t="array" ref="L1340">IF(ROWS(L$20:L1340)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1340))))</f>
        <v/>
      </c>
      <c r="M1340" s="4" t="str">
        <f t="array" ref="M1340">IF(ROWS(M$20:M1340)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1340))))</f>
        <v/>
      </c>
    </row>
    <row r="1341" spans="1:13" x14ac:dyDescent="0.25">
      <c r="A1341" s="3">
        <v>41664</v>
      </c>
      <c r="B1341" s="2" t="s">
        <v>12</v>
      </c>
      <c r="C1341" s="2">
        <v>23</v>
      </c>
      <c r="G1341" s="7" t="str">
        <f t="array" ref="G1341">IF(ROWS(K$20:K1341)&gt;$F$6,"",INDEX(A$2:A$10000,SMALL(IF(ISNUMBER(MATCH($B$2:$B$10000,$E$6:$E$22,0)),ROW($C$2:$C$10000)-ROW($C$2)+1),ROWS(K$20:K1341))))</f>
        <v/>
      </c>
      <c r="H1341" s="4" t="str">
        <f t="array" ref="H1341">IF(ROWS(L$20:L1341)&gt;$F$6,"",INDEX(B$2:B$10000,SMALL(IF(ISNUMBER(MATCH($B$2:$B$10000,$E$6:$E$22,0)),ROW($C$2:$C$10000)-ROW($C$2)+1),ROWS(L$20:L1341))))</f>
        <v/>
      </c>
      <c r="I1341" s="4" t="str">
        <f t="array" ref="I1341">IF(ROWS(M$20:M1341)&gt;$F$6,"",INDEX(C$2:C$10000,SMALL(IF(ISNUMBER(MATCH($B$2:$B$10000,$E$6:$E$22,0)),ROW($C$2:$C$10000)-ROW($C$2)+1),ROWS(M$20:M1341))))</f>
        <v/>
      </c>
      <c r="K1341" s="7" t="str">
        <f t="array" ref="K1341">IF(ROWS(K$20:K1341)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1341))))</f>
        <v/>
      </c>
      <c r="L1341" s="4" t="str">
        <f t="array" ref="L1341">IF(ROWS(L$20:L1341)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1341))))</f>
        <v/>
      </c>
      <c r="M1341" s="4" t="str">
        <f t="array" ref="M1341">IF(ROWS(M$20:M1341)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1341))))</f>
        <v/>
      </c>
    </row>
    <row r="1342" spans="1:13" x14ac:dyDescent="0.25">
      <c r="A1342" s="3">
        <v>41935</v>
      </c>
      <c r="B1342" s="2" t="s">
        <v>4</v>
      </c>
      <c r="C1342" s="2">
        <v>44</v>
      </c>
      <c r="G1342" s="7" t="str">
        <f t="array" ref="G1342">IF(ROWS(K$20:K1342)&gt;$F$6,"",INDEX(A$2:A$10000,SMALL(IF(ISNUMBER(MATCH($B$2:$B$10000,$E$6:$E$22,0)),ROW($C$2:$C$10000)-ROW($C$2)+1),ROWS(K$20:K1342))))</f>
        <v/>
      </c>
      <c r="H1342" s="4" t="str">
        <f t="array" ref="H1342">IF(ROWS(L$20:L1342)&gt;$F$6,"",INDEX(B$2:B$10000,SMALL(IF(ISNUMBER(MATCH($B$2:$B$10000,$E$6:$E$22,0)),ROW($C$2:$C$10000)-ROW($C$2)+1),ROWS(L$20:L1342))))</f>
        <v/>
      </c>
      <c r="I1342" s="4" t="str">
        <f t="array" ref="I1342">IF(ROWS(M$20:M1342)&gt;$F$6,"",INDEX(C$2:C$10000,SMALL(IF(ISNUMBER(MATCH($B$2:$B$10000,$E$6:$E$22,0)),ROW($C$2:$C$10000)-ROW($C$2)+1),ROWS(M$20:M1342))))</f>
        <v/>
      </c>
      <c r="K1342" s="7" t="str">
        <f t="array" ref="K1342">IF(ROWS(K$20:K1342)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1342))))</f>
        <v/>
      </c>
      <c r="L1342" s="4" t="str">
        <f t="array" ref="L1342">IF(ROWS(L$20:L1342)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1342))))</f>
        <v/>
      </c>
      <c r="M1342" s="4" t="str">
        <f t="array" ref="M1342">IF(ROWS(M$20:M1342)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1342))))</f>
        <v/>
      </c>
    </row>
    <row r="1343" spans="1:13" x14ac:dyDescent="0.25">
      <c r="A1343" s="3">
        <v>41499</v>
      </c>
      <c r="B1343" s="2" t="s">
        <v>31</v>
      </c>
      <c r="C1343" s="2">
        <v>23</v>
      </c>
      <c r="G1343" s="7" t="str">
        <f t="array" ref="G1343">IF(ROWS(K$20:K1343)&gt;$F$6,"",INDEX(A$2:A$10000,SMALL(IF(ISNUMBER(MATCH($B$2:$B$10000,$E$6:$E$22,0)),ROW($C$2:$C$10000)-ROW($C$2)+1),ROWS(K$20:K1343))))</f>
        <v/>
      </c>
      <c r="H1343" s="4" t="str">
        <f t="array" ref="H1343">IF(ROWS(L$20:L1343)&gt;$F$6,"",INDEX(B$2:B$10000,SMALL(IF(ISNUMBER(MATCH($B$2:$B$10000,$E$6:$E$22,0)),ROW($C$2:$C$10000)-ROW($C$2)+1),ROWS(L$20:L1343))))</f>
        <v/>
      </c>
      <c r="I1343" s="4" t="str">
        <f t="array" ref="I1343">IF(ROWS(M$20:M1343)&gt;$F$6,"",INDEX(C$2:C$10000,SMALL(IF(ISNUMBER(MATCH($B$2:$B$10000,$E$6:$E$22,0)),ROW($C$2:$C$10000)-ROW($C$2)+1),ROWS(M$20:M1343))))</f>
        <v/>
      </c>
      <c r="K1343" s="7" t="str">
        <f t="array" ref="K1343">IF(ROWS(K$20:K1343)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1343))))</f>
        <v/>
      </c>
      <c r="L1343" s="4" t="str">
        <f t="array" ref="L1343">IF(ROWS(L$20:L1343)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1343))))</f>
        <v/>
      </c>
      <c r="M1343" s="4" t="str">
        <f t="array" ref="M1343">IF(ROWS(M$20:M1343)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1343))))</f>
        <v/>
      </c>
    </row>
    <row r="1344" spans="1:13" x14ac:dyDescent="0.25">
      <c r="A1344" s="3">
        <v>41692</v>
      </c>
      <c r="B1344" s="2" t="s">
        <v>15</v>
      </c>
      <c r="C1344" s="2">
        <v>58</v>
      </c>
      <c r="G1344" s="7" t="str">
        <f t="array" ref="G1344">IF(ROWS(K$20:K1344)&gt;$F$6,"",INDEX(A$2:A$10000,SMALL(IF(ISNUMBER(MATCH($B$2:$B$10000,$E$6:$E$22,0)),ROW($C$2:$C$10000)-ROW($C$2)+1),ROWS(K$20:K1344))))</f>
        <v/>
      </c>
      <c r="H1344" s="4" t="str">
        <f t="array" ref="H1344">IF(ROWS(L$20:L1344)&gt;$F$6,"",INDEX(B$2:B$10000,SMALL(IF(ISNUMBER(MATCH($B$2:$B$10000,$E$6:$E$22,0)),ROW($C$2:$C$10000)-ROW($C$2)+1),ROWS(L$20:L1344))))</f>
        <v/>
      </c>
      <c r="I1344" s="4" t="str">
        <f t="array" ref="I1344">IF(ROWS(M$20:M1344)&gt;$F$6,"",INDEX(C$2:C$10000,SMALL(IF(ISNUMBER(MATCH($B$2:$B$10000,$E$6:$E$22,0)),ROW($C$2:$C$10000)-ROW($C$2)+1),ROWS(M$20:M1344))))</f>
        <v/>
      </c>
      <c r="K1344" s="7" t="str">
        <f t="array" ref="K1344">IF(ROWS(K$20:K1344)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1344))))</f>
        <v/>
      </c>
      <c r="L1344" s="4" t="str">
        <f t="array" ref="L1344">IF(ROWS(L$20:L1344)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1344))))</f>
        <v/>
      </c>
      <c r="M1344" s="4" t="str">
        <f t="array" ref="M1344">IF(ROWS(M$20:M1344)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1344))))</f>
        <v/>
      </c>
    </row>
    <row r="1345" spans="1:13" x14ac:dyDescent="0.25">
      <c r="A1345" s="3">
        <v>41747</v>
      </c>
      <c r="B1345" s="2" t="s">
        <v>11</v>
      </c>
      <c r="C1345" s="2">
        <v>49</v>
      </c>
      <c r="G1345" s="7" t="str">
        <f t="array" ref="G1345">IF(ROWS(K$20:K1345)&gt;$F$6,"",INDEX(A$2:A$10000,SMALL(IF(ISNUMBER(MATCH($B$2:$B$10000,$E$6:$E$22,0)),ROW($C$2:$C$10000)-ROW($C$2)+1),ROWS(K$20:K1345))))</f>
        <v/>
      </c>
      <c r="H1345" s="4" t="str">
        <f t="array" ref="H1345">IF(ROWS(L$20:L1345)&gt;$F$6,"",INDEX(B$2:B$10000,SMALL(IF(ISNUMBER(MATCH($B$2:$B$10000,$E$6:$E$22,0)),ROW($C$2:$C$10000)-ROW($C$2)+1),ROWS(L$20:L1345))))</f>
        <v/>
      </c>
      <c r="I1345" s="4" t="str">
        <f t="array" ref="I1345">IF(ROWS(M$20:M1345)&gt;$F$6,"",INDEX(C$2:C$10000,SMALL(IF(ISNUMBER(MATCH($B$2:$B$10000,$E$6:$E$22,0)),ROW($C$2:$C$10000)-ROW($C$2)+1),ROWS(M$20:M1345))))</f>
        <v/>
      </c>
      <c r="K1345" s="7" t="str">
        <f t="array" ref="K1345">IF(ROWS(K$20:K1345)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1345))))</f>
        <v/>
      </c>
      <c r="L1345" s="4" t="str">
        <f t="array" ref="L1345">IF(ROWS(L$20:L1345)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1345))))</f>
        <v/>
      </c>
      <c r="M1345" s="4" t="str">
        <f t="array" ref="M1345">IF(ROWS(M$20:M1345)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1345))))</f>
        <v/>
      </c>
    </row>
    <row r="1346" spans="1:13" x14ac:dyDescent="0.25">
      <c r="A1346" s="3">
        <v>41454</v>
      </c>
      <c r="B1346" s="2" t="s">
        <v>23</v>
      </c>
      <c r="C1346" s="2">
        <v>41</v>
      </c>
      <c r="G1346" s="7" t="str">
        <f t="array" ref="G1346">IF(ROWS(K$20:K1346)&gt;$F$6,"",INDEX(A$2:A$10000,SMALL(IF(ISNUMBER(MATCH($B$2:$B$10000,$E$6:$E$22,0)),ROW($C$2:$C$10000)-ROW($C$2)+1),ROWS(K$20:K1346))))</f>
        <v/>
      </c>
      <c r="H1346" s="4" t="str">
        <f t="array" ref="H1346">IF(ROWS(L$20:L1346)&gt;$F$6,"",INDEX(B$2:B$10000,SMALL(IF(ISNUMBER(MATCH($B$2:$B$10000,$E$6:$E$22,0)),ROW($C$2:$C$10000)-ROW($C$2)+1),ROWS(L$20:L1346))))</f>
        <v/>
      </c>
      <c r="I1346" s="4" t="str">
        <f t="array" ref="I1346">IF(ROWS(M$20:M1346)&gt;$F$6,"",INDEX(C$2:C$10000,SMALL(IF(ISNUMBER(MATCH($B$2:$B$10000,$E$6:$E$22,0)),ROW($C$2:$C$10000)-ROW($C$2)+1),ROWS(M$20:M1346))))</f>
        <v/>
      </c>
      <c r="K1346" s="7" t="str">
        <f t="array" ref="K1346">IF(ROWS(K$20:K1346)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1346))))</f>
        <v/>
      </c>
      <c r="L1346" s="4" t="str">
        <f t="array" ref="L1346">IF(ROWS(L$20:L1346)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1346))))</f>
        <v/>
      </c>
      <c r="M1346" s="4" t="str">
        <f t="array" ref="M1346">IF(ROWS(M$20:M1346)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1346))))</f>
        <v/>
      </c>
    </row>
    <row r="1347" spans="1:13" x14ac:dyDescent="0.25">
      <c r="A1347" s="3">
        <v>41369</v>
      </c>
      <c r="B1347" s="2" t="s">
        <v>36</v>
      </c>
      <c r="C1347" s="2">
        <v>28</v>
      </c>
      <c r="G1347" s="7" t="str">
        <f t="array" ref="G1347">IF(ROWS(K$20:K1347)&gt;$F$6,"",INDEX(A$2:A$10000,SMALL(IF(ISNUMBER(MATCH($B$2:$B$10000,$E$6:$E$22,0)),ROW($C$2:$C$10000)-ROW($C$2)+1),ROWS(K$20:K1347))))</f>
        <v/>
      </c>
      <c r="H1347" s="4" t="str">
        <f t="array" ref="H1347">IF(ROWS(L$20:L1347)&gt;$F$6,"",INDEX(B$2:B$10000,SMALL(IF(ISNUMBER(MATCH($B$2:$B$10000,$E$6:$E$22,0)),ROW($C$2:$C$10000)-ROW($C$2)+1),ROWS(L$20:L1347))))</f>
        <v/>
      </c>
      <c r="I1347" s="4" t="str">
        <f t="array" ref="I1347">IF(ROWS(M$20:M1347)&gt;$F$6,"",INDEX(C$2:C$10000,SMALL(IF(ISNUMBER(MATCH($B$2:$B$10000,$E$6:$E$22,0)),ROW($C$2:$C$10000)-ROW($C$2)+1),ROWS(M$20:M1347))))</f>
        <v/>
      </c>
      <c r="K1347" s="7" t="str">
        <f t="array" ref="K1347">IF(ROWS(K$20:K1347)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1347))))</f>
        <v/>
      </c>
      <c r="L1347" s="4" t="str">
        <f t="array" ref="L1347">IF(ROWS(L$20:L1347)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1347))))</f>
        <v/>
      </c>
      <c r="M1347" s="4" t="str">
        <f t="array" ref="M1347">IF(ROWS(M$20:M1347)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1347))))</f>
        <v/>
      </c>
    </row>
    <row r="1348" spans="1:13" x14ac:dyDescent="0.25">
      <c r="A1348" s="3">
        <v>41660</v>
      </c>
      <c r="B1348" s="2" t="s">
        <v>10</v>
      </c>
      <c r="C1348" s="2">
        <v>18</v>
      </c>
      <c r="G1348" s="7" t="str">
        <f t="array" ref="G1348">IF(ROWS(K$20:K1348)&gt;$F$6,"",INDEX(A$2:A$10000,SMALL(IF(ISNUMBER(MATCH($B$2:$B$10000,$E$6:$E$22,0)),ROW($C$2:$C$10000)-ROW($C$2)+1),ROWS(K$20:K1348))))</f>
        <v/>
      </c>
      <c r="H1348" s="4" t="str">
        <f t="array" ref="H1348">IF(ROWS(L$20:L1348)&gt;$F$6,"",INDEX(B$2:B$10000,SMALL(IF(ISNUMBER(MATCH($B$2:$B$10000,$E$6:$E$22,0)),ROW($C$2:$C$10000)-ROW($C$2)+1),ROWS(L$20:L1348))))</f>
        <v/>
      </c>
      <c r="I1348" s="4" t="str">
        <f t="array" ref="I1348">IF(ROWS(M$20:M1348)&gt;$F$6,"",INDEX(C$2:C$10000,SMALL(IF(ISNUMBER(MATCH($B$2:$B$10000,$E$6:$E$22,0)),ROW($C$2:$C$10000)-ROW($C$2)+1),ROWS(M$20:M1348))))</f>
        <v/>
      </c>
      <c r="K1348" s="7" t="str">
        <f t="array" ref="K1348">IF(ROWS(K$20:K1348)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1348))))</f>
        <v/>
      </c>
      <c r="L1348" s="4" t="str">
        <f t="array" ref="L1348">IF(ROWS(L$20:L1348)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1348))))</f>
        <v/>
      </c>
      <c r="M1348" s="4" t="str">
        <f t="array" ref="M1348">IF(ROWS(M$20:M1348)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1348))))</f>
        <v/>
      </c>
    </row>
    <row r="1349" spans="1:13" x14ac:dyDescent="0.25">
      <c r="A1349" s="3">
        <v>41817</v>
      </c>
      <c r="B1349" s="2" t="s">
        <v>22</v>
      </c>
      <c r="C1349" s="2">
        <v>24</v>
      </c>
      <c r="G1349" s="7" t="str">
        <f t="array" ref="G1349">IF(ROWS(K$20:K1349)&gt;$F$6,"",INDEX(A$2:A$10000,SMALL(IF(ISNUMBER(MATCH($B$2:$B$10000,$E$6:$E$22,0)),ROW($C$2:$C$10000)-ROW($C$2)+1),ROWS(K$20:K1349))))</f>
        <v/>
      </c>
      <c r="H1349" s="4" t="str">
        <f t="array" ref="H1349">IF(ROWS(L$20:L1349)&gt;$F$6,"",INDEX(B$2:B$10000,SMALL(IF(ISNUMBER(MATCH($B$2:$B$10000,$E$6:$E$22,0)),ROW($C$2:$C$10000)-ROW($C$2)+1),ROWS(L$20:L1349))))</f>
        <v/>
      </c>
      <c r="I1349" s="4" t="str">
        <f t="array" ref="I1349">IF(ROWS(M$20:M1349)&gt;$F$6,"",INDEX(C$2:C$10000,SMALL(IF(ISNUMBER(MATCH($B$2:$B$10000,$E$6:$E$22,0)),ROW($C$2:$C$10000)-ROW($C$2)+1),ROWS(M$20:M1349))))</f>
        <v/>
      </c>
      <c r="K1349" s="7" t="str">
        <f t="array" ref="K1349">IF(ROWS(K$20:K1349)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1349))))</f>
        <v/>
      </c>
      <c r="L1349" s="4" t="str">
        <f t="array" ref="L1349">IF(ROWS(L$20:L1349)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1349))))</f>
        <v/>
      </c>
      <c r="M1349" s="4" t="str">
        <f t="array" ref="M1349">IF(ROWS(M$20:M1349)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1349))))</f>
        <v/>
      </c>
    </row>
    <row r="1350" spans="1:13" x14ac:dyDescent="0.25">
      <c r="A1350" s="3">
        <v>41338</v>
      </c>
      <c r="B1350" s="2" t="s">
        <v>13</v>
      </c>
      <c r="C1350" s="2">
        <v>9</v>
      </c>
      <c r="G1350" s="7" t="str">
        <f t="array" ref="G1350">IF(ROWS(K$20:K1350)&gt;$F$6,"",INDEX(A$2:A$10000,SMALL(IF(ISNUMBER(MATCH($B$2:$B$10000,$E$6:$E$22,0)),ROW($C$2:$C$10000)-ROW($C$2)+1),ROWS(K$20:K1350))))</f>
        <v/>
      </c>
      <c r="H1350" s="4" t="str">
        <f t="array" ref="H1350">IF(ROWS(L$20:L1350)&gt;$F$6,"",INDEX(B$2:B$10000,SMALL(IF(ISNUMBER(MATCH($B$2:$B$10000,$E$6:$E$22,0)),ROW($C$2:$C$10000)-ROW($C$2)+1),ROWS(L$20:L1350))))</f>
        <v/>
      </c>
      <c r="I1350" s="4" t="str">
        <f t="array" ref="I1350">IF(ROWS(M$20:M1350)&gt;$F$6,"",INDEX(C$2:C$10000,SMALL(IF(ISNUMBER(MATCH($B$2:$B$10000,$E$6:$E$22,0)),ROW($C$2:$C$10000)-ROW($C$2)+1),ROWS(M$20:M1350))))</f>
        <v/>
      </c>
      <c r="K1350" s="7" t="str">
        <f t="array" ref="K1350">IF(ROWS(K$20:K1350)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1350))))</f>
        <v/>
      </c>
      <c r="L1350" s="4" t="str">
        <f t="array" ref="L1350">IF(ROWS(L$20:L1350)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1350))))</f>
        <v/>
      </c>
      <c r="M1350" s="4" t="str">
        <f t="array" ref="M1350">IF(ROWS(M$20:M1350)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1350))))</f>
        <v/>
      </c>
    </row>
    <row r="1351" spans="1:13" x14ac:dyDescent="0.25">
      <c r="A1351" s="3">
        <v>41888</v>
      </c>
      <c r="B1351" s="2" t="s">
        <v>21</v>
      </c>
      <c r="C1351" s="2">
        <v>18</v>
      </c>
      <c r="G1351" s="7" t="str">
        <f t="array" ref="G1351">IF(ROWS(K$20:K1351)&gt;$F$6,"",INDEX(A$2:A$10000,SMALL(IF(ISNUMBER(MATCH($B$2:$B$10000,$E$6:$E$22,0)),ROW($C$2:$C$10000)-ROW($C$2)+1),ROWS(K$20:K1351))))</f>
        <v/>
      </c>
      <c r="H1351" s="4" t="str">
        <f t="array" ref="H1351">IF(ROWS(L$20:L1351)&gt;$F$6,"",INDEX(B$2:B$10000,SMALL(IF(ISNUMBER(MATCH($B$2:$B$10000,$E$6:$E$22,0)),ROW($C$2:$C$10000)-ROW($C$2)+1),ROWS(L$20:L1351))))</f>
        <v/>
      </c>
      <c r="I1351" s="4" t="str">
        <f t="array" ref="I1351">IF(ROWS(M$20:M1351)&gt;$F$6,"",INDEX(C$2:C$10000,SMALL(IF(ISNUMBER(MATCH($B$2:$B$10000,$E$6:$E$22,0)),ROW($C$2:$C$10000)-ROW($C$2)+1),ROWS(M$20:M1351))))</f>
        <v/>
      </c>
      <c r="K1351" s="7" t="str">
        <f t="array" ref="K1351">IF(ROWS(K$20:K1351)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1351))))</f>
        <v/>
      </c>
      <c r="L1351" s="4" t="str">
        <f t="array" ref="L1351">IF(ROWS(L$20:L1351)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1351))))</f>
        <v/>
      </c>
      <c r="M1351" s="4" t="str">
        <f t="array" ref="M1351">IF(ROWS(M$20:M1351)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1351))))</f>
        <v/>
      </c>
    </row>
    <row r="1352" spans="1:13" x14ac:dyDescent="0.25">
      <c r="A1352" s="3">
        <v>41452</v>
      </c>
      <c r="B1352" s="2" t="s">
        <v>16</v>
      </c>
      <c r="C1352" s="2">
        <v>18</v>
      </c>
      <c r="G1352" s="7" t="str">
        <f t="array" ref="G1352">IF(ROWS(K$20:K1352)&gt;$F$6,"",INDEX(A$2:A$10000,SMALL(IF(ISNUMBER(MATCH($B$2:$B$10000,$E$6:$E$22,0)),ROW($C$2:$C$10000)-ROW($C$2)+1),ROWS(K$20:K1352))))</f>
        <v/>
      </c>
      <c r="H1352" s="4" t="str">
        <f t="array" ref="H1352">IF(ROWS(L$20:L1352)&gt;$F$6,"",INDEX(B$2:B$10000,SMALL(IF(ISNUMBER(MATCH($B$2:$B$10000,$E$6:$E$22,0)),ROW($C$2:$C$10000)-ROW($C$2)+1),ROWS(L$20:L1352))))</f>
        <v/>
      </c>
      <c r="I1352" s="4" t="str">
        <f t="array" ref="I1352">IF(ROWS(M$20:M1352)&gt;$F$6,"",INDEX(C$2:C$10000,SMALL(IF(ISNUMBER(MATCH($B$2:$B$10000,$E$6:$E$22,0)),ROW($C$2:$C$10000)-ROW($C$2)+1),ROWS(M$20:M1352))))</f>
        <v/>
      </c>
      <c r="K1352" s="7" t="str">
        <f t="array" ref="K1352">IF(ROWS(K$20:K1352)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1352))))</f>
        <v/>
      </c>
      <c r="L1352" s="4" t="str">
        <f t="array" ref="L1352">IF(ROWS(L$20:L1352)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1352))))</f>
        <v/>
      </c>
      <c r="M1352" s="4" t="str">
        <f t="array" ref="M1352">IF(ROWS(M$20:M1352)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1352))))</f>
        <v/>
      </c>
    </row>
    <row r="1353" spans="1:13" x14ac:dyDescent="0.25">
      <c r="A1353" s="3">
        <v>41548</v>
      </c>
      <c r="B1353" s="2" t="s">
        <v>5</v>
      </c>
      <c r="C1353" s="2">
        <v>39</v>
      </c>
      <c r="G1353" s="7" t="str">
        <f t="array" ref="G1353">IF(ROWS(K$20:K1353)&gt;$F$6,"",INDEX(A$2:A$10000,SMALL(IF(ISNUMBER(MATCH($B$2:$B$10000,$E$6:$E$22,0)),ROW($C$2:$C$10000)-ROW($C$2)+1),ROWS(K$20:K1353))))</f>
        <v/>
      </c>
      <c r="H1353" s="4" t="str">
        <f t="array" ref="H1353">IF(ROWS(L$20:L1353)&gt;$F$6,"",INDEX(B$2:B$10000,SMALL(IF(ISNUMBER(MATCH($B$2:$B$10000,$E$6:$E$22,0)),ROW($C$2:$C$10000)-ROW($C$2)+1),ROWS(L$20:L1353))))</f>
        <v/>
      </c>
      <c r="I1353" s="4" t="str">
        <f t="array" ref="I1353">IF(ROWS(M$20:M1353)&gt;$F$6,"",INDEX(C$2:C$10000,SMALL(IF(ISNUMBER(MATCH($B$2:$B$10000,$E$6:$E$22,0)),ROW($C$2:$C$10000)-ROW($C$2)+1),ROWS(M$20:M1353))))</f>
        <v/>
      </c>
      <c r="K1353" s="7" t="str">
        <f t="array" ref="K1353">IF(ROWS(K$20:K1353)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1353))))</f>
        <v/>
      </c>
      <c r="L1353" s="4" t="str">
        <f t="array" ref="L1353">IF(ROWS(L$20:L1353)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1353))))</f>
        <v/>
      </c>
      <c r="M1353" s="4" t="str">
        <f t="array" ref="M1353">IF(ROWS(M$20:M1353)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1353))))</f>
        <v/>
      </c>
    </row>
    <row r="1354" spans="1:13" x14ac:dyDescent="0.25">
      <c r="A1354" s="3">
        <v>41539</v>
      </c>
      <c r="B1354" s="2" t="s">
        <v>51</v>
      </c>
      <c r="C1354" s="2">
        <v>28</v>
      </c>
      <c r="G1354" s="7" t="str">
        <f t="array" ref="G1354">IF(ROWS(K$20:K1354)&gt;$F$6,"",INDEX(A$2:A$10000,SMALL(IF(ISNUMBER(MATCH($B$2:$B$10000,$E$6:$E$22,0)),ROW($C$2:$C$10000)-ROW($C$2)+1),ROWS(K$20:K1354))))</f>
        <v/>
      </c>
      <c r="H1354" s="4" t="str">
        <f t="array" ref="H1354">IF(ROWS(L$20:L1354)&gt;$F$6,"",INDEX(B$2:B$10000,SMALL(IF(ISNUMBER(MATCH($B$2:$B$10000,$E$6:$E$22,0)),ROW($C$2:$C$10000)-ROW($C$2)+1),ROWS(L$20:L1354))))</f>
        <v/>
      </c>
      <c r="I1354" s="4" t="str">
        <f t="array" ref="I1354">IF(ROWS(M$20:M1354)&gt;$F$6,"",INDEX(C$2:C$10000,SMALL(IF(ISNUMBER(MATCH($B$2:$B$10000,$E$6:$E$22,0)),ROW($C$2:$C$10000)-ROW($C$2)+1),ROWS(M$20:M1354))))</f>
        <v/>
      </c>
      <c r="K1354" s="7" t="str">
        <f t="array" ref="K1354">IF(ROWS(K$20:K1354)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1354))))</f>
        <v/>
      </c>
      <c r="L1354" s="4" t="str">
        <f t="array" ref="L1354">IF(ROWS(L$20:L1354)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1354))))</f>
        <v/>
      </c>
      <c r="M1354" s="4" t="str">
        <f t="array" ref="M1354">IF(ROWS(M$20:M1354)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1354))))</f>
        <v/>
      </c>
    </row>
    <row r="1355" spans="1:13" x14ac:dyDescent="0.25">
      <c r="A1355" s="3">
        <v>41369</v>
      </c>
      <c r="B1355" s="2" t="s">
        <v>11</v>
      </c>
      <c r="C1355" s="2">
        <v>18</v>
      </c>
      <c r="G1355" s="7" t="str">
        <f t="array" ref="G1355">IF(ROWS(K$20:K1355)&gt;$F$6,"",INDEX(A$2:A$10000,SMALL(IF(ISNUMBER(MATCH($B$2:$B$10000,$E$6:$E$22,0)),ROW($C$2:$C$10000)-ROW($C$2)+1),ROWS(K$20:K1355))))</f>
        <v/>
      </c>
      <c r="H1355" s="4" t="str">
        <f t="array" ref="H1355">IF(ROWS(L$20:L1355)&gt;$F$6,"",INDEX(B$2:B$10000,SMALL(IF(ISNUMBER(MATCH($B$2:$B$10000,$E$6:$E$22,0)),ROW($C$2:$C$10000)-ROW($C$2)+1),ROWS(L$20:L1355))))</f>
        <v/>
      </c>
      <c r="I1355" s="4" t="str">
        <f t="array" ref="I1355">IF(ROWS(M$20:M1355)&gt;$F$6,"",INDEX(C$2:C$10000,SMALL(IF(ISNUMBER(MATCH($B$2:$B$10000,$E$6:$E$22,0)),ROW($C$2:$C$10000)-ROW($C$2)+1),ROWS(M$20:M1355))))</f>
        <v/>
      </c>
      <c r="K1355" s="7" t="str">
        <f t="array" ref="K1355">IF(ROWS(K$20:K1355)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1355))))</f>
        <v/>
      </c>
      <c r="L1355" s="4" t="str">
        <f t="array" ref="L1355">IF(ROWS(L$20:L1355)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1355))))</f>
        <v/>
      </c>
      <c r="M1355" s="4" t="str">
        <f t="array" ref="M1355">IF(ROWS(M$20:M1355)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1355))))</f>
        <v/>
      </c>
    </row>
    <row r="1356" spans="1:13" x14ac:dyDescent="0.25">
      <c r="A1356" s="3">
        <v>41741</v>
      </c>
      <c r="B1356" s="2" t="s">
        <v>3</v>
      </c>
      <c r="C1356" s="2">
        <v>26</v>
      </c>
      <c r="G1356" s="7" t="str">
        <f t="array" ref="G1356">IF(ROWS(K$20:K1356)&gt;$F$6,"",INDEX(A$2:A$10000,SMALL(IF(ISNUMBER(MATCH($B$2:$B$10000,$E$6:$E$22,0)),ROW($C$2:$C$10000)-ROW($C$2)+1),ROWS(K$20:K1356))))</f>
        <v/>
      </c>
      <c r="H1356" s="4" t="str">
        <f t="array" ref="H1356">IF(ROWS(L$20:L1356)&gt;$F$6,"",INDEX(B$2:B$10000,SMALL(IF(ISNUMBER(MATCH($B$2:$B$10000,$E$6:$E$22,0)),ROW($C$2:$C$10000)-ROW($C$2)+1),ROWS(L$20:L1356))))</f>
        <v/>
      </c>
      <c r="I1356" s="4" t="str">
        <f t="array" ref="I1356">IF(ROWS(M$20:M1356)&gt;$F$6,"",INDEX(C$2:C$10000,SMALL(IF(ISNUMBER(MATCH($B$2:$B$10000,$E$6:$E$22,0)),ROW($C$2:$C$10000)-ROW($C$2)+1),ROWS(M$20:M1356))))</f>
        <v/>
      </c>
      <c r="K1356" s="7" t="str">
        <f t="array" ref="K1356">IF(ROWS(K$20:K1356)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1356))))</f>
        <v/>
      </c>
      <c r="L1356" s="4" t="str">
        <f t="array" ref="L1356">IF(ROWS(L$20:L1356)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1356))))</f>
        <v/>
      </c>
      <c r="M1356" s="4" t="str">
        <f t="array" ref="M1356">IF(ROWS(M$20:M1356)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1356))))</f>
        <v/>
      </c>
    </row>
    <row r="1357" spans="1:13" x14ac:dyDescent="0.25">
      <c r="A1357" s="3">
        <v>41587</v>
      </c>
      <c r="B1357" s="2" t="s">
        <v>31</v>
      </c>
      <c r="C1357" s="2">
        <v>18</v>
      </c>
      <c r="G1357" s="7" t="str">
        <f t="array" ref="G1357">IF(ROWS(K$20:K1357)&gt;$F$6,"",INDEX(A$2:A$10000,SMALL(IF(ISNUMBER(MATCH($B$2:$B$10000,$E$6:$E$22,0)),ROW($C$2:$C$10000)-ROW($C$2)+1),ROWS(K$20:K1357))))</f>
        <v/>
      </c>
      <c r="H1357" s="4" t="str">
        <f t="array" ref="H1357">IF(ROWS(L$20:L1357)&gt;$F$6,"",INDEX(B$2:B$10000,SMALL(IF(ISNUMBER(MATCH($B$2:$B$10000,$E$6:$E$22,0)),ROW($C$2:$C$10000)-ROW($C$2)+1),ROWS(L$20:L1357))))</f>
        <v/>
      </c>
      <c r="I1357" s="4" t="str">
        <f t="array" ref="I1357">IF(ROWS(M$20:M1357)&gt;$F$6,"",INDEX(C$2:C$10000,SMALL(IF(ISNUMBER(MATCH($B$2:$B$10000,$E$6:$E$22,0)),ROW($C$2:$C$10000)-ROW($C$2)+1),ROWS(M$20:M1357))))</f>
        <v/>
      </c>
      <c r="K1357" s="7" t="str">
        <f t="array" ref="K1357">IF(ROWS(K$20:K1357)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1357))))</f>
        <v/>
      </c>
      <c r="L1357" s="4" t="str">
        <f t="array" ref="L1357">IF(ROWS(L$20:L1357)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1357))))</f>
        <v/>
      </c>
      <c r="M1357" s="4" t="str">
        <f t="array" ref="M1357">IF(ROWS(M$20:M1357)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1357))))</f>
        <v/>
      </c>
    </row>
    <row r="1358" spans="1:13" x14ac:dyDescent="0.25">
      <c r="A1358" s="3">
        <v>41812</v>
      </c>
      <c r="B1358" s="2" t="s">
        <v>42</v>
      </c>
      <c r="C1358" s="2">
        <v>13</v>
      </c>
      <c r="G1358" s="7" t="str">
        <f t="array" ref="G1358">IF(ROWS(K$20:K1358)&gt;$F$6,"",INDEX(A$2:A$10000,SMALL(IF(ISNUMBER(MATCH($B$2:$B$10000,$E$6:$E$22,0)),ROW($C$2:$C$10000)-ROW($C$2)+1),ROWS(K$20:K1358))))</f>
        <v/>
      </c>
      <c r="H1358" s="4" t="str">
        <f t="array" ref="H1358">IF(ROWS(L$20:L1358)&gt;$F$6,"",INDEX(B$2:B$10000,SMALL(IF(ISNUMBER(MATCH($B$2:$B$10000,$E$6:$E$22,0)),ROW($C$2:$C$10000)-ROW($C$2)+1),ROWS(L$20:L1358))))</f>
        <v/>
      </c>
      <c r="I1358" s="4" t="str">
        <f t="array" ref="I1358">IF(ROWS(M$20:M1358)&gt;$F$6,"",INDEX(C$2:C$10000,SMALL(IF(ISNUMBER(MATCH($B$2:$B$10000,$E$6:$E$22,0)),ROW($C$2:$C$10000)-ROW($C$2)+1),ROWS(M$20:M1358))))</f>
        <v/>
      </c>
      <c r="K1358" s="7" t="str">
        <f t="array" ref="K1358">IF(ROWS(K$20:K1358)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1358))))</f>
        <v/>
      </c>
      <c r="L1358" s="4" t="str">
        <f t="array" ref="L1358">IF(ROWS(L$20:L1358)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1358))))</f>
        <v/>
      </c>
      <c r="M1358" s="4" t="str">
        <f t="array" ref="M1358">IF(ROWS(M$20:M1358)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1358))))</f>
        <v/>
      </c>
    </row>
    <row r="1359" spans="1:13" x14ac:dyDescent="0.25">
      <c r="A1359" s="3">
        <v>41887</v>
      </c>
      <c r="B1359" s="2" t="s">
        <v>44</v>
      </c>
      <c r="C1359" s="2">
        <v>3</v>
      </c>
      <c r="G1359" s="7" t="str">
        <f t="array" ref="G1359">IF(ROWS(K$20:K1359)&gt;$F$6,"",INDEX(A$2:A$10000,SMALL(IF(ISNUMBER(MATCH($B$2:$B$10000,$E$6:$E$22,0)),ROW($C$2:$C$10000)-ROW($C$2)+1),ROWS(K$20:K1359))))</f>
        <v/>
      </c>
      <c r="H1359" s="4" t="str">
        <f t="array" ref="H1359">IF(ROWS(L$20:L1359)&gt;$F$6,"",INDEX(B$2:B$10000,SMALL(IF(ISNUMBER(MATCH($B$2:$B$10000,$E$6:$E$22,0)),ROW($C$2:$C$10000)-ROW($C$2)+1),ROWS(L$20:L1359))))</f>
        <v/>
      </c>
      <c r="I1359" s="4" t="str">
        <f t="array" ref="I1359">IF(ROWS(M$20:M1359)&gt;$F$6,"",INDEX(C$2:C$10000,SMALL(IF(ISNUMBER(MATCH($B$2:$B$10000,$E$6:$E$22,0)),ROW($C$2:$C$10000)-ROW($C$2)+1),ROWS(M$20:M1359))))</f>
        <v/>
      </c>
      <c r="K1359" s="7" t="str">
        <f t="array" ref="K1359">IF(ROWS(K$20:K1359)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1359))))</f>
        <v/>
      </c>
      <c r="L1359" s="4" t="str">
        <f t="array" ref="L1359">IF(ROWS(L$20:L1359)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1359))))</f>
        <v/>
      </c>
      <c r="M1359" s="4" t="str">
        <f t="array" ref="M1359">IF(ROWS(M$20:M1359)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1359))))</f>
        <v/>
      </c>
    </row>
    <row r="1360" spans="1:13" x14ac:dyDescent="0.25">
      <c r="A1360" s="3">
        <v>41728</v>
      </c>
      <c r="B1360" s="2" t="s">
        <v>38</v>
      </c>
      <c r="C1360" s="2">
        <v>5</v>
      </c>
      <c r="G1360" s="7" t="str">
        <f t="array" ref="G1360">IF(ROWS(K$20:K1360)&gt;$F$6,"",INDEX(A$2:A$10000,SMALL(IF(ISNUMBER(MATCH($B$2:$B$10000,$E$6:$E$22,0)),ROW($C$2:$C$10000)-ROW($C$2)+1),ROWS(K$20:K1360))))</f>
        <v/>
      </c>
      <c r="H1360" s="4" t="str">
        <f t="array" ref="H1360">IF(ROWS(L$20:L1360)&gt;$F$6,"",INDEX(B$2:B$10000,SMALL(IF(ISNUMBER(MATCH($B$2:$B$10000,$E$6:$E$22,0)),ROW($C$2:$C$10000)-ROW($C$2)+1),ROWS(L$20:L1360))))</f>
        <v/>
      </c>
      <c r="I1360" s="4" t="str">
        <f t="array" ref="I1360">IF(ROWS(M$20:M1360)&gt;$F$6,"",INDEX(C$2:C$10000,SMALL(IF(ISNUMBER(MATCH($B$2:$B$10000,$E$6:$E$22,0)),ROW($C$2:$C$10000)-ROW($C$2)+1),ROWS(M$20:M1360))))</f>
        <v/>
      </c>
      <c r="K1360" s="7" t="str">
        <f t="array" ref="K1360">IF(ROWS(K$20:K1360)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1360))))</f>
        <v/>
      </c>
      <c r="L1360" s="4" t="str">
        <f t="array" ref="L1360">IF(ROWS(L$20:L1360)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1360))))</f>
        <v/>
      </c>
      <c r="M1360" s="4" t="str">
        <f t="array" ref="M1360">IF(ROWS(M$20:M1360)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1360))))</f>
        <v/>
      </c>
    </row>
    <row r="1361" spans="1:13" x14ac:dyDescent="0.25">
      <c r="A1361" s="3">
        <v>41710</v>
      </c>
      <c r="B1361" s="2" t="s">
        <v>26</v>
      </c>
      <c r="C1361" s="2">
        <v>1</v>
      </c>
      <c r="G1361" s="7" t="str">
        <f t="array" ref="G1361">IF(ROWS(K$20:K1361)&gt;$F$6,"",INDEX(A$2:A$10000,SMALL(IF(ISNUMBER(MATCH($B$2:$B$10000,$E$6:$E$22,0)),ROW($C$2:$C$10000)-ROW($C$2)+1),ROWS(K$20:K1361))))</f>
        <v/>
      </c>
      <c r="H1361" s="4" t="str">
        <f t="array" ref="H1361">IF(ROWS(L$20:L1361)&gt;$F$6,"",INDEX(B$2:B$10000,SMALL(IF(ISNUMBER(MATCH($B$2:$B$10000,$E$6:$E$22,0)),ROW($C$2:$C$10000)-ROW($C$2)+1),ROWS(L$20:L1361))))</f>
        <v/>
      </c>
      <c r="I1361" s="4" t="str">
        <f t="array" ref="I1361">IF(ROWS(M$20:M1361)&gt;$F$6,"",INDEX(C$2:C$10000,SMALL(IF(ISNUMBER(MATCH($B$2:$B$10000,$E$6:$E$22,0)),ROW($C$2:$C$10000)-ROW($C$2)+1),ROWS(M$20:M1361))))</f>
        <v/>
      </c>
      <c r="K1361" s="7" t="str">
        <f t="array" ref="K1361">IF(ROWS(K$20:K1361)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1361))))</f>
        <v/>
      </c>
      <c r="L1361" s="4" t="str">
        <f t="array" ref="L1361">IF(ROWS(L$20:L1361)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1361))))</f>
        <v/>
      </c>
      <c r="M1361" s="4" t="str">
        <f t="array" ref="M1361">IF(ROWS(M$20:M1361)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1361))))</f>
        <v/>
      </c>
    </row>
    <row r="1362" spans="1:13" x14ac:dyDescent="0.25">
      <c r="A1362" s="3">
        <v>41778</v>
      </c>
      <c r="B1362" s="2" t="s">
        <v>49</v>
      </c>
      <c r="C1362" s="2">
        <v>15</v>
      </c>
      <c r="G1362" s="7" t="str">
        <f t="array" ref="G1362">IF(ROWS(K$20:K1362)&gt;$F$6,"",INDEX(A$2:A$10000,SMALL(IF(ISNUMBER(MATCH($B$2:$B$10000,$E$6:$E$22,0)),ROW($C$2:$C$10000)-ROW($C$2)+1),ROWS(K$20:K1362))))</f>
        <v/>
      </c>
      <c r="H1362" s="4" t="str">
        <f t="array" ref="H1362">IF(ROWS(L$20:L1362)&gt;$F$6,"",INDEX(B$2:B$10000,SMALL(IF(ISNUMBER(MATCH($B$2:$B$10000,$E$6:$E$22,0)),ROW($C$2:$C$10000)-ROW($C$2)+1),ROWS(L$20:L1362))))</f>
        <v/>
      </c>
      <c r="I1362" s="4" t="str">
        <f t="array" ref="I1362">IF(ROWS(M$20:M1362)&gt;$F$6,"",INDEX(C$2:C$10000,SMALL(IF(ISNUMBER(MATCH($B$2:$B$10000,$E$6:$E$22,0)),ROW($C$2:$C$10000)-ROW($C$2)+1),ROWS(M$20:M1362))))</f>
        <v/>
      </c>
      <c r="K1362" s="7" t="str">
        <f t="array" ref="K1362">IF(ROWS(K$20:K1362)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1362))))</f>
        <v/>
      </c>
      <c r="L1362" s="4" t="str">
        <f t="array" ref="L1362">IF(ROWS(L$20:L1362)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1362))))</f>
        <v/>
      </c>
      <c r="M1362" s="4" t="str">
        <f t="array" ref="M1362">IF(ROWS(M$20:M1362)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1362))))</f>
        <v/>
      </c>
    </row>
    <row r="1363" spans="1:13" x14ac:dyDescent="0.25">
      <c r="A1363" s="3">
        <v>41381</v>
      </c>
      <c r="B1363" s="2" t="s">
        <v>28</v>
      </c>
      <c r="C1363" s="2">
        <v>35</v>
      </c>
      <c r="G1363" s="7" t="str">
        <f t="array" ref="G1363">IF(ROWS(K$20:K1363)&gt;$F$6,"",INDEX(A$2:A$10000,SMALL(IF(ISNUMBER(MATCH($B$2:$B$10000,$E$6:$E$22,0)),ROW($C$2:$C$10000)-ROW($C$2)+1),ROWS(K$20:K1363))))</f>
        <v/>
      </c>
      <c r="H1363" s="4" t="str">
        <f t="array" ref="H1363">IF(ROWS(L$20:L1363)&gt;$F$6,"",INDEX(B$2:B$10000,SMALL(IF(ISNUMBER(MATCH($B$2:$B$10000,$E$6:$E$22,0)),ROW($C$2:$C$10000)-ROW($C$2)+1),ROWS(L$20:L1363))))</f>
        <v/>
      </c>
      <c r="I1363" s="4" t="str">
        <f t="array" ref="I1363">IF(ROWS(M$20:M1363)&gt;$F$6,"",INDEX(C$2:C$10000,SMALL(IF(ISNUMBER(MATCH($B$2:$B$10000,$E$6:$E$22,0)),ROW($C$2:$C$10000)-ROW($C$2)+1),ROWS(M$20:M1363))))</f>
        <v/>
      </c>
      <c r="K1363" s="7" t="str">
        <f t="array" ref="K1363">IF(ROWS(K$20:K1363)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1363))))</f>
        <v/>
      </c>
      <c r="L1363" s="4" t="str">
        <f t="array" ref="L1363">IF(ROWS(L$20:L1363)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1363))))</f>
        <v/>
      </c>
      <c r="M1363" s="4" t="str">
        <f t="array" ref="M1363">IF(ROWS(M$20:M1363)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1363))))</f>
        <v/>
      </c>
    </row>
    <row r="1364" spans="1:13" x14ac:dyDescent="0.25">
      <c r="A1364" s="3">
        <v>41736</v>
      </c>
      <c r="B1364" s="2" t="s">
        <v>38</v>
      </c>
      <c r="C1364" s="2">
        <v>14</v>
      </c>
      <c r="G1364" s="7" t="str">
        <f t="array" ref="G1364">IF(ROWS(K$20:K1364)&gt;$F$6,"",INDEX(A$2:A$10000,SMALL(IF(ISNUMBER(MATCH($B$2:$B$10000,$E$6:$E$22,0)),ROW($C$2:$C$10000)-ROW($C$2)+1),ROWS(K$20:K1364))))</f>
        <v/>
      </c>
      <c r="H1364" s="4" t="str">
        <f t="array" ref="H1364">IF(ROWS(L$20:L1364)&gt;$F$6,"",INDEX(B$2:B$10000,SMALL(IF(ISNUMBER(MATCH($B$2:$B$10000,$E$6:$E$22,0)),ROW($C$2:$C$10000)-ROW($C$2)+1),ROWS(L$20:L1364))))</f>
        <v/>
      </c>
      <c r="I1364" s="4" t="str">
        <f t="array" ref="I1364">IF(ROWS(M$20:M1364)&gt;$F$6,"",INDEX(C$2:C$10000,SMALL(IF(ISNUMBER(MATCH($B$2:$B$10000,$E$6:$E$22,0)),ROW($C$2:$C$10000)-ROW($C$2)+1),ROWS(M$20:M1364))))</f>
        <v/>
      </c>
      <c r="K1364" s="7" t="str">
        <f t="array" ref="K1364">IF(ROWS(K$20:K1364)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1364))))</f>
        <v/>
      </c>
      <c r="L1364" s="4" t="str">
        <f t="array" ref="L1364">IF(ROWS(L$20:L1364)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1364))))</f>
        <v/>
      </c>
      <c r="M1364" s="4" t="str">
        <f t="array" ref="M1364">IF(ROWS(M$20:M1364)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1364))))</f>
        <v/>
      </c>
    </row>
    <row r="1365" spans="1:13" x14ac:dyDescent="0.25">
      <c r="A1365" s="3">
        <v>41775</v>
      </c>
      <c r="B1365" s="2" t="s">
        <v>33</v>
      </c>
      <c r="C1365" s="2">
        <v>22</v>
      </c>
      <c r="G1365" s="7" t="str">
        <f t="array" ref="G1365">IF(ROWS(K$20:K1365)&gt;$F$6,"",INDEX(A$2:A$10000,SMALL(IF(ISNUMBER(MATCH($B$2:$B$10000,$E$6:$E$22,0)),ROW($C$2:$C$10000)-ROW($C$2)+1),ROWS(K$20:K1365))))</f>
        <v/>
      </c>
      <c r="H1365" s="4" t="str">
        <f t="array" ref="H1365">IF(ROWS(L$20:L1365)&gt;$F$6,"",INDEX(B$2:B$10000,SMALL(IF(ISNUMBER(MATCH($B$2:$B$10000,$E$6:$E$22,0)),ROW($C$2:$C$10000)-ROW($C$2)+1),ROWS(L$20:L1365))))</f>
        <v/>
      </c>
      <c r="I1365" s="4" t="str">
        <f t="array" ref="I1365">IF(ROWS(M$20:M1365)&gt;$F$6,"",INDEX(C$2:C$10000,SMALL(IF(ISNUMBER(MATCH($B$2:$B$10000,$E$6:$E$22,0)),ROW($C$2:$C$10000)-ROW($C$2)+1),ROWS(M$20:M1365))))</f>
        <v/>
      </c>
      <c r="K1365" s="7" t="str">
        <f t="array" ref="K1365">IF(ROWS(K$20:K1365)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1365))))</f>
        <v/>
      </c>
      <c r="L1365" s="4" t="str">
        <f t="array" ref="L1365">IF(ROWS(L$20:L1365)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1365))))</f>
        <v/>
      </c>
      <c r="M1365" s="4" t="str">
        <f t="array" ref="M1365">IF(ROWS(M$20:M1365)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1365))))</f>
        <v/>
      </c>
    </row>
    <row r="1366" spans="1:13" x14ac:dyDescent="0.25">
      <c r="A1366" s="3">
        <v>41813</v>
      </c>
      <c r="B1366" s="2" t="s">
        <v>3</v>
      </c>
      <c r="C1366" s="2">
        <v>44</v>
      </c>
      <c r="G1366" s="7" t="str">
        <f t="array" ref="G1366">IF(ROWS(K$20:K1366)&gt;$F$6,"",INDEX(A$2:A$10000,SMALL(IF(ISNUMBER(MATCH($B$2:$B$10000,$E$6:$E$22,0)),ROW($C$2:$C$10000)-ROW($C$2)+1),ROWS(K$20:K1366))))</f>
        <v/>
      </c>
      <c r="H1366" s="4" t="str">
        <f t="array" ref="H1366">IF(ROWS(L$20:L1366)&gt;$F$6,"",INDEX(B$2:B$10000,SMALL(IF(ISNUMBER(MATCH($B$2:$B$10000,$E$6:$E$22,0)),ROW($C$2:$C$10000)-ROW($C$2)+1),ROWS(L$20:L1366))))</f>
        <v/>
      </c>
      <c r="I1366" s="4" t="str">
        <f t="array" ref="I1366">IF(ROWS(M$20:M1366)&gt;$F$6,"",INDEX(C$2:C$10000,SMALL(IF(ISNUMBER(MATCH($B$2:$B$10000,$E$6:$E$22,0)),ROW($C$2:$C$10000)-ROW($C$2)+1),ROWS(M$20:M1366))))</f>
        <v/>
      </c>
      <c r="K1366" s="7" t="str">
        <f t="array" ref="K1366">IF(ROWS(K$20:K1366)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1366))))</f>
        <v/>
      </c>
      <c r="L1366" s="4" t="str">
        <f t="array" ref="L1366">IF(ROWS(L$20:L1366)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1366))))</f>
        <v/>
      </c>
      <c r="M1366" s="4" t="str">
        <f t="array" ref="M1366">IF(ROWS(M$20:M1366)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1366))))</f>
        <v/>
      </c>
    </row>
    <row r="1367" spans="1:13" x14ac:dyDescent="0.25">
      <c r="A1367" s="3">
        <v>41735</v>
      </c>
      <c r="B1367" s="2" t="s">
        <v>16</v>
      </c>
      <c r="C1367" s="2">
        <v>6</v>
      </c>
      <c r="G1367" s="7" t="str">
        <f t="array" ref="G1367">IF(ROWS(K$20:K1367)&gt;$F$6,"",INDEX(A$2:A$10000,SMALL(IF(ISNUMBER(MATCH($B$2:$B$10000,$E$6:$E$22,0)),ROW($C$2:$C$10000)-ROW($C$2)+1),ROWS(K$20:K1367))))</f>
        <v/>
      </c>
      <c r="H1367" s="4" t="str">
        <f t="array" ref="H1367">IF(ROWS(L$20:L1367)&gt;$F$6,"",INDEX(B$2:B$10000,SMALL(IF(ISNUMBER(MATCH($B$2:$B$10000,$E$6:$E$22,0)),ROW($C$2:$C$10000)-ROW($C$2)+1),ROWS(L$20:L1367))))</f>
        <v/>
      </c>
      <c r="I1367" s="4" t="str">
        <f t="array" ref="I1367">IF(ROWS(M$20:M1367)&gt;$F$6,"",INDEX(C$2:C$10000,SMALL(IF(ISNUMBER(MATCH($B$2:$B$10000,$E$6:$E$22,0)),ROW($C$2:$C$10000)-ROW($C$2)+1),ROWS(M$20:M1367))))</f>
        <v/>
      </c>
      <c r="K1367" s="7" t="str">
        <f t="array" ref="K1367">IF(ROWS(K$20:K1367)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1367))))</f>
        <v/>
      </c>
      <c r="L1367" s="4" t="str">
        <f t="array" ref="L1367">IF(ROWS(L$20:L1367)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1367))))</f>
        <v/>
      </c>
      <c r="M1367" s="4" t="str">
        <f t="array" ref="M1367">IF(ROWS(M$20:M1367)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1367))))</f>
        <v/>
      </c>
    </row>
    <row r="1368" spans="1:13" x14ac:dyDescent="0.25">
      <c r="A1368" s="3">
        <v>41948</v>
      </c>
      <c r="B1368" s="2" t="s">
        <v>47</v>
      </c>
      <c r="C1368" s="2">
        <v>56</v>
      </c>
      <c r="G1368" s="7" t="str">
        <f t="array" ref="G1368">IF(ROWS(K$20:K1368)&gt;$F$6,"",INDEX(A$2:A$10000,SMALL(IF(ISNUMBER(MATCH($B$2:$B$10000,$E$6:$E$22,0)),ROW($C$2:$C$10000)-ROW($C$2)+1),ROWS(K$20:K1368))))</f>
        <v/>
      </c>
      <c r="H1368" s="4" t="str">
        <f t="array" ref="H1368">IF(ROWS(L$20:L1368)&gt;$F$6,"",INDEX(B$2:B$10000,SMALL(IF(ISNUMBER(MATCH($B$2:$B$10000,$E$6:$E$22,0)),ROW($C$2:$C$10000)-ROW($C$2)+1),ROWS(L$20:L1368))))</f>
        <v/>
      </c>
      <c r="I1368" s="4" t="str">
        <f t="array" ref="I1368">IF(ROWS(M$20:M1368)&gt;$F$6,"",INDEX(C$2:C$10000,SMALL(IF(ISNUMBER(MATCH($B$2:$B$10000,$E$6:$E$22,0)),ROW($C$2:$C$10000)-ROW($C$2)+1),ROWS(M$20:M1368))))</f>
        <v/>
      </c>
      <c r="K1368" s="7" t="str">
        <f t="array" ref="K1368">IF(ROWS(K$20:K1368)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1368))))</f>
        <v/>
      </c>
      <c r="L1368" s="4" t="str">
        <f t="array" ref="L1368">IF(ROWS(L$20:L1368)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1368))))</f>
        <v/>
      </c>
      <c r="M1368" s="4" t="str">
        <f t="array" ref="M1368">IF(ROWS(M$20:M1368)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1368))))</f>
        <v/>
      </c>
    </row>
    <row r="1369" spans="1:13" x14ac:dyDescent="0.25">
      <c r="A1369" s="3">
        <v>41594</v>
      </c>
      <c r="B1369" s="2" t="s">
        <v>20</v>
      </c>
      <c r="C1369" s="2">
        <v>22</v>
      </c>
      <c r="G1369" s="7" t="str">
        <f t="array" ref="G1369">IF(ROWS(K$20:K1369)&gt;$F$6,"",INDEX(A$2:A$10000,SMALL(IF(ISNUMBER(MATCH($B$2:$B$10000,$E$6:$E$22,0)),ROW($C$2:$C$10000)-ROW($C$2)+1),ROWS(K$20:K1369))))</f>
        <v/>
      </c>
      <c r="H1369" s="4" t="str">
        <f t="array" ref="H1369">IF(ROWS(L$20:L1369)&gt;$F$6,"",INDEX(B$2:B$10000,SMALL(IF(ISNUMBER(MATCH($B$2:$B$10000,$E$6:$E$22,0)),ROW($C$2:$C$10000)-ROW($C$2)+1),ROWS(L$20:L1369))))</f>
        <v/>
      </c>
      <c r="I1369" s="4" t="str">
        <f t="array" ref="I1369">IF(ROWS(M$20:M1369)&gt;$F$6,"",INDEX(C$2:C$10000,SMALL(IF(ISNUMBER(MATCH($B$2:$B$10000,$E$6:$E$22,0)),ROW($C$2:$C$10000)-ROW($C$2)+1),ROWS(M$20:M1369))))</f>
        <v/>
      </c>
      <c r="K1369" s="7" t="str">
        <f t="array" ref="K1369">IF(ROWS(K$20:K1369)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1369))))</f>
        <v/>
      </c>
      <c r="L1369" s="4" t="str">
        <f t="array" ref="L1369">IF(ROWS(L$20:L1369)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1369))))</f>
        <v/>
      </c>
      <c r="M1369" s="4" t="str">
        <f t="array" ref="M1369">IF(ROWS(M$20:M1369)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1369))))</f>
        <v/>
      </c>
    </row>
    <row r="1370" spans="1:13" x14ac:dyDescent="0.25">
      <c r="A1370" s="3">
        <v>41842</v>
      </c>
      <c r="B1370" s="2" t="s">
        <v>25</v>
      </c>
      <c r="C1370" s="2">
        <v>27</v>
      </c>
      <c r="G1370" s="7" t="str">
        <f t="array" ref="G1370">IF(ROWS(K$20:K1370)&gt;$F$6,"",INDEX(A$2:A$10000,SMALL(IF(ISNUMBER(MATCH($B$2:$B$10000,$E$6:$E$22,0)),ROW($C$2:$C$10000)-ROW($C$2)+1),ROWS(K$20:K1370))))</f>
        <v/>
      </c>
      <c r="H1370" s="4" t="str">
        <f t="array" ref="H1370">IF(ROWS(L$20:L1370)&gt;$F$6,"",INDEX(B$2:B$10000,SMALL(IF(ISNUMBER(MATCH($B$2:$B$10000,$E$6:$E$22,0)),ROW($C$2:$C$10000)-ROW($C$2)+1),ROWS(L$20:L1370))))</f>
        <v/>
      </c>
      <c r="I1370" s="4" t="str">
        <f t="array" ref="I1370">IF(ROWS(M$20:M1370)&gt;$F$6,"",INDEX(C$2:C$10000,SMALL(IF(ISNUMBER(MATCH($B$2:$B$10000,$E$6:$E$22,0)),ROW($C$2:$C$10000)-ROW($C$2)+1),ROWS(M$20:M1370))))</f>
        <v/>
      </c>
      <c r="K1370" s="7" t="str">
        <f t="array" ref="K1370">IF(ROWS(K$20:K1370)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1370))))</f>
        <v/>
      </c>
      <c r="L1370" s="4" t="str">
        <f t="array" ref="L1370">IF(ROWS(L$20:L1370)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1370))))</f>
        <v/>
      </c>
      <c r="M1370" s="4" t="str">
        <f t="array" ref="M1370">IF(ROWS(M$20:M1370)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1370))))</f>
        <v/>
      </c>
    </row>
    <row r="1371" spans="1:13" x14ac:dyDescent="0.25">
      <c r="A1371" s="3">
        <v>41819</v>
      </c>
      <c r="B1371" s="2" t="s">
        <v>31</v>
      </c>
      <c r="C1371" s="2">
        <v>43</v>
      </c>
      <c r="G1371" s="7" t="str">
        <f t="array" ref="G1371">IF(ROWS(K$20:K1371)&gt;$F$6,"",INDEX(A$2:A$10000,SMALL(IF(ISNUMBER(MATCH($B$2:$B$10000,$E$6:$E$22,0)),ROW($C$2:$C$10000)-ROW($C$2)+1),ROWS(K$20:K1371))))</f>
        <v/>
      </c>
      <c r="H1371" s="4" t="str">
        <f t="array" ref="H1371">IF(ROWS(L$20:L1371)&gt;$F$6,"",INDEX(B$2:B$10000,SMALL(IF(ISNUMBER(MATCH($B$2:$B$10000,$E$6:$E$22,0)),ROW($C$2:$C$10000)-ROW($C$2)+1),ROWS(L$20:L1371))))</f>
        <v/>
      </c>
      <c r="I1371" s="4" t="str">
        <f t="array" ref="I1371">IF(ROWS(M$20:M1371)&gt;$F$6,"",INDEX(C$2:C$10000,SMALL(IF(ISNUMBER(MATCH($B$2:$B$10000,$E$6:$E$22,0)),ROW($C$2:$C$10000)-ROW($C$2)+1),ROWS(M$20:M1371))))</f>
        <v/>
      </c>
      <c r="K1371" s="7" t="str">
        <f t="array" ref="K1371">IF(ROWS(K$20:K1371)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1371))))</f>
        <v/>
      </c>
      <c r="L1371" s="4" t="str">
        <f t="array" ref="L1371">IF(ROWS(L$20:L1371)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1371))))</f>
        <v/>
      </c>
      <c r="M1371" s="4" t="str">
        <f t="array" ref="M1371">IF(ROWS(M$20:M1371)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1371))))</f>
        <v/>
      </c>
    </row>
    <row r="1372" spans="1:13" x14ac:dyDescent="0.25">
      <c r="A1372" s="3">
        <v>41837</v>
      </c>
      <c r="B1372" s="2" t="s">
        <v>45</v>
      </c>
      <c r="C1372" s="2">
        <v>34</v>
      </c>
      <c r="G1372" s="7" t="str">
        <f t="array" ref="G1372">IF(ROWS(K$20:K1372)&gt;$F$6,"",INDEX(A$2:A$10000,SMALL(IF(ISNUMBER(MATCH($B$2:$B$10000,$E$6:$E$22,0)),ROW($C$2:$C$10000)-ROW($C$2)+1),ROWS(K$20:K1372))))</f>
        <v/>
      </c>
      <c r="H1372" s="4" t="str">
        <f t="array" ref="H1372">IF(ROWS(L$20:L1372)&gt;$F$6,"",INDEX(B$2:B$10000,SMALL(IF(ISNUMBER(MATCH($B$2:$B$10000,$E$6:$E$22,0)),ROW($C$2:$C$10000)-ROW($C$2)+1),ROWS(L$20:L1372))))</f>
        <v/>
      </c>
      <c r="I1372" s="4" t="str">
        <f t="array" ref="I1372">IF(ROWS(M$20:M1372)&gt;$F$6,"",INDEX(C$2:C$10000,SMALL(IF(ISNUMBER(MATCH($B$2:$B$10000,$E$6:$E$22,0)),ROW($C$2:$C$10000)-ROW($C$2)+1),ROWS(M$20:M1372))))</f>
        <v/>
      </c>
      <c r="K1372" s="7" t="str">
        <f t="array" ref="K1372">IF(ROWS(K$20:K1372)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1372))))</f>
        <v/>
      </c>
      <c r="L1372" s="4" t="str">
        <f t="array" ref="L1372">IF(ROWS(L$20:L1372)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1372))))</f>
        <v/>
      </c>
      <c r="M1372" s="4" t="str">
        <f t="array" ref="M1372">IF(ROWS(M$20:M1372)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1372))))</f>
        <v/>
      </c>
    </row>
    <row r="1373" spans="1:13" x14ac:dyDescent="0.25">
      <c r="A1373" s="3">
        <v>41595</v>
      </c>
      <c r="B1373" s="2" t="s">
        <v>5</v>
      </c>
      <c r="C1373" s="2">
        <v>47</v>
      </c>
      <c r="G1373" s="7" t="str">
        <f t="array" ref="G1373">IF(ROWS(K$20:K1373)&gt;$F$6,"",INDEX(A$2:A$10000,SMALL(IF(ISNUMBER(MATCH($B$2:$B$10000,$E$6:$E$22,0)),ROW($C$2:$C$10000)-ROW($C$2)+1),ROWS(K$20:K1373))))</f>
        <v/>
      </c>
      <c r="H1373" s="4" t="str">
        <f t="array" ref="H1373">IF(ROWS(L$20:L1373)&gt;$F$6,"",INDEX(B$2:B$10000,SMALL(IF(ISNUMBER(MATCH($B$2:$B$10000,$E$6:$E$22,0)),ROW($C$2:$C$10000)-ROW($C$2)+1),ROWS(L$20:L1373))))</f>
        <v/>
      </c>
      <c r="I1373" s="4" t="str">
        <f t="array" ref="I1373">IF(ROWS(M$20:M1373)&gt;$F$6,"",INDEX(C$2:C$10000,SMALL(IF(ISNUMBER(MATCH($B$2:$B$10000,$E$6:$E$22,0)),ROW($C$2:$C$10000)-ROW($C$2)+1),ROWS(M$20:M1373))))</f>
        <v/>
      </c>
      <c r="K1373" s="7" t="str">
        <f t="array" ref="K1373">IF(ROWS(K$20:K1373)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1373))))</f>
        <v/>
      </c>
      <c r="L1373" s="4" t="str">
        <f t="array" ref="L1373">IF(ROWS(L$20:L1373)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1373))))</f>
        <v/>
      </c>
      <c r="M1373" s="4" t="str">
        <f t="array" ref="M1373">IF(ROWS(M$20:M1373)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1373))))</f>
        <v/>
      </c>
    </row>
    <row r="1374" spans="1:13" x14ac:dyDescent="0.25">
      <c r="A1374" s="3">
        <v>41514</v>
      </c>
      <c r="B1374" s="2" t="s">
        <v>33</v>
      </c>
      <c r="C1374" s="2">
        <v>35</v>
      </c>
      <c r="G1374" s="7" t="str">
        <f t="array" ref="G1374">IF(ROWS(K$20:K1374)&gt;$F$6,"",INDEX(A$2:A$10000,SMALL(IF(ISNUMBER(MATCH($B$2:$B$10000,$E$6:$E$22,0)),ROW($C$2:$C$10000)-ROW($C$2)+1),ROWS(K$20:K1374))))</f>
        <v/>
      </c>
      <c r="H1374" s="4" t="str">
        <f t="array" ref="H1374">IF(ROWS(L$20:L1374)&gt;$F$6,"",INDEX(B$2:B$10000,SMALL(IF(ISNUMBER(MATCH($B$2:$B$10000,$E$6:$E$22,0)),ROW($C$2:$C$10000)-ROW($C$2)+1),ROWS(L$20:L1374))))</f>
        <v/>
      </c>
      <c r="I1374" s="4" t="str">
        <f t="array" ref="I1374">IF(ROWS(M$20:M1374)&gt;$F$6,"",INDEX(C$2:C$10000,SMALL(IF(ISNUMBER(MATCH($B$2:$B$10000,$E$6:$E$22,0)),ROW($C$2:$C$10000)-ROW($C$2)+1),ROWS(M$20:M1374))))</f>
        <v/>
      </c>
      <c r="K1374" s="7" t="str">
        <f t="array" ref="K1374">IF(ROWS(K$20:K1374)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1374))))</f>
        <v/>
      </c>
      <c r="L1374" s="4" t="str">
        <f t="array" ref="L1374">IF(ROWS(L$20:L1374)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1374))))</f>
        <v/>
      </c>
      <c r="M1374" s="4" t="str">
        <f t="array" ref="M1374">IF(ROWS(M$20:M1374)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1374))))</f>
        <v/>
      </c>
    </row>
    <row r="1375" spans="1:13" x14ac:dyDescent="0.25">
      <c r="A1375" s="3">
        <v>41959</v>
      </c>
      <c r="B1375" s="2" t="s">
        <v>25</v>
      </c>
      <c r="C1375" s="2">
        <v>15</v>
      </c>
      <c r="G1375" s="7" t="str">
        <f t="array" ref="G1375">IF(ROWS(K$20:K1375)&gt;$F$6,"",INDEX(A$2:A$10000,SMALL(IF(ISNUMBER(MATCH($B$2:$B$10000,$E$6:$E$22,0)),ROW($C$2:$C$10000)-ROW($C$2)+1),ROWS(K$20:K1375))))</f>
        <v/>
      </c>
      <c r="H1375" s="4" t="str">
        <f t="array" ref="H1375">IF(ROWS(L$20:L1375)&gt;$F$6,"",INDEX(B$2:B$10000,SMALL(IF(ISNUMBER(MATCH($B$2:$B$10000,$E$6:$E$22,0)),ROW($C$2:$C$10000)-ROW($C$2)+1),ROWS(L$20:L1375))))</f>
        <v/>
      </c>
      <c r="I1375" s="4" t="str">
        <f t="array" ref="I1375">IF(ROWS(M$20:M1375)&gt;$F$6,"",INDEX(C$2:C$10000,SMALL(IF(ISNUMBER(MATCH($B$2:$B$10000,$E$6:$E$22,0)),ROW($C$2:$C$10000)-ROW($C$2)+1),ROWS(M$20:M1375))))</f>
        <v/>
      </c>
      <c r="K1375" s="7" t="str">
        <f t="array" ref="K1375">IF(ROWS(K$20:K1375)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1375))))</f>
        <v/>
      </c>
      <c r="L1375" s="4" t="str">
        <f t="array" ref="L1375">IF(ROWS(L$20:L1375)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1375))))</f>
        <v/>
      </c>
      <c r="M1375" s="4" t="str">
        <f t="array" ref="M1375">IF(ROWS(M$20:M1375)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1375))))</f>
        <v/>
      </c>
    </row>
    <row r="1376" spans="1:13" x14ac:dyDescent="0.25">
      <c r="A1376" s="3">
        <v>41379</v>
      </c>
      <c r="B1376" s="2" t="s">
        <v>22</v>
      </c>
      <c r="C1376" s="2">
        <v>23</v>
      </c>
      <c r="G1376" s="7" t="str">
        <f t="array" ref="G1376">IF(ROWS(K$20:K1376)&gt;$F$6,"",INDEX(A$2:A$10000,SMALL(IF(ISNUMBER(MATCH($B$2:$B$10000,$E$6:$E$22,0)),ROW($C$2:$C$10000)-ROW($C$2)+1),ROWS(K$20:K1376))))</f>
        <v/>
      </c>
      <c r="H1376" s="4" t="str">
        <f t="array" ref="H1376">IF(ROWS(L$20:L1376)&gt;$F$6,"",INDEX(B$2:B$10000,SMALL(IF(ISNUMBER(MATCH($B$2:$B$10000,$E$6:$E$22,0)),ROW($C$2:$C$10000)-ROW($C$2)+1),ROWS(L$20:L1376))))</f>
        <v/>
      </c>
      <c r="I1376" s="4" t="str">
        <f t="array" ref="I1376">IF(ROWS(M$20:M1376)&gt;$F$6,"",INDEX(C$2:C$10000,SMALL(IF(ISNUMBER(MATCH($B$2:$B$10000,$E$6:$E$22,0)),ROW($C$2:$C$10000)-ROW($C$2)+1),ROWS(M$20:M1376))))</f>
        <v/>
      </c>
      <c r="K1376" s="7" t="str">
        <f t="array" ref="K1376">IF(ROWS(K$20:K1376)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1376))))</f>
        <v/>
      </c>
      <c r="L1376" s="4" t="str">
        <f t="array" ref="L1376">IF(ROWS(L$20:L1376)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1376))))</f>
        <v/>
      </c>
      <c r="M1376" s="4" t="str">
        <f t="array" ref="M1376">IF(ROWS(M$20:M1376)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1376))))</f>
        <v/>
      </c>
    </row>
    <row r="1377" spans="1:13" x14ac:dyDescent="0.25">
      <c r="A1377" s="3">
        <v>41915</v>
      </c>
      <c r="B1377" s="2" t="s">
        <v>4</v>
      </c>
      <c r="C1377" s="2">
        <v>14</v>
      </c>
      <c r="G1377" s="7" t="str">
        <f t="array" ref="G1377">IF(ROWS(K$20:K1377)&gt;$F$6,"",INDEX(A$2:A$10000,SMALL(IF(ISNUMBER(MATCH($B$2:$B$10000,$E$6:$E$22,0)),ROW($C$2:$C$10000)-ROW($C$2)+1),ROWS(K$20:K1377))))</f>
        <v/>
      </c>
      <c r="H1377" s="4" t="str">
        <f t="array" ref="H1377">IF(ROWS(L$20:L1377)&gt;$F$6,"",INDEX(B$2:B$10000,SMALL(IF(ISNUMBER(MATCH($B$2:$B$10000,$E$6:$E$22,0)),ROW($C$2:$C$10000)-ROW($C$2)+1),ROWS(L$20:L1377))))</f>
        <v/>
      </c>
      <c r="I1377" s="4" t="str">
        <f t="array" ref="I1377">IF(ROWS(M$20:M1377)&gt;$F$6,"",INDEX(C$2:C$10000,SMALL(IF(ISNUMBER(MATCH($B$2:$B$10000,$E$6:$E$22,0)),ROW($C$2:$C$10000)-ROW($C$2)+1),ROWS(M$20:M1377))))</f>
        <v/>
      </c>
      <c r="K1377" s="7" t="str">
        <f t="array" ref="K1377">IF(ROWS(K$20:K1377)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1377))))</f>
        <v/>
      </c>
      <c r="L1377" s="4" t="str">
        <f t="array" ref="L1377">IF(ROWS(L$20:L1377)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1377))))</f>
        <v/>
      </c>
      <c r="M1377" s="4" t="str">
        <f t="array" ref="M1377">IF(ROWS(M$20:M1377)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1377))))</f>
        <v/>
      </c>
    </row>
    <row r="1378" spans="1:13" x14ac:dyDescent="0.25">
      <c r="A1378" s="3">
        <v>41409</v>
      </c>
      <c r="B1378" s="2" t="s">
        <v>17</v>
      </c>
      <c r="C1378" s="2">
        <v>10</v>
      </c>
      <c r="G1378" s="7" t="str">
        <f t="array" ref="G1378">IF(ROWS(K$20:K1378)&gt;$F$6,"",INDEX(A$2:A$10000,SMALL(IF(ISNUMBER(MATCH($B$2:$B$10000,$E$6:$E$22,0)),ROW($C$2:$C$10000)-ROW($C$2)+1),ROWS(K$20:K1378))))</f>
        <v/>
      </c>
      <c r="H1378" s="4" t="str">
        <f t="array" ref="H1378">IF(ROWS(L$20:L1378)&gt;$F$6,"",INDEX(B$2:B$10000,SMALL(IF(ISNUMBER(MATCH($B$2:$B$10000,$E$6:$E$22,0)),ROW($C$2:$C$10000)-ROW($C$2)+1),ROWS(L$20:L1378))))</f>
        <v/>
      </c>
      <c r="I1378" s="4" t="str">
        <f t="array" ref="I1378">IF(ROWS(M$20:M1378)&gt;$F$6,"",INDEX(C$2:C$10000,SMALL(IF(ISNUMBER(MATCH($B$2:$B$10000,$E$6:$E$22,0)),ROW($C$2:$C$10000)-ROW($C$2)+1),ROWS(M$20:M1378))))</f>
        <v/>
      </c>
      <c r="K1378" s="7" t="str">
        <f t="array" ref="K1378">IF(ROWS(K$20:K1378)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1378))))</f>
        <v/>
      </c>
      <c r="L1378" s="4" t="str">
        <f t="array" ref="L1378">IF(ROWS(L$20:L1378)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1378))))</f>
        <v/>
      </c>
      <c r="M1378" s="4" t="str">
        <f t="array" ref="M1378">IF(ROWS(M$20:M1378)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1378))))</f>
        <v/>
      </c>
    </row>
    <row r="1379" spans="1:13" x14ac:dyDescent="0.25">
      <c r="A1379" s="3">
        <v>41347</v>
      </c>
      <c r="B1379" s="2" t="s">
        <v>8</v>
      </c>
      <c r="C1379" s="2">
        <v>16</v>
      </c>
      <c r="G1379" s="7" t="str">
        <f t="array" ref="G1379">IF(ROWS(K$20:K1379)&gt;$F$6,"",INDEX(A$2:A$10000,SMALL(IF(ISNUMBER(MATCH($B$2:$B$10000,$E$6:$E$22,0)),ROW($C$2:$C$10000)-ROW($C$2)+1),ROWS(K$20:K1379))))</f>
        <v/>
      </c>
      <c r="H1379" s="4" t="str">
        <f t="array" ref="H1379">IF(ROWS(L$20:L1379)&gt;$F$6,"",INDEX(B$2:B$10000,SMALL(IF(ISNUMBER(MATCH($B$2:$B$10000,$E$6:$E$22,0)),ROW($C$2:$C$10000)-ROW($C$2)+1),ROWS(L$20:L1379))))</f>
        <v/>
      </c>
      <c r="I1379" s="4" t="str">
        <f t="array" ref="I1379">IF(ROWS(M$20:M1379)&gt;$F$6,"",INDEX(C$2:C$10000,SMALL(IF(ISNUMBER(MATCH($B$2:$B$10000,$E$6:$E$22,0)),ROW($C$2:$C$10000)-ROW($C$2)+1),ROWS(M$20:M1379))))</f>
        <v/>
      </c>
      <c r="K1379" s="7" t="str">
        <f t="array" ref="K1379">IF(ROWS(K$20:K1379)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1379))))</f>
        <v/>
      </c>
      <c r="L1379" s="4" t="str">
        <f t="array" ref="L1379">IF(ROWS(L$20:L1379)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1379))))</f>
        <v/>
      </c>
      <c r="M1379" s="4" t="str">
        <f t="array" ref="M1379">IF(ROWS(M$20:M1379)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1379))))</f>
        <v/>
      </c>
    </row>
    <row r="1380" spans="1:13" x14ac:dyDescent="0.25">
      <c r="A1380" s="3">
        <v>41782</v>
      </c>
      <c r="B1380" s="2" t="s">
        <v>43</v>
      </c>
      <c r="C1380" s="2">
        <v>29</v>
      </c>
      <c r="G1380" s="7" t="str">
        <f t="array" ref="G1380">IF(ROWS(K$20:K1380)&gt;$F$6,"",INDEX(A$2:A$10000,SMALL(IF(ISNUMBER(MATCH($B$2:$B$10000,$E$6:$E$22,0)),ROW($C$2:$C$10000)-ROW($C$2)+1),ROWS(K$20:K1380))))</f>
        <v/>
      </c>
      <c r="H1380" s="4" t="str">
        <f t="array" ref="H1380">IF(ROWS(L$20:L1380)&gt;$F$6,"",INDEX(B$2:B$10000,SMALL(IF(ISNUMBER(MATCH($B$2:$B$10000,$E$6:$E$22,0)),ROW($C$2:$C$10000)-ROW($C$2)+1),ROWS(L$20:L1380))))</f>
        <v/>
      </c>
      <c r="I1380" s="4" t="str">
        <f t="array" ref="I1380">IF(ROWS(M$20:M1380)&gt;$F$6,"",INDEX(C$2:C$10000,SMALL(IF(ISNUMBER(MATCH($B$2:$B$10000,$E$6:$E$22,0)),ROW($C$2:$C$10000)-ROW($C$2)+1),ROWS(M$20:M1380))))</f>
        <v/>
      </c>
      <c r="K1380" s="7" t="str">
        <f t="array" ref="K1380">IF(ROWS(K$20:K1380)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1380))))</f>
        <v/>
      </c>
      <c r="L1380" s="4" t="str">
        <f t="array" ref="L1380">IF(ROWS(L$20:L1380)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1380))))</f>
        <v/>
      </c>
      <c r="M1380" s="4" t="str">
        <f t="array" ref="M1380">IF(ROWS(M$20:M1380)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1380))))</f>
        <v/>
      </c>
    </row>
    <row r="1381" spans="1:13" x14ac:dyDescent="0.25">
      <c r="A1381" s="3">
        <v>41559</v>
      </c>
      <c r="B1381" s="2" t="s">
        <v>21</v>
      </c>
      <c r="C1381" s="2">
        <v>16</v>
      </c>
      <c r="G1381" s="7" t="str">
        <f t="array" ref="G1381">IF(ROWS(K$20:K1381)&gt;$F$6,"",INDEX(A$2:A$10000,SMALL(IF(ISNUMBER(MATCH($B$2:$B$10000,$E$6:$E$22,0)),ROW($C$2:$C$10000)-ROW($C$2)+1),ROWS(K$20:K1381))))</f>
        <v/>
      </c>
      <c r="H1381" s="4" t="str">
        <f t="array" ref="H1381">IF(ROWS(L$20:L1381)&gt;$F$6,"",INDEX(B$2:B$10000,SMALL(IF(ISNUMBER(MATCH($B$2:$B$10000,$E$6:$E$22,0)),ROW($C$2:$C$10000)-ROW($C$2)+1),ROWS(L$20:L1381))))</f>
        <v/>
      </c>
      <c r="I1381" s="4" t="str">
        <f t="array" ref="I1381">IF(ROWS(M$20:M1381)&gt;$F$6,"",INDEX(C$2:C$10000,SMALL(IF(ISNUMBER(MATCH($B$2:$B$10000,$E$6:$E$22,0)),ROW($C$2:$C$10000)-ROW($C$2)+1),ROWS(M$20:M1381))))</f>
        <v/>
      </c>
      <c r="K1381" s="7" t="str">
        <f t="array" ref="K1381">IF(ROWS(K$20:K1381)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1381))))</f>
        <v/>
      </c>
      <c r="L1381" s="4" t="str">
        <f t="array" ref="L1381">IF(ROWS(L$20:L1381)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1381))))</f>
        <v/>
      </c>
      <c r="M1381" s="4" t="str">
        <f t="array" ref="M1381">IF(ROWS(M$20:M1381)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1381))))</f>
        <v/>
      </c>
    </row>
    <row r="1382" spans="1:13" x14ac:dyDescent="0.25">
      <c r="A1382" s="3">
        <v>41364</v>
      </c>
      <c r="B1382" s="2" t="s">
        <v>22</v>
      </c>
      <c r="C1382" s="2">
        <v>23</v>
      </c>
      <c r="G1382" s="7" t="str">
        <f t="array" ref="G1382">IF(ROWS(K$20:K1382)&gt;$F$6,"",INDEX(A$2:A$10000,SMALL(IF(ISNUMBER(MATCH($B$2:$B$10000,$E$6:$E$22,0)),ROW($C$2:$C$10000)-ROW($C$2)+1),ROWS(K$20:K1382))))</f>
        <v/>
      </c>
      <c r="H1382" s="4" t="str">
        <f t="array" ref="H1382">IF(ROWS(L$20:L1382)&gt;$F$6,"",INDEX(B$2:B$10000,SMALL(IF(ISNUMBER(MATCH($B$2:$B$10000,$E$6:$E$22,0)),ROW($C$2:$C$10000)-ROW($C$2)+1),ROWS(L$20:L1382))))</f>
        <v/>
      </c>
      <c r="I1382" s="4" t="str">
        <f t="array" ref="I1382">IF(ROWS(M$20:M1382)&gt;$F$6,"",INDEX(C$2:C$10000,SMALL(IF(ISNUMBER(MATCH($B$2:$B$10000,$E$6:$E$22,0)),ROW($C$2:$C$10000)-ROW($C$2)+1),ROWS(M$20:M1382))))</f>
        <v/>
      </c>
      <c r="K1382" s="7" t="str">
        <f t="array" ref="K1382">IF(ROWS(K$20:K1382)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1382))))</f>
        <v/>
      </c>
      <c r="L1382" s="4" t="str">
        <f t="array" ref="L1382">IF(ROWS(L$20:L1382)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1382))))</f>
        <v/>
      </c>
      <c r="M1382" s="4" t="str">
        <f t="array" ref="M1382">IF(ROWS(M$20:M1382)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1382))))</f>
        <v/>
      </c>
    </row>
    <row r="1383" spans="1:13" x14ac:dyDescent="0.25">
      <c r="A1383" s="3">
        <v>41395</v>
      </c>
      <c r="B1383" s="2" t="s">
        <v>9</v>
      </c>
      <c r="C1383" s="2">
        <v>2</v>
      </c>
      <c r="G1383" s="7" t="str">
        <f t="array" ref="G1383">IF(ROWS(K$20:K1383)&gt;$F$6,"",INDEX(A$2:A$10000,SMALL(IF(ISNUMBER(MATCH($B$2:$B$10000,$E$6:$E$22,0)),ROW($C$2:$C$10000)-ROW($C$2)+1),ROWS(K$20:K1383))))</f>
        <v/>
      </c>
      <c r="H1383" s="4" t="str">
        <f t="array" ref="H1383">IF(ROWS(L$20:L1383)&gt;$F$6,"",INDEX(B$2:B$10000,SMALL(IF(ISNUMBER(MATCH($B$2:$B$10000,$E$6:$E$22,0)),ROW($C$2:$C$10000)-ROW($C$2)+1),ROWS(L$20:L1383))))</f>
        <v/>
      </c>
      <c r="I1383" s="4" t="str">
        <f t="array" ref="I1383">IF(ROWS(M$20:M1383)&gt;$F$6,"",INDEX(C$2:C$10000,SMALL(IF(ISNUMBER(MATCH($B$2:$B$10000,$E$6:$E$22,0)),ROW($C$2:$C$10000)-ROW($C$2)+1),ROWS(M$20:M1383))))</f>
        <v/>
      </c>
      <c r="K1383" s="7" t="str">
        <f t="array" ref="K1383">IF(ROWS(K$20:K1383)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1383))))</f>
        <v/>
      </c>
      <c r="L1383" s="4" t="str">
        <f t="array" ref="L1383">IF(ROWS(L$20:L1383)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1383))))</f>
        <v/>
      </c>
      <c r="M1383" s="4" t="str">
        <f t="array" ref="M1383">IF(ROWS(M$20:M1383)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1383))))</f>
        <v/>
      </c>
    </row>
    <row r="1384" spans="1:13" x14ac:dyDescent="0.25">
      <c r="A1384" s="3">
        <v>41877</v>
      </c>
      <c r="B1384" s="2" t="s">
        <v>32</v>
      </c>
      <c r="C1384" s="2">
        <v>37</v>
      </c>
      <c r="G1384" s="7" t="str">
        <f t="array" ref="G1384">IF(ROWS(K$20:K1384)&gt;$F$6,"",INDEX(A$2:A$10000,SMALL(IF(ISNUMBER(MATCH($B$2:$B$10000,$E$6:$E$22,0)),ROW($C$2:$C$10000)-ROW($C$2)+1),ROWS(K$20:K1384))))</f>
        <v/>
      </c>
      <c r="H1384" s="4" t="str">
        <f t="array" ref="H1384">IF(ROWS(L$20:L1384)&gt;$F$6,"",INDEX(B$2:B$10000,SMALL(IF(ISNUMBER(MATCH($B$2:$B$10000,$E$6:$E$22,0)),ROW($C$2:$C$10000)-ROW($C$2)+1),ROWS(L$20:L1384))))</f>
        <v/>
      </c>
      <c r="I1384" s="4" t="str">
        <f t="array" ref="I1384">IF(ROWS(M$20:M1384)&gt;$F$6,"",INDEX(C$2:C$10000,SMALL(IF(ISNUMBER(MATCH($B$2:$B$10000,$E$6:$E$22,0)),ROW($C$2:$C$10000)-ROW($C$2)+1),ROWS(M$20:M1384))))</f>
        <v/>
      </c>
      <c r="K1384" s="7" t="str">
        <f t="array" ref="K1384">IF(ROWS(K$20:K1384)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1384))))</f>
        <v/>
      </c>
      <c r="L1384" s="4" t="str">
        <f t="array" ref="L1384">IF(ROWS(L$20:L1384)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1384))))</f>
        <v/>
      </c>
      <c r="M1384" s="4" t="str">
        <f t="array" ref="M1384">IF(ROWS(M$20:M1384)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1384))))</f>
        <v/>
      </c>
    </row>
    <row r="1385" spans="1:13" x14ac:dyDescent="0.25">
      <c r="A1385" s="3">
        <v>41969</v>
      </c>
      <c r="B1385" s="2" t="s">
        <v>5</v>
      </c>
      <c r="C1385" s="2">
        <v>42</v>
      </c>
      <c r="G1385" s="7" t="str">
        <f t="array" ref="G1385">IF(ROWS(K$20:K1385)&gt;$F$6,"",INDEX(A$2:A$10000,SMALL(IF(ISNUMBER(MATCH($B$2:$B$10000,$E$6:$E$22,0)),ROW($C$2:$C$10000)-ROW($C$2)+1),ROWS(K$20:K1385))))</f>
        <v/>
      </c>
      <c r="H1385" s="4" t="str">
        <f t="array" ref="H1385">IF(ROWS(L$20:L1385)&gt;$F$6,"",INDEX(B$2:B$10000,SMALL(IF(ISNUMBER(MATCH($B$2:$B$10000,$E$6:$E$22,0)),ROW($C$2:$C$10000)-ROW($C$2)+1),ROWS(L$20:L1385))))</f>
        <v/>
      </c>
      <c r="I1385" s="4" t="str">
        <f t="array" ref="I1385">IF(ROWS(M$20:M1385)&gt;$F$6,"",INDEX(C$2:C$10000,SMALL(IF(ISNUMBER(MATCH($B$2:$B$10000,$E$6:$E$22,0)),ROW($C$2:$C$10000)-ROW($C$2)+1),ROWS(M$20:M1385))))</f>
        <v/>
      </c>
      <c r="K1385" s="7" t="str">
        <f t="array" ref="K1385">IF(ROWS(K$20:K1385)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1385))))</f>
        <v/>
      </c>
      <c r="L1385" s="4" t="str">
        <f t="array" ref="L1385">IF(ROWS(L$20:L1385)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1385))))</f>
        <v/>
      </c>
      <c r="M1385" s="4" t="str">
        <f t="array" ref="M1385">IF(ROWS(M$20:M1385)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1385))))</f>
        <v/>
      </c>
    </row>
    <row r="1386" spans="1:13" x14ac:dyDescent="0.25">
      <c r="A1386" s="3">
        <v>41752</v>
      </c>
      <c r="B1386" s="2" t="s">
        <v>39</v>
      </c>
      <c r="C1386" s="2">
        <v>30</v>
      </c>
      <c r="G1386" s="7" t="str">
        <f t="array" ref="G1386">IF(ROWS(K$20:K1386)&gt;$F$6,"",INDEX(A$2:A$10000,SMALL(IF(ISNUMBER(MATCH($B$2:$B$10000,$E$6:$E$22,0)),ROW($C$2:$C$10000)-ROW($C$2)+1),ROWS(K$20:K1386))))</f>
        <v/>
      </c>
      <c r="H1386" s="4" t="str">
        <f t="array" ref="H1386">IF(ROWS(L$20:L1386)&gt;$F$6,"",INDEX(B$2:B$10000,SMALL(IF(ISNUMBER(MATCH($B$2:$B$10000,$E$6:$E$22,0)),ROW($C$2:$C$10000)-ROW($C$2)+1),ROWS(L$20:L1386))))</f>
        <v/>
      </c>
      <c r="I1386" s="4" t="str">
        <f t="array" ref="I1386">IF(ROWS(M$20:M1386)&gt;$F$6,"",INDEX(C$2:C$10000,SMALL(IF(ISNUMBER(MATCH($B$2:$B$10000,$E$6:$E$22,0)),ROW($C$2:$C$10000)-ROW($C$2)+1),ROWS(M$20:M1386))))</f>
        <v/>
      </c>
      <c r="K1386" s="7" t="str">
        <f t="array" ref="K1386">IF(ROWS(K$20:K1386)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1386))))</f>
        <v/>
      </c>
      <c r="L1386" s="4" t="str">
        <f t="array" ref="L1386">IF(ROWS(L$20:L1386)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1386))))</f>
        <v/>
      </c>
      <c r="M1386" s="4" t="str">
        <f t="array" ref="M1386">IF(ROWS(M$20:M1386)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1386))))</f>
        <v/>
      </c>
    </row>
    <row r="1387" spans="1:13" x14ac:dyDescent="0.25">
      <c r="A1387" s="3">
        <v>41559</v>
      </c>
      <c r="B1387" s="2" t="s">
        <v>51</v>
      </c>
      <c r="C1387" s="2">
        <v>20</v>
      </c>
      <c r="G1387" s="7" t="str">
        <f t="array" ref="G1387">IF(ROWS(K$20:K1387)&gt;$F$6,"",INDEX(A$2:A$10000,SMALL(IF(ISNUMBER(MATCH($B$2:$B$10000,$E$6:$E$22,0)),ROW($C$2:$C$10000)-ROW($C$2)+1),ROWS(K$20:K1387))))</f>
        <v/>
      </c>
      <c r="H1387" s="4" t="str">
        <f t="array" ref="H1387">IF(ROWS(L$20:L1387)&gt;$F$6,"",INDEX(B$2:B$10000,SMALL(IF(ISNUMBER(MATCH($B$2:$B$10000,$E$6:$E$22,0)),ROW($C$2:$C$10000)-ROW($C$2)+1),ROWS(L$20:L1387))))</f>
        <v/>
      </c>
      <c r="I1387" s="4" t="str">
        <f t="array" ref="I1387">IF(ROWS(M$20:M1387)&gt;$F$6,"",INDEX(C$2:C$10000,SMALL(IF(ISNUMBER(MATCH($B$2:$B$10000,$E$6:$E$22,0)),ROW($C$2:$C$10000)-ROW($C$2)+1),ROWS(M$20:M1387))))</f>
        <v/>
      </c>
      <c r="K1387" s="7" t="str">
        <f t="array" ref="K1387">IF(ROWS(K$20:K1387)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1387))))</f>
        <v/>
      </c>
      <c r="L1387" s="4" t="str">
        <f t="array" ref="L1387">IF(ROWS(L$20:L1387)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1387))))</f>
        <v/>
      </c>
      <c r="M1387" s="4" t="str">
        <f t="array" ref="M1387">IF(ROWS(M$20:M1387)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1387))))</f>
        <v/>
      </c>
    </row>
    <row r="1388" spans="1:13" x14ac:dyDescent="0.25">
      <c r="A1388" s="3">
        <v>41954</v>
      </c>
      <c r="B1388" s="2" t="s">
        <v>28</v>
      </c>
      <c r="C1388" s="2">
        <v>31</v>
      </c>
      <c r="G1388" s="7" t="str">
        <f t="array" ref="G1388">IF(ROWS(K$20:K1388)&gt;$F$6,"",INDEX(A$2:A$10000,SMALL(IF(ISNUMBER(MATCH($B$2:$B$10000,$E$6:$E$22,0)),ROW($C$2:$C$10000)-ROW($C$2)+1),ROWS(K$20:K1388))))</f>
        <v/>
      </c>
      <c r="H1388" s="4" t="str">
        <f t="array" ref="H1388">IF(ROWS(L$20:L1388)&gt;$F$6,"",INDEX(B$2:B$10000,SMALL(IF(ISNUMBER(MATCH($B$2:$B$10000,$E$6:$E$22,0)),ROW($C$2:$C$10000)-ROW($C$2)+1),ROWS(L$20:L1388))))</f>
        <v/>
      </c>
      <c r="I1388" s="4" t="str">
        <f t="array" ref="I1388">IF(ROWS(M$20:M1388)&gt;$F$6,"",INDEX(C$2:C$10000,SMALL(IF(ISNUMBER(MATCH($B$2:$B$10000,$E$6:$E$22,0)),ROW($C$2:$C$10000)-ROW($C$2)+1),ROWS(M$20:M1388))))</f>
        <v/>
      </c>
      <c r="K1388" s="7" t="str">
        <f t="array" ref="K1388">IF(ROWS(K$20:K1388)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1388))))</f>
        <v/>
      </c>
      <c r="L1388" s="4" t="str">
        <f t="array" ref="L1388">IF(ROWS(L$20:L1388)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1388))))</f>
        <v/>
      </c>
      <c r="M1388" s="4" t="str">
        <f t="array" ref="M1388">IF(ROWS(M$20:M1388)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1388))))</f>
        <v/>
      </c>
    </row>
    <row r="1389" spans="1:13" x14ac:dyDescent="0.25">
      <c r="A1389" s="3">
        <v>41502</v>
      </c>
      <c r="B1389" s="2" t="s">
        <v>24</v>
      </c>
      <c r="C1389" s="2">
        <v>34</v>
      </c>
      <c r="G1389" s="7" t="str">
        <f t="array" ref="G1389">IF(ROWS(K$20:K1389)&gt;$F$6,"",INDEX(A$2:A$10000,SMALL(IF(ISNUMBER(MATCH($B$2:$B$10000,$E$6:$E$22,0)),ROW($C$2:$C$10000)-ROW($C$2)+1),ROWS(K$20:K1389))))</f>
        <v/>
      </c>
      <c r="H1389" s="4" t="str">
        <f t="array" ref="H1389">IF(ROWS(L$20:L1389)&gt;$F$6,"",INDEX(B$2:B$10000,SMALL(IF(ISNUMBER(MATCH($B$2:$B$10000,$E$6:$E$22,0)),ROW($C$2:$C$10000)-ROW($C$2)+1),ROWS(L$20:L1389))))</f>
        <v/>
      </c>
      <c r="I1389" s="4" t="str">
        <f t="array" ref="I1389">IF(ROWS(M$20:M1389)&gt;$F$6,"",INDEX(C$2:C$10000,SMALL(IF(ISNUMBER(MATCH($B$2:$B$10000,$E$6:$E$22,0)),ROW($C$2:$C$10000)-ROW($C$2)+1),ROWS(M$20:M1389))))</f>
        <v/>
      </c>
      <c r="K1389" s="7" t="str">
        <f t="array" ref="K1389">IF(ROWS(K$20:K1389)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1389))))</f>
        <v/>
      </c>
      <c r="L1389" s="4" t="str">
        <f t="array" ref="L1389">IF(ROWS(L$20:L1389)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1389))))</f>
        <v/>
      </c>
      <c r="M1389" s="4" t="str">
        <f t="array" ref="M1389">IF(ROWS(M$20:M1389)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1389))))</f>
        <v/>
      </c>
    </row>
    <row r="1390" spans="1:13" x14ac:dyDescent="0.25">
      <c r="A1390" s="3">
        <v>41701</v>
      </c>
      <c r="B1390" s="2" t="s">
        <v>11</v>
      </c>
      <c r="C1390" s="2">
        <v>20</v>
      </c>
      <c r="G1390" s="7" t="str">
        <f t="array" ref="G1390">IF(ROWS(K$20:K1390)&gt;$F$6,"",INDEX(A$2:A$10000,SMALL(IF(ISNUMBER(MATCH($B$2:$B$10000,$E$6:$E$22,0)),ROW($C$2:$C$10000)-ROW($C$2)+1),ROWS(K$20:K1390))))</f>
        <v/>
      </c>
      <c r="H1390" s="4" t="str">
        <f t="array" ref="H1390">IF(ROWS(L$20:L1390)&gt;$F$6,"",INDEX(B$2:B$10000,SMALL(IF(ISNUMBER(MATCH($B$2:$B$10000,$E$6:$E$22,0)),ROW($C$2:$C$10000)-ROW($C$2)+1),ROWS(L$20:L1390))))</f>
        <v/>
      </c>
      <c r="I1390" s="4" t="str">
        <f t="array" ref="I1390">IF(ROWS(M$20:M1390)&gt;$F$6,"",INDEX(C$2:C$10000,SMALL(IF(ISNUMBER(MATCH($B$2:$B$10000,$E$6:$E$22,0)),ROW($C$2:$C$10000)-ROW($C$2)+1),ROWS(M$20:M1390))))</f>
        <v/>
      </c>
      <c r="K1390" s="7" t="str">
        <f t="array" ref="K1390">IF(ROWS(K$20:K1390)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1390))))</f>
        <v/>
      </c>
      <c r="L1390" s="4" t="str">
        <f t="array" ref="L1390">IF(ROWS(L$20:L1390)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1390))))</f>
        <v/>
      </c>
      <c r="M1390" s="4" t="str">
        <f t="array" ref="M1390">IF(ROWS(M$20:M1390)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1390))))</f>
        <v/>
      </c>
    </row>
    <row r="1391" spans="1:13" x14ac:dyDescent="0.25">
      <c r="A1391" s="3">
        <v>41984</v>
      </c>
      <c r="B1391" s="2" t="s">
        <v>40</v>
      </c>
      <c r="C1391" s="2">
        <v>4</v>
      </c>
      <c r="G1391" s="7" t="str">
        <f t="array" ref="G1391">IF(ROWS(K$20:K1391)&gt;$F$6,"",INDEX(A$2:A$10000,SMALL(IF(ISNUMBER(MATCH($B$2:$B$10000,$E$6:$E$22,0)),ROW($C$2:$C$10000)-ROW($C$2)+1),ROWS(K$20:K1391))))</f>
        <v/>
      </c>
      <c r="H1391" s="4" t="str">
        <f t="array" ref="H1391">IF(ROWS(L$20:L1391)&gt;$F$6,"",INDEX(B$2:B$10000,SMALL(IF(ISNUMBER(MATCH($B$2:$B$10000,$E$6:$E$22,0)),ROW($C$2:$C$10000)-ROW($C$2)+1),ROWS(L$20:L1391))))</f>
        <v/>
      </c>
      <c r="I1391" s="4" t="str">
        <f t="array" ref="I1391">IF(ROWS(M$20:M1391)&gt;$F$6,"",INDEX(C$2:C$10000,SMALL(IF(ISNUMBER(MATCH($B$2:$B$10000,$E$6:$E$22,0)),ROW($C$2:$C$10000)-ROW($C$2)+1),ROWS(M$20:M1391))))</f>
        <v/>
      </c>
      <c r="K1391" s="7" t="str">
        <f t="array" ref="K1391">IF(ROWS(K$20:K1391)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1391))))</f>
        <v/>
      </c>
      <c r="L1391" s="4" t="str">
        <f t="array" ref="L1391">IF(ROWS(L$20:L1391)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1391))))</f>
        <v/>
      </c>
      <c r="M1391" s="4" t="str">
        <f t="array" ref="M1391">IF(ROWS(M$20:M1391)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1391))))</f>
        <v/>
      </c>
    </row>
    <row r="1392" spans="1:13" x14ac:dyDescent="0.25">
      <c r="A1392" s="3">
        <v>41768</v>
      </c>
      <c r="B1392" s="2" t="s">
        <v>16</v>
      </c>
      <c r="C1392" s="2">
        <v>33</v>
      </c>
      <c r="G1392" s="7" t="str">
        <f t="array" ref="G1392">IF(ROWS(K$20:K1392)&gt;$F$6,"",INDEX(A$2:A$10000,SMALL(IF(ISNUMBER(MATCH($B$2:$B$10000,$E$6:$E$22,0)),ROW($C$2:$C$10000)-ROW($C$2)+1),ROWS(K$20:K1392))))</f>
        <v/>
      </c>
      <c r="H1392" s="4" t="str">
        <f t="array" ref="H1392">IF(ROWS(L$20:L1392)&gt;$F$6,"",INDEX(B$2:B$10000,SMALL(IF(ISNUMBER(MATCH($B$2:$B$10000,$E$6:$E$22,0)),ROW($C$2:$C$10000)-ROW($C$2)+1),ROWS(L$20:L1392))))</f>
        <v/>
      </c>
      <c r="I1392" s="4" t="str">
        <f t="array" ref="I1392">IF(ROWS(M$20:M1392)&gt;$F$6,"",INDEX(C$2:C$10000,SMALL(IF(ISNUMBER(MATCH($B$2:$B$10000,$E$6:$E$22,0)),ROW($C$2:$C$10000)-ROW($C$2)+1),ROWS(M$20:M1392))))</f>
        <v/>
      </c>
      <c r="K1392" s="7" t="str">
        <f t="array" ref="K1392">IF(ROWS(K$20:K1392)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1392))))</f>
        <v/>
      </c>
      <c r="L1392" s="4" t="str">
        <f t="array" ref="L1392">IF(ROWS(L$20:L1392)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1392))))</f>
        <v/>
      </c>
      <c r="M1392" s="4" t="str">
        <f t="array" ref="M1392">IF(ROWS(M$20:M1392)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1392))))</f>
        <v/>
      </c>
    </row>
    <row r="1393" spans="1:13" x14ac:dyDescent="0.25">
      <c r="A1393" s="3">
        <v>41966</v>
      </c>
      <c r="B1393" s="2" t="s">
        <v>16</v>
      </c>
      <c r="C1393" s="2">
        <v>24</v>
      </c>
      <c r="G1393" s="7" t="str">
        <f t="array" ref="G1393">IF(ROWS(K$20:K1393)&gt;$F$6,"",INDEX(A$2:A$10000,SMALL(IF(ISNUMBER(MATCH($B$2:$B$10000,$E$6:$E$22,0)),ROW($C$2:$C$10000)-ROW($C$2)+1),ROWS(K$20:K1393))))</f>
        <v/>
      </c>
      <c r="H1393" s="4" t="str">
        <f t="array" ref="H1393">IF(ROWS(L$20:L1393)&gt;$F$6,"",INDEX(B$2:B$10000,SMALL(IF(ISNUMBER(MATCH($B$2:$B$10000,$E$6:$E$22,0)),ROW($C$2:$C$10000)-ROW($C$2)+1),ROWS(L$20:L1393))))</f>
        <v/>
      </c>
      <c r="I1393" s="4" t="str">
        <f t="array" ref="I1393">IF(ROWS(M$20:M1393)&gt;$F$6,"",INDEX(C$2:C$10000,SMALL(IF(ISNUMBER(MATCH($B$2:$B$10000,$E$6:$E$22,0)),ROW($C$2:$C$10000)-ROW($C$2)+1),ROWS(M$20:M1393))))</f>
        <v/>
      </c>
      <c r="K1393" s="7" t="str">
        <f t="array" ref="K1393">IF(ROWS(K$20:K1393)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1393))))</f>
        <v/>
      </c>
      <c r="L1393" s="4" t="str">
        <f t="array" ref="L1393">IF(ROWS(L$20:L1393)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1393))))</f>
        <v/>
      </c>
      <c r="M1393" s="4" t="str">
        <f t="array" ref="M1393">IF(ROWS(M$20:M1393)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1393))))</f>
        <v/>
      </c>
    </row>
    <row r="1394" spans="1:13" x14ac:dyDescent="0.25">
      <c r="A1394" s="3">
        <v>41881</v>
      </c>
      <c r="B1394" s="2" t="s">
        <v>31</v>
      </c>
      <c r="C1394" s="2">
        <v>15</v>
      </c>
      <c r="G1394" s="7" t="str">
        <f t="array" ref="G1394">IF(ROWS(K$20:K1394)&gt;$F$6,"",INDEX(A$2:A$10000,SMALL(IF(ISNUMBER(MATCH($B$2:$B$10000,$E$6:$E$22,0)),ROW($C$2:$C$10000)-ROW($C$2)+1),ROWS(K$20:K1394))))</f>
        <v/>
      </c>
      <c r="H1394" s="4" t="str">
        <f t="array" ref="H1394">IF(ROWS(L$20:L1394)&gt;$F$6,"",INDEX(B$2:B$10000,SMALL(IF(ISNUMBER(MATCH($B$2:$B$10000,$E$6:$E$22,0)),ROW($C$2:$C$10000)-ROW($C$2)+1),ROWS(L$20:L1394))))</f>
        <v/>
      </c>
      <c r="I1394" s="4" t="str">
        <f t="array" ref="I1394">IF(ROWS(M$20:M1394)&gt;$F$6,"",INDEX(C$2:C$10000,SMALL(IF(ISNUMBER(MATCH($B$2:$B$10000,$E$6:$E$22,0)),ROW($C$2:$C$10000)-ROW($C$2)+1),ROWS(M$20:M1394))))</f>
        <v/>
      </c>
      <c r="K1394" s="7" t="str">
        <f t="array" ref="K1394">IF(ROWS(K$20:K1394)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1394))))</f>
        <v/>
      </c>
      <c r="L1394" s="4" t="str">
        <f t="array" ref="L1394">IF(ROWS(L$20:L1394)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1394))))</f>
        <v/>
      </c>
      <c r="M1394" s="4" t="str">
        <f t="array" ref="M1394">IF(ROWS(M$20:M1394)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1394))))</f>
        <v/>
      </c>
    </row>
    <row r="1395" spans="1:13" x14ac:dyDescent="0.25">
      <c r="A1395" s="3">
        <v>41645</v>
      </c>
      <c r="B1395" s="2" t="s">
        <v>48</v>
      </c>
      <c r="C1395" s="2">
        <v>38</v>
      </c>
      <c r="G1395" s="7" t="str">
        <f t="array" ref="G1395">IF(ROWS(K$20:K1395)&gt;$F$6,"",INDEX(A$2:A$10000,SMALL(IF(ISNUMBER(MATCH($B$2:$B$10000,$E$6:$E$22,0)),ROW($C$2:$C$10000)-ROW($C$2)+1),ROWS(K$20:K1395))))</f>
        <v/>
      </c>
      <c r="H1395" s="4" t="str">
        <f t="array" ref="H1395">IF(ROWS(L$20:L1395)&gt;$F$6,"",INDEX(B$2:B$10000,SMALL(IF(ISNUMBER(MATCH($B$2:$B$10000,$E$6:$E$22,0)),ROW($C$2:$C$10000)-ROW($C$2)+1),ROWS(L$20:L1395))))</f>
        <v/>
      </c>
      <c r="I1395" s="4" t="str">
        <f t="array" ref="I1395">IF(ROWS(M$20:M1395)&gt;$F$6,"",INDEX(C$2:C$10000,SMALL(IF(ISNUMBER(MATCH($B$2:$B$10000,$E$6:$E$22,0)),ROW($C$2:$C$10000)-ROW($C$2)+1),ROWS(M$20:M1395))))</f>
        <v/>
      </c>
      <c r="K1395" s="7" t="str">
        <f t="array" ref="K1395">IF(ROWS(K$20:K1395)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1395))))</f>
        <v/>
      </c>
      <c r="L1395" s="4" t="str">
        <f t="array" ref="L1395">IF(ROWS(L$20:L1395)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1395))))</f>
        <v/>
      </c>
      <c r="M1395" s="4" t="str">
        <f t="array" ref="M1395">IF(ROWS(M$20:M1395)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1395))))</f>
        <v/>
      </c>
    </row>
    <row r="1396" spans="1:13" x14ac:dyDescent="0.25">
      <c r="A1396" s="3">
        <v>41819</v>
      </c>
      <c r="B1396" s="2" t="s">
        <v>44</v>
      </c>
      <c r="C1396" s="2">
        <v>8</v>
      </c>
      <c r="G1396" s="7" t="str">
        <f t="array" ref="G1396">IF(ROWS(K$20:K1396)&gt;$F$6,"",INDEX(A$2:A$10000,SMALL(IF(ISNUMBER(MATCH($B$2:$B$10000,$E$6:$E$22,0)),ROW($C$2:$C$10000)-ROW($C$2)+1),ROWS(K$20:K1396))))</f>
        <v/>
      </c>
      <c r="H1396" s="4" t="str">
        <f t="array" ref="H1396">IF(ROWS(L$20:L1396)&gt;$F$6,"",INDEX(B$2:B$10000,SMALL(IF(ISNUMBER(MATCH($B$2:$B$10000,$E$6:$E$22,0)),ROW($C$2:$C$10000)-ROW($C$2)+1),ROWS(L$20:L1396))))</f>
        <v/>
      </c>
      <c r="I1396" s="4" t="str">
        <f t="array" ref="I1396">IF(ROWS(M$20:M1396)&gt;$F$6,"",INDEX(C$2:C$10000,SMALL(IF(ISNUMBER(MATCH($B$2:$B$10000,$E$6:$E$22,0)),ROW($C$2:$C$10000)-ROW($C$2)+1),ROWS(M$20:M1396))))</f>
        <v/>
      </c>
      <c r="K1396" s="7" t="str">
        <f t="array" ref="K1396">IF(ROWS(K$20:K1396)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1396))))</f>
        <v/>
      </c>
      <c r="L1396" s="4" t="str">
        <f t="array" ref="L1396">IF(ROWS(L$20:L1396)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1396))))</f>
        <v/>
      </c>
      <c r="M1396" s="4" t="str">
        <f t="array" ref="M1396">IF(ROWS(M$20:M1396)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1396))))</f>
        <v/>
      </c>
    </row>
    <row r="1397" spans="1:13" x14ac:dyDescent="0.25">
      <c r="A1397" s="3">
        <v>41330</v>
      </c>
      <c r="B1397" s="2" t="s">
        <v>32</v>
      </c>
      <c r="C1397" s="2">
        <v>35</v>
      </c>
      <c r="G1397" s="7" t="str">
        <f t="array" ref="G1397">IF(ROWS(K$20:K1397)&gt;$F$6,"",INDEX(A$2:A$10000,SMALL(IF(ISNUMBER(MATCH($B$2:$B$10000,$E$6:$E$22,0)),ROW($C$2:$C$10000)-ROW($C$2)+1),ROWS(K$20:K1397))))</f>
        <v/>
      </c>
      <c r="H1397" s="4" t="str">
        <f t="array" ref="H1397">IF(ROWS(L$20:L1397)&gt;$F$6,"",INDEX(B$2:B$10000,SMALL(IF(ISNUMBER(MATCH($B$2:$B$10000,$E$6:$E$22,0)),ROW($C$2:$C$10000)-ROW($C$2)+1),ROWS(L$20:L1397))))</f>
        <v/>
      </c>
      <c r="I1397" s="4" t="str">
        <f t="array" ref="I1397">IF(ROWS(M$20:M1397)&gt;$F$6,"",INDEX(C$2:C$10000,SMALL(IF(ISNUMBER(MATCH($B$2:$B$10000,$E$6:$E$22,0)),ROW($C$2:$C$10000)-ROW($C$2)+1),ROWS(M$20:M1397))))</f>
        <v/>
      </c>
      <c r="K1397" s="7" t="str">
        <f t="array" ref="K1397">IF(ROWS(K$20:K1397)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1397))))</f>
        <v/>
      </c>
      <c r="L1397" s="4" t="str">
        <f t="array" ref="L1397">IF(ROWS(L$20:L1397)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1397))))</f>
        <v/>
      </c>
      <c r="M1397" s="4" t="str">
        <f t="array" ref="M1397">IF(ROWS(M$20:M1397)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1397))))</f>
        <v/>
      </c>
    </row>
    <row r="1398" spans="1:13" x14ac:dyDescent="0.25">
      <c r="A1398" s="3">
        <v>41887</v>
      </c>
      <c r="B1398" s="2" t="s">
        <v>6</v>
      </c>
      <c r="C1398" s="2">
        <v>41</v>
      </c>
      <c r="G1398" s="7" t="str">
        <f t="array" ref="G1398">IF(ROWS(K$20:K1398)&gt;$F$6,"",INDEX(A$2:A$10000,SMALL(IF(ISNUMBER(MATCH($B$2:$B$10000,$E$6:$E$22,0)),ROW($C$2:$C$10000)-ROW($C$2)+1),ROWS(K$20:K1398))))</f>
        <v/>
      </c>
      <c r="H1398" s="4" t="str">
        <f t="array" ref="H1398">IF(ROWS(L$20:L1398)&gt;$F$6,"",INDEX(B$2:B$10000,SMALL(IF(ISNUMBER(MATCH($B$2:$B$10000,$E$6:$E$22,0)),ROW($C$2:$C$10000)-ROW($C$2)+1),ROWS(L$20:L1398))))</f>
        <v/>
      </c>
      <c r="I1398" s="4" t="str">
        <f t="array" ref="I1398">IF(ROWS(M$20:M1398)&gt;$F$6,"",INDEX(C$2:C$10000,SMALL(IF(ISNUMBER(MATCH($B$2:$B$10000,$E$6:$E$22,0)),ROW($C$2:$C$10000)-ROW($C$2)+1),ROWS(M$20:M1398))))</f>
        <v/>
      </c>
      <c r="K1398" s="7" t="str">
        <f t="array" ref="K1398">IF(ROWS(K$20:K1398)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1398))))</f>
        <v/>
      </c>
      <c r="L1398" s="4" t="str">
        <f t="array" ref="L1398">IF(ROWS(L$20:L1398)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1398))))</f>
        <v/>
      </c>
      <c r="M1398" s="4" t="str">
        <f t="array" ref="M1398">IF(ROWS(M$20:M1398)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1398))))</f>
        <v/>
      </c>
    </row>
    <row r="1399" spans="1:13" x14ac:dyDescent="0.25">
      <c r="A1399" s="3">
        <v>41681</v>
      </c>
      <c r="B1399" s="2" t="s">
        <v>49</v>
      </c>
      <c r="C1399" s="2">
        <v>19</v>
      </c>
      <c r="G1399" s="7" t="str">
        <f t="array" ref="G1399">IF(ROWS(K$20:K1399)&gt;$F$6,"",INDEX(A$2:A$10000,SMALL(IF(ISNUMBER(MATCH($B$2:$B$10000,$E$6:$E$22,0)),ROW($C$2:$C$10000)-ROW($C$2)+1),ROWS(K$20:K1399))))</f>
        <v/>
      </c>
      <c r="H1399" s="4" t="str">
        <f t="array" ref="H1399">IF(ROWS(L$20:L1399)&gt;$F$6,"",INDEX(B$2:B$10000,SMALL(IF(ISNUMBER(MATCH($B$2:$B$10000,$E$6:$E$22,0)),ROW($C$2:$C$10000)-ROW($C$2)+1),ROWS(L$20:L1399))))</f>
        <v/>
      </c>
      <c r="I1399" s="4" t="str">
        <f t="array" ref="I1399">IF(ROWS(M$20:M1399)&gt;$F$6,"",INDEX(C$2:C$10000,SMALL(IF(ISNUMBER(MATCH($B$2:$B$10000,$E$6:$E$22,0)),ROW($C$2:$C$10000)-ROW($C$2)+1),ROWS(M$20:M1399))))</f>
        <v/>
      </c>
      <c r="K1399" s="7" t="str">
        <f t="array" ref="K1399">IF(ROWS(K$20:K1399)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1399))))</f>
        <v/>
      </c>
      <c r="L1399" s="4" t="str">
        <f t="array" ref="L1399">IF(ROWS(L$20:L1399)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1399))))</f>
        <v/>
      </c>
      <c r="M1399" s="4" t="str">
        <f t="array" ref="M1399">IF(ROWS(M$20:M1399)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1399))))</f>
        <v/>
      </c>
    </row>
    <row r="1400" spans="1:13" x14ac:dyDescent="0.25">
      <c r="A1400" s="3">
        <v>41792</v>
      </c>
      <c r="B1400" s="2" t="s">
        <v>44</v>
      </c>
      <c r="C1400" s="2">
        <v>4</v>
      </c>
      <c r="G1400" s="7" t="str">
        <f t="array" ref="G1400">IF(ROWS(K$20:K1400)&gt;$F$6,"",INDEX(A$2:A$10000,SMALL(IF(ISNUMBER(MATCH($B$2:$B$10000,$E$6:$E$22,0)),ROW($C$2:$C$10000)-ROW($C$2)+1),ROWS(K$20:K1400))))</f>
        <v/>
      </c>
      <c r="H1400" s="4" t="str">
        <f t="array" ref="H1400">IF(ROWS(L$20:L1400)&gt;$F$6,"",INDEX(B$2:B$10000,SMALL(IF(ISNUMBER(MATCH($B$2:$B$10000,$E$6:$E$22,0)),ROW($C$2:$C$10000)-ROW($C$2)+1),ROWS(L$20:L1400))))</f>
        <v/>
      </c>
      <c r="I1400" s="4" t="str">
        <f t="array" ref="I1400">IF(ROWS(M$20:M1400)&gt;$F$6,"",INDEX(C$2:C$10000,SMALL(IF(ISNUMBER(MATCH($B$2:$B$10000,$E$6:$E$22,0)),ROW($C$2:$C$10000)-ROW($C$2)+1),ROWS(M$20:M1400))))</f>
        <v/>
      </c>
      <c r="K1400" s="7" t="str">
        <f t="array" ref="K1400">IF(ROWS(K$20:K1400)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1400))))</f>
        <v/>
      </c>
      <c r="L1400" s="4" t="str">
        <f t="array" ref="L1400">IF(ROWS(L$20:L1400)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1400))))</f>
        <v/>
      </c>
      <c r="M1400" s="4" t="str">
        <f t="array" ref="M1400">IF(ROWS(M$20:M1400)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1400))))</f>
        <v/>
      </c>
    </row>
    <row r="1401" spans="1:13" x14ac:dyDescent="0.25">
      <c r="A1401" s="3">
        <v>41322</v>
      </c>
      <c r="B1401" s="2" t="s">
        <v>13</v>
      </c>
      <c r="C1401" s="2">
        <v>47</v>
      </c>
      <c r="G1401" s="7" t="str">
        <f t="array" ref="G1401">IF(ROWS(K$20:K1401)&gt;$F$6,"",INDEX(A$2:A$10000,SMALL(IF(ISNUMBER(MATCH($B$2:$B$10000,$E$6:$E$22,0)),ROW($C$2:$C$10000)-ROW($C$2)+1),ROWS(K$20:K1401))))</f>
        <v/>
      </c>
      <c r="H1401" s="4" t="str">
        <f t="array" ref="H1401">IF(ROWS(L$20:L1401)&gt;$F$6,"",INDEX(B$2:B$10000,SMALL(IF(ISNUMBER(MATCH($B$2:$B$10000,$E$6:$E$22,0)),ROW($C$2:$C$10000)-ROW($C$2)+1),ROWS(L$20:L1401))))</f>
        <v/>
      </c>
      <c r="I1401" s="4" t="str">
        <f t="array" ref="I1401">IF(ROWS(M$20:M1401)&gt;$F$6,"",INDEX(C$2:C$10000,SMALL(IF(ISNUMBER(MATCH($B$2:$B$10000,$E$6:$E$22,0)),ROW($C$2:$C$10000)-ROW($C$2)+1),ROWS(M$20:M1401))))</f>
        <v/>
      </c>
      <c r="K1401" s="7" t="str">
        <f t="array" ref="K1401">IF(ROWS(K$20:K1401)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1401))))</f>
        <v/>
      </c>
      <c r="L1401" s="4" t="str">
        <f t="array" ref="L1401">IF(ROWS(L$20:L1401)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1401))))</f>
        <v/>
      </c>
      <c r="M1401" s="4" t="str">
        <f t="array" ref="M1401">IF(ROWS(M$20:M1401)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1401))))</f>
        <v/>
      </c>
    </row>
    <row r="1402" spans="1:13" x14ac:dyDescent="0.25">
      <c r="A1402" s="3">
        <v>41749</v>
      </c>
      <c r="B1402" s="2" t="s">
        <v>45</v>
      </c>
      <c r="C1402" s="2">
        <v>25</v>
      </c>
      <c r="G1402" s="7" t="str">
        <f t="array" ref="G1402">IF(ROWS(K$20:K1402)&gt;$F$6,"",INDEX(A$2:A$10000,SMALL(IF(ISNUMBER(MATCH($B$2:$B$10000,$E$6:$E$22,0)),ROW($C$2:$C$10000)-ROW($C$2)+1),ROWS(K$20:K1402))))</f>
        <v/>
      </c>
      <c r="H1402" s="4" t="str">
        <f t="array" ref="H1402">IF(ROWS(L$20:L1402)&gt;$F$6,"",INDEX(B$2:B$10000,SMALL(IF(ISNUMBER(MATCH($B$2:$B$10000,$E$6:$E$22,0)),ROW($C$2:$C$10000)-ROW($C$2)+1),ROWS(L$20:L1402))))</f>
        <v/>
      </c>
      <c r="I1402" s="4" t="str">
        <f t="array" ref="I1402">IF(ROWS(M$20:M1402)&gt;$F$6,"",INDEX(C$2:C$10000,SMALL(IF(ISNUMBER(MATCH($B$2:$B$10000,$E$6:$E$22,0)),ROW($C$2:$C$10000)-ROW($C$2)+1),ROWS(M$20:M1402))))</f>
        <v/>
      </c>
      <c r="K1402" s="7" t="str">
        <f t="array" ref="K1402">IF(ROWS(K$20:K1402)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1402))))</f>
        <v/>
      </c>
      <c r="L1402" s="4" t="str">
        <f t="array" ref="L1402">IF(ROWS(L$20:L1402)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1402))))</f>
        <v/>
      </c>
      <c r="M1402" s="4" t="str">
        <f t="array" ref="M1402">IF(ROWS(M$20:M1402)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1402))))</f>
        <v/>
      </c>
    </row>
    <row r="1403" spans="1:13" x14ac:dyDescent="0.25">
      <c r="A1403" s="3">
        <v>41669</v>
      </c>
      <c r="B1403" s="2" t="s">
        <v>5</v>
      </c>
      <c r="C1403" s="2">
        <v>30</v>
      </c>
      <c r="G1403" s="7" t="str">
        <f t="array" ref="G1403">IF(ROWS(K$20:K1403)&gt;$F$6,"",INDEX(A$2:A$10000,SMALL(IF(ISNUMBER(MATCH($B$2:$B$10000,$E$6:$E$22,0)),ROW($C$2:$C$10000)-ROW($C$2)+1),ROWS(K$20:K1403))))</f>
        <v/>
      </c>
      <c r="H1403" s="4" t="str">
        <f t="array" ref="H1403">IF(ROWS(L$20:L1403)&gt;$F$6,"",INDEX(B$2:B$10000,SMALL(IF(ISNUMBER(MATCH($B$2:$B$10000,$E$6:$E$22,0)),ROW($C$2:$C$10000)-ROW($C$2)+1),ROWS(L$20:L1403))))</f>
        <v/>
      </c>
      <c r="I1403" s="4" t="str">
        <f t="array" ref="I1403">IF(ROWS(M$20:M1403)&gt;$F$6,"",INDEX(C$2:C$10000,SMALL(IF(ISNUMBER(MATCH($B$2:$B$10000,$E$6:$E$22,0)),ROW($C$2:$C$10000)-ROW($C$2)+1),ROWS(M$20:M1403))))</f>
        <v/>
      </c>
      <c r="K1403" s="7" t="str">
        <f t="array" ref="K1403">IF(ROWS(K$20:K1403)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1403))))</f>
        <v/>
      </c>
      <c r="L1403" s="4" t="str">
        <f t="array" ref="L1403">IF(ROWS(L$20:L1403)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1403))))</f>
        <v/>
      </c>
      <c r="M1403" s="4" t="str">
        <f t="array" ref="M1403">IF(ROWS(M$20:M1403)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1403))))</f>
        <v/>
      </c>
    </row>
    <row r="1404" spans="1:13" x14ac:dyDescent="0.25">
      <c r="A1404" s="3">
        <v>41546</v>
      </c>
      <c r="B1404" s="2" t="s">
        <v>3</v>
      </c>
      <c r="C1404" s="2">
        <v>10</v>
      </c>
      <c r="G1404" s="7" t="str">
        <f t="array" ref="G1404">IF(ROWS(K$20:K1404)&gt;$F$6,"",INDEX(A$2:A$10000,SMALL(IF(ISNUMBER(MATCH($B$2:$B$10000,$E$6:$E$22,0)),ROW($C$2:$C$10000)-ROW($C$2)+1),ROWS(K$20:K1404))))</f>
        <v/>
      </c>
      <c r="H1404" s="4" t="str">
        <f t="array" ref="H1404">IF(ROWS(L$20:L1404)&gt;$F$6,"",INDEX(B$2:B$10000,SMALL(IF(ISNUMBER(MATCH($B$2:$B$10000,$E$6:$E$22,0)),ROW($C$2:$C$10000)-ROW($C$2)+1),ROWS(L$20:L1404))))</f>
        <v/>
      </c>
      <c r="I1404" s="4" t="str">
        <f t="array" ref="I1404">IF(ROWS(M$20:M1404)&gt;$F$6,"",INDEX(C$2:C$10000,SMALL(IF(ISNUMBER(MATCH($B$2:$B$10000,$E$6:$E$22,0)),ROW($C$2:$C$10000)-ROW($C$2)+1),ROWS(M$20:M1404))))</f>
        <v/>
      </c>
      <c r="K1404" s="7" t="str">
        <f t="array" ref="K1404">IF(ROWS(K$20:K1404)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1404))))</f>
        <v/>
      </c>
      <c r="L1404" s="4" t="str">
        <f t="array" ref="L1404">IF(ROWS(L$20:L1404)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1404))))</f>
        <v/>
      </c>
      <c r="M1404" s="4" t="str">
        <f t="array" ref="M1404">IF(ROWS(M$20:M1404)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1404))))</f>
        <v/>
      </c>
    </row>
    <row r="1405" spans="1:13" x14ac:dyDescent="0.25">
      <c r="A1405" s="3">
        <v>41786</v>
      </c>
      <c r="B1405" s="2" t="s">
        <v>47</v>
      </c>
      <c r="C1405" s="2">
        <v>13</v>
      </c>
      <c r="G1405" s="7" t="str">
        <f t="array" ref="G1405">IF(ROWS(K$20:K1405)&gt;$F$6,"",INDEX(A$2:A$10000,SMALL(IF(ISNUMBER(MATCH($B$2:$B$10000,$E$6:$E$22,0)),ROW($C$2:$C$10000)-ROW($C$2)+1),ROWS(K$20:K1405))))</f>
        <v/>
      </c>
      <c r="H1405" s="4" t="str">
        <f t="array" ref="H1405">IF(ROWS(L$20:L1405)&gt;$F$6,"",INDEX(B$2:B$10000,SMALL(IF(ISNUMBER(MATCH($B$2:$B$10000,$E$6:$E$22,0)),ROW($C$2:$C$10000)-ROW($C$2)+1),ROWS(L$20:L1405))))</f>
        <v/>
      </c>
      <c r="I1405" s="4" t="str">
        <f t="array" ref="I1405">IF(ROWS(M$20:M1405)&gt;$F$6,"",INDEX(C$2:C$10000,SMALL(IF(ISNUMBER(MATCH($B$2:$B$10000,$E$6:$E$22,0)),ROW($C$2:$C$10000)-ROW($C$2)+1),ROWS(M$20:M1405))))</f>
        <v/>
      </c>
      <c r="K1405" s="7" t="str">
        <f t="array" ref="K1405">IF(ROWS(K$20:K1405)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1405))))</f>
        <v/>
      </c>
      <c r="L1405" s="4" t="str">
        <f t="array" ref="L1405">IF(ROWS(L$20:L1405)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1405))))</f>
        <v/>
      </c>
      <c r="M1405" s="4" t="str">
        <f t="array" ref="M1405">IF(ROWS(M$20:M1405)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1405))))</f>
        <v/>
      </c>
    </row>
    <row r="1406" spans="1:13" x14ac:dyDescent="0.25">
      <c r="A1406" s="3">
        <v>41989</v>
      </c>
      <c r="B1406" s="2" t="s">
        <v>26</v>
      </c>
      <c r="C1406" s="2">
        <v>36</v>
      </c>
      <c r="G1406" s="7" t="str">
        <f t="array" ref="G1406">IF(ROWS(K$20:K1406)&gt;$F$6,"",INDEX(A$2:A$10000,SMALL(IF(ISNUMBER(MATCH($B$2:$B$10000,$E$6:$E$22,0)),ROW($C$2:$C$10000)-ROW($C$2)+1),ROWS(K$20:K1406))))</f>
        <v/>
      </c>
      <c r="H1406" s="4" t="str">
        <f t="array" ref="H1406">IF(ROWS(L$20:L1406)&gt;$F$6,"",INDEX(B$2:B$10000,SMALL(IF(ISNUMBER(MATCH($B$2:$B$10000,$E$6:$E$22,0)),ROW($C$2:$C$10000)-ROW($C$2)+1),ROWS(L$20:L1406))))</f>
        <v/>
      </c>
      <c r="I1406" s="4" t="str">
        <f t="array" ref="I1406">IF(ROWS(M$20:M1406)&gt;$F$6,"",INDEX(C$2:C$10000,SMALL(IF(ISNUMBER(MATCH($B$2:$B$10000,$E$6:$E$22,0)),ROW($C$2:$C$10000)-ROW($C$2)+1),ROWS(M$20:M1406))))</f>
        <v/>
      </c>
      <c r="K1406" s="7" t="str">
        <f t="array" ref="K1406">IF(ROWS(K$20:K1406)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1406))))</f>
        <v/>
      </c>
      <c r="L1406" s="4" t="str">
        <f t="array" ref="L1406">IF(ROWS(L$20:L1406)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1406))))</f>
        <v/>
      </c>
      <c r="M1406" s="4" t="str">
        <f t="array" ref="M1406">IF(ROWS(M$20:M1406)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1406))))</f>
        <v/>
      </c>
    </row>
    <row r="1407" spans="1:13" x14ac:dyDescent="0.25">
      <c r="A1407" s="3">
        <v>41743</v>
      </c>
      <c r="B1407" s="2" t="s">
        <v>19</v>
      </c>
      <c r="C1407" s="2">
        <v>17</v>
      </c>
      <c r="G1407" s="7" t="str">
        <f t="array" ref="G1407">IF(ROWS(K$20:K1407)&gt;$F$6,"",INDEX(A$2:A$10000,SMALL(IF(ISNUMBER(MATCH($B$2:$B$10000,$E$6:$E$22,0)),ROW($C$2:$C$10000)-ROW($C$2)+1),ROWS(K$20:K1407))))</f>
        <v/>
      </c>
      <c r="H1407" s="4" t="str">
        <f t="array" ref="H1407">IF(ROWS(L$20:L1407)&gt;$F$6,"",INDEX(B$2:B$10000,SMALL(IF(ISNUMBER(MATCH($B$2:$B$10000,$E$6:$E$22,0)),ROW($C$2:$C$10000)-ROW($C$2)+1),ROWS(L$20:L1407))))</f>
        <v/>
      </c>
      <c r="I1407" s="4" t="str">
        <f t="array" ref="I1407">IF(ROWS(M$20:M1407)&gt;$F$6,"",INDEX(C$2:C$10000,SMALL(IF(ISNUMBER(MATCH($B$2:$B$10000,$E$6:$E$22,0)),ROW($C$2:$C$10000)-ROW($C$2)+1),ROWS(M$20:M1407))))</f>
        <v/>
      </c>
      <c r="K1407" s="7" t="str">
        <f t="array" ref="K1407">IF(ROWS(K$20:K1407)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1407))))</f>
        <v/>
      </c>
      <c r="L1407" s="4" t="str">
        <f t="array" ref="L1407">IF(ROWS(L$20:L1407)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1407))))</f>
        <v/>
      </c>
      <c r="M1407" s="4" t="str">
        <f t="array" ref="M1407">IF(ROWS(M$20:M1407)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1407))))</f>
        <v/>
      </c>
    </row>
    <row r="1408" spans="1:13" x14ac:dyDescent="0.25">
      <c r="A1408" s="3">
        <v>41492</v>
      </c>
      <c r="B1408" s="2" t="s">
        <v>40</v>
      </c>
      <c r="C1408" s="2">
        <v>33</v>
      </c>
      <c r="G1408" s="7" t="str">
        <f t="array" ref="G1408">IF(ROWS(K$20:K1408)&gt;$F$6,"",INDEX(A$2:A$10000,SMALL(IF(ISNUMBER(MATCH($B$2:$B$10000,$E$6:$E$22,0)),ROW($C$2:$C$10000)-ROW($C$2)+1),ROWS(K$20:K1408))))</f>
        <v/>
      </c>
      <c r="H1408" s="4" t="str">
        <f t="array" ref="H1408">IF(ROWS(L$20:L1408)&gt;$F$6,"",INDEX(B$2:B$10000,SMALL(IF(ISNUMBER(MATCH($B$2:$B$10000,$E$6:$E$22,0)),ROW($C$2:$C$10000)-ROW($C$2)+1),ROWS(L$20:L1408))))</f>
        <v/>
      </c>
      <c r="I1408" s="4" t="str">
        <f t="array" ref="I1408">IF(ROWS(M$20:M1408)&gt;$F$6,"",INDEX(C$2:C$10000,SMALL(IF(ISNUMBER(MATCH($B$2:$B$10000,$E$6:$E$22,0)),ROW($C$2:$C$10000)-ROW($C$2)+1),ROWS(M$20:M1408))))</f>
        <v/>
      </c>
      <c r="K1408" s="7" t="str">
        <f t="array" ref="K1408">IF(ROWS(K$20:K1408)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1408))))</f>
        <v/>
      </c>
      <c r="L1408" s="4" t="str">
        <f t="array" ref="L1408">IF(ROWS(L$20:L1408)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1408))))</f>
        <v/>
      </c>
      <c r="M1408" s="4" t="str">
        <f t="array" ref="M1408">IF(ROWS(M$20:M1408)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1408))))</f>
        <v/>
      </c>
    </row>
    <row r="1409" spans="1:13" x14ac:dyDescent="0.25">
      <c r="A1409" s="3">
        <v>41487</v>
      </c>
      <c r="B1409" s="2" t="s">
        <v>46</v>
      </c>
      <c r="C1409" s="2">
        <v>41</v>
      </c>
      <c r="G1409" s="7" t="str">
        <f t="array" ref="G1409">IF(ROWS(K$20:K1409)&gt;$F$6,"",INDEX(A$2:A$10000,SMALL(IF(ISNUMBER(MATCH($B$2:$B$10000,$E$6:$E$22,0)),ROW($C$2:$C$10000)-ROW($C$2)+1),ROWS(K$20:K1409))))</f>
        <v/>
      </c>
      <c r="H1409" s="4" t="str">
        <f t="array" ref="H1409">IF(ROWS(L$20:L1409)&gt;$F$6,"",INDEX(B$2:B$10000,SMALL(IF(ISNUMBER(MATCH($B$2:$B$10000,$E$6:$E$22,0)),ROW($C$2:$C$10000)-ROW($C$2)+1),ROWS(L$20:L1409))))</f>
        <v/>
      </c>
      <c r="I1409" s="4" t="str">
        <f t="array" ref="I1409">IF(ROWS(M$20:M1409)&gt;$F$6,"",INDEX(C$2:C$10000,SMALL(IF(ISNUMBER(MATCH($B$2:$B$10000,$E$6:$E$22,0)),ROW($C$2:$C$10000)-ROW($C$2)+1),ROWS(M$20:M1409))))</f>
        <v/>
      </c>
      <c r="K1409" s="7" t="str">
        <f t="array" ref="K1409">IF(ROWS(K$20:K1409)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1409))))</f>
        <v/>
      </c>
      <c r="L1409" s="4" t="str">
        <f t="array" ref="L1409">IF(ROWS(L$20:L1409)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1409))))</f>
        <v/>
      </c>
      <c r="M1409" s="4" t="str">
        <f t="array" ref="M1409">IF(ROWS(M$20:M1409)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1409))))</f>
        <v/>
      </c>
    </row>
    <row r="1410" spans="1:13" x14ac:dyDescent="0.25">
      <c r="A1410" s="3">
        <v>41864</v>
      </c>
      <c r="B1410" s="2" t="s">
        <v>35</v>
      </c>
      <c r="C1410" s="2">
        <v>1</v>
      </c>
      <c r="G1410" s="7" t="str">
        <f t="array" ref="G1410">IF(ROWS(K$20:K1410)&gt;$F$6,"",INDEX(A$2:A$10000,SMALL(IF(ISNUMBER(MATCH($B$2:$B$10000,$E$6:$E$22,0)),ROW($C$2:$C$10000)-ROW($C$2)+1),ROWS(K$20:K1410))))</f>
        <v/>
      </c>
      <c r="H1410" s="4" t="str">
        <f t="array" ref="H1410">IF(ROWS(L$20:L1410)&gt;$F$6,"",INDEX(B$2:B$10000,SMALL(IF(ISNUMBER(MATCH($B$2:$B$10000,$E$6:$E$22,0)),ROW($C$2:$C$10000)-ROW($C$2)+1),ROWS(L$20:L1410))))</f>
        <v/>
      </c>
      <c r="I1410" s="4" t="str">
        <f t="array" ref="I1410">IF(ROWS(M$20:M1410)&gt;$F$6,"",INDEX(C$2:C$10000,SMALL(IF(ISNUMBER(MATCH($B$2:$B$10000,$E$6:$E$22,0)),ROW($C$2:$C$10000)-ROW($C$2)+1),ROWS(M$20:M1410))))</f>
        <v/>
      </c>
      <c r="K1410" s="7" t="str">
        <f t="array" ref="K1410">IF(ROWS(K$20:K1410)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1410))))</f>
        <v/>
      </c>
      <c r="L1410" s="4" t="str">
        <f t="array" ref="L1410">IF(ROWS(L$20:L1410)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1410))))</f>
        <v/>
      </c>
      <c r="M1410" s="4" t="str">
        <f t="array" ref="M1410">IF(ROWS(M$20:M1410)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1410))))</f>
        <v/>
      </c>
    </row>
    <row r="1411" spans="1:13" x14ac:dyDescent="0.25">
      <c r="A1411" s="3">
        <v>41852</v>
      </c>
      <c r="B1411" s="2" t="s">
        <v>43</v>
      </c>
      <c r="C1411" s="2">
        <v>32</v>
      </c>
      <c r="G1411" s="7" t="str">
        <f t="array" ref="G1411">IF(ROWS(K$20:K1411)&gt;$F$6,"",INDEX(A$2:A$10000,SMALL(IF(ISNUMBER(MATCH($B$2:$B$10000,$E$6:$E$22,0)),ROW($C$2:$C$10000)-ROW($C$2)+1),ROWS(K$20:K1411))))</f>
        <v/>
      </c>
      <c r="H1411" s="4" t="str">
        <f t="array" ref="H1411">IF(ROWS(L$20:L1411)&gt;$F$6,"",INDEX(B$2:B$10000,SMALL(IF(ISNUMBER(MATCH($B$2:$B$10000,$E$6:$E$22,0)),ROW($C$2:$C$10000)-ROW($C$2)+1),ROWS(L$20:L1411))))</f>
        <v/>
      </c>
      <c r="I1411" s="4" t="str">
        <f t="array" ref="I1411">IF(ROWS(M$20:M1411)&gt;$F$6,"",INDEX(C$2:C$10000,SMALL(IF(ISNUMBER(MATCH($B$2:$B$10000,$E$6:$E$22,0)),ROW($C$2:$C$10000)-ROW($C$2)+1),ROWS(M$20:M1411))))</f>
        <v/>
      </c>
      <c r="K1411" s="7" t="str">
        <f t="array" ref="K1411">IF(ROWS(K$20:K1411)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1411))))</f>
        <v/>
      </c>
      <c r="L1411" s="4" t="str">
        <f t="array" ref="L1411">IF(ROWS(L$20:L1411)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1411))))</f>
        <v/>
      </c>
      <c r="M1411" s="4" t="str">
        <f t="array" ref="M1411">IF(ROWS(M$20:M1411)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1411))))</f>
        <v/>
      </c>
    </row>
    <row r="1412" spans="1:13" x14ac:dyDescent="0.25">
      <c r="A1412" s="3">
        <v>41953</v>
      </c>
      <c r="B1412" s="2" t="s">
        <v>30</v>
      </c>
      <c r="C1412" s="2">
        <v>26</v>
      </c>
      <c r="G1412" s="7" t="str">
        <f t="array" ref="G1412">IF(ROWS(K$20:K1412)&gt;$F$6,"",INDEX(A$2:A$10000,SMALL(IF(ISNUMBER(MATCH($B$2:$B$10000,$E$6:$E$22,0)),ROW($C$2:$C$10000)-ROW($C$2)+1),ROWS(K$20:K1412))))</f>
        <v/>
      </c>
      <c r="H1412" s="4" t="str">
        <f t="array" ref="H1412">IF(ROWS(L$20:L1412)&gt;$F$6,"",INDEX(B$2:B$10000,SMALL(IF(ISNUMBER(MATCH($B$2:$B$10000,$E$6:$E$22,0)),ROW($C$2:$C$10000)-ROW($C$2)+1),ROWS(L$20:L1412))))</f>
        <v/>
      </c>
      <c r="I1412" s="4" t="str">
        <f t="array" ref="I1412">IF(ROWS(M$20:M1412)&gt;$F$6,"",INDEX(C$2:C$10000,SMALL(IF(ISNUMBER(MATCH($B$2:$B$10000,$E$6:$E$22,0)),ROW($C$2:$C$10000)-ROW($C$2)+1),ROWS(M$20:M1412))))</f>
        <v/>
      </c>
      <c r="K1412" s="7" t="str">
        <f t="array" ref="K1412">IF(ROWS(K$20:K1412)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1412))))</f>
        <v/>
      </c>
      <c r="L1412" s="4" t="str">
        <f t="array" ref="L1412">IF(ROWS(L$20:L1412)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1412))))</f>
        <v/>
      </c>
      <c r="M1412" s="4" t="str">
        <f t="array" ref="M1412">IF(ROWS(M$20:M1412)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1412))))</f>
        <v/>
      </c>
    </row>
    <row r="1413" spans="1:13" x14ac:dyDescent="0.25">
      <c r="A1413" s="3">
        <v>41636</v>
      </c>
      <c r="B1413" s="2" t="s">
        <v>8</v>
      </c>
      <c r="C1413" s="2">
        <v>50</v>
      </c>
      <c r="G1413" s="7" t="str">
        <f t="array" ref="G1413">IF(ROWS(K$20:K1413)&gt;$F$6,"",INDEX(A$2:A$10000,SMALL(IF(ISNUMBER(MATCH($B$2:$B$10000,$E$6:$E$22,0)),ROW($C$2:$C$10000)-ROW($C$2)+1),ROWS(K$20:K1413))))</f>
        <v/>
      </c>
      <c r="H1413" s="4" t="str">
        <f t="array" ref="H1413">IF(ROWS(L$20:L1413)&gt;$F$6,"",INDEX(B$2:B$10000,SMALL(IF(ISNUMBER(MATCH($B$2:$B$10000,$E$6:$E$22,0)),ROW($C$2:$C$10000)-ROW($C$2)+1),ROWS(L$20:L1413))))</f>
        <v/>
      </c>
      <c r="I1413" s="4" t="str">
        <f t="array" ref="I1413">IF(ROWS(M$20:M1413)&gt;$F$6,"",INDEX(C$2:C$10000,SMALL(IF(ISNUMBER(MATCH($B$2:$B$10000,$E$6:$E$22,0)),ROW($C$2:$C$10000)-ROW($C$2)+1),ROWS(M$20:M1413))))</f>
        <v/>
      </c>
      <c r="K1413" s="7" t="str">
        <f t="array" ref="K1413">IF(ROWS(K$20:K1413)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1413))))</f>
        <v/>
      </c>
      <c r="L1413" s="4" t="str">
        <f t="array" ref="L1413">IF(ROWS(L$20:L1413)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1413))))</f>
        <v/>
      </c>
      <c r="M1413" s="4" t="str">
        <f t="array" ref="M1413">IF(ROWS(M$20:M1413)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1413))))</f>
        <v/>
      </c>
    </row>
    <row r="1414" spans="1:13" x14ac:dyDescent="0.25">
      <c r="A1414" s="3">
        <v>41928</v>
      </c>
      <c r="B1414" s="2" t="s">
        <v>50</v>
      </c>
      <c r="C1414" s="2">
        <v>47</v>
      </c>
      <c r="G1414" s="7" t="str">
        <f t="array" ref="G1414">IF(ROWS(K$20:K1414)&gt;$F$6,"",INDEX(A$2:A$10000,SMALL(IF(ISNUMBER(MATCH($B$2:$B$10000,$E$6:$E$22,0)),ROW($C$2:$C$10000)-ROW($C$2)+1),ROWS(K$20:K1414))))</f>
        <v/>
      </c>
      <c r="H1414" s="4" t="str">
        <f t="array" ref="H1414">IF(ROWS(L$20:L1414)&gt;$F$6,"",INDEX(B$2:B$10000,SMALL(IF(ISNUMBER(MATCH($B$2:$B$10000,$E$6:$E$22,0)),ROW($C$2:$C$10000)-ROW($C$2)+1),ROWS(L$20:L1414))))</f>
        <v/>
      </c>
      <c r="I1414" s="4" t="str">
        <f t="array" ref="I1414">IF(ROWS(M$20:M1414)&gt;$F$6,"",INDEX(C$2:C$10000,SMALL(IF(ISNUMBER(MATCH($B$2:$B$10000,$E$6:$E$22,0)),ROW($C$2:$C$10000)-ROW($C$2)+1),ROWS(M$20:M1414))))</f>
        <v/>
      </c>
      <c r="K1414" s="7" t="str">
        <f t="array" ref="K1414">IF(ROWS(K$20:K1414)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1414))))</f>
        <v/>
      </c>
      <c r="L1414" s="4" t="str">
        <f t="array" ref="L1414">IF(ROWS(L$20:L1414)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1414))))</f>
        <v/>
      </c>
      <c r="M1414" s="4" t="str">
        <f t="array" ref="M1414">IF(ROWS(M$20:M1414)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1414))))</f>
        <v/>
      </c>
    </row>
    <row r="1415" spans="1:13" x14ac:dyDescent="0.25">
      <c r="A1415" s="3">
        <v>41587</v>
      </c>
      <c r="B1415" s="2" t="s">
        <v>45</v>
      </c>
      <c r="C1415" s="2">
        <v>10</v>
      </c>
      <c r="G1415" s="7" t="str">
        <f t="array" ref="G1415">IF(ROWS(K$20:K1415)&gt;$F$6,"",INDEX(A$2:A$10000,SMALL(IF(ISNUMBER(MATCH($B$2:$B$10000,$E$6:$E$22,0)),ROW($C$2:$C$10000)-ROW($C$2)+1),ROWS(K$20:K1415))))</f>
        <v/>
      </c>
      <c r="H1415" s="4" t="str">
        <f t="array" ref="H1415">IF(ROWS(L$20:L1415)&gt;$F$6,"",INDEX(B$2:B$10000,SMALL(IF(ISNUMBER(MATCH($B$2:$B$10000,$E$6:$E$22,0)),ROW($C$2:$C$10000)-ROW($C$2)+1),ROWS(L$20:L1415))))</f>
        <v/>
      </c>
      <c r="I1415" s="4" t="str">
        <f t="array" ref="I1415">IF(ROWS(M$20:M1415)&gt;$F$6,"",INDEX(C$2:C$10000,SMALL(IF(ISNUMBER(MATCH($B$2:$B$10000,$E$6:$E$22,0)),ROW($C$2:$C$10000)-ROW($C$2)+1),ROWS(M$20:M1415))))</f>
        <v/>
      </c>
      <c r="K1415" s="7" t="str">
        <f t="array" ref="K1415">IF(ROWS(K$20:K1415)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1415))))</f>
        <v/>
      </c>
      <c r="L1415" s="4" t="str">
        <f t="array" ref="L1415">IF(ROWS(L$20:L1415)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1415))))</f>
        <v/>
      </c>
      <c r="M1415" s="4" t="str">
        <f t="array" ref="M1415">IF(ROWS(M$20:M1415)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1415))))</f>
        <v/>
      </c>
    </row>
    <row r="1416" spans="1:13" x14ac:dyDescent="0.25">
      <c r="A1416" s="3">
        <v>41475</v>
      </c>
      <c r="B1416" s="2" t="s">
        <v>44</v>
      </c>
      <c r="C1416" s="2">
        <v>10</v>
      </c>
      <c r="G1416" s="7" t="str">
        <f t="array" ref="G1416">IF(ROWS(K$20:K1416)&gt;$F$6,"",INDEX(A$2:A$10000,SMALL(IF(ISNUMBER(MATCH($B$2:$B$10000,$E$6:$E$22,0)),ROW($C$2:$C$10000)-ROW($C$2)+1),ROWS(K$20:K1416))))</f>
        <v/>
      </c>
      <c r="H1416" s="4" t="str">
        <f t="array" ref="H1416">IF(ROWS(L$20:L1416)&gt;$F$6,"",INDEX(B$2:B$10000,SMALL(IF(ISNUMBER(MATCH($B$2:$B$10000,$E$6:$E$22,0)),ROW($C$2:$C$10000)-ROW($C$2)+1),ROWS(L$20:L1416))))</f>
        <v/>
      </c>
      <c r="I1416" s="4" t="str">
        <f t="array" ref="I1416">IF(ROWS(M$20:M1416)&gt;$F$6,"",INDEX(C$2:C$10000,SMALL(IF(ISNUMBER(MATCH($B$2:$B$10000,$E$6:$E$22,0)),ROW($C$2:$C$10000)-ROW($C$2)+1),ROWS(M$20:M1416))))</f>
        <v/>
      </c>
      <c r="K1416" s="7" t="str">
        <f t="array" ref="K1416">IF(ROWS(K$20:K1416)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1416))))</f>
        <v/>
      </c>
      <c r="L1416" s="4" t="str">
        <f t="array" ref="L1416">IF(ROWS(L$20:L1416)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1416))))</f>
        <v/>
      </c>
      <c r="M1416" s="4" t="str">
        <f t="array" ref="M1416">IF(ROWS(M$20:M1416)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1416))))</f>
        <v/>
      </c>
    </row>
    <row r="1417" spans="1:13" x14ac:dyDescent="0.25">
      <c r="A1417" s="3">
        <v>41928</v>
      </c>
      <c r="B1417" s="2" t="s">
        <v>8</v>
      </c>
      <c r="C1417" s="2">
        <v>54</v>
      </c>
      <c r="G1417" s="7" t="str">
        <f t="array" ref="G1417">IF(ROWS(K$20:K1417)&gt;$F$6,"",INDEX(A$2:A$10000,SMALL(IF(ISNUMBER(MATCH($B$2:$B$10000,$E$6:$E$22,0)),ROW($C$2:$C$10000)-ROW($C$2)+1),ROWS(K$20:K1417))))</f>
        <v/>
      </c>
      <c r="H1417" s="4" t="str">
        <f t="array" ref="H1417">IF(ROWS(L$20:L1417)&gt;$F$6,"",INDEX(B$2:B$10000,SMALL(IF(ISNUMBER(MATCH($B$2:$B$10000,$E$6:$E$22,0)),ROW($C$2:$C$10000)-ROW($C$2)+1),ROWS(L$20:L1417))))</f>
        <v/>
      </c>
      <c r="I1417" s="4" t="str">
        <f t="array" ref="I1417">IF(ROWS(M$20:M1417)&gt;$F$6,"",INDEX(C$2:C$10000,SMALL(IF(ISNUMBER(MATCH($B$2:$B$10000,$E$6:$E$22,0)),ROW($C$2:$C$10000)-ROW($C$2)+1),ROWS(M$20:M1417))))</f>
        <v/>
      </c>
      <c r="K1417" s="7" t="str">
        <f t="array" ref="K1417">IF(ROWS(K$20:K1417)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1417))))</f>
        <v/>
      </c>
      <c r="L1417" s="4" t="str">
        <f t="array" ref="L1417">IF(ROWS(L$20:L1417)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1417))))</f>
        <v/>
      </c>
      <c r="M1417" s="4" t="str">
        <f t="array" ref="M1417">IF(ROWS(M$20:M1417)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1417))))</f>
        <v/>
      </c>
    </row>
    <row r="1418" spans="1:13" x14ac:dyDescent="0.25">
      <c r="A1418" s="3">
        <v>41811</v>
      </c>
      <c r="B1418" s="2" t="s">
        <v>48</v>
      </c>
      <c r="C1418" s="2">
        <v>19</v>
      </c>
      <c r="G1418" s="7" t="str">
        <f t="array" ref="G1418">IF(ROWS(K$20:K1418)&gt;$F$6,"",INDEX(A$2:A$10000,SMALL(IF(ISNUMBER(MATCH($B$2:$B$10000,$E$6:$E$22,0)),ROW($C$2:$C$10000)-ROW($C$2)+1),ROWS(K$20:K1418))))</f>
        <v/>
      </c>
      <c r="H1418" s="4" t="str">
        <f t="array" ref="H1418">IF(ROWS(L$20:L1418)&gt;$F$6,"",INDEX(B$2:B$10000,SMALL(IF(ISNUMBER(MATCH($B$2:$B$10000,$E$6:$E$22,0)),ROW($C$2:$C$10000)-ROW($C$2)+1),ROWS(L$20:L1418))))</f>
        <v/>
      </c>
      <c r="I1418" s="4" t="str">
        <f t="array" ref="I1418">IF(ROWS(M$20:M1418)&gt;$F$6,"",INDEX(C$2:C$10000,SMALL(IF(ISNUMBER(MATCH($B$2:$B$10000,$E$6:$E$22,0)),ROW($C$2:$C$10000)-ROW($C$2)+1),ROWS(M$20:M1418))))</f>
        <v/>
      </c>
      <c r="K1418" s="7" t="str">
        <f t="array" ref="K1418">IF(ROWS(K$20:K1418)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1418))))</f>
        <v/>
      </c>
      <c r="L1418" s="4" t="str">
        <f t="array" ref="L1418">IF(ROWS(L$20:L1418)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1418))))</f>
        <v/>
      </c>
      <c r="M1418" s="4" t="str">
        <f t="array" ref="M1418">IF(ROWS(M$20:M1418)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1418))))</f>
        <v/>
      </c>
    </row>
    <row r="1419" spans="1:13" x14ac:dyDescent="0.25">
      <c r="A1419" s="3">
        <v>41513</v>
      </c>
      <c r="B1419" s="2" t="s">
        <v>31</v>
      </c>
      <c r="C1419" s="2">
        <v>24</v>
      </c>
      <c r="G1419" s="7" t="str">
        <f t="array" ref="G1419">IF(ROWS(K$20:K1419)&gt;$F$6,"",INDEX(A$2:A$10000,SMALL(IF(ISNUMBER(MATCH($B$2:$B$10000,$E$6:$E$22,0)),ROW($C$2:$C$10000)-ROW($C$2)+1),ROWS(K$20:K1419))))</f>
        <v/>
      </c>
      <c r="H1419" s="4" t="str">
        <f t="array" ref="H1419">IF(ROWS(L$20:L1419)&gt;$F$6,"",INDEX(B$2:B$10000,SMALL(IF(ISNUMBER(MATCH($B$2:$B$10000,$E$6:$E$22,0)),ROW($C$2:$C$10000)-ROW($C$2)+1),ROWS(L$20:L1419))))</f>
        <v/>
      </c>
      <c r="I1419" s="4" t="str">
        <f t="array" ref="I1419">IF(ROWS(M$20:M1419)&gt;$F$6,"",INDEX(C$2:C$10000,SMALL(IF(ISNUMBER(MATCH($B$2:$B$10000,$E$6:$E$22,0)),ROW($C$2:$C$10000)-ROW($C$2)+1),ROWS(M$20:M1419))))</f>
        <v/>
      </c>
      <c r="K1419" s="7" t="str">
        <f t="array" ref="K1419">IF(ROWS(K$20:K1419)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1419))))</f>
        <v/>
      </c>
      <c r="L1419" s="4" t="str">
        <f t="array" ref="L1419">IF(ROWS(L$20:L1419)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1419))))</f>
        <v/>
      </c>
      <c r="M1419" s="4" t="str">
        <f t="array" ref="M1419">IF(ROWS(M$20:M1419)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1419))))</f>
        <v/>
      </c>
    </row>
    <row r="1420" spans="1:13" x14ac:dyDescent="0.25">
      <c r="A1420" s="3">
        <v>41586</v>
      </c>
      <c r="B1420" s="2" t="s">
        <v>33</v>
      </c>
      <c r="C1420" s="2">
        <v>39</v>
      </c>
      <c r="G1420" s="7" t="str">
        <f t="array" ref="G1420">IF(ROWS(K$20:K1420)&gt;$F$6,"",INDEX(A$2:A$10000,SMALL(IF(ISNUMBER(MATCH($B$2:$B$10000,$E$6:$E$22,0)),ROW($C$2:$C$10000)-ROW($C$2)+1),ROWS(K$20:K1420))))</f>
        <v/>
      </c>
      <c r="H1420" s="4" t="str">
        <f t="array" ref="H1420">IF(ROWS(L$20:L1420)&gt;$F$6,"",INDEX(B$2:B$10000,SMALL(IF(ISNUMBER(MATCH($B$2:$B$10000,$E$6:$E$22,0)),ROW($C$2:$C$10000)-ROW($C$2)+1),ROWS(L$20:L1420))))</f>
        <v/>
      </c>
      <c r="I1420" s="4" t="str">
        <f t="array" ref="I1420">IF(ROWS(M$20:M1420)&gt;$F$6,"",INDEX(C$2:C$10000,SMALL(IF(ISNUMBER(MATCH($B$2:$B$10000,$E$6:$E$22,0)),ROW($C$2:$C$10000)-ROW($C$2)+1),ROWS(M$20:M1420))))</f>
        <v/>
      </c>
      <c r="K1420" s="7" t="str">
        <f t="array" ref="K1420">IF(ROWS(K$20:K1420)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1420))))</f>
        <v/>
      </c>
      <c r="L1420" s="4" t="str">
        <f t="array" ref="L1420">IF(ROWS(L$20:L1420)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1420))))</f>
        <v/>
      </c>
      <c r="M1420" s="4" t="str">
        <f t="array" ref="M1420">IF(ROWS(M$20:M1420)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1420))))</f>
        <v/>
      </c>
    </row>
    <row r="1421" spans="1:13" x14ac:dyDescent="0.25">
      <c r="A1421" s="3">
        <v>41524</v>
      </c>
      <c r="B1421" s="2" t="s">
        <v>2</v>
      </c>
      <c r="C1421" s="2">
        <v>38</v>
      </c>
      <c r="G1421" s="7" t="str">
        <f t="array" ref="G1421">IF(ROWS(K$20:K1421)&gt;$F$6,"",INDEX(A$2:A$10000,SMALL(IF(ISNUMBER(MATCH($B$2:$B$10000,$E$6:$E$22,0)),ROW($C$2:$C$10000)-ROW($C$2)+1),ROWS(K$20:K1421))))</f>
        <v/>
      </c>
      <c r="H1421" s="4" t="str">
        <f t="array" ref="H1421">IF(ROWS(L$20:L1421)&gt;$F$6,"",INDEX(B$2:B$10000,SMALL(IF(ISNUMBER(MATCH($B$2:$B$10000,$E$6:$E$22,0)),ROW($C$2:$C$10000)-ROW($C$2)+1),ROWS(L$20:L1421))))</f>
        <v/>
      </c>
      <c r="I1421" s="4" t="str">
        <f t="array" ref="I1421">IF(ROWS(M$20:M1421)&gt;$F$6,"",INDEX(C$2:C$10000,SMALL(IF(ISNUMBER(MATCH($B$2:$B$10000,$E$6:$E$22,0)),ROW($C$2:$C$10000)-ROW($C$2)+1),ROWS(M$20:M1421))))</f>
        <v/>
      </c>
      <c r="K1421" s="7" t="str">
        <f t="array" ref="K1421">IF(ROWS(K$20:K1421)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1421))))</f>
        <v/>
      </c>
      <c r="L1421" s="4" t="str">
        <f t="array" ref="L1421">IF(ROWS(L$20:L1421)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1421))))</f>
        <v/>
      </c>
      <c r="M1421" s="4" t="str">
        <f t="array" ref="M1421">IF(ROWS(M$20:M1421)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1421))))</f>
        <v/>
      </c>
    </row>
    <row r="1422" spans="1:13" x14ac:dyDescent="0.25">
      <c r="A1422" s="3">
        <v>41438</v>
      </c>
      <c r="B1422" s="2" t="s">
        <v>25</v>
      </c>
      <c r="C1422" s="2">
        <v>23</v>
      </c>
      <c r="G1422" s="7" t="str">
        <f t="array" ref="G1422">IF(ROWS(K$20:K1422)&gt;$F$6,"",INDEX(A$2:A$10000,SMALL(IF(ISNUMBER(MATCH($B$2:$B$10000,$E$6:$E$22,0)),ROW($C$2:$C$10000)-ROW($C$2)+1),ROWS(K$20:K1422))))</f>
        <v/>
      </c>
      <c r="H1422" s="4" t="str">
        <f t="array" ref="H1422">IF(ROWS(L$20:L1422)&gt;$F$6,"",INDEX(B$2:B$10000,SMALL(IF(ISNUMBER(MATCH($B$2:$B$10000,$E$6:$E$22,0)),ROW($C$2:$C$10000)-ROW($C$2)+1),ROWS(L$20:L1422))))</f>
        <v/>
      </c>
      <c r="I1422" s="4" t="str">
        <f t="array" ref="I1422">IF(ROWS(M$20:M1422)&gt;$F$6,"",INDEX(C$2:C$10000,SMALL(IF(ISNUMBER(MATCH($B$2:$B$10000,$E$6:$E$22,0)),ROW($C$2:$C$10000)-ROW($C$2)+1),ROWS(M$20:M1422))))</f>
        <v/>
      </c>
      <c r="K1422" s="7" t="str">
        <f t="array" ref="K1422">IF(ROWS(K$20:K1422)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1422))))</f>
        <v/>
      </c>
      <c r="L1422" s="4" t="str">
        <f t="array" ref="L1422">IF(ROWS(L$20:L1422)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1422))))</f>
        <v/>
      </c>
      <c r="M1422" s="4" t="str">
        <f t="array" ref="M1422">IF(ROWS(M$20:M1422)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1422))))</f>
        <v/>
      </c>
    </row>
    <row r="1423" spans="1:13" x14ac:dyDescent="0.25">
      <c r="A1423" s="3">
        <v>41498</v>
      </c>
      <c r="B1423" s="2" t="s">
        <v>18</v>
      </c>
      <c r="C1423" s="2">
        <v>14</v>
      </c>
      <c r="G1423" s="7" t="str">
        <f t="array" ref="G1423">IF(ROWS(K$20:K1423)&gt;$F$6,"",INDEX(A$2:A$10000,SMALL(IF(ISNUMBER(MATCH($B$2:$B$10000,$E$6:$E$22,0)),ROW($C$2:$C$10000)-ROW($C$2)+1),ROWS(K$20:K1423))))</f>
        <v/>
      </c>
      <c r="H1423" s="4" t="str">
        <f t="array" ref="H1423">IF(ROWS(L$20:L1423)&gt;$F$6,"",INDEX(B$2:B$10000,SMALL(IF(ISNUMBER(MATCH($B$2:$B$10000,$E$6:$E$22,0)),ROW($C$2:$C$10000)-ROW($C$2)+1),ROWS(L$20:L1423))))</f>
        <v/>
      </c>
      <c r="I1423" s="4" t="str">
        <f t="array" ref="I1423">IF(ROWS(M$20:M1423)&gt;$F$6,"",INDEX(C$2:C$10000,SMALL(IF(ISNUMBER(MATCH($B$2:$B$10000,$E$6:$E$22,0)),ROW($C$2:$C$10000)-ROW($C$2)+1),ROWS(M$20:M1423))))</f>
        <v/>
      </c>
      <c r="K1423" s="7" t="str">
        <f t="array" ref="K1423">IF(ROWS(K$20:K1423)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1423))))</f>
        <v/>
      </c>
      <c r="L1423" s="4" t="str">
        <f t="array" ref="L1423">IF(ROWS(L$20:L1423)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1423))))</f>
        <v/>
      </c>
      <c r="M1423" s="4" t="str">
        <f t="array" ref="M1423">IF(ROWS(M$20:M1423)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1423))))</f>
        <v/>
      </c>
    </row>
    <row r="1424" spans="1:13" x14ac:dyDescent="0.25">
      <c r="A1424" s="3">
        <v>41501</v>
      </c>
      <c r="B1424" s="2" t="s">
        <v>8</v>
      </c>
      <c r="C1424" s="2">
        <v>23</v>
      </c>
      <c r="G1424" s="7" t="str">
        <f t="array" ref="G1424">IF(ROWS(K$20:K1424)&gt;$F$6,"",INDEX(A$2:A$10000,SMALL(IF(ISNUMBER(MATCH($B$2:$B$10000,$E$6:$E$22,0)),ROW($C$2:$C$10000)-ROW($C$2)+1),ROWS(K$20:K1424))))</f>
        <v/>
      </c>
      <c r="H1424" s="4" t="str">
        <f t="array" ref="H1424">IF(ROWS(L$20:L1424)&gt;$F$6,"",INDEX(B$2:B$10000,SMALL(IF(ISNUMBER(MATCH($B$2:$B$10000,$E$6:$E$22,0)),ROW($C$2:$C$10000)-ROW($C$2)+1),ROWS(L$20:L1424))))</f>
        <v/>
      </c>
      <c r="I1424" s="4" t="str">
        <f t="array" ref="I1424">IF(ROWS(M$20:M1424)&gt;$F$6,"",INDEX(C$2:C$10000,SMALL(IF(ISNUMBER(MATCH($B$2:$B$10000,$E$6:$E$22,0)),ROW($C$2:$C$10000)-ROW($C$2)+1),ROWS(M$20:M1424))))</f>
        <v/>
      </c>
      <c r="K1424" s="7" t="str">
        <f t="array" ref="K1424">IF(ROWS(K$20:K1424)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1424))))</f>
        <v/>
      </c>
      <c r="L1424" s="4" t="str">
        <f t="array" ref="L1424">IF(ROWS(L$20:L1424)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1424))))</f>
        <v/>
      </c>
      <c r="M1424" s="4" t="str">
        <f t="array" ref="M1424">IF(ROWS(M$20:M1424)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1424))))</f>
        <v/>
      </c>
    </row>
    <row r="1425" spans="1:13" x14ac:dyDescent="0.25">
      <c r="A1425" s="3">
        <v>41971</v>
      </c>
      <c r="B1425" s="2" t="s">
        <v>33</v>
      </c>
      <c r="C1425" s="2">
        <v>6</v>
      </c>
      <c r="G1425" s="7" t="str">
        <f t="array" ref="G1425">IF(ROWS(K$20:K1425)&gt;$F$6,"",INDEX(A$2:A$10000,SMALL(IF(ISNUMBER(MATCH($B$2:$B$10000,$E$6:$E$22,0)),ROW($C$2:$C$10000)-ROW($C$2)+1),ROWS(K$20:K1425))))</f>
        <v/>
      </c>
      <c r="H1425" s="4" t="str">
        <f t="array" ref="H1425">IF(ROWS(L$20:L1425)&gt;$F$6,"",INDEX(B$2:B$10000,SMALL(IF(ISNUMBER(MATCH($B$2:$B$10000,$E$6:$E$22,0)),ROW($C$2:$C$10000)-ROW($C$2)+1),ROWS(L$20:L1425))))</f>
        <v/>
      </c>
      <c r="I1425" s="4" t="str">
        <f t="array" ref="I1425">IF(ROWS(M$20:M1425)&gt;$F$6,"",INDEX(C$2:C$10000,SMALL(IF(ISNUMBER(MATCH($B$2:$B$10000,$E$6:$E$22,0)),ROW($C$2:$C$10000)-ROW($C$2)+1),ROWS(M$20:M1425))))</f>
        <v/>
      </c>
      <c r="K1425" s="7" t="str">
        <f t="array" ref="K1425">IF(ROWS(K$20:K1425)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1425))))</f>
        <v/>
      </c>
      <c r="L1425" s="4" t="str">
        <f t="array" ref="L1425">IF(ROWS(L$20:L1425)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1425))))</f>
        <v/>
      </c>
      <c r="M1425" s="4" t="str">
        <f t="array" ref="M1425">IF(ROWS(M$20:M1425)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1425))))</f>
        <v/>
      </c>
    </row>
    <row r="1426" spans="1:13" x14ac:dyDescent="0.25">
      <c r="A1426" s="3">
        <v>41303</v>
      </c>
      <c r="B1426" s="2" t="s">
        <v>22</v>
      </c>
      <c r="C1426" s="2">
        <v>2</v>
      </c>
      <c r="G1426" s="7" t="str">
        <f t="array" ref="G1426">IF(ROWS(K$20:K1426)&gt;$F$6,"",INDEX(A$2:A$10000,SMALL(IF(ISNUMBER(MATCH($B$2:$B$10000,$E$6:$E$22,0)),ROW($C$2:$C$10000)-ROW($C$2)+1),ROWS(K$20:K1426))))</f>
        <v/>
      </c>
      <c r="H1426" s="4" t="str">
        <f t="array" ref="H1426">IF(ROWS(L$20:L1426)&gt;$F$6,"",INDEX(B$2:B$10000,SMALL(IF(ISNUMBER(MATCH($B$2:$B$10000,$E$6:$E$22,0)),ROW($C$2:$C$10000)-ROW($C$2)+1),ROWS(L$20:L1426))))</f>
        <v/>
      </c>
      <c r="I1426" s="4" t="str">
        <f t="array" ref="I1426">IF(ROWS(M$20:M1426)&gt;$F$6,"",INDEX(C$2:C$10000,SMALL(IF(ISNUMBER(MATCH($B$2:$B$10000,$E$6:$E$22,0)),ROW($C$2:$C$10000)-ROW($C$2)+1),ROWS(M$20:M1426))))</f>
        <v/>
      </c>
      <c r="K1426" s="7" t="str">
        <f t="array" ref="K1426">IF(ROWS(K$20:K1426)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1426))))</f>
        <v/>
      </c>
      <c r="L1426" s="4" t="str">
        <f t="array" ref="L1426">IF(ROWS(L$20:L1426)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1426))))</f>
        <v/>
      </c>
      <c r="M1426" s="4" t="str">
        <f t="array" ref="M1426">IF(ROWS(M$20:M1426)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1426))))</f>
        <v/>
      </c>
    </row>
    <row r="1427" spans="1:13" x14ac:dyDescent="0.25">
      <c r="A1427" s="3">
        <v>41689</v>
      </c>
      <c r="B1427" s="2" t="s">
        <v>8</v>
      </c>
      <c r="C1427" s="2">
        <v>32</v>
      </c>
      <c r="G1427" s="7" t="str">
        <f t="array" ref="G1427">IF(ROWS(K$20:K1427)&gt;$F$6,"",INDEX(A$2:A$10000,SMALL(IF(ISNUMBER(MATCH($B$2:$B$10000,$E$6:$E$22,0)),ROW($C$2:$C$10000)-ROW($C$2)+1),ROWS(K$20:K1427))))</f>
        <v/>
      </c>
      <c r="H1427" s="4" t="str">
        <f t="array" ref="H1427">IF(ROWS(L$20:L1427)&gt;$F$6,"",INDEX(B$2:B$10000,SMALL(IF(ISNUMBER(MATCH($B$2:$B$10000,$E$6:$E$22,0)),ROW($C$2:$C$10000)-ROW($C$2)+1),ROWS(L$20:L1427))))</f>
        <v/>
      </c>
      <c r="I1427" s="4" t="str">
        <f t="array" ref="I1427">IF(ROWS(M$20:M1427)&gt;$F$6,"",INDEX(C$2:C$10000,SMALL(IF(ISNUMBER(MATCH($B$2:$B$10000,$E$6:$E$22,0)),ROW($C$2:$C$10000)-ROW($C$2)+1),ROWS(M$20:M1427))))</f>
        <v/>
      </c>
      <c r="K1427" s="7" t="str">
        <f t="array" ref="K1427">IF(ROWS(K$20:K1427)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1427))))</f>
        <v/>
      </c>
      <c r="L1427" s="4" t="str">
        <f t="array" ref="L1427">IF(ROWS(L$20:L1427)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1427))))</f>
        <v/>
      </c>
      <c r="M1427" s="4" t="str">
        <f t="array" ref="M1427">IF(ROWS(M$20:M1427)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1427))))</f>
        <v/>
      </c>
    </row>
    <row r="1428" spans="1:13" x14ac:dyDescent="0.25">
      <c r="A1428" s="3">
        <v>41395</v>
      </c>
      <c r="B1428" s="2" t="s">
        <v>33</v>
      </c>
      <c r="C1428" s="2">
        <v>24</v>
      </c>
      <c r="G1428" s="7" t="str">
        <f t="array" ref="G1428">IF(ROWS(K$20:K1428)&gt;$F$6,"",INDEX(A$2:A$10000,SMALL(IF(ISNUMBER(MATCH($B$2:$B$10000,$E$6:$E$22,0)),ROW($C$2:$C$10000)-ROW($C$2)+1),ROWS(K$20:K1428))))</f>
        <v/>
      </c>
      <c r="H1428" s="4" t="str">
        <f t="array" ref="H1428">IF(ROWS(L$20:L1428)&gt;$F$6,"",INDEX(B$2:B$10000,SMALL(IF(ISNUMBER(MATCH($B$2:$B$10000,$E$6:$E$22,0)),ROW($C$2:$C$10000)-ROW($C$2)+1),ROWS(L$20:L1428))))</f>
        <v/>
      </c>
      <c r="I1428" s="4" t="str">
        <f t="array" ref="I1428">IF(ROWS(M$20:M1428)&gt;$F$6,"",INDEX(C$2:C$10000,SMALL(IF(ISNUMBER(MATCH($B$2:$B$10000,$E$6:$E$22,0)),ROW($C$2:$C$10000)-ROW($C$2)+1),ROWS(M$20:M1428))))</f>
        <v/>
      </c>
      <c r="K1428" s="7" t="str">
        <f t="array" ref="K1428">IF(ROWS(K$20:K1428)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1428))))</f>
        <v/>
      </c>
      <c r="L1428" s="4" t="str">
        <f t="array" ref="L1428">IF(ROWS(L$20:L1428)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1428))))</f>
        <v/>
      </c>
      <c r="M1428" s="4" t="str">
        <f t="array" ref="M1428">IF(ROWS(M$20:M1428)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1428))))</f>
        <v/>
      </c>
    </row>
    <row r="1429" spans="1:13" x14ac:dyDescent="0.25">
      <c r="A1429" s="3">
        <v>41434</v>
      </c>
      <c r="B1429" s="2" t="s">
        <v>15</v>
      </c>
      <c r="C1429" s="2">
        <v>10</v>
      </c>
      <c r="G1429" s="7" t="str">
        <f t="array" ref="G1429">IF(ROWS(K$20:K1429)&gt;$F$6,"",INDEX(A$2:A$10000,SMALL(IF(ISNUMBER(MATCH($B$2:$B$10000,$E$6:$E$22,0)),ROW($C$2:$C$10000)-ROW($C$2)+1),ROWS(K$20:K1429))))</f>
        <v/>
      </c>
      <c r="H1429" s="4" t="str">
        <f t="array" ref="H1429">IF(ROWS(L$20:L1429)&gt;$F$6,"",INDEX(B$2:B$10000,SMALL(IF(ISNUMBER(MATCH($B$2:$B$10000,$E$6:$E$22,0)),ROW($C$2:$C$10000)-ROW($C$2)+1),ROWS(L$20:L1429))))</f>
        <v/>
      </c>
      <c r="I1429" s="4" t="str">
        <f t="array" ref="I1429">IF(ROWS(M$20:M1429)&gt;$F$6,"",INDEX(C$2:C$10000,SMALL(IF(ISNUMBER(MATCH($B$2:$B$10000,$E$6:$E$22,0)),ROW($C$2:$C$10000)-ROW($C$2)+1),ROWS(M$20:M1429))))</f>
        <v/>
      </c>
      <c r="K1429" s="7" t="str">
        <f t="array" ref="K1429">IF(ROWS(K$20:K1429)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1429))))</f>
        <v/>
      </c>
      <c r="L1429" s="4" t="str">
        <f t="array" ref="L1429">IF(ROWS(L$20:L1429)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1429))))</f>
        <v/>
      </c>
      <c r="M1429" s="4" t="str">
        <f t="array" ref="M1429">IF(ROWS(M$20:M1429)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1429))))</f>
        <v/>
      </c>
    </row>
    <row r="1430" spans="1:13" x14ac:dyDescent="0.25">
      <c r="A1430" s="3">
        <v>41500</v>
      </c>
      <c r="B1430" s="2" t="s">
        <v>30</v>
      </c>
      <c r="C1430" s="2">
        <v>30</v>
      </c>
      <c r="G1430" s="7" t="str">
        <f t="array" ref="G1430">IF(ROWS(K$20:K1430)&gt;$F$6,"",INDEX(A$2:A$10000,SMALL(IF(ISNUMBER(MATCH($B$2:$B$10000,$E$6:$E$22,0)),ROW($C$2:$C$10000)-ROW($C$2)+1),ROWS(K$20:K1430))))</f>
        <v/>
      </c>
      <c r="H1430" s="4" t="str">
        <f t="array" ref="H1430">IF(ROWS(L$20:L1430)&gt;$F$6,"",INDEX(B$2:B$10000,SMALL(IF(ISNUMBER(MATCH($B$2:$B$10000,$E$6:$E$22,0)),ROW($C$2:$C$10000)-ROW($C$2)+1),ROWS(L$20:L1430))))</f>
        <v/>
      </c>
      <c r="I1430" s="4" t="str">
        <f t="array" ref="I1430">IF(ROWS(M$20:M1430)&gt;$F$6,"",INDEX(C$2:C$10000,SMALL(IF(ISNUMBER(MATCH($B$2:$B$10000,$E$6:$E$22,0)),ROW($C$2:$C$10000)-ROW($C$2)+1),ROWS(M$20:M1430))))</f>
        <v/>
      </c>
      <c r="K1430" s="7" t="str">
        <f t="array" ref="K1430">IF(ROWS(K$20:K1430)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1430))))</f>
        <v/>
      </c>
      <c r="L1430" s="4" t="str">
        <f t="array" ref="L1430">IF(ROWS(L$20:L1430)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1430))))</f>
        <v/>
      </c>
      <c r="M1430" s="4" t="str">
        <f t="array" ref="M1430">IF(ROWS(M$20:M1430)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1430))))</f>
        <v/>
      </c>
    </row>
    <row r="1431" spans="1:13" x14ac:dyDescent="0.25">
      <c r="A1431" s="3">
        <v>41690</v>
      </c>
      <c r="B1431" s="2" t="s">
        <v>17</v>
      </c>
      <c r="C1431" s="2">
        <v>11</v>
      </c>
      <c r="G1431" s="7" t="str">
        <f t="array" ref="G1431">IF(ROWS(K$20:K1431)&gt;$F$6,"",INDEX(A$2:A$10000,SMALL(IF(ISNUMBER(MATCH($B$2:$B$10000,$E$6:$E$22,0)),ROW($C$2:$C$10000)-ROW($C$2)+1),ROWS(K$20:K1431))))</f>
        <v/>
      </c>
      <c r="H1431" s="4" t="str">
        <f t="array" ref="H1431">IF(ROWS(L$20:L1431)&gt;$F$6,"",INDEX(B$2:B$10000,SMALL(IF(ISNUMBER(MATCH($B$2:$B$10000,$E$6:$E$22,0)),ROW($C$2:$C$10000)-ROW($C$2)+1),ROWS(L$20:L1431))))</f>
        <v/>
      </c>
      <c r="I1431" s="4" t="str">
        <f t="array" ref="I1431">IF(ROWS(M$20:M1431)&gt;$F$6,"",INDEX(C$2:C$10000,SMALL(IF(ISNUMBER(MATCH($B$2:$B$10000,$E$6:$E$22,0)),ROW($C$2:$C$10000)-ROW($C$2)+1),ROWS(M$20:M1431))))</f>
        <v/>
      </c>
      <c r="K1431" s="7" t="str">
        <f t="array" ref="K1431">IF(ROWS(K$20:K1431)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1431))))</f>
        <v/>
      </c>
      <c r="L1431" s="4" t="str">
        <f t="array" ref="L1431">IF(ROWS(L$20:L1431)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1431))))</f>
        <v/>
      </c>
      <c r="M1431" s="4" t="str">
        <f t="array" ref="M1431">IF(ROWS(M$20:M1431)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1431))))</f>
        <v/>
      </c>
    </row>
    <row r="1432" spans="1:13" x14ac:dyDescent="0.25">
      <c r="A1432" s="3">
        <v>41280</v>
      </c>
      <c r="B1432" s="2" t="s">
        <v>3</v>
      </c>
      <c r="C1432" s="2">
        <v>8</v>
      </c>
      <c r="G1432" s="7" t="str">
        <f t="array" ref="G1432">IF(ROWS(K$20:K1432)&gt;$F$6,"",INDEX(A$2:A$10000,SMALL(IF(ISNUMBER(MATCH($B$2:$B$10000,$E$6:$E$22,0)),ROW($C$2:$C$10000)-ROW($C$2)+1),ROWS(K$20:K1432))))</f>
        <v/>
      </c>
      <c r="H1432" s="4" t="str">
        <f t="array" ref="H1432">IF(ROWS(L$20:L1432)&gt;$F$6,"",INDEX(B$2:B$10000,SMALL(IF(ISNUMBER(MATCH($B$2:$B$10000,$E$6:$E$22,0)),ROW($C$2:$C$10000)-ROW($C$2)+1),ROWS(L$20:L1432))))</f>
        <v/>
      </c>
      <c r="I1432" s="4" t="str">
        <f t="array" ref="I1432">IF(ROWS(M$20:M1432)&gt;$F$6,"",INDEX(C$2:C$10000,SMALL(IF(ISNUMBER(MATCH($B$2:$B$10000,$E$6:$E$22,0)),ROW($C$2:$C$10000)-ROW($C$2)+1),ROWS(M$20:M1432))))</f>
        <v/>
      </c>
      <c r="K1432" s="7" t="str">
        <f t="array" ref="K1432">IF(ROWS(K$20:K1432)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1432))))</f>
        <v/>
      </c>
      <c r="L1432" s="4" t="str">
        <f t="array" ref="L1432">IF(ROWS(L$20:L1432)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1432))))</f>
        <v/>
      </c>
      <c r="M1432" s="4" t="str">
        <f t="array" ref="M1432">IF(ROWS(M$20:M1432)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1432))))</f>
        <v/>
      </c>
    </row>
    <row r="1433" spans="1:13" x14ac:dyDescent="0.25">
      <c r="A1433" s="3">
        <v>41934</v>
      </c>
      <c r="B1433" s="2" t="s">
        <v>45</v>
      </c>
      <c r="C1433" s="2">
        <v>21</v>
      </c>
      <c r="G1433" s="7" t="str">
        <f t="array" ref="G1433">IF(ROWS(K$20:K1433)&gt;$F$6,"",INDEX(A$2:A$10000,SMALL(IF(ISNUMBER(MATCH($B$2:$B$10000,$E$6:$E$22,0)),ROW($C$2:$C$10000)-ROW($C$2)+1),ROWS(K$20:K1433))))</f>
        <v/>
      </c>
      <c r="H1433" s="4" t="str">
        <f t="array" ref="H1433">IF(ROWS(L$20:L1433)&gt;$F$6,"",INDEX(B$2:B$10000,SMALL(IF(ISNUMBER(MATCH($B$2:$B$10000,$E$6:$E$22,0)),ROW($C$2:$C$10000)-ROW($C$2)+1),ROWS(L$20:L1433))))</f>
        <v/>
      </c>
      <c r="I1433" s="4" t="str">
        <f t="array" ref="I1433">IF(ROWS(M$20:M1433)&gt;$F$6,"",INDEX(C$2:C$10000,SMALL(IF(ISNUMBER(MATCH($B$2:$B$10000,$E$6:$E$22,0)),ROW($C$2:$C$10000)-ROW($C$2)+1),ROWS(M$20:M1433))))</f>
        <v/>
      </c>
      <c r="K1433" s="7" t="str">
        <f t="array" ref="K1433">IF(ROWS(K$20:K1433)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1433))))</f>
        <v/>
      </c>
      <c r="L1433" s="4" t="str">
        <f t="array" ref="L1433">IF(ROWS(L$20:L1433)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1433))))</f>
        <v/>
      </c>
      <c r="M1433" s="4" t="str">
        <f t="array" ref="M1433">IF(ROWS(M$20:M1433)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1433))))</f>
        <v/>
      </c>
    </row>
    <row r="1434" spans="1:13" x14ac:dyDescent="0.25">
      <c r="A1434" s="3">
        <v>41703</v>
      </c>
      <c r="B1434" s="2" t="s">
        <v>6</v>
      </c>
      <c r="C1434" s="2">
        <v>40</v>
      </c>
      <c r="G1434" s="7" t="str">
        <f t="array" ref="G1434">IF(ROWS(K$20:K1434)&gt;$F$6,"",INDEX(A$2:A$10000,SMALL(IF(ISNUMBER(MATCH($B$2:$B$10000,$E$6:$E$22,0)),ROW($C$2:$C$10000)-ROW($C$2)+1),ROWS(K$20:K1434))))</f>
        <v/>
      </c>
      <c r="H1434" s="4" t="str">
        <f t="array" ref="H1434">IF(ROWS(L$20:L1434)&gt;$F$6,"",INDEX(B$2:B$10000,SMALL(IF(ISNUMBER(MATCH($B$2:$B$10000,$E$6:$E$22,0)),ROW($C$2:$C$10000)-ROW($C$2)+1),ROWS(L$20:L1434))))</f>
        <v/>
      </c>
      <c r="I1434" s="4" t="str">
        <f t="array" ref="I1434">IF(ROWS(M$20:M1434)&gt;$F$6,"",INDEX(C$2:C$10000,SMALL(IF(ISNUMBER(MATCH($B$2:$B$10000,$E$6:$E$22,0)),ROW($C$2:$C$10000)-ROW($C$2)+1),ROWS(M$20:M1434))))</f>
        <v/>
      </c>
      <c r="K1434" s="7" t="str">
        <f t="array" ref="K1434">IF(ROWS(K$20:K1434)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1434))))</f>
        <v/>
      </c>
      <c r="L1434" s="4" t="str">
        <f t="array" ref="L1434">IF(ROWS(L$20:L1434)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1434))))</f>
        <v/>
      </c>
      <c r="M1434" s="4" t="str">
        <f t="array" ref="M1434">IF(ROWS(M$20:M1434)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1434))))</f>
        <v/>
      </c>
    </row>
    <row r="1435" spans="1:13" x14ac:dyDescent="0.25">
      <c r="A1435" s="3">
        <v>41791</v>
      </c>
      <c r="B1435" s="2" t="s">
        <v>45</v>
      </c>
      <c r="C1435" s="2">
        <v>25</v>
      </c>
      <c r="G1435" s="7" t="str">
        <f t="array" ref="G1435">IF(ROWS(K$20:K1435)&gt;$F$6,"",INDEX(A$2:A$10000,SMALL(IF(ISNUMBER(MATCH($B$2:$B$10000,$E$6:$E$22,0)),ROW($C$2:$C$10000)-ROW($C$2)+1),ROWS(K$20:K1435))))</f>
        <v/>
      </c>
      <c r="H1435" s="4" t="str">
        <f t="array" ref="H1435">IF(ROWS(L$20:L1435)&gt;$F$6,"",INDEX(B$2:B$10000,SMALL(IF(ISNUMBER(MATCH($B$2:$B$10000,$E$6:$E$22,0)),ROW($C$2:$C$10000)-ROW($C$2)+1),ROWS(L$20:L1435))))</f>
        <v/>
      </c>
      <c r="I1435" s="4" t="str">
        <f t="array" ref="I1435">IF(ROWS(M$20:M1435)&gt;$F$6,"",INDEX(C$2:C$10000,SMALL(IF(ISNUMBER(MATCH($B$2:$B$10000,$E$6:$E$22,0)),ROW($C$2:$C$10000)-ROW($C$2)+1),ROWS(M$20:M1435))))</f>
        <v/>
      </c>
      <c r="K1435" s="7" t="str">
        <f t="array" ref="K1435">IF(ROWS(K$20:K1435)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1435))))</f>
        <v/>
      </c>
      <c r="L1435" s="4" t="str">
        <f t="array" ref="L1435">IF(ROWS(L$20:L1435)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1435))))</f>
        <v/>
      </c>
      <c r="M1435" s="4" t="str">
        <f t="array" ref="M1435">IF(ROWS(M$20:M1435)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1435))))</f>
        <v/>
      </c>
    </row>
    <row r="1436" spans="1:13" x14ac:dyDescent="0.25">
      <c r="A1436" s="3">
        <v>41652</v>
      </c>
      <c r="B1436" s="2" t="s">
        <v>35</v>
      </c>
      <c r="C1436" s="2">
        <v>18</v>
      </c>
      <c r="G1436" s="7" t="str">
        <f t="array" ref="G1436">IF(ROWS(K$20:K1436)&gt;$F$6,"",INDEX(A$2:A$10000,SMALL(IF(ISNUMBER(MATCH($B$2:$B$10000,$E$6:$E$22,0)),ROW($C$2:$C$10000)-ROW($C$2)+1),ROWS(K$20:K1436))))</f>
        <v/>
      </c>
      <c r="H1436" s="4" t="str">
        <f t="array" ref="H1436">IF(ROWS(L$20:L1436)&gt;$F$6,"",INDEX(B$2:B$10000,SMALL(IF(ISNUMBER(MATCH($B$2:$B$10000,$E$6:$E$22,0)),ROW($C$2:$C$10000)-ROW($C$2)+1),ROWS(L$20:L1436))))</f>
        <v/>
      </c>
      <c r="I1436" s="4" t="str">
        <f t="array" ref="I1436">IF(ROWS(M$20:M1436)&gt;$F$6,"",INDEX(C$2:C$10000,SMALL(IF(ISNUMBER(MATCH($B$2:$B$10000,$E$6:$E$22,0)),ROW($C$2:$C$10000)-ROW($C$2)+1),ROWS(M$20:M1436))))</f>
        <v/>
      </c>
      <c r="K1436" s="7" t="str">
        <f t="array" ref="K1436">IF(ROWS(K$20:K1436)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1436))))</f>
        <v/>
      </c>
      <c r="L1436" s="4" t="str">
        <f t="array" ref="L1436">IF(ROWS(L$20:L1436)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1436))))</f>
        <v/>
      </c>
      <c r="M1436" s="4" t="str">
        <f t="array" ref="M1436">IF(ROWS(M$20:M1436)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1436))))</f>
        <v/>
      </c>
    </row>
    <row r="1437" spans="1:13" x14ac:dyDescent="0.25">
      <c r="A1437" s="3">
        <v>41592</v>
      </c>
      <c r="B1437" s="2" t="s">
        <v>29</v>
      </c>
      <c r="C1437" s="2">
        <v>23</v>
      </c>
      <c r="G1437" s="7" t="str">
        <f t="array" ref="G1437">IF(ROWS(K$20:K1437)&gt;$F$6,"",INDEX(A$2:A$10000,SMALL(IF(ISNUMBER(MATCH($B$2:$B$10000,$E$6:$E$22,0)),ROW($C$2:$C$10000)-ROW($C$2)+1),ROWS(K$20:K1437))))</f>
        <v/>
      </c>
      <c r="H1437" s="4" t="str">
        <f t="array" ref="H1437">IF(ROWS(L$20:L1437)&gt;$F$6,"",INDEX(B$2:B$10000,SMALL(IF(ISNUMBER(MATCH($B$2:$B$10000,$E$6:$E$22,0)),ROW($C$2:$C$10000)-ROW($C$2)+1),ROWS(L$20:L1437))))</f>
        <v/>
      </c>
      <c r="I1437" s="4" t="str">
        <f t="array" ref="I1437">IF(ROWS(M$20:M1437)&gt;$F$6,"",INDEX(C$2:C$10000,SMALL(IF(ISNUMBER(MATCH($B$2:$B$10000,$E$6:$E$22,0)),ROW($C$2:$C$10000)-ROW($C$2)+1),ROWS(M$20:M1437))))</f>
        <v/>
      </c>
      <c r="K1437" s="7" t="str">
        <f t="array" ref="K1437">IF(ROWS(K$20:K1437)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1437))))</f>
        <v/>
      </c>
      <c r="L1437" s="4" t="str">
        <f t="array" ref="L1437">IF(ROWS(L$20:L1437)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1437))))</f>
        <v/>
      </c>
      <c r="M1437" s="4" t="str">
        <f t="array" ref="M1437">IF(ROWS(M$20:M1437)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1437))))</f>
        <v/>
      </c>
    </row>
    <row r="1438" spans="1:13" x14ac:dyDescent="0.25">
      <c r="A1438" s="3">
        <v>41917</v>
      </c>
      <c r="B1438" s="2" t="s">
        <v>40</v>
      </c>
      <c r="C1438" s="2">
        <v>22</v>
      </c>
      <c r="G1438" s="7" t="str">
        <f t="array" ref="G1438">IF(ROWS(K$20:K1438)&gt;$F$6,"",INDEX(A$2:A$10000,SMALL(IF(ISNUMBER(MATCH($B$2:$B$10000,$E$6:$E$22,0)),ROW($C$2:$C$10000)-ROW($C$2)+1),ROWS(K$20:K1438))))</f>
        <v/>
      </c>
      <c r="H1438" s="4" t="str">
        <f t="array" ref="H1438">IF(ROWS(L$20:L1438)&gt;$F$6,"",INDEX(B$2:B$10000,SMALL(IF(ISNUMBER(MATCH($B$2:$B$10000,$E$6:$E$22,0)),ROW($C$2:$C$10000)-ROW($C$2)+1),ROWS(L$20:L1438))))</f>
        <v/>
      </c>
      <c r="I1438" s="4" t="str">
        <f t="array" ref="I1438">IF(ROWS(M$20:M1438)&gt;$F$6,"",INDEX(C$2:C$10000,SMALL(IF(ISNUMBER(MATCH($B$2:$B$10000,$E$6:$E$22,0)),ROW($C$2:$C$10000)-ROW($C$2)+1),ROWS(M$20:M1438))))</f>
        <v/>
      </c>
      <c r="K1438" s="7" t="str">
        <f t="array" ref="K1438">IF(ROWS(K$20:K1438)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1438))))</f>
        <v/>
      </c>
      <c r="L1438" s="4" t="str">
        <f t="array" ref="L1438">IF(ROWS(L$20:L1438)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1438))))</f>
        <v/>
      </c>
      <c r="M1438" s="4" t="str">
        <f t="array" ref="M1438">IF(ROWS(M$20:M1438)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1438))))</f>
        <v/>
      </c>
    </row>
    <row r="1439" spans="1:13" x14ac:dyDescent="0.25">
      <c r="A1439" s="3">
        <v>41517</v>
      </c>
      <c r="B1439" s="2" t="s">
        <v>43</v>
      </c>
      <c r="C1439" s="2">
        <v>13</v>
      </c>
      <c r="G1439" s="7" t="str">
        <f t="array" ref="G1439">IF(ROWS(K$20:K1439)&gt;$F$6,"",INDEX(A$2:A$10000,SMALL(IF(ISNUMBER(MATCH($B$2:$B$10000,$E$6:$E$22,0)),ROW($C$2:$C$10000)-ROW($C$2)+1),ROWS(K$20:K1439))))</f>
        <v/>
      </c>
      <c r="H1439" s="4" t="str">
        <f t="array" ref="H1439">IF(ROWS(L$20:L1439)&gt;$F$6,"",INDEX(B$2:B$10000,SMALL(IF(ISNUMBER(MATCH($B$2:$B$10000,$E$6:$E$22,0)),ROW($C$2:$C$10000)-ROW($C$2)+1),ROWS(L$20:L1439))))</f>
        <v/>
      </c>
      <c r="I1439" s="4" t="str">
        <f t="array" ref="I1439">IF(ROWS(M$20:M1439)&gt;$F$6,"",INDEX(C$2:C$10000,SMALL(IF(ISNUMBER(MATCH($B$2:$B$10000,$E$6:$E$22,0)),ROW($C$2:$C$10000)-ROW($C$2)+1),ROWS(M$20:M1439))))</f>
        <v/>
      </c>
      <c r="K1439" s="7" t="str">
        <f t="array" ref="K1439">IF(ROWS(K$20:K1439)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1439))))</f>
        <v/>
      </c>
      <c r="L1439" s="4" t="str">
        <f t="array" ref="L1439">IF(ROWS(L$20:L1439)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1439))))</f>
        <v/>
      </c>
      <c r="M1439" s="4" t="str">
        <f t="array" ref="M1439">IF(ROWS(M$20:M1439)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1439))))</f>
        <v/>
      </c>
    </row>
    <row r="1440" spans="1:13" x14ac:dyDescent="0.25">
      <c r="A1440" s="3">
        <v>41895</v>
      </c>
      <c r="B1440" s="2" t="s">
        <v>45</v>
      </c>
      <c r="C1440" s="2">
        <v>29</v>
      </c>
      <c r="G1440" s="7" t="str">
        <f t="array" ref="G1440">IF(ROWS(K$20:K1440)&gt;$F$6,"",INDEX(A$2:A$10000,SMALL(IF(ISNUMBER(MATCH($B$2:$B$10000,$E$6:$E$22,0)),ROW($C$2:$C$10000)-ROW($C$2)+1),ROWS(K$20:K1440))))</f>
        <v/>
      </c>
      <c r="H1440" s="4" t="str">
        <f t="array" ref="H1440">IF(ROWS(L$20:L1440)&gt;$F$6,"",INDEX(B$2:B$10000,SMALL(IF(ISNUMBER(MATCH($B$2:$B$10000,$E$6:$E$22,0)),ROW($C$2:$C$10000)-ROW($C$2)+1),ROWS(L$20:L1440))))</f>
        <v/>
      </c>
      <c r="I1440" s="4" t="str">
        <f t="array" ref="I1440">IF(ROWS(M$20:M1440)&gt;$F$6,"",INDEX(C$2:C$10000,SMALL(IF(ISNUMBER(MATCH($B$2:$B$10000,$E$6:$E$22,0)),ROW($C$2:$C$10000)-ROW($C$2)+1),ROWS(M$20:M1440))))</f>
        <v/>
      </c>
      <c r="K1440" s="7" t="str">
        <f t="array" ref="K1440">IF(ROWS(K$20:K1440)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1440))))</f>
        <v/>
      </c>
      <c r="L1440" s="4" t="str">
        <f t="array" ref="L1440">IF(ROWS(L$20:L1440)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1440))))</f>
        <v/>
      </c>
      <c r="M1440" s="4" t="str">
        <f t="array" ref="M1440">IF(ROWS(M$20:M1440)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1440))))</f>
        <v/>
      </c>
    </row>
    <row r="1441" spans="1:13" x14ac:dyDescent="0.25">
      <c r="A1441" s="3">
        <v>41458</v>
      </c>
      <c r="B1441" s="2" t="s">
        <v>49</v>
      </c>
      <c r="C1441" s="2">
        <v>35</v>
      </c>
      <c r="G1441" s="7" t="str">
        <f t="array" ref="G1441">IF(ROWS(K$20:K1441)&gt;$F$6,"",INDEX(A$2:A$10000,SMALL(IF(ISNUMBER(MATCH($B$2:$B$10000,$E$6:$E$22,0)),ROW($C$2:$C$10000)-ROW($C$2)+1),ROWS(K$20:K1441))))</f>
        <v/>
      </c>
      <c r="H1441" s="4" t="str">
        <f t="array" ref="H1441">IF(ROWS(L$20:L1441)&gt;$F$6,"",INDEX(B$2:B$10000,SMALL(IF(ISNUMBER(MATCH($B$2:$B$10000,$E$6:$E$22,0)),ROW($C$2:$C$10000)-ROW($C$2)+1),ROWS(L$20:L1441))))</f>
        <v/>
      </c>
      <c r="I1441" s="4" t="str">
        <f t="array" ref="I1441">IF(ROWS(M$20:M1441)&gt;$F$6,"",INDEX(C$2:C$10000,SMALL(IF(ISNUMBER(MATCH($B$2:$B$10000,$E$6:$E$22,0)),ROW($C$2:$C$10000)-ROW($C$2)+1),ROWS(M$20:M1441))))</f>
        <v/>
      </c>
      <c r="K1441" s="7" t="str">
        <f t="array" ref="K1441">IF(ROWS(K$20:K1441)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1441))))</f>
        <v/>
      </c>
      <c r="L1441" s="4" t="str">
        <f t="array" ref="L1441">IF(ROWS(L$20:L1441)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1441))))</f>
        <v/>
      </c>
      <c r="M1441" s="4" t="str">
        <f t="array" ref="M1441">IF(ROWS(M$20:M1441)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1441))))</f>
        <v/>
      </c>
    </row>
    <row r="1442" spans="1:13" x14ac:dyDescent="0.25">
      <c r="A1442" s="3">
        <v>41326</v>
      </c>
      <c r="B1442" s="2" t="s">
        <v>43</v>
      </c>
      <c r="C1442" s="2">
        <v>14</v>
      </c>
      <c r="G1442" s="7" t="str">
        <f t="array" ref="G1442">IF(ROWS(K$20:K1442)&gt;$F$6,"",INDEX(A$2:A$10000,SMALL(IF(ISNUMBER(MATCH($B$2:$B$10000,$E$6:$E$22,0)),ROW($C$2:$C$10000)-ROW($C$2)+1),ROWS(K$20:K1442))))</f>
        <v/>
      </c>
      <c r="H1442" s="4" t="str">
        <f t="array" ref="H1442">IF(ROWS(L$20:L1442)&gt;$F$6,"",INDEX(B$2:B$10000,SMALL(IF(ISNUMBER(MATCH($B$2:$B$10000,$E$6:$E$22,0)),ROW($C$2:$C$10000)-ROW($C$2)+1),ROWS(L$20:L1442))))</f>
        <v/>
      </c>
      <c r="I1442" s="4" t="str">
        <f t="array" ref="I1442">IF(ROWS(M$20:M1442)&gt;$F$6,"",INDEX(C$2:C$10000,SMALL(IF(ISNUMBER(MATCH($B$2:$B$10000,$E$6:$E$22,0)),ROW($C$2:$C$10000)-ROW($C$2)+1),ROWS(M$20:M1442))))</f>
        <v/>
      </c>
      <c r="K1442" s="7" t="str">
        <f t="array" ref="K1442">IF(ROWS(K$20:K1442)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1442))))</f>
        <v/>
      </c>
      <c r="L1442" s="4" t="str">
        <f t="array" ref="L1442">IF(ROWS(L$20:L1442)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1442))))</f>
        <v/>
      </c>
      <c r="M1442" s="4" t="str">
        <f t="array" ref="M1442">IF(ROWS(M$20:M1442)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1442))))</f>
        <v/>
      </c>
    </row>
    <row r="1443" spans="1:13" x14ac:dyDescent="0.25">
      <c r="A1443" s="3">
        <v>41636</v>
      </c>
      <c r="B1443" s="2" t="s">
        <v>51</v>
      </c>
      <c r="C1443" s="2">
        <v>41</v>
      </c>
      <c r="G1443" s="7" t="str">
        <f t="array" ref="G1443">IF(ROWS(K$20:K1443)&gt;$F$6,"",INDEX(A$2:A$10000,SMALL(IF(ISNUMBER(MATCH($B$2:$B$10000,$E$6:$E$22,0)),ROW($C$2:$C$10000)-ROW($C$2)+1),ROWS(K$20:K1443))))</f>
        <v/>
      </c>
      <c r="H1443" s="4" t="str">
        <f t="array" ref="H1443">IF(ROWS(L$20:L1443)&gt;$F$6,"",INDEX(B$2:B$10000,SMALL(IF(ISNUMBER(MATCH($B$2:$B$10000,$E$6:$E$22,0)),ROW($C$2:$C$10000)-ROW($C$2)+1),ROWS(L$20:L1443))))</f>
        <v/>
      </c>
      <c r="I1443" s="4" t="str">
        <f t="array" ref="I1443">IF(ROWS(M$20:M1443)&gt;$F$6,"",INDEX(C$2:C$10000,SMALL(IF(ISNUMBER(MATCH($B$2:$B$10000,$E$6:$E$22,0)),ROW($C$2:$C$10000)-ROW($C$2)+1),ROWS(M$20:M1443))))</f>
        <v/>
      </c>
      <c r="K1443" s="7" t="str">
        <f t="array" ref="K1443">IF(ROWS(K$20:K1443)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1443))))</f>
        <v/>
      </c>
      <c r="L1443" s="4" t="str">
        <f t="array" ref="L1443">IF(ROWS(L$20:L1443)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1443))))</f>
        <v/>
      </c>
      <c r="M1443" s="4" t="str">
        <f t="array" ref="M1443">IF(ROWS(M$20:M1443)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1443))))</f>
        <v/>
      </c>
    </row>
    <row r="1444" spans="1:13" x14ac:dyDescent="0.25">
      <c r="A1444" s="3">
        <v>41725</v>
      </c>
      <c r="B1444" s="2" t="s">
        <v>7</v>
      </c>
      <c r="C1444" s="2">
        <v>32</v>
      </c>
      <c r="G1444" s="7" t="str">
        <f t="array" ref="G1444">IF(ROWS(K$20:K1444)&gt;$F$6,"",INDEX(A$2:A$10000,SMALL(IF(ISNUMBER(MATCH($B$2:$B$10000,$E$6:$E$22,0)),ROW($C$2:$C$10000)-ROW($C$2)+1),ROWS(K$20:K1444))))</f>
        <v/>
      </c>
      <c r="H1444" s="4" t="str">
        <f t="array" ref="H1444">IF(ROWS(L$20:L1444)&gt;$F$6,"",INDEX(B$2:B$10000,SMALL(IF(ISNUMBER(MATCH($B$2:$B$10000,$E$6:$E$22,0)),ROW($C$2:$C$10000)-ROW($C$2)+1),ROWS(L$20:L1444))))</f>
        <v/>
      </c>
      <c r="I1444" s="4" t="str">
        <f t="array" ref="I1444">IF(ROWS(M$20:M1444)&gt;$F$6,"",INDEX(C$2:C$10000,SMALL(IF(ISNUMBER(MATCH($B$2:$B$10000,$E$6:$E$22,0)),ROW($C$2:$C$10000)-ROW($C$2)+1),ROWS(M$20:M1444))))</f>
        <v/>
      </c>
      <c r="K1444" s="7" t="str">
        <f t="array" ref="K1444">IF(ROWS(K$20:K1444)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1444))))</f>
        <v/>
      </c>
      <c r="L1444" s="4" t="str">
        <f t="array" ref="L1444">IF(ROWS(L$20:L1444)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1444))))</f>
        <v/>
      </c>
      <c r="M1444" s="4" t="str">
        <f t="array" ref="M1444">IF(ROWS(M$20:M1444)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1444))))</f>
        <v/>
      </c>
    </row>
    <row r="1445" spans="1:13" x14ac:dyDescent="0.25">
      <c r="A1445" s="3">
        <v>41598</v>
      </c>
      <c r="B1445" s="2" t="s">
        <v>17</v>
      </c>
      <c r="C1445" s="2">
        <v>25</v>
      </c>
      <c r="G1445" s="7" t="str">
        <f t="array" ref="G1445">IF(ROWS(K$20:K1445)&gt;$F$6,"",INDEX(A$2:A$10000,SMALL(IF(ISNUMBER(MATCH($B$2:$B$10000,$E$6:$E$22,0)),ROW($C$2:$C$10000)-ROW($C$2)+1),ROWS(K$20:K1445))))</f>
        <v/>
      </c>
      <c r="H1445" s="4" t="str">
        <f t="array" ref="H1445">IF(ROWS(L$20:L1445)&gt;$F$6,"",INDEX(B$2:B$10000,SMALL(IF(ISNUMBER(MATCH($B$2:$B$10000,$E$6:$E$22,0)),ROW($C$2:$C$10000)-ROW($C$2)+1),ROWS(L$20:L1445))))</f>
        <v/>
      </c>
      <c r="I1445" s="4" t="str">
        <f t="array" ref="I1445">IF(ROWS(M$20:M1445)&gt;$F$6,"",INDEX(C$2:C$10000,SMALL(IF(ISNUMBER(MATCH($B$2:$B$10000,$E$6:$E$22,0)),ROW($C$2:$C$10000)-ROW($C$2)+1),ROWS(M$20:M1445))))</f>
        <v/>
      </c>
      <c r="K1445" s="7" t="str">
        <f t="array" ref="K1445">IF(ROWS(K$20:K1445)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1445))))</f>
        <v/>
      </c>
      <c r="L1445" s="4" t="str">
        <f t="array" ref="L1445">IF(ROWS(L$20:L1445)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1445))))</f>
        <v/>
      </c>
      <c r="M1445" s="4" t="str">
        <f t="array" ref="M1445">IF(ROWS(M$20:M1445)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1445))))</f>
        <v/>
      </c>
    </row>
    <row r="1446" spans="1:13" x14ac:dyDescent="0.25">
      <c r="A1446" s="3">
        <v>41414</v>
      </c>
      <c r="B1446" s="2" t="s">
        <v>37</v>
      </c>
      <c r="C1446" s="2">
        <v>22</v>
      </c>
      <c r="G1446" s="7" t="str">
        <f t="array" ref="G1446">IF(ROWS(K$20:K1446)&gt;$F$6,"",INDEX(A$2:A$10000,SMALL(IF(ISNUMBER(MATCH($B$2:$B$10000,$E$6:$E$22,0)),ROW($C$2:$C$10000)-ROW($C$2)+1),ROWS(K$20:K1446))))</f>
        <v/>
      </c>
      <c r="H1446" s="4" t="str">
        <f t="array" ref="H1446">IF(ROWS(L$20:L1446)&gt;$F$6,"",INDEX(B$2:B$10000,SMALL(IF(ISNUMBER(MATCH($B$2:$B$10000,$E$6:$E$22,0)),ROW($C$2:$C$10000)-ROW($C$2)+1),ROWS(L$20:L1446))))</f>
        <v/>
      </c>
      <c r="I1446" s="4" t="str">
        <f t="array" ref="I1446">IF(ROWS(M$20:M1446)&gt;$F$6,"",INDEX(C$2:C$10000,SMALL(IF(ISNUMBER(MATCH($B$2:$B$10000,$E$6:$E$22,0)),ROW($C$2:$C$10000)-ROW($C$2)+1),ROWS(M$20:M1446))))</f>
        <v/>
      </c>
      <c r="K1446" s="7" t="str">
        <f t="array" ref="K1446">IF(ROWS(K$20:K1446)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1446))))</f>
        <v/>
      </c>
      <c r="L1446" s="4" t="str">
        <f t="array" ref="L1446">IF(ROWS(L$20:L1446)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1446))))</f>
        <v/>
      </c>
      <c r="M1446" s="4" t="str">
        <f t="array" ref="M1446">IF(ROWS(M$20:M1446)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1446))))</f>
        <v/>
      </c>
    </row>
    <row r="1447" spans="1:13" x14ac:dyDescent="0.25">
      <c r="A1447" s="3">
        <v>41448</v>
      </c>
      <c r="B1447" s="2" t="s">
        <v>35</v>
      </c>
      <c r="C1447" s="2">
        <v>7</v>
      </c>
      <c r="G1447" s="7" t="str">
        <f t="array" ref="G1447">IF(ROWS(K$20:K1447)&gt;$F$6,"",INDEX(A$2:A$10000,SMALL(IF(ISNUMBER(MATCH($B$2:$B$10000,$E$6:$E$22,0)),ROW($C$2:$C$10000)-ROW($C$2)+1),ROWS(K$20:K1447))))</f>
        <v/>
      </c>
      <c r="H1447" s="4" t="str">
        <f t="array" ref="H1447">IF(ROWS(L$20:L1447)&gt;$F$6,"",INDEX(B$2:B$10000,SMALL(IF(ISNUMBER(MATCH($B$2:$B$10000,$E$6:$E$22,0)),ROW($C$2:$C$10000)-ROW($C$2)+1),ROWS(L$20:L1447))))</f>
        <v/>
      </c>
      <c r="I1447" s="4" t="str">
        <f t="array" ref="I1447">IF(ROWS(M$20:M1447)&gt;$F$6,"",INDEX(C$2:C$10000,SMALL(IF(ISNUMBER(MATCH($B$2:$B$10000,$E$6:$E$22,0)),ROW($C$2:$C$10000)-ROW($C$2)+1),ROWS(M$20:M1447))))</f>
        <v/>
      </c>
      <c r="K1447" s="7" t="str">
        <f t="array" ref="K1447">IF(ROWS(K$20:K1447)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1447))))</f>
        <v/>
      </c>
      <c r="L1447" s="4" t="str">
        <f t="array" ref="L1447">IF(ROWS(L$20:L1447)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1447))))</f>
        <v/>
      </c>
      <c r="M1447" s="4" t="str">
        <f t="array" ref="M1447">IF(ROWS(M$20:M1447)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1447))))</f>
        <v/>
      </c>
    </row>
    <row r="1448" spans="1:13" x14ac:dyDescent="0.25">
      <c r="A1448" s="3">
        <v>41651</v>
      </c>
      <c r="B1448" s="2" t="s">
        <v>8</v>
      </c>
      <c r="C1448" s="2">
        <v>16</v>
      </c>
      <c r="G1448" s="7" t="str">
        <f t="array" ref="G1448">IF(ROWS(K$20:K1448)&gt;$F$6,"",INDEX(A$2:A$10000,SMALL(IF(ISNUMBER(MATCH($B$2:$B$10000,$E$6:$E$22,0)),ROW($C$2:$C$10000)-ROW($C$2)+1),ROWS(K$20:K1448))))</f>
        <v/>
      </c>
      <c r="H1448" s="4" t="str">
        <f t="array" ref="H1448">IF(ROWS(L$20:L1448)&gt;$F$6,"",INDEX(B$2:B$10000,SMALL(IF(ISNUMBER(MATCH($B$2:$B$10000,$E$6:$E$22,0)),ROW($C$2:$C$10000)-ROW($C$2)+1),ROWS(L$20:L1448))))</f>
        <v/>
      </c>
      <c r="I1448" s="4" t="str">
        <f t="array" ref="I1448">IF(ROWS(M$20:M1448)&gt;$F$6,"",INDEX(C$2:C$10000,SMALL(IF(ISNUMBER(MATCH($B$2:$B$10000,$E$6:$E$22,0)),ROW($C$2:$C$10000)-ROW($C$2)+1),ROWS(M$20:M1448))))</f>
        <v/>
      </c>
      <c r="K1448" s="7" t="str">
        <f t="array" ref="K1448">IF(ROWS(K$20:K1448)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1448))))</f>
        <v/>
      </c>
      <c r="L1448" s="4" t="str">
        <f t="array" ref="L1448">IF(ROWS(L$20:L1448)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1448))))</f>
        <v/>
      </c>
      <c r="M1448" s="4" t="str">
        <f t="array" ref="M1448">IF(ROWS(M$20:M1448)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1448))))</f>
        <v/>
      </c>
    </row>
    <row r="1449" spans="1:13" x14ac:dyDescent="0.25">
      <c r="A1449" s="3">
        <v>41424</v>
      </c>
      <c r="B1449" s="2" t="s">
        <v>44</v>
      </c>
      <c r="C1449" s="2">
        <v>12</v>
      </c>
      <c r="G1449" s="7" t="str">
        <f t="array" ref="G1449">IF(ROWS(K$20:K1449)&gt;$F$6,"",INDEX(A$2:A$10000,SMALL(IF(ISNUMBER(MATCH($B$2:$B$10000,$E$6:$E$22,0)),ROW($C$2:$C$10000)-ROW($C$2)+1),ROWS(K$20:K1449))))</f>
        <v/>
      </c>
      <c r="H1449" s="4" t="str">
        <f t="array" ref="H1449">IF(ROWS(L$20:L1449)&gt;$F$6,"",INDEX(B$2:B$10000,SMALL(IF(ISNUMBER(MATCH($B$2:$B$10000,$E$6:$E$22,0)),ROW($C$2:$C$10000)-ROW($C$2)+1),ROWS(L$20:L1449))))</f>
        <v/>
      </c>
      <c r="I1449" s="4" t="str">
        <f t="array" ref="I1449">IF(ROWS(M$20:M1449)&gt;$F$6,"",INDEX(C$2:C$10000,SMALL(IF(ISNUMBER(MATCH($B$2:$B$10000,$E$6:$E$22,0)),ROW($C$2:$C$10000)-ROW($C$2)+1),ROWS(M$20:M1449))))</f>
        <v/>
      </c>
      <c r="K1449" s="7" t="str">
        <f t="array" ref="K1449">IF(ROWS(K$20:K1449)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1449))))</f>
        <v/>
      </c>
      <c r="L1449" s="4" t="str">
        <f t="array" ref="L1449">IF(ROWS(L$20:L1449)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1449))))</f>
        <v/>
      </c>
      <c r="M1449" s="4" t="str">
        <f t="array" ref="M1449">IF(ROWS(M$20:M1449)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1449))))</f>
        <v/>
      </c>
    </row>
    <row r="1450" spans="1:13" x14ac:dyDescent="0.25">
      <c r="A1450" s="3">
        <v>41819</v>
      </c>
      <c r="B1450" s="2" t="s">
        <v>14</v>
      </c>
      <c r="C1450" s="2">
        <v>36</v>
      </c>
      <c r="G1450" s="7" t="str">
        <f t="array" ref="G1450">IF(ROWS(K$20:K1450)&gt;$F$6,"",INDEX(A$2:A$10000,SMALL(IF(ISNUMBER(MATCH($B$2:$B$10000,$E$6:$E$22,0)),ROW($C$2:$C$10000)-ROW($C$2)+1),ROWS(K$20:K1450))))</f>
        <v/>
      </c>
      <c r="H1450" s="4" t="str">
        <f t="array" ref="H1450">IF(ROWS(L$20:L1450)&gt;$F$6,"",INDEX(B$2:B$10000,SMALL(IF(ISNUMBER(MATCH($B$2:$B$10000,$E$6:$E$22,0)),ROW($C$2:$C$10000)-ROW($C$2)+1),ROWS(L$20:L1450))))</f>
        <v/>
      </c>
      <c r="I1450" s="4" t="str">
        <f t="array" ref="I1450">IF(ROWS(M$20:M1450)&gt;$F$6,"",INDEX(C$2:C$10000,SMALL(IF(ISNUMBER(MATCH($B$2:$B$10000,$E$6:$E$22,0)),ROW($C$2:$C$10000)-ROW($C$2)+1),ROWS(M$20:M1450))))</f>
        <v/>
      </c>
      <c r="K1450" s="7" t="str">
        <f t="array" ref="K1450">IF(ROWS(K$20:K1450)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1450))))</f>
        <v/>
      </c>
      <c r="L1450" s="4" t="str">
        <f t="array" ref="L1450">IF(ROWS(L$20:L1450)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1450))))</f>
        <v/>
      </c>
      <c r="M1450" s="4" t="str">
        <f t="array" ref="M1450">IF(ROWS(M$20:M1450)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1450))))</f>
        <v/>
      </c>
    </row>
    <row r="1451" spans="1:13" x14ac:dyDescent="0.25">
      <c r="A1451" s="3">
        <v>41607</v>
      </c>
      <c r="B1451" s="2" t="s">
        <v>49</v>
      </c>
      <c r="C1451" s="2">
        <v>3</v>
      </c>
      <c r="G1451" s="7" t="str">
        <f t="array" ref="G1451">IF(ROWS(K$20:K1451)&gt;$F$6,"",INDEX(A$2:A$10000,SMALL(IF(ISNUMBER(MATCH($B$2:$B$10000,$E$6:$E$22,0)),ROW($C$2:$C$10000)-ROW($C$2)+1),ROWS(K$20:K1451))))</f>
        <v/>
      </c>
      <c r="H1451" s="4" t="str">
        <f t="array" ref="H1451">IF(ROWS(L$20:L1451)&gt;$F$6,"",INDEX(B$2:B$10000,SMALL(IF(ISNUMBER(MATCH($B$2:$B$10000,$E$6:$E$22,0)),ROW($C$2:$C$10000)-ROW($C$2)+1),ROWS(L$20:L1451))))</f>
        <v/>
      </c>
      <c r="I1451" s="4" t="str">
        <f t="array" ref="I1451">IF(ROWS(M$20:M1451)&gt;$F$6,"",INDEX(C$2:C$10000,SMALL(IF(ISNUMBER(MATCH($B$2:$B$10000,$E$6:$E$22,0)),ROW($C$2:$C$10000)-ROW($C$2)+1),ROWS(M$20:M1451))))</f>
        <v/>
      </c>
      <c r="K1451" s="7" t="str">
        <f t="array" ref="K1451">IF(ROWS(K$20:K1451)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1451))))</f>
        <v/>
      </c>
      <c r="L1451" s="4" t="str">
        <f t="array" ref="L1451">IF(ROWS(L$20:L1451)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1451))))</f>
        <v/>
      </c>
      <c r="M1451" s="4" t="str">
        <f t="array" ref="M1451">IF(ROWS(M$20:M1451)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1451))))</f>
        <v/>
      </c>
    </row>
    <row r="1452" spans="1:13" x14ac:dyDescent="0.25">
      <c r="A1452" s="3">
        <v>41716</v>
      </c>
      <c r="B1452" s="2" t="s">
        <v>12</v>
      </c>
      <c r="C1452" s="2">
        <v>16</v>
      </c>
      <c r="G1452" s="7" t="str">
        <f t="array" ref="G1452">IF(ROWS(K$20:K1452)&gt;$F$6,"",INDEX(A$2:A$10000,SMALL(IF(ISNUMBER(MATCH($B$2:$B$10000,$E$6:$E$22,0)),ROW($C$2:$C$10000)-ROW($C$2)+1),ROWS(K$20:K1452))))</f>
        <v/>
      </c>
      <c r="H1452" s="4" t="str">
        <f t="array" ref="H1452">IF(ROWS(L$20:L1452)&gt;$F$6,"",INDEX(B$2:B$10000,SMALL(IF(ISNUMBER(MATCH($B$2:$B$10000,$E$6:$E$22,0)),ROW($C$2:$C$10000)-ROW($C$2)+1),ROWS(L$20:L1452))))</f>
        <v/>
      </c>
      <c r="I1452" s="4" t="str">
        <f t="array" ref="I1452">IF(ROWS(M$20:M1452)&gt;$F$6,"",INDEX(C$2:C$10000,SMALL(IF(ISNUMBER(MATCH($B$2:$B$10000,$E$6:$E$22,0)),ROW($C$2:$C$10000)-ROW($C$2)+1),ROWS(M$20:M1452))))</f>
        <v/>
      </c>
      <c r="K1452" s="7" t="str">
        <f t="array" ref="K1452">IF(ROWS(K$20:K1452)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1452))))</f>
        <v/>
      </c>
      <c r="L1452" s="4" t="str">
        <f t="array" ref="L1452">IF(ROWS(L$20:L1452)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1452))))</f>
        <v/>
      </c>
      <c r="M1452" s="4" t="str">
        <f t="array" ref="M1452">IF(ROWS(M$20:M1452)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1452))))</f>
        <v/>
      </c>
    </row>
    <row r="1453" spans="1:13" x14ac:dyDescent="0.25">
      <c r="A1453" s="3">
        <v>41651</v>
      </c>
      <c r="B1453" s="2" t="s">
        <v>37</v>
      </c>
      <c r="C1453" s="2">
        <v>52</v>
      </c>
      <c r="G1453" s="7" t="str">
        <f t="array" ref="G1453">IF(ROWS(K$20:K1453)&gt;$F$6,"",INDEX(A$2:A$10000,SMALL(IF(ISNUMBER(MATCH($B$2:$B$10000,$E$6:$E$22,0)),ROW($C$2:$C$10000)-ROW($C$2)+1),ROWS(K$20:K1453))))</f>
        <v/>
      </c>
      <c r="H1453" s="4" t="str">
        <f t="array" ref="H1453">IF(ROWS(L$20:L1453)&gt;$F$6,"",INDEX(B$2:B$10000,SMALL(IF(ISNUMBER(MATCH($B$2:$B$10000,$E$6:$E$22,0)),ROW($C$2:$C$10000)-ROW($C$2)+1),ROWS(L$20:L1453))))</f>
        <v/>
      </c>
      <c r="I1453" s="4" t="str">
        <f t="array" ref="I1453">IF(ROWS(M$20:M1453)&gt;$F$6,"",INDEX(C$2:C$10000,SMALL(IF(ISNUMBER(MATCH($B$2:$B$10000,$E$6:$E$22,0)),ROW($C$2:$C$10000)-ROW($C$2)+1),ROWS(M$20:M1453))))</f>
        <v/>
      </c>
      <c r="K1453" s="7" t="str">
        <f t="array" ref="K1453">IF(ROWS(K$20:K1453)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1453))))</f>
        <v/>
      </c>
      <c r="L1453" s="4" t="str">
        <f t="array" ref="L1453">IF(ROWS(L$20:L1453)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1453))))</f>
        <v/>
      </c>
      <c r="M1453" s="4" t="str">
        <f t="array" ref="M1453">IF(ROWS(M$20:M1453)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1453))))</f>
        <v/>
      </c>
    </row>
    <row r="1454" spans="1:13" x14ac:dyDescent="0.25">
      <c r="A1454" s="3">
        <v>41996</v>
      </c>
      <c r="B1454" s="2" t="s">
        <v>37</v>
      </c>
      <c r="C1454" s="2">
        <v>20</v>
      </c>
      <c r="G1454" s="7" t="str">
        <f t="array" ref="G1454">IF(ROWS(K$20:K1454)&gt;$F$6,"",INDEX(A$2:A$10000,SMALL(IF(ISNUMBER(MATCH($B$2:$B$10000,$E$6:$E$22,0)),ROW($C$2:$C$10000)-ROW($C$2)+1),ROWS(K$20:K1454))))</f>
        <v/>
      </c>
      <c r="H1454" s="4" t="str">
        <f t="array" ref="H1454">IF(ROWS(L$20:L1454)&gt;$F$6,"",INDEX(B$2:B$10000,SMALL(IF(ISNUMBER(MATCH($B$2:$B$10000,$E$6:$E$22,0)),ROW($C$2:$C$10000)-ROW($C$2)+1),ROWS(L$20:L1454))))</f>
        <v/>
      </c>
      <c r="I1454" s="4" t="str">
        <f t="array" ref="I1454">IF(ROWS(M$20:M1454)&gt;$F$6,"",INDEX(C$2:C$10000,SMALL(IF(ISNUMBER(MATCH($B$2:$B$10000,$E$6:$E$22,0)),ROW($C$2:$C$10000)-ROW($C$2)+1),ROWS(M$20:M1454))))</f>
        <v/>
      </c>
      <c r="K1454" s="7" t="str">
        <f t="array" ref="K1454">IF(ROWS(K$20:K1454)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1454))))</f>
        <v/>
      </c>
      <c r="L1454" s="4" t="str">
        <f t="array" ref="L1454">IF(ROWS(L$20:L1454)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1454))))</f>
        <v/>
      </c>
      <c r="M1454" s="4" t="str">
        <f t="array" ref="M1454">IF(ROWS(M$20:M1454)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1454))))</f>
        <v/>
      </c>
    </row>
    <row r="1455" spans="1:13" x14ac:dyDescent="0.25">
      <c r="A1455" s="3">
        <v>41604</v>
      </c>
      <c r="B1455" s="2" t="s">
        <v>21</v>
      </c>
      <c r="C1455" s="2">
        <v>22</v>
      </c>
      <c r="G1455" s="7" t="str">
        <f t="array" ref="G1455">IF(ROWS(K$20:K1455)&gt;$F$6,"",INDEX(A$2:A$10000,SMALL(IF(ISNUMBER(MATCH($B$2:$B$10000,$E$6:$E$22,0)),ROW($C$2:$C$10000)-ROW($C$2)+1),ROWS(K$20:K1455))))</f>
        <v/>
      </c>
      <c r="H1455" s="4" t="str">
        <f t="array" ref="H1455">IF(ROWS(L$20:L1455)&gt;$F$6,"",INDEX(B$2:B$10000,SMALL(IF(ISNUMBER(MATCH($B$2:$B$10000,$E$6:$E$22,0)),ROW($C$2:$C$10000)-ROW($C$2)+1),ROWS(L$20:L1455))))</f>
        <v/>
      </c>
      <c r="I1455" s="4" t="str">
        <f t="array" ref="I1455">IF(ROWS(M$20:M1455)&gt;$F$6,"",INDEX(C$2:C$10000,SMALL(IF(ISNUMBER(MATCH($B$2:$B$10000,$E$6:$E$22,0)),ROW($C$2:$C$10000)-ROW($C$2)+1),ROWS(M$20:M1455))))</f>
        <v/>
      </c>
      <c r="K1455" s="7" t="str">
        <f t="array" ref="K1455">IF(ROWS(K$20:K1455)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1455))))</f>
        <v/>
      </c>
      <c r="L1455" s="4" t="str">
        <f t="array" ref="L1455">IF(ROWS(L$20:L1455)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1455))))</f>
        <v/>
      </c>
      <c r="M1455" s="4" t="str">
        <f t="array" ref="M1455">IF(ROWS(M$20:M1455)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1455))))</f>
        <v/>
      </c>
    </row>
    <row r="1456" spans="1:13" x14ac:dyDescent="0.25">
      <c r="A1456" s="3">
        <v>41901</v>
      </c>
      <c r="B1456" s="2" t="s">
        <v>38</v>
      </c>
      <c r="C1456" s="2">
        <v>16</v>
      </c>
      <c r="G1456" s="7" t="str">
        <f t="array" ref="G1456">IF(ROWS(K$20:K1456)&gt;$F$6,"",INDEX(A$2:A$10000,SMALL(IF(ISNUMBER(MATCH($B$2:$B$10000,$E$6:$E$22,0)),ROW($C$2:$C$10000)-ROW($C$2)+1),ROWS(K$20:K1456))))</f>
        <v/>
      </c>
      <c r="H1456" s="4" t="str">
        <f t="array" ref="H1456">IF(ROWS(L$20:L1456)&gt;$F$6,"",INDEX(B$2:B$10000,SMALL(IF(ISNUMBER(MATCH($B$2:$B$10000,$E$6:$E$22,0)),ROW($C$2:$C$10000)-ROW($C$2)+1),ROWS(L$20:L1456))))</f>
        <v/>
      </c>
      <c r="I1456" s="4" t="str">
        <f t="array" ref="I1456">IF(ROWS(M$20:M1456)&gt;$F$6,"",INDEX(C$2:C$10000,SMALL(IF(ISNUMBER(MATCH($B$2:$B$10000,$E$6:$E$22,0)),ROW($C$2:$C$10000)-ROW($C$2)+1),ROWS(M$20:M1456))))</f>
        <v/>
      </c>
      <c r="K1456" s="7" t="str">
        <f t="array" ref="K1456">IF(ROWS(K$20:K1456)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1456))))</f>
        <v/>
      </c>
      <c r="L1456" s="4" t="str">
        <f t="array" ref="L1456">IF(ROWS(L$20:L1456)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1456))))</f>
        <v/>
      </c>
      <c r="M1456" s="4" t="str">
        <f t="array" ref="M1456">IF(ROWS(M$20:M1456)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1456))))</f>
        <v/>
      </c>
    </row>
    <row r="1457" spans="1:13" x14ac:dyDescent="0.25">
      <c r="A1457" s="3">
        <v>41512</v>
      </c>
      <c r="B1457" s="2" t="s">
        <v>5</v>
      </c>
      <c r="C1457" s="2">
        <v>6</v>
      </c>
      <c r="G1457" s="7" t="str">
        <f t="array" ref="G1457">IF(ROWS(K$20:K1457)&gt;$F$6,"",INDEX(A$2:A$10000,SMALL(IF(ISNUMBER(MATCH($B$2:$B$10000,$E$6:$E$22,0)),ROW($C$2:$C$10000)-ROW($C$2)+1),ROWS(K$20:K1457))))</f>
        <v/>
      </c>
      <c r="H1457" s="4" t="str">
        <f t="array" ref="H1457">IF(ROWS(L$20:L1457)&gt;$F$6,"",INDEX(B$2:B$10000,SMALL(IF(ISNUMBER(MATCH($B$2:$B$10000,$E$6:$E$22,0)),ROW($C$2:$C$10000)-ROW($C$2)+1),ROWS(L$20:L1457))))</f>
        <v/>
      </c>
      <c r="I1457" s="4" t="str">
        <f t="array" ref="I1457">IF(ROWS(M$20:M1457)&gt;$F$6,"",INDEX(C$2:C$10000,SMALL(IF(ISNUMBER(MATCH($B$2:$B$10000,$E$6:$E$22,0)),ROW($C$2:$C$10000)-ROW($C$2)+1),ROWS(M$20:M1457))))</f>
        <v/>
      </c>
      <c r="K1457" s="7" t="str">
        <f t="array" ref="K1457">IF(ROWS(K$20:K1457)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1457))))</f>
        <v/>
      </c>
      <c r="L1457" s="4" t="str">
        <f t="array" ref="L1457">IF(ROWS(L$20:L1457)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1457))))</f>
        <v/>
      </c>
      <c r="M1457" s="4" t="str">
        <f t="array" ref="M1457">IF(ROWS(M$20:M1457)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1457))))</f>
        <v/>
      </c>
    </row>
    <row r="1458" spans="1:13" x14ac:dyDescent="0.25">
      <c r="A1458" s="3">
        <v>41782</v>
      </c>
      <c r="B1458" s="2" t="s">
        <v>4</v>
      </c>
      <c r="C1458" s="2">
        <v>8</v>
      </c>
      <c r="G1458" s="7" t="str">
        <f t="array" ref="G1458">IF(ROWS(K$20:K1458)&gt;$F$6,"",INDEX(A$2:A$10000,SMALL(IF(ISNUMBER(MATCH($B$2:$B$10000,$E$6:$E$22,0)),ROW($C$2:$C$10000)-ROW($C$2)+1),ROWS(K$20:K1458))))</f>
        <v/>
      </c>
      <c r="H1458" s="4" t="str">
        <f t="array" ref="H1458">IF(ROWS(L$20:L1458)&gt;$F$6,"",INDEX(B$2:B$10000,SMALL(IF(ISNUMBER(MATCH($B$2:$B$10000,$E$6:$E$22,0)),ROW($C$2:$C$10000)-ROW($C$2)+1),ROWS(L$20:L1458))))</f>
        <v/>
      </c>
      <c r="I1458" s="4" t="str">
        <f t="array" ref="I1458">IF(ROWS(M$20:M1458)&gt;$F$6,"",INDEX(C$2:C$10000,SMALL(IF(ISNUMBER(MATCH($B$2:$B$10000,$E$6:$E$22,0)),ROW($C$2:$C$10000)-ROW($C$2)+1),ROWS(M$20:M1458))))</f>
        <v/>
      </c>
      <c r="K1458" s="7" t="str">
        <f t="array" ref="K1458">IF(ROWS(K$20:K1458)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1458))))</f>
        <v/>
      </c>
      <c r="L1458" s="4" t="str">
        <f t="array" ref="L1458">IF(ROWS(L$20:L1458)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1458))))</f>
        <v/>
      </c>
      <c r="M1458" s="4" t="str">
        <f t="array" ref="M1458">IF(ROWS(M$20:M1458)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1458))))</f>
        <v/>
      </c>
    </row>
    <row r="1459" spans="1:13" x14ac:dyDescent="0.25">
      <c r="A1459" s="3">
        <v>41376</v>
      </c>
      <c r="B1459" s="2" t="s">
        <v>38</v>
      </c>
      <c r="C1459" s="2">
        <v>11</v>
      </c>
      <c r="G1459" s="7" t="str">
        <f t="array" ref="G1459">IF(ROWS(K$20:K1459)&gt;$F$6,"",INDEX(A$2:A$10000,SMALL(IF(ISNUMBER(MATCH($B$2:$B$10000,$E$6:$E$22,0)),ROW($C$2:$C$10000)-ROW($C$2)+1),ROWS(K$20:K1459))))</f>
        <v/>
      </c>
      <c r="H1459" s="4" t="str">
        <f t="array" ref="H1459">IF(ROWS(L$20:L1459)&gt;$F$6,"",INDEX(B$2:B$10000,SMALL(IF(ISNUMBER(MATCH($B$2:$B$10000,$E$6:$E$22,0)),ROW($C$2:$C$10000)-ROW($C$2)+1),ROWS(L$20:L1459))))</f>
        <v/>
      </c>
      <c r="I1459" s="4" t="str">
        <f t="array" ref="I1459">IF(ROWS(M$20:M1459)&gt;$F$6,"",INDEX(C$2:C$10000,SMALL(IF(ISNUMBER(MATCH($B$2:$B$10000,$E$6:$E$22,0)),ROW($C$2:$C$10000)-ROW($C$2)+1),ROWS(M$20:M1459))))</f>
        <v/>
      </c>
      <c r="K1459" s="7" t="str">
        <f t="array" ref="K1459">IF(ROWS(K$20:K1459)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1459))))</f>
        <v/>
      </c>
      <c r="L1459" s="4" t="str">
        <f t="array" ref="L1459">IF(ROWS(L$20:L1459)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1459))))</f>
        <v/>
      </c>
      <c r="M1459" s="4" t="str">
        <f t="array" ref="M1459">IF(ROWS(M$20:M1459)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1459))))</f>
        <v/>
      </c>
    </row>
    <row r="1460" spans="1:13" x14ac:dyDescent="0.25">
      <c r="A1460" s="3">
        <v>41477</v>
      </c>
      <c r="B1460" s="2" t="s">
        <v>13</v>
      </c>
      <c r="C1460" s="2">
        <v>7</v>
      </c>
      <c r="G1460" s="7" t="str">
        <f t="array" ref="G1460">IF(ROWS(K$20:K1460)&gt;$F$6,"",INDEX(A$2:A$10000,SMALL(IF(ISNUMBER(MATCH($B$2:$B$10000,$E$6:$E$22,0)),ROW($C$2:$C$10000)-ROW($C$2)+1),ROWS(K$20:K1460))))</f>
        <v/>
      </c>
      <c r="H1460" s="4" t="str">
        <f t="array" ref="H1460">IF(ROWS(L$20:L1460)&gt;$F$6,"",INDEX(B$2:B$10000,SMALL(IF(ISNUMBER(MATCH($B$2:$B$10000,$E$6:$E$22,0)),ROW($C$2:$C$10000)-ROW($C$2)+1),ROWS(L$20:L1460))))</f>
        <v/>
      </c>
      <c r="I1460" s="4" t="str">
        <f t="array" ref="I1460">IF(ROWS(M$20:M1460)&gt;$F$6,"",INDEX(C$2:C$10000,SMALL(IF(ISNUMBER(MATCH($B$2:$B$10000,$E$6:$E$22,0)),ROW($C$2:$C$10000)-ROW($C$2)+1),ROWS(M$20:M1460))))</f>
        <v/>
      </c>
      <c r="K1460" s="7" t="str">
        <f t="array" ref="K1460">IF(ROWS(K$20:K1460)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1460))))</f>
        <v/>
      </c>
      <c r="L1460" s="4" t="str">
        <f t="array" ref="L1460">IF(ROWS(L$20:L1460)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1460))))</f>
        <v/>
      </c>
      <c r="M1460" s="4" t="str">
        <f t="array" ref="M1460">IF(ROWS(M$20:M1460)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1460))))</f>
        <v/>
      </c>
    </row>
    <row r="1461" spans="1:13" x14ac:dyDescent="0.25">
      <c r="A1461" s="3">
        <v>41475</v>
      </c>
      <c r="B1461" s="2" t="s">
        <v>51</v>
      </c>
      <c r="C1461" s="2">
        <v>14</v>
      </c>
      <c r="G1461" s="7" t="str">
        <f t="array" ref="G1461">IF(ROWS(K$20:K1461)&gt;$F$6,"",INDEX(A$2:A$10000,SMALL(IF(ISNUMBER(MATCH($B$2:$B$10000,$E$6:$E$22,0)),ROW($C$2:$C$10000)-ROW($C$2)+1),ROWS(K$20:K1461))))</f>
        <v/>
      </c>
      <c r="H1461" s="4" t="str">
        <f t="array" ref="H1461">IF(ROWS(L$20:L1461)&gt;$F$6,"",INDEX(B$2:B$10000,SMALL(IF(ISNUMBER(MATCH($B$2:$B$10000,$E$6:$E$22,0)),ROW($C$2:$C$10000)-ROW($C$2)+1),ROWS(L$20:L1461))))</f>
        <v/>
      </c>
      <c r="I1461" s="4" t="str">
        <f t="array" ref="I1461">IF(ROWS(M$20:M1461)&gt;$F$6,"",INDEX(C$2:C$10000,SMALL(IF(ISNUMBER(MATCH($B$2:$B$10000,$E$6:$E$22,0)),ROW($C$2:$C$10000)-ROW($C$2)+1),ROWS(M$20:M1461))))</f>
        <v/>
      </c>
      <c r="K1461" s="7" t="str">
        <f t="array" ref="K1461">IF(ROWS(K$20:K1461)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1461))))</f>
        <v/>
      </c>
      <c r="L1461" s="4" t="str">
        <f t="array" ref="L1461">IF(ROWS(L$20:L1461)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1461))))</f>
        <v/>
      </c>
      <c r="M1461" s="4" t="str">
        <f t="array" ref="M1461">IF(ROWS(M$20:M1461)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1461))))</f>
        <v/>
      </c>
    </row>
    <row r="1462" spans="1:13" x14ac:dyDescent="0.25">
      <c r="A1462" s="3">
        <v>41397</v>
      </c>
      <c r="B1462" s="2" t="s">
        <v>3</v>
      </c>
      <c r="C1462" s="2">
        <v>19</v>
      </c>
      <c r="G1462" s="7" t="str">
        <f t="array" ref="G1462">IF(ROWS(K$20:K1462)&gt;$F$6,"",INDEX(A$2:A$10000,SMALL(IF(ISNUMBER(MATCH($B$2:$B$10000,$E$6:$E$22,0)),ROW($C$2:$C$10000)-ROW($C$2)+1),ROWS(K$20:K1462))))</f>
        <v/>
      </c>
      <c r="H1462" s="4" t="str">
        <f t="array" ref="H1462">IF(ROWS(L$20:L1462)&gt;$F$6,"",INDEX(B$2:B$10000,SMALL(IF(ISNUMBER(MATCH($B$2:$B$10000,$E$6:$E$22,0)),ROW($C$2:$C$10000)-ROW($C$2)+1),ROWS(L$20:L1462))))</f>
        <v/>
      </c>
      <c r="I1462" s="4" t="str">
        <f t="array" ref="I1462">IF(ROWS(M$20:M1462)&gt;$F$6,"",INDEX(C$2:C$10000,SMALL(IF(ISNUMBER(MATCH($B$2:$B$10000,$E$6:$E$22,0)),ROW($C$2:$C$10000)-ROW($C$2)+1),ROWS(M$20:M1462))))</f>
        <v/>
      </c>
      <c r="K1462" s="7" t="str">
        <f t="array" ref="K1462">IF(ROWS(K$20:K1462)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1462))))</f>
        <v/>
      </c>
      <c r="L1462" s="4" t="str">
        <f t="array" ref="L1462">IF(ROWS(L$20:L1462)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1462))))</f>
        <v/>
      </c>
      <c r="M1462" s="4" t="str">
        <f t="array" ref="M1462">IF(ROWS(M$20:M1462)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1462))))</f>
        <v/>
      </c>
    </row>
    <row r="1463" spans="1:13" x14ac:dyDescent="0.25">
      <c r="A1463" s="3">
        <v>41640</v>
      </c>
      <c r="B1463" s="2" t="s">
        <v>51</v>
      </c>
      <c r="C1463" s="2">
        <v>16</v>
      </c>
      <c r="G1463" s="7" t="str">
        <f t="array" ref="G1463">IF(ROWS(K$20:K1463)&gt;$F$6,"",INDEX(A$2:A$10000,SMALL(IF(ISNUMBER(MATCH($B$2:$B$10000,$E$6:$E$22,0)),ROW($C$2:$C$10000)-ROW($C$2)+1),ROWS(K$20:K1463))))</f>
        <v/>
      </c>
      <c r="H1463" s="4" t="str">
        <f t="array" ref="H1463">IF(ROWS(L$20:L1463)&gt;$F$6,"",INDEX(B$2:B$10000,SMALL(IF(ISNUMBER(MATCH($B$2:$B$10000,$E$6:$E$22,0)),ROW($C$2:$C$10000)-ROW($C$2)+1),ROWS(L$20:L1463))))</f>
        <v/>
      </c>
      <c r="I1463" s="4" t="str">
        <f t="array" ref="I1463">IF(ROWS(M$20:M1463)&gt;$F$6,"",INDEX(C$2:C$10000,SMALL(IF(ISNUMBER(MATCH($B$2:$B$10000,$E$6:$E$22,0)),ROW($C$2:$C$10000)-ROW($C$2)+1),ROWS(M$20:M1463))))</f>
        <v/>
      </c>
      <c r="K1463" s="7" t="str">
        <f t="array" ref="K1463">IF(ROWS(K$20:K1463)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1463))))</f>
        <v/>
      </c>
      <c r="L1463" s="4" t="str">
        <f t="array" ref="L1463">IF(ROWS(L$20:L1463)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1463))))</f>
        <v/>
      </c>
      <c r="M1463" s="4" t="str">
        <f t="array" ref="M1463">IF(ROWS(M$20:M1463)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1463))))</f>
        <v/>
      </c>
    </row>
    <row r="1464" spans="1:13" x14ac:dyDescent="0.25">
      <c r="A1464" s="3">
        <v>41725</v>
      </c>
      <c r="B1464" s="2" t="s">
        <v>25</v>
      </c>
      <c r="C1464" s="2">
        <v>6</v>
      </c>
      <c r="G1464" s="7" t="str">
        <f t="array" ref="G1464">IF(ROWS(K$20:K1464)&gt;$F$6,"",INDEX(A$2:A$10000,SMALL(IF(ISNUMBER(MATCH($B$2:$B$10000,$E$6:$E$22,0)),ROW($C$2:$C$10000)-ROW($C$2)+1),ROWS(K$20:K1464))))</f>
        <v/>
      </c>
      <c r="H1464" s="4" t="str">
        <f t="array" ref="H1464">IF(ROWS(L$20:L1464)&gt;$F$6,"",INDEX(B$2:B$10000,SMALL(IF(ISNUMBER(MATCH($B$2:$B$10000,$E$6:$E$22,0)),ROW($C$2:$C$10000)-ROW($C$2)+1),ROWS(L$20:L1464))))</f>
        <v/>
      </c>
      <c r="I1464" s="4" t="str">
        <f t="array" ref="I1464">IF(ROWS(M$20:M1464)&gt;$F$6,"",INDEX(C$2:C$10000,SMALL(IF(ISNUMBER(MATCH($B$2:$B$10000,$E$6:$E$22,0)),ROW($C$2:$C$10000)-ROW($C$2)+1),ROWS(M$20:M1464))))</f>
        <v/>
      </c>
      <c r="K1464" s="7" t="str">
        <f t="array" ref="K1464">IF(ROWS(K$20:K1464)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1464))))</f>
        <v/>
      </c>
      <c r="L1464" s="4" t="str">
        <f t="array" ref="L1464">IF(ROWS(L$20:L1464)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1464))))</f>
        <v/>
      </c>
      <c r="M1464" s="4" t="str">
        <f t="array" ref="M1464">IF(ROWS(M$20:M1464)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1464))))</f>
        <v/>
      </c>
    </row>
    <row r="1465" spans="1:13" x14ac:dyDescent="0.25">
      <c r="A1465" s="3">
        <v>41453</v>
      </c>
      <c r="B1465" s="2" t="s">
        <v>12</v>
      </c>
      <c r="C1465" s="2">
        <v>7</v>
      </c>
      <c r="G1465" s="7" t="str">
        <f t="array" ref="G1465">IF(ROWS(K$20:K1465)&gt;$F$6,"",INDEX(A$2:A$10000,SMALL(IF(ISNUMBER(MATCH($B$2:$B$10000,$E$6:$E$22,0)),ROW($C$2:$C$10000)-ROW($C$2)+1),ROWS(K$20:K1465))))</f>
        <v/>
      </c>
      <c r="H1465" s="4" t="str">
        <f t="array" ref="H1465">IF(ROWS(L$20:L1465)&gt;$F$6,"",INDEX(B$2:B$10000,SMALL(IF(ISNUMBER(MATCH($B$2:$B$10000,$E$6:$E$22,0)),ROW($C$2:$C$10000)-ROW($C$2)+1),ROWS(L$20:L1465))))</f>
        <v/>
      </c>
      <c r="I1465" s="4" t="str">
        <f t="array" ref="I1465">IF(ROWS(M$20:M1465)&gt;$F$6,"",INDEX(C$2:C$10000,SMALL(IF(ISNUMBER(MATCH($B$2:$B$10000,$E$6:$E$22,0)),ROW($C$2:$C$10000)-ROW($C$2)+1),ROWS(M$20:M1465))))</f>
        <v/>
      </c>
      <c r="K1465" s="7" t="str">
        <f t="array" ref="K1465">IF(ROWS(K$20:K1465)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1465))))</f>
        <v/>
      </c>
      <c r="L1465" s="4" t="str">
        <f t="array" ref="L1465">IF(ROWS(L$20:L1465)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1465))))</f>
        <v/>
      </c>
      <c r="M1465" s="4" t="str">
        <f t="array" ref="M1465">IF(ROWS(M$20:M1465)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1465))))</f>
        <v/>
      </c>
    </row>
    <row r="1466" spans="1:13" x14ac:dyDescent="0.25">
      <c r="A1466" s="3">
        <v>41798</v>
      </c>
      <c r="B1466" s="2" t="s">
        <v>18</v>
      </c>
      <c r="C1466" s="2">
        <v>11</v>
      </c>
      <c r="G1466" s="7" t="str">
        <f t="array" ref="G1466">IF(ROWS(K$20:K1466)&gt;$F$6,"",INDEX(A$2:A$10000,SMALL(IF(ISNUMBER(MATCH($B$2:$B$10000,$E$6:$E$22,0)),ROW($C$2:$C$10000)-ROW($C$2)+1),ROWS(K$20:K1466))))</f>
        <v/>
      </c>
      <c r="H1466" s="4" t="str">
        <f t="array" ref="H1466">IF(ROWS(L$20:L1466)&gt;$F$6,"",INDEX(B$2:B$10000,SMALL(IF(ISNUMBER(MATCH($B$2:$B$10000,$E$6:$E$22,0)),ROW($C$2:$C$10000)-ROW($C$2)+1),ROWS(L$20:L1466))))</f>
        <v/>
      </c>
      <c r="I1466" s="4" t="str">
        <f t="array" ref="I1466">IF(ROWS(M$20:M1466)&gt;$F$6,"",INDEX(C$2:C$10000,SMALL(IF(ISNUMBER(MATCH($B$2:$B$10000,$E$6:$E$22,0)),ROW($C$2:$C$10000)-ROW($C$2)+1),ROWS(M$20:M1466))))</f>
        <v/>
      </c>
      <c r="K1466" s="7" t="str">
        <f t="array" ref="K1466">IF(ROWS(K$20:K1466)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1466))))</f>
        <v/>
      </c>
      <c r="L1466" s="4" t="str">
        <f t="array" ref="L1466">IF(ROWS(L$20:L1466)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1466))))</f>
        <v/>
      </c>
      <c r="M1466" s="4" t="str">
        <f t="array" ref="M1466">IF(ROWS(M$20:M1466)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1466))))</f>
        <v/>
      </c>
    </row>
    <row r="1467" spans="1:13" x14ac:dyDescent="0.25">
      <c r="A1467" s="3">
        <v>41490</v>
      </c>
      <c r="B1467" s="2" t="s">
        <v>34</v>
      </c>
      <c r="C1467" s="2">
        <v>23</v>
      </c>
      <c r="G1467" s="7" t="str">
        <f t="array" ref="G1467">IF(ROWS(K$20:K1467)&gt;$F$6,"",INDEX(A$2:A$10000,SMALL(IF(ISNUMBER(MATCH($B$2:$B$10000,$E$6:$E$22,0)),ROW($C$2:$C$10000)-ROW($C$2)+1),ROWS(K$20:K1467))))</f>
        <v/>
      </c>
      <c r="H1467" s="4" t="str">
        <f t="array" ref="H1467">IF(ROWS(L$20:L1467)&gt;$F$6,"",INDEX(B$2:B$10000,SMALL(IF(ISNUMBER(MATCH($B$2:$B$10000,$E$6:$E$22,0)),ROW($C$2:$C$10000)-ROW($C$2)+1),ROWS(L$20:L1467))))</f>
        <v/>
      </c>
      <c r="I1467" s="4" t="str">
        <f t="array" ref="I1467">IF(ROWS(M$20:M1467)&gt;$F$6,"",INDEX(C$2:C$10000,SMALL(IF(ISNUMBER(MATCH($B$2:$B$10000,$E$6:$E$22,0)),ROW($C$2:$C$10000)-ROW($C$2)+1),ROWS(M$20:M1467))))</f>
        <v/>
      </c>
      <c r="K1467" s="7" t="str">
        <f t="array" ref="K1467">IF(ROWS(K$20:K1467)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1467))))</f>
        <v/>
      </c>
      <c r="L1467" s="4" t="str">
        <f t="array" ref="L1467">IF(ROWS(L$20:L1467)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1467))))</f>
        <v/>
      </c>
      <c r="M1467" s="4" t="str">
        <f t="array" ref="M1467">IF(ROWS(M$20:M1467)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1467))))</f>
        <v/>
      </c>
    </row>
    <row r="1468" spans="1:13" x14ac:dyDescent="0.25">
      <c r="A1468" s="3">
        <v>41616</v>
      </c>
      <c r="B1468" s="2" t="s">
        <v>48</v>
      </c>
      <c r="C1468" s="2">
        <v>15</v>
      </c>
      <c r="G1468" s="7" t="str">
        <f t="array" ref="G1468">IF(ROWS(K$20:K1468)&gt;$F$6,"",INDEX(A$2:A$10000,SMALL(IF(ISNUMBER(MATCH($B$2:$B$10000,$E$6:$E$22,0)),ROW($C$2:$C$10000)-ROW($C$2)+1),ROWS(K$20:K1468))))</f>
        <v/>
      </c>
      <c r="H1468" s="4" t="str">
        <f t="array" ref="H1468">IF(ROWS(L$20:L1468)&gt;$F$6,"",INDEX(B$2:B$10000,SMALL(IF(ISNUMBER(MATCH($B$2:$B$10000,$E$6:$E$22,0)),ROW($C$2:$C$10000)-ROW($C$2)+1),ROWS(L$20:L1468))))</f>
        <v/>
      </c>
      <c r="I1468" s="4" t="str">
        <f t="array" ref="I1468">IF(ROWS(M$20:M1468)&gt;$F$6,"",INDEX(C$2:C$10000,SMALL(IF(ISNUMBER(MATCH($B$2:$B$10000,$E$6:$E$22,0)),ROW($C$2:$C$10000)-ROW($C$2)+1),ROWS(M$20:M1468))))</f>
        <v/>
      </c>
      <c r="K1468" s="7" t="str">
        <f t="array" ref="K1468">IF(ROWS(K$20:K1468)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1468))))</f>
        <v/>
      </c>
      <c r="L1468" s="4" t="str">
        <f t="array" ref="L1468">IF(ROWS(L$20:L1468)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1468))))</f>
        <v/>
      </c>
      <c r="M1468" s="4" t="str">
        <f t="array" ref="M1468">IF(ROWS(M$20:M1468)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1468))))</f>
        <v/>
      </c>
    </row>
    <row r="1469" spans="1:13" x14ac:dyDescent="0.25">
      <c r="A1469" s="3">
        <v>41550</v>
      </c>
      <c r="B1469" s="2" t="s">
        <v>33</v>
      </c>
      <c r="C1469" s="2">
        <v>23</v>
      </c>
      <c r="G1469" s="7" t="str">
        <f t="array" ref="G1469">IF(ROWS(K$20:K1469)&gt;$F$6,"",INDEX(A$2:A$10000,SMALL(IF(ISNUMBER(MATCH($B$2:$B$10000,$E$6:$E$22,0)),ROW($C$2:$C$10000)-ROW($C$2)+1),ROWS(K$20:K1469))))</f>
        <v/>
      </c>
      <c r="H1469" s="4" t="str">
        <f t="array" ref="H1469">IF(ROWS(L$20:L1469)&gt;$F$6,"",INDEX(B$2:B$10000,SMALL(IF(ISNUMBER(MATCH($B$2:$B$10000,$E$6:$E$22,0)),ROW($C$2:$C$10000)-ROW($C$2)+1),ROWS(L$20:L1469))))</f>
        <v/>
      </c>
      <c r="I1469" s="4" t="str">
        <f t="array" ref="I1469">IF(ROWS(M$20:M1469)&gt;$F$6,"",INDEX(C$2:C$10000,SMALL(IF(ISNUMBER(MATCH($B$2:$B$10000,$E$6:$E$22,0)),ROW($C$2:$C$10000)-ROW($C$2)+1),ROWS(M$20:M1469))))</f>
        <v/>
      </c>
      <c r="K1469" s="7" t="str">
        <f t="array" ref="K1469">IF(ROWS(K$20:K1469)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1469))))</f>
        <v/>
      </c>
      <c r="L1469" s="4" t="str">
        <f t="array" ref="L1469">IF(ROWS(L$20:L1469)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1469))))</f>
        <v/>
      </c>
      <c r="M1469" s="4" t="str">
        <f t="array" ref="M1469">IF(ROWS(M$20:M1469)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1469))))</f>
        <v/>
      </c>
    </row>
    <row r="1470" spans="1:13" x14ac:dyDescent="0.25">
      <c r="A1470" s="3">
        <v>41892</v>
      </c>
      <c r="B1470" s="2" t="s">
        <v>11</v>
      </c>
      <c r="C1470" s="2">
        <v>17</v>
      </c>
      <c r="G1470" s="7" t="str">
        <f t="array" ref="G1470">IF(ROWS(K$20:K1470)&gt;$F$6,"",INDEX(A$2:A$10000,SMALL(IF(ISNUMBER(MATCH($B$2:$B$10000,$E$6:$E$22,0)),ROW($C$2:$C$10000)-ROW($C$2)+1),ROWS(K$20:K1470))))</f>
        <v/>
      </c>
      <c r="H1470" s="4" t="str">
        <f t="array" ref="H1470">IF(ROWS(L$20:L1470)&gt;$F$6,"",INDEX(B$2:B$10000,SMALL(IF(ISNUMBER(MATCH($B$2:$B$10000,$E$6:$E$22,0)),ROW($C$2:$C$10000)-ROW($C$2)+1),ROWS(L$20:L1470))))</f>
        <v/>
      </c>
      <c r="I1470" s="4" t="str">
        <f t="array" ref="I1470">IF(ROWS(M$20:M1470)&gt;$F$6,"",INDEX(C$2:C$10000,SMALL(IF(ISNUMBER(MATCH($B$2:$B$10000,$E$6:$E$22,0)),ROW($C$2:$C$10000)-ROW($C$2)+1),ROWS(M$20:M1470))))</f>
        <v/>
      </c>
      <c r="K1470" s="7" t="str">
        <f t="array" ref="K1470">IF(ROWS(K$20:K1470)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1470))))</f>
        <v/>
      </c>
      <c r="L1470" s="4" t="str">
        <f t="array" ref="L1470">IF(ROWS(L$20:L1470)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1470))))</f>
        <v/>
      </c>
      <c r="M1470" s="4" t="str">
        <f t="array" ref="M1470">IF(ROWS(M$20:M1470)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1470))))</f>
        <v/>
      </c>
    </row>
    <row r="1471" spans="1:13" x14ac:dyDescent="0.25">
      <c r="A1471" s="3">
        <v>41318</v>
      </c>
      <c r="B1471" s="2" t="s">
        <v>50</v>
      </c>
      <c r="C1471" s="2">
        <v>62</v>
      </c>
      <c r="G1471" s="7" t="str">
        <f t="array" ref="G1471">IF(ROWS(K$20:K1471)&gt;$F$6,"",INDEX(A$2:A$10000,SMALL(IF(ISNUMBER(MATCH($B$2:$B$10000,$E$6:$E$22,0)),ROW($C$2:$C$10000)-ROW($C$2)+1),ROWS(K$20:K1471))))</f>
        <v/>
      </c>
      <c r="H1471" s="4" t="str">
        <f t="array" ref="H1471">IF(ROWS(L$20:L1471)&gt;$F$6,"",INDEX(B$2:B$10000,SMALL(IF(ISNUMBER(MATCH($B$2:$B$10000,$E$6:$E$22,0)),ROW($C$2:$C$10000)-ROW($C$2)+1),ROWS(L$20:L1471))))</f>
        <v/>
      </c>
      <c r="I1471" s="4" t="str">
        <f t="array" ref="I1471">IF(ROWS(M$20:M1471)&gt;$F$6,"",INDEX(C$2:C$10000,SMALL(IF(ISNUMBER(MATCH($B$2:$B$10000,$E$6:$E$22,0)),ROW($C$2:$C$10000)-ROW($C$2)+1),ROWS(M$20:M1471))))</f>
        <v/>
      </c>
      <c r="K1471" s="7" t="str">
        <f t="array" ref="K1471">IF(ROWS(K$20:K1471)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1471))))</f>
        <v/>
      </c>
      <c r="L1471" s="4" t="str">
        <f t="array" ref="L1471">IF(ROWS(L$20:L1471)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1471))))</f>
        <v/>
      </c>
      <c r="M1471" s="4" t="str">
        <f t="array" ref="M1471">IF(ROWS(M$20:M1471)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1471))))</f>
        <v/>
      </c>
    </row>
    <row r="1472" spans="1:13" x14ac:dyDescent="0.25">
      <c r="A1472" s="3">
        <v>41965</v>
      </c>
      <c r="B1472" s="2" t="s">
        <v>42</v>
      </c>
      <c r="C1472" s="2">
        <v>20</v>
      </c>
      <c r="G1472" s="7" t="str">
        <f t="array" ref="G1472">IF(ROWS(K$20:K1472)&gt;$F$6,"",INDEX(A$2:A$10000,SMALL(IF(ISNUMBER(MATCH($B$2:$B$10000,$E$6:$E$22,0)),ROW($C$2:$C$10000)-ROW($C$2)+1),ROWS(K$20:K1472))))</f>
        <v/>
      </c>
      <c r="H1472" s="4" t="str">
        <f t="array" ref="H1472">IF(ROWS(L$20:L1472)&gt;$F$6,"",INDEX(B$2:B$10000,SMALL(IF(ISNUMBER(MATCH($B$2:$B$10000,$E$6:$E$22,0)),ROW($C$2:$C$10000)-ROW($C$2)+1),ROWS(L$20:L1472))))</f>
        <v/>
      </c>
      <c r="I1472" s="4" t="str">
        <f t="array" ref="I1472">IF(ROWS(M$20:M1472)&gt;$F$6,"",INDEX(C$2:C$10000,SMALL(IF(ISNUMBER(MATCH($B$2:$B$10000,$E$6:$E$22,0)),ROW($C$2:$C$10000)-ROW($C$2)+1),ROWS(M$20:M1472))))</f>
        <v/>
      </c>
      <c r="K1472" s="7" t="str">
        <f t="array" ref="K1472">IF(ROWS(K$20:K1472)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1472))))</f>
        <v/>
      </c>
      <c r="L1472" s="4" t="str">
        <f t="array" ref="L1472">IF(ROWS(L$20:L1472)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1472))))</f>
        <v/>
      </c>
      <c r="M1472" s="4" t="str">
        <f t="array" ref="M1472">IF(ROWS(M$20:M1472)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1472))))</f>
        <v/>
      </c>
    </row>
    <row r="1473" spans="1:13" x14ac:dyDescent="0.25">
      <c r="A1473" s="3">
        <v>41350</v>
      </c>
      <c r="B1473" s="2" t="s">
        <v>20</v>
      </c>
      <c r="C1473" s="2">
        <v>48</v>
      </c>
      <c r="G1473" s="7" t="str">
        <f t="array" ref="G1473">IF(ROWS(K$20:K1473)&gt;$F$6,"",INDEX(A$2:A$10000,SMALL(IF(ISNUMBER(MATCH($B$2:$B$10000,$E$6:$E$22,0)),ROW($C$2:$C$10000)-ROW($C$2)+1),ROWS(K$20:K1473))))</f>
        <v/>
      </c>
      <c r="H1473" s="4" t="str">
        <f t="array" ref="H1473">IF(ROWS(L$20:L1473)&gt;$F$6,"",INDEX(B$2:B$10000,SMALL(IF(ISNUMBER(MATCH($B$2:$B$10000,$E$6:$E$22,0)),ROW($C$2:$C$10000)-ROW($C$2)+1),ROWS(L$20:L1473))))</f>
        <v/>
      </c>
      <c r="I1473" s="4" t="str">
        <f t="array" ref="I1473">IF(ROWS(M$20:M1473)&gt;$F$6,"",INDEX(C$2:C$10000,SMALL(IF(ISNUMBER(MATCH($B$2:$B$10000,$E$6:$E$22,0)),ROW($C$2:$C$10000)-ROW($C$2)+1),ROWS(M$20:M1473))))</f>
        <v/>
      </c>
      <c r="K1473" s="7" t="str">
        <f t="array" ref="K1473">IF(ROWS(K$20:K1473)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1473))))</f>
        <v/>
      </c>
      <c r="L1473" s="4" t="str">
        <f t="array" ref="L1473">IF(ROWS(L$20:L1473)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1473))))</f>
        <v/>
      </c>
      <c r="M1473" s="4" t="str">
        <f t="array" ref="M1473">IF(ROWS(M$20:M1473)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1473))))</f>
        <v/>
      </c>
    </row>
    <row r="1474" spans="1:13" x14ac:dyDescent="0.25">
      <c r="A1474" s="3">
        <v>41937</v>
      </c>
      <c r="B1474" s="2" t="s">
        <v>43</v>
      </c>
      <c r="C1474" s="2">
        <v>34</v>
      </c>
      <c r="G1474" s="7" t="str">
        <f t="array" ref="G1474">IF(ROWS(K$20:K1474)&gt;$F$6,"",INDEX(A$2:A$10000,SMALL(IF(ISNUMBER(MATCH($B$2:$B$10000,$E$6:$E$22,0)),ROW($C$2:$C$10000)-ROW($C$2)+1),ROWS(K$20:K1474))))</f>
        <v/>
      </c>
      <c r="H1474" s="4" t="str">
        <f t="array" ref="H1474">IF(ROWS(L$20:L1474)&gt;$F$6,"",INDEX(B$2:B$10000,SMALL(IF(ISNUMBER(MATCH($B$2:$B$10000,$E$6:$E$22,0)),ROW($C$2:$C$10000)-ROW($C$2)+1),ROWS(L$20:L1474))))</f>
        <v/>
      </c>
      <c r="I1474" s="4" t="str">
        <f t="array" ref="I1474">IF(ROWS(M$20:M1474)&gt;$F$6,"",INDEX(C$2:C$10000,SMALL(IF(ISNUMBER(MATCH($B$2:$B$10000,$E$6:$E$22,0)),ROW($C$2:$C$10000)-ROW($C$2)+1),ROWS(M$20:M1474))))</f>
        <v/>
      </c>
      <c r="K1474" s="7" t="str">
        <f t="array" ref="K1474">IF(ROWS(K$20:K1474)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1474))))</f>
        <v/>
      </c>
      <c r="L1474" s="4" t="str">
        <f t="array" ref="L1474">IF(ROWS(L$20:L1474)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1474))))</f>
        <v/>
      </c>
      <c r="M1474" s="4" t="str">
        <f t="array" ref="M1474">IF(ROWS(M$20:M1474)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1474))))</f>
        <v/>
      </c>
    </row>
    <row r="1475" spans="1:13" x14ac:dyDescent="0.25">
      <c r="A1475" s="3">
        <v>41346</v>
      </c>
      <c r="B1475" s="2" t="s">
        <v>41</v>
      </c>
      <c r="C1475" s="2">
        <v>4</v>
      </c>
      <c r="G1475" s="7" t="str">
        <f t="array" ref="G1475">IF(ROWS(K$20:K1475)&gt;$F$6,"",INDEX(A$2:A$10000,SMALL(IF(ISNUMBER(MATCH($B$2:$B$10000,$E$6:$E$22,0)),ROW($C$2:$C$10000)-ROW($C$2)+1),ROWS(K$20:K1475))))</f>
        <v/>
      </c>
      <c r="H1475" s="4" t="str">
        <f t="array" ref="H1475">IF(ROWS(L$20:L1475)&gt;$F$6,"",INDEX(B$2:B$10000,SMALL(IF(ISNUMBER(MATCH($B$2:$B$10000,$E$6:$E$22,0)),ROW($C$2:$C$10000)-ROW($C$2)+1),ROWS(L$20:L1475))))</f>
        <v/>
      </c>
      <c r="I1475" s="4" t="str">
        <f t="array" ref="I1475">IF(ROWS(M$20:M1475)&gt;$F$6,"",INDEX(C$2:C$10000,SMALL(IF(ISNUMBER(MATCH($B$2:$B$10000,$E$6:$E$22,0)),ROW($C$2:$C$10000)-ROW($C$2)+1),ROWS(M$20:M1475))))</f>
        <v/>
      </c>
      <c r="K1475" s="7" t="str">
        <f t="array" ref="K1475">IF(ROWS(K$20:K1475)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1475))))</f>
        <v/>
      </c>
      <c r="L1475" s="4" t="str">
        <f t="array" ref="L1475">IF(ROWS(L$20:L1475)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1475))))</f>
        <v/>
      </c>
      <c r="M1475" s="4" t="str">
        <f t="array" ref="M1475">IF(ROWS(M$20:M1475)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1475))))</f>
        <v/>
      </c>
    </row>
    <row r="1476" spans="1:13" x14ac:dyDescent="0.25">
      <c r="A1476" s="3">
        <v>41756</v>
      </c>
      <c r="B1476" s="2" t="s">
        <v>43</v>
      </c>
      <c r="C1476" s="2">
        <v>39</v>
      </c>
      <c r="G1476" s="7" t="str">
        <f t="array" ref="G1476">IF(ROWS(K$20:K1476)&gt;$F$6,"",INDEX(A$2:A$10000,SMALL(IF(ISNUMBER(MATCH($B$2:$B$10000,$E$6:$E$22,0)),ROW($C$2:$C$10000)-ROW($C$2)+1),ROWS(K$20:K1476))))</f>
        <v/>
      </c>
      <c r="H1476" s="4" t="str">
        <f t="array" ref="H1476">IF(ROWS(L$20:L1476)&gt;$F$6,"",INDEX(B$2:B$10000,SMALL(IF(ISNUMBER(MATCH($B$2:$B$10000,$E$6:$E$22,0)),ROW($C$2:$C$10000)-ROW($C$2)+1),ROWS(L$20:L1476))))</f>
        <v/>
      </c>
      <c r="I1476" s="4" t="str">
        <f t="array" ref="I1476">IF(ROWS(M$20:M1476)&gt;$F$6,"",INDEX(C$2:C$10000,SMALL(IF(ISNUMBER(MATCH($B$2:$B$10000,$E$6:$E$22,0)),ROW($C$2:$C$10000)-ROW($C$2)+1),ROWS(M$20:M1476))))</f>
        <v/>
      </c>
      <c r="K1476" s="7" t="str">
        <f t="array" ref="K1476">IF(ROWS(K$20:K1476)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1476))))</f>
        <v/>
      </c>
      <c r="L1476" s="4" t="str">
        <f t="array" ref="L1476">IF(ROWS(L$20:L1476)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1476))))</f>
        <v/>
      </c>
      <c r="M1476" s="4" t="str">
        <f t="array" ref="M1476">IF(ROWS(M$20:M1476)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1476))))</f>
        <v/>
      </c>
    </row>
    <row r="1477" spans="1:13" x14ac:dyDescent="0.25">
      <c r="A1477" s="3">
        <v>41844</v>
      </c>
      <c r="B1477" s="2" t="s">
        <v>46</v>
      </c>
      <c r="C1477" s="2">
        <v>9</v>
      </c>
      <c r="G1477" s="7" t="str">
        <f t="array" ref="G1477">IF(ROWS(K$20:K1477)&gt;$F$6,"",INDEX(A$2:A$10000,SMALL(IF(ISNUMBER(MATCH($B$2:$B$10000,$E$6:$E$22,0)),ROW($C$2:$C$10000)-ROW($C$2)+1),ROWS(K$20:K1477))))</f>
        <v/>
      </c>
      <c r="H1477" s="4" t="str">
        <f t="array" ref="H1477">IF(ROWS(L$20:L1477)&gt;$F$6,"",INDEX(B$2:B$10000,SMALL(IF(ISNUMBER(MATCH($B$2:$B$10000,$E$6:$E$22,0)),ROW($C$2:$C$10000)-ROW($C$2)+1),ROWS(L$20:L1477))))</f>
        <v/>
      </c>
      <c r="I1477" s="4" t="str">
        <f t="array" ref="I1477">IF(ROWS(M$20:M1477)&gt;$F$6,"",INDEX(C$2:C$10000,SMALL(IF(ISNUMBER(MATCH($B$2:$B$10000,$E$6:$E$22,0)),ROW($C$2:$C$10000)-ROW($C$2)+1),ROWS(M$20:M1477))))</f>
        <v/>
      </c>
      <c r="K1477" s="7" t="str">
        <f t="array" ref="K1477">IF(ROWS(K$20:K1477)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1477))))</f>
        <v/>
      </c>
      <c r="L1477" s="4" t="str">
        <f t="array" ref="L1477">IF(ROWS(L$20:L1477)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1477))))</f>
        <v/>
      </c>
      <c r="M1477" s="4" t="str">
        <f t="array" ref="M1477">IF(ROWS(M$20:M1477)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1477))))</f>
        <v/>
      </c>
    </row>
    <row r="1478" spans="1:13" x14ac:dyDescent="0.25">
      <c r="A1478" s="3">
        <v>41571</v>
      </c>
      <c r="B1478" s="2" t="s">
        <v>12</v>
      </c>
      <c r="C1478" s="2">
        <v>45</v>
      </c>
      <c r="G1478" s="7" t="str">
        <f t="array" ref="G1478">IF(ROWS(K$20:K1478)&gt;$F$6,"",INDEX(A$2:A$10000,SMALL(IF(ISNUMBER(MATCH($B$2:$B$10000,$E$6:$E$22,0)),ROW($C$2:$C$10000)-ROW($C$2)+1),ROWS(K$20:K1478))))</f>
        <v/>
      </c>
      <c r="H1478" s="4" t="str">
        <f t="array" ref="H1478">IF(ROWS(L$20:L1478)&gt;$F$6,"",INDEX(B$2:B$10000,SMALL(IF(ISNUMBER(MATCH($B$2:$B$10000,$E$6:$E$22,0)),ROW($C$2:$C$10000)-ROW($C$2)+1),ROWS(L$20:L1478))))</f>
        <v/>
      </c>
      <c r="I1478" s="4" t="str">
        <f t="array" ref="I1478">IF(ROWS(M$20:M1478)&gt;$F$6,"",INDEX(C$2:C$10000,SMALL(IF(ISNUMBER(MATCH($B$2:$B$10000,$E$6:$E$22,0)),ROW($C$2:$C$10000)-ROW($C$2)+1),ROWS(M$20:M1478))))</f>
        <v/>
      </c>
      <c r="K1478" s="7" t="str">
        <f t="array" ref="K1478">IF(ROWS(K$20:K1478)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1478))))</f>
        <v/>
      </c>
      <c r="L1478" s="4" t="str">
        <f t="array" ref="L1478">IF(ROWS(L$20:L1478)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1478))))</f>
        <v/>
      </c>
      <c r="M1478" s="4" t="str">
        <f t="array" ref="M1478">IF(ROWS(M$20:M1478)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1478))))</f>
        <v/>
      </c>
    </row>
    <row r="1479" spans="1:13" x14ac:dyDescent="0.25">
      <c r="A1479" s="3">
        <v>41820</v>
      </c>
      <c r="B1479" s="2" t="s">
        <v>34</v>
      </c>
      <c r="C1479" s="2">
        <v>2</v>
      </c>
      <c r="G1479" s="7" t="str">
        <f t="array" ref="G1479">IF(ROWS(K$20:K1479)&gt;$F$6,"",INDEX(A$2:A$10000,SMALL(IF(ISNUMBER(MATCH($B$2:$B$10000,$E$6:$E$22,0)),ROW($C$2:$C$10000)-ROW($C$2)+1),ROWS(K$20:K1479))))</f>
        <v/>
      </c>
      <c r="H1479" s="4" t="str">
        <f t="array" ref="H1479">IF(ROWS(L$20:L1479)&gt;$F$6,"",INDEX(B$2:B$10000,SMALL(IF(ISNUMBER(MATCH($B$2:$B$10000,$E$6:$E$22,0)),ROW($C$2:$C$10000)-ROW($C$2)+1),ROWS(L$20:L1479))))</f>
        <v/>
      </c>
      <c r="I1479" s="4" t="str">
        <f t="array" ref="I1479">IF(ROWS(M$20:M1479)&gt;$F$6,"",INDEX(C$2:C$10000,SMALL(IF(ISNUMBER(MATCH($B$2:$B$10000,$E$6:$E$22,0)),ROW($C$2:$C$10000)-ROW($C$2)+1),ROWS(M$20:M1479))))</f>
        <v/>
      </c>
      <c r="K1479" s="7" t="str">
        <f t="array" ref="K1479">IF(ROWS(K$20:K1479)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1479))))</f>
        <v/>
      </c>
      <c r="L1479" s="4" t="str">
        <f t="array" ref="L1479">IF(ROWS(L$20:L1479)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1479))))</f>
        <v/>
      </c>
      <c r="M1479" s="4" t="str">
        <f t="array" ref="M1479">IF(ROWS(M$20:M1479)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1479))))</f>
        <v/>
      </c>
    </row>
    <row r="1480" spans="1:13" x14ac:dyDescent="0.25">
      <c r="A1480" s="3">
        <v>41398</v>
      </c>
      <c r="B1480" s="2" t="s">
        <v>36</v>
      </c>
      <c r="C1480" s="2">
        <v>6</v>
      </c>
      <c r="G1480" s="7" t="str">
        <f t="array" ref="G1480">IF(ROWS(K$20:K1480)&gt;$F$6,"",INDEX(A$2:A$10000,SMALL(IF(ISNUMBER(MATCH($B$2:$B$10000,$E$6:$E$22,0)),ROW($C$2:$C$10000)-ROW($C$2)+1),ROWS(K$20:K1480))))</f>
        <v/>
      </c>
      <c r="H1480" s="4" t="str">
        <f t="array" ref="H1480">IF(ROWS(L$20:L1480)&gt;$F$6,"",INDEX(B$2:B$10000,SMALL(IF(ISNUMBER(MATCH($B$2:$B$10000,$E$6:$E$22,0)),ROW($C$2:$C$10000)-ROW($C$2)+1),ROWS(L$20:L1480))))</f>
        <v/>
      </c>
      <c r="I1480" s="4" t="str">
        <f t="array" ref="I1480">IF(ROWS(M$20:M1480)&gt;$F$6,"",INDEX(C$2:C$10000,SMALL(IF(ISNUMBER(MATCH($B$2:$B$10000,$E$6:$E$22,0)),ROW($C$2:$C$10000)-ROW($C$2)+1),ROWS(M$20:M1480))))</f>
        <v/>
      </c>
      <c r="K1480" s="7" t="str">
        <f t="array" ref="K1480">IF(ROWS(K$20:K1480)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1480))))</f>
        <v/>
      </c>
      <c r="L1480" s="4" t="str">
        <f t="array" ref="L1480">IF(ROWS(L$20:L1480)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1480))))</f>
        <v/>
      </c>
      <c r="M1480" s="4" t="str">
        <f t="array" ref="M1480">IF(ROWS(M$20:M1480)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1480))))</f>
        <v/>
      </c>
    </row>
    <row r="1481" spans="1:13" x14ac:dyDescent="0.25">
      <c r="A1481" s="3">
        <v>41329</v>
      </c>
      <c r="B1481" s="2" t="s">
        <v>46</v>
      </c>
      <c r="C1481" s="2">
        <v>42</v>
      </c>
      <c r="G1481" s="7" t="str">
        <f t="array" ref="G1481">IF(ROWS(K$20:K1481)&gt;$F$6,"",INDEX(A$2:A$10000,SMALL(IF(ISNUMBER(MATCH($B$2:$B$10000,$E$6:$E$22,0)),ROW($C$2:$C$10000)-ROW($C$2)+1),ROWS(K$20:K1481))))</f>
        <v/>
      </c>
      <c r="H1481" s="4" t="str">
        <f t="array" ref="H1481">IF(ROWS(L$20:L1481)&gt;$F$6,"",INDEX(B$2:B$10000,SMALL(IF(ISNUMBER(MATCH($B$2:$B$10000,$E$6:$E$22,0)),ROW($C$2:$C$10000)-ROW($C$2)+1),ROWS(L$20:L1481))))</f>
        <v/>
      </c>
      <c r="I1481" s="4" t="str">
        <f t="array" ref="I1481">IF(ROWS(M$20:M1481)&gt;$F$6,"",INDEX(C$2:C$10000,SMALL(IF(ISNUMBER(MATCH($B$2:$B$10000,$E$6:$E$22,0)),ROW($C$2:$C$10000)-ROW($C$2)+1),ROWS(M$20:M1481))))</f>
        <v/>
      </c>
      <c r="K1481" s="7" t="str">
        <f t="array" ref="K1481">IF(ROWS(K$20:K1481)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1481))))</f>
        <v/>
      </c>
      <c r="L1481" s="4" t="str">
        <f t="array" ref="L1481">IF(ROWS(L$20:L1481)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1481))))</f>
        <v/>
      </c>
      <c r="M1481" s="4" t="str">
        <f t="array" ref="M1481">IF(ROWS(M$20:M1481)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1481))))</f>
        <v/>
      </c>
    </row>
    <row r="1482" spans="1:13" x14ac:dyDescent="0.25">
      <c r="A1482" s="3">
        <v>41321</v>
      </c>
      <c r="B1482" s="2" t="s">
        <v>24</v>
      </c>
      <c r="C1482" s="2">
        <v>37</v>
      </c>
      <c r="G1482" s="7" t="str">
        <f t="array" ref="G1482">IF(ROWS(K$20:K1482)&gt;$F$6,"",INDEX(A$2:A$10000,SMALL(IF(ISNUMBER(MATCH($B$2:$B$10000,$E$6:$E$22,0)),ROW($C$2:$C$10000)-ROW($C$2)+1),ROWS(K$20:K1482))))</f>
        <v/>
      </c>
      <c r="H1482" s="4" t="str">
        <f t="array" ref="H1482">IF(ROWS(L$20:L1482)&gt;$F$6,"",INDEX(B$2:B$10000,SMALL(IF(ISNUMBER(MATCH($B$2:$B$10000,$E$6:$E$22,0)),ROW($C$2:$C$10000)-ROW($C$2)+1),ROWS(L$20:L1482))))</f>
        <v/>
      </c>
      <c r="I1482" s="4" t="str">
        <f t="array" ref="I1482">IF(ROWS(M$20:M1482)&gt;$F$6,"",INDEX(C$2:C$10000,SMALL(IF(ISNUMBER(MATCH($B$2:$B$10000,$E$6:$E$22,0)),ROW($C$2:$C$10000)-ROW($C$2)+1),ROWS(M$20:M1482))))</f>
        <v/>
      </c>
      <c r="K1482" s="7" t="str">
        <f t="array" ref="K1482">IF(ROWS(K$20:K1482)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1482))))</f>
        <v/>
      </c>
      <c r="L1482" s="4" t="str">
        <f t="array" ref="L1482">IF(ROWS(L$20:L1482)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1482))))</f>
        <v/>
      </c>
      <c r="M1482" s="4" t="str">
        <f t="array" ref="M1482">IF(ROWS(M$20:M1482)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1482))))</f>
        <v/>
      </c>
    </row>
    <row r="1483" spans="1:13" x14ac:dyDescent="0.25">
      <c r="A1483" s="3">
        <v>41416</v>
      </c>
      <c r="B1483" s="2" t="s">
        <v>10</v>
      </c>
      <c r="C1483" s="2">
        <v>24</v>
      </c>
      <c r="G1483" s="7" t="str">
        <f t="array" ref="G1483">IF(ROWS(K$20:K1483)&gt;$F$6,"",INDEX(A$2:A$10000,SMALL(IF(ISNUMBER(MATCH($B$2:$B$10000,$E$6:$E$22,0)),ROW($C$2:$C$10000)-ROW($C$2)+1),ROWS(K$20:K1483))))</f>
        <v/>
      </c>
      <c r="H1483" s="4" t="str">
        <f t="array" ref="H1483">IF(ROWS(L$20:L1483)&gt;$F$6,"",INDEX(B$2:B$10000,SMALL(IF(ISNUMBER(MATCH($B$2:$B$10000,$E$6:$E$22,0)),ROW($C$2:$C$10000)-ROW($C$2)+1),ROWS(L$20:L1483))))</f>
        <v/>
      </c>
      <c r="I1483" s="4" t="str">
        <f t="array" ref="I1483">IF(ROWS(M$20:M1483)&gt;$F$6,"",INDEX(C$2:C$10000,SMALL(IF(ISNUMBER(MATCH($B$2:$B$10000,$E$6:$E$22,0)),ROW($C$2:$C$10000)-ROW($C$2)+1),ROWS(M$20:M1483))))</f>
        <v/>
      </c>
      <c r="K1483" s="7" t="str">
        <f t="array" ref="K1483">IF(ROWS(K$20:K1483)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1483))))</f>
        <v/>
      </c>
      <c r="L1483" s="4" t="str">
        <f t="array" ref="L1483">IF(ROWS(L$20:L1483)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1483))))</f>
        <v/>
      </c>
      <c r="M1483" s="4" t="str">
        <f t="array" ref="M1483">IF(ROWS(M$20:M1483)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1483))))</f>
        <v/>
      </c>
    </row>
    <row r="1484" spans="1:13" x14ac:dyDescent="0.25">
      <c r="A1484" s="3">
        <v>41514</v>
      </c>
      <c r="B1484" s="2" t="s">
        <v>23</v>
      </c>
      <c r="C1484" s="2">
        <v>30</v>
      </c>
      <c r="G1484" s="7" t="str">
        <f t="array" ref="G1484">IF(ROWS(K$20:K1484)&gt;$F$6,"",INDEX(A$2:A$10000,SMALL(IF(ISNUMBER(MATCH($B$2:$B$10000,$E$6:$E$22,0)),ROW($C$2:$C$10000)-ROW($C$2)+1),ROWS(K$20:K1484))))</f>
        <v/>
      </c>
      <c r="H1484" s="4" t="str">
        <f t="array" ref="H1484">IF(ROWS(L$20:L1484)&gt;$F$6,"",INDEX(B$2:B$10000,SMALL(IF(ISNUMBER(MATCH($B$2:$B$10000,$E$6:$E$22,0)),ROW($C$2:$C$10000)-ROW($C$2)+1),ROWS(L$20:L1484))))</f>
        <v/>
      </c>
      <c r="I1484" s="4" t="str">
        <f t="array" ref="I1484">IF(ROWS(M$20:M1484)&gt;$F$6,"",INDEX(C$2:C$10000,SMALL(IF(ISNUMBER(MATCH($B$2:$B$10000,$E$6:$E$22,0)),ROW($C$2:$C$10000)-ROW($C$2)+1),ROWS(M$20:M1484))))</f>
        <v/>
      </c>
      <c r="K1484" s="7" t="str">
        <f t="array" ref="K1484">IF(ROWS(K$20:K1484)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1484))))</f>
        <v/>
      </c>
      <c r="L1484" s="4" t="str">
        <f t="array" ref="L1484">IF(ROWS(L$20:L1484)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1484))))</f>
        <v/>
      </c>
      <c r="M1484" s="4" t="str">
        <f t="array" ref="M1484">IF(ROWS(M$20:M1484)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1484))))</f>
        <v/>
      </c>
    </row>
    <row r="1485" spans="1:13" x14ac:dyDescent="0.25">
      <c r="A1485" s="3">
        <v>41589</v>
      </c>
      <c r="B1485" s="2" t="s">
        <v>50</v>
      </c>
      <c r="C1485" s="2">
        <v>40</v>
      </c>
      <c r="G1485" s="7" t="str">
        <f t="array" ref="G1485">IF(ROWS(K$20:K1485)&gt;$F$6,"",INDEX(A$2:A$10000,SMALL(IF(ISNUMBER(MATCH($B$2:$B$10000,$E$6:$E$22,0)),ROW($C$2:$C$10000)-ROW($C$2)+1),ROWS(K$20:K1485))))</f>
        <v/>
      </c>
      <c r="H1485" s="4" t="str">
        <f t="array" ref="H1485">IF(ROWS(L$20:L1485)&gt;$F$6,"",INDEX(B$2:B$10000,SMALL(IF(ISNUMBER(MATCH($B$2:$B$10000,$E$6:$E$22,0)),ROW($C$2:$C$10000)-ROW($C$2)+1),ROWS(L$20:L1485))))</f>
        <v/>
      </c>
      <c r="I1485" s="4" t="str">
        <f t="array" ref="I1485">IF(ROWS(M$20:M1485)&gt;$F$6,"",INDEX(C$2:C$10000,SMALL(IF(ISNUMBER(MATCH($B$2:$B$10000,$E$6:$E$22,0)),ROW($C$2:$C$10000)-ROW($C$2)+1),ROWS(M$20:M1485))))</f>
        <v/>
      </c>
      <c r="K1485" s="7" t="str">
        <f t="array" ref="K1485">IF(ROWS(K$20:K1485)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1485))))</f>
        <v/>
      </c>
      <c r="L1485" s="4" t="str">
        <f t="array" ref="L1485">IF(ROWS(L$20:L1485)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1485))))</f>
        <v/>
      </c>
      <c r="M1485" s="4" t="str">
        <f t="array" ref="M1485">IF(ROWS(M$20:M1485)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1485))))</f>
        <v/>
      </c>
    </row>
    <row r="1486" spans="1:13" x14ac:dyDescent="0.25">
      <c r="A1486" s="3">
        <v>41822</v>
      </c>
      <c r="B1486" s="2" t="s">
        <v>51</v>
      </c>
      <c r="C1486" s="2">
        <v>17</v>
      </c>
      <c r="G1486" s="7" t="str">
        <f t="array" ref="G1486">IF(ROWS(K$20:K1486)&gt;$F$6,"",INDEX(A$2:A$10000,SMALL(IF(ISNUMBER(MATCH($B$2:$B$10000,$E$6:$E$22,0)),ROW($C$2:$C$10000)-ROW($C$2)+1),ROWS(K$20:K1486))))</f>
        <v/>
      </c>
      <c r="H1486" s="4" t="str">
        <f t="array" ref="H1486">IF(ROWS(L$20:L1486)&gt;$F$6,"",INDEX(B$2:B$10000,SMALL(IF(ISNUMBER(MATCH($B$2:$B$10000,$E$6:$E$22,0)),ROW($C$2:$C$10000)-ROW($C$2)+1),ROWS(L$20:L1486))))</f>
        <v/>
      </c>
      <c r="I1486" s="4" t="str">
        <f t="array" ref="I1486">IF(ROWS(M$20:M1486)&gt;$F$6,"",INDEX(C$2:C$10000,SMALL(IF(ISNUMBER(MATCH($B$2:$B$10000,$E$6:$E$22,0)),ROW($C$2:$C$10000)-ROW($C$2)+1),ROWS(M$20:M1486))))</f>
        <v/>
      </c>
      <c r="K1486" s="7" t="str">
        <f t="array" ref="K1486">IF(ROWS(K$20:K1486)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1486))))</f>
        <v/>
      </c>
      <c r="L1486" s="4" t="str">
        <f t="array" ref="L1486">IF(ROWS(L$20:L1486)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1486))))</f>
        <v/>
      </c>
      <c r="M1486" s="4" t="str">
        <f t="array" ref="M1486">IF(ROWS(M$20:M1486)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1486))))</f>
        <v/>
      </c>
    </row>
    <row r="1487" spans="1:13" x14ac:dyDescent="0.25">
      <c r="A1487" s="3">
        <v>41522</v>
      </c>
      <c r="B1487" s="2" t="s">
        <v>31</v>
      </c>
      <c r="C1487" s="2">
        <v>4</v>
      </c>
      <c r="G1487" s="7" t="str">
        <f t="array" ref="G1487">IF(ROWS(K$20:K1487)&gt;$F$6,"",INDEX(A$2:A$10000,SMALL(IF(ISNUMBER(MATCH($B$2:$B$10000,$E$6:$E$22,0)),ROW($C$2:$C$10000)-ROW($C$2)+1),ROWS(K$20:K1487))))</f>
        <v/>
      </c>
      <c r="H1487" s="4" t="str">
        <f t="array" ref="H1487">IF(ROWS(L$20:L1487)&gt;$F$6,"",INDEX(B$2:B$10000,SMALL(IF(ISNUMBER(MATCH($B$2:$B$10000,$E$6:$E$22,0)),ROW($C$2:$C$10000)-ROW($C$2)+1),ROWS(L$20:L1487))))</f>
        <v/>
      </c>
      <c r="I1487" s="4" t="str">
        <f t="array" ref="I1487">IF(ROWS(M$20:M1487)&gt;$F$6,"",INDEX(C$2:C$10000,SMALL(IF(ISNUMBER(MATCH($B$2:$B$10000,$E$6:$E$22,0)),ROW($C$2:$C$10000)-ROW($C$2)+1),ROWS(M$20:M1487))))</f>
        <v/>
      </c>
      <c r="K1487" s="7" t="str">
        <f t="array" ref="K1487">IF(ROWS(K$20:K1487)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1487))))</f>
        <v/>
      </c>
      <c r="L1487" s="4" t="str">
        <f t="array" ref="L1487">IF(ROWS(L$20:L1487)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1487))))</f>
        <v/>
      </c>
      <c r="M1487" s="4" t="str">
        <f t="array" ref="M1487">IF(ROWS(M$20:M1487)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1487))))</f>
        <v/>
      </c>
    </row>
    <row r="1488" spans="1:13" x14ac:dyDescent="0.25">
      <c r="A1488" s="3">
        <v>41580</v>
      </c>
      <c r="B1488" s="2" t="s">
        <v>2</v>
      </c>
      <c r="C1488" s="2">
        <v>21</v>
      </c>
      <c r="G1488" s="7" t="str">
        <f t="array" ref="G1488">IF(ROWS(K$20:K1488)&gt;$F$6,"",INDEX(A$2:A$10000,SMALL(IF(ISNUMBER(MATCH($B$2:$B$10000,$E$6:$E$22,0)),ROW($C$2:$C$10000)-ROW($C$2)+1),ROWS(K$20:K1488))))</f>
        <v/>
      </c>
      <c r="H1488" s="4" t="str">
        <f t="array" ref="H1488">IF(ROWS(L$20:L1488)&gt;$F$6,"",INDEX(B$2:B$10000,SMALL(IF(ISNUMBER(MATCH($B$2:$B$10000,$E$6:$E$22,0)),ROW($C$2:$C$10000)-ROW($C$2)+1),ROWS(L$20:L1488))))</f>
        <v/>
      </c>
      <c r="I1488" s="4" t="str">
        <f t="array" ref="I1488">IF(ROWS(M$20:M1488)&gt;$F$6,"",INDEX(C$2:C$10000,SMALL(IF(ISNUMBER(MATCH($B$2:$B$10000,$E$6:$E$22,0)),ROW($C$2:$C$10000)-ROW($C$2)+1),ROWS(M$20:M1488))))</f>
        <v/>
      </c>
      <c r="K1488" s="7" t="str">
        <f t="array" ref="K1488">IF(ROWS(K$20:K1488)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1488))))</f>
        <v/>
      </c>
      <c r="L1488" s="4" t="str">
        <f t="array" ref="L1488">IF(ROWS(L$20:L1488)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1488))))</f>
        <v/>
      </c>
      <c r="M1488" s="4" t="str">
        <f t="array" ref="M1488">IF(ROWS(M$20:M1488)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1488))))</f>
        <v/>
      </c>
    </row>
    <row r="1489" spans="1:13" x14ac:dyDescent="0.25">
      <c r="A1489" s="3">
        <v>41360</v>
      </c>
      <c r="B1489" s="2" t="s">
        <v>42</v>
      </c>
      <c r="C1489" s="2">
        <v>20</v>
      </c>
      <c r="G1489" s="7" t="str">
        <f t="array" ref="G1489">IF(ROWS(K$20:K1489)&gt;$F$6,"",INDEX(A$2:A$10000,SMALL(IF(ISNUMBER(MATCH($B$2:$B$10000,$E$6:$E$22,0)),ROW($C$2:$C$10000)-ROW($C$2)+1),ROWS(K$20:K1489))))</f>
        <v/>
      </c>
      <c r="H1489" s="4" t="str">
        <f t="array" ref="H1489">IF(ROWS(L$20:L1489)&gt;$F$6,"",INDEX(B$2:B$10000,SMALL(IF(ISNUMBER(MATCH($B$2:$B$10000,$E$6:$E$22,0)),ROW($C$2:$C$10000)-ROW($C$2)+1),ROWS(L$20:L1489))))</f>
        <v/>
      </c>
      <c r="I1489" s="4" t="str">
        <f t="array" ref="I1489">IF(ROWS(M$20:M1489)&gt;$F$6,"",INDEX(C$2:C$10000,SMALL(IF(ISNUMBER(MATCH($B$2:$B$10000,$E$6:$E$22,0)),ROW($C$2:$C$10000)-ROW($C$2)+1),ROWS(M$20:M1489))))</f>
        <v/>
      </c>
      <c r="K1489" s="7" t="str">
        <f t="array" ref="K1489">IF(ROWS(K$20:K1489)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1489))))</f>
        <v/>
      </c>
      <c r="L1489" s="4" t="str">
        <f t="array" ref="L1489">IF(ROWS(L$20:L1489)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1489))))</f>
        <v/>
      </c>
      <c r="M1489" s="4" t="str">
        <f t="array" ref="M1489">IF(ROWS(M$20:M1489)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1489))))</f>
        <v/>
      </c>
    </row>
    <row r="1490" spans="1:13" x14ac:dyDescent="0.25">
      <c r="A1490" s="3">
        <v>41954</v>
      </c>
      <c r="B1490" s="2" t="s">
        <v>50</v>
      </c>
      <c r="C1490" s="2">
        <v>29</v>
      </c>
      <c r="G1490" s="7" t="str">
        <f t="array" ref="G1490">IF(ROWS(K$20:K1490)&gt;$F$6,"",INDEX(A$2:A$10000,SMALL(IF(ISNUMBER(MATCH($B$2:$B$10000,$E$6:$E$22,0)),ROW($C$2:$C$10000)-ROW($C$2)+1),ROWS(K$20:K1490))))</f>
        <v/>
      </c>
      <c r="H1490" s="4" t="str">
        <f t="array" ref="H1490">IF(ROWS(L$20:L1490)&gt;$F$6,"",INDEX(B$2:B$10000,SMALL(IF(ISNUMBER(MATCH($B$2:$B$10000,$E$6:$E$22,0)),ROW($C$2:$C$10000)-ROW($C$2)+1),ROWS(L$20:L1490))))</f>
        <v/>
      </c>
      <c r="I1490" s="4" t="str">
        <f t="array" ref="I1490">IF(ROWS(M$20:M1490)&gt;$F$6,"",INDEX(C$2:C$10000,SMALL(IF(ISNUMBER(MATCH($B$2:$B$10000,$E$6:$E$22,0)),ROW($C$2:$C$10000)-ROW($C$2)+1),ROWS(M$20:M1490))))</f>
        <v/>
      </c>
      <c r="K1490" s="7" t="str">
        <f t="array" ref="K1490">IF(ROWS(K$20:K1490)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1490))))</f>
        <v/>
      </c>
      <c r="L1490" s="4" t="str">
        <f t="array" ref="L1490">IF(ROWS(L$20:L1490)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1490))))</f>
        <v/>
      </c>
      <c r="M1490" s="4" t="str">
        <f t="array" ref="M1490">IF(ROWS(M$20:M1490)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1490))))</f>
        <v/>
      </c>
    </row>
    <row r="1491" spans="1:13" x14ac:dyDescent="0.25">
      <c r="A1491" s="3">
        <v>41746</v>
      </c>
      <c r="B1491" s="2" t="s">
        <v>49</v>
      </c>
      <c r="C1491" s="2">
        <v>21</v>
      </c>
      <c r="G1491" s="7" t="str">
        <f t="array" ref="G1491">IF(ROWS(K$20:K1491)&gt;$F$6,"",INDEX(A$2:A$10000,SMALL(IF(ISNUMBER(MATCH($B$2:$B$10000,$E$6:$E$22,0)),ROW($C$2:$C$10000)-ROW($C$2)+1),ROWS(K$20:K1491))))</f>
        <v/>
      </c>
      <c r="H1491" s="4" t="str">
        <f t="array" ref="H1491">IF(ROWS(L$20:L1491)&gt;$F$6,"",INDEX(B$2:B$10000,SMALL(IF(ISNUMBER(MATCH($B$2:$B$10000,$E$6:$E$22,0)),ROW($C$2:$C$10000)-ROW($C$2)+1),ROWS(L$20:L1491))))</f>
        <v/>
      </c>
      <c r="I1491" s="4" t="str">
        <f t="array" ref="I1491">IF(ROWS(M$20:M1491)&gt;$F$6,"",INDEX(C$2:C$10000,SMALL(IF(ISNUMBER(MATCH($B$2:$B$10000,$E$6:$E$22,0)),ROW($C$2:$C$10000)-ROW($C$2)+1),ROWS(M$20:M1491))))</f>
        <v/>
      </c>
      <c r="K1491" s="7" t="str">
        <f t="array" ref="K1491">IF(ROWS(K$20:K1491)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1491))))</f>
        <v/>
      </c>
      <c r="L1491" s="4" t="str">
        <f t="array" ref="L1491">IF(ROWS(L$20:L1491)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1491))))</f>
        <v/>
      </c>
      <c r="M1491" s="4" t="str">
        <f t="array" ref="M1491">IF(ROWS(M$20:M1491)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1491))))</f>
        <v/>
      </c>
    </row>
    <row r="1492" spans="1:13" x14ac:dyDescent="0.25">
      <c r="A1492" s="3">
        <v>41339</v>
      </c>
      <c r="B1492" s="2" t="s">
        <v>3</v>
      </c>
      <c r="C1492" s="2">
        <v>42</v>
      </c>
      <c r="G1492" s="7" t="str">
        <f t="array" ref="G1492">IF(ROWS(K$20:K1492)&gt;$F$6,"",INDEX(A$2:A$10000,SMALL(IF(ISNUMBER(MATCH($B$2:$B$10000,$E$6:$E$22,0)),ROW($C$2:$C$10000)-ROW($C$2)+1),ROWS(K$20:K1492))))</f>
        <v/>
      </c>
      <c r="H1492" s="4" t="str">
        <f t="array" ref="H1492">IF(ROWS(L$20:L1492)&gt;$F$6,"",INDEX(B$2:B$10000,SMALL(IF(ISNUMBER(MATCH($B$2:$B$10000,$E$6:$E$22,0)),ROW($C$2:$C$10000)-ROW($C$2)+1),ROWS(L$20:L1492))))</f>
        <v/>
      </c>
      <c r="I1492" s="4" t="str">
        <f t="array" ref="I1492">IF(ROWS(M$20:M1492)&gt;$F$6,"",INDEX(C$2:C$10000,SMALL(IF(ISNUMBER(MATCH($B$2:$B$10000,$E$6:$E$22,0)),ROW($C$2:$C$10000)-ROW($C$2)+1),ROWS(M$20:M1492))))</f>
        <v/>
      </c>
      <c r="K1492" s="7" t="str">
        <f t="array" ref="K1492">IF(ROWS(K$20:K1492)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1492))))</f>
        <v/>
      </c>
      <c r="L1492" s="4" t="str">
        <f t="array" ref="L1492">IF(ROWS(L$20:L1492)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1492))))</f>
        <v/>
      </c>
      <c r="M1492" s="4" t="str">
        <f t="array" ref="M1492">IF(ROWS(M$20:M1492)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1492))))</f>
        <v/>
      </c>
    </row>
    <row r="1493" spans="1:13" x14ac:dyDescent="0.25">
      <c r="A1493" s="3">
        <v>41522</v>
      </c>
      <c r="B1493" s="2" t="s">
        <v>3</v>
      </c>
      <c r="C1493" s="2">
        <v>47</v>
      </c>
      <c r="G1493" s="7" t="str">
        <f t="array" ref="G1493">IF(ROWS(K$20:K1493)&gt;$F$6,"",INDEX(A$2:A$10000,SMALL(IF(ISNUMBER(MATCH($B$2:$B$10000,$E$6:$E$22,0)),ROW($C$2:$C$10000)-ROW($C$2)+1),ROWS(K$20:K1493))))</f>
        <v/>
      </c>
      <c r="H1493" s="4" t="str">
        <f t="array" ref="H1493">IF(ROWS(L$20:L1493)&gt;$F$6,"",INDEX(B$2:B$10000,SMALL(IF(ISNUMBER(MATCH($B$2:$B$10000,$E$6:$E$22,0)),ROW($C$2:$C$10000)-ROW($C$2)+1),ROWS(L$20:L1493))))</f>
        <v/>
      </c>
      <c r="I1493" s="4" t="str">
        <f t="array" ref="I1493">IF(ROWS(M$20:M1493)&gt;$F$6,"",INDEX(C$2:C$10000,SMALL(IF(ISNUMBER(MATCH($B$2:$B$10000,$E$6:$E$22,0)),ROW($C$2:$C$10000)-ROW($C$2)+1),ROWS(M$20:M1493))))</f>
        <v/>
      </c>
      <c r="K1493" s="7" t="str">
        <f t="array" ref="K1493">IF(ROWS(K$20:K1493)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1493))))</f>
        <v/>
      </c>
      <c r="L1493" s="4" t="str">
        <f t="array" ref="L1493">IF(ROWS(L$20:L1493)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1493))))</f>
        <v/>
      </c>
      <c r="M1493" s="4" t="str">
        <f t="array" ref="M1493">IF(ROWS(M$20:M1493)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1493))))</f>
        <v/>
      </c>
    </row>
    <row r="1494" spans="1:13" x14ac:dyDescent="0.25">
      <c r="A1494" s="3">
        <v>41582</v>
      </c>
      <c r="B1494" s="2" t="s">
        <v>10</v>
      </c>
      <c r="C1494" s="2">
        <v>39</v>
      </c>
      <c r="G1494" s="7" t="str">
        <f t="array" ref="G1494">IF(ROWS(K$20:K1494)&gt;$F$6,"",INDEX(A$2:A$10000,SMALL(IF(ISNUMBER(MATCH($B$2:$B$10000,$E$6:$E$22,0)),ROW($C$2:$C$10000)-ROW($C$2)+1),ROWS(K$20:K1494))))</f>
        <v/>
      </c>
      <c r="H1494" s="4" t="str">
        <f t="array" ref="H1494">IF(ROWS(L$20:L1494)&gt;$F$6,"",INDEX(B$2:B$10000,SMALL(IF(ISNUMBER(MATCH($B$2:$B$10000,$E$6:$E$22,0)),ROW($C$2:$C$10000)-ROW($C$2)+1),ROWS(L$20:L1494))))</f>
        <v/>
      </c>
      <c r="I1494" s="4" t="str">
        <f t="array" ref="I1494">IF(ROWS(M$20:M1494)&gt;$F$6,"",INDEX(C$2:C$10000,SMALL(IF(ISNUMBER(MATCH($B$2:$B$10000,$E$6:$E$22,0)),ROW($C$2:$C$10000)-ROW($C$2)+1),ROWS(M$20:M1494))))</f>
        <v/>
      </c>
      <c r="K1494" s="7" t="str">
        <f t="array" ref="K1494">IF(ROWS(K$20:K1494)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1494))))</f>
        <v/>
      </c>
      <c r="L1494" s="4" t="str">
        <f t="array" ref="L1494">IF(ROWS(L$20:L1494)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1494))))</f>
        <v/>
      </c>
      <c r="M1494" s="4" t="str">
        <f t="array" ref="M1494">IF(ROWS(M$20:M1494)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1494))))</f>
        <v/>
      </c>
    </row>
    <row r="1495" spans="1:13" x14ac:dyDescent="0.25">
      <c r="A1495" s="3">
        <v>41932</v>
      </c>
      <c r="B1495" s="2" t="s">
        <v>22</v>
      </c>
      <c r="C1495" s="2">
        <v>6</v>
      </c>
      <c r="G1495" s="7" t="str">
        <f t="array" ref="G1495">IF(ROWS(K$20:K1495)&gt;$F$6,"",INDEX(A$2:A$10000,SMALL(IF(ISNUMBER(MATCH($B$2:$B$10000,$E$6:$E$22,0)),ROW($C$2:$C$10000)-ROW($C$2)+1),ROWS(K$20:K1495))))</f>
        <v/>
      </c>
      <c r="H1495" s="4" t="str">
        <f t="array" ref="H1495">IF(ROWS(L$20:L1495)&gt;$F$6,"",INDEX(B$2:B$10000,SMALL(IF(ISNUMBER(MATCH($B$2:$B$10000,$E$6:$E$22,0)),ROW($C$2:$C$10000)-ROW($C$2)+1),ROWS(L$20:L1495))))</f>
        <v/>
      </c>
      <c r="I1495" s="4" t="str">
        <f t="array" ref="I1495">IF(ROWS(M$20:M1495)&gt;$F$6,"",INDEX(C$2:C$10000,SMALL(IF(ISNUMBER(MATCH($B$2:$B$10000,$E$6:$E$22,0)),ROW($C$2:$C$10000)-ROW($C$2)+1),ROWS(M$20:M1495))))</f>
        <v/>
      </c>
      <c r="K1495" s="7" t="str">
        <f t="array" ref="K1495">IF(ROWS(K$20:K1495)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1495))))</f>
        <v/>
      </c>
      <c r="L1495" s="4" t="str">
        <f t="array" ref="L1495">IF(ROWS(L$20:L1495)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1495))))</f>
        <v/>
      </c>
      <c r="M1495" s="4" t="str">
        <f t="array" ref="M1495">IF(ROWS(M$20:M1495)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1495))))</f>
        <v/>
      </c>
    </row>
    <row r="1496" spans="1:13" x14ac:dyDescent="0.25">
      <c r="A1496" s="3">
        <v>41395</v>
      </c>
      <c r="B1496" s="2" t="s">
        <v>12</v>
      </c>
      <c r="C1496" s="2">
        <v>24</v>
      </c>
      <c r="G1496" s="7" t="str">
        <f t="array" ref="G1496">IF(ROWS(K$20:K1496)&gt;$F$6,"",INDEX(A$2:A$10000,SMALL(IF(ISNUMBER(MATCH($B$2:$B$10000,$E$6:$E$22,0)),ROW($C$2:$C$10000)-ROW($C$2)+1),ROWS(K$20:K1496))))</f>
        <v/>
      </c>
      <c r="H1496" s="4" t="str">
        <f t="array" ref="H1496">IF(ROWS(L$20:L1496)&gt;$F$6,"",INDEX(B$2:B$10000,SMALL(IF(ISNUMBER(MATCH($B$2:$B$10000,$E$6:$E$22,0)),ROW($C$2:$C$10000)-ROW($C$2)+1),ROWS(L$20:L1496))))</f>
        <v/>
      </c>
      <c r="I1496" s="4" t="str">
        <f t="array" ref="I1496">IF(ROWS(M$20:M1496)&gt;$F$6,"",INDEX(C$2:C$10000,SMALL(IF(ISNUMBER(MATCH($B$2:$B$10000,$E$6:$E$22,0)),ROW($C$2:$C$10000)-ROW($C$2)+1),ROWS(M$20:M1496))))</f>
        <v/>
      </c>
      <c r="K1496" s="7" t="str">
        <f t="array" ref="K1496">IF(ROWS(K$20:K1496)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1496))))</f>
        <v/>
      </c>
      <c r="L1496" s="4" t="str">
        <f t="array" ref="L1496">IF(ROWS(L$20:L1496)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1496))))</f>
        <v/>
      </c>
      <c r="M1496" s="4" t="str">
        <f t="array" ref="M1496">IF(ROWS(M$20:M1496)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1496))))</f>
        <v/>
      </c>
    </row>
    <row r="1497" spans="1:13" x14ac:dyDescent="0.25">
      <c r="A1497" s="3">
        <v>41981</v>
      </c>
      <c r="B1497" s="2" t="s">
        <v>32</v>
      </c>
      <c r="C1497" s="2">
        <v>32</v>
      </c>
      <c r="G1497" s="7" t="str">
        <f t="array" ref="G1497">IF(ROWS(K$20:K1497)&gt;$F$6,"",INDEX(A$2:A$10000,SMALL(IF(ISNUMBER(MATCH($B$2:$B$10000,$E$6:$E$22,0)),ROW($C$2:$C$10000)-ROW($C$2)+1),ROWS(K$20:K1497))))</f>
        <v/>
      </c>
      <c r="H1497" s="4" t="str">
        <f t="array" ref="H1497">IF(ROWS(L$20:L1497)&gt;$F$6,"",INDEX(B$2:B$10000,SMALL(IF(ISNUMBER(MATCH($B$2:$B$10000,$E$6:$E$22,0)),ROW($C$2:$C$10000)-ROW($C$2)+1),ROWS(L$20:L1497))))</f>
        <v/>
      </c>
      <c r="I1497" s="4" t="str">
        <f t="array" ref="I1497">IF(ROWS(M$20:M1497)&gt;$F$6,"",INDEX(C$2:C$10000,SMALL(IF(ISNUMBER(MATCH($B$2:$B$10000,$E$6:$E$22,0)),ROW($C$2:$C$10000)-ROW($C$2)+1),ROWS(M$20:M1497))))</f>
        <v/>
      </c>
      <c r="K1497" s="7" t="str">
        <f t="array" ref="K1497">IF(ROWS(K$20:K1497)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1497))))</f>
        <v/>
      </c>
      <c r="L1497" s="4" t="str">
        <f t="array" ref="L1497">IF(ROWS(L$20:L1497)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1497))))</f>
        <v/>
      </c>
      <c r="M1497" s="4" t="str">
        <f t="array" ref="M1497">IF(ROWS(M$20:M1497)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1497))))</f>
        <v/>
      </c>
    </row>
    <row r="1498" spans="1:13" x14ac:dyDescent="0.25">
      <c r="A1498" s="3">
        <v>41648</v>
      </c>
      <c r="B1498" s="2" t="s">
        <v>26</v>
      </c>
      <c r="C1498" s="2">
        <v>28</v>
      </c>
      <c r="G1498" s="7" t="str">
        <f t="array" ref="G1498">IF(ROWS(K$20:K1498)&gt;$F$6,"",INDEX(A$2:A$10000,SMALL(IF(ISNUMBER(MATCH($B$2:$B$10000,$E$6:$E$22,0)),ROW($C$2:$C$10000)-ROW($C$2)+1),ROWS(K$20:K1498))))</f>
        <v/>
      </c>
      <c r="H1498" s="4" t="str">
        <f t="array" ref="H1498">IF(ROWS(L$20:L1498)&gt;$F$6,"",INDEX(B$2:B$10000,SMALL(IF(ISNUMBER(MATCH($B$2:$B$10000,$E$6:$E$22,0)),ROW($C$2:$C$10000)-ROW($C$2)+1),ROWS(L$20:L1498))))</f>
        <v/>
      </c>
      <c r="I1498" s="4" t="str">
        <f t="array" ref="I1498">IF(ROWS(M$20:M1498)&gt;$F$6,"",INDEX(C$2:C$10000,SMALL(IF(ISNUMBER(MATCH($B$2:$B$10000,$E$6:$E$22,0)),ROW($C$2:$C$10000)-ROW($C$2)+1),ROWS(M$20:M1498))))</f>
        <v/>
      </c>
      <c r="K1498" s="7" t="str">
        <f t="array" ref="K1498">IF(ROWS(K$20:K1498)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1498))))</f>
        <v/>
      </c>
      <c r="L1498" s="4" t="str">
        <f t="array" ref="L1498">IF(ROWS(L$20:L1498)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1498))))</f>
        <v/>
      </c>
      <c r="M1498" s="4" t="str">
        <f t="array" ref="M1498">IF(ROWS(M$20:M1498)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1498))))</f>
        <v/>
      </c>
    </row>
    <row r="1499" spans="1:13" x14ac:dyDescent="0.25">
      <c r="A1499" s="3">
        <v>41292</v>
      </c>
      <c r="B1499" s="2" t="s">
        <v>51</v>
      </c>
      <c r="C1499" s="2">
        <v>19</v>
      </c>
      <c r="G1499" s="7" t="str">
        <f t="array" ref="G1499">IF(ROWS(K$20:K1499)&gt;$F$6,"",INDEX(A$2:A$10000,SMALL(IF(ISNUMBER(MATCH($B$2:$B$10000,$E$6:$E$22,0)),ROW($C$2:$C$10000)-ROW($C$2)+1),ROWS(K$20:K1499))))</f>
        <v/>
      </c>
      <c r="H1499" s="4" t="str">
        <f t="array" ref="H1499">IF(ROWS(L$20:L1499)&gt;$F$6,"",INDEX(B$2:B$10000,SMALL(IF(ISNUMBER(MATCH($B$2:$B$10000,$E$6:$E$22,0)),ROW($C$2:$C$10000)-ROW($C$2)+1),ROWS(L$20:L1499))))</f>
        <v/>
      </c>
      <c r="I1499" s="4" t="str">
        <f t="array" ref="I1499">IF(ROWS(M$20:M1499)&gt;$F$6,"",INDEX(C$2:C$10000,SMALL(IF(ISNUMBER(MATCH($B$2:$B$10000,$E$6:$E$22,0)),ROW($C$2:$C$10000)-ROW($C$2)+1),ROWS(M$20:M1499))))</f>
        <v/>
      </c>
      <c r="K1499" s="7" t="str">
        <f t="array" ref="K1499">IF(ROWS(K$20:K1499)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1499))))</f>
        <v/>
      </c>
      <c r="L1499" s="4" t="str">
        <f t="array" ref="L1499">IF(ROWS(L$20:L1499)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1499))))</f>
        <v/>
      </c>
      <c r="M1499" s="4" t="str">
        <f t="array" ref="M1499">IF(ROWS(M$20:M1499)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1499))))</f>
        <v/>
      </c>
    </row>
    <row r="1500" spans="1:13" x14ac:dyDescent="0.25">
      <c r="A1500" s="3">
        <v>41661</v>
      </c>
      <c r="B1500" s="2" t="s">
        <v>35</v>
      </c>
      <c r="C1500" s="2">
        <v>34</v>
      </c>
      <c r="G1500" s="7" t="str">
        <f t="array" ref="G1500">IF(ROWS(K$20:K1500)&gt;$F$6,"",INDEX(A$2:A$10000,SMALL(IF(ISNUMBER(MATCH($B$2:$B$10000,$E$6:$E$22,0)),ROW($C$2:$C$10000)-ROW($C$2)+1),ROWS(K$20:K1500))))</f>
        <v/>
      </c>
      <c r="H1500" s="4" t="str">
        <f t="array" ref="H1500">IF(ROWS(L$20:L1500)&gt;$F$6,"",INDEX(B$2:B$10000,SMALL(IF(ISNUMBER(MATCH($B$2:$B$10000,$E$6:$E$22,0)),ROW($C$2:$C$10000)-ROW($C$2)+1),ROWS(L$20:L1500))))</f>
        <v/>
      </c>
      <c r="I1500" s="4" t="str">
        <f t="array" ref="I1500">IF(ROWS(M$20:M1500)&gt;$F$6,"",INDEX(C$2:C$10000,SMALL(IF(ISNUMBER(MATCH($B$2:$B$10000,$E$6:$E$22,0)),ROW($C$2:$C$10000)-ROW($C$2)+1),ROWS(M$20:M1500))))</f>
        <v/>
      </c>
      <c r="K1500" s="7" t="str">
        <f t="array" ref="K1500">IF(ROWS(K$20:K1500)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1500))))</f>
        <v/>
      </c>
      <c r="L1500" s="4" t="str">
        <f t="array" ref="L1500">IF(ROWS(L$20:L1500)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1500))))</f>
        <v/>
      </c>
      <c r="M1500" s="4" t="str">
        <f t="array" ref="M1500">IF(ROWS(M$20:M1500)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1500))))</f>
        <v/>
      </c>
    </row>
    <row r="1501" spans="1:13" x14ac:dyDescent="0.25">
      <c r="A1501" s="3">
        <v>41937</v>
      </c>
      <c r="B1501" s="2" t="s">
        <v>33</v>
      </c>
      <c r="C1501" s="2">
        <v>26</v>
      </c>
      <c r="G1501" s="7" t="str">
        <f t="array" ref="G1501">IF(ROWS(K$20:K1501)&gt;$F$6,"",INDEX(A$2:A$10000,SMALL(IF(ISNUMBER(MATCH($B$2:$B$10000,$E$6:$E$22,0)),ROW($C$2:$C$10000)-ROW($C$2)+1),ROWS(K$20:K1501))))</f>
        <v/>
      </c>
      <c r="H1501" s="4" t="str">
        <f t="array" ref="H1501">IF(ROWS(L$20:L1501)&gt;$F$6,"",INDEX(B$2:B$10000,SMALL(IF(ISNUMBER(MATCH($B$2:$B$10000,$E$6:$E$22,0)),ROW($C$2:$C$10000)-ROW($C$2)+1),ROWS(L$20:L1501))))</f>
        <v/>
      </c>
      <c r="I1501" s="4" t="str">
        <f t="array" ref="I1501">IF(ROWS(M$20:M1501)&gt;$F$6,"",INDEX(C$2:C$10000,SMALL(IF(ISNUMBER(MATCH($B$2:$B$10000,$E$6:$E$22,0)),ROW($C$2:$C$10000)-ROW($C$2)+1),ROWS(M$20:M1501))))</f>
        <v/>
      </c>
      <c r="K1501" s="7" t="str">
        <f t="array" ref="K1501">IF(ROWS(K$20:K1501)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1501))))</f>
        <v/>
      </c>
      <c r="L1501" s="4" t="str">
        <f t="array" ref="L1501">IF(ROWS(L$20:L1501)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1501))))</f>
        <v/>
      </c>
      <c r="M1501" s="4" t="str">
        <f t="array" ref="M1501">IF(ROWS(M$20:M1501)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1501))))</f>
        <v/>
      </c>
    </row>
    <row r="1502" spans="1:13" x14ac:dyDescent="0.25">
      <c r="A1502" s="3">
        <v>41538</v>
      </c>
      <c r="B1502" s="2" t="s">
        <v>33</v>
      </c>
      <c r="C1502" s="2">
        <v>12</v>
      </c>
      <c r="G1502" s="7" t="str">
        <f t="array" ref="G1502">IF(ROWS(K$20:K1502)&gt;$F$6,"",INDEX(A$2:A$10000,SMALL(IF(ISNUMBER(MATCH($B$2:$B$10000,$E$6:$E$22,0)),ROW($C$2:$C$10000)-ROW($C$2)+1),ROWS(K$20:K1502))))</f>
        <v/>
      </c>
      <c r="H1502" s="4" t="str">
        <f t="array" ref="H1502">IF(ROWS(L$20:L1502)&gt;$F$6,"",INDEX(B$2:B$10000,SMALL(IF(ISNUMBER(MATCH($B$2:$B$10000,$E$6:$E$22,0)),ROW($C$2:$C$10000)-ROW($C$2)+1),ROWS(L$20:L1502))))</f>
        <v/>
      </c>
      <c r="I1502" s="4" t="str">
        <f t="array" ref="I1502">IF(ROWS(M$20:M1502)&gt;$F$6,"",INDEX(C$2:C$10000,SMALL(IF(ISNUMBER(MATCH($B$2:$B$10000,$E$6:$E$22,0)),ROW($C$2:$C$10000)-ROW($C$2)+1),ROWS(M$20:M1502))))</f>
        <v/>
      </c>
      <c r="K1502" s="7" t="str">
        <f t="array" ref="K1502">IF(ROWS(K$20:K1502)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1502))))</f>
        <v/>
      </c>
      <c r="L1502" s="4" t="str">
        <f t="array" ref="L1502">IF(ROWS(L$20:L1502)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1502))))</f>
        <v/>
      </c>
      <c r="M1502" s="4" t="str">
        <f t="array" ref="M1502">IF(ROWS(M$20:M1502)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1502))))</f>
        <v/>
      </c>
    </row>
    <row r="1503" spans="1:13" x14ac:dyDescent="0.25">
      <c r="A1503" s="3">
        <v>41621</v>
      </c>
      <c r="B1503" s="2" t="s">
        <v>28</v>
      </c>
      <c r="C1503" s="2">
        <v>13</v>
      </c>
      <c r="G1503" s="7" t="str">
        <f t="array" ref="G1503">IF(ROWS(K$20:K1503)&gt;$F$6,"",INDEX(A$2:A$10000,SMALL(IF(ISNUMBER(MATCH($B$2:$B$10000,$E$6:$E$22,0)),ROW($C$2:$C$10000)-ROW($C$2)+1),ROWS(K$20:K1503))))</f>
        <v/>
      </c>
      <c r="H1503" s="4" t="str">
        <f t="array" ref="H1503">IF(ROWS(L$20:L1503)&gt;$F$6,"",INDEX(B$2:B$10000,SMALL(IF(ISNUMBER(MATCH($B$2:$B$10000,$E$6:$E$22,0)),ROW($C$2:$C$10000)-ROW($C$2)+1),ROWS(L$20:L1503))))</f>
        <v/>
      </c>
      <c r="I1503" s="4" t="str">
        <f t="array" ref="I1503">IF(ROWS(M$20:M1503)&gt;$F$6,"",INDEX(C$2:C$10000,SMALL(IF(ISNUMBER(MATCH($B$2:$B$10000,$E$6:$E$22,0)),ROW($C$2:$C$10000)-ROW($C$2)+1),ROWS(M$20:M1503))))</f>
        <v/>
      </c>
      <c r="K1503" s="7" t="str">
        <f t="array" ref="K1503">IF(ROWS(K$20:K1503)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1503))))</f>
        <v/>
      </c>
      <c r="L1503" s="4" t="str">
        <f t="array" ref="L1503">IF(ROWS(L$20:L1503)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1503))))</f>
        <v/>
      </c>
      <c r="M1503" s="4" t="str">
        <f t="array" ref="M1503">IF(ROWS(M$20:M1503)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1503))))</f>
        <v/>
      </c>
    </row>
    <row r="1504" spans="1:13" x14ac:dyDescent="0.25">
      <c r="A1504" s="3">
        <v>41430</v>
      </c>
      <c r="B1504" s="2" t="s">
        <v>7</v>
      </c>
      <c r="C1504" s="2">
        <v>26</v>
      </c>
      <c r="G1504" s="7" t="str">
        <f t="array" ref="G1504">IF(ROWS(K$20:K1504)&gt;$F$6,"",INDEX(A$2:A$10000,SMALL(IF(ISNUMBER(MATCH($B$2:$B$10000,$E$6:$E$22,0)),ROW($C$2:$C$10000)-ROW($C$2)+1),ROWS(K$20:K1504))))</f>
        <v/>
      </c>
      <c r="H1504" s="4" t="str">
        <f t="array" ref="H1504">IF(ROWS(L$20:L1504)&gt;$F$6,"",INDEX(B$2:B$10000,SMALL(IF(ISNUMBER(MATCH($B$2:$B$10000,$E$6:$E$22,0)),ROW($C$2:$C$10000)-ROW($C$2)+1),ROWS(L$20:L1504))))</f>
        <v/>
      </c>
      <c r="I1504" s="4" t="str">
        <f t="array" ref="I1504">IF(ROWS(M$20:M1504)&gt;$F$6,"",INDEX(C$2:C$10000,SMALL(IF(ISNUMBER(MATCH($B$2:$B$10000,$E$6:$E$22,0)),ROW($C$2:$C$10000)-ROW($C$2)+1),ROWS(M$20:M1504))))</f>
        <v/>
      </c>
      <c r="K1504" s="7" t="str">
        <f t="array" ref="K1504">IF(ROWS(K$20:K1504)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1504))))</f>
        <v/>
      </c>
      <c r="L1504" s="4" t="str">
        <f t="array" ref="L1504">IF(ROWS(L$20:L1504)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1504))))</f>
        <v/>
      </c>
      <c r="M1504" s="4" t="str">
        <f t="array" ref="M1504">IF(ROWS(M$20:M1504)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1504))))</f>
        <v/>
      </c>
    </row>
    <row r="1505" spans="1:13" x14ac:dyDescent="0.25">
      <c r="A1505" s="3">
        <v>41680</v>
      </c>
      <c r="B1505" s="2" t="s">
        <v>22</v>
      </c>
      <c r="C1505" s="2">
        <v>44</v>
      </c>
      <c r="G1505" s="7" t="str">
        <f t="array" ref="G1505">IF(ROWS(K$20:K1505)&gt;$F$6,"",INDEX(A$2:A$10000,SMALL(IF(ISNUMBER(MATCH($B$2:$B$10000,$E$6:$E$22,0)),ROW($C$2:$C$10000)-ROW($C$2)+1),ROWS(K$20:K1505))))</f>
        <v/>
      </c>
      <c r="H1505" s="4" t="str">
        <f t="array" ref="H1505">IF(ROWS(L$20:L1505)&gt;$F$6,"",INDEX(B$2:B$10000,SMALL(IF(ISNUMBER(MATCH($B$2:$B$10000,$E$6:$E$22,0)),ROW($C$2:$C$10000)-ROW($C$2)+1),ROWS(L$20:L1505))))</f>
        <v/>
      </c>
      <c r="I1505" s="4" t="str">
        <f t="array" ref="I1505">IF(ROWS(M$20:M1505)&gt;$F$6,"",INDEX(C$2:C$10000,SMALL(IF(ISNUMBER(MATCH($B$2:$B$10000,$E$6:$E$22,0)),ROW($C$2:$C$10000)-ROW($C$2)+1),ROWS(M$20:M1505))))</f>
        <v/>
      </c>
      <c r="K1505" s="7" t="str">
        <f t="array" ref="K1505">IF(ROWS(K$20:K1505)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1505))))</f>
        <v/>
      </c>
      <c r="L1505" s="4" t="str">
        <f t="array" ref="L1505">IF(ROWS(L$20:L1505)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1505))))</f>
        <v/>
      </c>
      <c r="M1505" s="4" t="str">
        <f t="array" ref="M1505">IF(ROWS(M$20:M1505)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1505))))</f>
        <v/>
      </c>
    </row>
    <row r="1506" spans="1:13" x14ac:dyDescent="0.25">
      <c r="A1506" s="3">
        <v>41489</v>
      </c>
      <c r="B1506" s="2" t="s">
        <v>9</v>
      </c>
      <c r="C1506" s="2">
        <v>33</v>
      </c>
      <c r="G1506" s="7" t="str">
        <f t="array" ref="G1506">IF(ROWS(K$20:K1506)&gt;$F$6,"",INDEX(A$2:A$10000,SMALL(IF(ISNUMBER(MATCH($B$2:$B$10000,$E$6:$E$22,0)),ROW($C$2:$C$10000)-ROW($C$2)+1),ROWS(K$20:K1506))))</f>
        <v/>
      </c>
      <c r="H1506" s="4" t="str">
        <f t="array" ref="H1506">IF(ROWS(L$20:L1506)&gt;$F$6,"",INDEX(B$2:B$10000,SMALL(IF(ISNUMBER(MATCH($B$2:$B$10000,$E$6:$E$22,0)),ROW($C$2:$C$10000)-ROW($C$2)+1),ROWS(L$20:L1506))))</f>
        <v/>
      </c>
      <c r="I1506" s="4" t="str">
        <f t="array" ref="I1506">IF(ROWS(M$20:M1506)&gt;$F$6,"",INDEX(C$2:C$10000,SMALL(IF(ISNUMBER(MATCH($B$2:$B$10000,$E$6:$E$22,0)),ROW($C$2:$C$10000)-ROW($C$2)+1),ROWS(M$20:M1506))))</f>
        <v/>
      </c>
      <c r="K1506" s="7" t="str">
        <f t="array" ref="K1506">IF(ROWS(K$20:K1506)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1506))))</f>
        <v/>
      </c>
      <c r="L1506" s="4" t="str">
        <f t="array" ref="L1506">IF(ROWS(L$20:L1506)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1506))))</f>
        <v/>
      </c>
      <c r="M1506" s="4" t="str">
        <f t="array" ref="M1506">IF(ROWS(M$20:M1506)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1506))))</f>
        <v/>
      </c>
    </row>
    <row r="1507" spans="1:13" x14ac:dyDescent="0.25">
      <c r="A1507" s="3">
        <v>41793</v>
      </c>
      <c r="B1507" s="2" t="s">
        <v>27</v>
      </c>
      <c r="C1507" s="2">
        <v>27</v>
      </c>
      <c r="G1507" s="7" t="str">
        <f t="array" ref="G1507">IF(ROWS(K$20:K1507)&gt;$F$6,"",INDEX(A$2:A$10000,SMALL(IF(ISNUMBER(MATCH($B$2:$B$10000,$E$6:$E$22,0)),ROW($C$2:$C$10000)-ROW($C$2)+1),ROWS(K$20:K1507))))</f>
        <v/>
      </c>
      <c r="H1507" s="4" t="str">
        <f t="array" ref="H1507">IF(ROWS(L$20:L1507)&gt;$F$6,"",INDEX(B$2:B$10000,SMALL(IF(ISNUMBER(MATCH($B$2:$B$10000,$E$6:$E$22,0)),ROW($C$2:$C$10000)-ROW($C$2)+1),ROWS(L$20:L1507))))</f>
        <v/>
      </c>
      <c r="I1507" s="4" t="str">
        <f t="array" ref="I1507">IF(ROWS(M$20:M1507)&gt;$F$6,"",INDEX(C$2:C$10000,SMALL(IF(ISNUMBER(MATCH($B$2:$B$10000,$E$6:$E$22,0)),ROW($C$2:$C$10000)-ROW($C$2)+1),ROWS(M$20:M1507))))</f>
        <v/>
      </c>
      <c r="K1507" s="7" t="str">
        <f t="array" ref="K1507">IF(ROWS(K$20:K1507)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1507))))</f>
        <v/>
      </c>
      <c r="L1507" s="4" t="str">
        <f t="array" ref="L1507">IF(ROWS(L$20:L1507)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1507))))</f>
        <v/>
      </c>
      <c r="M1507" s="4" t="str">
        <f t="array" ref="M1507">IF(ROWS(M$20:M1507)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1507))))</f>
        <v/>
      </c>
    </row>
    <row r="1508" spans="1:13" x14ac:dyDescent="0.25">
      <c r="A1508" s="3">
        <v>41759</v>
      </c>
      <c r="B1508" s="2" t="s">
        <v>46</v>
      </c>
      <c r="C1508" s="2">
        <v>17</v>
      </c>
      <c r="G1508" s="7" t="str">
        <f t="array" ref="G1508">IF(ROWS(K$20:K1508)&gt;$F$6,"",INDEX(A$2:A$10000,SMALL(IF(ISNUMBER(MATCH($B$2:$B$10000,$E$6:$E$22,0)),ROW($C$2:$C$10000)-ROW($C$2)+1),ROWS(K$20:K1508))))</f>
        <v/>
      </c>
      <c r="H1508" s="4" t="str">
        <f t="array" ref="H1508">IF(ROWS(L$20:L1508)&gt;$F$6,"",INDEX(B$2:B$10000,SMALL(IF(ISNUMBER(MATCH($B$2:$B$10000,$E$6:$E$22,0)),ROW($C$2:$C$10000)-ROW($C$2)+1),ROWS(L$20:L1508))))</f>
        <v/>
      </c>
      <c r="I1508" s="4" t="str">
        <f t="array" ref="I1508">IF(ROWS(M$20:M1508)&gt;$F$6,"",INDEX(C$2:C$10000,SMALL(IF(ISNUMBER(MATCH($B$2:$B$10000,$E$6:$E$22,0)),ROW($C$2:$C$10000)-ROW($C$2)+1),ROWS(M$20:M1508))))</f>
        <v/>
      </c>
      <c r="K1508" s="7" t="str">
        <f t="array" ref="K1508">IF(ROWS(K$20:K1508)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1508))))</f>
        <v/>
      </c>
      <c r="L1508" s="4" t="str">
        <f t="array" ref="L1508">IF(ROWS(L$20:L1508)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1508))))</f>
        <v/>
      </c>
      <c r="M1508" s="4" t="str">
        <f t="array" ref="M1508">IF(ROWS(M$20:M1508)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1508))))</f>
        <v/>
      </c>
    </row>
    <row r="1509" spans="1:13" x14ac:dyDescent="0.25">
      <c r="A1509" s="3">
        <v>41408</v>
      </c>
      <c r="B1509" s="2" t="s">
        <v>23</v>
      </c>
      <c r="C1509" s="2">
        <v>22</v>
      </c>
      <c r="G1509" s="7" t="str">
        <f t="array" ref="G1509">IF(ROWS(K$20:K1509)&gt;$F$6,"",INDEX(A$2:A$10000,SMALL(IF(ISNUMBER(MATCH($B$2:$B$10000,$E$6:$E$22,0)),ROW($C$2:$C$10000)-ROW($C$2)+1),ROWS(K$20:K1509))))</f>
        <v/>
      </c>
      <c r="H1509" s="4" t="str">
        <f t="array" ref="H1509">IF(ROWS(L$20:L1509)&gt;$F$6,"",INDEX(B$2:B$10000,SMALL(IF(ISNUMBER(MATCH($B$2:$B$10000,$E$6:$E$22,0)),ROW($C$2:$C$10000)-ROW($C$2)+1),ROWS(L$20:L1509))))</f>
        <v/>
      </c>
      <c r="I1509" s="4" t="str">
        <f t="array" ref="I1509">IF(ROWS(M$20:M1509)&gt;$F$6,"",INDEX(C$2:C$10000,SMALL(IF(ISNUMBER(MATCH($B$2:$B$10000,$E$6:$E$22,0)),ROW($C$2:$C$10000)-ROW($C$2)+1),ROWS(M$20:M1509))))</f>
        <v/>
      </c>
      <c r="K1509" s="7" t="str">
        <f t="array" ref="K1509">IF(ROWS(K$20:K1509)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1509))))</f>
        <v/>
      </c>
      <c r="L1509" s="4" t="str">
        <f t="array" ref="L1509">IF(ROWS(L$20:L1509)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1509))))</f>
        <v/>
      </c>
      <c r="M1509" s="4" t="str">
        <f t="array" ref="M1509">IF(ROWS(M$20:M1509)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1509))))</f>
        <v/>
      </c>
    </row>
    <row r="1510" spans="1:13" x14ac:dyDescent="0.25">
      <c r="A1510" s="3">
        <v>41974</v>
      </c>
      <c r="B1510" s="2" t="s">
        <v>44</v>
      </c>
      <c r="C1510" s="2">
        <v>1</v>
      </c>
      <c r="G1510" s="7" t="str">
        <f t="array" ref="G1510">IF(ROWS(K$20:K1510)&gt;$F$6,"",INDEX(A$2:A$10000,SMALL(IF(ISNUMBER(MATCH($B$2:$B$10000,$E$6:$E$22,0)),ROW($C$2:$C$10000)-ROW($C$2)+1),ROWS(K$20:K1510))))</f>
        <v/>
      </c>
      <c r="H1510" s="4" t="str">
        <f t="array" ref="H1510">IF(ROWS(L$20:L1510)&gt;$F$6,"",INDEX(B$2:B$10000,SMALL(IF(ISNUMBER(MATCH($B$2:$B$10000,$E$6:$E$22,0)),ROW($C$2:$C$10000)-ROW($C$2)+1),ROWS(L$20:L1510))))</f>
        <v/>
      </c>
      <c r="I1510" s="4" t="str">
        <f t="array" ref="I1510">IF(ROWS(M$20:M1510)&gt;$F$6,"",INDEX(C$2:C$10000,SMALL(IF(ISNUMBER(MATCH($B$2:$B$10000,$E$6:$E$22,0)),ROW($C$2:$C$10000)-ROW($C$2)+1),ROWS(M$20:M1510))))</f>
        <v/>
      </c>
      <c r="K1510" s="7" t="str">
        <f t="array" ref="K1510">IF(ROWS(K$20:K1510)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1510))))</f>
        <v/>
      </c>
      <c r="L1510" s="4" t="str">
        <f t="array" ref="L1510">IF(ROWS(L$20:L1510)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1510))))</f>
        <v/>
      </c>
      <c r="M1510" s="4" t="str">
        <f t="array" ref="M1510">IF(ROWS(M$20:M1510)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1510))))</f>
        <v/>
      </c>
    </row>
    <row r="1511" spans="1:13" x14ac:dyDescent="0.25">
      <c r="A1511" s="3">
        <v>41500</v>
      </c>
      <c r="B1511" s="2" t="s">
        <v>18</v>
      </c>
      <c r="C1511" s="2">
        <v>3</v>
      </c>
      <c r="G1511" s="7" t="str">
        <f t="array" ref="G1511">IF(ROWS(K$20:K1511)&gt;$F$6,"",INDEX(A$2:A$10000,SMALL(IF(ISNUMBER(MATCH($B$2:$B$10000,$E$6:$E$22,0)),ROW($C$2:$C$10000)-ROW($C$2)+1),ROWS(K$20:K1511))))</f>
        <v/>
      </c>
      <c r="H1511" s="4" t="str">
        <f t="array" ref="H1511">IF(ROWS(L$20:L1511)&gt;$F$6,"",INDEX(B$2:B$10000,SMALL(IF(ISNUMBER(MATCH($B$2:$B$10000,$E$6:$E$22,0)),ROW($C$2:$C$10000)-ROW($C$2)+1),ROWS(L$20:L1511))))</f>
        <v/>
      </c>
      <c r="I1511" s="4" t="str">
        <f t="array" ref="I1511">IF(ROWS(M$20:M1511)&gt;$F$6,"",INDEX(C$2:C$10000,SMALL(IF(ISNUMBER(MATCH($B$2:$B$10000,$E$6:$E$22,0)),ROW($C$2:$C$10000)-ROW($C$2)+1),ROWS(M$20:M1511))))</f>
        <v/>
      </c>
      <c r="K1511" s="7" t="str">
        <f t="array" ref="K1511">IF(ROWS(K$20:K1511)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1511))))</f>
        <v/>
      </c>
      <c r="L1511" s="4" t="str">
        <f t="array" ref="L1511">IF(ROWS(L$20:L1511)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1511))))</f>
        <v/>
      </c>
      <c r="M1511" s="4" t="str">
        <f t="array" ref="M1511">IF(ROWS(M$20:M1511)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1511))))</f>
        <v/>
      </c>
    </row>
    <row r="1512" spans="1:13" x14ac:dyDescent="0.25">
      <c r="A1512" s="3">
        <v>41356</v>
      </c>
      <c r="B1512" s="2" t="s">
        <v>39</v>
      </c>
      <c r="C1512" s="2">
        <v>47</v>
      </c>
      <c r="G1512" s="7" t="str">
        <f t="array" ref="G1512">IF(ROWS(K$20:K1512)&gt;$F$6,"",INDEX(A$2:A$10000,SMALL(IF(ISNUMBER(MATCH($B$2:$B$10000,$E$6:$E$22,0)),ROW($C$2:$C$10000)-ROW($C$2)+1),ROWS(K$20:K1512))))</f>
        <v/>
      </c>
      <c r="H1512" s="4" t="str">
        <f t="array" ref="H1512">IF(ROWS(L$20:L1512)&gt;$F$6,"",INDEX(B$2:B$10000,SMALL(IF(ISNUMBER(MATCH($B$2:$B$10000,$E$6:$E$22,0)),ROW($C$2:$C$10000)-ROW($C$2)+1),ROWS(L$20:L1512))))</f>
        <v/>
      </c>
      <c r="I1512" s="4" t="str">
        <f t="array" ref="I1512">IF(ROWS(M$20:M1512)&gt;$F$6,"",INDEX(C$2:C$10000,SMALL(IF(ISNUMBER(MATCH($B$2:$B$10000,$E$6:$E$22,0)),ROW($C$2:$C$10000)-ROW($C$2)+1),ROWS(M$20:M1512))))</f>
        <v/>
      </c>
      <c r="K1512" s="7" t="str">
        <f t="array" ref="K1512">IF(ROWS(K$20:K1512)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1512))))</f>
        <v/>
      </c>
      <c r="L1512" s="4" t="str">
        <f t="array" ref="L1512">IF(ROWS(L$20:L1512)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1512))))</f>
        <v/>
      </c>
      <c r="M1512" s="4" t="str">
        <f t="array" ref="M1512">IF(ROWS(M$20:M1512)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1512))))</f>
        <v/>
      </c>
    </row>
    <row r="1513" spans="1:13" x14ac:dyDescent="0.25">
      <c r="A1513" s="3">
        <v>41946</v>
      </c>
      <c r="B1513" s="2" t="s">
        <v>45</v>
      </c>
      <c r="C1513" s="2">
        <v>13</v>
      </c>
      <c r="G1513" s="7" t="str">
        <f t="array" ref="G1513">IF(ROWS(K$20:K1513)&gt;$F$6,"",INDEX(A$2:A$10000,SMALL(IF(ISNUMBER(MATCH($B$2:$B$10000,$E$6:$E$22,0)),ROW($C$2:$C$10000)-ROW($C$2)+1),ROWS(K$20:K1513))))</f>
        <v/>
      </c>
      <c r="H1513" s="4" t="str">
        <f t="array" ref="H1513">IF(ROWS(L$20:L1513)&gt;$F$6,"",INDEX(B$2:B$10000,SMALL(IF(ISNUMBER(MATCH($B$2:$B$10000,$E$6:$E$22,0)),ROW($C$2:$C$10000)-ROW($C$2)+1),ROWS(L$20:L1513))))</f>
        <v/>
      </c>
      <c r="I1513" s="4" t="str">
        <f t="array" ref="I1513">IF(ROWS(M$20:M1513)&gt;$F$6,"",INDEX(C$2:C$10000,SMALL(IF(ISNUMBER(MATCH($B$2:$B$10000,$E$6:$E$22,0)),ROW($C$2:$C$10000)-ROW($C$2)+1),ROWS(M$20:M1513))))</f>
        <v/>
      </c>
      <c r="K1513" s="7" t="str">
        <f t="array" ref="K1513">IF(ROWS(K$20:K1513)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1513))))</f>
        <v/>
      </c>
      <c r="L1513" s="4" t="str">
        <f t="array" ref="L1513">IF(ROWS(L$20:L1513)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1513))))</f>
        <v/>
      </c>
      <c r="M1513" s="4" t="str">
        <f t="array" ref="M1513">IF(ROWS(M$20:M1513)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1513))))</f>
        <v/>
      </c>
    </row>
    <row r="1514" spans="1:13" x14ac:dyDescent="0.25">
      <c r="A1514" s="3">
        <v>41943</v>
      </c>
      <c r="B1514" s="2" t="s">
        <v>12</v>
      </c>
      <c r="C1514" s="2">
        <v>16</v>
      </c>
      <c r="G1514" s="7" t="str">
        <f t="array" ref="G1514">IF(ROWS(K$20:K1514)&gt;$F$6,"",INDEX(A$2:A$10000,SMALL(IF(ISNUMBER(MATCH($B$2:$B$10000,$E$6:$E$22,0)),ROW($C$2:$C$10000)-ROW($C$2)+1),ROWS(K$20:K1514))))</f>
        <v/>
      </c>
      <c r="H1514" s="4" t="str">
        <f t="array" ref="H1514">IF(ROWS(L$20:L1514)&gt;$F$6,"",INDEX(B$2:B$10000,SMALL(IF(ISNUMBER(MATCH($B$2:$B$10000,$E$6:$E$22,0)),ROW($C$2:$C$10000)-ROW($C$2)+1),ROWS(L$20:L1514))))</f>
        <v/>
      </c>
      <c r="I1514" s="4" t="str">
        <f t="array" ref="I1514">IF(ROWS(M$20:M1514)&gt;$F$6,"",INDEX(C$2:C$10000,SMALL(IF(ISNUMBER(MATCH($B$2:$B$10000,$E$6:$E$22,0)),ROW($C$2:$C$10000)-ROW($C$2)+1),ROWS(M$20:M1514))))</f>
        <v/>
      </c>
      <c r="K1514" s="7" t="str">
        <f t="array" ref="K1514">IF(ROWS(K$20:K1514)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1514))))</f>
        <v/>
      </c>
      <c r="L1514" s="4" t="str">
        <f t="array" ref="L1514">IF(ROWS(L$20:L1514)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1514))))</f>
        <v/>
      </c>
      <c r="M1514" s="4" t="str">
        <f t="array" ref="M1514">IF(ROWS(M$20:M1514)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1514))))</f>
        <v/>
      </c>
    </row>
    <row r="1515" spans="1:13" x14ac:dyDescent="0.25">
      <c r="A1515" s="3">
        <v>41653</v>
      </c>
      <c r="B1515" s="2" t="s">
        <v>5</v>
      </c>
      <c r="C1515" s="2">
        <v>1</v>
      </c>
      <c r="G1515" s="7" t="str">
        <f t="array" ref="G1515">IF(ROWS(K$20:K1515)&gt;$F$6,"",INDEX(A$2:A$10000,SMALL(IF(ISNUMBER(MATCH($B$2:$B$10000,$E$6:$E$22,0)),ROW($C$2:$C$10000)-ROW($C$2)+1),ROWS(K$20:K1515))))</f>
        <v/>
      </c>
      <c r="H1515" s="4" t="str">
        <f t="array" ref="H1515">IF(ROWS(L$20:L1515)&gt;$F$6,"",INDEX(B$2:B$10000,SMALL(IF(ISNUMBER(MATCH($B$2:$B$10000,$E$6:$E$22,0)),ROW($C$2:$C$10000)-ROW($C$2)+1),ROWS(L$20:L1515))))</f>
        <v/>
      </c>
      <c r="I1515" s="4" t="str">
        <f t="array" ref="I1515">IF(ROWS(M$20:M1515)&gt;$F$6,"",INDEX(C$2:C$10000,SMALL(IF(ISNUMBER(MATCH($B$2:$B$10000,$E$6:$E$22,0)),ROW($C$2:$C$10000)-ROW($C$2)+1),ROWS(M$20:M1515))))</f>
        <v/>
      </c>
      <c r="K1515" s="7" t="str">
        <f t="array" ref="K1515">IF(ROWS(K$20:K1515)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1515))))</f>
        <v/>
      </c>
      <c r="L1515" s="4" t="str">
        <f t="array" ref="L1515">IF(ROWS(L$20:L1515)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1515))))</f>
        <v/>
      </c>
      <c r="M1515" s="4" t="str">
        <f t="array" ref="M1515">IF(ROWS(M$20:M1515)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1515))))</f>
        <v/>
      </c>
    </row>
    <row r="1516" spans="1:13" x14ac:dyDescent="0.25">
      <c r="A1516" s="3">
        <v>41309</v>
      </c>
      <c r="B1516" s="2" t="s">
        <v>15</v>
      </c>
      <c r="C1516" s="2">
        <v>18</v>
      </c>
      <c r="G1516" s="7" t="str">
        <f t="array" ref="G1516">IF(ROWS(K$20:K1516)&gt;$F$6,"",INDEX(A$2:A$10000,SMALL(IF(ISNUMBER(MATCH($B$2:$B$10000,$E$6:$E$22,0)),ROW($C$2:$C$10000)-ROW($C$2)+1),ROWS(K$20:K1516))))</f>
        <v/>
      </c>
      <c r="H1516" s="4" t="str">
        <f t="array" ref="H1516">IF(ROWS(L$20:L1516)&gt;$F$6,"",INDEX(B$2:B$10000,SMALL(IF(ISNUMBER(MATCH($B$2:$B$10000,$E$6:$E$22,0)),ROW($C$2:$C$10000)-ROW($C$2)+1),ROWS(L$20:L1516))))</f>
        <v/>
      </c>
      <c r="I1516" s="4" t="str">
        <f t="array" ref="I1516">IF(ROWS(M$20:M1516)&gt;$F$6,"",INDEX(C$2:C$10000,SMALL(IF(ISNUMBER(MATCH($B$2:$B$10000,$E$6:$E$22,0)),ROW($C$2:$C$10000)-ROW($C$2)+1),ROWS(M$20:M1516))))</f>
        <v/>
      </c>
      <c r="K1516" s="7" t="str">
        <f t="array" ref="K1516">IF(ROWS(K$20:K1516)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1516))))</f>
        <v/>
      </c>
      <c r="L1516" s="4" t="str">
        <f t="array" ref="L1516">IF(ROWS(L$20:L1516)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1516))))</f>
        <v/>
      </c>
      <c r="M1516" s="4" t="str">
        <f t="array" ref="M1516">IF(ROWS(M$20:M1516)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1516))))</f>
        <v/>
      </c>
    </row>
    <row r="1517" spans="1:13" x14ac:dyDescent="0.25">
      <c r="A1517" s="3">
        <v>41994</v>
      </c>
      <c r="B1517" s="2" t="s">
        <v>5</v>
      </c>
      <c r="C1517" s="2">
        <v>14</v>
      </c>
      <c r="G1517" s="7" t="str">
        <f t="array" ref="G1517">IF(ROWS(K$20:K1517)&gt;$F$6,"",INDEX(A$2:A$10000,SMALL(IF(ISNUMBER(MATCH($B$2:$B$10000,$E$6:$E$22,0)),ROW($C$2:$C$10000)-ROW($C$2)+1),ROWS(K$20:K1517))))</f>
        <v/>
      </c>
      <c r="H1517" s="4" t="str">
        <f t="array" ref="H1517">IF(ROWS(L$20:L1517)&gt;$F$6,"",INDEX(B$2:B$10000,SMALL(IF(ISNUMBER(MATCH($B$2:$B$10000,$E$6:$E$22,0)),ROW($C$2:$C$10000)-ROW($C$2)+1),ROWS(L$20:L1517))))</f>
        <v/>
      </c>
      <c r="I1517" s="4" t="str">
        <f t="array" ref="I1517">IF(ROWS(M$20:M1517)&gt;$F$6,"",INDEX(C$2:C$10000,SMALL(IF(ISNUMBER(MATCH($B$2:$B$10000,$E$6:$E$22,0)),ROW($C$2:$C$10000)-ROW($C$2)+1),ROWS(M$20:M1517))))</f>
        <v/>
      </c>
      <c r="K1517" s="7" t="str">
        <f t="array" ref="K1517">IF(ROWS(K$20:K1517)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1517))))</f>
        <v/>
      </c>
      <c r="L1517" s="4" t="str">
        <f t="array" ref="L1517">IF(ROWS(L$20:L1517)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1517))))</f>
        <v/>
      </c>
      <c r="M1517" s="4" t="str">
        <f t="array" ref="M1517">IF(ROWS(M$20:M1517)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1517))))</f>
        <v/>
      </c>
    </row>
    <row r="1518" spans="1:13" x14ac:dyDescent="0.25">
      <c r="A1518" s="3">
        <v>41552</v>
      </c>
      <c r="B1518" s="2" t="s">
        <v>2</v>
      </c>
      <c r="C1518" s="2">
        <v>25</v>
      </c>
      <c r="G1518" s="7" t="str">
        <f t="array" ref="G1518">IF(ROWS(K$20:K1518)&gt;$F$6,"",INDEX(A$2:A$10000,SMALL(IF(ISNUMBER(MATCH($B$2:$B$10000,$E$6:$E$22,0)),ROW($C$2:$C$10000)-ROW($C$2)+1),ROWS(K$20:K1518))))</f>
        <v/>
      </c>
      <c r="H1518" s="4" t="str">
        <f t="array" ref="H1518">IF(ROWS(L$20:L1518)&gt;$F$6,"",INDEX(B$2:B$10000,SMALL(IF(ISNUMBER(MATCH($B$2:$B$10000,$E$6:$E$22,0)),ROW($C$2:$C$10000)-ROW($C$2)+1),ROWS(L$20:L1518))))</f>
        <v/>
      </c>
      <c r="I1518" s="4" t="str">
        <f t="array" ref="I1518">IF(ROWS(M$20:M1518)&gt;$F$6,"",INDEX(C$2:C$10000,SMALL(IF(ISNUMBER(MATCH($B$2:$B$10000,$E$6:$E$22,0)),ROW($C$2:$C$10000)-ROW($C$2)+1),ROWS(M$20:M1518))))</f>
        <v/>
      </c>
      <c r="K1518" s="7" t="str">
        <f t="array" ref="K1518">IF(ROWS(K$20:K1518)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1518))))</f>
        <v/>
      </c>
      <c r="L1518" s="4" t="str">
        <f t="array" ref="L1518">IF(ROWS(L$20:L1518)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1518))))</f>
        <v/>
      </c>
      <c r="M1518" s="4" t="str">
        <f t="array" ref="M1518">IF(ROWS(M$20:M1518)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1518))))</f>
        <v/>
      </c>
    </row>
    <row r="1519" spans="1:13" x14ac:dyDescent="0.25">
      <c r="A1519" s="3">
        <v>41375</v>
      </c>
      <c r="B1519" s="2" t="s">
        <v>46</v>
      </c>
      <c r="C1519" s="2">
        <v>25</v>
      </c>
      <c r="G1519" s="7" t="str">
        <f t="array" ref="G1519">IF(ROWS(K$20:K1519)&gt;$F$6,"",INDEX(A$2:A$10000,SMALL(IF(ISNUMBER(MATCH($B$2:$B$10000,$E$6:$E$22,0)),ROW($C$2:$C$10000)-ROW($C$2)+1),ROWS(K$20:K1519))))</f>
        <v/>
      </c>
      <c r="H1519" s="4" t="str">
        <f t="array" ref="H1519">IF(ROWS(L$20:L1519)&gt;$F$6,"",INDEX(B$2:B$10000,SMALL(IF(ISNUMBER(MATCH($B$2:$B$10000,$E$6:$E$22,0)),ROW($C$2:$C$10000)-ROW($C$2)+1),ROWS(L$20:L1519))))</f>
        <v/>
      </c>
      <c r="I1519" s="4" t="str">
        <f t="array" ref="I1519">IF(ROWS(M$20:M1519)&gt;$F$6,"",INDEX(C$2:C$10000,SMALL(IF(ISNUMBER(MATCH($B$2:$B$10000,$E$6:$E$22,0)),ROW($C$2:$C$10000)-ROW($C$2)+1),ROWS(M$20:M1519))))</f>
        <v/>
      </c>
      <c r="K1519" s="7" t="str">
        <f t="array" ref="K1519">IF(ROWS(K$20:K1519)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1519))))</f>
        <v/>
      </c>
      <c r="L1519" s="4" t="str">
        <f t="array" ref="L1519">IF(ROWS(L$20:L1519)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1519))))</f>
        <v/>
      </c>
      <c r="M1519" s="4" t="str">
        <f t="array" ref="M1519">IF(ROWS(M$20:M1519)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1519))))</f>
        <v/>
      </c>
    </row>
    <row r="1520" spans="1:13" x14ac:dyDescent="0.25">
      <c r="A1520" s="3">
        <v>41337</v>
      </c>
      <c r="B1520" s="2" t="s">
        <v>50</v>
      </c>
      <c r="C1520" s="2">
        <v>4</v>
      </c>
      <c r="G1520" s="7" t="str">
        <f t="array" ref="G1520">IF(ROWS(K$20:K1520)&gt;$F$6,"",INDEX(A$2:A$10000,SMALL(IF(ISNUMBER(MATCH($B$2:$B$10000,$E$6:$E$22,0)),ROW($C$2:$C$10000)-ROW($C$2)+1),ROWS(K$20:K1520))))</f>
        <v/>
      </c>
      <c r="H1520" s="4" t="str">
        <f t="array" ref="H1520">IF(ROWS(L$20:L1520)&gt;$F$6,"",INDEX(B$2:B$10000,SMALL(IF(ISNUMBER(MATCH($B$2:$B$10000,$E$6:$E$22,0)),ROW($C$2:$C$10000)-ROW($C$2)+1),ROWS(L$20:L1520))))</f>
        <v/>
      </c>
      <c r="I1520" s="4" t="str">
        <f t="array" ref="I1520">IF(ROWS(M$20:M1520)&gt;$F$6,"",INDEX(C$2:C$10000,SMALL(IF(ISNUMBER(MATCH($B$2:$B$10000,$E$6:$E$22,0)),ROW($C$2:$C$10000)-ROW($C$2)+1),ROWS(M$20:M1520))))</f>
        <v/>
      </c>
      <c r="K1520" s="7" t="str">
        <f t="array" ref="K1520">IF(ROWS(K$20:K1520)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1520))))</f>
        <v/>
      </c>
      <c r="L1520" s="4" t="str">
        <f t="array" ref="L1520">IF(ROWS(L$20:L1520)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1520))))</f>
        <v/>
      </c>
      <c r="M1520" s="4" t="str">
        <f t="array" ref="M1520">IF(ROWS(M$20:M1520)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1520))))</f>
        <v/>
      </c>
    </row>
    <row r="1521" spans="1:13" x14ac:dyDescent="0.25">
      <c r="A1521" s="3">
        <v>41952</v>
      </c>
      <c r="B1521" s="2" t="s">
        <v>39</v>
      </c>
      <c r="C1521" s="2">
        <v>22</v>
      </c>
      <c r="G1521" s="7" t="str">
        <f t="array" ref="G1521">IF(ROWS(K$20:K1521)&gt;$F$6,"",INDEX(A$2:A$10000,SMALL(IF(ISNUMBER(MATCH($B$2:$B$10000,$E$6:$E$22,0)),ROW($C$2:$C$10000)-ROW($C$2)+1),ROWS(K$20:K1521))))</f>
        <v/>
      </c>
      <c r="H1521" s="4" t="str">
        <f t="array" ref="H1521">IF(ROWS(L$20:L1521)&gt;$F$6,"",INDEX(B$2:B$10000,SMALL(IF(ISNUMBER(MATCH($B$2:$B$10000,$E$6:$E$22,0)),ROW($C$2:$C$10000)-ROW($C$2)+1),ROWS(L$20:L1521))))</f>
        <v/>
      </c>
      <c r="I1521" s="4" t="str">
        <f t="array" ref="I1521">IF(ROWS(M$20:M1521)&gt;$F$6,"",INDEX(C$2:C$10000,SMALL(IF(ISNUMBER(MATCH($B$2:$B$10000,$E$6:$E$22,0)),ROW($C$2:$C$10000)-ROW($C$2)+1),ROWS(M$20:M1521))))</f>
        <v/>
      </c>
      <c r="K1521" s="7" t="str">
        <f t="array" ref="K1521">IF(ROWS(K$20:K1521)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1521))))</f>
        <v/>
      </c>
      <c r="L1521" s="4" t="str">
        <f t="array" ref="L1521">IF(ROWS(L$20:L1521)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1521))))</f>
        <v/>
      </c>
      <c r="M1521" s="4" t="str">
        <f t="array" ref="M1521">IF(ROWS(M$20:M1521)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1521))))</f>
        <v/>
      </c>
    </row>
    <row r="1522" spans="1:13" x14ac:dyDescent="0.25">
      <c r="A1522" s="3">
        <v>41833</v>
      </c>
      <c r="B1522" s="2" t="s">
        <v>3</v>
      </c>
      <c r="C1522" s="2">
        <v>16</v>
      </c>
      <c r="G1522" s="7" t="str">
        <f t="array" ref="G1522">IF(ROWS(K$20:K1522)&gt;$F$6,"",INDEX(A$2:A$10000,SMALL(IF(ISNUMBER(MATCH($B$2:$B$10000,$E$6:$E$22,0)),ROW($C$2:$C$10000)-ROW($C$2)+1),ROWS(K$20:K1522))))</f>
        <v/>
      </c>
      <c r="H1522" s="4" t="str">
        <f t="array" ref="H1522">IF(ROWS(L$20:L1522)&gt;$F$6,"",INDEX(B$2:B$10000,SMALL(IF(ISNUMBER(MATCH($B$2:$B$10000,$E$6:$E$22,0)),ROW($C$2:$C$10000)-ROW($C$2)+1),ROWS(L$20:L1522))))</f>
        <v/>
      </c>
      <c r="I1522" s="4" t="str">
        <f t="array" ref="I1522">IF(ROWS(M$20:M1522)&gt;$F$6,"",INDEX(C$2:C$10000,SMALL(IF(ISNUMBER(MATCH($B$2:$B$10000,$E$6:$E$22,0)),ROW($C$2:$C$10000)-ROW($C$2)+1),ROWS(M$20:M1522))))</f>
        <v/>
      </c>
      <c r="K1522" s="7" t="str">
        <f t="array" ref="K1522">IF(ROWS(K$20:K1522)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1522))))</f>
        <v/>
      </c>
      <c r="L1522" s="4" t="str">
        <f t="array" ref="L1522">IF(ROWS(L$20:L1522)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1522))))</f>
        <v/>
      </c>
      <c r="M1522" s="4" t="str">
        <f t="array" ref="M1522">IF(ROWS(M$20:M1522)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1522))))</f>
        <v/>
      </c>
    </row>
    <row r="1523" spans="1:13" x14ac:dyDescent="0.25">
      <c r="A1523" s="3">
        <v>41298</v>
      </c>
      <c r="B1523" s="2" t="s">
        <v>20</v>
      </c>
      <c r="C1523" s="2">
        <v>28</v>
      </c>
      <c r="G1523" s="7" t="str">
        <f t="array" ref="G1523">IF(ROWS(K$20:K1523)&gt;$F$6,"",INDEX(A$2:A$10000,SMALL(IF(ISNUMBER(MATCH($B$2:$B$10000,$E$6:$E$22,0)),ROW($C$2:$C$10000)-ROW($C$2)+1),ROWS(K$20:K1523))))</f>
        <v/>
      </c>
      <c r="H1523" s="4" t="str">
        <f t="array" ref="H1523">IF(ROWS(L$20:L1523)&gt;$F$6,"",INDEX(B$2:B$10000,SMALL(IF(ISNUMBER(MATCH($B$2:$B$10000,$E$6:$E$22,0)),ROW($C$2:$C$10000)-ROW($C$2)+1),ROWS(L$20:L1523))))</f>
        <v/>
      </c>
      <c r="I1523" s="4" t="str">
        <f t="array" ref="I1523">IF(ROWS(M$20:M1523)&gt;$F$6,"",INDEX(C$2:C$10000,SMALL(IF(ISNUMBER(MATCH($B$2:$B$10000,$E$6:$E$22,0)),ROW($C$2:$C$10000)-ROW($C$2)+1),ROWS(M$20:M1523))))</f>
        <v/>
      </c>
      <c r="K1523" s="7" t="str">
        <f t="array" ref="K1523">IF(ROWS(K$20:K1523)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1523))))</f>
        <v/>
      </c>
      <c r="L1523" s="4" t="str">
        <f t="array" ref="L1523">IF(ROWS(L$20:L1523)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1523))))</f>
        <v/>
      </c>
      <c r="M1523" s="4" t="str">
        <f t="array" ref="M1523">IF(ROWS(M$20:M1523)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1523))))</f>
        <v/>
      </c>
    </row>
    <row r="1524" spans="1:13" x14ac:dyDescent="0.25">
      <c r="A1524" s="3">
        <v>41887</v>
      </c>
      <c r="B1524" s="2" t="s">
        <v>21</v>
      </c>
      <c r="C1524" s="2">
        <v>44</v>
      </c>
      <c r="G1524" s="7" t="str">
        <f t="array" ref="G1524">IF(ROWS(K$20:K1524)&gt;$F$6,"",INDEX(A$2:A$10000,SMALL(IF(ISNUMBER(MATCH($B$2:$B$10000,$E$6:$E$22,0)),ROW($C$2:$C$10000)-ROW($C$2)+1),ROWS(K$20:K1524))))</f>
        <v/>
      </c>
      <c r="H1524" s="4" t="str">
        <f t="array" ref="H1524">IF(ROWS(L$20:L1524)&gt;$F$6,"",INDEX(B$2:B$10000,SMALL(IF(ISNUMBER(MATCH($B$2:$B$10000,$E$6:$E$22,0)),ROW($C$2:$C$10000)-ROW($C$2)+1),ROWS(L$20:L1524))))</f>
        <v/>
      </c>
      <c r="I1524" s="4" t="str">
        <f t="array" ref="I1524">IF(ROWS(M$20:M1524)&gt;$F$6,"",INDEX(C$2:C$10000,SMALL(IF(ISNUMBER(MATCH($B$2:$B$10000,$E$6:$E$22,0)),ROW($C$2:$C$10000)-ROW($C$2)+1),ROWS(M$20:M1524))))</f>
        <v/>
      </c>
      <c r="K1524" s="7" t="str">
        <f t="array" ref="K1524">IF(ROWS(K$20:K1524)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1524))))</f>
        <v/>
      </c>
      <c r="L1524" s="4" t="str">
        <f t="array" ref="L1524">IF(ROWS(L$20:L1524)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1524))))</f>
        <v/>
      </c>
      <c r="M1524" s="4" t="str">
        <f t="array" ref="M1524">IF(ROWS(M$20:M1524)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1524))))</f>
        <v/>
      </c>
    </row>
    <row r="1525" spans="1:13" x14ac:dyDescent="0.25">
      <c r="A1525" s="3">
        <v>41893</v>
      </c>
      <c r="B1525" s="2" t="s">
        <v>50</v>
      </c>
      <c r="C1525" s="2">
        <v>8</v>
      </c>
      <c r="G1525" s="7" t="str">
        <f t="array" ref="G1525">IF(ROWS(K$20:K1525)&gt;$F$6,"",INDEX(A$2:A$10000,SMALL(IF(ISNUMBER(MATCH($B$2:$B$10000,$E$6:$E$22,0)),ROW($C$2:$C$10000)-ROW($C$2)+1),ROWS(K$20:K1525))))</f>
        <v/>
      </c>
      <c r="H1525" s="4" t="str">
        <f t="array" ref="H1525">IF(ROWS(L$20:L1525)&gt;$F$6,"",INDEX(B$2:B$10000,SMALL(IF(ISNUMBER(MATCH($B$2:$B$10000,$E$6:$E$22,0)),ROW($C$2:$C$10000)-ROW($C$2)+1),ROWS(L$20:L1525))))</f>
        <v/>
      </c>
      <c r="I1525" s="4" t="str">
        <f t="array" ref="I1525">IF(ROWS(M$20:M1525)&gt;$F$6,"",INDEX(C$2:C$10000,SMALL(IF(ISNUMBER(MATCH($B$2:$B$10000,$E$6:$E$22,0)),ROW($C$2:$C$10000)-ROW($C$2)+1),ROWS(M$20:M1525))))</f>
        <v/>
      </c>
      <c r="K1525" s="7" t="str">
        <f t="array" ref="K1525">IF(ROWS(K$20:K1525)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1525))))</f>
        <v/>
      </c>
      <c r="L1525" s="4" t="str">
        <f t="array" ref="L1525">IF(ROWS(L$20:L1525)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1525))))</f>
        <v/>
      </c>
      <c r="M1525" s="4" t="str">
        <f t="array" ref="M1525">IF(ROWS(M$20:M1525)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1525))))</f>
        <v/>
      </c>
    </row>
    <row r="1526" spans="1:13" x14ac:dyDescent="0.25">
      <c r="A1526" s="3">
        <v>41943</v>
      </c>
      <c r="B1526" s="2" t="s">
        <v>30</v>
      </c>
      <c r="C1526" s="2">
        <v>35</v>
      </c>
      <c r="G1526" s="7" t="str">
        <f t="array" ref="G1526">IF(ROWS(K$20:K1526)&gt;$F$6,"",INDEX(A$2:A$10000,SMALL(IF(ISNUMBER(MATCH($B$2:$B$10000,$E$6:$E$22,0)),ROW($C$2:$C$10000)-ROW($C$2)+1),ROWS(K$20:K1526))))</f>
        <v/>
      </c>
      <c r="H1526" s="4" t="str">
        <f t="array" ref="H1526">IF(ROWS(L$20:L1526)&gt;$F$6,"",INDEX(B$2:B$10000,SMALL(IF(ISNUMBER(MATCH($B$2:$B$10000,$E$6:$E$22,0)),ROW($C$2:$C$10000)-ROW($C$2)+1),ROWS(L$20:L1526))))</f>
        <v/>
      </c>
      <c r="I1526" s="4" t="str">
        <f t="array" ref="I1526">IF(ROWS(M$20:M1526)&gt;$F$6,"",INDEX(C$2:C$10000,SMALL(IF(ISNUMBER(MATCH($B$2:$B$10000,$E$6:$E$22,0)),ROW($C$2:$C$10000)-ROW($C$2)+1),ROWS(M$20:M1526))))</f>
        <v/>
      </c>
      <c r="K1526" s="7" t="str">
        <f t="array" ref="K1526">IF(ROWS(K$20:K1526)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1526))))</f>
        <v/>
      </c>
      <c r="L1526" s="4" t="str">
        <f t="array" ref="L1526">IF(ROWS(L$20:L1526)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1526))))</f>
        <v/>
      </c>
      <c r="M1526" s="4" t="str">
        <f t="array" ref="M1526">IF(ROWS(M$20:M1526)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1526))))</f>
        <v/>
      </c>
    </row>
    <row r="1527" spans="1:13" x14ac:dyDescent="0.25">
      <c r="A1527" s="3">
        <v>41377</v>
      </c>
      <c r="B1527" s="2" t="s">
        <v>32</v>
      </c>
      <c r="C1527" s="2">
        <v>60</v>
      </c>
      <c r="G1527" s="7" t="str">
        <f t="array" ref="G1527">IF(ROWS(K$20:K1527)&gt;$F$6,"",INDEX(A$2:A$10000,SMALL(IF(ISNUMBER(MATCH($B$2:$B$10000,$E$6:$E$22,0)),ROW($C$2:$C$10000)-ROW($C$2)+1),ROWS(K$20:K1527))))</f>
        <v/>
      </c>
      <c r="H1527" s="4" t="str">
        <f t="array" ref="H1527">IF(ROWS(L$20:L1527)&gt;$F$6,"",INDEX(B$2:B$10000,SMALL(IF(ISNUMBER(MATCH($B$2:$B$10000,$E$6:$E$22,0)),ROW($C$2:$C$10000)-ROW($C$2)+1),ROWS(L$20:L1527))))</f>
        <v/>
      </c>
      <c r="I1527" s="4" t="str">
        <f t="array" ref="I1527">IF(ROWS(M$20:M1527)&gt;$F$6,"",INDEX(C$2:C$10000,SMALL(IF(ISNUMBER(MATCH($B$2:$B$10000,$E$6:$E$22,0)),ROW($C$2:$C$10000)-ROW($C$2)+1),ROWS(M$20:M1527))))</f>
        <v/>
      </c>
      <c r="K1527" s="7" t="str">
        <f t="array" ref="K1527">IF(ROWS(K$20:K1527)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1527))))</f>
        <v/>
      </c>
      <c r="L1527" s="4" t="str">
        <f t="array" ref="L1527">IF(ROWS(L$20:L1527)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1527))))</f>
        <v/>
      </c>
      <c r="M1527" s="4" t="str">
        <f t="array" ref="M1527">IF(ROWS(M$20:M1527)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1527))))</f>
        <v/>
      </c>
    </row>
    <row r="1528" spans="1:13" x14ac:dyDescent="0.25">
      <c r="A1528" s="3">
        <v>41393</v>
      </c>
      <c r="B1528" s="2" t="s">
        <v>37</v>
      </c>
      <c r="C1528" s="2">
        <v>25</v>
      </c>
      <c r="G1528" s="7" t="str">
        <f t="array" ref="G1528">IF(ROWS(K$20:K1528)&gt;$F$6,"",INDEX(A$2:A$10000,SMALL(IF(ISNUMBER(MATCH($B$2:$B$10000,$E$6:$E$22,0)),ROW($C$2:$C$10000)-ROW($C$2)+1),ROWS(K$20:K1528))))</f>
        <v/>
      </c>
      <c r="H1528" s="4" t="str">
        <f t="array" ref="H1528">IF(ROWS(L$20:L1528)&gt;$F$6,"",INDEX(B$2:B$10000,SMALL(IF(ISNUMBER(MATCH($B$2:$B$10000,$E$6:$E$22,0)),ROW($C$2:$C$10000)-ROW($C$2)+1),ROWS(L$20:L1528))))</f>
        <v/>
      </c>
      <c r="I1528" s="4" t="str">
        <f t="array" ref="I1528">IF(ROWS(M$20:M1528)&gt;$F$6,"",INDEX(C$2:C$10000,SMALL(IF(ISNUMBER(MATCH($B$2:$B$10000,$E$6:$E$22,0)),ROW($C$2:$C$10000)-ROW($C$2)+1),ROWS(M$20:M1528))))</f>
        <v/>
      </c>
      <c r="K1528" s="7" t="str">
        <f t="array" ref="K1528">IF(ROWS(K$20:K1528)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1528))))</f>
        <v/>
      </c>
      <c r="L1528" s="4" t="str">
        <f t="array" ref="L1528">IF(ROWS(L$20:L1528)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1528))))</f>
        <v/>
      </c>
      <c r="M1528" s="4" t="str">
        <f t="array" ref="M1528">IF(ROWS(M$20:M1528)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1528))))</f>
        <v/>
      </c>
    </row>
    <row r="1529" spans="1:13" x14ac:dyDescent="0.25">
      <c r="A1529" s="3">
        <v>41627</v>
      </c>
      <c r="B1529" s="2" t="s">
        <v>46</v>
      </c>
      <c r="C1529" s="2">
        <v>27</v>
      </c>
      <c r="G1529" s="7" t="str">
        <f t="array" ref="G1529">IF(ROWS(K$20:K1529)&gt;$F$6,"",INDEX(A$2:A$10000,SMALL(IF(ISNUMBER(MATCH($B$2:$B$10000,$E$6:$E$22,0)),ROW($C$2:$C$10000)-ROW($C$2)+1),ROWS(K$20:K1529))))</f>
        <v/>
      </c>
      <c r="H1529" s="4" t="str">
        <f t="array" ref="H1529">IF(ROWS(L$20:L1529)&gt;$F$6,"",INDEX(B$2:B$10000,SMALL(IF(ISNUMBER(MATCH($B$2:$B$10000,$E$6:$E$22,0)),ROW($C$2:$C$10000)-ROW($C$2)+1),ROWS(L$20:L1529))))</f>
        <v/>
      </c>
      <c r="I1529" s="4" t="str">
        <f t="array" ref="I1529">IF(ROWS(M$20:M1529)&gt;$F$6,"",INDEX(C$2:C$10000,SMALL(IF(ISNUMBER(MATCH($B$2:$B$10000,$E$6:$E$22,0)),ROW($C$2:$C$10000)-ROW($C$2)+1),ROWS(M$20:M1529))))</f>
        <v/>
      </c>
      <c r="K1529" s="7" t="str">
        <f t="array" ref="K1529">IF(ROWS(K$20:K1529)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1529))))</f>
        <v/>
      </c>
      <c r="L1529" s="4" t="str">
        <f t="array" ref="L1529">IF(ROWS(L$20:L1529)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1529))))</f>
        <v/>
      </c>
      <c r="M1529" s="4" t="str">
        <f t="array" ref="M1529">IF(ROWS(M$20:M1529)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1529))))</f>
        <v/>
      </c>
    </row>
    <row r="1530" spans="1:13" x14ac:dyDescent="0.25">
      <c r="A1530" s="3">
        <v>41560</v>
      </c>
      <c r="B1530" s="2" t="s">
        <v>31</v>
      </c>
      <c r="C1530" s="2">
        <v>18</v>
      </c>
      <c r="G1530" s="7" t="str">
        <f t="array" ref="G1530">IF(ROWS(K$20:K1530)&gt;$F$6,"",INDEX(A$2:A$10000,SMALL(IF(ISNUMBER(MATCH($B$2:$B$10000,$E$6:$E$22,0)),ROW($C$2:$C$10000)-ROW($C$2)+1),ROWS(K$20:K1530))))</f>
        <v/>
      </c>
      <c r="H1530" s="4" t="str">
        <f t="array" ref="H1530">IF(ROWS(L$20:L1530)&gt;$F$6,"",INDEX(B$2:B$10000,SMALL(IF(ISNUMBER(MATCH($B$2:$B$10000,$E$6:$E$22,0)),ROW($C$2:$C$10000)-ROW($C$2)+1),ROWS(L$20:L1530))))</f>
        <v/>
      </c>
      <c r="I1530" s="4" t="str">
        <f t="array" ref="I1530">IF(ROWS(M$20:M1530)&gt;$F$6,"",INDEX(C$2:C$10000,SMALL(IF(ISNUMBER(MATCH($B$2:$B$10000,$E$6:$E$22,0)),ROW($C$2:$C$10000)-ROW($C$2)+1),ROWS(M$20:M1530))))</f>
        <v/>
      </c>
      <c r="K1530" s="7" t="str">
        <f t="array" ref="K1530">IF(ROWS(K$20:K1530)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1530))))</f>
        <v/>
      </c>
      <c r="L1530" s="4" t="str">
        <f t="array" ref="L1530">IF(ROWS(L$20:L1530)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1530))))</f>
        <v/>
      </c>
      <c r="M1530" s="4" t="str">
        <f t="array" ref="M1530">IF(ROWS(M$20:M1530)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1530))))</f>
        <v/>
      </c>
    </row>
    <row r="1531" spans="1:13" x14ac:dyDescent="0.25">
      <c r="A1531" s="3">
        <v>41743</v>
      </c>
      <c r="B1531" s="2" t="s">
        <v>35</v>
      </c>
      <c r="C1531" s="2">
        <v>53</v>
      </c>
      <c r="G1531" s="7" t="str">
        <f t="array" ref="G1531">IF(ROWS(K$20:K1531)&gt;$F$6,"",INDEX(A$2:A$10000,SMALL(IF(ISNUMBER(MATCH($B$2:$B$10000,$E$6:$E$22,0)),ROW($C$2:$C$10000)-ROW($C$2)+1),ROWS(K$20:K1531))))</f>
        <v/>
      </c>
      <c r="H1531" s="4" t="str">
        <f t="array" ref="H1531">IF(ROWS(L$20:L1531)&gt;$F$6,"",INDEX(B$2:B$10000,SMALL(IF(ISNUMBER(MATCH($B$2:$B$10000,$E$6:$E$22,0)),ROW($C$2:$C$10000)-ROW($C$2)+1),ROWS(L$20:L1531))))</f>
        <v/>
      </c>
      <c r="I1531" s="4" t="str">
        <f t="array" ref="I1531">IF(ROWS(M$20:M1531)&gt;$F$6,"",INDEX(C$2:C$10000,SMALL(IF(ISNUMBER(MATCH($B$2:$B$10000,$E$6:$E$22,0)),ROW($C$2:$C$10000)-ROW($C$2)+1),ROWS(M$20:M1531))))</f>
        <v/>
      </c>
      <c r="K1531" s="7" t="str">
        <f t="array" ref="K1531">IF(ROWS(K$20:K1531)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1531))))</f>
        <v/>
      </c>
      <c r="L1531" s="4" t="str">
        <f t="array" ref="L1531">IF(ROWS(L$20:L1531)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1531))))</f>
        <v/>
      </c>
      <c r="M1531" s="4" t="str">
        <f t="array" ref="M1531">IF(ROWS(M$20:M1531)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1531))))</f>
        <v/>
      </c>
    </row>
    <row r="1532" spans="1:13" x14ac:dyDescent="0.25">
      <c r="A1532" s="3">
        <v>41655</v>
      </c>
      <c r="B1532" s="2" t="s">
        <v>30</v>
      </c>
      <c r="C1532" s="2">
        <v>20</v>
      </c>
      <c r="G1532" s="7" t="str">
        <f t="array" ref="G1532">IF(ROWS(K$20:K1532)&gt;$F$6,"",INDEX(A$2:A$10000,SMALL(IF(ISNUMBER(MATCH($B$2:$B$10000,$E$6:$E$22,0)),ROW($C$2:$C$10000)-ROW($C$2)+1),ROWS(K$20:K1532))))</f>
        <v/>
      </c>
      <c r="H1532" s="4" t="str">
        <f t="array" ref="H1532">IF(ROWS(L$20:L1532)&gt;$F$6,"",INDEX(B$2:B$10000,SMALL(IF(ISNUMBER(MATCH($B$2:$B$10000,$E$6:$E$22,0)),ROW($C$2:$C$10000)-ROW($C$2)+1),ROWS(L$20:L1532))))</f>
        <v/>
      </c>
      <c r="I1532" s="4" t="str">
        <f t="array" ref="I1532">IF(ROWS(M$20:M1532)&gt;$F$6,"",INDEX(C$2:C$10000,SMALL(IF(ISNUMBER(MATCH($B$2:$B$10000,$E$6:$E$22,0)),ROW($C$2:$C$10000)-ROW($C$2)+1),ROWS(M$20:M1532))))</f>
        <v/>
      </c>
      <c r="K1532" s="7" t="str">
        <f t="array" ref="K1532">IF(ROWS(K$20:K1532)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1532))))</f>
        <v/>
      </c>
      <c r="L1532" s="4" t="str">
        <f t="array" ref="L1532">IF(ROWS(L$20:L1532)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1532))))</f>
        <v/>
      </c>
      <c r="M1532" s="4" t="str">
        <f t="array" ref="M1532">IF(ROWS(M$20:M1532)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1532))))</f>
        <v/>
      </c>
    </row>
    <row r="1533" spans="1:13" x14ac:dyDescent="0.25">
      <c r="A1533" s="3">
        <v>41279</v>
      </c>
      <c r="B1533" s="2" t="s">
        <v>34</v>
      </c>
      <c r="C1533" s="2">
        <v>12</v>
      </c>
      <c r="G1533" s="7" t="str">
        <f t="array" ref="G1533">IF(ROWS(K$20:K1533)&gt;$F$6,"",INDEX(A$2:A$10000,SMALL(IF(ISNUMBER(MATCH($B$2:$B$10000,$E$6:$E$22,0)),ROW($C$2:$C$10000)-ROW($C$2)+1),ROWS(K$20:K1533))))</f>
        <v/>
      </c>
      <c r="H1533" s="4" t="str">
        <f t="array" ref="H1533">IF(ROWS(L$20:L1533)&gt;$F$6,"",INDEX(B$2:B$10000,SMALL(IF(ISNUMBER(MATCH($B$2:$B$10000,$E$6:$E$22,0)),ROW($C$2:$C$10000)-ROW($C$2)+1),ROWS(L$20:L1533))))</f>
        <v/>
      </c>
      <c r="I1533" s="4" t="str">
        <f t="array" ref="I1533">IF(ROWS(M$20:M1533)&gt;$F$6,"",INDEX(C$2:C$10000,SMALL(IF(ISNUMBER(MATCH($B$2:$B$10000,$E$6:$E$22,0)),ROW($C$2:$C$10000)-ROW($C$2)+1),ROWS(M$20:M1533))))</f>
        <v/>
      </c>
      <c r="K1533" s="7" t="str">
        <f t="array" ref="K1533">IF(ROWS(K$20:K1533)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1533))))</f>
        <v/>
      </c>
      <c r="L1533" s="4" t="str">
        <f t="array" ref="L1533">IF(ROWS(L$20:L1533)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1533))))</f>
        <v/>
      </c>
      <c r="M1533" s="4" t="str">
        <f t="array" ref="M1533">IF(ROWS(M$20:M1533)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1533))))</f>
        <v/>
      </c>
    </row>
    <row r="1534" spans="1:13" x14ac:dyDescent="0.25">
      <c r="A1534" s="3">
        <v>41719</v>
      </c>
      <c r="B1534" s="2" t="s">
        <v>40</v>
      </c>
      <c r="C1534" s="2">
        <v>33</v>
      </c>
      <c r="G1534" s="7" t="str">
        <f t="array" ref="G1534">IF(ROWS(K$20:K1534)&gt;$F$6,"",INDEX(A$2:A$10000,SMALL(IF(ISNUMBER(MATCH($B$2:$B$10000,$E$6:$E$22,0)),ROW($C$2:$C$10000)-ROW($C$2)+1),ROWS(K$20:K1534))))</f>
        <v/>
      </c>
      <c r="H1534" s="4" t="str">
        <f t="array" ref="H1534">IF(ROWS(L$20:L1534)&gt;$F$6,"",INDEX(B$2:B$10000,SMALL(IF(ISNUMBER(MATCH($B$2:$B$10000,$E$6:$E$22,0)),ROW($C$2:$C$10000)-ROW($C$2)+1),ROWS(L$20:L1534))))</f>
        <v/>
      </c>
      <c r="I1534" s="4" t="str">
        <f t="array" ref="I1534">IF(ROWS(M$20:M1534)&gt;$F$6,"",INDEX(C$2:C$10000,SMALL(IF(ISNUMBER(MATCH($B$2:$B$10000,$E$6:$E$22,0)),ROW($C$2:$C$10000)-ROW($C$2)+1),ROWS(M$20:M1534))))</f>
        <v/>
      </c>
      <c r="K1534" s="7" t="str">
        <f t="array" ref="K1534">IF(ROWS(K$20:K1534)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1534))))</f>
        <v/>
      </c>
      <c r="L1534" s="4" t="str">
        <f t="array" ref="L1534">IF(ROWS(L$20:L1534)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1534))))</f>
        <v/>
      </c>
      <c r="M1534" s="4" t="str">
        <f t="array" ref="M1534">IF(ROWS(M$20:M1534)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1534))))</f>
        <v/>
      </c>
    </row>
    <row r="1535" spans="1:13" x14ac:dyDescent="0.25">
      <c r="A1535" s="3">
        <v>41422</v>
      </c>
      <c r="B1535" s="2" t="s">
        <v>9</v>
      </c>
      <c r="C1535" s="2">
        <v>20</v>
      </c>
      <c r="G1535" s="7" t="str">
        <f t="array" ref="G1535">IF(ROWS(K$20:K1535)&gt;$F$6,"",INDEX(A$2:A$10000,SMALL(IF(ISNUMBER(MATCH($B$2:$B$10000,$E$6:$E$22,0)),ROW($C$2:$C$10000)-ROW($C$2)+1),ROWS(K$20:K1535))))</f>
        <v/>
      </c>
      <c r="H1535" s="4" t="str">
        <f t="array" ref="H1535">IF(ROWS(L$20:L1535)&gt;$F$6,"",INDEX(B$2:B$10000,SMALL(IF(ISNUMBER(MATCH($B$2:$B$10000,$E$6:$E$22,0)),ROW($C$2:$C$10000)-ROW($C$2)+1),ROWS(L$20:L1535))))</f>
        <v/>
      </c>
      <c r="I1535" s="4" t="str">
        <f t="array" ref="I1535">IF(ROWS(M$20:M1535)&gt;$F$6,"",INDEX(C$2:C$10000,SMALL(IF(ISNUMBER(MATCH($B$2:$B$10000,$E$6:$E$22,0)),ROW($C$2:$C$10000)-ROW($C$2)+1),ROWS(M$20:M1535))))</f>
        <v/>
      </c>
      <c r="K1535" s="7" t="str">
        <f t="array" ref="K1535">IF(ROWS(K$20:K1535)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1535))))</f>
        <v/>
      </c>
      <c r="L1535" s="4" t="str">
        <f t="array" ref="L1535">IF(ROWS(L$20:L1535)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1535))))</f>
        <v/>
      </c>
      <c r="M1535" s="4" t="str">
        <f t="array" ref="M1535">IF(ROWS(M$20:M1535)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1535))))</f>
        <v/>
      </c>
    </row>
    <row r="1536" spans="1:13" x14ac:dyDescent="0.25">
      <c r="A1536" s="3">
        <v>41950</v>
      </c>
      <c r="B1536" s="2" t="s">
        <v>29</v>
      </c>
      <c r="C1536" s="2">
        <v>11</v>
      </c>
      <c r="G1536" s="7" t="str">
        <f t="array" ref="G1536">IF(ROWS(K$20:K1536)&gt;$F$6,"",INDEX(A$2:A$10000,SMALL(IF(ISNUMBER(MATCH($B$2:$B$10000,$E$6:$E$22,0)),ROW($C$2:$C$10000)-ROW($C$2)+1),ROWS(K$20:K1536))))</f>
        <v/>
      </c>
      <c r="H1536" s="4" t="str">
        <f t="array" ref="H1536">IF(ROWS(L$20:L1536)&gt;$F$6,"",INDEX(B$2:B$10000,SMALL(IF(ISNUMBER(MATCH($B$2:$B$10000,$E$6:$E$22,0)),ROW($C$2:$C$10000)-ROW($C$2)+1),ROWS(L$20:L1536))))</f>
        <v/>
      </c>
      <c r="I1536" s="4" t="str">
        <f t="array" ref="I1536">IF(ROWS(M$20:M1536)&gt;$F$6,"",INDEX(C$2:C$10000,SMALL(IF(ISNUMBER(MATCH($B$2:$B$10000,$E$6:$E$22,0)),ROW($C$2:$C$10000)-ROW($C$2)+1),ROWS(M$20:M1536))))</f>
        <v/>
      </c>
      <c r="K1536" s="7" t="str">
        <f t="array" ref="K1536">IF(ROWS(K$20:K1536)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1536))))</f>
        <v/>
      </c>
      <c r="L1536" s="4" t="str">
        <f t="array" ref="L1536">IF(ROWS(L$20:L1536)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1536))))</f>
        <v/>
      </c>
      <c r="M1536" s="4" t="str">
        <f t="array" ref="M1536">IF(ROWS(M$20:M1536)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1536))))</f>
        <v/>
      </c>
    </row>
    <row r="1537" spans="1:13" x14ac:dyDescent="0.25">
      <c r="A1537" s="3">
        <v>41285</v>
      </c>
      <c r="B1537" s="2" t="s">
        <v>46</v>
      </c>
      <c r="C1537" s="2">
        <v>41</v>
      </c>
      <c r="G1537" s="7" t="str">
        <f t="array" ref="G1537">IF(ROWS(K$20:K1537)&gt;$F$6,"",INDEX(A$2:A$10000,SMALL(IF(ISNUMBER(MATCH($B$2:$B$10000,$E$6:$E$22,0)),ROW($C$2:$C$10000)-ROW($C$2)+1),ROWS(K$20:K1537))))</f>
        <v/>
      </c>
      <c r="H1537" s="4" t="str">
        <f t="array" ref="H1537">IF(ROWS(L$20:L1537)&gt;$F$6,"",INDEX(B$2:B$10000,SMALL(IF(ISNUMBER(MATCH($B$2:$B$10000,$E$6:$E$22,0)),ROW($C$2:$C$10000)-ROW($C$2)+1),ROWS(L$20:L1537))))</f>
        <v/>
      </c>
      <c r="I1537" s="4" t="str">
        <f t="array" ref="I1537">IF(ROWS(M$20:M1537)&gt;$F$6,"",INDEX(C$2:C$10000,SMALL(IF(ISNUMBER(MATCH($B$2:$B$10000,$E$6:$E$22,0)),ROW($C$2:$C$10000)-ROW($C$2)+1),ROWS(M$20:M1537))))</f>
        <v/>
      </c>
      <c r="K1537" s="7" t="str">
        <f t="array" ref="K1537">IF(ROWS(K$20:K1537)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1537))))</f>
        <v/>
      </c>
      <c r="L1537" s="4" t="str">
        <f t="array" ref="L1537">IF(ROWS(L$20:L1537)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1537))))</f>
        <v/>
      </c>
      <c r="M1537" s="4" t="str">
        <f t="array" ref="M1537">IF(ROWS(M$20:M1537)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1537))))</f>
        <v/>
      </c>
    </row>
    <row r="1538" spans="1:13" x14ac:dyDescent="0.25">
      <c r="A1538" s="3">
        <v>41778</v>
      </c>
      <c r="B1538" s="2" t="s">
        <v>39</v>
      </c>
      <c r="C1538" s="2">
        <v>8</v>
      </c>
      <c r="G1538" s="7" t="str">
        <f t="array" ref="G1538">IF(ROWS(K$20:K1538)&gt;$F$6,"",INDEX(A$2:A$10000,SMALL(IF(ISNUMBER(MATCH($B$2:$B$10000,$E$6:$E$22,0)),ROW($C$2:$C$10000)-ROW($C$2)+1),ROWS(K$20:K1538))))</f>
        <v/>
      </c>
      <c r="H1538" s="4" t="str">
        <f t="array" ref="H1538">IF(ROWS(L$20:L1538)&gt;$F$6,"",INDEX(B$2:B$10000,SMALL(IF(ISNUMBER(MATCH($B$2:$B$10000,$E$6:$E$22,0)),ROW($C$2:$C$10000)-ROW($C$2)+1),ROWS(L$20:L1538))))</f>
        <v/>
      </c>
      <c r="I1538" s="4" t="str">
        <f t="array" ref="I1538">IF(ROWS(M$20:M1538)&gt;$F$6,"",INDEX(C$2:C$10000,SMALL(IF(ISNUMBER(MATCH($B$2:$B$10000,$E$6:$E$22,0)),ROW($C$2:$C$10000)-ROW($C$2)+1),ROWS(M$20:M1538))))</f>
        <v/>
      </c>
      <c r="K1538" s="7" t="str">
        <f t="array" ref="K1538">IF(ROWS(K$20:K1538)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1538))))</f>
        <v/>
      </c>
      <c r="L1538" s="4" t="str">
        <f t="array" ref="L1538">IF(ROWS(L$20:L1538)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1538))))</f>
        <v/>
      </c>
      <c r="M1538" s="4" t="str">
        <f t="array" ref="M1538">IF(ROWS(M$20:M1538)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1538))))</f>
        <v/>
      </c>
    </row>
    <row r="1539" spans="1:13" x14ac:dyDescent="0.25">
      <c r="A1539" s="3">
        <v>41321</v>
      </c>
      <c r="B1539" s="2" t="s">
        <v>19</v>
      </c>
      <c r="C1539" s="2">
        <v>17</v>
      </c>
      <c r="G1539" s="7" t="str">
        <f t="array" ref="G1539">IF(ROWS(K$20:K1539)&gt;$F$6,"",INDEX(A$2:A$10000,SMALL(IF(ISNUMBER(MATCH($B$2:$B$10000,$E$6:$E$22,0)),ROW($C$2:$C$10000)-ROW($C$2)+1),ROWS(K$20:K1539))))</f>
        <v/>
      </c>
      <c r="H1539" s="4" t="str">
        <f t="array" ref="H1539">IF(ROWS(L$20:L1539)&gt;$F$6,"",INDEX(B$2:B$10000,SMALL(IF(ISNUMBER(MATCH($B$2:$B$10000,$E$6:$E$22,0)),ROW($C$2:$C$10000)-ROW($C$2)+1),ROWS(L$20:L1539))))</f>
        <v/>
      </c>
      <c r="I1539" s="4" t="str">
        <f t="array" ref="I1539">IF(ROWS(M$20:M1539)&gt;$F$6,"",INDEX(C$2:C$10000,SMALL(IF(ISNUMBER(MATCH($B$2:$B$10000,$E$6:$E$22,0)),ROW($C$2:$C$10000)-ROW($C$2)+1),ROWS(M$20:M1539))))</f>
        <v/>
      </c>
      <c r="K1539" s="7" t="str">
        <f t="array" ref="K1539">IF(ROWS(K$20:K1539)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1539))))</f>
        <v/>
      </c>
      <c r="L1539" s="4" t="str">
        <f t="array" ref="L1539">IF(ROWS(L$20:L1539)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1539))))</f>
        <v/>
      </c>
      <c r="M1539" s="4" t="str">
        <f t="array" ref="M1539">IF(ROWS(M$20:M1539)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1539))))</f>
        <v/>
      </c>
    </row>
    <row r="1540" spans="1:13" x14ac:dyDescent="0.25">
      <c r="A1540" s="3">
        <v>41792</v>
      </c>
      <c r="B1540" s="2" t="s">
        <v>31</v>
      </c>
      <c r="C1540" s="2">
        <v>21</v>
      </c>
      <c r="G1540" s="7" t="str">
        <f t="array" ref="G1540">IF(ROWS(K$20:K1540)&gt;$F$6,"",INDEX(A$2:A$10000,SMALL(IF(ISNUMBER(MATCH($B$2:$B$10000,$E$6:$E$22,0)),ROW($C$2:$C$10000)-ROW($C$2)+1),ROWS(K$20:K1540))))</f>
        <v/>
      </c>
      <c r="H1540" s="4" t="str">
        <f t="array" ref="H1540">IF(ROWS(L$20:L1540)&gt;$F$6,"",INDEX(B$2:B$10000,SMALL(IF(ISNUMBER(MATCH($B$2:$B$10000,$E$6:$E$22,0)),ROW($C$2:$C$10000)-ROW($C$2)+1),ROWS(L$20:L1540))))</f>
        <v/>
      </c>
      <c r="I1540" s="4" t="str">
        <f t="array" ref="I1540">IF(ROWS(M$20:M1540)&gt;$F$6,"",INDEX(C$2:C$10000,SMALL(IF(ISNUMBER(MATCH($B$2:$B$10000,$E$6:$E$22,0)),ROW($C$2:$C$10000)-ROW($C$2)+1),ROWS(M$20:M1540))))</f>
        <v/>
      </c>
      <c r="K1540" s="7" t="str">
        <f t="array" ref="K1540">IF(ROWS(K$20:K1540)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1540))))</f>
        <v/>
      </c>
      <c r="L1540" s="4" t="str">
        <f t="array" ref="L1540">IF(ROWS(L$20:L1540)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1540))))</f>
        <v/>
      </c>
      <c r="M1540" s="4" t="str">
        <f t="array" ref="M1540">IF(ROWS(M$20:M1540)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1540))))</f>
        <v/>
      </c>
    </row>
    <row r="1541" spans="1:13" x14ac:dyDescent="0.25">
      <c r="A1541" s="3">
        <v>41720</v>
      </c>
      <c r="B1541" s="2" t="s">
        <v>36</v>
      </c>
      <c r="C1541" s="2">
        <v>6</v>
      </c>
      <c r="G1541" s="7" t="str">
        <f t="array" ref="G1541">IF(ROWS(K$20:K1541)&gt;$F$6,"",INDEX(A$2:A$10000,SMALL(IF(ISNUMBER(MATCH($B$2:$B$10000,$E$6:$E$22,0)),ROW($C$2:$C$10000)-ROW($C$2)+1),ROWS(K$20:K1541))))</f>
        <v/>
      </c>
      <c r="H1541" s="4" t="str">
        <f t="array" ref="H1541">IF(ROWS(L$20:L1541)&gt;$F$6,"",INDEX(B$2:B$10000,SMALL(IF(ISNUMBER(MATCH($B$2:$B$10000,$E$6:$E$22,0)),ROW($C$2:$C$10000)-ROW($C$2)+1),ROWS(L$20:L1541))))</f>
        <v/>
      </c>
      <c r="I1541" s="4" t="str">
        <f t="array" ref="I1541">IF(ROWS(M$20:M1541)&gt;$F$6,"",INDEX(C$2:C$10000,SMALL(IF(ISNUMBER(MATCH($B$2:$B$10000,$E$6:$E$22,0)),ROW($C$2:$C$10000)-ROW($C$2)+1),ROWS(M$20:M1541))))</f>
        <v/>
      </c>
      <c r="K1541" s="7" t="str">
        <f t="array" ref="K1541">IF(ROWS(K$20:K1541)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1541))))</f>
        <v/>
      </c>
      <c r="L1541" s="4" t="str">
        <f t="array" ref="L1541">IF(ROWS(L$20:L1541)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1541))))</f>
        <v/>
      </c>
      <c r="M1541" s="4" t="str">
        <f t="array" ref="M1541">IF(ROWS(M$20:M1541)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1541))))</f>
        <v/>
      </c>
    </row>
    <row r="1542" spans="1:13" x14ac:dyDescent="0.25">
      <c r="A1542" s="3">
        <v>41904</v>
      </c>
      <c r="B1542" s="2" t="s">
        <v>19</v>
      </c>
      <c r="C1542" s="2">
        <v>14</v>
      </c>
      <c r="G1542" s="7" t="str">
        <f t="array" ref="G1542">IF(ROWS(K$20:K1542)&gt;$F$6,"",INDEX(A$2:A$10000,SMALL(IF(ISNUMBER(MATCH($B$2:$B$10000,$E$6:$E$22,0)),ROW($C$2:$C$10000)-ROW($C$2)+1),ROWS(K$20:K1542))))</f>
        <v/>
      </c>
      <c r="H1542" s="4" t="str">
        <f t="array" ref="H1542">IF(ROWS(L$20:L1542)&gt;$F$6,"",INDEX(B$2:B$10000,SMALL(IF(ISNUMBER(MATCH($B$2:$B$10000,$E$6:$E$22,0)),ROW($C$2:$C$10000)-ROW($C$2)+1),ROWS(L$20:L1542))))</f>
        <v/>
      </c>
      <c r="I1542" s="4" t="str">
        <f t="array" ref="I1542">IF(ROWS(M$20:M1542)&gt;$F$6,"",INDEX(C$2:C$10000,SMALL(IF(ISNUMBER(MATCH($B$2:$B$10000,$E$6:$E$22,0)),ROW($C$2:$C$10000)-ROW($C$2)+1),ROWS(M$20:M1542))))</f>
        <v/>
      </c>
      <c r="K1542" s="7" t="str">
        <f t="array" ref="K1542">IF(ROWS(K$20:K1542)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1542))))</f>
        <v/>
      </c>
      <c r="L1542" s="4" t="str">
        <f t="array" ref="L1542">IF(ROWS(L$20:L1542)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1542))))</f>
        <v/>
      </c>
      <c r="M1542" s="4" t="str">
        <f t="array" ref="M1542">IF(ROWS(M$20:M1542)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1542))))</f>
        <v/>
      </c>
    </row>
    <row r="1543" spans="1:13" x14ac:dyDescent="0.25">
      <c r="A1543" s="3">
        <v>41567</v>
      </c>
      <c r="B1543" s="2" t="s">
        <v>50</v>
      </c>
      <c r="C1543" s="2">
        <v>34</v>
      </c>
      <c r="G1543" s="7" t="str">
        <f t="array" ref="G1543">IF(ROWS(K$20:K1543)&gt;$F$6,"",INDEX(A$2:A$10000,SMALL(IF(ISNUMBER(MATCH($B$2:$B$10000,$E$6:$E$22,0)),ROW($C$2:$C$10000)-ROW($C$2)+1),ROWS(K$20:K1543))))</f>
        <v/>
      </c>
      <c r="H1543" s="4" t="str">
        <f t="array" ref="H1543">IF(ROWS(L$20:L1543)&gt;$F$6,"",INDEX(B$2:B$10000,SMALL(IF(ISNUMBER(MATCH($B$2:$B$10000,$E$6:$E$22,0)),ROW($C$2:$C$10000)-ROW($C$2)+1),ROWS(L$20:L1543))))</f>
        <v/>
      </c>
      <c r="I1543" s="4" t="str">
        <f t="array" ref="I1543">IF(ROWS(M$20:M1543)&gt;$F$6,"",INDEX(C$2:C$10000,SMALL(IF(ISNUMBER(MATCH($B$2:$B$10000,$E$6:$E$22,0)),ROW($C$2:$C$10000)-ROW($C$2)+1),ROWS(M$20:M1543))))</f>
        <v/>
      </c>
      <c r="K1543" s="7" t="str">
        <f t="array" ref="K1543">IF(ROWS(K$20:K1543)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1543))))</f>
        <v/>
      </c>
      <c r="L1543" s="4" t="str">
        <f t="array" ref="L1543">IF(ROWS(L$20:L1543)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1543))))</f>
        <v/>
      </c>
      <c r="M1543" s="4" t="str">
        <f t="array" ref="M1543">IF(ROWS(M$20:M1543)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1543))))</f>
        <v/>
      </c>
    </row>
    <row r="1544" spans="1:13" x14ac:dyDescent="0.25">
      <c r="A1544" s="3">
        <v>41893</v>
      </c>
      <c r="B1544" s="2" t="s">
        <v>8</v>
      </c>
      <c r="C1544" s="2">
        <v>4</v>
      </c>
      <c r="G1544" s="7" t="str">
        <f t="array" ref="G1544">IF(ROWS(K$20:K1544)&gt;$F$6,"",INDEX(A$2:A$10000,SMALL(IF(ISNUMBER(MATCH($B$2:$B$10000,$E$6:$E$22,0)),ROW($C$2:$C$10000)-ROW($C$2)+1),ROWS(K$20:K1544))))</f>
        <v/>
      </c>
      <c r="H1544" s="4" t="str">
        <f t="array" ref="H1544">IF(ROWS(L$20:L1544)&gt;$F$6,"",INDEX(B$2:B$10000,SMALL(IF(ISNUMBER(MATCH($B$2:$B$10000,$E$6:$E$22,0)),ROW($C$2:$C$10000)-ROW($C$2)+1),ROWS(L$20:L1544))))</f>
        <v/>
      </c>
      <c r="I1544" s="4" t="str">
        <f t="array" ref="I1544">IF(ROWS(M$20:M1544)&gt;$F$6,"",INDEX(C$2:C$10000,SMALL(IF(ISNUMBER(MATCH($B$2:$B$10000,$E$6:$E$22,0)),ROW($C$2:$C$10000)-ROW($C$2)+1),ROWS(M$20:M1544))))</f>
        <v/>
      </c>
      <c r="K1544" s="7" t="str">
        <f t="array" ref="K1544">IF(ROWS(K$20:K1544)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1544))))</f>
        <v/>
      </c>
      <c r="L1544" s="4" t="str">
        <f t="array" ref="L1544">IF(ROWS(L$20:L1544)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1544))))</f>
        <v/>
      </c>
      <c r="M1544" s="4" t="str">
        <f t="array" ref="M1544">IF(ROWS(M$20:M1544)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1544))))</f>
        <v/>
      </c>
    </row>
    <row r="1545" spans="1:13" x14ac:dyDescent="0.25">
      <c r="A1545" s="3">
        <v>41509</v>
      </c>
      <c r="B1545" s="2" t="s">
        <v>2</v>
      </c>
      <c r="C1545" s="2">
        <v>34</v>
      </c>
      <c r="G1545" s="7" t="str">
        <f t="array" ref="G1545">IF(ROWS(K$20:K1545)&gt;$F$6,"",INDEX(A$2:A$10000,SMALL(IF(ISNUMBER(MATCH($B$2:$B$10000,$E$6:$E$22,0)),ROW($C$2:$C$10000)-ROW($C$2)+1),ROWS(K$20:K1545))))</f>
        <v/>
      </c>
      <c r="H1545" s="4" t="str">
        <f t="array" ref="H1545">IF(ROWS(L$20:L1545)&gt;$F$6,"",INDEX(B$2:B$10000,SMALL(IF(ISNUMBER(MATCH($B$2:$B$10000,$E$6:$E$22,0)),ROW($C$2:$C$10000)-ROW($C$2)+1),ROWS(L$20:L1545))))</f>
        <v/>
      </c>
      <c r="I1545" s="4" t="str">
        <f t="array" ref="I1545">IF(ROWS(M$20:M1545)&gt;$F$6,"",INDEX(C$2:C$10000,SMALL(IF(ISNUMBER(MATCH($B$2:$B$10000,$E$6:$E$22,0)),ROW($C$2:$C$10000)-ROW($C$2)+1),ROWS(M$20:M1545))))</f>
        <v/>
      </c>
      <c r="K1545" s="7" t="str">
        <f t="array" ref="K1545">IF(ROWS(K$20:K1545)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1545))))</f>
        <v/>
      </c>
      <c r="L1545" s="4" t="str">
        <f t="array" ref="L1545">IF(ROWS(L$20:L1545)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1545))))</f>
        <v/>
      </c>
      <c r="M1545" s="4" t="str">
        <f t="array" ref="M1545">IF(ROWS(M$20:M1545)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1545))))</f>
        <v/>
      </c>
    </row>
    <row r="1546" spans="1:13" x14ac:dyDescent="0.25">
      <c r="A1546" s="3">
        <v>41969</v>
      </c>
      <c r="B1546" s="2" t="s">
        <v>24</v>
      </c>
      <c r="C1546" s="2">
        <v>23</v>
      </c>
      <c r="G1546" s="7" t="str">
        <f t="array" ref="G1546">IF(ROWS(K$20:K1546)&gt;$F$6,"",INDEX(A$2:A$10000,SMALL(IF(ISNUMBER(MATCH($B$2:$B$10000,$E$6:$E$22,0)),ROW($C$2:$C$10000)-ROW($C$2)+1),ROWS(K$20:K1546))))</f>
        <v/>
      </c>
      <c r="H1546" s="4" t="str">
        <f t="array" ref="H1546">IF(ROWS(L$20:L1546)&gt;$F$6,"",INDEX(B$2:B$10000,SMALL(IF(ISNUMBER(MATCH($B$2:$B$10000,$E$6:$E$22,0)),ROW($C$2:$C$10000)-ROW($C$2)+1),ROWS(L$20:L1546))))</f>
        <v/>
      </c>
      <c r="I1546" s="4" t="str">
        <f t="array" ref="I1546">IF(ROWS(M$20:M1546)&gt;$F$6,"",INDEX(C$2:C$10000,SMALL(IF(ISNUMBER(MATCH($B$2:$B$10000,$E$6:$E$22,0)),ROW($C$2:$C$10000)-ROW($C$2)+1),ROWS(M$20:M1546))))</f>
        <v/>
      </c>
      <c r="K1546" s="7" t="str">
        <f t="array" ref="K1546">IF(ROWS(K$20:K1546)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1546))))</f>
        <v/>
      </c>
      <c r="L1546" s="4" t="str">
        <f t="array" ref="L1546">IF(ROWS(L$20:L1546)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1546))))</f>
        <v/>
      </c>
      <c r="M1546" s="4" t="str">
        <f t="array" ref="M1546">IF(ROWS(M$20:M1546)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1546))))</f>
        <v/>
      </c>
    </row>
    <row r="1547" spans="1:13" x14ac:dyDescent="0.25">
      <c r="A1547" s="3">
        <v>41878</v>
      </c>
      <c r="B1547" s="2" t="s">
        <v>46</v>
      </c>
      <c r="C1547" s="2">
        <v>2</v>
      </c>
      <c r="G1547" s="7" t="str">
        <f t="array" ref="G1547">IF(ROWS(K$20:K1547)&gt;$F$6,"",INDEX(A$2:A$10000,SMALL(IF(ISNUMBER(MATCH($B$2:$B$10000,$E$6:$E$22,0)),ROW($C$2:$C$10000)-ROW($C$2)+1),ROWS(K$20:K1547))))</f>
        <v/>
      </c>
      <c r="H1547" s="4" t="str">
        <f t="array" ref="H1547">IF(ROWS(L$20:L1547)&gt;$F$6,"",INDEX(B$2:B$10000,SMALL(IF(ISNUMBER(MATCH($B$2:$B$10000,$E$6:$E$22,0)),ROW($C$2:$C$10000)-ROW($C$2)+1),ROWS(L$20:L1547))))</f>
        <v/>
      </c>
      <c r="I1547" s="4" t="str">
        <f t="array" ref="I1547">IF(ROWS(M$20:M1547)&gt;$F$6,"",INDEX(C$2:C$10000,SMALL(IF(ISNUMBER(MATCH($B$2:$B$10000,$E$6:$E$22,0)),ROW($C$2:$C$10000)-ROW($C$2)+1),ROWS(M$20:M1547))))</f>
        <v/>
      </c>
      <c r="K1547" s="7" t="str">
        <f t="array" ref="K1547">IF(ROWS(K$20:K1547)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1547))))</f>
        <v/>
      </c>
      <c r="L1547" s="4" t="str">
        <f t="array" ref="L1547">IF(ROWS(L$20:L1547)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1547))))</f>
        <v/>
      </c>
      <c r="M1547" s="4" t="str">
        <f t="array" ref="M1547">IF(ROWS(M$20:M1547)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1547))))</f>
        <v/>
      </c>
    </row>
    <row r="1548" spans="1:13" x14ac:dyDescent="0.25">
      <c r="A1548" s="3">
        <v>41852</v>
      </c>
      <c r="B1548" s="2" t="s">
        <v>34</v>
      </c>
      <c r="C1548" s="2">
        <v>13</v>
      </c>
      <c r="G1548" s="7" t="str">
        <f t="array" ref="G1548">IF(ROWS(K$20:K1548)&gt;$F$6,"",INDEX(A$2:A$10000,SMALL(IF(ISNUMBER(MATCH($B$2:$B$10000,$E$6:$E$22,0)),ROW($C$2:$C$10000)-ROW($C$2)+1),ROWS(K$20:K1548))))</f>
        <v/>
      </c>
      <c r="H1548" s="4" t="str">
        <f t="array" ref="H1548">IF(ROWS(L$20:L1548)&gt;$F$6,"",INDEX(B$2:B$10000,SMALL(IF(ISNUMBER(MATCH($B$2:$B$10000,$E$6:$E$22,0)),ROW($C$2:$C$10000)-ROW($C$2)+1),ROWS(L$20:L1548))))</f>
        <v/>
      </c>
      <c r="I1548" s="4" t="str">
        <f t="array" ref="I1548">IF(ROWS(M$20:M1548)&gt;$F$6,"",INDEX(C$2:C$10000,SMALL(IF(ISNUMBER(MATCH($B$2:$B$10000,$E$6:$E$22,0)),ROW($C$2:$C$10000)-ROW($C$2)+1),ROWS(M$20:M1548))))</f>
        <v/>
      </c>
      <c r="K1548" s="7" t="str">
        <f t="array" ref="K1548">IF(ROWS(K$20:K1548)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1548))))</f>
        <v/>
      </c>
      <c r="L1548" s="4" t="str">
        <f t="array" ref="L1548">IF(ROWS(L$20:L1548)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1548))))</f>
        <v/>
      </c>
      <c r="M1548" s="4" t="str">
        <f t="array" ref="M1548">IF(ROWS(M$20:M1548)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1548))))</f>
        <v/>
      </c>
    </row>
    <row r="1549" spans="1:13" x14ac:dyDescent="0.25">
      <c r="A1549" s="3">
        <v>41936</v>
      </c>
      <c r="B1549" s="2" t="s">
        <v>13</v>
      </c>
      <c r="C1549" s="2">
        <v>4</v>
      </c>
      <c r="G1549" s="7" t="str">
        <f t="array" ref="G1549">IF(ROWS(K$20:K1549)&gt;$F$6,"",INDEX(A$2:A$10000,SMALL(IF(ISNUMBER(MATCH($B$2:$B$10000,$E$6:$E$22,0)),ROW($C$2:$C$10000)-ROW($C$2)+1),ROWS(K$20:K1549))))</f>
        <v/>
      </c>
      <c r="H1549" s="4" t="str">
        <f t="array" ref="H1549">IF(ROWS(L$20:L1549)&gt;$F$6,"",INDEX(B$2:B$10000,SMALL(IF(ISNUMBER(MATCH($B$2:$B$10000,$E$6:$E$22,0)),ROW($C$2:$C$10000)-ROW($C$2)+1),ROWS(L$20:L1549))))</f>
        <v/>
      </c>
      <c r="I1549" s="4" t="str">
        <f t="array" ref="I1549">IF(ROWS(M$20:M1549)&gt;$F$6,"",INDEX(C$2:C$10000,SMALL(IF(ISNUMBER(MATCH($B$2:$B$10000,$E$6:$E$22,0)),ROW($C$2:$C$10000)-ROW($C$2)+1),ROWS(M$20:M1549))))</f>
        <v/>
      </c>
      <c r="K1549" s="7" t="str">
        <f t="array" ref="K1549">IF(ROWS(K$20:K1549)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1549))))</f>
        <v/>
      </c>
      <c r="L1549" s="4" t="str">
        <f t="array" ref="L1549">IF(ROWS(L$20:L1549)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1549))))</f>
        <v/>
      </c>
      <c r="M1549" s="4" t="str">
        <f t="array" ref="M1549">IF(ROWS(M$20:M1549)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1549))))</f>
        <v/>
      </c>
    </row>
    <row r="1550" spans="1:13" x14ac:dyDescent="0.25">
      <c r="A1550" s="3">
        <v>41693</v>
      </c>
      <c r="B1550" s="2" t="s">
        <v>47</v>
      </c>
      <c r="C1550" s="2">
        <v>50</v>
      </c>
      <c r="G1550" s="7" t="str">
        <f t="array" ref="G1550">IF(ROWS(K$20:K1550)&gt;$F$6,"",INDEX(A$2:A$10000,SMALL(IF(ISNUMBER(MATCH($B$2:$B$10000,$E$6:$E$22,0)),ROW($C$2:$C$10000)-ROW($C$2)+1),ROWS(K$20:K1550))))</f>
        <v/>
      </c>
      <c r="H1550" s="4" t="str">
        <f t="array" ref="H1550">IF(ROWS(L$20:L1550)&gt;$F$6,"",INDEX(B$2:B$10000,SMALL(IF(ISNUMBER(MATCH($B$2:$B$10000,$E$6:$E$22,0)),ROW($C$2:$C$10000)-ROW($C$2)+1),ROWS(L$20:L1550))))</f>
        <v/>
      </c>
      <c r="I1550" s="4" t="str">
        <f t="array" ref="I1550">IF(ROWS(M$20:M1550)&gt;$F$6,"",INDEX(C$2:C$10000,SMALL(IF(ISNUMBER(MATCH($B$2:$B$10000,$E$6:$E$22,0)),ROW($C$2:$C$10000)-ROW($C$2)+1),ROWS(M$20:M1550))))</f>
        <v/>
      </c>
      <c r="K1550" s="7" t="str">
        <f t="array" ref="K1550">IF(ROWS(K$20:K1550)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1550))))</f>
        <v/>
      </c>
      <c r="L1550" s="4" t="str">
        <f t="array" ref="L1550">IF(ROWS(L$20:L1550)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1550))))</f>
        <v/>
      </c>
      <c r="M1550" s="4" t="str">
        <f t="array" ref="M1550">IF(ROWS(M$20:M1550)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1550))))</f>
        <v/>
      </c>
    </row>
    <row r="1551" spans="1:13" x14ac:dyDescent="0.25">
      <c r="A1551" s="3">
        <v>41527</v>
      </c>
      <c r="B1551" s="2" t="s">
        <v>16</v>
      </c>
      <c r="C1551" s="2">
        <v>30</v>
      </c>
      <c r="G1551" s="7" t="str">
        <f t="array" ref="G1551">IF(ROWS(K$20:K1551)&gt;$F$6,"",INDEX(A$2:A$10000,SMALL(IF(ISNUMBER(MATCH($B$2:$B$10000,$E$6:$E$22,0)),ROW($C$2:$C$10000)-ROW($C$2)+1),ROWS(K$20:K1551))))</f>
        <v/>
      </c>
      <c r="H1551" s="4" t="str">
        <f t="array" ref="H1551">IF(ROWS(L$20:L1551)&gt;$F$6,"",INDEX(B$2:B$10000,SMALL(IF(ISNUMBER(MATCH($B$2:$B$10000,$E$6:$E$22,0)),ROW($C$2:$C$10000)-ROW($C$2)+1),ROWS(L$20:L1551))))</f>
        <v/>
      </c>
      <c r="I1551" s="4" t="str">
        <f t="array" ref="I1551">IF(ROWS(M$20:M1551)&gt;$F$6,"",INDEX(C$2:C$10000,SMALL(IF(ISNUMBER(MATCH($B$2:$B$10000,$E$6:$E$22,0)),ROW($C$2:$C$10000)-ROW($C$2)+1),ROWS(M$20:M1551))))</f>
        <v/>
      </c>
      <c r="K1551" s="7" t="str">
        <f t="array" ref="K1551">IF(ROWS(K$20:K1551)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1551))))</f>
        <v/>
      </c>
      <c r="L1551" s="4" t="str">
        <f t="array" ref="L1551">IF(ROWS(L$20:L1551)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1551))))</f>
        <v/>
      </c>
      <c r="M1551" s="4" t="str">
        <f t="array" ref="M1551">IF(ROWS(M$20:M1551)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1551))))</f>
        <v/>
      </c>
    </row>
    <row r="1552" spans="1:13" x14ac:dyDescent="0.25">
      <c r="A1552" s="3">
        <v>41940</v>
      </c>
      <c r="B1552" s="2" t="s">
        <v>6</v>
      </c>
      <c r="C1552" s="2">
        <v>31</v>
      </c>
      <c r="G1552" s="7" t="str">
        <f t="array" ref="G1552">IF(ROWS(K$20:K1552)&gt;$F$6,"",INDEX(A$2:A$10000,SMALL(IF(ISNUMBER(MATCH($B$2:$B$10000,$E$6:$E$22,0)),ROW($C$2:$C$10000)-ROW($C$2)+1),ROWS(K$20:K1552))))</f>
        <v/>
      </c>
      <c r="H1552" s="4" t="str">
        <f t="array" ref="H1552">IF(ROWS(L$20:L1552)&gt;$F$6,"",INDEX(B$2:B$10000,SMALL(IF(ISNUMBER(MATCH($B$2:$B$10000,$E$6:$E$22,0)),ROW($C$2:$C$10000)-ROW($C$2)+1),ROWS(L$20:L1552))))</f>
        <v/>
      </c>
      <c r="I1552" s="4" t="str">
        <f t="array" ref="I1552">IF(ROWS(M$20:M1552)&gt;$F$6,"",INDEX(C$2:C$10000,SMALL(IF(ISNUMBER(MATCH($B$2:$B$10000,$E$6:$E$22,0)),ROW($C$2:$C$10000)-ROW($C$2)+1),ROWS(M$20:M1552))))</f>
        <v/>
      </c>
      <c r="K1552" s="7" t="str">
        <f t="array" ref="K1552">IF(ROWS(K$20:K1552)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1552))))</f>
        <v/>
      </c>
      <c r="L1552" s="4" t="str">
        <f t="array" ref="L1552">IF(ROWS(L$20:L1552)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1552))))</f>
        <v/>
      </c>
      <c r="M1552" s="4" t="str">
        <f t="array" ref="M1552">IF(ROWS(M$20:M1552)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1552))))</f>
        <v/>
      </c>
    </row>
    <row r="1553" spans="1:13" x14ac:dyDescent="0.25">
      <c r="A1553" s="3">
        <v>41292</v>
      </c>
      <c r="B1553" s="2" t="s">
        <v>20</v>
      </c>
      <c r="C1553" s="2">
        <v>6</v>
      </c>
      <c r="G1553" s="7" t="str">
        <f t="array" ref="G1553">IF(ROWS(K$20:K1553)&gt;$F$6,"",INDEX(A$2:A$10000,SMALL(IF(ISNUMBER(MATCH($B$2:$B$10000,$E$6:$E$22,0)),ROW($C$2:$C$10000)-ROW($C$2)+1),ROWS(K$20:K1553))))</f>
        <v/>
      </c>
      <c r="H1553" s="4" t="str">
        <f t="array" ref="H1553">IF(ROWS(L$20:L1553)&gt;$F$6,"",INDEX(B$2:B$10000,SMALL(IF(ISNUMBER(MATCH($B$2:$B$10000,$E$6:$E$22,0)),ROW($C$2:$C$10000)-ROW($C$2)+1),ROWS(L$20:L1553))))</f>
        <v/>
      </c>
      <c r="I1553" s="4" t="str">
        <f t="array" ref="I1553">IF(ROWS(M$20:M1553)&gt;$F$6,"",INDEX(C$2:C$10000,SMALL(IF(ISNUMBER(MATCH($B$2:$B$10000,$E$6:$E$22,0)),ROW($C$2:$C$10000)-ROW($C$2)+1),ROWS(M$20:M1553))))</f>
        <v/>
      </c>
      <c r="K1553" s="7" t="str">
        <f t="array" ref="K1553">IF(ROWS(K$20:K1553)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1553))))</f>
        <v/>
      </c>
      <c r="L1553" s="4" t="str">
        <f t="array" ref="L1553">IF(ROWS(L$20:L1553)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1553))))</f>
        <v/>
      </c>
      <c r="M1553" s="4" t="str">
        <f t="array" ref="M1553">IF(ROWS(M$20:M1553)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1553))))</f>
        <v/>
      </c>
    </row>
    <row r="1554" spans="1:13" x14ac:dyDescent="0.25">
      <c r="A1554" s="3">
        <v>41594</v>
      </c>
      <c r="B1554" s="2" t="s">
        <v>23</v>
      </c>
      <c r="C1554" s="2">
        <v>29</v>
      </c>
      <c r="G1554" s="7" t="str">
        <f t="array" ref="G1554">IF(ROWS(K$20:K1554)&gt;$F$6,"",INDEX(A$2:A$10000,SMALL(IF(ISNUMBER(MATCH($B$2:$B$10000,$E$6:$E$22,0)),ROW($C$2:$C$10000)-ROW($C$2)+1),ROWS(K$20:K1554))))</f>
        <v/>
      </c>
      <c r="H1554" s="4" t="str">
        <f t="array" ref="H1554">IF(ROWS(L$20:L1554)&gt;$F$6,"",INDEX(B$2:B$10000,SMALL(IF(ISNUMBER(MATCH($B$2:$B$10000,$E$6:$E$22,0)),ROW($C$2:$C$10000)-ROW($C$2)+1),ROWS(L$20:L1554))))</f>
        <v/>
      </c>
      <c r="I1554" s="4" t="str">
        <f t="array" ref="I1554">IF(ROWS(M$20:M1554)&gt;$F$6,"",INDEX(C$2:C$10000,SMALL(IF(ISNUMBER(MATCH($B$2:$B$10000,$E$6:$E$22,0)),ROW($C$2:$C$10000)-ROW($C$2)+1),ROWS(M$20:M1554))))</f>
        <v/>
      </c>
      <c r="K1554" s="7" t="str">
        <f t="array" ref="K1554">IF(ROWS(K$20:K1554)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1554))))</f>
        <v/>
      </c>
      <c r="L1554" s="4" t="str">
        <f t="array" ref="L1554">IF(ROWS(L$20:L1554)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1554))))</f>
        <v/>
      </c>
      <c r="M1554" s="4" t="str">
        <f t="array" ref="M1554">IF(ROWS(M$20:M1554)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1554))))</f>
        <v/>
      </c>
    </row>
    <row r="1555" spans="1:13" x14ac:dyDescent="0.25">
      <c r="A1555" s="3">
        <v>41884</v>
      </c>
      <c r="B1555" s="2" t="s">
        <v>49</v>
      </c>
      <c r="C1555" s="2">
        <v>26</v>
      </c>
      <c r="G1555" s="7" t="str">
        <f t="array" ref="G1555">IF(ROWS(K$20:K1555)&gt;$F$6,"",INDEX(A$2:A$10000,SMALL(IF(ISNUMBER(MATCH($B$2:$B$10000,$E$6:$E$22,0)),ROW($C$2:$C$10000)-ROW($C$2)+1),ROWS(K$20:K1555))))</f>
        <v/>
      </c>
      <c r="H1555" s="4" t="str">
        <f t="array" ref="H1555">IF(ROWS(L$20:L1555)&gt;$F$6,"",INDEX(B$2:B$10000,SMALL(IF(ISNUMBER(MATCH($B$2:$B$10000,$E$6:$E$22,0)),ROW($C$2:$C$10000)-ROW($C$2)+1),ROWS(L$20:L1555))))</f>
        <v/>
      </c>
      <c r="I1555" s="4" t="str">
        <f t="array" ref="I1555">IF(ROWS(M$20:M1555)&gt;$F$6,"",INDEX(C$2:C$10000,SMALL(IF(ISNUMBER(MATCH($B$2:$B$10000,$E$6:$E$22,0)),ROW($C$2:$C$10000)-ROW($C$2)+1),ROWS(M$20:M1555))))</f>
        <v/>
      </c>
      <c r="K1555" s="7" t="str">
        <f t="array" ref="K1555">IF(ROWS(K$20:K1555)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1555))))</f>
        <v/>
      </c>
      <c r="L1555" s="4" t="str">
        <f t="array" ref="L1555">IF(ROWS(L$20:L1555)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1555))))</f>
        <v/>
      </c>
      <c r="M1555" s="4" t="str">
        <f t="array" ref="M1555">IF(ROWS(M$20:M1555)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1555))))</f>
        <v/>
      </c>
    </row>
    <row r="1556" spans="1:13" x14ac:dyDescent="0.25">
      <c r="A1556" s="3">
        <v>41311</v>
      </c>
      <c r="B1556" s="2" t="s">
        <v>40</v>
      </c>
      <c r="C1556" s="2">
        <v>43</v>
      </c>
      <c r="G1556" s="7" t="str">
        <f t="array" ref="G1556">IF(ROWS(K$20:K1556)&gt;$F$6,"",INDEX(A$2:A$10000,SMALL(IF(ISNUMBER(MATCH($B$2:$B$10000,$E$6:$E$22,0)),ROW($C$2:$C$10000)-ROW($C$2)+1),ROWS(K$20:K1556))))</f>
        <v/>
      </c>
      <c r="H1556" s="4" t="str">
        <f t="array" ref="H1556">IF(ROWS(L$20:L1556)&gt;$F$6,"",INDEX(B$2:B$10000,SMALL(IF(ISNUMBER(MATCH($B$2:$B$10000,$E$6:$E$22,0)),ROW($C$2:$C$10000)-ROW($C$2)+1),ROWS(L$20:L1556))))</f>
        <v/>
      </c>
      <c r="I1556" s="4" t="str">
        <f t="array" ref="I1556">IF(ROWS(M$20:M1556)&gt;$F$6,"",INDEX(C$2:C$10000,SMALL(IF(ISNUMBER(MATCH($B$2:$B$10000,$E$6:$E$22,0)),ROW($C$2:$C$10000)-ROW($C$2)+1),ROWS(M$20:M1556))))</f>
        <v/>
      </c>
      <c r="K1556" s="7" t="str">
        <f t="array" ref="K1556">IF(ROWS(K$20:K1556)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1556))))</f>
        <v/>
      </c>
      <c r="L1556" s="4" t="str">
        <f t="array" ref="L1556">IF(ROWS(L$20:L1556)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1556))))</f>
        <v/>
      </c>
      <c r="M1556" s="4" t="str">
        <f t="array" ref="M1556">IF(ROWS(M$20:M1556)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1556))))</f>
        <v/>
      </c>
    </row>
    <row r="1557" spans="1:13" x14ac:dyDescent="0.25">
      <c r="A1557" s="3">
        <v>41420</v>
      </c>
      <c r="B1557" s="2" t="s">
        <v>36</v>
      </c>
      <c r="C1557" s="2">
        <v>10</v>
      </c>
      <c r="G1557" s="7" t="str">
        <f t="array" ref="G1557">IF(ROWS(K$20:K1557)&gt;$F$6,"",INDEX(A$2:A$10000,SMALL(IF(ISNUMBER(MATCH($B$2:$B$10000,$E$6:$E$22,0)),ROW($C$2:$C$10000)-ROW($C$2)+1),ROWS(K$20:K1557))))</f>
        <v/>
      </c>
      <c r="H1557" s="4" t="str">
        <f t="array" ref="H1557">IF(ROWS(L$20:L1557)&gt;$F$6,"",INDEX(B$2:B$10000,SMALL(IF(ISNUMBER(MATCH($B$2:$B$10000,$E$6:$E$22,0)),ROW($C$2:$C$10000)-ROW($C$2)+1),ROWS(L$20:L1557))))</f>
        <v/>
      </c>
      <c r="I1557" s="4" t="str">
        <f t="array" ref="I1557">IF(ROWS(M$20:M1557)&gt;$F$6,"",INDEX(C$2:C$10000,SMALL(IF(ISNUMBER(MATCH($B$2:$B$10000,$E$6:$E$22,0)),ROW($C$2:$C$10000)-ROW($C$2)+1),ROWS(M$20:M1557))))</f>
        <v/>
      </c>
      <c r="K1557" s="7" t="str">
        <f t="array" ref="K1557">IF(ROWS(K$20:K1557)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1557))))</f>
        <v/>
      </c>
      <c r="L1557" s="4" t="str">
        <f t="array" ref="L1557">IF(ROWS(L$20:L1557)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1557))))</f>
        <v/>
      </c>
      <c r="M1557" s="4" t="str">
        <f t="array" ref="M1557">IF(ROWS(M$20:M1557)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1557))))</f>
        <v/>
      </c>
    </row>
    <row r="1558" spans="1:13" x14ac:dyDescent="0.25">
      <c r="A1558" s="3">
        <v>41576</v>
      </c>
      <c r="B1558" s="2" t="s">
        <v>36</v>
      </c>
      <c r="C1558" s="2">
        <v>37</v>
      </c>
      <c r="G1558" s="7" t="str">
        <f t="array" ref="G1558">IF(ROWS(K$20:K1558)&gt;$F$6,"",INDEX(A$2:A$10000,SMALL(IF(ISNUMBER(MATCH($B$2:$B$10000,$E$6:$E$22,0)),ROW($C$2:$C$10000)-ROW($C$2)+1),ROWS(K$20:K1558))))</f>
        <v/>
      </c>
      <c r="H1558" s="4" t="str">
        <f t="array" ref="H1558">IF(ROWS(L$20:L1558)&gt;$F$6,"",INDEX(B$2:B$10000,SMALL(IF(ISNUMBER(MATCH($B$2:$B$10000,$E$6:$E$22,0)),ROW($C$2:$C$10000)-ROW($C$2)+1),ROWS(L$20:L1558))))</f>
        <v/>
      </c>
      <c r="I1558" s="4" t="str">
        <f t="array" ref="I1558">IF(ROWS(M$20:M1558)&gt;$F$6,"",INDEX(C$2:C$10000,SMALL(IF(ISNUMBER(MATCH($B$2:$B$10000,$E$6:$E$22,0)),ROW($C$2:$C$10000)-ROW($C$2)+1),ROWS(M$20:M1558))))</f>
        <v/>
      </c>
      <c r="K1558" s="7" t="str">
        <f t="array" ref="K1558">IF(ROWS(K$20:K1558)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1558))))</f>
        <v/>
      </c>
      <c r="L1558" s="4" t="str">
        <f t="array" ref="L1558">IF(ROWS(L$20:L1558)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1558))))</f>
        <v/>
      </c>
      <c r="M1558" s="4" t="str">
        <f t="array" ref="M1558">IF(ROWS(M$20:M1558)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1558))))</f>
        <v/>
      </c>
    </row>
    <row r="1559" spans="1:13" x14ac:dyDescent="0.25">
      <c r="A1559" s="3">
        <v>41969</v>
      </c>
      <c r="B1559" s="2" t="s">
        <v>13</v>
      </c>
      <c r="C1559" s="2">
        <v>6</v>
      </c>
      <c r="G1559" s="7" t="str">
        <f t="array" ref="G1559">IF(ROWS(K$20:K1559)&gt;$F$6,"",INDEX(A$2:A$10000,SMALL(IF(ISNUMBER(MATCH($B$2:$B$10000,$E$6:$E$22,0)),ROW($C$2:$C$10000)-ROW($C$2)+1),ROWS(K$20:K1559))))</f>
        <v/>
      </c>
      <c r="H1559" s="4" t="str">
        <f t="array" ref="H1559">IF(ROWS(L$20:L1559)&gt;$F$6,"",INDEX(B$2:B$10000,SMALL(IF(ISNUMBER(MATCH($B$2:$B$10000,$E$6:$E$22,0)),ROW($C$2:$C$10000)-ROW($C$2)+1),ROWS(L$20:L1559))))</f>
        <v/>
      </c>
      <c r="I1559" s="4" t="str">
        <f t="array" ref="I1559">IF(ROWS(M$20:M1559)&gt;$F$6,"",INDEX(C$2:C$10000,SMALL(IF(ISNUMBER(MATCH($B$2:$B$10000,$E$6:$E$22,0)),ROW($C$2:$C$10000)-ROW($C$2)+1),ROWS(M$20:M1559))))</f>
        <v/>
      </c>
      <c r="K1559" s="7" t="str">
        <f t="array" ref="K1559">IF(ROWS(K$20:K1559)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1559))))</f>
        <v/>
      </c>
      <c r="L1559" s="4" t="str">
        <f t="array" ref="L1559">IF(ROWS(L$20:L1559)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1559))))</f>
        <v/>
      </c>
      <c r="M1559" s="4" t="str">
        <f t="array" ref="M1559">IF(ROWS(M$20:M1559)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1559))))</f>
        <v/>
      </c>
    </row>
    <row r="1560" spans="1:13" x14ac:dyDescent="0.25">
      <c r="A1560" s="3">
        <v>41957</v>
      </c>
      <c r="B1560" s="2" t="s">
        <v>26</v>
      </c>
      <c r="C1560" s="2">
        <v>11</v>
      </c>
      <c r="G1560" s="7" t="str">
        <f t="array" ref="G1560">IF(ROWS(K$20:K1560)&gt;$F$6,"",INDEX(A$2:A$10000,SMALL(IF(ISNUMBER(MATCH($B$2:$B$10000,$E$6:$E$22,0)),ROW($C$2:$C$10000)-ROW($C$2)+1),ROWS(K$20:K1560))))</f>
        <v/>
      </c>
      <c r="H1560" s="4" t="str">
        <f t="array" ref="H1560">IF(ROWS(L$20:L1560)&gt;$F$6,"",INDEX(B$2:B$10000,SMALL(IF(ISNUMBER(MATCH($B$2:$B$10000,$E$6:$E$22,0)),ROW($C$2:$C$10000)-ROW($C$2)+1),ROWS(L$20:L1560))))</f>
        <v/>
      </c>
      <c r="I1560" s="4" t="str">
        <f t="array" ref="I1560">IF(ROWS(M$20:M1560)&gt;$F$6,"",INDEX(C$2:C$10000,SMALL(IF(ISNUMBER(MATCH($B$2:$B$10000,$E$6:$E$22,0)),ROW($C$2:$C$10000)-ROW($C$2)+1),ROWS(M$20:M1560))))</f>
        <v/>
      </c>
      <c r="K1560" s="7" t="str">
        <f t="array" ref="K1560">IF(ROWS(K$20:K1560)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1560))))</f>
        <v/>
      </c>
      <c r="L1560" s="4" t="str">
        <f t="array" ref="L1560">IF(ROWS(L$20:L1560)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1560))))</f>
        <v/>
      </c>
      <c r="M1560" s="4" t="str">
        <f t="array" ref="M1560">IF(ROWS(M$20:M1560)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1560))))</f>
        <v/>
      </c>
    </row>
    <row r="1561" spans="1:13" x14ac:dyDescent="0.25">
      <c r="A1561" s="3">
        <v>41358</v>
      </c>
      <c r="B1561" s="2" t="s">
        <v>50</v>
      </c>
      <c r="C1561" s="2">
        <v>38</v>
      </c>
      <c r="G1561" s="7" t="str">
        <f t="array" ref="G1561">IF(ROWS(K$20:K1561)&gt;$F$6,"",INDEX(A$2:A$10000,SMALL(IF(ISNUMBER(MATCH($B$2:$B$10000,$E$6:$E$22,0)),ROW($C$2:$C$10000)-ROW($C$2)+1),ROWS(K$20:K1561))))</f>
        <v/>
      </c>
      <c r="H1561" s="4" t="str">
        <f t="array" ref="H1561">IF(ROWS(L$20:L1561)&gt;$F$6,"",INDEX(B$2:B$10000,SMALL(IF(ISNUMBER(MATCH($B$2:$B$10000,$E$6:$E$22,0)),ROW($C$2:$C$10000)-ROW($C$2)+1),ROWS(L$20:L1561))))</f>
        <v/>
      </c>
      <c r="I1561" s="4" t="str">
        <f t="array" ref="I1561">IF(ROWS(M$20:M1561)&gt;$F$6,"",INDEX(C$2:C$10000,SMALL(IF(ISNUMBER(MATCH($B$2:$B$10000,$E$6:$E$22,0)),ROW($C$2:$C$10000)-ROW($C$2)+1),ROWS(M$20:M1561))))</f>
        <v/>
      </c>
      <c r="K1561" s="7" t="str">
        <f t="array" ref="K1561">IF(ROWS(K$20:K1561)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1561))))</f>
        <v/>
      </c>
      <c r="L1561" s="4" t="str">
        <f t="array" ref="L1561">IF(ROWS(L$20:L1561)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1561))))</f>
        <v/>
      </c>
      <c r="M1561" s="4" t="str">
        <f t="array" ref="M1561">IF(ROWS(M$20:M1561)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1561))))</f>
        <v/>
      </c>
    </row>
    <row r="1562" spans="1:13" x14ac:dyDescent="0.25">
      <c r="A1562" s="3">
        <v>41609</v>
      </c>
      <c r="B1562" s="2" t="s">
        <v>34</v>
      </c>
      <c r="C1562" s="2">
        <v>33</v>
      </c>
      <c r="G1562" s="7" t="str">
        <f t="array" ref="G1562">IF(ROWS(K$20:K1562)&gt;$F$6,"",INDEX(A$2:A$10000,SMALL(IF(ISNUMBER(MATCH($B$2:$B$10000,$E$6:$E$22,0)),ROW($C$2:$C$10000)-ROW($C$2)+1),ROWS(K$20:K1562))))</f>
        <v/>
      </c>
      <c r="H1562" s="4" t="str">
        <f t="array" ref="H1562">IF(ROWS(L$20:L1562)&gt;$F$6,"",INDEX(B$2:B$10000,SMALL(IF(ISNUMBER(MATCH($B$2:$B$10000,$E$6:$E$22,0)),ROW($C$2:$C$10000)-ROW($C$2)+1),ROWS(L$20:L1562))))</f>
        <v/>
      </c>
      <c r="I1562" s="4" t="str">
        <f t="array" ref="I1562">IF(ROWS(M$20:M1562)&gt;$F$6,"",INDEX(C$2:C$10000,SMALL(IF(ISNUMBER(MATCH($B$2:$B$10000,$E$6:$E$22,0)),ROW($C$2:$C$10000)-ROW($C$2)+1),ROWS(M$20:M1562))))</f>
        <v/>
      </c>
      <c r="K1562" s="7" t="str">
        <f t="array" ref="K1562">IF(ROWS(K$20:K1562)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1562))))</f>
        <v/>
      </c>
      <c r="L1562" s="4" t="str">
        <f t="array" ref="L1562">IF(ROWS(L$20:L1562)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1562))))</f>
        <v/>
      </c>
      <c r="M1562" s="4" t="str">
        <f t="array" ref="M1562">IF(ROWS(M$20:M1562)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1562))))</f>
        <v/>
      </c>
    </row>
    <row r="1563" spans="1:13" x14ac:dyDescent="0.25">
      <c r="A1563" s="3">
        <v>41578</v>
      </c>
      <c r="B1563" s="2" t="s">
        <v>49</v>
      </c>
      <c r="C1563" s="2">
        <v>15</v>
      </c>
      <c r="G1563" s="7" t="str">
        <f t="array" ref="G1563">IF(ROWS(K$20:K1563)&gt;$F$6,"",INDEX(A$2:A$10000,SMALL(IF(ISNUMBER(MATCH($B$2:$B$10000,$E$6:$E$22,0)),ROW($C$2:$C$10000)-ROW($C$2)+1),ROWS(K$20:K1563))))</f>
        <v/>
      </c>
      <c r="H1563" s="4" t="str">
        <f t="array" ref="H1563">IF(ROWS(L$20:L1563)&gt;$F$6,"",INDEX(B$2:B$10000,SMALL(IF(ISNUMBER(MATCH($B$2:$B$10000,$E$6:$E$22,0)),ROW($C$2:$C$10000)-ROW($C$2)+1),ROWS(L$20:L1563))))</f>
        <v/>
      </c>
      <c r="I1563" s="4" t="str">
        <f t="array" ref="I1563">IF(ROWS(M$20:M1563)&gt;$F$6,"",INDEX(C$2:C$10000,SMALL(IF(ISNUMBER(MATCH($B$2:$B$10000,$E$6:$E$22,0)),ROW($C$2:$C$10000)-ROW($C$2)+1),ROWS(M$20:M1563))))</f>
        <v/>
      </c>
      <c r="K1563" s="7" t="str">
        <f t="array" ref="K1563">IF(ROWS(K$20:K1563)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1563))))</f>
        <v/>
      </c>
      <c r="L1563" s="4" t="str">
        <f t="array" ref="L1563">IF(ROWS(L$20:L1563)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1563))))</f>
        <v/>
      </c>
      <c r="M1563" s="4" t="str">
        <f t="array" ref="M1563">IF(ROWS(M$20:M1563)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1563))))</f>
        <v/>
      </c>
    </row>
    <row r="1564" spans="1:13" x14ac:dyDescent="0.25">
      <c r="A1564" s="3">
        <v>41612</v>
      </c>
      <c r="B1564" s="2" t="s">
        <v>44</v>
      </c>
      <c r="C1564" s="2">
        <v>54</v>
      </c>
      <c r="G1564" s="7" t="str">
        <f t="array" ref="G1564">IF(ROWS(K$20:K1564)&gt;$F$6,"",INDEX(A$2:A$10000,SMALL(IF(ISNUMBER(MATCH($B$2:$B$10000,$E$6:$E$22,0)),ROW($C$2:$C$10000)-ROW($C$2)+1),ROWS(K$20:K1564))))</f>
        <v/>
      </c>
      <c r="H1564" s="4" t="str">
        <f t="array" ref="H1564">IF(ROWS(L$20:L1564)&gt;$F$6,"",INDEX(B$2:B$10000,SMALL(IF(ISNUMBER(MATCH($B$2:$B$10000,$E$6:$E$22,0)),ROW($C$2:$C$10000)-ROW($C$2)+1),ROWS(L$20:L1564))))</f>
        <v/>
      </c>
      <c r="I1564" s="4" t="str">
        <f t="array" ref="I1564">IF(ROWS(M$20:M1564)&gt;$F$6,"",INDEX(C$2:C$10000,SMALL(IF(ISNUMBER(MATCH($B$2:$B$10000,$E$6:$E$22,0)),ROW($C$2:$C$10000)-ROW($C$2)+1),ROWS(M$20:M1564))))</f>
        <v/>
      </c>
      <c r="K1564" s="7" t="str">
        <f t="array" ref="K1564">IF(ROWS(K$20:K1564)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1564))))</f>
        <v/>
      </c>
      <c r="L1564" s="4" t="str">
        <f t="array" ref="L1564">IF(ROWS(L$20:L1564)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1564))))</f>
        <v/>
      </c>
      <c r="M1564" s="4" t="str">
        <f t="array" ref="M1564">IF(ROWS(M$20:M1564)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1564))))</f>
        <v/>
      </c>
    </row>
    <row r="1565" spans="1:13" x14ac:dyDescent="0.25">
      <c r="A1565" s="3">
        <v>41804</v>
      </c>
      <c r="B1565" s="2" t="s">
        <v>32</v>
      </c>
      <c r="C1565" s="2">
        <v>34</v>
      </c>
      <c r="G1565" s="7" t="str">
        <f t="array" ref="G1565">IF(ROWS(K$20:K1565)&gt;$F$6,"",INDEX(A$2:A$10000,SMALL(IF(ISNUMBER(MATCH($B$2:$B$10000,$E$6:$E$22,0)),ROW($C$2:$C$10000)-ROW($C$2)+1),ROWS(K$20:K1565))))</f>
        <v/>
      </c>
      <c r="H1565" s="4" t="str">
        <f t="array" ref="H1565">IF(ROWS(L$20:L1565)&gt;$F$6,"",INDEX(B$2:B$10000,SMALL(IF(ISNUMBER(MATCH($B$2:$B$10000,$E$6:$E$22,0)),ROW($C$2:$C$10000)-ROW($C$2)+1),ROWS(L$20:L1565))))</f>
        <v/>
      </c>
      <c r="I1565" s="4" t="str">
        <f t="array" ref="I1565">IF(ROWS(M$20:M1565)&gt;$F$6,"",INDEX(C$2:C$10000,SMALL(IF(ISNUMBER(MATCH($B$2:$B$10000,$E$6:$E$22,0)),ROW($C$2:$C$10000)-ROW($C$2)+1),ROWS(M$20:M1565))))</f>
        <v/>
      </c>
      <c r="K1565" s="7" t="str">
        <f t="array" ref="K1565">IF(ROWS(K$20:K1565)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1565))))</f>
        <v/>
      </c>
      <c r="L1565" s="4" t="str">
        <f t="array" ref="L1565">IF(ROWS(L$20:L1565)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1565))))</f>
        <v/>
      </c>
      <c r="M1565" s="4" t="str">
        <f t="array" ref="M1565">IF(ROWS(M$20:M1565)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1565))))</f>
        <v/>
      </c>
    </row>
    <row r="1566" spans="1:13" x14ac:dyDescent="0.25">
      <c r="A1566" s="3">
        <v>41768</v>
      </c>
      <c r="B1566" s="2" t="s">
        <v>32</v>
      </c>
      <c r="C1566" s="2">
        <v>26</v>
      </c>
      <c r="G1566" s="7" t="str">
        <f t="array" ref="G1566">IF(ROWS(K$20:K1566)&gt;$F$6,"",INDEX(A$2:A$10000,SMALL(IF(ISNUMBER(MATCH($B$2:$B$10000,$E$6:$E$22,0)),ROW($C$2:$C$10000)-ROW($C$2)+1),ROWS(K$20:K1566))))</f>
        <v/>
      </c>
      <c r="H1566" s="4" t="str">
        <f t="array" ref="H1566">IF(ROWS(L$20:L1566)&gt;$F$6,"",INDEX(B$2:B$10000,SMALL(IF(ISNUMBER(MATCH($B$2:$B$10000,$E$6:$E$22,0)),ROW($C$2:$C$10000)-ROW($C$2)+1),ROWS(L$20:L1566))))</f>
        <v/>
      </c>
      <c r="I1566" s="4" t="str">
        <f t="array" ref="I1566">IF(ROWS(M$20:M1566)&gt;$F$6,"",INDEX(C$2:C$10000,SMALL(IF(ISNUMBER(MATCH($B$2:$B$10000,$E$6:$E$22,0)),ROW($C$2:$C$10000)-ROW($C$2)+1),ROWS(M$20:M1566))))</f>
        <v/>
      </c>
      <c r="K1566" s="7" t="str">
        <f t="array" ref="K1566">IF(ROWS(K$20:K1566)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1566))))</f>
        <v/>
      </c>
      <c r="L1566" s="4" t="str">
        <f t="array" ref="L1566">IF(ROWS(L$20:L1566)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1566))))</f>
        <v/>
      </c>
      <c r="M1566" s="4" t="str">
        <f t="array" ref="M1566">IF(ROWS(M$20:M1566)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1566))))</f>
        <v/>
      </c>
    </row>
    <row r="1567" spans="1:13" x14ac:dyDescent="0.25">
      <c r="A1567" s="3">
        <v>41717</v>
      </c>
      <c r="B1567" s="2" t="s">
        <v>49</v>
      </c>
      <c r="C1567" s="2">
        <v>12</v>
      </c>
      <c r="G1567" s="7" t="str">
        <f t="array" ref="G1567">IF(ROWS(K$20:K1567)&gt;$F$6,"",INDEX(A$2:A$10000,SMALL(IF(ISNUMBER(MATCH($B$2:$B$10000,$E$6:$E$22,0)),ROW($C$2:$C$10000)-ROW($C$2)+1),ROWS(K$20:K1567))))</f>
        <v/>
      </c>
      <c r="H1567" s="4" t="str">
        <f t="array" ref="H1567">IF(ROWS(L$20:L1567)&gt;$F$6,"",INDEX(B$2:B$10000,SMALL(IF(ISNUMBER(MATCH($B$2:$B$10000,$E$6:$E$22,0)),ROW($C$2:$C$10000)-ROW($C$2)+1),ROWS(L$20:L1567))))</f>
        <v/>
      </c>
      <c r="I1567" s="4" t="str">
        <f t="array" ref="I1567">IF(ROWS(M$20:M1567)&gt;$F$6,"",INDEX(C$2:C$10000,SMALL(IF(ISNUMBER(MATCH($B$2:$B$10000,$E$6:$E$22,0)),ROW($C$2:$C$10000)-ROW($C$2)+1),ROWS(M$20:M1567))))</f>
        <v/>
      </c>
      <c r="K1567" s="7" t="str">
        <f t="array" ref="K1567">IF(ROWS(K$20:K1567)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1567))))</f>
        <v/>
      </c>
      <c r="L1567" s="4" t="str">
        <f t="array" ref="L1567">IF(ROWS(L$20:L1567)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1567))))</f>
        <v/>
      </c>
      <c r="M1567" s="4" t="str">
        <f t="array" ref="M1567">IF(ROWS(M$20:M1567)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1567))))</f>
        <v/>
      </c>
    </row>
    <row r="1568" spans="1:13" x14ac:dyDescent="0.25">
      <c r="A1568" s="3">
        <v>41433</v>
      </c>
      <c r="B1568" s="2" t="s">
        <v>12</v>
      </c>
      <c r="C1568" s="2">
        <v>24</v>
      </c>
      <c r="G1568" s="7" t="str">
        <f t="array" ref="G1568">IF(ROWS(K$20:K1568)&gt;$F$6,"",INDEX(A$2:A$10000,SMALL(IF(ISNUMBER(MATCH($B$2:$B$10000,$E$6:$E$22,0)),ROW($C$2:$C$10000)-ROW($C$2)+1),ROWS(K$20:K1568))))</f>
        <v/>
      </c>
      <c r="H1568" s="4" t="str">
        <f t="array" ref="H1568">IF(ROWS(L$20:L1568)&gt;$F$6,"",INDEX(B$2:B$10000,SMALL(IF(ISNUMBER(MATCH($B$2:$B$10000,$E$6:$E$22,0)),ROW($C$2:$C$10000)-ROW($C$2)+1),ROWS(L$20:L1568))))</f>
        <v/>
      </c>
      <c r="I1568" s="4" t="str">
        <f t="array" ref="I1568">IF(ROWS(M$20:M1568)&gt;$F$6,"",INDEX(C$2:C$10000,SMALL(IF(ISNUMBER(MATCH($B$2:$B$10000,$E$6:$E$22,0)),ROW($C$2:$C$10000)-ROW($C$2)+1),ROWS(M$20:M1568))))</f>
        <v/>
      </c>
      <c r="K1568" s="7" t="str">
        <f t="array" ref="K1568">IF(ROWS(K$20:K1568)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1568))))</f>
        <v/>
      </c>
      <c r="L1568" s="4" t="str">
        <f t="array" ref="L1568">IF(ROWS(L$20:L1568)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1568))))</f>
        <v/>
      </c>
      <c r="M1568" s="4" t="str">
        <f t="array" ref="M1568">IF(ROWS(M$20:M1568)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1568))))</f>
        <v/>
      </c>
    </row>
    <row r="1569" spans="1:13" x14ac:dyDescent="0.25">
      <c r="A1569" s="3">
        <v>41641</v>
      </c>
      <c r="B1569" s="2" t="s">
        <v>14</v>
      </c>
      <c r="C1569" s="2">
        <v>46</v>
      </c>
      <c r="G1569" s="7" t="str">
        <f t="array" ref="G1569">IF(ROWS(K$20:K1569)&gt;$F$6,"",INDEX(A$2:A$10000,SMALL(IF(ISNUMBER(MATCH($B$2:$B$10000,$E$6:$E$22,0)),ROW($C$2:$C$10000)-ROW($C$2)+1),ROWS(K$20:K1569))))</f>
        <v/>
      </c>
      <c r="H1569" s="4" t="str">
        <f t="array" ref="H1569">IF(ROWS(L$20:L1569)&gt;$F$6,"",INDEX(B$2:B$10000,SMALL(IF(ISNUMBER(MATCH($B$2:$B$10000,$E$6:$E$22,0)),ROW($C$2:$C$10000)-ROW($C$2)+1),ROWS(L$20:L1569))))</f>
        <v/>
      </c>
      <c r="I1569" s="4" t="str">
        <f t="array" ref="I1569">IF(ROWS(M$20:M1569)&gt;$F$6,"",INDEX(C$2:C$10000,SMALL(IF(ISNUMBER(MATCH($B$2:$B$10000,$E$6:$E$22,0)),ROW($C$2:$C$10000)-ROW($C$2)+1),ROWS(M$20:M1569))))</f>
        <v/>
      </c>
      <c r="K1569" s="7" t="str">
        <f t="array" ref="K1569">IF(ROWS(K$20:K1569)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1569))))</f>
        <v/>
      </c>
      <c r="L1569" s="4" t="str">
        <f t="array" ref="L1569">IF(ROWS(L$20:L1569)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1569))))</f>
        <v/>
      </c>
      <c r="M1569" s="4" t="str">
        <f t="array" ref="M1569">IF(ROWS(M$20:M1569)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1569))))</f>
        <v/>
      </c>
    </row>
    <row r="1570" spans="1:13" x14ac:dyDescent="0.25">
      <c r="A1570" s="3">
        <v>41809</v>
      </c>
      <c r="B1570" s="2" t="s">
        <v>33</v>
      </c>
      <c r="C1570" s="2">
        <v>42</v>
      </c>
      <c r="G1570" s="7" t="str">
        <f t="array" ref="G1570">IF(ROWS(K$20:K1570)&gt;$F$6,"",INDEX(A$2:A$10000,SMALL(IF(ISNUMBER(MATCH($B$2:$B$10000,$E$6:$E$22,0)),ROW($C$2:$C$10000)-ROW($C$2)+1),ROWS(K$20:K1570))))</f>
        <v/>
      </c>
      <c r="H1570" s="4" t="str">
        <f t="array" ref="H1570">IF(ROWS(L$20:L1570)&gt;$F$6,"",INDEX(B$2:B$10000,SMALL(IF(ISNUMBER(MATCH($B$2:$B$10000,$E$6:$E$22,0)),ROW($C$2:$C$10000)-ROW($C$2)+1),ROWS(L$20:L1570))))</f>
        <v/>
      </c>
      <c r="I1570" s="4" t="str">
        <f t="array" ref="I1570">IF(ROWS(M$20:M1570)&gt;$F$6,"",INDEX(C$2:C$10000,SMALL(IF(ISNUMBER(MATCH($B$2:$B$10000,$E$6:$E$22,0)),ROW($C$2:$C$10000)-ROW($C$2)+1),ROWS(M$20:M1570))))</f>
        <v/>
      </c>
      <c r="K1570" s="7" t="str">
        <f t="array" ref="K1570">IF(ROWS(K$20:K1570)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1570))))</f>
        <v/>
      </c>
      <c r="L1570" s="4" t="str">
        <f t="array" ref="L1570">IF(ROWS(L$20:L1570)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1570))))</f>
        <v/>
      </c>
      <c r="M1570" s="4" t="str">
        <f t="array" ref="M1570">IF(ROWS(M$20:M1570)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1570))))</f>
        <v/>
      </c>
    </row>
    <row r="1571" spans="1:13" x14ac:dyDescent="0.25">
      <c r="A1571" s="3">
        <v>41536</v>
      </c>
      <c r="B1571" s="2" t="s">
        <v>27</v>
      </c>
      <c r="C1571" s="2">
        <v>53</v>
      </c>
      <c r="G1571" s="7" t="str">
        <f t="array" ref="G1571">IF(ROWS(K$20:K1571)&gt;$F$6,"",INDEX(A$2:A$10000,SMALL(IF(ISNUMBER(MATCH($B$2:$B$10000,$E$6:$E$22,0)),ROW($C$2:$C$10000)-ROW($C$2)+1),ROWS(K$20:K1571))))</f>
        <v/>
      </c>
      <c r="H1571" s="4" t="str">
        <f t="array" ref="H1571">IF(ROWS(L$20:L1571)&gt;$F$6,"",INDEX(B$2:B$10000,SMALL(IF(ISNUMBER(MATCH($B$2:$B$10000,$E$6:$E$22,0)),ROW($C$2:$C$10000)-ROW($C$2)+1),ROWS(L$20:L1571))))</f>
        <v/>
      </c>
      <c r="I1571" s="4" t="str">
        <f t="array" ref="I1571">IF(ROWS(M$20:M1571)&gt;$F$6,"",INDEX(C$2:C$10000,SMALL(IF(ISNUMBER(MATCH($B$2:$B$10000,$E$6:$E$22,0)),ROW($C$2:$C$10000)-ROW($C$2)+1),ROWS(M$20:M1571))))</f>
        <v/>
      </c>
      <c r="K1571" s="7" t="str">
        <f t="array" ref="K1571">IF(ROWS(K$20:K1571)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1571))))</f>
        <v/>
      </c>
      <c r="L1571" s="4" t="str">
        <f t="array" ref="L1571">IF(ROWS(L$20:L1571)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1571))))</f>
        <v/>
      </c>
      <c r="M1571" s="4" t="str">
        <f t="array" ref="M1571">IF(ROWS(M$20:M1571)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1571))))</f>
        <v/>
      </c>
    </row>
    <row r="1572" spans="1:13" x14ac:dyDescent="0.25">
      <c r="A1572" s="3">
        <v>41903</v>
      </c>
      <c r="B1572" s="2" t="s">
        <v>51</v>
      </c>
      <c r="C1572" s="2">
        <v>15</v>
      </c>
      <c r="G1572" s="7" t="str">
        <f t="array" ref="G1572">IF(ROWS(K$20:K1572)&gt;$F$6,"",INDEX(A$2:A$10000,SMALL(IF(ISNUMBER(MATCH($B$2:$B$10000,$E$6:$E$22,0)),ROW($C$2:$C$10000)-ROW($C$2)+1),ROWS(K$20:K1572))))</f>
        <v/>
      </c>
      <c r="H1572" s="4" t="str">
        <f t="array" ref="H1572">IF(ROWS(L$20:L1572)&gt;$F$6,"",INDEX(B$2:B$10000,SMALL(IF(ISNUMBER(MATCH($B$2:$B$10000,$E$6:$E$22,0)),ROW($C$2:$C$10000)-ROW($C$2)+1),ROWS(L$20:L1572))))</f>
        <v/>
      </c>
      <c r="I1572" s="4" t="str">
        <f t="array" ref="I1572">IF(ROWS(M$20:M1572)&gt;$F$6,"",INDEX(C$2:C$10000,SMALL(IF(ISNUMBER(MATCH($B$2:$B$10000,$E$6:$E$22,0)),ROW($C$2:$C$10000)-ROW($C$2)+1),ROWS(M$20:M1572))))</f>
        <v/>
      </c>
      <c r="K1572" s="7" t="str">
        <f t="array" ref="K1572">IF(ROWS(K$20:K1572)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1572))))</f>
        <v/>
      </c>
      <c r="L1572" s="4" t="str">
        <f t="array" ref="L1572">IF(ROWS(L$20:L1572)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1572))))</f>
        <v/>
      </c>
      <c r="M1572" s="4" t="str">
        <f t="array" ref="M1572">IF(ROWS(M$20:M1572)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1572))))</f>
        <v/>
      </c>
    </row>
    <row r="1573" spans="1:13" x14ac:dyDescent="0.25">
      <c r="A1573" s="3">
        <v>41714</v>
      </c>
      <c r="B1573" s="2" t="s">
        <v>47</v>
      </c>
      <c r="C1573" s="2">
        <v>30</v>
      </c>
      <c r="G1573" s="7" t="str">
        <f t="array" ref="G1573">IF(ROWS(K$20:K1573)&gt;$F$6,"",INDEX(A$2:A$10000,SMALL(IF(ISNUMBER(MATCH($B$2:$B$10000,$E$6:$E$22,0)),ROW($C$2:$C$10000)-ROW($C$2)+1),ROWS(K$20:K1573))))</f>
        <v/>
      </c>
      <c r="H1573" s="4" t="str">
        <f t="array" ref="H1573">IF(ROWS(L$20:L1573)&gt;$F$6,"",INDEX(B$2:B$10000,SMALL(IF(ISNUMBER(MATCH($B$2:$B$10000,$E$6:$E$22,0)),ROW($C$2:$C$10000)-ROW($C$2)+1),ROWS(L$20:L1573))))</f>
        <v/>
      </c>
      <c r="I1573" s="4" t="str">
        <f t="array" ref="I1573">IF(ROWS(M$20:M1573)&gt;$F$6,"",INDEX(C$2:C$10000,SMALL(IF(ISNUMBER(MATCH($B$2:$B$10000,$E$6:$E$22,0)),ROW($C$2:$C$10000)-ROW($C$2)+1),ROWS(M$20:M1573))))</f>
        <v/>
      </c>
      <c r="K1573" s="7" t="str">
        <f t="array" ref="K1573">IF(ROWS(K$20:K1573)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1573))))</f>
        <v/>
      </c>
      <c r="L1573" s="4" t="str">
        <f t="array" ref="L1573">IF(ROWS(L$20:L1573)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1573))))</f>
        <v/>
      </c>
      <c r="M1573" s="4" t="str">
        <f t="array" ref="M1573">IF(ROWS(M$20:M1573)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1573))))</f>
        <v/>
      </c>
    </row>
    <row r="1574" spans="1:13" x14ac:dyDescent="0.25">
      <c r="A1574" s="3">
        <v>41310</v>
      </c>
      <c r="B1574" s="2" t="s">
        <v>29</v>
      </c>
      <c r="C1574" s="2">
        <v>12</v>
      </c>
      <c r="G1574" s="7" t="str">
        <f t="array" ref="G1574">IF(ROWS(K$20:K1574)&gt;$F$6,"",INDEX(A$2:A$10000,SMALL(IF(ISNUMBER(MATCH($B$2:$B$10000,$E$6:$E$22,0)),ROW($C$2:$C$10000)-ROW($C$2)+1),ROWS(K$20:K1574))))</f>
        <v/>
      </c>
      <c r="H1574" s="4" t="str">
        <f t="array" ref="H1574">IF(ROWS(L$20:L1574)&gt;$F$6,"",INDEX(B$2:B$10000,SMALL(IF(ISNUMBER(MATCH($B$2:$B$10000,$E$6:$E$22,0)),ROW($C$2:$C$10000)-ROW($C$2)+1),ROWS(L$20:L1574))))</f>
        <v/>
      </c>
      <c r="I1574" s="4" t="str">
        <f t="array" ref="I1574">IF(ROWS(M$20:M1574)&gt;$F$6,"",INDEX(C$2:C$10000,SMALL(IF(ISNUMBER(MATCH($B$2:$B$10000,$E$6:$E$22,0)),ROW($C$2:$C$10000)-ROW($C$2)+1),ROWS(M$20:M1574))))</f>
        <v/>
      </c>
      <c r="K1574" s="7" t="str">
        <f t="array" ref="K1574">IF(ROWS(K$20:K1574)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1574))))</f>
        <v/>
      </c>
      <c r="L1574" s="4" t="str">
        <f t="array" ref="L1574">IF(ROWS(L$20:L1574)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1574))))</f>
        <v/>
      </c>
      <c r="M1574" s="4" t="str">
        <f t="array" ref="M1574">IF(ROWS(M$20:M1574)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1574))))</f>
        <v/>
      </c>
    </row>
    <row r="1575" spans="1:13" x14ac:dyDescent="0.25">
      <c r="A1575" s="3">
        <v>41531</v>
      </c>
      <c r="B1575" s="2" t="s">
        <v>36</v>
      </c>
      <c r="C1575" s="2">
        <v>2</v>
      </c>
      <c r="G1575" s="7" t="str">
        <f t="array" ref="G1575">IF(ROWS(K$20:K1575)&gt;$F$6,"",INDEX(A$2:A$10000,SMALL(IF(ISNUMBER(MATCH($B$2:$B$10000,$E$6:$E$22,0)),ROW($C$2:$C$10000)-ROW($C$2)+1),ROWS(K$20:K1575))))</f>
        <v/>
      </c>
      <c r="H1575" s="4" t="str">
        <f t="array" ref="H1575">IF(ROWS(L$20:L1575)&gt;$F$6,"",INDEX(B$2:B$10000,SMALL(IF(ISNUMBER(MATCH($B$2:$B$10000,$E$6:$E$22,0)),ROW($C$2:$C$10000)-ROW($C$2)+1),ROWS(L$20:L1575))))</f>
        <v/>
      </c>
      <c r="I1575" s="4" t="str">
        <f t="array" ref="I1575">IF(ROWS(M$20:M1575)&gt;$F$6,"",INDEX(C$2:C$10000,SMALL(IF(ISNUMBER(MATCH($B$2:$B$10000,$E$6:$E$22,0)),ROW($C$2:$C$10000)-ROW($C$2)+1),ROWS(M$20:M1575))))</f>
        <v/>
      </c>
      <c r="K1575" s="7" t="str">
        <f t="array" ref="K1575">IF(ROWS(K$20:K1575)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1575))))</f>
        <v/>
      </c>
      <c r="L1575" s="4" t="str">
        <f t="array" ref="L1575">IF(ROWS(L$20:L1575)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1575))))</f>
        <v/>
      </c>
      <c r="M1575" s="4" t="str">
        <f t="array" ref="M1575">IF(ROWS(M$20:M1575)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1575))))</f>
        <v/>
      </c>
    </row>
    <row r="1576" spans="1:13" x14ac:dyDescent="0.25">
      <c r="A1576" s="3">
        <v>41443</v>
      </c>
      <c r="B1576" s="2" t="s">
        <v>49</v>
      </c>
      <c r="C1576" s="2">
        <v>54</v>
      </c>
      <c r="G1576" s="7" t="str">
        <f t="array" ref="G1576">IF(ROWS(K$20:K1576)&gt;$F$6,"",INDEX(A$2:A$10000,SMALL(IF(ISNUMBER(MATCH($B$2:$B$10000,$E$6:$E$22,0)),ROW($C$2:$C$10000)-ROW($C$2)+1),ROWS(K$20:K1576))))</f>
        <v/>
      </c>
      <c r="H1576" s="4" t="str">
        <f t="array" ref="H1576">IF(ROWS(L$20:L1576)&gt;$F$6,"",INDEX(B$2:B$10000,SMALL(IF(ISNUMBER(MATCH($B$2:$B$10000,$E$6:$E$22,0)),ROW($C$2:$C$10000)-ROW($C$2)+1),ROWS(L$20:L1576))))</f>
        <v/>
      </c>
      <c r="I1576" s="4" t="str">
        <f t="array" ref="I1576">IF(ROWS(M$20:M1576)&gt;$F$6,"",INDEX(C$2:C$10000,SMALL(IF(ISNUMBER(MATCH($B$2:$B$10000,$E$6:$E$22,0)),ROW($C$2:$C$10000)-ROW($C$2)+1),ROWS(M$20:M1576))))</f>
        <v/>
      </c>
      <c r="K1576" s="7" t="str">
        <f t="array" ref="K1576">IF(ROWS(K$20:K1576)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1576))))</f>
        <v/>
      </c>
      <c r="L1576" s="4" t="str">
        <f t="array" ref="L1576">IF(ROWS(L$20:L1576)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1576))))</f>
        <v/>
      </c>
      <c r="M1576" s="4" t="str">
        <f t="array" ref="M1576">IF(ROWS(M$20:M1576)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1576))))</f>
        <v/>
      </c>
    </row>
    <row r="1577" spans="1:13" x14ac:dyDescent="0.25">
      <c r="A1577" s="3">
        <v>41963</v>
      </c>
      <c r="B1577" s="2" t="s">
        <v>23</v>
      </c>
      <c r="C1577" s="2">
        <v>44</v>
      </c>
      <c r="G1577" s="7" t="str">
        <f t="array" ref="G1577">IF(ROWS(K$20:K1577)&gt;$F$6,"",INDEX(A$2:A$10000,SMALL(IF(ISNUMBER(MATCH($B$2:$B$10000,$E$6:$E$22,0)),ROW($C$2:$C$10000)-ROW($C$2)+1),ROWS(K$20:K1577))))</f>
        <v/>
      </c>
      <c r="H1577" s="4" t="str">
        <f t="array" ref="H1577">IF(ROWS(L$20:L1577)&gt;$F$6,"",INDEX(B$2:B$10000,SMALL(IF(ISNUMBER(MATCH($B$2:$B$10000,$E$6:$E$22,0)),ROW($C$2:$C$10000)-ROW($C$2)+1),ROWS(L$20:L1577))))</f>
        <v/>
      </c>
      <c r="I1577" s="4" t="str">
        <f t="array" ref="I1577">IF(ROWS(M$20:M1577)&gt;$F$6,"",INDEX(C$2:C$10000,SMALL(IF(ISNUMBER(MATCH($B$2:$B$10000,$E$6:$E$22,0)),ROW($C$2:$C$10000)-ROW($C$2)+1),ROWS(M$20:M1577))))</f>
        <v/>
      </c>
      <c r="K1577" s="7" t="str">
        <f t="array" ref="K1577">IF(ROWS(K$20:K1577)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1577))))</f>
        <v/>
      </c>
      <c r="L1577" s="4" t="str">
        <f t="array" ref="L1577">IF(ROWS(L$20:L1577)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1577))))</f>
        <v/>
      </c>
      <c r="M1577" s="4" t="str">
        <f t="array" ref="M1577">IF(ROWS(M$20:M1577)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1577))))</f>
        <v/>
      </c>
    </row>
    <row r="1578" spans="1:13" x14ac:dyDescent="0.25">
      <c r="A1578" s="3">
        <v>41427</v>
      </c>
      <c r="B1578" s="2" t="s">
        <v>14</v>
      </c>
      <c r="C1578" s="2">
        <v>5</v>
      </c>
      <c r="G1578" s="7" t="str">
        <f t="array" ref="G1578">IF(ROWS(K$20:K1578)&gt;$F$6,"",INDEX(A$2:A$10000,SMALL(IF(ISNUMBER(MATCH($B$2:$B$10000,$E$6:$E$22,0)),ROW($C$2:$C$10000)-ROW($C$2)+1),ROWS(K$20:K1578))))</f>
        <v/>
      </c>
      <c r="H1578" s="4" t="str">
        <f t="array" ref="H1578">IF(ROWS(L$20:L1578)&gt;$F$6,"",INDEX(B$2:B$10000,SMALL(IF(ISNUMBER(MATCH($B$2:$B$10000,$E$6:$E$22,0)),ROW($C$2:$C$10000)-ROW($C$2)+1),ROWS(L$20:L1578))))</f>
        <v/>
      </c>
      <c r="I1578" s="4" t="str">
        <f t="array" ref="I1578">IF(ROWS(M$20:M1578)&gt;$F$6,"",INDEX(C$2:C$10000,SMALL(IF(ISNUMBER(MATCH($B$2:$B$10000,$E$6:$E$22,0)),ROW($C$2:$C$10000)-ROW($C$2)+1),ROWS(M$20:M1578))))</f>
        <v/>
      </c>
      <c r="K1578" s="7" t="str">
        <f t="array" ref="K1578">IF(ROWS(K$20:K1578)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1578))))</f>
        <v/>
      </c>
      <c r="L1578" s="4" t="str">
        <f t="array" ref="L1578">IF(ROWS(L$20:L1578)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1578))))</f>
        <v/>
      </c>
      <c r="M1578" s="4" t="str">
        <f t="array" ref="M1578">IF(ROWS(M$20:M1578)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1578))))</f>
        <v/>
      </c>
    </row>
    <row r="1579" spans="1:13" x14ac:dyDescent="0.25">
      <c r="A1579" s="3">
        <v>41792</v>
      </c>
      <c r="B1579" s="2" t="s">
        <v>16</v>
      </c>
      <c r="C1579" s="2">
        <v>24</v>
      </c>
      <c r="G1579" s="7" t="str">
        <f t="array" ref="G1579">IF(ROWS(K$20:K1579)&gt;$F$6,"",INDEX(A$2:A$10000,SMALL(IF(ISNUMBER(MATCH($B$2:$B$10000,$E$6:$E$22,0)),ROW($C$2:$C$10000)-ROW($C$2)+1),ROWS(K$20:K1579))))</f>
        <v/>
      </c>
      <c r="H1579" s="4" t="str">
        <f t="array" ref="H1579">IF(ROWS(L$20:L1579)&gt;$F$6,"",INDEX(B$2:B$10000,SMALL(IF(ISNUMBER(MATCH($B$2:$B$10000,$E$6:$E$22,0)),ROW($C$2:$C$10000)-ROW($C$2)+1),ROWS(L$20:L1579))))</f>
        <v/>
      </c>
      <c r="I1579" s="4" t="str">
        <f t="array" ref="I1579">IF(ROWS(M$20:M1579)&gt;$F$6,"",INDEX(C$2:C$10000,SMALL(IF(ISNUMBER(MATCH($B$2:$B$10000,$E$6:$E$22,0)),ROW($C$2:$C$10000)-ROW($C$2)+1),ROWS(M$20:M1579))))</f>
        <v/>
      </c>
      <c r="K1579" s="7" t="str">
        <f t="array" ref="K1579">IF(ROWS(K$20:K1579)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1579))))</f>
        <v/>
      </c>
      <c r="L1579" s="4" t="str">
        <f t="array" ref="L1579">IF(ROWS(L$20:L1579)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1579))))</f>
        <v/>
      </c>
      <c r="M1579" s="4" t="str">
        <f t="array" ref="M1579">IF(ROWS(M$20:M1579)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1579))))</f>
        <v/>
      </c>
    </row>
    <row r="1580" spans="1:13" x14ac:dyDescent="0.25">
      <c r="A1580" s="3">
        <v>41419</v>
      </c>
      <c r="B1580" s="2" t="s">
        <v>31</v>
      </c>
      <c r="C1580" s="2">
        <v>46</v>
      </c>
      <c r="G1580" s="7" t="str">
        <f t="array" ref="G1580">IF(ROWS(K$20:K1580)&gt;$F$6,"",INDEX(A$2:A$10000,SMALL(IF(ISNUMBER(MATCH($B$2:$B$10000,$E$6:$E$22,0)),ROW($C$2:$C$10000)-ROW($C$2)+1),ROWS(K$20:K1580))))</f>
        <v/>
      </c>
      <c r="H1580" s="4" t="str">
        <f t="array" ref="H1580">IF(ROWS(L$20:L1580)&gt;$F$6,"",INDEX(B$2:B$10000,SMALL(IF(ISNUMBER(MATCH($B$2:$B$10000,$E$6:$E$22,0)),ROW($C$2:$C$10000)-ROW($C$2)+1),ROWS(L$20:L1580))))</f>
        <v/>
      </c>
      <c r="I1580" s="4" t="str">
        <f t="array" ref="I1580">IF(ROWS(M$20:M1580)&gt;$F$6,"",INDEX(C$2:C$10000,SMALL(IF(ISNUMBER(MATCH($B$2:$B$10000,$E$6:$E$22,0)),ROW($C$2:$C$10000)-ROW($C$2)+1),ROWS(M$20:M1580))))</f>
        <v/>
      </c>
      <c r="K1580" s="7" t="str">
        <f t="array" ref="K1580">IF(ROWS(K$20:K1580)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1580))))</f>
        <v/>
      </c>
      <c r="L1580" s="4" t="str">
        <f t="array" ref="L1580">IF(ROWS(L$20:L1580)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1580))))</f>
        <v/>
      </c>
      <c r="M1580" s="4" t="str">
        <f t="array" ref="M1580">IF(ROWS(M$20:M1580)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1580))))</f>
        <v/>
      </c>
    </row>
    <row r="1581" spans="1:13" x14ac:dyDescent="0.25">
      <c r="A1581" s="3">
        <v>41517</v>
      </c>
      <c r="B1581" s="2" t="s">
        <v>27</v>
      </c>
      <c r="C1581" s="2">
        <v>59</v>
      </c>
      <c r="G1581" s="7" t="str">
        <f t="array" ref="G1581">IF(ROWS(K$20:K1581)&gt;$F$6,"",INDEX(A$2:A$10000,SMALL(IF(ISNUMBER(MATCH($B$2:$B$10000,$E$6:$E$22,0)),ROW($C$2:$C$10000)-ROW($C$2)+1),ROWS(K$20:K1581))))</f>
        <v/>
      </c>
      <c r="H1581" s="4" t="str">
        <f t="array" ref="H1581">IF(ROWS(L$20:L1581)&gt;$F$6,"",INDEX(B$2:B$10000,SMALL(IF(ISNUMBER(MATCH($B$2:$B$10000,$E$6:$E$22,0)),ROW($C$2:$C$10000)-ROW($C$2)+1),ROWS(L$20:L1581))))</f>
        <v/>
      </c>
      <c r="I1581" s="4" t="str">
        <f t="array" ref="I1581">IF(ROWS(M$20:M1581)&gt;$F$6,"",INDEX(C$2:C$10000,SMALL(IF(ISNUMBER(MATCH($B$2:$B$10000,$E$6:$E$22,0)),ROW($C$2:$C$10000)-ROW($C$2)+1),ROWS(M$20:M1581))))</f>
        <v/>
      </c>
      <c r="K1581" s="7" t="str">
        <f t="array" ref="K1581">IF(ROWS(K$20:K1581)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1581))))</f>
        <v/>
      </c>
      <c r="L1581" s="4" t="str">
        <f t="array" ref="L1581">IF(ROWS(L$20:L1581)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1581))))</f>
        <v/>
      </c>
      <c r="M1581" s="4" t="str">
        <f t="array" ref="M1581">IF(ROWS(M$20:M1581)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1581))))</f>
        <v/>
      </c>
    </row>
    <row r="1582" spans="1:13" x14ac:dyDescent="0.25">
      <c r="A1582" s="3">
        <v>41691</v>
      </c>
      <c r="B1582" s="2" t="s">
        <v>34</v>
      </c>
      <c r="C1582" s="2">
        <v>7</v>
      </c>
      <c r="G1582" s="7" t="str">
        <f t="array" ref="G1582">IF(ROWS(K$20:K1582)&gt;$F$6,"",INDEX(A$2:A$10000,SMALL(IF(ISNUMBER(MATCH($B$2:$B$10000,$E$6:$E$22,0)),ROW($C$2:$C$10000)-ROW($C$2)+1),ROWS(K$20:K1582))))</f>
        <v/>
      </c>
      <c r="H1582" s="4" t="str">
        <f t="array" ref="H1582">IF(ROWS(L$20:L1582)&gt;$F$6,"",INDEX(B$2:B$10000,SMALL(IF(ISNUMBER(MATCH($B$2:$B$10000,$E$6:$E$22,0)),ROW($C$2:$C$10000)-ROW($C$2)+1),ROWS(L$20:L1582))))</f>
        <v/>
      </c>
      <c r="I1582" s="4" t="str">
        <f t="array" ref="I1582">IF(ROWS(M$20:M1582)&gt;$F$6,"",INDEX(C$2:C$10000,SMALL(IF(ISNUMBER(MATCH($B$2:$B$10000,$E$6:$E$22,0)),ROW($C$2:$C$10000)-ROW($C$2)+1),ROWS(M$20:M1582))))</f>
        <v/>
      </c>
      <c r="K1582" s="7" t="str">
        <f t="array" ref="K1582">IF(ROWS(K$20:K1582)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1582))))</f>
        <v/>
      </c>
      <c r="L1582" s="4" t="str">
        <f t="array" ref="L1582">IF(ROWS(L$20:L1582)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1582))))</f>
        <v/>
      </c>
      <c r="M1582" s="4" t="str">
        <f t="array" ref="M1582">IF(ROWS(M$20:M1582)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1582))))</f>
        <v/>
      </c>
    </row>
    <row r="1583" spans="1:13" x14ac:dyDescent="0.25">
      <c r="A1583" s="3">
        <v>41711</v>
      </c>
      <c r="B1583" s="2" t="s">
        <v>34</v>
      </c>
      <c r="C1583" s="2">
        <v>15</v>
      </c>
      <c r="G1583" s="7" t="str">
        <f t="array" ref="G1583">IF(ROWS(K$20:K1583)&gt;$F$6,"",INDEX(A$2:A$10000,SMALL(IF(ISNUMBER(MATCH($B$2:$B$10000,$E$6:$E$22,0)),ROW($C$2:$C$10000)-ROW($C$2)+1),ROWS(K$20:K1583))))</f>
        <v/>
      </c>
      <c r="H1583" s="4" t="str">
        <f t="array" ref="H1583">IF(ROWS(L$20:L1583)&gt;$F$6,"",INDEX(B$2:B$10000,SMALL(IF(ISNUMBER(MATCH($B$2:$B$10000,$E$6:$E$22,0)),ROW($C$2:$C$10000)-ROW($C$2)+1),ROWS(L$20:L1583))))</f>
        <v/>
      </c>
      <c r="I1583" s="4" t="str">
        <f t="array" ref="I1583">IF(ROWS(M$20:M1583)&gt;$F$6,"",INDEX(C$2:C$10000,SMALL(IF(ISNUMBER(MATCH($B$2:$B$10000,$E$6:$E$22,0)),ROW($C$2:$C$10000)-ROW($C$2)+1),ROWS(M$20:M1583))))</f>
        <v/>
      </c>
      <c r="K1583" s="7" t="str">
        <f t="array" ref="K1583">IF(ROWS(K$20:K1583)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1583))))</f>
        <v/>
      </c>
      <c r="L1583" s="4" t="str">
        <f t="array" ref="L1583">IF(ROWS(L$20:L1583)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1583))))</f>
        <v/>
      </c>
      <c r="M1583" s="4" t="str">
        <f t="array" ref="M1583">IF(ROWS(M$20:M1583)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1583))))</f>
        <v/>
      </c>
    </row>
    <row r="1584" spans="1:13" x14ac:dyDescent="0.25">
      <c r="A1584" s="3">
        <v>41875</v>
      </c>
      <c r="B1584" s="2" t="s">
        <v>38</v>
      </c>
      <c r="C1584" s="2">
        <v>33</v>
      </c>
      <c r="G1584" s="7" t="str">
        <f t="array" ref="G1584">IF(ROWS(K$20:K1584)&gt;$F$6,"",INDEX(A$2:A$10000,SMALL(IF(ISNUMBER(MATCH($B$2:$B$10000,$E$6:$E$22,0)),ROW($C$2:$C$10000)-ROW($C$2)+1),ROWS(K$20:K1584))))</f>
        <v/>
      </c>
      <c r="H1584" s="4" t="str">
        <f t="array" ref="H1584">IF(ROWS(L$20:L1584)&gt;$F$6,"",INDEX(B$2:B$10000,SMALL(IF(ISNUMBER(MATCH($B$2:$B$10000,$E$6:$E$22,0)),ROW($C$2:$C$10000)-ROW($C$2)+1),ROWS(L$20:L1584))))</f>
        <v/>
      </c>
      <c r="I1584" s="4" t="str">
        <f t="array" ref="I1584">IF(ROWS(M$20:M1584)&gt;$F$6,"",INDEX(C$2:C$10000,SMALL(IF(ISNUMBER(MATCH($B$2:$B$10000,$E$6:$E$22,0)),ROW($C$2:$C$10000)-ROW($C$2)+1),ROWS(M$20:M1584))))</f>
        <v/>
      </c>
      <c r="K1584" s="7" t="str">
        <f t="array" ref="K1584">IF(ROWS(K$20:K1584)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1584))))</f>
        <v/>
      </c>
      <c r="L1584" s="4" t="str">
        <f t="array" ref="L1584">IF(ROWS(L$20:L1584)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1584))))</f>
        <v/>
      </c>
      <c r="M1584" s="4" t="str">
        <f t="array" ref="M1584">IF(ROWS(M$20:M1584)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1584))))</f>
        <v/>
      </c>
    </row>
    <row r="1585" spans="1:13" x14ac:dyDescent="0.25">
      <c r="A1585" s="3">
        <v>41697</v>
      </c>
      <c r="B1585" s="2" t="s">
        <v>51</v>
      </c>
      <c r="C1585" s="2">
        <v>34</v>
      </c>
      <c r="G1585" s="7" t="str">
        <f t="array" ref="G1585">IF(ROWS(K$20:K1585)&gt;$F$6,"",INDEX(A$2:A$10000,SMALL(IF(ISNUMBER(MATCH($B$2:$B$10000,$E$6:$E$22,0)),ROW($C$2:$C$10000)-ROW($C$2)+1),ROWS(K$20:K1585))))</f>
        <v/>
      </c>
      <c r="H1585" s="4" t="str">
        <f t="array" ref="H1585">IF(ROWS(L$20:L1585)&gt;$F$6,"",INDEX(B$2:B$10000,SMALL(IF(ISNUMBER(MATCH($B$2:$B$10000,$E$6:$E$22,0)),ROW($C$2:$C$10000)-ROW($C$2)+1),ROWS(L$20:L1585))))</f>
        <v/>
      </c>
      <c r="I1585" s="4" t="str">
        <f t="array" ref="I1585">IF(ROWS(M$20:M1585)&gt;$F$6,"",INDEX(C$2:C$10000,SMALL(IF(ISNUMBER(MATCH($B$2:$B$10000,$E$6:$E$22,0)),ROW($C$2:$C$10000)-ROW($C$2)+1),ROWS(M$20:M1585))))</f>
        <v/>
      </c>
      <c r="K1585" s="7" t="str">
        <f t="array" ref="K1585">IF(ROWS(K$20:K1585)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1585))))</f>
        <v/>
      </c>
      <c r="L1585" s="4" t="str">
        <f t="array" ref="L1585">IF(ROWS(L$20:L1585)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1585))))</f>
        <v/>
      </c>
      <c r="M1585" s="4" t="str">
        <f t="array" ref="M1585">IF(ROWS(M$20:M1585)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1585))))</f>
        <v/>
      </c>
    </row>
    <row r="1586" spans="1:13" x14ac:dyDescent="0.25">
      <c r="A1586" s="3">
        <v>41860</v>
      </c>
      <c r="B1586" s="2" t="s">
        <v>6</v>
      </c>
      <c r="C1586" s="2">
        <v>29</v>
      </c>
      <c r="G1586" s="7" t="str">
        <f t="array" ref="G1586">IF(ROWS(K$20:K1586)&gt;$F$6,"",INDEX(A$2:A$10000,SMALL(IF(ISNUMBER(MATCH($B$2:$B$10000,$E$6:$E$22,0)),ROW($C$2:$C$10000)-ROW($C$2)+1),ROWS(K$20:K1586))))</f>
        <v/>
      </c>
      <c r="H1586" s="4" t="str">
        <f t="array" ref="H1586">IF(ROWS(L$20:L1586)&gt;$F$6,"",INDEX(B$2:B$10000,SMALL(IF(ISNUMBER(MATCH($B$2:$B$10000,$E$6:$E$22,0)),ROW($C$2:$C$10000)-ROW($C$2)+1),ROWS(L$20:L1586))))</f>
        <v/>
      </c>
      <c r="I1586" s="4" t="str">
        <f t="array" ref="I1586">IF(ROWS(M$20:M1586)&gt;$F$6,"",INDEX(C$2:C$10000,SMALL(IF(ISNUMBER(MATCH($B$2:$B$10000,$E$6:$E$22,0)),ROW($C$2:$C$10000)-ROW($C$2)+1),ROWS(M$20:M1586))))</f>
        <v/>
      </c>
      <c r="K1586" s="7" t="str">
        <f t="array" ref="K1586">IF(ROWS(K$20:K1586)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1586))))</f>
        <v/>
      </c>
      <c r="L1586" s="4" t="str">
        <f t="array" ref="L1586">IF(ROWS(L$20:L1586)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1586))))</f>
        <v/>
      </c>
      <c r="M1586" s="4" t="str">
        <f t="array" ref="M1586">IF(ROWS(M$20:M1586)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1586))))</f>
        <v/>
      </c>
    </row>
    <row r="1587" spans="1:13" x14ac:dyDescent="0.25">
      <c r="A1587" s="3">
        <v>41769</v>
      </c>
      <c r="B1587" s="2" t="s">
        <v>19</v>
      </c>
      <c r="C1587" s="2">
        <v>52</v>
      </c>
      <c r="G1587" s="7" t="str">
        <f t="array" ref="G1587">IF(ROWS(K$20:K1587)&gt;$F$6,"",INDEX(A$2:A$10000,SMALL(IF(ISNUMBER(MATCH($B$2:$B$10000,$E$6:$E$22,0)),ROW($C$2:$C$10000)-ROW($C$2)+1),ROWS(K$20:K1587))))</f>
        <v/>
      </c>
      <c r="H1587" s="4" t="str">
        <f t="array" ref="H1587">IF(ROWS(L$20:L1587)&gt;$F$6,"",INDEX(B$2:B$10000,SMALL(IF(ISNUMBER(MATCH($B$2:$B$10000,$E$6:$E$22,0)),ROW($C$2:$C$10000)-ROW($C$2)+1),ROWS(L$20:L1587))))</f>
        <v/>
      </c>
      <c r="I1587" s="4" t="str">
        <f t="array" ref="I1587">IF(ROWS(M$20:M1587)&gt;$F$6,"",INDEX(C$2:C$10000,SMALL(IF(ISNUMBER(MATCH($B$2:$B$10000,$E$6:$E$22,0)),ROW($C$2:$C$10000)-ROW($C$2)+1),ROWS(M$20:M1587))))</f>
        <v/>
      </c>
      <c r="K1587" s="7" t="str">
        <f t="array" ref="K1587">IF(ROWS(K$20:K1587)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1587))))</f>
        <v/>
      </c>
      <c r="L1587" s="4" t="str">
        <f t="array" ref="L1587">IF(ROWS(L$20:L1587)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1587))))</f>
        <v/>
      </c>
      <c r="M1587" s="4" t="str">
        <f t="array" ref="M1587">IF(ROWS(M$20:M1587)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1587))))</f>
        <v/>
      </c>
    </row>
    <row r="1588" spans="1:13" x14ac:dyDescent="0.25">
      <c r="A1588" s="3">
        <v>41910</v>
      </c>
      <c r="B1588" s="2" t="s">
        <v>13</v>
      </c>
      <c r="C1588" s="2">
        <v>36</v>
      </c>
      <c r="G1588" s="7" t="str">
        <f t="array" ref="G1588">IF(ROWS(K$20:K1588)&gt;$F$6,"",INDEX(A$2:A$10000,SMALL(IF(ISNUMBER(MATCH($B$2:$B$10000,$E$6:$E$22,0)),ROW($C$2:$C$10000)-ROW($C$2)+1),ROWS(K$20:K1588))))</f>
        <v/>
      </c>
      <c r="H1588" s="4" t="str">
        <f t="array" ref="H1588">IF(ROWS(L$20:L1588)&gt;$F$6,"",INDEX(B$2:B$10000,SMALL(IF(ISNUMBER(MATCH($B$2:$B$10000,$E$6:$E$22,0)),ROW($C$2:$C$10000)-ROW($C$2)+1),ROWS(L$20:L1588))))</f>
        <v/>
      </c>
      <c r="I1588" s="4" t="str">
        <f t="array" ref="I1588">IF(ROWS(M$20:M1588)&gt;$F$6,"",INDEX(C$2:C$10000,SMALL(IF(ISNUMBER(MATCH($B$2:$B$10000,$E$6:$E$22,0)),ROW($C$2:$C$10000)-ROW($C$2)+1),ROWS(M$20:M1588))))</f>
        <v/>
      </c>
      <c r="K1588" s="7" t="str">
        <f t="array" ref="K1588">IF(ROWS(K$20:K1588)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1588))))</f>
        <v/>
      </c>
      <c r="L1588" s="4" t="str">
        <f t="array" ref="L1588">IF(ROWS(L$20:L1588)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1588))))</f>
        <v/>
      </c>
      <c r="M1588" s="4" t="str">
        <f t="array" ref="M1588">IF(ROWS(M$20:M1588)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1588))))</f>
        <v/>
      </c>
    </row>
    <row r="1589" spans="1:13" x14ac:dyDescent="0.25">
      <c r="A1589" s="3">
        <v>41275</v>
      </c>
      <c r="B1589" s="2" t="s">
        <v>41</v>
      </c>
      <c r="C1589" s="2">
        <v>20</v>
      </c>
      <c r="G1589" s="7" t="str">
        <f t="array" ref="G1589">IF(ROWS(K$20:K1589)&gt;$F$6,"",INDEX(A$2:A$10000,SMALL(IF(ISNUMBER(MATCH($B$2:$B$10000,$E$6:$E$22,0)),ROW($C$2:$C$10000)-ROW($C$2)+1),ROWS(K$20:K1589))))</f>
        <v/>
      </c>
      <c r="H1589" s="4" t="str">
        <f t="array" ref="H1589">IF(ROWS(L$20:L1589)&gt;$F$6,"",INDEX(B$2:B$10000,SMALL(IF(ISNUMBER(MATCH($B$2:$B$10000,$E$6:$E$22,0)),ROW($C$2:$C$10000)-ROW($C$2)+1),ROWS(L$20:L1589))))</f>
        <v/>
      </c>
      <c r="I1589" s="4" t="str">
        <f t="array" ref="I1589">IF(ROWS(M$20:M1589)&gt;$F$6,"",INDEX(C$2:C$10000,SMALL(IF(ISNUMBER(MATCH($B$2:$B$10000,$E$6:$E$22,0)),ROW($C$2:$C$10000)-ROW($C$2)+1),ROWS(M$20:M1589))))</f>
        <v/>
      </c>
      <c r="K1589" s="7" t="str">
        <f t="array" ref="K1589">IF(ROWS(K$20:K1589)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1589))))</f>
        <v/>
      </c>
      <c r="L1589" s="4" t="str">
        <f t="array" ref="L1589">IF(ROWS(L$20:L1589)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1589))))</f>
        <v/>
      </c>
      <c r="M1589" s="4" t="str">
        <f t="array" ref="M1589">IF(ROWS(M$20:M1589)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1589))))</f>
        <v/>
      </c>
    </row>
    <row r="1590" spans="1:13" x14ac:dyDescent="0.25">
      <c r="A1590" s="3">
        <v>41537</v>
      </c>
      <c r="B1590" s="2" t="s">
        <v>50</v>
      </c>
      <c r="C1590" s="2">
        <v>28</v>
      </c>
      <c r="G1590" s="7" t="str">
        <f t="array" ref="G1590">IF(ROWS(K$20:K1590)&gt;$F$6,"",INDEX(A$2:A$10000,SMALL(IF(ISNUMBER(MATCH($B$2:$B$10000,$E$6:$E$22,0)),ROW($C$2:$C$10000)-ROW($C$2)+1),ROWS(K$20:K1590))))</f>
        <v/>
      </c>
      <c r="H1590" s="4" t="str">
        <f t="array" ref="H1590">IF(ROWS(L$20:L1590)&gt;$F$6,"",INDEX(B$2:B$10000,SMALL(IF(ISNUMBER(MATCH($B$2:$B$10000,$E$6:$E$22,0)),ROW($C$2:$C$10000)-ROW($C$2)+1),ROWS(L$20:L1590))))</f>
        <v/>
      </c>
      <c r="I1590" s="4" t="str">
        <f t="array" ref="I1590">IF(ROWS(M$20:M1590)&gt;$F$6,"",INDEX(C$2:C$10000,SMALL(IF(ISNUMBER(MATCH($B$2:$B$10000,$E$6:$E$22,0)),ROW($C$2:$C$10000)-ROW($C$2)+1),ROWS(M$20:M1590))))</f>
        <v/>
      </c>
      <c r="K1590" s="7" t="str">
        <f t="array" ref="K1590">IF(ROWS(K$20:K1590)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1590))))</f>
        <v/>
      </c>
      <c r="L1590" s="4" t="str">
        <f t="array" ref="L1590">IF(ROWS(L$20:L1590)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1590))))</f>
        <v/>
      </c>
      <c r="M1590" s="4" t="str">
        <f t="array" ref="M1590">IF(ROWS(M$20:M1590)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1590))))</f>
        <v/>
      </c>
    </row>
    <row r="1591" spans="1:13" x14ac:dyDescent="0.25">
      <c r="A1591" s="3">
        <v>41613</v>
      </c>
      <c r="B1591" s="2" t="s">
        <v>46</v>
      </c>
      <c r="C1591" s="2">
        <v>26</v>
      </c>
      <c r="G1591" s="7" t="str">
        <f t="array" ref="G1591">IF(ROWS(K$20:K1591)&gt;$F$6,"",INDEX(A$2:A$10000,SMALL(IF(ISNUMBER(MATCH($B$2:$B$10000,$E$6:$E$22,0)),ROW($C$2:$C$10000)-ROW($C$2)+1),ROWS(K$20:K1591))))</f>
        <v/>
      </c>
      <c r="H1591" s="4" t="str">
        <f t="array" ref="H1591">IF(ROWS(L$20:L1591)&gt;$F$6,"",INDEX(B$2:B$10000,SMALL(IF(ISNUMBER(MATCH($B$2:$B$10000,$E$6:$E$22,0)),ROW($C$2:$C$10000)-ROW($C$2)+1),ROWS(L$20:L1591))))</f>
        <v/>
      </c>
      <c r="I1591" s="4" t="str">
        <f t="array" ref="I1591">IF(ROWS(M$20:M1591)&gt;$F$6,"",INDEX(C$2:C$10000,SMALL(IF(ISNUMBER(MATCH($B$2:$B$10000,$E$6:$E$22,0)),ROW($C$2:$C$10000)-ROW($C$2)+1),ROWS(M$20:M1591))))</f>
        <v/>
      </c>
      <c r="K1591" s="7" t="str">
        <f t="array" ref="K1591">IF(ROWS(K$20:K1591)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1591))))</f>
        <v/>
      </c>
      <c r="L1591" s="4" t="str">
        <f t="array" ref="L1591">IF(ROWS(L$20:L1591)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1591))))</f>
        <v/>
      </c>
      <c r="M1591" s="4" t="str">
        <f t="array" ref="M1591">IF(ROWS(M$20:M1591)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1591))))</f>
        <v/>
      </c>
    </row>
    <row r="1592" spans="1:13" x14ac:dyDescent="0.25">
      <c r="A1592" s="3">
        <v>41490</v>
      </c>
      <c r="B1592" s="2" t="s">
        <v>25</v>
      </c>
      <c r="C1592" s="2">
        <v>37</v>
      </c>
      <c r="G1592" s="7" t="str">
        <f t="array" ref="G1592">IF(ROWS(K$20:K1592)&gt;$F$6,"",INDEX(A$2:A$10000,SMALL(IF(ISNUMBER(MATCH($B$2:$B$10000,$E$6:$E$22,0)),ROW($C$2:$C$10000)-ROW($C$2)+1),ROWS(K$20:K1592))))</f>
        <v/>
      </c>
      <c r="H1592" s="4" t="str">
        <f t="array" ref="H1592">IF(ROWS(L$20:L1592)&gt;$F$6,"",INDEX(B$2:B$10000,SMALL(IF(ISNUMBER(MATCH($B$2:$B$10000,$E$6:$E$22,0)),ROW($C$2:$C$10000)-ROW($C$2)+1),ROWS(L$20:L1592))))</f>
        <v/>
      </c>
      <c r="I1592" s="4" t="str">
        <f t="array" ref="I1592">IF(ROWS(M$20:M1592)&gt;$F$6,"",INDEX(C$2:C$10000,SMALL(IF(ISNUMBER(MATCH($B$2:$B$10000,$E$6:$E$22,0)),ROW($C$2:$C$10000)-ROW($C$2)+1),ROWS(M$20:M1592))))</f>
        <v/>
      </c>
      <c r="K1592" s="7" t="str">
        <f t="array" ref="K1592">IF(ROWS(K$20:K1592)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1592))))</f>
        <v/>
      </c>
      <c r="L1592" s="4" t="str">
        <f t="array" ref="L1592">IF(ROWS(L$20:L1592)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1592))))</f>
        <v/>
      </c>
      <c r="M1592" s="4" t="str">
        <f t="array" ref="M1592">IF(ROWS(M$20:M1592)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1592))))</f>
        <v/>
      </c>
    </row>
    <row r="1593" spans="1:13" x14ac:dyDescent="0.25">
      <c r="A1593" s="3">
        <v>41560</v>
      </c>
      <c r="B1593" s="2" t="s">
        <v>41</v>
      </c>
      <c r="C1593" s="2">
        <v>22</v>
      </c>
      <c r="G1593" s="7" t="str">
        <f t="array" ref="G1593">IF(ROWS(K$20:K1593)&gt;$F$6,"",INDEX(A$2:A$10000,SMALL(IF(ISNUMBER(MATCH($B$2:$B$10000,$E$6:$E$22,0)),ROW($C$2:$C$10000)-ROW($C$2)+1),ROWS(K$20:K1593))))</f>
        <v/>
      </c>
      <c r="H1593" s="4" t="str">
        <f t="array" ref="H1593">IF(ROWS(L$20:L1593)&gt;$F$6,"",INDEX(B$2:B$10000,SMALL(IF(ISNUMBER(MATCH($B$2:$B$10000,$E$6:$E$22,0)),ROW($C$2:$C$10000)-ROW($C$2)+1),ROWS(L$20:L1593))))</f>
        <v/>
      </c>
      <c r="I1593" s="4" t="str">
        <f t="array" ref="I1593">IF(ROWS(M$20:M1593)&gt;$F$6,"",INDEX(C$2:C$10000,SMALL(IF(ISNUMBER(MATCH($B$2:$B$10000,$E$6:$E$22,0)),ROW($C$2:$C$10000)-ROW($C$2)+1),ROWS(M$20:M1593))))</f>
        <v/>
      </c>
      <c r="K1593" s="7" t="str">
        <f t="array" ref="K1593">IF(ROWS(K$20:K1593)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1593))))</f>
        <v/>
      </c>
      <c r="L1593" s="4" t="str">
        <f t="array" ref="L1593">IF(ROWS(L$20:L1593)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1593))))</f>
        <v/>
      </c>
      <c r="M1593" s="4" t="str">
        <f t="array" ref="M1593">IF(ROWS(M$20:M1593)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1593))))</f>
        <v/>
      </c>
    </row>
    <row r="1594" spans="1:13" x14ac:dyDescent="0.25">
      <c r="A1594" s="3">
        <v>41923</v>
      </c>
      <c r="B1594" s="2" t="s">
        <v>18</v>
      </c>
      <c r="C1594" s="2">
        <v>15</v>
      </c>
      <c r="G1594" s="7" t="str">
        <f t="array" ref="G1594">IF(ROWS(K$20:K1594)&gt;$F$6,"",INDEX(A$2:A$10000,SMALL(IF(ISNUMBER(MATCH($B$2:$B$10000,$E$6:$E$22,0)),ROW($C$2:$C$10000)-ROW($C$2)+1),ROWS(K$20:K1594))))</f>
        <v/>
      </c>
      <c r="H1594" s="4" t="str">
        <f t="array" ref="H1594">IF(ROWS(L$20:L1594)&gt;$F$6,"",INDEX(B$2:B$10000,SMALL(IF(ISNUMBER(MATCH($B$2:$B$10000,$E$6:$E$22,0)),ROW($C$2:$C$10000)-ROW($C$2)+1),ROWS(L$20:L1594))))</f>
        <v/>
      </c>
      <c r="I1594" s="4" t="str">
        <f t="array" ref="I1594">IF(ROWS(M$20:M1594)&gt;$F$6,"",INDEX(C$2:C$10000,SMALL(IF(ISNUMBER(MATCH($B$2:$B$10000,$E$6:$E$22,0)),ROW($C$2:$C$10000)-ROW($C$2)+1),ROWS(M$20:M1594))))</f>
        <v/>
      </c>
      <c r="K1594" s="7" t="str">
        <f t="array" ref="K1594">IF(ROWS(K$20:K1594)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1594))))</f>
        <v/>
      </c>
      <c r="L1594" s="4" t="str">
        <f t="array" ref="L1594">IF(ROWS(L$20:L1594)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1594))))</f>
        <v/>
      </c>
      <c r="M1594" s="4" t="str">
        <f t="array" ref="M1594">IF(ROWS(M$20:M1594)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1594))))</f>
        <v/>
      </c>
    </row>
    <row r="1595" spans="1:13" x14ac:dyDescent="0.25">
      <c r="A1595" s="3">
        <v>41995</v>
      </c>
      <c r="B1595" s="2" t="s">
        <v>34</v>
      </c>
      <c r="C1595" s="2">
        <v>30</v>
      </c>
      <c r="G1595" s="7" t="str">
        <f t="array" ref="G1595">IF(ROWS(K$20:K1595)&gt;$F$6,"",INDEX(A$2:A$10000,SMALL(IF(ISNUMBER(MATCH($B$2:$B$10000,$E$6:$E$22,0)),ROW($C$2:$C$10000)-ROW($C$2)+1),ROWS(K$20:K1595))))</f>
        <v/>
      </c>
      <c r="H1595" s="4" t="str">
        <f t="array" ref="H1595">IF(ROWS(L$20:L1595)&gt;$F$6,"",INDEX(B$2:B$10000,SMALL(IF(ISNUMBER(MATCH($B$2:$B$10000,$E$6:$E$22,0)),ROW($C$2:$C$10000)-ROW($C$2)+1),ROWS(L$20:L1595))))</f>
        <v/>
      </c>
      <c r="I1595" s="4" t="str">
        <f t="array" ref="I1595">IF(ROWS(M$20:M1595)&gt;$F$6,"",INDEX(C$2:C$10000,SMALL(IF(ISNUMBER(MATCH($B$2:$B$10000,$E$6:$E$22,0)),ROW($C$2:$C$10000)-ROW($C$2)+1),ROWS(M$20:M1595))))</f>
        <v/>
      </c>
      <c r="K1595" s="7" t="str">
        <f t="array" ref="K1595">IF(ROWS(K$20:K1595)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1595))))</f>
        <v/>
      </c>
      <c r="L1595" s="4" t="str">
        <f t="array" ref="L1595">IF(ROWS(L$20:L1595)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1595))))</f>
        <v/>
      </c>
      <c r="M1595" s="4" t="str">
        <f t="array" ref="M1595">IF(ROWS(M$20:M1595)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1595))))</f>
        <v/>
      </c>
    </row>
    <row r="1596" spans="1:13" x14ac:dyDescent="0.25">
      <c r="A1596" s="3">
        <v>41555</v>
      </c>
      <c r="B1596" s="2" t="s">
        <v>19</v>
      </c>
      <c r="C1596" s="2">
        <v>19</v>
      </c>
      <c r="G1596" s="7" t="str">
        <f t="array" ref="G1596">IF(ROWS(K$20:K1596)&gt;$F$6,"",INDEX(A$2:A$10000,SMALL(IF(ISNUMBER(MATCH($B$2:$B$10000,$E$6:$E$22,0)),ROW($C$2:$C$10000)-ROW($C$2)+1),ROWS(K$20:K1596))))</f>
        <v/>
      </c>
      <c r="H1596" s="4" t="str">
        <f t="array" ref="H1596">IF(ROWS(L$20:L1596)&gt;$F$6,"",INDEX(B$2:B$10000,SMALL(IF(ISNUMBER(MATCH($B$2:$B$10000,$E$6:$E$22,0)),ROW($C$2:$C$10000)-ROW($C$2)+1),ROWS(L$20:L1596))))</f>
        <v/>
      </c>
      <c r="I1596" s="4" t="str">
        <f t="array" ref="I1596">IF(ROWS(M$20:M1596)&gt;$F$6,"",INDEX(C$2:C$10000,SMALL(IF(ISNUMBER(MATCH($B$2:$B$10000,$E$6:$E$22,0)),ROW($C$2:$C$10000)-ROW($C$2)+1),ROWS(M$20:M1596))))</f>
        <v/>
      </c>
      <c r="K1596" s="7" t="str">
        <f t="array" ref="K1596">IF(ROWS(K$20:K1596)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1596))))</f>
        <v/>
      </c>
      <c r="L1596" s="4" t="str">
        <f t="array" ref="L1596">IF(ROWS(L$20:L1596)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1596))))</f>
        <v/>
      </c>
      <c r="M1596" s="4" t="str">
        <f t="array" ref="M1596">IF(ROWS(M$20:M1596)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1596))))</f>
        <v/>
      </c>
    </row>
    <row r="1597" spans="1:13" x14ac:dyDescent="0.25">
      <c r="A1597" s="3">
        <v>41906</v>
      </c>
      <c r="B1597" s="2" t="s">
        <v>35</v>
      </c>
      <c r="C1597" s="2">
        <v>22</v>
      </c>
      <c r="G1597" s="7" t="str">
        <f t="array" ref="G1597">IF(ROWS(K$20:K1597)&gt;$F$6,"",INDEX(A$2:A$10000,SMALL(IF(ISNUMBER(MATCH($B$2:$B$10000,$E$6:$E$22,0)),ROW($C$2:$C$10000)-ROW($C$2)+1),ROWS(K$20:K1597))))</f>
        <v/>
      </c>
      <c r="H1597" s="4" t="str">
        <f t="array" ref="H1597">IF(ROWS(L$20:L1597)&gt;$F$6,"",INDEX(B$2:B$10000,SMALL(IF(ISNUMBER(MATCH($B$2:$B$10000,$E$6:$E$22,0)),ROW($C$2:$C$10000)-ROW($C$2)+1),ROWS(L$20:L1597))))</f>
        <v/>
      </c>
      <c r="I1597" s="4" t="str">
        <f t="array" ref="I1597">IF(ROWS(M$20:M1597)&gt;$F$6,"",INDEX(C$2:C$10000,SMALL(IF(ISNUMBER(MATCH($B$2:$B$10000,$E$6:$E$22,0)),ROW($C$2:$C$10000)-ROW($C$2)+1),ROWS(M$20:M1597))))</f>
        <v/>
      </c>
      <c r="K1597" s="7" t="str">
        <f t="array" ref="K1597">IF(ROWS(K$20:K1597)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1597))))</f>
        <v/>
      </c>
      <c r="L1597" s="4" t="str">
        <f t="array" ref="L1597">IF(ROWS(L$20:L1597)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1597))))</f>
        <v/>
      </c>
      <c r="M1597" s="4" t="str">
        <f t="array" ref="M1597">IF(ROWS(M$20:M1597)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1597))))</f>
        <v/>
      </c>
    </row>
    <row r="1598" spans="1:13" x14ac:dyDescent="0.25">
      <c r="A1598" s="3">
        <v>41582</v>
      </c>
      <c r="B1598" s="2" t="s">
        <v>7</v>
      </c>
      <c r="C1598" s="2">
        <v>16</v>
      </c>
      <c r="G1598" s="7" t="str">
        <f t="array" ref="G1598">IF(ROWS(K$20:K1598)&gt;$F$6,"",INDEX(A$2:A$10000,SMALL(IF(ISNUMBER(MATCH($B$2:$B$10000,$E$6:$E$22,0)),ROW($C$2:$C$10000)-ROW($C$2)+1),ROWS(K$20:K1598))))</f>
        <v/>
      </c>
      <c r="H1598" s="4" t="str">
        <f t="array" ref="H1598">IF(ROWS(L$20:L1598)&gt;$F$6,"",INDEX(B$2:B$10000,SMALL(IF(ISNUMBER(MATCH($B$2:$B$10000,$E$6:$E$22,0)),ROW($C$2:$C$10000)-ROW($C$2)+1),ROWS(L$20:L1598))))</f>
        <v/>
      </c>
      <c r="I1598" s="4" t="str">
        <f t="array" ref="I1598">IF(ROWS(M$20:M1598)&gt;$F$6,"",INDEX(C$2:C$10000,SMALL(IF(ISNUMBER(MATCH($B$2:$B$10000,$E$6:$E$22,0)),ROW($C$2:$C$10000)-ROW($C$2)+1),ROWS(M$20:M1598))))</f>
        <v/>
      </c>
      <c r="K1598" s="7" t="str">
        <f t="array" ref="K1598">IF(ROWS(K$20:K1598)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1598))))</f>
        <v/>
      </c>
      <c r="L1598" s="4" t="str">
        <f t="array" ref="L1598">IF(ROWS(L$20:L1598)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1598))))</f>
        <v/>
      </c>
      <c r="M1598" s="4" t="str">
        <f t="array" ref="M1598">IF(ROWS(M$20:M1598)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1598))))</f>
        <v/>
      </c>
    </row>
    <row r="1599" spans="1:13" x14ac:dyDescent="0.25">
      <c r="A1599" s="3">
        <v>41746</v>
      </c>
      <c r="B1599" s="2" t="s">
        <v>50</v>
      </c>
      <c r="C1599" s="2">
        <v>22</v>
      </c>
      <c r="G1599" s="7" t="str">
        <f t="array" ref="G1599">IF(ROWS(K$20:K1599)&gt;$F$6,"",INDEX(A$2:A$10000,SMALL(IF(ISNUMBER(MATCH($B$2:$B$10000,$E$6:$E$22,0)),ROW($C$2:$C$10000)-ROW($C$2)+1),ROWS(K$20:K1599))))</f>
        <v/>
      </c>
      <c r="H1599" s="4" t="str">
        <f t="array" ref="H1599">IF(ROWS(L$20:L1599)&gt;$F$6,"",INDEX(B$2:B$10000,SMALL(IF(ISNUMBER(MATCH($B$2:$B$10000,$E$6:$E$22,0)),ROW($C$2:$C$10000)-ROW($C$2)+1),ROWS(L$20:L1599))))</f>
        <v/>
      </c>
      <c r="I1599" s="4" t="str">
        <f t="array" ref="I1599">IF(ROWS(M$20:M1599)&gt;$F$6,"",INDEX(C$2:C$10000,SMALL(IF(ISNUMBER(MATCH($B$2:$B$10000,$E$6:$E$22,0)),ROW($C$2:$C$10000)-ROW($C$2)+1),ROWS(M$20:M1599))))</f>
        <v/>
      </c>
      <c r="K1599" s="7" t="str">
        <f t="array" ref="K1599">IF(ROWS(K$20:K1599)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1599))))</f>
        <v/>
      </c>
      <c r="L1599" s="4" t="str">
        <f t="array" ref="L1599">IF(ROWS(L$20:L1599)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1599))))</f>
        <v/>
      </c>
      <c r="M1599" s="4" t="str">
        <f t="array" ref="M1599">IF(ROWS(M$20:M1599)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1599))))</f>
        <v/>
      </c>
    </row>
    <row r="1600" spans="1:13" x14ac:dyDescent="0.25">
      <c r="A1600" s="3">
        <v>41693</v>
      </c>
      <c r="B1600" s="2" t="s">
        <v>26</v>
      </c>
      <c r="C1600" s="2">
        <v>35</v>
      </c>
      <c r="G1600" s="7" t="str">
        <f t="array" ref="G1600">IF(ROWS(K$20:K1600)&gt;$F$6,"",INDEX(A$2:A$10000,SMALL(IF(ISNUMBER(MATCH($B$2:$B$10000,$E$6:$E$22,0)),ROW($C$2:$C$10000)-ROW($C$2)+1),ROWS(K$20:K1600))))</f>
        <v/>
      </c>
      <c r="H1600" s="4" t="str">
        <f t="array" ref="H1600">IF(ROWS(L$20:L1600)&gt;$F$6,"",INDEX(B$2:B$10000,SMALL(IF(ISNUMBER(MATCH($B$2:$B$10000,$E$6:$E$22,0)),ROW($C$2:$C$10000)-ROW($C$2)+1),ROWS(L$20:L1600))))</f>
        <v/>
      </c>
      <c r="I1600" s="4" t="str">
        <f t="array" ref="I1600">IF(ROWS(M$20:M1600)&gt;$F$6,"",INDEX(C$2:C$10000,SMALL(IF(ISNUMBER(MATCH($B$2:$B$10000,$E$6:$E$22,0)),ROW($C$2:$C$10000)-ROW($C$2)+1),ROWS(M$20:M1600))))</f>
        <v/>
      </c>
      <c r="K1600" s="7" t="str">
        <f t="array" ref="K1600">IF(ROWS(K$20:K1600)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1600))))</f>
        <v/>
      </c>
      <c r="L1600" s="4" t="str">
        <f t="array" ref="L1600">IF(ROWS(L$20:L1600)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1600))))</f>
        <v/>
      </c>
      <c r="M1600" s="4" t="str">
        <f t="array" ref="M1600">IF(ROWS(M$20:M1600)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1600))))</f>
        <v/>
      </c>
    </row>
    <row r="1601" spans="1:13" x14ac:dyDescent="0.25">
      <c r="A1601" s="3">
        <v>41585</v>
      </c>
      <c r="B1601" s="2" t="s">
        <v>48</v>
      </c>
      <c r="C1601" s="2">
        <v>7</v>
      </c>
      <c r="G1601" s="7" t="str">
        <f t="array" ref="G1601">IF(ROWS(K$20:K1601)&gt;$F$6,"",INDEX(A$2:A$10000,SMALL(IF(ISNUMBER(MATCH($B$2:$B$10000,$E$6:$E$22,0)),ROW($C$2:$C$10000)-ROW($C$2)+1),ROWS(K$20:K1601))))</f>
        <v/>
      </c>
      <c r="H1601" s="4" t="str">
        <f t="array" ref="H1601">IF(ROWS(L$20:L1601)&gt;$F$6,"",INDEX(B$2:B$10000,SMALL(IF(ISNUMBER(MATCH($B$2:$B$10000,$E$6:$E$22,0)),ROW($C$2:$C$10000)-ROW($C$2)+1),ROWS(L$20:L1601))))</f>
        <v/>
      </c>
      <c r="I1601" s="4" t="str">
        <f t="array" ref="I1601">IF(ROWS(M$20:M1601)&gt;$F$6,"",INDEX(C$2:C$10000,SMALL(IF(ISNUMBER(MATCH($B$2:$B$10000,$E$6:$E$22,0)),ROW($C$2:$C$10000)-ROW($C$2)+1),ROWS(M$20:M1601))))</f>
        <v/>
      </c>
      <c r="K1601" s="7" t="str">
        <f t="array" ref="K1601">IF(ROWS(K$20:K1601)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1601))))</f>
        <v/>
      </c>
      <c r="L1601" s="4" t="str">
        <f t="array" ref="L1601">IF(ROWS(L$20:L1601)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1601))))</f>
        <v/>
      </c>
      <c r="M1601" s="4" t="str">
        <f t="array" ref="M1601">IF(ROWS(M$20:M1601)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1601))))</f>
        <v/>
      </c>
    </row>
    <row r="1602" spans="1:13" x14ac:dyDescent="0.25">
      <c r="A1602" s="3">
        <v>41783</v>
      </c>
      <c r="B1602" s="2" t="s">
        <v>5</v>
      </c>
      <c r="C1602" s="2">
        <v>29</v>
      </c>
      <c r="G1602" s="7" t="str">
        <f t="array" ref="G1602">IF(ROWS(K$20:K1602)&gt;$F$6,"",INDEX(A$2:A$10000,SMALL(IF(ISNUMBER(MATCH($B$2:$B$10000,$E$6:$E$22,0)),ROW($C$2:$C$10000)-ROW($C$2)+1),ROWS(K$20:K1602))))</f>
        <v/>
      </c>
      <c r="H1602" s="4" t="str">
        <f t="array" ref="H1602">IF(ROWS(L$20:L1602)&gt;$F$6,"",INDEX(B$2:B$10000,SMALL(IF(ISNUMBER(MATCH($B$2:$B$10000,$E$6:$E$22,0)),ROW($C$2:$C$10000)-ROW($C$2)+1),ROWS(L$20:L1602))))</f>
        <v/>
      </c>
      <c r="I1602" s="4" t="str">
        <f t="array" ref="I1602">IF(ROWS(M$20:M1602)&gt;$F$6,"",INDEX(C$2:C$10000,SMALL(IF(ISNUMBER(MATCH($B$2:$B$10000,$E$6:$E$22,0)),ROW($C$2:$C$10000)-ROW($C$2)+1),ROWS(M$20:M1602))))</f>
        <v/>
      </c>
      <c r="K1602" s="7" t="str">
        <f t="array" ref="K1602">IF(ROWS(K$20:K1602)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1602))))</f>
        <v/>
      </c>
      <c r="L1602" s="4" t="str">
        <f t="array" ref="L1602">IF(ROWS(L$20:L1602)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1602))))</f>
        <v/>
      </c>
      <c r="M1602" s="4" t="str">
        <f t="array" ref="M1602">IF(ROWS(M$20:M1602)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1602))))</f>
        <v/>
      </c>
    </row>
    <row r="1603" spans="1:13" x14ac:dyDescent="0.25">
      <c r="A1603" s="3">
        <v>41493</v>
      </c>
      <c r="B1603" s="2" t="s">
        <v>51</v>
      </c>
      <c r="C1603" s="2">
        <v>56</v>
      </c>
      <c r="G1603" s="7" t="str">
        <f t="array" ref="G1603">IF(ROWS(K$20:K1603)&gt;$F$6,"",INDEX(A$2:A$10000,SMALL(IF(ISNUMBER(MATCH($B$2:$B$10000,$E$6:$E$22,0)),ROW($C$2:$C$10000)-ROW($C$2)+1),ROWS(K$20:K1603))))</f>
        <v/>
      </c>
      <c r="H1603" s="4" t="str">
        <f t="array" ref="H1603">IF(ROWS(L$20:L1603)&gt;$F$6,"",INDEX(B$2:B$10000,SMALL(IF(ISNUMBER(MATCH($B$2:$B$10000,$E$6:$E$22,0)),ROW($C$2:$C$10000)-ROW($C$2)+1),ROWS(L$20:L1603))))</f>
        <v/>
      </c>
      <c r="I1603" s="4" t="str">
        <f t="array" ref="I1603">IF(ROWS(M$20:M1603)&gt;$F$6,"",INDEX(C$2:C$10000,SMALL(IF(ISNUMBER(MATCH($B$2:$B$10000,$E$6:$E$22,0)),ROW($C$2:$C$10000)-ROW($C$2)+1),ROWS(M$20:M1603))))</f>
        <v/>
      </c>
      <c r="K1603" s="7" t="str">
        <f t="array" ref="K1603">IF(ROWS(K$20:K1603)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1603))))</f>
        <v/>
      </c>
      <c r="L1603" s="4" t="str">
        <f t="array" ref="L1603">IF(ROWS(L$20:L1603)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1603))))</f>
        <v/>
      </c>
      <c r="M1603" s="4" t="str">
        <f t="array" ref="M1603">IF(ROWS(M$20:M1603)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1603))))</f>
        <v/>
      </c>
    </row>
    <row r="1604" spans="1:13" x14ac:dyDescent="0.25">
      <c r="A1604" s="3">
        <v>41698</v>
      </c>
      <c r="B1604" s="2" t="s">
        <v>40</v>
      </c>
      <c r="C1604" s="2">
        <v>15</v>
      </c>
      <c r="G1604" s="7" t="str">
        <f t="array" ref="G1604">IF(ROWS(K$20:K1604)&gt;$F$6,"",INDEX(A$2:A$10000,SMALL(IF(ISNUMBER(MATCH($B$2:$B$10000,$E$6:$E$22,0)),ROW($C$2:$C$10000)-ROW($C$2)+1),ROWS(K$20:K1604))))</f>
        <v/>
      </c>
      <c r="H1604" s="4" t="str">
        <f t="array" ref="H1604">IF(ROWS(L$20:L1604)&gt;$F$6,"",INDEX(B$2:B$10000,SMALL(IF(ISNUMBER(MATCH($B$2:$B$10000,$E$6:$E$22,0)),ROW($C$2:$C$10000)-ROW($C$2)+1),ROWS(L$20:L1604))))</f>
        <v/>
      </c>
      <c r="I1604" s="4" t="str">
        <f t="array" ref="I1604">IF(ROWS(M$20:M1604)&gt;$F$6,"",INDEX(C$2:C$10000,SMALL(IF(ISNUMBER(MATCH($B$2:$B$10000,$E$6:$E$22,0)),ROW($C$2:$C$10000)-ROW($C$2)+1),ROWS(M$20:M1604))))</f>
        <v/>
      </c>
      <c r="K1604" s="7" t="str">
        <f t="array" ref="K1604">IF(ROWS(K$20:K1604)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1604))))</f>
        <v/>
      </c>
      <c r="L1604" s="4" t="str">
        <f t="array" ref="L1604">IF(ROWS(L$20:L1604)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1604))))</f>
        <v/>
      </c>
      <c r="M1604" s="4" t="str">
        <f t="array" ref="M1604">IF(ROWS(M$20:M1604)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1604))))</f>
        <v/>
      </c>
    </row>
    <row r="1605" spans="1:13" x14ac:dyDescent="0.25">
      <c r="A1605" s="3">
        <v>41630</v>
      </c>
      <c r="B1605" s="2" t="s">
        <v>13</v>
      </c>
      <c r="C1605" s="2">
        <v>40</v>
      </c>
      <c r="G1605" s="7" t="str">
        <f t="array" ref="G1605">IF(ROWS(K$20:K1605)&gt;$F$6,"",INDEX(A$2:A$10000,SMALL(IF(ISNUMBER(MATCH($B$2:$B$10000,$E$6:$E$22,0)),ROW($C$2:$C$10000)-ROW($C$2)+1),ROWS(K$20:K1605))))</f>
        <v/>
      </c>
      <c r="H1605" s="4" t="str">
        <f t="array" ref="H1605">IF(ROWS(L$20:L1605)&gt;$F$6,"",INDEX(B$2:B$10000,SMALL(IF(ISNUMBER(MATCH($B$2:$B$10000,$E$6:$E$22,0)),ROW($C$2:$C$10000)-ROW($C$2)+1),ROWS(L$20:L1605))))</f>
        <v/>
      </c>
      <c r="I1605" s="4" t="str">
        <f t="array" ref="I1605">IF(ROWS(M$20:M1605)&gt;$F$6,"",INDEX(C$2:C$10000,SMALL(IF(ISNUMBER(MATCH($B$2:$B$10000,$E$6:$E$22,0)),ROW($C$2:$C$10000)-ROW($C$2)+1),ROWS(M$20:M1605))))</f>
        <v/>
      </c>
      <c r="K1605" s="7" t="str">
        <f t="array" ref="K1605">IF(ROWS(K$20:K1605)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1605))))</f>
        <v/>
      </c>
      <c r="L1605" s="4" t="str">
        <f t="array" ref="L1605">IF(ROWS(L$20:L1605)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1605))))</f>
        <v/>
      </c>
      <c r="M1605" s="4" t="str">
        <f t="array" ref="M1605">IF(ROWS(M$20:M1605)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1605))))</f>
        <v/>
      </c>
    </row>
    <row r="1606" spans="1:13" x14ac:dyDescent="0.25">
      <c r="A1606" s="3">
        <v>41512</v>
      </c>
      <c r="B1606" s="2" t="s">
        <v>8</v>
      </c>
      <c r="C1606" s="2">
        <v>19</v>
      </c>
      <c r="G1606" s="7" t="str">
        <f t="array" ref="G1606">IF(ROWS(K$20:K1606)&gt;$F$6,"",INDEX(A$2:A$10000,SMALL(IF(ISNUMBER(MATCH($B$2:$B$10000,$E$6:$E$22,0)),ROW($C$2:$C$10000)-ROW($C$2)+1),ROWS(K$20:K1606))))</f>
        <v/>
      </c>
      <c r="H1606" s="4" t="str">
        <f t="array" ref="H1606">IF(ROWS(L$20:L1606)&gt;$F$6,"",INDEX(B$2:B$10000,SMALL(IF(ISNUMBER(MATCH($B$2:$B$10000,$E$6:$E$22,0)),ROW($C$2:$C$10000)-ROW($C$2)+1),ROWS(L$20:L1606))))</f>
        <v/>
      </c>
      <c r="I1606" s="4" t="str">
        <f t="array" ref="I1606">IF(ROWS(M$20:M1606)&gt;$F$6,"",INDEX(C$2:C$10000,SMALL(IF(ISNUMBER(MATCH($B$2:$B$10000,$E$6:$E$22,0)),ROW($C$2:$C$10000)-ROW($C$2)+1),ROWS(M$20:M1606))))</f>
        <v/>
      </c>
      <c r="K1606" s="7" t="str">
        <f t="array" ref="K1606">IF(ROWS(K$20:K1606)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1606))))</f>
        <v/>
      </c>
      <c r="L1606" s="4" t="str">
        <f t="array" ref="L1606">IF(ROWS(L$20:L1606)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1606))))</f>
        <v/>
      </c>
      <c r="M1606" s="4" t="str">
        <f t="array" ref="M1606">IF(ROWS(M$20:M1606)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1606))))</f>
        <v/>
      </c>
    </row>
    <row r="1607" spans="1:13" x14ac:dyDescent="0.25">
      <c r="A1607" s="3">
        <v>41390</v>
      </c>
      <c r="B1607" s="2" t="s">
        <v>14</v>
      </c>
      <c r="C1607" s="2">
        <v>17</v>
      </c>
      <c r="G1607" s="7" t="str">
        <f t="array" ref="G1607">IF(ROWS(K$20:K1607)&gt;$F$6,"",INDEX(A$2:A$10000,SMALL(IF(ISNUMBER(MATCH($B$2:$B$10000,$E$6:$E$22,0)),ROW($C$2:$C$10000)-ROW($C$2)+1),ROWS(K$20:K1607))))</f>
        <v/>
      </c>
      <c r="H1607" s="4" t="str">
        <f t="array" ref="H1607">IF(ROWS(L$20:L1607)&gt;$F$6,"",INDEX(B$2:B$10000,SMALL(IF(ISNUMBER(MATCH($B$2:$B$10000,$E$6:$E$22,0)),ROW($C$2:$C$10000)-ROW($C$2)+1),ROWS(L$20:L1607))))</f>
        <v/>
      </c>
      <c r="I1607" s="4" t="str">
        <f t="array" ref="I1607">IF(ROWS(M$20:M1607)&gt;$F$6,"",INDEX(C$2:C$10000,SMALL(IF(ISNUMBER(MATCH($B$2:$B$10000,$E$6:$E$22,0)),ROW($C$2:$C$10000)-ROW($C$2)+1),ROWS(M$20:M1607))))</f>
        <v/>
      </c>
      <c r="K1607" s="7" t="str">
        <f t="array" ref="K1607">IF(ROWS(K$20:K1607)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1607))))</f>
        <v/>
      </c>
      <c r="L1607" s="4" t="str">
        <f t="array" ref="L1607">IF(ROWS(L$20:L1607)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1607))))</f>
        <v/>
      </c>
      <c r="M1607" s="4" t="str">
        <f t="array" ref="M1607">IF(ROWS(M$20:M1607)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1607))))</f>
        <v/>
      </c>
    </row>
    <row r="1608" spans="1:13" x14ac:dyDescent="0.25">
      <c r="A1608" s="3">
        <v>41482</v>
      </c>
      <c r="B1608" s="2" t="s">
        <v>18</v>
      </c>
      <c r="C1608" s="2">
        <v>30</v>
      </c>
      <c r="G1608" s="7" t="str">
        <f t="array" ref="G1608">IF(ROWS(K$20:K1608)&gt;$F$6,"",INDEX(A$2:A$10000,SMALL(IF(ISNUMBER(MATCH($B$2:$B$10000,$E$6:$E$22,0)),ROW($C$2:$C$10000)-ROW($C$2)+1),ROWS(K$20:K1608))))</f>
        <v/>
      </c>
      <c r="H1608" s="4" t="str">
        <f t="array" ref="H1608">IF(ROWS(L$20:L1608)&gt;$F$6,"",INDEX(B$2:B$10000,SMALL(IF(ISNUMBER(MATCH($B$2:$B$10000,$E$6:$E$22,0)),ROW($C$2:$C$10000)-ROW($C$2)+1),ROWS(L$20:L1608))))</f>
        <v/>
      </c>
      <c r="I1608" s="4" t="str">
        <f t="array" ref="I1608">IF(ROWS(M$20:M1608)&gt;$F$6,"",INDEX(C$2:C$10000,SMALL(IF(ISNUMBER(MATCH($B$2:$B$10000,$E$6:$E$22,0)),ROW($C$2:$C$10000)-ROW($C$2)+1),ROWS(M$20:M1608))))</f>
        <v/>
      </c>
      <c r="K1608" s="7" t="str">
        <f t="array" ref="K1608">IF(ROWS(K$20:K1608)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1608))))</f>
        <v/>
      </c>
      <c r="L1608" s="4" t="str">
        <f t="array" ref="L1608">IF(ROWS(L$20:L1608)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1608))))</f>
        <v/>
      </c>
      <c r="M1608" s="4" t="str">
        <f t="array" ref="M1608">IF(ROWS(M$20:M1608)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1608))))</f>
        <v/>
      </c>
    </row>
    <row r="1609" spans="1:13" x14ac:dyDescent="0.25">
      <c r="A1609" s="3">
        <v>41312</v>
      </c>
      <c r="B1609" s="2" t="s">
        <v>20</v>
      </c>
      <c r="C1609" s="2">
        <v>32</v>
      </c>
      <c r="G1609" s="7" t="str">
        <f t="array" ref="G1609">IF(ROWS(K$20:K1609)&gt;$F$6,"",INDEX(A$2:A$10000,SMALL(IF(ISNUMBER(MATCH($B$2:$B$10000,$E$6:$E$22,0)),ROW($C$2:$C$10000)-ROW($C$2)+1),ROWS(K$20:K1609))))</f>
        <v/>
      </c>
      <c r="H1609" s="4" t="str">
        <f t="array" ref="H1609">IF(ROWS(L$20:L1609)&gt;$F$6,"",INDEX(B$2:B$10000,SMALL(IF(ISNUMBER(MATCH($B$2:$B$10000,$E$6:$E$22,0)),ROW($C$2:$C$10000)-ROW($C$2)+1),ROWS(L$20:L1609))))</f>
        <v/>
      </c>
      <c r="I1609" s="4" t="str">
        <f t="array" ref="I1609">IF(ROWS(M$20:M1609)&gt;$F$6,"",INDEX(C$2:C$10000,SMALL(IF(ISNUMBER(MATCH($B$2:$B$10000,$E$6:$E$22,0)),ROW($C$2:$C$10000)-ROW($C$2)+1),ROWS(M$20:M1609))))</f>
        <v/>
      </c>
      <c r="K1609" s="7" t="str">
        <f t="array" ref="K1609">IF(ROWS(K$20:K1609)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1609))))</f>
        <v/>
      </c>
      <c r="L1609" s="4" t="str">
        <f t="array" ref="L1609">IF(ROWS(L$20:L1609)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1609))))</f>
        <v/>
      </c>
      <c r="M1609" s="4" t="str">
        <f t="array" ref="M1609">IF(ROWS(M$20:M1609)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1609))))</f>
        <v/>
      </c>
    </row>
    <row r="1610" spans="1:13" x14ac:dyDescent="0.25">
      <c r="A1610" s="3">
        <v>41903</v>
      </c>
      <c r="B1610" s="2" t="s">
        <v>40</v>
      </c>
      <c r="C1610" s="2">
        <v>18</v>
      </c>
      <c r="G1610" s="7" t="str">
        <f t="array" ref="G1610">IF(ROWS(K$20:K1610)&gt;$F$6,"",INDEX(A$2:A$10000,SMALL(IF(ISNUMBER(MATCH($B$2:$B$10000,$E$6:$E$22,0)),ROW($C$2:$C$10000)-ROW($C$2)+1),ROWS(K$20:K1610))))</f>
        <v/>
      </c>
      <c r="H1610" s="4" t="str">
        <f t="array" ref="H1610">IF(ROWS(L$20:L1610)&gt;$F$6,"",INDEX(B$2:B$10000,SMALL(IF(ISNUMBER(MATCH($B$2:$B$10000,$E$6:$E$22,0)),ROW($C$2:$C$10000)-ROW($C$2)+1),ROWS(L$20:L1610))))</f>
        <v/>
      </c>
      <c r="I1610" s="4" t="str">
        <f t="array" ref="I1610">IF(ROWS(M$20:M1610)&gt;$F$6,"",INDEX(C$2:C$10000,SMALL(IF(ISNUMBER(MATCH($B$2:$B$10000,$E$6:$E$22,0)),ROW($C$2:$C$10000)-ROW($C$2)+1),ROWS(M$20:M1610))))</f>
        <v/>
      </c>
      <c r="K1610" s="7" t="str">
        <f t="array" ref="K1610">IF(ROWS(K$20:K1610)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1610))))</f>
        <v/>
      </c>
      <c r="L1610" s="4" t="str">
        <f t="array" ref="L1610">IF(ROWS(L$20:L1610)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1610))))</f>
        <v/>
      </c>
      <c r="M1610" s="4" t="str">
        <f t="array" ref="M1610">IF(ROWS(M$20:M1610)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1610))))</f>
        <v/>
      </c>
    </row>
    <row r="1611" spans="1:13" x14ac:dyDescent="0.25">
      <c r="A1611" s="3">
        <v>41999</v>
      </c>
      <c r="B1611" s="2" t="s">
        <v>3</v>
      </c>
      <c r="C1611" s="2">
        <v>20</v>
      </c>
      <c r="G1611" s="7" t="str">
        <f t="array" ref="G1611">IF(ROWS(K$20:K1611)&gt;$F$6,"",INDEX(A$2:A$10000,SMALL(IF(ISNUMBER(MATCH($B$2:$B$10000,$E$6:$E$22,0)),ROW($C$2:$C$10000)-ROW($C$2)+1),ROWS(K$20:K1611))))</f>
        <v/>
      </c>
      <c r="H1611" s="4" t="str">
        <f t="array" ref="H1611">IF(ROWS(L$20:L1611)&gt;$F$6,"",INDEX(B$2:B$10000,SMALL(IF(ISNUMBER(MATCH($B$2:$B$10000,$E$6:$E$22,0)),ROW($C$2:$C$10000)-ROW($C$2)+1),ROWS(L$20:L1611))))</f>
        <v/>
      </c>
      <c r="I1611" s="4" t="str">
        <f t="array" ref="I1611">IF(ROWS(M$20:M1611)&gt;$F$6,"",INDEX(C$2:C$10000,SMALL(IF(ISNUMBER(MATCH($B$2:$B$10000,$E$6:$E$22,0)),ROW($C$2:$C$10000)-ROW($C$2)+1),ROWS(M$20:M1611))))</f>
        <v/>
      </c>
      <c r="K1611" s="7" t="str">
        <f t="array" ref="K1611">IF(ROWS(K$20:K1611)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1611))))</f>
        <v/>
      </c>
      <c r="L1611" s="4" t="str">
        <f t="array" ref="L1611">IF(ROWS(L$20:L1611)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1611))))</f>
        <v/>
      </c>
      <c r="M1611" s="4" t="str">
        <f t="array" ref="M1611">IF(ROWS(M$20:M1611)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1611))))</f>
        <v/>
      </c>
    </row>
    <row r="1612" spans="1:13" x14ac:dyDescent="0.25">
      <c r="A1612" s="3">
        <v>41969</v>
      </c>
      <c r="B1612" s="2" t="s">
        <v>47</v>
      </c>
      <c r="C1612" s="2">
        <v>32</v>
      </c>
      <c r="G1612" s="7" t="str">
        <f t="array" ref="G1612">IF(ROWS(K$20:K1612)&gt;$F$6,"",INDEX(A$2:A$10000,SMALL(IF(ISNUMBER(MATCH($B$2:$B$10000,$E$6:$E$22,0)),ROW($C$2:$C$10000)-ROW($C$2)+1),ROWS(K$20:K1612))))</f>
        <v/>
      </c>
      <c r="H1612" s="4" t="str">
        <f t="array" ref="H1612">IF(ROWS(L$20:L1612)&gt;$F$6,"",INDEX(B$2:B$10000,SMALL(IF(ISNUMBER(MATCH($B$2:$B$10000,$E$6:$E$22,0)),ROW($C$2:$C$10000)-ROW($C$2)+1),ROWS(L$20:L1612))))</f>
        <v/>
      </c>
      <c r="I1612" s="4" t="str">
        <f t="array" ref="I1612">IF(ROWS(M$20:M1612)&gt;$F$6,"",INDEX(C$2:C$10000,SMALL(IF(ISNUMBER(MATCH($B$2:$B$10000,$E$6:$E$22,0)),ROW($C$2:$C$10000)-ROW($C$2)+1),ROWS(M$20:M1612))))</f>
        <v/>
      </c>
      <c r="K1612" s="7" t="str">
        <f t="array" ref="K1612">IF(ROWS(K$20:K1612)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1612))))</f>
        <v/>
      </c>
      <c r="L1612" s="4" t="str">
        <f t="array" ref="L1612">IF(ROWS(L$20:L1612)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1612))))</f>
        <v/>
      </c>
      <c r="M1612" s="4" t="str">
        <f t="array" ref="M1612">IF(ROWS(M$20:M1612)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1612))))</f>
        <v/>
      </c>
    </row>
    <row r="1613" spans="1:13" x14ac:dyDescent="0.25">
      <c r="A1613" s="3">
        <v>41282</v>
      </c>
      <c r="B1613" s="2" t="s">
        <v>7</v>
      </c>
      <c r="C1613" s="2">
        <v>35</v>
      </c>
      <c r="G1613" s="7" t="str">
        <f t="array" ref="G1613">IF(ROWS(K$20:K1613)&gt;$F$6,"",INDEX(A$2:A$10000,SMALL(IF(ISNUMBER(MATCH($B$2:$B$10000,$E$6:$E$22,0)),ROW($C$2:$C$10000)-ROW($C$2)+1),ROWS(K$20:K1613))))</f>
        <v/>
      </c>
      <c r="H1613" s="4" t="str">
        <f t="array" ref="H1613">IF(ROWS(L$20:L1613)&gt;$F$6,"",INDEX(B$2:B$10000,SMALL(IF(ISNUMBER(MATCH($B$2:$B$10000,$E$6:$E$22,0)),ROW($C$2:$C$10000)-ROW($C$2)+1),ROWS(L$20:L1613))))</f>
        <v/>
      </c>
      <c r="I1613" s="4" t="str">
        <f t="array" ref="I1613">IF(ROWS(M$20:M1613)&gt;$F$6,"",INDEX(C$2:C$10000,SMALL(IF(ISNUMBER(MATCH($B$2:$B$10000,$E$6:$E$22,0)),ROW($C$2:$C$10000)-ROW($C$2)+1),ROWS(M$20:M1613))))</f>
        <v/>
      </c>
      <c r="K1613" s="7" t="str">
        <f t="array" ref="K1613">IF(ROWS(K$20:K1613)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1613))))</f>
        <v/>
      </c>
      <c r="L1613" s="4" t="str">
        <f t="array" ref="L1613">IF(ROWS(L$20:L1613)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1613))))</f>
        <v/>
      </c>
      <c r="M1613" s="4" t="str">
        <f t="array" ref="M1613">IF(ROWS(M$20:M1613)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1613))))</f>
        <v/>
      </c>
    </row>
    <row r="1614" spans="1:13" x14ac:dyDescent="0.25">
      <c r="A1614" s="3">
        <v>41782</v>
      </c>
      <c r="B1614" s="2" t="s">
        <v>29</v>
      </c>
      <c r="C1614" s="2">
        <v>19</v>
      </c>
      <c r="G1614" s="7" t="str">
        <f t="array" ref="G1614">IF(ROWS(K$20:K1614)&gt;$F$6,"",INDEX(A$2:A$10000,SMALL(IF(ISNUMBER(MATCH($B$2:$B$10000,$E$6:$E$22,0)),ROW($C$2:$C$10000)-ROW($C$2)+1),ROWS(K$20:K1614))))</f>
        <v/>
      </c>
      <c r="H1614" s="4" t="str">
        <f t="array" ref="H1614">IF(ROWS(L$20:L1614)&gt;$F$6,"",INDEX(B$2:B$10000,SMALL(IF(ISNUMBER(MATCH($B$2:$B$10000,$E$6:$E$22,0)),ROW($C$2:$C$10000)-ROW($C$2)+1),ROWS(L$20:L1614))))</f>
        <v/>
      </c>
      <c r="I1614" s="4" t="str">
        <f t="array" ref="I1614">IF(ROWS(M$20:M1614)&gt;$F$6,"",INDEX(C$2:C$10000,SMALL(IF(ISNUMBER(MATCH($B$2:$B$10000,$E$6:$E$22,0)),ROW($C$2:$C$10000)-ROW($C$2)+1),ROWS(M$20:M1614))))</f>
        <v/>
      </c>
      <c r="K1614" s="7" t="str">
        <f t="array" ref="K1614">IF(ROWS(K$20:K1614)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1614))))</f>
        <v/>
      </c>
      <c r="L1614" s="4" t="str">
        <f t="array" ref="L1614">IF(ROWS(L$20:L1614)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1614))))</f>
        <v/>
      </c>
      <c r="M1614" s="4" t="str">
        <f t="array" ref="M1614">IF(ROWS(M$20:M1614)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1614))))</f>
        <v/>
      </c>
    </row>
    <row r="1615" spans="1:13" x14ac:dyDescent="0.25">
      <c r="A1615" s="3">
        <v>41695</v>
      </c>
      <c r="B1615" s="2" t="s">
        <v>3</v>
      </c>
      <c r="C1615" s="2">
        <v>36</v>
      </c>
      <c r="G1615" s="7" t="str">
        <f t="array" ref="G1615">IF(ROWS(K$20:K1615)&gt;$F$6,"",INDEX(A$2:A$10000,SMALL(IF(ISNUMBER(MATCH($B$2:$B$10000,$E$6:$E$22,0)),ROW($C$2:$C$10000)-ROW($C$2)+1),ROWS(K$20:K1615))))</f>
        <v/>
      </c>
      <c r="H1615" s="4" t="str">
        <f t="array" ref="H1615">IF(ROWS(L$20:L1615)&gt;$F$6,"",INDEX(B$2:B$10000,SMALL(IF(ISNUMBER(MATCH($B$2:$B$10000,$E$6:$E$22,0)),ROW($C$2:$C$10000)-ROW($C$2)+1),ROWS(L$20:L1615))))</f>
        <v/>
      </c>
      <c r="I1615" s="4" t="str">
        <f t="array" ref="I1615">IF(ROWS(M$20:M1615)&gt;$F$6,"",INDEX(C$2:C$10000,SMALL(IF(ISNUMBER(MATCH($B$2:$B$10000,$E$6:$E$22,0)),ROW($C$2:$C$10000)-ROW($C$2)+1),ROWS(M$20:M1615))))</f>
        <v/>
      </c>
      <c r="K1615" s="7" t="str">
        <f t="array" ref="K1615">IF(ROWS(K$20:K1615)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1615))))</f>
        <v/>
      </c>
      <c r="L1615" s="4" t="str">
        <f t="array" ref="L1615">IF(ROWS(L$20:L1615)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1615))))</f>
        <v/>
      </c>
      <c r="M1615" s="4" t="str">
        <f t="array" ref="M1615">IF(ROWS(M$20:M1615)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1615))))</f>
        <v/>
      </c>
    </row>
    <row r="1616" spans="1:13" x14ac:dyDescent="0.25">
      <c r="A1616" s="3">
        <v>41548</v>
      </c>
      <c r="B1616" s="2" t="s">
        <v>46</v>
      </c>
      <c r="C1616" s="2">
        <v>25</v>
      </c>
      <c r="G1616" s="7" t="str">
        <f t="array" ref="G1616">IF(ROWS(K$20:K1616)&gt;$F$6,"",INDEX(A$2:A$10000,SMALL(IF(ISNUMBER(MATCH($B$2:$B$10000,$E$6:$E$22,0)),ROW($C$2:$C$10000)-ROW($C$2)+1),ROWS(K$20:K1616))))</f>
        <v/>
      </c>
      <c r="H1616" s="4" t="str">
        <f t="array" ref="H1616">IF(ROWS(L$20:L1616)&gt;$F$6,"",INDEX(B$2:B$10000,SMALL(IF(ISNUMBER(MATCH($B$2:$B$10000,$E$6:$E$22,0)),ROW($C$2:$C$10000)-ROW($C$2)+1),ROWS(L$20:L1616))))</f>
        <v/>
      </c>
      <c r="I1616" s="4" t="str">
        <f t="array" ref="I1616">IF(ROWS(M$20:M1616)&gt;$F$6,"",INDEX(C$2:C$10000,SMALL(IF(ISNUMBER(MATCH($B$2:$B$10000,$E$6:$E$22,0)),ROW($C$2:$C$10000)-ROW($C$2)+1),ROWS(M$20:M1616))))</f>
        <v/>
      </c>
      <c r="K1616" s="7" t="str">
        <f t="array" ref="K1616">IF(ROWS(K$20:K1616)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1616))))</f>
        <v/>
      </c>
      <c r="L1616" s="4" t="str">
        <f t="array" ref="L1616">IF(ROWS(L$20:L1616)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1616))))</f>
        <v/>
      </c>
      <c r="M1616" s="4" t="str">
        <f t="array" ref="M1616">IF(ROWS(M$20:M1616)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1616))))</f>
        <v/>
      </c>
    </row>
    <row r="1617" spans="1:13" x14ac:dyDescent="0.25">
      <c r="A1617" s="3">
        <v>41890</v>
      </c>
      <c r="B1617" s="2" t="s">
        <v>9</v>
      </c>
      <c r="C1617" s="2">
        <v>32</v>
      </c>
      <c r="G1617" s="7" t="str">
        <f t="array" ref="G1617">IF(ROWS(K$20:K1617)&gt;$F$6,"",INDEX(A$2:A$10000,SMALL(IF(ISNUMBER(MATCH($B$2:$B$10000,$E$6:$E$22,0)),ROW($C$2:$C$10000)-ROW($C$2)+1),ROWS(K$20:K1617))))</f>
        <v/>
      </c>
      <c r="H1617" s="4" t="str">
        <f t="array" ref="H1617">IF(ROWS(L$20:L1617)&gt;$F$6,"",INDEX(B$2:B$10000,SMALL(IF(ISNUMBER(MATCH($B$2:$B$10000,$E$6:$E$22,0)),ROW($C$2:$C$10000)-ROW($C$2)+1),ROWS(L$20:L1617))))</f>
        <v/>
      </c>
      <c r="I1617" s="4" t="str">
        <f t="array" ref="I1617">IF(ROWS(M$20:M1617)&gt;$F$6,"",INDEX(C$2:C$10000,SMALL(IF(ISNUMBER(MATCH($B$2:$B$10000,$E$6:$E$22,0)),ROW($C$2:$C$10000)-ROW($C$2)+1),ROWS(M$20:M1617))))</f>
        <v/>
      </c>
      <c r="K1617" s="7" t="str">
        <f t="array" ref="K1617">IF(ROWS(K$20:K1617)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1617))))</f>
        <v/>
      </c>
      <c r="L1617" s="4" t="str">
        <f t="array" ref="L1617">IF(ROWS(L$20:L1617)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1617))))</f>
        <v/>
      </c>
      <c r="M1617" s="4" t="str">
        <f t="array" ref="M1617">IF(ROWS(M$20:M1617)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1617))))</f>
        <v/>
      </c>
    </row>
    <row r="1618" spans="1:13" x14ac:dyDescent="0.25">
      <c r="A1618" s="3">
        <v>41751</v>
      </c>
      <c r="B1618" s="2" t="s">
        <v>39</v>
      </c>
      <c r="C1618" s="2">
        <v>27</v>
      </c>
      <c r="G1618" s="7" t="str">
        <f t="array" ref="G1618">IF(ROWS(K$20:K1618)&gt;$F$6,"",INDEX(A$2:A$10000,SMALL(IF(ISNUMBER(MATCH($B$2:$B$10000,$E$6:$E$22,0)),ROW($C$2:$C$10000)-ROW($C$2)+1),ROWS(K$20:K1618))))</f>
        <v/>
      </c>
      <c r="H1618" s="4" t="str">
        <f t="array" ref="H1618">IF(ROWS(L$20:L1618)&gt;$F$6,"",INDEX(B$2:B$10000,SMALL(IF(ISNUMBER(MATCH($B$2:$B$10000,$E$6:$E$22,0)),ROW($C$2:$C$10000)-ROW($C$2)+1),ROWS(L$20:L1618))))</f>
        <v/>
      </c>
      <c r="I1618" s="4" t="str">
        <f t="array" ref="I1618">IF(ROWS(M$20:M1618)&gt;$F$6,"",INDEX(C$2:C$10000,SMALL(IF(ISNUMBER(MATCH($B$2:$B$10000,$E$6:$E$22,0)),ROW($C$2:$C$10000)-ROW($C$2)+1),ROWS(M$20:M1618))))</f>
        <v/>
      </c>
      <c r="K1618" s="7" t="str">
        <f t="array" ref="K1618">IF(ROWS(K$20:K1618)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1618))))</f>
        <v/>
      </c>
      <c r="L1618" s="4" t="str">
        <f t="array" ref="L1618">IF(ROWS(L$20:L1618)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1618))))</f>
        <v/>
      </c>
      <c r="M1618" s="4" t="str">
        <f t="array" ref="M1618">IF(ROWS(M$20:M1618)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1618))))</f>
        <v/>
      </c>
    </row>
    <row r="1619" spans="1:13" x14ac:dyDescent="0.25">
      <c r="A1619" s="3">
        <v>41361</v>
      </c>
      <c r="B1619" s="2" t="s">
        <v>50</v>
      </c>
      <c r="C1619" s="2">
        <v>37</v>
      </c>
      <c r="G1619" s="7" t="str">
        <f t="array" ref="G1619">IF(ROWS(K$20:K1619)&gt;$F$6,"",INDEX(A$2:A$10000,SMALL(IF(ISNUMBER(MATCH($B$2:$B$10000,$E$6:$E$22,0)),ROW($C$2:$C$10000)-ROW($C$2)+1),ROWS(K$20:K1619))))</f>
        <v/>
      </c>
      <c r="H1619" s="4" t="str">
        <f t="array" ref="H1619">IF(ROWS(L$20:L1619)&gt;$F$6,"",INDEX(B$2:B$10000,SMALL(IF(ISNUMBER(MATCH($B$2:$B$10000,$E$6:$E$22,0)),ROW($C$2:$C$10000)-ROW($C$2)+1),ROWS(L$20:L1619))))</f>
        <v/>
      </c>
      <c r="I1619" s="4" t="str">
        <f t="array" ref="I1619">IF(ROWS(M$20:M1619)&gt;$F$6,"",INDEX(C$2:C$10000,SMALL(IF(ISNUMBER(MATCH($B$2:$B$10000,$E$6:$E$22,0)),ROW($C$2:$C$10000)-ROW($C$2)+1),ROWS(M$20:M1619))))</f>
        <v/>
      </c>
      <c r="K1619" s="7" t="str">
        <f t="array" ref="K1619">IF(ROWS(K$20:K1619)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1619))))</f>
        <v/>
      </c>
      <c r="L1619" s="4" t="str">
        <f t="array" ref="L1619">IF(ROWS(L$20:L1619)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1619))))</f>
        <v/>
      </c>
      <c r="M1619" s="4" t="str">
        <f t="array" ref="M1619">IF(ROWS(M$20:M1619)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1619))))</f>
        <v/>
      </c>
    </row>
    <row r="1620" spans="1:13" x14ac:dyDescent="0.25">
      <c r="A1620" s="3">
        <v>41574</v>
      </c>
      <c r="B1620" s="2" t="s">
        <v>45</v>
      </c>
      <c r="C1620" s="2">
        <v>12</v>
      </c>
      <c r="G1620" s="7" t="str">
        <f t="array" ref="G1620">IF(ROWS(K$20:K1620)&gt;$F$6,"",INDEX(A$2:A$10000,SMALL(IF(ISNUMBER(MATCH($B$2:$B$10000,$E$6:$E$22,0)),ROW($C$2:$C$10000)-ROW($C$2)+1),ROWS(K$20:K1620))))</f>
        <v/>
      </c>
      <c r="H1620" s="4" t="str">
        <f t="array" ref="H1620">IF(ROWS(L$20:L1620)&gt;$F$6,"",INDEX(B$2:B$10000,SMALL(IF(ISNUMBER(MATCH($B$2:$B$10000,$E$6:$E$22,0)),ROW($C$2:$C$10000)-ROW($C$2)+1),ROWS(L$20:L1620))))</f>
        <v/>
      </c>
      <c r="I1620" s="4" t="str">
        <f t="array" ref="I1620">IF(ROWS(M$20:M1620)&gt;$F$6,"",INDEX(C$2:C$10000,SMALL(IF(ISNUMBER(MATCH($B$2:$B$10000,$E$6:$E$22,0)),ROW($C$2:$C$10000)-ROW($C$2)+1),ROWS(M$20:M1620))))</f>
        <v/>
      </c>
      <c r="K1620" s="7" t="str">
        <f t="array" ref="K1620">IF(ROWS(K$20:K1620)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1620))))</f>
        <v/>
      </c>
      <c r="L1620" s="4" t="str">
        <f t="array" ref="L1620">IF(ROWS(L$20:L1620)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1620))))</f>
        <v/>
      </c>
      <c r="M1620" s="4" t="str">
        <f t="array" ref="M1620">IF(ROWS(M$20:M1620)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1620))))</f>
        <v/>
      </c>
    </row>
    <row r="1621" spans="1:13" x14ac:dyDescent="0.25">
      <c r="A1621" s="3">
        <v>41315</v>
      </c>
      <c r="B1621" s="2" t="s">
        <v>40</v>
      </c>
      <c r="C1621" s="2">
        <v>27</v>
      </c>
      <c r="G1621" s="7" t="str">
        <f t="array" ref="G1621">IF(ROWS(K$20:K1621)&gt;$F$6,"",INDEX(A$2:A$10000,SMALL(IF(ISNUMBER(MATCH($B$2:$B$10000,$E$6:$E$22,0)),ROW($C$2:$C$10000)-ROW($C$2)+1),ROWS(K$20:K1621))))</f>
        <v/>
      </c>
      <c r="H1621" s="4" t="str">
        <f t="array" ref="H1621">IF(ROWS(L$20:L1621)&gt;$F$6,"",INDEX(B$2:B$10000,SMALL(IF(ISNUMBER(MATCH($B$2:$B$10000,$E$6:$E$22,0)),ROW($C$2:$C$10000)-ROW($C$2)+1),ROWS(L$20:L1621))))</f>
        <v/>
      </c>
      <c r="I1621" s="4" t="str">
        <f t="array" ref="I1621">IF(ROWS(M$20:M1621)&gt;$F$6,"",INDEX(C$2:C$10000,SMALL(IF(ISNUMBER(MATCH($B$2:$B$10000,$E$6:$E$22,0)),ROW($C$2:$C$10000)-ROW($C$2)+1),ROWS(M$20:M1621))))</f>
        <v/>
      </c>
      <c r="K1621" s="7" t="str">
        <f t="array" ref="K1621">IF(ROWS(K$20:K1621)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1621))))</f>
        <v/>
      </c>
      <c r="L1621" s="4" t="str">
        <f t="array" ref="L1621">IF(ROWS(L$20:L1621)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1621))))</f>
        <v/>
      </c>
      <c r="M1621" s="4" t="str">
        <f t="array" ref="M1621">IF(ROWS(M$20:M1621)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1621))))</f>
        <v/>
      </c>
    </row>
    <row r="1622" spans="1:13" x14ac:dyDescent="0.25">
      <c r="A1622" s="3">
        <v>41958</v>
      </c>
      <c r="B1622" s="2" t="s">
        <v>26</v>
      </c>
      <c r="C1622" s="2">
        <v>21</v>
      </c>
      <c r="G1622" s="7" t="str">
        <f t="array" ref="G1622">IF(ROWS(K$20:K1622)&gt;$F$6,"",INDEX(A$2:A$10000,SMALL(IF(ISNUMBER(MATCH($B$2:$B$10000,$E$6:$E$22,0)),ROW($C$2:$C$10000)-ROW($C$2)+1),ROWS(K$20:K1622))))</f>
        <v/>
      </c>
      <c r="H1622" s="4" t="str">
        <f t="array" ref="H1622">IF(ROWS(L$20:L1622)&gt;$F$6,"",INDEX(B$2:B$10000,SMALL(IF(ISNUMBER(MATCH($B$2:$B$10000,$E$6:$E$22,0)),ROW($C$2:$C$10000)-ROW($C$2)+1),ROWS(L$20:L1622))))</f>
        <v/>
      </c>
      <c r="I1622" s="4" t="str">
        <f t="array" ref="I1622">IF(ROWS(M$20:M1622)&gt;$F$6,"",INDEX(C$2:C$10000,SMALL(IF(ISNUMBER(MATCH($B$2:$B$10000,$E$6:$E$22,0)),ROW($C$2:$C$10000)-ROW($C$2)+1),ROWS(M$20:M1622))))</f>
        <v/>
      </c>
      <c r="K1622" s="7" t="str">
        <f t="array" ref="K1622">IF(ROWS(K$20:K1622)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1622))))</f>
        <v/>
      </c>
      <c r="L1622" s="4" t="str">
        <f t="array" ref="L1622">IF(ROWS(L$20:L1622)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1622))))</f>
        <v/>
      </c>
      <c r="M1622" s="4" t="str">
        <f t="array" ref="M1622">IF(ROWS(M$20:M1622)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1622))))</f>
        <v/>
      </c>
    </row>
    <row r="1623" spans="1:13" x14ac:dyDescent="0.25">
      <c r="A1623" s="3">
        <v>41857</v>
      </c>
      <c r="B1623" s="2" t="s">
        <v>13</v>
      </c>
      <c r="C1623" s="2">
        <v>47</v>
      </c>
      <c r="G1623" s="7" t="str">
        <f t="array" ref="G1623">IF(ROWS(K$20:K1623)&gt;$F$6,"",INDEX(A$2:A$10000,SMALL(IF(ISNUMBER(MATCH($B$2:$B$10000,$E$6:$E$22,0)),ROW($C$2:$C$10000)-ROW($C$2)+1),ROWS(K$20:K1623))))</f>
        <v/>
      </c>
      <c r="H1623" s="4" t="str">
        <f t="array" ref="H1623">IF(ROWS(L$20:L1623)&gt;$F$6,"",INDEX(B$2:B$10000,SMALL(IF(ISNUMBER(MATCH($B$2:$B$10000,$E$6:$E$22,0)),ROW($C$2:$C$10000)-ROW($C$2)+1),ROWS(L$20:L1623))))</f>
        <v/>
      </c>
      <c r="I1623" s="4" t="str">
        <f t="array" ref="I1623">IF(ROWS(M$20:M1623)&gt;$F$6,"",INDEX(C$2:C$10000,SMALL(IF(ISNUMBER(MATCH($B$2:$B$10000,$E$6:$E$22,0)),ROW($C$2:$C$10000)-ROW($C$2)+1),ROWS(M$20:M1623))))</f>
        <v/>
      </c>
      <c r="K1623" s="7" t="str">
        <f t="array" ref="K1623">IF(ROWS(K$20:K1623)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1623))))</f>
        <v/>
      </c>
      <c r="L1623" s="4" t="str">
        <f t="array" ref="L1623">IF(ROWS(L$20:L1623)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1623))))</f>
        <v/>
      </c>
      <c r="M1623" s="4" t="str">
        <f t="array" ref="M1623">IF(ROWS(M$20:M1623)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1623))))</f>
        <v/>
      </c>
    </row>
    <row r="1624" spans="1:13" x14ac:dyDescent="0.25">
      <c r="A1624" s="3">
        <v>41548</v>
      </c>
      <c r="B1624" s="2" t="s">
        <v>50</v>
      </c>
      <c r="C1624" s="2">
        <v>12</v>
      </c>
      <c r="G1624" s="7" t="str">
        <f t="array" ref="G1624">IF(ROWS(K$20:K1624)&gt;$F$6,"",INDEX(A$2:A$10000,SMALL(IF(ISNUMBER(MATCH($B$2:$B$10000,$E$6:$E$22,0)),ROW($C$2:$C$10000)-ROW($C$2)+1),ROWS(K$20:K1624))))</f>
        <v/>
      </c>
      <c r="H1624" s="4" t="str">
        <f t="array" ref="H1624">IF(ROWS(L$20:L1624)&gt;$F$6,"",INDEX(B$2:B$10000,SMALL(IF(ISNUMBER(MATCH($B$2:$B$10000,$E$6:$E$22,0)),ROW($C$2:$C$10000)-ROW($C$2)+1),ROWS(L$20:L1624))))</f>
        <v/>
      </c>
      <c r="I1624" s="4" t="str">
        <f t="array" ref="I1624">IF(ROWS(M$20:M1624)&gt;$F$6,"",INDEX(C$2:C$10000,SMALL(IF(ISNUMBER(MATCH($B$2:$B$10000,$E$6:$E$22,0)),ROW($C$2:$C$10000)-ROW($C$2)+1),ROWS(M$20:M1624))))</f>
        <v/>
      </c>
      <c r="K1624" s="7" t="str">
        <f t="array" ref="K1624">IF(ROWS(K$20:K1624)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1624))))</f>
        <v/>
      </c>
      <c r="L1624" s="4" t="str">
        <f t="array" ref="L1624">IF(ROWS(L$20:L1624)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1624))))</f>
        <v/>
      </c>
      <c r="M1624" s="4" t="str">
        <f t="array" ref="M1624">IF(ROWS(M$20:M1624)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1624))))</f>
        <v/>
      </c>
    </row>
    <row r="1625" spans="1:13" x14ac:dyDescent="0.25">
      <c r="A1625" s="3">
        <v>41944</v>
      </c>
      <c r="B1625" s="2" t="s">
        <v>31</v>
      </c>
      <c r="C1625" s="2">
        <v>23</v>
      </c>
      <c r="G1625" s="7" t="str">
        <f t="array" ref="G1625">IF(ROWS(K$20:K1625)&gt;$F$6,"",INDEX(A$2:A$10000,SMALL(IF(ISNUMBER(MATCH($B$2:$B$10000,$E$6:$E$22,0)),ROW($C$2:$C$10000)-ROW($C$2)+1),ROWS(K$20:K1625))))</f>
        <v/>
      </c>
      <c r="H1625" s="4" t="str">
        <f t="array" ref="H1625">IF(ROWS(L$20:L1625)&gt;$F$6,"",INDEX(B$2:B$10000,SMALL(IF(ISNUMBER(MATCH($B$2:$B$10000,$E$6:$E$22,0)),ROW($C$2:$C$10000)-ROW($C$2)+1),ROWS(L$20:L1625))))</f>
        <v/>
      </c>
      <c r="I1625" s="4" t="str">
        <f t="array" ref="I1625">IF(ROWS(M$20:M1625)&gt;$F$6,"",INDEX(C$2:C$10000,SMALL(IF(ISNUMBER(MATCH($B$2:$B$10000,$E$6:$E$22,0)),ROW($C$2:$C$10000)-ROW($C$2)+1),ROWS(M$20:M1625))))</f>
        <v/>
      </c>
      <c r="K1625" s="7" t="str">
        <f t="array" ref="K1625">IF(ROWS(K$20:K1625)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1625))))</f>
        <v/>
      </c>
      <c r="L1625" s="4" t="str">
        <f t="array" ref="L1625">IF(ROWS(L$20:L1625)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1625))))</f>
        <v/>
      </c>
      <c r="M1625" s="4" t="str">
        <f t="array" ref="M1625">IF(ROWS(M$20:M1625)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1625))))</f>
        <v/>
      </c>
    </row>
    <row r="1626" spans="1:13" x14ac:dyDescent="0.25">
      <c r="A1626" s="3">
        <v>41515</v>
      </c>
      <c r="B1626" s="2" t="s">
        <v>50</v>
      </c>
      <c r="C1626" s="2">
        <v>8</v>
      </c>
      <c r="G1626" s="7" t="str">
        <f t="array" ref="G1626">IF(ROWS(K$20:K1626)&gt;$F$6,"",INDEX(A$2:A$10000,SMALL(IF(ISNUMBER(MATCH($B$2:$B$10000,$E$6:$E$22,0)),ROW($C$2:$C$10000)-ROW($C$2)+1),ROWS(K$20:K1626))))</f>
        <v/>
      </c>
      <c r="H1626" s="4" t="str">
        <f t="array" ref="H1626">IF(ROWS(L$20:L1626)&gt;$F$6,"",INDEX(B$2:B$10000,SMALL(IF(ISNUMBER(MATCH($B$2:$B$10000,$E$6:$E$22,0)),ROW($C$2:$C$10000)-ROW($C$2)+1),ROWS(L$20:L1626))))</f>
        <v/>
      </c>
      <c r="I1626" s="4" t="str">
        <f t="array" ref="I1626">IF(ROWS(M$20:M1626)&gt;$F$6,"",INDEX(C$2:C$10000,SMALL(IF(ISNUMBER(MATCH($B$2:$B$10000,$E$6:$E$22,0)),ROW($C$2:$C$10000)-ROW($C$2)+1),ROWS(M$20:M1626))))</f>
        <v/>
      </c>
      <c r="K1626" s="7" t="str">
        <f t="array" ref="K1626">IF(ROWS(K$20:K1626)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1626))))</f>
        <v/>
      </c>
      <c r="L1626" s="4" t="str">
        <f t="array" ref="L1626">IF(ROWS(L$20:L1626)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1626))))</f>
        <v/>
      </c>
      <c r="M1626" s="4" t="str">
        <f t="array" ref="M1626">IF(ROWS(M$20:M1626)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1626))))</f>
        <v/>
      </c>
    </row>
    <row r="1627" spans="1:13" x14ac:dyDescent="0.25">
      <c r="A1627" s="3">
        <v>41537</v>
      </c>
      <c r="B1627" s="2" t="s">
        <v>23</v>
      </c>
      <c r="C1627" s="2">
        <v>58</v>
      </c>
      <c r="G1627" s="7" t="str">
        <f t="array" ref="G1627">IF(ROWS(K$20:K1627)&gt;$F$6,"",INDEX(A$2:A$10000,SMALL(IF(ISNUMBER(MATCH($B$2:$B$10000,$E$6:$E$22,0)),ROW($C$2:$C$10000)-ROW($C$2)+1),ROWS(K$20:K1627))))</f>
        <v/>
      </c>
      <c r="H1627" s="4" t="str">
        <f t="array" ref="H1627">IF(ROWS(L$20:L1627)&gt;$F$6,"",INDEX(B$2:B$10000,SMALL(IF(ISNUMBER(MATCH($B$2:$B$10000,$E$6:$E$22,0)),ROW($C$2:$C$10000)-ROW($C$2)+1),ROWS(L$20:L1627))))</f>
        <v/>
      </c>
      <c r="I1627" s="4" t="str">
        <f t="array" ref="I1627">IF(ROWS(M$20:M1627)&gt;$F$6,"",INDEX(C$2:C$10000,SMALL(IF(ISNUMBER(MATCH($B$2:$B$10000,$E$6:$E$22,0)),ROW($C$2:$C$10000)-ROW($C$2)+1),ROWS(M$20:M1627))))</f>
        <v/>
      </c>
      <c r="K1627" s="7" t="str">
        <f t="array" ref="K1627">IF(ROWS(K$20:K1627)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1627))))</f>
        <v/>
      </c>
      <c r="L1627" s="4" t="str">
        <f t="array" ref="L1627">IF(ROWS(L$20:L1627)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1627))))</f>
        <v/>
      </c>
      <c r="M1627" s="4" t="str">
        <f t="array" ref="M1627">IF(ROWS(M$20:M1627)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1627))))</f>
        <v/>
      </c>
    </row>
    <row r="1628" spans="1:13" x14ac:dyDescent="0.25">
      <c r="A1628" s="3">
        <v>41693</v>
      </c>
      <c r="B1628" s="2" t="s">
        <v>31</v>
      </c>
      <c r="C1628" s="2">
        <v>31</v>
      </c>
      <c r="G1628" s="7" t="str">
        <f t="array" ref="G1628">IF(ROWS(K$20:K1628)&gt;$F$6,"",INDEX(A$2:A$10000,SMALL(IF(ISNUMBER(MATCH($B$2:$B$10000,$E$6:$E$22,0)),ROW($C$2:$C$10000)-ROW($C$2)+1),ROWS(K$20:K1628))))</f>
        <v/>
      </c>
      <c r="H1628" s="4" t="str">
        <f t="array" ref="H1628">IF(ROWS(L$20:L1628)&gt;$F$6,"",INDEX(B$2:B$10000,SMALL(IF(ISNUMBER(MATCH($B$2:$B$10000,$E$6:$E$22,0)),ROW($C$2:$C$10000)-ROW($C$2)+1),ROWS(L$20:L1628))))</f>
        <v/>
      </c>
      <c r="I1628" s="4" t="str">
        <f t="array" ref="I1628">IF(ROWS(M$20:M1628)&gt;$F$6,"",INDEX(C$2:C$10000,SMALL(IF(ISNUMBER(MATCH($B$2:$B$10000,$E$6:$E$22,0)),ROW($C$2:$C$10000)-ROW($C$2)+1),ROWS(M$20:M1628))))</f>
        <v/>
      </c>
      <c r="K1628" s="7" t="str">
        <f t="array" ref="K1628">IF(ROWS(K$20:K1628)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1628))))</f>
        <v/>
      </c>
      <c r="L1628" s="4" t="str">
        <f t="array" ref="L1628">IF(ROWS(L$20:L1628)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1628))))</f>
        <v/>
      </c>
      <c r="M1628" s="4" t="str">
        <f t="array" ref="M1628">IF(ROWS(M$20:M1628)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1628))))</f>
        <v/>
      </c>
    </row>
    <row r="1629" spans="1:13" x14ac:dyDescent="0.25">
      <c r="A1629" s="3">
        <v>41954</v>
      </c>
      <c r="B1629" s="2" t="s">
        <v>51</v>
      </c>
      <c r="C1629" s="2">
        <v>25</v>
      </c>
      <c r="G1629" s="7" t="str">
        <f t="array" ref="G1629">IF(ROWS(K$20:K1629)&gt;$F$6,"",INDEX(A$2:A$10000,SMALL(IF(ISNUMBER(MATCH($B$2:$B$10000,$E$6:$E$22,0)),ROW($C$2:$C$10000)-ROW($C$2)+1),ROWS(K$20:K1629))))</f>
        <v/>
      </c>
      <c r="H1629" s="4" t="str">
        <f t="array" ref="H1629">IF(ROWS(L$20:L1629)&gt;$F$6,"",INDEX(B$2:B$10000,SMALL(IF(ISNUMBER(MATCH($B$2:$B$10000,$E$6:$E$22,0)),ROW($C$2:$C$10000)-ROW($C$2)+1),ROWS(L$20:L1629))))</f>
        <v/>
      </c>
      <c r="I1629" s="4" t="str">
        <f t="array" ref="I1629">IF(ROWS(M$20:M1629)&gt;$F$6,"",INDEX(C$2:C$10000,SMALL(IF(ISNUMBER(MATCH($B$2:$B$10000,$E$6:$E$22,0)),ROW($C$2:$C$10000)-ROW($C$2)+1),ROWS(M$20:M1629))))</f>
        <v/>
      </c>
      <c r="K1629" s="7" t="str">
        <f t="array" ref="K1629">IF(ROWS(K$20:K1629)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1629))))</f>
        <v/>
      </c>
      <c r="L1629" s="4" t="str">
        <f t="array" ref="L1629">IF(ROWS(L$20:L1629)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1629))))</f>
        <v/>
      </c>
      <c r="M1629" s="4" t="str">
        <f t="array" ref="M1629">IF(ROWS(M$20:M1629)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1629))))</f>
        <v/>
      </c>
    </row>
    <row r="1630" spans="1:13" x14ac:dyDescent="0.25">
      <c r="A1630" s="3">
        <v>41713</v>
      </c>
      <c r="B1630" s="2" t="s">
        <v>26</v>
      </c>
      <c r="C1630" s="2">
        <v>23</v>
      </c>
      <c r="G1630" s="7" t="str">
        <f t="array" ref="G1630">IF(ROWS(K$20:K1630)&gt;$F$6,"",INDEX(A$2:A$10000,SMALL(IF(ISNUMBER(MATCH($B$2:$B$10000,$E$6:$E$22,0)),ROW($C$2:$C$10000)-ROW($C$2)+1),ROWS(K$20:K1630))))</f>
        <v/>
      </c>
      <c r="H1630" s="4" t="str">
        <f t="array" ref="H1630">IF(ROWS(L$20:L1630)&gt;$F$6,"",INDEX(B$2:B$10000,SMALL(IF(ISNUMBER(MATCH($B$2:$B$10000,$E$6:$E$22,0)),ROW($C$2:$C$10000)-ROW($C$2)+1),ROWS(L$20:L1630))))</f>
        <v/>
      </c>
      <c r="I1630" s="4" t="str">
        <f t="array" ref="I1630">IF(ROWS(M$20:M1630)&gt;$F$6,"",INDEX(C$2:C$10000,SMALL(IF(ISNUMBER(MATCH($B$2:$B$10000,$E$6:$E$22,0)),ROW($C$2:$C$10000)-ROW($C$2)+1),ROWS(M$20:M1630))))</f>
        <v/>
      </c>
      <c r="K1630" s="7" t="str">
        <f t="array" ref="K1630">IF(ROWS(K$20:K1630)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1630))))</f>
        <v/>
      </c>
      <c r="L1630" s="4" t="str">
        <f t="array" ref="L1630">IF(ROWS(L$20:L1630)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1630))))</f>
        <v/>
      </c>
      <c r="M1630" s="4" t="str">
        <f t="array" ref="M1630">IF(ROWS(M$20:M1630)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1630))))</f>
        <v/>
      </c>
    </row>
    <row r="1631" spans="1:13" x14ac:dyDescent="0.25">
      <c r="A1631" s="3">
        <v>41837</v>
      </c>
      <c r="B1631" s="2" t="s">
        <v>46</v>
      </c>
      <c r="C1631" s="2">
        <v>20</v>
      </c>
      <c r="G1631" s="7" t="str">
        <f t="array" ref="G1631">IF(ROWS(K$20:K1631)&gt;$F$6,"",INDEX(A$2:A$10000,SMALL(IF(ISNUMBER(MATCH($B$2:$B$10000,$E$6:$E$22,0)),ROW($C$2:$C$10000)-ROW($C$2)+1),ROWS(K$20:K1631))))</f>
        <v/>
      </c>
      <c r="H1631" s="4" t="str">
        <f t="array" ref="H1631">IF(ROWS(L$20:L1631)&gt;$F$6,"",INDEX(B$2:B$10000,SMALL(IF(ISNUMBER(MATCH($B$2:$B$10000,$E$6:$E$22,0)),ROW($C$2:$C$10000)-ROW($C$2)+1),ROWS(L$20:L1631))))</f>
        <v/>
      </c>
      <c r="I1631" s="4" t="str">
        <f t="array" ref="I1631">IF(ROWS(M$20:M1631)&gt;$F$6,"",INDEX(C$2:C$10000,SMALL(IF(ISNUMBER(MATCH($B$2:$B$10000,$E$6:$E$22,0)),ROW($C$2:$C$10000)-ROW($C$2)+1),ROWS(M$20:M1631))))</f>
        <v/>
      </c>
      <c r="K1631" s="7" t="str">
        <f t="array" ref="K1631">IF(ROWS(K$20:K1631)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1631))))</f>
        <v/>
      </c>
      <c r="L1631" s="4" t="str">
        <f t="array" ref="L1631">IF(ROWS(L$20:L1631)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1631))))</f>
        <v/>
      </c>
      <c r="M1631" s="4" t="str">
        <f t="array" ref="M1631">IF(ROWS(M$20:M1631)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1631))))</f>
        <v/>
      </c>
    </row>
    <row r="1632" spans="1:13" x14ac:dyDescent="0.25">
      <c r="A1632" s="3">
        <v>41512</v>
      </c>
      <c r="B1632" s="2" t="s">
        <v>33</v>
      </c>
      <c r="C1632" s="2">
        <v>24</v>
      </c>
      <c r="G1632" s="7" t="str">
        <f t="array" ref="G1632">IF(ROWS(K$20:K1632)&gt;$F$6,"",INDEX(A$2:A$10000,SMALL(IF(ISNUMBER(MATCH($B$2:$B$10000,$E$6:$E$22,0)),ROW($C$2:$C$10000)-ROW($C$2)+1),ROWS(K$20:K1632))))</f>
        <v/>
      </c>
      <c r="H1632" s="4" t="str">
        <f t="array" ref="H1632">IF(ROWS(L$20:L1632)&gt;$F$6,"",INDEX(B$2:B$10000,SMALL(IF(ISNUMBER(MATCH($B$2:$B$10000,$E$6:$E$22,0)),ROW($C$2:$C$10000)-ROW($C$2)+1),ROWS(L$20:L1632))))</f>
        <v/>
      </c>
      <c r="I1632" s="4" t="str">
        <f t="array" ref="I1632">IF(ROWS(M$20:M1632)&gt;$F$6,"",INDEX(C$2:C$10000,SMALL(IF(ISNUMBER(MATCH($B$2:$B$10000,$E$6:$E$22,0)),ROW($C$2:$C$10000)-ROW($C$2)+1),ROWS(M$20:M1632))))</f>
        <v/>
      </c>
      <c r="K1632" s="7" t="str">
        <f t="array" ref="K1632">IF(ROWS(K$20:K1632)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1632))))</f>
        <v/>
      </c>
      <c r="L1632" s="4" t="str">
        <f t="array" ref="L1632">IF(ROWS(L$20:L1632)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1632))))</f>
        <v/>
      </c>
      <c r="M1632" s="4" t="str">
        <f t="array" ref="M1632">IF(ROWS(M$20:M1632)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1632))))</f>
        <v/>
      </c>
    </row>
    <row r="1633" spans="1:13" x14ac:dyDescent="0.25">
      <c r="A1633" s="3">
        <v>41716</v>
      </c>
      <c r="B1633" s="2" t="s">
        <v>36</v>
      </c>
      <c r="C1633" s="2">
        <v>18</v>
      </c>
      <c r="G1633" s="7" t="str">
        <f t="array" ref="G1633">IF(ROWS(K$20:K1633)&gt;$F$6,"",INDEX(A$2:A$10000,SMALL(IF(ISNUMBER(MATCH($B$2:$B$10000,$E$6:$E$22,0)),ROW($C$2:$C$10000)-ROW($C$2)+1),ROWS(K$20:K1633))))</f>
        <v/>
      </c>
      <c r="H1633" s="4" t="str">
        <f t="array" ref="H1633">IF(ROWS(L$20:L1633)&gt;$F$6,"",INDEX(B$2:B$10000,SMALL(IF(ISNUMBER(MATCH($B$2:$B$10000,$E$6:$E$22,0)),ROW($C$2:$C$10000)-ROW($C$2)+1),ROWS(L$20:L1633))))</f>
        <v/>
      </c>
      <c r="I1633" s="4" t="str">
        <f t="array" ref="I1633">IF(ROWS(M$20:M1633)&gt;$F$6,"",INDEX(C$2:C$10000,SMALL(IF(ISNUMBER(MATCH($B$2:$B$10000,$E$6:$E$22,0)),ROW($C$2:$C$10000)-ROW($C$2)+1),ROWS(M$20:M1633))))</f>
        <v/>
      </c>
      <c r="K1633" s="7" t="str">
        <f t="array" ref="K1633">IF(ROWS(K$20:K1633)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1633))))</f>
        <v/>
      </c>
      <c r="L1633" s="4" t="str">
        <f t="array" ref="L1633">IF(ROWS(L$20:L1633)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1633))))</f>
        <v/>
      </c>
      <c r="M1633" s="4" t="str">
        <f t="array" ref="M1633">IF(ROWS(M$20:M1633)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1633))))</f>
        <v/>
      </c>
    </row>
    <row r="1634" spans="1:13" x14ac:dyDescent="0.25">
      <c r="A1634" s="3">
        <v>41743</v>
      </c>
      <c r="B1634" s="2" t="s">
        <v>13</v>
      </c>
      <c r="C1634" s="2">
        <v>24</v>
      </c>
      <c r="G1634" s="7" t="str">
        <f t="array" ref="G1634">IF(ROWS(K$20:K1634)&gt;$F$6,"",INDEX(A$2:A$10000,SMALL(IF(ISNUMBER(MATCH($B$2:$B$10000,$E$6:$E$22,0)),ROW($C$2:$C$10000)-ROW($C$2)+1),ROWS(K$20:K1634))))</f>
        <v/>
      </c>
      <c r="H1634" s="4" t="str">
        <f t="array" ref="H1634">IF(ROWS(L$20:L1634)&gt;$F$6,"",INDEX(B$2:B$10000,SMALL(IF(ISNUMBER(MATCH($B$2:$B$10000,$E$6:$E$22,0)),ROW($C$2:$C$10000)-ROW($C$2)+1),ROWS(L$20:L1634))))</f>
        <v/>
      </c>
      <c r="I1634" s="4" t="str">
        <f t="array" ref="I1634">IF(ROWS(M$20:M1634)&gt;$F$6,"",INDEX(C$2:C$10000,SMALL(IF(ISNUMBER(MATCH($B$2:$B$10000,$E$6:$E$22,0)),ROW($C$2:$C$10000)-ROW($C$2)+1),ROWS(M$20:M1634))))</f>
        <v/>
      </c>
      <c r="K1634" s="7" t="str">
        <f t="array" ref="K1634">IF(ROWS(K$20:K1634)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1634))))</f>
        <v/>
      </c>
      <c r="L1634" s="4" t="str">
        <f t="array" ref="L1634">IF(ROWS(L$20:L1634)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1634))))</f>
        <v/>
      </c>
      <c r="M1634" s="4" t="str">
        <f t="array" ref="M1634">IF(ROWS(M$20:M1634)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1634))))</f>
        <v/>
      </c>
    </row>
    <row r="1635" spans="1:13" x14ac:dyDescent="0.25">
      <c r="A1635" s="3">
        <v>41915</v>
      </c>
      <c r="B1635" s="2" t="s">
        <v>46</v>
      </c>
      <c r="C1635" s="2">
        <v>11</v>
      </c>
      <c r="G1635" s="7" t="str">
        <f t="array" ref="G1635">IF(ROWS(K$20:K1635)&gt;$F$6,"",INDEX(A$2:A$10000,SMALL(IF(ISNUMBER(MATCH($B$2:$B$10000,$E$6:$E$22,0)),ROW($C$2:$C$10000)-ROW($C$2)+1),ROWS(K$20:K1635))))</f>
        <v/>
      </c>
      <c r="H1635" s="4" t="str">
        <f t="array" ref="H1635">IF(ROWS(L$20:L1635)&gt;$F$6,"",INDEX(B$2:B$10000,SMALL(IF(ISNUMBER(MATCH($B$2:$B$10000,$E$6:$E$22,0)),ROW($C$2:$C$10000)-ROW($C$2)+1),ROWS(L$20:L1635))))</f>
        <v/>
      </c>
      <c r="I1635" s="4" t="str">
        <f t="array" ref="I1635">IF(ROWS(M$20:M1635)&gt;$F$6,"",INDEX(C$2:C$10000,SMALL(IF(ISNUMBER(MATCH($B$2:$B$10000,$E$6:$E$22,0)),ROW($C$2:$C$10000)-ROW($C$2)+1),ROWS(M$20:M1635))))</f>
        <v/>
      </c>
      <c r="K1635" s="7" t="str">
        <f t="array" ref="K1635">IF(ROWS(K$20:K1635)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1635))))</f>
        <v/>
      </c>
      <c r="L1635" s="4" t="str">
        <f t="array" ref="L1635">IF(ROWS(L$20:L1635)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1635))))</f>
        <v/>
      </c>
      <c r="M1635" s="4" t="str">
        <f t="array" ref="M1635">IF(ROWS(M$20:M1635)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1635))))</f>
        <v/>
      </c>
    </row>
    <row r="1636" spans="1:13" x14ac:dyDescent="0.25">
      <c r="A1636" s="3">
        <v>41514</v>
      </c>
      <c r="B1636" s="2" t="s">
        <v>39</v>
      </c>
      <c r="C1636" s="2">
        <v>19</v>
      </c>
      <c r="G1636" s="7" t="str">
        <f t="array" ref="G1636">IF(ROWS(K$20:K1636)&gt;$F$6,"",INDEX(A$2:A$10000,SMALL(IF(ISNUMBER(MATCH($B$2:$B$10000,$E$6:$E$22,0)),ROW($C$2:$C$10000)-ROW($C$2)+1),ROWS(K$20:K1636))))</f>
        <v/>
      </c>
      <c r="H1636" s="4" t="str">
        <f t="array" ref="H1636">IF(ROWS(L$20:L1636)&gt;$F$6,"",INDEX(B$2:B$10000,SMALL(IF(ISNUMBER(MATCH($B$2:$B$10000,$E$6:$E$22,0)),ROW($C$2:$C$10000)-ROW($C$2)+1),ROWS(L$20:L1636))))</f>
        <v/>
      </c>
      <c r="I1636" s="4" t="str">
        <f t="array" ref="I1636">IF(ROWS(M$20:M1636)&gt;$F$6,"",INDEX(C$2:C$10000,SMALL(IF(ISNUMBER(MATCH($B$2:$B$10000,$E$6:$E$22,0)),ROW($C$2:$C$10000)-ROW($C$2)+1),ROWS(M$20:M1636))))</f>
        <v/>
      </c>
      <c r="K1636" s="7" t="str">
        <f t="array" ref="K1636">IF(ROWS(K$20:K1636)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1636))))</f>
        <v/>
      </c>
      <c r="L1636" s="4" t="str">
        <f t="array" ref="L1636">IF(ROWS(L$20:L1636)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1636))))</f>
        <v/>
      </c>
      <c r="M1636" s="4" t="str">
        <f t="array" ref="M1636">IF(ROWS(M$20:M1636)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1636))))</f>
        <v/>
      </c>
    </row>
    <row r="1637" spans="1:13" x14ac:dyDescent="0.25">
      <c r="A1637" s="3">
        <v>41383</v>
      </c>
      <c r="B1637" s="2" t="s">
        <v>16</v>
      </c>
      <c r="C1637" s="2">
        <v>23</v>
      </c>
      <c r="G1637" s="7" t="str">
        <f t="array" ref="G1637">IF(ROWS(K$20:K1637)&gt;$F$6,"",INDEX(A$2:A$10000,SMALL(IF(ISNUMBER(MATCH($B$2:$B$10000,$E$6:$E$22,0)),ROW($C$2:$C$10000)-ROW($C$2)+1),ROWS(K$20:K1637))))</f>
        <v/>
      </c>
      <c r="H1637" s="4" t="str">
        <f t="array" ref="H1637">IF(ROWS(L$20:L1637)&gt;$F$6,"",INDEX(B$2:B$10000,SMALL(IF(ISNUMBER(MATCH($B$2:$B$10000,$E$6:$E$22,0)),ROW($C$2:$C$10000)-ROW($C$2)+1),ROWS(L$20:L1637))))</f>
        <v/>
      </c>
      <c r="I1637" s="4" t="str">
        <f t="array" ref="I1637">IF(ROWS(M$20:M1637)&gt;$F$6,"",INDEX(C$2:C$10000,SMALL(IF(ISNUMBER(MATCH($B$2:$B$10000,$E$6:$E$22,0)),ROW($C$2:$C$10000)-ROW($C$2)+1),ROWS(M$20:M1637))))</f>
        <v/>
      </c>
      <c r="K1637" s="7" t="str">
        <f t="array" ref="K1637">IF(ROWS(K$20:K1637)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1637))))</f>
        <v/>
      </c>
      <c r="L1637" s="4" t="str">
        <f t="array" ref="L1637">IF(ROWS(L$20:L1637)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1637))))</f>
        <v/>
      </c>
      <c r="M1637" s="4" t="str">
        <f t="array" ref="M1637">IF(ROWS(M$20:M1637)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1637))))</f>
        <v/>
      </c>
    </row>
    <row r="1638" spans="1:13" x14ac:dyDescent="0.25">
      <c r="A1638" s="3">
        <v>41479</v>
      </c>
      <c r="B1638" s="2" t="s">
        <v>18</v>
      </c>
      <c r="C1638" s="2">
        <v>46</v>
      </c>
      <c r="G1638" s="7" t="str">
        <f t="array" ref="G1638">IF(ROWS(K$20:K1638)&gt;$F$6,"",INDEX(A$2:A$10000,SMALL(IF(ISNUMBER(MATCH($B$2:$B$10000,$E$6:$E$22,0)),ROW($C$2:$C$10000)-ROW($C$2)+1),ROWS(K$20:K1638))))</f>
        <v/>
      </c>
      <c r="H1638" s="4" t="str">
        <f t="array" ref="H1638">IF(ROWS(L$20:L1638)&gt;$F$6,"",INDEX(B$2:B$10000,SMALL(IF(ISNUMBER(MATCH($B$2:$B$10000,$E$6:$E$22,0)),ROW($C$2:$C$10000)-ROW($C$2)+1),ROWS(L$20:L1638))))</f>
        <v/>
      </c>
      <c r="I1638" s="4" t="str">
        <f t="array" ref="I1638">IF(ROWS(M$20:M1638)&gt;$F$6,"",INDEX(C$2:C$10000,SMALL(IF(ISNUMBER(MATCH($B$2:$B$10000,$E$6:$E$22,0)),ROW($C$2:$C$10000)-ROW($C$2)+1),ROWS(M$20:M1638))))</f>
        <v/>
      </c>
      <c r="K1638" s="7" t="str">
        <f t="array" ref="K1638">IF(ROWS(K$20:K1638)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1638))))</f>
        <v/>
      </c>
      <c r="L1638" s="4" t="str">
        <f t="array" ref="L1638">IF(ROWS(L$20:L1638)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1638))))</f>
        <v/>
      </c>
      <c r="M1638" s="4" t="str">
        <f t="array" ref="M1638">IF(ROWS(M$20:M1638)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1638))))</f>
        <v/>
      </c>
    </row>
    <row r="1639" spans="1:13" x14ac:dyDescent="0.25">
      <c r="A1639" s="3">
        <v>41926</v>
      </c>
      <c r="B1639" s="2" t="s">
        <v>31</v>
      </c>
      <c r="C1639" s="2">
        <v>14</v>
      </c>
      <c r="G1639" s="7" t="str">
        <f t="array" ref="G1639">IF(ROWS(K$20:K1639)&gt;$F$6,"",INDEX(A$2:A$10000,SMALL(IF(ISNUMBER(MATCH($B$2:$B$10000,$E$6:$E$22,0)),ROW($C$2:$C$10000)-ROW($C$2)+1),ROWS(K$20:K1639))))</f>
        <v/>
      </c>
      <c r="H1639" s="4" t="str">
        <f t="array" ref="H1639">IF(ROWS(L$20:L1639)&gt;$F$6,"",INDEX(B$2:B$10000,SMALL(IF(ISNUMBER(MATCH($B$2:$B$10000,$E$6:$E$22,0)),ROW($C$2:$C$10000)-ROW($C$2)+1),ROWS(L$20:L1639))))</f>
        <v/>
      </c>
      <c r="I1639" s="4" t="str">
        <f t="array" ref="I1639">IF(ROWS(M$20:M1639)&gt;$F$6,"",INDEX(C$2:C$10000,SMALL(IF(ISNUMBER(MATCH($B$2:$B$10000,$E$6:$E$22,0)),ROW($C$2:$C$10000)-ROW($C$2)+1),ROWS(M$20:M1639))))</f>
        <v/>
      </c>
      <c r="K1639" s="7" t="str">
        <f t="array" ref="K1639">IF(ROWS(K$20:K1639)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1639))))</f>
        <v/>
      </c>
      <c r="L1639" s="4" t="str">
        <f t="array" ref="L1639">IF(ROWS(L$20:L1639)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1639))))</f>
        <v/>
      </c>
      <c r="M1639" s="4" t="str">
        <f t="array" ref="M1639">IF(ROWS(M$20:M1639)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1639))))</f>
        <v/>
      </c>
    </row>
    <row r="1640" spans="1:13" x14ac:dyDescent="0.25">
      <c r="A1640" s="3">
        <v>41675</v>
      </c>
      <c r="B1640" s="2" t="s">
        <v>15</v>
      </c>
      <c r="C1640" s="2">
        <v>29</v>
      </c>
      <c r="G1640" s="7" t="str">
        <f t="array" ref="G1640">IF(ROWS(K$20:K1640)&gt;$F$6,"",INDEX(A$2:A$10000,SMALL(IF(ISNUMBER(MATCH($B$2:$B$10000,$E$6:$E$22,0)),ROW($C$2:$C$10000)-ROW($C$2)+1),ROWS(K$20:K1640))))</f>
        <v/>
      </c>
      <c r="H1640" s="4" t="str">
        <f t="array" ref="H1640">IF(ROWS(L$20:L1640)&gt;$F$6,"",INDEX(B$2:B$10000,SMALL(IF(ISNUMBER(MATCH($B$2:$B$10000,$E$6:$E$22,0)),ROW($C$2:$C$10000)-ROW($C$2)+1),ROWS(L$20:L1640))))</f>
        <v/>
      </c>
      <c r="I1640" s="4" t="str">
        <f t="array" ref="I1640">IF(ROWS(M$20:M1640)&gt;$F$6,"",INDEX(C$2:C$10000,SMALL(IF(ISNUMBER(MATCH($B$2:$B$10000,$E$6:$E$22,0)),ROW($C$2:$C$10000)-ROW($C$2)+1),ROWS(M$20:M1640))))</f>
        <v/>
      </c>
      <c r="K1640" s="7" t="str">
        <f t="array" ref="K1640">IF(ROWS(K$20:K1640)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1640))))</f>
        <v/>
      </c>
      <c r="L1640" s="4" t="str">
        <f t="array" ref="L1640">IF(ROWS(L$20:L1640)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1640))))</f>
        <v/>
      </c>
      <c r="M1640" s="4" t="str">
        <f t="array" ref="M1640">IF(ROWS(M$20:M1640)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1640))))</f>
        <v/>
      </c>
    </row>
    <row r="1641" spans="1:13" x14ac:dyDescent="0.25">
      <c r="A1641" s="3">
        <v>41593</v>
      </c>
      <c r="B1641" s="2" t="s">
        <v>7</v>
      </c>
      <c r="C1641" s="2">
        <v>15</v>
      </c>
      <c r="G1641" s="7" t="str">
        <f t="array" ref="G1641">IF(ROWS(K$20:K1641)&gt;$F$6,"",INDEX(A$2:A$10000,SMALL(IF(ISNUMBER(MATCH($B$2:$B$10000,$E$6:$E$22,0)),ROW($C$2:$C$10000)-ROW($C$2)+1),ROWS(K$20:K1641))))</f>
        <v/>
      </c>
      <c r="H1641" s="4" t="str">
        <f t="array" ref="H1641">IF(ROWS(L$20:L1641)&gt;$F$6,"",INDEX(B$2:B$10000,SMALL(IF(ISNUMBER(MATCH($B$2:$B$10000,$E$6:$E$22,0)),ROW($C$2:$C$10000)-ROW($C$2)+1),ROWS(L$20:L1641))))</f>
        <v/>
      </c>
      <c r="I1641" s="4" t="str">
        <f t="array" ref="I1641">IF(ROWS(M$20:M1641)&gt;$F$6,"",INDEX(C$2:C$10000,SMALL(IF(ISNUMBER(MATCH($B$2:$B$10000,$E$6:$E$22,0)),ROW($C$2:$C$10000)-ROW($C$2)+1),ROWS(M$20:M1641))))</f>
        <v/>
      </c>
      <c r="K1641" s="7" t="str">
        <f t="array" ref="K1641">IF(ROWS(K$20:K1641)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1641))))</f>
        <v/>
      </c>
      <c r="L1641" s="4" t="str">
        <f t="array" ref="L1641">IF(ROWS(L$20:L1641)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1641))))</f>
        <v/>
      </c>
      <c r="M1641" s="4" t="str">
        <f t="array" ref="M1641">IF(ROWS(M$20:M1641)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1641))))</f>
        <v/>
      </c>
    </row>
    <row r="1642" spans="1:13" x14ac:dyDescent="0.25">
      <c r="A1642" s="3">
        <v>41651</v>
      </c>
      <c r="B1642" s="2" t="s">
        <v>14</v>
      </c>
      <c r="C1642" s="2">
        <v>17</v>
      </c>
      <c r="G1642" s="7" t="str">
        <f t="array" ref="G1642">IF(ROWS(K$20:K1642)&gt;$F$6,"",INDEX(A$2:A$10000,SMALL(IF(ISNUMBER(MATCH($B$2:$B$10000,$E$6:$E$22,0)),ROW($C$2:$C$10000)-ROW($C$2)+1),ROWS(K$20:K1642))))</f>
        <v/>
      </c>
      <c r="H1642" s="4" t="str">
        <f t="array" ref="H1642">IF(ROWS(L$20:L1642)&gt;$F$6,"",INDEX(B$2:B$10000,SMALL(IF(ISNUMBER(MATCH($B$2:$B$10000,$E$6:$E$22,0)),ROW($C$2:$C$10000)-ROW($C$2)+1),ROWS(L$20:L1642))))</f>
        <v/>
      </c>
      <c r="I1642" s="4" t="str">
        <f t="array" ref="I1642">IF(ROWS(M$20:M1642)&gt;$F$6,"",INDEX(C$2:C$10000,SMALL(IF(ISNUMBER(MATCH($B$2:$B$10000,$E$6:$E$22,0)),ROW($C$2:$C$10000)-ROW($C$2)+1),ROWS(M$20:M1642))))</f>
        <v/>
      </c>
      <c r="K1642" s="7" t="str">
        <f t="array" ref="K1642">IF(ROWS(K$20:K1642)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1642))))</f>
        <v/>
      </c>
      <c r="L1642" s="4" t="str">
        <f t="array" ref="L1642">IF(ROWS(L$20:L1642)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1642))))</f>
        <v/>
      </c>
      <c r="M1642" s="4" t="str">
        <f t="array" ref="M1642">IF(ROWS(M$20:M1642)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1642))))</f>
        <v/>
      </c>
    </row>
    <row r="1643" spans="1:13" x14ac:dyDescent="0.25">
      <c r="A1643" s="3">
        <v>41314</v>
      </c>
      <c r="B1643" s="2" t="s">
        <v>32</v>
      </c>
      <c r="C1643" s="2">
        <v>7</v>
      </c>
      <c r="G1643" s="7" t="str">
        <f t="array" ref="G1643">IF(ROWS(K$20:K1643)&gt;$F$6,"",INDEX(A$2:A$10000,SMALL(IF(ISNUMBER(MATCH($B$2:$B$10000,$E$6:$E$22,0)),ROW($C$2:$C$10000)-ROW($C$2)+1),ROWS(K$20:K1643))))</f>
        <v/>
      </c>
      <c r="H1643" s="4" t="str">
        <f t="array" ref="H1643">IF(ROWS(L$20:L1643)&gt;$F$6,"",INDEX(B$2:B$10000,SMALL(IF(ISNUMBER(MATCH($B$2:$B$10000,$E$6:$E$22,0)),ROW($C$2:$C$10000)-ROW($C$2)+1),ROWS(L$20:L1643))))</f>
        <v/>
      </c>
      <c r="I1643" s="4" t="str">
        <f t="array" ref="I1643">IF(ROWS(M$20:M1643)&gt;$F$6,"",INDEX(C$2:C$10000,SMALL(IF(ISNUMBER(MATCH($B$2:$B$10000,$E$6:$E$22,0)),ROW($C$2:$C$10000)-ROW($C$2)+1),ROWS(M$20:M1643))))</f>
        <v/>
      </c>
      <c r="K1643" s="7" t="str">
        <f t="array" ref="K1643">IF(ROWS(K$20:K1643)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1643))))</f>
        <v/>
      </c>
      <c r="L1643" s="4" t="str">
        <f t="array" ref="L1643">IF(ROWS(L$20:L1643)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1643))))</f>
        <v/>
      </c>
      <c r="M1643" s="4" t="str">
        <f t="array" ref="M1643">IF(ROWS(M$20:M1643)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1643))))</f>
        <v/>
      </c>
    </row>
    <row r="1644" spans="1:13" x14ac:dyDescent="0.25">
      <c r="A1644" s="3">
        <v>41976</v>
      </c>
      <c r="B1644" s="2" t="s">
        <v>21</v>
      </c>
      <c r="C1644" s="2">
        <v>10</v>
      </c>
      <c r="G1644" s="7" t="str">
        <f t="array" ref="G1644">IF(ROWS(K$20:K1644)&gt;$F$6,"",INDEX(A$2:A$10000,SMALL(IF(ISNUMBER(MATCH($B$2:$B$10000,$E$6:$E$22,0)),ROW($C$2:$C$10000)-ROW($C$2)+1),ROWS(K$20:K1644))))</f>
        <v/>
      </c>
      <c r="H1644" s="4" t="str">
        <f t="array" ref="H1644">IF(ROWS(L$20:L1644)&gt;$F$6,"",INDEX(B$2:B$10000,SMALL(IF(ISNUMBER(MATCH($B$2:$B$10000,$E$6:$E$22,0)),ROW($C$2:$C$10000)-ROW($C$2)+1),ROWS(L$20:L1644))))</f>
        <v/>
      </c>
      <c r="I1644" s="4" t="str">
        <f t="array" ref="I1644">IF(ROWS(M$20:M1644)&gt;$F$6,"",INDEX(C$2:C$10000,SMALL(IF(ISNUMBER(MATCH($B$2:$B$10000,$E$6:$E$22,0)),ROW($C$2:$C$10000)-ROW($C$2)+1),ROWS(M$20:M1644))))</f>
        <v/>
      </c>
      <c r="K1644" s="7" t="str">
        <f t="array" ref="K1644">IF(ROWS(K$20:K1644)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1644))))</f>
        <v/>
      </c>
      <c r="L1644" s="4" t="str">
        <f t="array" ref="L1644">IF(ROWS(L$20:L1644)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1644))))</f>
        <v/>
      </c>
      <c r="M1644" s="4" t="str">
        <f t="array" ref="M1644">IF(ROWS(M$20:M1644)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1644))))</f>
        <v/>
      </c>
    </row>
    <row r="1645" spans="1:13" x14ac:dyDescent="0.25">
      <c r="A1645" s="3">
        <v>41328</v>
      </c>
      <c r="B1645" s="2" t="s">
        <v>29</v>
      </c>
      <c r="C1645" s="2">
        <v>23</v>
      </c>
      <c r="G1645" s="7" t="str">
        <f t="array" ref="G1645">IF(ROWS(K$20:K1645)&gt;$F$6,"",INDEX(A$2:A$10000,SMALL(IF(ISNUMBER(MATCH($B$2:$B$10000,$E$6:$E$22,0)),ROW($C$2:$C$10000)-ROW($C$2)+1),ROWS(K$20:K1645))))</f>
        <v/>
      </c>
      <c r="H1645" s="4" t="str">
        <f t="array" ref="H1645">IF(ROWS(L$20:L1645)&gt;$F$6,"",INDEX(B$2:B$10000,SMALL(IF(ISNUMBER(MATCH($B$2:$B$10000,$E$6:$E$22,0)),ROW($C$2:$C$10000)-ROW($C$2)+1),ROWS(L$20:L1645))))</f>
        <v/>
      </c>
      <c r="I1645" s="4" t="str">
        <f t="array" ref="I1645">IF(ROWS(M$20:M1645)&gt;$F$6,"",INDEX(C$2:C$10000,SMALL(IF(ISNUMBER(MATCH($B$2:$B$10000,$E$6:$E$22,0)),ROW($C$2:$C$10000)-ROW($C$2)+1),ROWS(M$20:M1645))))</f>
        <v/>
      </c>
      <c r="K1645" s="7" t="str">
        <f t="array" ref="K1645">IF(ROWS(K$20:K1645)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1645))))</f>
        <v/>
      </c>
      <c r="L1645" s="4" t="str">
        <f t="array" ref="L1645">IF(ROWS(L$20:L1645)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1645))))</f>
        <v/>
      </c>
      <c r="M1645" s="4" t="str">
        <f t="array" ref="M1645">IF(ROWS(M$20:M1645)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1645))))</f>
        <v/>
      </c>
    </row>
    <row r="1646" spans="1:13" x14ac:dyDescent="0.25">
      <c r="A1646" s="3">
        <v>41654</v>
      </c>
      <c r="B1646" s="2" t="s">
        <v>25</v>
      </c>
      <c r="C1646" s="2">
        <v>35</v>
      </c>
      <c r="G1646" s="7" t="str">
        <f t="array" ref="G1646">IF(ROWS(K$20:K1646)&gt;$F$6,"",INDEX(A$2:A$10000,SMALL(IF(ISNUMBER(MATCH($B$2:$B$10000,$E$6:$E$22,0)),ROW($C$2:$C$10000)-ROW($C$2)+1),ROWS(K$20:K1646))))</f>
        <v/>
      </c>
      <c r="H1646" s="4" t="str">
        <f t="array" ref="H1646">IF(ROWS(L$20:L1646)&gt;$F$6,"",INDEX(B$2:B$10000,SMALL(IF(ISNUMBER(MATCH($B$2:$B$10000,$E$6:$E$22,0)),ROW($C$2:$C$10000)-ROW($C$2)+1),ROWS(L$20:L1646))))</f>
        <v/>
      </c>
      <c r="I1646" s="4" t="str">
        <f t="array" ref="I1646">IF(ROWS(M$20:M1646)&gt;$F$6,"",INDEX(C$2:C$10000,SMALL(IF(ISNUMBER(MATCH($B$2:$B$10000,$E$6:$E$22,0)),ROW($C$2:$C$10000)-ROW($C$2)+1),ROWS(M$20:M1646))))</f>
        <v/>
      </c>
      <c r="K1646" s="7" t="str">
        <f t="array" ref="K1646">IF(ROWS(K$20:K1646)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1646))))</f>
        <v/>
      </c>
      <c r="L1646" s="4" t="str">
        <f t="array" ref="L1646">IF(ROWS(L$20:L1646)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1646))))</f>
        <v/>
      </c>
      <c r="M1646" s="4" t="str">
        <f t="array" ref="M1646">IF(ROWS(M$20:M1646)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1646))))</f>
        <v/>
      </c>
    </row>
    <row r="1647" spans="1:13" x14ac:dyDescent="0.25">
      <c r="A1647" s="3">
        <v>41382</v>
      </c>
      <c r="B1647" s="2" t="s">
        <v>17</v>
      </c>
      <c r="C1647" s="2">
        <v>29</v>
      </c>
      <c r="G1647" s="7" t="str">
        <f t="array" ref="G1647">IF(ROWS(K$20:K1647)&gt;$F$6,"",INDEX(A$2:A$10000,SMALL(IF(ISNUMBER(MATCH($B$2:$B$10000,$E$6:$E$22,0)),ROW($C$2:$C$10000)-ROW($C$2)+1),ROWS(K$20:K1647))))</f>
        <v/>
      </c>
      <c r="H1647" s="4" t="str">
        <f t="array" ref="H1647">IF(ROWS(L$20:L1647)&gt;$F$6,"",INDEX(B$2:B$10000,SMALL(IF(ISNUMBER(MATCH($B$2:$B$10000,$E$6:$E$22,0)),ROW($C$2:$C$10000)-ROW($C$2)+1),ROWS(L$20:L1647))))</f>
        <v/>
      </c>
      <c r="I1647" s="4" t="str">
        <f t="array" ref="I1647">IF(ROWS(M$20:M1647)&gt;$F$6,"",INDEX(C$2:C$10000,SMALL(IF(ISNUMBER(MATCH($B$2:$B$10000,$E$6:$E$22,0)),ROW($C$2:$C$10000)-ROW($C$2)+1),ROWS(M$20:M1647))))</f>
        <v/>
      </c>
      <c r="K1647" s="7" t="str">
        <f t="array" ref="K1647">IF(ROWS(K$20:K1647)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1647))))</f>
        <v/>
      </c>
      <c r="L1647" s="4" t="str">
        <f t="array" ref="L1647">IF(ROWS(L$20:L1647)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1647))))</f>
        <v/>
      </c>
      <c r="M1647" s="4" t="str">
        <f t="array" ref="M1647">IF(ROWS(M$20:M1647)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1647))))</f>
        <v/>
      </c>
    </row>
    <row r="1648" spans="1:13" x14ac:dyDescent="0.25">
      <c r="A1648" s="3">
        <v>41555</v>
      </c>
      <c r="B1648" s="2" t="s">
        <v>16</v>
      </c>
      <c r="C1648" s="2">
        <v>33</v>
      </c>
      <c r="G1648" s="7" t="str">
        <f t="array" ref="G1648">IF(ROWS(K$20:K1648)&gt;$F$6,"",INDEX(A$2:A$10000,SMALL(IF(ISNUMBER(MATCH($B$2:$B$10000,$E$6:$E$22,0)),ROW($C$2:$C$10000)-ROW($C$2)+1),ROWS(K$20:K1648))))</f>
        <v/>
      </c>
      <c r="H1648" s="4" t="str">
        <f t="array" ref="H1648">IF(ROWS(L$20:L1648)&gt;$F$6,"",INDEX(B$2:B$10000,SMALL(IF(ISNUMBER(MATCH($B$2:$B$10000,$E$6:$E$22,0)),ROW($C$2:$C$10000)-ROW($C$2)+1),ROWS(L$20:L1648))))</f>
        <v/>
      </c>
      <c r="I1648" s="4" t="str">
        <f t="array" ref="I1648">IF(ROWS(M$20:M1648)&gt;$F$6,"",INDEX(C$2:C$10000,SMALL(IF(ISNUMBER(MATCH($B$2:$B$10000,$E$6:$E$22,0)),ROW($C$2:$C$10000)-ROW($C$2)+1),ROWS(M$20:M1648))))</f>
        <v/>
      </c>
      <c r="K1648" s="7" t="str">
        <f t="array" ref="K1648">IF(ROWS(K$20:K1648)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1648))))</f>
        <v/>
      </c>
      <c r="L1648" s="4" t="str">
        <f t="array" ref="L1648">IF(ROWS(L$20:L1648)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1648))))</f>
        <v/>
      </c>
      <c r="M1648" s="4" t="str">
        <f t="array" ref="M1648">IF(ROWS(M$20:M1648)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1648))))</f>
        <v/>
      </c>
    </row>
    <row r="1649" spans="1:13" x14ac:dyDescent="0.25">
      <c r="A1649" s="3">
        <v>41505</v>
      </c>
      <c r="B1649" s="2" t="s">
        <v>25</v>
      </c>
      <c r="C1649" s="2">
        <v>56</v>
      </c>
      <c r="G1649" s="7" t="str">
        <f t="array" ref="G1649">IF(ROWS(K$20:K1649)&gt;$F$6,"",INDEX(A$2:A$10000,SMALL(IF(ISNUMBER(MATCH($B$2:$B$10000,$E$6:$E$22,0)),ROW($C$2:$C$10000)-ROW($C$2)+1),ROWS(K$20:K1649))))</f>
        <v/>
      </c>
      <c r="H1649" s="4" t="str">
        <f t="array" ref="H1649">IF(ROWS(L$20:L1649)&gt;$F$6,"",INDEX(B$2:B$10000,SMALL(IF(ISNUMBER(MATCH($B$2:$B$10000,$E$6:$E$22,0)),ROW($C$2:$C$10000)-ROW($C$2)+1),ROWS(L$20:L1649))))</f>
        <v/>
      </c>
      <c r="I1649" s="4" t="str">
        <f t="array" ref="I1649">IF(ROWS(M$20:M1649)&gt;$F$6,"",INDEX(C$2:C$10000,SMALL(IF(ISNUMBER(MATCH($B$2:$B$10000,$E$6:$E$22,0)),ROW($C$2:$C$10000)-ROW($C$2)+1),ROWS(M$20:M1649))))</f>
        <v/>
      </c>
      <c r="K1649" s="7" t="str">
        <f t="array" ref="K1649">IF(ROWS(K$20:K1649)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1649))))</f>
        <v/>
      </c>
      <c r="L1649" s="4" t="str">
        <f t="array" ref="L1649">IF(ROWS(L$20:L1649)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1649))))</f>
        <v/>
      </c>
      <c r="M1649" s="4" t="str">
        <f t="array" ref="M1649">IF(ROWS(M$20:M1649)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1649))))</f>
        <v/>
      </c>
    </row>
    <row r="1650" spans="1:13" x14ac:dyDescent="0.25">
      <c r="A1650" s="3">
        <v>41654</v>
      </c>
      <c r="B1650" s="2" t="s">
        <v>20</v>
      </c>
      <c r="C1650" s="2">
        <v>11</v>
      </c>
      <c r="G1650" s="7" t="str">
        <f t="array" ref="G1650">IF(ROWS(K$20:K1650)&gt;$F$6,"",INDEX(A$2:A$10000,SMALL(IF(ISNUMBER(MATCH($B$2:$B$10000,$E$6:$E$22,0)),ROW($C$2:$C$10000)-ROW($C$2)+1),ROWS(K$20:K1650))))</f>
        <v/>
      </c>
      <c r="H1650" s="4" t="str">
        <f t="array" ref="H1650">IF(ROWS(L$20:L1650)&gt;$F$6,"",INDEX(B$2:B$10000,SMALL(IF(ISNUMBER(MATCH($B$2:$B$10000,$E$6:$E$22,0)),ROW($C$2:$C$10000)-ROW($C$2)+1),ROWS(L$20:L1650))))</f>
        <v/>
      </c>
      <c r="I1650" s="4" t="str">
        <f t="array" ref="I1650">IF(ROWS(M$20:M1650)&gt;$F$6,"",INDEX(C$2:C$10000,SMALL(IF(ISNUMBER(MATCH($B$2:$B$10000,$E$6:$E$22,0)),ROW($C$2:$C$10000)-ROW($C$2)+1),ROWS(M$20:M1650))))</f>
        <v/>
      </c>
      <c r="K1650" s="7" t="str">
        <f t="array" ref="K1650">IF(ROWS(K$20:K1650)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1650))))</f>
        <v/>
      </c>
      <c r="L1650" s="4" t="str">
        <f t="array" ref="L1650">IF(ROWS(L$20:L1650)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1650))))</f>
        <v/>
      </c>
      <c r="M1650" s="4" t="str">
        <f t="array" ref="M1650">IF(ROWS(M$20:M1650)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1650))))</f>
        <v/>
      </c>
    </row>
    <row r="1651" spans="1:13" x14ac:dyDescent="0.25">
      <c r="A1651" s="3">
        <v>41294</v>
      </c>
      <c r="B1651" s="2" t="s">
        <v>2</v>
      </c>
      <c r="C1651" s="2">
        <v>24</v>
      </c>
      <c r="G1651" s="7" t="str">
        <f t="array" ref="G1651">IF(ROWS(K$20:K1651)&gt;$F$6,"",INDEX(A$2:A$10000,SMALL(IF(ISNUMBER(MATCH($B$2:$B$10000,$E$6:$E$22,0)),ROW($C$2:$C$10000)-ROW($C$2)+1),ROWS(K$20:K1651))))</f>
        <v/>
      </c>
      <c r="H1651" s="4" t="str">
        <f t="array" ref="H1651">IF(ROWS(L$20:L1651)&gt;$F$6,"",INDEX(B$2:B$10000,SMALL(IF(ISNUMBER(MATCH($B$2:$B$10000,$E$6:$E$22,0)),ROW($C$2:$C$10000)-ROW($C$2)+1),ROWS(L$20:L1651))))</f>
        <v/>
      </c>
      <c r="I1651" s="4" t="str">
        <f t="array" ref="I1651">IF(ROWS(M$20:M1651)&gt;$F$6,"",INDEX(C$2:C$10000,SMALL(IF(ISNUMBER(MATCH($B$2:$B$10000,$E$6:$E$22,0)),ROW($C$2:$C$10000)-ROW($C$2)+1),ROWS(M$20:M1651))))</f>
        <v/>
      </c>
      <c r="K1651" s="7" t="str">
        <f t="array" ref="K1651">IF(ROWS(K$20:K1651)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1651))))</f>
        <v/>
      </c>
      <c r="L1651" s="4" t="str">
        <f t="array" ref="L1651">IF(ROWS(L$20:L1651)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1651))))</f>
        <v/>
      </c>
      <c r="M1651" s="4" t="str">
        <f t="array" ref="M1651">IF(ROWS(M$20:M1651)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1651))))</f>
        <v/>
      </c>
    </row>
    <row r="1652" spans="1:13" x14ac:dyDescent="0.25">
      <c r="A1652" s="3">
        <v>41856</v>
      </c>
      <c r="B1652" s="2" t="s">
        <v>20</v>
      </c>
      <c r="C1652" s="2">
        <v>40</v>
      </c>
      <c r="G1652" s="7" t="str">
        <f t="array" ref="G1652">IF(ROWS(K$20:K1652)&gt;$F$6,"",INDEX(A$2:A$10000,SMALL(IF(ISNUMBER(MATCH($B$2:$B$10000,$E$6:$E$22,0)),ROW($C$2:$C$10000)-ROW($C$2)+1),ROWS(K$20:K1652))))</f>
        <v/>
      </c>
      <c r="H1652" s="4" t="str">
        <f t="array" ref="H1652">IF(ROWS(L$20:L1652)&gt;$F$6,"",INDEX(B$2:B$10000,SMALL(IF(ISNUMBER(MATCH($B$2:$B$10000,$E$6:$E$22,0)),ROW($C$2:$C$10000)-ROW($C$2)+1),ROWS(L$20:L1652))))</f>
        <v/>
      </c>
      <c r="I1652" s="4" t="str">
        <f t="array" ref="I1652">IF(ROWS(M$20:M1652)&gt;$F$6,"",INDEX(C$2:C$10000,SMALL(IF(ISNUMBER(MATCH($B$2:$B$10000,$E$6:$E$22,0)),ROW($C$2:$C$10000)-ROW($C$2)+1),ROWS(M$20:M1652))))</f>
        <v/>
      </c>
      <c r="K1652" s="7" t="str">
        <f t="array" ref="K1652">IF(ROWS(K$20:K1652)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1652))))</f>
        <v/>
      </c>
      <c r="L1652" s="4" t="str">
        <f t="array" ref="L1652">IF(ROWS(L$20:L1652)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1652))))</f>
        <v/>
      </c>
      <c r="M1652" s="4" t="str">
        <f t="array" ref="M1652">IF(ROWS(M$20:M1652)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1652))))</f>
        <v/>
      </c>
    </row>
    <row r="1653" spans="1:13" x14ac:dyDescent="0.25">
      <c r="A1653" s="3">
        <v>41682</v>
      </c>
      <c r="B1653" s="2" t="s">
        <v>15</v>
      </c>
      <c r="C1653" s="2">
        <v>56</v>
      </c>
      <c r="G1653" s="7" t="str">
        <f t="array" ref="G1653">IF(ROWS(K$20:K1653)&gt;$F$6,"",INDEX(A$2:A$10000,SMALL(IF(ISNUMBER(MATCH($B$2:$B$10000,$E$6:$E$22,0)),ROW($C$2:$C$10000)-ROW($C$2)+1),ROWS(K$20:K1653))))</f>
        <v/>
      </c>
      <c r="H1653" s="4" t="str">
        <f t="array" ref="H1653">IF(ROWS(L$20:L1653)&gt;$F$6,"",INDEX(B$2:B$10000,SMALL(IF(ISNUMBER(MATCH($B$2:$B$10000,$E$6:$E$22,0)),ROW($C$2:$C$10000)-ROW($C$2)+1),ROWS(L$20:L1653))))</f>
        <v/>
      </c>
      <c r="I1653" s="4" t="str">
        <f t="array" ref="I1653">IF(ROWS(M$20:M1653)&gt;$F$6,"",INDEX(C$2:C$10000,SMALL(IF(ISNUMBER(MATCH($B$2:$B$10000,$E$6:$E$22,0)),ROW($C$2:$C$10000)-ROW($C$2)+1),ROWS(M$20:M1653))))</f>
        <v/>
      </c>
      <c r="K1653" s="7" t="str">
        <f t="array" ref="K1653">IF(ROWS(K$20:K1653)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1653))))</f>
        <v/>
      </c>
      <c r="L1653" s="4" t="str">
        <f t="array" ref="L1653">IF(ROWS(L$20:L1653)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1653))))</f>
        <v/>
      </c>
      <c r="M1653" s="4" t="str">
        <f t="array" ref="M1653">IF(ROWS(M$20:M1653)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1653))))</f>
        <v/>
      </c>
    </row>
    <row r="1654" spans="1:13" x14ac:dyDescent="0.25">
      <c r="A1654" s="3">
        <v>41944</v>
      </c>
      <c r="B1654" s="2" t="s">
        <v>17</v>
      </c>
      <c r="C1654" s="2">
        <v>31</v>
      </c>
      <c r="G1654" s="7" t="str">
        <f t="array" ref="G1654">IF(ROWS(K$20:K1654)&gt;$F$6,"",INDEX(A$2:A$10000,SMALL(IF(ISNUMBER(MATCH($B$2:$B$10000,$E$6:$E$22,0)),ROW($C$2:$C$10000)-ROW($C$2)+1),ROWS(K$20:K1654))))</f>
        <v/>
      </c>
      <c r="H1654" s="4" t="str">
        <f t="array" ref="H1654">IF(ROWS(L$20:L1654)&gt;$F$6,"",INDEX(B$2:B$10000,SMALL(IF(ISNUMBER(MATCH($B$2:$B$10000,$E$6:$E$22,0)),ROW($C$2:$C$10000)-ROW($C$2)+1),ROWS(L$20:L1654))))</f>
        <v/>
      </c>
      <c r="I1654" s="4" t="str">
        <f t="array" ref="I1654">IF(ROWS(M$20:M1654)&gt;$F$6,"",INDEX(C$2:C$10000,SMALL(IF(ISNUMBER(MATCH($B$2:$B$10000,$E$6:$E$22,0)),ROW($C$2:$C$10000)-ROW($C$2)+1),ROWS(M$20:M1654))))</f>
        <v/>
      </c>
      <c r="K1654" s="7" t="str">
        <f t="array" ref="K1654">IF(ROWS(K$20:K1654)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1654))))</f>
        <v/>
      </c>
      <c r="L1654" s="4" t="str">
        <f t="array" ref="L1654">IF(ROWS(L$20:L1654)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1654))))</f>
        <v/>
      </c>
      <c r="M1654" s="4" t="str">
        <f t="array" ref="M1654">IF(ROWS(M$20:M1654)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1654))))</f>
        <v/>
      </c>
    </row>
    <row r="1655" spans="1:13" x14ac:dyDescent="0.25">
      <c r="A1655" s="3">
        <v>41485</v>
      </c>
      <c r="B1655" s="2" t="s">
        <v>38</v>
      </c>
      <c r="C1655" s="2">
        <v>33</v>
      </c>
      <c r="G1655" s="7" t="str">
        <f t="array" ref="G1655">IF(ROWS(K$20:K1655)&gt;$F$6,"",INDEX(A$2:A$10000,SMALL(IF(ISNUMBER(MATCH($B$2:$B$10000,$E$6:$E$22,0)),ROW($C$2:$C$10000)-ROW($C$2)+1),ROWS(K$20:K1655))))</f>
        <v/>
      </c>
      <c r="H1655" s="4" t="str">
        <f t="array" ref="H1655">IF(ROWS(L$20:L1655)&gt;$F$6,"",INDEX(B$2:B$10000,SMALL(IF(ISNUMBER(MATCH($B$2:$B$10000,$E$6:$E$22,0)),ROW($C$2:$C$10000)-ROW($C$2)+1),ROWS(L$20:L1655))))</f>
        <v/>
      </c>
      <c r="I1655" s="4" t="str">
        <f t="array" ref="I1655">IF(ROWS(M$20:M1655)&gt;$F$6,"",INDEX(C$2:C$10000,SMALL(IF(ISNUMBER(MATCH($B$2:$B$10000,$E$6:$E$22,0)),ROW($C$2:$C$10000)-ROW($C$2)+1),ROWS(M$20:M1655))))</f>
        <v/>
      </c>
      <c r="K1655" s="7" t="str">
        <f t="array" ref="K1655">IF(ROWS(K$20:K1655)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1655))))</f>
        <v/>
      </c>
      <c r="L1655" s="4" t="str">
        <f t="array" ref="L1655">IF(ROWS(L$20:L1655)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1655))))</f>
        <v/>
      </c>
      <c r="M1655" s="4" t="str">
        <f t="array" ref="M1655">IF(ROWS(M$20:M1655)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1655))))</f>
        <v/>
      </c>
    </row>
    <row r="1656" spans="1:13" x14ac:dyDescent="0.25">
      <c r="A1656" s="3">
        <v>41557</v>
      </c>
      <c r="B1656" s="2" t="s">
        <v>9</v>
      </c>
      <c r="C1656" s="2">
        <v>17</v>
      </c>
      <c r="G1656" s="7" t="str">
        <f t="array" ref="G1656">IF(ROWS(K$20:K1656)&gt;$F$6,"",INDEX(A$2:A$10000,SMALL(IF(ISNUMBER(MATCH($B$2:$B$10000,$E$6:$E$22,0)),ROW($C$2:$C$10000)-ROW($C$2)+1),ROWS(K$20:K1656))))</f>
        <v/>
      </c>
      <c r="H1656" s="4" t="str">
        <f t="array" ref="H1656">IF(ROWS(L$20:L1656)&gt;$F$6,"",INDEX(B$2:B$10000,SMALL(IF(ISNUMBER(MATCH($B$2:$B$10000,$E$6:$E$22,0)),ROW($C$2:$C$10000)-ROW($C$2)+1),ROWS(L$20:L1656))))</f>
        <v/>
      </c>
      <c r="I1656" s="4" t="str">
        <f t="array" ref="I1656">IF(ROWS(M$20:M1656)&gt;$F$6,"",INDEX(C$2:C$10000,SMALL(IF(ISNUMBER(MATCH($B$2:$B$10000,$E$6:$E$22,0)),ROW($C$2:$C$10000)-ROW($C$2)+1),ROWS(M$20:M1656))))</f>
        <v/>
      </c>
      <c r="K1656" s="7" t="str">
        <f t="array" ref="K1656">IF(ROWS(K$20:K1656)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1656))))</f>
        <v/>
      </c>
      <c r="L1656" s="4" t="str">
        <f t="array" ref="L1656">IF(ROWS(L$20:L1656)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1656))))</f>
        <v/>
      </c>
      <c r="M1656" s="4" t="str">
        <f t="array" ref="M1656">IF(ROWS(M$20:M1656)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1656))))</f>
        <v/>
      </c>
    </row>
    <row r="1657" spans="1:13" x14ac:dyDescent="0.25">
      <c r="A1657" s="3">
        <v>41924</v>
      </c>
      <c r="B1657" s="2" t="s">
        <v>15</v>
      </c>
      <c r="C1657" s="2">
        <v>55</v>
      </c>
      <c r="G1657" s="7" t="str">
        <f t="array" ref="G1657">IF(ROWS(K$20:K1657)&gt;$F$6,"",INDEX(A$2:A$10000,SMALL(IF(ISNUMBER(MATCH($B$2:$B$10000,$E$6:$E$22,0)),ROW($C$2:$C$10000)-ROW($C$2)+1),ROWS(K$20:K1657))))</f>
        <v/>
      </c>
      <c r="H1657" s="4" t="str">
        <f t="array" ref="H1657">IF(ROWS(L$20:L1657)&gt;$F$6,"",INDEX(B$2:B$10000,SMALL(IF(ISNUMBER(MATCH($B$2:$B$10000,$E$6:$E$22,0)),ROW($C$2:$C$10000)-ROW($C$2)+1),ROWS(L$20:L1657))))</f>
        <v/>
      </c>
      <c r="I1657" s="4" t="str">
        <f t="array" ref="I1657">IF(ROWS(M$20:M1657)&gt;$F$6,"",INDEX(C$2:C$10000,SMALL(IF(ISNUMBER(MATCH($B$2:$B$10000,$E$6:$E$22,0)),ROW($C$2:$C$10000)-ROW($C$2)+1),ROWS(M$20:M1657))))</f>
        <v/>
      </c>
      <c r="K1657" s="7" t="str">
        <f t="array" ref="K1657">IF(ROWS(K$20:K1657)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1657))))</f>
        <v/>
      </c>
      <c r="L1657" s="4" t="str">
        <f t="array" ref="L1657">IF(ROWS(L$20:L1657)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1657))))</f>
        <v/>
      </c>
      <c r="M1657" s="4" t="str">
        <f t="array" ref="M1657">IF(ROWS(M$20:M1657)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1657))))</f>
        <v/>
      </c>
    </row>
    <row r="1658" spans="1:13" x14ac:dyDescent="0.25">
      <c r="A1658" s="3">
        <v>41654</v>
      </c>
      <c r="B1658" s="2" t="s">
        <v>33</v>
      </c>
      <c r="C1658" s="2">
        <v>36</v>
      </c>
      <c r="G1658" s="7" t="str">
        <f t="array" ref="G1658">IF(ROWS(K$20:K1658)&gt;$F$6,"",INDEX(A$2:A$10000,SMALL(IF(ISNUMBER(MATCH($B$2:$B$10000,$E$6:$E$22,0)),ROW($C$2:$C$10000)-ROW($C$2)+1),ROWS(K$20:K1658))))</f>
        <v/>
      </c>
      <c r="H1658" s="4" t="str">
        <f t="array" ref="H1658">IF(ROWS(L$20:L1658)&gt;$F$6,"",INDEX(B$2:B$10000,SMALL(IF(ISNUMBER(MATCH($B$2:$B$10000,$E$6:$E$22,0)),ROW($C$2:$C$10000)-ROW($C$2)+1),ROWS(L$20:L1658))))</f>
        <v/>
      </c>
      <c r="I1658" s="4" t="str">
        <f t="array" ref="I1658">IF(ROWS(M$20:M1658)&gt;$F$6,"",INDEX(C$2:C$10000,SMALL(IF(ISNUMBER(MATCH($B$2:$B$10000,$E$6:$E$22,0)),ROW($C$2:$C$10000)-ROW($C$2)+1),ROWS(M$20:M1658))))</f>
        <v/>
      </c>
      <c r="K1658" s="7" t="str">
        <f t="array" ref="K1658">IF(ROWS(K$20:K1658)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1658))))</f>
        <v/>
      </c>
      <c r="L1658" s="4" t="str">
        <f t="array" ref="L1658">IF(ROWS(L$20:L1658)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1658))))</f>
        <v/>
      </c>
      <c r="M1658" s="4" t="str">
        <f t="array" ref="M1658">IF(ROWS(M$20:M1658)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1658))))</f>
        <v/>
      </c>
    </row>
    <row r="1659" spans="1:13" x14ac:dyDescent="0.25">
      <c r="A1659" s="3">
        <v>41458</v>
      </c>
      <c r="B1659" s="2" t="s">
        <v>35</v>
      </c>
      <c r="C1659" s="2">
        <v>24</v>
      </c>
      <c r="G1659" s="7" t="str">
        <f t="array" ref="G1659">IF(ROWS(K$20:K1659)&gt;$F$6,"",INDEX(A$2:A$10000,SMALL(IF(ISNUMBER(MATCH($B$2:$B$10000,$E$6:$E$22,0)),ROW($C$2:$C$10000)-ROW($C$2)+1),ROWS(K$20:K1659))))</f>
        <v/>
      </c>
      <c r="H1659" s="4" t="str">
        <f t="array" ref="H1659">IF(ROWS(L$20:L1659)&gt;$F$6,"",INDEX(B$2:B$10000,SMALL(IF(ISNUMBER(MATCH($B$2:$B$10000,$E$6:$E$22,0)),ROW($C$2:$C$10000)-ROW($C$2)+1),ROWS(L$20:L1659))))</f>
        <v/>
      </c>
      <c r="I1659" s="4" t="str">
        <f t="array" ref="I1659">IF(ROWS(M$20:M1659)&gt;$F$6,"",INDEX(C$2:C$10000,SMALL(IF(ISNUMBER(MATCH($B$2:$B$10000,$E$6:$E$22,0)),ROW($C$2:$C$10000)-ROW($C$2)+1),ROWS(M$20:M1659))))</f>
        <v/>
      </c>
      <c r="K1659" s="7" t="str">
        <f t="array" ref="K1659">IF(ROWS(K$20:K1659)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1659))))</f>
        <v/>
      </c>
      <c r="L1659" s="4" t="str">
        <f t="array" ref="L1659">IF(ROWS(L$20:L1659)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1659))))</f>
        <v/>
      </c>
      <c r="M1659" s="4" t="str">
        <f t="array" ref="M1659">IF(ROWS(M$20:M1659)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1659))))</f>
        <v/>
      </c>
    </row>
    <row r="1660" spans="1:13" x14ac:dyDescent="0.25">
      <c r="A1660" s="3">
        <v>41695</v>
      </c>
      <c r="B1660" s="2" t="s">
        <v>17</v>
      </c>
      <c r="C1660" s="2">
        <v>21</v>
      </c>
      <c r="G1660" s="7" t="str">
        <f t="array" ref="G1660">IF(ROWS(K$20:K1660)&gt;$F$6,"",INDEX(A$2:A$10000,SMALL(IF(ISNUMBER(MATCH($B$2:$B$10000,$E$6:$E$22,0)),ROW($C$2:$C$10000)-ROW($C$2)+1),ROWS(K$20:K1660))))</f>
        <v/>
      </c>
      <c r="H1660" s="4" t="str">
        <f t="array" ref="H1660">IF(ROWS(L$20:L1660)&gt;$F$6,"",INDEX(B$2:B$10000,SMALL(IF(ISNUMBER(MATCH($B$2:$B$10000,$E$6:$E$22,0)),ROW($C$2:$C$10000)-ROW($C$2)+1),ROWS(L$20:L1660))))</f>
        <v/>
      </c>
      <c r="I1660" s="4" t="str">
        <f t="array" ref="I1660">IF(ROWS(M$20:M1660)&gt;$F$6,"",INDEX(C$2:C$10000,SMALL(IF(ISNUMBER(MATCH($B$2:$B$10000,$E$6:$E$22,0)),ROW($C$2:$C$10000)-ROW($C$2)+1),ROWS(M$20:M1660))))</f>
        <v/>
      </c>
      <c r="K1660" s="7" t="str">
        <f t="array" ref="K1660">IF(ROWS(K$20:K1660)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1660))))</f>
        <v/>
      </c>
      <c r="L1660" s="4" t="str">
        <f t="array" ref="L1660">IF(ROWS(L$20:L1660)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1660))))</f>
        <v/>
      </c>
      <c r="M1660" s="4" t="str">
        <f t="array" ref="M1660">IF(ROWS(M$20:M1660)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1660))))</f>
        <v/>
      </c>
    </row>
    <row r="1661" spans="1:13" x14ac:dyDescent="0.25">
      <c r="A1661" s="3">
        <v>41318</v>
      </c>
      <c r="B1661" s="2" t="s">
        <v>7</v>
      </c>
      <c r="C1661" s="2">
        <v>14</v>
      </c>
      <c r="G1661" s="7" t="str">
        <f t="array" ref="G1661">IF(ROWS(K$20:K1661)&gt;$F$6,"",INDEX(A$2:A$10000,SMALL(IF(ISNUMBER(MATCH($B$2:$B$10000,$E$6:$E$22,0)),ROW($C$2:$C$10000)-ROW($C$2)+1),ROWS(K$20:K1661))))</f>
        <v/>
      </c>
      <c r="H1661" s="4" t="str">
        <f t="array" ref="H1661">IF(ROWS(L$20:L1661)&gt;$F$6,"",INDEX(B$2:B$10000,SMALL(IF(ISNUMBER(MATCH($B$2:$B$10000,$E$6:$E$22,0)),ROW($C$2:$C$10000)-ROW($C$2)+1),ROWS(L$20:L1661))))</f>
        <v/>
      </c>
      <c r="I1661" s="4" t="str">
        <f t="array" ref="I1661">IF(ROWS(M$20:M1661)&gt;$F$6,"",INDEX(C$2:C$10000,SMALL(IF(ISNUMBER(MATCH($B$2:$B$10000,$E$6:$E$22,0)),ROW($C$2:$C$10000)-ROW($C$2)+1),ROWS(M$20:M1661))))</f>
        <v/>
      </c>
      <c r="K1661" s="7" t="str">
        <f t="array" ref="K1661">IF(ROWS(K$20:K1661)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1661))))</f>
        <v/>
      </c>
      <c r="L1661" s="4" t="str">
        <f t="array" ref="L1661">IF(ROWS(L$20:L1661)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1661))))</f>
        <v/>
      </c>
      <c r="M1661" s="4" t="str">
        <f t="array" ref="M1661">IF(ROWS(M$20:M1661)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1661))))</f>
        <v/>
      </c>
    </row>
    <row r="1662" spans="1:13" x14ac:dyDescent="0.25">
      <c r="A1662" s="3">
        <v>41450</v>
      </c>
      <c r="B1662" s="2" t="s">
        <v>50</v>
      </c>
      <c r="C1662" s="2">
        <v>23</v>
      </c>
      <c r="G1662" s="7" t="str">
        <f t="array" ref="G1662">IF(ROWS(K$20:K1662)&gt;$F$6,"",INDEX(A$2:A$10000,SMALL(IF(ISNUMBER(MATCH($B$2:$B$10000,$E$6:$E$22,0)),ROW($C$2:$C$10000)-ROW($C$2)+1),ROWS(K$20:K1662))))</f>
        <v/>
      </c>
      <c r="H1662" s="4" t="str">
        <f t="array" ref="H1662">IF(ROWS(L$20:L1662)&gt;$F$6,"",INDEX(B$2:B$10000,SMALL(IF(ISNUMBER(MATCH($B$2:$B$10000,$E$6:$E$22,0)),ROW($C$2:$C$10000)-ROW($C$2)+1),ROWS(L$20:L1662))))</f>
        <v/>
      </c>
      <c r="I1662" s="4" t="str">
        <f t="array" ref="I1662">IF(ROWS(M$20:M1662)&gt;$F$6,"",INDEX(C$2:C$10000,SMALL(IF(ISNUMBER(MATCH($B$2:$B$10000,$E$6:$E$22,0)),ROW($C$2:$C$10000)-ROW($C$2)+1),ROWS(M$20:M1662))))</f>
        <v/>
      </c>
      <c r="K1662" s="7" t="str">
        <f t="array" ref="K1662">IF(ROWS(K$20:K1662)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1662))))</f>
        <v/>
      </c>
      <c r="L1662" s="4" t="str">
        <f t="array" ref="L1662">IF(ROWS(L$20:L1662)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1662))))</f>
        <v/>
      </c>
      <c r="M1662" s="4" t="str">
        <f t="array" ref="M1662">IF(ROWS(M$20:M1662)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1662))))</f>
        <v/>
      </c>
    </row>
    <row r="1663" spans="1:13" x14ac:dyDescent="0.25">
      <c r="A1663" s="3">
        <v>41688</v>
      </c>
      <c r="B1663" s="2" t="s">
        <v>4</v>
      </c>
      <c r="C1663" s="2">
        <v>8</v>
      </c>
      <c r="G1663" s="7" t="str">
        <f t="array" ref="G1663">IF(ROWS(K$20:K1663)&gt;$F$6,"",INDEX(A$2:A$10000,SMALL(IF(ISNUMBER(MATCH($B$2:$B$10000,$E$6:$E$22,0)),ROW($C$2:$C$10000)-ROW($C$2)+1),ROWS(K$20:K1663))))</f>
        <v/>
      </c>
      <c r="H1663" s="4" t="str">
        <f t="array" ref="H1663">IF(ROWS(L$20:L1663)&gt;$F$6,"",INDEX(B$2:B$10000,SMALL(IF(ISNUMBER(MATCH($B$2:$B$10000,$E$6:$E$22,0)),ROW($C$2:$C$10000)-ROW($C$2)+1),ROWS(L$20:L1663))))</f>
        <v/>
      </c>
      <c r="I1663" s="4" t="str">
        <f t="array" ref="I1663">IF(ROWS(M$20:M1663)&gt;$F$6,"",INDEX(C$2:C$10000,SMALL(IF(ISNUMBER(MATCH($B$2:$B$10000,$E$6:$E$22,0)),ROW($C$2:$C$10000)-ROW($C$2)+1),ROWS(M$20:M1663))))</f>
        <v/>
      </c>
      <c r="K1663" s="7" t="str">
        <f t="array" ref="K1663">IF(ROWS(K$20:K1663)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1663))))</f>
        <v/>
      </c>
      <c r="L1663" s="4" t="str">
        <f t="array" ref="L1663">IF(ROWS(L$20:L1663)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1663))))</f>
        <v/>
      </c>
      <c r="M1663" s="4" t="str">
        <f t="array" ref="M1663">IF(ROWS(M$20:M1663)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1663))))</f>
        <v/>
      </c>
    </row>
    <row r="1664" spans="1:13" x14ac:dyDescent="0.25">
      <c r="A1664" s="3">
        <v>41517</v>
      </c>
      <c r="B1664" s="2" t="s">
        <v>17</v>
      </c>
      <c r="C1664" s="2">
        <v>55</v>
      </c>
      <c r="G1664" s="7" t="str">
        <f t="array" ref="G1664">IF(ROWS(K$20:K1664)&gt;$F$6,"",INDEX(A$2:A$10000,SMALL(IF(ISNUMBER(MATCH($B$2:$B$10000,$E$6:$E$22,0)),ROW($C$2:$C$10000)-ROW($C$2)+1),ROWS(K$20:K1664))))</f>
        <v/>
      </c>
      <c r="H1664" s="4" t="str">
        <f t="array" ref="H1664">IF(ROWS(L$20:L1664)&gt;$F$6,"",INDEX(B$2:B$10000,SMALL(IF(ISNUMBER(MATCH($B$2:$B$10000,$E$6:$E$22,0)),ROW($C$2:$C$10000)-ROW($C$2)+1),ROWS(L$20:L1664))))</f>
        <v/>
      </c>
      <c r="I1664" s="4" t="str">
        <f t="array" ref="I1664">IF(ROWS(M$20:M1664)&gt;$F$6,"",INDEX(C$2:C$10000,SMALL(IF(ISNUMBER(MATCH($B$2:$B$10000,$E$6:$E$22,0)),ROW($C$2:$C$10000)-ROW($C$2)+1),ROWS(M$20:M1664))))</f>
        <v/>
      </c>
      <c r="K1664" s="7" t="str">
        <f t="array" ref="K1664">IF(ROWS(K$20:K1664)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1664))))</f>
        <v/>
      </c>
      <c r="L1664" s="4" t="str">
        <f t="array" ref="L1664">IF(ROWS(L$20:L1664)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1664))))</f>
        <v/>
      </c>
      <c r="M1664" s="4" t="str">
        <f t="array" ref="M1664">IF(ROWS(M$20:M1664)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1664))))</f>
        <v/>
      </c>
    </row>
    <row r="1665" spans="1:13" x14ac:dyDescent="0.25">
      <c r="A1665" s="3">
        <v>41846</v>
      </c>
      <c r="B1665" s="2" t="s">
        <v>16</v>
      </c>
      <c r="C1665" s="2">
        <v>35</v>
      </c>
      <c r="G1665" s="7" t="str">
        <f t="array" ref="G1665">IF(ROWS(K$20:K1665)&gt;$F$6,"",INDEX(A$2:A$10000,SMALL(IF(ISNUMBER(MATCH($B$2:$B$10000,$E$6:$E$22,0)),ROW($C$2:$C$10000)-ROW($C$2)+1),ROWS(K$20:K1665))))</f>
        <v/>
      </c>
      <c r="H1665" s="4" t="str">
        <f t="array" ref="H1665">IF(ROWS(L$20:L1665)&gt;$F$6,"",INDEX(B$2:B$10000,SMALL(IF(ISNUMBER(MATCH($B$2:$B$10000,$E$6:$E$22,0)),ROW($C$2:$C$10000)-ROW($C$2)+1),ROWS(L$20:L1665))))</f>
        <v/>
      </c>
      <c r="I1665" s="4" t="str">
        <f t="array" ref="I1665">IF(ROWS(M$20:M1665)&gt;$F$6,"",INDEX(C$2:C$10000,SMALL(IF(ISNUMBER(MATCH($B$2:$B$10000,$E$6:$E$22,0)),ROW($C$2:$C$10000)-ROW($C$2)+1),ROWS(M$20:M1665))))</f>
        <v/>
      </c>
      <c r="K1665" s="7" t="str">
        <f t="array" ref="K1665">IF(ROWS(K$20:K1665)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1665))))</f>
        <v/>
      </c>
      <c r="L1665" s="4" t="str">
        <f t="array" ref="L1665">IF(ROWS(L$20:L1665)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1665))))</f>
        <v/>
      </c>
      <c r="M1665" s="4" t="str">
        <f t="array" ref="M1665">IF(ROWS(M$20:M1665)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1665))))</f>
        <v/>
      </c>
    </row>
    <row r="1666" spans="1:13" x14ac:dyDescent="0.25">
      <c r="A1666" s="3">
        <v>41754</v>
      </c>
      <c r="B1666" s="2" t="s">
        <v>13</v>
      </c>
      <c r="C1666" s="2">
        <v>12</v>
      </c>
      <c r="G1666" s="7" t="str">
        <f t="array" ref="G1666">IF(ROWS(K$20:K1666)&gt;$F$6,"",INDEX(A$2:A$10000,SMALL(IF(ISNUMBER(MATCH($B$2:$B$10000,$E$6:$E$22,0)),ROW($C$2:$C$10000)-ROW($C$2)+1),ROWS(K$20:K1666))))</f>
        <v/>
      </c>
      <c r="H1666" s="4" t="str">
        <f t="array" ref="H1666">IF(ROWS(L$20:L1666)&gt;$F$6,"",INDEX(B$2:B$10000,SMALL(IF(ISNUMBER(MATCH($B$2:$B$10000,$E$6:$E$22,0)),ROW($C$2:$C$10000)-ROW($C$2)+1),ROWS(L$20:L1666))))</f>
        <v/>
      </c>
      <c r="I1666" s="4" t="str">
        <f t="array" ref="I1666">IF(ROWS(M$20:M1666)&gt;$F$6,"",INDEX(C$2:C$10000,SMALL(IF(ISNUMBER(MATCH($B$2:$B$10000,$E$6:$E$22,0)),ROW($C$2:$C$10000)-ROW($C$2)+1),ROWS(M$20:M1666))))</f>
        <v/>
      </c>
      <c r="K1666" s="7" t="str">
        <f t="array" ref="K1666">IF(ROWS(K$20:K1666)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1666))))</f>
        <v/>
      </c>
      <c r="L1666" s="4" t="str">
        <f t="array" ref="L1666">IF(ROWS(L$20:L1666)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1666))))</f>
        <v/>
      </c>
      <c r="M1666" s="4" t="str">
        <f t="array" ref="M1666">IF(ROWS(M$20:M1666)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1666))))</f>
        <v/>
      </c>
    </row>
    <row r="1667" spans="1:13" x14ac:dyDescent="0.25">
      <c r="A1667" s="3">
        <v>41357</v>
      </c>
      <c r="B1667" s="2" t="s">
        <v>27</v>
      </c>
      <c r="C1667" s="2">
        <v>25</v>
      </c>
      <c r="G1667" s="7" t="str">
        <f t="array" ref="G1667">IF(ROWS(K$20:K1667)&gt;$F$6,"",INDEX(A$2:A$10000,SMALL(IF(ISNUMBER(MATCH($B$2:$B$10000,$E$6:$E$22,0)),ROW($C$2:$C$10000)-ROW($C$2)+1),ROWS(K$20:K1667))))</f>
        <v/>
      </c>
      <c r="H1667" s="4" t="str">
        <f t="array" ref="H1667">IF(ROWS(L$20:L1667)&gt;$F$6,"",INDEX(B$2:B$10000,SMALL(IF(ISNUMBER(MATCH($B$2:$B$10000,$E$6:$E$22,0)),ROW($C$2:$C$10000)-ROW($C$2)+1),ROWS(L$20:L1667))))</f>
        <v/>
      </c>
      <c r="I1667" s="4" t="str">
        <f t="array" ref="I1667">IF(ROWS(M$20:M1667)&gt;$F$6,"",INDEX(C$2:C$10000,SMALL(IF(ISNUMBER(MATCH($B$2:$B$10000,$E$6:$E$22,0)),ROW($C$2:$C$10000)-ROW($C$2)+1),ROWS(M$20:M1667))))</f>
        <v/>
      </c>
      <c r="K1667" s="7" t="str">
        <f t="array" ref="K1667">IF(ROWS(K$20:K1667)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1667))))</f>
        <v/>
      </c>
      <c r="L1667" s="4" t="str">
        <f t="array" ref="L1667">IF(ROWS(L$20:L1667)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1667))))</f>
        <v/>
      </c>
      <c r="M1667" s="4" t="str">
        <f t="array" ref="M1667">IF(ROWS(M$20:M1667)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1667))))</f>
        <v/>
      </c>
    </row>
    <row r="1668" spans="1:13" x14ac:dyDescent="0.25">
      <c r="A1668" s="3">
        <v>41492</v>
      </c>
      <c r="B1668" s="2" t="s">
        <v>41</v>
      </c>
      <c r="C1668" s="2">
        <v>54</v>
      </c>
      <c r="G1668" s="7" t="str">
        <f t="array" ref="G1668">IF(ROWS(K$20:K1668)&gt;$F$6,"",INDEX(A$2:A$10000,SMALL(IF(ISNUMBER(MATCH($B$2:$B$10000,$E$6:$E$22,0)),ROW($C$2:$C$10000)-ROW($C$2)+1),ROWS(K$20:K1668))))</f>
        <v/>
      </c>
      <c r="H1668" s="4" t="str">
        <f t="array" ref="H1668">IF(ROWS(L$20:L1668)&gt;$F$6,"",INDEX(B$2:B$10000,SMALL(IF(ISNUMBER(MATCH($B$2:$B$10000,$E$6:$E$22,0)),ROW($C$2:$C$10000)-ROW($C$2)+1),ROWS(L$20:L1668))))</f>
        <v/>
      </c>
      <c r="I1668" s="4" t="str">
        <f t="array" ref="I1668">IF(ROWS(M$20:M1668)&gt;$F$6,"",INDEX(C$2:C$10000,SMALL(IF(ISNUMBER(MATCH($B$2:$B$10000,$E$6:$E$22,0)),ROW($C$2:$C$10000)-ROW($C$2)+1),ROWS(M$20:M1668))))</f>
        <v/>
      </c>
      <c r="K1668" s="7" t="str">
        <f t="array" ref="K1668">IF(ROWS(K$20:K1668)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1668))))</f>
        <v/>
      </c>
      <c r="L1668" s="4" t="str">
        <f t="array" ref="L1668">IF(ROWS(L$20:L1668)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1668))))</f>
        <v/>
      </c>
      <c r="M1668" s="4" t="str">
        <f t="array" ref="M1668">IF(ROWS(M$20:M1668)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1668))))</f>
        <v/>
      </c>
    </row>
    <row r="1669" spans="1:13" x14ac:dyDescent="0.25">
      <c r="A1669" s="3">
        <v>41291</v>
      </c>
      <c r="B1669" s="2" t="s">
        <v>25</v>
      </c>
      <c r="C1669" s="2">
        <v>39</v>
      </c>
      <c r="G1669" s="7" t="str">
        <f t="array" ref="G1669">IF(ROWS(K$20:K1669)&gt;$F$6,"",INDEX(A$2:A$10000,SMALL(IF(ISNUMBER(MATCH($B$2:$B$10000,$E$6:$E$22,0)),ROW($C$2:$C$10000)-ROW($C$2)+1),ROWS(K$20:K1669))))</f>
        <v/>
      </c>
      <c r="H1669" s="4" t="str">
        <f t="array" ref="H1669">IF(ROWS(L$20:L1669)&gt;$F$6,"",INDEX(B$2:B$10000,SMALL(IF(ISNUMBER(MATCH($B$2:$B$10000,$E$6:$E$22,0)),ROW($C$2:$C$10000)-ROW($C$2)+1),ROWS(L$20:L1669))))</f>
        <v/>
      </c>
      <c r="I1669" s="4" t="str">
        <f t="array" ref="I1669">IF(ROWS(M$20:M1669)&gt;$F$6,"",INDEX(C$2:C$10000,SMALL(IF(ISNUMBER(MATCH($B$2:$B$10000,$E$6:$E$22,0)),ROW($C$2:$C$10000)-ROW($C$2)+1),ROWS(M$20:M1669))))</f>
        <v/>
      </c>
      <c r="K1669" s="7" t="str">
        <f t="array" ref="K1669">IF(ROWS(K$20:K1669)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1669))))</f>
        <v/>
      </c>
      <c r="L1669" s="4" t="str">
        <f t="array" ref="L1669">IF(ROWS(L$20:L1669)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1669))))</f>
        <v/>
      </c>
      <c r="M1669" s="4" t="str">
        <f t="array" ref="M1669">IF(ROWS(M$20:M1669)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1669))))</f>
        <v/>
      </c>
    </row>
    <row r="1670" spans="1:13" x14ac:dyDescent="0.25">
      <c r="A1670" s="3">
        <v>41745</v>
      </c>
      <c r="B1670" s="2" t="s">
        <v>5</v>
      </c>
      <c r="C1670" s="2">
        <v>25</v>
      </c>
      <c r="G1670" s="7" t="str">
        <f t="array" ref="G1670">IF(ROWS(K$20:K1670)&gt;$F$6,"",INDEX(A$2:A$10000,SMALL(IF(ISNUMBER(MATCH($B$2:$B$10000,$E$6:$E$22,0)),ROW($C$2:$C$10000)-ROW($C$2)+1),ROWS(K$20:K1670))))</f>
        <v/>
      </c>
      <c r="H1670" s="4" t="str">
        <f t="array" ref="H1670">IF(ROWS(L$20:L1670)&gt;$F$6,"",INDEX(B$2:B$10000,SMALL(IF(ISNUMBER(MATCH($B$2:$B$10000,$E$6:$E$22,0)),ROW($C$2:$C$10000)-ROW($C$2)+1),ROWS(L$20:L1670))))</f>
        <v/>
      </c>
      <c r="I1670" s="4" t="str">
        <f t="array" ref="I1670">IF(ROWS(M$20:M1670)&gt;$F$6,"",INDEX(C$2:C$10000,SMALL(IF(ISNUMBER(MATCH($B$2:$B$10000,$E$6:$E$22,0)),ROW($C$2:$C$10000)-ROW($C$2)+1),ROWS(M$20:M1670))))</f>
        <v/>
      </c>
      <c r="K1670" s="7" t="str">
        <f t="array" ref="K1670">IF(ROWS(K$20:K1670)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1670))))</f>
        <v/>
      </c>
      <c r="L1670" s="4" t="str">
        <f t="array" ref="L1670">IF(ROWS(L$20:L1670)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1670))))</f>
        <v/>
      </c>
      <c r="M1670" s="4" t="str">
        <f t="array" ref="M1670">IF(ROWS(M$20:M1670)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1670))))</f>
        <v/>
      </c>
    </row>
    <row r="1671" spans="1:13" x14ac:dyDescent="0.25">
      <c r="A1671" s="3">
        <v>41768</v>
      </c>
      <c r="B1671" s="2" t="s">
        <v>24</v>
      </c>
      <c r="C1671" s="2">
        <v>5</v>
      </c>
      <c r="G1671" s="7" t="str">
        <f t="array" ref="G1671">IF(ROWS(K$20:K1671)&gt;$F$6,"",INDEX(A$2:A$10000,SMALL(IF(ISNUMBER(MATCH($B$2:$B$10000,$E$6:$E$22,0)),ROW($C$2:$C$10000)-ROW($C$2)+1),ROWS(K$20:K1671))))</f>
        <v/>
      </c>
      <c r="H1671" s="4" t="str">
        <f t="array" ref="H1671">IF(ROWS(L$20:L1671)&gt;$F$6,"",INDEX(B$2:B$10000,SMALL(IF(ISNUMBER(MATCH($B$2:$B$10000,$E$6:$E$22,0)),ROW($C$2:$C$10000)-ROW($C$2)+1),ROWS(L$20:L1671))))</f>
        <v/>
      </c>
      <c r="I1671" s="4" t="str">
        <f t="array" ref="I1671">IF(ROWS(M$20:M1671)&gt;$F$6,"",INDEX(C$2:C$10000,SMALL(IF(ISNUMBER(MATCH($B$2:$B$10000,$E$6:$E$22,0)),ROW($C$2:$C$10000)-ROW($C$2)+1),ROWS(M$20:M1671))))</f>
        <v/>
      </c>
      <c r="K1671" s="7" t="str">
        <f t="array" ref="K1671">IF(ROWS(K$20:K1671)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1671))))</f>
        <v/>
      </c>
      <c r="L1671" s="4" t="str">
        <f t="array" ref="L1671">IF(ROWS(L$20:L1671)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1671))))</f>
        <v/>
      </c>
      <c r="M1671" s="4" t="str">
        <f t="array" ref="M1671">IF(ROWS(M$20:M1671)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1671))))</f>
        <v/>
      </c>
    </row>
    <row r="1672" spans="1:13" x14ac:dyDescent="0.25">
      <c r="A1672" s="3">
        <v>41488</v>
      </c>
      <c r="B1672" s="2" t="s">
        <v>8</v>
      </c>
      <c r="C1672" s="2">
        <v>11</v>
      </c>
      <c r="G1672" s="7" t="str">
        <f t="array" ref="G1672">IF(ROWS(K$20:K1672)&gt;$F$6,"",INDEX(A$2:A$10000,SMALL(IF(ISNUMBER(MATCH($B$2:$B$10000,$E$6:$E$22,0)),ROW($C$2:$C$10000)-ROW($C$2)+1),ROWS(K$20:K1672))))</f>
        <v/>
      </c>
      <c r="H1672" s="4" t="str">
        <f t="array" ref="H1672">IF(ROWS(L$20:L1672)&gt;$F$6,"",INDEX(B$2:B$10000,SMALL(IF(ISNUMBER(MATCH($B$2:$B$10000,$E$6:$E$22,0)),ROW($C$2:$C$10000)-ROW($C$2)+1),ROWS(L$20:L1672))))</f>
        <v/>
      </c>
      <c r="I1672" s="4" t="str">
        <f t="array" ref="I1672">IF(ROWS(M$20:M1672)&gt;$F$6,"",INDEX(C$2:C$10000,SMALL(IF(ISNUMBER(MATCH($B$2:$B$10000,$E$6:$E$22,0)),ROW($C$2:$C$10000)-ROW($C$2)+1),ROWS(M$20:M1672))))</f>
        <v/>
      </c>
      <c r="K1672" s="7" t="str">
        <f t="array" ref="K1672">IF(ROWS(K$20:K1672)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1672))))</f>
        <v/>
      </c>
      <c r="L1672" s="4" t="str">
        <f t="array" ref="L1672">IF(ROWS(L$20:L1672)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1672))))</f>
        <v/>
      </c>
      <c r="M1672" s="4" t="str">
        <f t="array" ref="M1672">IF(ROWS(M$20:M1672)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1672))))</f>
        <v/>
      </c>
    </row>
    <row r="1673" spans="1:13" x14ac:dyDescent="0.25">
      <c r="A1673" s="3">
        <v>41705</v>
      </c>
      <c r="B1673" s="2" t="s">
        <v>3</v>
      </c>
      <c r="C1673" s="2">
        <v>39</v>
      </c>
      <c r="G1673" s="7" t="str">
        <f t="array" ref="G1673">IF(ROWS(K$20:K1673)&gt;$F$6,"",INDEX(A$2:A$10000,SMALL(IF(ISNUMBER(MATCH($B$2:$B$10000,$E$6:$E$22,0)),ROW($C$2:$C$10000)-ROW($C$2)+1),ROWS(K$20:K1673))))</f>
        <v/>
      </c>
      <c r="H1673" s="4" t="str">
        <f t="array" ref="H1673">IF(ROWS(L$20:L1673)&gt;$F$6,"",INDEX(B$2:B$10000,SMALL(IF(ISNUMBER(MATCH($B$2:$B$10000,$E$6:$E$22,0)),ROW($C$2:$C$10000)-ROW($C$2)+1),ROWS(L$20:L1673))))</f>
        <v/>
      </c>
      <c r="I1673" s="4" t="str">
        <f t="array" ref="I1673">IF(ROWS(M$20:M1673)&gt;$F$6,"",INDEX(C$2:C$10000,SMALL(IF(ISNUMBER(MATCH($B$2:$B$10000,$E$6:$E$22,0)),ROW($C$2:$C$10000)-ROW($C$2)+1),ROWS(M$20:M1673))))</f>
        <v/>
      </c>
      <c r="K1673" s="7" t="str">
        <f t="array" ref="K1673">IF(ROWS(K$20:K1673)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1673))))</f>
        <v/>
      </c>
      <c r="L1673" s="4" t="str">
        <f t="array" ref="L1673">IF(ROWS(L$20:L1673)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1673))))</f>
        <v/>
      </c>
      <c r="M1673" s="4" t="str">
        <f t="array" ref="M1673">IF(ROWS(M$20:M1673)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1673))))</f>
        <v/>
      </c>
    </row>
    <row r="1674" spans="1:13" x14ac:dyDescent="0.25">
      <c r="A1674" s="3">
        <v>41453</v>
      </c>
      <c r="B1674" s="2" t="s">
        <v>35</v>
      </c>
      <c r="C1674" s="2">
        <v>0</v>
      </c>
      <c r="G1674" s="7" t="str">
        <f t="array" ref="G1674">IF(ROWS(K$20:K1674)&gt;$F$6,"",INDEX(A$2:A$10000,SMALL(IF(ISNUMBER(MATCH($B$2:$B$10000,$E$6:$E$22,0)),ROW($C$2:$C$10000)-ROW($C$2)+1),ROWS(K$20:K1674))))</f>
        <v/>
      </c>
      <c r="H1674" s="4" t="str">
        <f t="array" ref="H1674">IF(ROWS(L$20:L1674)&gt;$F$6,"",INDEX(B$2:B$10000,SMALL(IF(ISNUMBER(MATCH($B$2:$B$10000,$E$6:$E$22,0)),ROW($C$2:$C$10000)-ROW($C$2)+1),ROWS(L$20:L1674))))</f>
        <v/>
      </c>
      <c r="I1674" s="4" t="str">
        <f t="array" ref="I1674">IF(ROWS(M$20:M1674)&gt;$F$6,"",INDEX(C$2:C$10000,SMALL(IF(ISNUMBER(MATCH($B$2:$B$10000,$E$6:$E$22,0)),ROW($C$2:$C$10000)-ROW($C$2)+1),ROWS(M$20:M1674))))</f>
        <v/>
      </c>
      <c r="K1674" s="7" t="str">
        <f t="array" ref="K1674">IF(ROWS(K$20:K1674)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1674))))</f>
        <v/>
      </c>
      <c r="L1674" s="4" t="str">
        <f t="array" ref="L1674">IF(ROWS(L$20:L1674)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1674))))</f>
        <v/>
      </c>
      <c r="M1674" s="4" t="str">
        <f t="array" ref="M1674">IF(ROWS(M$20:M1674)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1674))))</f>
        <v/>
      </c>
    </row>
    <row r="1675" spans="1:13" x14ac:dyDescent="0.25">
      <c r="A1675" s="3">
        <v>41462</v>
      </c>
      <c r="B1675" s="2" t="s">
        <v>32</v>
      </c>
      <c r="C1675" s="2">
        <v>42</v>
      </c>
      <c r="G1675" s="7" t="str">
        <f t="array" ref="G1675">IF(ROWS(K$20:K1675)&gt;$F$6,"",INDEX(A$2:A$10000,SMALL(IF(ISNUMBER(MATCH($B$2:$B$10000,$E$6:$E$22,0)),ROW($C$2:$C$10000)-ROW($C$2)+1),ROWS(K$20:K1675))))</f>
        <v/>
      </c>
      <c r="H1675" s="4" t="str">
        <f t="array" ref="H1675">IF(ROWS(L$20:L1675)&gt;$F$6,"",INDEX(B$2:B$10000,SMALL(IF(ISNUMBER(MATCH($B$2:$B$10000,$E$6:$E$22,0)),ROW($C$2:$C$10000)-ROW($C$2)+1),ROWS(L$20:L1675))))</f>
        <v/>
      </c>
      <c r="I1675" s="4" t="str">
        <f t="array" ref="I1675">IF(ROWS(M$20:M1675)&gt;$F$6,"",INDEX(C$2:C$10000,SMALL(IF(ISNUMBER(MATCH($B$2:$B$10000,$E$6:$E$22,0)),ROW($C$2:$C$10000)-ROW($C$2)+1),ROWS(M$20:M1675))))</f>
        <v/>
      </c>
      <c r="K1675" s="7" t="str">
        <f t="array" ref="K1675">IF(ROWS(K$20:K1675)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1675))))</f>
        <v/>
      </c>
      <c r="L1675" s="4" t="str">
        <f t="array" ref="L1675">IF(ROWS(L$20:L1675)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1675))))</f>
        <v/>
      </c>
      <c r="M1675" s="4" t="str">
        <f t="array" ref="M1675">IF(ROWS(M$20:M1675)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1675))))</f>
        <v/>
      </c>
    </row>
    <row r="1676" spans="1:13" x14ac:dyDescent="0.25">
      <c r="A1676" s="3">
        <v>41804</v>
      </c>
      <c r="B1676" s="2" t="s">
        <v>12</v>
      </c>
      <c r="C1676" s="2">
        <v>44</v>
      </c>
      <c r="G1676" s="7" t="str">
        <f t="array" ref="G1676">IF(ROWS(K$20:K1676)&gt;$F$6,"",INDEX(A$2:A$10000,SMALL(IF(ISNUMBER(MATCH($B$2:$B$10000,$E$6:$E$22,0)),ROW($C$2:$C$10000)-ROW($C$2)+1),ROWS(K$20:K1676))))</f>
        <v/>
      </c>
      <c r="H1676" s="4" t="str">
        <f t="array" ref="H1676">IF(ROWS(L$20:L1676)&gt;$F$6,"",INDEX(B$2:B$10000,SMALL(IF(ISNUMBER(MATCH($B$2:$B$10000,$E$6:$E$22,0)),ROW($C$2:$C$10000)-ROW($C$2)+1),ROWS(L$20:L1676))))</f>
        <v/>
      </c>
      <c r="I1676" s="4" t="str">
        <f t="array" ref="I1676">IF(ROWS(M$20:M1676)&gt;$F$6,"",INDEX(C$2:C$10000,SMALL(IF(ISNUMBER(MATCH($B$2:$B$10000,$E$6:$E$22,0)),ROW($C$2:$C$10000)-ROW($C$2)+1),ROWS(M$20:M1676))))</f>
        <v/>
      </c>
      <c r="K1676" s="7" t="str">
        <f t="array" ref="K1676">IF(ROWS(K$20:K1676)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1676))))</f>
        <v/>
      </c>
      <c r="L1676" s="4" t="str">
        <f t="array" ref="L1676">IF(ROWS(L$20:L1676)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1676))))</f>
        <v/>
      </c>
      <c r="M1676" s="4" t="str">
        <f t="array" ref="M1676">IF(ROWS(M$20:M1676)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1676))))</f>
        <v/>
      </c>
    </row>
    <row r="1677" spans="1:13" x14ac:dyDescent="0.25">
      <c r="A1677" s="3">
        <v>41561</v>
      </c>
      <c r="B1677" s="2" t="s">
        <v>9</v>
      </c>
      <c r="C1677" s="2">
        <v>14</v>
      </c>
      <c r="G1677" s="7" t="str">
        <f t="array" ref="G1677">IF(ROWS(K$20:K1677)&gt;$F$6,"",INDEX(A$2:A$10000,SMALL(IF(ISNUMBER(MATCH($B$2:$B$10000,$E$6:$E$22,0)),ROW($C$2:$C$10000)-ROW($C$2)+1),ROWS(K$20:K1677))))</f>
        <v/>
      </c>
      <c r="H1677" s="4" t="str">
        <f t="array" ref="H1677">IF(ROWS(L$20:L1677)&gt;$F$6,"",INDEX(B$2:B$10000,SMALL(IF(ISNUMBER(MATCH($B$2:$B$10000,$E$6:$E$22,0)),ROW($C$2:$C$10000)-ROW($C$2)+1),ROWS(L$20:L1677))))</f>
        <v/>
      </c>
      <c r="I1677" s="4" t="str">
        <f t="array" ref="I1677">IF(ROWS(M$20:M1677)&gt;$F$6,"",INDEX(C$2:C$10000,SMALL(IF(ISNUMBER(MATCH($B$2:$B$10000,$E$6:$E$22,0)),ROW($C$2:$C$10000)-ROW($C$2)+1),ROWS(M$20:M1677))))</f>
        <v/>
      </c>
      <c r="K1677" s="7" t="str">
        <f t="array" ref="K1677">IF(ROWS(K$20:K1677)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1677))))</f>
        <v/>
      </c>
      <c r="L1677" s="4" t="str">
        <f t="array" ref="L1677">IF(ROWS(L$20:L1677)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1677))))</f>
        <v/>
      </c>
      <c r="M1677" s="4" t="str">
        <f t="array" ref="M1677">IF(ROWS(M$20:M1677)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1677))))</f>
        <v/>
      </c>
    </row>
    <row r="1678" spans="1:13" x14ac:dyDescent="0.25">
      <c r="A1678" s="3">
        <v>41684</v>
      </c>
      <c r="B1678" s="2" t="s">
        <v>26</v>
      </c>
      <c r="C1678" s="2">
        <v>20</v>
      </c>
      <c r="G1678" s="7" t="str">
        <f t="array" ref="G1678">IF(ROWS(K$20:K1678)&gt;$F$6,"",INDEX(A$2:A$10000,SMALL(IF(ISNUMBER(MATCH($B$2:$B$10000,$E$6:$E$22,0)),ROW($C$2:$C$10000)-ROW($C$2)+1),ROWS(K$20:K1678))))</f>
        <v/>
      </c>
      <c r="H1678" s="4" t="str">
        <f t="array" ref="H1678">IF(ROWS(L$20:L1678)&gt;$F$6,"",INDEX(B$2:B$10000,SMALL(IF(ISNUMBER(MATCH($B$2:$B$10000,$E$6:$E$22,0)),ROW($C$2:$C$10000)-ROW($C$2)+1),ROWS(L$20:L1678))))</f>
        <v/>
      </c>
      <c r="I1678" s="4" t="str">
        <f t="array" ref="I1678">IF(ROWS(M$20:M1678)&gt;$F$6,"",INDEX(C$2:C$10000,SMALL(IF(ISNUMBER(MATCH($B$2:$B$10000,$E$6:$E$22,0)),ROW($C$2:$C$10000)-ROW($C$2)+1),ROWS(M$20:M1678))))</f>
        <v/>
      </c>
      <c r="K1678" s="7" t="str">
        <f t="array" ref="K1678">IF(ROWS(K$20:K1678)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1678))))</f>
        <v/>
      </c>
      <c r="L1678" s="4" t="str">
        <f t="array" ref="L1678">IF(ROWS(L$20:L1678)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1678))))</f>
        <v/>
      </c>
      <c r="M1678" s="4" t="str">
        <f t="array" ref="M1678">IF(ROWS(M$20:M1678)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1678))))</f>
        <v/>
      </c>
    </row>
    <row r="1679" spans="1:13" x14ac:dyDescent="0.25">
      <c r="A1679" s="3">
        <v>41569</v>
      </c>
      <c r="B1679" s="2" t="s">
        <v>44</v>
      </c>
      <c r="C1679" s="2">
        <v>8</v>
      </c>
      <c r="G1679" s="7" t="str">
        <f t="array" ref="G1679">IF(ROWS(K$20:K1679)&gt;$F$6,"",INDEX(A$2:A$10000,SMALL(IF(ISNUMBER(MATCH($B$2:$B$10000,$E$6:$E$22,0)),ROW($C$2:$C$10000)-ROW($C$2)+1),ROWS(K$20:K1679))))</f>
        <v/>
      </c>
      <c r="H1679" s="4" t="str">
        <f t="array" ref="H1679">IF(ROWS(L$20:L1679)&gt;$F$6,"",INDEX(B$2:B$10000,SMALL(IF(ISNUMBER(MATCH($B$2:$B$10000,$E$6:$E$22,0)),ROW($C$2:$C$10000)-ROW($C$2)+1),ROWS(L$20:L1679))))</f>
        <v/>
      </c>
      <c r="I1679" s="4" t="str">
        <f t="array" ref="I1679">IF(ROWS(M$20:M1679)&gt;$F$6,"",INDEX(C$2:C$10000,SMALL(IF(ISNUMBER(MATCH($B$2:$B$10000,$E$6:$E$22,0)),ROW($C$2:$C$10000)-ROW($C$2)+1),ROWS(M$20:M1679))))</f>
        <v/>
      </c>
      <c r="K1679" s="7" t="str">
        <f t="array" ref="K1679">IF(ROWS(K$20:K1679)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1679))))</f>
        <v/>
      </c>
      <c r="L1679" s="4" t="str">
        <f t="array" ref="L1679">IF(ROWS(L$20:L1679)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1679))))</f>
        <v/>
      </c>
      <c r="M1679" s="4" t="str">
        <f t="array" ref="M1679">IF(ROWS(M$20:M1679)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1679))))</f>
        <v/>
      </c>
    </row>
    <row r="1680" spans="1:13" x14ac:dyDescent="0.25">
      <c r="A1680" s="3">
        <v>41380</v>
      </c>
      <c r="B1680" s="2" t="s">
        <v>27</v>
      </c>
      <c r="C1680" s="2">
        <v>6</v>
      </c>
      <c r="G1680" s="7" t="str">
        <f t="array" ref="G1680">IF(ROWS(K$20:K1680)&gt;$F$6,"",INDEX(A$2:A$10000,SMALL(IF(ISNUMBER(MATCH($B$2:$B$10000,$E$6:$E$22,0)),ROW($C$2:$C$10000)-ROW($C$2)+1),ROWS(K$20:K1680))))</f>
        <v/>
      </c>
      <c r="H1680" s="4" t="str">
        <f t="array" ref="H1680">IF(ROWS(L$20:L1680)&gt;$F$6,"",INDEX(B$2:B$10000,SMALL(IF(ISNUMBER(MATCH($B$2:$B$10000,$E$6:$E$22,0)),ROW($C$2:$C$10000)-ROW($C$2)+1),ROWS(L$20:L1680))))</f>
        <v/>
      </c>
      <c r="I1680" s="4" t="str">
        <f t="array" ref="I1680">IF(ROWS(M$20:M1680)&gt;$F$6,"",INDEX(C$2:C$10000,SMALL(IF(ISNUMBER(MATCH($B$2:$B$10000,$E$6:$E$22,0)),ROW($C$2:$C$10000)-ROW($C$2)+1),ROWS(M$20:M1680))))</f>
        <v/>
      </c>
      <c r="K1680" s="7" t="str">
        <f t="array" ref="K1680">IF(ROWS(K$20:K1680)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1680))))</f>
        <v/>
      </c>
      <c r="L1680" s="4" t="str">
        <f t="array" ref="L1680">IF(ROWS(L$20:L1680)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1680))))</f>
        <v/>
      </c>
      <c r="M1680" s="4" t="str">
        <f t="array" ref="M1680">IF(ROWS(M$20:M1680)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1680))))</f>
        <v/>
      </c>
    </row>
    <row r="1681" spans="1:13" x14ac:dyDescent="0.25">
      <c r="A1681" s="3">
        <v>41401</v>
      </c>
      <c r="B1681" s="2" t="s">
        <v>19</v>
      </c>
      <c r="C1681" s="2">
        <v>16</v>
      </c>
      <c r="G1681" s="7" t="str">
        <f t="array" ref="G1681">IF(ROWS(K$20:K1681)&gt;$F$6,"",INDEX(A$2:A$10000,SMALL(IF(ISNUMBER(MATCH($B$2:$B$10000,$E$6:$E$22,0)),ROW($C$2:$C$10000)-ROW($C$2)+1),ROWS(K$20:K1681))))</f>
        <v/>
      </c>
      <c r="H1681" s="4" t="str">
        <f t="array" ref="H1681">IF(ROWS(L$20:L1681)&gt;$F$6,"",INDEX(B$2:B$10000,SMALL(IF(ISNUMBER(MATCH($B$2:$B$10000,$E$6:$E$22,0)),ROW($C$2:$C$10000)-ROW($C$2)+1),ROWS(L$20:L1681))))</f>
        <v/>
      </c>
      <c r="I1681" s="4" t="str">
        <f t="array" ref="I1681">IF(ROWS(M$20:M1681)&gt;$F$6,"",INDEX(C$2:C$10000,SMALL(IF(ISNUMBER(MATCH($B$2:$B$10000,$E$6:$E$22,0)),ROW($C$2:$C$10000)-ROW($C$2)+1),ROWS(M$20:M1681))))</f>
        <v/>
      </c>
      <c r="K1681" s="7" t="str">
        <f t="array" ref="K1681">IF(ROWS(K$20:K1681)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1681))))</f>
        <v/>
      </c>
      <c r="L1681" s="4" t="str">
        <f t="array" ref="L1681">IF(ROWS(L$20:L1681)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1681))))</f>
        <v/>
      </c>
      <c r="M1681" s="4" t="str">
        <f t="array" ref="M1681">IF(ROWS(M$20:M1681)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1681))))</f>
        <v/>
      </c>
    </row>
    <row r="1682" spans="1:13" x14ac:dyDescent="0.25">
      <c r="A1682" s="3">
        <v>41577</v>
      </c>
      <c r="B1682" s="2" t="s">
        <v>40</v>
      </c>
      <c r="C1682" s="2">
        <v>38</v>
      </c>
      <c r="G1682" s="7" t="str">
        <f t="array" ref="G1682">IF(ROWS(K$20:K1682)&gt;$F$6,"",INDEX(A$2:A$10000,SMALL(IF(ISNUMBER(MATCH($B$2:$B$10000,$E$6:$E$22,0)),ROW($C$2:$C$10000)-ROW($C$2)+1),ROWS(K$20:K1682))))</f>
        <v/>
      </c>
      <c r="H1682" s="4" t="str">
        <f t="array" ref="H1682">IF(ROWS(L$20:L1682)&gt;$F$6,"",INDEX(B$2:B$10000,SMALL(IF(ISNUMBER(MATCH($B$2:$B$10000,$E$6:$E$22,0)),ROW($C$2:$C$10000)-ROW($C$2)+1),ROWS(L$20:L1682))))</f>
        <v/>
      </c>
      <c r="I1682" s="4" t="str">
        <f t="array" ref="I1682">IF(ROWS(M$20:M1682)&gt;$F$6,"",INDEX(C$2:C$10000,SMALL(IF(ISNUMBER(MATCH($B$2:$B$10000,$E$6:$E$22,0)),ROW($C$2:$C$10000)-ROW($C$2)+1),ROWS(M$20:M1682))))</f>
        <v/>
      </c>
      <c r="K1682" s="7" t="str">
        <f t="array" ref="K1682">IF(ROWS(K$20:K1682)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1682))))</f>
        <v/>
      </c>
      <c r="L1682" s="4" t="str">
        <f t="array" ref="L1682">IF(ROWS(L$20:L1682)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1682))))</f>
        <v/>
      </c>
      <c r="M1682" s="4" t="str">
        <f t="array" ref="M1682">IF(ROWS(M$20:M1682)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1682))))</f>
        <v/>
      </c>
    </row>
    <row r="1683" spans="1:13" x14ac:dyDescent="0.25">
      <c r="A1683" s="3">
        <v>41579</v>
      </c>
      <c r="B1683" s="2" t="s">
        <v>31</v>
      </c>
      <c r="C1683" s="2">
        <v>17</v>
      </c>
      <c r="G1683" s="7" t="str">
        <f t="array" ref="G1683">IF(ROWS(K$20:K1683)&gt;$F$6,"",INDEX(A$2:A$10000,SMALL(IF(ISNUMBER(MATCH($B$2:$B$10000,$E$6:$E$22,0)),ROW($C$2:$C$10000)-ROW($C$2)+1),ROWS(K$20:K1683))))</f>
        <v/>
      </c>
      <c r="H1683" s="4" t="str">
        <f t="array" ref="H1683">IF(ROWS(L$20:L1683)&gt;$F$6,"",INDEX(B$2:B$10000,SMALL(IF(ISNUMBER(MATCH($B$2:$B$10000,$E$6:$E$22,0)),ROW($C$2:$C$10000)-ROW($C$2)+1),ROWS(L$20:L1683))))</f>
        <v/>
      </c>
      <c r="I1683" s="4" t="str">
        <f t="array" ref="I1683">IF(ROWS(M$20:M1683)&gt;$F$6,"",INDEX(C$2:C$10000,SMALL(IF(ISNUMBER(MATCH($B$2:$B$10000,$E$6:$E$22,0)),ROW($C$2:$C$10000)-ROW($C$2)+1),ROWS(M$20:M1683))))</f>
        <v/>
      </c>
      <c r="K1683" s="7" t="str">
        <f t="array" ref="K1683">IF(ROWS(K$20:K1683)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1683))))</f>
        <v/>
      </c>
      <c r="L1683" s="4" t="str">
        <f t="array" ref="L1683">IF(ROWS(L$20:L1683)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1683))))</f>
        <v/>
      </c>
      <c r="M1683" s="4" t="str">
        <f t="array" ref="M1683">IF(ROWS(M$20:M1683)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1683))))</f>
        <v/>
      </c>
    </row>
    <row r="1684" spans="1:13" x14ac:dyDescent="0.25">
      <c r="A1684" s="3">
        <v>41333</v>
      </c>
      <c r="B1684" s="2" t="s">
        <v>43</v>
      </c>
      <c r="C1684" s="2">
        <v>57</v>
      </c>
      <c r="G1684" s="7" t="str">
        <f t="array" ref="G1684">IF(ROWS(K$20:K1684)&gt;$F$6,"",INDEX(A$2:A$10000,SMALL(IF(ISNUMBER(MATCH($B$2:$B$10000,$E$6:$E$22,0)),ROW($C$2:$C$10000)-ROW($C$2)+1),ROWS(K$20:K1684))))</f>
        <v/>
      </c>
      <c r="H1684" s="4" t="str">
        <f t="array" ref="H1684">IF(ROWS(L$20:L1684)&gt;$F$6,"",INDEX(B$2:B$10000,SMALL(IF(ISNUMBER(MATCH($B$2:$B$10000,$E$6:$E$22,0)),ROW($C$2:$C$10000)-ROW($C$2)+1),ROWS(L$20:L1684))))</f>
        <v/>
      </c>
      <c r="I1684" s="4" t="str">
        <f t="array" ref="I1684">IF(ROWS(M$20:M1684)&gt;$F$6,"",INDEX(C$2:C$10000,SMALL(IF(ISNUMBER(MATCH($B$2:$B$10000,$E$6:$E$22,0)),ROW($C$2:$C$10000)-ROW($C$2)+1),ROWS(M$20:M1684))))</f>
        <v/>
      </c>
      <c r="K1684" s="7" t="str">
        <f t="array" ref="K1684">IF(ROWS(K$20:K1684)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1684))))</f>
        <v/>
      </c>
      <c r="L1684" s="4" t="str">
        <f t="array" ref="L1684">IF(ROWS(L$20:L1684)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1684))))</f>
        <v/>
      </c>
      <c r="M1684" s="4" t="str">
        <f t="array" ref="M1684">IF(ROWS(M$20:M1684)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1684))))</f>
        <v/>
      </c>
    </row>
    <row r="1685" spans="1:13" x14ac:dyDescent="0.25">
      <c r="A1685" s="3">
        <v>41777</v>
      </c>
      <c r="B1685" s="2" t="s">
        <v>18</v>
      </c>
      <c r="C1685" s="2">
        <v>6</v>
      </c>
      <c r="G1685" s="7" t="str">
        <f t="array" ref="G1685">IF(ROWS(K$20:K1685)&gt;$F$6,"",INDEX(A$2:A$10000,SMALL(IF(ISNUMBER(MATCH($B$2:$B$10000,$E$6:$E$22,0)),ROW($C$2:$C$10000)-ROW($C$2)+1),ROWS(K$20:K1685))))</f>
        <v/>
      </c>
      <c r="H1685" s="4" t="str">
        <f t="array" ref="H1685">IF(ROWS(L$20:L1685)&gt;$F$6,"",INDEX(B$2:B$10000,SMALL(IF(ISNUMBER(MATCH($B$2:$B$10000,$E$6:$E$22,0)),ROW($C$2:$C$10000)-ROW($C$2)+1),ROWS(L$20:L1685))))</f>
        <v/>
      </c>
      <c r="I1685" s="4" t="str">
        <f t="array" ref="I1685">IF(ROWS(M$20:M1685)&gt;$F$6,"",INDEX(C$2:C$10000,SMALL(IF(ISNUMBER(MATCH($B$2:$B$10000,$E$6:$E$22,0)),ROW($C$2:$C$10000)-ROW($C$2)+1),ROWS(M$20:M1685))))</f>
        <v/>
      </c>
      <c r="K1685" s="7" t="str">
        <f t="array" ref="K1685">IF(ROWS(K$20:K1685)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1685))))</f>
        <v/>
      </c>
      <c r="L1685" s="4" t="str">
        <f t="array" ref="L1685">IF(ROWS(L$20:L1685)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1685))))</f>
        <v/>
      </c>
      <c r="M1685" s="4" t="str">
        <f t="array" ref="M1685">IF(ROWS(M$20:M1685)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1685))))</f>
        <v/>
      </c>
    </row>
    <row r="1686" spans="1:13" x14ac:dyDescent="0.25">
      <c r="A1686" s="3">
        <v>41399</v>
      </c>
      <c r="B1686" s="2" t="s">
        <v>10</v>
      </c>
      <c r="C1686" s="2">
        <v>39</v>
      </c>
      <c r="G1686" s="7" t="str">
        <f t="array" ref="G1686">IF(ROWS(K$20:K1686)&gt;$F$6,"",INDEX(A$2:A$10000,SMALL(IF(ISNUMBER(MATCH($B$2:$B$10000,$E$6:$E$22,0)),ROW($C$2:$C$10000)-ROW($C$2)+1),ROWS(K$20:K1686))))</f>
        <v/>
      </c>
      <c r="H1686" s="4" t="str">
        <f t="array" ref="H1686">IF(ROWS(L$20:L1686)&gt;$F$6,"",INDEX(B$2:B$10000,SMALL(IF(ISNUMBER(MATCH($B$2:$B$10000,$E$6:$E$22,0)),ROW($C$2:$C$10000)-ROW($C$2)+1),ROWS(L$20:L1686))))</f>
        <v/>
      </c>
      <c r="I1686" s="4" t="str">
        <f t="array" ref="I1686">IF(ROWS(M$20:M1686)&gt;$F$6,"",INDEX(C$2:C$10000,SMALL(IF(ISNUMBER(MATCH($B$2:$B$10000,$E$6:$E$22,0)),ROW($C$2:$C$10000)-ROW($C$2)+1),ROWS(M$20:M1686))))</f>
        <v/>
      </c>
      <c r="K1686" s="7" t="str">
        <f t="array" ref="K1686">IF(ROWS(K$20:K1686)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1686))))</f>
        <v/>
      </c>
      <c r="L1686" s="4" t="str">
        <f t="array" ref="L1686">IF(ROWS(L$20:L1686)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1686))))</f>
        <v/>
      </c>
      <c r="M1686" s="4" t="str">
        <f t="array" ref="M1686">IF(ROWS(M$20:M1686)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1686))))</f>
        <v/>
      </c>
    </row>
    <row r="1687" spans="1:13" x14ac:dyDescent="0.25">
      <c r="A1687" s="3">
        <v>41614</v>
      </c>
      <c r="B1687" s="2" t="s">
        <v>2</v>
      </c>
      <c r="C1687" s="2">
        <v>17</v>
      </c>
      <c r="G1687" s="7" t="str">
        <f t="array" ref="G1687">IF(ROWS(K$20:K1687)&gt;$F$6,"",INDEX(A$2:A$10000,SMALL(IF(ISNUMBER(MATCH($B$2:$B$10000,$E$6:$E$22,0)),ROW($C$2:$C$10000)-ROW($C$2)+1),ROWS(K$20:K1687))))</f>
        <v/>
      </c>
      <c r="H1687" s="4" t="str">
        <f t="array" ref="H1687">IF(ROWS(L$20:L1687)&gt;$F$6,"",INDEX(B$2:B$10000,SMALL(IF(ISNUMBER(MATCH($B$2:$B$10000,$E$6:$E$22,0)),ROW($C$2:$C$10000)-ROW($C$2)+1),ROWS(L$20:L1687))))</f>
        <v/>
      </c>
      <c r="I1687" s="4" t="str">
        <f t="array" ref="I1687">IF(ROWS(M$20:M1687)&gt;$F$6,"",INDEX(C$2:C$10000,SMALL(IF(ISNUMBER(MATCH($B$2:$B$10000,$E$6:$E$22,0)),ROW($C$2:$C$10000)-ROW($C$2)+1),ROWS(M$20:M1687))))</f>
        <v/>
      </c>
      <c r="K1687" s="7" t="str">
        <f t="array" ref="K1687">IF(ROWS(K$20:K1687)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1687))))</f>
        <v/>
      </c>
      <c r="L1687" s="4" t="str">
        <f t="array" ref="L1687">IF(ROWS(L$20:L1687)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1687))))</f>
        <v/>
      </c>
      <c r="M1687" s="4" t="str">
        <f t="array" ref="M1687">IF(ROWS(M$20:M1687)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1687))))</f>
        <v/>
      </c>
    </row>
    <row r="1688" spans="1:13" x14ac:dyDescent="0.25">
      <c r="A1688" s="3">
        <v>41462</v>
      </c>
      <c r="B1688" s="2" t="s">
        <v>49</v>
      </c>
      <c r="C1688" s="2">
        <v>10</v>
      </c>
      <c r="G1688" s="7" t="str">
        <f t="array" ref="G1688">IF(ROWS(K$20:K1688)&gt;$F$6,"",INDEX(A$2:A$10000,SMALL(IF(ISNUMBER(MATCH($B$2:$B$10000,$E$6:$E$22,0)),ROW($C$2:$C$10000)-ROW($C$2)+1),ROWS(K$20:K1688))))</f>
        <v/>
      </c>
      <c r="H1688" s="4" t="str">
        <f t="array" ref="H1688">IF(ROWS(L$20:L1688)&gt;$F$6,"",INDEX(B$2:B$10000,SMALL(IF(ISNUMBER(MATCH($B$2:$B$10000,$E$6:$E$22,0)),ROW($C$2:$C$10000)-ROW($C$2)+1),ROWS(L$20:L1688))))</f>
        <v/>
      </c>
      <c r="I1688" s="4" t="str">
        <f t="array" ref="I1688">IF(ROWS(M$20:M1688)&gt;$F$6,"",INDEX(C$2:C$10000,SMALL(IF(ISNUMBER(MATCH($B$2:$B$10000,$E$6:$E$22,0)),ROW($C$2:$C$10000)-ROW($C$2)+1),ROWS(M$20:M1688))))</f>
        <v/>
      </c>
      <c r="K1688" s="7" t="str">
        <f t="array" ref="K1688">IF(ROWS(K$20:K1688)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1688))))</f>
        <v/>
      </c>
      <c r="L1688" s="4" t="str">
        <f t="array" ref="L1688">IF(ROWS(L$20:L1688)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1688))))</f>
        <v/>
      </c>
      <c r="M1688" s="4" t="str">
        <f t="array" ref="M1688">IF(ROWS(M$20:M1688)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1688))))</f>
        <v/>
      </c>
    </row>
    <row r="1689" spans="1:13" x14ac:dyDescent="0.25">
      <c r="A1689" s="3">
        <v>41320</v>
      </c>
      <c r="B1689" s="2" t="s">
        <v>34</v>
      </c>
      <c r="C1689" s="2">
        <v>11</v>
      </c>
      <c r="G1689" s="7" t="str">
        <f t="array" ref="G1689">IF(ROWS(K$20:K1689)&gt;$F$6,"",INDEX(A$2:A$10000,SMALL(IF(ISNUMBER(MATCH($B$2:$B$10000,$E$6:$E$22,0)),ROW($C$2:$C$10000)-ROW($C$2)+1),ROWS(K$20:K1689))))</f>
        <v/>
      </c>
      <c r="H1689" s="4" t="str">
        <f t="array" ref="H1689">IF(ROWS(L$20:L1689)&gt;$F$6,"",INDEX(B$2:B$10000,SMALL(IF(ISNUMBER(MATCH($B$2:$B$10000,$E$6:$E$22,0)),ROW($C$2:$C$10000)-ROW($C$2)+1),ROWS(L$20:L1689))))</f>
        <v/>
      </c>
      <c r="I1689" s="4" t="str">
        <f t="array" ref="I1689">IF(ROWS(M$20:M1689)&gt;$F$6,"",INDEX(C$2:C$10000,SMALL(IF(ISNUMBER(MATCH($B$2:$B$10000,$E$6:$E$22,0)),ROW($C$2:$C$10000)-ROW($C$2)+1),ROWS(M$20:M1689))))</f>
        <v/>
      </c>
      <c r="K1689" s="7" t="str">
        <f t="array" ref="K1689">IF(ROWS(K$20:K1689)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1689))))</f>
        <v/>
      </c>
      <c r="L1689" s="4" t="str">
        <f t="array" ref="L1689">IF(ROWS(L$20:L1689)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1689))))</f>
        <v/>
      </c>
      <c r="M1689" s="4" t="str">
        <f t="array" ref="M1689">IF(ROWS(M$20:M1689)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1689))))</f>
        <v/>
      </c>
    </row>
    <row r="1690" spans="1:13" x14ac:dyDescent="0.25">
      <c r="A1690" s="3">
        <v>41573</v>
      </c>
      <c r="B1690" s="2" t="s">
        <v>41</v>
      </c>
      <c r="C1690" s="2">
        <v>30</v>
      </c>
      <c r="G1690" s="7" t="str">
        <f t="array" ref="G1690">IF(ROWS(K$20:K1690)&gt;$F$6,"",INDEX(A$2:A$10000,SMALL(IF(ISNUMBER(MATCH($B$2:$B$10000,$E$6:$E$22,0)),ROW($C$2:$C$10000)-ROW($C$2)+1),ROWS(K$20:K1690))))</f>
        <v/>
      </c>
      <c r="H1690" s="4" t="str">
        <f t="array" ref="H1690">IF(ROWS(L$20:L1690)&gt;$F$6,"",INDEX(B$2:B$10000,SMALL(IF(ISNUMBER(MATCH($B$2:$B$10000,$E$6:$E$22,0)),ROW($C$2:$C$10000)-ROW($C$2)+1),ROWS(L$20:L1690))))</f>
        <v/>
      </c>
      <c r="I1690" s="4" t="str">
        <f t="array" ref="I1690">IF(ROWS(M$20:M1690)&gt;$F$6,"",INDEX(C$2:C$10000,SMALL(IF(ISNUMBER(MATCH($B$2:$B$10000,$E$6:$E$22,0)),ROW($C$2:$C$10000)-ROW($C$2)+1),ROWS(M$20:M1690))))</f>
        <v/>
      </c>
      <c r="K1690" s="7" t="str">
        <f t="array" ref="K1690">IF(ROWS(K$20:K1690)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1690))))</f>
        <v/>
      </c>
      <c r="L1690" s="4" t="str">
        <f t="array" ref="L1690">IF(ROWS(L$20:L1690)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1690))))</f>
        <v/>
      </c>
      <c r="M1690" s="4" t="str">
        <f t="array" ref="M1690">IF(ROWS(M$20:M1690)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1690))))</f>
        <v/>
      </c>
    </row>
    <row r="1691" spans="1:13" x14ac:dyDescent="0.25">
      <c r="A1691" s="3">
        <v>41606</v>
      </c>
      <c r="B1691" s="2" t="s">
        <v>46</v>
      </c>
      <c r="C1691" s="2">
        <v>22</v>
      </c>
      <c r="G1691" s="7" t="str">
        <f t="array" ref="G1691">IF(ROWS(K$20:K1691)&gt;$F$6,"",INDEX(A$2:A$10000,SMALL(IF(ISNUMBER(MATCH($B$2:$B$10000,$E$6:$E$22,0)),ROW($C$2:$C$10000)-ROW($C$2)+1),ROWS(K$20:K1691))))</f>
        <v/>
      </c>
      <c r="H1691" s="4" t="str">
        <f t="array" ref="H1691">IF(ROWS(L$20:L1691)&gt;$F$6,"",INDEX(B$2:B$10000,SMALL(IF(ISNUMBER(MATCH($B$2:$B$10000,$E$6:$E$22,0)),ROW($C$2:$C$10000)-ROW($C$2)+1),ROWS(L$20:L1691))))</f>
        <v/>
      </c>
      <c r="I1691" s="4" t="str">
        <f t="array" ref="I1691">IF(ROWS(M$20:M1691)&gt;$F$6,"",INDEX(C$2:C$10000,SMALL(IF(ISNUMBER(MATCH($B$2:$B$10000,$E$6:$E$22,0)),ROW($C$2:$C$10000)-ROW($C$2)+1),ROWS(M$20:M1691))))</f>
        <v/>
      </c>
      <c r="K1691" s="7" t="str">
        <f t="array" ref="K1691">IF(ROWS(K$20:K1691)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1691))))</f>
        <v/>
      </c>
      <c r="L1691" s="4" t="str">
        <f t="array" ref="L1691">IF(ROWS(L$20:L1691)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1691))))</f>
        <v/>
      </c>
      <c r="M1691" s="4" t="str">
        <f t="array" ref="M1691">IF(ROWS(M$20:M1691)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1691))))</f>
        <v/>
      </c>
    </row>
    <row r="1692" spans="1:13" x14ac:dyDescent="0.25">
      <c r="A1692" s="3">
        <v>41683</v>
      </c>
      <c r="B1692" s="2" t="s">
        <v>36</v>
      </c>
      <c r="C1692" s="2">
        <v>2</v>
      </c>
      <c r="G1692" s="7" t="str">
        <f t="array" ref="G1692">IF(ROWS(K$20:K1692)&gt;$F$6,"",INDEX(A$2:A$10000,SMALL(IF(ISNUMBER(MATCH($B$2:$B$10000,$E$6:$E$22,0)),ROW($C$2:$C$10000)-ROW($C$2)+1),ROWS(K$20:K1692))))</f>
        <v/>
      </c>
      <c r="H1692" s="4" t="str">
        <f t="array" ref="H1692">IF(ROWS(L$20:L1692)&gt;$F$6,"",INDEX(B$2:B$10000,SMALL(IF(ISNUMBER(MATCH($B$2:$B$10000,$E$6:$E$22,0)),ROW($C$2:$C$10000)-ROW($C$2)+1),ROWS(L$20:L1692))))</f>
        <v/>
      </c>
      <c r="I1692" s="4" t="str">
        <f t="array" ref="I1692">IF(ROWS(M$20:M1692)&gt;$F$6,"",INDEX(C$2:C$10000,SMALL(IF(ISNUMBER(MATCH($B$2:$B$10000,$E$6:$E$22,0)),ROW($C$2:$C$10000)-ROW($C$2)+1),ROWS(M$20:M1692))))</f>
        <v/>
      </c>
      <c r="K1692" s="7" t="str">
        <f t="array" ref="K1692">IF(ROWS(K$20:K1692)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1692))))</f>
        <v/>
      </c>
      <c r="L1692" s="4" t="str">
        <f t="array" ref="L1692">IF(ROWS(L$20:L1692)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1692))))</f>
        <v/>
      </c>
      <c r="M1692" s="4" t="str">
        <f t="array" ref="M1692">IF(ROWS(M$20:M1692)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1692))))</f>
        <v/>
      </c>
    </row>
    <row r="1693" spans="1:13" x14ac:dyDescent="0.25">
      <c r="A1693" s="3">
        <v>41546</v>
      </c>
      <c r="B1693" s="2" t="s">
        <v>44</v>
      </c>
      <c r="C1693" s="2">
        <v>9</v>
      </c>
      <c r="G1693" s="7" t="str">
        <f t="array" ref="G1693">IF(ROWS(K$20:K1693)&gt;$F$6,"",INDEX(A$2:A$10000,SMALL(IF(ISNUMBER(MATCH($B$2:$B$10000,$E$6:$E$22,0)),ROW($C$2:$C$10000)-ROW($C$2)+1),ROWS(K$20:K1693))))</f>
        <v/>
      </c>
      <c r="H1693" s="4" t="str">
        <f t="array" ref="H1693">IF(ROWS(L$20:L1693)&gt;$F$6,"",INDEX(B$2:B$10000,SMALL(IF(ISNUMBER(MATCH($B$2:$B$10000,$E$6:$E$22,0)),ROW($C$2:$C$10000)-ROW($C$2)+1),ROWS(L$20:L1693))))</f>
        <v/>
      </c>
      <c r="I1693" s="4" t="str">
        <f t="array" ref="I1693">IF(ROWS(M$20:M1693)&gt;$F$6,"",INDEX(C$2:C$10000,SMALL(IF(ISNUMBER(MATCH($B$2:$B$10000,$E$6:$E$22,0)),ROW($C$2:$C$10000)-ROW($C$2)+1),ROWS(M$20:M1693))))</f>
        <v/>
      </c>
      <c r="K1693" s="7" t="str">
        <f t="array" ref="K1693">IF(ROWS(K$20:K1693)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1693))))</f>
        <v/>
      </c>
      <c r="L1693" s="4" t="str">
        <f t="array" ref="L1693">IF(ROWS(L$20:L1693)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1693))))</f>
        <v/>
      </c>
      <c r="M1693" s="4" t="str">
        <f t="array" ref="M1693">IF(ROWS(M$20:M1693)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1693))))</f>
        <v/>
      </c>
    </row>
    <row r="1694" spans="1:13" x14ac:dyDescent="0.25">
      <c r="A1694" s="3">
        <v>41936</v>
      </c>
      <c r="B1694" s="2" t="s">
        <v>29</v>
      </c>
      <c r="C1694" s="2">
        <v>14</v>
      </c>
      <c r="G1694" s="7" t="str">
        <f t="array" ref="G1694">IF(ROWS(K$20:K1694)&gt;$F$6,"",INDEX(A$2:A$10000,SMALL(IF(ISNUMBER(MATCH($B$2:$B$10000,$E$6:$E$22,0)),ROW($C$2:$C$10000)-ROW($C$2)+1),ROWS(K$20:K1694))))</f>
        <v/>
      </c>
      <c r="H1694" s="4" t="str">
        <f t="array" ref="H1694">IF(ROWS(L$20:L1694)&gt;$F$6,"",INDEX(B$2:B$10000,SMALL(IF(ISNUMBER(MATCH($B$2:$B$10000,$E$6:$E$22,0)),ROW($C$2:$C$10000)-ROW($C$2)+1),ROWS(L$20:L1694))))</f>
        <v/>
      </c>
      <c r="I1694" s="4" t="str">
        <f t="array" ref="I1694">IF(ROWS(M$20:M1694)&gt;$F$6,"",INDEX(C$2:C$10000,SMALL(IF(ISNUMBER(MATCH($B$2:$B$10000,$E$6:$E$22,0)),ROW($C$2:$C$10000)-ROW($C$2)+1),ROWS(M$20:M1694))))</f>
        <v/>
      </c>
      <c r="K1694" s="7" t="str">
        <f t="array" ref="K1694">IF(ROWS(K$20:K1694)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1694))))</f>
        <v/>
      </c>
      <c r="L1694" s="4" t="str">
        <f t="array" ref="L1694">IF(ROWS(L$20:L1694)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1694))))</f>
        <v/>
      </c>
      <c r="M1694" s="4" t="str">
        <f t="array" ref="M1694">IF(ROWS(M$20:M1694)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1694))))</f>
        <v/>
      </c>
    </row>
    <row r="1695" spans="1:13" x14ac:dyDescent="0.25">
      <c r="A1695" s="3">
        <v>41605</v>
      </c>
      <c r="B1695" s="2" t="s">
        <v>20</v>
      </c>
      <c r="C1695" s="2">
        <v>30</v>
      </c>
      <c r="G1695" s="7" t="str">
        <f t="array" ref="G1695">IF(ROWS(K$20:K1695)&gt;$F$6,"",INDEX(A$2:A$10000,SMALL(IF(ISNUMBER(MATCH($B$2:$B$10000,$E$6:$E$22,0)),ROW($C$2:$C$10000)-ROW($C$2)+1),ROWS(K$20:K1695))))</f>
        <v/>
      </c>
      <c r="H1695" s="4" t="str">
        <f t="array" ref="H1695">IF(ROWS(L$20:L1695)&gt;$F$6,"",INDEX(B$2:B$10000,SMALL(IF(ISNUMBER(MATCH($B$2:$B$10000,$E$6:$E$22,0)),ROW($C$2:$C$10000)-ROW($C$2)+1),ROWS(L$20:L1695))))</f>
        <v/>
      </c>
      <c r="I1695" s="4" t="str">
        <f t="array" ref="I1695">IF(ROWS(M$20:M1695)&gt;$F$6,"",INDEX(C$2:C$10000,SMALL(IF(ISNUMBER(MATCH($B$2:$B$10000,$E$6:$E$22,0)),ROW($C$2:$C$10000)-ROW($C$2)+1),ROWS(M$20:M1695))))</f>
        <v/>
      </c>
      <c r="K1695" s="7" t="str">
        <f t="array" ref="K1695">IF(ROWS(K$20:K1695)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1695))))</f>
        <v/>
      </c>
      <c r="L1695" s="4" t="str">
        <f t="array" ref="L1695">IF(ROWS(L$20:L1695)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1695))))</f>
        <v/>
      </c>
      <c r="M1695" s="4" t="str">
        <f t="array" ref="M1695">IF(ROWS(M$20:M1695)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1695))))</f>
        <v/>
      </c>
    </row>
    <row r="1696" spans="1:13" x14ac:dyDescent="0.25">
      <c r="A1696" s="3">
        <v>41628</v>
      </c>
      <c r="B1696" s="2" t="s">
        <v>20</v>
      </c>
      <c r="C1696" s="2">
        <v>23</v>
      </c>
      <c r="G1696" s="7" t="str">
        <f t="array" ref="G1696">IF(ROWS(K$20:K1696)&gt;$F$6,"",INDEX(A$2:A$10000,SMALL(IF(ISNUMBER(MATCH($B$2:$B$10000,$E$6:$E$22,0)),ROW($C$2:$C$10000)-ROW($C$2)+1),ROWS(K$20:K1696))))</f>
        <v/>
      </c>
      <c r="H1696" s="4" t="str">
        <f t="array" ref="H1696">IF(ROWS(L$20:L1696)&gt;$F$6,"",INDEX(B$2:B$10000,SMALL(IF(ISNUMBER(MATCH($B$2:$B$10000,$E$6:$E$22,0)),ROW($C$2:$C$10000)-ROW($C$2)+1),ROWS(L$20:L1696))))</f>
        <v/>
      </c>
      <c r="I1696" s="4" t="str">
        <f t="array" ref="I1696">IF(ROWS(M$20:M1696)&gt;$F$6,"",INDEX(C$2:C$10000,SMALL(IF(ISNUMBER(MATCH($B$2:$B$10000,$E$6:$E$22,0)),ROW($C$2:$C$10000)-ROW($C$2)+1),ROWS(M$20:M1696))))</f>
        <v/>
      </c>
      <c r="K1696" s="7" t="str">
        <f t="array" ref="K1696">IF(ROWS(K$20:K1696)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1696))))</f>
        <v/>
      </c>
      <c r="L1696" s="4" t="str">
        <f t="array" ref="L1696">IF(ROWS(L$20:L1696)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1696))))</f>
        <v/>
      </c>
      <c r="M1696" s="4" t="str">
        <f t="array" ref="M1696">IF(ROWS(M$20:M1696)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1696))))</f>
        <v/>
      </c>
    </row>
    <row r="1697" spans="1:13" x14ac:dyDescent="0.25">
      <c r="A1697" s="3">
        <v>41664</v>
      </c>
      <c r="B1697" s="2" t="s">
        <v>14</v>
      </c>
      <c r="C1697" s="2">
        <v>43</v>
      </c>
      <c r="G1697" s="7" t="str">
        <f t="array" ref="G1697">IF(ROWS(K$20:K1697)&gt;$F$6,"",INDEX(A$2:A$10000,SMALL(IF(ISNUMBER(MATCH($B$2:$B$10000,$E$6:$E$22,0)),ROW($C$2:$C$10000)-ROW($C$2)+1),ROWS(K$20:K1697))))</f>
        <v/>
      </c>
      <c r="H1697" s="4" t="str">
        <f t="array" ref="H1697">IF(ROWS(L$20:L1697)&gt;$F$6,"",INDEX(B$2:B$10000,SMALL(IF(ISNUMBER(MATCH($B$2:$B$10000,$E$6:$E$22,0)),ROW($C$2:$C$10000)-ROW($C$2)+1),ROWS(L$20:L1697))))</f>
        <v/>
      </c>
      <c r="I1697" s="4" t="str">
        <f t="array" ref="I1697">IF(ROWS(M$20:M1697)&gt;$F$6,"",INDEX(C$2:C$10000,SMALL(IF(ISNUMBER(MATCH($B$2:$B$10000,$E$6:$E$22,0)),ROW($C$2:$C$10000)-ROW($C$2)+1),ROWS(M$20:M1697))))</f>
        <v/>
      </c>
      <c r="K1697" s="7" t="str">
        <f t="array" ref="K1697">IF(ROWS(K$20:K1697)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1697))))</f>
        <v/>
      </c>
      <c r="L1697" s="4" t="str">
        <f t="array" ref="L1697">IF(ROWS(L$20:L1697)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1697))))</f>
        <v/>
      </c>
      <c r="M1697" s="4" t="str">
        <f t="array" ref="M1697">IF(ROWS(M$20:M1697)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1697))))</f>
        <v/>
      </c>
    </row>
    <row r="1698" spans="1:13" x14ac:dyDescent="0.25">
      <c r="A1698" s="3">
        <v>41966</v>
      </c>
      <c r="B1698" s="2" t="s">
        <v>44</v>
      </c>
      <c r="C1698" s="2">
        <v>25</v>
      </c>
      <c r="G1698" s="7" t="str">
        <f t="array" ref="G1698">IF(ROWS(K$20:K1698)&gt;$F$6,"",INDEX(A$2:A$10000,SMALL(IF(ISNUMBER(MATCH($B$2:$B$10000,$E$6:$E$22,0)),ROW($C$2:$C$10000)-ROW($C$2)+1),ROWS(K$20:K1698))))</f>
        <v/>
      </c>
      <c r="H1698" s="4" t="str">
        <f t="array" ref="H1698">IF(ROWS(L$20:L1698)&gt;$F$6,"",INDEX(B$2:B$10000,SMALL(IF(ISNUMBER(MATCH($B$2:$B$10000,$E$6:$E$22,0)),ROW($C$2:$C$10000)-ROW($C$2)+1),ROWS(L$20:L1698))))</f>
        <v/>
      </c>
      <c r="I1698" s="4" t="str">
        <f t="array" ref="I1698">IF(ROWS(M$20:M1698)&gt;$F$6,"",INDEX(C$2:C$10000,SMALL(IF(ISNUMBER(MATCH($B$2:$B$10000,$E$6:$E$22,0)),ROW($C$2:$C$10000)-ROW($C$2)+1),ROWS(M$20:M1698))))</f>
        <v/>
      </c>
      <c r="K1698" s="7" t="str">
        <f t="array" ref="K1698">IF(ROWS(K$20:K1698)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1698))))</f>
        <v/>
      </c>
      <c r="L1698" s="4" t="str">
        <f t="array" ref="L1698">IF(ROWS(L$20:L1698)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1698))))</f>
        <v/>
      </c>
      <c r="M1698" s="4" t="str">
        <f t="array" ref="M1698">IF(ROWS(M$20:M1698)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1698))))</f>
        <v/>
      </c>
    </row>
    <row r="1699" spans="1:13" x14ac:dyDescent="0.25">
      <c r="A1699" s="3">
        <v>41783</v>
      </c>
      <c r="B1699" s="2" t="s">
        <v>25</v>
      </c>
      <c r="C1699" s="2">
        <v>18</v>
      </c>
      <c r="G1699" s="7" t="str">
        <f t="array" ref="G1699">IF(ROWS(K$20:K1699)&gt;$F$6,"",INDEX(A$2:A$10000,SMALL(IF(ISNUMBER(MATCH($B$2:$B$10000,$E$6:$E$22,0)),ROW($C$2:$C$10000)-ROW($C$2)+1),ROWS(K$20:K1699))))</f>
        <v/>
      </c>
      <c r="H1699" s="4" t="str">
        <f t="array" ref="H1699">IF(ROWS(L$20:L1699)&gt;$F$6,"",INDEX(B$2:B$10000,SMALL(IF(ISNUMBER(MATCH($B$2:$B$10000,$E$6:$E$22,0)),ROW($C$2:$C$10000)-ROW($C$2)+1),ROWS(L$20:L1699))))</f>
        <v/>
      </c>
      <c r="I1699" s="4" t="str">
        <f t="array" ref="I1699">IF(ROWS(M$20:M1699)&gt;$F$6,"",INDEX(C$2:C$10000,SMALL(IF(ISNUMBER(MATCH($B$2:$B$10000,$E$6:$E$22,0)),ROW($C$2:$C$10000)-ROW($C$2)+1),ROWS(M$20:M1699))))</f>
        <v/>
      </c>
      <c r="K1699" s="7" t="str">
        <f t="array" ref="K1699">IF(ROWS(K$20:K1699)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1699))))</f>
        <v/>
      </c>
      <c r="L1699" s="4" t="str">
        <f t="array" ref="L1699">IF(ROWS(L$20:L1699)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1699))))</f>
        <v/>
      </c>
      <c r="M1699" s="4" t="str">
        <f t="array" ref="M1699">IF(ROWS(M$20:M1699)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1699))))</f>
        <v/>
      </c>
    </row>
    <row r="1700" spans="1:13" x14ac:dyDescent="0.25">
      <c r="A1700" s="3">
        <v>41730</v>
      </c>
      <c r="B1700" s="2" t="s">
        <v>34</v>
      </c>
      <c r="C1700" s="2">
        <v>4</v>
      </c>
      <c r="G1700" s="7" t="str">
        <f t="array" ref="G1700">IF(ROWS(K$20:K1700)&gt;$F$6,"",INDEX(A$2:A$10000,SMALL(IF(ISNUMBER(MATCH($B$2:$B$10000,$E$6:$E$22,0)),ROW($C$2:$C$10000)-ROW($C$2)+1),ROWS(K$20:K1700))))</f>
        <v/>
      </c>
      <c r="H1700" s="4" t="str">
        <f t="array" ref="H1700">IF(ROWS(L$20:L1700)&gt;$F$6,"",INDEX(B$2:B$10000,SMALL(IF(ISNUMBER(MATCH($B$2:$B$10000,$E$6:$E$22,0)),ROW($C$2:$C$10000)-ROW($C$2)+1),ROWS(L$20:L1700))))</f>
        <v/>
      </c>
      <c r="I1700" s="4" t="str">
        <f t="array" ref="I1700">IF(ROWS(M$20:M1700)&gt;$F$6,"",INDEX(C$2:C$10000,SMALL(IF(ISNUMBER(MATCH($B$2:$B$10000,$E$6:$E$22,0)),ROW($C$2:$C$10000)-ROW($C$2)+1),ROWS(M$20:M1700))))</f>
        <v/>
      </c>
      <c r="K1700" s="7" t="str">
        <f t="array" ref="K1700">IF(ROWS(K$20:K1700)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1700))))</f>
        <v/>
      </c>
      <c r="L1700" s="4" t="str">
        <f t="array" ref="L1700">IF(ROWS(L$20:L1700)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1700))))</f>
        <v/>
      </c>
      <c r="M1700" s="4" t="str">
        <f t="array" ref="M1700">IF(ROWS(M$20:M1700)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1700))))</f>
        <v/>
      </c>
    </row>
    <row r="1701" spans="1:13" x14ac:dyDescent="0.25">
      <c r="A1701" s="3">
        <v>41422</v>
      </c>
      <c r="B1701" s="2" t="s">
        <v>50</v>
      </c>
      <c r="C1701" s="2">
        <v>38</v>
      </c>
      <c r="G1701" s="7" t="str">
        <f t="array" ref="G1701">IF(ROWS(K$20:K1701)&gt;$F$6,"",INDEX(A$2:A$10000,SMALL(IF(ISNUMBER(MATCH($B$2:$B$10000,$E$6:$E$22,0)),ROW($C$2:$C$10000)-ROW($C$2)+1),ROWS(K$20:K1701))))</f>
        <v/>
      </c>
      <c r="H1701" s="4" t="str">
        <f t="array" ref="H1701">IF(ROWS(L$20:L1701)&gt;$F$6,"",INDEX(B$2:B$10000,SMALL(IF(ISNUMBER(MATCH($B$2:$B$10000,$E$6:$E$22,0)),ROW($C$2:$C$10000)-ROW($C$2)+1),ROWS(L$20:L1701))))</f>
        <v/>
      </c>
      <c r="I1701" s="4" t="str">
        <f t="array" ref="I1701">IF(ROWS(M$20:M1701)&gt;$F$6,"",INDEX(C$2:C$10000,SMALL(IF(ISNUMBER(MATCH($B$2:$B$10000,$E$6:$E$22,0)),ROW($C$2:$C$10000)-ROW($C$2)+1),ROWS(M$20:M1701))))</f>
        <v/>
      </c>
      <c r="K1701" s="7" t="str">
        <f t="array" ref="K1701">IF(ROWS(K$20:K1701)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1701))))</f>
        <v/>
      </c>
      <c r="L1701" s="4" t="str">
        <f t="array" ref="L1701">IF(ROWS(L$20:L1701)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1701))))</f>
        <v/>
      </c>
      <c r="M1701" s="4" t="str">
        <f t="array" ref="M1701">IF(ROWS(M$20:M1701)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1701))))</f>
        <v/>
      </c>
    </row>
    <row r="1702" spans="1:13" x14ac:dyDescent="0.25">
      <c r="A1702" s="3">
        <v>41995</v>
      </c>
      <c r="B1702" s="2" t="s">
        <v>33</v>
      </c>
      <c r="C1702" s="2">
        <v>27</v>
      </c>
      <c r="G1702" s="7" t="str">
        <f t="array" ref="G1702">IF(ROWS(K$20:K1702)&gt;$F$6,"",INDEX(A$2:A$10000,SMALL(IF(ISNUMBER(MATCH($B$2:$B$10000,$E$6:$E$22,0)),ROW($C$2:$C$10000)-ROW($C$2)+1),ROWS(K$20:K1702))))</f>
        <v/>
      </c>
      <c r="H1702" s="4" t="str">
        <f t="array" ref="H1702">IF(ROWS(L$20:L1702)&gt;$F$6,"",INDEX(B$2:B$10000,SMALL(IF(ISNUMBER(MATCH($B$2:$B$10000,$E$6:$E$22,0)),ROW($C$2:$C$10000)-ROW($C$2)+1),ROWS(L$20:L1702))))</f>
        <v/>
      </c>
      <c r="I1702" s="4" t="str">
        <f t="array" ref="I1702">IF(ROWS(M$20:M1702)&gt;$F$6,"",INDEX(C$2:C$10000,SMALL(IF(ISNUMBER(MATCH($B$2:$B$10000,$E$6:$E$22,0)),ROW($C$2:$C$10000)-ROW($C$2)+1),ROWS(M$20:M1702))))</f>
        <v/>
      </c>
      <c r="K1702" s="7" t="str">
        <f t="array" ref="K1702">IF(ROWS(K$20:K1702)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1702))))</f>
        <v/>
      </c>
      <c r="L1702" s="4" t="str">
        <f t="array" ref="L1702">IF(ROWS(L$20:L1702)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1702))))</f>
        <v/>
      </c>
      <c r="M1702" s="4" t="str">
        <f t="array" ref="M1702">IF(ROWS(M$20:M1702)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1702))))</f>
        <v/>
      </c>
    </row>
    <row r="1703" spans="1:13" x14ac:dyDescent="0.25">
      <c r="A1703" s="3">
        <v>41400</v>
      </c>
      <c r="B1703" s="2" t="s">
        <v>36</v>
      </c>
      <c r="C1703" s="2">
        <v>35</v>
      </c>
      <c r="G1703" s="7" t="str">
        <f t="array" ref="G1703">IF(ROWS(K$20:K1703)&gt;$F$6,"",INDEX(A$2:A$10000,SMALL(IF(ISNUMBER(MATCH($B$2:$B$10000,$E$6:$E$22,0)),ROW($C$2:$C$10000)-ROW($C$2)+1),ROWS(K$20:K1703))))</f>
        <v/>
      </c>
      <c r="H1703" s="4" t="str">
        <f t="array" ref="H1703">IF(ROWS(L$20:L1703)&gt;$F$6,"",INDEX(B$2:B$10000,SMALL(IF(ISNUMBER(MATCH($B$2:$B$10000,$E$6:$E$22,0)),ROW($C$2:$C$10000)-ROW($C$2)+1),ROWS(L$20:L1703))))</f>
        <v/>
      </c>
      <c r="I1703" s="4" t="str">
        <f t="array" ref="I1703">IF(ROWS(M$20:M1703)&gt;$F$6,"",INDEX(C$2:C$10000,SMALL(IF(ISNUMBER(MATCH($B$2:$B$10000,$E$6:$E$22,0)),ROW($C$2:$C$10000)-ROW($C$2)+1),ROWS(M$20:M1703))))</f>
        <v/>
      </c>
      <c r="K1703" s="7" t="str">
        <f t="array" ref="K1703">IF(ROWS(K$20:K1703)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1703))))</f>
        <v/>
      </c>
      <c r="L1703" s="4" t="str">
        <f t="array" ref="L1703">IF(ROWS(L$20:L1703)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1703))))</f>
        <v/>
      </c>
      <c r="M1703" s="4" t="str">
        <f t="array" ref="M1703">IF(ROWS(M$20:M1703)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1703))))</f>
        <v/>
      </c>
    </row>
    <row r="1704" spans="1:13" x14ac:dyDescent="0.25">
      <c r="A1704" s="3">
        <v>41991</v>
      </c>
      <c r="B1704" s="2" t="s">
        <v>4</v>
      </c>
      <c r="C1704" s="2">
        <v>39</v>
      </c>
      <c r="G1704" s="7" t="str">
        <f t="array" ref="G1704">IF(ROWS(K$20:K1704)&gt;$F$6,"",INDEX(A$2:A$10000,SMALL(IF(ISNUMBER(MATCH($B$2:$B$10000,$E$6:$E$22,0)),ROW($C$2:$C$10000)-ROW($C$2)+1),ROWS(K$20:K1704))))</f>
        <v/>
      </c>
      <c r="H1704" s="4" t="str">
        <f t="array" ref="H1704">IF(ROWS(L$20:L1704)&gt;$F$6,"",INDEX(B$2:B$10000,SMALL(IF(ISNUMBER(MATCH($B$2:$B$10000,$E$6:$E$22,0)),ROW($C$2:$C$10000)-ROW($C$2)+1),ROWS(L$20:L1704))))</f>
        <v/>
      </c>
      <c r="I1704" s="4" t="str">
        <f t="array" ref="I1704">IF(ROWS(M$20:M1704)&gt;$F$6,"",INDEX(C$2:C$10000,SMALL(IF(ISNUMBER(MATCH($B$2:$B$10000,$E$6:$E$22,0)),ROW($C$2:$C$10000)-ROW($C$2)+1),ROWS(M$20:M1704))))</f>
        <v/>
      </c>
      <c r="K1704" s="7" t="str">
        <f t="array" ref="K1704">IF(ROWS(K$20:K1704)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1704))))</f>
        <v/>
      </c>
      <c r="L1704" s="4" t="str">
        <f t="array" ref="L1704">IF(ROWS(L$20:L1704)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1704))))</f>
        <v/>
      </c>
      <c r="M1704" s="4" t="str">
        <f t="array" ref="M1704">IF(ROWS(M$20:M1704)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1704))))</f>
        <v/>
      </c>
    </row>
    <row r="1705" spans="1:13" x14ac:dyDescent="0.25">
      <c r="A1705" s="3">
        <v>41531</v>
      </c>
      <c r="B1705" s="2" t="s">
        <v>18</v>
      </c>
      <c r="C1705" s="2">
        <v>23</v>
      </c>
      <c r="G1705" s="7" t="str">
        <f t="array" ref="G1705">IF(ROWS(K$20:K1705)&gt;$F$6,"",INDEX(A$2:A$10000,SMALL(IF(ISNUMBER(MATCH($B$2:$B$10000,$E$6:$E$22,0)),ROW($C$2:$C$10000)-ROW($C$2)+1),ROWS(K$20:K1705))))</f>
        <v/>
      </c>
      <c r="H1705" s="4" t="str">
        <f t="array" ref="H1705">IF(ROWS(L$20:L1705)&gt;$F$6,"",INDEX(B$2:B$10000,SMALL(IF(ISNUMBER(MATCH($B$2:$B$10000,$E$6:$E$22,0)),ROW($C$2:$C$10000)-ROW($C$2)+1),ROWS(L$20:L1705))))</f>
        <v/>
      </c>
      <c r="I1705" s="4" t="str">
        <f t="array" ref="I1705">IF(ROWS(M$20:M1705)&gt;$F$6,"",INDEX(C$2:C$10000,SMALL(IF(ISNUMBER(MATCH($B$2:$B$10000,$E$6:$E$22,0)),ROW($C$2:$C$10000)-ROW($C$2)+1),ROWS(M$20:M1705))))</f>
        <v/>
      </c>
      <c r="K1705" s="7" t="str">
        <f t="array" ref="K1705">IF(ROWS(K$20:K1705)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1705))))</f>
        <v/>
      </c>
      <c r="L1705" s="4" t="str">
        <f t="array" ref="L1705">IF(ROWS(L$20:L1705)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1705))))</f>
        <v/>
      </c>
      <c r="M1705" s="4" t="str">
        <f t="array" ref="M1705">IF(ROWS(M$20:M1705)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1705))))</f>
        <v/>
      </c>
    </row>
    <row r="1706" spans="1:13" x14ac:dyDescent="0.25">
      <c r="A1706" s="3">
        <v>41333</v>
      </c>
      <c r="B1706" s="2" t="s">
        <v>44</v>
      </c>
      <c r="C1706" s="2">
        <v>5</v>
      </c>
      <c r="G1706" s="7" t="str">
        <f t="array" ref="G1706">IF(ROWS(K$20:K1706)&gt;$F$6,"",INDEX(A$2:A$10000,SMALL(IF(ISNUMBER(MATCH($B$2:$B$10000,$E$6:$E$22,0)),ROW($C$2:$C$10000)-ROW($C$2)+1),ROWS(K$20:K1706))))</f>
        <v/>
      </c>
      <c r="H1706" s="4" t="str">
        <f t="array" ref="H1706">IF(ROWS(L$20:L1706)&gt;$F$6,"",INDEX(B$2:B$10000,SMALL(IF(ISNUMBER(MATCH($B$2:$B$10000,$E$6:$E$22,0)),ROW($C$2:$C$10000)-ROW($C$2)+1),ROWS(L$20:L1706))))</f>
        <v/>
      </c>
      <c r="I1706" s="4" t="str">
        <f t="array" ref="I1706">IF(ROWS(M$20:M1706)&gt;$F$6,"",INDEX(C$2:C$10000,SMALL(IF(ISNUMBER(MATCH($B$2:$B$10000,$E$6:$E$22,0)),ROW($C$2:$C$10000)-ROW($C$2)+1),ROWS(M$20:M1706))))</f>
        <v/>
      </c>
      <c r="K1706" s="7" t="str">
        <f t="array" ref="K1706">IF(ROWS(K$20:K1706)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1706))))</f>
        <v/>
      </c>
      <c r="L1706" s="4" t="str">
        <f t="array" ref="L1706">IF(ROWS(L$20:L1706)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1706))))</f>
        <v/>
      </c>
      <c r="M1706" s="4" t="str">
        <f t="array" ref="M1706">IF(ROWS(M$20:M1706)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1706))))</f>
        <v/>
      </c>
    </row>
    <row r="1707" spans="1:13" x14ac:dyDescent="0.25">
      <c r="A1707" s="3">
        <v>41669</v>
      </c>
      <c r="B1707" s="2" t="s">
        <v>4</v>
      </c>
      <c r="C1707" s="2">
        <v>33</v>
      </c>
      <c r="G1707" s="7" t="str">
        <f t="array" ref="G1707">IF(ROWS(K$20:K1707)&gt;$F$6,"",INDEX(A$2:A$10000,SMALL(IF(ISNUMBER(MATCH($B$2:$B$10000,$E$6:$E$22,0)),ROW($C$2:$C$10000)-ROW($C$2)+1),ROWS(K$20:K1707))))</f>
        <v/>
      </c>
      <c r="H1707" s="4" t="str">
        <f t="array" ref="H1707">IF(ROWS(L$20:L1707)&gt;$F$6,"",INDEX(B$2:B$10000,SMALL(IF(ISNUMBER(MATCH($B$2:$B$10000,$E$6:$E$22,0)),ROW($C$2:$C$10000)-ROW($C$2)+1),ROWS(L$20:L1707))))</f>
        <v/>
      </c>
      <c r="I1707" s="4" t="str">
        <f t="array" ref="I1707">IF(ROWS(M$20:M1707)&gt;$F$6,"",INDEX(C$2:C$10000,SMALL(IF(ISNUMBER(MATCH($B$2:$B$10000,$E$6:$E$22,0)),ROW($C$2:$C$10000)-ROW($C$2)+1),ROWS(M$20:M1707))))</f>
        <v/>
      </c>
      <c r="K1707" s="7" t="str">
        <f t="array" ref="K1707">IF(ROWS(K$20:K1707)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1707))))</f>
        <v/>
      </c>
      <c r="L1707" s="4" t="str">
        <f t="array" ref="L1707">IF(ROWS(L$20:L1707)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1707))))</f>
        <v/>
      </c>
      <c r="M1707" s="4" t="str">
        <f t="array" ref="M1707">IF(ROWS(M$20:M1707)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1707))))</f>
        <v/>
      </c>
    </row>
    <row r="1708" spans="1:13" x14ac:dyDescent="0.25">
      <c r="A1708" s="3">
        <v>41438</v>
      </c>
      <c r="B1708" s="2" t="s">
        <v>33</v>
      </c>
      <c r="C1708" s="2">
        <v>25</v>
      </c>
      <c r="G1708" s="7" t="str">
        <f t="array" ref="G1708">IF(ROWS(K$20:K1708)&gt;$F$6,"",INDEX(A$2:A$10000,SMALL(IF(ISNUMBER(MATCH($B$2:$B$10000,$E$6:$E$22,0)),ROW($C$2:$C$10000)-ROW($C$2)+1),ROWS(K$20:K1708))))</f>
        <v/>
      </c>
      <c r="H1708" s="4" t="str">
        <f t="array" ref="H1708">IF(ROWS(L$20:L1708)&gt;$F$6,"",INDEX(B$2:B$10000,SMALL(IF(ISNUMBER(MATCH($B$2:$B$10000,$E$6:$E$22,0)),ROW($C$2:$C$10000)-ROW($C$2)+1),ROWS(L$20:L1708))))</f>
        <v/>
      </c>
      <c r="I1708" s="4" t="str">
        <f t="array" ref="I1708">IF(ROWS(M$20:M1708)&gt;$F$6,"",INDEX(C$2:C$10000,SMALL(IF(ISNUMBER(MATCH($B$2:$B$10000,$E$6:$E$22,0)),ROW($C$2:$C$10000)-ROW($C$2)+1),ROWS(M$20:M1708))))</f>
        <v/>
      </c>
      <c r="K1708" s="7" t="str">
        <f t="array" ref="K1708">IF(ROWS(K$20:K1708)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1708))))</f>
        <v/>
      </c>
      <c r="L1708" s="4" t="str">
        <f t="array" ref="L1708">IF(ROWS(L$20:L1708)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1708))))</f>
        <v/>
      </c>
      <c r="M1708" s="4" t="str">
        <f t="array" ref="M1708">IF(ROWS(M$20:M1708)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1708))))</f>
        <v/>
      </c>
    </row>
    <row r="1709" spans="1:13" x14ac:dyDescent="0.25">
      <c r="A1709" s="3">
        <v>41891</v>
      </c>
      <c r="B1709" s="2" t="s">
        <v>6</v>
      </c>
      <c r="C1709" s="2">
        <v>11</v>
      </c>
      <c r="G1709" s="7" t="str">
        <f t="array" ref="G1709">IF(ROWS(K$20:K1709)&gt;$F$6,"",INDEX(A$2:A$10000,SMALL(IF(ISNUMBER(MATCH($B$2:$B$10000,$E$6:$E$22,0)),ROW($C$2:$C$10000)-ROW($C$2)+1),ROWS(K$20:K1709))))</f>
        <v/>
      </c>
      <c r="H1709" s="4" t="str">
        <f t="array" ref="H1709">IF(ROWS(L$20:L1709)&gt;$F$6,"",INDEX(B$2:B$10000,SMALL(IF(ISNUMBER(MATCH($B$2:$B$10000,$E$6:$E$22,0)),ROW($C$2:$C$10000)-ROW($C$2)+1),ROWS(L$20:L1709))))</f>
        <v/>
      </c>
      <c r="I1709" s="4" t="str">
        <f t="array" ref="I1709">IF(ROWS(M$20:M1709)&gt;$F$6,"",INDEX(C$2:C$10000,SMALL(IF(ISNUMBER(MATCH($B$2:$B$10000,$E$6:$E$22,0)),ROW($C$2:$C$10000)-ROW($C$2)+1),ROWS(M$20:M1709))))</f>
        <v/>
      </c>
      <c r="K1709" s="7" t="str">
        <f t="array" ref="K1709">IF(ROWS(K$20:K1709)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1709))))</f>
        <v/>
      </c>
      <c r="L1709" s="4" t="str">
        <f t="array" ref="L1709">IF(ROWS(L$20:L1709)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1709))))</f>
        <v/>
      </c>
      <c r="M1709" s="4" t="str">
        <f t="array" ref="M1709">IF(ROWS(M$20:M1709)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1709))))</f>
        <v/>
      </c>
    </row>
    <row r="1710" spans="1:13" x14ac:dyDescent="0.25">
      <c r="A1710" s="3">
        <v>41703</v>
      </c>
      <c r="B1710" s="2" t="s">
        <v>20</v>
      </c>
      <c r="C1710" s="2">
        <v>47</v>
      </c>
      <c r="G1710" s="7" t="str">
        <f t="array" ref="G1710">IF(ROWS(K$20:K1710)&gt;$F$6,"",INDEX(A$2:A$10000,SMALL(IF(ISNUMBER(MATCH($B$2:$B$10000,$E$6:$E$22,0)),ROW($C$2:$C$10000)-ROW($C$2)+1),ROWS(K$20:K1710))))</f>
        <v/>
      </c>
      <c r="H1710" s="4" t="str">
        <f t="array" ref="H1710">IF(ROWS(L$20:L1710)&gt;$F$6,"",INDEX(B$2:B$10000,SMALL(IF(ISNUMBER(MATCH($B$2:$B$10000,$E$6:$E$22,0)),ROW($C$2:$C$10000)-ROW($C$2)+1),ROWS(L$20:L1710))))</f>
        <v/>
      </c>
      <c r="I1710" s="4" t="str">
        <f t="array" ref="I1710">IF(ROWS(M$20:M1710)&gt;$F$6,"",INDEX(C$2:C$10000,SMALL(IF(ISNUMBER(MATCH($B$2:$B$10000,$E$6:$E$22,0)),ROW($C$2:$C$10000)-ROW($C$2)+1),ROWS(M$20:M1710))))</f>
        <v/>
      </c>
      <c r="K1710" s="7" t="str">
        <f t="array" ref="K1710">IF(ROWS(K$20:K1710)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1710))))</f>
        <v/>
      </c>
      <c r="L1710" s="4" t="str">
        <f t="array" ref="L1710">IF(ROWS(L$20:L1710)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1710))))</f>
        <v/>
      </c>
      <c r="M1710" s="4" t="str">
        <f t="array" ref="M1710">IF(ROWS(M$20:M1710)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1710))))</f>
        <v/>
      </c>
    </row>
    <row r="1711" spans="1:13" x14ac:dyDescent="0.25">
      <c r="A1711" s="3">
        <v>41659</v>
      </c>
      <c r="B1711" s="2" t="s">
        <v>29</v>
      </c>
      <c r="C1711" s="2">
        <v>55</v>
      </c>
      <c r="G1711" s="7" t="str">
        <f t="array" ref="G1711">IF(ROWS(K$20:K1711)&gt;$F$6,"",INDEX(A$2:A$10000,SMALL(IF(ISNUMBER(MATCH($B$2:$B$10000,$E$6:$E$22,0)),ROW($C$2:$C$10000)-ROW($C$2)+1),ROWS(K$20:K1711))))</f>
        <v/>
      </c>
      <c r="H1711" s="4" t="str">
        <f t="array" ref="H1711">IF(ROWS(L$20:L1711)&gt;$F$6,"",INDEX(B$2:B$10000,SMALL(IF(ISNUMBER(MATCH($B$2:$B$10000,$E$6:$E$22,0)),ROW($C$2:$C$10000)-ROW($C$2)+1),ROWS(L$20:L1711))))</f>
        <v/>
      </c>
      <c r="I1711" s="4" t="str">
        <f t="array" ref="I1711">IF(ROWS(M$20:M1711)&gt;$F$6,"",INDEX(C$2:C$10000,SMALL(IF(ISNUMBER(MATCH($B$2:$B$10000,$E$6:$E$22,0)),ROW($C$2:$C$10000)-ROW($C$2)+1),ROWS(M$20:M1711))))</f>
        <v/>
      </c>
      <c r="K1711" s="7" t="str">
        <f t="array" ref="K1711">IF(ROWS(K$20:K1711)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1711))))</f>
        <v/>
      </c>
      <c r="L1711" s="4" t="str">
        <f t="array" ref="L1711">IF(ROWS(L$20:L1711)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1711))))</f>
        <v/>
      </c>
      <c r="M1711" s="4" t="str">
        <f t="array" ref="M1711">IF(ROWS(M$20:M1711)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1711))))</f>
        <v/>
      </c>
    </row>
    <row r="1712" spans="1:13" x14ac:dyDescent="0.25">
      <c r="A1712" s="3">
        <v>41667</v>
      </c>
      <c r="B1712" s="2" t="s">
        <v>51</v>
      </c>
      <c r="C1712" s="2">
        <v>35</v>
      </c>
      <c r="G1712" s="7" t="str">
        <f t="array" ref="G1712">IF(ROWS(K$20:K1712)&gt;$F$6,"",INDEX(A$2:A$10000,SMALL(IF(ISNUMBER(MATCH($B$2:$B$10000,$E$6:$E$22,0)),ROW($C$2:$C$10000)-ROW($C$2)+1),ROWS(K$20:K1712))))</f>
        <v/>
      </c>
      <c r="H1712" s="4" t="str">
        <f t="array" ref="H1712">IF(ROWS(L$20:L1712)&gt;$F$6,"",INDEX(B$2:B$10000,SMALL(IF(ISNUMBER(MATCH($B$2:$B$10000,$E$6:$E$22,0)),ROW($C$2:$C$10000)-ROW($C$2)+1),ROWS(L$20:L1712))))</f>
        <v/>
      </c>
      <c r="I1712" s="4" t="str">
        <f t="array" ref="I1712">IF(ROWS(M$20:M1712)&gt;$F$6,"",INDEX(C$2:C$10000,SMALL(IF(ISNUMBER(MATCH($B$2:$B$10000,$E$6:$E$22,0)),ROW($C$2:$C$10000)-ROW($C$2)+1),ROWS(M$20:M1712))))</f>
        <v/>
      </c>
      <c r="K1712" s="7" t="str">
        <f t="array" ref="K1712">IF(ROWS(K$20:K1712)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1712))))</f>
        <v/>
      </c>
      <c r="L1712" s="4" t="str">
        <f t="array" ref="L1712">IF(ROWS(L$20:L1712)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1712))))</f>
        <v/>
      </c>
      <c r="M1712" s="4" t="str">
        <f t="array" ref="M1712">IF(ROWS(M$20:M1712)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1712))))</f>
        <v/>
      </c>
    </row>
    <row r="1713" spans="1:13" x14ac:dyDescent="0.25">
      <c r="A1713" s="3">
        <v>42003</v>
      </c>
      <c r="B1713" s="2" t="s">
        <v>43</v>
      </c>
      <c r="C1713" s="2">
        <v>45</v>
      </c>
      <c r="G1713" s="7" t="str">
        <f t="array" ref="G1713">IF(ROWS(K$20:K1713)&gt;$F$6,"",INDEX(A$2:A$10000,SMALL(IF(ISNUMBER(MATCH($B$2:$B$10000,$E$6:$E$22,0)),ROW($C$2:$C$10000)-ROW($C$2)+1),ROWS(K$20:K1713))))</f>
        <v/>
      </c>
      <c r="H1713" s="4" t="str">
        <f t="array" ref="H1713">IF(ROWS(L$20:L1713)&gt;$F$6,"",INDEX(B$2:B$10000,SMALL(IF(ISNUMBER(MATCH($B$2:$B$10000,$E$6:$E$22,0)),ROW($C$2:$C$10000)-ROW($C$2)+1),ROWS(L$20:L1713))))</f>
        <v/>
      </c>
      <c r="I1713" s="4" t="str">
        <f t="array" ref="I1713">IF(ROWS(M$20:M1713)&gt;$F$6,"",INDEX(C$2:C$10000,SMALL(IF(ISNUMBER(MATCH($B$2:$B$10000,$E$6:$E$22,0)),ROW($C$2:$C$10000)-ROW($C$2)+1),ROWS(M$20:M1713))))</f>
        <v/>
      </c>
      <c r="K1713" s="7" t="str">
        <f t="array" ref="K1713">IF(ROWS(K$20:K1713)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1713))))</f>
        <v/>
      </c>
      <c r="L1713" s="4" t="str">
        <f t="array" ref="L1713">IF(ROWS(L$20:L1713)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1713))))</f>
        <v/>
      </c>
      <c r="M1713" s="4" t="str">
        <f t="array" ref="M1713">IF(ROWS(M$20:M1713)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1713))))</f>
        <v/>
      </c>
    </row>
    <row r="1714" spans="1:13" x14ac:dyDescent="0.25">
      <c r="A1714" s="3">
        <v>41551</v>
      </c>
      <c r="B1714" s="2" t="s">
        <v>22</v>
      </c>
      <c r="C1714" s="2">
        <v>39</v>
      </c>
      <c r="G1714" s="7" t="str">
        <f t="array" ref="G1714">IF(ROWS(K$20:K1714)&gt;$F$6,"",INDEX(A$2:A$10000,SMALL(IF(ISNUMBER(MATCH($B$2:$B$10000,$E$6:$E$22,0)),ROW($C$2:$C$10000)-ROW($C$2)+1),ROWS(K$20:K1714))))</f>
        <v/>
      </c>
      <c r="H1714" s="4" t="str">
        <f t="array" ref="H1714">IF(ROWS(L$20:L1714)&gt;$F$6,"",INDEX(B$2:B$10000,SMALL(IF(ISNUMBER(MATCH($B$2:$B$10000,$E$6:$E$22,0)),ROW($C$2:$C$10000)-ROW($C$2)+1),ROWS(L$20:L1714))))</f>
        <v/>
      </c>
      <c r="I1714" s="4" t="str">
        <f t="array" ref="I1714">IF(ROWS(M$20:M1714)&gt;$F$6,"",INDEX(C$2:C$10000,SMALL(IF(ISNUMBER(MATCH($B$2:$B$10000,$E$6:$E$22,0)),ROW($C$2:$C$10000)-ROW($C$2)+1),ROWS(M$20:M1714))))</f>
        <v/>
      </c>
      <c r="K1714" s="7" t="str">
        <f t="array" ref="K1714">IF(ROWS(K$20:K1714)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1714))))</f>
        <v/>
      </c>
      <c r="L1714" s="4" t="str">
        <f t="array" ref="L1714">IF(ROWS(L$20:L1714)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1714))))</f>
        <v/>
      </c>
      <c r="M1714" s="4" t="str">
        <f t="array" ref="M1714">IF(ROWS(M$20:M1714)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1714))))</f>
        <v/>
      </c>
    </row>
    <row r="1715" spans="1:13" x14ac:dyDescent="0.25">
      <c r="A1715" s="3">
        <v>41901</v>
      </c>
      <c r="B1715" s="2" t="s">
        <v>29</v>
      </c>
      <c r="C1715" s="2">
        <v>47</v>
      </c>
      <c r="G1715" s="7" t="str">
        <f t="array" ref="G1715">IF(ROWS(K$20:K1715)&gt;$F$6,"",INDEX(A$2:A$10000,SMALL(IF(ISNUMBER(MATCH($B$2:$B$10000,$E$6:$E$22,0)),ROW($C$2:$C$10000)-ROW($C$2)+1),ROWS(K$20:K1715))))</f>
        <v/>
      </c>
      <c r="H1715" s="4" t="str">
        <f t="array" ref="H1715">IF(ROWS(L$20:L1715)&gt;$F$6,"",INDEX(B$2:B$10000,SMALL(IF(ISNUMBER(MATCH($B$2:$B$10000,$E$6:$E$22,0)),ROW($C$2:$C$10000)-ROW($C$2)+1),ROWS(L$20:L1715))))</f>
        <v/>
      </c>
      <c r="I1715" s="4" t="str">
        <f t="array" ref="I1715">IF(ROWS(M$20:M1715)&gt;$F$6,"",INDEX(C$2:C$10000,SMALL(IF(ISNUMBER(MATCH($B$2:$B$10000,$E$6:$E$22,0)),ROW($C$2:$C$10000)-ROW($C$2)+1),ROWS(M$20:M1715))))</f>
        <v/>
      </c>
      <c r="K1715" s="7" t="str">
        <f t="array" ref="K1715">IF(ROWS(K$20:K1715)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1715))))</f>
        <v/>
      </c>
      <c r="L1715" s="4" t="str">
        <f t="array" ref="L1715">IF(ROWS(L$20:L1715)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1715))))</f>
        <v/>
      </c>
      <c r="M1715" s="4" t="str">
        <f t="array" ref="M1715">IF(ROWS(M$20:M1715)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1715))))</f>
        <v/>
      </c>
    </row>
    <row r="1716" spans="1:13" x14ac:dyDescent="0.25">
      <c r="A1716" s="3">
        <v>41802</v>
      </c>
      <c r="B1716" s="2" t="s">
        <v>26</v>
      </c>
      <c r="C1716" s="2">
        <v>17</v>
      </c>
      <c r="G1716" s="7" t="str">
        <f t="array" ref="G1716">IF(ROWS(K$20:K1716)&gt;$F$6,"",INDEX(A$2:A$10000,SMALL(IF(ISNUMBER(MATCH($B$2:$B$10000,$E$6:$E$22,0)),ROW($C$2:$C$10000)-ROW($C$2)+1),ROWS(K$20:K1716))))</f>
        <v/>
      </c>
      <c r="H1716" s="4" t="str">
        <f t="array" ref="H1716">IF(ROWS(L$20:L1716)&gt;$F$6,"",INDEX(B$2:B$10000,SMALL(IF(ISNUMBER(MATCH($B$2:$B$10000,$E$6:$E$22,0)),ROW($C$2:$C$10000)-ROW($C$2)+1),ROWS(L$20:L1716))))</f>
        <v/>
      </c>
      <c r="I1716" s="4" t="str">
        <f t="array" ref="I1716">IF(ROWS(M$20:M1716)&gt;$F$6,"",INDEX(C$2:C$10000,SMALL(IF(ISNUMBER(MATCH($B$2:$B$10000,$E$6:$E$22,0)),ROW($C$2:$C$10000)-ROW($C$2)+1),ROWS(M$20:M1716))))</f>
        <v/>
      </c>
      <c r="K1716" s="7" t="str">
        <f t="array" ref="K1716">IF(ROWS(K$20:K1716)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1716))))</f>
        <v/>
      </c>
      <c r="L1716" s="4" t="str">
        <f t="array" ref="L1716">IF(ROWS(L$20:L1716)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1716))))</f>
        <v/>
      </c>
      <c r="M1716" s="4" t="str">
        <f t="array" ref="M1716">IF(ROWS(M$20:M1716)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1716))))</f>
        <v/>
      </c>
    </row>
    <row r="1717" spans="1:13" x14ac:dyDescent="0.25">
      <c r="A1717" s="3">
        <v>41454</v>
      </c>
      <c r="B1717" s="2" t="s">
        <v>9</v>
      </c>
      <c r="C1717" s="2">
        <v>10</v>
      </c>
      <c r="G1717" s="7" t="str">
        <f t="array" ref="G1717">IF(ROWS(K$20:K1717)&gt;$F$6,"",INDEX(A$2:A$10000,SMALL(IF(ISNUMBER(MATCH($B$2:$B$10000,$E$6:$E$22,0)),ROW($C$2:$C$10000)-ROW($C$2)+1),ROWS(K$20:K1717))))</f>
        <v/>
      </c>
      <c r="H1717" s="4" t="str">
        <f t="array" ref="H1717">IF(ROWS(L$20:L1717)&gt;$F$6,"",INDEX(B$2:B$10000,SMALL(IF(ISNUMBER(MATCH($B$2:$B$10000,$E$6:$E$22,0)),ROW($C$2:$C$10000)-ROW($C$2)+1),ROWS(L$20:L1717))))</f>
        <v/>
      </c>
      <c r="I1717" s="4" t="str">
        <f t="array" ref="I1717">IF(ROWS(M$20:M1717)&gt;$F$6,"",INDEX(C$2:C$10000,SMALL(IF(ISNUMBER(MATCH($B$2:$B$10000,$E$6:$E$22,0)),ROW($C$2:$C$10000)-ROW($C$2)+1),ROWS(M$20:M1717))))</f>
        <v/>
      </c>
      <c r="K1717" s="7" t="str">
        <f t="array" ref="K1717">IF(ROWS(K$20:K1717)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1717))))</f>
        <v/>
      </c>
      <c r="L1717" s="4" t="str">
        <f t="array" ref="L1717">IF(ROWS(L$20:L1717)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1717))))</f>
        <v/>
      </c>
      <c r="M1717" s="4" t="str">
        <f t="array" ref="M1717">IF(ROWS(M$20:M1717)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1717))))</f>
        <v/>
      </c>
    </row>
    <row r="1718" spans="1:13" x14ac:dyDescent="0.25">
      <c r="A1718" s="3">
        <v>41812</v>
      </c>
      <c r="B1718" s="2" t="s">
        <v>45</v>
      </c>
      <c r="C1718" s="2">
        <v>23</v>
      </c>
      <c r="G1718" s="7" t="str">
        <f t="array" ref="G1718">IF(ROWS(K$20:K1718)&gt;$F$6,"",INDEX(A$2:A$10000,SMALL(IF(ISNUMBER(MATCH($B$2:$B$10000,$E$6:$E$22,0)),ROW($C$2:$C$10000)-ROW($C$2)+1),ROWS(K$20:K1718))))</f>
        <v/>
      </c>
      <c r="H1718" s="4" t="str">
        <f t="array" ref="H1718">IF(ROWS(L$20:L1718)&gt;$F$6,"",INDEX(B$2:B$10000,SMALL(IF(ISNUMBER(MATCH($B$2:$B$10000,$E$6:$E$22,0)),ROW($C$2:$C$10000)-ROW($C$2)+1),ROWS(L$20:L1718))))</f>
        <v/>
      </c>
      <c r="I1718" s="4" t="str">
        <f t="array" ref="I1718">IF(ROWS(M$20:M1718)&gt;$F$6,"",INDEX(C$2:C$10000,SMALL(IF(ISNUMBER(MATCH($B$2:$B$10000,$E$6:$E$22,0)),ROW($C$2:$C$10000)-ROW($C$2)+1),ROWS(M$20:M1718))))</f>
        <v/>
      </c>
      <c r="K1718" s="7" t="str">
        <f t="array" ref="K1718">IF(ROWS(K$20:K1718)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1718))))</f>
        <v/>
      </c>
      <c r="L1718" s="4" t="str">
        <f t="array" ref="L1718">IF(ROWS(L$20:L1718)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1718))))</f>
        <v/>
      </c>
      <c r="M1718" s="4" t="str">
        <f t="array" ref="M1718">IF(ROWS(M$20:M1718)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1718))))</f>
        <v/>
      </c>
    </row>
    <row r="1719" spans="1:13" x14ac:dyDescent="0.25">
      <c r="A1719" s="3">
        <v>41359</v>
      </c>
      <c r="B1719" s="2" t="s">
        <v>29</v>
      </c>
      <c r="C1719" s="2">
        <v>37</v>
      </c>
      <c r="G1719" s="7" t="str">
        <f t="array" ref="G1719">IF(ROWS(K$20:K1719)&gt;$F$6,"",INDEX(A$2:A$10000,SMALL(IF(ISNUMBER(MATCH($B$2:$B$10000,$E$6:$E$22,0)),ROW($C$2:$C$10000)-ROW($C$2)+1),ROWS(K$20:K1719))))</f>
        <v/>
      </c>
      <c r="H1719" s="4" t="str">
        <f t="array" ref="H1719">IF(ROWS(L$20:L1719)&gt;$F$6,"",INDEX(B$2:B$10000,SMALL(IF(ISNUMBER(MATCH($B$2:$B$10000,$E$6:$E$22,0)),ROW($C$2:$C$10000)-ROW($C$2)+1),ROWS(L$20:L1719))))</f>
        <v/>
      </c>
      <c r="I1719" s="4" t="str">
        <f t="array" ref="I1719">IF(ROWS(M$20:M1719)&gt;$F$6,"",INDEX(C$2:C$10000,SMALL(IF(ISNUMBER(MATCH($B$2:$B$10000,$E$6:$E$22,0)),ROW($C$2:$C$10000)-ROW($C$2)+1),ROWS(M$20:M1719))))</f>
        <v/>
      </c>
      <c r="K1719" s="7" t="str">
        <f t="array" ref="K1719">IF(ROWS(K$20:K1719)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1719))))</f>
        <v/>
      </c>
      <c r="L1719" s="4" t="str">
        <f t="array" ref="L1719">IF(ROWS(L$20:L1719)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1719))))</f>
        <v/>
      </c>
      <c r="M1719" s="4" t="str">
        <f t="array" ref="M1719">IF(ROWS(M$20:M1719)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1719))))</f>
        <v/>
      </c>
    </row>
    <row r="1720" spans="1:13" x14ac:dyDescent="0.25">
      <c r="A1720" s="3">
        <v>41530</v>
      </c>
      <c r="B1720" s="2" t="s">
        <v>46</v>
      </c>
      <c r="C1720" s="2">
        <v>39</v>
      </c>
      <c r="G1720" s="7" t="str">
        <f t="array" ref="G1720">IF(ROWS(K$20:K1720)&gt;$F$6,"",INDEX(A$2:A$10000,SMALL(IF(ISNUMBER(MATCH($B$2:$B$10000,$E$6:$E$22,0)),ROW($C$2:$C$10000)-ROW($C$2)+1),ROWS(K$20:K1720))))</f>
        <v/>
      </c>
      <c r="H1720" s="4" t="str">
        <f t="array" ref="H1720">IF(ROWS(L$20:L1720)&gt;$F$6,"",INDEX(B$2:B$10000,SMALL(IF(ISNUMBER(MATCH($B$2:$B$10000,$E$6:$E$22,0)),ROW($C$2:$C$10000)-ROW($C$2)+1),ROWS(L$20:L1720))))</f>
        <v/>
      </c>
      <c r="I1720" s="4" t="str">
        <f t="array" ref="I1720">IF(ROWS(M$20:M1720)&gt;$F$6,"",INDEX(C$2:C$10000,SMALL(IF(ISNUMBER(MATCH($B$2:$B$10000,$E$6:$E$22,0)),ROW($C$2:$C$10000)-ROW($C$2)+1),ROWS(M$20:M1720))))</f>
        <v/>
      </c>
      <c r="K1720" s="7" t="str">
        <f t="array" ref="K1720">IF(ROWS(K$20:K1720)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1720))))</f>
        <v/>
      </c>
      <c r="L1720" s="4" t="str">
        <f t="array" ref="L1720">IF(ROWS(L$20:L1720)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1720))))</f>
        <v/>
      </c>
      <c r="M1720" s="4" t="str">
        <f t="array" ref="M1720">IF(ROWS(M$20:M1720)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1720))))</f>
        <v/>
      </c>
    </row>
    <row r="1721" spans="1:13" x14ac:dyDescent="0.25">
      <c r="A1721" s="3">
        <v>41967</v>
      </c>
      <c r="B1721" s="2" t="s">
        <v>25</v>
      </c>
      <c r="C1721" s="2">
        <v>19</v>
      </c>
      <c r="G1721" s="7" t="str">
        <f t="array" ref="G1721">IF(ROWS(K$20:K1721)&gt;$F$6,"",INDEX(A$2:A$10000,SMALL(IF(ISNUMBER(MATCH($B$2:$B$10000,$E$6:$E$22,0)),ROW($C$2:$C$10000)-ROW($C$2)+1),ROWS(K$20:K1721))))</f>
        <v/>
      </c>
      <c r="H1721" s="4" t="str">
        <f t="array" ref="H1721">IF(ROWS(L$20:L1721)&gt;$F$6,"",INDEX(B$2:B$10000,SMALL(IF(ISNUMBER(MATCH($B$2:$B$10000,$E$6:$E$22,0)),ROW($C$2:$C$10000)-ROW($C$2)+1),ROWS(L$20:L1721))))</f>
        <v/>
      </c>
      <c r="I1721" s="4" t="str">
        <f t="array" ref="I1721">IF(ROWS(M$20:M1721)&gt;$F$6,"",INDEX(C$2:C$10000,SMALL(IF(ISNUMBER(MATCH($B$2:$B$10000,$E$6:$E$22,0)),ROW($C$2:$C$10000)-ROW($C$2)+1),ROWS(M$20:M1721))))</f>
        <v/>
      </c>
      <c r="K1721" s="7" t="str">
        <f t="array" ref="K1721">IF(ROWS(K$20:K1721)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1721))))</f>
        <v/>
      </c>
      <c r="L1721" s="4" t="str">
        <f t="array" ref="L1721">IF(ROWS(L$20:L1721)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1721))))</f>
        <v/>
      </c>
      <c r="M1721" s="4" t="str">
        <f t="array" ref="M1721">IF(ROWS(M$20:M1721)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1721))))</f>
        <v/>
      </c>
    </row>
    <row r="1722" spans="1:13" x14ac:dyDescent="0.25">
      <c r="A1722" s="3">
        <v>41810</v>
      </c>
      <c r="B1722" s="2" t="s">
        <v>39</v>
      </c>
      <c r="C1722" s="2">
        <v>24</v>
      </c>
      <c r="G1722" s="7" t="str">
        <f t="array" ref="G1722">IF(ROWS(K$20:K1722)&gt;$F$6,"",INDEX(A$2:A$10000,SMALL(IF(ISNUMBER(MATCH($B$2:$B$10000,$E$6:$E$22,0)),ROW($C$2:$C$10000)-ROW($C$2)+1),ROWS(K$20:K1722))))</f>
        <v/>
      </c>
      <c r="H1722" s="4" t="str">
        <f t="array" ref="H1722">IF(ROWS(L$20:L1722)&gt;$F$6,"",INDEX(B$2:B$10000,SMALL(IF(ISNUMBER(MATCH($B$2:$B$10000,$E$6:$E$22,0)),ROW($C$2:$C$10000)-ROW($C$2)+1),ROWS(L$20:L1722))))</f>
        <v/>
      </c>
      <c r="I1722" s="4" t="str">
        <f t="array" ref="I1722">IF(ROWS(M$20:M1722)&gt;$F$6,"",INDEX(C$2:C$10000,SMALL(IF(ISNUMBER(MATCH($B$2:$B$10000,$E$6:$E$22,0)),ROW($C$2:$C$10000)-ROW($C$2)+1),ROWS(M$20:M1722))))</f>
        <v/>
      </c>
      <c r="K1722" s="7" t="str">
        <f t="array" ref="K1722">IF(ROWS(K$20:K1722)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1722))))</f>
        <v/>
      </c>
      <c r="L1722" s="4" t="str">
        <f t="array" ref="L1722">IF(ROWS(L$20:L1722)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1722))))</f>
        <v/>
      </c>
      <c r="M1722" s="4" t="str">
        <f t="array" ref="M1722">IF(ROWS(M$20:M1722)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1722))))</f>
        <v/>
      </c>
    </row>
    <row r="1723" spans="1:13" x14ac:dyDescent="0.25">
      <c r="A1723" s="3">
        <v>41969</v>
      </c>
      <c r="B1723" s="2" t="s">
        <v>22</v>
      </c>
      <c r="C1723" s="2">
        <v>2</v>
      </c>
      <c r="G1723" s="7" t="str">
        <f t="array" ref="G1723">IF(ROWS(K$20:K1723)&gt;$F$6,"",INDEX(A$2:A$10000,SMALL(IF(ISNUMBER(MATCH($B$2:$B$10000,$E$6:$E$22,0)),ROW($C$2:$C$10000)-ROW($C$2)+1),ROWS(K$20:K1723))))</f>
        <v/>
      </c>
      <c r="H1723" s="4" t="str">
        <f t="array" ref="H1723">IF(ROWS(L$20:L1723)&gt;$F$6,"",INDEX(B$2:B$10000,SMALL(IF(ISNUMBER(MATCH($B$2:$B$10000,$E$6:$E$22,0)),ROW($C$2:$C$10000)-ROW($C$2)+1),ROWS(L$20:L1723))))</f>
        <v/>
      </c>
      <c r="I1723" s="4" t="str">
        <f t="array" ref="I1723">IF(ROWS(M$20:M1723)&gt;$F$6,"",INDEX(C$2:C$10000,SMALL(IF(ISNUMBER(MATCH($B$2:$B$10000,$E$6:$E$22,0)),ROW($C$2:$C$10000)-ROW($C$2)+1),ROWS(M$20:M1723))))</f>
        <v/>
      </c>
      <c r="K1723" s="7" t="str">
        <f t="array" ref="K1723">IF(ROWS(K$20:K1723)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1723))))</f>
        <v/>
      </c>
      <c r="L1723" s="4" t="str">
        <f t="array" ref="L1723">IF(ROWS(L$20:L1723)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1723))))</f>
        <v/>
      </c>
      <c r="M1723" s="4" t="str">
        <f t="array" ref="M1723">IF(ROWS(M$20:M1723)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1723))))</f>
        <v/>
      </c>
    </row>
    <row r="1724" spans="1:13" x14ac:dyDescent="0.25">
      <c r="A1724" s="3">
        <v>41507</v>
      </c>
      <c r="B1724" s="2" t="s">
        <v>8</v>
      </c>
      <c r="C1724" s="2">
        <v>25</v>
      </c>
      <c r="G1724" s="7" t="str">
        <f t="array" ref="G1724">IF(ROWS(K$20:K1724)&gt;$F$6,"",INDEX(A$2:A$10000,SMALL(IF(ISNUMBER(MATCH($B$2:$B$10000,$E$6:$E$22,0)),ROW($C$2:$C$10000)-ROW($C$2)+1),ROWS(K$20:K1724))))</f>
        <v/>
      </c>
      <c r="H1724" s="4" t="str">
        <f t="array" ref="H1724">IF(ROWS(L$20:L1724)&gt;$F$6,"",INDEX(B$2:B$10000,SMALL(IF(ISNUMBER(MATCH($B$2:$B$10000,$E$6:$E$22,0)),ROW($C$2:$C$10000)-ROW($C$2)+1),ROWS(L$20:L1724))))</f>
        <v/>
      </c>
      <c r="I1724" s="4" t="str">
        <f t="array" ref="I1724">IF(ROWS(M$20:M1724)&gt;$F$6,"",INDEX(C$2:C$10000,SMALL(IF(ISNUMBER(MATCH($B$2:$B$10000,$E$6:$E$22,0)),ROW($C$2:$C$10000)-ROW($C$2)+1),ROWS(M$20:M1724))))</f>
        <v/>
      </c>
      <c r="K1724" s="7" t="str">
        <f t="array" ref="K1724">IF(ROWS(K$20:K1724)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1724))))</f>
        <v/>
      </c>
      <c r="L1724" s="4" t="str">
        <f t="array" ref="L1724">IF(ROWS(L$20:L1724)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1724))))</f>
        <v/>
      </c>
      <c r="M1724" s="4" t="str">
        <f t="array" ref="M1724">IF(ROWS(M$20:M1724)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1724))))</f>
        <v/>
      </c>
    </row>
    <row r="1725" spans="1:13" x14ac:dyDescent="0.25">
      <c r="A1725" s="3">
        <v>41722</v>
      </c>
      <c r="B1725" s="2" t="s">
        <v>31</v>
      </c>
      <c r="C1725" s="2">
        <v>11</v>
      </c>
      <c r="G1725" s="7" t="str">
        <f t="array" ref="G1725">IF(ROWS(K$20:K1725)&gt;$F$6,"",INDEX(A$2:A$10000,SMALL(IF(ISNUMBER(MATCH($B$2:$B$10000,$E$6:$E$22,0)),ROW($C$2:$C$10000)-ROW($C$2)+1),ROWS(K$20:K1725))))</f>
        <v/>
      </c>
      <c r="H1725" s="4" t="str">
        <f t="array" ref="H1725">IF(ROWS(L$20:L1725)&gt;$F$6,"",INDEX(B$2:B$10000,SMALL(IF(ISNUMBER(MATCH($B$2:$B$10000,$E$6:$E$22,0)),ROW($C$2:$C$10000)-ROW($C$2)+1),ROWS(L$20:L1725))))</f>
        <v/>
      </c>
      <c r="I1725" s="4" t="str">
        <f t="array" ref="I1725">IF(ROWS(M$20:M1725)&gt;$F$6,"",INDEX(C$2:C$10000,SMALL(IF(ISNUMBER(MATCH($B$2:$B$10000,$E$6:$E$22,0)),ROW($C$2:$C$10000)-ROW($C$2)+1),ROWS(M$20:M1725))))</f>
        <v/>
      </c>
      <c r="K1725" s="7" t="str">
        <f t="array" ref="K1725">IF(ROWS(K$20:K1725)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1725))))</f>
        <v/>
      </c>
      <c r="L1725" s="4" t="str">
        <f t="array" ref="L1725">IF(ROWS(L$20:L1725)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1725))))</f>
        <v/>
      </c>
      <c r="M1725" s="4" t="str">
        <f t="array" ref="M1725">IF(ROWS(M$20:M1725)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1725))))</f>
        <v/>
      </c>
    </row>
    <row r="1726" spans="1:13" x14ac:dyDescent="0.25">
      <c r="A1726" s="3">
        <v>42001</v>
      </c>
      <c r="B1726" s="2" t="s">
        <v>43</v>
      </c>
      <c r="C1726" s="2">
        <v>36</v>
      </c>
      <c r="G1726" s="7" t="str">
        <f t="array" ref="G1726">IF(ROWS(K$20:K1726)&gt;$F$6,"",INDEX(A$2:A$10000,SMALL(IF(ISNUMBER(MATCH($B$2:$B$10000,$E$6:$E$22,0)),ROW($C$2:$C$10000)-ROW($C$2)+1),ROWS(K$20:K1726))))</f>
        <v/>
      </c>
      <c r="H1726" s="4" t="str">
        <f t="array" ref="H1726">IF(ROWS(L$20:L1726)&gt;$F$6,"",INDEX(B$2:B$10000,SMALL(IF(ISNUMBER(MATCH($B$2:$B$10000,$E$6:$E$22,0)),ROW($C$2:$C$10000)-ROW($C$2)+1),ROWS(L$20:L1726))))</f>
        <v/>
      </c>
      <c r="I1726" s="4" t="str">
        <f t="array" ref="I1726">IF(ROWS(M$20:M1726)&gt;$F$6,"",INDEX(C$2:C$10000,SMALL(IF(ISNUMBER(MATCH($B$2:$B$10000,$E$6:$E$22,0)),ROW($C$2:$C$10000)-ROW($C$2)+1),ROWS(M$20:M1726))))</f>
        <v/>
      </c>
      <c r="K1726" s="7" t="str">
        <f t="array" ref="K1726">IF(ROWS(K$20:K1726)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1726))))</f>
        <v/>
      </c>
      <c r="L1726" s="4" t="str">
        <f t="array" ref="L1726">IF(ROWS(L$20:L1726)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1726))))</f>
        <v/>
      </c>
      <c r="M1726" s="4" t="str">
        <f t="array" ref="M1726">IF(ROWS(M$20:M1726)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1726))))</f>
        <v/>
      </c>
    </row>
    <row r="1727" spans="1:13" x14ac:dyDescent="0.25">
      <c r="A1727" s="3">
        <v>41709</v>
      </c>
      <c r="B1727" s="2" t="s">
        <v>28</v>
      </c>
      <c r="C1727" s="2">
        <v>1</v>
      </c>
      <c r="G1727" s="7" t="str">
        <f t="array" ref="G1727">IF(ROWS(K$20:K1727)&gt;$F$6,"",INDEX(A$2:A$10000,SMALL(IF(ISNUMBER(MATCH($B$2:$B$10000,$E$6:$E$22,0)),ROW($C$2:$C$10000)-ROW($C$2)+1),ROWS(K$20:K1727))))</f>
        <v/>
      </c>
      <c r="H1727" s="4" t="str">
        <f t="array" ref="H1727">IF(ROWS(L$20:L1727)&gt;$F$6,"",INDEX(B$2:B$10000,SMALL(IF(ISNUMBER(MATCH($B$2:$B$10000,$E$6:$E$22,0)),ROW($C$2:$C$10000)-ROW($C$2)+1),ROWS(L$20:L1727))))</f>
        <v/>
      </c>
      <c r="I1727" s="4" t="str">
        <f t="array" ref="I1727">IF(ROWS(M$20:M1727)&gt;$F$6,"",INDEX(C$2:C$10000,SMALL(IF(ISNUMBER(MATCH($B$2:$B$10000,$E$6:$E$22,0)),ROW($C$2:$C$10000)-ROW($C$2)+1),ROWS(M$20:M1727))))</f>
        <v/>
      </c>
      <c r="K1727" s="7" t="str">
        <f t="array" ref="K1727">IF(ROWS(K$20:K1727)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1727))))</f>
        <v/>
      </c>
      <c r="L1727" s="4" t="str">
        <f t="array" ref="L1727">IF(ROWS(L$20:L1727)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1727))))</f>
        <v/>
      </c>
      <c r="M1727" s="4" t="str">
        <f t="array" ref="M1727">IF(ROWS(M$20:M1727)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1727))))</f>
        <v/>
      </c>
    </row>
    <row r="1728" spans="1:13" x14ac:dyDescent="0.25">
      <c r="A1728" s="3">
        <v>41420</v>
      </c>
      <c r="B1728" s="2" t="s">
        <v>18</v>
      </c>
      <c r="C1728" s="2">
        <v>33</v>
      </c>
      <c r="G1728" s="7" t="str">
        <f t="array" ref="G1728">IF(ROWS(K$20:K1728)&gt;$F$6,"",INDEX(A$2:A$10000,SMALL(IF(ISNUMBER(MATCH($B$2:$B$10000,$E$6:$E$22,0)),ROW($C$2:$C$10000)-ROW($C$2)+1),ROWS(K$20:K1728))))</f>
        <v/>
      </c>
      <c r="H1728" s="4" t="str">
        <f t="array" ref="H1728">IF(ROWS(L$20:L1728)&gt;$F$6,"",INDEX(B$2:B$10000,SMALL(IF(ISNUMBER(MATCH($B$2:$B$10000,$E$6:$E$22,0)),ROW($C$2:$C$10000)-ROW($C$2)+1),ROWS(L$20:L1728))))</f>
        <v/>
      </c>
      <c r="I1728" s="4" t="str">
        <f t="array" ref="I1728">IF(ROWS(M$20:M1728)&gt;$F$6,"",INDEX(C$2:C$10000,SMALL(IF(ISNUMBER(MATCH($B$2:$B$10000,$E$6:$E$22,0)),ROW($C$2:$C$10000)-ROW($C$2)+1),ROWS(M$20:M1728))))</f>
        <v/>
      </c>
      <c r="K1728" s="7" t="str">
        <f t="array" ref="K1728">IF(ROWS(K$20:K1728)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1728))))</f>
        <v/>
      </c>
      <c r="L1728" s="4" t="str">
        <f t="array" ref="L1728">IF(ROWS(L$20:L1728)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1728))))</f>
        <v/>
      </c>
      <c r="M1728" s="4" t="str">
        <f t="array" ref="M1728">IF(ROWS(M$20:M1728)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1728))))</f>
        <v/>
      </c>
    </row>
    <row r="1729" spans="1:13" x14ac:dyDescent="0.25">
      <c r="A1729" s="3">
        <v>41826</v>
      </c>
      <c r="B1729" s="2" t="s">
        <v>50</v>
      </c>
      <c r="C1729" s="2">
        <v>2</v>
      </c>
      <c r="G1729" s="7" t="str">
        <f t="array" ref="G1729">IF(ROWS(K$20:K1729)&gt;$F$6,"",INDEX(A$2:A$10000,SMALL(IF(ISNUMBER(MATCH($B$2:$B$10000,$E$6:$E$22,0)),ROW($C$2:$C$10000)-ROW($C$2)+1),ROWS(K$20:K1729))))</f>
        <v/>
      </c>
      <c r="H1729" s="4" t="str">
        <f t="array" ref="H1729">IF(ROWS(L$20:L1729)&gt;$F$6,"",INDEX(B$2:B$10000,SMALL(IF(ISNUMBER(MATCH($B$2:$B$10000,$E$6:$E$22,0)),ROW($C$2:$C$10000)-ROW($C$2)+1),ROWS(L$20:L1729))))</f>
        <v/>
      </c>
      <c r="I1729" s="4" t="str">
        <f t="array" ref="I1729">IF(ROWS(M$20:M1729)&gt;$F$6,"",INDEX(C$2:C$10000,SMALL(IF(ISNUMBER(MATCH($B$2:$B$10000,$E$6:$E$22,0)),ROW($C$2:$C$10000)-ROW($C$2)+1),ROWS(M$20:M1729))))</f>
        <v/>
      </c>
      <c r="K1729" s="7" t="str">
        <f t="array" ref="K1729">IF(ROWS(K$20:K1729)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1729))))</f>
        <v/>
      </c>
      <c r="L1729" s="4" t="str">
        <f t="array" ref="L1729">IF(ROWS(L$20:L1729)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1729))))</f>
        <v/>
      </c>
      <c r="M1729" s="4" t="str">
        <f t="array" ref="M1729">IF(ROWS(M$20:M1729)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1729))))</f>
        <v/>
      </c>
    </row>
    <row r="1730" spans="1:13" x14ac:dyDescent="0.25">
      <c r="A1730" s="3">
        <v>41727</v>
      </c>
      <c r="B1730" s="2" t="s">
        <v>39</v>
      </c>
      <c r="C1730" s="2">
        <v>49</v>
      </c>
      <c r="G1730" s="7" t="str">
        <f t="array" ref="G1730">IF(ROWS(K$20:K1730)&gt;$F$6,"",INDEX(A$2:A$10000,SMALL(IF(ISNUMBER(MATCH($B$2:$B$10000,$E$6:$E$22,0)),ROW($C$2:$C$10000)-ROW($C$2)+1),ROWS(K$20:K1730))))</f>
        <v/>
      </c>
      <c r="H1730" s="4" t="str">
        <f t="array" ref="H1730">IF(ROWS(L$20:L1730)&gt;$F$6,"",INDEX(B$2:B$10000,SMALL(IF(ISNUMBER(MATCH($B$2:$B$10000,$E$6:$E$22,0)),ROW($C$2:$C$10000)-ROW($C$2)+1),ROWS(L$20:L1730))))</f>
        <v/>
      </c>
      <c r="I1730" s="4" t="str">
        <f t="array" ref="I1730">IF(ROWS(M$20:M1730)&gt;$F$6,"",INDEX(C$2:C$10000,SMALL(IF(ISNUMBER(MATCH($B$2:$B$10000,$E$6:$E$22,0)),ROW($C$2:$C$10000)-ROW($C$2)+1),ROWS(M$20:M1730))))</f>
        <v/>
      </c>
      <c r="K1730" s="7" t="str">
        <f t="array" ref="K1730">IF(ROWS(K$20:K1730)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1730))))</f>
        <v/>
      </c>
      <c r="L1730" s="4" t="str">
        <f t="array" ref="L1730">IF(ROWS(L$20:L1730)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1730))))</f>
        <v/>
      </c>
      <c r="M1730" s="4" t="str">
        <f t="array" ref="M1730">IF(ROWS(M$20:M1730)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1730))))</f>
        <v/>
      </c>
    </row>
    <row r="1731" spans="1:13" x14ac:dyDescent="0.25">
      <c r="A1731" s="3">
        <v>41324</v>
      </c>
      <c r="B1731" s="2" t="s">
        <v>36</v>
      </c>
      <c r="C1731" s="2">
        <v>35</v>
      </c>
      <c r="G1731" s="7" t="str">
        <f t="array" ref="G1731">IF(ROWS(K$20:K1731)&gt;$F$6,"",INDEX(A$2:A$10000,SMALL(IF(ISNUMBER(MATCH($B$2:$B$10000,$E$6:$E$22,0)),ROW($C$2:$C$10000)-ROW($C$2)+1),ROWS(K$20:K1731))))</f>
        <v/>
      </c>
      <c r="H1731" s="4" t="str">
        <f t="array" ref="H1731">IF(ROWS(L$20:L1731)&gt;$F$6,"",INDEX(B$2:B$10000,SMALL(IF(ISNUMBER(MATCH($B$2:$B$10000,$E$6:$E$22,0)),ROW($C$2:$C$10000)-ROW($C$2)+1),ROWS(L$20:L1731))))</f>
        <v/>
      </c>
      <c r="I1731" s="4" t="str">
        <f t="array" ref="I1731">IF(ROWS(M$20:M1731)&gt;$F$6,"",INDEX(C$2:C$10000,SMALL(IF(ISNUMBER(MATCH($B$2:$B$10000,$E$6:$E$22,0)),ROW($C$2:$C$10000)-ROW($C$2)+1),ROWS(M$20:M1731))))</f>
        <v/>
      </c>
      <c r="K1731" s="7" t="str">
        <f t="array" ref="K1731">IF(ROWS(K$20:K1731)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1731))))</f>
        <v/>
      </c>
      <c r="L1731" s="4" t="str">
        <f t="array" ref="L1731">IF(ROWS(L$20:L1731)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1731))))</f>
        <v/>
      </c>
      <c r="M1731" s="4" t="str">
        <f t="array" ref="M1731">IF(ROWS(M$20:M1731)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1731))))</f>
        <v/>
      </c>
    </row>
    <row r="1732" spans="1:13" x14ac:dyDescent="0.25">
      <c r="A1732" s="3">
        <v>41573</v>
      </c>
      <c r="B1732" s="2" t="s">
        <v>11</v>
      </c>
      <c r="C1732" s="2">
        <v>29</v>
      </c>
      <c r="G1732" s="7" t="str">
        <f t="array" ref="G1732">IF(ROWS(K$20:K1732)&gt;$F$6,"",INDEX(A$2:A$10000,SMALL(IF(ISNUMBER(MATCH($B$2:$B$10000,$E$6:$E$22,0)),ROW($C$2:$C$10000)-ROW($C$2)+1),ROWS(K$20:K1732))))</f>
        <v/>
      </c>
      <c r="H1732" s="4" t="str">
        <f t="array" ref="H1732">IF(ROWS(L$20:L1732)&gt;$F$6,"",INDEX(B$2:B$10000,SMALL(IF(ISNUMBER(MATCH($B$2:$B$10000,$E$6:$E$22,0)),ROW($C$2:$C$10000)-ROW($C$2)+1),ROWS(L$20:L1732))))</f>
        <v/>
      </c>
      <c r="I1732" s="4" t="str">
        <f t="array" ref="I1732">IF(ROWS(M$20:M1732)&gt;$F$6,"",INDEX(C$2:C$10000,SMALL(IF(ISNUMBER(MATCH($B$2:$B$10000,$E$6:$E$22,0)),ROW($C$2:$C$10000)-ROW($C$2)+1),ROWS(M$20:M1732))))</f>
        <v/>
      </c>
      <c r="K1732" s="7" t="str">
        <f t="array" ref="K1732">IF(ROWS(K$20:K1732)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1732))))</f>
        <v/>
      </c>
      <c r="L1732" s="4" t="str">
        <f t="array" ref="L1732">IF(ROWS(L$20:L1732)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1732))))</f>
        <v/>
      </c>
      <c r="M1732" s="4" t="str">
        <f t="array" ref="M1732">IF(ROWS(M$20:M1732)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1732))))</f>
        <v/>
      </c>
    </row>
    <row r="1733" spans="1:13" x14ac:dyDescent="0.25">
      <c r="A1733" s="3">
        <v>41915</v>
      </c>
      <c r="B1733" s="2" t="s">
        <v>2</v>
      </c>
      <c r="C1733" s="2">
        <v>14</v>
      </c>
      <c r="G1733" s="7" t="str">
        <f t="array" ref="G1733">IF(ROWS(K$20:K1733)&gt;$F$6,"",INDEX(A$2:A$10000,SMALL(IF(ISNUMBER(MATCH($B$2:$B$10000,$E$6:$E$22,0)),ROW($C$2:$C$10000)-ROW($C$2)+1),ROWS(K$20:K1733))))</f>
        <v/>
      </c>
      <c r="H1733" s="4" t="str">
        <f t="array" ref="H1733">IF(ROWS(L$20:L1733)&gt;$F$6,"",INDEX(B$2:B$10000,SMALL(IF(ISNUMBER(MATCH($B$2:$B$10000,$E$6:$E$22,0)),ROW($C$2:$C$10000)-ROW($C$2)+1),ROWS(L$20:L1733))))</f>
        <v/>
      </c>
      <c r="I1733" s="4" t="str">
        <f t="array" ref="I1733">IF(ROWS(M$20:M1733)&gt;$F$6,"",INDEX(C$2:C$10000,SMALL(IF(ISNUMBER(MATCH($B$2:$B$10000,$E$6:$E$22,0)),ROW($C$2:$C$10000)-ROW($C$2)+1),ROWS(M$20:M1733))))</f>
        <v/>
      </c>
      <c r="K1733" s="7" t="str">
        <f t="array" ref="K1733">IF(ROWS(K$20:K1733)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1733))))</f>
        <v/>
      </c>
      <c r="L1733" s="4" t="str">
        <f t="array" ref="L1733">IF(ROWS(L$20:L1733)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1733))))</f>
        <v/>
      </c>
      <c r="M1733" s="4" t="str">
        <f t="array" ref="M1733">IF(ROWS(M$20:M1733)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1733))))</f>
        <v/>
      </c>
    </row>
    <row r="1734" spans="1:13" x14ac:dyDescent="0.25">
      <c r="A1734" s="3">
        <v>41935</v>
      </c>
      <c r="B1734" s="2" t="s">
        <v>14</v>
      </c>
      <c r="C1734" s="2">
        <v>27</v>
      </c>
      <c r="G1734" s="7" t="str">
        <f t="array" ref="G1734">IF(ROWS(K$20:K1734)&gt;$F$6,"",INDEX(A$2:A$10000,SMALL(IF(ISNUMBER(MATCH($B$2:$B$10000,$E$6:$E$22,0)),ROW($C$2:$C$10000)-ROW($C$2)+1),ROWS(K$20:K1734))))</f>
        <v/>
      </c>
      <c r="H1734" s="4" t="str">
        <f t="array" ref="H1734">IF(ROWS(L$20:L1734)&gt;$F$6,"",INDEX(B$2:B$10000,SMALL(IF(ISNUMBER(MATCH($B$2:$B$10000,$E$6:$E$22,0)),ROW($C$2:$C$10000)-ROW($C$2)+1),ROWS(L$20:L1734))))</f>
        <v/>
      </c>
      <c r="I1734" s="4" t="str">
        <f t="array" ref="I1734">IF(ROWS(M$20:M1734)&gt;$F$6,"",INDEX(C$2:C$10000,SMALL(IF(ISNUMBER(MATCH($B$2:$B$10000,$E$6:$E$22,0)),ROW($C$2:$C$10000)-ROW($C$2)+1),ROWS(M$20:M1734))))</f>
        <v/>
      </c>
      <c r="K1734" s="7" t="str">
        <f t="array" ref="K1734">IF(ROWS(K$20:K1734)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1734))))</f>
        <v/>
      </c>
      <c r="L1734" s="4" t="str">
        <f t="array" ref="L1734">IF(ROWS(L$20:L1734)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1734))))</f>
        <v/>
      </c>
      <c r="M1734" s="4" t="str">
        <f t="array" ref="M1734">IF(ROWS(M$20:M1734)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1734))))</f>
        <v/>
      </c>
    </row>
    <row r="1735" spans="1:13" x14ac:dyDescent="0.25">
      <c r="A1735" s="3">
        <v>41756</v>
      </c>
      <c r="B1735" s="2" t="s">
        <v>9</v>
      </c>
      <c r="C1735" s="2">
        <v>28</v>
      </c>
      <c r="G1735" s="7" t="str">
        <f t="array" ref="G1735">IF(ROWS(K$20:K1735)&gt;$F$6,"",INDEX(A$2:A$10000,SMALL(IF(ISNUMBER(MATCH($B$2:$B$10000,$E$6:$E$22,0)),ROW($C$2:$C$10000)-ROW($C$2)+1),ROWS(K$20:K1735))))</f>
        <v/>
      </c>
      <c r="H1735" s="4" t="str">
        <f t="array" ref="H1735">IF(ROWS(L$20:L1735)&gt;$F$6,"",INDEX(B$2:B$10000,SMALL(IF(ISNUMBER(MATCH($B$2:$B$10000,$E$6:$E$22,0)),ROW($C$2:$C$10000)-ROW($C$2)+1),ROWS(L$20:L1735))))</f>
        <v/>
      </c>
      <c r="I1735" s="4" t="str">
        <f t="array" ref="I1735">IF(ROWS(M$20:M1735)&gt;$F$6,"",INDEX(C$2:C$10000,SMALL(IF(ISNUMBER(MATCH($B$2:$B$10000,$E$6:$E$22,0)),ROW($C$2:$C$10000)-ROW($C$2)+1),ROWS(M$20:M1735))))</f>
        <v/>
      </c>
      <c r="K1735" s="7" t="str">
        <f t="array" ref="K1735">IF(ROWS(K$20:K1735)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1735))))</f>
        <v/>
      </c>
      <c r="L1735" s="4" t="str">
        <f t="array" ref="L1735">IF(ROWS(L$20:L1735)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1735))))</f>
        <v/>
      </c>
      <c r="M1735" s="4" t="str">
        <f t="array" ref="M1735">IF(ROWS(M$20:M1735)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1735))))</f>
        <v/>
      </c>
    </row>
    <row r="1736" spans="1:13" x14ac:dyDescent="0.25">
      <c r="A1736" s="3">
        <v>41655</v>
      </c>
      <c r="B1736" s="2" t="s">
        <v>2</v>
      </c>
      <c r="C1736" s="2">
        <v>20</v>
      </c>
      <c r="G1736" s="7" t="str">
        <f t="array" ref="G1736">IF(ROWS(K$20:K1736)&gt;$F$6,"",INDEX(A$2:A$10000,SMALL(IF(ISNUMBER(MATCH($B$2:$B$10000,$E$6:$E$22,0)),ROW($C$2:$C$10000)-ROW($C$2)+1),ROWS(K$20:K1736))))</f>
        <v/>
      </c>
      <c r="H1736" s="4" t="str">
        <f t="array" ref="H1736">IF(ROWS(L$20:L1736)&gt;$F$6,"",INDEX(B$2:B$10000,SMALL(IF(ISNUMBER(MATCH($B$2:$B$10000,$E$6:$E$22,0)),ROW($C$2:$C$10000)-ROW($C$2)+1),ROWS(L$20:L1736))))</f>
        <v/>
      </c>
      <c r="I1736" s="4" t="str">
        <f t="array" ref="I1736">IF(ROWS(M$20:M1736)&gt;$F$6,"",INDEX(C$2:C$10000,SMALL(IF(ISNUMBER(MATCH($B$2:$B$10000,$E$6:$E$22,0)),ROW($C$2:$C$10000)-ROW($C$2)+1),ROWS(M$20:M1736))))</f>
        <v/>
      </c>
      <c r="K1736" s="7" t="str">
        <f t="array" ref="K1736">IF(ROWS(K$20:K1736)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1736))))</f>
        <v/>
      </c>
      <c r="L1736" s="4" t="str">
        <f t="array" ref="L1736">IF(ROWS(L$20:L1736)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1736))))</f>
        <v/>
      </c>
      <c r="M1736" s="4" t="str">
        <f t="array" ref="M1736">IF(ROWS(M$20:M1736)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1736))))</f>
        <v/>
      </c>
    </row>
    <row r="1737" spans="1:13" x14ac:dyDescent="0.25">
      <c r="A1737" s="3">
        <v>41402</v>
      </c>
      <c r="B1737" s="2" t="s">
        <v>27</v>
      </c>
      <c r="C1737" s="2">
        <v>53</v>
      </c>
      <c r="G1737" s="7" t="str">
        <f t="array" ref="G1737">IF(ROWS(K$20:K1737)&gt;$F$6,"",INDEX(A$2:A$10000,SMALL(IF(ISNUMBER(MATCH($B$2:$B$10000,$E$6:$E$22,0)),ROW($C$2:$C$10000)-ROW($C$2)+1),ROWS(K$20:K1737))))</f>
        <v/>
      </c>
      <c r="H1737" s="4" t="str">
        <f t="array" ref="H1737">IF(ROWS(L$20:L1737)&gt;$F$6,"",INDEX(B$2:B$10000,SMALL(IF(ISNUMBER(MATCH($B$2:$B$10000,$E$6:$E$22,0)),ROW($C$2:$C$10000)-ROW($C$2)+1),ROWS(L$20:L1737))))</f>
        <v/>
      </c>
      <c r="I1737" s="4" t="str">
        <f t="array" ref="I1737">IF(ROWS(M$20:M1737)&gt;$F$6,"",INDEX(C$2:C$10000,SMALL(IF(ISNUMBER(MATCH($B$2:$B$10000,$E$6:$E$22,0)),ROW($C$2:$C$10000)-ROW($C$2)+1),ROWS(M$20:M1737))))</f>
        <v/>
      </c>
      <c r="K1737" s="7" t="str">
        <f t="array" ref="K1737">IF(ROWS(K$20:K1737)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1737))))</f>
        <v/>
      </c>
      <c r="L1737" s="4" t="str">
        <f t="array" ref="L1737">IF(ROWS(L$20:L1737)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1737))))</f>
        <v/>
      </c>
      <c r="M1737" s="4" t="str">
        <f t="array" ref="M1737">IF(ROWS(M$20:M1737)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1737))))</f>
        <v/>
      </c>
    </row>
    <row r="1738" spans="1:13" x14ac:dyDescent="0.25">
      <c r="A1738" s="3">
        <v>41316</v>
      </c>
      <c r="B1738" s="2" t="s">
        <v>4</v>
      </c>
      <c r="C1738" s="2">
        <v>8</v>
      </c>
      <c r="G1738" s="7" t="str">
        <f t="array" ref="G1738">IF(ROWS(K$20:K1738)&gt;$F$6,"",INDEX(A$2:A$10000,SMALL(IF(ISNUMBER(MATCH($B$2:$B$10000,$E$6:$E$22,0)),ROW($C$2:$C$10000)-ROW($C$2)+1),ROWS(K$20:K1738))))</f>
        <v/>
      </c>
      <c r="H1738" s="4" t="str">
        <f t="array" ref="H1738">IF(ROWS(L$20:L1738)&gt;$F$6,"",INDEX(B$2:B$10000,SMALL(IF(ISNUMBER(MATCH($B$2:$B$10000,$E$6:$E$22,0)),ROW($C$2:$C$10000)-ROW($C$2)+1),ROWS(L$20:L1738))))</f>
        <v/>
      </c>
      <c r="I1738" s="4" t="str">
        <f t="array" ref="I1738">IF(ROWS(M$20:M1738)&gt;$F$6,"",INDEX(C$2:C$10000,SMALL(IF(ISNUMBER(MATCH($B$2:$B$10000,$E$6:$E$22,0)),ROW($C$2:$C$10000)-ROW($C$2)+1),ROWS(M$20:M1738))))</f>
        <v/>
      </c>
      <c r="K1738" s="7" t="str">
        <f t="array" ref="K1738">IF(ROWS(K$20:K1738)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1738))))</f>
        <v/>
      </c>
      <c r="L1738" s="4" t="str">
        <f t="array" ref="L1738">IF(ROWS(L$20:L1738)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1738))))</f>
        <v/>
      </c>
      <c r="M1738" s="4" t="str">
        <f t="array" ref="M1738">IF(ROWS(M$20:M1738)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1738))))</f>
        <v/>
      </c>
    </row>
    <row r="1739" spans="1:13" x14ac:dyDescent="0.25">
      <c r="A1739" s="3">
        <v>41456</v>
      </c>
      <c r="B1739" s="2" t="s">
        <v>11</v>
      </c>
      <c r="C1739" s="2">
        <v>29</v>
      </c>
      <c r="G1739" s="7" t="str">
        <f t="array" ref="G1739">IF(ROWS(K$20:K1739)&gt;$F$6,"",INDEX(A$2:A$10000,SMALL(IF(ISNUMBER(MATCH($B$2:$B$10000,$E$6:$E$22,0)),ROW($C$2:$C$10000)-ROW($C$2)+1),ROWS(K$20:K1739))))</f>
        <v/>
      </c>
      <c r="H1739" s="4" t="str">
        <f t="array" ref="H1739">IF(ROWS(L$20:L1739)&gt;$F$6,"",INDEX(B$2:B$10000,SMALL(IF(ISNUMBER(MATCH($B$2:$B$10000,$E$6:$E$22,0)),ROW($C$2:$C$10000)-ROW($C$2)+1),ROWS(L$20:L1739))))</f>
        <v/>
      </c>
      <c r="I1739" s="4" t="str">
        <f t="array" ref="I1739">IF(ROWS(M$20:M1739)&gt;$F$6,"",INDEX(C$2:C$10000,SMALL(IF(ISNUMBER(MATCH($B$2:$B$10000,$E$6:$E$22,0)),ROW($C$2:$C$10000)-ROW($C$2)+1),ROWS(M$20:M1739))))</f>
        <v/>
      </c>
      <c r="K1739" s="7" t="str">
        <f t="array" ref="K1739">IF(ROWS(K$20:K1739)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1739))))</f>
        <v/>
      </c>
      <c r="L1739" s="4" t="str">
        <f t="array" ref="L1739">IF(ROWS(L$20:L1739)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1739))))</f>
        <v/>
      </c>
      <c r="M1739" s="4" t="str">
        <f t="array" ref="M1739">IF(ROWS(M$20:M1739)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1739))))</f>
        <v/>
      </c>
    </row>
    <row r="1740" spans="1:13" x14ac:dyDescent="0.25">
      <c r="A1740" s="3">
        <v>41982</v>
      </c>
      <c r="B1740" s="2" t="s">
        <v>51</v>
      </c>
      <c r="C1740" s="2">
        <v>34</v>
      </c>
      <c r="G1740" s="7" t="str">
        <f t="array" ref="G1740">IF(ROWS(K$20:K1740)&gt;$F$6,"",INDEX(A$2:A$10000,SMALL(IF(ISNUMBER(MATCH($B$2:$B$10000,$E$6:$E$22,0)),ROW($C$2:$C$10000)-ROW($C$2)+1),ROWS(K$20:K1740))))</f>
        <v/>
      </c>
      <c r="H1740" s="4" t="str">
        <f t="array" ref="H1740">IF(ROWS(L$20:L1740)&gt;$F$6,"",INDEX(B$2:B$10000,SMALL(IF(ISNUMBER(MATCH($B$2:$B$10000,$E$6:$E$22,0)),ROW($C$2:$C$10000)-ROW($C$2)+1),ROWS(L$20:L1740))))</f>
        <v/>
      </c>
      <c r="I1740" s="4" t="str">
        <f t="array" ref="I1740">IF(ROWS(M$20:M1740)&gt;$F$6,"",INDEX(C$2:C$10000,SMALL(IF(ISNUMBER(MATCH($B$2:$B$10000,$E$6:$E$22,0)),ROW($C$2:$C$10000)-ROW($C$2)+1),ROWS(M$20:M1740))))</f>
        <v/>
      </c>
      <c r="K1740" s="7" t="str">
        <f t="array" ref="K1740">IF(ROWS(K$20:K1740)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1740))))</f>
        <v/>
      </c>
      <c r="L1740" s="4" t="str">
        <f t="array" ref="L1740">IF(ROWS(L$20:L1740)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1740))))</f>
        <v/>
      </c>
      <c r="M1740" s="4" t="str">
        <f t="array" ref="M1740">IF(ROWS(M$20:M1740)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1740))))</f>
        <v/>
      </c>
    </row>
    <row r="1741" spans="1:13" x14ac:dyDescent="0.25">
      <c r="A1741" s="3">
        <v>41470</v>
      </c>
      <c r="B1741" s="2" t="s">
        <v>21</v>
      </c>
      <c r="C1741" s="2">
        <v>8</v>
      </c>
      <c r="G1741" s="7" t="str">
        <f t="array" ref="G1741">IF(ROWS(K$20:K1741)&gt;$F$6,"",INDEX(A$2:A$10000,SMALL(IF(ISNUMBER(MATCH($B$2:$B$10000,$E$6:$E$22,0)),ROW($C$2:$C$10000)-ROW($C$2)+1),ROWS(K$20:K1741))))</f>
        <v/>
      </c>
      <c r="H1741" s="4" t="str">
        <f t="array" ref="H1741">IF(ROWS(L$20:L1741)&gt;$F$6,"",INDEX(B$2:B$10000,SMALL(IF(ISNUMBER(MATCH($B$2:$B$10000,$E$6:$E$22,0)),ROW($C$2:$C$10000)-ROW($C$2)+1),ROWS(L$20:L1741))))</f>
        <v/>
      </c>
      <c r="I1741" s="4" t="str">
        <f t="array" ref="I1741">IF(ROWS(M$20:M1741)&gt;$F$6,"",INDEX(C$2:C$10000,SMALL(IF(ISNUMBER(MATCH($B$2:$B$10000,$E$6:$E$22,0)),ROW($C$2:$C$10000)-ROW($C$2)+1),ROWS(M$20:M1741))))</f>
        <v/>
      </c>
      <c r="K1741" s="7" t="str">
        <f t="array" ref="K1741">IF(ROWS(K$20:K1741)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1741))))</f>
        <v/>
      </c>
      <c r="L1741" s="4" t="str">
        <f t="array" ref="L1741">IF(ROWS(L$20:L1741)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1741))))</f>
        <v/>
      </c>
      <c r="M1741" s="4" t="str">
        <f t="array" ref="M1741">IF(ROWS(M$20:M1741)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1741))))</f>
        <v/>
      </c>
    </row>
    <row r="1742" spans="1:13" x14ac:dyDescent="0.25">
      <c r="A1742" s="3">
        <v>41801</v>
      </c>
      <c r="B1742" s="2" t="s">
        <v>14</v>
      </c>
      <c r="C1742" s="2">
        <v>35</v>
      </c>
      <c r="G1742" s="7" t="str">
        <f t="array" ref="G1742">IF(ROWS(K$20:K1742)&gt;$F$6,"",INDEX(A$2:A$10000,SMALL(IF(ISNUMBER(MATCH($B$2:$B$10000,$E$6:$E$22,0)),ROW($C$2:$C$10000)-ROW($C$2)+1),ROWS(K$20:K1742))))</f>
        <v/>
      </c>
      <c r="H1742" s="4" t="str">
        <f t="array" ref="H1742">IF(ROWS(L$20:L1742)&gt;$F$6,"",INDEX(B$2:B$10000,SMALL(IF(ISNUMBER(MATCH($B$2:$B$10000,$E$6:$E$22,0)),ROW($C$2:$C$10000)-ROW($C$2)+1),ROWS(L$20:L1742))))</f>
        <v/>
      </c>
      <c r="I1742" s="4" t="str">
        <f t="array" ref="I1742">IF(ROWS(M$20:M1742)&gt;$F$6,"",INDEX(C$2:C$10000,SMALL(IF(ISNUMBER(MATCH($B$2:$B$10000,$E$6:$E$22,0)),ROW($C$2:$C$10000)-ROW($C$2)+1),ROWS(M$20:M1742))))</f>
        <v/>
      </c>
      <c r="K1742" s="7" t="str">
        <f t="array" ref="K1742">IF(ROWS(K$20:K1742)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1742))))</f>
        <v/>
      </c>
      <c r="L1742" s="4" t="str">
        <f t="array" ref="L1742">IF(ROWS(L$20:L1742)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1742))))</f>
        <v/>
      </c>
      <c r="M1742" s="4" t="str">
        <f t="array" ref="M1742">IF(ROWS(M$20:M1742)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1742))))</f>
        <v/>
      </c>
    </row>
    <row r="1743" spans="1:13" x14ac:dyDescent="0.25">
      <c r="A1743" s="3">
        <v>41640</v>
      </c>
      <c r="B1743" s="2" t="s">
        <v>15</v>
      </c>
      <c r="C1743" s="2">
        <v>16</v>
      </c>
      <c r="G1743" s="7" t="str">
        <f t="array" ref="G1743">IF(ROWS(K$20:K1743)&gt;$F$6,"",INDEX(A$2:A$10000,SMALL(IF(ISNUMBER(MATCH($B$2:$B$10000,$E$6:$E$22,0)),ROW($C$2:$C$10000)-ROW($C$2)+1),ROWS(K$20:K1743))))</f>
        <v/>
      </c>
      <c r="H1743" s="4" t="str">
        <f t="array" ref="H1743">IF(ROWS(L$20:L1743)&gt;$F$6,"",INDEX(B$2:B$10000,SMALL(IF(ISNUMBER(MATCH($B$2:$B$10000,$E$6:$E$22,0)),ROW($C$2:$C$10000)-ROW($C$2)+1),ROWS(L$20:L1743))))</f>
        <v/>
      </c>
      <c r="I1743" s="4" t="str">
        <f t="array" ref="I1743">IF(ROWS(M$20:M1743)&gt;$F$6,"",INDEX(C$2:C$10000,SMALL(IF(ISNUMBER(MATCH($B$2:$B$10000,$E$6:$E$22,0)),ROW($C$2:$C$10000)-ROW($C$2)+1),ROWS(M$20:M1743))))</f>
        <v/>
      </c>
      <c r="K1743" s="7" t="str">
        <f t="array" ref="K1743">IF(ROWS(K$20:K1743)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1743))))</f>
        <v/>
      </c>
      <c r="L1743" s="4" t="str">
        <f t="array" ref="L1743">IF(ROWS(L$20:L1743)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1743))))</f>
        <v/>
      </c>
      <c r="M1743" s="4" t="str">
        <f t="array" ref="M1743">IF(ROWS(M$20:M1743)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1743))))</f>
        <v/>
      </c>
    </row>
    <row r="1744" spans="1:13" x14ac:dyDescent="0.25">
      <c r="A1744" s="3">
        <v>41543</v>
      </c>
      <c r="B1744" s="2" t="s">
        <v>37</v>
      </c>
      <c r="C1744" s="2">
        <v>16</v>
      </c>
      <c r="G1744" s="7" t="str">
        <f t="array" ref="G1744">IF(ROWS(K$20:K1744)&gt;$F$6,"",INDEX(A$2:A$10000,SMALL(IF(ISNUMBER(MATCH($B$2:$B$10000,$E$6:$E$22,0)),ROW($C$2:$C$10000)-ROW($C$2)+1),ROWS(K$20:K1744))))</f>
        <v/>
      </c>
      <c r="H1744" s="4" t="str">
        <f t="array" ref="H1744">IF(ROWS(L$20:L1744)&gt;$F$6,"",INDEX(B$2:B$10000,SMALL(IF(ISNUMBER(MATCH($B$2:$B$10000,$E$6:$E$22,0)),ROW($C$2:$C$10000)-ROW($C$2)+1),ROWS(L$20:L1744))))</f>
        <v/>
      </c>
      <c r="I1744" s="4" t="str">
        <f t="array" ref="I1744">IF(ROWS(M$20:M1744)&gt;$F$6,"",INDEX(C$2:C$10000,SMALL(IF(ISNUMBER(MATCH($B$2:$B$10000,$E$6:$E$22,0)),ROW($C$2:$C$10000)-ROW($C$2)+1),ROWS(M$20:M1744))))</f>
        <v/>
      </c>
      <c r="K1744" s="7" t="str">
        <f t="array" ref="K1744">IF(ROWS(K$20:K1744)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1744))))</f>
        <v/>
      </c>
      <c r="L1744" s="4" t="str">
        <f t="array" ref="L1744">IF(ROWS(L$20:L1744)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1744))))</f>
        <v/>
      </c>
      <c r="M1744" s="4" t="str">
        <f t="array" ref="M1744">IF(ROWS(M$20:M1744)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1744))))</f>
        <v/>
      </c>
    </row>
    <row r="1745" spans="1:13" x14ac:dyDescent="0.25">
      <c r="A1745" s="3">
        <v>41380</v>
      </c>
      <c r="B1745" s="2" t="s">
        <v>47</v>
      </c>
      <c r="C1745" s="2">
        <v>70</v>
      </c>
      <c r="G1745" s="7" t="str">
        <f t="array" ref="G1745">IF(ROWS(K$20:K1745)&gt;$F$6,"",INDEX(A$2:A$10000,SMALL(IF(ISNUMBER(MATCH($B$2:$B$10000,$E$6:$E$22,0)),ROW($C$2:$C$10000)-ROW($C$2)+1),ROWS(K$20:K1745))))</f>
        <v/>
      </c>
      <c r="H1745" s="4" t="str">
        <f t="array" ref="H1745">IF(ROWS(L$20:L1745)&gt;$F$6,"",INDEX(B$2:B$10000,SMALL(IF(ISNUMBER(MATCH($B$2:$B$10000,$E$6:$E$22,0)),ROW($C$2:$C$10000)-ROW($C$2)+1),ROWS(L$20:L1745))))</f>
        <v/>
      </c>
      <c r="I1745" s="4" t="str">
        <f t="array" ref="I1745">IF(ROWS(M$20:M1745)&gt;$F$6,"",INDEX(C$2:C$10000,SMALL(IF(ISNUMBER(MATCH($B$2:$B$10000,$E$6:$E$22,0)),ROW($C$2:$C$10000)-ROW($C$2)+1),ROWS(M$20:M1745))))</f>
        <v/>
      </c>
      <c r="K1745" s="7" t="str">
        <f t="array" ref="K1745">IF(ROWS(K$20:K1745)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1745))))</f>
        <v/>
      </c>
      <c r="L1745" s="4" t="str">
        <f t="array" ref="L1745">IF(ROWS(L$20:L1745)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1745))))</f>
        <v/>
      </c>
      <c r="M1745" s="4" t="str">
        <f t="array" ref="M1745">IF(ROWS(M$20:M1745)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1745))))</f>
        <v/>
      </c>
    </row>
    <row r="1746" spans="1:13" x14ac:dyDescent="0.25">
      <c r="A1746" s="3">
        <v>41291</v>
      </c>
      <c r="B1746" s="2" t="s">
        <v>27</v>
      </c>
      <c r="C1746" s="2">
        <v>28</v>
      </c>
      <c r="G1746" s="7" t="str">
        <f t="array" ref="G1746">IF(ROWS(K$20:K1746)&gt;$F$6,"",INDEX(A$2:A$10000,SMALL(IF(ISNUMBER(MATCH($B$2:$B$10000,$E$6:$E$22,0)),ROW($C$2:$C$10000)-ROW($C$2)+1),ROWS(K$20:K1746))))</f>
        <v/>
      </c>
      <c r="H1746" s="4" t="str">
        <f t="array" ref="H1746">IF(ROWS(L$20:L1746)&gt;$F$6,"",INDEX(B$2:B$10000,SMALL(IF(ISNUMBER(MATCH($B$2:$B$10000,$E$6:$E$22,0)),ROW($C$2:$C$10000)-ROW($C$2)+1),ROWS(L$20:L1746))))</f>
        <v/>
      </c>
      <c r="I1746" s="4" t="str">
        <f t="array" ref="I1746">IF(ROWS(M$20:M1746)&gt;$F$6,"",INDEX(C$2:C$10000,SMALL(IF(ISNUMBER(MATCH($B$2:$B$10000,$E$6:$E$22,0)),ROW($C$2:$C$10000)-ROW($C$2)+1),ROWS(M$20:M1746))))</f>
        <v/>
      </c>
      <c r="K1746" s="7" t="str">
        <f t="array" ref="K1746">IF(ROWS(K$20:K1746)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1746))))</f>
        <v/>
      </c>
      <c r="L1746" s="4" t="str">
        <f t="array" ref="L1746">IF(ROWS(L$20:L1746)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1746))))</f>
        <v/>
      </c>
      <c r="M1746" s="4" t="str">
        <f t="array" ref="M1746">IF(ROWS(M$20:M1746)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1746))))</f>
        <v/>
      </c>
    </row>
    <row r="1747" spans="1:13" x14ac:dyDescent="0.25">
      <c r="A1747" s="3">
        <v>41943</v>
      </c>
      <c r="B1747" s="2" t="s">
        <v>7</v>
      </c>
      <c r="C1747" s="2">
        <v>19</v>
      </c>
      <c r="G1747" s="7" t="str">
        <f t="array" ref="G1747">IF(ROWS(K$20:K1747)&gt;$F$6,"",INDEX(A$2:A$10000,SMALL(IF(ISNUMBER(MATCH($B$2:$B$10000,$E$6:$E$22,0)),ROW($C$2:$C$10000)-ROW($C$2)+1),ROWS(K$20:K1747))))</f>
        <v/>
      </c>
      <c r="H1747" s="4" t="str">
        <f t="array" ref="H1747">IF(ROWS(L$20:L1747)&gt;$F$6,"",INDEX(B$2:B$10000,SMALL(IF(ISNUMBER(MATCH($B$2:$B$10000,$E$6:$E$22,0)),ROW($C$2:$C$10000)-ROW($C$2)+1),ROWS(L$20:L1747))))</f>
        <v/>
      </c>
      <c r="I1747" s="4" t="str">
        <f t="array" ref="I1747">IF(ROWS(M$20:M1747)&gt;$F$6,"",INDEX(C$2:C$10000,SMALL(IF(ISNUMBER(MATCH($B$2:$B$10000,$E$6:$E$22,0)),ROW($C$2:$C$10000)-ROW($C$2)+1),ROWS(M$20:M1747))))</f>
        <v/>
      </c>
      <c r="K1747" s="7" t="str">
        <f t="array" ref="K1747">IF(ROWS(K$20:K1747)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1747))))</f>
        <v/>
      </c>
      <c r="L1747" s="4" t="str">
        <f t="array" ref="L1747">IF(ROWS(L$20:L1747)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1747))))</f>
        <v/>
      </c>
      <c r="M1747" s="4" t="str">
        <f t="array" ref="M1747">IF(ROWS(M$20:M1747)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1747))))</f>
        <v/>
      </c>
    </row>
    <row r="1748" spans="1:13" x14ac:dyDescent="0.25">
      <c r="A1748" s="3">
        <v>41848</v>
      </c>
      <c r="B1748" s="2" t="s">
        <v>17</v>
      </c>
      <c r="C1748" s="2">
        <v>37</v>
      </c>
      <c r="G1748" s="7" t="str">
        <f t="array" ref="G1748">IF(ROWS(K$20:K1748)&gt;$F$6,"",INDEX(A$2:A$10000,SMALL(IF(ISNUMBER(MATCH($B$2:$B$10000,$E$6:$E$22,0)),ROW($C$2:$C$10000)-ROW($C$2)+1),ROWS(K$20:K1748))))</f>
        <v/>
      </c>
      <c r="H1748" s="4" t="str">
        <f t="array" ref="H1748">IF(ROWS(L$20:L1748)&gt;$F$6,"",INDEX(B$2:B$10000,SMALL(IF(ISNUMBER(MATCH($B$2:$B$10000,$E$6:$E$22,0)),ROW($C$2:$C$10000)-ROW($C$2)+1),ROWS(L$20:L1748))))</f>
        <v/>
      </c>
      <c r="I1748" s="4" t="str">
        <f t="array" ref="I1748">IF(ROWS(M$20:M1748)&gt;$F$6,"",INDEX(C$2:C$10000,SMALL(IF(ISNUMBER(MATCH($B$2:$B$10000,$E$6:$E$22,0)),ROW($C$2:$C$10000)-ROW($C$2)+1),ROWS(M$20:M1748))))</f>
        <v/>
      </c>
      <c r="K1748" s="7" t="str">
        <f t="array" ref="K1748">IF(ROWS(K$20:K1748)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1748))))</f>
        <v/>
      </c>
      <c r="L1748" s="4" t="str">
        <f t="array" ref="L1748">IF(ROWS(L$20:L1748)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1748))))</f>
        <v/>
      </c>
      <c r="M1748" s="4" t="str">
        <f t="array" ref="M1748">IF(ROWS(M$20:M1748)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1748))))</f>
        <v/>
      </c>
    </row>
    <row r="1749" spans="1:13" x14ac:dyDescent="0.25">
      <c r="A1749" s="3">
        <v>41676</v>
      </c>
      <c r="B1749" s="2" t="s">
        <v>41</v>
      </c>
      <c r="C1749" s="2">
        <v>36</v>
      </c>
      <c r="G1749" s="7" t="str">
        <f t="array" ref="G1749">IF(ROWS(K$20:K1749)&gt;$F$6,"",INDEX(A$2:A$10000,SMALL(IF(ISNUMBER(MATCH($B$2:$B$10000,$E$6:$E$22,0)),ROW($C$2:$C$10000)-ROW($C$2)+1),ROWS(K$20:K1749))))</f>
        <v/>
      </c>
      <c r="H1749" s="4" t="str">
        <f t="array" ref="H1749">IF(ROWS(L$20:L1749)&gt;$F$6,"",INDEX(B$2:B$10000,SMALL(IF(ISNUMBER(MATCH($B$2:$B$10000,$E$6:$E$22,0)),ROW($C$2:$C$10000)-ROW($C$2)+1),ROWS(L$20:L1749))))</f>
        <v/>
      </c>
      <c r="I1749" s="4" t="str">
        <f t="array" ref="I1749">IF(ROWS(M$20:M1749)&gt;$F$6,"",INDEX(C$2:C$10000,SMALL(IF(ISNUMBER(MATCH($B$2:$B$10000,$E$6:$E$22,0)),ROW($C$2:$C$10000)-ROW($C$2)+1),ROWS(M$20:M1749))))</f>
        <v/>
      </c>
      <c r="K1749" s="7" t="str">
        <f t="array" ref="K1749">IF(ROWS(K$20:K1749)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1749))))</f>
        <v/>
      </c>
      <c r="L1749" s="4" t="str">
        <f t="array" ref="L1749">IF(ROWS(L$20:L1749)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1749))))</f>
        <v/>
      </c>
      <c r="M1749" s="4" t="str">
        <f t="array" ref="M1749">IF(ROWS(M$20:M1749)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1749))))</f>
        <v/>
      </c>
    </row>
    <row r="1750" spans="1:13" x14ac:dyDescent="0.25">
      <c r="A1750" s="3">
        <v>41875</v>
      </c>
      <c r="B1750" s="2" t="s">
        <v>48</v>
      </c>
      <c r="C1750" s="2">
        <v>23</v>
      </c>
      <c r="G1750" s="7" t="str">
        <f t="array" ref="G1750">IF(ROWS(K$20:K1750)&gt;$F$6,"",INDEX(A$2:A$10000,SMALL(IF(ISNUMBER(MATCH($B$2:$B$10000,$E$6:$E$22,0)),ROW($C$2:$C$10000)-ROW($C$2)+1),ROWS(K$20:K1750))))</f>
        <v/>
      </c>
      <c r="H1750" s="4" t="str">
        <f t="array" ref="H1750">IF(ROWS(L$20:L1750)&gt;$F$6,"",INDEX(B$2:B$10000,SMALL(IF(ISNUMBER(MATCH($B$2:$B$10000,$E$6:$E$22,0)),ROW($C$2:$C$10000)-ROW($C$2)+1),ROWS(L$20:L1750))))</f>
        <v/>
      </c>
      <c r="I1750" s="4" t="str">
        <f t="array" ref="I1750">IF(ROWS(M$20:M1750)&gt;$F$6,"",INDEX(C$2:C$10000,SMALL(IF(ISNUMBER(MATCH($B$2:$B$10000,$E$6:$E$22,0)),ROW($C$2:$C$10000)-ROW($C$2)+1),ROWS(M$20:M1750))))</f>
        <v/>
      </c>
      <c r="K1750" s="7" t="str">
        <f t="array" ref="K1750">IF(ROWS(K$20:K1750)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1750))))</f>
        <v/>
      </c>
      <c r="L1750" s="4" t="str">
        <f t="array" ref="L1750">IF(ROWS(L$20:L1750)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1750))))</f>
        <v/>
      </c>
      <c r="M1750" s="4" t="str">
        <f t="array" ref="M1750">IF(ROWS(M$20:M1750)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1750))))</f>
        <v/>
      </c>
    </row>
    <row r="1751" spans="1:13" x14ac:dyDescent="0.25">
      <c r="A1751" s="3">
        <v>41649</v>
      </c>
      <c r="B1751" s="2" t="s">
        <v>15</v>
      </c>
      <c r="C1751" s="2">
        <v>41</v>
      </c>
      <c r="G1751" s="7" t="str">
        <f t="array" ref="G1751">IF(ROWS(K$20:K1751)&gt;$F$6,"",INDEX(A$2:A$10000,SMALL(IF(ISNUMBER(MATCH($B$2:$B$10000,$E$6:$E$22,0)),ROW($C$2:$C$10000)-ROW($C$2)+1),ROWS(K$20:K1751))))</f>
        <v/>
      </c>
      <c r="H1751" s="4" t="str">
        <f t="array" ref="H1751">IF(ROWS(L$20:L1751)&gt;$F$6,"",INDEX(B$2:B$10000,SMALL(IF(ISNUMBER(MATCH($B$2:$B$10000,$E$6:$E$22,0)),ROW($C$2:$C$10000)-ROW($C$2)+1),ROWS(L$20:L1751))))</f>
        <v/>
      </c>
      <c r="I1751" s="4" t="str">
        <f t="array" ref="I1751">IF(ROWS(M$20:M1751)&gt;$F$6,"",INDEX(C$2:C$10000,SMALL(IF(ISNUMBER(MATCH($B$2:$B$10000,$E$6:$E$22,0)),ROW($C$2:$C$10000)-ROW($C$2)+1),ROWS(M$20:M1751))))</f>
        <v/>
      </c>
      <c r="K1751" s="7" t="str">
        <f t="array" ref="K1751">IF(ROWS(K$20:K1751)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1751))))</f>
        <v/>
      </c>
      <c r="L1751" s="4" t="str">
        <f t="array" ref="L1751">IF(ROWS(L$20:L1751)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1751))))</f>
        <v/>
      </c>
      <c r="M1751" s="4" t="str">
        <f t="array" ref="M1751">IF(ROWS(M$20:M1751)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1751))))</f>
        <v/>
      </c>
    </row>
    <row r="1752" spans="1:13" x14ac:dyDescent="0.25">
      <c r="A1752" s="3">
        <v>41958</v>
      </c>
      <c r="B1752" s="2" t="s">
        <v>45</v>
      </c>
      <c r="C1752" s="2">
        <v>25</v>
      </c>
      <c r="G1752" s="7" t="str">
        <f t="array" ref="G1752">IF(ROWS(K$20:K1752)&gt;$F$6,"",INDEX(A$2:A$10000,SMALL(IF(ISNUMBER(MATCH($B$2:$B$10000,$E$6:$E$22,0)),ROW($C$2:$C$10000)-ROW($C$2)+1),ROWS(K$20:K1752))))</f>
        <v/>
      </c>
      <c r="H1752" s="4" t="str">
        <f t="array" ref="H1752">IF(ROWS(L$20:L1752)&gt;$F$6,"",INDEX(B$2:B$10000,SMALL(IF(ISNUMBER(MATCH($B$2:$B$10000,$E$6:$E$22,0)),ROW($C$2:$C$10000)-ROW($C$2)+1),ROWS(L$20:L1752))))</f>
        <v/>
      </c>
      <c r="I1752" s="4" t="str">
        <f t="array" ref="I1752">IF(ROWS(M$20:M1752)&gt;$F$6,"",INDEX(C$2:C$10000,SMALL(IF(ISNUMBER(MATCH($B$2:$B$10000,$E$6:$E$22,0)),ROW($C$2:$C$10000)-ROW($C$2)+1),ROWS(M$20:M1752))))</f>
        <v/>
      </c>
      <c r="K1752" s="7" t="str">
        <f t="array" ref="K1752">IF(ROWS(K$20:K1752)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1752))))</f>
        <v/>
      </c>
      <c r="L1752" s="4" t="str">
        <f t="array" ref="L1752">IF(ROWS(L$20:L1752)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1752))))</f>
        <v/>
      </c>
      <c r="M1752" s="4" t="str">
        <f t="array" ref="M1752">IF(ROWS(M$20:M1752)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1752))))</f>
        <v/>
      </c>
    </row>
    <row r="1753" spans="1:13" x14ac:dyDescent="0.25">
      <c r="A1753" s="3">
        <v>41368</v>
      </c>
      <c r="B1753" s="2" t="s">
        <v>31</v>
      </c>
      <c r="C1753" s="2">
        <v>24</v>
      </c>
      <c r="G1753" s="7" t="str">
        <f t="array" ref="G1753">IF(ROWS(K$20:K1753)&gt;$F$6,"",INDEX(A$2:A$10000,SMALL(IF(ISNUMBER(MATCH($B$2:$B$10000,$E$6:$E$22,0)),ROW($C$2:$C$10000)-ROW($C$2)+1),ROWS(K$20:K1753))))</f>
        <v/>
      </c>
      <c r="H1753" s="4" t="str">
        <f t="array" ref="H1753">IF(ROWS(L$20:L1753)&gt;$F$6,"",INDEX(B$2:B$10000,SMALL(IF(ISNUMBER(MATCH($B$2:$B$10000,$E$6:$E$22,0)),ROW($C$2:$C$10000)-ROW($C$2)+1),ROWS(L$20:L1753))))</f>
        <v/>
      </c>
      <c r="I1753" s="4" t="str">
        <f t="array" ref="I1753">IF(ROWS(M$20:M1753)&gt;$F$6,"",INDEX(C$2:C$10000,SMALL(IF(ISNUMBER(MATCH($B$2:$B$10000,$E$6:$E$22,0)),ROW($C$2:$C$10000)-ROW($C$2)+1),ROWS(M$20:M1753))))</f>
        <v/>
      </c>
      <c r="K1753" s="7" t="str">
        <f t="array" ref="K1753">IF(ROWS(K$20:K1753)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1753))))</f>
        <v/>
      </c>
      <c r="L1753" s="4" t="str">
        <f t="array" ref="L1753">IF(ROWS(L$20:L1753)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1753))))</f>
        <v/>
      </c>
      <c r="M1753" s="4" t="str">
        <f t="array" ref="M1753">IF(ROWS(M$20:M1753)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1753))))</f>
        <v/>
      </c>
    </row>
    <row r="1754" spans="1:13" x14ac:dyDescent="0.25">
      <c r="A1754" s="3">
        <v>41408</v>
      </c>
      <c r="B1754" s="2" t="s">
        <v>48</v>
      </c>
      <c r="C1754" s="2">
        <v>31</v>
      </c>
      <c r="G1754" s="7" t="str">
        <f t="array" ref="G1754">IF(ROWS(K$20:K1754)&gt;$F$6,"",INDEX(A$2:A$10000,SMALL(IF(ISNUMBER(MATCH($B$2:$B$10000,$E$6:$E$22,0)),ROW($C$2:$C$10000)-ROW($C$2)+1),ROWS(K$20:K1754))))</f>
        <v/>
      </c>
      <c r="H1754" s="4" t="str">
        <f t="array" ref="H1754">IF(ROWS(L$20:L1754)&gt;$F$6,"",INDEX(B$2:B$10000,SMALL(IF(ISNUMBER(MATCH($B$2:$B$10000,$E$6:$E$22,0)),ROW($C$2:$C$10000)-ROW($C$2)+1),ROWS(L$20:L1754))))</f>
        <v/>
      </c>
      <c r="I1754" s="4" t="str">
        <f t="array" ref="I1754">IF(ROWS(M$20:M1754)&gt;$F$6,"",INDEX(C$2:C$10000,SMALL(IF(ISNUMBER(MATCH($B$2:$B$10000,$E$6:$E$22,0)),ROW($C$2:$C$10000)-ROW($C$2)+1),ROWS(M$20:M1754))))</f>
        <v/>
      </c>
      <c r="K1754" s="7" t="str">
        <f t="array" ref="K1754">IF(ROWS(K$20:K1754)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1754))))</f>
        <v/>
      </c>
      <c r="L1754" s="4" t="str">
        <f t="array" ref="L1754">IF(ROWS(L$20:L1754)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1754))))</f>
        <v/>
      </c>
      <c r="M1754" s="4" t="str">
        <f t="array" ref="M1754">IF(ROWS(M$20:M1754)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1754))))</f>
        <v/>
      </c>
    </row>
    <row r="1755" spans="1:13" x14ac:dyDescent="0.25">
      <c r="A1755" s="3">
        <v>41299</v>
      </c>
      <c r="B1755" s="2" t="s">
        <v>45</v>
      </c>
      <c r="C1755" s="2">
        <v>23</v>
      </c>
      <c r="G1755" s="7" t="str">
        <f t="array" ref="G1755">IF(ROWS(K$20:K1755)&gt;$F$6,"",INDEX(A$2:A$10000,SMALL(IF(ISNUMBER(MATCH($B$2:$B$10000,$E$6:$E$22,0)),ROW($C$2:$C$10000)-ROW($C$2)+1),ROWS(K$20:K1755))))</f>
        <v/>
      </c>
      <c r="H1755" s="4" t="str">
        <f t="array" ref="H1755">IF(ROWS(L$20:L1755)&gt;$F$6,"",INDEX(B$2:B$10000,SMALL(IF(ISNUMBER(MATCH($B$2:$B$10000,$E$6:$E$22,0)),ROW($C$2:$C$10000)-ROW($C$2)+1),ROWS(L$20:L1755))))</f>
        <v/>
      </c>
      <c r="I1755" s="4" t="str">
        <f t="array" ref="I1755">IF(ROWS(M$20:M1755)&gt;$F$6,"",INDEX(C$2:C$10000,SMALL(IF(ISNUMBER(MATCH($B$2:$B$10000,$E$6:$E$22,0)),ROW($C$2:$C$10000)-ROW($C$2)+1),ROWS(M$20:M1755))))</f>
        <v/>
      </c>
      <c r="K1755" s="7" t="str">
        <f t="array" ref="K1755">IF(ROWS(K$20:K1755)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1755))))</f>
        <v/>
      </c>
      <c r="L1755" s="4" t="str">
        <f t="array" ref="L1755">IF(ROWS(L$20:L1755)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1755))))</f>
        <v/>
      </c>
      <c r="M1755" s="4" t="str">
        <f t="array" ref="M1755">IF(ROWS(M$20:M1755)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1755))))</f>
        <v/>
      </c>
    </row>
    <row r="1756" spans="1:13" x14ac:dyDescent="0.25">
      <c r="A1756" s="3">
        <v>41642</v>
      </c>
      <c r="B1756" s="2" t="s">
        <v>40</v>
      </c>
      <c r="C1756" s="2">
        <v>39</v>
      </c>
      <c r="G1756" s="7" t="str">
        <f t="array" ref="G1756">IF(ROWS(K$20:K1756)&gt;$F$6,"",INDEX(A$2:A$10000,SMALL(IF(ISNUMBER(MATCH($B$2:$B$10000,$E$6:$E$22,0)),ROW($C$2:$C$10000)-ROW($C$2)+1),ROWS(K$20:K1756))))</f>
        <v/>
      </c>
      <c r="H1756" s="4" t="str">
        <f t="array" ref="H1756">IF(ROWS(L$20:L1756)&gt;$F$6,"",INDEX(B$2:B$10000,SMALL(IF(ISNUMBER(MATCH($B$2:$B$10000,$E$6:$E$22,0)),ROW($C$2:$C$10000)-ROW($C$2)+1),ROWS(L$20:L1756))))</f>
        <v/>
      </c>
      <c r="I1756" s="4" t="str">
        <f t="array" ref="I1756">IF(ROWS(M$20:M1756)&gt;$F$6,"",INDEX(C$2:C$10000,SMALL(IF(ISNUMBER(MATCH($B$2:$B$10000,$E$6:$E$22,0)),ROW($C$2:$C$10000)-ROW($C$2)+1),ROWS(M$20:M1756))))</f>
        <v/>
      </c>
      <c r="K1756" s="7" t="str">
        <f t="array" ref="K1756">IF(ROWS(K$20:K1756)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1756))))</f>
        <v/>
      </c>
      <c r="L1756" s="4" t="str">
        <f t="array" ref="L1756">IF(ROWS(L$20:L1756)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1756))))</f>
        <v/>
      </c>
      <c r="M1756" s="4" t="str">
        <f t="array" ref="M1756">IF(ROWS(M$20:M1756)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1756))))</f>
        <v/>
      </c>
    </row>
    <row r="1757" spans="1:13" x14ac:dyDescent="0.25">
      <c r="A1757" s="3">
        <v>41652</v>
      </c>
      <c r="B1757" s="2" t="s">
        <v>22</v>
      </c>
      <c r="C1757" s="2">
        <v>44</v>
      </c>
      <c r="G1757" s="7" t="str">
        <f t="array" ref="G1757">IF(ROWS(K$20:K1757)&gt;$F$6,"",INDEX(A$2:A$10000,SMALL(IF(ISNUMBER(MATCH($B$2:$B$10000,$E$6:$E$22,0)),ROW($C$2:$C$10000)-ROW($C$2)+1),ROWS(K$20:K1757))))</f>
        <v/>
      </c>
      <c r="H1757" s="4" t="str">
        <f t="array" ref="H1757">IF(ROWS(L$20:L1757)&gt;$F$6,"",INDEX(B$2:B$10000,SMALL(IF(ISNUMBER(MATCH($B$2:$B$10000,$E$6:$E$22,0)),ROW($C$2:$C$10000)-ROW($C$2)+1),ROWS(L$20:L1757))))</f>
        <v/>
      </c>
      <c r="I1757" s="4" t="str">
        <f t="array" ref="I1757">IF(ROWS(M$20:M1757)&gt;$F$6,"",INDEX(C$2:C$10000,SMALL(IF(ISNUMBER(MATCH($B$2:$B$10000,$E$6:$E$22,0)),ROW($C$2:$C$10000)-ROW($C$2)+1),ROWS(M$20:M1757))))</f>
        <v/>
      </c>
      <c r="K1757" s="7" t="str">
        <f t="array" ref="K1757">IF(ROWS(K$20:K1757)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1757))))</f>
        <v/>
      </c>
      <c r="L1757" s="4" t="str">
        <f t="array" ref="L1757">IF(ROWS(L$20:L1757)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1757))))</f>
        <v/>
      </c>
      <c r="M1757" s="4" t="str">
        <f t="array" ref="M1757">IF(ROWS(M$20:M1757)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1757))))</f>
        <v/>
      </c>
    </row>
    <row r="1758" spans="1:13" x14ac:dyDescent="0.25">
      <c r="A1758" s="3">
        <v>41537</v>
      </c>
      <c r="B1758" s="2" t="s">
        <v>30</v>
      </c>
      <c r="C1758" s="2">
        <v>13</v>
      </c>
      <c r="G1758" s="7" t="str">
        <f t="array" ref="G1758">IF(ROWS(K$20:K1758)&gt;$F$6,"",INDEX(A$2:A$10000,SMALL(IF(ISNUMBER(MATCH($B$2:$B$10000,$E$6:$E$22,0)),ROW($C$2:$C$10000)-ROW($C$2)+1),ROWS(K$20:K1758))))</f>
        <v/>
      </c>
      <c r="H1758" s="4" t="str">
        <f t="array" ref="H1758">IF(ROWS(L$20:L1758)&gt;$F$6,"",INDEX(B$2:B$10000,SMALL(IF(ISNUMBER(MATCH($B$2:$B$10000,$E$6:$E$22,0)),ROW($C$2:$C$10000)-ROW($C$2)+1),ROWS(L$20:L1758))))</f>
        <v/>
      </c>
      <c r="I1758" s="4" t="str">
        <f t="array" ref="I1758">IF(ROWS(M$20:M1758)&gt;$F$6,"",INDEX(C$2:C$10000,SMALL(IF(ISNUMBER(MATCH($B$2:$B$10000,$E$6:$E$22,0)),ROW($C$2:$C$10000)-ROW($C$2)+1),ROWS(M$20:M1758))))</f>
        <v/>
      </c>
      <c r="K1758" s="7" t="str">
        <f t="array" ref="K1758">IF(ROWS(K$20:K1758)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1758))))</f>
        <v/>
      </c>
      <c r="L1758" s="4" t="str">
        <f t="array" ref="L1758">IF(ROWS(L$20:L1758)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1758))))</f>
        <v/>
      </c>
      <c r="M1758" s="4" t="str">
        <f t="array" ref="M1758">IF(ROWS(M$20:M1758)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1758))))</f>
        <v/>
      </c>
    </row>
    <row r="1759" spans="1:13" x14ac:dyDescent="0.25">
      <c r="A1759" s="3">
        <v>41354</v>
      </c>
      <c r="B1759" s="2" t="s">
        <v>3</v>
      </c>
      <c r="C1759" s="2">
        <v>46</v>
      </c>
      <c r="G1759" s="7" t="str">
        <f t="array" ref="G1759">IF(ROWS(K$20:K1759)&gt;$F$6,"",INDEX(A$2:A$10000,SMALL(IF(ISNUMBER(MATCH($B$2:$B$10000,$E$6:$E$22,0)),ROW($C$2:$C$10000)-ROW($C$2)+1),ROWS(K$20:K1759))))</f>
        <v/>
      </c>
      <c r="H1759" s="4" t="str">
        <f t="array" ref="H1759">IF(ROWS(L$20:L1759)&gt;$F$6,"",INDEX(B$2:B$10000,SMALL(IF(ISNUMBER(MATCH($B$2:$B$10000,$E$6:$E$22,0)),ROW($C$2:$C$10000)-ROW($C$2)+1),ROWS(L$20:L1759))))</f>
        <v/>
      </c>
      <c r="I1759" s="4" t="str">
        <f t="array" ref="I1759">IF(ROWS(M$20:M1759)&gt;$F$6,"",INDEX(C$2:C$10000,SMALL(IF(ISNUMBER(MATCH($B$2:$B$10000,$E$6:$E$22,0)),ROW($C$2:$C$10000)-ROW($C$2)+1),ROWS(M$20:M1759))))</f>
        <v/>
      </c>
      <c r="K1759" s="7" t="str">
        <f t="array" ref="K1759">IF(ROWS(K$20:K1759)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1759))))</f>
        <v/>
      </c>
      <c r="L1759" s="4" t="str">
        <f t="array" ref="L1759">IF(ROWS(L$20:L1759)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1759))))</f>
        <v/>
      </c>
      <c r="M1759" s="4" t="str">
        <f t="array" ref="M1759">IF(ROWS(M$20:M1759)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1759))))</f>
        <v/>
      </c>
    </row>
    <row r="1760" spans="1:13" x14ac:dyDescent="0.25">
      <c r="A1760" s="3">
        <v>41666</v>
      </c>
      <c r="B1760" s="2" t="s">
        <v>28</v>
      </c>
      <c r="C1760" s="2">
        <v>15</v>
      </c>
      <c r="G1760" s="7" t="str">
        <f t="array" ref="G1760">IF(ROWS(K$20:K1760)&gt;$F$6,"",INDEX(A$2:A$10000,SMALL(IF(ISNUMBER(MATCH($B$2:$B$10000,$E$6:$E$22,0)),ROW($C$2:$C$10000)-ROW($C$2)+1),ROWS(K$20:K1760))))</f>
        <v/>
      </c>
      <c r="H1760" s="4" t="str">
        <f t="array" ref="H1760">IF(ROWS(L$20:L1760)&gt;$F$6,"",INDEX(B$2:B$10000,SMALL(IF(ISNUMBER(MATCH($B$2:$B$10000,$E$6:$E$22,0)),ROW($C$2:$C$10000)-ROW($C$2)+1),ROWS(L$20:L1760))))</f>
        <v/>
      </c>
      <c r="I1760" s="4" t="str">
        <f t="array" ref="I1760">IF(ROWS(M$20:M1760)&gt;$F$6,"",INDEX(C$2:C$10000,SMALL(IF(ISNUMBER(MATCH($B$2:$B$10000,$E$6:$E$22,0)),ROW($C$2:$C$10000)-ROW($C$2)+1),ROWS(M$20:M1760))))</f>
        <v/>
      </c>
      <c r="K1760" s="7" t="str">
        <f t="array" ref="K1760">IF(ROWS(K$20:K1760)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1760))))</f>
        <v/>
      </c>
      <c r="L1760" s="4" t="str">
        <f t="array" ref="L1760">IF(ROWS(L$20:L1760)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1760))))</f>
        <v/>
      </c>
      <c r="M1760" s="4" t="str">
        <f t="array" ref="M1760">IF(ROWS(M$20:M1760)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1760))))</f>
        <v/>
      </c>
    </row>
    <row r="1761" spans="1:13" x14ac:dyDescent="0.25">
      <c r="A1761" s="3">
        <v>41818</v>
      </c>
      <c r="B1761" s="2" t="s">
        <v>38</v>
      </c>
      <c r="C1761" s="2">
        <v>32</v>
      </c>
      <c r="G1761" s="7" t="str">
        <f t="array" ref="G1761">IF(ROWS(K$20:K1761)&gt;$F$6,"",INDEX(A$2:A$10000,SMALL(IF(ISNUMBER(MATCH($B$2:$B$10000,$E$6:$E$22,0)),ROW($C$2:$C$10000)-ROW($C$2)+1),ROWS(K$20:K1761))))</f>
        <v/>
      </c>
      <c r="H1761" s="4" t="str">
        <f t="array" ref="H1761">IF(ROWS(L$20:L1761)&gt;$F$6,"",INDEX(B$2:B$10000,SMALL(IF(ISNUMBER(MATCH($B$2:$B$10000,$E$6:$E$22,0)),ROW($C$2:$C$10000)-ROW($C$2)+1),ROWS(L$20:L1761))))</f>
        <v/>
      </c>
      <c r="I1761" s="4" t="str">
        <f t="array" ref="I1761">IF(ROWS(M$20:M1761)&gt;$F$6,"",INDEX(C$2:C$10000,SMALL(IF(ISNUMBER(MATCH($B$2:$B$10000,$E$6:$E$22,0)),ROW($C$2:$C$10000)-ROW($C$2)+1),ROWS(M$20:M1761))))</f>
        <v/>
      </c>
      <c r="K1761" s="7" t="str">
        <f t="array" ref="K1761">IF(ROWS(K$20:K1761)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1761))))</f>
        <v/>
      </c>
      <c r="L1761" s="4" t="str">
        <f t="array" ref="L1761">IF(ROWS(L$20:L1761)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1761))))</f>
        <v/>
      </c>
      <c r="M1761" s="4" t="str">
        <f t="array" ref="M1761">IF(ROWS(M$20:M1761)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1761))))</f>
        <v/>
      </c>
    </row>
    <row r="1762" spans="1:13" x14ac:dyDescent="0.25">
      <c r="A1762" s="3">
        <v>41444</v>
      </c>
      <c r="B1762" s="2" t="s">
        <v>37</v>
      </c>
      <c r="C1762" s="2">
        <v>15</v>
      </c>
      <c r="G1762" s="7" t="str">
        <f t="array" ref="G1762">IF(ROWS(K$20:K1762)&gt;$F$6,"",INDEX(A$2:A$10000,SMALL(IF(ISNUMBER(MATCH($B$2:$B$10000,$E$6:$E$22,0)),ROW($C$2:$C$10000)-ROW($C$2)+1),ROWS(K$20:K1762))))</f>
        <v/>
      </c>
      <c r="H1762" s="4" t="str">
        <f t="array" ref="H1762">IF(ROWS(L$20:L1762)&gt;$F$6,"",INDEX(B$2:B$10000,SMALL(IF(ISNUMBER(MATCH($B$2:$B$10000,$E$6:$E$22,0)),ROW($C$2:$C$10000)-ROW($C$2)+1),ROWS(L$20:L1762))))</f>
        <v/>
      </c>
      <c r="I1762" s="4" t="str">
        <f t="array" ref="I1762">IF(ROWS(M$20:M1762)&gt;$F$6,"",INDEX(C$2:C$10000,SMALL(IF(ISNUMBER(MATCH($B$2:$B$10000,$E$6:$E$22,0)),ROW($C$2:$C$10000)-ROW($C$2)+1),ROWS(M$20:M1762))))</f>
        <v/>
      </c>
      <c r="K1762" s="7" t="str">
        <f t="array" ref="K1762">IF(ROWS(K$20:K1762)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1762))))</f>
        <v/>
      </c>
      <c r="L1762" s="4" t="str">
        <f t="array" ref="L1762">IF(ROWS(L$20:L1762)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1762))))</f>
        <v/>
      </c>
      <c r="M1762" s="4" t="str">
        <f t="array" ref="M1762">IF(ROWS(M$20:M1762)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1762))))</f>
        <v/>
      </c>
    </row>
    <row r="1763" spans="1:13" x14ac:dyDescent="0.25">
      <c r="A1763" s="3">
        <v>41764</v>
      </c>
      <c r="B1763" s="2" t="s">
        <v>37</v>
      </c>
      <c r="C1763" s="2">
        <v>13</v>
      </c>
      <c r="G1763" s="7" t="str">
        <f t="array" ref="G1763">IF(ROWS(K$20:K1763)&gt;$F$6,"",INDEX(A$2:A$10000,SMALL(IF(ISNUMBER(MATCH($B$2:$B$10000,$E$6:$E$22,0)),ROW($C$2:$C$10000)-ROW($C$2)+1),ROWS(K$20:K1763))))</f>
        <v/>
      </c>
      <c r="H1763" s="4" t="str">
        <f t="array" ref="H1763">IF(ROWS(L$20:L1763)&gt;$F$6,"",INDEX(B$2:B$10000,SMALL(IF(ISNUMBER(MATCH($B$2:$B$10000,$E$6:$E$22,0)),ROW($C$2:$C$10000)-ROW($C$2)+1),ROWS(L$20:L1763))))</f>
        <v/>
      </c>
      <c r="I1763" s="4" t="str">
        <f t="array" ref="I1763">IF(ROWS(M$20:M1763)&gt;$F$6,"",INDEX(C$2:C$10000,SMALL(IF(ISNUMBER(MATCH($B$2:$B$10000,$E$6:$E$22,0)),ROW($C$2:$C$10000)-ROW($C$2)+1),ROWS(M$20:M1763))))</f>
        <v/>
      </c>
      <c r="K1763" s="7" t="str">
        <f t="array" ref="K1763">IF(ROWS(K$20:K1763)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1763))))</f>
        <v/>
      </c>
      <c r="L1763" s="4" t="str">
        <f t="array" ref="L1763">IF(ROWS(L$20:L1763)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1763))))</f>
        <v/>
      </c>
      <c r="M1763" s="4" t="str">
        <f t="array" ref="M1763">IF(ROWS(M$20:M1763)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1763))))</f>
        <v/>
      </c>
    </row>
    <row r="1764" spans="1:13" x14ac:dyDescent="0.25">
      <c r="A1764" s="3">
        <v>41975</v>
      </c>
      <c r="B1764" s="2" t="s">
        <v>24</v>
      </c>
      <c r="C1764" s="2">
        <v>8</v>
      </c>
      <c r="G1764" s="7" t="str">
        <f t="array" ref="G1764">IF(ROWS(K$20:K1764)&gt;$F$6,"",INDEX(A$2:A$10000,SMALL(IF(ISNUMBER(MATCH($B$2:$B$10000,$E$6:$E$22,0)),ROW($C$2:$C$10000)-ROW($C$2)+1),ROWS(K$20:K1764))))</f>
        <v/>
      </c>
      <c r="H1764" s="4" t="str">
        <f t="array" ref="H1764">IF(ROWS(L$20:L1764)&gt;$F$6,"",INDEX(B$2:B$10000,SMALL(IF(ISNUMBER(MATCH($B$2:$B$10000,$E$6:$E$22,0)),ROW($C$2:$C$10000)-ROW($C$2)+1),ROWS(L$20:L1764))))</f>
        <v/>
      </c>
      <c r="I1764" s="4" t="str">
        <f t="array" ref="I1764">IF(ROWS(M$20:M1764)&gt;$F$6,"",INDEX(C$2:C$10000,SMALL(IF(ISNUMBER(MATCH($B$2:$B$10000,$E$6:$E$22,0)),ROW($C$2:$C$10000)-ROW($C$2)+1),ROWS(M$20:M1764))))</f>
        <v/>
      </c>
      <c r="K1764" s="7" t="str">
        <f t="array" ref="K1764">IF(ROWS(K$20:K1764)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1764))))</f>
        <v/>
      </c>
      <c r="L1764" s="4" t="str">
        <f t="array" ref="L1764">IF(ROWS(L$20:L1764)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1764))))</f>
        <v/>
      </c>
      <c r="M1764" s="4" t="str">
        <f t="array" ref="M1764">IF(ROWS(M$20:M1764)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1764))))</f>
        <v/>
      </c>
    </row>
    <row r="1765" spans="1:13" x14ac:dyDescent="0.25">
      <c r="A1765" s="3">
        <v>41416</v>
      </c>
      <c r="B1765" s="2" t="s">
        <v>31</v>
      </c>
      <c r="C1765" s="2">
        <v>14</v>
      </c>
      <c r="G1765" s="7" t="str">
        <f t="array" ref="G1765">IF(ROWS(K$20:K1765)&gt;$F$6,"",INDEX(A$2:A$10000,SMALL(IF(ISNUMBER(MATCH($B$2:$B$10000,$E$6:$E$22,0)),ROW($C$2:$C$10000)-ROW($C$2)+1),ROWS(K$20:K1765))))</f>
        <v/>
      </c>
      <c r="H1765" s="4" t="str">
        <f t="array" ref="H1765">IF(ROWS(L$20:L1765)&gt;$F$6,"",INDEX(B$2:B$10000,SMALL(IF(ISNUMBER(MATCH($B$2:$B$10000,$E$6:$E$22,0)),ROW($C$2:$C$10000)-ROW($C$2)+1),ROWS(L$20:L1765))))</f>
        <v/>
      </c>
      <c r="I1765" s="4" t="str">
        <f t="array" ref="I1765">IF(ROWS(M$20:M1765)&gt;$F$6,"",INDEX(C$2:C$10000,SMALL(IF(ISNUMBER(MATCH($B$2:$B$10000,$E$6:$E$22,0)),ROW($C$2:$C$10000)-ROW($C$2)+1),ROWS(M$20:M1765))))</f>
        <v/>
      </c>
      <c r="K1765" s="7" t="str">
        <f t="array" ref="K1765">IF(ROWS(K$20:K1765)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1765))))</f>
        <v/>
      </c>
      <c r="L1765" s="4" t="str">
        <f t="array" ref="L1765">IF(ROWS(L$20:L1765)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1765))))</f>
        <v/>
      </c>
      <c r="M1765" s="4" t="str">
        <f t="array" ref="M1765">IF(ROWS(M$20:M1765)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1765))))</f>
        <v/>
      </c>
    </row>
    <row r="1766" spans="1:13" x14ac:dyDescent="0.25">
      <c r="A1766" s="3">
        <v>41614</v>
      </c>
      <c r="B1766" s="2" t="s">
        <v>36</v>
      </c>
      <c r="C1766" s="2">
        <v>6</v>
      </c>
      <c r="G1766" s="7" t="str">
        <f t="array" ref="G1766">IF(ROWS(K$20:K1766)&gt;$F$6,"",INDEX(A$2:A$10000,SMALL(IF(ISNUMBER(MATCH($B$2:$B$10000,$E$6:$E$22,0)),ROW($C$2:$C$10000)-ROW($C$2)+1),ROWS(K$20:K1766))))</f>
        <v/>
      </c>
      <c r="H1766" s="4" t="str">
        <f t="array" ref="H1766">IF(ROWS(L$20:L1766)&gt;$F$6,"",INDEX(B$2:B$10000,SMALL(IF(ISNUMBER(MATCH($B$2:$B$10000,$E$6:$E$22,0)),ROW($C$2:$C$10000)-ROW($C$2)+1),ROWS(L$20:L1766))))</f>
        <v/>
      </c>
      <c r="I1766" s="4" t="str">
        <f t="array" ref="I1766">IF(ROWS(M$20:M1766)&gt;$F$6,"",INDEX(C$2:C$10000,SMALL(IF(ISNUMBER(MATCH($B$2:$B$10000,$E$6:$E$22,0)),ROW($C$2:$C$10000)-ROW($C$2)+1),ROWS(M$20:M1766))))</f>
        <v/>
      </c>
      <c r="K1766" s="7" t="str">
        <f t="array" ref="K1766">IF(ROWS(K$20:K1766)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1766))))</f>
        <v/>
      </c>
      <c r="L1766" s="4" t="str">
        <f t="array" ref="L1766">IF(ROWS(L$20:L1766)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1766))))</f>
        <v/>
      </c>
      <c r="M1766" s="4" t="str">
        <f t="array" ref="M1766">IF(ROWS(M$20:M1766)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1766))))</f>
        <v/>
      </c>
    </row>
    <row r="1767" spans="1:13" x14ac:dyDescent="0.25">
      <c r="A1767" s="3">
        <v>41398</v>
      </c>
      <c r="B1767" s="2" t="s">
        <v>47</v>
      </c>
      <c r="C1767" s="2">
        <v>28</v>
      </c>
      <c r="G1767" s="7" t="str">
        <f t="array" ref="G1767">IF(ROWS(K$20:K1767)&gt;$F$6,"",INDEX(A$2:A$10000,SMALL(IF(ISNUMBER(MATCH($B$2:$B$10000,$E$6:$E$22,0)),ROW($C$2:$C$10000)-ROW($C$2)+1),ROWS(K$20:K1767))))</f>
        <v/>
      </c>
      <c r="H1767" s="4" t="str">
        <f t="array" ref="H1767">IF(ROWS(L$20:L1767)&gt;$F$6,"",INDEX(B$2:B$10000,SMALL(IF(ISNUMBER(MATCH($B$2:$B$10000,$E$6:$E$22,0)),ROW($C$2:$C$10000)-ROW($C$2)+1),ROWS(L$20:L1767))))</f>
        <v/>
      </c>
      <c r="I1767" s="4" t="str">
        <f t="array" ref="I1767">IF(ROWS(M$20:M1767)&gt;$F$6,"",INDEX(C$2:C$10000,SMALL(IF(ISNUMBER(MATCH($B$2:$B$10000,$E$6:$E$22,0)),ROW($C$2:$C$10000)-ROW($C$2)+1),ROWS(M$20:M1767))))</f>
        <v/>
      </c>
      <c r="K1767" s="7" t="str">
        <f t="array" ref="K1767">IF(ROWS(K$20:K1767)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1767))))</f>
        <v/>
      </c>
      <c r="L1767" s="4" t="str">
        <f t="array" ref="L1767">IF(ROWS(L$20:L1767)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1767))))</f>
        <v/>
      </c>
      <c r="M1767" s="4" t="str">
        <f t="array" ref="M1767">IF(ROWS(M$20:M1767)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1767))))</f>
        <v/>
      </c>
    </row>
    <row r="1768" spans="1:13" x14ac:dyDescent="0.25">
      <c r="A1768" s="3">
        <v>41866</v>
      </c>
      <c r="B1768" s="2" t="s">
        <v>38</v>
      </c>
      <c r="C1768" s="2">
        <v>48</v>
      </c>
      <c r="G1768" s="7" t="str">
        <f t="array" ref="G1768">IF(ROWS(K$20:K1768)&gt;$F$6,"",INDEX(A$2:A$10000,SMALL(IF(ISNUMBER(MATCH($B$2:$B$10000,$E$6:$E$22,0)),ROW($C$2:$C$10000)-ROW($C$2)+1),ROWS(K$20:K1768))))</f>
        <v/>
      </c>
      <c r="H1768" s="4" t="str">
        <f t="array" ref="H1768">IF(ROWS(L$20:L1768)&gt;$F$6,"",INDEX(B$2:B$10000,SMALL(IF(ISNUMBER(MATCH($B$2:$B$10000,$E$6:$E$22,0)),ROW($C$2:$C$10000)-ROW($C$2)+1),ROWS(L$20:L1768))))</f>
        <v/>
      </c>
      <c r="I1768" s="4" t="str">
        <f t="array" ref="I1768">IF(ROWS(M$20:M1768)&gt;$F$6,"",INDEX(C$2:C$10000,SMALL(IF(ISNUMBER(MATCH($B$2:$B$10000,$E$6:$E$22,0)),ROW($C$2:$C$10000)-ROW($C$2)+1),ROWS(M$20:M1768))))</f>
        <v/>
      </c>
      <c r="K1768" s="7" t="str">
        <f t="array" ref="K1768">IF(ROWS(K$20:K1768)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1768))))</f>
        <v/>
      </c>
      <c r="L1768" s="4" t="str">
        <f t="array" ref="L1768">IF(ROWS(L$20:L1768)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1768))))</f>
        <v/>
      </c>
      <c r="M1768" s="4" t="str">
        <f t="array" ref="M1768">IF(ROWS(M$20:M1768)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1768))))</f>
        <v/>
      </c>
    </row>
    <row r="1769" spans="1:13" x14ac:dyDescent="0.25">
      <c r="A1769" s="3">
        <v>41637</v>
      </c>
      <c r="B1769" s="2" t="s">
        <v>9</v>
      </c>
      <c r="C1769" s="2">
        <v>23</v>
      </c>
      <c r="G1769" s="7" t="str">
        <f t="array" ref="G1769">IF(ROWS(K$20:K1769)&gt;$F$6,"",INDEX(A$2:A$10000,SMALL(IF(ISNUMBER(MATCH($B$2:$B$10000,$E$6:$E$22,0)),ROW($C$2:$C$10000)-ROW($C$2)+1),ROWS(K$20:K1769))))</f>
        <v/>
      </c>
      <c r="H1769" s="4" t="str">
        <f t="array" ref="H1769">IF(ROWS(L$20:L1769)&gt;$F$6,"",INDEX(B$2:B$10000,SMALL(IF(ISNUMBER(MATCH($B$2:$B$10000,$E$6:$E$22,0)),ROW($C$2:$C$10000)-ROW($C$2)+1),ROWS(L$20:L1769))))</f>
        <v/>
      </c>
      <c r="I1769" s="4" t="str">
        <f t="array" ref="I1769">IF(ROWS(M$20:M1769)&gt;$F$6,"",INDEX(C$2:C$10000,SMALL(IF(ISNUMBER(MATCH($B$2:$B$10000,$E$6:$E$22,0)),ROW($C$2:$C$10000)-ROW($C$2)+1),ROWS(M$20:M1769))))</f>
        <v/>
      </c>
      <c r="K1769" s="7" t="str">
        <f t="array" ref="K1769">IF(ROWS(K$20:K1769)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1769))))</f>
        <v/>
      </c>
      <c r="L1769" s="4" t="str">
        <f t="array" ref="L1769">IF(ROWS(L$20:L1769)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1769))))</f>
        <v/>
      </c>
      <c r="M1769" s="4" t="str">
        <f t="array" ref="M1769">IF(ROWS(M$20:M1769)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1769))))</f>
        <v/>
      </c>
    </row>
    <row r="1770" spans="1:13" x14ac:dyDescent="0.25">
      <c r="A1770" s="3">
        <v>41378</v>
      </c>
      <c r="B1770" s="2" t="s">
        <v>40</v>
      </c>
      <c r="C1770" s="2">
        <v>7</v>
      </c>
      <c r="G1770" s="7" t="str">
        <f t="array" ref="G1770">IF(ROWS(K$20:K1770)&gt;$F$6,"",INDEX(A$2:A$10000,SMALL(IF(ISNUMBER(MATCH($B$2:$B$10000,$E$6:$E$22,0)),ROW($C$2:$C$10000)-ROW($C$2)+1),ROWS(K$20:K1770))))</f>
        <v/>
      </c>
      <c r="H1770" s="4" t="str">
        <f t="array" ref="H1770">IF(ROWS(L$20:L1770)&gt;$F$6,"",INDEX(B$2:B$10000,SMALL(IF(ISNUMBER(MATCH($B$2:$B$10000,$E$6:$E$22,0)),ROW($C$2:$C$10000)-ROW($C$2)+1),ROWS(L$20:L1770))))</f>
        <v/>
      </c>
      <c r="I1770" s="4" t="str">
        <f t="array" ref="I1770">IF(ROWS(M$20:M1770)&gt;$F$6,"",INDEX(C$2:C$10000,SMALL(IF(ISNUMBER(MATCH($B$2:$B$10000,$E$6:$E$22,0)),ROW($C$2:$C$10000)-ROW($C$2)+1),ROWS(M$20:M1770))))</f>
        <v/>
      </c>
      <c r="K1770" s="7" t="str">
        <f t="array" ref="K1770">IF(ROWS(K$20:K1770)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1770))))</f>
        <v/>
      </c>
      <c r="L1770" s="4" t="str">
        <f t="array" ref="L1770">IF(ROWS(L$20:L1770)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1770))))</f>
        <v/>
      </c>
      <c r="M1770" s="4" t="str">
        <f t="array" ref="M1770">IF(ROWS(M$20:M1770)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1770))))</f>
        <v/>
      </c>
    </row>
    <row r="1771" spans="1:13" x14ac:dyDescent="0.25">
      <c r="A1771" s="3">
        <v>41399</v>
      </c>
      <c r="B1771" s="2" t="s">
        <v>25</v>
      </c>
      <c r="C1771" s="2">
        <v>33</v>
      </c>
      <c r="G1771" s="7" t="str">
        <f t="array" ref="G1771">IF(ROWS(K$20:K1771)&gt;$F$6,"",INDEX(A$2:A$10000,SMALL(IF(ISNUMBER(MATCH($B$2:$B$10000,$E$6:$E$22,0)),ROW($C$2:$C$10000)-ROW($C$2)+1),ROWS(K$20:K1771))))</f>
        <v/>
      </c>
      <c r="H1771" s="4" t="str">
        <f t="array" ref="H1771">IF(ROWS(L$20:L1771)&gt;$F$6,"",INDEX(B$2:B$10000,SMALL(IF(ISNUMBER(MATCH($B$2:$B$10000,$E$6:$E$22,0)),ROW($C$2:$C$10000)-ROW($C$2)+1),ROWS(L$20:L1771))))</f>
        <v/>
      </c>
      <c r="I1771" s="4" t="str">
        <f t="array" ref="I1771">IF(ROWS(M$20:M1771)&gt;$F$6,"",INDEX(C$2:C$10000,SMALL(IF(ISNUMBER(MATCH($B$2:$B$10000,$E$6:$E$22,0)),ROW($C$2:$C$10000)-ROW($C$2)+1),ROWS(M$20:M1771))))</f>
        <v/>
      </c>
      <c r="K1771" s="7" t="str">
        <f t="array" ref="K1771">IF(ROWS(K$20:K1771)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1771))))</f>
        <v/>
      </c>
      <c r="L1771" s="4" t="str">
        <f t="array" ref="L1771">IF(ROWS(L$20:L1771)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1771))))</f>
        <v/>
      </c>
      <c r="M1771" s="4" t="str">
        <f t="array" ref="M1771">IF(ROWS(M$20:M1771)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1771))))</f>
        <v/>
      </c>
    </row>
    <row r="1772" spans="1:13" x14ac:dyDescent="0.25">
      <c r="A1772" s="3">
        <v>41743</v>
      </c>
      <c r="B1772" s="2" t="s">
        <v>21</v>
      </c>
      <c r="C1772" s="2">
        <v>28</v>
      </c>
      <c r="G1772" s="7" t="str">
        <f t="array" ref="G1772">IF(ROWS(K$20:K1772)&gt;$F$6,"",INDEX(A$2:A$10000,SMALL(IF(ISNUMBER(MATCH($B$2:$B$10000,$E$6:$E$22,0)),ROW($C$2:$C$10000)-ROW($C$2)+1),ROWS(K$20:K1772))))</f>
        <v/>
      </c>
      <c r="H1772" s="4" t="str">
        <f t="array" ref="H1772">IF(ROWS(L$20:L1772)&gt;$F$6,"",INDEX(B$2:B$10000,SMALL(IF(ISNUMBER(MATCH($B$2:$B$10000,$E$6:$E$22,0)),ROW($C$2:$C$10000)-ROW($C$2)+1),ROWS(L$20:L1772))))</f>
        <v/>
      </c>
      <c r="I1772" s="4" t="str">
        <f t="array" ref="I1772">IF(ROWS(M$20:M1772)&gt;$F$6,"",INDEX(C$2:C$10000,SMALL(IF(ISNUMBER(MATCH($B$2:$B$10000,$E$6:$E$22,0)),ROW($C$2:$C$10000)-ROW($C$2)+1),ROWS(M$20:M1772))))</f>
        <v/>
      </c>
      <c r="K1772" s="7" t="str">
        <f t="array" ref="K1772">IF(ROWS(K$20:K1772)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1772))))</f>
        <v/>
      </c>
      <c r="L1772" s="4" t="str">
        <f t="array" ref="L1772">IF(ROWS(L$20:L1772)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1772))))</f>
        <v/>
      </c>
      <c r="M1772" s="4" t="str">
        <f t="array" ref="M1772">IF(ROWS(M$20:M1772)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1772))))</f>
        <v/>
      </c>
    </row>
    <row r="1773" spans="1:13" x14ac:dyDescent="0.25">
      <c r="A1773" s="3">
        <v>41876</v>
      </c>
      <c r="B1773" s="2" t="s">
        <v>50</v>
      </c>
      <c r="C1773" s="2">
        <v>21</v>
      </c>
      <c r="G1773" s="7" t="str">
        <f t="array" ref="G1773">IF(ROWS(K$20:K1773)&gt;$F$6,"",INDEX(A$2:A$10000,SMALL(IF(ISNUMBER(MATCH($B$2:$B$10000,$E$6:$E$22,0)),ROW($C$2:$C$10000)-ROW($C$2)+1),ROWS(K$20:K1773))))</f>
        <v/>
      </c>
      <c r="H1773" s="4" t="str">
        <f t="array" ref="H1773">IF(ROWS(L$20:L1773)&gt;$F$6,"",INDEX(B$2:B$10000,SMALL(IF(ISNUMBER(MATCH($B$2:$B$10000,$E$6:$E$22,0)),ROW($C$2:$C$10000)-ROW($C$2)+1),ROWS(L$20:L1773))))</f>
        <v/>
      </c>
      <c r="I1773" s="4" t="str">
        <f t="array" ref="I1773">IF(ROWS(M$20:M1773)&gt;$F$6,"",INDEX(C$2:C$10000,SMALL(IF(ISNUMBER(MATCH($B$2:$B$10000,$E$6:$E$22,0)),ROW($C$2:$C$10000)-ROW($C$2)+1),ROWS(M$20:M1773))))</f>
        <v/>
      </c>
      <c r="K1773" s="7" t="str">
        <f t="array" ref="K1773">IF(ROWS(K$20:K1773)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1773))))</f>
        <v/>
      </c>
      <c r="L1773" s="4" t="str">
        <f t="array" ref="L1773">IF(ROWS(L$20:L1773)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1773))))</f>
        <v/>
      </c>
      <c r="M1773" s="4" t="str">
        <f t="array" ref="M1773">IF(ROWS(M$20:M1773)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1773))))</f>
        <v/>
      </c>
    </row>
    <row r="1774" spans="1:13" x14ac:dyDescent="0.25">
      <c r="A1774" s="3">
        <v>41433</v>
      </c>
      <c r="B1774" s="2" t="s">
        <v>37</v>
      </c>
      <c r="C1774" s="2">
        <v>17</v>
      </c>
      <c r="G1774" s="7" t="str">
        <f t="array" ref="G1774">IF(ROWS(K$20:K1774)&gt;$F$6,"",INDEX(A$2:A$10000,SMALL(IF(ISNUMBER(MATCH($B$2:$B$10000,$E$6:$E$22,0)),ROW($C$2:$C$10000)-ROW($C$2)+1),ROWS(K$20:K1774))))</f>
        <v/>
      </c>
      <c r="H1774" s="4" t="str">
        <f t="array" ref="H1774">IF(ROWS(L$20:L1774)&gt;$F$6,"",INDEX(B$2:B$10000,SMALL(IF(ISNUMBER(MATCH($B$2:$B$10000,$E$6:$E$22,0)),ROW($C$2:$C$10000)-ROW($C$2)+1),ROWS(L$20:L1774))))</f>
        <v/>
      </c>
      <c r="I1774" s="4" t="str">
        <f t="array" ref="I1774">IF(ROWS(M$20:M1774)&gt;$F$6,"",INDEX(C$2:C$10000,SMALL(IF(ISNUMBER(MATCH($B$2:$B$10000,$E$6:$E$22,0)),ROW($C$2:$C$10000)-ROW($C$2)+1),ROWS(M$20:M1774))))</f>
        <v/>
      </c>
      <c r="K1774" s="7" t="str">
        <f t="array" ref="K1774">IF(ROWS(K$20:K1774)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1774))))</f>
        <v/>
      </c>
      <c r="L1774" s="4" t="str">
        <f t="array" ref="L1774">IF(ROWS(L$20:L1774)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1774))))</f>
        <v/>
      </c>
      <c r="M1774" s="4" t="str">
        <f t="array" ref="M1774">IF(ROWS(M$20:M1774)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1774))))</f>
        <v/>
      </c>
    </row>
    <row r="1775" spans="1:13" x14ac:dyDescent="0.25">
      <c r="A1775" s="3">
        <v>41451</v>
      </c>
      <c r="B1775" s="2" t="s">
        <v>16</v>
      </c>
      <c r="C1775" s="2">
        <v>16</v>
      </c>
      <c r="G1775" s="7" t="str">
        <f t="array" ref="G1775">IF(ROWS(K$20:K1775)&gt;$F$6,"",INDEX(A$2:A$10000,SMALL(IF(ISNUMBER(MATCH($B$2:$B$10000,$E$6:$E$22,0)),ROW($C$2:$C$10000)-ROW($C$2)+1),ROWS(K$20:K1775))))</f>
        <v/>
      </c>
      <c r="H1775" s="4" t="str">
        <f t="array" ref="H1775">IF(ROWS(L$20:L1775)&gt;$F$6,"",INDEX(B$2:B$10000,SMALL(IF(ISNUMBER(MATCH($B$2:$B$10000,$E$6:$E$22,0)),ROW($C$2:$C$10000)-ROW($C$2)+1),ROWS(L$20:L1775))))</f>
        <v/>
      </c>
      <c r="I1775" s="4" t="str">
        <f t="array" ref="I1775">IF(ROWS(M$20:M1775)&gt;$F$6,"",INDEX(C$2:C$10000,SMALL(IF(ISNUMBER(MATCH($B$2:$B$10000,$E$6:$E$22,0)),ROW($C$2:$C$10000)-ROW($C$2)+1),ROWS(M$20:M1775))))</f>
        <v/>
      </c>
      <c r="K1775" s="7" t="str">
        <f t="array" ref="K1775">IF(ROWS(K$20:K1775)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1775))))</f>
        <v/>
      </c>
      <c r="L1775" s="4" t="str">
        <f t="array" ref="L1775">IF(ROWS(L$20:L1775)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1775))))</f>
        <v/>
      </c>
      <c r="M1775" s="4" t="str">
        <f t="array" ref="M1775">IF(ROWS(M$20:M1775)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1775))))</f>
        <v/>
      </c>
    </row>
    <row r="1776" spans="1:13" x14ac:dyDescent="0.25">
      <c r="A1776" s="3">
        <v>41401</v>
      </c>
      <c r="B1776" s="2" t="s">
        <v>32</v>
      </c>
      <c r="C1776" s="2">
        <v>18</v>
      </c>
      <c r="G1776" s="7" t="str">
        <f t="array" ref="G1776">IF(ROWS(K$20:K1776)&gt;$F$6,"",INDEX(A$2:A$10000,SMALL(IF(ISNUMBER(MATCH($B$2:$B$10000,$E$6:$E$22,0)),ROW($C$2:$C$10000)-ROW($C$2)+1),ROWS(K$20:K1776))))</f>
        <v/>
      </c>
      <c r="H1776" s="4" t="str">
        <f t="array" ref="H1776">IF(ROWS(L$20:L1776)&gt;$F$6,"",INDEX(B$2:B$10000,SMALL(IF(ISNUMBER(MATCH($B$2:$B$10000,$E$6:$E$22,0)),ROW($C$2:$C$10000)-ROW($C$2)+1),ROWS(L$20:L1776))))</f>
        <v/>
      </c>
      <c r="I1776" s="4" t="str">
        <f t="array" ref="I1776">IF(ROWS(M$20:M1776)&gt;$F$6,"",INDEX(C$2:C$10000,SMALL(IF(ISNUMBER(MATCH($B$2:$B$10000,$E$6:$E$22,0)),ROW($C$2:$C$10000)-ROW($C$2)+1),ROWS(M$20:M1776))))</f>
        <v/>
      </c>
      <c r="K1776" s="7" t="str">
        <f t="array" ref="K1776">IF(ROWS(K$20:K1776)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1776))))</f>
        <v/>
      </c>
      <c r="L1776" s="4" t="str">
        <f t="array" ref="L1776">IF(ROWS(L$20:L1776)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1776))))</f>
        <v/>
      </c>
      <c r="M1776" s="4" t="str">
        <f t="array" ref="M1776">IF(ROWS(M$20:M1776)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1776))))</f>
        <v/>
      </c>
    </row>
    <row r="1777" spans="1:13" x14ac:dyDescent="0.25">
      <c r="A1777" s="3">
        <v>41425</v>
      </c>
      <c r="B1777" s="2" t="s">
        <v>21</v>
      </c>
      <c r="C1777" s="2">
        <v>21</v>
      </c>
      <c r="G1777" s="7" t="str">
        <f t="array" ref="G1777">IF(ROWS(K$20:K1777)&gt;$F$6,"",INDEX(A$2:A$10000,SMALL(IF(ISNUMBER(MATCH($B$2:$B$10000,$E$6:$E$22,0)),ROW($C$2:$C$10000)-ROW($C$2)+1),ROWS(K$20:K1777))))</f>
        <v/>
      </c>
      <c r="H1777" s="4" t="str">
        <f t="array" ref="H1777">IF(ROWS(L$20:L1777)&gt;$F$6,"",INDEX(B$2:B$10000,SMALL(IF(ISNUMBER(MATCH($B$2:$B$10000,$E$6:$E$22,0)),ROW($C$2:$C$10000)-ROW($C$2)+1),ROWS(L$20:L1777))))</f>
        <v/>
      </c>
      <c r="I1777" s="4" t="str">
        <f t="array" ref="I1777">IF(ROWS(M$20:M1777)&gt;$F$6,"",INDEX(C$2:C$10000,SMALL(IF(ISNUMBER(MATCH($B$2:$B$10000,$E$6:$E$22,0)),ROW($C$2:$C$10000)-ROW($C$2)+1),ROWS(M$20:M1777))))</f>
        <v/>
      </c>
      <c r="K1777" s="7" t="str">
        <f t="array" ref="K1777">IF(ROWS(K$20:K1777)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1777))))</f>
        <v/>
      </c>
      <c r="L1777" s="4" t="str">
        <f t="array" ref="L1777">IF(ROWS(L$20:L1777)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1777))))</f>
        <v/>
      </c>
      <c r="M1777" s="4" t="str">
        <f t="array" ref="M1777">IF(ROWS(M$20:M1777)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1777))))</f>
        <v/>
      </c>
    </row>
    <row r="1778" spans="1:13" x14ac:dyDescent="0.25">
      <c r="A1778" s="3">
        <v>41671</v>
      </c>
      <c r="B1778" s="2" t="s">
        <v>7</v>
      </c>
      <c r="C1778" s="2">
        <v>10</v>
      </c>
      <c r="G1778" s="7" t="str">
        <f t="array" ref="G1778">IF(ROWS(K$20:K1778)&gt;$F$6,"",INDEX(A$2:A$10000,SMALL(IF(ISNUMBER(MATCH($B$2:$B$10000,$E$6:$E$22,0)),ROW($C$2:$C$10000)-ROW($C$2)+1),ROWS(K$20:K1778))))</f>
        <v/>
      </c>
      <c r="H1778" s="4" t="str">
        <f t="array" ref="H1778">IF(ROWS(L$20:L1778)&gt;$F$6,"",INDEX(B$2:B$10000,SMALL(IF(ISNUMBER(MATCH($B$2:$B$10000,$E$6:$E$22,0)),ROW($C$2:$C$10000)-ROW($C$2)+1),ROWS(L$20:L1778))))</f>
        <v/>
      </c>
      <c r="I1778" s="4" t="str">
        <f t="array" ref="I1778">IF(ROWS(M$20:M1778)&gt;$F$6,"",INDEX(C$2:C$10000,SMALL(IF(ISNUMBER(MATCH($B$2:$B$10000,$E$6:$E$22,0)),ROW($C$2:$C$10000)-ROW($C$2)+1),ROWS(M$20:M1778))))</f>
        <v/>
      </c>
      <c r="K1778" s="7" t="str">
        <f t="array" ref="K1778">IF(ROWS(K$20:K1778)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1778))))</f>
        <v/>
      </c>
      <c r="L1778" s="4" t="str">
        <f t="array" ref="L1778">IF(ROWS(L$20:L1778)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1778))))</f>
        <v/>
      </c>
      <c r="M1778" s="4" t="str">
        <f t="array" ref="M1778">IF(ROWS(M$20:M1778)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1778))))</f>
        <v/>
      </c>
    </row>
    <row r="1779" spans="1:13" x14ac:dyDescent="0.25">
      <c r="A1779" s="3">
        <v>41821</v>
      </c>
      <c r="B1779" s="2" t="s">
        <v>47</v>
      </c>
      <c r="C1779" s="2">
        <v>14</v>
      </c>
      <c r="G1779" s="7" t="str">
        <f t="array" ref="G1779">IF(ROWS(K$20:K1779)&gt;$F$6,"",INDEX(A$2:A$10000,SMALL(IF(ISNUMBER(MATCH($B$2:$B$10000,$E$6:$E$22,0)),ROW($C$2:$C$10000)-ROW($C$2)+1),ROWS(K$20:K1779))))</f>
        <v/>
      </c>
      <c r="H1779" s="4" t="str">
        <f t="array" ref="H1779">IF(ROWS(L$20:L1779)&gt;$F$6,"",INDEX(B$2:B$10000,SMALL(IF(ISNUMBER(MATCH($B$2:$B$10000,$E$6:$E$22,0)),ROW($C$2:$C$10000)-ROW($C$2)+1),ROWS(L$20:L1779))))</f>
        <v/>
      </c>
      <c r="I1779" s="4" t="str">
        <f t="array" ref="I1779">IF(ROWS(M$20:M1779)&gt;$F$6,"",INDEX(C$2:C$10000,SMALL(IF(ISNUMBER(MATCH($B$2:$B$10000,$E$6:$E$22,0)),ROW($C$2:$C$10000)-ROW($C$2)+1),ROWS(M$20:M1779))))</f>
        <v/>
      </c>
      <c r="K1779" s="7" t="str">
        <f t="array" ref="K1779">IF(ROWS(K$20:K1779)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1779))))</f>
        <v/>
      </c>
      <c r="L1779" s="4" t="str">
        <f t="array" ref="L1779">IF(ROWS(L$20:L1779)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1779))))</f>
        <v/>
      </c>
      <c r="M1779" s="4" t="str">
        <f t="array" ref="M1779">IF(ROWS(M$20:M1779)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1779))))</f>
        <v/>
      </c>
    </row>
    <row r="1780" spans="1:13" x14ac:dyDescent="0.25">
      <c r="A1780" s="3">
        <v>41708</v>
      </c>
      <c r="B1780" s="2" t="s">
        <v>2</v>
      </c>
      <c r="C1780" s="2">
        <v>13</v>
      </c>
      <c r="G1780" s="7" t="str">
        <f t="array" ref="G1780">IF(ROWS(K$20:K1780)&gt;$F$6,"",INDEX(A$2:A$10000,SMALL(IF(ISNUMBER(MATCH($B$2:$B$10000,$E$6:$E$22,0)),ROW($C$2:$C$10000)-ROW($C$2)+1),ROWS(K$20:K1780))))</f>
        <v/>
      </c>
      <c r="H1780" s="4" t="str">
        <f t="array" ref="H1780">IF(ROWS(L$20:L1780)&gt;$F$6,"",INDEX(B$2:B$10000,SMALL(IF(ISNUMBER(MATCH($B$2:$B$10000,$E$6:$E$22,0)),ROW($C$2:$C$10000)-ROW($C$2)+1),ROWS(L$20:L1780))))</f>
        <v/>
      </c>
      <c r="I1780" s="4" t="str">
        <f t="array" ref="I1780">IF(ROWS(M$20:M1780)&gt;$F$6,"",INDEX(C$2:C$10000,SMALL(IF(ISNUMBER(MATCH($B$2:$B$10000,$E$6:$E$22,0)),ROW($C$2:$C$10000)-ROW($C$2)+1),ROWS(M$20:M1780))))</f>
        <v/>
      </c>
      <c r="K1780" s="7" t="str">
        <f t="array" ref="K1780">IF(ROWS(K$20:K1780)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1780))))</f>
        <v/>
      </c>
      <c r="L1780" s="4" t="str">
        <f t="array" ref="L1780">IF(ROWS(L$20:L1780)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1780))))</f>
        <v/>
      </c>
      <c r="M1780" s="4" t="str">
        <f t="array" ref="M1780">IF(ROWS(M$20:M1780)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1780))))</f>
        <v/>
      </c>
    </row>
    <row r="1781" spans="1:13" x14ac:dyDescent="0.25">
      <c r="A1781" s="3">
        <v>41609</v>
      </c>
      <c r="B1781" s="2" t="s">
        <v>30</v>
      </c>
      <c r="C1781" s="2">
        <v>37</v>
      </c>
      <c r="G1781" s="7" t="str">
        <f t="array" ref="G1781">IF(ROWS(K$20:K1781)&gt;$F$6,"",INDEX(A$2:A$10000,SMALL(IF(ISNUMBER(MATCH($B$2:$B$10000,$E$6:$E$22,0)),ROW($C$2:$C$10000)-ROW($C$2)+1),ROWS(K$20:K1781))))</f>
        <v/>
      </c>
      <c r="H1781" s="4" t="str">
        <f t="array" ref="H1781">IF(ROWS(L$20:L1781)&gt;$F$6,"",INDEX(B$2:B$10000,SMALL(IF(ISNUMBER(MATCH($B$2:$B$10000,$E$6:$E$22,0)),ROW($C$2:$C$10000)-ROW($C$2)+1),ROWS(L$20:L1781))))</f>
        <v/>
      </c>
      <c r="I1781" s="4" t="str">
        <f t="array" ref="I1781">IF(ROWS(M$20:M1781)&gt;$F$6,"",INDEX(C$2:C$10000,SMALL(IF(ISNUMBER(MATCH($B$2:$B$10000,$E$6:$E$22,0)),ROW($C$2:$C$10000)-ROW($C$2)+1),ROWS(M$20:M1781))))</f>
        <v/>
      </c>
      <c r="K1781" s="7" t="str">
        <f t="array" ref="K1781">IF(ROWS(K$20:K1781)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1781))))</f>
        <v/>
      </c>
      <c r="L1781" s="4" t="str">
        <f t="array" ref="L1781">IF(ROWS(L$20:L1781)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1781))))</f>
        <v/>
      </c>
      <c r="M1781" s="4" t="str">
        <f t="array" ref="M1781">IF(ROWS(M$20:M1781)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1781))))</f>
        <v/>
      </c>
    </row>
    <row r="1782" spans="1:13" x14ac:dyDescent="0.25">
      <c r="A1782" s="3">
        <v>41799</v>
      </c>
      <c r="B1782" s="2" t="s">
        <v>9</v>
      </c>
      <c r="C1782" s="2">
        <v>6</v>
      </c>
      <c r="G1782" s="7" t="str">
        <f t="array" ref="G1782">IF(ROWS(K$20:K1782)&gt;$F$6,"",INDEX(A$2:A$10000,SMALL(IF(ISNUMBER(MATCH($B$2:$B$10000,$E$6:$E$22,0)),ROW($C$2:$C$10000)-ROW($C$2)+1),ROWS(K$20:K1782))))</f>
        <v/>
      </c>
      <c r="H1782" s="4" t="str">
        <f t="array" ref="H1782">IF(ROWS(L$20:L1782)&gt;$F$6,"",INDEX(B$2:B$10000,SMALL(IF(ISNUMBER(MATCH($B$2:$B$10000,$E$6:$E$22,0)),ROW($C$2:$C$10000)-ROW($C$2)+1),ROWS(L$20:L1782))))</f>
        <v/>
      </c>
      <c r="I1782" s="4" t="str">
        <f t="array" ref="I1782">IF(ROWS(M$20:M1782)&gt;$F$6,"",INDEX(C$2:C$10000,SMALL(IF(ISNUMBER(MATCH($B$2:$B$10000,$E$6:$E$22,0)),ROW($C$2:$C$10000)-ROW($C$2)+1),ROWS(M$20:M1782))))</f>
        <v/>
      </c>
      <c r="K1782" s="7" t="str">
        <f t="array" ref="K1782">IF(ROWS(K$20:K1782)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1782))))</f>
        <v/>
      </c>
      <c r="L1782" s="4" t="str">
        <f t="array" ref="L1782">IF(ROWS(L$20:L1782)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1782))))</f>
        <v/>
      </c>
      <c r="M1782" s="4" t="str">
        <f t="array" ref="M1782">IF(ROWS(M$20:M1782)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1782))))</f>
        <v/>
      </c>
    </row>
    <row r="1783" spans="1:13" x14ac:dyDescent="0.25">
      <c r="A1783" s="3">
        <v>41343</v>
      </c>
      <c r="B1783" s="2" t="s">
        <v>36</v>
      </c>
      <c r="C1783" s="2">
        <v>33</v>
      </c>
      <c r="G1783" s="7" t="str">
        <f t="array" ref="G1783">IF(ROWS(K$20:K1783)&gt;$F$6,"",INDEX(A$2:A$10000,SMALL(IF(ISNUMBER(MATCH($B$2:$B$10000,$E$6:$E$22,0)),ROW($C$2:$C$10000)-ROW($C$2)+1),ROWS(K$20:K1783))))</f>
        <v/>
      </c>
      <c r="H1783" s="4" t="str">
        <f t="array" ref="H1783">IF(ROWS(L$20:L1783)&gt;$F$6,"",INDEX(B$2:B$10000,SMALL(IF(ISNUMBER(MATCH($B$2:$B$10000,$E$6:$E$22,0)),ROW($C$2:$C$10000)-ROW($C$2)+1),ROWS(L$20:L1783))))</f>
        <v/>
      </c>
      <c r="I1783" s="4" t="str">
        <f t="array" ref="I1783">IF(ROWS(M$20:M1783)&gt;$F$6,"",INDEX(C$2:C$10000,SMALL(IF(ISNUMBER(MATCH($B$2:$B$10000,$E$6:$E$22,0)),ROW($C$2:$C$10000)-ROW($C$2)+1),ROWS(M$20:M1783))))</f>
        <v/>
      </c>
      <c r="K1783" s="7" t="str">
        <f t="array" ref="K1783">IF(ROWS(K$20:K1783)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1783))))</f>
        <v/>
      </c>
      <c r="L1783" s="4" t="str">
        <f t="array" ref="L1783">IF(ROWS(L$20:L1783)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1783))))</f>
        <v/>
      </c>
      <c r="M1783" s="4" t="str">
        <f t="array" ref="M1783">IF(ROWS(M$20:M1783)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1783))))</f>
        <v/>
      </c>
    </row>
    <row r="1784" spans="1:13" x14ac:dyDescent="0.25">
      <c r="A1784" s="3">
        <v>41672</v>
      </c>
      <c r="B1784" s="2" t="s">
        <v>32</v>
      </c>
      <c r="C1784" s="2">
        <v>30</v>
      </c>
      <c r="G1784" s="7" t="str">
        <f t="array" ref="G1784">IF(ROWS(K$20:K1784)&gt;$F$6,"",INDEX(A$2:A$10000,SMALL(IF(ISNUMBER(MATCH($B$2:$B$10000,$E$6:$E$22,0)),ROW($C$2:$C$10000)-ROW($C$2)+1),ROWS(K$20:K1784))))</f>
        <v/>
      </c>
      <c r="H1784" s="4" t="str">
        <f t="array" ref="H1784">IF(ROWS(L$20:L1784)&gt;$F$6,"",INDEX(B$2:B$10000,SMALL(IF(ISNUMBER(MATCH($B$2:$B$10000,$E$6:$E$22,0)),ROW($C$2:$C$10000)-ROW($C$2)+1),ROWS(L$20:L1784))))</f>
        <v/>
      </c>
      <c r="I1784" s="4" t="str">
        <f t="array" ref="I1784">IF(ROWS(M$20:M1784)&gt;$F$6,"",INDEX(C$2:C$10000,SMALL(IF(ISNUMBER(MATCH($B$2:$B$10000,$E$6:$E$22,0)),ROW($C$2:$C$10000)-ROW($C$2)+1),ROWS(M$20:M1784))))</f>
        <v/>
      </c>
      <c r="K1784" s="7" t="str">
        <f t="array" ref="K1784">IF(ROWS(K$20:K1784)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1784))))</f>
        <v/>
      </c>
      <c r="L1784" s="4" t="str">
        <f t="array" ref="L1784">IF(ROWS(L$20:L1784)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1784))))</f>
        <v/>
      </c>
      <c r="M1784" s="4" t="str">
        <f t="array" ref="M1784">IF(ROWS(M$20:M1784)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1784))))</f>
        <v/>
      </c>
    </row>
    <row r="1785" spans="1:13" x14ac:dyDescent="0.25">
      <c r="A1785" s="3">
        <v>41953</v>
      </c>
      <c r="B1785" s="2" t="s">
        <v>9</v>
      </c>
      <c r="C1785" s="2">
        <v>28</v>
      </c>
      <c r="G1785" s="7" t="str">
        <f t="array" ref="G1785">IF(ROWS(K$20:K1785)&gt;$F$6,"",INDEX(A$2:A$10000,SMALL(IF(ISNUMBER(MATCH($B$2:$B$10000,$E$6:$E$22,0)),ROW($C$2:$C$10000)-ROW($C$2)+1),ROWS(K$20:K1785))))</f>
        <v/>
      </c>
      <c r="H1785" s="4" t="str">
        <f t="array" ref="H1785">IF(ROWS(L$20:L1785)&gt;$F$6,"",INDEX(B$2:B$10000,SMALL(IF(ISNUMBER(MATCH($B$2:$B$10000,$E$6:$E$22,0)),ROW($C$2:$C$10000)-ROW($C$2)+1),ROWS(L$20:L1785))))</f>
        <v/>
      </c>
      <c r="I1785" s="4" t="str">
        <f t="array" ref="I1785">IF(ROWS(M$20:M1785)&gt;$F$6,"",INDEX(C$2:C$10000,SMALL(IF(ISNUMBER(MATCH($B$2:$B$10000,$E$6:$E$22,0)),ROW($C$2:$C$10000)-ROW($C$2)+1),ROWS(M$20:M1785))))</f>
        <v/>
      </c>
      <c r="K1785" s="7" t="str">
        <f t="array" ref="K1785">IF(ROWS(K$20:K1785)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1785))))</f>
        <v/>
      </c>
      <c r="L1785" s="4" t="str">
        <f t="array" ref="L1785">IF(ROWS(L$20:L1785)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1785))))</f>
        <v/>
      </c>
      <c r="M1785" s="4" t="str">
        <f t="array" ref="M1785">IF(ROWS(M$20:M1785)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1785))))</f>
        <v/>
      </c>
    </row>
    <row r="1786" spans="1:13" x14ac:dyDescent="0.25">
      <c r="A1786" s="3">
        <v>41476</v>
      </c>
      <c r="B1786" s="2" t="s">
        <v>37</v>
      </c>
      <c r="C1786" s="2">
        <v>22</v>
      </c>
      <c r="G1786" s="7" t="str">
        <f t="array" ref="G1786">IF(ROWS(K$20:K1786)&gt;$F$6,"",INDEX(A$2:A$10000,SMALL(IF(ISNUMBER(MATCH($B$2:$B$10000,$E$6:$E$22,0)),ROW($C$2:$C$10000)-ROW($C$2)+1),ROWS(K$20:K1786))))</f>
        <v/>
      </c>
      <c r="H1786" s="4" t="str">
        <f t="array" ref="H1786">IF(ROWS(L$20:L1786)&gt;$F$6,"",INDEX(B$2:B$10000,SMALL(IF(ISNUMBER(MATCH($B$2:$B$10000,$E$6:$E$22,0)),ROW($C$2:$C$10000)-ROW($C$2)+1),ROWS(L$20:L1786))))</f>
        <v/>
      </c>
      <c r="I1786" s="4" t="str">
        <f t="array" ref="I1786">IF(ROWS(M$20:M1786)&gt;$F$6,"",INDEX(C$2:C$10000,SMALL(IF(ISNUMBER(MATCH($B$2:$B$10000,$E$6:$E$22,0)),ROW($C$2:$C$10000)-ROW($C$2)+1),ROWS(M$20:M1786))))</f>
        <v/>
      </c>
      <c r="K1786" s="7" t="str">
        <f t="array" ref="K1786">IF(ROWS(K$20:K1786)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1786))))</f>
        <v/>
      </c>
      <c r="L1786" s="4" t="str">
        <f t="array" ref="L1786">IF(ROWS(L$20:L1786)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1786))))</f>
        <v/>
      </c>
      <c r="M1786" s="4" t="str">
        <f t="array" ref="M1786">IF(ROWS(M$20:M1786)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1786))))</f>
        <v/>
      </c>
    </row>
    <row r="1787" spans="1:13" x14ac:dyDescent="0.25">
      <c r="A1787" s="3">
        <v>41342</v>
      </c>
      <c r="B1787" s="2" t="s">
        <v>18</v>
      </c>
      <c r="C1787" s="2">
        <v>57</v>
      </c>
      <c r="G1787" s="7" t="str">
        <f t="array" ref="G1787">IF(ROWS(K$20:K1787)&gt;$F$6,"",INDEX(A$2:A$10000,SMALL(IF(ISNUMBER(MATCH($B$2:$B$10000,$E$6:$E$22,0)),ROW($C$2:$C$10000)-ROW($C$2)+1),ROWS(K$20:K1787))))</f>
        <v/>
      </c>
      <c r="H1787" s="4" t="str">
        <f t="array" ref="H1787">IF(ROWS(L$20:L1787)&gt;$F$6,"",INDEX(B$2:B$10000,SMALL(IF(ISNUMBER(MATCH($B$2:$B$10000,$E$6:$E$22,0)),ROW($C$2:$C$10000)-ROW($C$2)+1),ROWS(L$20:L1787))))</f>
        <v/>
      </c>
      <c r="I1787" s="4" t="str">
        <f t="array" ref="I1787">IF(ROWS(M$20:M1787)&gt;$F$6,"",INDEX(C$2:C$10000,SMALL(IF(ISNUMBER(MATCH($B$2:$B$10000,$E$6:$E$22,0)),ROW($C$2:$C$10000)-ROW($C$2)+1),ROWS(M$20:M1787))))</f>
        <v/>
      </c>
      <c r="K1787" s="7" t="str">
        <f t="array" ref="K1787">IF(ROWS(K$20:K1787)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1787))))</f>
        <v/>
      </c>
      <c r="L1787" s="4" t="str">
        <f t="array" ref="L1787">IF(ROWS(L$20:L1787)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1787))))</f>
        <v/>
      </c>
      <c r="M1787" s="4" t="str">
        <f t="array" ref="M1787">IF(ROWS(M$20:M1787)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1787))))</f>
        <v/>
      </c>
    </row>
    <row r="1788" spans="1:13" x14ac:dyDescent="0.25">
      <c r="A1788" s="3">
        <v>41915</v>
      </c>
      <c r="B1788" s="2" t="s">
        <v>27</v>
      </c>
      <c r="C1788" s="2">
        <v>23</v>
      </c>
      <c r="G1788" s="7" t="str">
        <f t="array" ref="G1788">IF(ROWS(K$20:K1788)&gt;$F$6,"",INDEX(A$2:A$10000,SMALL(IF(ISNUMBER(MATCH($B$2:$B$10000,$E$6:$E$22,0)),ROW($C$2:$C$10000)-ROW($C$2)+1),ROWS(K$20:K1788))))</f>
        <v/>
      </c>
      <c r="H1788" s="4" t="str">
        <f t="array" ref="H1788">IF(ROWS(L$20:L1788)&gt;$F$6,"",INDEX(B$2:B$10000,SMALL(IF(ISNUMBER(MATCH($B$2:$B$10000,$E$6:$E$22,0)),ROW($C$2:$C$10000)-ROW($C$2)+1),ROWS(L$20:L1788))))</f>
        <v/>
      </c>
      <c r="I1788" s="4" t="str">
        <f t="array" ref="I1788">IF(ROWS(M$20:M1788)&gt;$F$6,"",INDEX(C$2:C$10000,SMALL(IF(ISNUMBER(MATCH($B$2:$B$10000,$E$6:$E$22,0)),ROW($C$2:$C$10000)-ROW($C$2)+1),ROWS(M$20:M1788))))</f>
        <v/>
      </c>
      <c r="K1788" s="7" t="str">
        <f t="array" ref="K1788">IF(ROWS(K$20:K1788)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1788))))</f>
        <v/>
      </c>
      <c r="L1788" s="4" t="str">
        <f t="array" ref="L1788">IF(ROWS(L$20:L1788)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1788))))</f>
        <v/>
      </c>
      <c r="M1788" s="4" t="str">
        <f t="array" ref="M1788">IF(ROWS(M$20:M1788)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1788))))</f>
        <v/>
      </c>
    </row>
    <row r="1789" spans="1:13" x14ac:dyDescent="0.25">
      <c r="A1789" s="3">
        <v>41577</v>
      </c>
      <c r="B1789" s="2" t="s">
        <v>5</v>
      </c>
      <c r="C1789" s="2">
        <v>9</v>
      </c>
      <c r="G1789" s="7" t="str">
        <f t="array" ref="G1789">IF(ROWS(K$20:K1789)&gt;$F$6,"",INDEX(A$2:A$10000,SMALL(IF(ISNUMBER(MATCH($B$2:$B$10000,$E$6:$E$22,0)),ROW($C$2:$C$10000)-ROW($C$2)+1),ROWS(K$20:K1789))))</f>
        <v/>
      </c>
      <c r="H1789" s="4" t="str">
        <f t="array" ref="H1789">IF(ROWS(L$20:L1789)&gt;$F$6,"",INDEX(B$2:B$10000,SMALL(IF(ISNUMBER(MATCH($B$2:$B$10000,$E$6:$E$22,0)),ROW($C$2:$C$10000)-ROW($C$2)+1),ROWS(L$20:L1789))))</f>
        <v/>
      </c>
      <c r="I1789" s="4" t="str">
        <f t="array" ref="I1789">IF(ROWS(M$20:M1789)&gt;$F$6,"",INDEX(C$2:C$10000,SMALL(IF(ISNUMBER(MATCH($B$2:$B$10000,$E$6:$E$22,0)),ROW($C$2:$C$10000)-ROW($C$2)+1),ROWS(M$20:M1789))))</f>
        <v/>
      </c>
      <c r="K1789" s="7" t="str">
        <f t="array" ref="K1789">IF(ROWS(K$20:K1789)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1789))))</f>
        <v/>
      </c>
      <c r="L1789" s="4" t="str">
        <f t="array" ref="L1789">IF(ROWS(L$20:L1789)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1789))))</f>
        <v/>
      </c>
      <c r="M1789" s="4" t="str">
        <f t="array" ref="M1789">IF(ROWS(M$20:M1789)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1789))))</f>
        <v/>
      </c>
    </row>
    <row r="1790" spans="1:13" x14ac:dyDescent="0.25">
      <c r="A1790" s="3">
        <v>41992</v>
      </c>
      <c r="B1790" s="2" t="s">
        <v>30</v>
      </c>
      <c r="C1790" s="2">
        <v>14</v>
      </c>
      <c r="G1790" s="7" t="str">
        <f t="array" ref="G1790">IF(ROWS(K$20:K1790)&gt;$F$6,"",INDEX(A$2:A$10000,SMALL(IF(ISNUMBER(MATCH($B$2:$B$10000,$E$6:$E$22,0)),ROW($C$2:$C$10000)-ROW($C$2)+1),ROWS(K$20:K1790))))</f>
        <v/>
      </c>
      <c r="H1790" s="4" t="str">
        <f t="array" ref="H1790">IF(ROWS(L$20:L1790)&gt;$F$6,"",INDEX(B$2:B$10000,SMALL(IF(ISNUMBER(MATCH($B$2:$B$10000,$E$6:$E$22,0)),ROW($C$2:$C$10000)-ROW($C$2)+1),ROWS(L$20:L1790))))</f>
        <v/>
      </c>
      <c r="I1790" s="4" t="str">
        <f t="array" ref="I1790">IF(ROWS(M$20:M1790)&gt;$F$6,"",INDEX(C$2:C$10000,SMALL(IF(ISNUMBER(MATCH($B$2:$B$10000,$E$6:$E$22,0)),ROW($C$2:$C$10000)-ROW($C$2)+1),ROWS(M$20:M1790))))</f>
        <v/>
      </c>
      <c r="K1790" s="7" t="str">
        <f t="array" ref="K1790">IF(ROWS(K$20:K1790)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1790))))</f>
        <v/>
      </c>
      <c r="L1790" s="4" t="str">
        <f t="array" ref="L1790">IF(ROWS(L$20:L1790)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1790))))</f>
        <v/>
      </c>
      <c r="M1790" s="4" t="str">
        <f t="array" ref="M1790">IF(ROWS(M$20:M1790)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1790))))</f>
        <v/>
      </c>
    </row>
    <row r="1791" spans="1:13" x14ac:dyDescent="0.25">
      <c r="A1791" s="3">
        <v>41927</v>
      </c>
      <c r="B1791" s="2" t="s">
        <v>22</v>
      </c>
      <c r="C1791" s="2">
        <v>49</v>
      </c>
      <c r="G1791" s="7" t="str">
        <f t="array" ref="G1791">IF(ROWS(K$20:K1791)&gt;$F$6,"",INDEX(A$2:A$10000,SMALL(IF(ISNUMBER(MATCH($B$2:$B$10000,$E$6:$E$22,0)),ROW($C$2:$C$10000)-ROW($C$2)+1),ROWS(K$20:K1791))))</f>
        <v/>
      </c>
      <c r="H1791" s="4" t="str">
        <f t="array" ref="H1791">IF(ROWS(L$20:L1791)&gt;$F$6,"",INDEX(B$2:B$10000,SMALL(IF(ISNUMBER(MATCH($B$2:$B$10000,$E$6:$E$22,0)),ROW($C$2:$C$10000)-ROW($C$2)+1),ROWS(L$20:L1791))))</f>
        <v/>
      </c>
      <c r="I1791" s="4" t="str">
        <f t="array" ref="I1791">IF(ROWS(M$20:M1791)&gt;$F$6,"",INDEX(C$2:C$10000,SMALL(IF(ISNUMBER(MATCH($B$2:$B$10000,$E$6:$E$22,0)),ROW($C$2:$C$10000)-ROW($C$2)+1),ROWS(M$20:M1791))))</f>
        <v/>
      </c>
      <c r="K1791" s="7" t="str">
        <f t="array" ref="K1791">IF(ROWS(K$20:K1791)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1791))))</f>
        <v/>
      </c>
      <c r="L1791" s="4" t="str">
        <f t="array" ref="L1791">IF(ROWS(L$20:L1791)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1791))))</f>
        <v/>
      </c>
      <c r="M1791" s="4" t="str">
        <f t="array" ref="M1791">IF(ROWS(M$20:M1791)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1791))))</f>
        <v/>
      </c>
    </row>
    <row r="1792" spans="1:13" x14ac:dyDescent="0.25">
      <c r="A1792" s="3">
        <v>41490</v>
      </c>
      <c r="B1792" s="2" t="s">
        <v>4</v>
      </c>
      <c r="C1792" s="2">
        <v>27</v>
      </c>
      <c r="G1792" s="7" t="str">
        <f t="array" ref="G1792">IF(ROWS(K$20:K1792)&gt;$F$6,"",INDEX(A$2:A$10000,SMALL(IF(ISNUMBER(MATCH($B$2:$B$10000,$E$6:$E$22,0)),ROW($C$2:$C$10000)-ROW($C$2)+1),ROWS(K$20:K1792))))</f>
        <v/>
      </c>
      <c r="H1792" s="4" t="str">
        <f t="array" ref="H1792">IF(ROWS(L$20:L1792)&gt;$F$6,"",INDEX(B$2:B$10000,SMALL(IF(ISNUMBER(MATCH($B$2:$B$10000,$E$6:$E$22,0)),ROW($C$2:$C$10000)-ROW($C$2)+1),ROWS(L$20:L1792))))</f>
        <v/>
      </c>
      <c r="I1792" s="4" t="str">
        <f t="array" ref="I1792">IF(ROWS(M$20:M1792)&gt;$F$6,"",INDEX(C$2:C$10000,SMALL(IF(ISNUMBER(MATCH($B$2:$B$10000,$E$6:$E$22,0)),ROW($C$2:$C$10000)-ROW($C$2)+1),ROWS(M$20:M1792))))</f>
        <v/>
      </c>
      <c r="K1792" s="7" t="str">
        <f t="array" ref="K1792">IF(ROWS(K$20:K1792)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1792))))</f>
        <v/>
      </c>
      <c r="L1792" s="4" t="str">
        <f t="array" ref="L1792">IF(ROWS(L$20:L1792)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1792))))</f>
        <v/>
      </c>
      <c r="M1792" s="4" t="str">
        <f t="array" ref="M1792">IF(ROWS(M$20:M1792)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1792))))</f>
        <v/>
      </c>
    </row>
    <row r="1793" spans="1:13" x14ac:dyDescent="0.25">
      <c r="A1793" s="3">
        <v>41680</v>
      </c>
      <c r="B1793" s="2" t="s">
        <v>12</v>
      </c>
      <c r="C1793" s="2">
        <v>29</v>
      </c>
      <c r="G1793" s="7" t="str">
        <f t="array" ref="G1793">IF(ROWS(K$20:K1793)&gt;$F$6,"",INDEX(A$2:A$10000,SMALL(IF(ISNUMBER(MATCH($B$2:$B$10000,$E$6:$E$22,0)),ROW($C$2:$C$10000)-ROW($C$2)+1),ROWS(K$20:K1793))))</f>
        <v/>
      </c>
      <c r="H1793" s="4" t="str">
        <f t="array" ref="H1793">IF(ROWS(L$20:L1793)&gt;$F$6,"",INDEX(B$2:B$10000,SMALL(IF(ISNUMBER(MATCH($B$2:$B$10000,$E$6:$E$22,0)),ROW($C$2:$C$10000)-ROW($C$2)+1),ROWS(L$20:L1793))))</f>
        <v/>
      </c>
      <c r="I1793" s="4" t="str">
        <f t="array" ref="I1793">IF(ROWS(M$20:M1793)&gt;$F$6,"",INDEX(C$2:C$10000,SMALL(IF(ISNUMBER(MATCH($B$2:$B$10000,$E$6:$E$22,0)),ROW($C$2:$C$10000)-ROW($C$2)+1),ROWS(M$20:M1793))))</f>
        <v/>
      </c>
      <c r="K1793" s="7" t="str">
        <f t="array" ref="K1793">IF(ROWS(K$20:K1793)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1793))))</f>
        <v/>
      </c>
      <c r="L1793" s="4" t="str">
        <f t="array" ref="L1793">IF(ROWS(L$20:L1793)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1793))))</f>
        <v/>
      </c>
      <c r="M1793" s="4" t="str">
        <f t="array" ref="M1793">IF(ROWS(M$20:M1793)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1793))))</f>
        <v/>
      </c>
    </row>
    <row r="1794" spans="1:13" x14ac:dyDescent="0.25">
      <c r="A1794" s="3">
        <v>41622</v>
      </c>
      <c r="B1794" s="2" t="s">
        <v>49</v>
      </c>
      <c r="C1794" s="2">
        <v>3</v>
      </c>
      <c r="G1794" s="7" t="str">
        <f t="array" ref="G1794">IF(ROWS(K$20:K1794)&gt;$F$6,"",INDEX(A$2:A$10000,SMALL(IF(ISNUMBER(MATCH($B$2:$B$10000,$E$6:$E$22,0)),ROW($C$2:$C$10000)-ROW($C$2)+1),ROWS(K$20:K1794))))</f>
        <v/>
      </c>
      <c r="H1794" s="4" t="str">
        <f t="array" ref="H1794">IF(ROWS(L$20:L1794)&gt;$F$6,"",INDEX(B$2:B$10000,SMALL(IF(ISNUMBER(MATCH($B$2:$B$10000,$E$6:$E$22,0)),ROW($C$2:$C$10000)-ROW($C$2)+1),ROWS(L$20:L1794))))</f>
        <v/>
      </c>
      <c r="I1794" s="4" t="str">
        <f t="array" ref="I1794">IF(ROWS(M$20:M1794)&gt;$F$6,"",INDEX(C$2:C$10000,SMALL(IF(ISNUMBER(MATCH($B$2:$B$10000,$E$6:$E$22,0)),ROW($C$2:$C$10000)-ROW($C$2)+1),ROWS(M$20:M1794))))</f>
        <v/>
      </c>
      <c r="K1794" s="7" t="str">
        <f t="array" ref="K1794">IF(ROWS(K$20:K1794)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1794))))</f>
        <v/>
      </c>
      <c r="L1794" s="4" t="str">
        <f t="array" ref="L1794">IF(ROWS(L$20:L1794)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1794))))</f>
        <v/>
      </c>
      <c r="M1794" s="4" t="str">
        <f t="array" ref="M1794">IF(ROWS(M$20:M1794)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1794))))</f>
        <v/>
      </c>
    </row>
    <row r="1795" spans="1:13" x14ac:dyDescent="0.25">
      <c r="A1795" s="3">
        <v>41880</v>
      </c>
      <c r="B1795" s="2" t="s">
        <v>4</v>
      </c>
      <c r="C1795" s="2">
        <v>45</v>
      </c>
      <c r="G1795" s="7" t="str">
        <f t="array" ref="G1795">IF(ROWS(K$20:K1795)&gt;$F$6,"",INDEX(A$2:A$10000,SMALL(IF(ISNUMBER(MATCH($B$2:$B$10000,$E$6:$E$22,0)),ROW($C$2:$C$10000)-ROW($C$2)+1),ROWS(K$20:K1795))))</f>
        <v/>
      </c>
      <c r="H1795" s="4" t="str">
        <f t="array" ref="H1795">IF(ROWS(L$20:L1795)&gt;$F$6,"",INDEX(B$2:B$10000,SMALL(IF(ISNUMBER(MATCH($B$2:$B$10000,$E$6:$E$22,0)),ROW($C$2:$C$10000)-ROW($C$2)+1),ROWS(L$20:L1795))))</f>
        <v/>
      </c>
      <c r="I1795" s="4" t="str">
        <f t="array" ref="I1795">IF(ROWS(M$20:M1795)&gt;$F$6,"",INDEX(C$2:C$10000,SMALL(IF(ISNUMBER(MATCH($B$2:$B$10000,$E$6:$E$22,0)),ROW($C$2:$C$10000)-ROW($C$2)+1),ROWS(M$20:M1795))))</f>
        <v/>
      </c>
      <c r="K1795" s="7" t="str">
        <f t="array" ref="K1795">IF(ROWS(K$20:K1795)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1795))))</f>
        <v/>
      </c>
      <c r="L1795" s="4" t="str">
        <f t="array" ref="L1795">IF(ROWS(L$20:L1795)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1795))))</f>
        <v/>
      </c>
      <c r="M1795" s="4" t="str">
        <f t="array" ref="M1795">IF(ROWS(M$20:M1795)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1795))))</f>
        <v/>
      </c>
    </row>
    <row r="1796" spans="1:13" x14ac:dyDescent="0.25">
      <c r="A1796" s="3">
        <v>41582</v>
      </c>
      <c r="B1796" s="2" t="s">
        <v>18</v>
      </c>
      <c r="C1796" s="2">
        <v>27</v>
      </c>
      <c r="G1796" s="7" t="str">
        <f t="array" ref="G1796">IF(ROWS(K$20:K1796)&gt;$F$6,"",INDEX(A$2:A$10000,SMALL(IF(ISNUMBER(MATCH($B$2:$B$10000,$E$6:$E$22,0)),ROW($C$2:$C$10000)-ROW($C$2)+1),ROWS(K$20:K1796))))</f>
        <v/>
      </c>
      <c r="H1796" s="4" t="str">
        <f t="array" ref="H1796">IF(ROWS(L$20:L1796)&gt;$F$6,"",INDEX(B$2:B$10000,SMALL(IF(ISNUMBER(MATCH($B$2:$B$10000,$E$6:$E$22,0)),ROW($C$2:$C$10000)-ROW($C$2)+1),ROWS(L$20:L1796))))</f>
        <v/>
      </c>
      <c r="I1796" s="4" t="str">
        <f t="array" ref="I1796">IF(ROWS(M$20:M1796)&gt;$F$6,"",INDEX(C$2:C$10000,SMALL(IF(ISNUMBER(MATCH($B$2:$B$10000,$E$6:$E$22,0)),ROW($C$2:$C$10000)-ROW($C$2)+1),ROWS(M$20:M1796))))</f>
        <v/>
      </c>
      <c r="K1796" s="7" t="str">
        <f t="array" ref="K1796">IF(ROWS(K$20:K1796)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1796))))</f>
        <v/>
      </c>
      <c r="L1796" s="4" t="str">
        <f t="array" ref="L1796">IF(ROWS(L$20:L1796)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1796))))</f>
        <v/>
      </c>
      <c r="M1796" s="4" t="str">
        <f t="array" ref="M1796">IF(ROWS(M$20:M1796)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1796))))</f>
        <v/>
      </c>
    </row>
    <row r="1797" spans="1:13" x14ac:dyDescent="0.25">
      <c r="A1797" s="3">
        <v>41609</v>
      </c>
      <c r="B1797" s="2" t="s">
        <v>33</v>
      </c>
      <c r="C1797" s="2">
        <v>33</v>
      </c>
      <c r="G1797" s="7" t="str">
        <f t="array" ref="G1797">IF(ROWS(K$20:K1797)&gt;$F$6,"",INDEX(A$2:A$10000,SMALL(IF(ISNUMBER(MATCH($B$2:$B$10000,$E$6:$E$22,0)),ROW($C$2:$C$10000)-ROW($C$2)+1),ROWS(K$20:K1797))))</f>
        <v/>
      </c>
      <c r="H1797" s="4" t="str">
        <f t="array" ref="H1797">IF(ROWS(L$20:L1797)&gt;$F$6,"",INDEX(B$2:B$10000,SMALL(IF(ISNUMBER(MATCH($B$2:$B$10000,$E$6:$E$22,0)),ROW($C$2:$C$10000)-ROW($C$2)+1),ROWS(L$20:L1797))))</f>
        <v/>
      </c>
      <c r="I1797" s="4" t="str">
        <f t="array" ref="I1797">IF(ROWS(M$20:M1797)&gt;$F$6,"",INDEX(C$2:C$10000,SMALL(IF(ISNUMBER(MATCH($B$2:$B$10000,$E$6:$E$22,0)),ROW($C$2:$C$10000)-ROW($C$2)+1),ROWS(M$20:M1797))))</f>
        <v/>
      </c>
      <c r="K1797" s="7" t="str">
        <f t="array" ref="K1797">IF(ROWS(K$20:K1797)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1797))))</f>
        <v/>
      </c>
      <c r="L1797" s="4" t="str">
        <f t="array" ref="L1797">IF(ROWS(L$20:L1797)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1797))))</f>
        <v/>
      </c>
      <c r="M1797" s="4" t="str">
        <f t="array" ref="M1797">IF(ROWS(M$20:M1797)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1797))))</f>
        <v/>
      </c>
    </row>
    <row r="1798" spans="1:13" x14ac:dyDescent="0.25">
      <c r="A1798" s="3">
        <v>41732</v>
      </c>
      <c r="B1798" s="2" t="s">
        <v>10</v>
      </c>
      <c r="C1798" s="2">
        <v>23</v>
      </c>
      <c r="G1798" s="7" t="str">
        <f t="array" ref="G1798">IF(ROWS(K$20:K1798)&gt;$F$6,"",INDEX(A$2:A$10000,SMALL(IF(ISNUMBER(MATCH($B$2:$B$10000,$E$6:$E$22,0)),ROW($C$2:$C$10000)-ROW($C$2)+1),ROWS(K$20:K1798))))</f>
        <v/>
      </c>
      <c r="H1798" s="4" t="str">
        <f t="array" ref="H1798">IF(ROWS(L$20:L1798)&gt;$F$6,"",INDEX(B$2:B$10000,SMALL(IF(ISNUMBER(MATCH($B$2:$B$10000,$E$6:$E$22,0)),ROW($C$2:$C$10000)-ROW($C$2)+1),ROWS(L$20:L1798))))</f>
        <v/>
      </c>
      <c r="I1798" s="4" t="str">
        <f t="array" ref="I1798">IF(ROWS(M$20:M1798)&gt;$F$6,"",INDEX(C$2:C$10000,SMALL(IF(ISNUMBER(MATCH($B$2:$B$10000,$E$6:$E$22,0)),ROW($C$2:$C$10000)-ROW($C$2)+1),ROWS(M$20:M1798))))</f>
        <v/>
      </c>
      <c r="K1798" s="7" t="str">
        <f t="array" ref="K1798">IF(ROWS(K$20:K1798)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1798))))</f>
        <v/>
      </c>
      <c r="L1798" s="4" t="str">
        <f t="array" ref="L1798">IF(ROWS(L$20:L1798)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1798))))</f>
        <v/>
      </c>
      <c r="M1798" s="4" t="str">
        <f t="array" ref="M1798">IF(ROWS(M$20:M1798)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1798))))</f>
        <v/>
      </c>
    </row>
    <row r="1799" spans="1:13" x14ac:dyDescent="0.25">
      <c r="A1799" s="3">
        <v>41992</v>
      </c>
      <c r="B1799" s="2" t="s">
        <v>27</v>
      </c>
      <c r="C1799" s="2">
        <v>38</v>
      </c>
      <c r="G1799" s="7" t="str">
        <f t="array" ref="G1799">IF(ROWS(K$20:K1799)&gt;$F$6,"",INDEX(A$2:A$10000,SMALL(IF(ISNUMBER(MATCH($B$2:$B$10000,$E$6:$E$22,0)),ROW($C$2:$C$10000)-ROW($C$2)+1),ROWS(K$20:K1799))))</f>
        <v/>
      </c>
      <c r="H1799" s="4" t="str">
        <f t="array" ref="H1799">IF(ROWS(L$20:L1799)&gt;$F$6,"",INDEX(B$2:B$10000,SMALL(IF(ISNUMBER(MATCH($B$2:$B$10000,$E$6:$E$22,0)),ROW($C$2:$C$10000)-ROW($C$2)+1),ROWS(L$20:L1799))))</f>
        <v/>
      </c>
      <c r="I1799" s="4" t="str">
        <f t="array" ref="I1799">IF(ROWS(M$20:M1799)&gt;$F$6,"",INDEX(C$2:C$10000,SMALL(IF(ISNUMBER(MATCH($B$2:$B$10000,$E$6:$E$22,0)),ROW($C$2:$C$10000)-ROW($C$2)+1),ROWS(M$20:M1799))))</f>
        <v/>
      </c>
      <c r="K1799" s="7" t="str">
        <f t="array" ref="K1799">IF(ROWS(K$20:K1799)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1799))))</f>
        <v/>
      </c>
      <c r="L1799" s="4" t="str">
        <f t="array" ref="L1799">IF(ROWS(L$20:L1799)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1799))))</f>
        <v/>
      </c>
      <c r="M1799" s="4" t="str">
        <f t="array" ref="M1799">IF(ROWS(M$20:M1799)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1799))))</f>
        <v/>
      </c>
    </row>
    <row r="1800" spans="1:13" x14ac:dyDescent="0.25">
      <c r="A1800" s="3">
        <v>41395</v>
      </c>
      <c r="B1800" s="2" t="s">
        <v>41</v>
      </c>
      <c r="C1800" s="2">
        <v>34</v>
      </c>
      <c r="G1800" s="7" t="str">
        <f t="array" ref="G1800">IF(ROWS(K$20:K1800)&gt;$F$6,"",INDEX(A$2:A$10000,SMALL(IF(ISNUMBER(MATCH($B$2:$B$10000,$E$6:$E$22,0)),ROW($C$2:$C$10000)-ROW($C$2)+1),ROWS(K$20:K1800))))</f>
        <v/>
      </c>
      <c r="H1800" s="4" t="str">
        <f t="array" ref="H1800">IF(ROWS(L$20:L1800)&gt;$F$6,"",INDEX(B$2:B$10000,SMALL(IF(ISNUMBER(MATCH($B$2:$B$10000,$E$6:$E$22,0)),ROW($C$2:$C$10000)-ROW($C$2)+1),ROWS(L$20:L1800))))</f>
        <v/>
      </c>
      <c r="I1800" s="4" t="str">
        <f t="array" ref="I1800">IF(ROWS(M$20:M1800)&gt;$F$6,"",INDEX(C$2:C$10000,SMALL(IF(ISNUMBER(MATCH($B$2:$B$10000,$E$6:$E$22,0)),ROW($C$2:$C$10000)-ROW($C$2)+1),ROWS(M$20:M1800))))</f>
        <v/>
      </c>
      <c r="K1800" s="7" t="str">
        <f t="array" ref="K1800">IF(ROWS(K$20:K1800)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1800))))</f>
        <v/>
      </c>
      <c r="L1800" s="4" t="str">
        <f t="array" ref="L1800">IF(ROWS(L$20:L1800)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1800))))</f>
        <v/>
      </c>
      <c r="M1800" s="4" t="str">
        <f t="array" ref="M1800">IF(ROWS(M$20:M1800)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1800))))</f>
        <v/>
      </c>
    </row>
    <row r="1801" spans="1:13" x14ac:dyDescent="0.25">
      <c r="A1801" s="3">
        <v>41919</v>
      </c>
      <c r="B1801" s="2" t="s">
        <v>5</v>
      </c>
      <c r="C1801" s="2">
        <v>13</v>
      </c>
      <c r="G1801" s="7" t="str">
        <f t="array" ref="G1801">IF(ROWS(K$20:K1801)&gt;$F$6,"",INDEX(A$2:A$10000,SMALL(IF(ISNUMBER(MATCH($B$2:$B$10000,$E$6:$E$22,0)),ROW($C$2:$C$10000)-ROW($C$2)+1),ROWS(K$20:K1801))))</f>
        <v/>
      </c>
      <c r="H1801" s="4" t="str">
        <f t="array" ref="H1801">IF(ROWS(L$20:L1801)&gt;$F$6,"",INDEX(B$2:B$10000,SMALL(IF(ISNUMBER(MATCH($B$2:$B$10000,$E$6:$E$22,0)),ROW($C$2:$C$10000)-ROW($C$2)+1),ROWS(L$20:L1801))))</f>
        <v/>
      </c>
      <c r="I1801" s="4" t="str">
        <f t="array" ref="I1801">IF(ROWS(M$20:M1801)&gt;$F$6,"",INDEX(C$2:C$10000,SMALL(IF(ISNUMBER(MATCH($B$2:$B$10000,$E$6:$E$22,0)),ROW($C$2:$C$10000)-ROW($C$2)+1),ROWS(M$20:M1801))))</f>
        <v/>
      </c>
      <c r="K1801" s="7" t="str">
        <f t="array" ref="K1801">IF(ROWS(K$20:K1801)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1801))))</f>
        <v/>
      </c>
      <c r="L1801" s="4" t="str">
        <f t="array" ref="L1801">IF(ROWS(L$20:L1801)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1801))))</f>
        <v/>
      </c>
      <c r="M1801" s="4" t="str">
        <f t="array" ref="M1801">IF(ROWS(M$20:M1801)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1801))))</f>
        <v/>
      </c>
    </row>
    <row r="1802" spans="1:13" x14ac:dyDescent="0.25">
      <c r="A1802" s="3">
        <v>41955</v>
      </c>
      <c r="B1802" s="2" t="s">
        <v>29</v>
      </c>
      <c r="C1802" s="2">
        <v>19</v>
      </c>
      <c r="G1802" s="7" t="str">
        <f t="array" ref="G1802">IF(ROWS(K$20:K1802)&gt;$F$6,"",INDEX(A$2:A$10000,SMALL(IF(ISNUMBER(MATCH($B$2:$B$10000,$E$6:$E$22,0)),ROW($C$2:$C$10000)-ROW($C$2)+1),ROWS(K$20:K1802))))</f>
        <v/>
      </c>
      <c r="H1802" s="4" t="str">
        <f t="array" ref="H1802">IF(ROWS(L$20:L1802)&gt;$F$6,"",INDEX(B$2:B$10000,SMALL(IF(ISNUMBER(MATCH($B$2:$B$10000,$E$6:$E$22,0)),ROW($C$2:$C$10000)-ROW($C$2)+1),ROWS(L$20:L1802))))</f>
        <v/>
      </c>
      <c r="I1802" s="4" t="str">
        <f t="array" ref="I1802">IF(ROWS(M$20:M1802)&gt;$F$6,"",INDEX(C$2:C$10000,SMALL(IF(ISNUMBER(MATCH($B$2:$B$10000,$E$6:$E$22,0)),ROW($C$2:$C$10000)-ROW($C$2)+1),ROWS(M$20:M1802))))</f>
        <v/>
      </c>
      <c r="K1802" s="7" t="str">
        <f t="array" ref="K1802">IF(ROWS(K$20:K1802)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1802))))</f>
        <v/>
      </c>
      <c r="L1802" s="4" t="str">
        <f t="array" ref="L1802">IF(ROWS(L$20:L1802)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1802))))</f>
        <v/>
      </c>
      <c r="M1802" s="4" t="str">
        <f t="array" ref="M1802">IF(ROWS(M$20:M1802)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1802))))</f>
        <v/>
      </c>
    </row>
    <row r="1803" spans="1:13" x14ac:dyDescent="0.25">
      <c r="A1803" s="3">
        <v>41950</v>
      </c>
      <c r="B1803" s="2" t="s">
        <v>45</v>
      </c>
      <c r="C1803" s="2">
        <v>14</v>
      </c>
      <c r="G1803" s="7" t="str">
        <f t="array" ref="G1803">IF(ROWS(K$20:K1803)&gt;$F$6,"",INDEX(A$2:A$10000,SMALL(IF(ISNUMBER(MATCH($B$2:$B$10000,$E$6:$E$22,0)),ROW($C$2:$C$10000)-ROW($C$2)+1),ROWS(K$20:K1803))))</f>
        <v/>
      </c>
      <c r="H1803" s="4" t="str">
        <f t="array" ref="H1803">IF(ROWS(L$20:L1803)&gt;$F$6,"",INDEX(B$2:B$10000,SMALL(IF(ISNUMBER(MATCH($B$2:$B$10000,$E$6:$E$22,0)),ROW($C$2:$C$10000)-ROW($C$2)+1),ROWS(L$20:L1803))))</f>
        <v/>
      </c>
      <c r="I1803" s="4" t="str">
        <f t="array" ref="I1803">IF(ROWS(M$20:M1803)&gt;$F$6,"",INDEX(C$2:C$10000,SMALL(IF(ISNUMBER(MATCH($B$2:$B$10000,$E$6:$E$22,0)),ROW($C$2:$C$10000)-ROW($C$2)+1),ROWS(M$20:M1803))))</f>
        <v/>
      </c>
      <c r="K1803" s="7" t="str">
        <f t="array" ref="K1803">IF(ROWS(K$20:K1803)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1803))))</f>
        <v/>
      </c>
      <c r="L1803" s="4" t="str">
        <f t="array" ref="L1803">IF(ROWS(L$20:L1803)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1803))))</f>
        <v/>
      </c>
      <c r="M1803" s="4" t="str">
        <f t="array" ref="M1803">IF(ROWS(M$20:M1803)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1803))))</f>
        <v/>
      </c>
    </row>
    <row r="1804" spans="1:13" x14ac:dyDescent="0.25">
      <c r="A1804" s="3">
        <v>41275</v>
      </c>
      <c r="B1804" s="2" t="s">
        <v>44</v>
      </c>
      <c r="C1804" s="2">
        <v>14</v>
      </c>
      <c r="G1804" s="7" t="str">
        <f t="array" ref="G1804">IF(ROWS(K$20:K1804)&gt;$F$6,"",INDEX(A$2:A$10000,SMALL(IF(ISNUMBER(MATCH($B$2:$B$10000,$E$6:$E$22,0)),ROW($C$2:$C$10000)-ROW($C$2)+1),ROWS(K$20:K1804))))</f>
        <v/>
      </c>
      <c r="H1804" s="4" t="str">
        <f t="array" ref="H1804">IF(ROWS(L$20:L1804)&gt;$F$6,"",INDEX(B$2:B$10000,SMALL(IF(ISNUMBER(MATCH($B$2:$B$10000,$E$6:$E$22,0)),ROW($C$2:$C$10000)-ROW($C$2)+1),ROWS(L$20:L1804))))</f>
        <v/>
      </c>
      <c r="I1804" s="4" t="str">
        <f t="array" ref="I1804">IF(ROWS(M$20:M1804)&gt;$F$6,"",INDEX(C$2:C$10000,SMALL(IF(ISNUMBER(MATCH($B$2:$B$10000,$E$6:$E$22,0)),ROW($C$2:$C$10000)-ROW($C$2)+1),ROWS(M$20:M1804))))</f>
        <v/>
      </c>
      <c r="K1804" s="7" t="str">
        <f t="array" ref="K1804">IF(ROWS(K$20:K1804)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1804))))</f>
        <v/>
      </c>
      <c r="L1804" s="4" t="str">
        <f t="array" ref="L1804">IF(ROWS(L$20:L1804)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1804))))</f>
        <v/>
      </c>
      <c r="M1804" s="4" t="str">
        <f t="array" ref="M1804">IF(ROWS(M$20:M1804)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1804))))</f>
        <v/>
      </c>
    </row>
    <row r="1805" spans="1:13" x14ac:dyDescent="0.25">
      <c r="A1805" s="3">
        <v>41823</v>
      </c>
      <c r="B1805" s="2" t="s">
        <v>8</v>
      </c>
      <c r="C1805" s="2">
        <v>32</v>
      </c>
      <c r="G1805" s="7" t="str">
        <f t="array" ref="G1805">IF(ROWS(K$20:K1805)&gt;$F$6,"",INDEX(A$2:A$10000,SMALL(IF(ISNUMBER(MATCH($B$2:$B$10000,$E$6:$E$22,0)),ROW($C$2:$C$10000)-ROW($C$2)+1),ROWS(K$20:K1805))))</f>
        <v/>
      </c>
      <c r="H1805" s="4" t="str">
        <f t="array" ref="H1805">IF(ROWS(L$20:L1805)&gt;$F$6,"",INDEX(B$2:B$10000,SMALL(IF(ISNUMBER(MATCH($B$2:$B$10000,$E$6:$E$22,0)),ROW($C$2:$C$10000)-ROW($C$2)+1),ROWS(L$20:L1805))))</f>
        <v/>
      </c>
      <c r="I1805" s="4" t="str">
        <f t="array" ref="I1805">IF(ROWS(M$20:M1805)&gt;$F$6,"",INDEX(C$2:C$10000,SMALL(IF(ISNUMBER(MATCH($B$2:$B$10000,$E$6:$E$22,0)),ROW($C$2:$C$10000)-ROW($C$2)+1),ROWS(M$20:M1805))))</f>
        <v/>
      </c>
      <c r="K1805" s="7" t="str">
        <f t="array" ref="K1805">IF(ROWS(K$20:K1805)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1805))))</f>
        <v/>
      </c>
      <c r="L1805" s="4" t="str">
        <f t="array" ref="L1805">IF(ROWS(L$20:L1805)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1805))))</f>
        <v/>
      </c>
      <c r="M1805" s="4" t="str">
        <f t="array" ref="M1805">IF(ROWS(M$20:M1805)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1805))))</f>
        <v/>
      </c>
    </row>
    <row r="1806" spans="1:13" x14ac:dyDescent="0.25">
      <c r="A1806" s="3">
        <v>41823</v>
      </c>
      <c r="B1806" s="2" t="s">
        <v>29</v>
      </c>
      <c r="C1806" s="2">
        <v>12</v>
      </c>
      <c r="G1806" s="7" t="str">
        <f t="array" ref="G1806">IF(ROWS(K$20:K1806)&gt;$F$6,"",INDEX(A$2:A$10000,SMALL(IF(ISNUMBER(MATCH($B$2:$B$10000,$E$6:$E$22,0)),ROW($C$2:$C$10000)-ROW($C$2)+1),ROWS(K$20:K1806))))</f>
        <v/>
      </c>
      <c r="H1806" s="4" t="str">
        <f t="array" ref="H1806">IF(ROWS(L$20:L1806)&gt;$F$6,"",INDEX(B$2:B$10000,SMALL(IF(ISNUMBER(MATCH($B$2:$B$10000,$E$6:$E$22,0)),ROW($C$2:$C$10000)-ROW($C$2)+1),ROWS(L$20:L1806))))</f>
        <v/>
      </c>
      <c r="I1806" s="4" t="str">
        <f t="array" ref="I1806">IF(ROWS(M$20:M1806)&gt;$F$6,"",INDEX(C$2:C$10000,SMALL(IF(ISNUMBER(MATCH($B$2:$B$10000,$E$6:$E$22,0)),ROW($C$2:$C$10000)-ROW($C$2)+1),ROWS(M$20:M1806))))</f>
        <v/>
      </c>
      <c r="K1806" s="7" t="str">
        <f t="array" ref="K1806">IF(ROWS(K$20:K1806)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1806))))</f>
        <v/>
      </c>
      <c r="L1806" s="4" t="str">
        <f t="array" ref="L1806">IF(ROWS(L$20:L1806)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1806))))</f>
        <v/>
      </c>
      <c r="M1806" s="4" t="str">
        <f t="array" ref="M1806">IF(ROWS(M$20:M1806)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1806))))</f>
        <v/>
      </c>
    </row>
    <row r="1807" spans="1:13" x14ac:dyDescent="0.25">
      <c r="A1807" s="3">
        <v>41719</v>
      </c>
      <c r="B1807" s="2" t="s">
        <v>49</v>
      </c>
      <c r="C1807" s="2">
        <v>45</v>
      </c>
      <c r="G1807" s="7" t="str">
        <f t="array" ref="G1807">IF(ROWS(K$20:K1807)&gt;$F$6,"",INDEX(A$2:A$10000,SMALL(IF(ISNUMBER(MATCH($B$2:$B$10000,$E$6:$E$22,0)),ROW($C$2:$C$10000)-ROW($C$2)+1),ROWS(K$20:K1807))))</f>
        <v/>
      </c>
      <c r="H1807" s="4" t="str">
        <f t="array" ref="H1807">IF(ROWS(L$20:L1807)&gt;$F$6,"",INDEX(B$2:B$10000,SMALL(IF(ISNUMBER(MATCH($B$2:$B$10000,$E$6:$E$22,0)),ROW($C$2:$C$10000)-ROW($C$2)+1),ROWS(L$20:L1807))))</f>
        <v/>
      </c>
      <c r="I1807" s="4" t="str">
        <f t="array" ref="I1807">IF(ROWS(M$20:M1807)&gt;$F$6,"",INDEX(C$2:C$10000,SMALL(IF(ISNUMBER(MATCH($B$2:$B$10000,$E$6:$E$22,0)),ROW($C$2:$C$10000)-ROW($C$2)+1),ROWS(M$20:M1807))))</f>
        <v/>
      </c>
      <c r="K1807" s="7" t="str">
        <f t="array" ref="K1807">IF(ROWS(K$20:K1807)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1807))))</f>
        <v/>
      </c>
      <c r="L1807" s="4" t="str">
        <f t="array" ref="L1807">IF(ROWS(L$20:L1807)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1807))))</f>
        <v/>
      </c>
      <c r="M1807" s="4" t="str">
        <f t="array" ref="M1807">IF(ROWS(M$20:M1807)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1807))))</f>
        <v/>
      </c>
    </row>
    <row r="1808" spans="1:13" x14ac:dyDescent="0.25">
      <c r="A1808" s="3">
        <v>41770</v>
      </c>
      <c r="B1808" s="2" t="s">
        <v>40</v>
      </c>
      <c r="C1808" s="2">
        <v>34</v>
      </c>
      <c r="G1808" s="7" t="str">
        <f t="array" ref="G1808">IF(ROWS(K$20:K1808)&gt;$F$6,"",INDEX(A$2:A$10000,SMALL(IF(ISNUMBER(MATCH($B$2:$B$10000,$E$6:$E$22,0)),ROW($C$2:$C$10000)-ROW($C$2)+1),ROWS(K$20:K1808))))</f>
        <v/>
      </c>
      <c r="H1808" s="4" t="str">
        <f t="array" ref="H1808">IF(ROWS(L$20:L1808)&gt;$F$6,"",INDEX(B$2:B$10000,SMALL(IF(ISNUMBER(MATCH($B$2:$B$10000,$E$6:$E$22,0)),ROW($C$2:$C$10000)-ROW($C$2)+1),ROWS(L$20:L1808))))</f>
        <v/>
      </c>
      <c r="I1808" s="4" t="str">
        <f t="array" ref="I1808">IF(ROWS(M$20:M1808)&gt;$F$6,"",INDEX(C$2:C$10000,SMALL(IF(ISNUMBER(MATCH($B$2:$B$10000,$E$6:$E$22,0)),ROW($C$2:$C$10000)-ROW($C$2)+1),ROWS(M$20:M1808))))</f>
        <v/>
      </c>
      <c r="K1808" s="7" t="str">
        <f t="array" ref="K1808">IF(ROWS(K$20:K1808)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1808))))</f>
        <v/>
      </c>
      <c r="L1808" s="4" t="str">
        <f t="array" ref="L1808">IF(ROWS(L$20:L1808)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1808))))</f>
        <v/>
      </c>
      <c r="M1808" s="4" t="str">
        <f t="array" ref="M1808">IF(ROWS(M$20:M1808)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1808))))</f>
        <v/>
      </c>
    </row>
    <row r="1809" spans="1:13" x14ac:dyDescent="0.25">
      <c r="A1809" s="3">
        <v>41400</v>
      </c>
      <c r="B1809" s="2" t="s">
        <v>46</v>
      </c>
      <c r="C1809" s="2">
        <v>23</v>
      </c>
      <c r="G1809" s="7" t="str">
        <f t="array" ref="G1809">IF(ROWS(K$20:K1809)&gt;$F$6,"",INDEX(A$2:A$10000,SMALL(IF(ISNUMBER(MATCH($B$2:$B$10000,$E$6:$E$22,0)),ROW($C$2:$C$10000)-ROW($C$2)+1),ROWS(K$20:K1809))))</f>
        <v/>
      </c>
      <c r="H1809" s="4" t="str">
        <f t="array" ref="H1809">IF(ROWS(L$20:L1809)&gt;$F$6,"",INDEX(B$2:B$10000,SMALL(IF(ISNUMBER(MATCH($B$2:$B$10000,$E$6:$E$22,0)),ROW($C$2:$C$10000)-ROW($C$2)+1),ROWS(L$20:L1809))))</f>
        <v/>
      </c>
      <c r="I1809" s="4" t="str">
        <f t="array" ref="I1809">IF(ROWS(M$20:M1809)&gt;$F$6,"",INDEX(C$2:C$10000,SMALL(IF(ISNUMBER(MATCH($B$2:$B$10000,$E$6:$E$22,0)),ROW($C$2:$C$10000)-ROW($C$2)+1),ROWS(M$20:M1809))))</f>
        <v/>
      </c>
      <c r="K1809" s="7" t="str">
        <f t="array" ref="K1809">IF(ROWS(K$20:K1809)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1809))))</f>
        <v/>
      </c>
      <c r="L1809" s="4" t="str">
        <f t="array" ref="L1809">IF(ROWS(L$20:L1809)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1809))))</f>
        <v/>
      </c>
      <c r="M1809" s="4" t="str">
        <f t="array" ref="M1809">IF(ROWS(M$20:M1809)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1809))))</f>
        <v/>
      </c>
    </row>
    <row r="1810" spans="1:13" x14ac:dyDescent="0.25">
      <c r="A1810" s="3">
        <v>41578</v>
      </c>
      <c r="B1810" s="2" t="s">
        <v>42</v>
      </c>
      <c r="C1810" s="2">
        <v>48</v>
      </c>
      <c r="G1810" s="7" t="str">
        <f t="array" ref="G1810">IF(ROWS(K$20:K1810)&gt;$F$6,"",INDEX(A$2:A$10000,SMALL(IF(ISNUMBER(MATCH($B$2:$B$10000,$E$6:$E$22,0)),ROW($C$2:$C$10000)-ROW($C$2)+1),ROWS(K$20:K1810))))</f>
        <v/>
      </c>
      <c r="H1810" s="4" t="str">
        <f t="array" ref="H1810">IF(ROWS(L$20:L1810)&gt;$F$6,"",INDEX(B$2:B$10000,SMALL(IF(ISNUMBER(MATCH($B$2:$B$10000,$E$6:$E$22,0)),ROW($C$2:$C$10000)-ROW($C$2)+1),ROWS(L$20:L1810))))</f>
        <v/>
      </c>
      <c r="I1810" s="4" t="str">
        <f t="array" ref="I1810">IF(ROWS(M$20:M1810)&gt;$F$6,"",INDEX(C$2:C$10000,SMALL(IF(ISNUMBER(MATCH($B$2:$B$10000,$E$6:$E$22,0)),ROW($C$2:$C$10000)-ROW($C$2)+1),ROWS(M$20:M1810))))</f>
        <v/>
      </c>
      <c r="K1810" s="7" t="str">
        <f t="array" ref="K1810">IF(ROWS(K$20:K1810)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1810))))</f>
        <v/>
      </c>
      <c r="L1810" s="4" t="str">
        <f t="array" ref="L1810">IF(ROWS(L$20:L1810)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1810))))</f>
        <v/>
      </c>
      <c r="M1810" s="4" t="str">
        <f t="array" ref="M1810">IF(ROWS(M$20:M1810)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1810))))</f>
        <v/>
      </c>
    </row>
    <row r="1811" spans="1:13" x14ac:dyDescent="0.25">
      <c r="A1811" s="3">
        <v>41903</v>
      </c>
      <c r="B1811" s="2" t="s">
        <v>48</v>
      </c>
      <c r="C1811" s="2">
        <v>49</v>
      </c>
      <c r="G1811" s="7" t="str">
        <f t="array" ref="G1811">IF(ROWS(K$20:K1811)&gt;$F$6,"",INDEX(A$2:A$10000,SMALL(IF(ISNUMBER(MATCH($B$2:$B$10000,$E$6:$E$22,0)),ROW($C$2:$C$10000)-ROW($C$2)+1),ROWS(K$20:K1811))))</f>
        <v/>
      </c>
      <c r="H1811" s="4" t="str">
        <f t="array" ref="H1811">IF(ROWS(L$20:L1811)&gt;$F$6,"",INDEX(B$2:B$10000,SMALL(IF(ISNUMBER(MATCH($B$2:$B$10000,$E$6:$E$22,0)),ROW($C$2:$C$10000)-ROW($C$2)+1),ROWS(L$20:L1811))))</f>
        <v/>
      </c>
      <c r="I1811" s="4" t="str">
        <f t="array" ref="I1811">IF(ROWS(M$20:M1811)&gt;$F$6,"",INDEX(C$2:C$10000,SMALL(IF(ISNUMBER(MATCH($B$2:$B$10000,$E$6:$E$22,0)),ROW($C$2:$C$10000)-ROW($C$2)+1),ROWS(M$20:M1811))))</f>
        <v/>
      </c>
      <c r="K1811" s="7" t="str">
        <f t="array" ref="K1811">IF(ROWS(K$20:K1811)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1811))))</f>
        <v/>
      </c>
      <c r="L1811" s="4" t="str">
        <f t="array" ref="L1811">IF(ROWS(L$20:L1811)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1811))))</f>
        <v/>
      </c>
      <c r="M1811" s="4" t="str">
        <f t="array" ref="M1811">IF(ROWS(M$20:M1811)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1811))))</f>
        <v/>
      </c>
    </row>
    <row r="1812" spans="1:13" x14ac:dyDescent="0.25">
      <c r="A1812" s="3">
        <v>41811</v>
      </c>
      <c r="B1812" s="2" t="s">
        <v>26</v>
      </c>
      <c r="C1812" s="2">
        <v>1</v>
      </c>
      <c r="G1812" s="7" t="str">
        <f t="array" ref="G1812">IF(ROWS(K$20:K1812)&gt;$F$6,"",INDEX(A$2:A$10000,SMALL(IF(ISNUMBER(MATCH($B$2:$B$10000,$E$6:$E$22,0)),ROW($C$2:$C$10000)-ROW($C$2)+1),ROWS(K$20:K1812))))</f>
        <v/>
      </c>
      <c r="H1812" s="4" t="str">
        <f t="array" ref="H1812">IF(ROWS(L$20:L1812)&gt;$F$6,"",INDEX(B$2:B$10000,SMALL(IF(ISNUMBER(MATCH($B$2:$B$10000,$E$6:$E$22,0)),ROW($C$2:$C$10000)-ROW($C$2)+1),ROWS(L$20:L1812))))</f>
        <v/>
      </c>
      <c r="I1812" s="4" t="str">
        <f t="array" ref="I1812">IF(ROWS(M$20:M1812)&gt;$F$6,"",INDEX(C$2:C$10000,SMALL(IF(ISNUMBER(MATCH($B$2:$B$10000,$E$6:$E$22,0)),ROW($C$2:$C$10000)-ROW($C$2)+1),ROWS(M$20:M1812))))</f>
        <v/>
      </c>
      <c r="K1812" s="7" t="str">
        <f t="array" ref="K1812">IF(ROWS(K$20:K1812)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1812))))</f>
        <v/>
      </c>
      <c r="L1812" s="4" t="str">
        <f t="array" ref="L1812">IF(ROWS(L$20:L1812)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1812))))</f>
        <v/>
      </c>
      <c r="M1812" s="4" t="str">
        <f t="array" ref="M1812">IF(ROWS(M$20:M1812)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1812))))</f>
        <v/>
      </c>
    </row>
    <row r="1813" spans="1:13" x14ac:dyDescent="0.25">
      <c r="A1813" s="3">
        <v>41555</v>
      </c>
      <c r="B1813" s="2" t="s">
        <v>44</v>
      </c>
      <c r="C1813" s="2">
        <v>7</v>
      </c>
      <c r="G1813" s="7" t="str">
        <f t="array" ref="G1813">IF(ROWS(K$20:K1813)&gt;$F$6,"",INDEX(A$2:A$10000,SMALL(IF(ISNUMBER(MATCH($B$2:$B$10000,$E$6:$E$22,0)),ROW($C$2:$C$10000)-ROW($C$2)+1),ROWS(K$20:K1813))))</f>
        <v/>
      </c>
      <c r="H1813" s="4" t="str">
        <f t="array" ref="H1813">IF(ROWS(L$20:L1813)&gt;$F$6,"",INDEX(B$2:B$10000,SMALL(IF(ISNUMBER(MATCH($B$2:$B$10000,$E$6:$E$22,0)),ROW($C$2:$C$10000)-ROW($C$2)+1),ROWS(L$20:L1813))))</f>
        <v/>
      </c>
      <c r="I1813" s="4" t="str">
        <f t="array" ref="I1813">IF(ROWS(M$20:M1813)&gt;$F$6,"",INDEX(C$2:C$10000,SMALL(IF(ISNUMBER(MATCH($B$2:$B$10000,$E$6:$E$22,0)),ROW($C$2:$C$10000)-ROW($C$2)+1),ROWS(M$20:M1813))))</f>
        <v/>
      </c>
      <c r="K1813" s="7" t="str">
        <f t="array" ref="K1813">IF(ROWS(K$20:K1813)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1813))))</f>
        <v/>
      </c>
      <c r="L1813" s="4" t="str">
        <f t="array" ref="L1813">IF(ROWS(L$20:L1813)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1813))))</f>
        <v/>
      </c>
      <c r="M1813" s="4" t="str">
        <f t="array" ref="M1813">IF(ROWS(M$20:M1813)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1813))))</f>
        <v/>
      </c>
    </row>
    <row r="1814" spans="1:13" x14ac:dyDescent="0.25">
      <c r="A1814" s="3">
        <v>41710</v>
      </c>
      <c r="B1814" s="2" t="s">
        <v>18</v>
      </c>
      <c r="C1814" s="2">
        <v>6</v>
      </c>
      <c r="G1814" s="7" t="str">
        <f t="array" ref="G1814">IF(ROWS(K$20:K1814)&gt;$F$6,"",INDEX(A$2:A$10000,SMALL(IF(ISNUMBER(MATCH($B$2:$B$10000,$E$6:$E$22,0)),ROW($C$2:$C$10000)-ROW($C$2)+1),ROWS(K$20:K1814))))</f>
        <v/>
      </c>
      <c r="H1814" s="4" t="str">
        <f t="array" ref="H1814">IF(ROWS(L$20:L1814)&gt;$F$6,"",INDEX(B$2:B$10000,SMALL(IF(ISNUMBER(MATCH($B$2:$B$10000,$E$6:$E$22,0)),ROW($C$2:$C$10000)-ROW($C$2)+1),ROWS(L$20:L1814))))</f>
        <v/>
      </c>
      <c r="I1814" s="4" t="str">
        <f t="array" ref="I1814">IF(ROWS(M$20:M1814)&gt;$F$6,"",INDEX(C$2:C$10000,SMALL(IF(ISNUMBER(MATCH($B$2:$B$10000,$E$6:$E$22,0)),ROW($C$2:$C$10000)-ROW($C$2)+1),ROWS(M$20:M1814))))</f>
        <v/>
      </c>
      <c r="K1814" s="7" t="str">
        <f t="array" ref="K1814">IF(ROWS(K$20:K1814)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1814))))</f>
        <v/>
      </c>
      <c r="L1814" s="4" t="str">
        <f t="array" ref="L1814">IF(ROWS(L$20:L1814)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1814))))</f>
        <v/>
      </c>
      <c r="M1814" s="4" t="str">
        <f t="array" ref="M1814">IF(ROWS(M$20:M1814)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1814))))</f>
        <v/>
      </c>
    </row>
    <row r="1815" spans="1:13" x14ac:dyDescent="0.25">
      <c r="A1815" s="3">
        <v>41588</v>
      </c>
      <c r="B1815" s="2" t="s">
        <v>38</v>
      </c>
      <c r="C1815" s="2">
        <v>16</v>
      </c>
      <c r="G1815" s="7" t="str">
        <f t="array" ref="G1815">IF(ROWS(K$20:K1815)&gt;$F$6,"",INDEX(A$2:A$10000,SMALL(IF(ISNUMBER(MATCH($B$2:$B$10000,$E$6:$E$22,0)),ROW($C$2:$C$10000)-ROW($C$2)+1),ROWS(K$20:K1815))))</f>
        <v/>
      </c>
      <c r="H1815" s="4" t="str">
        <f t="array" ref="H1815">IF(ROWS(L$20:L1815)&gt;$F$6,"",INDEX(B$2:B$10000,SMALL(IF(ISNUMBER(MATCH($B$2:$B$10000,$E$6:$E$22,0)),ROW($C$2:$C$10000)-ROW($C$2)+1),ROWS(L$20:L1815))))</f>
        <v/>
      </c>
      <c r="I1815" s="4" t="str">
        <f t="array" ref="I1815">IF(ROWS(M$20:M1815)&gt;$F$6,"",INDEX(C$2:C$10000,SMALL(IF(ISNUMBER(MATCH($B$2:$B$10000,$E$6:$E$22,0)),ROW($C$2:$C$10000)-ROW($C$2)+1),ROWS(M$20:M1815))))</f>
        <v/>
      </c>
      <c r="K1815" s="7" t="str">
        <f t="array" ref="K1815">IF(ROWS(K$20:K1815)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1815))))</f>
        <v/>
      </c>
      <c r="L1815" s="4" t="str">
        <f t="array" ref="L1815">IF(ROWS(L$20:L1815)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1815))))</f>
        <v/>
      </c>
      <c r="M1815" s="4" t="str">
        <f t="array" ref="M1815">IF(ROWS(M$20:M1815)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1815))))</f>
        <v/>
      </c>
    </row>
    <row r="1816" spans="1:13" x14ac:dyDescent="0.25">
      <c r="A1816" s="3">
        <v>41726</v>
      </c>
      <c r="B1816" s="2" t="s">
        <v>8</v>
      </c>
      <c r="C1816" s="2">
        <v>15</v>
      </c>
      <c r="G1816" s="7" t="str">
        <f t="array" ref="G1816">IF(ROWS(K$20:K1816)&gt;$F$6,"",INDEX(A$2:A$10000,SMALL(IF(ISNUMBER(MATCH($B$2:$B$10000,$E$6:$E$22,0)),ROW($C$2:$C$10000)-ROW($C$2)+1),ROWS(K$20:K1816))))</f>
        <v/>
      </c>
      <c r="H1816" s="4" t="str">
        <f t="array" ref="H1816">IF(ROWS(L$20:L1816)&gt;$F$6,"",INDEX(B$2:B$10000,SMALL(IF(ISNUMBER(MATCH($B$2:$B$10000,$E$6:$E$22,0)),ROW($C$2:$C$10000)-ROW($C$2)+1),ROWS(L$20:L1816))))</f>
        <v/>
      </c>
      <c r="I1816" s="4" t="str">
        <f t="array" ref="I1816">IF(ROWS(M$20:M1816)&gt;$F$6,"",INDEX(C$2:C$10000,SMALL(IF(ISNUMBER(MATCH($B$2:$B$10000,$E$6:$E$22,0)),ROW($C$2:$C$10000)-ROW($C$2)+1),ROWS(M$20:M1816))))</f>
        <v/>
      </c>
      <c r="K1816" s="7" t="str">
        <f t="array" ref="K1816">IF(ROWS(K$20:K1816)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1816))))</f>
        <v/>
      </c>
      <c r="L1816" s="4" t="str">
        <f t="array" ref="L1816">IF(ROWS(L$20:L1816)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1816))))</f>
        <v/>
      </c>
      <c r="M1816" s="4" t="str">
        <f t="array" ref="M1816">IF(ROWS(M$20:M1816)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1816))))</f>
        <v/>
      </c>
    </row>
    <row r="1817" spans="1:13" x14ac:dyDescent="0.25">
      <c r="A1817" s="3">
        <v>41861</v>
      </c>
      <c r="B1817" s="2" t="s">
        <v>45</v>
      </c>
      <c r="C1817" s="2">
        <v>33</v>
      </c>
      <c r="G1817" s="7" t="str">
        <f t="array" ref="G1817">IF(ROWS(K$20:K1817)&gt;$F$6,"",INDEX(A$2:A$10000,SMALL(IF(ISNUMBER(MATCH($B$2:$B$10000,$E$6:$E$22,0)),ROW($C$2:$C$10000)-ROW($C$2)+1),ROWS(K$20:K1817))))</f>
        <v/>
      </c>
      <c r="H1817" s="4" t="str">
        <f t="array" ref="H1817">IF(ROWS(L$20:L1817)&gt;$F$6,"",INDEX(B$2:B$10000,SMALL(IF(ISNUMBER(MATCH($B$2:$B$10000,$E$6:$E$22,0)),ROW($C$2:$C$10000)-ROW($C$2)+1),ROWS(L$20:L1817))))</f>
        <v/>
      </c>
      <c r="I1817" s="4" t="str">
        <f t="array" ref="I1817">IF(ROWS(M$20:M1817)&gt;$F$6,"",INDEX(C$2:C$10000,SMALL(IF(ISNUMBER(MATCH($B$2:$B$10000,$E$6:$E$22,0)),ROW($C$2:$C$10000)-ROW($C$2)+1),ROWS(M$20:M1817))))</f>
        <v/>
      </c>
      <c r="K1817" s="7" t="str">
        <f t="array" ref="K1817">IF(ROWS(K$20:K1817)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1817))))</f>
        <v/>
      </c>
      <c r="L1817" s="4" t="str">
        <f t="array" ref="L1817">IF(ROWS(L$20:L1817)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1817))))</f>
        <v/>
      </c>
      <c r="M1817" s="4" t="str">
        <f t="array" ref="M1817">IF(ROWS(M$20:M1817)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1817))))</f>
        <v/>
      </c>
    </row>
    <row r="1818" spans="1:13" x14ac:dyDescent="0.25">
      <c r="A1818" s="3">
        <v>41504</v>
      </c>
      <c r="B1818" s="2" t="s">
        <v>7</v>
      </c>
      <c r="C1818" s="2">
        <v>32</v>
      </c>
      <c r="G1818" s="7" t="str">
        <f t="array" ref="G1818">IF(ROWS(K$20:K1818)&gt;$F$6,"",INDEX(A$2:A$10000,SMALL(IF(ISNUMBER(MATCH($B$2:$B$10000,$E$6:$E$22,0)),ROW($C$2:$C$10000)-ROW($C$2)+1),ROWS(K$20:K1818))))</f>
        <v/>
      </c>
      <c r="H1818" s="4" t="str">
        <f t="array" ref="H1818">IF(ROWS(L$20:L1818)&gt;$F$6,"",INDEX(B$2:B$10000,SMALL(IF(ISNUMBER(MATCH($B$2:$B$10000,$E$6:$E$22,0)),ROW($C$2:$C$10000)-ROW($C$2)+1),ROWS(L$20:L1818))))</f>
        <v/>
      </c>
      <c r="I1818" s="4" t="str">
        <f t="array" ref="I1818">IF(ROWS(M$20:M1818)&gt;$F$6,"",INDEX(C$2:C$10000,SMALL(IF(ISNUMBER(MATCH($B$2:$B$10000,$E$6:$E$22,0)),ROW($C$2:$C$10000)-ROW($C$2)+1),ROWS(M$20:M1818))))</f>
        <v/>
      </c>
      <c r="K1818" s="7" t="str">
        <f t="array" ref="K1818">IF(ROWS(K$20:K1818)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1818))))</f>
        <v/>
      </c>
      <c r="L1818" s="4" t="str">
        <f t="array" ref="L1818">IF(ROWS(L$20:L1818)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1818))))</f>
        <v/>
      </c>
      <c r="M1818" s="4" t="str">
        <f t="array" ref="M1818">IF(ROWS(M$20:M1818)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1818))))</f>
        <v/>
      </c>
    </row>
    <row r="1819" spans="1:13" x14ac:dyDescent="0.25">
      <c r="A1819" s="3">
        <v>41436</v>
      </c>
      <c r="B1819" s="2" t="s">
        <v>51</v>
      </c>
      <c r="C1819" s="2">
        <v>38</v>
      </c>
      <c r="G1819" s="7" t="str">
        <f t="array" ref="G1819">IF(ROWS(K$20:K1819)&gt;$F$6,"",INDEX(A$2:A$10000,SMALL(IF(ISNUMBER(MATCH($B$2:$B$10000,$E$6:$E$22,0)),ROW($C$2:$C$10000)-ROW($C$2)+1),ROWS(K$20:K1819))))</f>
        <v/>
      </c>
      <c r="H1819" s="4" t="str">
        <f t="array" ref="H1819">IF(ROWS(L$20:L1819)&gt;$F$6,"",INDEX(B$2:B$10000,SMALL(IF(ISNUMBER(MATCH($B$2:$B$10000,$E$6:$E$22,0)),ROW($C$2:$C$10000)-ROW($C$2)+1),ROWS(L$20:L1819))))</f>
        <v/>
      </c>
      <c r="I1819" s="4" t="str">
        <f t="array" ref="I1819">IF(ROWS(M$20:M1819)&gt;$F$6,"",INDEX(C$2:C$10000,SMALL(IF(ISNUMBER(MATCH($B$2:$B$10000,$E$6:$E$22,0)),ROW($C$2:$C$10000)-ROW($C$2)+1),ROWS(M$20:M1819))))</f>
        <v/>
      </c>
      <c r="K1819" s="7" t="str">
        <f t="array" ref="K1819">IF(ROWS(K$20:K1819)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1819))))</f>
        <v/>
      </c>
      <c r="L1819" s="4" t="str">
        <f t="array" ref="L1819">IF(ROWS(L$20:L1819)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1819))))</f>
        <v/>
      </c>
      <c r="M1819" s="4" t="str">
        <f t="array" ref="M1819">IF(ROWS(M$20:M1819)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1819))))</f>
        <v/>
      </c>
    </row>
    <row r="1820" spans="1:13" x14ac:dyDescent="0.25">
      <c r="A1820" s="3">
        <v>41317</v>
      </c>
      <c r="B1820" s="2" t="s">
        <v>20</v>
      </c>
      <c r="C1820" s="2">
        <v>21</v>
      </c>
      <c r="G1820" s="7" t="str">
        <f t="array" ref="G1820">IF(ROWS(K$20:K1820)&gt;$F$6,"",INDEX(A$2:A$10000,SMALL(IF(ISNUMBER(MATCH($B$2:$B$10000,$E$6:$E$22,0)),ROW($C$2:$C$10000)-ROW($C$2)+1),ROWS(K$20:K1820))))</f>
        <v/>
      </c>
      <c r="H1820" s="4" t="str">
        <f t="array" ref="H1820">IF(ROWS(L$20:L1820)&gt;$F$6,"",INDEX(B$2:B$10000,SMALL(IF(ISNUMBER(MATCH($B$2:$B$10000,$E$6:$E$22,0)),ROW($C$2:$C$10000)-ROW($C$2)+1),ROWS(L$20:L1820))))</f>
        <v/>
      </c>
      <c r="I1820" s="4" t="str">
        <f t="array" ref="I1820">IF(ROWS(M$20:M1820)&gt;$F$6,"",INDEX(C$2:C$10000,SMALL(IF(ISNUMBER(MATCH($B$2:$B$10000,$E$6:$E$22,0)),ROW($C$2:$C$10000)-ROW($C$2)+1),ROWS(M$20:M1820))))</f>
        <v/>
      </c>
      <c r="K1820" s="7" t="str">
        <f t="array" ref="K1820">IF(ROWS(K$20:K1820)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1820))))</f>
        <v/>
      </c>
      <c r="L1820" s="4" t="str">
        <f t="array" ref="L1820">IF(ROWS(L$20:L1820)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1820))))</f>
        <v/>
      </c>
      <c r="M1820" s="4" t="str">
        <f t="array" ref="M1820">IF(ROWS(M$20:M1820)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1820))))</f>
        <v/>
      </c>
    </row>
    <row r="1821" spans="1:13" x14ac:dyDescent="0.25">
      <c r="A1821" s="3">
        <v>41743</v>
      </c>
      <c r="B1821" s="2" t="s">
        <v>16</v>
      </c>
      <c r="C1821" s="2">
        <v>16</v>
      </c>
      <c r="G1821" s="7" t="str">
        <f t="array" ref="G1821">IF(ROWS(K$20:K1821)&gt;$F$6,"",INDEX(A$2:A$10000,SMALL(IF(ISNUMBER(MATCH($B$2:$B$10000,$E$6:$E$22,0)),ROW($C$2:$C$10000)-ROW($C$2)+1),ROWS(K$20:K1821))))</f>
        <v/>
      </c>
      <c r="H1821" s="4" t="str">
        <f t="array" ref="H1821">IF(ROWS(L$20:L1821)&gt;$F$6,"",INDEX(B$2:B$10000,SMALL(IF(ISNUMBER(MATCH($B$2:$B$10000,$E$6:$E$22,0)),ROW($C$2:$C$10000)-ROW($C$2)+1),ROWS(L$20:L1821))))</f>
        <v/>
      </c>
      <c r="I1821" s="4" t="str">
        <f t="array" ref="I1821">IF(ROWS(M$20:M1821)&gt;$F$6,"",INDEX(C$2:C$10000,SMALL(IF(ISNUMBER(MATCH($B$2:$B$10000,$E$6:$E$22,0)),ROW($C$2:$C$10000)-ROW($C$2)+1),ROWS(M$20:M1821))))</f>
        <v/>
      </c>
      <c r="K1821" s="7" t="str">
        <f t="array" ref="K1821">IF(ROWS(K$20:K1821)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1821))))</f>
        <v/>
      </c>
      <c r="L1821" s="4" t="str">
        <f t="array" ref="L1821">IF(ROWS(L$20:L1821)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1821))))</f>
        <v/>
      </c>
      <c r="M1821" s="4" t="str">
        <f t="array" ref="M1821">IF(ROWS(M$20:M1821)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1821))))</f>
        <v/>
      </c>
    </row>
    <row r="1822" spans="1:13" x14ac:dyDescent="0.25">
      <c r="A1822" s="3">
        <v>41328</v>
      </c>
      <c r="B1822" s="2" t="s">
        <v>43</v>
      </c>
      <c r="C1822" s="2">
        <v>13</v>
      </c>
      <c r="G1822" s="7" t="str">
        <f t="array" ref="G1822">IF(ROWS(K$20:K1822)&gt;$F$6,"",INDEX(A$2:A$10000,SMALL(IF(ISNUMBER(MATCH($B$2:$B$10000,$E$6:$E$22,0)),ROW($C$2:$C$10000)-ROW($C$2)+1),ROWS(K$20:K1822))))</f>
        <v/>
      </c>
      <c r="H1822" s="4" t="str">
        <f t="array" ref="H1822">IF(ROWS(L$20:L1822)&gt;$F$6,"",INDEX(B$2:B$10000,SMALL(IF(ISNUMBER(MATCH($B$2:$B$10000,$E$6:$E$22,0)),ROW($C$2:$C$10000)-ROW($C$2)+1),ROWS(L$20:L1822))))</f>
        <v/>
      </c>
      <c r="I1822" s="4" t="str">
        <f t="array" ref="I1822">IF(ROWS(M$20:M1822)&gt;$F$6,"",INDEX(C$2:C$10000,SMALL(IF(ISNUMBER(MATCH($B$2:$B$10000,$E$6:$E$22,0)),ROW($C$2:$C$10000)-ROW($C$2)+1),ROWS(M$20:M1822))))</f>
        <v/>
      </c>
      <c r="K1822" s="7" t="str">
        <f t="array" ref="K1822">IF(ROWS(K$20:K1822)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1822))))</f>
        <v/>
      </c>
      <c r="L1822" s="4" t="str">
        <f t="array" ref="L1822">IF(ROWS(L$20:L1822)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1822))))</f>
        <v/>
      </c>
      <c r="M1822" s="4" t="str">
        <f t="array" ref="M1822">IF(ROWS(M$20:M1822)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1822))))</f>
        <v/>
      </c>
    </row>
    <row r="1823" spans="1:13" x14ac:dyDescent="0.25">
      <c r="A1823" s="3">
        <v>41393</v>
      </c>
      <c r="B1823" s="2" t="s">
        <v>16</v>
      </c>
      <c r="C1823" s="2">
        <v>19</v>
      </c>
      <c r="G1823" s="7" t="str">
        <f t="array" ref="G1823">IF(ROWS(K$20:K1823)&gt;$F$6,"",INDEX(A$2:A$10000,SMALL(IF(ISNUMBER(MATCH($B$2:$B$10000,$E$6:$E$22,0)),ROW($C$2:$C$10000)-ROW($C$2)+1),ROWS(K$20:K1823))))</f>
        <v/>
      </c>
      <c r="H1823" s="4" t="str">
        <f t="array" ref="H1823">IF(ROWS(L$20:L1823)&gt;$F$6,"",INDEX(B$2:B$10000,SMALL(IF(ISNUMBER(MATCH($B$2:$B$10000,$E$6:$E$22,0)),ROW($C$2:$C$10000)-ROW($C$2)+1),ROWS(L$20:L1823))))</f>
        <v/>
      </c>
      <c r="I1823" s="4" t="str">
        <f t="array" ref="I1823">IF(ROWS(M$20:M1823)&gt;$F$6,"",INDEX(C$2:C$10000,SMALL(IF(ISNUMBER(MATCH($B$2:$B$10000,$E$6:$E$22,0)),ROW($C$2:$C$10000)-ROW($C$2)+1),ROWS(M$20:M1823))))</f>
        <v/>
      </c>
      <c r="K1823" s="7" t="str">
        <f t="array" ref="K1823">IF(ROWS(K$20:K1823)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1823))))</f>
        <v/>
      </c>
      <c r="L1823" s="4" t="str">
        <f t="array" ref="L1823">IF(ROWS(L$20:L1823)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1823))))</f>
        <v/>
      </c>
      <c r="M1823" s="4" t="str">
        <f t="array" ref="M1823">IF(ROWS(M$20:M1823)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1823))))</f>
        <v/>
      </c>
    </row>
    <row r="1824" spans="1:13" x14ac:dyDescent="0.25">
      <c r="A1824" s="3">
        <v>41997</v>
      </c>
      <c r="B1824" s="2" t="s">
        <v>2</v>
      </c>
      <c r="C1824" s="2">
        <v>15</v>
      </c>
      <c r="G1824" s="7" t="str">
        <f t="array" ref="G1824">IF(ROWS(K$20:K1824)&gt;$F$6,"",INDEX(A$2:A$10000,SMALL(IF(ISNUMBER(MATCH($B$2:$B$10000,$E$6:$E$22,0)),ROW($C$2:$C$10000)-ROW($C$2)+1),ROWS(K$20:K1824))))</f>
        <v/>
      </c>
      <c r="H1824" s="4" t="str">
        <f t="array" ref="H1824">IF(ROWS(L$20:L1824)&gt;$F$6,"",INDEX(B$2:B$10000,SMALL(IF(ISNUMBER(MATCH($B$2:$B$10000,$E$6:$E$22,0)),ROW($C$2:$C$10000)-ROW($C$2)+1),ROWS(L$20:L1824))))</f>
        <v/>
      </c>
      <c r="I1824" s="4" t="str">
        <f t="array" ref="I1824">IF(ROWS(M$20:M1824)&gt;$F$6,"",INDEX(C$2:C$10000,SMALL(IF(ISNUMBER(MATCH($B$2:$B$10000,$E$6:$E$22,0)),ROW($C$2:$C$10000)-ROW($C$2)+1),ROWS(M$20:M1824))))</f>
        <v/>
      </c>
      <c r="K1824" s="7" t="str">
        <f t="array" ref="K1824">IF(ROWS(K$20:K1824)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1824))))</f>
        <v/>
      </c>
      <c r="L1824" s="4" t="str">
        <f t="array" ref="L1824">IF(ROWS(L$20:L1824)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1824))))</f>
        <v/>
      </c>
      <c r="M1824" s="4" t="str">
        <f t="array" ref="M1824">IF(ROWS(M$20:M1824)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1824))))</f>
        <v/>
      </c>
    </row>
    <row r="1825" spans="1:13" x14ac:dyDescent="0.25">
      <c r="A1825" s="3">
        <v>41636</v>
      </c>
      <c r="B1825" s="2" t="s">
        <v>32</v>
      </c>
      <c r="C1825" s="2">
        <v>4</v>
      </c>
      <c r="G1825" s="7" t="str">
        <f t="array" ref="G1825">IF(ROWS(K$20:K1825)&gt;$F$6,"",INDEX(A$2:A$10000,SMALL(IF(ISNUMBER(MATCH($B$2:$B$10000,$E$6:$E$22,0)),ROW($C$2:$C$10000)-ROW($C$2)+1),ROWS(K$20:K1825))))</f>
        <v/>
      </c>
      <c r="H1825" s="4" t="str">
        <f t="array" ref="H1825">IF(ROWS(L$20:L1825)&gt;$F$6,"",INDEX(B$2:B$10000,SMALL(IF(ISNUMBER(MATCH($B$2:$B$10000,$E$6:$E$22,0)),ROW($C$2:$C$10000)-ROW($C$2)+1),ROWS(L$20:L1825))))</f>
        <v/>
      </c>
      <c r="I1825" s="4" t="str">
        <f t="array" ref="I1825">IF(ROWS(M$20:M1825)&gt;$F$6,"",INDEX(C$2:C$10000,SMALL(IF(ISNUMBER(MATCH($B$2:$B$10000,$E$6:$E$22,0)),ROW($C$2:$C$10000)-ROW($C$2)+1),ROWS(M$20:M1825))))</f>
        <v/>
      </c>
      <c r="K1825" s="7" t="str">
        <f t="array" ref="K1825">IF(ROWS(K$20:K1825)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1825))))</f>
        <v/>
      </c>
      <c r="L1825" s="4" t="str">
        <f t="array" ref="L1825">IF(ROWS(L$20:L1825)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1825))))</f>
        <v/>
      </c>
      <c r="M1825" s="4" t="str">
        <f t="array" ref="M1825">IF(ROWS(M$20:M1825)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1825))))</f>
        <v/>
      </c>
    </row>
    <row r="1826" spans="1:13" x14ac:dyDescent="0.25">
      <c r="A1826" s="3">
        <v>41375</v>
      </c>
      <c r="B1826" s="2" t="s">
        <v>39</v>
      </c>
      <c r="C1826" s="2">
        <v>36</v>
      </c>
      <c r="G1826" s="7" t="str">
        <f t="array" ref="G1826">IF(ROWS(K$20:K1826)&gt;$F$6,"",INDEX(A$2:A$10000,SMALL(IF(ISNUMBER(MATCH($B$2:$B$10000,$E$6:$E$22,0)),ROW($C$2:$C$10000)-ROW($C$2)+1),ROWS(K$20:K1826))))</f>
        <v/>
      </c>
      <c r="H1826" s="4" t="str">
        <f t="array" ref="H1826">IF(ROWS(L$20:L1826)&gt;$F$6,"",INDEX(B$2:B$10000,SMALL(IF(ISNUMBER(MATCH($B$2:$B$10000,$E$6:$E$22,0)),ROW($C$2:$C$10000)-ROW($C$2)+1),ROWS(L$20:L1826))))</f>
        <v/>
      </c>
      <c r="I1826" s="4" t="str">
        <f t="array" ref="I1826">IF(ROWS(M$20:M1826)&gt;$F$6,"",INDEX(C$2:C$10000,SMALL(IF(ISNUMBER(MATCH($B$2:$B$10000,$E$6:$E$22,0)),ROW($C$2:$C$10000)-ROW($C$2)+1),ROWS(M$20:M1826))))</f>
        <v/>
      </c>
      <c r="K1826" s="7" t="str">
        <f t="array" ref="K1826">IF(ROWS(K$20:K1826)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1826))))</f>
        <v/>
      </c>
      <c r="L1826" s="4" t="str">
        <f t="array" ref="L1826">IF(ROWS(L$20:L1826)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1826))))</f>
        <v/>
      </c>
      <c r="M1826" s="4" t="str">
        <f t="array" ref="M1826">IF(ROWS(M$20:M1826)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1826))))</f>
        <v/>
      </c>
    </row>
    <row r="1827" spans="1:13" x14ac:dyDescent="0.25">
      <c r="A1827" s="3">
        <v>41995</v>
      </c>
      <c r="B1827" s="2" t="s">
        <v>21</v>
      </c>
      <c r="C1827" s="2">
        <v>31</v>
      </c>
      <c r="G1827" s="7" t="str">
        <f t="array" ref="G1827">IF(ROWS(K$20:K1827)&gt;$F$6,"",INDEX(A$2:A$10000,SMALL(IF(ISNUMBER(MATCH($B$2:$B$10000,$E$6:$E$22,0)),ROW($C$2:$C$10000)-ROW($C$2)+1),ROWS(K$20:K1827))))</f>
        <v/>
      </c>
      <c r="H1827" s="4" t="str">
        <f t="array" ref="H1827">IF(ROWS(L$20:L1827)&gt;$F$6,"",INDEX(B$2:B$10000,SMALL(IF(ISNUMBER(MATCH($B$2:$B$10000,$E$6:$E$22,0)),ROW($C$2:$C$10000)-ROW($C$2)+1),ROWS(L$20:L1827))))</f>
        <v/>
      </c>
      <c r="I1827" s="4" t="str">
        <f t="array" ref="I1827">IF(ROWS(M$20:M1827)&gt;$F$6,"",INDEX(C$2:C$10000,SMALL(IF(ISNUMBER(MATCH($B$2:$B$10000,$E$6:$E$22,0)),ROW($C$2:$C$10000)-ROW($C$2)+1),ROWS(M$20:M1827))))</f>
        <v/>
      </c>
      <c r="K1827" s="7" t="str">
        <f t="array" ref="K1827">IF(ROWS(K$20:K1827)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1827))))</f>
        <v/>
      </c>
      <c r="L1827" s="4" t="str">
        <f t="array" ref="L1827">IF(ROWS(L$20:L1827)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1827))))</f>
        <v/>
      </c>
      <c r="M1827" s="4" t="str">
        <f t="array" ref="M1827">IF(ROWS(M$20:M1827)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1827))))</f>
        <v/>
      </c>
    </row>
    <row r="1828" spans="1:13" x14ac:dyDescent="0.25">
      <c r="A1828" s="3">
        <v>41429</v>
      </c>
      <c r="B1828" s="2" t="s">
        <v>26</v>
      </c>
      <c r="C1828" s="2">
        <v>37</v>
      </c>
      <c r="G1828" s="7" t="str">
        <f t="array" ref="G1828">IF(ROWS(K$20:K1828)&gt;$F$6,"",INDEX(A$2:A$10000,SMALL(IF(ISNUMBER(MATCH($B$2:$B$10000,$E$6:$E$22,0)),ROW($C$2:$C$10000)-ROW($C$2)+1),ROWS(K$20:K1828))))</f>
        <v/>
      </c>
      <c r="H1828" s="4" t="str">
        <f t="array" ref="H1828">IF(ROWS(L$20:L1828)&gt;$F$6,"",INDEX(B$2:B$10000,SMALL(IF(ISNUMBER(MATCH($B$2:$B$10000,$E$6:$E$22,0)),ROW($C$2:$C$10000)-ROW($C$2)+1),ROWS(L$20:L1828))))</f>
        <v/>
      </c>
      <c r="I1828" s="4" t="str">
        <f t="array" ref="I1828">IF(ROWS(M$20:M1828)&gt;$F$6,"",INDEX(C$2:C$10000,SMALL(IF(ISNUMBER(MATCH($B$2:$B$10000,$E$6:$E$22,0)),ROW($C$2:$C$10000)-ROW($C$2)+1),ROWS(M$20:M1828))))</f>
        <v/>
      </c>
      <c r="K1828" s="7" t="str">
        <f t="array" ref="K1828">IF(ROWS(K$20:K1828)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1828))))</f>
        <v/>
      </c>
      <c r="L1828" s="4" t="str">
        <f t="array" ref="L1828">IF(ROWS(L$20:L1828)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1828))))</f>
        <v/>
      </c>
      <c r="M1828" s="4" t="str">
        <f t="array" ref="M1828">IF(ROWS(M$20:M1828)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1828))))</f>
        <v/>
      </c>
    </row>
    <row r="1829" spans="1:13" x14ac:dyDescent="0.25">
      <c r="A1829" s="3">
        <v>41428</v>
      </c>
      <c r="B1829" s="2" t="s">
        <v>25</v>
      </c>
      <c r="C1829" s="2">
        <v>47</v>
      </c>
      <c r="G1829" s="7" t="str">
        <f t="array" ref="G1829">IF(ROWS(K$20:K1829)&gt;$F$6,"",INDEX(A$2:A$10000,SMALL(IF(ISNUMBER(MATCH($B$2:$B$10000,$E$6:$E$22,0)),ROW($C$2:$C$10000)-ROW($C$2)+1),ROWS(K$20:K1829))))</f>
        <v/>
      </c>
      <c r="H1829" s="4" t="str">
        <f t="array" ref="H1829">IF(ROWS(L$20:L1829)&gt;$F$6,"",INDEX(B$2:B$10000,SMALL(IF(ISNUMBER(MATCH($B$2:$B$10000,$E$6:$E$22,0)),ROW($C$2:$C$10000)-ROW($C$2)+1),ROWS(L$20:L1829))))</f>
        <v/>
      </c>
      <c r="I1829" s="4" t="str">
        <f t="array" ref="I1829">IF(ROWS(M$20:M1829)&gt;$F$6,"",INDEX(C$2:C$10000,SMALL(IF(ISNUMBER(MATCH($B$2:$B$10000,$E$6:$E$22,0)),ROW($C$2:$C$10000)-ROW($C$2)+1),ROWS(M$20:M1829))))</f>
        <v/>
      </c>
      <c r="K1829" s="7" t="str">
        <f t="array" ref="K1829">IF(ROWS(K$20:K1829)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1829))))</f>
        <v/>
      </c>
      <c r="L1829" s="4" t="str">
        <f t="array" ref="L1829">IF(ROWS(L$20:L1829)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1829))))</f>
        <v/>
      </c>
      <c r="M1829" s="4" t="str">
        <f t="array" ref="M1829">IF(ROWS(M$20:M1829)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1829))))</f>
        <v/>
      </c>
    </row>
    <row r="1830" spans="1:13" x14ac:dyDescent="0.25">
      <c r="A1830" s="3">
        <v>41880</v>
      </c>
      <c r="B1830" s="2" t="s">
        <v>38</v>
      </c>
      <c r="C1830" s="2">
        <v>14</v>
      </c>
      <c r="G1830" s="7" t="str">
        <f t="array" ref="G1830">IF(ROWS(K$20:K1830)&gt;$F$6,"",INDEX(A$2:A$10000,SMALL(IF(ISNUMBER(MATCH($B$2:$B$10000,$E$6:$E$22,0)),ROW($C$2:$C$10000)-ROW($C$2)+1),ROWS(K$20:K1830))))</f>
        <v/>
      </c>
      <c r="H1830" s="4" t="str">
        <f t="array" ref="H1830">IF(ROWS(L$20:L1830)&gt;$F$6,"",INDEX(B$2:B$10000,SMALL(IF(ISNUMBER(MATCH($B$2:$B$10000,$E$6:$E$22,0)),ROW($C$2:$C$10000)-ROW($C$2)+1),ROWS(L$20:L1830))))</f>
        <v/>
      </c>
      <c r="I1830" s="4" t="str">
        <f t="array" ref="I1830">IF(ROWS(M$20:M1830)&gt;$F$6,"",INDEX(C$2:C$10000,SMALL(IF(ISNUMBER(MATCH($B$2:$B$10000,$E$6:$E$22,0)),ROW($C$2:$C$10000)-ROW($C$2)+1),ROWS(M$20:M1830))))</f>
        <v/>
      </c>
      <c r="K1830" s="7" t="str">
        <f t="array" ref="K1830">IF(ROWS(K$20:K1830)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1830))))</f>
        <v/>
      </c>
      <c r="L1830" s="4" t="str">
        <f t="array" ref="L1830">IF(ROWS(L$20:L1830)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1830))))</f>
        <v/>
      </c>
      <c r="M1830" s="4" t="str">
        <f t="array" ref="M1830">IF(ROWS(M$20:M1830)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1830))))</f>
        <v/>
      </c>
    </row>
    <row r="1831" spans="1:13" x14ac:dyDescent="0.25">
      <c r="A1831" s="3">
        <v>41304</v>
      </c>
      <c r="B1831" s="2" t="s">
        <v>13</v>
      </c>
      <c r="C1831" s="2">
        <v>49</v>
      </c>
      <c r="G1831" s="7" t="str">
        <f t="array" ref="G1831">IF(ROWS(K$20:K1831)&gt;$F$6,"",INDEX(A$2:A$10000,SMALL(IF(ISNUMBER(MATCH($B$2:$B$10000,$E$6:$E$22,0)),ROW($C$2:$C$10000)-ROW($C$2)+1),ROWS(K$20:K1831))))</f>
        <v/>
      </c>
      <c r="H1831" s="4" t="str">
        <f t="array" ref="H1831">IF(ROWS(L$20:L1831)&gt;$F$6,"",INDEX(B$2:B$10000,SMALL(IF(ISNUMBER(MATCH($B$2:$B$10000,$E$6:$E$22,0)),ROW($C$2:$C$10000)-ROW($C$2)+1),ROWS(L$20:L1831))))</f>
        <v/>
      </c>
      <c r="I1831" s="4" t="str">
        <f t="array" ref="I1831">IF(ROWS(M$20:M1831)&gt;$F$6,"",INDEX(C$2:C$10000,SMALL(IF(ISNUMBER(MATCH($B$2:$B$10000,$E$6:$E$22,0)),ROW($C$2:$C$10000)-ROW($C$2)+1),ROWS(M$20:M1831))))</f>
        <v/>
      </c>
      <c r="K1831" s="7" t="str">
        <f t="array" ref="K1831">IF(ROWS(K$20:K1831)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1831))))</f>
        <v/>
      </c>
      <c r="L1831" s="4" t="str">
        <f t="array" ref="L1831">IF(ROWS(L$20:L1831)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1831))))</f>
        <v/>
      </c>
      <c r="M1831" s="4" t="str">
        <f t="array" ref="M1831">IF(ROWS(M$20:M1831)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1831))))</f>
        <v/>
      </c>
    </row>
    <row r="1832" spans="1:13" x14ac:dyDescent="0.25">
      <c r="A1832" s="3">
        <v>41514</v>
      </c>
      <c r="B1832" s="2" t="s">
        <v>47</v>
      </c>
      <c r="C1832" s="2">
        <v>5</v>
      </c>
      <c r="G1832" s="7" t="str">
        <f t="array" ref="G1832">IF(ROWS(K$20:K1832)&gt;$F$6,"",INDEX(A$2:A$10000,SMALL(IF(ISNUMBER(MATCH($B$2:$B$10000,$E$6:$E$22,0)),ROW($C$2:$C$10000)-ROW($C$2)+1),ROWS(K$20:K1832))))</f>
        <v/>
      </c>
      <c r="H1832" s="4" t="str">
        <f t="array" ref="H1832">IF(ROWS(L$20:L1832)&gt;$F$6,"",INDEX(B$2:B$10000,SMALL(IF(ISNUMBER(MATCH($B$2:$B$10000,$E$6:$E$22,0)),ROW($C$2:$C$10000)-ROW($C$2)+1),ROWS(L$20:L1832))))</f>
        <v/>
      </c>
      <c r="I1832" s="4" t="str">
        <f t="array" ref="I1832">IF(ROWS(M$20:M1832)&gt;$F$6,"",INDEX(C$2:C$10000,SMALL(IF(ISNUMBER(MATCH($B$2:$B$10000,$E$6:$E$22,0)),ROW($C$2:$C$10000)-ROW($C$2)+1),ROWS(M$20:M1832))))</f>
        <v/>
      </c>
      <c r="K1832" s="7" t="str">
        <f t="array" ref="K1832">IF(ROWS(K$20:K1832)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1832))))</f>
        <v/>
      </c>
      <c r="L1832" s="4" t="str">
        <f t="array" ref="L1832">IF(ROWS(L$20:L1832)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1832))))</f>
        <v/>
      </c>
      <c r="M1832" s="4" t="str">
        <f t="array" ref="M1832">IF(ROWS(M$20:M1832)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1832))))</f>
        <v/>
      </c>
    </row>
    <row r="1833" spans="1:13" x14ac:dyDescent="0.25">
      <c r="A1833" s="3">
        <v>41998</v>
      </c>
      <c r="B1833" s="2" t="s">
        <v>7</v>
      </c>
      <c r="C1833" s="2">
        <v>39</v>
      </c>
      <c r="G1833" s="7" t="str">
        <f t="array" ref="G1833">IF(ROWS(K$20:K1833)&gt;$F$6,"",INDEX(A$2:A$10000,SMALL(IF(ISNUMBER(MATCH($B$2:$B$10000,$E$6:$E$22,0)),ROW($C$2:$C$10000)-ROW($C$2)+1),ROWS(K$20:K1833))))</f>
        <v/>
      </c>
      <c r="H1833" s="4" t="str">
        <f t="array" ref="H1833">IF(ROWS(L$20:L1833)&gt;$F$6,"",INDEX(B$2:B$10000,SMALL(IF(ISNUMBER(MATCH($B$2:$B$10000,$E$6:$E$22,0)),ROW($C$2:$C$10000)-ROW($C$2)+1),ROWS(L$20:L1833))))</f>
        <v/>
      </c>
      <c r="I1833" s="4" t="str">
        <f t="array" ref="I1833">IF(ROWS(M$20:M1833)&gt;$F$6,"",INDEX(C$2:C$10000,SMALL(IF(ISNUMBER(MATCH($B$2:$B$10000,$E$6:$E$22,0)),ROW($C$2:$C$10000)-ROW($C$2)+1),ROWS(M$20:M1833))))</f>
        <v/>
      </c>
      <c r="K1833" s="7" t="str">
        <f t="array" ref="K1833">IF(ROWS(K$20:K1833)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1833))))</f>
        <v/>
      </c>
      <c r="L1833" s="4" t="str">
        <f t="array" ref="L1833">IF(ROWS(L$20:L1833)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1833))))</f>
        <v/>
      </c>
      <c r="M1833" s="4" t="str">
        <f t="array" ref="M1833">IF(ROWS(M$20:M1833)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1833))))</f>
        <v/>
      </c>
    </row>
    <row r="1834" spans="1:13" x14ac:dyDescent="0.25">
      <c r="A1834" s="3">
        <v>41302</v>
      </c>
      <c r="B1834" s="2" t="s">
        <v>51</v>
      </c>
      <c r="C1834" s="2">
        <v>12</v>
      </c>
      <c r="G1834" s="7" t="str">
        <f t="array" ref="G1834">IF(ROWS(K$20:K1834)&gt;$F$6,"",INDEX(A$2:A$10000,SMALL(IF(ISNUMBER(MATCH($B$2:$B$10000,$E$6:$E$22,0)),ROW($C$2:$C$10000)-ROW($C$2)+1),ROWS(K$20:K1834))))</f>
        <v/>
      </c>
      <c r="H1834" s="4" t="str">
        <f t="array" ref="H1834">IF(ROWS(L$20:L1834)&gt;$F$6,"",INDEX(B$2:B$10000,SMALL(IF(ISNUMBER(MATCH($B$2:$B$10000,$E$6:$E$22,0)),ROW($C$2:$C$10000)-ROW($C$2)+1),ROWS(L$20:L1834))))</f>
        <v/>
      </c>
      <c r="I1834" s="4" t="str">
        <f t="array" ref="I1834">IF(ROWS(M$20:M1834)&gt;$F$6,"",INDEX(C$2:C$10000,SMALL(IF(ISNUMBER(MATCH($B$2:$B$10000,$E$6:$E$22,0)),ROW($C$2:$C$10000)-ROW($C$2)+1),ROWS(M$20:M1834))))</f>
        <v/>
      </c>
      <c r="K1834" s="7" t="str">
        <f t="array" ref="K1834">IF(ROWS(K$20:K1834)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1834))))</f>
        <v/>
      </c>
      <c r="L1834" s="4" t="str">
        <f t="array" ref="L1834">IF(ROWS(L$20:L1834)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1834))))</f>
        <v/>
      </c>
      <c r="M1834" s="4" t="str">
        <f t="array" ref="M1834">IF(ROWS(M$20:M1834)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1834))))</f>
        <v/>
      </c>
    </row>
    <row r="1835" spans="1:13" x14ac:dyDescent="0.25">
      <c r="A1835" s="3">
        <v>41781</v>
      </c>
      <c r="B1835" s="2" t="s">
        <v>40</v>
      </c>
      <c r="C1835" s="2">
        <v>52</v>
      </c>
      <c r="G1835" s="7" t="str">
        <f t="array" ref="G1835">IF(ROWS(K$20:K1835)&gt;$F$6,"",INDEX(A$2:A$10000,SMALL(IF(ISNUMBER(MATCH($B$2:$B$10000,$E$6:$E$22,0)),ROW($C$2:$C$10000)-ROW($C$2)+1),ROWS(K$20:K1835))))</f>
        <v/>
      </c>
      <c r="H1835" s="4" t="str">
        <f t="array" ref="H1835">IF(ROWS(L$20:L1835)&gt;$F$6,"",INDEX(B$2:B$10000,SMALL(IF(ISNUMBER(MATCH($B$2:$B$10000,$E$6:$E$22,0)),ROW($C$2:$C$10000)-ROW($C$2)+1),ROWS(L$20:L1835))))</f>
        <v/>
      </c>
      <c r="I1835" s="4" t="str">
        <f t="array" ref="I1835">IF(ROWS(M$20:M1835)&gt;$F$6,"",INDEX(C$2:C$10000,SMALL(IF(ISNUMBER(MATCH($B$2:$B$10000,$E$6:$E$22,0)),ROW($C$2:$C$10000)-ROW($C$2)+1),ROWS(M$20:M1835))))</f>
        <v/>
      </c>
      <c r="K1835" s="7" t="str">
        <f t="array" ref="K1835">IF(ROWS(K$20:K1835)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1835))))</f>
        <v/>
      </c>
      <c r="L1835" s="4" t="str">
        <f t="array" ref="L1835">IF(ROWS(L$20:L1835)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1835))))</f>
        <v/>
      </c>
      <c r="M1835" s="4" t="str">
        <f t="array" ref="M1835">IF(ROWS(M$20:M1835)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1835))))</f>
        <v/>
      </c>
    </row>
    <row r="1836" spans="1:13" x14ac:dyDescent="0.25">
      <c r="A1836" s="3">
        <v>41891</v>
      </c>
      <c r="B1836" s="2" t="s">
        <v>13</v>
      </c>
      <c r="C1836" s="2">
        <v>8</v>
      </c>
      <c r="G1836" s="7" t="str">
        <f t="array" ref="G1836">IF(ROWS(K$20:K1836)&gt;$F$6,"",INDEX(A$2:A$10000,SMALL(IF(ISNUMBER(MATCH($B$2:$B$10000,$E$6:$E$22,0)),ROW($C$2:$C$10000)-ROW($C$2)+1),ROWS(K$20:K1836))))</f>
        <v/>
      </c>
      <c r="H1836" s="4" t="str">
        <f t="array" ref="H1836">IF(ROWS(L$20:L1836)&gt;$F$6,"",INDEX(B$2:B$10000,SMALL(IF(ISNUMBER(MATCH($B$2:$B$10000,$E$6:$E$22,0)),ROW($C$2:$C$10000)-ROW($C$2)+1),ROWS(L$20:L1836))))</f>
        <v/>
      </c>
      <c r="I1836" s="4" t="str">
        <f t="array" ref="I1836">IF(ROWS(M$20:M1836)&gt;$F$6,"",INDEX(C$2:C$10000,SMALL(IF(ISNUMBER(MATCH($B$2:$B$10000,$E$6:$E$22,0)),ROW($C$2:$C$10000)-ROW($C$2)+1),ROWS(M$20:M1836))))</f>
        <v/>
      </c>
      <c r="K1836" s="7" t="str">
        <f t="array" ref="K1836">IF(ROWS(K$20:K1836)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1836))))</f>
        <v/>
      </c>
      <c r="L1836" s="4" t="str">
        <f t="array" ref="L1836">IF(ROWS(L$20:L1836)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1836))))</f>
        <v/>
      </c>
      <c r="M1836" s="4" t="str">
        <f t="array" ref="M1836">IF(ROWS(M$20:M1836)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1836))))</f>
        <v/>
      </c>
    </row>
    <row r="1837" spans="1:13" x14ac:dyDescent="0.25">
      <c r="A1837" s="3">
        <v>41756</v>
      </c>
      <c r="B1837" s="2" t="s">
        <v>5</v>
      </c>
      <c r="C1837" s="2">
        <v>9</v>
      </c>
      <c r="G1837" s="7" t="str">
        <f t="array" ref="G1837">IF(ROWS(K$20:K1837)&gt;$F$6,"",INDEX(A$2:A$10000,SMALL(IF(ISNUMBER(MATCH($B$2:$B$10000,$E$6:$E$22,0)),ROW($C$2:$C$10000)-ROW($C$2)+1),ROWS(K$20:K1837))))</f>
        <v/>
      </c>
      <c r="H1837" s="4" t="str">
        <f t="array" ref="H1837">IF(ROWS(L$20:L1837)&gt;$F$6,"",INDEX(B$2:B$10000,SMALL(IF(ISNUMBER(MATCH($B$2:$B$10000,$E$6:$E$22,0)),ROW($C$2:$C$10000)-ROW($C$2)+1),ROWS(L$20:L1837))))</f>
        <v/>
      </c>
      <c r="I1837" s="4" t="str">
        <f t="array" ref="I1837">IF(ROWS(M$20:M1837)&gt;$F$6,"",INDEX(C$2:C$10000,SMALL(IF(ISNUMBER(MATCH($B$2:$B$10000,$E$6:$E$22,0)),ROW($C$2:$C$10000)-ROW($C$2)+1),ROWS(M$20:M1837))))</f>
        <v/>
      </c>
      <c r="K1837" s="7" t="str">
        <f t="array" ref="K1837">IF(ROWS(K$20:K1837)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1837))))</f>
        <v/>
      </c>
      <c r="L1837" s="4" t="str">
        <f t="array" ref="L1837">IF(ROWS(L$20:L1837)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1837))))</f>
        <v/>
      </c>
      <c r="M1837" s="4" t="str">
        <f t="array" ref="M1837">IF(ROWS(M$20:M1837)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1837))))</f>
        <v/>
      </c>
    </row>
    <row r="1838" spans="1:13" x14ac:dyDescent="0.25">
      <c r="A1838" s="3">
        <v>41927</v>
      </c>
      <c r="B1838" s="2" t="s">
        <v>48</v>
      </c>
      <c r="C1838" s="2">
        <v>9</v>
      </c>
      <c r="G1838" s="7" t="str">
        <f t="array" ref="G1838">IF(ROWS(K$20:K1838)&gt;$F$6,"",INDEX(A$2:A$10000,SMALL(IF(ISNUMBER(MATCH($B$2:$B$10000,$E$6:$E$22,0)),ROW($C$2:$C$10000)-ROW($C$2)+1),ROWS(K$20:K1838))))</f>
        <v/>
      </c>
      <c r="H1838" s="4" t="str">
        <f t="array" ref="H1838">IF(ROWS(L$20:L1838)&gt;$F$6,"",INDEX(B$2:B$10000,SMALL(IF(ISNUMBER(MATCH($B$2:$B$10000,$E$6:$E$22,0)),ROW($C$2:$C$10000)-ROW($C$2)+1),ROWS(L$20:L1838))))</f>
        <v/>
      </c>
      <c r="I1838" s="4" t="str">
        <f t="array" ref="I1838">IF(ROWS(M$20:M1838)&gt;$F$6,"",INDEX(C$2:C$10000,SMALL(IF(ISNUMBER(MATCH($B$2:$B$10000,$E$6:$E$22,0)),ROW($C$2:$C$10000)-ROW($C$2)+1),ROWS(M$20:M1838))))</f>
        <v/>
      </c>
      <c r="K1838" s="7" t="str">
        <f t="array" ref="K1838">IF(ROWS(K$20:K1838)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1838))))</f>
        <v/>
      </c>
      <c r="L1838" s="4" t="str">
        <f t="array" ref="L1838">IF(ROWS(L$20:L1838)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1838))))</f>
        <v/>
      </c>
      <c r="M1838" s="4" t="str">
        <f t="array" ref="M1838">IF(ROWS(M$20:M1838)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1838))))</f>
        <v/>
      </c>
    </row>
    <row r="1839" spans="1:13" x14ac:dyDescent="0.25">
      <c r="A1839" s="3">
        <v>41716</v>
      </c>
      <c r="B1839" s="2" t="s">
        <v>23</v>
      </c>
      <c r="C1839" s="2">
        <v>31</v>
      </c>
      <c r="G1839" s="7" t="str">
        <f t="array" ref="G1839">IF(ROWS(K$20:K1839)&gt;$F$6,"",INDEX(A$2:A$10000,SMALL(IF(ISNUMBER(MATCH($B$2:$B$10000,$E$6:$E$22,0)),ROW($C$2:$C$10000)-ROW($C$2)+1),ROWS(K$20:K1839))))</f>
        <v/>
      </c>
      <c r="H1839" s="4" t="str">
        <f t="array" ref="H1839">IF(ROWS(L$20:L1839)&gt;$F$6,"",INDEX(B$2:B$10000,SMALL(IF(ISNUMBER(MATCH($B$2:$B$10000,$E$6:$E$22,0)),ROW($C$2:$C$10000)-ROW($C$2)+1),ROWS(L$20:L1839))))</f>
        <v/>
      </c>
      <c r="I1839" s="4" t="str">
        <f t="array" ref="I1839">IF(ROWS(M$20:M1839)&gt;$F$6,"",INDEX(C$2:C$10000,SMALL(IF(ISNUMBER(MATCH($B$2:$B$10000,$E$6:$E$22,0)),ROW($C$2:$C$10000)-ROW($C$2)+1),ROWS(M$20:M1839))))</f>
        <v/>
      </c>
      <c r="K1839" s="7" t="str">
        <f t="array" ref="K1839">IF(ROWS(K$20:K1839)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1839))))</f>
        <v/>
      </c>
      <c r="L1839" s="4" t="str">
        <f t="array" ref="L1839">IF(ROWS(L$20:L1839)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1839))))</f>
        <v/>
      </c>
      <c r="M1839" s="4" t="str">
        <f t="array" ref="M1839">IF(ROWS(M$20:M1839)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1839))))</f>
        <v/>
      </c>
    </row>
    <row r="1840" spans="1:13" x14ac:dyDescent="0.25">
      <c r="A1840" s="3">
        <v>41999</v>
      </c>
      <c r="B1840" s="2" t="s">
        <v>40</v>
      </c>
      <c r="C1840" s="2">
        <v>20</v>
      </c>
      <c r="G1840" s="7" t="str">
        <f t="array" ref="G1840">IF(ROWS(K$20:K1840)&gt;$F$6,"",INDEX(A$2:A$10000,SMALL(IF(ISNUMBER(MATCH($B$2:$B$10000,$E$6:$E$22,0)),ROW($C$2:$C$10000)-ROW($C$2)+1),ROWS(K$20:K1840))))</f>
        <v/>
      </c>
      <c r="H1840" s="4" t="str">
        <f t="array" ref="H1840">IF(ROWS(L$20:L1840)&gt;$F$6,"",INDEX(B$2:B$10000,SMALL(IF(ISNUMBER(MATCH($B$2:$B$10000,$E$6:$E$22,0)),ROW($C$2:$C$10000)-ROW($C$2)+1),ROWS(L$20:L1840))))</f>
        <v/>
      </c>
      <c r="I1840" s="4" t="str">
        <f t="array" ref="I1840">IF(ROWS(M$20:M1840)&gt;$F$6,"",INDEX(C$2:C$10000,SMALL(IF(ISNUMBER(MATCH($B$2:$B$10000,$E$6:$E$22,0)),ROW($C$2:$C$10000)-ROW($C$2)+1),ROWS(M$20:M1840))))</f>
        <v/>
      </c>
      <c r="K1840" s="7" t="str">
        <f t="array" ref="K1840">IF(ROWS(K$20:K1840)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1840))))</f>
        <v/>
      </c>
      <c r="L1840" s="4" t="str">
        <f t="array" ref="L1840">IF(ROWS(L$20:L1840)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1840))))</f>
        <v/>
      </c>
      <c r="M1840" s="4" t="str">
        <f t="array" ref="M1840">IF(ROWS(M$20:M1840)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1840))))</f>
        <v/>
      </c>
    </row>
    <row r="1841" spans="1:13" x14ac:dyDescent="0.25">
      <c r="A1841" s="3">
        <v>41821</v>
      </c>
      <c r="B1841" s="2" t="s">
        <v>5</v>
      </c>
      <c r="C1841" s="2">
        <v>37</v>
      </c>
      <c r="G1841" s="7" t="str">
        <f t="array" ref="G1841">IF(ROWS(K$20:K1841)&gt;$F$6,"",INDEX(A$2:A$10000,SMALL(IF(ISNUMBER(MATCH($B$2:$B$10000,$E$6:$E$22,0)),ROW($C$2:$C$10000)-ROW($C$2)+1),ROWS(K$20:K1841))))</f>
        <v/>
      </c>
      <c r="H1841" s="4" t="str">
        <f t="array" ref="H1841">IF(ROWS(L$20:L1841)&gt;$F$6,"",INDEX(B$2:B$10000,SMALL(IF(ISNUMBER(MATCH($B$2:$B$10000,$E$6:$E$22,0)),ROW($C$2:$C$10000)-ROW($C$2)+1),ROWS(L$20:L1841))))</f>
        <v/>
      </c>
      <c r="I1841" s="4" t="str">
        <f t="array" ref="I1841">IF(ROWS(M$20:M1841)&gt;$F$6,"",INDEX(C$2:C$10000,SMALL(IF(ISNUMBER(MATCH($B$2:$B$10000,$E$6:$E$22,0)),ROW($C$2:$C$10000)-ROW($C$2)+1),ROWS(M$20:M1841))))</f>
        <v/>
      </c>
      <c r="K1841" s="7" t="str">
        <f t="array" ref="K1841">IF(ROWS(K$20:K1841)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1841))))</f>
        <v/>
      </c>
      <c r="L1841" s="4" t="str">
        <f t="array" ref="L1841">IF(ROWS(L$20:L1841)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1841))))</f>
        <v/>
      </c>
      <c r="M1841" s="4" t="str">
        <f t="array" ref="M1841">IF(ROWS(M$20:M1841)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1841))))</f>
        <v/>
      </c>
    </row>
    <row r="1842" spans="1:13" x14ac:dyDescent="0.25">
      <c r="A1842" s="3">
        <v>41670</v>
      </c>
      <c r="B1842" s="2" t="s">
        <v>29</v>
      </c>
      <c r="C1842" s="2">
        <v>10</v>
      </c>
      <c r="G1842" s="7" t="str">
        <f t="array" ref="G1842">IF(ROWS(K$20:K1842)&gt;$F$6,"",INDEX(A$2:A$10000,SMALL(IF(ISNUMBER(MATCH($B$2:$B$10000,$E$6:$E$22,0)),ROW($C$2:$C$10000)-ROW($C$2)+1),ROWS(K$20:K1842))))</f>
        <v/>
      </c>
      <c r="H1842" s="4" t="str">
        <f t="array" ref="H1842">IF(ROWS(L$20:L1842)&gt;$F$6,"",INDEX(B$2:B$10000,SMALL(IF(ISNUMBER(MATCH($B$2:$B$10000,$E$6:$E$22,0)),ROW($C$2:$C$10000)-ROW($C$2)+1),ROWS(L$20:L1842))))</f>
        <v/>
      </c>
      <c r="I1842" s="4" t="str">
        <f t="array" ref="I1842">IF(ROWS(M$20:M1842)&gt;$F$6,"",INDEX(C$2:C$10000,SMALL(IF(ISNUMBER(MATCH($B$2:$B$10000,$E$6:$E$22,0)),ROW($C$2:$C$10000)-ROW($C$2)+1),ROWS(M$20:M1842))))</f>
        <v/>
      </c>
      <c r="K1842" s="7" t="str">
        <f t="array" ref="K1842">IF(ROWS(K$20:K1842)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1842))))</f>
        <v/>
      </c>
      <c r="L1842" s="4" t="str">
        <f t="array" ref="L1842">IF(ROWS(L$20:L1842)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1842))))</f>
        <v/>
      </c>
      <c r="M1842" s="4" t="str">
        <f t="array" ref="M1842">IF(ROWS(M$20:M1842)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1842))))</f>
        <v/>
      </c>
    </row>
    <row r="1843" spans="1:13" x14ac:dyDescent="0.25">
      <c r="A1843" s="3">
        <v>41842</v>
      </c>
      <c r="B1843" s="2" t="s">
        <v>37</v>
      </c>
      <c r="C1843" s="2">
        <v>36</v>
      </c>
      <c r="G1843" s="7" t="str">
        <f t="array" ref="G1843">IF(ROWS(K$20:K1843)&gt;$F$6,"",INDEX(A$2:A$10000,SMALL(IF(ISNUMBER(MATCH($B$2:$B$10000,$E$6:$E$22,0)),ROW($C$2:$C$10000)-ROW($C$2)+1),ROWS(K$20:K1843))))</f>
        <v/>
      </c>
      <c r="H1843" s="4" t="str">
        <f t="array" ref="H1843">IF(ROWS(L$20:L1843)&gt;$F$6,"",INDEX(B$2:B$10000,SMALL(IF(ISNUMBER(MATCH($B$2:$B$10000,$E$6:$E$22,0)),ROW($C$2:$C$10000)-ROW($C$2)+1),ROWS(L$20:L1843))))</f>
        <v/>
      </c>
      <c r="I1843" s="4" t="str">
        <f t="array" ref="I1843">IF(ROWS(M$20:M1843)&gt;$F$6,"",INDEX(C$2:C$10000,SMALL(IF(ISNUMBER(MATCH($B$2:$B$10000,$E$6:$E$22,0)),ROW($C$2:$C$10000)-ROW($C$2)+1),ROWS(M$20:M1843))))</f>
        <v/>
      </c>
      <c r="K1843" s="7" t="str">
        <f t="array" ref="K1843">IF(ROWS(K$20:K1843)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1843))))</f>
        <v/>
      </c>
      <c r="L1843" s="4" t="str">
        <f t="array" ref="L1843">IF(ROWS(L$20:L1843)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1843))))</f>
        <v/>
      </c>
      <c r="M1843" s="4" t="str">
        <f t="array" ref="M1843">IF(ROWS(M$20:M1843)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1843))))</f>
        <v/>
      </c>
    </row>
    <row r="1844" spans="1:13" x14ac:dyDescent="0.25">
      <c r="A1844" s="3">
        <v>41737</v>
      </c>
      <c r="B1844" s="2" t="s">
        <v>42</v>
      </c>
      <c r="C1844" s="2">
        <v>35</v>
      </c>
      <c r="G1844" s="7" t="str">
        <f t="array" ref="G1844">IF(ROWS(K$20:K1844)&gt;$F$6,"",INDEX(A$2:A$10000,SMALL(IF(ISNUMBER(MATCH($B$2:$B$10000,$E$6:$E$22,0)),ROW($C$2:$C$10000)-ROW($C$2)+1),ROWS(K$20:K1844))))</f>
        <v/>
      </c>
      <c r="H1844" s="4" t="str">
        <f t="array" ref="H1844">IF(ROWS(L$20:L1844)&gt;$F$6,"",INDEX(B$2:B$10000,SMALL(IF(ISNUMBER(MATCH($B$2:$B$10000,$E$6:$E$22,0)),ROW($C$2:$C$10000)-ROW($C$2)+1),ROWS(L$20:L1844))))</f>
        <v/>
      </c>
      <c r="I1844" s="4" t="str">
        <f t="array" ref="I1844">IF(ROWS(M$20:M1844)&gt;$F$6,"",INDEX(C$2:C$10000,SMALL(IF(ISNUMBER(MATCH($B$2:$B$10000,$E$6:$E$22,0)),ROW($C$2:$C$10000)-ROW($C$2)+1),ROWS(M$20:M1844))))</f>
        <v/>
      </c>
      <c r="K1844" s="7" t="str">
        <f t="array" ref="K1844">IF(ROWS(K$20:K1844)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1844))))</f>
        <v/>
      </c>
      <c r="L1844" s="4" t="str">
        <f t="array" ref="L1844">IF(ROWS(L$20:L1844)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1844))))</f>
        <v/>
      </c>
      <c r="M1844" s="4" t="str">
        <f t="array" ref="M1844">IF(ROWS(M$20:M1844)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1844))))</f>
        <v/>
      </c>
    </row>
    <row r="1845" spans="1:13" x14ac:dyDescent="0.25">
      <c r="A1845" s="3">
        <v>41582</v>
      </c>
      <c r="B1845" s="2" t="s">
        <v>24</v>
      </c>
      <c r="C1845" s="2">
        <v>50</v>
      </c>
      <c r="G1845" s="7" t="str">
        <f t="array" ref="G1845">IF(ROWS(K$20:K1845)&gt;$F$6,"",INDEX(A$2:A$10000,SMALL(IF(ISNUMBER(MATCH($B$2:$B$10000,$E$6:$E$22,0)),ROW($C$2:$C$10000)-ROW($C$2)+1),ROWS(K$20:K1845))))</f>
        <v/>
      </c>
      <c r="H1845" s="4" t="str">
        <f t="array" ref="H1845">IF(ROWS(L$20:L1845)&gt;$F$6,"",INDEX(B$2:B$10000,SMALL(IF(ISNUMBER(MATCH($B$2:$B$10000,$E$6:$E$22,0)),ROW($C$2:$C$10000)-ROW($C$2)+1),ROWS(L$20:L1845))))</f>
        <v/>
      </c>
      <c r="I1845" s="4" t="str">
        <f t="array" ref="I1845">IF(ROWS(M$20:M1845)&gt;$F$6,"",INDEX(C$2:C$10000,SMALL(IF(ISNUMBER(MATCH($B$2:$B$10000,$E$6:$E$22,0)),ROW($C$2:$C$10000)-ROW($C$2)+1),ROWS(M$20:M1845))))</f>
        <v/>
      </c>
      <c r="K1845" s="7" t="str">
        <f t="array" ref="K1845">IF(ROWS(K$20:K1845)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1845))))</f>
        <v/>
      </c>
      <c r="L1845" s="4" t="str">
        <f t="array" ref="L1845">IF(ROWS(L$20:L1845)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1845))))</f>
        <v/>
      </c>
      <c r="M1845" s="4" t="str">
        <f t="array" ref="M1845">IF(ROWS(M$20:M1845)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1845))))</f>
        <v/>
      </c>
    </row>
    <row r="1846" spans="1:13" x14ac:dyDescent="0.25">
      <c r="A1846" s="3">
        <v>41684</v>
      </c>
      <c r="B1846" s="2" t="s">
        <v>21</v>
      </c>
      <c r="C1846" s="2">
        <v>47</v>
      </c>
      <c r="G1846" s="7" t="str">
        <f t="array" ref="G1846">IF(ROWS(K$20:K1846)&gt;$F$6,"",INDEX(A$2:A$10000,SMALL(IF(ISNUMBER(MATCH($B$2:$B$10000,$E$6:$E$22,0)),ROW($C$2:$C$10000)-ROW($C$2)+1),ROWS(K$20:K1846))))</f>
        <v/>
      </c>
      <c r="H1846" s="4" t="str">
        <f t="array" ref="H1846">IF(ROWS(L$20:L1846)&gt;$F$6,"",INDEX(B$2:B$10000,SMALL(IF(ISNUMBER(MATCH($B$2:$B$10000,$E$6:$E$22,0)),ROW($C$2:$C$10000)-ROW($C$2)+1),ROWS(L$20:L1846))))</f>
        <v/>
      </c>
      <c r="I1846" s="4" t="str">
        <f t="array" ref="I1846">IF(ROWS(M$20:M1846)&gt;$F$6,"",INDEX(C$2:C$10000,SMALL(IF(ISNUMBER(MATCH($B$2:$B$10000,$E$6:$E$22,0)),ROW($C$2:$C$10000)-ROW($C$2)+1),ROWS(M$20:M1846))))</f>
        <v/>
      </c>
      <c r="K1846" s="7" t="str">
        <f t="array" ref="K1846">IF(ROWS(K$20:K1846)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1846))))</f>
        <v/>
      </c>
      <c r="L1846" s="4" t="str">
        <f t="array" ref="L1846">IF(ROWS(L$20:L1846)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1846))))</f>
        <v/>
      </c>
      <c r="M1846" s="4" t="str">
        <f t="array" ref="M1846">IF(ROWS(M$20:M1846)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1846))))</f>
        <v/>
      </c>
    </row>
    <row r="1847" spans="1:13" x14ac:dyDescent="0.25">
      <c r="A1847" s="3">
        <v>41339</v>
      </c>
      <c r="B1847" s="2" t="s">
        <v>7</v>
      </c>
      <c r="C1847" s="2">
        <v>14</v>
      </c>
      <c r="G1847" s="7" t="str">
        <f t="array" ref="G1847">IF(ROWS(K$20:K1847)&gt;$F$6,"",INDEX(A$2:A$10000,SMALL(IF(ISNUMBER(MATCH($B$2:$B$10000,$E$6:$E$22,0)),ROW($C$2:$C$10000)-ROW($C$2)+1),ROWS(K$20:K1847))))</f>
        <v/>
      </c>
      <c r="H1847" s="4" t="str">
        <f t="array" ref="H1847">IF(ROWS(L$20:L1847)&gt;$F$6,"",INDEX(B$2:B$10000,SMALL(IF(ISNUMBER(MATCH($B$2:$B$10000,$E$6:$E$22,0)),ROW($C$2:$C$10000)-ROW($C$2)+1),ROWS(L$20:L1847))))</f>
        <v/>
      </c>
      <c r="I1847" s="4" t="str">
        <f t="array" ref="I1847">IF(ROWS(M$20:M1847)&gt;$F$6,"",INDEX(C$2:C$10000,SMALL(IF(ISNUMBER(MATCH($B$2:$B$10000,$E$6:$E$22,0)),ROW($C$2:$C$10000)-ROW($C$2)+1),ROWS(M$20:M1847))))</f>
        <v/>
      </c>
      <c r="K1847" s="7" t="str">
        <f t="array" ref="K1847">IF(ROWS(K$20:K1847)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1847))))</f>
        <v/>
      </c>
      <c r="L1847" s="4" t="str">
        <f t="array" ref="L1847">IF(ROWS(L$20:L1847)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1847))))</f>
        <v/>
      </c>
      <c r="M1847" s="4" t="str">
        <f t="array" ref="M1847">IF(ROWS(M$20:M1847)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1847))))</f>
        <v/>
      </c>
    </row>
    <row r="1848" spans="1:13" x14ac:dyDescent="0.25">
      <c r="A1848" s="3">
        <v>41897</v>
      </c>
      <c r="B1848" s="2" t="s">
        <v>26</v>
      </c>
      <c r="C1848" s="2">
        <v>15</v>
      </c>
      <c r="G1848" s="7" t="str">
        <f t="array" ref="G1848">IF(ROWS(K$20:K1848)&gt;$F$6,"",INDEX(A$2:A$10000,SMALL(IF(ISNUMBER(MATCH($B$2:$B$10000,$E$6:$E$22,0)),ROW($C$2:$C$10000)-ROW($C$2)+1),ROWS(K$20:K1848))))</f>
        <v/>
      </c>
      <c r="H1848" s="4" t="str">
        <f t="array" ref="H1848">IF(ROWS(L$20:L1848)&gt;$F$6,"",INDEX(B$2:B$10000,SMALL(IF(ISNUMBER(MATCH($B$2:$B$10000,$E$6:$E$22,0)),ROW($C$2:$C$10000)-ROW($C$2)+1),ROWS(L$20:L1848))))</f>
        <v/>
      </c>
      <c r="I1848" s="4" t="str">
        <f t="array" ref="I1848">IF(ROWS(M$20:M1848)&gt;$F$6,"",INDEX(C$2:C$10000,SMALL(IF(ISNUMBER(MATCH($B$2:$B$10000,$E$6:$E$22,0)),ROW($C$2:$C$10000)-ROW($C$2)+1),ROWS(M$20:M1848))))</f>
        <v/>
      </c>
      <c r="K1848" s="7" t="str">
        <f t="array" ref="K1848">IF(ROWS(K$20:K1848)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1848))))</f>
        <v/>
      </c>
      <c r="L1848" s="4" t="str">
        <f t="array" ref="L1848">IF(ROWS(L$20:L1848)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1848))))</f>
        <v/>
      </c>
      <c r="M1848" s="4" t="str">
        <f t="array" ref="M1848">IF(ROWS(M$20:M1848)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1848))))</f>
        <v/>
      </c>
    </row>
    <row r="1849" spans="1:13" x14ac:dyDescent="0.25">
      <c r="A1849" s="3">
        <v>41792</v>
      </c>
      <c r="B1849" s="2" t="s">
        <v>48</v>
      </c>
      <c r="C1849" s="2">
        <v>19</v>
      </c>
      <c r="G1849" s="7" t="str">
        <f t="array" ref="G1849">IF(ROWS(K$20:K1849)&gt;$F$6,"",INDEX(A$2:A$10000,SMALL(IF(ISNUMBER(MATCH($B$2:$B$10000,$E$6:$E$22,0)),ROW($C$2:$C$10000)-ROW($C$2)+1),ROWS(K$20:K1849))))</f>
        <v/>
      </c>
      <c r="H1849" s="4" t="str">
        <f t="array" ref="H1849">IF(ROWS(L$20:L1849)&gt;$F$6,"",INDEX(B$2:B$10000,SMALL(IF(ISNUMBER(MATCH($B$2:$B$10000,$E$6:$E$22,0)),ROW($C$2:$C$10000)-ROW($C$2)+1),ROWS(L$20:L1849))))</f>
        <v/>
      </c>
      <c r="I1849" s="4" t="str">
        <f t="array" ref="I1849">IF(ROWS(M$20:M1849)&gt;$F$6,"",INDEX(C$2:C$10000,SMALL(IF(ISNUMBER(MATCH($B$2:$B$10000,$E$6:$E$22,0)),ROW($C$2:$C$10000)-ROW($C$2)+1),ROWS(M$20:M1849))))</f>
        <v/>
      </c>
      <c r="K1849" s="7" t="str">
        <f t="array" ref="K1849">IF(ROWS(K$20:K1849)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1849))))</f>
        <v/>
      </c>
      <c r="L1849" s="4" t="str">
        <f t="array" ref="L1849">IF(ROWS(L$20:L1849)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1849))))</f>
        <v/>
      </c>
      <c r="M1849" s="4" t="str">
        <f t="array" ref="M1849">IF(ROWS(M$20:M1849)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1849))))</f>
        <v/>
      </c>
    </row>
    <row r="1850" spans="1:13" x14ac:dyDescent="0.25">
      <c r="A1850" s="3">
        <v>41493</v>
      </c>
      <c r="B1850" s="2" t="s">
        <v>7</v>
      </c>
      <c r="C1850" s="2">
        <v>11</v>
      </c>
      <c r="G1850" s="7" t="str">
        <f t="array" ref="G1850">IF(ROWS(K$20:K1850)&gt;$F$6,"",INDEX(A$2:A$10000,SMALL(IF(ISNUMBER(MATCH($B$2:$B$10000,$E$6:$E$22,0)),ROW($C$2:$C$10000)-ROW($C$2)+1),ROWS(K$20:K1850))))</f>
        <v/>
      </c>
      <c r="H1850" s="4" t="str">
        <f t="array" ref="H1850">IF(ROWS(L$20:L1850)&gt;$F$6,"",INDEX(B$2:B$10000,SMALL(IF(ISNUMBER(MATCH($B$2:$B$10000,$E$6:$E$22,0)),ROW($C$2:$C$10000)-ROW($C$2)+1),ROWS(L$20:L1850))))</f>
        <v/>
      </c>
      <c r="I1850" s="4" t="str">
        <f t="array" ref="I1850">IF(ROWS(M$20:M1850)&gt;$F$6,"",INDEX(C$2:C$10000,SMALL(IF(ISNUMBER(MATCH($B$2:$B$10000,$E$6:$E$22,0)),ROW($C$2:$C$10000)-ROW($C$2)+1),ROWS(M$20:M1850))))</f>
        <v/>
      </c>
      <c r="K1850" s="7" t="str">
        <f t="array" ref="K1850">IF(ROWS(K$20:K1850)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1850))))</f>
        <v/>
      </c>
      <c r="L1850" s="4" t="str">
        <f t="array" ref="L1850">IF(ROWS(L$20:L1850)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1850))))</f>
        <v/>
      </c>
      <c r="M1850" s="4" t="str">
        <f t="array" ref="M1850">IF(ROWS(M$20:M1850)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1850))))</f>
        <v/>
      </c>
    </row>
    <row r="1851" spans="1:13" x14ac:dyDescent="0.25">
      <c r="A1851" s="3">
        <v>41820</v>
      </c>
      <c r="B1851" s="2" t="s">
        <v>51</v>
      </c>
      <c r="C1851" s="2">
        <v>7</v>
      </c>
      <c r="G1851" s="7" t="str">
        <f t="array" ref="G1851">IF(ROWS(K$20:K1851)&gt;$F$6,"",INDEX(A$2:A$10000,SMALL(IF(ISNUMBER(MATCH($B$2:$B$10000,$E$6:$E$22,0)),ROW($C$2:$C$10000)-ROW($C$2)+1),ROWS(K$20:K1851))))</f>
        <v/>
      </c>
      <c r="H1851" s="4" t="str">
        <f t="array" ref="H1851">IF(ROWS(L$20:L1851)&gt;$F$6,"",INDEX(B$2:B$10000,SMALL(IF(ISNUMBER(MATCH($B$2:$B$10000,$E$6:$E$22,0)),ROW($C$2:$C$10000)-ROW($C$2)+1),ROWS(L$20:L1851))))</f>
        <v/>
      </c>
      <c r="I1851" s="4" t="str">
        <f t="array" ref="I1851">IF(ROWS(M$20:M1851)&gt;$F$6,"",INDEX(C$2:C$10000,SMALL(IF(ISNUMBER(MATCH($B$2:$B$10000,$E$6:$E$22,0)),ROW($C$2:$C$10000)-ROW($C$2)+1),ROWS(M$20:M1851))))</f>
        <v/>
      </c>
      <c r="K1851" s="7" t="str">
        <f t="array" ref="K1851">IF(ROWS(K$20:K1851)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1851))))</f>
        <v/>
      </c>
      <c r="L1851" s="4" t="str">
        <f t="array" ref="L1851">IF(ROWS(L$20:L1851)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1851))))</f>
        <v/>
      </c>
      <c r="M1851" s="4" t="str">
        <f t="array" ref="M1851">IF(ROWS(M$20:M1851)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1851))))</f>
        <v/>
      </c>
    </row>
    <row r="1852" spans="1:13" x14ac:dyDescent="0.25">
      <c r="A1852" s="3">
        <v>41470</v>
      </c>
      <c r="B1852" s="2" t="s">
        <v>10</v>
      </c>
      <c r="C1852" s="2">
        <v>30</v>
      </c>
      <c r="G1852" s="7" t="str">
        <f t="array" ref="G1852">IF(ROWS(K$20:K1852)&gt;$F$6,"",INDEX(A$2:A$10000,SMALL(IF(ISNUMBER(MATCH($B$2:$B$10000,$E$6:$E$22,0)),ROW($C$2:$C$10000)-ROW($C$2)+1),ROWS(K$20:K1852))))</f>
        <v/>
      </c>
      <c r="H1852" s="4" t="str">
        <f t="array" ref="H1852">IF(ROWS(L$20:L1852)&gt;$F$6,"",INDEX(B$2:B$10000,SMALL(IF(ISNUMBER(MATCH($B$2:$B$10000,$E$6:$E$22,0)),ROW($C$2:$C$10000)-ROW($C$2)+1),ROWS(L$20:L1852))))</f>
        <v/>
      </c>
      <c r="I1852" s="4" t="str">
        <f t="array" ref="I1852">IF(ROWS(M$20:M1852)&gt;$F$6,"",INDEX(C$2:C$10000,SMALL(IF(ISNUMBER(MATCH($B$2:$B$10000,$E$6:$E$22,0)),ROW($C$2:$C$10000)-ROW($C$2)+1),ROWS(M$20:M1852))))</f>
        <v/>
      </c>
      <c r="K1852" s="7" t="str">
        <f t="array" ref="K1852">IF(ROWS(K$20:K1852)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1852))))</f>
        <v/>
      </c>
      <c r="L1852" s="4" t="str">
        <f t="array" ref="L1852">IF(ROWS(L$20:L1852)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1852))))</f>
        <v/>
      </c>
      <c r="M1852" s="4" t="str">
        <f t="array" ref="M1852">IF(ROWS(M$20:M1852)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1852))))</f>
        <v/>
      </c>
    </row>
    <row r="1853" spans="1:13" x14ac:dyDescent="0.25">
      <c r="A1853" s="3">
        <v>41746</v>
      </c>
      <c r="B1853" s="2" t="s">
        <v>41</v>
      </c>
      <c r="C1853" s="2">
        <v>8</v>
      </c>
      <c r="G1853" s="7" t="str">
        <f t="array" ref="G1853">IF(ROWS(K$20:K1853)&gt;$F$6,"",INDEX(A$2:A$10000,SMALL(IF(ISNUMBER(MATCH($B$2:$B$10000,$E$6:$E$22,0)),ROW($C$2:$C$10000)-ROW($C$2)+1),ROWS(K$20:K1853))))</f>
        <v/>
      </c>
      <c r="H1853" s="4" t="str">
        <f t="array" ref="H1853">IF(ROWS(L$20:L1853)&gt;$F$6,"",INDEX(B$2:B$10000,SMALL(IF(ISNUMBER(MATCH($B$2:$B$10000,$E$6:$E$22,0)),ROW($C$2:$C$10000)-ROW($C$2)+1),ROWS(L$20:L1853))))</f>
        <v/>
      </c>
      <c r="I1853" s="4" t="str">
        <f t="array" ref="I1853">IF(ROWS(M$20:M1853)&gt;$F$6,"",INDEX(C$2:C$10000,SMALL(IF(ISNUMBER(MATCH($B$2:$B$10000,$E$6:$E$22,0)),ROW($C$2:$C$10000)-ROW($C$2)+1),ROWS(M$20:M1853))))</f>
        <v/>
      </c>
      <c r="K1853" s="7" t="str">
        <f t="array" ref="K1853">IF(ROWS(K$20:K1853)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1853))))</f>
        <v/>
      </c>
      <c r="L1853" s="4" t="str">
        <f t="array" ref="L1853">IF(ROWS(L$20:L1853)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1853))))</f>
        <v/>
      </c>
      <c r="M1853" s="4" t="str">
        <f t="array" ref="M1853">IF(ROWS(M$20:M1853)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1853))))</f>
        <v/>
      </c>
    </row>
    <row r="1854" spans="1:13" x14ac:dyDescent="0.25">
      <c r="A1854" s="3">
        <v>41745</v>
      </c>
      <c r="B1854" s="2" t="s">
        <v>5</v>
      </c>
      <c r="C1854" s="2">
        <v>9</v>
      </c>
      <c r="G1854" s="7" t="str">
        <f t="array" ref="G1854">IF(ROWS(K$20:K1854)&gt;$F$6,"",INDEX(A$2:A$10000,SMALL(IF(ISNUMBER(MATCH($B$2:$B$10000,$E$6:$E$22,0)),ROW($C$2:$C$10000)-ROW($C$2)+1),ROWS(K$20:K1854))))</f>
        <v/>
      </c>
      <c r="H1854" s="4" t="str">
        <f t="array" ref="H1854">IF(ROWS(L$20:L1854)&gt;$F$6,"",INDEX(B$2:B$10000,SMALL(IF(ISNUMBER(MATCH($B$2:$B$10000,$E$6:$E$22,0)),ROW($C$2:$C$10000)-ROW($C$2)+1),ROWS(L$20:L1854))))</f>
        <v/>
      </c>
      <c r="I1854" s="4" t="str">
        <f t="array" ref="I1854">IF(ROWS(M$20:M1854)&gt;$F$6,"",INDEX(C$2:C$10000,SMALL(IF(ISNUMBER(MATCH($B$2:$B$10000,$E$6:$E$22,0)),ROW($C$2:$C$10000)-ROW($C$2)+1),ROWS(M$20:M1854))))</f>
        <v/>
      </c>
      <c r="K1854" s="7" t="str">
        <f t="array" ref="K1854">IF(ROWS(K$20:K1854)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1854))))</f>
        <v/>
      </c>
      <c r="L1854" s="4" t="str">
        <f t="array" ref="L1854">IF(ROWS(L$20:L1854)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1854))))</f>
        <v/>
      </c>
      <c r="M1854" s="4" t="str">
        <f t="array" ref="M1854">IF(ROWS(M$20:M1854)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1854))))</f>
        <v/>
      </c>
    </row>
    <row r="1855" spans="1:13" x14ac:dyDescent="0.25">
      <c r="A1855" s="3">
        <v>41887</v>
      </c>
      <c r="B1855" s="2" t="s">
        <v>10</v>
      </c>
      <c r="C1855" s="2">
        <v>15</v>
      </c>
      <c r="G1855" s="7" t="str">
        <f t="array" ref="G1855">IF(ROWS(K$20:K1855)&gt;$F$6,"",INDEX(A$2:A$10000,SMALL(IF(ISNUMBER(MATCH($B$2:$B$10000,$E$6:$E$22,0)),ROW($C$2:$C$10000)-ROW($C$2)+1),ROWS(K$20:K1855))))</f>
        <v/>
      </c>
      <c r="H1855" s="4" t="str">
        <f t="array" ref="H1855">IF(ROWS(L$20:L1855)&gt;$F$6,"",INDEX(B$2:B$10000,SMALL(IF(ISNUMBER(MATCH($B$2:$B$10000,$E$6:$E$22,0)),ROW($C$2:$C$10000)-ROW($C$2)+1),ROWS(L$20:L1855))))</f>
        <v/>
      </c>
      <c r="I1855" s="4" t="str">
        <f t="array" ref="I1855">IF(ROWS(M$20:M1855)&gt;$F$6,"",INDEX(C$2:C$10000,SMALL(IF(ISNUMBER(MATCH($B$2:$B$10000,$E$6:$E$22,0)),ROW($C$2:$C$10000)-ROW($C$2)+1),ROWS(M$20:M1855))))</f>
        <v/>
      </c>
      <c r="K1855" s="7" t="str">
        <f t="array" ref="K1855">IF(ROWS(K$20:K1855)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1855))))</f>
        <v/>
      </c>
      <c r="L1855" s="4" t="str">
        <f t="array" ref="L1855">IF(ROWS(L$20:L1855)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1855))))</f>
        <v/>
      </c>
      <c r="M1855" s="4" t="str">
        <f t="array" ref="M1855">IF(ROWS(M$20:M1855)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1855))))</f>
        <v/>
      </c>
    </row>
    <row r="1856" spans="1:13" x14ac:dyDescent="0.25">
      <c r="A1856" s="3">
        <v>41928</v>
      </c>
      <c r="B1856" s="2" t="s">
        <v>5</v>
      </c>
      <c r="C1856" s="2">
        <v>43</v>
      </c>
      <c r="G1856" s="7" t="str">
        <f t="array" ref="G1856">IF(ROWS(K$20:K1856)&gt;$F$6,"",INDEX(A$2:A$10000,SMALL(IF(ISNUMBER(MATCH($B$2:$B$10000,$E$6:$E$22,0)),ROW($C$2:$C$10000)-ROW($C$2)+1),ROWS(K$20:K1856))))</f>
        <v/>
      </c>
      <c r="H1856" s="4" t="str">
        <f t="array" ref="H1856">IF(ROWS(L$20:L1856)&gt;$F$6,"",INDEX(B$2:B$10000,SMALL(IF(ISNUMBER(MATCH($B$2:$B$10000,$E$6:$E$22,0)),ROW($C$2:$C$10000)-ROW($C$2)+1),ROWS(L$20:L1856))))</f>
        <v/>
      </c>
      <c r="I1856" s="4" t="str">
        <f t="array" ref="I1856">IF(ROWS(M$20:M1856)&gt;$F$6,"",INDEX(C$2:C$10000,SMALL(IF(ISNUMBER(MATCH($B$2:$B$10000,$E$6:$E$22,0)),ROW($C$2:$C$10000)-ROW($C$2)+1),ROWS(M$20:M1856))))</f>
        <v/>
      </c>
      <c r="K1856" s="7" t="str">
        <f t="array" ref="K1856">IF(ROWS(K$20:K1856)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1856))))</f>
        <v/>
      </c>
      <c r="L1856" s="4" t="str">
        <f t="array" ref="L1856">IF(ROWS(L$20:L1856)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1856))))</f>
        <v/>
      </c>
      <c r="M1856" s="4" t="str">
        <f t="array" ref="M1856">IF(ROWS(M$20:M1856)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1856))))</f>
        <v/>
      </c>
    </row>
    <row r="1857" spans="1:13" x14ac:dyDescent="0.25">
      <c r="A1857" s="3">
        <v>41892</v>
      </c>
      <c r="B1857" s="2" t="s">
        <v>48</v>
      </c>
      <c r="C1857" s="2">
        <v>11</v>
      </c>
      <c r="G1857" s="7" t="str">
        <f t="array" ref="G1857">IF(ROWS(K$20:K1857)&gt;$F$6,"",INDEX(A$2:A$10000,SMALL(IF(ISNUMBER(MATCH($B$2:$B$10000,$E$6:$E$22,0)),ROW($C$2:$C$10000)-ROW($C$2)+1),ROWS(K$20:K1857))))</f>
        <v/>
      </c>
      <c r="H1857" s="4" t="str">
        <f t="array" ref="H1857">IF(ROWS(L$20:L1857)&gt;$F$6,"",INDEX(B$2:B$10000,SMALL(IF(ISNUMBER(MATCH($B$2:$B$10000,$E$6:$E$22,0)),ROW($C$2:$C$10000)-ROW($C$2)+1),ROWS(L$20:L1857))))</f>
        <v/>
      </c>
      <c r="I1857" s="4" t="str">
        <f t="array" ref="I1857">IF(ROWS(M$20:M1857)&gt;$F$6,"",INDEX(C$2:C$10000,SMALL(IF(ISNUMBER(MATCH($B$2:$B$10000,$E$6:$E$22,0)),ROW($C$2:$C$10000)-ROW($C$2)+1),ROWS(M$20:M1857))))</f>
        <v/>
      </c>
      <c r="K1857" s="7" t="str">
        <f t="array" ref="K1857">IF(ROWS(K$20:K1857)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1857))))</f>
        <v/>
      </c>
      <c r="L1857" s="4" t="str">
        <f t="array" ref="L1857">IF(ROWS(L$20:L1857)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1857))))</f>
        <v/>
      </c>
      <c r="M1857" s="4" t="str">
        <f t="array" ref="M1857">IF(ROWS(M$20:M1857)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1857))))</f>
        <v/>
      </c>
    </row>
    <row r="1858" spans="1:13" x14ac:dyDescent="0.25">
      <c r="A1858" s="3">
        <v>41801</v>
      </c>
      <c r="B1858" s="2" t="s">
        <v>5</v>
      </c>
      <c r="C1858" s="2">
        <v>2</v>
      </c>
      <c r="G1858" s="7" t="str">
        <f t="array" ref="G1858">IF(ROWS(K$20:K1858)&gt;$F$6,"",INDEX(A$2:A$10000,SMALL(IF(ISNUMBER(MATCH($B$2:$B$10000,$E$6:$E$22,0)),ROW($C$2:$C$10000)-ROW($C$2)+1),ROWS(K$20:K1858))))</f>
        <v/>
      </c>
      <c r="H1858" s="4" t="str">
        <f t="array" ref="H1858">IF(ROWS(L$20:L1858)&gt;$F$6,"",INDEX(B$2:B$10000,SMALL(IF(ISNUMBER(MATCH($B$2:$B$10000,$E$6:$E$22,0)),ROW($C$2:$C$10000)-ROW($C$2)+1),ROWS(L$20:L1858))))</f>
        <v/>
      </c>
      <c r="I1858" s="4" t="str">
        <f t="array" ref="I1858">IF(ROWS(M$20:M1858)&gt;$F$6,"",INDEX(C$2:C$10000,SMALL(IF(ISNUMBER(MATCH($B$2:$B$10000,$E$6:$E$22,0)),ROW($C$2:$C$10000)-ROW($C$2)+1),ROWS(M$20:M1858))))</f>
        <v/>
      </c>
      <c r="K1858" s="7" t="str">
        <f t="array" ref="K1858">IF(ROWS(K$20:K1858)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1858))))</f>
        <v/>
      </c>
      <c r="L1858" s="4" t="str">
        <f t="array" ref="L1858">IF(ROWS(L$20:L1858)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1858))))</f>
        <v/>
      </c>
      <c r="M1858" s="4" t="str">
        <f t="array" ref="M1858">IF(ROWS(M$20:M1858)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1858))))</f>
        <v/>
      </c>
    </row>
    <row r="1859" spans="1:13" x14ac:dyDescent="0.25">
      <c r="A1859" s="3">
        <v>41568</v>
      </c>
      <c r="B1859" s="2" t="s">
        <v>38</v>
      </c>
      <c r="C1859" s="2">
        <v>15</v>
      </c>
      <c r="G1859" s="7" t="str">
        <f t="array" ref="G1859">IF(ROWS(K$20:K1859)&gt;$F$6,"",INDEX(A$2:A$10000,SMALL(IF(ISNUMBER(MATCH($B$2:$B$10000,$E$6:$E$22,0)),ROW($C$2:$C$10000)-ROW($C$2)+1),ROWS(K$20:K1859))))</f>
        <v/>
      </c>
      <c r="H1859" s="4" t="str">
        <f t="array" ref="H1859">IF(ROWS(L$20:L1859)&gt;$F$6,"",INDEX(B$2:B$10000,SMALL(IF(ISNUMBER(MATCH($B$2:$B$10000,$E$6:$E$22,0)),ROW($C$2:$C$10000)-ROW($C$2)+1),ROWS(L$20:L1859))))</f>
        <v/>
      </c>
      <c r="I1859" s="4" t="str">
        <f t="array" ref="I1859">IF(ROWS(M$20:M1859)&gt;$F$6,"",INDEX(C$2:C$10000,SMALL(IF(ISNUMBER(MATCH($B$2:$B$10000,$E$6:$E$22,0)),ROW($C$2:$C$10000)-ROW($C$2)+1),ROWS(M$20:M1859))))</f>
        <v/>
      </c>
      <c r="K1859" s="7" t="str">
        <f t="array" ref="K1859">IF(ROWS(K$20:K1859)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1859))))</f>
        <v/>
      </c>
      <c r="L1859" s="4" t="str">
        <f t="array" ref="L1859">IF(ROWS(L$20:L1859)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1859))))</f>
        <v/>
      </c>
      <c r="M1859" s="4" t="str">
        <f t="array" ref="M1859">IF(ROWS(M$20:M1859)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1859))))</f>
        <v/>
      </c>
    </row>
    <row r="1860" spans="1:13" x14ac:dyDescent="0.25">
      <c r="A1860" s="3">
        <v>41942</v>
      </c>
      <c r="B1860" s="2" t="s">
        <v>49</v>
      </c>
      <c r="C1860" s="2">
        <v>50</v>
      </c>
      <c r="G1860" s="7" t="str">
        <f t="array" ref="G1860">IF(ROWS(K$20:K1860)&gt;$F$6,"",INDEX(A$2:A$10000,SMALL(IF(ISNUMBER(MATCH($B$2:$B$10000,$E$6:$E$22,0)),ROW($C$2:$C$10000)-ROW($C$2)+1),ROWS(K$20:K1860))))</f>
        <v/>
      </c>
      <c r="H1860" s="4" t="str">
        <f t="array" ref="H1860">IF(ROWS(L$20:L1860)&gt;$F$6,"",INDEX(B$2:B$10000,SMALL(IF(ISNUMBER(MATCH($B$2:$B$10000,$E$6:$E$22,0)),ROW($C$2:$C$10000)-ROW($C$2)+1),ROWS(L$20:L1860))))</f>
        <v/>
      </c>
      <c r="I1860" s="4" t="str">
        <f t="array" ref="I1860">IF(ROWS(M$20:M1860)&gt;$F$6,"",INDEX(C$2:C$10000,SMALL(IF(ISNUMBER(MATCH($B$2:$B$10000,$E$6:$E$22,0)),ROW($C$2:$C$10000)-ROW($C$2)+1),ROWS(M$20:M1860))))</f>
        <v/>
      </c>
      <c r="K1860" s="7" t="str">
        <f t="array" ref="K1860">IF(ROWS(K$20:K1860)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1860))))</f>
        <v/>
      </c>
      <c r="L1860" s="4" t="str">
        <f t="array" ref="L1860">IF(ROWS(L$20:L1860)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1860))))</f>
        <v/>
      </c>
      <c r="M1860" s="4" t="str">
        <f t="array" ref="M1860">IF(ROWS(M$20:M1860)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1860))))</f>
        <v/>
      </c>
    </row>
    <row r="1861" spans="1:13" x14ac:dyDescent="0.25">
      <c r="A1861" s="3">
        <v>41926</v>
      </c>
      <c r="B1861" s="2" t="s">
        <v>41</v>
      </c>
      <c r="C1861" s="2">
        <v>40</v>
      </c>
      <c r="G1861" s="7" t="str">
        <f t="array" ref="G1861">IF(ROWS(K$20:K1861)&gt;$F$6,"",INDEX(A$2:A$10000,SMALL(IF(ISNUMBER(MATCH($B$2:$B$10000,$E$6:$E$22,0)),ROW($C$2:$C$10000)-ROW($C$2)+1),ROWS(K$20:K1861))))</f>
        <v/>
      </c>
      <c r="H1861" s="4" t="str">
        <f t="array" ref="H1861">IF(ROWS(L$20:L1861)&gt;$F$6,"",INDEX(B$2:B$10000,SMALL(IF(ISNUMBER(MATCH($B$2:$B$10000,$E$6:$E$22,0)),ROW($C$2:$C$10000)-ROW($C$2)+1),ROWS(L$20:L1861))))</f>
        <v/>
      </c>
      <c r="I1861" s="4" t="str">
        <f t="array" ref="I1861">IF(ROWS(M$20:M1861)&gt;$F$6,"",INDEX(C$2:C$10000,SMALL(IF(ISNUMBER(MATCH($B$2:$B$10000,$E$6:$E$22,0)),ROW($C$2:$C$10000)-ROW($C$2)+1),ROWS(M$20:M1861))))</f>
        <v/>
      </c>
      <c r="K1861" s="7" t="str">
        <f t="array" ref="K1861">IF(ROWS(K$20:K1861)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1861))))</f>
        <v/>
      </c>
      <c r="L1861" s="4" t="str">
        <f t="array" ref="L1861">IF(ROWS(L$20:L1861)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1861))))</f>
        <v/>
      </c>
      <c r="M1861" s="4" t="str">
        <f t="array" ref="M1861">IF(ROWS(M$20:M1861)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1861))))</f>
        <v/>
      </c>
    </row>
    <row r="1862" spans="1:13" x14ac:dyDescent="0.25">
      <c r="A1862" s="3">
        <v>41364</v>
      </c>
      <c r="B1862" s="2" t="s">
        <v>23</v>
      </c>
      <c r="C1862" s="2">
        <v>15</v>
      </c>
      <c r="G1862" s="7" t="str">
        <f t="array" ref="G1862">IF(ROWS(K$20:K1862)&gt;$F$6,"",INDEX(A$2:A$10000,SMALL(IF(ISNUMBER(MATCH($B$2:$B$10000,$E$6:$E$22,0)),ROW($C$2:$C$10000)-ROW($C$2)+1),ROWS(K$20:K1862))))</f>
        <v/>
      </c>
      <c r="H1862" s="4" t="str">
        <f t="array" ref="H1862">IF(ROWS(L$20:L1862)&gt;$F$6,"",INDEX(B$2:B$10000,SMALL(IF(ISNUMBER(MATCH($B$2:$B$10000,$E$6:$E$22,0)),ROW($C$2:$C$10000)-ROW($C$2)+1),ROWS(L$20:L1862))))</f>
        <v/>
      </c>
      <c r="I1862" s="4" t="str">
        <f t="array" ref="I1862">IF(ROWS(M$20:M1862)&gt;$F$6,"",INDEX(C$2:C$10000,SMALL(IF(ISNUMBER(MATCH($B$2:$B$10000,$E$6:$E$22,0)),ROW($C$2:$C$10000)-ROW($C$2)+1),ROWS(M$20:M1862))))</f>
        <v/>
      </c>
      <c r="K1862" s="7" t="str">
        <f t="array" ref="K1862">IF(ROWS(K$20:K1862)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1862))))</f>
        <v/>
      </c>
      <c r="L1862" s="4" t="str">
        <f t="array" ref="L1862">IF(ROWS(L$20:L1862)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1862))))</f>
        <v/>
      </c>
      <c r="M1862" s="4" t="str">
        <f t="array" ref="M1862">IF(ROWS(M$20:M1862)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1862))))</f>
        <v/>
      </c>
    </row>
    <row r="1863" spans="1:13" x14ac:dyDescent="0.25">
      <c r="A1863" s="3">
        <v>41343</v>
      </c>
      <c r="B1863" s="2" t="s">
        <v>9</v>
      </c>
      <c r="C1863" s="2">
        <v>11</v>
      </c>
      <c r="G1863" s="7" t="str">
        <f t="array" ref="G1863">IF(ROWS(K$20:K1863)&gt;$F$6,"",INDEX(A$2:A$10000,SMALL(IF(ISNUMBER(MATCH($B$2:$B$10000,$E$6:$E$22,0)),ROW($C$2:$C$10000)-ROW($C$2)+1),ROWS(K$20:K1863))))</f>
        <v/>
      </c>
      <c r="H1863" s="4" t="str">
        <f t="array" ref="H1863">IF(ROWS(L$20:L1863)&gt;$F$6,"",INDEX(B$2:B$10000,SMALL(IF(ISNUMBER(MATCH($B$2:$B$10000,$E$6:$E$22,0)),ROW($C$2:$C$10000)-ROW($C$2)+1),ROWS(L$20:L1863))))</f>
        <v/>
      </c>
      <c r="I1863" s="4" t="str">
        <f t="array" ref="I1863">IF(ROWS(M$20:M1863)&gt;$F$6,"",INDEX(C$2:C$10000,SMALL(IF(ISNUMBER(MATCH($B$2:$B$10000,$E$6:$E$22,0)),ROW($C$2:$C$10000)-ROW($C$2)+1),ROWS(M$20:M1863))))</f>
        <v/>
      </c>
      <c r="K1863" s="7" t="str">
        <f t="array" ref="K1863">IF(ROWS(K$20:K1863)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1863))))</f>
        <v/>
      </c>
      <c r="L1863" s="4" t="str">
        <f t="array" ref="L1863">IF(ROWS(L$20:L1863)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1863))))</f>
        <v/>
      </c>
      <c r="M1863" s="4" t="str">
        <f t="array" ref="M1863">IF(ROWS(M$20:M1863)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1863))))</f>
        <v/>
      </c>
    </row>
    <row r="1864" spans="1:13" x14ac:dyDescent="0.25">
      <c r="A1864" s="3">
        <v>41940</v>
      </c>
      <c r="B1864" s="2" t="s">
        <v>37</v>
      </c>
      <c r="C1864" s="2">
        <v>37</v>
      </c>
      <c r="G1864" s="7" t="str">
        <f t="array" ref="G1864">IF(ROWS(K$20:K1864)&gt;$F$6,"",INDEX(A$2:A$10000,SMALL(IF(ISNUMBER(MATCH($B$2:$B$10000,$E$6:$E$22,0)),ROW($C$2:$C$10000)-ROW($C$2)+1),ROWS(K$20:K1864))))</f>
        <v/>
      </c>
      <c r="H1864" s="4" t="str">
        <f t="array" ref="H1864">IF(ROWS(L$20:L1864)&gt;$F$6,"",INDEX(B$2:B$10000,SMALL(IF(ISNUMBER(MATCH($B$2:$B$10000,$E$6:$E$22,0)),ROW($C$2:$C$10000)-ROW($C$2)+1),ROWS(L$20:L1864))))</f>
        <v/>
      </c>
      <c r="I1864" s="4" t="str">
        <f t="array" ref="I1864">IF(ROWS(M$20:M1864)&gt;$F$6,"",INDEX(C$2:C$10000,SMALL(IF(ISNUMBER(MATCH($B$2:$B$10000,$E$6:$E$22,0)),ROW($C$2:$C$10000)-ROW($C$2)+1),ROWS(M$20:M1864))))</f>
        <v/>
      </c>
      <c r="K1864" s="7" t="str">
        <f t="array" ref="K1864">IF(ROWS(K$20:K1864)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1864))))</f>
        <v/>
      </c>
      <c r="L1864" s="4" t="str">
        <f t="array" ref="L1864">IF(ROWS(L$20:L1864)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1864))))</f>
        <v/>
      </c>
      <c r="M1864" s="4" t="str">
        <f t="array" ref="M1864">IF(ROWS(M$20:M1864)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1864))))</f>
        <v/>
      </c>
    </row>
    <row r="1865" spans="1:13" x14ac:dyDescent="0.25">
      <c r="A1865" s="3">
        <v>41485</v>
      </c>
      <c r="B1865" s="2" t="s">
        <v>4</v>
      </c>
      <c r="C1865" s="2">
        <v>31</v>
      </c>
      <c r="G1865" s="7" t="str">
        <f t="array" ref="G1865">IF(ROWS(K$20:K1865)&gt;$F$6,"",INDEX(A$2:A$10000,SMALL(IF(ISNUMBER(MATCH($B$2:$B$10000,$E$6:$E$22,0)),ROW($C$2:$C$10000)-ROW($C$2)+1),ROWS(K$20:K1865))))</f>
        <v/>
      </c>
      <c r="H1865" s="4" t="str">
        <f t="array" ref="H1865">IF(ROWS(L$20:L1865)&gt;$F$6,"",INDEX(B$2:B$10000,SMALL(IF(ISNUMBER(MATCH($B$2:$B$10000,$E$6:$E$22,0)),ROW($C$2:$C$10000)-ROW($C$2)+1),ROWS(L$20:L1865))))</f>
        <v/>
      </c>
      <c r="I1865" s="4" t="str">
        <f t="array" ref="I1865">IF(ROWS(M$20:M1865)&gt;$F$6,"",INDEX(C$2:C$10000,SMALL(IF(ISNUMBER(MATCH($B$2:$B$10000,$E$6:$E$22,0)),ROW($C$2:$C$10000)-ROW($C$2)+1),ROWS(M$20:M1865))))</f>
        <v/>
      </c>
      <c r="K1865" s="7" t="str">
        <f t="array" ref="K1865">IF(ROWS(K$20:K1865)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1865))))</f>
        <v/>
      </c>
      <c r="L1865" s="4" t="str">
        <f t="array" ref="L1865">IF(ROWS(L$20:L1865)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1865))))</f>
        <v/>
      </c>
      <c r="M1865" s="4" t="str">
        <f t="array" ref="M1865">IF(ROWS(M$20:M1865)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1865))))</f>
        <v/>
      </c>
    </row>
    <row r="1866" spans="1:13" x14ac:dyDescent="0.25">
      <c r="A1866" s="3">
        <v>42002</v>
      </c>
      <c r="B1866" s="2" t="s">
        <v>9</v>
      </c>
      <c r="C1866" s="2">
        <v>13</v>
      </c>
      <c r="G1866" s="7" t="str">
        <f t="array" ref="G1866">IF(ROWS(K$20:K1866)&gt;$F$6,"",INDEX(A$2:A$10000,SMALL(IF(ISNUMBER(MATCH($B$2:$B$10000,$E$6:$E$22,0)),ROW($C$2:$C$10000)-ROW($C$2)+1),ROWS(K$20:K1866))))</f>
        <v/>
      </c>
      <c r="H1866" s="4" t="str">
        <f t="array" ref="H1866">IF(ROWS(L$20:L1866)&gt;$F$6,"",INDEX(B$2:B$10000,SMALL(IF(ISNUMBER(MATCH($B$2:$B$10000,$E$6:$E$22,0)),ROW($C$2:$C$10000)-ROW($C$2)+1),ROWS(L$20:L1866))))</f>
        <v/>
      </c>
      <c r="I1866" s="4" t="str">
        <f t="array" ref="I1866">IF(ROWS(M$20:M1866)&gt;$F$6,"",INDEX(C$2:C$10000,SMALL(IF(ISNUMBER(MATCH($B$2:$B$10000,$E$6:$E$22,0)),ROW($C$2:$C$10000)-ROW($C$2)+1),ROWS(M$20:M1866))))</f>
        <v/>
      </c>
      <c r="K1866" s="7" t="str">
        <f t="array" ref="K1866">IF(ROWS(K$20:K1866)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1866))))</f>
        <v/>
      </c>
      <c r="L1866" s="4" t="str">
        <f t="array" ref="L1866">IF(ROWS(L$20:L1866)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1866))))</f>
        <v/>
      </c>
      <c r="M1866" s="4" t="str">
        <f t="array" ref="M1866">IF(ROWS(M$20:M1866)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1866))))</f>
        <v/>
      </c>
    </row>
    <row r="1867" spans="1:13" x14ac:dyDescent="0.25">
      <c r="A1867" s="3">
        <v>41722</v>
      </c>
      <c r="B1867" s="2" t="s">
        <v>13</v>
      </c>
      <c r="C1867" s="2">
        <v>19</v>
      </c>
      <c r="G1867" s="7" t="str">
        <f t="array" ref="G1867">IF(ROWS(K$20:K1867)&gt;$F$6,"",INDEX(A$2:A$10000,SMALL(IF(ISNUMBER(MATCH($B$2:$B$10000,$E$6:$E$22,0)),ROW($C$2:$C$10000)-ROW($C$2)+1),ROWS(K$20:K1867))))</f>
        <v/>
      </c>
      <c r="H1867" s="4" t="str">
        <f t="array" ref="H1867">IF(ROWS(L$20:L1867)&gt;$F$6,"",INDEX(B$2:B$10000,SMALL(IF(ISNUMBER(MATCH($B$2:$B$10000,$E$6:$E$22,0)),ROW($C$2:$C$10000)-ROW($C$2)+1),ROWS(L$20:L1867))))</f>
        <v/>
      </c>
      <c r="I1867" s="4" t="str">
        <f t="array" ref="I1867">IF(ROWS(M$20:M1867)&gt;$F$6,"",INDEX(C$2:C$10000,SMALL(IF(ISNUMBER(MATCH($B$2:$B$10000,$E$6:$E$22,0)),ROW($C$2:$C$10000)-ROW($C$2)+1),ROWS(M$20:M1867))))</f>
        <v/>
      </c>
      <c r="K1867" s="7" t="str">
        <f t="array" ref="K1867">IF(ROWS(K$20:K1867)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1867))))</f>
        <v/>
      </c>
      <c r="L1867" s="4" t="str">
        <f t="array" ref="L1867">IF(ROWS(L$20:L1867)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1867))))</f>
        <v/>
      </c>
      <c r="M1867" s="4" t="str">
        <f t="array" ref="M1867">IF(ROWS(M$20:M1867)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1867))))</f>
        <v/>
      </c>
    </row>
    <row r="1868" spans="1:13" x14ac:dyDescent="0.25">
      <c r="A1868" s="3">
        <v>41581</v>
      </c>
      <c r="B1868" s="2" t="s">
        <v>42</v>
      </c>
      <c r="C1868" s="2">
        <v>25</v>
      </c>
      <c r="G1868" s="7" t="str">
        <f t="array" ref="G1868">IF(ROWS(K$20:K1868)&gt;$F$6,"",INDEX(A$2:A$10000,SMALL(IF(ISNUMBER(MATCH($B$2:$B$10000,$E$6:$E$22,0)),ROW($C$2:$C$10000)-ROW($C$2)+1),ROWS(K$20:K1868))))</f>
        <v/>
      </c>
      <c r="H1868" s="4" t="str">
        <f t="array" ref="H1868">IF(ROWS(L$20:L1868)&gt;$F$6,"",INDEX(B$2:B$10000,SMALL(IF(ISNUMBER(MATCH($B$2:$B$10000,$E$6:$E$22,0)),ROW($C$2:$C$10000)-ROW($C$2)+1),ROWS(L$20:L1868))))</f>
        <v/>
      </c>
      <c r="I1868" s="4" t="str">
        <f t="array" ref="I1868">IF(ROWS(M$20:M1868)&gt;$F$6,"",INDEX(C$2:C$10000,SMALL(IF(ISNUMBER(MATCH($B$2:$B$10000,$E$6:$E$22,0)),ROW($C$2:$C$10000)-ROW($C$2)+1),ROWS(M$20:M1868))))</f>
        <v/>
      </c>
      <c r="K1868" s="7" t="str">
        <f t="array" ref="K1868">IF(ROWS(K$20:K1868)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1868))))</f>
        <v/>
      </c>
      <c r="L1868" s="4" t="str">
        <f t="array" ref="L1868">IF(ROWS(L$20:L1868)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1868))))</f>
        <v/>
      </c>
      <c r="M1868" s="4" t="str">
        <f t="array" ref="M1868">IF(ROWS(M$20:M1868)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1868))))</f>
        <v/>
      </c>
    </row>
    <row r="1869" spans="1:13" x14ac:dyDescent="0.25">
      <c r="A1869" s="3">
        <v>41645</v>
      </c>
      <c r="B1869" s="2" t="s">
        <v>20</v>
      </c>
      <c r="C1869" s="2">
        <v>42</v>
      </c>
      <c r="G1869" s="7" t="str">
        <f t="array" ref="G1869">IF(ROWS(K$20:K1869)&gt;$F$6,"",INDEX(A$2:A$10000,SMALL(IF(ISNUMBER(MATCH($B$2:$B$10000,$E$6:$E$22,0)),ROW($C$2:$C$10000)-ROW($C$2)+1),ROWS(K$20:K1869))))</f>
        <v/>
      </c>
      <c r="H1869" s="4" t="str">
        <f t="array" ref="H1869">IF(ROWS(L$20:L1869)&gt;$F$6,"",INDEX(B$2:B$10000,SMALL(IF(ISNUMBER(MATCH($B$2:$B$10000,$E$6:$E$22,0)),ROW($C$2:$C$10000)-ROW($C$2)+1),ROWS(L$20:L1869))))</f>
        <v/>
      </c>
      <c r="I1869" s="4" t="str">
        <f t="array" ref="I1869">IF(ROWS(M$20:M1869)&gt;$F$6,"",INDEX(C$2:C$10000,SMALL(IF(ISNUMBER(MATCH($B$2:$B$10000,$E$6:$E$22,0)),ROW($C$2:$C$10000)-ROW($C$2)+1),ROWS(M$20:M1869))))</f>
        <v/>
      </c>
      <c r="K1869" s="7" t="str">
        <f t="array" ref="K1869">IF(ROWS(K$20:K1869)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1869))))</f>
        <v/>
      </c>
      <c r="L1869" s="4" t="str">
        <f t="array" ref="L1869">IF(ROWS(L$20:L1869)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1869))))</f>
        <v/>
      </c>
      <c r="M1869" s="4" t="str">
        <f t="array" ref="M1869">IF(ROWS(M$20:M1869)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1869))))</f>
        <v/>
      </c>
    </row>
    <row r="1870" spans="1:13" x14ac:dyDescent="0.25">
      <c r="A1870" s="3">
        <v>41481</v>
      </c>
      <c r="B1870" s="2" t="s">
        <v>24</v>
      </c>
      <c r="C1870" s="2">
        <v>7</v>
      </c>
      <c r="G1870" s="7" t="str">
        <f t="array" ref="G1870">IF(ROWS(K$20:K1870)&gt;$F$6,"",INDEX(A$2:A$10000,SMALL(IF(ISNUMBER(MATCH($B$2:$B$10000,$E$6:$E$22,0)),ROW($C$2:$C$10000)-ROW($C$2)+1),ROWS(K$20:K1870))))</f>
        <v/>
      </c>
      <c r="H1870" s="4" t="str">
        <f t="array" ref="H1870">IF(ROWS(L$20:L1870)&gt;$F$6,"",INDEX(B$2:B$10000,SMALL(IF(ISNUMBER(MATCH($B$2:$B$10000,$E$6:$E$22,0)),ROW($C$2:$C$10000)-ROW($C$2)+1),ROWS(L$20:L1870))))</f>
        <v/>
      </c>
      <c r="I1870" s="4" t="str">
        <f t="array" ref="I1870">IF(ROWS(M$20:M1870)&gt;$F$6,"",INDEX(C$2:C$10000,SMALL(IF(ISNUMBER(MATCH($B$2:$B$10000,$E$6:$E$22,0)),ROW($C$2:$C$10000)-ROW($C$2)+1),ROWS(M$20:M1870))))</f>
        <v/>
      </c>
      <c r="K1870" s="7" t="str">
        <f t="array" ref="K1870">IF(ROWS(K$20:K1870)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1870))))</f>
        <v/>
      </c>
      <c r="L1870" s="4" t="str">
        <f t="array" ref="L1870">IF(ROWS(L$20:L1870)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1870))))</f>
        <v/>
      </c>
      <c r="M1870" s="4" t="str">
        <f t="array" ref="M1870">IF(ROWS(M$20:M1870)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1870))))</f>
        <v/>
      </c>
    </row>
    <row r="1871" spans="1:13" x14ac:dyDescent="0.25">
      <c r="A1871" s="3">
        <v>41277</v>
      </c>
      <c r="B1871" s="2" t="s">
        <v>15</v>
      </c>
      <c r="C1871" s="2">
        <v>27</v>
      </c>
      <c r="G1871" s="7" t="str">
        <f t="array" ref="G1871">IF(ROWS(K$20:K1871)&gt;$F$6,"",INDEX(A$2:A$10000,SMALL(IF(ISNUMBER(MATCH($B$2:$B$10000,$E$6:$E$22,0)),ROW($C$2:$C$10000)-ROW($C$2)+1),ROWS(K$20:K1871))))</f>
        <v/>
      </c>
      <c r="H1871" s="4" t="str">
        <f t="array" ref="H1871">IF(ROWS(L$20:L1871)&gt;$F$6,"",INDEX(B$2:B$10000,SMALL(IF(ISNUMBER(MATCH($B$2:$B$10000,$E$6:$E$22,0)),ROW($C$2:$C$10000)-ROW($C$2)+1),ROWS(L$20:L1871))))</f>
        <v/>
      </c>
      <c r="I1871" s="4" t="str">
        <f t="array" ref="I1871">IF(ROWS(M$20:M1871)&gt;$F$6,"",INDEX(C$2:C$10000,SMALL(IF(ISNUMBER(MATCH($B$2:$B$10000,$E$6:$E$22,0)),ROW($C$2:$C$10000)-ROW($C$2)+1),ROWS(M$20:M1871))))</f>
        <v/>
      </c>
      <c r="K1871" s="7" t="str">
        <f t="array" ref="K1871">IF(ROWS(K$20:K1871)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1871))))</f>
        <v/>
      </c>
      <c r="L1871" s="4" t="str">
        <f t="array" ref="L1871">IF(ROWS(L$20:L1871)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1871))))</f>
        <v/>
      </c>
      <c r="M1871" s="4" t="str">
        <f t="array" ref="M1871">IF(ROWS(M$20:M1871)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1871))))</f>
        <v/>
      </c>
    </row>
    <row r="1872" spans="1:13" x14ac:dyDescent="0.25">
      <c r="A1872" s="3">
        <v>41675</v>
      </c>
      <c r="B1872" s="2" t="s">
        <v>50</v>
      </c>
      <c r="C1872" s="2">
        <v>18</v>
      </c>
      <c r="G1872" s="7" t="str">
        <f t="array" ref="G1872">IF(ROWS(K$20:K1872)&gt;$F$6,"",INDEX(A$2:A$10000,SMALL(IF(ISNUMBER(MATCH($B$2:$B$10000,$E$6:$E$22,0)),ROW($C$2:$C$10000)-ROW($C$2)+1),ROWS(K$20:K1872))))</f>
        <v/>
      </c>
      <c r="H1872" s="4" t="str">
        <f t="array" ref="H1872">IF(ROWS(L$20:L1872)&gt;$F$6,"",INDEX(B$2:B$10000,SMALL(IF(ISNUMBER(MATCH($B$2:$B$10000,$E$6:$E$22,0)),ROW($C$2:$C$10000)-ROW($C$2)+1),ROWS(L$20:L1872))))</f>
        <v/>
      </c>
      <c r="I1872" s="4" t="str">
        <f t="array" ref="I1872">IF(ROWS(M$20:M1872)&gt;$F$6,"",INDEX(C$2:C$10000,SMALL(IF(ISNUMBER(MATCH($B$2:$B$10000,$E$6:$E$22,0)),ROW($C$2:$C$10000)-ROW($C$2)+1),ROWS(M$20:M1872))))</f>
        <v/>
      </c>
      <c r="K1872" s="7" t="str">
        <f t="array" ref="K1872">IF(ROWS(K$20:K1872)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1872))))</f>
        <v/>
      </c>
      <c r="L1872" s="4" t="str">
        <f t="array" ref="L1872">IF(ROWS(L$20:L1872)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1872))))</f>
        <v/>
      </c>
      <c r="M1872" s="4" t="str">
        <f t="array" ref="M1872">IF(ROWS(M$20:M1872)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1872))))</f>
        <v/>
      </c>
    </row>
    <row r="1873" spans="1:13" x14ac:dyDescent="0.25">
      <c r="A1873" s="3">
        <v>41448</v>
      </c>
      <c r="B1873" s="2" t="s">
        <v>20</v>
      </c>
      <c r="C1873" s="2">
        <v>21</v>
      </c>
      <c r="G1873" s="7" t="str">
        <f t="array" ref="G1873">IF(ROWS(K$20:K1873)&gt;$F$6,"",INDEX(A$2:A$10000,SMALL(IF(ISNUMBER(MATCH($B$2:$B$10000,$E$6:$E$22,0)),ROW($C$2:$C$10000)-ROW($C$2)+1),ROWS(K$20:K1873))))</f>
        <v/>
      </c>
      <c r="H1873" s="4" t="str">
        <f t="array" ref="H1873">IF(ROWS(L$20:L1873)&gt;$F$6,"",INDEX(B$2:B$10000,SMALL(IF(ISNUMBER(MATCH($B$2:$B$10000,$E$6:$E$22,0)),ROW($C$2:$C$10000)-ROW($C$2)+1),ROWS(L$20:L1873))))</f>
        <v/>
      </c>
      <c r="I1873" s="4" t="str">
        <f t="array" ref="I1873">IF(ROWS(M$20:M1873)&gt;$F$6,"",INDEX(C$2:C$10000,SMALL(IF(ISNUMBER(MATCH($B$2:$B$10000,$E$6:$E$22,0)),ROW($C$2:$C$10000)-ROW($C$2)+1),ROWS(M$20:M1873))))</f>
        <v/>
      </c>
      <c r="K1873" s="7" t="str">
        <f t="array" ref="K1873">IF(ROWS(K$20:K1873)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1873))))</f>
        <v/>
      </c>
      <c r="L1873" s="4" t="str">
        <f t="array" ref="L1873">IF(ROWS(L$20:L1873)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1873))))</f>
        <v/>
      </c>
      <c r="M1873" s="4" t="str">
        <f t="array" ref="M1873">IF(ROWS(M$20:M1873)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1873))))</f>
        <v/>
      </c>
    </row>
    <row r="1874" spans="1:13" x14ac:dyDescent="0.25">
      <c r="A1874" s="3">
        <v>41497</v>
      </c>
      <c r="B1874" s="2" t="s">
        <v>51</v>
      </c>
      <c r="C1874" s="2">
        <v>20</v>
      </c>
      <c r="G1874" s="7" t="str">
        <f t="array" ref="G1874">IF(ROWS(K$20:K1874)&gt;$F$6,"",INDEX(A$2:A$10000,SMALL(IF(ISNUMBER(MATCH($B$2:$B$10000,$E$6:$E$22,0)),ROW($C$2:$C$10000)-ROW($C$2)+1),ROWS(K$20:K1874))))</f>
        <v/>
      </c>
      <c r="H1874" s="4" t="str">
        <f t="array" ref="H1874">IF(ROWS(L$20:L1874)&gt;$F$6,"",INDEX(B$2:B$10000,SMALL(IF(ISNUMBER(MATCH($B$2:$B$10000,$E$6:$E$22,0)),ROW($C$2:$C$10000)-ROW($C$2)+1),ROWS(L$20:L1874))))</f>
        <v/>
      </c>
      <c r="I1874" s="4" t="str">
        <f t="array" ref="I1874">IF(ROWS(M$20:M1874)&gt;$F$6,"",INDEX(C$2:C$10000,SMALL(IF(ISNUMBER(MATCH($B$2:$B$10000,$E$6:$E$22,0)),ROW($C$2:$C$10000)-ROW($C$2)+1),ROWS(M$20:M1874))))</f>
        <v/>
      </c>
      <c r="K1874" s="7" t="str">
        <f t="array" ref="K1874">IF(ROWS(K$20:K1874)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1874))))</f>
        <v/>
      </c>
      <c r="L1874" s="4" t="str">
        <f t="array" ref="L1874">IF(ROWS(L$20:L1874)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1874))))</f>
        <v/>
      </c>
      <c r="M1874" s="4" t="str">
        <f t="array" ref="M1874">IF(ROWS(M$20:M1874)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1874))))</f>
        <v/>
      </c>
    </row>
    <row r="1875" spans="1:13" x14ac:dyDescent="0.25">
      <c r="A1875" s="3">
        <v>41826</v>
      </c>
      <c r="B1875" s="2" t="s">
        <v>6</v>
      </c>
      <c r="C1875" s="2">
        <v>5</v>
      </c>
      <c r="G1875" s="7" t="str">
        <f t="array" ref="G1875">IF(ROWS(K$20:K1875)&gt;$F$6,"",INDEX(A$2:A$10000,SMALL(IF(ISNUMBER(MATCH($B$2:$B$10000,$E$6:$E$22,0)),ROW($C$2:$C$10000)-ROW($C$2)+1),ROWS(K$20:K1875))))</f>
        <v/>
      </c>
      <c r="H1875" s="4" t="str">
        <f t="array" ref="H1875">IF(ROWS(L$20:L1875)&gt;$F$6,"",INDEX(B$2:B$10000,SMALL(IF(ISNUMBER(MATCH($B$2:$B$10000,$E$6:$E$22,0)),ROW($C$2:$C$10000)-ROW($C$2)+1),ROWS(L$20:L1875))))</f>
        <v/>
      </c>
      <c r="I1875" s="4" t="str">
        <f t="array" ref="I1875">IF(ROWS(M$20:M1875)&gt;$F$6,"",INDEX(C$2:C$10000,SMALL(IF(ISNUMBER(MATCH($B$2:$B$10000,$E$6:$E$22,0)),ROW($C$2:$C$10000)-ROW($C$2)+1),ROWS(M$20:M1875))))</f>
        <v/>
      </c>
      <c r="K1875" s="7" t="str">
        <f t="array" ref="K1875">IF(ROWS(K$20:K1875)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1875))))</f>
        <v/>
      </c>
      <c r="L1875" s="4" t="str">
        <f t="array" ref="L1875">IF(ROWS(L$20:L1875)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1875))))</f>
        <v/>
      </c>
      <c r="M1875" s="4" t="str">
        <f t="array" ref="M1875">IF(ROWS(M$20:M1875)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1875))))</f>
        <v/>
      </c>
    </row>
    <row r="1876" spans="1:13" x14ac:dyDescent="0.25">
      <c r="A1876" s="3">
        <v>41411</v>
      </c>
      <c r="B1876" s="2" t="s">
        <v>3</v>
      </c>
      <c r="C1876" s="2">
        <v>13</v>
      </c>
      <c r="G1876" s="7" t="str">
        <f t="array" ref="G1876">IF(ROWS(K$20:K1876)&gt;$F$6,"",INDEX(A$2:A$10000,SMALL(IF(ISNUMBER(MATCH($B$2:$B$10000,$E$6:$E$22,0)),ROW($C$2:$C$10000)-ROW($C$2)+1),ROWS(K$20:K1876))))</f>
        <v/>
      </c>
      <c r="H1876" s="4" t="str">
        <f t="array" ref="H1876">IF(ROWS(L$20:L1876)&gt;$F$6,"",INDEX(B$2:B$10000,SMALL(IF(ISNUMBER(MATCH($B$2:$B$10000,$E$6:$E$22,0)),ROW($C$2:$C$10000)-ROW($C$2)+1),ROWS(L$20:L1876))))</f>
        <v/>
      </c>
      <c r="I1876" s="4" t="str">
        <f t="array" ref="I1876">IF(ROWS(M$20:M1876)&gt;$F$6,"",INDEX(C$2:C$10000,SMALL(IF(ISNUMBER(MATCH($B$2:$B$10000,$E$6:$E$22,0)),ROW($C$2:$C$10000)-ROW($C$2)+1),ROWS(M$20:M1876))))</f>
        <v/>
      </c>
      <c r="K1876" s="7" t="str">
        <f t="array" ref="K1876">IF(ROWS(K$20:K1876)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1876))))</f>
        <v/>
      </c>
      <c r="L1876" s="4" t="str">
        <f t="array" ref="L1876">IF(ROWS(L$20:L1876)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1876))))</f>
        <v/>
      </c>
      <c r="M1876" s="4" t="str">
        <f t="array" ref="M1876">IF(ROWS(M$20:M1876)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1876))))</f>
        <v/>
      </c>
    </row>
    <row r="1877" spans="1:13" x14ac:dyDescent="0.25">
      <c r="A1877" s="3">
        <v>41644</v>
      </c>
      <c r="B1877" s="2" t="s">
        <v>27</v>
      </c>
      <c r="C1877" s="2">
        <v>34</v>
      </c>
      <c r="G1877" s="7" t="str">
        <f t="array" ref="G1877">IF(ROWS(K$20:K1877)&gt;$F$6,"",INDEX(A$2:A$10000,SMALL(IF(ISNUMBER(MATCH($B$2:$B$10000,$E$6:$E$22,0)),ROW($C$2:$C$10000)-ROW($C$2)+1),ROWS(K$20:K1877))))</f>
        <v/>
      </c>
      <c r="H1877" s="4" t="str">
        <f t="array" ref="H1877">IF(ROWS(L$20:L1877)&gt;$F$6,"",INDEX(B$2:B$10000,SMALL(IF(ISNUMBER(MATCH($B$2:$B$10000,$E$6:$E$22,0)),ROW($C$2:$C$10000)-ROW($C$2)+1),ROWS(L$20:L1877))))</f>
        <v/>
      </c>
      <c r="I1877" s="4" t="str">
        <f t="array" ref="I1877">IF(ROWS(M$20:M1877)&gt;$F$6,"",INDEX(C$2:C$10000,SMALL(IF(ISNUMBER(MATCH($B$2:$B$10000,$E$6:$E$22,0)),ROW($C$2:$C$10000)-ROW($C$2)+1),ROWS(M$20:M1877))))</f>
        <v/>
      </c>
      <c r="K1877" s="7" t="str">
        <f t="array" ref="K1877">IF(ROWS(K$20:K1877)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1877))))</f>
        <v/>
      </c>
      <c r="L1877" s="4" t="str">
        <f t="array" ref="L1877">IF(ROWS(L$20:L1877)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1877))))</f>
        <v/>
      </c>
      <c r="M1877" s="4" t="str">
        <f t="array" ref="M1877">IF(ROWS(M$20:M1877)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1877))))</f>
        <v/>
      </c>
    </row>
    <row r="1878" spans="1:13" x14ac:dyDescent="0.25">
      <c r="A1878" s="3">
        <v>41523</v>
      </c>
      <c r="B1878" s="2" t="s">
        <v>30</v>
      </c>
      <c r="C1878" s="2">
        <v>37</v>
      </c>
      <c r="G1878" s="7" t="str">
        <f t="array" ref="G1878">IF(ROWS(K$20:K1878)&gt;$F$6,"",INDEX(A$2:A$10000,SMALL(IF(ISNUMBER(MATCH($B$2:$B$10000,$E$6:$E$22,0)),ROW($C$2:$C$10000)-ROW($C$2)+1),ROWS(K$20:K1878))))</f>
        <v/>
      </c>
      <c r="H1878" s="4" t="str">
        <f t="array" ref="H1878">IF(ROWS(L$20:L1878)&gt;$F$6,"",INDEX(B$2:B$10000,SMALL(IF(ISNUMBER(MATCH($B$2:$B$10000,$E$6:$E$22,0)),ROW($C$2:$C$10000)-ROW($C$2)+1),ROWS(L$20:L1878))))</f>
        <v/>
      </c>
      <c r="I1878" s="4" t="str">
        <f t="array" ref="I1878">IF(ROWS(M$20:M1878)&gt;$F$6,"",INDEX(C$2:C$10000,SMALL(IF(ISNUMBER(MATCH($B$2:$B$10000,$E$6:$E$22,0)),ROW($C$2:$C$10000)-ROW($C$2)+1),ROWS(M$20:M1878))))</f>
        <v/>
      </c>
      <c r="K1878" s="7" t="str">
        <f t="array" ref="K1878">IF(ROWS(K$20:K1878)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1878))))</f>
        <v/>
      </c>
      <c r="L1878" s="4" t="str">
        <f t="array" ref="L1878">IF(ROWS(L$20:L1878)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1878))))</f>
        <v/>
      </c>
      <c r="M1878" s="4" t="str">
        <f t="array" ref="M1878">IF(ROWS(M$20:M1878)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1878))))</f>
        <v/>
      </c>
    </row>
    <row r="1879" spans="1:13" x14ac:dyDescent="0.25">
      <c r="A1879" s="3">
        <v>41490</v>
      </c>
      <c r="B1879" s="2" t="s">
        <v>6</v>
      </c>
      <c r="C1879" s="2">
        <v>43</v>
      </c>
      <c r="G1879" s="7" t="str">
        <f t="array" ref="G1879">IF(ROWS(K$20:K1879)&gt;$F$6,"",INDEX(A$2:A$10000,SMALL(IF(ISNUMBER(MATCH($B$2:$B$10000,$E$6:$E$22,0)),ROW($C$2:$C$10000)-ROW($C$2)+1),ROWS(K$20:K1879))))</f>
        <v/>
      </c>
      <c r="H1879" s="4" t="str">
        <f t="array" ref="H1879">IF(ROWS(L$20:L1879)&gt;$F$6,"",INDEX(B$2:B$10000,SMALL(IF(ISNUMBER(MATCH($B$2:$B$10000,$E$6:$E$22,0)),ROW($C$2:$C$10000)-ROW($C$2)+1),ROWS(L$20:L1879))))</f>
        <v/>
      </c>
      <c r="I1879" s="4" t="str">
        <f t="array" ref="I1879">IF(ROWS(M$20:M1879)&gt;$F$6,"",INDEX(C$2:C$10000,SMALL(IF(ISNUMBER(MATCH($B$2:$B$10000,$E$6:$E$22,0)),ROW($C$2:$C$10000)-ROW($C$2)+1),ROWS(M$20:M1879))))</f>
        <v/>
      </c>
      <c r="K1879" s="7" t="str">
        <f t="array" ref="K1879">IF(ROWS(K$20:K1879)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1879))))</f>
        <v/>
      </c>
      <c r="L1879" s="4" t="str">
        <f t="array" ref="L1879">IF(ROWS(L$20:L1879)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1879))))</f>
        <v/>
      </c>
      <c r="M1879" s="4" t="str">
        <f t="array" ref="M1879">IF(ROWS(M$20:M1879)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1879))))</f>
        <v/>
      </c>
    </row>
    <row r="1880" spans="1:13" x14ac:dyDescent="0.25">
      <c r="A1880" s="3">
        <v>41831</v>
      </c>
      <c r="B1880" s="2" t="s">
        <v>6</v>
      </c>
      <c r="C1880" s="2">
        <v>1</v>
      </c>
      <c r="G1880" s="7" t="str">
        <f t="array" ref="G1880">IF(ROWS(K$20:K1880)&gt;$F$6,"",INDEX(A$2:A$10000,SMALL(IF(ISNUMBER(MATCH($B$2:$B$10000,$E$6:$E$22,0)),ROW($C$2:$C$10000)-ROW($C$2)+1),ROWS(K$20:K1880))))</f>
        <v/>
      </c>
      <c r="H1880" s="4" t="str">
        <f t="array" ref="H1880">IF(ROWS(L$20:L1880)&gt;$F$6,"",INDEX(B$2:B$10000,SMALL(IF(ISNUMBER(MATCH($B$2:$B$10000,$E$6:$E$22,0)),ROW($C$2:$C$10000)-ROW($C$2)+1),ROWS(L$20:L1880))))</f>
        <v/>
      </c>
      <c r="I1880" s="4" t="str">
        <f t="array" ref="I1880">IF(ROWS(M$20:M1880)&gt;$F$6,"",INDEX(C$2:C$10000,SMALL(IF(ISNUMBER(MATCH($B$2:$B$10000,$E$6:$E$22,0)),ROW($C$2:$C$10000)-ROW($C$2)+1),ROWS(M$20:M1880))))</f>
        <v/>
      </c>
      <c r="K1880" s="7" t="str">
        <f t="array" ref="K1880">IF(ROWS(K$20:K1880)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1880))))</f>
        <v/>
      </c>
      <c r="L1880" s="4" t="str">
        <f t="array" ref="L1880">IF(ROWS(L$20:L1880)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1880))))</f>
        <v/>
      </c>
      <c r="M1880" s="4" t="str">
        <f t="array" ref="M1880">IF(ROWS(M$20:M1880)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1880))))</f>
        <v/>
      </c>
    </row>
    <row r="1881" spans="1:13" x14ac:dyDescent="0.25">
      <c r="A1881" s="3">
        <v>41340</v>
      </c>
      <c r="B1881" s="2" t="s">
        <v>27</v>
      </c>
      <c r="C1881" s="2">
        <v>43</v>
      </c>
      <c r="G1881" s="7" t="str">
        <f t="array" ref="G1881">IF(ROWS(K$20:K1881)&gt;$F$6,"",INDEX(A$2:A$10000,SMALL(IF(ISNUMBER(MATCH($B$2:$B$10000,$E$6:$E$22,0)),ROW($C$2:$C$10000)-ROW($C$2)+1),ROWS(K$20:K1881))))</f>
        <v/>
      </c>
      <c r="H1881" s="4" t="str">
        <f t="array" ref="H1881">IF(ROWS(L$20:L1881)&gt;$F$6,"",INDEX(B$2:B$10000,SMALL(IF(ISNUMBER(MATCH($B$2:$B$10000,$E$6:$E$22,0)),ROW($C$2:$C$10000)-ROW($C$2)+1),ROWS(L$20:L1881))))</f>
        <v/>
      </c>
      <c r="I1881" s="4" t="str">
        <f t="array" ref="I1881">IF(ROWS(M$20:M1881)&gt;$F$6,"",INDEX(C$2:C$10000,SMALL(IF(ISNUMBER(MATCH($B$2:$B$10000,$E$6:$E$22,0)),ROW($C$2:$C$10000)-ROW($C$2)+1),ROWS(M$20:M1881))))</f>
        <v/>
      </c>
      <c r="K1881" s="7" t="str">
        <f t="array" ref="K1881">IF(ROWS(K$20:K1881)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1881))))</f>
        <v/>
      </c>
      <c r="L1881" s="4" t="str">
        <f t="array" ref="L1881">IF(ROWS(L$20:L1881)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1881))))</f>
        <v/>
      </c>
      <c r="M1881" s="4" t="str">
        <f t="array" ref="M1881">IF(ROWS(M$20:M1881)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1881))))</f>
        <v/>
      </c>
    </row>
    <row r="1882" spans="1:13" x14ac:dyDescent="0.25">
      <c r="A1882" s="3">
        <v>41889</v>
      </c>
      <c r="B1882" s="2" t="s">
        <v>15</v>
      </c>
      <c r="C1882" s="2">
        <v>9</v>
      </c>
      <c r="G1882" s="7" t="str">
        <f t="array" ref="G1882">IF(ROWS(K$20:K1882)&gt;$F$6,"",INDEX(A$2:A$10000,SMALL(IF(ISNUMBER(MATCH($B$2:$B$10000,$E$6:$E$22,0)),ROW($C$2:$C$10000)-ROW($C$2)+1),ROWS(K$20:K1882))))</f>
        <v/>
      </c>
      <c r="H1882" s="4" t="str">
        <f t="array" ref="H1882">IF(ROWS(L$20:L1882)&gt;$F$6,"",INDEX(B$2:B$10000,SMALL(IF(ISNUMBER(MATCH($B$2:$B$10000,$E$6:$E$22,0)),ROW($C$2:$C$10000)-ROW($C$2)+1),ROWS(L$20:L1882))))</f>
        <v/>
      </c>
      <c r="I1882" s="4" t="str">
        <f t="array" ref="I1882">IF(ROWS(M$20:M1882)&gt;$F$6,"",INDEX(C$2:C$10000,SMALL(IF(ISNUMBER(MATCH($B$2:$B$10000,$E$6:$E$22,0)),ROW($C$2:$C$10000)-ROW($C$2)+1),ROWS(M$20:M1882))))</f>
        <v/>
      </c>
      <c r="K1882" s="7" t="str">
        <f t="array" ref="K1882">IF(ROWS(K$20:K1882)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1882))))</f>
        <v/>
      </c>
      <c r="L1882" s="4" t="str">
        <f t="array" ref="L1882">IF(ROWS(L$20:L1882)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1882))))</f>
        <v/>
      </c>
      <c r="M1882" s="4" t="str">
        <f t="array" ref="M1882">IF(ROWS(M$20:M1882)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1882))))</f>
        <v/>
      </c>
    </row>
    <row r="1883" spans="1:13" x14ac:dyDescent="0.25">
      <c r="A1883" s="3">
        <v>41751</v>
      </c>
      <c r="B1883" s="2" t="s">
        <v>10</v>
      </c>
      <c r="C1883" s="2">
        <v>39</v>
      </c>
      <c r="G1883" s="7" t="str">
        <f t="array" ref="G1883">IF(ROWS(K$20:K1883)&gt;$F$6,"",INDEX(A$2:A$10000,SMALL(IF(ISNUMBER(MATCH($B$2:$B$10000,$E$6:$E$22,0)),ROW($C$2:$C$10000)-ROW($C$2)+1),ROWS(K$20:K1883))))</f>
        <v/>
      </c>
      <c r="H1883" s="4" t="str">
        <f t="array" ref="H1883">IF(ROWS(L$20:L1883)&gt;$F$6,"",INDEX(B$2:B$10000,SMALL(IF(ISNUMBER(MATCH($B$2:$B$10000,$E$6:$E$22,0)),ROW($C$2:$C$10000)-ROW($C$2)+1),ROWS(L$20:L1883))))</f>
        <v/>
      </c>
      <c r="I1883" s="4" t="str">
        <f t="array" ref="I1883">IF(ROWS(M$20:M1883)&gt;$F$6,"",INDEX(C$2:C$10000,SMALL(IF(ISNUMBER(MATCH($B$2:$B$10000,$E$6:$E$22,0)),ROW($C$2:$C$10000)-ROW($C$2)+1),ROWS(M$20:M1883))))</f>
        <v/>
      </c>
      <c r="K1883" s="7" t="str">
        <f t="array" ref="K1883">IF(ROWS(K$20:K1883)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1883))))</f>
        <v/>
      </c>
      <c r="L1883" s="4" t="str">
        <f t="array" ref="L1883">IF(ROWS(L$20:L1883)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1883))))</f>
        <v/>
      </c>
      <c r="M1883" s="4" t="str">
        <f t="array" ref="M1883">IF(ROWS(M$20:M1883)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1883))))</f>
        <v/>
      </c>
    </row>
    <row r="1884" spans="1:13" x14ac:dyDescent="0.25">
      <c r="A1884" s="3">
        <v>41647</v>
      </c>
      <c r="B1884" s="2" t="s">
        <v>41</v>
      </c>
      <c r="C1884" s="2">
        <v>1</v>
      </c>
      <c r="G1884" s="7" t="str">
        <f t="array" ref="G1884">IF(ROWS(K$20:K1884)&gt;$F$6,"",INDEX(A$2:A$10000,SMALL(IF(ISNUMBER(MATCH($B$2:$B$10000,$E$6:$E$22,0)),ROW($C$2:$C$10000)-ROW($C$2)+1),ROWS(K$20:K1884))))</f>
        <v/>
      </c>
      <c r="H1884" s="4" t="str">
        <f t="array" ref="H1884">IF(ROWS(L$20:L1884)&gt;$F$6,"",INDEX(B$2:B$10000,SMALL(IF(ISNUMBER(MATCH($B$2:$B$10000,$E$6:$E$22,0)),ROW($C$2:$C$10000)-ROW($C$2)+1),ROWS(L$20:L1884))))</f>
        <v/>
      </c>
      <c r="I1884" s="4" t="str">
        <f t="array" ref="I1884">IF(ROWS(M$20:M1884)&gt;$F$6,"",INDEX(C$2:C$10000,SMALL(IF(ISNUMBER(MATCH($B$2:$B$10000,$E$6:$E$22,0)),ROW($C$2:$C$10000)-ROW($C$2)+1),ROWS(M$20:M1884))))</f>
        <v/>
      </c>
      <c r="K1884" s="7" t="str">
        <f t="array" ref="K1884">IF(ROWS(K$20:K1884)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1884))))</f>
        <v/>
      </c>
      <c r="L1884" s="4" t="str">
        <f t="array" ref="L1884">IF(ROWS(L$20:L1884)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1884))))</f>
        <v/>
      </c>
      <c r="M1884" s="4" t="str">
        <f t="array" ref="M1884">IF(ROWS(M$20:M1884)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1884))))</f>
        <v/>
      </c>
    </row>
    <row r="1885" spans="1:13" x14ac:dyDescent="0.25">
      <c r="A1885" s="3">
        <v>41339</v>
      </c>
      <c r="B1885" s="2" t="s">
        <v>20</v>
      </c>
      <c r="C1885" s="2">
        <v>33</v>
      </c>
      <c r="G1885" s="7" t="str">
        <f t="array" ref="G1885">IF(ROWS(K$20:K1885)&gt;$F$6,"",INDEX(A$2:A$10000,SMALL(IF(ISNUMBER(MATCH($B$2:$B$10000,$E$6:$E$22,0)),ROW($C$2:$C$10000)-ROW($C$2)+1),ROWS(K$20:K1885))))</f>
        <v/>
      </c>
      <c r="H1885" s="4" t="str">
        <f t="array" ref="H1885">IF(ROWS(L$20:L1885)&gt;$F$6,"",INDEX(B$2:B$10000,SMALL(IF(ISNUMBER(MATCH($B$2:$B$10000,$E$6:$E$22,0)),ROW($C$2:$C$10000)-ROW($C$2)+1),ROWS(L$20:L1885))))</f>
        <v/>
      </c>
      <c r="I1885" s="4" t="str">
        <f t="array" ref="I1885">IF(ROWS(M$20:M1885)&gt;$F$6,"",INDEX(C$2:C$10000,SMALL(IF(ISNUMBER(MATCH($B$2:$B$10000,$E$6:$E$22,0)),ROW($C$2:$C$10000)-ROW($C$2)+1),ROWS(M$20:M1885))))</f>
        <v/>
      </c>
      <c r="K1885" s="7" t="str">
        <f t="array" ref="K1885">IF(ROWS(K$20:K1885)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1885))))</f>
        <v/>
      </c>
      <c r="L1885" s="4" t="str">
        <f t="array" ref="L1885">IF(ROWS(L$20:L1885)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1885))))</f>
        <v/>
      </c>
      <c r="M1885" s="4" t="str">
        <f t="array" ref="M1885">IF(ROWS(M$20:M1885)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1885))))</f>
        <v/>
      </c>
    </row>
    <row r="1886" spans="1:13" x14ac:dyDescent="0.25">
      <c r="A1886" s="3">
        <v>41828</v>
      </c>
      <c r="B1886" s="2" t="s">
        <v>27</v>
      </c>
      <c r="C1886" s="2">
        <v>10</v>
      </c>
      <c r="G1886" s="7" t="str">
        <f t="array" ref="G1886">IF(ROWS(K$20:K1886)&gt;$F$6,"",INDEX(A$2:A$10000,SMALL(IF(ISNUMBER(MATCH($B$2:$B$10000,$E$6:$E$22,0)),ROW($C$2:$C$10000)-ROW($C$2)+1),ROWS(K$20:K1886))))</f>
        <v/>
      </c>
      <c r="H1886" s="4" t="str">
        <f t="array" ref="H1886">IF(ROWS(L$20:L1886)&gt;$F$6,"",INDEX(B$2:B$10000,SMALL(IF(ISNUMBER(MATCH($B$2:$B$10000,$E$6:$E$22,0)),ROW($C$2:$C$10000)-ROW($C$2)+1),ROWS(L$20:L1886))))</f>
        <v/>
      </c>
      <c r="I1886" s="4" t="str">
        <f t="array" ref="I1886">IF(ROWS(M$20:M1886)&gt;$F$6,"",INDEX(C$2:C$10000,SMALL(IF(ISNUMBER(MATCH($B$2:$B$10000,$E$6:$E$22,0)),ROW($C$2:$C$10000)-ROW($C$2)+1),ROWS(M$20:M1886))))</f>
        <v/>
      </c>
      <c r="K1886" s="7" t="str">
        <f t="array" ref="K1886">IF(ROWS(K$20:K1886)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1886))))</f>
        <v/>
      </c>
      <c r="L1886" s="4" t="str">
        <f t="array" ref="L1886">IF(ROWS(L$20:L1886)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1886))))</f>
        <v/>
      </c>
      <c r="M1886" s="4" t="str">
        <f t="array" ref="M1886">IF(ROWS(M$20:M1886)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1886))))</f>
        <v/>
      </c>
    </row>
    <row r="1887" spans="1:13" x14ac:dyDescent="0.25">
      <c r="A1887" s="3">
        <v>41794</v>
      </c>
      <c r="B1887" s="2" t="s">
        <v>43</v>
      </c>
      <c r="C1887" s="2">
        <v>21</v>
      </c>
      <c r="G1887" s="7" t="str">
        <f t="array" ref="G1887">IF(ROWS(K$20:K1887)&gt;$F$6,"",INDEX(A$2:A$10000,SMALL(IF(ISNUMBER(MATCH($B$2:$B$10000,$E$6:$E$22,0)),ROW($C$2:$C$10000)-ROW($C$2)+1),ROWS(K$20:K1887))))</f>
        <v/>
      </c>
      <c r="H1887" s="4" t="str">
        <f t="array" ref="H1887">IF(ROWS(L$20:L1887)&gt;$F$6,"",INDEX(B$2:B$10000,SMALL(IF(ISNUMBER(MATCH($B$2:$B$10000,$E$6:$E$22,0)),ROW($C$2:$C$10000)-ROW($C$2)+1),ROWS(L$20:L1887))))</f>
        <v/>
      </c>
      <c r="I1887" s="4" t="str">
        <f t="array" ref="I1887">IF(ROWS(M$20:M1887)&gt;$F$6,"",INDEX(C$2:C$10000,SMALL(IF(ISNUMBER(MATCH($B$2:$B$10000,$E$6:$E$22,0)),ROW($C$2:$C$10000)-ROW($C$2)+1),ROWS(M$20:M1887))))</f>
        <v/>
      </c>
      <c r="K1887" s="7" t="str">
        <f t="array" ref="K1887">IF(ROWS(K$20:K1887)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1887))))</f>
        <v/>
      </c>
      <c r="L1887" s="4" t="str">
        <f t="array" ref="L1887">IF(ROWS(L$20:L1887)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1887))))</f>
        <v/>
      </c>
      <c r="M1887" s="4" t="str">
        <f t="array" ref="M1887">IF(ROWS(M$20:M1887)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1887))))</f>
        <v/>
      </c>
    </row>
    <row r="1888" spans="1:13" x14ac:dyDescent="0.25">
      <c r="A1888" s="3">
        <v>41898</v>
      </c>
      <c r="B1888" s="2" t="s">
        <v>15</v>
      </c>
      <c r="C1888" s="2">
        <v>41</v>
      </c>
      <c r="G1888" s="7" t="str">
        <f t="array" ref="G1888">IF(ROWS(K$20:K1888)&gt;$F$6,"",INDEX(A$2:A$10000,SMALL(IF(ISNUMBER(MATCH($B$2:$B$10000,$E$6:$E$22,0)),ROW($C$2:$C$10000)-ROW($C$2)+1),ROWS(K$20:K1888))))</f>
        <v/>
      </c>
      <c r="H1888" s="4" t="str">
        <f t="array" ref="H1888">IF(ROWS(L$20:L1888)&gt;$F$6,"",INDEX(B$2:B$10000,SMALL(IF(ISNUMBER(MATCH($B$2:$B$10000,$E$6:$E$22,0)),ROW($C$2:$C$10000)-ROW($C$2)+1),ROWS(L$20:L1888))))</f>
        <v/>
      </c>
      <c r="I1888" s="4" t="str">
        <f t="array" ref="I1888">IF(ROWS(M$20:M1888)&gt;$F$6,"",INDEX(C$2:C$10000,SMALL(IF(ISNUMBER(MATCH($B$2:$B$10000,$E$6:$E$22,0)),ROW($C$2:$C$10000)-ROW($C$2)+1),ROWS(M$20:M1888))))</f>
        <v/>
      </c>
      <c r="K1888" s="7" t="str">
        <f t="array" ref="K1888">IF(ROWS(K$20:K1888)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1888))))</f>
        <v/>
      </c>
      <c r="L1888" s="4" t="str">
        <f t="array" ref="L1888">IF(ROWS(L$20:L1888)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1888))))</f>
        <v/>
      </c>
      <c r="M1888" s="4" t="str">
        <f t="array" ref="M1888">IF(ROWS(M$20:M1888)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1888))))</f>
        <v/>
      </c>
    </row>
    <row r="1889" spans="1:13" x14ac:dyDescent="0.25">
      <c r="A1889" s="3">
        <v>41323</v>
      </c>
      <c r="B1889" s="2" t="s">
        <v>21</v>
      </c>
      <c r="C1889" s="2">
        <v>29</v>
      </c>
      <c r="G1889" s="7" t="str">
        <f t="array" ref="G1889">IF(ROWS(K$20:K1889)&gt;$F$6,"",INDEX(A$2:A$10000,SMALL(IF(ISNUMBER(MATCH($B$2:$B$10000,$E$6:$E$22,0)),ROW($C$2:$C$10000)-ROW($C$2)+1),ROWS(K$20:K1889))))</f>
        <v/>
      </c>
      <c r="H1889" s="4" t="str">
        <f t="array" ref="H1889">IF(ROWS(L$20:L1889)&gt;$F$6,"",INDEX(B$2:B$10000,SMALL(IF(ISNUMBER(MATCH($B$2:$B$10000,$E$6:$E$22,0)),ROW($C$2:$C$10000)-ROW($C$2)+1),ROWS(L$20:L1889))))</f>
        <v/>
      </c>
      <c r="I1889" s="4" t="str">
        <f t="array" ref="I1889">IF(ROWS(M$20:M1889)&gt;$F$6,"",INDEX(C$2:C$10000,SMALL(IF(ISNUMBER(MATCH($B$2:$B$10000,$E$6:$E$22,0)),ROW($C$2:$C$10000)-ROW($C$2)+1),ROWS(M$20:M1889))))</f>
        <v/>
      </c>
      <c r="K1889" s="7" t="str">
        <f t="array" ref="K1889">IF(ROWS(K$20:K1889)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1889))))</f>
        <v/>
      </c>
      <c r="L1889" s="4" t="str">
        <f t="array" ref="L1889">IF(ROWS(L$20:L1889)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1889))))</f>
        <v/>
      </c>
      <c r="M1889" s="4" t="str">
        <f t="array" ref="M1889">IF(ROWS(M$20:M1889)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1889))))</f>
        <v/>
      </c>
    </row>
    <row r="1890" spans="1:13" x14ac:dyDescent="0.25">
      <c r="A1890" s="3">
        <v>41966</v>
      </c>
      <c r="B1890" s="2" t="s">
        <v>35</v>
      </c>
      <c r="C1890" s="2">
        <v>44</v>
      </c>
      <c r="G1890" s="7" t="str">
        <f t="array" ref="G1890">IF(ROWS(K$20:K1890)&gt;$F$6,"",INDEX(A$2:A$10000,SMALL(IF(ISNUMBER(MATCH($B$2:$B$10000,$E$6:$E$22,0)),ROW($C$2:$C$10000)-ROW($C$2)+1),ROWS(K$20:K1890))))</f>
        <v/>
      </c>
      <c r="H1890" s="4" t="str">
        <f t="array" ref="H1890">IF(ROWS(L$20:L1890)&gt;$F$6,"",INDEX(B$2:B$10000,SMALL(IF(ISNUMBER(MATCH($B$2:$B$10000,$E$6:$E$22,0)),ROW($C$2:$C$10000)-ROW($C$2)+1),ROWS(L$20:L1890))))</f>
        <v/>
      </c>
      <c r="I1890" s="4" t="str">
        <f t="array" ref="I1890">IF(ROWS(M$20:M1890)&gt;$F$6,"",INDEX(C$2:C$10000,SMALL(IF(ISNUMBER(MATCH($B$2:$B$10000,$E$6:$E$22,0)),ROW($C$2:$C$10000)-ROW($C$2)+1),ROWS(M$20:M1890))))</f>
        <v/>
      </c>
      <c r="K1890" s="7" t="str">
        <f t="array" ref="K1890">IF(ROWS(K$20:K1890)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1890))))</f>
        <v/>
      </c>
      <c r="L1890" s="4" t="str">
        <f t="array" ref="L1890">IF(ROWS(L$20:L1890)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1890))))</f>
        <v/>
      </c>
      <c r="M1890" s="4" t="str">
        <f t="array" ref="M1890">IF(ROWS(M$20:M1890)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1890))))</f>
        <v/>
      </c>
    </row>
    <row r="1891" spans="1:13" x14ac:dyDescent="0.25">
      <c r="A1891" s="3">
        <v>41444</v>
      </c>
      <c r="B1891" s="2" t="s">
        <v>20</v>
      </c>
      <c r="C1891" s="2">
        <v>40</v>
      </c>
      <c r="G1891" s="7" t="str">
        <f t="array" ref="G1891">IF(ROWS(K$20:K1891)&gt;$F$6,"",INDEX(A$2:A$10000,SMALL(IF(ISNUMBER(MATCH($B$2:$B$10000,$E$6:$E$22,0)),ROW($C$2:$C$10000)-ROW($C$2)+1),ROWS(K$20:K1891))))</f>
        <v/>
      </c>
      <c r="H1891" s="4" t="str">
        <f t="array" ref="H1891">IF(ROWS(L$20:L1891)&gt;$F$6,"",INDEX(B$2:B$10000,SMALL(IF(ISNUMBER(MATCH($B$2:$B$10000,$E$6:$E$22,0)),ROW($C$2:$C$10000)-ROW($C$2)+1),ROWS(L$20:L1891))))</f>
        <v/>
      </c>
      <c r="I1891" s="4" t="str">
        <f t="array" ref="I1891">IF(ROWS(M$20:M1891)&gt;$F$6,"",INDEX(C$2:C$10000,SMALL(IF(ISNUMBER(MATCH($B$2:$B$10000,$E$6:$E$22,0)),ROW($C$2:$C$10000)-ROW($C$2)+1),ROWS(M$20:M1891))))</f>
        <v/>
      </c>
      <c r="K1891" s="7" t="str">
        <f t="array" ref="K1891">IF(ROWS(K$20:K1891)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1891))))</f>
        <v/>
      </c>
      <c r="L1891" s="4" t="str">
        <f t="array" ref="L1891">IF(ROWS(L$20:L1891)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1891))))</f>
        <v/>
      </c>
      <c r="M1891" s="4" t="str">
        <f t="array" ref="M1891">IF(ROWS(M$20:M1891)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1891))))</f>
        <v/>
      </c>
    </row>
    <row r="1892" spans="1:13" x14ac:dyDescent="0.25">
      <c r="A1892" s="3">
        <v>41607</v>
      </c>
      <c r="B1892" s="2" t="s">
        <v>39</v>
      </c>
      <c r="C1892" s="2">
        <v>14</v>
      </c>
      <c r="G1892" s="7" t="str">
        <f t="array" ref="G1892">IF(ROWS(K$20:K1892)&gt;$F$6,"",INDEX(A$2:A$10000,SMALL(IF(ISNUMBER(MATCH($B$2:$B$10000,$E$6:$E$22,0)),ROW($C$2:$C$10000)-ROW($C$2)+1),ROWS(K$20:K1892))))</f>
        <v/>
      </c>
      <c r="H1892" s="4" t="str">
        <f t="array" ref="H1892">IF(ROWS(L$20:L1892)&gt;$F$6,"",INDEX(B$2:B$10000,SMALL(IF(ISNUMBER(MATCH($B$2:$B$10000,$E$6:$E$22,0)),ROW($C$2:$C$10000)-ROW($C$2)+1),ROWS(L$20:L1892))))</f>
        <v/>
      </c>
      <c r="I1892" s="4" t="str">
        <f t="array" ref="I1892">IF(ROWS(M$20:M1892)&gt;$F$6,"",INDEX(C$2:C$10000,SMALL(IF(ISNUMBER(MATCH($B$2:$B$10000,$E$6:$E$22,0)),ROW($C$2:$C$10000)-ROW($C$2)+1),ROWS(M$20:M1892))))</f>
        <v/>
      </c>
      <c r="K1892" s="7" t="str">
        <f t="array" ref="K1892">IF(ROWS(K$20:K1892)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1892))))</f>
        <v/>
      </c>
      <c r="L1892" s="4" t="str">
        <f t="array" ref="L1892">IF(ROWS(L$20:L1892)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1892))))</f>
        <v/>
      </c>
      <c r="M1892" s="4" t="str">
        <f t="array" ref="M1892">IF(ROWS(M$20:M1892)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1892))))</f>
        <v/>
      </c>
    </row>
    <row r="1893" spans="1:13" x14ac:dyDescent="0.25">
      <c r="A1893" s="3">
        <v>41906</v>
      </c>
      <c r="B1893" s="2" t="s">
        <v>45</v>
      </c>
      <c r="C1893" s="2">
        <v>37</v>
      </c>
      <c r="G1893" s="7" t="str">
        <f t="array" ref="G1893">IF(ROWS(K$20:K1893)&gt;$F$6,"",INDEX(A$2:A$10000,SMALL(IF(ISNUMBER(MATCH($B$2:$B$10000,$E$6:$E$22,0)),ROW($C$2:$C$10000)-ROW($C$2)+1),ROWS(K$20:K1893))))</f>
        <v/>
      </c>
      <c r="H1893" s="4" t="str">
        <f t="array" ref="H1893">IF(ROWS(L$20:L1893)&gt;$F$6,"",INDEX(B$2:B$10000,SMALL(IF(ISNUMBER(MATCH($B$2:$B$10000,$E$6:$E$22,0)),ROW($C$2:$C$10000)-ROW($C$2)+1),ROWS(L$20:L1893))))</f>
        <v/>
      </c>
      <c r="I1893" s="4" t="str">
        <f t="array" ref="I1893">IF(ROWS(M$20:M1893)&gt;$F$6,"",INDEX(C$2:C$10000,SMALL(IF(ISNUMBER(MATCH($B$2:$B$10000,$E$6:$E$22,0)),ROW($C$2:$C$10000)-ROW($C$2)+1),ROWS(M$20:M1893))))</f>
        <v/>
      </c>
      <c r="K1893" s="7" t="str">
        <f t="array" ref="K1893">IF(ROWS(K$20:K1893)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1893))))</f>
        <v/>
      </c>
      <c r="L1893" s="4" t="str">
        <f t="array" ref="L1893">IF(ROWS(L$20:L1893)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1893))))</f>
        <v/>
      </c>
      <c r="M1893" s="4" t="str">
        <f t="array" ref="M1893">IF(ROWS(M$20:M1893)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1893))))</f>
        <v/>
      </c>
    </row>
    <row r="1894" spans="1:13" x14ac:dyDescent="0.25">
      <c r="A1894" s="3">
        <v>41327</v>
      </c>
      <c r="B1894" s="2" t="s">
        <v>4</v>
      </c>
      <c r="C1894" s="2">
        <v>57</v>
      </c>
      <c r="G1894" s="7" t="str">
        <f t="array" ref="G1894">IF(ROWS(K$20:K1894)&gt;$F$6,"",INDEX(A$2:A$10000,SMALL(IF(ISNUMBER(MATCH($B$2:$B$10000,$E$6:$E$22,0)),ROW($C$2:$C$10000)-ROW($C$2)+1),ROWS(K$20:K1894))))</f>
        <v/>
      </c>
      <c r="H1894" s="4" t="str">
        <f t="array" ref="H1894">IF(ROWS(L$20:L1894)&gt;$F$6,"",INDEX(B$2:B$10000,SMALL(IF(ISNUMBER(MATCH($B$2:$B$10000,$E$6:$E$22,0)),ROW($C$2:$C$10000)-ROW($C$2)+1),ROWS(L$20:L1894))))</f>
        <v/>
      </c>
      <c r="I1894" s="4" t="str">
        <f t="array" ref="I1894">IF(ROWS(M$20:M1894)&gt;$F$6,"",INDEX(C$2:C$10000,SMALL(IF(ISNUMBER(MATCH($B$2:$B$10000,$E$6:$E$22,0)),ROW($C$2:$C$10000)-ROW($C$2)+1),ROWS(M$20:M1894))))</f>
        <v/>
      </c>
      <c r="K1894" s="7" t="str">
        <f t="array" ref="K1894">IF(ROWS(K$20:K1894)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1894))))</f>
        <v/>
      </c>
      <c r="L1894" s="4" t="str">
        <f t="array" ref="L1894">IF(ROWS(L$20:L1894)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1894))))</f>
        <v/>
      </c>
      <c r="M1894" s="4" t="str">
        <f t="array" ref="M1894">IF(ROWS(M$20:M1894)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1894))))</f>
        <v/>
      </c>
    </row>
    <row r="1895" spans="1:13" x14ac:dyDescent="0.25">
      <c r="A1895" s="3">
        <v>41376</v>
      </c>
      <c r="B1895" s="2" t="s">
        <v>19</v>
      </c>
      <c r="C1895" s="2">
        <v>23</v>
      </c>
      <c r="G1895" s="7" t="str">
        <f t="array" ref="G1895">IF(ROWS(K$20:K1895)&gt;$F$6,"",INDEX(A$2:A$10000,SMALL(IF(ISNUMBER(MATCH($B$2:$B$10000,$E$6:$E$22,0)),ROW($C$2:$C$10000)-ROW($C$2)+1),ROWS(K$20:K1895))))</f>
        <v/>
      </c>
      <c r="H1895" s="4" t="str">
        <f t="array" ref="H1895">IF(ROWS(L$20:L1895)&gt;$F$6,"",INDEX(B$2:B$10000,SMALL(IF(ISNUMBER(MATCH($B$2:$B$10000,$E$6:$E$22,0)),ROW($C$2:$C$10000)-ROW($C$2)+1),ROWS(L$20:L1895))))</f>
        <v/>
      </c>
      <c r="I1895" s="4" t="str">
        <f t="array" ref="I1895">IF(ROWS(M$20:M1895)&gt;$F$6,"",INDEX(C$2:C$10000,SMALL(IF(ISNUMBER(MATCH($B$2:$B$10000,$E$6:$E$22,0)),ROW($C$2:$C$10000)-ROW($C$2)+1),ROWS(M$20:M1895))))</f>
        <v/>
      </c>
      <c r="K1895" s="7" t="str">
        <f t="array" ref="K1895">IF(ROWS(K$20:K1895)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1895))))</f>
        <v/>
      </c>
      <c r="L1895" s="4" t="str">
        <f t="array" ref="L1895">IF(ROWS(L$20:L1895)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1895))))</f>
        <v/>
      </c>
      <c r="M1895" s="4" t="str">
        <f t="array" ref="M1895">IF(ROWS(M$20:M1895)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1895))))</f>
        <v/>
      </c>
    </row>
    <row r="1896" spans="1:13" x14ac:dyDescent="0.25">
      <c r="A1896" s="3">
        <v>41817</v>
      </c>
      <c r="B1896" s="2" t="s">
        <v>32</v>
      </c>
      <c r="C1896" s="2">
        <v>38</v>
      </c>
      <c r="G1896" s="7" t="str">
        <f t="array" ref="G1896">IF(ROWS(K$20:K1896)&gt;$F$6,"",INDEX(A$2:A$10000,SMALL(IF(ISNUMBER(MATCH($B$2:$B$10000,$E$6:$E$22,0)),ROW($C$2:$C$10000)-ROW($C$2)+1),ROWS(K$20:K1896))))</f>
        <v/>
      </c>
      <c r="H1896" s="4" t="str">
        <f t="array" ref="H1896">IF(ROWS(L$20:L1896)&gt;$F$6,"",INDEX(B$2:B$10000,SMALL(IF(ISNUMBER(MATCH($B$2:$B$10000,$E$6:$E$22,0)),ROW($C$2:$C$10000)-ROW($C$2)+1),ROWS(L$20:L1896))))</f>
        <v/>
      </c>
      <c r="I1896" s="4" t="str">
        <f t="array" ref="I1896">IF(ROWS(M$20:M1896)&gt;$F$6,"",INDEX(C$2:C$10000,SMALL(IF(ISNUMBER(MATCH($B$2:$B$10000,$E$6:$E$22,0)),ROW($C$2:$C$10000)-ROW($C$2)+1),ROWS(M$20:M1896))))</f>
        <v/>
      </c>
      <c r="K1896" s="7" t="str">
        <f t="array" ref="K1896">IF(ROWS(K$20:K1896)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1896))))</f>
        <v/>
      </c>
      <c r="L1896" s="4" t="str">
        <f t="array" ref="L1896">IF(ROWS(L$20:L1896)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1896))))</f>
        <v/>
      </c>
      <c r="M1896" s="4" t="str">
        <f t="array" ref="M1896">IF(ROWS(M$20:M1896)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1896))))</f>
        <v/>
      </c>
    </row>
    <row r="1897" spans="1:13" x14ac:dyDescent="0.25">
      <c r="A1897" s="3">
        <v>41620</v>
      </c>
      <c r="B1897" s="2" t="s">
        <v>51</v>
      </c>
      <c r="C1897" s="2">
        <v>6</v>
      </c>
      <c r="G1897" s="7" t="str">
        <f t="array" ref="G1897">IF(ROWS(K$20:K1897)&gt;$F$6,"",INDEX(A$2:A$10000,SMALL(IF(ISNUMBER(MATCH($B$2:$B$10000,$E$6:$E$22,0)),ROW($C$2:$C$10000)-ROW($C$2)+1),ROWS(K$20:K1897))))</f>
        <v/>
      </c>
      <c r="H1897" s="4" t="str">
        <f t="array" ref="H1897">IF(ROWS(L$20:L1897)&gt;$F$6,"",INDEX(B$2:B$10000,SMALL(IF(ISNUMBER(MATCH($B$2:$B$10000,$E$6:$E$22,0)),ROW($C$2:$C$10000)-ROW($C$2)+1),ROWS(L$20:L1897))))</f>
        <v/>
      </c>
      <c r="I1897" s="4" t="str">
        <f t="array" ref="I1897">IF(ROWS(M$20:M1897)&gt;$F$6,"",INDEX(C$2:C$10000,SMALL(IF(ISNUMBER(MATCH($B$2:$B$10000,$E$6:$E$22,0)),ROW($C$2:$C$10000)-ROW($C$2)+1),ROWS(M$20:M1897))))</f>
        <v/>
      </c>
      <c r="K1897" s="7" t="str">
        <f t="array" ref="K1897">IF(ROWS(K$20:K1897)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1897))))</f>
        <v/>
      </c>
      <c r="L1897" s="4" t="str">
        <f t="array" ref="L1897">IF(ROWS(L$20:L1897)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1897))))</f>
        <v/>
      </c>
      <c r="M1897" s="4" t="str">
        <f t="array" ref="M1897">IF(ROWS(M$20:M1897)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1897))))</f>
        <v/>
      </c>
    </row>
    <row r="1898" spans="1:13" x14ac:dyDescent="0.25">
      <c r="A1898" s="3">
        <v>41841</v>
      </c>
      <c r="B1898" s="2" t="s">
        <v>49</v>
      </c>
      <c r="C1898" s="2">
        <v>2</v>
      </c>
      <c r="G1898" s="7" t="str">
        <f t="array" ref="G1898">IF(ROWS(K$20:K1898)&gt;$F$6,"",INDEX(A$2:A$10000,SMALL(IF(ISNUMBER(MATCH($B$2:$B$10000,$E$6:$E$22,0)),ROW($C$2:$C$10000)-ROW($C$2)+1),ROWS(K$20:K1898))))</f>
        <v/>
      </c>
      <c r="H1898" s="4" t="str">
        <f t="array" ref="H1898">IF(ROWS(L$20:L1898)&gt;$F$6,"",INDEX(B$2:B$10000,SMALL(IF(ISNUMBER(MATCH($B$2:$B$10000,$E$6:$E$22,0)),ROW($C$2:$C$10000)-ROW($C$2)+1),ROWS(L$20:L1898))))</f>
        <v/>
      </c>
      <c r="I1898" s="4" t="str">
        <f t="array" ref="I1898">IF(ROWS(M$20:M1898)&gt;$F$6,"",INDEX(C$2:C$10000,SMALL(IF(ISNUMBER(MATCH($B$2:$B$10000,$E$6:$E$22,0)),ROW($C$2:$C$10000)-ROW($C$2)+1),ROWS(M$20:M1898))))</f>
        <v/>
      </c>
      <c r="K1898" s="7" t="str">
        <f t="array" ref="K1898">IF(ROWS(K$20:K1898)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1898))))</f>
        <v/>
      </c>
      <c r="L1898" s="4" t="str">
        <f t="array" ref="L1898">IF(ROWS(L$20:L1898)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1898))))</f>
        <v/>
      </c>
      <c r="M1898" s="4" t="str">
        <f t="array" ref="M1898">IF(ROWS(M$20:M1898)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1898))))</f>
        <v/>
      </c>
    </row>
    <row r="1899" spans="1:13" x14ac:dyDescent="0.25">
      <c r="A1899" s="3">
        <v>41275</v>
      </c>
      <c r="B1899" s="2" t="s">
        <v>5</v>
      </c>
      <c r="C1899" s="2">
        <v>12</v>
      </c>
      <c r="G1899" s="7" t="str">
        <f t="array" ref="G1899">IF(ROWS(K$20:K1899)&gt;$F$6,"",INDEX(A$2:A$10000,SMALL(IF(ISNUMBER(MATCH($B$2:$B$10000,$E$6:$E$22,0)),ROW($C$2:$C$10000)-ROW($C$2)+1),ROWS(K$20:K1899))))</f>
        <v/>
      </c>
      <c r="H1899" s="4" t="str">
        <f t="array" ref="H1899">IF(ROWS(L$20:L1899)&gt;$F$6,"",INDEX(B$2:B$10000,SMALL(IF(ISNUMBER(MATCH($B$2:$B$10000,$E$6:$E$22,0)),ROW($C$2:$C$10000)-ROW($C$2)+1),ROWS(L$20:L1899))))</f>
        <v/>
      </c>
      <c r="I1899" s="4" t="str">
        <f t="array" ref="I1899">IF(ROWS(M$20:M1899)&gt;$F$6,"",INDEX(C$2:C$10000,SMALL(IF(ISNUMBER(MATCH($B$2:$B$10000,$E$6:$E$22,0)),ROW($C$2:$C$10000)-ROW($C$2)+1),ROWS(M$20:M1899))))</f>
        <v/>
      </c>
      <c r="K1899" s="7" t="str">
        <f t="array" ref="K1899">IF(ROWS(K$20:K1899)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1899))))</f>
        <v/>
      </c>
      <c r="L1899" s="4" t="str">
        <f t="array" ref="L1899">IF(ROWS(L$20:L1899)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1899))))</f>
        <v/>
      </c>
      <c r="M1899" s="4" t="str">
        <f t="array" ref="M1899">IF(ROWS(M$20:M1899)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1899))))</f>
        <v/>
      </c>
    </row>
    <row r="1900" spans="1:13" x14ac:dyDescent="0.25">
      <c r="A1900" s="3">
        <v>42002</v>
      </c>
      <c r="B1900" s="2" t="s">
        <v>41</v>
      </c>
      <c r="C1900" s="2">
        <v>20</v>
      </c>
      <c r="G1900" s="7" t="str">
        <f t="array" ref="G1900">IF(ROWS(K$20:K1900)&gt;$F$6,"",INDEX(A$2:A$10000,SMALL(IF(ISNUMBER(MATCH($B$2:$B$10000,$E$6:$E$22,0)),ROW($C$2:$C$10000)-ROW($C$2)+1),ROWS(K$20:K1900))))</f>
        <v/>
      </c>
      <c r="H1900" s="4" t="str">
        <f t="array" ref="H1900">IF(ROWS(L$20:L1900)&gt;$F$6,"",INDEX(B$2:B$10000,SMALL(IF(ISNUMBER(MATCH($B$2:$B$10000,$E$6:$E$22,0)),ROW($C$2:$C$10000)-ROW($C$2)+1),ROWS(L$20:L1900))))</f>
        <v/>
      </c>
      <c r="I1900" s="4" t="str">
        <f t="array" ref="I1900">IF(ROWS(M$20:M1900)&gt;$F$6,"",INDEX(C$2:C$10000,SMALL(IF(ISNUMBER(MATCH($B$2:$B$10000,$E$6:$E$22,0)),ROW($C$2:$C$10000)-ROW($C$2)+1),ROWS(M$20:M1900))))</f>
        <v/>
      </c>
      <c r="K1900" s="7" t="str">
        <f t="array" ref="K1900">IF(ROWS(K$20:K1900)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1900))))</f>
        <v/>
      </c>
      <c r="L1900" s="4" t="str">
        <f t="array" ref="L1900">IF(ROWS(L$20:L1900)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1900))))</f>
        <v/>
      </c>
      <c r="M1900" s="4" t="str">
        <f t="array" ref="M1900">IF(ROWS(M$20:M1900)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1900))))</f>
        <v/>
      </c>
    </row>
    <row r="1901" spans="1:13" x14ac:dyDescent="0.25">
      <c r="A1901" s="3">
        <v>41726</v>
      </c>
      <c r="B1901" s="2" t="s">
        <v>9</v>
      </c>
      <c r="C1901" s="2">
        <v>27</v>
      </c>
      <c r="G1901" s="7" t="str">
        <f t="array" ref="G1901">IF(ROWS(K$20:K1901)&gt;$F$6,"",INDEX(A$2:A$10000,SMALL(IF(ISNUMBER(MATCH($B$2:$B$10000,$E$6:$E$22,0)),ROW($C$2:$C$10000)-ROW($C$2)+1),ROWS(K$20:K1901))))</f>
        <v/>
      </c>
      <c r="H1901" s="4" t="str">
        <f t="array" ref="H1901">IF(ROWS(L$20:L1901)&gt;$F$6,"",INDEX(B$2:B$10000,SMALL(IF(ISNUMBER(MATCH($B$2:$B$10000,$E$6:$E$22,0)),ROW($C$2:$C$10000)-ROW($C$2)+1),ROWS(L$20:L1901))))</f>
        <v/>
      </c>
      <c r="I1901" s="4" t="str">
        <f t="array" ref="I1901">IF(ROWS(M$20:M1901)&gt;$F$6,"",INDEX(C$2:C$10000,SMALL(IF(ISNUMBER(MATCH($B$2:$B$10000,$E$6:$E$22,0)),ROW($C$2:$C$10000)-ROW($C$2)+1),ROWS(M$20:M1901))))</f>
        <v/>
      </c>
      <c r="K1901" s="7" t="str">
        <f t="array" ref="K1901">IF(ROWS(K$20:K1901)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1901))))</f>
        <v/>
      </c>
      <c r="L1901" s="4" t="str">
        <f t="array" ref="L1901">IF(ROWS(L$20:L1901)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1901))))</f>
        <v/>
      </c>
      <c r="M1901" s="4" t="str">
        <f t="array" ref="M1901">IF(ROWS(M$20:M1901)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1901))))</f>
        <v/>
      </c>
    </row>
    <row r="1902" spans="1:13" x14ac:dyDescent="0.25">
      <c r="A1902" s="3">
        <v>41612</v>
      </c>
      <c r="B1902" s="2" t="s">
        <v>31</v>
      </c>
      <c r="C1902" s="2">
        <v>16</v>
      </c>
      <c r="G1902" s="7" t="str">
        <f t="array" ref="G1902">IF(ROWS(K$20:K1902)&gt;$F$6,"",INDEX(A$2:A$10000,SMALL(IF(ISNUMBER(MATCH($B$2:$B$10000,$E$6:$E$22,0)),ROW($C$2:$C$10000)-ROW($C$2)+1),ROWS(K$20:K1902))))</f>
        <v/>
      </c>
      <c r="H1902" s="4" t="str">
        <f t="array" ref="H1902">IF(ROWS(L$20:L1902)&gt;$F$6,"",INDEX(B$2:B$10000,SMALL(IF(ISNUMBER(MATCH($B$2:$B$10000,$E$6:$E$22,0)),ROW($C$2:$C$10000)-ROW($C$2)+1),ROWS(L$20:L1902))))</f>
        <v/>
      </c>
      <c r="I1902" s="4" t="str">
        <f t="array" ref="I1902">IF(ROWS(M$20:M1902)&gt;$F$6,"",INDEX(C$2:C$10000,SMALL(IF(ISNUMBER(MATCH($B$2:$B$10000,$E$6:$E$22,0)),ROW($C$2:$C$10000)-ROW($C$2)+1),ROWS(M$20:M1902))))</f>
        <v/>
      </c>
      <c r="K1902" s="7" t="str">
        <f t="array" ref="K1902">IF(ROWS(K$20:K1902)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1902))))</f>
        <v/>
      </c>
      <c r="L1902" s="4" t="str">
        <f t="array" ref="L1902">IF(ROWS(L$20:L1902)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1902))))</f>
        <v/>
      </c>
      <c r="M1902" s="4" t="str">
        <f t="array" ref="M1902">IF(ROWS(M$20:M1902)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1902))))</f>
        <v/>
      </c>
    </row>
    <row r="1903" spans="1:13" x14ac:dyDescent="0.25">
      <c r="A1903" s="3">
        <v>41698</v>
      </c>
      <c r="B1903" s="2" t="s">
        <v>23</v>
      </c>
      <c r="C1903" s="2">
        <v>20</v>
      </c>
      <c r="G1903" s="7" t="str">
        <f t="array" ref="G1903">IF(ROWS(K$20:K1903)&gt;$F$6,"",INDEX(A$2:A$10000,SMALL(IF(ISNUMBER(MATCH($B$2:$B$10000,$E$6:$E$22,0)),ROW($C$2:$C$10000)-ROW($C$2)+1),ROWS(K$20:K1903))))</f>
        <v/>
      </c>
      <c r="H1903" s="4" t="str">
        <f t="array" ref="H1903">IF(ROWS(L$20:L1903)&gt;$F$6,"",INDEX(B$2:B$10000,SMALL(IF(ISNUMBER(MATCH($B$2:$B$10000,$E$6:$E$22,0)),ROW($C$2:$C$10000)-ROW($C$2)+1),ROWS(L$20:L1903))))</f>
        <v/>
      </c>
      <c r="I1903" s="4" t="str">
        <f t="array" ref="I1903">IF(ROWS(M$20:M1903)&gt;$F$6,"",INDEX(C$2:C$10000,SMALL(IF(ISNUMBER(MATCH($B$2:$B$10000,$E$6:$E$22,0)),ROW($C$2:$C$10000)-ROW($C$2)+1),ROWS(M$20:M1903))))</f>
        <v/>
      </c>
      <c r="K1903" s="7" t="str">
        <f t="array" ref="K1903">IF(ROWS(K$20:K1903)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1903))))</f>
        <v/>
      </c>
      <c r="L1903" s="4" t="str">
        <f t="array" ref="L1903">IF(ROWS(L$20:L1903)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1903))))</f>
        <v/>
      </c>
      <c r="M1903" s="4" t="str">
        <f t="array" ref="M1903">IF(ROWS(M$20:M1903)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1903))))</f>
        <v/>
      </c>
    </row>
    <row r="1904" spans="1:13" x14ac:dyDescent="0.25">
      <c r="A1904" s="3">
        <v>41452</v>
      </c>
      <c r="B1904" s="2" t="s">
        <v>32</v>
      </c>
      <c r="C1904" s="2">
        <v>24</v>
      </c>
      <c r="G1904" s="7" t="str">
        <f t="array" ref="G1904">IF(ROWS(K$20:K1904)&gt;$F$6,"",INDEX(A$2:A$10000,SMALL(IF(ISNUMBER(MATCH($B$2:$B$10000,$E$6:$E$22,0)),ROW($C$2:$C$10000)-ROW($C$2)+1),ROWS(K$20:K1904))))</f>
        <v/>
      </c>
      <c r="H1904" s="4" t="str">
        <f t="array" ref="H1904">IF(ROWS(L$20:L1904)&gt;$F$6,"",INDEX(B$2:B$10000,SMALL(IF(ISNUMBER(MATCH($B$2:$B$10000,$E$6:$E$22,0)),ROW($C$2:$C$10000)-ROW($C$2)+1),ROWS(L$20:L1904))))</f>
        <v/>
      </c>
      <c r="I1904" s="4" t="str">
        <f t="array" ref="I1904">IF(ROWS(M$20:M1904)&gt;$F$6,"",INDEX(C$2:C$10000,SMALL(IF(ISNUMBER(MATCH($B$2:$B$10000,$E$6:$E$22,0)),ROW($C$2:$C$10000)-ROW($C$2)+1),ROWS(M$20:M1904))))</f>
        <v/>
      </c>
      <c r="K1904" s="7" t="str">
        <f t="array" ref="K1904">IF(ROWS(K$20:K1904)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1904))))</f>
        <v/>
      </c>
      <c r="L1904" s="4" t="str">
        <f t="array" ref="L1904">IF(ROWS(L$20:L1904)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1904))))</f>
        <v/>
      </c>
      <c r="M1904" s="4" t="str">
        <f t="array" ref="M1904">IF(ROWS(M$20:M1904)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1904))))</f>
        <v/>
      </c>
    </row>
    <row r="1905" spans="1:13" x14ac:dyDescent="0.25">
      <c r="A1905" s="3">
        <v>41878</v>
      </c>
      <c r="B1905" s="2" t="s">
        <v>31</v>
      </c>
      <c r="C1905" s="2">
        <v>2</v>
      </c>
      <c r="G1905" s="7" t="str">
        <f t="array" ref="G1905">IF(ROWS(K$20:K1905)&gt;$F$6,"",INDEX(A$2:A$10000,SMALL(IF(ISNUMBER(MATCH($B$2:$B$10000,$E$6:$E$22,0)),ROW($C$2:$C$10000)-ROW($C$2)+1),ROWS(K$20:K1905))))</f>
        <v/>
      </c>
      <c r="H1905" s="4" t="str">
        <f t="array" ref="H1905">IF(ROWS(L$20:L1905)&gt;$F$6,"",INDEX(B$2:B$10000,SMALL(IF(ISNUMBER(MATCH($B$2:$B$10000,$E$6:$E$22,0)),ROW($C$2:$C$10000)-ROW($C$2)+1),ROWS(L$20:L1905))))</f>
        <v/>
      </c>
      <c r="I1905" s="4" t="str">
        <f t="array" ref="I1905">IF(ROWS(M$20:M1905)&gt;$F$6,"",INDEX(C$2:C$10000,SMALL(IF(ISNUMBER(MATCH($B$2:$B$10000,$E$6:$E$22,0)),ROW($C$2:$C$10000)-ROW($C$2)+1),ROWS(M$20:M1905))))</f>
        <v/>
      </c>
      <c r="K1905" s="7" t="str">
        <f t="array" ref="K1905">IF(ROWS(K$20:K1905)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1905))))</f>
        <v/>
      </c>
      <c r="L1905" s="4" t="str">
        <f t="array" ref="L1905">IF(ROWS(L$20:L1905)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1905))))</f>
        <v/>
      </c>
      <c r="M1905" s="4" t="str">
        <f t="array" ref="M1905">IF(ROWS(M$20:M1905)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1905))))</f>
        <v/>
      </c>
    </row>
    <row r="1906" spans="1:13" x14ac:dyDescent="0.25">
      <c r="A1906" s="3">
        <v>41855</v>
      </c>
      <c r="B1906" s="2" t="s">
        <v>35</v>
      </c>
      <c r="C1906" s="2">
        <v>20</v>
      </c>
      <c r="G1906" s="7" t="str">
        <f t="array" ref="G1906">IF(ROWS(K$20:K1906)&gt;$F$6,"",INDEX(A$2:A$10000,SMALL(IF(ISNUMBER(MATCH($B$2:$B$10000,$E$6:$E$22,0)),ROW($C$2:$C$10000)-ROW($C$2)+1),ROWS(K$20:K1906))))</f>
        <v/>
      </c>
      <c r="H1906" s="4" t="str">
        <f t="array" ref="H1906">IF(ROWS(L$20:L1906)&gt;$F$6,"",INDEX(B$2:B$10000,SMALL(IF(ISNUMBER(MATCH($B$2:$B$10000,$E$6:$E$22,0)),ROW($C$2:$C$10000)-ROW($C$2)+1),ROWS(L$20:L1906))))</f>
        <v/>
      </c>
      <c r="I1906" s="4" t="str">
        <f t="array" ref="I1906">IF(ROWS(M$20:M1906)&gt;$F$6,"",INDEX(C$2:C$10000,SMALL(IF(ISNUMBER(MATCH($B$2:$B$10000,$E$6:$E$22,0)),ROW($C$2:$C$10000)-ROW($C$2)+1),ROWS(M$20:M1906))))</f>
        <v/>
      </c>
      <c r="K1906" s="7" t="str">
        <f t="array" ref="K1906">IF(ROWS(K$20:K1906)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1906))))</f>
        <v/>
      </c>
      <c r="L1906" s="4" t="str">
        <f t="array" ref="L1906">IF(ROWS(L$20:L1906)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1906))))</f>
        <v/>
      </c>
      <c r="M1906" s="4" t="str">
        <f t="array" ref="M1906">IF(ROWS(M$20:M1906)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1906))))</f>
        <v/>
      </c>
    </row>
    <row r="1907" spans="1:13" x14ac:dyDescent="0.25">
      <c r="A1907" s="3">
        <v>41705</v>
      </c>
      <c r="B1907" s="2" t="s">
        <v>43</v>
      </c>
      <c r="C1907" s="2">
        <v>27</v>
      </c>
      <c r="G1907" s="7" t="str">
        <f t="array" ref="G1907">IF(ROWS(K$20:K1907)&gt;$F$6,"",INDEX(A$2:A$10000,SMALL(IF(ISNUMBER(MATCH($B$2:$B$10000,$E$6:$E$22,0)),ROW($C$2:$C$10000)-ROW($C$2)+1),ROWS(K$20:K1907))))</f>
        <v/>
      </c>
      <c r="H1907" s="4" t="str">
        <f t="array" ref="H1907">IF(ROWS(L$20:L1907)&gt;$F$6,"",INDEX(B$2:B$10000,SMALL(IF(ISNUMBER(MATCH($B$2:$B$10000,$E$6:$E$22,0)),ROW($C$2:$C$10000)-ROW($C$2)+1),ROWS(L$20:L1907))))</f>
        <v/>
      </c>
      <c r="I1907" s="4" t="str">
        <f t="array" ref="I1907">IF(ROWS(M$20:M1907)&gt;$F$6,"",INDEX(C$2:C$10000,SMALL(IF(ISNUMBER(MATCH($B$2:$B$10000,$E$6:$E$22,0)),ROW($C$2:$C$10000)-ROW($C$2)+1),ROWS(M$20:M1907))))</f>
        <v/>
      </c>
      <c r="K1907" s="7" t="str">
        <f t="array" ref="K1907">IF(ROWS(K$20:K1907)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1907))))</f>
        <v/>
      </c>
      <c r="L1907" s="4" t="str">
        <f t="array" ref="L1907">IF(ROWS(L$20:L1907)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1907))))</f>
        <v/>
      </c>
      <c r="M1907" s="4" t="str">
        <f t="array" ref="M1907">IF(ROWS(M$20:M1907)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1907))))</f>
        <v/>
      </c>
    </row>
    <row r="1908" spans="1:13" x14ac:dyDescent="0.25">
      <c r="A1908" s="3">
        <v>41390</v>
      </c>
      <c r="B1908" s="2" t="s">
        <v>25</v>
      </c>
      <c r="C1908" s="2">
        <v>30</v>
      </c>
      <c r="G1908" s="7" t="str">
        <f t="array" ref="G1908">IF(ROWS(K$20:K1908)&gt;$F$6,"",INDEX(A$2:A$10000,SMALL(IF(ISNUMBER(MATCH($B$2:$B$10000,$E$6:$E$22,0)),ROW($C$2:$C$10000)-ROW($C$2)+1),ROWS(K$20:K1908))))</f>
        <v/>
      </c>
      <c r="H1908" s="4" t="str">
        <f t="array" ref="H1908">IF(ROWS(L$20:L1908)&gt;$F$6,"",INDEX(B$2:B$10000,SMALL(IF(ISNUMBER(MATCH($B$2:$B$10000,$E$6:$E$22,0)),ROW($C$2:$C$10000)-ROW($C$2)+1),ROWS(L$20:L1908))))</f>
        <v/>
      </c>
      <c r="I1908" s="4" t="str">
        <f t="array" ref="I1908">IF(ROWS(M$20:M1908)&gt;$F$6,"",INDEX(C$2:C$10000,SMALL(IF(ISNUMBER(MATCH($B$2:$B$10000,$E$6:$E$22,0)),ROW($C$2:$C$10000)-ROW($C$2)+1),ROWS(M$20:M1908))))</f>
        <v/>
      </c>
      <c r="K1908" s="7" t="str">
        <f t="array" ref="K1908">IF(ROWS(K$20:K1908)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1908))))</f>
        <v/>
      </c>
      <c r="L1908" s="4" t="str">
        <f t="array" ref="L1908">IF(ROWS(L$20:L1908)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1908))))</f>
        <v/>
      </c>
      <c r="M1908" s="4" t="str">
        <f t="array" ref="M1908">IF(ROWS(M$20:M1908)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1908))))</f>
        <v/>
      </c>
    </row>
    <row r="1909" spans="1:13" x14ac:dyDescent="0.25">
      <c r="A1909" s="3">
        <v>41779</v>
      </c>
      <c r="B1909" s="2" t="s">
        <v>9</v>
      </c>
      <c r="C1909" s="2">
        <v>36</v>
      </c>
      <c r="G1909" s="7" t="str">
        <f t="array" ref="G1909">IF(ROWS(K$20:K1909)&gt;$F$6,"",INDEX(A$2:A$10000,SMALL(IF(ISNUMBER(MATCH($B$2:$B$10000,$E$6:$E$22,0)),ROW($C$2:$C$10000)-ROW($C$2)+1),ROWS(K$20:K1909))))</f>
        <v/>
      </c>
      <c r="H1909" s="4" t="str">
        <f t="array" ref="H1909">IF(ROWS(L$20:L1909)&gt;$F$6,"",INDEX(B$2:B$10000,SMALL(IF(ISNUMBER(MATCH($B$2:$B$10000,$E$6:$E$22,0)),ROW($C$2:$C$10000)-ROW($C$2)+1),ROWS(L$20:L1909))))</f>
        <v/>
      </c>
      <c r="I1909" s="4" t="str">
        <f t="array" ref="I1909">IF(ROWS(M$20:M1909)&gt;$F$6,"",INDEX(C$2:C$10000,SMALL(IF(ISNUMBER(MATCH($B$2:$B$10000,$E$6:$E$22,0)),ROW($C$2:$C$10000)-ROW($C$2)+1),ROWS(M$20:M1909))))</f>
        <v/>
      </c>
      <c r="K1909" s="7" t="str">
        <f t="array" ref="K1909">IF(ROWS(K$20:K1909)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1909))))</f>
        <v/>
      </c>
      <c r="L1909" s="4" t="str">
        <f t="array" ref="L1909">IF(ROWS(L$20:L1909)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1909))))</f>
        <v/>
      </c>
      <c r="M1909" s="4" t="str">
        <f t="array" ref="M1909">IF(ROWS(M$20:M1909)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1909))))</f>
        <v/>
      </c>
    </row>
    <row r="1910" spans="1:13" x14ac:dyDescent="0.25">
      <c r="A1910" s="3">
        <v>41929</v>
      </c>
      <c r="B1910" s="2" t="s">
        <v>39</v>
      </c>
      <c r="C1910" s="2">
        <v>34</v>
      </c>
      <c r="G1910" s="7" t="str">
        <f t="array" ref="G1910">IF(ROWS(K$20:K1910)&gt;$F$6,"",INDEX(A$2:A$10000,SMALL(IF(ISNUMBER(MATCH($B$2:$B$10000,$E$6:$E$22,0)),ROW($C$2:$C$10000)-ROW($C$2)+1),ROWS(K$20:K1910))))</f>
        <v/>
      </c>
      <c r="H1910" s="4" t="str">
        <f t="array" ref="H1910">IF(ROWS(L$20:L1910)&gt;$F$6,"",INDEX(B$2:B$10000,SMALL(IF(ISNUMBER(MATCH($B$2:$B$10000,$E$6:$E$22,0)),ROW($C$2:$C$10000)-ROW($C$2)+1),ROWS(L$20:L1910))))</f>
        <v/>
      </c>
      <c r="I1910" s="4" t="str">
        <f t="array" ref="I1910">IF(ROWS(M$20:M1910)&gt;$F$6,"",INDEX(C$2:C$10000,SMALL(IF(ISNUMBER(MATCH($B$2:$B$10000,$E$6:$E$22,0)),ROW($C$2:$C$10000)-ROW($C$2)+1),ROWS(M$20:M1910))))</f>
        <v/>
      </c>
      <c r="K1910" s="7" t="str">
        <f t="array" ref="K1910">IF(ROWS(K$20:K1910)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1910))))</f>
        <v/>
      </c>
      <c r="L1910" s="4" t="str">
        <f t="array" ref="L1910">IF(ROWS(L$20:L1910)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1910))))</f>
        <v/>
      </c>
      <c r="M1910" s="4" t="str">
        <f t="array" ref="M1910">IF(ROWS(M$20:M1910)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1910))))</f>
        <v/>
      </c>
    </row>
    <row r="1911" spans="1:13" x14ac:dyDescent="0.25">
      <c r="A1911" s="3">
        <v>41481</v>
      </c>
      <c r="B1911" s="2" t="s">
        <v>26</v>
      </c>
      <c r="C1911" s="2">
        <v>15</v>
      </c>
      <c r="G1911" s="7" t="str">
        <f t="array" ref="G1911">IF(ROWS(K$20:K1911)&gt;$F$6,"",INDEX(A$2:A$10000,SMALL(IF(ISNUMBER(MATCH($B$2:$B$10000,$E$6:$E$22,0)),ROW($C$2:$C$10000)-ROW($C$2)+1),ROWS(K$20:K1911))))</f>
        <v/>
      </c>
      <c r="H1911" s="4" t="str">
        <f t="array" ref="H1911">IF(ROWS(L$20:L1911)&gt;$F$6,"",INDEX(B$2:B$10000,SMALL(IF(ISNUMBER(MATCH($B$2:$B$10000,$E$6:$E$22,0)),ROW($C$2:$C$10000)-ROW($C$2)+1),ROWS(L$20:L1911))))</f>
        <v/>
      </c>
      <c r="I1911" s="4" t="str">
        <f t="array" ref="I1911">IF(ROWS(M$20:M1911)&gt;$F$6,"",INDEX(C$2:C$10000,SMALL(IF(ISNUMBER(MATCH($B$2:$B$10000,$E$6:$E$22,0)),ROW($C$2:$C$10000)-ROW($C$2)+1),ROWS(M$20:M1911))))</f>
        <v/>
      </c>
      <c r="K1911" s="7" t="str">
        <f t="array" ref="K1911">IF(ROWS(K$20:K1911)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1911))))</f>
        <v/>
      </c>
      <c r="L1911" s="4" t="str">
        <f t="array" ref="L1911">IF(ROWS(L$20:L1911)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1911))))</f>
        <v/>
      </c>
      <c r="M1911" s="4" t="str">
        <f t="array" ref="M1911">IF(ROWS(M$20:M1911)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1911))))</f>
        <v/>
      </c>
    </row>
    <row r="1912" spans="1:13" x14ac:dyDescent="0.25">
      <c r="A1912" s="3">
        <v>41496</v>
      </c>
      <c r="B1912" s="2" t="s">
        <v>27</v>
      </c>
      <c r="C1912" s="2">
        <v>47</v>
      </c>
      <c r="G1912" s="7" t="str">
        <f t="array" ref="G1912">IF(ROWS(K$20:K1912)&gt;$F$6,"",INDEX(A$2:A$10000,SMALL(IF(ISNUMBER(MATCH($B$2:$B$10000,$E$6:$E$22,0)),ROW($C$2:$C$10000)-ROW($C$2)+1),ROWS(K$20:K1912))))</f>
        <v/>
      </c>
      <c r="H1912" s="4" t="str">
        <f t="array" ref="H1912">IF(ROWS(L$20:L1912)&gt;$F$6,"",INDEX(B$2:B$10000,SMALL(IF(ISNUMBER(MATCH($B$2:$B$10000,$E$6:$E$22,0)),ROW($C$2:$C$10000)-ROW($C$2)+1),ROWS(L$20:L1912))))</f>
        <v/>
      </c>
      <c r="I1912" s="4" t="str">
        <f t="array" ref="I1912">IF(ROWS(M$20:M1912)&gt;$F$6,"",INDEX(C$2:C$10000,SMALL(IF(ISNUMBER(MATCH($B$2:$B$10000,$E$6:$E$22,0)),ROW($C$2:$C$10000)-ROW($C$2)+1),ROWS(M$20:M1912))))</f>
        <v/>
      </c>
      <c r="K1912" s="7" t="str">
        <f t="array" ref="K1912">IF(ROWS(K$20:K1912)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1912))))</f>
        <v/>
      </c>
      <c r="L1912" s="4" t="str">
        <f t="array" ref="L1912">IF(ROWS(L$20:L1912)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1912))))</f>
        <v/>
      </c>
      <c r="M1912" s="4" t="str">
        <f t="array" ref="M1912">IF(ROWS(M$20:M1912)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1912))))</f>
        <v/>
      </c>
    </row>
    <row r="1913" spans="1:13" x14ac:dyDescent="0.25">
      <c r="A1913" s="3">
        <v>41550</v>
      </c>
      <c r="B1913" s="2" t="s">
        <v>4</v>
      </c>
      <c r="C1913" s="2">
        <v>36</v>
      </c>
      <c r="G1913" s="7" t="str">
        <f t="array" ref="G1913">IF(ROWS(K$20:K1913)&gt;$F$6,"",INDEX(A$2:A$10000,SMALL(IF(ISNUMBER(MATCH($B$2:$B$10000,$E$6:$E$22,0)),ROW($C$2:$C$10000)-ROW($C$2)+1),ROWS(K$20:K1913))))</f>
        <v/>
      </c>
      <c r="H1913" s="4" t="str">
        <f t="array" ref="H1913">IF(ROWS(L$20:L1913)&gt;$F$6,"",INDEX(B$2:B$10000,SMALL(IF(ISNUMBER(MATCH($B$2:$B$10000,$E$6:$E$22,0)),ROW($C$2:$C$10000)-ROW($C$2)+1),ROWS(L$20:L1913))))</f>
        <v/>
      </c>
      <c r="I1913" s="4" t="str">
        <f t="array" ref="I1913">IF(ROWS(M$20:M1913)&gt;$F$6,"",INDEX(C$2:C$10000,SMALL(IF(ISNUMBER(MATCH($B$2:$B$10000,$E$6:$E$22,0)),ROW($C$2:$C$10000)-ROW($C$2)+1),ROWS(M$20:M1913))))</f>
        <v/>
      </c>
      <c r="K1913" s="7" t="str">
        <f t="array" ref="K1913">IF(ROWS(K$20:K1913)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1913))))</f>
        <v/>
      </c>
      <c r="L1913" s="4" t="str">
        <f t="array" ref="L1913">IF(ROWS(L$20:L1913)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1913))))</f>
        <v/>
      </c>
      <c r="M1913" s="4" t="str">
        <f t="array" ref="M1913">IF(ROWS(M$20:M1913)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1913))))</f>
        <v/>
      </c>
    </row>
    <row r="1914" spans="1:13" x14ac:dyDescent="0.25">
      <c r="A1914" s="3">
        <v>41887</v>
      </c>
      <c r="B1914" s="2" t="s">
        <v>47</v>
      </c>
      <c r="C1914" s="2">
        <v>30</v>
      </c>
      <c r="G1914" s="7" t="str">
        <f t="array" ref="G1914">IF(ROWS(K$20:K1914)&gt;$F$6,"",INDEX(A$2:A$10000,SMALL(IF(ISNUMBER(MATCH($B$2:$B$10000,$E$6:$E$22,0)),ROW($C$2:$C$10000)-ROW($C$2)+1),ROWS(K$20:K1914))))</f>
        <v/>
      </c>
      <c r="H1914" s="4" t="str">
        <f t="array" ref="H1914">IF(ROWS(L$20:L1914)&gt;$F$6,"",INDEX(B$2:B$10000,SMALL(IF(ISNUMBER(MATCH($B$2:$B$10000,$E$6:$E$22,0)),ROW($C$2:$C$10000)-ROW($C$2)+1),ROWS(L$20:L1914))))</f>
        <v/>
      </c>
      <c r="I1914" s="4" t="str">
        <f t="array" ref="I1914">IF(ROWS(M$20:M1914)&gt;$F$6,"",INDEX(C$2:C$10000,SMALL(IF(ISNUMBER(MATCH($B$2:$B$10000,$E$6:$E$22,0)),ROW($C$2:$C$10000)-ROW($C$2)+1),ROWS(M$20:M1914))))</f>
        <v/>
      </c>
      <c r="K1914" s="7" t="str">
        <f t="array" ref="K1914">IF(ROWS(K$20:K1914)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1914))))</f>
        <v/>
      </c>
      <c r="L1914" s="4" t="str">
        <f t="array" ref="L1914">IF(ROWS(L$20:L1914)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1914))))</f>
        <v/>
      </c>
      <c r="M1914" s="4" t="str">
        <f t="array" ref="M1914">IF(ROWS(M$20:M1914)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1914))))</f>
        <v/>
      </c>
    </row>
    <row r="1915" spans="1:13" x14ac:dyDescent="0.25">
      <c r="A1915" s="3">
        <v>41443</v>
      </c>
      <c r="B1915" s="2" t="s">
        <v>31</v>
      </c>
      <c r="C1915" s="2">
        <v>35</v>
      </c>
      <c r="G1915" s="7" t="str">
        <f t="array" ref="G1915">IF(ROWS(K$20:K1915)&gt;$F$6,"",INDEX(A$2:A$10000,SMALL(IF(ISNUMBER(MATCH($B$2:$B$10000,$E$6:$E$22,0)),ROW($C$2:$C$10000)-ROW($C$2)+1),ROWS(K$20:K1915))))</f>
        <v/>
      </c>
      <c r="H1915" s="4" t="str">
        <f t="array" ref="H1915">IF(ROWS(L$20:L1915)&gt;$F$6,"",INDEX(B$2:B$10000,SMALL(IF(ISNUMBER(MATCH($B$2:$B$10000,$E$6:$E$22,0)),ROW($C$2:$C$10000)-ROW($C$2)+1),ROWS(L$20:L1915))))</f>
        <v/>
      </c>
      <c r="I1915" s="4" t="str">
        <f t="array" ref="I1915">IF(ROWS(M$20:M1915)&gt;$F$6,"",INDEX(C$2:C$10000,SMALL(IF(ISNUMBER(MATCH($B$2:$B$10000,$E$6:$E$22,0)),ROW($C$2:$C$10000)-ROW($C$2)+1),ROWS(M$20:M1915))))</f>
        <v/>
      </c>
      <c r="K1915" s="7" t="str">
        <f t="array" ref="K1915">IF(ROWS(K$20:K1915)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1915))))</f>
        <v/>
      </c>
      <c r="L1915" s="4" t="str">
        <f t="array" ref="L1915">IF(ROWS(L$20:L1915)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1915))))</f>
        <v/>
      </c>
      <c r="M1915" s="4" t="str">
        <f t="array" ref="M1915">IF(ROWS(M$20:M1915)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1915))))</f>
        <v/>
      </c>
    </row>
    <row r="1916" spans="1:13" x14ac:dyDescent="0.25">
      <c r="A1916" s="3">
        <v>41624</v>
      </c>
      <c r="B1916" s="2" t="s">
        <v>45</v>
      </c>
      <c r="C1916" s="2">
        <v>34</v>
      </c>
      <c r="G1916" s="7" t="str">
        <f t="array" ref="G1916">IF(ROWS(K$20:K1916)&gt;$F$6,"",INDEX(A$2:A$10000,SMALL(IF(ISNUMBER(MATCH($B$2:$B$10000,$E$6:$E$22,0)),ROW($C$2:$C$10000)-ROW($C$2)+1),ROWS(K$20:K1916))))</f>
        <v/>
      </c>
      <c r="H1916" s="4" t="str">
        <f t="array" ref="H1916">IF(ROWS(L$20:L1916)&gt;$F$6,"",INDEX(B$2:B$10000,SMALL(IF(ISNUMBER(MATCH($B$2:$B$10000,$E$6:$E$22,0)),ROW($C$2:$C$10000)-ROW($C$2)+1),ROWS(L$20:L1916))))</f>
        <v/>
      </c>
      <c r="I1916" s="4" t="str">
        <f t="array" ref="I1916">IF(ROWS(M$20:M1916)&gt;$F$6,"",INDEX(C$2:C$10000,SMALL(IF(ISNUMBER(MATCH($B$2:$B$10000,$E$6:$E$22,0)),ROW($C$2:$C$10000)-ROW($C$2)+1),ROWS(M$20:M1916))))</f>
        <v/>
      </c>
      <c r="K1916" s="7" t="str">
        <f t="array" ref="K1916">IF(ROWS(K$20:K1916)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1916))))</f>
        <v/>
      </c>
      <c r="L1916" s="4" t="str">
        <f t="array" ref="L1916">IF(ROWS(L$20:L1916)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1916))))</f>
        <v/>
      </c>
      <c r="M1916" s="4" t="str">
        <f t="array" ref="M1916">IF(ROWS(M$20:M1916)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1916))))</f>
        <v/>
      </c>
    </row>
    <row r="1917" spans="1:13" x14ac:dyDescent="0.25">
      <c r="A1917" s="3">
        <v>41919</v>
      </c>
      <c r="B1917" s="2" t="s">
        <v>34</v>
      </c>
      <c r="C1917" s="2">
        <v>2</v>
      </c>
      <c r="G1917" s="7" t="str">
        <f t="array" ref="G1917">IF(ROWS(K$20:K1917)&gt;$F$6,"",INDEX(A$2:A$10000,SMALL(IF(ISNUMBER(MATCH($B$2:$B$10000,$E$6:$E$22,0)),ROW($C$2:$C$10000)-ROW($C$2)+1),ROWS(K$20:K1917))))</f>
        <v/>
      </c>
      <c r="H1917" s="4" t="str">
        <f t="array" ref="H1917">IF(ROWS(L$20:L1917)&gt;$F$6,"",INDEX(B$2:B$10000,SMALL(IF(ISNUMBER(MATCH($B$2:$B$10000,$E$6:$E$22,0)),ROW($C$2:$C$10000)-ROW($C$2)+1),ROWS(L$20:L1917))))</f>
        <v/>
      </c>
      <c r="I1917" s="4" t="str">
        <f t="array" ref="I1917">IF(ROWS(M$20:M1917)&gt;$F$6,"",INDEX(C$2:C$10000,SMALL(IF(ISNUMBER(MATCH($B$2:$B$10000,$E$6:$E$22,0)),ROW($C$2:$C$10000)-ROW($C$2)+1),ROWS(M$20:M1917))))</f>
        <v/>
      </c>
      <c r="K1917" s="7" t="str">
        <f t="array" ref="K1917">IF(ROWS(K$20:K1917)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1917))))</f>
        <v/>
      </c>
      <c r="L1917" s="4" t="str">
        <f t="array" ref="L1917">IF(ROWS(L$20:L1917)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1917))))</f>
        <v/>
      </c>
      <c r="M1917" s="4" t="str">
        <f t="array" ref="M1917">IF(ROWS(M$20:M1917)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1917))))</f>
        <v/>
      </c>
    </row>
    <row r="1918" spans="1:13" x14ac:dyDescent="0.25">
      <c r="A1918" s="3">
        <v>41636</v>
      </c>
      <c r="B1918" s="2" t="s">
        <v>13</v>
      </c>
      <c r="C1918" s="2">
        <v>35</v>
      </c>
      <c r="G1918" s="7" t="str">
        <f t="array" ref="G1918">IF(ROWS(K$20:K1918)&gt;$F$6,"",INDEX(A$2:A$10000,SMALL(IF(ISNUMBER(MATCH($B$2:$B$10000,$E$6:$E$22,0)),ROW($C$2:$C$10000)-ROW($C$2)+1),ROWS(K$20:K1918))))</f>
        <v/>
      </c>
      <c r="H1918" s="4" t="str">
        <f t="array" ref="H1918">IF(ROWS(L$20:L1918)&gt;$F$6,"",INDEX(B$2:B$10000,SMALL(IF(ISNUMBER(MATCH($B$2:$B$10000,$E$6:$E$22,0)),ROW($C$2:$C$10000)-ROW($C$2)+1),ROWS(L$20:L1918))))</f>
        <v/>
      </c>
      <c r="I1918" s="4" t="str">
        <f t="array" ref="I1918">IF(ROWS(M$20:M1918)&gt;$F$6,"",INDEX(C$2:C$10000,SMALL(IF(ISNUMBER(MATCH($B$2:$B$10000,$E$6:$E$22,0)),ROW($C$2:$C$10000)-ROW($C$2)+1),ROWS(M$20:M1918))))</f>
        <v/>
      </c>
      <c r="K1918" s="7" t="str">
        <f t="array" ref="K1918">IF(ROWS(K$20:K1918)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1918))))</f>
        <v/>
      </c>
      <c r="L1918" s="4" t="str">
        <f t="array" ref="L1918">IF(ROWS(L$20:L1918)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1918))))</f>
        <v/>
      </c>
      <c r="M1918" s="4" t="str">
        <f t="array" ref="M1918">IF(ROWS(M$20:M1918)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1918))))</f>
        <v/>
      </c>
    </row>
    <row r="1919" spans="1:13" x14ac:dyDescent="0.25">
      <c r="A1919" s="3">
        <v>41937</v>
      </c>
      <c r="B1919" s="2" t="s">
        <v>12</v>
      </c>
      <c r="C1919" s="2">
        <v>32</v>
      </c>
      <c r="G1919" s="7" t="str">
        <f t="array" ref="G1919">IF(ROWS(K$20:K1919)&gt;$F$6,"",INDEX(A$2:A$10000,SMALL(IF(ISNUMBER(MATCH($B$2:$B$10000,$E$6:$E$22,0)),ROW($C$2:$C$10000)-ROW($C$2)+1),ROWS(K$20:K1919))))</f>
        <v/>
      </c>
      <c r="H1919" s="4" t="str">
        <f t="array" ref="H1919">IF(ROWS(L$20:L1919)&gt;$F$6,"",INDEX(B$2:B$10000,SMALL(IF(ISNUMBER(MATCH($B$2:$B$10000,$E$6:$E$22,0)),ROW($C$2:$C$10000)-ROW($C$2)+1),ROWS(L$20:L1919))))</f>
        <v/>
      </c>
      <c r="I1919" s="4" t="str">
        <f t="array" ref="I1919">IF(ROWS(M$20:M1919)&gt;$F$6,"",INDEX(C$2:C$10000,SMALL(IF(ISNUMBER(MATCH($B$2:$B$10000,$E$6:$E$22,0)),ROW($C$2:$C$10000)-ROW($C$2)+1),ROWS(M$20:M1919))))</f>
        <v/>
      </c>
      <c r="K1919" s="7" t="str">
        <f t="array" ref="K1919">IF(ROWS(K$20:K1919)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1919))))</f>
        <v/>
      </c>
      <c r="L1919" s="4" t="str">
        <f t="array" ref="L1919">IF(ROWS(L$20:L1919)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1919))))</f>
        <v/>
      </c>
      <c r="M1919" s="4" t="str">
        <f t="array" ref="M1919">IF(ROWS(M$20:M1919)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1919))))</f>
        <v/>
      </c>
    </row>
    <row r="1920" spans="1:13" x14ac:dyDescent="0.25">
      <c r="A1920" s="3">
        <v>42004</v>
      </c>
      <c r="B1920" s="2" t="s">
        <v>17</v>
      </c>
      <c r="C1920" s="2">
        <v>19</v>
      </c>
      <c r="G1920" s="7" t="str">
        <f t="array" ref="G1920">IF(ROWS(K$20:K1920)&gt;$F$6,"",INDEX(A$2:A$10000,SMALL(IF(ISNUMBER(MATCH($B$2:$B$10000,$E$6:$E$22,0)),ROW($C$2:$C$10000)-ROW($C$2)+1),ROWS(K$20:K1920))))</f>
        <v/>
      </c>
      <c r="H1920" s="4" t="str">
        <f t="array" ref="H1920">IF(ROWS(L$20:L1920)&gt;$F$6,"",INDEX(B$2:B$10000,SMALL(IF(ISNUMBER(MATCH($B$2:$B$10000,$E$6:$E$22,0)),ROW($C$2:$C$10000)-ROW($C$2)+1),ROWS(L$20:L1920))))</f>
        <v/>
      </c>
      <c r="I1920" s="4" t="str">
        <f t="array" ref="I1920">IF(ROWS(M$20:M1920)&gt;$F$6,"",INDEX(C$2:C$10000,SMALL(IF(ISNUMBER(MATCH($B$2:$B$10000,$E$6:$E$22,0)),ROW($C$2:$C$10000)-ROW($C$2)+1),ROWS(M$20:M1920))))</f>
        <v/>
      </c>
      <c r="K1920" s="7" t="str">
        <f t="array" ref="K1920">IF(ROWS(K$20:K1920)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1920))))</f>
        <v/>
      </c>
      <c r="L1920" s="4" t="str">
        <f t="array" ref="L1920">IF(ROWS(L$20:L1920)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1920))))</f>
        <v/>
      </c>
      <c r="M1920" s="4" t="str">
        <f t="array" ref="M1920">IF(ROWS(M$20:M1920)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1920))))</f>
        <v/>
      </c>
    </row>
    <row r="1921" spans="1:13" x14ac:dyDescent="0.25">
      <c r="A1921" s="3">
        <v>41807</v>
      </c>
      <c r="B1921" s="2" t="s">
        <v>41</v>
      </c>
      <c r="C1921" s="2">
        <v>49</v>
      </c>
      <c r="G1921" s="7" t="str">
        <f t="array" ref="G1921">IF(ROWS(K$20:K1921)&gt;$F$6,"",INDEX(A$2:A$10000,SMALL(IF(ISNUMBER(MATCH($B$2:$B$10000,$E$6:$E$22,0)),ROW($C$2:$C$10000)-ROW($C$2)+1),ROWS(K$20:K1921))))</f>
        <v/>
      </c>
      <c r="H1921" s="4" t="str">
        <f t="array" ref="H1921">IF(ROWS(L$20:L1921)&gt;$F$6,"",INDEX(B$2:B$10000,SMALL(IF(ISNUMBER(MATCH($B$2:$B$10000,$E$6:$E$22,0)),ROW($C$2:$C$10000)-ROW($C$2)+1),ROWS(L$20:L1921))))</f>
        <v/>
      </c>
      <c r="I1921" s="4" t="str">
        <f t="array" ref="I1921">IF(ROWS(M$20:M1921)&gt;$F$6,"",INDEX(C$2:C$10000,SMALL(IF(ISNUMBER(MATCH($B$2:$B$10000,$E$6:$E$22,0)),ROW($C$2:$C$10000)-ROW($C$2)+1),ROWS(M$20:M1921))))</f>
        <v/>
      </c>
      <c r="K1921" s="7" t="str">
        <f t="array" ref="K1921">IF(ROWS(K$20:K1921)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1921))))</f>
        <v/>
      </c>
      <c r="L1921" s="4" t="str">
        <f t="array" ref="L1921">IF(ROWS(L$20:L1921)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1921))))</f>
        <v/>
      </c>
      <c r="M1921" s="4" t="str">
        <f t="array" ref="M1921">IF(ROWS(M$20:M1921)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1921))))</f>
        <v/>
      </c>
    </row>
    <row r="1922" spans="1:13" x14ac:dyDescent="0.25">
      <c r="A1922" s="3">
        <v>41984</v>
      </c>
      <c r="B1922" s="2" t="s">
        <v>42</v>
      </c>
      <c r="C1922" s="2">
        <v>10</v>
      </c>
      <c r="G1922" s="7" t="str">
        <f t="array" ref="G1922">IF(ROWS(K$20:K1922)&gt;$F$6,"",INDEX(A$2:A$10000,SMALL(IF(ISNUMBER(MATCH($B$2:$B$10000,$E$6:$E$22,0)),ROW($C$2:$C$10000)-ROW($C$2)+1),ROWS(K$20:K1922))))</f>
        <v/>
      </c>
      <c r="H1922" s="4" t="str">
        <f t="array" ref="H1922">IF(ROWS(L$20:L1922)&gt;$F$6,"",INDEX(B$2:B$10000,SMALL(IF(ISNUMBER(MATCH($B$2:$B$10000,$E$6:$E$22,0)),ROW($C$2:$C$10000)-ROW($C$2)+1),ROWS(L$20:L1922))))</f>
        <v/>
      </c>
      <c r="I1922" s="4" t="str">
        <f t="array" ref="I1922">IF(ROWS(M$20:M1922)&gt;$F$6,"",INDEX(C$2:C$10000,SMALL(IF(ISNUMBER(MATCH($B$2:$B$10000,$E$6:$E$22,0)),ROW($C$2:$C$10000)-ROW($C$2)+1),ROWS(M$20:M1922))))</f>
        <v/>
      </c>
      <c r="K1922" s="7" t="str">
        <f t="array" ref="K1922">IF(ROWS(K$20:K1922)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1922))))</f>
        <v/>
      </c>
      <c r="L1922" s="4" t="str">
        <f t="array" ref="L1922">IF(ROWS(L$20:L1922)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1922))))</f>
        <v/>
      </c>
      <c r="M1922" s="4" t="str">
        <f t="array" ref="M1922">IF(ROWS(M$20:M1922)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1922))))</f>
        <v/>
      </c>
    </row>
    <row r="1923" spans="1:13" x14ac:dyDescent="0.25">
      <c r="A1923" s="3">
        <v>41668</v>
      </c>
      <c r="B1923" s="2" t="s">
        <v>26</v>
      </c>
      <c r="C1923" s="2">
        <v>19</v>
      </c>
      <c r="G1923" s="7" t="str">
        <f t="array" ref="G1923">IF(ROWS(K$20:K1923)&gt;$F$6,"",INDEX(A$2:A$10000,SMALL(IF(ISNUMBER(MATCH($B$2:$B$10000,$E$6:$E$22,0)),ROW($C$2:$C$10000)-ROW($C$2)+1),ROWS(K$20:K1923))))</f>
        <v/>
      </c>
      <c r="H1923" s="4" t="str">
        <f t="array" ref="H1923">IF(ROWS(L$20:L1923)&gt;$F$6,"",INDEX(B$2:B$10000,SMALL(IF(ISNUMBER(MATCH($B$2:$B$10000,$E$6:$E$22,0)),ROW($C$2:$C$10000)-ROW($C$2)+1),ROWS(L$20:L1923))))</f>
        <v/>
      </c>
      <c r="I1923" s="4" t="str">
        <f t="array" ref="I1923">IF(ROWS(M$20:M1923)&gt;$F$6,"",INDEX(C$2:C$10000,SMALL(IF(ISNUMBER(MATCH($B$2:$B$10000,$E$6:$E$22,0)),ROW($C$2:$C$10000)-ROW($C$2)+1),ROWS(M$20:M1923))))</f>
        <v/>
      </c>
      <c r="K1923" s="7" t="str">
        <f t="array" ref="K1923">IF(ROWS(K$20:K1923)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1923))))</f>
        <v/>
      </c>
      <c r="L1923" s="4" t="str">
        <f t="array" ref="L1923">IF(ROWS(L$20:L1923)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1923))))</f>
        <v/>
      </c>
      <c r="M1923" s="4" t="str">
        <f t="array" ref="M1923">IF(ROWS(M$20:M1923)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1923))))</f>
        <v/>
      </c>
    </row>
    <row r="1924" spans="1:13" x14ac:dyDescent="0.25">
      <c r="A1924" s="3">
        <v>41622</v>
      </c>
      <c r="B1924" s="2" t="s">
        <v>50</v>
      </c>
      <c r="C1924" s="2">
        <v>28</v>
      </c>
      <c r="G1924" s="7" t="str">
        <f t="array" ref="G1924">IF(ROWS(K$20:K1924)&gt;$F$6,"",INDEX(A$2:A$10000,SMALL(IF(ISNUMBER(MATCH($B$2:$B$10000,$E$6:$E$22,0)),ROW($C$2:$C$10000)-ROW($C$2)+1),ROWS(K$20:K1924))))</f>
        <v/>
      </c>
      <c r="H1924" s="4" t="str">
        <f t="array" ref="H1924">IF(ROWS(L$20:L1924)&gt;$F$6,"",INDEX(B$2:B$10000,SMALL(IF(ISNUMBER(MATCH($B$2:$B$10000,$E$6:$E$22,0)),ROW($C$2:$C$10000)-ROW($C$2)+1),ROWS(L$20:L1924))))</f>
        <v/>
      </c>
      <c r="I1924" s="4" t="str">
        <f t="array" ref="I1924">IF(ROWS(M$20:M1924)&gt;$F$6,"",INDEX(C$2:C$10000,SMALL(IF(ISNUMBER(MATCH($B$2:$B$10000,$E$6:$E$22,0)),ROW($C$2:$C$10000)-ROW($C$2)+1),ROWS(M$20:M1924))))</f>
        <v/>
      </c>
      <c r="K1924" s="7" t="str">
        <f t="array" ref="K1924">IF(ROWS(K$20:K1924)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1924))))</f>
        <v/>
      </c>
      <c r="L1924" s="4" t="str">
        <f t="array" ref="L1924">IF(ROWS(L$20:L1924)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1924))))</f>
        <v/>
      </c>
      <c r="M1924" s="4" t="str">
        <f t="array" ref="M1924">IF(ROWS(M$20:M1924)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1924))))</f>
        <v/>
      </c>
    </row>
    <row r="1925" spans="1:13" x14ac:dyDescent="0.25">
      <c r="A1925" s="3">
        <v>41318</v>
      </c>
      <c r="B1925" s="2" t="s">
        <v>16</v>
      </c>
      <c r="C1925" s="2">
        <v>51</v>
      </c>
      <c r="G1925" s="7" t="str">
        <f t="array" ref="G1925">IF(ROWS(K$20:K1925)&gt;$F$6,"",INDEX(A$2:A$10000,SMALL(IF(ISNUMBER(MATCH($B$2:$B$10000,$E$6:$E$22,0)),ROW($C$2:$C$10000)-ROW($C$2)+1),ROWS(K$20:K1925))))</f>
        <v/>
      </c>
      <c r="H1925" s="4" t="str">
        <f t="array" ref="H1925">IF(ROWS(L$20:L1925)&gt;$F$6,"",INDEX(B$2:B$10000,SMALL(IF(ISNUMBER(MATCH($B$2:$B$10000,$E$6:$E$22,0)),ROW($C$2:$C$10000)-ROW($C$2)+1),ROWS(L$20:L1925))))</f>
        <v/>
      </c>
      <c r="I1925" s="4" t="str">
        <f t="array" ref="I1925">IF(ROWS(M$20:M1925)&gt;$F$6,"",INDEX(C$2:C$10000,SMALL(IF(ISNUMBER(MATCH($B$2:$B$10000,$E$6:$E$22,0)),ROW($C$2:$C$10000)-ROW($C$2)+1),ROWS(M$20:M1925))))</f>
        <v/>
      </c>
      <c r="K1925" s="7" t="str">
        <f t="array" ref="K1925">IF(ROWS(K$20:K1925)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1925))))</f>
        <v/>
      </c>
      <c r="L1925" s="4" t="str">
        <f t="array" ref="L1925">IF(ROWS(L$20:L1925)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1925))))</f>
        <v/>
      </c>
      <c r="M1925" s="4" t="str">
        <f t="array" ref="M1925">IF(ROWS(M$20:M1925)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1925))))</f>
        <v/>
      </c>
    </row>
    <row r="1926" spans="1:13" x14ac:dyDescent="0.25">
      <c r="A1926" s="3">
        <v>41332</v>
      </c>
      <c r="B1926" s="2" t="s">
        <v>40</v>
      </c>
      <c r="C1926" s="2">
        <v>15</v>
      </c>
      <c r="G1926" s="7" t="str">
        <f t="array" ref="G1926">IF(ROWS(K$20:K1926)&gt;$F$6,"",INDEX(A$2:A$10000,SMALL(IF(ISNUMBER(MATCH($B$2:$B$10000,$E$6:$E$22,0)),ROW($C$2:$C$10000)-ROW($C$2)+1),ROWS(K$20:K1926))))</f>
        <v/>
      </c>
      <c r="H1926" s="4" t="str">
        <f t="array" ref="H1926">IF(ROWS(L$20:L1926)&gt;$F$6,"",INDEX(B$2:B$10000,SMALL(IF(ISNUMBER(MATCH($B$2:$B$10000,$E$6:$E$22,0)),ROW($C$2:$C$10000)-ROW($C$2)+1),ROWS(L$20:L1926))))</f>
        <v/>
      </c>
      <c r="I1926" s="4" t="str">
        <f t="array" ref="I1926">IF(ROWS(M$20:M1926)&gt;$F$6,"",INDEX(C$2:C$10000,SMALL(IF(ISNUMBER(MATCH($B$2:$B$10000,$E$6:$E$22,0)),ROW($C$2:$C$10000)-ROW($C$2)+1),ROWS(M$20:M1926))))</f>
        <v/>
      </c>
      <c r="K1926" s="7" t="str">
        <f t="array" ref="K1926">IF(ROWS(K$20:K1926)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1926))))</f>
        <v/>
      </c>
      <c r="L1926" s="4" t="str">
        <f t="array" ref="L1926">IF(ROWS(L$20:L1926)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1926))))</f>
        <v/>
      </c>
      <c r="M1926" s="4" t="str">
        <f t="array" ref="M1926">IF(ROWS(M$20:M1926)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1926))))</f>
        <v/>
      </c>
    </row>
    <row r="1927" spans="1:13" x14ac:dyDescent="0.25">
      <c r="A1927" s="3">
        <v>41916</v>
      </c>
      <c r="B1927" s="2" t="s">
        <v>15</v>
      </c>
      <c r="C1927" s="2">
        <v>13</v>
      </c>
      <c r="G1927" s="7" t="str">
        <f t="array" ref="G1927">IF(ROWS(K$20:K1927)&gt;$F$6,"",INDEX(A$2:A$10000,SMALL(IF(ISNUMBER(MATCH($B$2:$B$10000,$E$6:$E$22,0)),ROW($C$2:$C$10000)-ROW($C$2)+1),ROWS(K$20:K1927))))</f>
        <v/>
      </c>
      <c r="H1927" s="4" t="str">
        <f t="array" ref="H1927">IF(ROWS(L$20:L1927)&gt;$F$6,"",INDEX(B$2:B$10000,SMALL(IF(ISNUMBER(MATCH($B$2:$B$10000,$E$6:$E$22,0)),ROW($C$2:$C$10000)-ROW($C$2)+1),ROWS(L$20:L1927))))</f>
        <v/>
      </c>
      <c r="I1927" s="4" t="str">
        <f t="array" ref="I1927">IF(ROWS(M$20:M1927)&gt;$F$6,"",INDEX(C$2:C$10000,SMALL(IF(ISNUMBER(MATCH($B$2:$B$10000,$E$6:$E$22,0)),ROW($C$2:$C$10000)-ROW($C$2)+1),ROWS(M$20:M1927))))</f>
        <v/>
      </c>
      <c r="K1927" s="7" t="str">
        <f t="array" ref="K1927">IF(ROWS(K$20:K1927)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1927))))</f>
        <v/>
      </c>
      <c r="L1927" s="4" t="str">
        <f t="array" ref="L1927">IF(ROWS(L$20:L1927)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1927))))</f>
        <v/>
      </c>
      <c r="M1927" s="4" t="str">
        <f t="array" ref="M1927">IF(ROWS(M$20:M1927)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1927))))</f>
        <v/>
      </c>
    </row>
    <row r="1928" spans="1:13" x14ac:dyDescent="0.25">
      <c r="A1928" s="3">
        <v>41671</v>
      </c>
      <c r="B1928" s="2" t="s">
        <v>5</v>
      </c>
      <c r="C1928" s="2">
        <v>44</v>
      </c>
      <c r="G1928" s="7" t="str">
        <f t="array" ref="G1928">IF(ROWS(K$20:K1928)&gt;$F$6,"",INDEX(A$2:A$10000,SMALL(IF(ISNUMBER(MATCH($B$2:$B$10000,$E$6:$E$22,0)),ROW($C$2:$C$10000)-ROW($C$2)+1),ROWS(K$20:K1928))))</f>
        <v/>
      </c>
      <c r="H1928" s="4" t="str">
        <f t="array" ref="H1928">IF(ROWS(L$20:L1928)&gt;$F$6,"",INDEX(B$2:B$10000,SMALL(IF(ISNUMBER(MATCH($B$2:$B$10000,$E$6:$E$22,0)),ROW($C$2:$C$10000)-ROW($C$2)+1),ROWS(L$20:L1928))))</f>
        <v/>
      </c>
      <c r="I1928" s="4" t="str">
        <f t="array" ref="I1928">IF(ROWS(M$20:M1928)&gt;$F$6,"",INDEX(C$2:C$10000,SMALL(IF(ISNUMBER(MATCH($B$2:$B$10000,$E$6:$E$22,0)),ROW($C$2:$C$10000)-ROW($C$2)+1),ROWS(M$20:M1928))))</f>
        <v/>
      </c>
      <c r="K1928" s="7" t="str">
        <f t="array" ref="K1928">IF(ROWS(K$20:K1928)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1928))))</f>
        <v/>
      </c>
      <c r="L1928" s="4" t="str">
        <f t="array" ref="L1928">IF(ROWS(L$20:L1928)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1928))))</f>
        <v/>
      </c>
      <c r="M1928" s="4" t="str">
        <f t="array" ref="M1928">IF(ROWS(M$20:M1928)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1928))))</f>
        <v/>
      </c>
    </row>
    <row r="1929" spans="1:13" x14ac:dyDescent="0.25">
      <c r="A1929" s="3">
        <v>41838</v>
      </c>
      <c r="B1929" s="2" t="s">
        <v>35</v>
      </c>
      <c r="C1929" s="2">
        <v>8</v>
      </c>
      <c r="G1929" s="7" t="str">
        <f t="array" ref="G1929">IF(ROWS(K$20:K1929)&gt;$F$6,"",INDEX(A$2:A$10000,SMALL(IF(ISNUMBER(MATCH($B$2:$B$10000,$E$6:$E$22,0)),ROW($C$2:$C$10000)-ROW($C$2)+1),ROWS(K$20:K1929))))</f>
        <v/>
      </c>
      <c r="H1929" s="4" t="str">
        <f t="array" ref="H1929">IF(ROWS(L$20:L1929)&gt;$F$6,"",INDEX(B$2:B$10000,SMALL(IF(ISNUMBER(MATCH($B$2:$B$10000,$E$6:$E$22,0)),ROW($C$2:$C$10000)-ROW($C$2)+1),ROWS(L$20:L1929))))</f>
        <v/>
      </c>
      <c r="I1929" s="4" t="str">
        <f t="array" ref="I1929">IF(ROWS(M$20:M1929)&gt;$F$6,"",INDEX(C$2:C$10000,SMALL(IF(ISNUMBER(MATCH($B$2:$B$10000,$E$6:$E$22,0)),ROW($C$2:$C$10000)-ROW($C$2)+1),ROWS(M$20:M1929))))</f>
        <v/>
      </c>
      <c r="K1929" s="7" t="str">
        <f t="array" ref="K1929">IF(ROWS(K$20:K1929)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1929))))</f>
        <v/>
      </c>
      <c r="L1929" s="4" t="str">
        <f t="array" ref="L1929">IF(ROWS(L$20:L1929)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1929))))</f>
        <v/>
      </c>
      <c r="M1929" s="4" t="str">
        <f t="array" ref="M1929">IF(ROWS(M$20:M1929)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1929))))</f>
        <v/>
      </c>
    </row>
    <row r="1930" spans="1:13" x14ac:dyDescent="0.25">
      <c r="A1930" s="3">
        <v>41992</v>
      </c>
      <c r="B1930" s="2" t="s">
        <v>14</v>
      </c>
      <c r="C1930" s="2">
        <v>9</v>
      </c>
      <c r="G1930" s="7" t="str">
        <f t="array" ref="G1930">IF(ROWS(K$20:K1930)&gt;$F$6,"",INDEX(A$2:A$10000,SMALL(IF(ISNUMBER(MATCH($B$2:$B$10000,$E$6:$E$22,0)),ROW($C$2:$C$10000)-ROW($C$2)+1),ROWS(K$20:K1930))))</f>
        <v/>
      </c>
      <c r="H1930" s="4" t="str">
        <f t="array" ref="H1930">IF(ROWS(L$20:L1930)&gt;$F$6,"",INDEX(B$2:B$10000,SMALL(IF(ISNUMBER(MATCH($B$2:$B$10000,$E$6:$E$22,0)),ROW($C$2:$C$10000)-ROW($C$2)+1),ROWS(L$20:L1930))))</f>
        <v/>
      </c>
      <c r="I1930" s="4" t="str">
        <f t="array" ref="I1930">IF(ROWS(M$20:M1930)&gt;$F$6,"",INDEX(C$2:C$10000,SMALL(IF(ISNUMBER(MATCH($B$2:$B$10000,$E$6:$E$22,0)),ROW($C$2:$C$10000)-ROW($C$2)+1),ROWS(M$20:M1930))))</f>
        <v/>
      </c>
      <c r="K1930" s="7" t="str">
        <f t="array" ref="K1930">IF(ROWS(K$20:K1930)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1930))))</f>
        <v/>
      </c>
      <c r="L1930" s="4" t="str">
        <f t="array" ref="L1930">IF(ROWS(L$20:L1930)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1930))))</f>
        <v/>
      </c>
      <c r="M1930" s="4" t="str">
        <f t="array" ref="M1930">IF(ROWS(M$20:M1930)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1930))))</f>
        <v/>
      </c>
    </row>
    <row r="1931" spans="1:13" x14ac:dyDescent="0.25">
      <c r="A1931" s="3">
        <v>41397</v>
      </c>
      <c r="B1931" s="2" t="s">
        <v>44</v>
      </c>
      <c r="C1931" s="2">
        <v>42</v>
      </c>
      <c r="G1931" s="7" t="str">
        <f t="array" ref="G1931">IF(ROWS(K$20:K1931)&gt;$F$6,"",INDEX(A$2:A$10000,SMALL(IF(ISNUMBER(MATCH($B$2:$B$10000,$E$6:$E$22,0)),ROW($C$2:$C$10000)-ROW($C$2)+1),ROWS(K$20:K1931))))</f>
        <v/>
      </c>
      <c r="H1931" s="4" t="str">
        <f t="array" ref="H1931">IF(ROWS(L$20:L1931)&gt;$F$6,"",INDEX(B$2:B$10000,SMALL(IF(ISNUMBER(MATCH($B$2:$B$10000,$E$6:$E$22,0)),ROW($C$2:$C$10000)-ROW($C$2)+1),ROWS(L$20:L1931))))</f>
        <v/>
      </c>
      <c r="I1931" s="4" t="str">
        <f t="array" ref="I1931">IF(ROWS(M$20:M1931)&gt;$F$6,"",INDEX(C$2:C$10000,SMALL(IF(ISNUMBER(MATCH($B$2:$B$10000,$E$6:$E$22,0)),ROW($C$2:$C$10000)-ROW($C$2)+1),ROWS(M$20:M1931))))</f>
        <v/>
      </c>
      <c r="K1931" s="7" t="str">
        <f t="array" ref="K1931">IF(ROWS(K$20:K1931)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1931))))</f>
        <v/>
      </c>
      <c r="L1931" s="4" t="str">
        <f t="array" ref="L1931">IF(ROWS(L$20:L1931)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1931))))</f>
        <v/>
      </c>
      <c r="M1931" s="4" t="str">
        <f t="array" ref="M1931">IF(ROWS(M$20:M1931)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1931))))</f>
        <v/>
      </c>
    </row>
    <row r="1932" spans="1:13" x14ac:dyDescent="0.25">
      <c r="A1932" s="3">
        <v>41838</v>
      </c>
      <c r="B1932" s="2" t="s">
        <v>6</v>
      </c>
      <c r="C1932" s="2">
        <v>19</v>
      </c>
      <c r="G1932" s="7" t="str">
        <f t="array" ref="G1932">IF(ROWS(K$20:K1932)&gt;$F$6,"",INDEX(A$2:A$10000,SMALL(IF(ISNUMBER(MATCH($B$2:$B$10000,$E$6:$E$22,0)),ROW($C$2:$C$10000)-ROW($C$2)+1),ROWS(K$20:K1932))))</f>
        <v/>
      </c>
      <c r="H1932" s="4" t="str">
        <f t="array" ref="H1932">IF(ROWS(L$20:L1932)&gt;$F$6,"",INDEX(B$2:B$10000,SMALL(IF(ISNUMBER(MATCH($B$2:$B$10000,$E$6:$E$22,0)),ROW($C$2:$C$10000)-ROW($C$2)+1),ROWS(L$20:L1932))))</f>
        <v/>
      </c>
      <c r="I1932" s="4" t="str">
        <f t="array" ref="I1932">IF(ROWS(M$20:M1932)&gt;$F$6,"",INDEX(C$2:C$10000,SMALL(IF(ISNUMBER(MATCH($B$2:$B$10000,$E$6:$E$22,0)),ROW($C$2:$C$10000)-ROW($C$2)+1),ROWS(M$20:M1932))))</f>
        <v/>
      </c>
      <c r="K1932" s="7" t="str">
        <f t="array" ref="K1932">IF(ROWS(K$20:K1932)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1932))))</f>
        <v/>
      </c>
      <c r="L1932" s="4" t="str">
        <f t="array" ref="L1932">IF(ROWS(L$20:L1932)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1932))))</f>
        <v/>
      </c>
      <c r="M1932" s="4" t="str">
        <f t="array" ref="M1932">IF(ROWS(M$20:M1932)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1932))))</f>
        <v/>
      </c>
    </row>
    <row r="1933" spans="1:13" x14ac:dyDescent="0.25">
      <c r="A1933" s="3">
        <v>41624</v>
      </c>
      <c r="B1933" s="2" t="s">
        <v>34</v>
      </c>
      <c r="C1933" s="2">
        <v>31</v>
      </c>
      <c r="G1933" s="7" t="str">
        <f t="array" ref="G1933">IF(ROWS(K$20:K1933)&gt;$F$6,"",INDEX(A$2:A$10000,SMALL(IF(ISNUMBER(MATCH($B$2:$B$10000,$E$6:$E$22,0)),ROW($C$2:$C$10000)-ROW($C$2)+1),ROWS(K$20:K1933))))</f>
        <v/>
      </c>
      <c r="H1933" s="4" t="str">
        <f t="array" ref="H1933">IF(ROWS(L$20:L1933)&gt;$F$6,"",INDEX(B$2:B$10000,SMALL(IF(ISNUMBER(MATCH($B$2:$B$10000,$E$6:$E$22,0)),ROW($C$2:$C$10000)-ROW($C$2)+1),ROWS(L$20:L1933))))</f>
        <v/>
      </c>
      <c r="I1933" s="4" t="str">
        <f t="array" ref="I1933">IF(ROWS(M$20:M1933)&gt;$F$6,"",INDEX(C$2:C$10000,SMALL(IF(ISNUMBER(MATCH($B$2:$B$10000,$E$6:$E$22,0)),ROW($C$2:$C$10000)-ROW($C$2)+1),ROWS(M$20:M1933))))</f>
        <v/>
      </c>
      <c r="K1933" s="7" t="str">
        <f t="array" ref="K1933">IF(ROWS(K$20:K1933)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1933))))</f>
        <v/>
      </c>
      <c r="L1933" s="4" t="str">
        <f t="array" ref="L1933">IF(ROWS(L$20:L1933)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1933))))</f>
        <v/>
      </c>
      <c r="M1933" s="4" t="str">
        <f t="array" ref="M1933">IF(ROWS(M$20:M1933)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1933))))</f>
        <v/>
      </c>
    </row>
    <row r="1934" spans="1:13" x14ac:dyDescent="0.25">
      <c r="A1934" s="3">
        <v>41827</v>
      </c>
      <c r="B1934" s="2" t="s">
        <v>10</v>
      </c>
      <c r="C1934" s="2">
        <v>35</v>
      </c>
      <c r="G1934" s="7" t="str">
        <f t="array" ref="G1934">IF(ROWS(K$20:K1934)&gt;$F$6,"",INDEX(A$2:A$10000,SMALL(IF(ISNUMBER(MATCH($B$2:$B$10000,$E$6:$E$22,0)),ROW($C$2:$C$10000)-ROW($C$2)+1),ROWS(K$20:K1934))))</f>
        <v/>
      </c>
      <c r="H1934" s="4" t="str">
        <f t="array" ref="H1934">IF(ROWS(L$20:L1934)&gt;$F$6,"",INDEX(B$2:B$10000,SMALL(IF(ISNUMBER(MATCH($B$2:$B$10000,$E$6:$E$22,0)),ROW($C$2:$C$10000)-ROW($C$2)+1),ROWS(L$20:L1934))))</f>
        <v/>
      </c>
      <c r="I1934" s="4" t="str">
        <f t="array" ref="I1934">IF(ROWS(M$20:M1934)&gt;$F$6,"",INDEX(C$2:C$10000,SMALL(IF(ISNUMBER(MATCH($B$2:$B$10000,$E$6:$E$22,0)),ROW($C$2:$C$10000)-ROW($C$2)+1),ROWS(M$20:M1934))))</f>
        <v/>
      </c>
      <c r="K1934" s="7" t="str">
        <f t="array" ref="K1934">IF(ROWS(K$20:K1934)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1934))))</f>
        <v/>
      </c>
      <c r="L1934" s="4" t="str">
        <f t="array" ref="L1934">IF(ROWS(L$20:L1934)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1934))))</f>
        <v/>
      </c>
      <c r="M1934" s="4" t="str">
        <f t="array" ref="M1934">IF(ROWS(M$20:M1934)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1934))))</f>
        <v/>
      </c>
    </row>
    <row r="1935" spans="1:13" x14ac:dyDescent="0.25">
      <c r="A1935" s="3">
        <v>41427</v>
      </c>
      <c r="B1935" s="2" t="s">
        <v>51</v>
      </c>
      <c r="C1935" s="2">
        <v>50</v>
      </c>
      <c r="G1935" s="7" t="str">
        <f t="array" ref="G1935">IF(ROWS(K$20:K1935)&gt;$F$6,"",INDEX(A$2:A$10000,SMALL(IF(ISNUMBER(MATCH($B$2:$B$10000,$E$6:$E$22,0)),ROW($C$2:$C$10000)-ROW($C$2)+1),ROWS(K$20:K1935))))</f>
        <v/>
      </c>
      <c r="H1935" s="4" t="str">
        <f t="array" ref="H1935">IF(ROWS(L$20:L1935)&gt;$F$6,"",INDEX(B$2:B$10000,SMALL(IF(ISNUMBER(MATCH($B$2:$B$10000,$E$6:$E$22,0)),ROW($C$2:$C$10000)-ROW($C$2)+1),ROWS(L$20:L1935))))</f>
        <v/>
      </c>
      <c r="I1935" s="4" t="str">
        <f t="array" ref="I1935">IF(ROWS(M$20:M1935)&gt;$F$6,"",INDEX(C$2:C$10000,SMALL(IF(ISNUMBER(MATCH($B$2:$B$10000,$E$6:$E$22,0)),ROW($C$2:$C$10000)-ROW($C$2)+1),ROWS(M$20:M1935))))</f>
        <v/>
      </c>
      <c r="K1935" s="7" t="str">
        <f t="array" ref="K1935">IF(ROWS(K$20:K1935)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1935))))</f>
        <v/>
      </c>
      <c r="L1935" s="4" t="str">
        <f t="array" ref="L1935">IF(ROWS(L$20:L1935)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1935))))</f>
        <v/>
      </c>
      <c r="M1935" s="4" t="str">
        <f t="array" ref="M1935">IF(ROWS(M$20:M1935)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1935))))</f>
        <v/>
      </c>
    </row>
    <row r="1936" spans="1:13" x14ac:dyDescent="0.25">
      <c r="A1936" s="3">
        <v>41489</v>
      </c>
      <c r="B1936" s="2" t="s">
        <v>32</v>
      </c>
      <c r="C1936" s="2">
        <v>2</v>
      </c>
      <c r="G1936" s="7" t="str">
        <f t="array" ref="G1936">IF(ROWS(K$20:K1936)&gt;$F$6,"",INDEX(A$2:A$10000,SMALL(IF(ISNUMBER(MATCH($B$2:$B$10000,$E$6:$E$22,0)),ROW($C$2:$C$10000)-ROW($C$2)+1),ROWS(K$20:K1936))))</f>
        <v/>
      </c>
      <c r="H1936" s="4" t="str">
        <f t="array" ref="H1936">IF(ROWS(L$20:L1936)&gt;$F$6,"",INDEX(B$2:B$10000,SMALL(IF(ISNUMBER(MATCH($B$2:$B$10000,$E$6:$E$22,0)),ROW($C$2:$C$10000)-ROW($C$2)+1),ROWS(L$20:L1936))))</f>
        <v/>
      </c>
      <c r="I1936" s="4" t="str">
        <f t="array" ref="I1936">IF(ROWS(M$20:M1936)&gt;$F$6,"",INDEX(C$2:C$10000,SMALL(IF(ISNUMBER(MATCH($B$2:$B$10000,$E$6:$E$22,0)),ROW($C$2:$C$10000)-ROW($C$2)+1),ROWS(M$20:M1936))))</f>
        <v/>
      </c>
      <c r="K1936" s="7" t="str">
        <f t="array" ref="K1936">IF(ROWS(K$20:K1936)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1936))))</f>
        <v/>
      </c>
      <c r="L1936" s="4" t="str">
        <f t="array" ref="L1936">IF(ROWS(L$20:L1936)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1936))))</f>
        <v/>
      </c>
      <c r="M1936" s="4" t="str">
        <f t="array" ref="M1936">IF(ROWS(M$20:M1936)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1936))))</f>
        <v/>
      </c>
    </row>
    <row r="1937" spans="1:13" x14ac:dyDescent="0.25">
      <c r="A1937" s="3">
        <v>41464</v>
      </c>
      <c r="B1937" s="2" t="s">
        <v>46</v>
      </c>
      <c r="C1937" s="2">
        <v>15</v>
      </c>
      <c r="G1937" s="7" t="str">
        <f t="array" ref="G1937">IF(ROWS(K$20:K1937)&gt;$F$6,"",INDEX(A$2:A$10000,SMALL(IF(ISNUMBER(MATCH($B$2:$B$10000,$E$6:$E$22,0)),ROW($C$2:$C$10000)-ROW($C$2)+1),ROWS(K$20:K1937))))</f>
        <v/>
      </c>
      <c r="H1937" s="4" t="str">
        <f t="array" ref="H1937">IF(ROWS(L$20:L1937)&gt;$F$6,"",INDEX(B$2:B$10000,SMALL(IF(ISNUMBER(MATCH($B$2:$B$10000,$E$6:$E$22,0)),ROW($C$2:$C$10000)-ROW($C$2)+1),ROWS(L$20:L1937))))</f>
        <v/>
      </c>
      <c r="I1937" s="4" t="str">
        <f t="array" ref="I1937">IF(ROWS(M$20:M1937)&gt;$F$6,"",INDEX(C$2:C$10000,SMALL(IF(ISNUMBER(MATCH($B$2:$B$10000,$E$6:$E$22,0)),ROW($C$2:$C$10000)-ROW($C$2)+1),ROWS(M$20:M1937))))</f>
        <v/>
      </c>
      <c r="K1937" s="7" t="str">
        <f t="array" ref="K1937">IF(ROWS(K$20:K1937)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1937))))</f>
        <v/>
      </c>
      <c r="L1937" s="4" t="str">
        <f t="array" ref="L1937">IF(ROWS(L$20:L1937)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1937))))</f>
        <v/>
      </c>
      <c r="M1937" s="4" t="str">
        <f t="array" ref="M1937">IF(ROWS(M$20:M1937)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1937))))</f>
        <v/>
      </c>
    </row>
    <row r="1938" spans="1:13" x14ac:dyDescent="0.25">
      <c r="A1938" s="3">
        <v>41562</v>
      </c>
      <c r="B1938" s="2" t="s">
        <v>12</v>
      </c>
      <c r="C1938" s="2">
        <v>5</v>
      </c>
      <c r="G1938" s="7" t="str">
        <f t="array" ref="G1938">IF(ROWS(K$20:K1938)&gt;$F$6,"",INDEX(A$2:A$10000,SMALL(IF(ISNUMBER(MATCH($B$2:$B$10000,$E$6:$E$22,0)),ROW($C$2:$C$10000)-ROW($C$2)+1),ROWS(K$20:K1938))))</f>
        <v/>
      </c>
      <c r="H1938" s="4" t="str">
        <f t="array" ref="H1938">IF(ROWS(L$20:L1938)&gt;$F$6,"",INDEX(B$2:B$10000,SMALL(IF(ISNUMBER(MATCH($B$2:$B$10000,$E$6:$E$22,0)),ROW($C$2:$C$10000)-ROW($C$2)+1),ROWS(L$20:L1938))))</f>
        <v/>
      </c>
      <c r="I1938" s="4" t="str">
        <f t="array" ref="I1938">IF(ROWS(M$20:M1938)&gt;$F$6,"",INDEX(C$2:C$10000,SMALL(IF(ISNUMBER(MATCH($B$2:$B$10000,$E$6:$E$22,0)),ROW($C$2:$C$10000)-ROW($C$2)+1),ROWS(M$20:M1938))))</f>
        <v/>
      </c>
      <c r="K1938" s="7" t="str">
        <f t="array" ref="K1938">IF(ROWS(K$20:K1938)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1938))))</f>
        <v/>
      </c>
      <c r="L1938" s="4" t="str">
        <f t="array" ref="L1938">IF(ROWS(L$20:L1938)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1938))))</f>
        <v/>
      </c>
      <c r="M1938" s="4" t="str">
        <f t="array" ref="M1938">IF(ROWS(M$20:M1938)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1938))))</f>
        <v/>
      </c>
    </row>
    <row r="1939" spans="1:13" x14ac:dyDescent="0.25">
      <c r="A1939" s="3">
        <v>41748</v>
      </c>
      <c r="B1939" s="2" t="s">
        <v>49</v>
      </c>
      <c r="C1939" s="2">
        <v>28</v>
      </c>
      <c r="G1939" s="7" t="str">
        <f t="array" ref="G1939">IF(ROWS(K$20:K1939)&gt;$F$6,"",INDEX(A$2:A$10000,SMALL(IF(ISNUMBER(MATCH($B$2:$B$10000,$E$6:$E$22,0)),ROW($C$2:$C$10000)-ROW($C$2)+1),ROWS(K$20:K1939))))</f>
        <v/>
      </c>
      <c r="H1939" s="4" t="str">
        <f t="array" ref="H1939">IF(ROWS(L$20:L1939)&gt;$F$6,"",INDEX(B$2:B$10000,SMALL(IF(ISNUMBER(MATCH($B$2:$B$10000,$E$6:$E$22,0)),ROW($C$2:$C$10000)-ROW($C$2)+1),ROWS(L$20:L1939))))</f>
        <v/>
      </c>
      <c r="I1939" s="4" t="str">
        <f t="array" ref="I1939">IF(ROWS(M$20:M1939)&gt;$F$6,"",INDEX(C$2:C$10000,SMALL(IF(ISNUMBER(MATCH($B$2:$B$10000,$E$6:$E$22,0)),ROW($C$2:$C$10000)-ROW($C$2)+1),ROWS(M$20:M1939))))</f>
        <v/>
      </c>
      <c r="K1939" s="7" t="str">
        <f t="array" ref="K1939">IF(ROWS(K$20:K1939)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1939))))</f>
        <v/>
      </c>
      <c r="L1939" s="4" t="str">
        <f t="array" ref="L1939">IF(ROWS(L$20:L1939)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1939))))</f>
        <v/>
      </c>
      <c r="M1939" s="4" t="str">
        <f t="array" ref="M1939">IF(ROWS(M$20:M1939)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1939))))</f>
        <v/>
      </c>
    </row>
    <row r="1940" spans="1:13" x14ac:dyDescent="0.25">
      <c r="A1940" s="3">
        <v>41792</v>
      </c>
      <c r="B1940" s="2" t="s">
        <v>13</v>
      </c>
      <c r="C1940" s="2">
        <v>0</v>
      </c>
      <c r="G1940" s="7" t="str">
        <f t="array" ref="G1940">IF(ROWS(K$20:K1940)&gt;$F$6,"",INDEX(A$2:A$10000,SMALL(IF(ISNUMBER(MATCH($B$2:$B$10000,$E$6:$E$22,0)),ROW($C$2:$C$10000)-ROW($C$2)+1),ROWS(K$20:K1940))))</f>
        <v/>
      </c>
      <c r="H1940" s="4" t="str">
        <f t="array" ref="H1940">IF(ROWS(L$20:L1940)&gt;$F$6,"",INDEX(B$2:B$10000,SMALL(IF(ISNUMBER(MATCH($B$2:$B$10000,$E$6:$E$22,0)),ROW($C$2:$C$10000)-ROW($C$2)+1),ROWS(L$20:L1940))))</f>
        <v/>
      </c>
      <c r="I1940" s="4" t="str">
        <f t="array" ref="I1940">IF(ROWS(M$20:M1940)&gt;$F$6,"",INDEX(C$2:C$10000,SMALL(IF(ISNUMBER(MATCH($B$2:$B$10000,$E$6:$E$22,0)),ROW($C$2:$C$10000)-ROW($C$2)+1),ROWS(M$20:M1940))))</f>
        <v/>
      </c>
      <c r="K1940" s="7" t="str">
        <f t="array" ref="K1940">IF(ROWS(K$20:K1940)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1940))))</f>
        <v/>
      </c>
      <c r="L1940" s="4" t="str">
        <f t="array" ref="L1940">IF(ROWS(L$20:L1940)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1940))))</f>
        <v/>
      </c>
      <c r="M1940" s="4" t="str">
        <f t="array" ref="M1940">IF(ROWS(M$20:M1940)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1940))))</f>
        <v/>
      </c>
    </row>
    <row r="1941" spans="1:13" x14ac:dyDescent="0.25">
      <c r="A1941" s="3">
        <v>41413</v>
      </c>
      <c r="B1941" s="2" t="s">
        <v>25</v>
      </c>
      <c r="C1941" s="2">
        <v>6</v>
      </c>
      <c r="G1941" s="7" t="str">
        <f t="array" ref="G1941">IF(ROWS(K$20:K1941)&gt;$F$6,"",INDEX(A$2:A$10000,SMALL(IF(ISNUMBER(MATCH($B$2:$B$10000,$E$6:$E$22,0)),ROW($C$2:$C$10000)-ROW($C$2)+1),ROWS(K$20:K1941))))</f>
        <v/>
      </c>
      <c r="H1941" s="4" t="str">
        <f t="array" ref="H1941">IF(ROWS(L$20:L1941)&gt;$F$6,"",INDEX(B$2:B$10000,SMALL(IF(ISNUMBER(MATCH($B$2:$B$10000,$E$6:$E$22,0)),ROW($C$2:$C$10000)-ROW($C$2)+1),ROWS(L$20:L1941))))</f>
        <v/>
      </c>
      <c r="I1941" s="4" t="str">
        <f t="array" ref="I1941">IF(ROWS(M$20:M1941)&gt;$F$6,"",INDEX(C$2:C$10000,SMALL(IF(ISNUMBER(MATCH($B$2:$B$10000,$E$6:$E$22,0)),ROW($C$2:$C$10000)-ROW($C$2)+1),ROWS(M$20:M1941))))</f>
        <v/>
      </c>
      <c r="K1941" s="7" t="str">
        <f t="array" ref="K1941">IF(ROWS(K$20:K1941)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1941))))</f>
        <v/>
      </c>
      <c r="L1941" s="4" t="str">
        <f t="array" ref="L1941">IF(ROWS(L$20:L1941)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1941))))</f>
        <v/>
      </c>
      <c r="M1941" s="4" t="str">
        <f t="array" ref="M1941">IF(ROWS(M$20:M1941)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1941))))</f>
        <v/>
      </c>
    </row>
    <row r="1942" spans="1:13" x14ac:dyDescent="0.25">
      <c r="A1942" s="3">
        <v>41793</v>
      </c>
      <c r="B1942" s="2" t="s">
        <v>45</v>
      </c>
      <c r="C1942" s="2">
        <v>30</v>
      </c>
      <c r="G1942" s="7" t="str">
        <f t="array" ref="G1942">IF(ROWS(K$20:K1942)&gt;$F$6,"",INDEX(A$2:A$10000,SMALL(IF(ISNUMBER(MATCH($B$2:$B$10000,$E$6:$E$22,0)),ROW($C$2:$C$10000)-ROW($C$2)+1),ROWS(K$20:K1942))))</f>
        <v/>
      </c>
      <c r="H1942" s="4" t="str">
        <f t="array" ref="H1942">IF(ROWS(L$20:L1942)&gt;$F$6,"",INDEX(B$2:B$10000,SMALL(IF(ISNUMBER(MATCH($B$2:$B$10000,$E$6:$E$22,0)),ROW($C$2:$C$10000)-ROW($C$2)+1),ROWS(L$20:L1942))))</f>
        <v/>
      </c>
      <c r="I1942" s="4" t="str">
        <f t="array" ref="I1942">IF(ROWS(M$20:M1942)&gt;$F$6,"",INDEX(C$2:C$10000,SMALL(IF(ISNUMBER(MATCH($B$2:$B$10000,$E$6:$E$22,0)),ROW($C$2:$C$10000)-ROW($C$2)+1),ROWS(M$20:M1942))))</f>
        <v/>
      </c>
      <c r="K1942" s="7" t="str">
        <f t="array" ref="K1942">IF(ROWS(K$20:K1942)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1942))))</f>
        <v/>
      </c>
      <c r="L1942" s="4" t="str">
        <f t="array" ref="L1942">IF(ROWS(L$20:L1942)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1942))))</f>
        <v/>
      </c>
      <c r="M1942" s="4" t="str">
        <f t="array" ref="M1942">IF(ROWS(M$20:M1942)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1942))))</f>
        <v/>
      </c>
    </row>
    <row r="1943" spans="1:13" x14ac:dyDescent="0.25">
      <c r="A1943" s="3">
        <v>41553</v>
      </c>
      <c r="B1943" s="2" t="s">
        <v>47</v>
      </c>
      <c r="C1943" s="2">
        <v>17</v>
      </c>
      <c r="G1943" s="7" t="str">
        <f t="array" ref="G1943">IF(ROWS(K$20:K1943)&gt;$F$6,"",INDEX(A$2:A$10000,SMALL(IF(ISNUMBER(MATCH($B$2:$B$10000,$E$6:$E$22,0)),ROW($C$2:$C$10000)-ROW($C$2)+1),ROWS(K$20:K1943))))</f>
        <v/>
      </c>
      <c r="H1943" s="4" t="str">
        <f t="array" ref="H1943">IF(ROWS(L$20:L1943)&gt;$F$6,"",INDEX(B$2:B$10000,SMALL(IF(ISNUMBER(MATCH($B$2:$B$10000,$E$6:$E$22,0)),ROW($C$2:$C$10000)-ROW($C$2)+1),ROWS(L$20:L1943))))</f>
        <v/>
      </c>
      <c r="I1943" s="4" t="str">
        <f t="array" ref="I1943">IF(ROWS(M$20:M1943)&gt;$F$6,"",INDEX(C$2:C$10000,SMALL(IF(ISNUMBER(MATCH($B$2:$B$10000,$E$6:$E$22,0)),ROW($C$2:$C$10000)-ROW($C$2)+1),ROWS(M$20:M1943))))</f>
        <v/>
      </c>
      <c r="K1943" s="7" t="str">
        <f t="array" ref="K1943">IF(ROWS(K$20:K1943)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1943))))</f>
        <v/>
      </c>
      <c r="L1943" s="4" t="str">
        <f t="array" ref="L1943">IF(ROWS(L$20:L1943)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1943))))</f>
        <v/>
      </c>
      <c r="M1943" s="4" t="str">
        <f t="array" ref="M1943">IF(ROWS(M$20:M1943)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1943))))</f>
        <v/>
      </c>
    </row>
    <row r="1944" spans="1:13" x14ac:dyDescent="0.25">
      <c r="A1944" s="3">
        <v>41277</v>
      </c>
      <c r="B1944" s="2" t="s">
        <v>19</v>
      </c>
      <c r="C1944" s="2">
        <v>20</v>
      </c>
      <c r="G1944" s="7" t="str">
        <f t="array" ref="G1944">IF(ROWS(K$20:K1944)&gt;$F$6,"",INDEX(A$2:A$10000,SMALL(IF(ISNUMBER(MATCH($B$2:$B$10000,$E$6:$E$22,0)),ROW($C$2:$C$10000)-ROW($C$2)+1),ROWS(K$20:K1944))))</f>
        <v/>
      </c>
      <c r="H1944" s="4" t="str">
        <f t="array" ref="H1944">IF(ROWS(L$20:L1944)&gt;$F$6,"",INDEX(B$2:B$10000,SMALL(IF(ISNUMBER(MATCH($B$2:$B$10000,$E$6:$E$22,0)),ROW($C$2:$C$10000)-ROW($C$2)+1),ROWS(L$20:L1944))))</f>
        <v/>
      </c>
      <c r="I1944" s="4" t="str">
        <f t="array" ref="I1944">IF(ROWS(M$20:M1944)&gt;$F$6,"",INDEX(C$2:C$10000,SMALL(IF(ISNUMBER(MATCH($B$2:$B$10000,$E$6:$E$22,0)),ROW($C$2:$C$10000)-ROW($C$2)+1),ROWS(M$20:M1944))))</f>
        <v/>
      </c>
      <c r="K1944" s="7" t="str">
        <f t="array" ref="K1944">IF(ROWS(K$20:K1944)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1944))))</f>
        <v/>
      </c>
      <c r="L1944" s="4" t="str">
        <f t="array" ref="L1944">IF(ROWS(L$20:L1944)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1944))))</f>
        <v/>
      </c>
      <c r="M1944" s="4" t="str">
        <f t="array" ref="M1944">IF(ROWS(M$20:M1944)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1944))))</f>
        <v/>
      </c>
    </row>
    <row r="1945" spans="1:13" x14ac:dyDescent="0.25">
      <c r="A1945" s="3">
        <v>41962</v>
      </c>
      <c r="B1945" s="2" t="s">
        <v>31</v>
      </c>
      <c r="C1945" s="2">
        <v>30</v>
      </c>
      <c r="G1945" s="7" t="str">
        <f t="array" ref="G1945">IF(ROWS(K$20:K1945)&gt;$F$6,"",INDEX(A$2:A$10000,SMALL(IF(ISNUMBER(MATCH($B$2:$B$10000,$E$6:$E$22,0)),ROW($C$2:$C$10000)-ROW($C$2)+1),ROWS(K$20:K1945))))</f>
        <v/>
      </c>
      <c r="H1945" s="4" t="str">
        <f t="array" ref="H1945">IF(ROWS(L$20:L1945)&gt;$F$6,"",INDEX(B$2:B$10000,SMALL(IF(ISNUMBER(MATCH($B$2:$B$10000,$E$6:$E$22,0)),ROW($C$2:$C$10000)-ROW($C$2)+1),ROWS(L$20:L1945))))</f>
        <v/>
      </c>
      <c r="I1945" s="4" t="str">
        <f t="array" ref="I1945">IF(ROWS(M$20:M1945)&gt;$F$6,"",INDEX(C$2:C$10000,SMALL(IF(ISNUMBER(MATCH($B$2:$B$10000,$E$6:$E$22,0)),ROW($C$2:$C$10000)-ROW($C$2)+1),ROWS(M$20:M1945))))</f>
        <v/>
      </c>
      <c r="K1945" s="7" t="str">
        <f t="array" ref="K1945">IF(ROWS(K$20:K1945)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1945))))</f>
        <v/>
      </c>
      <c r="L1945" s="4" t="str">
        <f t="array" ref="L1945">IF(ROWS(L$20:L1945)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1945))))</f>
        <v/>
      </c>
      <c r="M1945" s="4" t="str">
        <f t="array" ref="M1945">IF(ROWS(M$20:M1945)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1945))))</f>
        <v/>
      </c>
    </row>
    <row r="1946" spans="1:13" x14ac:dyDescent="0.25">
      <c r="A1946" s="3">
        <v>41696</v>
      </c>
      <c r="B1946" s="2" t="s">
        <v>37</v>
      </c>
      <c r="C1946" s="2">
        <v>21</v>
      </c>
      <c r="G1946" s="7" t="str">
        <f t="array" ref="G1946">IF(ROWS(K$20:K1946)&gt;$F$6,"",INDEX(A$2:A$10000,SMALL(IF(ISNUMBER(MATCH($B$2:$B$10000,$E$6:$E$22,0)),ROW($C$2:$C$10000)-ROW($C$2)+1),ROWS(K$20:K1946))))</f>
        <v/>
      </c>
      <c r="H1946" s="4" t="str">
        <f t="array" ref="H1946">IF(ROWS(L$20:L1946)&gt;$F$6,"",INDEX(B$2:B$10000,SMALL(IF(ISNUMBER(MATCH($B$2:$B$10000,$E$6:$E$22,0)),ROW($C$2:$C$10000)-ROW($C$2)+1),ROWS(L$20:L1946))))</f>
        <v/>
      </c>
      <c r="I1946" s="4" t="str">
        <f t="array" ref="I1946">IF(ROWS(M$20:M1946)&gt;$F$6,"",INDEX(C$2:C$10000,SMALL(IF(ISNUMBER(MATCH($B$2:$B$10000,$E$6:$E$22,0)),ROW($C$2:$C$10000)-ROW($C$2)+1),ROWS(M$20:M1946))))</f>
        <v/>
      </c>
      <c r="K1946" s="7" t="str">
        <f t="array" ref="K1946">IF(ROWS(K$20:K1946)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1946))))</f>
        <v/>
      </c>
      <c r="L1946" s="4" t="str">
        <f t="array" ref="L1946">IF(ROWS(L$20:L1946)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1946))))</f>
        <v/>
      </c>
      <c r="M1946" s="4" t="str">
        <f t="array" ref="M1946">IF(ROWS(M$20:M1946)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1946))))</f>
        <v/>
      </c>
    </row>
    <row r="1947" spans="1:13" x14ac:dyDescent="0.25">
      <c r="A1947" s="3">
        <v>41930</v>
      </c>
      <c r="B1947" s="2" t="s">
        <v>20</v>
      </c>
      <c r="C1947" s="2">
        <v>10</v>
      </c>
      <c r="G1947" s="7" t="str">
        <f t="array" ref="G1947">IF(ROWS(K$20:K1947)&gt;$F$6,"",INDEX(A$2:A$10000,SMALL(IF(ISNUMBER(MATCH($B$2:$B$10000,$E$6:$E$22,0)),ROW($C$2:$C$10000)-ROW($C$2)+1),ROWS(K$20:K1947))))</f>
        <v/>
      </c>
      <c r="H1947" s="4" t="str">
        <f t="array" ref="H1947">IF(ROWS(L$20:L1947)&gt;$F$6,"",INDEX(B$2:B$10000,SMALL(IF(ISNUMBER(MATCH($B$2:$B$10000,$E$6:$E$22,0)),ROW($C$2:$C$10000)-ROW($C$2)+1),ROWS(L$20:L1947))))</f>
        <v/>
      </c>
      <c r="I1947" s="4" t="str">
        <f t="array" ref="I1947">IF(ROWS(M$20:M1947)&gt;$F$6,"",INDEX(C$2:C$10000,SMALL(IF(ISNUMBER(MATCH($B$2:$B$10000,$E$6:$E$22,0)),ROW($C$2:$C$10000)-ROW($C$2)+1),ROWS(M$20:M1947))))</f>
        <v/>
      </c>
      <c r="K1947" s="7" t="str">
        <f t="array" ref="K1947">IF(ROWS(K$20:K1947)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1947))))</f>
        <v/>
      </c>
      <c r="L1947" s="4" t="str">
        <f t="array" ref="L1947">IF(ROWS(L$20:L1947)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1947))))</f>
        <v/>
      </c>
      <c r="M1947" s="4" t="str">
        <f t="array" ref="M1947">IF(ROWS(M$20:M1947)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1947))))</f>
        <v/>
      </c>
    </row>
    <row r="1948" spans="1:13" x14ac:dyDescent="0.25">
      <c r="A1948" s="3">
        <v>41423</v>
      </c>
      <c r="B1948" s="2" t="s">
        <v>9</v>
      </c>
      <c r="C1948" s="2">
        <v>20</v>
      </c>
      <c r="G1948" s="7" t="str">
        <f t="array" ref="G1948">IF(ROWS(K$20:K1948)&gt;$F$6,"",INDEX(A$2:A$10000,SMALL(IF(ISNUMBER(MATCH($B$2:$B$10000,$E$6:$E$22,0)),ROW($C$2:$C$10000)-ROW($C$2)+1),ROWS(K$20:K1948))))</f>
        <v/>
      </c>
      <c r="H1948" s="4" t="str">
        <f t="array" ref="H1948">IF(ROWS(L$20:L1948)&gt;$F$6,"",INDEX(B$2:B$10000,SMALL(IF(ISNUMBER(MATCH($B$2:$B$10000,$E$6:$E$22,0)),ROW($C$2:$C$10000)-ROW($C$2)+1),ROWS(L$20:L1948))))</f>
        <v/>
      </c>
      <c r="I1948" s="4" t="str">
        <f t="array" ref="I1948">IF(ROWS(M$20:M1948)&gt;$F$6,"",INDEX(C$2:C$10000,SMALL(IF(ISNUMBER(MATCH($B$2:$B$10000,$E$6:$E$22,0)),ROW($C$2:$C$10000)-ROW($C$2)+1),ROWS(M$20:M1948))))</f>
        <v/>
      </c>
      <c r="K1948" s="7" t="str">
        <f t="array" ref="K1948">IF(ROWS(K$20:K1948)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1948))))</f>
        <v/>
      </c>
      <c r="L1948" s="4" t="str">
        <f t="array" ref="L1948">IF(ROWS(L$20:L1948)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1948))))</f>
        <v/>
      </c>
      <c r="M1948" s="4" t="str">
        <f t="array" ref="M1948">IF(ROWS(M$20:M1948)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1948))))</f>
        <v/>
      </c>
    </row>
    <row r="1949" spans="1:13" x14ac:dyDescent="0.25">
      <c r="A1949" s="3">
        <v>41389</v>
      </c>
      <c r="B1949" s="2" t="s">
        <v>5</v>
      </c>
      <c r="C1949" s="2">
        <v>16</v>
      </c>
      <c r="G1949" s="7" t="str">
        <f t="array" ref="G1949">IF(ROWS(K$20:K1949)&gt;$F$6,"",INDEX(A$2:A$10000,SMALL(IF(ISNUMBER(MATCH($B$2:$B$10000,$E$6:$E$22,0)),ROW($C$2:$C$10000)-ROW($C$2)+1),ROWS(K$20:K1949))))</f>
        <v/>
      </c>
      <c r="H1949" s="4" t="str">
        <f t="array" ref="H1949">IF(ROWS(L$20:L1949)&gt;$F$6,"",INDEX(B$2:B$10000,SMALL(IF(ISNUMBER(MATCH($B$2:$B$10000,$E$6:$E$22,0)),ROW($C$2:$C$10000)-ROW($C$2)+1),ROWS(L$20:L1949))))</f>
        <v/>
      </c>
      <c r="I1949" s="4" t="str">
        <f t="array" ref="I1949">IF(ROWS(M$20:M1949)&gt;$F$6,"",INDEX(C$2:C$10000,SMALL(IF(ISNUMBER(MATCH($B$2:$B$10000,$E$6:$E$22,0)),ROW($C$2:$C$10000)-ROW($C$2)+1),ROWS(M$20:M1949))))</f>
        <v/>
      </c>
      <c r="K1949" s="7" t="str">
        <f t="array" ref="K1949">IF(ROWS(K$20:K1949)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1949))))</f>
        <v/>
      </c>
      <c r="L1949" s="4" t="str">
        <f t="array" ref="L1949">IF(ROWS(L$20:L1949)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1949))))</f>
        <v/>
      </c>
      <c r="M1949" s="4" t="str">
        <f t="array" ref="M1949">IF(ROWS(M$20:M1949)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1949))))</f>
        <v/>
      </c>
    </row>
    <row r="1950" spans="1:13" x14ac:dyDescent="0.25">
      <c r="A1950" s="3">
        <v>41410</v>
      </c>
      <c r="B1950" s="2" t="s">
        <v>37</v>
      </c>
      <c r="C1950" s="2">
        <v>22</v>
      </c>
      <c r="G1950" s="7" t="str">
        <f t="array" ref="G1950">IF(ROWS(K$20:K1950)&gt;$F$6,"",INDEX(A$2:A$10000,SMALL(IF(ISNUMBER(MATCH($B$2:$B$10000,$E$6:$E$22,0)),ROW($C$2:$C$10000)-ROW($C$2)+1),ROWS(K$20:K1950))))</f>
        <v/>
      </c>
      <c r="H1950" s="4" t="str">
        <f t="array" ref="H1950">IF(ROWS(L$20:L1950)&gt;$F$6,"",INDEX(B$2:B$10000,SMALL(IF(ISNUMBER(MATCH($B$2:$B$10000,$E$6:$E$22,0)),ROW($C$2:$C$10000)-ROW($C$2)+1),ROWS(L$20:L1950))))</f>
        <v/>
      </c>
      <c r="I1950" s="4" t="str">
        <f t="array" ref="I1950">IF(ROWS(M$20:M1950)&gt;$F$6,"",INDEX(C$2:C$10000,SMALL(IF(ISNUMBER(MATCH($B$2:$B$10000,$E$6:$E$22,0)),ROW($C$2:$C$10000)-ROW($C$2)+1),ROWS(M$20:M1950))))</f>
        <v/>
      </c>
      <c r="K1950" s="7" t="str">
        <f t="array" ref="K1950">IF(ROWS(K$20:K1950)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1950))))</f>
        <v/>
      </c>
      <c r="L1950" s="4" t="str">
        <f t="array" ref="L1950">IF(ROWS(L$20:L1950)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1950))))</f>
        <v/>
      </c>
      <c r="M1950" s="4" t="str">
        <f t="array" ref="M1950">IF(ROWS(M$20:M1950)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1950))))</f>
        <v/>
      </c>
    </row>
    <row r="1951" spans="1:13" x14ac:dyDescent="0.25">
      <c r="A1951" s="3">
        <v>41867</v>
      </c>
      <c r="B1951" s="2" t="s">
        <v>45</v>
      </c>
      <c r="C1951" s="2">
        <v>32</v>
      </c>
      <c r="G1951" s="7" t="str">
        <f t="array" ref="G1951">IF(ROWS(K$20:K1951)&gt;$F$6,"",INDEX(A$2:A$10000,SMALL(IF(ISNUMBER(MATCH($B$2:$B$10000,$E$6:$E$22,0)),ROW($C$2:$C$10000)-ROW($C$2)+1),ROWS(K$20:K1951))))</f>
        <v/>
      </c>
      <c r="H1951" s="4" t="str">
        <f t="array" ref="H1951">IF(ROWS(L$20:L1951)&gt;$F$6,"",INDEX(B$2:B$10000,SMALL(IF(ISNUMBER(MATCH($B$2:$B$10000,$E$6:$E$22,0)),ROW($C$2:$C$10000)-ROW($C$2)+1),ROWS(L$20:L1951))))</f>
        <v/>
      </c>
      <c r="I1951" s="4" t="str">
        <f t="array" ref="I1951">IF(ROWS(M$20:M1951)&gt;$F$6,"",INDEX(C$2:C$10000,SMALL(IF(ISNUMBER(MATCH($B$2:$B$10000,$E$6:$E$22,0)),ROW($C$2:$C$10000)-ROW($C$2)+1),ROWS(M$20:M1951))))</f>
        <v/>
      </c>
      <c r="K1951" s="7" t="str">
        <f t="array" ref="K1951">IF(ROWS(K$20:K1951)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1951))))</f>
        <v/>
      </c>
      <c r="L1951" s="4" t="str">
        <f t="array" ref="L1951">IF(ROWS(L$20:L1951)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1951))))</f>
        <v/>
      </c>
      <c r="M1951" s="4" t="str">
        <f t="array" ref="M1951">IF(ROWS(M$20:M1951)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1951))))</f>
        <v/>
      </c>
    </row>
    <row r="1952" spans="1:13" x14ac:dyDescent="0.25">
      <c r="A1952" s="3">
        <v>41294</v>
      </c>
      <c r="B1952" s="2" t="s">
        <v>20</v>
      </c>
      <c r="C1952" s="2">
        <v>21</v>
      </c>
      <c r="G1952" s="7" t="str">
        <f t="array" ref="G1952">IF(ROWS(K$20:K1952)&gt;$F$6,"",INDEX(A$2:A$10000,SMALL(IF(ISNUMBER(MATCH($B$2:$B$10000,$E$6:$E$22,0)),ROW($C$2:$C$10000)-ROW($C$2)+1),ROWS(K$20:K1952))))</f>
        <v/>
      </c>
      <c r="H1952" s="4" t="str">
        <f t="array" ref="H1952">IF(ROWS(L$20:L1952)&gt;$F$6,"",INDEX(B$2:B$10000,SMALL(IF(ISNUMBER(MATCH($B$2:$B$10000,$E$6:$E$22,0)),ROW($C$2:$C$10000)-ROW($C$2)+1),ROWS(L$20:L1952))))</f>
        <v/>
      </c>
      <c r="I1952" s="4" t="str">
        <f t="array" ref="I1952">IF(ROWS(M$20:M1952)&gt;$F$6,"",INDEX(C$2:C$10000,SMALL(IF(ISNUMBER(MATCH($B$2:$B$10000,$E$6:$E$22,0)),ROW($C$2:$C$10000)-ROW($C$2)+1),ROWS(M$20:M1952))))</f>
        <v/>
      </c>
      <c r="K1952" s="7" t="str">
        <f t="array" ref="K1952">IF(ROWS(K$20:K1952)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1952))))</f>
        <v/>
      </c>
      <c r="L1952" s="4" t="str">
        <f t="array" ref="L1952">IF(ROWS(L$20:L1952)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1952))))</f>
        <v/>
      </c>
      <c r="M1952" s="4" t="str">
        <f t="array" ref="M1952">IF(ROWS(M$20:M1952)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1952))))</f>
        <v/>
      </c>
    </row>
    <row r="1953" spans="1:13" x14ac:dyDescent="0.25">
      <c r="A1953" s="3">
        <v>41711</v>
      </c>
      <c r="B1953" s="2" t="s">
        <v>2</v>
      </c>
      <c r="C1953" s="2">
        <v>48</v>
      </c>
      <c r="G1953" s="7" t="str">
        <f t="array" ref="G1953">IF(ROWS(K$20:K1953)&gt;$F$6,"",INDEX(A$2:A$10000,SMALL(IF(ISNUMBER(MATCH($B$2:$B$10000,$E$6:$E$22,0)),ROW($C$2:$C$10000)-ROW($C$2)+1),ROWS(K$20:K1953))))</f>
        <v/>
      </c>
      <c r="H1953" s="4" t="str">
        <f t="array" ref="H1953">IF(ROWS(L$20:L1953)&gt;$F$6,"",INDEX(B$2:B$10000,SMALL(IF(ISNUMBER(MATCH($B$2:$B$10000,$E$6:$E$22,0)),ROW($C$2:$C$10000)-ROW($C$2)+1),ROWS(L$20:L1953))))</f>
        <v/>
      </c>
      <c r="I1953" s="4" t="str">
        <f t="array" ref="I1953">IF(ROWS(M$20:M1953)&gt;$F$6,"",INDEX(C$2:C$10000,SMALL(IF(ISNUMBER(MATCH($B$2:$B$10000,$E$6:$E$22,0)),ROW($C$2:$C$10000)-ROW($C$2)+1),ROWS(M$20:M1953))))</f>
        <v/>
      </c>
      <c r="K1953" s="7" t="str">
        <f t="array" ref="K1953">IF(ROWS(K$20:K1953)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1953))))</f>
        <v/>
      </c>
      <c r="L1953" s="4" t="str">
        <f t="array" ref="L1953">IF(ROWS(L$20:L1953)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1953))))</f>
        <v/>
      </c>
      <c r="M1953" s="4" t="str">
        <f t="array" ref="M1953">IF(ROWS(M$20:M1953)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1953))))</f>
        <v/>
      </c>
    </row>
    <row r="1954" spans="1:13" x14ac:dyDescent="0.25">
      <c r="A1954" s="3">
        <v>41986</v>
      </c>
      <c r="B1954" s="2" t="s">
        <v>17</v>
      </c>
      <c r="C1954" s="2">
        <v>35</v>
      </c>
      <c r="G1954" s="7" t="str">
        <f t="array" ref="G1954">IF(ROWS(K$20:K1954)&gt;$F$6,"",INDEX(A$2:A$10000,SMALL(IF(ISNUMBER(MATCH($B$2:$B$10000,$E$6:$E$22,0)),ROW($C$2:$C$10000)-ROW($C$2)+1),ROWS(K$20:K1954))))</f>
        <v/>
      </c>
      <c r="H1954" s="4" t="str">
        <f t="array" ref="H1954">IF(ROWS(L$20:L1954)&gt;$F$6,"",INDEX(B$2:B$10000,SMALL(IF(ISNUMBER(MATCH($B$2:$B$10000,$E$6:$E$22,0)),ROW($C$2:$C$10000)-ROW($C$2)+1),ROWS(L$20:L1954))))</f>
        <v/>
      </c>
      <c r="I1954" s="4" t="str">
        <f t="array" ref="I1954">IF(ROWS(M$20:M1954)&gt;$F$6,"",INDEX(C$2:C$10000,SMALL(IF(ISNUMBER(MATCH($B$2:$B$10000,$E$6:$E$22,0)),ROW($C$2:$C$10000)-ROW($C$2)+1),ROWS(M$20:M1954))))</f>
        <v/>
      </c>
      <c r="K1954" s="7" t="str">
        <f t="array" ref="K1954">IF(ROWS(K$20:K1954)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1954))))</f>
        <v/>
      </c>
      <c r="L1954" s="4" t="str">
        <f t="array" ref="L1954">IF(ROWS(L$20:L1954)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1954))))</f>
        <v/>
      </c>
      <c r="M1954" s="4" t="str">
        <f t="array" ref="M1954">IF(ROWS(M$20:M1954)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1954))))</f>
        <v/>
      </c>
    </row>
    <row r="1955" spans="1:13" x14ac:dyDescent="0.25">
      <c r="A1955" s="3">
        <v>41858</v>
      </c>
      <c r="B1955" s="2" t="s">
        <v>25</v>
      </c>
      <c r="C1955" s="2">
        <v>28</v>
      </c>
      <c r="G1955" s="7" t="str">
        <f t="array" ref="G1955">IF(ROWS(K$20:K1955)&gt;$F$6,"",INDEX(A$2:A$10000,SMALL(IF(ISNUMBER(MATCH($B$2:$B$10000,$E$6:$E$22,0)),ROW($C$2:$C$10000)-ROW($C$2)+1),ROWS(K$20:K1955))))</f>
        <v/>
      </c>
      <c r="H1955" s="4" t="str">
        <f t="array" ref="H1955">IF(ROWS(L$20:L1955)&gt;$F$6,"",INDEX(B$2:B$10000,SMALL(IF(ISNUMBER(MATCH($B$2:$B$10000,$E$6:$E$22,0)),ROW($C$2:$C$10000)-ROW($C$2)+1),ROWS(L$20:L1955))))</f>
        <v/>
      </c>
      <c r="I1955" s="4" t="str">
        <f t="array" ref="I1955">IF(ROWS(M$20:M1955)&gt;$F$6,"",INDEX(C$2:C$10000,SMALL(IF(ISNUMBER(MATCH($B$2:$B$10000,$E$6:$E$22,0)),ROW($C$2:$C$10000)-ROW($C$2)+1),ROWS(M$20:M1955))))</f>
        <v/>
      </c>
      <c r="K1955" s="7" t="str">
        <f t="array" ref="K1955">IF(ROWS(K$20:K1955)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1955))))</f>
        <v/>
      </c>
      <c r="L1955" s="4" t="str">
        <f t="array" ref="L1955">IF(ROWS(L$20:L1955)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1955))))</f>
        <v/>
      </c>
      <c r="M1955" s="4" t="str">
        <f t="array" ref="M1955">IF(ROWS(M$20:M1955)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1955))))</f>
        <v/>
      </c>
    </row>
    <row r="1956" spans="1:13" x14ac:dyDescent="0.25">
      <c r="A1956" s="3">
        <v>41459</v>
      </c>
      <c r="B1956" s="2" t="s">
        <v>45</v>
      </c>
      <c r="C1956" s="2">
        <v>53</v>
      </c>
      <c r="G1956" s="7" t="str">
        <f t="array" ref="G1956">IF(ROWS(K$20:K1956)&gt;$F$6,"",INDEX(A$2:A$10000,SMALL(IF(ISNUMBER(MATCH($B$2:$B$10000,$E$6:$E$22,0)),ROW($C$2:$C$10000)-ROW($C$2)+1),ROWS(K$20:K1956))))</f>
        <v/>
      </c>
      <c r="H1956" s="4" t="str">
        <f t="array" ref="H1956">IF(ROWS(L$20:L1956)&gt;$F$6,"",INDEX(B$2:B$10000,SMALL(IF(ISNUMBER(MATCH($B$2:$B$10000,$E$6:$E$22,0)),ROW($C$2:$C$10000)-ROW($C$2)+1),ROWS(L$20:L1956))))</f>
        <v/>
      </c>
      <c r="I1956" s="4" t="str">
        <f t="array" ref="I1956">IF(ROWS(M$20:M1956)&gt;$F$6,"",INDEX(C$2:C$10000,SMALL(IF(ISNUMBER(MATCH($B$2:$B$10000,$E$6:$E$22,0)),ROW($C$2:$C$10000)-ROW($C$2)+1),ROWS(M$20:M1956))))</f>
        <v/>
      </c>
      <c r="K1956" s="7" t="str">
        <f t="array" ref="K1956">IF(ROWS(K$20:K1956)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1956))))</f>
        <v/>
      </c>
      <c r="L1956" s="4" t="str">
        <f t="array" ref="L1956">IF(ROWS(L$20:L1956)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1956))))</f>
        <v/>
      </c>
      <c r="M1956" s="4" t="str">
        <f t="array" ref="M1956">IF(ROWS(M$20:M1956)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1956))))</f>
        <v/>
      </c>
    </row>
    <row r="1957" spans="1:13" x14ac:dyDescent="0.25">
      <c r="A1957" s="3">
        <v>41277</v>
      </c>
      <c r="B1957" s="2" t="s">
        <v>18</v>
      </c>
      <c r="C1957" s="2">
        <v>15</v>
      </c>
      <c r="G1957" s="7" t="str">
        <f t="array" ref="G1957">IF(ROWS(K$20:K1957)&gt;$F$6,"",INDEX(A$2:A$10000,SMALL(IF(ISNUMBER(MATCH($B$2:$B$10000,$E$6:$E$22,0)),ROW($C$2:$C$10000)-ROW($C$2)+1),ROWS(K$20:K1957))))</f>
        <v/>
      </c>
      <c r="H1957" s="4" t="str">
        <f t="array" ref="H1957">IF(ROWS(L$20:L1957)&gt;$F$6,"",INDEX(B$2:B$10000,SMALL(IF(ISNUMBER(MATCH($B$2:$B$10000,$E$6:$E$22,0)),ROW($C$2:$C$10000)-ROW($C$2)+1),ROWS(L$20:L1957))))</f>
        <v/>
      </c>
      <c r="I1957" s="4" t="str">
        <f t="array" ref="I1957">IF(ROWS(M$20:M1957)&gt;$F$6,"",INDEX(C$2:C$10000,SMALL(IF(ISNUMBER(MATCH($B$2:$B$10000,$E$6:$E$22,0)),ROW($C$2:$C$10000)-ROW($C$2)+1),ROWS(M$20:M1957))))</f>
        <v/>
      </c>
      <c r="K1957" s="7" t="str">
        <f t="array" ref="K1957">IF(ROWS(K$20:K1957)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1957))))</f>
        <v/>
      </c>
      <c r="L1957" s="4" t="str">
        <f t="array" ref="L1957">IF(ROWS(L$20:L1957)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1957))))</f>
        <v/>
      </c>
      <c r="M1957" s="4" t="str">
        <f t="array" ref="M1957">IF(ROWS(M$20:M1957)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1957))))</f>
        <v/>
      </c>
    </row>
    <row r="1958" spans="1:13" x14ac:dyDescent="0.25">
      <c r="A1958" s="3">
        <v>41714</v>
      </c>
      <c r="B1958" s="2" t="s">
        <v>7</v>
      </c>
      <c r="C1958" s="2">
        <v>25</v>
      </c>
      <c r="G1958" s="7" t="str">
        <f t="array" ref="G1958">IF(ROWS(K$20:K1958)&gt;$F$6,"",INDEX(A$2:A$10000,SMALL(IF(ISNUMBER(MATCH($B$2:$B$10000,$E$6:$E$22,0)),ROW($C$2:$C$10000)-ROW($C$2)+1),ROWS(K$20:K1958))))</f>
        <v/>
      </c>
      <c r="H1958" s="4" t="str">
        <f t="array" ref="H1958">IF(ROWS(L$20:L1958)&gt;$F$6,"",INDEX(B$2:B$10000,SMALL(IF(ISNUMBER(MATCH($B$2:$B$10000,$E$6:$E$22,0)),ROW($C$2:$C$10000)-ROW($C$2)+1),ROWS(L$20:L1958))))</f>
        <v/>
      </c>
      <c r="I1958" s="4" t="str">
        <f t="array" ref="I1958">IF(ROWS(M$20:M1958)&gt;$F$6,"",INDEX(C$2:C$10000,SMALL(IF(ISNUMBER(MATCH($B$2:$B$10000,$E$6:$E$22,0)),ROW($C$2:$C$10000)-ROW($C$2)+1),ROWS(M$20:M1958))))</f>
        <v/>
      </c>
      <c r="K1958" s="7" t="str">
        <f t="array" ref="K1958">IF(ROWS(K$20:K1958)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1958))))</f>
        <v/>
      </c>
      <c r="L1958" s="4" t="str">
        <f t="array" ref="L1958">IF(ROWS(L$20:L1958)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1958))))</f>
        <v/>
      </c>
      <c r="M1958" s="4" t="str">
        <f t="array" ref="M1958">IF(ROWS(M$20:M1958)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1958))))</f>
        <v/>
      </c>
    </row>
    <row r="1959" spans="1:13" x14ac:dyDescent="0.25">
      <c r="A1959" s="3">
        <v>41848</v>
      </c>
      <c r="B1959" s="2" t="s">
        <v>29</v>
      </c>
      <c r="C1959" s="2">
        <v>6</v>
      </c>
      <c r="G1959" s="7" t="str">
        <f t="array" ref="G1959">IF(ROWS(K$20:K1959)&gt;$F$6,"",INDEX(A$2:A$10000,SMALL(IF(ISNUMBER(MATCH($B$2:$B$10000,$E$6:$E$22,0)),ROW($C$2:$C$10000)-ROW($C$2)+1),ROWS(K$20:K1959))))</f>
        <v/>
      </c>
      <c r="H1959" s="4" t="str">
        <f t="array" ref="H1959">IF(ROWS(L$20:L1959)&gt;$F$6,"",INDEX(B$2:B$10000,SMALL(IF(ISNUMBER(MATCH($B$2:$B$10000,$E$6:$E$22,0)),ROW($C$2:$C$10000)-ROW($C$2)+1),ROWS(L$20:L1959))))</f>
        <v/>
      </c>
      <c r="I1959" s="4" t="str">
        <f t="array" ref="I1959">IF(ROWS(M$20:M1959)&gt;$F$6,"",INDEX(C$2:C$10000,SMALL(IF(ISNUMBER(MATCH($B$2:$B$10000,$E$6:$E$22,0)),ROW($C$2:$C$10000)-ROW($C$2)+1),ROWS(M$20:M1959))))</f>
        <v/>
      </c>
      <c r="K1959" s="7" t="str">
        <f t="array" ref="K1959">IF(ROWS(K$20:K1959)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1959))))</f>
        <v/>
      </c>
      <c r="L1959" s="4" t="str">
        <f t="array" ref="L1959">IF(ROWS(L$20:L1959)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1959))))</f>
        <v/>
      </c>
      <c r="M1959" s="4" t="str">
        <f t="array" ref="M1959">IF(ROWS(M$20:M1959)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1959))))</f>
        <v/>
      </c>
    </row>
    <row r="1960" spans="1:13" x14ac:dyDescent="0.25">
      <c r="A1960" s="3">
        <v>41383</v>
      </c>
      <c r="B1960" s="2" t="s">
        <v>35</v>
      </c>
      <c r="C1960" s="2">
        <v>31</v>
      </c>
      <c r="G1960" s="7" t="str">
        <f t="array" ref="G1960">IF(ROWS(K$20:K1960)&gt;$F$6,"",INDEX(A$2:A$10000,SMALL(IF(ISNUMBER(MATCH($B$2:$B$10000,$E$6:$E$22,0)),ROW($C$2:$C$10000)-ROW($C$2)+1),ROWS(K$20:K1960))))</f>
        <v/>
      </c>
      <c r="H1960" s="4" t="str">
        <f t="array" ref="H1960">IF(ROWS(L$20:L1960)&gt;$F$6,"",INDEX(B$2:B$10000,SMALL(IF(ISNUMBER(MATCH($B$2:$B$10000,$E$6:$E$22,0)),ROW($C$2:$C$10000)-ROW($C$2)+1),ROWS(L$20:L1960))))</f>
        <v/>
      </c>
      <c r="I1960" s="4" t="str">
        <f t="array" ref="I1960">IF(ROWS(M$20:M1960)&gt;$F$6,"",INDEX(C$2:C$10000,SMALL(IF(ISNUMBER(MATCH($B$2:$B$10000,$E$6:$E$22,0)),ROW($C$2:$C$10000)-ROW($C$2)+1),ROWS(M$20:M1960))))</f>
        <v/>
      </c>
      <c r="K1960" s="7" t="str">
        <f t="array" ref="K1960">IF(ROWS(K$20:K1960)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1960))))</f>
        <v/>
      </c>
      <c r="L1960" s="4" t="str">
        <f t="array" ref="L1960">IF(ROWS(L$20:L1960)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1960))))</f>
        <v/>
      </c>
      <c r="M1960" s="4" t="str">
        <f t="array" ref="M1960">IF(ROWS(M$20:M1960)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1960))))</f>
        <v/>
      </c>
    </row>
    <row r="1961" spans="1:13" x14ac:dyDescent="0.25">
      <c r="A1961" s="3">
        <v>41696</v>
      </c>
      <c r="B1961" s="2" t="s">
        <v>51</v>
      </c>
      <c r="C1961" s="2">
        <v>14</v>
      </c>
      <c r="G1961" s="7" t="str">
        <f t="array" ref="G1961">IF(ROWS(K$20:K1961)&gt;$F$6,"",INDEX(A$2:A$10000,SMALL(IF(ISNUMBER(MATCH($B$2:$B$10000,$E$6:$E$22,0)),ROW($C$2:$C$10000)-ROW($C$2)+1),ROWS(K$20:K1961))))</f>
        <v/>
      </c>
      <c r="H1961" s="4" t="str">
        <f t="array" ref="H1961">IF(ROWS(L$20:L1961)&gt;$F$6,"",INDEX(B$2:B$10000,SMALL(IF(ISNUMBER(MATCH($B$2:$B$10000,$E$6:$E$22,0)),ROW($C$2:$C$10000)-ROW($C$2)+1),ROWS(L$20:L1961))))</f>
        <v/>
      </c>
      <c r="I1961" s="4" t="str">
        <f t="array" ref="I1961">IF(ROWS(M$20:M1961)&gt;$F$6,"",INDEX(C$2:C$10000,SMALL(IF(ISNUMBER(MATCH($B$2:$B$10000,$E$6:$E$22,0)),ROW($C$2:$C$10000)-ROW($C$2)+1),ROWS(M$20:M1961))))</f>
        <v/>
      </c>
      <c r="K1961" s="7" t="str">
        <f t="array" ref="K1961">IF(ROWS(K$20:K1961)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1961))))</f>
        <v/>
      </c>
      <c r="L1961" s="4" t="str">
        <f t="array" ref="L1961">IF(ROWS(L$20:L1961)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1961))))</f>
        <v/>
      </c>
      <c r="M1961" s="4" t="str">
        <f t="array" ref="M1961">IF(ROWS(M$20:M1961)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1961))))</f>
        <v/>
      </c>
    </row>
    <row r="1962" spans="1:13" x14ac:dyDescent="0.25">
      <c r="A1962" s="3">
        <v>41604</v>
      </c>
      <c r="B1962" s="2" t="s">
        <v>33</v>
      </c>
      <c r="C1962" s="2">
        <v>5</v>
      </c>
      <c r="G1962" s="7" t="str">
        <f t="array" ref="G1962">IF(ROWS(K$20:K1962)&gt;$F$6,"",INDEX(A$2:A$10000,SMALL(IF(ISNUMBER(MATCH($B$2:$B$10000,$E$6:$E$22,0)),ROW($C$2:$C$10000)-ROW($C$2)+1),ROWS(K$20:K1962))))</f>
        <v/>
      </c>
      <c r="H1962" s="4" t="str">
        <f t="array" ref="H1962">IF(ROWS(L$20:L1962)&gt;$F$6,"",INDEX(B$2:B$10000,SMALL(IF(ISNUMBER(MATCH($B$2:$B$10000,$E$6:$E$22,0)),ROW($C$2:$C$10000)-ROW($C$2)+1),ROWS(L$20:L1962))))</f>
        <v/>
      </c>
      <c r="I1962" s="4" t="str">
        <f t="array" ref="I1962">IF(ROWS(M$20:M1962)&gt;$F$6,"",INDEX(C$2:C$10000,SMALL(IF(ISNUMBER(MATCH($B$2:$B$10000,$E$6:$E$22,0)),ROW($C$2:$C$10000)-ROW($C$2)+1),ROWS(M$20:M1962))))</f>
        <v/>
      </c>
      <c r="K1962" s="7" t="str">
        <f t="array" ref="K1962">IF(ROWS(K$20:K1962)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1962))))</f>
        <v/>
      </c>
      <c r="L1962" s="4" t="str">
        <f t="array" ref="L1962">IF(ROWS(L$20:L1962)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1962))))</f>
        <v/>
      </c>
      <c r="M1962" s="4" t="str">
        <f t="array" ref="M1962">IF(ROWS(M$20:M1962)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1962))))</f>
        <v/>
      </c>
    </row>
    <row r="1963" spans="1:13" x14ac:dyDescent="0.25">
      <c r="A1963" s="3">
        <v>41575</v>
      </c>
      <c r="B1963" s="2" t="s">
        <v>26</v>
      </c>
      <c r="C1963" s="2">
        <v>18</v>
      </c>
      <c r="G1963" s="7" t="str">
        <f t="array" ref="G1963">IF(ROWS(K$20:K1963)&gt;$F$6,"",INDEX(A$2:A$10000,SMALL(IF(ISNUMBER(MATCH($B$2:$B$10000,$E$6:$E$22,0)),ROW($C$2:$C$10000)-ROW($C$2)+1),ROWS(K$20:K1963))))</f>
        <v/>
      </c>
      <c r="H1963" s="4" t="str">
        <f t="array" ref="H1963">IF(ROWS(L$20:L1963)&gt;$F$6,"",INDEX(B$2:B$10000,SMALL(IF(ISNUMBER(MATCH($B$2:$B$10000,$E$6:$E$22,0)),ROW($C$2:$C$10000)-ROW($C$2)+1),ROWS(L$20:L1963))))</f>
        <v/>
      </c>
      <c r="I1963" s="4" t="str">
        <f t="array" ref="I1963">IF(ROWS(M$20:M1963)&gt;$F$6,"",INDEX(C$2:C$10000,SMALL(IF(ISNUMBER(MATCH($B$2:$B$10000,$E$6:$E$22,0)),ROW($C$2:$C$10000)-ROW($C$2)+1),ROWS(M$20:M1963))))</f>
        <v/>
      </c>
      <c r="K1963" s="7" t="str">
        <f t="array" ref="K1963">IF(ROWS(K$20:K1963)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1963))))</f>
        <v/>
      </c>
      <c r="L1963" s="4" t="str">
        <f t="array" ref="L1963">IF(ROWS(L$20:L1963)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1963))))</f>
        <v/>
      </c>
      <c r="M1963" s="4" t="str">
        <f t="array" ref="M1963">IF(ROWS(M$20:M1963)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1963))))</f>
        <v/>
      </c>
    </row>
    <row r="1964" spans="1:13" x14ac:dyDescent="0.25">
      <c r="A1964" s="3">
        <v>41891</v>
      </c>
      <c r="B1964" s="2" t="s">
        <v>14</v>
      </c>
      <c r="C1964" s="2">
        <v>32</v>
      </c>
      <c r="G1964" s="7" t="str">
        <f t="array" ref="G1964">IF(ROWS(K$20:K1964)&gt;$F$6,"",INDEX(A$2:A$10000,SMALL(IF(ISNUMBER(MATCH($B$2:$B$10000,$E$6:$E$22,0)),ROW($C$2:$C$10000)-ROW($C$2)+1),ROWS(K$20:K1964))))</f>
        <v/>
      </c>
      <c r="H1964" s="4" t="str">
        <f t="array" ref="H1964">IF(ROWS(L$20:L1964)&gt;$F$6,"",INDEX(B$2:B$10000,SMALL(IF(ISNUMBER(MATCH($B$2:$B$10000,$E$6:$E$22,0)),ROW($C$2:$C$10000)-ROW($C$2)+1),ROWS(L$20:L1964))))</f>
        <v/>
      </c>
      <c r="I1964" s="4" t="str">
        <f t="array" ref="I1964">IF(ROWS(M$20:M1964)&gt;$F$6,"",INDEX(C$2:C$10000,SMALL(IF(ISNUMBER(MATCH($B$2:$B$10000,$E$6:$E$22,0)),ROW($C$2:$C$10000)-ROW($C$2)+1),ROWS(M$20:M1964))))</f>
        <v/>
      </c>
      <c r="K1964" s="7" t="str">
        <f t="array" ref="K1964">IF(ROWS(K$20:K1964)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1964))))</f>
        <v/>
      </c>
      <c r="L1964" s="4" t="str">
        <f t="array" ref="L1964">IF(ROWS(L$20:L1964)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1964))))</f>
        <v/>
      </c>
      <c r="M1964" s="4" t="str">
        <f t="array" ref="M1964">IF(ROWS(M$20:M1964)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1964))))</f>
        <v/>
      </c>
    </row>
    <row r="1965" spans="1:13" x14ac:dyDescent="0.25">
      <c r="A1965" s="3">
        <v>41680</v>
      </c>
      <c r="B1965" s="2" t="s">
        <v>5</v>
      </c>
      <c r="C1965" s="2">
        <v>7</v>
      </c>
      <c r="G1965" s="7" t="str">
        <f t="array" ref="G1965">IF(ROWS(K$20:K1965)&gt;$F$6,"",INDEX(A$2:A$10000,SMALL(IF(ISNUMBER(MATCH($B$2:$B$10000,$E$6:$E$22,0)),ROW($C$2:$C$10000)-ROW($C$2)+1),ROWS(K$20:K1965))))</f>
        <v/>
      </c>
      <c r="H1965" s="4" t="str">
        <f t="array" ref="H1965">IF(ROWS(L$20:L1965)&gt;$F$6,"",INDEX(B$2:B$10000,SMALL(IF(ISNUMBER(MATCH($B$2:$B$10000,$E$6:$E$22,0)),ROW($C$2:$C$10000)-ROW($C$2)+1),ROWS(L$20:L1965))))</f>
        <v/>
      </c>
      <c r="I1965" s="4" t="str">
        <f t="array" ref="I1965">IF(ROWS(M$20:M1965)&gt;$F$6,"",INDEX(C$2:C$10000,SMALL(IF(ISNUMBER(MATCH($B$2:$B$10000,$E$6:$E$22,0)),ROW($C$2:$C$10000)-ROW($C$2)+1),ROWS(M$20:M1965))))</f>
        <v/>
      </c>
      <c r="K1965" s="7" t="str">
        <f t="array" ref="K1965">IF(ROWS(K$20:K1965)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1965))))</f>
        <v/>
      </c>
      <c r="L1965" s="4" t="str">
        <f t="array" ref="L1965">IF(ROWS(L$20:L1965)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1965))))</f>
        <v/>
      </c>
      <c r="M1965" s="4" t="str">
        <f t="array" ref="M1965">IF(ROWS(M$20:M1965)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1965))))</f>
        <v/>
      </c>
    </row>
    <row r="1966" spans="1:13" x14ac:dyDescent="0.25">
      <c r="A1966" s="3">
        <v>41944</v>
      </c>
      <c r="B1966" s="2" t="s">
        <v>32</v>
      </c>
      <c r="C1966" s="2">
        <v>16</v>
      </c>
      <c r="G1966" s="7" t="str">
        <f t="array" ref="G1966">IF(ROWS(K$20:K1966)&gt;$F$6,"",INDEX(A$2:A$10000,SMALL(IF(ISNUMBER(MATCH($B$2:$B$10000,$E$6:$E$22,0)),ROW($C$2:$C$10000)-ROW($C$2)+1),ROWS(K$20:K1966))))</f>
        <v/>
      </c>
      <c r="H1966" s="4" t="str">
        <f t="array" ref="H1966">IF(ROWS(L$20:L1966)&gt;$F$6,"",INDEX(B$2:B$10000,SMALL(IF(ISNUMBER(MATCH($B$2:$B$10000,$E$6:$E$22,0)),ROW($C$2:$C$10000)-ROW($C$2)+1),ROWS(L$20:L1966))))</f>
        <v/>
      </c>
      <c r="I1966" s="4" t="str">
        <f t="array" ref="I1966">IF(ROWS(M$20:M1966)&gt;$F$6,"",INDEX(C$2:C$10000,SMALL(IF(ISNUMBER(MATCH($B$2:$B$10000,$E$6:$E$22,0)),ROW($C$2:$C$10000)-ROW($C$2)+1),ROWS(M$20:M1966))))</f>
        <v/>
      </c>
      <c r="K1966" s="7" t="str">
        <f t="array" ref="K1966">IF(ROWS(K$20:K1966)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1966))))</f>
        <v/>
      </c>
      <c r="L1966" s="4" t="str">
        <f t="array" ref="L1966">IF(ROWS(L$20:L1966)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1966))))</f>
        <v/>
      </c>
      <c r="M1966" s="4" t="str">
        <f t="array" ref="M1966">IF(ROWS(M$20:M1966)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1966))))</f>
        <v/>
      </c>
    </row>
    <row r="1967" spans="1:13" x14ac:dyDescent="0.25">
      <c r="A1967" s="3">
        <v>41413</v>
      </c>
      <c r="B1967" s="2" t="s">
        <v>22</v>
      </c>
      <c r="C1967" s="2">
        <v>33</v>
      </c>
      <c r="G1967" s="7" t="str">
        <f t="array" ref="G1967">IF(ROWS(K$20:K1967)&gt;$F$6,"",INDEX(A$2:A$10000,SMALL(IF(ISNUMBER(MATCH($B$2:$B$10000,$E$6:$E$22,0)),ROW($C$2:$C$10000)-ROW($C$2)+1),ROWS(K$20:K1967))))</f>
        <v/>
      </c>
      <c r="H1967" s="4" t="str">
        <f t="array" ref="H1967">IF(ROWS(L$20:L1967)&gt;$F$6,"",INDEX(B$2:B$10000,SMALL(IF(ISNUMBER(MATCH($B$2:$B$10000,$E$6:$E$22,0)),ROW($C$2:$C$10000)-ROW($C$2)+1),ROWS(L$20:L1967))))</f>
        <v/>
      </c>
      <c r="I1967" s="4" t="str">
        <f t="array" ref="I1967">IF(ROWS(M$20:M1967)&gt;$F$6,"",INDEX(C$2:C$10000,SMALL(IF(ISNUMBER(MATCH($B$2:$B$10000,$E$6:$E$22,0)),ROW($C$2:$C$10000)-ROW($C$2)+1),ROWS(M$20:M1967))))</f>
        <v/>
      </c>
      <c r="K1967" s="7" t="str">
        <f t="array" ref="K1967">IF(ROWS(K$20:K1967)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1967))))</f>
        <v/>
      </c>
      <c r="L1967" s="4" t="str">
        <f t="array" ref="L1967">IF(ROWS(L$20:L1967)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1967))))</f>
        <v/>
      </c>
      <c r="M1967" s="4" t="str">
        <f t="array" ref="M1967">IF(ROWS(M$20:M1967)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1967))))</f>
        <v/>
      </c>
    </row>
    <row r="1968" spans="1:13" x14ac:dyDescent="0.25">
      <c r="A1968" s="3">
        <v>41606</v>
      </c>
      <c r="B1968" s="2" t="s">
        <v>42</v>
      </c>
      <c r="C1968" s="2">
        <v>61</v>
      </c>
      <c r="G1968" s="7" t="str">
        <f t="array" ref="G1968">IF(ROWS(K$20:K1968)&gt;$F$6,"",INDEX(A$2:A$10000,SMALL(IF(ISNUMBER(MATCH($B$2:$B$10000,$E$6:$E$22,0)),ROW($C$2:$C$10000)-ROW($C$2)+1),ROWS(K$20:K1968))))</f>
        <v/>
      </c>
      <c r="H1968" s="4" t="str">
        <f t="array" ref="H1968">IF(ROWS(L$20:L1968)&gt;$F$6,"",INDEX(B$2:B$10000,SMALL(IF(ISNUMBER(MATCH($B$2:$B$10000,$E$6:$E$22,0)),ROW($C$2:$C$10000)-ROW($C$2)+1),ROWS(L$20:L1968))))</f>
        <v/>
      </c>
      <c r="I1968" s="4" t="str">
        <f t="array" ref="I1968">IF(ROWS(M$20:M1968)&gt;$F$6,"",INDEX(C$2:C$10000,SMALL(IF(ISNUMBER(MATCH($B$2:$B$10000,$E$6:$E$22,0)),ROW($C$2:$C$10000)-ROW($C$2)+1),ROWS(M$20:M1968))))</f>
        <v/>
      </c>
      <c r="K1968" s="7" t="str">
        <f t="array" ref="K1968">IF(ROWS(K$20:K1968)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1968))))</f>
        <v/>
      </c>
      <c r="L1968" s="4" t="str">
        <f t="array" ref="L1968">IF(ROWS(L$20:L1968)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1968))))</f>
        <v/>
      </c>
      <c r="M1968" s="4" t="str">
        <f t="array" ref="M1968">IF(ROWS(M$20:M1968)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1968))))</f>
        <v/>
      </c>
    </row>
    <row r="1969" spans="1:13" x14ac:dyDescent="0.25">
      <c r="A1969" s="3">
        <v>41736</v>
      </c>
      <c r="B1969" s="2" t="s">
        <v>49</v>
      </c>
      <c r="C1969" s="2">
        <v>27</v>
      </c>
      <c r="G1969" s="7" t="str">
        <f t="array" ref="G1969">IF(ROWS(K$20:K1969)&gt;$F$6,"",INDEX(A$2:A$10000,SMALL(IF(ISNUMBER(MATCH($B$2:$B$10000,$E$6:$E$22,0)),ROW($C$2:$C$10000)-ROW($C$2)+1),ROWS(K$20:K1969))))</f>
        <v/>
      </c>
      <c r="H1969" s="4" t="str">
        <f t="array" ref="H1969">IF(ROWS(L$20:L1969)&gt;$F$6,"",INDEX(B$2:B$10000,SMALL(IF(ISNUMBER(MATCH($B$2:$B$10000,$E$6:$E$22,0)),ROW($C$2:$C$10000)-ROW($C$2)+1),ROWS(L$20:L1969))))</f>
        <v/>
      </c>
      <c r="I1969" s="4" t="str">
        <f t="array" ref="I1969">IF(ROWS(M$20:M1969)&gt;$F$6,"",INDEX(C$2:C$10000,SMALL(IF(ISNUMBER(MATCH($B$2:$B$10000,$E$6:$E$22,0)),ROW($C$2:$C$10000)-ROW($C$2)+1),ROWS(M$20:M1969))))</f>
        <v/>
      </c>
      <c r="K1969" s="7" t="str">
        <f t="array" ref="K1969">IF(ROWS(K$20:K1969)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1969))))</f>
        <v/>
      </c>
      <c r="L1969" s="4" t="str">
        <f t="array" ref="L1969">IF(ROWS(L$20:L1969)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1969))))</f>
        <v/>
      </c>
      <c r="M1969" s="4" t="str">
        <f t="array" ref="M1969">IF(ROWS(M$20:M1969)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1969))))</f>
        <v/>
      </c>
    </row>
    <row r="1970" spans="1:13" x14ac:dyDescent="0.25">
      <c r="A1970" s="3">
        <v>41329</v>
      </c>
      <c r="B1970" s="2" t="s">
        <v>14</v>
      </c>
      <c r="C1970" s="2">
        <v>2</v>
      </c>
      <c r="G1970" s="7" t="str">
        <f t="array" ref="G1970">IF(ROWS(K$20:K1970)&gt;$F$6,"",INDEX(A$2:A$10000,SMALL(IF(ISNUMBER(MATCH($B$2:$B$10000,$E$6:$E$22,0)),ROW($C$2:$C$10000)-ROW($C$2)+1),ROWS(K$20:K1970))))</f>
        <v/>
      </c>
      <c r="H1970" s="4" t="str">
        <f t="array" ref="H1970">IF(ROWS(L$20:L1970)&gt;$F$6,"",INDEX(B$2:B$10000,SMALL(IF(ISNUMBER(MATCH($B$2:$B$10000,$E$6:$E$22,0)),ROW($C$2:$C$10000)-ROW($C$2)+1),ROWS(L$20:L1970))))</f>
        <v/>
      </c>
      <c r="I1970" s="4" t="str">
        <f t="array" ref="I1970">IF(ROWS(M$20:M1970)&gt;$F$6,"",INDEX(C$2:C$10000,SMALL(IF(ISNUMBER(MATCH($B$2:$B$10000,$E$6:$E$22,0)),ROW($C$2:$C$10000)-ROW($C$2)+1),ROWS(M$20:M1970))))</f>
        <v/>
      </c>
      <c r="K1970" s="7" t="str">
        <f t="array" ref="K1970">IF(ROWS(K$20:K1970)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1970))))</f>
        <v/>
      </c>
      <c r="L1970" s="4" t="str">
        <f t="array" ref="L1970">IF(ROWS(L$20:L1970)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1970))))</f>
        <v/>
      </c>
      <c r="M1970" s="4" t="str">
        <f t="array" ref="M1970">IF(ROWS(M$20:M1970)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1970))))</f>
        <v/>
      </c>
    </row>
    <row r="1971" spans="1:13" x14ac:dyDescent="0.25">
      <c r="A1971" s="3">
        <v>41631</v>
      </c>
      <c r="B1971" s="2" t="s">
        <v>9</v>
      </c>
      <c r="C1971" s="2">
        <v>10</v>
      </c>
      <c r="G1971" s="7" t="str">
        <f t="array" ref="G1971">IF(ROWS(K$20:K1971)&gt;$F$6,"",INDEX(A$2:A$10000,SMALL(IF(ISNUMBER(MATCH($B$2:$B$10000,$E$6:$E$22,0)),ROW($C$2:$C$10000)-ROW($C$2)+1),ROWS(K$20:K1971))))</f>
        <v/>
      </c>
      <c r="H1971" s="4" t="str">
        <f t="array" ref="H1971">IF(ROWS(L$20:L1971)&gt;$F$6,"",INDEX(B$2:B$10000,SMALL(IF(ISNUMBER(MATCH($B$2:$B$10000,$E$6:$E$22,0)),ROW($C$2:$C$10000)-ROW($C$2)+1),ROWS(L$20:L1971))))</f>
        <v/>
      </c>
      <c r="I1971" s="4" t="str">
        <f t="array" ref="I1971">IF(ROWS(M$20:M1971)&gt;$F$6,"",INDEX(C$2:C$10000,SMALL(IF(ISNUMBER(MATCH($B$2:$B$10000,$E$6:$E$22,0)),ROW($C$2:$C$10000)-ROW($C$2)+1),ROWS(M$20:M1971))))</f>
        <v/>
      </c>
      <c r="K1971" s="7" t="str">
        <f t="array" ref="K1971">IF(ROWS(K$20:K1971)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1971))))</f>
        <v/>
      </c>
      <c r="L1971" s="4" t="str">
        <f t="array" ref="L1971">IF(ROWS(L$20:L1971)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1971))))</f>
        <v/>
      </c>
      <c r="M1971" s="4" t="str">
        <f t="array" ref="M1971">IF(ROWS(M$20:M1971)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1971))))</f>
        <v/>
      </c>
    </row>
    <row r="1972" spans="1:13" x14ac:dyDescent="0.25">
      <c r="A1972" s="3">
        <v>41502</v>
      </c>
      <c r="B1972" s="2" t="s">
        <v>8</v>
      </c>
      <c r="C1972" s="2">
        <v>6</v>
      </c>
      <c r="G1972" s="7" t="str">
        <f t="array" ref="G1972">IF(ROWS(K$20:K1972)&gt;$F$6,"",INDEX(A$2:A$10000,SMALL(IF(ISNUMBER(MATCH($B$2:$B$10000,$E$6:$E$22,0)),ROW($C$2:$C$10000)-ROW($C$2)+1),ROWS(K$20:K1972))))</f>
        <v/>
      </c>
      <c r="H1972" s="4" t="str">
        <f t="array" ref="H1972">IF(ROWS(L$20:L1972)&gt;$F$6,"",INDEX(B$2:B$10000,SMALL(IF(ISNUMBER(MATCH($B$2:$B$10000,$E$6:$E$22,0)),ROW($C$2:$C$10000)-ROW($C$2)+1),ROWS(L$20:L1972))))</f>
        <v/>
      </c>
      <c r="I1972" s="4" t="str">
        <f t="array" ref="I1972">IF(ROWS(M$20:M1972)&gt;$F$6,"",INDEX(C$2:C$10000,SMALL(IF(ISNUMBER(MATCH($B$2:$B$10000,$E$6:$E$22,0)),ROW($C$2:$C$10000)-ROW($C$2)+1),ROWS(M$20:M1972))))</f>
        <v/>
      </c>
      <c r="K1972" s="7" t="str">
        <f t="array" ref="K1972">IF(ROWS(K$20:K1972)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1972))))</f>
        <v/>
      </c>
      <c r="L1972" s="4" t="str">
        <f t="array" ref="L1972">IF(ROWS(L$20:L1972)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1972))))</f>
        <v/>
      </c>
      <c r="M1972" s="4" t="str">
        <f t="array" ref="M1972">IF(ROWS(M$20:M1972)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1972))))</f>
        <v/>
      </c>
    </row>
    <row r="1973" spans="1:13" x14ac:dyDescent="0.25">
      <c r="A1973" s="3">
        <v>41661</v>
      </c>
      <c r="B1973" s="2" t="s">
        <v>6</v>
      </c>
      <c r="C1973" s="2">
        <v>25</v>
      </c>
      <c r="G1973" s="7" t="str">
        <f t="array" ref="G1973">IF(ROWS(K$20:K1973)&gt;$F$6,"",INDEX(A$2:A$10000,SMALL(IF(ISNUMBER(MATCH($B$2:$B$10000,$E$6:$E$22,0)),ROW($C$2:$C$10000)-ROW($C$2)+1),ROWS(K$20:K1973))))</f>
        <v/>
      </c>
      <c r="H1973" s="4" t="str">
        <f t="array" ref="H1973">IF(ROWS(L$20:L1973)&gt;$F$6,"",INDEX(B$2:B$10000,SMALL(IF(ISNUMBER(MATCH($B$2:$B$10000,$E$6:$E$22,0)),ROW($C$2:$C$10000)-ROW($C$2)+1),ROWS(L$20:L1973))))</f>
        <v/>
      </c>
      <c r="I1973" s="4" t="str">
        <f t="array" ref="I1973">IF(ROWS(M$20:M1973)&gt;$F$6,"",INDEX(C$2:C$10000,SMALL(IF(ISNUMBER(MATCH($B$2:$B$10000,$E$6:$E$22,0)),ROW($C$2:$C$10000)-ROW($C$2)+1),ROWS(M$20:M1973))))</f>
        <v/>
      </c>
      <c r="K1973" s="7" t="str">
        <f t="array" ref="K1973">IF(ROWS(K$20:K1973)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1973))))</f>
        <v/>
      </c>
      <c r="L1973" s="4" t="str">
        <f t="array" ref="L1973">IF(ROWS(L$20:L1973)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1973))))</f>
        <v/>
      </c>
      <c r="M1973" s="4" t="str">
        <f t="array" ref="M1973">IF(ROWS(M$20:M1973)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1973))))</f>
        <v/>
      </c>
    </row>
    <row r="1974" spans="1:13" x14ac:dyDescent="0.25">
      <c r="A1974" s="3">
        <v>41790</v>
      </c>
      <c r="B1974" s="2" t="s">
        <v>30</v>
      </c>
      <c r="C1974" s="2">
        <v>5</v>
      </c>
      <c r="G1974" s="7" t="str">
        <f t="array" ref="G1974">IF(ROWS(K$20:K1974)&gt;$F$6,"",INDEX(A$2:A$10000,SMALL(IF(ISNUMBER(MATCH($B$2:$B$10000,$E$6:$E$22,0)),ROW($C$2:$C$10000)-ROW($C$2)+1),ROWS(K$20:K1974))))</f>
        <v/>
      </c>
      <c r="H1974" s="4" t="str">
        <f t="array" ref="H1974">IF(ROWS(L$20:L1974)&gt;$F$6,"",INDEX(B$2:B$10000,SMALL(IF(ISNUMBER(MATCH($B$2:$B$10000,$E$6:$E$22,0)),ROW($C$2:$C$10000)-ROW($C$2)+1),ROWS(L$20:L1974))))</f>
        <v/>
      </c>
      <c r="I1974" s="4" t="str">
        <f t="array" ref="I1974">IF(ROWS(M$20:M1974)&gt;$F$6,"",INDEX(C$2:C$10000,SMALL(IF(ISNUMBER(MATCH($B$2:$B$10000,$E$6:$E$22,0)),ROW($C$2:$C$10000)-ROW($C$2)+1),ROWS(M$20:M1974))))</f>
        <v/>
      </c>
      <c r="K1974" s="7" t="str">
        <f t="array" ref="K1974">IF(ROWS(K$20:K1974)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1974))))</f>
        <v/>
      </c>
      <c r="L1974" s="4" t="str">
        <f t="array" ref="L1974">IF(ROWS(L$20:L1974)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1974))))</f>
        <v/>
      </c>
      <c r="M1974" s="4" t="str">
        <f t="array" ref="M1974">IF(ROWS(M$20:M1974)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1974))))</f>
        <v/>
      </c>
    </row>
    <row r="1975" spans="1:13" x14ac:dyDescent="0.25">
      <c r="A1975" s="3">
        <v>41368</v>
      </c>
      <c r="B1975" s="2" t="s">
        <v>42</v>
      </c>
      <c r="C1975" s="2">
        <v>55</v>
      </c>
      <c r="G1975" s="7" t="str">
        <f t="array" ref="G1975">IF(ROWS(K$20:K1975)&gt;$F$6,"",INDEX(A$2:A$10000,SMALL(IF(ISNUMBER(MATCH($B$2:$B$10000,$E$6:$E$22,0)),ROW($C$2:$C$10000)-ROW($C$2)+1),ROWS(K$20:K1975))))</f>
        <v/>
      </c>
      <c r="H1975" s="4" t="str">
        <f t="array" ref="H1975">IF(ROWS(L$20:L1975)&gt;$F$6,"",INDEX(B$2:B$10000,SMALL(IF(ISNUMBER(MATCH($B$2:$B$10000,$E$6:$E$22,0)),ROW($C$2:$C$10000)-ROW($C$2)+1),ROWS(L$20:L1975))))</f>
        <v/>
      </c>
      <c r="I1975" s="4" t="str">
        <f t="array" ref="I1975">IF(ROWS(M$20:M1975)&gt;$F$6,"",INDEX(C$2:C$10000,SMALL(IF(ISNUMBER(MATCH($B$2:$B$10000,$E$6:$E$22,0)),ROW($C$2:$C$10000)-ROW($C$2)+1),ROWS(M$20:M1975))))</f>
        <v/>
      </c>
      <c r="K1975" s="7" t="str">
        <f t="array" ref="K1975">IF(ROWS(K$20:K1975)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1975))))</f>
        <v/>
      </c>
      <c r="L1975" s="4" t="str">
        <f t="array" ref="L1975">IF(ROWS(L$20:L1975)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1975))))</f>
        <v/>
      </c>
      <c r="M1975" s="4" t="str">
        <f t="array" ref="M1975">IF(ROWS(M$20:M1975)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1975))))</f>
        <v/>
      </c>
    </row>
    <row r="1976" spans="1:13" x14ac:dyDescent="0.25">
      <c r="A1976" s="3">
        <v>41457</v>
      </c>
      <c r="B1976" s="2" t="s">
        <v>29</v>
      </c>
      <c r="C1976" s="2">
        <v>32</v>
      </c>
      <c r="G1976" s="7" t="str">
        <f t="array" ref="G1976">IF(ROWS(K$20:K1976)&gt;$F$6,"",INDEX(A$2:A$10000,SMALL(IF(ISNUMBER(MATCH($B$2:$B$10000,$E$6:$E$22,0)),ROW($C$2:$C$10000)-ROW($C$2)+1),ROWS(K$20:K1976))))</f>
        <v/>
      </c>
      <c r="H1976" s="4" t="str">
        <f t="array" ref="H1976">IF(ROWS(L$20:L1976)&gt;$F$6,"",INDEX(B$2:B$10000,SMALL(IF(ISNUMBER(MATCH($B$2:$B$10000,$E$6:$E$22,0)),ROW($C$2:$C$10000)-ROW($C$2)+1),ROWS(L$20:L1976))))</f>
        <v/>
      </c>
      <c r="I1976" s="4" t="str">
        <f t="array" ref="I1976">IF(ROWS(M$20:M1976)&gt;$F$6,"",INDEX(C$2:C$10000,SMALL(IF(ISNUMBER(MATCH($B$2:$B$10000,$E$6:$E$22,0)),ROW($C$2:$C$10000)-ROW($C$2)+1),ROWS(M$20:M1976))))</f>
        <v/>
      </c>
      <c r="K1976" s="7" t="str">
        <f t="array" ref="K1976">IF(ROWS(K$20:K1976)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1976))))</f>
        <v/>
      </c>
      <c r="L1976" s="4" t="str">
        <f t="array" ref="L1976">IF(ROWS(L$20:L1976)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1976))))</f>
        <v/>
      </c>
      <c r="M1976" s="4" t="str">
        <f t="array" ref="M1976">IF(ROWS(M$20:M1976)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1976))))</f>
        <v/>
      </c>
    </row>
    <row r="1977" spans="1:13" x14ac:dyDescent="0.25">
      <c r="A1977" s="3">
        <v>41611</v>
      </c>
      <c r="B1977" s="2" t="s">
        <v>38</v>
      </c>
      <c r="C1977" s="2">
        <v>13</v>
      </c>
      <c r="G1977" s="7" t="str">
        <f t="array" ref="G1977">IF(ROWS(K$20:K1977)&gt;$F$6,"",INDEX(A$2:A$10000,SMALL(IF(ISNUMBER(MATCH($B$2:$B$10000,$E$6:$E$22,0)),ROW($C$2:$C$10000)-ROW($C$2)+1),ROWS(K$20:K1977))))</f>
        <v/>
      </c>
      <c r="H1977" s="4" t="str">
        <f t="array" ref="H1977">IF(ROWS(L$20:L1977)&gt;$F$6,"",INDEX(B$2:B$10000,SMALL(IF(ISNUMBER(MATCH($B$2:$B$10000,$E$6:$E$22,0)),ROW($C$2:$C$10000)-ROW($C$2)+1),ROWS(L$20:L1977))))</f>
        <v/>
      </c>
      <c r="I1977" s="4" t="str">
        <f t="array" ref="I1977">IF(ROWS(M$20:M1977)&gt;$F$6,"",INDEX(C$2:C$10000,SMALL(IF(ISNUMBER(MATCH($B$2:$B$10000,$E$6:$E$22,0)),ROW($C$2:$C$10000)-ROW($C$2)+1),ROWS(M$20:M1977))))</f>
        <v/>
      </c>
      <c r="K1977" s="7" t="str">
        <f t="array" ref="K1977">IF(ROWS(K$20:K1977)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1977))))</f>
        <v/>
      </c>
      <c r="L1977" s="4" t="str">
        <f t="array" ref="L1977">IF(ROWS(L$20:L1977)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1977))))</f>
        <v/>
      </c>
      <c r="M1977" s="4" t="str">
        <f t="array" ref="M1977">IF(ROWS(M$20:M1977)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1977))))</f>
        <v/>
      </c>
    </row>
    <row r="1978" spans="1:13" x14ac:dyDescent="0.25">
      <c r="A1978" s="3">
        <v>41882</v>
      </c>
      <c r="B1978" s="2" t="s">
        <v>47</v>
      </c>
      <c r="C1978" s="2">
        <v>29</v>
      </c>
      <c r="G1978" s="7" t="str">
        <f t="array" ref="G1978">IF(ROWS(K$20:K1978)&gt;$F$6,"",INDEX(A$2:A$10000,SMALL(IF(ISNUMBER(MATCH($B$2:$B$10000,$E$6:$E$22,0)),ROW($C$2:$C$10000)-ROW($C$2)+1),ROWS(K$20:K1978))))</f>
        <v/>
      </c>
      <c r="H1978" s="4" t="str">
        <f t="array" ref="H1978">IF(ROWS(L$20:L1978)&gt;$F$6,"",INDEX(B$2:B$10000,SMALL(IF(ISNUMBER(MATCH($B$2:$B$10000,$E$6:$E$22,0)),ROW($C$2:$C$10000)-ROW($C$2)+1),ROWS(L$20:L1978))))</f>
        <v/>
      </c>
      <c r="I1978" s="4" t="str">
        <f t="array" ref="I1978">IF(ROWS(M$20:M1978)&gt;$F$6,"",INDEX(C$2:C$10000,SMALL(IF(ISNUMBER(MATCH($B$2:$B$10000,$E$6:$E$22,0)),ROW($C$2:$C$10000)-ROW($C$2)+1),ROWS(M$20:M1978))))</f>
        <v/>
      </c>
      <c r="K1978" s="7" t="str">
        <f t="array" ref="K1978">IF(ROWS(K$20:K1978)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1978))))</f>
        <v/>
      </c>
      <c r="L1978" s="4" t="str">
        <f t="array" ref="L1978">IF(ROWS(L$20:L1978)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1978))))</f>
        <v/>
      </c>
      <c r="M1978" s="4" t="str">
        <f t="array" ref="M1978">IF(ROWS(M$20:M1978)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1978))))</f>
        <v/>
      </c>
    </row>
    <row r="1979" spans="1:13" x14ac:dyDescent="0.25">
      <c r="A1979" s="3">
        <v>41349</v>
      </c>
      <c r="B1979" s="2" t="s">
        <v>6</v>
      </c>
      <c r="C1979" s="2">
        <v>34</v>
      </c>
      <c r="G1979" s="7" t="str">
        <f t="array" ref="G1979">IF(ROWS(K$20:K1979)&gt;$F$6,"",INDEX(A$2:A$10000,SMALL(IF(ISNUMBER(MATCH($B$2:$B$10000,$E$6:$E$22,0)),ROW($C$2:$C$10000)-ROW($C$2)+1),ROWS(K$20:K1979))))</f>
        <v/>
      </c>
      <c r="H1979" s="4" t="str">
        <f t="array" ref="H1979">IF(ROWS(L$20:L1979)&gt;$F$6,"",INDEX(B$2:B$10000,SMALL(IF(ISNUMBER(MATCH($B$2:$B$10000,$E$6:$E$22,0)),ROW($C$2:$C$10000)-ROW($C$2)+1),ROWS(L$20:L1979))))</f>
        <v/>
      </c>
      <c r="I1979" s="4" t="str">
        <f t="array" ref="I1979">IF(ROWS(M$20:M1979)&gt;$F$6,"",INDEX(C$2:C$10000,SMALL(IF(ISNUMBER(MATCH($B$2:$B$10000,$E$6:$E$22,0)),ROW($C$2:$C$10000)-ROW($C$2)+1),ROWS(M$20:M1979))))</f>
        <v/>
      </c>
      <c r="K1979" s="7" t="str">
        <f t="array" ref="K1979">IF(ROWS(K$20:K1979)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1979))))</f>
        <v/>
      </c>
      <c r="L1979" s="4" t="str">
        <f t="array" ref="L1979">IF(ROWS(L$20:L1979)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1979))))</f>
        <v/>
      </c>
      <c r="M1979" s="4" t="str">
        <f t="array" ref="M1979">IF(ROWS(M$20:M1979)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1979))))</f>
        <v/>
      </c>
    </row>
    <row r="1980" spans="1:13" x14ac:dyDescent="0.25">
      <c r="A1980" s="3">
        <v>41790</v>
      </c>
      <c r="B1980" s="2" t="s">
        <v>16</v>
      </c>
      <c r="C1980" s="2">
        <v>23</v>
      </c>
      <c r="G1980" s="7" t="str">
        <f t="array" ref="G1980">IF(ROWS(K$20:K1980)&gt;$F$6,"",INDEX(A$2:A$10000,SMALL(IF(ISNUMBER(MATCH($B$2:$B$10000,$E$6:$E$22,0)),ROW($C$2:$C$10000)-ROW($C$2)+1),ROWS(K$20:K1980))))</f>
        <v/>
      </c>
      <c r="H1980" s="4" t="str">
        <f t="array" ref="H1980">IF(ROWS(L$20:L1980)&gt;$F$6,"",INDEX(B$2:B$10000,SMALL(IF(ISNUMBER(MATCH($B$2:$B$10000,$E$6:$E$22,0)),ROW($C$2:$C$10000)-ROW($C$2)+1),ROWS(L$20:L1980))))</f>
        <v/>
      </c>
      <c r="I1980" s="4" t="str">
        <f t="array" ref="I1980">IF(ROWS(M$20:M1980)&gt;$F$6,"",INDEX(C$2:C$10000,SMALL(IF(ISNUMBER(MATCH($B$2:$B$10000,$E$6:$E$22,0)),ROW($C$2:$C$10000)-ROW($C$2)+1),ROWS(M$20:M1980))))</f>
        <v/>
      </c>
      <c r="K1980" s="7" t="str">
        <f t="array" ref="K1980">IF(ROWS(K$20:K1980)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1980))))</f>
        <v/>
      </c>
      <c r="L1980" s="4" t="str">
        <f t="array" ref="L1980">IF(ROWS(L$20:L1980)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1980))))</f>
        <v/>
      </c>
      <c r="M1980" s="4" t="str">
        <f t="array" ref="M1980">IF(ROWS(M$20:M1980)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1980))))</f>
        <v/>
      </c>
    </row>
    <row r="1981" spans="1:13" x14ac:dyDescent="0.25">
      <c r="A1981" s="3">
        <v>41646</v>
      </c>
      <c r="B1981" s="2" t="s">
        <v>49</v>
      </c>
      <c r="C1981" s="2">
        <v>34</v>
      </c>
      <c r="G1981" s="7" t="str">
        <f t="array" ref="G1981">IF(ROWS(K$20:K1981)&gt;$F$6,"",INDEX(A$2:A$10000,SMALL(IF(ISNUMBER(MATCH($B$2:$B$10000,$E$6:$E$22,0)),ROW($C$2:$C$10000)-ROW($C$2)+1),ROWS(K$20:K1981))))</f>
        <v/>
      </c>
      <c r="H1981" s="4" t="str">
        <f t="array" ref="H1981">IF(ROWS(L$20:L1981)&gt;$F$6,"",INDEX(B$2:B$10000,SMALL(IF(ISNUMBER(MATCH($B$2:$B$10000,$E$6:$E$22,0)),ROW($C$2:$C$10000)-ROW($C$2)+1),ROWS(L$20:L1981))))</f>
        <v/>
      </c>
      <c r="I1981" s="4" t="str">
        <f t="array" ref="I1981">IF(ROWS(M$20:M1981)&gt;$F$6,"",INDEX(C$2:C$10000,SMALL(IF(ISNUMBER(MATCH($B$2:$B$10000,$E$6:$E$22,0)),ROW($C$2:$C$10000)-ROW($C$2)+1),ROWS(M$20:M1981))))</f>
        <v/>
      </c>
      <c r="K1981" s="7" t="str">
        <f t="array" ref="K1981">IF(ROWS(K$20:K1981)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1981))))</f>
        <v/>
      </c>
      <c r="L1981" s="4" t="str">
        <f t="array" ref="L1981">IF(ROWS(L$20:L1981)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1981))))</f>
        <v/>
      </c>
      <c r="M1981" s="4" t="str">
        <f t="array" ref="M1981">IF(ROWS(M$20:M1981)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1981))))</f>
        <v/>
      </c>
    </row>
    <row r="1982" spans="1:13" x14ac:dyDescent="0.25">
      <c r="A1982" s="3">
        <v>42001</v>
      </c>
      <c r="B1982" s="2" t="s">
        <v>27</v>
      </c>
      <c r="C1982" s="2">
        <v>58</v>
      </c>
      <c r="G1982" s="7" t="str">
        <f t="array" ref="G1982">IF(ROWS(K$20:K1982)&gt;$F$6,"",INDEX(A$2:A$10000,SMALL(IF(ISNUMBER(MATCH($B$2:$B$10000,$E$6:$E$22,0)),ROW($C$2:$C$10000)-ROW($C$2)+1),ROWS(K$20:K1982))))</f>
        <v/>
      </c>
      <c r="H1982" s="4" t="str">
        <f t="array" ref="H1982">IF(ROWS(L$20:L1982)&gt;$F$6,"",INDEX(B$2:B$10000,SMALL(IF(ISNUMBER(MATCH($B$2:$B$10000,$E$6:$E$22,0)),ROW($C$2:$C$10000)-ROW($C$2)+1),ROWS(L$20:L1982))))</f>
        <v/>
      </c>
      <c r="I1982" s="4" t="str">
        <f t="array" ref="I1982">IF(ROWS(M$20:M1982)&gt;$F$6,"",INDEX(C$2:C$10000,SMALL(IF(ISNUMBER(MATCH($B$2:$B$10000,$E$6:$E$22,0)),ROW($C$2:$C$10000)-ROW($C$2)+1),ROWS(M$20:M1982))))</f>
        <v/>
      </c>
      <c r="K1982" s="7" t="str">
        <f t="array" ref="K1982">IF(ROWS(K$20:K1982)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1982))))</f>
        <v/>
      </c>
      <c r="L1982" s="4" t="str">
        <f t="array" ref="L1982">IF(ROWS(L$20:L1982)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1982))))</f>
        <v/>
      </c>
      <c r="M1982" s="4" t="str">
        <f t="array" ref="M1982">IF(ROWS(M$20:M1982)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1982))))</f>
        <v/>
      </c>
    </row>
    <row r="1983" spans="1:13" x14ac:dyDescent="0.25">
      <c r="A1983" s="3">
        <v>41300</v>
      </c>
      <c r="B1983" s="2" t="s">
        <v>9</v>
      </c>
      <c r="C1983" s="2">
        <v>19</v>
      </c>
      <c r="G1983" s="7" t="str">
        <f t="array" ref="G1983">IF(ROWS(K$20:K1983)&gt;$F$6,"",INDEX(A$2:A$10000,SMALL(IF(ISNUMBER(MATCH($B$2:$B$10000,$E$6:$E$22,0)),ROW($C$2:$C$10000)-ROW($C$2)+1),ROWS(K$20:K1983))))</f>
        <v/>
      </c>
      <c r="H1983" s="4" t="str">
        <f t="array" ref="H1983">IF(ROWS(L$20:L1983)&gt;$F$6,"",INDEX(B$2:B$10000,SMALL(IF(ISNUMBER(MATCH($B$2:$B$10000,$E$6:$E$22,0)),ROW($C$2:$C$10000)-ROW($C$2)+1),ROWS(L$20:L1983))))</f>
        <v/>
      </c>
      <c r="I1983" s="4" t="str">
        <f t="array" ref="I1983">IF(ROWS(M$20:M1983)&gt;$F$6,"",INDEX(C$2:C$10000,SMALL(IF(ISNUMBER(MATCH($B$2:$B$10000,$E$6:$E$22,0)),ROW($C$2:$C$10000)-ROW($C$2)+1),ROWS(M$20:M1983))))</f>
        <v/>
      </c>
      <c r="K1983" s="7" t="str">
        <f t="array" ref="K1983">IF(ROWS(K$20:K1983)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1983))))</f>
        <v/>
      </c>
      <c r="L1983" s="4" t="str">
        <f t="array" ref="L1983">IF(ROWS(L$20:L1983)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1983))))</f>
        <v/>
      </c>
      <c r="M1983" s="4" t="str">
        <f t="array" ref="M1983">IF(ROWS(M$20:M1983)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1983))))</f>
        <v/>
      </c>
    </row>
    <row r="1984" spans="1:13" x14ac:dyDescent="0.25">
      <c r="A1984" s="3">
        <v>41968</v>
      </c>
      <c r="B1984" s="2" t="s">
        <v>19</v>
      </c>
      <c r="C1984" s="2">
        <v>58</v>
      </c>
      <c r="G1984" s="7" t="str">
        <f t="array" ref="G1984">IF(ROWS(K$20:K1984)&gt;$F$6,"",INDEX(A$2:A$10000,SMALL(IF(ISNUMBER(MATCH($B$2:$B$10000,$E$6:$E$22,0)),ROW($C$2:$C$10000)-ROW($C$2)+1),ROWS(K$20:K1984))))</f>
        <v/>
      </c>
      <c r="H1984" s="4" t="str">
        <f t="array" ref="H1984">IF(ROWS(L$20:L1984)&gt;$F$6,"",INDEX(B$2:B$10000,SMALL(IF(ISNUMBER(MATCH($B$2:$B$10000,$E$6:$E$22,0)),ROW($C$2:$C$10000)-ROW($C$2)+1),ROWS(L$20:L1984))))</f>
        <v/>
      </c>
      <c r="I1984" s="4" t="str">
        <f t="array" ref="I1984">IF(ROWS(M$20:M1984)&gt;$F$6,"",INDEX(C$2:C$10000,SMALL(IF(ISNUMBER(MATCH($B$2:$B$10000,$E$6:$E$22,0)),ROW($C$2:$C$10000)-ROW($C$2)+1),ROWS(M$20:M1984))))</f>
        <v/>
      </c>
      <c r="K1984" s="7" t="str">
        <f t="array" ref="K1984">IF(ROWS(K$20:K1984)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1984))))</f>
        <v/>
      </c>
      <c r="L1984" s="4" t="str">
        <f t="array" ref="L1984">IF(ROWS(L$20:L1984)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1984))))</f>
        <v/>
      </c>
      <c r="M1984" s="4" t="str">
        <f t="array" ref="M1984">IF(ROWS(M$20:M1984)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1984))))</f>
        <v/>
      </c>
    </row>
    <row r="1985" spans="1:13" x14ac:dyDescent="0.25">
      <c r="A1985" s="3">
        <v>41960</v>
      </c>
      <c r="B1985" s="2" t="s">
        <v>46</v>
      </c>
      <c r="C1985" s="2">
        <v>28</v>
      </c>
      <c r="G1985" s="7" t="str">
        <f t="array" ref="G1985">IF(ROWS(K$20:K1985)&gt;$F$6,"",INDEX(A$2:A$10000,SMALL(IF(ISNUMBER(MATCH($B$2:$B$10000,$E$6:$E$22,0)),ROW($C$2:$C$10000)-ROW($C$2)+1),ROWS(K$20:K1985))))</f>
        <v/>
      </c>
      <c r="H1985" s="4" t="str">
        <f t="array" ref="H1985">IF(ROWS(L$20:L1985)&gt;$F$6,"",INDEX(B$2:B$10000,SMALL(IF(ISNUMBER(MATCH($B$2:$B$10000,$E$6:$E$22,0)),ROW($C$2:$C$10000)-ROW($C$2)+1),ROWS(L$20:L1985))))</f>
        <v/>
      </c>
      <c r="I1985" s="4" t="str">
        <f t="array" ref="I1985">IF(ROWS(M$20:M1985)&gt;$F$6,"",INDEX(C$2:C$10000,SMALL(IF(ISNUMBER(MATCH($B$2:$B$10000,$E$6:$E$22,0)),ROW($C$2:$C$10000)-ROW($C$2)+1),ROWS(M$20:M1985))))</f>
        <v/>
      </c>
      <c r="K1985" s="7" t="str">
        <f t="array" ref="K1985">IF(ROWS(K$20:K1985)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1985))))</f>
        <v/>
      </c>
      <c r="L1985" s="4" t="str">
        <f t="array" ref="L1985">IF(ROWS(L$20:L1985)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1985))))</f>
        <v/>
      </c>
      <c r="M1985" s="4" t="str">
        <f t="array" ref="M1985">IF(ROWS(M$20:M1985)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1985))))</f>
        <v/>
      </c>
    </row>
    <row r="1986" spans="1:13" x14ac:dyDescent="0.25">
      <c r="A1986" s="3">
        <v>41515</v>
      </c>
      <c r="B1986" s="2" t="s">
        <v>47</v>
      </c>
      <c r="C1986" s="2">
        <v>34</v>
      </c>
      <c r="G1986" s="7" t="str">
        <f t="array" ref="G1986">IF(ROWS(K$20:K1986)&gt;$F$6,"",INDEX(A$2:A$10000,SMALL(IF(ISNUMBER(MATCH($B$2:$B$10000,$E$6:$E$22,0)),ROW($C$2:$C$10000)-ROW($C$2)+1),ROWS(K$20:K1986))))</f>
        <v/>
      </c>
      <c r="H1986" s="4" t="str">
        <f t="array" ref="H1986">IF(ROWS(L$20:L1986)&gt;$F$6,"",INDEX(B$2:B$10000,SMALL(IF(ISNUMBER(MATCH($B$2:$B$10000,$E$6:$E$22,0)),ROW($C$2:$C$10000)-ROW($C$2)+1),ROWS(L$20:L1986))))</f>
        <v/>
      </c>
      <c r="I1986" s="4" t="str">
        <f t="array" ref="I1986">IF(ROWS(M$20:M1986)&gt;$F$6,"",INDEX(C$2:C$10000,SMALL(IF(ISNUMBER(MATCH($B$2:$B$10000,$E$6:$E$22,0)),ROW($C$2:$C$10000)-ROW($C$2)+1),ROWS(M$20:M1986))))</f>
        <v/>
      </c>
      <c r="K1986" s="7" t="str">
        <f t="array" ref="K1986">IF(ROWS(K$20:K1986)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1986))))</f>
        <v/>
      </c>
      <c r="L1986" s="4" t="str">
        <f t="array" ref="L1986">IF(ROWS(L$20:L1986)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1986))))</f>
        <v/>
      </c>
      <c r="M1986" s="4" t="str">
        <f t="array" ref="M1986">IF(ROWS(M$20:M1986)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1986))))</f>
        <v/>
      </c>
    </row>
    <row r="1987" spans="1:13" x14ac:dyDescent="0.25">
      <c r="A1987" s="3">
        <v>41895</v>
      </c>
      <c r="B1987" s="2" t="s">
        <v>42</v>
      </c>
      <c r="C1987" s="2">
        <v>10</v>
      </c>
      <c r="G1987" s="7" t="str">
        <f t="array" ref="G1987">IF(ROWS(K$20:K1987)&gt;$F$6,"",INDEX(A$2:A$10000,SMALL(IF(ISNUMBER(MATCH($B$2:$B$10000,$E$6:$E$22,0)),ROW($C$2:$C$10000)-ROW($C$2)+1),ROWS(K$20:K1987))))</f>
        <v/>
      </c>
      <c r="H1987" s="4" t="str">
        <f t="array" ref="H1987">IF(ROWS(L$20:L1987)&gt;$F$6,"",INDEX(B$2:B$10000,SMALL(IF(ISNUMBER(MATCH($B$2:$B$10000,$E$6:$E$22,0)),ROW($C$2:$C$10000)-ROW($C$2)+1),ROWS(L$20:L1987))))</f>
        <v/>
      </c>
      <c r="I1987" s="4" t="str">
        <f t="array" ref="I1987">IF(ROWS(M$20:M1987)&gt;$F$6,"",INDEX(C$2:C$10000,SMALL(IF(ISNUMBER(MATCH($B$2:$B$10000,$E$6:$E$22,0)),ROW($C$2:$C$10000)-ROW($C$2)+1),ROWS(M$20:M1987))))</f>
        <v/>
      </c>
      <c r="K1987" s="7" t="str">
        <f t="array" ref="K1987">IF(ROWS(K$20:K1987)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1987))))</f>
        <v/>
      </c>
      <c r="L1987" s="4" t="str">
        <f t="array" ref="L1987">IF(ROWS(L$20:L1987)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1987))))</f>
        <v/>
      </c>
      <c r="M1987" s="4" t="str">
        <f t="array" ref="M1987">IF(ROWS(M$20:M1987)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1987))))</f>
        <v/>
      </c>
    </row>
    <row r="1988" spans="1:13" x14ac:dyDescent="0.25">
      <c r="A1988" s="3">
        <v>41544</v>
      </c>
      <c r="B1988" s="2" t="s">
        <v>15</v>
      </c>
      <c r="C1988" s="2">
        <v>29</v>
      </c>
      <c r="G1988" s="7" t="str">
        <f t="array" ref="G1988">IF(ROWS(K$20:K1988)&gt;$F$6,"",INDEX(A$2:A$10000,SMALL(IF(ISNUMBER(MATCH($B$2:$B$10000,$E$6:$E$22,0)),ROW($C$2:$C$10000)-ROW($C$2)+1),ROWS(K$20:K1988))))</f>
        <v/>
      </c>
      <c r="H1988" s="4" t="str">
        <f t="array" ref="H1988">IF(ROWS(L$20:L1988)&gt;$F$6,"",INDEX(B$2:B$10000,SMALL(IF(ISNUMBER(MATCH($B$2:$B$10000,$E$6:$E$22,0)),ROW($C$2:$C$10000)-ROW($C$2)+1),ROWS(L$20:L1988))))</f>
        <v/>
      </c>
      <c r="I1988" s="4" t="str">
        <f t="array" ref="I1988">IF(ROWS(M$20:M1988)&gt;$F$6,"",INDEX(C$2:C$10000,SMALL(IF(ISNUMBER(MATCH($B$2:$B$10000,$E$6:$E$22,0)),ROW($C$2:$C$10000)-ROW($C$2)+1),ROWS(M$20:M1988))))</f>
        <v/>
      </c>
      <c r="K1988" s="7" t="str">
        <f t="array" ref="K1988">IF(ROWS(K$20:K1988)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1988))))</f>
        <v/>
      </c>
      <c r="L1988" s="4" t="str">
        <f t="array" ref="L1988">IF(ROWS(L$20:L1988)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1988))))</f>
        <v/>
      </c>
      <c r="M1988" s="4" t="str">
        <f t="array" ref="M1988">IF(ROWS(M$20:M1988)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1988))))</f>
        <v/>
      </c>
    </row>
    <row r="1989" spans="1:13" x14ac:dyDescent="0.25">
      <c r="A1989" s="3">
        <v>41774</v>
      </c>
      <c r="B1989" s="2" t="s">
        <v>20</v>
      </c>
      <c r="C1989" s="2">
        <v>14</v>
      </c>
      <c r="G1989" s="7" t="str">
        <f t="array" ref="G1989">IF(ROWS(K$20:K1989)&gt;$F$6,"",INDEX(A$2:A$10000,SMALL(IF(ISNUMBER(MATCH($B$2:$B$10000,$E$6:$E$22,0)),ROW($C$2:$C$10000)-ROW($C$2)+1),ROWS(K$20:K1989))))</f>
        <v/>
      </c>
      <c r="H1989" s="4" t="str">
        <f t="array" ref="H1989">IF(ROWS(L$20:L1989)&gt;$F$6,"",INDEX(B$2:B$10000,SMALL(IF(ISNUMBER(MATCH($B$2:$B$10000,$E$6:$E$22,0)),ROW($C$2:$C$10000)-ROW($C$2)+1),ROWS(L$20:L1989))))</f>
        <v/>
      </c>
      <c r="I1989" s="4" t="str">
        <f t="array" ref="I1989">IF(ROWS(M$20:M1989)&gt;$F$6,"",INDEX(C$2:C$10000,SMALL(IF(ISNUMBER(MATCH($B$2:$B$10000,$E$6:$E$22,0)),ROW($C$2:$C$10000)-ROW($C$2)+1),ROWS(M$20:M1989))))</f>
        <v/>
      </c>
      <c r="K1989" s="7" t="str">
        <f t="array" ref="K1989">IF(ROWS(K$20:K1989)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1989))))</f>
        <v/>
      </c>
      <c r="L1989" s="4" t="str">
        <f t="array" ref="L1989">IF(ROWS(L$20:L1989)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1989))))</f>
        <v/>
      </c>
      <c r="M1989" s="4" t="str">
        <f t="array" ref="M1989">IF(ROWS(M$20:M1989)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1989))))</f>
        <v/>
      </c>
    </row>
    <row r="1990" spans="1:13" x14ac:dyDescent="0.25">
      <c r="A1990" s="3">
        <v>41911</v>
      </c>
      <c r="B1990" s="2" t="s">
        <v>46</v>
      </c>
      <c r="C1990" s="2">
        <v>26</v>
      </c>
      <c r="G1990" s="7" t="str">
        <f t="array" ref="G1990">IF(ROWS(K$20:K1990)&gt;$F$6,"",INDEX(A$2:A$10000,SMALL(IF(ISNUMBER(MATCH($B$2:$B$10000,$E$6:$E$22,0)),ROW($C$2:$C$10000)-ROW($C$2)+1),ROWS(K$20:K1990))))</f>
        <v/>
      </c>
      <c r="H1990" s="4" t="str">
        <f t="array" ref="H1990">IF(ROWS(L$20:L1990)&gt;$F$6,"",INDEX(B$2:B$10000,SMALL(IF(ISNUMBER(MATCH($B$2:$B$10000,$E$6:$E$22,0)),ROW($C$2:$C$10000)-ROW($C$2)+1),ROWS(L$20:L1990))))</f>
        <v/>
      </c>
      <c r="I1990" s="4" t="str">
        <f t="array" ref="I1990">IF(ROWS(M$20:M1990)&gt;$F$6,"",INDEX(C$2:C$10000,SMALL(IF(ISNUMBER(MATCH($B$2:$B$10000,$E$6:$E$22,0)),ROW($C$2:$C$10000)-ROW($C$2)+1),ROWS(M$20:M1990))))</f>
        <v/>
      </c>
      <c r="K1990" s="7" t="str">
        <f t="array" ref="K1990">IF(ROWS(K$20:K1990)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1990))))</f>
        <v/>
      </c>
      <c r="L1990" s="4" t="str">
        <f t="array" ref="L1990">IF(ROWS(L$20:L1990)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1990))))</f>
        <v/>
      </c>
      <c r="M1990" s="4" t="str">
        <f t="array" ref="M1990">IF(ROWS(M$20:M1990)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1990))))</f>
        <v/>
      </c>
    </row>
    <row r="1991" spans="1:13" x14ac:dyDescent="0.25">
      <c r="A1991" s="3">
        <v>41955</v>
      </c>
      <c r="B1991" s="2" t="s">
        <v>20</v>
      </c>
      <c r="C1991" s="2">
        <v>29</v>
      </c>
      <c r="G1991" s="7" t="str">
        <f t="array" ref="G1991">IF(ROWS(K$20:K1991)&gt;$F$6,"",INDEX(A$2:A$10000,SMALL(IF(ISNUMBER(MATCH($B$2:$B$10000,$E$6:$E$22,0)),ROW($C$2:$C$10000)-ROW($C$2)+1),ROWS(K$20:K1991))))</f>
        <v/>
      </c>
      <c r="H1991" s="4" t="str">
        <f t="array" ref="H1991">IF(ROWS(L$20:L1991)&gt;$F$6,"",INDEX(B$2:B$10000,SMALL(IF(ISNUMBER(MATCH($B$2:$B$10000,$E$6:$E$22,0)),ROW($C$2:$C$10000)-ROW($C$2)+1),ROWS(L$20:L1991))))</f>
        <v/>
      </c>
      <c r="I1991" s="4" t="str">
        <f t="array" ref="I1991">IF(ROWS(M$20:M1991)&gt;$F$6,"",INDEX(C$2:C$10000,SMALL(IF(ISNUMBER(MATCH($B$2:$B$10000,$E$6:$E$22,0)),ROW($C$2:$C$10000)-ROW($C$2)+1),ROWS(M$20:M1991))))</f>
        <v/>
      </c>
      <c r="K1991" s="7" t="str">
        <f t="array" ref="K1991">IF(ROWS(K$20:K1991)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1991))))</f>
        <v/>
      </c>
      <c r="L1991" s="4" t="str">
        <f t="array" ref="L1991">IF(ROWS(L$20:L1991)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1991))))</f>
        <v/>
      </c>
      <c r="M1991" s="4" t="str">
        <f t="array" ref="M1991">IF(ROWS(M$20:M1991)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1991))))</f>
        <v/>
      </c>
    </row>
    <row r="1992" spans="1:13" x14ac:dyDescent="0.25">
      <c r="A1992" s="3">
        <v>41540</v>
      </c>
      <c r="B1992" s="2" t="s">
        <v>33</v>
      </c>
      <c r="C1992" s="2">
        <v>25</v>
      </c>
      <c r="G1992" s="7" t="str">
        <f t="array" ref="G1992">IF(ROWS(K$20:K1992)&gt;$F$6,"",INDEX(A$2:A$10000,SMALL(IF(ISNUMBER(MATCH($B$2:$B$10000,$E$6:$E$22,0)),ROW($C$2:$C$10000)-ROW($C$2)+1),ROWS(K$20:K1992))))</f>
        <v/>
      </c>
      <c r="H1992" s="4" t="str">
        <f t="array" ref="H1992">IF(ROWS(L$20:L1992)&gt;$F$6,"",INDEX(B$2:B$10000,SMALL(IF(ISNUMBER(MATCH($B$2:$B$10000,$E$6:$E$22,0)),ROW($C$2:$C$10000)-ROW($C$2)+1),ROWS(L$20:L1992))))</f>
        <v/>
      </c>
      <c r="I1992" s="4" t="str">
        <f t="array" ref="I1992">IF(ROWS(M$20:M1992)&gt;$F$6,"",INDEX(C$2:C$10000,SMALL(IF(ISNUMBER(MATCH($B$2:$B$10000,$E$6:$E$22,0)),ROW($C$2:$C$10000)-ROW($C$2)+1),ROWS(M$20:M1992))))</f>
        <v/>
      </c>
      <c r="K1992" s="7" t="str">
        <f t="array" ref="K1992">IF(ROWS(K$20:K1992)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1992))))</f>
        <v/>
      </c>
      <c r="L1992" s="4" t="str">
        <f t="array" ref="L1992">IF(ROWS(L$20:L1992)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1992))))</f>
        <v/>
      </c>
      <c r="M1992" s="4" t="str">
        <f t="array" ref="M1992">IF(ROWS(M$20:M1992)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1992))))</f>
        <v/>
      </c>
    </row>
    <row r="1993" spans="1:13" x14ac:dyDescent="0.25">
      <c r="A1993" s="3">
        <v>41321</v>
      </c>
      <c r="B1993" s="2" t="s">
        <v>11</v>
      </c>
      <c r="C1993" s="2">
        <v>10</v>
      </c>
      <c r="G1993" s="7" t="str">
        <f t="array" ref="G1993">IF(ROWS(K$20:K1993)&gt;$F$6,"",INDEX(A$2:A$10000,SMALL(IF(ISNUMBER(MATCH($B$2:$B$10000,$E$6:$E$22,0)),ROW($C$2:$C$10000)-ROW($C$2)+1),ROWS(K$20:K1993))))</f>
        <v/>
      </c>
      <c r="H1993" s="4" t="str">
        <f t="array" ref="H1993">IF(ROWS(L$20:L1993)&gt;$F$6,"",INDEX(B$2:B$10000,SMALL(IF(ISNUMBER(MATCH($B$2:$B$10000,$E$6:$E$22,0)),ROW($C$2:$C$10000)-ROW($C$2)+1),ROWS(L$20:L1993))))</f>
        <v/>
      </c>
      <c r="I1993" s="4" t="str">
        <f t="array" ref="I1993">IF(ROWS(M$20:M1993)&gt;$F$6,"",INDEX(C$2:C$10000,SMALL(IF(ISNUMBER(MATCH($B$2:$B$10000,$E$6:$E$22,0)),ROW($C$2:$C$10000)-ROW($C$2)+1),ROWS(M$20:M1993))))</f>
        <v/>
      </c>
      <c r="K1993" s="7" t="str">
        <f t="array" ref="K1993">IF(ROWS(K$20:K1993)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1993))))</f>
        <v/>
      </c>
      <c r="L1993" s="4" t="str">
        <f t="array" ref="L1993">IF(ROWS(L$20:L1993)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1993))))</f>
        <v/>
      </c>
      <c r="M1993" s="4" t="str">
        <f t="array" ref="M1993">IF(ROWS(M$20:M1993)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1993))))</f>
        <v/>
      </c>
    </row>
    <row r="1994" spans="1:13" x14ac:dyDescent="0.25">
      <c r="A1994" s="3">
        <v>41496</v>
      </c>
      <c r="B1994" s="2" t="s">
        <v>28</v>
      </c>
      <c r="C1994" s="2">
        <v>44</v>
      </c>
      <c r="G1994" s="7" t="str">
        <f t="array" ref="G1994">IF(ROWS(K$20:K1994)&gt;$F$6,"",INDEX(A$2:A$10000,SMALL(IF(ISNUMBER(MATCH($B$2:$B$10000,$E$6:$E$22,0)),ROW($C$2:$C$10000)-ROW($C$2)+1),ROWS(K$20:K1994))))</f>
        <v/>
      </c>
      <c r="H1994" s="4" t="str">
        <f t="array" ref="H1994">IF(ROWS(L$20:L1994)&gt;$F$6,"",INDEX(B$2:B$10000,SMALL(IF(ISNUMBER(MATCH($B$2:$B$10000,$E$6:$E$22,0)),ROW($C$2:$C$10000)-ROW($C$2)+1),ROWS(L$20:L1994))))</f>
        <v/>
      </c>
      <c r="I1994" s="4" t="str">
        <f t="array" ref="I1994">IF(ROWS(M$20:M1994)&gt;$F$6,"",INDEX(C$2:C$10000,SMALL(IF(ISNUMBER(MATCH($B$2:$B$10000,$E$6:$E$22,0)),ROW($C$2:$C$10000)-ROW($C$2)+1),ROWS(M$20:M1994))))</f>
        <v/>
      </c>
      <c r="K1994" s="7" t="str">
        <f t="array" ref="K1994">IF(ROWS(K$20:K1994)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1994))))</f>
        <v/>
      </c>
      <c r="L1994" s="4" t="str">
        <f t="array" ref="L1994">IF(ROWS(L$20:L1994)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1994))))</f>
        <v/>
      </c>
      <c r="M1994" s="4" t="str">
        <f t="array" ref="M1994">IF(ROWS(M$20:M1994)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1994))))</f>
        <v/>
      </c>
    </row>
    <row r="1995" spans="1:13" x14ac:dyDescent="0.25">
      <c r="A1995" s="3">
        <v>41754</v>
      </c>
      <c r="B1995" s="2" t="s">
        <v>46</v>
      </c>
      <c r="C1995" s="2">
        <v>10</v>
      </c>
      <c r="G1995" s="7" t="str">
        <f t="array" ref="G1995">IF(ROWS(K$20:K1995)&gt;$F$6,"",INDEX(A$2:A$10000,SMALL(IF(ISNUMBER(MATCH($B$2:$B$10000,$E$6:$E$22,0)),ROW($C$2:$C$10000)-ROW($C$2)+1),ROWS(K$20:K1995))))</f>
        <v/>
      </c>
      <c r="H1995" s="4" t="str">
        <f t="array" ref="H1995">IF(ROWS(L$20:L1995)&gt;$F$6,"",INDEX(B$2:B$10000,SMALL(IF(ISNUMBER(MATCH($B$2:$B$10000,$E$6:$E$22,0)),ROW($C$2:$C$10000)-ROW($C$2)+1),ROWS(L$20:L1995))))</f>
        <v/>
      </c>
      <c r="I1995" s="4" t="str">
        <f t="array" ref="I1995">IF(ROWS(M$20:M1995)&gt;$F$6,"",INDEX(C$2:C$10000,SMALL(IF(ISNUMBER(MATCH($B$2:$B$10000,$E$6:$E$22,0)),ROW($C$2:$C$10000)-ROW($C$2)+1),ROWS(M$20:M1995))))</f>
        <v/>
      </c>
      <c r="K1995" s="7" t="str">
        <f t="array" ref="K1995">IF(ROWS(K$20:K1995)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1995))))</f>
        <v/>
      </c>
      <c r="L1995" s="4" t="str">
        <f t="array" ref="L1995">IF(ROWS(L$20:L1995)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1995))))</f>
        <v/>
      </c>
      <c r="M1995" s="4" t="str">
        <f t="array" ref="M1995">IF(ROWS(M$20:M1995)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1995))))</f>
        <v/>
      </c>
    </row>
    <row r="1996" spans="1:13" x14ac:dyDescent="0.25">
      <c r="A1996" s="3">
        <v>41524</v>
      </c>
      <c r="B1996" s="2" t="s">
        <v>44</v>
      </c>
      <c r="C1996" s="2">
        <v>36</v>
      </c>
      <c r="G1996" s="7" t="str">
        <f t="array" ref="G1996">IF(ROWS(K$20:K1996)&gt;$F$6,"",INDEX(A$2:A$10000,SMALL(IF(ISNUMBER(MATCH($B$2:$B$10000,$E$6:$E$22,0)),ROW($C$2:$C$10000)-ROW($C$2)+1),ROWS(K$20:K1996))))</f>
        <v/>
      </c>
      <c r="H1996" s="4" t="str">
        <f t="array" ref="H1996">IF(ROWS(L$20:L1996)&gt;$F$6,"",INDEX(B$2:B$10000,SMALL(IF(ISNUMBER(MATCH($B$2:$B$10000,$E$6:$E$22,0)),ROW($C$2:$C$10000)-ROW($C$2)+1),ROWS(L$20:L1996))))</f>
        <v/>
      </c>
      <c r="I1996" s="4" t="str">
        <f t="array" ref="I1996">IF(ROWS(M$20:M1996)&gt;$F$6,"",INDEX(C$2:C$10000,SMALL(IF(ISNUMBER(MATCH($B$2:$B$10000,$E$6:$E$22,0)),ROW($C$2:$C$10000)-ROW($C$2)+1),ROWS(M$20:M1996))))</f>
        <v/>
      </c>
      <c r="K1996" s="7" t="str">
        <f t="array" ref="K1996">IF(ROWS(K$20:K1996)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1996))))</f>
        <v/>
      </c>
      <c r="L1996" s="4" t="str">
        <f t="array" ref="L1996">IF(ROWS(L$20:L1996)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1996))))</f>
        <v/>
      </c>
      <c r="M1996" s="4" t="str">
        <f t="array" ref="M1996">IF(ROWS(M$20:M1996)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1996))))</f>
        <v/>
      </c>
    </row>
    <row r="1997" spans="1:13" x14ac:dyDescent="0.25">
      <c r="A1997" s="3">
        <v>41955</v>
      </c>
      <c r="B1997" s="2" t="s">
        <v>15</v>
      </c>
      <c r="C1997" s="2">
        <v>36</v>
      </c>
      <c r="G1997" s="7" t="str">
        <f t="array" ref="G1997">IF(ROWS(K$20:K1997)&gt;$F$6,"",INDEX(A$2:A$10000,SMALL(IF(ISNUMBER(MATCH($B$2:$B$10000,$E$6:$E$22,0)),ROW($C$2:$C$10000)-ROW($C$2)+1),ROWS(K$20:K1997))))</f>
        <v/>
      </c>
      <c r="H1997" s="4" t="str">
        <f t="array" ref="H1997">IF(ROWS(L$20:L1997)&gt;$F$6,"",INDEX(B$2:B$10000,SMALL(IF(ISNUMBER(MATCH($B$2:$B$10000,$E$6:$E$22,0)),ROW($C$2:$C$10000)-ROW($C$2)+1),ROWS(L$20:L1997))))</f>
        <v/>
      </c>
      <c r="I1997" s="4" t="str">
        <f t="array" ref="I1997">IF(ROWS(M$20:M1997)&gt;$F$6,"",INDEX(C$2:C$10000,SMALL(IF(ISNUMBER(MATCH($B$2:$B$10000,$E$6:$E$22,0)),ROW($C$2:$C$10000)-ROW($C$2)+1),ROWS(M$20:M1997))))</f>
        <v/>
      </c>
      <c r="K1997" s="7" t="str">
        <f t="array" ref="K1997">IF(ROWS(K$20:K1997)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1997))))</f>
        <v/>
      </c>
      <c r="L1997" s="4" t="str">
        <f t="array" ref="L1997">IF(ROWS(L$20:L1997)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1997))))</f>
        <v/>
      </c>
      <c r="M1997" s="4" t="str">
        <f t="array" ref="M1997">IF(ROWS(M$20:M1997)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1997))))</f>
        <v/>
      </c>
    </row>
    <row r="1998" spans="1:13" x14ac:dyDescent="0.25">
      <c r="A1998" s="3">
        <v>41618</v>
      </c>
      <c r="B1998" s="2" t="s">
        <v>2</v>
      </c>
      <c r="C1998" s="2">
        <v>18</v>
      </c>
      <c r="G1998" s="7" t="str">
        <f t="array" ref="G1998">IF(ROWS(K$20:K1998)&gt;$F$6,"",INDEX(A$2:A$10000,SMALL(IF(ISNUMBER(MATCH($B$2:$B$10000,$E$6:$E$22,0)),ROW($C$2:$C$10000)-ROW($C$2)+1),ROWS(K$20:K1998))))</f>
        <v/>
      </c>
      <c r="H1998" s="4" t="str">
        <f t="array" ref="H1998">IF(ROWS(L$20:L1998)&gt;$F$6,"",INDEX(B$2:B$10000,SMALL(IF(ISNUMBER(MATCH($B$2:$B$10000,$E$6:$E$22,0)),ROW($C$2:$C$10000)-ROW($C$2)+1),ROWS(L$20:L1998))))</f>
        <v/>
      </c>
      <c r="I1998" s="4" t="str">
        <f t="array" ref="I1998">IF(ROWS(M$20:M1998)&gt;$F$6,"",INDEX(C$2:C$10000,SMALL(IF(ISNUMBER(MATCH($B$2:$B$10000,$E$6:$E$22,0)),ROW($C$2:$C$10000)-ROW($C$2)+1),ROWS(M$20:M1998))))</f>
        <v/>
      </c>
      <c r="K1998" s="7" t="str">
        <f t="array" ref="K1998">IF(ROWS(K$20:K1998)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1998))))</f>
        <v/>
      </c>
      <c r="L1998" s="4" t="str">
        <f t="array" ref="L1998">IF(ROWS(L$20:L1998)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1998))))</f>
        <v/>
      </c>
      <c r="M1998" s="4" t="str">
        <f t="array" ref="M1998">IF(ROWS(M$20:M1998)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1998))))</f>
        <v/>
      </c>
    </row>
    <row r="1999" spans="1:13" x14ac:dyDescent="0.25">
      <c r="A1999" s="3">
        <v>41707</v>
      </c>
      <c r="B1999" s="2" t="s">
        <v>30</v>
      </c>
      <c r="C1999" s="2">
        <v>32</v>
      </c>
      <c r="G1999" s="7" t="str">
        <f t="array" ref="G1999">IF(ROWS(K$20:K1999)&gt;$F$6,"",INDEX(A$2:A$10000,SMALL(IF(ISNUMBER(MATCH($B$2:$B$10000,$E$6:$E$22,0)),ROW($C$2:$C$10000)-ROW($C$2)+1),ROWS(K$20:K1999))))</f>
        <v/>
      </c>
      <c r="H1999" s="4" t="str">
        <f t="array" ref="H1999">IF(ROWS(L$20:L1999)&gt;$F$6,"",INDEX(B$2:B$10000,SMALL(IF(ISNUMBER(MATCH($B$2:$B$10000,$E$6:$E$22,0)),ROW($C$2:$C$10000)-ROW($C$2)+1),ROWS(L$20:L1999))))</f>
        <v/>
      </c>
      <c r="I1999" s="4" t="str">
        <f t="array" ref="I1999">IF(ROWS(M$20:M1999)&gt;$F$6,"",INDEX(C$2:C$10000,SMALL(IF(ISNUMBER(MATCH($B$2:$B$10000,$E$6:$E$22,0)),ROW($C$2:$C$10000)-ROW($C$2)+1),ROWS(M$20:M1999))))</f>
        <v/>
      </c>
      <c r="K1999" s="7" t="str">
        <f t="array" ref="K1999">IF(ROWS(K$20:K1999)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1999))))</f>
        <v/>
      </c>
      <c r="L1999" s="4" t="str">
        <f t="array" ref="L1999">IF(ROWS(L$20:L1999)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1999))))</f>
        <v/>
      </c>
      <c r="M1999" s="4" t="str">
        <f t="array" ref="M1999">IF(ROWS(M$20:M1999)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1999))))</f>
        <v/>
      </c>
    </row>
    <row r="2000" spans="1:13" x14ac:dyDescent="0.25">
      <c r="A2000" s="3">
        <v>41639</v>
      </c>
      <c r="B2000" s="2" t="s">
        <v>26</v>
      </c>
      <c r="C2000" s="2">
        <v>17</v>
      </c>
      <c r="G2000" s="7" t="str">
        <f t="array" ref="G2000">IF(ROWS(K$20:K2000)&gt;$F$6,"",INDEX(A$2:A$10000,SMALL(IF(ISNUMBER(MATCH($B$2:$B$10000,$E$6:$E$22,0)),ROW($C$2:$C$10000)-ROW($C$2)+1),ROWS(K$20:K2000))))</f>
        <v/>
      </c>
      <c r="H2000" s="4" t="str">
        <f t="array" ref="H2000">IF(ROWS(L$20:L2000)&gt;$F$6,"",INDEX(B$2:B$10000,SMALL(IF(ISNUMBER(MATCH($B$2:$B$10000,$E$6:$E$22,0)),ROW($C$2:$C$10000)-ROW($C$2)+1),ROWS(L$20:L2000))))</f>
        <v/>
      </c>
      <c r="I2000" s="4" t="str">
        <f t="array" ref="I2000">IF(ROWS(M$20:M2000)&gt;$F$6,"",INDEX(C$2:C$10000,SMALL(IF(ISNUMBER(MATCH($B$2:$B$10000,$E$6:$E$22,0)),ROW($C$2:$C$10000)-ROW($C$2)+1),ROWS(M$20:M2000))))</f>
        <v/>
      </c>
      <c r="K2000" s="7" t="str">
        <f t="array" ref="K2000">IF(ROWS(K$20:K2000)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2000))))</f>
        <v/>
      </c>
      <c r="L2000" s="4" t="str">
        <f t="array" ref="L2000">IF(ROWS(L$20:L2000)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2000))))</f>
        <v/>
      </c>
      <c r="M2000" s="4" t="str">
        <f t="array" ref="M2000">IF(ROWS(M$20:M2000)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2000))))</f>
        <v/>
      </c>
    </row>
    <row r="2001" spans="1:13" x14ac:dyDescent="0.25">
      <c r="A2001" s="3">
        <v>41703</v>
      </c>
      <c r="B2001" s="2" t="s">
        <v>17</v>
      </c>
      <c r="C2001" s="2">
        <v>15</v>
      </c>
      <c r="G2001" s="7" t="str">
        <f t="array" ref="G2001">IF(ROWS(K$20:K2001)&gt;$F$6,"",INDEX(A$2:A$10000,SMALL(IF(ISNUMBER(MATCH($B$2:$B$10000,$E$6:$E$22,0)),ROW($C$2:$C$10000)-ROW($C$2)+1),ROWS(K$20:K2001))))</f>
        <v/>
      </c>
      <c r="H2001" s="4" t="str">
        <f t="array" ref="H2001">IF(ROWS(L$20:L2001)&gt;$F$6,"",INDEX(B$2:B$10000,SMALL(IF(ISNUMBER(MATCH($B$2:$B$10000,$E$6:$E$22,0)),ROW($C$2:$C$10000)-ROW($C$2)+1),ROWS(L$20:L2001))))</f>
        <v/>
      </c>
      <c r="I2001" s="4" t="str">
        <f t="array" ref="I2001">IF(ROWS(M$20:M2001)&gt;$F$6,"",INDEX(C$2:C$10000,SMALL(IF(ISNUMBER(MATCH($B$2:$B$10000,$E$6:$E$22,0)),ROW($C$2:$C$10000)-ROW($C$2)+1),ROWS(M$20:M2001))))</f>
        <v/>
      </c>
      <c r="K2001" s="7" t="str">
        <f t="array" ref="K2001">IF(ROWS(K$20:K2001)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2001))))</f>
        <v/>
      </c>
      <c r="L2001" s="4" t="str">
        <f t="array" ref="L2001">IF(ROWS(L$20:L2001)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2001))))</f>
        <v/>
      </c>
      <c r="M2001" s="4" t="str">
        <f t="array" ref="M2001">IF(ROWS(M$20:M2001)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2001))))</f>
        <v/>
      </c>
    </row>
    <row r="2002" spans="1:13" x14ac:dyDescent="0.25">
      <c r="A2002" s="3">
        <v>41757</v>
      </c>
      <c r="B2002" s="2" t="s">
        <v>28</v>
      </c>
      <c r="C2002" s="2">
        <v>30</v>
      </c>
      <c r="G2002" s="7" t="str">
        <f t="array" ref="G2002">IF(ROWS(K$20:K2002)&gt;$F$6,"",INDEX(A$2:A$10000,SMALL(IF(ISNUMBER(MATCH($B$2:$B$10000,$E$6:$E$22,0)),ROW($C$2:$C$10000)-ROW($C$2)+1),ROWS(K$20:K2002))))</f>
        <v/>
      </c>
      <c r="H2002" s="4" t="str">
        <f t="array" ref="H2002">IF(ROWS(L$20:L2002)&gt;$F$6,"",INDEX(B$2:B$10000,SMALL(IF(ISNUMBER(MATCH($B$2:$B$10000,$E$6:$E$22,0)),ROW($C$2:$C$10000)-ROW($C$2)+1),ROWS(L$20:L2002))))</f>
        <v/>
      </c>
      <c r="I2002" s="4" t="str">
        <f t="array" ref="I2002">IF(ROWS(M$20:M2002)&gt;$F$6,"",INDEX(C$2:C$10000,SMALL(IF(ISNUMBER(MATCH($B$2:$B$10000,$E$6:$E$22,0)),ROW($C$2:$C$10000)-ROW($C$2)+1),ROWS(M$20:M2002))))</f>
        <v/>
      </c>
      <c r="K2002" s="7" t="str">
        <f t="array" ref="K2002">IF(ROWS(K$20:K2002)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2002))))</f>
        <v/>
      </c>
      <c r="L2002" s="4" t="str">
        <f t="array" ref="L2002">IF(ROWS(L$20:L2002)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2002))))</f>
        <v/>
      </c>
      <c r="M2002" s="4" t="str">
        <f t="array" ref="M2002">IF(ROWS(M$20:M2002)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2002))))</f>
        <v/>
      </c>
    </row>
    <row r="2003" spans="1:13" x14ac:dyDescent="0.25">
      <c r="A2003" s="3">
        <v>41530</v>
      </c>
      <c r="B2003" s="2" t="s">
        <v>22</v>
      </c>
      <c r="C2003" s="2">
        <v>4</v>
      </c>
      <c r="G2003" s="7" t="str">
        <f t="array" ref="G2003">IF(ROWS(K$20:K2003)&gt;$F$6,"",INDEX(A$2:A$10000,SMALL(IF(ISNUMBER(MATCH($B$2:$B$10000,$E$6:$E$22,0)),ROW($C$2:$C$10000)-ROW($C$2)+1),ROWS(K$20:K2003))))</f>
        <v/>
      </c>
      <c r="H2003" s="4" t="str">
        <f t="array" ref="H2003">IF(ROWS(L$20:L2003)&gt;$F$6,"",INDEX(B$2:B$10000,SMALL(IF(ISNUMBER(MATCH($B$2:$B$10000,$E$6:$E$22,0)),ROW($C$2:$C$10000)-ROW($C$2)+1),ROWS(L$20:L2003))))</f>
        <v/>
      </c>
      <c r="I2003" s="4" t="str">
        <f t="array" ref="I2003">IF(ROWS(M$20:M2003)&gt;$F$6,"",INDEX(C$2:C$10000,SMALL(IF(ISNUMBER(MATCH($B$2:$B$10000,$E$6:$E$22,0)),ROW($C$2:$C$10000)-ROW($C$2)+1),ROWS(M$20:M2003))))</f>
        <v/>
      </c>
      <c r="K2003" s="7" t="str">
        <f t="array" ref="K2003">IF(ROWS(K$20:K2003)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2003))))</f>
        <v/>
      </c>
      <c r="L2003" s="4" t="str">
        <f t="array" ref="L2003">IF(ROWS(L$20:L2003)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2003))))</f>
        <v/>
      </c>
      <c r="M2003" s="4" t="str">
        <f t="array" ref="M2003">IF(ROWS(M$20:M2003)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2003))))</f>
        <v/>
      </c>
    </row>
    <row r="2004" spans="1:13" x14ac:dyDescent="0.25">
      <c r="A2004" s="3">
        <v>41564</v>
      </c>
      <c r="B2004" s="2" t="s">
        <v>29</v>
      </c>
      <c r="C2004" s="2">
        <v>2</v>
      </c>
      <c r="G2004" s="7" t="str">
        <f t="array" ref="G2004">IF(ROWS(K$20:K2004)&gt;$F$6,"",INDEX(A$2:A$10000,SMALL(IF(ISNUMBER(MATCH($B$2:$B$10000,$E$6:$E$22,0)),ROW($C$2:$C$10000)-ROW($C$2)+1),ROWS(K$20:K2004))))</f>
        <v/>
      </c>
      <c r="H2004" s="4" t="str">
        <f t="array" ref="H2004">IF(ROWS(L$20:L2004)&gt;$F$6,"",INDEX(B$2:B$10000,SMALL(IF(ISNUMBER(MATCH($B$2:$B$10000,$E$6:$E$22,0)),ROW($C$2:$C$10000)-ROW($C$2)+1),ROWS(L$20:L2004))))</f>
        <v/>
      </c>
      <c r="I2004" s="4" t="str">
        <f t="array" ref="I2004">IF(ROWS(M$20:M2004)&gt;$F$6,"",INDEX(C$2:C$10000,SMALL(IF(ISNUMBER(MATCH($B$2:$B$10000,$E$6:$E$22,0)),ROW($C$2:$C$10000)-ROW($C$2)+1),ROWS(M$20:M2004))))</f>
        <v/>
      </c>
      <c r="K2004" s="7" t="str">
        <f t="array" ref="K2004">IF(ROWS(K$20:K2004)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2004))))</f>
        <v/>
      </c>
      <c r="L2004" s="4" t="str">
        <f t="array" ref="L2004">IF(ROWS(L$20:L2004)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2004))))</f>
        <v/>
      </c>
      <c r="M2004" s="4" t="str">
        <f t="array" ref="M2004">IF(ROWS(M$20:M2004)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2004))))</f>
        <v/>
      </c>
    </row>
    <row r="2005" spans="1:13" x14ac:dyDescent="0.25">
      <c r="A2005" s="3">
        <v>41369</v>
      </c>
      <c r="B2005" s="2" t="s">
        <v>15</v>
      </c>
      <c r="C2005" s="2">
        <v>31</v>
      </c>
      <c r="G2005" s="7" t="str">
        <f t="array" ref="G2005">IF(ROWS(K$20:K2005)&gt;$F$6,"",INDEX(A$2:A$10000,SMALL(IF(ISNUMBER(MATCH($B$2:$B$10000,$E$6:$E$22,0)),ROW($C$2:$C$10000)-ROW($C$2)+1),ROWS(K$20:K2005))))</f>
        <v/>
      </c>
      <c r="H2005" s="4" t="str">
        <f t="array" ref="H2005">IF(ROWS(L$20:L2005)&gt;$F$6,"",INDEX(B$2:B$10000,SMALL(IF(ISNUMBER(MATCH($B$2:$B$10000,$E$6:$E$22,0)),ROW($C$2:$C$10000)-ROW($C$2)+1),ROWS(L$20:L2005))))</f>
        <v/>
      </c>
      <c r="I2005" s="4" t="str">
        <f t="array" ref="I2005">IF(ROWS(M$20:M2005)&gt;$F$6,"",INDEX(C$2:C$10000,SMALL(IF(ISNUMBER(MATCH($B$2:$B$10000,$E$6:$E$22,0)),ROW($C$2:$C$10000)-ROW($C$2)+1),ROWS(M$20:M2005))))</f>
        <v/>
      </c>
      <c r="K2005" s="7" t="str">
        <f t="array" ref="K2005">IF(ROWS(K$20:K2005)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2005))))</f>
        <v/>
      </c>
      <c r="L2005" s="4" t="str">
        <f t="array" ref="L2005">IF(ROWS(L$20:L2005)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2005))))</f>
        <v/>
      </c>
      <c r="M2005" s="4" t="str">
        <f t="array" ref="M2005">IF(ROWS(M$20:M2005)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2005))))</f>
        <v/>
      </c>
    </row>
    <row r="2006" spans="1:13" x14ac:dyDescent="0.25">
      <c r="A2006" s="3">
        <v>41399</v>
      </c>
      <c r="B2006" s="2" t="s">
        <v>17</v>
      </c>
      <c r="C2006" s="2">
        <v>26</v>
      </c>
      <c r="G2006" s="7" t="str">
        <f t="array" ref="G2006">IF(ROWS(K$20:K2006)&gt;$F$6,"",INDEX(A$2:A$10000,SMALL(IF(ISNUMBER(MATCH($B$2:$B$10000,$E$6:$E$22,0)),ROW($C$2:$C$10000)-ROW($C$2)+1),ROWS(K$20:K2006))))</f>
        <v/>
      </c>
      <c r="H2006" s="4" t="str">
        <f t="array" ref="H2006">IF(ROWS(L$20:L2006)&gt;$F$6,"",INDEX(B$2:B$10000,SMALL(IF(ISNUMBER(MATCH($B$2:$B$10000,$E$6:$E$22,0)),ROW($C$2:$C$10000)-ROW($C$2)+1),ROWS(L$20:L2006))))</f>
        <v/>
      </c>
      <c r="I2006" s="4" t="str">
        <f t="array" ref="I2006">IF(ROWS(M$20:M2006)&gt;$F$6,"",INDEX(C$2:C$10000,SMALL(IF(ISNUMBER(MATCH($B$2:$B$10000,$E$6:$E$22,0)),ROW($C$2:$C$10000)-ROW($C$2)+1),ROWS(M$20:M2006))))</f>
        <v/>
      </c>
      <c r="K2006" s="7" t="str">
        <f t="array" ref="K2006">IF(ROWS(K$20:K2006)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2006))))</f>
        <v/>
      </c>
      <c r="L2006" s="4" t="str">
        <f t="array" ref="L2006">IF(ROWS(L$20:L2006)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2006))))</f>
        <v/>
      </c>
      <c r="M2006" s="4" t="str">
        <f t="array" ref="M2006">IF(ROWS(M$20:M2006)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2006))))</f>
        <v/>
      </c>
    </row>
    <row r="2007" spans="1:13" x14ac:dyDescent="0.25">
      <c r="A2007" s="3">
        <v>41732</v>
      </c>
      <c r="B2007" s="2" t="s">
        <v>31</v>
      </c>
      <c r="C2007" s="2">
        <v>49</v>
      </c>
      <c r="G2007" s="7" t="str">
        <f t="array" ref="G2007">IF(ROWS(K$20:K2007)&gt;$F$6,"",INDEX(A$2:A$10000,SMALL(IF(ISNUMBER(MATCH($B$2:$B$10000,$E$6:$E$22,0)),ROW($C$2:$C$10000)-ROW($C$2)+1),ROWS(K$20:K2007))))</f>
        <v/>
      </c>
      <c r="H2007" s="4" t="str">
        <f t="array" ref="H2007">IF(ROWS(L$20:L2007)&gt;$F$6,"",INDEX(B$2:B$10000,SMALL(IF(ISNUMBER(MATCH($B$2:$B$10000,$E$6:$E$22,0)),ROW($C$2:$C$10000)-ROW($C$2)+1),ROWS(L$20:L2007))))</f>
        <v/>
      </c>
      <c r="I2007" s="4" t="str">
        <f t="array" ref="I2007">IF(ROWS(M$20:M2007)&gt;$F$6,"",INDEX(C$2:C$10000,SMALL(IF(ISNUMBER(MATCH($B$2:$B$10000,$E$6:$E$22,0)),ROW($C$2:$C$10000)-ROW($C$2)+1),ROWS(M$20:M2007))))</f>
        <v/>
      </c>
      <c r="K2007" s="7" t="str">
        <f t="array" ref="K2007">IF(ROWS(K$20:K2007)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2007))))</f>
        <v/>
      </c>
      <c r="L2007" s="4" t="str">
        <f t="array" ref="L2007">IF(ROWS(L$20:L2007)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2007))))</f>
        <v/>
      </c>
      <c r="M2007" s="4" t="str">
        <f t="array" ref="M2007">IF(ROWS(M$20:M2007)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2007))))</f>
        <v/>
      </c>
    </row>
    <row r="2008" spans="1:13" x14ac:dyDescent="0.25">
      <c r="A2008" s="3">
        <v>41719</v>
      </c>
      <c r="B2008" s="2" t="s">
        <v>43</v>
      </c>
      <c r="C2008" s="2">
        <v>7</v>
      </c>
      <c r="G2008" s="7" t="str">
        <f t="array" ref="G2008">IF(ROWS(K$20:K2008)&gt;$F$6,"",INDEX(A$2:A$10000,SMALL(IF(ISNUMBER(MATCH($B$2:$B$10000,$E$6:$E$22,0)),ROW($C$2:$C$10000)-ROW($C$2)+1),ROWS(K$20:K2008))))</f>
        <v/>
      </c>
      <c r="H2008" s="4" t="str">
        <f t="array" ref="H2008">IF(ROWS(L$20:L2008)&gt;$F$6,"",INDEX(B$2:B$10000,SMALL(IF(ISNUMBER(MATCH($B$2:$B$10000,$E$6:$E$22,0)),ROW($C$2:$C$10000)-ROW($C$2)+1),ROWS(L$20:L2008))))</f>
        <v/>
      </c>
      <c r="I2008" s="4" t="str">
        <f t="array" ref="I2008">IF(ROWS(M$20:M2008)&gt;$F$6,"",INDEX(C$2:C$10000,SMALL(IF(ISNUMBER(MATCH($B$2:$B$10000,$E$6:$E$22,0)),ROW($C$2:$C$10000)-ROW($C$2)+1),ROWS(M$20:M2008))))</f>
        <v/>
      </c>
      <c r="K2008" s="7" t="str">
        <f t="array" ref="K2008">IF(ROWS(K$20:K2008)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2008))))</f>
        <v/>
      </c>
      <c r="L2008" s="4" t="str">
        <f t="array" ref="L2008">IF(ROWS(L$20:L2008)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2008))))</f>
        <v/>
      </c>
      <c r="M2008" s="4" t="str">
        <f t="array" ref="M2008">IF(ROWS(M$20:M2008)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2008))))</f>
        <v/>
      </c>
    </row>
    <row r="2009" spans="1:13" x14ac:dyDescent="0.25">
      <c r="A2009" s="3">
        <v>41381</v>
      </c>
      <c r="B2009" s="2" t="s">
        <v>45</v>
      </c>
      <c r="C2009" s="2">
        <v>40</v>
      </c>
      <c r="G2009" s="7" t="str">
        <f t="array" ref="G2009">IF(ROWS(K$20:K2009)&gt;$F$6,"",INDEX(A$2:A$10000,SMALL(IF(ISNUMBER(MATCH($B$2:$B$10000,$E$6:$E$22,0)),ROW($C$2:$C$10000)-ROW($C$2)+1),ROWS(K$20:K2009))))</f>
        <v/>
      </c>
      <c r="H2009" s="4" t="str">
        <f t="array" ref="H2009">IF(ROWS(L$20:L2009)&gt;$F$6,"",INDEX(B$2:B$10000,SMALL(IF(ISNUMBER(MATCH($B$2:$B$10000,$E$6:$E$22,0)),ROW($C$2:$C$10000)-ROW($C$2)+1),ROWS(L$20:L2009))))</f>
        <v/>
      </c>
      <c r="I2009" s="4" t="str">
        <f t="array" ref="I2009">IF(ROWS(M$20:M2009)&gt;$F$6,"",INDEX(C$2:C$10000,SMALL(IF(ISNUMBER(MATCH($B$2:$B$10000,$E$6:$E$22,0)),ROW($C$2:$C$10000)-ROW($C$2)+1),ROWS(M$20:M2009))))</f>
        <v/>
      </c>
      <c r="K2009" s="7" t="str">
        <f t="array" ref="K2009">IF(ROWS(K$20:K2009)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2009))))</f>
        <v/>
      </c>
      <c r="L2009" s="4" t="str">
        <f t="array" ref="L2009">IF(ROWS(L$20:L2009)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2009))))</f>
        <v/>
      </c>
      <c r="M2009" s="4" t="str">
        <f t="array" ref="M2009">IF(ROWS(M$20:M2009)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2009))))</f>
        <v/>
      </c>
    </row>
    <row r="2010" spans="1:13" x14ac:dyDescent="0.25">
      <c r="A2010" s="3">
        <v>41721</v>
      </c>
      <c r="B2010" s="2" t="s">
        <v>17</v>
      </c>
      <c r="C2010" s="2">
        <v>1</v>
      </c>
      <c r="G2010" s="7" t="str">
        <f t="array" ref="G2010">IF(ROWS(K$20:K2010)&gt;$F$6,"",INDEX(A$2:A$10000,SMALL(IF(ISNUMBER(MATCH($B$2:$B$10000,$E$6:$E$22,0)),ROW($C$2:$C$10000)-ROW($C$2)+1),ROWS(K$20:K2010))))</f>
        <v/>
      </c>
      <c r="H2010" s="4" t="str">
        <f t="array" ref="H2010">IF(ROWS(L$20:L2010)&gt;$F$6,"",INDEX(B$2:B$10000,SMALL(IF(ISNUMBER(MATCH($B$2:$B$10000,$E$6:$E$22,0)),ROW($C$2:$C$10000)-ROW($C$2)+1),ROWS(L$20:L2010))))</f>
        <v/>
      </c>
      <c r="I2010" s="4" t="str">
        <f t="array" ref="I2010">IF(ROWS(M$20:M2010)&gt;$F$6,"",INDEX(C$2:C$10000,SMALL(IF(ISNUMBER(MATCH($B$2:$B$10000,$E$6:$E$22,0)),ROW($C$2:$C$10000)-ROW($C$2)+1),ROWS(M$20:M2010))))</f>
        <v/>
      </c>
      <c r="K2010" s="7" t="str">
        <f t="array" ref="K2010">IF(ROWS(K$20:K2010)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2010))))</f>
        <v/>
      </c>
      <c r="L2010" s="4" t="str">
        <f t="array" ref="L2010">IF(ROWS(L$20:L2010)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2010))))</f>
        <v/>
      </c>
      <c r="M2010" s="4" t="str">
        <f t="array" ref="M2010">IF(ROWS(M$20:M2010)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2010))))</f>
        <v/>
      </c>
    </row>
    <row r="2011" spans="1:13" x14ac:dyDescent="0.25">
      <c r="A2011" s="3">
        <v>41305</v>
      </c>
      <c r="B2011" s="2" t="s">
        <v>31</v>
      </c>
      <c r="C2011" s="2">
        <v>34</v>
      </c>
      <c r="G2011" s="7" t="str">
        <f t="array" ref="G2011">IF(ROWS(K$20:K2011)&gt;$F$6,"",INDEX(A$2:A$10000,SMALL(IF(ISNUMBER(MATCH($B$2:$B$10000,$E$6:$E$22,0)),ROW($C$2:$C$10000)-ROW($C$2)+1),ROWS(K$20:K2011))))</f>
        <v/>
      </c>
      <c r="H2011" s="4" t="str">
        <f t="array" ref="H2011">IF(ROWS(L$20:L2011)&gt;$F$6,"",INDEX(B$2:B$10000,SMALL(IF(ISNUMBER(MATCH($B$2:$B$10000,$E$6:$E$22,0)),ROW($C$2:$C$10000)-ROW($C$2)+1),ROWS(L$20:L2011))))</f>
        <v/>
      </c>
      <c r="I2011" s="4" t="str">
        <f t="array" ref="I2011">IF(ROWS(M$20:M2011)&gt;$F$6,"",INDEX(C$2:C$10000,SMALL(IF(ISNUMBER(MATCH($B$2:$B$10000,$E$6:$E$22,0)),ROW($C$2:$C$10000)-ROW($C$2)+1),ROWS(M$20:M2011))))</f>
        <v/>
      </c>
      <c r="K2011" s="7" t="str">
        <f t="array" ref="K2011">IF(ROWS(K$20:K2011)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2011))))</f>
        <v/>
      </c>
      <c r="L2011" s="4" t="str">
        <f t="array" ref="L2011">IF(ROWS(L$20:L2011)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2011))))</f>
        <v/>
      </c>
      <c r="M2011" s="4" t="str">
        <f t="array" ref="M2011">IF(ROWS(M$20:M2011)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2011))))</f>
        <v/>
      </c>
    </row>
    <row r="2012" spans="1:13" x14ac:dyDescent="0.25">
      <c r="A2012" s="3">
        <v>41872</v>
      </c>
      <c r="B2012" s="2" t="s">
        <v>42</v>
      </c>
      <c r="C2012" s="2">
        <v>45</v>
      </c>
      <c r="G2012" s="7" t="str">
        <f t="array" ref="G2012">IF(ROWS(K$20:K2012)&gt;$F$6,"",INDEX(A$2:A$10000,SMALL(IF(ISNUMBER(MATCH($B$2:$B$10000,$E$6:$E$22,0)),ROW($C$2:$C$10000)-ROW($C$2)+1),ROWS(K$20:K2012))))</f>
        <v/>
      </c>
      <c r="H2012" s="4" t="str">
        <f t="array" ref="H2012">IF(ROWS(L$20:L2012)&gt;$F$6,"",INDEX(B$2:B$10000,SMALL(IF(ISNUMBER(MATCH($B$2:$B$10000,$E$6:$E$22,0)),ROW($C$2:$C$10000)-ROW($C$2)+1),ROWS(L$20:L2012))))</f>
        <v/>
      </c>
      <c r="I2012" s="4" t="str">
        <f t="array" ref="I2012">IF(ROWS(M$20:M2012)&gt;$F$6,"",INDEX(C$2:C$10000,SMALL(IF(ISNUMBER(MATCH($B$2:$B$10000,$E$6:$E$22,0)),ROW($C$2:$C$10000)-ROW($C$2)+1),ROWS(M$20:M2012))))</f>
        <v/>
      </c>
      <c r="K2012" s="7" t="str">
        <f t="array" ref="K2012">IF(ROWS(K$20:K2012)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2012))))</f>
        <v/>
      </c>
      <c r="L2012" s="4" t="str">
        <f t="array" ref="L2012">IF(ROWS(L$20:L2012)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2012))))</f>
        <v/>
      </c>
      <c r="M2012" s="4" t="str">
        <f t="array" ref="M2012">IF(ROWS(M$20:M2012)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2012))))</f>
        <v/>
      </c>
    </row>
    <row r="2013" spans="1:13" x14ac:dyDescent="0.25">
      <c r="A2013" s="3">
        <v>41444</v>
      </c>
      <c r="B2013" s="2" t="s">
        <v>13</v>
      </c>
      <c r="C2013" s="2">
        <v>28</v>
      </c>
      <c r="G2013" s="7" t="str">
        <f t="array" ref="G2013">IF(ROWS(K$20:K2013)&gt;$F$6,"",INDEX(A$2:A$10000,SMALL(IF(ISNUMBER(MATCH($B$2:$B$10000,$E$6:$E$22,0)),ROW($C$2:$C$10000)-ROW($C$2)+1),ROWS(K$20:K2013))))</f>
        <v/>
      </c>
      <c r="H2013" s="4" t="str">
        <f t="array" ref="H2013">IF(ROWS(L$20:L2013)&gt;$F$6,"",INDEX(B$2:B$10000,SMALL(IF(ISNUMBER(MATCH($B$2:$B$10000,$E$6:$E$22,0)),ROW($C$2:$C$10000)-ROW($C$2)+1),ROWS(L$20:L2013))))</f>
        <v/>
      </c>
      <c r="I2013" s="4" t="str">
        <f t="array" ref="I2013">IF(ROWS(M$20:M2013)&gt;$F$6,"",INDEX(C$2:C$10000,SMALL(IF(ISNUMBER(MATCH($B$2:$B$10000,$E$6:$E$22,0)),ROW($C$2:$C$10000)-ROW($C$2)+1),ROWS(M$20:M2013))))</f>
        <v/>
      </c>
      <c r="K2013" s="7" t="str">
        <f t="array" ref="K2013">IF(ROWS(K$20:K2013)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2013))))</f>
        <v/>
      </c>
      <c r="L2013" s="4" t="str">
        <f t="array" ref="L2013">IF(ROWS(L$20:L2013)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2013))))</f>
        <v/>
      </c>
      <c r="M2013" s="4" t="str">
        <f t="array" ref="M2013">IF(ROWS(M$20:M2013)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2013))))</f>
        <v/>
      </c>
    </row>
    <row r="2014" spans="1:13" x14ac:dyDescent="0.25">
      <c r="A2014" s="3">
        <v>41705</v>
      </c>
      <c r="B2014" s="2" t="s">
        <v>25</v>
      </c>
      <c r="C2014" s="2">
        <v>26</v>
      </c>
      <c r="G2014" s="7" t="str">
        <f t="array" ref="G2014">IF(ROWS(K$20:K2014)&gt;$F$6,"",INDEX(A$2:A$10000,SMALL(IF(ISNUMBER(MATCH($B$2:$B$10000,$E$6:$E$22,0)),ROW($C$2:$C$10000)-ROW($C$2)+1),ROWS(K$20:K2014))))</f>
        <v/>
      </c>
      <c r="H2014" s="4" t="str">
        <f t="array" ref="H2014">IF(ROWS(L$20:L2014)&gt;$F$6,"",INDEX(B$2:B$10000,SMALL(IF(ISNUMBER(MATCH($B$2:$B$10000,$E$6:$E$22,0)),ROW($C$2:$C$10000)-ROW($C$2)+1),ROWS(L$20:L2014))))</f>
        <v/>
      </c>
      <c r="I2014" s="4" t="str">
        <f t="array" ref="I2014">IF(ROWS(M$20:M2014)&gt;$F$6,"",INDEX(C$2:C$10000,SMALL(IF(ISNUMBER(MATCH($B$2:$B$10000,$E$6:$E$22,0)),ROW($C$2:$C$10000)-ROW($C$2)+1),ROWS(M$20:M2014))))</f>
        <v/>
      </c>
      <c r="K2014" s="7" t="str">
        <f t="array" ref="K2014">IF(ROWS(K$20:K2014)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2014))))</f>
        <v/>
      </c>
      <c r="L2014" s="4" t="str">
        <f t="array" ref="L2014">IF(ROWS(L$20:L2014)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2014))))</f>
        <v/>
      </c>
      <c r="M2014" s="4" t="str">
        <f t="array" ref="M2014">IF(ROWS(M$20:M2014)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2014))))</f>
        <v/>
      </c>
    </row>
    <row r="2015" spans="1:13" x14ac:dyDescent="0.25">
      <c r="A2015" s="3">
        <v>41529</v>
      </c>
      <c r="B2015" s="2" t="s">
        <v>44</v>
      </c>
      <c r="C2015" s="2">
        <v>47</v>
      </c>
      <c r="G2015" s="7" t="str">
        <f t="array" ref="G2015">IF(ROWS(K$20:K2015)&gt;$F$6,"",INDEX(A$2:A$10000,SMALL(IF(ISNUMBER(MATCH($B$2:$B$10000,$E$6:$E$22,0)),ROW($C$2:$C$10000)-ROW($C$2)+1),ROWS(K$20:K2015))))</f>
        <v/>
      </c>
      <c r="H2015" s="4" t="str">
        <f t="array" ref="H2015">IF(ROWS(L$20:L2015)&gt;$F$6,"",INDEX(B$2:B$10000,SMALL(IF(ISNUMBER(MATCH($B$2:$B$10000,$E$6:$E$22,0)),ROW($C$2:$C$10000)-ROW($C$2)+1),ROWS(L$20:L2015))))</f>
        <v/>
      </c>
      <c r="I2015" s="4" t="str">
        <f t="array" ref="I2015">IF(ROWS(M$20:M2015)&gt;$F$6,"",INDEX(C$2:C$10000,SMALL(IF(ISNUMBER(MATCH($B$2:$B$10000,$E$6:$E$22,0)),ROW($C$2:$C$10000)-ROW($C$2)+1),ROWS(M$20:M2015))))</f>
        <v/>
      </c>
      <c r="K2015" s="7" t="str">
        <f t="array" ref="K2015">IF(ROWS(K$20:K2015)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2015))))</f>
        <v/>
      </c>
      <c r="L2015" s="4" t="str">
        <f t="array" ref="L2015">IF(ROWS(L$20:L2015)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2015))))</f>
        <v/>
      </c>
      <c r="M2015" s="4" t="str">
        <f t="array" ref="M2015">IF(ROWS(M$20:M2015)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2015))))</f>
        <v/>
      </c>
    </row>
    <row r="2016" spans="1:13" x14ac:dyDescent="0.25">
      <c r="A2016" s="3">
        <v>42003</v>
      </c>
      <c r="B2016" s="2" t="s">
        <v>15</v>
      </c>
      <c r="C2016" s="2">
        <v>2</v>
      </c>
      <c r="G2016" s="7" t="str">
        <f t="array" ref="G2016">IF(ROWS(K$20:K2016)&gt;$F$6,"",INDEX(A$2:A$10000,SMALL(IF(ISNUMBER(MATCH($B$2:$B$10000,$E$6:$E$22,0)),ROW($C$2:$C$10000)-ROW($C$2)+1),ROWS(K$20:K2016))))</f>
        <v/>
      </c>
      <c r="H2016" s="4" t="str">
        <f t="array" ref="H2016">IF(ROWS(L$20:L2016)&gt;$F$6,"",INDEX(B$2:B$10000,SMALL(IF(ISNUMBER(MATCH($B$2:$B$10000,$E$6:$E$22,0)),ROW($C$2:$C$10000)-ROW($C$2)+1),ROWS(L$20:L2016))))</f>
        <v/>
      </c>
      <c r="I2016" s="4" t="str">
        <f t="array" ref="I2016">IF(ROWS(M$20:M2016)&gt;$F$6,"",INDEX(C$2:C$10000,SMALL(IF(ISNUMBER(MATCH($B$2:$B$10000,$E$6:$E$22,0)),ROW($C$2:$C$10000)-ROW($C$2)+1),ROWS(M$20:M2016))))</f>
        <v/>
      </c>
      <c r="K2016" s="7" t="str">
        <f t="array" ref="K2016">IF(ROWS(K$20:K2016)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2016))))</f>
        <v/>
      </c>
      <c r="L2016" s="4" t="str">
        <f t="array" ref="L2016">IF(ROWS(L$20:L2016)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2016))))</f>
        <v/>
      </c>
      <c r="M2016" s="4" t="str">
        <f t="array" ref="M2016">IF(ROWS(M$20:M2016)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2016))))</f>
        <v/>
      </c>
    </row>
    <row r="2017" spans="1:13" x14ac:dyDescent="0.25">
      <c r="A2017" s="3">
        <v>41864</v>
      </c>
      <c r="B2017" s="2" t="s">
        <v>8</v>
      </c>
      <c r="C2017" s="2">
        <v>44</v>
      </c>
      <c r="G2017" s="7" t="str">
        <f t="array" ref="G2017">IF(ROWS(K$20:K2017)&gt;$F$6,"",INDEX(A$2:A$10000,SMALL(IF(ISNUMBER(MATCH($B$2:$B$10000,$E$6:$E$22,0)),ROW($C$2:$C$10000)-ROW($C$2)+1),ROWS(K$20:K2017))))</f>
        <v/>
      </c>
      <c r="H2017" s="4" t="str">
        <f t="array" ref="H2017">IF(ROWS(L$20:L2017)&gt;$F$6,"",INDEX(B$2:B$10000,SMALL(IF(ISNUMBER(MATCH($B$2:$B$10000,$E$6:$E$22,0)),ROW($C$2:$C$10000)-ROW($C$2)+1),ROWS(L$20:L2017))))</f>
        <v/>
      </c>
      <c r="I2017" s="4" t="str">
        <f t="array" ref="I2017">IF(ROWS(M$20:M2017)&gt;$F$6,"",INDEX(C$2:C$10000,SMALL(IF(ISNUMBER(MATCH($B$2:$B$10000,$E$6:$E$22,0)),ROW($C$2:$C$10000)-ROW($C$2)+1),ROWS(M$20:M2017))))</f>
        <v/>
      </c>
      <c r="K2017" s="7" t="str">
        <f t="array" ref="K2017">IF(ROWS(K$20:K2017)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2017))))</f>
        <v/>
      </c>
      <c r="L2017" s="4" t="str">
        <f t="array" ref="L2017">IF(ROWS(L$20:L2017)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2017))))</f>
        <v/>
      </c>
      <c r="M2017" s="4" t="str">
        <f t="array" ref="M2017">IF(ROWS(M$20:M2017)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2017))))</f>
        <v/>
      </c>
    </row>
    <row r="2018" spans="1:13" x14ac:dyDescent="0.25">
      <c r="A2018" s="3">
        <v>41731</v>
      </c>
      <c r="B2018" s="2" t="s">
        <v>7</v>
      </c>
      <c r="C2018" s="2">
        <v>20</v>
      </c>
      <c r="G2018" s="7" t="str">
        <f t="array" ref="G2018">IF(ROWS(K$20:K2018)&gt;$F$6,"",INDEX(A$2:A$10000,SMALL(IF(ISNUMBER(MATCH($B$2:$B$10000,$E$6:$E$22,0)),ROW($C$2:$C$10000)-ROW($C$2)+1),ROWS(K$20:K2018))))</f>
        <v/>
      </c>
      <c r="H2018" s="4" t="str">
        <f t="array" ref="H2018">IF(ROWS(L$20:L2018)&gt;$F$6,"",INDEX(B$2:B$10000,SMALL(IF(ISNUMBER(MATCH($B$2:$B$10000,$E$6:$E$22,0)),ROW($C$2:$C$10000)-ROW($C$2)+1),ROWS(L$20:L2018))))</f>
        <v/>
      </c>
      <c r="I2018" s="4" t="str">
        <f t="array" ref="I2018">IF(ROWS(M$20:M2018)&gt;$F$6,"",INDEX(C$2:C$10000,SMALL(IF(ISNUMBER(MATCH($B$2:$B$10000,$E$6:$E$22,0)),ROW($C$2:$C$10000)-ROW($C$2)+1),ROWS(M$20:M2018))))</f>
        <v/>
      </c>
      <c r="K2018" s="7" t="str">
        <f t="array" ref="K2018">IF(ROWS(K$20:K2018)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2018))))</f>
        <v/>
      </c>
      <c r="L2018" s="4" t="str">
        <f t="array" ref="L2018">IF(ROWS(L$20:L2018)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2018))))</f>
        <v/>
      </c>
      <c r="M2018" s="4" t="str">
        <f t="array" ref="M2018">IF(ROWS(M$20:M2018)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2018))))</f>
        <v/>
      </c>
    </row>
    <row r="2019" spans="1:13" x14ac:dyDescent="0.25">
      <c r="A2019" s="3">
        <v>41734</v>
      </c>
      <c r="B2019" s="2" t="s">
        <v>23</v>
      </c>
      <c r="C2019" s="2">
        <v>43</v>
      </c>
      <c r="G2019" s="7" t="str">
        <f t="array" ref="G2019">IF(ROWS(K$20:K2019)&gt;$F$6,"",INDEX(A$2:A$10000,SMALL(IF(ISNUMBER(MATCH($B$2:$B$10000,$E$6:$E$22,0)),ROW($C$2:$C$10000)-ROW($C$2)+1),ROWS(K$20:K2019))))</f>
        <v/>
      </c>
      <c r="H2019" s="4" t="str">
        <f t="array" ref="H2019">IF(ROWS(L$20:L2019)&gt;$F$6,"",INDEX(B$2:B$10000,SMALL(IF(ISNUMBER(MATCH($B$2:$B$10000,$E$6:$E$22,0)),ROW($C$2:$C$10000)-ROW($C$2)+1),ROWS(L$20:L2019))))</f>
        <v/>
      </c>
      <c r="I2019" s="4" t="str">
        <f t="array" ref="I2019">IF(ROWS(M$20:M2019)&gt;$F$6,"",INDEX(C$2:C$10000,SMALL(IF(ISNUMBER(MATCH($B$2:$B$10000,$E$6:$E$22,0)),ROW($C$2:$C$10000)-ROW($C$2)+1),ROWS(M$20:M2019))))</f>
        <v/>
      </c>
      <c r="K2019" s="7" t="str">
        <f t="array" ref="K2019">IF(ROWS(K$20:K2019)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2019))))</f>
        <v/>
      </c>
      <c r="L2019" s="4" t="str">
        <f t="array" ref="L2019">IF(ROWS(L$20:L2019)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2019))))</f>
        <v/>
      </c>
      <c r="M2019" s="4" t="str">
        <f t="array" ref="M2019">IF(ROWS(M$20:M2019)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2019))))</f>
        <v/>
      </c>
    </row>
    <row r="2020" spans="1:13" x14ac:dyDescent="0.25">
      <c r="A2020" s="3">
        <v>41597</v>
      </c>
      <c r="B2020" s="2" t="s">
        <v>30</v>
      </c>
      <c r="C2020" s="2">
        <v>27</v>
      </c>
      <c r="G2020" s="7" t="str">
        <f t="array" ref="G2020">IF(ROWS(K$20:K2020)&gt;$F$6,"",INDEX(A$2:A$10000,SMALL(IF(ISNUMBER(MATCH($B$2:$B$10000,$E$6:$E$22,0)),ROW($C$2:$C$10000)-ROW($C$2)+1),ROWS(K$20:K2020))))</f>
        <v/>
      </c>
      <c r="H2020" s="4" t="str">
        <f t="array" ref="H2020">IF(ROWS(L$20:L2020)&gt;$F$6,"",INDEX(B$2:B$10000,SMALL(IF(ISNUMBER(MATCH($B$2:$B$10000,$E$6:$E$22,0)),ROW($C$2:$C$10000)-ROW($C$2)+1),ROWS(L$20:L2020))))</f>
        <v/>
      </c>
      <c r="I2020" s="4" t="str">
        <f t="array" ref="I2020">IF(ROWS(M$20:M2020)&gt;$F$6,"",INDEX(C$2:C$10000,SMALL(IF(ISNUMBER(MATCH($B$2:$B$10000,$E$6:$E$22,0)),ROW($C$2:$C$10000)-ROW($C$2)+1),ROWS(M$20:M2020))))</f>
        <v/>
      </c>
      <c r="K2020" s="7" t="str">
        <f t="array" ref="K2020">IF(ROWS(K$20:K2020)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2020))))</f>
        <v/>
      </c>
      <c r="L2020" s="4" t="str">
        <f t="array" ref="L2020">IF(ROWS(L$20:L2020)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2020))))</f>
        <v/>
      </c>
      <c r="M2020" s="4" t="str">
        <f t="array" ref="M2020">IF(ROWS(M$20:M2020)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2020))))</f>
        <v/>
      </c>
    </row>
    <row r="2021" spans="1:13" x14ac:dyDescent="0.25">
      <c r="A2021" s="3">
        <v>41457</v>
      </c>
      <c r="B2021" s="2" t="s">
        <v>17</v>
      </c>
      <c r="C2021" s="2">
        <v>26</v>
      </c>
      <c r="G2021" s="7" t="str">
        <f t="array" ref="G2021">IF(ROWS(K$20:K2021)&gt;$F$6,"",INDEX(A$2:A$10000,SMALL(IF(ISNUMBER(MATCH($B$2:$B$10000,$E$6:$E$22,0)),ROW($C$2:$C$10000)-ROW($C$2)+1),ROWS(K$20:K2021))))</f>
        <v/>
      </c>
      <c r="H2021" s="4" t="str">
        <f t="array" ref="H2021">IF(ROWS(L$20:L2021)&gt;$F$6,"",INDEX(B$2:B$10000,SMALL(IF(ISNUMBER(MATCH($B$2:$B$10000,$E$6:$E$22,0)),ROW($C$2:$C$10000)-ROW($C$2)+1),ROWS(L$20:L2021))))</f>
        <v/>
      </c>
      <c r="I2021" s="4" t="str">
        <f t="array" ref="I2021">IF(ROWS(M$20:M2021)&gt;$F$6,"",INDEX(C$2:C$10000,SMALL(IF(ISNUMBER(MATCH($B$2:$B$10000,$E$6:$E$22,0)),ROW($C$2:$C$10000)-ROW($C$2)+1),ROWS(M$20:M2021))))</f>
        <v/>
      </c>
      <c r="K2021" s="7" t="str">
        <f t="array" ref="K2021">IF(ROWS(K$20:K2021)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2021))))</f>
        <v/>
      </c>
      <c r="L2021" s="4" t="str">
        <f t="array" ref="L2021">IF(ROWS(L$20:L2021)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2021))))</f>
        <v/>
      </c>
      <c r="M2021" s="4" t="str">
        <f t="array" ref="M2021">IF(ROWS(M$20:M2021)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2021))))</f>
        <v/>
      </c>
    </row>
    <row r="2022" spans="1:13" x14ac:dyDescent="0.25">
      <c r="A2022" s="3">
        <v>41723</v>
      </c>
      <c r="B2022" s="2" t="s">
        <v>38</v>
      </c>
      <c r="C2022" s="2">
        <v>45</v>
      </c>
      <c r="G2022" s="7" t="str">
        <f t="array" ref="G2022">IF(ROWS(K$20:K2022)&gt;$F$6,"",INDEX(A$2:A$10000,SMALL(IF(ISNUMBER(MATCH($B$2:$B$10000,$E$6:$E$22,0)),ROW($C$2:$C$10000)-ROW($C$2)+1),ROWS(K$20:K2022))))</f>
        <v/>
      </c>
      <c r="H2022" s="4" t="str">
        <f t="array" ref="H2022">IF(ROWS(L$20:L2022)&gt;$F$6,"",INDEX(B$2:B$10000,SMALL(IF(ISNUMBER(MATCH($B$2:$B$10000,$E$6:$E$22,0)),ROW($C$2:$C$10000)-ROW($C$2)+1),ROWS(L$20:L2022))))</f>
        <v/>
      </c>
      <c r="I2022" s="4" t="str">
        <f t="array" ref="I2022">IF(ROWS(M$20:M2022)&gt;$F$6,"",INDEX(C$2:C$10000,SMALL(IF(ISNUMBER(MATCH($B$2:$B$10000,$E$6:$E$22,0)),ROW($C$2:$C$10000)-ROW($C$2)+1),ROWS(M$20:M2022))))</f>
        <v/>
      </c>
      <c r="K2022" s="7" t="str">
        <f t="array" ref="K2022">IF(ROWS(K$20:K2022)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2022))))</f>
        <v/>
      </c>
      <c r="L2022" s="4" t="str">
        <f t="array" ref="L2022">IF(ROWS(L$20:L2022)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2022))))</f>
        <v/>
      </c>
      <c r="M2022" s="4" t="str">
        <f t="array" ref="M2022">IF(ROWS(M$20:M2022)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2022))))</f>
        <v/>
      </c>
    </row>
    <row r="2023" spans="1:13" x14ac:dyDescent="0.25">
      <c r="A2023" s="3">
        <v>41353</v>
      </c>
      <c r="B2023" s="2" t="s">
        <v>40</v>
      </c>
      <c r="C2023" s="2">
        <v>36</v>
      </c>
      <c r="G2023" s="7" t="str">
        <f t="array" ref="G2023">IF(ROWS(K$20:K2023)&gt;$F$6,"",INDEX(A$2:A$10000,SMALL(IF(ISNUMBER(MATCH($B$2:$B$10000,$E$6:$E$22,0)),ROW($C$2:$C$10000)-ROW($C$2)+1),ROWS(K$20:K2023))))</f>
        <v/>
      </c>
      <c r="H2023" s="4" t="str">
        <f t="array" ref="H2023">IF(ROWS(L$20:L2023)&gt;$F$6,"",INDEX(B$2:B$10000,SMALL(IF(ISNUMBER(MATCH($B$2:$B$10000,$E$6:$E$22,0)),ROW($C$2:$C$10000)-ROW($C$2)+1),ROWS(L$20:L2023))))</f>
        <v/>
      </c>
      <c r="I2023" s="4" t="str">
        <f t="array" ref="I2023">IF(ROWS(M$20:M2023)&gt;$F$6,"",INDEX(C$2:C$10000,SMALL(IF(ISNUMBER(MATCH($B$2:$B$10000,$E$6:$E$22,0)),ROW($C$2:$C$10000)-ROW($C$2)+1),ROWS(M$20:M2023))))</f>
        <v/>
      </c>
      <c r="K2023" s="7" t="str">
        <f t="array" ref="K2023">IF(ROWS(K$20:K2023)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2023))))</f>
        <v/>
      </c>
      <c r="L2023" s="4" t="str">
        <f t="array" ref="L2023">IF(ROWS(L$20:L2023)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2023))))</f>
        <v/>
      </c>
      <c r="M2023" s="4" t="str">
        <f t="array" ref="M2023">IF(ROWS(M$20:M2023)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2023))))</f>
        <v/>
      </c>
    </row>
    <row r="2024" spans="1:13" x14ac:dyDescent="0.25">
      <c r="A2024" s="3">
        <v>41948</v>
      </c>
      <c r="B2024" s="2" t="s">
        <v>26</v>
      </c>
      <c r="C2024" s="2">
        <v>32</v>
      </c>
      <c r="G2024" s="7" t="str">
        <f t="array" ref="G2024">IF(ROWS(K$20:K2024)&gt;$F$6,"",INDEX(A$2:A$10000,SMALL(IF(ISNUMBER(MATCH($B$2:$B$10000,$E$6:$E$22,0)),ROW($C$2:$C$10000)-ROW($C$2)+1),ROWS(K$20:K2024))))</f>
        <v/>
      </c>
      <c r="H2024" s="4" t="str">
        <f t="array" ref="H2024">IF(ROWS(L$20:L2024)&gt;$F$6,"",INDEX(B$2:B$10000,SMALL(IF(ISNUMBER(MATCH($B$2:$B$10000,$E$6:$E$22,0)),ROW($C$2:$C$10000)-ROW($C$2)+1),ROWS(L$20:L2024))))</f>
        <v/>
      </c>
      <c r="I2024" s="4" t="str">
        <f t="array" ref="I2024">IF(ROWS(M$20:M2024)&gt;$F$6,"",INDEX(C$2:C$10000,SMALL(IF(ISNUMBER(MATCH($B$2:$B$10000,$E$6:$E$22,0)),ROW($C$2:$C$10000)-ROW($C$2)+1),ROWS(M$20:M2024))))</f>
        <v/>
      </c>
      <c r="K2024" s="7" t="str">
        <f t="array" ref="K2024">IF(ROWS(K$20:K2024)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2024))))</f>
        <v/>
      </c>
      <c r="L2024" s="4" t="str">
        <f t="array" ref="L2024">IF(ROWS(L$20:L2024)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2024))))</f>
        <v/>
      </c>
      <c r="M2024" s="4" t="str">
        <f t="array" ref="M2024">IF(ROWS(M$20:M2024)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2024))))</f>
        <v/>
      </c>
    </row>
    <row r="2025" spans="1:13" x14ac:dyDescent="0.25">
      <c r="A2025" s="3">
        <v>41813</v>
      </c>
      <c r="B2025" s="2" t="s">
        <v>27</v>
      </c>
      <c r="C2025" s="2">
        <v>44</v>
      </c>
      <c r="G2025" s="7" t="str">
        <f t="array" ref="G2025">IF(ROWS(K$20:K2025)&gt;$F$6,"",INDEX(A$2:A$10000,SMALL(IF(ISNUMBER(MATCH($B$2:$B$10000,$E$6:$E$22,0)),ROW($C$2:$C$10000)-ROW($C$2)+1),ROWS(K$20:K2025))))</f>
        <v/>
      </c>
      <c r="H2025" s="4" t="str">
        <f t="array" ref="H2025">IF(ROWS(L$20:L2025)&gt;$F$6,"",INDEX(B$2:B$10000,SMALL(IF(ISNUMBER(MATCH($B$2:$B$10000,$E$6:$E$22,0)),ROW($C$2:$C$10000)-ROW($C$2)+1),ROWS(L$20:L2025))))</f>
        <v/>
      </c>
      <c r="I2025" s="4" t="str">
        <f t="array" ref="I2025">IF(ROWS(M$20:M2025)&gt;$F$6,"",INDEX(C$2:C$10000,SMALL(IF(ISNUMBER(MATCH($B$2:$B$10000,$E$6:$E$22,0)),ROW($C$2:$C$10000)-ROW($C$2)+1),ROWS(M$20:M2025))))</f>
        <v/>
      </c>
      <c r="K2025" s="7" t="str">
        <f t="array" ref="K2025">IF(ROWS(K$20:K2025)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2025))))</f>
        <v/>
      </c>
      <c r="L2025" s="4" t="str">
        <f t="array" ref="L2025">IF(ROWS(L$20:L2025)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2025))))</f>
        <v/>
      </c>
      <c r="M2025" s="4" t="str">
        <f t="array" ref="M2025">IF(ROWS(M$20:M2025)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2025))))</f>
        <v/>
      </c>
    </row>
    <row r="2026" spans="1:13" x14ac:dyDescent="0.25">
      <c r="A2026" s="3">
        <v>41576</v>
      </c>
      <c r="B2026" s="2" t="s">
        <v>48</v>
      </c>
      <c r="C2026" s="2">
        <v>15</v>
      </c>
      <c r="G2026" s="7" t="str">
        <f t="array" ref="G2026">IF(ROWS(K$20:K2026)&gt;$F$6,"",INDEX(A$2:A$10000,SMALL(IF(ISNUMBER(MATCH($B$2:$B$10000,$E$6:$E$22,0)),ROW($C$2:$C$10000)-ROW($C$2)+1),ROWS(K$20:K2026))))</f>
        <v/>
      </c>
      <c r="H2026" s="4" t="str">
        <f t="array" ref="H2026">IF(ROWS(L$20:L2026)&gt;$F$6,"",INDEX(B$2:B$10000,SMALL(IF(ISNUMBER(MATCH($B$2:$B$10000,$E$6:$E$22,0)),ROW($C$2:$C$10000)-ROW($C$2)+1),ROWS(L$20:L2026))))</f>
        <v/>
      </c>
      <c r="I2026" s="4" t="str">
        <f t="array" ref="I2026">IF(ROWS(M$20:M2026)&gt;$F$6,"",INDEX(C$2:C$10000,SMALL(IF(ISNUMBER(MATCH($B$2:$B$10000,$E$6:$E$22,0)),ROW($C$2:$C$10000)-ROW($C$2)+1),ROWS(M$20:M2026))))</f>
        <v/>
      </c>
      <c r="K2026" s="7" t="str">
        <f t="array" ref="K2026">IF(ROWS(K$20:K2026)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2026))))</f>
        <v/>
      </c>
      <c r="L2026" s="4" t="str">
        <f t="array" ref="L2026">IF(ROWS(L$20:L2026)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2026))))</f>
        <v/>
      </c>
      <c r="M2026" s="4" t="str">
        <f t="array" ref="M2026">IF(ROWS(M$20:M2026)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2026))))</f>
        <v/>
      </c>
    </row>
    <row r="2027" spans="1:13" x14ac:dyDescent="0.25">
      <c r="A2027" s="3">
        <v>41927</v>
      </c>
      <c r="B2027" s="2" t="s">
        <v>42</v>
      </c>
      <c r="C2027" s="2">
        <v>33</v>
      </c>
      <c r="G2027" s="7" t="str">
        <f t="array" ref="G2027">IF(ROWS(K$20:K2027)&gt;$F$6,"",INDEX(A$2:A$10000,SMALL(IF(ISNUMBER(MATCH($B$2:$B$10000,$E$6:$E$22,0)),ROW($C$2:$C$10000)-ROW($C$2)+1),ROWS(K$20:K2027))))</f>
        <v/>
      </c>
      <c r="H2027" s="4" t="str">
        <f t="array" ref="H2027">IF(ROWS(L$20:L2027)&gt;$F$6,"",INDEX(B$2:B$10000,SMALL(IF(ISNUMBER(MATCH($B$2:$B$10000,$E$6:$E$22,0)),ROW($C$2:$C$10000)-ROW($C$2)+1),ROWS(L$20:L2027))))</f>
        <v/>
      </c>
      <c r="I2027" s="4" t="str">
        <f t="array" ref="I2027">IF(ROWS(M$20:M2027)&gt;$F$6,"",INDEX(C$2:C$10000,SMALL(IF(ISNUMBER(MATCH($B$2:$B$10000,$E$6:$E$22,0)),ROW($C$2:$C$10000)-ROW($C$2)+1),ROWS(M$20:M2027))))</f>
        <v/>
      </c>
      <c r="K2027" s="7" t="str">
        <f t="array" ref="K2027">IF(ROWS(K$20:K2027)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2027))))</f>
        <v/>
      </c>
      <c r="L2027" s="4" t="str">
        <f t="array" ref="L2027">IF(ROWS(L$20:L2027)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2027))))</f>
        <v/>
      </c>
      <c r="M2027" s="4" t="str">
        <f t="array" ref="M2027">IF(ROWS(M$20:M2027)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2027))))</f>
        <v/>
      </c>
    </row>
    <row r="2028" spans="1:13" x14ac:dyDescent="0.25">
      <c r="A2028" s="3">
        <v>41629</v>
      </c>
      <c r="B2028" s="2" t="s">
        <v>3</v>
      </c>
      <c r="C2028" s="2">
        <v>33</v>
      </c>
      <c r="G2028" s="7" t="str">
        <f t="array" ref="G2028">IF(ROWS(K$20:K2028)&gt;$F$6,"",INDEX(A$2:A$10000,SMALL(IF(ISNUMBER(MATCH($B$2:$B$10000,$E$6:$E$22,0)),ROW($C$2:$C$10000)-ROW($C$2)+1),ROWS(K$20:K2028))))</f>
        <v/>
      </c>
      <c r="H2028" s="4" t="str">
        <f t="array" ref="H2028">IF(ROWS(L$20:L2028)&gt;$F$6,"",INDEX(B$2:B$10000,SMALL(IF(ISNUMBER(MATCH($B$2:$B$10000,$E$6:$E$22,0)),ROW($C$2:$C$10000)-ROW($C$2)+1),ROWS(L$20:L2028))))</f>
        <v/>
      </c>
      <c r="I2028" s="4" t="str">
        <f t="array" ref="I2028">IF(ROWS(M$20:M2028)&gt;$F$6,"",INDEX(C$2:C$10000,SMALL(IF(ISNUMBER(MATCH($B$2:$B$10000,$E$6:$E$22,0)),ROW($C$2:$C$10000)-ROW($C$2)+1),ROWS(M$20:M2028))))</f>
        <v/>
      </c>
      <c r="K2028" s="7" t="str">
        <f t="array" ref="K2028">IF(ROWS(K$20:K2028)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2028))))</f>
        <v/>
      </c>
      <c r="L2028" s="4" t="str">
        <f t="array" ref="L2028">IF(ROWS(L$20:L2028)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2028))))</f>
        <v/>
      </c>
      <c r="M2028" s="4" t="str">
        <f t="array" ref="M2028">IF(ROWS(M$20:M2028)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2028))))</f>
        <v/>
      </c>
    </row>
    <row r="2029" spans="1:13" x14ac:dyDescent="0.25">
      <c r="A2029" s="3">
        <v>41716</v>
      </c>
      <c r="B2029" s="2" t="s">
        <v>15</v>
      </c>
      <c r="C2029" s="2">
        <v>26</v>
      </c>
      <c r="G2029" s="7" t="str">
        <f t="array" ref="G2029">IF(ROWS(K$20:K2029)&gt;$F$6,"",INDEX(A$2:A$10000,SMALL(IF(ISNUMBER(MATCH($B$2:$B$10000,$E$6:$E$22,0)),ROW($C$2:$C$10000)-ROW($C$2)+1),ROWS(K$20:K2029))))</f>
        <v/>
      </c>
      <c r="H2029" s="4" t="str">
        <f t="array" ref="H2029">IF(ROWS(L$20:L2029)&gt;$F$6,"",INDEX(B$2:B$10000,SMALL(IF(ISNUMBER(MATCH($B$2:$B$10000,$E$6:$E$22,0)),ROW($C$2:$C$10000)-ROW($C$2)+1),ROWS(L$20:L2029))))</f>
        <v/>
      </c>
      <c r="I2029" s="4" t="str">
        <f t="array" ref="I2029">IF(ROWS(M$20:M2029)&gt;$F$6,"",INDEX(C$2:C$10000,SMALL(IF(ISNUMBER(MATCH($B$2:$B$10000,$E$6:$E$22,0)),ROW($C$2:$C$10000)-ROW($C$2)+1),ROWS(M$20:M2029))))</f>
        <v/>
      </c>
      <c r="K2029" s="7" t="str">
        <f t="array" ref="K2029">IF(ROWS(K$20:K2029)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2029))))</f>
        <v/>
      </c>
      <c r="L2029" s="4" t="str">
        <f t="array" ref="L2029">IF(ROWS(L$20:L2029)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2029))))</f>
        <v/>
      </c>
      <c r="M2029" s="4" t="str">
        <f t="array" ref="M2029">IF(ROWS(M$20:M2029)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2029))))</f>
        <v/>
      </c>
    </row>
    <row r="2030" spans="1:13" x14ac:dyDescent="0.25">
      <c r="A2030" s="3">
        <v>41344</v>
      </c>
      <c r="B2030" s="2" t="s">
        <v>19</v>
      </c>
      <c r="C2030" s="2">
        <v>36</v>
      </c>
      <c r="G2030" s="7" t="str">
        <f t="array" ref="G2030">IF(ROWS(K$20:K2030)&gt;$F$6,"",INDEX(A$2:A$10000,SMALL(IF(ISNUMBER(MATCH($B$2:$B$10000,$E$6:$E$22,0)),ROW($C$2:$C$10000)-ROW($C$2)+1),ROWS(K$20:K2030))))</f>
        <v/>
      </c>
      <c r="H2030" s="4" t="str">
        <f t="array" ref="H2030">IF(ROWS(L$20:L2030)&gt;$F$6,"",INDEX(B$2:B$10000,SMALL(IF(ISNUMBER(MATCH($B$2:$B$10000,$E$6:$E$22,0)),ROW($C$2:$C$10000)-ROW($C$2)+1),ROWS(L$20:L2030))))</f>
        <v/>
      </c>
      <c r="I2030" s="4" t="str">
        <f t="array" ref="I2030">IF(ROWS(M$20:M2030)&gt;$F$6,"",INDEX(C$2:C$10000,SMALL(IF(ISNUMBER(MATCH($B$2:$B$10000,$E$6:$E$22,0)),ROW($C$2:$C$10000)-ROW($C$2)+1),ROWS(M$20:M2030))))</f>
        <v/>
      </c>
      <c r="K2030" s="7" t="str">
        <f t="array" ref="K2030">IF(ROWS(K$20:K2030)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2030))))</f>
        <v/>
      </c>
      <c r="L2030" s="4" t="str">
        <f t="array" ref="L2030">IF(ROWS(L$20:L2030)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2030))))</f>
        <v/>
      </c>
      <c r="M2030" s="4" t="str">
        <f t="array" ref="M2030">IF(ROWS(M$20:M2030)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2030))))</f>
        <v/>
      </c>
    </row>
    <row r="2031" spans="1:13" x14ac:dyDescent="0.25">
      <c r="A2031" s="3">
        <v>41620</v>
      </c>
      <c r="B2031" s="2" t="s">
        <v>41</v>
      </c>
      <c r="C2031" s="2">
        <v>14</v>
      </c>
      <c r="G2031" s="7" t="str">
        <f t="array" ref="G2031">IF(ROWS(K$20:K2031)&gt;$F$6,"",INDEX(A$2:A$10000,SMALL(IF(ISNUMBER(MATCH($B$2:$B$10000,$E$6:$E$22,0)),ROW($C$2:$C$10000)-ROW($C$2)+1),ROWS(K$20:K2031))))</f>
        <v/>
      </c>
      <c r="H2031" s="4" t="str">
        <f t="array" ref="H2031">IF(ROWS(L$20:L2031)&gt;$F$6,"",INDEX(B$2:B$10000,SMALL(IF(ISNUMBER(MATCH($B$2:$B$10000,$E$6:$E$22,0)),ROW($C$2:$C$10000)-ROW($C$2)+1),ROWS(L$20:L2031))))</f>
        <v/>
      </c>
      <c r="I2031" s="4" t="str">
        <f t="array" ref="I2031">IF(ROWS(M$20:M2031)&gt;$F$6,"",INDEX(C$2:C$10000,SMALL(IF(ISNUMBER(MATCH($B$2:$B$10000,$E$6:$E$22,0)),ROW($C$2:$C$10000)-ROW($C$2)+1),ROWS(M$20:M2031))))</f>
        <v/>
      </c>
      <c r="K2031" s="7" t="str">
        <f t="array" ref="K2031">IF(ROWS(K$20:K2031)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2031))))</f>
        <v/>
      </c>
      <c r="L2031" s="4" t="str">
        <f t="array" ref="L2031">IF(ROWS(L$20:L2031)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2031))))</f>
        <v/>
      </c>
      <c r="M2031" s="4" t="str">
        <f t="array" ref="M2031">IF(ROWS(M$20:M2031)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2031))))</f>
        <v/>
      </c>
    </row>
    <row r="2032" spans="1:13" x14ac:dyDescent="0.25">
      <c r="A2032" s="3">
        <v>41727</v>
      </c>
      <c r="B2032" s="2" t="s">
        <v>48</v>
      </c>
      <c r="C2032" s="2">
        <v>23</v>
      </c>
      <c r="G2032" s="7" t="str">
        <f t="array" ref="G2032">IF(ROWS(K$20:K2032)&gt;$F$6,"",INDEX(A$2:A$10000,SMALL(IF(ISNUMBER(MATCH($B$2:$B$10000,$E$6:$E$22,0)),ROW($C$2:$C$10000)-ROW($C$2)+1),ROWS(K$20:K2032))))</f>
        <v/>
      </c>
      <c r="H2032" s="4" t="str">
        <f t="array" ref="H2032">IF(ROWS(L$20:L2032)&gt;$F$6,"",INDEX(B$2:B$10000,SMALL(IF(ISNUMBER(MATCH($B$2:$B$10000,$E$6:$E$22,0)),ROW($C$2:$C$10000)-ROW($C$2)+1),ROWS(L$20:L2032))))</f>
        <v/>
      </c>
      <c r="I2032" s="4" t="str">
        <f t="array" ref="I2032">IF(ROWS(M$20:M2032)&gt;$F$6,"",INDEX(C$2:C$10000,SMALL(IF(ISNUMBER(MATCH($B$2:$B$10000,$E$6:$E$22,0)),ROW($C$2:$C$10000)-ROW($C$2)+1),ROWS(M$20:M2032))))</f>
        <v/>
      </c>
      <c r="K2032" s="7" t="str">
        <f t="array" ref="K2032">IF(ROWS(K$20:K2032)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2032))))</f>
        <v/>
      </c>
      <c r="L2032" s="4" t="str">
        <f t="array" ref="L2032">IF(ROWS(L$20:L2032)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2032))))</f>
        <v/>
      </c>
      <c r="M2032" s="4" t="str">
        <f t="array" ref="M2032">IF(ROWS(M$20:M2032)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2032))))</f>
        <v/>
      </c>
    </row>
    <row r="2033" spans="1:13" x14ac:dyDescent="0.25">
      <c r="A2033" s="3">
        <v>41549</v>
      </c>
      <c r="B2033" s="2" t="s">
        <v>7</v>
      </c>
      <c r="C2033" s="2">
        <v>28</v>
      </c>
      <c r="G2033" s="7" t="str">
        <f t="array" ref="G2033">IF(ROWS(K$20:K2033)&gt;$F$6,"",INDEX(A$2:A$10000,SMALL(IF(ISNUMBER(MATCH($B$2:$B$10000,$E$6:$E$22,0)),ROW($C$2:$C$10000)-ROW($C$2)+1),ROWS(K$20:K2033))))</f>
        <v/>
      </c>
      <c r="H2033" s="4" t="str">
        <f t="array" ref="H2033">IF(ROWS(L$20:L2033)&gt;$F$6,"",INDEX(B$2:B$10000,SMALL(IF(ISNUMBER(MATCH($B$2:$B$10000,$E$6:$E$22,0)),ROW($C$2:$C$10000)-ROW($C$2)+1),ROWS(L$20:L2033))))</f>
        <v/>
      </c>
      <c r="I2033" s="4" t="str">
        <f t="array" ref="I2033">IF(ROWS(M$20:M2033)&gt;$F$6,"",INDEX(C$2:C$10000,SMALL(IF(ISNUMBER(MATCH($B$2:$B$10000,$E$6:$E$22,0)),ROW($C$2:$C$10000)-ROW($C$2)+1),ROWS(M$20:M2033))))</f>
        <v/>
      </c>
      <c r="K2033" s="7" t="str">
        <f t="array" ref="K2033">IF(ROWS(K$20:K2033)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2033))))</f>
        <v/>
      </c>
      <c r="L2033" s="4" t="str">
        <f t="array" ref="L2033">IF(ROWS(L$20:L2033)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2033))))</f>
        <v/>
      </c>
      <c r="M2033" s="4" t="str">
        <f t="array" ref="M2033">IF(ROWS(M$20:M2033)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2033))))</f>
        <v/>
      </c>
    </row>
    <row r="2034" spans="1:13" x14ac:dyDescent="0.25">
      <c r="A2034" s="3">
        <v>41767</v>
      </c>
      <c r="B2034" s="2" t="s">
        <v>12</v>
      </c>
      <c r="C2034" s="2">
        <v>21</v>
      </c>
      <c r="G2034" s="7" t="str">
        <f t="array" ref="G2034">IF(ROWS(K$20:K2034)&gt;$F$6,"",INDEX(A$2:A$10000,SMALL(IF(ISNUMBER(MATCH($B$2:$B$10000,$E$6:$E$22,0)),ROW($C$2:$C$10000)-ROW($C$2)+1),ROWS(K$20:K2034))))</f>
        <v/>
      </c>
      <c r="H2034" s="4" t="str">
        <f t="array" ref="H2034">IF(ROWS(L$20:L2034)&gt;$F$6,"",INDEX(B$2:B$10000,SMALL(IF(ISNUMBER(MATCH($B$2:$B$10000,$E$6:$E$22,0)),ROW($C$2:$C$10000)-ROW($C$2)+1),ROWS(L$20:L2034))))</f>
        <v/>
      </c>
      <c r="I2034" s="4" t="str">
        <f t="array" ref="I2034">IF(ROWS(M$20:M2034)&gt;$F$6,"",INDEX(C$2:C$10000,SMALL(IF(ISNUMBER(MATCH($B$2:$B$10000,$E$6:$E$22,0)),ROW($C$2:$C$10000)-ROW($C$2)+1),ROWS(M$20:M2034))))</f>
        <v/>
      </c>
      <c r="K2034" s="7" t="str">
        <f t="array" ref="K2034">IF(ROWS(K$20:K2034)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2034))))</f>
        <v/>
      </c>
      <c r="L2034" s="4" t="str">
        <f t="array" ref="L2034">IF(ROWS(L$20:L2034)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2034))))</f>
        <v/>
      </c>
      <c r="M2034" s="4" t="str">
        <f t="array" ref="M2034">IF(ROWS(M$20:M2034)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2034))))</f>
        <v/>
      </c>
    </row>
    <row r="2035" spans="1:13" x14ac:dyDescent="0.25">
      <c r="A2035" s="3">
        <v>41997</v>
      </c>
      <c r="B2035" s="2" t="s">
        <v>14</v>
      </c>
      <c r="C2035" s="2">
        <v>23</v>
      </c>
      <c r="G2035" s="7" t="str">
        <f t="array" ref="G2035">IF(ROWS(K$20:K2035)&gt;$F$6,"",INDEX(A$2:A$10000,SMALL(IF(ISNUMBER(MATCH($B$2:$B$10000,$E$6:$E$22,0)),ROW($C$2:$C$10000)-ROW($C$2)+1),ROWS(K$20:K2035))))</f>
        <v/>
      </c>
      <c r="H2035" s="4" t="str">
        <f t="array" ref="H2035">IF(ROWS(L$20:L2035)&gt;$F$6,"",INDEX(B$2:B$10000,SMALL(IF(ISNUMBER(MATCH($B$2:$B$10000,$E$6:$E$22,0)),ROW($C$2:$C$10000)-ROW($C$2)+1),ROWS(L$20:L2035))))</f>
        <v/>
      </c>
      <c r="I2035" s="4" t="str">
        <f t="array" ref="I2035">IF(ROWS(M$20:M2035)&gt;$F$6,"",INDEX(C$2:C$10000,SMALL(IF(ISNUMBER(MATCH($B$2:$B$10000,$E$6:$E$22,0)),ROW($C$2:$C$10000)-ROW($C$2)+1),ROWS(M$20:M2035))))</f>
        <v/>
      </c>
      <c r="K2035" s="7" t="str">
        <f t="array" ref="K2035">IF(ROWS(K$20:K2035)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2035))))</f>
        <v/>
      </c>
      <c r="L2035" s="4" t="str">
        <f t="array" ref="L2035">IF(ROWS(L$20:L2035)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2035))))</f>
        <v/>
      </c>
      <c r="M2035" s="4" t="str">
        <f t="array" ref="M2035">IF(ROWS(M$20:M2035)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2035))))</f>
        <v/>
      </c>
    </row>
    <row r="2036" spans="1:13" x14ac:dyDescent="0.25">
      <c r="A2036" s="3">
        <v>41356</v>
      </c>
      <c r="B2036" s="2" t="s">
        <v>35</v>
      </c>
      <c r="C2036" s="2">
        <v>43</v>
      </c>
      <c r="G2036" s="7" t="str">
        <f t="array" ref="G2036">IF(ROWS(K$20:K2036)&gt;$F$6,"",INDEX(A$2:A$10000,SMALL(IF(ISNUMBER(MATCH($B$2:$B$10000,$E$6:$E$22,0)),ROW($C$2:$C$10000)-ROW($C$2)+1),ROWS(K$20:K2036))))</f>
        <v/>
      </c>
      <c r="H2036" s="4" t="str">
        <f t="array" ref="H2036">IF(ROWS(L$20:L2036)&gt;$F$6,"",INDEX(B$2:B$10000,SMALL(IF(ISNUMBER(MATCH($B$2:$B$10000,$E$6:$E$22,0)),ROW($C$2:$C$10000)-ROW($C$2)+1),ROWS(L$20:L2036))))</f>
        <v/>
      </c>
      <c r="I2036" s="4" t="str">
        <f t="array" ref="I2036">IF(ROWS(M$20:M2036)&gt;$F$6,"",INDEX(C$2:C$10000,SMALL(IF(ISNUMBER(MATCH($B$2:$B$10000,$E$6:$E$22,0)),ROW($C$2:$C$10000)-ROW($C$2)+1),ROWS(M$20:M2036))))</f>
        <v/>
      </c>
      <c r="K2036" s="7" t="str">
        <f t="array" ref="K2036">IF(ROWS(K$20:K2036)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2036))))</f>
        <v/>
      </c>
      <c r="L2036" s="4" t="str">
        <f t="array" ref="L2036">IF(ROWS(L$20:L2036)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2036))))</f>
        <v/>
      </c>
      <c r="M2036" s="4" t="str">
        <f t="array" ref="M2036">IF(ROWS(M$20:M2036)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2036))))</f>
        <v/>
      </c>
    </row>
    <row r="2037" spans="1:13" x14ac:dyDescent="0.25">
      <c r="A2037" s="3">
        <v>41693</v>
      </c>
      <c r="B2037" s="2" t="s">
        <v>32</v>
      </c>
      <c r="C2037" s="2">
        <v>25</v>
      </c>
      <c r="G2037" s="7" t="str">
        <f t="array" ref="G2037">IF(ROWS(K$20:K2037)&gt;$F$6,"",INDEX(A$2:A$10000,SMALL(IF(ISNUMBER(MATCH($B$2:$B$10000,$E$6:$E$22,0)),ROW($C$2:$C$10000)-ROW($C$2)+1),ROWS(K$20:K2037))))</f>
        <v/>
      </c>
      <c r="H2037" s="4" t="str">
        <f t="array" ref="H2037">IF(ROWS(L$20:L2037)&gt;$F$6,"",INDEX(B$2:B$10000,SMALL(IF(ISNUMBER(MATCH($B$2:$B$10000,$E$6:$E$22,0)),ROW($C$2:$C$10000)-ROW($C$2)+1),ROWS(L$20:L2037))))</f>
        <v/>
      </c>
      <c r="I2037" s="4" t="str">
        <f t="array" ref="I2037">IF(ROWS(M$20:M2037)&gt;$F$6,"",INDEX(C$2:C$10000,SMALL(IF(ISNUMBER(MATCH($B$2:$B$10000,$E$6:$E$22,0)),ROW($C$2:$C$10000)-ROW($C$2)+1),ROWS(M$20:M2037))))</f>
        <v/>
      </c>
      <c r="K2037" s="7" t="str">
        <f t="array" ref="K2037">IF(ROWS(K$20:K2037)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2037))))</f>
        <v/>
      </c>
      <c r="L2037" s="4" t="str">
        <f t="array" ref="L2037">IF(ROWS(L$20:L2037)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2037))))</f>
        <v/>
      </c>
      <c r="M2037" s="4" t="str">
        <f t="array" ref="M2037">IF(ROWS(M$20:M2037)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2037))))</f>
        <v/>
      </c>
    </row>
    <row r="2038" spans="1:13" x14ac:dyDescent="0.25">
      <c r="A2038" s="3">
        <v>41934</v>
      </c>
      <c r="B2038" s="2" t="s">
        <v>9</v>
      </c>
      <c r="C2038" s="2">
        <v>22</v>
      </c>
      <c r="G2038" s="7" t="str">
        <f t="array" ref="G2038">IF(ROWS(K$20:K2038)&gt;$F$6,"",INDEX(A$2:A$10000,SMALL(IF(ISNUMBER(MATCH($B$2:$B$10000,$E$6:$E$22,0)),ROW($C$2:$C$10000)-ROW($C$2)+1),ROWS(K$20:K2038))))</f>
        <v/>
      </c>
      <c r="H2038" s="4" t="str">
        <f t="array" ref="H2038">IF(ROWS(L$20:L2038)&gt;$F$6,"",INDEX(B$2:B$10000,SMALL(IF(ISNUMBER(MATCH($B$2:$B$10000,$E$6:$E$22,0)),ROW($C$2:$C$10000)-ROW($C$2)+1),ROWS(L$20:L2038))))</f>
        <v/>
      </c>
      <c r="I2038" s="4" t="str">
        <f t="array" ref="I2038">IF(ROWS(M$20:M2038)&gt;$F$6,"",INDEX(C$2:C$10000,SMALL(IF(ISNUMBER(MATCH($B$2:$B$10000,$E$6:$E$22,0)),ROW($C$2:$C$10000)-ROW($C$2)+1),ROWS(M$20:M2038))))</f>
        <v/>
      </c>
      <c r="K2038" s="7" t="str">
        <f t="array" ref="K2038">IF(ROWS(K$20:K2038)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2038))))</f>
        <v/>
      </c>
      <c r="L2038" s="4" t="str">
        <f t="array" ref="L2038">IF(ROWS(L$20:L2038)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2038))))</f>
        <v/>
      </c>
      <c r="M2038" s="4" t="str">
        <f t="array" ref="M2038">IF(ROWS(M$20:M2038)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2038))))</f>
        <v/>
      </c>
    </row>
    <row r="2039" spans="1:13" x14ac:dyDescent="0.25">
      <c r="A2039" s="3">
        <v>41410</v>
      </c>
      <c r="B2039" s="2" t="s">
        <v>14</v>
      </c>
      <c r="C2039" s="2">
        <v>21</v>
      </c>
      <c r="G2039" s="7" t="str">
        <f t="array" ref="G2039">IF(ROWS(K$20:K2039)&gt;$F$6,"",INDEX(A$2:A$10000,SMALL(IF(ISNUMBER(MATCH($B$2:$B$10000,$E$6:$E$22,0)),ROW($C$2:$C$10000)-ROW($C$2)+1),ROWS(K$20:K2039))))</f>
        <v/>
      </c>
      <c r="H2039" s="4" t="str">
        <f t="array" ref="H2039">IF(ROWS(L$20:L2039)&gt;$F$6,"",INDEX(B$2:B$10000,SMALL(IF(ISNUMBER(MATCH($B$2:$B$10000,$E$6:$E$22,0)),ROW($C$2:$C$10000)-ROW($C$2)+1),ROWS(L$20:L2039))))</f>
        <v/>
      </c>
      <c r="I2039" s="4" t="str">
        <f t="array" ref="I2039">IF(ROWS(M$20:M2039)&gt;$F$6,"",INDEX(C$2:C$10000,SMALL(IF(ISNUMBER(MATCH($B$2:$B$10000,$E$6:$E$22,0)),ROW($C$2:$C$10000)-ROW($C$2)+1),ROWS(M$20:M2039))))</f>
        <v/>
      </c>
      <c r="K2039" s="7" t="str">
        <f t="array" ref="K2039">IF(ROWS(K$20:K2039)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2039))))</f>
        <v/>
      </c>
      <c r="L2039" s="4" t="str">
        <f t="array" ref="L2039">IF(ROWS(L$20:L2039)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2039))))</f>
        <v/>
      </c>
      <c r="M2039" s="4" t="str">
        <f t="array" ref="M2039">IF(ROWS(M$20:M2039)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2039))))</f>
        <v/>
      </c>
    </row>
    <row r="2040" spans="1:13" x14ac:dyDescent="0.25">
      <c r="A2040" s="3">
        <v>41427</v>
      </c>
      <c r="B2040" s="2" t="s">
        <v>27</v>
      </c>
      <c r="C2040" s="2">
        <v>19</v>
      </c>
      <c r="G2040" s="7" t="str">
        <f t="array" ref="G2040">IF(ROWS(K$20:K2040)&gt;$F$6,"",INDEX(A$2:A$10000,SMALL(IF(ISNUMBER(MATCH($B$2:$B$10000,$E$6:$E$22,0)),ROW($C$2:$C$10000)-ROW($C$2)+1),ROWS(K$20:K2040))))</f>
        <v/>
      </c>
      <c r="H2040" s="4" t="str">
        <f t="array" ref="H2040">IF(ROWS(L$20:L2040)&gt;$F$6,"",INDEX(B$2:B$10000,SMALL(IF(ISNUMBER(MATCH($B$2:$B$10000,$E$6:$E$22,0)),ROW($C$2:$C$10000)-ROW($C$2)+1),ROWS(L$20:L2040))))</f>
        <v/>
      </c>
      <c r="I2040" s="4" t="str">
        <f t="array" ref="I2040">IF(ROWS(M$20:M2040)&gt;$F$6,"",INDEX(C$2:C$10000,SMALL(IF(ISNUMBER(MATCH($B$2:$B$10000,$E$6:$E$22,0)),ROW($C$2:$C$10000)-ROW($C$2)+1),ROWS(M$20:M2040))))</f>
        <v/>
      </c>
      <c r="K2040" s="7" t="str">
        <f t="array" ref="K2040">IF(ROWS(K$20:K2040)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2040))))</f>
        <v/>
      </c>
      <c r="L2040" s="4" t="str">
        <f t="array" ref="L2040">IF(ROWS(L$20:L2040)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2040))))</f>
        <v/>
      </c>
      <c r="M2040" s="4" t="str">
        <f t="array" ref="M2040">IF(ROWS(M$20:M2040)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2040))))</f>
        <v/>
      </c>
    </row>
    <row r="2041" spans="1:13" x14ac:dyDescent="0.25">
      <c r="A2041" s="3">
        <v>41448</v>
      </c>
      <c r="B2041" s="2" t="s">
        <v>12</v>
      </c>
      <c r="C2041" s="2">
        <v>1</v>
      </c>
      <c r="G2041" s="7" t="str">
        <f t="array" ref="G2041">IF(ROWS(K$20:K2041)&gt;$F$6,"",INDEX(A$2:A$10000,SMALL(IF(ISNUMBER(MATCH($B$2:$B$10000,$E$6:$E$22,0)),ROW($C$2:$C$10000)-ROW($C$2)+1),ROWS(K$20:K2041))))</f>
        <v/>
      </c>
      <c r="H2041" s="4" t="str">
        <f t="array" ref="H2041">IF(ROWS(L$20:L2041)&gt;$F$6,"",INDEX(B$2:B$10000,SMALL(IF(ISNUMBER(MATCH($B$2:$B$10000,$E$6:$E$22,0)),ROW($C$2:$C$10000)-ROW($C$2)+1),ROWS(L$20:L2041))))</f>
        <v/>
      </c>
      <c r="I2041" s="4" t="str">
        <f t="array" ref="I2041">IF(ROWS(M$20:M2041)&gt;$F$6,"",INDEX(C$2:C$10000,SMALL(IF(ISNUMBER(MATCH($B$2:$B$10000,$E$6:$E$22,0)),ROW($C$2:$C$10000)-ROW($C$2)+1),ROWS(M$20:M2041))))</f>
        <v/>
      </c>
      <c r="K2041" s="7" t="str">
        <f t="array" ref="K2041">IF(ROWS(K$20:K2041)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2041))))</f>
        <v/>
      </c>
      <c r="L2041" s="4" t="str">
        <f t="array" ref="L2041">IF(ROWS(L$20:L2041)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2041))))</f>
        <v/>
      </c>
      <c r="M2041" s="4" t="str">
        <f t="array" ref="M2041">IF(ROWS(M$20:M2041)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2041))))</f>
        <v/>
      </c>
    </row>
    <row r="2042" spans="1:13" x14ac:dyDescent="0.25">
      <c r="A2042" s="3">
        <v>42002</v>
      </c>
      <c r="B2042" s="2" t="s">
        <v>5</v>
      </c>
      <c r="C2042" s="2">
        <v>34</v>
      </c>
      <c r="G2042" s="7" t="str">
        <f t="array" ref="G2042">IF(ROWS(K$20:K2042)&gt;$F$6,"",INDEX(A$2:A$10000,SMALL(IF(ISNUMBER(MATCH($B$2:$B$10000,$E$6:$E$22,0)),ROW($C$2:$C$10000)-ROW($C$2)+1),ROWS(K$20:K2042))))</f>
        <v/>
      </c>
      <c r="H2042" s="4" t="str">
        <f t="array" ref="H2042">IF(ROWS(L$20:L2042)&gt;$F$6,"",INDEX(B$2:B$10000,SMALL(IF(ISNUMBER(MATCH($B$2:$B$10000,$E$6:$E$22,0)),ROW($C$2:$C$10000)-ROW($C$2)+1),ROWS(L$20:L2042))))</f>
        <v/>
      </c>
      <c r="I2042" s="4" t="str">
        <f t="array" ref="I2042">IF(ROWS(M$20:M2042)&gt;$F$6,"",INDEX(C$2:C$10000,SMALL(IF(ISNUMBER(MATCH($B$2:$B$10000,$E$6:$E$22,0)),ROW($C$2:$C$10000)-ROW($C$2)+1),ROWS(M$20:M2042))))</f>
        <v/>
      </c>
      <c r="K2042" s="7" t="str">
        <f t="array" ref="K2042">IF(ROWS(K$20:K2042)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2042))))</f>
        <v/>
      </c>
      <c r="L2042" s="4" t="str">
        <f t="array" ref="L2042">IF(ROWS(L$20:L2042)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2042))))</f>
        <v/>
      </c>
      <c r="M2042" s="4" t="str">
        <f t="array" ref="M2042">IF(ROWS(M$20:M2042)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2042))))</f>
        <v/>
      </c>
    </row>
    <row r="2043" spans="1:13" x14ac:dyDescent="0.25">
      <c r="A2043" s="3">
        <v>41280</v>
      </c>
      <c r="B2043" s="2" t="s">
        <v>50</v>
      </c>
      <c r="C2043" s="2">
        <v>13</v>
      </c>
      <c r="G2043" s="7" t="str">
        <f t="array" ref="G2043">IF(ROWS(K$20:K2043)&gt;$F$6,"",INDEX(A$2:A$10000,SMALL(IF(ISNUMBER(MATCH($B$2:$B$10000,$E$6:$E$22,0)),ROW($C$2:$C$10000)-ROW($C$2)+1),ROWS(K$20:K2043))))</f>
        <v/>
      </c>
      <c r="H2043" s="4" t="str">
        <f t="array" ref="H2043">IF(ROWS(L$20:L2043)&gt;$F$6,"",INDEX(B$2:B$10000,SMALL(IF(ISNUMBER(MATCH($B$2:$B$10000,$E$6:$E$22,0)),ROW($C$2:$C$10000)-ROW($C$2)+1),ROWS(L$20:L2043))))</f>
        <v/>
      </c>
      <c r="I2043" s="4" t="str">
        <f t="array" ref="I2043">IF(ROWS(M$20:M2043)&gt;$F$6,"",INDEX(C$2:C$10000,SMALL(IF(ISNUMBER(MATCH($B$2:$B$10000,$E$6:$E$22,0)),ROW($C$2:$C$10000)-ROW($C$2)+1),ROWS(M$20:M2043))))</f>
        <v/>
      </c>
      <c r="K2043" s="7" t="str">
        <f t="array" ref="K2043">IF(ROWS(K$20:K2043)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2043))))</f>
        <v/>
      </c>
      <c r="L2043" s="4" t="str">
        <f t="array" ref="L2043">IF(ROWS(L$20:L2043)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2043))))</f>
        <v/>
      </c>
      <c r="M2043" s="4" t="str">
        <f t="array" ref="M2043">IF(ROWS(M$20:M2043)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2043))))</f>
        <v/>
      </c>
    </row>
    <row r="2044" spans="1:13" x14ac:dyDescent="0.25">
      <c r="A2044" s="3">
        <v>41280</v>
      </c>
      <c r="B2044" s="2" t="s">
        <v>34</v>
      </c>
      <c r="C2044" s="2">
        <v>42</v>
      </c>
      <c r="G2044" s="7" t="str">
        <f t="array" ref="G2044">IF(ROWS(K$20:K2044)&gt;$F$6,"",INDEX(A$2:A$10000,SMALL(IF(ISNUMBER(MATCH($B$2:$B$10000,$E$6:$E$22,0)),ROW($C$2:$C$10000)-ROW($C$2)+1),ROWS(K$20:K2044))))</f>
        <v/>
      </c>
      <c r="H2044" s="4" t="str">
        <f t="array" ref="H2044">IF(ROWS(L$20:L2044)&gt;$F$6,"",INDEX(B$2:B$10000,SMALL(IF(ISNUMBER(MATCH($B$2:$B$10000,$E$6:$E$22,0)),ROW($C$2:$C$10000)-ROW($C$2)+1),ROWS(L$20:L2044))))</f>
        <v/>
      </c>
      <c r="I2044" s="4" t="str">
        <f t="array" ref="I2044">IF(ROWS(M$20:M2044)&gt;$F$6,"",INDEX(C$2:C$10000,SMALL(IF(ISNUMBER(MATCH($B$2:$B$10000,$E$6:$E$22,0)),ROW($C$2:$C$10000)-ROW($C$2)+1),ROWS(M$20:M2044))))</f>
        <v/>
      </c>
      <c r="K2044" s="7" t="str">
        <f t="array" ref="K2044">IF(ROWS(K$20:K2044)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2044))))</f>
        <v/>
      </c>
      <c r="L2044" s="4" t="str">
        <f t="array" ref="L2044">IF(ROWS(L$20:L2044)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2044))))</f>
        <v/>
      </c>
      <c r="M2044" s="4" t="str">
        <f t="array" ref="M2044">IF(ROWS(M$20:M2044)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2044))))</f>
        <v/>
      </c>
    </row>
    <row r="2045" spans="1:13" x14ac:dyDescent="0.25">
      <c r="A2045" s="3">
        <v>41913</v>
      </c>
      <c r="B2045" s="2" t="s">
        <v>40</v>
      </c>
      <c r="C2045" s="2">
        <v>12</v>
      </c>
      <c r="G2045" s="7" t="str">
        <f t="array" ref="G2045">IF(ROWS(K$20:K2045)&gt;$F$6,"",INDEX(A$2:A$10000,SMALL(IF(ISNUMBER(MATCH($B$2:$B$10000,$E$6:$E$22,0)),ROW($C$2:$C$10000)-ROW($C$2)+1),ROWS(K$20:K2045))))</f>
        <v/>
      </c>
      <c r="H2045" s="4" t="str">
        <f t="array" ref="H2045">IF(ROWS(L$20:L2045)&gt;$F$6,"",INDEX(B$2:B$10000,SMALL(IF(ISNUMBER(MATCH($B$2:$B$10000,$E$6:$E$22,0)),ROW($C$2:$C$10000)-ROW($C$2)+1),ROWS(L$20:L2045))))</f>
        <v/>
      </c>
      <c r="I2045" s="4" t="str">
        <f t="array" ref="I2045">IF(ROWS(M$20:M2045)&gt;$F$6,"",INDEX(C$2:C$10000,SMALL(IF(ISNUMBER(MATCH($B$2:$B$10000,$E$6:$E$22,0)),ROW($C$2:$C$10000)-ROW($C$2)+1),ROWS(M$20:M2045))))</f>
        <v/>
      </c>
      <c r="K2045" s="7" t="str">
        <f t="array" ref="K2045">IF(ROWS(K$20:K2045)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2045))))</f>
        <v/>
      </c>
      <c r="L2045" s="4" t="str">
        <f t="array" ref="L2045">IF(ROWS(L$20:L2045)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2045))))</f>
        <v/>
      </c>
      <c r="M2045" s="4" t="str">
        <f t="array" ref="M2045">IF(ROWS(M$20:M2045)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2045))))</f>
        <v/>
      </c>
    </row>
    <row r="2046" spans="1:13" x14ac:dyDescent="0.25">
      <c r="A2046" s="3">
        <v>41534</v>
      </c>
      <c r="B2046" s="2" t="s">
        <v>37</v>
      </c>
      <c r="C2046" s="2">
        <v>2</v>
      </c>
      <c r="G2046" s="7" t="str">
        <f t="array" ref="G2046">IF(ROWS(K$20:K2046)&gt;$F$6,"",INDEX(A$2:A$10000,SMALL(IF(ISNUMBER(MATCH($B$2:$B$10000,$E$6:$E$22,0)),ROW($C$2:$C$10000)-ROW($C$2)+1),ROWS(K$20:K2046))))</f>
        <v/>
      </c>
      <c r="H2046" s="4" t="str">
        <f t="array" ref="H2046">IF(ROWS(L$20:L2046)&gt;$F$6,"",INDEX(B$2:B$10000,SMALL(IF(ISNUMBER(MATCH($B$2:$B$10000,$E$6:$E$22,0)),ROW($C$2:$C$10000)-ROW($C$2)+1),ROWS(L$20:L2046))))</f>
        <v/>
      </c>
      <c r="I2046" s="4" t="str">
        <f t="array" ref="I2046">IF(ROWS(M$20:M2046)&gt;$F$6,"",INDEX(C$2:C$10000,SMALL(IF(ISNUMBER(MATCH($B$2:$B$10000,$E$6:$E$22,0)),ROW($C$2:$C$10000)-ROW($C$2)+1),ROWS(M$20:M2046))))</f>
        <v/>
      </c>
      <c r="K2046" s="7" t="str">
        <f t="array" ref="K2046">IF(ROWS(K$20:K2046)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2046))))</f>
        <v/>
      </c>
      <c r="L2046" s="4" t="str">
        <f t="array" ref="L2046">IF(ROWS(L$20:L2046)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2046))))</f>
        <v/>
      </c>
      <c r="M2046" s="4" t="str">
        <f t="array" ref="M2046">IF(ROWS(M$20:M2046)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2046))))</f>
        <v/>
      </c>
    </row>
    <row r="2047" spans="1:13" x14ac:dyDescent="0.25">
      <c r="A2047" s="3">
        <v>41306</v>
      </c>
      <c r="B2047" s="2" t="s">
        <v>21</v>
      </c>
      <c r="C2047" s="2">
        <v>44</v>
      </c>
      <c r="G2047" s="7" t="str">
        <f t="array" ref="G2047">IF(ROWS(K$20:K2047)&gt;$F$6,"",INDEX(A$2:A$10000,SMALL(IF(ISNUMBER(MATCH($B$2:$B$10000,$E$6:$E$22,0)),ROW($C$2:$C$10000)-ROW($C$2)+1),ROWS(K$20:K2047))))</f>
        <v/>
      </c>
      <c r="H2047" s="4" t="str">
        <f t="array" ref="H2047">IF(ROWS(L$20:L2047)&gt;$F$6,"",INDEX(B$2:B$10000,SMALL(IF(ISNUMBER(MATCH($B$2:$B$10000,$E$6:$E$22,0)),ROW($C$2:$C$10000)-ROW($C$2)+1),ROWS(L$20:L2047))))</f>
        <v/>
      </c>
      <c r="I2047" s="4" t="str">
        <f t="array" ref="I2047">IF(ROWS(M$20:M2047)&gt;$F$6,"",INDEX(C$2:C$10000,SMALL(IF(ISNUMBER(MATCH($B$2:$B$10000,$E$6:$E$22,0)),ROW($C$2:$C$10000)-ROW($C$2)+1),ROWS(M$20:M2047))))</f>
        <v/>
      </c>
      <c r="K2047" s="7" t="str">
        <f t="array" ref="K2047">IF(ROWS(K$20:K2047)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2047))))</f>
        <v/>
      </c>
      <c r="L2047" s="4" t="str">
        <f t="array" ref="L2047">IF(ROWS(L$20:L2047)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2047))))</f>
        <v/>
      </c>
      <c r="M2047" s="4" t="str">
        <f t="array" ref="M2047">IF(ROWS(M$20:M2047)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2047))))</f>
        <v/>
      </c>
    </row>
    <row r="2048" spans="1:13" x14ac:dyDescent="0.25">
      <c r="A2048" s="3">
        <v>41498</v>
      </c>
      <c r="B2048" s="2" t="s">
        <v>51</v>
      </c>
      <c r="C2048" s="2">
        <v>33</v>
      </c>
      <c r="G2048" s="7" t="str">
        <f t="array" ref="G2048">IF(ROWS(K$20:K2048)&gt;$F$6,"",INDEX(A$2:A$10000,SMALL(IF(ISNUMBER(MATCH($B$2:$B$10000,$E$6:$E$22,0)),ROW($C$2:$C$10000)-ROW($C$2)+1),ROWS(K$20:K2048))))</f>
        <v/>
      </c>
      <c r="H2048" s="4" t="str">
        <f t="array" ref="H2048">IF(ROWS(L$20:L2048)&gt;$F$6,"",INDEX(B$2:B$10000,SMALL(IF(ISNUMBER(MATCH($B$2:$B$10000,$E$6:$E$22,0)),ROW($C$2:$C$10000)-ROW($C$2)+1),ROWS(L$20:L2048))))</f>
        <v/>
      </c>
      <c r="I2048" s="4" t="str">
        <f t="array" ref="I2048">IF(ROWS(M$20:M2048)&gt;$F$6,"",INDEX(C$2:C$10000,SMALL(IF(ISNUMBER(MATCH($B$2:$B$10000,$E$6:$E$22,0)),ROW($C$2:$C$10000)-ROW($C$2)+1),ROWS(M$20:M2048))))</f>
        <v/>
      </c>
      <c r="K2048" s="7" t="str">
        <f t="array" ref="K2048">IF(ROWS(K$20:K2048)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2048))))</f>
        <v/>
      </c>
      <c r="L2048" s="4" t="str">
        <f t="array" ref="L2048">IF(ROWS(L$20:L2048)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2048))))</f>
        <v/>
      </c>
      <c r="M2048" s="4" t="str">
        <f t="array" ref="M2048">IF(ROWS(M$20:M2048)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2048))))</f>
        <v/>
      </c>
    </row>
    <row r="2049" spans="1:13" x14ac:dyDescent="0.25">
      <c r="A2049" s="3">
        <v>41716</v>
      </c>
      <c r="B2049" s="2" t="s">
        <v>4</v>
      </c>
      <c r="C2049" s="2">
        <v>52</v>
      </c>
      <c r="G2049" s="7" t="str">
        <f t="array" ref="G2049">IF(ROWS(K$20:K2049)&gt;$F$6,"",INDEX(A$2:A$10000,SMALL(IF(ISNUMBER(MATCH($B$2:$B$10000,$E$6:$E$22,0)),ROW($C$2:$C$10000)-ROW($C$2)+1),ROWS(K$20:K2049))))</f>
        <v/>
      </c>
      <c r="H2049" s="4" t="str">
        <f t="array" ref="H2049">IF(ROWS(L$20:L2049)&gt;$F$6,"",INDEX(B$2:B$10000,SMALL(IF(ISNUMBER(MATCH($B$2:$B$10000,$E$6:$E$22,0)),ROW($C$2:$C$10000)-ROW($C$2)+1),ROWS(L$20:L2049))))</f>
        <v/>
      </c>
      <c r="I2049" s="4" t="str">
        <f t="array" ref="I2049">IF(ROWS(M$20:M2049)&gt;$F$6,"",INDEX(C$2:C$10000,SMALL(IF(ISNUMBER(MATCH($B$2:$B$10000,$E$6:$E$22,0)),ROW($C$2:$C$10000)-ROW($C$2)+1),ROWS(M$20:M2049))))</f>
        <v/>
      </c>
      <c r="K2049" s="7" t="str">
        <f t="array" ref="K2049">IF(ROWS(K$20:K2049)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2049))))</f>
        <v/>
      </c>
      <c r="L2049" s="4" t="str">
        <f t="array" ref="L2049">IF(ROWS(L$20:L2049)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2049))))</f>
        <v/>
      </c>
      <c r="M2049" s="4" t="str">
        <f t="array" ref="M2049">IF(ROWS(M$20:M2049)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2049))))</f>
        <v/>
      </c>
    </row>
    <row r="2050" spans="1:13" x14ac:dyDescent="0.25">
      <c r="A2050" s="3">
        <v>41857</v>
      </c>
      <c r="B2050" s="2" t="s">
        <v>5</v>
      </c>
      <c r="C2050" s="2">
        <v>39</v>
      </c>
      <c r="G2050" s="7" t="str">
        <f t="array" ref="G2050">IF(ROWS(K$20:K2050)&gt;$F$6,"",INDEX(A$2:A$10000,SMALL(IF(ISNUMBER(MATCH($B$2:$B$10000,$E$6:$E$22,0)),ROW($C$2:$C$10000)-ROW($C$2)+1),ROWS(K$20:K2050))))</f>
        <v/>
      </c>
      <c r="H2050" s="4" t="str">
        <f t="array" ref="H2050">IF(ROWS(L$20:L2050)&gt;$F$6,"",INDEX(B$2:B$10000,SMALL(IF(ISNUMBER(MATCH($B$2:$B$10000,$E$6:$E$22,0)),ROW($C$2:$C$10000)-ROW($C$2)+1),ROWS(L$20:L2050))))</f>
        <v/>
      </c>
      <c r="I2050" s="4" t="str">
        <f t="array" ref="I2050">IF(ROWS(M$20:M2050)&gt;$F$6,"",INDEX(C$2:C$10000,SMALL(IF(ISNUMBER(MATCH($B$2:$B$10000,$E$6:$E$22,0)),ROW($C$2:$C$10000)-ROW($C$2)+1),ROWS(M$20:M2050))))</f>
        <v/>
      </c>
      <c r="K2050" s="7" t="str">
        <f t="array" ref="K2050">IF(ROWS(K$20:K2050)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2050))))</f>
        <v/>
      </c>
      <c r="L2050" s="4" t="str">
        <f t="array" ref="L2050">IF(ROWS(L$20:L2050)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2050))))</f>
        <v/>
      </c>
      <c r="M2050" s="4" t="str">
        <f t="array" ref="M2050">IF(ROWS(M$20:M2050)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2050))))</f>
        <v/>
      </c>
    </row>
    <row r="2051" spans="1:13" x14ac:dyDescent="0.25">
      <c r="A2051" s="3">
        <v>41293</v>
      </c>
      <c r="B2051" s="2" t="s">
        <v>19</v>
      </c>
      <c r="C2051" s="2">
        <v>26</v>
      </c>
      <c r="G2051" s="7" t="str">
        <f t="array" ref="G2051">IF(ROWS(K$20:K2051)&gt;$F$6,"",INDEX(A$2:A$10000,SMALL(IF(ISNUMBER(MATCH($B$2:$B$10000,$E$6:$E$22,0)),ROW($C$2:$C$10000)-ROW($C$2)+1),ROWS(K$20:K2051))))</f>
        <v/>
      </c>
      <c r="H2051" s="4" t="str">
        <f t="array" ref="H2051">IF(ROWS(L$20:L2051)&gt;$F$6,"",INDEX(B$2:B$10000,SMALL(IF(ISNUMBER(MATCH($B$2:$B$10000,$E$6:$E$22,0)),ROW($C$2:$C$10000)-ROW($C$2)+1),ROWS(L$20:L2051))))</f>
        <v/>
      </c>
      <c r="I2051" s="4" t="str">
        <f t="array" ref="I2051">IF(ROWS(M$20:M2051)&gt;$F$6,"",INDEX(C$2:C$10000,SMALL(IF(ISNUMBER(MATCH($B$2:$B$10000,$E$6:$E$22,0)),ROW($C$2:$C$10000)-ROW($C$2)+1),ROWS(M$20:M2051))))</f>
        <v/>
      </c>
      <c r="K2051" s="7" t="str">
        <f t="array" ref="K2051">IF(ROWS(K$20:K2051)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2051))))</f>
        <v/>
      </c>
      <c r="L2051" s="4" t="str">
        <f t="array" ref="L2051">IF(ROWS(L$20:L2051)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2051))))</f>
        <v/>
      </c>
      <c r="M2051" s="4" t="str">
        <f t="array" ref="M2051">IF(ROWS(M$20:M2051)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2051))))</f>
        <v/>
      </c>
    </row>
    <row r="2052" spans="1:13" x14ac:dyDescent="0.25">
      <c r="A2052" s="3">
        <v>41843</v>
      </c>
      <c r="B2052" s="2" t="s">
        <v>6</v>
      </c>
      <c r="C2052" s="2">
        <v>49</v>
      </c>
      <c r="G2052" s="7" t="str">
        <f t="array" ref="G2052">IF(ROWS(K$20:K2052)&gt;$F$6,"",INDEX(A$2:A$10000,SMALL(IF(ISNUMBER(MATCH($B$2:$B$10000,$E$6:$E$22,0)),ROW($C$2:$C$10000)-ROW($C$2)+1),ROWS(K$20:K2052))))</f>
        <v/>
      </c>
      <c r="H2052" s="4" t="str">
        <f t="array" ref="H2052">IF(ROWS(L$20:L2052)&gt;$F$6,"",INDEX(B$2:B$10000,SMALL(IF(ISNUMBER(MATCH($B$2:$B$10000,$E$6:$E$22,0)),ROW($C$2:$C$10000)-ROW($C$2)+1),ROWS(L$20:L2052))))</f>
        <v/>
      </c>
      <c r="I2052" s="4" t="str">
        <f t="array" ref="I2052">IF(ROWS(M$20:M2052)&gt;$F$6,"",INDEX(C$2:C$10000,SMALL(IF(ISNUMBER(MATCH($B$2:$B$10000,$E$6:$E$22,0)),ROW($C$2:$C$10000)-ROW($C$2)+1),ROWS(M$20:M2052))))</f>
        <v/>
      </c>
      <c r="K2052" s="7" t="str">
        <f t="array" ref="K2052">IF(ROWS(K$20:K2052)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2052))))</f>
        <v/>
      </c>
      <c r="L2052" s="4" t="str">
        <f t="array" ref="L2052">IF(ROWS(L$20:L2052)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2052))))</f>
        <v/>
      </c>
      <c r="M2052" s="4" t="str">
        <f t="array" ref="M2052">IF(ROWS(M$20:M2052)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2052))))</f>
        <v/>
      </c>
    </row>
    <row r="2053" spans="1:13" x14ac:dyDescent="0.25">
      <c r="A2053" s="3">
        <v>41893</v>
      </c>
      <c r="B2053" s="2" t="s">
        <v>51</v>
      </c>
      <c r="C2053" s="2">
        <v>21</v>
      </c>
      <c r="G2053" s="7" t="str">
        <f t="array" ref="G2053">IF(ROWS(K$20:K2053)&gt;$F$6,"",INDEX(A$2:A$10000,SMALL(IF(ISNUMBER(MATCH($B$2:$B$10000,$E$6:$E$22,0)),ROW($C$2:$C$10000)-ROW($C$2)+1),ROWS(K$20:K2053))))</f>
        <v/>
      </c>
      <c r="H2053" s="4" t="str">
        <f t="array" ref="H2053">IF(ROWS(L$20:L2053)&gt;$F$6,"",INDEX(B$2:B$10000,SMALL(IF(ISNUMBER(MATCH($B$2:$B$10000,$E$6:$E$22,0)),ROW($C$2:$C$10000)-ROW($C$2)+1),ROWS(L$20:L2053))))</f>
        <v/>
      </c>
      <c r="I2053" s="4" t="str">
        <f t="array" ref="I2053">IF(ROWS(M$20:M2053)&gt;$F$6,"",INDEX(C$2:C$10000,SMALL(IF(ISNUMBER(MATCH($B$2:$B$10000,$E$6:$E$22,0)),ROW($C$2:$C$10000)-ROW($C$2)+1),ROWS(M$20:M2053))))</f>
        <v/>
      </c>
      <c r="K2053" s="7" t="str">
        <f t="array" ref="K2053">IF(ROWS(K$20:K2053)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2053))))</f>
        <v/>
      </c>
      <c r="L2053" s="4" t="str">
        <f t="array" ref="L2053">IF(ROWS(L$20:L2053)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2053))))</f>
        <v/>
      </c>
      <c r="M2053" s="4" t="str">
        <f t="array" ref="M2053">IF(ROWS(M$20:M2053)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2053))))</f>
        <v/>
      </c>
    </row>
    <row r="2054" spans="1:13" x14ac:dyDescent="0.25">
      <c r="A2054" s="3">
        <v>41881</v>
      </c>
      <c r="B2054" s="2" t="s">
        <v>28</v>
      </c>
      <c r="C2054" s="2">
        <v>4</v>
      </c>
      <c r="G2054" s="7" t="str">
        <f t="array" ref="G2054">IF(ROWS(K$20:K2054)&gt;$F$6,"",INDEX(A$2:A$10000,SMALL(IF(ISNUMBER(MATCH($B$2:$B$10000,$E$6:$E$22,0)),ROW($C$2:$C$10000)-ROW($C$2)+1),ROWS(K$20:K2054))))</f>
        <v/>
      </c>
      <c r="H2054" s="4" t="str">
        <f t="array" ref="H2054">IF(ROWS(L$20:L2054)&gt;$F$6,"",INDEX(B$2:B$10000,SMALL(IF(ISNUMBER(MATCH($B$2:$B$10000,$E$6:$E$22,0)),ROW($C$2:$C$10000)-ROW($C$2)+1),ROWS(L$20:L2054))))</f>
        <v/>
      </c>
      <c r="I2054" s="4" t="str">
        <f t="array" ref="I2054">IF(ROWS(M$20:M2054)&gt;$F$6,"",INDEX(C$2:C$10000,SMALL(IF(ISNUMBER(MATCH($B$2:$B$10000,$E$6:$E$22,0)),ROW($C$2:$C$10000)-ROW($C$2)+1),ROWS(M$20:M2054))))</f>
        <v/>
      </c>
      <c r="K2054" s="7" t="str">
        <f t="array" ref="K2054">IF(ROWS(K$20:K2054)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2054))))</f>
        <v/>
      </c>
      <c r="L2054" s="4" t="str">
        <f t="array" ref="L2054">IF(ROWS(L$20:L2054)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2054))))</f>
        <v/>
      </c>
      <c r="M2054" s="4" t="str">
        <f t="array" ref="M2054">IF(ROWS(M$20:M2054)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2054))))</f>
        <v/>
      </c>
    </row>
    <row r="2055" spans="1:13" x14ac:dyDescent="0.25">
      <c r="A2055" s="3">
        <v>41842</v>
      </c>
      <c r="B2055" s="2" t="s">
        <v>30</v>
      </c>
      <c r="C2055" s="2">
        <v>27</v>
      </c>
      <c r="G2055" s="7" t="str">
        <f t="array" ref="G2055">IF(ROWS(K$20:K2055)&gt;$F$6,"",INDEX(A$2:A$10000,SMALL(IF(ISNUMBER(MATCH($B$2:$B$10000,$E$6:$E$22,0)),ROW($C$2:$C$10000)-ROW($C$2)+1),ROWS(K$20:K2055))))</f>
        <v/>
      </c>
      <c r="H2055" s="4" t="str">
        <f t="array" ref="H2055">IF(ROWS(L$20:L2055)&gt;$F$6,"",INDEX(B$2:B$10000,SMALL(IF(ISNUMBER(MATCH($B$2:$B$10000,$E$6:$E$22,0)),ROW($C$2:$C$10000)-ROW($C$2)+1),ROWS(L$20:L2055))))</f>
        <v/>
      </c>
      <c r="I2055" s="4" t="str">
        <f t="array" ref="I2055">IF(ROWS(M$20:M2055)&gt;$F$6,"",INDEX(C$2:C$10000,SMALL(IF(ISNUMBER(MATCH($B$2:$B$10000,$E$6:$E$22,0)),ROW($C$2:$C$10000)-ROW($C$2)+1),ROWS(M$20:M2055))))</f>
        <v/>
      </c>
      <c r="K2055" s="7" t="str">
        <f t="array" ref="K2055">IF(ROWS(K$20:K2055)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2055))))</f>
        <v/>
      </c>
      <c r="L2055" s="4" t="str">
        <f t="array" ref="L2055">IF(ROWS(L$20:L2055)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2055))))</f>
        <v/>
      </c>
      <c r="M2055" s="4" t="str">
        <f t="array" ref="M2055">IF(ROWS(M$20:M2055)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2055))))</f>
        <v/>
      </c>
    </row>
    <row r="2056" spans="1:13" x14ac:dyDescent="0.25">
      <c r="A2056" s="3">
        <v>41870</v>
      </c>
      <c r="B2056" s="2" t="s">
        <v>12</v>
      </c>
      <c r="C2056" s="2">
        <v>15</v>
      </c>
      <c r="G2056" s="7" t="str">
        <f t="array" ref="G2056">IF(ROWS(K$20:K2056)&gt;$F$6,"",INDEX(A$2:A$10000,SMALL(IF(ISNUMBER(MATCH($B$2:$B$10000,$E$6:$E$22,0)),ROW($C$2:$C$10000)-ROW($C$2)+1),ROWS(K$20:K2056))))</f>
        <v/>
      </c>
      <c r="H2056" s="4" t="str">
        <f t="array" ref="H2056">IF(ROWS(L$20:L2056)&gt;$F$6,"",INDEX(B$2:B$10000,SMALL(IF(ISNUMBER(MATCH($B$2:$B$10000,$E$6:$E$22,0)),ROW($C$2:$C$10000)-ROW($C$2)+1),ROWS(L$20:L2056))))</f>
        <v/>
      </c>
      <c r="I2056" s="4" t="str">
        <f t="array" ref="I2056">IF(ROWS(M$20:M2056)&gt;$F$6,"",INDEX(C$2:C$10000,SMALL(IF(ISNUMBER(MATCH($B$2:$B$10000,$E$6:$E$22,0)),ROW($C$2:$C$10000)-ROW($C$2)+1),ROWS(M$20:M2056))))</f>
        <v/>
      </c>
      <c r="K2056" s="7" t="str">
        <f t="array" ref="K2056">IF(ROWS(K$20:K2056)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2056))))</f>
        <v/>
      </c>
      <c r="L2056" s="4" t="str">
        <f t="array" ref="L2056">IF(ROWS(L$20:L2056)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2056))))</f>
        <v/>
      </c>
      <c r="M2056" s="4" t="str">
        <f t="array" ref="M2056">IF(ROWS(M$20:M2056)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2056))))</f>
        <v/>
      </c>
    </row>
    <row r="2057" spans="1:13" x14ac:dyDescent="0.25">
      <c r="A2057" s="3">
        <v>41781</v>
      </c>
      <c r="B2057" s="2" t="s">
        <v>3</v>
      </c>
      <c r="C2057" s="2">
        <v>47</v>
      </c>
      <c r="G2057" s="7" t="str">
        <f t="array" ref="G2057">IF(ROWS(K$20:K2057)&gt;$F$6,"",INDEX(A$2:A$10000,SMALL(IF(ISNUMBER(MATCH($B$2:$B$10000,$E$6:$E$22,0)),ROW($C$2:$C$10000)-ROW($C$2)+1),ROWS(K$20:K2057))))</f>
        <v/>
      </c>
      <c r="H2057" s="4" t="str">
        <f t="array" ref="H2057">IF(ROWS(L$20:L2057)&gt;$F$6,"",INDEX(B$2:B$10000,SMALL(IF(ISNUMBER(MATCH($B$2:$B$10000,$E$6:$E$22,0)),ROW($C$2:$C$10000)-ROW($C$2)+1),ROWS(L$20:L2057))))</f>
        <v/>
      </c>
      <c r="I2057" s="4" t="str">
        <f t="array" ref="I2057">IF(ROWS(M$20:M2057)&gt;$F$6,"",INDEX(C$2:C$10000,SMALL(IF(ISNUMBER(MATCH($B$2:$B$10000,$E$6:$E$22,0)),ROW($C$2:$C$10000)-ROW($C$2)+1),ROWS(M$20:M2057))))</f>
        <v/>
      </c>
      <c r="K2057" s="7" t="str">
        <f t="array" ref="K2057">IF(ROWS(K$20:K2057)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2057))))</f>
        <v/>
      </c>
      <c r="L2057" s="4" t="str">
        <f t="array" ref="L2057">IF(ROWS(L$20:L2057)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2057))))</f>
        <v/>
      </c>
      <c r="M2057" s="4" t="str">
        <f t="array" ref="M2057">IF(ROWS(M$20:M2057)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2057))))</f>
        <v/>
      </c>
    </row>
    <row r="2058" spans="1:13" x14ac:dyDescent="0.25">
      <c r="A2058" s="3">
        <v>41555</v>
      </c>
      <c r="B2058" s="2" t="s">
        <v>4</v>
      </c>
      <c r="C2058" s="2">
        <v>36</v>
      </c>
      <c r="G2058" s="7" t="str">
        <f t="array" ref="G2058">IF(ROWS(K$20:K2058)&gt;$F$6,"",INDEX(A$2:A$10000,SMALL(IF(ISNUMBER(MATCH($B$2:$B$10000,$E$6:$E$22,0)),ROW($C$2:$C$10000)-ROW($C$2)+1),ROWS(K$20:K2058))))</f>
        <v/>
      </c>
      <c r="H2058" s="4" t="str">
        <f t="array" ref="H2058">IF(ROWS(L$20:L2058)&gt;$F$6,"",INDEX(B$2:B$10000,SMALL(IF(ISNUMBER(MATCH($B$2:$B$10000,$E$6:$E$22,0)),ROW($C$2:$C$10000)-ROW($C$2)+1),ROWS(L$20:L2058))))</f>
        <v/>
      </c>
      <c r="I2058" s="4" t="str">
        <f t="array" ref="I2058">IF(ROWS(M$20:M2058)&gt;$F$6,"",INDEX(C$2:C$10000,SMALL(IF(ISNUMBER(MATCH($B$2:$B$10000,$E$6:$E$22,0)),ROW($C$2:$C$10000)-ROW($C$2)+1),ROWS(M$20:M2058))))</f>
        <v/>
      </c>
      <c r="K2058" s="7" t="str">
        <f t="array" ref="K2058">IF(ROWS(K$20:K2058)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2058))))</f>
        <v/>
      </c>
      <c r="L2058" s="4" t="str">
        <f t="array" ref="L2058">IF(ROWS(L$20:L2058)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2058))))</f>
        <v/>
      </c>
      <c r="M2058" s="4" t="str">
        <f t="array" ref="M2058">IF(ROWS(M$20:M2058)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2058))))</f>
        <v/>
      </c>
    </row>
    <row r="2059" spans="1:13" x14ac:dyDescent="0.25">
      <c r="A2059" s="3">
        <v>41732</v>
      </c>
      <c r="B2059" s="2" t="s">
        <v>35</v>
      </c>
      <c r="C2059" s="2">
        <v>22</v>
      </c>
      <c r="G2059" s="7" t="str">
        <f t="array" ref="G2059">IF(ROWS(K$20:K2059)&gt;$F$6,"",INDEX(A$2:A$10000,SMALL(IF(ISNUMBER(MATCH($B$2:$B$10000,$E$6:$E$22,0)),ROW($C$2:$C$10000)-ROW($C$2)+1),ROWS(K$20:K2059))))</f>
        <v/>
      </c>
      <c r="H2059" s="4" t="str">
        <f t="array" ref="H2059">IF(ROWS(L$20:L2059)&gt;$F$6,"",INDEX(B$2:B$10000,SMALL(IF(ISNUMBER(MATCH($B$2:$B$10000,$E$6:$E$22,0)),ROW($C$2:$C$10000)-ROW($C$2)+1),ROWS(L$20:L2059))))</f>
        <v/>
      </c>
      <c r="I2059" s="4" t="str">
        <f t="array" ref="I2059">IF(ROWS(M$20:M2059)&gt;$F$6,"",INDEX(C$2:C$10000,SMALL(IF(ISNUMBER(MATCH($B$2:$B$10000,$E$6:$E$22,0)),ROW($C$2:$C$10000)-ROW($C$2)+1),ROWS(M$20:M2059))))</f>
        <v/>
      </c>
      <c r="K2059" s="7" t="str">
        <f t="array" ref="K2059">IF(ROWS(K$20:K2059)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2059))))</f>
        <v/>
      </c>
      <c r="L2059" s="4" t="str">
        <f t="array" ref="L2059">IF(ROWS(L$20:L2059)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2059))))</f>
        <v/>
      </c>
      <c r="M2059" s="4" t="str">
        <f t="array" ref="M2059">IF(ROWS(M$20:M2059)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2059))))</f>
        <v/>
      </c>
    </row>
    <row r="2060" spans="1:13" x14ac:dyDescent="0.25">
      <c r="A2060" s="3">
        <v>41766</v>
      </c>
      <c r="B2060" s="2" t="s">
        <v>23</v>
      </c>
      <c r="C2060" s="2">
        <v>44</v>
      </c>
      <c r="G2060" s="7" t="str">
        <f t="array" ref="G2060">IF(ROWS(K$20:K2060)&gt;$F$6,"",INDEX(A$2:A$10000,SMALL(IF(ISNUMBER(MATCH($B$2:$B$10000,$E$6:$E$22,0)),ROW($C$2:$C$10000)-ROW($C$2)+1),ROWS(K$20:K2060))))</f>
        <v/>
      </c>
      <c r="H2060" s="4" t="str">
        <f t="array" ref="H2060">IF(ROWS(L$20:L2060)&gt;$F$6,"",INDEX(B$2:B$10000,SMALL(IF(ISNUMBER(MATCH($B$2:$B$10000,$E$6:$E$22,0)),ROW($C$2:$C$10000)-ROW($C$2)+1),ROWS(L$20:L2060))))</f>
        <v/>
      </c>
      <c r="I2060" s="4" t="str">
        <f t="array" ref="I2060">IF(ROWS(M$20:M2060)&gt;$F$6,"",INDEX(C$2:C$10000,SMALL(IF(ISNUMBER(MATCH($B$2:$B$10000,$E$6:$E$22,0)),ROW($C$2:$C$10000)-ROW($C$2)+1),ROWS(M$20:M2060))))</f>
        <v/>
      </c>
      <c r="K2060" s="7" t="str">
        <f t="array" ref="K2060">IF(ROWS(K$20:K2060)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2060))))</f>
        <v/>
      </c>
      <c r="L2060" s="4" t="str">
        <f t="array" ref="L2060">IF(ROWS(L$20:L2060)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2060))))</f>
        <v/>
      </c>
      <c r="M2060" s="4" t="str">
        <f t="array" ref="M2060">IF(ROWS(M$20:M2060)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2060))))</f>
        <v/>
      </c>
    </row>
    <row r="2061" spans="1:13" x14ac:dyDescent="0.25">
      <c r="A2061" s="3">
        <v>41627</v>
      </c>
      <c r="B2061" s="2" t="s">
        <v>32</v>
      </c>
      <c r="C2061" s="2">
        <v>24</v>
      </c>
      <c r="G2061" s="7" t="str">
        <f t="array" ref="G2061">IF(ROWS(K$20:K2061)&gt;$F$6,"",INDEX(A$2:A$10000,SMALL(IF(ISNUMBER(MATCH($B$2:$B$10000,$E$6:$E$22,0)),ROW($C$2:$C$10000)-ROW($C$2)+1),ROWS(K$20:K2061))))</f>
        <v/>
      </c>
      <c r="H2061" s="4" t="str">
        <f t="array" ref="H2061">IF(ROWS(L$20:L2061)&gt;$F$6,"",INDEX(B$2:B$10000,SMALL(IF(ISNUMBER(MATCH($B$2:$B$10000,$E$6:$E$22,0)),ROW($C$2:$C$10000)-ROW($C$2)+1),ROWS(L$20:L2061))))</f>
        <v/>
      </c>
      <c r="I2061" s="4" t="str">
        <f t="array" ref="I2061">IF(ROWS(M$20:M2061)&gt;$F$6,"",INDEX(C$2:C$10000,SMALL(IF(ISNUMBER(MATCH($B$2:$B$10000,$E$6:$E$22,0)),ROW($C$2:$C$10000)-ROW($C$2)+1),ROWS(M$20:M2061))))</f>
        <v/>
      </c>
      <c r="K2061" s="7" t="str">
        <f t="array" ref="K2061">IF(ROWS(K$20:K2061)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2061))))</f>
        <v/>
      </c>
      <c r="L2061" s="4" t="str">
        <f t="array" ref="L2061">IF(ROWS(L$20:L2061)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2061))))</f>
        <v/>
      </c>
      <c r="M2061" s="4" t="str">
        <f t="array" ref="M2061">IF(ROWS(M$20:M2061)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2061))))</f>
        <v/>
      </c>
    </row>
    <row r="2062" spans="1:13" x14ac:dyDescent="0.25">
      <c r="A2062" s="3">
        <v>41666</v>
      </c>
      <c r="B2062" s="2" t="s">
        <v>36</v>
      </c>
      <c r="C2062" s="2">
        <v>27</v>
      </c>
      <c r="G2062" s="7" t="str">
        <f t="array" ref="G2062">IF(ROWS(K$20:K2062)&gt;$F$6,"",INDEX(A$2:A$10000,SMALL(IF(ISNUMBER(MATCH($B$2:$B$10000,$E$6:$E$22,0)),ROW($C$2:$C$10000)-ROW($C$2)+1),ROWS(K$20:K2062))))</f>
        <v/>
      </c>
      <c r="H2062" s="4" t="str">
        <f t="array" ref="H2062">IF(ROWS(L$20:L2062)&gt;$F$6,"",INDEX(B$2:B$10000,SMALL(IF(ISNUMBER(MATCH($B$2:$B$10000,$E$6:$E$22,0)),ROW($C$2:$C$10000)-ROW($C$2)+1),ROWS(L$20:L2062))))</f>
        <v/>
      </c>
      <c r="I2062" s="4" t="str">
        <f t="array" ref="I2062">IF(ROWS(M$20:M2062)&gt;$F$6,"",INDEX(C$2:C$10000,SMALL(IF(ISNUMBER(MATCH($B$2:$B$10000,$E$6:$E$22,0)),ROW($C$2:$C$10000)-ROW($C$2)+1),ROWS(M$20:M2062))))</f>
        <v/>
      </c>
      <c r="K2062" s="7" t="str">
        <f t="array" ref="K2062">IF(ROWS(K$20:K2062)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2062))))</f>
        <v/>
      </c>
      <c r="L2062" s="4" t="str">
        <f t="array" ref="L2062">IF(ROWS(L$20:L2062)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2062))))</f>
        <v/>
      </c>
      <c r="M2062" s="4" t="str">
        <f t="array" ref="M2062">IF(ROWS(M$20:M2062)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2062))))</f>
        <v/>
      </c>
    </row>
    <row r="2063" spans="1:13" x14ac:dyDescent="0.25">
      <c r="A2063" s="3">
        <v>41456</v>
      </c>
      <c r="B2063" s="2" t="s">
        <v>5</v>
      </c>
      <c r="C2063" s="2">
        <v>12</v>
      </c>
      <c r="G2063" s="7" t="str">
        <f t="array" ref="G2063">IF(ROWS(K$20:K2063)&gt;$F$6,"",INDEX(A$2:A$10000,SMALL(IF(ISNUMBER(MATCH($B$2:$B$10000,$E$6:$E$22,0)),ROW($C$2:$C$10000)-ROW($C$2)+1),ROWS(K$20:K2063))))</f>
        <v/>
      </c>
      <c r="H2063" s="4" t="str">
        <f t="array" ref="H2063">IF(ROWS(L$20:L2063)&gt;$F$6,"",INDEX(B$2:B$10000,SMALL(IF(ISNUMBER(MATCH($B$2:$B$10000,$E$6:$E$22,0)),ROW($C$2:$C$10000)-ROW($C$2)+1),ROWS(L$20:L2063))))</f>
        <v/>
      </c>
      <c r="I2063" s="4" t="str">
        <f t="array" ref="I2063">IF(ROWS(M$20:M2063)&gt;$F$6,"",INDEX(C$2:C$10000,SMALL(IF(ISNUMBER(MATCH($B$2:$B$10000,$E$6:$E$22,0)),ROW($C$2:$C$10000)-ROW($C$2)+1),ROWS(M$20:M2063))))</f>
        <v/>
      </c>
      <c r="K2063" s="7" t="str">
        <f t="array" ref="K2063">IF(ROWS(K$20:K2063)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2063))))</f>
        <v/>
      </c>
      <c r="L2063" s="4" t="str">
        <f t="array" ref="L2063">IF(ROWS(L$20:L2063)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2063))))</f>
        <v/>
      </c>
      <c r="M2063" s="4" t="str">
        <f t="array" ref="M2063">IF(ROWS(M$20:M2063)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2063))))</f>
        <v/>
      </c>
    </row>
    <row r="2064" spans="1:13" x14ac:dyDescent="0.25">
      <c r="A2064" s="3">
        <v>41337</v>
      </c>
      <c r="B2064" s="2" t="s">
        <v>10</v>
      </c>
      <c r="C2064" s="2">
        <v>18</v>
      </c>
      <c r="G2064" s="7" t="str">
        <f t="array" ref="G2064">IF(ROWS(K$20:K2064)&gt;$F$6,"",INDEX(A$2:A$10000,SMALL(IF(ISNUMBER(MATCH($B$2:$B$10000,$E$6:$E$22,0)),ROW($C$2:$C$10000)-ROW($C$2)+1),ROWS(K$20:K2064))))</f>
        <v/>
      </c>
      <c r="H2064" s="4" t="str">
        <f t="array" ref="H2064">IF(ROWS(L$20:L2064)&gt;$F$6,"",INDEX(B$2:B$10000,SMALL(IF(ISNUMBER(MATCH($B$2:$B$10000,$E$6:$E$22,0)),ROW($C$2:$C$10000)-ROW($C$2)+1),ROWS(L$20:L2064))))</f>
        <v/>
      </c>
      <c r="I2064" s="4" t="str">
        <f t="array" ref="I2064">IF(ROWS(M$20:M2064)&gt;$F$6,"",INDEX(C$2:C$10000,SMALL(IF(ISNUMBER(MATCH($B$2:$B$10000,$E$6:$E$22,0)),ROW($C$2:$C$10000)-ROW($C$2)+1),ROWS(M$20:M2064))))</f>
        <v/>
      </c>
      <c r="K2064" s="7" t="str">
        <f t="array" ref="K2064">IF(ROWS(K$20:K2064)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2064))))</f>
        <v/>
      </c>
      <c r="L2064" s="4" t="str">
        <f t="array" ref="L2064">IF(ROWS(L$20:L2064)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2064))))</f>
        <v/>
      </c>
      <c r="M2064" s="4" t="str">
        <f t="array" ref="M2064">IF(ROWS(M$20:M2064)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2064))))</f>
        <v/>
      </c>
    </row>
    <row r="2065" spans="1:13" x14ac:dyDescent="0.25">
      <c r="A2065" s="3">
        <v>41449</v>
      </c>
      <c r="B2065" s="2" t="s">
        <v>38</v>
      </c>
      <c r="C2065" s="2">
        <v>50</v>
      </c>
      <c r="G2065" s="7" t="str">
        <f t="array" ref="G2065">IF(ROWS(K$20:K2065)&gt;$F$6,"",INDEX(A$2:A$10000,SMALL(IF(ISNUMBER(MATCH($B$2:$B$10000,$E$6:$E$22,0)),ROW($C$2:$C$10000)-ROW($C$2)+1),ROWS(K$20:K2065))))</f>
        <v/>
      </c>
      <c r="H2065" s="4" t="str">
        <f t="array" ref="H2065">IF(ROWS(L$20:L2065)&gt;$F$6,"",INDEX(B$2:B$10000,SMALL(IF(ISNUMBER(MATCH($B$2:$B$10000,$E$6:$E$22,0)),ROW($C$2:$C$10000)-ROW($C$2)+1),ROWS(L$20:L2065))))</f>
        <v/>
      </c>
      <c r="I2065" s="4" t="str">
        <f t="array" ref="I2065">IF(ROWS(M$20:M2065)&gt;$F$6,"",INDEX(C$2:C$10000,SMALL(IF(ISNUMBER(MATCH($B$2:$B$10000,$E$6:$E$22,0)),ROW($C$2:$C$10000)-ROW($C$2)+1),ROWS(M$20:M2065))))</f>
        <v/>
      </c>
      <c r="K2065" s="7" t="str">
        <f t="array" ref="K2065">IF(ROWS(K$20:K2065)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2065))))</f>
        <v/>
      </c>
      <c r="L2065" s="4" t="str">
        <f t="array" ref="L2065">IF(ROWS(L$20:L2065)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2065))))</f>
        <v/>
      </c>
      <c r="M2065" s="4" t="str">
        <f t="array" ref="M2065">IF(ROWS(M$20:M2065)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2065))))</f>
        <v/>
      </c>
    </row>
    <row r="2066" spans="1:13" x14ac:dyDescent="0.25">
      <c r="A2066" s="3">
        <v>41493</v>
      </c>
      <c r="B2066" s="2" t="s">
        <v>19</v>
      </c>
      <c r="C2066" s="2">
        <v>8</v>
      </c>
      <c r="G2066" s="7" t="str">
        <f t="array" ref="G2066">IF(ROWS(K$20:K2066)&gt;$F$6,"",INDEX(A$2:A$10000,SMALL(IF(ISNUMBER(MATCH($B$2:$B$10000,$E$6:$E$22,0)),ROW($C$2:$C$10000)-ROW($C$2)+1),ROWS(K$20:K2066))))</f>
        <v/>
      </c>
      <c r="H2066" s="4" t="str">
        <f t="array" ref="H2066">IF(ROWS(L$20:L2066)&gt;$F$6,"",INDEX(B$2:B$10000,SMALL(IF(ISNUMBER(MATCH($B$2:$B$10000,$E$6:$E$22,0)),ROW($C$2:$C$10000)-ROW($C$2)+1),ROWS(L$20:L2066))))</f>
        <v/>
      </c>
      <c r="I2066" s="4" t="str">
        <f t="array" ref="I2066">IF(ROWS(M$20:M2066)&gt;$F$6,"",INDEX(C$2:C$10000,SMALL(IF(ISNUMBER(MATCH($B$2:$B$10000,$E$6:$E$22,0)),ROW($C$2:$C$10000)-ROW($C$2)+1),ROWS(M$20:M2066))))</f>
        <v/>
      </c>
      <c r="K2066" s="7" t="str">
        <f t="array" ref="K2066">IF(ROWS(K$20:K2066)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2066))))</f>
        <v/>
      </c>
      <c r="L2066" s="4" t="str">
        <f t="array" ref="L2066">IF(ROWS(L$20:L2066)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2066))))</f>
        <v/>
      </c>
      <c r="M2066" s="4" t="str">
        <f t="array" ref="M2066">IF(ROWS(M$20:M2066)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2066))))</f>
        <v/>
      </c>
    </row>
    <row r="2067" spans="1:13" x14ac:dyDescent="0.25">
      <c r="A2067" s="3">
        <v>41599</v>
      </c>
      <c r="B2067" s="2" t="s">
        <v>13</v>
      </c>
      <c r="C2067" s="2">
        <v>19</v>
      </c>
      <c r="G2067" s="7" t="str">
        <f t="array" ref="G2067">IF(ROWS(K$20:K2067)&gt;$F$6,"",INDEX(A$2:A$10000,SMALL(IF(ISNUMBER(MATCH($B$2:$B$10000,$E$6:$E$22,0)),ROW($C$2:$C$10000)-ROW($C$2)+1),ROWS(K$20:K2067))))</f>
        <v/>
      </c>
      <c r="H2067" s="4" t="str">
        <f t="array" ref="H2067">IF(ROWS(L$20:L2067)&gt;$F$6,"",INDEX(B$2:B$10000,SMALL(IF(ISNUMBER(MATCH($B$2:$B$10000,$E$6:$E$22,0)),ROW($C$2:$C$10000)-ROW($C$2)+1),ROWS(L$20:L2067))))</f>
        <v/>
      </c>
      <c r="I2067" s="4" t="str">
        <f t="array" ref="I2067">IF(ROWS(M$20:M2067)&gt;$F$6,"",INDEX(C$2:C$10000,SMALL(IF(ISNUMBER(MATCH($B$2:$B$10000,$E$6:$E$22,0)),ROW($C$2:$C$10000)-ROW($C$2)+1),ROWS(M$20:M2067))))</f>
        <v/>
      </c>
      <c r="K2067" s="7" t="str">
        <f t="array" ref="K2067">IF(ROWS(K$20:K2067)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2067))))</f>
        <v/>
      </c>
      <c r="L2067" s="4" t="str">
        <f t="array" ref="L2067">IF(ROWS(L$20:L2067)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2067))))</f>
        <v/>
      </c>
      <c r="M2067" s="4" t="str">
        <f t="array" ref="M2067">IF(ROWS(M$20:M2067)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2067))))</f>
        <v/>
      </c>
    </row>
    <row r="2068" spans="1:13" x14ac:dyDescent="0.25">
      <c r="A2068" s="3">
        <v>41784</v>
      </c>
      <c r="B2068" s="2" t="s">
        <v>27</v>
      </c>
      <c r="C2068" s="2">
        <v>34</v>
      </c>
      <c r="G2068" s="7" t="str">
        <f t="array" ref="G2068">IF(ROWS(K$20:K2068)&gt;$F$6,"",INDEX(A$2:A$10000,SMALL(IF(ISNUMBER(MATCH($B$2:$B$10000,$E$6:$E$22,0)),ROW($C$2:$C$10000)-ROW($C$2)+1),ROWS(K$20:K2068))))</f>
        <v/>
      </c>
      <c r="H2068" s="4" t="str">
        <f t="array" ref="H2068">IF(ROWS(L$20:L2068)&gt;$F$6,"",INDEX(B$2:B$10000,SMALL(IF(ISNUMBER(MATCH($B$2:$B$10000,$E$6:$E$22,0)),ROW($C$2:$C$10000)-ROW($C$2)+1),ROWS(L$20:L2068))))</f>
        <v/>
      </c>
      <c r="I2068" s="4" t="str">
        <f t="array" ref="I2068">IF(ROWS(M$20:M2068)&gt;$F$6,"",INDEX(C$2:C$10000,SMALL(IF(ISNUMBER(MATCH($B$2:$B$10000,$E$6:$E$22,0)),ROW($C$2:$C$10000)-ROW($C$2)+1),ROWS(M$20:M2068))))</f>
        <v/>
      </c>
      <c r="K2068" s="7" t="str">
        <f t="array" ref="K2068">IF(ROWS(K$20:K2068)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2068))))</f>
        <v/>
      </c>
      <c r="L2068" s="4" t="str">
        <f t="array" ref="L2068">IF(ROWS(L$20:L2068)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2068))))</f>
        <v/>
      </c>
      <c r="M2068" s="4" t="str">
        <f t="array" ref="M2068">IF(ROWS(M$20:M2068)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2068))))</f>
        <v/>
      </c>
    </row>
    <row r="2069" spans="1:13" x14ac:dyDescent="0.25">
      <c r="A2069" s="3">
        <v>41567</v>
      </c>
      <c r="B2069" s="2" t="s">
        <v>50</v>
      </c>
      <c r="C2069" s="2">
        <v>63</v>
      </c>
      <c r="G2069" s="7" t="str">
        <f t="array" ref="G2069">IF(ROWS(K$20:K2069)&gt;$F$6,"",INDEX(A$2:A$10000,SMALL(IF(ISNUMBER(MATCH($B$2:$B$10000,$E$6:$E$22,0)),ROW($C$2:$C$10000)-ROW($C$2)+1),ROWS(K$20:K2069))))</f>
        <v/>
      </c>
      <c r="H2069" s="4" t="str">
        <f t="array" ref="H2069">IF(ROWS(L$20:L2069)&gt;$F$6,"",INDEX(B$2:B$10000,SMALL(IF(ISNUMBER(MATCH($B$2:$B$10000,$E$6:$E$22,0)),ROW($C$2:$C$10000)-ROW($C$2)+1),ROWS(L$20:L2069))))</f>
        <v/>
      </c>
      <c r="I2069" s="4" t="str">
        <f t="array" ref="I2069">IF(ROWS(M$20:M2069)&gt;$F$6,"",INDEX(C$2:C$10000,SMALL(IF(ISNUMBER(MATCH($B$2:$B$10000,$E$6:$E$22,0)),ROW($C$2:$C$10000)-ROW($C$2)+1),ROWS(M$20:M2069))))</f>
        <v/>
      </c>
      <c r="K2069" s="7" t="str">
        <f t="array" ref="K2069">IF(ROWS(K$20:K2069)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2069))))</f>
        <v/>
      </c>
      <c r="L2069" s="4" t="str">
        <f t="array" ref="L2069">IF(ROWS(L$20:L2069)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2069))))</f>
        <v/>
      </c>
      <c r="M2069" s="4" t="str">
        <f t="array" ref="M2069">IF(ROWS(M$20:M2069)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2069))))</f>
        <v/>
      </c>
    </row>
    <row r="2070" spans="1:13" x14ac:dyDescent="0.25">
      <c r="A2070" s="3">
        <v>41453</v>
      </c>
      <c r="B2070" s="2" t="s">
        <v>41</v>
      </c>
      <c r="C2070" s="2">
        <v>46</v>
      </c>
      <c r="G2070" s="7" t="str">
        <f t="array" ref="G2070">IF(ROWS(K$20:K2070)&gt;$F$6,"",INDEX(A$2:A$10000,SMALL(IF(ISNUMBER(MATCH($B$2:$B$10000,$E$6:$E$22,0)),ROW($C$2:$C$10000)-ROW($C$2)+1),ROWS(K$20:K2070))))</f>
        <v/>
      </c>
      <c r="H2070" s="4" t="str">
        <f t="array" ref="H2070">IF(ROWS(L$20:L2070)&gt;$F$6,"",INDEX(B$2:B$10000,SMALL(IF(ISNUMBER(MATCH($B$2:$B$10000,$E$6:$E$22,0)),ROW($C$2:$C$10000)-ROW($C$2)+1),ROWS(L$20:L2070))))</f>
        <v/>
      </c>
      <c r="I2070" s="4" t="str">
        <f t="array" ref="I2070">IF(ROWS(M$20:M2070)&gt;$F$6,"",INDEX(C$2:C$10000,SMALL(IF(ISNUMBER(MATCH($B$2:$B$10000,$E$6:$E$22,0)),ROW($C$2:$C$10000)-ROW($C$2)+1),ROWS(M$20:M2070))))</f>
        <v/>
      </c>
      <c r="K2070" s="7" t="str">
        <f t="array" ref="K2070">IF(ROWS(K$20:K2070)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2070))))</f>
        <v/>
      </c>
      <c r="L2070" s="4" t="str">
        <f t="array" ref="L2070">IF(ROWS(L$20:L2070)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2070))))</f>
        <v/>
      </c>
      <c r="M2070" s="4" t="str">
        <f t="array" ref="M2070">IF(ROWS(M$20:M2070)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2070))))</f>
        <v/>
      </c>
    </row>
    <row r="2071" spans="1:13" x14ac:dyDescent="0.25">
      <c r="A2071" s="3">
        <v>41522</v>
      </c>
      <c r="B2071" s="2" t="s">
        <v>36</v>
      </c>
      <c r="C2071" s="2">
        <v>14</v>
      </c>
      <c r="G2071" s="7" t="str">
        <f t="array" ref="G2071">IF(ROWS(K$20:K2071)&gt;$F$6,"",INDEX(A$2:A$10000,SMALL(IF(ISNUMBER(MATCH($B$2:$B$10000,$E$6:$E$22,0)),ROW($C$2:$C$10000)-ROW($C$2)+1),ROWS(K$20:K2071))))</f>
        <v/>
      </c>
      <c r="H2071" s="4" t="str">
        <f t="array" ref="H2071">IF(ROWS(L$20:L2071)&gt;$F$6,"",INDEX(B$2:B$10000,SMALL(IF(ISNUMBER(MATCH($B$2:$B$10000,$E$6:$E$22,0)),ROW($C$2:$C$10000)-ROW($C$2)+1),ROWS(L$20:L2071))))</f>
        <v/>
      </c>
      <c r="I2071" s="4" t="str">
        <f t="array" ref="I2071">IF(ROWS(M$20:M2071)&gt;$F$6,"",INDEX(C$2:C$10000,SMALL(IF(ISNUMBER(MATCH($B$2:$B$10000,$E$6:$E$22,0)),ROW($C$2:$C$10000)-ROW($C$2)+1),ROWS(M$20:M2071))))</f>
        <v/>
      </c>
      <c r="K2071" s="7" t="str">
        <f t="array" ref="K2071">IF(ROWS(K$20:K2071)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2071))))</f>
        <v/>
      </c>
      <c r="L2071" s="4" t="str">
        <f t="array" ref="L2071">IF(ROWS(L$20:L2071)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2071))))</f>
        <v/>
      </c>
      <c r="M2071" s="4" t="str">
        <f t="array" ref="M2071">IF(ROWS(M$20:M2071)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2071))))</f>
        <v/>
      </c>
    </row>
    <row r="2072" spans="1:13" x14ac:dyDescent="0.25">
      <c r="A2072" s="3">
        <v>41858</v>
      </c>
      <c r="B2072" s="2" t="s">
        <v>3</v>
      </c>
      <c r="C2072" s="2">
        <v>24</v>
      </c>
      <c r="G2072" s="7" t="str">
        <f t="array" ref="G2072">IF(ROWS(K$20:K2072)&gt;$F$6,"",INDEX(A$2:A$10000,SMALL(IF(ISNUMBER(MATCH($B$2:$B$10000,$E$6:$E$22,0)),ROW($C$2:$C$10000)-ROW($C$2)+1),ROWS(K$20:K2072))))</f>
        <v/>
      </c>
      <c r="H2072" s="4" t="str">
        <f t="array" ref="H2072">IF(ROWS(L$20:L2072)&gt;$F$6,"",INDEX(B$2:B$10000,SMALL(IF(ISNUMBER(MATCH($B$2:$B$10000,$E$6:$E$22,0)),ROW($C$2:$C$10000)-ROW($C$2)+1),ROWS(L$20:L2072))))</f>
        <v/>
      </c>
      <c r="I2072" s="4" t="str">
        <f t="array" ref="I2072">IF(ROWS(M$20:M2072)&gt;$F$6,"",INDEX(C$2:C$10000,SMALL(IF(ISNUMBER(MATCH($B$2:$B$10000,$E$6:$E$22,0)),ROW($C$2:$C$10000)-ROW($C$2)+1),ROWS(M$20:M2072))))</f>
        <v/>
      </c>
      <c r="K2072" s="7" t="str">
        <f t="array" ref="K2072">IF(ROWS(K$20:K2072)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2072))))</f>
        <v/>
      </c>
      <c r="L2072" s="4" t="str">
        <f t="array" ref="L2072">IF(ROWS(L$20:L2072)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2072))))</f>
        <v/>
      </c>
      <c r="M2072" s="4" t="str">
        <f t="array" ref="M2072">IF(ROWS(M$20:M2072)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2072))))</f>
        <v/>
      </c>
    </row>
    <row r="2073" spans="1:13" x14ac:dyDescent="0.25">
      <c r="A2073" s="3">
        <v>41743</v>
      </c>
      <c r="B2073" s="2" t="s">
        <v>30</v>
      </c>
      <c r="C2073" s="2">
        <v>3</v>
      </c>
      <c r="G2073" s="7" t="str">
        <f t="array" ref="G2073">IF(ROWS(K$20:K2073)&gt;$F$6,"",INDEX(A$2:A$10000,SMALL(IF(ISNUMBER(MATCH($B$2:$B$10000,$E$6:$E$22,0)),ROW($C$2:$C$10000)-ROW($C$2)+1),ROWS(K$20:K2073))))</f>
        <v/>
      </c>
      <c r="H2073" s="4" t="str">
        <f t="array" ref="H2073">IF(ROWS(L$20:L2073)&gt;$F$6,"",INDEX(B$2:B$10000,SMALL(IF(ISNUMBER(MATCH($B$2:$B$10000,$E$6:$E$22,0)),ROW($C$2:$C$10000)-ROW($C$2)+1),ROWS(L$20:L2073))))</f>
        <v/>
      </c>
      <c r="I2073" s="4" t="str">
        <f t="array" ref="I2073">IF(ROWS(M$20:M2073)&gt;$F$6,"",INDEX(C$2:C$10000,SMALL(IF(ISNUMBER(MATCH($B$2:$B$10000,$E$6:$E$22,0)),ROW($C$2:$C$10000)-ROW($C$2)+1),ROWS(M$20:M2073))))</f>
        <v/>
      </c>
      <c r="K2073" s="7" t="str">
        <f t="array" ref="K2073">IF(ROWS(K$20:K2073)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2073))))</f>
        <v/>
      </c>
      <c r="L2073" s="4" t="str">
        <f t="array" ref="L2073">IF(ROWS(L$20:L2073)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2073))))</f>
        <v/>
      </c>
      <c r="M2073" s="4" t="str">
        <f t="array" ref="M2073">IF(ROWS(M$20:M2073)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2073))))</f>
        <v/>
      </c>
    </row>
    <row r="2074" spans="1:13" x14ac:dyDescent="0.25">
      <c r="A2074" s="3">
        <v>41788</v>
      </c>
      <c r="B2074" s="2" t="s">
        <v>8</v>
      </c>
      <c r="C2074" s="2">
        <v>13</v>
      </c>
      <c r="G2074" s="7" t="str">
        <f t="array" ref="G2074">IF(ROWS(K$20:K2074)&gt;$F$6,"",INDEX(A$2:A$10000,SMALL(IF(ISNUMBER(MATCH($B$2:$B$10000,$E$6:$E$22,0)),ROW($C$2:$C$10000)-ROW($C$2)+1),ROWS(K$20:K2074))))</f>
        <v/>
      </c>
      <c r="H2074" s="4" t="str">
        <f t="array" ref="H2074">IF(ROWS(L$20:L2074)&gt;$F$6,"",INDEX(B$2:B$10000,SMALL(IF(ISNUMBER(MATCH($B$2:$B$10000,$E$6:$E$22,0)),ROW($C$2:$C$10000)-ROW($C$2)+1),ROWS(L$20:L2074))))</f>
        <v/>
      </c>
      <c r="I2074" s="4" t="str">
        <f t="array" ref="I2074">IF(ROWS(M$20:M2074)&gt;$F$6,"",INDEX(C$2:C$10000,SMALL(IF(ISNUMBER(MATCH($B$2:$B$10000,$E$6:$E$22,0)),ROW($C$2:$C$10000)-ROW($C$2)+1),ROWS(M$20:M2074))))</f>
        <v/>
      </c>
      <c r="K2074" s="7" t="str">
        <f t="array" ref="K2074">IF(ROWS(K$20:K2074)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2074))))</f>
        <v/>
      </c>
      <c r="L2074" s="4" t="str">
        <f t="array" ref="L2074">IF(ROWS(L$20:L2074)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2074))))</f>
        <v/>
      </c>
      <c r="M2074" s="4" t="str">
        <f t="array" ref="M2074">IF(ROWS(M$20:M2074)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2074))))</f>
        <v/>
      </c>
    </row>
    <row r="2075" spans="1:13" x14ac:dyDescent="0.25">
      <c r="A2075" s="3">
        <v>41675</v>
      </c>
      <c r="B2075" s="2" t="s">
        <v>33</v>
      </c>
      <c r="C2075" s="2">
        <v>25</v>
      </c>
      <c r="G2075" s="7" t="str">
        <f t="array" ref="G2075">IF(ROWS(K$20:K2075)&gt;$F$6,"",INDEX(A$2:A$10000,SMALL(IF(ISNUMBER(MATCH($B$2:$B$10000,$E$6:$E$22,0)),ROW($C$2:$C$10000)-ROW($C$2)+1),ROWS(K$20:K2075))))</f>
        <v/>
      </c>
      <c r="H2075" s="4" t="str">
        <f t="array" ref="H2075">IF(ROWS(L$20:L2075)&gt;$F$6,"",INDEX(B$2:B$10000,SMALL(IF(ISNUMBER(MATCH($B$2:$B$10000,$E$6:$E$22,0)),ROW($C$2:$C$10000)-ROW($C$2)+1),ROWS(L$20:L2075))))</f>
        <v/>
      </c>
      <c r="I2075" s="4" t="str">
        <f t="array" ref="I2075">IF(ROWS(M$20:M2075)&gt;$F$6,"",INDEX(C$2:C$10000,SMALL(IF(ISNUMBER(MATCH($B$2:$B$10000,$E$6:$E$22,0)),ROW($C$2:$C$10000)-ROW($C$2)+1),ROWS(M$20:M2075))))</f>
        <v/>
      </c>
      <c r="K2075" s="7" t="str">
        <f t="array" ref="K2075">IF(ROWS(K$20:K2075)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2075))))</f>
        <v/>
      </c>
      <c r="L2075" s="4" t="str">
        <f t="array" ref="L2075">IF(ROWS(L$20:L2075)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2075))))</f>
        <v/>
      </c>
      <c r="M2075" s="4" t="str">
        <f t="array" ref="M2075">IF(ROWS(M$20:M2075)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2075))))</f>
        <v/>
      </c>
    </row>
    <row r="2076" spans="1:13" x14ac:dyDescent="0.25">
      <c r="A2076" s="3">
        <v>41590</v>
      </c>
      <c r="B2076" s="2" t="s">
        <v>47</v>
      </c>
      <c r="C2076" s="2">
        <v>8</v>
      </c>
      <c r="G2076" s="7" t="str">
        <f t="array" ref="G2076">IF(ROWS(K$20:K2076)&gt;$F$6,"",INDEX(A$2:A$10000,SMALL(IF(ISNUMBER(MATCH($B$2:$B$10000,$E$6:$E$22,0)),ROW($C$2:$C$10000)-ROW($C$2)+1),ROWS(K$20:K2076))))</f>
        <v/>
      </c>
      <c r="H2076" s="4" t="str">
        <f t="array" ref="H2076">IF(ROWS(L$20:L2076)&gt;$F$6,"",INDEX(B$2:B$10000,SMALL(IF(ISNUMBER(MATCH($B$2:$B$10000,$E$6:$E$22,0)),ROW($C$2:$C$10000)-ROW($C$2)+1),ROWS(L$20:L2076))))</f>
        <v/>
      </c>
      <c r="I2076" s="4" t="str">
        <f t="array" ref="I2076">IF(ROWS(M$20:M2076)&gt;$F$6,"",INDEX(C$2:C$10000,SMALL(IF(ISNUMBER(MATCH($B$2:$B$10000,$E$6:$E$22,0)),ROW($C$2:$C$10000)-ROW($C$2)+1),ROWS(M$20:M2076))))</f>
        <v/>
      </c>
      <c r="K2076" s="7" t="str">
        <f t="array" ref="K2076">IF(ROWS(K$20:K2076)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2076))))</f>
        <v/>
      </c>
      <c r="L2076" s="4" t="str">
        <f t="array" ref="L2076">IF(ROWS(L$20:L2076)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2076))))</f>
        <v/>
      </c>
      <c r="M2076" s="4" t="str">
        <f t="array" ref="M2076">IF(ROWS(M$20:M2076)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2076))))</f>
        <v/>
      </c>
    </row>
    <row r="2077" spans="1:13" x14ac:dyDescent="0.25">
      <c r="A2077" s="3">
        <v>41673</v>
      </c>
      <c r="B2077" s="2" t="s">
        <v>46</v>
      </c>
      <c r="C2077" s="2">
        <v>19</v>
      </c>
      <c r="G2077" s="7" t="str">
        <f t="array" ref="G2077">IF(ROWS(K$20:K2077)&gt;$F$6,"",INDEX(A$2:A$10000,SMALL(IF(ISNUMBER(MATCH($B$2:$B$10000,$E$6:$E$22,0)),ROW($C$2:$C$10000)-ROW($C$2)+1),ROWS(K$20:K2077))))</f>
        <v/>
      </c>
      <c r="H2077" s="4" t="str">
        <f t="array" ref="H2077">IF(ROWS(L$20:L2077)&gt;$F$6,"",INDEX(B$2:B$10000,SMALL(IF(ISNUMBER(MATCH($B$2:$B$10000,$E$6:$E$22,0)),ROW($C$2:$C$10000)-ROW($C$2)+1),ROWS(L$20:L2077))))</f>
        <v/>
      </c>
      <c r="I2077" s="4" t="str">
        <f t="array" ref="I2077">IF(ROWS(M$20:M2077)&gt;$F$6,"",INDEX(C$2:C$10000,SMALL(IF(ISNUMBER(MATCH($B$2:$B$10000,$E$6:$E$22,0)),ROW($C$2:$C$10000)-ROW($C$2)+1),ROWS(M$20:M2077))))</f>
        <v/>
      </c>
      <c r="K2077" s="7" t="str">
        <f t="array" ref="K2077">IF(ROWS(K$20:K2077)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2077))))</f>
        <v/>
      </c>
      <c r="L2077" s="4" t="str">
        <f t="array" ref="L2077">IF(ROWS(L$20:L2077)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2077))))</f>
        <v/>
      </c>
      <c r="M2077" s="4" t="str">
        <f t="array" ref="M2077">IF(ROWS(M$20:M2077)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2077))))</f>
        <v/>
      </c>
    </row>
    <row r="2078" spans="1:13" x14ac:dyDescent="0.25">
      <c r="A2078" s="3">
        <v>41379</v>
      </c>
      <c r="B2078" s="2" t="s">
        <v>39</v>
      </c>
      <c r="C2078" s="2">
        <v>31</v>
      </c>
      <c r="G2078" s="7" t="str">
        <f t="array" ref="G2078">IF(ROWS(K$20:K2078)&gt;$F$6,"",INDEX(A$2:A$10000,SMALL(IF(ISNUMBER(MATCH($B$2:$B$10000,$E$6:$E$22,0)),ROW($C$2:$C$10000)-ROW($C$2)+1),ROWS(K$20:K2078))))</f>
        <v/>
      </c>
      <c r="H2078" s="4" t="str">
        <f t="array" ref="H2078">IF(ROWS(L$20:L2078)&gt;$F$6,"",INDEX(B$2:B$10000,SMALL(IF(ISNUMBER(MATCH($B$2:$B$10000,$E$6:$E$22,0)),ROW($C$2:$C$10000)-ROW($C$2)+1),ROWS(L$20:L2078))))</f>
        <v/>
      </c>
      <c r="I2078" s="4" t="str">
        <f t="array" ref="I2078">IF(ROWS(M$20:M2078)&gt;$F$6,"",INDEX(C$2:C$10000,SMALL(IF(ISNUMBER(MATCH($B$2:$B$10000,$E$6:$E$22,0)),ROW($C$2:$C$10000)-ROW($C$2)+1),ROWS(M$20:M2078))))</f>
        <v/>
      </c>
      <c r="K2078" s="7" t="str">
        <f t="array" ref="K2078">IF(ROWS(K$20:K2078)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2078))))</f>
        <v/>
      </c>
      <c r="L2078" s="4" t="str">
        <f t="array" ref="L2078">IF(ROWS(L$20:L2078)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2078))))</f>
        <v/>
      </c>
      <c r="M2078" s="4" t="str">
        <f t="array" ref="M2078">IF(ROWS(M$20:M2078)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2078))))</f>
        <v/>
      </c>
    </row>
    <row r="2079" spans="1:13" x14ac:dyDescent="0.25">
      <c r="A2079" s="3">
        <v>41656</v>
      </c>
      <c r="B2079" s="2" t="s">
        <v>44</v>
      </c>
      <c r="C2079" s="2">
        <v>43</v>
      </c>
      <c r="G2079" s="7" t="str">
        <f t="array" ref="G2079">IF(ROWS(K$20:K2079)&gt;$F$6,"",INDEX(A$2:A$10000,SMALL(IF(ISNUMBER(MATCH($B$2:$B$10000,$E$6:$E$22,0)),ROW($C$2:$C$10000)-ROW($C$2)+1),ROWS(K$20:K2079))))</f>
        <v/>
      </c>
      <c r="H2079" s="4" t="str">
        <f t="array" ref="H2079">IF(ROWS(L$20:L2079)&gt;$F$6,"",INDEX(B$2:B$10000,SMALL(IF(ISNUMBER(MATCH($B$2:$B$10000,$E$6:$E$22,0)),ROW($C$2:$C$10000)-ROW($C$2)+1),ROWS(L$20:L2079))))</f>
        <v/>
      </c>
      <c r="I2079" s="4" t="str">
        <f t="array" ref="I2079">IF(ROWS(M$20:M2079)&gt;$F$6,"",INDEX(C$2:C$10000,SMALL(IF(ISNUMBER(MATCH($B$2:$B$10000,$E$6:$E$22,0)),ROW($C$2:$C$10000)-ROW($C$2)+1),ROWS(M$20:M2079))))</f>
        <v/>
      </c>
      <c r="K2079" s="7" t="str">
        <f t="array" ref="K2079">IF(ROWS(K$20:K2079)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2079))))</f>
        <v/>
      </c>
      <c r="L2079" s="4" t="str">
        <f t="array" ref="L2079">IF(ROWS(L$20:L2079)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2079))))</f>
        <v/>
      </c>
      <c r="M2079" s="4" t="str">
        <f t="array" ref="M2079">IF(ROWS(M$20:M2079)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2079))))</f>
        <v/>
      </c>
    </row>
    <row r="2080" spans="1:13" x14ac:dyDescent="0.25">
      <c r="A2080" s="3">
        <v>41842</v>
      </c>
      <c r="B2080" s="2" t="s">
        <v>42</v>
      </c>
      <c r="C2080" s="2">
        <v>16</v>
      </c>
      <c r="G2080" s="7" t="str">
        <f t="array" ref="G2080">IF(ROWS(K$20:K2080)&gt;$F$6,"",INDEX(A$2:A$10000,SMALL(IF(ISNUMBER(MATCH($B$2:$B$10000,$E$6:$E$22,0)),ROW($C$2:$C$10000)-ROW($C$2)+1),ROWS(K$20:K2080))))</f>
        <v/>
      </c>
      <c r="H2080" s="4" t="str">
        <f t="array" ref="H2080">IF(ROWS(L$20:L2080)&gt;$F$6,"",INDEX(B$2:B$10000,SMALL(IF(ISNUMBER(MATCH($B$2:$B$10000,$E$6:$E$22,0)),ROW($C$2:$C$10000)-ROW($C$2)+1),ROWS(L$20:L2080))))</f>
        <v/>
      </c>
      <c r="I2080" s="4" t="str">
        <f t="array" ref="I2080">IF(ROWS(M$20:M2080)&gt;$F$6,"",INDEX(C$2:C$10000,SMALL(IF(ISNUMBER(MATCH($B$2:$B$10000,$E$6:$E$22,0)),ROW($C$2:$C$10000)-ROW($C$2)+1),ROWS(M$20:M2080))))</f>
        <v/>
      </c>
      <c r="K2080" s="7" t="str">
        <f t="array" ref="K2080">IF(ROWS(K$20:K2080)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2080))))</f>
        <v/>
      </c>
      <c r="L2080" s="4" t="str">
        <f t="array" ref="L2080">IF(ROWS(L$20:L2080)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2080))))</f>
        <v/>
      </c>
      <c r="M2080" s="4" t="str">
        <f t="array" ref="M2080">IF(ROWS(M$20:M2080)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2080))))</f>
        <v/>
      </c>
    </row>
    <row r="2081" spans="1:13" x14ac:dyDescent="0.25">
      <c r="A2081" s="3">
        <v>41577</v>
      </c>
      <c r="B2081" s="2" t="s">
        <v>10</v>
      </c>
      <c r="C2081" s="2">
        <v>45</v>
      </c>
      <c r="G2081" s="7" t="str">
        <f t="array" ref="G2081">IF(ROWS(K$20:K2081)&gt;$F$6,"",INDEX(A$2:A$10000,SMALL(IF(ISNUMBER(MATCH($B$2:$B$10000,$E$6:$E$22,0)),ROW($C$2:$C$10000)-ROW($C$2)+1),ROWS(K$20:K2081))))</f>
        <v/>
      </c>
      <c r="H2081" s="4" t="str">
        <f t="array" ref="H2081">IF(ROWS(L$20:L2081)&gt;$F$6,"",INDEX(B$2:B$10000,SMALL(IF(ISNUMBER(MATCH($B$2:$B$10000,$E$6:$E$22,0)),ROW($C$2:$C$10000)-ROW($C$2)+1),ROWS(L$20:L2081))))</f>
        <v/>
      </c>
      <c r="I2081" s="4" t="str">
        <f t="array" ref="I2081">IF(ROWS(M$20:M2081)&gt;$F$6,"",INDEX(C$2:C$10000,SMALL(IF(ISNUMBER(MATCH($B$2:$B$10000,$E$6:$E$22,0)),ROW($C$2:$C$10000)-ROW($C$2)+1),ROWS(M$20:M2081))))</f>
        <v/>
      </c>
      <c r="K2081" s="7" t="str">
        <f t="array" ref="K2081">IF(ROWS(K$20:K2081)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2081))))</f>
        <v/>
      </c>
      <c r="L2081" s="4" t="str">
        <f t="array" ref="L2081">IF(ROWS(L$20:L2081)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2081))))</f>
        <v/>
      </c>
      <c r="M2081" s="4" t="str">
        <f t="array" ref="M2081">IF(ROWS(M$20:M2081)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2081))))</f>
        <v/>
      </c>
    </row>
    <row r="2082" spans="1:13" x14ac:dyDescent="0.25">
      <c r="A2082" s="3">
        <v>41376</v>
      </c>
      <c r="B2082" s="2" t="s">
        <v>42</v>
      </c>
      <c r="C2082" s="2">
        <v>23</v>
      </c>
      <c r="G2082" s="7" t="str">
        <f t="array" ref="G2082">IF(ROWS(K$20:K2082)&gt;$F$6,"",INDEX(A$2:A$10000,SMALL(IF(ISNUMBER(MATCH($B$2:$B$10000,$E$6:$E$22,0)),ROW($C$2:$C$10000)-ROW($C$2)+1),ROWS(K$20:K2082))))</f>
        <v/>
      </c>
      <c r="H2082" s="4" t="str">
        <f t="array" ref="H2082">IF(ROWS(L$20:L2082)&gt;$F$6,"",INDEX(B$2:B$10000,SMALL(IF(ISNUMBER(MATCH($B$2:$B$10000,$E$6:$E$22,0)),ROW($C$2:$C$10000)-ROW($C$2)+1),ROWS(L$20:L2082))))</f>
        <v/>
      </c>
      <c r="I2082" s="4" t="str">
        <f t="array" ref="I2082">IF(ROWS(M$20:M2082)&gt;$F$6,"",INDEX(C$2:C$10000,SMALL(IF(ISNUMBER(MATCH($B$2:$B$10000,$E$6:$E$22,0)),ROW($C$2:$C$10000)-ROW($C$2)+1),ROWS(M$20:M2082))))</f>
        <v/>
      </c>
      <c r="K2082" s="7" t="str">
        <f t="array" ref="K2082">IF(ROWS(K$20:K2082)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2082))))</f>
        <v/>
      </c>
      <c r="L2082" s="4" t="str">
        <f t="array" ref="L2082">IF(ROWS(L$20:L2082)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2082))))</f>
        <v/>
      </c>
      <c r="M2082" s="4" t="str">
        <f t="array" ref="M2082">IF(ROWS(M$20:M2082)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2082))))</f>
        <v/>
      </c>
    </row>
    <row r="2083" spans="1:13" x14ac:dyDescent="0.25">
      <c r="A2083" s="3">
        <v>41990</v>
      </c>
      <c r="B2083" s="2" t="s">
        <v>15</v>
      </c>
      <c r="C2083" s="2">
        <v>27</v>
      </c>
      <c r="G2083" s="7" t="str">
        <f t="array" ref="G2083">IF(ROWS(K$20:K2083)&gt;$F$6,"",INDEX(A$2:A$10000,SMALL(IF(ISNUMBER(MATCH($B$2:$B$10000,$E$6:$E$22,0)),ROW($C$2:$C$10000)-ROW($C$2)+1),ROWS(K$20:K2083))))</f>
        <v/>
      </c>
      <c r="H2083" s="4" t="str">
        <f t="array" ref="H2083">IF(ROWS(L$20:L2083)&gt;$F$6,"",INDEX(B$2:B$10000,SMALL(IF(ISNUMBER(MATCH($B$2:$B$10000,$E$6:$E$22,0)),ROW($C$2:$C$10000)-ROW($C$2)+1),ROWS(L$20:L2083))))</f>
        <v/>
      </c>
      <c r="I2083" s="4" t="str">
        <f t="array" ref="I2083">IF(ROWS(M$20:M2083)&gt;$F$6,"",INDEX(C$2:C$10000,SMALL(IF(ISNUMBER(MATCH($B$2:$B$10000,$E$6:$E$22,0)),ROW($C$2:$C$10000)-ROW($C$2)+1),ROWS(M$20:M2083))))</f>
        <v/>
      </c>
      <c r="K2083" s="7" t="str">
        <f t="array" ref="K2083">IF(ROWS(K$20:K2083)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2083))))</f>
        <v/>
      </c>
      <c r="L2083" s="4" t="str">
        <f t="array" ref="L2083">IF(ROWS(L$20:L2083)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2083))))</f>
        <v/>
      </c>
      <c r="M2083" s="4" t="str">
        <f t="array" ref="M2083">IF(ROWS(M$20:M2083)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2083))))</f>
        <v/>
      </c>
    </row>
    <row r="2084" spans="1:13" x14ac:dyDescent="0.25">
      <c r="A2084" s="3">
        <v>41626</v>
      </c>
      <c r="B2084" s="2" t="s">
        <v>39</v>
      </c>
      <c r="C2084" s="2">
        <v>48</v>
      </c>
      <c r="G2084" s="7" t="str">
        <f t="array" ref="G2084">IF(ROWS(K$20:K2084)&gt;$F$6,"",INDEX(A$2:A$10000,SMALL(IF(ISNUMBER(MATCH($B$2:$B$10000,$E$6:$E$22,0)),ROW($C$2:$C$10000)-ROW($C$2)+1),ROWS(K$20:K2084))))</f>
        <v/>
      </c>
      <c r="H2084" s="4" t="str">
        <f t="array" ref="H2084">IF(ROWS(L$20:L2084)&gt;$F$6,"",INDEX(B$2:B$10000,SMALL(IF(ISNUMBER(MATCH($B$2:$B$10000,$E$6:$E$22,0)),ROW($C$2:$C$10000)-ROW($C$2)+1),ROWS(L$20:L2084))))</f>
        <v/>
      </c>
      <c r="I2084" s="4" t="str">
        <f t="array" ref="I2084">IF(ROWS(M$20:M2084)&gt;$F$6,"",INDEX(C$2:C$10000,SMALL(IF(ISNUMBER(MATCH($B$2:$B$10000,$E$6:$E$22,0)),ROW($C$2:$C$10000)-ROW($C$2)+1),ROWS(M$20:M2084))))</f>
        <v/>
      </c>
      <c r="K2084" s="7" t="str">
        <f t="array" ref="K2084">IF(ROWS(K$20:K2084)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2084))))</f>
        <v/>
      </c>
      <c r="L2084" s="4" t="str">
        <f t="array" ref="L2084">IF(ROWS(L$20:L2084)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2084))))</f>
        <v/>
      </c>
      <c r="M2084" s="4" t="str">
        <f t="array" ref="M2084">IF(ROWS(M$20:M2084)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2084))))</f>
        <v/>
      </c>
    </row>
    <row r="2085" spans="1:13" x14ac:dyDescent="0.25">
      <c r="A2085" s="3">
        <v>41333</v>
      </c>
      <c r="B2085" s="2" t="s">
        <v>11</v>
      </c>
      <c r="C2085" s="2">
        <v>45</v>
      </c>
      <c r="G2085" s="7" t="str">
        <f t="array" ref="G2085">IF(ROWS(K$20:K2085)&gt;$F$6,"",INDEX(A$2:A$10000,SMALL(IF(ISNUMBER(MATCH($B$2:$B$10000,$E$6:$E$22,0)),ROW($C$2:$C$10000)-ROW($C$2)+1),ROWS(K$20:K2085))))</f>
        <v/>
      </c>
      <c r="H2085" s="4" t="str">
        <f t="array" ref="H2085">IF(ROWS(L$20:L2085)&gt;$F$6,"",INDEX(B$2:B$10000,SMALL(IF(ISNUMBER(MATCH($B$2:$B$10000,$E$6:$E$22,0)),ROW($C$2:$C$10000)-ROW($C$2)+1),ROWS(L$20:L2085))))</f>
        <v/>
      </c>
      <c r="I2085" s="4" t="str">
        <f t="array" ref="I2085">IF(ROWS(M$20:M2085)&gt;$F$6,"",INDEX(C$2:C$10000,SMALL(IF(ISNUMBER(MATCH($B$2:$B$10000,$E$6:$E$22,0)),ROW($C$2:$C$10000)-ROW($C$2)+1),ROWS(M$20:M2085))))</f>
        <v/>
      </c>
      <c r="K2085" s="7" t="str">
        <f t="array" ref="K2085">IF(ROWS(K$20:K2085)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2085))))</f>
        <v/>
      </c>
      <c r="L2085" s="4" t="str">
        <f t="array" ref="L2085">IF(ROWS(L$20:L2085)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2085))))</f>
        <v/>
      </c>
      <c r="M2085" s="4" t="str">
        <f t="array" ref="M2085">IF(ROWS(M$20:M2085)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2085))))</f>
        <v/>
      </c>
    </row>
    <row r="2086" spans="1:13" x14ac:dyDescent="0.25">
      <c r="A2086" s="3">
        <v>41869</v>
      </c>
      <c r="B2086" s="2" t="s">
        <v>4</v>
      </c>
      <c r="C2086" s="2">
        <v>15</v>
      </c>
      <c r="G2086" s="7" t="str">
        <f t="array" ref="G2086">IF(ROWS(K$20:K2086)&gt;$F$6,"",INDEX(A$2:A$10000,SMALL(IF(ISNUMBER(MATCH($B$2:$B$10000,$E$6:$E$22,0)),ROW($C$2:$C$10000)-ROW($C$2)+1),ROWS(K$20:K2086))))</f>
        <v/>
      </c>
      <c r="H2086" s="4" t="str">
        <f t="array" ref="H2086">IF(ROWS(L$20:L2086)&gt;$F$6,"",INDEX(B$2:B$10000,SMALL(IF(ISNUMBER(MATCH($B$2:$B$10000,$E$6:$E$22,0)),ROW($C$2:$C$10000)-ROW($C$2)+1),ROWS(L$20:L2086))))</f>
        <v/>
      </c>
      <c r="I2086" s="4" t="str">
        <f t="array" ref="I2086">IF(ROWS(M$20:M2086)&gt;$F$6,"",INDEX(C$2:C$10000,SMALL(IF(ISNUMBER(MATCH($B$2:$B$10000,$E$6:$E$22,0)),ROW($C$2:$C$10000)-ROW($C$2)+1),ROWS(M$20:M2086))))</f>
        <v/>
      </c>
      <c r="K2086" s="7" t="str">
        <f t="array" ref="K2086">IF(ROWS(K$20:K2086)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2086))))</f>
        <v/>
      </c>
      <c r="L2086" s="4" t="str">
        <f t="array" ref="L2086">IF(ROWS(L$20:L2086)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2086))))</f>
        <v/>
      </c>
      <c r="M2086" s="4" t="str">
        <f t="array" ref="M2086">IF(ROWS(M$20:M2086)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2086))))</f>
        <v/>
      </c>
    </row>
    <row r="2087" spans="1:13" x14ac:dyDescent="0.25">
      <c r="A2087" s="3">
        <v>41295</v>
      </c>
      <c r="B2087" s="2" t="s">
        <v>21</v>
      </c>
      <c r="C2087" s="2">
        <v>38</v>
      </c>
      <c r="G2087" s="7" t="str">
        <f t="array" ref="G2087">IF(ROWS(K$20:K2087)&gt;$F$6,"",INDEX(A$2:A$10000,SMALL(IF(ISNUMBER(MATCH($B$2:$B$10000,$E$6:$E$22,0)),ROW($C$2:$C$10000)-ROW($C$2)+1),ROWS(K$20:K2087))))</f>
        <v/>
      </c>
      <c r="H2087" s="4" t="str">
        <f t="array" ref="H2087">IF(ROWS(L$20:L2087)&gt;$F$6,"",INDEX(B$2:B$10000,SMALL(IF(ISNUMBER(MATCH($B$2:$B$10000,$E$6:$E$22,0)),ROW($C$2:$C$10000)-ROW($C$2)+1),ROWS(L$20:L2087))))</f>
        <v/>
      </c>
      <c r="I2087" s="4" t="str">
        <f t="array" ref="I2087">IF(ROWS(M$20:M2087)&gt;$F$6,"",INDEX(C$2:C$10000,SMALL(IF(ISNUMBER(MATCH($B$2:$B$10000,$E$6:$E$22,0)),ROW($C$2:$C$10000)-ROW($C$2)+1),ROWS(M$20:M2087))))</f>
        <v/>
      </c>
      <c r="K2087" s="7" t="str">
        <f t="array" ref="K2087">IF(ROWS(K$20:K2087)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2087))))</f>
        <v/>
      </c>
      <c r="L2087" s="4" t="str">
        <f t="array" ref="L2087">IF(ROWS(L$20:L2087)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2087))))</f>
        <v/>
      </c>
      <c r="M2087" s="4" t="str">
        <f t="array" ref="M2087">IF(ROWS(M$20:M2087)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2087))))</f>
        <v/>
      </c>
    </row>
    <row r="2088" spans="1:13" x14ac:dyDescent="0.25">
      <c r="A2088" s="3">
        <v>41949</v>
      </c>
      <c r="B2088" s="2" t="s">
        <v>21</v>
      </c>
      <c r="C2088" s="2">
        <v>3</v>
      </c>
      <c r="G2088" s="7" t="str">
        <f t="array" ref="G2088">IF(ROWS(K$20:K2088)&gt;$F$6,"",INDEX(A$2:A$10000,SMALL(IF(ISNUMBER(MATCH($B$2:$B$10000,$E$6:$E$22,0)),ROW($C$2:$C$10000)-ROW($C$2)+1),ROWS(K$20:K2088))))</f>
        <v/>
      </c>
      <c r="H2088" s="4" t="str">
        <f t="array" ref="H2088">IF(ROWS(L$20:L2088)&gt;$F$6,"",INDEX(B$2:B$10000,SMALL(IF(ISNUMBER(MATCH($B$2:$B$10000,$E$6:$E$22,0)),ROW($C$2:$C$10000)-ROW($C$2)+1),ROWS(L$20:L2088))))</f>
        <v/>
      </c>
      <c r="I2088" s="4" t="str">
        <f t="array" ref="I2088">IF(ROWS(M$20:M2088)&gt;$F$6,"",INDEX(C$2:C$10000,SMALL(IF(ISNUMBER(MATCH($B$2:$B$10000,$E$6:$E$22,0)),ROW($C$2:$C$10000)-ROW($C$2)+1),ROWS(M$20:M2088))))</f>
        <v/>
      </c>
      <c r="K2088" s="7" t="str">
        <f t="array" ref="K2088">IF(ROWS(K$20:K2088)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2088))))</f>
        <v/>
      </c>
      <c r="L2088" s="4" t="str">
        <f t="array" ref="L2088">IF(ROWS(L$20:L2088)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2088))))</f>
        <v/>
      </c>
      <c r="M2088" s="4" t="str">
        <f t="array" ref="M2088">IF(ROWS(M$20:M2088)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2088))))</f>
        <v/>
      </c>
    </row>
    <row r="2089" spans="1:13" x14ac:dyDescent="0.25">
      <c r="A2089" s="3">
        <v>41827</v>
      </c>
      <c r="B2089" s="2" t="s">
        <v>11</v>
      </c>
      <c r="C2089" s="2">
        <v>7</v>
      </c>
      <c r="G2089" s="7" t="str">
        <f t="array" ref="G2089">IF(ROWS(K$20:K2089)&gt;$F$6,"",INDEX(A$2:A$10000,SMALL(IF(ISNUMBER(MATCH($B$2:$B$10000,$E$6:$E$22,0)),ROW($C$2:$C$10000)-ROW($C$2)+1),ROWS(K$20:K2089))))</f>
        <v/>
      </c>
      <c r="H2089" s="4" t="str">
        <f t="array" ref="H2089">IF(ROWS(L$20:L2089)&gt;$F$6,"",INDEX(B$2:B$10000,SMALL(IF(ISNUMBER(MATCH($B$2:$B$10000,$E$6:$E$22,0)),ROW($C$2:$C$10000)-ROW($C$2)+1),ROWS(L$20:L2089))))</f>
        <v/>
      </c>
      <c r="I2089" s="4" t="str">
        <f t="array" ref="I2089">IF(ROWS(M$20:M2089)&gt;$F$6,"",INDEX(C$2:C$10000,SMALL(IF(ISNUMBER(MATCH($B$2:$B$10000,$E$6:$E$22,0)),ROW($C$2:$C$10000)-ROW($C$2)+1),ROWS(M$20:M2089))))</f>
        <v/>
      </c>
      <c r="K2089" s="7" t="str">
        <f t="array" ref="K2089">IF(ROWS(K$20:K2089)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2089))))</f>
        <v/>
      </c>
      <c r="L2089" s="4" t="str">
        <f t="array" ref="L2089">IF(ROWS(L$20:L2089)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2089))))</f>
        <v/>
      </c>
      <c r="M2089" s="4" t="str">
        <f t="array" ref="M2089">IF(ROWS(M$20:M2089)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2089))))</f>
        <v/>
      </c>
    </row>
    <row r="2090" spans="1:13" x14ac:dyDescent="0.25">
      <c r="A2090" s="3">
        <v>41851</v>
      </c>
      <c r="B2090" s="2" t="s">
        <v>23</v>
      </c>
      <c r="C2090" s="2">
        <v>31</v>
      </c>
      <c r="G2090" s="7" t="str">
        <f t="array" ref="G2090">IF(ROWS(K$20:K2090)&gt;$F$6,"",INDEX(A$2:A$10000,SMALL(IF(ISNUMBER(MATCH($B$2:$B$10000,$E$6:$E$22,0)),ROW($C$2:$C$10000)-ROW($C$2)+1),ROWS(K$20:K2090))))</f>
        <v/>
      </c>
      <c r="H2090" s="4" t="str">
        <f t="array" ref="H2090">IF(ROWS(L$20:L2090)&gt;$F$6,"",INDEX(B$2:B$10000,SMALL(IF(ISNUMBER(MATCH($B$2:$B$10000,$E$6:$E$22,0)),ROW($C$2:$C$10000)-ROW($C$2)+1),ROWS(L$20:L2090))))</f>
        <v/>
      </c>
      <c r="I2090" s="4" t="str">
        <f t="array" ref="I2090">IF(ROWS(M$20:M2090)&gt;$F$6,"",INDEX(C$2:C$10000,SMALL(IF(ISNUMBER(MATCH($B$2:$B$10000,$E$6:$E$22,0)),ROW($C$2:$C$10000)-ROW($C$2)+1),ROWS(M$20:M2090))))</f>
        <v/>
      </c>
      <c r="K2090" s="7" t="str">
        <f t="array" ref="K2090">IF(ROWS(K$20:K2090)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2090))))</f>
        <v/>
      </c>
      <c r="L2090" s="4" t="str">
        <f t="array" ref="L2090">IF(ROWS(L$20:L2090)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2090))))</f>
        <v/>
      </c>
      <c r="M2090" s="4" t="str">
        <f t="array" ref="M2090">IF(ROWS(M$20:M2090)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2090))))</f>
        <v/>
      </c>
    </row>
    <row r="2091" spans="1:13" x14ac:dyDescent="0.25">
      <c r="A2091" s="3">
        <v>41725</v>
      </c>
      <c r="B2091" s="2" t="s">
        <v>28</v>
      </c>
      <c r="C2091" s="2">
        <v>19</v>
      </c>
      <c r="G2091" s="7" t="str">
        <f t="array" ref="G2091">IF(ROWS(K$20:K2091)&gt;$F$6,"",INDEX(A$2:A$10000,SMALL(IF(ISNUMBER(MATCH($B$2:$B$10000,$E$6:$E$22,0)),ROW($C$2:$C$10000)-ROW($C$2)+1),ROWS(K$20:K2091))))</f>
        <v/>
      </c>
      <c r="H2091" s="4" t="str">
        <f t="array" ref="H2091">IF(ROWS(L$20:L2091)&gt;$F$6,"",INDEX(B$2:B$10000,SMALL(IF(ISNUMBER(MATCH($B$2:$B$10000,$E$6:$E$22,0)),ROW($C$2:$C$10000)-ROW($C$2)+1),ROWS(L$20:L2091))))</f>
        <v/>
      </c>
      <c r="I2091" s="4" t="str">
        <f t="array" ref="I2091">IF(ROWS(M$20:M2091)&gt;$F$6,"",INDEX(C$2:C$10000,SMALL(IF(ISNUMBER(MATCH($B$2:$B$10000,$E$6:$E$22,0)),ROW($C$2:$C$10000)-ROW($C$2)+1),ROWS(M$20:M2091))))</f>
        <v/>
      </c>
      <c r="K2091" s="7" t="str">
        <f t="array" ref="K2091">IF(ROWS(K$20:K2091)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2091))))</f>
        <v/>
      </c>
      <c r="L2091" s="4" t="str">
        <f t="array" ref="L2091">IF(ROWS(L$20:L2091)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2091))))</f>
        <v/>
      </c>
      <c r="M2091" s="4" t="str">
        <f t="array" ref="M2091">IF(ROWS(M$20:M2091)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2091))))</f>
        <v/>
      </c>
    </row>
    <row r="2092" spans="1:13" x14ac:dyDescent="0.25">
      <c r="A2092" s="3">
        <v>41543</v>
      </c>
      <c r="B2092" s="2" t="s">
        <v>36</v>
      </c>
      <c r="C2092" s="2">
        <v>33</v>
      </c>
      <c r="G2092" s="7" t="str">
        <f t="array" ref="G2092">IF(ROWS(K$20:K2092)&gt;$F$6,"",INDEX(A$2:A$10000,SMALL(IF(ISNUMBER(MATCH($B$2:$B$10000,$E$6:$E$22,0)),ROW($C$2:$C$10000)-ROW($C$2)+1),ROWS(K$20:K2092))))</f>
        <v/>
      </c>
      <c r="H2092" s="4" t="str">
        <f t="array" ref="H2092">IF(ROWS(L$20:L2092)&gt;$F$6,"",INDEX(B$2:B$10000,SMALL(IF(ISNUMBER(MATCH($B$2:$B$10000,$E$6:$E$22,0)),ROW($C$2:$C$10000)-ROW($C$2)+1),ROWS(L$20:L2092))))</f>
        <v/>
      </c>
      <c r="I2092" s="4" t="str">
        <f t="array" ref="I2092">IF(ROWS(M$20:M2092)&gt;$F$6,"",INDEX(C$2:C$10000,SMALL(IF(ISNUMBER(MATCH($B$2:$B$10000,$E$6:$E$22,0)),ROW($C$2:$C$10000)-ROW($C$2)+1),ROWS(M$20:M2092))))</f>
        <v/>
      </c>
      <c r="K2092" s="7" t="str">
        <f t="array" ref="K2092">IF(ROWS(K$20:K2092)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2092))))</f>
        <v/>
      </c>
      <c r="L2092" s="4" t="str">
        <f t="array" ref="L2092">IF(ROWS(L$20:L2092)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2092))))</f>
        <v/>
      </c>
      <c r="M2092" s="4" t="str">
        <f t="array" ref="M2092">IF(ROWS(M$20:M2092)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2092))))</f>
        <v/>
      </c>
    </row>
    <row r="2093" spans="1:13" x14ac:dyDescent="0.25">
      <c r="A2093" s="3">
        <v>41550</v>
      </c>
      <c r="B2093" s="2" t="s">
        <v>40</v>
      </c>
      <c r="C2093" s="2">
        <v>18</v>
      </c>
      <c r="G2093" s="7" t="str">
        <f t="array" ref="G2093">IF(ROWS(K$20:K2093)&gt;$F$6,"",INDEX(A$2:A$10000,SMALL(IF(ISNUMBER(MATCH($B$2:$B$10000,$E$6:$E$22,0)),ROW($C$2:$C$10000)-ROW($C$2)+1),ROWS(K$20:K2093))))</f>
        <v/>
      </c>
      <c r="H2093" s="4" t="str">
        <f t="array" ref="H2093">IF(ROWS(L$20:L2093)&gt;$F$6,"",INDEX(B$2:B$10000,SMALL(IF(ISNUMBER(MATCH($B$2:$B$10000,$E$6:$E$22,0)),ROW($C$2:$C$10000)-ROW($C$2)+1),ROWS(L$20:L2093))))</f>
        <v/>
      </c>
      <c r="I2093" s="4" t="str">
        <f t="array" ref="I2093">IF(ROWS(M$20:M2093)&gt;$F$6,"",INDEX(C$2:C$10000,SMALL(IF(ISNUMBER(MATCH($B$2:$B$10000,$E$6:$E$22,0)),ROW($C$2:$C$10000)-ROW($C$2)+1),ROWS(M$20:M2093))))</f>
        <v/>
      </c>
      <c r="K2093" s="7" t="str">
        <f t="array" ref="K2093">IF(ROWS(K$20:K2093)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2093))))</f>
        <v/>
      </c>
      <c r="L2093" s="4" t="str">
        <f t="array" ref="L2093">IF(ROWS(L$20:L2093)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2093))))</f>
        <v/>
      </c>
      <c r="M2093" s="4" t="str">
        <f t="array" ref="M2093">IF(ROWS(M$20:M2093)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2093))))</f>
        <v/>
      </c>
    </row>
    <row r="2094" spans="1:13" x14ac:dyDescent="0.25">
      <c r="A2094" s="3">
        <v>41665</v>
      </c>
      <c r="B2094" s="2" t="s">
        <v>22</v>
      </c>
      <c r="C2094" s="2">
        <v>30</v>
      </c>
      <c r="G2094" s="7" t="str">
        <f t="array" ref="G2094">IF(ROWS(K$20:K2094)&gt;$F$6,"",INDEX(A$2:A$10000,SMALL(IF(ISNUMBER(MATCH($B$2:$B$10000,$E$6:$E$22,0)),ROW($C$2:$C$10000)-ROW($C$2)+1),ROWS(K$20:K2094))))</f>
        <v/>
      </c>
      <c r="H2094" s="4" t="str">
        <f t="array" ref="H2094">IF(ROWS(L$20:L2094)&gt;$F$6,"",INDEX(B$2:B$10000,SMALL(IF(ISNUMBER(MATCH($B$2:$B$10000,$E$6:$E$22,0)),ROW($C$2:$C$10000)-ROW($C$2)+1),ROWS(L$20:L2094))))</f>
        <v/>
      </c>
      <c r="I2094" s="4" t="str">
        <f t="array" ref="I2094">IF(ROWS(M$20:M2094)&gt;$F$6,"",INDEX(C$2:C$10000,SMALL(IF(ISNUMBER(MATCH($B$2:$B$10000,$E$6:$E$22,0)),ROW($C$2:$C$10000)-ROW($C$2)+1),ROWS(M$20:M2094))))</f>
        <v/>
      </c>
      <c r="K2094" s="7" t="str">
        <f t="array" ref="K2094">IF(ROWS(K$20:K2094)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2094))))</f>
        <v/>
      </c>
      <c r="L2094" s="4" t="str">
        <f t="array" ref="L2094">IF(ROWS(L$20:L2094)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2094))))</f>
        <v/>
      </c>
      <c r="M2094" s="4" t="str">
        <f t="array" ref="M2094">IF(ROWS(M$20:M2094)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2094))))</f>
        <v/>
      </c>
    </row>
    <row r="2095" spans="1:13" x14ac:dyDescent="0.25">
      <c r="A2095" s="3">
        <v>41719</v>
      </c>
      <c r="B2095" s="2" t="s">
        <v>51</v>
      </c>
      <c r="C2095" s="2">
        <v>12</v>
      </c>
      <c r="G2095" s="7" t="str">
        <f t="array" ref="G2095">IF(ROWS(K$20:K2095)&gt;$F$6,"",INDEX(A$2:A$10000,SMALL(IF(ISNUMBER(MATCH($B$2:$B$10000,$E$6:$E$22,0)),ROW($C$2:$C$10000)-ROW($C$2)+1),ROWS(K$20:K2095))))</f>
        <v/>
      </c>
      <c r="H2095" s="4" t="str">
        <f t="array" ref="H2095">IF(ROWS(L$20:L2095)&gt;$F$6,"",INDEX(B$2:B$10000,SMALL(IF(ISNUMBER(MATCH($B$2:$B$10000,$E$6:$E$22,0)),ROW($C$2:$C$10000)-ROW($C$2)+1),ROWS(L$20:L2095))))</f>
        <v/>
      </c>
      <c r="I2095" s="4" t="str">
        <f t="array" ref="I2095">IF(ROWS(M$20:M2095)&gt;$F$6,"",INDEX(C$2:C$10000,SMALL(IF(ISNUMBER(MATCH($B$2:$B$10000,$E$6:$E$22,0)),ROW($C$2:$C$10000)-ROW($C$2)+1),ROWS(M$20:M2095))))</f>
        <v/>
      </c>
      <c r="K2095" s="7" t="str">
        <f t="array" ref="K2095">IF(ROWS(K$20:K2095)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2095))))</f>
        <v/>
      </c>
      <c r="L2095" s="4" t="str">
        <f t="array" ref="L2095">IF(ROWS(L$20:L2095)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2095))))</f>
        <v/>
      </c>
      <c r="M2095" s="4" t="str">
        <f t="array" ref="M2095">IF(ROWS(M$20:M2095)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2095))))</f>
        <v/>
      </c>
    </row>
    <row r="2096" spans="1:13" x14ac:dyDescent="0.25">
      <c r="A2096" s="3">
        <v>41600</v>
      </c>
      <c r="B2096" s="2" t="s">
        <v>23</v>
      </c>
      <c r="C2096" s="2">
        <v>23</v>
      </c>
      <c r="G2096" s="7" t="str">
        <f t="array" ref="G2096">IF(ROWS(K$20:K2096)&gt;$F$6,"",INDEX(A$2:A$10000,SMALL(IF(ISNUMBER(MATCH($B$2:$B$10000,$E$6:$E$22,0)),ROW($C$2:$C$10000)-ROW($C$2)+1),ROWS(K$20:K2096))))</f>
        <v/>
      </c>
      <c r="H2096" s="4" t="str">
        <f t="array" ref="H2096">IF(ROWS(L$20:L2096)&gt;$F$6,"",INDEX(B$2:B$10000,SMALL(IF(ISNUMBER(MATCH($B$2:$B$10000,$E$6:$E$22,0)),ROW($C$2:$C$10000)-ROW($C$2)+1),ROWS(L$20:L2096))))</f>
        <v/>
      </c>
      <c r="I2096" s="4" t="str">
        <f t="array" ref="I2096">IF(ROWS(M$20:M2096)&gt;$F$6,"",INDEX(C$2:C$10000,SMALL(IF(ISNUMBER(MATCH($B$2:$B$10000,$E$6:$E$22,0)),ROW($C$2:$C$10000)-ROW($C$2)+1),ROWS(M$20:M2096))))</f>
        <v/>
      </c>
      <c r="K2096" s="7" t="str">
        <f t="array" ref="K2096">IF(ROWS(K$20:K2096)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2096))))</f>
        <v/>
      </c>
      <c r="L2096" s="4" t="str">
        <f t="array" ref="L2096">IF(ROWS(L$20:L2096)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2096))))</f>
        <v/>
      </c>
      <c r="M2096" s="4" t="str">
        <f t="array" ref="M2096">IF(ROWS(M$20:M2096)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2096))))</f>
        <v/>
      </c>
    </row>
    <row r="2097" spans="1:13" x14ac:dyDescent="0.25">
      <c r="A2097" s="3">
        <v>41423</v>
      </c>
      <c r="B2097" s="2" t="s">
        <v>48</v>
      </c>
      <c r="C2097" s="2">
        <v>41</v>
      </c>
      <c r="G2097" s="7" t="str">
        <f t="array" ref="G2097">IF(ROWS(K$20:K2097)&gt;$F$6,"",INDEX(A$2:A$10000,SMALL(IF(ISNUMBER(MATCH($B$2:$B$10000,$E$6:$E$22,0)),ROW($C$2:$C$10000)-ROW($C$2)+1),ROWS(K$20:K2097))))</f>
        <v/>
      </c>
      <c r="H2097" s="4" t="str">
        <f t="array" ref="H2097">IF(ROWS(L$20:L2097)&gt;$F$6,"",INDEX(B$2:B$10000,SMALL(IF(ISNUMBER(MATCH($B$2:$B$10000,$E$6:$E$22,0)),ROW($C$2:$C$10000)-ROW($C$2)+1),ROWS(L$20:L2097))))</f>
        <v/>
      </c>
      <c r="I2097" s="4" t="str">
        <f t="array" ref="I2097">IF(ROWS(M$20:M2097)&gt;$F$6,"",INDEX(C$2:C$10000,SMALL(IF(ISNUMBER(MATCH($B$2:$B$10000,$E$6:$E$22,0)),ROW($C$2:$C$10000)-ROW($C$2)+1),ROWS(M$20:M2097))))</f>
        <v/>
      </c>
      <c r="K2097" s="7" t="str">
        <f t="array" ref="K2097">IF(ROWS(K$20:K2097)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2097))))</f>
        <v/>
      </c>
      <c r="L2097" s="4" t="str">
        <f t="array" ref="L2097">IF(ROWS(L$20:L2097)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2097))))</f>
        <v/>
      </c>
      <c r="M2097" s="4" t="str">
        <f t="array" ref="M2097">IF(ROWS(M$20:M2097)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2097))))</f>
        <v/>
      </c>
    </row>
    <row r="2098" spans="1:13" x14ac:dyDescent="0.25">
      <c r="A2098" s="3">
        <v>41486</v>
      </c>
      <c r="B2098" s="2" t="s">
        <v>20</v>
      </c>
      <c r="C2098" s="2">
        <v>38</v>
      </c>
      <c r="G2098" s="7" t="str">
        <f t="array" ref="G2098">IF(ROWS(K$20:K2098)&gt;$F$6,"",INDEX(A$2:A$10000,SMALL(IF(ISNUMBER(MATCH($B$2:$B$10000,$E$6:$E$22,0)),ROW($C$2:$C$10000)-ROW($C$2)+1),ROWS(K$20:K2098))))</f>
        <v/>
      </c>
      <c r="H2098" s="4" t="str">
        <f t="array" ref="H2098">IF(ROWS(L$20:L2098)&gt;$F$6,"",INDEX(B$2:B$10000,SMALL(IF(ISNUMBER(MATCH($B$2:$B$10000,$E$6:$E$22,0)),ROW($C$2:$C$10000)-ROW($C$2)+1),ROWS(L$20:L2098))))</f>
        <v/>
      </c>
      <c r="I2098" s="4" t="str">
        <f t="array" ref="I2098">IF(ROWS(M$20:M2098)&gt;$F$6,"",INDEX(C$2:C$10000,SMALL(IF(ISNUMBER(MATCH($B$2:$B$10000,$E$6:$E$22,0)),ROW($C$2:$C$10000)-ROW($C$2)+1),ROWS(M$20:M2098))))</f>
        <v/>
      </c>
      <c r="K2098" s="7" t="str">
        <f t="array" ref="K2098">IF(ROWS(K$20:K2098)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2098))))</f>
        <v/>
      </c>
      <c r="L2098" s="4" t="str">
        <f t="array" ref="L2098">IF(ROWS(L$20:L2098)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2098))))</f>
        <v/>
      </c>
      <c r="M2098" s="4" t="str">
        <f t="array" ref="M2098">IF(ROWS(M$20:M2098)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2098))))</f>
        <v/>
      </c>
    </row>
    <row r="2099" spans="1:13" x14ac:dyDescent="0.25">
      <c r="A2099" s="3">
        <v>41365</v>
      </c>
      <c r="B2099" s="2" t="s">
        <v>6</v>
      </c>
      <c r="C2099" s="2">
        <v>22</v>
      </c>
      <c r="G2099" s="7" t="str">
        <f t="array" ref="G2099">IF(ROWS(K$20:K2099)&gt;$F$6,"",INDEX(A$2:A$10000,SMALL(IF(ISNUMBER(MATCH($B$2:$B$10000,$E$6:$E$22,0)),ROW($C$2:$C$10000)-ROW($C$2)+1),ROWS(K$20:K2099))))</f>
        <v/>
      </c>
      <c r="H2099" s="4" t="str">
        <f t="array" ref="H2099">IF(ROWS(L$20:L2099)&gt;$F$6,"",INDEX(B$2:B$10000,SMALL(IF(ISNUMBER(MATCH($B$2:$B$10000,$E$6:$E$22,0)),ROW($C$2:$C$10000)-ROW($C$2)+1),ROWS(L$20:L2099))))</f>
        <v/>
      </c>
      <c r="I2099" s="4" t="str">
        <f t="array" ref="I2099">IF(ROWS(M$20:M2099)&gt;$F$6,"",INDEX(C$2:C$10000,SMALL(IF(ISNUMBER(MATCH($B$2:$B$10000,$E$6:$E$22,0)),ROW($C$2:$C$10000)-ROW($C$2)+1),ROWS(M$20:M2099))))</f>
        <v/>
      </c>
      <c r="K2099" s="7" t="str">
        <f t="array" ref="K2099">IF(ROWS(K$20:K2099)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2099))))</f>
        <v/>
      </c>
      <c r="L2099" s="4" t="str">
        <f t="array" ref="L2099">IF(ROWS(L$20:L2099)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2099))))</f>
        <v/>
      </c>
      <c r="M2099" s="4" t="str">
        <f t="array" ref="M2099">IF(ROWS(M$20:M2099)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2099))))</f>
        <v/>
      </c>
    </row>
    <row r="2100" spans="1:13" x14ac:dyDescent="0.25">
      <c r="A2100" s="3">
        <v>41280</v>
      </c>
      <c r="B2100" s="2" t="s">
        <v>18</v>
      </c>
      <c r="C2100" s="2">
        <v>34</v>
      </c>
      <c r="G2100" s="7" t="str">
        <f t="array" ref="G2100">IF(ROWS(K$20:K2100)&gt;$F$6,"",INDEX(A$2:A$10000,SMALL(IF(ISNUMBER(MATCH($B$2:$B$10000,$E$6:$E$22,0)),ROW($C$2:$C$10000)-ROW($C$2)+1),ROWS(K$20:K2100))))</f>
        <v/>
      </c>
      <c r="H2100" s="4" t="str">
        <f t="array" ref="H2100">IF(ROWS(L$20:L2100)&gt;$F$6,"",INDEX(B$2:B$10000,SMALL(IF(ISNUMBER(MATCH($B$2:$B$10000,$E$6:$E$22,0)),ROW($C$2:$C$10000)-ROW($C$2)+1),ROWS(L$20:L2100))))</f>
        <v/>
      </c>
      <c r="I2100" s="4" t="str">
        <f t="array" ref="I2100">IF(ROWS(M$20:M2100)&gt;$F$6,"",INDEX(C$2:C$10000,SMALL(IF(ISNUMBER(MATCH($B$2:$B$10000,$E$6:$E$22,0)),ROW($C$2:$C$10000)-ROW($C$2)+1),ROWS(M$20:M2100))))</f>
        <v/>
      </c>
      <c r="K2100" s="7" t="str">
        <f t="array" ref="K2100">IF(ROWS(K$20:K2100)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2100))))</f>
        <v/>
      </c>
      <c r="L2100" s="4" t="str">
        <f t="array" ref="L2100">IF(ROWS(L$20:L2100)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2100))))</f>
        <v/>
      </c>
      <c r="M2100" s="4" t="str">
        <f t="array" ref="M2100">IF(ROWS(M$20:M2100)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2100))))</f>
        <v/>
      </c>
    </row>
    <row r="2101" spans="1:13" x14ac:dyDescent="0.25">
      <c r="A2101" s="3">
        <v>41680</v>
      </c>
      <c r="B2101" s="2" t="s">
        <v>32</v>
      </c>
      <c r="C2101" s="2">
        <v>37</v>
      </c>
      <c r="G2101" s="7" t="str">
        <f t="array" ref="G2101">IF(ROWS(K$20:K2101)&gt;$F$6,"",INDEX(A$2:A$10000,SMALL(IF(ISNUMBER(MATCH($B$2:$B$10000,$E$6:$E$22,0)),ROW($C$2:$C$10000)-ROW($C$2)+1),ROWS(K$20:K2101))))</f>
        <v/>
      </c>
      <c r="H2101" s="4" t="str">
        <f t="array" ref="H2101">IF(ROWS(L$20:L2101)&gt;$F$6,"",INDEX(B$2:B$10000,SMALL(IF(ISNUMBER(MATCH($B$2:$B$10000,$E$6:$E$22,0)),ROW($C$2:$C$10000)-ROW($C$2)+1),ROWS(L$20:L2101))))</f>
        <v/>
      </c>
      <c r="I2101" s="4" t="str">
        <f t="array" ref="I2101">IF(ROWS(M$20:M2101)&gt;$F$6,"",INDEX(C$2:C$10000,SMALL(IF(ISNUMBER(MATCH($B$2:$B$10000,$E$6:$E$22,0)),ROW($C$2:$C$10000)-ROW($C$2)+1),ROWS(M$20:M2101))))</f>
        <v/>
      </c>
      <c r="K2101" s="7" t="str">
        <f t="array" ref="K2101">IF(ROWS(K$20:K2101)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2101))))</f>
        <v/>
      </c>
      <c r="L2101" s="4" t="str">
        <f t="array" ref="L2101">IF(ROWS(L$20:L2101)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2101))))</f>
        <v/>
      </c>
      <c r="M2101" s="4" t="str">
        <f t="array" ref="M2101">IF(ROWS(M$20:M2101)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2101))))</f>
        <v/>
      </c>
    </row>
    <row r="2102" spans="1:13" x14ac:dyDescent="0.25">
      <c r="A2102" s="3">
        <v>41516</v>
      </c>
      <c r="B2102" s="2" t="s">
        <v>23</v>
      </c>
      <c r="C2102" s="2">
        <v>47</v>
      </c>
      <c r="G2102" s="7" t="str">
        <f t="array" ref="G2102">IF(ROWS(K$20:K2102)&gt;$F$6,"",INDEX(A$2:A$10000,SMALL(IF(ISNUMBER(MATCH($B$2:$B$10000,$E$6:$E$22,0)),ROW($C$2:$C$10000)-ROW($C$2)+1),ROWS(K$20:K2102))))</f>
        <v/>
      </c>
      <c r="H2102" s="4" t="str">
        <f t="array" ref="H2102">IF(ROWS(L$20:L2102)&gt;$F$6,"",INDEX(B$2:B$10000,SMALL(IF(ISNUMBER(MATCH($B$2:$B$10000,$E$6:$E$22,0)),ROW($C$2:$C$10000)-ROW($C$2)+1),ROWS(L$20:L2102))))</f>
        <v/>
      </c>
      <c r="I2102" s="4" t="str">
        <f t="array" ref="I2102">IF(ROWS(M$20:M2102)&gt;$F$6,"",INDEX(C$2:C$10000,SMALL(IF(ISNUMBER(MATCH($B$2:$B$10000,$E$6:$E$22,0)),ROW($C$2:$C$10000)-ROW($C$2)+1),ROWS(M$20:M2102))))</f>
        <v/>
      </c>
      <c r="K2102" s="7" t="str">
        <f t="array" ref="K2102">IF(ROWS(K$20:K2102)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2102))))</f>
        <v/>
      </c>
      <c r="L2102" s="4" t="str">
        <f t="array" ref="L2102">IF(ROWS(L$20:L2102)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2102))))</f>
        <v/>
      </c>
      <c r="M2102" s="4" t="str">
        <f t="array" ref="M2102">IF(ROWS(M$20:M2102)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2102))))</f>
        <v/>
      </c>
    </row>
    <row r="2103" spans="1:13" x14ac:dyDescent="0.25">
      <c r="A2103" s="3">
        <v>41405</v>
      </c>
      <c r="B2103" s="2" t="s">
        <v>10</v>
      </c>
      <c r="C2103" s="2">
        <v>21</v>
      </c>
      <c r="G2103" s="7" t="str">
        <f t="array" ref="G2103">IF(ROWS(K$20:K2103)&gt;$F$6,"",INDEX(A$2:A$10000,SMALL(IF(ISNUMBER(MATCH($B$2:$B$10000,$E$6:$E$22,0)),ROW($C$2:$C$10000)-ROW($C$2)+1),ROWS(K$20:K2103))))</f>
        <v/>
      </c>
      <c r="H2103" s="4" t="str">
        <f t="array" ref="H2103">IF(ROWS(L$20:L2103)&gt;$F$6,"",INDEX(B$2:B$10000,SMALL(IF(ISNUMBER(MATCH($B$2:$B$10000,$E$6:$E$22,0)),ROW($C$2:$C$10000)-ROW($C$2)+1),ROWS(L$20:L2103))))</f>
        <v/>
      </c>
      <c r="I2103" s="4" t="str">
        <f t="array" ref="I2103">IF(ROWS(M$20:M2103)&gt;$F$6,"",INDEX(C$2:C$10000,SMALL(IF(ISNUMBER(MATCH($B$2:$B$10000,$E$6:$E$22,0)),ROW($C$2:$C$10000)-ROW($C$2)+1),ROWS(M$20:M2103))))</f>
        <v/>
      </c>
      <c r="K2103" s="7" t="str">
        <f t="array" ref="K2103">IF(ROWS(K$20:K2103)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2103))))</f>
        <v/>
      </c>
      <c r="L2103" s="4" t="str">
        <f t="array" ref="L2103">IF(ROWS(L$20:L2103)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2103))))</f>
        <v/>
      </c>
      <c r="M2103" s="4" t="str">
        <f t="array" ref="M2103">IF(ROWS(M$20:M2103)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2103))))</f>
        <v/>
      </c>
    </row>
    <row r="2104" spans="1:13" x14ac:dyDescent="0.25">
      <c r="A2104" s="3">
        <v>41492</v>
      </c>
      <c r="B2104" s="2" t="s">
        <v>10</v>
      </c>
      <c r="C2104" s="2">
        <v>36</v>
      </c>
      <c r="G2104" s="7" t="str">
        <f t="array" ref="G2104">IF(ROWS(K$20:K2104)&gt;$F$6,"",INDEX(A$2:A$10000,SMALL(IF(ISNUMBER(MATCH($B$2:$B$10000,$E$6:$E$22,0)),ROW($C$2:$C$10000)-ROW($C$2)+1),ROWS(K$20:K2104))))</f>
        <v/>
      </c>
      <c r="H2104" s="4" t="str">
        <f t="array" ref="H2104">IF(ROWS(L$20:L2104)&gt;$F$6,"",INDEX(B$2:B$10000,SMALL(IF(ISNUMBER(MATCH($B$2:$B$10000,$E$6:$E$22,0)),ROW($C$2:$C$10000)-ROW($C$2)+1),ROWS(L$20:L2104))))</f>
        <v/>
      </c>
      <c r="I2104" s="4" t="str">
        <f t="array" ref="I2104">IF(ROWS(M$20:M2104)&gt;$F$6,"",INDEX(C$2:C$10000,SMALL(IF(ISNUMBER(MATCH($B$2:$B$10000,$E$6:$E$22,0)),ROW($C$2:$C$10000)-ROW($C$2)+1),ROWS(M$20:M2104))))</f>
        <v/>
      </c>
      <c r="K2104" s="7" t="str">
        <f t="array" ref="K2104">IF(ROWS(K$20:K2104)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2104))))</f>
        <v/>
      </c>
      <c r="L2104" s="4" t="str">
        <f t="array" ref="L2104">IF(ROWS(L$20:L2104)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2104))))</f>
        <v/>
      </c>
      <c r="M2104" s="4" t="str">
        <f t="array" ref="M2104">IF(ROWS(M$20:M2104)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2104))))</f>
        <v/>
      </c>
    </row>
    <row r="2105" spans="1:13" x14ac:dyDescent="0.25">
      <c r="A2105" s="3">
        <v>41952</v>
      </c>
      <c r="B2105" s="2" t="s">
        <v>28</v>
      </c>
      <c r="C2105" s="2">
        <v>25</v>
      </c>
      <c r="G2105" s="7" t="str">
        <f t="array" ref="G2105">IF(ROWS(K$20:K2105)&gt;$F$6,"",INDEX(A$2:A$10000,SMALL(IF(ISNUMBER(MATCH($B$2:$B$10000,$E$6:$E$22,0)),ROW($C$2:$C$10000)-ROW($C$2)+1),ROWS(K$20:K2105))))</f>
        <v/>
      </c>
      <c r="H2105" s="4" t="str">
        <f t="array" ref="H2105">IF(ROWS(L$20:L2105)&gt;$F$6,"",INDEX(B$2:B$10000,SMALL(IF(ISNUMBER(MATCH($B$2:$B$10000,$E$6:$E$22,0)),ROW($C$2:$C$10000)-ROW($C$2)+1),ROWS(L$20:L2105))))</f>
        <v/>
      </c>
      <c r="I2105" s="4" t="str">
        <f t="array" ref="I2105">IF(ROWS(M$20:M2105)&gt;$F$6,"",INDEX(C$2:C$10000,SMALL(IF(ISNUMBER(MATCH($B$2:$B$10000,$E$6:$E$22,0)),ROW($C$2:$C$10000)-ROW($C$2)+1),ROWS(M$20:M2105))))</f>
        <v/>
      </c>
      <c r="K2105" s="7" t="str">
        <f t="array" ref="K2105">IF(ROWS(K$20:K2105)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2105))))</f>
        <v/>
      </c>
      <c r="L2105" s="4" t="str">
        <f t="array" ref="L2105">IF(ROWS(L$20:L2105)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2105))))</f>
        <v/>
      </c>
      <c r="M2105" s="4" t="str">
        <f t="array" ref="M2105">IF(ROWS(M$20:M2105)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2105))))</f>
        <v/>
      </c>
    </row>
    <row r="2106" spans="1:13" x14ac:dyDescent="0.25">
      <c r="A2106" s="3">
        <v>41389</v>
      </c>
      <c r="B2106" s="2" t="s">
        <v>6</v>
      </c>
      <c r="C2106" s="2">
        <v>41</v>
      </c>
      <c r="G2106" s="7" t="str">
        <f t="array" ref="G2106">IF(ROWS(K$20:K2106)&gt;$F$6,"",INDEX(A$2:A$10000,SMALL(IF(ISNUMBER(MATCH($B$2:$B$10000,$E$6:$E$22,0)),ROW($C$2:$C$10000)-ROW($C$2)+1),ROWS(K$20:K2106))))</f>
        <v/>
      </c>
      <c r="H2106" s="4" t="str">
        <f t="array" ref="H2106">IF(ROWS(L$20:L2106)&gt;$F$6,"",INDEX(B$2:B$10000,SMALL(IF(ISNUMBER(MATCH($B$2:$B$10000,$E$6:$E$22,0)),ROW($C$2:$C$10000)-ROW($C$2)+1),ROWS(L$20:L2106))))</f>
        <v/>
      </c>
      <c r="I2106" s="4" t="str">
        <f t="array" ref="I2106">IF(ROWS(M$20:M2106)&gt;$F$6,"",INDEX(C$2:C$10000,SMALL(IF(ISNUMBER(MATCH($B$2:$B$10000,$E$6:$E$22,0)),ROW($C$2:$C$10000)-ROW($C$2)+1),ROWS(M$20:M2106))))</f>
        <v/>
      </c>
      <c r="K2106" s="7" t="str">
        <f t="array" ref="K2106">IF(ROWS(K$20:K2106)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2106))))</f>
        <v/>
      </c>
      <c r="L2106" s="4" t="str">
        <f t="array" ref="L2106">IF(ROWS(L$20:L2106)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2106))))</f>
        <v/>
      </c>
      <c r="M2106" s="4" t="str">
        <f t="array" ref="M2106">IF(ROWS(M$20:M2106)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2106))))</f>
        <v/>
      </c>
    </row>
    <row r="2107" spans="1:13" x14ac:dyDescent="0.25">
      <c r="A2107" s="3">
        <v>41442</v>
      </c>
      <c r="B2107" s="2" t="s">
        <v>8</v>
      </c>
      <c r="C2107" s="2">
        <v>26</v>
      </c>
      <c r="G2107" s="7" t="str">
        <f t="array" ref="G2107">IF(ROWS(K$20:K2107)&gt;$F$6,"",INDEX(A$2:A$10000,SMALL(IF(ISNUMBER(MATCH($B$2:$B$10000,$E$6:$E$22,0)),ROW($C$2:$C$10000)-ROW($C$2)+1),ROWS(K$20:K2107))))</f>
        <v/>
      </c>
      <c r="H2107" s="4" t="str">
        <f t="array" ref="H2107">IF(ROWS(L$20:L2107)&gt;$F$6,"",INDEX(B$2:B$10000,SMALL(IF(ISNUMBER(MATCH($B$2:$B$10000,$E$6:$E$22,0)),ROW($C$2:$C$10000)-ROW($C$2)+1),ROWS(L$20:L2107))))</f>
        <v/>
      </c>
      <c r="I2107" s="4" t="str">
        <f t="array" ref="I2107">IF(ROWS(M$20:M2107)&gt;$F$6,"",INDEX(C$2:C$10000,SMALL(IF(ISNUMBER(MATCH($B$2:$B$10000,$E$6:$E$22,0)),ROW($C$2:$C$10000)-ROW($C$2)+1),ROWS(M$20:M2107))))</f>
        <v/>
      </c>
      <c r="K2107" s="7" t="str">
        <f t="array" ref="K2107">IF(ROWS(K$20:K2107)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2107))))</f>
        <v/>
      </c>
      <c r="L2107" s="4" t="str">
        <f t="array" ref="L2107">IF(ROWS(L$20:L2107)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2107))))</f>
        <v/>
      </c>
      <c r="M2107" s="4" t="str">
        <f t="array" ref="M2107">IF(ROWS(M$20:M2107)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2107))))</f>
        <v/>
      </c>
    </row>
    <row r="2108" spans="1:13" x14ac:dyDescent="0.25">
      <c r="A2108" s="3">
        <v>41821</v>
      </c>
      <c r="B2108" s="2" t="s">
        <v>22</v>
      </c>
      <c r="C2108" s="2">
        <v>36</v>
      </c>
      <c r="G2108" s="7" t="str">
        <f t="array" ref="G2108">IF(ROWS(K$20:K2108)&gt;$F$6,"",INDEX(A$2:A$10000,SMALL(IF(ISNUMBER(MATCH($B$2:$B$10000,$E$6:$E$22,0)),ROW($C$2:$C$10000)-ROW($C$2)+1),ROWS(K$20:K2108))))</f>
        <v/>
      </c>
      <c r="H2108" s="4" t="str">
        <f t="array" ref="H2108">IF(ROWS(L$20:L2108)&gt;$F$6,"",INDEX(B$2:B$10000,SMALL(IF(ISNUMBER(MATCH($B$2:$B$10000,$E$6:$E$22,0)),ROW($C$2:$C$10000)-ROW($C$2)+1),ROWS(L$20:L2108))))</f>
        <v/>
      </c>
      <c r="I2108" s="4" t="str">
        <f t="array" ref="I2108">IF(ROWS(M$20:M2108)&gt;$F$6,"",INDEX(C$2:C$10000,SMALL(IF(ISNUMBER(MATCH($B$2:$B$10000,$E$6:$E$22,0)),ROW($C$2:$C$10000)-ROW($C$2)+1),ROWS(M$20:M2108))))</f>
        <v/>
      </c>
      <c r="K2108" s="7" t="str">
        <f t="array" ref="K2108">IF(ROWS(K$20:K2108)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2108))))</f>
        <v/>
      </c>
      <c r="L2108" s="4" t="str">
        <f t="array" ref="L2108">IF(ROWS(L$20:L2108)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2108))))</f>
        <v/>
      </c>
      <c r="M2108" s="4" t="str">
        <f t="array" ref="M2108">IF(ROWS(M$20:M2108)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2108))))</f>
        <v/>
      </c>
    </row>
    <row r="2109" spans="1:13" x14ac:dyDescent="0.25">
      <c r="A2109" s="3">
        <v>41466</v>
      </c>
      <c r="B2109" s="2" t="s">
        <v>23</v>
      </c>
      <c r="C2109" s="2">
        <v>14</v>
      </c>
      <c r="G2109" s="7" t="str">
        <f t="array" ref="G2109">IF(ROWS(K$20:K2109)&gt;$F$6,"",INDEX(A$2:A$10000,SMALL(IF(ISNUMBER(MATCH($B$2:$B$10000,$E$6:$E$22,0)),ROW($C$2:$C$10000)-ROW($C$2)+1),ROWS(K$20:K2109))))</f>
        <v/>
      </c>
      <c r="H2109" s="4" t="str">
        <f t="array" ref="H2109">IF(ROWS(L$20:L2109)&gt;$F$6,"",INDEX(B$2:B$10000,SMALL(IF(ISNUMBER(MATCH($B$2:$B$10000,$E$6:$E$22,0)),ROW($C$2:$C$10000)-ROW($C$2)+1),ROWS(L$20:L2109))))</f>
        <v/>
      </c>
      <c r="I2109" s="4" t="str">
        <f t="array" ref="I2109">IF(ROWS(M$20:M2109)&gt;$F$6,"",INDEX(C$2:C$10000,SMALL(IF(ISNUMBER(MATCH($B$2:$B$10000,$E$6:$E$22,0)),ROW($C$2:$C$10000)-ROW($C$2)+1),ROWS(M$20:M2109))))</f>
        <v/>
      </c>
      <c r="K2109" s="7" t="str">
        <f t="array" ref="K2109">IF(ROWS(K$20:K2109)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2109))))</f>
        <v/>
      </c>
      <c r="L2109" s="4" t="str">
        <f t="array" ref="L2109">IF(ROWS(L$20:L2109)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2109))))</f>
        <v/>
      </c>
      <c r="M2109" s="4" t="str">
        <f t="array" ref="M2109">IF(ROWS(M$20:M2109)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2109))))</f>
        <v/>
      </c>
    </row>
    <row r="2110" spans="1:13" x14ac:dyDescent="0.25">
      <c r="A2110" s="3">
        <v>41564</v>
      </c>
      <c r="B2110" s="2" t="s">
        <v>36</v>
      </c>
      <c r="C2110" s="2">
        <v>26</v>
      </c>
      <c r="G2110" s="7" t="str">
        <f t="array" ref="G2110">IF(ROWS(K$20:K2110)&gt;$F$6,"",INDEX(A$2:A$10000,SMALL(IF(ISNUMBER(MATCH($B$2:$B$10000,$E$6:$E$22,0)),ROW($C$2:$C$10000)-ROW($C$2)+1),ROWS(K$20:K2110))))</f>
        <v/>
      </c>
      <c r="H2110" s="4" t="str">
        <f t="array" ref="H2110">IF(ROWS(L$20:L2110)&gt;$F$6,"",INDEX(B$2:B$10000,SMALL(IF(ISNUMBER(MATCH($B$2:$B$10000,$E$6:$E$22,0)),ROW($C$2:$C$10000)-ROW($C$2)+1),ROWS(L$20:L2110))))</f>
        <v/>
      </c>
      <c r="I2110" s="4" t="str">
        <f t="array" ref="I2110">IF(ROWS(M$20:M2110)&gt;$F$6,"",INDEX(C$2:C$10000,SMALL(IF(ISNUMBER(MATCH($B$2:$B$10000,$E$6:$E$22,0)),ROW($C$2:$C$10000)-ROW($C$2)+1),ROWS(M$20:M2110))))</f>
        <v/>
      </c>
      <c r="K2110" s="7" t="str">
        <f t="array" ref="K2110">IF(ROWS(K$20:K2110)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2110))))</f>
        <v/>
      </c>
      <c r="L2110" s="4" t="str">
        <f t="array" ref="L2110">IF(ROWS(L$20:L2110)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2110))))</f>
        <v/>
      </c>
      <c r="M2110" s="4" t="str">
        <f t="array" ref="M2110">IF(ROWS(M$20:M2110)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2110))))</f>
        <v/>
      </c>
    </row>
    <row r="2111" spans="1:13" x14ac:dyDescent="0.25">
      <c r="A2111" s="3">
        <v>41657</v>
      </c>
      <c r="B2111" s="2" t="s">
        <v>19</v>
      </c>
      <c r="C2111" s="2">
        <v>37</v>
      </c>
      <c r="G2111" s="7" t="str">
        <f t="array" ref="G2111">IF(ROWS(K$20:K2111)&gt;$F$6,"",INDEX(A$2:A$10000,SMALL(IF(ISNUMBER(MATCH($B$2:$B$10000,$E$6:$E$22,0)),ROW($C$2:$C$10000)-ROW($C$2)+1),ROWS(K$20:K2111))))</f>
        <v/>
      </c>
      <c r="H2111" s="4" t="str">
        <f t="array" ref="H2111">IF(ROWS(L$20:L2111)&gt;$F$6,"",INDEX(B$2:B$10000,SMALL(IF(ISNUMBER(MATCH($B$2:$B$10000,$E$6:$E$22,0)),ROW($C$2:$C$10000)-ROW($C$2)+1),ROWS(L$20:L2111))))</f>
        <v/>
      </c>
      <c r="I2111" s="4" t="str">
        <f t="array" ref="I2111">IF(ROWS(M$20:M2111)&gt;$F$6,"",INDEX(C$2:C$10000,SMALL(IF(ISNUMBER(MATCH($B$2:$B$10000,$E$6:$E$22,0)),ROW($C$2:$C$10000)-ROW($C$2)+1),ROWS(M$20:M2111))))</f>
        <v/>
      </c>
      <c r="K2111" s="7" t="str">
        <f t="array" ref="K2111">IF(ROWS(K$20:K2111)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2111))))</f>
        <v/>
      </c>
      <c r="L2111" s="4" t="str">
        <f t="array" ref="L2111">IF(ROWS(L$20:L2111)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2111))))</f>
        <v/>
      </c>
      <c r="M2111" s="4" t="str">
        <f t="array" ref="M2111">IF(ROWS(M$20:M2111)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2111))))</f>
        <v/>
      </c>
    </row>
    <row r="2112" spans="1:13" x14ac:dyDescent="0.25">
      <c r="A2112" s="3">
        <v>41824</v>
      </c>
      <c r="B2112" s="2" t="s">
        <v>11</v>
      </c>
      <c r="C2112" s="2">
        <v>32</v>
      </c>
      <c r="G2112" s="7" t="str">
        <f t="array" ref="G2112">IF(ROWS(K$20:K2112)&gt;$F$6,"",INDEX(A$2:A$10000,SMALL(IF(ISNUMBER(MATCH($B$2:$B$10000,$E$6:$E$22,0)),ROW($C$2:$C$10000)-ROW($C$2)+1),ROWS(K$20:K2112))))</f>
        <v/>
      </c>
      <c r="H2112" s="4" t="str">
        <f t="array" ref="H2112">IF(ROWS(L$20:L2112)&gt;$F$6,"",INDEX(B$2:B$10000,SMALL(IF(ISNUMBER(MATCH($B$2:$B$10000,$E$6:$E$22,0)),ROW($C$2:$C$10000)-ROW($C$2)+1),ROWS(L$20:L2112))))</f>
        <v/>
      </c>
      <c r="I2112" s="4" t="str">
        <f t="array" ref="I2112">IF(ROWS(M$20:M2112)&gt;$F$6,"",INDEX(C$2:C$10000,SMALL(IF(ISNUMBER(MATCH($B$2:$B$10000,$E$6:$E$22,0)),ROW($C$2:$C$10000)-ROW($C$2)+1),ROWS(M$20:M2112))))</f>
        <v/>
      </c>
      <c r="K2112" s="7" t="str">
        <f t="array" ref="K2112">IF(ROWS(K$20:K2112)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2112))))</f>
        <v/>
      </c>
      <c r="L2112" s="4" t="str">
        <f t="array" ref="L2112">IF(ROWS(L$20:L2112)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2112))))</f>
        <v/>
      </c>
      <c r="M2112" s="4" t="str">
        <f t="array" ref="M2112">IF(ROWS(M$20:M2112)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2112))))</f>
        <v/>
      </c>
    </row>
    <row r="2113" spans="1:13" x14ac:dyDescent="0.25">
      <c r="A2113" s="3">
        <v>41845</v>
      </c>
      <c r="B2113" s="2" t="s">
        <v>50</v>
      </c>
      <c r="C2113" s="2">
        <v>75</v>
      </c>
      <c r="G2113" s="7" t="str">
        <f t="array" ref="G2113">IF(ROWS(K$20:K2113)&gt;$F$6,"",INDEX(A$2:A$10000,SMALL(IF(ISNUMBER(MATCH($B$2:$B$10000,$E$6:$E$22,0)),ROW($C$2:$C$10000)-ROW($C$2)+1),ROWS(K$20:K2113))))</f>
        <v/>
      </c>
      <c r="H2113" s="4" t="str">
        <f t="array" ref="H2113">IF(ROWS(L$20:L2113)&gt;$F$6,"",INDEX(B$2:B$10000,SMALL(IF(ISNUMBER(MATCH($B$2:$B$10000,$E$6:$E$22,0)),ROW($C$2:$C$10000)-ROW($C$2)+1),ROWS(L$20:L2113))))</f>
        <v/>
      </c>
      <c r="I2113" s="4" t="str">
        <f t="array" ref="I2113">IF(ROWS(M$20:M2113)&gt;$F$6,"",INDEX(C$2:C$10000,SMALL(IF(ISNUMBER(MATCH($B$2:$B$10000,$E$6:$E$22,0)),ROW($C$2:$C$10000)-ROW($C$2)+1),ROWS(M$20:M2113))))</f>
        <v/>
      </c>
      <c r="K2113" s="7" t="str">
        <f t="array" ref="K2113">IF(ROWS(K$20:K2113)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2113))))</f>
        <v/>
      </c>
      <c r="L2113" s="4" t="str">
        <f t="array" ref="L2113">IF(ROWS(L$20:L2113)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2113))))</f>
        <v/>
      </c>
      <c r="M2113" s="4" t="str">
        <f t="array" ref="M2113">IF(ROWS(M$20:M2113)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2113))))</f>
        <v/>
      </c>
    </row>
    <row r="2114" spans="1:13" x14ac:dyDescent="0.25">
      <c r="A2114" s="3">
        <v>41561</v>
      </c>
      <c r="B2114" s="2" t="s">
        <v>31</v>
      </c>
      <c r="C2114" s="2">
        <v>51</v>
      </c>
      <c r="G2114" s="7" t="str">
        <f t="array" ref="G2114">IF(ROWS(K$20:K2114)&gt;$F$6,"",INDEX(A$2:A$10000,SMALL(IF(ISNUMBER(MATCH($B$2:$B$10000,$E$6:$E$22,0)),ROW($C$2:$C$10000)-ROW($C$2)+1),ROWS(K$20:K2114))))</f>
        <v/>
      </c>
      <c r="H2114" s="4" t="str">
        <f t="array" ref="H2114">IF(ROWS(L$20:L2114)&gt;$F$6,"",INDEX(B$2:B$10000,SMALL(IF(ISNUMBER(MATCH($B$2:$B$10000,$E$6:$E$22,0)),ROW($C$2:$C$10000)-ROW($C$2)+1),ROWS(L$20:L2114))))</f>
        <v/>
      </c>
      <c r="I2114" s="4" t="str">
        <f t="array" ref="I2114">IF(ROWS(M$20:M2114)&gt;$F$6,"",INDEX(C$2:C$10000,SMALL(IF(ISNUMBER(MATCH($B$2:$B$10000,$E$6:$E$22,0)),ROW($C$2:$C$10000)-ROW($C$2)+1),ROWS(M$20:M2114))))</f>
        <v/>
      </c>
      <c r="K2114" s="7" t="str">
        <f t="array" ref="K2114">IF(ROWS(K$20:K2114)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2114))))</f>
        <v/>
      </c>
      <c r="L2114" s="4" t="str">
        <f t="array" ref="L2114">IF(ROWS(L$20:L2114)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2114))))</f>
        <v/>
      </c>
      <c r="M2114" s="4" t="str">
        <f t="array" ref="M2114">IF(ROWS(M$20:M2114)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2114))))</f>
        <v/>
      </c>
    </row>
    <row r="2115" spans="1:13" x14ac:dyDescent="0.25">
      <c r="A2115" s="3">
        <v>41563</v>
      </c>
      <c r="B2115" s="2" t="s">
        <v>28</v>
      </c>
      <c r="C2115" s="2">
        <v>8</v>
      </c>
      <c r="G2115" s="7" t="str">
        <f t="array" ref="G2115">IF(ROWS(K$20:K2115)&gt;$F$6,"",INDEX(A$2:A$10000,SMALL(IF(ISNUMBER(MATCH($B$2:$B$10000,$E$6:$E$22,0)),ROW($C$2:$C$10000)-ROW($C$2)+1),ROWS(K$20:K2115))))</f>
        <v/>
      </c>
      <c r="H2115" s="4" t="str">
        <f t="array" ref="H2115">IF(ROWS(L$20:L2115)&gt;$F$6,"",INDEX(B$2:B$10000,SMALL(IF(ISNUMBER(MATCH($B$2:$B$10000,$E$6:$E$22,0)),ROW($C$2:$C$10000)-ROW($C$2)+1),ROWS(L$20:L2115))))</f>
        <v/>
      </c>
      <c r="I2115" s="4" t="str">
        <f t="array" ref="I2115">IF(ROWS(M$20:M2115)&gt;$F$6,"",INDEX(C$2:C$10000,SMALL(IF(ISNUMBER(MATCH($B$2:$B$10000,$E$6:$E$22,0)),ROW($C$2:$C$10000)-ROW($C$2)+1),ROWS(M$20:M2115))))</f>
        <v/>
      </c>
      <c r="K2115" s="7" t="str">
        <f t="array" ref="K2115">IF(ROWS(K$20:K2115)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2115))))</f>
        <v/>
      </c>
      <c r="L2115" s="4" t="str">
        <f t="array" ref="L2115">IF(ROWS(L$20:L2115)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2115))))</f>
        <v/>
      </c>
      <c r="M2115" s="4" t="str">
        <f t="array" ref="M2115">IF(ROWS(M$20:M2115)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2115))))</f>
        <v/>
      </c>
    </row>
    <row r="2116" spans="1:13" x14ac:dyDescent="0.25">
      <c r="A2116" s="3">
        <v>41788</v>
      </c>
      <c r="B2116" s="2" t="s">
        <v>22</v>
      </c>
      <c r="C2116" s="2">
        <v>3</v>
      </c>
      <c r="G2116" s="7" t="str">
        <f t="array" ref="G2116">IF(ROWS(K$20:K2116)&gt;$F$6,"",INDEX(A$2:A$10000,SMALL(IF(ISNUMBER(MATCH($B$2:$B$10000,$E$6:$E$22,0)),ROW($C$2:$C$10000)-ROW($C$2)+1),ROWS(K$20:K2116))))</f>
        <v/>
      </c>
      <c r="H2116" s="4" t="str">
        <f t="array" ref="H2116">IF(ROWS(L$20:L2116)&gt;$F$6,"",INDEX(B$2:B$10000,SMALL(IF(ISNUMBER(MATCH($B$2:$B$10000,$E$6:$E$22,0)),ROW($C$2:$C$10000)-ROW($C$2)+1),ROWS(L$20:L2116))))</f>
        <v/>
      </c>
      <c r="I2116" s="4" t="str">
        <f t="array" ref="I2116">IF(ROWS(M$20:M2116)&gt;$F$6,"",INDEX(C$2:C$10000,SMALL(IF(ISNUMBER(MATCH($B$2:$B$10000,$E$6:$E$22,0)),ROW($C$2:$C$10000)-ROW($C$2)+1),ROWS(M$20:M2116))))</f>
        <v/>
      </c>
      <c r="K2116" s="7" t="str">
        <f t="array" ref="K2116">IF(ROWS(K$20:K2116)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2116))))</f>
        <v/>
      </c>
      <c r="L2116" s="4" t="str">
        <f t="array" ref="L2116">IF(ROWS(L$20:L2116)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2116))))</f>
        <v/>
      </c>
      <c r="M2116" s="4" t="str">
        <f t="array" ref="M2116">IF(ROWS(M$20:M2116)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2116))))</f>
        <v/>
      </c>
    </row>
    <row r="2117" spans="1:13" x14ac:dyDescent="0.25">
      <c r="A2117" s="3">
        <v>41566</v>
      </c>
      <c r="B2117" s="2" t="s">
        <v>5</v>
      </c>
      <c r="C2117" s="2">
        <v>7</v>
      </c>
      <c r="G2117" s="7" t="str">
        <f t="array" ref="G2117">IF(ROWS(K$20:K2117)&gt;$F$6,"",INDEX(A$2:A$10000,SMALL(IF(ISNUMBER(MATCH($B$2:$B$10000,$E$6:$E$22,0)),ROW($C$2:$C$10000)-ROW($C$2)+1),ROWS(K$20:K2117))))</f>
        <v/>
      </c>
      <c r="H2117" s="4" t="str">
        <f t="array" ref="H2117">IF(ROWS(L$20:L2117)&gt;$F$6,"",INDEX(B$2:B$10000,SMALL(IF(ISNUMBER(MATCH($B$2:$B$10000,$E$6:$E$22,0)),ROW($C$2:$C$10000)-ROW($C$2)+1),ROWS(L$20:L2117))))</f>
        <v/>
      </c>
      <c r="I2117" s="4" t="str">
        <f t="array" ref="I2117">IF(ROWS(M$20:M2117)&gt;$F$6,"",INDEX(C$2:C$10000,SMALL(IF(ISNUMBER(MATCH($B$2:$B$10000,$E$6:$E$22,0)),ROW($C$2:$C$10000)-ROW($C$2)+1),ROWS(M$20:M2117))))</f>
        <v/>
      </c>
      <c r="K2117" s="7" t="str">
        <f t="array" ref="K2117">IF(ROWS(K$20:K2117)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2117))))</f>
        <v/>
      </c>
      <c r="L2117" s="4" t="str">
        <f t="array" ref="L2117">IF(ROWS(L$20:L2117)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2117))))</f>
        <v/>
      </c>
      <c r="M2117" s="4" t="str">
        <f t="array" ref="M2117">IF(ROWS(M$20:M2117)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2117))))</f>
        <v/>
      </c>
    </row>
    <row r="2118" spans="1:13" x14ac:dyDescent="0.25">
      <c r="A2118" s="3">
        <v>41795</v>
      </c>
      <c r="B2118" s="2" t="s">
        <v>47</v>
      </c>
      <c r="C2118" s="2">
        <v>51</v>
      </c>
      <c r="G2118" s="7" t="str">
        <f t="array" ref="G2118">IF(ROWS(K$20:K2118)&gt;$F$6,"",INDEX(A$2:A$10000,SMALL(IF(ISNUMBER(MATCH($B$2:$B$10000,$E$6:$E$22,0)),ROW($C$2:$C$10000)-ROW($C$2)+1),ROWS(K$20:K2118))))</f>
        <v/>
      </c>
      <c r="H2118" s="4" t="str">
        <f t="array" ref="H2118">IF(ROWS(L$20:L2118)&gt;$F$6,"",INDEX(B$2:B$10000,SMALL(IF(ISNUMBER(MATCH($B$2:$B$10000,$E$6:$E$22,0)),ROW($C$2:$C$10000)-ROW($C$2)+1),ROWS(L$20:L2118))))</f>
        <v/>
      </c>
      <c r="I2118" s="4" t="str">
        <f t="array" ref="I2118">IF(ROWS(M$20:M2118)&gt;$F$6,"",INDEX(C$2:C$10000,SMALL(IF(ISNUMBER(MATCH($B$2:$B$10000,$E$6:$E$22,0)),ROW($C$2:$C$10000)-ROW($C$2)+1),ROWS(M$20:M2118))))</f>
        <v/>
      </c>
      <c r="K2118" s="7" t="str">
        <f t="array" ref="K2118">IF(ROWS(K$20:K2118)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2118))))</f>
        <v/>
      </c>
      <c r="L2118" s="4" t="str">
        <f t="array" ref="L2118">IF(ROWS(L$20:L2118)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2118))))</f>
        <v/>
      </c>
      <c r="M2118" s="4" t="str">
        <f t="array" ref="M2118">IF(ROWS(M$20:M2118)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2118))))</f>
        <v/>
      </c>
    </row>
    <row r="2119" spans="1:13" x14ac:dyDescent="0.25">
      <c r="A2119" s="3">
        <v>41749</v>
      </c>
      <c r="B2119" s="2" t="s">
        <v>5</v>
      </c>
      <c r="C2119" s="2">
        <v>24</v>
      </c>
      <c r="G2119" s="7" t="str">
        <f t="array" ref="G2119">IF(ROWS(K$20:K2119)&gt;$F$6,"",INDEX(A$2:A$10000,SMALL(IF(ISNUMBER(MATCH($B$2:$B$10000,$E$6:$E$22,0)),ROW($C$2:$C$10000)-ROW($C$2)+1),ROWS(K$20:K2119))))</f>
        <v/>
      </c>
      <c r="H2119" s="4" t="str">
        <f t="array" ref="H2119">IF(ROWS(L$20:L2119)&gt;$F$6,"",INDEX(B$2:B$10000,SMALL(IF(ISNUMBER(MATCH($B$2:$B$10000,$E$6:$E$22,0)),ROW($C$2:$C$10000)-ROW($C$2)+1),ROWS(L$20:L2119))))</f>
        <v/>
      </c>
      <c r="I2119" s="4" t="str">
        <f t="array" ref="I2119">IF(ROWS(M$20:M2119)&gt;$F$6,"",INDEX(C$2:C$10000,SMALL(IF(ISNUMBER(MATCH($B$2:$B$10000,$E$6:$E$22,0)),ROW($C$2:$C$10000)-ROW($C$2)+1),ROWS(M$20:M2119))))</f>
        <v/>
      </c>
      <c r="K2119" s="7" t="str">
        <f t="array" ref="K2119">IF(ROWS(K$20:K2119)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2119))))</f>
        <v/>
      </c>
      <c r="L2119" s="4" t="str">
        <f t="array" ref="L2119">IF(ROWS(L$20:L2119)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2119))))</f>
        <v/>
      </c>
      <c r="M2119" s="4" t="str">
        <f t="array" ref="M2119">IF(ROWS(M$20:M2119)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2119))))</f>
        <v/>
      </c>
    </row>
    <row r="2120" spans="1:13" x14ac:dyDescent="0.25">
      <c r="A2120" s="3">
        <v>41507</v>
      </c>
      <c r="B2120" s="2" t="s">
        <v>17</v>
      </c>
      <c r="C2120" s="2">
        <v>15</v>
      </c>
      <c r="G2120" s="7" t="str">
        <f t="array" ref="G2120">IF(ROWS(K$20:K2120)&gt;$F$6,"",INDEX(A$2:A$10000,SMALL(IF(ISNUMBER(MATCH($B$2:$B$10000,$E$6:$E$22,0)),ROW($C$2:$C$10000)-ROW($C$2)+1),ROWS(K$20:K2120))))</f>
        <v/>
      </c>
      <c r="H2120" s="4" t="str">
        <f t="array" ref="H2120">IF(ROWS(L$20:L2120)&gt;$F$6,"",INDEX(B$2:B$10000,SMALL(IF(ISNUMBER(MATCH($B$2:$B$10000,$E$6:$E$22,0)),ROW($C$2:$C$10000)-ROW($C$2)+1),ROWS(L$20:L2120))))</f>
        <v/>
      </c>
      <c r="I2120" s="4" t="str">
        <f t="array" ref="I2120">IF(ROWS(M$20:M2120)&gt;$F$6,"",INDEX(C$2:C$10000,SMALL(IF(ISNUMBER(MATCH($B$2:$B$10000,$E$6:$E$22,0)),ROW($C$2:$C$10000)-ROW($C$2)+1),ROWS(M$20:M2120))))</f>
        <v/>
      </c>
      <c r="K2120" s="7" t="str">
        <f t="array" ref="K2120">IF(ROWS(K$20:K2120)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2120))))</f>
        <v/>
      </c>
      <c r="L2120" s="4" t="str">
        <f t="array" ref="L2120">IF(ROWS(L$20:L2120)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2120))))</f>
        <v/>
      </c>
      <c r="M2120" s="4" t="str">
        <f t="array" ref="M2120">IF(ROWS(M$20:M2120)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2120))))</f>
        <v/>
      </c>
    </row>
    <row r="2121" spans="1:13" x14ac:dyDescent="0.25">
      <c r="A2121" s="3">
        <v>41289</v>
      </c>
      <c r="B2121" s="2" t="s">
        <v>51</v>
      </c>
      <c r="C2121" s="2">
        <v>16</v>
      </c>
      <c r="G2121" s="7" t="str">
        <f t="array" ref="G2121">IF(ROWS(K$20:K2121)&gt;$F$6,"",INDEX(A$2:A$10000,SMALL(IF(ISNUMBER(MATCH($B$2:$B$10000,$E$6:$E$22,0)),ROW($C$2:$C$10000)-ROW($C$2)+1),ROWS(K$20:K2121))))</f>
        <v/>
      </c>
      <c r="H2121" s="4" t="str">
        <f t="array" ref="H2121">IF(ROWS(L$20:L2121)&gt;$F$6,"",INDEX(B$2:B$10000,SMALL(IF(ISNUMBER(MATCH($B$2:$B$10000,$E$6:$E$22,0)),ROW($C$2:$C$10000)-ROW($C$2)+1),ROWS(L$20:L2121))))</f>
        <v/>
      </c>
      <c r="I2121" s="4" t="str">
        <f t="array" ref="I2121">IF(ROWS(M$20:M2121)&gt;$F$6,"",INDEX(C$2:C$10000,SMALL(IF(ISNUMBER(MATCH($B$2:$B$10000,$E$6:$E$22,0)),ROW($C$2:$C$10000)-ROW($C$2)+1),ROWS(M$20:M2121))))</f>
        <v/>
      </c>
      <c r="K2121" s="7" t="str">
        <f t="array" ref="K2121">IF(ROWS(K$20:K2121)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2121))))</f>
        <v/>
      </c>
      <c r="L2121" s="4" t="str">
        <f t="array" ref="L2121">IF(ROWS(L$20:L2121)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2121))))</f>
        <v/>
      </c>
      <c r="M2121" s="4" t="str">
        <f t="array" ref="M2121">IF(ROWS(M$20:M2121)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2121))))</f>
        <v/>
      </c>
    </row>
    <row r="2122" spans="1:13" x14ac:dyDescent="0.25">
      <c r="A2122" s="3">
        <v>41619</v>
      </c>
      <c r="B2122" s="2" t="s">
        <v>12</v>
      </c>
      <c r="C2122" s="2">
        <v>23</v>
      </c>
      <c r="G2122" s="7" t="str">
        <f t="array" ref="G2122">IF(ROWS(K$20:K2122)&gt;$F$6,"",INDEX(A$2:A$10000,SMALL(IF(ISNUMBER(MATCH($B$2:$B$10000,$E$6:$E$22,0)),ROW($C$2:$C$10000)-ROW($C$2)+1),ROWS(K$20:K2122))))</f>
        <v/>
      </c>
      <c r="H2122" s="4" t="str">
        <f t="array" ref="H2122">IF(ROWS(L$20:L2122)&gt;$F$6,"",INDEX(B$2:B$10000,SMALL(IF(ISNUMBER(MATCH($B$2:$B$10000,$E$6:$E$22,0)),ROW($C$2:$C$10000)-ROW($C$2)+1),ROWS(L$20:L2122))))</f>
        <v/>
      </c>
      <c r="I2122" s="4" t="str">
        <f t="array" ref="I2122">IF(ROWS(M$20:M2122)&gt;$F$6,"",INDEX(C$2:C$10000,SMALL(IF(ISNUMBER(MATCH($B$2:$B$10000,$E$6:$E$22,0)),ROW($C$2:$C$10000)-ROW($C$2)+1),ROWS(M$20:M2122))))</f>
        <v/>
      </c>
      <c r="K2122" s="7" t="str">
        <f t="array" ref="K2122">IF(ROWS(K$20:K2122)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2122))))</f>
        <v/>
      </c>
      <c r="L2122" s="4" t="str">
        <f t="array" ref="L2122">IF(ROWS(L$20:L2122)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2122))))</f>
        <v/>
      </c>
      <c r="M2122" s="4" t="str">
        <f t="array" ref="M2122">IF(ROWS(M$20:M2122)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2122))))</f>
        <v/>
      </c>
    </row>
    <row r="2123" spans="1:13" x14ac:dyDescent="0.25">
      <c r="A2123" s="3">
        <v>41626</v>
      </c>
      <c r="B2123" s="2" t="s">
        <v>41</v>
      </c>
      <c r="C2123" s="2">
        <v>52</v>
      </c>
      <c r="G2123" s="7" t="str">
        <f t="array" ref="G2123">IF(ROWS(K$20:K2123)&gt;$F$6,"",INDEX(A$2:A$10000,SMALL(IF(ISNUMBER(MATCH($B$2:$B$10000,$E$6:$E$22,0)),ROW($C$2:$C$10000)-ROW($C$2)+1),ROWS(K$20:K2123))))</f>
        <v/>
      </c>
      <c r="H2123" s="4" t="str">
        <f t="array" ref="H2123">IF(ROWS(L$20:L2123)&gt;$F$6,"",INDEX(B$2:B$10000,SMALL(IF(ISNUMBER(MATCH($B$2:$B$10000,$E$6:$E$22,0)),ROW($C$2:$C$10000)-ROW($C$2)+1),ROWS(L$20:L2123))))</f>
        <v/>
      </c>
      <c r="I2123" s="4" t="str">
        <f t="array" ref="I2123">IF(ROWS(M$20:M2123)&gt;$F$6,"",INDEX(C$2:C$10000,SMALL(IF(ISNUMBER(MATCH($B$2:$B$10000,$E$6:$E$22,0)),ROW($C$2:$C$10000)-ROW($C$2)+1),ROWS(M$20:M2123))))</f>
        <v/>
      </c>
      <c r="K2123" s="7" t="str">
        <f t="array" ref="K2123">IF(ROWS(K$20:K2123)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2123))))</f>
        <v/>
      </c>
      <c r="L2123" s="4" t="str">
        <f t="array" ref="L2123">IF(ROWS(L$20:L2123)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2123))))</f>
        <v/>
      </c>
      <c r="M2123" s="4" t="str">
        <f t="array" ref="M2123">IF(ROWS(M$20:M2123)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2123))))</f>
        <v/>
      </c>
    </row>
    <row r="2124" spans="1:13" x14ac:dyDescent="0.25">
      <c r="A2124" s="3">
        <v>42000</v>
      </c>
      <c r="B2124" s="2" t="s">
        <v>20</v>
      </c>
      <c r="C2124" s="2">
        <v>34</v>
      </c>
      <c r="G2124" s="7" t="str">
        <f t="array" ref="G2124">IF(ROWS(K$20:K2124)&gt;$F$6,"",INDEX(A$2:A$10000,SMALL(IF(ISNUMBER(MATCH($B$2:$B$10000,$E$6:$E$22,0)),ROW($C$2:$C$10000)-ROW($C$2)+1),ROWS(K$20:K2124))))</f>
        <v/>
      </c>
      <c r="H2124" s="4" t="str">
        <f t="array" ref="H2124">IF(ROWS(L$20:L2124)&gt;$F$6,"",INDEX(B$2:B$10000,SMALL(IF(ISNUMBER(MATCH($B$2:$B$10000,$E$6:$E$22,0)),ROW($C$2:$C$10000)-ROW($C$2)+1),ROWS(L$20:L2124))))</f>
        <v/>
      </c>
      <c r="I2124" s="4" t="str">
        <f t="array" ref="I2124">IF(ROWS(M$20:M2124)&gt;$F$6,"",INDEX(C$2:C$10000,SMALL(IF(ISNUMBER(MATCH($B$2:$B$10000,$E$6:$E$22,0)),ROW($C$2:$C$10000)-ROW($C$2)+1),ROWS(M$20:M2124))))</f>
        <v/>
      </c>
      <c r="K2124" s="7" t="str">
        <f t="array" ref="K2124">IF(ROWS(K$20:K2124)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2124))))</f>
        <v/>
      </c>
      <c r="L2124" s="4" t="str">
        <f t="array" ref="L2124">IF(ROWS(L$20:L2124)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2124))))</f>
        <v/>
      </c>
      <c r="M2124" s="4" t="str">
        <f t="array" ref="M2124">IF(ROWS(M$20:M2124)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2124))))</f>
        <v/>
      </c>
    </row>
    <row r="2125" spans="1:13" x14ac:dyDescent="0.25">
      <c r="A2125" s="3">
        <v>41660</v>
      </c>
      <c r="B2125" s="2" t="s">
        <v>38</v>
      </c>
      <c r="C2125" s="2">
        <v>7</v>
      </c>
      <c r="G2125" s="7" t="str">
        <f t="array" ref="G2125">IF(ROWS(K$20:K2125)&gt;$F$6,"",INDEX(A$2:A$10000,SMALL(IF(ISNUMBER(MATCH($B$2:$B$10000,$E$6:$E$22,0)),ROW($C$2:$C$10000)-ROW($C$2)+1),ROWS(K$20:K2125))))</f>
        <v/>
      </c>
      <c r="H2125" s="4" t="str">
        <f t="array" ref="H2125">IF(ROWS(L$20:L2125)&gt;$F$6,"",INDEX(B$2:B$10000,SMALL(IF(ISNUMBER(MATCH($B$2:$B$10000,$E$6:$E$22,0)),ROW($C$2:$C$10000)-ROW($C$2)+1),ROWS(L$20:L2125))))</f>
        <v/>
      </c>
      <c r="I2125" s="4" t="str">
        <f t="array" ref="I2125">IF(ROWS(M$20:M2125)&gt;$F$6,"",INDEX(C$2:C$10000,SMALL(IF(ISNUMBER(MATCH($B$2:$B$10000,$E$6:$E$22,0)),ROW($C$2:$C$10000)-ROW($C$2)+1),ROWS(M$20:M2125))))</f>
        <v/>
      </c>
      <c r="K2125" s="7" t="str">
        <f t="array" ref="K2125">IF(ROWS(K$20:K2125)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2125))))</f>
        <v/>
      </c>
      <c r="L2125" s="4" t="str">
        <f t="array" ref="L2125">IF(ROWS(L$20:L2125)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2125))))</f>
        <v/>
      </c>
      <c r="M2125" s="4" t="str">
        <f t="array" ref="M2125">IF(ROWS(M$20:M2125)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2125))))</f>
        <v/>
      </c>
    </row>
    <row r="2126" spans="1:13" x14ac:dyDescent="0.25">
      <c r="A2126" s="3">
        <v>41441</v>
      </c>
      <c r="B2126" s="2" t="s">
        <v>47</v>
      </c>
      <c r="C2126" s="2">
        <v>29</v>
      </c>
      <c r="G2126" s="7" t="str">
        <f t="array" ref="G2126">IF(ROWS(K$20:K2126)&gt;$F$6,"",INDEX(A$2:A$10000,SMALL(IF(ISNUMBER(MATCH($B$2:$B$10000,$E$6:$E$22,0)),ROW($C$2:$C$10000)-ROW($C$2)+1),ROWS(K$20:K2126))))</f>
        <v/>
      </c>
      <c r="H2126" s="4" t="str">
        <f t="array" ref="H2126">IF(ROWS(L$20:L2126)&gt;$F$6,"",INDEX(B$2:B$10000,SMALL(IF(ISNUMBER(MATCH($B$2:$B$10000,$E$6:$E$22,0)),ROW($C$2:$C$10000)-ROW($C$2)+1),ROWS(L$20:L2126))))</f>
        <v/>
      </c>
      <c r="I2126" s="4" t="str">
        <f t="array" ref="I2126">IF(ROWS(M$20:M2126)&gt;$F$6,"",INDEX(C$2:C$10000,SMALL(IF(ISNUMBER(MATCH($B$2:$B$10000,$E$6:$E$22,0)),ROW($C$2:$C$10000)-ROW($C$2)+1),ROWS(M$20:M2126))))</f>
        <v/>
      </c>
      <c r="K2126" s="7" t="str">
        <f t="array" ref="K2126">IF(ROWS(K$20:K2126)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2126))))</f>
        <v/>
      </c>
      <c r="L2126" s="4" t="str">
        <f t="array" ref="L2126">IF(ROWS(L$20:L2126)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2126))))</f>
        <v/>
      </c>
      <c r="M2126" s="4" t="str">
        <f t="array" ref="M2126">IF(ROWS(M$20:M2126)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2126))))</f>
        <v/>
      </c>
    </row>
    <row r="2127" spans="1:13" x14ac:dyDescent="0.25">
      <c r="A2127" s="3">
        <v>41406</v>
      </c>
      <c r="B2127" s="2" t="s">
        <v>2</v>
      </c>
      <c r="C2127" s="2">
        <v>36</v>
      </c>
      <c r="G2127" s="7" t="str">
        <f t="array" ref="G2127">IF(ROWS(K$20:K2127)&gt;$F$6,"",INDEX(A$2:A$10000,SMALL(IF(ISNUMBER(MATCH($B$2:$B$10000,$E$6:$E$22,0)),ROW($C$2:$C$10000)-ROW($C$2)+1),ROWS(K$20:K2127))))</f>
        <v/>
      </c>
      <c r="H2127" s="4" t="str">
        <f t="array" ref="H2127">IF(ROWS(L$20:L2127)&gt;$F$6,"",INDEX(B$2:B$10000,SMALL(IF(ISNUMBER(MATCH($B$2:$B$10000,$E$6:$E$22,0)),ROW($C$2:$C$10000)-ROW($C$2)+1),ROWS(L$20:L2127))))</f>
        <v/>
      </c>
      <c r="I2127" s="4" t="str">
        <f t="array" ref="I2127">IF(ROWS(M$20:M2127)&gt;$F$6,"",INDEX(C$2:C$10000,SMALL(IF(ISNUMBER(MATCH($B$2:$B$10000,$E$6:$E$22,0)),ROW($C$2:$C$10000)-ROW($C$2)+1),ROWS(M$20:M2127))))</f>
        <v/>
      </c>
      <c r="K2127" s="7" t="str">
        <f t="array" ref="K2127">IF(ROWS(K$20:K2127)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2127))))</f>
        <v/>
      </c>
      <c r="L2127" s="4" t="str">
        <f t="array" ref="L2127">IF(ROWS(L$20:L2127)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2127))))</f>
        <v/>
      </c>
      <c r="M2127" s="4" t="str">
        <f t="array" ref="M2127">IF(ROWS(M$20:M2127)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2127))))</f>
        <v/>
      </c>
    </row>
    <row r="2128" spans="1:13" x14ac:dyDescent="0.25">
      <c r="A2128" s="3">
        <v>41957</v>
      </c>
      <c r="B2128" s="2" t="s">
        <v>38</v>
      </c>
      <c r="C2128" s="2">
        <v>16</v>
      </c>
      <c r="G2128" s="7" t="str">
        <f t="array" ref="G2128">IF(ROWS(K$20:K2128)&gt;$F$6,"",INDEX(A$2:A$10000,SMALL(IF(ISNUMBER(MATCH($B$2:$B$10000,$E$6:$E$22,0)),ROW($C$2:$C$10000)-ROW($C$2)+1),ROWS(K$20:K2128))))</f>
        <v/>
      </c>
      <c r="H2128" s="4" t="str">
        <f t="array" ref="H2128">IF(ROWS(L$20:L2128)&gt;$F$6,"",INDEX(B$2:B$10000,SMALL(IF(ISNUMBER(MATCH($B$2:$B$10000,$E$6:$E$22,0)),ROW($C$2:$C$10000)-ROW($C$2)+1),ROWS(L$20:L2128))))</f>
        <v/>
      </c>
      <c r="I2128" s="4" t="str">
        <f t="array" ref="I2128">IF(ROWS(M$20:M2128)&gt;$F$6,"",INDEX(C$2:C$10000,SMALL(IF(ISNUMBER(MATCH($B$2:$B$10000,$E$6:$E$22,0)),ROW($C$2:$C$10000)-ROW($C$2)+1),ROWS(M$20:M2128))))</f>
        <v/>
      </c>
      <c r="K2128" s="7" t="str">
        <f t="array" ref="K2128">IF(ROWS(K$20:K2128)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2128))))</f>
        <v/>
      </c>
      <c r="L2128" s="4" t="str">
        <f t="array" ref="L2128">IF(ROWS(L$20:L2128)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2128))))</f>
        <v/>
      </c>
      <c r="M2128" s="4" t="str">
        <f t="array" ref="M2128">IF(ROWS(M$20:M2128)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2128))))</f>
        <v/>
      </c>
    </row>
    <row r="2129" spans="1:13" x14ac:dyDescent="0.25">
      <c r="A2129" s="3">
        <v>41939</v>
      </c>
      <c r="B2129" s="2" t="s">
        <v>29</v>
      </c>
      <c r="C2129" s="2">
        <v>36</v>
      </c>
      <c r="G2129" s="7" t="str">
        <f t="array" ref="G2129">IF(ROWS(K$20:K2129)&gt;$F$6,"",INDEX(A$2:A$10000,SMALL(IF(ISNUMBER(MATCH($B$2:$B$10000,$E$6:$E$22,0)),ROW($C$2:$C$10000)-ROW($C$2)+1),ROWS(K$20:K2129))))</f>
        <v/>
      </c>
      <c r="H2129" s="4" t="str">
        <f t="array" ref="H2129">IF(ROWS(L$20:L2129)&gt;$F$6,"",INDEX(B$2:B$10000,SMALL(IF(ISNUMBER(MATCH($B$2:$B$10000,$E$6:$E$22,0)),ROW($C$2:$C$10000)-ROW($C$2)+1),ROWS(L$20:L2129))))</f>
        <v/>
      </c>
      <c r="I2129" s="4" t="str">
        <f t="array" ref="I2129">IF(ROWS(M$20:M2129)&gt;$F$6,"",INDEX(C$2:C$10000,SMALL(IF(ISNUMBER(MATCH($B$2:$B$10000,$E$6:$E$22,0)),ROW($C$2:$C$10000)-ROW($C$2)+1),ROWS(M$20:M2129))))</f>
        <v/>
      </c>
      <c r="K2129" s="7" t="str">
        <f t="array" ref="K2129">IF(ROWS(K$20:K2129)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2129))))</f>
        <v/>
      </c>
      <c r="L2129" s="4" t="str">
        <f t="array" ref="L2129">IF(ROWS(L$20:L2129)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2129))))</f>
        <v/>
      </c>
      <c r="M2129" s="4" t="str">
        <f t="array" ref="M2129">IF(ROWS(M$20:M2129)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2129))))</f>
        <v/>
      </c>
    </row>
    <row r="2130" spans="1:13" x14ac:dyDescent="0.25">
      <c r="A2130" s="3">
        <v>41695</v>
      </c>
      <c r="B2130" s="2" t="s">
        <v>24</v>
      </c>
      <c r="C2130" s="2">
        <v>43</v>
      </c>
      <c r="G2130" s="7" t="str">
        <f t="array" ref="G2130">IF(ROWS(K$20:K2130)&gt;$F$6,"",INDEX(A$2:A$10000,SMALL(IF(ISNUMBER(MATCH($B$2:$B$10000,$E$6:$E$22,0)),ROW($C$2:$C$10000)-ROW($C$2)+1),ROWS(K$20:K2130))))</f>
        <v/>
      </c>
      <c r="H2130" s="4" t="str">
        <f t="array" ref="H2130">IF(ROWS(L$20:L2130)&gt;$F$6,"",INDEX(B$2:B$10000,SMALL(IF(ISNUMBER(MATCH($B$2:$B$10000,$E$6:$E$22,0)),ROW($C$2:$C$10000)-ROW($C$2)+1),ROWS(L$20:L2130))))</f>
        <v/>
      </c>
      <c r="I2130" s="4" t="str">
        <f t="array" ref="I2130">IF(ROWS(M$20:M2130)&gt;$F$6,"",INDEX(C$2:C$10000,SMALL(IF(ISNUMBER(MATCH($B$2:$B$10000,$E$6:$E$22,0)),ROW($C$2:$C$10000)-ROW($C$2)+1),ROWS(M$20:M2130))))</f>
        <v/>
      </c>
      <c r="K2130" s="7" t="str">
        <f t="array" ref="K2130">IF(ROWS(K$20:K2130)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2130))))</f>
        <v/>
      </c>
      <c r="L2130" s="4" t="str">
        <f t="array" ref="L2130">IF(ROWS(L$20:L2130)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2130))))</f>
        <v/>
      </c>
      <c r="M2130" s="4" t="str">
        <f t="array" ref="M2130">IF(ROWS(M$20:M2130)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2130))))</f>
        <v/>
      </c>
    </row>
    <row r="2131" spans="1:13" x14ac:dyDescent="0.25">
      <c r="A2131" s="3">
        <v>41969</v>
      </c>
      <c r="B2131" s="2" t="s">
        <v>22</v>
      </c>
      <c r="C2131" s="2">
        <v>49</v>
      </c>
      <c r="G2131" s="7" t="str">
        <f t="array" ref="G2131">IF(ROWS(K$20:K2131)&gt;$F$6,"",INDEX(A$2:A$10000,SMALL(IF(ISNUMBER(MATCH($B$2:$B$10000,$E$6:$E$22,0)),ROW($C$2:$C$10000)-ROW($C$2)+1),ROWS(K$20:K2131))))</f>
        <v/>
      </c>
      <c r="H2131" s="4" t="str">
        <f t="array" ref="H2131">IF(ROWS(L$20:L2131)&gt;$F$6,"",INDEX(B$2:B$10000,SMALL(IF(ISNUMBER(MATCH($B$2:$B$10000,$E$6:$E$22,0)),ROW($C$2:$C$10000)-ROW($C$2)+1),ROWS(L$20:L2131))))</f>
        <v/>
      </c>
      <c r="I2131" s="4" t="str">
        <f t="array" ref="I2131">IF(ROWS(M$20:M2131)&gt;$F$6,"",INDEX(C$2:C$10000,SMALL(IF(ISNUMBER(MATCH($B$2:$B$10000,$E$6:$E$22,0)),ROW($C$2:$C$10000)-ROW($C$2)+1),ROWS(M$20:M2131))))</f>
        <v/>
      </c>
      <c r="K2131" s="7" t="str">
        <f t="array" ref="K2131">IF(ROWS(K$20:K2131)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2131))))</f>
        <v/>
      </c>
      <c r="L2131" s="4" t="str">
        <f t="array" ref="L2131">IF(ROWS(L$20:L2131)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2131))))</f>
        <v/>
      </c>
      <c r="M2131" s="4" t="str">
        <f t="array" ref="M2131">IF(ROWS(M$20:M2131)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2131))))</f>
        <v/>
      </c>
    </row>
    <row r="2132" spans="1:13" x14ac:dyDescent="0.25">
      <c r="A2132" s="3">
        <v>41276</v>
      </c>
      <c r="B2132" s="2" t="s">
        <v>7</v>
      </c>
      <c r="C2132" s="2">
        <v>37</v>
      </c>
      <c r="G2132" s="7" t="str">
        <f t="array" ref="G2132">IF(ROWS(K$20:K2132)&gt;$F$6,"",INDEX(A$2:A$10000,SMALL(IF(ISNUMBER(MATCH($B$2:$B$10000,$E$6:$E$22,0)),ROW($C$2:$C$10000)-ROW($C$2)+1),ROWS(K$20:K2132))))</f>
        <v/>
      </c>
      <c r="H2132" s="4" t="str">
        <f t="array" ref="H2132">IF(ROWS(L$20:L2132)&gt;$F$6,"",INDEX(B$2:B$10000,SMALL(IF(ISNUMBER(MATCH($B$2:$B$10000,$E$6:$E$22,0)),ROW($C$2:$C$10000)-ROW($C$2)+1),ROWS(L$20:L2132))))</f>
        <v/>
      </c>
      <c r="I2132" s="4" t="str">
        <f t="array" ref="I2132">IF(ROWS(M$20:M2132)&gt;$F$6,"",INDEX(C$2:C$10000,SMALL(IF(ISNUMBER(MATCH($B$2:$B$10000,$E$6:$E$22,0)),ROW($C$2:$C$10000)-ROW($C$2)+1),ROWS(M$20:M2132))))</f>
        <v/>
      </c>
      <c r="K2132" s="7" t="str">
        <f t="array" ref="K2132">IF(ROWS(K$20:K2132)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2132))))</f>
        <v/>
      </c>
      <c r="L2132" s="4" t="str">
        <f t="array" ref="L2132">IF(ROWS(L$20:L2132)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2132))))</f>
        <v/>
      </c>
      <c r="M2132" s="4" t="str">
        <f t="array" ref="M2132">IF(ROWS(M$20:M2132)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2132))))</f>
        <v/>
      </c>
    </row>
    <row r="2133" spans="1:13" x14ac:dyDescent="0.25">
      <c r="A2133" s="3">
        <v>41966</v>
      </c>
      <c r="B2133" s="2" t="s">
        <v>17</v>
      </c>
      <c r="C2133" s="2">
        <v>41</v>
      </c>
      <c r="G2133" s="7" t="str">
        <f t="array" ref="G2133">IF(ROWS(K$20:K2133)&gt;$F$6,"",INDEX(A$2:A$10000,SMALL(IF(ISNUMBER(MATCH($B$2:$B$10000,$E$6:$E$22,0)),ROW($C$2:$C$10000)-ROW($C$2)+1),ROWS(K$20:K2133))))</f>
        <v/>
      </c>
      <c r="H2133" s="4" t="str">
        <f t="array" ref="H2133">IF(ROWS(L$20:L2133)&gt;$F$6,"",INDEX(B$2:B$10000,SMALL(IF(ISNUMBER(MATCH($B$2:$B$10000,$E$6:$E$22,0)),ROW($C$2:$C$10000)-ROW($C$2)+1),ROWS(L$20:L2133))))</f>
        <v/>
      </c>
      <c r="I2133" s="4" t="str">
        <f t="array" ref="I2133">IF(ROWS(M$20:M2133)&gt;$F$6,"",INDEX(C$2:C$10000,SMALL(IF(ISNUMBER(MATCH($B$2:$B$10000,$E$6:$E$22,0)),ROW($C$2:$C$10000)-ROW($C$2)+1),ROWS(M$20:M2133))))</f>
        <v/>
      </c>
      <c r="K2133" s="7" t="str">
        <f t="array" ref="K2133">IF(ROWS(K$20:K2133)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2133))))</f>
        <v/>
      </c>
      <c r="L2133" s="4" t="str">
        <f t="array" ref="L2133">IF(ROWS(L$20:L2133)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2133))))</f>
        <v/>
      </c>
      <c r="M2133" s="4" t="str">
        <f t="array" ref="M2133">IF(ROWS(M$20:M2133)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2133))))</f>
        <v/>
      </c>
    </row>
    <row r="2134" spans="1:13" x14ac:dyDescent="0.25">
      <c r="A2134" s="3">
        <v>41978</v>
      </c>
      <c r="B2134" s="2" t="s">
        <v>34</v>
      </c>
      <c r="C2134" s="2">
        <v>31</v>
      </c>
      <c r="G2134" s="7" t="str">
        <f t="array" ref="G2134">IF(ROWS(K$20:K2134)&gt;$F$6,"",INDEX(A$2:A$10000,SMALL(IF(ISNUMBER(MATCH($B$2:$B$10000,$E$6:$E$22,0)),ROW($C$2:$C$10000)-ROW($C$2)+1),ROWS(K$20:K2134))))</f>
        <v/>
      </c>
      <c r="H2134" s="4" t="str">
        <f t="array" ref="H2134">IF(ROWS(L$20:L2134)&gt;$F$6,"",INDEX(B$2:B$10000,SMALL(IF(ISNUMBER(MATCH($B$2:$B$10000,$E$6:$E$22,0)),ROW($C$2:$C$10000)-ROW($C$2)+1),ROWS(L$20:L2134))))</f>
        <v/>
      </c>
      <c r="I2134" s="4" t="str">
        <f t="array" ref="I2134">IF(ROWS(M$20:M2134)&gt;$F$6,"",INDEX(C$2:C$10000,SMALL(IF(ISNUMBER(MATCH($B$2:$B$10000,$E$6:$E$22,0)),ROW($C$2:$C$10000)-ROW($C$2)+1),ROWS(M$20:M2134))))</f>
        <v/>
      </c>
      <c r="K2134" s="7" t="str">
        <f t="array" ref="K2134">IF(ROWS(K$20:K2134)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2134))))</f>
        <v/>
      </c>
      <c r="L2134" s="4" t="str">
        <f t="array" ref="L2134">IF(ROWS(L$20:L2134)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2134))))</f>
        <v/>
      </c>
      <c r="M2134" s="4" t="str">
        <f t="array" ref="M2134">IF(ROWS(M$20:M2134)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2134))))</f>
        <v/>
      </c>
    </row>
    <row r="2135" spans="1:13" x14ac:dyDescent="0.25">
      <c r="A2135" s="3">
        <v>41574</v>
      </c>
      <c r="B2135" s="2" t="s">
        <v>29</v>
      </c>
      <c r="C2135" s="2">
        <v>30</v>
      </c>
      <c r="G2135" s="7" t="str">
        <f t="array" ref="G2135">IF(ROWS(K$20:K2135)&gt;$F$6,"",INDEX(A$2:A$10000,SMALL(IF(ISNUMBER(MATCH($B$2:$B$10000,$E$6:$E$22,0)),ROW($C$2:$C$10000)-ROW($C$2)+1),ROWS(K$20:K2135))))</f>
        <v/>
      </c>
      <c r="H2135" s="4" t="str">
        <f t="array" ref="H2135">IF(ROWS(L$20:L2135)&gt;$F$6,"",INDEX(B$2:B$10000,SMALL(IF(ISNUMBER(MATCH($B$2:$B$10000,$E$6:$E$22,0)),ROW($C$2:$C$10000)-ROW($C$2)+1),ROWS(L$20:L2135))))</f>
        <v/>
      </c>
      <c r="I2135" s="4" t="str">
        <f t="array" ref="I2135">IF(ROWS(M$20:M2135)&gt;$F$6,"",INDEX(C$2:C$10000,SMALL(IF(ISNUMBER(MATCH($B$2:$B$10000,$E$6:$E$22,0)),ROW($C$2:$C$10000)-ROW($C$2)+1),ROWS(M$20:M2135))))</f>
        <v/>
      </c>
      <c r="K2135" s="7" t="str">
        <f t="array" ref="K2135">IF(ROWS(K$20:K2135)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2135))))</f>
        <v/>
      </c>
      <c r="L2135" s="4" t="str">
        <f t="array" ref="L2135">IF(ROWS(L$20:L2135)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2135))))</f>
        <v/>
      </c>
      <c r="M2135" s="4" t="str">
        <f t="array" ref="M2135">IF(ROWS(M$20:M2135)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2135))))</f>
        <v/>
      </c>
    </row>
    <row r="2136" spans="1:13" x14ac:dyDescent="0.25">
      <c r="A2136" s="3">
        <v>41987</v>
      </c>
      <c r="B2136" s="2" t="s">
        <v>44</v>
      </c>
      <c r="C2136" s="2">
        <v>37</v>
      </c>
      <c r="G2136" s="7" t="str">
        <f t="array" ref="G2136">IF(ROWS(K$20:K2136)&gt;$F$6,"",INDEX(A$2:A$10000,SMALL(IF(ISNUMBER(MATCH($B$2:$B$10000,$E$6:$E$22,0)),ROW($C$2:$C$10000)-ROW($C$2)+1),ROWS(K$20:K2136))))</f>
        <v/>
      </c>
      <c r="H2136" s="4" t="str">
        <f t="array" ref="H2136">IF(ROWS(L$20:L2136)&gt;$F$6,"",INDEX(B$2:B$10000,SMALL(IF(ISNUMBER(MATCH($B$2:$B$10000,$E$6:$E$22,0)),ROW($C$2:$C$10000)-ROW($C$2)+1),ROWS(L$20:L2136))))</f>
        <v/>
      </c>
      <c r="I2136" s="4" t="str">
        <f t="array" ref="I2136">IF(ROWS(M$20:M2136)&gt;$F$6,"",INDEX(C$2:C$10000,SMALL(IF(ISNUMBER(MATCH($B$2:$B$10000,$E$6:$E$22,0)),ROW($C$2:$C$10000)-ROW($C$2)+1),ROWS(M$20:M2136))))</f>
        <v/>
      </c>
      <c r="K2136" s="7" t="str">
        <f t="array" ref="K2136">IF(ROWS(K$20:K2136)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2136))))</f>
        <v/>
      </c>
      <c r="L2136" s="4" t="str">
        <f t="array" ref="L2136">IF(ROWS(L$20:L2136)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2136))))</f>
        <v/>
      </c>
      <c r="M2136" s="4" t="str">
        <f t="array" ref="M2136">IF(ROWS(M$20:M2136)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2136))))</f>
        <v/>
      </c>
    </row>
    <row r="2137" spans="1:13" x14ac:dyDescent="0.25">
      <c r="A2137" s="3">
        <v>41754</v>
      </c>
      <c r="B2137" s="2" t="s">
        <v>8</v>
      </c>
      <c r="C2137" s="2">
        <v>47</v>
      </c>
      <c r="G2137" s="7" t="str">
        <f t="array" ref="G2137">IF(ROWS(K$20:K2137)&gt;$F$6,"",INDEX(A$2:A$10000,SMALL(IF(ISNUMBER(MATCH($B$2:$B$10000,$E$6:$E$22,0)),ROW($C$2:$C$10000)-ROW($C$2)+1),ROWS(K$20:K2137))))</f>
        <v/>
      </c>
      <c r="H2137" s="4" t="str">
        <f t="array" ref="H2137">IF(ROWS(L$20:L2137)&gt;$F$6,"",INDEX(B$2:B$10000,SMALL(IF(ISNUMBER(MATCH($B$2:$B$10000,$E$6:$E$22,0)),ROW($C$2:$C$10000)-ROW($C$2)+1),ROWS(L$20:L2137))))</f>
        <v/>
      </c>
      <c r="I2137" s="4" t="str">
        <f t="array" ref="I2137">IF(ROWS(M$20:M2137)&gt;$F$6,"",INDEX(C$2:C$10000,SMALL(IF(ISNUMBER(MATCH($B$2:$B$10000,$E$6:$E$22,0)),ROW($C$2:$C$10000)-ROW($C$2)+1),ROWS(M$20:M2137))))</f>
        <v/>
      </c>
      <c r="K2137" s="7" t="str">
        <f t="array" ref="K2137">IF(ROWS(K$20:K2137)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2137))))</f>
        <v/>
      </c>
      <c r="L2137" s="4" t="str">
        <f t="array" ref="L2137">IF(ROWS(L$20:L2137)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2137))))</f>
        <v/>
      </c>
      <c r="M2137" s="4" t="str">
        <f t="array" ref="M2137">IF(ROWS(M$20:M2137)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2137))))</f>
        <v/>
      </c>
    </row>
    <row r="2138" spans="1:13" x14ac:dyDescent="0.25">
      <c r="A2138" s="3">
        <v>41804</v>
      </c>
      <c r="B2138" s="2" t="s">
        <v>14</v>
      </c>
      <c r="C2138" s="2">
        <v>34</v>
      </c>
      <c r="G2138" s="7" t="str">
        <f t="array" ref="G2138">IF(ROWS(K$20:K2138)&gt;$F$6,"",INDEX(A$2:A$10000,SMALL(IF(ISNUMBER(MATCH($B$2:$B$10000,$E$6:$E$22,0)),ROW($C$2:$C$10000)-ROW($C$2)+1),ROWS(K$20:K2138))))</f>
        <v/>
      </c>
      <c r="H2138" s="4" t="str">
        <f t="array" ref="H2138">IF(ROWS(L$20:L2138)&gt;$F$6,"",INDEX(B$2:B$10000,SMALL(IF(ISNUMBER(MATCH($B$2:$B$10000,$E$6:$E$22,0)),ROW($C$2:$C$10000)-ROW($C$2)+1),ROWS(L$20:L2138))))</f>
        <v/>
      </c>
      <c r="I2138" s="4" t="str">
        <f t="array" ref="I2138">IF(ROWS(M$20:M2138)&gt;$F$6,"",INDEX(C$2:C$10000,SMALL(IF(ISNUMBER(MATCH($B$2:$B$10000,$E$6:$E$22,0)),ROW($C$2:$C$10000)-ROW($C$2)+1),ROWS(M$20:M2138))))</f>
        <v/>
      </c>
      <c r="K2138" s="7" t="str">
        <f t="array" ref="K2138">IF(ROWS(K$20:K2138)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2138))))</f>
        <v/>
      </c>
      <c r="L2138" s="4" t="str">
        <f t="array" ref="L2138">IF(ROWS(L$20:L2138)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2138))))</f>
        <v/>
      </c>
      <c r="M2138" s="4" t="str">
        <f t="array" ref="M2138">IF(ROWS(M$20:M2138)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2138))))</f>
        <v/>
      </c>
    </row>
    <row r="2139" spans="1:13" x14ac:dyDescent="0.25">
      <c r="A2139" s="3">
        <v>41384</v>
      </c>
      <c r="B2139" s="2" t="s">
        <v>42</v>
      </c>
      <c r="C2139" s="2">
        <v>16</v>
      </c>
      <c r="G2139" s="7" t="str">
        <f t="array" ref="G2139">IF(ROWS(K$20:K2139)&gt;$F$6,"",INDEX(A$2:A$10000,SMALL(IF(ISNUMBER(MATCH($B$2:$B$10000,$E$6:$E$22,0)),ROW($C$2:$C$10000)-ROW($C$2)+1),ROWS(K$20:K2139))))</f>
        <v/>
      </c>
      <c r="H2139" s="4" t="str">
        <f t="array" ref="H2139">IF(ROWS(L$20:L2139)&gt;$F$6,"",INDEX(B$2:B$10000,SMALL(IF(ISNUMBER(MATCH($B$2:$B$10000,$E$6:$E$22,0)),ROW($C$2:$C$10000)-ROW($C$2)+1),ROWS(L$20:L2139))))</f>
        <v/>
      </c>
      <c r="I2139" s="4" t="str">
        <f t="array" ref="I2139">IF(ROWS(M$20:M2139)&gt;$F$6,"",INDEX(C$2:C$10000,SMALL(IF(ISNUMBER(MATCH($B$2:$B$10000,$E$6:$E$22,0)),ROW($C$2:$C$10000)-ROW($C$2)+1),ROWS(M$20:M2139))))</f>
        <v/>
      </c>
      <c r="K2139" s="7" t="str">
        <f t="array" ref="K2139">IF(ROWS(K$20:K2139)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2139))))</f>
        <v/>
      </c>
      <c r="L2139" s="4" t="str">
        <f t="array" ref="L2139">IF(ROWS(L$20:L2139)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2139))))</f>
        <v/>
      </c>
      <c r="M2139" s="4" t="str">
        <f t="array" ref="M2139">IF(ROWS(M$20:M2139)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2139))))</f>
        <v/>
      </c>
    </row>
    <row r="2140" spans="1:13" x14ac:dyDescent="0.25">
      <c r="A2140" s="3">
        <v>41620</v>
      </c>
      <c r="B2140" s="2" t="s">
        <v>13</v>
      </c>
      <c r="C2140" s="2">
        <v>38</v>
      </c>
      <c r="G2140" s="7" t="str">
        <f t="array" ref="G2140">IF(ROWS(K$20:K2140)&gt;$F$6,"",INDEX(A$2:A$10000,SMALL(IF(ISNUMBER(MATCH($B$2:$B$10000,$E$6:$E$22,0)),ROW($C$2:$C$10000)-ROW($C$2)+1),ROWS(K$20:K2140))))</f>
        <v/>
      </c>
      <c r="H2140" s="4" t="str">
        <f t="array" ref="H2140">IF(ROWS(L$20:L2140)&gt;$F$6,"",INDEX(B$2:B$10000,SMALL(IF(ISNUMBER(MATCH($B$2:$B$10000,$E$6:$E$22,0)),ROW($C$2:$C$10000)-ROW($C$2)+1),ROWS(L$20:L2140))))</f>
        <v/>
      </c>
      <c r="I2140" s="4" t="str">
        <f t="array" ref="I2140">IF(ROWS(M$20:M2140)&gt;$F$6,"",INDEX(C$2:C$10000,SMALL(IF(ISNUMBER(MATCH($B$2:$B$10000,$E$6:$E$22,0)),ROW($C$2:$C$10000)-ROW($C$2)+1),ROWS(M$20:M2140))))</f>
        <v/>
      </c>
      <c r="K2140" s="7" t="str">
        <f t="array" ref="K2140">IF(ROWS(K$20:K2140)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2140))))</f>
        <v/>
      </c>
      <c r="L2140" s="4" t="str">
        <f t="array" ref="L2140">IF(ROWS(L$20:L2140)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2140))))</f>
        <v/>
      </c>
      <c r="M2140" s="4" t="str">
        <f t="array" ref="M2140">IF(ROWS(M$20:M2140)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2140))))</f>
        <v/>
      </c>
    </row>
    <row r="2141" spans="1:13" x14ac:dyDescent="0.25">
      <c r="A2141" s="3">
        <v>41429</v>
      </c>
      <c r="B2141" s="2" t="s">
        <v>14</v>
      </c>
      <c r="C2141" s="2">
        <v>13</v>
      </c>
      <c r="G2141" s="7" t="str">
        <f t="array" ref="G2141">IF(ROWS(K$20:K2141)&gt;$F$6,"",INDEX(A$2:A$10000,SMALL(IF(ISNUMBER(MATCH($B$2:$B$10000,$E$6:$E$22,0)),ROW($C$2:$C$10000)-ROW($C$2)+1),ROWS(K$20:K2141))))</f>
        <v/>
      </c>
      <c r="H2141" s="4" t="str">
        <f t="array" ref="H2141">IF(ROWS(L$20:L2141)&gt;$F$6,"",INDEX(B$2:B$10000,SMALL(IF(ISNUMBER(MATCH($B$2:$B$10000,$E$6:$E$22,0)),ROW($C$2:$C$10000)-ROW($C$2)+1),ROWS(L$20:L2141))))</f>
        <v/>
      </c>
      <c r="I2141" s="4" t="str">
        <f t="array" ref="I2141">IF(ROWS(M$20:M2141)&gt;$F$6,"",INDEX(C$2:C$10000,SMALL(IF(ISNUMBER(MATCH($B$2:$B$10000,$E$6:$E$22,0)),ROW($C$2:$C$10000)-ROW($C$2)+1),ROWS(M$20:M2141))))</f>
        <v/>
      </c>
      <c r="K2141" s="7" t="str">
        <f t="array" ref="K2141">IF(ROWS(K$20:K2141)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2141))))</f>
        <v/>
      </c>
      <c r="L2141" s="4" t="str">
        <f t="array" ref="L2141">IF(ROWS(L$20:L2141)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2141))))</f>
        <v/>
      </c>
      <c r="M2141" s="4" t="str">
        <f t="array" ref="M2141">IF(ROWS(M$20:M2141)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2141))))</f>
        <v/>
      </c>
    </row>
    <row r="2142" spans="1:13" x14ac:dyDescent="0.25">
      <c r="A2142" s="3">
        <v>41913</v>
      </c>
      <c r="B2142" s="2" t="s">
        <v>11</v>
      </c>
      <c r="C2142" s="2">
        <v>28</v>
      </c>
      <c r="G2142" s="7" t="str">
        <f t="array" ref="G2142">IF(ROWS(K$20:K2142)&gt;$F$6,"",INDEX(A$2:A$10000,SMALL(IF(ISNUMBER(MATCH($B$2:$B$10000,$E$6:$E$22,0)),ROW($C$2:$C$10000)-ROW($C$2)+1),ROWS(K$20:K2142))))</f>
        <v/>
      </c>
      <c r="H2142" s="4" t="str">
        <f t="array" ref="H2142">IF(ROWS(L$20:L2142)&gt;$F$6,"",INDEX(B$2:B$10000,SMALL(IF(ISNUMBER(MATCH($B$2:$B$10000,$E$6:$E$22,0)),ROW($C$2:$C$10000)-ROW($C$2)+1),ROWS(L$20:L2142))))</f>
        <v/>
      </c>
      <c r="I2142" s="4" t="str">
        <f t="array" ref="I2142">IF(ROWS(M$20:M2142)&gt;$F$6,"",INDEX(C$2:C$10000,SMALL(IF(ISNUMBER(MATCH($B$2:$B$10000,$E$6:$E$22,0)),ROW($C$2:$C$10000)-ROW($C$2)+1),ROWS(M$20:M2142))))</f>
        <v/>
      </c>
      <c r="K2142" s="7" t="str">
        <f t="array" ref="K2142">IF(ROWS(K$20:K2142)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2142))))</f>
        <v/>
      </c>
      <c r="L2142" s="4" t="str">
        <f t="array" ref="L2142">IF(ROWS(L$20:L2142)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2142))))</f>
        <v/>
      </c>
      <c r="M2142" s="4" t="str">
        <f t="array" ref="M2142">IF(ROWS(M$20:M2142)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2142))))</f>
        <v/>
      </c>
    </row>
    <row r="2143" spans="1:13" x14ac:dyDescent="0.25">
      <c r="A2143" s="3">
        <v>41696</v>
      </c>
      <c r="B2143" s="2" t="s">
        <v>27</v>
      </c>
      <c r="C2143" s="2">
        <v>24</v>
      </c>
      <c r="G2143" s="7" t="str">
        <f t="array" ref="G2143">IF(ROWS(K$20:K2143)&gt;$F$6,"",INDEX(A$2:A$10000,SMALL(IF(ISNUMBER(MATCH($B$2:$B$10000,$E$6:$E$22,0)),ROW($C$2:$C$10000)-ROW($C$2)+1),ROWS(K$20:K2143))))</f>
        <v/>
      </c>
      <c r="H2143" s="4" t="str">
        <f t="array" ref="H2143">IF(ROWS(L$20:L2143)&gt;$F$6,"",INDEX(B$2:B$10000,SMALL(IF(ISNUMBER(MATCH($B$2:$B$10000,$E$6:$E$22,0)),ROW($C$2:$C$10000)-ROW($C$2)+1),ROWS(L$20:L2143))))</f>
        <v/>
      </c>
      <c r="I2143" s="4" t="str">
        <f t="array" ref="I2143">IF(ROWS(M$20:M2143)&gt;$F$6,"",INDEX(C$2:C$10000,SMALL(IF(ISNUMBER(MATCH($B$2:$B$10000,$E$6:$E$22,0)),ROW($C$2:$C$10000)-ROW($C$2)+1),ROWS(M$20:M2143))))</f>
        <v/>
      </c>
      <c r="K2143" s="7" t="str">
        <f t="array" ref="K2143">IF(ROWS(K$20:K2143)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2143))))</f>
        <v/>
      </c>
      <c r="L2143" s="4" t="str">
        <f t="array" ref="L2143">IF(ROWS(L$20:L2143)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2143))))</f>
        <v/>
      </c>
      <c r="M2143" s="4" t="str">
        <f t="array" ref="M2143">IF(ROWS(M$20:M2143)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2143))))</f>
        <v/>
      </c>
    </row>
    <row r="2144" spans="1:13" x14ac:dyDescent="0.25">
      <c r="A2144" s="3">
        <v>41637</v>
      </c>
      <c r="B2144" s="2" t="s">
        <v>48</v>
      </c>
      <c r="C2144" s="2">
        <v>43</v>
      </c>
      <c r="G2144" s="7" t="str">
        <f t="array" ref="G2144">IF(ROWS(K$20:K2144)&gt;$F$6,"",INDEX(A$2:A$10000,SMALL(IF(ISNUMBER(MATCH($B$2:$B$10000,$E$6:$E$22,0)),ROW($C$2:$C$10000)-ROW($C$2)+1),ROWS(K$20:K2144))))</f>
        <v/>
      </c>
      <c r="H2144" s="4" t="str">
        <f t="array" ref="H2144">IF(ROWS(L$20:L2144)&gt;$F$6,"",INDEX(B$2:B$10000,SMALL(IF(ISNUMBER(MATCH($B$2:$B$10000,$E$6:$E$22,0)),ROW($C$2:$C$10000)-ROW($C$2)+1),ROWS(L$20:L2144))))</f>
        <v/>
      </c>
      <c r="I2144" s="4" t="str">
        <f t="array" ref="I2144">IF(ROWS(M$20:M2144)&gt;$F$6,"",INDEX(C$2:C$10000,SMALL(IF(ISNUMBER(MATCH($B$2:$B$10000,$E$6:$E$22,0)),ROW($C$2:$C$10000)-ROW($C$2)+1),ROWS(M$20:M2144))))</f>
        <v/>
      </c>
      <c r="K2144" s="7" t="str">
        <f t="array" ref="K2144">IF(ROWS(K$20:K2144)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2144))))</f>
        <v/>
      </c>
      <c r="L2144" s="4" t="str">
        <f t="array" ref="L2144">IF(ROWS(L$20:L2144)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2144))))</f>
        <v/>
      </c>
      <c r="M2144" s="4" t="str">
        <f t="array" ref="M2144">IF(ROWS(M$20:M2144)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2144))))</f>
        <v/>
      </c>
    </row>
    <row r="2145" spans="1:13" x14ac:dyDescent="0.25">
      <c r="A2145" s="3">
        <v>41707</v>
      </c>
      <c r="B2145" s="2" t="s">
        <v>23</v>
      </c>
      <c r="C2145" s="2">
        <v>16</v>
      </c>
      <c r="G2145" s="7" t="str">
        <f t="array" ref="G2145">IF(ROWS(K$20:K2145)&gt;$F$6,"",INDEX(A$2:A$10000,SMALL(IF(ISNUMBER(MATCH($B$2:$B$10000,$E$6:$E$22,0)),ROW($C$2:$C$10000)-ROW($C$2)+1),ROWS(K$20:K2145))))</f>
        <v/>
      </c>
      <c r="H2145" s="4" t="str">
        <f t="array" ref="H2145">IF(ROWS(L$20:L2145)&gt;$F$6,"",INDEX(B$2:B$10000,SMALL(IF(ISNUMBER(MATCH($B$2:$B$10000,$E$6:$E$22,0)),ROW($C$2:$C$10000)-ROW($C$2)+1),ROWS(L$20:L2145))))</f>
        <v/>
      </c>
      <c r="I2145" s="4" t="str">
        <f t="array" ref="I2145">IF(ROWS(M$20:M2145)&gt;$F$6,"",INDEX(C$2:C$10000,SMALL(IF(ISNUMBER(MATCH($B$2:$B$10000,$E$6:$E$22,0)),ROW($C$2:$C$10000)-ROW($C$2)+1),ROWS(M$20:M2145))))</f>
        <v/>
      </c>
      <c r="K2145" s="7" t="str">
        <f t="array" ref="K2145">IF(ROWS(K$20:K2145)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2145))))</f>
        <v/>
      </c>
      <c r="L2145" s="4" t="str">
        <f t="array" ref="L2145">IF(ROWS(L$20:L2145)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2145))))</f>
        <v/>
      </c>
      <c r="M2145" s="4" t="str">
        <f t="array" ref="M2145">IF(ROWS(M$20:M2145)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2145))))</f>
        <v/>
      </c>
    </row>
    <row r="2146" spans="1:13" x14ac:dyDescent="0.25">
      <c r="A2146" s="3">
        <v>41711</v>
      </c>
      <c r="B2146" s="2" t="s">
        <v>20</v>
      </c>
      <c r="C2146" s="2">
        <v>17</v>
      </c>
      <c r="G2146" s="7" t="str">
        <f t="array" ref="G2146">IF(ROWS(K$20:K2146)&gt;$F$6,"",INDEX(A$2:A$10000,SMALL(IF(ISNUMBER(MATCH($B$2:$B$10000,$E$6:$E$22,0)),ROW($C$2:$C$10000)-ROW($C$2)+1),ROWS(K$20:K2146))))</f>
        <v/>
      </c>
      <c r="H2146" s="4" t="str">
        <f t="array" ref="H2146">IF(ROWS(L$20:L2146)&gt;$F$6,"",INDEX(B$2:B$10000,SMALL(IF(ISNUMBER(MATCH($B$2:$B$10000,$E$6:$E$22,0)),ROW($C$2:$C$10000)-ROW($C$2)+1),ROWS(L$20:L2146))))</f>
        <v/>
      </c>
      <c r="I2146" s="4" t="str">
        <f t="array" ref="I2146">IF(ROWS(M$20:M2146)&gt;$F$6,"",INDEX(C$2:C$10000,SMALL(IF(ISNUMBER(MATCH($B$2:$B$10000,$E$6:$E$22,0)),ROW($C$2:$C$10000)-ROW($C$2)+1),ROWS(M$20:M2146))))</f>
        <v/>
      </c>
      <c r="K2146" s="7" t="str">
        <f t="array" ref="K2146">IF(ROWS(K$20:K2146)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2146))))</f>
        <v/>
      </c>
      <c r="L2146" s="4" t="str">
        <f t="array" ref="L2146">IF(ROWS(L$20:L2146)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2146))))</f>
        <v/>
      </c>
      <c r="M2146" s="4" t="str">
        <f t="array" ref="M2146">IF(ROWS(M$20:M2146)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2146))))</f>
        <v/>
      </c>
    </row>
    <row r="2147" spans="1:13" x14ac:dyDescent="0.25">
      <c r="A2147" s="3">
        <v>41813</v>
      </c>
      <c r="B2147" s="2" t="s">
        <v>12</v>
      </c>
      <c r="C2147" s="2">
        <v>29</v>
      </c>
      <c r="G2147" s="7" t="str">
        <f t="array" ref="G2147">IF(ROWS(K$20:K2147)&gt;$F$6,"",INDEX(A$2:A$10000,SMALL(IF(ISNUMBER(MATCH($B$2:$B$10000,$E$6:$E$22,0)),ROW($C$2:$C$10000)-ROW($C$2)+1),ROWS(K$20:K2147))))</f>
        <v/>
      </c>
      <c r="H2147" s="4" t="str">
        <f t="array" ref="H2147">IF(ROWS(L$20:L2147)&gt;$F$6,"",INDEX(B$2:B$10000,SMALL(IF(ISNUMBER(MATCH($B$2:$B$10000,$E$6:$E$22,0)),ROW($C$2:$C$10000)-ROW($C$2)+1),ROWS(L$20:L2147))))</f>
        <v/>
      </c>
      <c r="I2147" s="4" t="str">
        <f t="array" ref="I2147">IF(ROWS(M$20:M2147)&gt;$F$6,"",INDEX(C$2:C$10000,SMALL(IF(ISNUMBER(MATCH($B$2:$B$10000,$E$6:$E$22,0)),ROW($C$2:$C$10000)-ROW($C$2)+1),ROWS(M$20:M2147))))</f>
        <v/>
      </c>
      <c r="K2147" s="7" t="str">
        <f t="array" ref="K2147">IF(ROWS(K$20:K2147)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2147))))</f>
        <v/>
      </c>
      <c r="L2147" s="4" t="str">
        <f t="array" ref="L2147">IF(ROWS(L$20:L2147)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2147))))</f>
        <v/>
      </c>
      <c r="M2147" s="4" t="str">
        <f t="array" ref="M2147">IF(ROWS(M$20:M2147)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2147))))</f>
        <v/>
      </c>
    </row>
    <row r="2148" spans="1:13" x14ac:dyDescent="0.25">
      <c r="A2148" s="3">
        <v>41586</v>
      </c>
      <c r="B2148" s="2" t="s">
        <v>2</v>
      </c>
      <c r="C2148" s="2">
        <v>16</v>
      </c>
      <c r="G2148" s="7" t="str">
        <f t="array" ref="G2148">IF(ROWS(K$20:K2148)&gt;$F$6,"",INDEX(A$2:A$10000,SMALL(IF(ISNUMBER(MATCH($B$2:$B$10000,$E$6:$E$22,0)),ROW($C$2:$C$10000)-ROW($C$2)+1),ROWS(K$20:K2148))))</f>
        <v/>
      </c>
      <c r="H2148" s="4" t="str">
        <f t="array" ref="H2148">IF(ROWS(L$20:L2148)&gt;$F$6,"",INDEX(B$2:B$10000,SMALL(IF(ISNUMBER(MATCH($B$2:$B$10000,$E$6:$E$22,0)),ROW($C$2:$C$10000)-ROW($C$2)+1),ROWS(L$20:L2148))))</f>
        <v/>
      </c>
      <c r="I2148" s="4" t="str">
        <f t="array" ref="I2148">IF(ROWS(M$20:M2148)&gt;$F$6,"",INDEX(C$2:C$10000,SMALL(IF(ISNUMBER(MATCH($B$2:$B$10000,$E$6:$E$22,0)),ROW($C$2:$C$10000)-ROW($C$2)+1),ROWS(M$20:M2148))))</f>
        <v/>
      </c>
      <c r="K2148" s="7" t="str">
        <f t="array" ref="K2148">IF(ROWS(K$20:K2148)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2148))))</f>
        <v/>
      </c>
      <c r="L2148" s="4" t="str">
        <f t="array" ref="L2148">IF(ROWS(L$20:L2148)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2148))))</f>
        <v/>
      </c>
      <c r="M2148" s="4" t="str">
        <f t="array" ref="M2148">IF(ROWS(M$20:M2148)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2148))))</f>
        <v/>
      </c>
    </row>
    <row r="2149" spans="1:13" x14ac:dyDescent="0.25">
      <c r="A2149" s="3">
        <v>41552</v>
      </c>
      <c r="B2149" s="2" t="s">
        <v>42</v>
      </c>
      <c r="C2149" s="2">
        <v>3</v>
      </c>
      <c r="G2149" s="7" t="str">
        <f t="array" ref="G2149">IF(ROWS(K$20:K2149)&gt;$F$6,"",INDEX(A$2:A$10000,SMALL(IF(ISNUMBER(MATCH($B$2:$B$10000,$E$6:$E$22,0)),ROW($C$2:$C$10000)-ROW($C$2)+1),ROWS(K$20:K2149))))</f>
        <v/>
      </c>
      <c r="H2149" s="4" t="str">
        <f t="array" ref="H2149">IF(ROWS(L$20:L2149)&gt;$F$6,"",INDEX(B$2:B$10000,SMALL(IF(ISNUMBER(MATCH($B$2:$B$10000,$E$6:$E$22,0)),ROW($C$2:$C$10000)-ROW($C$2)+1),ROWS(L$20:L2149))))</f>
        <v/>
      </c>
      <c r="I2149" s="4" t="str">
        <f t="array" ref="I2149">IF(ROWS(M$20:M2149)&gt;$F$6,"",INDEX(C$2:C$10000,SMALL(IF(ISNUMBER(MATCH($B$2:$B$10000,$E$6:$E$22,0)),ROW($C$2:$C$10000)-ROW($C$2)+1),ROWS(M$20:M2149))))</f>
        <v/>
      </c>
      <c r="K2149" s="7" t="str">
        <f t="array" ref="K2149">IF(ROWS(K$20:K2149)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2149))))</f>
        <v/>
      </c>
      <c r="L2149" s="4" t="str">
        <f t="array" ref="L2149">IF(ROWS(L$20:L2149)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2149))))</f>
        <v/>
      </c>
      <c r="M2149" s="4" t="str">
        <f t="array" ref="M2149">IF(ROWS(M$20:M2149)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2149))))</f>
        <v/>
      </c>
    </row>
    <row r="2150" spans="1:13" x14ac:dyDescent="0.25">
      <c r="A2150" s="3">
        <v>41450</v>
      </c>
      <c r="B2150" s="2" t="s">
        <v>16</v>
      </c>
      <c r="C2150" s="2">
        <v>37</v>
      </c>
      <c r="G2150" s="7" t="str">
        <f t="array" ref="G2150">IF(ROWS(K$20:K2150)&gt;$F$6,"",INDEX(A$2:A$10000,SMALL(IF(ISNUMBER(MATCH($B$2:$B$10000,$E$6:$E$22,0)),ROW($C$2:$C$10000)-ROW($C$2)+1),ROWS(K$20:K2150))))</f>
        <v/>
      </c>
      <c r="H2150" s="4" t="str">
        <f t="array" ref="H2150">IF(ROWS(L$20:L2150)&gt;$F$6,"",INDEX(B$2:B$10000,SMALL(IF(ISNUMBER(MATCH($B$2:$B$10000,$E$6:$E$22,0)),ROW($C$2:$C$10000)-ROW($C$2)+1),ROWS(L$20:L2150))))</f>
        <v/>
      </c>
      <c r="I2150" s="4" t="str">
        <f t="array" ref="I2150">IF(ROWS(M$20:M2150)&gt;$F$6,"",INDEX(C$2:C$10000,SMALL(IF(ISNUMBER(MATCH($B$2:$B$10000,$E$6:$E$22,0)),ROW($C$2:$C$10000)-ROW($C$2)+1),ROWS(M$20:M2150))))</f>
        <v/>
      </c>
      <c r="K2150" s="7" t="str">
        <f t="array" ref="K2150">IF(ROWS(K$20:K2150)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2150))))</f>
        <v/>
      </c>
      <c r="L2150" s="4" t="str">
        <f t="array" ref="L2150">IF(ROWS(L$20:L2150)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2150))))</f>
        <v/>
      </c>
      <c r="M2150" s="4" t="str">
        <f t="array" ref="M2150">IF(ROWS(M$20:M2150)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2150))))</f>
        <v/>
      </c>
    </row>
    <row r="2151" spans="1:13" x14ac:dyDescent="0.25">
      <c r="A2151" s="3">
        <v>41340</v>
      </c>
      <c r="B2151" s="2" t="s">
        <v>2</v>
      </c>
      <c r="C2151" s="2">
        <v>41</v>
      </c>
      <c r="G2151" s="7" t="str">
        <f t="array" ref="G2151">IF(ROWS(K$20:K2151)&gt;$F$6,"",INDEX(A$2:A$10000,SMALL(IF(ISNUMBER(MATCH($B$2:$B$10000,$E$6:$E$22,0)),ROW($C$2:$C$10000)-ROW($C$2)+1),ROWS(K$20:K2151))))</f>
        <v/>
      </c>
      <c r="H2151" s="4" t="str">
        <f t="array" ref="H2151">IF(ROWS(L$20:L2151)&gt;$F$6,"",INDEX(B$2:B$10000,SMALL(IF(ISNUMBER(MATCH($B$2:$B$10000,$E$6:$E$22,0)),ROW($C$2:$C$10000)-ROW($C$2)+1),ROWS(L$20:L2151))))</f>
        <v/>
      </c>
      <c r="I2151" s="4" t="str">
        <f t="array" ref="I2151">IF(ROWS(M$20:M2151)&gt;$F$6,"",INDEX(C$2:C$10000,SMALL(IF(ISNUMBER(MATCH($B$2:$B$10000,$E$6:$E$22,0)),ROW($C$2:$C$10000)-ROW($C$2)+1),ROWS(M$20:M2151))))</f>
        <v/>
      </c>
      <c r="K2151" s="7" t="str">
        <f t="array" ref="K2151">IF(ROWS(K$20:K2151)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2151))))</f>
        <v/>
      </c>
      <c r="L2151" s="4" t="str">
        <f t="array" ref="L2151">IF(ROWS(L$20:L2151)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2151))))</f>
        <v/>
      </c>
      <c r="M2151" s="4" t="str">
        <f t="array" ref="M2151">IF(ROWS(M$20:M2151)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2151))))</f>
        <v/>
      </c>
    </row>
    <row r="2152" spans="1:13" x14ac:dyDescent="0.25">
      <c r="A2152" s="3">
        <v>41495</v>
      </c>
      <c r="B2152" s="2" t="s">
        <v>41</v>
      </c>
      <c r="C2152" s="2">
        <v>21</v>
      </c>
      <c r="G2152" s="7" t="str">
        <f t="array" ref="G2152">IF(ROWS(K$20:K2152)&gt;$F$6,"",INDEX(A$2:A$10000,SMALL(IF(ISNUMBER(MATCH($B$2:$B$10000,$E$6:$E$22,0)),ROW($C$2:$C$10000)-ROW($C$2)+1),ROWS(K$20:K2152))))</f>
        <v/>
      </c>
      <c r="H2152" s="4" t="str">
        <f t="array" ref="H2152">IF(ROWS(L$20:L2152)&gt;$F$6,"",INDEX(B$2:B$10000,SMALL(IF(ISNUMBER(MATCH($B$2:$B$10000,$E$6:$E$22,0)),ROW($C$2:$C$10000)-ROW($C$2)+1),ROWS(L$20:L2152))))</f>
        <v/>
      </c>
      <c r="I2152" s="4" t="str">
        <f t="array" ref="I2152">IF(ROWS(M$20:M2152)&gt;$F$6,"",INDEX(C$2:C$10000,SMALL(IF(ISNUMBER(MATCH($B$2:$B$10000,$E$6:$E$22,0)),ROW($C$2:$C$10000)-ROW($C$2)+1),ROWS(M$20:M2152))))</f>
        <v/>
      </c>
      <c r="K2152" s="7" t="str">
        <f t="array" ref="K2152">IF(ROWS(K$20:K2152)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2152))))</f>
        <v/>
      </c>
      <c r="L2152" s="4" t="str">
        <f t="array" ref="L2152">IF(ROWS(L$20:L2152)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2152))))</f>
        <v/>
      </c>
      <c r="M2152" s="4" t="str">
        <f t="array" ref="M2152">IF(ROWS(M$20:M2152)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2152))))</f>
        <v/>
      </c>
    </row>
    <row r="2153" spans="1:13" x14ac:dyDescent="0.25">
      <c r="A2153" s="3">
        <v>41750</v>
      </c>
      <c r="B2153" s="2" t="s">
        <v>48</v>
      </c>
      <c r="C2153" s="2">
        <v>21</v>
      </c>
      <c r="G2153" s="7" t="str">
        <f t="array" ref="G2153">IF(ROWS(K$20:K2153)&gt;$F$6,"",INDEX(A$2:A$10000,SMALL(IF(ISNUMBER(MATCH($B$2:$B$10000,$E$6:$E$22,0)),ROW($C$2:$C$10000)-ROW($C$2)+1),ROWS(K$20:K2153))))</f>
        <v/>
      </c>
      <c r="H2153" s="4" t="str">
        <f t="array" ref="H2153">IF(ROWS(L$20:L2153)&gt;$F$6,"",INDEX(B$2:B$10000,SMALL(IF(ISNUMBER(MATCH($B$2:$B$10000,$E$6:$E$22,0)),ROW($C$2:$C$10000)-ROW($C$2)+1),ROWS(L$20:L2153))))</f>
        <v/>
      </c>
      <c r="I2153" s="4" t="str">
        <f t="array" ref="I2153">IF(ROWS(M$20:M2153)&gt;$F$6,"",INDEX(C$2:C$10000,SMALL(IF(ISNUMBER(MATCH($B$2:$B$10000,$E$6:$E$22,0)),ROW($C$2:$C$10000)-ROW($C$2)+1),ROWS(M$20:M2153))))</f>
        <v/>
      </c>
      <c r="K2153" s="7" t="str">
        <f t="array" ref="K2153">IF(ROWS(K$20:K2153)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2153))))</f>
        <v/>
      </c>
      <c r="L2153" s="4" t="str">
        <f t="array" ref="L2153">IF(ROWS(L$20:L2153)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2153))))</f>
        <v/>
      </c>
      <c r="M2153" s="4" t="str">
        <f t="array" ref="M2153">IF(ROWS(M$20:M2153)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2153))))</f>
        <v/>
      </c>
    </row>
    <row r="2154" spans="1:13" x14ac:dyDescent="0.25">
      <c r="A2154" s="3">
        <v>41407</v>
      </c>
      <c r="B2154" s="2" t="s">
        <v>35</v>
      </c>
      <c r="C2154" s="2">
        <v>6</v>
      </c>
      <c r="G2154" s="7" t="str">
        <f t="array" ref="G2154">IF(ROWS(K$20:K2154)&gt;$F$6,"",INDEX(A$2:A$10000,SMALL(IF(ISNUMBER(MATCH($B$2:$B$10000,$E$6:$E$22,0)),ROW($C$2:$C$10000)-ROW($C$2)+1),ROWS(K$20:K2154))))</f>
        <v/>
      </c>
      <c r="H2154" s="4" t="str">
        <f t="array" ref="H2154">IF(ROWS(L$20:L2154)&gt;$F$6,"",INDEX(B$2:B$10000,SMALL(IF(ISNUMBER(MATCH($B$2:$B$10000,$E$6:$E$22,0)),ROW($C$2:$C$10000)-ROW($C$2)+1),ROWS(L$20:L2154))))</f>
        <v/>
      </c>
      <c r="I2154" s="4" t="str">
        <f t="array" ref="I2154">IF(ROWS(M$20:M2154)&gt;$F$6,"",INDEX(C$2:C$10000,SMALL(IF(ISNUMBER(MATCH($B$2:$B$10000,$E$6:$E$22,0)),ROW($C$2:$C$10000)-ROW($C$2)+1),ROWS(M$20:M2154))))</f>
        <v/>
      </c>
      <c r="K2154" s="7" t="str">
        <f t="array" ref="K2154">IF(ROWS(K$20:K2154)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2154))))</f>
        <v/>
      </c>
      <c r="L2154" s="4" t="str">
        <f t="array" ref="L2154">IF(ROWS(L$20:L2154)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2154))))</f>
        <v/>
      </c>
      <c r="M2154" s="4" t="str">
        <f t="array" ref="M2154">IF(ROWS(M$20:M2154)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2154))))</f>
        <v/>
      </c>
    </row>
    <row r="2155" spans="1:13" x14ac:dyDescent="0.25">
      <c r="A2155" s="3">
        <v>41711</v>
      </c>
      <c r="B2155" s="2" t="s">
        <v>21</v>
      </c>
      <c r="C2155" s="2">
        <v>22</v>
      </c>
      <c r="G2155" s="7" t="str">
        <f t="array" ref="G2155">IF(ROWS(K$20:K2155)&gt;$F$6,"",INDEX(A$2:A$10000,SMALL(IF(ISNUMBER(MATCH($B$2:$B$10000,$E$6:$E$22,0)),ROW($C$2:$C$10000)-ROW($C$2)+1),ROWS(K$20:K2155))))</f>
        <v/>
      </c>
      <c r="H2155" s="4" t="str">
        <f t="array" ref="H2155">IF(ROWS(L$20:L2155)&gt;$F$6,"",INDEX(B$2:B$10000,SMALL(IF(ISNUMBER(MATCH($B$2:$B$10000,$E$6:$E$22,0)),ROW($C$2:$C$10000)-ROW($C$2)+1),ROWS(L$20:L2155))))</f>
        <v/>
      </c>
      <c r="I2155" s="4" t="str">
        <f t="array" ref="I2155">IF(ROWS(M$20:M2155)&gt;$F$6,"",INDEX(C$2:C$10000,SMALL(IF(ISNUMBER(MATCH($B$2:$B$10000,$E$6:$E$22,0)),ROW($C$2:$C$10000)-ROW($C$2)+1),ROWS(M$20:M2155))))</f>
        <v/>
      </c>
      <c r="K2155" s="7" t="str">
        <f t="array" ref="K2155">IF(ROWS(K$20:K2155)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2155))))</f>
        <v/>
      </c>
      <c r="L2155" s="4" t="str">
        <f t="array" ref="L2155">IF(ROWS(L$20:L2155)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2155))))</f>
        <v/>
      </c>
      <c r="M2155" s="4" t="str">
        <f t="array" ref="M2155">IF(ROWS(M$20:M2155)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2155))))</f>
        <v/>
      </c>
    </row>
    <row r="2156" spans="1:13" x14ac:dyDescent="0.25">
      <c r="A2156" s="3">
        <v>41457</v>
      </c>
      <c r="B2156" s="2" t="s">
        <v>8</v>
      </c>
      <c r="C2156" s="2">
        <v>8</v>
      </c>
      <c r="G2156" s="7" t="str">
        <f t="array" ref="G2156">IF(ROWS(K$20:K2156)&gt;$F$6,"",INDEX(A$2:A$10000,SMALL(IF(ISNUMBER(MATCH($B$2:$B$10000,$E$6:$E$22,0)),ROW($C$2:$C$10000)-ROW($C$2)+1),ROWS(K$20:K2156))))</f>
        <v/>
      </c>
      <c r="H2156" s="4" t="str">
        <f t="array" ref="H2156">IF(ROWS(L$20:L2156)&gt;$F$6,"",INDEX(B$2:B$10000,SMALL(IF(ISNUMBER(MATCH($B$2:$B$10000,$E$6:$E$22,0)),ROW($C$2:$C$10000)-ROW($C$2)+1),ROWS(L$20:L2156))))</f>
        <v/>
      </c>
      <c r="I2156" s="4" t="str">
        <f t="array" ref="I2156">IF(ROWS(M$20:M2156)&gt;$F$6,"",INDEX(C$2:C$10000,SMALL(IF(ISNUMBER(MATCH($B$2:$B$10000,$E$6:$E$22,0)),ROW($C$2:$C$10000)-ROW($C$2)+1),ROWS(M$20:M2156))))</f>
        <v/>
      </c>
      <c r="K2156" s="7" t="str">
        <f t="array" ref="K2156">IF(ROWS(K$20:K2156)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2156))))</f>
        <v/>
      </c>
      <c r="L2156" s="4" t="str">
        <f t="array" ref="L2156">IF(ROWS(L$20:L2156)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2156))))</f>
        <v/>
      </c>
      <c r="M2156" s="4" t="str">
        <f t="array" ref="M2156">IF(ROWS(M$20:M2156)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2156))))</f>
        <v/>
      </c>
    </row>
    <row r="2157" spans="1:13" x14ac:dyDescent="0.25">
      <c r="A2157" s="3">
        <v>41635</v>
      </c>
      <c r="B2157" s="2" t="s">
        <v>25</v>
      </c>
      <c r="C2157" s="2">
        <v>20</v>
      </c>
      <c r="G2157" s="7" t="str">
        <f t="array" ref="G2157">IF(ROWS(K$20:K2157)&gt;$F$6,"",INDEX(A$2:A$10000,SMALL(IF(ISNUMBER(MATCH($B$2:$B$10000,$E$6:$E$22,0)),ROW($C$2:$C$10000)-ROW($C$2)+1),ROWS(K$20:K2157))))</f>
        <v/>
      </c>
      <c r="H2157" s="4" t="str">
        <f t="array" ref="H2157">IF(ROWS(L$20:L2157)&gt;$F$6,"",INDEX(B$2:B$10000,SMALL(IF(ISNUMBER(MATCH($B$2:$B$10000,$E$6:$E$22,0)),ROW($C$2:$C$10000)-ROW($C$2)+1),ROWS(L$20:L2157))))</f>
        <v/>
      </c>
      <c r="I2157" s="4" t="str">
        <f t="array" ref="I2157">IF(ROWS(M$20:M2157)&gt;$F$6,"",INDEX(C$2:C$10000,SMALL(IF(ISNUMBER(MATCH($B$2:$B$10000,$E$6:$E$22,0)),ROW($C$2:$C$10000)-ROW($C$2)+1),ROWS(M$20:M2157))))</f>
        <v/>
      </c>
      <c r="K2157" s="7" t="str">
        <f t="array" ref="K2157">IF(ROWS(K$20:K2157)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2157))))</f>
        <v/>
      </c>
      <c r="L2157" s="4" t="str">
        <f t="array" ref="L2157">IF(ROWS(L$20:L2157)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2157))))</f>
        <v/>
      </c>
      <c r="M2157" s="4" t="str">
        <f t="array" ref="M2157">IF(ROWS(M$20:M2157)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2157))))</f>
        <v/>
      </c>
    </row>
    <row r="2158" spans="1:13" x14ac:dyDescent="0.25">
      <c r="A2158" s="3">
        <v>41890</v>
      </c>
      <c r="B2158" s="2" t="s">
        <v>15</v>
      </c>
      <c r="C2158" s="2">
        <v>7</v>
      </c>
      <c r="G2158" s="7" t="str">
        <f t="array" ref="G2158">IF(ROWS(K$20:K2158)&gt;$F$6,"",INDEX(A$2:A$10000,SMALL(IF(ISNUMBER(MATCH($B$2:$B$10000,$E$6:$E$22,0)),ROW($C$2:$C$10000)-ROW($C$2)+1),ROWS(K$20:K2158))))</f>
        <v/>
      </c>
      <c r="H2158" s="4" t="str">
        <f t="array" ref="H2158">IF(ROWS(L$20:L2158)&gt;$F$6,"",INDEX(B$2:B$10000,SMALL(IF(ISNUMBER(MATCH($B$2:$B$10000,$E$6:$E$22,0)),ROW($C$2:$C$10000)-ROW($C$2)+1),ROWS(L$20:L2158))))</f>
        <v/>
      </c>
      <c r="I2158" s="4" t="str">
        <f t="array" ref="I2158">IF(ROWS(M$20:M2158)&gt;$F$6,"",INDEX(C$2:C$10000,SMALL(IF(ISNUMBER(MATCH($B$2:$B$10000,$E$6:$E$22,0)),ROW($C$2:$C$10000)-ROW($C$2)+1),ROWS(M$20:M2158))))</f>
        <v/>
      </c>
      <c r="K2158" s="7" t="str">
        <f t="array" ref="K2158">IF(ROWS(K$20:K2158)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2158))))</f>
        <v/>
      </c>
      <c r="L2158" s="4" t="str">
        <f t="array" ref="L2158">IF(ROWS(L$20:L2158)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2158))))</f>
        <v/>
      </c>
      <c r="M2158" s="4" t="str">
        <f t="array" ref="M2158">IF(ROWS(M$20:M2158)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2158))))</f>
        <v/>
      </c>
    </row>
    <row r="2159" spans="1:13" x14ac:dyDescent="0.25">
      <c r="A2159" s="3">
        <v>41429</v>
      </c>
      <c r="B2159" s="2" t="s">
        <v>40</v>
      </c>
      <c r="C2159" s="2">
        <v>0</v>
      </c>
      <c r="G2159" s="7" t="str">
        <f t="array" ref="G2159">IF(ROWS(K$20:K2159)&gt;$F$6,"",INDEX(A$2:A$10000,SMALL(IF(ISNUMBER(MATCH($B$2:$B$10000,$E$6:$E$22,0)),ROW($C$2:$C$10000)-ROW($C$2)+1),ROWS(K$20:K2159))))</f>
        <v/>
      </c>
      <c r="H2159" s="4" t="str">
        <f t="array" ref="H2159">IF(ROWS(L$20:L2159)&gt;$F$6,"",INDEX(B$2:B$10000,SMALL(IF(ISNUMBER(MATCH($B$2:$B$10000,$E$6:$E$22,0)),ROW($C$2:$C$10000)-ROW($C$2)+1),ROWS(L$20:L2159))))</f>
        <v/>
      </c>
      <c r="I2159" s="4" t="str">
        <f t="array" ref="I2159">IF(ROWS(M$20:M2159)&gt;$F$6,"",INDEX(C$2:C$10000,SMALL(IF(ISNUMBER(MATCH($B$2:$B$10000,$E$6:$E$22,0)),ROW($C$2:$C$10000)-ROW($C$2)+1),ROWS(M$20:M2159))))</f>
        <v/>
      </c>
      <c r="K2159" s="7" t="str">
        <f t="array" ref="K2159">IF(ROWS(K$20:K2159)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2159))))</f>
        <v/>
      </c>
      <c r="L2159" s="4" t="str">
        <f t="array" ref="L2159">IF(ROWS(L$20:L2159)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2159))))</f>
        <v/>
      </c>
      <c r="M2159" s="4" t="str">
        <f t="array" ref="M2159">IF(ROWS(M$20:M2159)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2159))))</f>
        <v/>
      </c>
    </row>
    <row r="2160" spans="1:13" x14ac:dyDescent="0.25">
      <c r="A2160" s="3">
        <v>41652</v>
      </c>
      <c r="B2160" s="2" t="s">
        <v>48</v>
      </c>
      <c r="C2160" s="2">
        <v>12</v>
      </c>
      <c r="G2160" s="7" t="str">
        <f t="array" ref="G2160">IF(ROWS(K$20:K2160)&gt;$F$6,"",INDEX(A$2:A$10000,SMALL(IF(ISNUMBER(MATCH($B$2:$B$10000,$E$6:$E$22,0)),ROW($C$2:$C$10000)-ROW($C$2)+1),ROWS(K$20:K2160))))</f>
        <v/>
      </c>
      <c r="H2160" s="4" t="str">
        <f t="array" ref="H2160">IF(ROWS(L$20:L2160)&gt;$F$6,"",INDEX(B$2:B$10000,SMALL(IF(ISNUMBER(MATCH($B$2:$B$10000,$E$6:$E$22,0)),ROW($C$2:$C$10000)-ROW($C$2)+1),ROWS(L$20:L2160))))</f>
        <v/>
      </c>
      <c r="I2160" s="4" t="str">
        <f t="array" ref="I2160">IF(ROWS(M$20:M2160)&gt;$F$6,"",INDEX(C$2:C$10000,SMALL(IF(ISNUMBER(MATCH($B$2:$B$10000,$E$6:$E$22,0)),ROW($C$2:$C$10000)-ROW($C$2)+1),ROWS(M$20:M2160))))</f>
        <v/>
      </c>
      <c r="K2160" s="7" t="str">
        <f t="array" ref="K2160">IF(ROWS(K$20:K2160)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2160))))</f>
        <v/>
      </c>
      <c r="L2160" s="4" t="str">
        <f t="array" ref="L2160">IF(ROWS(L$20:L2160)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2160))))</f>
        <v/>
      </c>
      <c r="M2160" s="4" t="str">
        <f t="array" ref="M2160">IF(ROWS(M$20:M2160)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2160))))</f>
        <v/>
      </c>
    </row>
    <row r="2161" spans="1:13" x14ac:dyDescent="0.25">
      <c r="A2161" s="3">
        <v>41643</v>
      </c>
      <c r="B2161" s="2" t="s">
        <v>49</v>
      </c>
      <c r="C2161" s="2">
        <v>39</v>
      </c>
      <c r="G2161" s="7" t="str">
        <f t="array" ref="G2161">IF(ROWS(K$20:K2161)&gt;$F$6,"",INDEX(A$2:A$10000,SMALL(IF(ISNUMBER(MATCH($B$2:$B$10000,$E$6:$E$22,0)),ROW($C$2:$C$10000)-ROW($C$2)+1),ROWS(K$20:K2161))))</f>
        <v/>
      </c>
      <c r="H2161" s="4" t="str">
        <f t="array" ref="H2161">IF(ROWS(L$20:L2161)&gt;$F$6,"",INDEX(B$2:B$10000,SMALL(IF(ISNUMBER(MATCH($B$2:$B$10000,$E$6:$E$22,0)),ROW($C$2:$C$10000)-ROW($C$2)+1),ROWS(L$20:L2161))))</f>
        <v/>
      </c>
      <c r="I2161" s="4" t="str">
        <f t="array" ref="I2161">IF(ROWS(M$20:M2161)&gt;$F$6,"",INDEX(C$2:C$10000,SMALL(IF(ISNUMBER(MATCH($B$2:$B$10000,$E$6:$E$22,0)),ROW($C$2:$C$10000)-ROW($C$2)+1),ROWS(M$20:M2161))))</f>
        <v/>
      </c>
      <c r="K2161" s="7" t="str">
        <f t="array" ref="K2161">IF(ROWS(K$20:K2161)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2161))))</f>
        <v/>
      </c>
      <c r="L2161" s="4" t="str">
        <f t="array" ref="L2161">IF(ROWS(L$20:L2161)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2161))))</f>
        <v/>
      </c>
      <c r="M2161" s="4" t="str">
        <f t="array" ref="M2161">IF(ROWS(M$20:M2161)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2161))))</f>
        <v/>
      </c>
    </row>
    <row r="2162" spans="1:13" x14ac:dyDescent="0.25">
      <c r="A2162" s="3">
        <v>41654</v>
      </c>
      <c r="B2162" s="2" t="s">
        <v>34</v>
      </c>
      <c r="C2162" s="2">
        <v>29</v>
      </c>
      <c r="G2162" s="7" t="str">
        <f t="array" ref="G2162">IF(ROWS(K$20:K2162)&gt;$F$6,"",INDEX(A$2:A$10000,SMALL(IF(ISNUMBER(MATCH($B$2:$B$10000,$E$6:$E$22,0)),ROW($C$2:$C$10000)-ROW($C$2)+1),ROWS(K$20:K2162))))</f>
        <v/>
      </c>
      <c r="H2162" s="4" t="str">
        <f t="array" ref="H2162">IF(ROWS(L$20:L2162)&gt;$F$6,"",INDEX(B$2:B$10000,SMALL(IF(ISNUMBER(MATCH($B$2:$B$10000,$E$6:$E$22,0)),ROW($C$2:$C$10000)-ROW($C$2)+1),ROWS(L$20:L2162))))</f>
        <v/>
      </c>
      <c r="I2162" s="4" t="str">
        <f t="array" ref="I2162">IF(ROWS(M$20:M2162)&gt;$F$6,"",INDEX(C$2:C$10000,SMALL(IF(ISNUMBER(MATCH($B$2:$B$10000,$E$6:$E$22,0)),ROW($C$2:$C$10000)-ROW($C$2)+1),ROWS(M$20:M2162))))</f>
        <v/>
      </c>
      <c r="K2162" s="7" t="str">
        <f t="array" ref="K2162">IF(ROWS(K$20:K2162)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2162))))</f>
        <v/>
      </c>
      <c r="L2162" s="4" t="str">
        <f t="array" ref="L2162">IF(ROWS(L$20:L2162)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2162))))</f>
        <v/>
      </c>
      <c r="M2162" s="4" t="str">
        <f t="array" ref="M2162">IF(ROWS(M$20:M2162)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2162))))</f>
        <v/>
      </c>
    </row>
    <row r="2163" spans="1:13" x14ac:dyDescent="0.25">
      <c r="A2163" s="3">
        <v>41647</v>
      </c>
      <c r="B2163" s="2" t="s">
        <v>45</v>
      </c>
      <c r="C2163" s="2">
        <v>38</v>
      </c>
      <c r="G2163" s="7" t="str">
        <f t="array" ref="G2163">IF(ROWS(K$20:K2163)&gt;$F$6,"",INDEX(A$2:A$10000,SMALL(IF(ISNUMBER(MATCH($B$2:$B$10000,$E$6:$E$22,0)),ROW($C$2:$C$10000)-ROW($C$2)+1),ROWS(K$20:K2163))))</f>
        <v/>
      </c>
      <c r="H2163" s="4" t="str">
        <f t="array" ref="H2163">IF(ROWS(L$20:L2163)&gt;$F$6,"",INDEX(B$2:B$10000,SMALL(IF(ISNUMBER(MATCH($B$2:$B$10000,$E$6:$E$22,0)),ROW($C$2:$C$10000)-ROW($C$2)+1),ROWS(L$20:L2163))))</f>
        <v/>
      </c>
      <c r="I2163" s="4" t="str">
        <f t="array" ref="I2163">IF(ROWS(M$20:M2163)&gt;$F$6,"",INDEX(C$2:C$10000,SMALL(IF(ISNUMBER(MATCH($B$2:$B$10000,$E$6:$E$22,0)),ROW($C$2:$C$10000)-ROW($C$2)+1),ROWS(M$20:M2163))))</f>
        <v/>
      </c>
      <c r="K2163" s="7" t="str">
        <f t="array" ref="K2163">IF(ROWS(K$20:K2163)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2163))))</f>
        <v/>
      </c>
      <c r="L2163" s="4" t="str">
        <f t="array" ref="L2163">IF(ROWS(L$20:L2163)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2163))))</f>
        <v/>
      </c>
      <c r="M2163" s="4" t="str">
        <f t="array" ref="M2163">IF(ROWS(M$20:M2163)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2163))))</f>
        <v/>
      </c>
    </row>
    <row r="2164" spans="1:13" x14ac:dyDescent="0.25">
      <c r="A2164" s="3">
        <v>41651</v>
      </c>
      <c r="B2164" s="2" t="s">
        <v>6</v>
      </c>
      <c r="C2164" s="2">
        <v>28</v>
      </c>
      <c r="G2164" s="7" t="str">
        <f t="array" ref="G2164">IF(ROWS(K$20:K2164)&gt;$F$6,"",INDEX(A$2:A$10000,SMALL(IF(ISNUMBER(MATCH($B$2:$B$10000,$E$6:$E$22,0)),ROW($C$2:$C$10000)-ROW($C$2)+1),ROWS(K$20:K2164))))</f>
        <v/>
      </c>
      <c r="H2164" s="4" t="str">
        <f t="array" ref="H2164">IF(ROWS(L$20:L2164)&gt;$F$6,"",INDEX(B$2:B$10000,SMALL(IF(ISNUMBER(MATCH($B$2:$B$10000,$E$6:$E$22,0)),ROW($C$2:$C$10000)-ROW($C$2)+1),ROWS(L$20:L2164))))</f>
        <v/>
      </c>
      <c r="I2164" s="4" t="str">
        <f t="array" ref="I2164">IF(ROWS(M$20:M2164)&gt;$F$6,"",INDEX(C$2:C$10000,SMALL(IF(ISNUMBER(MATCH($B$2:$B$10000,$E$6:$E$22,0)),ROW($C$2:$C$10000)-ROW($C$2)+1),ROWS(M$20:M2164))))</f>
        <v/>
      </c>
      <c r="K2164" s="7" t="str">
        <f t="array" ref="K2164">IF(ROWS(K$20:K2164)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2164))))</f>
        <v/>
      </c>
      <c r="L2164" s="4" t="str">
        <f t="array" ref="L2164">IF(ROWS(L$20:L2164)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2164))))</f>
        <v/>
      </c>
      <c r="M2164" s="4" t="str">
        <f t="array" ref="M2164">IF(ROWS(M$20:M2164)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2164))))</f>
        <v/>
      </c>
    </row>
    <row r="2165" spans="1:13" x14ac:dyDescent="0.25">
      <c r="A2165" s="3">
        <v>41684</v>
      </c>
      <c r="B2165" s="2" t="s">
        <v>41</v>
      </c>
      <c r="C2165" s="2">
        <v>9</v>
      </c>
      <c r="G2165" s="7" t="str">
        <f t="array" ref="G2165">IF(ROWS(K$20:K2165)&gt;$F$6,"",INDEX(A$2:A$10000,SMALL(IF(ISNUMBER(MATCH($B$2:$B$10000,$E$6:$E$22,0)),ROW($C$2:$C$10000)-ROW($C$2)+1),ROWS(K$20:K2165))))</f>
        <v/>
      </c>
      <c r="H2165" s="4" t="str">
        <f t="array" ref="H2165">IF(ROWS(L$20:L2165)&gt;$F$6,"",INDEX(B$2:B$10000,SMALL(IF(ISNUMBER(MATCH($B$2:$B$10000,$E$6:$E$22,0)),ROW($C$2:$C$10000)-ROW($C$2)+1),ROWS(L$20:L2165))))</f>
        <v/>
      </c>
      <c r="I2165" s="4" t="str">
        <f t="array" ref="I2165">IF(ROWS(M$20:M2165)&gt;$F$6,"",INDEX(C$2:C$10000,SMALL(IF(ISNUMBER(MATCH($B$2:$B$10000,$E$6:$E$22,0)),ROW($C$2:$C$10000)-ROW($C$2)+1),ROWS(M$20:M2165))))</f>
        <v/>
      </c>
      <c r="K2165" s="7" t="str">
        <f t="array" ref="K2165">IF(ROWS(K$20:K2165)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2165))))</f>
        <v/>
      </c>
      <c r="L2165" s="4" t="str">
        <f t="array" ref="L2165">IF(ROWS(L$20:L2165)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2165))))</f>
        <v/>
      </c>
      <c r="M2165" s="4" t="str">
        <f t="array" ref="M2165">IF(ROWS(M$20:M2165)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2165))))</f>
        <v/>
      </c>
    </row>
    <row r="2166" spans="1:13" x14ac:dyDescent="0.25">
      <c r="A2166" s="3">
        <v>41853</v>
      </c>
      <c r="B2166" s="2" t="s">
        <v>33</v>
      </c>
      <c r="C2166" s="2">
        <v>21</v>
      </c>
      <c r="G2166" s="7" t="str">
        <f t="array" ref="G2166">IF(ROWS(K$20:K2166)&gt;$F$6,"",INDEX(A$2:A$10000,SMALL(IF(ISNUMBER(MATCH($B$2:$B$10000,$E$6:$E$22,0)),ROW($C$2:$C$10000)-ROW($C$2)+1),ROWS(K$20:K2166))))</f>
        <v/>
      </c>
      <c r="H2166" s="4" t="str">
        <f t="array" ref="H2166">IF(ROWS(L$20:L2166)&gt;$F$6,"",INDEX(B$2:B$10000,SMALL(IF(ISNUMBER(MATCH($B$2:$B$10000,$E$6:$E$22,0)),ROW($C$2:$C$10000)-ROW($C$2)+1),ROWS(L$20:L2166))))</f>
        <v/>
      </c>
      <c r="I2166" s="4" t="str">
        <f t="array" ref="I2166">IF(ROWS(M$20:M2166)&gt;$F$6,"",INDEX(C$2:C$10000,SMALL(IF(ISNUMBER(MATCH($B$2:$B$10000,$E$6:$E$22,0)),ROW($C$2:$C$10000)-ROW($C$2)+1),ROWS(M$20:M2166))))</f>
        <v/>
      </c>
      <c r="K2166" s="7" t="str">
        <f t="array" ref="K2166">IF(ROWS(K$20:K2166)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2166))))</f>
        <v/>
      </c>
      <c r="L2166" s="4" t="str">
        <f t="array" ref="L2166">IF(ROWS(L$20:L2166)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2166))))</f>
        <v/>
      </c>
      <c r="M2166" s="4" t="str">
        <f t="array" ref="M2166">IF(ROWS(M$20:M2166)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2166))))</f>
        <v/>
      </c>
    </row>
    <row r="2167" spans="1:13" x14ac:dyDescent="0.25">
      <c r="A2167" s="3">
        <v>41471</v>
      </c>
      <c r="B2167" s="2" t="s">
        <v>6</v>
      </c>
      <c r="C2167" s="2">
        <v>34</v>
      </c>
      <c r="G2167" s="7" t="str">
        <f t="array" ref="G2167">IF(ROWS(K$20:K2167)&gt;$F$6,"",INDEX(A$2:A$10000,SMALL(IF(ISNUMBER(MATCH($B$2:$B$10000,$E$6:$E$22,0)),ROW($C$2:$C$10000)-ROW($C$2)+1),ROWS(K$20:K2167))))</f>
        <v/>
      </c>
      <c r="H2167" s="4" t="str">
        <f t="array" ref="H2167">IF(ROWS(L$20:L2167)&gt;$F$6,"",INDEX(B$2:B$10000,SMALL(IF(ISNUMBER(MATCH($B$2:$B$10000,$E$6:$E$22,0)),ROW($C$2:$C$10000)-ROW($C$2)+1),ROWS(L$20:L2167))))</f>
        <v/>
      </c>
      <c r="I2167" s="4" t="str">
        <f t="array" ref="I2167">IF(ROWS(M$20:M2167)&gt;$F$6,"",INDEX(C$2:C$10000,SMALL(IF(ISNUMBER(MATCH($B$2:$B$10000,$E$6:$E$22,0)),ROW($C$2:$C$10000)-ROW($C$2)+1),ROWS(M$20:M2167))))</f>
        <v/>
      </c>
      <c r="K2167" s="7" t="str">
        <f t="array" ref="K2167">IF(ROWS(K$20:K2167)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2167))))</f>
        <v/>
      </c>
      <c r="L2167" s="4" t="str">
        <f t="array" ref="L2167">IF(ROWS(L$20:L2167)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2167))))</f>
        <v/>
      </c>
      <c r="M2167" s="4" t="str">
        <f t="array" ref="M2167">IF(ROWS(M$20:M2167)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2167))))</f>
        <v/>
      </c>
    </row>
    <row r="2168" spans="1:13" x14ac:dyDescent="0.25">
      <c r="A2168" s="3">
        <v>41363</v>
      </c>
      <c r="B2168" s="2" t="s">
        <v>11</v>
      </c>
      <c r="C2168" s="2">
        <v>13</v>
      </c>
      <c r="G2168" s="7" t="str">
        <f t="array" ref="G2168">IF(ROWS(K$20:K2168)&gt;$F$6,"",INDEX(A$2:A$10000,SMALL(IF(ISNUMBER(MATCH($B$2:$B$10000,$E$6:$E$22,0)),ROW($C$2:$C$10000)-ROW($C$2)+1),ROWS(K$20:K2168))))</f>
        <v/>
      </c>
      <c r="H2168" s="4" t="str">
        <f t="array" ref="H2168">IF(ROWS(L$20:L2168)&gt;$F$6,"",INDEX(B$2:B$10000,SMALL(IF(ISNUMBER(MATCH($B$2:$B$10000,$E$6:$E$22,0)),ROW($C$2:$C$10000)-ROW($C$2)+1),ROWS(L$20:L2168))))</f>
        <v/>
      </c>
      <c r="I2168" s="4" t="str">
        <f t="array" ref="I2168">IF(ROWS(M$20:M2168)&gt;$F$6,"",INDEX(C$2:C$10000,SMALL(IF(ISNUMBER(MATCH($B$2:$B$10000,$E$6:$E$22,0)),ROW($C$2:$C$10000)-ROW($C$2)+1),ROWS(M$20:M2168))))</f>
        <v/>
      </c>
      <c r="K2168" s="7" t="str">
        <f t="array" ref="K2168">IF(ROWS(K$20:K2168)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2168))))</f>
        <v/>
      </c>
      <c r="L2168" s="4" t="str">
        <f t="array" ref="L2168">IF(ROWS(L$20:L2168)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2168))))</f>
        <v/>
      </c>
      <c r="M2168" s="4" t="str">
        <f t="array" ref="M2168">IF(ROWS(M$20:M2168)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2168))))</f>
        <v/>
      </c>
    </row>
    <row r="2169" spans="1:13" x14ac:dyDescent="0.25">
      <c r="A2169" s="3">
        <v>41889</v>
      </c>
      <c r="B2169" s="2" t="s">
        <v>30</v>
      </c>
      <c r="C2169" s="2">
        <v>2</v>
      </c>
      <c r="G2169" s="7" t="str">
        <f t="array" ref="G2169">IF(ROWS(K$20:K2169)&gt;$F$6,"",INDEX(A$2:A$10000,SMALL(IF(ISNUMBER(MATCH($B$2:$B$10000,$E$6:$E$22,0)),ROW($C$2:$C$10000)-ROW($C$2)+1),ROWS(K$20:K2169))))</f>
        <v/>
      </c>
      <c r="H2169" s="4" t="str">
        <f t="array" ref="H2169">IF(ROWS(L$20:L2169)&gt;$F$6,"",INDEX(B$2:B$10000,SMALL(IF(ISNUMBER(MATCH($B$2:$B$10000,$E$6:$E$22,0)),ROW($C$2:$C$10000)-ROW($C$2)+1),ROWS(L$20:L2169))))</f>
        <v/>
      </c>
      <c r="I2169" s="4" t="str">
        <f t="array" ref="I2169">IF(ROWS(M$20:M2169)&gt;$F$6,"",INDEX(C$2:C$10000,SMALL(IF(ISNUMBER(MATCH($B$2:$B$10000,$E$6:$E$22,0)),ROW($C$2:$C$10000)-ROW($C$2)+1),ROWS(M$20:M2169))))</f>
        <v/>
      </c>
      <c r="K2169" s="7" t="str">
        <f t="array" ref="K2169">IF(ROWS(K$20:K2169)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2169))))</f>
        <v/>
      </c>
      <c r="L2169" s="4" t="str">
        <f t="array" ref="L2169">IF(ROWS(L$20:L2169)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2169))))</f>
        <v/>
      </c>
      <c r="M2169" s="4" t="str">
        <f t="array" ref="M2169">IF(ROWS(M$20:M2169)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2169))))</f>
        <v/>
      </c>
    </row>
    <row r="2170" spans="1:13" x14ac:dyDescent="0.25">
      <c r="A2170" s="3">
        <v>41873</v>
      </c>
      <c r="B2170" s="2" t="s">
        <v>43</v>
      </c>
      <c r="C2170" s="2">
        <v>22</v>
      </c>
      <c r="G2170" s="7" t="str">
        <f t="array" ref="G2170">IF(ROWS(K$20:K2170)&gt;$F$6,"",INDEX(A$2:A$10000,SMALL(IF(ISNUMBER(MATCH($B$2:$B$10000,$E$6:$E$22,0)),ROW($C$2:$C$10000)-ROW($C$2)+1),ROWS(K$20:K2170))))</f>
        <v/>
      </c>
      <c r="H2170" s="4" t="str">
        <f t="array" ref="H2170">IF(ROWS(L$20:L2170)&gt;$F$6,"",INDEX(B$2:B$10000,SMALL(IF(ISNUMBER(MATCH($B$2:$B$10000,$E$6:$E$22,0)),ROW($C$2:$C$10000)-ROW($C$2)+1),ROWS(L$20:L2170))))</f>
        <v/>
      </c>
      <c r="I2170" s="4" t="str">
        <f t="array" ref="I2170">IF(ROWS(M$20:M2170)&gt;$F$6,"",INDEX(C$2:C$10000,SMALL(IF(ISNUMBER(MATCH($B$2:$B$10000,$E$6:$E$22,0)),ROW($C$2:$C$10000)-ROW($C$2)+1),ROWS(M$20:M2170))))</f>
        <v/>
      </c>
      <c r="K2170" s="7" t="str">
        <f t="array" ref="K2170">IF(ROWS(K$20:K2170)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2170))))</f>
        <v/>
      </c>
      <c r="L2170" s="4" t="str">
        <f t="array" ref="L2170">IF(ROWS(L$20:L2170)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2170))))</f>
        <v/>
      </c>
      <c r="M2170" s="4" t="str">
        <f t="array" ref="M2170">IF(ROWS(M$20:M2170)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2170))))</f>
        <v/>
      </c>
    </row>
    <row r="2171" spans="1:13" x14ac:dyDescent="0.25">
      <c r="A2171" s="3">
        <v>41459</v>
      </c>
      <c r="B2171" s="2" t="s">
        <v>10</v>
      </c>
      <c r="C2171" s="2">
        <v>21</v>
      </c>
      <c r="G2171" s="7" t="str">
        <f t="array" ref="G2171">IF(ROWS(K$20:K2171)&gt;$F$6,"",INDEX(A$2:A$10000,SMALL(IF(ISNUMBER(MATCH($B$2:$B$10000,$E$6:$E$22,0)),ROW($C$2:$C$10000)-ROW($C$2)+1),ROWS(K$20:K2171))))</f>
        <v/>
      </c>
      <c r="H2171" s="4" t="str">
        <f t="array" ref="H2171">IF(ROWS(L$20:L2171)&gt;$F$6,"",INDEX(B$2:B$10000,SMALL(IF(ISNUMBER(MATCH($B$2:$B$10000,$E$6:$E$22,0)),ROW($C$2:$C$10000)-ROW($C$2)+1),ROWS(L$20:L2171))))</f>
        <v/>
      </c>
      <c r="I2171" s="4" t="str">
        <f t="array" ref="I2171">IF(ROWS(M$20:M2171)&gt;$F$6,"",INDEX(C$2:C$10000,SMALL(IF(ISNUMBER(MATCH($B$2:$B$10000,$E$6:$E$22,0)),ROW($C$2:$C$10000)-ROW($C$2)+1),ROWS(M$20:M2171))))</f>
        <v/>
      </c>
      <c r="K2171" s="7" t="str">
        <f t="array" ref="K2171">IF(ROWS(K$20:K2171)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2171))))</f>
        <v/>
      </c>
      <c r="L2171" s="4" t="str">
        <f t="array" ref="L2171">IF(ROWS(L$20:L2171)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2171))))</f>
        <v/>
      </c>
      <c r="M2171" s="4" t="str">
        <f t="array" ref="M2171">IF(ROWS(M$20:M2171)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2171))))</f>
        <v/>
      </c>
    </row>
    <row r="2172" spans="1:13" x14ac:dyDescent="0.25">
      <c r="A2172" s="3">
        <v>42004</v>
      </c>
      <c r="B2172" s="2" t="s">
        <v>41</v>
      </c>
      <c r="C2172" s="2">
        <v>9</v>
      </c>
      <c r="G2172" s="7" t="str">
        <f t="array" ref="G2172">IF(ROWS(K$20:K2172)&gt;$F$6,"",INDEX(A$2:A$10000,SMALL(IF(ISNUMBER(MATCH($B$2:$B$10000,$E$6:$E$22,0)),ROW($C$2:$C$10000)-ROW($C$2)+1),ROWS(K$20:K2172))))</f>
        <v/>
      </c>
      <c r="H2172" s="4" t="str">
        <f t="array" ref="H2172">IF(ROWS(L$20:L2172)&gt;$F$6,"",INDEX(B$2:B$10000,SMALL(IF(ISNUMBER(MATCH($B$2:$B$10000,$E$6:$E$22,0)),ROW($C$2:$C$10000)-ROW($C$2)+1),ROWS(L$20:L2172))))</f>
        <v/>
      </c>
      <c r="I2172" s="4" t="str">
        <f t="array" ref="I2172">IF(ROWS(M$20:M2172)&gt;$F$6,"",INDEX(C$2:C$10000,SMALL(IF(ISNUMBER(MATCH($B$2:$B$10000,$E$6:$E$22,0)),ROW($C$2:$C$10000)-ROW($C$2)+1),ROWS(M$20:M2172))))</f>
        <v/>
      </c>
      <c r="K2172" s="7" t="str">
        <f t="array" ref="K2172">IF(ROWS(K$20:K2172)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2172))))</f>
        <v/>
      </c>
      <c r="L2172" s="4" t="str">
        <f t="array" ref="L2172">IF(ROWS(L$20:L2172)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2172))))</f>
        <v/>
      </c>
      <c r="M2172" s="4" t="str">
        <f t="array" ref="M2172">IF(ROWS(M$20:M2172)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2172))))</f>
        <v/>
      </c>
    </row>
    <row r="2173" spans="1:13" x14ac:dyDescent="0.25">
      <c r="A2173" s="3">
        <v>41413</v>
      </c>
      <c r="B2173" s="2" t="s">
        <v>41</v>
      </c>
      <c r="C2173" s="2">
        <v>19</v>
      </c>
      <c r="G2173" s="7" t="str">
        <f t="array" ref="G2173">IF(ROWS(K$20:K2173)&gt;$F$6,"",INDEX(A$2:A$10000,SMALL(IF(ISNUMBER(MATCH($B$2:$B$10000,$E$6:$E$22,0)),ROW($C$2:$C$10000)-ROW($C$2)+1),ROWS(K$20:K2173))))</f>
        <v/>
      </c>
      <c r="H2173" s="4" t="str">
        <f t="array" ref="H2173">IF(ROWS(L$20:L2173)&gt;$F$6,"",INDEX(B$2:B$10000,SMALL(IF(ISNUMBER(MATCH($B$2:$B$10000,$E$6:$E$22,0)),ROW($C$2:$C$10000)-ROW($C$2)+1),ROWS(L$20:L2173))))</f>
        <v/>
      </c>
      <c r="I2173" s="4" t="str">
        <f t="array" ref="I2173">IF(ROWS(M$20:M2173)&gt;$F$6,"",INDEX(C$2:C$10000,SMALL(IF(ISNUMBER(MATCH($B$2:$B$10000,$E$6:$E$22,0)),ROW($C$2:$C$10000)-ROW($C$2)+1),ROWS(M$20:M2173))))</f>
        <v/>
      </c>
      <c r="K2173" s="7" t="str">
        <f t="array" ref="K2173">IF(ROWS(K$20:K2173)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2173))))</f>
        <v/>
      </c>
      <c r="L2173" s="4" t="str">
        <f t="array" ref="L2173">IF(ROWS(L$20:L2173)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2173))))</f>
        <v/>
      </c>
      <c r="M2173" s="4" t="str">
        <f t="array" ref="M2173">IF(ROWS(M$20:M2173)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2173))))</f>
        <v/>
      </c>
    </row>
    <row r="2174" spans="1:13" x14ac:dyDescent="0.25">
      <c r="A2174" s="3">
        <v>41505</v>
      </c>
      <c r="B2174" s="2" t="s">
        <v>6</v>
      </c>
      <c r="C2174" s="2">
        <v>37</v>
      </c>
      <c r="G2174" s="7" t="str">
        <f t="array" ref="G2174">IF(ROWS(K$20:K2174)&gt;$F$6,"",INDEX(A$2:A$10000,SMALL(IF(ISNUMBER(MATCH($B$2:$B$10000,$E$6:$E$22,0)),ROW($C$2:$C$10000)-ROW($C$2)+1),ROWS(K$20:K2174))))</f>
        <v/>
      </c>
      <c r="H2174" s="4" t="str">
        <f t="array" ref="H2174">IF(ROWS(L$20:L2174)&gt;$F$6,"",INDEX(B$2:B$10000,SMALL(IF(ISNUMBER(MATCH($B$2:$B$10000,$E$6:$E$22,0)),ROW($C$2:$C$10000)-ROW($C$2)+1),ROWS(L$20:L2174))))</f>
        <v/>
      </c>
      <c r="I2174" s="4" t="str">
        <f t="array" ref="I2174">IF(ROWS(M$20:M2174)&gt;$F$6,"",INDEX(C$2:C$10000,SMALL(IF(ISNUMBER(MATCH($B$2:$B$10000,$E$6:$E$22,0)),ROW($C$2:$C$10000)-ROW($C$2)+1),ROWS(M$20:M2174))))</f>
        <v/>
      </c>
      <c r="K2174" s="7" t="str">
        <f t="array" ref="K2174">IF(ROWS(K$20:K2174)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2174))))</f>
        <v/>
      </c>
      <c r="L2174" s="4" t="str">
        <f t="array" ref="L2174">IF(ROWS(L$20:L2174)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2174))))</f>
        <v/>
      </c>
      <c r="M2174" s="4" t="str">
        <f t="array" ref="M2174">IF(ROWS(M$20:M2174)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2174))))</f>
        <v/>
      </c>
    </row>
    <row r="2175" spans="1:13" x14ac:dyDescent="0.25">
      <c r="A2175" s="3">
        <v>41853</v>
      </c>
      <c r="B2175" s="2" t="s">
        <v>37</v>
      </c>
      <c r="C2175" s="2">
        <v>54</v>
      </c>
      <c r="G2175" s="7" t="str">
        <f t="array" ref="G2175">IF(ROWS(K$20:K2175)&gt;$F$6,"",INDEX(A$2:A$10000,SMALL(IF(ISNUMBER(MATCH($B$2:$B$10000,$E$6:$E$22,0)),ROW($C$2:$C$10000)-ROW($C$2)+1),ROWS(K$20:K2175))))</f>
        <v/>
      </c>
      <c r="H2175" s="4" t="str">
        <f t="array" ref="H2175">IF(ROWS(L$20:L2175)&gt;$F$6,"",INDEX(B$2:B$10000,SMALL(IF(ISNUMBER(MATCH($B$2:$B$10000,$E$6:$E$22,0)),ROW($C$2:$C$10000)-ROW($C$2)+1),ROWS(L$20:L2175))))</f>
        <v/>
      </c>
      <c r="I2175" s="4" t="str">
        <f t="array" ref="I2175">IF(ROWS(M$20:M2175)&gt;$F$6,"",INDEX(C$2:C$10000,SMALL(IF(ISNUMBER(MATCH($B$2:$B$10000,$E$6:$E$22,0)),ROW($C$2:$C$10000)-ROW($C$2)+1),ROWS(M$20:M2175))))</f>
        <v/>
      </c>
      <c r="K2175" s="7" t="str">
        <f t="array" ref="K2175">IF(ROWS(K$20:K2175)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2175))))</f>
        <v/>
      </c>
      <c r="L2175" s="4" t="str">
        <f t="array" ref="L2175">IF(ROWS(L$20:L2175)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2175))))</f>
        <v/>
      </c>
      <c r="M2175" s="4" t="str">
        <f t="array" ref="M2175">IF(ROWS(M$20:M2175)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2175))))</f>
        <v/>
      </c>
    </row>
    <row r="2176" spans="1:13" x14ac:dyDescent="0.25">
      <c r="A2176" s="3">
        <v>41608</v>
      </c>
      <c r="B2176" s="2" t="s">
        <v>11</v>
      </c>
      <c r="C2176" s="2">
        <v>40</v>
      </c>
      <c r="G2176" s="7" t="str">
        <f t="array" ref="G2176">IF(ROWS(K$20:K2176)&gt;$F$6,"",INDEX(A$2:A$10000,SMALL(IF(ISNUMBER(MATCH($B$2:$B$10000,$E$6:$E$22,0)),ROW($C$2:$C$10000)-ROW($C$2)+1),ROWS(K$20:K2176))))</f>
        <v/>
      </c>
      <c r="H2176" s="4" t="str">
        <f t="array" ref="H2176">IF(ROWS(L$20:L2176)&gt;$F$6,"",INDEX(B$2:B$10000,SMALL(IF(ISNUMBER(MATCH($B$2:$B$10000,$E$6:$E$22,0)),ROW($C$2:$C$10000)-ROW($C$2)+1),ROWS(L$20:L2176))))</f>
        <v/>
      </c>
      <c r="I2176" s="4" t="str">
        <f t="array" ref="I2176">IF(ROWS(M$20:M2176)&gt;$F$6,"",INDEX(C$2:C$10000,SMALL(IF(ISNUMBER(MATCH($B$2:$B$10000,$E$6:$E$22,0)),ROW($C$2:$C$10000)-ROW($C$2)+1),ROWS(M$20:M2176))))</f>
        <v/>
      </c>
      <c r="K2176" s="7" t="str">
        <f t="array" ref="K2176">IF(ROWS(K$20:K2176)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2176))))</f>
        <v/>
      </c>
      <c r="L2176" s="4" t="str">
        <f t="array" ref="L2176">IF(ROWS(L$20:L2176)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2176))))</f>
        <v/>
      </c>
      <c r="M2176" s="4" t="str">
        <f t="array" ref="M2176">IF(ROWS(M$20:M2176)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2176))))</f>
        <v/>
      </c>
    </row>
    <row r="2177" spans="1:13" x14ac:dyDescent="0.25">
      <c r="A2177" s="3">
        <v>41836</v>
      </c>
      <c r="B2177" s="2" t="s">
        <v>39</v>
      </c>
      <c r="C2177" s="2">
        <v>19</v>
      </c>
      <c r="G2177" s="7" t="str">
        <f t="array" ref="G2177">IF(ROWS(K$20:K2177)&gt;$F$6,"",INDEX(A$2:A$10000,SMALL(IF(ISNUMBER(MATCH($B$2:$B$10000,$E$6:$E$22,0)),ROW($C$2:$C$10000)-ROW($C$2)+1),ROWS(K$20:K2177))))</f>
        <v/>
      </c>
      <c r="H2177" s="4" t="str">
        <f t="array" ref="H2177">IF(ROWS(L$20:L2177)&gt;$F$6,"",INDEX(B$2:B$10000,SMALL(IF(ISNUMBER(MATCH($B$2:$B$10000,$E$6:$E$22,0)),ROW($C$2:$C$10000)-ROW($C$2)+1),ROWS(L$20:L2177))))</f>
        <v/>
      </c>
      <c r="I2177" s="4" t="str">
        <f t="array" ref="I2177">IF(ROWS(M$20:M2177)&gt;$F$6,"",INDEX(C$2:C$10000,SMALL(IF(ISNUMBER(MATCH($B$2:$B$10000,$E$6:$E$22,0)),ROW($C$2:$C$10000)-ROW($C$2)+1),ROWS(M$20:M2177))))</f>
        <v/>
      </c>
      <c r="K2177" s="7" t="str">
        <f t="array" ref="K2177">IF(ROWS(K$20:K2177)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2177))))</f>
        <v/>
      </c>
      <c r="L2177" s="4" t="str">
        <f t="array" ref="L2177">IF(ROWS(L$20:L2177)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2177))))</f>
        <v/>
      </c>
      <c r="M2177" s="4" t="str">
        <f t="array" ref="M2177">IF(ROWS(M$20:M2177)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2177))))</f>
        <v/>
      </c>
    </row>
    <row r="2178" spans="1:13" x14ac:dyDescent="0.25">
      <c r="A2178" s="3">
        <v>41898</v>
      </c>
      <c r="B2178" s="2" t="s">
        <v>17</v>
      </c>
      <c r="C2178" s="2">
        <v>30</v>
      </c>
      <c r="G2178" s="7" t="str">
        <f t="array" ref="G2178">IF(ROWS(K$20:K2178)&gt;$F$6,"",INDEX(A$2:A$10000,SMALL(IF(ISNUMBER(MATCH($B$2:$B$10000,$E$6:$E$22,0)),ROW($C$2:$C$10000)-ROW($C$2)+1),ROWS(K$20:K2178))))</f>
        <v/>
      </c>
      <c r="H2178" s="4" t="str">
        <f t="array" ref="H2178">IF(ROWS(L$20:L2178)&gt;$F$6,"",INDEX(B$2:B$10000,SMALL(IF(ISNUMBER(MATCH($B$2:$B$10000,$E$6:$E$22,0)),ROW($C$2:$C$10000)-ROW($C$2)+1),ROWS(L$20:L2178))))</f>
        <v/>
      </c>
      <c r="I2178" s="4" t="str">
        <f t="array" ref="I2178">IF(ROWS(M$20:M2178)&gt;$F$6,"",INDEX(C$2:C$10000,SMALL(IF(ISNUMBER(MATCH($B$2:$B$10000,$E$6:$E$22,0)),ROW($C$2:$C$10000)-ROW($C$2)+1),ROWS(M$20:M2178))))</f>
        <v/>
      </c>
      <c r="K2178" s="7" t="str">
        <f t="array" ref="K2178">IF(ROWS(K$20:K2178)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2178))))</f>
        <v/>
      </c>
      <c r="L2178" s="4" t="str">
        <f t="array" ref="L2178">IF(ROWS(L$20:L2178)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2178))))</f>
        <v/>
      </c>
      <c r="M2178" s="4" t="str">
        <f t="array" ref="M2178">IF(ROWS(M$20:M2178)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2178))))</f>
        <v/>
      </c>
    </row>
    <row r="2179" spans="1:13" x14ac:dyDescent="0.25">
      <c r="A2179" s="3">
        <v>41417</v>
      </c>
      <c r="B2179" s="2" t="s">
        <v>4</v>
      </c>
      <c r="C2179" s="2">
        <v>39</v>
      </c>
      <c r="G2179" s="7" t="str">
        <f t="array" ref="G2179">IF(ROWS(K$20:K2179)&gt;$F$6,"",INDEX(A$2:A$10000,SMALL(IF(ISNUMBER(MATCH($B$2:$B$10000,$E$6:$E$22,0)),ROW($C$2:$C$10000)-ROW($C$2)+1),ROWS(K$20:K2179))))</f>
        <v/>
      </c>
      <c r="H2179" s="4" t="str">
        <f t="array" ref="H2179">IF(ROWS(L$20:L2179)&gt;$F$6,"",INDEX(B$2:B$10000,SMALL(IF(ISNUMBER(MATCH($B$2:$B$10000,$E$6:$E$22,0)),ROW($C$2:$C$10000)-ROW($C$2)+1),ROWS(L$20:L2179))))</f>
        <v/>
      </c>
      <c r="I2179" s="4" t="str">
        <f t="array" ref="I2179">IF(ROWS(M$20:M2179)&gt;$F$6,"",INDEX(C$2:C$10000,SMALL(IF(ISNUMBER(MATCH($B$2:$B$10000,$E$6:$E$22,0)),ROW($C$2:$C$10000)-ROW($C$2)+1),ROWS(M$20:M2179))))</f>
        <v/>
      </c>
      <c r="K2179" s="7" t="str">
        <f t="array" ref="K2179">IF(ROWS(K$20:K2179)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2179))))</f>
        <v/>
      </c>
      <c r="L2179" s="4" t="str">
        <f t="array" ref="L2179">IF(ROWS(L$20:L2179)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2179))))</f>
        <v/>
      </c>
      <c r="M2179" s="4" t="str">
        <f t="array" ref="M2179">IF(ROWS(M$20:M2179)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2179))))</f>
        <v/>
      </c>
    </row>
    <row r="2180" spans="1:13" x14ac:dyDescent="0.25">
      <c r="A2180" s="3">
        <v>41394</v>
      </c>
      <c r="B2180" s="2" t="s">
        <v>37</v>
      </c>
      <c r="C2180" s="2">
        <v>22</v>
      </c>
      <c r="G2180" s="7" t="str">
        <f t="array" ref="G2180">IF(ROWS(K$20:K2180)&gt;$F$6,"",INDEX(A$2:A$10000,SMALL(IF(ISNUMBER(MATCH($B$2:$B$10000,$E$6:$E$22,0)),ROW($C$2:$C$10000)-ROW($C$2)+1),ROWS(K$20:K2180))))</f>
        <v/>
      </c>
      <c r="H2180" s="4" t="str">
        <f t="array" ref="H2180">IF(ROWS(L$20:L2180)&gt;$F$6,"",INDEX(B$2:B$10000,SMALL(IF(ISNUMBER(MATCH($B$2:$B$10000,$E$6:$E$22,0)),ROW($C$2:$C$10000)-ROW($C$2)+1),ROWS(L$20:L2180))))</f>
        <v/>
      </c>
      <c r="I2180" s="4" t="str">
        <f t="array" ref="I2180">IF(ROWS(M$20:M2180)&gt;$F$6,"",INDEX(C$2:C$10000,SMALL(IF(ISNUMBER(MATCH($B$2:$B$10000,$E$6:$E$22,0)),ROW($C$2:$C$10000)-ROW($C$2)+1),ROWS(M$20:M2180))))</f>
        <v/>
      </c>
      <c r="K2180" s="7" t="str">
        <f t="array" ref="K2180">IF(ROWS(K$20:K2180)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2180))))</f>
        <v/>
      </c>
      <c r="L2180" s="4" t="str">
        <f t="array" ref="L2180">IF(ROWS(L$20:L2180)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2180))))</f>
        <v/>
      </c>
      <c r="M2180" s="4" t="str">
        <f t="array" ref="M2180">IF(ROWS(M$20:M2180)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2180))))</f>
        <v/>
      </c>
    </row>
    <row r="2181" spans="1:13" x14ac:dyDescent="0.25">
      <c r="A2181" s="3">
        <v>41827</v>
      </c>
      <c r="B2181" s="2" t="s">
        <v>16</v>
      </c>
      <c r="C2181" s="2">
        <v>27</v>
      </c>
      <c r="G2181" s="7" t="str">
        <f t="array" ref="G2181">IF(ROWS(K$20:K2181)&gt;$F$6,"",INDEX(A$2:A$10000,SMALL(IF(ISNUMBER(MATCH($B$2:$B$10000,$E$6:$E$22,0)),ROW($C$2:$C$10000)-ROW($C$2)+1),ROWS(K$20:K2181))))</f>
        <v/>
      </c>
      <c r="H2181" s="4" t="str">
        <f t="array" ref="H2181">IF(ROWS(L$20:L2181)&gt;$F$6,"",INDEX(B$2:B$10000,SMALL(IF(ISNUMBER(MATCH($B$2:$B$10000,$E$6:$E$22,0)),ROW($C$2:$C$10000)-ROW($C$2)+1),ROWS(L$20:L2181))))</f>
        <v/>
      </c>
      <c r="I2181" s="4" t="str">
        <f t="array" ref="I2181">IF(ROWS(M$20:M2181)&gt;$F$6,"",INDEX(C$2:C$10000,SMALL(IF(ISNUMBER(MATCH($B$2:$B$10000,$E$6:$E$22,0)),ROW($C$2:$C$10000)-ROW($C$2)+1),ROWS(M$20:M2181))))</f>
        <v/>
      </c>
      <c r="K2181" s="7" t="str">
        <f t="array" ref="K2181">IF(ROWS(K$20:K2181)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2181))))</f>
        <v/>
      </c>
      <c r="L2181" s="4" t="str">
        <f t="array" ref="L2181">IF(ROWS(L$20:L2181)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2181))))</f>
        <v/>
      </c>
      <c r="M2181" s="4" t="str">
        <f t="array" ref="M2181">IF(ROWS(M$20:M2181)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2181))))</f>
        <v/>
      </c>
    </row>
    <row r="2182" spans="1:13" x14ac:dyDescent="0.25">
      <c r="A2182" s="3">
        <v>41603</v>
      </c>
      <c r="B2182" s="2" t="s">
        <v>15</v>
      </c>
      <c r="C2182" s="2">
        <v>9</v>
      </c>
      <c r="G2182" s="7" t="str">
        <f t="array" ref="G2182">IF(ROWS(K$20:K2182)&gt;$F$6,"",INDEX(A$2:A$10000,SMALL(IF(ISNUMBER(MATCH($B$2:$B$10000,$E$6:$E$22,0)),ROW($C$2:$C$10000)-ROW($C$2)+1),ROWS(K$20:K2182))))</f>
        <v/>
      </c>
      <c r="H2182" s="4" t="str">
        <f t="array" ref="H2182">IF(ROWS(L$20:L2182)&gt;$F$6,"",INDEX(B$2:B$10000,SMALL(IF(ISNUMBER(MATCH($B$2:$B$10000,$E$6:$E$22,0)),ROW($C$2:$C$10000)-ROW($C$2)+1),ROWS(L$20:L2182))))</f>
        <v/>
      </c>
      <c r="I2182" s="4" t="str">
        <f t="array" ref="I2182">IF(ROWS(M$20:M2182)&gt;$F$6,"",INDEX(C$2:C$10000,SMALL(IF(ISNUMBER(MATCH($B$2:$B$10000,$E$6:$E$22,0)),ROW($C$2:$C$10000)-ROW($C$2)+1),ROWS(M$20:M2182))))</f>
        <v/>
      </c>
      <c r="K2182" s="7" t="str">
        <f t="array" ref="K2182">IF(ROWS(K$20:K2182)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2182))))</f>
        <v/>
      </c>
      <c r="L2182" s="4" t="str">
        <f t="array" ref="L2182">IF(ROWS(L$20:L2182)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2182))))</f>
        <v/>
      </c>
      <c r="M2182" s="4" t="str">
        <f t="array" ref="M2182">IF(ROWS(M$20:M2182)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2182))))</f>
        <v/>
      </c>
    </row>
    <row r="2183" spans="1:13" x14ac:dyDescent="0.25">
      <c r="A2183" s="3">
        <v>41834</v>
      </c>
      <c r="B2183" s="2" t="s">
        <v>43</v>
      </c>
      <c r="C2183" s="2">
        <v>31</v>
      </c>
      <c r="G2183" s="7" t="str">
        <f t="array" ref="G2183">IF(ROWS(K$20:K2183)&gt;$F$6,"",INDEX(A$2:A$10000,SMALL(IF(ISNUMBER(MATCH($B$2:$B$10000,$E$6:$E$22,0)),ROW($C$2:$C$10000)-ROW($C$2)+1),ROWS(K$20:K2183))))</f>
        <v/>
      </c>
      <c r="H2183" s="4" t="str">
        <f t="array" ref="H2183">IF(ROWS(L$20:L2183)&gt;$F$6,"",INDEX(B$2:B$10000,SMALL(IF(ISNUMBER(MATCH($B$2:$B$10000,$E$6:$E$22,0)),ROW($C$2:$C$10000)-ROW($C$2)+1),ROWS(L$20:L2183))))</f>
        <v/>
      </c>
      <c r="I2183" s="4" t="str">
        <f t="array" ref="I2183">IF(ROWS(M$20:M2183)&gt;$F$6,"",INDEX(C$2:C$10000,SMALL(IF(ISNUMBER(MATCH($B$2:$B$10000,$E$6:$E$22,0)),ROW($C$2:$C$10000)-ROW($C$2)+1),ROWS(M$20:M2183))))</f>
        <v/>
      </c>
      <c r="K2183" s="7" t="str">
        <f t="array" ref="K2183">IF(ROWS(K$20:K2183)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2183))))</f>
        <v/>
      </c>
      <c r="L2183" s="4" t="str">
        <f t="array" ref="L2183">IF(ROWS(L$20:L2183)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2183))))</f>
        <v/>
      </c>
      <c r="M2183" s="4" t="str">
        <f t="array" ref="M2183">IF(ROWS(M$20:M2183)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2183))))</f>
        <v/>
      </c>
    </row>
    <row r="2184" spans="1:13" x14ac:dyDescent="0.25">
      <c r="A2184" s="3">
        <v>41661</v>
      </c>
      <c r="B2184" s="2" t="s">
        <v>5</v>
      </c>
      <c r="C2184" s="2">
        <v>26</v>
      </c>
      <c r="G2184" s="7" t="str">
        <f t="array" ref="G2184">IF(ROWS(K$20:K2184)&gt;$F$6,"",INDEX(A$2:A$10000,SMALL(IF(ISNUMBER(MATCH($B$2:$B$10000,$E$6:$E$22,0)),ROW($C$2:$C$10000)-ROW($C$2)+1),ROWS(K$20:K2184))))</f>
        <v/>
      </c>
      <c r="H2184" s="4" t="str">
        <f t="array" ref="H2184">IF(ROWS(L$20:L2184)&gt;$F$6,"",INDEX(B$2:B$10000,SMALL(IF(ISNUMBER(MATCH($B$2:$B$10000,$E$6:$E$22,0)),ROW($C$2:$C$10000)-ROW($C$2)+1),ROWS(L$20:L2184))))</f>
        <v/>
      </c>
      <c r="I2184" s="4" t="str">
        <f t="array" ref="I2184">IF(ROWS(M$20:M2184)&gt;$F$6,"",INDEX(C$2:C$10000,SMALL(IF(ISNUMBER(MATCH($B$2:$B$10000,$E$6:$E$22,0)),ROW($C$2:$C$10000)-ROW($C$2)+1),ROWS(M$20:M2184))))</f>
        <v/>
      </c>
      <c r="K2184" s="7" t="str">
        <f t="array" ref="K2184">IF(ROWS(K$20:K2184)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2184))))</f>
        <v/>
      </c>
      <c r="L2184" s="4" t="str">
        <f t="array" ref="L2184">IF(ROWS(L$20:L2184)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2184))))</f>
        <v/>
      </c>
      <c r="M2184" s="4" t="str">
        <f t="array" ref="M2184">IF(ROWS(M$20:M2184)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2184))))</f>
        <v/>
      </c>
    </row>
    <row r="2185" spans="1:13" x14ac:dyDescent="0.25">
      <c r="A2185" s="3">
        <v>41768</v>
      </c>
      <c r="B2185" s="2" t="s">
        <v>31</v>
      </c>
      <c r="C2185" s="2">
        <v>33</v>
      </c>
      <c r="G2185" s="7" t="str">
        <f t="array" ref="G2185">IF(ROWS(K$20:K2185)&gt;$F$6,"",INDEX(A$2:A$10000,SMALL(IF(ISNUMBER(MATCH($B$2:$B$10000,$E$6:$E$22,0)),ROW($C$2:$C$10000)-ROW($C$2)+1),ROWS(K$20:K2185))))</f>
        <v/>
      </c>
      <c r="H2185" s="4" t="str">
        <f t="array" ref="H2185">IF(ROWS(L$20:L2185)&gt;$F$6,"",INDEX(B$2:B$10000,SMALL(IF(ISNUMBER(MATCH($B$2:$B$10000,$E$6:$E$22,0)),ROW($C$2:$C$10000)-ROW($C$2)+1),ROWS(L$20:L2185))))</f>
        <v/>
      </c>
      <c r="I2185" s="4" t="str">
        <f t="array" ref="I2185">IF(ROWS(M$20:M2185)&gt;$F$6,"",INDEX(C$2:C$10000,SMALL(IF(ISNUMBER(MATCH($B$2:$B$10000,$E$6:$E$22,0)),ROW($C$2:$C$10000)-ROW($C$2)+1),ROWS(M$20:M2185))))</f>
        <v/>
      </c>
      <c r="K2185" s="7" t="str">
        <f t="array" ref="K2185">IF(ROWS(K$20:K2185)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2185))))</f>
        <v/>
      </c>
      <c r="L2185" s="4" t="str">
        <f t="array" ref="L2185">IF(ROWS(L$20:L2185)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2185))))</f>
        <v/>
      </c>
      <c r="M2185" s="4" t="str">
        <f t="array" ref="M2185">IF(ROWS(M$20:M2185)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2185))))</f>
        <v/>
      </c>
    </row>
    <row r="2186" spans="1:13" x14ac:dyDescent="0.25">
      <c r="A2186" s="3">
        <v>41581</v>
      </c>
      <c r="B2186" s="2" t="s">
        <v>43</v>
      </c>
      <c r="C2186" s="2">
        <v>11</v>
      </c>
      <c r="G2186" s="7" t="str">
        <f t="array" ref="G2186">IF(ROWS(K$20:K2186)&gt;$F$6,"",INDEX(A$2:A$10000,SMALL(IF(ISNUMBER(MATCH($B$2:$B$10000,$E$6:$E$22,0)),ROW($C$2:$C$10000)-ROW($C$2)+1),ROWS(K$20:K2186))))</f>
        <v/>
      </c>
      <c r="H2186" s="4" t="str">
        <f t="array" ref="H2186">IF(ROWS(L$20:L2186)&gt;$F$6,"",INDEX(B$2:B$10000,SMALL(IF(ISNUMBER(MATCH($B$2:$B$10000,$E$6:$E$22,0)),ROW($C$2:$C$10000)-ROW($C$2)+1),ROWS(L$20:L2186))))</f>
        <v/>
      </c>
      <c r="I2186" s="4" t="str">
        <f t="array" ref="I2186">IF(ROWS(M$20:M2186)&gt;$F$6,"",INDEX(C$2:C$10000,SMALL(IF(ISNUMBER(MATCH($B$2:$B$10000,$E$6:$E$22,0)),ROW($C$2:$C$10000)-ROW($C$2)+1),ROWS(M$20:M2186))))</f>
        <v/>
      </c>
      <c r="K2186" s="7" t="str">
        <f t="array" ref="K2186">IF(ROWS(K$20:K2186)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2186))))</f>
        <v/>
      </c>
      <c r="L2186" s="4" t="str">
        <f t="array" ref="L2186">IF(ROWS(L$20:L2186)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2186))))</f>
        <v/>
      </c>
      <c r="M2186" s="4" t="str">
        <f t="array" ref="M2186">IF(ROWS(M$20:M2186)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2186))))</f>
        <v/>
      </c>
    </row>
    <row r="2187" spans="1:13" x14ac:dyDescent="0.25">
      <c r="A2187" s="3">
        <v>41634</v>
      </c>
      <c r="B2187" s="2" t="s">
        <v>27</v>
      </c>
      <c r="C2187" s="2">
        <v>19</v>
      </c>
      <c r="G2187" s="7" t="str">
        <f t="array" ref="G2187">IF(ROWS(K$20:K2187)&gt;$F$6,"",INDEX(A$2:A$10000,SMALL(IF(ISNUMBER(MATCH($B$2:$B$10000,$E$6:$E$22,0)),ROW($C$2:$C$10000)-ROW($C$2)+1),ROWS(K$20:K2187))))</f>
        <v/>
      </c>
      <c r="H2187" s="4" t="str">
        <f t="array" ref="H2187">IF(ROWS(L$20:L2187)&gt;$F$6,"",INDEX(B$2:B$10000,SMALL(IF(ISNUMBER(MATCH($B$2:$B$10000,$E$6:$E$22,0)),ROW($C$2:$C$10000)-ROW($C$2)+1),ROWS(L$20:L2187))))</f>
        <v/>
      </c>
      <c r="I2187" s="4" t="str">
        <f t="array" ref="I2187">IF(ROWS(M$20:M2187)&gt;$F$6,"",INDEX(C$2:C$10000,SMALL(IF(ISNUMBER(MATCH($B$2:$B$10000,$E$6:$E$22,0)),ROW($C$2:$C$10000)-ROW($C$2)+1),ROWS(M$20:M2187))))</f>
        <v/>
      </c>
      <c r="K2187" s="7" t="str">
        <f t="array" ref="K2187">IF(ROWS(K$20:K2187)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2187))))</f>
        <v/>
      </c>
      <c r="L2187" s="4" t="str">
        <f t="array" ref="L2187">IF(ROWS(L$20:L2187)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2187))))</f>
        <v/>
      </c>
      <c r="M2187" s="4" t="str">
        <f t="array" ref="M2187">IF(ROWS(M$20:M2187)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2187))))</f>
        <v/>
      </c>
    </row>
    <row r="2188" spans="1:13" x14ac:dyDescent="0.25">
      <c r="A2188" s="3">
        <v>41905</v>
      </c>
      <c r="B2188" s="2" t="s">
        <v>30</v>
      </c>
      <c r="C2188" s="2">
        <v>2</v>
      </c>
      <c r="G2188" s="7" t="str">
        <f t="array" ref="G2188">IF(ROWS(K$20:K2188)&gt;$F$6,"",INDEX(A$2:A$10000,SMALL(IF(ISNUMBER(MATCH($B$2:$B$10000,$E$6:$E$22,0)),ROW($C$2:$C$10000)-ROW($C$2)+1),ROWS(K$20:K2188))))</f>
        <v/>
      </c>
      <c r="H2188" s="4" t="str">
        <f t="array" ref="H2188">IF(ROWS(L$20:L2188)&gt;$F$6,"",INDEX(B$2:B$10000,SMALL(IF(ISNUMBER(MATCH($B$2:$B$10000,$E$6:$E$22,0)),ROW($C$2:$C$10000)-ROW($C$2)+1),ROWS(L$20:L2188))))</f>
        <v/>
      </c>
      <c r="I2188" s="4" t="str">
        <f t="array" ref="I2188">IF(ROWS(M$20:M2188)&gt;$F$6,"",INDEX(C$2:C$10000,SMALL(IF(ISNUMBER(MATCH($B$2:$B$10000,$E$6:$E$22,0)),ROW($C$2:$C$10000)-ROW($C$2)+1),ROWS(M$20:M2188))))</f>
        <v/>
      </c>
      <c r="K2188" s="7" t="str">
        <f t="array" ref="K2188">IF(ROWS(K$20:K2188)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2188))))</f>
        <v/>
      </c>
      <c r="L2188" s="4" t="str">
        <f t="array" ref="L2188">IF(ROWS(L$20:L2188)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2188))))</f>
        <v/>
      </c>
      <c r="M2188" s="4" t="str">
        <f t="array" ref="M2188">IF(ROWS(M$20:M2188)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2188))))</f>
        <v/>
      </c>
    </row>
    <row r="2189" spans="1:13" x14ac:dyDescent="0.25">
      <c r="A2189" s="3">
        <v>41740</v>
      </c>
      <c r="B2189" s="2" t="s">
        <v>44</v>
      </c>
      <c r="C2189" s="2">
        <v>26</v>
      </c>
      <c r="G2189" s="7" t="str">
        <f t="array" ref="G2189">IF(ROWS(K$20:K2189)&gt;$F$6,"",INDEX(A$2:A$10000,SMALL(IF(ISNUMBER(MATCH($B$2:$B$10000,$E$6:$E$22,0)),ROW($C$2:$C$10000)-ROW($C$2)+1),ROWS(K$20:K2189))))</f>
        <v/>
      </c>
      <c r="H2189" s="4" t="str">
        <f t="array" ref="H2189">IF(ROWS(L$20:L2189)&gt;$F$6,"",INDEX(B$2:B$10000,SMALL(IF(ISNUMBER(MATCH($B$2:$B$10000,$E$6:$E$22,0)),ROW($C$2:$C$10000)-ROW($C$2)+1),ROWS(L$20:L2189))))</f>
        <v/>
      </c>
      <c r="I2189" s="4" t="str">
        <f t="array" ref="I2189">IF(ROWS(M$20:M2189)&gt;$F$6,"",INDEX(C$2:C$10000,SMALL(IF(ISNUMBER(MATCH($B$2:$B$10000,$E$6:$E$22,0)),ROW($C$2:$C$10000)-ROW($C$2)+1),ROWS(M$20:M2189))))</f>
        <v/>
      </c>
      <c r="K2189" s="7" t="str">
        <f t="array" ref="K2189">IF(ROWS(K$20:K2189)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2189))))</f>
        <v/>
      </c>
      <c r="L2189" s="4" t="str">
        <f t="array" ref="L2189">IF(ROWS(L$20:L2189)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2189))))</f>
        <v/>
      </c>
      <c r="M2189" s="4" t="str">
        <f t="array" ref="M2189">IF(ROWS(M$20:M2189)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2189))))</f>
        <v/>
      </c>
    </row>
    <row r="2190" spans="1:13" x14ac:dyDescent="0.25">
      <c r="A2190" s="3">
        <v>41323</v>
      </c>
      <c r="B2190" s="2" t="s">
        <v>19</v>
      </c>
      <c r="C2190" s="2">
        <v>28</v>
      </c>
      <c r="G2190" s="7" t="str">
        <f t="array" ref="G2190">IF(ROWS(K$20:K2190)&gt;$F$6,"",INDEX(A$2:A$10000,SMALL(IF(ISNUMBER(MATCH($B$2:$B$10000,$E$6:$E$22,0)),ROW($C$2:$C$10000)-ROW($C$2)+1),ROWS(K$20:K2190))))</f>
        <v/>
      </c>
      <c r="H2190" s="4" t="str">
        <f t="array" ref="H2190">IF(ROWS(L$20:L2190)&gt;$F$6,"",INDEX(B$2:B$10000,SMALL(IF(ISNUMBER(MATCH($B$2:$B$10000,$E$6:$E$22,0)),ROW($C$2:$C$10000)-ROW($C$2)+1),ROWS(L$20:L2190))))</f>
        <v/>
      </c>
      <c r="I2190" s="4" t="str">
        <f t="array" ref="I2190">IF(ROWS(M$20:M2190)&gt;$F$6,"",INDEX(C$2:C$10000,SMALL(IF(ISNUMBER(MATCH($B$2:$B$10000,$E$6:$E$22,0)),ROW($C$2:$C$10000)-ROW($C$2)+1),ROWS(M$20:M2190))))</f>
        <v/>
      </c>
      <c r="K2190" s="7" t="str">
        <f t="array" ref="K2190">IF(ROWS(K$20:K2190)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2190))))</f>
        <v/>
      </c>
      <c r="L2190" s="4" t="str">
        <f t="array" ref="L2190">IF(ROWS(L$20:L2190)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2190))))</f>
        <v/>
      </c>
      <c r="M2190" s="4" t="str">
        <f t="array" ref="M2190">IF(ROWS(M$20:M2190)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2190))))</f>
        <v/>
      </c>
    </row>
    <row r="2191" spans="1:13" x14ac:dyDescent="0.25">
      <c r="A2191" s="3">
        <v>41588</v>
      </c>
      <c r="B2191" s="2" t="s">
        <v>21</v>
      </c>
      <c r="C2191" s="2">
        <v>40</v>
      </c>
      <c r="G2191" s="7" t="str">
        <f t="array" ref="G2191">IF(ROWS(K$20:K2191)&gt;$F$6,"",INDEX(A$2:A$10000,SMALL(IF(ISNUMBER(MATCH($B$2:$B$10000,$E$6:$E$22,0)),ROW($C$2:$C$10000)-ROW($C$2)+1),ROWS(K$20:K2191))))</f>
        <v/>
      </c>
      <c r="H2191" s="4" t="str">
        <f t="array" ref="H2191">IF(ROWS(L$20:L2191)&gt;$F$6,"",INDEX(B$2:B$10000,SMALL(IF(ISNUMBER(MATCH($B$2:$B$10000,$E$6:$E$22,0)),ROW($C$2:$C$10000)-ROW($C$2)+1),ROWS(L$20:L2191))))</f>
        <v/>
      </c>
      <c r="I2191" s="4" t="str">
        <f t="array" ref="I2191">IF(ROWS(M$20:M2191)&gt;$F$6,"",INDEX(C$2:C$10000,SMALL(IF(ISNUMBER(MATCH($B$2:$B$10000,$E$6:$E$22,0)),ROW($C$2:$C$10000)-ROW($C$2)+1),ROWS(M$20:M2191))))</f>
        <v/>
      </c>
      <c r="K2191" s="7" t="str">
        <f t="array" ref="K2191">IF(ROWS(K$20:K2191)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2191))))</f>
        <v/>
      </c>
      <c r="L2191" s="4" t="str">
        <f t="array" ref="L2191">IF(ROWS(L$20:L2191)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2191))))</f>
        <v/>
      </c>
      <c r="M2191" s="4" t="str">
        <f t="array" ref="M2191">IF(ROWS(M$20:M2191)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2191))))</f>
        <v/>
      </c>
    </row>
    <row r="2192" spans="1:13" x14ac:dyDescent="0.25">
      <c r="A2192" s="3">
        <v>41972</v>
      </c>
      <c r="B2192" s="2" t="s">
        <v>26</v>
      </c>
      <c r="C2192" s="2">
        <v>52</v>
      </c>
      <c r="G2192" s="7" t="str">
        <f t="array" ref="G2192">IF(ROWS(K$20:K2192)&gt;$F$6,"",INDEX(A$2:A$10000,SMALL(IF(ISNUMBER(MATCH($B$2:$B$10000,$E$6:$E$22,0)),ROW($C$2:$C$10000)-ROW($C$2)+1),ROWS(K$20:K2192))))</f>
        <v/>
      </c>
      <c r="H2192" s="4" t="str">
        <f t="array" ref="H2192">IF(ROWS(L$20:L2192)&gt;$F$6,"",INDEX(B$2:B$10000,SMALL(IF(ISNUMBER(MATCH($B$2:$B$10000,$E$6:$E$22,0)),ROW($C$2:$C$10000)-ROW($C$2)+1),ROWS(L$20:L2192))))</f>
        <v/>
      </c>
      <c r="I2192" s="4" t="str">
        <f t="array" ref="I2192">IF(ROWS(M$20:M2192)&gt;$F$6,"",INDEX(C$2:C$10000,SMALL(IF(ISNUMBER(MATCH($B$2:$B$10000,$E$6:$E$22,0)),ROW($C$2:$C$10000)-ROW($C$2)+1),ROWS(M$20:M2192))))</f>
        <v/>
      </c>
      <c r="K2192" s="7" t="str">
        <f t="array" ref="K2192">IF(ROWS(K$20:K2192)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2192))))</f>
        <v/>
      </c>
      <c r="L2192" s="4" t="str">
        <f t="array" ref="L2192">IF(ROWS(L$20:L2192)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2192))))</f>
        <v/>
      </c>
      <c r="M2192" s="4" t="str">
        <f t="array" ref="M2192">IF(ROWS(M$20:M2192)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2192))))</f>
        <v/>
      </c>
    </row>
    <row r="2193" spans="1:13" x14ac:dyDescent="0.25">
      <c r="A2193" s="3">
        <v>41803</v>
      </c>
      <c r="B2193" s="2" t="s">
        <v>43</v>
      </c>
      <c r="C2193" s="2">
        <v>7</v>
      </c>
      <c r="G2193" s="7" t="str">
        <f t="array" ref="G2193">IF(ROWS(K$20:K2193)&gt;$F$6,"",INDEX(A$2:A$10000,SMALL(IF(ISNUMBER(MATCH($B$2:$B$10000,$E$6:$E$22,0)),ROW($C$2:$C$10000)-ROW($C$2)+1),ROWS(K$20:K2193))))</f>
        <v/>
      </c>
      <c r="H2193" s="4" t="str">
        <f t="array" ref="H2193">IF(ROWS(L$20:L2193)&gt;$F$6,"",INDEX(B$2:B$10000,SMALL(IF(ISNUMBER(MATCH($B$2:$B$10000,$E$6:$E$22,0)),ROW($C$2:$C$10000)-ROW($C$2)+1),ROWS(L$20:L2193))))</f>
        <v/>
      </c>
      <c r="I2193" s="4" t="str">
        <f t="array" ref="I2193">IF(ROWS(M$20:M2193)&gt;$F$6,"",INDEX(C$2:C$10000,SMALL(IF(ISNUMBER(MATCH($B$2:$B$10000,$E$6:$E$22,0)),ROW($C$2:$C$10000)-ROW($C$2)+1),ROWS(M$20:M2193))))</f>
        <v/>
      </c>
      <c r="K2193" s="7" t="str">
        <f t="array" ref="K2193">IF(ROWS(K$20:K2193)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2193))))</f>
        <v/>
      </c>
      <c r="L2193" s="4" t="str">
        <f t="array" ref="L2193">IF(ROWS(L$20:L2193)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2193))))</f>
        <v/>
      </c>
      <c r="M2193" s="4" t="str">
        <f t="array" ref="M2193">IF(ROWS(M$20:M2193)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2193))))</f>
        <v/>
      </c>
    </row>
    <row r="2194" spans="1:13" x14ac:dyDescent="0.25">
      <c r="A2194" s="3">
        <v>41348</v>
      </c>
      <c r="B2194" s="2" t="s">
        <v>24</v>
      </c>
      <c r="C2194" s="2">
        <v>38</v>
      </c>
      <c r="G2194" s="7" t="str">
        <f t="array" ref="G2194">IF(ROWS(K$20:K2194)&gt;$F$6,"",INDEX(A$2:A$10000,SMALL(IF(ISNUMBER(MATCH($B$2:$B$10000,$E$6:$E$22,0)),ROW($C$2:$C$10000)-ROW($C$2)+1),ROWS(K$20:K2194))))</f>
        <v/>
      </c>
      <c r="H2194" s="4" t="str">
        <f t="array" ref="H2194">IF(ROWS(L$20:L2194)&gt;$F$6,"",INDEX(B$2:B$10000,SMALL(IF(ISNUMBER(MATCH($B$2:$B$10000,$E$6:$E$22,0)),ROW($C$2:$C$10000)-ROW($C$2)+1),ROWS(L$20:L2194))))</f>
        <v/>
      </c>
      <c r="I2194" s="4" t="str">
        <f t="array" ref="I2194">IF(ROWS(M$20:M2194)&gt;$F$6,"",INDEX(C$2:C$10000,SMALL(IF(ISNUMBER(MATCH($B$2:$B$10000,$E$6:$E$22,0)),ROW($C$2:$C$10000)-ROW($C$2)+1),ROWS(M$20:M2194))))</f>
        <v/>
      </c>
      <c r="K2194" s="7" t="str">
        <f t="array" ref="K2194">IF(ROWS(K$20:K2194)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2194))))</f>
        <v/>
      </c>
      <c r="L2194" s="4" t="str">
        <f t="array" ref="L2194">IF(ROWS(L$20:L2194)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2194))))</f>
        <v/>
      </c>
      <c r="M2194" s="4" t="str">
        <f t="array" ref="M2194">IF(ROWS(M$20:M2194)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2194))))</f>
        <v/>
      </c>
    </row>
    <row r="2195" spans="1:13" x14ac:dyDescent="0.25">
      <c r="A2195" s="3">
        <v>41956</v>
      </c>
      <c r="B2195" s="2" t="s">
        <v>48</v>
      </c>
      <c r="C2195" s="2">
        <v>31</v>
      </c>
      <c r="G2195" s="7" t="str">
        <f t="array" ref="G2195">IF(ROWS(K$20:K2195)&gt;$F$6,"",INDEX(A$2:A$10000,SMALL(IF(ISNUMBER(MATCH($B$2:$B$10000,$E$6:$E$22,0)),ROW($C$2:$C$10000)-ROW($C$2)+1),ROWS(K$20:K2195))))</f>
        <v/>
      </c>
      <c r="H2195" s="4" t="str">
        <f t="array" ref="H2195">IF(ROWS(L$20:L2195)&gt;$F$6,"",INDEX(B$2:B$10000,SMALL(IF(ISNUMBER(MATCH($B$2:$B$10000,$E$6:$E$22,0)),ROW($C$2:$C$10000)-ROW($C$2)+1),ROWS(L$20:L2195))))</f>
        <v/>
      </c>
      <c r="I2195" s="4" t="str">
        <f t="array" ref="I2195">IF(ROWS(M$20:M2195)&gt;$F$6,"",INDEX(C$2:C$10000,SMALL(IF(ISNUMBER(MATCH($B$2:$B$10000,$E$6:$E$22,0)),ROW($C$2:$C$10000)-ROW($C$2)+1),ROWS(M$20:M2195))))</f>
        <v/>
      </c>
      <c r="K2195" s="7" t="str">
        <f t="array" ref="K2195">IF(ROWS(K$20:K2195)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2195))))</f>
        <v/>
      </c>
      <c r="L2195" s="4" t="str">
        <f t="array" ref="L2195">IF(ROWS(L$20:L2195)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2195))))</f>
        <v/>
      </c>
      <c r="M2195" s="4" t="str">
        <f t="array" ref="M2195">IF(ROWS(M$20:M2195)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2195))))</f>
        <v/>
      </c>
    </row>
    <row r="2196" spans="1:13" x14ac:dyDescent="0.25">
      <c r="A2196" s="3">
        <v>41614</v>
      </c>
      <c r="B2196" s="2" t="s">
        <v>32</v>
      </c>
      <c r="C2196" s="2">
        <v>27</v>
      </c>
      <c r="G2196" s="7" t="str">
        <f t="array" ref="G2196">IF(ROWS(K$20:K2196)&gt;$F$6,"",INDEX(A$2:A$10000,SMALL(IF(ISNUMBER(MATCH($B$2:$B$10000,$E$6:$E$22,0)),ROW($C$2:$C$10000)-ROW($C$2)+1),ROWS(K$20:K2196))))</f>
        <v/>
      </c>
      <c r="H2196" s="4" t="str">
        <f t="array" ref="H2196">IF(ROWS(L$20:L2196)&gt;$F$6,"",INDEX(B$2:B$10000,SMALL(IF(ISNUMBER(MATCH($B$2:$B$10000,$E$6:$E$22,0)),ROW($C$2:$C$10000)-ROW($C$2)+1),ROWS(L$20:L2196))))</f>
        <v/>
      </c>
      <c r="I2196" s="4" t="str">
        <f t="array" ref="I2196">IF(ROWS(M$20:M2196)&gt;$F$6,"",INDEX(C$2:C$10000,SMALL(IF(ISNUMBER(MATCH($B$2:$B$10000,$E$6:$E$22,0)),ROW($C$2:$C$10000)-ROW($C$2)+1),ROWS(M$20:M2196))))</f>
        <v/>
      </c>
      <c r="K2196" s="7" t="str">
        <f t="array" ref="K2196">IF(ROWS(K$20:K2196)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2196))))</f>
        <v/>
      </c>
      <c r="L2196" s="4" t="str">
        <f t="array" ref="L2196">IF(ROWS(L$20:L2196)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2196))))</f>
        <v/>
      </c>
      <c r="M2196" s="4" t="str">
        <f t="array" ref="M2196">IF(ROWS(M$20:M2196)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2196))))</f>
        <v/>
      </c>
    </row>
    <row r="2197" spans="1:13" x14ac:dyDescent="0.25">
      <c r="A2197" s="3">
        <v>42001</v>
      </c>
      <c r="B2197" s="2" t="s">
        <v>14</v>
      </c>
      <c r="C2197" s="2">
        <v>30</v>
      </c>
      <c r="G2197" s="7" t="str">
        <f t="array" ref="G2197">IF(ROWS(K$20:K2197)&gt;$F$6,"",INDEX(A$2:A$10000,SMALL(IF(ISNUMBER(MATCH($B$2:$B$10000,$E$6:$E$22,0)),ROW($C$2:$C$10000)-ROW($C$2)+1),ROWS(K$20:K2197))))</f>
        <v/>
      </c>
      <c r="H2197" s="4" t="str">
        <f t="array" ref="H2197">IF(ROWS(L$20:L2197)&gt;$F$6,"",INDEX(B$2:B$10000,SMALL(IF(ISNUMBER(MATCH($B$2:$B$10000,$E$6:$E$22,0)),ROW($C$2:$C$10000)-ROW($C$2)+1),ROWS(L$20:L2197))))</f>
        <v/>
      </c>
      <c r="I2197" s="4" t="str">
        <f t="array" ref="I2197">IF(ROWS(M$20:M2197)&gt;$F$6,"",INDEX(C$2:C$10000,SMALL(IF(ISNUMBER(MATCH($B$2:$B$10000,$E$6:$E$22,0)),ROW($C$2:$C$10000)-ROW($C$2)+1),ROWS(M$20:M2197))))</f>
        <v/>
      </c>
      <c r="K2197" s="7" t="str">
        <f t="array" ref="K2197">IF(ROWS(K$20:K2197)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2197))))</f>
        <v/>
      </c>
      <c r="L2197" s="4" t="str">
        <f t="array" ref="L2197">IF(ROWS(L$20:L2197)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2197))))</f>
        <v/>
      </c>
      <c r="M2197" s="4" t="str">
        <f t="array" ref="M2197">IF(ROWS(M$20:M2197)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2197))))</f>
        <v/>
      </c>
    </row>
    <row r="2198" spans="1:13" x14ac:dyDescent="0.25">
      <c r="A2198" s="3">
        <v>41804</v>
      </c>
      <c r="B2198" s="2" t="s">
        <v>19</v>
      </c>
      <c r="C2198" s="2">
        <v>16</v>
      </c>
      <c r="G2198" s="7" t="str">
        <f t="array" ref="G2198">IF(ROWS(K$20:K2198)&gt;$F$6,"",INDEX(A$2:A$10000,SMALL(IF(ISNUMBER(MATCH($B$2:$B$10000,$E$6:$E$22,0)),ROW($C$2:$C$10000)-ROW($C$2)+1),ROWS(K$20:K2198))))</f>
        <v/>
      </c>
      <c r="H2198" s="4" t="str">
        <f t="array" ref="H2198">IF(ROWS(L$20:L2198)&gt;$F$6,"",INDEX(B$2:B$10000,SMALL(IF(ISNUMBER(MATCH($B$2:$B$10000,$E$6:$E$22,0)),ROW($C$2:$C$10000)-ROW($C$2)+1),ROWS(L$20:L2198))))</f>
        <v/>
      </c>
      <c r="I2198" s="4" t="str">
        <f t="array" ref="I2198">IF(ROWS(M$20:M2198)&gt;$F$6,"",INDEX(C$2:C$10000,SMALL(IF(ISNUMBER(MATCH($B$2:$B$10000,$E$6:$E$22,0)),ROW($C$2:$C$10000)-ROW($C$2)+1),ROWS(M$20:M2198))))</f>
        <v/>
      </c>
      <c r="K2198" s="7" t="str">
        <f t="array" ref="K2198">IF(ROWS(K$20:K2198)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2198))))</f>
        <v/>
      </c>
      <c r="L2198" s="4" t="str">
        <f t="array" ref="L2198">IF(ROWS(L$20:L2198)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2198))))</f>
        <v/>
      </c>
      <c r="M2198" s="4" t="str">
        <f t="array" ref="M2198">IF(ROWS(M$20:M2198)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2198))))</f>
        <v/>
      </c>
    </row>
    <row r="2199" spans="1:13" x14ac:dyDescent="0.25">
      <c r="A2199" s="3">
        <v>41516</v>
      </c>
      <c r="B2199" s="2" t="s">
        <v>27</v>
      </c>
      <c r="C2199" s="2">
        <v>64</v>
      </c>
      <c r="G2199" s="7" t="str">
        <f t="array" ref="G2199">IF(ROWS(K$20:K2199)&gt;$F$6,"",INDEX(A$2:A$10000,SMALL(IF(ISNUMBER(MATCH($B$2:$B$10000,$E$6:$E$22,0)),ROW($C$2:$C$10000)-ROW($C$2)+1),ROWS(K$20:K2199))))</f>
        <v/>
      </c>
      <c r="H2199" s="4" t="str">
        <f t="array" ref="H2199">IF(ROWS(L$20:L2199)&gt;$F$6,"",INDEX(B$2:B$10000,SMALL(IF(ISNUMBER(MATCH($B$2:$B$10000,$E$6:$E$22,0)),ROW($C$2:$C$10000)-ROW($C$2)+1),ROWS(L$20:L2199))))</f>
        <v/>
      </c>
      <c r="I2199" s="4" t="str">
        <f t="array" ref="I2199">IF(ROWS(M$20:M2199)&gt;$F$6,"",INDEX(C$2:C$10000,SMALL(IF(ISNUMBER(MATCH($B$2:$B$10000,$E$6:$E$22,0)),ROW($C$2:$C$10000)-ROW($C$2)+1),ROWS(M$20:M2199))))</f>
        <v/>
      </c>
      <c r="K2199" s="7" t="str">
        <f t="array" ref="K2199">IF(ROWS(K$20:K2199)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2199))))</f>
        <v/>
      </c>
      <c r="L2199" s="4" t="str">
        <f t="array" ref="L2199">IF(ROWS(L$20:L2199)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2199))))</f>
        <v/>
      </c>
      <c r="M2199" s="4" t="str">
        <f t="array" ref="M2199">IF(ROWS(M$20:M2199)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2199))))</f>
        <v/>
      </c>
    </row>
    <row r="2200" spans="1:13" x14ac:dyDescent="0.25">
      <c r="A2200" s="3">
        <v>41888</v>
      </c>
      <c r="B2200" s="2" t="s">
        <v>14</v>
      </c>
      <c r="C2200" s="2">
        <v>3</v>
      </c>
      <c r="G2200" s="7" t="str">
        <f t="array" ref="G2200">IF(ROWS(K$20:K2200)&gt;$F$6,"",INDEX(A$2:A$10000,SMALL(IF(ISNUMBER(MATCH($B$2:$B$10000,$E$6:$E$22,0)),ROW($C$2:$C$10000)-ROW($C$2)+1),ROWS(K$20:K2200))))</f>
        <v/>
      </c>
      <c r="H2200" s="4" t="str">
        <f t="array" ref="H2200">IF(ROWS(L$20:L2200)&gt;$F$6,"",INDEX(B$2:B$10000,SMALL(IF(ISNUMBER(MATCH($B$2:$B$10000,$E$6:$E$22,0)),ROW($C$2:$C$10000)-ROW($C$2)+1),ROWS(L$20:L2200))))</f>
        <v/>
      </c>
      <c r="I2200" s="4" t="str">
        <f t="array" ref="I2200">IF(ROWS(M$20:M2200)&gt;$F$6,"",INDEX(C$2:C$10000,SMALL(IF(ISNUMBER(MATCH($B$2:$B$10000,$E$6:$E$22,0)),ROW($C$2:$C$10000)-ROW($C$2)+1),ROWS(M$20:M2200))))</f>
        <v/>
      </c>
      <c r="K2200" s="7" t="str">
        <f t="array" ref="K2200">IF(ROWS(K$20:K2200)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2200))))</f>
        <v/>
      </c>
      <c r="L2200" s="4" t="str">
        <f t="array" ref="L2200">IF(ROWS(L$20:L2200)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2200))))</f>
        <v/>
      </c>
      <c r="M2200" s="4" t="str">
        <f t="array" ref="M2200">IF(ROWS(M$20:M2200)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2200))))</f>
        <v/>
      </c>
    </row>
    <row r="2201" spans="1:13" x14ac:dyDescent="0.25">
      <c r="A2201" s="3">
        <v>41567</v>
      </c>
      <c r="B2201" s="2" t="s">
        <v>49</v>
      </c>
      <c r="C2201" s="2">
        <v>46</v>
      </c>
      <c r="G2201" s="7" t="str">
        <f t="array" ref="G2201">IF(ROWS(K$20:K2201)&gt;$F$6,"",INDEX(A$2:A$10000,SMALL(IF(ISNUMBER(MATCH($B$2:$B$10000,$E$6:$E$22,0)),ROW($C$2:$C$10000)-ROW($C$2)+1),ROWS(K$20:K2201))))</f>
        <v/>
      </c>
      <c r="H2201" s="4" t="str">
        <f t="array" ref="H2201">IF(ROWS(L$20:L2201)&gt;$F$6,"",INDEX(B$2:B$10000,SMALL(IF(ISNUMBER(MATCH($B$2:$B$10000,$E$6:$E$22,0)),ROW($C$2:$C$10000)-ROW($C$2)+1),ROWS(L$20:L2201))))</f>
        <v/>
      </c>
      <c r="I2201" s="4" t="str">
        <f t="array" ref="I2201">IF(ROWS(M$20:M2201)&gt;$F$6,"",INDEX(C$2:C$10000,SMALL(IF(ISNUMBER(MATCH($B$2:$B$10000,$E$6:$E$22,0)),ROW($C$2:$C$10000)-ROW($C$2)+1),ROWS(M$20:M2201))))</f>
        <v/>
      </c>
      <c r="K2201" s="7" t="str">
        <f t="array" ref="K2201">IF(ROWS(K$20:K2201)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2201))))</f>
        <v/>
      </c>
      <c r="L2201" s="4" t="str">
        <f t="array" ref="L2201">IF(ROWS(L$20:L2201)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2201))))</f>
        <v/>
      </c>
      <c r="M2201" s="4" t="str">
        <f t="array" ref="M2201">IF(ROWS(M$20:M2201)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2201))))</f>
        <v/>
      </c>
    </row>
    <row r="2202" spans="1:13" x14ac:dyDescent="0.25">
      <c r="A2202" s="3">
        <v>41836</v>
      </c>
      <c r="B2202" s="2" t="s">
        <v>15</v>
      </c>
      <c r="C2202" s="2">
        <v>7</v>
      </c>
      <c r="G2202" s="7" t="str">
        <f t="array" ref="G2202">IF(ROWS(K$20:K2202)&gt;$F$6,"",INDEX(A$2:A$10000,SMALL(IF(ISNUMBER(MATCH($B$2:$B$10000,$E$6:$E$22,0)),ROW($C$2:$C$10000)-ROW($C$2)+1),ROWS(K$20:K2202))))</f>
        <v/>
      </c>
      <c r="H2202" s="4" t="str">
        <f t="array" ref="H2202">IF(ROWS(L$20:L2202)&gt;$F$6,"",INDEX(B$2:B$10000,SMALL(IF(ISNUMBER(MATCH($B$2:$B$10000,$E$6:$E$22,0)),ROW($C$2:$C$10000)-ROW($C$2)+1),ROWS(L$20:L2202))))</f>
        <v/>
      </c>
      <c r="I2202" s="4" t="str">
        <f t="array" ref="I2202">IF(ROWS(M$20:M2202)&gt;$F$6,"",INDEX(C$2:C$10000,SMALL(IF(ISNUMBER(MATCH($B$2:$B$10000,$E$6:$E$22,0)),ROW($C$2:$C$10000)-ROW($C$2)+1),ROWS(M$20:M2202))))</f>
        <v/>
      </c>
      <c r="K2202" s="7" t="str">
        <f t="array" ref="K2202">IF(ROWS(K$20:K2202)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2202))))</f>
        <v/>
      </c>
      <c r="L2202" s="4" t="str">
        <f t="array" ref="L2202">IF(ROWS(L$20:L2202)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2202))))</f>
        <v/>
      </c>
      <c r="M2202" s="4" t="str">
        <f t="array" ref="M2202">IF(ROWS(M$20:M2202)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2202))))</f>
        <v/>
      </c>
    </row>
    <row r="2203" spans="1:13" x14ac:dyDescent="0.25">
      <c r="A2203" s="3">
        <v>41417</v>
      </c>
      <c r="B2203" s="2" t="s">
        <v>44</v>
      </c>
      <c r="C2203" s="2">
        <v>8</v>
      </c>
      <c r="G2203" s="7" t="str">
        <f t="array" ref="G2203">IF(ROWS(K$20:K2203)&gt;$F$6,"",INDEX(A$2:A$10000,SMALL(IF(ISNUMBER(MATCH($B$2:$B$10000,$E$6:$E$22,0)),ROW($C$2:$C$10000)-ROW($C$2)+1),ROWS(K$20:K2203))))</f>
        <v/>
      </c>
      <c r="H2203" s="4" t="str">
        <f t="array" ref="H2203">IF(ROWS(L$20:L2203)&gt;$F$6,"",INDEX(B$2:B$10000,SMALL(IF(ISNUMBER(MATCH($B$2:$B$10000,$E$6:$E$22,0)),ROW($C$2:$C$10000)-ROW($C$2)+1),ROWS(L$20:L2203))))</f>
        <v/>
      </c>
      <c r="I2203" s="4" t="str">
        <f t="array" ref="I2203">IF(ROWS(M$20:M2203)&gt;$F$6,"",INDEX(C$2:C$10000,SMALL(IF(ISNUMBER(MATCH($B$2:$B$10000,$E$6:$E$22,0)),ROW($C$2:$C$10000)-ROW($C$2)+1),ROWS(M$20:M2203))))</f>
        <v/>
      </c>
      <c r="K2203" s="7" t="str">
        <f t="array" ref="K2203">IF(ROWS(K$20:K2203)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2203))))</f>
        <v/>
      </c>
      <c r="L2203" s="4" t="str">
        <f t="array" ref="L2203">IF(ROWS(L$20:L2203)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2203))))</f>
        <v/>
      </c>
      <c r="M2203" s="4" t="str">
        <f t="array" ref="M2203">IF(ROWS(M$20:M2203)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2203))))</f>
        <v/>
      </c>
    </row>
    <row r="2204" spans="1:13" x14ac:dyDescent="0.25">
      <c r="A2204" s="3">
        <v>41696</v>
      </c>
      <c r="B2204" s="2" t="s">
        <v>14</v>
      </c>
      <c r="C2204" s="2">
        <v>8</v>
      </c>
      <c r="G2204" s="7" t="str">
        <f t="array" ref="G2204">IF(ROWS(K$20:K2204)&gt;$F$6,"",INDEX(A$2:A$10000,SMALL(IF(ISNUMBER(MATCH($B$2:$B$10000,$E$6:$E$22,0)),ROW($C$2:$C$10000)-ROW($C$2)+1),ROWS(K$20:K2204))))</f>
        <v/>
      </c>
      <c r="H2204" s="4" t="str">
        <f t="array" ref="H2204">IF(ROWS(L$20:L2204)&gt;$F$6,"",INDEX(B$2:B$10000,SMALL(IF(ISNUMBER(MATCH($B$2:$B$10000,$E$6:$E$22,0)),ROW($C$2:$C$10000)-ROW($C$2)+1),ROWS(L$20:L2204))))</f>
        <v/>
      </c>
      <c r="I2204" s="4" t="str">
        <f t="array" ref="I2204">IF(ROWS(M$20:M2204)&gt;$F$6,"",INDEX(C$2:C$10000,SMALL(IF(ISNUMBER(MATCH($B$2:$B$10000,$E$6:$E$22,0)),ROW($C$2:$C$10000)-ROW($C$2)+1),ROWS(M$20:M2204))))</f>
        <v/>
      </c>
      <c r="K2204" s="7" t="str">
        <f t="array" ref="K2204">IF(ROWS(K$20:K2204)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2204))))</f>
        <v/>
      </c>
      <c r="L2204" s="4" t="str">
        <f t="array" ref="L2204">IF(ROWS(L$20:L2204)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2204))))</f>
        <v/>
      </c>
      <c r="M2204" s="4" t="str">
        <f t="array" ref="M2204">IF(ROWS(M$20:M2204)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2204))))</f>
        <v/>
      </c>
    </row>
    <row r="2205" spans="1:13" x14ac:dyDescent="0.25">
      <c r="A2205" s="3">
        <v>41873</v>
      </c>
      <c r="B2205" s="2" t="s">
        <v>27</v>
      </c>
      <c r="C2205" s="2">
        <v>5</v>
      </c>
      <c r="G2205" s="7" t="str">
        <f t="array" ref="G2205">IF(ROWS(K$20:K2205)&gt;$F$6,"",INDEX(A$2:A$10000,SMALL(IF(ISNUMBER(MATCH($B$2:$B$10000,$E$6:$E$22,0)),ROW($C$2:$C$10000)-ROW($C$2)+1),ROWS(K$20:K2205))))</f>
        <v/>
      </c>
      <c r="H2205" s="4" t="str">
        <f t="array" ref="H2205">IF(ROWS(L$20:L2205)&gt;$F$6,"",INDEX(B$2:B$10000,SMALL(IF(ISNUMBER(MATCH($B$2:$B$10000,$E$6:$E$22,0)),ROW($C$2:$C$10000)-ROW($C$2)+1),ROWS(L$20:L2205))))</f>
        <v/>
      </c>
      <c r="I2205" s="4" t="str">
        <f t="array" ref="I2205">IF(ROWS(M$20:M2205)&gt;$F$6,"",INDEX(C$2:C$10000,SMALL(IF(ISNUMBER(MATCH($B$2:$B$10000,$E$6:$E$22,0)),ROW($C$2:$C$10000)-ROW($C$2)+1),ROWS(M$20:M2205))))</f>
        <v/>
      </c>
      <c r="K2205" s="7" t="str">
        <f t="array" ref="K2205">IF(ROWS(K$20:K2205)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2205))))</f>
        <v/>
      </c>
      <c r="L2205" s="4" t="str">
        <f t="array" ref="L2205">IF(ROWS(L$20:L2205)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2205))))</f>
        <v/>
      </c>
      <c r="M2205" s="4" t="str">
        <f t="array" ref="M2205">IF(ROWS(M$20:M2205)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2205))))</f>
        <v/>
      </c>
    </row>
    <row r="2206" spans="1:13" x14ac:dyDescent="0.25">
      <c r="A2206" s="3">
        <v>41929</v>
      </c>
      <c r="B2206" s="2" t="s">
        <v>13</v>
      </c>
      <c r="C2206" s="2">
        <v>1</v>
      </c>
      <c r="G2206" s="7" t="str">
        <f t="array" ref="G2206">IF(ROWS(K$20:K2206)&gt;$F$6,"",INDEX(A$2:A$10000,SMALL(IF(ISNUMBER(MATCH($B$2:$B$10000,$E$6:$E$22,0)),ROW($C$2:$C$10000)-ROW($C$2)+1),ROWS(K$20:K2206))))</f>
        <v/>
      </c>
      <c r="H2206" s="4" t="str">
        <f t="array" ref="H2206">IF(ROWS(L$20:L2206)&gt;$F$6,"",INDEX(B$2:B$10000,SMALL(IF(ISNUMBER(MATCH($B$2:$B$10000,$E$6:$E$22,0)),ROW($C$2:$C$10000)-ROW($C$2)+1),ROWS(L$20:L2206))))</f>
        <v/>
      </c>
      <c r="I2206" s="4" t="str">
        <f t="array" ref="I2206">IF(ROWS(M$20:M2206)&gt;$F$6,"",INDEX(C$2:C$10000,SMALL(IF(ISNUMBER(MATCH($B$2:$B$10000,$E$6:$E$22,0)),ROW($C$2:$C$10000)-ROW($C$2)+1),ROWS(M$20:M2206))))</f>
        <v/>
      </c>
      <c r="K2206" s="7" t="str">
        <f t="array" ref="K2206">IF(ROWS(K$20:K2206)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2206))))</f>
        <v/>
      </c>
      <c r="L2206" s="4" t="str">
        <f t="array" ref="L2206">IF(ROWS(L$20:L2206)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2206))))</f>
        <v/>
      </c>
      <c r="M2206" s="4" t="str">
        <f t="array" ref="M2206">IF(ROWS(M$20:M2206)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2206))))</f>
        <v/>
      </c>
    </row>
    <row r="2207" spans="1:13" x14ac:dyDescent="0.25">
      <c r="A2207" s="3">
        <v>41289</v>
      </c>
      <c r="B2207" s="2" t="s">
        <v>11</v>
      </c>
      <c r="C2207" s="2">
        <v>37</v>
      </c>
      <c r="G2207" s="7" t="str">
        <f t="array" ref="G2207">IF(ROWS(K$20:K2207)&gt;$F$6,"",INDEX(A$2:A$10000,SMALL(IF(ISNUMBER(MATCH($B$2:$B$10000,$E$6:$E$22,0)),ROW($C$2:$C$10000)-ROW($C$2)+1),ROWS(K$20:K2207))))</f>
        <v/>
      </c>
      <c r="H2207" s="4" t="str">
        <f t="array" ref="H2207">IF(ROWS(L$20:L2207)&gt;$F$6,"",INDEX(B$2:B$10000,SMALL(IF(ISNUMBER(MATCH($B$2:$B$10000,$E$6:$E$22,0)),ROW($C$2:$C$10000)-ROW($C$2)+1),ROWS(L$20:L2207))))</f>
        <v/>
      </c>
      <c r="I2207" s="4" t="str">
        <f t="array" ref="I2207">IF(ROWS(M$20:M2207)&gt;$F$6,"",INDEX(C$2:C$10000,SMALL(IF(ISNUMBER(MATCH($B$2:$B$10000,$E$6:$E$22,0)),ROW($C$2:$C$10000)-ROW($C$2)+1),ROWS(M$20:M2207))))</f>
        <v/>
      </c>
      <c r="K2207" s="7" t="str">
        <f t="array" ref="K2207">IF(ROWS(K$20:K2207)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2207))))</f>
        <v/>
      </c>
      <c r="L2207" s="4" t="str">
        <f t="array" ref="L2207">IF(ROWS(L$20:L2207)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2207))))</f>
        <v/>
      </c>
      <c r="M2207" s="4" t="str">
        <f t="array" ref="M2207">IF(ROWS(M$20:M2207)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2207))))</f>
        <v/>
      </c>
    </row>
    <row r="2208" spans="1:13" x14ac:dyDescent="0.25">
      <c r="A2208" s="3">
        <v>41276</v>
      </c>
      <c r="B2208" s="2" t="s">
        <v>50</v>
      </c>
      <c r="C2208" s="2">
        <v>31</v>
      </c>
      <c r="G2208" s="7" t="str">
        <f t="array" ref="G2208">IF(ROWS(K$20:K2208)&gt;$F$6,"",INDEX(A$2:A$10000,SMALL(IF(ISNUMBER(MATCH($B$2:$B$10000,$E$6:$E$22,0)),ROW($C$2:$C$10000)-ROW($C$2)+1),ROWS(K$20:K2208))))</f>
        <v/>
      </c>
      <c r="H2208" s="4" t="str">
        <f t="array" ref="H2208">IF(ROWS(L$20:L2208)&gt;$F$6,"",INDEX(B$2:B$10000,SMALL(IF(ISNUMBER(MATCH($B$2:$B$10000,$E$6:$E$22,0)),ROW($C$2:$C$10000)-ROW($C$2)+1),ROWS(L$20:L2208))))</f>
        <v/>
      </c>
      <c r="I2208" s="4" t="str">
        <f t="array" ref="I2208">IF(ROWS(M$20:M2208)&gt;$F$6,"",INDEX(C$2:C$10000,SMALL(IF(ISNUMBER(MATCH($B$2:$B$10000,$E$6:$E$22,0)),ROW($C$2:$C$10000)-ROW($C$2)+1),ROWS(M$20:M2208))))</f>
        <v/>
      </c>
      <c r="K2208" s="7" t="str">
        <f t="array" ref="K2208">IF(ROWS(K$20:K2208)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2208))))</f>
        <v/>
      </c>
      <c r="L2208" s="4" t="str">
        <f t="array" ref="L2208">IF(ROWS(L$20:L2208)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2208))))</f>
        <v/>
      </c>
      <c r="M2208" s="4" t="str">
        <f t="array" ref="M2208">IF(ROWS(M$20:M2208)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2208))))</f>
        <v/>
      </c>
    </row>
    <row r="2209" spans="1:13" x14ac:dyDescent="0.25">
      <c r="A2209" s="3">
        <v>41866</v>
      </c>
      <c r="B2209" s="2" t="s">
        <v>6</v>
      </c>
      <c r="C2209" s="2">
        <v>15</v>
      </c>
      <c r="G2209" s="7" t="str">
        <f t="array" ref="G2209">IF(ROWS(K$20:K2209)&gt;$F$6,"",INDEX(A$2:A$10000,SMALL(IF(ISNUMBER(MATCH($B$2:$B$10000,$E$6:$E$22,0)),ROW($C$2:$C$10000)-ROW($C$2)+1),ROWS(K$20:K2209))))</f>
        <v/>
      </c>
      <c r="H2209" s="4" t="str">
        <f t="array" ref="H2209">IF(ROWS(L$20:L2209)&gt;$F$6,"",INDEX(B$2:B$10000,SMALL(IF(ISNUMBER(MATCH($B$2:$B$10000,$E$6:$E$22,0)),ROW($C$2:$C$10000)-ROW($C$2)+1),ROWS(L$20:L2209))))</f>
        <v/>
      </c>
      <c r="I2209" s="4" t="str">
        <f t="array" ref="I2209">IF(ROWS(M$20:M2209)&gt;$F$6,"",INDEX(C$2:C$10000,SMALL(IF(ISNUMBER(MATCH($B$2:$B$10000,$E$6:$E$22,0)),ROW($C$2:$C$10000)-ROW($C$2)+1),ROWS(M$20:M2209))))</f>
        <v/>
      </c>
      <c r="K2209" s="7" t="str">
        <f t="array" ref="K2209">IF(ROWS(K$20:K2209)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2209))))</f>
        <v/>
      </c>
      <c r="L2209" s="4" t="str">
        <f t="array" ref="L2209">IF(ROWS(L$20:L2209)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2209))))</f>
        <v/>
      </c>
      <c r="M2209" s="4" t="str">
        <f t="array" ref="M2209">IF(ROWS(M$20:M2209)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2209))))</f>
        <v/>
      </c>
    </row>
    <row r="2210" spans="1:13" x14ac:dyDescent="0.25">
      <c r="A2210" s="3">
        <v>41378</v>
      </c>
      <c r="B2210" s="2" t="s">
        <v>51</v>
      </c>
      <c r="C2210" s="2">
        <v>27</v>
      </c>
      <c r="G2210" s="7" t="str">
        <f t="array" ref="G2210">IF(ROWS(K$20:K2210)&gt;$F$6,"",INDEX(A$2:A$10000,SMALL(IF(ISNUMBER(MATCH($B$2:$B$10000,$E$6:$E$22,0)),ROW($C$2:$C$10000)-ROW($C$2)+1),ROWS(K$20:K2210))))</f>
        <v/>
      </c>
      <c r="H2210" s="4" t="str">
        <f t="array" ref="H2210">IF(ROWS(L$20:L2210)&gt;$F$6,"",INDEX(B$2:B$10000,SMALL(IF(ISNUMBER(MATCH($B$2:$B$10000,$E$6:$E$22,0)),ROW($C$2:$C$10000)-ROW($C$2)+1),ROWS(L$20:L2210))))</f>
        <v/>
      </c>
      <c r="I2210" s="4" t="str">
        <f t="array" ref="I2210">IF(ROWS(M$20:M2210)&gt;$F$6,"",INDEX(C$2:C$10000,SMALL(IF(ISNUMBER(MATCH($B$2:$B$10000,$E$6:$E$22,0)),ROW($C$2:$C$10000)-ROW($C$2)+1),ROWS(M$20:M2210))))</f>
        <v/>
      </c>
      <c r="K2210" s="7" t="str">
        <f t="array" ref="K2210">IF(ROWS(K$20:K2210)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2210))))</f>
        <v/>
      </c>
      <c r="L2210" s="4" t="str">
        <f t="array" ref="L2210">IF(ROWS(L$20:L2210)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2210))))</f>
        <v/>
      </c>
      <c r="M2210" s="4" t="str">
        <f t="array" ref="M2210">IF(ROWS(M$20:M2210)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2210))))</f>
        <v/>
      </c>
    </row>
    <row r="2211" spans="1:13" x14ac:dyDescent="0.25">
      <c r="A2211" s="3">
        <v>41514</v>
      </c>
      <c r="B2211" s="2" t="s">
        <v>31</v>
      </c>
      <c r="C2211" s="2">
        <v>32</v>
      </c>
      <c r="G2211" s="7" t="str">
        <f t="array" ref="G2211">IF(ROWS(K$20:K2211)&gt;$F$6,"",INDEX(A$2:A$10000,SMALL(IF(ISNUMBER(MATCH($B$2:$B$10000,$E$6:$E$22,0)),ROW($C$2:$C$10000)-ROW($C$2)+1),ROWS(K$20:K2211))))</f>
        <v/>
      </c>
      <c r="H2211" s="4" t="str">
        <f t="array" ref="H2211">IF(ROWS(L$20:L2211)&gt;$F$6,"",INDEX(B$2:B$10000,SMALL(IF(ISNUMBER(MATCH($B$2:$B$10000,$E$6:$E$22,0)),ROW($C$2:$C$10000)-ROW($C$2)+1),ROWS(L$20:L2211))))</f>
        <v/>
      </c>
      <c r="I2211" s="4" t="str">
        <f t="array" ref="I2211">IF(ROWS(M$20:M2211)&gt;$F$6,"",INDEX(C$2:C$10000,SMALL(IF(ISNUMBER(MATCH($B$2:$B$10000,$E$6:$E$22,0)),ROW($C$2:$C$10000)-ROW($C$2)+1),ROWS(M$20:M2211))))</f>
        <v/>
      </c>
      <c r="K2211" s="7" t="str">
        <f t="array" ref="K2211">IF(ROWS(K$20:K2211)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2211))))</f>
        <v/>
      </c>
      <c r="L2211" s="4" t="str">
        <f t="array" ref="L2211">IF(ROWS(L$20:L2211)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2211))))</f>
        <v/>
      </c>
      <c r="M2211" s="4" t="str">
        <f t="array" ref="M2211">IF(ROWS(M$20:M2211)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2211))))</f>
        <v/>
      </c>
    </row>
    <row r="2212" spans="1:13" x14ac:dyDescent="0.25">
      <c r="A2212" s="3">
        <v>41569</v>
      </c>
      <c r="B2212" s="2" t="s">
        <v>43</v>
      </c>
      <c r="C2212" s="2">
        <v>45</v>
      </c>
      <c r="G2212" s="7" t="str">
        <f t="array" ref="G2212">IF(ROWS(K$20:K2212)&gt;$F$6,"",INDEX(A$2:A$10000,SMALL(IF(ISNUMBER(MATCH($B$2:$B$10000,$E$6:$E$22,0)),ROW($C$2:$C$10000)-ROW($C$2)+1),ROWS(K$20:K2212))))</f>
        <v/>
      </c>
      <c r="H2212" s="4" t="str">
        <f t="array" ref="H2212">IF(ROWS(L$20:L2212)&gt;$F$6,"",INDEX(B$2:B$10000,SMALL(IF(ISNUMBER(MATCH($B$2:$B$10000,$E$6:$E$22,0)),ROW($C$2:$C$10000)-ROW($C$2)+1),ROWS(L$20:L2212))))</f>
        <v/>
      </c>
      <c r="I2212" s="4" t="str">
        <f t="array" ref="I2212">IF(ROWS(M$20:M2212)&gt;$F$6,"",INDEX(C$2:C$10000,SMALL(IF(ISNUMBER(MATCH($B$2:$B$10000,$E$6:$E$22,0)),ROW($C$2:$C$10000)-ROW($C$2)+1),ROWS(M$20:M2212))))</f>
        <v/>
      </c>
      <c r="K2212" s="7" t="str">
        <f t="array" ref="K2212">IF(ROWS(K$20:K2212)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2212))))</f>
        <v/>
      </c>
      <c r="L2212" s="4" t="str">
        <f t="array" ref="L2212">IF(ROWS(L$20:L2212)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2212))))</f>
        <v/>
      </c>
      <c r="M2212" s="4" t="str">
        <f t="array" ref="M2212">IF(ROWS(M$20:M2212)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2212))))</f>
        <v/>
      </c>
    </row>
    <row r="2213" spans="1:13" x14ac:dyDescent="0.25">
      <c r="A2213" s="3">
        <v>41816</v>
      </c>
      <c r="B2213" s="2" t="s">
        <v>26</v>
      </c>
      <c r="C2213" s="2">
        <v>42</v>
      </c>
      <c r="G2213" s="7" t="str">
        <f t="array" ref="G2213">IF(ROWS(K$20:K2213)&gt;$F$6,"",INDEX(A$2:A$10000,SMALL(IF(ISNUMBER(MATCH($B$2:$B$10000,$E$6:$E$22,0)),ROW($C$2:$C$10000)-ROW($C$2)+1),ROWS(K$20:K2213))))</f>
        <v/>
      </c>
      <c r="H2213" s="4" t="str">
        <f t="array" ref="H2213">IF(ROWS(L$20:L2213)&gt;$F$6,"",INDEX(B$2:B$10000,SMALL(IF(ISNUMBER(MATCH($B$2:$B$10000,$E$6:$E$22,0)),ROW($C$2:$C$10000)-ROW($C$2)+1),ROWS(L$20:L2213))))</f>
        <v/>
      </c>
      <c r="I2213" s="4" t="str">
        <f t="array" ref="I2213">IF(ROWS(M$20:M2213)&gt;$F$6,"",INDEX(C$2:C$10000,SMALL(IF(ISNUMBER(MATCH($B$2:$B$10000,$E$6:$E$22,0)),ROW($C$2:$C$10000)-ROW($C$2)+1),ROWS(M$20:M2213))))</f>
        <v/>
      </c>
      <c r="K2213" s="7" t="str">
        <f t="array" ref="K2213">IF(ROWS(K$20:K2213)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2213))))</f>
        <v/>
      </c>
      <c r="L2213" s="4" t="str">
        <f t="array" ref="L2213">IF(ROWS(L$20:L2213)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2213))))</f>
        <v/>
      </c>
      <c r="M2213" s="4" t="str">
        <f t="array" ref="M2213">IF(ROWS(M$20:M2213)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2213))))</f>
        <v/>
      </c>
    </row>
    <row r="2214" spans="1:13" x14ac:dyDescent="0.25">
      <c r="A2214" s="3">
        <v>41319</v>
      </c>
      <c r="B2214" s="2" t="s">
        <v>25</v>
      </c>
      <c r="C2214" s="2">
        <v>17</v>
      </c>
      <c r="G2214" s="7" t="str">
        <f t="array" ref="G2214">IF(ROWS(K$20:K2214)&gt;$F$6,"",INDEX(A$2:A$10000,SMALL(IF(ISNUMBER(MATCH($B$2:$B$10000,$E$6:$E$22,0)),ROW($C$2:$C$10000)-ROW($C$2)+1),ROWS(K$20:K2214))))</f>
        <v/>
      </c>
      <c r="H2214" s="4" t="str">
        <f t="array" ref="H2214">IF(ROWS(L$20:L2214)&gt;$F$6,"",INDEX(B$2:B$10000,SMALL(IF(ISNUMBER(MATCH($B$2:$B$10000,$E$6:$E$22,0)),ROW($C$2:$C$10000)-ROW($C$2)+1),ROWS(L$20:L2214))))</f>
        <v/>
      </c>
      <c r="I2214" s="4" t="str">
        <f t="array" ref="I2214">IF(ROWS(M$20:M2214)&gt;$F$6,"",INDEX(C$2:C$10000,SMALL(IF(ISNUMBER(MATCH($B$2:$B$10000,$E$6:$E$22,0)),ROW($C$2:$C$10000)-ROW($C$2)+1),ROWS(M$20:M2214))))</f>
        <v/>
      </c>
      <c r="K2214" s="7" t="str">
        <f t="array" ref="K2214">IF(ROWS(K$20:K2214)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2214))))</f>
        <v/>
      </c>
      <c r="L2214" s="4" t="str">
        <f t="array" ref="L2214">IF(ROWS(L$20:L2214)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2214))))</f>
        <v/>
      </c>
      <c r="M2214" s="4" t="str">
        <f t="array" ref="M2214">IF(ROWS(M$20:M2214)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2214))))</f>
        <v/>
      </c>
    </row>
    <row r="2215" spans="1:13" x14ac:dyDescent="0.25">
      <c r="A2215" s="3">
        <v>41604</v>
      </c>
      <c r="B2215" s="2" t="s">
        <v>23</v>
      </c>
      <c r="C2215" s="2">
        <v>37</v>
      </c>
      <c r="G2215" s="7" t="str">
        <f t="array" ref="G2215">IF(ROWS(K$20:K2215)&gt;$F$6,"",INDEX(A$2:A$10000,SMALL(IF(ISNUMBER(MATCH($B$2:$B$10000,$E$6:$E$22,0)),ROW($C$2:$C$10000)-ROW($C$2)+1),ROWS(K$20:K2215))))</f>
        <v/>
      </c>
      <c r="H2215" s="4" t="str">
        <f t="array" ref="H2215">IF(ROWS(L$20:L2215)&gt;$F$6,"",INDEX(B$2:B$10000,SMALL(IF(ISNUMBER(MATCH($B$2:$B$10000,$E$6:$E$22,0)),ROW($C$2:$C$10000)-ROW($C$2)+1),ROWS(L$20:L2215))))</f>
        <v/>
      </c>
      <c r="I2215" s="4" t="str">
        <f t="array" ref="I2215">IF(ROWS(M$20:M2215)&gt;$F$6,"",INDEX(C$2:C$10000,SMALL(IF(ISNUMBER(MATCH($B$2:$B$10000,$E$6:$E$22,0)),ROW($C$2:$C$10000)-ROW($C$2)+1),ROWS(M$20:M2215))))</f>
        <v/>
      </c>
      <c r="K2215" s="7" t="str">
        <f t="array" ref="K2215">IF(ROWS(K$20:K2215)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2215))))</f>
        <v/>
      </c>
      <c r="L2215" s="4" t="str">
        <f t="array" ref="L2215">IF(ROWS(L$20:L2215)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2215))))</f>
        <v/>
      </c>
      <c r="M2215" s="4" t="str">
        <f t="array" ref="M2215">IF(ROWS(M$20:M2215)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2215))))</f>
        <v/>
      </c>
    </row>
    <row r="2216" spans="1:13" x14ac:dyDescent="0.25">
      <c r="A2216" s="3">
        <v>41315</v>
      </c>
      <c r="B2216" s="2" t="s">
        <v>44</v>
      </c>
      <c r="C2216" s="2">
        <v>21</v>
      </c>
      <c r="G2216" s="7" t="str">
        <f t="array" ref="G2216">IF(ROWS(K$20:K2216)&gt;$F$6,"",INDEX(A$2:A$10000,SMALL(IF(ISNUMBER(MATCH($B$2:$B$10000,$E$6:$E$22,0)),ROW($C$2:$C$10000)-ROW($C$2)+1),ROWS(K$20:K2216))))</f>
        <v/>
      </c>
      <c r="H2216" s="4" t="str">
        <f t="array" ref="H2216">IF(ROWS(L$20:L2216)&gt;$F$6,"",INDEX(B$2:B$10000,SMALL(IF(ISNUMBER(MATCH($B$2:$B$10000,$E$6:$E$22,0)),ROW($C$2:$C$10000)-ROW($C$2)+1),ROWS(L$20:L2216))))</f>
        <v/>
      </c>
      <c r="I2216" s="4" t="str">
        <f t="array" ref="I2216">IF(ROWS(M$20:M2216)&gt;$F$6,"",INDEX(C$2:C$10000,SMALL(IF(ISNUMBER(MATCH($B$2:$B$10000,$E$6:$E$22,0)),ROW($C$2:$C$10000)-ROW($C$2)+1),ROWS(M$20:M2216))))</f>
        <v/>
      </c>
      <c r="K2216" s="7" t="str">
        <f t="array" ref="K2216">IF(ROWS(K$20:K2216)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2216))))</f>
        <v/>
      </c>
      <c r="L2216" s="4" t="str">
        <f t="array" ref="L2216">IF(ROWS(L$20:L2216)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2216))))</f>
        <v/>
      </c>
      <c r="M2216" s="4" t="str">
        <f t="array" ref="M2216">IF(ROWS(M$20:M2216)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2216))))</f>
        <v/>
      </c>
    </row>
    <row r="2217" spans="1:13" x14ac:dyDescent="0.25">
      <c r="A2217" s="3">
        <v>41548</v>
      </c>
      <c r="B2217" s="2" t="s">
        <v>47</v>
      </c>
      <c r="C2217" s="2">
        <v>38</v>
      </c>
      <c r="G2217" s="7" t="str">
        <f t="array" ref="G2217">IF(ROWS(K$20:K2217)&gt;$F$6,"",INDEX(A$2:A$10000,SMALL(IF(ISNUMBER(MATCH($B$2:$B$10000,$E$6:$E$22,0)),ROW($C$2:$C$10000)-ROW($C$2)+1),ROWS(K$20:K2217))))</f>
        <v/>
      </c>
      <c r="H2217" s="4" t="str">
        <f t="array" ref="H2217">IF(ROWS(L$20:L2217)&gt;$F$6,"",INDEX(B$2:B$10000,SMALL(IF(ISNUMBER(MATCH($B$2:$B$10000,$E$6:$E$22,0)),ROW($C$2:$C$10000)-ROW($C$2)+1),ROWS(L$20:L2217))))</f>
        <v/>
      </c>
      <c r="I2217" s="4" t="str">
        <f t="array" ref="I2217">IF(ROWS(M$20:M2217)&gt;$F$6,"",INDEX(C$2:C$10000,SMALL(IF(ISNUMBER(MATCH($B$2:$B$10000,$E$6:$E$22,0)),ROW($C$2:$C$10000)-ROW($C$2)+1),ROWS(M$20:M2217))))</f>
        <v/>
      </c>
      <c r="K2217" s="7" t="str">
        <f t="array" ref="K2217">IF(ROWS(K$20:K2217)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2217))))</f>
        <v/>
      </c>
      <c r="L2217" s="4" t="str">
        <f t="array" ref="L2217">IF(ROWS(L$20:L2217)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2217))))</f>
        <v/>
      </c>
      <c r="M2217" s="4" t="str">
        <f t="array" ref="M2217">IF(ROWS(M$20:M2217)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2217))))</f>
        <v/>
      </c>
    </row>
    <row r="2218" spans="1:13" x14ac:dyDescent="0.25">
      <c r="A2218" s="3">
        <v>41441</v>
      </c>
      <c r="B2218" s="2" t="s">
        <v>42</v>
      </c>
      <c r="C2218" s="2">
        <v>29</v>
      </c>
      <c r="G2218" s="7" t="str">
        <f t="array" ref="G2218">IF(ROWS(K$20:K2218)&gt;$F$6,"",INDEX(A$2:A$10000,SMALL(IF(ISNUMBER(MATCH($B$2:$B$10000,$E$6:$E$22,0)),ROW($C$2:$C$10000)-ROW($C$2)+1),ROWS(K$20:K2218))))</f>
        <v/>
      </c>
      <c r="H2218" s="4" t="str">
        <f t="array" ref="H2218">IF(ROWS(L$20:L2218)&gt;$F$6,"",INDEX(B$2:B$10000,SMALL(IF(ISNUMBER(MATCH($B$2:$B$10000,$E$6:$E$22,0)),ROW($C$2:$C$10000)-ROW($C$2)+1),ROWS(L$20:L2218))))</f>
        <v/>
      </c>
      <c r="I2218" s="4" t="str">
        <f t="array" ref="I2218">IF(ROWS(M$20:M2218)&gt;$F$6,"",INDEX(C$2:C$10000,SMALL(IF(ISNUMBER(MATCH($B$2:$B$10000,$E$6:$E$22,0)),ROW($C$2:$C$10000)-ROW($C$2)+1),ROWS(M$20:M2218))))</f>
        <v/>
      </c>
      <c r="K2218" s="7" t="str">
        <f t="array" ref="K2218">IF(ROWS(K$20:K2218)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2218))))</f>
        <v/>
      </c>
      <c r="L2218" s="4" t="str">
        <f t="array" ref="L2218">IF(ROWS(L$20:L2218)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2218))))</f>
        <v/>
      </c>
      <c r="M2218" s="4" t="str">
        <f t="array" ref="M2218">IF(ROWS(M$20:M2218)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2218))))</f>
        <v/>
      </c>
    </row>
    <row r="2219" spans="1:13" x14ac:dyDescent="0.25">
      <c r="A2219" s="3">
        <v>41752</v>
      </c>
      <c r="B2219" s="2" t="s">
        <v>50</v>
      </c>
      <c r="C2219" s="2">
        <v>4</v>
      </c>
      <c r="G2219" s="7" t="str">
        <f t="array" ref="G2219">IF(ROWS(K$20:K2219)&gt;$F$6,"",INDEX(A$2:A$10000,SMALL(IF(ISNUMBER(MATCH($B$2:$B$10000,$E$6:$E$22,0)),ROW($C$2:$C$10000)-ROW($C$2)+1),ROWS(K$20:K2219))))</f>
        <v/>
      </c>
      <c r="H2219" s="4" t="str">
        <f t="array" ref="H2219">IF(ROWS(L$20:L2219)&gt;$F$6,"",INDEX(B$2:B$10000,SMALL(IF(ISNUMBER(MATCH($B$2:$B$10000,$E$6:$E$22,0)),ROW($C$2:$C$10000)-ROW($C$2)+1),ROWS(L$20:L2219))))</f>
        <v/>
      </c>
      <c r="I2219" s="4" t="str">
        <f t="array" ref="I2219">IF(ROWS(M$20:M2219)&gt;$F$6,"",INDEX(C$2:C$10000,SMALL(IF(ISNUMBER(MATCH($B$2:$B$10000,$E$6:$E$22,0)),ROW($C$2:$C$10000)-ROW($C$2)+1),ROWS(M$20:M2219))))</f>
        <v/>
      </c>
      <c r="K2219" s="7" t="str">
        <f t="array" ref="K2219">IF(ROWS(K$20:K2219)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2219))))</f>
        <v/>
      </c>
      <c r="L2219" s="4" t="str">
        <f t="array" ref="L2219">IF(ROWS(L$20:L2219)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2219))))</f>
        <v/>
      </c>
      <c r="M2219" s="4" t="str">
        <f t="array" ref="M2219">IF(ROWS(M$20:M2219)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2219))))</f>
        <v/>
      </c>
    </row>
    <row r="2220" spans="1:13" x14ac:dyDescent="0.25">
      <c r="A2220" s="3">
        <v>41625</v>
      </c>
      <c r="B2220" s="2" t="s">
        <v>22</v>
      </c>
      <c r="C2220" s="2">
        <v>56</v>
      </c>
      <c r="G2220" s="7" t="str">
        <f t="array" ref="G2220">IF(ROWS(K$20:K2220)&gt;$F$6,"",INDEX(A$2:A$10000,SMALL(IF(ISNUMBER(MATCH($B$2:$B$10000,$E$6:$E$22,0)),ROW($C$2:$C$10000)-ROW($C$2)+1),ROWS(K$20:K2220))))</f>
        <v/>
      </c>
      <c r="H2220" s="4" t="str">
        <f t="array" ref="H2220">IF(ROWS(L$20:L2220)&gt;$F$6,"",INDEX(B$2:B$10000,SMALL(IF(ISNUMBER(MATCH($B$2:$B$10000,$E$6:$E$22,0)),ROW($C$2:$C$10000)-ROW($C$2)+1),ROWS(L$20:L2220))))</f>
        <v/>
      </c>
      <c r="I2220" s="4" t="str">
        <f t="array" ref="I2220">IF(ROWS(M$20:M2220)&gt;$F$6,"",INDEX(C$2:C$10000,SMALL(IF(ISNUMBER(MATCH($B$2:$B$10000,$E$6:$E$22,0)),ROW($C$2:$C$10000)-ROW($C$2)+1),ROWS(M$20:M2220))))</f>
        <v/>
      </c>
      <c r="K2220" s="7" t="str">
        <f t="array" ref="K2220">IF(ROWS(K$20:K2220)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2220))))</f>
        <v/>
      </c>
      <c r="L2220" s="4" t="str">
        <f t="array" ref="L2220">IF(ROWS(L$20:L2220)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2220))))</f>
        <v/>
      </c>
      <c r="M2220" s="4" t="str">
        <f t="array" ref="M2220">IF(ROWS(M$20:M2220)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2220))))</f>
        <v/>
      </c>
    </row>
    <row r="2221" spans="1:13" x14ac:dyDescent="0.25">
      <c r="A2221" s="3">
        <v>41492</v>
      </c>
      <c r="B2221" s="2" t="s">
        <v>40</v>
      </c>
      <c r="C2221" s="2">
        <v>23</v>
      </c>
      <c r="G2221" s="7" t="str">
        <f t="array" ref="G2221">IF(ROWS(K$20:K2221)&gt;$F$6,"",INDEX(A$2:A$10000,SMALL(IF(ISNUMBER(MATCH($B$2:$B$10000,$E$6:$E$22,0)),ROW($C$2:$C$10000)-ROW($C$2)+1),ROWS(K$20:K2221))))</f>
        <v/>
      </c>
      <c r="H2221" s="4" t="str">
        <f t="array" ref="H2221">IF(ROWS(L$20:L2221)&gt;$F$6,"",INDEX(B$2:B$10000,SMALL(IF(ISNUMBER(MATCH($B$2:$B$10000,$E$6:$E$22,0)),ROW($C$2:$C$10000)-ROW($C$2)+1),ROWS(L$20:L2221))))</f>
        <v/>
      </c>
      <c r="I2221" s="4" t="str">
        <f t="array" ref="I2221">IF(ROWS(M$20:M2221)&gt;$F$6,"",INDEX(C$2:C$10000,SMALL(IF(ISNUMBER(MATCH($B$2:$B$10000,$E$6:$E$22,0)),ROW($C$2:$C$10000)-ROW($C$2)+1),ROWS(M$20:M2221))))</f>
        <v/>
      </c>
      <c r="K2221" s="7" t="str">
        <f t="array" ref="K2221">IF(ROWS(K$20:K2221)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2221))))</f>
        <v/>
      </c>
      <c r="L2221" s="4" t="str">
        <f t="array" ref="L2221">IF(ROWS(L$20:L2221)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2221))))</f>
        <v/>
      </c>
      <c r="M2221" s="4" t="str">
        <f t="array" ref="M2221">IF(ROWS(M$20:M2221)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2221))))</f>
        <v/>
      </c>
    </row>
    <row r="2222" spans="1:13" x14ac:dyDescent="0.25">
      <c r="A2222" s="3">
        <v>41871</v>
      </c>
      <c r="B2222" s="2" t="s">
        <v>14</v>
      </c>
      <c r="C2222" s="2">
        <v>6</v>
      </c>
      <c r="G2222" s="7" t="str">
        <f t="array" ref="G2222">IF(ROWS(K$20:K2222)&gt;$F$6,"",INDEX(A$2:A$10000,SMALL(IF(ISNUMBER(MATCH($B$2:$B$10000,$E$6:$E$22,0)),ROW($C$2:$C$10000)-ROW($C$2)+1),ROWS(K$20:K2222))))</f>
        <v/>
      </c>
      <c r="H2222" s="4" t="str">
        <f t="array" ref="H2222">IF(ROWS(L$20:L2222)&gt;$F$6,"",INDEX(B$2:B$10000,SMALL(IF(ISNUMBER(MATCH($B$2:$B$10000,$E$6:$E$22,0)),ROW($C$2:$C$10000)-ROW($C$2)+1),ROWS(L$20:L2222))))</f>
        <v/>
      </c>
      <c r="I2222" s="4" t="str">
        <f t="array" ref="I2222">IF(ROWS(M$20:M2222)&gt;$F$6,"",INDEX(C$2:C$10000,SMALL(IF(ISNUMBER(MATCH($B$2:$B$10000,$E$6:$E$22,0)),ROW($C$2:$C$10000)-ROW($C$2)+1),ROWS(M$20:M2222))))</f>
        <v/>
      </c>
      <c r="K2222" s="7" t="str">
        <f t="array" ref="K2222">IF(ROWS(K$20:K2222)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2222))))</f>
        <v/>
      </c>
      <c r="L2222" s="4" t="str">
        <f t="array" ref="L2222">IF(ROWS(L$20:L2222)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2222))))</f>
        <v/>
      </c>
      <c r="M2222" s="4" t="str">
        <f t="array" ref="M2222">IF(ROWS(M$20:M2222)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2222))))</f>
        <v/>
      </c>
    </row>
    <row r="2223" spans="1:13" x14ac:dyDescent="0.25">
      <c r="A2223" s="3">
        <v>41360</v>
      </c>
      <c r="B2223" s="2" t="s">
        <v>48</v>
      </c>
      <c r="C2223" s="2">
        <v>40</v>
      </c>
      <c r="G2223" s="7" t="str">
        <f t="array" ref="G2223">IF(ROWS(K$20:K2223)&gt;$F$6,"",INDEX(A$2:A$10000,SMALL(IF(ISNUMBER(MATCH($B$2:$B$10000,$E$6:$E$22,0)),ROW($C$2:$C$10000)-ROW($C$2)+1),ROWS(K$20:K2223))))</f>
        <v/>
      </c>
      <c r="H2223" s="4" t="str">
        <f t="array" ref="H2223">IF(ROWS(L$20:L2223)&gt;$F$6,"",INDEX(B$2:B$10000,SMALL(IF(ISNUMBER(MATCH($B$2:$B$10000,$E$6:$E$22,0)),ROW($C$2:$C$10000)-ROW($C$2)+1),ROWS(L$20:L2223))))</f>
        <v/>
      </c>
      <c r="I2223" s="4" t="str">
        <f t="array" ref="I2223">IF(ROWS(M$20:M2223)&gt;$F$6,"",INDEX(C$2:C$10000,SMALL(IF(ISNUMBER(MATCH($B$2:$B$10000,$E$6:$E$22,0)),ROW($C$2:$C$10000)-ROW($C$2)+1),ROWS(M$20:M2223))))</f>
        <v/>
      </c>
      <c r="K2223" s="7" t="str">
        <f t="array" ref="K2223">IF(ROWS(K$20:K2223)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2223))))</f>
        <v/>
      </c>
      <c r="L2223" s="4" t="str">
        <f t="array" ref="L2223">IF(ROWS(L$20:L2223)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2223))))</f>
        <v/>
      </c>
      <c r="M2223" s="4" t="str">
        <f t="array" ref="M2223">IF(ROWS(M$20:M2223)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2223))))</f>
        <v/>
      </c>
    </row>
    <row r="2224" spans="1:13" x14ac:dyDescent="0.25">
      <c r="A2224" s="3">
        <v>41811</v>
      </c>
      <c r="B2224" s="2" t="s">
        <v>37</v>
      </c>
      <c r="C2224" s="2">
        <v>21</v>
      </c>
      <c r="G2224" s="7" t="str">
        <f t="array" ref="G2224">IF(ROWS(K$20:K2224)&gt;$F$6,"",INDEX(A$2:A$10000,SMALL(IF(ISNUMBER(MATCH($B$2:$B$10000,$E$6:$E$22,0)),ROW($C$2:$C$10000)-ROW($C$2)+1),ROWS(K$20:K2224))))</f>
        <v/>
      </c>
      <c r="H2224" s="4" t="str">
        <f t="array" ref="H2224">IF(ROWS(L$20:L2224)&gt;$F$6,"",INDEX(B$2:B$10000,SMALL(IF(ISNUMBER(MATCH($B$2:$B$10000,$E$6:$E$22,0)),ROW($C$2:$C$10000)-ROW($C$2)+1),ROWS(L$20:L2224))))</f>
        <v/>
      </c>
      <c r="I2224" s="4" t="str">
        <f t="array" ref="I2224">IF(ROWS(M$20:M2224)&gt;$F$6,"",INDEX(C$2:C$10000,SMALL(IF(ISNUMBER(MATCH($B$2:$B$10000,$E$6:$E$22,0)),ROW($C$2:$C$10000)-ROW($C$2)+1),ROWS(M$20:M2224))))</f>
        <v/>
      </c>
      <c r="K2224" s="7" t="str">
        <f t="array" ref="K2224">IF(ROWS(K$20:K2224)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2224))))</f>
        <v/>
      </c>
      <c r="L2224" s="4" t="str">
        <f t="array" ref="L2224">IF(ROWS(L$20:L2224)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2224))))</f>
        <v/>
      </c>
      <c r="M2224" s="4" t="str">
        <f t="array" ref="M2224">IF(ROWS(M$20:M2224)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2224))))</f>
        <v/>
      </c>
    </row>
    <row r="2225" spans="1:13" x14ac:dyDescent="0.25">
      <c r="A2225" s="3">
        <v>41504</v>
      </c>
      <c r="B2225" s="2" t="s">
        <v>21</v>
      </c>
      <c r="C2225" s="2">
        <v>7</v>
      </c>
      <c r="G2225" s="7" t="str">
        <f t="array" ref="G2225">IF(ROWS(K$20:K2225)&gt;$F$6,"",INDEX(A$2:A$10000,SMALL(IF(ISNUMBER(MATCH($B$2:$B$10000,$E$6:$E$22,0)),ROW($C$2:$C$10000)-ROW($C$2)+1),ROWS(K$20:K2225))))</f>
        <v/>
      </c>
      <c r="H2225" s="4" t="str">
        <f t="array" ref="H2225">IF(ROWS(L$20:L2225)&gt;$F$6,"",INDEX(B$2:B$10000,SMALL(IF(ISNUMBER(MATCH($B$2:$B$10000,$E$6:$E$22,0)),ROW($C$2:$C$10000)-ROW($C$2)+1),ROWS(L$20:L2225))))</f>
        <v/>
      </c>
      <c r="I2225" s="4" t="str">
        <f t="array" ref="I2225">IF(ROWS(M$20:M2225)&gt;$F$6,"",INDEX(C$2:C$10000,SMALL(IF(ISNUMBER(MATCH($B$2:$B$10000,$E$6:$E$22,0)),ROW($C$2:$C$10000)-ROW($C$2)+1),ROWS(M$20:M2225))))</f>
        <v/>
      </c>
      <c r="K2225" s="7" t="str">
        <f t="array" ref="K2225">IF(ROWS(K$20:K2225)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2225))))</f>
        <v/>
      </c>
      <c r="L2225" s="4" t="str">
        <f t="array" ref="L2225">IF(ROWS(L$20:L2225)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2225))))</f>
        <v/>
      </c>
      <c r="M2225" s="4" t="str">
        <f t="array" ref="M2225">IF(ROWS(M$20:M2225)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2225))))</f>
        <v/>
      </c>
    </row>
    <row r="2226" spans="1:13" x14ac:dyDescent="0.25">
      <c r="A2226" s="3">
        <v>41519</v>
      </c>
      <c r="B2226" s="2" t="s">
        <v>43</v>
      </c>
      <c r="C2226" s="2">
        <v>13</v>
      </c>
      <c r="G2226" s="7" t="str">
        <f t="array" ref="G2226">IF(ROWS(K$20:K2226)&gt;$F$6,"",INDEX(A$2:A$10000,SMALL(IF(ISNUMBER(MATCH($B$2:$B$10000,$E$6:$E$22,0)),ROW($C$2:$C$10000)-ROW($C$2)+1),ROWS(K$20:K2226))))</f>
        <v/>
      </c>
      <c r="H2226" s="4" t="str">
        <f t="array" ref="H2226">IF(ROWS(L$20:L2226)&gt;$F$6,"",INDEX(B$2:B$10000,SMALL(IF(ISNUMBER(MATCH($B$2:$B$10000,$E$6:$E$22,0)),ROW($C$2:$C$10000)-ROW($C$2)+1),ROWS(L$20:L2226))))</f>
        <v/>
      </c>
      <c r="I2226" s="4" t="str">
        <f t="array" ref="I2226">IF(ROWS(M$20:M2226)&gt;$F$6,"",INDEX(C$2:C$10000,SMALL(IF(ISNUMBER(MATCH($B$2:$B$10000,$E$6:$E$22,0)),ROW($C$2:$C$10000)-ROW($C$2)+1),ROWS(M$20:M2226))))</f>
        <v/>
      </c>
      <c r="K2226" s="7" t="str">
        <f t="array" ref="K2226">IF(ROWS(K$20:K2226)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2226))))</f>
        <v/>
      </c>
      <c r="L2226" s="4" t="str">
        <f t="array" ref="L2226">IF(ROWS(L$20:L2226)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2226))))</f>
        <v/>
      </c>
      <c r="M2226" s="4" t="str">
        <f t="array" ref="M2226">IF(ROWS(M$20:M2226)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2226))))</f>
        <v/>
      </c>
    </row>
    <row r="2227" spans="1:13" x14ac:dyDescent="0.25">
      <c r="A2227" s="3">
        <v>41845</v>
      </c>
      <c r="B2227" s="2" t="s">
        <v>6</v>
      </c>
      <c r="C2227" s="2">
        <v>30</v>
      </c>
      <c r="G2227" s="7" t="str">
        <f t="array" ref="G2227">IF(ROWS(K$20:K2227)&gt;$F$6,"",INDEX(A$2:A$10000,SMALL(IF(ISNUMBER(MATCH($B$2:$B$10000,$E$6:$E$22,0)),ROW($C$2:$C$10000)-ROW($C$2)+1),ROWS(K$20:K2227))))</f>
        <v/>
      </c>
      <c r="H2227" s="4" t="str">
        <f t="array" ref="H2227">IF(ROWS(L$20:L2227)&gt;$F$6,"",INDEX(B$2:B$10000,SMALL(IF(ISNUMBER(MATCH($B$2:$B$10000,$E$6:$E$22,0)),ROW($C$2:$C$10000)-ROW($C$2)+1),ROWS(L$20:L2227))))</f>
        <v/>
      </c>
      <c r="I2227" s="4" t="str">
        <f t="array" ref="I2227">IF(ROWS(M$20:M2227)&gt;$F$6,"",INDEX(C$2:C$10000,SMALL(IF(ISNUMBER(MATCH($B$2:$B$10000,$E$6:$E$22,0)),ROW($C$2:$C$10000)-ROW($C$2)+1),ROWS(M$20:M2227))))</f>
        <v/>
      </c>
      <c r="K2227" s="7" t="str">
        <f t="array" ref="K2227">IF(ROWS(K$20:K2227)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2227))))</f>
        <v/>
      </c>
      <c r="L2227" s="4" t="str">
        <f t="array" ref="L2227">IF(ROWS(L$20:L2227)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2227))))</f>
        <v/>
      </c>
      <c r="M2227" s="4" t="str">
        <f t="array" ref="M2227">IF(ROWS(M$20:M2227)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2227))))</f>
        <v/>
      </c>
    </row>
    <row r="2228" spans="1:13" x14ac:dyDescent="0.25">
      <c r="A2228" s="3">
        <v>41501</v>
      </c>
      <c r="B2228" s="2" t="s">
        <v>19</v>
      </c>
      <c r="C2228" s="2">
        <v>3</v>
      </c>
      <c r="G2228" s="7" t="str">
        <f t="array" ref="G2228">IF(ROWS(K$20:K2228)&gt;$F$6,"",INDEX(A$2:A$10000,SMALL(IF(ISNUMBER(MATCH($B$2:$B$10000,$E$6:$E$22,0)),ROW($C$2:$C$10000)-ROW($C$2)+1),ROWS(K$20:K2228))))</f>
        <v/>
      </c>
      <c r="H2228" s="4" t="str">
        <f t="array" ref="H2228">IF(ROWS(L$20:L2228)&gt;$F$6,"",INDEX(B$2:B$10000,SMALL(IF(ISNUMBER(MATCH($B$2:$B$10000,$E$6:$E$22,0)),ROW($C$2:$C$10000)-ROW($C$2)+1),ROWS(L$20:L2228))))</f>
        <v/>
      </c>
      <c r="I2228" s="4" t="str">
        <f t="array" ref="I2228">IF(ROWS(M$20:M2228)&gt;$F$6,"",INDEX(C$2:C$10000,SMALL(IF(ISNUMBER(MATCH($B$2:$B$10000,$E$6:$E$22,0)),ROW($C$2:$C$10000)-ROW($C$2)+1),ROWS(M$20:M2228))))</f>
        <v/>
      </c>
      <c r="K2228" s="7" t="str">
        <f t="array" ref="K2228">IF(ROWS(K$20:K2228)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2228))))</f>
        <v/>
      </c>
      <c r="L2228" s="4" t="str">
        <f t="array" ref="L2228">IF(ROWS(L$20:L2228)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2228))))</f>
        <v/>
      </c>
      <c r="M2228" s="4" t="str">
        <f t="array" ref="M2228">IF(ROWS(M$20:M2228)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2228))))</f>
        <v/>
      </c>
    </row>
    <row r="2229" spans="1:13" x14ac:dyDescent="0.25">
      <c r="A2229" s="3">
        <v>41861</v>
      </c>
      <c r="B2229" s="2" t="s">
        <v>34</v>
      </c>
      <c r="C2229" s="2">
        <v>7</v>
      </c>
      <c r="G2229" s="7" t="str">
        <f t="array" ref="G2229">IF(ROWS(K$20:K2229)&gt;$F$6,"",INDEX(A$2:A$10000,SMALL(IF(ISNUMBER(MATCH($B$2:$B$10000,$E$6:$E$22,0)),ROW($C$2:$C$10000)-ROW($C$2)+1),ROWS(K$20:K2229))))</f>
        <v/>
      </c>
      <c r="H2229" s="4" t="str">
        <f t="array" ref="H2229">IF(ROWS(L$20:L2229)&gt;$F$6,"",INDEX(B$2:B$10000,SMALL(IF(ISNUMBER(MATCH($B$2:$B$10000,$E$6:$E$22,0)),ROW($C$2:$C$10000)-ROW($C$2)+1),ROWS(L$20:L2229))))</f>
        <v/>
      </c>
      <c r="I2229" s="4" t="str">
        <f t="array" ref="I2229">IF(ROWS(M$20:M2229)&gt;$F$6,"",INDEX(C$2:C$10000,SMALL(IF(ISNUMBER(MATCH($B$2:$B$10000,$E$6:$E$22,0)),ROW($C$2:$C$10000)-ROW($C$2)+1),ROWS(M$20:M2229))))</f>
        <v/>
      </c>
      <c r="K2229" s="7" t="str">
        <f t="array" ref="K2229">IF(ROWS(K$20:K2229)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2229))))</f>
        <v/>
      </c>
      <c r="L2229" s="4" t="str">
        <f t="array" ref="L2229">IF(ROWS(L$20:L2229)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2229))))</f>
        <v/>
      </c>
      <c r="M2229" s="4" t="str">
        <f t="array" ref="M2229">IF(ROWS(M$20:M2229)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2229))))</f>
        <v/>
      </c>
    </row>
    <row r="2230" spans="1:13" x14ac:dyDescent="0.25">
      <c r="A2230" s="3">
        <v>41732</v>
      </c>
      <c r="B2230" s="2" t="s">
        <v>6</v>
      </c>
      <c r="C2230" s="2">
        <v>32</v>
      </c>
      <c r="G2230" s="7" t="str">
        <f t="array" ref="G2230">IF(ROWS(K$20:K2230)&gt;$F$6,"",INDEX(A$2:A$10000,SMALL(IF(ISNUMBER(MATCH($B$2:$B$10000,$E$6:$E$22,0)),ROW($C$2:$C$10000)-ROW($C$2)+1),ROWS(K$20:K2230))))</f>
        <v/>
      </c>
      <c r="H2230" s="4" t="str">
        <f t="array" ref="H2230">IF(ROWS(L$20:L2230)&gt;$F$6,"",INDEX(B$2:B$10000,SMALL(IF(ISNUMBER(MATCH($B$2:$B$10000,$E$6:$E$22,0)),ROW($C$2:$C$10000)-ROW($C$2)+1),ROWS(L$20:L2230))))</f>
        <v/>
      </c>
      <c r="I2230" s="4" t="str">
        <f t="array" ref="I2230">IF(ROWS(M$20:M2230)&gt;$F$6,"",INDEX(C$2:C$10000,SMALL(IF(ISNUMBER(MATCH($B$2:$B$10000,$E$6:$E$22,0)),ROW($C$2:$C$10000)-ROW($C$2)+1),ROWS(M$20:M2230))))</f>
        <v/>
      </c>
      <c r="K2230" s="7" t="str">
        <f t="array" ref="K2230">IF(ROWS(K$20:K2230)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2230))))</f>
        <v/>
      </c>
      <c r="L2230" s="4" t="str">
        <f t="array" ref="L2230">IF(ROWS(L$20:L2230)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2230))))</f>
        <v/>
      </c>
      <c r="M2230" s="4" t="str">
        <f t="array" ref="M2230">IF(ROWS(M$20:M2230)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2230))))</f>
        <v/>
      </c>
    </row>
    <row r="2231" spans="1:13" x14ac:dyDescent="0.25">
      <c r="A2231" s="3">
        <v>41287</v>
      </c>
      <c r="B2231" s="2" t="s">
        <v>46</v>
      </c>
      <c r="C2231" s="2">
        <v>28</v>
      </c>
      <c r="G2231" s="7" t="str">
        <f t="array" ref="G2231">IF(ROWS(K$20:K2231)&gt;$F$6,"",INDEX(A$2:A$10000,SMALL(IF(ISNUMBER(MATCH($B$2:$B$10000,$E$6:$E$22,0)),ROW($C$2:$C$10000)-ROW($C$2)+1),ROWS(K$20:K2231))))</f>
        <v/>
      </c>
      <c r="H2231" s="4" t="str">
        <f t="array" ref="H2231">IF(ROWS(L$20:L2231)&gt;$F$6,"",INDEX(B$2:B$10000,SMALL(IF(ISNUMBER(MATCH($B$2:$B$10000,$E$6:$E$22,0)),ROW($C$2:$C$10000)-ROW($C$2)+1),ROWS(L$20:L2231))))</f>
        <v/>
      </c>
      <c r="I2231" s="4" t="str">
        <f t="array" ref="I2231">IF(ROWS(M$20:M2231)&gt;$F$6,"",INDEX(C$2:C$10000,SMALL(IF(ISNUMBER(MATCH($B$2:$B$10000,$E$6:$E$22,0)),ROW($C$2:$C$10000)-ROW($C$2)+1),ROWS(M$20:M2231))))</f>
        <v/>
      </c>
      <c r="K2231" s="7" t="str">
        <f t="array" ref="K2231">IF(ROWS(K$20:K2231)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2231))))</f>
        <v/>
      </c>
      <c r="L2231" s="4" t="str">
        <f t="array" ref="L2231">IF(ROWS(L$20:L2231)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2231))))</f>
        <v/>
      </c>
      <c r="M2231" s="4" t="str">
        <f t="array" ref="M2231">IF(ROWS(M$20:M2231)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2231))))</f>
        <v/>
      </c>
    </row>
    <row r="2232" spans="1:13" x14ac:dyDescent="0.25">
      <c r="A2232" s="3">
        <v>41798</v>
      </c>
      <c r="B2232" s="2" t="s">
        <v>51</v>
      </c>
      <c r="C2232" s="2">
        <v>52</v>
      </c>
      <c r="G2232" s="7" t="str">
        <f t="array" ref="G2232">IF(ROWS(K$20:K2232)&gt;$F$6,"",INDEX(A$2:A$10000,SMALL(IF(ISNUMBER(MATCH($B$2:$B$10000,$E$6:$E$22,0)),ROW($C$2:$C$10000)-ROW($C$2)+1),ROWS(K$20:K2232))))</f>
        <v/>
      </c>
      <c r="H2232" s="4" t="str">
        <f t="array" ref="H2232">IF(ROWS(L$20:L2232)&gt;$F$6,"",INDEX(B$2:B$10000,SMALL(IF(ISNUMBER(MATCH($B$2:$B$10000,$E$6:$E$22,0)),ROW($C$2:$C$10000)-ROW($C$2)+1),ROWS(L$20:L2232))))</f>
        <v/>
      </c>
      <c r="I2232" s="4" t="str">
        <f t="array" ref="I2232">IF(ROWS(M$20:M2232)&gt;$F$6,"",INDEX(C$2:C$10000,SMALL(IF(ISNUMBER(MATCH($B$2:$B$10000,$E$6:$E$22,0)),ROW($C$2:$C$10000)-ROW($C$2)+1),ROWS(M$20:M2232))))</f>
        <v/>
      </c>
      <c r="K2232" s="7" t="str">
        <f t="array" ref="K2232">IF(ROWS(K$20:K2232)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2232))))</f>
        <v/>
      </c>
      <c r="L2232" s="4" t="str">
        <f t="array" ref="L2232">IF(ROWS(L$20:L2232)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2232))))</f>
        <v/>
      </c>
      <c r="M2232" s="4" t="str">
        <f t="array" ref="M2232">IF(ROWS(M$20:M2232)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2232))))</f>
        <v/>
      </c>
    </row>
    <row r="2233" spans="1:13" x14ac:dyDescent="0.25">
      <c r="A2233" s="3">
        <v>41815</v>
      </c>
      <c r="B2233" s="2" t="s">
        <v>9</v>
      </c>
      <c r="C2233" s="2">
        <v>24</v>
      </c>
      <c r="G2233" s="7" t="str">
        <f t="array" ref="G2233">IF(ROWS(K$20:K2233)&gt;$F$6,"",INDEX(A$2:A$10000,SMALL(IF(ISNUMBER(MATCH($B$2:$B$10000,$E$6:$E$22,0)),ROW($C$2:$C$10000)-ROW($C$2)+1),ROWS(K$20:K2233))))</f>
        <v/>
      </c>
      <c r="H2233" s="4" t="str">
        <f t="array" ref="H2233">IF(ROWS(L$20:L2233)&gt;$F$6,"",INDEX(B$2:B$10000,SMALL(IF(ISNUMBER(MATCH($B$2:$B$10000,$E$6:$E$22,0)),ROW($C$2:$C$10000)-ROW($C$2)+1),ROWS(L$20:L2233))))</f>
        <v/>
      </c>
      <c r="I2233" s="4" t="str">
        <f t="array" ref="I2233">IF(ROWS(M$20:M2233)&gt;$F$6,"",INDEX(C$2:C$10000,SMALL(IF(ISNUMBER(MATCH($B$2:$B$10000,$E$6:$E$22,0)),ROW($C$2:$C$10000)-ROW($C$2)+1),ROWS(M$20:M2233))))</f>
        <v/>
      </c>
      <c r="K2233" s="7" t="str">
        <f t="array" ref="K2233">IF(ROWS(K$20:K2233)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2233))))</f>
        <v/>
      </c>
      <c r="L2233" s="4" t="str">
        <f t="array" ref="L2233">IF(ROWS(L$20:L2233)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2233))))</f>
        <v/>
      </c>
      <c r="M2233" s="4" t="str">
        <f t="array" ref="M2233">IF(ROWS(M$20:M2233)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2233))))</f>
        <v/>
      </c>
    </row>
    <row r="2234" spans="1:13" x14ac:dyDescent="0.25">
      <c r="A2234" s="3">
        <v>41603</v>
      </c>
      <c r="B2234" s="2" t="s">
        <v>23</v>
      </c>
      <c r="C2234" s="2">
        <v>22</v>
      </c>
      <c r="G2234" s="7" t="str">
        <f t="array" ref="G2234">IF(ROWS(K$20:K2234)&gt;$F$6,"",INDEX(A$2:A$10000,SMALL(IF(ISNUMBER(MATCH($B$2:$B$10000,$E$6:$E$22,0)),ROW($C$2:$C$10000)-ROW($C$2)+1),ROWS(K$20:K2234))))</f>
        <v/>
      </c>
      <c r="H2234" s="4" t="str">
        <f t="array" ref="H2234">IF(ROWS(L$20:L2234)&gt;$F$6,"",INDEX(B$2:B$10000,SMALL(IF(ISNUMBER(MATCH($B$2:$B$10000,$E$6:$E$22,0)),ROW($C$2:$C$10000)-ROW($C$2)+1),ROWS(L$20:L2234))))</f>
        <v/>
      </c>
      <c r="I2234" s="4" t="str">
        <f t="array" ref="I2234">IF(ROWS(M$20:M2234)&gt;$F$6,"",INDEX(C$2:C$10000,SMALL(IF(ISNUMBER(MATCH($B$2:$B$10000,$E$6:$E$22,0)),ROW($C$2:$C$10000)-ROW($C$2)+1),ROWS(M$20:M2234))))</f>
        <v/>
      </c>
      <c r="K2234" s="7" t="str">
        <f t="array" ref="K2234">IF(ROWS(K$20:K2234)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2234))))</f>
        <v/>
      </c>
      <c r="L2234" s="4" t="str">
        <f t="array" ref="L2234">IF(ROWS(L$20:L2234)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2234))))</f>
        <v/>
      </c>
      <c r="M2234" s="4" t="str">
        <f t="array" ref="M2234">IF(ROWS(M$20:M2234)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2234))))</f>
        <v/>
      </c>
    </row>
    <row r="2235" spans="1:13" x14ac:dyDescent="0.25">
      <c r="A2235" s="3">
        <v>41770</v>
      </c>
      <c r="B2235" s="2" t="s">
        <v>26</v>
      </c>
      <c r="C2235" s="2">
        <v>12</v>
      </c>
      <c r="G2235" s="7" t="str">
        <f t="array" ref="G2235">IF(ROWS(K$20:K2235)&gt;$F$6,"",INDEX(A$2:A$10000,SMALL(IF(ISNUMBER(MATCH($B$2:$B$10000,$E$6:$E$22,0)),ROW($C$2:$C$10000)-ROW($C$2)+1),ROWS(K$20:K2235))))</f>
        <v/>
      </c>
      <c r="H2235" s="4" t="str">
        <f t="array" ref="H2235">IF(ROWS(L$20:L2235)&gt;$F$6,"",INDEX(B$2:B$10000,SMALL(IF(ISNUMBER(MATCH($B$2:$B$10000,$E$6:$E$22,0)),ROW($C$2:$C$10000)-ROW($C$2)+1),ROWS(L$20:L2235))))</f>
        <v/>
      </c>
      <c r="I2235" s="4" t="str">
        <f t="array" ref="I2235">IF(ROWS(M$20:M2235)&gt;$F$6,"",INDEX(C$2:C$10000,SMALL(IF(ISNUMBER(MATCH($B$2:$B$10000,$E$6:$E$22,0)),ROW($C$2:$C$10000)-ROW($C$2)+1),ROWS(M$20:M2235))))</f>
        <v/>
      </c>
      <c r="K2235" s="7" t="str">
        <f t="array" ref="K2235">IF(ROWS(K$20:K2235)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2235))))</f>
        <v/>
      </c>
      <c r="L2235" s="4" t="str">
        <f t="array" ref="L2235">IF(ROWS(L$20:L2235)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2235))))</f>
        <v/>
      </c>
      <c r="M2235" s="4" t="str">
        <f t="array" ref="M2235">IF(ROWS(M$20:M2235)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2235))))</f>
        <v/>
      </c>
    </row>
    <row r="2236" spans="1:13" x14ac:dyDescent="0.25">
      <c r="A2236" s="3">
        <v>41289</v>
      </c>
      <c r="B2236" s="2" t="s">
        <v>17</v>
      </c>
      <c r="C2236" s="2">
        <v>22</v>
      </c>
      <c r="G2236" s="7" t="str">
        <f t="array" ref="G2236">IF(ROWS(K$20:K2236)&gt;$F$6,"",INDEX(A$2:A$10000,SMALL(IF(ISNUMBER(MATCH($B$2:$B$10000,$E$6:$E$22,0)),ROW($C$2:$C$10000)-ROW($C$2)+1),ROWS(K$20:K2236))))</f>
        <v/>
      </c>
      <c r="H2236" s="4" t="str">
        <f t="array" ref="H2236">IF(ROWS(L$20:L2236)&gt;$F$6,"",INDEX(B$2:B$10000,SMALL(IF(ISNUMBER(MATCH($B$2:$B$10000,$E$6:$E$22,0)),ROW($C$2:$C$10000)-ROW($C$2)+1),ROWS(L$20:L2236))))</f>
        <v/>
      </c>
      <c r="I2236" s="4" t="str">
        <f t="array" ref="I2236">IF(ROWS(M$20:M2236)&gt;$F$6,"",INDEX(C$2:C$10000,SMALL(IF(ISNUMBER(MATCH($B$2:$B$10000,$E$6:$E$22,0)),ROW($C$2:$C$10000)-ROW($C$2)+1),ROWS(M$20:M2236))))</f>
        <v/>
      </c>
      <c r="K2236" s="7" t="str">
        <f t="array" ref="K2236">IF(ROWS(K$20:K2236)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2236))))</f>
        <v/>
      </c>
      <c r="L2236" s="4" t="str">
        <f t="array" ref="L2236">IF(ROWS(L$20:L2236)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2236))))</f>
        <v/>
      </c>
      <c r="M2236" s="4" t="str">
        <f t="array" ref="M2236">IF(ROWS(M$20:M2236)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2236))))</f>
        <v/>
      </c>
    </row>
    <row r="2237" spans="1:13" x14ac:dyDescent="0.25">
      <c r="A2237" s="3">
        <v>41562</v>
      </c>
      <c r="B2237" s="2" t="s">
        <v>45</v>
      </c>
      <c r="C2237" s="2">
        <v>19</v>
      </c>
      <c r="G2237" s="7" t="str">
        <f t="array" ref="G2237">IF(ROWS(K$20:K2237)&gt;$F$6,"",INDEX(A$2:A$10000,SMALL(IF(ISNUMBER(MATCH($B$2:$B$10000,$E$6:$E$22,0)),ROW($C$2:$C$10000)-ROW($C$2)+1),ROWS(K$20:K2237))))</f>
        <v/>
      </c>
      <c r="H2237" s="4" t="str">
        <f t="array" ref="H2237">IF(ROWS(L$20:L2237)&gt;$F$6,"",INDEX(B$2:B$10000,SMALL(IF(ISNUMBER(MATCH($B$2:$B$10000,$E$6:$E$22,0)),ROW($C$2:$C$10000)-ROW($C$2)+1),ROWS(L$20:L2237))))</f>
        <v/>
      </c>
      <c r="I2237" s="4" t="str">
        <f t="array" ref="I2237">IF(ROWS(M$20:M2237)&gt;$F$6,"",INDEX(C$2:C$10000,SMALL(IF(ISNUMBER(MATCH($B$2:$B$10000,$E$6:$E$22,0)),ROW($C$2:$C$10000)-ROW($C$2)+1),ROWS(M$20:M2237))))</f>
        <v/>
      </c>
      <c r="K2237" s="7" t="str">
        <f t="array" ref="K2237">IF(ROWS(K$20:K2237)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2237))))</f>
        <v/>
      </c>
      <c r="L2237" s="4" t="str">
        <f t="array" ref="L2237">IF(ROWS(L$20:L2237)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2237))))</f>
        <v/>
      </c>
      <c r="M2237" s="4" t="str">
        <f t="array" ref="M2237">IF(ROWS(M$20:M2237)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2237))))</f>
        <v/>
      </c>
    </row>
    <row r="2238" spans="1:13" x14ac:dyDescent="0.25">
      <c r="A2238" s="3">
        <v>41303</v>
      </c>
      <c r="B2238" s="2" t="s">
        <v>24</v>
      </c>
      <c r="C2238" s="2">
        <v>27</v>
      </c>
      <c r="G2238" s="7" t="str">
        <f t="array" ref="G2238">IF(ROWS(K$20:K2238)&gt;$F$6,"",INDEX(A$2:A$10000,SMALL(IF(ISNUMBER(MATCH($B$2:$B$10000,$E$6:$E$22,0)),ROW($C$2:$C$10000)-ROW($C$2)+1),ROWS(K$20:K2238))))</f>
        <v/>
      </c>
      <c r="H2238" s="4" t="str">
        <f t="array" ref="H2238">IF(ROWS(L$20:L2238)&gt;$F$6,"",INDEX(B$2:B$10000,SMALL(IF(ISNUMBER(MATCH($B$2:$B$10000,$E$6:$E$22,0)),ROW($C$2:$C$10000)-ROW($C$2)+1),ROWS(L$20:L2238))))</f>
        <v/>
      </c>
      <c r="I2238" s="4" t="str">
        <f t="array" ref="I2238">IF(ROWS(M$20:M2238)&gt;$F$6,"",INDEX(C$2:C$10000,SMALL(IF(ISNUMBER(MATCH($B$2:$B$10000,$E$6:$E$22,0)),ROW($C$2:$C$10000)-ROW($C$2)+1),ROWS(M$20:M2238))))</f>
        <v/>
      </c>
      <c r="K2238" s="7" t="str">
        <f t="array" ref="K2238">IF(ROWS(K$20:K2238)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2238))))</f>
        <v/>
      </c>
      <c r="L2238" s="4" t="str">
        <f t="array" ref="L2238">IF(ROWS(L$20:L2238)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2238))))</f>
        <v/>
      </c>
      <c r="M2238" s="4" t="str">
        <f t="array" ref="M2238">IF(ROWS(M$20:M2238)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2238))))</f>
        <v/>
      </c>
    </row>
    <row r="2239" spans="1:13" x14ac:dyDescent="0.25">
      <c r="A2239" s="3">
        <v>41814</v>
      </c>
      <c r="B2239" s="2" t="s">
        <v>21</v>
      </c>
      <c r="C2239" s="2">
        <v>7</v>
      </c>
      <c r="G2239" s="7" t="str">
        <f t="array" ref="G2239">IF(ROWS(K$20:K2239)&gt;$F$6,"",INDEX(A$2:A$10000,SMALL(IF(ISNUMBER(MATCH($B$2:$B$10000,$E$6:$E$22,0)),ROW($C$2:$C$10000)-ROW($C$2)+1),ROWS(K$20:K2239))))</f>
        <v/>
      </c>
      <c r="H2239" s="4" t="str">
        <f t="array" ref="H2239">IF(ROWS(L$20:L2239)&gt;$F$6,"",INDEX(B$2:B$10000,SMALL(IF(ISNUMBER(MATCH($B$2:$B$10000,$E$6:$E$22,0)),ROW($C$2:$C$10000)-ROW($C$2)+1),ROWS(L$20:L2239))))</f>
        <v/>
      </c>
      <c r="I2239" s="4" t="str">
        <f t="array" ref="I2239">IF(ROWS(M$20:M2239)&gt;$F$6,"",INDEX(C$2:C$10000,SMALL(IF(ISNUMBER(MATCH($B$2:$B$10000,$E$6:$E$22,0)),ROW($C$2:$C$10000)-ROW($C$2)+1),ROWS(M$20:M2239))))</f>
        <v/>
      </c>
      <c r="K2239" s="7" t="str">
        <f t="array" ref="K2239">IF(ROWS(K$20:K2239)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2239))))</f>
        <v/>
      </c>
      <c r="L2239" s="4" t="str">
        <f t="array" ref="L2239">IF(ROWS(L$20:L2239)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2239))))</f>
        <v/>
      </c>
      <c r="M2239" s="4" t="str">
        <f t="array" ref="M2239">IF(ROWS(M$20:M2239)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2239))))</f>
        <v/>
      </c>
    </row>
    <row r="2240" spans="1:13" x14ac:dyDescent="0.25">
      <c r="A2240" s="3">
        <v>41964</v>
      </c>
      <c r="B2240" s="2" t="s">
        <v>14</v>
      </c>
      <c r="C2240" s="2">
        <v>10</v>
      </c>
      <c r="G2240" s="7" t="str">
        <f t="array" ref="G2240">IF(ROWS(K$20:K2240)&gt;$F$6,"",INDEX(A$2:A$10000,SMALL(IF(ISNUMBER(MATCH($B$2:$B$10000,$E$6:$E$22,0)),ROW($C$2:$C$10000)-ROW($C$2)+1),ROWS(K$20:K2240))))</f>
        <v/>
      </c>
      <c r="H2240" s="4" t="str">
        <f t="array" ref="H2240">IF(ROWS(L$20:L2240)&gt;$F$6,"",INDEX(B$2:B$10000,SMALL(IF(ISNUMBER(MATCH($B$2:$B$10000,$E$6:$E$22,0)),ROW($C$2:$C$10000)-ROW($C$2)+1),ROWS(L$20:L2240))))</f>
        <v/>
      </c>
      <c r="I2240" s="4" t="str">
        <f t="array" ref="I2240">IF(ROWS(M$20:M2240)&gt;$F$6,"",INDEX(C$2:C$10000,SMALL(IF(ISNUMBER(MATCH($B$2:$B$10000,$E$6:$E$22,0)),ROW($C$2:$C$10000)-ROW($C$2)+1),ROWS(M$20:M2240))))</f>
        <v/>
      </c>
      <c r="K2240" s="7" t="str">
        <f t="array" ref="K2240">IF(ROWS(K$20:K2240)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2240))))</f>
        <v/>
      </c>
      <c r="L2240" s="4" t="str">
        <f t="array" ref="L2240">IF(ROWS(L$20:L2240)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2240))))</f>
        <v/>
      </c>
      <c r="M2240" s="4" t="str">
        <f t="array" ref="M2240">IF(ROWS(M$20:M2240)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2240))))</f>
        <v/>
      </c>
    </row>
    <row r="2241" spans="1:13" x14ac:dyDescent="0.25">
      <c r="A2241" s="3">
        <v>41693</v>
      </c>
      <c r="B2241" s="2" t="s">
        <v>40</v>
      </c>
      <c r="C2241" s="2">
        <v>50</v>
      </c>
      <c r="G2241" s="7" t="str">
        <f t="array" ref="G2241">IF(ROWS(K$20:K2241)&gt;$F$6,"",INDEX(A$2:A$10000,SMALL(IF(ISNUMBER(MATCH($B$2:$B$10000,$E$6:$E$22,0)),ROW($C$2:$C$10000)-ROW($C$2)+1),ROWS(K$20:K2241))))</f>
        <v/>
      </c>
      <c r="H2241" s="4" t="str">
        <f t="array" ref="H2241">IF(ROWS(L$20:L2241)&gt;$F$6,"",INDEX(B$2:B$10000,SMALL(IF(ISNUMBER(MATCH($B$2:$B$10000,$E$6:$E$22,0)),ROW($C$2:$C$10000)-ROW($C$2)+1),ROWS(L$20:L2241))))</f>
        <v/>
      </c>
      <c r="I2241" s="4" t="str">
        <f t="array" ref="I2241">IF(ROWS(M$20:M2241)&gt;$F$6,"",INDEX(C$2:C$10000,SMALL(IF(ISNUMBER(MATCH($B$2:$B$10000,$E$6:$E$22,0)),ROW($C$2:$C$10000)-ROW($C$2)+1),ROWS(M$20:M2241))))</f>
        <v/>
      </c>
      <c r="K2241" s="7" t="str">
        <f t="array" ref="K2241">IF(ROWS(K$20:K2241)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2241))))</f>
        <v/>
      </c>
      <c r="L2241" s="4" t="str">
        <f t="array" ref="L2241">IF(ROWS(L$20:L2241)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2241))))</f>
        <v/>
      </c>
      <c r="M2241" s="4" t="str">
        <f t="array" ref="M2241">IF(ROWS(M$20:M2241)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2241))))</f>
        <v/>
      </c>
    </row>
    <row r="2242" spans="1:13" x14ac:dyDescent="0.25">
      <c r="A2242" s="3">
        <v>41534</v>
      </c>
      <c r="B2242" s="2" t="s">
        <v>27</v>
      </c>
      <c r="C2242" s="2">
        <v>26</v>
      </c>
      <c r="G2242" s="7" t="str">
        <f t="array" ref="G2242">IF(ROWS(K$20:K2242)&gt;$F$6,"",INDEX(A$2:A$10000,SMALL(IF(ISNUMBER(MATCH($B$2:$B$10000,$E$6:$E$22,0)),ROW($C$2:$C$10000)-ROW($C$2)+1),ROWS(K$20:K2242))))</f>
        <v/>
      </c>
      <c r="H2242" s="4" t="str">
        <f t="array" ref="H2242">IF(ROWS(L$20:L2242)&gt;$F$6,"",INDEX(B$2:B$10000,SMALL(IF(ISNUMBER(MATCH($B$2:$B$10000,$E$6:$E$22,0)),ROW($C$2:$C$10000)-ROW($C$2)+1),ROWS(L$20:L2242))))</f>
        <v/>
      </c>
      <c r="I2242" s="4" t="str">
        <f t="array" ref="I2242">IF(ROWS(M$20:M2242)&gt;$F$6,"",INDEX(C$2:C$10000,SMALL(IF(ISNUMBER(MATCH($B$2:$B$10000,$E$6:$E$22,0)),ROW($C$2:$C$10000)-ROW($C$2)+1),ROWS(M$20:M2242))))</f>
        <v/>
      </c>
      <c r="K2242" s="7" t="str">
        <f t="array" ref="K2242">IF(ROWS(K$20:K2242)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2242))))</f>
        <v/>
      </c>
      <c r="L2242" s="4" t="str">
        <f t="array" ref="L2242">IF(ROWS(L$20:L2242)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2242))))</f>
        <v/>
      </c>
      <c r="M2242" s="4" t="str">
        <f t="array" ref="M2242">IF(ROWS(M$20:M2242)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2242))))</f>
        <v/>
      </c>
    </row>
    <row r="2243" spans="1:13" x14ac:dyDescent="0.25">
      <c r="A2243" s="3">
        <v>41627</v>
      </c>
      <c r="B2243" s="2" t="s">
        <v>37</v>
      </c>
      <c r="C2243" s="2">
        <v>32</v>
      </c>
      <c r="G2243" s="7" t="str">
        <f t="array" ref="G2243">IF(ROWS(K$20:K2243)&gt;$F$6,"",INDEX(A$2:A$10000,SMALL(IF(ISNUMBER(MATCH($B$2:$B$10000,$E$6:$E$22,0)),ROW($C$2:$C$10000)-ROW($C$2)+1),ROWS(K$20:K2243))))</f>
        <v/>
      </c>
      <c r="H2243" s="4" t="str">
        <f t="array" ref="H2243">IF(ROWS(L$20:L2243)&gt;$F$6,"",INDEX(B$2:B$10000,SMALL(IF(ISNUMBER(MATCH($B$2:$B$10000,$E$6:$E$22,0)),ROW($C$2:$C$10000)-ROW($C$2)+1),ROWS(L$20:L2243))))</f>
        <v/>
      </c>
      <c r="I2243" s="4" t="str">
        <f t="array" ref="I2243">IF(ROWS(M$20:M2243)&gt;$F$6,"",INDEX(C$2:C$10000,SMALL(IF(ISNUMBER(MATCH($B$2:$B$10000,$E$6:$E$22,0)),ROW($C$2:$C$10000)-ROW($C$2)+1),ROWS(M$20:M2243))))</f>
        <v/>
      </c>
      <c r="K2243" s="7" t="str">
        <f t="array" ref="K2243">IF(ROWS(K$20:K2243)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2243))))</f>
        <v/>
      </c>
      <c r="L2243" s="4" t="str">
        <f t="array" ref="L2243">IF(ROWS(L$20:L2243)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2243))))</f>
        <v/>
      </c>
      <c r="M2243" s="4" t="str">
        <f t="array" ref="M2243">IF(ROWS(M$20:M2243)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2243))))</f>
        <v/>
      </c>
    </row>
    <row r="2244" spans="1:13" x14ac:dyDescent="0.25">
      <c r="A2244" s="3">
        <v>41957</v>
      </c>
      <c r="B2244" s="2" t="s">
        <v>47</v>
      </c>
      <c r="C2244" s="2">
        <v>38</v>
      </c>
      <c r="G2244" s="7" t="str">
        <f t="array" ref="G2244">IF(ROWS(K$20:K2244)&gt;$F$6,"",INDEX(A$2:A$10000,SMALL(IF(ISNUMBER(MATCH($B$2:$B$10000,$E$6:$E$22,0)),ROW($C$2:$C$10000)-ROW($C$2)+1),ROWS(K$20:K2244))))</f>
        <v/>
      </c>
      <c r="H2244" s="4" t="str">
        <f t="array" ref="H2244">IF(ROWS(L$20:L2244)&gt;$F$6,"",INDEX(B$2:B$10000,SMALL(IF(ISNUMBER(MATCH($B$2:$B$10000,$E$6:$E$22,0)),ROW($C$2:$C$10000)-ROW($C$2)+1),ROWS(L$20:L2244))))</f>
        <v/>
      </c>
      <c r="I2244" s="4" t="str">
        <f t="array" ref="I2244">IF(ROWS(M$20:M2244)&gt;$F$6,"",INDEX(C$2:C$10000,SMALL(IF(ISNUMBER(MATCH($B$2:$B$10000,$E$6:$E$22,0)),ROW($C$2:$C$10000)-ROW($C$2)+1),ROWS(M$20:M2244))))</f>
        <v/>
      </c>
      <c r="K2244" s="7" t="str">
        <f t="array" ref="K2244">IF(ROWS(K$20:K2244)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2244))))</f>
        <v/>
      </c>
      <c r="L2244" s="4" t="str">
        <f t="array" ref="L2244">IF(ROWS(L$20:L2244)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2244))))</f>
        <v/>
      </c>
      <c r="M2244" s="4" t="str">
        <f t="array" ref="M2244">IF(ROWS(M$20:M2244)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2244))))</f>
        <v/>
      </c>
    </row>
    <row r="2245" spans="1:13" x14ac:dyDescent="0.25">
      <c r="A2245" s="3">
        <v>41959</v>
      </c>
      <c r="B2245" s="2" t="s">
        <v>11</v>
      </c>
      <c r="C2245" s="2">
        <v>26</v>
      </c>
      <c r="G2245" s="7" t="str">
        <f t="array" ref="G2245">IF(ROWS(K$20:K2245)&gt;$F$6,"",INDEX(A$2:A$10000,SMALL(IF(ISNUMBER(MATCH($B$2:$B$10000,$E$6:$E$22,0)),ROW($C$2:$C$10000)-ROW($C$2)+1),ROWS(K$20:K2245))))</f>
        <v/>
      </c>
      <c r="H2245" s="4" t="str">
        <f t="array" ref="H2245">IF(ROWS(L$20:L2245)&gt;$F$6,"",INDEX(B$2:B$10000,SMALL(IF(ISNUMBER(MATCH($B$2:$B$10000,$E$6:$E$22,0)),ROW($C$2:$C$10000)-ROW($C$2)+1),ROWS(L$20:L2245))))</f>
        <v/>
      </c>
      <c r="I2245" s="4" t="str">
        <f t="array" ref="I2245">IF(ROWS(M$20:M2245)&gt;$F$6,"",INDEX(C$2:C$10000,SMALL(IF(ISNUMBER(MATCH($B$2:$B$10000,$E$6:$E$22,0)),ROW($C$2:$C$10000)-ROW($C$2)+1),ROWS(M$20:M2245))))</f>
        <v/>
      </c>
      <c r="K2245" s="7" t="str">
        <f t="array" ref="K2245">IF(ROWS(K$20:K2245)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2245))))</f>
        <v/>
      </c>
      <c r="L2245" s="4" t="str">
        <f t="array" ref="L2245">IF(ROWS(L$20:L2245)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2245))))</f>
        <v/>
      </c>
      <c r="M2245" s="4" t="str">
        <f t="array" ref="M2245">IF(ROWS(M$20:M2245)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2245))))</f>
        <v/>
      </c>
    </row>
    <row r="2246" spans="1:13" x14ac:dyDescent="0.25">
      <c r="A2246" s="3">
        <v>41998</v>
      </c>
      <c r="B2246" s="2" t="s">
        <v>13</v>
      </c>
      <c r="C2246" s="2">
        <v>11</v>
      </c>
      <c r="G2246" s="7" t="str">
        <f t="array" ref="G2246">IF(ROWS(K$20:K2246)&gt;$F$6,"",INDEX(A$2:A$10000,SMALL(IF(ISNUMBER(MATCH($B$2:$B$10000,$E$6:$E$22,0)),ROW($C$2:$C$10000)-ROW($C$2)+1),ROWS(K$20:K2246))))</f>
        <v/>
      </c>
      <c r="H2246" s="4" t="str">
        <f t="array" ref="H2246">IF(ROWS(L$20:L2246)&gt;$F$6,"",INDEX(B$2:B$10000,SMALL(IF(ISNUMBER(MATCH($B$2:$B$10000,$E$6:$E$22,0)),ROW($C$2:$C$10000)-ROW($C$2)+1),ROWS(L$20:L2246))))</f>
        <v/>
      </c>
      <c r="I2246" s="4" t="str">
        <f t="array" ref="I2246">IF(ROWS(M$20:M2246)&gt;$F$6,"",INDEX(C$2:C$10000,SMALL(IF(ISNUMBER(MATCH($B$2:$B$10000,$E$6:$E$22,0)),ROW($C$2:$C$10000)-ROW($C$2)+1),ROWS(M$20:M2246))))</f>
        <v/>
      </c>
      <c r="K2246" s="7" t="str">
        <f t="array" ref="K2246">IF(ROWS(K$20:K2246)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2246))))</f>
        <v/>
      </c>
      <c r="L2246" s="4" t="str">
        <f t="array" ref="L2246">IF(ROWS(L$20:L2246)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2246))))</f>
        <v/>
      </c>
      <c r="M2246" s="4" t="str">
        <f t="array" ref="M2246">IF(ROWS(M$20:M2246)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2246))))</f>
        <v/>
      </c>
    </row>
    <row r="2247" spans="1:13" x14ac:dyDescent="0.25">
      <c r="A2247" s="3">
        <v>41831</v>
      </c>
      <c r="B2247" s="2" t="s">
        <v>5</v>
      </c>
      <c r="C2247" s="2">
        <v>3</v>
      </c>
      <c r="G2247" s="7" t="str">
        <f t="array" ref="G2247">IF(ROWS(K$20:K2247)&gt;$F$6,"",INDEX(A$2:A$10000,SMALL(IF(ISNUMBER(MATCH($B$2:$B$10000,$E$6:$E$22,0)),ROW($C$2:$C$10000)-ROW($C$2)+1),ROWS(K$20:K2247))))</f>
        <v/>
      </c>
      <c r="H2247" s="4" t="str">
        <f t="array" ref="H2247">IF(ROWS(L$20:L2247)&gt;$F$6,"",INDEX(B$2:B$10000,SMALL(IF(ISNUMBER(MATCH($B$2:$B$10000,$E$6:$E$22,0)),ROW($C$2:$C$10000)-ROW($C$2)+1),ROWS(L$20:L2247))))</f>
        <v/>
      </c>
      <c r="I2247" s="4" t="str">
        <f t="array" ref="I2247">IF(ROWS(M$20:M2247)&gt;$F$6,"",INDEX(C$2:C$10000,SMALL(IF(ISNUMBER(MATCH($B$2:$B$10000,$E$6:$E$22,0)),ROW($C$2:$C$10000)-ROW($C$2)+1),ROWS(M$20:M2247))))</f>
        <v/>
      </c>
      <c r="K2247" s="7" t="str">
        <f t="array" ref="K2247">IF(ROWS(K$20:K2247)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2247))))</f>
        <v/>
      </c>
      <c r="L2247" s="4" t="str">
        <f t="array" ref="L2247">IF(ROWS(L$20:L2247)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2247))))</f>
        <v/>
      </c>
      <c r="M2247" s="4" t="str">
        <f t="array" ref="M2247">IF(ROWS(M$20:M2247)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2247))))</f>
        <v/>
      </c>
    </row>
    <row r="2248" spans="1:13" x14ac:dyDescent="0.25">
      <c r="A2248" s="3">
        <v>41405</v>
      </c>
      <c r="B2248" s="2" t="s">
        <v>48</v>
      </c>
      <c r="C2248" s="2">
        <v>17</v>
      </c>
      <c r="G2248" s="7" t="str">
        <f t="array" ref="G2248">IF(ROWS(K$20:K2248)&gt;$F$6,"",INDEX(A$2:A$10000,SMALL(IF(ISNUMBER(MATCH($B$2:$B$10000,$E$6:$E$22,0)),ROW($C$2:$C$10000)-ROW($C$2)+1),ROWS(K$20:K2248))))</f>
        <v/>
      </c>
      <c r="H2248" s="4" t="str">
        <f t="array" ref="H2248">IF(ROWS(L$20:L2248)&gt;$F$6,"",INDEX(B$2:B$10000,SMALL(IF(ISNUMBER(MATCH($B$2:$B$10000,$E$6:$E$22,0)),ROW($C$2:$C$10000)-ROW($C$2)+1),ROWS(L$20:L2248))))</f>
        <v/>
      </c>
      <c r="I2248" s="4" t="str">
        <f t="array" ref="I2248">IF(ROWS(M$20:M2248)&gt;$F$6,"",INDEX(C$2:C$10000,SMALL(IF(ISNUMBER(MATCH($B$2:$B$10000,$E$6:$E$22,0)),ROW($C$2:$C$10000)-ROW($C$2)+1),ROWS(M$20:M2248))))</f>
        <v/>
      </c>
      <c r="K2248" s="7" t="str">
        <f t="array" ref="K2248">IF(ROWS(K$20:K2248)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2248))))</f>
        <v/>
      </c>
      <c r="L2248" s="4" t="str">
        <f t="array" ref="L2248">IF(ROWS(L$20:L2248)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2248))))</f>
        <v/>
      </c>
      <c r="M2248" s="4" t="str">
        <f t="array" ref="M2248">IF(ROWS(M$20:M2248)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2248))))</f>
        <v/>
      </c>
    </row>
    <row r="2249" spans="1:13" x14ac:dyDescent="0.25">
      <c r="A2249" s="3">
        <v>41294</v>
      </c>
      <c r="B2249" s="2" t="s">
        <v>7</v>
      </c>
      <c r="C2249" s="2">
        <v>30</v>
      </c>
      <c r="G2249" s="7" t="str">
        <f t="array" ref="G2249">IF(ROWS(K$20:K2249)&gt;$F$6,"",INDEX(A$2:A$10000,SMALL(IF(ISNUMBER(MATCH($B$2:$B$10000,$E$6:$E$22,0)),ROW($C$2:$C$10000)-ROW($C$2)+1),ROWS(K$20:K2249))))</f>
        <v/>
      </c>
      <c r="H2249" s="4" t="str">
        <f t="array" ref="H2249">IF(ROWS(L$20:L2249)&gt;$F$6,"",INDEX(B$2:B$10000,SMALL(IF(ISNUMBER(MATCH($B$2:$B$10000,$E$6:$E$22,0)),ROW($C$2:$C$10000)-ROW($C$2)+1),ROWS(L$20:L2249))))</f>
        <v/>
      </c>
      <c r="I2249" s="4" t="str">
        <f t="array" ref="I2249">IF(ROWS(M$20:M2249)&gt;$F$6,"",INDEX(C$2:C$10000,SMALL(IF(ISNUMBER(MATCH($B$2:$B$10000,$E$6:$E$22,0)),ROW($C$2:$C$10000)-ROW($C$2)+1),ROWS(M$20:M2249))))</f>
        <v/>
      </c>
      <c r="K2249" s="7" t="str">
        <f t="array" ref="K2249">IF(ROWS(K$20:K2249)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2249))))</f>
        <v/>
      </c>
      <c r="L2249" s="4" t="str">
        <f t="array" ref="L2249">IF(ROWS(L$20:L2249)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2249))))</f>
        <v/>
      </c>
      <c r="M2249" s="4" t="str">
        <f t="array" ref="M2249">IF(ROWS(M$20:M2249)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2249))))</f>
        <v/>
      </c>
    </row>
    <row r="2250" spans="1:13" x14ac:dyDescent="0.25">
      <c r="A2250" s="3">
        <v>41563</v>
      </c>
      <c r="B2250" s="2" t="s">
        <v>7</v>
      </c>
      <c r="C2250" s="2">
        <v>35</v>
      </c>
      <c r="G2250" s="7" t="str">
        <f t="array" ref="G2250">IF(ROWS(K$20:K2250)&gt;$F$6,"",INDEX(A$2:A$10000,SMALL(IF(ISNUMBER(MATCH($B$2:$B$10000,$E$6:$E$22,0)),ROW($C$2:$C$10000)-ROW($C$2)+1),ROWS(K$20:K2250))))</f>
        <v/>
      </c>
      <c r="H2250" s="4" t="str">
        <f t="array" ref="H2250">IF(ROWS(L$20:L2250)&gt;$F$6,"",INDEX(B$2:B$10000,SMALL(IF(ISNUMBER(MATCH($B$2:$B$10000,$E$6:$E$22,0)),ROW($C$2:$C$10000)-ROW($C$2)+1),ROWS(L$20:L2250))))</f>
        <v/>
      </c>
      <c r="I2250" s="4" t="str">
        <f t="array" ref="I2250">IF(ROWS(M$20:M2250)&gt;$F$6,"",INDEX(C$2:C$10000,SMALL(IF(ISNUMBER(MATCH($B$2:$B$10000,$E$6:$E$22,0)),ROW($C$2:$C$10000)-ROW($C$2)+1),ROWS(M$20:M2250))))</f>
        <v/>
      </c>
      <c r="K2250" s="7" t="str">
        <f t="array" ref="K2250">IF(ROWS(K$20:K2250)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2250))))</f>
        <v/>
      </c>
      <c r="L2250" s="4" t="str">
        <f t="array" ref="L2250">IF(ROWS(L$20:L2250)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2250))))</f>
        <v/>
      </c>
      <c r="M2250" s="4" t="str">
        <f t="array" ref="M2250">IF(ROWS(M$20:M2250)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2250))))</f>
        <v/>
      </c>
    </row>
    <row r="2251" spans="1:13" x14ac:dyDescent="0.25">
      <c r="A2251" s="3">
        <v>41335</v>
      </c>
      <c r="B2251" s="2" t="s">
        <v>33</v>
      </c>
      <c r="C2251" s="2">
        <v>27</v>
      </c>
      <c r="G2251" s="7" t="str">
        <f t="array" ref="G2251">IF(ROWS(K$20:K2251)&gt;$F$6,"",INDEX(A$2:A$10000,SMALL(IF(ISNUMBER(MATCH($B$2:$B$10000,$E$6:$E$22,0)),ROW($C$2:$C$10000)-ROW($C$2)+1),ROWS(K$20:K2251))))</f>
        <v/>
      </c>
      <c r="H2251" s="4" t="str">
        <f t="array" ref="H2251">IF(ROWS(L$20:L2251)&gt;$F$6,"",INDEX(B$2:B$10000,SMALL(IF(ISNUMBER(MATCH($B$2:$B$10000,$E$6:$E$22,0)),ROW($C$2:$C$10000)-ROW($C$2)+1),ROWS(L$20:L2251))))</f>
        <v/>
      </c>
      <c r="I2251" s="4" t="str">
        <f t="array" ref="I2251">IF(ROWS(M$20:M2251)&gt;$F$6,"",INDEX(C$2:C$10000,SMALL(IF(ISNUMBER(MATCH($B$2:$B$10000,$E$6:$E$22,0)),ROW($C$2:$C$10000)-ROW($C$2)+1),ROWS(M$20:M2251))))</f>
        <v/>
      </c>
      <c r="K2251" s="7" t="str">
        <f t="array" ref="K2251">IF(ROWS(K$20:K2251)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2251))))</f>
        <v/>
      </c>
      <c r="L2251" s="4" t="str">
        <f t="array" ref="L2251">IF(ROWS(L$20:L2251)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2251))))</f>
        <v/>
      </c>
      <c r="M2251" s="4" t="str">
        <f t="array" ref="M2251">IF(ROWS(M$20:M2251)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2251))))</f>
        <v/>
      </c>
    </row>
    <row r="2252" spans="1:13" x14ac:dyDescent="0.25">
      <c r="A2252" s="3">
        <v>41963</v>
      </c>
      <c r="B2252" s="2" t="s">
        <v>50</v>
      </c>
      <c r="C2252" s="2">
        <v>24</v>
      </c>
      <c r="G2252" s="7" t="str">
        <f t="array" ref="G2252">IF(ROWS(K$20:K2252)&gt;$F$6,"",INDEX(A$2:A$10000,SMALL(IF(ISNUMBER(MATCH($B$2:$B$10000,$E$6:$E$22,0)),ROW($C$2:$C$10000)-ROW($C$2)+1),ROWS(K$20:K2252))))</f>
        <v/>
      </c>
      <c r="H2252" s="4" t="str">
        <f t="array" ref="H2252">IF(ROWS(L$20:L2252)&gt;$F$6,"",INDEX(B$2:B$10000,SMALL(IF(ISNUMBER(MATCH($B$2:$B$10000,$E$6:$E$22,0)),ROW($C$2:$C$10000)-ROW($C$2)+1),ROWS(L$20:L2252))))</f>
        <v/>
      </c>
      <c r="I2252" s="4" t="str">
        <f t="array" ref="I2252">IF(ROWS(M$20:M2252)&gt;$F$6,"",INDEX(C$2:C$10000,SMALL(IF(ISNUMBER(MATCH($B$2:$B$10000,$E$6:$E$22,0)),ROW($C$2:$C$10000)-ROW($C$2)+1),ROWS(M$20:M2252))))</f>
        <v/>
      </c>
      <c r="K2252" s="7" t="str">
        <f t="array" ref="K2252">IF(ROWS(K$20:K2252)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2252))))</f>
        <v/>
      </c>
      <c r="L2252" s="4" t="str">
        <f t="array" ref="L2252">IF(ROWS(L$20:L2252)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2252))))</f>
        <v/>
      </c>
      <c r="M2252" s="4" t="str">
        <f t="array" ref="M2252">IF(ROWS(M$20:M2252)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2252))))</f>
        <v/>
      </c>
    </row>
    <row r="2253" spans="1:13" x14ac:dyDescent="0.25">
      <c r="A2253" s="3">
        <v>41907</v>
      </c>
      <c r="B2253" s="2" t="s">
        <v>17</v>
      </c>
      <c r="C2253" s="2">
        <v>41</v>
      </c>
      <c r="G2253" s="7" t="str">
        <f t="array" ref="G2253">IF(ROWS(K$20:K2253)&gt;$F$6,"",INDEX(A$2:A$10000,SMALL(IF(ISNUMBER(MATCH($B$2:$B$10000,$E$6:$E$22,0)),ROW($C$2:$C$10000)-ROW($C$2)+1),ROWS(K$20:K2253))))</f>
        <v/>
      </c>
      <c r="H2253" s="4" t="str">
        <f t="array" ref="H2253">IF(ROWS(L$20:L2253)&gt;$F$6,"",INDEX(B$2:B$10000,SMALL(IF(ISNUMBER(MATCH($B$2:$B$10000,$E$6:$E$22,0)),ROW($C$2:$C$10000)-ROW($C$2)+1),ROWS(L$20:L2253))))</f>
        <v/>
      </c>
      <c r="I2253" s="4" t="str">
        <f t="array" ref="I2253">IF(ROWS(M$20:M2253)&gt;$F$6,"",INDEX(C$2:C$10000,SMALL(IF(ISNUMBER(MATCH($B$2:$B$10000,$E$6:$E$22,0)),ROW($C$2:$C$10000)-ROW($C$2)+1),ROWS(M$20:M2253))))</f>
        <v/>
      </c>
      <c r="K2253" s="7" t="str">
        <f t="array" ref="K2253">IF(ROWS(K$20:K2253)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2253))))</f>
        <v/>
      </c>
      <c r="L2253" s="4" t="str">
        <f t="array" ref="L2253">IF(ROWS(L$20:L2253)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2253))))</f>
        <v/>
      </c>
      <c r="M2253" s="4" t="str">
        <f t="array" ref="M2253">IF(ROWS(M$20:M2253)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2253))))</f>
        <v/>
      </c>
    </row>
    <row r="2254" spans="1:13" x14ac:dyDescent="0.25">
      <c r="A2254" s="3">
        <v>41284</v>
      </c>
      <c r="B2254" s="2" t="s">
        <v>33</v>
      </c>
      <c r="C2254" s="2">
        <v>28</v>
      </c>
      <c r="G2254" s="7" t="str">
        <f t="array" ref="G2254">IF(ROWS(K$20:K2254)&gt;$F$6,"",INDEX(A$2:A$10000,SMALL(IF(ISNUMBER(MATCH($B$2:$B$10000,$E$6:$E$22,0)),ROW($C$2:$C$10000)-ROW($C$2)+1),ROWS(K$20:K2254))))</f>
        <v/>
      </c>
      <c r="H2254" s="4" t="str">
        <f t="array" ref="H2254">IF(ROWS(L$20:L2254)&gt;$F$6,"",INDEX(B$2:B$10000,SMALL(IF(ISNUMBER(MATCH($B$2:$B$10000,$E$6:$E$22,0)),ROW($C$2:$C$10000)-ROW($C$2)+1),ROWS(L$20:L2254))))</f>
        <v/>
      </c>
      <c r="I2254" s="4" t="str">
        <f t="array" ref="I2254">IF(ROWS(M$20:M2254)&gt;$F$6,"",INDEX(C$2:C$10000,SMALL(IF(ISNUMBER(MATCH($B$2:$B$10000,$E$6:$E$22,0)),ROW($C$2:$C$10000)-ROW($C$2)+1),ROWS(M$20:M2254))))</f>
        <v/>
      </c>
      <c r="K2254" s="7" t="str">
        <f t="array" ref="K2254">IF(ROWS(K$20:K2254)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2254))))</f>
        <v/>
      </c>
      <c r="L2254" s="4" t="str">
        <f t="array" ref="L2254">IF(ROWS(L$20:L2254)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2254))))</f>
        <v/>
      </c>
      <c r="M2254" s="4" t="str">
        <f t="array" ref="M2254">IF(ROWS(M$20:M2254)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2254))))</f>
        <v/>
      </c>
    </row>
    <row r="2255" spans="1:13" x14ac:dyDescent="0.25">
      <c r="A2255" s="3">
        <v>41804</v>
      </c>
      <c r="B2255" s="2" t="s">
        <v>40</v>
      </c>
      <c r="C2255" s="2">
        <v>51</v>
      </c>
      <c r="G2255" s="7" t="str">
        <f t="array" ref="G2255">IF(ROWS(K$20:K2255)&gt;$F$6,"",INDEX(A$2:A$10000,SMALL(IF(ISNUMBER(MATCH($B$2:$B$10000,$E$6:$E$22,0)),ROW($C$2:$C$10000)-ROW($C$2)+1),ROWS(K$20:K2255))))</f>
        <v/>
      </c>
      <c r="H2255" s="4" t="str">
        <f t="array" ref="H2255">IF(ROWS(L$20:L2255)&gt;$F$6,"",INDEX(B$2:B$10000,SMALL(IF(ISNUMBER(MATCH($B$2:$B$10000,$E$6:$E$22,0)),ROW($C$2:$C$10000)-ROW($C$2)+1),ROWS(L$20:L2255))))</f>
        <v/>
      </c>
      <c r="I2255" s="4" t="str">
        <f t="array" ref="I2255">IF(ROWS(M$20:M2255)&gt;$F$6,"",INDEX(C$2:C$10000,SMALL(IF(ISNUMBER(MATCH($B$2:$B$10000,$E$6:$E$22,0)),ROW($C$2:$C$10000)-ROW($C$2)+1),ROWS(M$20:M2255))))</f>
        <v/>
      </c>
      <c r="K2255" s="7" t="str">
        <f t="array" ref="K2255">IF(ROWS(K$20:K2255)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2255))))</f>
        <v/>
      </c>
      <c r="L2255" s="4" t="str">
        <f t="array" ref="L2255">IF(ROWS(L$20:L2255)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2255))))</f>
        <v/>
      </c>
      <c r="M2255" s="4" t="str">
        <f t="array" ref="M2255">IF(ROWS(M$20:M2255)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2255))))</f>
        <v/>
      </c>
    </row>
    <row r="2256" spans="1:13" x14ac:dyDescent="0.25">
      <c r="A2256" s="3">
        <v>41563</v>
      </c>
      <c r="B2256" s="2" t="s">
        <v>9</v>
      </c>
      <c r="C2256" s="2">
        <v>13</v>
      </c>
      <c r="G2256" s="7" t="str">
        <f t="array" ref="G2256">IF(ROWS(K$20:K2256)&gt;$F$6,"",INDEX(A$2:A$10000,SMALL(IF(ISNUMBER(MATCH($B$2:$B$10000,$E$6:$E$22,0)),ROW($C$2:$C$10000)-ROW($C$2)+1),ROWS(K$20:K2256))))</f>
        <v/>
      </c>
      <c r="H2256" s="4" t="str">
        <f t="array" ref="H2256">IF(ROWS(L$20:L2256)&gt;$F$6,"",INDEX(B$2:B$10000,SMALL(IF(ISNUMBER(MATCH($B$2:$B$10000,$E$6:$E$22,0)),ROW($C$2:$C$10000)-ROW($C$2)+1),ROWS(L$20:L2256))))</f>
        <v/>
      </c>
      <c r="I2256" s="4" t="str">
        <f t="array" ref="I2256">IF(ROWS(M$20:M2256)&gt;$F$6,"",INDEX(C$2:C$10000,SMALL(IF(ISNUMBER(MATCH($B$2:$B$10000,$E$6:$E$22,0)),ROW($C$2:$C$10000)-ROW($C$2)+1),ROWS(M$20:M2256))))</f>
        <v/>
      </c>
      <c r="K2256" s="7" t="str">
        <f t="array" ref="K2256">IF(ROWS(K$20:K2256)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2256))))</f>
        <v/>
      </c>
      <c r="L2256" s="4" t="str">
        <f t="array" ref="L2256">IF(ROWS(L$20:L2256)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2256))))</f>
        <v/>
      </c>
      <c r="M2256" s="4" t="str">
        <f t="array" ref="M2256">IF(ROWS(M$20:M2256)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2256))))</f>
        <v/>
      </c>
    </row>
    <row r="2257" spans="1:13" x14ac:dyDescent="0.25">
      <c r="A2257" s="3">
        <v>41748</v>
      </c>
      <c r="B2257" s="2" t="s">
        <v>11</v>
      </c>
      <c r="C2257" s="2">
        <v>6</v>
      </c>
      <c r="G2257" s="7" t="str">
        <f t="array" ref="G2257">IF(ROWS(K$20:K2257)&gt;$F$6,"",INDEX(A$2:A$10000,SMALL(IF(ISNUMBER(MATCH($B$2:$B$10000,$E$6:$E$22,0)),ROW($C$2:$C$10000)-ROW($C$2)+1),ROWS(K$20:K2257))))</f>
        <v/>
      </c>
      <c r="H2257" s="4" t="str">
        <f t="array" ref="H2257">IF(ROWS(L$20:L2257)&gt;$F$6,"",INDEX(B$2:B$10000,SMALL(IF(ISNUMBER(MATCH($B$2:$B$10000,$E$6:$E$22,0)),ROW($C$2:$C$10000)-ROW($C$2)+1),ROWS(L$20:L2257))))</f>
        <v/>
      </c>
      <c r="I2257" s="4" t="str">
        <f t="array" ref="I2257">IF(ROWS(M$20:M2257)&gt;$F$6,"",INDEX(C$2:C$10000,SMALL(IF(ISNUMBER(MATCH($B$2:$B$10000,$E$6:$E$22,0)),ROW($C$2:$C$10000)-ROW($C$2)+1),ROWS(M$20:M2257))))</f>
        <v/>
      </c>
      <c r="K2257" s="7" t="str">
        <f t="array" ref="K2257">IF(ROWS(K$20:K2257)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2257))))</f>
        <v/>
      </c>
      <c r="L2257" s="4" t="str">
        <f t="array" ref="L2257">IF(ROWS(L$20:L2257)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2257))))</f>
        <v/>
      </c>
      <c r="M2257" s="4" t="str">
        <f t="array" ref="M2257">IF(ROWS(M$20:M2257)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2257))))</f>
        <v/>
      </c>
    </row>
    <row r="2258" spans="1:13" x14ac:dyDescent="0.25">
      <c r="A2258" s="3">
        <v>41644</v>
      </c>
      <c r="B2258" s="2" t="s">
        <v>3</v>
      </c>
      <c r="C2258" s="2">
        <v>25</v>
      </c>
      <c r="G2258" s="7" t="str">
        <f t="array" ref="G2258">IF(ROWS(K$20:K2258)&gt;$F$6,"",INDEX(A$2:A$10000,SMALL(IF(ISNUMBER(MATCH($B$2:$B$10000,$E$6:$E$22,0)),ROW($C$2:$C$10000)-ROW($C$2)+1),ROWS(K$20:K2258))))</f>
        <v/>
      </c>
      <c r="H2258" s="4" t="str">
        <f t="array" ref="H2258">IF(ROWS(L$20:L2258)&gt;$F$6,"",INDEX(B$2:B$10000,SMALL(IF(ISNUMBER(MATCH($B$2:$B$10000,$E$6:$E$22,0)),ROW($C$2:$C$10000)-ROW($C$2)+1),ROWS(L$20:L2258))))</f>
        <v/>
      </c>
      <c r="I2258" s="4" t="str">
        <f t="array" ref="I2258">IF(ROWS(M$20:M2258)&gt;$F$6,"",INDEX(C$2:C$10000,SMALL(IF(ISNUMBER(MATCH($B$2:$B$10000,$E$6:$E$22,0)),ROW($C$2:$C$10000)-ROW($C$2)+1),ROWS(M$20:M2258))))</f>
        <v/>
      </c>
      <c r="K2258" s="7" t="str">
        <f t="array" ref="K2258">IF(ROWS(K$20:K2258)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2258))))</f>
        <v/>
      </c>
      <c r="L2258" s="4" t="str">
        <f t="array" ref="L2258">IF(ROWS(L$20:L2258)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2258))))</f>
        <v/>
      </c>
      <c r="M2258" s="4" t="str">
        <f t="array" ref="M2258">IF(ROWS(M$20:M2258)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2258))))</f>
        <v/>
      </c>
    </row>
    <row r="2259" spans="1:13" x14ac:dyDescent="0.25">
      <c r="A2259" s="3">
        <v>41761</v>
      </c>
      <c r="B2259" s="2" t="s">
        <v>21</v>
      </c>
      <c r="C2259" s="2">
        <v>20</v>
      </c>
      <c r="G2259" s="7" t="str">
        <f t="array" ref="G2259">IF(ROWS(K$20:K2259)&gt;$F$6,"",INDEX(A$2:A$10000,SMALL(IF(ISNUMBER(MATCH($B$2:$B$10000,$E$6:$E$22,0)),ROW($C$2:$C$10000)-ROW($C$2)+1),ROWS(K$20:K2259))))</f>
        <v/>
      </c>
      <c r="H2259" s="4" t="str">
        <f t="array" ref="H2259">IF(ROWS(L$20:L2259)&gt;$F$6,"",INDEX(B$2:B$10000,SMALL(IF(ISNUMBER(MATCH($B$2:$B$10000,$E$6:$E$22,0)),ROW($C$2:$C$10000)-ROW($C$2)+1),ROWS(L$20:L2259))))</f>
        <v/>
      </c>
      <c r="I2259" s="4" t="str">
        <f t="array" ref="I2259">IF(ROWS(M$20:M2259)&gt;$F$6,"",INDEX(C$2:C$10000,SMALL(IF(ISNUMBER(MATCH($B$2:$B$10000,$E$6:$E$22,0)),ROW($C$2:$C$10000)-ROW($C$2)+1),ROWS(M$20:M2259))))</f>
        <v/>
      </c>
      <c r="K2259" s="7" t="str">
        <f t="array" ref="K2259">IF(ROWS(K$20:K2259)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2259))))</f>
        <v/>
      </c>
      <c r="L2259" s="4" t="str">
        <f t="array" ref="L2259">IF(ROWS(L$20:L2259)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2259))))</f>
        <v/>
      </c>
      <c r="M2259" s="4" t="str">
        <f t="array" ref="M2259">IF(ROWS(M$20:M2259)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2259))))</f>
        <v/>
      </c>
    </row>
    <row r="2260" spans="1:13" x14ac:dyDescent="0.25">
      <c r="A2260" s="3">
        <v>41655</v>
      </c>
      <c r="B2260" s="2" t="s">
        <v>19</v>
      </c>
      <c r="C2260" s="2">
        <v>10</v>
      </c>
      <c r="G2260" s="7" t="str">
        <f t="array" ref="G2260">IF(ROWS(K$20:K2260)&gt;$F$6,"",INDEX(A$2:A$10000,SMALL(IF(ISNUMBER(MATCH($B$2:$B$10000,$E$6:$E$22,0)),ROW($C$2:$C$10000)-ROW($C$2)+1),ROWS(K$20:K2260))))</f>
        <v/>
      </c>
      <c r="H2260" s="4" t="str">
        <f t="array" ref="H2260">IF(ROWS(L$20:L2260)&gt;$F$6,"",INDEX(B$2:B$10000,SMALL(IF(ISNUMBER(MATCH($B$2:$B$10000,$E$6:$E$22,0)),ROW($C$2:$C$10000)-ROW($C$2)+1),ROWS(L$20:L2260))))</f>
        <v/>
      </c>
      <c r="I2260" s="4" t="str">
        <f t="array" ref="I2260">IF(ROWS(M$20:M2260)&gt;$F$6,"",INDEX(C$2:C$10000,SMALL(IF(ISNUMBER(MATCH($B$2:$B$10000,$E$6:$E$22,0)),ROW($C$2:$C$10000)-ROW($C$2)+1),ROWS(M$20:M2260))))</f>
        <v/>
      </c>
      <c r="K2260" s="7" t="str">
        <f t="array" ref="K2260">IF(ROWS(K$20:K2260)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2260))))</f>
        <v/>
      </c>
      <c r="L2260" s="4" t="str">
        <f t="array" ref="L2260">IF(ROWS(L$20:L2260)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2260))))</f>
        <v/>
      </c>
      <c r="M2260" s="4" t="str">
        <f t="array" ref="M2260">IF(ROWS(M$20:M2260)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2260))))</f>
        <v/>
      </c>
    </row>
    <row r="2261" spans="1:13" x14ac:dyDescent="0.25">
      <c r="A2261" s="3">
        <v>41873</v>
      </c>
      <c r="B2261" s="2" t="s">
        <v>20</v>
      </c>
      <c r="C2261" s="2">
        <v>43</v>
      </c>
      <c r="G2261" s="7" t="str">
        <f t="array" ref="G2261">IF(ROWS(K$20:K2261)&gt;$F$6,"",INDEX(A$2:A$10000,SMALL(IF(ISNUMBER(MATCH($B$2:$B$10000,$E$6:$E$22,0)),ROW($C$2:$C$10000)-ROW($C$2)+1),ROWS(K$20:K2261))))</f>
        <v/>
      </c>
      <c r="H2261" s="4" t="str">
        <f t="array" ref="H2261">IF(ROWS(L$20:L2261)&gt;$F$6,"",INDEX(B$2:B$10000,SMALL(IF(ISNUMBER(MATCH($B$2:$B$10000,$E$6:$E$22,0)),ROW($C$2:$C$10000)-ROW($C$2)+1),ROWS(L$20:L2261))))</f>
        <v/>
      </c>
      <c r="I2261" s="4" t="str">
        <f t="array" ref="I2261">IF(ROWS(M$20:M2261)&gt;$F$6,"",INDEX(C$2:C$10000,SMALL(IF(ISNUMBER(MATCH($B$2:$B$10000,$E$6:$E$22,0)),ROW($C$2:$C$10000)-ROW($C$2)+1),ROWS(M$20:M2261))))</f>
        <v/>
      </c>
      <c r="K2261" s="7" t="str">
        <f t="array" ref="K2261">IF(ROWS(K$20:K2261)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2261))))</f>
        <v/>
      </c>
      <c r="L2261" s="4" t="str">
        <f t="array" ref="L2261">IF(ROWS(L$20:L2261)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2261))))</f>
        <v/>
      </c>
      <c r="M2261" s="4" t="str">
        <f t="array" ref="M2261">IF(ROWS(M$20:M2261)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2261))))</f>
        <v/>
      </c>
    </row>
    <row r="2262" spans="1:13" x14ac:dyDescent="0.25">
      <c r="A2262" s="3">
        <v>41584</v>
      </c>
      <c r="B2262" s="2" t="s">
        <v>30</v>
      </c>
      <c r="C2262" s="2">
        <v>22</v>
      </c>
      <c r="G2262" s="7" t="str">
        <f t="array" ref="G2262">IF(ROWS(K$20:K2262)&gt;$F$6,"",INDEX(A$2:A$10000,SMALL(IF(ISNUMBER(MATCH($B$2:$B$10000,$E$6:$E$22,0)),ROW($C$2:$C$10000)-ROW($C$2)+1),ROWS(K$20:K2262))))</f>
        <v/>
      </c>
      <c r="H2262" s="4" t="str">
        <f t="array" ref="H2262">IF(ROWS(L$20:L2262)&gt;$F$6,"",INDEX(B$2:B$10000,SMALL(IF(ISNUMBER(MATCH($B$2:$B$10000,$E$6:$E$22,0)),ROW($C$2:$C$10000)-ROW($C$2)+1),ROWS(L$20:L2262))))</f>
        <v/>
      </c>
      <c r="I2262" s="4" t="str">
        <f t="array" ref="I2262">IF(ROWS(M$20:M2262)&gt;$F$6,"",INDEX(C$2:C$10000,SMALL(IF(ISNUMBER(MATCH($B$2:$B$10000,$E$6:$E$22,0)),ROW($C$2:$C$10000)-ROW($C$2)+1),ROWS(M$20:M2262))))</f>
        <v/>
      </c>
      <c r="K2262" s="7" t="str">
        <f t="array" ref="K2262">IF(ROWS(K$20:K2262)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2262))))</f>
        <v/>
      </c>
      <c r="L2262" s="4" t="str">
        <f t="array" ref="L2262">IF(ROWS(L$20:L2262)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2262))))</f>
        <v/>
      </c>
      <c r="M2262" s="4" t="str">
        <f t="array" ref="M2262">IF(ROWS(M$20:M2262)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2262))))</f>
        <v/>
      </c>
    </row>
    <row r="2263" spans="1:13" x14ac:dyDescent="0.25">
      <c r="A2263" s="3">
        <v>41591</v>
      </c>
      <c r="B2263" s="2" t="s">
        <v>50</v>
      </c>
      <c r="C2263" s="2">
        <v>23</v>
      </c>
      <c r="G2263" s="7" t="str">
        <f t="array" ref="G2263">IF(ROWS(K$20:K2263)&gt;$F$6,"",INDEX(A$2:A$10000,SMALL(IF(ISNUMBER(MATCH($B$2:$B$10000,$E$6:$E$22,0)),ROW($C$2:$C$10000)-ROW($C$2)+1),ROWS(K$20:K2263))))</f>
        <v/>
      </c>
      <c r="H2263" s="4" t="str">
        <f t="array" ref="H2263">IF(ROWS(L$20:L2263)&gt;$F$6,"",INDEX(B$2:B$10000,SMALL(IF(ISNUMBER(MATCH($B$2:$B$10000,$E$6:$E$22,0)),ROW($C$2:$C$10000)-ROW($C$2)+1),ROWS(L$20:L2263))))</f>
        <v/>
      </c>
      <c r="I2263" s="4" t="str">
        <f t="array" ref="I2263">IF(ROWS(M$20:M2263)&gt;$F$6,"",INDEX(C$2:C$10000,SMALL(IF(ISNUMBER(MATCH($B$2:$B$10000,$E$6:$E$22,0)),ROW($C$2:$C$10000)-ROW($C$2)+1),ROWS(M$20:M2263))))</f>
        <v/>
      </c>
      <c r="K2263" s="7" t="str">
        <f t="array" ref="K2263">IF(ROWS(K$20:K2263)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2263))))</f>
        <v/>
      </c>
      <c r="L2263" s="4" t="str">
        <f t="array" ref="L2263">IF(ROWS(L$20:L2263)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2263))))</f>
        <v/>
      </c>
      <c r="M2263" s="4" t="str">
        <f t="array" ref="M2263">IF(ROWS(M$20:M2263)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2263))))</f>
        <v/>
      </c>
    </row>
    <row r="2264" spans="1:13" x14ac:dyDescent="0.25">
      <c r="A2264" s="3">
        <v>41349</v>
      </c>
      <c r="B2264" s="2" t="s">
        <v>48</v>
      </c>
      <c r="C2264" s="2">
        <v>39</v>
      </c>
      <c r="G2264" s="7" t="str">
        <f t="array" ref="G2264">IF(ROWS(K$20:K2264)&gt;$F$6,"",INDEX(A$2:A$10000,SMALL(IF(ISNUMBER(MATCH($B$2:$B$10000,$E$6:$E$22,0)),ROW($C$2:$C$10000)-ROW($C$2)+1),ROWS(K$20:K2264))))</f>
        <v/>
      </c>
      <c r="H2264" s="4" t="str">
        <f t="array" ref="H2264">IF(ROWS(L$20:L2264)&gt;$F$6,"",INDEX(B$2:B$10000,SMALL(IF(ISNUMBER(MATCH($B$2:$B$10000,$E$6:$E$22,0)),ROW($C$2:$C$10000)-ROW($C$2)+1),ROWS(L$20:L2264))))</f>
        <v/>
      </c>
      <c r="I2264" s="4" t="str">
        <f t="array" ref="I2264">IF(ROWS(M$20:M2264)&gt;$F$6,"",INDEX(C$2:C$10000,SMALL(IF(ISNUMBER(MATCH($B$2:$B$10000,$E$6:$E$22,0)),ROW($C$2:$C$10000)-ROW($C$2)+1),ROWS(M$20:M2264))))</f>
        <v/>
      </c>
      <c r="K2264" s="7" t="str">
        <f t="array" ref="K2264">IF(ROWS(K$20:K2264)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2264))))</f>
        <v/>
      </c>
      <c r="L2264" s="4" t="str">
        <f t="array" ref="L2264">IF(ROWS(L$20:L2264)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2264))))</f>
        <v/>
      </c>
      <c r="M2264" s="4" t="str">
        <f t="array" ref="M2264">IF(ROWS(M$20:M2264)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2264))))</f>
        <v/>
      </c>
    </row>
    <row r="2265" spans="1:13" x14ac:dyDescent="0.25">
      <c r="A2265" s="3">
        <v>41493</v>
      </c>
      <c r="B2265" s="2" t="s">
        <v>7</v>
      </c>
      <c r="C2265" s="2">
        <v>13</v>
      </c>
      <c r="G2265" s="7" t="str">
        <f t="array" ref="G2265">IF(ROWS(K$20:K2265)&gt;$F$6,"",INDEX(A$2:A$10000,SMALL(IF(ISNUMBER(MATCH($B$2:$B$10000,$E$6:$E$22,0)),ROW($C$2:$C$10000)-ROW($C$2)+1),ROWS(K$20:K2265))))</f>
        <v/>
      </c>
      <c r="H2265" s="4" t="str">
        <f t="array" ref="H2265">IF(ROWS(L$20:L2265)&gt;$F$6,"",INDEX(B$2:B$10000,SMALL(IF(ISNUMBER(MATCH($B$2:$B$10000,$E$6:$E$22,0)),ROW($C$2:$C$10000)-ROW($C$2)+1),ROWS(L$20:L2265))))</f>
        <v/>
      </c>
      <c r="I2265" s="4" t="str">
        <f t="array" ref="I2265">IF(ROWS(M$20:M2265)&gt;$F$6,"",INDEX(C$2:C$10000,SMALL(IF(ISNUMBER(MATCH($B$2:$B$10000,$E$6:$E$22,0)),ROW($C$2:$C$10000)-ROW($C$2)+1),ROWS(M$20:M2265))))</f>
        <v/>
      </c>
      <c r="K2265" s="7" t="str">
        <f t="array" ref="K2265">IF(ROWS(K$20:K2265)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2265))))</f>
        <v/>
      </c>
      <c r="L2265" s="4" t="str">
        <f t="array" ref="L2265">IF(ROWS(L$20:L2265)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2265))))</f>
        <v/>
      </c>
      <c r="M2265" s="4" t="str">
        <f t="array" ref="M2265">IF(ROWS(M$20:M2265)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2265))))</f>
        <v/>
      </c>
    </row>
    <row r="2266" spans="1:13" x14ac:dyDescent="0.25">
      <c r="A2266" s="3">
        <v>41511</v>
      </c>
      <c r="B2266" s="2" t="s">
        <v>50</v>
      </c>
      <c r="C2266" s="2">
        <v>56</v>
      </c>
      <c r="G2266" s="7" t="str">
        <f t="array" ref="G2266">IF(ROWS(K$20:K2266)&gt;$F$6,"",INDEX(A$2:A$10000,SMALL(IF(ISNUMBER(MATCH($B$2:$B$10000,$E$6:$E$22,0)),ROW($C$2:$C$10000)-ROW($C$2)+1),ROWS(K$20:K2266))))</f>
        <v/>
      </c>
      <c r="H2266" s="4" t="str">
        <f t="array" ref="H2266">IF(ROWS(L$20:L2266)&gt;$F$6,"",INDEX(B$2:B$10000,SMALL(IF(ISNUMBER(MATCH($B$2:$B$10000,$E$6:$E$22,0)),ROW($C$2:$C$10000)-ROW($C$2)+1),ROWS(L$20:L2266))))</f>
        <v/>
      </c>
      <c r="I2266" s="4" t="str">
        <f t="array" ref="I2266">IF(ROWS(M$20:M2266)&gt;$F$6,"",INDEX(C$2:C$10000,SMALL(IF(ISNUMBER(MATCH($B$2:$B$10000,$E$6:$E$22,0)),ROW($C$2:$C$10000)-ROW($C$2)+1),ROWS(M$20:M2266))))</f>
        <v/>
      </c>
      <c r="K2266" s="7" t="str">
        <f t="array" ref="K2266">IF(ROWS(K$20:K2266)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2266))))</f>
        <v/>
      </c>
      <c r="L2266" s="4" t="str">
        <f t="array" ref="L2266">IF(ROWS(L$20:L2266)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2266))))</f>
        <v/>
      </c>
      <c r="M2266" s="4" t="str">
        <f t="array" ref="M2266">IF(ROWS(M$20:M2266)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2266))))</f>
        <v/>
      </c>
    </row>
    <row r="2267" spans="1:13" x14ac:dyDescent="0.25">
      <c r="A2267" s="3">
        <v>41798</v>
      </c>
      <c r="B2267" s="2" t="s">
        <v>3</v>
      </c>
      <c r="C2267" s="2">
        <v>15</v>
      </c>
      <c r="G2267" s="7" t="str">
        <f t="array" ref="G2267">IF(ROWS(K$20:K2267)&gt;$F$6,"",INDEX(A$2:A$10000,SMALL(IF(ISNUMBER(MATCH($B$2:$B$10000,$E$6:$E$22,0)),ROW($C$2:$C$10000)-ROW($C$2)+1),ROWS(K$20:K2267))))</f>
        <v/>
      </c>
      <c r="H2267" s="4" t="str">
        <f t="array" ref="H2267">IF(ROWS(L$20:L2267)&gt;$F$6,"",INDEX(B$2:B$10000,SMALL(IF(ISNUMBER(MATCH($B$2:$B$10000,$E$6:$E$22,0)),ROW($C$2:$C$10000)-ROW($C$2)+1),ROWS(L$20:L2267))))</f>
        <v/>
      </c>
      <c r="I2267" s="4" t="str">
        <f t="array" ref="I2267">IF(ROWS(M$20:M2267)&gt;$F$6,"",INDEX(C$2:C$10000,SMALL(IF(ISNUMBER(MATCH($B$2:$B$10000,$E$6:$E$22,0)),ROW($C$2:$C$10000)-ROW($C$2)+1),ROWS(M$20:M2267))))</f>
        <v/>
      </c>
      <c r="K2267" s="7" t="str">
        <f t="array" ref="K2267">IF(ROWS(K$20:K2267)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2267))))</f>
        <v/>
      </c>
      <c r="L2267" s="4" t="str">
        <f t="array" ref="L2267">IF(ROWS(L$20:L2267)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2267))))</f>
        <v/>
      </c>
      <c r="M2267" s="4" t="str">
        <f t="array" ref="M2267">IF(ROWS(M$20:M2267)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2267))))</f>
        <v/>
      </c>
    </row>
    <row r="2268" spans="1:13" x14ac:dyDescent="0.25">
      <c r="A2268" s="3">
        <v>41588</v>
      </c>
      <c r="B2268" s="2" t="s">
        <v>48</v>
      </c>
      <c r="C2268" s="2">
        <v>35</v>
      </c>
      <c r="G2268" s="7" t="str">
        <f t="array" ref="G2268">IF(ROWS(K$20:K2268)&gt;$F$6,"",INDEX(A$2:A$10000,SMALL(IF(ISNUMBER(MATCH($B$2:$B$10000,$E$6:$E$22,0)),ROW($C$2:$C$10000)-ROW($C$2)+1),ROWS(K$20:K2268))))</f>
        <v/>
      </c>
      <c r="H2268" s="4" t="str">
        <f t="array" ref="H2268">IF(ROWS(L$20:L2268)&gt;$F$6,"",INDEX(B$2:B$10000,SMALL(IF(ISNUMBER(MATCH($B$2:$B$10000,$E$6:$E$22,0)),ROW($C$2:$C$10000)-ROW($C$2)+1),ROWS(L$20:L2268))))</f>
        <v/>
      </c>
      <c r="I2268" s="4" t="str">
        <f t="array" ref="I2268">IF(ROWS(M$20:M2268)&gt;$F$6,"",INDEX(C$2:C$10000,SMALL(IF(ISNUMBER(MATCH($B$2:$B$10000,$E$6:$E$22,0)),ROW($C$2:$C$10000)-ROW($C$2)+1),ROWS(M$20:M2268))))</f>
        <v/>
      </c>
      <c r="K2268" s="7" t="str">
        <f t="array" ref="K2268">IF(ROWS(K$20:K2268)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2268))))</f>
        <v/>
      </c>
      <c r="L2268" s="4" t="str">
        <f t="array" ref="L2268">IF(ROWS(L$20:L2268)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2268))))</f>
        <v/>
      </c>
      <c r="M2268" s="4" t="str">
        <f t="array" ref="M2268">IF(ROWS(M$20:M2268)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2268))))</f>
        <v/>
      </c>
    </row>
    <row r="2269" spans="1:13" x14ac:dyDescent="0.25">
      <c r="A2269" s="3">
        <v>41390</v>
      </c>
      <c r="B2269" s="2" t="s">
        <v>27</v>
      </c>
      <c r="C2269" s="2">
        <v>18</v>
      </c>
      <c r="G2269" s="7" t="str">
        <f t="array" ref="G2269">IF(ROWS(K$20:K2269)&gt;$F$6,"",INDEX(A$2:A$10000,SMALL(IF(ISNUMBER(MATCH($B$2:$B$10000,$E$6:$E$22,0)),ROW($C$2:$C$10000)-ROW($C$2)+1),ROWS(K$20:K2269))))</f>
        <v/>
      </c>
      <c r="H2269" s="4" t="str">
        <f t="array" ref="H2269">IF(ROWS(L$20:L2269)&gt;$F$6,"",INDEX(B$2:B$10000,SMALL(IF(ISNUMBER(MATCH($B$2:$B$10000,$E$6:$E$22,0)),ROW($C$2:$C$10000)-ROW($C$2)+1),ROWS(L$20:L2269))))</f>
        <v/>
      </c>
      <c r="I2269" s="4" t="str">
        <f t="array" ref="I2269">IF(ROWS(M$20:M2269)&gt;$F$6,"",INDEX(C$2:C$10000,SMALL(IF(ISNUMBER(MATCH($B$2:$B$10000,$E$6:$E$22,0)),ROW($C$2:$C$10000)-ROW($C$2)+1),ROWS(M$20:M2269))))</f>
        <v/>
      </c>
      <c r="K2269" s="7" t="str">
        <f t="array" ref="K2269">IF(ROWS(K$20:K2269)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2269))))</f>
        <v/>
      </c>
      <c r="L2269" s="4" t="str">
        <f t="array" ref="L2269">IF(ROWS(L$20:L2269)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2269))))</f>
        <v/>
      </c>
      <c r="M2269" s="4" t="str">
        <f t="array" ref="M2269">IF(ROWS(M$20:M2269)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2269))))</f>
        <v/>
      </c>
    </row>
    <row r="2270" spans="1:13" x14ac:dyDescent="0.25">
      <c r="A2270" s="3">
        <v>41507</v>
      </c>
      <c r="B2270" s="2" t="s">
        <v>21</v>
      </c>
      <c r="C2270" s="2">
        <v>6</v>
      </c>
      <c r="G2270" s="7" t="str">
        <f t="array" ref="G2270">IF(ROWS(K$20:K2270)&gt;$F$6,"",INDEX(A$2:A$10000,SMALL(IF(ISNUMBER(MATCH($B$2:$B$10000,$E$6:$E$22,0)),ROW($C$2:$C$10000)-ROW($C$2)+1),ROWS(K$20:K2270))))</f>
        <v/>
      </c>
      <c r="H2270" s="4" t="str">
        <f t="array" ref="H2270">IF(ROWS(L$20:L2270)&gt;$F$6,"",INDEX(B$2:B$10000,SMALL(IF(ISNUMBER(MATCH($B$2:$B$10000,$E$6:$E$22,0)),ROW($C$2:$C$10000)-ROW($C$2)+1),ROWS(L$20:L2270))))</f>
        <v/>
      </c>
      <c r="I2270" s="4" t="str">
        <f t="array" ref="I2270">IF(ROWS(M$20:M2270)&gt;$F$6,"",INDEX(C$2:C$10000,SMALL(IF(ISNUMBER(MATCH($B$2:$B$10000,$E$6:$E$22,0)),ROW($C$2:$C$10000)-ROW($C$2)+1),ROWS(M$20:M2270))))</f>
        <v/>
      </c>
      <c r="K2270" s="7" t="str">
        <f t="array" ref="K2270">IF(ROWS(K$20:K2270)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2270))))</f>
        <v/>
      </c>
      <c r="L2270" s="4" t="str">
        <f t="array" ref="L2270">IF(ROWS(L$20:L2270)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2270))))</f>
        <v/>
      </c>
      <c r="M2270" s="4" t="str">
        <f t="array" ref="M2270">IF(ROWS(M$20:M2270)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2270))))</f>
        <v/>
      </c>
    </row>
    <row r="2271" spans="1:13" x14ac:dyDescent="0.25">
      <c r="A2271" s="3">
        <v>41449</v>
      </c>
      <c r="B2271" s="2" t="s">
        <v>47</v>
      </c>
      <c r="C2271" s="2">
        <v>2</v>
      </c>
      <c r="G2271" s="7" t="str">
        <f t="array" ref="G2271">IF(ROWS(K$20:K2271)&gt;$F$6,"",INDEX(A$2:A$10000,SMALL(IF(ISNUMBER(MATCH($B$2:$B$10000,$E$6:$E$22,0)),ROW($C$2:$C$10000)-ROW($C$2)+1),ROWS(K$20:K2271))))</f>
        <v/>
      </c>
      <c r="H2271" s="4" t="str">
        <f t="array" ref="H2271">IF(ROWS(L$20:L2271)&gt;$F$6,"",INDEX(B$2:B$10000,SMALL(IF(ISNUMBER(MATCH($B$2:$B$10000,$E$6:$E$22,0)),ROW($C$2:$C$10000)-ROW($C$2)+1),ROWS(L$20:L2271))))</f>
        <v/>
      </c>
      <c r="I2271" s="4" t="str">
        <f t="array" ref="I2271">IF(ROWS(M$20:M2271)&gt;$F$6,"",INDEX(C$2:C$10000,SMALL(IF(ISNUMBER(MATCH($B$2:$B$10000,$E$6:$E$22,0)),ROW($C$2:$C$10000)-ROW($C$2)+1),ROWS(M$20:M2271))))</f>
        <v/>
      </c>
      <c r="K2271" s="7" t="str">
        <f t="array" ref="K2271">IF(ROWS(K$20:K2271)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2271))))</f>
        <v/>
      </c>
      <c r="L2271" s="4" t="str">
        <f t="array" ref="L2271">IF(ROWS(L$20:L2271)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2271))))</f>
        <v/>
      </c>
      <c r="M2271" s="4" t="str">
        <f t="array" ref="M2271">IF(ROWS(M$20:M2271)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2271))))</f>
        <v/>
      </c>
    </row>
    <row r="2272" spans="1:13" x14ac:dyDescent="0.25">
      <c r="A2272" s="3">
        <v>41740</v>
      </c>
      <c r="B2272" s="2" t="s">
        <v>12</v>
      </c>
      <c r="C2272" s="2">
        <v>25</v>
      </c>
      <c r="G2272" s="7" t="str">
        <f t="array" ref="G2272">IF(ROWS(K$20:K2272)&gt;$F$6,"",INDEX(A$2:A$10000,SMALL(IF(ISNUMBER(MATCH($B$2:$B$10000,$E$6:$E$22,0)),ROW($C$2:$C$10000)-ROW($C$2)+1),ROWS(K$20:K2272))))</f>
        <v/>
      </c>
      <c r="H2272" s="4" t="str">
        <f t="array" ref="H2272">IF(ROWS(L$20:L2272)&gt;$F$6,"",INDEX(B$2:B$10000,SMALL(IF(ISNUMBER(MATCH($B$2:$B$10000,$E$6:$E$22,0)),ROW($C$2:$C$10000)-ROW($C$2)+1),ROWS(L$20:L2272))))</f>
        <v/>
      </c>
      <c r="I2272" s="4" t="str">
        <f t="array" ref="I2272">IF(ROWS(M$20:M2272)&gt;$F$6,"",INDEX(C$2:C$10000,SMALL(IF(ISNUMBER(MATCH($B$2:$B$10000,$E$6:$E$22,0)),ROW($C$2:$C$10000)-ROW($C$2)+1),ROWS(M$20:M2272))))</f>
        <v/>
      </c>
      <c r="K2272" s="7" t="str">
        <f t="array" ref="K2272">IF(ROWS(K$20:K2272)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2272))))</f>
        <v/>
      </c>
      <c r="L2272" s="4" t="str">
        <f t="array" ref="L2272">IF(ROWS(L$20:L2272)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2272))))</f>
        <v/>
      </c>
      <c r="M2272" s="4" t="str">
        <f t="array" ref="M2272">IF(ROWS(M$20:M2272)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2272))))</f>
        <v/>
      </c>
    </row>
    <row r="2273" spans="1:13" x14ac:dyDescent="0.25">
      <c r="A2273" s="3">
        <v>41277</v>
      </c>
      <c r="B2273" s="2" t="s">
        <v>31</v>
      </c>
      <c r="C2273" s="2">
        <v>24</v>
      </c>
      <c r="G2273" s="7" t="str">
        <f t="array" ref="G2273">IF(ROWS(K$20:K2273)&gt;$F$6,"",INDEX(A$2:A$10000,SMALL(IF(ISNUMBER(MATCH($B$2:$B$10000,$E$6:$E$22,0)),ROW($C$2:$C$10000)-ROW($C$2)+1),ROWS(K$20:K2273))))</f>
        <v/>
      </c>
      <c r="H2273" s="4" t="str">
        <f t="array" ref="H2273">IF(ROWS(L$20:L2273)&gt;$F$6,"",INDEX(B$2:B$10000,SMALL(IF(ISNUMBER(MATCH($B$2:$B$10000,$E$6:$E$22,0)),ROW($C$2:$C$10000)-ROW($C$2)+1),ROWS(L$20:L2273))))</f>
        <v/>
      </c>
      <c r="I2273" s="4" t="str">
        <f t="array" ref="I2273">IF(ROWS(M$20:M2273)&gt;$F$6,"",INDEX(C$2:C$10000,SMALL(IF(ISNUMBER(MATCH($B$2:$B$10000,$E$6:$E$22,0)),ROW($C$2:$C$10000)-ROW($C$2)+1),ROWS(M$20:M2273))))</f>
        <v/>
      </c>
      <c r="K2273" s="7" t="str">
        <f t="array" ref="K2273">IF(ROWS(K$20:K2273)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2273))))</f>
        <v/>
      </c>
      <c r="L2273" s="4" t="str">
        <f t="array" ref="L2273">IF(ROWS(L$20:L2273)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2273))))</f>
        <v/>
      </c>
      <c r="M2273" s="4" t="str">
        <f t="array" ref="M2273">IF(ROWS(M$20:M2273)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2273))))</f>
        <v/>
      </c>
    </row>
    <row r="2274" spans="1:13" x14ac:dyDescent="0.25">
      <c r="A2274" s="3">
        <v>41840</v>
      </c>
      <c r="B2274" s="2" t="s">
        <v>50</v>
      </c>
      <c r="C2274" s="2">
        <v>21</v>
      </c>
      <c r="G2274" s="7" t="str">
        <f t="array" ref="G2274">IF(ROWS(K$20:K2274)&gt;$F$6,"",INDEX(A$2:A$10000,SMALL(IF(ISNUMBER(MATCH($B$2:$B$10000,$E$6:$E$22,0)),ROW($C$2:$C$10000)-ROW($C$2)+1),ROWS(K$20:K2274))))</f>
        <v/>
      </c>
      <c r="H2274" s="4" t="str">
        <f t="array" ref="H2274">IF(ROWS(L$20:L2274)&gt;$F$6,"",INDEX(B$2:B$10000,SMALL(IF(ISNUMBER(MATCH($B$2:$B$10000,$E$6:$E$22,0)),ROW($C$2:$C$10000)-ROW($C$2)+1),ROWS(L$20:L2274))))</f>
        <v/>
      </c>
      <c r="I2274" s="4" t="str">
        <f t="array" ref="I2274">IF(ROWS(M$20:M2274)&gt;$F$6,"",INDEX(C$2:C$10000,SMALL(IF(ISNUMBER(MATCH($B$2:$B$10000,$E$6:$E$22,0)),ROW($C$2:$C$10000)-ROW($C$2)+1),ROWS(M$20:M2274))))</f>
        <v/>
      </c>
      <c r="K2274" s="7" t="str">
        <f t="array" ref="K2274">IF(ROWS(K$20:K2274)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2274))))</f>
        <v/>
      </c>
      <c r="L2274" s="4" t="str">
        <f t="array" ref="L2274">IF(ROWS(L$20:L2274)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2274))))</f>
        <v/>
      </c>
      <c r="M2274" s="4" t="str">
        <f t="array" ref="M2274">IF(ROWS(M$20:M2274)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2274))))</f>
        <v/>
      </c>
    </row>
    <row r="2275" spans="1:13" x14ac:dyDescent="0.25">
      <c r="A2275" s="3">
        <v>41474</v>
      </c>
      <c r="B2275" s="2" t="s">
        <v>29</v>
      </c>
      <c r="C2275" s="2">
        <v>29</v>
      </c>
      <c r="G2275" s="7" t="str">
        <f t="array" ref="G2275">IF(ROWS(K$20:K2275)&gt;$F$6,"",INDEX(A$2:A$10000,SMALL(IF(ISNUMBER(MATCH($B$2:$B$10000,$E$6:$E$22,0)),ROW($C$2:$C$10000)-ROW($C$2)+1),ROWS(K$20:K2275))))</f>
        <v/>
      </c>
      <c r="H2275" s="4" t="str">
        <f t="array" ref="H2275">IF(ROWS(L$20:L2275)&gt;$F$6,"",INDEX(B$2:B$10000,SMALL(IF(ISNUMBER(MATCH($B$2:$B$10000,$E$6:$E$22,0)),ROW($C$2:$C$10000)-ROW($C$2)+1),ROWS(L$20:L2275))))</f>
        <v/>
      </c>
      <c r="I2275" s="4" t="str">
        <f t="array" ref="I2275">IF(ROWS(M$20:M2275)&gt;$F$6,"",INDEX(C$2:C$10000,SMALL(IF(ISNUMBER(MATCH($B$2:$B$10000,$E$6:$E$22,0)),ROW($C$2:$C$10000)-ROW($C$2)+1),ROWS(M$20:M2275))))</f>
        <v/>
      </c>
      <c r="K2275" s="7" t="str">
        <f t="array" ref="K2275">IF(ROWS(K$20:K2275)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2275))))</f>
        <v/>
      </c>
      <c r="L2275" s="4" t="str">
        <f t="array" ref="L2275">IF(ROWS(L$20:L2275)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2275))))</f>
        <v/>
      </c>
      <c r="M2275" s="4" t="str">
        <f t="array" ref="M2275">IF(ROWS(M$20:M2275)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2275))))</f>
        <v/>
      </c>
    </row>
    <row r="2276" spans="1:13" x14ac:dyDescent="0.25">
      <c r="A2276" s="3">
        <v>41607</v>
      </c>
      <c r="B2276" s="2" t="s">
        <v>26</v>
      </c>
      <c r="C2276" s="2">
        <v>30</v>
      </c>
      <c r="G2276" s="7" t="str">
        <f t="array" ref="G2276">IF(ROWS(K$20:K2276)&gt;$F$6,"",INDEX(A$2:A$10000,SMALL(IF(ISNUMBER(MATCH($B$2:$B$10000,$E$6:$E$22,0)),ROW($C$2:$C$10000)-ROW($C$2)+1),ROWS(K$20:K2276))))</f>
        <v/>
      </c>
      <c r="H2276" s="4" t="str">
        <f t="array" ref="H2276">IF(ROWS(L$20:L2276)&gt;$F$6,"",INDEX(B$2:B$10000,SMALL(IF(ISNUMBER(MATCH($B$2:$B$10000,$E$6:$E$22,0)),ROW($C$2:$C$10000)-ROW($C$2)+1),ROWS(L$20:L2276))))</f>
        <v/>
      </c>
      <c r="I2276" s="4" t="str">
        <f t="array" ref="I2276">IF(ROWS(M$20:M2276)&gt;$F$6,"",INDEX(C$2:C$10000,SMALL(IF(ISNUMBER(MATCH($B$2:$B$10000,$E$6:$E$22,0)),ROW($C$2:$C$10000)-ROW($C$2)+1),ROWS(M$20:M2276))))</f>
        <v/>
      </c>
      <c r="K2276" s="7" t="str">
        <f t="array" ref="K2276">IF(ROWS(K$20:K2276)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2276))))</f>
        <v/>
      </c>
      <c r="L2276" s="4" t="str">
        <f t="array" ref="L2276">IF(ROWS(L$20:L2276)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2276))))</f>
        <v/>
      </c>
      <c r="M2276" s="4" t="str">
        <f t="array" ref="M2276">IF(ROWS(M$20:M2276)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2276))))</f>
        <v/>
      </c>
    </row>
    <row r="2277" spans="1:13" x14ac:dyDescent="0.25">
      <c r="A2277" s="3">
        <v>41674</v>
      </c>
      <c r="B2277" s="2" t="s">
        <v>30</v>
      </c>
      <c r="C2277" s="2">
        <v>36</v>
      </c>
      <c r="G2277" s="7" t="str">
        <f t="array" ref="G2277">IF(ROWS(K$20:K2277)&gt;$F$6,"",INDEX(A$2:A$10000,SMALL(IF(ISNUMBER(MATCH($B$2:$B$10000,$E$6:$E$22,0)),ROW($C$2:$C$10000)-ROW($C$2)+1),ROWS(K$20:K2277))))</f>
        <v/>
      </c>
      <c r="H2277" s="4" t="str">
        <f t="array" ref="H2277">IF(ROWS(L$20:L2277)&gt;$F$6,"",INDEX(B$2:B$10000,SMALL(IF(ISNUMBER(MATCH($B$2:$B$10000,$E$6:$E$22,0)),ROW($C$2:$C$10000)-ROW($C$2)+1),ROWS(L$20:L2277))))</f>
        <v/>
      </c>
      <c r="I2277" s="4" t="str">
        <f t="array" ref="I2277">IF(ROWS(M$20:M2277)&gt;$F$6,"",INDEX(C$2:C$10000,SMALL(IF(ISNUMBER(MATCH($B$2:$B$10000,$E$6:$E$22,0)),ROW($C$2:$C$10000)-ROW($C$2)+1),ROWS(M$20:M2277))))</f>
        <v/>
      </c>
      <c r="K2277" s="7" t="str">
        <f t="array" ref="K2277">IF(ROWS(K$20:K2277)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2277))))</f>
        <v/>
      </c>
      <c r="L2277" s="4" t="str">
        <f t="array" ref="L2277">IF(ROWS(L$20:L2277)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2277))))</f>
        <v/>
      </c>
      <c r="M2277" s="4" t="str">
        <f t="array" ref="M2277">IF(ROWS(M$20:M2277)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2277))))</f>
        <v/>
      </c>
    </row>
    <row r="2278" spans="1:13" x14ac:dyDescent="0.25">
      <c r="A2278" s="3">
        <v>41575</v>
      </c>
      <c r="B2278" s="2" t="s">
        <v>41</v>
      </c>
      <c r="C2278" s="2">
        <v>30</v>
      </c>
      <c r="G2278" s="7" t="str">
        <f t="array" ref="G2278">IF(ROWS(K$20:K2278)&gt;$F$6,"",INDEX(A$2:A$10000,SMALL(IF(ISNUMBER(MATCH($B$2:$B$10000,$E$6:$E$22,0)),ROW($C$2:$C$10000)-ROW($C$2)+1),ROWS(K$20:K2278))))</f>
        <v/>
      </c>
      <c r="H2278" s="4" t="str">
        <f t="array" ref="H2278">IF(ROWS(L$20:L2278)&gt;$F$6,"",INDEX(B$2:B$10000,SMALL(IF(ISNUMBER(MATCH($B$2:$B$10000,$E$6:$E$22,0)),ROW($C$2:$C$10000)-ROW($C$2)+1),ROWS(L$20:L2278))))</f>
        <v/>
      </c>
      <c r="I2278" s="4" t="str">
        <f t="array" ref="I2278">IF(ROWS(M$20:M2278)&gt;$F$6,"",INDEX(C$2:C$10000,SMALL(IF(ISNUMBER(MATCH($B$2:$B$10000,$E$6:$E$22,0)),ROW($C$2:$C$10000)-ROW($C$2)+1),ROWS(M$20:M2278))))</f>
        <v/>
      </c>
      <c r="K2278" s="7" t="str">
        <f t="array" ref="K2278">IF(ROWS(K$20:K2278)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2278))))</f>
        <v/>
      </c>
      <c r="L2278" s="4" t="str">
        <f t="array" ref="L2278">IF(ROWS(L$20:L2278)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2278))))</f>
        <v/>
      </c>
      <c r="M2278" s="4" t="str">
        <f t="array" ref="M2278">IF(ROWS(M$20:M2278)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2278))))</f>
        <v/>
      </c>
    </row>
    <row r="2279" spans="1:13" x14ac:dyDescent="0.25">
      <c r="A2279" s="3">
        <v>41554</v>
      </c>
      <c r="B2279" s="2" t="s">
        <v>22</v>
      </c>
      <c r="C2279" s="2">
        <v>20</v>
      </c>
      <c r="G2279" s="7" t="str">
        <f t="array" ref="G2279">IF(ROWS(K$20:K2279)&gt;$F$6,"",INDEX(A$2:A$10000,SMALL(IF(ISNUMBER(MATCH($B$2:$B$10000,$E$6:$E$22,0)),ROW($C$2:$C$10000)-ROW($C$2)+1),ROWS(K$20:K2279))))</f>
        <v/>
      </c>
      <c r="H2279" s="4" t="str">
        <f t="array" ref="H2279">IF(ROWS(L$20:L2279)&gt;$F$6,"",INDEX(B$2:B$10000,SMALL(IF(ISNUMBER(MATCH($B$2:$B$10000,$E$6:$E$22,0)),ROW($C$2:$C$10000)-ROW($C$2)+1),ROWS(L$20:L2279))))</f>
        <v/>
      </c>
      <c r="I2279" s="4" t="str">
        <f t="array" ref="I2279">IF(ROWS(M$20:M2279)&gt;$F$6,"",INDEX(C$2:C$10000,SMALL(IF(ISNUMBER(MATCH($B$2:$B$10000,$E$6:$E$22,0)),ROW($C$2:$C$10000)-ROW($C$2)+1),ROWS(M$20:M2279))))</f>
        <v/>
      </c>
      <c r="K2279" s="7" t="str">
        <f t="array" ref="K2279">IF(ROWS(K$20:K2279)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2279))))</f>
        <v/>
      </c>
      <c r="L2279" s="4" t="str">
        <f t="array" ref="L2279">IF(ROWS(L$20:L2279)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2279))))</f>
        <v/>
      </c>
      <c r="M2279" s="4" t="str">
        <f t="array" ref="M2279">IF(ROWS(M$20:M2279)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2279))))</f>
        <v/>
      </c>
    </row>
    <row r="2280" spans="1:13" x14ac:dyDescent="0.25">
      <c r="A2280" s="3">
        <v>41453</v>
      </c>
      <c r="B2280" s="2" t="s">
        <v>13</v>
      </c>
      <c r="C2280" s="2">
        <v>22</v>
      </c>
      <c r="G2280" s="7" t="str">
        <f t="array" ref="G2280">IF(ROWS(K$20:K2280)&gt;$F$6,"",INDEX(A$2:A$10000,SMALL(IF(ISNUMBER(MATCH($B$2:$B$10000,$E$6:$E$22,0)),ROW($C$2:$C$10000)-ROW($C$2)+1),ROWS(K$20:K2280))))</f>
        <v/>
      </c>
      <c r="H2280" s="4" t="str">
        <f t="array" ref="H2280">IF(ROWS(L$20:L2280)&gt;$F$6,"",INDEX(B$2:B$10000,SMALL(IF(ISNUMBER(MATCH($B$2:$B$10000,$E$6:$E$22,0)),ROW($C$2:$C$10000)-ROW($C$2)+1),ROWS(L$20:L2280))))</f>
        <v/>
      </c>
      <c r="I2280" s="4" t="str">
        <f t="array" ref="I2280">IF(ROWS(M$20:M2280)&gt;$F$6,"",INDEX(C$2:C$10000,SMALL(IF(ISNUMBER(MATCH($B$2:$B$10000,$E$6:$E$22,0)),ROW($C$2:$C$10000)-ROW($C$2)+1),ROWS(M$20:M2280))))</f>
        <v/>
      </c>
      <c r="K2280" s="7" t="str">
        <f t="array" ref="K2280">IF(ROWS(K$20:K2280)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2280))))</f>
        <v/>
      </c>
      <c r="L2280" s="4" t="str">
        <f t="array" ref="L2280">IF(ROWS(L$20:L2280)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2280))))</f>
        <v/>
      </c>
      <c r="M2280" s="4" t="str">
        <f t="array" ref="M2280">IF(ROWS(M$20:M2280)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2280))))</f>
        <v/>
      </c>
    </row>
    <row r="2281" spans="1:13" x14ac:dyDescent="0.25">
      <c r="A2281" s="3">
        <v>41394</v>
      </c>
      <c r="B2281" s="2" t="s">
        <v>50</v>
      </c>
      <c r="C2281" s="2">
        <v>29</v>
      </c>
      <c r="G2281" s="7" t="str">
        <f t="array" ref="G2281">IF(ROWS(K$20:K2281)&gt;$F$6,"",INDEX(A$2:A$10000,SMALL(IF(ISNUMBER(MATCH($B$2:$B$10000,$E$6:$E$22,0)),ROW($C$2:$C$10000)-ROW($C$2)+1),ROWS(K$20:K2281))))</f>
        <v/>
      </c>
      <c r="H2281" s="4" t="str">
        <f t="array" ref="H2281">IF(ROWS(L$20:L2281)&gt;$F$6,"",INDEX(B$2:B$10000,SMALL(IF(ISNUMBER(MATCH($B$2:$B$10000,$E$6:$E$22,0)),ROW($C$2:$C$10000)-ROW($C$2)+1),ROWS(L$20:L2281))))</f>
        <v/>
      </c>
      <c r="I2281" s="4" t="str">
        <f t="array" ref="I2281">IF(ROWS(M$20:M2281)&gt;$F$6,"",INDEX(C$2:C$10000,SMALL(IF(ISNUMBER(MATCH($B$2:$B$10000,$E$6:$E$22,0)),ROW($C$2:$C$10000)-ROW($C$2)+1),ROWS(M$20:M2281))))</f>
        <v/>
      </c>
      <c r="K2281" s="7" t="str">
        <f t="array" ref="K2281">IF(ROWS(K$20:K2281)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2281))))</f>
        <v/>
      </c>
      <c r="L2281" s="4" t="str">
        <f t="array" ref="L2281">IF(ROWS(L$20:L2281)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2281))))</f>
        <v/>
      </c>
      <c r="M2281" s="4" t="str">
        <f t="array" ref="M2281">IF(ROWS(M$20:M2281)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2281))))</f>
        <v/>
      </c>
    </row>
    <row r="2282" spans="1:13" x14ac:dyDescent="0.25">
      <c r="A2282" s="3">
        <v>41571</v>
      </c>
      <c r="B2282" s="2" t="s">
        <v>32</v>
      </c>
      <c r="C2282" s="2">
        <v>5</v>
      </c>
      <c r="G2282" s="7" t="str">
        <f t="array" ref="G2282">IF(ROWS(K$20:K2282)&gt;$F$6,"",INDEX(A$2:A$10000,SMALL(IF(ISNUMBER(MATCH($B$2:$B$10000,$E$6:$E$22,0)),ROW($C$2:$C$10000)-ROW($C$2)+1),ROWS(K$20:K2282))))</f>
        <v/>
      </c>
      <c r="H2282" s="4" t="str">
        <f t="array" ref="H2282">IF(ROWS(L$20:L2282)&gt;$F$6,"",INDEX(B$2:B$10000,SMALL(IF(ISNUMBER(MATCH($B$2:$B$10000,$E$6:$E$22,0)),ROW($C$2:$C$10000)-ROW($C$2)+1),ROWS(L$20:L2282))))</f>
        <v/>
      </c>
      <c r="I2282" s="4" t="str">
        <f t="array" ref="I2282">IF(ROWS(M$20:M2282)&gt;$F$6,"",INDEX(C$2:C$10000,SMALL(IF(ISNUMBER(MATCH($B$2:$B$10000,$E$6:$E$22,0)),ROW($C$2:$C$10000)-ROW($C$2)+1),ROWS(M$20:M2282))))</f>
        <v/>
      </c>
      <c r="K2282" s="7" t="str">
        <f t="array" ref="K2282">IF(ROWS(K$20:K2282)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2282))))</f>
        <v/>
      </c>
      <c r="L2282" s="4" t="str">
        <f t="array" ref="L2282">IF(ROWS(L$20:L2282)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2282))))</f>
        <v/>
      </c>
      <c r="M2282" s="4" t="str">
        <f t="array" ref="M2282">IF(ROWS(M$20:M2282)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2282))))</f>
        <v/>
      </c>
    </row>
    <row r="2283" spans="1:13" x14ac:dyDescent="0.25">
      <c r="A2283" s="3">
        <v>41849</v>
      </c>
      <c r="B2283" s="2" t="s">
        <v>43</v>
      </c>
      <c r="C2283" s="2">
        <v>42</v>
      </c>
      <c r="G2283" s="7" t="str">
        <f t="array" ref="G2283">IF(ROWS(K$20:K2283)&gt;$F$6,"",INDEX(A$2:A$10000,SMALL(IF(ISNUMBER(MATCH($B$2:$B$10000,$E$6:$E$22,0)),ROW($C$2:$C$10000)-ROW($C$2)+1),ROWS(K$20:K2283))))</f>
        <v/>
      </c>
      <c r="H2283" s="4" t="str">
        <f t="array" ref="H2283">IF(ROWS(L$20:L2283)&gt;$F$6,"",INDEX(B$2:B$10000,SMALL(IF(ISNUMBER(MATCH($B$2:$B$10000,$E$6:$E$22,0)),ROW($C$2:$C$10000)-ROW($C$2)+1),ROWS(L$20:L2283))))</f>
        <v/>
      </c>
      <c r="I2283" s="4" t="str">
        <f t="array" ref="I2283">IF(ROWS(M$20:M2283)&gt;$F$6,"",INDEX(C$2:C$10000,SMALL(IF(ISNUMBER(MATCH($B$2:$B$10000,$E$6:$E$22,0)),ROW($C$2:$C$10000)-ROW($C$2)+1),ROWS(M$20:M2283))))</f>
        <v/>
      </c>
      <c r="K2283" s="7" t="str">
        <f t="array" ref="K2283">IF(ROWS(K$20:K2283)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2283))))</f>
        <v/>
      </c>
      <c r="L2283" s="4" t="str">
        <f t="array" ref="L2283">IF(ROWS(L$20:L2283)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2283))))</f>
        <v/>
      </c>
      <c r="M2283" s="4" t="str">
        <f t="array" ref="M2283">IF(ROWS(M$20:M2283)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2283))))</f>
        <v/>
      </c>
    </row>
    <row r="2284" spans="1:13" x14ac:dyDescent="0.25">
      <c r="A2284" s="3">
        <v>41767</v>
      </c>
      <c r="B2284" s="2" t="s">
        <v>11</v>
      </c>
      <c r="C2284" s="2">
        <v>33</v>
      </c>
      <c r="G2284" s="7" t="str">
        <f t="array" ref="G2284">IF(ROWS(K$20:K2284)&gt;$F$6,"",INDEX(A$2:A$10000,SMALL(IF(ISNUMBER(MATCH($B$2:$B$10000,$E$6:$E$22,0)),ROW($C$2:$C$10000)-ROW($C$2)+1),ROWS(K$20:K2284))))</f>
        <v/>
      </c>
      <c r="H2284" s="4" t="str">
        <f t="array" ref="H2284">IF(ROWS(L$20:L2284)&gt;$F$6,"",INDEX(B$2:B$10000,SMALL(IF(ISNUMBER(MATCH($B$2:$B$10000,$E$6:$E$22,0)),ROW($C$2:$C$10000)-ROW($C$2)+1),ROWS(L$20:L2284))))</f>
        <v/>
      </c>
      <c r="I2284" s="4" t="str">
        <f t="array" ref="I2284">IF(ROWS(M$20:M2284)&gt;$F$6,"",INDEX(C$2:C$10000,SMALL(IF(ISNUMBER(MATCH($B$2:$B$10000,$E$6:$E$22,0)),ROW($C$2:$C$10000)-ROW($C$2)+1),ROWS(M$20:M2284))))</f>
        <v/>
      </c>
      <c r="K2284" s="7" t="str">
        <f t="array" ref="K2284">IF(ROWS(K$20:K2284)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2284))))</f>
        <v/>
      </c>
      <c r="L2284" s="4" t="str">
        <f t="array" ref="L2284">IF(ROWS(L$20:L2284)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2284))))</f>
        <v/>
      </c>
      <c r="M2284" s="4" t="str">
        <f t="array" ref="M2284">IF(ROWS(M$20:M2284)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2284))))</f>
        <v/>
      </c>
    </row>
    <row r="2285" spans="1:13" x14ac:dyDescent="0.25">
      <c r="A2285" s="3">
        <v>41475</v>
      </c>
      <c r="B2285" s="2" t="s">
        <v>16</v>
      </c>
      <c r="C2285" s="2">
        <v>42</v>
      </c>
      <c r="G2285" s="7" t="str">
        <f t="array" ref="G2285">IF(ROWS(K$20:K2285)&gt;$F$6,"",INDEX(A$2:A$10000,SMALL(IF(ISNUMBER(MATCH($B$2:$B$10000,$E$6:$E$22,0)),ROW($C$2:$C$10000)-ROW($C$2)+1),ROWS(K$20:K2285))))</f>
        <v/>
      </c>
      <c r="H2285" s="4" t="str">
        <f t="array" ref="H2285">IF(ROWS(L$20:L2285)&gt;$F$6,"",INDEX(B$2:B$10000,SMALL(IF(ISNUMBER(MATCH($B$2:$B$10000,$E$6:$E$22,0)),ROW($C$2:$C$10000)-ROW($C$2)+1),ROWS(L$20:L2285))))</f>
        <v/>
      </c>
      <c r="I2285" s="4" t="str">
        <f t="array" ref="I2285">IF(ROWS(M$20:M2285)&gt;$F$6,"",INDEX(C$2:C$10000,SMALL(IF(ISNUMBER(MATCH($B$2:$B$10000,$E$6:$E$22,0)),ROW($C$2:$C$10000)-ROW($C$2)+1),ROWS(M$20:M2285))))</f>
        <v/>
      </c>
      <c r="K2285" s="7" t="str">
        <f t="array" ref="K2285">IF(ROWS(K$20:K2285)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2285))))</f>
        <v/>
      </c>
      <c r="L2285" s="4" t="str">
        <f t="array" ref="L2285">IF(ROWS(L$20:L2285)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2285))))</f>
        <v/>
      </c>
      <c r="M2285" s="4" t="str">
        <f t="array" ref="M2285">IF(ROWS(M$20:M2285)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2285))))</f>
        <v/>
      </c>
    </row>
    <row r="2286" spans="1:13" x14ac:dyDescent="0.25">
      <c r="A2286" s="3">
        <v>41296</v>
      </c>
      <c r="B2286" s="2" t="s">
        <v>41</v>
      </c>
      <c r="C2286" s="2">
        <v>38</v>
      </c>
      <c r="G2286" s="7" t="str">
        <f t="array" ref="G2286">IF(ROWS(K$20:K2286)&gt;$F$6,"",INDEX(A$2:A$10000,SMALL(IF(ISNUMBER(MATCH($B$2:$B$10000,$E$6:$E$22,0)),ROW($C$2:$C$10000)-ROW($C$2)+1),ROWS(K$20:K2286))))</f>
        <v/>
      </c>
      <c r="H2286" s="4" t="str">
        <f t="array" ref="H2286">IF(ROWS(L$20:L2286)&gt;$F$6,"",INDEX(B$2:B$10000,SMALL(IF(ISNUMBER(MATCH($B$2:$B$10000,$E$6:$E$22,0)),ROW($C$2:$C$10000)-ROW($C$2)+1),ROWS(L$20:L2286))))</f>
        <v/>
      </c>
      <c r="I2286" s="4" t="str">
        <f t="array" ref="I2286">IF(ROWS(M$20:M2286)&gt;$F$6,"",INDEX(C$2:C$10000,SMALL(IF(ISNUMBER(MATCH($B$2:$B$10000,$E$6:$E$22,0)),ROW($C$2:$C$10000)-ROW($C$2)+1),ROWS(M$20:M2286))))</f>
        <v/>
      </c>
      <c r="K2286" s="7" t="str">
        <f t="array" ref="K2286">IF(ROWS(K$20:K2286)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2286))))</f>
        <v/>
      </c>
      <c r="L2286" s="4" t="str">
        <f t="array" ref="L2286">IF(ROWS(L$20:L2286)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2286))))</f>
        <v/>
      </c>
      <c r="M2286" s="4" t="str">
        <f t="array" ref="M2286">IF(ROWS(M$20:M2286)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2286))))</f>
        <v/>
      </c>
    </row>
    <row r="2287" spans="1:13" x14ac:dyDescent="0.25">
      <c r="A2287" s="3">
        <v>41996</v>
      </c>
      <c r="B2287" s="2" t="s">
        <v>16</v>
      </c>
      <c r="C2287" s="2">
        <v>3</v>
      </c>
      <c r="G2287" s="7" t="str">
        <f t="array" ref="G2287">IF(ROWS(K$20:K2287)&gt;$F$6,"",INDEX(A$2:A$10000,SMALL(IF(ISNUMBER(MATCH($B$2:$B$10000,$E$6:$E$22,0)),ROW($C$2:$C$10000)-ROW($C$2)+1),ROWS(K$20:K2287))))</f>
        <v/>
      </c>
      <c r="H2287" s="4" t="str">
        <f t="array" ref="H2287">IF(ROWS(L$20:L2287)&gt;$F$6,"",INDEX(B$2:B$10000,SMALL(IF(ISNUMBER(MATCH($B$2:$B$10000,$E$6:$E$22,0)),ROW($C$2:$C$10000)-ROW($C$2)+1),ROWS(L$20:L2287))))</f>
        <v/>
      </c>
      <c r="I2287" s="4" t="str">
        <f t="array" ref="I2287">IF(ROWS(M$20:M2287)&gt;$F$6,"",INDEX(C$2:C$10000,SMALL(IF(ISNUMBER(MATCH($B$2:$B$10000,$E$6:$E$22,0)),ROW($C$2:$C$10000)-ROW($C$2)+1),ROWS(M$20:M2287))))</f>
        <v/>
      </c>
      <c r="K2287" s="7" t="str">
        <f t="array" ref="K2287">IF(ROWS(K$20:K2287)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2287))))</f>
        <v/>
      </c>
      <c r="L2287" s="4" t="str">
        <f t="array" ref="L2287">IF(ROWS(L$20:L2287)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2287))))</f>
        <v/>
      </c>
      <c r="M2287" s="4" t="str">
        <f t="array" ref="M2287">IF(ROWS(M$20:M2287)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2287))))</f>
        <v/>
      </c>
    </row>
    <row r="2288" spans="1:13" x14ac:dyDescent="0.25">
      <c r="A2288" s="3">
        <v>41700</v>
      </c>
      <c r="B2288" s="2" t="s">
        <v>2</v>
      </c>
      <c r="C2288" s="2">
        <v>46</v>
      </c>
      <c r="G2288" s="7" t="str">
        <f t="array" ref="G2288">IF(ROWS(K$20:K2288)&gt;$F$6,"",INDEX(A$2:A$10000,SMALL(IF(ISNUMBER(MATCH($B$2:$B$10000,$E$6:$E$22,0)),ROW($C$2:$C$10000)-ROW($C$2)+1),ROWS(K$20:K2288))))</f>
        <v/>
      </c>
      <c r="H2288" s="4" t="str">
        <f t="array" ref="H2288">IF(ROWS(L$20:L2288)&gt;$F$6,"",INDEX(B$2:B$10000,SMALL(IF(ISNUMBER(MATCH($B$2:$B$10000,$E$6:$E$22,0)),ROW($C$2:$C$10000)-ROW($C$2)+1),ROWS(L$20:L2288))))</f>
        <v/>
      </c>
      <c r="I2288" s="4" t="str">
        <f t="array" ref="I2288">IF(ROWS(M$20:M2288)&gt;$F$6,"",INDEX(C$2:C$10000,SMALL(IF(ISNUMBER(MATCH($B$2:$B$10000,$E$6:$E$22,0)),ROW($C$2:$C$10000)-ROW($C$2)+1),ROWS(M$20:M2288))))</f>
        <v/>
      </c>
      <c r="K2288" s="7" t="str">
        <f t="array" ref="K2288">IF(ROWS(K$20:K2288)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2288))))</f>
        <v/>
      </c>
      <c r="L2288" s="4" t="str">
        <f t="array" ref="L2288">IF(ROWS(L$20:L2288)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2288))))</f>
        <v/>
      </c>
      <c r="M2288" s="4" t="str">
        <f t="array" ref="M2288">IF(ROWS(M$20:M2288)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2288))))</f>
        <v/>
      </c>
    </row>
    <row r="2289" spans="1:13" x14ac:dyDescent="0.25">
      <c r="A2289" s="3">
        <v>41687</v>
      </c>
      <c r="B2289" s="2" t="s">
        <v>32</v>
      </c>
      <c r="C2289" s="2">
        <v>25</v>
      </c>
      <c r="G2289" s="7" t="str">
        <f t="array" ref="G2289">IF(ROWS(K$20:K2289)&gt;$F$6,"",INDEX(A$2:A$10000,SMALL(IF(ISNUMBER(MATCH($B$2:$B$10000,$E$6:$E$22,0)),ROW($C$2:$C$10000)-ROW($C$2)+1),ROWS(K$20:K2289))))</f>
        <v/>
      </c>
      <c r="H2289" s="4" t="str">
        <f t="array" ref="H2289">IF(ROWS(L$20:L2289)&gt;$F$6,"",INDEX(B$2:B$10000,SMALL(IF(ISNUMBER(MATCH($B$2:$B$10000,$E$6:$E$22,0)),ROW($C$2:$C$10000)-ROW($C$2)+1),ROWS(L$20:L2289))))</f>
        <v/>
      </c>
      <c r="I2289" s="4" t="str">
        <f t="array" ref="I2289">IF(ROWS(M$20:M2289)&gt;$F$6,"",INDEX(C$2:C$10000,SMALL(IF(ISNUMBER(MATCH($B$2:$B$10000,$E$6:$E$22,0)),ROW($C$2:$C$10000)-ROW($C$2)+1),ROWS(M$20:M2289))))</f>
        <v/>
      </c>
      <c r="K2289" s="7" t="str">
        <f t="array" ref="K2289">IF(ROWS(K$20:K2289)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2289))))</f>
        <v/>
      </c>
      <c r="L2289" s="4" t="str">
        <f t="array" ref="L2289">IF(ROWS(L$20:L2289)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2289))))</f>
        <v/>
      </c>
      <c r="M2289" s="4" t="str">
        <f t="array" ref="M2289">IF(ROWS(M$20:M2289)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2289))))</f>
        <v/>
      </c>
    </row>
    <row r="2290" spans="1:13" x14ac:dyDescent="0.25">
      <c r="A2290" s="3">
        <v>41855</v>
      </c>
      <c r="B2290" s="2" t="s">
        <v>29</v>
      </c>
      <c r="C2290" s="2">
        <v>16</v>
      </c>
      <c r="G2290" s="7" t="str">
        <f t="array" ref="G2290">IF(ROWS(K$20:K2290)&gt;$F$6,"",INDEX(A$2:A$10000,SMALL(IF(ISNUMBER(MATCH($B$2:$B$10000,$E$6:$E$22,0)),ROW($C$2:$C$10000)-ROW($C$2)+1),ROWS(K$20:K2290))))</f>
        <v/>
      </c>
      <c r="H2290" s="4" t="str">
        <f t="array" ref="H2290">IF(ROWS(L$20:L2290)&gt;$F$6,"",INDEX(B$2:B$10000,SMALL(IF(ISNUMBER(MATCH($B$2:$B$10000,$E$6:$E$22,0)),ROW($C$2:$C$10000)-ROW($C$2)+1),ROWS(L$20:L2290))))</f>
        <v/>
      </c>
      <c r="I2290" s="4" t="str">
        <f t="array" ref="I2290">IF(ROWS(M$20:M2290)&gt;$F$6,"",INDEX(C$2:C$10000,SMALL(IF(ISNUMBER(MATCH($B$2:$B$10000,$E$6:$E$22,0)),ROW($C$2:$C$10000)-ROW($C$2)+1),ROWS(M$20:M2290))))</f>
        <v/>
      </c>
      <c r="K2290" s="7" t="str">
        <f t="array" ref="K2290">IF(ROWS(K$20:K2290)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2290))))</f>
        <v/>
      </c>
      <c r="L2290" s="4" t="str">
        <f t="array" ref="L2290">IF(ROWS(L$20:L2290)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2290))))</f>
        <v/>
      </c>
      <c r="M2290" s="4" t="str">
        <f t="array" ref="M2290">IF(ROWS(M$20:M2290)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2290))))</f>
        <v/>
      </c>
    </row>
    <row r="2291" spans="1:13" x14ac:dyDescent="0.25">
      <c r="A2291" s="3">
        <v>41911</v>
      </c>
      <c r="B2291" s="2" t="s">
        <v>34</v>
      </c>
      <c r="C2291" s="2">
        <v>20</v>
      </c>
      <c r="G2291" s="7" t="str">
        <f t="array" ref="G2291">IF(ROWS(K$20:K2291)&gt;$F$6,"",INDEX(A$2:A$10000,SMALL(IF(ISNUMBER(MATCH($B$2:$B$10000,$E$6:$E$22,0)),ROW($C$2:$C$10000)-ROW($C$2)+1),ROWS(K$20:K2291))))</f>
        <v/>
      </c>
      <c r="H2291" s="4" t="str">
        <f t="array" ref="H2291">IF(ROWS(L$20:L2291)&gt;$F$6,"",INDEX(B$2:B$10000,SMALL(IF(ISNUMBER(MATCH($B$2:$B$10000,$E$6:$E$22,0)),ROW($C$2:$C$10000)-ROW($C$2)+1),ROWS(L$20:L2291))))</f>
        <v/>
      </c>
      <c r="I2291" s="4" t="str">
        <f t="array" ref="I2291">IF(ROWS(M$20:M2291)&gt;$F$6,"",INDEX(C$2:C$10000,SMALL(IF(ISNUMBER(MATCH($B$2:$B$10000,$E$6:$E$22,0)),ROW($C$2:$C$10000)-ROW($C$2)+1),ROWS(M$20:M2291))))</f>
        <v/>
      </c>
      <c r="K2291" s="7" t="str">
        <f t="array" ref="K2291">IF(ROWS(K$20:K2291)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2291))))</f>
        <v/>
      </c>
      <c r="L2291" s="4" t="str">
        <f t="array" ref="L2291">IF(ROWS(L$20:L2291)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2291))))</f>
        <v/>
      </c>
      <c r="M2291" s="4" t="str">
        <f t="array" ref="M2291">IF(ROWS(M$20:M2291)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2291))))</f>
        <v/>
      </c>
    </row>
    <row r="2292" spans="1:13" x14ac:dyDescent="0.25">
      <c r="A2292" s="3">
        <v>41761</v>
      </c>
      <c r="B2292" s="2" t="s">
        <v>36</v>
      </c>
      <c r="C2292" s="2">
        <v>51</v>
      </c>
      <c r="G2292" s="7" t="str">
        <f t="array" ref="G2292">IF(ROWS(K$20:K2292)&gt;$F$6,"",INDEX(A$2:A$10000,SMALL(IF(ISNUMBER(MATCH($B$2:$B$10000,$E$6:$E$22,0)),ROW($C$2:$C$10000)-ROW($C$2)+1),ROWS(K$20:K2292))))</f>
        <v/>
      </c>
      <c r="H2292" s="4" t="str">
        <f t="array" ref="H2292">IF(ROWS(L$20:L2292)&gt;$F$6,"",INDEX(B$2:B$10000,SMALL(IF(ISNUMBER(MATCH($B$2:$B$10000,$E$6:$E$22,0)),ROW($C$2:$C$10000)-ROW($C$2)+1),ROWS(L$20:L2292))))</f>
        <v/>
      </c>
      <c r="I2292" s="4" t="str">
        <f t="array" ref="I2292">IF(ROWS(M$20:M2292)&gt;$F$6,"",INDEX(C$2:C$10000,SMALL(IF(ISNUMBER(MATCH($B$2:$B$10000,$E$6:$E$22,0)),ROW($C$2:$C$10000)-ROW($C$2)+1),ROWS(M$20:M2292))))</f>
        <v/>
      </c>
      <c r="K2292" s="7" t="str">
        <f t="array" ref="K2292">IF(ROWS(K$20:K2292)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2292))))</f>
        <v/>
      </c>
      <c r="L2292" s="4" t="str">
        <f t="array" ref="L2292">IF(ROWS(L$20:L2292)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2292))))</f>
        <v/>
      </c>
      <c r="M2292" s="4" t="str">
        <f t="array" ref="M2292">IF(ROWS(M$20:M2292)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2292))))</f>
        <v/>
      </c>
    </row>
    <row r="2293" spans="1:13" x14ac:dyDescent="0.25">
      <c r="A2293" s="3">
        <v>41457</v>
      </c>
      <c r="B2293" s="2" t="s">
        <v>13</v>
      </c>
      <c r="C2293" s="2">
        <v>26</v>
      </c>
      <c r="G2293" s="7" t="str">
        <f t="array" ref="G2293">IF(ROWS(K$20:K2293)&gt;$F$6,"",INDEX(A$2:A$10000,SMALL(IF(ISNUMBER(MATCH($B$2:$B$10000,$E$6:$E$22,0)),ROW($C$2:$C$10000)-ROW($C$2)+1),ROWS(K$20:K2293))))</f>
        <v/>
      </c>
      <c r="H2293" s="4" t="str">
        <f t="array" ref="H2293">IF(ROWS(L$20:L2293)&gt;$F$6,"",INDEX(B$2:B$10000,SMALL(IF(ISNUMBER(MATCH($B$2:$B$10000,$E$6:$E$22,0)),ROW($C$2:$C$10000)-ROW($C$2)+1),ROWS(L$20:L2293))))</f>
        <v/>
      </c>
      <c r="I2293" s="4" t="str">
        <f t="array" ref="I2293">IF(ROWS(M$20:M2293)&gt;$F$6,"",INDEX(C$2:C$10000,SMALL(IF(ISNUMBER(MATCH($B$2:$B$10000,$E$6:$E$22,0)),ROW($C$2:$C$10000)-ROW($C$2)+1),ROWS(M$20:M2293))))</f>
        <v/>
      </c>
      <c r="K2293" s="7" t="str">
        <f t="array" ref="K2293">IF(ROWS(K$20:K2293)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2293))))</f>
        <v/>
      </c>
      <c r="L2293" s="4" t="str">
        <f t="array" ref="L2293">IF(ROWS(L$20:L2293)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2293))))</f>
        <v/>
      </c>
      <c r="M2293" s="4" t="str">
        <f t="array" ref="M2293">IF(ROWS(M$20:M2293)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2293))))</f>
        <v/>
      </c>
    </row>
    <row r="2294" spans="1:13" x14ac:dyDescent="0.25">
      <c r="A2294" s="3">
        <v>41401</v>
      </c>
      <c r="B2294" s="2" t="s">
        <v>22</v>
      </c>
      <c r="C2294" s="2">
        <v>18</v>
      </c>
      <c r="G2294" s="7" t="str">
        <f t="array" ref="G2294">IF(ROWS(K$20:K2294)&gt;$F$6,"",INDEX(A$2:A$10000,SMALL(IF(ISNUMBER(MATCH($B$2:$B$10000,$E$6:$E$22,0)),ROW($C$2:$C$10000)-ROW($C$2)+1),ROWS(K$20:K2294))))</f>
        <v/>
      </c>
      <c r="H2294" s="4" t="str">
        <f t="array" ref="H2294">IF(ROWS(L$20:L2294)&gt;$F$6,"",INDEX(B$2:B$10000,SMALL(IF(ISNUMBER(MATCH($B$2:$B$10000,$E$6:$E$22,0)),ROW($C$2:$C$10000)-ROW($C$2)+1),ROWS(L$20:L2294))))</f>
        <v/>
      </c>
      <c r="I2294" s="4" t="str">
        <f t="array" ref="I2294">IF(ROWS(M$20:M2294)&gt;$F$6,"",INDEX(C$2:C$10000,SMALL(IF(ISNUMBER(MATCH($B$2:$B$10000,$E$6:$E$22,0)),ROW($C$2:$C$10000)-ROW($C$2)+1),ROWS(M$20:M2294))))</f>
        <v/>
      </c>
      <c r="K2294" s="7" t="str">
        <f t="array" ref="K2294">IF(ROWS(K$20:K2294)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2294))))</f>
        <v/>
      </c>
      <c r="L2294" s="4" t="str">
        <f t="array" ref="L2294">IF(ROWS(L$20:L2294)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2294))))</f>
        <v/>
      </c>
      <c r="M2294" s="4" t="str">
        <f t="array" ref="M2294">IF(ROWS(M$20:M2294)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2294))))</f>
        <v/>
      </c>
    </row>
    <row r="2295" spans="1:13" x14ac:dyDescent="0.25">
      <c r="A2295" s="3">
        <v>41662</v>
      </c>
      <c r="B2295" s="2" t="s">
        <v>31</v>
      </c>
      <c r="C2295" s="2">
        <v>19</v>
      </c>
      <c r="G2295" s="7" t="str">
        <f t="array" ref="G2295">IF(ROWS(K$20:K2295)&gt;$F$6,"",INDEX(A$2:A$10000,SMALL(IF(ISNUMBER(MATCH($B$2:$B$10000,$E$6:$E$22,0)),ROW($C$2:$C$10000)-ROW($C$2)+1),ROWS(K$20:K2295))))</f>
        <v/>
      </c>
      <c r="H2295" s="4" t="str">
        <f t="array" ref="H2295">IF(ROWS(L$20:L2295)&gt;$F$6,"",INDEX(B$2:B$10000,SMALL(IF(ISNUMBER(MATCH($B$2:$B$10000,$E$6:$E$22,0)),ROW($C$2:$C$10000)-ROW($C$2)+1),ROWS(L$20:L2295))))</f>
        <v/>
      </c>
      <c r="I2295" s="4" t="str">
        <f t="array" ref="I2295">IF(ROWS(M$20:M2295)&gt;$F$6,"",INDEX(C$2:C$10000,SMALL(IF(ISNUMBER(MATCH($B$2:$B$10000,$E$6:$E$22,0)),ROW($C$2:$C$10000)-ROW($C$2)+1),ROWS(M$20:M2295))))</f>
        <v/>
      </c>
      <c r="K2295" s="7" t="str">
        <f t="array" ref="K2295">IF(ROWS(K$20:K2295)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2295))))</f>
        <v/>
      </c>
      <c r="L2295" s="4" t="str">
        <f t="array" ref="L2295">IF(ROWS(L$20:L2295)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2295))))</f>
        <v/>
      </c>
      <c r="M2295" s="4" t="str">
        <f t="array" ref="M2295">IF(ROWS(M$20:M2295)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2295))))</f>
        <v/>
      </c>
    </row>
    <row r="2296" spans="1:13" x14ac:dyDescent="0.25">
      <c r="A2296" s="3">
        <v>41789</v>
      </c>
      <c r="B2296" s="2" t="s">
        <v>44</v>
      </c>
      <c r="C2296" s="2">
        <v>2</v>
      </c>
      <c r="G2296" s="7" t="str">
        <f t="array" ref="G2296">IF(ROWS(K$20:K2296)&gt;$F$6,"",INDEX(A$2:A$10000,SMALL(IF(ISNUMBER(MATCH($B$2:$B$10000,$E$6:$E$22,0)),ROW($C$2:$C$10000)-ROW($C$2)+1),ROWS(K$20:K2296))))</f>
        <v/>
      </c>
      <c r="H2296" s="4" t="str">
        <f t="array" ref="H2296">IF(ROWS(L$20:L2296)&gt;$F$6,"",INDEX(B$2:B$10000,SMALL(IF(ISNUMBER(MATCH($B$2:$B$10000,$E$6:$E$22,0)),ROW($C$2:$C$10000)-ROW($C$2)+1),ROWS(L$20:L2296))))</f>
        <v/>
      </c>
      <c r="I2296" s="4" t="str">
        <f t="array" ref="I2296">IF(ROWS(M$20:M2296)&gt;$F$6,"",INDEX(C$2:C$10000,SMALL(IF(ISNUMBER(MATCH($B$2:$B$10000,$E$6:$E$22,0)),ROW($C$2:$C$10000)-ROW($C$2)+1),ROWS(M$20:M2296))))</f>
        <v/>
      </c>
      <c r="K2296" s="7" t="str">
        <f t="array" ref="K2296">IF(ROWS(K$20:K2296)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2296))))</f>
        <v/>
      </c>
      <c r="L2296" s="4" t="str">
        <f t="array" ref="L2296">IF(ROWS(L$20:L2296)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2296))))</f>
        <v/>
      </c>
      <c r="M2296" s="4" t="str">
        <f t="array" ref="M2296">IF(ROWS(M$20:M2296)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2296))))</f>
        <v/>
      </c>
    </row>
    <row r="2297" spans="1:13" x14ac:dyDescent="0.25">
      <c r="A2297" s="3">
        <v>41529</v>
      </c>
      <c r="B2297" s="2" t="s">
        <v>33</v>
      </c>
      <c r="C2297" s="2">
        <v>24</v>
      </c>
      <c r="G2297" s="7" t="str">
        <f t="array" ref="G2297">IF(ROWS(K$20:K2297)&gt;$F$6,"",INDEX(A$2:A$10000,SMALL(IF(ISNUMBER(MATCH($B$2:$B$10000,$E$6:$E$22,0)),ROW($C$2:$C$10000)-ROW($C$2)+1),ROWS(K$20:K2297))))</f>
        <v/>
      </c>
      <c r="H2297" s="4" t="str">
        <f t="array" ref="H2297">IF(ROWS(L$20:L2297)&gt;$F$6,"",INDEX(B$2:B$10000,SMALL(IF(ISNUMBER(MATCH($B$2:$B$10000,$E$6:$E$22,0)),ROW($C$2:$C$10000)-ROW($C$2)+1),ROWS(L$20:L2297))))</f>
        <v/>
      </c>
      <c r="I2297" s="4" t="str">
        <f t="array" ref="I2297">IF(ROWS(M$20:M2297)&gt;$F$6,"",INDEX(C$2:C$10000,SMALL(IF(ISNUMBER(MATCH($B$2:$B$10000,$E$6:$E$22,0)),ROW($C$2:$C$10000)-ROW($C$2)+1),ROWS(M$20:M2297))))</f>
        <v/>
      </c>
      <c r="K2297" s="7" t="str">
        <f t="array" ref="K2297">IF(ROWS(K$20:K2297)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2297))))</f>
        <v/>
      </c>
      <c r="L2297" s="4" t="str">
        <f t="array" ref="L2297">IF(ROWS(L$20:L2297)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2297))))</f>
        <v/>
      </c>
      <c r="M2297" s="4" t="str">
        <f t="array" ref="M2297">IF(ROWS(M$20:M2297)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2297))))</f>
        <v/>
      </c>
    </row>
    <row r="2298" spans="1:13" x14ac:dyDescent="0.25">
      <c r="A2298" s="3">
        <v>41692</v>
      </c>
      <c r="B2298" s="2" t="s">
        <v>27</v>
      </c>
      <c r="C2298" s="2">
        <v>34</v>
      </c>
      <c r="G2298" s="7" t="str">
        <f t="array" ref="G2298">IF(ROWS(K$20:K2298)&gt;$F$6,"",INDEX(A$2:A$10000,SMALL(IF(ISNUMBER(MATCH($B$2:$B$10000,$E$6:$E$22,0)),ROW($C$2:$C$10000)-ROW($C$2)+1),ROWS(K$20:K2298))))</f>
        <v/>
      </c>
      <c r="H2298" s="4" t="str">
        <f t="array" ref="H2298">IF(ROWS(L$20:L2298)&gt;$F$6,"",INDEX(B$2:B$10000,SMALL(IF(ISNUMBER(MATCH($B$2:$B$10000,$E$6:$E$22,0)),ROW($C$2:$C$10000)-ROW($C$2)+1),ROWS(L$20:L2298))))</f>
        <v/>
      </c>
      <c r="I2298" s="4" t="str">
        <f t="array" ref="I2298">IF(ROWS(M$20:M2298)&gt;$F$6,"",INDEX(C$2:C$10000,SMALL(IF(ISNUMBER(MATCH($B$2:$B$10000,$E$6:$E$22,0)),ROW($C$2:$C$10000)-ROW($C$2)+1),ROWS(M$20:M2298))))</f>
        <v/>
      </c>
      <c r="K2298" s="7" t="str">
        <f t="array" ref="K2298">IF(ROWS(K$20:K2298)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2298))))</f>
        <v/>
      </c>
      <c r="L2298" s="4" t="str">
        <f t="array" ref="L2298">IF(ROWS(L$20:L2298)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2298))))</f>
        <v/>
      </c>
      <c r="M2298" s="4" t="str">
        <f t="array" ref="M2298">IF(ROWS(M$20:M2298)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2298))))</f>
        <v/>
      </c>
    </row>
    <row r="2299" spans="1:13" x14ac:dyDescent="0.25">
      <c r="A2299" s="3">
        <v>41738</v>
      </c>
      <c r="B2299" s="2" t="s">
        <v>8</v>
      </c>
      <c r="C2299" s="2">
        <v>34</v>
      </c>
      <c r="G2299" s="7" t="str">
        <f t="array" ref="G2299">IF(ROWS(K$20:K2299)&gt;$F$6,"",INDEX(A$2:A$10000,SMALL(IF(ISNUMBER(MATCH($B$2:$B$10000,$E$6:$E$22,0)),ROW($C$2:$C$10000)-ROW($C$2)+1),ROWS(K$20:K2299))))</f>
        <v/>
      </c>
      <c r="H2299" s="4" t="str">
        <f t="array" ref="H2299">IF(ROWS(L$20:L2299)&gt;$F$6,"",INDEX(B$2:B$10000,SMALL(IF(ISNUMBER(MATCH($B$2:$B$10000,$E$6:$E$22,0)),ROW($C$2:$C$10000)-ROW($C$2)+1),ROWS(L$20:L2299))))</f>
        <v/>
      </c>
      <c r="I2299" s="4" t="str">
        <f t="array" ref="I2299">IF(ROWS(M$20:M2299)&gt;$F$6,"",INDEX(C$2:C$10000,SMALL(IF(ISNUMBER(MATCH($B$2:$B$10000,$E$6:$E$22,0)),ROW($C$2:$C$10000)-ROW($C$2)+1),ROWS(M$20:M2299))))</f>
        <v/>
      </c>
      <c r="K2299" s="7" t="str">
        <f t="array" ref="K2299">IF(ROWS(K$20:K2299)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2299))))</f>
        <v/>
      </c>
      <c r="L2299" s="4" t="str">
        <f t="array" ref="L2299">IF(ROWS(L$20:L2299)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2299))))</f>
        <v/>
      </c>
      <c r="M2299" s="4" t="str">
        <f t="array" ref="M2299">IF(ROWS(M$20:M2299)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2299))))</f>
        <v/>
      </c>
    </row>
    <row r="2300" spans="1:13" x14ac:dyDescent="0.25">
      <c r="A2300" s="3">
        <v>41592</v>
      </c>
      <c r="B2300" s="2" t="s">
        <v>22</v>
      </c>
      <c r="C2300" s="2">
        <v>4</v>
      </c>
      <c r="G2300" s="7" t="str">
        <f t="array" ref="G2300">IF(ROWS(K$20:K2300)&gt;$F$6,"",INDEX(A$2:A$10000,SMALL(IF(ISNUMBER(MATCH($B$2:$B$10000,$E$6:$E$22,0)),ROW($C$2:$C$10000)-ROW($C$2)+1),ROWS(K$20:K2300))))</f>
        <v/>
      </c>
      <c r="H2300" s="4" t="str">
        <f t="array" ref="H2300">IF(ROWS(L$20:L2300)&gt;$F$6,"",INDEX(B$2:B$10000,SMALL(IF(ISNUMBER(MATCH($B$2:$B$10000,$E$6:$E$22,0)),ROW($C$2:$C$10000)-ROW($C$2)+1),ROWS(L$20:L2300))))</f>
        <v/>
      </c>
      <c r="I2300" s="4" t="str">
        <f t="array" ref="I2300">IF(ROWS(M$20:M2300)&gt;$F$6,"",INDEX(C$2:C$10000,SMALL(IF(ISNUMBER(MATCH($B$2:$B$10000,$E$6:$E$22,0)),ROW($C$2:$C$10000)-ROW($C$2)+1),ROWS(M$20:M2300))))</f>
        <v/>
      </c>
      <c r="K2300" s="7" t="str">
        <f t="array" ref="K2300">IF(ROWS(K$20:K2300)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2300))))</f>
        <v/>
      </c>
      <c r="L2300" s="4" t="str">
        <f t="array" ref="L2300">IF(ROWS(L$20:L2300)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2300))))</f>
        <v/>
      </c>
      <c r="M2300" s="4" t="str">
        <f t="array" ref="M2300">IF(ROWS(M$20:M2300)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2300))))</f>
        <v/>
      </c>
    </row>
    <row r="2301" spans="1:13" x14ac:dyDescent="0.25">
      <c r="A2301" s="3">
        <v>41298</v>
      </c>
      <c r="B2301" s="2" t="s">
        <v>9</v>
      </c>
      <c r="C2301" s="2">
        <v>19</v>
      </c>
      <c r="G2301" s="7" t="str">
        <f t="array" ref="G2301">IF(ROWS(K$20:K2301)&gt;$F$6,"",INDEX(A$2:A$10000,SMALL(IF(ISNUMBER(MATCH($B$2:$B$10000,$E$6:$E$22,0)),ROW($C$2:$C$10000)-ROW($C$2)+1),ROWS(K$20:K2301))))</f>
        <v/>
      </c>
      <c r="H2301" s="4" t="str">
        <f t="array" ref="H2301">IF(ROWS(L$20:L2301)&gt;$F$6,"",INDEX(B$2:B$10000,SMALL(IF(ISNUMBER(MATCH($B$2:$B$10000,$E$6:$E$22,0)),ROW($C$2:$C$10000)-ROW($C$2)+1),ROWS(L$20:L2301))))</f>
        <v/>
      </c>
      <c r="I2301" s="4" t="str">
        <f t="array" ref="I2301">IF(ROWS(M$20:M2301)&gt;$F$6,"",INDEX(C$2:C$10000,SMALL(IF(ISNUMBER(MATCH($B$2:$B$10000,$E$6:$E$22,0)),ROW($C$2:$C$10000)-ROW($C$2)+1),ROWS(M$20:M2301))))</f>
        <v/>
      </c>
      <c r="K2301" s="7" t="str">
        <f t="array" ref="K2301">IF(ROWS(K$20:K2301)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2301))))</f>
        <v/>
      </c>
      <c r="L2301" s="4" t="str">
        <f t="array" ref="L2301">IF(ROWS(L$20:L2301)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2301))))</f>
        <v/>
      </c>
      <c r="M2301" s="4" t="str">
        <f t="array" ref="M2301">IF(ROWS(M$20:M2301)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2301))))</f>
        <v/>
      </c>
    </row>
    <row r="2302" spans="1:13" x14ac:dyDescent="0.25">
      <c r="A2302" s="3">
        <v>41704</v>
      </c>
      <c r="B2302" s="2" t="s">
        <v>45</v>
      </c>
      <c r="C2302" s="2">
        <v>24</v>
      </c>
      <c r="G2302" s="7" t="str">
        <f t="array" ref="G2302">IF(ROWS(K$20:K2302)&gt;$F$6,"",INDEX(A$2:A$10000,SMALL(IF(ISNUMBER(MATCH($B$2:$B$10000,$E$6:$E$22,0)),ROW($C$2:$C$10000)-ROW($C$2)+1),ROWS(K$20:K2302))))</f>
        <v/>
      </c>
      <c r="H2302" s="4" t="str">
        <f t="array" ref="H2302">IF(ROWS(L$20:L2302)&gt;$F$6,"",INDEX(B$2:B$10000,SMALL(IF(ISNUMBER(MATCH($B$2:$B$10000,$E$6:$E$22,0)),ROW($C$2:$C$10000)-ROW($C$2)+1),ROWS(L$20:L2302))))</f>
        <v/>
      </c>
      <c r="I2302" s="4" t="str">
        <f t="array" ref="I2302">IF(ROWS(M$20:M2302)&gt;$F$6,"",INDEX(C$2:C$10000,SMALL(IF(ISNUMBER(MATCH($B$2:$B$10000,$E$6:$E$22,0)),ROW($C$2:$C$10000)-ROW($C$2)+1),ROWS(M$20:M2302))))</f>
        <v/>
      </c>
      <c r="K2302" s="7" t="str">
        <f t="array" ref="K2302">IF(ROWS(K$20:K2302)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2302))))</f>
        <v/>
      </c>
      <c r="L2302" s="4" t="str">
        <f t="array" ref="L2302">IF(ROWS(L$20:L2302)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2302))))</f>
        <v/>
      </c>
      <c r="M2302" s="4" t="str">
        <f t="array" ref="M2302">IF(ROWS(M$20:M2302)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2302))))</f>
        <v/>
      </c>
    </row>
    <row r="2303" spans="1:13" x14ac:dyDescent="0.25">
      <c r="A2303" s="3">
        <v>41397</v>
      </c>
      <c r="B2303" s="2" t="s">
        <v>20</v>
      </c>
      <c r="C2303" s="2">
        <v>48</v>
      </c>
      <c r="G2303" s="7" t="str">
        <f t="array" ref="G2303">IF(ROWS(K$20:K2303)&gt;$F$6,"",INDEX(A$2:A$10000,SMALL(IF(ISNUMBER(MATCH($B$2:$B$10000,$E$6:$E$22,0)),ROW($C$2:$C$10000)-ROW($C$2)+1),ROWS(K$20:K2303))))</f>
        <v/>
      </c>
      <c r="H2303" s="4" t="str">
        <f t="array" ref="H2303">IF(ROWS(L$20:L2303)&gt;$F$6,"",INDEX(B$2:B$10000,SMALL(IF(ISNUMBER(MATCH($B$2:$B$10000,$E$6:$E$22,0)),ROW($C$2:$C$10000)-ROW($C$2)+1),ROWS(L$20:L2303))))</f>
        <v/>
      </c>
      <c r="I2303" s="4" t="str">
        <f t="array" ref="I2303">IF(ROWS(M$20:M2303)&gt;$F$6,"",INDEX(C$2:C$10000,SMALL(IF(ISNUMBER(MATCH($B$2:$B$10000,$E$6:$E$22,0)),ROW($C$2:$C$10000)-ROW($C$2)+1),ROWS(M$20:M2303))))</f>
        <v/>
      </c>
      <c r="K2303" s="7" t="str">
        <f t="array" ref="K2303">IF(ROWS(K$20:K2303)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2303))))</f>
        <v/>
      </c>
      <c r="L2303" s="4" t="str">
        <f t="array" ref="L2303">IF(ROWS(L$20:L2303)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2303))))</f>
        <v/>
      </c>
      <c r="M2303" s="4" t="str">
        <f t="array" ref="M2303">IF(ROWS(M$20:M2303)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2303))))</f>
        <v/>
      </c>
    </row>
    <row r="2304" spans="1:13" x14ac:dyDescent="0.25">
      <c r="A2304" s="3">
        <v>41276</v>
      </c>
      <c r="B2304" s="2" t="s">
        <v>36</v>
      </c>
      <c r="C2304" s="2">
        <v>32</v>
      </c>
      <c r="G2304" s="7" t="str">
        <f t="array" ref="G2304">IF(ROWS(K$20:K2304)&gt;$F$6,"",INDEX(A$2:A$10000,SMALL(IF(ISNUMBER(MATCH($B$2:$B$10000,$E$6:$E$22,0)),ROW($C$2:$C$10000)-ROW($C$2)+1),ROWS(K$20:K2304))))</f>
        <v/>
      </c>
      <c r="H2304" s="4" t="str">
        <f t="array" ref="H2304">IF(ROWS(L$20:L2304)&gt;$F$6,"",INDEX(B$2:B$10000,SMALL(IF(ISNUMBER(MATCH($B$2:$B$10000,$E$6:$E$22,0)),ROW($C$2:$C$10000)-ROW($C$2)+1),ROWS(L$20:L2304))))</f>
        <v/>
      </c>
      <c r="I2304" s="4" t="str">
        <f t="array" ref="I2304">IF(ROWS(M$20:M2304)&gt;$F$6,"",INDEX(C$2:C$10000,SMALL(IF(ISNUMBER(MATCH($B$2:$B$10000,$E$6:$E$22,0)),ROW($C$2:$C$10000)-ROW($C$2)+1),ROWS(M$20:M2304))))</f>
        <v/>
      </c>
      <c r="K2304" s="7" t="str">
        <f t="array" ref="K2304">IF(ROWS(K$20:K2304)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2304))))</f>
        <v/>
      </c>
      <c r="L2304" s="4" t="str">
        <f t="array" ref="L2304">IF(ROWS(L$20:L2304)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2304))))</f>
        <v/>
      </c>
      <c r="M2304" s="4" t="str">
        <f t="array" ref="M2304">IF(ROWS(M$20:M2304)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2304))))</f>
        <v/>
      </c>
    </row>
    <row r="2305" spans="1:13" x14ac:dyDescent="0.25">
      <c r="A2305" s="3">
        <v>41312</v>
      </c>
      <c r="B2305" s="2" t="s">
        <v>9</v>
      </c>
      <c r="C2305" s="2">
        <v>34</v>
      </c>
      <c r="G2305" s="7" t="str">
        <f t="array" ref="G2305">IF(ROWS(K$20:K2305)&gt;$F$6,"",INDEX(A$2:A$10000,SMALL(IF(ISNUMBER(MATCH($B$2:$B$10000,$E$6:$E$22,0)),ROW($C$2:$C$10000)-ROW($C$2)+1),ROWS(K$20:K2305))))</f>
        <v/>
      </c>
      <c r="H2305" s="4" t="str">
        <f t="array" ref="H2305">IF(ROWS(L$20:L2305)&gt;$F$6,"",INDEX(B$2:B$10000,SMALL(IF(ISNUMBER(MATCH($B$2:$B$10000,$E$6:$E$22,0)),ROW($C$2:$C$10000)-ROW($C$2)+1),ROWS(L$20:L2305))))</f>
        <v/>
      </c>
      <c r="I2305" s="4" t="str">
        <f t="array" ref="I2305">IF(ROWS(M$20:M2305)&gt;$F$6,"",INDEX(C$2:C$10000,SMALL(IF(ISNUMBER(MATCH($B$2:$B$10000,$E$6:$E$22,0)),ROW($C$2:$C$10000)-ROW($C$2)+1),ROWS(M$20:M2305))))</f>
        <v/>
      </c>
      <c r="K2305" s="7" t="str">
        <f t="array" ref="K2305">IF(ROWS(K$20:K2305)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2305))))</f>
        <v/>
      </c>
      <c r="L2305" s="4" t="str">
        <f t="array" ref="L2305">IF(ROWS(L$20:L2305)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2305))))</f>
        <v/>
      </c>
      <c r="M2305" s="4" t="str">
        <f t="array" ref="M2305">IF(ROWS(M$20:M2305)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2305))))</f>
        <v/>
      </c>
    </row>
    <row r="2306" spans="1:13" x14ac:dyDescent="0.25">
      <c r="A2306" s="3">
        <v>41300</v>
      </c>
      <c r="B2306" s="2" t="s">
        <v>2</v>
      </c>
      <c r="C2306" s="2">
        <v>50</v>
      </c>
      <c r="G2306" s="7" t="str">
        <f t="array" ref="G2306">IF(ROWS(K$20:K2306)&gt;$F$6,"",INDEX(A$2:A$10000,SMALL(IF(ISNUMBER(MATCH($B$2:$B$10000,$E$6:$E$22,0)),ROW($C$2:$C$10000)-ROW($C$2)+1),ROWS(K$20:K2306))))</f>
        <v/>
      </c>
      <c r="H2306" s="4" t="str">
        <f t="array" ref="H2306">IF(ROWS(L$20:L2306)&gt;$F$6,"",INDEX(B$2:B$10000,SMALL(IF(ISNUMBER(MATCH($B$2:$B$10000,$E$6:$E$22,0)),ROW($C$2:$C$10000)-ROW($C$2)+1),ROWS(L$20:L2306))))</f>
        <v/>
      </c>
      <c r="I2306" s="4" t="str">
        <f t="array" ref="I2306">IF(ROWS(M$20:M2306)&gt;$F$6,"",INDEX(C$2:C$10000,SMALL(IF(ISNUMBER(MATCH($B$2:$B$10000,$E$6:$E$22,0)),ROW($C$2:$C$10000)-ROW($C$2)+1),ROWS(M$20:M2306))))</f>
        <v/>
      </c>
      <c r="K2306" s="7" t="str">
        <f t="array" ref="K2306">IF(ROWS(K$20:K2306)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2306))))</f>
        <v/>
      </c>
      <c r="L2306" s="4" t="str">
        <f t="array" ref="L2306">IF(ROWS(L$20:L2306)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2306))))</f>
        <v/>
      </c>
      <c r="M2306" s="4" t="str">
        <f t="array" ref="M2306">IF(ROWS(M$20:M2306)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2306))))</f>
        <v/>
      </c>
    </row>
    <row r="2307" spans="1:13" x14ac:dyDescent="0.25">
      <c r="A2307" s="3">
        <v>41799</v>
      </c>
      <c r="B2307" s="2" t="s">
        <v>5</v>
      </c>
      <c r="C2307" s="2">
        <v>32</v>
      </c>
      <c r="G2307" s="7" t="str">
        <f t="array" ref="G2307">IF(ROWS(K$20:K2307)&gt;$F$6,"",INDEX(A$2:A$10000,SMALL(IF(ISNUMBER(MATCH($B$2:$B$10000,$E$6:$E$22,0)),ROW($C$2:$C$10000)-ROW($C$2)+1),ROWS(K$20:K2307))))</f>
        <v/>
      </c>
      <c r="H2307" s="4" t="str">
        <f t="array" ref="H2307">IF(ROWS(L$20:L2307)&gt;$F$6,"",INDEX(B$2:B$10000,SMALL(IF(ISNUMBER(MATCH($B$2:$B$10000,$E$6:$E$22,0)),ROW($C$2:$C$10000)-ROW($C$2)+1),ROWS(L$20:L2307))))</f>
        <v/>
      </c>
      <c r="I2307" s="4" t="str">
        <f t="array" ref="I2307">IF(ROWS(M$20:M2307)&gt;$F$6,"",INDEX(C$2:C$10000,SMALL(IF(ISNUMBER(MATCH($B$2:$B$10000,$E$6:$E$22,0)),ROW($C$2:$C$10000)-ROW($C$2)+1),ROWS(M$20:M2307))))</f>
        <v/>
      </c>
      <c r="K2307" s="7" t="str">
        <f t="array" ref="K2307">IF(ROWS(K$20:K2307)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2307))))</f>
        <v/>
      </c>
      <c r="L2307" s="4" t="str">
        <f t="array" ref="L2307">IF(ROWS(L$20:L2307)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2307))))</f>
        <v/>
      </c>
      <c r="M2307" s="4" t="str">
        <f t="array" ref="M2307">IF(ROWS(M$20:M2307)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2307))))</f>
        <v/>
      </c>
    </row>
    <row r="2308" spans="1:13" x14ac:dyDescent="0.25">
      <c r="A2308" s="3">
        <v>41301</v>
      </c>
      <c r="B2308" s="2" t="s">
        <v>2</v>
      </c>
      <c r="C2308" s="2">
        <v>10</v>
      </c>
      <c r="G2308" s="7" t="str">
        <f t="array" ref="G2308">IF(ROWS(K$20:K2308)&gt;$F$6,"",INDEX(A$2:A$10000,SMALL(IF(ISNUMBER(MATCH($B$2:$B$10000,$E$6:$E$22,0)),ROW($C$2:$C$10000)-ROW($C$2)+1),ROWS(K$20:K2308))))</f>
        <v/>
      </c>
      <c r="H2308" s="4" t="str">
        <f t="array" ref="H2308">IF(ROWS(L$20:L2308)&gt;$F$6,"",INDEX(B$2:B$10000,SMALL(IF(ISNUMBER(MATCH($B$2:$B$10000,$E$6:$E$22,0)),ROW($C$2:$C$10000)-ROW($C$2)+1),ROWS(L$20:L2308))))</f>
        <v/>
      </c>
      <c r="I2308" s="4" t="str">
        <f t="array" ref="I2308">IF(ROWS(M$20:M2308)&gt;$F$6,"",INDEX(C$2:C$10000,SMALL(IF(ISNUMBER(MATCH($B$2:$B$10000,$E$6:$E$22,0)),ROW($C$2:$C$10000)-ROW($C$2)+1),ROWS(M$20:M2308))))</f>
        <v/>
      </c>
      <c r="K2308" s="7" t="str">
        <f t="array" ref="K2308">IF(ROWS(K$20:K2308)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2308))))</f>
        <v/>
      </c>
      <c r="L2308" s="4" t="str">
        <f t="array" ref="L2308">IF(ROWS(L$20:L2308)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2308))))</f>
        <v/>
      </c>
      <c r="M2308" s="4" t="str">
        <f t="array" ref="M2308">IF(ROWS(M$20:M2308)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2308))))</f>
        <v/>
      </c>
    </row>
    <row r="2309" spans="1:13" x14ac:dyDescent="0.25">
      <c r="A2309" s="3">
        <v>41787</v>
      </c>
      <c r="B2309" s="2" t="s">
        <v>25</v>
      </c>
      <c r="C2309" s="2">
        <v>28</v>
      </c>
      <c r="G2309" s="7" t="str">
        <f t="array" ref="G2309">IF(ROWS(K$20:K2309)&gt;$F$6,"",INDEX(A$2:A$10000,SMALL(IF(ISNUMBER(MATCH($B$2:$B$10000,$E$6:$E$22,0)),ROW($C$2:$C$10000)-ROW($C$2)+1),ROWS(K$20:K2309))))</f>
        <v/>
      </c>
      <c r="H2309" s="4" t="str">
        <f t="array" ref="H2309">IF(ROWS(L$20:L2309)&gt;$F$6,"",INDEX(B$2:B$10000,SMALL(IF(ISNUMBER(MATCH($B$2:$B$10000,$E$6:$E$22,0)),ROW($C$2:$C$10000)-ROW($C$2)+1),ROWS(L$20:L2309))))</f>
        <v/>
      </c>
      <c r="I2309" s="4" t="str">
        <f t="array" ref="I2309">IF(ROWS(M$20:M2309)&gt;$F$6,"",INDEX(C$2:C$10000,SMALL(IF(ISNUMBER(MATCH($B$2:$B$10000,$E$6:$E$22,0)),ROW($C$2:$C$10000)-ROW($C$2)+1),ROWS(M$20:M2309))))</f>
        <v/>
      </c>
      <c r="K2309" s="7" t="str">
        <f t="array" ref="K2309">IF(ROWS(K$20:K2309)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2309))))</f>
        <v/>
      </c>
      <c r="L2309" s="4" t="str">
        <f t="array" ref="L2309">IF(ROWS(L$20:L2309)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2309))))</f>
        <v/>
      </c>
      <c r="M2309" s="4" t="str">
        <f t="array" ref="M2309">IF(ROWS(M$20:M2309)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2309))))</f>
        <v/>
      </c>
    </row>
    <row r="2310" spans="1:13" x14ac:dyDescent="0.25">
      <c r="A2310" s="3">
        <v>41411</v>
      </c>
      <c r="B2310" s="2" t="s">
        <v>31</v>
      </c>
      <c r="C2310" s="2">
        <v>25</v>
      </c>
      <c r="G2310" s="7" t="str">
        <f t="array" ref="G2310">IF(ROWS(K$20:K2310)&gt;$F$6,"",INDEX(A$2:A$10000,SMALL(IF(ISNUMBER(MATCH($B$2:$B$10000,$E$6:$E$22,0)),ROW($C$2:$C$10000)-ROW($C$2)+1),ROWS(K$20:K2310))))</f>
        <v/>
      </c>
      <c r="H2310" s="4" t="str">
        <f t="array" ref="H2310">IF(ROWS(L$20:L2310)&gt;$F$6,"",INDEX(B$2:B$10000,SMALL(IF(ISNUMBER(MATCH($B$2:$B$10000,$E$6:$E$22,0)),ROW($C$2:$C$10000)-ROW($C$2)+1),ROWS(L$20:L2310))))</f>
        <v/>
      </c>
      <c r="I2310" s="4" t="str">
        <f t="array" ref="I2310">IF(ROWS(M$20:M2310)&gt;$F$6,"",INDEX(C$2:C$10000,SMALL(IF(ISNUMBER(MATCH($B$2:$B$10000,$E$6:$E$22,0)),ROW($C$2:$C$10000)-ROW($C$2)+1),ROWS(M$20:M2310))))</f>
        <v/>
      </c>
      <c r="K2310" s="7" t="str">
        <f t="array" ref="K2310">IF(ROWS(K$20:K2310)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2310))))</f>
        <v/>
      </c>
      <c r="L2310" s="4" t="str">
        <f t="array" ref="L2310">IF(ROWS(L$20:L2310)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2310))))</f>
        <v/>
      </c>
      <c r="M2310" s="4" t="str">
        <f t="array" ref="M2310">IF(ROWS(M$20:M2310)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2310))))</f>
        <v/>
      </c>
    </row>
    <row r="2311" spans="1:13" x14ac:dyDescent="0.25">
      <c r="A2311" s="3">
        <v>41662</v>
      </c>
      <c r="B2311" s="2" t="s">
        <v>14</v>
      </c>
      <c r="C2311" s="2">
        <v>40</v>
      </c>
      <c r="G2311" s="7" t="str">
        <f t="array" ref="G2311">IF(ROWS(K$20:K2311)&gt;$F$6,"",INDEX(A$2:A$10000,SMALL(IF(ISNUMBER(MATCH($B$2:$B$10000,$E$6:$E$22,0)),ROW($C$2:$C$10000)-ROW($C$2)+1),ROWS(K$20:K2311))))</f>
        <v/>
      </c>
      <c r="H2311" s="4" t="str">
        <f t="array" ref="H2311">IF(ROWS(L$20:L2311)&gt;$F$6,"",INDEX(B$2:B$10000,SMALL(IF(ISNUMBER(MATCH($B$2:$B$10000,$E$6:$E$22,0)),ROW($C$2:$C$10000)-ROW($C$2)+1),ROWS(L$20:L2311))))</f>
        <v/>
      </c>
      <c r="I2311" s="4" t="str">
        <f t="array" ref="I2311">IF(ROWS(M$20:M2311)&gt;$F$6,"",INDEX(C$2:C$10000,SMALL(IF(ISNUMBER(MATCH($B$2:$B$10000,$E$6:$E$22,0)),ROW($C$2:$C$10000)-ROW($C$2)+1),ROWS(M$20:M2311))))</f>
        <v/>
      </c>
      <c r="K2311" s="7" t="str">
        <f t="array" ref="K2311">IF(ROWS(K$20:K2311)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2311))))</f>
        <v/>
      </c>
      <c r="L2311" s="4" t="str">
        <f t="array" ref="L2311">IF(ROWS(L$20:L2311)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2311))))</f>
        <v/>
      </c>
      <c r="M2311" s="4" t="str">
        <f t="array" ref="M2311">IF(ROWS(M$20:M2311)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2311))))</f>
        <v/>
      </c>
    </row>
    <row r="2312" spans="1:13" x14ac:dyDescent="0.25">
      <c r="A2312" s="3">
        <v>41329</v>
      </c>
      <c r="B2312" s="2" t="s">
        <v>26</v>
      </c>
      <c r="C2312" s="2">
        <v>32</v>
      </c>
      <c r="G2312" s="7" t="str">
        <f t="array" ref="G2312">IF(ROWS(K$20:K2312)&gt;$F$6,"",INDEX(A$2:A$10000,SMALL(IF(ISNUMBER(MATCH($B$2:$B$10000,$E$6:$E$22,0)),ROW($C$2:$C$10000)-ROW($C$2)+1),ROWS(K$20:K2312))))</f>
        <v/>
      </c>
      <c r="H2312" s="4" t="str">
        <f t="array" ref="H2312">IF(ROWS(L$20:L2312)&gt;$F$6,"",INDEX(B$2:B$10000,SMALL(IF(ISNUMBER(MATCH($B$2:$B$10000,$E$6:$E$22,0)),ROW($C$2:$C$10000)-ROW($C$2)+1),ROWS(L$20:L2312))))</f>
        <v/>
      </c>
      <c r="I2312" s="4" t="str">
        <f t="array" ref="I2312">IF(ROWS(M$20:M2312)&gt;$F$6,"",INDEX(C$2:C$10000,SMALL(IF(ISNUMBER(MATCH($B$2:$B$10000,$E$6:$E$22,0)),ROW($C$2:$C$10000)-ROW($C$2)+1),ROWS(M$20:M2312))))</f>
        <v/>
      </c>
      <c r="K2312" s="7" t="str">
        <f t="array" ref="K2312">IF(ROWS(K$20:K2312)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2312))))</f>
        <v/>
      </c>
      <c r="L2312" s="4" t="str">
        <f t="array" ref="L2312">IF(ROWS(L$20:L2312)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2312))))</f>
        <v/>
      </c>
      <c r="M2312" s="4" t="str">
        <f t="array" ref="M2312">IF(ROWS(M$20:M2312)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2312))))</f>
        <v/>
      </c>
    </row>
    <row r="2313" spans="1:13" x14ac:dyDescent="0.25">
      <c r="A2313" s="3">
        <v>41593</v>
      </c>
      <c r="B2313" s="2" t="s">
        <v>41</v>
      </c>
      <c r="C2313" s="2">
        <v>59</v>
      </c>
      <c r="G2313" s="7" t="str">
        <f t="array" ref="G2313">IF(ROWS(K$20:K2313)&gt;$F$6,"",INDEX(A$2:A$10000,SMALL(IF(ISNUMBER(MATCH($B$2:$B$10000,$E$6:$E$22,0)),ROW($C$2:$C$10000)-ROW($C$2)+1),ROWS(K$20:K2313))))</f>
        <v/>
      </c>
      <c r="H2313" s="4" t="str">
        <f t="array" ref="H2313">IF(ROWS(L$20:L2313)&gt;$F$6,"",INDEX(B$2:B$10000,SMALL(IF(ISNUMBER(MATCH($B$2:$B$10000,$E$6:$E$22,0)),ROW($C$2:$C$10000)-ROW($C$2)+1),ROWS(L$20:L2313))))</f>
        <v/>
      </c>
      <c r="I2313" s="4" t="str">
        <f t="array" ref="I2313">IF(ROWS(M$20:M2313)&gt;$F$6,"",INDEX(C$2:C$10000,SMALL(IF(ISNUMBER(MATCH($B$2:$B$10000,$E$6:$E$22,0)),ROW($C$2:$C$10000)-ROW($C$2)+1),ROWS(M$20:M2313))))</f>
        <v/>
      </c>
      <c r="K2313" s="7" t="str">
        <f t="array" ref="K2313">IF(ROWS(K$20:K2313)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2313))))</f>
        <v/>
      </c>
      <c r="L2313" s="4" t="str">
        <f t="array" ref="L2313">IF(ROWS(L$20:L2313)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2313))))</f>
        <v/>
      </c>
      <c r="M2313" s="4" t="str">
        <f t="array" ref="M2313">IF(ROWS(M$20:M2313)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2313))))</f>
        <v/>
      </c>
    </row>
    <row r="2314" spans="1:13" x14ac:dyDescent="0.25">
      <c r="A2314" s="3">
        <v>41295</v>
      </c>
      <c r="B2314" s="2" t="s">
        <v>7</v>
      </c>
      <c r="C2314" s="2">
        <v>47</v>
      </c>
      <c r="G2314" s="7" t="str">
        <f t="array" ref="G2314">IF(ROWS(K$20:K2314)&gt;$F$6,"",INDEX(A$2:A$10000,SMALL(IF(ISNUMBER(MATCH($B$2:$B$10000,$E$6:$E$22,0)),ROW($C$2:$C$10000)-ROW($C$2)+1),ROWS(K$20:K2314))))</f>
        <v/>
      </c>
      <c r="H2314" s="4" t="str">
        <f t="array" ref="H2314">IF(ROWS(L$20:L2314)&gt;$F$6,"",INDEX(B$2:B$10000,SMALL(IF(ISNUMBER(MATCH($B$2:$B$10000,$E$6:$E$22,0)),ROW($C$2:$C$10000)-ROW($C$2)+1),ROWS(L$20:L2314))))</f>
        <v/>
      </c>
      <c r="I2314" s="4" t="str">
        <f t="array" ref="I2314">IF(ROWS(M$20:M2314)&gt;$F$6,"",INDEX(C$2:C$10000,SMALL(IF(ISNUMBER(MATCH($B$2:$B$10000,$E$6:$E$22,0)),ROW($C$2:$C$10000)-ROW($C$2)+1),ROWS(M$20:M2314))))</f>
        <v/>
      </c>
      <c r="K2314" s="7" t="str">
        <f t="array" ref="K2314">IF(ROWS(K$20:K2314)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2314))))</f>
        <v/>
      </c>
      <c r="L2314" s="4" t="str">
        <f t="array" ref="L2314">IF(ROWS(L$20:L2314)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2314))))</f>
        <v/>
      </c>
      <c r="M2314" s="4" t="str">
        <f t="array" ref="M2314">IF(ROWS(M$20:M2314)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2314))))</f>
        <v/>
      </c>
    </row>
    <row r="2315" spans="1:13" x14ac:dyDescent="0.25">
      <c r="A2315" s="3">
        <v>41484</v>
      </c>
      <c r="B2315" s="2" t="s">
        <v>30</v>
      </c>
      <c r="C2315" s="2">
        <v>13</v>
      </c>
      <c r="G2315" s="7" t="str">
        <f t="array" ref="G2315">IF(ROWS(K$20:K2315)&gt;$F$6,"",INDEX(A$2:A$10000,SMALL(IF(ISNUMBER(MATCH($B$2:$B$10000,$E$6:$E$22,0)),ROW($C$2:$C$10000)-ROW($C$2)+1),ROWS(K$20:K2315))))</f>
        <v/>
      </c>
      <c r="H2315" s="4" t="str">
        <f t="array" ref="H2315">IF(ROWS(L$20:L2315)&gt;$F$6,"",INDEX(B$2:B$10000,SMALL(IF(ISNUMBER(MATCH($B$2:$B$10000,$E$6:$E$22,0)),ROW($C$2:$C$10000)-ROW($C$2)+1),ROWS(L$20:L2315))))</f>
        <v/>
      </c>
      <c r="I2315" s="4" t="str">
        <f t="array" ref="I2315">IF(ROWS(M$20:M2315)&gt;$F$6,"",INDEX(C$2:C$10000,SMALL(IF(ISNUMBER(MATCH($B$2:$B$10000,$E$6:$E$22,0)),ROW($C$2:$C$10000)-ROW($C$2)+1),ROWS(M$20:M2315))))</f>
        <v/>
      </c>
      <c r="K2315" s="7" t="str">
        <f t="array" ref="K2315">IF(ROWS(K$20:K2315)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2315))))</f>
        <v/>
      </c>
      <c r="L2315" s="4" t="str">
        <f t="array" ref="L2315">IF(ROWS(L$20:L2315)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2315))))</f>
        <v/>
      </c>
      <c r="M2315" s="4" t="str">
        <f t="array" ref="M2315">IF(ROWS(M$20:M2315)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2315))))</f>
        <v/>
      </c>
    </row>
    <row r="2316" spans="1:13" x14ac:dyDescent="0.25">
      <c r="A2316" s="3">
        <v>41931</v>
      </c>
      <c r="B2316" s="2" t="s">
        <v>34</v>
      </c>
      <c r="C2316" s="2">
        <v>44</v>
      </c>
      <c r="G2316" s="7" t="str">
        <f t="array" ref="G2316">IF(ROWS(K$20:K2316)&gt;$F$6,"",INDEX(A$2:A$10000,SMALL(IF(ISNUMBER(MATCH($B$2:$B$10000,$E$6:$E$22,0)),ROW($C$2:$C$10000)-ROW($C$2)+1),ROWS(K$20:K2316))))</f>
        <v/>
      </c>
      <c r="H2316" s="4" t="str">
        <f t="array" ref="H2316">IF(ROWS(L$20:L2316)&gt;$F$6,"",INDEX(B$2:B$10000,SMALL(IF(ISNUMBER(MATCH($B$2:$B$10000,$E$6:$E$22,0)),ROW($C$2:$C$10000)-ROW($C$2)+1),ROWS(L$20:L2316))))</f>
        <v/>
      </c>
      <c r="I2316" s="4" t="str">
        <f t="array" ref="I2316">IF(ROWS(M$20:M2316)&gt;$F$6,"",INDEX(C$2:C$10000,SMALL(IF(ISNUMBER(MATCH($B$2:$B$10000,$E$6:$E$22,0)),ROW($C$2:$C$10000)-ROW($C$2)+1),ROWS(M$20:M2316))))</f>
        <v/>
      </c>
      <c r="K2316" s="7" t="str">
        <f t="array" ref="K2316">IF(ROWS(K$20:K2316)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2316))))</f>
        <v/>
      </c>
      <c r="L2316" s="4" t="str">
        <f t="array" ref="L2316">IF(ROWS(L$20:L2316)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2316))))</f>
        <v/>
      </c>
      <c r="M2316" s="4" t="str">
        <f t="array" ref="M2316">IF(ROWS(M$20:M2316)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2316))))</f>
        <v/>
      </c>
    </row>
    <row r="2317" spans="1:13" x14ac:dyDescent="0.25">
      <c r="A2317" s="3">
        <v>41762</v>
      </c>
      <c r="B2317" s="2" t="s">
        <v>43</v>
      </c>
      <c r="C2317" s="2">
        <v>37</v>
      </c>
      <c r="G2317" s="7" t="str">
        <f t="array" ref="G2317">IF(ROWS(K$20:K2317)&gt;$F$6,"",INDEX(A$2:A$10000,SMALL(IF(ISNUMBER(MATCH($B$2:$B$10000,$E$6:$E$22,0)),ROW($C$2:$C$10000)-ROW($C$2)+1),ROWS(K$20:K2317))))</f>
        <v/>
      </c>
      <c r="H2317" s="4" t="str">
        <f t="array" ref="H2317">IF(ROWS(L$20:L2317)&gt;$F$6,"",INDEX(B$2:B$10000,SMALL(IF(ISNUMBER(MATCH($B$2:$B$10000,$E$6:$E$22,0)),ROW($C$2:$C$10000)-ROW($C$2)+1),ROWS(L$20:L2317))))</f>
        <v/>
      </c>
      <c r="I2317" s="4" t="str">
        <f t="array" ref="I2317">IF(ROWS(M$20:M2317)&gt;$F$6,"",INDEX(C$2:C$10000,SMALL(IF(ISNUMBER(MATCH($B$2:$B$10000,$E$6:$E$22,0)),ROW($C$2:$C$10000)-ROW($C$2)+1),ROWS(M$20:M2317))))</f>
        <v/>
      </c>
      <c r="K2317" s="7" t="str">
        <f t="array" ref="K2317">IF(ROWS(K$20:K2317)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2317))))</f>
        <v/>
      </c>
      <c r="L2317" s="4" t="str">
        <f t="array" ref="L2317">IF(ROWS(L$20:L2317)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2317))))</f>
        <v/>
      </c>
      <c r="M2317" s="4" t="str">
        <f t="array" ref="M2317">IF(ROWS(M$20:M2317)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2317))))</f>
        <v/>
      </c>
    </row>
    <row r="2318" spans="1:13" x14ac:dyDescent="0.25">
      <c r="A2318" s="3">
        <v>41675</v>
      </c>
      <c r="B2318" s="2" t="s">
        <v>50</v>
      </c>
      <c r="C2318" s="2">
        <v>3</v>
      </c>
      <c r="G2318" s="7" t="str">
        <f t="array" ref="G2318">IF(ROWS(K$20:K2318)&gt;$F$6,"",INDEX(A$2:A$10000,SMALL(IF(ISNUMBER(MATCH($B$2:$B$10000,$E$6:$E$22,0)),ROW($C$2:$C$10000)-ROW($C$2)+1),ROWS(K$20:K2318))))</f>
        <v/>
      </c>
      <c r="H2318" s="4" t="str">
        <f t="array" ref="H2318">IF(ROWS(L$20:L2318)&gt;$F$6,"",INDEX(B$2:B$10000,SMALL(IF(ISNUMBER(MATCH($B$2:$B$10000,$E$6:$E$22,0)),ROW($C$2:$C$10000)-ROW($C$2)+1),ROWS(L$20:L2318))))</f>
        <v/>
      </c>
      <c r="I2318" s="4" t="str">
        <f t="array" ref="I2318">IF(ROWS(M$20:M2318)&gt;$F$6,"",INDEX(C$2:C$10000,SMALL(IF(ISNUMBER(MATCH($B$2:$B$10000,$E$6:$E$22,0)),ROW($C$2:$C$10000)-ROW($C$2)+1),ROWS(M$20:M2318))))</f>
        <v/>
      </c>
      <c r="K2318" s="7" t="str">
        <f t="array" ref="K2318">IF(ROWS(K$20:K2318)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2318))))</f>
        <v/>
      </c>
      <c r="L2318" s="4" t="str">
        <f t="array" ref="L2318">IF(ROWS(L$20:L2318)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2318))))</f>
        <v/>
      </c>
      <c r="M2318" s="4" t="str">
        <f t="array" ref="M2318">IF(ROWS(M$20:M2318)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2318))))</f>
        <v/>
      </c>
    </row>
    <row r="2319" spans="1:13" x14ac:dyDescent="0.25">
      <c r="A2319" s="3">
        <v>41985</v>
      </c>
      <c r="B2319" s="2" t="s">
        <v>9</v>
      </c>
      <c r="C2319" s="2">
        <v>13</v>
      </c>
      <c r="G2319" s="7" t="str">
        <f t="array" ref="G2319">IF(ROWS(K$20:K2319)&gt;$F$6,"",INDEX(A$2:A$10000,SMALL(IF(ISNUMBER(MATCH($B$2:$B$10000,$E$6:$E$22,0)),ROW($C$2:$C$10000)-ROW($C$2)+1),ROWS(K$20:K2319))))</f>
        <v/>
      </c>
      <c r="H2319" s="4" t="str">
        <f t="array" ref="H2319">IF(ROWS(L$20:L2319)&gt;$F$6,"",INDEX(B$2:B$10000,SMALL(IF(ISNUMBER(MATCH($B$2:$B$10000,$E$6:$E$22,0)),ROW($C$2:$C$10000)-ROW($C$2)+1),ROWS(L$20:L2319))))</f>
        <v/>
      </c>
      <c r="I2319" s="4" t="str">
        <f t="array" ref="I2319">IF(ROWS(M$20:M2319)&gt;$F$6,"",INDEX(C$2:C$10000,SMALL(IF(ISNUMBER(MATCH($B$2:$B$10000,$E$6:$E$22,0)),ROW($C$2:$C$10000)-ROW($C$2)+1),ROWS(M$20:M2319))))</f>
        <v/>
      </c>
      <c r="K2319" s="7" t="str">
        <f t="array" ref="K2319">IF(ROWS(K$20:K2319)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2319))))</f>
        <v/>
      </c>
      <c r="L2319" s="4" t="str">
        <f t="array" ref="L2319">IF(ROWS(L$20:L2319)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2319))))</f>
        <v/>
      </c>
      <c r="M2319" s="4" t="str">
        <f t="array" ref="M2319">IF(ROWS(M$20:M2319)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2319))))</f>
        <v/>
      </c>
    </row>
    <row r="2320" spans="1:13" x14ac:dyDescent="0.25">
      <c r="A2320" s="3">
        <v>41421</v>
      </c>
      <c r="B2320" s="2" t="s">
        <v>36</v>
      </c>
      <c r="C2320" s="2">
        <v>44</v>
      </c>
      <c r="G2320" s="7" t="str">
        <f t="array" ref="G2320">IF(ROWS(K$20:K2320)&gt;$F$6,"",INDEX(A$2:A$10000,SMALL(IF(ISNUMBER(MATCH($B$2:$B$10000,$E$6:$E$22,0)),ROW($C$2:$C$10000)-ROW($C$2)+1),ROWS(K$20:K2320))))</f>
        <v/>
      </c>
      <c r="H2320" s="4" t="str">
        <f t="array" ref="H2320">IF(ROWS(L$20:L2320)&gt;$F$6,"",INDEX(B$2:B$10000,SMALL(IF(ISNUMBER(MATCH($B$2:$B$10000,$E$6:$E$22,0)),ROW($C$2:$C$10000)-ROW($C$2)+1),ROWS(L$20:L2320))))</f>
        <v/>
      </c>
      <c r="I2320" s="4" t="str">
        <f t="array" ref="I2320">IF(ROWS(M$20:M2320)&gt;$F$6,"",INDEX(C$2:C$10000,SMALL(IF(ISNUMBER(MATCH($B$2:$B$10000,$E$6:$E$22,0)),ROW($C$2:$C$10000)-ROW($C$2)+1),ROWS(M$20:M2320))))</f>
        <v/>
      </c>
      <c r="K2320" s="7" t="str">
        <f t="array" ref="K2320">IF(ROWS(K$20:K2320)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2320))))</f>
        <v/>
      </c>
      <c r="L2320" s="4" t="str">
        <f t="array" ref="L2320">IF(ROWS(L$20:L2320)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2320))))</f>
        <v/>
      </c>
      <c r="M2320" s="4" t="str">
        <f t="array" ref="M2320">IF(ROWS(M$20:M2320)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2320))))</f>
        <v/>
      </c>
    </row>
    <row r="2321" spans="1:13" x14ac:dyDescent="0.25">
      <c r="A2321" s="3">
        <v>41360</v>
      </c>
      <c r="B2321" s="2" t="s">
        <v>18</v>
      </c>
      <c r="C2321" s="2">
        <v>23</v>
      </c>
      <c r="G2321" s="7" t="str">
        <f t="array" ref="G2321">IF(ROWS(K$20:K2321)&gt;$F$6,"",INDEX(A$2:A$10000,SMALL(IF(ISNUMBER(MATCH($B$2:$B$10000,$E$6:$E$22,0)),ROW($C$2:$C$10000)-ROW($C$2)+1),ROWS(K$20:K2321))))</f>
        <v/>
      </c>
      <c r="H2321" s="4" t="str">
        <f t="array" ref="H2321">IF(ROWS(L$20:L2321)&gt;$F$6,"",INDEX(B$2:B$10000,SMALL(IF(ISNUMBER(MATCH($B$2:$B$10000,$E$6:$E$22,0)),ROW($C$2:$C$10000)-ROW($C$2)+1),ROWS(L$20:L2321))))</f>
        <v/>
      </c>
      <c r="I2321" s="4" t="str">
        <f t="array" ref="I2321">IF(ROWS(M$20:M2321)&gt;$F$6,"",INDEX(C$2:C$10000,SMALL(IF(ISNUMBER(MATCH($B$2:$B$10000,$E$6:$E$22,0)),ROW($C$2:$C$10000)-ROW($C$2)+1),ROWS(M$20:M2321))))</f>
        <v/>
      </c>
      <c r="K2321" s="7" t="str">
        <f t="array" ref="K2321">IF(ROWS(K$20:K2321)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2321))))</f>
        <v/>
      </c>
      <c r="L2321" s="4" t="str">
        <f t="array" ref="L2321">IF(ROWS(L$20:L2321)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2321))))</f>
        <v/>
      </c>
      <c r="M2321" s="4" t="str">
        <f t="array" ref="M2321">IF(ROWS(M$20:M2321)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2321))))</f>
        <v/>
      </c>
    </row>
    <row r="2322" spans="1:13" x14ac:dyDescent="0.25">
      <c r="A2322" s="3">
        <v>41556</v>
      </c>
      <c r="B2322" s="2" t="s">
        <v>49</v>
      </c>
      <c r="C2322" s="2">
        <v>50</v>
      </c>
      <c r="G2322" s="7" t="str">
        <f t="array" ref="G2322">IF(ROWS(K$20:K2322)&gt;$F$6,"",INDEX(A$2:A$10000,SMALL(IF(ISNUMBER(MATCH($B$2:$B$10000,$E$6:$E$22,0)),ROW($C$2:$C$10000)-ROW($C$2)+1),ROWS(K$20:K2322))))</f>
        <v/>
      </c>
      <c r="H2322" s="4" t="str">
        <f t="array" ref="H2322">IF(ROWS(L$20:L2322)&gt;$F$6,"",INDEX(B$2:B$10000,SMALL(IF(ISNUMBER(MATCH($B$2:$B$10000,$E$6:$E$22,0)),ROW($C$2:$C$10000)-ROW($C$2)+1),ROWS(L$20:L2322))))</f>
        <v/>
      </c>
      <c r="I2322" s="4" t="str">
        <f t="array" ref="I2322">IF(ROWS(M$20:M2322)&gt;$F$6,"",INDEX(C$2:C$10000,SMALL(IF(ISNUMBER(MATCH($B$2:$B$10000,$E$6:$E$22,0)),ROW($C$2:$C$10000)-ROW($C$2)+1),ROWS(M$20:M2322))))</f>
        <v/>
      </c>
      <c r="K2322" s="7" t="str">
        <f t="array" ref="K2322">IF(ROWS(K$20:K2322)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2322))))</f>
        <v/>
      </c>
      <c r="L2322" s="4" t="str">
        <f t="array" ref="L2322">IF(ROWS(L$20:L2322)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2322))))</f>
        <v/>
      </c>
      <c r="M2322" s="4" t="str">
        <f t="array" ref="M2322">IF(ROWS(M$20:M2322)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2322))))</f>
        <v/>
      </c>
    </row>
    <row r="2323" spans="1:13" x14ac:dyDescent="0.25">
      <c r="A2323" s="3">
        <v>41748</v>
      </c>
      <c r="B2323" s="2" t="s">
        <v>20</v>
      </c>
      <c r="C2323" s="2">
        <v>8</v>
      </c>
      <c r="G2323" s="7" t="str">
        <f t="array" ref="G2323">IF(ROWS(K$20:K2323)&gt;$F$6,"",INDEX(A$2:A$10000,SMALL(IF(ISNUMBER(MATCH($B$2:$B$10000,$E$6:$E$22,0)),ROW($C$2:$C$10000)-ROW($C$2)+1),ROWS(K$20:K2323))))</f>
        <v/>
      </c>
      <c r="H2323" s="4" t="str">
        <f t="array" ref="H2323">IF(ROWS(L$20:L2323)&gt;$F$6,"",INDEX(B$2:B$10000,SMALL(IF(ISNUMBER(MATCH($B$2:$B$10000,$E$6:$E$22,0)),ROW($C$2:$C$10000)-ROW($C$2)+1),ROWS(L$20:L2323))))</f>
        <v/>
      </c>
      <c r="I2323" s="4" t="str">
        <f t="array" ref="I2323">IF(ROWS(M$20:M2323)&gt;$F$6,"",INDEX(C$2:C$10000,SMALL(IF(ISNUMBER(MATCH($B$2:$B$10000,$E$6:$E$22,0)),ROW($C$2:$C$10000)-ROW($C$2)+1),ROWS(M$20:M2323))))</f>
        <v/>
      </c>
      <c r="K2323" s="7" t="str">
        <f t="array" ref="K2323">IF(ROWS(K$20:K2323)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2323))))</f>
        <v/>
      </c>
      <c r="L2323" s="4" t="str">
        <f t="array" ref="L2323">IF(ROWS(L$20:L2323)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2323))))</f>
        <v/>
      </c>
      <c r="M2323" s="4" t="str">
        <f t="array" ref="M2323">IF(ROWS(M$20:M2323)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2323))))</f>
        <v/>
      </c>
    </row>
    <row r="2324" spans="1:13" x14ac:dyDescent="0.25">
      <c r="A2324" s="3">
        <v>41980</v>
      </c>
      <c r="B2324" s="2" t="s">
        <v>48</v>
      </c>
      <c r="C2324" s="2">
        <v>31</v>
      </c>
      <c r="G2324" s="7" t="str">
        <f t="array" ref="G2324">IF(ROWS(K$20:K2324)&gt;$F$6,"",INDEX(A$2:A$10000,SMALL(IF(ISNUMBER(MATCH($B$2:$B$10000,$E$6:$E$22,0)),ROW($C$2:$C$10000)-ROW($C$2)+1),ROWS(K$20:K2324))))</f>
        <v/>
      </c>
      <c r="H2324" s="4" t="str">
        <f t="array" ref="H2324">IF(ROWS(L$20:L2324)&gt;$F$6,"",INDEX(B$2:B$10000,SMALL(IF(ISNUMBER(MATCH($B$2:$B$10000,$E$6:$E$22,0)),ROW($C$2:$C$10000)-ROW($C$2)+1),ROWS(L$20:L2324))))</f>
        <v/>
      </c>
      <c r="I2324" s="4" t="str">
        <f t="array" ref="I2324">IF(ROWS(M$20:M2324)&gt;$F$6,"",INDEX(C$2:C$10000,SMALL(IF(ISNUMBER(MATCH($B$2:$B$10000,$E$6:$E$22,0)),ROW($C$2:$C$10000)-ROW($C$2)+1),ROWS(M$20:M2324))))</f>
        <v/>
      </c>
      <c r="K2324" s="7" t="str">
        <f t="array" ref="K2324">IF(ROWS(K$20:K2324)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2324))))</f>
        <v/>
      </c>
      <c r="L2324" s="4" t="str">
        <f t="array" ref="L2324">IF(ROWS(L$20:L2324)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2324))))</f>
        <v/>
      </c>
      <c r="M2324" s="4" t="str">
        <f t="array" ref="M2324">IF(ROWS(M$20:M2324)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2324))))</f>
        <v/>
      </c>
    </row>
    <row r="2325" spans="1:13" x14ac:dyDescent="0.25">
      <c r="A2325" s="3">
        <v>41490</v>
      </c>
      <c r="B2325" s="2" t="s">
        <v>44</v>
      </c>
      <c r="C2325" s="2">
        <v>18</v>
      </c>
      <c r="G2325" s="7" t="str">
        <f t="array" ref="G2325">IF(ROWS(K$20:K2325)&gt;$F$6,"",INDEX(A$2:A$10000,SMALL(IF(ISNUMBER(MATCH($B$2:$B$10000,$E$6:$E$22,0)),ROW($C$2:$C$10000)-ROW($C$2)+1),ROWS(K$20:K2325))))</f>
        <v/>
      </c>
      <c r="H2325" s="4" t="str">
        <f t="array" ref="H2325">IF(ROWS(L$20:L2325)&gt;$F$6,"",INDEX(B$2:B$10000,SMALL(IF(ISNUMBER(MATCH($B$2:$B$10000,$E$6:$E$22,0)),ROW($C$2:$C$10000)-ROW($C$2)+1),ROWS(L$20:L2325))))</f>
        <v/>
      </c>
      <c r="I2325" s="4" t="str">
        <f t="array" ref="I2325">IF(ROWS(M$20:M2325)&gt;$F$6,"",INDEX(C$2:C$10000,SMALL(IF(ISNUMBER(MATCH($B$2:$B$10000,$E$6:$E$22,0)),ROW($C$2:$C$10000)-ROW($C$2)+1),ROWS(M$20:M2325))))</f>
        <v/>
      </c>
      <c r="K2325" s="7" t="str">
        <f t="array" ref="K2325">IF(ROWS(K$20:K2325)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2325))))</f>
        <v/>
      </c>
      <c r="L2325" s="4" t="str">
        <f t="array" ref="L2325">IF(ROWS(L$20:L2325)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2325))))</f>
        <v/>
      </c>
      <c r="M2325" s="4" t="str">
        <f t="array" ref="M2325">IF(ROWS(M$20:M2325)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2325))))</f>
        <v/>
      </c>
    </row>
    <row r="2326" spans="1:13" x14ac:dyDescent="0.25">
      <c r="A2326" s="3">
        <v>41523</v>
      </c>
      <c r="B2326" s="2" t="s">
        <v>50</v>
      </c>
      <c r="C2326" s="2">
        <v>5</v>
      </c>
      <c r="G2326" s="7" t="str">
        <f t="array" ref="G2326">IF(ROWS(K$20:K2326)&gt;$F$6,"",INDEX(A$2:A$10000,SMALL(IF(ISNUMBER(MATCH($B$2:$B$10000,$E$6:$E$22,0)),ROW($C$2:$C$10000)-ROW($C$2)+1),ROWS(K$20:K2326))))</f>
        <v/>
      </c>
      <c r="H2326" s="4" t="str">
        <f t="array" ref="H2326">IF(ROWS(L$20:L2326)&gt;$F$6,"",INDEX(B$2:B$10000,SMALL(IF(ISNUMBER(MATCH($B$2:$B$10000,$E$6:$E$22,0)),ROW($C$2:$C$10000)-ROW($C$2)+1),ROWS(L$20:L2326))))</f>
        <v/>
      </c>
      <c r="I2326" s="4" t="str">
        <f t="array" ref="I2326">IF(ROWS(M$20:M2326)&gt;$F$6,"",INDEX(C$2:C$10000,SMALL(IF(ISNUMBER(MATCH($B$2:$B$10000,$E$6:$E$22,0)),ROW($C$2:$C$10000)-ROW($C$2)+1),ROWS(M$20:M2326))))</f>
        <v/>
      </c>
      <c r="K2326" s="7" t="str">
        <f t="array" ref="K2326">IF(ROWS(K$20:K2326)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2326))))</f>
        <v/>
      </c>
      <c r="L2326" s="4" t="str">
        <f t="array" ref="L2326">IF(ROWS(L$20:L2326)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2326))))</f>
        <v/>
      </c>
      <c r="M2326" s="4" t="str">
        <f t="array" ref="M2326">IF(ROWS(M$20:M2326)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2326))))</f>
        <v/>
      </c>
    </row>
    <row r="2327" spans="1:13" x14ac:dyDescent="0.25">
      <c r="A2327" s="3">
        <v>41439</v>
      </c>
      <c r="B2327" s="2" t="s">
        <v>7</v>
      </c>
      <c r="C2327" s="2">
        <v>1</v>
      </c>
      <c r="G2327" s="7" t="str">
        <f t="array" ref="G2327">IF(ROWS(K$20:K2327)&gt;$F$6,"",INDEX(A$2:A$10000,SMALL(IF(ISNUMBER(MATCH($B$2:$B$10000,$E$6:$E$22,0)),ROW($C$2:$C$10000)-ROW($C$2)+1),ROWS(K$20:K2327))))</f>
        <v/>
      </c>
      <c r="H2327" s="4" t="str">
        <f t="array" ref="H2327">IF(ROWS(L$20:L2327)&gt;$F$6,"",INDEX(B$2:B$10000,SMALL(IF(ISNUMBER(MATCH($B$2:$B$10000,$E$6:$E$22,0)),ROW($C$2:$C$10000)-ROW($C$2)+1),ROWS(L$20:L2327))))</f>
        <v/>
      </c>
      <c r="I2327" s="4" t="str">
        <f t="array" ref="I2327">IF(ROWS(M$20:M2327)&gt;$F$6,"",INDEX(C$2:C$10000,SMALL(IF(ISNUMBER(MATCH($B$2:$B$10000,$E$6:$E$22,0)),ROW($C$2:$C$10000)-ROW($C$2)+1),ROWS(M$20:M2327))))</f>
        <v/>
      </c>
      <c r="K2327" s="7" t="str">
        <f t="array" ref="K2327">IF(ROWS(K$20:K2327)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2327))))</f>
        <v/>
      </c>
      <c r="L2327" s="4" t="str">
        <f t="array" ref="L2327">IF(ROWS(L$20:L2327)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2327))))</f>
        <v/>
      </c>
      <c r="M2327" s="4" t="str">
        <f t="array" ref="M2327">IF(ROWS(M$20:M2327)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2327))))</f>
        <v/>
      </c>
    </row>
    <row r="2328" spans="1:13" x14ac:dyDescent="0.25">
      <c r="A2328" s="3">
        <v>41650</v>
      </c>
      <c r="B2328" s="2" t="s">
        <v>16</v>
      </c>
      <c r="C2328" s="2">
        <v>11</v>
      </c>
      <c r="G2328" s="7" t="str">
        <f t="array" ref="G2328">IF(ROWS(K$20:K2328)&gt;$F$6,"",INDEX(A$2:A$10000,SMALL(IF(ISNUMBER(MATCH($B$2:$B$10000,$E$6:$E$22,0)),ROW($C$2:$C$10000)-ROW($C$2)+1),ROWS(K$20:K2328))))</f>
        <v/>
      </c>
      <c r="H2328" s="4" t="str">
        <f t="array" ref="H2328">IF(ROWS(L$20:L2328)&gt;$F$6,"",INDEX(B$2:B$10000,SMALL(IF(ISNUMBER(MATCH($B$2:$B$10000,$E$6:$E$22,0)),ROW($C$2:$C$10000)-ROW($C$2)+1),ROWS(L$20:L2328))))</f>
        <v/>
      </c>
      <c r="I2328" s="4" t="str">
        <f t="array" ref="I2328">IF(ROWS(M$20:M2328)&gt;$F$6,"",INDEX(C$2:C$10000,SMALL(IF(ISNUMBER(MATCH($B$2:$B$10000,$E$6:$E$22,0)),ROW($C$2:$C$10000)-ROW($C$2)+1),ROWS(M$20:M2328))))</f>
        <v/>
      </c>
      <c r="K2328" s="7" t="str">
        <f t="array" ref="K2328">IF(ROWS(K$20:K2328)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2328))))</f>
        <v/>
      </c>
      <c r="L2328" s="4" t="str">
        <f t="array" ref="L2328">IF(ROWS(L$20:L2328)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2328))))</f>
        <v/>
      </c>
      <c r="M2328" s="4" t="str">
        <f t="array" ref="M2328">IF(ROWS(M$20:M2328)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2328))))</f>
        <v/>
      </c>
    </row>
    <row r="2329" spans="1:13" x14ac:dyDescent="0.25">
      <c r="A2329" s="3">
        <v>41327</v>
      </c>
      <c r="B2329" s="2" t="s">
        <v>46</v>
      </c>
      <c r="C2329" s="2">
        <v>14</v>
      </c>
      <c r="G2329" s="7" t="str">
        <f t="array" ref="G2329">IF(ROWS(K$20:K2329)&gt;$F$6,"",INDEX(A$2:A$10000,SMALL(IF(ISNUMBER(MATCH($B$2:$B$10000,$E$6:$E$22,0)),ROW($C$2:$C$10000)-ROW($C$2)+1),ROWS(K$20:K2329))))</f>
        <v/>
      </c>
      <c r="H2329" s="4" t="str">
        <f t="array" ref="H2329">IF(ROWS(L$20:L2329)&gt;$F$6,"",INDEX(B$2:B$10000,SMALL(IF(ISNUMBER(MATCH($B$2:$B$10000,$E$6:$E$22,0)),ROW($C$2:$C$10000)-ROW($C$2)+1),ROWS(L$20:L2329))))</f>
        <v/>
      </c>
      <c r="I2329" s="4" t="str">
        <f t="array" ref="I2329">IF(ROWS(M$20:M2329)&gt;$F$6,"",INDEX(C$2:C$10000,SMALL(IF(ISNUMBER(MATCH($B$2:$B$10000,$E$6:$E$22,0)),ROW($C$2:$C$10000)-ROW($C$2)+1),ROWS(M$20:M2329))))</f>
        <v/>
      </c>
      <c r="K2329" s="7" t="str">
        <f t="array" ref="K2329">IF(ROWS(K$20:K2329)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2329))))</f>
        <v/>
      </c>
      <c r="L2329" s="4" t="str">
        <f t="array" ref="L2329">IF(ROWS(L$20:L2329)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2329))))</f>
        <v/>
      </c>
      <c r="M2329" s="4" t="str">
        <f t="array" ref="M2329">IF(ROWS(M$20:M2329)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2329))))</f>
        <v/>
      </c>
    </row>
    <row r="2330" spans="1:13" x14ac:dyDescent="0.25">
      <c r="A2330" s="3">
        <v>41817</v>
      </c>
      <c r="B2330" s="2" t="s">
        <v>16</v>
      </c>
      <c r="C2330" s="2">
        <v>46</v>
      </c>
      <c r="G2330" s="7" t="str">
        <f t="array" ref="G2330">IF(ROWS(K$20:K2330)&gt;$F$6,"",INDEX(A$2:A$10000,SMALL(IF(ISNUMBER(MATCH($B$2:$B$10000,$E$6:$E$22,0)),ROW($C$2:$C$10000)-ROW($C$2)+1),ROWS(K$20:K2330))))</f>
        <v/>
      </c>
      <c r="H2330" s="4" t="str">
        <f t="array" ref="H2330">IF(ROWS(L$20:L2330)&gt;$F$6,"",INDEX(B$2:B$10000,SMALL(IF(ISNUMBER(MATCH($B$2:$B$10000,$E$6:$E$22,0)),ROW($C$2:$C$10000)-ROW($C$2)+1),ROWS(L$20:L2330))))</f>
        <v/>
      </c>
      <c r="I2330" s="4" t="str">
        <f t="array" ref="I2330">IF(ROWS(M$20:M2330)&gt;$F$6,"",INDEX(C$2:C$10000,SMALL(IF(ISNUMBER(MATCH($B$2:$B$10000,$E$6:$E$22,0)),ROW($C$2:$C$10000)-ROW($C$2)+1),ROWS(M$20:M2330))))</f>
        <v/>
      </c>
      <c r="K2330" s="7" t="str">
        <f t="array" ref="K2330">IF(ROWS(K$20:K2330)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2330))))</f>
        <v/>
      </c>
      <c r="L2330" s="4" t="str">
        <f t="array" ref="L2330">IF(ROWS(L$20:L2330)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2330))))</f>
        <v/>
      </c>
      <c r="M2330" s="4" t="str">
        <f t="array" ref="M2330">IF(ROWS(M$20:M2330)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2330))))</f>
        <v/>
      </c>
    </row>
    <row r="2331" spans="1:13" x14ac:dyDescent="0.25">
      <c r="A2331" s="3">
        <v>41932</v>
      </c>
      <c r="B2331" s="2" t="s">
        <v>7</v>
      </c>
      <c r="C2331" s="2">
        <v>10</v>
      </c>
      <c r="G2331" s="7" t="str">
        <f t="array" ref="G2331">IF(ROWS(K$20:K2331)&gt;$F$6,"",INDEX(A$2:A$10000,SMALL(IF(ISNUMBER(MATCH($B$2:$B$10000,$E$6:$E$22,0)),ROW($C$2:$C$10000)-ROW($C$2)+1),ROWS(K$20:K2331))))</f>
        <v/>
      </c>
      <c r="H2331" s="4" t="str">
        <f t="array" ref="H2331">IF(ROWS(L$20:L2331)&gt;$F$6,"",INDEX(B$2:B$10000,SMALL(IF(ISNUMBER(MATCH($B$2:$B$10000,$E$6:$E$22,0)),ROW($C$2:$C$10000)-ROW($C$2)+1),ROWS(L$20:L2331))))</f>
        <v/>
      </c>
      <c r="I2331" s="4" t="str">
        <f t="array" ref="I2331">IF(ROWS(M$20:M2331)&gt;$F$6,"",INDEX(C$2:C$10000,SMALL(IF(ISNUMBER(MATCH($B$2:$B$10000,$E$6:$E$22,0)),ROW($C$2:$C$10000)-ROW($C$2)+1),ROWS(M$20:M2331))))</f>
        <v/>
      </c>
      <c r="K2331" s="7" t="str">
        <f t="array" ref="K2331">IF(ROWS(K$20:K2331)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2331))))</f>
        <v/>
      </c>
      <c r="L2331" s="4" t="str">
        <f t="array" ref="L2331">IF(ROWS(L$20:L2331)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2331))))</f>
        <v/>
      </c>
      <c r="M2331" s="4" t="str">
        <f t="array" ref="M2331">IF(ROWS(M$20:M2331)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2331))))</f>
        <v/>
      </c>
    </row>
    <row r="2332" spans="1:13" x14ac:dyDescent="0.25">
      <c r="A2332" s="3">
        <v>41852</v>
      </c>
      <c r="B2332" s="2" t="s">
        <v>36</v>
      </c>
      <c r="C2332" s="2">
        <v>17</v>
      </c>
      <c r="G2332" s="7" t="str">
        <f t="array" ref="G2332">IF(ROWS(K$20:K2332)&gt;$F$6,"",INDEX(A$2:A$10000,SMALL(IF(ISNUMBER(MATCH($B$2:$B$10000,$E$6:$E$22,0)),ROW($C$2:$C$10000)-ROW($C$2)+1),ROWS(K$20:K2332))))</f>
        <v/>
      </c>
      <c r="H2332" s="4" t="str">
        <f t="array" ref="H2332">IF(ROWS(L$20:L2332)&gt;$F$6,"",INDEX(B$2:B$10000,SMALL(IF(ISNUMBER(MATCH($B$2:$B$10000,$E$6:$E$22,0)),ROW($C$2:$C$10000)-ROW($C$2)+1),ROWS(L$20:L2332))))</f>
        <v/>
      </c>
      <c r="I2332" s="4" t="str">
        <f t="array" ref="I2332">IF(ROWS(M$20:M2332)&gt;$F$6,"",INDEX(C$2:C$10000,SMALL(IF(ISNUMBER(MATCH($B$2:$B$10000,$E$6:$E$22,0)),ROW($C$2:$C$10000)-ROW($C$2)+1),ROWS(M$20:M2332))))</f>
        <v/>
      </c>
      <c r="K2332" s="7" t="str">
        <f t="array" ref="K2332">IF(ROWS(K$20:K2332)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2332))))</f>
        <v/>
      </c>
      <c r="L2332" s="4" t="str">
        <f t="array" ref="L2332">IF(ROWS(L$20:L2332)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2332))))</f>
        <v/>
      </c>
      <c r="M2332" s="4" t="str">
        <f t="array" ref="M2332">IF(ROWS(M$20:M2332)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2332))))</f>
        <v/>
      </c>
    </row>
    <row r="2333" spans="1:13" x14ac:dyDescent="0.25">
      <c r="A2333" s="3">
        <v>41282</v>
      </c>
      <c r="B2333" s="2" t="s">
        <v>46</v>
      </c>
      <c r="C2333" s="2">
        <v>32</v>
      </c>
      <c r="G2333" s="7" t="str">
        <f t="array" ref="G2333">IF(ROWS(K$20:K2333)&gt;$F$6,"",INDEX(A$2:A$10000,SMALL(IF(ISNUMBER(MATCH($B$2:$B$10000,$E$6:$E$22,0)),ROW($C$2:$C$10000)-ROW($C$2)+1),ROWS(K$20:K2333))))</f>
        <v/>
      </c>
      <c r="H2333" s="4" t="str">
        <f t="array" ref="H2333">IF(ROWS(L$20:L2333)&gt;$F$6,"",INDEX(B$2:B$10000,SMALL(IF(ISNUMBER(MATCH($B$2:$B$10000,$E$6:$E$22,0)),ROW($C$2:$C$10000)-ROW($C$2)+1),ROWS(L$20:L2333))))</f>
        <v/>
      </c>
      <c r="I2333" s="4" t="str">
        <f t="array" ref="I2333">IF(ROWS(M$20:M2333)&gt;$F$6,"",INDEX(C$2:C$10000,SMALL(IF(ISNUMBER(MATCH($B$2:$B$10000,$E$6:$E$22,0)),ROW($C$2:$C$10000)-ROW($C$2)+1),ROWS(M$20:M2333))))</f>
        <v/>
      </c>
      <c r="K2333" s="7" t="str">
        <f t="array" ref="K2333">IF(ROWS(K$20:K2333)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2333))))</f>
        <v/>
      </c>
      <c r="L2333" s="4" t="str">
        <f t="array" ref="L2333">IF(ROWS(L$20:L2333)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2333))))</f>
        <v/>
      </c>
      <c r="M2333" s="4" t="str">
        <f t="array" ref="M2333">IF(ROWS(M$20:M2333)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2333))))</f>
        <v/>
      </c>
    </row>
    <row r="2334" spans="1:13" x14ac:dyDescent="0.25">
      <c r="A2334" s="3">
        <v>41637</v>
      </c>
      <c r="B2334" s="2" t="s">
        <v>39</v>
      </c>
      <c r="C2334" s="2">
        <v>26</v>
      </c>
      <c r="G2334" s="7" t="str">
        <f t="array" ref="G2334">IF(ROWS(K$20:K2334)&gt;$F$6,"",INDEX(A$2:A$10000,SMALL(IF(ISNUMBER(MATCH($B$2:$B$10000,$E$6:$E$22,0)),ROW($C$2:$C$10000)-ROW($C$2)+1),ROWS(K$20:K2334))))</f>
        <v/>
      </c>
      <c r="H2334" s="4" t="str">
        <f t="array" ref="H2334">IF(ROWS(L$20:L2334)&gt;$F$6,"",INDEX(B$2:B$10000,SMALL(IF(ISNUMBER(MATCH($B$2:$B$10000,$E$6:$E$22,0)),ROW($C$2:$C$10000)-ROW($C$2)+1),ROWS(L$20:L2334))))</f>
        <v/>
      </c>
      <c r="I2334" s="4" t="str">
        <f t="array" ref="I2334">IF(ROWS(M$20:M2334)&gt;$F$6,"",INDEX(C$2:C$10000,SMALL(IF(ISNUMBER(MATCH($B$2:$B$10000,$E$6:$E$22,0)),ROW($C$2:$C$10000)-ROW($C$2)+1),ROWS(M$20:M2334))))</f>
        <v/>
      </c>
      <c r="K2334" s="7" t="str">
        <f t="array" ref="K2334">IF(ROWS(K$20:K2334)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2334))))</f>
        <v/>
      </c>
      <c r="L2334" s="4" t="str">
        <f t="array" ref="L2334">IF(ROWS(L$20:L2334)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2334))))</f>
        <v/>
      </c>
      <c r="M2334" s="4" t="str">
        <f t="array" ref="M2334">IF(ROWS(M$20:M2334)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2334))))</f>
        <v/>
      </c>
    </row>
    <row r="2335" spans="1:13" x14ac:dyDescent="0.25">
      <c r="A2335" s="3">
        <v>41399</v>
      </c>
      <c r="B2335" s="2" t="s">
        <v>15</v>
      </c>
      <c r="C2335" s="2">
        <v>23</v>
      </c>
      <c r="G2335" s="7" t="str">
        <f t="array" ref="G2335">IF(ROWS(K$20:K2335)&gt;$F$6,"",INDEX(A$2:A$10000,SMALL(IF(ISNUMBER(MATCH($B$2:$B$10000,$E$6:$E$22,0)),ROW($C$2:$C$10000)-ROW($C$2)+1),ROWS(K$20:K2335))))</f>
        <v/>
      </c>
      <c r="H2335" s="4" t="str">
        <f t="array" ref="H2335">IF(ROWS(L$20:L2335)&gt;$F$6,"",INDEX(B$2:B$10000,SMALL(IF(ISNUMBER(MATCH($B$2:$B$10000,$E$6:$E$22,0)),ROW($C$2:$C$10000)-ROW($C$2)+1),ROWS(L$20:L2335))))</f>
        <v/>
      </c>
      <c r="I2335" s="4" t="str">
        <f t="array" ref="I2335">IF(ROWS(M$20:M2335)&gt;$F$6,"",INDEX(C$2:C$10000,SMALL(IF(ISNUMBER(MATCH($B$2:$B$10000,$E$6:$E$22,0)),ROW($C$2:$C$10000)-ROW($C$2)+1),ROWS(M$20:M2335))))</f>
        <v/>
      </c>
      <c r="K2335" s="7" t="str">
        <f t="array" ref="K2335">IF(ROWS(K$20:K2335)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2335))))</f>
        <v/>
      </c>
      <c r="L2335" s="4" t="str">
        <f t="array" ref="L2335">IF(ROWS(L$20:L2335)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2335))))</f>
        <v/>
      </c>
      <c r="M2335" s="4" t="str">
        <f t="array" ref="M2335">IF(ROWS(M$20:M2335)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2335))))</f>
        <v/>
      </c>
    </row>
    <row r="2336" spans="1:13" x14ac:dyDescent="0.25">
      <c r="A2336" s="3">
        <v>41878</v>
      </c>
      <c r="B2336" s="2" t="s">
        <v>47</v>
      </c>
      <c r="C2336" s="2">
        <v>50</v>
      </c>
      <c r="G2336" s="7" t="str">
        <f t="array" ref="G2336">IF(ROWS(K$20:K2336)&gt;$F$6,"",INDEX(A$2:A$10000,SMALL(IF(ISNUMBER(MATCH($B$2:$B$10000,$E$6:$E$22,0)),ROW($C$2:$C$10000)-ROW($C$2)+1),ROWS(K$20:K2336))))</f>
        <v/>
      </c>
      <c r="H2336" s="4" t="str">
        <f t="array" ref="H2336">IF(ROWS(L$20:L2336)&gt;$F$6,"",INDEX(B$2:B$10000,SMALL(IF(ISNUMBER(MATCH($B$2:$B$10000,$E$6:$E$22,0)),ROW($C$2:$C$10000)-ROW($C$2)+1),ROWS(L$20:L2336))))</f>
        <v/>
      </c>
      <c r="I2336" s="4" t="str">
        <f t="array" ref="I2336">IF(ROWS(M$20:M2336)&gt;$F$6,"",INDEX(C$2:C$10000,SMALL(IF(ISNUMBER(MATCH($B$2:$B$10000,$E$6:$E$22,0)),ROW($C$2:$C$10000)-ROW($C$2)+1),ROWS(M$20:M2336))))</f>
        <v/>
      </c>
      <c r="K2336" s="7" t="str">
        <f t="array" ref="K2336">IF(ROWS(K$20:K2336)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2336))))</f>
        <v/>
      </c>
      <c r="L2336" s="4" t="str">
        <f t="array" ref="L2336">IF(ROWS(L$20:L2336)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2336))))</f>
        <v/>
      </c>
      <c r="M2336" s="4" t="str">
        <f t="array" ref="M2336">IF(ROWS(M$20:M2336)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2336))))</f>
        <v/>
      </c>
    </row>
    <row r="2337" spans="1:13" x14ac:dyDescent="0.25">
      <c r="A2337" s="3">
        <v>41838</v>
      </c>
      <c r="B2337" s="2" t="s">
        <v>38</v>
      </c>
      <c r="C2337" s="2">
        <v>40</v>
      </c>
      <c r="G2337" s="7" t="str">
        <f t="array" ref="G2337">IF(ROWS(K$20:K2337)&gt;$F$6,"",INDEX(A$2:A$10000,SMALL(IF(ISNUMBER(MATCH($B$2:$B$10000,$E$6:$E$22,0)),ROW($C$2:$C$10000)-ROW($C$2)+1),ROWS(K$20:K2337))))</f>
        <v/>
      </c>
      <c r="H2337" s="4" t="str">
        <f t="array" ref="H2337">IF(ROWS(L$20:L2337)&gt;$F$6,"",INDEX(B$2:B$10000,SMALL(IF(ISNUMBER(MATCH($B$2:$B$10000,$E$6:$E$22,0)),ROW($C$2:$C$10000)-ROW($C$2)+1),ROWS(L$20:L2337))))</f>
        <v/>
      </c>
      <c r="I2337" s="4" t="str">
        <f t="array" ref="I2337">IF(ROWS(M$20:M2337)&gt;$F$6,"",INDEX(C$2:C$10000,SMALL(IF(ISNUMBER(MATCH($B$2:$B$10000,$E$6:$E$22,0)),ROW($C$2:$C$10000)-ROW($C$2)+1),ROWS(M$20:M2337))))</f>
        <v/>
      </c>
      <c r="K2337" s="7" t="str">
        <f t="array" ref="K2337">IF(ROWS(K$20:K2337)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2337))))</f>
        <v/>
      </c>
      <c r="L2337" s="4" t="str">
        <f t="array" ref="L2337">IF(ROWS(L$20:L2337)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2337))))</f>
        <v/>
      </c>
      <c r="M2337" s="4" t="str">
        <f t="array" ref="M2337">IF(ROWS(M$20:M2337)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2337))))</f>
        <v/>
      </c>
    </row>
    <row r="2338" spans="1:13" x14ac:dyDescent="0.25">
      <c r="A2338" s="3">
        <v>41287</v>
      </c>
      <c r="B2338" s="2" t="s">
        <v>25</v>
      </c>
      <c r="C2338" s="2">
        <v>5</v>
      </c>
      <c r="G2338" s="7" t="str">
        <f t="array" ref="G2338">IF(ROWS(K$20:K2338)&gt;$F$6,"",INDEX(A$2:A$10000,SMALL(IF(ISNUMBER(MATCH($B$2:$B$10000,$E$6:$E$22,0)),ROW($C$2:$C$10000)-ROW($C$2)+1),ROWS(K$20:K2338))))</f>
        <v/>
      </c>
      <c r="H2338" s="4" t="str">
        <f t="array" ref="H2338">IF(ROWS(L$20:L2338)&gt;$F$6,"",INDEX(B$2:B$10000,SMALL(IF(ISNUMBER(MATCH($B$2:$B$10000,$E$6:$E$22,0)),ROW($C$2:$C$10000)-ROW($C$2)+1),ROWS(L$20:L2338))))</f>
        <v/>
      </c>
      <c r="I2338" s="4" t="str">
        <f t="array" ref="I2338">IF(ROWS(M$20:M2338)&gt;$F$6,"",INDEX(C$2:C$10000,SMALL(IF(ISNUMBER(MATCH($B$2:$B$10000,$E$6:$E$22,0)),ROW($C$2:$C$10000)-ROW($C$2)+1),ROWS(M$20:M2338))))</f>
        <v/>
      </c>
      <c r="K2338" s="7" t="str">
        <f t="array" ref="K2338">IF(ROWS(K$20:K2338)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2338))))</f>
        <v/>
      </c>
      <c r="L2338" s="4" t="str">
        <f t="array" ref="L2338">IF(ROWS(L$20:L2338)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2338))))</f>
        <v/>
      </c>
      <c r="M2338" s="4" t="str">
        <f t="array" ref="M2338">IF(ROWS(M$20:M2338)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2338))))</f>
        <v/>
      </c>
    </row>
    <row r="2339" spans="1:13" x14ac:dyDescent="0.25">
      <c r="A2339" s="3">
        <v>42001</v>
      </c>
      <c r="B2339" s="2" t="s">
        <v>31</v>
      </c>
      <c r="C2339" s="2">
        <v>30</v>
      </c>
      <c r="G2339" s="7" t="str">
        <f t="array" ref="G2339">IF(ROWS(K$20:K2339)&gt;$F$6,"",INDEX(A$2:A$10000,SMALL(IF(ISNUMBER(MATCH($B$2:$B$10000,$E$6:$E$22,0)),ROW($C$2:$C$10000)-ROW($C$2)+1),ROWS(K$20:K2339))))</f>
        <v/>
      </c>
      <c r="H2339" s="4" t="str">
        <f t="array" ref="H2339">IF(ROWS(L$20:L2339)&gt;$F$6,"",INDEX(B$2:B$10000,SMALL(IF(ISNUMBER(MATCH($B$2:$B$10000,$E$6:$E$22,0)),ROW($C$2:$C$10000)-ROW($C$2)+1),ROWS(L$20:L2339))))</f>
        <v/>
      </c>
      <c r="I2339" s="4" t="str">
        <f t="array" ref="I2339">IF(ROWS(M$20:M2339)&gt;$F$6,"",INDEX(C$2:C$10000,SMALL(IF(ISNUMBER(MATCH($B$2:$B$10000,$E$6:$E$22,0)),ROW($C$2:$C$10000)-ROW($C$2)+1),ROWS(M$20:M2339))))</f>
        <v/>
      </c>
      <c r="K2339" s="7" t="str">
        <f t="array" ref="K2339">IF(ROWS(K$20:K2339)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2339))))</f>
        <v/>
      </c>
      <c r="L2339" s="4" t="str">
        <f t="array" ref="L2339">IF(ROWS(L$20:L2339)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2339))))</f>
        <v/>
      </c>
      <c r="M2339" s="4" t="str">
        <f t="array" ref="M2339">IF(ROWS(M$20:M2339)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2339))))</f>
        <v/>
      </c>
    </row>
    <row r="2340" spans="1:13" x14ac:dyDescent="0.25">
      <c r="A2340" s="3">
        <v>41374</v>
      </c>
      <c r="B2340" s="2" t="s">
        <v>43</v>
      </c>
      <c r="C2340" s="2">
        <v>28</v>
      </c>
      <c r="G2340" s="7" t="str">
        <f t="array" ref="G2340">IF(ROWS(K$20:K2340)&gt;$F$6,"",INDEX(A$2:A$10000,SMALL(IF(ISNUMBER(MATCH($B$2:$B$10000,$E$6:$E$22,0)),ROW($C$2:$C$10000)-ROW($C$2)+1),ROWS(K$20:K2340))))</f>
        <v/>
      </c>
      <c r="H2340" s="4" t="str">
        <f t="array" ref="H2340">IF(ROWS(L$20:L2340)&gt;$F$6,"",INDEX(B$2:B$10000,SMALL(IF(ISNUMBER(MATCH($B$2:$B$10000,$E$6:$E$22,0)),ROW($C$2:$C$10000)-ROW($C$2)+1),ROWS(L$20:L2340))))</f>
        <v/>
      </c>
      <c r="I2340" s="4" t="str">
        <f t="array" ref="I2340">IF(ROWS(M$20:M2340)&gt;$F$6,"",INDEX(C$2:C$10000,SMALL(IF(ISNUMBER(MATCH($B$2:$B$10000,$E$6:$E$22,0)),ROW($C$2:$C$10000)-ROW($C$2)+1),ROWS(M$20:M2340))))</f>
        <v/>
      </c>
      <c r="K2340" s="7" t="str">
        <f t="array" ref="K2340">IF(ROWS(K$20:K2340)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2340))))</f>
        <v/>
      </c>
      <c r="L2340" s="4" t="str">
        <f t="array" ref="L2340">IF(ROWS(L$20:L2340)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2340))))</f>
        <v/>
      </c>
      <c r="M2340" s="4" t="str">
        <f t="array" ref="M2340">IF(ROWS(M$20:M2340)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2340))))</f>
        <v/>
      </c>
    </row>
    <row r="2341" spans="1:13" x14ac:dyDescent="0.25">
      <c r="A2341" s="3">
        <v>41319</v>
      </c>
      <c r="B2341" s="2" t="s">
        <v>18</v>
      </c>
      <c r="C2341" s="2">
        <v>34</v>
      </c>
      <c r="G2341" s="7" t="str">
        <f t="array" ref="G2341">IF(ROWS(K$20:K2341)&gt;$F$6,"",INDEX(A$2:A$10000,SMALL(IF(ISNUMBER(MATCH($B$2:$B$10000,$E$6:$E$22,0)),ROW($C$2:$C$10000)-ROW($C$2)+1),ROWS(K$20:K2341))))</f>
        <v/>
      </c>
      <c r="H2341" s="4" t="str">
        <f t="array" ref="H2341">IF(ROWS(L$20:L2341)&gt;$F$6,"",INDEX(B$2:B$10000,SMALL(IF(ISNUMBER(MATCH($B$2:$B$10000,$E$6:$E$22,0)),ROW($C$2:$C$10000)-ROW($C$2)+1),ROWS(L$20:L2341))))</f>
        <v/>
      </c>
      <c r="I2341" s="4" t="str">
        <f t="array" ref="I2341">IF(ROWS(M$20:M2341)&gt;$F$6,"",INDEX(C$2:C$10000,SMALL(IF(ISNUMBER(MATCH($B$2:$B$10000,$E$6:$E$22,0)),ROW($C$2:$C$10000)-ROW($C$2)+1),ROWS(M$20:M2341))))</f>
        <v/>
      </c>
      <c r="K2341" s="7" t="str">
        <f t="array" ref="K2341">IF(ROWS(K$20:K2341)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2341))))</f>
        <v/>
      </c>
      <c r="L2341" s="4" t="str">
        <f t="array" ref="L2341">IF(ROWS(L$20:L2341)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2341))))</f>
        <v/>
      </c>
      <c r="M2341" s="4" t="str">
        <f t="array" ref="M2341">IF(ROWS(M$20:M2341)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2341))))</f>
        <v/>
      </c>
    </row>
    <row r="2342" spans="1:13" x14ac:dyDescent="0.25">
      <c r="A2342" s="3">
        <v>41488</v>
      </c>
      <c r="B2342" s="2" t="s">
        <v>34</v>
      </c>
      <c r="C2342" s="2">
        <v>28</v>
      </c>
      <c r="G2342" s="7" t="str">
        <f t="array" ref="G2342">IF(ROWS(K$20:K2342)&gt;$F$6,"",INDEX(A$2:A$10000,SMALL(IF(ISNUMBER(MATCH($B$2:$B$10000,$E$6:$E$22,0)),ROW($C$2:$C$10000)-ROW($C$2)+1),ROWS(K$20:K2342))))</f>
        <v/>
      </c>
      <c r="H2342" s="4" t="str">
        <f t="array" ref="H2342">IF(ROWS(L$20:L2342)&gt;$F$6,"",INDEX(B$2:B$10000,SMALL(IF(ISNUMBER(MATCH($B$2:$B$10000,$E$6:$E$22,0)),ROW($C$2:$C$10000)-ROW($C$2)+1),ROWS(L$20:L2342))))</f>
        <v/>
      </c>
      <c r="I2342" s="4" t="str">
        <f t="array" ref="I2342">IF(ROWS(M$20:M2342)&gt;$F$6,"",INDEX(C$2:C$10000,SMALL(IF(ISNUMBER(MATCH($B$2:$B$10000,$E$6:$E$22,0)),ROW($C$2:$C$10000)-ROW($C$2)+1),ROWS(M$20:M2342))))</f>
        <v/>
      </c>
      <c r="K2342" s="7" t="str">
        <f t="array" ref="K2342">IF(ROWS(K$20:K2342)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2342))))</f>
        <v/>
      </c>
      <c r="L2342" s="4" t="str">
        <f t="array" ref="L2342">IF(ROWS(L$20:L2342)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2342))))</f>
        <v/>
      </c>
      <c r="M2342" s="4" t="str">
        <f t="array" ref="M2342">IF(ROWS(M$20:M2342)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2342))))</f>
        <v/>
      </c>
    </row>
    <row r="2343" spans="1:13" x14ac:dyDescent="0.25">
      <c r="A2343" s="3">
        <v>41305</v>
      </c>
      <c r="B2343" s="2" t="s">
        <v>40</v>
      </c>
      <c r="C2343" s="2">
        <v>32</v>
      </c>
      <c r="G2343" s="7" t="str">
        <f t="array" ref="G2343">IF(ROWS(K$20:K2343)&gt;$F$6,"",INDEX(A$2:A$10000,SMALL(IF(ISNUMBER(MATCH($B$2:$B$10000,$E$6:$E$22,0)),ROW($C$2:$C$10000)-ROW($C$2)+1),ROWS(K$20:K2343))))</f>
        <v/>
      </c>
      <c r="H2343" s="4" t="str">
        <f t="array" ref="H2343">IF(ROWS(L$20:L2343)&gt;$F$6,"",INDEX(B$2:B$10000,SMALL(IF(ISNUMBER(MATCH($B$2:$B$10000,$E$6:$E$22,0)),ROW($C$2:$C$10000)-ROW($C$2)+1),ROWS(L$20:L2343))))</f>
        <v/>
      </c>
      <c r="I2343" s="4" t="str">
        <f t="array" ref="I2343">IF(ROWS(M$20:M2343)&gt;$F$6,"",INDEX(C$2:C$10000,SMALL(IF(ISNUMBER(MATCH($B$2:$B$10000,$E$6:$E$22,0)),ROW($C$2:$C$10000)-ROW($C$2)+1),ROWS(M$20:M2343))))</f>
        <v/>
      </c>
      <c r="K2343" s="7" t="str">
        <f t="array" ref="K2343">IF(ROWS(K$20:K2343)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2343))))</f>
        <v/>
      </c>
      <c r="L2343" s="4" t="str">
        <f t="array" ref="L2343">IF(ROWS(L$20:L2343)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2343))))</f>
        <v/>
      </c>
      <c r="M2343" s="4" t="str">
        <f t="array" ref="M2343">IF(ROWS(M$20:M2343)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2343))))</f>
        <v/>
      </c>
    </row>
    <row r="2344" spans="1:13" x14ac:dyDescent="0.25">
      <c r="A2344" s="3">
        <v>41718</v>
      </c>
      <c r="B2344" s="2" t="s">
        <v>50</v>
      </c>
      <c r="C2344" s="2">
        <v>34</v>
      </c>
      <c r="G2344" s="7" t="str">
        <f t="array" ref="G2344">IF(ROWS(K$20:K2344)&gt;$F$6,"",INDEX(A$2:A$10000,SMALL(IF(ISNUMBER(MATCH($B$2:$B$10000,$E$6:$E$22,0)),ROW($C$2:$C$10000)-ROW($C$2)+1),ROWS(K$20:K2344))))</f>
        <v/>
      </c>
      <c r="H2344" s="4" t="str">
        <f t="array" ref="H2344">IF(ROWS(L$20:L2344)&gt;$F$6,"",INDEX(B$2:B$10000,SMALL(IF(ISNUMBER(MATCH($B$2:$B$10000,$E$6:$E$22,0)),ROW($C$2:$C$10000)-ROW($C$2)+1),ROWS(L$20:L2344))))</f>
        <v/>
      </c>
      <c r="I2344" s="4" t="str">
        <f t="array" ref="I2344">IF(ROWS(M$20:M2344)&gt;$F$6,"",INDEX(C$2:C$10000,SMALL(IF(ISNUMBER(MATCH($B$2:$B$10000,$E$6:$E$22,0)),ROW($C$2:$C$10000)-ROW($C$2)+1),ROWS(M$20:M2344))))</f>
        <v/>
      </c>
      <c r="K2344" s="7" t="str">
        <f t="array" ref="K2344">IF(ROWS(K$20:K2344)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2344))))</f>
        <v/>
      </c>
      <c r="L2344" s="4" t="str">
        <f t="array" ref="L2344">IF(ROWS(L$20:L2344)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2344))))</f>
        <v/>
      </c>
      <c r="M2344" s="4" t="str">
        <f t="array" ref="M2344">IF(ROWS(M$20:M2344)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2344))))</f>
        <v/>
      </c>
    </row>
    <row r="2345" spans="1:13" x14ac:dyDescent="0.25">
      <c r="A2345" s="3">
        <v>41466</v>
      </c>
      <c r="B2345" s="2" t="s">
        <v>10</v>
      </c>
      <c r="C2345" s="2">
        <v>32</v>
      </c>
      <c r="G2345" s="7" t="str">
        <f t="array" ref="G2345">IF(ROWS(K$20:K2345)&gt;$F$6,"",INDEX(A$2:A$10000,SMALL(IF(ISNUMBER(MATCH($B$2:$B$10000,$E$6:$E$22,0)),ROW($C$2:$C$10000)-ROW($C$2)+1),ROWS(K$20:K2345))))</f>
        <v/>
      </c>
      <c r="H2345" s="4" t="str">
        <f t="array" ref="H2345">IF(ROWS(L$20:L2345)&gt;$F$6,"",INDEX(B$2:B$10000,SMALL(IF(ISNUMBER(MATCH($B$2:$B$10000,$E$6:$E$22,0)),ROW($C$2:$C$10000)-ROW($C$2)+1),ROWS(L$20:L2345))))</f>
        <v/>
      </c>
      <c r="I2345" s="4" t="str">
        <f t="array" ref="I2345">IF(ROWS(M$20:M2345)&gt;$F$6,"",INDEX(C$2:C$10000,SMALL(IF(ISNUMBER(MATCH($B$2:$B$10000,$E$6:$E$22,0)),ROW($C$2:$C$10000)-ROW($C$2)+1),ROWS(M$20:M2345))))</f>
        <v/>
      </c>
      <c r="K2345" s="7" t="str">
        <f t="array" ref="K2345">IF(ROWS(K$20:K2345)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2345))))</f>
        <v/>
      </c>
      <c r="L2345" s="4" t="str">
        <f t="array" ref="L2345">IF(ROWS(L$20:L2345)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2345))))</f>
        <v/>
      </c>
      <c r="M2345" s="4" t="str">
        <f t="array" ref="M2345">IF(ROWS(M$20:M2345)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2345))))</f>
        <v/>
      </c>
    </row>
    <row r="2346" spans="1:13" x14ac:dyDescent="0.25">
      <c r="A2346" s="3">
        <v>41589</v>
      </c>
      <c r="B2346" s="2" t="s">
        <v>21</v>
      </c>
      <c r="C2346" s="2">
        <v>17</v>
      </c>
      <c r="G2346" s="7" t="str">
        <f t="array" ref="G2346">IF(ROWS(K$20:K2346)&gt;$F$6,"",INDEX(A$2:A$10000,SMALL(IF(ISNUMBER(MATCH($B$2:$B$10000,$E$6:$E$22,0)),ROW($C$2:$C$10000)-ROW($C$2)+1),ROWS(K$20:K2346))))</f>
        <v/>
      </c>
      <c r="H2346" s="4" t="str">
        <f t="array" ref="H2346">IF(ROWS(L$20:L2346)&gt;$F$6,"",INDEX(B$2:B$10000,SMALL(IF(ISNUMBER(MATCH($B$2:$B$10000,$E$6:$E$22,0)),ROW($C$2:$C$10000)-ROW($C$2)+1),ROWS(L$20:L2346))))</f>
        <v/>
      </c>
      <c r="I2346" s="4" t="str">
        <f t="array" ref="I2346">IF(ROWS(M$20:M2346)&gt;$F$6,"",INDEX(C$2:C$10000,SMALL(IF(ISNUMBER(MATCH($B$2:$B$10000,$E$6:$E$22,0)),ROW($C$2:$C$10000)-ROW($C$2)+1),ROWS(M$20:M2346))))</f>
        <v/>
      </c>
      <c r="K2346" s="7" t="str">
        <f t="array" ref="K2346">IF(ROWS(K$20:K2346)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2346))))</f>
        <v/>
      </c>
      <c r="L2346" s="4" t="str">
        <f t="array" ref="L2346">IF(ROWS(L$20:L2346)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2346))))</f>
        <v/>
      </c>
      <c r="M2346" s="4" t="str">
        <f t="array" ref="M2346">IF(ROWS(M$20:M2346)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2346))))</f>
        <v/>
      </c>
    </row>
    <row r="2347" spans="1:13" x14ac:dyDescent="0.25">
      <c r="A2347" s="3">
        <v>41431</v>
      </c>
      <c r="B2347" s="2" t="s">
        <v>26</v>
      </c>
      <c r="C2347" s="2">
        <v>43</v>
      </c>
      <c r="G2347" s="7" t="str">
        <f t="array" ref="G2347">IF(ROWS(K$20:K2347)&gt;$F$6,"",INDEX(A$2:A$10000,SMALL(IF(ISNUMBER(MATCH($B$2:$B$10000,$E$6:$E$22,0)),ROW($C$2:$C$10000)-ROW($C$2)+1),ROWS(K$20:K2347))))</f>
        <v/>
      </c>
      <c r="H2347" s="4" t="str">
        <f t="array" ref="H2347">IF(ROWS(L$20:L2347)&gt;$F$6,"",INDEX(B$2:B$10000,SMALL(IF(ISNUMBER(MATCH($B$2:$B$10000,$E$6:$E$22,0)),ROW($C$2:$C$10000)-ROW($C$2)+1),ROWS(L$20:L2347))))</f>
        <v/>
      </c>
      <c r="I2347" s="4" t="str">
        <f t="array" ref="I2347">IF(ROWS(M$20:M2347)&gt;$F$6,"",INDEX(C$2:C$10000,SMALL(IF(ISNUMBER(MATCH($B$2:$B$10000,$E$6:$E$22,0)),ROW($C$2:$C$10000)-ROW($C$2)+1),ROWS(M$20:M2347))))</f>
        <v/>
      </c>
      <c r="K2347" s="7" t="str">
        <f t="array" ref="K2347">IF(ROWS(K$20:K2347)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2347))))</f>
        <v/>
      </c>
      <c r="L2347" s="4" t="str">
        <f t="array" ref="L2347">IF(ROWS(L$20:L2347)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2347))))</f>
        <v/>
      </c>
      <c r="M2347" s="4" t="str">
        <f t="array" ref="M2347">IF(ROWS(M$20:M2347)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2347))))</f>
        <v/>
      </c>
    </row>
    <row r="2348" spans="1:13" x14ac:dyDescent="0.25">
      <c r="A2348" s="3">
        <v>41425</v>
      </c>
      <c r="B2348" s="2" t="s">
        <v>22</v>
      </c>
      <c r="C2348" s="2">
        <v>10</v>
      </c>
      <c r="G2348" s="7" t="str">
        <f t="array" ref="G2348">IF(ROWS(K$20:K2348)&gt;$F$6,"",INDEX(A$2:A$10000,SMALL(IF(ISNUMBER(MATCH($B$2:$B$10000,$E$6:$E$22,0)),ROW($C$2:$C$10000)-ROW($C$2)+1),ROWS(K$20:K2348))))</f>
        <v/>
      </c>
      <c r="H2348" s="4" t="str">
        <f t="array" ref="H2348">IF(ROWS(L$20:L2348)&gt;$F$6,"",INDEX(B$2:B$10000,SMALL(IF(ISNUMBER(MATCH($B$2:$B$10000,$E$6:$E$22,0)),ROW($C$2:$C$10000)-ROW($C$2)+1),ROWS(L$20:L2348))))</f>
        <v/>
      </c>
      <c r="I2348" s="4" t="str">
        <f t="array" ref="I2348">IF(ROWS(M$20:M2348)&gt;$F$6,"",INDEX(C$2:C$10000,SMALL(IF(ISNUMBER(MATCH($B$2:$B$10000,$E$6:$E$22,0)),ROW($C$2:$C$10000)-ROW($C$2)+1),ROWS(M$20:M2348))))</f>
        <v/>
      </c>
      <c r="K2348" s="7" t="str">
        <f t="array" ref="K2348">IF(ROWS(K$20:K2348)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2348))))</f>
        <v/>
      </c>
      <c r="L2348" s="4" t="str">
        <f t="array" ref="L2348">IF(ROWS(L$20:L2348)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2348))))</f>
        <v/>
      </c>
      <c r="M2348" s="4" t="str">
        <f t="array" ref="M2348">IF(ROWS(M$20:M2348)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2348))))</f>
        <v/>
      </c>
    </row>
    <row r="2349" spans="1:13" x14ac:dyDescent="0.25">
      <c r="A2349" s="3">
        <v>41576</v>
      </c>
      <c r="B2349" s="2" t="s">
        <v>19</v>
      </c>
      <c r="C2349" s="2">
        <v>7</v>
      </c>
      <c r="G2349" s="7" t="str">
        <f t="array" ref="G2349">IF(ROWS(K$20:K2349)&gt;$F$6,"",INDEX(A$2:A$10000,SMALL(IF(ISNUMBER(MATCH($B$2:$B$10000,$E$6:$E$22,0)),ROW($C$2:$C$10000)-ROW($C$2)+1),ROWS(K$20:K2349))))</f>
        <v/>
      </c>
      <c r="H2349" s="4" t="str">
        <f t="array" ref="H2349">IF(ROWS(L$20:L2349)&gt;$F$6,"",INDEX(B$2:B$10000,SMALL(IF(ISNUMBER(MATCH($B$2:$B$10000,$E$6:$E$22,0)),ROW($C$2:$C$10000)-ROW($C$2)+1),ROWS(L$20:L2349))))</f>
        <v/>
      </c>
      <c r="I2349" s="4" t="str">
        <f t="array" ref="I2349">IF(ROWS(M$20:M2349)&gt;$F$6,"",INDEX(C$2:C$10000,SMALL(IF(ISNUMBER(MATCH($B$2:$B$10000,$E$6:$E$22,0)),ROW($C$2:$C$10000)-ROW($C$2)+1),ROWS(M$20:M2349))))</f>
        <v/>
      </c>
      <c r="K2349" s="7" t="str">
        <f t="array" ref="K2349">IF(ROWS(K$20:K2349)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2349))))</f>
        <v/>
      </c>
      <c r="L2349" s="4" t="str">
        <f t="array" ref="L2349">IF(ROWS(L$20:L2349)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2349))))</f>
        <v/>
      </c>
      <c r="M2349" s="4" t="str">
        <f t="array" ref="M2349">IF(ROWS(M$20:M2349)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2349))))</f>
        <v/>
      </c>
    </row>
    <row r="2350" spans="1:13" x14ac:dyDescent="0.25">
      <c r="A2350" s="3">
        <v>41895</v>
      </c>
      <c r="B2350" s="2" t="s">
        <v>42</v>
      </c>
      <c r="C2350" s="2">
        <v>16</v>
      </c>
      <c r="G2350" s="7" t="str">
        <f t="array" ref="G2350">IF(ROWS(K$20:K2350)&gt;$F$6,"",INDEX(A$2:A$10000,SMALL(IF(ISNUMBER(MATCH($B$2:$B$10000,$E$6:$E$22,0)),ROW($C$2:$C$10000)-ROW($C$2)+1),ROWS(K$20:K2350))))</f>
        <v/>
      </c>
      <c r="H2350" s="4" t="str">
        <f t="array" ref="H2350">IF(ROWS(L$20:L2350)&gt;$F$6,"",INDEX(B$2:B$10000,SMALL(IF(ISNUMBER(MATCH($B$2:$B$10000,$E$6:$E$22,0)),ROW($C$2:$C$10000)-ROW($C$2)+1),ROWS(L$20:L2350))))</f>
        <v/>
      </c>
      <c r="I2350" s="4" t="str">
        <f t="array" ref="I2350">IF(ROWS(M$20:M2350)&gt;$F$6,"",INDEX(C$2:C$10000,SMALL(IF(ISNUMBER(MATCH($B$2:$B$10000,$E$6:$E$22,0)),ROW($C$2:$C$10000)-ROW($C$2)+1),ROWS(M$20:M2350))))</f>
        <v/>
      </c>
      <c r="K2350" s="7" t="str">
        <f t="array" ref="K2350">IF(ROWS(K$20:K2350)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2350))))</f>
        <v/>
      </c>
      <c r="L2350" s="4" t="str">
        <f t="array" ref="L2350">IF(ROWS(L$20:L2350)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2350))))</f>
        <v/>
      </c>
      <c r="M2350" s="4" t="str">
        <f t="array" ref="M2350">IF(ROWS(M$20:M2350)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2350))))</f>
        <v/>
      </c>
    </row>
    <row r="2351" spans="1:13" x14ac:dyDescent="0.25">
      <c r="A2351" s="3">
        <v>41474</v>
      </c>
      <c r="B2351" s="2" t="s">
        <v>16</v>
      </c>
      <c r="C2351" s="2">
        <v>52</v>
      </c>
      <c r="G2351" s="7" t="str">
        <f t="array" ref="G2351">IF(ROWS(K$20:K2351)&gt;$F$6,"",INDEX(A$2:A$10000,SMALL(IF(ISNUMBER(MATCH($B$2:$B$10000,$E$6:$E$22,0)),ROW($C$2:$C$10000)-ROW($C$2)+1),ROWS(K$20:K2351))))</f>
        <v/>
      </c>
      <c r="H2351" s="4" t="str">
        <f t="array" ref="H2351">IF(ROWS(L$20:L2351)&gt;$F$6,"",INDEX(B$2:B$10000,SMALL(IF(ISNUMBER(MATCH($B$2:$B$10000,$E$6:$E$22,0)),ROW($C$2:$C$10000)-ROW($C$2)+1),ROWS(L$20:L2351))))</f>
        <v/>
      </c>
      <c r="I2351" s="4" t="str">
        <f t="array" ref="I2351">IF(ROWS(M$20:M2351)&gt;$F$6,"",INDEX(C$2:C$10000,SMALL(IF(ISNUMBER(MATCH($B$2:$B$10000,$E$6:$E$22,0)),ROW($C$2:$C$10000)-ROW($C$2)+1),ROWS(M$20:M2351))))</f>
        <v/>
      </c>
      <c r="K2351" s="7" t="str">
        <f t="array" ref="K2351">IF(ROWS(K$20:K2351)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2351))))</f>
        <v/>
      </c>
      <c r="L2351" s="4" t="str">
        <f t="array" ref="L2351">IF(ROWS(L$20:L2351)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2351))))</f>
        <v/>
      </c>
      <c r="M2351" s="4" t="str">
        <f t="array" ref="M2351">IF(ROWS(M$20:M2351)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2351))))</f>
        <v/>
      </c>
    </row>
    <row r="2352" spans="1:13" x14ac:dyDescent="0.25">
      <c r="A2352" s="3">
        <v>41337</v>
      </c>
      <c r="B2352" s="2" t="s">
        <v>28</v>
      </c>
      <c r="C2352" s="2">
        <v>10</v>
      </c>
      <c r="G2352" s="7" t="str">
        <f t="array" ref="G2352">IF(ROWS(K$20:K2352)&gt;$F$6,"",INDEX(A$2:A$10000,SMALL(IF(ISNUMBER(MATCH($B$2:$B$10000,$E$6:$E$22,0)),ROW($C$2:$C$10000)-ROW($C$2)+1),ROWS(K$20:K2352))))</f>
        <v/>
      </c>
      <c r="H2352" s="4" t="str">
        <f t="array" ref="H2352">IF(ROWS(L$20:L2352)&gt;$F$6,"",INDEX(B$2:B$10000,SMALL(IF(ISNUMBER(MATCH($B$2:$B$10000,$E$6:$E$22,0)),ROW($C$2:$C$10000)-ROW($C$2)+1),ROWS(L$20:L2352))))</f>
        <v/>
      </c>
      <c r="I2352" s="4" t="str">
        <f t="array" ref="I2352">IF(ROWS(M$20:M2352)&gt;$F$6,"",INDEX(C$2:C$10000,SMALL(IF(ISNUMBER(MATCH($B$2:$B$10000,$E$6:$E$22,0)),ROW($C$2:$C$10000)-ROW($C$2)+1),ROWS(M$20:M2352))))</f>
        <v/>
      </c>
      <c r="K2352" s="7" t="str">
        <f t="array" ref="K2352">IF(ROWS(K$20:K2352)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2352))))</f>
        <v/>
      </c>
      <c r="L2352" s="4" t="str">
        <f t="array" ref="L2352">IF(ROWS(L$20:L2352)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2352))))</f>
        <v/>
      </c>
      <c r="M2352" s="4" t="str">
        <f t="array" ref="M2352">IF(ROWS(M$20:M2352)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2352))))</f>
        <v/>
      </c>
    </row>
    <row r="2353" spans="1:13" x14ac:dyDescent="0.25">
      <c r="A2353" s="3">
        <v>41949</v>
      </c>
      <c r="B2353" s="2" t="s">
        <v>43</v>
      </c>
      <c r="C2353" s="2">
        <v>21</v>
      </c>
      <c r="G2353" s="7" t="str">
        <f t="array" ref="G2353">IF(ROWS(K$20:K2353)&gt;$F$6,"",INDEX(A$2:A$10000,SMALL(IF(ISNUMBER(MATCH($B$2:$B$10000,$E$6:$E$22,0)),ROW($C$2:$C$10000)-ROW($C$2)+1),ROWS(K$20:K2353))))</f>
        <v/>
      </c>
      <c r="H2353" s="4" t="str">
        <f t="array" ref="H2353">IF(ROWS(L$20:L2353)&gt;$F$6,"",INDEX(B$2:B$10000,SMALL(IF(ISNUMBER(MATCH($B$2:$B$10000,$E$6:$E$22,0)),ROW($C$2:$C$10000)-ROW($C$2)+1),ROWS(L$20:L2353))))</f>
        <v/>
      </c>
      <c r="I2353" s="4" t="str">
        <f t="array" ref="I2353">IF(ROWS(M$20:M2353)&gt;$F$6,"",INDEX(C$2:C$10000,SMALL(IF(ISNUMBER(MATCH($B$2:$B$10000,$E$6:$E$22,0)),ROW($C$2:$C$10000)-ROW($C$2)+1),ROWS(M$20:M2353))))</f>
        <v/>
      </c>
      <c r="K2353" s="7" t="str">
        <f t="array" ref="K2353">IF(ROWS(K$20:K2353)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2353))))</f>
        <v/>
      </c>
      <c r="L2353" s="4" t="str">
        <f t="array" ref="L2353">IF(ROWS(L$20:L2353)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2353))))</f>
        <v/>
      </c>
      <c r="M2353" s="4" t="str">
        <f t="array" ref="M2353">IF(ROWS(M$20:M2353)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2353))))</f>
        <v/>
      </c>
    </row>
    <row r="2354" spans="1:13" x14ac:dyDescent="0.25">
      <c r="A2354" s="3">
        <v>41643</v>
      </c>
      <c r="B2354" s="2" t="s">
        <v>39</v>
      </c>
      <c r="C2354" s="2">
        <v>19</v>
      </c>
      <c r="G2354" s="7" t="str">
        <f t="array" ref="G2354">IF(ROWS(K$20:K2354)&gt;$F$6,"",INDEX(A$2:A$10000,SMALL(IF(ISNUMBER(MATCH($B$2:$B$10000,$E$6:$E$22,0)),ROW($C$2:$C$10000)-ROW($C$2)+1),ROWS(K$20:K2354))))</f>
        <v/>
      </c>
      <c r="H2354" s="4" t="str">
        <f t="array" ref="H2354">IF(ROWS(L$20:L2354)&gt;$F$6,"",INDEX(B$2:B$10000,SMALL(IF(ISNUMBER(MATCH($B$2:$B$10000,$E$6:$E$22,0)),ROW($C$2:$C$10000)-ROW($C$2)+1),ROWS(L$20:L2354))))</f>
        <v/>
      </c>
      <c r="I2354" s="4" t="str">
        <f t="array" ref="I2354">IF(ROWS(M$20:M2354)&gt;$F$6,"",INDEX(C$2:C$10000,SMALL(IF(ISNUMBER(MATCH($B$2:$B$10000,$E$6:$E$22,0)),ROW($C$2:$C$10000)-ROW($C$2)+1),ROWS(M$20:M2354))))</f>
        <v/>
      </c>
      <c r="K2354" s="7" t="str">
        <f t="array" ref="K2354">IF(ROWS(K$20:K2354)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2354))))</f>
        <v/>
      </c>
      <c r="L2354" s="4" t="str">
        <f t="array" ref="L2354">IF(ROWS(L$20:L2354)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2354))))</f>
        <v/>
      </c>
      <c r="M2354" s="4" t="str">
        <f t="array" ref="M2354">IF(ROWS(M$20:M2354)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2354))))</f>
        <v/>
      </c>
    </row>
    <row r="2355" spans="1:13" x14ac:dyDescent="0.25">
      <c r="A2355" s="3">
        <v>41901</v>
      </c>
      <c r="B2355" s="2" t="s">
        <v>8</v>
      </c>
      <c r="C2355" s="2">
        <v>50</v>
      </c>
      <c r="G2355" s="7" t="str">
        <f t="array" ref="G2355">IF(ROWS(K$20:K2355)&gt;$F$6,"",INDEX(A$2:A$10000,SMALL(IF(ISNUMBER(MATCH($B$2:$B$10000,$E$6:$E$22,0)),ROW($C$2:$C$10000)-ROW($C$2)+1),ROWS(K$20:K2355))))</f>
        <v/>
      </c>
      <c r="H2355" s="4" t="str">
        <f t="array" ref="H2355">IF(ROWS(L$20:L2355)&gt;$F$6,"",INDEX(B$2:B$10000,SMALL(IF(ISNUMBER(MATCH($B$2:$B$10000,$E$6:$E$22,0)),ROW($C$2:$C$10000)-ROW($C$2)+1),ROWS(L$20:L2355))))</f>
        <v/>
      </c>
      <c r="I2355" s="4" t="str">
        <f t="array" ref="I2355">IF(ROWS(M$20:M2355)&gt;$F$6,"",INDEX(C$2:C$10000,SMALL(IF(ISNUMBER(MATCH($B$2:$B$10000,$E$6:$E$22,0)),ROW($C$2:$C$10000)-ROW($C$2)+1),ROWS(M$20:M2355))))</f>
        <v/>
      </c>
      <c r="K2355" s="7" t="str">
        <f t="array" ref="K2355">IF(ROWS(K$20:K2355)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2355))))</f>
        <v/>
      </c>
      <c r="L2355" s="4" t="str">
        <f t="array" ref="L2355">IF(ROWS(L$20:L2355)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2355))))</f>
        <v/>
      </c>
      <c r="M2355" s="4" t="str">
        <f t="array" ref="M2355">IF(ROWS(M$20:M2355)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2355))))</f>
        <v/>
      </c>
    </row>
    <row r="2356" spans="1:13" x14ac:dyDescent="0.25">
      <c r="A2356" s="3">
        <v>41288</v>
      </c>
      <c r="B2356" s="2" t="s">
        <v>18</v>
      </c>
      <c r="C2356" s="2">
        <v>47</v>
      </c>
      <c r="G2356" s="7" t="str">
        <f t="array" ref="G2356">IF(ROWS(K$20:K2356)&gt;$F$6,"",INDEX(A$2:A$10000,SMALL(IF(ISNUMBER(MATCH($B$2:$B$10000,$E$6:$E$22,0)),ROW($C$2:$C$10000)-ROW($C$2)+1),ROWS(K$20:K2356))))</f>
        <v/>
      </c>
      <c r="H2356" s="4" t="str">
        <f t="array" ref="H2356">IF(ROWS(L$20:L2356)&gt;$F$6,"",INDEX(B$2:B$10000,SMALL(IF(ISNUMBER(MATCH($B$2:$B$10000,$E$6:$E$22,0)),ROW($C$2:$C$10000)-ROW($C$2)+1),ROWS(L$20:L2356))))</f>
        <v/>
      </c>
      <c r="I2356" s="4" t="str">
        <f t="array" ref="I2356">IF(ROWS(M$20:M2356)&gt;$F$6,"",INDEX(C$2:C$10000,SMALL(IF(ISNUMBER(MATCH($B$2:$B$10000,$E$6:$E$22,0)),ROW($C$2:$C$10000)-ROW($C$2)+1),ROWS(M$20:M2356))))</f>
        <v/>
      </c>
      <c r="K2356" s="7" t="str">
        <f t="array" ref="K2356">IF(ROWS(K$20:K2356)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2356))))</f>
        <v/>
      </c>
      <c r="L2356" s="4" t="str">
        <f t="array" ref="L2356">IF(ROWS(L$20:L2356)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2356))))</f>
        <v/>
      </c>
      <c r="M2356" s="4" t="str">
        <f t="array" ref="M2356">IF(ROWS(M$20:M2356)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2356))))</f>
        <v/>
      </c>
    </row>
    <row r="2357" spans="1:13" x14ac:dyDescent="0.25">
      <c r="A2357" s="3">
        <v>41816</v>
      </c>
      <c r="B2357" s="2" t="s">
        <v>16</v>
      </c>
      <c r="C2357" s="2">
        <v>14</v>
      </c>
      <c r="G2357" s="7" t="str">
        <f t="array" ref="G2357">IF(ROWS(K$20:K2357)&gt;$F$6,"",INDEX(A$2:A$10000,SMALL(IF(ISNUMBER(MATCH($B$2:$B$10000,$E$6:$E$22,0)),ROW($C$2:$C$10000)-ROW($C$2)+1),ROWS(K$20:K2357))))</f>
        <v/>
      </c>
      <c r="H2357" s="4" t="str">
        <f t="array" ref="H2357">IF(ROWS(L$20:L2357)&gt;$F$6,"",INDEX(B$2:B$10000,SMALL(IF(ISNUMBER(MATCH($B$2:$B$10000,$E$6:$E$22,0)),ROW($C$2:$C$10000)-ROW($C$2)+1),ROWS(L$20:L2357))))</f>
        <v/>
      </c>
      <c r="I2357" s="4" t="str">
        <f t="array" ref="I2357">IF(ROWS(M$20:M2357)&gt;$F$6,"",INDEX(C$2:C$10000,SMALL(IF(ISNUMBER(MATCH($B$2:$B$10000,$E$6:$E$22,0)),ROW($C$2:$C$10000)-ROW($C$2)+1),ROWS(M$20:M2357))))</f>
        <v/>
      </c>
      <c r="K2357" s="7" t="str">
        <f t="array" ref="K2357">IF(ROWS(K$20:K2357)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2357))))</f>
        <v/>
      </c>
      <c r="L2357" s="4" t="str">
        <f t="array" ref="L2357">IF(ROWS(L$20:L2357)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2357))))</f>
        <v/>
      </c>
      <c r="M2357" s="4" t="str">
        <f t="array" ref="M2357">IF(ROWS(M$20:M2357)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2357))))</f>
        <v/>
      </c>
    </row>
    <row r="2358" spans="1:13" x14ac:dyDescent="0.25">
      <c r="A2358" s="3">
        <v>41559</v>
      </c>
      <c r="B2358" s="2" t="s">
        <v>35</v>
      </c>
      <c r="C2358" s="2">
        <v>6</v>
      </c>
      <c r="G2358" s="7" t="str">
        <f t="array" ref="G2358">IF(ROWS(K$20:K2358)&gt;$F$6,"",INDEX(A$2:A$10000,SMALL(IF(ISNUMBER(MATCH($B$2:$B$10000,$E$6:$E$22,0)),ROW($C$2:$C$10000)-ROW($C$2)+1),ROWS(K$20:K2358))))</f>
        <v/>
      </c>
      <c r="H2358" s="4" t="str">
        <f t="array" ref="H2358">IF(ROWS(L$20:L2358)&gt;$F$6,"",INDEX(B$2:B$10000,SMALL(IF(ISNUMBER(MATCH($B$2:$B$10000,$E$6:$E$22,0)),ROW($C$2:$C$10000)-ROW($C$2)+1),ROWS(L$20:L2358))))</f>
        <v/>
      </c>
      <c r="I2358" s="4" t="str">
        <f t="array" ref="I2358">IF(ROWS(M$20:M2358)&gt;$F$6,"",INDEX(C$2:C$10000,SMALL(IF(ISNUMBER(MATCH($B$2:$B$10000,$E$6:$E$22,0)),ROW($C$2:$C$10000)-ROW($C$2)+1),ROWS(M$20:M2358))))</f>
        <v/>
      </c>
      <c r="K2358" s="7" t="str">
        <f t="array" ref="K2358">IF(ROWS(K$20:K2358)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2358))))</f>
        <v/>
      </c>
      <c r="L2358" s="4" t="str">
        <f t="array" ref="L2358">IF(ROWS(L$20:L2358)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2358))))</f>
        <v/>
      </c>
      <c r="M2358" s="4" t="str">
        <f t="array" ref="M2358">IF(ROWS(M$20:M2358)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2358))))</f>
        <v/>
      </c>
    </row>
    <row r="2359" spans="1:13" x14ac:dyDescent="0.25">
      <c r="A2359" s="3">
        <v>41364</v>
      </c>
      <c r="B2359" s="2" t="s">
        <v>22</v>
      </c>
      <c r="C2359" s="2">
        <v>16</v>
      </c>
      <c r="G2359" s="7" t="str">
        <f t="array" ref="G2359">IF(ROWS(K$20:K2359)&gt;$F$6,"",INDEX(A$2:A$10000,SMALL(IF(ISNUMBER(MATCH($B$2:$B$10000,$E$6:$E$22,0)),ROW($C$2:$C$10000)-ROW($C$2)+1),ROWS(K$20:K2359))))</f>
        <v/>
      </c>
      <c r="H2359" s="4" t="str">
        <f t="array" ref="H2359">IF(ROWS(L$20:L2359)&gt;$F$6,"",INDEX(B$2:B$10000,SMALL(IF(ISNUMBER(MATCH($B$2:$B$10000,$E$6:$E$22,0)),ROW($C$2:$C$10000)-ROW($C$2)+1),ROWS(L$20:L2359))))</f>
        <v/>
      </c>
      <c r="I2359" s="4" t="str">
        <f t="array" ref="I2359">IF(ROWS(M$20:M2359)&gt;$F$6,"",INDEX(C$2:C$10000,SMALL(IF(ISNUMBER(MATCH($B$2:$B$10000,$E$6:$E$22,0)),ROW($C$2:$C$10000)-ROW($C$2)+1),ROWS(M$20:M2359))))</f>
        <v/>
      </c>
      <c r="K2359" s="7" t="str">
        <f t="array" ref="K2359">IF(ROWS(K$20:K2359)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2359))))</f>
        <v/>
      </c>
      <c r="L2359" s="4" t="str">
        <f t="array" ref="L2359">IF(ROWS(L$20:L2359)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2359))))</f>
        <v/>
      </c>
      <c r="M2359" s="4" t="str">
        <f t="array" ref="M2359">IF(ROWS(M$20:M2359)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2359))))</f>
        <v/>
      </c>
    </row>
    <row r="2360" spans="1:13" x14ac:dyDescent="0.25">
      <c r="A2360" s="3">
        <v>41769</v>
      </c>
      <c r="B2360" s="2" t="s">
        <v>47</v>
      </c>
      <c r="C2360" s="2">
        <v>17</v>
      </c>
      <c r="G2360" s="7" t="str">
        <f t="array" ref="G2360">IF(ROWS(K$20:K2360)&gt;$F$6,"",INDEX(A$2:A$10000,SMALL(IF(ISNUMBER(MATCH($B$2:$B$10000,$E$6:$E$22,0)),ROW($C$2:$C$10000)-ROW($C$2)+1),ROWS(K$20:K2360))))</f>
        <v/>
      </c>
      <c r="H2360" s="4" t="str">
        <f t="array" ref="H2360">IF(ROWS(L$20:L2360)&gt;$F$6,"",INDEX(B$2:B$10000,SMALL(IF(ISNUMBER(MATCH($B$2:$B$10000,$E$6:$E$22,0)),ROW($C$2:$C$10000)-ROW($C$2)+1),ROWS(L$20:L2360))))</f>
        <v/>
      </c>
      <c r="I2360" s="4" t="str">
        <f t="array" ref="I2360">IF(ROWS(M$20:M2360)&gt;$F$6,"",INDEX(C$2:C$10000,SMALL(IF(ISNUMBER(MATCH($B$2:$B$10000,$E$6:$E$22,0)),ROW($C$2:$C$10000)-ROW($C$2)+1),ROWS(M$20:M2360))))</f>
        <v/>
      </c>
      <c r="K2360" s="7" t="str">
        <f t="array" ref="K2360">IF(ROWS(K$20:K2360)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2360))))</f>
        <v/>
      </c>
      <c r="L2360" s="4" t="str">
        <f t="array" ref="L2360">IF(ROWS(L$20:L2360)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2360))))</f>
        <v/>
      </c>
      <c r="M2360" s="4" t="str">
        <f t="array" ref="M2360">IF(ROWS(M$20:M2360)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2360))))</f>
        <v/>
      </c>
    </row>
    <row r="2361" spans="1:13" x14ac:dyDescent="0.25">
      <c r="A2361" s="3">
        <v>41605</v>
      </c>
      <c r="B2361" s="2" t="s">
        <v>5</v>
      </c>
      <c r="C2361" s="2">
        <v>11</v>
      </c>
      <c r="G2361" s="7" t="str">
        <f t="array" ref="G2361">IF(ROWS(K$20:K2361)&gt;$F$6,"",INDEX(A$2:A$10000,SMALL(IF(ISNUMBER(MATCH($B$2:$B$10000,$E$6:$E$22,0)),ROW($C$2:$C$10000)-ROW($C$2)+1),ROWS(K$20:K2361))))</f>
        <v/>
      </c>
      <c r="H2361" s="4" t="str">
        <f t="array" ref="H2361">IF(ROWS(L$20:L2361)&gt;$F$6,"",INDEX(B$2:B$10000,SMALL(IF(ISNUMBER(MATCH($B$2:$B$10000,$E$6:$E$22,0)),ROW($C$2:$C$10000)-ROW($C$2)+1),ROWS(L$20:L2361))))</f>
        <v/>
      </c>
      <c r="I2361" s="4" t="str">
        <f t="array" ref="I2361">IF(ROWS(M$20:M2361)&gt;$F$6,"",INDEX(C$2:C$10000,SMALL(IF(ISNUMBER(MATCH($B$2:$B$10000,$E$6:$E$22,0)),ROW($C$2:$C$10000)-ROW($C$2)+1),ROWS(M$20:M2361))))</f>
        <v/>
      </c>
      <c r="K2361" s="7" t="str">
        <f t="array" ref="K2361">IF(ROWS(K$20:K2361)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2361))))</f>
        <v/>
      </c>
      <c r="L2361" s="4" t="str">
        <f t="array" ref="L2361">IF(ROWS(L$20:L2361)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2361))))</f>
        <v/>
      </c>
      <c r="M2361" s="4" t="str">
        <f t="array" ref="M2361">IF(ROWS(M$20:M2361)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2361))))</f>
        <v/>
      </c>
    </row>
    <row r="2362" spans="1:13" x14ac:dyDescent="0.25">
      <c r="A2362" s="3">
        <v>41356</v>
      </c>
      <c r="B2362" s="2" t="s">
        <v>27</v>
      </c>
      <c r="C2362" s="2">
        <v>6</v>
      </c>
      <c r="G2362" s="7" t="str">
        <f t="array" ref="G2362">IF(ROWS(K$20:K2362)&gt;$F$6,"",INDEX(A$2:A$10000,SMALL(IF(ISNUMBER(MATCH($B$2:$B$10000,$E$6:$E$22,0)),ROW($C$2:$C$10000)-ROW($C$2)+1),ROWS(K$20:K2362))))</f>
        <v/>
      </c>
      <c r="H2362" s="4" t="str">
        <f t="array" ref="H2362">IF(ROWS(L$20:L2362)&gt;$F$6,"",INDEX(B$2:B$10000,SMALL(IF(ISNUMBER(MATCH($B$2:$B$10000,$E$6:$E$22,0)),ROW($C$2:$C$10000)-ROW($C$2)+1),ROWS(L$20:L2362))))</f>
        <v/>
      </c>
      <c r="I2362" s="4" t="str">
        <f t="array" ref="I2362">IF(ROWS(M$20:M2362)&gt;$F$6,"",INDEX(C$2:C$10000,SMALL(IF(ISNUMBER(MATCH($B$2:$B$10000,$E$6:$E$22,0)),ROW($C$2:$C$10000)-ROW($C$2)+1),ROWS(M$20:M2362))))</f>
        <v/>
      </c>
      <c r="K2362" s="7" t="str">
        <f t="array" ref="K2362">IF(ROWS(K$20:K2362)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2362))))</f>
        <v/>
      </c>
      <c r="L2362" s="4" t="str">
        <f t="array" ref="L2362">IF(ROWS(L$20:L2362)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2362))))</f>
        <v/>
      </c>
      <c r="M2362" s="4" t="str">
        <f t="array" ref="M2362">IF(ROWS(M$20:M2362)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2362))))</f>
        <v/>
      </c>
    </row>
    <row r="2363" spans="1:13" x14ac:dyDescent="0.25">
      <c r="A2363" s="3">
        <v>41509</v>
      </c>
      <c r="B2363" s="2" t="s">
        <v>14</v>
      </c>
      <c r="C2363" s="2">
        <v>35</v>
      </c>
      <c r="G2363" s="7" t="str">
        <f t="array" ref="G2363">IF(ROWS(K$20:K2363)&gt;$F$6,"",INDEX(A$2:A$10000,SMALL(IF(ISNUMBER(MATCH($B$2:$B$10000,$E$6:$E$22,0)),ROW($C$2:$C$10000)-ROW($C$2)+1),ROWS(K$20:K2363))))</f>
        <v/>
      </c>
      <c r="H2363" s="4" t="str">
        <f t="array" ref="H2363">IF(ROWS(L$20:L2363)&gt;$F$6,"",INDEX(B$2:B$10000,SMALL(IF(ISNUMBER(MATCH($B$2:$B$10000,$E$6:$E$22,0)),ROW($C$2:$C$10000)-ROW($C$2)+1),ROWS(L$20:L2363))))</f>
        <v/>
      </c>
      <c r="I2363" s="4" t="str">
        <f t="array" ref="I2363">IF(ROWS(M$20:M2363)&gt;$F$6,"",INDEX(C$2:C$10000,SMALL(IF(ISNUMBER(MATCH($B$2:$B$10000,$E$6:$E$22,0)),ROW($C$2:$C$10000)-ROW($C$2)+1),ROWS(M$20:M2363))))</f>
        <v/>
      </c>
      <c r="K2363" s="7" t="str">
        <f t="array" ref="K2363">IF(ROWS(K$20:K2363)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2363))))</f>
        <v/>
      </c>
      <c r="L2363" s="4" t="str">
        <f t="array" ref="L2363">IF(ROWS(L$20:L2363)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2363))))</f>
        <v/>
      </c>
      <c r="M2363" s="4" t="str">
        <f t="array" ref="M2363">IF(ROWS(M$20:M2363)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2363))))</f>
        <v/>
      </c>
    </row>
    <row r="2364" spans="1:13" x14ac:dyDescent="0.25">
      <c r="A2364" s="3">
        <v>41310</v>
      </c>
      <c r="B2364" s="2" t="s">
        <v>35</v>
      </c>
      <c r="C2364" s="2">
        <v>31</v>
      </c>
      <c r="G2364" s="7" t="str">
        <f t="array" ref="G2364">IF(ROWS(K$20:K2364)&gt;$F$6,"",INDEX(A$2:A$10000,SMALL(IF(ISNUMBER(MATCH($B$2:$B$10000,$E$6:$E$22,0)),ROW($C$2:$C$10000)-ROW($C$2)+1),ROWS(K$20:K2364))))</f>
        <v/>
      </c>
      <c r="H2364" s="4" t="str">
        <f t="array" ref="H2364">IF(ROWS(L$20:L2364)&gt;$F$6,"",INDEX(B$2:B$10000,SMALL(IF(ISNUMBER(MATCH($B$2:$B$10000,$E$6:$E$22,0)),ROW($C$2:$C$10000)-ROW($C$2)+1),ROWS(L$20:L2364))))</f>
        <v/>
      </c>
      <c r="I2364" s="4" t="str">
        <f t="array" ref="I2364">IF(ROWS(M$20:M2364)&gt;$F$6,"",INDEX(C$2:C$10000,SMALL(IF(ISNUMBER(MATCH($B$2:$B$10000,$E$6:$E$22,0)),ROW($C$2:$C$10000)-ROW($C$2)+1),ROWS(M$20:M2364))))</f>
        <v/>
      </c>
      <c r="K2364" s="7" t="str">
        <f t="array" ref="K2364">IF(ROWS(K$20:K2364)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2364))))</f>
        <v/>
      </c>
      <c r="L2364" s="4" t="str">
        <f t="array" ref="L2364">IF(ROWS(L$20:L2364)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2364))))</f>
        <v/>
      </c>
      <c r="M2364" s="4" t="str">
        <f t="array" ref="M2364">IF(ROWS(M$20:M2364)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2364))))</f>
        <v/>
      </c>
    </row>
    <row r="2365" spans="1:13" x14ac:dyDescent="0.25">
      <c r="A2365" s="3">
        <v>41925</v>
      </c>
      <c r="B2365" s="2" t="s">
        <v>50</v>
      </c>
      <c r="C2365" s="2">
        <v>28</v>
      </c>
      <c r="G2365" s="7" t="str">
        <f t="array" ref="G2365">IF(ROWS(K$20:K2365)&gt;$F$6,"",INDEX(A$2:A$10000,SMALL(IF(ISNUMBER(MATCH($B$2:$B$10000,$E$6:$E$22,0)),ROW($C$2:$C$10000)-ROW($C$2)+1),ROWS(K$20:K2365))))</f>
        <v/>
      </c>
      <c r="H2365" s="4" t="str">
        <f t="array" ref="H2365">IF(ROWS(L$20:L2365)&gt;$F$6,"",INDEX(B$2:B$10000,SMALL(IF(ISNUMBER(MATCH($B$2:$B$10000,$E$6:$E$22,0)),ROW($C$2:$C$10000)-ROW($C$2)+1),ROWS(L$20:L2365))))</f>
        <v/>
      </c>
      <c r="I2365" s="4" t="str">
        <f t="array" ref="I2365">IF(ROWS(M$20:M2365)&gt;$F$6,"",INDEX(C$2:C$10000,SMALL(IF(ISNUMBER(MATCH($B$2:$B$10000,$E$6:$E$22,0)),ROW($C$2:$C$10000)-ROW($C$2)+1),ROWS(M$20:M2365))))</f>
        <v/>
      </c>
      <c r="K2365" s="7" t="str">
        <f t="array" ref="K2365">IF(ROWS(K$20:K2365)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2365))))</f>
        <v/>
      </c>
      <c r="L2365" s="4" t="str">
        <f t="array" ref="L2365">IF(ROWS(L$20:L2365)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2365))))</f>
        <v/>
      </c>
      <c r="M2365" s="4" t="str">
        <f t="array" ref="M2365">IF(ROWS(M$20:M2365)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2365))))</f>
        <v/>
      </c>
    </row>
    <row r="2366" spans="1:13" x14ac:dyDescent="0.25">
      <c r="A2366" s="3">
        <v>41520</v>
      </c>
      <c r="B2366" s="2" t="s">
        <v>13</v>
      </c>
      <c r="C2366" s="2">
        <v>22</v>
      </c>
      <c r="G2366" s="7" t="str">
        <f t="array" ref="G2366">IF(ROWS(K$20:K2366)&gt;$F$6,"",INDEX(A$2:A$10000,SMALL(IF(ISNUMBER(MATCH($B$2:$B$10000,$E$6:$E$22,0)),ROW($C$2:$C$10000)-ROW($C$2)+1),ROWS(K$20:K2366))))</f>
        <v/>
      </c>
      <c r="H2366" s="4" t="str">
        <f t="array" ref="H2366">IF(ROWS(L$20:L2366)&gt;$F$6,"",INDEX(B$2:B$10000,SMALL(IF(ISNUMBER(MATCH($B$2:$B$10000,$E$6:$E$22,0)),ROW($C$2:$C$10000)-ROW($C$2)+1),ROWS(L$20:L2366))))</f>
        <v/>
      </c>
      <c r="I2366" s="4" t="str">
        <f t="array" ref="I2366">IF(ROWS(M$20:M2366)&gt;$F$6,"",INDEX(C$2:C$10000,SMALL(IF(ISNUMBER(MATCH($B$2:$B$10000,$E$6:$E$22,0)),ROW($C$2:$C$10000)-ROW($C$2)+1),ROWS(M$20:M2366))))</f>
        <v/>
      </c>
      <c r="K2366" s="7" t="str">
        <f t="array" ref="K2366">IF(ROWS(K$20:K2366)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2366))))</f>
        <v/>
      </c>
      <c r="L2366" s="4" t="str">
        <f t="array" ref="L2366">IF(ROWS(L$20:L2366)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2366))))</f>
        <v/>
      </c>
      <c r="M2366" s="4" t="str">
        <f t="array" ref="M2366">IF(ROWS(M$20:M2366)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2366))))</f>
        <v/>
      </c>
    </row>
    <row r="2367" spans="1:13" x14ac:dyDescent="0.25">
      <c r="A2367" s="3">
        <v>41500</v>
      </c>
      <c r="B2367" s="2" t="s">
        <v>39</v>
      </c>
      <c r="C2367" s="2">
        <v>33</v>
      </c>
      <c r="G2367" s="7" t="str">
        <f t="array" ref="G2367">IF(ROWS(K$20:K2367)&gt;$F$6,"",INDEX(A$2:A$10000,SMALL(IF(ISNUMBER(MATCH($B$2:$B$10000,$E$6:$E$22,0)),ROW($C$2:$C$10000)-ROW($C$2)+1),ROWS(K$20:K2367))))</f>
        <v/>
      </c>
      <c r="H2367" s="4" t="str">
        <f t="array" ref="H2367">IF(ROWS(L$20:L2367)&gt;$F$6,"",INDEX(B$2:B$10000,SMALL(IF(ISNUMBER(MATCH($B$2:$B$10000,$E$6:$E$22,0)),ROW($C$2:$C$10000)-ROW($C$2)+1),ROWS(L$20:L2367))))</f>
        <v/>
      </c>
      <c r="I2367" s="4" t="str">
        <f t="array" ref="I2367">IF(ROWS(M$20:M2367)&gt;$F$6,"",INDEX(C$2:C$10000,SMALL(IF(ISNUMBER(MATCH($B$2:$B$10000,$E$6:$E$22,0)),ROW($C$2:$C$10000)-ROW($C$2)+1),ROWS(M$20:M2367))))</f>
        <v/>
      </c>
      <c r="K2367" s="7" t="str">
        <f t="array" ref="K2367">IF(ROWS(K$20:K2367)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2367))))</f>
        <v/>
      </c>
      <c r="L2367" s="4" t="str">
        <f t="array" ref="L2367">IF(ROWS(L$20:L2367)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2367))))</f>
        <v/>
      </c>
      <c r="M2367" s="4" t="str">
        <f t="array" ref="M2367">IF(ROWS(M$20:M2367)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2367))))</f>
        <v/>
      </c>
    </row>
    <row r="2368" spans="1:13" x14ac:dyDescent="0.25">
      <c r="A2368" s="3">
        <v>41856</v>
      </c>
      <c r="B2368" s="2" t="s">
        <v>33</v>
      </c>
      <c r="C2368" s="2">
        <v>9</v>
      </c>
      <c r="G2368" s="7" t="str">
        <f t="array" ref="G2368">IF(ROWS(K$20:K2368)&gt;$F$6,"",INDEX(A$2:A$10000,SMALL(IF(ISNUMBER(MATCH($B$2:$B$10000,$E$6:$E$22,0)),ROW($C$2:$C$10000)-ROW($C$2)+1),ROWS(K$20:K2368))))</f>
        <v/>
      </c>
      <c r="H2368" s="4" t="str">
        <f t="array" ref="H2368">IF(ROWS(L$20:L2368)&gt;$F$6,"",INDEX(B$2:B$10000,SMALL(IF(ISNUMBER(MATCH($B$2:$B$10000,$E$6:$E$22,0)),ROW($C$2:$C$10000)-ROW($C$2)+1),ROWS(L$20:L2368))))</f>
        <v/>
      </c>
      <c r="I2368" s="4" t="str">
        <f t="array" ref="I2368">IF(ROWS(M$20:M2368)&gt;$F$6,"",INDEX(C$2:C$10000,SMALL(IF(ISNUMBER(MATCH($B$2:$B$10000,$E$6:$E$22,0)),ROW($C$2:$C$10000)-ROW($C$2)+1),ROWS(M$20:M2368))))</f>
        <v/>
      </c>
      <c r="K2368" s="7" t="str">
        <f t="array" ref="K2368">IF(ROWS(K$20:K2368)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2368))))</f>
        <v/>
      </c>
      <c r="L2368" s="4" t="str">
        <f t="array" ref="L2368">IF(ROWS(L$20:L2368)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2368))))</f>
        <v/>
      </c>
      <c r="M2368" s="4" t="str">
        <f t="array" ref="M2368">IF(ROWS(M$20:M2368)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2368))))</f>
        <v/>
      </c>
    </row>
    <row r="2369" spans="1:13" x14ac:dyDescent="0.25">
      <c r="A2369" s="3">
        <v>41765</v>
      </c>
      <c r="B2369" s="2" t="s">
        <v>28</v>
      </c>
      <c r="C2369" s="2">
        <v>21</v>
      </c>
      <c r="G2369" s="7" t="str">
        <f t="array" ref="G2369">IF(ROWS(K$20:K2369)&gt;$F$6,"",INDEX(A$2:A$10000,SMALL(IF(ISNUMBER(MATCH($B$2:$B$10000,$E$6:$E$22,0)),ROW($C$2:$C$10000)-ROW($C$2)+1),ROWS(K$20:K2369))))</f>
        <v/>
      </c>
      <c r="H2369" s="4" t="str">
        <f t="array" ref="H2369">IF(ROWS(L$20:L2369)&gt;$F$6,"",INDEX(B$2:B$10000,SMALL(IF(ISNUMBER(MATCH($B$2:$B$10000,$E$6:$E$22,0)),ROW($C$2:$C$10000)-ROW($C$2)+1),ROWS(L$20:L2369))))</f>
        <v/>
      </c>
      <c r="I2369" s="4" t="str">
        <f t="array" ref="I2369">IF(ROWS(M$20:M2369)&gt;$F$6,"",INDEX(C$2:C$10000,SMALL(IF(ISNUMBER(MATCH($B$2:$B$10000,$E$6:$E$22,0)),ROW($C$2:$C$10000)-ROW($C$2)+1),ROWS(M$20:M2369))))</f>
        <v/>
      </c>
      <c r="K2369" s="7" t="str">
        <f t="array" ref="K2369">IF(ROWS(K$20:K2369)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2369))))</f>
        <v/>
      </c>
      <c r="L2369" s="4" t="str">
        <f t="array" ref="L2369">IF(ROWS(L$20:L2369)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2369))))</f>
        <v/>
      </c>
      <c r="M2369" s="4" t="str">
        <f t="array" ref="M2369">IF(ROWS(M$20:M2369)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2369))))</f>
        <v/>
      </c>
    </row>
    <row r="2370" spans="1:13" x14ac:dyDescent="0.25">
      <c r="A2370" s="3">
        <v>41678</v>
      </c>
      <c r="B2370" s="2" t="s">
        <v>50</v>
      </c>
      <c r="C2370" s="2">
        <v>47</v>
      </c>
      <c r="G2370" s="7" t="str">
        <f t="array" ref="G2370">IF(ROWS(K$20:K2370)&gt;$F$6,"",INDEX(A$2:A$10000,SMALL(IF(ISNUMBER(MATCH($B$2:$B$10000,$E$6:$E$22,0)),ROW($C$2:$C$10000)-ROW($C$2)+1),ROWS(K$20:K2370))))</f>
        <v/>
      </c>
      <c r="H2370" s="4" t="str">
        <f t="array" ref="H2370">IF(ROWS(L$20:L2370)&gt;$F$6,"",INDEX(B$2:B$10000,SMALL(IF(ISNUMBER(MATCH($B$2:$B$10000,$E$6:$E$22,0)),ROW($C$2:$C$10000)-ROW($C$2)+1),ROWS(L$20:L2370))))</f>
        <v/>
      </c>
      <c r="I2370" s="4" t="str">
        <f t="array" ref="I2370">IF(ROWS(M$20:M2370)&gt;$F$6,"",INDEX(C$2:C$10000,SMALL(IF(ISNUMBER(MATCH($B$2:$B$10000,$E$6:$E$22,0)),ROW($C$2:$C$10000)-ROW($C$2)+1),ROWS(M$20:M2370))))</f>
        <v/>
      </c>
      <c r="K2370" s="7" t="str">
        <f t="array" ref="K2370">IF(ROWS(K$20:K2370)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2370))))</f>
        <v/>
      </c>
      <c r="L2370" s="4" t="str">
        <f t="array" ref="L2370">IF(ROWS(L$20:L2370)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2370))))</f>
        <v/>
      </c>
      <c r="M2370" s="4" t="str">
        <f t="array" ref="M2370">IF(ROWS(M$20:M2370)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2370))))</f>
        <v/>
      </c>
    </row>
    <row r="2371" spans="1:13" x14ac:dyDescent="0.25">
      <c r="A2371" s="3">
        <v>41428</v>
      </c>
      <c r="B2371" s="2" t="s">
        <v>26</v>
      </c>
      <c r="C2371" s="2">
        <v>26</v>
      </c>
      <c r="G2371" s="7" t="str">
        <f t="array" ref="G2371">IF(ROWS(K$20:K2371)&gt;$F$6,"",INDEX(A$2:A$10000,SMALL(IF(ISNUMBER(MATCH($B$2:$B$10000,$E$6:$E$22,0)),ROW($C$2:$C$10000)-ROW($C$2)+1),ROWS(K$20:K2371))))</f>
        <v/>
      </c>
      <c r="H2371" s="4" t="str">
        <f t="array" ref="H2371">IF(ROWS(L$20:L2371)&gt;$F$6,"",INDEX(B$2:B$10000,SMALL(IF(ISNUMBER(MATCH($B$2:$B$10000,$E$6:$E$22,0)),ROW($C$2:$C$10000)-ROW($C$2)+1),ROWS(L$20:L2371))))</f>
        <v/>
      </c>
      <c r="I2371" s="4" t="str">
        <f t="array" ref="I2371">IF(ROWS(M$20:M2371)&gt;$F$6,"",INDEX(C$2:C$10000,SMALL(IF(ISNUMBER(MATCH($B$2:$B$10000,$E$6:$E$22,0)),ROW($C$2:$C$10000)-ROW($C$2)+1),ROWS(M$20:M2371))))</f>
        <v/>
      </c>
      <c r="K2371" s="7" t="str">
        <f t="array" ref="K2371">IF(ROWS(K$20:K2371)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2371))))</f>
        <v/>
      </c>
      <c r="L2371" s="4" t="str">
        <f t="array" ref="L2371">IF(ROWS(L$20:L2371)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2371))))</f>
        <v/>
      </c>
      <c r="M2371" s="4" t="str">
        <f t="array" ref="M2371">IF(ROWS(M$20:M2371)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2371))))</f>
        <v/>
      </c>
    </row>
    <row r="2372" spans="1:13" x14ac:dyDescent="0.25">
      <c r="A2372" s="3">
        <v>41699</v>
      </c>
      <c r="B2372" s="2" t="s">
        <v>18</v>
      </c>
      <c r="C2372" s="2">
        <v>22</v>
      </c>
      <c r="G2372" s="7" t="str">
        <f t="array" ref="G2372">IF(ROWS(K$20:K2372)&gt;$F$6,"",INDEX(A$2:A$10000,SMALL(IF(ISNUMBER(MATCH($B$2:$B$10000,$E$6:$E$22,0)),ROW($C$2:$C$10000)-ROW($C$2)+1),ROWS(K$20:K2372))))</f>
        <v/>
      </c>
      <c r="H2372" s="4" t="str">
        <f t="array" ref="H2372">IF(ROWS(L$20:L2372)&gt;$F$6,"",INDEX(B$2:B$10000,SMALL(IF(ISNUMBER(MATCH($B$2:$B$10000,$E$6:$E$22,0)),ROW($C$2:$C$10000)-ROW($C$2)+1),ROWS(L$20:L2372))))</f>
        <v/>
      </c>
      <c r="I2372" s="4" t="str">
        <f t="array" ref="I2372">IF(ROWS(M$20:M2372)&gt;$F$6,"",INDEX(C$2:C$10000,SMALL(IF(ISNUMBER(MATCH($B$2:$B$10000,$E$6:$E$22,0)),ROW($C$2:$C$10000)-ROW($C$2)+1),ROWS(M$20:M2372))))</f>
        <v/>
      </c>
      <c r="K2372" s="7" t="str">
        <f t="array" ref="K2372">IF(ROWS(K$20:K2372)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2372))))</f>
        <v/>
      </c>
      <c r="L2372" s="4" t="str">
        <f t="array" ref="L2372">IF(ROWS(L$20:L2372)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2372))))</f>
        <v/>
      </c>
      <c r="M2372" s="4" t="str">
        <f t="array" ref="M2372">IF(ROWS(M$20:M2372)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2372))))</f>
        <v/>
      </c>
    </row>
    <row r="2373" spans="1:13" x14ac:dyDescent="0.25">
      <c r="A2373" s="3">
        <v>41414</v>
      </c>
      <c r="B2373" s="2" t="s">
        <v>18</v>
      </c>
      <c r="C2373" s="2">
        <v>49</v>
      </c>
      <c r="G2373" s="7" t="str">
        <f t="array" ref="G2373">IF(ROWS(K$20:K2373)&gt;$F$6,"",INDEX(A$2:A$10000,SMALL(IF(ISNUMBER(MATCH($B$2:$B$10000,$E$6:$E$22,0)),ROW($C$2:$C$10000)-ROW($C$2)+1),ROWS(K$20:K2373))))</f>
        <v/>
      </c>
      <c r="H2373" s="4" t="str">
        <f t="array" ref="H2373">IF(ROWS(L$20:L2373)&gt;$F$6,"",INDEX(B$2:B$10000,SMALL(IF(ISNUMBER(MATCH($B$2:$B$10000,$E$6:$E$22,0)),ROW($C$2:$C$10000)-ROW($C$2)+1),ROWS(L$20:L2373))))</f>
        <v/>
      </c>
      <c r="I2373" s="4" t="str">
        <f t="array" ref="I2373">IF(ROWS(M$20:M2373)&gt;$F$6,"",INDEX(C$2:C$10000,SMALL(IF(ISNUMBER(MATCH($B$2:$B$10000,$E$6:$E$22,0)),ROW($C$2:$C$10000)-ROW($C$2)+1),ROWS(M$20:M2373))))</f>
        <v/>
      </c>
      <c r="K2373" s="7" t="str">
        <f t="array" ref="K2373">IF(ROWS(K$20:K2373)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2373))))</f>
        <v/>
      </c>
      <c r="L2373" s="4" t="str">
        <f t="array" ref="L2373">IF(ROWS(L$20:L2373)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2373))))</f>
        <v/>
      </c>
      <c r="M2373" s="4" t="str">
        <f t="array" ref="M2373">IF(ROWS(M$20:M2373)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2373))))</f>
        <v/>
      </c>
    </row>
    <row r="2374" spans="1:13" x14ac:dyDescent="0.25">
      <c r="A2374" s="3">
        <v>41367</v>
      </c>
      <c r="B2374" s="2" t="s">
        <v>47</v>
      </c>
      <c r="C2374" s="2">
        <v>22</v>
      </c>
      <c r="G2374" s="7" t="str">
        <f t="array" ref="G2374">IF(ROWS(K$20:K2374)&gt;$F$6,"",INDEX(A$2:A$10000,SMALL(IF(ISNUMBER(MATCH($B$2:$B$10000,$E$6:$E$22,0)),ROW($C$2:$C$10000)-ROW($C$2)+1),ROWS(K$20:K2374))))</f>
        <v/>
      </c>
      <c r="H2374" s="4" t="str">
        <f t="array" ref="H2374">IF(ROWS(L$20:L2374)&gt;$F$6,"",INDEX(B$2:B$10000,SMALL(IF(ISNUMBER(MATCH($B$2:$B$10000,$E$6:$E$22,0)),ROW($C$2:$C$10000)-ROW($C$2)+1),ROWS(L$20:L2374))))</f>
        <v/>
      </c>
      <c r="I2374" s="4" t="str">
        <f t="array" ref="I2374">IF(ROWS(M$20:M2374)&gt;$F$6,"",INDEX(C$2:C$10000,SMALL(IF(ISNUMBER(MATCH($B$2:$B$10000,$E$6:$E$22,0)),ROW($C$2:$C$10000)-ROW($C$2)+1),ROWS(M$20:M2374))))</f>
        <v/>
      </c>
      <c r="K2374" s="7" t="str">
        <f t="array" ref="K2374">IF(ROWS(K$20:K2374)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2374))))</f>
        <v/>
      </c>
      <c r="L2374" s="4" t="str">
        <f t="array" ref="L2374">IF(ROWS(L$20:L2374)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2374))))</f>
        <v/>
      </c>
      <c r="M2374" s="4" t="str">
        <f t="array" ref="M2374">IF(ROWS(M$20:M2374)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2374))))</f>
        <v/>
      </c>
    </row>
    <row r="2375" spans="1:13" x14ac:dyDescent="0.25">
      <c r="A2375" s="3">
        <v>41924</v>
      </c>
      <c r="B2375" s="2" t="s">
        <v>2</v>
      </c>
      <c r="C2375" s="2">
        <v>2</v>
      </c>
      <c r="G2375" s="7" t="str">
        <f t="array" ref="G2375">IF(ROWS(K$20:K2375)&gt;$F$6,"",INDEX(A$2:A$10000,SMALL(IF(ISNUMBER(MATCH($B$2:$B$10000,$E$6:$E$22,0)),ROW($C$2:$C$10000)-ROW($C$2)+1),ROWS(K$20:K2375))))</f>
        <v/>
      </c>
      <c r="H2375" s="4" t="str">
        <f t="array" ref="H2375">IF(ROWS(L$20:L2375)&gt;$F$6,"",INDEX(B$2:B$10000,SMALL(IF(ISNUMBER(MATCH($B$2:$B$10000,$E$6:$E$22,0)),ROW($C$2:$C$10000)-ROW($C$2)+1),ROWS(L$20:L2375))))</f>
        <v/>
      </c>
      <c r="I2375" s="4" t="str">
        <f t="array" ref="I2375">IF(ROWS(M$20:M2375)&gt;$F$6,"",INDEX(C$2:C$10000,SMALL(IF(ISNUMBER(MATCH($B$2:$B$10000,$E$6:$E$22,0)),ROW($C$2:$C$10000)-ROW($C$2)+1),ROWS(M$20:M2375))))</f>
        <v/>
      </c>
      <c r="K2375" s="7" t="str">
        <f t="array" ref="K2375">IF(ROWS(K$20:K2375)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2375))))</f>
        <v/>
      </c>
      <c r="L2375" s="4" t="str">
        <f t="array" ref="L2375">IF(ROWS(L$20:L2375)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2375))))</f>
        <v/>
      </c>
      <c r="M2375" s="4" t="str">
        <f t="array" ref="M2375">IF(ROWS(M$20:M2375)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2375))))</f>
        <v/>
      </c>
    </row>
    <row r="2376" spans="1:13" x14ac:dyDescent="0.25">
      <c r="A2376" s="3">
        <v>41500</v>
      </c>
      <c r="B2376" s="2" t="s">
        <v>13</v>
      </c>
      <c r="C2376" s="2">
        <v>73</v>
      </c>
      <c r="G2376" s="7" t="str">
        <f t="array" ref="G2376">IF(ROWS(K$20:K2376)&gt;$F$6,"",INDEX(A$2:A$10000,SMALL(IF(ISNUMBER(MATCH($B$2:$B$10000,$E$6:$E$22,0)),ROW($C$2:$C$10000)-ROW($C$2)+1),ROWS(K$20:K2376))))</f>
        <v/>
      </c>
      <c r="H2376" s="4" t="str">
        <f t="array" ref="H2376">IF(ROWS(L$20:L2376)&gt;$F$6,"",INDEX(B$2:B$10000,SMALL(IF(ISNUMBER(MATCH($B$2:$B$10000,$E$6:$E$22,0)),ROW($C$2:$C$10000)-ROW($C$2)+1),ROWS(L$20:L2376))))</f>
        <v/>
      </c>
      <c r="I2376" s="4" t="str">
        <f t="array" ref="I2376">IF(ROWS(M$20:M2376)&gt;$F$6,"",INDEX(C$2:C$10000,SMALL(IF(ISNUMBER(MATCH($B$2:$B$10000,$E$6:$E$22,0)),ROW($C$2:$C$10000)-ROW($C$2)+1),ROWS(M$20:M2376))))</f>
        <v/>
      </c>
      <c r="K2376" s="7" t="str">
        <f t="array" ref="K2376">IF(ROWS(K$20:K2376)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2376))))</f>
        <v/>
      </c>
      <c r="L2376" s="4" t="str">
        <f t="array" ref="L2376">IF(ROWS(L$20:L2376)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2376))))</f>
        <v/>
      </c>
      <c r="M2376" s="4" t="str">
        <f t="array" ref="M2376">IF(ROWS(M$20:M2376)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2376))))</f>
        <v/>
      </c>
    </row>
    <row r="2377" spans="1:13" x14ac:dyDescent="0.25">
      <c r="A2377" s="3">
        <v>41856</v>
      </c>
      <c r="B2377" s="2" t="s">
        <v>39</v>
      </c>
      <c r="C2377" s="2">
        <v>37</v>
      </c>
      <c r="G2377" s="7" t="str">
        <f t="array" ref="G2377">IF(ROWS(K$20:K2377)&gt;$F$6,"",INDEX(A$2:A$10000,SMALL(IF(ISNUMBER(MATCH($B$2:$B$10000,$E$6:$E$22,0)),ROW($C$2:$C$10000)-ROW($C$2)+1),ROWS(K$20:K2377))))</f>
        <v/>
      </c>
      <c r="H2377" s="4" t="str">
        <f t="array" ref="H2377">IF(ROWS(L$20:L2377)&gt;$F$6,"",INDEX(B$2:B$10000,SMALL(IF(ISNUMBER(MATCH($B$2:$B$10000,$E$6:$E$22,0)),ROW($C$2:$C$10000)-ROW($C$2)+1),ROWS(L$20:L2377))))</f>
        <v/>
      </c>
      <c r="I2377" s="4" t="str">
        <f t="array" ref="I2377">IF(ROWS(M$20:M2377)&gt;$F$6,"",INDEX(C$2:C$10000,SMALL(IF(ISNUMBER(MATCH($B$2:$B$10000,$E$6:$E$22,0)),ROW($C$2:$C$10000)-ROW($C$2)+1),ROWS(M$20:M2377))))</f>
        <v/>
      </c>
      <c r="K2377" s="7" t="str">
        <f t="array" ref="K2377">IF(ROWS(K$20:K2377)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2377))))</f>
        <v/>
      </c>
      <c r="L2377" s="4" t="str">
        <f t="array" ref="L2377">IF(ROWS(L$20:L2377)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2377))))</f>
        <v/>
      </c>
      <c r="M2377" s="4" t="str">
        <f t="array" ref="M2377">IF(ROWS(M$20:M2377)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2377))))</f>
        <v/>
      </c>
    </row>
    <row r="2378" spans="1:13" x14ac:dyDescent="0.25">
      <c r="A2378" s="3">
        <v>41805</v>
      </c>
      <c r="B2378" s="2" t="s">
        <v>35</v>
      </c>
      <c r="C2378" s="2">
        <v>15</v>
      </c>
      <c r="G2378" s="7" t="str">
        <f t="array" ref="G2378">IF(ROWS(K$20:K2378)&gt;$F$6,"",INDEX(A$2:A$10000,SMALL(IF(ISNUMBER(MATCH($B$2:$B$10000,$E$6:$E$22,0)),ROW($C$2:$C$10000)-ROW($C$2)+1),ROWS(K$20:K2378))))</f>
        <v/>
      </c>
      <c r="H2378" s="4" t="str">
        <f t="array" ref="H2378">IF(ROWS(L$20:L2378)&gt;$F$6,"",INDEX(B$2:B$10000,SMALL(IF(ISNUMBER(MATCH($B$2:$B$10000,$E$6:$E$22,0)),ROW($C$2:$C$10000)-ROW($C$2)+1),ROWS(L$20:L2378))))</f>
        <v/>
      </c>
      <c r="I2378" s="4" t="str">
        <f t="array" ref="I2378">IF(ROWS(M$20:M2378)&gt;$F$6,"",INDEX(C$2:C$10000,SMALL(IF(ISNUMBER(MATCH($B$2:$B$10000,$E$6:$E$22,0)),ROW($C$2:$C$10000)-ROW($C$2)+1),ROWS(M$20:M2378))))</f>
        <v/>
      </c>
      <c r="K2378" s="7" t="str">
        <f t="array" ref="K2378">IF(ROWS(K$20:K2378)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2378))))</f>
        <v/>
      </c>
      <c r="L2378" s="4" t="str">
        <f t="array" ref="L2378">IF(ROWS(L$20:L2378)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2378))))</f>
        <v/>
      </c>
      <c r="M2378" s="4" t="str">
        <f t="array" ref="M2378">IF(ROWS(M$20:M2378)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2378))))</f>
        <v/>
      </c>
    </row>
    <row r="2379" spans="1:13" x14ac:dyDescent="0.25">
      <c r="A2379" s="3">
        <v>41921</v>
      </c>
      <c r="B2379" s="2" t="s">
        <v>11</v>
      </c>
      <c r="C2379" s="2">
        <v>16</v>
      </c>
      <c r="G2379" s="7" t="str">
        <f t="array" ref="G2379">IF(ROWS(K$20:K2379)&gt;$F$6,"",INDEX(A$2:A$10000,SMALL(IF(ISNUMBER(MATCH($B$2:$B$10000,$E$6:$E$22,0)),ROW($C$2:$C$10000)-ROW($C$2)+1),ROWS(K$20:K2379))))</f>
        <v/>
      </c>
      <c r="H2379" s="4" t="str">
        <f t="array" ref="H2379">IF(ROWS(L$20:L2379)&gt;$F$6,"",INDEX(B$2:B$10000,SMALL(IF(ISNUMBER(MATCH($B$2:$B$10000,$E$6:$E$22,0)),ROW($C$2:$C$10000)-ROW($C$2)+1),ROWS(L$20:L2379))))</f>
        <v/>
      </c>
      <c r="I2379" s="4" t="str">
        <f t="array" ref="I2379">IF(ROWS(M$20:M2379)&gt;$F$6,"",INDEX(C$2:C$10000,SMALL(IF(ISNUMBER(MATCH($B$2:$B$10000,$E$6:$E$22,0)),ROW($C$2:$C$10000)-ROW($C$2)+1),ROWS(M$20:M2379))))</f>
        <v/>
      </c>
      <c r="K2379" s="7" t="str">
        <f t="array" ref="K2379">IF(ROWS(K$20:K2379)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2379))))</f>
        <v/>
      </c>
      <c r="L2379" s="4" t="str">
        <f t="array" ref="L2379">IF(ROWS(L$20:L2379)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2379))))</f>
        <v/>
      </c>
      <c r="M2379" s="4" t="str">
        <f t="array" ref="M2379">IF(ROWS(M$20:M2379)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2379))))</f>
        <v/>
      </c>
    </row>
    <row r="2380" spans="1:13" x14ac:dyDescent="0.25">
      <c r="A2380" s="3">
        <v>41438</v>
      </c>
      <c r="B2380" s="2" t="s">
        <v>43</v>
      </c>
      <c r="C2380" s="2">
        <v>19</v>
      </c>
      <c r="G2380" s="7" t="str">
        <f t="array" ref="G2380">IF(ROWS(K$20:K2380)&gt;$F$6,"",INDEX(A$2:A$10000,SMALL(IF(ISNUMBER(MATCH($B$2:$B$10000,$E$6:$E$22,0)),ROW($C$2:$C$10000)-ROW($C$2)+1),ROWS(K$20:K2380))))</f>
        <v/>
      </c>
      <c r="H2380" s="4" t="str">
        <f t="array" ref="H2380">IF(ROWS(L$20:L2380)&gt;$F$6,"",INDEX(B$2:B$10000,SMALL(IF(ISNUMBER(MATCH($B$2:$B$10000,$E$6:$E$22,0)),ROW($C$2:$C$10000)-ROW($C$2)+1),ROWS(L$20:L2380))))</f>
        <v/>
      </c>
      <c r="I2380" s="4" t="str">
        <f t="array" ref="I2380">IF(ROWS(M$20:M2380)&gt;$F$6,"",INDEX(C$2:C$10000,SMALL(IF(ISNUMBER(MATCH($B$2:$B$10000,$E$6:$E$22,0)),ROW($C$2:$C$10000)-ROW($C$2)+1),ROWS(M$20:M2380))))</f>
        <v/>
      </c>
      <c r="K2380" s="7" t="str">
        <f t="array" ref="K2380">IF(ROWS(K$20:K2380)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2380))))</f>
        <v/>
      </c>
      <c r="L2380" s="4" t="str">
        <f t="array" ref="L2380">IF(ROWS(L$20:L2380)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2380))))</f>
        <v/>
      </c>
      <c r="M2380" s="4" t="str">
        <f t="array" ref="M2380">IF(ROWS(M$20:M2380)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2380))))</f>
        <v/>
      </c>
    </row>
    <row r="2381" spans="1:13" x14ac:dyDescent="0.25">
      <c r="A2381" s="3">
        <v>41923</v>
      </c>
      <c r="B2381" s="2" t="s">
        <v>4</v>
      </c>
      <c r="C2381" s="2">
        <v>29</v>
      </c>
      <c r="G2381" s="7" t="str">
        <f t="array" ref="G2381">IF(ROWS(K$20:K2381)&gt;$F$6,"",INDEX(A$2:A$10000,SMALL(IF(ISNUMBER(MATCH($B$2:$B$10000,$E$6:$E$22,0)),ROW($C$2:$C$10000)-ROW($C$2)+1),ROWS(K$20:K2381))))</f>
        <v/>
      </c>
      <c r="H2381" s="4" t="str">
        <f t="array" ref="H2381">IF(ROWS(L$20:L2381)&gt;$F$6,"",INDEX(B$2:B$10000,SMALL(IF(ISNUMBER(MATCH($B$2:$B$10000,$E$6:$E$22,0)),ROW($C$2:$C$10000)-ROW($C$2)+1),ROWS(L$20:L2381))))</f>
        <v/>
      </c>
      <c r="I2381" s="4" t="str">
        <f t="array" ref="I2381">IF(ROWS(M$20:M2381)&gt;$F$6,"",INDEX(C$2:C$10000,SMALL(IF(ISNUMBER(MATCH($B$2:$B$10000,$E$6:$E$22,0)),ROW($C$2:$C$10000)-ROW($C$2)+1),ROWS(M$20:M2381))))</f>
        <v/>
      </c>
      <c r="K2381" s="7" t="str">
        <f t="array" ref="K2381">IF(ROWS(K$20:K2381)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2381))))</f>
        <v/>
      </c>
      <c r="L2381" s="4" t="str">
        <f t="array" ref="L2381">IF(ROWS(L$20:L2381)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2381))))</f>
        <v/>
      </c>
      <c r="M2381" s="4" t="str">
        <f t="array" ref="M2381">IF(ROWS(M$20:M2381)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2381))))</f>
        <v/>
      </c>
    </row>
    <row r="2382" spans="1:13" x14ac:dyDescent="0.25">
      <c r="A2382" s="3">
        <v>41478</v>
      </c>
      <c r="B2382" s="2" t="s">
        <v>36</v>
      </c>
      <c r="C2382" s="2">
        <v>35</v>
      </c>
      <c r="G2382" s="7" t="str">
        <f t="array" ref="G2382">IF(ROWS(K$20:K2382)&gt;$F$6,"",INDEX(A$2:A$10000,SMALL(IF(ISNUMBER(MATCH($B$2:$B$10000,$E$6:$E$22,0)),ROW($C$2:$C$10000)-ROW($C$2)+1),ROWS(K$20:K2382))))</f>
        <v/>
      </c>
      <c r="H2382" s="4" t="str">
        <f t="array" ref="H2382">IF(ROWS(L$20:L2382)&gt;$F$6,"",INDEX(B$2:B$10000,SMALL(IF(ISNUMBER(MATCH($B$2:$B$10000,$E$6:$E$22,0)),ROW($C$2:$C$10000)-ROW($C$2)+1),ROWS(L$20:L2382))))</f>
        <v/>
      </c>
      <c r="I2382" s="4" t="str">
        <f t="array" ref="I2382">IF(ROWS(M$20:M2382)&gt;$F$6,"",INDEX(C$2:C$10000,SMALL(IF(ISNUMBER(MATCH($B$2:$B$10000,$E$6:$E$22,0)),ROW($C$2:$C$10000)-ROW($C$2)+1),ROWS(M$20:M2382))))</f>
        <v/>
      </c>
      <c r="K2382" s="7" t="str">
        <f t="array" ref="K2382">IF(ROWS(K$20:K2382)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2382))))</f>
        <v/>
      </c>
      <c r="L2382" s="4" t="str">
        <f t="array" ref="L2382">IF(ROWS(L$20:L2382)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2382))))</f>
        <v/>
      </c>
      <c r="M2382" s="4" t="str">
        <f t="array" ref="M2382">IF(ROWS(M$20:M2382)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2382))))</f>
        <v/>
      </c>
    </row>
    <row r="2383" spans="1:13" x14ac:dyDescent="0.25">
      <c r="A2383" s="3">
        <v>41874</v>
      </c>
      <c r="B2383" s="2" t="s">
        <v>22</v>
      </c>
      <c r="C2383" s="2">
        <v>27</v>
      </c>
      <c r="G2383" s="7" t="str">
        <f t="array" ref="G2383">IF(ROWS(K$20:K2383)&gt;$F$6,"",INDEX(A$2:A$10000,SMALL(IF(ISNUMBER(MATCH($B$2:$B$10000,$E$6:$E$22,0)),ROW($C$2:$C$10000)-ROW($C$2)+1),ROWS(K$20:K2383))))</f>
        <v/>
      </c>
      <c r="H2383" s="4" t="str">
        <f t="array" ref="H2383">IF(ROWS(L$20:L2383)&gt;$F$6,"",INDEX(B$2:B$10000,SMALL(IF(ISNUMBER(MATCH($B$2:$B$10000,$E$6:$E$22,0)),ROW($C$2:$C$10000)-ROW($C$2)+1),ROWS(L$20:L2383))))</f>
        <v/>
      </c>
      <c r="I2383" s="4" t="str">
        <f t="array" ref="I2383">IF(ROWS(M$20:M2383)&gt;$F$6,"",INDEX(C$2:C$10000,SMALL(IF(ISNUMBER(MATCH($B$2:$B$10000,$E$6:$E$22,0)),ROW($C$2:$C$10000)-ROW($C$2)+1),ROWS(M$20:M2383))))</f>
        <v/>
      </c>
      <c r="K2383" s="7" t="str">
        <f t="array" ref="K2383">IF(ROWS(K$20:K2383)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2383))))</f>
        <v/>
      </c>
      <c r="L2383" s="4" t="str">
        <f t="array" ref="L2383">IF(ROWS(L$20:L2383)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2383))))</f>
        <v/>
      </c>
      <c r="M2383" s="4" t="str">
        <f t="array" ref="M2383">IF(ROWS(M$20:M2383)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2383))))</f>
        <v/>
      </c>
    </row>
    <row r="2384" spans="1:13" x14ac:dyDescent="0.25">
      <c r="A2384" s="3">
        <v>41838</v>
      </c>
      <c r="B2384" s="2" t="s">
        <v>48</v>
      </c>
      <c r="C2384" s="2">
        <v>28</v>
      </c>
      <c r="G2384" s="7" t="str">
        <f t="array" ref="G2384">IF(ROWS(K$20:K2384)&gt;$F$6,"",INDEX(A$2:A$10000,SMALL(IF(ISNUMBER(MATCH($B$2:$B$10000,$E$6:$E$22,0)),ROW($C$2:$C$10000)-ROW($C$2)+1),ROWS(K$20:K2384))))</f>
        <v/>
      </c>
      <c r="H2384" s="4" t="str">
        <f t="array" ref="H2384">IF(ROWS(L$20:L2384)&gt;$F$6,"",INDEX(B$2:B$10000,SMALL(IF(ISNUMBER(MATCH($B$2:$B$10000,$E$6:$E$22,0)),ROW($C$2:$C$10000)-ROW($C$2)+1),ROWS(L$20:L2384))))</f>
        <v/>
      </c>
      <c r="I2384" s="4" t="str">
        <f t="array" ref="I2384">IF(ROWS(M$20:M2384)&gt;$F$6,"",INDEX(C$2:C$10000,SMALL(IF(ISNUMBER(MATCH($B$2:$B$10000,$E$6:$E$22,0)),ROW($C$2:$C$10000)-ROW($C$2)+1),ROWS(M$20:M2384))))</f>
        <v/>
      </c>
      <c r="K2384" s="7" t="str">
        <f t="array" ref="K2384">IF(ROWS(K$20:K2384)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2384))))</f>
        <v/>
      </c>
      <c r="L2384" s="4" t="str">
        <f t="array" ref="L2384">IF(ROWS(L$20:L2384)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2384))))</f>
        <v/>
      </c>
      <c r="M2384" s="4" t="str">
        <f t="array" ref="M2384">IF(ROWS(M$20:M2384)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2384))))</f>
        <v/>
      </c>
    </row>
    <row r="2385" spans="1:13" x14ac:dyDescent="0.25">
      <c r="A2385" s="3">
        <v>41850</v>
      </c>
      <c r="B2385" s="2" t="s">
        <v>46</v>
      </c>
      <c r="C2385" s="2">
        <v>7</v>
      </c>
      <c r="G2385" s="7" t="str">
        <f t="array" ref="G2385">IF(ROWS(K$20:K2385)&gt;$F$6,"",INDEX(A$2:A$10000,SMALL(IF(ISNUMBER(MATCH($B$2:$B$10000,$E$6:$E$22,0)),ROW($C$2:$C$10000)-ROW($C$2)+1),ROWS(K$20:K2385))))</f>
        <v/>
      </c>
      <c r="H2385" s="4" t="str">
        <f t="array" ref="H2385">IF(ROWS(L$20:L2385)&gt;$F$6,"",INDEX(B$2:B$10000,SMALL(IF(ISNUMBER(MATCH($B$2:$B$10000,$E$6:$E$22,0)),ROW($C$2:$C$10000)-ROW($C$2)+1),ROWS(L$20:L2385))))</f>
        <v/>
      </c>
      <c r="I2385" s="4" t="str">
        <f t="array" ref="I2385">IF(ROWS(M$20:M2385)&gt;$F$6,"",INDEX(C$2:C$10000,SMALL(IF(ISNUMBER(MATCH($B$2:$B$10000,$E$6:$E$22,0)),ROW($C$2:$C$10000)-ROW($C$2)+1),ROWS(M$20:M2385))))</f>
        <v/>
      </c>
      <c r="K2385" s="7" t="str">
        <f t="array" ref="K2385">IF(ROWS(K$20:K2385)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2385))))</f>
        <v/>
      </c>
      <c r="L2385" s="4" t="str">
        <f t="array" ref="L2385">IF(ROWS(L$20:L2385)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2385))))</f>
        <v/>
      </c>
      <c r="M2385" s="4" t="str">
        <f t="array" ref="M2385">IF(ROWS(M$20:M2385)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2385))))</f>
        <v/>
      </c>
    </row>
    <row r="2386" spans="1:13" x14ac:dyDescent="0.25">
      <c r="A2386" s="3">
        <v>41564</v>
      </c>
      <c r="B2386" s="2" t="s">
        <v>37</v>
      </c>
      <c r="C2386" s="2">
        <v>2</v>
      </c>
      <c r="G2386" s="7" t="str">
        <f t="array" ref="G2386">IF(ROWS(K$20:K2386)&gt;$F$6,"",INDEX(A$2:A$10000,SMALL(IF(ISNUMBER(MATCH($B$2:$B$10000,$E$6:$E$22,0)),ROW($C$2:$C$10000)-ROW($C$2)+1),ROWS(K$20:K2386))))</f>
        <v/>
      </c>
      <c r="H2386" s="4" t="str">
        <f t="array" ref="H2386">IF(ROWS(L$20:L2386)&gt;$F$6,"",INDEX(B$2:B$10000,SMALL(IF(ISNUMBER(MATCH($B$2:$B$10000,$E$6:$E$22,0)),ROW($C$2:$C$10000)-ROW($C$2)+1),ROWS(L$20:L2386))))</f>
        <v/>
      </c>
      <c r="I2386" s="4" t="str">
        <f t="array" ref="I2386">IF(ROWS(M$20:M2386)&gt;$F$6,"",INDEX(C$2:C$10000,SMALL(IF(ISNUMBER(MATCH($B$2:$B$10000,$E$6:$E$22,0)),ROW($C$2:$C$10000)-ROW($C$2)+1),ROWS(M$20:M2386))))</f>
        <v/>
      </c>
      <c r="K2386" s="7" t="str">
        <f t="array" ref="K2386">IF(ROWS(K$20:K2386)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2386))))</f>
        <v/>
      </c>
      <c r="L2386" s="4" t="str">
        <f t="array" ref="L2386">IF(ROWS(L$20:L2386)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2386))))</f>
        <v/>
      </c>
      <c r="M2386" s="4" t="str">
        <f t="array" ref="M2386">IF(ROWS(M$20:M2386)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2386))))</f>
        <v/>
      </c>
    </row>
    <row r="2387" spans="1:13" x14ac:dyDescent="0.25">
      <c r="A2387" s="3">
        <v>41755</v>
      </c>
      <c r="B2387" s="2" t="s">
        <v>24</v>
      </c>
      <c r="C2387" s="2">
        <v>20</v>
      </c>
      <c r="G2387" s="7" t="str">
        <f t="array" ref="G2387">IF(ROWS(K$20:K2387)&gt;$F$6,"",INDEX(A$2:A$10000,SMALL(IF(ISNUMBER(MATCH($B$2:$B$10000,$E$6:$E$22,0)),ROW($C$2:$C$10000)-ROW($C$2)+1),ROWS(K$20:K2387))))</f>
        <v/>
      </c>
      <c r="H2387" s="4" t="str">
        <f t="array" ref="H2387">IF(ROWS(L$20:L2387)&gt;$F$6,"",INDEX(B$2:B$10000,SMALL(IF(ISNUMBER(MATCH($B$2:$B$10000,$E$6:$E$22,0)),ROW($C$2:$C$10000)-ROW($C$2)+1),ROWS(L$20:L2387))))</f>
        <v/>
      </c>
      <c r="I2387" s="4" t="str">
        <f t="array" ref="I2387">IF(ROWS(M$20:M2387)&gt;$F$6,"",INDEX(C$2:C$10000,SMALL(IF(ISNUMBER(MATCH($B$2:$B$10000,$E$6:$E$22,0)),ROW($C$2:$C$10000)-ROW($C$2)+1),ROWS(M$20:M2387))))</f>
        <v/>
      </c>
      <c r="K2387" s="7" t="str">
        <f t="array" ref="K2387">IF(ROWS(K$20:K2387)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2387))))</f>
        <v/>
      </c>
      <c r="L2387" s="4" t="str">
        <f t="array" ref="L2387">IF(ROWS(L$20:L2387)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2387))))</f>
        <v/>
      </c>
      <c r="M2387" s="4" t="str">
        <f t="array" ref="M2387">IF(ROWS(M$20:M2387)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2387))))</f>
        <v/>
      </c>
    </row>
    <row r="2388" spans="1:13" x14ac:dyDescent="0.25">
      <c r="A2388" s="3">
        <v>41910</v>
      </c>
      <c r="B2388" s="2" t="s">
        <v>34</v>
      </c>
      <c r="C2388" s="2">
        <v>20</v>
      </c>
      <c r="G2388" s="7" t="str">
        <f t="array" ref="G2388">IF(ROWS(K$20:K2388)&gt;$F$6,"",INDEX(A$2:A$10000,SMALL(IF(ISNUMBER(MATCH($B$2:$B$10000,$E$6:$E$22,0)),ROW($C$2:$C$10000)-ROW($C$2)+1),ROWS(K$20:K2388))))</f>
        <v/>
      </c>
      <c r="H2388" s="4" t="str">
        <f t="array" ref="H2388">IF(ROWS(L$20:L2388)&gt;$F$6,"",INDEX(B$2:B$10000,SMALL(IF(ISNUMBER(MATCH($B$2:$B$10000,$E$6:$E$22,0)),ROW($C$2:$C$10000)-ROW($C$2)+1),ROWS(L$20:L2388))))</f>
        <v/>
      </c>
      <c r="I2388" s="4" t="str">
        <f t="array" ref="I2388">IF(ROWS(M$20:M2388)&gt;$F$6,"",INDEX(C$2:C$10000,SMALL(IF(ISNUMBER(MATCH($B$2:$B$10000,$E$6:$E$22,0)),ROW($C$2:$C$10000)-ROW($C$2)+1),ROWS(M$20:M2388))))</f>
        <v/>
      </c>
      <c r="K2388" s="7" t="str">
        <f t="array" ref="K2388">IF(ROWS(K$20:K2388)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2388))))</f>
        <v/>
      </c>
      <c r="L2388" s="4" t="str">
        <f t="array" ref="L2388">IF(ROWS(L$20:L2388)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2388))))</f>
        <v/>
      </c>
      <c r="M2388" s="4" t="str">
        <f t="array" ref="M2388">IF(ROWS(M$20:M2388)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2388))))</f>
        <v/>
      </c>
    </row>
    <row r="2389" spans="1:13" x14ac:dyDescent="0.25">
      <c r="A2389" s="3">
        <v>41792</v>
      </c>
      <c r="B2389" s="2" t="s">
        <v>47</v>
      </c>
      <c r="C2389" s="2">
        <v>1</v>
      </c>
      <c r="G2389" s="7" t="str">
        <f t="array" ref="G2389">IF(ROWS(K$20:K2389)&gt;$F$6,"",INDEX(A$2:A$10000,SMALL(IF(ISNUMBER(MATCH($B$2:$B$10000,$E$6:$E$22,0)),ROW($C$2:$C$10000)-ROW($C$2)+1),ROWS(K$20:K2389))))</f>
        <v/>
      </c>
      <c r="H2389" s="4" t="str">
        <f t="array" ref="H2389">IF(ROWS(L$20:L2389)&gt;$F$6,"",INDEX(B$2:B$10000,SMALL(IF(ISNUMBER(MATCH($B$2:$B$10000,$E$6:$E$22,0)),ROW($C$2:$C$10000)-ROW($C$2)+1),ROWS(L$20:L2389))))</f>
        <v/>
      </c>
      <c r="I2389" s="4" t="str">
        <f t="array" ref="I2389">IF(ROWS(M$20:M2389)&gt;$F$6,"",INDEX(C$2:C$10000,SMALL(IF(ISNUMBER(MATCH($B$2:$B$10000,$E$6:$E$22,0)),ROW($C$2:$C$10000)-ROW($C$2)+1),ROWS(M$20:M2389))))</f>
        <v/>
      </c>
      <c r="K2389" s="7" t="str">
        <f t="array" ref="K2389">IF(ROWS(K$20:K2389)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2389))))</f>
        <v/>
      </c>
      <c r="L2389" s="4" t="str">
        <f t="array" ref="L2389">IF(ROWS(L$20:L2389)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2389))))</f>
        <v/>
      </c>
      <c r="M2389" s="4" t="str">
        <f t="array" ref="M2389">IF(ROWS(M$20:M2389)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2389))))</f>
        <v/>
      </c>
    </row>
    <row r="2390" spans="1:13" x14ac:dyDescent="0.25">
      <c r="A2390" s="3">
        <v>41447</v>
      </c>
      <c r="B2390" s="2" t="s">
        <v>43</v>
      </c>
      <c r="C2390" s="2">
        <v>11</v>
      </c>
      <c r="G2390" s="7" t="str">
        <f t="array" ref="G2390">IF(ROWS(K$20:K2390)&gt;$F$6,"",INDEX(A$2:A$10000,SMALL(IF(ISNUMBER(MATCH($B$2:$B$10000,$E$6:$E$22,0)),ROW($C$2:$C$10000)-ROW($C$2)+1),ROWS(K$20:K2390))))</f>
        <v/>
      </c>
      <c r="H2390" s="4" t="str">
        <f t="array" ref="H2390">IF(ROWS(L$20:L2390)&gt;$F$6,"",INDEX(B$2:B$10000,SMALL(IF(ISNUMBER(MATCH($B$2:$B$10000,$E$6:$E$22,0)),ROW($C$2:$C$10000)-ROW($C$2)+1),ROWS(L$20:L2390))))</f>
        <v/>
      </c>
      <c r="I2390" s="4" t="str">
        <f t="array" ref="I2390">IF(ROWS(M$20:M2390)&gt;$F$6,"",INDEX(C$2:C$10000,SMALL(IF(ISNUMBER(MATCH($B$2:$B$10000,$E$6:$E$22,0)),ROW($C$2:$C$10000)-ROW($C$2)+1),ROWS(M$20:M2390))))</f>
        <v/>
      </c>
      <c r="K2390" s="7" t="str">
        <f t="array" ref="K2390">IF(ROWS(K$20:K2390)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2390))))</f>
        <v/>
      </c>
      <c r="L2390" s="4" t="str">
        <f t="array" ref="L2390">IF(ROWS(L$20:L2390)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2390))))</f>
        <v/>
      </c>
      <c r="M2390" s="4" t="str">
        <f t="array" ref="M2390">IF(ROWS(M$20:M2390)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2390))))</f>
        <v/>
      </c>
    </row>
    <row r="2391" spans="1:13" x14ac:dyDescent="0.25">
      <c r="A2391" s="3">
        <v>41600</v>
      </c>
      <c r="B2391" s="2" t="s">
        <v>14</v>
      </c>
      <c r="C2391" s="2">
        <v>7</v>
      </c>
      <c r="G2391" s="7" t="str">
        <f t="array" ref="G2391">IF(ROWS(K$20:K2391)&gt;$F$6,"",INDEX(A$2:A$10000,SMALL(IF(ISNUMBER(MATCH($B$2:$B$10000,$E$6:$E$22,0)),ROW($C$2:$C$10000)-ROW($C$2)+1),ROWS(K$20:K2391))))</f>
        <v/>
      </c>
      <c r="H2391" s="4" t="str">
        <f t="array" ref="H2391">IF(ROWS(L$20:L2391)&gt;$F$6,"",INDEX(B$2:B$10000,SMALL(IF(ISNUMBER(MATCH($B$2:$B$10000,$E$6:$E$22,0)),ROW($C$2:$C$10000)-ROW($C$2)+1),ROWS(L$20:L2391))))</f>
        <v/>
      </c>
      <c r="I2391" s="4" t="str">
        <f t="array" ref="I2391">IF(ROWS(M$20:M2391)&gt;$F$6,"",INDEX(C$2:C$10000,SMALL(IF(ISNUMBER(MATCH($B$2:$B$10000,$E$6:$E$22,0)),ROW($C$2:$C$10000)-ROW($C$2)+1),ROWS(M$20:M2391))))</f>
        <v/>
      </c>
      <c r="K2391" s="7" t="str">
        <f t="array" ref="K2391">IF(ROWS(K$20:K2391)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2391))))</f>
        <v/>
      </c>
      <c r="L2391" s="4" t="str">
        <f t="array" ref="L2391">IF(ROWS(L$20:L2391)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2391))))</f>
        <v/>
      </c>
      <c r="M2391" s="4" t="str">
        <f t="array" ref="M2391">IF(ROWS(M$20:M2391)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2391))))</f>
        <v/>
      </c>
    </row>
    <row r="2392" spans="1:13" x14ac:dyDescent="0.25">
      <c r="A2392" s="3">
        <v>41455</v>
      </c>
      <c r="B2392" s="2" t="s">
        <v>32</v>
      </c>
      <c r="C2392" s="2">
        <v>34</v>
      </c>
      <c r="G2392" s="7" t="str">
        <f t="array" ref="G2392">IF(ROWS(K$20:K2392)&gt;$F$6,"",INDEX(A$2:A$10000,SMALL(IF(ISNUMBER(MATCH($B$2:$B$10000,$E$6:$E$22,0)),ROW($C$2:$C$10000)-ROW($C$2)+1),ROWS(K$20:K2392))))</f>
        <v/>
      </c>
      <c r="H2392" s="4" t="str">
        <f t="array" ref="H2392">IF(ROWS(L$20:L2392)&gt;$F$6,"",INDEX(B$2:B$10000,SMALL(IF(ISNUMBER(MATCH($B$2:$B$10000,$E$6:$E$22,0)),ROW($C$2:$C$10000)-ROW($C$2)+1),ROWS(L$20:L2392))))</f>
        <v/>
      </c>
      <c r="I2392" s="4" t="str">
        <f t="array" ref="I2392">IF(ROWS(M$20:M2392)&gt;$F$6,"",INDEX(C$2:C$10000,SMALL(IF(ISNUMBER(MATCH($B$2:$B$10000,$E$6:$E$22,0)),ROW($C$2:$C$10000)-ROW($C$2)+1),ROWS(M$20:M2392))))</f>
        <v/>
      </c>
      <c r="K2392" s="7" t="str">
        <f t="array" ref="K2392">IF(ROWS(K$20:K2392)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2392))))</f>
        <v/>
      </c>
      <c r="L2392" s="4" t="str">
        <f t="array" ref="L2392">IF(ROWS(L$20:L2392)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2392))))</f>
        <v/>
      </c>
      <c r="M2392" s="4" t="str">
        <f t="array" ref="M2392">IF(ROWS(M$20:M2392)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2392))))</f>
        <v/>
      </c>
    </row>
    <row r="2393" spans="1:13" x14ac:dyDescent="0.25">
      <c r="A2393" s="3">
        <v>41912</v>
      </c>
      <c r="B2393" s="2" t="s">
        <v>23</v>
      </c>
      <c r="C2393" s="2">
        <v>55</v>
      </c>
      <c r="G2393" s="7" t="str">
        <f t="array" ref="G2393">IF(ROWS(K$20:K2393)&gt;$F$6,"",INDEX(A$2:A$10000,SMALL(IF(ISNUMBER(MATCH($B$2:$B$10000,$E$6:$E$22,0)),ROW($C$2:$C$10000)-ROW($C$2)+1),ROWS(K$20:K2393))))</f>
        <v/>
      </c>
      <c r="H2393" s="4" t="str">
        <f t="array" ref="H2393">IF(ROWS(L$20:L2393)&gt;$F$6,"",INDEX(B$2:B$10000,SMALL(IF(ISNUMBER(MATCH($B$2:$B$10000,$E$6:$E$22,0)),ROW($C$2:$C$10000)-ROW($C$2)+1),ROWS(L$20:L2393))))</f>
        <v/>
      </c>
      <c r="I2393" s="4" t="str">
        <f t="array" ref="I2393">IF(ROWS(M$20:M2393)&gt;$F$6,"",INDEX(C$2:C$10000,SMALL(IF(ISNUMBER(MATCH($B$2:$B$10000,$E$6:$E$22,0)),ROW($C$2:$C$10000)-ROW($C$2)+1),ROWS(M$20:M2393))))</f>
        <v/>
      </c>
      <c r="K2393" s="7" t="str">
        <f t="array" ref="K2393">IF(ROWS(K$20:K2393)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2393))))</f>
        <v/>
      </c>
      <c r="L2393" s="4" t="str">
        <f t="array" ref="L2393">IF(ROWS(L$20:L2393)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2393))))</f>
        <v/>
      </c>
      <c r="M2393" s="4" t="str">
        <f t="array" ref="M2393">IF(ROWS(M$20:M2393)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2393))))</f>
        <v/>
      </c>
    </row>
    <row r="2394" spans="1:13" x14ac:dyDescent="0.25">
      <c r="A2394" s="3">
        <v>41952</v>
      </c>
      <c r="B2394" s="2" t="s">
        <v>48</v>
      </c>
      <c r="C2394" s="2">
        <v>17</v>
      </c>
      <c r="G2394" s="7" t="str">
        <f t="array" ref="G2394">IF(ROWS(K$20:K2394)&gt;$F$6,"",INDEX(A$2:A$10000,SMALL(IF(ISNUMBER(MATCH($B$2:$B$10000,$E$6:$E$22,0)),ROW($C$2:$C$10000)-ROW($C$2)+1),ROWS(K$20:K2394))))</f>
        <v/>
      </c>
      <c r="H2394" s="4" t="str">
        <f t="array" ref="H2394">IF(ROWS(L$20:L2394)&gt;$F$6,"",INDEX(B$2:B$10000,SMALL(IF(ISNUMBER(MATCH($B$2:$B$10000,$E$6:$E$22,0)),ROW($C$2:$C$10000)-ROW($C$2)+1),ROWS(L$20:L2394))))</f>
        <v/>
      </c>
      <c r="I2394" s="4" t="str">
        <f t="array" ref="I2394">IF(ROWS(M$20:M2394)&gt;$F$6,"",INDEX(C$2:C$10000,SMALL(IF(ISNUMBER(MATCH($B$2:$B$10000,$E$6:$E$22,0)),ROW($C$2:$C$10000)-ROW($C$2)+1),ROWS(M$20:M2394))))</f>
        <v/>
      </c>
      <c r="K2394" s="7" t="str">
        <f t="array" ref="K2394">IF(ROWS(K$20:K2394)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2394))))</f>
        <v/>
      </c>
      <c r="L2394" s="4" t="str">
        <f t="array" ref="L2394">IF(ROWS(L$20:L2394)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2394))))</f>
        <v/>
      </c>
      <c r="M2394" s="4" t="str">
        <f t="array" ref="M2394">IF(ROWS(M$20:M2394)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2394))))</f>
        <v/>
      </c>
    </row>
    <row r="2395" spans="1:13" x14ac:dyDescent="0.25">
      <c r="A2395" s="3">
        <v>41607</v>
      </c>
      <c r="B2395" s="2" t="s">
        <v>7</v>
      </c>
      <c r="C2395" s="2">
        <v>48</v>
      </c>
      <c r="G2395" s="7" t="str">
        <f t="array" ref="G2395">IF(ROWS(K$20:K2395)&gt;$F$6,"",INDEX(A$2:A$10000,SMALL(IF(ISNUMBER(MATCH($B$2:$B$10000,$E$6:$E$22,0)),ROW($C$2:$C$10000)-ROW($C$2)+1),ROWS(K$20:K2395))))</f>
        <v/>
      </c>
      <c r="H2395" s="4" t="str">
        <f t="array" ref="H2395">IF(ROWS(L$20:L2395)&gt;$F$6,"",INDEX(B$2:B$10000,SMALL(IF(ISNUMBER(MATCH($B$2:$B$10000,$E$6:$E$22,0)),ROW($C$2:$C$10000)-ROW($C$2)+1),ROWS(L$20:L2395))))</f>
        <v/>
      </c>
      <c r="I2395" s="4" t="str">
        <f t="array" ref="I2395">IF(ROWS(M$20:M2395)&gt;$F$6,"",INDEX(C$2:C$10000,SMALL(IF(ISNUMBER(MATCH($B$2:$B$10000,$E$6:$E$22,0)),ROW($C$2:$C$10000)-ROW($C$2)+1),ROWS(M$20:M2395))))</f>
        <v/>
      </c>
      <c r="K2395" s="7" t="str">
        <f t="array" ref="K2395">IF(ROWS(K$20:K2395)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2395))))</f>
        <v/>
      </c>
      <c r="L2395" s="4" t="str">
        <f t="array" ref="L2395">IF(ROWS(L$20:L2395)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2395))))</f>
        <v/>
      </c>
      <c r="M2395" s="4" t="str">
        <f t="array" ref="M2395">IF(ROWS(M$20:M2395)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2395))))</f>
        <v/>
      </c>
    </row>
    <row r="2396" spans="1:13" x14ac:dyDescent="0.25">
      <c r="A2396" s="3">
        <v>41316</v>
      </c>
      <c r="B2396" s="2" t="s">
        <v>32</v>
      </c>
      <c r="C2396" s="2">
        <v>16</v>
      </c>
      <c r="G2396" s="7" t="str">
        <f t="array" ref="G2396">IF(ROWS(K$20:K2396)&gt;$F$6,"",INDEX(A$2:A$10000,SMALL(IF(ISNUMBER(MATCH($B$2:$B$10000,$E$6:$E$22,0)),ROW($C$2:$C$10000)-ROW($C$2)+1),ROWS(K$20:K2396))))</f>
        <v/>
      </c>
      <c r="H2396" s="4" t="str">
        <f t="array" ref="H2396">IF(ROWS(L$20:L2396)&gt;$F$6,"",INDEX(B$2:B$10000,SMALL(IF(ISNUMBER(MATCH($B$2:$B$10000,$E$6:$E$22,0)),ROW($C$2:$C$10000)-ROW($C$2)+1),ROWS(L$20:L2396))))</f>
        <v/>
      </c>
      <c r="I2396" s="4" t="str">
        <f t="array" ref="I2396">IF(ROWS(M$20:M2396)&gt;$F$6,"",INDEX(C$2:C$10000,SMALL(IF(ISNUMBER(MATCH($B$2:$B$10000,$E$6:$E$22,0)),ROW($C$2:$C$10000)-ROW($C$2)+1),ROWS(M$20:M2396))))</f>
        <v/>
      </c>
      <c r="K2396" s="7" t="str">
        <f t="array" ref="K2396">IF(ROWS(K$20:K2396)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2396))))</f>
        <v/>
      </c>
      <c r="L2396" s="4" t="str">
        <f t="array" ref="L2396">IF(ROWS(L$20:L2396)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2396))))</f>
        <v/>
      </c>
      <c r="M2396" s="4" t="str">
        <f t="array" ref="M2396">IF(ROWS(M$20:M2396)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2396))))</f>
        <v/>
      </c>
    </row>
    <row r="2397" spans="1:13" x14ac:dyDescent="0.25">
      <c r="A2397" s="3">
        <v>41413</v>
      </c>
      <c r="B2397" s="2" t="s">
        <v>39</v>
      </c>
      <c r="C2397" s="2">
        <v>4</v>
      </c>
      <c r="G2397" s="7" t="str">
        <f t="array" ref="G2397">IF(ROWS(K$20:K2397)&gt;$F$6,"",INDEX(A$2:A$10000,SMALL(IF(ISNUMBER(MATCH($B$2:$B$10000,$E$6:$E$22,0)),ROW($C$2:$C$10000)-ROW($C$2)+1),ROWS(K$20:K2397))))</f>
        <v/>
      </c>
      <c r="H2397" s="4" t="str">
        <f t="array" ref="H2397">IF(ROWS(L$20:L2397)&gt;$F$6,"",INDEX(B$2:B$10000,SMALL(IF(ISNUMBER(MATCH($B$2:$B$10000,$E$6:$E$22,0)),ROW($C$2:$C$10000)-ROW($C$2)+1),ROWS(L$20:L2397))))</f>
        <v/>
      </c>
      <c r="I2397" s="4" t="str">
        <f t="array" ref="I2397">IF(ROWS(M$20:M2397)&gt;$F$6,"",INDEX(C$2:C$10000,SMALL(IF(ISNUMBER(MATCH($B$2:$B$10000,$E$6:$E$22,0)),ROW($C$2:$C$10000)-ROW($C$2)+1),ROWS(M$20:M2397))))</f>
        <v/>
      </c>
      <c r="K2397" s="7" t="str">
        <f t="array" ref="K2397">IF(ROWS(K$20:K2397)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2397))))</f>
        <v/>
      </c>
      <c r="L2397" s="4" t="str">
        <f t="array" ref="L2397">IF(ROWS(L$20:L2397)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2397))))</f>
        <v/>
      </c>
      <c r="M2397" s="4" t="str">
        <f t="array" ref="M2397">IF(ROWS(M$20:M2397)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2397))))</f>
        <v/>
      </c>
    </row>
    <row r="2398" spans="1:13" x14ac:dyDescent="0.25">
      <c r="A2398" s="3">
        <v>41903</v>
      </c>
      <c r="B2398" s="2" t="s">
        <v>45</v>
      </c>
      <c r="C2398" s="2">
        <v>21</v>
      </c>
      <c r="G2398" s="7" t="str">
        <f t="array" ref="G2398">IF(ROWS(K$20:K2398)&gt;$F$6,"",INDEX(A$2:A$10000,SMALL(IF(ISNUMBER(MATCH($B$2:$B$10000,$E$6:$E$22,0)),ROW($C$2:$C$10000)-ROW($C$2)+1),ROWS(K$20:K2398))))</f>
        <v/>
      </c>
      <c r="H2398" s="4" t="str">
        <f t="array" ref="H2398">IF(ROWS(L$20:L2398)&gt;$F$6,"",INDEX(B$2:B$10000,SMALL(IF(ISNUMBER(MATCH($B$2:$B$10000,$E$6:$E$22,0)),ROW($C$2:$C$10000)-ROW($C$2)+1),ROWS(L$20:L2398))))</f>
        <v/>
      </c>
      <c r="I2398" s="4" t="str">
        <f t="array" ref="I2398">IF(ROWS(M$20:M2398)&gt;$F$6,"",INDEX(C$2:C$10000,SMALL(IF(ISNUMBER(MATCH($B$2:$B$10000,$E$6:$E$22,0)),ROW($C$2:$C$10000)-ROW($C$2)+1),ROWS(M$20:M2398))))</f>
        <v/>
      </c>
      <c r="K2398" s="7" t="str">
        <f t="array" ref="K2398">IF(ROWS(K$20:K2398)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2398))))</f>
        <v/>
      </c>
      <c r="L2398" s="4" t="str">
        <f t="array" ref="L2398">IF(ROWS(L$20:L2398)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2398))))</f>
        <v/>
      </c>
      <c r="M2398" s="4" t="str">
        <f t="array" ref="M2398">IF(ROWS(M$20:M2398)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2398))))</f>
        <v/>
      </c>
    </row>
    <row r="2399" spans="1:13" x14ac:dyDescent="0.25">
      <c r="A2399" s="3">
        <v>41640</v>
      </c>
      <c r="B2399" s="2" t="s">
        <v>8</v>
      </c>
      <c r="C2399" s="2">
        <v>38</v>
      </c>
      <c r="G2399" s="7" t="str">
        <f t="array" ref="G2399">IF(ROWS(K$20:K2399)&gt;$F$6,"",INDEX(A$2:A$10000,SMALL(IF(ISNUMBER(MATCH($B$2:$B$10000,$E$6:$E$22,0)),ROW($C$2:$C$10000)-ROW($C$2)+1),ROWS(K$20:K2399))))</f>
        <v/>
      </c>
      <c r="H2399" s="4" t="str">
        <f t="array" ref="H2399">IF(ROWS(L$20:L2399)&gt;$F$6,"",INDEX(B$2:B$10000,SMALL(IF(ISNUMBER(MATCH($B$2:$B$10000,$E$6:$E$22,0)),ROW($C$2:$C$10000)-ROW($C$2)+1),ROWS(L$20:L2399))))</f>
        <v/>
      </c>
      <c r="I2399" s="4" t="str">
        <f t="array" ref="I2399">IF(ROWS(M$20:M2399)&gt;$F$6,"",INDEX(C$2:C$10000,SMALL(IF(ISNUMBER(MATCH($B$2:$B$10000,$E$6:$E$22,0)),ROW($C$2:$C$10000)-ROW($C$2)+1),ROWS(M$20:M2399))))</f>
        <v/>
      </c>
      <c r="K2399" s="7" t="str">
        <f t="array" ref="K2399">IF(ROWS(K$20:K2399)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2399))))</f>
        <v/>
      </c>
      <c r="L2399" s="4" t="str">
        <f t="array" ref="L2399">IF(ROWS(L$20:L2399)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2399))))</f>
        <v/>
      </c>
      <c r="M2399" s="4" t="str">
        <f t="array" ref="M2399">IF(ROWS(M$20:M2399)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2399))))</f>
        <v/>
      </c>
    </row>
    <row r="2400" spans="1:13" x14ac:dyDescent="0.25">
      <c r="A2400" s="3">
        <v>41345</v>
      </c>
      <c r="B2400" s="2" t="s">
        <v>10</v>
      </c>
      <c r="C2400" s="2">
        <v>13</v>
      </c>
      <c r="G2400" s="7" t="str">
        <f t="array" ref="G2400">IF(ROWS(K$20:K2400)&gt;$F$6,"",INDEX(A$2:A$10000,SMALL(IF(ISNUMBER(MATCH($B$2:$B$10000,$E$6:$E$22,0)),ROW($C$2:$C$10000)-ROW($C$2)+1),ROWS(K$20:K2400))))</f>
        <v/>
      </c>
      <c r="H2400" s="4" t="str">
        <f t="array" ref="H2400">IF(ROWS(L$20:L2400)&gt;$F$6,"",INDEX(B$2:B$10000,SMALL(IF(ISNUMBER(MATCH($B$2:$B$10000,$E$6:$E$22,0)),ROW($C$2:$C$10000)-ROW($C$2)+1),ROWS(L$20:L2400))))</f>
        <v/>
      </c>
      <c r="I2400" s="4" t="str">
        <f t="array" ref="I2400">IF(ROWS(M$20:M2400)&gt;$F$6,"",INDEX(C$2:C$10000,SMALL(IF(ISNUMBER(MATCH($B$2:$B$10000,$E$6:$E$22,0)),ROW($C$2:$C$10000)-ROW($C$2)+1),ROWS(M$20:M2400))))</f>
        <v/>
      </c>
      <c r="K2400" s="7" t="str">
        <f t="array" ref="K2400">IF(ROWS(K$20:K2400)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2400))))</f>
        <v/>
      </c>
      <c r="L2400" s="4" t="str">
        <f t="array" ref="L2400">IF(ROWS(L$20:L2400)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2400))))</f>
        <v/>
      </c>
      <c r="M2400" s="4" t="str">
        <f t="array" ref="M2400">IF(ROWS(M$20:M2400)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2400))))</f>
        <v/>
      </c>
    </row>
    <row r="2401" spans="1:13" x14ac:dyDescent="0.25">
      <c r="A2401" s="3">
        <v>41452</v>
      </c>
      <c r="B2401" s="2" t="s">
        <v>42</v>
      </c>
      <c r="C2401" s="2">
        <v>18</v>
      </c>
      <c r="G2401" s="7" t="str">
        <f t="array" ref="G2401">IF(ROWS(K$20:K2401)&gt;$F$6,"",INDEX(A$2:A$10000,SMALL(IF(ISNUMBER(MATCH($B$2:$B$10000,$E$6:$E$22,0)),ROW($C$2:$C$10000)-ROW($C$2)+1),ROWS(K$20:K2401))))</f>
        <v/>
      </c>
      <c r="H2401" s="4" t="str">
        <f t="array" ref="H2401">IF(ROWS(L$20:L2401)&gt;$F$6,"",INDEX(B$2:B$10000,SMALL(IF(ISNUMBER(MATCH($B$2:$B$10000,$E$6:$E$22,0)),ROW($C$2:$C$10000)-ROW($C$2)+1),ROWS(L$20:L2401))))</f>
        <v/>
      </c>
      <c r="I2401" s="4" t="str">
        <f t="array" ref="I2401">IF(ROWS(M$20:M2401)&gt;$F$6,"",INDEX(C$2:C$10000,SMALL(IF(ISNUMBER(MATCH($B$2:$B$10000,$E$6:$E$22,0)),ROW($C$2:$C$10000)-ROW($C$2)+1),ROWS(M$20:M2401))))</f>
        <v/>
      </c>
      <c r="K2401" s="7" t="str">
        <f t="array" ref="K2401">IF(ROWS(K$20:K2401)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2401))))</f>
        <v/>
      </c>
      <c r="L2401" s="4" t="str">
        <f t="array" ref="L2401">IF(ROWS(L$20:L2401)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2401))))</f>
        <v/>
      </c>
      <c r="M2401" s="4" t="str">
        <f t="array" ref="M2401">IF(ROWS(M$20:M2401)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2401))))</f>
        <v/>
      </c>
    </row>
    <row r="2402" spans="1:13" x14ac:dyDescent="0.25">
      <c r="A2402" s="3">
        <v>41718</v>
      </c>
      <c r="B2402" s="2" t="s">
        <v>4</v>
      </c>
      <c r="C2402" s="2">
        <v>20</v>
      </c>
      <c r="G2402" s="7" t="str">
        <f t="array" ref="G2402">IF(ROWS(K$20:K2402)&gt;$F$6,"",INDEX(A$2:A$10000,SMALL(IF(ISNUMBER(MATCH($B$2:$B$10000,$E$6:$E$22,0)),ROW($C$2:$C$10000)-ROW($C$2)+1),ROWS(K$20:K2402))))</f>
        <v/>
      </c>
      <c r="H2402" s="4" t="str">
        <f t="array" ref="H2402">IF(ROWS(L$20:L2402)&gt;$F$6,"",INDEX(B$2:B$10000,SMALL(IF(ISNUMBER(MATCH($B$2:$B$10000,$E$6:$E$22,0)),ROW($C$2:$C$10000)-ROW($C$2)+1),ROWS(L$20:L2402))))</f>
        <v/>
      </c>
      <c r="I2402" s="4" t="str">
        <f t="array" ref="I2402">IF(ROWS(M$20:M2402)&gt;$F$6,"",INDEX(C$2:C$10000,SMALL(IF(ISNUMBER(MATCH($B$2:$B$10000,$E$6:$E$22,0)),ROW($C$2:$C$10000)-ROW($C$2)+1),ROWS(M$20:M2402))))</f>
        <v/>
      </c>
      <c r="K2402" s="7" t="str">
        <f t="array" ref="K2402">IF(ROWS(K$20:K2402)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2402))))</f>
        <v/>
      </c>
      <c r="L2402" s="4" t="str">
        <f t="array" ref="L2402">IF(ROWS(L$20:L2402)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2402))))</f>
        <v/>
      </c>
      <c r="M2402" s="4" t="str">
        <f t="array" ref="M2402">IF(ROWS(M$20:M2402)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2402))))</f>
        <v/>
      </c>
    </row>
    <row r="2403" spans="1:13" x14ac:dyDescent="0.25">
      <c r="A2403" s="3">
        <v>41324</v>
      </c>
      <c r="B2403" s="2" t="s">
        <v>31</v>
      </c>
      <c r="C2403" s="2">
        <v>15</v>
      </c>
      <c r="G2403" s="7" t="str">
        <f t="array" ref="G2403">IF(ROWS(K$20:K2403)&gt;$F$6,"",INDEX(A$2:A$10000,SMALL(IF(ISNUMBER(MATCH($B$2:$B$10000,$E$6:$E$22,0)),ROW($C$2:$C$10000)-ROW($C$2)+1),ROWS(K$20:K2403))))</f>
        <v/>
      </c>
      <c r="H2403" s="4" t="str">
        <f t="array" ref="H2403">IF(ROWS(L$20:L2403)&gt;$F$6,"",INDEX(B$2:B$10000,SMALL(IF(ISNUMBER(MATCH($B$2:$B$10000,$E$6:$E$22,0)),ROW($C$2:$C$10000)-ROW($C$2)+1),ROWS(L$20:L2403))))</f>
        <v/>
      </c>
      <c r="I2403" s="4" t="str">
        <f t="array" ref="I2403">IF(ROWS(M$20:M2403)&gt;$F$6,"",INDEX(C$2:C$10000,SMALL(IF(ISNUMBER(MATCH($B$2:$B$10000,$E$6:$E$22,0)),ROW($C$2:$C$10000)-ROW($C$2)+1),ROWS(M$20:M2403))))</f>
        <v/>
      </c>
      <c r="K2403" s="7" t="str">
        <f t="array" ref="K2403">IF(ROWS(K$20:K2403)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2403))))</f>
        <v/>
      </c>
      <c r="L2403" s="4" t="str">
        <f t="array" ref="L2403">IF(ROWS(L$20:L2403)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2403))))</f>
        <v/>
      </c>
      <c r="M2403" s="4" t="str">
        <f t="array" ref="M2403">IF(ROWS(M$20:M2403)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2403))))</f>
        <v/>
      </c>
    </row>
    <row r="2404" spans="1:13" x14ac:dyDescent="0.25">
      <c r="A2404" s="3">
        <v>41422</v>
      </c>
      <c r="B2404" s="2" t="s">
        <v>4</v>
      </c>
      <c r="C2404" s="2">
        <v>37</v>
      </c>
      <c r="G2404" s="7" t="str">
        <f t="array" ref="G2404">IF(ROWS(K$20:K2404)&gt;$F$6,"",INDEX(A$2:A$10000,SMALL(IF(ISNUMBER(MATCH($B$2:$B$10000,$E$6:$E$22,0)),ROW($C$2:$C$10000)-ROW($C$2)+1),ROWS(K$20:K2404))))</f>
        <v/>
      </c>
      <c r="H2404" s="4" t="str">
        <f t="array" ref="H2404">IF(ROWS(L$20:L2404)&gt;$F$6,"",INDEX(B$2:B$10000,SMALL(IF(ISNUMBER(MATCH($B$2:$B$10000,$E$6:$E$22,0)),ROW($C$2:$C$10000)-ROW($C$2)+1),ROWS(L$20:L2404))))</f>
        <v/>
      </c>
      <c r="I2404" s="4" t="str">
        <f t="array" ref="I2404">IF(ROWS(M$20:M2404)&gt;$F$6,"",INDEX(C$2:C$10000,SMALL(IF(ISNUMBER(MATCH($B$2:$B$10000,$E$6:$E$22,0)),ROW($C$2:$C$10000)-ROW($C$2)+1),ROWS(M$20:M2404))))</f>
        <v/>
      </c>
      <c r="K2404" s="7" t="str">
        <f t="array" ref="K2404">IF(ROWS(K$20:K2404)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2404))))</f>
        <v/>
      </c>
      <c r="L2404" s="4" t="str">
        <f t="array" ref="L2404">IF(ROWS(L$20:L2404)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2404))))</f>
        <v/>
      </c>
      <c r="M2404" s="4" t="str">
        <f t="array" ref="M2404">IF(ROWS(M$20:M2404)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2404))))</f>
        <v/>
      </c>
    </row>
    <row r="2405" spans="1:13" x14ac:dyDescent="0.25">
      <c r="A2405" s="3">
        <v>41421</v>
      </c>
      <c r="B2405" s="2" t="s">
        <v>38</v>
      </c>
      <c r="C2405" s="2">
        <v>44</v>
      </c>
      <c r="G2405" s="7" t="str">
        <f t="array" ref="G2405">IF(ROWS(K$20:K2405)&gt;$F$6,"",INDEX(A$2:A$10000,SMALL(IF(ISNUMBER(MATCH($B$2:$B$10000,$E$6:$E$22,0)),ROW($C$2:$C$10000)-ROW($C$2)+1),ROWS(K$20:K2405))))</f>
        <v/>
      </c>
      <c r="H2405" s="4" t="str">
        <f t="array" ref="H2405">IF(ROWS(L$20:L2405)&gt;$F$6,"",INDEX(B$2:B$10000,SMALL(IF(ISNUMBER(MATCH($B$2:$B$10000,$E$6:$E$22,0)),ROW($C$2:$C$10000)-ROW($C$2)+1),ROWS(L$20:L2405))))</f>
        <v/>
      </c>
      <c r="I2405" s="4" t="str">
        <f t="array" ref="I2405">IF(ROWS(M$20:M2405)&gt;$F$6,"",INDEX(C$2:C$10000,SMALL(IF(ISNUMBER(MATCH($B$2:$B$10000,$E$6:$E$22,0)),ROW($C$2:$C$10000)-ROW($C$2)+1),ROWS(M$20:M2405))))</f>
        <v/>
      </c>
      <c r="K2405" s="7" t="str">
        <f t="array" ref="K2405">IF(ROWS(K$20:K2405)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2405))))</f>
        <v/>
      </c>
      <c r="L2405" s="4" t="str">
        <f t="array" ref="L2405">IF(ROWS(L$20:L2405)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2405))))</f>
        <v/>
      </c>
      <c r="M2405" s="4" t="str">
        <f t="array" ref="M2405">IF(ROWS(M$20:M2405)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2405))))</f>
        <v/>
      </c>
    </row>
    <row r="2406" spans="1:13" x14ac:dyDescent="0.25">
      <c r="A2406" s="3">
        <v>41383</v>
      </c>
      <c r="B2406" s="2" t="s">
        <v>23</v>
      </c>
      <c r="C2406" s="2">
        <v>14</v>
      </c>
      <c r="G2406" s="7" t="str">
        <f t="array" ref="G2406">IF(ROWS(K$20:K2406)&gt;$F$6,"",INDEX(A$2:A$10000,SMALL(IF(ISNUMBER(MATCH($B$2:$B$10000,$E$6:$E$22,0)),ROW($C$2:$C$10000)-ROW($C$2)+1),ROWS(K$20:K2406))))</f>
        <v/>
      </c>
      <c r="H2406" s="4" t="str">
        <f t="array" ref="H2406">IF(ROWS(L$20:L2406)&gt;$F$6,"",INDEX(B$2:B$10000,SMALL(IF(ISNUMBER(MATCH($B$2:$B$10000,$E$6:$E$22,0)),ROW($C$2:$C$10000)-ROW($C$2)+1),ROWS(L$20:L2406))))</f>
        <v/>
      </c>
      <c r="I2406" s="4" t="str">
        <f t="array" ref="I2406">IF(ROWS(M$20:M2406)&gt;$F$6,"",INDEX(C$2:C$10000,SMALL(IF(ISNUMBER(MATCH($B$2:$B$10000,$E$6:$E$22,0)),ROW($C$2:$C$10000)-ROW($C$2)+1),ROWS(M$20:M2406))))</f>
        <v/>
      </c>
      <c r="K2406" s="7" t="str">
        <f t="array" ref="K2406">IF(ROWS(K$20:K2406)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2406))))</f>
        <v/>
      </c>
      <c r="L2406" s="4" t="str">
        <f t="array" ref="L2406">IF(ROWS(L$20:L2406)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2406))))</f>
        <v/>
      </c>
      <c r="M2406" s="4" t="str">
        <f t="array" ref="M2406">IF(ROWS(M$20:M2406)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2406))))</f>
        <v/>
      </c>
    </row>
    <row r="2407" spans="1:13" x14ac:dyDescent="0.25">
      <c r="A2407" s="3">
        <v>41519</v>
      </c>
      <c r="B2407" s="2" t="s">
        <v>29</v>
      </c>
      <c r="C2407" s="2">
        <v>17</v>
      </c>
      <c r="G2407" s="7" t="str">
        <f t="array" ref="G2407">IF(ROWS(K$20:K2407)&gt;$F$6,"",INDEX(A$2:A$10000,SMALL(IF(ISNUMBER(MATCH($B$2:$B$10000,$E$6:$E$22,0)),ROW($C$2:$C$10000)-ROW($C$2)+1),ROWS(K$20:K2407))))</f>
        <v/>
      </c>
      <c r="H2407" s="4" t="str">
        <f t="array" ref="H2407">IF(ROWS(L$20:L2407)&gt;$F$6,"",INDEX(B$2:B$10000,SMALL(IF(ISNUMBER(MATCH($B$2:$B$10000,$E$6:$E$22,0)),ROW($C$2:$C$10000)-ROW($C$2)+1),ROWS(L$20:L2407))))</f>
        <v/>
      </c>
      <c r="I2407" s="4" t="str">
        <f t="array" ref="I2407">IF(ROWS(M$20:M2407)&gt;$F$6,"",INDEX(C$2:C$10000,SMALL(IF(ISNUMBER(MATCH($B$2:$B$10000,$E$6:$E$22,0)),ROW($C$2:$C$10000)-ROW($C$2)+1),ROWS(M$20:M2407))))</f>
        <v/>
      </c>
      <c r="K2407" s="7" t="str">
        <f t="array" ref="K2407">IF(ROWS(K$20:K2407)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2407))))</f>
        <v/>
      </c>
      <c r="L2407" s="4" t="str">
        <f t="array" ref="L2407">IF(ROWS(L$20:L2407)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2407))))</f>
        <v/>
      </c>
      <c r="M2407" s="4" t="str">
        <f t="array" ref="M2407">IF(ROWS(M$20:M2407)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2407))))</f>
        <v/>
      </c>
    </row>
    <row r="2408" spans="1:13" x14ac:dyDescent="0.25">
      <c r="A2408" s="3">
        <v>41911</v>
      </c>
      <c r="B2408" s="2" t="s">
        <v>43</v>
      </c>
      <c r="C2408" s="2">
        <v>16</v>
      </c>
      <c r="G2408" s="7" t="str">
        <f t="array" ref="G2408">IF(ROWS(K$20:K2408)&gt;$F$6,"",INDEX(A$2:A$10000,SMALL(IF(ISNUMBER(MATCH($B$2:$B$10000,$E$6:$E$22,0)),ROW($C$2:$C$10000)-ROW($C$2)+1),ROWS(K$20:K2408))))</f>
        <v/>
      </c>
      <c r="H2408" s="4" t="str">
        <f t="array" ref="H2408">IF(ROWS(L$20:L2408)&gt;$F$6,"",INDEX(B$2:B$10000,SMALL(IF(ISNUMBER(MATCH($B$2:$B$10000,$E$6:$E$22,0)),ROW($C$2:$C$10000)-ROW($C$2)+1),ROWS(L$20:L2408))))</f>
        <v/>
      </c>
      <c r="I2408" s="4" t="str">
        <f t="array" ref="I2408">IF(ROWS(M$20:M2408)&gt;$F$6,"",INDEX(C$2:C$10000,SMALL(IF(ISNUMBER(MATCH($B$2:$B$10000,$E$6:$E$22,0)),ROW($C$2:$C$10000)-ROW($C$2)+1),ROWS(M$20:M2408))))</f>
        <v/>
      </c>
      <c r="K2408" s="7" t="str">
        <f t="array" ref="K2408">IF(ROWS(K$20:K2408)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2408))))</f>
        <v/>
      </c>
      <c r="L2408" s="4" t="str">
        <f t="array" ref="L2408">IF(ROWS(L$20:L2408)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2408))))</f>
        <v/>
      </c>
      <c r="M2408" s="4" t="str">
        <f t="array" ref="M2408">IF(ROWS(M$20:M2408)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2408))))</f>
        <v/>
      </c>
    </row>
    <row r="2409" spans="1:13" x14ac:dyDescent="0.25">
      <c r="A2409" s="3">
        <v>41320</v>
      </c>
      <c r="B2409" s="2" t="s">
        <v>26</v>
      </c>
      <c r="C2409" s="2">
        <v>34</v>
      </c>
      <c r="G2409" s="7" t="str">
        <f t="array" ref="G2409">IF(ROWS(K$20:K2409)&gt;$F$6,"",INDEX(A$2:A$10000,SMALL(IF(ISNUMBER(MATCH($B$2:$B$10000,$E$6:$E$22,0)),ROW($C$2:$C$10000)-ROW($C$2)+1),ROWS(K$20:K2409))))</f>
        <v/>
      </c>
      <c r="H2409" s="4" t="str">
        <f t="array" ref="H2409">IF(ROWS(L$20:L2409)&gt;$F$6,"",INDEX(B$2:B$10000,SMALL(IF(ISNUMBER(MATCH($B$2:$B$10000,$E$6:$E$22,0)),ROW($C$2:$C$10000)-ROW($C$2)+1),ROWS(L$20:L2409))))</f>
        <v/>
      </c>
      <c r="I2409" s="4" t="str">
        <f t="array" ref="I2409">IF(ROWS(M$20:M2409)&gt;$F$6,"",INDEX(C$2:C$10000,SMALL(IF(ISNUMBER(MATCH($B$2:$B$10000,$E$6:$E$22,0)),ROW($C$2:$C$10000)-ROW($C$2)+1),ROWS(M$20:M2409))))</f>
        <v/>
      </c>
      <c r="K2409" s="7" t="str">
        <f t="array" ref="K2409">IF(ROWS(K$20:K2409)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2409))))</f>
        <v/>
      </c>
      <c r="L2409" s="4" t="str">
        <f t="array" ref="L2409">IF(ROWS(L$20:L2409)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2409))))</f>
        <v/>
      </c>
      <c r="M2409" s="4" t="str">
        <f t="array" ref="M2409">IF(ROWS(M$20:M2409)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2409))))</f>
        <v/>
      </c>
    </row>
    <row r="2410" spans="1:13" x14ac:dyDescent="0.25">
      <c r="A2410" s="3">
        <v>41290</v>
      </c>
      <c r="B2410" s="2" t="s">
        <v>28</v>
      </c>
      <c r="C2410" s="2">
        <v>19</v>
      </c>
      <c r="G2410" s="7" t="str">
        <f t="array" ref="G2410">IF(ROWS(K$20:K2410)&gt;$F$6,"",INDEX(A$2:A$10000,SMALL(IF(ISNUMBER(MATCH($B$2:$B$10000,$E$6:$E$22,0)),ROW($C$2:$C$10000)-ROW($C$2)+1),ROWS(K$20:K2410))))</f>
        <v/>
      </c>
      <c r="H2410" s="4" t="str">
        <f t="array" ref="H2410">IF(ROWS(L$20:L2410)&gt;$F$6,"",INDEX(B$2:B$10000,SMALL(IF(ISNUMBER(MATCH($B$2:$B$10000,$E$6:$E$22,0)),ROW($C$2:$C$10000)-ROW($C$2)+1),ROWS(L$20:L2410))))</f>
        <v/>
      </c>
      <c r="I2410" s="4" t="str">
        <f t="array" ref="I2410">IF(ROWS(M$20:M2410)&gt;$F$6,"",INDEX(C$2:C$10000,SMALL(IF(ISNUMBER(MATCH($B$2:$B$10000,$E$6:$E$22,0)),ROW($C$2:$C$10000)-ROW($C$2)+1),ROWS(M$20:M2410))))</f>
        <v/>
      </c>
      <c r="K2410" s="7" t="str">
        <f t="array" ref="K2410">IF(ROWS(K$20:K2410)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2410))))</f>
        <v/>
      </c>
      <c r="L2410" s="4" t="str">
        <f t="array" ref="L2410">IF(ROWS(L$20:L2410)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2410))))</f>
        <v/>
      </c>
      <c r="M2410" s="4" t="str">
        <f t="array" ref="M2410">IF(ROWS(M$20:M2410)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2410))))</f>
        <v/>
      </c>
    </row>
    <row r="2411" spans="1:13" x14ac:dyDescent="0.25">
      <c r="A2411" s="3">
        <v>41417</v>
      </c>
      <c r="B2411" s="2" t="s">
        <v>49</v>
      </c>
      <c r="C2411" s="2">
        <v>38</v>
      </c>
      <c r="G2411" s="7" t="str">
        <f t="array" ref="G2411">IF(ROWS(K$20:K2411)&gt;$F$6,"",INDEX(A$2:A$10000,SMALL(IF(ISNUMBER(MATCH($B$2:$B$10000,$E$6:$E$22,0)),ROW($C$2:$C$10000)-ROW($C$2)+1),ROWS(K$20:K2411))))</f>
        <v/>
      </c>
      <c r="H2411" s="4" t="str">
        <f t="array" ref="H2411">IF(ROWS(L$20:L2411)&gt;$F$6,"",INDEX(B$2:B$10000,SMALL(IF(ISNUMBER(MATCH($B$2:$B$10000,$E$6:$E$22,0)),ROW($C$2:$C$10000)-ROW($C$2)+1),ROWS(L$20:L2411))))</f>
        <v/>
      </c>
      <c r="I2411" s="4" t="str">
        <f t="array" ref="I2411">IF(ROWS(M$20:M2411)&gt;$F$6,"",INDEX(C$2:C$10000,SMALL(IF(ISNUMBER(MATCH($B$2:$B$10000,$E$6:$E$22,0)),ROW($C$2:$C$10000)-ROW($C$2)+1),ROWS(M$20:M2411))))</f>
        <v/>
      </c>
      <c r="K2411" s="7" t="str">
        <f t="array" ref="K2411">IF(ROWS(K$20:K2411)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2411))))</f>
        <v/>
      </c>
      <c r="L2411" s="4" t="str">
        <f t="array" ref="L2411">IF(ROWS(L$20:L2411)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2411))))</f>
        <v/>
      </c>
      <c r="M2411" s="4" t="str">
        <f t="array" ref="M2411">IF(ROWS(M$20:M2411)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2411))))</f>
        <v/>
      </c>
    </row>
    <row r="2412" spans="1:13" x14ac:dyDescent="0.25">
      <c r="A2412" s="3">
        <v>41587</v>
      </c>
      <c r="B2412" s="2" t="s">
        <v>19</v>
      </c>
      <c r="C2412" s="2">
        <v>17</v>
      </c>
      <c r="G2412" s="7" t="str">
        <f t="array" ref="G2412">IF(ROWS(K$20:K2412)&gt;$F$6,"",INDEX(A$2:A$10000,SMALL(IF(ISNUMBER(MATCH($B$2:$B$10000,$E$6:$E$22,0)),ROW($C$2:$C$10000)-ROW($C$2)+1),ROWS(K$20:K2412))))</f>
        <v/>
      </c>
      <c r="H2412" s="4" t="str">
        <f t="array" ref="H2412">IF(ROWS(L$20:L2412)&gt;$F$6,"",INDEX(B$2:B$10000,SMALL(IF(ISNUMBER(MATCH($B$2:$B$10000,$E$6:$E$22,0)),ROW($C$2:$C$10000)-ROW($C$2)+1),ROWS(L$20:L2412))))</f>
        <v/>
      </c>
      <c r="I2412" s="4" t="str">
        <f t="array" ref="I2412">IF(ROWS(M$20:M2412)&gt;$F$6,"",INDEX(C$2:C$10000,SMALL(IF(ISNUMBER(MATCH($B$2:$B$10000,$E$6:$E$22,0)),ROW($C$2:$C$10000)-ROW($C$2)+1),ROWS(M$20:M2412))))</f>
        <v/>
      </c>
      <c r="K2412" s="7" t="str">
        <f t="array" ref="K2412">IF(ROWS(K$20:K2412)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2412))))</f>
        <v/>
      </c>
      <c r="L2412" s="4" t="str">
        <f t="array" ref="L2412">IF(ROWS(L$20:L2412)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2412))))</f>
        <v/>
      </c>
      <c r="M2412" s="4" t="str">
        <f t="array" ref="M2412">IF(ROWS(M$20:M2412)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2412))))</f>
        <v/>
      </c>
    </row>
    <row r="2413" spans="1:13" x14ac:dyDescent="0.25">
      <c r="A2413" s="3">
        <v>41698</v>
      </c>
      <c r="B2413" s="2" t="s">
        <v>17</v>
      </c>
      <c r="C2413" s="2">
        <v>26</v>
      </c>
      <c r="G2413" s="7" t="str">
        <f t="array" ref="G2413">IF(ROWS(K$20:K2413)&gt;$F$6,"",INDEX(A$2:A$10000,SMALL(IF(ISNUMBER(MATCH($B$2:$B$10000,$E$6:$E$22,0)),ROW($C$2:$C$10000)-ROW($C$2)+1),ROWS(K$20:K2413))))</f>
        <v/>
      </c>
      <c r="H2413" s="4" t="str">
        <f t="array" ref="H2413">IF(ROWS(L$20:L2413)&gt;$F$6,"",INDEX(B$2:B$10000,SMALL(IF(ISNUMBER(MATCH($B$2:$B$10000,$E$6:$E$22,0)),ROW($C$2:$C$10000)-ROW($C$2)+1),ROWS(L$20:L2413))))</f>
        <v/>
      </c>
      <c r="I2413" s="4" t="str">
        <f t="array" ref="I2413">IF(ROWS(M$20:M2413)&gt;$F$6,"",INDEX(C$2:C$10000,SMALL(IF(ISNUMBER(MATCH($B$2:$B$10000,$E$6:$E$22,0)),ROW($C$2:$C$10000)-ROW($C$2)+1),ROWS(M$20:M2413))))</f>
        <v/>
      </c>
      <c r="K2413" s="7" t="str">
        <f t="array" ref="K2413">IF(ROWS(K$20:K2413)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2413))))</f>
        <v/>
      </c>
      <c r="L2413" s="4" t="str">
        <f t="array" ref="L2413">IF(ROWS(L$20:L2413)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2413))))</f>
        <v/>
      </c>
      <c r="M2413" s="4" t="str">
        <f t="array" ref="M2413">IF(ROWS(M$20:M2413)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2413))))</f>
        <v/>
      </c>
    </row>
    <row r="2414" spans="1:13" x14ac:dyDescent="0.25">
      <c r="A2414" s="3">
        <v>41610</v>
      </c>
      <c r="B2414" s="2" t="s">
        <v>23</v>
      </c>
      <c r="C2414" s="2">
        <v>24</v>
      </c>
      <c r="G2414" s="7" t="str">
        <f t="array" ref="G2414">IF(ROWS(K$20:K2414)&gt;$F$6,"",INDEX(A$2:A$10000,SMALL(IF(ISNUMBER(MATCH($B$2:$B$10000,$E$6:$E$22,0)),ROW($C$2:$C$10000)-ROW($C$2)+1),ROWS(K$20:K2414))))</f>
        <v/>
      </c>
      <c r="H2414" s="4" t="str">
        <f t="array" ref="H2414">IF(ROWS(L$20:L2414)&gt;$F$6,"",INDEX(B$2:B$10000,SMALL(IF(ISNUMBER(MATCH($B$2:$B$10000,$E$6:$E$22,0)),ROW($C$2:$C$10000)-ROW($C$2)+1),ROWS(L$20:L2414))))</f>
        <v/>
      </c>
      <c r="I2414" s="4" t="str">
        <f t="array" ref="I2414">IF(ROWS(M$20:M2414)&gt;$F$6,"",INDEX(C$2:C$10000,SMALL(IF(ISNUMBER(MATCH($B$2:$B$10000,$E$6:$E$22,0)),ROW($C$2:$C$10000)-ROW($C$2)+1),ROWS(M$20:M2414))))</f>
        <v/>
      </c>
      <c r="K2414" s="7" t="str">
        <f t="array" ref="K2414">IF(ROWS(K$20:K2414)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2414))))</f>
        <v/>
      </c>
      <c r="L2414" s="4" t="str">
        <f t="array" ref="L2414">IF(ROWS(L$20:L2414)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2414))))</f>
        <v/>
      </c>
      <c r="M2414" s="4" t="str">
        <f t="array" ref="M2414">IF(ROWS(M$20:M2414)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2414))))</f>
        <v/>
      </c>
    </row>
    <row r="2415" spans="1:13" x14ac:dyDescent="0.25">
      <c r="A2415" s="3">
        <v>41887</v>
      </c>
      <c r="B2415" s="2" t="s">
        <v>47</v>
      </c>
      <c r="C2415" s="2">
        <v>40</v>
      </c>
      <c r="G2415" s="7" t="str">
        <f t="array" ref="G2415">IF(ROWS(K$20:K2415)&gt;$F$6,"",INDEX(A$2:A$10000,SMALL(IF(ISNUMBER(MATCH($B$2:$B$10000,$E$6:$E$22,0)),ROW($C$2:$C$10000)-ROW($C$2)+1),ROWS(K$20:K2415))))</f>
        <v/>
      </c>
      <c r="H2415" s="4" t="str">
        <f t="array" ref="H2415">IF(ROWS(L$20:L2415)&gt;$F$6,"",INDEX(B$2:B$10000,SMALL(IF(ISNUMBER(MATCH($B$2:$B$10000,$E$6:$E$22,0)),ROW($C$2:$C$10000)-ROW($C$2)+1),ROWS(L$20:L2415))))</f>
        <v/>
      </c>
      <c r="I2415" s="4" t="str">
        <f t="array" ref="I2415">IF(ROWS(M$20:M2415)&gt;$F$6,"",INDEX(C$2:C$10000,SMALL(IF(ISNUMBER(MATCH($B$2:$B$10000,$E$6:$E$22,0)),ROW($C$2:$C$10000)-ROW($C$2)+1),ROWS(M$20:M2415))))</f>
        <v/>
      </c>
      <c r="K2415" s="7" t="str">
        <f t="array" ref="K2415">IF(ROWS(K$20:K2415)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2415))))</f>
        <v/>
      </c>
      <c r="L2415" s="4" t="str">
        <f t="array" ref="L2415">IF(ROWS(L$20:L2415)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2415))))</f>
        <v/>
      </c>
      <c r="M2415" s="4" t="str">
        <f t="array" ref="M2415">IF(ROWS(M$20:M2415)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2415))))</f>
        <v/>
      </c>
    </row>
    <row r="2416" spans="1:13" x14ac:dyDescent="0.25">
      <c r="A2416" s="3">
        <v>41847</v>
      </c>
      <c r="B2416" s="2" t="s">
        <v>15</v>
      </c>
      <c r="C2416" s="2">
        <v>23</v>
      </c>
      <c r="G2416" s="7" t="str">
        <f t="array" ref="G2416">IF(ROWS(K$20:K2416)&gt;$F$6,"",INDEX(A$2:A$10000,SMALL(IF(ISNUMBER(MATCH($B$2:$B$10000,$E$6:$E$22,0)),ROW($C$2:$C$10000)-ROW($C$2)+1),ROWS(K$20:K2416))))</f>
        <v/>
      </c>
      <c r="H2416" s="4" t="str">
        <f t="array" ref="H2416">IF(ROWS(L$20:L2416)&gt;$F$6,"",INDEX(B$2:B$10000,SMALL(IF(ISNUMBER(MATCH($B$2:$B$10000,$E$6:$E$22,0)),ROW($C$2:$C$10000)-ROW($C$2)+1),ROWS(L$20:L2416))))</f>
        <v/>
      </c>
      <c r="I2416" s="4" t="str">
        <f t="array" ref="I2416">IF(ROWS(M$20:M2416)&gt;$F$6,"",INDEX(C$2:C$10000,SMALL(IF(ISNUMBER(MATCH($B$2:$B$10000,$E$6:$E$22,0)),ROW($C$2:$C$10000)-ROW($C$2)+1),ROWS(M$20:M2416))))</f>
        <v/>
      </c>
      <c r="K2416" s="7" t="str">
        <f t="array" ref="K2416">IF(ROWS(K$20:K2416)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2416))))</f>
        <v/>
      </c>
      <c r="L2416" s="4" t="str">
        <f t="array" ref="L2416">IF(ROWS(L$20:L2416)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2416))))</f>
        <v/>
      </c>
      <c r="M2416" s="4" t="str">
        <f t="array" ref="M2416">IF(ROWS(M$20:M2416)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2416))))</f>
        <v/>
      </c>
    </row>
    <row r="2417" spans="1:13" x14ac:dyDescent="0.25">
      <c r="A2417" s="3">
        <v>41275</v>
      </c>
      <c r="B2417" s="2" t="s">
        <v>13</v>
      </c>
      <c r="C2417" s="2">
        <v>14</v>
      </c>
      <c r="G2417" s="7" t="str">
        <f t="array" ref="G2417">IF(ROWS(K$20:K2417)&gt;$F$6,"",INDEX(A$2:A$10000,SMALL(IF(ISNUMBER(MATCH($B$2:$B$10000,$E$6:$E$22,0)),ROW($C$2:$C$10000)-ROW($C$2)+1),ROWS(K$20:K2417))))</f>
        <v/>
      </c>
      <c r="H2417" s="4" t="str">
        <f t="array" ref="H2417">IF(ROWS(L$20:L2417)&gt;$F$6,"",INDEX(B$2:B$10000,SMALL(IF(ISNUMBER(MATCH($B$2:$B$10000,$E$6:$E$22,0)),ROW($C$2:$C$10000)-ROW($C$2)+1),ROWS(L$20:L2417))))</f>
        <v/>
      </c>
      <c r="I2417" s="4" t="str">
        <f t="array" ref="I2417">IF(ROWS(M$20:M2417)&gt;$F$6,"",INDEX(C$2:C$10000,SMALL(IF(ISNUMBER(MATCH($B$2:$B$10000,$E$6:$E$22,0)),ROW($C$2:$C$10000)-ROW($C$2)+1),ROWS(M$20:M2417))))</f>
        <v/>
      </c>
      <c r="K2417" s="7" t="str">
        <f t="array" ref="K2417">IF(ROWS(K$20:K2417)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2417))))</f>
        <v/>
      </c>
      <c r="L2417" s="4" t="str">
        <f t="array" ref="L2417">IF(ROWS(L$20:L2417)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2417))))</f>
        <v/>
      </c>
      <c r="M2417" s="4" t="str">
        <f t="array" ref="M2417">IF(ROWS(M$20:M2417)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2417))))</f>
        <v/>
      </c>
    </row>
    <row r="2418" spans="1:13" x14ac:dyDescent="0.25">
      <c r="A2418" s="3">
        <v>41863</v>
      </c>
      <c r="B2418" s="2" t="s">
        <v>47</v>
      </c>
      <c r="C2418" s="2">
        <v>36</v>
      </c>
      <c r="G2418" s="7" t="str">
        <f t="array" ref="G2418">IF(ROWS(K$20:K2418)&gt;$F$6,"",INDEX(A$2:A$10000,SMALL(IF(ISNUMBER(MATCH($B$2:$B$10000,$E$6:$E$22,0)),ROW($C$2:$C$10000)-ROW($C$2)+1),ROWS(K$20:K2418))))</f>
        <v/>
      </c>
      <c r="H2418" s="4" t="str">
        <f t="array" ref="H2418">IF(ROWS(L$20:L2418)&gt;$F$6,"",INDEX(B$2:B$10000,SMALL(IF(ISNUMBER(MATCH($B$2:$B$10000,$E$6:$E$22,0)),ROW($C$2:$C$10000)-ROW($C$2)+1),ROWS(L$20:L2418))))</f>
        <v/>
      </c>
      <c r="I2418" s="4" t="str">
        <f t="array" ref="I2418">IF(ROWS(M$20:M2418)&gt;$F$6,"",INDEX(C$2:C$10000,SMALL(IF(ISNUMBER(MATCH($B$2:$B$10000,$E$6:$E$22,0)),ROW($C$2:$C$10000)-ROW($C$2)+1),ROWS(M$20:M2418))))</f>
        <v/>
      </c>
      <c r="K2418" s="7" t="str">
        <f t="array" ref="K2418">IF(ROWS(K$20:K2418)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2418))))</f>
        <v/>
      </c>
      <c r="L2418" s="4" t="str">
        <f t="array" ref="L2418">IF(ROWS(L$20:L2418)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2418))))</f>
        <v/>
      </c>
      <c r="M2418" s="4" t="str">
        <f t="array" ref="M2418">IF(ROWS(M$20:M2418)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2418))))</f>
        <v/>
      </c>
    </row>
    <row r="2419" spans="1:13" x14ac:dyDescent="0.25">
      <c r="A2419" s="3">
        <v>41497</v>
      </c>
      <c r="B2419" s="2" t="s">
        <v>46</v>
      </c>
      <c r="C2419" s="2">
        <v>24</v>
      </c>
      <c r="G2419" s="7" t="str">
        <f t="array" ref="G2419">IF(ROWS(K$20:K2419)&gt;$F$6,"",INDEX(A$2:A$10000,SMALL(IF(ISNUMBER(MATCH($B$2:$B$10000,$E$6:$E$22,0)),ROW($C$2:$C$10000)-ROW($C$2)+1),ROWS(K$20:K2419))))</f>
        <v/>
      </c>
      <c r="H2419" s="4" t="str">
        <f t="array" ref="H2419">IF(ROWS(L$20:L2419)&gt;$F$6,"",INDEX(B$2:B$10000,SMALL(IF(ISNUMBER(MATCH($B$2:$B$10000,$E$6:$E$22,0)),ROW($C$2:$C$10000)-ROW($C$2)+1),ROWS(L$20:L2419))))</f>
        <v/>
      </c>
      <c r="I2419" s="4" t="str">
        <f t="array" ref="I2419">IF(ROWS(M$20:M2419)&gt;$F$6,"",INDEX(C$2:C$10000,SMALL(IF(ISNUMBER(MATCH($B$2:$B$10000,$E$6:$E$22,0)),ROW($C$2:$C$10000)-ROW($C$2)+1),ROWS(M$20:M2419))))</f>
        <v/>
      </c>
      <c r="K2419" s="7" t="str">
        <f t="array" ref="K2419">IF(ROWS(K$20:K2419)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2419))))</f>
        <v/>
      </c>
      <c r="L2419" s="4" t="str">
        <f t="array" ref="L2419">IF(ROWS(L$20:L2419)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2419))))</f>
        <v/>
      </c>
      <c r="M2419" s="4" t="str">
        <f t="array" ref="M2419">IF(ROWS(M$20:M2419)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2419))))</f>
        <v/>
      </c>
    </row>
    <row r="2420" spans="1:13" x14ac:dyDescent="0.25">
      <c r="A2420" s="3">
        <v>41974</v>
      </c>
      <c r="B2420" s="2" t="s">
        <v>28</v>
      </c>
      <c r="C2420" s="2">
        <v>5</v>
      </c>
      <c r="G2420" s="7" t="str">
        <f t="array" ref="G2420">IF(ROWS(K$20:K2420)&gt;$F$6,"",INDEX(A$2:A$10000,SMALL(IF(ISNUMBER(MATCH($B$2:$B$10000,$E$6:$E$22,0)),ROW($C$2:$C$10000)-ROW($C$2)+1),ROWS(K$20:K2420))))</f>
        <v/>
      </c>
      <c r="H2420" s="4" t="str">
        <f t="array" ref="H2420">IF(ROWS(L$20:L2420)&gt;$F$6,"",INDEX(B$2:B$10000,SMALL(IF(ISNUMBER(MATCH($B$2:$B$10000,$E$6:$E$22,0)),ROW($C$2:$C$10000)-ROW($C$2)+1),ROWS(L$20:L2420))))</f>
        <v/>
      </c>
      <c r="I2420" s="4" t="str">
        <f t="array" ref="I2420">IF(ROWS(M$20:M2420)&gt;$F$6,"",INDEX(C$2:C$10000,SMALL(IF(ISNUMBER(MATCH($B$2:$B$10000,$E$6:$E$22,0)),ROW($C$2:$C$10000)-ROW($C$2)+1),ROWS(M$20:M2420))))</f>
        <v/>
      </c>
      <c r="K2420" s="7" t="str">
        <f t="array" ref="K2420">IF(ROWS(K$20:K2420)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2420))))</f>
        <v/>
      </c>
      <c r="L2420" s="4" t="str">
        <f t="array" ref="L2420">IF(ROWS(L$20:L2420)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2420))))</f>
        <v/>
      </c>
      <c r="M2420" s="4" t="str">
        <f t="array" ref="M2420">IF(ROWS(M$20:M2420)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2420))))</f>
        <v/>
      </c>
    </row>
    <row r="2421" spans="1:13" x14ac:dyDescent="0.25">
      <c r="A2421" s="3">
        <v>41347</v>
      </c>
      <c r="B2421" s="2" t="s">
        <v>2</v>
      </c>
      <c r="C2421" s="2">
        <v>35</v>
      </c>
      <c r="G2421" s="7" t="str">
        <f t="array" ref="G2421">IF(ROWS(K$20:K2421)&gt;$F$6,"",INDEX(A$2:A$10000,SMALL(IF(ISNUMBER(MATCH($B$2:$B$10000,$E$6:$E$22,0)),ROW($C$2:$C$10000)-ROW($C$2)+1),ROWS(K$20:K2421))))</f>
        <v/>
      </c>
      <c r="H2421" s="4" t="str">
        <f t="array" ref="H2421">IF(ROWS(L$20:L2421)&gt;$F$6,"",INDEX(B$2:B$10000,SMALL(IF(ISNUMBER(MATCH($B$2:$B$10000,$E$6:$E$22,0)),ROW($C$2:$C$10000)-ROW($C$2)+1),ROWS(L$20:L2421))))</f>
        <v/>
      </c>
      <c r="I2421" s="4" t="str">
        <f t="array" ref="I2421">IF(ROWS(M$20:M2421)&gt;$F$6,"",INDEX(C$2:C$10000,SMALL(IF(ISNUMBER(MATCH($B$2:$B$10000,$E$6:$E$22,0)),ROW($C$2:$C$10000)-ROW($C$2)+1),ROWS(M$20:M2421))))</f>
        <v/>
      </c>
      <c r="K2421" s="7" t="str">
        <f t="array" ref="K2421">IF(ROWS(K$20:K2421)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2421))))</f>
        <v/>
      </c>
      <c r="L2421" s="4" t="str">
        <f t="array" ref="L2421">IF(ROWS(L$20:L2421)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2421))))</f>
        <v/>
      </c>
      <c r="M2421" s="4" t="str">
        <f t="array" ref="M2421">IF(ROWS(M$20:M2421)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2421))))</f>
        <v/>
      </c>
    </row>
    <row r="2422" spans="1:13" x14ac:dyDescent="0.25">
      <c r="A2422" s="3">
        <v>41818</v>
      </c>
      <c r="B2422" s="2" t="s">
        <v>42</v>
      </c>
      <c r="C2422" s="2">
        <v>32</v>
      </c>
      <c r="G2422" s="7" t="str">
        <f t="array" ref="G2422">IF(ROWS(K$20:K2422)&gt;$F$6,"",INDEX(A$2:A$10000,SMALL(IF(ISNUMBER(MATCH($B$2:$B$10000,$E$6:$E$22,0)),ROW($C$2:$C$10000)-ROW($C$2)+1),ROWS(K$20:K2422))))</f>
        <v/>
      </c>
      <c r="H2422" s="4" t="str">
        <f t="array" ref="H2422">IF(ROWS(L$20:L2422)&gt;$F$6,"",INDEX(B$2:B$10000,SMALL(IF(ISNUMBER(MATCH($B$2:$B$10000,$E$6:$E$22,0)),ROW($C$2:$C$10000)-ROW($C$2)+1),ROWS(L$20:L2422))))</f>
        <v/>
      </c>
      <c r="I2422" s="4" t="str">
        <f t="array" ref="I2422">IF(ROWS(M$20:M2422)&gt;$F$6,"",INDEX(C$2:C$10000,SMALL(IF(ISNUMBER(MATCH($B$2:$B$10000,$E$6:$E$22,0)),ROW($C$2:$C$10000)-ROW($C$2)+1),ROWS(M$20:M2422))))</f>
        <v/>
      </c>
      <c r="K2422" s="7" t="str">
        <f t="array" ref="K2422">IF(ROWS(K$20:K2422)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2422))))</f>
        <v/>
      </c>
      <c r="L2422" s="4" t="str">
        <f t="array" ref="L2422">IF(ROWS(L$20:L2422)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2422))))</f>
        <v/>
      </c>
      <c r="M2422" s="4" t="str">
        <f t="array" ref="M2422">IF(ROWS(M$20:M2422)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2422))))</f>
        <v/>
      </c>
    </row>
    <row r="2423" spans="1:13" x14ac:dyDescent="0.25">
      <c r="A2423" s="3">
        <v>41431</v>
      </c>
      <c r="B2423" s="2" t="s">
        <v>46</v>
      </c>
      <c r="C2423" s="2">
        <v>40</v>
      </c>
      <c r="G2423" s="7" t="str">
        <f t="array" ref="G2423">IF(ROWS(K$20:K2423)&gt;$F$6,"",INDEX(A$2:A$10000,SMALL(IF(ISNUMBER(MATCH($B$2:$B$10000,$E$6:$E$22,0)),ROW($C$2:$C$10000)-ROW($C$2)+1),ROWS(K$20:K2423))))</f>
        <v/>
      </c>
      <c r="H2423" s="4" t="str">
        <f t="array" ref="H2423">IF(ROWS(L$20:L2423)&gt;$F$6,"",INDEX(B$2:B$10000,SMALL(IF(ISNUMBER(MATCH($B$2:$B$10000,$E$6:$E$22,0)),ROW($C$2:$C$10000)-ROW($C$2)+1),ROWS(L$20:L2423))))</f>
        <v/>
      </c>
      <c r="I2423" s="4" t="str">
        <f t="array" ref="I2423">IF(ROWS(M$20:M2423)&gt;$F$6,"",INDEX(C$2:C$10000,SMALL(IF(ISNUMBER(MATCH($B$2:$B$10000,$E$6:$E$22,0)),ROW($C$2:$C$10000)-ROW($C$2)+1),ROWS(M$20:M2423))))</f>
        <v/>
      </c>
      <c r="K2423" s="7" t="str">
        <f t="array" ref="K2423">IF(ROWS(K$20:K2423)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2423))))</f>
        <v/>
      </c>
      <c r="L2423" s="4" t="str">
        <f t="array" ref="L2423">IF(ROWS(L$20:L2423)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2423))))</f>
        <v/>
      </c>
      <c r="M2423" s="4" t="str">
        <f t="array" ref="M2423">IF(ROWS(M$20:M2423)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2423))))</f>
        <v/>
      </c>
    </row>
    <row r="2424" spans="1:13" x14ac:dyDescent="0.25">
      <c r="A2424" s="3">
        <v>41932</v>
      </c>
      <c r="B2424" s="2" t="s">
        <v>19</v>
      </c>
      <c r="C2424" s="2">
        <v>13</v>
      </c>
      <c r="G2424" s="7" t="str">
        <f t="array" ref="G2424">IF(ROWS(K$20:K2424)&gt;$F$6,"",INDEX(A$2:A$10000,SMALL(IF(ISNUMBER(MATCH($B$2:$B$10000,$E$6:$E$22,0)),ROW($C$2:$C$10000)-ROW($C$2)+1),ROWS(K$20:K2424))))</f>
        <v/>
      </c>
      <c r="H2424" s="4" t="str">
        <f t="array" ref="H2424">IF(ROWS(L$20:L2424)&gt;$F$6,"",INDEX(B$2:B$10000,SMALL(IF(ISNUMBER(MATCH($B$2:$B$10000,$E$6:$E$22,0)),ROW($C$2:$C$10000)-ROW($C$2)+1),ROWS(L$20:L2424))))</f>
        <v/>
      </c>
      <c r="I2424" s="4" t="str">
        <f t="array" ref="I2424">IF(ROWS(M$20:M2424)&gt;$F$6,"",INDEX(C$2:C$10000,SMALL(IF(ISNUMBER(MATCH($B$2:$B$10000,$E$6:$E$22,0)),ROW($C$2:$C$10000)-ROW($C$2)+1),ROWS(M$20:M2424))))</f>
        <v/>
      </c>
      <c r="K2424" s="7" t="str">
        <f t="array" ref="K2424">IF(ROWS(K$20:K2424)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2424))))</f>
        <v/>
      </c>
      <c r="L2424" s="4" t="str">
        <f t="array" ref="L2424">IF(ROWS(L$20:L2424)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2424))))</f>
        <v/>
      </c>
      <c r="M2424" s="4" t="str">
        <f t="array" ref="M2424">IF(ROWS(M$20:M2424)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2424))))</f>
        <v/>
      </c>
    </row>
    <row r="2425" spans="1:13" x14ac:dyDescent="0.25">
      <c r="A2425" s="3">
        <v>41397</v>
      </c>
      <c r="B2425" s="2" t="s">
        <v>7</v>
      </c>
      <c r="C2425" s="2">
        <v>19</v>
      </c>
      <c r="G2425" s="7" t="str">
        <f t="array" ref="G2425">IF(ROWS(K$20:K2425)&gt;$F$6,"",INDEX(A$2:A$10000,SMALL(IF(ISNUMBER(MATCH($B$2:$B$10000,$E$6:$E$22,0)),ROW($C$2:$C$10000)-ROW($C$2)+1),ROWS(K$20:K2425))))</f>
        <v/>
      </c>
      <c r="H2425" s="4" t="str">
        <f t="array" ref="H2425">IF(ROWS(L$20:L2425)&gt;$F$6,"",INDEX(B$2:B$10000,SMALL(IF(ISNUMBER(MATCH($B$2:$B$10000,$E$6:$E$22,0)),ROW($C$2:$C$10000)-ROW($C$2)+1),ROWS(L$20:L2425))))</f>
        <v/>
      </c>
      <c r="I2425" s="4" t="str">
        <f t="array" ref="I2425">IF(ROWS(M$20:M2425)&gt;$F$6,"",INDEX(C$2:C$10000,SMALL(IF(ISNUMBER(MATCH($B$2:$B$10000,$E$6:$E$22,0)),ROW($C$2:$C$10000)-ROW($C$2)+1),ROWS(M$20:M2425))))</f>
        <v/>
      </c>
      <c r="K2425" s="7" t="str">
        <f t="array" ref="K2425">IF(ROWS(K$20:K2425)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2425))))</f>
        <v/>
      </c>
      <c r="L2425" s="4" t="str">
        <f t="array" ref="L2425">IF(ROWS(L$20:L2425)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2425))))</f>
        <v/>
      </c>
      <c r="M2425" s="4" t="str">
        <f t="array" ref="M2425">IF(ROWS(M$20:M2425)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2425))))</f>
        <v/>
      </c>
    </row>
    <row r="2426" spans="1:13" x14ac:dyDescent="0.25">
      <c r="A2426" s="3">
        <v>42004</v>
      </c>
      <c r="B2426" s="2" t="s">
        <v>44</v>
      </c>
      <c r="C2426" s="2">
        <v>35</v>
      </c>
      <c r="G2426" s="7" t="str">
        <f t="array" ref="G2426">IF(ROWS(K$20:K2426)&gt;$F$6,"",INDEX(A$2:A$10000,SMALL(IF(ISNUMBER(MATCH($B$2:$B$10000,$E$6:$E$22,0)),ROW($C$2:$C$10000)-ROW($C$2)+1),ROWS(K$20:K2426))))</f>
        <v/>
      </c>
      <c r="H2426" s="4" t="str">
        <f t="array" ref="H2426">IF(ROWS(L$20:L2426)&gt;$F$6,"",INDEX(B$2:B$10000,SMALL(IF(ISNUMBER(MATCH($B$2:$B$10000,$E$6:$E$22,0)),ROW($C$2:$C$10000)-ROW($C$2)+1),ROWS(L$20:L2426))))</f>
        <v/>
      </c>
      <c r="I2426" s="4" t="str">
        <f t="array" ref="I2426">IF(ROWS(M$20:M2426)&gt;$F$6,"",INDEX(C$2:C$10000,SMALL(IF(ISNUMBER(MATCH($B$2:$B$10000,$E$6:$E$22,0)),ROW($C$2:$C$10000)-ROW($C$2)+1),ROWS(M$20:M2426))))</f>
        <v/>
      </c>
      <c r="K2426" s="7" t="str">
        <f t="array" ref="K2426">IF(ROWS(K$20:K2426)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2426))))</f>
        <v/>
      </c>
      <c r="L2426" s="4" t="str">
        <f t="array" ref="L2426">IF(ROWS(L$20:L2426)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2426))))</f>
        <v/>
      </c>
      <c r="M2426" s="4" t="str">
        <f t="array" ref="M2426">IF(ROWS(M$20:M2426)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2426))))</f>
        <v/>
      </c>
    </row>
    <row r="2427" spans="1:13" x14ac:dyDescent="0.25">
      <c r="A2427" s="3">
        <v>41298</v>
      </c>
      <c r="B2427" s="2" t="s">
        <v>16</v>
      </c>
      <c r="C2427" s="2">
        <v>38</v>
      </c>
      <c r="G2427" s="7" t="str">
        <f t="array" ref="G2427">IF(ROWS(K$20:K2427)&gt;$F$6,"",INDEX(A$2:A$10000,SMALL(IF(ISNUMBER(MATCH($B$2:$B$10000,$E$6:$E$22,0)),ROW($C$2:$C$10000)-ROW($C$2)+1),ROWS(K$20:K2427))))</f>
        <v/>
      </c>
      <c r="H2427" s="4" t="str">
        <f t="array" ref="H2427">IF(ROWS(L$20:L2427)&gt;$F$6,"",INDEX(B$2:B$10000,SMALL(IF(ISNUMBER(MATCH($B$2:$B$10000,$E$6:$E$22,0)),ROW($C$2:$C$10000)-ROW($C$2)+1),ROWS(L$20:L2427))))</f>
        <v/>
      </c>
      <c r="I2427" s="4" t="str">
        <f t="array" ref="I2427">IF(ROWS(M$20:M2427)&gt;$F$6,"",INDEX(C$2:C$10000,SMALL(IF(ISNUMBER(MATCH($B$2:$B$10000,$E$6:$E$22,0)),ROW($C$2:$C$10000)-ROW($C$2)+1),ROWS(M$20:M2427))))</f>
        <v/>
      </c>
      <c r="K2427" s="7" t="str">
        <f t="array" ref="K2427">IF(ROWS(K$20:K2427)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2427))))</f>
        <v/>
      </c>
      <c r="L2427" s="4" t="str">
        <f t="array" ref="L2427">IF(ROWS(L$20:L2427)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2427))))</f>
        <v/>
      </c>
      <c r="M2427" s="4" t="str">
        <f t="array" ref="M2427">IF(ROWS(M$20:M2427)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2427))))</f>
        <v/>
      </c>
    </row>
    <row r="2428" spans="1:13" x14ac:dyDescent="0.25">
      <c r="A2428" s="3">
        <v>41404</v>
      </c>
      <c r="B2428" s="2" t="s">
        <v>25</v>
      </c>
      <c r="C2428" s="2">
        <v>40</v>
      </c>
      <c r="G2428" s="7" t="str">
        <f t="array" ref="G2428">IF(ROWS(K$20:K2428)&gt;$F$6,"",INDEX(A$2:A$10000,SMALL(IF(ISNUMBER(MATCH($B$2:$B$10000,$E$6:$E$22,0)),ROW($C$2:$C$10000)-ROW($C$2)+1),ROWS(K$20:K2428))))</f>
        <v/>
      </c>
      <c r="H2428" s="4" t="str">
        <f t="array" ref="H2428">IF(ROWS(L$20:L2428)&gt;$F$6,"",INDEX(B$2:B$10000,SMALL(IF(ISNUMBER(MATCH($B$2:$B$10000,$E$6:$E$22,0)),ROW($C$2:$C$10000)-ROW($C$2)+1),ROWS(L$20:L2428))))</f>
        <v/>
      </c>
      <c r="I2428" s="4" t="str">
        <f t="array" ref="I2428">IF(ROWS(M$20:M2428)&gt;$F$6,"",INDEX(C$2:C$10000,SMALL(IF(ISNUMBER(MATCH($B$2:$B$10000,$E$6:$E$22,0)),ROW($C$2:$C$10000)-ROW($C$2)+1),ROWS(M$20:M2428))))</f>
        <v/>
      </c>
      <c r="K2428" s="7" t="str">
        <f t="array" ref="K2428">IF(ROWS(K$20:K2428)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2428))))</f>
        <v/>
      </c>
      <c r="L2428" s="4" t="str">
        <f t="array" ref="L2428">IF(ROWS(L$20:L2428)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2428))))</f>
        <v/>
      </c>
      <c r="M2428" s="4" t="str">
        <f t="array" ref="M2428">IF(ROWS(M$20:M2428)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2428))))</f>
        <v/>
      </c>
    </row>
    <row r="2429" spans="1:13" x14ac:dyDescent="0.25">
      <c r="A2429" s="3">
        <v>41349</v>
      </c>
      <c r="B2429" s="2" t="s">
        <v>44</v>
      </c>
      <c r="C2429" s="2">
        <v>3</v>
      </c>
      <c r="G2429" s="7" t="str">
        <f t="array" ref="G2429">IF(ROWS(K$20:K2429)&gt;$F$6,"",INDEX(A$2:A$10000,SMALL(IF(ISNUMBER(MATCH($B$2:$B$10000,$E$6:$E$22,0)),ROW($C$2:$C$10000)-ROW($C$2)+1),ROWS(K$20:K2429))))</f>
        <v/>
      </c>
      <c r="H2429" s="4" t="str">
        <f t="array" ref="H2429">IF(ROWS(L$20:L2429)&gt;$F$6,"",INDEX(B$2:B$10000,SMALL(IF(ISNUMBER(MATCH($B$2:$B$10000,$E$6:$E$22,0)),ROW($C$2:$C$10000)-ROW($C$2)+1),ROWS(L$20:L2429))))</f>
        <v/>
      </c>
      <c r="I2429" s="4" t="str">
        <f t="array" ref="I2429">IF(ROWS(M$20:M2429)&gt;$F$6,"",INDEX(C$2:C$10000,SMALL(IF(ISNUMBER(MATCH($B$2:$B$10000,$E$6:$E$22,0)),ROW($C$2:$C$10000)-ROW($C$2)+1),ROWS(M$20:M2429))))</f>
        <v/>
      </c>
      <c r="K2429" s="7" t="str">
        <f t="array" ref="K2429">IF(ROWS(K$20:K2429)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2429))))</f>
        <v/>
      </c>
      <c r="L2429" s="4" t="str">
        <f t="array" ref="L2429">IF(ROWS(L$20:L2429)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2429))))</f>
        <v/>
      </c>
      <c r="M2429" s="4" t="str">
        <f t="array" ref="M2429">IF(ROWS(M$20:M2429)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2429))))</f>
        <v/>
      </c>
    </row>
    <row r="2430" spans="1:13" x14ac:dyDescent="0.25">
      <c r="A2430" s="3">
        <v>41850</v>
      </c>
      <c r="B2430" s="2" t="s">
        <v>6</v>
      </c>
      <c r="C2430" s="2">
        <v>8</v>
      </c>
      <c r="G2430" s="7" t="str">
        <f t="array" ref="G2430">IF(ROWS(K$20:K2430)&gt;$F$6,"",INDEX(A$2:A$10000,SMALL(IF(ISNUMBER(MATCH($B$2:$B$10000,$E$6:$E$22,0)),ROW($C$2:$C$10000)-ROW($C$2)+1),ROWS(K$20:K2430))))</f>
        <v/>
      </c>
      <c r="H2430" s="4" t="str">
        <f t="array" ref="H2430">IF(ROWS(L$20:L2430)&gt;$F$6,"",INDEX(B$2:B$10000,SMALL(IF(ISNUMBER(MATCH($B$2:$B$10000,$E$6:$E$22,0)),ROW($C$2:$C$10000)-ROW($C$2)+1),ROWS(L$20:L2430))))</f>
        <v/>
      </c>
      <c r="I2430" s="4" t="str">
        <f t="array" ref="I2430">IF(ROWS(M$20:M2430)&gt;$F$6,"",INDEX(C$2:C$10000,SMALL(IF(ISNUMBER(MATCH($B$2:$B$10000,$E$6:$E$22,0)),ROW($C$2:$C$10000)-ROW($C$2)+1),ROWS(M$20:M2430))))</f>
        <v/>
      </c>
      <c r="K2430" s="7" t="str">
        <f t="array" ref="K2430">IF(ROWS(K$20:K2430)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2430))))</f>
        <v/>
      </c>
      <c r="L2430" s="4" t="str">
        <f t="array" ref="L2430">IF(ROWS(L$20:L2430)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2430))))</f>
        <v/>
      </c>
      <c r="M2430" s="4" t="str">
        <f t="array" ref="M2430">IF(ROWS(M$20:M2430)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2430))))</f>
        <v/>
      </c>
    </row>
    <row r="2431" spans="1:13" x14ac:dyDescent="0.25">
      <c r="A2431" s="3">
        <v>41631</v>
      </c>
      <c r="B2431" s="2" t="s">
        <v>49</v>
      </c>
      <c r="C2431" s="2">
        <v>46</v>
      </c>
      <c r="G2431" s="7" t="str">
        <f t="array" ref="G2431">IF(ROWS(K$20:K2431)&gt;$F$6,"",INDEX(A$2:A$10000,SMALL(IF(ISNUMBER(MATCH($B$2:$B$10000,$E$6:$E$22,0)),ROW($C$2:$C$10000)-ROW($C$2)+1),ROWS(K$20:K2431))))</f>
        <v/>
      </c>
      <c r="H2431" s="4" t="str">
        <f t="array" ref="H2431">IF(ROWS(L$20:L2431)&gt;$F$6,"",INDEX(B$2:B$10000,SMALL(IF(ISNUMBER(MATCH($B$2:$B$10000,$E$6:$E$22,0)),ROW($C$2:$C$10000)-ROW($C$2)+1),ROWS(L$20:L2431))))</f>
        <v/>
      </c>
      <c r="I2431" s="4" t="str">
        <f t="array" ref="I2431">IF(ROWS(M$20:M2431)&gt;$F$6,"",INDEX(C$2:C$10000,SMALL(IF(ISNUMBER(MATCH($B$2:$B$10000,$E$6:$E$22,0)),ROW($C$2:$C$10000)-ROW($C$2)+1),ROWS(M$20:M2431))))</f>
        <v/>
      </c>
      <c r="K2431" s="7" t="str">
        <f t="array" ref="K2431">IF(ROWS(K$20:K2431)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2431))))</f>
        <v/>
      </c>
      <c r="L2431" s="4" t="str">
        <f t="array" ref="L2431">IF(ROWS(L$20:L2431)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2431))))</f>
        <v/>
      </c>
      <c r="M2431" s="4" t="str">
        <f t="array" ref="M2431">IF(ROWS(M$20:M2431)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2431))))</f>
        <v/>
      </c>
    </row>
    <row r="2432" spans="1:13" x14ac:dyDescent="0.25">
      <c r="A2432" s="3">
        <v>41466</v>
      </c>
      <c r="B2432" s="2" t="s">
        <v>42</v>
      </c>
      <c r="C2432" s="2">
        <v>8</v>
      </c>
      <c r="G2432" s="7" t="str">
        <f t="array" ref="G2432">IF(ROWS(K$20:K2432)&gt;$F$6,"",INDEX(A$2:A$10000,SMALL(IF(ISNUMBER(MATCH($B$2:$B$10000,$E$6:$E$22,0)),ROW($C$2:$C$10000)-ROW($C$2)+1),ROWS(K$20:K2432))))</f>
        <v/>
      </c>
      <c r="H2432" s="4" t="str">
        <f t="array" ref="H2432">IF(ROWS(L$20:L2432)&gt;$F$6,"",INDEX(B$2:B$10000,SMALL(IF(ISNUMBER(MATCH($B$2:$B$10000,$E$6:$E$22,0)),ROW($C$2:$C$10000)-ROW($C$2)+1),ROWS(L$20:L2432))))</f>
        <v/>
      </c>
      <c r="I2432" s="4" t="str">
        <f t="array" ref="I2432">IF(ROWS(M$20:M2432)&gt;$F$6,"",INDEX(C$2:C$10000,SMALL(IF(ISNUMBER(MATCH($B$2:$B$10000,$E$6:$E$22,0)),ROW($C$2:$C$10000)-ROW($C$2)+1),ROWS(M$20:M2432))))</f>
        <v/>
      </c>
      <c r="K2432" s="7" t="str">
        <f t="array" ref="K2432">IF(ROWS(K$20:K2432)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2432))))</f>
        <v/>
      </c>
      <c r="L2432" s="4" t="str">
        <f t="array" ref="L2432">IF(ROWS(L$20:L2432)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2432))))</f>
        <v/>
      </c>
      <c r="M2432" s="4" t="str">
        <f t="array" ref="M2432">IF(ROWS(M$20:M2432)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2432))))</f>
        <v/>
      </c>
    </row>
    <row r="2433" spans="1:13" x14ac:dyDescent="0.25">
      <c r="A2433" s="3">
        <v>41305</v>
      </c>
      <c r="B2433" s="2" t="s">
        <v>15</v>
      </c>
      <c r="C2433" s="2">
        <v>14</v>
      </c>
      <c r="G2433" s="7" t="str">
        <f t="array" ref="G2433">IF(ROWS(K$20:K2433)&gt;$F$6,"",INDEX(A$2:A$10000,SMALL(IF(ISNUMBER(MATCH($B$2:$B$10000,$E$6:$E$22,0)),ROW($C$2:$C$10000)-ROW($C$2)+1),ROWS(K$20:K2433))))</f>
        <v/>
      </c>
      <c r="H2433" s="4" t="str">
        <f t="array" ref="H2433">IF(ROWS(L$20:L2433)&gt;$F$6,"",INDEX(B$2:B$10000,SMALL(IF(ISNUMBER(MATCH($B$2:$B$10000,$E$6:$E$22,0)),ROW($C$2:$C$10000)-ROW($C$2)+1),ROWS(L$20:L2433))))</f>
        <v/>
      </c>
      <c r="I2433" s="4" t="str">
        <f t="array" ref="I2433">IF(ROWS(M$20:M2433)&gt;$F$6,"",INDEX(C$2:C$10000,SMALL(IF(ISNUMBER(MATCH($B$2:$B$10000,$E$6:$E$22,0)),ROW($C$2:$C$10000)-ROW($C$2)+1),ROWS(M$20:M2433))))</f>
        <v/>
      </c>
      <c r="K2433" s="7" t="str">
        <f t="array" ref="K2433">IF(ROWS(K$20:K2433)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2433))))</f>
        <v/>
      </c>
      <c r="L2433" s="4" t="str">
        <f t="array" ref="L2433">IF(ROWS(L$20:L2433)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2433))))</f>
        <v/>
      </c>
      <c r="M2433" s="4" t="str">
        <f t="array" ref="M2433">IF(ROWS(M$20:M2433)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2433))))</f>
        <v/>
      </c>
    </row>
    <row r="2434" spans="1:13" x14ac:dyDescent="0.25">
      <c r="A2434" s="3">
        <v>41510</v>
      </c>
      <c r="B2434" s="2" t="s">
        <v>14</v>
      </c>
      <c r="C2434" s="2">
        <v>27</v>
      </c>
      <c r="G2434" s="7" t="str">
        <f t="array" ref="G2434">IF(ROWS(K$20:K2434)&gt;$F$6,"",INDEX(A$2:A$10000,SMALL(IF(ISNUMBER(MATCH($B$2:$B$10000,$E$6:$E$22,0)),ROW($C$2:$C$10000)-ROW($C$2)+1),ROWS(K$20:K2434))))</f>
        <v/>
      </c>
      <c r="H2434" s="4" t="str">
        <f t="array" ref="H2434">IF(ROWS(L$20:L2434)&gt;$F$6,"",INDEX(B$2:B$10000,SMALL(IF(ISNUMBER(MATCH($B$2:$B$10000,$E$6:$E$22,0)),ROW($C$2:$C$10000)-ROW($C$2)+1),ROWS(L$20:L2434))))</f>
        <v/>
      </c>
      <c r="I2434" s="4" t="str">
        <f t="array" ref="I2434">IF(ROWS(M$20:M2434)&gt;$F$6,"",INDEX(C$2:C$10000,SMALL(IF(ISNUMBER(MATCH($B$2:$B$10000,$E$6:$E$22,0)),ROW($C$2:$C$10000)-ROW($C$2)+1),ROWS(M$20:M2434))))</f>
        <v/>
      </c>
      <c r="K2434" s="7" t="str">
        <f t="array" ref="K2434">IF(ROWS(K$20:K2434)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2434))))</f>
        <v/>
      </c>
      <c r="L2434" s="4" t="str">
        <f t="array" ref="L2434">IF(ROWS(L$20:L2434)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2434))))</f>
        <v/>
      </c>
      <c r="M2434" s="4" t="str">
        <f t="array" ref="M2434">IF(ROWS(M$20:M2434)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2434))))</f>
        <v/>
      </c>
    </row>
    <row r="2435" spans="1:13" x14ac:dyDescent="0.25">
      <c r="A2435" s="3">
        <v>41638</v>
      </c>
      <c r="B2435" s="2" t="s">
        <v>5</v>
      </c>
      <c r="C2435" s="2">
        <v>47</v>
      </c>
      <c r="G2435" s="7" t="str">
        <f t="array" ref="G2435">IF(ROWS(K$20:K2435)&gt;$F$6,"",INDEX(A$2:A$10000,SMALL(IF(ISNUMBER(MATCH($B$2:$B$10000,$E$6:$E$22,0)),ROW($C$2:$C$10000)-ROW($C$2)+1),ROWS(K$20:K2435))))</f>
        <v/>
      </c>
      <c r="H2435" s="4" t="str">
        <f t="array" ref="H2435">IF(ROWS(L$20:L2435)&gt;$F$6,"",INDEX(B$2:B$10000,SMALL(IF(ISNUMBER(MATCH($B$2:$B$10000,$E$6:$E$22,0)),ROW($C$2:$C$10000)-ROW($C$2)+1),ROWS(L$20:L2435))))</f>
        <v/>
      </c>
      <c r="I2435" s="4" t="str">
        <f t="array" ref="I2435">IF(ROWS(M$20:M2435)&gt;$F$6,"",INDEX(C$2:C$10000,SMALL(IF(ISNUMBER(MATCH($B$2:$B$10000,$E$6:$E$22,0)),ROW($C$2:$C$10000)-ROW($C$2)+1),ROWS(M$20:M2435))))</f>
        <v/>
      </c>
      <c r="K2435" s="7" t="str">
        <f t="array" ref="K2435">IF(ROWS(K$20:K2435)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2435))))</f>
        <v/>
      </c>
      <c r="L2435" s="4" t="str">
        <f t="array" ref="L2435">IF(ROWS(L$20:L2435)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2435))))</f>
        <v/>
      </c>
      <c r="M2435" s="4" t="str">
        <f t="array" ref="M2435">IF(ROWS(M$20:M2435)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2435))))</f>
        <v/>
      </c>
    </row>
    <row r="2436" spans="1:13" x14ac:dyDescent="0.25">
      <c r="A2436" s="3">
        <v>41883</v>
      </c>
      <c r="B2436" s="2" t="s">
        <v>8</v>
      </c>
      <c r="C2436" s="2">
        <v>29</v>
      </c>
      <c r="G2436" s="7" t="str">
        <f t="array" ref="G2436">IF(ROWS(K$20:K2436)&gt;$F$6,"",INDEX(A$2:A$10000,SMALL(IF(ISNUMBER(MATCH($B$2:$B$10000,$E$6:$E$22,0)),ROW($C$2:$C$10000)-ROW($C$2)+1),ROWS(K$20:K2436))))</f>
        <v/>
      </c>
      <c r="H2436" s="4" t="str">
        <f t="array" ref="H2436">IF(ROWS(L$20:L2436)&gt;$F$6,"",INDEX(B$2:B$10000,SMALL(IF(ISNUMBER(MATCH($B$2:$B$10000,$E$6:$E$22,0)),ROW($C$2:$C$10000)-ROW($C$2)+1),ROWS(L$20:L2436))))</f>
        <v/>
      </c>
      <c r="I2436" s="4" t="str">
        <f t="array" ref="I2436">IF(ROWS(M$20:M2436)&gt;$F$6,"",INDEX(C$2:C$10000,SMALL(IF(ISNUMBER(MATCH($B$2:$B$10000,$E$6:$E$22,0)),ROW($C$2:$C$10000)-ROW($C$2)+1),ROWS(M$20:M2436))))</f>
        <v/>
      </c>
      <c r="K2436" s="7" t="str">
        <f t="array" ref="K2436">IF(ROWS(K$20:K2436)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2436))))</f>
        <v/>
      </c>
      <c r="L2436" s="4" t="str">
        <f t="array" ref="L2436">IF(ROWS(L$20:L2436)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2436))))</f>
        <v/>
      </c>
      <c r="M2436" s="4" t="str">
        <f t="array" ref="M2436">IF(ROWS(M$20:M2436)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2436))))</f>
        <v/>
      </c>
    </row>
    <row r="2437" spans="1:13" x14ac:dyDescent="0.25">
      <c r="A2437" s="3">
        <v>41336</v>
      </c>
      <c r="B2437" s="2" t="s">
        <v>42</v>
      </c>
      <c r="C2437" s="2">
        <v>21</v>
      </c>
      <c r="G2437" s="7" t="str">
        <f t="array" ref="G2437">IF(ROWS(K$20:K2437)&gt;$F$6,"",INDEX(A$2:A$10000,SMALL(IF(ISNUMBER(MATCH($B$2:$B$10000,$E$6:$E$22,0)),ROW($C$2:$C$10000)-ROW($C$2)+1),ROWS(K$20:K2437))))</f>
        <v/>
      </c>
      <c r="H2437" s="4" t="str">
        <f t="array" ref="H2437">IF(ROWS(L$20:L2437)&gt;$F$6,"",INDEX(B$2:B$10000,SMALL(IF(ISNUMBER(MATCH($B$2:$B$10000,$E$6:$E$22,0)),ROW($C$2:$C$10000)-ROW($C$2)+1),ROWS(L$20:L2437))))</f>
        <v/>
      </c>
      <c r="I2437" s="4" t="str">
        <f t="array" ref="I2437">IF(ROWS(M$20:M2437)&gt;$F$6,"",INDEX(C$2:C$10000,SMALL(IF(ISNUMBER(MATCH($B$2:$B$10000,$E$6:$E$22,0)),ROW($C$2:$C$10000)-ROW($C$2)+1),ROWS(M$20:M2437))))</f>
        <v/>
      </c>
      <c r="K2437" s="7" t="str">
        <f t="array" ref="K2437">IF(ROWS(K$20:K2437)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2437))))</f>
        <v/>
      </c>
      <c r="L2437" s="4" t="str">
        <f t="array" ref="L2437">IF(ROWS(L$20:L2437)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2437))))</f>
        <v/>
      </c>
      <c r="M2437" s="4" t="str">
        <f t="array" ref="M2437">IF(ROWS(M$20:M2437)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2437))))</f>
        <v/>
      </c>
    </row>
    <row r="2438" spans="1:13" x14ac:dyDescent="0.25">
      <c r="A2438" s="3">
        <v>41596</v>
      </c>
      <c r="B2438" s="2" t="s">
        <v>3</v>
      </c>
      <c r="C2438" s="2">
        <v>34</v>
      </c>
      <c r="G2438" s="7" t="str">
        <f t="array" ref="G2438">IF(ROWS(K$20:K2438)&gt;$F$6,"",INDEX(A$2:A$10000,SMALL(IF(ISNUMBER(MATCH($B$2:$B$10000,$E$6:$E$22,0)),ROW($C$2:$C$10000)-ROW($C$2)+1),ROWS(K$20:K2438))))</f>
        <v/>
      </c>
      <c r="H2438" s="4" t="str">
        <f t="array" ref="H2438">IF(ROWS(L$20:L2438)&gt;$F$6,"",INDEX(B$2:B$10000,SMALL(IF(ISNUMBER(MATCH($B$2:$B$10000,$E$6:$E$22,0)),ROW($C$2:$C$10000)-ROW($C$2)+1),ROWS(L$20:L2438))))</f>
        <v/>
      </c>
      <c r="I2438" s="4" t="str">
        <f t="array" ref="I2438">IF(ROWS(M$20:M2438)&gt;$F$6,"",INDEX(C$2:C$10000,SMALL(IF(ISNUMBER(MATCH($B$2:$B$10000,$E$6:$E$22,0)),ROW($C$2:$C$10000)-ROW($C$2)+1),ROWS(M$20:M2438))))</f>
        <v/>
      </c>
      <c r="K2438" s="7" t="str">
        <f t="array" ref="K2438">IF(ROWS(K$20:K2438)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2438))))</f>
        <v/>
      </c>
      <c r="L2438" s="4" t="str">
        <f t="array" ref="L2438">IF(ROWS(L$20:L2438)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2438))))</f>
        <v/>
      </c>
      <c r="M2438" s="4" t="str">
        <f t="array" ref="M2438">IF(ROWS(M$20:M2438)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2438))))</f>
        <v/>
      </c>
    </row>
    <row r="2439" spans="1:13" x14ac:dyDescent="0.25">
      <c r="A2439" s="3">
        <v>41830</v>
      </c>
      <c r="B2439" s="2" t="s">
        <v>35</v>
      </c>
      <c r="C2439" s="2">
        <v>30</v>
      </c>
      <c r="G2439" s="7" t="str">
        <f t="array" ref="G2439">IF(ROWS(K$20:K2439)&gt;$F$6,"",INDEX(A$2:A$10000,SMALL(IF(ISNUMBER(MATCH($B$2:$B$10000,$E$6:$E$22,0)),ROW($C$2:$C$10000)-ROW($C$2)+1),ROWS(K$20:K2439))))</f>
        <v/>
      </c>
      <c r="H2439" s="4" t="str">
        <f t="array" ref="H2439">IF(ROWS(L$20:L2439)&gt;$F$6,"",INDEX(B$2:B$10000,SMALL(IF(ISNUMBER(MATCH($B$2:$B$10000,$E$6:$E$22,0)),ROW($C$2:$C$10000)-ROW($C$2)+1),ROWS(L$20:L2439))))</f>
        <v/>
      </c>
      <c r="I2439" s="4" t="str">
        <f t="array" ref="I2439">IF(ROWS(M$20:M2439)&gt;$F$6,"",INDEX(C$2:C$10000,SMALL(IF(ISNUMBER(MATCH($B$2:$B$10000,$E$6:$E$22,0)),ROW($C$2:$C$10000)-ROW($C$2)+1),ROWS(M$20:M2439))))</f>
        <v/>
      </c>
      <c r="K2439" s="7" t="str">
        <f t="array" ref="K2439">IF(ROWS(K$20:K2439)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2439))))</f>
        <v/>
      </c>
      <c r="L2439" s="4" t="str">
        <f t="array" ref="L2439">IF(ROWS(L$20:L2439)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2439))))</f>
        <v/>
      </c>
      <c r="M2439" s="4" t="str">
        <f t="array" ref="M2439">IF(ROWS(M$20:M2439)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2439))))</f>
        <v/>
      </c>
    </row>
    <row r="2440" spans="1:13" x14ac:dyDescent="0.25">
      <c r="A2440" s="3">
        <v>41663</v>
      </c>
      <c r="B2440" s="2" t="s">
        <v>41</v>
      </c>
      <c r="C2440" s="2">
        <v>37</v>
      </c>
      <c r="G2440" s="7" t="str">
        <f t="array" ref="G2440">IF(ROWS(K$20:K2440)&gt;$F$6,"",INDEX(A$2:A$10000,SMALL(IF(ISNUMBER(MATCH($B$2:$B$10000,$E$6:$E$22,0)),ROW($C$2:$C$10000)-ROW($C$2)+1),ROWS(K$20:K2440))))</f>
        <v/>
      </c>
      <c r="H2440" s="4" t="str">
        <f t="array" ref="H2440">IF(ROWS(L$20:L2440)&gt;$F$6,"",INDEX(B$2:B$10000,SMALL(IF(ISNUMBER(MATCH($B$2:$B$10000,$E$6:$E$22,0)),ROW($C$2:$C$10000)-ROW($C$2)+1),ROWS(L$20:L2440))))</f>
        <v/>
      </c>
      <c r="I2440" s="4" t="str">
        <f t="array" ref="I2440">IF(ROWS(M$20:M2440)&gt;$F$6,"",INDEX(C$2:C$10000,SMALL(IF(ISNUMBER(MATCH($B$2:$B$10000,$E$6:$E$22,0)),ROW($C$2:$C$10000)-ROW($C$2)+1),ROWS(M$20:M2440))))</f>
        <v/>
      </c>
      <c r="K2440" s="7" t="str">
        <f t="array" ref="K2440">IF(ROWS(K$20:K2440)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2440))))</f>
        <v/>
      </c>
      <c r="L2440" s="4" t="str">
        <f t="array" ref="L2440">IF(ROWS(L$20:L2440)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2440))))</f>
        <v/>
      </c>
      <c r="M2440" s="4" t="str">
        <f t="array" ref="M2440">IF(ROWS(M$20:M2440)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2440))))</f>
        <v/>
      </c>
    </row>
    <row r="2441" spans="1:13" x14ac:dyDescent="0.25">
      <c r="A2441" s="3">
        <v>41516</v>
      </c>
      <c r="B2441" s="2" t="s">
        <v>26</v>
      </c>
      <c r="C2441" s="2">
        <v>35</v>
      </c>
      <c r="G2441" s="7" t="str">
        <f t="array" ref="G2441">IF(ROWS(K$20:K2441)&gt;$F$6,"",INDEX(A$2:A$10000,SMALL(IF(ISNUMBER(MATCH($B$2:$B$10000,$E$6:$E$22,0)),ROW($C$2:$C$10000)-ROW($C$2)+1),ROWS(K$20:K2441))))</f>
        <v/>
      </c>
      <c r="H2441" s="4" t="str">
        <f t="array" ref="H2441">IF(ROWS(L$20:L2441)&gt;$F$6,"",INDEX(B$2:B$10000,SMALL(IF(ISNUMBER(MATCH($B$2:$B$10000,$E$6:$E$22,0)),ROW($C$2:$C$10000)-ROW($C$2)+1),ROWS(L$20:L2441))))</f>
        <v/>
      </c>
      <c r="I2441" s="4" t="str">
        <f t="array" ref="I2441">IF(ROWS(M$20:M2441)&gt;$F$6,"",INDEX(C$2:C$10000,SMALL(IF(ISNUMBER(MATCH($B$2:$B$10000,$E$6:$E$22,0)),ROW($C$2:$C$10000)-ROW($C$2)+1),ROWS(M$20:M2441))))</f>
        <v/>
      </c>
      <c r="K2441" s="7" t="str">
        <f t="array" ref="K2441">IF(ROWS(K$20:K2441)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2441))))</f>
        <v/>
      </c>
      <c r="L2441" s="4" t="str">
        <f t="array" ref="L2441">IF(ROWS(L$20:L2441)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2441))))</f>
        <v/>
      </c>
      <c r="M2441" s="4" t="str">
        <f t="array" ref="M2441">IF(ROWS(M$20:M2441)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2441))))</f>
        <v/>
      </c>
    </row>
    <row r="2442" spans="1:13" x14ac:dyDescent="0.25">
      <c r="A2442" s="3">
        <v>41998</v>
      </c>
      <c r="B2442" s="2" t="s">
        <v>42</v>
      </c>
      <c r="C2442" s="2">
        <v>16</v>
      </c>
      <c r="G2442" s="7" t="str">
        <f t="array" ref="G2442">IF(ROWS(K$20:K2442)&gt;$F$6,"",INDEX(A$2:A$10000,SMALL(IF(ISNUMBER(MATCH($B$2:$B$10000,$E$6:$E$22,0)),ROW($C$2:$C$10000)-ROW($C$2)+1),ROWS(K$20:K2442))))</f>
        <v/>
      </c>
      <c r="H2442" s="4" t="str">
        <f t="array" ref="H2442">IF(ROWS(L$20:L2442)&gt;$F$6,"",INDEX(B$2:B$10000,SMALL(IF(ISNUMBER(MATCH($B$2:$B$10000,$E$6:$E$22,0)),ROW($C$2:$C$10000)-ROW($C$2)+1),ROWS(L$20:L2442))))</f>
        <v/>
      </c>
      <c r="I2442" s="4" t="str">
        <f t="array" ref="I2442">IF(ROWS(M$20:M2442)&gt;$F$6,"",INDEX(C$2:C$10000,SMALL(IF(ISNUMBER(MATCH($B$2:$B$10000,$E$6:$E$22,0)),ROW($C$2:$C$10000)-ROW($C$2)+1),ROWS(M$20:M2442))))</f>
        <v/>
      </c>
      <c r="K2442" s="7" t="str">
        <f t="array" ref="K2442">IF(ROWS(K$20:K2442)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2442))))</f>
        <v/>
      </c>
      <c r="L2442" s="4" t="str">
        <f t="array" ref="L2442">IF(ROWS(L$20:L2442)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2442))))</f>
        <v/>
      </c>
      <c r="M2442" s="4" t="str">
        <f t="array" ref="M2442">IF(ROWS(M$20:M2442)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2442))))</f>
        <v/>
      </c>
    </row>
    <row r="2443" spans="1:13" x14ac:dyDescent="0.25">
      <c r="A2443" s="3">
        <v>41341</v>
      </c>
      <c r="B2443" s="2" t="s">
        <v>16</v>
      </c>
      <c r="C2443" s="2">
        <v>0</v>
      </c>
      <c r="G2443" s="7" t="str">
        <f t="array" ref="G2443">IF(ROWS(K$20:K2443)&gt;$F$6,"",INDEX(A$2:A$10000,SMALL(IF(ISNUMBER(MATCH($B$2:$B$10000,$E$6:$E$22,0)),ROW($C$2:$C$10000)-ROW($C$2)+1),ROWS(K$20:K2443))))</f>
        <v/>
      </c>
      <c r="H2443" s="4" t="str">
        <f t="array" ref="H2443">IF(ROWS(L$20:L2443)&gt;$F$6,"",INDEX(B$2:B$10000,SMALL(IF(ISNUMBER(MATCH($B$2:$B$10000,$E$6:$E$22,0)),ROW($C$2:$C$10000)-ROW($C$2)+1),ROWS(L$20:L2443))))</f>
        <v/>
      </c>
      <c r="I2443" s="4" t="str">
        <f t="array" ref="I2443">IF(ROWS(M$20:M2443)&gt;$F$6,"",INDEX(C$2:C$10000,SMALL(IF(ISNUMBER(MATCH($B$2:$B$10000,$E$6:$E$22,0)),ROW($C$2:$C$10000)-ROW($C$2)+1),ROWS(M$20:M2443))))</f>
        <v/>
      </c>
      <c r="K2443" s="7" t="str">
        <f t="array" ref="K2443">IF(ROWS(K$20:K2443)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2443))))</f>
        <v/>
      </c>
      <c r="L2443" s="4" t="str">
        <f t="array" ref="L2443">IF(ROWS(L$20:L2443)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2443))))</f>
        <v/>
      </c>
      <c r="M2443" s="4" t="str">
        <f t="array" ref="M2443">IF(ROWS(M$20:M2443)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2443))))</f>
        <v/>
      </c>
    </row>
    <row r="2444" spans="1:13" x14ac:dyDescent="0.25">
      <c r="A2444" s="3">
        <v>41711</v>
      </c>
      <c r="B2444" s="2" t="s">
        <v>14</v>
      </c>
      <c r="C2444" s="2">
        <v>40</v>
      </c>
      <c r="G2444" s="7" t="str">
        <f t="array" ref="G2444">IF(ROWS(K$20:K2444)&gt;$F$6,"",INDEX(A$2:A$10000,SMALL(IF(ISNUMBER(MATCH($B$2:$B$10000,$E$6:$E$22,0)),ROW($C$2:$C$10000)-ROW($C$2)+1),ROWS(K$20:K2444))))</f>
        <v/>
      </c>
      <c r="H2444" s="4" t="str">
        <f t="array" ref="H2444">IF(ROWS(L$20:L2444)&gt;$F$6,"",INDEX(B$2:B$10000,SMALL(IF(ISNUMBER(MATCH($B$2:$B$10000,$E$6:$E$22,0)),ROW($C$2:$C$10000)-ROW($C$2)+1),ROWS(L$20:L2444))))</f>
        <v/>
      </c>
      <c r="I2444" s="4" t="str">
        <f t="array" ref="I2444">IF(ROWS(M$20:M2444)&gt;$F$6,"",INDEX(C$2:C$10000,SMALL(IF(ISNUMBER(MATCH($B$2:$B$10000,$E$6:$E$22,0)),ROW($C$2:$C$10000)-ROW($C$2)+1),ROWS(M$20:M2444))))</f>
        <v/>
      </c>
      <c r="K2444" s="7" t="str">
        <f t="array" ref="K2444">IF(ROWS(K$20:K2444)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2444))))</f>
        <v/>
      </c>
      <c r="L2444" s="4" t="str">
        <f t="array" ref="L2444">IF(ROWS(L$20:L2444)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2444))))</f>
        <v/>
      </c>
      <c r="M2444" s="4" t="str">
        <f t="array" ref="M2444">IF(ROWS(M$20:M2444)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2444))))</f>
        <v/>
      </c>
    </row>
    <row r="2445" spans="1:13" x14ac:dyDescent="0.25">
      <c r="A2445" s="3">
        <v>41532</v>
      </c>
      <c r="B2445" s="2" t="s">
        <v>49</v>
      </c>
      <c r="C2445" s="2">
        <v>9</v>
      </c>
      <c r="G2445" s="7" t="str">
        <f t="array" ref="G2445">IF(ROWS(K$20:K2445)&gt;$F$6,"",INDEX(A$2:A$10000,SMALL(IF(ISNUMBER(MATCH($B$2:$B$10000,$E$6:$E$22,0)),ROW($C$2:$C$10000)-ROW($C$2)+1),ROWS(K$20:K2445))))</f>
        <v/>
      </c>
      <c r="H2445" s="4" t="str">
        <f t="array" ref="H2445">IF(ROWS(L$20:L2445)&gt;$F$6,"",INDEX(B$2:B$10000,SMALL(IF(ISNUMBER(MATCH($B$2:$B$10000,$E$6:$E$22,0)),ROW($C$2:$C$10000)-ROW($C$2)+1),ROWS(L$20:L2445))))</f>
        <v/>
      </c>
      <c r="I2445" s="4" t="str">
        <f t="array" ref="I2445">IF(ROWS(M$20:M2445)&gt;$F$6,"",INDEX(C$2:C$10000,SMALL(IF(ISNUMBER(MATCH($B$2:$B$10000,$E$6:$E$22,0)),ROW($C$2:$C$10000)-ROW($C$2)+1),ROWS(M$20:M2445))))</f>
        <v/>
      </c>
      <c r="K2445" s="7" t="str">
        <f t="array" ref="K2445">IF(ROWS(K$20:K2445)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2445))))</f>
        <v/>
      </c>
      <c r="L2445" s="4" t="str">
        <f t="array" ref="L2445">IF(ROWS(L$20:L2445)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2445))))</f>
        <v/>
      </c>
      <c r="M2445" s="4" t="str">
        <f t="array" ref="M2445">IF(ROWS(M$20:M2445)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2445))))</f>
        <v/>
      </c>
    </row>
    <row r="2446" spans="1:13" x14ac:dyDescent="0.25">
      <c r="A2446" s="3">
        <v>41600</v>
      </c>
      <c r="B2446" s="2" t="s">
        <v>47</v>
      </c>
      <c r="C2446" s="2">
        <v>24</v>
      </c>
      <c r="G2446" s="7" t="str">
        <f t="array" ref="G2446">IF(ROWS(K$20:K2446)&gt;$F$6,"",INDEX(A$2:A$10000,SMALL(IF(ISNUMBER(MATCH($B$2:$B$10000,$E$6:$E$22,0)),ROW($C$2:$C$10000)-ROW($C$2)+1),ROWS(K$20:K2446))))</f>
        <v/>
      </c>
      <c r="H2446" s="4" t="str">
        <f t="array" ref="H2446">IF(ROWS(L$20:L2446)&gt;$F$6,"",INDEX(B$2:B$10000,SMALL(IF(ISNUMBER(MATCH($B$2:$B$10000,$E$6:$E$22,0)),ROW($C$2:$C$10000)-ROW($C$2)+1),ROWS(L$20:L2446))))</f>
        <v/>
      </c>
      <c r="I2446" s="4" t="str">
        <f t="array" ref="I2446">IF(ROWS(M$20:M2446)&gt;$F$6,"",INDEX(C$2:C$10000,SMALL(IF(ISNUMBER(MATCH($B$2:$B$10000,$E$6:$E$22,0)),ROW($C$2:$C$10000)-ROW($C$2)+1),ROWS(M$20:M2446))))</f>
        <v/>
      </c>
      <c r="K2446" s="7" t="str">
        <f t="array" ref="K2446">IF(ROWS(K$20:K2446)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2446))))</f>
        <v/>
      </c>
      <c r="L2446" s="4" t="str">
        <f t="array" ref="L2446">IF(ROWS(L$20:L2446)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2446))))</f>
        <v/>
      </c>
      <c r="M2446" s="4" t="str">
        <f t="array" ref="M2446">IF(ROWS(M$20:M2446)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2446))))</f>
        <v/>
      </c>
    </row>
    <row r="2447" spans="1:13" x14ac:dyDescent="0.25">
      <c r="A2447" s="3">
        <v>41911</v>
      </c>
      <c r="B2447" s="2" t="s">
        <v>25</v>
      </c>
      <c r="C2447" s="2">
        <v>18</v>
      </c>
      <c r="G2447" s="7" t="str">
        <f t="array" ref="G2447">IF(ROWS(K$20:K2447)&gt;$F$6,"",INDEX(A$2:A$10000,SMALL(IF(ISNUMBER(MATCH($B$2:$B$10000,$E$6:$E$22,0)),ROW($C$2:$C$10000)-ROW($C$2)+1),ROWS(K$20:K2447))))</f>
        <v/>
      </c>
      <c r="H2447" s="4" t="str">
        <f t="array" ref="H2447">IF(ROWS(L$20:L2447)&gt;$F$6,"",INDEX(B$2:B$10000,SMALL(IF(ISNUMBER(MATCH($B$2:$B$10000,$E$6:$E$22,0)),ROW($C$2:$C$10000)-ROW($C$2)+1),ROWS(L$20:L2447))))</f>
        <v/>
      </c>
      <c r="I2447" s="4" t="str">
        <f t="array" ref="I2447">IF(ROWS(M$20:M2447)&gt;$F$6,"",INDEX(C$2:C$10000,SMALL(IF(ISNUMBER(MATCH($B$2:$B$10000,$E$6:$E$22,0)),ROW($C$2:$C$10000)-ROW($C$2)+1),ROWS(M$20:M2447))))</f>
        <v/>
      </c>
      <c r="K2447" s="7" t="str">
        <f t="array" ref="K2447">IF(ROWS(K$20:K2447)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2447))))</f>
        <v/>
      </c>
      <c r="L2447" s="4" t="str">
        <f t="array" ref="L2447">IF(ROWS(L$20:L2447)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2447))))</f>
        <v/>
      </c>
      <c r="M2447" s="4" t="str">
        <f t="array" ref="M2447">IF(ROWS(M$20:M2447)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2447))))</f>
        <v/>
      </c>
    </row>
    <row r="2448" spans="1:13" x14ac:dyDescent="0.25">
      <c r="A2448" s="3">
        <v>41556</v>
      </c>
      <c r="B2448" s="2" t="s">
        <v>28</v>
      </c>
      <c r="C2448" s="2">
        <v>36</v>
      </c>
      <c r="G2448" s="7" t="str">
        <f t="array" ref="G2448">IF(ROWS(K$20:K2448)&gt;$F$6,"",INDEX(A$2:A$10000,SMALL(IF(ISNUMBER(MATCH($B$2:$B$10000,$E$6:$E$22,0)),ROW($C$2:$C$10000)-ROW($C$2)+1),ROWS(K$20:K2448))))</f>
        <v/>
      </c>
      <c r="H2448" s="4" t="str">
        <f t="array" ref="H2448">IF(ROWS(L$20:L2448)&gt;$F$6,"",INDEX(B$2:B$10000,SMALL(IF(ISNUMBER(MATCH($B$2:$B$10000,$E$6:$E$22,0)),ROW($C$2:$C$10000)-ROW($C$2)+1),ROWS(L$20:L2448))))</f>
        <v/>
      </c>
      <c r="I2448" s="4" t="str">
        <f t="array" ref="I2448">IF(ROWS(M$20:M2448)&gt;$F$6,"",INDEX(C$2:C$10000,SMALL(IF(ISNUMBER(MATCH($B$2:$B$10000,$E$6:$E$22,0)),ROW($C$2:$C$10000)-ROW($C$2)+1),ROWS(M$20:M2448))))</f>
        <v/>
      </c>
      <c r="K2448" s="7" t="str">
        <f t="array" ref="K2448">IF(ROWS(K$20:K2448)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2448))))</f>
        <v/>
      </c>
      <c r="L2448" s="4" t="str">
        <f t="array" ref="L2448">IF(ROWS(L$20:L2448)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2448))))</f>
        <v/>
      </c>
      <c r="M2448" s="4" t="str">
        <f t="array" ref="M2448">IF(ROWS(M$20:M2448)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2448))))</f>
        <v/>
      </c>
    </row>
    <row r="2449" spans="1:13" x14ac:dyDescent="0.25">
      <c r="A2449" s="3">
        <v>41926</v>
      </c>
      <c r="B2449" s="2" t="s">
        <v>35</v>
      </c>
      <c r="C2449" s="2">
        <v>48</v>
      </c>
      <c r="G2449" s="7" t="str">
        <f t="array" ref="G2449">IF(ROWS(K$20:K2449)&gt;$F$6,"",INDEX(A$2:A$10000,SMALL(IF(ISNUMBER(MATCH($B$2:$B$10000,$E$6:$E$22,0)),ROW($C$2:$C$10000)-ROW($C$2)+1),ROWS(K$20:K2449))))</f>
        <v/>
      </c>
      <c r="H2449" s="4" t="str">
        <f t="array" ref="H2449">IF(ROWS(L$20:L2449)&gt;$F$6,"",INDEX(B$2:B$10000,SMALL(IF(ISNUMBER(MATCH($B$2:$B$10000,$E$6:$E$22,0)),ROW($C$2:$C$10000)-ROW($C$2)+1),ROWS(L$20:L2449))))</f>
        <v/>
      </c>
      <c r="I2449" s="4" t="str">
        <f t="array" ref="I2449">IF(ROWS(M$20:M2449)&gt;$F$6,"",INDEX(C$2:C$10000,SMALL(IF(ISNUMBER(MATCH($B$2:$B$10000,$E$6:$E$22,0)),ROW($C$2:$C$10000)-ROW($C$2)+1),ROWS(M$20:M2449))))</f>
        <v/>
      </c>
      <c r="K2449" s="7" t="str">
        <f t="array" ref="K2449">IF(ROWS(K$20:K2449)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2449))))</f>
        <v/>
      </c>
      <c r="L2449" s="4" t="str">
        <f t="array" ref="L2449">IF(ROWS(L$20:L2449)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2449))))</f>
        <v/>
      </c>
      <c r="M2449" s="4" t="str">
        <f t="array" ref="M2449">IF(ROWS(M$20:M2449)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2449))))</f>
        <v/>
      </c>
    </row>
    <row r="2450" spans="1:13" x14ac:dyDescent="0.25">
      <c r="A2450" s="3">
        <v>41976</v>
      </c>
      <c r="B2450" s="2" t="s">
        <v>49</v>
      </c>
      <c r="C2450" s="2">
        <v>56</v>
      </c>
      <c r="G2450" s="7" t="str">
        <f t="array" ref="G2450">IF(ROWS(K$20:K2450)&gt;$F$6,"",INDEX(A$2:A$10000,SMALL(IF(ISNUMBER(MATCH($B$2:$B$10000,$E$6:$E$22,0)),ROW($C$2:$C$10000)-ROW($C$2)+1),ROWS(K$20:K2450))))</f>
        <v/>
      </c>
      <c r="H2450" s="4" t="str">
        <f t="array" ref="H2450">IF(ROWS(L$20:L2450)&gt;$F$6,"",INDEX(B$2:B$10000,SMALL(IF(ISNUMBER(MATCH($B$2:$B$10000,$E$6:$E$22,0)),ROW($C$2:$C$10000)-ROW($C$2)+1),ROWS(L$20:L2450))))</f>
        <v/>
      </c>
      <c r="I2450" s="4" t="str">
        <f t="array" ref="I2450">IF(ROWS(M$20:M2450)&gt;$F$6,"",INDEX(C$2:C$10000,SMALL(IF(ISNUMBER(MATCH($B$2:$B$10000,$E$6:$E$22,0)),ROW($C$2:$C$10000)-ROW($C$2)+1),ROWS(M$20:M2450))))</f>
        <v/>
      </c>
      <c r="K2450" s="7" t="str">
        <f t="array" ref="K2450">IF(ROWS(K$20:K2450)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2450))))</f>
        <v/>
      </c>
      <c r="L2450" s="4" t="str">
        <f t="array" ref="L2450">IF(ROWS(L$20:L2450)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2450))))</f>
        <v/>
      </c>
      <c r="M2450" s="4" t="str">
        <f t="array" ref="M2450">IF(ROWS(M$20:M2450)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2450))))</f>
        <v/>
      </c>
    </row>
    <row r="2451" spans="1:13" x14ac:dyDescent="0.25">
      <c r="A2451" s="3">
        <v>41817</v>
      </c>
      <c r="B2451" s="2" t="s">
        <v>35</v>
      </c>
      <c r="C2451" s="2">
        <v>24</v>
      </c>
      <c r="G2451" s="7" t="str">
        <f t="array" ref="G2451">IF(ROWS(K$20:K2451)&gt;$F$6,"",INDEX(A$2:A$10000,SMALL(IF(ISNUMBER(MATCH($B$2:$B$10000,$E$6:$E$22,0)),ROW($C$2:$C$10000)-ROW($C$2)+1),ROWS(K$20:K2451))))</f>
        <v/>
      </c>
      <c r="H2451" s="4" t="str">
        <f t="array" ref="H2451">IF(ROWS(L$20:L2451)&gt;$F$6,"",INDEX(B$2:B$10000,SMALL(IF(ISNUMBER(MATCH($B$2:$B$10000,$E$6:$E$22,0)),ROW($C$2:$C$10000)-ROW($C$2)+1),ROWS(L$20:L2451))))</f>
        <v/>
      </c>
      <c r="I2451" s="4" t="str">
        <f t="array" ref="I2451">IF(ROWS(M$20:M2451)&gt;$F$6,"",INDEX(C$2:C$10000,SMALL(IF(ISNUMBER(MATCH($B$2:$B$10000,$E$6:$E$22,0)),ROW($C$2:$C$10000)-ROW($C$2)+1),ROWS(M$20:M2451))))</f>
        <v/>
      </c>
      <c r="K2451" s="7" t="str">
        <f t="array" ref="K2451">IF(ROWS(K$20:K2451)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2451))))</f>
        <v/>
      </c>
      <c r="L2451" s="4" t="str">
        <f t="array" ref="L2451">IF(ROWS(L$20:L2451)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2451))))</f>
        <v/>
      </c>
      <c r="M2451" s="4" t="str">
        <f t="array" ref="M2451">IF(ROWS(M$20:M2451)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2451))))</f>
        <v/>
      </c>
    </row>
    <row r="2452" spans="1:13" x14ac:dyDescent="0.25">
      <c r="A2452" s="3">
        <v>41896</v>
      </c>
      <c r="B2452" s="2" t="s">
        <v>9</v>
      </c>
      <c r="C2452" s="2">
        <v>16</v>
      </c>
      <c r="G2452" s="7" t="str">
        <f t="array" ref="G2452">IF(ROWS(K$20:K2452)&gt;$F$6,"",INDEX(A$2:A$10000,SMALL(IF(ISNUMBER(MATCH($B$2:$B$10000,$E$6:$E$22,0)),ROW($C$2:$C$10000)-ROW($C$2)+1),ROWS(K$20:K2452))))</f>
        <v/>
      </c>
      <c r="H2452" s="4" t="str">
        <f t="array" ref="H2452">IF(ROWS(L$20:L2452)&gt;$F$6,"",INDEX(B$2:B$10000,SMALL(IF(ISNUMBER(MATCH($B$2:$B$10000,$E$6:$E$22,0)),ROW($C$2:$C$10000)-ROW($C$2)+1),ROWS(L$20:L2452))))</f>
        <v/>
      </c>
      <c r="I2452" s="4" t="str">
        <f t="array" ref="I2452">IF(ROWS(M$20:M2452)&gt;$F$6,"",INDEX(C$2:C$10000,SMALL(IF(ISNUMBER(MATCH($B$2:$B$10000,$E$6:$E$22,0)),ROW($C$2:$C$10000)-ROW($C$2)+1),ROWS(M$20:M2452))))</f>
        <v/>
      </c>
      <c r="K2452" s="7" t="str">
        <f t="array" ref="K2452">IF(ROWS(K$20:K2452)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2452))))</f>
        <v/>
      </c>
      <c r="L2452" s="4" t="str">
        <f t="array" ref="L2452">IF(ROWS(L$20:L2452)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2452))))</f>
        <v/>
      </c>
      <c r="M2452" s="4" t="str">
        <f t="array" ref="M2452">IF(ROWS(M$20:M2452)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2452))))</f>
        <v/>
      </c>
    </row>
    <row r="2453" spans="1:13" x14ac:dyDescent="0.25">
      <c r="A2453" s="3">
        <v>41489</v>
      </c>
      <c r="B2453" s="2" t="s">
        <v>4</v>
      </c>
      <c r="C2453" s="2">
        <v>11</v>
      </c>
      <c r="G2453" s="7" t="str">
        <f t="array" ref="G2453">IF(ROWS(K$20:K2453)&gt;$F$6,"",INDEX(A$2:A$10000,SMALL(IF(ISNUMBER(MATCH($B$2:$B$10000,$E$6:$E$22,0)),ROW($C$2:$C$10000)-ROW($C$2)+1),ROWS(K$20:K2453))))</f>
        <v/>
      </c>
      <c r="H2453" s="4" t="str">
        <f t="array" ref="H2453">IF(ROWS(L$20:L2453)&gt;$F$6,"",INDEX(B$2:B$10000,SMALL(IF(ISNUMBER(MATCH($B$2:$B$10000,$E$6:$E$22,0)),ROW($C$2:$C$10000)-ROW($C$2)+1),ROWS(L$20:L2453))))</f>
        <v/>
      </c>
      <c r="I2453" s="4" t="str">
        <f t="array" ref="I2453">IF(ROWS(M$20:M2453)&gt;$F$6,"",INDEX(C$2:C$10000,SMALL(IF(ISNUMBER(MATCH($B$2:$B$10000,$E$6:$E$22,0)),ROW($C$2:$C$10000)-ROW($C$2)+1),ROWS(M$20:M2453))))</f>
        <v/>
      </c>
      <c r="K2453" s="7" t="str">
        <f t="array" ref="K2453">IF(ROWS(K$20:K2453)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2453))))</f>
        <v/>
      </c>
      <c r="L2453" s="4" t="str">
        <f t="array" ref="L2453">IF(ROWS(L$20:L2453)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2453))))</f>
        <v/>
      </c>
      <c r="M2453" s="4" t="str">
        <f t="array" ref="M2453">IF(ROWS(M$20:M2453)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2453))))</f>
        <v/>
      </c>
    </row>
    <row r="2454" spans="1:13" x14ac:dyDescent="0.25">
      <c r="A2454" s="3">
        <v>41577</v>
      </c>
      <c r="B2454" s="2" t="s">
        <v>23</v>
      </c>
      <c r="C2454" s="2">
        <v>17</v>
      </c>
      <c r="G2454" s="7" t="str">
        <f t="array" ref="G2454">IF(ROWS(K$20:K2454)&gt;$F$6,"",INDEX(A$2:A$10000,SMALL(IF(ISNUMBER(MATCH($B$2:$B$10000,$E$6:$E$22,0)),ROW($C$2:$C$10000)-ROW($C$2)+1),ROWS(K$20:K2454))))</f>
        <v/>
      </c>
      <c r="H2454" s="4" t="str">
        <f t="array" ref="H2454">IF(ROWS(L$20:L2454)&gt;$F$6,"",INDEX(B$2:B$10000,SMALL(IF(ISNUMBER(MATCH($B$2:$B$10000,$E$6:$E$22,0)),ROW($C$2:$C$10000)-ROW($C$2)+1),ROWS(L$20:L2454))))</f>
        <v/>
      </c>
      <c r="I2454" s="4" t="str">
        <f t="array" ref="I2454">IF(ROWS(M$20:M2454)&gt;$F$6,"",INDEX(C$2:C$10000,SMALL(IF(ISNUMBER(MATCH($B$2:$B$10000,$E$6:$E$22,0)),ROW($C$2:$C$10000)-ROW($C$2)+1),ROWS(M$20:M2454))))</f>
        <v/>
      </c>
      <c r="K2454" s="7" t="str">
        <f t="array" ref="K2454">IF(ROWS(K$20:K2454)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2454))))</f>
        <v/>
      </c>
      <c r="L2454" s="4" t="str">
        <f t="array" ref="L2454">IF(ROWS(L$20:L2454)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2454))))</f>
        <v/>
      </c>
      <c r="M2454" s="4" t="str">
        <f t="array" ref="M2454">IF(ROWS(M$20:M2454)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2454))))</f>
        <v/>
      </c>
    </row>
    <row r="2455" spans="1:13" x14ac:dyDescent="0.25">
      <c r="A2455" s="3">
        <v>41873</v>
      </c>
      <c r="B2455" s="2" t="s">
        <v>45</v>
      </c>
      <c r="C2455" s="2">
        <v>19</v>
      </c>
      <c r="G2455" s="7" t="str">
        <f t="array" ref="G2455">IF(ROWS(K$20:K2455)&gt;$F$6,"",INDEX(A$2:A$10000,SMALL(IF(ISNUMBER(MATCH($B$2:$B$10000,$E$6:$E$22,0)),ROW($C$2:$C$10000)-ROW($C$2)+1),ROWS(K$20:K2455))))</f>
        <v/>
      </c>
      <c r="H2455" s="4" t="str">
        <f t="array" ref="H2455">IF(ROWS(L$20:L2455)&gt;$F$6,"",INDEX(B$2:B$10000,SMALL(IF(ISNUMBER(MATCH($B$2:$B$10000,$E$6:$E$22,0)),ROW($C$2:$C$10000)-ROW($C$2)+1),ROWS(L$20:L2455))))</f>
        <v/>
      </c>
      <c r="I2455" s="4" t="str">
        <f t="array" ref="I2455">IF(ROWS(M$20:M2455)&gt;$F$6,"",INDEX(C$2:C$10000,SMALL(IF(ISNUMBER(MATCH($B$2:$B$10000,$E$6:$E$22,0)),ROW($C$2:$C$10000)-ROW($C$2)+1),ROWS(M$20:M2455))))</f>
        <v/>
      </c>
      <c r="K2455" s="7" t="str">
        <f t="array" ref="K2455">IF(ROWS(K$20:K2455)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2455))))</f>
        <v/>
      </c>
      <c r="L2455" s="4" t="str">
        <f t="array" ref="L2455">IF(ROWS(L$20:L2455)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2455))))</f>
        <v/>
      </c>
      <c r="M2455" s="4" t="str">
        <f t="array" ref="M2455">IF(ROWS(M$20:M2455)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2455))))</f>
        <v/>
      </c>
    </row>
    <row r="2456" spans="1:13" x14ac:dyDescent="0.25">
      <c r="A2456" s="3">
        <v>41954</v>
      </c>
      <c r="B2456" s="2" t="s">
        <v>13</v>
      </c>
      <c r="C2456" s="2">
        <v>21</v>
      </c>
      <c r="G2456" s="7" t="str">
        <f t="array" ref="G2456">IF(ROWS(K$20:K2456)&gt;$F$6,"",INDEX(A$2:A$10000,SMALL(IF(ISNUMBER(MATCH($B$2:$B$10000,$E$6:$E$22,0)),ROW($C$2:$C$10000)-ROW($C$2)+1),ROWS(K$20:K2456))))</f>
        <v/>
      </c>
      <c r="H2456" s="4" t="str">
        <f t="array" ref="H2456">IF(ROWS(L$20:L2456)&gt;$F$6,"",INDEX(B$2:B$10000,SMALL(IF(ISNUMBER(MATCH($B$2:$B$10000,$E$6:$E$22,0)),ROW($C$2:$C$10000)-ROW($C$2)+1),ROWS(L$20:L2456))))</f>
        <v/>
      </c>
      <c r="I2456" s="4" t="str">
        <f t="array" ref="I2456">IF(ROWS(M$20:M2456)&gt;$F$6,"",INDEX(C$2:C$10000,SMALL(IF(ISNUMBER(MATCH($B$2:$B$10000,$E$6:$E$22,0)),ROW($C$2:$C$10000)-ROW($C$2)+1),ROWS(M$20:M2456))))</f>
        <v/>
      </c>
      <c r="K2456" s="7" t="str">
        <f t="array" ref="K2456">IF(ROWS(K$20:K2456)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2456))))</f>
        <v/>
      </c>
      <c r="L2456" s="4" t="str">
        <f t="array" ref="L2456">IF(ROWS(L$20:L2456)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2456))))</f>
        <v/>
      </c>
      <c r="M2456" s="4" t="str">
        <f t="array" ref="M2456">IF(ROWS(M$20:M2456)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2456))))</f>
        <v/>
      </c>
    </row>
    <row r="2457" spans="1:13" x14ac:dyDescent="0.25">
      <c r="A2457" s="3">
        <v>41882</v>
      </c>
      <c r="B2457" s="2" t="s">
        <v>10</v>
      </c>
      <c r="C2457" s="2">
        <v>33</v>
      </c>
      <c r="G2457" s="7" t="str">
        <f t="array" ref="G2457">IF(ROWS(K$20:K2457)&gt;$F$6,"",INDEX(A$2:A$10000,SMALL(IF(ISNUMBER(MATCH($B$2:$B$10000,$E$6:$E$22,0)),ROW($C$2:$C$10000)-ROW($C$2)+1),ROWS(K$20:K2457))))</f>
        <v/>
      </c>
      <c r="H2457" s="4" t="str">
        <f t="array" ref="H2457">IF(ROWS(L$20:L2457)&gt;$F$6,"",INDEX(B$2:B$10000,SMALL(IF(ISNUMBER(MATCH($B$2:$B$10000,$E$6:$E$22,0)),ROW($C$2:$C$10000)-ROW($C$2)+1),ROWS(L$20:L2457))))</f>
        <v/>
      </c>
      <c r="I2457" s="4" t="str">
        <f t="array" ref="I2457">IF(ROWS(M$20:M2457)&gt;$F$6,"",INDEX(C$2:C$10000,SMALL(IF(ISNUMBER(MATCH($B$2:$B$10000,$E$6:$E$22,0)),ROW($C$2:$C$10000)-ROW($C$2)+1),ROWS(M$20:M2457))))</f>
        <v/>
      </c>
      <c r="K2457" s="7" t="str">
        <f t="array" ref="K2457">IF(ROWS(K$20:K2457)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2457))))</f>
        <v/>
      </c>
      <c r="L2457" s="4" t="str">
        <f t="array" ref="L2457">IF(ROWS(L$20:L2457)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2457))))</f>
        <v/>
      </c>
      <c r="M2457" s="4" t="str">
        <f t="array" ref="M2457">IF(ROWS(M$20:M2457)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2457))))</f>
        <v/>
      </c>
    </row>
    <row r="2458" spans="1:13" x14ac:dyDescent="0.25">
      <c r="A2458" s="3">
        <v>41958</v>
      </c>
      <c r="B2458" s="2" t="s">
        <v>4</v>
      </c>
      <c r="C2458" s="2">
        <v>0</v>
      </c>
      <c r="G2458" s="7" t="str">
        <f t="array" ref="G2458">IF(ROWS(K$20:K2458)&gt;$F$6,"",INDEX(A$2:A$10000,SMALL(IF(ISNUMBER(MATCH($B$2:$B$10000,$E$6:$E$22,0)),ROW($C$2:$C$10000)-ROW($C$2)+1),ROWS(K$20:K2458))))</f>
        <v/>
      </c>
      <c r="H2458" s="4" t="str">
        <f t="array" ref="H2458">IF(ROWS(L$20:L2458)&gt;$F$6,"",INDEX(B$2:B$10000,SMALL(IF(ISNUMBER(MATCH($B$2:$B$10000,$E$6:$E$22,0)),ROW($C$2:$C$10000)-ROW($C$2)+1),ROWS(L$20:L2458))))</f>
        <v/>
      </c>
      <c r="I2458" s="4" t="str">
        <f t="array" ref="I2458">IF(ROWS(M$20:M2458)&gt;$F$6,"",INDEX(C$2:C$10000,SMALL(IF(ISNUMBER(MATCH($B$2:$B$10000,$E$6:$E$22,0)),ROW($C$2:$C$10000)-ROW($C$2)+1),ROWS(M$20:M2458))))</f>
        <v/>
      </c>
      <c r="K2458" s="7" t="str">
        <f t="array" ref="K2458">IF(ROWS(K$20:K2458)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2458))))</f>
        <v/>
      </c>
      <c r="L2458" s="4" t="str">
        <f t="array" ref="L2458">IF(ROWS(L$20:L2458)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2458))))</f>
        <v/>
      </c>
      <c r="M2458" s="4" t="str">
        <f t="array" ref="M2458">IF(ROWS(M$20:M2458)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2458))))</f>
        <v/>
      </c>
    </row>
    <row r="2459" spans="1:13" x14ac:dyDescent="0.25">
      <c r="A2459" s="3">
        <v>41298</v>
      </c>
      <c r="B2459" s="2" t="s">
        <v>51</v>
      </c>
      <c r="C2459" s="2">
        <v>12</v>
      </c>
      <c r="G2459" s="7" t="str">
        <f t="array" ref="G2459">IF(ROWS(K$20:K2459)&gt;$F$6,"",INDEX(A$2:A$10000,SMALL(IF(ISNUMBER(MATCH($B$2:$B$10000,$E$6:$E$22,0)),ROW($C$2:$C$10000)-ROW($C$2)+1),ROWS(K$20:K2459))))</f>
        <v/>
      </c>
      <c r="H2459" s="4" t="str">
        <f t="array" ref="H2459">IF(ROWS(L$20:L2459)&gt;$F$6,"",INDEX(B$2:B$10000,SMALL(IF(ISNUMBER(MATCH($B$2:$B$10000,$E$6:$E$22,0)),ROW($C$2:$C$10000)-ROW($C$2)+1),ROWS(L$20:L2459))))</f>
        <v/>
      </c>
      <c r="I2459" s="4" t="str">
        <f t="array" ref="I2459">IF(ROWS(M$20:M2459)&gt;$F$6,"",INDEX(C$2:C$10000,SMALL(IF(ISNUMBER(MATCH($B$2:$B$10000,$E$6:$E$22,0)),ROW($C$2:$C$10000)-ROW($C$2)+1),ROWS(M$20:M2459))))</f>
        <v/>
      </c>
      <c r="K2459" s="7" t="str">
        <f t="array" ref="K2459">IF(ROWS(K$20:K2459)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2459))))</f>
        <v/>
      </c>
      <c r="L2459" s="4" t="str">
        <f t="array" ref="L2459">IF(ROWS(L$20:L2459)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2459))))</f>
        <v/>
      </c>
      <c r="M2459" s="4" t="str">
        <f t="array" ref="M2459">IF(ROWS(M$20:M2459)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2459))))</f>
        <v/>
      </c>
    </row>
    <row r="2460" spans="1:13" x14ac:dyDescent="0.25">
      <c r="A2460" s="3">
        <v>41281</v>
      </c>
      <c r="B2460" s="2" t="s">
        <v>47</v>
      </c>
      <c r="C2460" s="2">
        <v>9</v>
      </c>
      <c r="G2460" s="7" t="str">
        <f t="array" ref="G2460">IF(ROWS(K$20:K2460)&gt;$F$6,"",INDEX(A$2:A$10000,SMALL(IF(ISNUMBER(MATCH($B$2:$B$10000,$E$6:$E$22,0)),ROW($C$2:$C$10000)-ROW($C$2)+1),ROWS(K$20:K2460))))</f>
        <v/>
      </c>
      <c r="H2460" s="4" t="str">
        <f t="array" ref="H2460">IF(ROWS(L$20:L2460)&gt;$F$6,"",INDEX(B$2:B$10000,SMALL(IF(ISNUMBER(MATCH($B$2:$B$10000,$E$6:$E$22,0)),ROW($C$2:$C$10000)-ROW($C$2)+1),ROWS(L$20:L2460))))</f>
        <v/>
      </c>
      <c r="I2460" s="4" t="str">
        <f t="array" ref="I2460">IF(ROWS(M$20:M2460)&gt;$F$6,"",INDEX(C$2:C$10000,SMALL(IF(ISNUMBER(MATCH($B$2:$B$10000,$E$6:$E$22,0)),ROW($C$2:$C$10000)-ROW($C$2)+1),ROWS(M$20:M2460))))</f>
        <v/>
      </c>
      <c r="K2460" s="7" t="str">
        <f t="array" ref="K2460">IF(ROWS(K$20:K2460)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2460))))</f>
        <v/>
      </c>
      <c r="L2460" s="4" t="str">
        <f t="array" ref="L2460">IF(ROWS(L$20:L2460)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2460))))</f>
        <v/>
      </c>
      <c r="M2460" s="4" t="str">
        <f t="array" ref="M2460">IF(ROWS(M$20:M2460)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2460))))</f>
        <v/>
      </c>
    </row>
    <row r="2461" spans="1:13" x14ac:dyDescent="0.25">
      <c r="A2461" s="3">
        <v>41801</v>
      </c>
      <c r="B2461" s="2" t="s">
        <v>32</v>
      </c>
      <c r="C2461" s="2">
        <v>29</v>
      </c>
      <c r="G2461" s="7" t="str">
        <f t="array" ref="G2461">IF(ROWS(K$20:K2461)&gt;$F$6,"",INDEX(A$2:A$10000,SMALL(IF(ISNUMBER(MATCH($B$2:$B$10000,$E$6:$E$22,0)),ROW($C$2:$C$10000)-ROW($C$2)+1),ROWS(K$20:K2461))))</f>
        <v/>
      </c>
      <c r="H2461" s="4" t="str">
        <f t="array" ref="H2461">IF(ROWS(L$20:L2461)&gt;$F$6,"",INDEX(B$2:B$10000,SMALL(IF(ISNUMBER(MATCH($B$2:$B$10000,$E$6:$E$22,0)),ROW($C$2:$C$10000)-ROW($C$2)+1),ROWS(L$20:L2461))))</f>
        <v/>
      </c>
      <c r="I2461" s="4" t="str">
        <f t="array" ref="I2461">IF(ROWS(M$20:M2461)&gt;$F$6,"",INDEX(C$2:C$10000,SMALL(IF(ISNUMBER(MATCH($B$2:$B$10000,$E$6:$E$22,0)),ROW($C$2:$C$10000)-ROW($C$2)+1),ROWS(M$20:M2461))))</f>
        <v/>
      </c>
      <c r="K2461" s="7" t="str">
        <f t="array" ref="K2461">IF(ROWS(K$20:K2461)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2461))))</f>
        <v/>
      </c>
      <c r="L2461" s="4" t="str">
        <f t="array" ref="L2461">IF(ROWS(L$20:L2461)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2461))))</f>
        <v/>
      </c>
      <c r="M2461" s="4" t="str">
        <f t="array" ref="M2461">IF(ROWS(M$20:M2461)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2461))))</f>
        <v/>
      </c>
    </row>
    <row r="2462" spans="1:13" x14ac:dyDescent="0.25">
      <c r="A2462" s="3">
        <v>41680</v>
      </c>
      <c r="B2462" s="2" t="s">
        <v>40</v>
      </c>
      <c r="C2462" s="2">
        <v>8</v>
      </c>
      <c r="G2462" s="7" t="str">
        <f t="array" ref="G2462">IF(ROWS(K$20:K2462)&gt;$F$6,"",INDEX(A$2:A$10000,SMALL(IF(ISNUMBER(MATCH($B$2:$B$10000,$E$6:$E$22,0)),ROW($C$2:$C$10000)-ROW($C$2)+1),ROWS(K$20:K2462))))</f>
        <v/>
      </c>
      <c r="H2462" s="4" t="str">
        <f t="array" ref="H2462">IF(ROWS(L$20:L2462)&gt;$F$6,"",INDEX(B$2:B$10000,SMALL(IF(ISNUMBER(MATCH($B$2:$B$10000,$E$6:$E$22,0)),ROW($C$2:$C$10000)-ROW($C$2)+1),ROWS(L$20:L2462))))</f>
        <v/>
      </c>
      <c r="I2462" s="4" t="str">
        <f t="array" ref="I2462">IF(ROWS(M$20:M2462)&gt;$F$6,"",INDEX(C$2:C$10000,SMALL(IF(ISNUMBER(MATCH($B$2:$B$10000,$E$6:$E$22,0)),ROW($C$2:$C$10000)-ROW($C$2)+1),ROWS(M$20:M2462))))</f>
        <v/>
      </c>
      <c r="K2462" s="7" t="str">
        <f t="array" ref="K2462">IF(ROWS(K$20:K2462)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2462))))</f>
        <v/>
      </c>
      <c r="L2462" s="4" t="str">
        <f t="array" ref="L2462">IF(ROWS(L$20:L2462)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2462))))</f>
        <v/>
      </c>
      <c r="M2462" s="4" t="str">
        <f t="array" ref="M2462">IF(ROWS(M$20:M2462)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2462))))</f>
        <v/>
      </c>
    </row>
    <row r="2463" spans="1:13" x14ac:dyDescent="0.25">
      <c r="A2463" s="3">
        <v>41449</v>
      </c>
      <c r="B2463" s="2" t="s">
        <v>9</v>
      </c>
      <c r="C2463" s="2">
        <v>14</v>
      </c>
      <c r="G2463" s="7" t="str">
        <f t="array" ref="G2463">IF(ROWS(K$20:K2463)&gt;$F$6,"",INDEX(A$2:A$10000,SMALL(IF(ISNUMBER(MATCH($B$2:$B$10000,$E$6:$E$22,0)),ROW($C$2:$C$10000)-ROW($C$2)+1),ROWS(K$20:K2463))))</f>
        <v/>
      </c>
      <c r="H2463" s="4" t="str">
        <f t="array" ref="H2463">IF(ROWS(L$20:L2463)&gt;$F$6,"",INDEX(B$2:B$10000,SMALL(IF(ISNUMBER(MATCH($B$2:$B$10000,$E$6:$E$22,0)),ROW($C$2:$C$10000)-ROW($C$2)+1),ROWS(L$20:L2463))))</f>
        <v/>
      </c>
      <c r="I2463" s="4" t="str">
        <f t="array" ref="I2463">IF(ROWS(M$20:M2463)&gt;$F$6,"",INDEX(C$2:C$10000,SMALL(IF(ISNUMBER(MATCH($B$2:$B$10000,$E$6:$E$22,0)),ROW($C$2:$C$10000)-ROW($C$2)+1),ROWS(M$20:M2463))))</f>
        <v/>
      </c>
      <c r="K2463" s="7" t="str">
        <f t="array" ref="K2463">IF(ROWS(K$20:K2463)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2463))))</f>
        <v/>
      </c>
      <c r="L2463" s="4" t="str">
        <f t="array" ref="L2463">IF(ROWS(L$20:L2463)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2463))))</f>
        <v/>
      </c>
      <c r="M2463" s="4" t="str">
        <f t="array" ref="M2463">IF(ROWS(M$20:M2463)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2463))))</f>
        <v/>
      </c>
    </row>
    <row r="2464" spans="1:13" x14ac:dyDescent="0.25">
      <c r="A2464" s="3">
        <v>41464</v>
      </c>
      <c r="B2464" s="2" t="s">
        <v>39</v>
      </c>
      <c r="C2464" s="2">
        <v>7</v>
      </c>
      <c r="G2464" s="7" t="str">
        <f t="array" ref="G2464">IF(ROWS(K$20:K2464)&gt;$F$6,"",INDEX(A$2:A$10000,SMALL(IF(ISNUMBER(MATCH($B$2:$B$10000,$E$6:$E$22,0)),ROW($C$2:$C$10000)-ROW($C$2)+1),ROWS(K$20:K2464))))</f>
        <v/>
      </c>
      <c r="H2464" s="4" t="str">
        <f t="array" ref="H2464">IF(ROWS(L$20:L2464)&gt;$F$6,"",INDEX(B$2:B$10000,SMALL(IF(ISNUMBER(MATCH($B$2:$B$10000,$E$6:$E$22,0)),ROW($C$2:$C$10000)-ROW($C$2)+1),ROWS(L$20:L2464))))</f>
        <v/>
      </c>
      <c r="I2464" s="4" t="str">
        <f t="array" ref="I2464">IF(ROWS(M$20:M2464)&gt;$F$6,"",INDEX(C$2:C$10000,SMALL(IF(ISNUMBER(MATCH($B$2:$B$10000,$E$6:$E$22,0)),ROW($C$2:$C$10000)-ROW($C$2)+1),ROWS(M$20:M2464))))</f>
        <v/>
      </c>
      <c r="K2464" s="7" t="str">
        <f t="array" ref="K2464">IF(ROWS(K$20:K2464)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2464))))</f>
        <v/>
      </c>
      <c r="L2464" s="4" t="str">
        <f t="array" ref="L2464">IF(ROWS(L$20:L2464)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2464))))</f>
        <v/>
      </c>
      <c r="M2464" s="4" t="str">
        <f t="array" ref="M2464">IF(ROWS(M$20:M2464)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2464))))</f>
        <v/>
      </c>
    </row>
    <row r="2465" spans="1:13" x14ac:dyDescent="0.25">
      <c r="A2465" s="3">
        <v>41333</v>
      </c>
      <c r="B2465" s="2" t="s">
        <v>22</v>
      </c>
      <c r="C2465" s="2">
        <v>6</v>
      </c>
      <c r="G2465" s="7" t="str">
        <f t="array" ref="G2465">IF(ROWS(K$20:K2465)&gt;$F$6,"",INDEX(A$2:A$10000,SMALL(IF(ISNUMBER(MATCH($B$2:$B$10000,$E$6:$E$22,0)),ROW($C$2:$C$10000)-ROW($C$2)+1),ROWS(K$20:K2465))))</f>
        <v/>
      </c>
      <c r="H2465" s="4" t="str">
        <f t="array" ref="H2465">IF(ROWS(L$20:L2465)&gt;$F$6,"",INDEX(B$2:B$10000,SMALL(IF(ISNUMBER(MATCH($B$2:$B$10000,$E$6:$E$22,0)),ROW($C$2:$C$10000)-ROW($C$2)+1),ROWS(L$20:L2465))))</f>
        <v/>
      </c>
      <c r="I2465" s="4" t="str">
        <f t="array" ref="I2465">IF(ROWS(M$20:M2465)&gt;$F$6,"",INDEX(C$2:C$10000,SMALL(IF(ISNUMBER(MATCH($B$2:$B$10000,$E$6:$E$22,0)),ROW($C$2:$C$10000)-ROW($C$2)+1),ROWS(M$20:M2465))))</f>
        <v/>
      </c>
      <c r="K2465" s="7" t="str">
        <f t="array" ref="K2465">IF(ROWS(K$20:K2465)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2465))))</f>
        <v/>
      </c>
      <c r="L2465" s="4" t="str">
        <f t="array" ref="L2465">IF(ROWS(L$20:L2465)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2465))))</f>
        <v/>
      </c>
      <c r="M2465" s="4" t="str">
        <f t="array" ref="M2465">IF(ROWS(M$20:M2465)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2465))))</f>
        <v/>
      </c>
    </row>
    <row r="2466" spans="1:13" x14ac:dyDescent="0.25">
      <c r="A2466" s="3">
        <v>41931</v>
      </c>
      <c r="B2466" s="2" t="s">
        <v>42</v>
      </c>
      <c r="C2466" s="2">
        <v>22</v>
      </c>
      <c r="G2466" s="7" t="str">
        <f t="array" ref="G2466">IF(ROWS(K$20:K2466)&gt;$F$6,"",INDEX(A$2:A$10000,SMALL(IF(ISNUMBER(MATCH($B$2:$B$10000,$E$6:$E$22,0)),ROW($C$2:$C$10000)-ROW($C$2)+1),ROWS(K$20:K2466))))</f>
        <v/>
      </c>
      <c r="H2466" s="4" t="str">
        <f t="array" ref="H2466">IF(ROWS(L$20:L2466)&gt;$F$6,"",INDEX(B$2:B$10000,SMALL(IF(ISNUMBER(MATCH($B$2:$B$10000,$E$6:$E$22,0)),ROW($C$2:$C$10000)-ROW($C$2)+1),ROWS(L$20:L2466))))</f>
        <v/>
      </c>
      <c r="I2466" s="4" t="str">
        <f t="array" ref="I2466">IF(ROWS(M$20:M2466)&gt;$F$6,"",INDEX(C$2:C$10000,SMALL(IF(ISNUMBER(MATCH($B$2:$B$10000,$E$6:$E$22,0)),ROW($C$2:$C$10000)-ROW($C$2)+1),ROWS(M$20:M2466))))</f>
        <v/>
      </c>
      <c r="K2466" s="7" t="str">
        <f t="array" ref="K2466">IF(ROWS(K$20:K2466)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2466))))</f>
        <v/>
      </c>
      <c r="L2466" s="4" t="str">
        <f t="array" ref="L2466">IF(ROWS(L$20:L2466)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2466))))</f>
        <v/>
      </c>
      <c r="M2466" s="4" t="str">
        <f t="array" ref="M2466">IF(ROWS(M$20:M2466)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2466))))</f>
        <v/>
      </c>
    </row>
    <row r="2467" spans="1:13" x14ac:dyDescent="0.25">
      <c r="A2467" s="3">
        <v>41722</v>
      </c>
      <c r="B2467" s="2" t="s">
        <v>35</v>
      </c>
      <c r="C2467" s="2">
        <v>44</v>
      </c>
      <c r="G2467" s="7" t="str">
        <f t="array" ref="G2467">IF(ROWS(K$20:K2467)&gt;$F$6,"",INDEX(A$2:A$10000,SMALL(IF(ISNUMBER(MATCH($B$2:$B$10000,$E$6:$E$22,0)),ROW($C$2:$C$10000)-ROW($C$2)+1),ROWS(K$20:K2467))))</f>
        <v/>
      </c>
      <c r="H2467" s="4" t="str">
        <f t="array" ref="H2467">IF(ROWS(L$20:L2467)&gt;$F$6,"",INDEX(B$2:B$10000,SMALL(IF(ISNUMBER(MATCH($B$2:$B$10000,$E$6:$E$22,0)),ROW($C$2:$C$10000)-ROW($C$2)+1),ROWS(L$20:L2467))))</f>
        <v/>
      </c>
      <c r="I2467" s="4" t="str">
        <f t="array" ref="I2467">IF(ROWS(M$20:M2467)&gt;$F$6,"",INDEX(C$2:C$10000,SMALL(IF(ISNUMBER(MATCH($B$2:$B$10000,$E$6:$E$22,0)),ROW($C$2:$C$10000)-ROW($C$2)+1),ROWS(M$20:M2467))))</f>
        <v/>
      </c>
      <c r="K2467" s="7" t="str">
        <f t="array" ref="K2467">IF(ROWS(K$20:K2467)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2467))))</f>
        <v/>
      </c>
      <c r="L2467" s="4" t="str">
        <f t="array" ref="L2467">IF(ROWS(L$20:L2467)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2467))))</f>
        <v/>
      </c>
      <c r="M2467" s="4" t="str">
        <f t="array" ref="M2467">IF(ROWS(M$20:M2467)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2467))))</f>
        <v/>
      </c>
    </row>
    <row r="2468" spans="1:13" x14ac:dyDescent="0.25">
      <c r="A2468" s="3">
        <v>41817</v>
      </c>
      <c r="B2468" s="2" t="s">
        <v>8</v>
      </c>
      <c r="C2468" s="2">
        <v>18</v>
      </c>
      <c r="G2468" s="7" t="str">
        <f t="array" ref="G2468">IF(ROWS(K$20:K2468)&gt;$F$6,"",INDEX(A$2:A$10000,SMALL(IF(ISNUMBER(MATCH($B$2:$B$10000,$E$6:$E$22,0)),ROW($C$2:$C$10000)-ROW($C$2)+1),ROWS(K$20:K2468))))</f>
        <v/>
      </c>
      <c r="H2468" s="4" t="str">
        <f t="array" ref="H2468">IF(ROWS(L$20:L2468)&gt;$F$6,"",INDEX(B$2:B$10000,SMALL(IF(ISNUMBER(MATCH($B$2:$B$10000,$E$6:$E$22,0)),ROW($C$2:$C$10000)-ROW($C$2)+1),ROWS(L$20:L2468))))</f>
        <v/>
      </c>
      <c r="I2468" s="4" t="str">
        <f t="array" ref="I2468">IF(ROWS(M$20:M2468)&gt;$F$6,"",INDEX(C$2:C$10000,SMALL(IF(ISNUMBER(MATCH($B$2:$B$10000,$E$6:$E$22,0)),ROW($C$2:$C$10000)-ROW($C$2)+1),ROWS(M$20:M2468))))</f>
        <v/>
      </c>
      <c r="K2468" s="7" t="str">
        <f t="array" ref="K2468">IF(ROWS(K$20:K2468)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2468))))</f>
        <v/>
      </c>
      <c r="L2468" s="4" t="str">
        <f t="array" ref="L2468">IF(ROWS(L$20:L2468)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2468))))</f>
        <v/>
      </c>
      <c r="M2468" s="4" t="str">
        <f t="array" ref="M2468">IF(ROWS(M$20:M2468)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2468))))</f>
        <v/>
      </c>
    </row>
    <row r="2469" spans="1:13" x14ac:dyDescent="0.25">
      <c r="A2469" s="3">
        <v>41612</v>
      </c>
      <c r="B2469" s="2" t="s">
        <v>5</v>
      </c>
      <c r="C2469" s="2">
        <v>18</v>
      </c>
      <c r="G2469" s="7" t="str">
        <f t="array" ref="G2469">IF(ROWS(K$20:K2469)&gt;$F$6,"",INDEX(A$2:A$10000,SMALL(IF(ISNUMBER(MATCH($B$2:$B$10000,$E$6:$E$22,0)),ROW($C$2:$C$10000)-ROW($C$2)+1),ROWS(K$20:K2469))))</f>
        <v/>
      </c>
      <c r="H2469" s="4" t="str">
        <f t="array" ref="H2469">IF(ROWS(L$20:L2469)&gt;$F$6,"",INDEX(B$2:B$10000,SMALL(IF(ISNUMBER(MATCH($B$2:$B$10000,$E$6:$E$22,0)),ROW($C$2:$C$10000)-ROW($C$2)+1),ROWS(L$20:L2469))))</f>
        <v/>
      </c>
      <c r="I2469" s="4" t="str">
        <f t="array" ref="I2469">IF(ROWS(M$20:M2469)&gt;$F$6,"",INDEX(C$2:C$10000,SMALL(IF(ISNUMBER(MATCH($B$2:$B$10000,$E$6:$E$22,0)),ROW($C$2:$C$10000)-ROW($C$2)+1),ROWS(M$20:M2469))))</f>
        <v/>
      </c>
      <c r="K2469" s="7" t="str">
        <f t="array" ref="K2469">IF(ROWS(K$20:K2469)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2469))))</f>
        <v/>
      </c>
      <c r="L2469" s="4" t="str">
        <f t="array" ref="L2469">IF(ROWS(L$20:L2469)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2469))))</f>
        <v/>
      </c>
      <c r="M2469" s="4" t="str">
        <f t="array" ref="M2469">IF(ROWS(M$20:M2469)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2469))))</f>
        <v/>
      </c>
    </row>
    <row r="2470" spans="1:13" x14ac:dyDescent="0.25">
      <c r="A2470" s="3">
        <v>41377</v>
      </c>
      <c r="B2470" s="2" t="s">
        <v>6</v>
      </c>
      <c r="C2470" s="2">
        <v>33</v>
      </c>
      <c r="G2470" s="7" t="str">
        <f t="array" ref="G2470">IF(ROWS(K$20:K2470)&gt;$F$6,"",INDEX(A$2:A$10000,SMALL(IF(ISNUMBER(MATCH($B$2:$B$10000,$E$6:$E$22,0)),ROW($C$2:$C$10000)-ROW($C$2)+1),ROWS(K$20:K2470))))</f>
        <v/>
      </c>
      <c r="H2470" s="4" t="str">
        <f t="array" ref="H2470">IF(ROWS(L$20:L2470)&gt;$F$6,"",INDEX(B$2:B$10000,SMALL(IF(ISNUMBER(MATCH($B$2:$B$10000,$E$6:$E$22,0)),ROW($C$2:$C$10000)-ROW($C$2)+1),ROWS(L$20:L2470))))</f>
        <v/>
      </c>
      <c r="I2470" s="4" t="str">
        <f t="array" ref="I2470">IF(ROWS(M$20:M2470)&gt;$F$6,"",INDEX(C$2:C$10000,SMALL(IF(ISNUMBER(MATCH($B$2:$B$10000,$E$6:$E$22,0)),ROW($C$2:$C$10000)-ROW($C$2)+1),ROWS(M$20:M2470))))</f>
        <v/>
      </c>
      <c r="K2470" s="7" t="str">
        <f t="array" ref="K2470">IF(ROWS(K$20:K2470)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2470))))</f>
        <v/>
      </c>
      <c r="L2470" s="4" t="str">
        <f t="array" ref="L2470">IF(ROWS(L$20:L2470)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2470))))</f>
        <v/>
      </c>
      <c r="M2470" s="4" t="str">
        <f t="array" ref="M2470">IF(ROWS(M$20:M2470)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2470))))</f>
        <v/>
      </c>
    </row>
    <row r="2471" spans="1:13" x14ac:dyDescent="0.25">
      <c r="A2471" s="3">
        <v>41634</v>
      </c>
      <c r="B2471" s="2" t="s">
        <v>34</v>
      </c>
      <c r="C2471" s="2">
        <v>13</v>
      </c>
      <c r="G2471" s="7" t="str">
        <f t="array" ref="G2471">IF(ROWS(K$20:K2471)&gt;$F$6,"",INDEX(A$2:A$10000,SMALL(IF(ISNUMBER(MATCH($B$2:$B$10000,$E$6:$E$22,0)),ROW($C$2:$C$10000)-ROW($C$2)+1),ROWS(K$20:K2471))))</f>
        <v/>
      </c>
      <c r="H2471" s="4" t="str">
        <f t="array" ref="H2471">IF(ROWS(L$20:L2471)&gt;$F$6,"",INDEX(B$2:B$10000,SMALL(IF(ISNUMBER(MATCH($B$2:$B$10000,$E$6:$E$22,0)),ROW($C$2:$C$10000)-ROW($C$2)+1),ROWS(L$20:L2471))))</f>
        <v/>
      </c>
      <c r="I2471" s="4" t="str">
        <f t="array" ref="I2471">IF(ROWS(M$20:M2471)&gt;$F$6,"",INDEX(C$2:C$10000,SMALL(IF(ISNUMBER(MATCH($B$2:$B$10000,$E$6:$E$22,0)),ROW($C$2:$C$10000)-ROW($C$2)+1),ROWS(M$20:M2471))))</f>
        <v/>
      </c>
      <c r="K2471" s="7" t="str">
        <f t="array" ref="K2471">IF(ROWS(K$20:K2471)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2471))))</f>
        <v/>
      </c>
      <c r="L2471" s="4" t="str">
        <f t="array" ref="L2471">IF(ROWS(L$20:L2471)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2471))))</f>
        <v/>
      </c>
      <c r="M2471" s="4" t="str">
        <f t="array" ref="M2471">IF(ROWS(M$20:M2471)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2471))))</f>
        <v/>
      </c>
    </row>
    <row r="2472" spans="1:13" x14ac:dyDescent="0.25">
      <c r="A2472" s="3">
        <v>41643</v>
      </c>
      <c r="B2472" s="2" t="s">
        <v>32</v>
      </c>
      <c r="C2472" s="2">
        <v>17</v>
      </c>
      <c r="G2472" s="7" t="str">
        <f t="array" ref="G2472">IF(ROWS(K$20:K2472)&gt;$F$6,"",INDEX(A$2:A$10000,SMALL(IF(ISNUMBER(MATCH($B$2:$B$10000,$E$6:$E$22,0)),ROW($C$2:$C$10000)-ROW($C$2)+1),ROWS(K$20:K2472))))</f>
        <v/>
      </c>
      <c r="H2472" s="4" t="str">
        <f t="array" ref="H2472">IF(ROWS(L$20:L2472)&gt;$F$6,"",INDEX(B$2:B$10000,SMALL(IF(ISNUMBER(MATCH($B$2:$B$10000,$E$6:$E$22,0)),ROW($C$2:$C$10000)-ROW($C$2)+1),ROWS(L$20:L2472))))</f>
        <v/>
      </c>
      <c r="I2472" s="4" t="str">
        <f t="array" ref="I2472">IF(ROWS(M$20:M2472)&gt;$F$6,"",INDEX(C$2:C$10000,SMALL(IF(ISNUMBER(MATCH($B$2:$B$10000,$E$6:$E$22,0)),ROW($C$2:$C$10000)-ROW($C$2)+1),ROWS(M$20:M2472))))</f>
        <v/>
      </c>
      <c r="K2472" s="7" t="str">
        <f t="array" ref="K2472">IF(ROWS(K$20:K2472)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2472))))</f>
        <v/>
      </c>
      <c r="L2472" s="4" t="str">
        <f t="array" ref="L2472">IF(ROWS(L$20:L2472)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2472))))</f>
        <v/>
      </c>
      <c r="M2472" s="4" t="str">
        <f t="array" ref="M2472">IF(ROWS(M$20:M2472)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2472))))</f>
        <v/>
      </c>
    </row>
    <row r="2473" spans="1:13" x14ac:dyDescent="0.25">
      <c r="A2473" s="3">
        <v>41622</v>
      </c>
      <c r="B2473" s="2" t="s">
        <v>38</v>
      </c>
      <c r="C2473" s="2">
        <v>42</v>
      </c>
      <c r="G2473" s="7" t="str">
        <f t="array" ref="G2473">IF(ROWS(K$20:K2473)&gt;$F$6,"",INDEX(A$2:A$10000,SMALL(IF(ISNUMBER(MATCH($B$2:$B$10000,$E$6:$E$22,0)),ROW($C$2:$C$10000)-ROW($C$2)+1),ROWS(K$20:K2473))))</f>
        <v/>
      </c>
      <c r="H2473" s="4" t="str">
        <f t="array" ref="H2473">IF(ROWS(L$20:L2473)&gt;$F$6,"",INDEX(B$2:B$10000,SMALL(IF(ISNUMBER(MATCH($B$2:$B$10000,$E$6:$E$22,0)),ROW($C$2:$C$10000)-ROW($C$2)+1),ROWS(L$20:L2473))))</f>
        <v/>
      </c>
      <c r="I2473" s="4" t="str">
        <f t="array" ref="I2473">IF(ROWS(M$20:M2473)&gt;$F$6,"",INDEX(C$2:C$10000,SMALL(IF(ISNUMBER(MATCH($B$2:$B$10000,$E$6:$E$22,0)),ROW($C$2:$C$10000)-ROW($C$2)+1),ROWS(M$20:M2473))))</f>
        <v/>
      </c>
      <c r="K2473" s="7" t="str">
        <f t="array" ref="K2473">IF(ROWS(K$20:K2473)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2473))))</f>
        <v/>
      </c>
      <c r="L2473" s="4" t="str">
        <f t="array" ref="L2473">IF(ROWS(L$20:L2473)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2473))))</f>
        <v/>
      </c>
      <c r="M2473" s="4" t="str">
        <f t="array" ref="M2473">IF(ROWS(M$20:M2473)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2473))))</f>
        <v/>
      </c>
    </row>
    <row r="2474" spans="1:13" x14ac:dyDescent="0.25">
      <c r="A2474" s="3">
        <v>41463</v>
      </c>
      <c r="B2474" s="2" t="s">
        <v>48</v>
      </c>
      <c r="C2474" s="2">
        <v>12</v>
      </c>
      <c r="G2474" s="7" t="str">
        <f t="array" ref="G2474">IF(ROWS(K$20:K2474)&gt;$F$6,"",INDEX(A$2:A$10000,SMALL(IF(ISNUMBER(MATCH($B$2:$B$10000,$E$6:$E$22,0)),ROW($C$2:$C$10000)-ROW($C$2)+1),ROWS(K$20:K2474))))</f>
        <v/>
      </c>
      <c r="H2474" s="4" t="str">
        <f t="array" ref="H2474">IF(ROWS(L$20:L2474)&gt;$F$6,"",INDEX(B$2:B$10000,SMALL(IF(ISNUMBER(MATCH($B$2:$B$10000,$E$6:$E$22,0)),ROW($C$2:$C$10000)-ROW($C$2)+1),ROWS(L$20:L2474))))</f>
        <v/>
      </c>
      <c r="I2474" s="4" t="str">
        <f t="array" ref="I2474">IF(ROWS(M$20:M2474)&gt;$F$6,"",INDEX(C$2:C$10000,SMALL(IF(ISNUMBER(MATCH($B$2:$B$10000,$E$6:$E$22,0)),ROW($C$2:$C$10000)-ROW($C$2)+1),ROWS(M$20:M2474))))</f>
        <v/>
      </c>
      <c r="K2474" s="7" t="str">
        <f t="array" ref="K2474">IF(ROWS(K$20:K2474)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2474))))</f>
        <v/>
      </c>
      <c r="L2474" s="4" t="str">
        <f t="array" ref="L2474">IF(ROWS(L$20:L2474)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2474))))</f>
        <v/>
      </c>
      <c r="M2474" s="4" t="str">
        <f t="array" ref="M2474">IF(ROWS(M$20:M2474)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2474))))</f>
        <v/>
      </c>
    </row>
    <row r="2475" spans="1:13" x14ac:dyDescent="0.25">
      <c r="A2475" s="3">
        <v>41445</v>
      </c>
      <c r="B2475" s="2" t="s">
        <v>21</v>
      </c>
      <c r="C2475" s="2">
        <v>1</v>
      </c>
      <c r="G2475" s="7" t="str">
        <f t="array" ref="G2475">IF(ROWS(K$20:K2475)&gt;$F$6,"",INDEX(A$2:A$10000,SMALL(IF(ISNUMBER(MATCH($B$2:$B$10000,$E$6:$E$22,0)),ROW($C$2:$C$10000)-ROW($C$2)+1),ROWS(K$20:K2475))))</f>
        <v/>
      </c>
      <c r="H2475" s="4" t="str">
        <f t="array" ref="H2475">IF(ROWS(L$20:L2475)&gt;$F$6,"",INDEX(B$2:B$10000,SMALL(IF(ISNUMBER(MATCH($B$2:$B$10000,$E$6:$E$22,0)),ROW($C$2:$C$10000)-ROW($C$2)+1),ROWS(L$20:L2475))))</f>
        <v/>
      </c>
      <c r="I2475" s="4" t="str">
        <f t="array" ref="I2475">IF(ROWS(M$20:M2475)&gt;$F$6,"",INDEX(C$2:C$10000,SMALL(IF(ISNUMBER(MATCH($B$2:$B$10000,$E$6:$E$22,0)),ROW($C$2:$C$10000)-ROW($C$2)+1),ROWS(M$20:M2475))))</f>
        <v/>
      </c>
      <c r="K2475" s="7" t="str">
        <f t="array" ref="K2475">IF(ROWS(K$20:K2475)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2475))))</f>
        <v/>
      </c>
      <c r="L2475" s="4" t="str">
        <f t="array" ref="L2475">IF(ROWS(L$20:L2475)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2475))))</f>
        <v/>
      </c>
      <c r="M2475" s="4" t="str">
        <f t="array" ref="M2475">IF(ROWS(M$20:M2475)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2475))))</f>
        <v/>
      </c>
    </row>
    <row r="2476" spans="1:13" x14ac:dyDescent="0.25">
      <c r="A2476" s="3">
        <v>41370</v>
      </c>
      <c r="B2476" s="2" t="s">
        <v>26</v>
      </c>
      <c r="C2476" s="2">
        <v>33</v>
      </c>
      <c r="G2476" s="7" t="str">
        <f t="array" ref="G2476">IF(ROWS(K$20:K2476)&gt;$F$6,"",INDEX(A$2:A$10000,SMALL(IF(ISNUMBER(MATCH($B$2:$B$10000,$E$6:$E$22,0)),ROW($C$2:$C$10000)-ROW($C$2)+1),ROWS(K$20:K2476))))</f>
        <v/>
      </c>
      <c r="H2476" s="4" t="str">
        <f t="array" ref="H2476">IF(ROWS(L$20:L2476)&gt;$F$6,"",INDEX(B$2:B$10000,SMALL(IF(ISNUMBER(MATCH($B$2:$B$10000,$E$6:$E$22,0)),ROW($C$2:$C$10000)-ROW($C$2)+1),ROWS(L$20:L2476))))</f>
        <v/>
      </c>
      <c r="I2476" s="4" t="str">
        <f t="array" ref="I2476">IF(ROWS(M$20:M2476)&gt;$F$6,"",INDEX(C$2:C$10000,SMALL(IF(ISNUMBER(MATCH($B$2:$B$10000,$E$6:$E$22,0)),ROW($C$2:$C$10000)-ROW($C$2)+1),ROWS(M$20:M2476))))</f>
        <v/>
      </c>
      <c r="K2476" s="7" t="str">
        <f t="array" ref="K2476">IF(ROWS(K$20:K2476)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2476))))</f>
        <v/>
      </c>
      <c r="L2476" s="4" t="str">
        <f t="array" ref="L2476">IF(ROWS(L$20:L2476)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2476))))</f>
        <v/>
      </c>
      <c r="M2476" s="4" t="str">
        <f t="array" ref="M2476">IF(ROWS(M$20:M2476)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2476))))</f>
        <v/>
      </c>
    </row>
    <row r="2477" spans="1:13" x14ac:dyDescent="0.25">
      <c r="A2477" s="3">
        <v>41899</v>
      </c>
      <c r="B2477" s="2" t="s">
        <v>43</v>
      </c>
      <c r="C2477" s="2">
        <v>22</v>
      </c>
      <c r="G2477" s="7" t="str">
        <f t="array" ref="G2477">IF(ROWS(K$20:K2477)&gt;$F$6,"",INDEX(A$2:A$10000,SMALL(IF(ISNUMBER(MATCH($B$2:$B$10000,$E$6:$E$22,0)),ROW($C$2:$C$10000)-ROW($C$2)+1),ROWS(K$20:K2477))))</f>
        <v/>
      </c>
      <c r="H2477" s="4" t="str">
        <f t="array" ref="H2477">IF(ROWS(L$20:L2477)&gt;$F$6,"",INDEX(B$2:B$10000,SMALL(IF(ISNUMBER(MATCH($B$2:$B$10000,$E$6:$E$22,0)),ROW($C$2:$C$10000)-ROW($C$2)+1),ROWS(L$20:L2477))))</f>
        <v/>
      </c>
      <c r="I2477" s="4" t="str">
        <f t="array" ref="I2477">IF(ROWS(M$20:M2477)&gt;$F$6,"",INDEX(C$2:C$10000,SMALL(IF(ISNUMBER(MATCH($B$2:$B$10000,$E$6:$E$22,0)),ROW($C$2:$C$10000)-ROW($C$2)+1),ROWS(M$20:M2477))))</f>
        <v/>
      </c>
      <c r="K2477" s="7" t="str">
        <f t="array" ref="K2477">IF(ROWS(K$20:K2477)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2477))))</f>
        <v/>
      </c>
      <c r="L2477" s="4" t="str">
        <f t="array" ref="L2477">IF(ROWS(L$20:L2477)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2477))))</f>
        <v/>
      </c>
      <c r="M2477" s="4" t="str">
        <f t="array" ref="M2477">IF(ROWS(M$20:M2477)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2477))))</f>
        <v/>
      </c>
    </row>
    <row r="2478" spans="1:13" x14ac:dyDescent="0.25">
      <c r="A2478" s="3">
        <v>41314</v>
      </c>
      <c r="B2478" s="2" t="s">
        <v>28</v>
      </c>
      <c r="C2478" s="2">
        <v>12</v>
      </c>
      <c r="G2478" s="7" t="str">
        <f t="array" ref="G2478">IF(ROWS(K$20:K2478)&gt;$F$6,"",INDEX(A$2:A$10000,SMALL(IF(ISNUMBER(MATCH($B$2:$B$10000,$E$6:$E$22,0)),ROW($C$2:$C$10000)-ROW($C$2)+1),ROWS(K$20:K2478))))</f>
        <v/>
      </c>
      <c r="H2478" s="4" t="str">
        <f t="array" ref="H2478">IF(ROWS(L$20:L2478)&gt;$F$6,"",INDEX(B$2:B$10000,SMALL(IF(ISNUMBER(MATCH($B$2:$B$10000,$E$6:$E$22,0)),ROW($C$2:$C$10000)-ROW($C$2)+1),ROWS(L$20:L2478))))</f>
        <v/>
      </c>
      <c r="I2478" s="4" t="str">
        <f t="array" ref="I2478">IF(ROWS(M$20:M2478)&gt;$F$6,"",INDEX(C$2:C$10000,SMALL(IF(ISNUMBER(MATCH($B$2:$B$10000,$E$6:$E$22,0)),ROW($C$2:$C$10000)-ROW($C$2)+1),ROWS(M$20:M2478))))</f>
        <v/>
      </c>
      <c r="K2478" s="7" t="str">
        <f t="array" ref="K2478">IF(ROWS(K$20:K2478)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2478))))</f>
        <v/>
      </c>
      <c r="L2478" s="4" t="str">
        <f t="array" ref="L2478">IF(ROWS(L$20:L2478)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2478))))</f>
        <v/>
      </c>
      <c r="M2478" s="4" t="str">
        <f t="array" ref="M2478">IF(ROWS(M$20:M2478)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2478))))</f>
        <v/>
      </c>
    </row>
    <row r="2479" spans="1:13" x14ac:dyDescent="0.25">
      <c r="A2479" s="3">
        <v>41887</v>
      </c>
      <c r="B2479" s="2" t="s">
        <v>39</v>
      </c>
      <c r="C2479" s="2">
        <v>27</v>
      </c>
      <c r="G2479" s="7" t="str">
        <f t="array" ref="G2479">IF(ROWS(K$20:K2479)&gt;$F$6,"",INDEX(A$2:A$10000,SMALL(IF(ISNUMBER(MATCH($B$2:$B$10000,$E$6:$E$22,0)),ROW($C$2:$C$10000)-ROW($C$2)+1),ROWS(K$20:K2479))))</f>
        <v/>
      </c>
      <c r="H2479" s="4" t="str">
        <f t="array" ref="H2479">IF(ROWS(L$20:L2479)&gt;$F$6,"",INDEX(B$2:B$10000,SMALL(IF(ISNUMBER(MATCH($B$2:$B$10000,$E$6:$E$22,0)),ROW($C$2:$C$10000)-ROW($C$2)+1),ROWS(L$20:L2479))))</f>
        <v/>
      </c>
      <c r="I2479" s="4" t="str">
        <f t="array" ref="I2479">IF(ROWS(M$20:M2479)&gt;$F$6,"",INDEX(C$2:C$10000,SMALL(IF(ISNUMBER(MATCH($B$2:$B$10000,$E$6:$E$22,0)),ROW($C$2:$C$10000)-ROW($C$2)+1),ROWS(M$20:M2479))))</f>
        <v/>
      </c>
      <c r="K2479" s="7" t="str">
        <f t="array" ref="K2479">IF(ROWS(K$20:K2479)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2479))))</f>
        <v/>
      </c>
      <c r="L2479" s="4" t="str">
        <f t="array" ref="L2479">IF(ROWS(L$20:L2479)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2479))))</f>
        <v/>
      </c>
      <c r="M2479" s="4" t="str">
        <f t="array" ref="M2479">IF(ROWS(M$20:M2479)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2479))))</f>
        <v/>
      </c>
    </row>
    <row r="2480" spans="1:13" x14ac:dyDescent="0.25">
      <c r="A2480" s="3">
        <v>41302</v>
      </c>
      <c r="B2480" s="2" t="s">
        <v>17</v>
      </c>
      <c r="C2480" s="2">
        <v>54</v>
      </c>
      <c r="G2480" s="7" t="str">
        <f t="array" ref="G2480">IF(ROWS(K$20:K2480)&gt;$F$6,"",INDEX(A$2:A$10000,SMALL(IF(ISNUMBER(MATCH($B$2:$B$10000,$E$6:$E$22,0)),ROW($C$2:$C$10000)-ROW($C$2)+1),ROWS(K$20:K2480))))</f>
        <v/>
      </c>
      <c r="H2480" s="4" t="str">
        <f t="array" ref="H2480">IF(ROWS(L$20:L2480)&gt;$F$6,"",INDEX(B$2:B$10000,SMALL(IF(ISNUMBER(MATCH($B$2:$B$10000,$E$6:$E$22,0)),ROW($C$2:$C$10000)-ROW($C$2)+1),ROWS(L$20:L2480))))</f>
        <v/>
      </c>
      <c r="I2480" s="4" t="str">
        <f t="array" ref="I2480">IF(ROWS(M$20:M2480)&gt;$F$6,"",INDEX(C$2:C$10000,SMALL(IF(ISNUMBER(MATCH($B$2:$B$10000,$E$6:$E$22,0)),ROW($C$2:$C$10000)-ROW($C$2)+1),ROWS(M$20:M2480))))</f>
        <v/>
      </c>
      <c r="K2480" s="7" t="str">
        <f t="array" ref="K2480">IF(ROWS(K$20:K2480)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2480))))</f>
        <v/>
      </c>
      <c r="L2480" s="4" t="str">
        <f t="array" ref="L2480">IF(ROWS(L$20:L2480)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2480))))</f>
        <v/>
      </c>
      <c r="M2480" s="4" t="str">
        <f t="array" ref="M2480">IF(ROWS(M$20:M2480)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2480))))</f>
        <v/>
      </c>
    </row>
    <row r="2481" spans="1:13" x14ac:dyDescent="0.25">
      <c r="A2481" s="3">
        <v>41869</v>
      </c>
      <c r="B2481" s="2" t="s">
        <v>50</v>
      </c>
      <c r="C2481" s="2">
        <v>17</v>
      </c>
      <c r="G2481" s="7" t="str">
        <f t="array" ref="G2481">IF(ROWS(K$20:K2481)&gt;$F$6,"",INDEX(A$2:A$10000,SMALL(IF(ISNUMBER(MATCH($B$2:$B$10000,$E$6:$E$22,0)),ROW($C$2:$C$10000)-ROW($C$2)+1),ROWS(K$20:K2481))))</f>
        <v/>
      </c>
      <c r="H2481" s="4" t="str">
        <f t="array" ref="H2481">IF(ROWS(L$20:L2481)&gt;$F$6,"",INDEX(B$2:B$10000,SMALL(IF(ISNUMBER(MATCH($B$2:$B$10000,$E$6:$E$22,0)),ROW($C$2:$C$10000)-ROW($C$2)+1),ROWS(L$20:L2481))))</f>
        <v/>
      </c>
      <c r="I2481" s="4" t="str">
        <f t="array" ref="I2481">IF(ROWS(M$20:M2481)&gt;$F$6,"",INDEX(C$2:C$10000,SMALL(IF(ISNUMBER(MATCH($B$2:$B$10000,$E$6:$E$22,0)),ROW($C$2:$C$10000)-ROW($C$2)+1),ROWS(M$20:M2481))))</f>
        <v/>
      </c>
      <c r="K2481" s="7" t="str">
        <f t="array" ref="K2481">IF(ROWS(K$20:K2481)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2481))))</f>
        <v/>
      </c>
      <c r="L2481" s="4" t="str">
        <f t="array" ref="L2481">IF(ROWS(L$20:L2481)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2481))))</f>
        <v/>
      </c>
      <c r="M2481" s="4" t="str">
        <f t="array" ref="M2481">IF(ROWS(M$20:M2481)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2481))))</f>
        <v/>
      </c>
    </row>
    <row r="2482" spans="1:13" x14ac:dyDescent="0.25">
      <c r="A2482" s="3">
        <v>41534</v>
      </c>
      <c r="B2482" s="2" t="s">
        <v>47</v>
      </c>
      <c r="C2482" s="2">
        <v>36</v>
      </c>
      <c r="G2482" s="7" t="str">
        <f t="array" ref="G2482">IF(ROWS(K$20:K2482)&gt;$F$6,"",INDEX(A$2:A$10000,SMALL(IF(ISNUMBER(MATCH($B$2:$B$10000,$E$6:$E$22,0)),ROW($C$2:$C$10000)-ROW($C$2)+1),ROWS(K$20:K2482))))</f>
        <v/>
      </c>
      <c r="H2482" s="4" t="str">
        <f t="array" ref="H2482">IF(ROWS(L$20:L2482)&gt;$F$6,"",INDEX(B$2:B$10000,SMALL(IF(ISNUMBER(MATCH($B$2:$B$10000,$E$6:$E$22,0)),ROW($C$2:$C$10000)-ROW($C$2)+1),ROWS(L$20:L2482))))</f>
        <v/>
      </c>
      <c r="I2482" s="4" t="str">
        <f t="array" ref="I2482">IF(ROWS(M$20:M2482)&gt;$F$6,"",INDEX(C$2:C$10000,SMALL(IF(ISNUMBER(MATCH($B$2:$B$10000,$E$6:$E$22,0)),ROW($C$2:$C$10000)-ROW($C$2)+1),ROWS(M$20:M2482))))</f>
        <v/>
      </c>
      <c r="K2482" s="7" t="str">
        <f t="array" ref="K2482">IF(ROWS(K$20:K2482)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2482))))</f>
        <v/>
      </c>
      <c r="L2482" s="4" t="str">
        <f t="array" ref="L2482">IF(ROWS(L$20:L2482)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2482))))</f>
        <v/>
      </c>
      <c r="M2482" s="4" t="str">
        <f t="array" ref="M2482">IF(ROWS(M$20:M2482)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2482))))</f>
        <v/>
      </c>
    </row>
    <row r="2483" spans="1:13" x14ac:dyDescent="0.25">
      <c r="A2483" s="3">
        <v>41613</v>
      </c>
      <c r="B2483" s="2" t="s">
        <v>46</v>
      </c>
      <c r="C2483" s="2">
        <v>34</v>
      </c>
      <c r="G2483" s="7" t="str">
        <f t="array" ref="G2483">IF(ROWS(K$20:K2483)&gt;$F$6,"",INDEX(A$2:A$10000,SMALL(IF(ISNUMBER(MATCH($B$2:$B$10000,$E$6:$E$22,0)),ROW($C$2:$C$10000)-ROW($C$2)+1),ROWS(K$20:K2483))))</f>
        <v/>
      </c>
      <c r="H2483" s="4" t="str">
        <f t="array" ref="H2483">IF(ROWS(L$20:L2483)&gt;$F$6,"",INDEX(B$2:B$10000,SMALL(IF(ISNUMBER(MATCH($B$2:$B$10000,$E$6:$E$22,0)),ROW($C$2:$C$10000)-ROW($C$2)+1),ROWS(L$20:L2483))))</f>
        <v/>
      </c>
      <c r="I2483" s="4" t="str">
        <f t="array" ref="I2483">IF(ROWS(M$20:M2483)&gt;$F$6,"",INDEX(C$2:C$10000,SMALL(IF(ISNUMBER(MATCH($B$2:$B$10000,$E$6:$E$22,0)),ROW($C$2:$C$10000)-ROW($C$2)+1),ROWS(M$20:M2483))))</f>
        <v/>
      </c>
      <c r="K2483" s="7" t="str">
        <f t="array" ref="K2483">IF(ROWS(K$20:K2483)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2483))))</f>
        <v/>
      </c>
      <c r="L2483" s="4" t="str">
        <f t="array" ref="L2483">IF(ROWS(L$20:L2483)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2483))))</f>
        <v/>
      </c>
      <c r="M2483" s="4" t="str">
        <f t="array" ref="M2483">IF(ROWS(M$20:M2483)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2483))))</f>
        <v/>
      </c>
    </row>
    <row r="2484" spans="1:13" x14ac:dyDescent="0.25">
      <c r="A2484" s="3">
        <v>41446</v>
      </c>
      <c r="B2484" s="2" t="s">
        <v>31</v>
      </c>
      <c r="C2484" s="2">
        <v>24</v>
      </c>
      <c r="G2484" s="7" t="str">
        <f t="array" ref="G2484">IF(ROWS(K$20:K2484)&gt;$F$6,"",INDEX(A$2:A$10000,SMALL(IF(ISNUMBER(MATCH($B$2:$B$10000,$E$6:$E$22,0)),ROW($C$2:$C$10000)-ROW($C$2)+1),ROWS(K$20:K2484))))</f>
        <v/>
      </c>
      <c r="H2484" s="4" t="str">
        <f t="array" ref="H2484">IF(ROWS(L$20:L2484)&gt;$F$6,"",INDEX(B$2:B$10000,SMALL(IF(ISNUMBER(MATCH($B$2:$B$10000,$E$6:$E$22,0)),ROW($C$2:$C$10000)-ROW($C$2)+1),ROWS(L$20:L2484))))</f>
        <v/>
      </c>
      <c r="I2484" s="4" t="str">
        <f t="array" ref="I2484">IF(ROWS(M$20:M2484)&gt;$F$6,"",INDEX(C$2:C$10000,SMALL(IF(ISNUMBER(MATCH($B$2:$B$10000,$E$6:$E$22,0)),ROW($C$2:$C$10000)-ROW($C$2)+1),ROWS(M$20:M2484))))</f>
        <v/>
      </c>
      <c r="K2484" s="7" t="str">
        <f t="array" ref="K2484">IF(ROWS(K$20:K2484)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2484))))</f>
        <v/>
      </c>
      <c r="L2484" s="4" t="str">
        <f t="array" ref="L2484">IF(ROWS(L$20:L2484)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2484))))</f>
        <v/>
      </c>
      <c r="M2484" s="4" t="str">
        <f t="array" ref="M2484">IF(ROWS(M$20:M2484)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2484))))</f>
        <v/>
      </c>
    </row>
    <row r="2485" spans="1:13" x14ac:dyDescent="0.25">
      <c r="A2485" s="3">
        <v>41630</v>
      </c>
      <c r="B2485" s="2" t="s">
        <v>51</v>
      </c>
      <c r="C2485" s="2">
        <v>6</v>
      </c>
      <c r="G2485" s="7" t="str">
        <f t="array" ref="G2485">IF(ROWS(K$20:K2485)&gt;$F$6,"",INDEX(A$2:A$10000,SMALL(IF(ISNUMBER(MATCH($B$2:$B$10000,$E$6:$E$22,0)),ROW($C$2:$C$10000)-ROW($C$2)+1),ROWS(K$20:K2485))))</f>
        <v/>
      </c>
      <c r="H2485" s="4" t="str">
        <f t="array" ref="H2485">IF(ROWS(L$20:L2485)&gt;$F$6,"",INDEX(B$2:B$10000,SMALL(IF(ISNUMBER(MATCH($B$2:$B$10000,$E$6:$E$22,0)),ROW($C$2:$C$10000)-ROW($C$2)+1),ROWS(L$20:L2485))))</f>
        <v/>
      </c>
      <c r="I2485" s="4" t="str">
        <f t="array" ref="I2485">IF(ROWS(M$20:M2485)&gt;$F$6,"",INDEX(C$2:C$10000,SMALL(IF(ISNUMBER(MATCH($B$2:$B$10000,$E$6:$E$22,0)),ROW($C$2:$C$10000)-ROW($C$2)+1),ROWS(M$20:M2485))))</f>
        <v/>
      </c>
      <c r="K2485" s="7" t="str">
        <f t="array" ref="K2485">IF(ROWS(K$20:K2485)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2485))))</f>
        <v/>
      </c>
      <c r="L2485" s="4" t="str">
        <f t="array" ref="L2485">IF(ROWS(L$20:L2485)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2485))))</f>
        <v/>
      </c>
      <c r="M2485" s="4" t="str">
        <f t="array" ref="M2485">IF(ROWS(M$20:M2485)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2485))))</f>
        <v/>
      </c>
    </row>
    <row r="2486" spans="1:13" x14ac:dyDescent="0.25">
      <c r="A2486" s="3">
        <v>41277</v>
      </c>
      <c r="B2486" s="2" t="s">
        <v>28</v>
      </c>
      <c r="C2486" s="2">
        <v>21</v>
      </c>
      <c r="G2486" s="7" t="str">
        <f t="array" ref="G2486">IF(ROWS(K$20:K2486)&gt;$F$6,"",INDEX(A$2:A$10000,SMALL(IF(ISNUMBER(MATCH($B$2:$B$10000,$E$6:$E$22,0)),ROW($C$2:$C$10000)-ROW($C$2)+1),ROWS(K$20:K2486))))</f>
        <v/>
      </c>
      <c r="H2486" s="4" t="str">
        <f t="array" ref="H2486">IF(ROWS(L$20:L2486)&gt;$F$6,"",INDEX(B$2:B$10000,SMALL(IF(ISNUMBER(MATCH($B$2:$B$10000,$E$6:$E$22,0)),ROW($C$2:$C$10000)-ROW($C$2)+1),ROWS(L$20:L2486))))</f>
        <v/>
      </c>
      <c r="I2486" s="4" t="str">
        <f t="array" ref="I2486">IF(ROWS(M$20:M2486)&gt;$F$6,"",INDEX(C$2:C$10000,SMALL(IF(ISNUMBER(MATCH($B$2:$B$10000,$E$6:$E$22,0)),ROW($C$2:$C$10000)-ROW($C$2)+1),ROWS(M$20:M2486))))</f>
        <v/>
      </c>
      <c r="K2486" s="7" t="str">
        <f t="array" ref="K2486">IF(ROWS(K$20:K2486)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2486))))</f>
        <v/>
      </c>
      <c r="L2486" s="4" t="str">
        <f t="array" ref="L2486">IF(ROWS(L$20:L2486)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2486))))</f>
        <v/>
      </c>
      <c r="M2486" s="4" t="str">
        <f t="array" ref="M2486">IF(ROWS(M$20:M2486)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2486))))</f>
        <v/>
      </c>
    </row>
    <row r="2487" spans="1:13" x14ac:dyDescent="0.25">
      <c r="A2487" s="3">
        <v>41610</v>
      </c>
      <c r="B2487" s="2" t="s">
        <v>49</v>
      </c>
      <c r="C2487" s="2">
        <v>23</v>
      </c>
      <c r="G2487" s="7" t="str">
        <f t="array" ref="G2487">IF(ROWS(K$20:K2487)&gt;$F$6,"",INDEX(A$2:A$10000,SMALL(IF(ISNUMBER(MATCH($B$2:$B$10000,$E$6:$E$22,0)),ROW($C$2:$C$10000)-ROW($C$2)+1),ROWS(K$20:K2487))))</f>
        <v/>
      </c>
      <c r="H2487" s="4" t="str">
        <f t="array" ref="H2487">IF(ROWS(L$20:L2487)&gt;$F$6,"",INDEX(B$2:B$10000,SMALL(IF(ISNUMBER(MATCH($B$2:$B$10000,$E$6:$E$22,0)),ROW($C$2:$C$10000)-ROW($C$2)+1),ROWS(L$20:L2487))))</f>
        <v/>
      </c>
      <c r="I2487" s="4" t="str">
        <f t="array" ref="I2487">IF(ROWS(M$20:M2487)&gt;$F$6,"",INDEX(C$2:C$10000,SMALL(IF(ISNUMBER(MATCH($B$2:$B$10000,$E$6:$E$22,0)),ROW($C$2:$C$10000)-ROW($C$2)+1),ROWS(M$20:M2487))))</f>
        <v/>
      </c>
      <c r="K2487" s="7" t="str">
        <f t="array" ref="K2487">IF(ROWS(K$20:K2487)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2487))))</f>
        <v/>
      </c>
      <c r="L2487" s="4" t="str">
        <f t="array" ref="L2487">IF(ROWS(L$20:L2487)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2487))))</f>
        <v/>
      </c>
      <c r="M2487" s="4" t="str">
        <f t="array" ref="M2487">IF(ROWS(M$20:M2487)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2487))))</f>
        <v/>
      </c>
    </row>
    <row r="2488" spans="1:13" x14ac:dyDescent="0.25">
      <c r="A2488" s="3">
        <v>41326</v>
      </c>
      <c r="B2488" s="2" t="s">
        <v>36</v>
      </c>
      <c r="C2488" s="2">
        <v>28</v>
      </c>
      <c r="G2488" s="7" t="str">
        <f t="array" ref="G2488">IF(ROWS(K$20:K2488)&gt;$F$6,"",INDEX(A$2:A$10000,SMALL(IF(ISNUMBER(MATCH($B$2:$B$10000,$E$6:$E$22,0)),ROW($C$2:$C$10000)-ROW($C$2)+1),ROWS(K$20:K2488))))</f>
        <v/>
      </c>
      <c r="H2488" s="4" t="str">
        <f t="array" ref="H2488">IF(ROWS(L$20:L2488)&gt;$F$6,"",INDEX(B$2:B$10000,SMALL(IF(ISNUMBER(MATCH($B$2:$B$10000,$E$6:$E$22,0)),ROW($C$2:$C$10000)-ROW($C$2)+1),ROWS(L$20:L2488))))</f>
        <v/>
      </c>
      <c r="I2488" s="4" t="str">
        <f t="array" ref="I2488">IF(ROWS(M$20:M2488)&gt;$F$6,"",INDEX(C$2:C$10000,SMALL(IF(ISNUMBER(MATCH($B$2:$B$10000,$E$6:$E$22,0)),ROW($C$2:$C$10000)-ROW($C$2)+1),ROWS(M$20:M2488))))</f>
        <v/>
      </c>
      <c r="K2488" s="7" t="str">
        <f t="array" ref="K2488">IF(ROWS(K$20:K2488)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2488))))</f>
        <v/>
      </c>
      <c r="L2488" s="4" t="str">
        <f t="array" ref="L2488">IF(ROWS(L$20:L2488)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2488))))</f>
        <v/>
      </c>
      <c r="M2488" s="4" t="str">
        <f t="array" ref="M2488">IF(ROWS(M$20:M2488)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2488))))</f>
        <v/>
      </c>
    </row>
    <row r="2489" spans="1:13" x14ac:dyDescent="0.25">
      <c r="A2489" s="3">
        <v>41812</v>
      </c>
      <c r="B2489" s="2" t="s">
        <v>39</v>
      </c>
      <c r="C2489" s="2">
        <v>12</v>
      </c>
      <c r="G2489" s="7" t="str">
        <f t="array" ref="G2489">IF(ROWS(K$20:K2489)&gt;$F$6,"",INDEX(A$2:A$10000,SMALL(IF(ISNUMBER(MATCH($B$2:$B$10000,$E$6:$E$22,0)),ROW($C$2:$C$10000)-ROW($C$2)+1),ROWS(K$20:K2489))))</f>
        <v/>
      </c>
      <c r="H2489" s="4" t="str">
        <f t="array" ref="H2489">IF(ROWS(L$20:L2489)&gt;$F$6,"",INDEX(B$2:B$10000,SMALL(IF(ISNUMBER(MATCH($B$2:$B$10000,$E$6:$E$22,0)),ROW($C$2:$C$10000)-ROW($C$2)+1),ROWS(L$20:L2489))))</f>
        <v/>
      </c>
      <c r="I2489" s="4" t="str">
        <f t="array" ref="I2489">IF(ROWS(M$20:M2489)&gt;$F$6,"",INDEX(C$2:C$10000,SMALL(IF(ISNUMBER(MATCH($B$2:$B$10000,$E$6:$E$22,0)),ROW($C$2:$C$10000)-ROW($C$2)+1),ROWS(M$20:M2489))))</f>
        <v/>
      </c>
      <c r="K2489" s="7" t="str">
        <f t="array" ref="K2489">IF(ROWS(K$20:K2489)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2489))))</f>
        <v/>
      </c>
      <c r="L2489" s="4" t="str">
        <f t="array" ref="L2489">IF(ROWS(L$20:L2489)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2489))))</f>
        <v/>
      </c>
      <c r="M2489" s="4" t="str">
        <f t="array" ref="M2489">IF(ROWS(M$20:M2489)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2489))))</f>
        <v/>
      </c>
    </row>
    <row r="2490" spans="1:13" x14ac:dyDescent="0.25">
      <c r="A2490" s="3">
        <v>41307</v>
      </c>
      <c r="B2490" s="2" t="s">
        <v>15</v>
      </c>
      <c r="C2490" s="2">
        <v>53</v>
      </c>
      <c r="G2490" s="7" t="str">
        <f t="array" ref="G2490">IF(ROWS(K$20:K2490)&gt;$F$6,"",INDEX(A$2:A$10000,SMALL(IF(ISNUMBER(MATCH($B$2:$B$10000,$E$6:$E$22,0)),ROW($C$2:$C$10000)-ROW($C$2)+1),ROWS(K$20:K2490))))</f>
        <v/>
      </c>
      <c r="H2490" s="4" t="str">
        <f t="array" ref="H2490">IF(ROWS(L$20:L2490)&gt;$F$6,"",INDEX(B$2:B$10000,SMALL(IF(ISNUMBER(MATCH($B$2:$B$10000,$E$6:$E$22,0)),ROW($C$2:$C$10000)-ROW($C$2)+1),ROWS(L$20:L2490))))</f>
        <v/>
      </c>
      <c r="I2490" s="4" t="str">
        <f t="array" ref="I2490">IF(ROWS(M$20:M2490)&gt;$F$6,"",INDEX(C$2:C$10000,SMALL(IF(ISNUMBER(MATCH($B$2:$B$10000,$E$6:$E$22,0)),ROW($C$2:$C$10000)-ROW($C$2)+1),ROWS(M$20:M2490))))</f>
        <v/>
      </c>
      <c r="K2490" s="7" t="str">
        <f t="array" ref="K2490">IF(ROWS(K$20:K2490)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2490))))</f>
        <v/>
      </c>
      <c r="L2490" s="4" t="str">
        <f t="array" ref="L2490">IF(ROWS(L$20:L2490)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2490))))</f>
        <v/>
      </c>
      <c r="M2490" s="4" t="str">
        <f t="array" ref="M2490">IF(ROWS(M$20:M2490)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2490))))</f>
        <v/>
      </c>
    </row>
    <row r="2491" spans="1:13" x14ac:dyDescent="0.25">
      <c r="A2491" s="3">
        <v>41846</v>
      </c>
      <c r="B2491" s="2" t="s">
        <v>26</v>
      </c>
      <c r="C2491" s="2">
        <v>11</v>
      </c>
      <c r="G2491" s="7" t="str">
        <f t="array" ref="G2491">IF(ROWS(K$20:K2491)&gt;$F$6,"",INDEX(A$2:A$10000,SMALL(IF(ISNUMBER(MATCH($B$2:$B$10000,$E$6:$E$22,0)),ROW($C$2:$C$10000)-ROW($C$2)+1),ROWS(K$20:K2491))))</f>
        <v/>
      </c>
      <c r="H2491" s="4" t="str">
        <f t="array" ref="H2491">IF(ROWS(L$20:L2491)&gt;$F$6,"",INDEX(B$2:B$10000,SMALL(IF(ISNUMBER(MATCH($B$2:$B$10000,$E$6:$E$22,0)),ROW($C$2:$C$10000)-ROW($C$2)+1),ROWS(L$20:L2491))))</f>
        <v/>
      </c>
      <c r="I2491" s="4" t="str">
        <f t="array" ref="I2491">IF(ROWS(M$20:M2491)&gt;$F$6,"",INDEX(C$2:C$10000,SMALL(IF(ISNUMBER(MATCH($B$2:$B$10000,$E$6:$E$22,0)),ROW($C$2:$C$10000)-ROW($C$2)+1),ROWS(M$20:M2491))))</f>
        <v/>
      </c>
      <c r="K2491" s="7" t="str">
        <f t="array" ref="K2491">IF(ROWS(K$20:K2491)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2491))))</f>
        <v/>
      </c>
      <c r="L2491" s="4" t="str">
        <f t="array" ref="L2491">IF(ROWS(L$20:L2491)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2491))))</f>
        <v/>
      </c>
      <c r="M2491" s="4" t="str">
        <f t="array" ref="M2491">IF(ROWS(M$20:M2491)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2491))))</f>
        <v/>
      </c>
    </row>
    <row r="2492" spans="1:13" x14ac:dyDescent="0.25">
      <c r="A2492" s="3">
        <v>41532</v>
      </c>
      <c r="B2492" s="2" t="s">
        <v>11</v>
      </c>
      <c r="C2492" s="2">
        <v>32</v>
      </c>
      <c r="G2492" s="7" t="str">
        <f t="array" ref="G2492">IF(ROWS(K$20:K2492)&gt;$F$6,"",INDEX(A$2:A$10000,SMALL(IF(ISNUMBER(MATCH($B$2:$B$10000,$E$6:$E$22,0)),ROW($C$2:$C$10000)-ROW($C$2)+1),ROWS(K$20:K2492))))</f>
        <v/>
      </c>
      <c r="H2492" s="4" t="str">
        <f t="array" ref="H2492">IF(ROWS(L$20:L2492)&gt;$F$6,"",INDEX(B$2:B$10000,SMALL(IF(ISNUMBER(MATCH($B$2:$B$10000,$E$6:$E$22,0)),ROW($C$2:$C$10000)-ROW($C$2)+1),ROWS(L$20:L2492))))</f>
        <v/>
      </c>
      <c r="I2492" s="4" t="str">
        <f t="array" ref="I2492">IF(ROWS(M$20:M2492)&gt;$F$6,"",INDEX(C$2:C$10000,SMALL(IF(ISNUMBER(MATCH($B$2:$B$10000,$E$6:$E$22,0)),ROW($C$2:$C$10000)-ROW($C$2)+1),ROWS(M$20:M2492))))</f>
        <v/>
      </c>
      <c r="K2492" s="7" t="str">
        <f t="array" ref="K2492">IF(ROWS(K$20:K2492)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2492))))</f>
        <v/>
      </c>
      <c r="L2492" s="4" t="str">
        <f t="array" ref="L2492">IF(ROWS(L$20:L2492)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2492))))</f>
        <v/>
      </c>
      <c r="M2492" s="4" t="str">
        <f t="array" ref="M2492">IF(ROWS(M$20:M2492)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2492))))</f>
        <v/>
      </c>
    </row>
    <row r="2493" spans="1:13" x14ac:dyDescent="0.25">
      <c r="A2493" s="3">
        <v>41943</v>
      </c>
      <c r="B2493" s="2" t="s">
        <v>5</v>
      </c>
      <c r="C2493" s="2">
        <v>12</v>
      </c>
      <c r="G2493" s="7" t="str">
        <f t="array" ref="G2493">IF(ROWS(K$20:K2493)&gt;$F$6,"",INDEX(A$2:A$10000,SMALL(IF(ISNUMBER(MATCH($B$2:$B$10000,$E$6:$E$22,0)),ROW($C$2:$C$10000)-ROW($C$2)+1),ROWS(K$20:K2493))))</f>
        <v/>
      </c>
      <c r="H2493" s="4" t="str">
        <f t="array" ref="H2493">IF(ROWS(L$20:L2493)&gt;$F$6,"",INDEX(B$2:B$10000,SMALL(IF(ISNUMBER(MATCH($B$2:$B$10000,$E$6:$E$22,0)),ROW($C$2:$C$10000)-ROW($C$2)+1),ROWS(L$20:L2493))))</f>
        <v/>
      </c>
      <c r="I2493" s="4" t="str">
        <f t="array" ref="I2493">IF(ROWS(M$20:M2493)&gt;$F$6,"",INDEX(C$2:C$10000,SMALL(IF(ISNUMBER(MATCH($B$2:$B$10000,$E$6:$E$22,0)),ROW($C$2:$C$10000)-ROW($C$2)+1),ROWS(M$20:M2493))))</f>
        <v/>
      </c>
      <c r="K2493" s="7" t="str">
        <f t="array" ref="K2493">IF(ROWS(K$20:K2493)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2493))))</f>
        <v/>
      </c>
      <c r="L2493" s="4" t="str">
        <f t="array" ref="L2493">IF(ROWS(L$20:L2493)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2493))))</f>
        <v/>
      </c>
      <c r="M2493" s="4" t="str">
        <f t="array" ref="M2493">IF(ROWS(M$20:M2493)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2493))))</f>
        <v/>
      </c>
    </row>
    <row r="2494" spans="1:13" x14ac:dyDescent="0.25">
      <c r="A2494" s="3">
        <v>41352</v>
      </c>
      <c r="B2494" s="2" t="s">
        <v>33</v>
      </c>
      <c r="C2494" s="2">
        <v>18</v>
      </c>
      <c r="G2494" s="7" t="str">
        <f t="array" ref="G2494">IF(ROWS(K$20:K2494)&gt;$F$6,"",INDEX(A$2:A$10000,SMALL(IF(ISNUMBER(MATCH($B$2:$B$10000,$E$6:$E$22,0)),ROW($C$2:$C$10000)-ROW($C$2)+1),ROWS(K$20:K2494))))</f>
        <v/>
      </c>
      <c r="H2494" s="4" t="str">
        <f t="array" ref="H2494">IF(ROWS(L$20:L2494)&gt;$F$6,"",INDEX(B$2:B$10000,SMALL(IF(ISNUMBER(MATCH($B$2:$B$10000,$E$6:$E$22,0)),ROW($C$2:$C$10000)-ROW($C$2)+1),ROWS(L$20:L2494))))</f>
        <v/>
      </c>
      <c r="I2494" s="4" t="str">
        <f t="array" ref="I2494">IF(ROWS(M$20:M2494)&gt;$F$6,"",INDEX(C$2:C$10000,SMALL(IF(ISNUMBER(MATCH($B$2:$B$10000,$E$6:$E$22,0)),ROW($C$2:$C$10000)-ROW($C$2)+1),ROWS(M$20:M2494))))</f>
        <v/>
      </c>
      <c r="K2494" s="7" t="str">
        <f t="array" ref="K2494">IF(ROWS(K$20:K2494)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2494))))</f>
        <v/>
      </c>
      <c r="L2494" s="4" t="str">
        <f t="array" ref="L2494">IF(ROWS(L$20:L2494)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2494))))</f>
        <v/>
      </c>
      <c r="M2494" s="4" t="str">
        <f t="array" ref="M2494">IF(ROWS(M$20:M2494)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2494))))</f>
        <v/>
      </c>
    </row>
    <row r="2495" spans="1:13" x14ac:dyDescent="0.25">
      <c r="A2495" s="3">
        <v>41807</v>
      </c>
      <c r="B2495" s="2" t="s">
        <v>40</v>
      </c>
      <c r="C2495" s="2">
        <v>23</v>
      </c>
      <c r="G2495" s="7" t="str">
        <f t="array" ref="G2495">IF(ROWS(K$20:K2495)&gt;$F$6,"",INDEX(A$2:A$10000,SMALL(IF(ISNUMBER(MATCH($B$2:$B$10000,$E$6:$E$22,0)),ROW($C$2:$C$10000)-ROW($C$2)+1),ROWS(K$20:K2495))))</f>
        <v/>
      </c>
      <c r="H2495" s="4" t="str">
        <f t="array" ref="H2495">IF(ROWS(L$20:L2495)&gt;$F$6,"",INDEX(B$2:B$10000,SMALL(IF(ISNUMBER(MATCH($B$2:$B$10000,$E$6:$E$22,0)),ROW($C$2:$C$10000)-ROW($C$2)+1),ROWS(L$20:L2495))))</f>
        <v/>
      </c>
      <c r="I2495" s="4" t="str">
        <f t="array" ref="I2495">IF(ROWS(M$20:M2495)&gt;$F$6,"",INDEX(C$2:C$10000,SMALL(IF(ISNUMBER(MATCH($B$2:$B$10000,$E$6:$E$22,0)),ROW($C$2:$C$10000)-ROW($C$2)+1),ROWS(M$20:M2495))))</f>
        <v/>
      </c>
      <c r="K2495" s="7" t="str">
        <f t="array" ref="K2495">IF(ROWS(K$20:K2495)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2495))))</f>
        <v/>
      </c>
      <c r="L2495" s="4" t="str">
        <f t="array" ref="L2495">IF(ROWS(L$20:L2495)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2495))))</f>
        <v/>
      </c>
      <c r="M2495" s="4" t="str">
        <f t="array" ref="M2495">IF(ROWS(M$20:M2495)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2495))))</f>
        <v/>
      </c>
    </row>
    <row r="2496" spans="1:13" x14ac:dyDescent="0.25">
      <c r="A2496" s="3">
        <v>41477</v>
      </c>
      <c r="B2496" s="2" t="s">
        <v>8</v>
      </c>
      <c r="C2496" s="2">
        <v>38</v>
      </c>
      <c r="G2496" s="7" t="str">
        <f t="array" ref="G2496">IF(ROWS(K$20:K2496)&gt;$F$6,"",INDEX(A$2:A$10000,SMALL(IF(ISNUMBER(MATCH($B$2:$B$10000,$E$6:$E$22,0)),ROW($C$2:$C$10000)-ROW($C$2)+1),ROWS(K$20:K2496))))</f>
        <v/>
      </c>
      <c r="H2496" s="4" t="str">
        <f t="array" ref="H2496">IF(ROWS(L$20:L2496)&gt;$F$6,"",INDEX(B$2:B$10000,SMALL(IF(ISNUMBER(MATCH($B$2:$B$10000,$E$6:$E$22,0)),ROW($C$2:$C$10000)-ROW($C$2)+1),ROWS(L$20:L2496))))</f>
        <v/>
      </c>
      <c r="I2496" s="4" t="str">
        <f t="array" ref="I2496">IF(ROWS(M$20:M2496)&gt;$F$6,"",INDEX(C$2:C$10000,SMALL(IF(ISNUMBER(MATCH($B$2:$B$10000,$E$6:$E$22,0)),ROW($C$2:$C$10000)-ROW($C$2)+1),ROWS(M$20:M2496))))</f>
        <v/>
      </c>
      <c r="K2496" s="7" t="str">
        <f t="array" ref="K2496">IF(ROWS(K$20:K2496)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2496))))</f>
        <v/>
      </c>
      <c r="L2496" s="4" t="str">
        <f t="array" ref="L2496">IF(ROWS(L$20:L2496)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2496))))</f>
        <v/>
      </c>
      <c r="M2496" s="4" t="str">
        <f t="array" ref="M2496">IF(ROWS(M$20:M2496)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2496))))</f>
        <v/>
      </c>
    </row>
    <row r="2497" spans="1:13" x14ac:dyDescent="0.25">
      <c r="A2497" s="3">
        <v>41347</v>
      </c>
      <c r="B2497" s="2" t="s">
        <v>21</v>
      </c>
      <c r="C2497" s="2">
        <v>27</v>
      </c>
      <c r="G2497" s="7" t="str">
        <f t="array" ref="G2497">IF(ROWS(K$20:K2497)&gt;$F$6,"",INDEX(A$2:A$10000,SMALL(IF(ISNUMBER(MATCH($B$2:$B$10000,$E$6:$E$22,0)),ROW($C$2:$C$10000)-ROW($C$2)+1),ROWS(K$20:K2497))))</f>
        <v/>
      </c>
      <c r="H2497" s="4" t="str">
        <f t="array" ref="H2497">IF(ROWS(L$20:L2497)&gt;$F$6,"",INDEX(B$2:B$10000,SMALL(IF(ISNUMBER(MATCH($B$2:$B$10000,$E$6:$E$22,0)),ROW($C$2:$C$10000)-ROW($C$2)+1),ROWS(L$20:L2497))))</f>
        <v/>
      </c>
      <c r="I2497" s="4" t="str">
        <f t="array" ref="I2497">IF(ROWS(M$20:M2497)&gt;$F$6,"",INDEX(C$2:C$10000,SMALL(IF(ISNUMBER(MATCH($B$2:$B$10000,$E$6:$E$22,0)),ROW($C$2:$C$10000)-ROW($C$2)+1),ROWS(M$20:M2497))))</f>
        <v/>
      </c>
      <c r="K2497" s="7" t="str">
        <f t="array" ref="K2497">IF(ROWS(K$20:K2497)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2497))))</f>
        <v/>
      </c>
      <c r="L2497" s="4" t="str">
        <f t="array" ref="L2497">IF(ROWS(L$20:L2497)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2497))))</f>
        <v/>
      </c>
      <c r="M2497" s="4" t="str">
        <f t="array" ref="M2497">IF(ROWS(M$20:M2497)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2497))))</f>
        <v/>
      </c>
    </row>
    <row r="2498" spans="1:13" x14ac:dyDescent="0.25">
      <c r="A2498" s="3">
        <v>41454</v>
      </c>
      <c r="B2498" s="2" t="s">
        <v>4</v>
      </c>
      <c r="C2498" s="2">
        <v>5</v>
      </c>
      <c r="G2498" s="7" t="str">
        <f t="array" ref="G2498">IF(ROWS(K$20:K2498)&gt;$F$6,"",INDEX(A$2:A$10000,SMALL(IF(ISNUMBER(MATCH($B$2:$B$10000,$E$6:$E$22,0)),ROW($C$2:$C$10000)-ROW($C$2)+1),ROWS(K$20:K2498))))</f>
        <v/>
      </c>
      <c r="H2498" s="4" t="str">
        <f t="array" ref="H2498">IF(ROWS(L$20:L2498)&gt;$F$6,"",INDEX(B$2:B$10000,SMALL(IF(ISNUMBER(MATCH($B$2:$B$10000,$E$6:$E$22,0)),ROW($C$2:$C$10000)-ROW($C$2)+1),ROWS(L$20:L2498))))</f>
        <v/>
      </c>
      <c r="I2498" s="4" t="str">
        <f t="array" ref="I2498">IF(ROWS(M$20:M2498)&gt;$F$6,"",INDEX(C$2:C$10000,SMALL(IF(ISNUMBER(MATCH($B$2:$B$10000,$E$6:$E$22,0)),ROW($C$2:$C$10000)-ROW($C$2)+1),ROWS(M$20:M2498))))</f>
        <v/>
      </c>
      <c r="K2498" s="7" t="str">
        <f t="array" ref="K2498">IF(ROWS(K$20:K2498)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2498))))</f>
        <v/>
      </c>
      <c r="L2498" s="4" t="str">
        <f t="array" ref="L2498">IF(ROWS(L$20:L2498)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2498))))</f>
        <v/>
      </c>
      <c r="M2498" s="4" t="str">
        <f t="array" ref="M2498">IF(ROWS(M$20:M2498)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2498))))</f>
        <v/>
      </c>
    </row>
    <row r="2499" spans="1:13" x14ac:dyDescent="0.25">
      <c r="A2499" s="3">
        <v>41657</v>
      </c>
      <c r="B2499" s="2" t="s">
        <v>13</v>
      </c>
      <c r="C2499" s="2">
        <v>29</v>
      </c>
      <c r="G2499" s="7" t="str">
        <f t="array" ref="G2499">IF(ROWS(K$20:K2499)&gt;$F$6,"",INDEX(A$2:A$10000,SMALL(IF(ISNUMBER(MATCH($B$2:$B$10000,$E$6:$E$22,0)),ROW($C$2:$C$10000)-ROW($C$2)+1),ROWS(K$20:K2499))))</f>
        <v/>
      </c>
      <c r="H2499" s="4" t="str">
        <f t="array" ref="H2499">IF(ROWS(L$20:L2499)&gt;$F$6,"",INDEX(B$2:B$10000,SMALL(IF(ISNUMBER(MATCH($B$2:$B$10000,$E$6:$E$22,0)),ROW($C$2:$C$10000)-ROW($C$2)+1),ROWS(L$20:L2499))))</f>
        <v/>
      </c>
      <c r="I2499" s="4" t="str">
        <f t="array" ref="I2499">IF(ROWS(M$20:M2499)&gt;$F$6,"",INDEX(C$2:C$10000,SMALL(IF(ISNUMBER(MATCH($B$2:$B$10000,$E$6:$E$22,0)),ROW($C$2:$C$10000)-ROW($C$2)+1),ROWS(M$20:M2499))))</f>
        <v/>
      </c>
      <c r="K2499" s="7" t="str">
        <f t="array" ref="K2499">IF(ROWS(K$20:K2499)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2499))))</f>
        <v/>
      </c>
      <c r="L2499" s="4" t="str">
        <f t="array" ref="L2499">IF(ROWS(L$20:L2499)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2499))))</f>
        <v/>
      </c>
      <c r="M2499" s="4" t="str">
        <f t="array" ref="M2499">IF(ROWS(M$20:M2499)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2499))))</f>
        <v/>
      </c>
    </row>
    <row r="2500" spans="1:13" x14ac:dyDescent="0.25">
      <c r="A2500" s="3">
        <v>41364</v>
      </c>
      <c r="B2500" s="2" t="s">
        <v>3</v>
      </c>
      <c r="C2500" s="2">
        <v>37</v>
      </c>
      <c r="G2500" s="7" t="str">
        <f t="array" ref="G2500">IF(ROWS(K$20:K2500)&gt;$F$6,"",INDEX(A$2:A$10000,SMALL(IF(ISNUMBER(MATCH($B$2:$B$10000,$E$6:$E$22,0)),ROW($C$2:$C$10000)-ROW($C$2)+1),ROWS(K$20:K2500))))</f>
        <v/>
      </c>
      <c r="H2500" s="4" t="str">
        <f t="array" ref="H2500">IF(ROWS(L$20:L2500)&gt;$F$6,"",INDEX(B$2:B$10000,SMALL(IF(ISNUMBER(MATCH($B$2:$B$10000,$E$6:$E$22,0)),ROW($C$2:$C$10000)-ROW($C$2)+1),ROWS(L$20:L2500))))</f>
        <v/>
      </c>
      <c r="I2500" s="4" t="str">
        <f t="array" ref="I2500">IF(ROWS(M$20:M2500)&gt;$F$6,"",INDEX(C$2:C$10000,SMALL(IF(ISNUMBER(MATCH($B$2:$B$10000,$E$6:$E$22,0)),ROW($C$2:$C$10000)-ROW($C$2)+1),ROWS(M$20:M2500))))</f>
        <v/>
      </c>
      <c r="K2500" s="7" t="str">
        <f t="array" ref="K2500">IF(ROWS(K$20:K2500)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2500))))</f>
        <v/>
      </c>
      <c r="L2500" s="4" t="str">
        <f t="array" ref="L2500">IF(ROWS(L$20:L2500)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2500))))</f>
        <v/>
      </c>
      <c r="M2500" s="4" t="str">
        <f t="array" ref="M2500">IF(ROWS(M$20:M2500)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2500))))</f>
        <v/>
      </c>
    </row>
    <row r="2501" spans="1:13" x14ac:dyDescent="0.25">
      <c r="A2501" s="3">
        <v>41718</v>
      </c>
      <c r="B2501" s="2" t="s">
        <v>42</v>
      </c>
      <c r="C2501" s="2">
        <v>25</v>
      </c>
      <c r="G2501" s="7" t="str">
        <f t="array" ref="G2501">IF(ROWS(K$20:K2501)&gt;$F$6,"",INDEX(A$2:A$10000,SMALL(IF(ISNUMBER(MATCH($B$2:$B$10000,$E$6:$E$22,0)),ROW($C$2:$C$10000)-ROW($C$2)+1),ROWS(K$20:K2501))))</f>
        <v/>
      </c>
      <c r="H2501" s="4" t="str">
        <f t="array" ref="H2501">IF(ROWS(L$20:L2501)&gt;$F$6,"",INDEX(B$2:B$10000,SMALL(IF(ISNUMBER(MATCH($B$2:$B$10000,$E$6:$E$22,0)),ROW($C$2:$C$10000)-ROW($C$2)+1),ROWS(L$20:L2501))))</f>
        <v/>
      </c>
      <c r="I2501" s="4" t="str">
        <f t="array" ref="I2501">IF(ROWS(M$20:M2501)&gt;$F$6,"",INDEX(C$2:C$10000,SMALL(IF(ISNUMBER(MATCH($B$2:$B$10000,$E$6:$E$22,0)),ROW($C$2:$C$10000)-ROW($C$2)+1),ROWS(M$20:M2501))))</f>
        <v/>
      </c>
      <c r="K2501" s="7" t="str">
        <f t="array" ref="K2501">IF(ROWS(K$20:K2501)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2501))))</f>
        <v/>
      </c>
      <c r="L2501" s="4" t="str">
        <f t="array" ref="L2501">IF(ROWS(L$20:L2501)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2501))))</f>
        <v/>
      </c>
      <c r="M2501" s="4" t="str">
        <f t="array" ref="M2501">IF(ROWS(M$20:M2501)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2501))))</f>
        <v/>
      </c>
    </row>
    <row r="2502" spans="1:13" x14ac:dyDescent="0.25">
      <c r="A2502" s="3">
        <v>41878</v>
      </c>
      <c r="B2502" s="2" t="s">
        <v>48</v>
      </c>
      <c r="C2502" s="2">
        <v>31</v>
      </c>
      <c r="G2502" s="7" t="str">
        <f t="array" ref="G2502">IF(ROWS(K$20:K2502)&gt;$F$6,"",INDEX(A$2:A$10000,SMALL(IF(ISNUMBER(MATCH($B$2:$B$10000,$E$6:$E$22,0)),ROW($C$2:$C$10000)-ROW($C$2)+1),ROWS(K$20:K2502))))</f>
        <v/>
      </c>
      <c r="H2502" s="4" t="str">
        <f t="array" ref="H2502">IF(ROWS(L$20:L2502)&gt;$F$6,"",INDEX(B$2:B$10000,SMALL(IF(ISNUMBER(MATCH($B$2:$B$10000,$E$6:$E$22,0)),ROW($C$2:$C$10000)-ROW($C$2)+1),ROWS(L$20:L2502))))</f>
        <v/>
      </c>
      <c r="I2502" s="4" t="str">
        <f t="array" ref="I2502">IF(ROWS(M$20:M2502)&gt;$F$6,"",INDEX(C$2:C$10000,SMALL(IF(ISNUMBER(MATCH($B$2:$B$10000,$E$6:$E$22,0)),ROW($C$2:$C$10000)-ROW($C$2)+1),ROWS(M$20:M2502))))</f>
        <v/>
      </c>
      <c r="K2502" s="7" t="str">
        <f t="array" ref="K2502">IF(ROWS(K$20:K2502)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2502))))</f>
        <v/>
      </c>
      <c r="L2502" s="4" t="str">
        <f t="array" ref="L2502">IF(ROWS(L$20:L2502)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2502))))</f>
        <v/>
      </c>
      <c r="M2502" s="4" t="str">
        <f t="array" ref="M2502">IF(ROWS(M$20:M2502)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2502))))</f>
        <v/>
      </c>
    </row>
    <row r="2503" spans="1:13" x14ac:dyDescent="0.25">
      <c r="A2503" s="3">
        <v>41594</v>
      </c>
      <c r="B2503" s="2" t="s">
        <v>33</v>
      </c>
      <c r="C2503" s="2">
        <v>35</v>
      </c>
      <c r="G2503" s="7" t="str">
        <f t="array" ref="G2503">IF(ROWS(K$20:K2503)&gt;$F$6,"",INDEX(A$2:A$10000,SMALL(IF(ISNUMBER(MATCH($B$2:$B$10000,$E$6:$E$22,0)),ROW($C$2:$C$10000)-ROW($C$2)+1),ROWS(K$20:K2503))))</f>
        <v/>
      </c>
      <c r="H2503" s="4" t="str">
        <f t="array" ref="H2503">IF(ROWS(L$20:L2503)&gt;$F$6,"",INDEX(B$2:B$10000,SMALL(IF(ISNUMBER(MATCH($B$2:$B$10000,$E$6:$E$22,0)),ROW($C$2:$C$10000)-ROW($C$2)+1),ROWS(L$20:L2503))))</f>
        <v/>
      </c>
      <c r="I2503" s="4" t="str">
        <f t="array" ref="I2503">IF(ROWS(M$20:M2503)&gt;$F$6,"",INDEX(C$2:C$10000,SMALL(IF(ISNUMBER(MATCH($B$2:$B$10000,$E$6:$E$22,0)),ROW($C$2:$C$10000)-ROW($C$2)+1),ROWS(M$20:M2503))))</f>
        <v/>
      </c>
      <c r="K2503" s="7" t="str">
        <f t="array" ref="K2503">IF(ROWS(K$20:K2503)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2503))))</f>
        <v/>
      </c>
      <c r="L2503" s="4" t="str">
        <f t="array" ref="L2503">IF(ROWS(L$20:L2503)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2503))))</f>
        <v/>
      </c>
      <c r="M2503" s="4" t="str">
        <f t="array" ref="M2503">IF(ROWS(M$20:M2503)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2503))))</f>
        <v/>
      </c>
    </row>
    <row r="2504" spans="1:13" x14ac:dyDescent="0.25">
      <c r="A2504" s="3">
        <v>41553</v>
      </c>
      <c r="B2504" s="2" t="s">
        <v>37</v>
      </c>
      <c r="C2504" s="2">
        <v>36</v>
      </c>
      <c r="G2504" s="7" t="str">
        <f t="array" ref="G2504">IF(ROWS(K$20:K2504)&gt;$F$6,"",INDEX(A$2:A$10000,SMALL(IF(ISNUMBER(MATCH($B$2:$B$10000,$E$6:$E$22,0)),ROW($C$2:$C$10000)-ROW($C$2)+1),ROWS(K$20:K2504))))</f>
        <v/>
      </c>
      <c r="H2504" s="4" t="str">
        <f t="array" ref="H2504">IF(ROWS(L$20:L2504)&gt;$F$6,"",INDEX(B$2:B$10000,SMALL(IF(ISNUMBER(MATCH($B$2:$B$10000,$E$6:$E$22,0)),ROW($C$2:$C$10000)-ROW($C$2)+1),ROWS(L$20:L2504))))</f>
        <v/>
      </c>
      <c r="I2504" s="4" t="str">
        <f t="array" ref="I2504">IF(ROWS(M$20:M2504)&gt;$F$6,"",INDEX(C$2:C$10000,SMALL(IF(ISNUMBER(MATCH($B$2:$B$10000,$E$6:$E$22,0)),ROW($C$2:$C$10000)-ROW($C$2)+1),ROWS(M$20:M2504))))</f>
        <v/>
      </c>
      <c r="K2504" s="7" t="str">
        <f t="array" ref="K2504">IF(ROWS(K$20:K2504)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2504))))</f>
        <v/>
      </c>
      <c r="L2504" s="4" t="str">
        <f t="array" ref="L2504">IF(ROWS(L$20:L2504)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2504))))</f>
        <v/>
      </c>
      <c r="M2504" s="4" t="str">
        <f t="array" ref="M2504">IF(ROWS(M$20:M2504)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2504))))</f>
        <v/>
      </c>
    </row>
    <row r="2505" spans="1:13" x14ac:dyDescent="0.25">
      <c r="A2505" s="3">
        <v>41746</v>
      </c>
      <c r="B2505" s="2" t="s">
        <v>49</v>
      </c>
      <c r="C2505" s="2">
        <v>30</v>
      </c>
      <c r="G2505" s="7" t="str">
        <f t="array" ref="G2505">IF(ROWS(K$20:K2505)&gt;$F$6,"",INDEX(A$2:A$10000,SMALL(IF(ISNUMBER(MATCH($B$2:$B$10000,$E$6:$E$22,0)),ROW($C$2:$C$10000)-ROW($C$2)+1),ROWS(K$20:K2505))))</f>
        <v/>
      </c>
      <c r="H2505" s="4" t="str">
        <f t="array" ref="H2505">IF(ROWS(L$20:L2505)&gt;$F$6,"",INDEX(B$2:B$10000,SMALL(IF(ISNUMBER(MATCH($B$2:$B$10000,$E$6:$E$22,0)),ROW($C$2:$C$10000)-ROW($C$2)+1),ROWS(L$20:L2505))))</f>
        <v/>
      </c>
      <c r="I2505" s="4" t="str">
        <f t="array" ref="I2505">IF(ROWS(M$20:M2505)&gt;$F$6,"",INDEX(C$2:C$10000,SMALL(IF(ISNUMBER(MATCH($B$2:$B$10000,$E$6:$E$22,0)),ROW($C$2:$C$10000)-ROW($C$2)+1),ROWS(M$20:M2505))))</f>
        <v/>
      </c>
      <c r="K2505" s="7" t="str">
        <f t="array" ref="K2505">IF(ROWS(K$20:K2505)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2505))))</f>
        <v/>
      </c>
      <c r="L2505" s="4" t="str">
        <f t="array" ref="L2505">IF(ROWS(L$20:L2505)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2505))))</f>
        <v/>
      </c>
      <c r="M2505" s="4" t="str">
        <f t="array" ref="M2505">IF(ROWS(M$20:M2505)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2505))))</f>
        <v/>
      </c>
    </row>
    <row r="2506" spans="1:13" x14ac:dyDescent="0.25">
      <c r="A2506" s="3">
        <v>41395</v>
      </c>
      <c r="B2506" s="2" t="s">
        <v>5</v>
      </c>
      <c r="C2506" s="2">
        <v>30</v>
      </c>
      <c r="G2506" s="7" t="str">
        <f t="array" ref="G2506">IF(ROWS(K$20:K2506)&gt;$F$6,"",INDEX(A$2:A$10000,SMALL(IF(ISNUMBER(MATCH($B$2:$B$10000,$E$6:$E$22,0)),ROW($C$2:$C$10000)-ROW($C$2)+1),ROWS(K$20:K2506))))</f>
        <v/>
      </c>
      <c r="H2506" s="4" t="str">
        <f t="array" ref="H2506">IF(ROWS(L$20:L2506)&gt;$F$6,"",INDEX(B$2:B$10000,SMALL(IF(ISNUMBER(MATCH($B$2:$B$10000,$E$6:$E$22,0)),ROW($C$2:$C$10000)-ROW($C$2)+1),ROWS(L$20:L2506))))</f>
        <v/>
      </c>
      <c r="I2506" s="4" t="str">
        <f t="array" ref="I2506">IF(ROWS(M$20:M2506)&gt;$F$6,"",INDEX(C$2:C$10000,SMALL(IF(ISNUMBER(MATCH($B$2:$B$10000,$E$6:$E$22,0)),ROW($C$2:$C$10000)-ROW($C$2)+1),ROWS(M$20:M2506))))</f>
        <v/>
      </c>
      <c r="K2506" s="7" t="str">
        <f t="array" ref="K2506">IF(ROWS(K$20:K2506)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2506))))</f>
        <v/>
      </c>
      <c r="L2506" s="4" t="str">
        <f t="array" ref="L2506">IF(ROWS(L$20:L2506)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2506))))</f>
        <v/>
      </c>
      <c r="M2506" s="4" t="str">
        <f t="array" ref="M2506">IF(ROWS(M$20:M2506)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2506))))</f>
        <v/>
      </c>
    </row>
    <row r="2507" spans="1:13" x14ac:dyDescent="0.25">
      <c r="A2507" s="3">
        <v>41530</v>
      </c>
      <c r="B2507" s="2" t="s">
        <v>4</v>
      </c>
      <c r="C2507" s="2">
        <v>36</v>
      </c>
      <c r="G2507" s="7" t="str">
        <f t="array" ref="G2507">IF(ROWS(K$20:K2507)&gt;$F$6,"",INDEX(A$2:A$10000,SMALL(IF(ISNUMBER(MATCH($B$2:$B$10000,$E$6:$E$22,0)),ROW($C$2:$C$10000)-ROW($C$2)+1),ROWS(K$20:K2507))))</f>
        <v/>
      </c>
      <c r="H2507" s="4" t="str">
        <f t="array" ref="H2507">IF(ROWS(L$20:L2507)&gt;$F$6,"",INDEX(B$2:B$10000,SMALL(IF(ISNUMBER(MATCH($B$2:$B$10000,$E$6:$E$22,0)),ROW($C$2:$C$10000)-ROW($C$2)+1),ROWS(L$20:L2507))))</f>
        <v/>
      </c>
      <c r="I2507" s="4" t="str">
        <f t="array" ref="I2507">IF(ROWS(M$20:M2507)&gt;$F$6,"",INDEX(C$2:C$10000,SMALL(IF(ISNUMBER(MATCH($B$2:$B$10000,$E$6:$E$22,0)),ROW($C$2:$C$10000)-ROW($C$2)+1),ROWS(M$20:M2507))))</f>
        <v/>
      </c>
      <c r="K2507" s="7" t="str">
        <f t="array" ref="K2507">IF(ROWS(K$20:K2507)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2507))))</f>
        <v/>
      </c>
      <c r="L2507" s="4" t="str">
        <f t="array" ref="L2507">IF(ROWS(L$20:L2507)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2507))))</f>
        <v/>
      </c>
      <c r="M2507" s="4" t="str">
        <f t="array" ref="M2507">IF(ROWS(M$20:M2507)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2507))))</f>
        <v/>
      </c>
    </row>
    <row r="2508" spans="1:13" x14ac:dyDescent="0.25">
      <c r="A2508" s="3">
        <v>41806</v>
      </c>
      <c r="B2508" s="2" t="s">
        <v>50</v>
      </c>
      <c r="C2508" s="2">
        <v>57</v>
      </c>
      <c r="G2508" s="7" t="str">
        <f t="array" ref="G2508">IF(ROWS(K$20:K2508)&gt;$F$6,"",INDEX(A$2:A$10000,SMALL(IF(ISNUMBER(MATCH($B$2:$B$10000,$E$6:$E$22,0)),ROW($C$2:$C$10000)-ROW($C$2)+1),ROWS(K$20:K2508))))</f>
        <v/>
      </c>
      <c r="H2508" s="4" t="str">
        <f t="array" ref="H2508">IF(ROWS(L$20:L2508)&gt;$F$6,"",INDEX(B$2:B$10000,SMALL(IF(ISNUMBER(MATCH($B$2:$B$10000,$E$6:$E$22,0)),ROW($C$2:$C$10000)-ROW($C$2)+1),ROWS(L$20:L2508))))</f>
        <v/>
      </c>
      <c r="I2508" s="4" t="str">
        <f t="array" ref="I2508">IF(ROWS(M$20:M2508)&gt;$F$6,"",INDEX(C$2:C$10000,SMALL(IF(ISNUMBER(MATCH($B$2:$B$10000,$E$6:$E$22,0)),ROW($C$2:$C$10000)-ROW($C$2)+1),ROWS(M$20:M2508))))</f>
        <v/>
      </c>
      <c r="K2508" s="7" t="str">
        <f t="array" ref="K2508">IF(ROWS(K$20:K2508)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2508))))</f>
        <v/>
      </c>
      <c r="L2508" s="4" t="str">
        <f t="array" ref="L2508">IF(ROWS(L$20:L2508)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2508))))</f>
        <v/>
      </c>
      <c r="M2508" s="4" t="str">
        <f t="array" ref="M2508">IF(ROWS(M$20:M2508)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2508))))</f>
        <v/>
      </c>
    </row>
    <row r="2509" spans="1:13" x14ac:dyDescent="0.25">
      <c r="A2509" s="3">
        <v>41793</v>
      </c>
      <c r="B2509" s="2" t="s">
        <v>36</v>
      </c>
      <c r="C2509" s="2">
        <v>31</v>
      </c>
      <c r="G2509" s="7" t="str">
        <f t="array" ref="G2509">IF(ROWS(K$20:K2509)&gt;$F$6,"",INDEX(A$2:A$10000,SMALL(IF(ISNUMBER(MATCH($B$2:$B$10000,$E$6:$E$22,0)),ROW($C$2:$C$10000)-ROW($C$2)+1),ROWS(K$20:K2509))))</f>
        <v/>
      </c>
      <c r="H2509" s="4" t="str">
        <f t="array" ref="H2509">IF(ROWS(L$20:L2509)&gt;$F$6,"",INDEX(B$2:B$10000,SMALL(IF(ISNUMBER(MATCH($B$2:$B$10000,$E$6:$E$22,0)),ROW($C$2:$C$10000)-ROW($C$2)+1),ROWS(L$20:L2509))))</f>
        <v/>
      </c>
      <c r="I2509" s="4" t="str">
        <f t="array" ref="I2509">IF(ROWS(M$20:M2509)&gt;$F$6,"",INDEX(C$2:C$10000,SMALL(IF(ISNUMBER(MATCH($B$2:$B$10000,$E$6:$E$22,0)),ROW($C$2:$C$10000)-ROW($C$2)+1),ROWS(M$20:M2509))))</f>
        <v/>
      </c>
      <c r="K2509" s="7" t="str">
        <f t="array" ref="K2509">IF(ROWS(K$20:K2509)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2509))))</f>
        <v/>
      </c>
      <c r="L2509" s="4" t="str">
        <f t="array" ref="L2509">IF(ROWS(L$20:L2509)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2509))))</f>
        <v/>
      </c>
      <c r="M2509" s="4" t="str">
        <f t="array" ref="M2509">IF(ROWS(M$20:M2509)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2509))))</f>
        <v/>
      </c>
    </row>
    <row r="2510" spans="1:13" x14ac:dyDescent="0.25">
      <c r="A2510" s="3">
        <v>41494</v>
      </c>
      <c r="B2510" s="2" t="s">
        <v>15</v>
      </c>
      <c r="C2510" s="2">
        <v>6</v>
      </c>
      <c r="G2510" s="7" t="str">
        <f t="array" ref="G2510">IF(ROWS(K$20:K2510)&gt;$F$6,"",INDEX(A$2:A$10000,SMALL(IF(ISNUMBER(MATCH($B$2:$B$10000,$E$6:$E$22,0)),ROW($C$2:$C$10000)-ROW($C$2)+1),ROWS(K$20:K2510))))</f>
        <v/>
      </c>
      <c r="H2510" s="4" t="str">
        <f t="array" ref="H2510">IF(ROWS(L$20:L2510)&gt;$F$6,"",INDEX(B$2:B$10000,SMALL(IF(ISNUMBER(MATCH($B$2:$B$10000,$E$6:$E$22,0)),ROW($C$2:$C$10000)-ROW($C$2)+1),ROWS(L$20:L2510))))</f>
        <v/>
      </c>
      <c r="I2510" s="4" t="str">
        <f t="array" ref="I2510">IF(ROWS(M$20:M2510)&gt;$F$6,"",INDEX(C$2:C$10000,SMALL(IF(ISNUMBER(MATCH($B$2:$B$10000,$E$6:$E$22,0)),ROW($C$2:$C$10000)-ROW($C$2)+1),ROWS(M$20:M2510))))</f>
        <v/>
      </c>
      <c r="K2510" s="7" t="str">
        <f t="array" ref="K2510">IF(ROWS(K$20:K2510)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2510))))</f>
        <v/>
      </c>
      <c r="L2510" s="4" t="str">
        <f t="array" ref="L2510">IF(ROWS(L$20:L2510)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2510))))</f>
        <v/>
      </c>
      <c r="M2510" s="4" t="str">
        <f t="array" ref="M2510">IF(ROWS(M$20:M2510)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2510))))</f>
        <v/>
      </c>
    </row>
    <row r="2511" spans="1:13" x14ac:dyDescent="0.25">
      <c r="A2511" s="3">
        <v>41798</v>
      </c>
      <c r="B2511" s="2" t="s">
        <v>51</v>
      </c>
      <c r="C2511" s="2">
        <v>50</v>
      </c>
      <c r="G2511" s="7" t="str">
        <f t="array" ref="G2511">IF(ROWS(K$20:K2511)&gt;$F$6,"",INDEX(A$2:A$10000,SMALL(IF(ISNUMBER(MATCH($B$2:$B$10000,$E$6:$E$22,0)),ROW($C$2:$C$10000)-ROW($C$2)+1),ROWS(K$20:K2511))))</f>
        <v/>
      </c>
      <c r="H2511" s="4" t="str">
        <f t="array" ref="H2511">IF(ROWS(L$20:L2511)&gt;$F$6,"",INDEX(B$2:B$10000,SMALL(IF(ISNUMBER(MATCH($B$2:$B$10000,$E$6:$E$22,0)),ROW($C$2:$C$10000)-ROW($C$2)+1),ROWS(L$20:L2511))))</f>
        <v/>
      </c>
      <c r="I2511" s="4" t="str">
        <f t="array" ref="I2511">IF(ROWS(M$20:M2511)&gt;$F$6,"",INDEX(C$2:C$10000,SMALL(IF(ISNUMBER(MATCH($B$2:$B$10000,$E$6:$E$22,0)),ROW($C$2:$C$10000)-ROW($C$2)+1),ROWS(M$20:M2511))))</f>
        <v/>
      </c>
      <c r="K2511" s="7" t="str">
        <f t="array" ref="K2511">IF(ROWS(K$20:K2511)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2511))))</f>
        <v/>
      </c>
      <c r="L2511" s="4" t="str">
        <f t="array" ref="L2511">IF(ROWS(L$20:L2511)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2511))))</f>
        <v/>
      </c>
      <c r="M2511" s="4" t="str">
        <f t="array" ref="M2511">IF(ROWS(M$20:M2511)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2511))))</f>
        <v/>
      </c>
    </row>
    <row r="2512" spans="1:13" x14ac:dyDescent="0.25">
      <c r="A2512" s="3">
        <v>41339</v>
      </c>
      <c r="B2512" s="2" t="s">
        <v>19</v>
      </c>
      <c r="C2512" s="2">
        <v>42</v>
      </c>
      <c r="G2512" s="7" t="str">
        <f t="array" ref="G2512">IF(ROWS(K$20:K2512)&gt;$F$6,"",INDEX(A$2:A$10000,SMALL(IF(ISNUMBER(MATCH($B$2:$B$10000,$E$6:$E$22,0)),ROW($C$2:$C$10000)-ROW($C$2)+1),ROWS(K$20:K2512))))</f>
        <v/>
      </c>
      <c r="H2512" s="4" t="str">
        <f t="array" ref="H2512">IF(ROWS(L$20:L2512)&gt;$F$6,"",INDEX(B$2:B$10000,SMALL(IF(ISNUMBER(MATCH($B$2:$B$10000,$E$6:$E$22,0)),ROW($C$2:$C$10000)-ROW($C$2)+1),ROWS(L$20:L2512))))</f>
        <v/>
      </c>
      <c r="I2512" s="4" t="str">
        <f t="array" ref="I2512">IF(ROWS(M$20:M2512)&gt;$F$6,"",INDEX(C$2:C$10000,SMALL(IF(ISNUMBER(MATCH($B$2:$B$10000,$E$6:$E$22,0)),ROW($C$2:$C$10000)-ROW($C$2)+1),ROWS(M$20:M2512))))</f>
        <v/>
      </c>
      <c r="K2512" s="7" t="str">
        <f t="array" ref="K2512">IF(ROWS(K$20:K2512)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2512))))</f>
        <v/>
      </c>
      <c r="L2512" s="4" t="str">
        <f t="array" ref="L2512">IF(ROWS(L$20:L2512)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2512))))</f>
        <v/>
      </c>
      <c r="M2512" s="4" t="str">
        <f t="array" ref="M2512">IF(ROWS(M$20:M2512)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2512))))</f>
        <v/>
      </c>
    </row>
    <row r="2513" spans="1:13" x14ac:dyDescent="0.25">
      <c r="A2513" s="3">
        <v>41324</v>
      </c>
      <c r="B2513" s="2" t="s">
        <v>15</v>
      </c>
      <c r="C2513" s="2">
        <v>2</v>
      </c>
      <c r="G2513" s="7" t="str">
        <f t="array" ref="G2513">IF(ROWS(K$20:K2513)&gt;$F$6,"",INDEX(A$2:A$10000,SMALL(IF(ISNUMBER(MATCH($B$2:$B$10000,$E$6:$E$22,0)),ROW($C$2:$C$10000)-ROW($C$2)+1),ROWS(K$20:K2513))))</f>
        <v/>
      </c>
      <c r="H2513" s="4" t="str">
        <f t="array" ref="H2513">IF(ROWS(L$20:L2513)&gt;$F$6,"",INDEX(B$2:B$10000,SMALL(IF(ISNUMBER(MATCH($B$2:$B$10000,$E$6:$E$22,0)),ROW($C$2:$C$10000)-ROW($C$2)+1),ROWS(L$20:L2513))))</f>
        <v/>
      </c>
      <c r="I2513" s="4" t="str">
        <f t="array" ref="I2513">IF(ROWS(M$20:M2513)&gt;$F$6,"",INDEX(C$2:C$10000,SMALL(IF(ISNUMBER(MATCH($B$2:$B$10000,$E$6:$E$22,0)),ROW($C$2:$C$10000)-ROW($C$2)+1),ROWS(M$20:M2513))))</f>
        <v/>
      </c>
      <c r="K2513" s="7" t="str">
        <f t="array" ref="K2513">IF(ROWS(K$20:K2513)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2513))))</f>
        <v/>
      </c>
      <c r="L2513" s="4" t="str">
        <f t="array" ref="L2513">IF(ROWS(L$20:L2513)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2513))))</f>
        <v/>
      </c>
      <c r="M2513" s="4" t="str">
        <f t="array" ref="M2513">IF(ROWS(M$20:M2513)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2513))))</f>
        <v/>
      </c>
    </row>
    <row r="2514" spans="1:13" x14ac:dyDescent="0.25">
      <c r="A2514" s="3">
        <v>41715</v>
      </c>
      <c r="B2514" s="2" t="s">
        <v>24</v>
      </c>
      <c r="C2514" s="2">
        <v>39</v>
      </c>
      <c r="G2514" s="7" t="str">
        <f t="array" ref="G2514">IF(ROWS(K$20:K2514)&gt;$F$6,"",INDEX(A$2:A$10000,SMALL(IF(ISNUMBER(MATCH($B$2:$B$10000,$E$6:$E$22,0)),ROW($C$2:$C$10000)-ROW($C$2)+1),ROWS(K$20:K2514))))</f>
        <v/>
      </c>
      <c r="H2514" s="4" t="str">
        <f t="array" ref="H2514">IF(ROWS(L$20:L2514)&gt;$F$6,"",INDEX(B$2:B$10000,SMALL(IF(ISNUMBER(MATCH($B$2:$B$10000,$E$6:$E$22,0)),ROW($C$2:$C$10000)-ROW($C$2)+1),ROWS(L$20:L2514))))</f>
        <v/>
      </c>
      <c r="I2514" s="4" t="str">
        <f t="array" ref="I2514">IF(ROWS(M$20:M2514)&gt;$F$6,"",INDEX(C$2:C$10000,SMALL(IF(ISNUMBER(MATCH($B$2:$B$10000,$E$6:$E$22,0)),ROW($C$2:$C$10000)-ROW($C$2)+1),ROWS(M$20:M2514))))</f>
        <v/>
      </c>
      <c r="K2514" s="7" t="str">
        <f t="array" ref="K2514">IF(ROWS(K$20:K2514)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2514))))</f>
        <v/>
      </c>
      <c r="L2514" s="4" t="str">
        <f t="array" ref="L2514">IF(ROWS(L$20:L2514)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2514))))</f>
        <v/>
      </c>
      <c r="M2514" s="4" t="str">
        <f t="array" ref="M2514">IF(ROWS(M$20:M2514)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2514))))</f>
        <v/>
      </c>
    </row>
    <row r="2515" spans="1:13" x14ac:dyDescent="0.25">
      <c r="A2515" s="3">
        <v>41626</v>
      </c>
      <c r="B2515" s="2" t="s">
        <v>35</v>
      </c>
      <c r="C2515" s="2">
        <v>12</v>
      </c>
      <c r="G2515" s="7" t="str">
        <f t="array" ref="G2515">IF(ROWS(K$20:K2515)&gt;$F$6,"",INDEX(A$2:A$10000,SMALL(IF(ISNUMBER(MATCH($B$2:$B$10000,$E$6:$E$22,0)),ROW($C$2:$C$10000)-ROW($C$2)+1),ROWS(K$20:K2515))))</f>
        <v/>
      </c>
      <c r="H2515" s="4" t="str">
        <f t="array" ref="H2515">IF(ROWS(L$20:L2515)&gt;$F$6,"",INDEX(B$2:B$10000,SMALL(IF(ISNUMBER(MATCH($B$2:$B$10000,$E$6:$E$22,0)),ROW($C$2:$C$10000)-ROW($C$2)+1),ROWS(L$20:L2515))))</f>
        <v/>
      </c>
      <c r="I2515" s="4" t="str">
        <f t="array" ref="I2515">IF(ROWS(M$20:M2515)&gt;$F$6,"",INDEX(C$2:C$10000,SMALL(IF(ISNUMBER(MATCH($B$2:$B$10000,$E$6:$E$22,0)),ROW($C$2:$C$10000)-ROW($C$2)+1),ROWS(M$20:M2515))))</f>
        <v/>
      </c>
      <c r="K2515" s="7" t="str">
        <f t="array" ref="K2515">IF(ROWS(K$20:K2515)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2515))))</f>
        <v/>
      </c>
      <c r="L2515" s="4" t="str">
        <f t="array" ref="L2515">IF(ROWS(L$20:L2515)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2515))))</f>
        <v/>
      </c>
      <c r="M2515" s="4" t="str">
        <f t="array" ref="M2515">IF(ROWS(M$20:M2515)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2515))))</f>
        <v/>
      </c>
    </row>
    <row r="2516" spans="1:13" x14ac:dyDescent="0.25">
      <c r="A2516" s="3">
        <v>41689</v>
      </c>
      <c r="B2516" s="2" t="s">
        <v>28</v>
      </c>
      <c r="C2516" s="2">
        <v>67</v>
      </c>
      <c r="G2516" s="7" t="str">
        <f t="array" ref="G2516">IF(ROWS(K$20:K2516)&gt;$F$6,"",INDEX(A$2:A$10000,SMALL(IF(ISNUMBER(MATCH($B$2:$B$10000,$E$6:$E$22,0)),ROW($C$2:$C$10000)-ROW($C$2)+1),ROWS(K$20:K2516))))</f>
        <v/>
      </c>
      <c r="H2516" s="4" t="str">
        <f t="array" ref="H2516">IF(ROWS(L$20:L2516)&gt;$F$6,"",INDEX(B$2:B$10000,SMALL(IF(ISNUMBER(MATCH($B$2:$B$10000,$E$6:$E$22,0)),ROW($C$2:$C$10000)-ROW($C$2)+1),ROWS(L$20:L2516))))</f>
        <v/>
      </c>
      <c r="I2516" s="4" t="str">
        <f t="array" ref="I2516">IF(ROWS(M$20:M2516)&gt;$F$6,"",INDEX(C$2:C$10000,SMALL(IF(ISNUMBER(MATCH($B$2:$B$10000,$E$6:$E$22,0)),ROW($C$2:$C$10000)-ROW($C$2)+1),ROWS(M$20:M2516))))</f>
        <v/>
      </c>
      <c r="K2516" s="7" t="str">
        <f t="array" ref="K2516">IF(ROWS(K$20:K2516)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2516))))</f>
        <v/>
      </c>
      <c r="L2516" s="4" t="str">
        <f t="array" ref="L2516">IF(ROWS(L$20:L2516)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2516))))</f>
        <v/>
      </c>
      <c r="M2516" s="4" t="str">
        <f t="array" ref="M2516">IF(ROWS(M$20:M2516)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2516))))</f>
        <v/>
      </c>
    </row>
    <row r="2517" spans="1:13" x14ac:dyDescent="0.25">
      <c r="A2517" s="3">
        <v>41704</v>
      </c>
      <c r="B2517" s="2" t="s">
        <v>41</v>
      </c>
      <c r="C2517" s="2">
        <v>23</v>
      </c>
      <c r="G2517" s="7" t="str">
        <f t="array" ref="G2517">IF(ROWS(K$20:K2517)&gt;$F$6,"",INDEX(A$2:A$10000,SMALL(IF(ISNUMBER(MATCH($B$2:$B$10000,$E$6:$E$22,0)),ROW($C$2:$C$10000)-ROW($C$2)+1),ROWS(K$20:K2517))))</f>
        <v/>
      </c>
      <c r="H2517" s="4" t="str">
        <f t="array" ref="H2517">IF(ROWS(L$20:L2517)&gt;$F$6,"",INDEX(B$2:B$10000,SMALL(IF(ISNUMBER(MATCH($B$2:$B$10000,$E$6:$E$22,0)),ROW($C$2:$C$10000)-ROW($C$2)+1),ROWS(L$20:L2517))))</f>
        <v/>
      </c>
      <c r="I2517" s="4" t="str">
        <f t="array" ref="I2517">IF(ROWS(M$20:M2517)&gt;$F$6,"",INDEX(C$2:C$10000,SMALL(IF(ISNUMBER(MATCH($B$2:$B$10000,$E$6:$E$22,0)),ROW($C$2:$C$10000)-ROW($C$2)+1),ROWS(M$20:M2517))))</f>
        <v/>
      </c>
      <c r="K2517" s="7" t="str">
        <f t="array" ref="K2517">IF(ROWS(K$20:K2517)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2517))))</f>
        <v/>
      </c>
      <c r="L2517" s="4" t="str">
        <f t="array" ref="L2517">IF(ROWS(L$20:L2517)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2517))))</f>
        <v/>
      </c>
      <c r="M2517" s="4" t="str">
        <f t="array" ref="M2517">IF(ROWS(M$20:M2517)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2517))))</f>
        <v/>
      </c>
    </row>
    <row r="2518" spans="1:13" x14ac:dyDescent="0.25">
      <c r="A2518" s="3">
        <v>41410</v>
      </c>
      <c r="B2518" s="2" t="s">
        <v>6</v>
      </c>
      <c r="C2518" s="2">
        <v>34</v>
      </c>
      <c r="G2518" s="7" t="str">
        <f t="array" ref="G2518">IF(ROWS(K$20:K2518)&gt;$F$6,"",INDEX(A$2:A$10000,SMALL(IF(ISNUMBER(MATCH($B$2:$B$10000,$E$6:$E$22,0)),ROW($C$2:$C$10000)-ROW($C$2)+1),ROWS(K$20:K2518))))</f>
        <v/>
      </c>
      <c r="H2518" s="4" t="str">
        <f t="array" ref="H2518">IF(ROWS(L$20:L2518)&gt;$F$6,"",INDEX(B$2:B$10000,SMALL(IF(ISNUMBER(MATCH($B$2:$B$10000,$E$6:$E$22,0)),ROW($C$2:$C$10000)-ROW($C$2)+1),ROWS(L$20:L2518))))</f>
        <v/>
      </c>
      <c r="I2518" s="4" t="str">
        <f t="array" ref="I2518">IF(ROWS(M$20:M2518)&gt;$F$6,"",INDEX(C$2:C$10000,SMALL(IF(ISNUMBER(MATCH($B$2:$B$10000,$E$6:$E$22,0)),ROW($C$2:$C$10000)-ROW($C$2)+1),ROWS(M$20:M2518))))</f>
        <v/>
      </c>
      <c r="K2518" s="7" t="str">
        <f t="array" ref="K2518">IF(ROWS(K$20:K2518)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2518))))</f>
        <v/>
      </c>
      <c r="L2518" s="4" t="str">
        <f t="array" ref="L2518">IF(ROWS(L$20:L2518)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2518))))</f>
        <v/>
      </c>
      <c r="M2518" s="4" t="str">
        <f t="array" ref="M2518">IF(ROWS(M$20:M2518)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2518))))</f>
        <v/>
      </c>
    </row>
    <row r="2519" spans="1:13" x14ac:dyDescent="0.25">
      <c r="A2519" s="3">
        <v>41898</v>
      </c>
      <c r="B2519" s="2" t="s">
        <v>21</v>
      </c>
      <c r="C2519" s="2">
        <v>34</v>
      </c>
      <c r="G2519" s="7" t="str">
        <f t="array" ref="G2519">IF(ROWS(K$20:K2519)&gt;$F$6,"",INDEX(A$2:A$10000,SMALL(IF(ISNUMBER(MATCH($B$2:$B$10000,$E$6:$E$22,0)),ROW($C$2:$C$10000)-ROW($C$2)+1),ROWS(K$20:K2519))))</f>
        <v/>
      </c>
      <c r="H2519" s="4" t="str">
        <f t="array" ref="H2519">IF(ROWS(L$20:L2519)&gt;$F$6,"",INDEX(B$2:B$10000,SMALL(IF(ISNUMBER(MATCH($B$2:$B$10000,$E$6:$E$22,0)),ROW($C$2:$C$10000)-ROW($C$2)+1),ROWS(L$20:L2519))))</f>
        <v/>
      </c>
      <c r="I2519" s="4" t="str">
        <f t="array" ref="I2519">IF(ROWS(M$20:M2519)&gt;$F$6,"",INDEX(C$2:C$10000,SMALL(IF(ISNUMBER(MATCH($B$2:$B$10000,$E$6:$E$22,0)),ROW($C$2:$C$10000)-ROW($C$2)+1),ROWS(M$20:M2519))))</f>
        <v/>
      </c>
      <c r="K2519" s="7" t="str">
        <f t="array" ref="K2519">IF(ROWS(K$20:K2519)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2519))))</f>
        <v/>
      </c>
      <c r="L2519" s="4" t="str">
        <f t="array" ref="L2519">IF(ROWS(L$20:L2519)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2519))))</f>
        <v/>
      </c>
      <c r="M2519" s="4" t="str">
        <f t="array" ref="M2519">IF(ROWS(M$20:M2519)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2519))))</f>
        <v/>
      </c>
    </row>
    <row r="2520" spans="1:13" x14ac:dyDescent="0.25">
      <c r="A2520" s="3">
        <v>41297</v>
      </c>
      <c r="B2520" s="2" t="s">
        <v>4</v>
      </c>
      <c r="C2520" s="2">
        <v>15</v>
      </c>
      <c r="G2520" s="7" t="str">
        <f t="array" ref="G2520">IF(ROWS(K$20:K2520)&gt;$F$6,"",INDEX(A$2:A$10000,SMALL(IF(ISNUMBER(MATCH($B$2:$B$10000,$E$6:$E$22,0)),ROW($C$2:$C$10000)-ROW($C$2)+1),ROWS(K$20:K2520))))</f>
        <v/>
      </c>
      <c r="H2520" s="4" t="str">
        <f t="array" ref="H2520">IF(ROWS(L$20:L2520)&gt;$F$6,"",INDEX(B$2:B$10000,SMALL(IF(ISNUMBER(MATCH($B$2:$B$10000,$E$6:$E$22,0)),ROW($C$2:$C$10000)-ROW($C$2)+1),ROWS(L$20:L2520))))</f>
        <v/>
      </c>
      <c r="I2520" s="4" t="str">
        <f t="array" ref="I2520">IF(ROWS(M$20:M2520)&gt;$F$6,"",INDEX(C$2:C$10000,SMALL(IF(ISNUMBER(MATCH($B$2:$B$10000,$E$6:$E$22,0)),ROW($C$2:$C$10000)-ROW($C$2)+1),ROWS(M$20:M2520))))</f>
        <v/>
      </c>
      <c r="K2520" s="7" t="str">
        <f t="array" ref="K2520">IF(ROWS(K$20:K2520)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2520))))</f>
        <v/>
      </c>
      <c r="L2520" s="4" t="str">
        <f t="array" ref="L2520">IF(ROWS(L$20:L2520)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2520))))</f>
        <v/>
      </c>
      <c r="M2520" s="4" t="str">
        <f t="array" ref="M2520">IF(ROWS(M$20:M2520)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2520))))</f>
        <v/>
      </c>
    </row>
    <row r="2521" spans="1:13" x14ac:dyDescent="0.25">
      <c r="A2521" s="3">
        <v>41566</v>
      </c>
      <c r="B2521" s="2" t="s">
        <v>24</v>
      </c>
      <c r="C2521" s="2">
        <v>5</v>
      </c>
      <c r="G2521" s="7" t="str">
        <f t="array" ref="G2521">IF(ROWS(K$20:K2521)&gt;$F$6,"",INDEX(A$2:A$10000,SMALL(IF(ISNUMBER(MATCH($B$2:$B$10000,$E$6:$E$22,0)),ROW($C$2:$C$10000)-ROW($C$2)+1),ROWS(K$20:K2521))))</f>
        <v/>
      </c>
      <c r="H2521" s="4" t="str">
        <f t="array" ref="H2521">IF(ROWS(L$20:L2521)&gt;$F$6,"",INDEX(B$2:B$10000,SMALL(IF(ISNUMBER(MATCH($B$2:$B$10000,$E$6:$E$22,0)),ROW($C$2:$C$10000)-ROW($C$2)+1),ROWS(L$20:L2521))))</f>
        <v/>
      </c>
      <c r="I2521" s="4" t="str">
        <f t="array" ref="I2521">IF(ROWS(M$20:M2521)&gt;$F$6,"",INDEX(C$2:C$10000,SMALL(IF(ISNUMBER(MATCH($B$2:$B$10000,$E$6:$E$22,0)),ROW($C$2:$C$10000)-ROW($C$2)+1),ROWS(M$20:M2521))))</f>
        <v/>
      </c>
      <c r="K2521" s="7" t="str">
        <f t="array" ref="K2521">IF(ROWS(K$20:K2521)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2521))))</f>
        <v/>
      </c>
      <c r="L2521" s="4" t="str">
        <f t="array" ref="L2521">IF(ROWS(L$20:L2521)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2521))))</f>
        <v/>
      </c>
      <c r="M2521" s="4" t="str">
        <f t="array" ref="M2521">IF(ROWS(M$20:M2521)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2521))))</f>
        <v/>
      </c>
    </row>
    <row r="2522" spans="1:13" x14ac:dyDescent="0.25">
      <c r="A2522" s="3">
        <v>41443</v>
      </c>
      <c r="B2522" s="2" t="s">
        <v>31</v>
      </c>
      <c r="C2522" s="2">
        <v>38</v>
      </c>
      <c r="G2522" s="7" t="str">
        <f t="array" ref="G2522">IF(ROWS(K$20:K2522)&gt;$F$6,"",INDEX(A$2:A$10000,SMALL(IF(ISNUMBER(MATCH($B$2:$B$10000,$E$6:$E$22,0)),ROW($C$2:$C$10000)-ROW($C$2)+1),ROWS(K$20:K2522))))</f>
        <v/>
      </c>
      <c r="H2522" s="4" t="str">
        <f t="array" ref="H2522">IF(ROWS(L$20:L2522)&gt;$F$6,"",INDEX(B$2:B$10000,SMALL(IF(ISNUMBER(MATCH($B$2:$B$10000,$E$6:$E$22,0)),ROW($C$2:$C$10000)-ROW($C$2)+1),ROWS(L$20:L2522))))</f>
        <v/>
      </c>
      <c r="I2522" s="4" t="str">
        <f t="array" ref="I2522">IF(ROWS(M$20:M2522)&gt;$F$6,"",INDEX(C$2:C$10000,SMALL(IF(ISNUMBER(MATCH($B$2:$B$10000,$E$6:$E$22,0)),ROW($C$2:$C$10000)-ROW($C$2)+1),ROWS(M$20:M2522))))</f>
        <v/>
      </c>
      <c r="K2522" s="7" t="str">
        <f t="array" ref="K2522">IF(ROWS(K$20:K2522)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2522))))</f>
        <v/>
      </c>
      <c r="L2522" s="4" t="str">
        <f t="array" ref="L2522">IF(ROWS(L$20:L2522)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2522))))</f>
        <v/>
      </c>
      <c r="M2522" s="4" t="str">
        <f t="array" ref="M2522">IF(ROWS(M$20:M2522)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2522))))</f>
        <v/>
      </c>
    </row>
    <row r="2523" spans="1:13" x14ac:dyDescent="0.25">
      <c r="A2523" s="3">
        <v>41476</v>
      </c>
      <c r="B2523" s="2" t="s">
        <v>15</v>
      </c>
      <c r="C2523" s="2">
        <v>41</v>
      </c>
      <c r="G2523" s="7" t="str">
        <f t="array" ref="G2523">IF(ROWS(K$20:K2523)&gt;$F$6,"",INDEX(A$2:A$10000,SMALL(IF(ISNUMBER(MATCH($B$2:$B$10000,$E$6:$E$22,0)),ROW($C$2:$C$10000)-ROW($C$2)+1),ROWS(K$20:K2523))))</f>
        <v/>
      </c>
      <c r="H2523" s="4" t="str">
        <f t="array" ref="H2523">IF(ROWS(L$20:L2523)&gt;$F$6,"",INDEX(B$2:B$10000,SMALL(IF(ISNUMBER(MATCH($B$2:$B$10000,$E$6:$E$22,0)),ROW($C$2:$C$10000)-ROW($C$2)+1),ROWS(L$20:L2523))))</f>
        <v/>
      </c>
      <c r="I2523" s="4" t="str">
        <f t="array" ref="I2523">IF(ROWS(M$20:M2523)&gt;$F$6,"",INDEX(C$2:C$10000,SMALL(IF(ISNUMBER(MATCH($B$2:$B$10000,$E$6:$E$22,0)),ROW($C$2:$C$10000)-ROW($C$2)+1),ROWS(M$20:M2523))))</f>
        <v/>
      </c>
      <c r="K2523" s="7" t="str">
        <f t="array" ref="K2523">IF(ROWS(K$20:K2523)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2523))))</f>
        <v/>
      </c>
      <c r="L2523" s="4" t="str">
        <f t="array" ref="L2523">IF(ROWS(L$20:L2523)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2523))))</f>
        <v/>
      </c>
      <c r="M2523" s="4" t="str">
        <f t="array" ref="M2523">IF(ROWS(M$20:M2523)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2523))))</f>
        <v/>
      </c>
    </row>
    <row r="2524" spans="1:13" x14ac:dyDescent="0.25">
      <c r="A2524" s="3">
        <v>41407</v>
      </c>
      <c r="B2524" s="2" t="s">
        <v>51</v>
      </c>
      <c r="C2524" s="2">
        <v>7</v>
      </c>
      <c r="G2524" s="7" t="str">
        <f t="array" ref="G2524">IF(ROWS(K$20:K2524)&gt;$F$6,"",INDEX(A$2:A$10000,SMALL(IF(ISNUMBER(MATCH($B$2:$B$10000,$E$6:$E$22,0)),ROW($C$2:$C$10000)-ROW($C$2)+1),ROWS(K$20:K2524))))</f>
        <v/>
      </c>
      <c r="H2524" s="4" t="str">
        <f t="array" ref="H2524">IF(ROWS(L$20:L2524)&gt;$F$6,"",INDEX(B$2:B$10000,SMALL(IF(ISNUMBER(MATCH($B$2:$B$10000,$E$6:$E$22,0)),ROW($C$2:$C$10000)-ROW($C$2)+1),ROWS(L$20:L2524))))</f>
        <v/>
      </c>
      <c r="I2524" s="4" t="str">
        <f t="array" ref="I2524">IF(ROWS(M$20:M2524)&gt;$F$6,"",INDEX(C$2:C$10000,SMALL(IF(ISNUMBER(MATCH($B$2:$B$10000,$E$6:$E$22,0)),ROW($C$2:$C$10000)-ROW($C$2)+1),ROWS(M$20:M2524))))</f>
        <v/>
      </c>
      <c r="K2524" s="7" t="str">
        <f t="array" ref="K2524">IF(ROWS(K$20:K2524)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2524))))</f>
        <v/>
      </c>
      <c r="L2524" s="4" t="str">
        <f t="array" ref="L2524">IF(ROWS(L$20:L2524)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2524))))</f>
        <v/>
      </c>
      <c r="M2524" s="4" t="str">
        <f t="array" ref="M2524">IF(ROWS(M$20:M2524)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2524))))</f>
        <v/>
      </c>
    </row>
    <row r="2525" spans="1:13" x14ac:dyDescent="0.25">
      <c r="A2525" s="3">
        <v>41418</v>
      </c>
      <c r="B2525" s="2" t="s">
        <v>21</v>
      </c>
      <c r="C2525" s="2">
        <v>20</v>
      </c>
      <c r="G2525" s="7" t="str">
        <f t="array" ref="G2525">IF(ROWS(K$20:K2525)&gt;$F$6,"",INDEX(A$2:A$10000,SMALL(IF(ISNUMBER(MATCH($B$2:$B$10000,$E$6:$E$22,0)),ROW($C$2:$C$10000)-ROW($C$2)+1),ROWS(K$20:K2525))))</f>
        <v/>
      </c>
      <c r="H2525" s="4" t="str">
        <f t="array" ref="H2525">IF(ROWS(L$20:L2525)&gt;$F$6,"",INDEX(B$2:B$10000,SMALL(IF(ISNUMBER(MATCH($B$2:$B$10000,$E$6:$E$22,0)),ROW($C$2:$C$10000)-ROW($C$2)+1),ROWS(L$20:L2525))))</f>
        <v/>
      </c>
      <c r="I2525" s="4" t="str">
        <f t="array" ref="I2525">IF(ROWS(M$20:M2525)&gt;$F$6,"",INDEX(C$2:C$10000,SMALL(IF(ISNUMBER(MATCH($B$2:$B$10000,$E$6:$E$22,0)),ROW($C$2:$C$10000)-ROW($C$2)+1),ROWS(M$20:M2525))))</f>
        <v/>
      </c>
      <c r="K2525" s="7" t="str">
        <f t="array" ref="K2525">IF(ROWS(K$20:K2525)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2525))))</f>
        <v/>
      </c>
      <c r="L2525" s="4" t="str">
        <f t="array" ref="L2525">IF(ROWS(L$20:L2525)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2525))))</f>
        <v/>
      </c>
      <c r="M2525" s="4" t="str">
        <f t="array" ref="M2525">IF(ROWS(M$20:M2525)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2525))))</f>
        <v/>
      </c>
    </row>
    <row r="2526" spans="1:13" x14ac:dyDescent="0.25">
      <c r="A2526" s="3">
        <v>41929</v>
      </c>
      <c r="B2526" s="2" t="s">
        <v>32</v>
      </c>
      <c r="C2526" s="2">
        <v>26</v>
      </c>
      <c r="G2526" s="7" t="str">
        <f t="array" ref="G2526">IF(ROWS(K$20:K2526)&gt;$F$6,"",INDEX(A$2:A$10000,SMALL(IF(ISNUMBER(MATCH($B$2:$B$10000,$E$6:$E$22,0)),ROW($C$2:$C$10000)-ROW($C$2)+1),ROWS(K$20:K2526))))</f>
        <v/>
      </c>
      <c r="H2526" s="4" t="str">
        <f t="array" ref="H2526">IF(ROWS(L$20:L2526)&gt;$F$6,"",INDEX(B$2:B$10000,SMALL(IF(ISNUMBER(MATCH($B$2:$B$10000,$E$6:$E$22,0)),ROW($C$2:$C$10000)-ROW($C$2)+1),ROWS(L$20:L2526))))</f>
        <v/>
      </c>
      <c r="I2526" s="4" t="str">
        <f t="array" ref="I2526">IF(ROWS(M$20:M2526)&gt;$F$6,"",INDEX(C$2:C$10000,SMALL(IF(ISNUMBER(MATCH($B$2:$B$10000,$E$6:$E$22,0)),ROW($C$2:$C$10000)-ROW($C$2)+1),ROWS(M$20:M2526))))</f>
        <v/>
      </c>
      <c r="K2526" s="7" t="str">
        <f t="array" ref="K2526">IF(ROWS(K$20:K2526)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2526))))</f>
        <v/>
      </c>
      <c r="L2526" s="4" t="str">
        <f t="array" ref="L2526">IF(ROWS(L$20:L2526)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2526))))</f>
        <v/>
      </c>
      <c r="M2526" s="4" t="str">
        <f t="array" ref="M2526">IF(ROWS(M$20:M2526)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2526))))</f>
        <v/>
      </c>
    </row>
    <row r="2527" spans="1:13" x14ac:dyDescent="0.25">
      <c r="A2527" s="3">
        <v>41847</v>
      </c>
      <c r="B2527" s="2" t="s">
        <v>35</v>
      </c>
      <c r="C2527" s="2">
        <v>33</v>
      </c>
      <c r="G2527" s="7" t="str">
        <f t="array" ref="G2527">IF(ROWS(K$20:K2527)&gt;$F$6,"",INDEX(A$2:A$10000,SMALL(IF(ISNUMBER(MATCH($B$2:$B$10000,$E$6:$E$22,0)),ROW($C$2:$C$10000)-ROW($C$2)+1),ROWS(K$20:K2527))))</f>
        <v/>
      </c>
      <c r="H2527" s="4" t="str">
        <f t="array" ref="H2527">IF(ROWS(L$20:L2527)&gt;$F$6,"",INDEX(B$2:B$10000,SMALL(IF(ISNUMBER(MATCH($B$2:$B$10000,$E$6:$E$22,0)),ROW($C$2:$C$10000)-ROW($C$2)+1),ROWS(L$20:L2527))))</f>
        <v/>
      </c>
      <c r="I2527" s="4" t="str">
        <f t="array" ref="I2527">IF(ROWS(M$20:M2527)&gt;$F$6,"",INDEX(C$2:C$10000,SMALL(IF(ISNUMBER(MATCH($B$2:$B$10000,$E$6:$E$22,0)),ROW($C$2:$C$10000)-ROW($C$2)+1),ROWS(M$20:M2527))))</f>
        <v/>
      </c>
      <c r="K2527" s="7" t="str">
        <f t="array" ref="K2527">IF(ROWS(K$20:K2527)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2527))))</f>
        <v/>
      </c>
      <c r="L2527" s="4" t="str">
        <f t="array" ref="L2527">IF(ROWS(L$20:L2527)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2527))))</f>
        <v/>
      </c>
      <c r="M2527" s="4" t="str">
        <f t="array" ref="M2527">IF(ROWS(M$20:M2527)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2527))))</f>
        <v/>
      </c>
    </row>
    <row r="2528" spans="1:13" x14ac:dyDescent="0.25">
      <c r="A2528" s="3">
        <v>41922</v>
      </c>
      <c r="B2528" s="2" t="s">
        <v>47</v>
      </c>
      <c r="C2528" s="2">
        <v>17</v>
      </c>
      <c r="G2528" s="7" t="str">
        <f t="array" ref="G2528">IF(ROWS(K$20:K2528)&gt;$F$6,"",INDEX(A$2:A$10000,SMALL(IF(ISNUMBER(MATCH($B$2:$B$10000,$E$6:$E$22,0)),ROW($C$2:$C$10000)-ROW($C$2)+1),ROWS(K$20:K2528))))</f>
        <v/>
      </c>
      <c r="H2528" s="4" t="str">
        <f t="array" ref="H2528">IF(ROWS(L$20:L2528)&gt;$F$6,"",INDEX(B$2:B$10000,SMALL(IF(ISNUMBER(MATCH($B$2:$B$10000,$E$6:$E$22,0)),ROW($C$2:$C$10000)-ROW($C$2)+1),ROWS(L$20:L2528))))</f>
        <v/>
      </c>
      <c r="I2528" s="4" t="str">
        <f t="array" ref="I2528">IF(ROWS(M$20:M2528)&gt;$F$6,"",INDEX(C$2:C$10000,SMALL(IF(ISNUMBER(MATCH($B$2:$B$10000,$E$6:$E$22,0)),ROW($C$2:$C$10000)-ROW($C$2)+1),ROWS(M$20:M2528))))</f>
        <v/>
      </c>
      <c r="K2528" s="7" t="str">
        <f t="array" ref="K2528">IF(ROWS(K$20:K2528)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2528))))</f>
        <v/>
      </c>
      <c r="L2528" s="4" t="str">
        <f t="array" ref="L2528">IF(ROWS(L$20:L2528)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2528))))</f>
        <v/>
      </c>
      <c r="M2528" s="4" t="str">
        <f t="array" ref="M2528">IF(ROWS(M$20:M2528)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2528))))</f>
        <v/>
      </c>
    </row>
    <row r="2529" spans="1:13" x14ac:dyDescent="0.25">
      <c r="A2529" s="3">
        <v>41291</v>
      </c>
      <c r="B2529" s="2" t="s">
        <v>19</v>
      </c>
      <c r="C2529" s="2">
        <v>11</v>
      </c>
      <c r="G2529" s="7" t="str">
        <f t="array" ref="G2529">IF(ROWS(K$20:K2529)&gt;$F$6,"",INDEX(A$2:A$10000,SMALL(IF(ISNUMBER(MATCH($B$2:$B$10000,$E$6:$E$22,0)),ROW($C$2:$C$10000)-ROW($C$2)+1),ROWS(K$20:K2529))))</f>
        <v/>
      </c>
      <c r="H2529" s="4" t="str">
        <f t="array" ref="H2529">IF(ROWS(L$20:L2529)&gt;$F$6,"",INDEX(B$2:B$10000,SMALL(IF(ISNUMBER(MATCH($B$2:$B$10000,$E$6:$E$22,0)),ROW($C$2:$C$10000)-ROW($C$2)+1),ROWS(L$20:L2529))))</f>
        <v/>
      </c>
      <c r="I2529" s="4" t="str">
        <f t="array" ref="I2529">IF(ROWS(M$20:M2529)&gt;$F$6,"",INDEX(C$2:C$10000,SMALL(IF(ISNUMBER(MATCH($B$2:$B$10000,$E$6:$E$22,0)),ROW($C$2:$C$10000)-ROW($C$2)+1),ROWS(M$20:M2529))))</f>
        <v/>
      </c>
      <c r="K2529" s="7" t="str">
        <f t="array" ref="K2529">IF(ROWS(K$20:K2529)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2529))))</f>
        <v/>
      </c>
      <c r="L2529" s="4" t="str">
        <f t="array" ref="L2529">IF(ROWS(L$20:L2529)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2529))))</f>
        <v/>
      </c>
      <c r="M2529" s="4" t="str">
        <f t="array" ref="M2529">IF(ROWS(M$20:M2529)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2529))))</f>
        <v/>
      </c>
    </row>
    <row r="2530" spans="1:13" x14ac:dyDescent="0.25">
      <c r="A2530" s="3">
        <v>41408</v>
      </c>
      <c r="B2530" s="2" t="s">
        <v>8</v>
      </c>
      <c r="C2530" s="2">
        <v>36</v>
      </c>
      <c r="G2530" s="7" t="str">
        <f t="array" ref="G2530">IF(ROWS(K$20:K2530)&gt;$F$6,"",INDEX(A$2:A$10000,SMALL(IF(ISNUMBER(MATCH($B$2:$B$10000,$E$6:$E$22,0)),ROW($C$2:$C$10000)-ROW($C$2)+1),ROWS(K$20:K2530))))</f>
        <v/>
      </c>
      <c r="H2530" s="4" t="str">
        <f t="array" ref="H2530">IF(ROWS(L$20:L2530)&gt;$F$6,"",INDEX(B$2:B$10000,SMALL(IF(ISNUMBER(MATCH($B$2:$B$10000,$E$6:$E$22,0)),ROW($C$2:$C$10000)-ROW($C$2)+1),ROWS(L$20:L2530))))</f>
        <v/>
      </c>
      <c r="I2530" s="4" t="str">
        <f t="array" ref="I2530">IF(ROWS(M$20:M2530)&gt;$F$6,"",INDEX(C$2:C$10000,SMALL(IF(ISNUMBER(MATCH($B$2:$B$10000,$E$6:$E$22,0)),ROW($C$2:$C$10000)-ROW($C$2)+1),ROWS(M$20:M2530))))</f>
        <v/>
      </c>
      <c r="K2530" s="7" t="str">
        <f t="array" ref="K2530">IF(ROWS(K$20:K2530)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2530))))</f>
        <v/>
      </c>
      <c r="L2530" s="4" t="str">
        <f t="array" ref="L2530">IF(ROWS(L$20:L2530)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2530))))</f>
        <v/>
      </c>
      <c r="M2530" s="4" t="str">
        <f t="array" ref="M2530">IF(ROWS(M$20:M2530)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2530))))</f>
        <v/>
      </c>
    </row>
    <row r="2531" spans="1:13" x14ac:dyDescent="0.25">
      <c r="A2531" s="3">
        <v>41928</v>
      </c>
      <c r="B2531" s="2" t="s">
        <v>45</v>
      </c>
      <c r="C2531" s="2">
        <v>15</v>
      </c>
      <c r="G2531" s="7" t="str">
        <f t="array" ref="G2531">IF(ROWS(K$20:K2531)&gt;$F$6,"",INDEX(A$2:A$10000,SMALL(IF(ISNUMBER(MATCH($B$2:$B$10000,$E$6:$E$22,0)),ROW($C$2:$C$10000)-ROW($C$2)+1),ROWS(K$20:K2531))))</f>
        <v/>
      </c>
      <c r="H2531" s="4" t="str">
        <f t="array" ref="H2531">IF(ROWS(L$20:L2531)&gt;$F$6,"",INDEX(B$2:B$10000,SMALL(IF(ISNUMBER(MATCH($B$2:$B$10000,$E$6:$E$22,0)),ROW($C$2:$C$10000)-ROW($C$2)+1),ROWS(L$20:L2531))))</f>
        <v/>
      </c>
      <c r="I2531" s="4" t="str">
        <f t="array" ref="I2531">IF(ROWS(M$20:M2531)&gt;$F$6,"",INDEX(C$2:C$10000,SMALL(IF(ISNUMBER(MATCH($B$2:$B$10000,$E$6:$E$22,0)),ROW($C$2:$C$10000)-ROW($C$2)+1),ROWS(M$20:M2531))))</f>
        <v/>
      </c>
      <c r="K2531" s="7" t="str">
        <f t="array" ref="K2531">IF(ROWS(K$20:K2531)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2531))))</f>
        <v/>
      </c>
      <c r="L2531" s="4" t="str">
        <f t="array" ref="L2531">IF(ROWS(L$20:L2531)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2531))))</f>
        <v/>
      </c>
      <c r="M2531" s="4" t="str">
        <f t="array" ref="M2531">IF(ROWS(M$20:M2531)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2531))))</f>
        <v/>
      </c>
    </row>
    <row r="2532" spans="1:13" x14ac:dyDescent="0.25">
      <c r="A2532" s="3">
        <v>41777</v>
      </c>
      <c r="B2532" s="2" t="s">
        <v>22</v>
      </c>
      <c r="C2532" s="2">
        <v>46</v>
      </c>
      <c r="G2532" s="7" t="str">
        <f t="array" ref="G2532">IF(ROWS(K$20:K2532)&gt;$F$6,"",INDEX(A$2:A$10000,SMALL(IF(ISNUMBER(MATCH($B$2:$B$10000,$E$6:$E$22,0)),ROW($C$2:$C$10000)-ROW($C$2)+1),ROWS(K$20:K2532))))</f>
        <v/>
      </c>
      <c r="H2532" s="4" t="str">
        <f t="array" ref="H2532">IF(ROWS(L$20:L2532)&gt;$F$6,"",INDEX(B$2:B$10000,SMALL(IF(ISNUMBER(MATCH($B$2:$B$10000,$E$6:$E$22,0)),ROW($C$2:$C$10000)-ROW($C$2)+1),ROWS(L$20:L2532))))</f>
        <v/>
      </c>
      <c r="I2532" s="4" t="str">
        <f t="array" ref="I2532">IF(ROWS(M$20:M2532)&gt;$F$6,"",INDEX(C$2:C$10000,SMALL(IF(ISNUMBER(MATCH($B$2:$B$10000,$E$6:$E$22,0)),ROW($C$2:$C$10000)-ROW($C$2)+1),ROWS(M$20:M2532))))</f>
        <v/>
      </c>
      <c r="K2532" s="7" t="str">
        <f t="array" ref="K2532">IF(ROWS(K$20:K2532)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2532))))</f>
        <v/>
      </c>
      <c r="L2532" s="4" t="str">
        <f t="array" ref="L2532">IF(ROWS(L$20:L2532)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2532))))</f>
        <v/>
      </c>
      <c r="M2532" s="4" t="str">
        <f t="array" ref="M2532">IF(ROWS(M$20:M2532)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2532))))</f>
        <v/>
      </c>
    </row>
    <row r="2533" spans="1:13" x14ac:dyDescent="0.25">
      <c r="A2533" s="3">
        <v>41537</v>
      </c>
      <c r="B2533" s="2" t="s">
        <v>50</v>
      </c>
      <c r="C2533" s="2">
        <v>43</v>
      </c>
      <c r="G2533" s="7" t="str">
        <f t="array" ref="G2533">IF(ROWS(K$20:K2533)&gt;$F$6,"",INDEX(A$2:A$10000,SMALL(IF(ISNUMBER(MATCH($B$2:$B$10000,$E$6:$E$22,0)),ROW($C$2:$C$10000)-ROW($C$2)+1),ROWS(K$20:K2533))))</f>
        <v/>
      </c>
      <c r="H2533" s="4" t="str">
        <f t="array" ref="H2533">IF(ROWS(L$20:L2533)&gt;$F$6,"",INDEX(B$2:B$10000,SMALL(IF(ISNUMBER(MATCH($B$2:$B$10000,$E$6:$E$22,0)),ROW($C$2:$C$10000)-ROW($C$2)+1),ROWS(L$20:L2533))))</f>
        <v/>
      </c>
      <c r="I2533" s="4" t="str">
        <f t="array" ref="I2533">IF(ROWS(M$20:M2533)&gt;$F$6,"",INDEX(C$2:C$10000,SMALL(IF(ISNUMBER(MATCH($B$2:$B$10000,$E$6:$E$22,0)),ROW($C$2:$C$10000)-ROW($C$2)+1),ROWS(M$20:M2533))))</f>
        <v/>
      </c>
      <c r="K2533" s="7" t="str">
        <f t="array" ref="K2533">IF(ROWS(K$20:K2533)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2533))))</f>
        <v/>
      </c>
      <c r="L2533" s="4" t="str">
        <f t="array" ref="L2533">IF(ROWS(L$20:L2533)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2533))))</f>
        <v/>
      </c>
      <c r="M2533" s="4" t="str">
        <f t="array" ref="M2533">IF(ROWS(M$20:M2533)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2533))))</f>
        <v/>
      </c>
    </row>
    <row r="2534" spans="1:13" x14ac:dyDescent="0.25">
      <c r="A2534" s="3">
        <v>41500</v>
      </c>
      <c r="B2534" s="2" t="s">
        <v>36</v>
      </c>
      <c r="C2534" s="2">
        <v>28</v>
      </c>
      <c r="G2534" s="7" t="str">
        <f t="array" ref="G2534">IF(ROWS(K$20:K2534)&gt;$F$6,"",INDEX(A$2:A$10000,SMALL(IF(ISNUMBER(MATCH($B$2:$B$10000,$E$6:$E$22,0)),ROW($C$2:$C$10000)-ROW($C$2)+1),ROWS(K$20:K2534))))</f>
        <v/>
      </c>
      <c r="H2534" s="4" t="str">
        <f t="array" ref="H2534">IF(ROWS(L$20:L2534)&gt;$F$6,"",INDEX(B$2:B$10000,SMALL(IF(ISNUMBER(MATCH($B$2:$B$10000,$E$6:$E$22,0)),ROW($C$2:$C$10000)-ROW($C$2)+1),ROWS(L$20:L2534))))</f>
        <v/>
      </c>
      <c r="I2534" s="4" t="str">
        <f t="array" ref="I2534">IF(ROWS(M$20:M2534)&gt;$F$6,"",INDEX(C$2:C$10000,SMALL(IF(ISNUMBER(MATCH($B$2:$B$10000,$E$6:$E$22,0)),ROW($C$2:$C$10000)-ROW($C$2)+1),ROWS(M$20:M2534))))</f>
        <v/>
      </c>
      <c r="K2534" s="7" t="str">
        <f t="array" ref="K2534">IF(ROWS(K$20:K2534)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2534))))</f>
        <v/>
      </c>
      <c r="L2534" s="4" t="str">
        <f t="array" ref="L2534">IF(ROWS(L$20:L2534)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2534))))</f>
        <v/>
      </c>
      <c r="M2534" s="4" t="str">
        <f t="array" ref="M2534">IF(ROWS(M$20:M2534)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2534))))</f>
        <v/>
      </c>
    </row>
    <row r="2535" spans="1:13" x14ac:dyDescent="0.25">
      <c r="A2535" s="3">
        <v>41783</v>
      </c>
      <c r="B2535" s="2" t="s">
        <v>28</v>
      </c>
      <c r="C2535" s="2">
        <v>29</v>
      </c>
      <c r="G2535" s="7" t="str">
        <f t="array" ref="G2535">IF(ROWS(K$20:K2535)&gt;$F$6,"",INDEX(A$2:A$10000,SMALL(IF(ISNUMBER(MATCH($B$2:$B$10000,$E$6:$E$22,0)),ROW($C$2:$C$10000)-ROW($C$2)+1),ROWS(K$20:K2535))))</f>
        <v/>
      </c>
      <c r="H2535" s="4" t="str">
        <f t="array" ref="H2535">IF(ROWS(L$20:L2535)&gt;$F$6,"",INDEX(B$2:B$10000,SMALL(IF(ISNUMBER(MATCH($B$2:$B$10000,$E$6:$E$22,0)),ROW($C$2:$C$10000)-ROW($C$2)+1),ROWS(L$20:L2535))))</f>
        <v/>
      </c>
      <c r="I2535" s="4" t="str">
        <f t="array" ref="I2535">IF(ROWS(M$20:M2535)&gt;$F$6,"",INDEX(C$2:C$10000,SMALL(IF(ISNUMBER(MATCH($B$2:$B$10000,$E$6:$E$22,0)),ROW($C$2:$C$10000)-ROW($C$2)+1),ROWS(M$20:M2535))))</f>
        <v/>
      </c>
      <c r="K2535" s="7" t="str">
        <f t="array" ref="K2535">IF(ROWS(K$20:K2535)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2535))))</f>
        <v/>
      </c>
      <c r="L2535" s="4" t="str">
        <f t="array" ref="L2535">IF(ROWS(L$20:L2535)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2535))))</f>
        <v/>
      </c>
      <c r="M2535" s="4" t="str">
        <f t="array" ref="M2535">IF(ROWS(M$20:M2535)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2535))))</f>
        <v/>
      </c>
    </row>
    <row r="2536" spans="1:13" x14ac:dyDescent="0.25">
      <c r="A2536" s="3">
        <v>41987</v>
      </c>
      <c r="B2536" s="2" t="s">
        <v>46</v>
      </c>
      <c r="C2536" s="2">
        <v>14</v>
      </c>
      <c r="G2536" s="7" t="str">
        <f t="array" ref="G2536">IF(ROWS(K$20:K2536)&gt;$F$6,"",INDEX(A$2:A$10000,SMALL(IF(ISNUMBER(MATCH($B$2:$B$10000,$E$6:$E$22,0)),ROW($C$2:$C$10000)-ROW($C$2)+1),ROWS(K$20:K2536))))</f>
        <v/>
      </c>
      <c r="H2536" s="4" t="str">
        <f t="array" ref="H2536">IF(ROWS(L$20:L2536)&gt;$F$6,"",INDEX(B$2:B$10000,SMALL(IF(ISNUMBER(MATCH($B$2:$B$10000,$E$6:$E$22,0)),ROW($C$2:$C$10000)-ROW($C$2)+1),ROWS(L$20:L2536))))</f>
        <v/>
      </c>
      <c r="I2536" s="4" t="str">
        <f t="array" ref="I2536">IF(ROWS(M$20:M2536)&gt;$F$6,"",INDEX(C$2:C$10000,SMALL(IF(ISNUMBER(MATCH($B$2:$B$10000,$E$6:$E$22,0)),ROW($C$2:$C$10000)-ROW($C$2)+1),ROWS(M$20:M2536))))</f>
        <v/>
      </c>
      <c r="K2536" s="7" t="str">
        <f t="array" ref="K2536">IF(ROWS(K$20:K2536)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2536))))</f>
        <v/>
      </c>
      <c r="L2536" s="4" t="str">
        <f t="array" ref="L2536">IF(ROWS(L$20:L2536)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2536))))</f>
        <v/>
      </c>
      <c r="M2536" s="4" t="str">
        <f t="array" ref="M2536">IF(ROWS(M$20:M2536)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2536))))</f>
        <v/>
      </c>
    </row>
    <row r="2537" spans="1:13" x14ac:dyDescent="0.25">
      <c r="A2537" s="3">
        <v>41438</v>
      </c>
      <c r="B2537" s="2" t="s">
        <v>25</v>
      </c>
      <c r="C2537" s="2">
        <v>4</v>
      </c>
      <c r="G2537" s="7" t="str">
        <f t="array" ref="G2537">IF(ROWS(K$20:K2537)&gt;$F$6,"",INDEX(A$2:A$10000,SMALL(IF(ISNUMBER(MATCH($B$2:$B$10000,$E$6:$E$22,0)),ROW($C$2:$C$10000)-ROW($C$2)+1),ROWS(K$20:K2537))))</f>
        <v/>
      </c>
      <c r="H2537" s="4" t="str">
        <f t="array" ref="H2537">IF(ROWS(L$20:L2537)&gt;$F$6,"",INDEX(B$2:B$10000,SMALL(IF(ISNUMBER(MATCH($B$2:$B$10000,$E$6:$E$22,0)),ROW($C$2:$C$10000)-ROW($C$2)+1),ROWS(L$20:L2537))))</f>
        <v/>
      </c>
      <c r="I2537" s="4" t="str">
        <f t="array" ref="I2537">IF(ROWS(M$20:M2537)&gt;$F$6,"",INDEX(C$2:C$10000,SMALL(IF(ISNUMBER(MATCH($B$2:$B$10000,$E$6:$E$22,0)),ROW($C$2:$C$10000)-ROW($C$2)+1),ROWS(M$20:M2537))))</f>
        <v/>
      </c>
      <c r="K2537" s="7" t="str">
        <f t="array" ref="K2537">IF(ROWS(K$20:K2537)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2537))))</f>
        <v/>
      </c>
      <c r="L2537" s="4" t="str">
        <f t="array" ref="L2537">IF(ROWS(L$20:L2537)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2537))))</f>
        <v/>
      </c>
      <c r="M2537" s="4" t="str">
        <f t="array" ref="M2537">IF(ROWS(M$20:M2537)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2537))))</f>
        <v/>
      </c>
    </row>
    <row r="2538" spans="1:13" x14ac:dyDescent="0.25">
      <c r="A2538" s="3">
        <v>41682</v>
      </c>
      <c r="B2538" s="2" t="s">
        <v>49</v>
      </c>
      <c r="C2538" s="2">
        <v>11</v>
      </c>
      <c r="G2538" s="7" t="str">
        <f t="array" ref="G2538">IF(ROWS(K$20:K2538)&gt;$F$6,"",INDEX(A$2:A$10000,SMALL(IF(ISNUMBER(MATCH($B$2:$B$10000,$E$6:$E$22,0)),ROW($C$2:$C$10000)-ROW($C$2)+1),ROWS(K$20:K2538))))</f>
        <v/>
      </c>
      <c r="H2538" s="4" t="str">
        <f t="array" ref="H2538">IF(ROWS(L$20:L2538)&gt;$F$6,"",INDEX(B$2:B$10000,SMALL(IF(ISNUMBER(MATCH($B$2:$B$10000,$E$6:$E$22,0)),ROW($C$2:$C$10000)-ROW($C$2)+1),ROWS(L$20:L2538))))</f>
        <v/>
      </c>
      <c r="I2538" s="4" t="str">
        <f t="array" ref="I2538">IF(ROWS(M$20:M2538)&gt;$F$6,"",INDEX(C$2:C$10000,SMALL(IF(ISNUMBER(MATCH($B$2:$B$10000,$E$6:$E$22,0)),ROW($C$2:$C$10000)-ROW($C$2)+1),ROWS(M$20:M2538))))</f>
        <v/>
      </c>
      <c r="K2538" s="7" t="str">
        <f t="array" ref="K2538">IF(ROWS(K$20:K2538)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2538))))</f>
        <v/>
      </c>
      <c r="L2538" s="4" t="str">
        <f t="array" ref="L2538">IF(ROWS(L$20:L2538)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2538))))</f>
        <v/>
      </c>
      <c r="M2538" s="4" t="str">
        <f t="array" ref="M2538">IF(ROWS(M$20:M2538)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2538))))</f>
        <v/>
      </c>
    </row>
    <row r="2539" spans="1:13" x14ac:dyDescent="0.25">
      <c r="A2539" s="3">
        <v>41573</v>
      </c>
      <c r="B2539" s="2" t="s">
        <v>18</v>
      </c>
      <c r="C2539" s="2">
        <v>3</v>
      </c>
      <c r="G2539" s="7" t="str">
        <f t="array" ref="G2539">IF(ROWS(K$20:K2539)&gt;$F$6,"",INDEX(A$2:A$10000,SMALL(IF(ISNUMBER(MATCH($B$2:$B$10000,$E$6:$E$22,0)),ROW($C$2:$C$10000)-ROW($C$2)+1),ROWS(K$20:K2539))))</f>
        <v/>
      </c>
      <c r="H2539" s="4" t="str">
        <f t="array" ref="H2539">IF(ROWS(L$20:L2539)&gt;$F$6,"",INDEX(B$2:B$10000,SMALL(IF(ISNUMBER(MATCH($B$2:$B$10000,$E$6:$E$22,0)),ROW($C$2:$C$10000)-ROW($C$2)+1),ROWS(L$20:L2539))))</f>
        <v/>
      </c>
      <c r="I2539" s="4" t="str">
        <f t="array" ref="I2539">IF(ROWS(M$20:M2539)&gt;$F$6,"",INDEX(C$2:C$10000,SMALL(IF(ISNUMBER(MATCH($B$2:$B$10000,$E$6:$E$22,0)),ROW($C$2:$C$10000)-ROW($C$2)+1),ROWS(M$20:M2539))))</f>
        <v/>
      </c>
      <c r="K2539" s="7" t="str">
        <f t="array" ref="K2539">IF(ROWS(K$20:K2539)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2539))))</f>
        <v/>
      </c>
      <c r="L2539" s="4" t="str">
        <f t="array" ref="L2539">IF(ROWS(L$20:L2539)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2539))))</f>
        <v/>
      </c>
      <c r="M2539" s="4" t="str">
        <f t="array" ref="M2539">IF(ROWS(M$20:M2539)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2539))))</f>
        <v/>
      </c>
    </row>
    <row r="2540" spans="1:13" x14ac:dyDescent="0.25">
      <c r="A2540" s="3">
        <v>41408</v>
      </c>
      <c r="B2540" s="2" t="s">
        <v>13</v>
      </c>
      <c r="C2540" s="2">
        <v>1</v>
      </c>
      <c r="G2540" s="7" t="str">
        <f t="array" ref="G2540">IF(ROWS(K$20:K2540)&gt;$F$6,"",INDEX(A$2:A$10000,SMALL(IF(ISNUMBER(MATCH($B$2:$B$10000,$E$6:$E$22,0)),ROW($C$2:$C$10000)-ROW($C$2)+1),ROWS(K$20:K2540))))</f>
        <v/>
      </c>
      <c r="H2540" s="4" t="str">
        <f t="array" ref="H2540">IF(ROWS(L$20:L2540)&gt;$F$6,"",INDEX(B$2:B$10000,SMALL(IF(ISNUMBER(MATCH($B$2:$B$10000,$E$6:$E$22,0)),ROW($C$2:$C$10000)-ROW($C$2)+1),ROWS(L$20:L2540))))</f>
        <v/>
      </c>
      <c r="I2540" s="4" t="str">
        <f t="array" ref="I2540">IF(ROWS(M$20:M2540)&gt;$F$6,"",INDEX(C$2:C$10000,SMALL(IF(ISNUMBER(MATCH($B$2:$B$10000,$E$6:$E$22,0)),ROW($C$2:$C$10000)-ROW($C$2)+1),ROWS(M$20:M2540))))</f>
        <v/>
      </c>
      <c r="K2540" s="7" t="str">
        <f t="array" ref="K2540">IF(ROWS(K$20:K2540)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2540))))</f>
        <v/>
      </c>
      <c r="L2540" s="4" t="str">
        <f t="array" ref="L2540">IF(ROWS(L$20:L2540)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2540))))</f>
        <v/>
      </c>
      <c r="M2540" s="4" t="str">
        <f t="array" ref="M2540">IF(ROWS(M$20:M2540)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2540))))</f>
        <v/>
      </c>
    </row>
    <row r="2541" spans="1:13" x14ac:dyDescent="0.25">
      <c r="A2541" s="3">
        <v>41733</v>
      </c>
      <c r="B2541" s="2" t="s">
        <v>19</v>
      </c>
      <c r="C2541" s="2">
        <v>22</v>
      </c>
      <c r="G2541" s="7" t="str">
        <f t="array" ref="G2541">IF(ROWS(K$20:K2541)&gt;$F$6,"",INDEX(A$2:A$10000,SMALL(IF(ISNUMBER(MATCH($B$2:$B$10000,$E$6:$E$22,0)),ROW($C$2:$C$10000)-ROW($C$2)+1),ROWS(K$20:K2541))))</f>
        <v/>
      </c>
      <c r="H2541" s="4" t="str">
        <f t="array" ref="H2541">IF(ROWS(L$20:L2541)&gt;$F$6,"",INDEX(B$2:B$10000,SMALL(IF(ISNUMBER(MATCH($B$2:$B$10000,$E$6:$E$22,0)),ROW($C$2:$C$10000)-ROW($C$2)+1),ROWS(L$20:L2541))))</f>
        <v/>
      </c>
      <c r="I2541" s="4" t="str">
        <f t="array" ref="I2541">IF(ROWS(M$20:M2541)&gt;$F$6,"",INDEX(C$2:C$10000,SMALL(IF(ISNUMBER(MATCH($B$2:$B$10000,$E$6:$E$22,0)),ROW($C$2:$C$10000)-ROW($C$2)+1),ROWS(M$20:M2541))))</f>
        <v/>
      </c>
      <c r="K2541" s="7" t="str">
        <f t="array" ref="K2541">IF(ROWS(K$20:K2541)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2541))))</f>
        <v/>
      </c>
      <c r="L2541" s="4" t="str">
        <f t="array" ref="L2541">IF(ROWS(L$20:L2541)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2541))))</f>
        <v/>
      </c>
      <c r="M2541" s="4" t="str">
        <f t="array" ref="M2541">IF(ROWS(M$20:M2541)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2541))))</f>
        <v/>
      </c>
    </row>
    <row r="2542" spans="1:13" x14ac:dyDescent="0.25">
      <c r="A2542" s="3">
        <v>41939</v>
      </c>
      <c r="B2542" s="2" t="s">
        <v>16</v>
      </c>
      <c r="C2542" s="2">
        <v>8</v>
      </c>
      <c r="G2542" s="7" t="str">
        <f t="array" ref="G2542">IF(ROWS(K$20:K2542)&gt;$F$6,"",INDEX(A$2:A$10000,SMALL(IF(ISNUMBER(MATCH($B$2:$B$10000,$E$6:$E$22,0)),ROW($C$2:$C$10000)-ROW($C$2)+1),ROWS(K$20:K2542))))</f>
        <v/>
      </c>
      <c r="H2542" s="4" t="str">
        <f t="array" ref="H2542">IF(ROWS(L$20:L2542)&gt;$F$6,"",INDEX(B$2:B$10000,SMALL(IF(ISNUMBER(MATCH($B$2:$B$10000,$E$6:$E$22,0)),ROW($C$2:$C$10000)-ROW($C$2)+1),ROWS(L$20:L2542))))</f>
        <v/>
      </c>
      <c r="I2542" s="4" t="str">
        <f t="array" ref="I2542">IF(ROWS(M$20:M2542)&gt;$F$6,"",INDEX(C$2:C$10000,SMALL(IF(ISNUMBER(MATCH($B$2:$B$10000,$E$6:$E$22,0)),ROW($C$2:$C$10000)-ROW($C$2)+1),ROWS(M$20:M2542))))</f>
        <v/>
      </c>
      <c r="K2542" s="7" t="str">
        <f t="array" ref="K2542">IF(ROWS(K$20:K2542)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2542))))</f>
        <v/>
      </c>
      <c r="L2542" s="4" t="str">
        <f t="array" ref="L2542">IF(ROWS(L$20:L2542)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2542))))</f>
        <v/>
      </c>
      <c r="M2542" s="4" t="str">
        <f t="array" ref="M2542">IF(ROWS(M$20:M2542)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2542))))</f>
        <v/>
      </c>
    </row>
    <row r="2543" spans="1:13" x14ac:dyDescent="0.25">
      <c r="A2543" s="3">
        <v>41421</v>
      </c>
      <c r="B2543" s="2" t="s">
        <v>21</v>
      </c>
      <c r="C2543" s="2">
        <v>26</v>
      </c>
      <c r="G2543" s="7" t="str">
        <f t="array" ref="G2543">IF(ROWS(K$20:K2543)&gt;$F$6,"",INDEX(A$2:A$10000,SMALL(IF(ISNUMBER(MATCH($B$2:$B$10000,$E$6:$E$22,0)),ROW($C$2:$C$10000)-ROW($C$2)+1),ROWS(K$20:K2543))))</f>
        <v/>
      </c>
      <c r="H2543" s="4" t="str">
        <f t="array" ref="H2543">IF(ROWS(L$20:L2543)&gt;$F$6,"",INDEX(B$2:B$10000,SMALL(IF(ISNUMBER(MATCH($B$2:$B$10000,$E$6:$E$22,0)),ROW($C$2:$C$10000)-ROW($C$2)+1),ROWS(L$20:L2543))))</f>
        <v/>
      </c>
      <c r="I2543" s="4" t="str">
        <f t="array" ref="I2543">IF(ROWS(M$20:M2543)&gt;$F$6,"",INDEX(C$2:C$10000,SMALL(IF(ISNUMBER(MATCH($B$2:$B$10000,$E$6:$E$22,0)),ROW($C$2:$C$10000)-ROW($C$2)+1),ROWS(M$20:M2543))))</f>
        <v/>
      </c>
      <c r="K2543" s="7" t="str">
        <f t="array" ref="K2543">IF(ROWS(K$20:K2543)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2543))))</f>
        <v/>
      </c>
      <c r="L2543" s="4" t="str">
        <f t="array" ref="L2543">IF(ROWS(L$20:L2543)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2543))))</f>
        <v/>
      </c>
      <c r="M2543" s="4" t="str">
        <f t="array" ref="M2543">IF(ROWS(M$20:M2543)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2543))))</f>
        <v/>
      </c>
    </row>
    <row r="2544" spans="1:13" x14ac:dyDescent="0.25">
      <c r="A2544" s="3">
        <v>41545</v>
      </c>
      <c r="B2544" s="2" t="s">
        <v>51</v>
      </c>
      <c r="C2544" s="2">
        <v>25</v>
      </c>
      <c r="G2544" s="7" t="str">
        <f t="array" ref="G2544">IF(ROWS(K$20:K2544)&gt;$F$6,"",INDEX(A$2:A$10000,SMALL(IF(ISNUMBER(MATCH($B$2:$B$10000,$E$6:$E$22,0)),ROW($C$2:$C$10000)-ROW($C$2)+1),ROWS(K$20:K2544))))</f>
        <v/>
      </c>
      <c r="H2544" s="4" t="str">
        <f t="array" ref="H2544">IF(ROWS(L$20:L2544)&gt;$F$6,"",INDEX(B$2:B$10000,SMALL(IF(ISNUMBER(MATCH($B$2:$B$10000,$E$6:$E$22,0)),ROW($C$2:$C$10000)-ROW($C$2)+1),ROWS(L$20:L2544))))</f>
        <v/>
      </c>
      <c r="I2544" s="4" t="str">
        <f t="array" ref="I2544">IF(ROWS(M$20:M2544)&gt;$F$6,"",INDEX(C$2:C$10000,SMALL(IF(ISNUMBER(MATCH($B$2:$B$10000,$E$6:$E$22,0)),ROW($C$2:$C$10000)-ROW($C$2)+1),ROWS(M$20:M2544))))</f>
        <v/>
      </c>
      <c r="K2544" s="7" t="str">
        <f t="array" ref="K2544">IF(ROWS(K$20:K2544)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2544))))</f>
        <v/>
      </c>
      <c r="L2544" s="4" t="str">
        <f t="array" ref="L2544">IF(ROWS(L$20:L2544)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2544))))</f>
        <v/>
      </c>
      <c r="M2544" s="4" t="str">
        <f t="array" ref="M2544">IF(ROWS(M$20:M2544)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2544))))</f>
        <v/>
      </c>
    </row>
    <row r="2545" spans="1:13" x14ac:dyDescent="0.25">
      <c r="A2545" s="3">
        <v>41560</v>
      </c>
      <c r="B2545" s="2" t="s">
        <v>37</v>
      </c>
      <c r="C2545" s="2">
        <v>54</v>
      </c>
      <c r="G2545" s="7" t="str">
        <f t="array" ref="G2545">IF(ROWS(K$20:K2545)&gt;$F$6,"",INDEX(A$2:A$10000,SMALL(IF(ISNUMBER(MATCH($B$2:$B$10000,$E$6:$E$22,0)),ROW($C$2:$C$10000)-ROW($C$2)+1),ROWS(K$20:K2545))))</f>
        <v/>
      </c>
      <c r="H2545" s="4" t="str">
        <f t="array" ref="H2545">IF(ROWS(L$20:L2545)&gt;$F$6,"",INDEX(B$2:B$10000,SMALL(IF(ISNUMBER(MATCH($B$2:$B$10000,$E$6:$E$22,0)),ROW($C$2:$C$10000)-ROW($C$2)+1),ROWS(L$20:L2545))))</f>
        <v/>
      </c>
      <c r="I2545" s="4" t="str">
        <f t="array" ref="I2545">IF(ROWS(M$20:M2545)&gt;$F$6,"",INDEX(C$2:C$10000,SMALL(IF(ISNUMBER(MATCH($B$2:$B$10000,$E$6:$E$22,0)),ROW($C$2:$C$10000)-ROW($C$2)+1),ROWS(M$20:M2545))))</f>
        <v/>
      </c>
      <c r="K2545" s="7" t="str">
        <f t="array" ref="K2545">IF(ROWS(K$20:K2545)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2545))))</f>
        <v/>
      </c>
      <c r="L2545" s="4" t="str">
        <f t="array" ref="L2545">IF(ROWS(L$20:L2545)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2545))))</f>
        <v/>
      </c>
      <c r="M2545" s="4" t="str">
        <f t="array" ref="M2545">IF(ROWS(M$20:M2545)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2545))))</f>
        <v/>
      </c>
    </row>
    <row r="2546" spans="1:13" x14ac:dyDescent="0.25">
      <c r="A2546" s="3">
        <v>41765</v>
      </c>
      <c r="B2546" s="2" t="s">
        <v>43</v>
      </c>
      <c r="C2546" s="2">
        <v>1</v>
      </c>
      <c r="G2546" s="7" t="str">
        <f t="array" ref="G2546">IF(ROWS(K$20:K2546)&gt;$F$6,"",INDEX(A$2:A$10000,SMALL(IF(ISNUMBER(MATCH($B$2:$B$10000,$E$6:$E$22,0)),ROW($C$2:$C$10000)-ROW($C$2)+1),ROWS(K$20:K2546))))</f>
        <v/>
      </c>
      <c r="H2546" s="4" t="str">
        <f t="array" ref="H2546">IF(ROWS(L$20:L2546)&gt;$F$6,"",INDEX(B$2:B$10000,SMALL(IF(ISNUMBER(MATCH($B$2:$B$10000,$E$6:$E$22,0)),ROW($C$2:$C$10000)-ROW($C$2)+1),ROWS(L$20:L2546))))</f>
        <v/>
      </c>
      <c r="I2546" s="4" t="str">
        <f t="array" ref="I2546">IF(ROWS(M$20:M2546)&gt;$F$6,"",INDEX(C$2:C$10000,SMALL(IF(ISNUMBER(MATCH($B$2:$B$10000,$E$6:$E$22,0)),ROW($C$2:$C$10000)-ROW($C$2)+1),ROWS(M$20:M2546))))</f>
        <v/>
      </c>
      <c r="K2546" s="7" t="str">
        <f t="array" ref="K2546">IF(ROWS(K$20:K2546)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2546))))</f>
        <v/>
      </c>
      <c r="L2546" s="4" t="str">
        <f t="array" ref="L2546">IF(ROWS(L$20:L2546)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2546))))</f>
        <v/>
      </c>
      <c r="M2546" s="4" t="str">
        <f t="array" ref="M2546">IF(ROWS(M$20:M2546)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2546))))</f>
        <v/>
      </c>
    </row>
    <row r="2547" spans="1:13" x14ac:dyDescent="0.25">
      <c r="A2547" s="3">
        <v>41882</v>
      </c>
      <c r="B2547" s="2" t="s">
        <v>6</v>
      </c>
      <c r="C2547" s="2">
        <v>47</v>
      </c>
      <c r="G2547" s="7" t="str">
        <f t="array" ref="G2547">IF(ROWS(K$20:K2547)&gt;$F$6,"",INDEX(A$2:A$10000,SMALL(IF(ISNUMBER(MATCH($B$2:$B$10000,$E$6:$E$22,0)),ROW($C$2:$C$10000)-ROW($C$2)+1),ROWS(K$20:K2547))))</f>
        <v/>
      </c>
      <c r="H2547" s="4" t="str">
        <f t="array" ref="H2547">IF(ROWS(L$20:L2547)&gt;$F$6,"",INDEX(B$2:B$10000,SMALL(IF(ISNUMBER(MATCH($B$2:$B$10000,$E$6:$E$22,0)),ROW($C$2:$C$10000)-ROW($C$2)+1),ROWS(L$20:L2547))))</f>
        <v/>
      </c>
      <c r="I2547" s="4" t="str">
        <f t="array" ref="I2547">IF(ROWS(M$20:M2547)&gt;$F$6,"",INDEX(C$2:C$10000,SMALL(IF(ISNUMBER(MATCH($B$2:$B$10000,$E$6:$E$22,0)),ROW($C$2:$C$10000)-ROW($C$2)+1),ROWS(M$20:M2547))))</f>
        <v/>
      </c>
      <c r="K2547" s="7" t="str">
        <f t="array" ref="K2547">IF(ROWS(K$20:K2547)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2547))))</f>
        <v/>
      </c>
      <c r="L2547" s="4" t="str">
        <f t="array" ref="L2547">IF(ROWS(L$20:L2547)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2547))))</f>
        <v/>
      </c>
      <c r="M2547" s="4" t="str">
        <f t="array" ref="M2547">IF(ROWS(M$20:M2547)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2547))))</f>
        <v/>
      </c>
    </row>
    <row r="2548" spans="1:13" x14ac:dyDescent="0.25">
      <c r="A2548" s="3">
        <v>41436</v>
      </c>
      <c r="B2548" s="2" t="s">
        <v>21</v>
      </c>
      <c r="C2548" s="2">
        <v>25</v>
      </c>
      <c r="G2548" s="7" t="str">
        <f t="array" ref="G2548">IF(ROWS(K$20:K2548)&gt;$F$6,"",INDEX(A$2:A$10000,SMALL(IF(ISNUMBER(MATCH($B$2:$B$10000,$E$6:$E$22,0)),ROW($C$2:$C$10000)-ROW($C$2)+1),ROWS(K$20:K2548))))</f>
        <v/>
      </c>
      <c r="H2548" s="4" t="str">
        <f t="array" ref="H2548">IF(ROWS(L$20:L2548)&gt;$F$6,"",INDEX(B$2:B$10000,SMALL(IF(ISNUMBER(MATCH($B$2:$B$10000,$E$6:$E$22,0)),ROW($C$2:$C$10000)-ROW($C$2)+1),ROWS(L$20:L2548))))</f>
        <v/>
      </c>
      <c r="I2548" s="4" t="str">
        <f t="array" ref="I2548">IF(ROWS(M$20:M2548)&gt;$F$6,"",INDEX(C$2:C$10000,SMALL(IF(ISNUMBER(MATCH($B$2:$B$10000,$E$6:$E$22,0)),ROW($C$2:$C$10000)-ROW($C$2)+1),ROWS(M$20:M2548))))</f>
        <v/>
      </c>
      <c r="K2548" s="7" t="str">
        <f t="array" ref="K2548">IF(ROWS(K$20:K2548)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2548))))</f>
        <v/>
      </c>
      <c r="L2548" s="4" t="str">
        <f t="array" ref="L2548">IF(ROWS(L$20:L2548)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2548))))</f>
        <v/>
      </c>
      <c r="M2548" s="4" t="str">
        <f t="array" ref="M2548">IF(ROWS(M$20:M2548)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2548))))</f>
        <v/>
      </c>
    </row>
    <row r="2549" spans="1:13" x14ac:dyDescent="0.25">
      <c r="A2549" s="3">
        <v>41399</v>
      </c>
      <c r="B2549" s="2" t="s">
        <v>49</v>
      </c>
      <c r="C2549" s="2">
        <v>32</v>
      </c>
      <c r="G2549" s="7" t="str">
        <f t="array" ref="G2549">IF(ROWS(K$20:K2549)&gt;$F$6,"",INDEX(A$2:A$10000,SMALL(IF(ISNUMBER(MATCH($B$2:$B$10000,$E$6:$E$22,0)),ROW($C$2:$C$10000)-ROW($C$2)+1),ROWS(K$20:K2549))))</f>
        <v/>
      </c>
      <c r="H2549" s="4" t="str">
        <f t="array" ref="H2549">IF(ROWS(L$20:L2549)&gt;$F$6,"",INDEX(B$2:B$10000,SMALL(IF(ISNUMBER(MATCH($B$2:$B$10000,$E$6:$E$22,0)),ROW($C$2:$C$10000)-ROW($C$2)+1),ROWS(L$20:L2549))))</f>
        <v/>
      </c>
      <c r="I2549" s="4" t="str">
        <f t="array" ref="I2549">IF(ROWS(M$20:M2549)&gt;$F$6,"",INDEX(C$2:C$10000,SMALL(IF(ISNUMBER(MATCH($B$2:$B$10000,$E$6:$E$22,0)),ROW($C$2:$C$10000)-ROW($C$2)+1),ROWS(M$20:M2549))))</f>
        <v/>
      </c>
      <c r="K2549" s="7" t="str">
        <f t="array" ref="K2549">IF(ROWS(K$20:K2549)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2549))))</f>
        <v/>
      </c>
      <c r="L2549" s="4" t="str">
        <f t="array" ref="L2549">IF(ROWS(L$20:L2549)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2549))))</f>
        <v/>
      </c>
      <c r="M2549" s="4" t="str">
        <f t="array" ref="M2549">IF(ROWS(M$20:M2549)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2549))))</f>
        <v/>
      </c>
    </row>
    <row r="2550" spans="1:13" x14ac:dyDescent="0.25">
      <c r="A2550" s="3">
        <v>41407</v>
      </c>
      <c r="B2550" s="2" t="s">
        <v>43</v>
      </c>
      <c r="C2550" s="2">
        <v>18</v>
      </c>
      <c r="G2550" s="7" t="str">
        <f t="array" ref="G2550">IF(ROWS(K$20:K2550)&gt;$F$6,"",INDEX(A$2:A$10000,SMALL(IF(ISNUMBER(MATCH($B$2:$B$10000,$E$6:$E$22,0)),ROW($C$2:$C$10000)-ROW($C$2)+1),ROWS(K$20:K2550))))</f>
        <v/>
      </c>
      <c r="H2550" s="4" t="str">
        <f t="array" ref="H2550">IF(ROWS(L$20:L2550)&gt;$F$6,"",INDEX(B$2:B$10000,SMALL(IF(ISNUMBER(MATCH($B$2:$B$10000,$E$6:$E$22,0)),ROW($C$2:$C$10000)-ROW($C$2)+1),ROWS(L$20:L2550))))</f>
        <v/>
      </c>
      <c r="I2550" s="4" t="str">
        <f t="array" ref="I2550">IF(ROWS(M$20:M2550)&gt;$F$6,"",INDEX(C$2:C$10000,SMALL(IF(ISNUMBER(MATCH($B$2:$B$10000,$E$6:$E$22,0)),ROW($C$2:$C$10000)-ROW($C$2)+1),ROWS(M$20:M2550))))</f>
        <v/>
      </c>
      <c r="K2550" s="7" t="str">
        <f t="array" ref="K2550">IF(ROWS(K$20:K2550)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2550))))</f>
        <v/>
      </c>
      <c r="L2550" s="4" t="str">
        <f t="array" ref="L2550">IF(ROWS(L$20:L2550)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2550))))</f>
        <v/>
      </c>
      <c r="M2550" s="4" t="str">
        <f t="array" ref="M2550">IF(ROWS(M$20:M2550)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2550))))</f>
        <v/>
      </c>
    </row>
    <row r="2551" spans="1:13" x14ac:dyDescent="0.25">
      <c r="A2551" s="3">
        <v>41442</v>
      </c>
      <c r="B2551" s="2" t="s">
        <v>10</v>
      </c>
      <c r="C2551" s="2">
        <v>28</v>
      </c>
      <c r="G2551" s="7" t="str">
        <f t="array" ref="G2551">IF(ROWS(K$20:K2551)&gt;$F$6,"",INDEX(A$2:A$10000,SMALL(IF(ISNUMBER(MATCH($B$2:$B$10000,$E$6:$E$22,0)),ROW($C$2:$C$10000)-ROW($C$2)+1),ROWS(K$20:K2551))))</f>
        <v/>
      </c>
      <c r="H2551" s="4" t="str">
        <f t="array" ref="H2551">IF(ROWS(L$20:L2551)&gt;$F$6,"",INDEX(B$2:B$10000,SMALL(IF(ISNUMBER(MATCH($B$2:$B$10000,$E$6:$E$22,0)),ROW($C$2:$C$10000)-ROW($C$2)+1),ROWS(L$20:L2551))))</f>
        <v/>
      </c>
      <c r="I2551" s="4" t="str">
        <f t="array" ref="I2551">IF(ROWS(M$20:M2551)&gt;$F$6,"",INDEX(C$2:C$10000,SMALL(IF(ISNUMBER(MATCH($B$2:$B$10000,$E$6:$E$22,0)),ROW($C$2:$C$10000)-ROW($C$2)+1),ROWS(M$20:M2551))))</f>
        <v/>
      </c>
      <c r="K2551" s="7" t="str">
        <f t="array" ref="K2551">IF(ROWS(K$20:K2551)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2551))))</f>
        <v/>
      </c>
      <c r="L2551" s="4" t="str">
        <f t="array" ref="L2551">IF(ROWS(L$20:L2551)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2551))))</f>
        <v/>
      </c>
      <c r="M2551" s="4" t="str">
        <f t="array" ref="M2551">IF(ROWS(M$20:M2551)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2551))))</f>
        <v/>
      </c>
    </row>
    <row r="2552" spans="1:13" x14ac:dyDescent="0.25">
      <c r="A2552" s="3">
        <v>41923</v>
      </c>
      <c r="B2552" s="2" t="s">
        <v>8</v>
      </c>
      <c r="C2552" s="2">
        <v>20</v>
      </c>
      <c r="G2552" s="7" t="str">
        <f t="array" ref="G2552">IF(ROWS(K$20:K2552)&gt;$F$6,"",INDEX(A$2:A$10000,SMALL(IF(ISNUMBER(MATCH($B$2:$B$10000,$E$6:$E$22,0)),ROW($C$2:$C$10000)-ROW($C$2)+1),ROWS(K$20:K2552))))</f>
        <v/>
      </c>
      <c r="H2552" s="4" t="str">
        <f t="array" ref="H2552">IF(ROWS(L$20:L2552)&gt;$F$6,"",INDEX(B$2:B$10000,SMALL(IF(ISNUMBER(MATCH($B$2:$B$10000,$E$6:$E$22,0)),ROW($C$2:$C$10000)-ROW($C$2)+1),ROWS(L$20:L2552))))</f>
        <v/>
      </c>
      <c r="I2552" s="4" t="str">
        <f t="array" ref="I2552">IF(ROWS(M$20:M2552)&gt;$F$6,"",INDEX(C$2:C$10000,SMALL(IF(ISNUMBER(MATCH($B$2:$B$10000,$E$6:$E$22,0)),ROW($C$2:$C$10000)-ROW($C$2)+1),ROWS(M$20:M2552))))</f>
        <v/>
      </c>
      <c r="K2552" s="7" t="str">
        <f t="array" ref="K2552">IF(ROWS(K$20:K2552)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2552))))</f>
        <v/>
      </c>
      <c r="L2552" s="4" t="str">
        <f t="array" ref="L2552">IF(ROWS(L$20:L2552)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2552))))</f>
        <v/>
      </c>
      <c r="M2552" s="4" t="str">
        <f t="array" ref="M2552">IF(ROWS(M$20:M2552)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2552))))</f>
        <v/>
      </c>
    </row>
    <row r="2553" spans="1:13" x14ac:dyDescent="0.25">
      <c r="A2553" s="3">
        <v>41462</v>
      </c>
      <c r="B2553" s="2" t="s">
        <v>31</v>
      </c>
      <c r="C2553" s="2">
        <v>39</v>
      </c>
      <c r="G2553" s="7" t="str">
        <f t="array" ref="G2553">IF(ROWS(K$20:K2553)&gt;$F$6,"",INDEX(A$2:A$10000,SMALL(IF(ISNUMBER(MATCH($B$2:$B$10000,$E$6:$E$22,0)),ROW($C$2:$C$10000)-ROW($C$2)+1),ROWS(K$20:K2553))))</f>
        <v/>
      </c>
      <c r="H2553" s="4" t="str">
        <f t="array" ref="H2553">IF(ROWS(L$20:L2553)&gt;$F$6,"",INDEX(B$2:B$10000,SMALL(IF(ISNUMBER(MATCH($B$2:$B$10000,$E$6:$E$22,0)),ROW($C$2:$C$10000)-ROW($C$2)+1),ROWS(L$20:L2553))))</f>
        <v/>
      </c>
      <c r="I2553" s="4" t="str">
        <f t="array" ref="I2553">IF(ROWS(M$20:M2553)&gt;$F$6,"",INDEX(C$2:C$10000,SMALL(IF(ISNUMBER(MATCH($B$2:$B$10000,$E$6:$E$22,0)),ROW($C$2:$C$10000)-ROW($C$2)+1),ROWS(M$20:M2553))))</f>
        <v/>
      </c>
      <c r="K2553" s="7" t="str">
        <f t="array" ref="K2553">IF(ROWS(K$20:K2553)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2553))))</f>
        <v/>
      </c>
      <c r="L2553" s="4" t="str">
        <f t="array" ref="L2553">IF(ROWS(L$20:L2553)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2553))))</f>
        <v/>
      </c>
      <c r="M2553" s="4" t="str">
        <f t="array" ref="M2553">IF(ROWS(M$20:M2553)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2553))))</f>
        <v/>
      </c>
    </row>
    <row r="2554" spans="1:13" x14ac:dyDescent="0.25">
      <c r="A2554" s="3">
        <v>41826</v>
      </c>
      <c r="B2554" s="2" t="s">
        <v>42</v>
      </c>
      <c r="C2554" s="2">
        <v>9</v>
      </c>
      <c r="G2554" s="7" t="str">
        <f t="array" ref="G2554">IF(ROWS(K$20:K2554)&gt;$F$6,"",INDEX(A$2:A$10000,SMALL(IF(ISNUMBER(MATCH($B$2:$B$10000,$E$6:$E$22,0)),ROW($C$2:$C$10000)-ROW($C$2)+1),ROWS(K$20:K2554))))</f>
        <v/>
      </c>
      <c r="H2554" s="4" t="str">
        <f t="array" ref="H2554">IF(ROWS(L$20:L2554)&gt;$F$6,"",INDEX(B$2:B$10000,SMALL(IF(ISNUMBER(MATCH($B$2:$B$10000,$E$6:$E$22,0)),ROW($C$2:$C$10000)-ROW($C$2)+1),ROWS(L$20:L2554))))</f>
        <v/>
      </c>
      <c r="I2554" s="4" t="str">
        <f t="array" ref="I2554">IF(ROWS(M$20:M2554)&gt;$F$6,"",INDEX(C$2:C$10000,SMALL(IF(ISNUMBER(MATCH($B$2:$B$10000,$E$6:$E$22,0)),ROW($C$2:$C$10000)-ROW($C$2)+1),ROWS(M$20:M2554))))</f>
        <v/>
      </c>
      <c r="K2554" s="7" t="str">
        <f t="array" ref="K2554">IF(ROWS(K$20:K2554)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2554))))</f>
        <v/>
      </c>
      <c r="L2554" s="4" t="str">
        <f t="array" ref="L2554">IF(ROWS(L$20:L2554)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2554))))</f>
        <v/>
      </c>
      <c r="M2554" s="4" t="str">
        <f t="array" ref="M2554">IF(ROWS(M$20:M2554)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2554))))</f>
        <v/>
      </c>
    </row>
    <row r="2555" spans="1:13" x14ac:dyDescent="0.25">
      <c r="A2555" s="3">
        <v>41962</v>
      </c>
      <c r="B2555" s="2" t="s">
        <v>35</v>
      </c>
      <c r="C2555" s="2">
        <v>43</v>
      </c>
      <c r="G2555" s="7" t="str">
        <f t="array" ref="G2555">IF(ROWS(K$20:K2555)&gt;$F$6,"",INDEX(A$2:A$10000,SMALL(IF(ISNUMBER(MATCH($B$2:$B$10000,$E$6:$E$22,0)),ROW($C$2:$C$10000)-ROW($C$2)+1),ROWS(K$20:K2555))))</f>
        <v/>
      </c>
      <c r="H2555" s="4" t="str">
        <f t="array" ref="H2555">IF(ROWS(L$20:L2555)&gt;$F$6,"",INDEX(B$2:B$10000,SMALL(IF(ISNUMBER(MATCH($B$2:$B$10000,$E$6:$E$22,0)),ROW($C$2:$C$10000)-ROW($C$2)+1),ROWS(L$20:L2555))))</f>
        <v/>
      </c>
      <c r="I2555" s="4" t="str">
        <f t="array" ref="I2555">IF(ROWS(M$20:M2555)&gt;$F$6,"",INDEX(C$2:C$10000,SMALL(IF(ISNUMBER(MATCH($B$2:$B$10000,$E$6:$E$22,0)),ROW($C$2:$C$10000)-ROW($C$2)+1),ROWS(M$20:M2555))))</f>
        <v/>
      </c>
      <c r="K2555" s="7" t="str">
        <f t="array" ref="K2555">IF(ROWS(K$20:K2555)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2555))))</f>
        <v/>
      </c>
      <c r="L2555" s="4" t="str">
        <f t="array" ref="L2555">IF(ROWS(L$20:L2555)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2555))))</f>
        <v/>
      </c>
      <c r="M2555" s="4" t="str">
        <f t="array" ref="M2555">IF(ROWS(M$20:M2555)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2555))))</f>
        <v/>
      </c>
    </row>
    <row r="2556" spans="1:13" x14ac:dyDescent="0.25">
      <c r="A2556" s="3">
        <v>41495</v>
      </c>
      <c r="B2556" s="2" t="s">
        <v>41</v>
      </c>
      <c r="C2556" s="2">
        <v>21</v>
      </c>
      <c r="G2556" s="7" t="str">
        <f t="array" ref="G2556">IF(ROWS(K$20:K2556)&gt;$F$6,"",INDEX(A$2:A$10000,SMALL(IF(ISNUMBER(MATCH($B$2:$B$10000,$E$6:$E$22,0)),ROW($C$2:$C$10000)-ROW($C$2)+1),ROWS(K$20:K2556))))</f>
        <v/>
      </c>
      <c r="H2556" s="4" t="str">
        <f t="array" ref="H2556">IF(ROWS(L$20:L2556)&gt;$F$6,"",INDEX(B$2:B$10000,SMALL(IF(ISNUMBER(MATCH($B$2:$B$10000,$E$6:$E$22,0)),ROW($C$2:$C$10000)-ROW($C$2)+1),ROWS(L$20:L2556))))</f>
        <v/>
      </c>
      <c r="I2556" s="4" t="str">
        <f t="array" ref="I2556">IF(ROWS(M$20:M2556)&gt;$F$6,"",INDEX(C$2:C$10000,SMALL(IF(ISNUMBER(MATCH($B$2:$B$10000,$E$6:$E$22,0)),ROW($C$2:$C$10000)-ROW($C$2)+1),ROWS(M$20:M2556))))</f>
        <v/>
      </c>
      <c r="K2556" s="7" t="str">
        <f t="array" ref="K2556">IF(ROWS(K$20:K2556)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2556))))</f>
        <v/>
      </c>
      <c r="L2556" s="4" t="str">
        <f t="array" ref="L2556">IF(ROWS(L$20:L2556)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2556))))</f>
        <v/>
      </c>
      <c r="M2556" s="4" t="str">
        <f t="array" ref="M2556">IF(ROWS(M$20:M2556)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2556))))</f>
        <v/>
      </c>
    </row>
    <row r="2557" spans="1:13" x14ac:dyDescent="0.25">
      <c r="A2557" s="3">
        <v>41819</v>
      </c>
      <c r="B2557" s="2" t="s">
        <v>18</v>
      </c>
      <c r="C2557" s="2">
        <v>10</v>
      </c>
      <c r="G2557" s="7" t="str">
        <f t="array" ref="G2557">IF(ROWS(K$20:K2557)&gt;$F$6,"",INDEX(A$2:A$10000,SMALL(IF(ISNUMBER(MATCH($B$2:$B$10000,$E$6:$E$22,0)),ROW($C$2:$C$10000)-ROW($C$2)+1),ROWS(K$20:K2557))))</f>
        <v/>
      </c>
      <c r="H2557" s="4" t="str">
        <f t="array" ref="H2557">IF(ROWS(L$20:L2557)&gt;$F$6,"",INDEX(B$2:B$10000,SMALL(IF(ISNUMBER(MATCH($B$2:$B$10000,$E$6:$E$22,0)),ROW($C$2:$C$10000)-ROW($C$2)+1),ROWS(L$20:L2557))))</f>
        <v/>
      </c>
      <c r="I2557" s="4" t="str">
        <f t="array" ref="I2557">IF(ROWS(M$20:M2557)&gt;$F$6,"",INDEX(C$2:C$10000,SMALL(IF(ISNUMBER(MATCH($B$2:$B$10000,$E$6:$E$22,0)),ROW($C$2:$C$10000)-ROW($C$2)+1),ROWS(M$20:M2557))))</f>
        <v/>
      </c>
      <c r="K2557" s="7" t="str">
        <f t="array" ref="K2557">IF(ROWS(K$20:K2557)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2557))))</f>
        <v/>
      </c>
      <c r="L2557" s="4" t="str">
        <f t="array" ref="L2557">IF(ROWS(L$20:L2557)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2557))))</f>
        <v/>
      </c>
      <c r="M2557" s="4" t="str">
        <f t="array" ref="M2557">IF(ROWS(M$20:M2557)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2557))))</f>
        <v/>
      </c>
    </row>
    <row r="2558" spans="1:13" x14ac:dyDescent="0.25">
      <c r="A2558" s="3">
        <v>41903</v>
      </c>
      <c r="B2558" s="2" t="s">
        <v>27</v>
      </c>
      <c r="C2558" s="2">
        <v>26</v>
      </c>
      <c r="G2558" s="7" t="str">
        <f t="array" ref="G2558">IF(ROWS(K$20:K2558)&gt;$F$6,"",INDEX(A$2:A$10000,SMALL(IF(ISNUMBER(MATCH($B$2:$B$10000,$E$6:$E$22,0)),ROW($C$2:$C$10000)-ROW($C$2)+1),ROWS(K$20:K2558))))</f>
        <v/>
      </c>
      <c r="H2558" s="4" t="str">
        <f t="array" ref="H2558">IF(ROWS(L$20:L2558)&gt;$F$6,"",INDEX(B$2:B$10000,SMALL(IF(ISNUMBER(MATCH($B$2:$B$10000,$E$6:$E$22,0)),ROW($C$2:$C$10000)-ROW($C$2)+1),ROWS(L$20:L2558))))</f>
        <v/>
      </c>
      <c r="I2558" s="4" t="str">
        <f t="array" ref="I2558">IF(ROWS(M$20:M2558)&gt;$F$6,"",INDEX(C$2:C$10000,SMALL(IF(ISNUMBER(MATCH($B$2:$B$10000,$E$6:$E$22,0)),ROW($C$2:$C$10000)-ROW($C$2)+1),ROWS(M$20:M2558))))</f>
        <v/>
      </c>
      <c r="K2558" s="7" t="str">
        <f t="array" ref="K2558">IF(ROWS(K$20:K2558)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2558))))</f>
        <v/>
      </c>
      <c r="L2558" s="4" t="str">
        <f t="array" ref="L2558">IF(ROWS(L$20:L2558)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2558))))</f>
        <v/>
      </c>
      <c r="M2558" s="4" t="str">
        <f t="array" ref="M2558">IF(ROWS(M$20:M2558)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2558))))</f>
        <v/>
      </c>
    </row>
    <row r="2559" spans="1:13" x14ac:dyDescent="0.25">
      <c r="A2559" s="3">
        <v>41633</v>
      </c>
      <c r="B2559" s="2" t="s">
        <v>18</v>
      </c>
      <c r="C2559" s="2">
        <v>9</v>
      </c>
      <c r="G2559" s="7" t="str">
        <f t="array" ref="G2559">IF(ROWS(K$20:K2559)&gt;$F$6,"",INDEX(A$2:A$10000,SMALL(IF(ISNUMBER(MATCH($B$2:$B$10000,$E$6:$E$22,0)),ROW($C$2:$C$10000)-ROW($C$2)+1),ROWS(K$20:K2559))))</f>
        <v/>
      </c>
      <c r="H2559" s="4" t="str">
        <f t="array" ref="H2559">IF(ROWS(L$20:L2559)&gt;$F$6,"",INDEX(B$2:B$10000,SMALL(IF(ISNUMBER(MATCH($B$2:$B$10000,$E$6:$E$22,0)),ROW($C$2:$C$10000)-ROW($C$2)+1),ROWS(L$20:L2559))))</f>
        <v/>
      </c>
      <c r="I2559" s="4" t="str">
        <f t="array" ref="I2559">IF(ROWS(M$20:M2559)&gt;$F$6,"",INDEX(C$2:C$10000,SMALL(IF(ISNUMBER(MATCH($B$2:$B$10000,$E$6:$E$22,0)),ROW($C$2:$C$10000)-ROW($C$2)+1),ROWS(M$20:M2559))))</f>
        <v/>
      </c>
      <c r="K2559" s="7" t="str">
        <f t="array" ref="K2559">IF(ROWS(K$20:K2559)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2559))))</f>
        <v/>
      </c>
      <c r="L2559" s="4" t="str">
        <f t="array" ref="L2559">IF(ROWS(L$20:L2559)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2559))))</f>
        <v/>
      </c>
      <c r="M2559" s="4" t="str">
        <f t="array" ref="M2559">IF(ROWS(M$20:M2559)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2559))))</f>
        <v/>
      </c>
    </row>
    <row r="2560" spans="1:13" x14ac:dyDescent="0.25">
      <c r="A2560" s="3">
        <v>41760</v>
      </c>
      <c r="B2560" s="2" t="s">
        <v>43</v>
      </c>
      <c r="C2560" s="2">
        <v>8</v>
      </c>
      <c r="G2560" s="7" t="str">
        <f t="array" ref="G2560">IF(ROWS(K$20:K2560)&gt;$F$6,"",INDEX(A$2:A$10000,SMALL(IF(ISNUMBER(MATCH($B$2:$B$10000,$E$6:$E$22,0)),ROW($C$2:$C$10000)-ROW($C$2)+1),ROWS(K$20:K2560))))</f>
        <v/>
      </c>
      <c r="H2560" s="4" t="str">
        <f t="array" ref="H2560">IF(ROWS(L$20:L2560)&gt;$F$6,"",INDEX(B$2:B$10000,SMALL(IF(ISNUMBER(MATCH($B$2:$B$10000,$E$6:$E$22,0)),ROW($C$2:$C$10000)-ROW($C$2)+1),ROWS(L$20:L2560))))</f>
        <v/>
      </c>
      <c r="I2560" s="4" t="str">
        <f t="array" ref="I2560">IF(ROWS(M$20:M2560)&gt;$F$6,"",INDEX(C$2:C$10000,SMALL(IF(ISNUMBER(MATCH($B$2:$B$10000,$E$6:$E$22,0)),ROW($C$2:$C$10000)-ROW($C$2)+1),ROWS(M$20:M2560))))</f>
        <v/>
      </c>
      <c r="K2560" s="7" t="str">
        <f t="array" ref="K2560">IF(ROWS(K$20:K2560)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2560))))</f>
        <v/>
      </c>
      <c r="L2560" s="4" t="str">
        <f t="array" ref="L2560">IF(ROWS(L$20:L2560)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2560))))</f>
        <v/>
      </c>
      <c r="M2560" s="4" t="str">
        <f t="array" ref="M2560">IF(ROWS(M$20:M2560)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2560))))</f>
        <v/>
      </c>
    </row>
    <row r="2561" spans="1:13" x14ac:dyDescent="0.25">
      <c r="A2561" s="3">
        <v>41970</v>
      </c>
      <c r="B2561" s="2" t="s">
        <v>7</v>
      </c>
      <c r="C2561" s="2">
        <v>42</v>
      </c>
      <c r="G2561" s="7" t="str">
        <f t="array" ref="G2561">IF(ROWS(K$20:K2561)&gt;$F$6,"",INDEX(A$2:A$10000,SMALL(IF(ISNUMBER(MATCH($B$2:$B$10000,$E$6:$E$22,0)),ROW($C$2:$C$10000)-ROW($C$2)+1),ROWS(K$20:K2561))))</f>
        <v/>
      </c>
      <c r="H2561" s="4" t="str">
        <f t="array" ref="H2561">IF(ROWS(L$20:L2561)&gt;$F$6,"",INDEX(B$2:B$10000,SMALL(IF(ISNUMBER(MATCH($B$2:$B$10000,$E$6:$E$22,0)),ROW($C$2:$C$10000)-ROW($C$2)+1),ROWS(L$20:L2561))))</f>
        <v/>
      </c>
      <c r="I2561" s="4" t="str">
        <f t="array" ref="I2561">IF(ROWS(M$20:M2561)&gt;$F$6,"",INDEX(C$2:C$10000,SMALL(IF(ISNUMBER(MATCH($B$2:$B$10000,$E$6:$E$22,0)),ROW($C$2:$C$10000)-ROW($C$2)+1),ROWS(M$20:M2561))))</f>
        <v/>
      </c>
      <c r="K2561" s="7" t="str">
        <f t="array" ref="K2561">IF(ROWS(K$20:K2561)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2561))))</f>
        <v/>
      </c>
      <c r="L2561" s="4" t="str">
        <f t="array" ref="L2561">IF(ROWS(L$20:L2561)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2561))))</f>
        <v/>
      </c>
      <c r="M2561" s="4" t="str">
        <f t="array" ref="M2561">IF(ROWS(M$20:M2561)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2561))))</f>
        <v/>
      </c>
    </row>
    <row r="2562" spans="1:13" x14ac:dyDescent="0.25">
      <c r="A2562" s="3">
        <v>41724</v>
      </c>
      <c r="B2562" s="2" t="s">
        <v>8</v>
      </c>
      <c r="C2562" s="2">
        <v>10</v>
      </c>
      <c r="G2562" s="7" t="str">
        <f t="array" ref="G2562">IF(ROWS(K$20:K2562)&gt;$F$6,"",INDEX(A$2:A$10000,SMALL(IF(ISNUMBER(MATCH($B$2:$B$10000,$E$6:$E$22,0)),ROW($C$2:$C$10000)-ROW($C$2)+1),ROWS(K$20:K2562))))</f>
        <v/>
      </c>
      <c r="H2562" s="4" t="str">
        <f t="array" ref="H2562">IF(ROWS(L$20:L2562)&gt;$F$6,"",INDEX(B$2:B$10000,SMALL(IF(ISNUMBER(MATCH($B$2:$B$10000,$E$6:$E$22,0)),ROW($C$2:$C$10000)-ROW($C$2)+1),ROWS(L$20:L2562))))</f>
        <v/>
      </c>
      <c r="I2562" s="4" t="str">
        <f t="array" ref="I2562">IF(ROWS(M$20:M2562)&gt;$F$6,"",INDEX(C$2:C$10000,SMALL(IF(ISNUMBER(MATCH($B$2:$B$10000,$E$6:$E$22,0)),ROW($C$2:$C$10000)-ROW($C$2)+1),ROWS(M$20:M2562))))</f>
        <v/>
      </c>
      <c r="K2562" s="7" t="str">
        <f t="array" ref="K2562">IF(ROWS(K$20:K2562)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2562))))</f>
        <v/>
      </c>
      <c r="L2562" s="4" t="str">
        <f t="array" ref="L2562">IF(ROWS(L$20:L2562)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2562))))</f>
        <v/>
      </c>
      <c r="M2562" s="4" t="str">
        <f t="array" ref="M2562">IF(ROWS(M$20:M2562)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2562))))</f>
        <v/>
      </c>
    </row>
    <row r="2563" spans="1:13" x14ac:dyDescent="0.25">
      <c r="A2563" s="3">
        <v>41557</v>
      </c>
      <c r="B2563" s="2" t="s">
        <v>12</v>
      </c>
      <c r="C2563" s="2">
        <v>46</v>
      </c>
      <c r="G2563" s="7" t="str">
        <f t="array" ref="G2563">IF(ROWS(K$20:K2563)&gt;$F$6,"",INDEX(A$2:A$10000,SMALL(IF(ISNUMBER(MATCH($B$2:$B$10000,$E$6:$E$22,0)),ROW($C$2:$C$10000)-ROW($C$2)+1),ROWS(K$20:K2563))))</f>
        <v/>
      </c>
      <c r="H2563" s="4" t="str">
        <f t="array" ref="H2563">IF(ROWS(L$20:L2563)&gt;$F$6,"",INDEX(B$2:B$10000,SMALL(IF(ISNUMBER(MATCH($B$2:$B$10000,$E$6:$E$22,0)),ROW($C$2:$C$10000)-ROW($C$2)+1),ROWS(L$20:L2563))))</f>
        <v/>
      </c>
      <c r="I2563" s="4" t="str">
        <f t="array" ref="I2563">IF(ROWS(M$20:M2563)&gt;$F$6,"",INDEX(C$2:C$10000,SMALL(IF(ISNUMBER(MATCH($B$2:$B$10000,$E$6:$E$22,0)),ROW($C$2:$C$10000)-ROW($C$2)+1),ROWS(M$20:M2563))))</f>
        <v/>
      </c>
      <c r="K2563" s="7" t="str">
        <f t="array" ref="K2563">IF(ROWS(K$20:K2563)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2563))))</f>
        <v/>
      </c>
      <c r="L2563" s="4" t="str">
        <f t="array" ref="L2563">IF(ROWS(L$20:L2563)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2563))))</f>
        <v/>
      </c>
      <c r="M2563" s="4" t="str">
        <f t="array" ref="M2563">IF(ROWS(M$20:M2563)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2563))))</f>
        <v/>
      </c>
    </row>
    <row r="2564" spans="1:13" x14ac:dyDescent="0.25">
      <c r="A2564" s="3">
        <v>41631</v>
      </c>
      <c r="B2564" s="2" t="s">
        <v>13</v>
      </c>
      <c r="C2564" s="2">
        <v>52</v>
      </c>
      <c r="G2564" s="7" t="str">
        <f t="array" ref="G2564">IF(ROWS(K$20:K2564)&gt;$F$6,"",INDEX(A$2:A$10000,SMALL(IF(ISNUMBER(MATCH($B$2:$B$10000,$E$6:$E$22,0)),ROW($C$2:$C$10000)-ROW($C$2)+1),ROWS(K$20:K2564))))</f>
        <v/>
      </c>
      <c r="H2564" s="4" t="str">
        <f t="array" ref="H2564">IF(ROWS(L$20:L2564)&gt;$F$6,"",INDEX(B$2:B$10000,SMALL(IF(ISNUMBER(MATCH($B$2:$B$10000,$E$6:$E$22,0)),ROW($C$2:$C$10000)-ROW($C$2)+1),ROWS(L$20:L2564))))</f>
        <v/>
      </c>
      <c r="I2564" s="4" t="str">
        <f t="array" ref="I2564">IF(ROWS(M$20:M2564)&gt;$F$6,"",INDEX(C$2:C$10000,SMALL(IF(ISNUMBER(MATCH($B$2:$B$10000,$E$6:$E$22,0)),ROW($C$2:$C$10000)-ROW($C$2)+1),ROWS(M$20:M2564))))</f>
        <v/>
      </c>
      <c r="K2564" s="7" t="str">
        <f t="array" ref="K2564">IF(ROWS(K$20:K2564)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2564))))</f>
        <v/>
      </c>
      <c r="L2564" s="4" t="str">
        <f t="array" ref="L2564">IF(ROWS(L$20:L2564)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2564))))</f>
        <v/>
      </c>
      <c r="M2564" s="4" t="str">
        <f t="array" ref="M2564">IF(ROWS(M$20:M2564)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2564))))</f>
        <v/>
      </c>
    </row>
    <row r="2565" spans="1:13" x14ac:dyDescent="0.25">
      <c r="A2565" s="3">
        <v>41635</v>
      </c>
      <c r="B2565" s="2" t="s">
        <v>12</v>
      </c>
      <c r="C2565" s="2">
        <v>13</v>
      </c>
      <c r="G2565" s="7" t="str">
        <f t="array" ref="G2565">IF(ROWS(K$20:K2565)&gt;$F$6,"",INDEX(A$2:A$10000,SMALL(IF(ISNUMBER(MATCH($B$2:$B$10000,$E$6:$E$22,0)),ROW($C$2:$C$10000)-ROW($C$2)+1),ROWS(K$20:K2565))))</f>
        <v/>
      </c>
      <c r="H2565" s="4" t="str">
        <f t="array" ref="H2565">IF(ROWS(L$20:L2565)&gt;$F$6,"",INDEX(B$2:B$10000,SMALL(IF(ISNUMBER(MATCH($B$2:$B$10000,$E$6:$E$22,0)),ROW($C$2:$C$10000)-ROW($C$2)+1),ROWS(L$20:L2565))))</f>
        <v/>
      </c>
      <c r="I2565" s="4" t="str">
        <f t="array" ref="I2565">IF(ROWS(M$20:M2565)&gt;$F$6,"",INDEX(C$2:C$10000,SMALL(IF(ISNUMBER(MATCH($B$2:$B$10000,$E$6:$E$22,0)),ROW($C$2:$C$10000)-ROW($C$2)+1),ROWS(M$20:M2565))))</f>
        <v/>
      </c>
      <c r="K2565" s="7" t="str">
        <f t="array" ref="K2565">IF(ROWS(K$20:K2565)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2565))))</f>
        <v/>
      </c>
      <c r="L2565" s="4" t="str">
        <f t="array" ref="L2565">IF(ROWS(L$20:L2565)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2565))))</f>
        <v/>
      </c>
      <c r="M2565" s="4" t="str">
        <f t="array" ref="M2565">IF(ROWS(M$20:M2565)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2565))))</f>
        <v/>
      </c>
    </row>
    <row r="2566" spans="1:13" x14ac:dyDescent="0.25">
      <c r="A2566" s="3">
        <v>41871</v>
      </c>
      <c r="B2566" s="2" t="s">
        <v>9</v>
      </c>
      <c r="C2566" s="2">
        <v>3</v>
      </c>
      <c r="G2566" s="7" t="str">
        <f t="array" ref="G2566">IF(ROWS(K$20:K2566)&gt;$F$6,"",INDEX(A$2:A$10000,SMALL(IF(ISNUMBER(MATCH($B$2:$B$10000,$E$6:$E$22,0)),ROW($C$2:$C$10000)-ROW($C$2)+1),ROWS(K$20:K2566))))</f>
        <v/>
      </c>
      <c r="H2566" s="4" t="str">
        <f t="array" ref="H2566">IF(ROWS(L$20:L2566)&gt;$F$6,"",INDEX(B$2:B$10000,SMALL(IF(ISNUMBER(MATCH($B$2:$B$10000,$E$6:$E$22,0)),ROW($C$2:$C$10000)-ROW($C$2)+1),ROWS(L$20:L2566))))</f>
        <v/>
      </c>
      <c r="I2566" s="4" t="str">
        <f t="array" ref="I2566">IF(ROWS(M$20:M2566)&gt;$F$6,"",INDEX(C$2:C$10000,SMALL(IF(ISNUMBER(MATCH($B$2:$B$10000,$E$6:$E$22,0)),ROW($C$2:$C$10000)-ROW($C$2)+1),ROWS(M$20:M2566))))</f>
        <v/>
      </c>
      <c r="K2566" s="7" t="str">
        <f t="array" ref="K2566">IF(ROWS(K$20:K2566)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2566))))</f>
        <v/>
      </c>
      <c r="L2566" s="4" t="str">
        <f t="array" ref="L2566">IF(ROWS(L$20:L2566)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2566))))</f>
        <v/>
      </c>
      <c r="M2566" s="4" t="str">
        <f t="array" ref="M2566">IF(ROWS(M$20:M2566)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2566))))</f>
        <v/>
      </c>
    </row>
    <row r="2567" spans="1:13" x14ac:dyDescent="0.25">
      <c r="A2567" s="3">
        <v>41755</v>
      </c>
      <c r="B2567" s="2" t="s">
        <v>20</v>
      </c>
      <c r="C2567" s="2">
        <v>13</v>
      </c>
      <c r="G2567" s="7" t="str">
        <f t="array" ref="G2567">IF(ROWS(K$20:K2567)&gt;$F$6,"",INDEX(A$2:A$10000,SMALL(IF(ISNUMBER(MATCH($B$2:$B$10000,$E$6:$E$22,0)),ROW($C$2:$C$10000)-ROW($C$2)+1),ROWS(K$20:K2567))))</f>
        <v/>
      </c>
      <c r="H2567" s="4" t="str">
        <f t="array" ref="H2567">IF(ROWS(L$20:L2567)&gt;$F$6,"",INDEX(B$2:B$10000,SMALL(IF(ISNUMBER(MATCH($B$2:$B$10000,$E$6:$E$22,0)),ROW($C$2:$C$10000)-ROW($C$2)+1),ROWS(L$20:L2567))))</f>
        <v/>
      </c>
      <c r="I2567" s="4" t="str">
        <f t="array" ref="I2567">IF(ROWS(M$20:M2567)&gt;$F$6,"",INDEX(C$2:C$10000,SMALL(IF(ISNUMBER(MATCH($B$2:$B$10000,$E$6:$E$22,0)),ROW($C$2:$C$10000)-ROW($C$2)+1),ROWS(M$20:M2567))))</f>
        <v/>
      </c>
      <c r="K2567" s="7" t="str">
        <f t="array" ref="K2567">IF(ROWS(K$20:K2567)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2567))))</f>
        <v/>
      </c>
      <c r="L2567" s="4" t="str">
        <f t="array" ref="L2567">IF(ROWS(L$20:L2567)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2567))))</f>
        <v/>
      </c>
      <c r="M2567" s="4" t="str">
        <f t="array" ref="M2567">IF(ROWS(M$20:M2567)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2567))))</f>
        <v/>
      </c>
    </row>
    <row r="2568" spans="1:13" x14ac:dyDescent="0.25">
      <c r="A2568" s="3">
        <v>41844</v>
      </c>
      <c r="B2568" s="2" t="s">
        <v>51</v>
      </c>
      <c r="C2568" s="2">
        <v>25</v>
      </c>
      <c r="G2568" s="7" t="str">
        <f t="array" ref="G2568">IF(ROWS(K$20:K2568)&gt;$F$6,"",INDEX(A$2:A$10000,SMALL(IF(ISNUMBER(MATCH($B$2:$B$10000,$E$6:$E$22,0)),ROW($C$2:$C$10000)-ROW($C$2)+1),ROWS(K$20:K2568))))</f>
        <v/>
      </c>
      <c r="H2568" s="4" t="str">
        <f t="array" ref="H2568">IF(ROWS(L$20:L2568)&gt;$F$6,"",INDEX(B$2:B$10000,SMALL(IF(ISNUMBER(MATCH($B$2:$B$10000,$E$6:$E$22,0)),ROW($C$2:$C$10000)-ROW($C$2)+1),ROWS(L$20:L2568))))</f>
        <v/>
      </c>
      <c r="I2568" s="4" t="str">
        <f t="array" ref="I2568">IF(ROWS(M$20:M2568)&gt;$F$6,"",INDEX(C$2:C$10000,SMALL(IF(ISNUMBER(MATCH($B$2:$B$10000,$E$6:$E$22,0)),ROW($C$2:$C$10000)-ROW($C$2)+1),ROWS(M$20:M2568))))</f>
        <v/>
      </c>
      <c r="K2568" s="7" t="str">
        <f t="array" ref="K2568">IF(ROWS(K$20:K2568)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2568))))</f>
        <v/>
      </c>
      <c r="L2568" s="4" t="str">
        <f t="array" ref="L2568">IF(ROWS(L$20:L2568)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2568))))</f>
        <v/>
      </c>
      <c r="M2568" s="4" t="str">
        <f t="array" ref="M2568">IF(ROWS(M$20:M2568)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2568))))</f>
        <v/>
      </c>
    </row>
    <row r="2569" spans="1:13" x14ac:dyDescent="0.25">
      <c r="A2569" s="3">
        <v>41695</v>
      </c>
      <c r="B2569" s="2" t="s">
        <v>27</v>
      </c>
      <c r="C2569" s="2">
        <v>86</v>
      </c>
      <c r="G2569" s="7" t="str">
        <f t="array" ref="G2569">IF(ROWS(K$20:K2569)&gt;$F$6,"",INDEX(A$2:A$10000,SMALL(IF(ISNUMBER(MATCH($B$2:$B$10000,$E$6:$E$22,0)),ROW($C$2:$C$10000)-ROW($C$2)+1),ROWS(K$20:K2569))))</f>
        <v/>
      </c>
      <c r="H2569" s="4" t="str">
        <f t="array" ref="H2569">IF(ROWS(L$20:L2569)&gt;$F$6,"",INDEX(B$2:B$10000,SMALL(IF(ISNUMBER(MATCH($B$2:$B$10000,$E$6:$E$22,0)),ROW($C$2:$C$10000)-ROW($C$2)+1),ROWS(L$20:L2569))))</f>
        <v/>
      </c>
      <c r="I2569" s="4" t="str">
        <f t="array" ref="I2569">IF(ROWS(M$20:M2569)&gt;$F$6,"",INDEX(C$2:C$10000,SMALL(IF(ISNUMBER(MATCH($B$2:$B$10000,$E$6:$E$22,0)),ROW($C$2:$C$10000)-ROW($C$2)+1),ROWS(M$20:M2569))))</f>
        <v/>
      </c>
      <c r="K2569" s="7" t="str">
        <f t="array" ref="K2569">IF(ROWS(K$20:K2569)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2569))))</f>
        <v/>
      </c>
      <c r="L2569" s="4" t="str">
        <f t="array" ref="L2569">IF(ROWS(L$20:L2569)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2569))))</f>
        <v/>
      </c>
      <c r="M2569" s="4" t="str">
        <f t="array" ref="M2569">IF(ROWS(M$20:M2569)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2569))))</f>
        <v/>
      </c>
    </row>
    <row r="2570" spans="1:13" x14ac:dyDescent="0.25">
      <c r="A2570" s="3">
        <v>41922</v>
      </c>
      <c r="B2570" s="2" t="s">
        <v>40</v>
      </c>
      <c r="C2570" s="2">
        <v>20</v>
      </c>
      <c r="G2570" s="7" t="str">
        <f t="array" ref="G2570">IF(ROWS(K$20:K2570)&gt;$F$6,"",INDEX(A$2:A$10000,SMALL(IF(ISNUMBER(MATCH($B$2:$B$10000,$E$6:$E$22,0)),ROW($C$2:$C$10000)-ROW($C$2)+1),ROWS(K$20:K2570))))</f>
        <v/>
      </c>
      <c r="H2570" s="4" t="str">
        <f t="array" ref="H2570">IF(ROWS(L$20:L2570)&gt;$F$6,"",INDEX(B$2:B$10000,SMALL(IF(ISNUMBER(MATCH($B$2:$B$10000,$E$6:$E$22,0)),ROW($C$2:$C$10000)-ROW($C$2)+1),ROWS(L$20:L2570))))</f>
        <v/>
      </c>
      <c r="I2570" s="4" t="str">
        <f t="array" ref="I2570">IF(ROWS(M$20:M2570)&gt;$F$6,"",INDEX(C$2:C$10000,SMALL(IF(ISNUMBER(MATCH($B$2:$B$10000,$E$6:$E$22,0)),ROW($C$2:$C$10000)-ROW($C$2)+1),ROWS(M$20:M2570))))</f>
        <v/>
      </c>
      <c r="K2570" s="7" t="str">
        <f t="array" ref="K2570">IF(ROWS(K$20:K2570)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2570))))</f>
        <v/>
      </c>
      <c r="L2570" s="4" t="str">
        <f t="array" ref="L2570">IF(ROWS(L$20:L2570)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2570))))</f>
        <v/>
      </c>
      <c r="M2570" s="4" t="str">
        <f t="array" ref="M2570">IF(ROWS(M$20:M2570)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2570))))</f>
        <v/>
      </c>
    </row>
    <row r="2571" spans="1:13" x14ac:dyDescent="0.25">
      <c r="A2571" s="3">
        <v>41855</v>
      </c>
      <c r="B2571" s="2" t="s">
        <v>28</v>
      </c>
      <c r="C2571" s="2">
        <v>22</v>
      </c>
      <c r="G2571" s="7" t="str">
        <f t="array" ref="G2571">IF(ROWS(K$20:K2571)&gt;$F$6,"",INDEX(A$2:A$10000,SMALL(IF(ISNUMBER(MATCH($B$2:$B$10000,$E$6:$E$22,0)),ROW($C$2:$C$10000)-ROW($C$2)+1),ROWS(K$20:K2571))))</f>
        <v/>
      </c>
      <c r="H2571" s="4" t="str">
        <f t="array" ref="H2571">IF(ROWS(L$20:L2571)&gt;$F$6,"",INDEX(B$2:B$10000,SMALL(IF(ISNUMBER(MATCH($B$2:$B$10000,$E$6:$E$22,0)),ROW($C$2:$C$10000)-ROW($C$2)+1),ROWS(L$20:L2571))))</f>
        <v/>
      </c>
      <c r="I2571" s="4" t="str">
        <f t="array" ref="I2571">IF(ROWS(M$20:M2571)&gt;$F$6,"",INDEX(C$2:C$10000,SMALL(IF(ISNUMBER(MATCH($B$2:$B$10000,$E$6:$E$22,0)),ROW($C$2:$C$10000)-ROW($C$2)+1),ROWS(M$20:M2571))))</f>
        <v/>
      </c>
      <c r="K2571" s="7" t="str">
        <f t="array" ref="K2571">IF(ROWS(K$20:K2571)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2571))))</f>
        <v/>
      </c>
      <c r="L2571" s="4" t="str">
        <f t="array" ref="L2571">IF(ROWS(L$20:L2571)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2571))))</f>
        <v/>
      </c>
      <c r="M2571" s="4" t="str">
        <f t="array" ref="M2571">IF(ROWS(M$20:M2571)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2571))))</f>
        <v/>
      </c>
    </row>
    <row r="2572" spans="1:13" x14ac:dyDescent="0.25">
      <c r="A2572" s="3">
        <v>41988</v>
      </c>
      <c r="B2572" s="2" t="s">
        <v>4</v>
      </c>
      <c r="C2572" s="2">
        <v>2</v>
      </c>
      <c r="G2572" s="7" t="str">
        <f t="array" ref="G2572">IF(ROWS(K$20:K2572)&gt;$F$6,"",INDEX(A$2:A$10000,SMALL(IF(ISNUMBER(MATCH($B$2:$B$10000,$E$6:$E$22,0)),ROW($C$2:$C$10000)-ROW($C$2)+1),ROWS(K$20:K2572))))</f>
        <v/>
      </c>
      <c r="H2572" s="4" t="str">
        <f t="array" ref="H2572">IF(ROWS(L$20:L2572)&gt;$F$6,"",INDEX(B$2:B$10000,SMALL(IF(ISNUMBER(MATCH($B$2:$B$10000,$E$6:$E$22,0)),ROW($C$2:$C$10000)-ROW($C$2)+1),ROWS(L$20:L2572))))</f>
        <v/>
      </c>
      <c r="I2572" s="4" t="str">
        <f t="array" ref="I2572">IF(ROWS(M$20:M2572)&gt;$F$6,"",INDEX(C$2:C$10000,SMALL(IF(ISNUMBER(MATCH($B$2:$B$10000,$E$6:$E$22,0)),ROW($C$2:$C$10000)-ROW($C$2)+1),ROWS(M$20:M2572))))</f>
        <v/>
      </c>
      <c r="K2572" s="7" t="str">
        <f t="array" ref="K2572">IF(ROWS(K$20:K2572)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2572))))</f>
        <v/>
      </c>
      <c r="L2572" s="4" t="str">
        <f t="array" ref="L2572">IF(ROWS(L$20:L2572)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2572))))</f>
        <v/>
      </c>
      <c r="M2572" s="4" t="str">
        <f t="array" ref="M2572">IF(ROWS(M$20:M2572)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2572))))</f>
        <v/>
      </c>
    </row>
    <row r="2573" spans="1:13" x14ac:dyDescent="0.25">
      <c r="A2573" s="3">
        <v>41966</v>
      </c>
      <c r="B2573" s="2" t="s">
        <v>11</v>
      </c>
      <c r="C2573" s="2">
        <v>12</v>
      </c>
      <c r="G2573" s="7" t="str">
        <f t="array" ref="G2573">IF(ROWS(K$20:K2573)&gt;$F$6,"",INDEX(A$2:A$10000,SMALL(IF(ISNUMBER(MATCH($B$2:$B$10000,$E$6:$E$22,0)),ROW($C$2:$C$10000)-ROW($C$2)+1),ROWS(K$20:K2573))))</f>
        <v/>
      </c>
      <c r="H2573" s="4" t="str">
        <f t="array" ref="H2573">IF(ROWS(L$20:L2573)&gt;$F$6,"",INDEX(B$2:B$10000,SMALL(IF(ISNUMBER(MATCH($B$2:$B$10000,$E$6:$E$22,0)),ROW($C$2:$C$10000)-ROW($C$2)+1),ROWS(L$20:L2573))))</f>
        <v/>
      </c>
      <c r="I2573" s="4" t="str">
        <f t="array" ref="I2573">IF(ROWS(M$20:M2573)&gt;$F$6,"",INDEX(C$2:C$10000,SMALL(IF(ISNUMBER(MATCH($B$2:$B$10000,$E$6:$E$22,0)),ROW($C$2:$C$10000)-ROW($C$2)+1),ROWS(M$20:M2573))))</f>
        <v/>
      </c>
      <c r="K2573" s="7" t="str">
        <f t="array" ref="K2573">IF(ROWS(K$20:K2573)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2573))))</f>
        <v/>
      </c>
      <c r="L2573" s="4" t="str">
        <f t="array" ref="L2573">IF(ROWS(L$20:L2573)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2573))))</f>
        <v/>
      </c>
      <c r="M2573" s="4" t="str">
        <f t="array" ref="M2573">IF(ROWS(M$20:M2573)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2573))))</f>
        <v/>
      </c>
    </row>
    <row r="2574" spans="1:13" x14ac:dyDescent="0.25">
      <c r="A2574" s="3">
        <v>41375</v>
      </c>
      <c r="B2574" s="2" t="s">
        <v>47</v>
      </c>
      <c r="C2574" s="2">
        <v>29</v>
      </c>
      <c r="G2574" s="7" t="str">
        <f t="array" ref="G2574">IF(ROWS(K$20:K2574)&gt;$F$6,"",INDEX(A$2:A$10000,SMALL(IF(ISNUMBER(MATCH($B$2:$B$10000,$E$6:$E$22,0)),ROW($C$2:$C$10000)-ROW($C$2)+1),ROWS(K$20:K2574))))</f>
        <v/>
      </c>
      <c r="H2574" s="4" t="str">
        <f t="array" ref="H2574">IF(ROWS(L$20:L2574)&gt;$F$6,"",INDEX(B$2:B$10000,SMALL(IF(ISNUMBER(MATCH($B$2:$B$10000,$E$6:$E$22,0)),ROW($C$2:$C$10000)-ROW($C$2)+1),ROWS(L$20:L2574))))</f>
        <v/>
      </c>
      <c r="I2574" s="4" t="str">
        <f t="array" ref="I2574">IF(ROWS(M$20:M2574)&gt;$F$6,"",INDEX(C$2:C$10000,SMALL(IF(ISNUMBER(MATCH($B$2:$B$10000,$E$6:$E$22,0)),ROW($C$2:$C$10000)-ROW($C$2)+1),ROWS(M$20:M2574))))</f>
        <v/>
      </c>
      <c r="K2574" s="7" t="str">
        <f t="array" ref="K2574">IF(ROWS(K$20:K2574)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2574))))</f>
        <v/>
      </c>
      <c r="L2574" s="4" t="str">
        <f t="array" ref="L2574">IF(ROWS(L$20:L2574)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2574))))</f>
        <v/>
      </c>
      <c r="M2574" s="4" t="str">
        <f t="array" ref="M2574">IF(ROWS(M$20:M2574)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2574))))</f>
        <v/>
      </c>
    </row>
    <row r="2575" spans="1:13" x14ac:dyDescent="0.25">
      <c r="A2575" s="3">
        <v>41454</v>
      </c>
      <c r="B2575" s="2" t="s">
        <v>12</v>
      </c>
      <c r="C2575" s="2">
        <v>41</v>
      </c>
      <c r="G2575" s="7" t="str">
        <f t="array" ref="G2575">IF(ROWS(K$20:K2575)&gt;$F$6,"",INDEX(A$2:A$10000,SMALL(IF(ISNUMBER(MATCH($B$2:$B$10000,$E$6:$E$22,0)),ROW($C$2:$C$10000)-ROW($C$2)+1),ROWS(K$20:K2575))))</f>
        <v/>
      </c>
      <c r="H2575" s="4" t="str">
        <f t="array" ref="H2575">IF(ROWS(L$20:L2575)&gt;$F$6,"",INDEX(B$2:B$10000,SMALL(IF(ISNUMBER(MATCH($B$2:$B$10000,$E$6:$E$22,0)),ROW($C$2:$C$10000)-ROW($C$2)+1),ROWS(L$20:L2575))))</f>
        <v/>
      </c>
      <c r="I2575" s="4" t="str">
        <f t="array" ref="I2575">IF(ROWS(M$20:M2575)&gt;$F$6,"",INDEX(C$2:C$10000,SMALL(IF(ISNUMBER(MATCH($B$2:$B$10000,$E$6:$E$22,0)),ROW($C$2:$C$10000)-ROW($C$2)+1),ROWS(M$20:M2575))))</f>
        <v/>
      </c>
      <c r="K2575" s="7" t="str">
        <f t="array" ref="K2575">IF(ROWS(K$20:K2575)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2575))))</f>
        <v/>
      </c>
      <c r="L2575" s="4" t="str">
        <f t="array" ref="L2575">IF(ROWS(L$20:L2575)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2575))))</f>
        <v/>
      </c>
      <c r="M2575" s="4" t="str">
        <f t="array" ref="M2575">IF(ROWS(M$20:M2575)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2575))))</f>
        <v/>
      </c>
    </row>
    <row r="2576" spans="1:13" x14ac:dyDescent="0.25">
      <c r="A2576" s="3">
        <v>41325</v>
      </c>
      <c r="B2576" s="2" t="s">
        <v>43</v>
      </c>
      <c r="C2576" s="2">
        <v>37</v>
      </c>
      <c r="G2576" s="7" t="str">
        <f t="array" ref="G2576">IF(ROWS(K$20:K2576)&gt;$F$6,"",INDEX(A$2:A$10000,SMALL(IF(ISNUMBER(MATCH($B$2:$B$10000,$E$6:$E$22,0)),ROW($C$2:$C$10000)-ROW($C$2)+1),ROWS(K$20:K2576))))</f>
        <v/>
      </c>
      <c r="H2576" s="4" t="str">
        <f t="array" ref="H2576">IF(ROWS(L$20:L2576)&gt;$F$6,"",INDEX(B$2:B$10000,SMALL(IF(ISNUMBER(MATCH($B$2:$B$10000,$E$6:$E$22,0)),ROW($C$2:$C$10000)-ROW($C$2)+1),ROWS(L$20:L2576))))</f>
        <v/>
      </c>
      <c r="I2576" s="4" t="str">
        <f t="array" ref="I2576">IF(ROWS(M$20:M2576)&gt;$F$6,"",INDEX(C$2:C$10000,SMALL(IF(ISNUMBER(MATCH($B$2:$B$10000,$E$6:$E$22,0)),ROW($C$2:$C$10000)-ROW($C$2)+1),ROWS(M$20:M2576))))</f>
        <v/>
      </c>
      <c r="K2576" s="7" t="str">
        <f t="array" ref="K2576">IF(ROWS(K$20:K2576)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2576))))</f>
        <v/>
      </c>
      <c r="L2576" s="4" t="str">
        <f t="array" ref="L2576">IF(ROWS(L$20:L2576)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2576))))</f>
        <v/>
      </c>
      <c r="M2576" s="4" t="str">
        <f t="array" ref="M2576">IF(ROWS(M$20:M2576)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2576))))</f>
        <v/>
      </c>
    </row>
    <row r="2577" spans="1:13" x14ac:dyDescent="0.25">
      <c r="A2577" s="3">
        <v>41748</v>
      </c>
      <c r="B2577" s="2" t="s">
        <v>45</v>
      </c>
      <c r="C2577" s="2">
        <v>32</v>
      </c>
      <c r="G2577" s="7" t="str">
        <f t="array" ref="G2577">IF(ROWS(K$20:K2577)&gt;$F$6,"",INDEX(A$2:A$10000,SMALL(IF(ISNUMBER(MATCH($B$2:$B$10000,$E$6:$E$22,0)),ROW($C$2:$C$10000)-ROW($C$2)+1),ROWS(K$20:K2577))))</f>
        <v/>
      </c>
      <c r="H2577" s="4" t="str">
        <f t="array" ref="H2577">IF(ROWS(L$20:L2577)&gt;$F$6,"",INDEX(B$2:B$10000,SMALL(IF(ISNUMBER(MATCH($B$2:$B$10000,$E$6:$E$22,0)),ROW($C$2:$C$10000)-ROW($C$2)+1),ROWS(L$20:L2577))))</f>
        <v/>
      </c>
      <c r="I2577" s="4" t="str">
        <f t="array" ref="I2577">IF(ROWS(M$20:M2577)&gt;$F$6,"",INDEX(C$2:C$10000,SMALL(IF(ISNUMBER(MATCH($B$2:$B$10000,$E$6:$E$22,0)),ROW($C$2:$C$10000)-ROW($C$2)+1),ROWS(M$20:M2577))))</f>
        <v/>
      </c>
      <c r="K2577" s="7" t="str">
        <f t="array" ref="K2577">IF(ROWS(K$20:K2577)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2577))))</f>
        <v/>
      </c>
      <c r="L2577" s="4" t="str">
        <f t="array" ref="L2577">IF(ROWS(L$20:L2577)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2577))))</f>
        <v/>
      </c>
      <c r="M2577" s="4" t="str">
        <f t="array" ref="M2577">IF(ROWS(M$20:M2577)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2577))))</f>
        <v/>
      </c>
    </row>
    <row r="2578" spans="1:13" x14ac:dyDescent="0.25">
      <c r="A2578" s="3">
        <v>41856</v>
      </c>
      <c r="B2578" s="2" t="s">
        <v>25</v>
      </c>
      <c r="C2578" s="2">
        <v>28</v>
      </c>
      <c r="G2578" s="7" t="str">
        <f t="array" ref="G2578">IF(ROWS(K$20:K2578)&gt;$F$6,"",INDEX(A$2:A$10000,SMALL(IF(ISNUMBER(MATCH($B$2:$B$10000,$E$6:$E$22,0)),ROW($C$2:$C$10000)-ROW($C$2)+1),ROWS(K$20:K2578))))</f>
        <v/>
      </c>
      <c r="H2578" s="4" t="str">
        <f t="array" ref="H2578">IF(ROWS(L$20:L2578)&gt;$F$6,"",INDEX(B$2:B$10000,SMALL(IF(ISNUMBER(MATCH($B$2:$B$10000,$E$6:$E$22,0)),ROW($C$2:$C$10000)-ROW($C$2)+1),ROWS(L$20:L2578))))</f>
        <v/>
      </c>
      <c r="I2578" s="4" t="str">
        <f t="array" ref="I2578">IF(ROWS(M$20:M2578)&gt;$F$6,"",INDEX(C$2:C$10000,SMALL(IF(ISNUMBER(MATCH($B$2:$B$10000,$E$6:$E$22,0)),ROW($C$2:$C$10000)-ROW($C$2)+1),ROWS(M$20:M2578))))</f>
        <v/>
      </c>
      <c r="K2578" s="7" t="str">
        <f t="array" ref="K2578">IF(ROWS(K$20:K2578)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2578))))</f>
        <v/>
      </c>
      <c r="L2578" s="4" t="str">
        <f t="array" ref="L2578">IF(ROWS(L$20:L2578)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2578))))</f>
        <v/>
      </c>
      <c r="M2578" s="4" t="str">
        <f t="array" ref="M2578">IF(ROWS(M$20:M2578)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2578))))</f>
        <v/>
      </c>
    </row>
    <row r="2579" spans="1:13" x14ac:dyDescent="0.25">
      <c r="A2579" s="3">
        <v>41615</v>
      </c>
      <c r="B2579" s="2" t="s">
        <v>27</v>
      </c>
      <c r="C2579" s="2">
        <v>55</v>
      </c>
      <c r="G2579" s="7" t="str">
        <f t="array" ref="G2579">IF(ROWS(K$20:K2579)&gt;$F$6,"",INDEX(A$2:A$10000,SMALL(IF(ISNUMBER(MATCH($B$2:$B$10000,$E$6:$E$22,0)),ROW($C$2:$C$10000)-ROW($C$2)+1),ROWS(K$20:K2579))))</f>
        <v/>
      </c>
      <c r="H2579" s="4" t="str">
        <f t="array" ref="H2579">IF(ROWS(L$20:L2579)&gt;$F$6,"",INDEX(B$2:B$10000,SMALL(IF(ISNUMBER(MATCH($B$2:$B$10000,$E$6:$E$22,0)),ROW($C$2:$C$10000)-ROW($C$2)+1),ROWS(L$20:L2579))))</f>
        <v/>
      </c>
      <c r="I2579" s="4" t="str">
        <f t="array" ref="I2579">IF(ROWS(M$20:M2579)&gt;$F$6,"",INDEX(C$2:C$10000,SMALL(IF(ISNUMBER(MATCH($B$2:$B$10000,$E$6:$E$22,0)),ROW($C$2:$C$10000)-ROW($C$2)+1),ROWS(M$20:M2579))))</f>
        <v/>
      </c>
      <c r="K2579" s="7" t="str">
        <f t="array" ref="K2579">IF(ROWS(K$20:K2579)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2579))))</f>
        <v/>
      </c>
      <c r="L2579" s="4" t="str">
        <f t="array" ref="L2579">IF(ROWS(L$20:L2579)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2579))))</f>
        <v/>
      </c>
      <c r="M2579" s="4" t="str">
        <f t="array" ref="M2579">IF(ROWS(M$20:M2579)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2579))))</f>
        <v/>
      </c>
    </row>
    <row r="2580" spans="1:13" x14ac:dyDescent="0.25">
      <c r="A2580" s="3">
        <v>41897</v>
      </c>
      <c r="B2580" s="2" t="s">
        <v>25</v>
      </c>
      <c r="C2580" s="2">
        <v>28</v>
      </c>
      <c r="G2580" s="7" t="str">
        <f t="array" ref="G2580">IF(ROWS(K$20:K2580)&gt;$F$6,"",INDEX(A$2:A$10000,SMALL(IF(ISNUMBER(MATCH($B$2:$B$10000,$E$6:$E$22,0)),ROW($C$2:$C$10000)-ROW($C$2)+1),ROWS(K$20:K2580))))</f>
        <v/>
      </c>
      <c r="H2580" s="4" t="str">
        <f t="array" ref="H2580">IF(ROWS(L$20:L2580)&gt;$F$6,"",INDEX(B$2:B$10000,SMALL(IF(ISNUMBER(MATCH($B$2:$B$10000,$E$6:$E$22,0)),ROW($C$2:$C$10000)-ROW($C$2)+1),ROWS(L$20:L2580))))</f>
        <v/>
      </c>
      <c r="I2580" s="4" t="str">
        <f t="array" ref="I2580">IF(ROWS(M$20:M2580)&gt;$F$6,"",INDEX(C$2:C$10000,SMALL(IF(ISNUMBER(MATCH($B$2:$B$10000,$E$6:$E$22,0)),ROW($C$2:$C$10000)-ROW($C$2)+1),ROWS(M$20:M2580))))</f>
        <v/>
      </c>
      <c r="K2580" s="7" t="str">
        <f t="array" ref="K2580">IF(ROWS(K$20:K2580)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2580))))</f>
        <v/>
      </c>
      <c r="L2580" s="4" t="str">
        <f t="array" ref="L2580">IF(ROWS(L$20:L2580)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2580))))</f>
        <v/>
      </c>
      <c r="M2580" s="4" t="str">
        <f t="array" ref="M2580">IF(ROWS(M$20:M2580)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2580))))</f>
        <v/>
      </c>
    </row>
    <row r="2581" spans="1:13" x14ac:dyDescent="0.25">
      <c r="A2581" s="3">
        <v>41593</v>
      </c>
      <c r="B2581" s="2" t="s">
        <v>39</v>
      </c>
      <c r="C2581" s="2">
        <v>15</v>
      </c>
      <c r="G2581" s="7" t="str">
        <f t="array" ref="G2581">IF(ROWS(K$20:K2581)&gt;$F$6,"",INDEX(A$2:A$10000,SMALL(IF(ISNUMBER(MATCH($B$2:$B$10000,$E$6:$E$22,0)),ROW($C$2:$C$10000)-ROW($C$2)+1),ROWS(K$20:K2581))))</f>
        <v/>
      </c>
      <c r="H2581" s="4" t="str">
        <f t="array" ref="H2581">IF(ROWS(L$20:L2581)&gt;$F$6,"",INDEX(B$2:B$10000,SMALL(IF(ISNUMBER(MATCH($B$2:$B$10000,$E$6:$E$22,0)),ROW($C$2:$C$10000)-ROW($C$2)+1),ROWS(L$20:L2581))))</f>
        <v/>
      </c>
      <c r="I2581" s="4" t="str">
        <f t="array" ref="I2581">IF(ROWS(M$20:M2581)&gt;$F$6,"",INDEX(C$2:C$10000,SMALL(IF(ISNUMBER(MATCH($B$2:$B$10000,$E$6:$E$22,0)),ROW($C$2:$C$10000)-ROW($C$2)+1),ROWS(M$20:M2581))))</f>
        <v/>
      </c>
      <c r="K2581" s="7" t="str">
        <f t="array" ref="K2581">IF(ROWS(K$20:K2581)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2581))))</f>
        <v/>
      </c>
      <c r="L2581" s="4" t="str">
        <f t="array" ref="L2581">IF(ROWS(L$20:L2581)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2581))))</f>
        <v/>
      </c>
      <c r="M2581" s="4" t="str">
        <f t="array" ref="M2581">IF(ROWS(M$20:M2581)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2581))))</f>
        <v/>
      </c>
    </row>
    <row r="2582" spans="1:13" x14ac:dyDescent="0.25">
      <c r="A2582" s="3">
        <v>41768</v>
      </c>
      <c r="B2582" s="2" t="s">
        <v>29</v>
      </c>
      <c r="C2582" s="2">
        <v>48</v>
      </c>
      <c r="G2582" s="7" t="str">
        <f t="array" ref="G2582">IF(ROWS(K$20:K2582)&gt;$F$6,"",INDEX(A$2:A$10000,SMALL(IF(ISNUMBER(MATCH($B$2:$B$10000,$E$6:$E$22,0)),ROW($C$2:$C$10000)-ROW($C$2)+1),ROWS(K$20:K2582))))</f>
        <v/>
      </c>
      <c r="H2582" s="4" t="str">
        <f t="array" ref="H2582">IF(ROWS(L$20:L2582)&gt;$F$6,"",INDEX(B$2:B$10000,SMALL(IF(ISNUMBER(MATCH($B$2:$B$10000,$E$6:$E$22,0)),ROW($C$2:$C$10000)-ROW($C$2)+1),ROWS(L$20:L2582))))</f>
        <v/>
      </c>
      <c r="I2582" s="4" t="str">
        <f t="array" ref="I2582">IF(ROWS(M$20:M2582)&gt;$F$6,"",INDEX(C$2:C$10000,SMALL(IF(ISNUMBER(MATCH($B$2:$B$10000,$E$6:$E$22,0)),ROW($C$2:$C$10000)-ROW($C$2)+1),ROWS(M$20:M2582))))</f>
        <v/>
      </c>
      <c r="K2582" s="7" t="str">
        <f t="array" ref="K2582">IF(ROWS(K$20:K2582)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2582))))</f>
        <v/>
      </c>
      <c r="L2582" s="4" t="str">
        <f t="array" ref="L2582">IF(ROWS(L$20:L2582)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2582))))</f>
        <v/>
      </c>
      <c r="M2582" s="4" t="str">
        <f t="array" ref="M2582">IF(ROWS(M$20:M2582)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2582))))</f>
        <v/>
      </c>
    </row>
    <row r="2583" spans="1:13" x14ac:dyDescent="0.25">
      <c r="A2583" s="3">
        <v>41774</v>
      </c>
      <c r="B2583" s="2" t="s">
        <v>9</v>
      </c>
      <c r="C2583" s="2">
        <v>31</v>
      </c>
      <c r="G2583" s="7" t="str">
        <f t="array" ref="G2583">IF(ROWS(K$20:K2583)&gt;$F$6,"",INDEX(A$2:A$10000,SMALL(IF(ISNUMBER(MATCH($B$2:$B$10000,$E$6:$E$22,0)),ROW($C$2:$C$10000)-ROW($C$2)+1),ROWS(K$20:K2583))))</f>
        <v/>
      </c>
      <c r="H2583" s="4" t="str">
        <f t="array" ref="H2583">IF(ROWS(L$20:L2583)&gt;$F$6,"",INDEX(B$2:B$10000,SMALL(IF(ISNUMBER(MATCH($B$2:$B$10000,$E$6:$E$22,0)),ROW($C$2:$C$10000)-ROW($C$2)+1),ROWS(L$20:L2583))))</f>
        <v/>
      </c>
      <c r="I2583" s="4" t="str">
        <f t="array" ref="I2583">IF(ROWS(M$20:M2583)&gt;$F$6,"",INDEX(C$2:C$10000,SMALL(IF(ISNUMBER(MATCH($B$2:$B$10000,$E$6:$E$22,0)),ROW($C$2:$C$10000)-ROW($C$2)+1),ROWS(M$20:M2583))))</f>
        <v/>
      </c>
      <c r="K2583" s="7" t="str">
        <f t="array" ref="K2583">IF(ROWS(K$20:K2583)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2583))))</f>
        <v/>
      </c>
      <c r="L2583" s="4" t="str">
        <f t="array" ref="L2583">IF(ROWS(L$20:L2583)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2583))))</f>
        <v/>
      </c>
      <c r="M2583" s="4" t="str">
        <f t="array" ref="M2583">IF(ROWS(M$20:M2583)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2583))))</f>
        <v/>
      </c>
    </row>
    <row r="2584" spans="1:13" x14ac:dyDescent="0.25">
      <c r="A2584" s="3">
        <v>41918</v>
      </c>
      <c r="B2584" s="2" t="s">
        <v>51</v>
      </c>
      <c r="C2584" s="2">
        <v>33</v>
      </c>
      <c r="G2584" s="7" t="str">
        <f t="array" ref="G2584">IF(ROWS(K$20:K2584)&gt;$F$6,"",INDEX(A$2:A$10000,SMALL(IF(ISNUMBER(MATCH($B$2:$B$10000,$E$6:$E$22,0)),ROW($C$2:$C$10000)-ROW($C$2)+1),ROWS(K$20:K2584))))</f>
        <v/>
      </c>
      <c r="H2584" s="4" t="str">
        <f t="array" ref="H2584">IF(ROWS(L$20:L2584)&gt;$F$6,"",INDEX(B$2:B$10000,SMALL(IF(ISNUMBER(MATCH($B$2:$B$10000,$E$6:$E$22,0)),ROW($C$2:$C$10000)-ROW($C$2)+1),ROWS(L$20:L2584))))</f>
        <v/>
      </c>
      <c r="I2584" s="4" t="str">
        <f t="array" ref="I2584">IF(ROWS(M$20:M2584)&gt;$F$6,"",INDEX(C$2:C$10000,SMALL(IF(ISNUMBER(MATCH($B$2:$B$10000,$E$6:$E$22,0)),ROW($C$2:$C$10000)-ROW($C$2)+1),ROWS(M$20:M2584))))</f>
        <v/>
      </c>
      <c r="K2584" s="7" t="str">
        <f t="array" ref="K2584">IF(ROWS(K$20:K2584)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2584))))</f>
        <v/>
      </c>
      <c r="L2584" s="4" t="str">
        <f t="array" ref="L2584">IF(ROWS(L$20:L2584)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2584))))</f>
        <v/>
      </c>
      <c r="M2584" s="4" t="str">
        <f t="array" ref="M2584">IF(ROWS(M$20:M2584)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2584))))</f>
        <v/>
      </c>
    </row>
    <row r="2585" spans="1:13" x14ac:dyDescent="0.25">
      <c r="A2585" s="3">
        <v>41310</v>
      </c>
      <c r="B2585" s="2" t="s">
        <v>7</v>
      </c>
      <c r="C2585" s="2">
        <v>51</v>
      </c>
      <c r="G2585" s="7" t="str">
        <f t="array" ref="G2585">IF(ROWS(K$20:K2585)&gt;$F$6,"",INDEX(A$2:A$10000,SMALL(IF(ISNUMBER(MATCH($B$2:$B$10000,$E$6:$E$22,0)),ROW($C$2:$C$10000)-ROW($C$2)+1),ROWS(K$20:K2585))))</f>
        <v/>
      </c>
      <c r="H2585" s="4" t="str">
        <f t="array" ref="H2585">IF(ROWS(L$20:L2585)&gt;$F$6,"",INDEX(B$2:B$10000,SMALL(IF(ISNUMBER(MATCH($B$2:$B$10000,$E$6:$E$22,0)),ROW($C$2:$C$10000)-ROW($C$2)+1),ROWS(L$20:L2585))))</f>
        <v/>
      </c>
      <c r="I2585" s="4" t="str">
        <f t="array" ref="I2585">IF(ROWS(M$20:M2585)&gt;$F$6,"",INDEX(C$2:C$10000,SMALL(IF(ISNUMBER(MATCH($B$2:$B$10000,$E$6:$E$22,0)),ROW($C$2:$C$10000)-ROW($C$2)+1),ROWS(M$20:M2585))))</f>
        <v/>
      </c>
      <c r="K2585" s="7" t="str">
        <f t="array" ref="K2585">IF(ROWS(K$20:K2585)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2585))))</f>
        <v/>
      </c>
      <c r="L2585" s="4" t="str">
        <f t="array" ref="L2585">IF(ROWS(L$20:L2585)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2585))))</f>
        <v/>
      </c>
      <c r="M2585" s="4" t="str">
        <f t="array" ref="M2585">IF(ROWS(M$20:M2585)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2585))))</f>
        <v/>
      </c>
    </row>
    <row r="2586" spans="1:13" x14ac:dyDescent="0.25">
      <c r="A2586" s="3">
        <v>41545</v>
      </c>
      <c r="B2586" s="2" t="s">
        <v>23</v>
      </c>
      <c r="C2586" s="2">
        <v>46</v>
      </c>
      <c r="G2586" s="7" t="str">
        <f t="array" ref="G2586">IF(ROWS(K$20:K2586)&gt;$F$6,"",INDEX(A$2:A$10000,SMALL(IF(ISNUMBER(MATCH($B$2:$B$10000,$E$6:$E$22,0)),ROW($C$2:$C$10000)-ROW($C$2)+1),ROWS(K$20:K2586))))</f>
        <v/>
      </c>
      <c r="H2586" s="4" t="str">
        <f t="array" ref="H2586">IF(ROWS(L$20:L2586)&gt;$F$6,"",INDEX(B$2:B$10000,SMALL(IF(ISNUMBER(MATCH($B$2:$B$10000,$E$6:$E$22,0)),ROW($C$2:$C$10000)-ROW($C$2)+1),ROWS(L$20:L2586))))</f>
        <v/>
      </c>
      <c r="I2586" s="4" t="str">
        <f t="array" ref="I2586">IF(ROWS(M$20:M2586)&gt;$F$6,"",INDEX(C$2:C$10000,SMALL(IF(ISNUMBER(MATCH($B$2:$B$10000,$E$6:$E$22,0)),ROW($C$2:$C$10000)-ROW($C$2)+1),ROWS(M$20:M2586))))</f>
        <v/>
      </c>
      <c r="K2586" s="7" t="str">
        <f t="array" ref="K2586">IF(ROWS(K$20:K2586)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2586))))</f>
        <v/>
      </c>
      <c r="L2586" s="4" t="str">
        <f t="array" ref="L2586">IF(ROWS(L$20:L2586)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2586))))</f>
        <v/>
      </c>
      <c r="M2586" s="4" t="str">
        <f t="array" ref="M2586">IF(ROWS(M$20:M2586)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2586))))</f>
        <v/>
      </c>
    </row>
    <row r="2587" spans="1:13" x14ac:dyDescent="0.25">
      <c r="A2587" s="3">
        <v>41601</v>
      </c>
      <c r="B2587" s="2" t="s">
        <v>31</v>
      </c>
      <c r="C2587" s="2">
        <v>37</v>
      </c>
      <c r="G2587" s="7" t="str">
        <f t="array" ref="G2587">IF(ROWS(K$20:K2587)&gt;$F$6,"",INDEX(A$2:A$10000,SMALL(IF(ISNUMBER(MATCH($B$2:$B$10000,$E$6:$E$22,0)),ROW($C$2:$C$10000)-ROW($C$2)+1),ROWS(K$20:K2587))))</f>
        <v/>
      </c>
      <c r="H2587" s="4" t="str">
        <f t="array" ref="H2587">IF(ROWS(L$20:L2587)&gt;$F$6,"",INDEX(B$2:B$10000,SMALL(IF(ISNUMBER(MATCH($B$2:$B$10000,$E$6:$E$22,0)),ROW($C$2:$C$10000)-ROW($C$2)+1),ROWS(L$20:L2587))))</f>
        <v/>
      </c>
      <c r="I2587" s="4" t="str">
        <f t="array" ref="I2587">IF(ROWS(M$20:M2587)&gt;$F$6,"",INDEX(C$2:C$10000,SMALL(IF(ISNUMBER(MATCH($B$2:$B$10000,$E$6:$E$22,0)),ROW($C$2:$C$10000)-ROW($C$2)+1),ROWS(M$20:M2587))))</f>
        <v/>
      </c>
      <c r="K2587" s="7" t="str">
        <f t="array" ref="K2587">IF(ROWS(K$20:K2587)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2587))))</f>
        <v/>
      </c>
      <c r="L2587" s="4" t="str">
        <f t="array" ref="L2587">IF(ROWS(L$20:L2587)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2587))))</f>
        <v/>
      </c>
      <c r="M2587" s="4" t="str">
        <f t="array" ref="M2587">IF(ROWS(M$20:M2587)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2587))))</f>
        <v/>
      </c>
    </row>
    <row r="2588" spans="1:13" x14ac:dyDescent="0.25">
      <c r="A2588" s="3">
        <v>41964</v>
      </c>
      <c r="B2588" s="2" t="s">
        <v>31</v>
      </c>
      <c r="C2588" s="2">
        <v>6</v>
      </c>
      <c r="G2588" s="7" t="str">
        <f t="array" ref="G2588">IF(ROWS(K$20:K2588)&gt;$F$6,"",INDEX(A$2:A$10000,SMALL(IF(ISNUMBER(MATCH($B$2:$B$10000,$E$6:$E$22,0)),ROW($C$2:$C$10000)-ROW($C$2)+1),ROWS(K$20:K2588))))</f>
        <v/>
      </c>
      <c r="H2588" s="4" t="str">
        <f t="array" ref="H2588">IF(ROWS(L$20:L2588)&gt;$F$6,"",INDEX(B$2:B$10000,SMALL(IF(ISNUMBER(MATCH($B$2:$B$10000,$E$6:$E$22,0)),ROW($C$2:$C$10000)-ROW($C$2)+1),ROWS(L$20:L2588))))</f>
        <v/>
      </c>
      <c r="I2588" s="4" t="str">
        <f t="array" ref="I2588">IF(ROWS(M$20:M2588)&gt;$F$6,"",INDEX(C$2:C$10000,SMALL(IF(ISNUMBER(MATCH($B$2:$B$10000,$E$6:$E$22,0)),ROW($C$2:$C$10000)-ROW($C$2)+1),ROWS(M$20:M2588))))</f>
        <v/>
      </c>
      <c r="K2588" s="7" t="str">
        <f t="array" ref="K2588">IF(ROWS(K$20:K2588)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2588))))</f>
        <v/>
      </c>
      <c r="L2588" s="4" t="str">
        <f t="array" ref="L2588">IF(ROWS(L$20:L2588)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2588))))</f>
        <v/>
      </c>
      <c r="M2588" s="4" t="str">
        <f t="array" ref="M2588">IF(ROWS(M$20:M2588)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2588))))</f>
        <v/>
      </c>
    </row>
    <row r="2589" spans="1:13" x14ac:dyDescent="0.25">
      <c r="A2589" s="3">
        <v>41505</v>
      </c>
      <c r="B2589" s="2" t="s">
        <v>41</v>
      </c>
      <c r="C2589" s="2">
        <v>35</v>
      </c>
      <c r="G2589" s="7" t="str">
        <f t="array" ref="G2589">IF(ROWS(K$20:K2589)&gt;$F$6,"",INDEX(A$2:A$10000,SMALL(IF(ISNUMBER(MATCH($B$2:$B$10000,$E$6:$E$22,0)),ROW($C$2:$C$10000)-ROW($C$2)+1),ROWS(K$20:K2589))))</f>
        <v/>
      </c>
      <c r="H2589" s="4" t="str">
        <f t="array" ref="H2589">IF(ROWS(L$20:L2589)&gt;$F$6,"",INDEX(B$2:B$10000,SMALL(IF(ISNUMBER(MATCH($B$2:$B$10000,$E$6:$E$22,0)),ROW($C$2:$C$10000)-ROW($C$2)+1),ROWS(L$20:L2589))))</f>
        <v/>
      </c>
      <c r="I2589" s="4" t="str">
        <f t="array" ref="I2589">IF(ROWS(M$20:M2589)&gt;$F$6,"",INDEX(C$2:C$10000,SMALL(IF(ISNUMBER(MATCH($B$2:$B$10000,$E$6:$E$22,0)),ROW($C$2:$C$10000)-ROW($C$2)+1),ROWS(M$20:M2589))))</f>
        <v/>
      </c>
      <c r="K2589" s="7" t="str">
        <f t="array" ref="K2589">IF(ROWS(K$20:K2589)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2589))))</f>
        <v/>
      </c>
      <c r="L2589" s="4" t="str">
        <f t="array" ref="L2589">IF(ROWS(L$20:L2589)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2589))))</f>
        <v/>
      </c>
      <c r="M2589" s="4" t="str">
        <f t="array" ref="M2589">IF(ROWS(M$20:M2589)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2589))))</f>
        <v/>
      </c>
    </row>
    <row r="2590" spans="1:13" x14ac:dyDescent="0.25">
      <c r="A2590" s="3">
        <v>41894</v>
      </c>
      <c r="B2590" s="2" t="s">
        <v>12</v>
      </c>
      <c r="C2590" s="2">
        <v>38</v>
      </c>
      <c r="G2590" s="7" t="str">
        <f t="array" ref="G2590">IF(ROWS(K$20:K2590)&gt;$F$6,"",INDEX(A$2:A$10000,SMALL(IF(ISNUMBER(MATCH($B$2:$B$10000,$E$6:$E$22,0)),ROW($C$2:$C$10000)-ROW($C$2)+1),ROWS(K$20:K2590))))</f>
        <v/>
      </c>
      <c r="H2590" s="4" t="str">
        <f t="array" ref="H2590">IF(ROWS(L$20:L2590)&gt;$F$6,"",INDEX(B$2:B$10000,SMALL(IF(ISNUMBER(MATCH($B$2:$B$10000,$E$6:$E$22,0)),ROW($C$2:$C$10000)-ROW($C$2)+1),ROWS(L$20:L2590))))</f>
        <v/>
      </c>
      <c r="I2590" s="4" t="str">
        <f t="array" ref="I2590">IF(ROWS(M$20:M2590)&gt;$F$6,"",INDEX(C$2:C$10000,SMALL(IF(ISNUMBER(MATCH($B$2:$B$10000,$E$6:$E$22,0)),ROW($C$2:$C$10000)-ROW($C$2)+1),ROWS(M$20:M2590))))</f>
        <v/>
      </c>
      <c r="K2590" s="7" t="str">
        <f t="array" ref="K2590">IF(ROWS(K$20:K2590)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2590))))</f>
        <v/>
      </c>
      <c r="L2590" s="4" t="str">
        <f t="array" ref="L2590">IF(ROWS(L$20:L2590)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2590))))</f>
        <v/>
      </c>
      <c r="M2590" s="4" t="str">
        <f t="array" ref="M2590">IF(ROWS(M$20:M2590)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2590))))</f>
        <v/>
      </c>
    </row>
    <row r="2591" spans="1:13" x14ac:dyDescent="0.25">
      <c r="A2591" s="3">
        <v>42000</v>
      </c>
      <c r="B2591" s="2" t="s">
        <v>44</v>
      </c>
      <c r="C2591" s="2">
        <v>49</v>
      </c>
      <c r="G2591" s="7" t="str">
        <f t="array" ref="G2591">IF(ROWS(K$20:K2591)&gt;$F$6,"",INDEX(A$2:A$10000,SMALL(IF(ISNUMBER(MATCH($B$2:$B$10000,$E$6:$E$22,0)),ROW($C$2:$C$10000)-ROW($C$2)+1),ROWS(K$20:K2591))))</f>
        <v/>
      </c>
      <c r="H2591" s="4" t="str">
        <f t="array" ref="H2591">IF(ROWS(L$20:L2591)&gt;$F$6,"",INDEX(B$2:B$10000,SMALL(IF(ISNUMBER(MATCH($B$2:$B$10000,$E$6:$E$22,0)),ROW($C$2:$C$10000)-ROW($C$2)+1),ROWS(L$20:L2591))))</f>
        <v/>
      </c>
      <c r="I2591" s="4" t="str">
        <f t="array" ref="I2591">IF(ROWS(M$20:M2591)&gt;$F$6,"",INDEX(C$2:C$10000,SMALL(IF(ISNUMBER(MATCH($B$2:$B$10000,$E$6:$E$22,0)),ROW($C$2:$C$10000)-ROW($C$2)+1),ROWS(M$20:M2591))))</f>
        <v/>
      </c>
      <c r="K2591" s="7" t="str">
        <f t="array" ref="K2591">IF(ROWS(K$20:K2591)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2591))))</f>
        <v/>
      </c>
      <c r="L2591" s="4" t="str">
        <f t="array" ref="L2591">IF(ROWS(L$20:L2591)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2591))))</f>
        <v/>
      </c>
      <c r="M2591" s="4" t="str">
        <f t="array" ref="M2591">IF(ROWS(M$20:M2591)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2591))))</f>
        <v/>
      </c>
    </row>
    <row r="2592" spans="1:13" x14ac:dyDescent="0.25">
      <c r="A2592" s="3">
        <v>41845</v>
      </c>
      <c r="B2592" s="2" t="s">
        <v>12</v>
      </c>
      <c r="C2592" s="2">
        <v>22</v>
      </c>
      <c r="G2592" s="7" t="str">
        <f t="array" ref="G2592">IF(ROWS(K$20:K2592)&gt;$F$6,"",INDEX(A$2:A$10000,SMALL(IF(ISNUMBER(MATCH($B$2:$B$10000,$E$6:$E$22,0)),ROW($C$2:$C$10000)-ROW($C$2)+1),ROWS(K$20:K2592))))</f>
        <v/>
      </c>
      <c r="H2592" s="4" t="str">
        <f t="array" ref="H2592">IF(ROWS(L$20:L2592)&gt;$F$6,"",INDEX(B$2:B$10000,SMALL(IF(ISNUMBER(MATCH($B$2:$B$10000,$E$6:$E$22,0)),ROW($C$2:$C$10000)-ROW($C$2)+1),ROWS(L$20:L2592))))</f>
        <v/>
      </c>
      <c r="I2592" s="4" t="str">
        <f t="array" ref="I2592">IF(ROWS(M$20:M2592)&gt;$F$6,"",INDEX(C$2:C$10000,SMALL(IF(ISNUMBER(MATCH($B$2:$B$10000,$E$6:$E$22,0)),ROW($C$2:$C$10000)-ROW($C$2)+1),ROWS(M$20:M2592))))</f>
        <v/>
      </c>
      <c r="K2592" s="7" t="str">
        <f t="array" ref="K2592">IF(ROWS(K$20:K2592)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2592))))</f>
        <v/>
      </c>
      <c r="L2592" s="4" t="str">
        <f t="array" ref="L2592">IF(ROWS(L$20:L2592)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2592))))</f>
        <v/>
      </c>
      <c r="M2592" s="4" t="str">
        <f t="array" ref="M2592">IF(ROWS(M$20:M2592)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2592))))</f>
        <v/>
      </c>
    </row>
    <row r="2593" spans="1:13" x14ac:dyDescent="0.25">
      <c r="A2593" s="3">
        <v>41440</v>
      </c>
      <c r="B2593" s="2" t="s">
        <v>19</v>
      </c>
      <c r="C2593" s="2">
        <v>28</v>
      </c>
      <c r="G2593" s="7" t="str">
        <f t="array" ref="G2593">IF(ROWS(K$20:K2593)&gt;$F$6,"",INDEX(A$2:A$10000,SMALL(IF(ISNUMBER(MATCH($B$2:$B$10000,$E$6:$E$22,0)),ROW($C$2:$C$10000)-ROW($C$2)+1),ROWS(K$20:K2593))))</f>
        <v/>
      </c>
      <c r="H2593" s="4" t="str">
        <f t="array" ref="H2593">IF(ROWS(L$20:L2593)&gt;$F$6,"",INDEX(B$2:B$10000,SMALL(IF(ISNUMBER(MATCH($B$2:$B$10000,$E$6:$E$22,0)),ROW($C$2:$C$10000)-ROW($C$2)+1),ROWS(L$20:L2593))))</f>
        <v/>
      </c>
      <c r="I2593" s="4" t="str">
        <f t="array" ref="I2593">IF(ROWS(M$20:M2593)&gt;$F$6,"",INDEX(C$2:C$10000,SMALL(IF(ISNUMBER(MATCH($B$2:$B$10000,$E$6:$E$22,0)),ROW($C$2:$C$10000)-ROW($C$2)+1),ROWS(M$20:M2593))))</f>
        <v/>
      </c>
      <c r="K2593" s="7" t="str">
        <f t="array" ref="K2593">IF(ROWS(K$20:K2593)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2593))))</f>
        <v/>
      </c>
      <c r="L2593" s="4" t="str">
        <f t="array" ref="L2593">IF(ROWS(L$20:L2593)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2593))))</f>
        <v/>
      </c>
      <c r="M2593" s="4" t="str">
        <f t="array" ref="M2593">IF(ROWS(M$20:M2593)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2593))))</f>
        <v/>
      </c>
    </row>
    <row r="2594" spans="1:13" x14ac:dyDescent="0.25">
      <c r="A2594" s="3">
        <v>41901</v>
      </c>
      <c r="B2594" s="2" t="s">
        <v>36</v>
      </c>
      <c r="C2594" s="2">
        <v>15</v>
      </c>
      <c r="G2594" s="7" t="str">
        <f t="array" ref="G2594">IF(ROWS(K$20:K2594)&gt;$F$6,"",INDEX(A$2:A$10000,SMALL(IF(ISNUMBER(MATCH($B$2:$B$10000,$E$6:$E$22,0)),ROW($C$2:$C$10000)-ROW($C$2)+1),ROWS(K$20:K2594))))</f>
        <v/>
      </c>
      <c r="H2594" s="4" t="str">
        <f t="array" ref="H2594">IF(ROWS(L$20:L2594)&gt;$F$6,"",INDEX(B$2:B$10000,SMALL(IF(ISNUMBER(MATCH($B$2:$B$10000,$E$6:$E$22,0)),ROW($C$2:$C$10000)-ROW($C$2)+1),ROWS(L$20:L2594))))</f>
        <v/>
      </c>
      <c r="I2594" s="4" t="str">
        <f t="array" ref="I2594">IF(ROWS(M$20:M2594)&gt;$F$6,"",INDEX(C$2:C$10000,SMALL(IF(ISNUMBER(MATCH($B$2:$B$10000,$E$6:$E$22,0)),ROW($C$2:$C$10000)-ROW($C$2)+1),ROWS(M$20:M2594))))</f>
        <v/>
      </c>
      <c r="K2594" s="7" t="str">
        <f t="array" ref="K2594">IF(ROWS(K$20:K2594)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2594))))</f>
        <v/>
      </c>
      <c r="L2594" s="4" t="str">
        <f t="array" ref="L2594">IF(ROWS(L$20:L2594)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2594))))</f>
        <v/>
      </c>
      <c r="M2594" s="4" t="str">
        <f t="array" ref="M2594">IF(ROWS(M$20:M2594)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2594))))</f>
        <v/>
      </c>
    </row>
    <row r="2595" spans="1:13" x14ac:dyDescent="0.25">
      <c r="A2595" s="3">
        <v>41826</v>
      </c>
      <c r="B2595" s="2" t="s">
        <v>19</v>
      </c>
      <c r="C2595" s="2">
        <v>29</v>
      </c>
      <c r="G2595" s="7" t="str">
        <f t="array" ref="G2595">IF(ROWS(K$20:K2595)&gt;$F$6,"",INDEX(A$2:A$10000,SMALL(IF(ISNUMBER(MATCH($B$2:$B$10000,$E$6:$E$22,0)),ROW($C$2:$C$10000)-ROW($C$2)+1),ROWS(K$20:K2595))))</f>
        <v/>
      </c>
      <c r="H2595" s="4" t="str">
        <f t="array" ref="H2595">IF(ROWS(L$20:L2595)&gt;$F$6,"",INDEX(B$2:B$10000,SMALL(IF(ISNUMBER(MATCH($B$2:$B$10000,$E$6:$E$22,0)),ROW($C$2:$C$10000)-ROW($C$2)+1),ROWS(L$20:L2595))))</f>
        <v/>
      </c>
      <c r="I2595" s="4" t="str">
        <f t="array" ref="I2595">IF(ROWS(M$20:M2595)&gt;$F$6,"",INDEX(C$2:C$10000,SMALL(IF(ISNUMBER(MATCH($B$2:$B$10000,$E$6:$E$22,0)),ROW($C$2:$C$10000)-ROW($C$2)+1),ROWS(M$20:M2595))))</f>
        <v/>
      </c>
      <c r="K2595" s="7" t="str">
        <f t="array" ref="K2595">IF(ROWS(K$20:K2595)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2595))))</f>
        <v/>
      </c>
      <c r="L2595" s="4" t="str">
        <f t="array" ref="L2595">IF(ROWS(L$20:L2595)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2595))))</f>
        <v/>
      </c>
      <c r="M2595" s="4" t="str">
        <f t="array" ref="M2595">IF(ROWS(M$20:M2595)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2595))))</f>
        <v/>
      </c>
    </row>
    <row r="2596" spans="1:13" x14ac:dyDescent="0.25">
      <c r="A2596" s="3">
        <v>41302</v>
      </c>
      <c r="B2596" s="2" t="s">
        <v>18</v>
      </c>
      <c r="C2596" s="2">
        <v>41</v>
      </c>
      <c r="G2596" s="7" t="str">
        <f t="array" ref="G2596">IF(ROWS(K$20:K2596)&gt;$F$6,"",INDEX(A$2:A$10000,SMALL(IF(ISNUMBER(MATCH($B$2:$B$10000,$E$6:$E$22,0)),ROW($C$2:$C$10000)-ROW($C$2)+1),ROWS(K$20:K2596))))</f>
        <v/>
      </c>
      <c r="H2596" s="4" t="str">
        <f t="array" ref="H2596">IF(ROWS(L$20:L2596)&gt;$F$6,"",INDEX(B$2:B$10000,SMALL(IF(ISNUMBER(MATCH($B$2:$B$10000,$E$6:$E$22,0)),ROW($C$2:$C$10000)-ROW($C$2)+1),ROWS(L$20:L2596))))</f>
        <v/>
      </c>
      <c r="I2596" s="4" t="str">
        <f t="array" ref="I2596">IF(ROWS(M$20:M2596)&gt;$F$6,"",INDEX(C$2:C$10000,SMALL(IF(ISNUMBER(MATCH($B$2:$B$10000,$E$6:$E$22,0)),ROW($C$2:$C$10000)-ROW($C$2)+1),ROWS(M$20:M2596))))</f>
        <v/>
      </c>
      <c r="K2596" s="7" t="str">
        <f t="array" ref="K2596">IF(ROWS(K$20:K2596)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2596))))</f>
        <v/>
      </c>
      <c r="L2596" s="4" t="str">
        <f t="array" ref="L2596">IF(ROWS(L$20:L2596)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2596))))</f>
        <v/>
      </c>
      <c r="M2596" s="4" t="str">
        <f t="array" ref="M2596">IF(ROWS(M$20:M2596)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2596))))</f>
        <v/>
      </c>
    </row>
    <row r="2597" spans="1:13" x14ac:dyDescent="0.25">
      <c r="A2597" s="3">
        <v>41596</v>
      </c>
      <c r="B2597" s="2" t="s">
        <v>47</v>
      </c>
      <c r="C2597" s="2">
        <v>66</v>
      </c>
      <c r="G2597" s="7" t="str">
        <f t="array" ref="G2597">IF(ROWS(K$20:K2597)&gt;$F$6,"",INDEX(A$2:A$10000,SMALL(IF(ISNUMBER(MATCH($B$2:$B$10000,$E$6:$E$22,0)),ROW($C$2:$C$10000)-ROW($C$2)+1),ROWS(K$20:K2597))))</f>
        <v/>
      </c>
      <c r="H2597" s="4" t="str">
        <f t="array" ref="H2597">IF(ROWS(L$20:L2597)&gt;$F$6,"",INDEX(B$2:B$10000,SMALL(IF(ISNUMBER(MATCH($B$2:$B$10000,$E$6:$E$22,0)),ROW($C$2:$C$10000)-ROW($C$2)+1),ROWS(L$20:L2597))))</f>
        <v/>
      </c>
      <c r="I2597" s="4" t="str">
        <f t="array" ref="I2597">IF(ROWS(M$20:M2597)&gt;$F$6,"",INDEX(C$2:C$10000,SMALL(IF(ISNUMBER(MATCH($B$2:$B$10000,$E$6:$E$22,0)),ROW($C$2:$C$10000)-ROW($C$2)+1),ROWS(M$20:M2597))))</f>
        <v/>
      </c>
      <c r="K2597" s="7" t="str">
        <f t="array" ref="K2597">IF(ROWS(K$20:K2597)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2597))))</f>
        <v/>
      </c>
      <c r="L2597" s="4" t="str">
        <f t="array" ref="L2597">IF(ROWS(L$20:L2597)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2597))))</f>
        <v/>
      </c>
      <c r="M2597" s="4" t="str">
        <f t="array" ref="M2597">IF(ROWS(M$20:M2597)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2597))))</f>
        <v/>
      </c>
    </row>
    <row r="2598" spans="1:13" x14ac:dyDescent="0.25">
      <c r="A2598" s="3">
        <v>41736</v>
      </c>
      <c r="B2598" s="2" t="s">
        <v>40</v>
      </c>
      <c r="C2598" s="2">
        <v>37</v>
      </c>
      <c r="G2598" s="7" t="str">
        <f t="array" ref="G2598">IF(ROWS(K$20:K2598)&gt;$F$6,"",INDEX(A$2:A$10000,SMALL(IF(ISNUMBER(MATCH($B$2:$B$10000,$E$6:$E$22,0)),ROW($C$2:$C$10000)-ROW($C$2)+1),ROWS(K$20:K2598))))</f>
        <v/>
      </c>
      <c r="H2598" s="4" t="str">
        <f t="array" ref="H2598">IF(ROWS(L$20:L2598)&gt;$F$6,"",INDEX(B$2:B$10000,SMALL(IF(ISNUMBER(MATCH($B$2:$B$10000,$E$6:$E$22,0)),ROW($C$2:$C$10000)-ROW($C$2)+1),ROWS(L$20:L2598))))</f>
        <v/>
      </c>
      <c r="I2598" s="4" t="str">
        <f t="array" ref="I2598">IF(ROWS(M$20:M2598)&gt;$F$6,"",INDEX(C$2:C$10000,SMALL(IF(ISNUMBER(MATCH($B$2:$B$10000,$E$6:$E$22,0)),ROW($C$2:$C$10000)-ROW($C$2)+1),ROWS(M$20:M2598))))</f>
        <v/>
      </c>
      <c r="K2598" s="7" t="str">
        <f t="array" ref="K2598">IF(ROWS(K$20:K2598)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2598))))</f>
        <v/>
      </c>
      <c r="L2598" s="4" t="str">
        <f t="array" ref="L2598">IF(ROWS(L$20:L2598)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2598))))</f>
        <v/>
      </c>
      <c r="M2598" s="4" t="str">
        <f t="array" ref="M2598">IF(ROWS(M$20:M2598)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2598))))</f>
        <v/>
      </c>
    </row>
    <row r="2599" spans="1:13" x14ac:dyDescent="0.25">
      <c r="A2599" s="3">
        <v>41538</v>
      </c>
      <c r="B2599" s="2" t="s">
        <v>47</v>
      </c>
      <c r="C2599" s="2">
        <v>18</v>
      </c>
      <c r="G2599" s="7" t="str">
        <f t="array" ref="G2599">IF(ROWS(K$20:K2599)&gt;$F$6,"",INDEX(A$2:A$10000,SMALL(IF(ISNUMBER(MATCH($B$2:$B$10000,$E$6:$E$22,0)),ROW($C$2:$C$10000)-ROW($C$2)+1),ROWS(K$20:K2599))))</f>
        <v/>
      </c>
      <c r="H2599" s="4" t="str">
        <f t="array" ref="H2599">IF(ROWS(L$20:L2599)&gt;$F$6,"",INDEX(B$2:B$10000,SMALL(IF(ISNUMBER(MATCH($B$2:$B$10000,$E$6:$E$22,0)),ROW($C$2:$C$10000)-ROW($C$2)+1),ROWS(L$20:L2599))))</f>
        <v/>
      </c>
      <c r="I2599" s="4" t="str">
        <f t="array" ref="I2599">IF(ROWS(M$20:M2599)&gt;$F$6,"",INDEX(C$2:C$10000,SMALL(IF(ISNUMBER(MATCH($B$2:$B$10000,$E$6:$E$22,0)),ROW($C$2:$C$10000)-ROW($C$2)+1),ROWS(M$20:M2599))))</f>
        <v/>
      </c>
      <c r="K2599" s="7" t="str">
        <f t="array" ref="K2599">IF(ROWS(K$20:K2599)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2599))))</f>
        <v/>
      </c>
      <c r="L2599" s="4" t="str">
        <f t="array" ref="L2599">IF(ROWS(L$20:L2599)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2599))))</f>
        <v/>
      </c>
      <c r="M2599" s="4" t="str">
        <f t="array" ref="M2599">IF(ROWS(M$20:M2599)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2599))))</f>
        <v/>
      </c>
    </row>
    <row r="2600" spans="1:13" x14ac:dyDescent="0.25">
      <c r="A2600" s="3">
        <v>41298</v>
      </c>
      <c r="B2600" s="2" t="s">
        <v>36</v>
      </c>
      <c r="C2600" s="2">
        <v>36</v>
      </c>
      <c r="G2600" s="7" t="str">
        <f t="array" ref="G2600">IF(ROWS(K$20:K2600)&gt;$F$6,"",INDEX(A$2:A$10000,SMALL(IF(ISNUMBER(MATCH($B$2:$B$10000,$E$6:$E$22,0)),ROW($C$2:$C$10000)-ROW($C$2)+1),ROWS(K$20:K2600))))</f>
        <v/>
      </c>
      <c r="H2600" s="4" t="str">
        <f t="array" ref="H2600">IF(ROWS(L$20:L2600)&gt;$F$6,"",INDEX(B$2:B$10000,SMALL(IF(ISNUMBER(MATCH($B$2:$B$10000,$E$6:$E$22,0)),ROW($C$2:$C$10000)-ROW($C$2)+1),ROWS(L$20:L2600))))</f>
        <v/>
      </c>
      <c r="I2600" s="4" t="str">
        <f t="array" ref="I2600">IF(ROWS(M$20:M2600)&gt;$F$6,"",INDEX(C$2:C$10000,SMALL(IF(ISNUMBER(MATCH($B$2:$B$10000,$E$6:$E$22,0)),ROW($C$2:$C$10000)-ROW($C$2)+1),ROWS(M$20:M2600))))</f>
        <v/>
      </c>
      <c r="K2600" s="7" t="str">
        <f t="array" ref="K2600">IF(ROWS(K$20:K2600)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2600))))</f>
        <v/>
      </c>
      <c r="L2600" s="4" t="str">
        <f t="array" ref="L2600">IF(ROWS(L$20:L2600)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2600))))</f>
        <v/>
      </c>
      <c r="M2600" s="4" t="str">
        <f t="array" ref="M2600">IF(ROWS(M$20:M2600)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2600))))</f>
        <v/>
      </c>
    </row>
    <row r="2601" spans="1:13" x14ac:dyDescent="0.25">
      <c r="A2601" s="3">
        <v>41760</v>
      </c>
      <c r="B2601" s="2" t="s">
        <v>20</v>
      </c>
      <c r="C2601" s="2">
        <v>2</v>
      </c>
      <c r="G2601" s="7" t="str">
        <f t="array" ref="G2601">IF(ROWS(K$20:K2601)&gt;$F$6,"",INDEX(A$2:A$10000,SMALL(IF(ISNUMBER(MATCH($B$2:$B$10000,$E$6:$E$22,0)),ROW($C$2:$C$10000)-ROW($C$2)+1),ROWS(K$20:K2601))))</f>
        <v/>
      </c>
      <c r="H2601" s="4" t="str">
        <f t="array" ref="H2601">IF(ROWS(L$20:L2601)&gt;$F$6,"",INDEX(B$2:B$10000,SMALL(IF(ISNUMBER(MATCH($B$2:$B$10000,$E$6:$E$22,0)),ROW($C$2:$C$10000)-ROW($C$2)+1),ROWS(L$20:L2601))))</f>
        <v/>
      </c>
      <c r="I2601" s="4" t="str">
        <f t="array" ref="I2601">IF(ROWS(M$20:M2601)&gt;$F$6,"",INDEX(C$2:C$10000,SMALL(IF(ISNUMBER(MATCH($B$2:$B$10000,$E$6:$E$22,0)),ROW($C$2:$C$10000)-ROW($C$2)+1),ROWS(M$20:M2601))))</f>
        <v/>
      </c>
      <c r="K2601" s="7" t="str">
        <f t="array" ref="K2601">IF(ROWS(K$20:K2601)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2601))))</f>
        <v/>
      </c>
      <c r="L2601" s="4" t="str">
        <f t="array" ref="L2601">IF(ROWS(L$20:L2601)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2601))))</f>
        <v/>
      </c>
      <c r="M2601" s="4" t="str">
        <f t="array" ref="M2601">IF(ROWS(M$20:M2601)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2601))))</f>
        <v/>
      </c>
    </row>
    <row r="2602" spans="1:13" x14ac:dyDescent="0.25">
      <c r="A2602" s="3">
        <v>41391</v>
      </c>
      <c r="B2602" s="2" t="s">
        <v>39</v>
      </c>
      <c r="C2602" s="2">
        <v>12</v>
      </c>
      <c r="G2602" s="7" t="str">
        <f t="array" ref="G2602">IF(ROWS(K$20:K2602)&gt;$F$6,"",INDEX(A$2:A$10000,SMALL(IF(ISNUMBER(MATCH($B$2:$B$10000,$E$6:$E$22,0)),ROW($C$2:$C$10000)-ROW($C$2)+1),ROWS(K$20:K2602))))</f>
        <v/>
      </c>
      <c r="H2602" s="4" t="str">
        <f t="array" ref="H2602">IF(ROWS(L$20:L2602)&gt;$F$6,"",INDEX(B$2:B$10000,SMALL(IF(ISNUMBER(MATCH($B$2:$B$10000,$E$6:$E$22,0)),ROW($C$2:$C$10000)-ROW($C$2)+1),ROWS(L$20:L2602))))</f>
        <v/>
      </c>
      <c r="I2602" s="4" t="str">
        <f t="array" ref="I2602">IF(ROWS(M$20:M2602)&gt;$F$6,"",INDEX(C$2:C$10000,SMALL(IF(ISNUMBER(MATCH($B$2:$B$10000,$E$6:$E$22,0)),ROW($C$2:$C$10000)-ROW($C$2)+1),ROWS(M$20:M2602))))</f>
        <v/>
      </c>
      <c r="K2602" s="7" t="str">
        <f t="array" ref="K2602">IF(ROWS(K$20:K2602)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2602))))</f>
        <v/>
      </c>
      <c r="L2602" s="4" t="str">
        <f t="array" ref="L2602">IF(ROWS(L$20:L2602)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2602))))</f>
        <v/>
      </c>
      <c r="M2602" s="4" t="str">
        <f t="array" ref="M2602">IF(ROWS(M$20:M2602)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2602))))</f>
        <v/>
      </c>
    </row>
    <row r="2603" spans="1:13" x14ac:dyDescent="0.25">
      <c r="A2603" s="3">
        <v>41970</v>
      </c>
      <c r="B2603" s="2" t="s">
        <v>31</v>
      </c>
      <c r="C2603" s="2">
        <v>31</v>
      </c>
      <c r="G2603" s="7" t="str">
        <f t="array" ref="G2603">IF(ROWS(K$20:K2603)&gt;$F$6,"",INDEX(A$2:A$10000,SMALL(IF(ISNUMBER(MATCH($B$2:$B$10000,$E$6:$E$22,0)),ROW($C$2:$C$10000)-ROW($C$2)+1),ROWS(K$20:K2603))))</f>
        <v/>
      </c>
      <c r="H2603" s="4" t="str">
        <f t="array" ref="H2603">IF(ROWS(L$20:L2603)&gt;$F$6,"",INDEX(B$2:B$10000,SMALL(IF(ISNUMBER(MATCH($B$2:$B$10000,$E$6:$E$22,0)),ROW($C$2:$C$10000)-ROW($C$2)+1),ROWS(L$20:L2603))))</f>
        <v/>
      </c>
      <c r="I2603" s="4" t="str">
        <f t="array" ref="I2603">IF(ROWS(M$20:M2603)&gt;$F$6,"",INDEX(C$2:C$10000,SMALL(IF(ISNUMBER(MATCH($B$2:$B$10000,$E$6:$E$22,0)),ROW($C$2:$C$10000)-ROW($C$2)+1),ROWS(M$20:M2603))))</f>
        <v/>
      </c>
      <c r="K2603" s="7" t="str">
        <f t="array" ref="K2603">IF(ROWS(K$20:K2603)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2603))))</f>
        <v/>
      </c>
      <c r="L2603" s="4" t="str">
        <f t="array" ref="L2603">IF(ROWS(L$20:L2603)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2603))))</f>
        <v/>
      </c>
      <c r="M2603" s="4" t="str">
        <f t="array" ref="M2603">IF(ROWS(M$20:M2603)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2603))))</f>
        <v/>
      </c>
    </row>
    <row r="2604" spans="1:13" x14ac:dyDescent="0.25">
      <c r="A2604" s="3">
        <v>41805</v>
      </c>
      <c r="B2604" s="2" t="s">
        <v>14</v>
      </c>
      <c r="C2604" s="2">
        <v>17</v>
      </c>
      <c r="G2604" s="7" t="str">
        <f t="array" ref="G2604">IF(ROWS(K$20:K2604)&gt;$F$6,"",INDEX(A$2:A$10000,SMALL(IF(ISNUMBER(MATCH($B$2:$B$10000,$E$6:$E$22,0)),ROW($C$2:$C$10000)-ROW($C$2)+1),ROWS(K$20:K2604))))</f>
        <v/>
      </c>
      <c r="H2604" s="4" t="str">
        <f t="array" ref="H2604">IF(ROWS(L$20:L2604)&gt;$F$6,"",INDEX(B$2:B$10000,SMALL(IF(ISNUMBER(MATCH($B$2:$B$10000,$E$6:$E$22,0)),ROW($C$2:$C$10000)-ROW($C$2)+1),ROWS(L$20:L2604))))</f>
        <v/>
      </c>
      <c r="I2604" s="4" t="str">
        <f t="array" ref="I2604">IF(ROWS(M$20:M2604)&gt;$F$6,"",INDEX(C$2:C$10000,SMALL(IF(ISNUMBER(MATCH($B$2:$B$10000,$E$6:$E$22,0)),ROW($C$2:$C$10000)-ROW($C$2)+1),ROWS(M$20:M2604))))</f>
        <v/>
      </c>
      <c r="K2604" s="7" t="str">
        <f t="array" ref="K2604">IF(ROWS(K$20:K2604)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2604))))</f>
        <v/>
      </c>
      <c r="L2604" s="4" t="str">
        <f t="array" ref="L2604">IF(ROWS(L$20:L2604)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2604))))</f>
        <v/>
      </c>
      <c r="M2604" s="4" t="str">
        <f t="array" ref="M2604">IF(ROWS(M$20:M2604)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2604))))</f>
        <v/>
      </c>
    </row>
    <row r="2605" spans="1:13" x14ac:dyDescent="0.25">
      <c r="A2605" s="3">
        <v>41492</v>
      </c>
      <c r="B2605" s="2" t="s">
        <v>4</v>
      </c>
      <c r="C2605" s="2">
        <v>14</v>
      </c>
      <c r="G2605" s="7" t="str">
        <f t="array" ref="G2605">IF(ROWS(K$20:K2605)&gt;$F$6,"",INDEX(A$2:A$10000,SMALL(IF(ISNUMBER(MATCH($B$2:$B$10000,$E$6:$E$22,0)),ROW($C$2:$C$10000)-ROW($C$2)+1),ROWS(K$20:K2605))))</f>
        <v/>
      </c>
      <c r="H2605" s="4" t="str">
        <f t="array" ref="H2605">IF(ROWS(L$20:L2605)&gt;$F$6,"",INDEX(B$2:B$10000,SMALL(IF(ISNUMBER(MATCH($B$2:$B$10000,$E$6:$E$22,0)),ROW($C$2:$C$10000)-ROW($C$2)+1),ROWS(L$20:L2605))))</f>
        <v/>
      </c>
      <c r="I2605" s="4" t="str">
        <f t="array" ref="I2605">IF(ROWS(M$20:M2605)&gt;$F$6,"",INDEX(C$2:C$10000,SMALL(IF(ISNUMBER(MATCH($B$2:$B$10000,$E$6:$E$22,0)),ROW($C$2:$C$10000)-ROW($C$2)+1),ROWS(M$20:M2605))))</f>
        <v/>
      </c>
      <c r="K2605" s="7" t="str">
        <f t="array" ref="K2605">IF(ROWS(K$20:K2605)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2605))))</f>
        <v/>
      </c>
      <c r="L2605" s="4" t="str">
        <f t="array" ref="L2605">IF(ROWS(L$20:L2605)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2605))))</f>
        <v/>
      </c>
      <c r="M2605" s="4" t="str">
        <f t="array" ref="M2605">IF(ROWS(M$20:M2605)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2605))))</f>
        <v/>
      </c>
    </row>
    <row r="2606" spans="1:13" x14ac:dyDescent="0.25">
      <c r="A2606" s="3">
        <v>41653</v>
      </c>
      <c r="B2606" s="2" t="s">
        <v>16</v>
      </c>
      <c r="C2606" s="2">
        <v>10</v>
      </c>
      <c r="G2606" s="7" t="str">
        <f t="array" ref="G2606">IF(ROWS(K$20:K2606)&gt;$F$6,"",INDEX(A$2:A$10000,SMALL(IF(ISNUMBER(MATCH($B$2:$B$10000,$E$6:$E$22,0)),ROW($C$2:$C$10000)-ROW($C$2)+1),ROWS(K$20:K2606))))</f>
        <v/>
      </c>
      <c r="H2606" s="4" t="str">
        <f t="array" ref="H2606">IF(ROWS(L$20:L2606)&gt;$F$6,"",INDEX(B$2:B$10000,SMALL(IF(ISNUMBER(MATCH($B$2:$B$10000,$E$6:$E$22,0)),ROW($C$2:$C$10000)-ROW($C$2)+1),ROWS(L$20:L2606))))</f>
        <v/>
      </c>
      <c r="I2606" s="4" t="str">
        <f t="array" ref="I2606">IF(ROWS(M$20:M2606)&gt;$F$6,"",INDEX(C$2:C$10000,SMALL(IF(ISNUMBER(MATCH($B$2:$B$10000,$E$6:$E$22,0)),ROW($C$2:$C$10000)-ROW($C$2)+1),ROWS(M$20:M2606))))</f>
        <v/>
      </c>
      <c r="K2606" s="7" t="str">
        <f t="array" ref="K2606">IF(ROWS(K$20:K2606)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2606))))</f>
        <v/>
      </c>
      <c r="L2606" s="4" t="str">
        <f t="array" ref="L2606">IF(ROWS(L$20:L2606)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2606))))</f>
        <v/>
      </c>
      <c r="M2606" s="4" t="str">
        <f t="array" ref="M2606">IF(ROWS(M$20:M2606)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2606))))</f>
        <v/>
      </c>
    </row>
    <row r="2607" spans="1:13" x14ac:dyDescent="0.25">
      <c r="A2607" s="3">
        <v>41753</v>
      </c>
      <c r="B2607" s="2" t="s">
        <v>23</v>
      </c>
      <c r="C2607" s="2">
        <v>0</v>
      </c>
      <c r="G2607" s="7" t="str">
        <f t="array" ref="G2607">IF(ROWS(K$20:K2607)&gt;$F$6,"",INDEX(A$2:A$10000,SMALL(IF(ISNUMBER(MATCH($B$2:$B$10000,$E$6:$E$22,0)),ROW($C$2:$C$10000)-ROW($C$2)+1),ROWS(K$20:K2607))))</f>
        <v/>
      </c>
      <c r="H2607" s="4" t="str">
        <f t="array" ref="H2607">IF(ROWS(L$20:L2607)&gt;$F$6,"",INDEX(B$2:B$10000,SMALL(IF(ISNUMBER(MATCH($B$2:$B$10000,$E$6:$E$22,0)),ROW($C$2:$C$10000)-ROW($C$2)+1),ROWS(L$20:L2607))))</f>
        <v/>
      </c>
      <c r="I2607" s="4" t="str">
        <f t="array" ref="I2607">IF(ROWS(M$20:M2607)&gt;$F$6,"",INDEX(C$2:C$10000,SMALL(IF(ISNUMBER(MATCH($B$2:$B$10000,$E$6:$E$22,0)),ROW($C$2:$C$10000)-ROW($C$2)+1),ROWS(M$20:M2607))))</f>
        <v/>
      </c>
      <c r="K2607" s="7" t="str">
        <f t="array" ref="K2607">IF(ROWS(K$20:K2607)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2607))))</f>
        <v/>
      </c>
      <c r="L2607" s="4" t="str">
        <f t="array" ref="L2607">IF(ROWS(L$20:L2607)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2607))))</f>
        <v/>
      </c>
      <c r="M2607" s="4" t="str">
        <f t="array" ref="M2607">IF(ROWS(M$20:M2607)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2607))))</f>
        <v/>
      </c>
    </row>
    <row r="2608" spans="1:13" x14ac:dyDescent="0.25">
      <c r="A2608" s="3">
        <v>41731</v>
      </c>
      <c r="B2608" s="2" t="s">
        <v>27</v>
      </c>
      <c r="C2608" s="2">
        <v>4</v>
      </c>
      <c r="G2608" s="7" t="str">
        <f t="array" ref="G2608">IF(ROWS(K$20:K2608)&gt;$F$6,"",INDEX(A$2:A$10000,SMALL(IF(ISNUMBER(MATCH($B$2:$B$10000,$E$6:$E$22,0)),ROW($C$2:$C$10000)-ROW($C$2)+1),ROWS(K$20:K2608))))</f>
        <v/>
      </c>
      <c r="H2608" s="4" t="str">
        <f t="array" ref="H2608">IF(ROWS(L$20:L2608)&gt;$F$6,"",INDEX(B$2:B$10000,SMALL(IF(ISNUMBER(MATCH($B$2:$B$10000,$E$6:$E$22,0)),ROW($C$2:$C$10000)-ROW($C$2)+1),ROWS(L$20:L2608))))</f>
        <v/>
      </c>
      <c r="I2608" s="4" t="str">
        <f t="array" ref="I2608">IF(ROWS(M$20:M2608)&gt;$F$6,"",INDEX(C$2:C$10000,SMALL(IF(ISNUMBER(MATCH($B$2:$B$10000,$E$6:$E$22,0)),ROW($C$2:$C$10000)-ROW($C$2)+1),ROWS(M$20:M2608))))</f>
        <v/>
      </c>
      <c r="K2608" s="7" t="str">
        <f t="array" ref="K2608">IF(ROWS(K$20:K2608)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2608))))</f>
        <v/>
      </c>
      <c r="L2608" s="4" t="str">
        <f t="array" ref="L2608">IF(ROWS(L$20:L2608)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2608))))</f>
        <v/>
      </c>
      <c r="M2608" s="4" t="str">
        <f t="array" ref="M2608">IF(ROWS(M$20:M2608)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2608))))</f>
        <v/>
      </c>
    </row>
    <row r="2609" spans="1:13" x14ac:dyDescent="0.25">
      <c r="A2609" s="3">
        <v>41593</v>
      </c>
      <c r="B2609" s="2" t="s">
        <v>43</v>
      </c>
      <c r="C2609" s="2">
        <v>32</v>
      </c>
      <c r="G2609" s="7" t="str">
        <f t="array" ref="G2609">IF(ROWS(K$20:K2609)&gt;$F$6,"",INDEX(A$2:A$10000,SMALL(IF(ISNUMBER(MATCH($B$2:$B$10000,$E$6:$E$22,0)),ROW($C$2:$C$10000)-ROW($C$2)+1),ROWS(K$20:K2609))))</f>
        <v/>
      </c>
      <c r="H2609" s="4" t="str">
        <f t="array" ref="H2609">IF(ROWS(L$20:L2609)&gt;$F$6,"",INDEX(B$2:B$10000,SMALL(IF(ISNUMBER(MATCH($B$2:$B$10000,$E$6:$E$22,0)),ROW($C$2:$C$10000)-ROW($C$2)+1),ROWS(L$20:L2609))))</f>
        <v/>
      </c>
      <c r="I2609" s="4" t="str">
        <f t="array" ref="I2609">IF(ROWS(M$20:M2609)&gt;$F$6,"",INDEX(C$2:C$10000,SMALL(IF(ISNUMBER(MATCH($B$2:$B$10000,$E$6:$E$22,0)),ROW($C$2:$C$10000)-ROW($C$2)+1),ROWS(M$20:M2609))))</f>
        <v/>
      </c>
      <c r="K2609" s="7" t="str">
        <f t="array" ref="K2609">IF(ROWS(K$20:K2609)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2609))))</f>
        <v/>
      </c>
      <c r="L2609" s="4" t="str">
        <f t="array" ref="L2609">IF(ROWS(L$20:L2609)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2609))))</f>
        <v/>
      </c>
      <c r="M2609" s="4" t="str">
        <f t="array" ref="M2609">IF(ROWS(M$20:M2609)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2609))))</f>
        <v/>
      </c>
    </row>
    <row r="2610" spans="1:13" x14ac:dyDescent="0.25">
      <c r="A2610" s="3">
        <v>41573</v>
      </c>
      <c r="B2610" s="2" t="s">
        <v>5</v>
      </c>
      <c r="C2610" s="2">
        <v>8</v>
      </c>
      <c r="G2610" s="7" t="str">
        <f t="array" ref="G2610">IF(ROWS(K$20:K2610)&gt;$F$6,"",INDEX(A$2:A$10000,SMALL(IF(ISNUMBER(MATCH($B$2:$B$10000,$E$6:$E$22,0)),ROW($C$2:$C$10000)-ROW($C$2)+1),ROWS(K$20:K2610))))</f>
        <v/>
      </c>
      <c r="H2610" s="4" t="str">
        <f t="array" ref="H2610">IF(ROWS(L$20:L2610)&gt;$F$6,"",INDEX(B$2:B$10000,SMALL(IF(ISNUMBER(MATCH($B$2:$B$10000,$E$6:$E$22,0)),ROW($C$2:$C$10000)-ROW($C$2)+1),ROWS(L$20:L2610))))</f>
        <v/>
      </c>
      <c r="I2610" s="4" t="str">
        <f t="array" ref="I2610">IF(ROWS(M$20:M2610)&gt;$F$6,"",INDEX(C$2:C$10000,SMALL(IF(ISNUMBER(MATCH($B$2:$B$10000,$E$6:$E$22,0)),ROW($C$2:$C$10000)-ROW($C$2)+1),ROWS(M$20:M2610))))</f>
        <v/>
      </c>
      <c r="K2610" s="7" t="str">
        <f t="array" ref="K2610">IF(ROWS(K$20:K2610)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2610))))</f>
        <v/>
      </c>
      <c r="L2610" s="4" t="str">
        <f t="array" ref="L2610">IF(ROWS(L$20:L2610)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2610))))</f>
        <v/>
      </c>
      <c r="M2610" s="4" t="str">
        <f t="array" ref="M2610">IF(ROWS(M$20:M2610)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2610))))</f>
        <v/>
      </c>
    </row>
    <row r="2611" spans="1:13" x14ac:dyDescent="0.25">
      <c r="A2611" s="3">
        <v>41811</v>
      </c>
      <c r="B2611" s="2" t="s">
        <v>24</v>
      </c>
      <c r="C2611" s="2">
        <v>62</v>
      </c>
      <c r="G2611" s="7" t="str">
        <f t="array" ref="G2611">IF(ROWS(K$20:K2611)&gt;$F$6,"",INDEX(A$2:A$10000,SMALL(IF(ISNUMBER(MATCH($B$2:$B$10000,$E$6:$E$22,0)),ROW($C$2:$C$10000)-ROW($C$2)+1),ROWS(K$20:K2611))))</f>
        <v/>
      </c>
      <c r="H2611" s="4" t="str">
        <f t="array" ref="H2611">IF(ROWS(L$20:L2611)&gt;$F$6,"",INDEX(B$2:B$10000,SMALL(IF(ISNUMBER(MATCH($B$2:$B$10000,$E$6:$E$22,0)),ROW($C$2:$C$10000)-ROW($C$2)+1),ROWS(L$20:L2611))))</f>
        <v/>
      </c>
      <c r="I2611" s="4" t="str">
        <f t="array" ref="I2611">IF(ROWS(M$20:M2611)&gt;$F$6,"",INDEX(C$2:C$10000,SMALL(IF(ISNUMBER(MATCH($B$2:$B$10000,$E$6:$E$22,0)),ROW($C$2:$C$10000)-ROW($C$2)+1),ROWS(M$20:M2611))))</f>
        <v/>
      </c>
      <c r="K2611" s="7" t="str">
        <f t="array" ref="K2611">IF(ROWS(K$20:K2611)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2611))))</f>
        <v/>
      </c>
      <c r="L2611" s="4" t="str">
        <f t="array" ref="L2611">IF(ROWS(L$20:L2611)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2611))))</f>
        <v/>
      </c>
      <c r="M2611" s="4" t="str">
        <f t="array" ref="M2611">IF(ROWS(M$20:M2611)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2611))))</f>
        <v/>
      </c>
    </row>
    <row r="2612" spans="1:13" x14ac:dyDescent="0.25">
      <c r="A2612" s="3">
        <v>41594</v>
      </c>
      <c r="B2612" s="2" t="s">
        <v>25</v>
      </c>
      <c r="C2612" s="2">
        <v>18</v>
      </c>
      <c r="G2612" s="7" t="str">
        <f t="array" ref="G2612">IF(ROWS(K$20:K2612)&gt;$F$6,"",INDEX(A$2:A$10000,SMALL(IF(ISNUMBER(MATCH($B$2:$B$10000,$E$6:$E$22,0)),ROW($C$2:$C$10000)-ROW($C$2)+1),ROWS(K$20:K2612))))</f>
        <v/>
      </c>
      <c r="H2612" s="4" t="str">
        <f t="array" ref="H2612">IF(ROWS(L$20:L2612)&gt;$F$6,"",INDEX(B$2:B$10000,SMALL(IF(ISNUMBER(MATCH($B$2:$B$10000,$E$6:$E$22,0)),ROW($C$2:$C$10000)-ROW($C$2)+1),ROWS(L$20:L2612))))</f>
        <v/>
      </c>
      <c r="I2612" s="4" t="str">
        <f t="array" ref="I2612">IF(ROWS(M$20:M2612)&gt;$F$6,"",INDEX(C$2:C$10000,SMALL(IF(ISNUMBER(MATCH($B$2:$B$10000,$E$6:$E$22,0)),ROW($C$2:$C$10000)-ROW($C$2)+1),ROWS(M$20:M2612))))</f>
        <v/>
      </c>
      <c r="K2612" s="7" t="str">
        <f t="array" ref="K2612">IF(ROWS(K$20:K2612)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2612))))</f>
        <v/>
      </c>
      <c r="L2612" s="4" t="str">
        <f t="array" ref="L2612">IF(ROWS(L$20:L2612)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2612))))</f>
        <v/>
      </c>
      <c r="M2612" s="4" t="str">
        <f t="array" ref="M2612">IF(ROWS(M$20:M2612)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2612))))</f>
        <v/>
      </c>
    </row>
    <row r="2613" spans="1:13" x14ac:dyDescent="0.25">
      <c r="A2613" s="3">
        <v>41867</v>
      </c>
      <c r="B2613" s="2" t="s">
        <v>48</v>
      </c>
      <c r="C2613" s="2">
        <v>43</v>
      </c>
      <c r="G2613" s="7" t="str">
        <f t="array" ref="G2613">IF(ROWS(K$20:K2613)&gt;$F$6,"",INDEX(A$2:A$10000,SMALL(IF(ISNUMBER(MATCH($B$2:$B$10000,$E$6:$E$22,0)),ROW($C$2:$C$10000)-ROW($C$2)+1),ROWS(K$20:K2613))))</f>
        <v/>
      </c>
      <c r="H2613" s="4" t="str">
        <f t="array" ref="H2613">IF(ROWS(L$20:L2613)&gt;$F$6,"",INDEX(B$2:B$10000,SMALL(IF(ISNUMBER(MATCH($B$2:$B$10000,$E$6:$E$22,0)),ROW($C$2:$C$10000)-ROW($C$2)+1),ROWS(L$20:L2613))))</f>
        <v/>
      </c>
      <c r="I2613" s="4" t="str">
        <f t="array" ref="I2613">IF(ROWS(M$20:M2613)&gt;$F$6,"",INDEX(C$2:C$10000,SMALL(IF(ISNUMBER(MATCH($B$2:$B$10000,$E$6:$E$22,0)),ROW($C$2:$C$10000)-ROW($C$2)+1),ROWS(M$20:M2613))))</f>
        <v/>
      </c>
      <c r="K2613" s="7" t="str">
        <f t="array" ref="K2613">IF(ROWS(K$20:K2613)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2613))))</f>
        <v/>
      </c>
      <c r="L2613" s="4" t="str">
        <f t="array" ref="L2613">IF(ROWS(L$20:L2613)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2613))))</f>
        <v/>
      </c>
      <c r="M2613" s="4" t="str">
        <f t="array" ref="M2613">IF(ROWS(M$20:M2613)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2613))))</f>
        <v/>
      </c>
    </row>
    <row r="2614" spans="1:13" x14ac:dyDescent="0.25">
      <c r="A2614" s="3">
        <v>41642</v>
      </c>
      <c r="B2614" s="2" t="s">
        <v>37</v>
      </c>
      <c r="C2614" s="2">
        <v>0</v>
      </c>
      <c r="G2614" s="7" t="str">
        <f t="array" ref="G2614">IF(ROWS(K$20:K2614)&gt;$F$6,"",INDEX(A$2:A$10000,SMALL(IF(ISNUMBER(MATCH($B$2:$B$10000,$E$6:$E$22,0)),ROW($C$2:$C$10000)-ROW($C$2)+1),ROWS(K$20:K2614))))</f>
        <v/>
      </c>
      <c r="H2614" s="4" t="str">
        <f t="array" ref="H2614">IF(ROWS(L$20:L2614)&gt;$F$6,"",INDEX(B$2:B$10000,SMALL(IF(ISNUMBER(MATCH($B$2:$B$10000,$E$6:$E$22,0)),ROW($C$2:$C$10000)-ROW($C$2)+1),ROWS(L$20:L2614))))</f>
        <v/>
      </c>
      <c r="I2614" s="4" t="str">
        <f t="array" ref="I2614">IF(ROWS(M$20:M2614)&gt;$F$6,"",INDEX(C$2:C$10000,SMALL(IF(ISNUMBER(MATCH($B$2:$B$10000,$E$6:$E$22,0)),ROW($C$2:$C$10000)-ROW($C$2)+1),ROWS(M$20:M2614))))</f>
        <v/>
      </c>
      <c r="K2614" s="7" t="str">
        <f t="array" ref="K2614">IF(ROWS(K$20:K2614)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2614))))</f>
        <v/>
      </c>
      <c r="L2614" s="4" t="str">
        <f t="array" ref="L2614">IF(ROWS(L$20:L2614)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2614))))</f>
        <v/>
      </c>
      <c r="M2614" s="4" t="str">
        <f t="array" ref="M2614">IF(ROWS(M$20:M2614)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2614))))</f>
        <v/>
      </c>
    </row>
    <row r="2615" spans="1:13" x14ac:dyDescent="0.25">
      <c r="A2615" s="3">
        <v>41564</v>
      </c>
      <c r="B2615" s="2" t="s">
        <v>6</v>
      </c>
      <c r="C2615" s="2">
        <v>51</v>
      </c>
      <c r="G2615" s="7" t="str">
        <f t="array" ref="G2615">IF(ROWS(K$20:K2615)&gt;$F$6,"",INDEX(A$2:A$10000,SMALL(IF(ISNUMBER(MATCH($B$2:$B$10000,$E$6:$E$22,0)),ROW($C$2:$C$10000)-ROW($C$2)+1),ROWS(K$20:K2615))))</f>
        <v/>
      </c>
      <c r="H2615" s="4" t="str">
        <f t="array" ref="H2615">IF(ROWS(L$20:L2615)&gt;$F$6,"",INDEX(B$2:B$10000,SMALL(IF(ISNUMBER(MATCH($B$2:$B$10000,$E$6:$E$22,0)),ROW($C$2:$C$10000)-ROW($C$2)+1),ROWS(L$20:L2615))))</f>
        <v/>
      </c>
      <c r="I2615" s="4" t="str">
        <f t="array" ref="I2615">IF(ROWS(M$20:M2615)&gt;$F$6,"",INDEX(C$2:C$10000,SMALL(IF(ISNUMBER(MATCH($B$2:$B$10000,$E$6:$E$22,0)),ROW($C$2:$C$10000)-ROW($C$2)+1),ROWS(M$20:M2615))))</f>
        <v/>
      </c>
      <c r="K2615" s="7" t="str">
        <f t="array" ref="K2615">IF(ROWS(K$20:K2615)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2615))))</f>
        <v/>
      </c>
      <c r="L2615" s="4" t="str">
        <f t="array" ref="L2615">IF(ROWS(L$20:L2615)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2615))))</f>
        <v/>
      </c>
      <c r="M2615" s="4" t="str">
        <f t="array" ref="M2615">IF(ROWS(M$20:M2615)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2615))))</f>
        <v/>
      </c>
    </row>
    <row r="2616" spans="1:13" x14ac:dyDescent="0.25">
      <c r="A2616" s="3">
        <v>41803</v>
      </c>
      <c r="B2616" s="2" t="s">
        <v>30</v>
      </c>
      <c r="C2616" s="2">
        <v>37</v>
      </c>
      <c r="G2616" s="7" t="str">
        <f t="array" ref="G2616">IF(ROWS(K$20:K2616)&gt;$F$6,"",INDEX(A$2:A$10000,SMALL(IF(ISNUMBER(MATCH($B$2:$B$10000,$E$6:$E$22,0)),ROW($C$2:$C$10000)-ROW($C$2)+1),ROWS(K$20:K2616))))</f>
        <v/>
      </c>
      <c r="H2616" s="4" t="str">
        <f t="array" ref="H2616">IF(ROWS(L$20:L2616)&gt;$F$6,"",INDEX(B$2:B$10000,SMALL(IF(ISNUMBER(MATCH($B$2:$B$10000,$E$6:$E$22,0)),ROW($C$2:$C$10000)-ROW($C$2)+1),ROWS(L$20:L2616))))</f>
        <v/>
      </c>
      <c r="I2616" s="4" t="str">
        <f t="array" ref="I2616">IF(ROWS(M$20:M2616)&gt;$F$6,"",INDEX(C$2:C$10000,SMALL(IF(ISNUMBER(MATCH($B$2:$B$10000,$E$6:$E$22,0)),ROW($C$2:$C$10000)-ROW($C$2)+1),ROWS(M$20:M2616))))</f>
        <v/>
      </c>
      <c r="K2616" s="7" t="str">
        <f t="array" ref="K2616">IF(ROWS(K$20:K2616)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2616))))</f>
        <v/>
      </c>
      <c r="L2616" s="4" t="str">
        <f t="array" ref="L2616">IF(ROWS(L$20:L2616)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2616))))</f>
        <v/>
      </c>
      <c r="M2616" s="4" t="str">
        <f t="array" ref="M2616">IF(ROWS(M$20:M2616)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2616))))</f>
        <v/>
      </c>
    </row>
    <row r="2617" spans="1:13" x14ac:dyDescent="0.25">
      <c r="A2617" s="3">
        <v>41682</v>
      </c>
      <c r="B2617" s="2" t="s">
        <v>20</v>
      </c>
      <c r="C2617" s="2">
        <v>33</v>
      </c>
      <c r="G2617" s="7" t="str">
        <f t="array" ref="G2617">IF(ROWS(K$20:K2617)&gt;$F$6,"",INDEX(A$2:A$10000,SMALL(IF(ISNUMBER(MATCH($B$2:$B$10000,$E$6:$E$22,0)),ROW($C$2:$C$10000)-ROW($C$2)+1),ROWS(K$20:K2617))))</f>
        <v/>
      </c>
      <c r="H2617" s="4" t="str">
        <f t="array" ref="H2617">IF(ROWS(L$20:L2617)&gt;$F$6,"",INDEX(B$2:B$10000,SMALL(IF(ISNUMBER(MATCH($B$2:$B$10000,$E$6:$E$22,0)),ROW($C$2:$C$10000)-ROW($C$2)+1),ROWS(L$20:L2617))))</f>
        <v/>
      </c>
      <c r="I2617" s="4" t="str">
        <f t="array" ref="I2617">IF(ROWS(M$20:M2617)&gt;$F$6,"",INDEX(C$2:C$10000,SMALL(IF(ISNUMBER(MATCH($B$2:$B$10000,$E$6:$E$22,0)),ROW($C$2:$C$10000)-ROW($C$2)+1),ROWS(M$20:M2617))))</f>
        <v/>
      </c>
      <c r="K2617" s="7" t="str">
        <f t="array" ref="K2617">IF(ROWS(K$20:K2617)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2617))))</f>
        <v/>
      </c>
      <c r="L2617" s="4" t="str">
        <f t="array" ref="L2617">IF(ROWS(L$20:L2617)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2617))))</f>
        <v/>
      </c>
      <c r="M2617" s="4" t="str">
        <f t="array" ref="M2617">IF(ROWS(M$20:M2617)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2617))))</f>
        <v/>
      </c>
    </row>
    <row r="2618" spans="1:13" x14ac:dyDescent="0.25">
      <c r="A2618" s="3">
        <v>41795</v>
      </c>
      <c r="B2618" s="2" t="s">
        <v>44</v>
      </c>
      <c r="C2618" s="2">
        <v>29</v>
      </c>
      <c r="G2618" s="7" t="str">
        <f t="array" ref="G2618">IF(ROWS(K$20:K2618)&gt;$F$6,"",INDEX(A$2:A$10000,SMALL(IF(ISNUMBER(MATCH($B$2:$B$10000,$E$6:$E$22,0)),ROW($C$2:$C$10000)-ROW($C$2)+1),ROWS(K$20:K2618))))</f>
        <v/>
      </c>
      <c r="H2618" s="4" t="str">
        <f t="array" ref="H2618">IF(ROWS(L$20:L2618)&gt;$F$6,"",INDEX(B$2:B$10000,SMALL(IF(ISNUMBER(MATCH($B$2:$B$10000,$E$6:$E$22,0)),ROW($C$2:$C$10000)-ROW($C$2)+1),ROWS(L$20:L2618))))</f>
        <v/>
      </c>
      <c r="I2618" s="4" t="str">
        <f t="array" ref="I2618">IF(ROWS(M$20:M2618)&gt;$F$6,"",INDEX(C$2:C$10000,SMALL(IF(ISNUMBER(MATCH($B$2:$B$10000,$E$6:$E$22,0)),ROW($C$2:$C$10000)-ROW($C$2)+1),ROWS(M$20:M2618))))</f>
        <v/>
      </c>
      <c r="K2618" s="7" t="str">
        <f t="array" ref="K2618">IF(ROWS(K$20:K2618)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2618))))</f>
        <v/>
      </c>
      <c r="L2618" s="4" t="str">
        <f t="array" ref="L2618">IF(ROWS(L$20:L2618)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2618))))</f>
        <v/>
      </c>
      <c r="M2618" s="4" t="str">
        <f t="array" ref="M2618">IF(ROWS(M$20:M2618)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2618))))</f>
        <v/>
      </c>
    </row>
    <row r="2619" spans="1:13" x14ac:dyDescent="0.25">
      <c r="A2619" s="3">
        <v>41413</v>
      </c>
      <c r="B2619" s="2" t="s">
        <v>43</v>
      </c>
      <c r="C2619" s="2">
        <v>17</v>
      </c>
      <c r="G2619" s="7" t="str">
        <f t="array" ref="G2619">IF(ROWS(K$20:K2619)&gt;$F$6,"",INDEX(A$2:A$10000,SMALL(IF(ISNUMBER(MATCH($B$2:$B$10000,$E$6:$E$22,0)),ROW($C$2:$C$10000)-ROW($C$2)+1),ROWS(K$20:K2619))))</f>
        <v/>
      </c>
      <c r="H2619" s="4" t="str">
        <f t="array" ref="H2619">IF(ROWS(L$20:L2619)&gt;$F$6,"",INDEX(B$2:B$10000,SMALL(IF(ISNUMBER(MATCH($B$2:$B$10000,$E$6:$E$22,0)),ROW($C$2:$C$10000)-ROW($C$2)+1),ROWS(L$20:L2619))))</f>
        <v/>
      </c>
      <c r="I2619" s="4" t="str">
        <f t="array" ref="I2619">IF(ROWS(M$20:M2619)&gt;$F$6,"",INDEX(C$2:C$10000,SMALL(IF(ISNUMBER(MATCH($B$2:$B$10000,$E$6:$E$22,0)),ROW($C$2:$C$10000)-ROW($C$2)+1),ROWS(M$20:M2619))))</f>
        <v/>
      </c>
      <c r="K2619" s="7" t="str">
        <f t="array" ref="K2619">IF(ROWS(K$20:K2619)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2619))))</f>
        <v/>
      </c>
      <c r="L2619" s="4" t="str">
        <f t="array" ref="L2619">IF(ROWS(L$20:L2619)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2619))))</f>
        <v/>
      </c>
      <c r="M2619" s="4" t="str">
        <f t="array" ref="M2619">IF(ROWS(M$20:M2619)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2619))))</f>
        <v/>
      </c>
    </row>
    <row r="2620" spans="1:13" x14ac:dyDescent="0.25">
      <c r="A2620" s="3">
        <v>41637</v>
      </c>
      <c r="B2620" s="2" t="s">
        <v>16</v>
      </c>
      <c r="C2620" s="2">
        <v>20</v>
      </c>
      <c r="G2620" s="7" t="str">
        <f t="array" ref="G2620">IF(ROWS(K$20:K2620)&gt;$F$6,"",INDEX(A$2:A$10000,SMALL(IF(ISNUMBER(MATCH($B$2:$B$10000,$E$6:$E$22,0)),ROW($C$2:$C$10000)-ROW($C$2)+1),ROWS(K$20:K2620))))</f>
        <v/>
      </c>
      <c r="H2620" s="4" t="str">
        <f t="array" ref="H2620">IF(ROWS(L$20:L2620)&gt;$F$6,"",INDEX(B$2:B$10000,SMALL(IF(ISNUMBER(MATCH($B$2:$B$10000,$E$6:$E$22,0)),ROW($C$2:$C$10000)-ROW($C$2)+1),ROWS(L$20:L2620))))</f>
        <v/>
      </c>
      <c r="I2620" s="4" t="str">
        <f t="array" ref="I2620">IF(ROWS(M$20:M2620)&gt;$F$6,"",INDEX(C$2:C$10000,SMALL(IF(ISNUMBER(MATCH($B$2:$B$10000,$E$6:$E$22,0)),ROW($C$2:$C$10000)-ROW($C$2)+1),ROWS(M$20:M2620))))</f>
        <v/>
      </c>
      <c r="K2620" s="7" t="str">
        <f t="array" ref="K2620">IF(ROWS(K$20:K2620)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2620))))</f>
        <v/>
      </c>
      <c r="L2620" s="4" t="str">
        <f t="array" ref="L2620">IF(ROWS(L$20:L2620)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2620))))</f>
        <v/>
      </c>
      <c r="M2620" s="4" t="str">
        <f t="array" ref="M2620">IF(ROWS(M$20:M2620)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2620))))</f>
        <v/>
      </c>
    </row>
    <row r="2621" spans="1:13" x14ac:dyDescent="0.25">
      <c r="A2621" s="3">
        <v>41782</v>
      </c>
      <c r="B2621" s="2" t="s">
        <v>49</v>
      </c>
      <c r="C2621" s="2">
        <v>24</v>
      </c>
      <c r="G2621" s="7" t="str">
        <f t="array" ref="G2621">IF(ROWS(K$20:K2621)&gt;$F$6,"",INDEX(A$2:A$10000,SMALL(IF(ISNUMBER(MATCH($B$2:$B$10000,$E$6:$E$22,0)),ROW($C$2:$C$10000)-ROW($C$2)+1),ROWS(K$20:K2621))))</f>
        <v/>
      </c>
      <c r="H2621" s="4" t="str">
        <f t="array" ref="H2621">IF(ROWS(L$20:L2621)&gt;$F$6,"",INDEX(B$2:B$10000,SMALL(IF(ISNUMBER(MATCH($B$2:$B$10000,$E$6:$E$22,0)),ROW($C$2:$C$10000)-ROW($C$2)+1),ROWS(L$20:L2621))))</f>
        <v/>
      </c>
      <c r="I2621" s="4" t="str">
        <f t="array" ref="I2621">IF(ROWS(M$20:M2621)&gt;$F$6,"",INDEX(C$2:C$10000,SMALL(IF(ISNUMBER(MATCH($B$2:$B$10000,$E$6:$E$22,0)),ROW($C$2:$C$10000)-ROW($C$2)+1),ROWS(M$20:M2621))))</f>
        <v/>
      </c>
      <c r="K2621" s="7" t="str">
        <f t="array" ref="K2621">IF(ROWS(K$20:K2621)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2621))))</f>
        <v/>
      </c>
      <c r="L2621" s="4" t="str">
        <f t="array" ref="L2621">IF(ROWS(L$20:L2621)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2621))))</f>
        <v/>
      </c>
      <c r="M2621" s="4" t="str">
        <f t="array" ref="M2621">IF(ROWS(M$20:M2621)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2621))))</f>
        <v/>
      </c>
    </row>
    <row r="2622" spans="1:13" x14ac:dyDescent="0.25">
      <c r="A2622" s="3">
        <v>41984</v>
      </c>
      <c r="B2622" s="2" t="s">
        <v>18</v>
      </c>
      <c r="C2622" s="2">
        <v>11</v>
      </c>
      <c r="G2622" s="7" t="str">
        <f t="array" ref="G2622">IF(ROWS(K$20:K2622)&gt;$F$6,"",INDEX(A$2:A$10000,SMALL(IF(ISNUMBER(MATCH($B$2:$B$10000,$E$6:$E$22,0)),ROW($C$2:$C$10000)-ROW($C$2)+1),ROWS(K$20:K2622))))</f>
        <v/>
      </c>
      <c r="H2622" s="4" t="str">
        <f t="array" ref="H2622">IF(ROWS(L$20:L2622)&gt;$F$6,"",INDEX(B$2:B$10000,SMALL(IF(ISNUMBER(MATCH($B$2:$B$10000,$E$6:$E$22,0)),ROW($C$2:$C$10000)-ROW($C$2)+1),ROWS(L$20:L2622))))</f>
        <v/>
      </c>
      <c r="I2622" s="4" t="str">
        <f t="array" ref="I2622">IF(ROWS(M$20:M2622)&gt;$F$6,"",INDEX(C$2:C$10000,SMALL(IF(ISNUMBER(MATCH($B$2:$B$10000,$E$6:$E$22,0)),ROW($C$2:$C$10000)-ROW($C$2)+1),ROWS(M$20:M2622))))</f>
        <v/>
      </c>
      <c r="K2622" s="7" t="str">
        <f t="array" ref="K2622">IF(ROWS(K$20:K2622)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2622))))</f>
        <v/>
      </c>
      <c r="L2622" s="4" t="str">
        <f t="array" ref="L2622">IF(ROWS(L$20:L2622)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2622))))</f>
        <v/>
      </c>
      <c r="M2622" s="4" t="str">
        <f t="array" ref="M2622">IF(ROWS(M$20:M2622)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2622))))</f>
        <v/>
      </c>
    </row>
    <row r="2623" spans="1:13" x14ac:dyDescent="0.25">
      <c r="A2623" s="3">
        <v>41335</v>
      </c>
      <c r="B2623" s="2" t="s">
        <v>23</v>
      </c>
      <c r="C2623" s="2">
        <v>34</v>
      </c>
      <c r="G2623" s="7" t="str">
        <f t="array" ref="G2623">IF(ROWS(K$20:K2623)&gt;$F$6,"",INDEX(A$2:A$10000,SMALL(IF(ISNUMBER(MATCH($B$2:$B$10000,$E$6:$E$22,0)),ROW($C$2:$C$10000)-ROW($C$2)+1),ROWS(K$20:K2623))))</f>
        <v/>
      </c>
      <c r="H2623" s="4" t="str">
        <f t="array" ref="H2623">IF(ROWS(L$20:L2623)&gt;$F$6,"",INDEX(B$2:B$10000,SMALL(IF(ISNUMBER(MATCH($B$2:$B$10000,$E$6:$E$22,0)),ROW($C$2:$C$10000)-ROW($C$2)+1),ROWS(L$20:L2623))))</f>
        <v/>
      </c>
      <c r="I2623" s="4" t="str">
        <f t="array" ref="I2623">IF(ROWS(M$20:M2623)&gt;$F$6,"",INDEX(C$2:C$10000,SMALL(IF(ISNUMBER(MATCH($B$2:$B$10000,$E$6:$E$22,0)),ROW($C$2:$C$10000)-ROW($C$2)+1),ROWS(M$20:M2623))))</f>
        <v/>
      </c>
      <c r="K2623" s="7" t="str">
        <f t="array" ref="K2623">IF(ROWS(K$20:K2623)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2623))))</f>
        <v/>
      </c>
      <c r="L2623" s="4" t="str">
        <f t="array" ref="L2623">IF(ROWS(L$20:L2623)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2623))))</f>
        <v/>
      </c>
      <c r="M2623" s="4" t="str">
        <f t="array" ref="M2623">IF(ROWS(M$20:M2623)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2623))))</f>
        <v/>
      </c>
    </row>
    <row r="2624" spans="1:13" x14ac:dyDescent="0.25">
      <c r="A2624" s="3">
        <v>41572</v>
      </c>
      <c r="B2624" s="2" t="s">
        <v>24</v>
      </c>
      <c r="C2624" s="2">
        <v>33</v>
      </c>
      <c r="G2624" s="7" t="str">
        <f t="array" ref="G2624">IF(ROWS(K$20:K2624)&gt;$F$6,"",INDEX(A$2:A$10000,SMALL(IF(ISNUMBER(MATCH($B$2:$B$10000,$E$6:$E$22,0)),ROW($C$2:$C$10000)-ROW($C$2)+1),ROWS(K$20:K2624))))</f>
        <v/>
      </c>
      <c r="H2624" s="4" t="str">
        <f t="array" ref="H2624">IF(ROWS(L$20:L2624)&gt;$F$6,"",INDEX(B$2:B$10000,SMALL(IF(ISNUMBER(MATCH($B$2:$B$10000,$E$6:$E$22,0)),ROW($C$2:$C$10000)-ROW($C$2)+1),ROWS(L$20:L2624))))</f>
        <v/>
      </c>
      <c r="I2624" s="4" t="str">
        <f t="array" ref="I2624">IF(ROWS(M$20:M2624)&gt;$F$6,"",INDEX(C$2:C$10000,SMALL(IF(ISNUMBER(MATCH($B$2:$B$10000,$E$6:$E$22,0)),ROW($C$2:$C$10000)-ROW($C$2)+1),ROWS(M$20:M2624))))</f>
        <v/>
      </c>
      <c r="K2624" s="7" t="str">
        <f t="array" ref="K2624">IF(ROWS(K$20:K2624)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2624))))</f>
        <v/>
      </c>
      <c r="L2624" s="4" t="str">
        <f t="array" ref="L2624">IF(ROWS(L$20:L2624)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2624))))</f>
        <v/>
      </c>
      <c r="M2624" s="4" t="str">
        <f t="array" ref="M2624">IF(ROWS(M$20:M2624)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2624))))</f>
        <v/>
      </c>
    </row>
    <row r="2625" spans="1:13" x14ac:dyDescent="0.25">
      <c r="A2625" s="3">
        <v>41327</v>
      </c>
      <c r="B2625" s="2" t="s">
        <v>29</v>
      </c>
      <c r="C2625" s="2">
        <v>40</v>
      </c>
      <c r="G2625" s="7" t="str">
        <f t="array" ref="G2625">IF(ROWS(K$20:K2625)&gt;$F$6,"",INDEX(A$2:A$10000,SMALL(IF(ISNUMBER(MATCH($B$2:$B$10000,$E$6:$E$22,0)),ROW($C$2:$C$10000)-ROW($C$2)+1),ROWS(K$20:K2625))))</f>
        <v/>
      </c>
      <c r="H2625" s="4" t="str">
        <f t="array" ref="H2625">IF(ROWS(L$20:L2625)&gt;$F$6,"",INDEX(B$2:B$10000,SMALL(IF(ISNUMBER(MATCH($B$2:$B$10000,$E$6:$E$22,0)),ROW($C$2:$C$10000)-ROW($C$2)+1),ROWS(L$20:L2625))))</f>
        <v/>
      </c>
      <c r="I2625" s="4" t="str">
        <f t="array" ref="I2625">IF(ROWS(M$20:M2625)&gt;$F$6,"",INDEX(C$2:C$10000,SMALL(IF(ISNUMBER(MATCH($B$2:$B$10000,$E$6:$E$22,0)),ROW($C$2:$C$10000)-ROW($C$2)+1),ROWS(M$20:M2625))))</f>
        <v/>
      </c>
      <c r="K2625" s="7" t="str">
        <f t="array" ref="K2625">IF(ROWS(K$20:K2625)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2625))))</f>
        <v/>
      </c>
      <c r="L2625" s="4" t="str">
        <f t="array" ref="L2625">IF(ROWS(L$20:L2625)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2625))))</f>
        <v/>
      </c>
      <c r="M2625" s="4" t="str">
        <f t="array" ref="M2625">IF(ROWS(M$20:M2625)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2625))))</f>
        <v/>
      </c>
    </row>
    <row r="2626" spans="1:13" x14ac:dyDescent="0.25">
      <c r="A2626" s="3">
        <v>41692</v>
      </c>
      <c r="B2626" s="2" t="s">
        <v>35</v>
      </c>
      <c r="C2626" s="2">
        <v>9</v>
      </c>
      <c r="G2626" s="7" t="str">
        <f t="array" ref="G2626">IF(ROWS(K$20:K2626)&gt;$F$6,"",INDEX(A$2:A$10000,SMALL(IF(ISNUMBER(MATCH($B$2:$B$10000,$E$6:$E$22,0)),ROW($C$2:$C$10000)-ROW($C$2)+1),ROWS(K$20:K2626))))</f>
        <v/>
      </c>
      <c r="H2626" s="4" t="str">
        <f t="array" ref="H2626">IF(ROWS(L$20:L2626)&gt;$F$6,"",INDEX(B$2:B$10000,SMALL(IF(ISNUMBER(MATCH($B$2:$B$10000,$E$6:$E$22,0)),ROW($C$2:$C$10000)-ROW($C$2)+1),ROWS(L$20:L2626))))</f>
        <v/>
      </c>
      <c r="I2626" s="4" t="str">
        <f t="array" ref="I2626">IF(ROWS(M$20:M2626)&gt;$F$6,"",INDEX(C$2:C$10000,SMALL(IF(ISNUMBER(MATCH($B$2:$B$10000,$E$6:$E$22,0)),ROW($C$2:$C$10000)-ROW($C$2)+1),ROWS(M$20:M2626))))</f>
        <v/>
      </c>
      <c r="K2626" s="7" t="str">
        <f t="array" ref="K2626">IF(ROWS(K$20:K2626)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2626))))</f>
        <v/>
      </c>
      <c r="L2626" s="4" t="str">
        <f t="array" ref="L2626">IF(ROWS(L$20:L2626)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2626))))</f>
        <v/>
      </c>
      <c r="M2626" s="4" t="str">
        <f t="array" ref="M2626">IF(ROWS(M$20:M2626)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2626))))</f>
        <v/>
      </c>
    </row>
    <row r="2627" spans="1:13" x14ac:dyDescent="0.25">
      <c r="A2627" s="3">
        <v>41719</v>
      </c>
      <c r="B2627" s="2" t="s">
        <v>36</v>
      </c>
      <c r="C2627" s="2">
        <v>48</v>
      </c>
      <c r="G2627" s="7" t="str">
        <f t="array" ref="G2627">IF(ROWS(K$20:K2627)&gt;$F$6,"",INDEX(A$2:A$10000,SMALL(IF(ISNUMBER(MATCH($B$2:$B$10000,$E$6:$E$22,0)),ROW($C$2:$C$10000)-ROW($C$2)+1),ROWS(K$20:K2627))))</f>
        <v/>
      </c>
      <c r="H2627" s="4" t="str">
        <f t="array" ref="H2627">IF(ROWS(L$20:L2627)&gt;$F$6,"",INDEX(B$2:B$10000,SMALL(IF(ISNUMBER(MATCH($B$2:$B$10000,$E$6:$E$22,0)),ROW($C$2:$C$10000)-ROW($C$2)+1),ROWS(L$20:L2627))))</f>
        <v/>
      </c>
      <c r="I2627" s="4" t="str">
        <f t="array" ref="I2627">IF(ROWS(M$20:M2627)&gt;$F$6,"",INDEX(C$2:C$10000,SMALL(IF(ISNUMBER(MATCH($B$2:$B$10000,$E$6:$E$22,0)),ROW($C$2:$C$10000)-ROW($C$2)+1),ROWS(M$20:M2627))))</f>
        <v/>
      </c>
      <c r="K2627" s="7" t="str">
        <f t="array" ref="K2627">IF(ROWS(K$20:K2627)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2627))))</f>
        <v/>
      </c>
      <c r="L2627" s="4" t="str">
        <f t="array" ref="L2627">IF(ROWS(L$20:L2627)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2627))))</f>
        <v/>
      </c>
      <c r="M2627" s="4" t="str">
        <f t="array" ref="M2627">IF(ROWS(M$20:M2627)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2627))))</f>
        <v/>
      </c>
    </row>
    <row r="2628" spans="1:13" x14ac:dyDescent="0.25">
      <c r="A2628" s="3">
        <v>41319</v>
      </c>
      <c r="B2628" s="2" t="s">
        <v>8</v>
      </c>
      <c r="C2628" s="2">
        <v>19</v>
      </c>
      <c r="G2628" s="7" t="str">
        <f t="array" ref="G2628">IF(ROWS(K$20:K2628)&gt;$F$6,"",INDEX(A$2:A$10000,SMALL(IF(ISNUMBER(MATCH($B$2:$B$10000,$E$6:$E$22,0)),ROW($C$2:$C$10000)-ROW($C$2)+1),ROWS(K$20:K2628))))</f>
        <v/>
      </c>
      <c r="H2628" s="4" t="str">
        <f t="array" ref="H2628">IF(ROWS(L$20:L2628)&gt;$F$6,"",INDEX(B$2:B$10000,SMALL(IF(ISNUMBER(MATCH($B$2:$B$10000,$E$6:$E$22,0)),ROW($C$2:$C$10000)-ROW($C$2)+1),ROWS(L$20:L2628))))</f>
        <v/>
      </c>
      <c r="I2628" s="4" t="str">
        <f t="array" ref="I2628">IF(ROWS(M$20:M2628)&gt;$F$6,"",INDEX(C$2:C$10000,SMALL(IF(ISNUMBER(MATCH($B$2:$B$10000,$E$6:$E$22,0)),ROW($C$2:$C$10000)-ROW($C$2)+1),ROWS(M$20:M2628))))</f>
        <v/>
      </c>
      <c r="K2628" s="7" t="str">
        <f t="array" ref="K2628">IF(ROWS(K$20:K2628)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2628))))</f>
        <v/>
      </c>
      <c r="L2628" s="4" t="str">
        <f t="array" ref="L2628">IF(ROWS(L$20:L2628)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2628))))</f>
        <v/>
      </c>
      <c r="M2628" s="4" t="str">
        <f t="array" ref="M2628">IF(ROWS(M$20:M2628)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2628))))</f>
        <v/>
      </c>
    </row>
    <row r="2629" spans="1:13" x14ac:dyDescent="0.25">
      <c r="A2629" s="3">
        <v>41718</v>
      </c>
      <c r="B2629" s="2" t="s">
        <v>20</v>
      </c>
      <c r="C2629" s="2">
        <v>32</v>
      </c>
      <c r="G2629" s="7" t="str">
        <f t="array" ref="G2629">IF(ROWS(K$20:K2629)&gt;$F$6,"",INDEX(A$2:A$10000,SMALL(IF(ISNUMBER(MATCH($B$2:$B$10000,$E$6:$E$22,0)),ROW($C$2:$C$10000)-ROW($C$2)+1),ROWS(K$20:K2629))))</f>
        <v/>
      </c>
      <c r="H2629" s="4" t="str">
        <f t="array" ref="H2629">IF(ROWS(L$20:L2629)&gt;$F$6,"",INDEX(B$2:B$10000,SMALL(IF(ISNUMBER(MATCH($B$2:$B$10000,$E$6:$E$22,0)),ROW($C$2:$C$10000)-ROW($C$2)+1),ROWS(L$20:L2629))))</f>
        <v/>
      </c>
      <c r="I2629" s="4" t="str">
        <f t="array" ref="I2629">IF(ROWS(M$20:M2629)&gt;$F$6,"",INDEX(C$2:C$10000,SMALL(IF(ISNUMBER(MATCH($B$2:$B$10000,$E$6:$E$22,0)),ROW($C$2:$C$10000)-ROW($C$2)+1),ROWS(M$20:M2629))))</f>
        <v/>
      </c>
      <c r="K2629" s="7" t="str">
        <f t="array" ref="K2629">IF(ROWS(K$20:K2629)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2629))))</f>
        <v/>
      </c>
      <c r="L2629" s="4" t="str">
        <f t="array" ref="L2629">IF(ROWS(L$20:L2629)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2629))))</f>
        <v/>
      </c>
      <c r="M2629" s="4" t="str">
        <f t="array" ref="M2629">IF(ROWS(M$20:M2629)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2629))))</f>
        <v/>
      </c>
    </row>
    <row r="2630" spans="1:13" x14ac:dyDescent="0.25">
      <c r="A2630" s="3">
        <v>41466</v>
      </c>
      <c r="B2630" s="2" t="s">
        <v>5</v>
      </c>
      <c r="C2630" s="2">
        <v>11</v>
      </c>
      <c r="G2630" s="7" t="str">
        <f t="array" ref="G2630">IF(ROWS(K$20:K2630)&gt;$F$6,"",INDEX(A$2:A$10000,SMALL(IF(ISNUMBER(MATCH($B$2:$B$10000,$E$6:$E$22,0)),ROW($C$2:$C$10000)-ROW($C$2)+1),ROWS(K$20:K2630))))</f>
        <v/>
      </c>
      <c r="H2630" s="4" t="str">
        <f t="array" ref="H2630">IF(ROWS(L$20:L2630)&gt;$F$6,"",INDEX(B$2:B$10000,SMALL(IF(ISNUMBER(MATCH($B$2:$B$10000,$E$6:$E$22,0)),ROW($C$2:$C$10000)-ROW($C$2)+1),ROWS(L$20:L2630))))</f>
        <v/>
      </c>
      <c r="I2630" s="4" t="str">
        <f t="array" ref="I2630">IF(ROWS(M$20:M2630)&gt;$F$6,"",INDEX(C$2:C$10000,SMALL(IF(ISNUMBER(MATCH($B$2:$B$10000,$E$6:$E$22,0)),ROW($C$2:$C$10000)-ROW($C$2)+1),ROWS(M$20:M2630))))</f>
        <v/>
      </c>
      <c r="K2630" s="7" t="str">
        <f t="array" ref="K2630">IF(ROWS(K$20:K2630)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2630))))</f>
        <v/>
      </c>
      <c r="L2630" s="4" t="str">
        <f t="array" ref="L2630">IF(ROWS(L$20:L2630)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2630))))</f>
        <v/>
      </c>
      <c r="M2630" s="4" t="str">
        <f t="array" ref="M2630">IF(ROWS(M$20:M2630)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2630))))</f>
        <v/>
      </c>
    </row>
    <row r="2631" spans="1:13" x14ac:dyDescent="0.25">
      <c r="A2631" s="3">
        <v>41416</v>
      </c>
      <c r="B2631" s="2" t="s">
        <v>42</v>
      </c>
      <c r="C2631" s="2">
        <v>44</v>
      </c>
      <c r="G2631" s="7" t="str">
        <f t="array" ref="G2631">IF(ROWS(K$20:K2631)&gt;$F$6,"",INDEX(A$2:A$10000,SMALL(IF(ISNUMBER(MATCH($B$2:$B$10000,$E$6:$E$22,0)),ROW($C$2:$C$10000)-ROW($C$2)+1),ROWS(K$20:K2631))))</f>
        <v/>
      </c>
      <c r="H2631" s="4" t="str">
        <f t="array" ref="H2631">IF(ROWS(L$20:L2631)&gt;$F$6,"",INDEX(B$2:B$10000,SMALL(IF(ISNUMBER(MATCH($B$2:$B$10000,$E$6:$E$22,0)),ROW($C$2:$C$10000)-ROW($C$2)+1),ROWS(L$20:L2631))))</f>
        <v/>
      </c>
      <c r="I2631" s="4" t="str">
        <f t="array" ref="I2631">IF(ROWS(M$20:M2631)&gt;$F$6,"",INDEX(C$2:C$10000,SMALL(IF(ISNUMBER(MATCH($B$2:$B$10000,$E$6:$E$22,0)),ROW($C$2:$C$10000)-ROW($C$2)+1),ROWS(M$20:M2631))))</f>
        <v/>
      </c>
      <c r="K2631" s="7" t="str">
        <f t="array" ref="K2631">IF(ROWS(K$20:K2631)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2631))))</f>
        <v/>
      </c>
      <c r="L2631" s="4" t="str">
        <f t="array" ref="L2631">IF(ROWS(L$20:L2631)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2631))))</f>
        <v/>
      </c>
      <c r="M2631" s="4" t="str">
        <f t="array" ref="M2631">IF(ROWS(M$20:M2631)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2631))))</f>
        <v/>
      </c>
    </row>
    <row r="2632" spans="1:13" x14ac:dyDescent="0.25">
      <c r="A2632" s="3">
        <v>41529</v>
      </c>
      <c r="B2632" s="2" t="s">
        <v>36</v>
      </c>
      <c r="C2632" s="2">
        <v>25</v>
      </c>
      <c r="G2632" s="7" t="str">
        <f t="array" ref="G2632">IF(ROWS(K$20:K2632)&gt;$F$6,"",INDEX(A$2:A$10000,SMALL(IF(ISNUMBER(MATCH($B$2:$B$10000,$E$6:$E$22,0)),ROW($C$2:$C$10000)-ROW($C$2)+1),ROWS(K$20:K2632))))</f>
        <v/>
      </c>
      <c r="H2632" s="4" t="str">
        <f t="array" ref="H2632">IF(ROWS(L$20:L2632)&gt;$F$6,"",INDEX(B$2:B$10000,SMALL(IF(ISNUMBER(MATCH($B$2:$B$10000,$E$6:$E$22,0)),ROW($C$2:$C$10000)-ROW($C$2)+1),ROWS(L$20:L2632))))</f>
        <v/>
      </c>
      <c r="I2632" s="4" t="str">
        <f t="array" ref="I2632">IF(ROWS(M$20:M2632)&gt;$F$6,"",INDEX(C$2:C$10000,SMALL(IF(ISNUMBER(MATCH($B$2:$B$10000,$E$6:$E$22,0)),ROW($C$2:$C$10000)-ROW($C$2)+1),ROWS(M$20:M2632))))</f>
        <v/>
      </c>
      <c r="K2632" s="7" t="str">
        <f t="array" ref="K2632">IF(ROWS(K$20:K2632)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2632))))</f>
        <v/>
      </c>
      <c r="L2632" s="4" t="str">
        <f t="array" ref="L2632">IF(ROWS(L$20:L2632)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2632))))</f>
        <v/>
      </c>
      <c r="M2632" s="4" t="str">
        <f t="array" ref="M2632">IF(ROWS(M$20:M2632)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2632))))</f>
        <v/>
      </c>
    </row>
    <row r="2633" spans="1:13" x14ac:dyDescent="0.25">
      <c r="A2633" s="3">
        <v>41684</v>
      </c>
      <c r="B2633" s="2" t="s">
        <v>6</v>
      </c>
      <c r="C2633" s="2">
        <v>48</v>
      </c>
      <c r="G2633" s="7" t="str">
        <f t="array" ref="G2633">IF(ROWS(K$20:K2633)&gt;$F$6,"",INDEX(A$2:A$10000,SMALL(IF(ISNUMBER(MATCH($B$2:$B$10000,$E$6:$E$22,0)),ROW($C$2:$C$10000)-ROW($C$2)+1),ROWS(K$20:K2633))))</f>
        <v/>
      </c>
      <c r="H2633" s="4" t="str">
        <f t="array" ref="H2633">IF(ROWS(L$20:L2633)&gt;$F$6,"",INDEX(B$2:B$10000,SMALL(IF(ISNUMBER(MATCH($B$2:$B$10000,$E$6:$E$22,0)),ROW($C$2:$C$10000)-ROW($C$2)+1),ROWS(L$20:L2633))))</f>
        <v/>
      </c>
      <c r="I2633" s="4" t="str">
        <f t="array" ref="I2633">IF(ROWS(M$20:M2633)&gt;$F$6,"",INDEX(C$2:C$10000,SMALL(IF(ISNUMBER(MATCH($B$2:$B$10000,$E$6:$E$22,0)),ROW($C$2:$C$10000)-ROW($C$2)+1),ROWS(M$20:M2633))))</f>
        <v/>
      </c>
      <c r="K2633" s="7" t="str">
        <f t="array" ref="K2633">IF(ROWS(K$20:K2633)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2633))))</f>
        <v/>
      </c>
      <c r="L2633" s="4" t="str">
        <f t="array" ref="L2633">IF(ROWS(L$20:L2633)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2633))))</f>
        <v/>
      </c>
      <c r="M2633" s="4" t="str">
        <f t="array" ref="M2633">IF(ROWS(M$20:M2633)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2633))))</f>
        <v/>
      </c>
    </row>
    <row r="2634" spans="1:13" x14ac:dyDescent="0.25">
      <c r="A2634" s="3">
        <v>41546</v>
      </c>
      <c r="B2634" s="2" t="s">
        <v>42</v>
      </c>
      <c r="C2634" s="2">
        <v>18</v>
      </c>
      <c r="G2634" s="7" t="str">
        <f t="array" ref="G2634">IF(ROWS(K$20:K2634)&gt;$F$6,"",INDEX(A$2:A$10000,SMALL(IF(ISNUMBER(MATCH($B$2:$B$10000,$E$6:$E$22,0)),ROW($C$2:$C$10000)-ROW($C$2)+1),ROWS(K$20:K2634))))</f>
        <v/>
      </c>
      <c r="H2634" s="4" t="str">
        <f t="array" ref="H2634">IF(ROWS(L$20:L2634)&gt;$F$6,"",INDEX(B$2:B$10000,SMALL(IF(ISNUMBER(MATCH($B$2:$B$10000,$E$6:$E$22,0)),ROW($C$2:$C$10000)-ROW($C$2)+1),ROWS(L$20:L2634))))</f>
        <v/>
      </c>
      <c r="I2634" s="4" t="str">
        <f t="array" ref="I2634">IF(ROWS(M$20:M2634)&gt;$F$6,"",INDEX(C$2:C$10000,SMALL(IF(ISNUMBER(MATCH($B$2:$B$10000,$E$6:$E$22,0)),ROW($C$2:$C$10000)-ROW($C$2)+1),ROWS(M$20:M2634))))</f>
        <v/>
      </c>
      <c r="K2634" s="7" t="str">
        <f t="array" ref="K2634">IF(ROWS(K$20:K2634)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2634))))</f>
        <v/>
      </c>
      <c r="L2634" s="4" t="str">
        <f t="array" ref="L2634">IF(ROWS(L$20:L2634)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2634))))</f>
        <v/>
      </c>
      <c r="M2634" s="4" t="str">
        <f t="array" ref="M2634">IF(ROWS(M$20:M2634)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2634))))</f>
        <v/>
      </c>
    </row>
    <row r="2635" spans="1:13" x14ac:dyDescent="0.25">
      <c r="A2635" s="3">
        <v>41345</v>
      </c>
      <c r="B2635" s="2" t="s">
        <v>40</v>
      </c>
      <c r="C2635" s="2">
        <v>49</v>
      </c>
      <c r="G2635" s="7" t="str">
        <f t="array" ref="G2635">IF(ROWS(K$20:K2635)&gt;$F$6,"",INDEX(A$2:A$10000,SMALL(IF(ISNUMBER(MATCH($B$2:$B$10000,$E$6:$E$22,0)),ROW($C$2:$C$10000)-ROW($C$2)+1),ROWS(K$20:K2635))))</f>
        <v/>
      </c>
      <c r="H2635" s="4" t="str">
        <f t="array" ref="H2635">IF(ROWS(L$20:L2635)&gt;$F$6,"",INDEX(B$2:B$10000,SMALL(IF(ISNUMBER(MATCH($B$2:$B$10000,$E$6:$E$22,0)),ROW($C$2:$C$10000)-ROW($C$2)+1),ROWS(L$20:L2635))))</f>
        <v/>
      </c>
      <c r="I2635" s="4" t="str">
        <f t="array" ref="I2635">IF(ROWS(M$20:M2635)&gt;$F$6,"",INDEX(C$2:C$10000,SMALL(IF(ISNUMBER(MATCH($B$2:$B$10000,$E$6:$E$22,0)),ROW($C$2:$C$10000)-ROW($C$2)+1),ROWS(M$20:M2635))))</f>
        <v/>
      </c>
      <c r="K2635" s="7" t="str">
        <f t="array" ref="K2635">IF(ROWS(K$20:K2635)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2635))))</f>
        <v/>
      </c>
      <c r="L2635" s="4" t="str">
        <f t="array" ref="L2635">IF(ROWS(L$20:L2635)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2635))))</f>
        <v/>
      </c>
      <c r="M2635" s="4" t="str">
        <f t="array" ref="M2635">IF(ROWS(M$20:M2635)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2635))))</f>
        <v/>
      </c>
    </row>
    <row r="2636" spans="1:13" x14ac:dyDescent="0.25">
      <c r="A2636" s="3">
        <v>41473</v>
      </c>
      <c r="B2636" s="2" t="s">
        <v>40</v>
      </c>
      <c r="C2636" s="2">
        <v>15</v>
      </c>
      <c r="G2636" s="7" t="str">
        <f t="array" ref="G2636">IF(ROWS(K$20:K2636)&gt;$F$6,"",INDEX(A$2:A$10000,SMALL(IF(ISNUMBER(MATCH($B$2:$B$10000,$E$6:$E$22,0)),ROW($C$2:$C$10000)-ROW($C$2)+1),ROWS(K$20:K2636))))</f>
        <v/>
      </c>
      <c r="H2636" s="4" t="str">
        <f t="array" ref="H2636">IF(ROWS(L$20:L2636)&gt;$F$6,"",INDEX(B$2:B$10000,SMALL(IF(ISNUMBER(MATCH($B$2:$B$10000,$E$6:$E$22,0)),ROW($C$2:$C$10000)-ROW($C$2)+1),ROWS(L$20:L2636))))</f>
        <v/>
      </c>
      <c r="I2636" s="4" t="str">
        <f t="array" ref="I2636">IF(ROWS(M$20:M2636)&gt;$F$6,"",INDEX(C$2:C$10000,SMALL(IF(ISNUMBER(MATCH($B$2:$B$10000,$E$6:$E$22,0)),ROW($C$2:$C$10000)-ROW($C$2)+1),ROWS(M$20:M2636))))</f>
        <v/>
      </c>
      <c r="K2636" s="7" t="str">
        <f t="array" ref="K2636">IF(ROWS(K$20:K2636)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2636))))</f>
        <v/>
      </c>
      <c r="L2636" s="4" t="str">
        <f t="array" ref="L2636">IF(ROWS(L$20:L2636)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2636))))</f>
        <v/>
      </c>
      <c r="M2636" s="4" t="str">
        <f t="array" ref="M2636">IF(ROWS(M$20:M2636)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2636))))</f>
        <v/>
      </c>
    </row>
    <row r="2637" spans="1:13" x14ac:dyDescent="0.25">
      <c r="A2637" s="3">
        <v>41419</v>
      </c>
      <c r="B2637" s="2" t="s">
        <v>46</v>
      </c>
      <c r="C2637" s="2">
        <v>12</v>
      </c>
      <c r="G2637" s="7" t="str">
        <f t="array" ref="G2637">IF(ROWS(K$20:K2637)&gt;$F$6,"",INDEX(A$2:A$10000,SMALL(IF(ISNUMBER(MATCH($B$2:$B$10000,$E$6:$E$22,0)),ROW($C$2:$C$10000)-ROW($C$2)+1),ROWS(K$20:K2637))))</f>
        <v/>
      </c>
      <c r="H2637" s="4" t="str">
        <f t="array" ref="H2637">IF(ROWS(L$20:L2637)&gt;$F$6,"",INDEX(B$2:B$10000,SMALL(IF(ISNUMBER(MATCH($B$2:$B$10000,$E$6:$E$22,0)),ROW($C$2:$C$10000)-ROW($C$2)+1),ROWS(L$20:L2637))))</f>
        <v/>
      </c>
      <c r="I2637" s="4" t="str">
        <f t="array" ref="I2637">IF(ROWS(M$20:M2637)&gt;$F$6,"",INDEX(C$2:C$10000,SMALL(IF(ISNUMBER(MATCH($B$2:$B$10000,$E$6:$E$22,0)),ROW($C$2:$C$10000)-ROW($C$2)+1),ROWS(M$20:M2637))))</f>
        <v/>
      </c>
      <c r="K2637" s="7" t="str">
        <f t="array" ref="K2637">IF(ROWS(K$20:K2637)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2637))))</f>
        <v/>
      </c>
      <c r="L2637" s="4" t="str">
        <f t="array" ref="L2637">IF(ROWS(L$20:L2637)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2637))))</f>
        <v/>
      </c>
      <c r="M2637" s="4" t="str">
        <f t="array" ref="M2637">IF(ROWS(M$20:M2637)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2637))))</f>
        <v/>
      </c>
    </row>
    <row r="2638" spans="1:13" x14ac:dyDescent="0.25">
      <c r="A2638" s="3">
        <v>41857</v>
      </c>
      <c r="B2638" s="2" t="s">
        <v>47</v>
      </c>
      <c r="C2638" s="2">
        <v>29</v>
      </c>
      <c r="G2638" s="7" t="str">
        <f t="array" ref="G2638">IF(ROWS(K$20:K2638)&gt;$F$6,"",INDEX(A$2:A$10000,SMALL(IF(ISNUMBER(MATCH($B$2:$B$10000,$E$6:$E$22,0)),ROW($C$2:$C$10000)-ROW($C$2)+1),ROWS(K$20:K2638))))</f>
        <v/>
      </c>
      <c r="H2638" s="4" t="str">
        <f t="array" ref="H2638">IF(ROWS(L$20:L2638)&gt;$F$6,"",INDEX(B$2:B$10000,SMALL(IF(ISNUMBER(MATCH($B$2:$B$10000,$E$6:$E$22,0)),ROW($C$2:$C$10000)-ROW($C$2)+1),ROWS(L$20:L2638))))</f>
        <v/>
      </c>
      <c r="I2638" s="4" t="str">
        <f t="array" ref="I2638">IF(ROWS(M$20:M2638)&gt;$F$6,"",INDEX(C$2:C$10000,SMALL(IF(ISNUMBER(MATCH($B$2:$B$10000,$E$6:$E$22,0)),ROW($C$2:$C$10000)-ROW($C$2)+1),ROWS(M$20:M2638))))</f>
        <v/>
      </c>
      <c r="K2638" s="7" t="str">
        <f t="array" ref="K2638">IF(ROWS(K$20:K2638)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2638))))</f>
        <v/>
      </c>
      <c r="L2638" s="4" t="str">
        <f t="array" ref="L2638">IF(ROWS(L$20:L2638)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2638))))</f>
        <v/>
      </c>
      <c r="M2638" s="4" t="str">
        <f t="array" ref="M2638">IF(ROWS(M$20:M2638)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2638))))</f>
        <v/>
      </c>
    </row>
    <row r="2639" spans="1:13" x14ac:dyDescent="0.25">
      <c r="A2639" s="3">
        <v>41529</v>
      </c>
      <c r="B2639" s="2" t="s">
        <v>45</v>
      </c>
      <c r="C2639" s="2">
        <v>49</v>
      </c>
      <c r="G2639" s="7" t="str">
        <f t="array" ref="G2639">IF(ROWS(K$20:K2639)&gt;$F$6,"",INDEX(A$2:A$10000,SMALL(IF(ISNUMBER(MATCH($B$2:$B$10000,$E$6:$E$22,0)),ROW($C$2:$C$10000)-ROW($C$2)+1),ROWS(K$20:K2639))))</f>
        <v/>
      </c>
      <c r="H2639" s="4" t="str">
        <f t="array" ref="H2639">IF(ROWS(L$20:L2639)&gt;$F$6,"",INDEX(B$2:B$10000,SMALL(IF(ISNUMBER(MATCH($B$2:$B$10000,$E$6:$E$22,0)),ROW($C$2:$C$10000)-ROW($C$2)+1),ROWS(L$20:L2639))))</f>
        <v/>
      </c>
      <c r="I2639" s="4" t="str">
        <f t="array" ref="I2639">IF(ROWS(M$20:M2639)&gt;$F$6,"",INDEX(C$2:C$10000,SMALL(IF(ISNUMBER(MATCH($B$2:$B$10000,$E$6:$E$22,0)),ROW($C$2:$C$10000)-ROW($C$2)+1),ROWS(M$20:M2639))))</f>
        <v/>
      </c>
      <c r="K2639" s="7" t="str">
        <f t="array" ref="K2639">IF(ROWS(K$20:K2639)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2639))))</f>
        <v/>
      </c>
      <c r="L2639" s="4" t="str">
        <f t="array" ref="L2639">IF(ROWS(L$20:L2639)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2639))))</f>
        <v/>
      </c>
      <c r="M2639" s="4" t="str">
        <f t="array" ref="M2639">IF(ROWS(M$20:M2639)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2639))))</f>
        <v/>
      </c>
    </row>
    <row r="2640" spans="1:13" x14ac:dyDescent="0.25">
      <c r="A2640" s="3">
        <v>41339</v>
      </c>
      <c r="B2640" s="2" t="s">
        <v>11</v>
      </c>
      <c r="C2640" s="2">
        <v>48</v>
      </c>
      <c r="G2640" s="7" t="str">
        <f t="array" ref="G2640">IF(ROWS(K$20:K2640)&gt;$F$6,"",INDEX(A$2:A$10000,SMALL(IF(ISNUMBER(MATCH($B$2:$B$10000,$E$6:$E$22,0)),ROW($C$2:$C$10000)-ROW($C$2)+1),ROWS(K$20:K2640))))</f>
        <v/>
      </c>
      <c r="H2640" s="4" t="str">
        <f t="array" ref="H2640">IF(ROWS(L$20:L2640)&gt;$F$6,"",INDEX(B$2:B$10000,SMALL(IF(ISNUMBER(MATCH($B$2:$B$10000,$E$6:$E$22,0)),ROW($C$2:$C$10000)-ROW($C$2)+1),ROWS(L$20:L2640))))</f>
        <v/>
      </c>
      <c r="I2640" s="4" t="str">
        <f t="array" ref="I2640">IF(ROWS(M$20:M2640)&gt;$F$6,"",INDEX(C$2:C$10000,SMALL(IF(ISNUMBER(MATCH($B$2:$B$10000,$E$6:$E$22,0)),ROW($C$2:$C$10000)-ROW($C$2)+1),ROWS(M$20:M2640))))</f>
        <v/>
      </c>
      <c r="K2640" s="7" t="str">
        <f t="array" ref="K2640">IF(ROWS(K$20:K2640)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2640))))</f>
        <v/>
      </c>
      <c r="L2640" s="4" t="str">
        <f t="array" ref="L2640">IF(ROWS(L$20:L2640)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2640))))</f>
        <v/>
      </c>
      <c r="M2640" s="4" t="str">
        <f t="array" ref="M2640">IF(ROWS(M$20:M2640)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2640))))</f>
        <v/>
      </c>
    </row>
    <row r="2641" spans="1:13" x14ac:dyDescent="0.25">
      <c r="A2641" s="3">
        <v>41861</v>
      </c>
      <c r="B2641" s="2" t="s">
        <v>11</v>
      </c>
      <c r="C2641" s="2">
        <v>12</v>
      </c>
      <c r="G2641" s="7" t="str">
        <f t="array" ref="G2641">IF(ROWS(K$20:K2641)&gt;$F$6,"",INDEX(A$2:A$10000,SMALL(IF(ISNUMBER(MATCH($B$2:$B$10000,$E$6:$E$22,0)),ROW($C$2:$C$10000)-ROW($C$2)+1),ROWS(K$20:K2641))))</f>
        <v/>
      </c>
      <c r="H2641" s="4" t="str">
        <f t="array" ref="H2641">IF(ROWS(L$20:L2641)&gt;$F$6,"",INDEX(B$2:B$10000,SMALL(IF(ISNUMBER(MATCH($B$2:$B$10000,$E$6:$E$22,0)),ROW($C$2:$C$10000)-ROW($C$2)+1),ROWS(L$20:L2641))))</f>
        <v/>
      </c>
      <c r="I2641" s="4" t="str">
        <f t="array" ref="I2641">IF(ROWS(M$20:M2641)&gt;$F$6,"",INDEX(C$2:C$10000,SMALL(IF(ISNUMBER(MATCH($B$2:$B$10000,$E$6:$E$22,0)),ROW($C$2:$C$10000)-ROW($C$2)+1),ROWS(M$20:M2641))))</f>
        <v/>
      </c>
      <c r="K2641" s="7" t="str">
        <f t="array" ref="K2641">IF(ROWS(K$20:K2641)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2641))))</f>
        <v/>
      </c>
      <c r="L2641" s="4" t="str">
        <f t="array" ref="L2641">IF(ROWS(L$20:L2641)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2641))))</f>
        <v/>
      </c>
      <c r="M2641" s="4" t="str">
        <f t="array" ref="M2641">IF(ROWS(M$20:M2641)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2641))))</f>
        <v/>
      </c>
    </row>
    <row r="2642" spans="1:13" x14ac:dyDescent="0.25">
      <c r="A2642" s="3">
        <v>41338</v>
      </c>
      <c r="B2642" s="2" t="s">
        <v>49</v>
      </c>
      <c r="C2642" s="2">
        <v>12</v>
      </c>
      <c r="G2642" s="7" t="str">
        <f t="array" ref="G2642">IF(ROWS(K$20:K2642)&gt;$F$6,"",INDEX(A$2:A$10000,SMALL(IF(ISNUMBER(MATCH($B$2:$B$10000,$E$6:$E$22,0)),ROW($C$2:$C$10000)-ROW($C$2)+1),ROWS(K$20:K2642))))</f>
        <v/>
      </c>
      <c r="H2642" s="4" t="str">
        <f t="array" ref="H2642">IF(ROWS(L$20:L2642)&gt;$F$6,"",INDEX(B$2:B$10000,SMALL(IF(ISNUMBER(MATCH($B$2:$B$10000,$E$6:$E$22,0)),ROW($C$2:$C$10000)-ROW($C$2)+1),ROWS(L$20:L2642))))</f>
        <v/>
      </c>
      <c r="I2642" s="4" t="str">
        <f t="array" ref="I2642">IF(ROWS(M$20:M2642)&gt;$F$6,"",INDEX(C$2:C$10000,SMALL(IF(ISNUMBER(MATCH($B$2:$B$10000,$E$6:$E$22,0)),ROW($C$2:$C$10000)-ROW($C$2)+1),ROWS(M$20:M2642))))</f>
        <v/>
      </c>
      <c r="K2642" s="7" t="str">
        <f t="array" ref="K2642">IF(ROWS(K$20:K2642)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2642))))</f>
        <v/>
      </c>
      <c r="L2642" s="4" t="str">
        <f t="array" ref="L2642">IF(ROWS(L$20:L2642)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2642))))</f>
        <v/>
      </c>
      <c r="M2642" s="4" t="str">
        <f t="array" ref="M2642">IF(ROWS(M$20:M2642)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2642))))</f>
        <v/>
      </c>
    </row>
    <row r="2643" spans="1:13" x14ac:dyDescent="0.25">
      <c r="A2643" s="3">
        <v>41661</v>
      </c>
      <c r="B2643" s="2" t="s">
        <v>6</v>
      </c>
      <c r="C2643" s="2">
        <v>27</v>
      </c>
      <c r="G2643" s="7" t="str">
        <f t="array" ref="G2643">IF(ROWS(K$20:K2643)&gt;$F$6,"",INDEX(A$2:A$10000,SMALL(IF(ISNUMBER(MATCH($B$2:$B$10000,$E$6:$E$22,0)),ROW($C$2:$C$10000)-ROW($C$2)+1),ROWS(K$20:K2643))))</f>
        <v/>
      </c>
      <c r="H2643" s="4" t="str">
        <f t="array" ref="H2643">IF(ROWS(L$20:L2643)&gt;$F$6,"",INDEX(B$2:B$10000,SMALL(IF(ISNUMBER(MATCH($B$2:$B$10000,$E$6:$E$22,0)),ROW($C$2:$C$10000)-ROW($C$2)+1),ROWS(L$20:L2643))))</f>
        <v/>
      </c>
      <c r="I2643" s="4" t="str">
        <f t="array" ref="I2643">IF(ROWS(M$20:M2643)&gt;$F$6,"",INDEX(C$2:C$10000,SMALL(IF(ISNUMBER(MATCH($B$2:$B$10000,$E$6:$E$22,0)),ROW($C$2:$C$10000)-ROW($C$2)+1),ROWS(M$20:M2643))))</f>
        <v/>
      </c>
      <c r="K2643" s="7" t="str">
        <f t="array" ref="K2643">IF(ROWS(K$20:K2643)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2643))))</f>
        <v/>
      </c>
      <c r="L2643" s="4" t="str">
        <f t="array" ref="L2643">IF(ROWS(L$20:L2643)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2643))))</f>
        <v/>
      </c>
      <c r="M2643" s="4" t="str">
        <f t="array" ref="M2643">IF(ROWS(M$20:M2643)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2643))))</f>
        <v/>
      </c>
    </row>
    <row r="2644" spans="1:13" x14ac:dyDescent="0.25">
      <c r="A2644" s="3">
        <v>41405</v>
      </c>
      <c r="B2644" s="2" t="s">
        <v>41</v>
      </c>
      <c r="C2644" s="2">
        <v>38</v>
      </c>
      <c r="G2644" s="7" t="str">
        <f t="array" ref="G2644">IF(ROWS(K$20:K2644)&gt;$F$6,"",INDEX(A$2:A$10000,SMALL(IF(ISNUMBER(MATCH($B$2:$B$10000,$E$6:$E$22,0)),ROW($C$2:$C$10000)-ROW($C$2)+1),ROWS(K$20:K2644))))</f>
        <v/>
      </c>
      <c r="H2644" s="4" t="str">
        <f t="array" ref="H2644">IF(ROWS(L$20:L2644)&gt;$F$6,"",INDEX(B$2:B$10000,SMALL(IF(ISNUMBER(MATCH($B$2:$B$10000,$E$6:$E$22,0)),ROW($C$2:$C$10000)-ROW($C$2)+1),ROWS(L$20:L2644))))</f>
        <v/>
      </c>
      <c r="I2644" s="4" t="str">
        <f t="array" ref="I2644">IF(ROWS(M$20:M2644)&gt;$F$6,"",INDEX(C$2:C$10000,SMALL(IF(ISNUMBER(MATCH($B$2:$B$10000,$E$6:$E$22,0)),ROW($C$2:$C$10000)-ROW($C$2)+1),ROWS(M$20:M2644))))</f>
        <v/>
      </c>
      <c r="K2644" s="7" t="str">
        <f t="array" ref="K2644">IF(ROWS(K$20:K2644)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2644))))</f>
        <v/>
      </c>
      <c r="L2644" s="4" t="str">
        <f t="array" ref="L2644">IF(ROWS(L$20:L2644)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2644))))</f>
        <v/>
      </c>
      <c r="M2644" s="4" t="str">
        <f t="array" ref="M2644">IF(ROWS(M$20:M2644)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2644))))</f>
        <v/>
      </c>
    </row>
    <row r="2645" spans="1:13" x14ac:dyDescent="0.25">
      <c r="A2645" s="3">
        <v>41510</v>
      </c>
      <c r="B2645" s="2" t="s">
        <v>14</v>
      </c>
      <c r="C2645" s="2">
        <v>34</v>
      </c>
      <c r="G2645" s="7" t="str">
        <f t="array" ref="G2645">IF(ROWS(K$20:K2645)&gt;$F$6,"",INDEX(A$2:A$10000,SMALL(IF(ISNUMBER(MATCH($B$2:$B$10000,$E$6:$E$22,0)),ROW($C$2:$C$10000)-ROW($C$2)+1),ROWS(K$20:K2645))))</f>
        <v/>
      </c>
      <c r="H2645" s="4" t="str">
        <f t="array" ref="H2645">IF(ROWS(L$20:L2645)&gt;$F$6,"",INDEX(B$2:B$10000,SMALL(IF(ISNUMBER(MATCH($B$2:$B$10000,$E$6:$E$22,0)),ROW($C$2:$C$10000)-ROW($C$2)+1),ROWS(L$20:L2645))))</f>
        <v/>
      </c>
      <c r="I2645" s="4" t="str">
        <f t="array" ref="I2645">IF(ROWS(M$20:M2645)&gt;$F$6,"",INDEX(C$2:C$10000,SMALL(IF(ISNUMBER(MATCH($B$2:$B$10000,$E$6:$E$22,0)),ROW($C$2:$C$10000)-ROW($C$2)+1),ROWS(M$20:M2645))))</f>
        <v/>
      </c>
      <c r="K2645" s="7" t="str">
        <f t="array" ref="K2645">IF(ROWS(K$20:K2645)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2645))))</f>
        <v/>
      </c>
      <c r="L2645" s="4" t="str">
        <f t="array" ref="L2645">IF(ROWS(L$20:L2645)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2645))))</f>
        <v/>
      </c>
      <c r="M2645" s="4" t="str">
        <f t="array" ref="M2645">IF(ROWS(M$20:M2645)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2645))))</f>
        <v/>
      </c>
    </row>
    <row r="2646" spans="1:13" x14ac:dyDescent="0.25">
      <c r="A2646" s="3">
        <v>41411</v>
      </c>
      <c r="B2646" s="2" t="s">
        <v>42</v>
      </c>
      <c r="C2646" s="2">
        <v>20</v>
      </c>
      <c r="G2646" s="7" t="str">
        <f t="array" ref="G2646">IF(ROWS(K$20:K2646)&gt;$F$6,"",INDEX(A$2:A$10000,SMALL(IF(ISNUMBER(MATCH($B$2:$B$10000,$E$6:$E$22,0)),ROW($C$2:$C$10000)-ROW($C$2)+1),ROWS(K$20:K2646))))</f>
        <v/>
      </c>
      <c r="H2646" s="4" t="str">
        <f t="array" ref="H2646">IF(ROWS(L$20:L2646)&gt;$F$6,"",INDEX(B$2:B$10000,SMALL(IF(ISNUMBER(MATCH($B$2:$B$10000,$E$6:$E$22,0)),ROW($C$2:$C$10000)-ROW($C$2)+1),ROWS(L$20:L2646))))</f>
        <v/>
      </c>
      <c r="I2646" s="4" t="str">
        <f t="array" ref="I2646">IF(ROWS(M$20:M2646)&gt;$F$6,"",INDEX(C$2:C$10000,SMALL(IF(ISNUMBER(MATCH($B$2:$B$10000,$E$6:$E$22,0)),ROW($C$2:$C$10000)-ROW($C$2)+1),ROWS(M$20:M2646))))</f>
        <v/>
      </c>
      <c r="K2646" s="7" t="str">
        <f t="array" ref="K2646">IF(ROWS(K$20:K2646)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2646))))</f>
        <v/>
      </c>
      <c r="L2646" s="4" t="str">
        <f t="array" ref="L2646">IF(ROWS(L$20:L2646)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2646))))</f>
        <v/>
      </c>
      <c r="M2646" s="4" t="str">
        <f t="array" ref="M2646">IF(ROWS(M$20:M2646)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2646))))</f>
        <v/>
      </c>
    </row>
    <row r="2647" spans="1:13" x14ac:dyDescent="0.25">
      <c r="A2647" s="3">
        <v>41501</v>
      </c>
      <c r="B2647" s="2" t="s">
        <v>10</v>
      </c>
      <c r="C2647" s="2">
        <v>38</v>
      </c>
      <c r="G2647" s="7" t="str">
        <f t="array" ref="G2647">IF(ROWS(K$20:K2647)&gt;$F$6,"",INDEX(A$2:A$10000,SMALL(IF(ISNUMBER(MATCH($B$2:$B$10000,$E$6:$E$22,0)),ROW($C$2:$C$10000)-ROW($C$2)+1),ROWS(K$20:K2647))))</f>
        <v/>
      </c>
      <c r="H2647" s="4" t="str">
        <f t="array" ref="H2647">IF(ROWS(L$20:L2647)&gt;$F$6,"",INDEX(B$2:B$10000,SMALL(IF(ISNUMBER(MATCH($B$2:$B$10000,$E$6:$E$22,0)),ROW($C$2:$C$10000)-ROW($C$2)+1),ROWS(L$20:L2647))))</f>
        <v/>
      </c>
      <c r="I2647" s="4" t="str">
        <f t="array" ref="I2647">IF(ROWS(M$20:M2647)&gt;$F$6,"",INDEX(C$2:C$10000,SMALL(IF(ISNUMBER(MATCH($B$2:$B$10000,$E$6:$E$22,0)),ROW($C$2:$C$10000)-ROW($C$2)+1),ROWS(M$20:M2647))))</f>
        <v/>
      </c>
      <c r="K2647" s="7" t="str">
        <f t="array" ref="K2647">IF(ROWS(K$20:K2647)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2647))))</f>
        <v/>
      </c>
      <c r="L2647" s="4" t="str">
        <f t="array" ref="L2647">IF(ROWS(L$20:L2647)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2647))))</f>
        <v/>
      </c>
      <c r="M2647" s="4" t="str">
        <f t="array" ref="M2647">IF(ROWS(M$20:M2647)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2647))))</f>
        <v/>
      </c>
    </row>
    <row r="2648" spans="1:13" x14ac:dyDescent="0.25">
      <c r="A2648" s="3">
        <v>41824</v>
      </c>
      <c r="B2648" s="2" t="s">
        <v>12</v>
      </c>
      <c r="C2648" s="2">
        <v>17</v>
      </c>
      <c r="G2648" s="7" t="str">
        <f t="array" ref="G2648">IF(ROWS(K$20:K2648)&gt;$F$6,"",INDEX(A$2:A$10000,SMALL(IF(ISNUMBER(MATCH($B$2:$B$10000,$E$6:$E$22,0)),ROW($C$2:$C$10000)-ROW($C$2)+1),ROWS(K$20:K2648))))</f>
        <v/>
      </c>
      <c r="H2648" s="4" t="str">
        <f t="array" ref="H2648">IF(ROWS(L$20:L2648)&gt;$F$6,"",INDEX(B$2:B$10000,SMALL(IF(ISNUMBER(MATCH($B$2:$B$10000,$E$6:$E$22,0)),ROW($C$2:$C$10000)-ROW($C$2)+1),ROWS(L$20:L2648))))</f>
        <v/>
      </c>
      <c r="I2648" s="4" t="str">
        <f t="array" ref="I2648">IF(ROWS(M$20:M2648)&gt;$F$6,"",INDEX(C$2:C$10000,SMALL(IF(ISNUMBER(MATCH($B$2:$B$10000,$E$6:$E$22,0)),ROW($C$2:$C$10000)-ROW($C$2)+1),ROWS(M$20:M2648))))</f>
        <v/>
      </c>
      <c r="K2648" s="7" t="str">
        <f t="array" ref="K2648">IF(ROWS(K$20:K2648)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2648))))</f>
        <v/>
      </c>
      <c r="L2648" s="4" t="str">
        <f t="array" ref="L2648">IF(ROWS(L$20:L2648)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2648))))</f>
        <v/>
      </c>
      <c r="M2648" s="4" t="str">
        <f t="array" ref="M2648">IF(ROWS(M$20:M2648)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2648))))</f>
        <v/>
      </c>
    </row>
    <row r="2649" spans="1:13" x14ac:dyDescent="0.25">
      <c r="A2649" s="3">
        <v>41456</v>
      </c>
      <c r="B2649" s="2" t="s">
        <v>51</v>
      </c>
      <c r="C2649" s="2">
        <v>8</v>
      </c>
      <c r="G2649" s="7" t="str">
        <f t="array" ref="G2649">IF(ROWS(K$20:K2649)&gt;$F$6,"",INDEX(A$2:A$10000,SMALL(IF(ISNUMBER(MATCH($B$2:$B$10000,$E$6:$E$22,0)),ROW($C$2:$C$10000)-ROW($C$2)+1),ROWS(K$20:K2649))))</f>
        <v/>
      </c>
      <c r="H2649" s="4" t="str">
        <f t="array" ref="H2649">IF(ROWS(L$20:L2649)&gt;$F$6,"",INDEX(B$2:B$10000,SMALL(IF(ISNUMBER(MATCH($B$2:$B$10000,$E$6:$E$22,0)),ROW($C$2:$C$10000)-ROW($C$2)+1),ROWS(L$20:L2649))))</f>
        <v/>
      </c>
      <c r="I2649" s="4" t="str">
        <f t="array" ref="I2649">IF(ROWS(M$20:M2649)&gt;$F$6,"",INDEX(C$2:C$10000,SMALL(IF(ISNUMBER(MATCH($B$2:$B$10000,$E$6:$E$22,0)),ROW($C$2:$C$10000)-ROW($C$2)+1),ROWS(M$20:M2649))))</f>
        <v/>
      </c>
      <c r="K2649" s="7" t="str">
        <f t="array" ref="K2649">IF(ROWS(K$20:K2649)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2649))))</f>
        <v/>
      </c>
      <c r="L2649" s="4" t="str">
        <f t="array" ref="L2649">IF(ROWS(L$20:L2649)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2649))))</f>
        <v/>
      </c>
      <c r="M2649" s="4" t="str">
        <f t="array" ref="M2649">IF(ROWS(M$20:M2649)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2649))))</f>
        <v/>
      </c>
    </row>
    <row r="2650" spans="1:13" x14ac:dyDescent="0.25">
      <c r="A2650" s="3">
        <v>41394</v>
      </c>
      <c r="B2650" s="2" t="s">
        <v>3</v>
      </c>
      <c r="C2650" s="2">
        <v>22</v>
      </c>
      <c r="G2650" s="7" t="str">
        <f t="array" ref="G2650">IF(ROWS(K$20:K2650)&gt;$F$6,"",INDEX(A$2:A$10000,SMALL(IF(ISNUMBER(MATCH($B$2:$B$10000,$E$6:$E$22,0)),ROW($C$2:$C$10000)-ROW($C$2)+1),ROWS(K$20:K2650))))</f>
        <v/>
      </c>
      <c r="H2650" s="4" t="str">
        <f t="array" ref="H2650">IF(ROWS(L$20:L2650)&gt;$F$6,"",INDEX(B$2:B$10000,SMALL(IF(ISNUMBER(MATCH($B$2:$B$10000,$E$6:$E$22,0)),ROW($C$2:$C$10000)-ROW($C$2)+1),ROWS(L$20:L2650))))</f>
        <v/>
      </c>
      <c r="I2650" s="4" t="str">
        <f t="array" ref="I2650">IF(ROWS(M$20:M2650)&gt;$F$6,"",INDEX(C$2:C$10000,SMALL(IF(ISNUMBER(MATCH($B$2:$B$10000,$E$6:$E$22,0)),ROW($C$2:$C$10000)-ROW($C$2)+1),ROWS(M$20:M2650))))</f>
        <v/>
      </c>
      <c r="K2650" s="7" t="str">
        <f t="array" ref="K2650">IF(ROWS(K$20:K2650)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2650))))</f>
        <v/>
      </c>
      <c r="L2650" s="4" t="str">
        <f t="array" ref="L2650">IF(ROWS(L$20:L2650)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2650))))</f>
        <v/>
      </c>
      <c r="M2650" s="4" t="str">
        <f t="array" ref="M2650">IF(ROWS(M$20:M2650)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2650))))</f>
        <v/>
      </c>
    </row>
    <row r="2651" spans="1:13" x14ac:dyDescent="0.25">
      <c r="A2651" s="3">
        <v>41306</v>
      </c>
      <c r="B2651" s="2" t="s">
        <v>16</v>
      </c>
      <c r="C2651" s="2">
        <v>23</v>
      </c>
      <c r="G2651" s="7" t="str">
        <f t="array" ref="G2651">IF(ROWS(K$20:K2651)&gt;$F$6,"",INDEX(A$2:A$10000,SMALL(IF(ISNUMBER(MATCH($B$2:$B$10000,$E$6:$E$22,0)),ROW($C$2:$C$10000)-ROW($C$2)+1),ROWS(K$20:K2651))))</f>
        <v/>
      </c>
      <c r="H2651" s="4" t="str">
        <f t="array" ref="H2651">IF(ROWS(L$20:L2651)&gt;$F$6,"",INDEX(B$2:B$10000,SMALL(IF(ISNUMBER(MATCH($B$2:$B$10000,$E$6:$E$22,0)),ROW($C$2:$C$10000)-ROW($C$2)+1),ROWS(L$20:L2651))))</f>
        <v/>
      </c>
      <c r="I2651" s="4" t="str">
        <f t="array" ref="I2651">IF(ROWS(M$20:M2651)&gt;$F$6,"",INDEX(C$2:C$10000,SMALL(IF(ISNUMBER(MATCH($B$2:$B$10000,$E$6:$E$22,0)),ROW($C$2:$C$10000)-ROW($C$2)+1),ROWS(M$20:M2651))))</f>
        <v/>
      </c>
      <c r="K2651" s="7" t="str">
        <f t="array" ref="K2651">IF(ROWS(K$20:K2651)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2651))))</f>
        <v/>
      </c>
      <c r="L2651" s="4" t="str">
        <f t="array" ref="L2651">IF(ROWS(L$20:L2651)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2651))))</f>
        <v/>
      </c>
      <c r="M2651" s="4" t="str">
        <f t="array" ref="M2651">IF(ROWS(M$20:M2651)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2651))))</f>
        <v/>
      </c>
    </row>
    <row r="2652" spans="1:13" x14ac:dyDescent="0.25">
      <c r="A2652" s="3">
        <v>41658</v>
      </c>
      <c r="B2652" s="2" t="s">
        <v>11</v>
      </c>
      <c r="C2652" s="2">
        <v>33</v>
      </c>
      <c r="G2652" s="7" t="str">
        <f t="array" ref="G2652">IF(ROWS(K$20:K2652)&gt;$F$6,"",INDEX(A$2:A$10000,SMALL(IF(ISNUMBER(MATCH($B$2:$B$10000,$E$6:$E$22,0)),ROW($C$2:$C$10000)-ROW($C$2)+1),ROWS(K$20:K2652))))</f>
        <v/>
      </c>
      <c r="H2652" s="4" t="str">
        <f t="array" ref="H2652">IF(ROWS(L$20:L2652)&gt;$F$6,"",INDEX(B$2:B$10000,SMALL(IF(ISNUMBER(MATCH($B$2:$B$10000,$E$6:$E$22,0)),ROW($C$2:$C$10000)-ROW($C$2)+1),ROWS(L$20:L2652))))</f>
        <v/>
      </c>
      <c r="I2652" s="4" t="str">
        <f t="array" ref="I2652">IF(ROWS(M$20:M2652)&gt;$F$6,"",INDEX(C$2:C$10000,SMALL(IF(ISNUMBER(MATCH($B$2:$B$10000,$E$6:$E$22,0)),ROW($C$2:$C$10000)-ROW($C$2)+1),ROWS(M$20:M2652))))</f>
        <v/>
      </c>
      <c r="K2652" s="7" t="str">
        <f t="array" ref="K2652">IF(ROWS(K$20:K2652)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2652))))</f>
        <v/>
      </c>
      <c r="L2652" s="4" t="str">
        <f t="array" ref="L2652">IF(ROWS(L$20:L2652)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2652))))</f>
        <v/>
      </c>
      <c r="M2652" s="4" t="str">
        <f t="array" ref="M2652">IF(ROWS(M$20:M2652)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2652))))</f>
        <v/>
      </c>
    </row>
    <row r="2653" spans="1:13" x14ac:dyDescent="0.25">
      <c r="A2653" s="3">
        <v>41304</v>
      </c>
      <c r="B2653" s="2" t="s">
        <v>30</v>
      </c>
      <c r="C2653" s="2">
        <v>30</v>
      </c>
      <c r="G2653" s="7" t="str">
        <f t="array" ref="G2653">IF(ROWS(K$20:K2653)&gt;$F$6,"",INDEX(A$2:A$10000,SMALL(IF(ISNUMBER(MATCH($B$2:$B$10000,$E$6:$E$22,0)),ROW($C$2:$C$10000)-ROW($C$2)+1),ROWS(K$20:K2653))))</f>
        <v/>
      </c>
      <c r="H2653" s="4" t="str">
        <f t="array" ref="H2653">IF(ROWS(L$20:L2653)&gt;$F$6,"",INDEX(B$2:B$10000,SMALL(IF(ISNUMBER(MATCH($B$2:$B$10000,$E$6:$E$22,0)),ROW($C$2:$C$10000)-ROW($C$2)+1),ROWS(L$20:L2653))))</f>
        <v/>
      </c>
      <c r="I2653" s="4" t="str">
        <f t="array" ref="I2653">IF(ROWS(M$20:M2653)&gt;$F$6,"",INDEX(C$2:C$10000,SMALL(IF(ISNUMBER(MATCH($B$2:$B$10000,$E$6:$E$22,0)),ROW($C$2:$C$10000)-ROW($C$2)+1),ROWS(M$20:M2653))))</f>
        <v/>
      </c>
      <c r="K2653" s="7" t="str">
        <f t="array" ref="K2653">IF(ROWS(K$20:K2653)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2653))))</f>
        <v/>
      </c>
      <c r="L2653" s="4" t="str">
        <f t="array" ref="L2653">IF(ROWS(L$20:L2653)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2653))))</f>
        <v/>
      </c>
      <c r="M2653" s="4" t="str">
        <f t="array" ref="M2653">IF(ROWS(M$20:M2653)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2653))))</f>
        <v/>
      </c>
    </row>
    <row r="2654" spans="1:13" x14ac:dyDescent="0.25">
      <c r="A2654" s="3">
        <v>41850</v>
      </c>
      <c r="B2654" s="2" t="s">
        <v>46</v>
      </c>
      <c r="C2654" s="2">
        <v>14</v>
      </c>
      <c r="G2654" s="7" t="str">
        <f t="array" ref="G2654">IF(ROWS(K$20:K2654)&gt;$F$6,"",INDEX(A$2:A$10000,SMALL(IF(ISNUMBER(MATCH($B$2:$B$10000,$E$6:$E$22,0)),ROW($C$2:$C$10000)-ROW($C$2)+1),ROWS(K$20:K2654))))</f>
        <v/>
      </c>
      <c r="H2654" s="4" t="str">
        <f t="array" ref="H2654">IF(ROWS(L$20:L2654)&gt;$F$6,"",INDEX(B$2:B$10000,SMALL(IF(ISNUMBER(MATCH($B$2:$B$10000,$E$6:$E$22,0)),ROW($C$2:$C$10000)-ROW($C$2)+1),ROWS(L$20:L2654))))</f>
        <v/>
      </c>
      <c r="I2654" s="4" t="str">
        <f t="array" ref="I2654">IF(ROWS(M$20:M2654)&gt;$F$6,"",INDEX(C$2:C$10000,SMALL(IF(ISNUMBER(MATCH($B$2:$B$10000,$E$6:$E$22,0)),ROW($C$2:$C$10000)-ROW($C$2)+1),ROWS(M$20:M2654))))</f>
        <v/>
      </c>
      <c r="K2654" s="7" t="str">
        <f t="array" ref="K2654">IF(ROWS(K$20:K2654)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2654))))</f>
        <v/>
      </c>
      <c r="L2654" s="4" t="str">
        <f t="array" ref="L2654">IF(ROWS(L$20:L2654)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2654))))</f>
        <v/>
      </c>
      <c r="M2654" s="4" t="str">
        <f t="array" ref="M2654">IF(ROWS(M$20:M2654)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2654))))</f>
        <v/>
      </c>
    </row>
    <row r="2655" spans="1:13" x14ac:dyDescent="0.25">
      <c r="A2655" s="3">
        <v>41597</v>
      </c>
      <c r="B2655" s="2" t="s">
        <v>31</v>
      </c>
      <c r="C2655" s="2">
        <v>27</v>
      </c>
      <c r="G2655" s="7" t="str">
        <f t="array" ref="G2655">IF(ROWS(K$20:K2655)&gt;$F$6,"",INDEX(A$2:A$10000,SMALL(IF(ISNUMBER(MATCH($B$2:$B$10000,$E$6:$E$22,0)),ROW($C$2:$C$10000)-ROW($C$2)+1),ROWS(K$20:K2655))))</f>
        <v/>
      </c>
      <c r="H2655" s="4" t="str">
        <f t="array" ref="H2655">IF(ROWS(L$20:L2655)&gt;$F$6,"",INDEX(B$2:B$10000,SMALL(IF(ISNUMBER(MATCH($B$2:$B$10000,$E$6:$E$22,0)),ROW($C$2:$C$10000)-ROW($C$2)+1),ROWS(L$20:L2655))))</f>
        <v/>
      </c>
      <c r="I2655" s="4" t="str">
        <f t="array" ref="I2655">IF(ROWS(M$20:M2655)&gt;$F$6,"",INDEX(C$2:C$10000,SMALL(IF(ISNUMBER(MATCH($B$2:$B$10000,$E$6:$E$22,0)),ROW($C$2:$C$10000)-ROW($C$2)+1),ROWS(M$20:M2655))))</f>
        <v/>
      </c>
      <c r="K2655" s="7" t="str">
        <f t="array" ref="K2655">IF(ROWS(K$20:K2655)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2655))))</f>
        <v/>
      </c>
      <c r="L2655" s="4" t="str">
        <f t="array" ref="L2655">IF(ROWS(L$20:L2655)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2655))))</f>
        <v/>
      </c>
      <c r="M2655" s="4" t="str">
        <f t="array" ref="M2655">IF(ROWS(M$20:M2655)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2655))))</f>
        <v/>
      </c>
    </row>
    <row r="2656" spans="1:13" x14ac:dyDescent="0.25">
      <c r="A2656" s="3">
        <v>41649</v>
      </c>
      <c r="B2656" s="2" t="s">
        <v>25</v>
      </c>
      <c r="C2656" s="2">
        <v>40</v>
      </c>
      <c r="G2656" s="7" t="str">
        <f t="array" ref="G2656">IF(ROWS(K$20:K2656)&gt;$F$6,"",INDEX(A$2:A$10000,SMALL(IF(ISNUMBER(MATCH($B$2:$B$10000,$E$6:$E$22,0)),ROW($C$2:$C$10000)-ROW($C$2)+1),ROWS(K$20:K2656))))</f>
        <v/>
      </c>
      <c r="H2656" s="4" t="str">
        <f t="array" ref="H2656">IF(ROWS(L$20:L2656)&gt;$F$6,"",INDEX(B$2:B$10000,SMALL(IF(ISNUMBER(MATCH($B$2:$B$10000,$E$6:$E$22,0)),ROW($C$2:$C$10000)-ROW($C$2)+1),ROWS(L$20:L2656))))</f>
        <v/>
      </c>
      <c r="I2656" s="4" t="str">
        <f t="array" ref="I2656">IF(ROWS(M$20:M2656)&gt;$F$6,"",INDEX(C$2:C$10000,SMALL(IF(ISNUMBER(MATCH($B$2:$B$10000,$E$6:$E$22,0)),ROW($C$2:$C$10000)-ROW($C$2)+1),ROWS(M$20:M2656))))</f>
        <v/>
      </c>
      <c r="K2656" s="7" t="str">
        <f t="array" ref="K2656">IF(ROWS(K$20:K2656)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2656))))</f>
        <v/>
      </c>
      <c r="L2656" s="4" t="str">
        <f t="array" ref="L2656">IF(ROWS(L$20:L2656)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2656))))</f>
        <v/>
      </c>
      <c r="M2656" s="4" t="str">
        <f t="array" ref="M2656">IF(ROWS(M$20:M2656)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2656))))</f>
        <v/>
      </c>
    </row>
    <row r="2657" spans="1:13" x14ac:dyDescent="0.25">
      <c r="A2657" s="3">
        <v>41740</v>
      </c>
      <c r="B2657" s="2" t="s">
        <v>23</v>
      </c>
      <c r="C2657" s="2">
        <v>26</v>
      </c>
      <c r="G2657" s="7" t="str">
        <f t="array" ref="G2657">IF(ROWS(K$20:K2657)&gt;$F$6,"",INDEX(A$2:A$10000,SMALL(IF(ISNUMBER(MATCH($B$2:$B$10000,$E$6:$E$22,0)),ROW($C$2:$C$10000)-ROW($C$2)+1),ROWS(K$20:K2657))))</f>
        <v/>
      </c>
      <c r="H2657" s="4" t="str">
        <f t="array" ref="H2657">IF(ROWS(L$20:L2657)&gt;$F$6,"",INDEX(B$2:B$10000,SMALL(IF(ISNUMBER(MATCH($B$2:$B$10000,$E$6:$E$22,0)),ROW($C$2:$C$10000)-ROW($C$2)+1),ROWS(L$20:L2657))))</f>
        <v/>
      </c>
      <c r="I2657" s="4" t="str">
        <f t="array" ref="I2657">IF(ROWS(M$20:M2657)&gt;$F$6,"",INDEX(C$2:C$10000,SMALL(IF(ISNUMBER(MATCH($B$2:$B$10000,$E$6:$E$22,0)),ROW($C$2:$C$10000)-ROW($C$2)+1),ROWS(M$20:M2657))))</f>
        <v/>
      </c>
      <c r="K2657" s="7" t="str">
        <f t="array" ref="K2657">IF(ROWS(K$20:K2657)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2657))))</f>
        <v/>
      </c>
      <c r="L2657" s="4" t="str">
        <f t="array" ref="L2657">IF(ROWS(L$20:L2657)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2657))))</f>
        <v/>
      </c>
      <c r="M2657" s="4" t="str">
        <f t="array" ref="M2657">IF(ROWS(M$20:M2657)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2657))))</f>
        <v/>
      </c>
    </row>
    <row r="2658" spans="1:13" x14ac:dyDescent="0.25">
      <c r="A2658" s="3">
        <v>41312</v>
      </c>
      <c r="B2658" s="2" t="s">
        <v>13</v>
      </c>
      <c r="C2658" s="2">
        <v>6</v>
      </c>
      <c r="G2658" s="7" t="str">
        <f t="array" ref="G2658">IF(ROWS(K$20:K2658)&gt;$F$6,"",INDEX(A$2:A$10000,SMALL(IF(ISNUMBER(MATCH($B$2:$B$10000,$E$6:$E$22,0)),ROW($C$2:$C$10000)-ROW($C$2)+1),ROWS(K$20:K2658))))</f>
        <v/>
      </c>
      <c r="H2658" s="4" t="str">
        <f t="array" ref="H2658">IF(ROWS(L$20:L2658)&gt;$F$6,"",INDEX(B$2:B$10000,SMALL(IF(ISNUMBER(MATCH($B$2:$B$10000,$E$6:$E$22,0)),ROW($C$2:$C$10000)-ROW($C$2)+1),ROWS(L$20:L2658))))</f>
        <v/>
      </c>
      <c r="I2658" s="4" t="str">
        <f t="array" ref="I2658">IF(ROWS(M$20:M2658)&gt;$F$6,"",INDEX(C$2:C$10000,SMALL(IF(ISNUMBER(MATCH($B$2:$B$10000,$E$6:$E$22,0)),ROW($C$2:$C$10000)-ROW($C$2)+1),ROWS(M$20:M2658))))</f>
        <v/>
      </c>
      <c r="K2658" s="7" t="str">
        <f t="array" ref="K2658">IF(ROWS(K$20:K2658)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2658))))</f>
        <v/>
      </c>
      <c r="L2658" s="4" t="str">
        <f t="array" ref="L2658">IF(ROWS(L$20:L2658)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2658))))</f>
        <v/>
      </c>
      <c r="M2658" s="4" t="str">
        <f t="array" ref="M2658">IF(ROWS(M$20:M2658)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2658))))</f>
        <v/>
      </c>
    </row>
    <row r="2659" spans="1:13" x14ac:dyDescent="0.25">
      <c r="A2659" s="3">
        <v>41538</v>
      </c>
      <c r="B2659" s="2" t="s">
        <v>34</v>
      </c>
      <c r="C2659" s="2">
        <v>36</v>
      </c>
      <c r="G2659" s="7" t="str">
        <f t="array" ref="G2659">IF(ROWS(K$20:K2659)&gt;$F$6,"",INDEX(A$2:A$10000,SMALL(IF(ISNUMBER(MATCH($B$2:$B$10000,$E$6:$E$22,0)),ROW($C$2:$C$10000)-ROW($C$2)+1),ROWS(K$20:K2659))))</f>
        <v/>
      </c>
      <c r="H2659" s="4" t="str">
        <f t="array" ref="H2659">IF(ROWS(L$20:L2659)&gt;$F$6,"",INDEX(B$2:B$10000,SMALL(IF(ISNUMBER(MATCH($B$2:$B$10000,$E$6:$E$22,0)),ROW($C$2:$C$10000)-ROW($C$2)+1),ROWS(L$20:L2659))))</f>
        <v/>
      </c>
      <c r="I2659" s="4" t="str">
        <f t="array" ref="I2659">IF(ROWS(M$20:M2659)&gt;$F$6,"",INDEX(C$2:C$10000,SMALL(IF(ISNUMBER(MATCH($B$2:$B$10000,$E$6:$E$22,0)),ROW($C$2:$C$10000)-ROW($C$2)+1),ROWS(M$20:M2659))))</f>
        <v/>
      </c>
      <c r="K2659" s="7" t="str">
        <f t="array" ref="K2659">IF(ROWS(K$20:K2659)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2659))))</f>
        <v/>
      </c>
      <c r="L2659" s="4" t="str">
        <f t="array" ref="L2659">IF(ROWS(L$20:L2659)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2659))))</f>
        <v/>
      </c>
      <c r="M2659" s="4" t="str">
        <f t="array" ref="M2659">IF(ROWS(M$20:M2659)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2659))))</f>
        <v/>
      </c>
    </row>
    <row r="2660" spans="1:13" x14ac:dyDescent="0.25">
      <c r="A2660" s="3">
        <v>41713</v>
      </c>
      <c r="B2660" s="2" t="s">
        <v>41</v>
      </c>
      <c r="C2660" s="2">
        <v>28</v>
      </c>
      <c r="G2660" s="7" t="str">
        <f t="array" ref="G2660">IF(ROWS(K$20:K2660)&gt;$F$6,"",INDEX(A$2:A$10000,SMALL(IF(ISNUMBER(MATCH($B$2:$B$10000,$E$6:$E$22,0)),ROW($C$2:$C$10000)-ROW($C$2)+1),ROWS(K$20:K2660))))</f>
        <v/>
      </c>
      <c r="H2660" s="4" t="str">
        <f t="array" ref="H2660">IF(ROWS(L$20:L2660)&gt;$F$6,"",INDEX(B$2:B$10000,SMALL(IF(ISNUMBER(MATCH($B$2:$B$10000,$E$6:$E$22,0)),ROW($C$2:$C$10000)-ROW($C$2)+1),ROWS(L$20:L2660))))</f>
        <v/>
      </c>
      <c r="I2660" s="4" t="str">
        <f t="array" ref="I2660">IF(ROWS(M$20:M2660)&gt;$F$6,"",INDEX(C$2:C$10000,SMALL(IF(ISNUMBER(MATCH($B$2:$B$10000,$E$6:$E$22,0)),ROW($C$2:$C$10000)-ROW($C$2)+1),ROWS(M$20:M2660))))</f>
        <v/>
      </c>
      <c r="K2660" s="7" t="str">
        <f t="array" ref="K2660">IF(ROWS(K$20:K2660)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2660))))</f>
        <v/>
      </c>
      <c r="L2660" s="4" t="str">
        <f t="array" ref="L2660">IF(ROWS(L$20:L2660)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2660))))</f>
        <v/>
      </c>
      <c r="M2660" s="4" t="str">
        <f t="array" ref="M2660">IF(ROWS(M$20:M2660)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2660))))</f>
        <v/>
      </c>
    </row>
    <row r="2661" spans="1:13" x14ac:dyDescent="0.25">
      <c r="A2661" s="3">
        <v>41340</v>
      </c>
      <c r="B2661" s="2" t="s">
        <v>41</v>
      </c>
      <c r="C2661" s="2">
        <v>43</v>
      </c>
      <c r="G2661" s="7" t="str">
        <f t="array" ref="G2661">IF(ROWS(K$20:K2661)&gt;$F$6,"",INDEX(A$2:A$10000,SMALL(IF(ISNUMBER(MATCH($B$2:$B$10000,$E$6:$E$22,0)),ROW($C$2:$C$10000)-ROW($C$2)+1),ROWS(K$20:K2661))))</f>
        <v/>
      </c>
      <c r="H2661" s="4" t="str">
        <f t="array" ref="H2661">IF(ROWS(L$20:L2661)&gt;$F$6,"",INDEX(B$2:B$10000,SMALL(IF(ISNUMBER(MATCH($B$2:$B$10000,$E$6:$E$22,0)),ROW($C$2:$C$10000)-ROW($C$2)+1),ROWS(L$20:L2661))))</f>
        <v/>
      </c>
      <c r="I2661" s="4" t="str">
        <f t="array" ref="I2661">IF(ROWS(M$20:M2661)&gt;$F$6,"",INDEX(C$2:C$10000,SMALL(IF(ISNUMBER(MATCH($B$2:$B$10000,$E$6:$E$22,0)),ROW($C$2:$C$10000)-ROW($C$2)+1),ROWS(M$20:M2661))))</f>
        <v/>
      </c>
      <c r="K2661" s="7" t="str">
        <f t="array" ref="K2661">IF(ROWS(K$20:K2661)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2661))))</f>
        <v/>
      </c>
      <c r="L2661" s="4" t="str">
        <f t="array" ref="L2661">IF(ROWS(L$20:L2661)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2661))))</f>
        <v/>
      </c>
      <c r="M2661" s="4" t="str">
        <f t="array" ref="M2661">IF(ROWS(M$20:M2661)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2661))))</f>
        <v/>
      </c>
    </row>
    <row r="2662" spans="1:13" x14ac:dyDescent="0.25">
      <c r="A2662" s="3">
        <v>41610</v>
      </c>
      <c r="B2662" s="2" t="s">
        <v>20</v>
      </c>
      <c r="C2662" s="2">
        <v>24</v>
      </c>
      <c r="G2662" s="7" t="str">
        <f t="array" ref="G2662">IF(ROWS(K$20:K2662)&gt;$F$6,"",INDEX(A$2:A$10000,SMALL(IF(ISNUMBER(MATCH($B$2:$B$10000,$E$6:$E$22,0)),ROW($C$2:$C$10000)-ROW($C$2)+1),ROWS(K$20:K2662))))</f>
        <v/>
      </c>
      <c r="H2662" s="4" t="str">
        <f t="array" ref="H2662">IF(ROWS(L$20:L2662)&gt;$F$6,"",INDEX(B$2:B$10000,SMALL(IF(ISNUMBER(MATCH($B$2:$B$10000,$E$6:$E$22,0)),ROW($C$2:$C$10000)-ROW($C$2)+1),ROWS(L$20:L2662))))</f>
        <v/>
      </c>
      <c r="I2662" s="4" t="str">
        <f t="array" ref="I2662">IF(ROWS(M$20:M2662)&gt;$F$6,"",INDEX(C$2:C$10000,SMALL(IF(ISNUMBER(MATCH($B$2:$B$10000,$E$6:$E$22,0)),ROW($C$2:$C$10000)-ROW($C$2)+1),ROWS(M$20:M2662))))</f>
        <v/>
      </c>
      <c r="K2662" s="7" t="str">
        <f t="array" ref="K2662">IF(ROWS(K$20:K2662)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2662))))</f>
        <v/>
      </c>
      <c r="L2662" s="4" t="str">
        <f t="array" ref="L2662">IF(ROWS(L$20:L2662)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2662))))</f>
        <v/>
      </c>
      <c r="M2662" s="4" t="str">
        <f t="array" ref="M2662">IF(ROWS(M$20:M2662)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2662))))</f>
        <v/>
      </c>
    </row>
    <row r="2663" spans="1:13" x14ac:dyDescent="0.25">
      <c r="A2663" s="3">
        <v>41842</v>
      </c>
      <c r="B2663" s="2" t="s">
        <v>18</v>
      </c>
      <c r="C2663" s="2">
        <v>17</v>
      </c>
      <c r="G2663" s="7" t="str">
        <f t="array" ref="G2663">IF(ROWS(K$20:K2663)&gt;$F$6,"",INDEX(A$2:A$10000,SMALL(IF(ISNUMBER(MATCH($B$2:$B$10000,$E$6:$E$22,0)),ROW($C$2:$C$10000)-ROW($C$2)+1),ROWS(K$20:K2663))))</f>
        <v/>
      </c>
      <c r="H2663" s="4" t="str">
        <f t="array" ref="H2663">IF(ROWS(L$20:L2663)&gt;$F$6,"",INDEX(B$2:B$10000,SMALL(IF(ISNUMBER(MATCH($B$2:$B$10000,$E$6:$E$22,0)),ROW($C$2:$C$10000)-ROW($C$2)+1),ROWS(L$20:L2663))))</f>
        <v/>
      </c>
      <c r="I2663" s="4" t="str">
        <f t="array" ref="I2663">IF(ROWS(M$20:M2663)&gt;$F$6,"",INDEX(C$2:C$10000,SMALL(IF(ISNUMBER(MATCH($B$2:$B$10000,$E$6:$E$22,0)),ROW($C$2:$C$10000)-ROW($C$2)+1),ROWS(M$20:M2663))))</f>
        <v/>
      </c>
      <c r="K2663" s="7" t="str">
        <f t="array" ref="K2663">IF(ROWS(K$20:K2663)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2663))))</f>
        <v/>
      </c>
      <c r="L2663" s="4" t="str">
        <f t="array" ref="L2663">IF(ROWS(L$20:L2663)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2663))))</f>
        <v/>
      </c>
      <c r="M2663" s="4" t="str">
        <f t="array" ref="M2663">IF(ROWS(M$20:M2663)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2663))))</f>
        <v/>
      </c>
    </row>
    <row r="2664" spans="1:13" x14ac:dyDescent="0.25">
      <c r="A2664" s="3">
        <v>41678</v>
      </c>
      <c r="B2664" s="2" t="s">
        <v>42</v>
      </c>
      <c r="C2664" s="2">
        <v>0</v>
      </c>
      <c r="G2664" s="7" t="str">
        <f t="array" ref="G2664">IF(ROWS(K$20:K2664)&gt;$F$6,"",INDEX(A$2:A$10000,SMALL(IF(ISNUMBER(MATCH($B$2:$B$10000,$E$6:$E$22,0)),ROW($C$2:$C$10000)-ROW($C$2)+1),ROWS(K$20:K2664))))</f>
        <v/>
      </c>
      <c r="H2664" s="4" t="str">
        <f t="array" ref="H2664">IF(ROWS(L$20:L2664)&gt;$F$6,"",INDEX(B$2:B$10000,SMALL(IF(ISNUMBER(MATCH($B$2:$B$10000,$E$6:$E$22,0)),ROW($C$2:$C$10000)-ROW($C$2)+1),ROWS(L$20:L2664))))</f>
        <v/>
      </c>
      <c r="I2664" s="4" t="str">
        <f t="array" ref="I2664">IF(ROWS(M$20:M2664)&gt;$F$6,"",INDEX(C$2:C$10000,SMALL(IF(ISNUMBER(MATCH($B$2:$B$10000,$E$6:$E$22,0)),ROW($C$2:$C$10000)-ROW($C$2)+1),ROWS(M$20:M2664))))</f>
        <v/>
      </c>
      <c r="K2664" s="7" t="str">
        <f t="array" ref="K2664">IF(ROWS(K$20:K2664)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2664))))</f>
        <v/>
      </c>
      <c r="L2664" s="4" t="str">
        <f t="array" ref="L2664">IF(ROWS(L$20:L2664)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2664))))</f>
        <v/>
      </c>
      <c r="M2664" s="4" t="str">
        <f t="array" ref="M2664">IF(ROWS(M$20:M2664)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2664))))</f>
        <v/>
      </c>
    </row>
    <row r="2665" spans="1:13" x14ac:dyDescent="0.25">
      <c r="A2665" s="3">
        <v>41585</v>
      </c>
      <c r="B2665" s="2" t="s">
        <v>28</v>
      </c>
      <c r="C2665" s="2">
        <v>7</v>
      </c>
      <c r="G2665" s="7" t="str">
        <f t="array" ref="G2665">IF(ROWS(K$20:K2665)&gt;$F$6,"",INDEX(A$2:A$10000,SMALL(IF(ISNUMBER(MATCH($B$2:$B$10000,$E$6:$E$22,0)),ROW($C$2:$C$10000)-ROW($C$2)+1),ROWS(K$20:K2665))))</f>
        <v/>
      </c>
      <c r="H2665" s="4" t="str">
        <f t="array" ref="H2665">IF(ROWS(L$20:L2665)&gt;$F$6,"",INDEX(B$2:B$10000,SMALL(IF(ISNUMBER(MATCH($B$2:$B$10000,$E$6:$E$22,0)),ROW($C$2:$C$10000)-ROW($C$2)+1),ROWS(L$20:L2665))))</f>
        <v/>
      </c>
      <c r="I2665" s="4" t="str">
        <f t="array" ref="I2665">IF(ROWS(M$20:M2665)&gt;$F$6,"",INDEX(C$2:C$10000,SMALL(IF(ISNUMBER(MATCH($B$2:$B$10000,$E$6:$E$22,0)),ROW($C$2:$C$10000)-ROW($C$2)+1),ROWS(M$20:M2665))))</f>
        <v/>
      </c>
      <c r="K2665" s="7" t="str">
        <f t="array" ref="K2665">IF(ROWS(K$20:K2665)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2665))))</f>
        <v/>
      </c>
      <c r="L2665" s="4" t="str">
        <f t="array" ref="L2665">IF(ROWS(L$20:L2665)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2665))))</f>
        <v/>
      </c>
      <c r="M2665" s="4" t="str">
        <f t="array" ref="M2665">IF(ROWS(M$20:M2665)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2665))))</f>
        <v/>
      </c>
    </row>
    <row r="2666" spans="1:13" x14ac:dyDescent="0.25">
      <c r="A2666" s="3">
        <v>41413</v>
      </c>
      <c r="B2666" s="2" t="s">
        <v>24</v>
      </c>
      <c r="C2666" s="2">
        <v>29</v>
      </c>
      <c r="G2666" s="7" t="str">
        <f t="array" ref="G2666">IF(ROWS(K$20:K2666)&gt;$F$6,"",INDEX(A$2:A$10000,SMALL(IF(ISNUMBER(MATCH($B$2:$B$10000,$E$6:$E$22,0)),ROW($C$2:$C$10000)-ROW($C$2)+1),ROWS(K$20:K2666))))</f>
        <v/>
      </c>
      <c r="H2666" s="4" t="str">
        <f t="array" ref="H2666">IF(ROWS(L$20:L2666)&gt;$F$6,"",INDEX(B$2:B$10000,SMALL(IF(ISNUMBER(MATCH($B$2:$B$10000,$E$6:$E$22,0)),ROW($C$2:$C$10000)-ROW($C$2)+1),ROWS(L$20:L2666))))</f>
        <v/>
      </c>
      <c r="I2666" s="4" t="str">
        <f t="array" ref="I2666">IF(ROWS(M$20:M2666)&gt;$F$6,"",INDEX(C$2:C$10000,SMALL(IF(ISNUMBER(MATCH($B$2:$B$10000,$E$6:$E$22,0)),ROW($C$2:$C$10000)-ROW($C$2)+1),ROWS(M$20:M2666))))</f>
        <v/>
      </c>
      <c r="K2666" s="7" t="str">
        <f t="array" ref="K2666">IF(ROWS(K$20:K2666)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2666))))</f>
        <v/>
      </c>
      <c r="L2666" s="4" t="str">
        <f t="array" ref="L2666">IF(ROWS(L$20:L2666)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2666))))</f>
        <v/>
      </c>
      <c r="M2666" s="4" t="str">
        <f t="array" ref="M2666">IF(ROWS(M$20:M2666)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2666))))</f>
        <v/>
      </c>
    </row>
    <row r="2667" spans="1:13" x14ac:dyDescent="0.25">
      <c r="A2667" s="3">
        <v>41505</v>
      </c>
      <c r="B2667" s="2" t="s">
        <v>41</v>
      </c>
      <c r="C2667" s="2">
        <v>25</v>
      </c>
      <c r="G2667" s="7" t="str">
        <f t="array" ref="G2667">IF(ROWS(K$20:K2667)&gt;$F$6,"",INDEX(A$2:A$10000,SMALL(IF(ISNUMBER(MATCH($B$2:$B$10000,$E$6:$E$22,0)),ROW($C$2:$C$10000)-ROW($C$2)+1),ROWS(K$20:K2667))))</f>
        <v/>
      </c>
      <c r="H2667" s="4" t="str">
        <f t="array" ref="H2667">IF(ROWS(L$20:L2667)&gt;$F$6,"",INDEX(B$2:B$10000,SMALL(IF(ISNUMBER(MATCH($B$2:$B$10000,$E$6:$E$22,0)),ROW($C$2:$C$10000)-ROW($C$2)+1),ROWS(L$20:L2667))))</f>
        <v/>
      </c>
      <c r="I2667" s="4" t="str">
        <f t="array" ref="I2667">IF(ROWS(M$20:M2667)&gt;$F$6,"",INDEX(C$2:C$10000,SMALL(IF(ISNUMBER(MATCH($B$2:$B$10000,$E$6:$E$22,0)),ROW($C$2:$C$10000)-ROW($C$2)+1),ROWS(M$20:M2667))))</f>
        <v/>
      </c>
      <c r="K2667" s="7" t="str">
        <f t="array" ref="K2667">IF(ROWS(K$20:K2667)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2667))))</f>
        <v/>
      </c>
      <c r="L2667" s="4" t="str">
        <f t="array" ref="L2667">IF(ROWS(L$20:L2667)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2667))))</f>
        <v/>
      </c>
      <c r="M2667" s="4" t="str">
        <f t="array" ref="M2667">IF(ROWS(M$20:M2667)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2667))))</f>
        <v/>
      </c>
    </row>
    <row r="2668" spans="1:13" x14ac:dyDescent="0.25">
      <c r="A2668" s="3">
        <v>41294</v>
      </c>
      <c r="B2668" s="2" t="s">
        <v>49</v>
      </c>
      <c r="C2668" s="2">
        <v>10</v>
      </c>
      <c r="G2668" s="7" t="str">
        <f t="array" ref="G2668">IF(ROWS(K$20:K2668)&gt;$F$6,"",INDEX(A$2:A$10000,SMALL(IF(ISNUMBER(MATCH($B$2:$B$10000,$E$6:$E$22,0)),ROW($C$2:$C$10000)-ROW($C$2)+1),ROWS(K$20:K2668))))</f>
        <v/>
      </c>
      <c r="H2668" s="4" t="str">
        <f t="array" ref="H2668">IF(ROWS(L$20:L2668)&gt;$F$6,"",INDEX(B$2:B$10000,SMALL(IF(ISNUMBER(MATCH($B$2:$B$10000,$E$6:$E$22,0)),ROW($C$2:$C$10000)-ROW($C$2)+1),ROWS(L$20:L2668))))</f>
        <v/>
      </c>
      <c r="I2668" s="4" t="str">
        <f t="array" ref="I2668">IF(ROWS(M$20:M2668)&gt;$F$6,"",INDEX(C$2:C$10000,SMALL(IF(ISNUMBER(MATCH($B$2:$B$10000,$E$6:$E$22,0)),ROW($C$2:$C$10000)-ROW($C$2)+1),ROWS(M$20:M2668))))</f>
        <v/>
      </c>
      <c r="K2668" s="7" t="str">
        <f t="array" ref="K2668">IF(ROWS(K$20:K2668)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2668))))</f>
        <v/>
      </c>
      <c r="L2668" s="4" t="str">
        <f t="array" ref="L2668">IF(ROWS(L$20:L2668)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2668))))</f>
        <v/>
      </c>
      <c r="M2668" s="4" t="str">
        <f t="array" ref="M2668">IF(ROWS(M$20:M2668)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2668))))</f>
        <v/>
      </c>
    </row>
    <row r="2669" spans="1:13" x14ac:dyDescent="0.25">
      <c r="A2669" s="3">
        <v>42000</v>
      </c>
      <c r="B2669" s="2" t="s">
        <v>43</v>
      </c>
      <c r="C2669" s="2">
        <v>36</v>
      </c>
      <c r="G2669" s="7" t="str">
        <f t="array" ref="G2669">IF(ROWS(K$20:K2669)&gt;$F$6,"",INDEX(A$2:A$10000,SMALL(IF(ISNUMBER(MATCH($B$2:$B$10000,$E$6:$E$22,0)),ROW($C$2:$C$10000)-ROW($C$2)+1),ROWS(K$20:K2669))))</f>
        <v/>
      </c>
      <c r="H2669" s="4" t="str">
        <f t="array" ref="H2669">IF(ROWS(L$20:L2669)&gt;$F$6,"",INDEX(B$2:B$10000,SMALL(IF(ISNUMBER(MATCH($B$2:$B$10000,$E$6:$E$22,0)),ROW($C$2:$C$10000)-ROW($C$2)+1),ROWS(L$20:L2669))))</f>
        <v/>
      </c>
      <c r="I2669" s="4" t="str">
        <f t="array" ref="I2669">IF(ROWS(M$20:M2669)&gt;$F$6,"",INDEX(C$2:C$10000,SMALL(IF(ISNUMBER(MATCH($B$2:$B$10000,$E$6:$E$22,0)),ROW($C$2:$C$10000)-ROW($C$2)+1),ROWS(M$20:M2669))))</f>
        <v/>
      </c>
      <c r="K2669" s="7" t="str">
        <f t="array" ref="K2669">IF(ROWS(K$20:K2669)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2669))))</f>
        <v/>
      </c>
      <c r="L2669" s="4" t="str">
        <f t="array" ref="L2669">IF(ROWS(L$20:L2669)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2669))))</f>
        <v/>
      </c>
      <c r="M2669" s="4" t="str">
        <f t="array" ref="M2669">IF(ROWS(M$20:M2669)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2669))))</f>
        <v/>
      </c>
    </row>
    <row r="2670" spans="1:13" x14ac:dyDescent="0.25">
      <c r="A2670" s="3">
        <v>41959</v>
      </c>
      <c r="B2670" s="2" t="s">
        <v>25</v>
      </c>
      <c r="C2670" s="2">
        <v>6</v>
      </c>
      <c r="G2670" s="7" t="str">
        <f t="array" ref="G2670">IF(ROWS(K$20:K2670)&gt;$F$6,"",INDEX(A$2:A$10000,SMALL(IF(ISNUMBER(MATCH($B$2:$B$10000,$E$6:$E$22,0)),ROW($C$2:$C$10000)-ROW($C$2)+1),ROWS(K$20:K2670))))</f>
        <v/>
      </c>
      <c r="H2670" s="4" t="str">
        <f t="array" ref="H2670">IF(ROWS(L$20:L2670)&gt;$F$6,"",INDEX(B$2:B$10000,SMALL(IF(ISNUMBER(MATCH($B$2:$B$10000,$E$6:$E$22,0)),ROW($C$2:$C$10000)-ROW($C$2)+1),ROWS(L$20:L2670))))</f>
        <v/>
      </c>
      <c r="I2670" s="4" t="str">
        <f t="array" ref="I2670">IF(ROWS(M$20:M2670)&gt;$F$6,"",INDEX(C$2:C$10000,SMALL(IF(ISNUMBER(MATCH($B$2:$B$10000,$E$6:$E$22,0)),ROW($C$2:$C$10000)-ROW($C$2)+1),ROWS(M$20:M2670))))</f>
        <v/>
      </c>
      <c r="K2670" s="7" t="str">
        <f t="array" ref="K2670">IF(ROWS(K$20:K2670)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2670))))</f>
        <v/>
      </c>
      <c r="L2670" s="4" t="str">
        <f t="array" ref="L2670">IF(ROWS(L$20:L2670)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2670))))</f>
        <v/>
      </c>
      <c r="M2670" s="4" t="str">
        <f t="array" ref="M2670">IF(ROWS(M$20:M2670)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2670))))</f>
        <v/>
      </c>
    </row>
    <row r="2671" spans="1:13" x14ac:dyDescent="0.25">
      <c r="A2671" s="3">
        <v>41894</v>
      </c>
      <c r="B2671" s="2" t="s">
        <v>44</v>
      </c>
      <c r="C2671" s="2">
        <v>8</v>
      </c>
      <c r="G2671" s="7" t="str">
        <f t="array" ref="G2671">IF(ROWS(K$20:K2671)&gt;$F$6,"",INDEX(A$2:A$10000,SMALL(IF(ISNUMBER(MATCH($B$2:$B$10000,$E$6:$E$22,0)),ROW($C$2:$C$10000)-ROW($C$2)+1),ROWS(K$20:K2671))))</f>
        <v/>
      </c>
      <c r="H2671" s="4" t="str">
        <f t="array" ref="H2671">IF(ROWS(L$20:L2671)&gt;$F$6,"",INDEX(B$2:B$10000,SMALL(IF(ISNUMBER(MATCH($B$2:$B$10000,$E$6:$E$22,0)),ROW($C$2:$C$10000)-ROW($C$2)+1),ROWS(L$20:L2671))))</f>
        <v/>
      </c>
      <c r="I2671" s="4" t="str">
        <f t="array" ref="I2671">IF(ROWS(M$20:M2671)&gt;$F$6,"",INDEX(C$2:C$10000,SMALL(IF(ISNUMBER(MATCH($B$2:$B$10000,$E$6:$E$22,0)),ROW($C$2:$C$10000)-ROW($C$2)+1),ROWS(M$20:M2671))))</f>
        <v/>
      </c>
      <c r="K2671" s="7" t="str">
        <f t="array" ref="K2671">IF(ROWS(K$20:K2671)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2671))))</f>
        <v/>
      </c>
      <c r="L2671" s="4" t="str">
        <f t="array" ref="L2671">IF(ROWS(L$20:L2671)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2671))))</f>
        <v/>
      </c>
      <c r="M2671" s="4" t="str">
        <f t="array" ref="M2671">IF(ROWS(M$20:M2671)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2671))))</f>
        <v/>
      </c>
    </row>
    <row r="2672" spans="1:13" x14ac:dyDescent="0.25">
      <c r="A2672" s="3">
        <v>41980</v>
      </c>
      <c r="B2672" s="2" t="s">
        <v>33</v>
      </c>
      <c r="C2672" s="2">
        <v>21</v>
      </c>
      <c r="G2672" s="7" t="str">
        <f t="array" ref="G2672">IF(ROWS(K$20:K2672)&gt;$F$6,"",INDEX(A$2:A$10000,SMALL(IF(ISNUMBER(MATCH($B$2:$B$10000,$E$6:$E$22,0)),ROW($C$2:$C$10000)-ROW($C$2)+1),ROWS(K$20:K2672))))</f>
        <v/>
      </c>
      <c r="H2672" s="4" t="str">
        <f t="array" ref="H2672">IF(ROWS(L$20:L2672)&gt;$F$6,"",INDEX(B$2:B$10000,SMALL(IF(ISNUMBER(MATCH($B$2:$B$10000,$E$6:$E$22,0)),ROW($C$2:$C$10000)-ROW($C$2)+1),ROWS(L$20:L2672))))</f>
        <v/>
      </c>
      <c r="I2672" s="4" t="str">
        <f t="array" ref="I2672">IF(ROWS(M$20:M2672)&gt;$F$6,"",INDEX(C$2:C$10000,SMALL(IF(ISNUMBER(MATCH($B$2:$B$10000,$E$6:$E$22,0)),ROW($C$2:$C$10000)-ROW($C$2)+1),ROWS(M$20:M2672))))</f>
        <v/>
      </c>
      <c r="K2672" s="7" t="str">
        <f t="array" ref="K2672">IF(ROWS(K$20:K2672)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2672))))</f>
        <v/>
      </c>
      <c r="L2672" s="4" t="str">
        <f t="array" ref="L2672">IF(ROWS(L$20:L2672)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2672))))</f>
        <v/>
      </c>
      <c r="M2672" s="4" t="str">
        <f t="array" ref="M2672">IF(ROWS(M$20:M2672)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2672))))</f>
        <v/>
      </c>
    </row>
    <row r="2673" spans="1:13" x14ac:dyDescent="0.25">
      <c r="A2673" s="3">
        <v>41700</v>
      </c>
      <c r="B2673" s="2" t="s">
        <v>31</v>
      </c>
      <c r="C2673" s="2">
        <v>23</v>
      </c>
      <c r="G2673" s="7" t="str">
        <f t="array" ref="G2673">IF(ROWS(K$20:K2673)&gt;$F$6,"",INDEX(A$2:A$10000,SMALL(IF(ISNUMBER(MATCH($B$2:$B$10000,$E$6:$E$22,0)),ROW($C$2:$C$10000)-ROW($C$2)+1),ROWS(K$20:K2673))))</f>
        <v/>
      </c>
      <c r="H2673" s="4" t="str">
        <f t="array" ref="H2673">IF(ROWS(L$20:L2673)&gt;$F$6,"",INDEX(B$2:B$10000,SMALL(IF(ISNUMBER(MATCH($B$2:$B$10000,$E$6:$E$22,0)),ROW($C$2:$C$10000)-ROW($C$2)+1),ROWS(L$20:L2673))))</f>
        <v/>
      </c>
      <c r="I2673" s="4" t="str">
        <f t="array" ref="I2673">IF(ROWS(M$20:M2673)&gt;$F$6,"",INDEX(C$2:C$10000,SMALL(IF(ISNUMBER(MATCH($B$2:$B$10000,$E$6:$E$22,0)),ROW($C$2:$C$10000)-ROW($C$2)+1),ROWS(M$20:M2673))))</f>
        <v/>
      </c>
      <c r="K2673" s="7" t="str">
        <f t="array" ref="K2673">IF(ROWS(K$20:K2673)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2673))))</f>
        <v/>
      </c>
      <c r="L2673" s="4" t="str">
        <f t="array" ref="L2673">IF(ROWS(L$20:L2673)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2673))))</f>
        <v/>
      </c>
      <c r="M2673" s="4" t="str">
        <f t="array" ref="M2673">IF(ROWS(M$20:M2673)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2673))))</f>
        <v/>
      </c>
    </row>
    <row r="2674" spans="1:13" x14ac:dyDescent="0.25">
      <c r="A2674" s="3">
        <v>41613</v>
      </c>
      <c r="B2674" s="2" t="s">
        <v>39</v>
      </c>
      <c r="C2674" s="2">
        <v>47</v>
      </c>
      <c r="G2674" s="7" t="str">
        <f t="array" ref="G2674">IF(ROWS(K$20:K2674)&gt;$F$6,"",INDEX(A$2:A$10000,SMALL(IF(ISNUMBER(MATCH($B$2:$B$10000,$E$6:$E$22,0)),ROW($C$2:$C$10000)-ROW($C$2)+1),ROWS(K$20:K2674))))</f>
        <v/>
      </c>
      <c r="H2674" s="4" t="str">
        <f t="array" ref="H2674">IF(ROWS(L$20:L2674)&gt;$F$6,"",INDEX(B$2:B$10000,SMALL(IF(ISNUMBER(MATCH($B$2:$B$10000,$E$6:$E$22,0)),ROW($C$2:$C$10000)-ROW($C$2)+1),ROWS(L$20:L2674))))</f>
        <v/>
      </c>
      <c r="I2674" s="4" t="str">
        <f t="array" ref="I2674">IF(ROWS(M$20:M2674)&gt;$F$6,"",INDEX(C$2:C$10000,SMALL(IF(ISNUMBER(MATCH($B$2:$B$10000,$E$6:$E$22,0)),ROW($C$2:$C$10000)-ROW($C$2)+1),ROWS(M$20:M2674))))</f>
        <v/>
      </c>
      <c r="K2674" s="7" t="str">
        <f t="array" ref="K2674">IF(ROWS(K$20:K2674)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2674))))</f>
        <v/>
      </c>
      <c r="L2674" s="4" t="str">
        <f t="array" ref="L2674">IF(ROWS(L$20:L2674)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2674))))</f>
        <v/>
      </c>
      <c r="M2674" s="4" t="str">
        <f t="array" ref="M2674">IF(ROWS(M$20:M2674)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2674))))</f>
        <v/>
      </c>
    </row>
    <row r="2675" spans="1:13" x14ac:dyDescent="0.25">
      <c r="A2675" s="3">
        <v>41723</v>
      </c>
      <c r="B2675" s="2" t="s">
        <v>48</v>
      </c>
      <c r="C2675" s="2">
        <v>48</v>
      </c>
      <c r="G2675" s="7" t="str">
        <f t="array" ref="G2675">IF(ROWS(K$20:K2675)&gt;$F$6,"",INDEX(A$2:A$10000,SMALL(IF(ISNUMBER(MATCH($B$2:$B$10000,$E$6:$E$22,0)),ROW($C$2:$C$10000)-ROW($C$2)+1),ROWS(K$20:K2675))))</f>
        <v/>
      </c>
      <c r="H2675" s="4" t="str">
        <f t="array" ref="H2675">IF(ROWS(L$20:L2675)&gt;$F$6,"",INDEX(B$2:B$10000,SMALL(IF(ISNUMBER(MATCH($B$2:$B$10000,$E$6:$E$22,0)),ROW($C$2:$C$10000)-ROW($C$2)+1),ROWS(L$20:L2675))))</f>
        <v/>
      </c>
      <c r="I2675" s="4" t="str">
        <f t="array" ref="I2675">IF(ROWS(M$20:M2675)&gt;$F$6,"",INDEX(C$2:C$10000,SMALL(IF(ISNUMBER(MATCH($B$2:$B$10000,$E$6:$E$22,0)),ROW($C$2:$C$10000)-ROW($C$2)+1),ROWS(M$20:M2675))))</f>
        <v/>
      </c>
      <c r="K2675" s="7" t="str">
        <f t="array" ref="K2675">IF(ROWS(K$20:K2675)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2675))))</f>
        <v/>
      </c>
      <c r="L2675" s="4" t="str">
        <f t="array" ref="L2675">IF(ROWS(L$20:L2675)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2675))))</f>
        <v/>
      </c>
      <c r="M2675" s="4" t="str">
        <f t="array" ref="M2675">IF(ROWS(M$20:M2675)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2675))))</f>
        <v/>
      </c>
    </row>
    <row r="2676" spans="1:13" x14ac:dyDescent="0.25">
      <c r="A2676" s="3">
        <v>41414</v>
      </c>
      <c r="B2676" s="2" t="s">
        <v>11</v>
      </c>
      <c r="C2676" s="2">
        <v>47</v>
      </c>
      <c r="G2676" s="7" t="str">
        <f t="array" ref="G2676">IF(ROWS(K$20:K2676)&gt;$F$6,"",INDEX(A$2:A$10000,SMALL(IF(ISNUMBER(MATCH($B$2:$B$10000,$E$6:$E$22,0)),ROW($C$2:$C$10000)-ROW($C$2)+1),ROWS(K$20:K2676))))</f>
        <v/>
      </c>
      <c r="H2676" s="4" t="str">
        <f t="array" ref="H2676">IF(ROWS(L$20:L2676)&gt;$F$6,"",INDEX(B$2:B$10000,SMALL(IF(ISNUMBER(MATCH($B$2:$B$10000,$E$6:$E$22,0)),ROW($C$2:$C$10000)-ROW($C$2)+1),ROWS(L$20:L2676))))</f>
        <v/>
      </c>
      <c r="I2676" s="4" t="str">
        <f t="array" ref="I2676">IF(ROWS(M$20:M2676)&gt;$F$6,"",INDEX(C$2:C$10000,SMALL(IF(ISNUMBER(MATCH($B$2:$B$10000,$E$6:$E$22,0)),ROW($C$2:$C$10000)-ROW($C$2)+1),ROWS(M$20:M2676))))</f>
        <v/>
      </c>
      <c r="K2676" s="7" t="str">
        <f t="array" ref="K2676">IF(ROWS(K$20:K2676)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2676))))</f>
        <v/>
      </c>
      <c r="L2676" s="4" t="str">
        <f t="array" ref="L2676">IF(ROWS(L$20:L2676)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2676))))</f>
        <v/>
      </c>
      <c r="M2676" s="4" t="str">
        <f t="array" ref="M2676">IF(ROWS(M$20:M2676)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2676))))</f>
        <v/>
      </c>
    </row>
    <row r="2677" spans="1:13" x14ac:dyDescent="0.25">
      <c r="A2677" s="3">
        <v>41525</v>
      </c>
      <c r="B2677" s="2" t="s">
        <v>10</v>
      </c>
      <c r="C2677" s="2">
        <v>28</v>
      </c>
      <c r="G2677" s="7" t="str">
        <f t="array" ref="G2677">IF(ROWS(K$20:K2677)&gt;$F$6,"",INDEX(A$2:A$10000,SMALL(IF(ISNUMBER(MATCH($B$2:$B$10000,$E$6:$E$22,0)),ROW($C$2:$C$10000)-ROW($C$2)+1),ROWS(K$20:K2677))))</f>
        <v/>
      </c>
      <c r="H2677" s="4" t="str">
        <f t="array" ref="H2677">IF(ROWS(L$20:L2677)&gt;$F$6,"",INDEX(B$2:B$10000,SMALL(IF(ISNUMBER(MATCH($B$2:$B$10000,$E$6:$E$22,0)),ROW($C$2:$C$10000)-ROW($C$2)+1),ROWS(L$20:L2677))))</f>
        <v/>
      </c>
      <c r="I2677" s="4" t="str">
        <f t="array" ref="I2677">IF(ROWS(M$20:M2677)&gt;$F$6,"",INDEX(C$2:C$10000,SMALL(IF(ISNUMBER(MATCH($B$2:$B$10000,$E$6:$E$22,0)),ROW($C$2:$C$10000)-ROW($C$2)+1),ROWS(M$20:M2677))))</f>
        <v/>
      </c>
      <c r="K2677" s="7" t="str">
        <f t="array" ref="K2677">IF(ROWS(K$20:K2677)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2677))))</f>
        <v/>
      </c>
      <c r="L2677" s="4" t="str">
        <f t="array" ref="L2677">IF(ROWS(L$20:L2677)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2677))))</f>
        <v/>
      </c>
      <c r="M2677" s="4" t="str">
        <f t="array" ref="M2677">IF(ROWS(M$20:M2677)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2677))))</f>
        <v/>
      </c>
    </row>
    <row r="2678" spans="1:13" x14ac:dyDescent="0.25">
      <c r="A2678" s="3">
        <v>41713</v>
      </c>
      <c r="B2678" s="2" t="s">
        <v>43</v>
      </c>
      <c r="C2678" s="2">
        <v>6</v>
      </c>
      <c r="G2678" s="7" t="str">
        <f t="array" ref="G2678">IF(ROWS(K$20:K2678)&gt;$F$6,"",INDEX(A$2:A$10000,SMALL(IF(ISNUMBER(MATCH($B$2:$B$10000,$E$6:$E$22,0)),ROW($C$2:$C$10000)-ROW($C$2)+1),ROWS(K$20:K2678))))</f>
        <v/>
      </c>
      <c r="H2678" s="4" t="str">
        <f t="array" ref="H2678">IF(ROWS(L$20:L2678)&gt;$F$6,"",INDEX(B$2:B$10000,SMALL(IF(ISNUMBER(MATCH($B$2:$B$10000,$E$6:$E$22,0)),ROW($C$2:$C$10000)-ROW($C$2)+1),ROWS(L$20:L2678))))</f>
        <v/>
      </c>
      <c r="I2678" s="4" t="str">
        <f t="array" ref="I2678">IF(ROWS(M$20:M2678)&gt;$F$6,"",INDEX(C$2:C$10000,SMALL(IF(ISNUMBER(MATCH($B$2:$B$10000,$E$6:$E$22,0)),ROW($C$2:$C$10000)-ROW($C$2)+1),ROWS(M$20:M2678))))</f>
        <v/>
      </c>
      <c r="K2678" s="7" t="str">
        <f t="array" ref="K2678">IF(ROWS(K$20:K2678)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2678))))</f>
        <v/>
      </c>
      <c r="L2678" s="4" t="str">
        <f t="array" ref="L2678">IF(ROWS(L$20:L2678)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2678))))</f>
        <v/>
      </c>
      <c r="M2678" s="4" t="str">
        <f t="array" ref="M2678">IF(ROWS(M$20:M2678)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2678))))</f>
        <v/>
      </c>
    </row>
    <row r="2679" spans="1:13" x14ac:dyDescent="0.25">
      <c r="A2679" s="3">
        <v>41431</v>
      </c>
      <c r="B2679" s="2" t="s">
        <v>7</v>
      </c>
      <c r="C2679" s="2">
        <v>33</v>
      </c>
      <c r="G2679" s="7" t="str">
        <f t="array" ref="G2679">IF(ROWS(K$20:K2679)&gt;$F$6,"",INDEX(A$2:A$10000,SMALL(IF(ISNUMBER(MATCH($B$2:$B$10000,$E$6:$E$22,0)),ROW($C$2:$C$10000)-ROW($C$2)+1),ROWS(K$20:K2679))))</f>
        <v/>
      </c>
      <c r="H2679" s="4" t="str">
        <f t="array" ref="H2679">IF(ROWS(L$20:L2679)&gt;$F$6,"",INDEX(B$2:B$10000,SMALL(IF(ISNUMBER(MATCH($B$2:$B$10000,$E$6:$E$22,0)),ROW($C$2:$C$10000)-ROW($C$2)+1),ROWS(L$20:L2679))))</f>
        <v/>
      </c>
      <c r="I2679" s="4" t="str">
        <f t="array" ref="I2679">IF(ROWS(M$20:M2679)&gt;$F$6,"",INDEX(C$2:C$10000,SMALL(IF(ISNUMBER(MATCH($B$2:$B$10000,$E$6:$E$22,0)),ROW($C$2:$C$10000)-ROW($C$2)+1),ROWS(M$20:M2679))))</f>
        <v/>
      </c>
      <c r="K2679" s="7" t="str">
        <f t="array" ref="K2679">IF(ROWS(K$20:K2679)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2679))))</f>
        <v/>
      </c>
      <c r="L2679" s="4" t="str">
        <f t="array" ref="L2679">IF(ROWS(L$20:L2679)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2679))))</f>
        <v/>
      </c>
      <c r="M2679" s="4" t="str">
        <f t="array" ref="M2679">IF(ROWS(M$20:M2679)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2679))))</f>
        <v/>
      </c>
    </row>
    <row r="2680" spans="1:13" x14ac:dyDescent="0.25">
      <c r="A2680" s="3">
        <v>41545</v>
      </c>
      <c r="B2680" s="2" t="s">
        <v>30</v>
      </c>
      <c r="C2680" s="2">
        <v>21</v>
      </c>
      <c r="G2680" s="7" t="str">
        <f t="array" ref="G2680">IF(ROWS(K$20:K2680)&gt;$F$6,"",INDEX(A$2:A$10000,SMALL(IF(ISNUMBER(MATCH($B$2:$B$10000,$E$6:$E$22,0)),ROW($C$2:$C$10000)-ROW($C$2)+1),ROWS(K$20:K2680))))</f>
        <v/>
      </c>
      <c r="H2680" s="4" t="str">
        <f t="array" ref="H2680">IF(ROWS(L$20:L2680)&gt;$F$6,"",INDEX(B$2:B$10000,SMALL(IF(ISNUMBER(MATCH($B$2:$B$10000,$E$6:$E$22,0)),ROW($C$2:$C$10000)-ROW($C$2)+1),ROWS(L$20:L2680))))</f>
        <v/>
      </c>
      <c r="I2680" s="4" t="str">
        <f t="array" ref="I2680">IF(ROWS(M$20:M2680)&gt;$F$6,"",INDEX(C$2:C$10000,SMALL(IF(ISNUMBER(MATCH($B$2:$B$10000,$E$6:$E$22,0)),ROW($C$2:$C$10000)-ROW($C$2)+1),ROWS(M$20:M2680))))</f>
        <v/>
      </c>
      <c r="K2680" s="7" t="str">
        <f t="array" ref="K2680">IF(ROWS(K$20:K2680)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2680))))</f>
        <v/>
      </c>
      <c r="L2680" s="4" t="str">
        <f t="array" ref="L2680">IF(ROWS(L$20:L2680)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2680))))</f>
        <v/>
      </c>
      <c r="M2680" s="4" t="str">
        <f t="array" ref="M2680">IF(ROWS(M$20:M2680)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2680))))</f>
        <v/>
      </c>
    </row>
    <row r="2681" spans="1:13" x14ac:dyDescent="0.25">
      <c r="A2681" s="3">
        <v>41314</v>
      </c>
      <c r="B2681" s="2" t="s">
        <v>51</v>
      </c>
      <c r="C2681" s="2">
        <v>2</v>
      </c>
      <c r="G2681" s="7" t="str">
        <f t="array" ref="G2681">IF(ROWS(K$20:K2681)&gt;$F$6,"",INDEX(A$2:A$10000,SMALL(IF(ISNUMBER(MATCH($B$2:$B$10000,$E$6:$E$22,0)),ROW($C$2:$C$10000)-ROW($C$2)+1),ROWS(K$20:K2681))))</f>
        <v/>
      </c>
      <c r="H2681" s="4" t="str">
        <f t="array" ref="H2681">IF(ROWS(L$20:L2681)&gt;$F$6,"",INDEX(B$2:B$10000,SMALL(IF(ISNUMBER(MATCH($B$2:$B$10000,$E$6:$E$22,0)),ROW($C$2:$C$10000)-ROW($C$2)+1),ROWS(L$20:L2681))))</f>
        <v/>
      </c>
      <c r="I2681" s="4" t="str">
        <f t="array" ref="I2681">IF(ROWS(M$20:M2681)&gt;$F$6,"",INDEX(C$2:C$10000,SMALL(IF(ISNUMBER(MATCH($B$2:$B$10000,$E$6:$E$22,0)),ROW($C$2:$C$10000)-ROW($C$2)+1),ROWS(M$20:M2681))))</f>
        <v/>
      </c>
      <c r="K2681" s="7" t="str">
        <f t="array" ref="K2681">IF(ROWS(K$20:K2681)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2681))))</f>
        <v/>
      </c>
      <c r="L2681" s="4" t="str">
        <f t="array" ref="L2681">IF(ROWS(L$20:L2681)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2681))))</f>
        <v/>
      </c>
      <c r="M2681" s="4" t="str">
        <f t="array" ref="M2681">IF(ROWS(M$20:M2681)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2681))))</f>
        <v/>
      </c>
    </row>
    <row r="2682" spans="1:13" x14ac:dyDescent="0.25">
      <c r="A2682" s="3">
        <v>41390</v>
      </c>
      <c r="B2682" s="2" t="s">
        <v>29</v>
      </c>
      <c r="C2682" s="2">
        <v>6</v>
      </c>
      <c r="G2682" s="7" t="str">
        <f t="array" ref="G2682">IF(ROWS(K$20:K2682)&gt;$F$6,"",INDEX(A$2:A$10000,SMALL(IF(ISNUMBER(MATCH($B$2:$B$10000,$E$6:$E$22,0)),ROW($C$2:$C$10000)-ROW($C$2)+1),ROWS(K$20:K2682))))</f>
        <v/>
      </c>
      <c r="H2682" s="4" t="str">
        <f t="array" ref="H2682">IF(ROWS(L$20:L2682)&gt;$F$6,"",INDEX(B$2:B$10000,SMALL(IF(ISNUMBER(MATCH($B$2:$B$10000,$E$6:$E$22,0)),ROW($C$2:$C$10000)-ROW($C$2)+1),ROWS(L$20:L2682))))</f>
        <v/>
      </c>
      <c r="I2682" s="4" t="str">
        <f t="array" ref="I2682">IF(ROWS(M$20:M2682)&gt;$F$6,"",INDEX(C$2:C$10000,SMALL(IF(ISNUMBER(MATCH($B$2:$B$10000,$E$6:$E$22,0)),ROW($C$2:$C$10000)-ROW($C$2)+1),ROWS(M$20:M2682))))</f>
        <v/>
      </c>
      <c r="K2682" s="7" t="str">
        <f t="array" ref="K2682">IF(ROWS(K$20:K2682)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2682))))</f>
        <v/>
      </c>
      <c r="L2682" s="4" t="str">
        <f t="array" ref="L2682">IF(ROWS(L$20:L2682)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2682))))</f>
        <v/>
      </c>
      <c r="M2682" s="4" t="str">
        <f t="array" ref="M2682">IF(ROWS(M$20:M2682)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2682))))</f>
        <v/>
      </c>
    </row>
    <row r="2683" spans="1:13" x14ac:dyDescent="0.25">
      <c r="A2683" s="3">
        <v>41528</v>
      </c>
      <c r="B2683" s="2" t="s">
        <v>9</v>
      </c>
      <c r="C2683" s="2">
        <v>53</v>
      </c>
      <c r="G2683" s="7" t="str">
        <f t="array" ref="G2683">IF(ROWS(K$20:K2683)&gt;$F$6,"",INDEX(A$2:A$10000,SMALL(IF(ISNUMBER(MATCH($B$2:$B$10000,$E$6:$E$22,0)),ROW($C$2:$C$10000)-ROW($C$2)+1),ROWS(K$20:K2683))))</f>
        <v/>
      </c>
      <c r="H2683" s="4" t="str">
        <f t="array" ref="H2683">IF(ROWS(L$20:L2683)&gt;$F$6,"",INDEX(B$2:B$10000,SMALL(IF(ISNUMBER(MATCH($B$2:$B$10000,$E$6:$E$22,0)),ROW($C$2:$C$10000)-ROW($C$2)+1),ROWS(L$20:L2683))))</f>
        <v/>
      </c>
      <c r="I2683" s="4" t="str">
        <f t="array" ref="I2683">IF(ROWS(M$20:M2683)&gt;$F$6,"",INDEX(C$2:C$10000,SMALL(IF(ISNUMBER(MATCH($B$2:$B$10000,$E$6:$E$22,0)),ROW($C$2:$C$10000)-ROW($C$2)+1),ROWS(M$20:M2683))))</f>
        <v/>
      </c>
      <c r="K2683" s="7" t="str">
        <f t="array" ref="K2683">IF(ROWS(K$20:K2683)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2683))))</f>
        <v/>
      </c>
      <c r="L2683" s="4" t="str">
        <f t="array" ref="L2683">IF(ROWS(L$20:L2683)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2683))))</f>
        <v/>
      </c>
      <c r="M2683" s="4" t="str">
        <f t="array" ref="M2683">IF(ROWS(M$20:M2683)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2683))))</f>
        <v/>
      </c>
    </row>
    <row r="2684" spans="1:13" x14ac:dyDescent="0.25">
      <c r="A2684" s="3">
        <v>41286</v>
      </c>
      <c r="B2684" s="2" t="s">
        <v>13</v>
      </c>
      <c r="C2684" s="2">
        <v>3</v>
      </c>
      <c r="G2684" s="7" t="str">
        <f t="array" ref="G2684">IF(ROWS(K$20:K2684)&gt;$F$6,"",INDEX(A$2:A$10000,SMALL(IF(ISNUMBER(MATCH($B$2:$B$10000,$E$6:$E$22,0)),ROW($C$2:$C$10000)-ROW($C$2)+1),ROWS(K$20:K2684))))</f>
        <v/>
      </c>
      <c r="H2684" s="4" t="str">
        <f t="array" ref="H2684">IF(ROWS(L$20:L2684)&gt;$F$6,"",INDEX(B$2:B$10000,SMALL(IF(ISNUMBER(MATCH($B$2:$B$10000,$E$6:$E$22,0)),ROW($C$2:$C$10000)-ROW($C$2)+1),ROWS(L$20:L2684))))</f>
        <v/>
      </c>
      <c r="I2684" s="4" t="str">
        <f t="array" ref="I2684">IF(ROWS(M$20:M2684)&gt;$F$6,"",INDEX(C$2:C$10000,SMALL(IF(ISNUMBER(MATCH($B$2:$B$10000,$E$6:$E$22,0)),ROW($C$2:$C$10000)-ROW($C$2)+1),ROWS(M$20:M2684))))</f>
        <v/>
      </c>
      <c r="K2684" s="7" t="str">
        <f t="array" ref="K2684">IF(ROWS(K$20:K2684)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2684))))</f>
        <v/>
      </c>
      <c r="L2684" s="4" t="str">
        <f t="array" ref="L2684">IF(ROWS(L$20:L2684)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2684))))</f>
        <v/>
      </c>
      <c r="M2684" s="4" t="str">
        <f t="array" ref="M2684">IF(ROWS(M$20:M2684)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2684))))</f>
        <v/>
      </c>
    </row>
    <row r="2685" spans="1:13" x14ac:dyDescent="0.25">
      <c r="A2685" s="3">
        <v>41676</v>
      </c>
      <c r="B2685" s="2" t="s">
        <v>40</v>
      </c>
      <c r="C2685" s="2">
        <v>47</v>
      </c>
      <c r="G2685" s="7" t="str">
        <f t="array" ref="G2685">IF(ROWS(K$20:K2685)&gt;$F$6,"",INDEX(A$2:A$10000,SMALL(IF(ISNUMBER(MATCH($B$2:$B$10000,$E$6:$E$22,0)),ROW($C$2:$C$10000)-ROW($C$2)+1),ROWS(K$20:K2685))))</f>
        <v/>
      </c>
      <c r="H2685" s="4" t="str">
        <f t="array" ref="H2685">IF(ROWS(L$20:L2685)&gt;$F$6,"",INDEX(B$2:B$10000,SMALL(IF(ISNUMBER(MATCH($B$2:$B$10000,$E$6:$E$22,0)),ROW($C$2:$C$10000)-ROW($C$2)+1),ROWS(L$20:L2685))))</f>
        <v/>
      </c>
      <c r="I2685" s="4" t="str">
        <f t="array" ref="I2685">IF(ROWS(M$20:M2685)&gt;$F$6,"",INDEX(C$2:C$10000,SMALL(IF(ISNUMBER(MATCH($B$2:$B$10000,$E$6:$E$22,0)),ROW($C$2:$C$10000)-ROW($C$2)+1),ROWS(M$20:M2685))))</f>
        <v/>
      </c>
      <c r="K2685" s="7" t="str">
        <f t="array" ref="K2685">IF(ROWS(K$20:K2685)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2685))))</f>
        <v/>
      </c>
      <c r="L2685" s="4" t="str">
        <f t="array" ref="L2685">IF(ROWS(L$20:L2685)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2685))))</f>
        <v/>
      </c>
      <c r="M2685" s="4" t="str">
        <f t="array" ref="M2685">IF(ROWS(M$20:M2685)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2685))))</f>
        <v/>
      </c>
    </row>
    <row r="2686" spans="1:13" x14ac:dyDescent="0.25">
      <c r="A2686" s="3">
        <v>41803</v>
      </c>
      <c r="B2686" s="2" t="s">
        <v>44</v>
      </c>
      <c r="C2686" s="2">
        <v>14</v>
      </c>
      <c r="G2686" s="7" t="str">
        <f t="array" ref="G2686">IF(ROWS(K$20:K2686)&gt;$F$6,"",INDEX(A$2:A$10000,SMALL(IF(ISNUMBER(MATCH($B$2:$B$10000,$E$6:$E$22,0)),ROW($C$2:$C$10000)-ROW($C$2)+1),ROWS(K$20:K2686))))</f>
        <v/>
      </c>
      <c r="H2686" s="4" t="str">
        <f t="array" ref="H2686">IF(ROWS(L$20:L2686)&gt;$F$6,"",INDEX(B$2:B$10000,SMALL(IF(ISNUMBER(MATCH($B$2:$B$10000,$E$6:$E$22,0)),ROW($C$2:$C$10000)-ROW($C$2)+1),ROWS(L$20:L2686))))</f>
        <v/>
      </c>
      <c r="I2686" s="4" t="str">
        <f t="array" ref="I2686">IF(ROWS(M$20:M2686)&gt;$F$6,"",INDEX(C$2:C$10000,SMALL(IF(ISNUMBER(MATCH($B$2:$B$10000,$E$6:$E$22,0)),ROW($C$2:$C$10000)-ROW($C$2)+1),ROWS(M$20:M2686))))</f>
        <v/>
      </c>
      <c r="K2686" s="7" t="str">
        <f t="array" ref="K2686">IF(ROWS(K$20:K2686)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2686))))</f>
        <v/>
      </c>
      <c r="L2686" s="4" t="str">
        <f t="array" ref="L2686">IF(ROWS(L$20:L2686)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2686))))</f>
        <v/>
      </c>
      <c r="M2686" s="4" t="str">
        <f t="array" ref="M2686">IF(ROWS(M$20:M2686)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2686))))</f>
        <v/>
      </c>
    </row>
    <row r="2687" spans="1:13" x14ac:dyDescent="0.25">
      <c r="A2687" s="3">
        <v>41374</v>
      </c>
      <c r="B2687" s="2" t="s">
        <v>10</v>
      </c>
      <c r="C2687" s="2">
        <v>20</v>
      </c>
      <c r="G2687" s="7" t="str">
        <f t="array" ref="G2687">IF(ROWS(K$20:K2687)&gt;$F$6,"",INDEX(A$2:A$10000,SMALL(IF(ISNUMBER(MATCH($B$2:$B$10000,$E$6:$E$22,0)),ROW($C$2:$C$10000)-ROW($C$2)+1),ROWS(K$20:K2687))))</f>
        <v/>
      </c>
      <c r="H2687" s="4" t="str">
        <f t="array" ref="H2687">IF(ROWS(L$20:L2687)&gt;$F$6,"",INDEX(B$2:B$10000,SMALL(IF(ISNUMBER(MATCH($B$2:$B$10000,$E$6:$E$22,0)),ROW($C$2:$C$10000)-ROW($C$2)+1),ROWS(L$20:L2687))))</f>
        <v/>
      </c>
      <c r="I2687" s="4" t="str">
        <f t="array" ref="I2687">IF(ROWS(M$20:M2687)&gt;$F$6,"",INDEX(C$2:C$10000,SMALL(IF(ISNUMBER(MATCH($B$2:$B$10000,$E$6:$E$22,0)),ROW($C$2:$C$10000)-ROW($C$2)+1),ROWS(M$20:M2687))))</f>
        <v/>
      </c>
      <c r="K2687" s="7" t="str">
        <f t="array" ref="K2687">IF(ROWS(K$20:K2687)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2687))))</f>
        <v/>
      </c>
      <c r="L2687" s="4" t="str">
        <f t="array" ref="L2687">IF(ROWS(L$20:L2687)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2687))))</f>
        <v/>
      </c>
      <c r="M2687" s="4" t="str">
        <f t="array" ref="M2687">IF(ROWS(M$20:M2687)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2687))))</f>
        <v/>
      </c>
    </row>
    <row r="2688" spans="1:13" x14ac:dyDescent="0.25">
      <c r="A2688" s="3">
        <v>41413</v>
      </c>
      <c r="B2688" s="2" t="s">
        <v>15</v>
      </c>
      <c r="C2688" s="2">
        <v>28</v>
      </c>
      <c r="G2688" s="7" t="str">
        <f t="array" ref="G2688">IF(ROWS(K$20:K2688)&gt;$F$6,"",INDEX(A$2:A$10000,SMALL(IF(ISNUMBER(MATCH($B$2:$B$10000,$E$6:$E$22,0)),ROW($C$2:$C$10000)-ROW($C$2)+1),ROWS(K$20:K2688))))</f>
        <v/>
      </c>
      <c r="H2688" s="4" t="str">
        <f t="array" ref="H2688">IF(ROWS(L$20:L2688)&gt;$F$6,"",INDEX(B$2:B$10000,SMALL(IF(ISNUMBER(MATCH($B$2:$B$10000,$E$6:$E$22,0)),ROW($C$2:$C$10000)-ROW($C$2)+1),ROWS(L$20:L2688))))</f>
        <v/>
      </c>
      <c r="I2688" s="4" t="str">
        <f t="array" ref="I2688">IF(ROWS(M$20:M2688)&gt;$F$6,"",INDEX(C$2:C$10000,SMALL(IF(ISNUMBER(MATCH($B$2:$B$10000,$E$6:$E$22,0)),ROW($C$2:$C$10000)-ROW($C$2)+1),ROWS(M$20:M2688))))</f>
        <v/>
      </c>
      <c r="K2688" s="7" t="str">
        <f t="array" ref="K2688">IF(ROWS(K$20:K2688)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2688))))</f>
        <v/>
      </c>
      <c r="L2688" s="4" t="str">
        <f t="array" ref="L2688">IF(ROWS(L$20:L2688)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2688))))</f>
        <v/>
      </c>
      <c r="M2688" s="4" t="str">
        <f t="array" ref="M2688">IF(ROWS(M$20:M2688)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2688))))</f>
        <v/>
      </c>
    </row>
    <row r="2689" spans="1:13" x14ac:dyDescent="0.25">
      <c r="A2689" s="3">
        <v>41874</v>
      </c>
      <c r="B2689" s="2" t="s">
        <v>51</v>
      </c>
      <c r="C2689" s="2">
        <v>31</v>
      </c>
      <c r="G2689" s="7" t="str">
        <f t="array" ref="G2689">IF(ROWS(K$20:K2689)&gt;$F$6,"",INDEX(A$2:A$10000,SMALL(IF(ISNUMBER(MATCH($B$2:$B$10000,$E$6:$E$22,0)),ROW($C$2:$C$10000)-ROW($C$2)+1),ROWS(K$20:K2689))))</f>
        <v/>
      </c>
      <c r="H2689" s="4" t="str">
        <f t="array" ref="H2689">IF(ROWS(L$20:L2689)&gt;$F$6,"",INDEX(B$2:B$10000,SMALL(IF(ISNUMBER(MATCH($B$2:$B$10000,$E$6:$E$22,0)),ROW($C$2:$C$10000)-ROW($C$2)+1),ROWS(L$20:L2689))))</f>
        <v/>
      </c>
      <c r="I2689" s="4" t="str">
        <f t="array" ref="I2689">IF(ROWS(M$20:M2689)&gt;$F$6,"",INDEX(C$2:C$10000,SMALL(IF(ISNUMBER(MATCH($B$2:$B$10000,$E$6:$E$22,0)),ROW($C$2:$C$10000)-ROW($C$2)+1),ROWS(M$20:M2689))))</f>
        <v/>
      </c>
      <c r="K2689" s="7" t="str">
        <f t="array" ref="K2689">IF(ROWS(K$20:K2689)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2689))))</f>
        <v/>
      </c>
      <c r="L2689" s="4" t="str">
        <f t="array" ref="L2689">IF(ROWS(L$20:L2689)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2689))))</f>
        <v/>
      </c>
      <c r="M2689" s="4" t="str">
        <f t="array" ref="M2689">IF(ROWS(M$20:M2689)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2689))))</f>
        <v/>
      </c>
    </row>
    <row r="2690" spans="1:13" x14ac:dyDescent="0.25">
      <c r="A2690" s="3">
        <v>41876</v>
      </c>
      <c r="B2690" s="2" t="s">
        <v>2</v>
      </c>
      <c r="C2690" s="2">
        <v>28</v>
      </c>
      <c r="G2690" s="7" t="str">
        <f t="array" ref="G2690">IF(ROWS(K$20:K2690)&gt;$F$6,"",INDEX(A$2:A$10000,SMALL(IF(ISNUMBER(MATCH($B$2:$B$10000,$E$6:$E$22,0)),ROW($C$2:$C$10000)-ROW($C$2)+1),ROWS(K$20:K2690))))</f>
        <v/>
      </c>
      <c r="H2690" s="4" t="str">
        <f t="array" ref="H2690">IF(ROWS(L$20:L2690)&gt;$F$6,"",INDEX(B$2:B$10000,SMALL(IF(ISNUMBER(MATCH($B$2:$B$10000,$E$6:$E$22,0)),ROW($C$2:$C$10000)-ROW($C$2)+1),ROWS(L$20:L2690))))</f>
        <v/>
      </c>
      <c r="I2690" s="4" t="str">
        <f t="array" ref="I2690">IF(ROWS(M$20:M2690)&gt;$F$6,"",INDEX(C$2:C$10000,SMALL(IF(ISNUMBER(MATCH($B$2:$B$10000,$E$6:$E$22,0)),ROW($C$2:$C$10000)-ROW($C$2)+1),ROWS(M$20:M2690))))</f>
        <v/>
      </c>
      <c r="K2690" s="7" t="str">
        <f t="array" ref="K2690">IF(ROWS(K$20:K2690)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2690))))</f>
        <v/>
      </c>
      <c r="L2690" s="4" t="str">
        <f t="array" ref="L2690">IF(ROWS(L$20:L2690)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2690))))</f>
        <v/>
      </c>
      <c r="M2690" s="4" t="str">
        <f t="array" ref="M2690">IF(ROWS(M$20:M2690)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2690))))</f>
        <v/>
      </c>
    </row>
    <row r="2691" spans="1:13" x14ac:dyDescent="0.25">
      <c r="A2691" s="3">
        <v>41370</v>
      </c>
      <c r="B2691" s="2" t="s">
        <v>19</v>
      </c>
      <c r="C2691" s="2">
        <v>24</v>
      </c>
      <c r="G2691" s="7" t="str">
        <f t="array" ref="G2691">IF(ROWS(K$20:K2691)&gt;$F$6,"",INDEX(A$2:A$10000,SMALL(IF(ISNUMBER(MATCH($B$2:$B$10000,$E$6:$E$22,0)),ROW($C$2:$C$10000)-ROW($C$2)+1),ROWS(K$20:K2691))))</f>
        <v/>
      </c>
      <c r="H2691" s="4" t="str">
        <f t="array" ref="H2691">IF(ROWS(L$20:L2691)&gt;$F$6,"",INDEX(B$2:B$10000,SMALL(IF(ISNUMBER(MATCH($B$2:$B$10000,$E$6:$E$22,0)),ROW($C$2:$C$10000)-ROW($C$2)+1),ROWS(L$20:L2691))))</f>
        <v/>
      </c>
      <c r="I2691" s="4" t="str">
        <f t="array" ref="I2691">IF(ROWS(M$20:M2691)&gt;$F$6,"",INDEX(C$2:C$10000,SMALL(IF(ISNUMBER(MATCH($B$2:$B$10000,$E$6:$E$22,0)),ROW($C$2:$C$10000)-ROW($C$2)+1),ROWS(M$20:M2691))))</f>
        <v/>
      </c>
      <c r="K2691" s="7" t="str">
        <f t="array" ref="K2691">IF(ROWS(K$20:K2691)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2691))))</f>
        <v/>
      </c>
      <c r="L2691" s="4" t="str">
        <f t="array" ref="L2691">IF(ROWS(L$20:L2691)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2691))))</f>
        <v/>
      </c>
      <c r="M2691" s="4" t="str">
        <f t="array" ref="M2691">IF(ROWS(M$20:M2691)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2691))))</f>
        <v/>
      </c>
    </row>
    <row r="2692" spans="1:13" x14ac:dyDescent="0.25">
      <c r="A2692" s="3">
        <v>41829</v>
      </c>
      <c r="B2692" s="2" t="s">
        <v>17</v>
      </c>
      <c r="C2692" s="2">
        <v>46</v>
      </c>
      <c r="G2692" s="7" t="str">
        <f t="array" ref="G2692">IF(ROWS(K$20:K2692)&gt;$F$6,"",INDEX(A$2:A$10000,SMALL(IF(ISNUMBER(MATCH($B$2:$B$10000,$E$6:$E$22,0)),ROW($C$2:$C$10000)-ROW($C$2)+1),ROWS(K$20:K2692))))</f>
        <v/>
      </c>
      <c r="H2692" s="4" t="str">
        <f t="array" ref="H2692">IF(ROWS(L$20:L2692)&gt;$F$6,"",INDEX(B$2:B$10000,SMALL(IF(ISNUMBER(MATCH($B$2:$B$10000,$E$6:$E$22,0)),ROW($C$2:$C$10000)-ROW($C$2)+1),ROWS(L$20:L2692))))</f>
        <v/>
      </c>
      <c r="I2692" s="4" t="str">
        <f t="array" ref="I2692">IF(ROWS(M$20:M2692)&gt;$F$6,"",INDEX(C$2:C$10000,SMALL(IF(ISNUMBER(MATCH($B$2:$B$10000,$E$6:$E$22,0)),ROW($C$2:$C$10000)-ROW($C$2)+1),ROWS(M$20:M2692))))</f>
        <v/>
      </c>
      <c r="K2692" s="7" t="str">
        <f t="array" ref="K2692">IF(ROWS(K$20:K2692)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2692))))</f>
        <v/>
      </c>
      <c r="L2692" s="4" t="str">
        <f t="array" ref="L2692">IF(ROWS(L$20:L2692)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2692))))</f>
        <v/>
      </c>
      <c r="M2692" s="4" t="str">
        <f t="array" ref="M2692">IF(ROWS(M$20:M2692)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2692))))</f>
        <v/>
      </c>
    </row>
    <row r="2693" spans="1:13" x14ac:dyDescent="0.25">
      <c r="A2693" s="3">
        <v>41594</v>
      </c>
      <c r="B2693" s="2" t="s">
        <v>32</v>
      </c>
      <c r="C2693" s="2">
        <v>43</v>
      </c>
      <c r="G2693" s="7" t="str">
        <f t="array" ref="G2693">IF(ROWS(K$20:K2693)&gt;$F$6,"",INDEX(A$2:A$10000,SMALL(IF(ISNUMBER(MATCH($B$2:$B$10000,$E$6:$E$22,0)),ROW($C$2:$C$10000)-ROW($C$2)+1),ROWS(K$20:K2693))))</f>
        <v/>
      </c>
      <c r="H2693" s="4" t="str">
        <f t="array" ref="H2693">IF(ROWS(L$20:L2693)&gt;$F$6,"",INDEX(B$2:B$10000,SMALL(IF(ISNUMBER(MATCH($B$2:$B$10000,$E$6:$E$22,0)),ROW($C$2:$C$10000)-ROW($C$2)+1),ROWS(L$20:L2693))))</f>
        <v/>
      </c>
      <c r="I2693" s="4" t="str">
        <f t="array" ref="I2693">IF(ROWS(M$20:M2693)&gt;$F$6,"",INDEX(C$2:C$10000,SMALL(IF(ISNUMBER(MATCH($B$2:$B$10000,$E$6:$E$22,0)),ROW($C$2:$C$10000)-ROW($C$2)+1),ROWS(M$20:M2693))))</f>
        <v/>
      </c>
      <c r="K2693" s="7" t="str">
        <f t="array" ref="K2693">IF(ROWS(K$20:K2693)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2693))))</f>
        <v/>
      </c>
      <c r="L2693" s="4" t="str">
        <f t="array" ref="L2693">IF(ROWS(L$20:L2693)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2693))))</f>
        <v/>
      </c>
      <c r="M2693" s="4" t="str">
        <f t="array" ref="M2693">IF(ROWS(M$20:M2693)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2693))))</f>
        <v/>
      </c>
    </row>
    <row r="2694" spans="1:13" x14ac:dyDescent="0.25">
      <c r="A2694" s="3">
        <v>41875</v>
      </c>
      <c r="B2694" s="2" t="s">
        <v>37</v>
      </c>
      <c r="C2694" s="2">
        <v>44</v>
      </c>
      <c r="G2694" s="7" t="str">
        <f t="array" ref="G2694">IF(ROWS(K$20:K2694)&gt;$F$6,"",INDEX(A$2:A$10000,SMALL(IF(ISNUMBER(MATCH($B$2:$B$10000,$E$6:$E$22,0)),ROW($C$2:$C$10000)-ROW($C$2)+1),ROWS(K$20:K2694))))</f>
        <v/>
      </c>
      <c r="H2694" s="4" t="str">
        <f t="array" ref="H2694">IF(ROWS(L$20:L2694)&gt;$F$6,"",INDEX(B$2:B$10000,SMALL(IF(ISNUMBER(MATCH($B$2:$B$10000,$E$6:$E$22,0)),ROW($C$2:$C$10000)-ROW($C$2)+1),ROWS(L$20:L2694))))</f>
        <v/>
      </c>
      <c r="I2694" s="4" t="str">
        <f t="array" ref="I2694">IF(ROWS(M$20:M2694)&gt;$F$6,"",INDEX(C$2:C$10000,SMALL(IF(ISNUMBER(MATCH($B$2:$B$10000,$E$6:$E$22,0)),ROW($C$2:$C$10000)-ROW($C$2)+1),ROWS(M$20:M2694))))</f>
        <v/>
      </c>
      <c r="K2694" s="7" t="str">
        <f t="array" ref="K2694">IF(ROWS(K$20:K2694)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2694))))</f>
        <v/>
      </c>
      <c r="L2694" s="4" t="str">
        <f t="array" ref="L2694">IF(ROWS(L$20:L2694)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2694))))</f>
        <v/>
      </c>
      <c r="M2694" s="4" t="str">
        <f t="array" ref="M2694">IF(ROWS(M$20:M2694)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2694))))</f>
        <v/>
      </c>
    </row>
    <row r="2695" spans="1:13" x14ac:dyDescent="0.25">
      <c r="A2695" s="3">
        <v>41958</v>
      </c>
      <c r="B2695" s="2" t="s">
        <v>15</v>
      </c>
      <c r="C2695" s="2">
        <v>19</v>
      </c>
      <c r="G2695" s="7" t="str">
        <f t="array" ref="G2695">IF(ROWS(K$20:K2695)&gt;$F$6,"",INDEX(A$2:A$10000,SMALL(IF(ISNUMBER(MATCH($B$2:$B$10000,$E$6:$E$22,0)),ROW($C$2:$C$10000)-ROW($C$2)+1),ROWS(K$20:K2695))))</f>
        <v/>
      </c>
      <c r="H2695" s="4" t="str">
        <f t="array" ref="H2695">IF(ROWS(L$20:L2695)&gt;$F$6,"",INDEX(B$2:B$10000,SMALL(IF(ISNUMBER(MATCH($B$2:$B$10000,$E$6:$E$22,0)),ROW($C$2:$C$10000)-ROW($C$2)+1),ROWS(L$20:L2695))))</f>
        <v/>
      </c>
      <c r="I2695" s="4" t="str">
        <f t="array" ref="I2695">IF(ROWS(M$20:M2695)&gt;$F$6,"",INDEX(C$2:C$10000,SMALL(IF(ISNUMBER(MATCH($B$2:$B$10000,$E$6:$E$22,0)),ROW($C$2:$C$10000)-ROW($C$2)+1),ROWS(M$20:M2695))))</f>
        <v/>
      </c>
      <c r="K2695" s="7" t="str">
        <f t="array" ref="K2695">IF(ROWS(K$20:K2695)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2695))))</f>
        <v/>
      </c>
      <c r="L2695" s="4" t="str">
        <f t="array" ref="L2695">IF(ROWS(L$20:L2695)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2695))))</f>
        <v/>
      </c>
      <c r="M2695" s="4" t="str">
        <f t="array" ref="M2695">IF(ROWS(M$20:M2695)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2695))))</f>
        <v/>
      </c>
    </row>
    <row r="2696" spans="1:13" x14ac:dyDescent="0.25">
      <c r="A2696" s="3">
        <v>41667</v>
      </c>
      <c r="B2696" s="2" t="s">
        <v>9</v>
      </c>
      <c r="C2696" s="2">
        <v>37</v>
      </c>
      <c r="G2696" s="7" t="str">
        <f t="array" ref="G2696">IF(ROWS(K$20:K2696)&gt;$F$6,"",INDEX(A$2:A$10000,SMALL(IF(ISNUMBER(MATCH($B$2:$B$10000,$E$6:$E$22,0)),ROW($C$2:$C$10000)-ROW($C$2)+1),ROWS(K$20:K2696))))</f>
        <v/>
      </c>
      <c r="H2696" s="4" t="str">
        <f t="array" ref="H2696">IF(ROWS(L$20:L2696)&gt;$F$6,"",INDEX(B$2:B$10000,SMALL(IF(ISNUMBER(MATCH($B$2:$B$10000,$E$6:$E$22,0)),ROW($C$2:$C$10000)-ROW($C$2)+1),ROWS(L$20:L2696))))</f>
        <v/>
      </c>
      <c r="I2696" s="4" t="str">
        <f t="array" ref="I2696">IF(ROWS(M$20:M2696)&gt;$F$6,"",INDEX(C$2:C$10000,SMALL(IF(ISNUMBER(MATCH($B$2:$B$10000,$E$6:$E$22,0)),ROW($C$2:$C$10000)-ROW($C$2)+1),ROWS(M$20:M2696))))</f>
        <v/>
      </c>
      <c r="K2696" s="7" t="str">
        <f t="array" ref="K2696">IF(ROWS(K$20:K2696)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2696))))</f>
        <v/>
      </c>
      <c r="L2696" s="4" t="str">
        <f t="array" ref="L2696">IF(ROWS(L$20:L2696)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2696))))</f>
        <v/>
      </c>
      <c r="M2696" s="4" t="str">
        <f t="array" ref="M2696">IF(ROWS(M$20:M2696)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2696))))</f>
        <v/>
      </c>
    </row>
    <row r="2697" spans="1:13" x14ac:dyDescent="0.25">
      <c r="A2697" s="3">
        <v>41652</v>
      </c>
      <c r="B2697" s="2" t="s">
        <v>30</v>
      </c>
      <c r="C2697" s="2">
        <v>44</v>
      </c>
      <c r="G2697" s="7" t="str">
        <f t="array" ref="G2697">IF(ROWS(K$20:K2697)&gt;$F$6,"",INDEX(A$2:A$10000,SMALL(IF(ISNUMBER(MATCH($B$2:$B$10000,$E$6:$E$22,0)),ROW($C$2:$C$10000)-ROW($C$2)+1),ROWS(K$20:K2697))))</f>
        <v/>
      </c>
      <c r="H2697" s="4" t="str">
        <f t="array" ref="H2697">IF(ROWS(L$20:L2697)&gt;$F$6,"",INDEX(B$2:B$10000,SMALL(IF(ISNUMBER(MATCH($B$2:$B$10000,$E$6:$E$22,0)),ROW($C$2:$C$10000)-ROW($C$2)+1),ROWS(L$20:L2697))))</f>
        <v/>
      </c>
      <c r="I2697" s="4" t="str">
        <f t="array" ref="I2697">IF(ROWS(M$20:M2697)&gt;$F$6,"",INDEX(C$2:C$10000,SMALL(IF(ISNUMBER(MATCH($B$2:$B$10000,$E$6:$E$22,0)),ROW($C$2:$C$10000)-ROW($C$2)+1),ROWS(M$20:M2697))))</f>
        <v/>
      </c>
      <c r="K2697" s="7" t="str">
        <f t="array" ref="K2697">IF(ROWS(K$20:K2697)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2697))))</f>
        <v/>
      </c>
      <c r="L2697" s="4" t="str">
        <f t="array" ref="L2697">IF(ROWS(L$20:L2697)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2697))))</f>
        <v/>
      </c>
      <c r="M2697" s="4" t="str">
        <f t="array" ref="M2697">IF(ROWS(M$20:M2697)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2697))))</f>
        <v/>
      </c>
    </row>
    <row r="2698" spans="1:13" x14ac:dyDescent="0.25">
      <c r="A2698" s="3">
        <v>41985</v>
      </c>
      <c r="B2698" s="2" t="s">
        <v>17</v>
      </c>
      <c r="C2698" s="2">
        <v>6</v>
      </c>
      <c r="G2698" s="7" t="str">
        <f t="array" ref="G2698">IF(ROWS(K$20:K2698)&gt;$F$6,"",INDEX(A$2:A$10000,SMALL(IF(ISNUMBER(MATCH($B$2:$B$10000,$E$6:$E$22,0)),ROW($C$2:$C$10000)-ROW($C$2)+1),ROWS(K$20:K2698))))</f>
        <v/>
      </c>
      <c r="H2698" s="4" t="str">
        <f t="array" ref="H2698">IF(ROWS(L$20:L2698)&gt;$F$6,"",INDEX(B$2:B$10000,SMALL(IF(ISNUMBER(MATCH($B$2:$B$10000,$E$6:$E$22,0)),ROW($C$2:$C$10000)-ROW($C$2)+1),ROWS(L$20:L2698))))</f>
        <v/>
      </c>
      <c r="I2698" s="4" t="str">
        <f t="array" ref="I2698">IF(ROWS(M$20:M2698)&gt;$F$6,"",INDEX(C$2:C$10000,SMALL(IF(ISNUMBER(MATCH($B$2:$B$10000,$E$6:$E$22,0)),ROW($C$2:$C$10000)-ROW($C$2)+1),ROWS(M$20:M2698))))</f>
        <v/>
      </c>
      <c r="K2698" s="7" t="str">
        <f t="array" ref="K2698">IF(ROWS(K$20:K2698)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2698))))</f>
        <v/>
      </c>
      <c r="L2698" s="4" t="str">
        <f t="array" ref="L2698">IF(ROWS(L$20:L2698)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2698))))</f>
        <v/>
      </c>
      <c r="M2698" s="4" t="str">
        <f t="array" ref="M2698">IF(ROWS(M$20:M2698)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2698))))</f>
        <v/>
      </c>
    </row>
    <row r="2699" spans="1:13" x14ac:dyDescent="0.25">
      <c r="A2699" s="3">
        <v>41391</v>
      </c>
      <c r="B2699" s="2" t="s">
        <v>43</v>
      </c>
      <c r="C2699" s="2">
        <v>46</v>
      </c>
      <c r="G2699" s="7" t="str">
        <f t="array" ref="G2699">IF(ROWS(K$20:K2699)&gt;$F$6,"",INDEX(A$2:A$10000,SMALL(IF(ISNUMBER(MATCH($B$2:$B$10000,$E$6:$E$22,0)),ROW($C$2:$C$10000)-ROW($C$2)+1),ROWS(K$20:K2699))))</f>
        <v/>
      </c>
      <c r="H2699" s="4" t="str">
        <f t="array" ref="H2699">IF(ROWS(L$20:L2699)&gt;$F$6,"",INDEX(B$2:B$10000,SMALL(IF(ISNUMBER(MATCH($B$2:$B$10000,$E$6:$E$22,0)),ROW($C$2:$C$10000)-ROW($C$2)+1),ROWS(L$20:L2699))))</f>
        <v/>
      </c>
      <c r="I2699" s="4" t="str">
        <f t="array" ref="I2699">IF(ROWS(M$20:M2699)&gt;$F$6,"",INDEX(C$2:C$10000,SMALL(IF(ISNUMBER(MATCH($B$2:$B$10000,$E$6:$E$22,0)),ROW($C$2:$C$10000)-ROW($C$2)+1),ROWS(M$20:M2699))))</f>
        <v/>
      </c>
      <c r="K2699" s="7" t="str">
        <f t="array" ref="K2699">IF(ROWS(K$20:K2699)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2699))))</f>
        <v/>
      </c>
      <c r="L2699" s="4" t="str">
        <f t="array" ref="L2699">IF(ROWS(L$20:L2699)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2699))))</f>
        <v/>
      </c>
      <c r="M2699" s="4" t="str">
        <f t="array" ref="M2699">IF(ROWS(M$20:M2699)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2699))))</f>
        <v/>
      </c>
    </row>
    <row r="2700" spans="1:13" x14ac:dyDescent="0.25">
      <c r="A2700" s="3">
        <v>41516</v>
      </c>
      <c r="B2700" s="2" t="s">
        <v>22</v>
      </c>
      <c r="C2700" s="2">
        <v>19</v>
      </c>
      <c r="G2700" s="7" t="str">
        <f t="array" ref="G2700">IF(ROWS(K$20:K2700)&gt;$F$6,"",INDEX(A$2:A$10000,SMALL(IF(ISNUMBER(MATCH($B$2:$B$10000,$E$6:$E$22,0)),ROW($C$2:$C$10000)-ROW($C$2)+1),ROWS(K$20:K2700))))</f>
        <v/>
      </c>
      <c r="H2700" s="4" t="str">
        <f t="array" ref="H2700">IF(ROWS(L$20:L2700)&gt;$F$6,"",INDEX(B$2:B$10000,SMALL(IF(ISNUMBER(MATCH($B$2:$B$10000,$E$6:$E$22,0)),ROW($C$2:$C$10000)-ROW($C$2)+1),ROWS(L$20:L2700))))</f>
        <v/>
      </c>
      <c r="I2700" s="4" t="str">
        <f t="array" ref="I2700">IF(ROWS(M$20:M2700)&gt;$F$6,"",INDEX(C$2:C$10000,SMALL(IF(ISNUMBER(MATCH($B$2:$B$10000,$E$6:$E$22,0)),ROW($C$2:$C$10000)-ROW($C$2)+1),ROWS(M$20:M2700))))</f>
        <v/>
      </c>
      <c r="K2700" s="7" t="str">
        <f t="array" ref="K2700">IF(ROWS(K$20:K2700)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2700))))</f>
        <v/>
      </c>
      <c r="L2700" s="4" t="str">
        <f t="array" ref="L2700">IF(ROWS(L$20:L2700)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2700))))</f>
        <v/>
      </c>
      <c r="M2700" s="4" t="str">
        <f t="array" ref="M2700">IF(ROWS(M$20:M2700)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2700))))</f>
        <v/>
      </c>
    </row>
    <row r="2701" spans="1:13" x14ac:dyDescent="0.25">
      <c r="A2701" s="3">
        <v>41449</v>
      </c>
      <c r="B2701" s="2" t="s">
        <v>4</v>
      </c>
      <c r="C2701" s="2">
        <v>40</v>
      </c>
      <c r="G2701" s="7" t="str">
        <f t="array" ref="G2701">IF(ROWS(K$20:K2701)&gt;$F$6,"",INDEX(A$2:A$10000,SMALL(IF(ISNUMBER(MATCH($B$2:$B$10000,$E$6:$E$22,0)),ROW($C$2:$C$10000)-ROW($C$2)+1),ROWS(K$20:K2701))))</f>
        <v/>
      </c>
      <c r="H2701" s="4" t="str">
        <f t="array" ref="H2701">IF(ROWS(L$20:L2701)&gt;$F$6,"",INDEX(B$2:B$10000,SMALL(IF(ISNUMBER(MATCH($B$2:$B$10000,$E$6:$E$22,0)),ROW($C$2:$C$10000)-ROW($C$2)+1),ROWS(L$20:L2701))))</f>
        <v/>
      </c>
      <c r="I2701" s="4" t="str">
        <f t="array" ref="I2701">IF(ROWS(M$20:M2701)&gt;$F$6,"",INDEX(C$2:C$10000,SMALL(IF(ISNUMBER(MATCH($B$2:$B$10000,$E$6:$E$22,0)),ROW($C$2:$C$10000)-ROW($C$2)+1),ROWS(M$20:M2701))))</f>
        <v/>
      </c>
      <c r="K2701" s="7" t="str">
        <f t="array" ref="K2701">IF(ROWS(K$20:K2701)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2701))))</f>
        <v/>
      </c>
      <c r="L2701" s="4" t="str">
        <f t="array" ref="L2701">IF(ROWS(L$20:L2701)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2701))))</f>
        <v/>
      </c>
      <c r="M2701" s="4" t="str">
        <f t="array" ref="M2701">IF(ROWS(M$20:M2701)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2701))))</f>
        <v/>
      </c>
    </row>
    <row r="2702" spans="1:13" x14ac:dyDescent="0.25">
      <c r="A2702" s="3">
        <v>41704</v>
      </c>
      <c r="B2702" s="2" t="s">
        <v>17</v>
      </c>
      <c r="C2702" s="2">
        <v>38</v>
      </c>
      <c r="G2702" s="7" t="str">
        <f t="array" ref="G2702">IF(ROWS(K$20:K2702)&gt;$F$6,"",INDEX(A$2:A$10000,SMALL(IF(ISNUMBER(MATCH($B$2:$B$10000,$E$6:$E$22,0)),ROW($C$2:$C$10000)-ROW($C$2)+1),ROWS(K$20:K2702))))</f>
        <v/>
      </c>
      <c r="H2702" s="4" t="str">
        <f t="array" ref="H2702">IF(ROWS(L$20:L2702)&gt;$F$6,"",INDEX(B$2:B$10000,SMALL(IF(ISNUMBER(MATCH($B$2:$B$10000,$E$6:$E$22,0)),ROW($C$2:$C$10000)-ROW($C$2)+1),ROWS(L$20:L2702))))</f>
        <v/>
      </c>
      <c r="I2702" s="4" t="str">
        <f t="array" ref="I2702">IF(ROWS(M$20:M2702)&gt;$F$6,"",INDEX(C$2:C$10000,SMALL(IF(ISNUMBER(MATCH($B$2:$B$10000,$E$6:$E$22,0)),ROW($C$2:$C$10000)-ROW($C$2)+1),ROWS(M$20:M2702))))</f>
        <v/>
      </c>
      <c r="K2702" s="7" t="str">
        <f t="array" ref="K2702">IF(ROWS(K$20:K2702)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2702))))</f>
        <v/>
      </c>
      <c r="L2702" s="4" t="str">
        <f t="array" ref="L2702">IF(ROWS(L$20:L2702)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2702))))</f>
        <v/>
      </c>
      <c r="M2702" s="4" t="str">
        <f t="array" ref="M2702">IF(ROWS(M$20:M2702)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2702))))</f>
        <v/>
      </c>
    </row>
    <row r="2703" spans="1:13" x14ac:dyDescent="0.25">
      <c r="A2703" s="3">
        <v>41519</v>
      </c>
      <c r="B2703" s="2" t="s">
        <v>36</v>
      </c>
      <c r="C2703" s="2">
        <v>5</v>
      </c>
      <c r="G2703" s="7" t="str">
        <f t="array" ref="G2703">IF(ROWS(K$20:K2703)&gt;$F$6,"",INDEX(A$2:A$10000,SMALL(IF(ISNUMBER(MATCH($B$2:$B$10000,$E$6:$E$22,0)),ROW($C$2:$C$10000)-ROW($C$2)+1),ROWS(K$20:K2703))))</f>
        <v/>
      </c>
      <c r="H2703" s="4" t="str">
        <f t="array" ref="H2703">IF(ROWS(L$20:L2703)&gt;$F$6,"",INDEX(B$2:B$10000,SMALL(IF(ISNUMBER(MATCH($B$2:$B$10000,$E$6:$E$22,0)),ROW($C$2:$C$10000)-ROW($C$2)+1),ROWS(L$20:L2703))))</f>
        <v/>
      </c>
      <c r="I2703" s="4" t="str">
        <f t="array" ref="I2703">IF(ROWS(M$20:M2703)&gt;$F$6,"",INDEX(C$2:C$10000,SMALL(IF(ISNUMBER(MATCH($B$2:$B$10000,$E$6:$E$22,0)),ROW($C$2:$C$10000)-ROW($C$2)+1),ROWS(M$20:M2703))))</f>
        <v/>
      </c>
      <c r="K2703" s="7" t="str">
        <f t="array" ref="K2703">IF(ROWS(K$20:K2703)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2703))))</f>
        <v/>
      </c>
      <c r="L2703" s="4" t="str">
        <f t="array" ref="L2703">IF(ROWS(L$20:L2703)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2703))))</f>
        <v/>
      </c>
      <c r="M2703" s="4" t="str">
        <f t="array" ref="M2703">IF(ROWS(M$20:M2703)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2703))))</f>
        <v/>
      </c>
    </row>
    <row r="2704" spans="1:13" x14ac:dyDescent="0.25">
      <c r="A2704" s="3">
        <v>41638</v>
      </c>
      <c r="B2704" s="2" t="s">
        <v>2</v>
      </c>
      <c r="C2704" s="2">
        <v>41</v>
      </c>
      <c r="G2704" s="7" t="str">
        <f t="array" ref="G2704">IF(ROWS(K$20:K2704)&gt;$F$6,"",INDEX(A$2:A$10000,SMALL(IF(ISNUMBER(MATCH($B$2:$B$10000,$E$6:$E$22,0)),ROW($C$2:$C$10000)-ROW($C$2)+1),ROWS(K$20:K2704))))</f>
        <v/>
      </c>
      <c r="H2704" s="4" t="str">
        <f t="array" ref="H2704">IF(ROWS(L$20:L2704)&gt;$F$6,"",INDEX(B$2:B$10000,SMALL(IF(ISNUMBER(MATCH($B$2:$B$10000,$E$6:$E$22,0)),ROW($C$2:$C$10000)-ROW($C$2)+1),ROWS(L$20:L2704))))</f>
        <v/>
      </c>
      <c r="I2704" s="4" t="str">
        <f t="array" ref="I2704">IF(ROWS(M$20:M2704)&gt;$F$6,"",INDEX(C$2:C$10000,SMALL(IF(ISNUMBER(MATCH($B$2:$B$10000,$E$6:$E$22,0)),ROW($C$2:$C$10000)-ROW($C$2)+1),ROWS(M$20:M2704))))</f>
        <v/>
      </c>
      <c r="K2704" s="7" t="str">
        <f t="array" ref="K2704">IF(ROWS(K$20:K2704)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2704))))</f>
        <v/>
      </c>
      <c r="L2704" s="4" t="str">
        <f t="array" ref="L2704">IF(ROWS(L$20:L2704)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2704))))</f>
        <v/>
      </c>
      <c r="M2704" s="4" t="str">
        <f t="array" ref="M2704">IF(ROWS(M$20:M2704)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2704))))</f>
        <v/>
      </c>
    </row>
    <row r="2705" spans="1:13" x14ac:dyDescent="0.25">
      <c r="A2705" s="3">
        <v>41657</v>
      </c>
      <c r="B2705" s="2" t="s">
        <v>37</v>
      </c>
      <c r="C2705" s="2">
        <v>40</v>
      </c>
      <c r="G2705" s="7" t="str">
        <f t="array" ref="G2705">IF(ROWS(K$20:K2705)&gt;$F$6,"",INDEX(A$2:A$10000,SMALL(IF(ISNUMBER(MATCH($B$2:$B$10000,$E$6:$E$22,0)),ROW($C$2:$C$10000)-ROW($C$2)+1),ROWS(K$20:K2705))))</f>
        <v/>
      </c>
      <c r="H2705" s="4" t="str">
        <f t="array" ref="H2705">IF(ROWS(L$20:L2705)&gt;$F$6,"",INDEX(B$2:B$10000,SMALL(IF(ISNUMBER(MATCH($B$2:$B$10000,$E$6:$E$22,0)),ROW($C$2:$C$10000)-ROW($C$2)+1),ROWS(L$20:L2705))))</f>
        <v/>
      </c>
      <c r="I2705" s="4" t="str">
        <f t="array" ref="I2705">IF(ROWS(M$20:M2705)&gt;$F$6,"",INDEX(C$2:C$10000,SMALL(IF(ISNUMBER(MATCH($B$2:$B$10000,$E$6:$E$22,0)),ROW($C$2:$C$10000)-ROW($C$2)+1),ROWS(M$20:M2705))))</f>
        <v/>
      </c>
      <c r="K2705" s="7" t="str">
        <f t="array" ref="K2705">IF(ROWS(K$20:K2705)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2705))))</f>
        <v/>
      </c>
      <c r="L2705" s="4" t="str">
        <f t="array" ref="L2705">IF(ROWS(L$20:L2705)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2705))))</f>
        <v/>
      </c>
      <c r="M2705" s="4" t="str">
        <f t="array" ref="M2705">IF(ROWS(M$20:M2705)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2705))))</f>
        <v/>
      </c>
    </row>
    <row r="2706" spans="1:13" x14ac:dyDescent="0.25">
      <c r="A2706" s="3">
        <v>41910</v>
      </c>
      <c r="B2706" s="2" t="s">
        <v>51</v>
      </c>
      <c r="C2706" s="2">
        <v>6</v>
      </c>
      <c r="G2706" s="7" t="str">
        <f t="array" ref="G2706">IF(ROWS(K$20:K2706)&gt;$F$6,"",INDEX(A$2:A$10000,SMALL(IF(ISNUMBER(MATCH($B$2:$B$10000,$E$6:$E$22,0)),ROW($C$2:$C$10000)-ROW($C$2)+1),ROWS(K$20:K2706))))</f>
        <v/>
      </c>
      <c r="H2706" s="4" t="str">
        <f t="array" ref="H2706">IF(ROWS(L$20:L2706)&gt;$F$6,"",INDEX(B$2:B$10000,SMALL(IF(ISNUMBER(MATCH($B$2:$B$10000,$E$6:$E$22,0)),ROW($C$2:$C$10000)-ROW($C$2)+1),ROWS(L$20:L2706))))</f>
        <v/>
      </c>
      <c r="I2706" s="4" t="str">
        <f t="array" ref="I2706">IF(ROWS(M$20:M2706)&gt;$F$6,"",INDEX(C$2:C$10000,SMALL(IF(ISNUMBER(MATCH($B$2:$B$10000,$E$6:$E$22,0)),ROW($C$2:$C$10000)-ROW($C$2)+1),ROWS(M$20:M2706))))</f>
        <v/>
      </c>
      <c r="K2706" s="7" t="str">
        <f t="array" ref="K2706">IF(ROWS(K$20:K2706)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2706))))</f>
        <v/>
      </c>
      <c r="L2706" s="4" t="str">
        <f t="array" ref="L2706">IF(ROWS(L$20:L2706)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2706))))</f>
        <v/>
      </c>
      <c r="M2706" s="4" t="str">
        <f t="array" ref="M2706">IF(ROWS(M$20:M2706)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2706))))</f>
        <v/>
      </c>
    </row>
    <row r="2707" spans="1:13" x14ac:dyDescent="0.25">
      <c r="A2707" s="3">
        <v>41545</v>
      </c>
      <c r="B2707" s="2" t="s">
        <v>36</v>
      </c>
      <c r="C2707" s="2">
        <v>56</v>
      </c>
      <c r="G2707" s="7" t="str">
        <f t="array" ref="G2707">IF(ROWS(K$20:K2707)&gt;$F$6,"",INDEX(A$2:A$10000,SMALL(IF(ISNUMBER(MATCH($B$2:$B$10000,$E$6:$E$22,0)),ROW($C$2:$C$10000)-ROW($C$2)+1),ROWS(K$20:K2707))))</f>
        <v/>
      </c>
      <c r="H2707" s="4" t="str">
        <f t="array" ref="H2707">IF(ROWS(L$20:L2707)&gt;$F$6,"",INDEX(B$2:B$10000,SMALL(IF(ISNUMBER(MATCH($B$2:$B$10000,$E$6:$E$22,0)),ROW($C$2:$C$10000)-ROW($C$2)+1),ROWS(L$20:L2707))))</f>
        <v/>
      </c>
      <c r="I2707" s="4" t="str">
        <f t="array" ref="I2707">IF(ROWS(M$20:M2707)&gt;$F$6,"",INDEX(C$2:C$10000,SMALL(IF(ISNUMBER(MATCH($B$2:$B$10000,$E$6:$E$22,0)),ROW($C$2:$C$10000)-ROW($C$2)+1),ROWS(M$20:M2707))))</f>
        <v/>
      </c>
      <c r="K2707" s="7" t="str">
        <f t="array" ref="K2707">IF(ROWS(K$20:K2707)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2707))))</f>
        <v/>
      </c>
      <c r="L2707" s="4" t="str">
        <f t="array" ref="L2707">IF(ROWS(L$20:L2707)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2707))))</f>
        <v/>
      </c>
      <c r="M2707" s="4" t="str">
        <f t="array" ref="M2707">IF(ROWS(M$20:M2707)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2707))))</f>
        <v/>
      </c>
    </row>
    <row r="2708" spans="1:13" x14ac:dyDescent="0.25">
      <c r="A2708" s="3">
        <v>41582</v>
      </c>
      <c r="B2708" s="2" t="s">
        <v>5</v>
      </c>
      <c r="C2708" s="2">
        <v>24</v>
      </c>
      <c r="G2708" s="7" t="str">
        <f t="array" ref="G2708">IF(ROWS(K$20:K2708)&gt;$F$6,"",INDEX(A$2:A$10000,SMALL(IF(ISNUMBER(MATCH($B$2:$B$10000,$E$6:$E$22,0)),ROW($C$2:$C$10000)-ROW($C$2)+1),ROWS(K$20:K2708))))</f>
        <v/>
      </c>
      <c r="H2708" s="4" t="str">
        <f t="array" ref="H2708">IF(ROWS(L$20:L2708)&gt;$F$6,"",INDEX(B$2:B$10000,SMALL(IF(ISNUMBER(MATCH($B$2:$B$10000,$E$6:$E$22,0)),ROW($C$2:$C$10000)-ROW($C$2)+1),ROWS(L$20:L2708))))</f>
        <v/>
      </c>
      <c r="I2708" s="4" t="str">
        <f t="array" ref="I2708">IF(ROWS(M$20:M2708)&gt;$F$6,"",INDEX(C$2:C$10000,SMALL(IF(ISNUMBER(MATCH($B$2:$B$10000,$E$6:$E$22,0)),ROW($C$2:$C$10000)-ROW($C$2)+1),ROWS(M$20:M2708))))</f>
        <v/>
      </c>
      <c r="K2708" s="7" t="str">
        <f t="array" ref="K2708">IF(ROWS(K$20:K2708)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2708))))</f>
        <v/>
      </c>
      <c r="L2708" s="4" t="str">
        <f t="array" ref="L2708">IF(ROWS(L$20:L2708)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2708))))</f>
        <v/>
      </c>
      <c r="M2708" s="4" t="str">
        <f t="array" ref="M2708">IF(ROWS(M$20:M2708)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2708))))</f>
        <v/>
      </c>
    </row>
    <row r="2709" spans="1:13" x14ac:dyDescent="0.25">
      <c r="A2709" s="3">
        <v>41577</v>
      </c>
      <c r="B2709" s="2" t="s">
        <v>2</v>
      </c>
      <c r="C2709" s="2">
        <v>30</v>
      </c>
      <c r="G2709" s="7" t="str">
        <f t="array" ref="G2709">IF(ROWS(K$20:K2709)&gt;$F$6,"",INDEX(A$2:A$10000,SMALL(IF(ISNUMBER(MATCH($B$2:$B$10000,$E$6:$E$22,0)),ROW($C$2:$C$10000)-ROW($C$2)+1),ROWS(K$20:K2709))))</f>
        <v/>
      </c>
      <c r="H2709" s="4" t="str">
        <f t="array" ref="H2709">IF(ROWS(L$20:L2709)&gt;$F$6,"",INDEX(B$2:B$10000,SMALL(IF(ISNUMBER(MATCH($B$2:$B$10000,$E$6:$E$22,0)),ROW($C$2:$C$10000)-ROW($C$2)+1),ROWS(L$20:L2709))))</f>
        <v/>
      </c>
      <c r="I2709" s="4" t="str">
        <f t="array" ref="I2709">IF(ROWS(M$20:M2709)&gt;$F$6,"",INDEX(C$2:C$10000,SMALL(IF(ISNUMBER(MATCH($B$2:$B$10000,$E$6:$E$22,0)),ROW($C$2:$C$10000)-ROW($C$2)+1),ROWS(M$20:M2709))))</f>
        <v/>
      </c>
      <c r="K2709" s="7" t="str">
        <f t="array" ref="K2709">IF(ROWS(K$20:K2709)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2709))))</f>
        <v/>
      </c>
      <c r="L2709" s="4" t="str">
        <f t="array" ref="L2709">IF(ROWS(L$20:L2709)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2709))))</f>
        <v/>
      </c>
      <c r="M2709" s="4" t="str">
        <f t="array" ref="M2709">IF(ROWS(M$20:M2709)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2709))))</f>
        <v/>
      </c>
    </row>
    <row r="2710" spans="1:13" x14ac:dyDescent="0.25">
      <c r="A2710" s="3">
        <v>41460</v>
      </c>
      <c r="B2710" s="2" t="s">
        <v>41</v>
      </c>
      <c r="C2710" s="2">
        <v>14</v>
      </c>
      <c r="G2710" s="7" t="str">
        <f t="array" ref="G2710">IF(ROWS(K$20:K2710)&gt;$F$6,"",INDEX(A$2:A$10000,SMALL(IF(ISNUMBER(MATCH($B$2:$B$10000,$E$6:$E$22,0)),ROW($C$2:$C$10000)-ROW($C$2)+1),ROWS(K$20:K2710))))</f>
        <v/>
      </c>
      <c r="H2710" s="4" t="str">
        <f t="array" ref="H2710">IF(ROWS(L$20:L2710)&gt;$F$6,"",INDEX(B$2:B$10000,SMALL(IF(ISNUMBER(MATCH($B$2:$B$10000,$E$6:$E$22,0)),ROW($C$2:$C$10000)-ROW($C$2)+1),ROWS(L$20:L2710))))</f>
        <v/>
      </c>
      <c r="I2710" s="4" t="str">
        <f t="array" ref="I2710">IF(ROWS(M$20:M2710)&gt;$F$6,"",INDEX(C$2:C$10000,SMALL(IF(ISNUMBER(MATCH($B$2:$B$10000,$E$6:$E$22,0)),ROW($C$2:$C$10000)-ROW($C$2)+1),ROWS(M$20:M2710))))</f>
        <v/>
      </c>
      <c r="K2710" s="7" t="str">
        <f t="array" ref="K2710">IF(ROWS(K$20:K2710)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2710))))</f>
        <v/>
      </c>
      <c r="L2710" s="4" t="str">
        <f t="array" ref="L2710">IF(ROWS(L$20:L2710)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2710))))</f>
        <v/>
      </c>
      <c r="M2710" s="4" t="str">
        <f t="array" ref="M2710">IF(ROWS(M$20:M2710)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2710))))</f>
        <v/>
      </c>
    </row>
    <row r="2711" spans="1:13" x14ac:dyDescent="0.25">
      <c r="A2711" s="3">
        <v>41801</v>
      </c>
      <c r="B2711" s="2" t="s">
        <v>10</v>
      </c>
      <c r="C2711" s="2">
        <v>28</v>
      </c>
      <c r="G2711" s="7" t="str">
        <f t="array" ref="G2711">IF(ROWS(K$20:K2711)&gt;$F$6,"",INDEX(A$2:A$10000,SMALL(IF(ISNUMBER(MATCH($B$2:$B$10000,$E$6:$E$22,0)),ROW($C$2:$C$10000)-ROW($C$2)+1),ROWS(K$20:K2711))))</f>
        <v/>
      </c>
      <c r="H2711" s="4" t="str">
        <f t="array" ref="H2711">IF(ROWS(L$20:L2711)&gt;$F$6,"",INDEX(B$2:B$10000,SMALL(IF(ISNUMBER(MATCH($B$2:$B$10000,$E$6:$E$22,0)),ROW($C$2:$C$10000)-ROW($C$2)+1),ROWS(L$20:L2711))))</f>
        <v/>
      </c>
      <c r="I2711" s="4" t="str">
        <f t="array" ref="I2711">IF(ROWS(M$20:M2711)&gt;$F$6,"",INDEX(C$2:C$10000,SMALL(IF(ISNUMBER(MATCH($B$2:$B$10000,$E$6:$E$22,0)),ROW($C$2:$C$10000)-ROW($C$2)+1),ROWS(M$20:M2711))))</f>
        <v/>
      </c>
      <c r="K2711" s="7" t="str">
        <f t="array" ref="K2711">IF(ROWS(K$20:K2711)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2711))))</f>
        <v/>
      </c>
      <c r="L2711" s="4" t="str">
        <f t="array" ref="L2711">IF(ROWS(L$20:L2711)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2711))))</f>
        <v/>
      </c>
      <c r="M2711" s="4" t="str">
        <f t="array" ref="M2711">IF(ROWS(M$20:M2711)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2711))))</f>
        <v/>
      </c>
    </row>
    <row r="2712" spans="1:13" x14ac:dyDescent="0.25">
      <c r="A2712" s="3">
        <v>41962</v>
      </c>
      <c r="B2712" s="2" t="s">
        <v>39</v>
      </c>
      <c r="C2712" s="2">
        <v>27</v>
      </c>
      <c r="G2712" s="7" t="str">
        <f t="array" ref="G2712">IF(ROWS(K$20:K2712)&gt;$F$6,"",INDEX(A$2:A$10000,SMALL(IF(ISNUMBER(MATCH($B$2:$B$10000,$E$6:$E$22,0)),ROW($C$2:$C$10000)-ROW($C$2)+1),ROWS(K$20:K2712))))</f>
        <v/>
      </c>
      <c r="H2712" s="4" t="str">
        <f t="array" ref="H2712">IF(ROWS(L$20:L2712)&gt;$F$6,"",INDEX(B$2:B$10000,SMALL(IF(ISNUMBER(MATCH($B$2:$B$10000,$E$6:$E$22,0)),ROW($C$2:$C$10000)-ROW($C$2)+1),ROWS(L$20:L2712))))</f>
        <v/>
      </c>
      <c r="I2712" s="4" t="str">
        <f t="array" ref="I2712">IF(ROWS(M$20:M2712)&gt;$F$6,"",INDEX(C$2:C$10000,SMALL(IF(ISNUMBER(MATCH($B$2:$B$10000,$E$6:$E$22,0)),ROW($C$2:$C$10000)-ROW($C$2)+1),ROWS(M$20:M2712))))</f>
        <v/>
      </c>
      <c r="K2712" s="7" t="str">
        <f t="array" ref="K2712">IF(ROWS(K$20:K2712)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2712))))</f>
        <v/>
      </c>
      <c r="L2712" s="4" t="str">
        <f t="array" ref="L2712">IF(ROWS(L$20:L2712)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2712))))</f>
        <v/>
      </c>
      <c r="M2712" s="4" t="str">
        <f t="array" ref="M2712">IF(ROWS(M$20:M2712)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2712))))</f>
        <v/>
      </c>
    </row>
    <row r="2713" spans="1:13" x14ac:dyDescent="0.25">
      <c r="A2713" s="3">
        <v>41978</v>
      </c>
      <c r="B2713" s="2" t="s">
        <v>23</v>
      </c>
      <c r="C2713" s="2">
        <v>16</v>
      </c>
      <c r="G2713" s="7" t="str">
        <f t="array" ref="G2713">IF(ROWS(K$20:K2713)&gt;$F$6,"",INDEX(A$2:A$10000,SMALL(IF(ISNUMBER(MATCH($B$2:$B$10000,$E$6:$E$22,0)),ROW($C$2:$C$10000)-ROW($C$2)+1),ROWS(K$20:K2713))))</f>
        <v/>
      </c>
      <c r="H2713" s="4" t="str">
        <f t="array" ref="H2713">IF(ROWS(L$20:L2713)&gt;$F$6,"",INDEX(B$2:B$10000,SMALL(IF(ISNUMBER(MATCH($B$2:$B$10000,$E$6:$E$22,0)),ROW($C$2:$C$10000)-ROW($C$2)+1),ROWS(L$20:L2713))))</f>
        <v/>
      </c>
      <c r="I2713" s="4" t="str">
        <f t="array" ref="I2713">IF(ROWS(M$20:M2713)&gt;$F$6,"",INDEX(C$2:C$10000,SMALL(IF(ISNUMBER(MATCH($B$2:$B$10000,$E$6:$E$22,0)),ROW($C$2:$C$10000)-ROW($C$2)+1),ROWS(M$20:M2713))))</f>
        <v/>
      </c>
      <c r="K2713" s="7" t="str">
        <f t="array" ref="K2713">IF(ROWS(K$20:K2713)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2713))))</f>
        <v/>
      </c>
      <c r="L2713" s="4" t="str">
        <f t="array" ref="L2713">IF(ROWS(L$20:L2713)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2713))))</f>
        <v/>
      </c>
      <c r="M2713" s="4" t="str">
        <f t="array" ref="M2713">IF(ROWS(M$20:M2713)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2713))))</f>
        <v/>
      </c>
    </row>
    <row r="2714" spans="1:13" x14ac:dyDescent="0.25">
      <c r="A2714" s="3">
        <v>41638</v>
      </c>
      <c r="B2714" s="2" t="s">
        <v>47</v>
      </c>
      <c r="C2714" s="2">
        <v>17</v>
      </c>
      <c r="G2714" s="7" t="str">
        <f t="array" ref="G2714">IF(ROWS(K$20:K2714)&gt;$F$6,"",INDEX(A$2:A$10000,SMALL(IF(ISNUMBER(MATCH($B$2:$B$10000,$E$6:$E$22,0)),ROW($C$2:$C$10000)-ROW($C$2)+1),ROWS(K$20:K2714))))</f>
        <v/>
      </c>
      <c r="H2714" s="4" t="str">
        <f t="array" ref="H2714">IF(ROWS(L$20:L2714)&gt;$F$6,"",INDEX(B$2:B$10000,SMALL(IF(ISNUMBER(MATCH($B$2:$B$10000,$E$6:$E$22,0)),ROW($C$2:$C$10000)-ROW($C$2)+1),ROWS(L$20:L2714))))</f>
        <v/>
      </c>
      <c r="I2714" s="4" t="str">
        <f t="array" ref="I2714">IF(ROWS(M$20:M2714)&gt;$F$6,"",INDEX(C$2:C$10000,SMALL(IF(ISNUMBER(MATCH($B$2:$B$10000,$E$6:$E$22,0)),ROW($C$2:$C$10000)-ROW($C$2)+1),ROWS(M$20:M2714))))</f>
        <v/>
      </c>
      <c r="K2714" s="7" t="str">
        <f t="array" ref="K2714">IF(ROWS(K$20:K2714)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2714))))</f>
        <v/>
      </c>
      <c r="L2714" s="4" t="str">
        <f t="array" ref="L2714">IF(ROWS(L$20:L2714)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2714))))</f>
        <v/>
      </c>
      <c r="M2714" s="4" t="str">
        <f t="array" ref="M2714">IF(ROWS(M$20:M2714)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2714))))</f>
        <v/>
      </c>
    </row>
    <row r="2715" spans="1:13" x14ac:dyDescent="0.25">
      <c r="A2715" s="3">
        <v>41405</v>
      </c>
      <c r="B2715" s="2" t="s">
        <v>19</v>
      </c>
      <c r="C2715" s="2">
        <v>13</v>
      </c>
      <c r="G2715" s="7" t="str">
        <f t="array" ref="G2715">IF(ROWS(K$20:K2715)&gt;$F$6,"",INDEX(A$2:A$10000,SMALL(IF(ISNUMBER(MATCH($B$2:$B$10000,$E$6:$E$22,0)),ROW($C$2:$C$10000)-ROW($C$2)+1),ROWS(K$20:K2715))))</f>
        <v/>
      </c>
      <c r="H2715" s="4" t="str">
        <f t="array" ref="H2715">IF(ROWS(L$20:L2715)&gt;$F$6,"",INDEX(B$2:B$10000,SMALL(IF(ISNUMBER(MATCH($B$2:$B$10000,$E$6:$E$22,0)),ROW($C$2:$C$10000)-ROW($C$2)+1),ROWS(L$20:L2715))))</f>
        <v/>
      </c>
      <c r="I2715" s="4" t="str">
        <f t="array" ref="I2715">IF(ROWS(M$20:M2715)&gt;$F$6,"",INDEX(C$2:C$10000,SMALL(IF(ISNUMBER(MATCH($B$2:$B$10000,$E$6:$E$22,0)),ROW($C$2:$C$10000)-ROW($C$2)+1),ROWS(M$20:M2715))))</f>
        <v/>
      </c>
      <c r="K2715" s="7" t="str">
        <f t="array" ref="K2715">IF(ROWS(K$20:K2715)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2715))))</f>
        <v/>
      </c>
      <c r="L2715" s="4" t="str">
        <f t="array" ref="L2715">IF(ROWS(L$20:L2715)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2715))))</f>
        <v/>
      </c>
      <c r="M2715" s="4" t="str">
        <f t="array" ref="M2715">IF(ROWS(M$20:M2715)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2715))))</f>
        <v/>
      </c>
    </row>
    <row r="2716" spans="1:13" x14ac:dyDescent="0.25">
      <c r="A2716" s="3">
        <v>41291</v>
      </c>
      <c r="B2716" s="2" t="s">
        <v>23</v>
      </c>
      <c r="C2716" s="2">
        <v>30</v>
      </c>
      <c r="G2716" s="7" t="str">
        <f t="array" ref="G2716">IF(ROWS(K$20:K2716)&gt;$F$6,"",INDEX(A$2:A$10000,SMALL(IF(ISNUMBER(MATCH($B$2:$B$10000,$E$6:$E$22,0)),ROW($C$2:$C$10000)-ROW($C$2)+1),ROWS(K$20:K2716))))</f>
        <v/>
      </c>
      <c r="H2716" s="4" t="str">
        <f t="array" ref="H2716">IF(ROWS(L$20:L2716)&gt;$F$6,"",INDEX(B$2:B$10000,SMALL(IF(ISNUMBER(MATCH($B$2:$B$10000,$E$6:$E$22,0)),ROW($C$2:$C$10000)-ROW($C$2)+1),ROWS(L$20:L2716))))</f>
        <v/>
      </c>
      <c r="I2716" s="4" t="str">
        <f t="array" ref="I2716">IF(ROWS(M$20:M2716)&gt;$F$6,"",INDEX(C$2:C$10000,SMALL(IF(ISNUMBER(MATCH($B$2:$B$10000,$E$6:$E$22,0)),ROW($C$2:$C$10000)-ROW($C$2)+1),ROWS(M$20:M2716))))</f>
        <v/>
      </c>
      <c r="K2716" s="7" t="str">
        <f t="array" ref="K2716">IF(ROWS(K$20:K2716)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2716))))</f>
        <v/>
      </c>
      <c r="L2716" s="4" t="str">
        <f t="array" ref="L2716">IF(ROWS(L$20:L2716)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2716))))</f>
        <v/>
      </c>
      <c r="M2716" s="4" t="str">
        <f t="array" ref="M2716">IF(ROWS(M$20:M2716)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2716))))</f>
        <v/>
      </c>
    </row>
    <row r="2717" spans="1:13" x14ac:dyDescent="0.25">
      <c r="A2717" s="3">
        <v>41434</v>
      </c>
      <c r="B2717" s="2" t="s">
        <v>2</v>
      </c>
      <c r="C2717" s="2">
        <v>32</v>
      </c>
      <c r="G2717" s="7" t="str">
        <f t="array" ref="G2717">IF(ROWS(K$20:K2717)&gt;$F$6,"",INDEX(A$2:A$10000,SMALL(IF(ISNUMBER(MATCH($B$2:$B$10000,$E$6:$E$22,0)),ROW($C$2:$C$10000)-ROW($C$2)+1),ROWS(K$20:K2717))))</f>
        <v/>
      </c>
      <c r="H2717" s="4" t="str">
        <f t="array" ref="H2717">IF(ROWS(L$20:L2717)&gt;$F$6,"",INDEX(B$2:B$10000,SMALL(IF(ISNUMBER(MATCH($B$2:$B$10000,$E$6:$E$22,0)),ROW($C$2:$C$10000)-ROW($C$2)+1),ROWS(L$20:L2717))))</f>
        <v/>
      </c>
      <c r="I2717" s="4" t="str">
        <f t="array" ref="I2717">IF(ROWS(M$20:M2717)&gt;$F$6,"",INDEX(C$2:C$10000,SMALL(IF(ISNUMBER(MATCH($B$2:$B$10000,$E$6:$E$22,0)),ROW($C$2:$C$10000)-ROW($C$2)+1),ROWS(M$20:M2717))))</f>
        <v/>
      </c>
      <c r="K2717" s="7" t="str">
        <f t="array" ref="K2717">IF(ROWS(K$20:K2717)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2717))))</f>
        <v/>
      </c>
      <c r="L2717" s="4" t="str">
        <f t="array" ref="L2717">IF(ROWS(L$20:L2717)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2717))))</f>
        <v/>
      </c>
      <c r="M2717" s="4" t="str">
        <f t="array" ref="M2717">IF(ROWS(M$20:M2717)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2717))))</f>
        <v/>
      </c>
    </row>
    <row r="2718" spans="1:13" x14ac:dyDescent="0.25">
      <c r="A2718" s="3">
        <v>41530</v>
      </c>
      <c r="B2718" s="2" t="s">
        <v>26</v>
      </c>
      <c r="C2718" s="2">
        <v>16</v>
      </c>
      <c r="G2718" s="7" t="str">
        <f t="array" ref="G2718">IF(ROWS(K$20:K2718)&gt;$F$6,"",INDEX(A$2:A$10000,SMALL(IF(ISNUMBER(MATCH($B$2:$B$10000,$E$6:$E$22,0)),ROW($C$2:$C$10000)-ROW($C$2)+1),ROWS(K$20:K2718))))</f>
        <v/>
      </c>
      <c r="H2718" s="4" t="str">
        <f t="array" ref="H2718">IF(ROWS(L$20:L2718)&gt;$F$6,"",INDEX(B$2:B$10000,SMALL(IF(ISNUMBER(MATCH($B$2:$B$10000,$E$6:$E$22,0)),ROW($C$2:$C$10000)-ROW($C$2)+1),ROWS(L$20:L2718))))</f>
        <v/>
      </c>
      <c r="I2718" s="4" t="str">
        <f t="array" ref="I2718">IF(ROWS(M$20:M2718)&gt;$F$6,"",INDEX(C$2:C$10000,SMALL(IF(ISNUMBER(MATCH($B$2:$B$10000,$E$6:$E$22,0)),ROW($C$2:$C$10000)-ROW($C$2)+1),ROWS(M$20:M2718))))</f>
        <v/>
      </c>
      <c r="K2718" s="7" t="str">
        <f t="array" ref="K2718">IF(ROWS(K$20:K2718)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2718))))</f>
        <v/>
      </c>
      <c r="L2718" s="4" t="str">
        <f t="array" ref="L2718">IF(ROWS(L$20:L2718)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2718))))</f>
        <v/>
      </c>
      <c r="M2718" s="4" t="str">
        <f t="array" ref="M2718">IF(ROWS(M$20:M2718)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2718))))</f>
        <v/>
      </c>
    </row>
    <row r="2719" spans="1:13" x14ac:dyDescent="0.25">
      <c r="A2719" s="3">
        <v>41891</v>
      </c>
      <c r="B2719" s="2" t="s">
        <v>6</v>
      </c>
      <c r="C2719" s="2">
        <v>21</v>
      </c>
      <c r="G2719" s="7" t="str">
        <f t="array" ref="G2719">IF(ROWS(K$20:K2719)&gt;$F$6,"",INDEX(A$2:A$10000,SMALL(IF(ISNUMBER(MATCH($B$2:$B$10000,$E$6:$E$22,0)),ROW($C$2:$C$10000)-ROW($C$2)+1),ROWS(K$20:K2719))))</f>
        <v/>
      </c>
      <c r="H2719" s="4" t="str">
        <f t="array" ref="H2719">IF(ROWS(L$20:L2719)&gt;$F$6,"",INDEX(B$2:B$10000,SMALL(IF(ISNUMBER(MATCH($B$2:$B$10000,$E$6:$E$22,0)),ROW($C$2:$C$10000)-ROW($C$2)+1),ROWS(L$20:L2719))))</f>
        <v/>
      </c>
      <c r="I2719" s="4" t="str">
        <f t="array" ref="I2719">IF(ROWS(M$20:M2719)&gt;$F$6,"",INDEX(C$2:C$10000,SMALL(IF(ISNUMBER(MATCH($B$2:$B$10000,$E$6:$E$22,0)),ROW($C$2:$C$10000)-ROW($C$2)+1),ROWS(M$20:M2719))))</f>
        <v/>
      </c>
      <c r="K2719" s="7" t="str">
        <f t="array" ref="K2719">IF(ROWS(K$20:K2719)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2719))))</f>
        <v/>
      </c>
      <c r="L2719" s="4" t="str">
        <f t="array" ref="L2719">IF(ROWS(L$20:L2719)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2719))))</f>
        <v/>
      </c>
      <c r="M2719" s="4" t="str">
        <f t="array" ref="M2719">IF(ROWS(M$20:M2719)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2719))))</f>
        <v/>
      </c>
    </row>
    <row r="2720" spans="1:13" x14ac:dyDescent="0.25">
      <c r="A2720" s="3">
        <v>41422</v>
      </c>
      <c r="B2720" s="2" t="s">
        <v>30</v>
      </c>
      <c r="C2720" s="2">
        <v>48</v>
      </c>
      <c r="G2720" s="7" t="str">
        <f t="array" ref="G2720">IF(ROWS(K$20:K2720)&gt;$F$6,"",INDEX(A$2:A$10000,SMALL(IF(ISNUMBER(MATCH($B$2:$B$10000,$E$6:$E$22,0)),ROW($C$2:$C$10000)-ROW($C$2)+1),ROWS(K$20:K2720))))</f>
        <v/>
      </c>
      <c r="H2720" s="4" t="str">
        <f t="array" ref="H2720">IF(ROWS(L$20:L2720)&gt;$F$6,"",INDEX(B$2:B$10000,SMALL(IF(ISNUMBER(MATCH($B$2:$B$10000,$E$6:$E$22,0)),ROW($C$2:$C$10000)-ROW($C$2)+1),ROWS(L$20:L2720))))</f>
        <v/>
      </c>
      <c r="I2720" s="4" t="str">
        <f t="array" ref="I2720">IF(ROWS(M$20:M2720)&gt;$F$6,"",INDEX(C$2:C$10000,SMALL(IF(ISNUMBER(MATCH($B$2:$B$10000,$E$6:$E$22,0)),ROW($C$2:$C$10000)-ROW($C$2)+1),ROWS(M$20:M2720))))</f>
        <v/>
      </c>
      <c r="K2720" s="7" t="str">
        <f t="array" ref="K2720">IF(ROWS(K$20:K2720)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2720))))</f>
        <v/>
      </c>
      <c r="L2720" s="4" t="str">
        <f t="array" ref="L2720">IF(ROWS(L$20:L2720)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2720))))</f>
        <v/>
      </c>
      <c r="M2720" s="4" t="str">
        <f t="array" ref="M2720">IF(ROWS(M$20:M2720)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2720))))</f>
        <v/>
      </c>
    </row>
    <row r="2721" spans="1:13" x14ac:dyDescent="0.25">
      <c r="A2721" s="3">
        <v>41835</v>
      </c>
      <c r="B2721" s="2" t="s">
        <v>20</v>
      </c>
      <c r="C2721" s="2">
        <v>49</v>
      </c>
      <c r="G2721" s="7" t="str">
        <f t="array" ref="G2721">IF(ROWS(K$20:K2721)&gt;$F$6,"",INDEX(A$2:A$10000,SMALL(IF(ISNUMBER(MATCH($B$2:$B$10000,$E$6:$E$22,0)),ROW($C$2:$C$10000)-ROW($C$2)+1),ROWS(K$20:K2721))))</f>
        <v/>
      </c>
      <c r="H2721" s="4" t="str">
        <f t="array" ref="H2721">IF(ROWS(L$20:L2721)&gt;$F$6,"",INDEX(B$2:B$10000,SMALL(IF(ISNUMBER(MATCH($B$2:$B$10000,$E$6:$E$22,0)),ROW($C$2:$C$10000)-ROW($C$2)+1),ROWS(L$20:L2721))))</f>
        <v/>
      </c>
      <c r="I2721" s="4" t="str">
        <f t="array" ref="I2721">IF(ROWS(M$20:M2721)&gt;$F$6,"",INDEX(C$2:C$10000,SMALL(IF(ISNUMBER(MATCH($B$2:$B$10000,$E$6:$E$22,0)),ROW($C$2:$C$10000)-ROW($C$2)+1),ROWS(M$20:M2721))))</f>
        <v/>
      </c>
      <c r="K2721" s="7" t="str">
        <f t="array" ref="K2721">IF(ROWS(K$20:K2721)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2721))))</f>
        <v/>
      </c>
      <c r="L2721" s="4" t="str">
        <f t="array" ref="L2721">IF(ROWS(L$20:L2721)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2721))))</f>
        <v/>
      </c>
      <c r="M2721" s="4" t="str">
        <f t="array" ref="M2721">IF(ROWS(M$20:M2721)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2721))))</f>
        <v/>
      </c>
    </row>
    <row r="2722" spans="1:13" x14ac:dyDescent="0.25">
      <c r="A2722" s="3">
        <v>41456</v>
      </c>
      <c r="B2722" s="2" t="s">
        <v>5</v>
      </c>
      <c r="C2722" s="2">
        <v>41</v>
      </c>
      <c r="G2722" s="7" t="str">
        <f t="array" ref="G2722">IF(ROWS(K$20:K2722)&gt;$F$6,"",INDEX(A$2:A$10000,SMALL(IF(ISNUMBER(MATCH($B$2:$B$10000,$E$6:$E$22,0)),ROW($C$2:$C$10000)-ROW($C$2)+1),ROWS(K$20:K2722))))</f>
        <v/>
      </c>
      <c r="H2722" s="4" t="str">
        <f t="array" ref="H2722">IF(ROWS(L$20:L2722)&gt;$F$6,"",INDEX(B$2:B$10000,SMALL(IF(ISNUMBER(MATCH($B$2:$B$10000,$E$6:$E$22,0)),ROW($C$2:$C$10000)-ROW($C$2)+1),ROWS(L$20:L2722))))</f>
        <v/>
      </c>
      <c r="I2722" s="4" t="str">
        <f t="array" ref="I2722">IF(ROWS(M$20:M2722)&gt;$F$6,"",INDEX(C$2:C$10000,SMALL(IF(ISNUMBER(MATCH($B$2:$B$10000,$E$6:$E$22,0)),ROW($C$2:$C$10000)-ROW($C$2)+1),ROWS(M$20:M2722))))</f>
        <v/>
      </c>
      <c r="K2722" s="7" t="str">
        <f t="array" ref="K2722">IF(ROWS(K$20:K2722)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2722))))</f>
        <v/>
      </c>
      <c r="L2722" s="4" t="str">
        <f t="array" ref="L2722">IF(ROWS(L$20:L2722)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2722))))</f>
        <v/>
      </c>
      <c r="M2722" s="4" t="str">
        <f t="array" ref="M2722">IF(ROWS(M$20:M2722)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2722))))</f>
        <v/>
      </c>
    </row>
    <row r="2723" spans="1:13" x14ac:dyDescent="0.25">
      <c r="A2723" s="3">
        <v>41501</v>
      </c>
      <c r="B2723" s="2" t="s">
        <v>34</v>
      </c>
      <c r="C2723" s="2">
        <v>22</v>
      </c>
      <c r="G2723" s="7" t="str">
        <f t="array" ref="G2723">IF(ROWS(K$20:K2723)&gt;$F$6,"",INDEX(A$2:A$10000,SMALL(IF(ISNUMBER(MATCH($B$2:$B$10000,$E$6:$E$22,0)),ROW($C$2:$C$10000)-ROW($C$2)+1),ROWS(K$20:K2723))))</f>
        <v/>
      </c>
      <c r="H2723" s="4" t="str">
        <f t="array" ref="H2723">IF(ROWS(L$20:L2723)&gt;$F$6,"",INDEX(B$2:B$10000,SMALL(IF(ISNUMBER(MATCH($B$2:$B$10000,$E$6:$E$22,0)),ROW($C$2:$C$10000)-ROW($C$2)+1),ROWS(L$20:L2723))))</f>
        <v/>
      </c>
      <c r="I2723" s="4" t="str">
        <f t="array" ref="I2723">IF(ROWS(M$20:M2723)&gt;$F$6,"",INDEX(C$2:C$10000,SMALL(IF(ISNUMBER(MATCH($B$2:$B$10000,$E$6:$E$22,0)),ROW($C$2:$C$10000)-ROW($C$2)+1),ROWS(M$20:M2723))))</f>
        <v/>
      </c>
      <c r="K2723" s="7" t="str">
        <f t="array" ref="K2723">IF(ROWS(K$20:K2723)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2723))))</f>
        <v/>
      </c>
      <c r="L2723" s="4" t="str">
        <f t="array" ref="L2723">IF(ROWS(L$20:L2723)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2723))))</f>
        <v/>
      </c>
      <c r="M2723" s="4" t="str">
        <f t="array" ref="M2723">IF(ROWS(M$20:M2723)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2723))))</f>
        <v/>
      </c>
    </row>
    <row r="2724" spans="1:13" x14ac:dyDescent="0.25">
      <c r="A2724" s="3">
        <v>41481</v>
      </c>
      <c r="B2724" s="2" t="s">
        <v>36</v>
      </c>
      <c r="C2724" s="2">
        <v>8</v>
      </c>
      <c r="G2724" s="7" t="str">
        <f t="array" ref="G2724">IF(ROWS(K$20:K2724)&gt;$F$6,"",INDEX(A$2:A$10000,SMALL(IF(ISNUMBER(MATCH($B$2:$B$10000,$E$6:$E$22,0)),ROW($C$2:$C$10000)-ROW($C$2)+1),ROWS(K$20:K2724))))</f>
        <v/>
      </c>
      <c r="H2724" s="4" t="str">
        <f t="array" ref="H2724">IF(ROWS(L$20:L2724)&gt;$F$6,"",INDEX(B$2:B$10000,SMALL(IF(ISNUMBER(MATCH($B$2:$B$10000,$E$6:$E$22,0)),ROW($C$2:$C$10000)-ROW($C$2)+1),ROWS(L$20:L2724))))</f>
        <v/>
      </c>
      <c r="I2724" s="4" t="str">
        <f t="array" ref="I2724">IF(ROWS(M$20:M2724)&gt;$F$6,"",INDEX(C$2:C$10000,SMALL(IF(ISNUMBER(MATCH($B$2:$B$10000,$E$6:$E$22,0)),ROW($C$2:$C$10000)-ROW($C$2)+1),ROWS(M$20:M2724))))</f>
        <v/>
      </c>
      <c r="K2724" s="7" t="str">
        <f t="array" ref="K2724">IF(ROWS(K$20:K2724)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2724))))</f>
        <v/>
      </c>
      <c r="L2724" s="4" t="str">
        <f t="array" ref="L2724">IF(ROWS(L$20:L2724)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2724))))</f>
        <v/>
      </c>
      <c r="M2724" s="4" t="str">
        <f t="array" ref="M2724">IF(ROWS(M$20:M2724)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2724))))</f>
        <v/>
      </c>
    </row>
    <row r="2725" spans="1:13" x14ac:dyDescent="0.25">
      <c r="A2725" s="3">
        <v>41642</v>
      </c>
      <c r="B2725" s="2" t="s">
        <v>25</v>
      </c>
      <c r="C2725" s="2">
        <v>19</v>
      </c>
      <c r="G2725" s="7" t="str">
        <f t="array" ref="G2725">IF(ROWS(K$20:K2725)&gt;$F$6,"",INDEX(A$2:A$10000,SMALL(IF(ISNUMBER(MATCH($B$2:$B$10000,$E$6:$E$22,0)),ROW($C$2:$C$10000)-ROW($C$2)+1),ROWS(K$20:K2725))))</f>
        <v/>
      </c>
      <c r="H2725" s="4" t="str">
        <f t="array" ref="H2725">IF(ROWS(L$20:L2725)&gt;$F$6,"",INDEX(B$2:B$10000,SMALL(IF(ISNUMBER(MATCH($B$2:$B$10000,$E$6:$E$22,0)),ROW($C$2:$C$10000)-ROW($C$2)+1),ROWS(L$20:L2725))))</f>
        <v/>
      </c>
      <c r="I2725" s="4" t="str">
        <f t="array" ref="I2725">IF(ROWS(M$20:M2725)&gt;$F$6,"",INDEX(C$2:C$10000,SMALL(IF(ISNUMBER(MATCH($B$2:$B$10000,$E$6:$E$22,0)),ROW($C$2:$C$10000)-ROW($C$2)+1),ROWS(M$20:M2725))))</f>
        <v/>
      </c>
      <c r="K2725" s="7" t="str">
        <f t="array" ref="K2725">IF(ROWS(K$20:K2725)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2725))))</f>
        <v/>
      </c>
      <c r="L2725" s="4" t="str">
        <f t="array" ref="L2725">IF(ROWS(L$20:L2725)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2725))))</f>
        <v/>
      </c>
      <c r="M2725" s="4" t="str">
        <f t="array" ref="M2725">IF(ROWS(M$20:M2725)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2725))))</f>
        <v/>
      </c>
    </row>
    <row r="2726" spans="1:13" x14ac:dyDescent="0.25">
      <c r="A2726" s="3">
        <v>41342</v>
      </c>
      <c r="B2726" s="2" t="s">
        <v>7</v>
      </c>
      <c r="C2726" s="2">
        <v>14</v>
      </c>
      <c r="G2726" s="7" t="str">
        <f t="array" ref="G2726">IF(ROWS(K$20:K2726)&gt;$F$6,"",INDEX(A$2:A$10000,SMALL(IF(ISNUMBER(MATCH($B$2:$B$10000,$E$6:$E$22,0)),ROW($C$2:$C$10000)-ROW($C$2)+1),ROWS(K$20:K2726))))</f>
        <v/>
      </c>
      <c r="H2726" s="4" t="str">
        <f t="array" ref="H2726">IF(ROWS(L$20:L2726)&gt;$F$6,"",INDEX(B$2:B$10000,SMALL(IF(ISNUMBER(MATCH($B$2:$B$10000,$E$6:$E$22,0)),ROW($C$2:$C$10000)-ROW($C$2)+1),ROWS(L$20:L2726))))</f>
        <v/>
      </c>
      <c r="I2726" s="4" t="str">
        <f t="array" ref="I2726">IF(ROWS(M$20:M2726)&gt;$F$6,"",INDEX(C$2:C$10000,SMALL(IF(ISNUMBER(MATCH($B$2:$B$10000,$E$6:$E$22,0)),ROW($C$2:$C$10000)-ROW($C$2)+1),ROWS(M$20:M2726))))</f>
        <v/>
      </c>
      <c r="K2726" s="7" t="str">
        <f t="array" ref="K2726">IF(ROWS(K$20:K2726)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2726))))</f>
        <v/>
      </c>
      <c r="L2726" s="4" t="str">
        <f t="array" ref="L2726">IF(ROWS(L$20:L2726)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2726))))</f>
        <v/>
      </c>
      <c r="M2726" s="4" t="str">
        <f t="array" ref="M2726">IF(ROWS(M$20:M2726)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2726))))</f>
        <v/>
      </c>
    </row>
    <row r="2727" spans="1:13" x14ac:dyDescent="0.25">
      <c r="A2727" s="3">
        <v>41558</v>
      </c>
      <c r="B2727" s="2" t="s">
        <v>31</v>
      </c>
      <c r="C2727" s="2">
        <v>21</v>
      </c>
      <c r="G2727" s="7" t="str">
        <f t="array" ref="G2727">IF(ROWS(K$20:K2727)&gt;$F$6,"",INDEX(A$2:A$10000,SMALL(IF(ISNUMBER(MATCH($B$2:$B$10000,$E$6:$E$22,0)),ROW($C$2:$C$10000)-ROW($C$2)+1),ROWS(K$20:K2727))))</f>
        <v/>
      </c>
      <c r="H2727" s="4" t="str">
        <f t="array" ref="H2727">IF(ROWS(L$20:L2727)&gt;$F$6,"",INDEX(B$2:B$10000,SMALL(IF(ISNUMBER(MATCH($B$2:$B$10000,$E$6:$E$22,0)),ROW($C$2:$C$10000)-ROW($C$2)+1),ROWS(L$20:L2727))))</f>
        <v/>
      </c>
      <c r="I2727" s="4" t="str">
        <f t="array" ref="I2727">IF(ROWS(M$20:M2727)&gt;$F$6,"",INDEX(C$2:C$10000,SMALL(IF(ISNUMBER(MATCH($B$2:$B$10000,$E$6:$E$22,0)),ROW($C$2:$C$10000)-ROW($C$2)+1),ROWS(M$20:M2727))))</f>
        <v/>
      </c>
      <c r="K2727" s="7" t="str">
        <f t="array" ref="K2727">IF(ROWS(K$20:K2727)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2727))))</f>
        <v/>
      </c>
      <c r="L2727" s="4" t="str">
        <f t="array" ref="L2727">IF(ROWS(L$20:L2727)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2727))))</f>
        <v/>
      </c>
      <c r="M2727" s="4" t="str">
        <f t="array" ref="M2727">IF(ROWS(M$20:M2727)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2727))))</f>
        <v/>
      </c>
    </row>
    <row r="2728" spans="1:13" x14ac:dyDescent="0.25">
      <c r="A2728" s="3">
        <v>41730</v>
      </c>
      <c r="B2728" s="2" t="s">
        <v>35</v>
      </c>
      <c r="C2728" s="2">
        <v>79</v>
      </c>
      <c r="G2728" s="7" t="str">
        <f t="array" ref="G2728">IF(ROWS(K$20:K2728)&gt;$F$6,"",INDEX(A$2:A$10000,SMALL(IF(ISNUMBER(MATCH($B$2:$B$10000,$E$6:$E$22,0)),ROW($C$2:$C$10000)-ROW($C$2)+1),ROWS(K$20:K2728))))</f>
        <v/>
      </c>
      <c r="H2728" s="4" t="str">
        <f t="array" ref="H2728">IF(ROWS(L$20:L2728)&gt;$F$6,"",INDEX(B$2:B$10000,SMALL(IF(ISNUMBER(MATCH($B$2:$B$10000,$E$6:$E$22,0)),ROW($C$2:$C$10000)-ROW($C$2)+1),ROWS(L$20:L2728))))</f>
        <v/>
      </c>
      <c r="I2728" s="4" t="str">
        <f t="array" ref="I2728">IF(ROWS(M$20:M2728)&gt;$F$6,"",INDEX(C$2:C$10000,SMALL(IF(ISNUMBER(MATCH($B$2:$B$10000,$E$6:$E$22,0)),ROW($C$2:$C$10000)-ROW($C$2)+1),ROWS(M$20:M2728))))</f>
        <v/>
      </c>
      <c r="K2728" s="7" t="str">
        <f t="array" ref="K2728">IF(ROWS(K$20:K2728)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2728))))</f>
        <v/>
      </c>
      <c r="L2728" s="4" t="str">
        <f t="array" ref="L2728">IF(ROWS(L$20:L2728)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2728))))</f>
        <v/>
      </c>
      <c r="M2728" s="4" t="str">
        <f t="array" ref="M2728">IF(ROWS(M$20:M2728)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2728))))</f>
        <v/>
      </c>
    </row>
    <row r="2729" spans="1:13" x14ac:dyDescent="0.25">
      <c r="A2729" s="3">
        <v>41668</v>
      </c>
      <c r="B2729" s="2" t="s">
        <v>26</v>
      </c>
      <c r="C2729" s="2">
        <v>23</v>
      </c>
      <c r="G2729" s="7" t="str">
        <f t="array" ref="G2729">IF(ROWS(K$20:K2729)&gt;$F$6,"",INDEX(A$2:A$10000,SMALL(IF(ISNUMBER(MATCH($B$2:$B$10000,$E$6:$E$22,0)),ROW($C$2:$C$10000)-ROW($C$2)+1),ROWS(K$20:K2729))))</f>
        <v/>
      </c>
      <c r="H2729" s="4" t="str">
        <f t="array" ref="H2729">IF(ROWS(L$20:L2729)&gt;$F$6,"",INDEX(B$2:B$10000,SMALL(IF(ISNUMBER(MATCH($B$2:$B$10000,$E$6:$E$22,0)),ROW($C$2:$C$10000)-ROW($C$2)+1),ROWS(L$20:L2729))))</f>
        <v/>
      </c>
      <c r="I2729" s="4" t="str">
        <f t="array" ref="I2729">IF(ROWS(M$20:M2729)&gt;$F$6,"",INDEX(C$2:C$10000,SMALL(IF(ISNUMBER(MATCH($B$2:$B$10000,$E$6:$E$22,0)),ROW($C$2:$C$10000)-ROW($C$2)+1),ROWS(M$20:M2729))))</f>
        <v/>
      </c>
      <c r="K2729" s="7" t="str">
        <f t="array" ref="K2729">IF(ROWS(K$20:K2729)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2729))))</f>
        <v/>
      </c>
      <c r="L2729" s="4" t="str">
        <f t="array" ref="L2729">IF(ROWS(L$20:L2729)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2729))))</f>
        <v/>
      </c>
      <c r="M2729" s="4" t="str">
        <f t="array" ref="M2729">IF(ROWS(M$20:M2729)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2729))))</f>
        <v/>
      </c>
    </row>
    <row r="2730" spans="1:13" x14ac:dyDescent="0.25">
      <c r="A2730" s="3">
        <v>41378</v>
      </c>
      <c r="B2730" s="2" t="s">
        <v>11</v>
      </c>
      <c r="C2730" s="2">
        <v>21</v>
      </c>
      <c r="G2730" s="7" t="str">
        <f t="array" ref="G2730">IF(ROWS(K$20:K2730)&gt;$F$6,"",INDEX(A$2:A$10000,SMALL(IF(ISNUMBER(MATCH($B$2:$B$10000,$E$6:$E$22,0)),ROW($C$2:$C$10000)-ROW($C$2)+1),ROWS(K$20:K2730))))</f>
        <v/>
      </c>
      <c r="H2730" s="4" t="str">
        <f t="array" ref="H2730">IF(ROWS(L$20:L2730)&gt;$F$6,"",INDEX(B$2:B$10000,SMALL(IF(ISNUMBER(MATCH($B$2:$B$10000,$E$6:$E$22,0)),ROW($C$2:$C$10000)-ROW($C$2)+1),ROWS(L$20:L2730))))</f>
        <v/>
      </c>
      <c r="I2730" s="4" t="str">
        <f t="array" ref="I2730">IF(ROWS(M$20:M2730)&gt;$F$6,"",INDEX(C$2:C$10000,SMALL(IF(ISNUMBER(MATCH($B$2:$B$10000,$E$6:$E$22,0)),ROW($C$2:$C$10000)-ROW($C$2)+1),ROWS(M$20:M2730))))</f>
        <v/>
      </c>
      <c r="K2730" s="7" t="str">
        <f t="array" ref="K2730">IF(ROWS(K$20:K2730)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2730))))</f>
        <v/>
      </c>
      <c r="L2730" s="4" t="str">
        <f t="array" ref="L2730">IF(ROWS(L$20:L2730)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2730))))</f>
        <v/>
      </c>
      <c r="M2730" s="4" t="str">
        <f t="array" ref="M2730">IF(ROWS(M$20:M2730)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2730))))</f>
        <v/>
      </c>
    </row>
    <row r="2731" spans="1:13" x14ac:dyDescent="0.25">
      <c r="A2731" s="3">
        <v>41865</v>
      </c>
      <c r="B2731" s="2" t="s">
        <v>32</v>
      </c>
      <c r="C2731" s="2">
        <v>23</v>
      </c>
      <c r="G2731" s="7" t="str">
        <f t="array" ref="G2731">IF(ROWS(K$20:K2731)&gt;$F$6,"",INDEX(A$2:A$10000,SMALL(IF(ISNUMBER(MATCH($B$2:$B$10000,$E$6:$E$22,0)),ROW($C$2:$C$10000)-ROW($C$2)+1),ROWS(K$20:K2731))))</f>
        <v/>
      </c>
      <c r="H2731" s="4" t="str">
        <f t="array" ref="H2731">IF(ROWS(L$20:L2731)&gt;$F$6,"",INDEX(B$2:B$10000,SMALL(IF(ISNUMBER(MATCH($B$2:$B$10000,$E$6:$E$22,0)),ROW($C$2:$C$10000)-ROW($C$2)+1),ROWS(L$20:L2731))))</f>
        <v/>
      </c>
      <c r="I2731" s="4" t="str">
        <f t="array" ref="I2731">IF(ROWS(M$20:M2731)&gt;$F$6,"",INDEX(C$2:C$10000,SMALL(IF(ISNUMBER(MATCH($B$2:$B$10000,$E$6:$E$22,0)),ROW($C$2:$C$10000)-ROW($C$2)+1),ROWS(M$20:M2731))))</f>
        <v/>
      </c>
      <c r="K2731" s="7" t="str">
        <f t="array" ref="K2731">IF(ROWS(K$20:K2731)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2731))))</f>
        <v/>
      </c>
      <c r="L2731" s="4" t="str">
        <f t="array" ref="L2731">IF(ROWS(L$20:L2731)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2731))))</f>
        <v/>
      </c>
      <c r="M2731" s="4" t="str">
        <f t="array" ref="M2731">IF(ROWS(M$20:M2731)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2731))))</f>
        <v/>
      </c>
    </row>
    <row r="2732" spans="1:13" x14ac:dyDescent="0.25">
      <c r="A2732" s="3">
        <v>41355</v>
      </c>
      <c r="B2732" s="2" t="s">
        <v>45</v>
      </c>
      <c r="C2732" s="2">
        <v>25</v>
      </c>
      <c r="G2732" s="7" t="str">
        <f t="array" ref="G2732">IF(ROWS(K$20:K2732)&gt;$F$6,"",INDEX(A$2:A$10000,SMALL(IF(ISNUMBER(MATCH($B$2:$B$10000,$E$6:$E$22,0)),ROW($C$2:$C$10000)-ROW($C$2)+1),ROWS(K$20:K2732))))</f>
        <v/>
      </c>
      <c r="H2732" s="4" t="str">
        <f t="array" ref="H2732">IF(ROWS(L$20:L2732)&gt;$F$6,"",INDEX(B$2:B$10000,SMALL(IF(ISNUMBER(MATCH($B$2:$B$10000,$E$6:$E$22,0)),ROW($C$2:$C$10000)-ROW($C$2)+1),ROWS(L$20:L2732))))</f>
        <v/>
      </c>
      <c r="I2732" s="4" t="str">
        <f t="array" ref="I2732">IF(ROWS(M$20:M2732)&gt;$F$6,"",INDEX(C$2:C$10000,SMALL(IF(ISNUMBER(MATCH($B$2:$B$10000,$E$6:$E$22,0)),ROW($C$2:$C$10000)-ROW($C$2)+1),ROWS(M$20:M2732))))</f>
        <v/>
      </c>
      <c r="K2732" s="7" t="str">
        <f t="array" ref="K2732">IF(ROWS(K$20:K2732)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2732))))</f>
        <v/>
      </c>
      <c r="L2732" s="4" t="str">
        <f t="array" ref="L2732">IF(ROWS(L$20:L2732)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2732))))</f>
        <v/>
      </c>
      <c r="M2732" s="4" t="str">
        <f t="array" ref="M2732">IF(ROWS(M$20:M2732)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2732))))</f>
        <v/>
      </c>
    </row>
    <row r="2733" spans="1:13" x14ac:dyDescent="0.25">
      <c r="A2733" s="3">
        <v>41475</v>
      </c>
      <c r="B2733" s="2" t="s">
        <v>20</v>
      </c>
      <c r="C2733" s="2">
        <v>38</v>
      </c>
      <c r="G2733" s="7" t="str">
        <f t="array" ref="G2733">IF(ROWS(K$20:K2733)&gt;$F$6,"",INDEX(A$2:A$10000,SMALL(IF(ISNUMBER(MATCH($B$2:$B$10000,$E$6:$E$22,0)),ROW($C$2:$C$10000)-ROW($C$2)+1),ROWS(K$20:K2733))))</f>
        <v/>
      </c>
      <c r="H2733" s="4" t="str">
        <f t="array" ref="H2733">IF(ROWS(L$20:L2733)&gt;$F$6,"",INDEX(B$2:B$10000,SMALL(IF(ISNUMBER(MATCH($B$2:$B$10000,$E$6:$E$22,0)),ROW($C$2:$C$10000)-ROW($C$2)+1),ROWS(L$20:L2733))))</f>
        <v/>
      </c>
      <c r="I2733" s="4" t="str">
        <f t="array" ref="I2733">IF(ROWS(M$20:M2733)&gt;$F$6,"",INDEX(C$2:C$10000,SMALL(IF(ISNUMBER(MATCH($B$2:$B$10000,$E$6:$E$22,0)),ROW($C$2:$C$10000)-ROW($C$2)+1),ROWS(M$20:M2733))))</f>
        <v/>
      </c>
      <c r="K2733" s="7" t="str">
        <f t="array" ref="K2733">IF(ROWS(K$20:K2733)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2733))))</f>
        <v/>
      </c>
      <c r="L2733" s="4" t="str">
        <f t="array" ref="L2733">IF(ROWS(L$20:L2733)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2733))))</f>
        <v/>
      </c>
      <c r="M2733" s="4" t="str">
        <f t="array" ref="M2733">IF(ROWS(M$20:M2733)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2733))))</f>
        <v/>
      </c>
    </row>
    <row r="2734" spans="1:13" x14ac:dyDescent="0.25">
      <c r="A2734" s="3">
        <v>41283</v>
      </c>
      <c r="B2734" s="2" t="s">
        <v>5</v>
      </c>
      <c r="C2734" s="2">
        <v>34</v>
      </c>
      <c r="G2734" s="7" t="str">
        <f t="array" ref="G2734">IF(ROWS(K$20:K2734)&gt;$F$6,"",INDEX(A$2:A$10000,SMALL(IF(ISNUMBER(MATCH($B$2:$B$10000,$E$6:$E$22,0)),ROW($C$2:$C$10000)-ROW($C$2)+1),ROWS(K$20:K2734))))</f>
        <v/>
      </c>
      <c r="H2734" s="4" t="str">
        <f t="array" ref="H2734">IF(ROWS(L$20:L2734)&gt;$F$6,"",INDEX(B$2:B$10000,SMALL(IF(ISNUMBER(MATCH($B$2:$B$10000,$E$6:$E$22,0)),ROW($C$2:$C$10000)-ROW($C$2)+1),ROWS(L$20:L2734))))</f>
        <v/>
      </c>
      <c r="I2734" s="4" t="str">
        <f t="array" ref="I2734">IF(ROWS(M$20:M2734)&gt;$F$6,"",INDEX(C$2:C$10000,SMALL(IF(ISNUMBER(MATCH($B$2:$B$10000,$E$6:$E$22,0)),ROW($C$2:$C$10000)-ROW($C$2)+1),ROWS(M$20:M2734))))</f>
        <v/>
      </c>
      <c r="K2734" s="7" t="str">
        <f t="array" ref="K2734">IF(ROWS(K$20:K2734)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2734))))</f>
        <v/>
      </c>
      <c r="L2734" s="4" t="str">
        <f t="array" ref="L2734">IF(ROWS(L$20:L2734)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2734))))</f>
        <v/>
      </c>
      <c r="M2734" s="4" t="str">
        <f t="array" ref="M2734">IF(ROWS(M$20:M2734)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2734))))</f>
        <v/>
      </c>
    </row>
    <row r="2735" spans="1:13" x14ac:dyDescent="0.25">
      <c r="A2735" s="3">
        <v>41374</v>
      </c>
      <c r="B2735" s="2" t="s">
        <v>9</v>
      </c>
      <c r="C2735" s="2">
        <v>27</v>
      </c>
      <c r="G2735" s="7" t="str">
        <f t="array" ref="G2735">IF(ROWS(K$20:K2735)&gt;$F$6,"",INDEX(A$2:A$10000,SMALL(IF(ISNUMBER(MATCH($B$2:$B$10000,$E$6:$E$22,0)),ROW($C$2:$C$10000)-ROW($C$2)+1),ROWS(K$20:K2735))))</f>
        <v/>
      </c>
      <c r="H2735" s="4" t="str">
        <f t="array" ref="H2735">IF(ROWS(L$20:L2735)&gt;$F$6,"",INDEX(B$2:B$10000,SMALL(IF(ISNUMBER(MATCH($B$2:$B$10000,$E$6:$E$22,0)),ROW($C$2:$C$10000)-ROW($C$2)+1),ROWS(L$20:L2735))))</f>
        <v/>
      </c>
      <c r="I2735" s="4" t="str">
        <f t="array" ref="I2735">IF(ROWS(M$20:M2735)&gt;$F$6,"",INDEX(C$2:C$10000,SMALL(IF(ISNUMBER(MATCH($B$2:$B$10000,$E$6:$E$22,0)),ROW($C$2:$C$10000)-ROW($C$2)+1),ROWS(M$20:M2735))))</f>
        <v/>
      </c>
      <c r="K2735" s="7" t="str">
        <f t="array" ref="K2735">IF(ROWS(K$20:K2735)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2735))))</f>
        <v/>
      </c>
      <c r="L2735" s="4" t="str">
        <f t="array" ref="L2735">IF(ROWS(L$20:L2735)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2735))))</f>
        <v/>
      </c>
      <c r="M2735" s="4" t="str">
        <f t="array" ref="M2735">IF(ROWS(M$20:M2735)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2735))))</f>
        <v/>
      </c>
    </row>
    <row r="2736" spans="1:13" x14ac:dyDescent="0.25">
      <c r="A2736" s="3">
        <v>41725</v>
      </c>
      <c r="B2736" s="2" t="s">
        <v>24</v>
      </c>
      <c r="C2736" s="2">
        <v>1</v>
      </c>
      <c r="G2736" s="7" t="str">
        <f t="array" ref="G2736">IF(ROWS(K$20:K2736)&gt;$F$6,"",INDEX(A$2:A$10000,SMALL(IF(ISNUMBER(MATCH($B$2:$B$10000,$E$6:$E$22,0)),ROW($C$2:$C$10000)-ROW($C$2)+1),ROWS(K$20:K2736))))</f>
        <v/>
      </c>
      <c r="H2736" s="4" t="str">
        <f t="array" ref="H2736">IF(ROWS(L$20:L2736)&gt;$F$6,"",INDEX(B$2:B$10000,SMALL(IF(ISNUMBER(MATCH($B$2:$B$10000,$E$6:$E$22,0)),ROW($C$2:$C$10000)-ROW($C$2)+1),ROWS(L$20:L2736))))</f>
        <v/>
      </c>
      <c r="I2736" s="4" t="str">
        <f t="array" ref="I2736">IF(ROWS(M$20:M2736)&gt;$F$6,"",INDEX(C$2:C$10000,SMALL(IF(ISNUMBER(MATCH($B$2:$B$10000,$E$6:$E$22,0)),ROW($C$2:$C$10000)-ROW($C$2)+1),ROWS(M$20:M2736))))</f>
        <v/>
      </c>
      <c r="K2736" s="7" t="str">
        <f t="array" ref="K2736">IF(ROWS(K$20:K2736)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2736))))</f>
        <v/>
      </c>
      <c r="L2736" s="4" t="str">
        <f t="array" ref="L2736">IF(ROWS(L$20:L2736)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2736))))</f>
        <v/>
      </c>
      <c r="M2736" s="4" t="str">
        <f t="array" ref="M2736">IF(ROWS(M$20:M2736)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2736))))</f>
        <v/>
      </c>
    </row>
    <row r="2737" spans="1:13" x14ac:dyDescent="0.25">
      <c r="A2737" s="3">
        <v>41419</v>
      </c>
      <c r="B2737" s="2" t="s">
        <v>18</v>
      </c>
      <c r="C2737" s="2">
        <v>33</v>
      </c>
      <c r="G2737" s="7" t="str">
        <f t="array" ref="G2737">IF(ROWS(K$20:K2737)&gt;$F$6,"",INDEX(A$2:A$10000,SMALL(IF(ISNUMBER(MATCH($B$2:$B$10000,$E$6:$E$22,0)),ROW($C$2:$C$10000)-ROW($C$2)+1),ROWS(K$20:K2737))))</f>
        <v/>
      </c>
      <c r="H2737" s="4" t="str">
        <f t="array" ref="H2737">IF(ROWS(L$20:L2737)&gt;$F$6,"",INDEX(B$2:B$10000,SMALL(IF(ISNUMBER(MATCH($B$2:$B$10000,$E$6:$E$22,0)),ROW($C$2:$C$10000)-ROW($C$2)+1),ROWS(L$20:L2737))))</f>
        <v/>
      </c>
      <c r="I2737" s="4" t="str">
        <f t="array" ref="I2737">IF(ROWS(M$20:M2737)&gt;$F$6,"",INDEX(C$2:C$10000,SMALL(IF(ISNUMBER(MATCH($B$2:$B$10000,$E$6:$E$22,0)),ROW($C$2:$C$10000)-ROW($C$2)+1),ROWS(M$20:M2737))))</f>
        <v/>
      </c>
      <c r="K2737" s="7" t="str">
        <f t="array" ref="K2737">IF(ROWS(K$20:K2737)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2737))))</f>
        <v/>
      </c>
      <c r="L2737" s="4" t="str">
        <f t="array" ref="L2737">IF(ROWS(L$20:L2737)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2737))))</f>
        <v/>
      </c>
      <c r="M2737" s="4" t="str">
        <f t="array" ref="M2737">IF(ROWS(M$20:M2737)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2737))))</f>
        <v/>
      </c>
    </row>
    <row r="2738" spans="1:13" x14ac:dyDescent="0.25">
      <c r="A2738" s="3">
        <v>41548</v>
      </c>
      <c r="B2738" s="2" t="s">
        <v>28</v>
      </c>
      <c r="C2738" s="2">
        <v>2</v>
      </c>
      <c r="G2738" s="7" t="str">
        <f t="array" ref="G2738">IF(ROWS(K$20:K2738)&gt;$F$6,"",INDEX(A$2:A$10000,SMALL(IF(ISNUMBER(MATCH($B$2:$B$10000,$E$6:$E$22,0)),ROW($C$2:$C$10000)-ROW($C$2)+1),ROWS(K$20:K2738))))</f>
        <v/>
      </c>
      <c r="H2738" s="4" t="str">
        <f t="array" ref="H2738">IF(ROWS(L$20:L2738)&gt;$F$6,"",INDEX(B$2:B$10000,SMALL(IF(ISNUMBER(MATCH($B$2:$B$10000,$E$6:$E$22,0)),ROW($C$2:$C$10000)-ROW($C$2)+1),ROWS(L$20:L2738))))</f>
        <v/>
      </c>
      <c r="I2738" s="4" t="str">
        <f t="array" ref="I2738">IF(ROWS(M$20:M2738)&gt;$F$6,"",INDEX(C$2:C$10000,SMALL(IF(ISNUMBER(MATCH($B$2:$B$10000,$E$6:$E$22,0)),ROW($C$2:$C$10000)-ROW($C$2)+1),ROWS(M$20:M2738))))</f>
        <v/>
      </c>
      <c r="K2738" s="7" t="str">
        <f t="array" ref="K2738">IF(ROWS(K$20:K2738)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2738))))</f>
        <v/>
      </c>
      <c r="L2738" s="4" t="str">
        <f t="array" ref="L2738">IF(ROWS(L$20:L2738)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2738))))</f>
        <v/>
      </c>
      <c r="M2738" s="4" t="str">
        <f t="array" ref="M2738">IF(ROWS(M$20:M2738)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2738))))</f>
        <v/>
      </c>
    </row>
    <row r="2739" spans="1:13" x14ac:dyDescent="0.25">
      <c r="A2739" s="3">
        <v>41688</v>
      </c>
      <c r="B2739" s="2" t="s">
        <v>46</v>
      </c>
      <c r="C2739" s="2">
        <v>44</v>
      </c>
      <c r="G2739" s="7" t="str">
        <f t="array" ref="G2739">IF(ROWS(K$20:K2739)&gt;$F$6,"",INDEX(A$2:A$10000,SMALL(IF(ISNUMBER(MATCH($B$2:$B$10000,$E$6:$E$22,0)),ROW($C$2:$C$10000)-ROW($C$2)+1),ROWS(K$20:K2739))))</f>
        <v/>
      </c>
      <c r="H2739" s="4" t="str">
        <f t="array" ref="H2739">IF(ROWS(L$20:L2739)&gt;$F$6,"",INDEX(B$2:B$10000,SMALL(IF(ISNUMBER(MATCH($B$2:$B$10000,$E$6:$E$22,0)),ROW($C$2:$C$10000)-ROW($C$2)+1),ROWS(L$20:L2739))))</f>
        <v/>
      </c>
      <c r="I2739" s="4" t="str">
        <f t="array" ref="I2739">IF(ROWS(M$20:M2739)&gt;$F$6,"",INDEX(C$2:C$10000,SMALL(IF(ISNUMBER(MATCH($B$2:$B$10000,$E$6:$E$22,0)),ROW($C$2:$C$10000)-ROW($C$2)+1),ROWS(M$20:M2739))))</f>
        <v/>
      </c>
      <c r="K2739" s="7" t="str">
        <f t="array" ref="K2739">IF(ROWS(K$20:K2739)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2739))))</f>
        <v/>
      </c>
      <c r="L2739" s="4" t="str">
        <f t="array" ref="L2739">IF(ROWS(L$20:L2739)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2739))))</f>
        <v/>
      </c>
      <c r="M2739" s="4" t="str">
        <f t="array" ref="M2739">IF(ROWS(M$20:M2739)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2739))))</f>
        <v/>
      </c>
    </row>
    <row r="2740" spans="1:13" x14ac:dyDescent="0.25">
      <c r="A2740" s="3">
        <v>41953</v>
      </c>
      <c r="B2740" s="2" t="s">
        <v>5</v>
      </c>
      <c r="C2740" s="2">
        <v>9</v>
      </c>
      <c r="G2740" s="7" t="str">
        <f t="array" ref="G2740">IF(ROWS(K$20:K2740)&gt;$F$6,"",INDEX(A$2:A$10000,SMALL(IF(ISNUMBER(MATCH($B$2:$B$10000,$E$6:$E$22,0)),ROW($C$2:$C$10000)-ROW($C$2)+1),ROWS(K$20:K2740))))</f>
        <v/>
      </c>
      <c r="H2740" s="4" t="str">
        <f t="array" ref="H2740">IF(ROWS(L$20:L2740)&gt;$F$6,"",INDEX(B$2:B$10000,SMALL(IF(ISNUMBER(MATCH($B$2:$B$10000,$E$6:$E$22,0)),ROW($C$2:$C$10000)-ROW($C$2)+1),ROWS(L$20:L2740))))</f>
        <v/>
      </c>
      <c r="I2740" s="4" t="str">
        <f t="array" ref="I2740">IF(ROWS(M$20:M2740)&gt;$F$6,"",INDEX(C$2:C$10000,SMALL(IF(ISNUMBER(MATCH($B$2:$B$10000,$E$6:$E$22,0)),ROW($C$2:$C$10000)-ROW($C$2)+1),ROWS(M$20:M2740))))</f>
        <v/>
      </c>
      <c r="K2740" s="7" t="str">
        <f t="array" ref="K2740">IF(ROWS(K$20:K2740)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2740))))</f>
        <v/>
      </c>
      <c r="L2740" s="4" t="str">
        <f t="array" ref="L2740">IF(ROWS(L$20:L2740)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2740))))</f>
        <v/>
      </c>
      <c r="M2740" s="4" t="str">
        <f t="array" ref="M2740">IF(ROWS(M$20:M2740)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2740))))</f>
        <v/>
      </c>
    </row>
    <row r="2741" spans="1:13" x14ac:dyDescent="0.25">
      <c r="A2741" s="3">
        <v>41450</v>
      </c>
      <c r="B2741" s="2" t="s">
        <v>26</v>
      </c>
      <c r="C2741" s="2">
        <v>44</v>
      </c>
      <c r="G2741" s="7" t="str">
        <f t="array" ref="G2741">IF(ROWS(K$20:K2741)&gt;$F$6,"",INDEX(A$2:A$10000,SMALL(IF(ISNUMBER(MATCH($B$2:$B$10000,$E$6:$E$22,0)),ROW($C$2:$C$10000)-ROW($C$2)+1),ROWS(K$20:K2741))))</f>
        <v/>
      </c>
      <c r="H2741" s="4" t="str">
        <f t="array" ref="H2741">IF(ROWS(L$20:L2741)&gt;$F$6,"",INDEX(B$2:B$10000,SMALL(IF(ISNUMBER(MATCH($B$2:$B$10000,$E$6:$E$22,0)),ROW($C$2:$C$10000)-ROW($C$2)+1),ROWS(L$20:L2741))))</f>
        <v/>
      </c>
      <c r="I2741" s="4" t="str">
        <f t="array" ref="I2741">IF(ROWS(M$20:M2741)&gt;$F$6,"",INDEX(C$2:C$10000,SMALL(IF(ISNUMBER(MATCH($B$2:$B$10000,$E$6:$E$22,0)),ROW($C$2:$C$10000)-ROW($C$2)+1),ROWS(M$20:M2741))))</f>
        <v/>
      </c>
      <c r="K2741" s="7" t="str">
        <f t="array" ref="K2741">IF(ROWS(K$20:K2741)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2741))))</f>
        <v/>
      </c>
      <c r="L2741" s="4" t="str">
        <f t="array" ref="L2741">IF(ROWS(L$20:L2741)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2741))))</f>
        <v/>
      </c>
      <c r="M2741" s="4" t="str">
        <f t="array" ref="M2741">IF(ROWS(M$20:M2741)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2741))))</f>
        <v/>
      </c>
    </row>
    <row r="2742" spans="1:13" x14ac:dyDescent="0.25">
      <c r="A2742" s="3">
        <v>41332</v>
      </c>
      <c r="B2742" s="2" t="s">
        <v>48</v>
      </c>
      <c r="C2742" s="2">
        <v>13</v>
      </c>
      <c r="G2742" s="7" t="str">
        <f t="array" ref="G2742">IF(ROWS(K$20:K2742)&gt;$F$6,"",INDEX(A$2:A$10000,SMALL(IF(ISNUMBER(MATCH($B$2:$B$10000,$E$6:$E$22,0)),ROW($C$2:$C$10000)-ROW($C$2)+1),ROWS(K$20:K2742))))</f>
        <v/>
      </c>
      <c r="H2742" s="4" t="str">
        <f t="array" ref="H2742">IF(ROWS(L$20:L2742)&gt;$F$6,"",INDEX(B$2:B$10000,SMALL(IF(ISNUMBER(MATCH($B$2:$B$10000,$E$6:$E$22,0)),ROW($C$2:$C$10000)-ROW($C$2)+1),ROWS(L$20:L2742))))</f>
        <v/>
      </c>
      <c r="I2742" s="4" t="str">
        <f t="array" ref="I2742">IF(ROWS(M$20:M2742)&gt;$F$6,"",INDEX(C$2:C$10000,SMALL(IF(ISNUMBER(MATCH($B$2:$B$10000,$E$6:$E$22,0)),ROW($C$2:$C$10000)-ROW($C$2)+1),ROWS(M$20:M2742))))</f>
        <v/>
      </c>
      <c r="K2742" s="7" t="str">
        <f t="array" ref="K2742">IF(ROWS(K$20:K2742)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2742))))</f>
        <v/>
      </c>
      <c r="L2742" s="4" t="str">
        <f t="array" ref="L2742">IF(ROWS(L$20:L2742)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2742))))</f>
        <v/>
      </c>
      <c r="M2742" s="4" t="str">
        <f t="array" ref="M2742">IF(ROWS(M$20:M2742)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2742))))</f>
        <v/>
      </c>
    </row>
    <row r="2743" spans="1:13" x14ac:dyDescent="0.25">
      <c r="A2743" s="3">
        <v>41292</v>
      </c>
      <c r="B2743" s="2" t="s">
        <v>48</v>
      </c>
      <c r="C2743" s="2">
        <v>17</v>
      </c>
      <c r="G2743" s="7" t="str">
        <f t="array" ref="G2743">IF(ROWS(K$20:K2743)&gt;$F$6,"",INDEX(A$2:A$10000,SMALL(IF(ISNUMBER(MATCH($B$2:$B$10000,$E$6:$E$22,0)),ROW($C$2:$C$10000)-ROW($C$2)+1),ROWS(K$20:K2743))))</f>
        <v/>
      </c>
      <c r="H2743" s="4" t="str">
        <f t="array" ref="H2743">IF(ROWS(L$20:L2743)&gt;$F$6,"",INDEX(B$2:B$10000,SMALL(IF(ISNUMBER(MATCH($B$2:$B$10000,$E$6:$E$22,0)),ROW($C$2:$C$10000)-ROW($C$2)+1),ROWS(L$20:L2743))))</f>
        <v/>
      </c>
      <c r="I2743" s="4" t="str">
        <f t="array" ref="I2743">IF(ROWS(M$20:M2743)&gt;$F$6,"",INDEX(C$2:C$10000,SMALL(IF(ISNUMBER(MATCH($B$2:$B$10000,$E$6:$E$22,0)),ROW($C$2:$C$10000)-ROW($C$2)+1),ROWS(M$20:M2743))))</f>
        <v/>
      </c>
      <c r="K2743" s="7" t="str">
        <f t="array" ref="K2743">IF(ROWS(K$20:K2743)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2743))))</f>
        <v/>
      </c>
      <c r="L2743" s="4" t="str">
        <f t="array" ref="L2743">IF(ROWS(L$20:L2743)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2743))))</f>
        <v/>
      </c>
      <c r="M2743" s="4" t="str">
        <f t="array" ref="M2743">IF(ROWS(M$20:M2743)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2743))))</f>
        <v/>
      </c>
    </row>
    <row r="2744" spans="1:13" x14ac:dyDescent="0.25">
      <c r="A2744" s="3">
        <v>41715</v>
      </c>
      <c r="B2744" s="2" t="s">
        <v>11</v>
      </c>
      <c r="C2744" s="2">
        <v>11</v>
      </c>
      <c r="G2744" s="7" t="str">
        <f t="array" ref="G2744">IF(ROWS(K$20:K2744)&gt;$F$6,"",INDEX(A$2:A$10000,SMALL(IF(ISNUMBER(MATCH($B$2:$B$10000,$E$6:$E$22,0)),ROW($C$2:$C$10000)-ROW($C$2)+1),ROWS(K$20:K2744))))</f>
        <v/>
      </c>
      <c r="H2744" s="4" t="str">
        <f t="array" ref="H2744">IF(ROWS(L$20:L2744)&gt;$F$6,"",INDEX(B$2:B$10000,SMALL(IF(ISNUMBER(MATCH($B$2:$B$10000,$E$6:$E$22,0)),ROW($C$2:$C$10000)-ROW($C$2)+1),ROWS(L$20:L2744))))</f>
        <v/>
      </c>
      <c r="I2744" s="4" t="str">
        <f t="array" ref="I2744">IF(ROWS(M$20:M2744)&gt;$F$6,"",INDEX(C$2:C$10000,SMALL(IF(ISNUMBER(MATCH($B$2:$B$10000,$E$6:$E$22,0)),ROW($C$2:$C$10000)-ROW($C$2)+1),ROWS(M$20:M2744))))</f>
        <v/>
      </c>
      <c r="K2744" s="7" t="str">
        <f t="array" ref="K2744">IF(ROWS(K$20:K2744)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2744))))</f>
        <v/>
      </c>
      <c r="L2744" s="4" t="str">
        <f t="array" ref="L2744">IF(ROWS(L$20:L2744)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2744))))</f>
        <v/>
      </c>
      <c r="M2744" s="4" t="str">
        <f t="array" ref="M2744">IF(ROWS(M$20:M2744)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2744))))</f>
        <v/>
      </c>
    </row>
    <row r="2745" spans="1:13" x14ac:dyDescent="0.25">
      <c r="A2745" s="3">
        <v>41474</v>
      </c>
      <c r="B2745" s="2" t="s">
        <v>39</v>
      </c>
      <c r="C2745" s="2">
        <v>14</v>
      </c>
      <c r="G2745" s="7" t="str">
        <f t="array" ref="G2745">IF(ROWS(K$20:K2745)&gt;$F$6,"",INDEX(A$2:A$10000,SMALL(IF(ISNUMBER(MATCH($B$2:$B$10000,$E$6:$E$22,0)),ROW($C$2:$C$10000)-ROW($C$2)+1),ROWS(K$20:K2745))))</f>
        <v/>
      </c>
      <c r="H2745" s="4" t="str">
        <f t="array" ref="H2745">IF(ROWS(L$20:L2745)&gt;$F$6,"",INDEX(B$2:B$10000,SMALL(IF(ISNUMBER(MATCH($B$2:$B$10000,$E$6:$E$22,0)),ROW($C$2:$C$10000)-ROW($C$2)+1),ROWS(L$20:L2745))))</f>
        <v/>
      </c>
      <c r="I2745" s="4" t="str">
        <f t="array" ref="I2745">IF(ROWS(M$20:M2745)&gt;$F$6,"",INDEX(C$2:C$10000,SMALL(IF(ISNUMBER(MATCH($B$2:$B$10000,$E$6:$E$22,0)),ROW($C$2:$C$10000)-ROW($C$2)+1),ROWS(M$20:M2745))))</f>
        <v/>
      </c>
      <c r="K2745" s="7" t="str">
        <f t="array" ref="K2745">IF(ROWS(K$20:K2745)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2745))))</f>
        <v/>
      </c>
      <c r="L2745" s="4" t="str">
        <f t="array" ref="L2745">IF(ROWS(L$20:L2745)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2745))))</f>
        <v/>
      </c>
      <c r="M2745" s="4" t="str">
        <f t="array" ref="M2745">IF(ROWS(M$20:M2745)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2745))))</f>
        <v/>
      </c>
    </row>
    <row r="2746" spans="1:13" x14ac:dyDescent="0.25">
      <c r="A2746" s="3">
        <v>41712</v>
      </c>
      <c r="B2746" s="2" t="s">
        <v>12</v>
      </c>
      <c r="C2746" s="2">
        <v>0</v>
      </c>
      <c r="G2746" s="7" t="str">
        <f t="array" ref="G2746">IF(ROWS(K$20:K2746)&gt;$F$6,"",INDEX(A$2:A$10000,SMALL(IF(ISNUMBER(MATCH($B$2:$B$10000,$E$6:$E$22,0)),ROW($C$2:$C$10000)-ROW($C$2)+1),ROWS(K$20:K2746))))</f>
        <v/>
      </c>
      <c r="H2746" s="4" t="str">
        <f t="array" ref="H2746">IF(ROWS(L$20:L2746)&gt;$F$6,"",INDEX(B$2:B$10000,SMALL(IF(ISNUMBER(MATCH($B$2:$B$10000,$E$6:$E$22,0)),ROW($C$2:$C$10000)-ROW($C$2)+1),ROWS(L$20:L2746))))</f>
        <v/>
      </c>
      <c r="I2746" s="4" t="str">
        <f t="array" ref="I2746">IF(ROWS(M$20:M2746)&gt;$F$6,"",INDEX(C$2:C$10000,SMALL(IF(ISNUMBER(MATCH($B$2:$B$10000,$E$6:$E$22,0)),ROW($C$2:$C$10000)-ROW($C$2)+1),ROWS(M$20:M2746))))</f>
        <v/>
      </c>
      <c r="K2746" s="7" t="str">
        <f t="array" ref="K2746">IF(ROWS(K$20:K2746)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2746))))</f>
        <v/>
      </c>
      <c r="L2746" s="4" t="str">
        <f t="array" ref="L2746">IF(ROWS(L$20:L2746)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2746))))</f>
        <v/>
      </c>
      <c r="M2746" s="4" t="str">
        <f t="array" ref="M2746">IF(ROWS(M$20:M2746)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2746))))</f>
        <v/>
      </c>
    </row>
    <row r="2747" spans="1:13" x14ac:dyDescent="0.25">
      <c r="A2747" s="3">
        <v>41282</v>
      </c>
      <c r="B2747" s="2" t="s">
        <v>43</v>
      </c>
      <c r="C2747" s="2">
        <v>20</v>
      </c>
      <c r="G2747" s="7" t="str">
        <f t="array" ref="G2747">IF(ROWS(K$20:K2747)&gt;$F$6,"",INDEX(A$2:A$10000,SMALL(IF(ISNUMBER(MATCH($B$2:$B$10000,$E$6:$E$22,0)),ROW($C$2:$C$10000)-ROW($C$2)+1),ROWS(K$20:K2747))))</f>
        <v/>
      </c>
      <c r="H2747" s="4" t="str">
        <f t="array" ref="H2747">IF(ROWS(L$20:L2747)&gt;$F$6,"",INDEX(B$2:B$10000,SMALL(IF(ISNUMBER(MATCH($B$2:$B$10000,$E$6:$E$22,0)),ROW($C$2:$C$10000)-ROW($C$2)+1),ROWS(L$20:L2747))))</f>
        <v/>
      </c>
      <c r="I2747" s="4" t="str">
        <f t="array" ref="I2747">IF(ROWS(M$20:M2747)&gt;$F$6,"",INDEX(C$2:C$10000,SMALL(IF(ISNUMBER(MATCH($B$2:$B$10000,$E$6:$E$22,0)),ROW($C$2:$C$10000)-ROW($C$2)+1),ROWS(M$20:M2747))))</f>
        <v/>
      </c>
      <c r="K2747" s="7" t="str">
        <f t="array" ref="K2747">IF(ROWS(K$20:K2747)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2747))))</f>
        <v/>
      </c>
      <c r="L2747" s="4" t="str">
        <f t="array" ref="L2747">IF(ROWS(L$20:L2747)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2747))))</f>
        <v/>
      </c>
      <c r="M2747" s="4" t="str">
        <f t="array" ref="M2747">IF(ROWS(M$20:M2747)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2747))))</f>
        <v/>
      </c>
    </row>
    <row r="2748" spans="1:13" x14ac:dyDescent="0.25">
      <c r="A2748" s="3">
        <v>41870</v>
      </c>
      <c r="B2748" s="2" t="s">
        <v>46</v>
      </c>
      <c r="C2748" s="2">
        <v>23</v>
      </c>
      <c r="G2748" s="7" t="str">
        <f t="array" ref="G2748">IF(ROWS(K$20:K2748)&gt;$F$6,"",INDEX(A$2:A$10000,SMALL(IF(ISNUMBER(MATCH($B$2:$B$10000,$E$6:$E$22,0)),ROW($C$2:$C$10000)-ROW($C$2)+1),ROWS(K$20:K2748))))</f>
        <v/>
      </c>
      <c r="H2748" s="4" t="str">
        <f t="array" ref="H2748">IF(ROWS(L$20:L2748)&gt;$F$6,"",INDEX(B$2:B$10000,SMALL(IF(ISNUMBER(MATCH($B$2:$B$10000,$E$6:$E$22,0)),ROW($C$2:$C$10000)-ROW($C$2)+1),ROWS(L$20:L2748))))</f>
        <v/>
      </c>
      <c r="I2748" s="4" t="str">
        <f t="array" ref="I2748">IF(ROWS(M$20:M2748)&gt;$F$6,"",INDEX(C$2:C$10000,SMALL(IF(ISNUMBER(MATCH($B$2:$B$10000,$E$6:$E$22,0)),ROW($C$2:$C$10000)-ROW($C$2)+1),ROWS(M$20:M2748))))</f>
        <v/>
      </c>
      <c r="K2748" s="7" t="str">
        <f t="array" ref="K2748">IF(ROWS(K$20:K2748)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2748))))</f>
        <v/>
      </c>
      <c r="L2748" s="4" t="str">
        <f t="array" ref="L2748">IF(ROWS(L$20:L2748)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2748))))</f>
        <v/>
      </c>
      <c r="M2748" s="4" t="str">
        <f t="array" ref="M2748">IF(ROWS(M$20:M2748)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2748))))</f>
        <v/>
      </c>
    </row>
    <row r="2749" spans="1:13" x14ac:dyDescent="0.25">
      <c r="A2749" s="3">
        <v>41375</v>
      </c>
      <c r="B2749" s="2" t="s">
        <v>14</v>
      </c>
      <c r="C2749" s="2">
        <v>49</v>
      </c>
      <c r="G2749" s="7" t="str">
        <f t="array" ref="G2749">IF(ROWS(K$20:K2749)&gt;$F$6,"",INDEX(A$2:A$10000,SMALL(IF(ISNUMBER(MATCH($B$2:$B$10000,$E$6:$E$22,0)),ROW($C$2:$C$10000)-ROW($C$2)+1),ROWS(K$20:K2749))))</f>
        <v/>
      </c>
      <c r="H2749" s="4" t="str">
        <f t="array" ref="H2749">IF(ROWS(L$20:L2749)&gt;$F$6,"",INDEX(B$2:B$10000,SMALL(IF(ISNUMBER(MATCH($B$2:$B$10000,$E$6:$E$22,0)),ROW($C$2:$C$10000)-ROW($C$2)+1),ROWS(L$20:L2749))))</f>
        <v/>
      </c>
      <c r="I2749" s="4" t="str">
        <f t="array" ref="I2749">IF(ROWS(M$20:M2749)&gt;$F$6,"",INDEX(C$2:C$10000,SMALL(IF(ISNUMBER(MATCH($B$2:$B$10000,$E$6:$E$22,0)),ROW($C$2:$C$10000)-ROW($C$2)+1),ROWS(M$20:M2749))))</f>
        <v/>
      </c>
      <c r="K2749" s="7" t="str">
        <f t="array" ref="K2749">IF(ROWS(K$20:K2749)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2749))))</f>
        <v/>
      </c>
      <c r="L2749" s="4" t="str">
        <f t="array" ref="L2749">IF(ROWS(L$20:L2749)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2749))))</f>
        <v/>
      </c>
      <c r="M2749" s="4" t="str">
        <f t="array" ref="M2749">IF(ROWS(M$20:M2749)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2749))))</f>
        <v/>
      </c>
    </row>
    <row r="2750" spans="1:13" x14ac:dyDescent="0.25">
      <c r="A2750" s="3">
        <v>41941</v>
      </c>
      <c r="B2750" s="2" t="s">
        <v>12</v>
      </c>
      <c r="C2750" s="2">
        <v>21</v>
      </c>
      <c r="G2750" s="7" t="str">
        <f t="array" ref="G2750">IF(ROWS(K$20:K2750)&gt;$F$6,"",INDEX(A$2:A$10000,SMALL(IF(ISNUMBER(MATCH($B$2:$B$10000,$E$6:$E$22,0)),ROW($C$2:$C$10000)-ROW($C$2)+1),ROWS(K$20:K2750))))</f>
        <v/>
      </c>
      <c r="H2750" s="4" t="str">
        <f t="array" ref="H2750">IF(ROWS(L$20:L2750)&gt;$F$6,"",INDEX(B$2:B$10000,SMALL(IF(ISNUMBER(MATCH($B$2:$B$10000,$E$6:$E$22,0)),ROW($C$2:$C$10000)-ROW($C$2)+1),ROWS(L$20:L2750))))</f>
        <v/>
      </c>
      <c r="I2750" s="4" t="str">
        <f t="array" ref="I2750">IF(ROWS(M$20:M2750)&gt;$F$6,"",INDEX(C$2:C$10000,SMALL(IF(ISNUMBER(MATCH($B$2:$B$10000,$E$6:$E$22,0)),ROW($C$2:$C$10000)-ROW($C$2)+1),ROWS(M$20:M2750))))</f>
        <v/>
      </c>
      <c r="K2750" s="7" t="str">
        <f t="array" ref="K2750">IF(ROWS(K$20:K2750)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2750))))</f>
        <v/>
      </c>
      <c r="L2750" s="4" t="str">
        <f t="array" ref="L2750">IF(ROWS(L$20:L2750)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2750))))</f>
        <v/>
      </c>
      <c r="M2750" s="4" t="str">
        <f t="array" ref="M2750">IF(ROWS(M$20:M2750)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2750))))</f>
        <v/>
      </c>
    </row>
    <row r="2751" spans="1:13" x14ac:dyDescent="0.25">
      <c r="A2751" s="3">
        <v>41678</v>
      </c>
      <c r="B2751" s="2" t="s">
        <v>41</v>
      </c>
      <c r="C2751" s="2">
        <v>5</v>
      </c>
      <c r="G2751" s="7" t="str">
        <f t="array" ref="G2751">IF(ROWS(K$20:K2751)&gt;$F$6,"",INDEX(A$2:A$10000,SMALL(IF(ISNUMBER(MATCH($B$2:$B$10000,$E$6:$E$22,0)),ROW($C$2:$C$10000)-ROW($C$2)+1),ROWS(K$20:K2751))))</f>
        <v/>
      </c>
      <c r="H2751" s="4" t="str">
        <f t="array" ref="H2751">IF(ROWS(L$20:L2751)&gt;$F$6,"",INDEX(B$2:B$10000,SMALL(IF(ISNUMBER(MATCH($B$2:$B$10000,$E$6:$E$22,0)),ROW($C$2:$C$10000)-ROW($C$2)+1),ROWS(L$20:L2751))))</f>
        <v/>
      </c>
      <c r="I2751" s="4" t="str">
        <f t="array" ref="I2751">IF(ROWS(M$20:M2751)&gt;$F$6,"",INDEX(C$2:C$10000,SMALL(IF(ISNUMBER(MATCH($B$2:$B$10000,$E$6:$E$22,0)),ROW($C$2:$C$10000)-ROW($C$2)+1),ROWS(M$20:M2751))))</f>
        <v/>
      </c>
      <c r="K2751" s="7" t="str">
        <f t="array" ref="K2751">IF(ROWS(K$20:K2751)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2751))))</f>
        <v/>
      </c>
      <c r="L2751" s="4" t="str">
        <f t="array" ref="L2751">IF(ROWS(L$20:L2751)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2751))))</f>
        <v/>
      </c>
      <c r="M2751" s="4" t="str">
        <f t="array" ref="M2751">IF(ROWS(M$20:M2751)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2751))))</f>
        <v/>
      </c>
    </row>
    <row r="2752" spans="1:13" x14ac:dyDescent="0.25">
      <c r="A2752" s="3">
        <v>41558</v>
      </c>
      <c r="B2752" s="2" t="s">
        <v>45</v>
      </c>
      <c r="C2752" s="2">
        <v>20</v>
      </c>
      <c r="G2752" s="7" t="str">
        <f t="array" ref="G2752">IF(ROWS(K$20:K2752)&gt;$F$6,"",INDEX(A$2:A$10000,SMALL(IF(ISNUMBER(MATCH($B$2:$B$10000,$E$6:$E$22,0)),ROW($C$2:$C$10000)-ROW($C$2)+1),ROWS(K$20:K2752))))</f>
        <v/>
      </c>
      <c r="H2752" s="4" t="str">
        <f t="array" ref="H2752">IF(ROWS(L$20:L2752)&gt;$F$6,"",INDEX(B$2:B$10000,SMALL(IF(ISNUMBER(MATCH($B$2:$B$10000,$E$6:$E$22,0)),ROW($C$2:$C$10000)-ROW($C$2)+1),ROWS(L$20:L2752))))</f>
        <v/>
      </c>
      <c r="I2752" s="4" t="str">
        <f t="array" ref="I2752">IF(ROWS(M$20:M2752)&gt;$F$6,"",INDEX(C$2:C$10000,SMALL(IF(ISNUMBER(MATCH($B$2:$B$10000,$E$6:$E$22,0)),ROW($C$2:$C$10000)-ROW($C$2)+1),ROWS(M$20:M2752))))</f>
        <v/>
      </c>
      <c r="K2752" s="7" t="str">
        <f t="array" ref="K2752">IF(ROWS(K$20:K2752)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2752))))</f>
        <v/>
      </c>
      <c r="L2752" s="4" t="str">
        <f t="array" ref="L2752">IF(ROWS(L$20:L2752)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2752))))</f>
        <v/>
      </c>
      <c r="M2752" s="4" t="str">
        <f t="array" ref="M2752">IF(ROWS(M$20:M2752)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2752))))</f>
        <v/>
      </c>
    </row>
    <row r="2753" spans="1:13" x14ac:dyDescent="0.25">
      <c r="A2753" s="3">
        <v>41639</v>
      </c>
      <c r="B2753" s="2" t="s">
        <v>41</v>
      </c>
      <c r="C2753" s="2">
        <v>44</v>
      </c>
      <c r="G2753" s="7" t="str">
        <f t="array" ref="G2753">IF(ROWS(K$20:K2753)&gt;$F$6,"",INDEX(A$2:A$10000,SMALL(IF(ISNUMBER(MATCH($B$2:$B$10000,$E$6:$E$22,0)),ROW($C$2:$C$10000)-ROW($C$2)+1),ROWS(K$20:K2753))))</f>
        <v/>
      </c>
      <c r="H2753" s="4" t="str">
        <f t="array" ref="H2753">IF(ROWS(L$20:L2753)&gt;$F$6,"",INDEX(B$2:B$10000,SMALL(IF(ISNUMBER(MATCH($B$2:$B$10000,$E$6:$E$22,0)),ROW($C$2:$C$10000)-ROW($C$2)+1),ROWS(L$20:L2753))))</f>
        <v/>
      </c>
      <c r="I2753" s="4" t="str">
        <f t="array" ref="I2753">IF(ROWS(M$20:M2753)&gt;$F$6,"",INDEX(C$2:C$10000,SMALL(IF(ISNUMBER(MATCH($B$2:$B$10000,$E$6:$E$22,0)),ROW($C$2:$C$10000)-ROW($C$2)+1),ROWS(M$20:M2753))))</f>
        <v/>
      </c>
      <c r="K2753" s="7" t="str">
        <f t="array" ref="K2753">IF(ROWS(K$20:K2753)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2753))))</f>
        <v/>
      </c>
      <c r="L2753" s="4" t="str">
        <f t="array" ref="L2753">IF(ROWS(L$20:L2753)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2753))))</f>
        <v/>
      </c>
      <c r="M2753" s="4" t="str">
        <f t="array" ref="M2753">IF(ROWS(M$20:M2753)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2753))))</f>
        <v/>
      </c>
    </row>
    <row r="2754" spans="1:13" x14ac:dyDescent="0.25">
      <c r="A2754" s="3">
        <v>41886</v>
      </c>
      <c r="B2754" s="2" t="s">
        <v>29</v>
      </c>
      <c r="C2754" s="2">
        <v>2</v>
      </c>
      <c r="G2754" s="7" t="str">
        <f t="array" ref="G2754">IF(ROWS(K$20:K2754)&gt;$F$6,"",INDEX(A$2:A$10000,SMALL(IF(ISNUMBER(MATCH($B$2:$B$10000,$E$6:$E$22,0)),ROW($C$2:$C$10000)-ROW($C$2)+1),ROWS(K$20:K2754))))</f>
        <v/>
      </c>
      <c r="H2754" s="4" t="str">
        <f t="array" ref="H2754">IF(ROWS(L$20:L2754)&gt;$F$6,"",INDEX(B$2:B$10000,SMALL(IF(ISNUMBER(MATCH($B$2:$B$10000,$E$6:$E$22,0)),ROW($C$2:$C$10000)-ROW($C$2)+1),ROWS(L$20:L2754))))</f>
        <v/>
      </c>
      <c r="I2754" s="4" t="str">
        <f t="array" ref="I2754">IF(ROWS(M$20:M2754)&gt;$F$6,"",INDEX(C$2:C$10000,SMALL(IF(ISNUMBER(MATCH($B$2:$B$10000,$E$6:$E$22,0)),ROW($C$2:$C$10000)-ROW($C$2)+1),ROWS(M$20:M2754))))</f>
        <v/>
      </c>
      <c r="K2754" s="7" t="str">
        <f t="array" ref="K2754">IF(ROWS(K$20:K2754)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2754))))</f>
        <v/>
      </c>
      <c r="L2754" s="4" t="str">
        <f t="array" ref="L2754">IF(ROWS(L$20:L2754)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2754))))</f>
        <v/>
      </c>
      <c r="M2754" s="4" t="str">
        <f t="array" ref="M2754">IF(ROWS(M$20:M2754)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2754))))</f>
        <v/>
      </c>
    </row>
    <row r="2755" spans="1:13" x14ac:dyDescent="0.25">
      <c r="A2755" s="3">
        <v>41283</v>
      </c>
      <c r="B2755" s="2" t="s">
        <v>32</v>
      </c>
      <c r="C2755" s="2">
        <v>33</v>
      </c>
      <c r="G2755" s="7" t="str">
        <f t="array" ref="G2755">IF(ROWS(K$20:K2755)&gt;$F$6,"",INDEX(A$2:A$10000,SMALL(IF(ISNUMBER(MATCH($B$2:$B$10000,$E$6:$E$22,0)),ROW($C$2:$C$10000)-ROW($C$2)+1),ROWS(K$20:K2755))))</f>
        <v/>
      </c>
      <c r="H2755" s="4" t="str">
        <f t="array" ref="H2755">IF(ROWS(L$20:L2755)&gt;$F$6,"",INDEX(B$2:B$10000,SMALL(IF(ISNUMBER(MATCH($B$2:$B$10000,$E$6:$E$22,0)),ROW($C$2:$C$10000)-ROW($C$2)+1),ROWS(L$20:L2755))))</f>
        <v/>
      </c>
      <c r="I2755" s="4" t="str">
        <f t="array" ref="I2755">IF(ROWS(M$20:M2755)&gt;$F$6,"",INDEX(C$2:C$10000,SMALL(IF(ISNUMBER(MATCH($B$2:$B$10000,$E$6:$E$22,0)),ROW($C$2:$C$10000)-ROW($C$2)+1),ROWS(M$20:M2755))))</f>
        <v/>
      </c>
      <c r="K2755" s="7" t="str">
        <f t="array" ref="K2755">IF(ROWS(K$20:K2755)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2755))))</f>
        <v/>
      </c>
      <c r="L2755" s="4" t="str">
        <f t="array" ref="L2755">IF(ROWS(L$20:L2755)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2755))))</f>
        <v/>
      </c>
      <c r="M2755" s="4" t="str">
        <f t="array" ref="M2755">IF(ROWS(M$20:M2755)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2755))))</f>
        <v/>
      </c>
    </row>
    <row r="2756" spans="1:13" x14ac:dyDescent="0.25">
      <c r="A2756" s="3">
        <v>41608</v>
      </c>
      <c r="B2756" s="2" t="s">
        <v>35</v>
      </c>
      <c r="C2756" s="2">
        <v>5</v>
      </c>
      <c r="G2756" s="7" t="str">
        <f t="array" ref="G2756">IF(ROWS(K$20:K2756)&gt;$F$6,"",INDEX(A$2:A$10000,SMALL(IF(ISNUMBER(MATCH($B$2:$B$10000,$E$6:$E$22,0)),ROW($C$2:$C$10000)-ROW($C$2)+1),ROWS(K$20:K2756))))</f>
        <v/>
      </c>
      <c r="H2756" s="4" t="str">
        <f t="array" ref="H2756">IF(ROWS(L$20:L2756)&gt;$F$6,"",INDEX(B$2:B$10000,SMALL(IF(ISNUMBER(MATCH($B$2:$B$10000,$E$6:$E$22,0)),ROW($C$2:$C$10000)-ROW($C$2)+1),ROWS(L$20:L2756))))</f>
        <v/>
      </c>
      <c r="I2756" s="4" t="str">
        <f t="array" ref="I2756">IF(ROWS(M$20:M2756)&gt;$F$6,"",INDEX(C$2:C$10000,SMALL(IF(ISNUMBER(MATCH($B$2:$B$10000,$E$6:$E$22,0)),ROW($C$2:$C$10000)-ROW($C$2)+1),ROWS(M$20:M2756))))</f>
        <v/>
      </c>
      <c r="K2756" s="7" t="str">
        <f t="array" ref="K2756">IF(ROWS(K$20:K2756)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2756))))</f>
        <v/>
      </c>
      <c r="L2756" s="4" t="str">
        <f t="array" ref="L2756">IF(ROWS(L$20:L2756)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2756))))</f>
        <v/>
      </c>
      <c r="M2756" s="4" t="str">
        <f t="array" ref="M2756">IF(ROWS(M$20:M2756)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2756))))</f>
        <v/>
      </c>
    </row>
    <row r="2757" spans="1:13" x14ac:dyDescent="0.25">
      <c r="A2757" s="3">
        <v>41435</v>
      </c>
      <c r="B2757" s="2" t="s">
        <v>36</v>
      </c>
      <c r="C2757" s="2">
        <v>1</v>
      </c>
      <c r="G2757" s="7" t="str">
        <f t="array" ref="G2757">IF(ROWS(K$20:K2757)&gt;$F$6,"",INDEX(A$2:A$10000,SMALL(IF(ISNUMBER(MATCH($B$2:$B$10000,$E$6:$E$22,0)),ROW($C$2:$C$10000)-ROW($C$2)+1),ROWS(K$20:K2757))))</f>
        <v/>
      </c>
      <c r="H2757" s="4" t="str">
        <f t="array" ref="H2757">IF(ROWS(L$20:L2757)&gt;$F$6,"",INDEX(B$2:B$10000,SMALL(IF(ISNUMBER(MATCH($B$2:$B$10000,$E$6:$E$22,0)),ROW($C$2:$C$10000)-ROW($C$2)+1),ROWS(L$20:L2757))))</f>
        <v/>
      </c>
      <c r="I2757" s="4" t="str">
        <f t="array" ref="I2757">IF(ROWS(M$20:M2757)&gt;$F$6,"",INDEX(C$2:C$10000,SMALL(IF(ISNUMBER(MATCH($B$2:$B$10000,$E$6:$E$22,0)),ROW($C$2:$C$10000)-ROW($C$2)+1),ROWS(M$20:M2757))))</f>
        <v/>
      </c>
      <c r="K2757" s="7" t="str">
        <f t="array" ref="K2757">IF(ROWS(K$20:K2757)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2757))))</f>
        <v/>
      </c>
      <c r="L2757" s="4" t="str">
        <f t="array" ref="L2757">IF(ROWS(L$20:L2757)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2757))))</f>
        <v/>
      </c>
      <c r="M2757" s="4" t="str">
        <f t="array" ref="M2757">IF(ROWS(M$20:M2757)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2757))))</f>
        <v/>
      </c>
    </row>
    <row r="2758" spans="1:13" x14ac:dyDescent="0.25">
      <c r="A2758" s="3">
        <v>41895</v>
      </c>
      <c r="B2758" s="2" t="s">
        <v>28</v>
      </c>
      <c r="C2758" s="2">
        <v>8</v>
      </c>
      <c r="G2758" s="7" t="str">
        <f t="array" ref="G2758">IF(ROWS(K$20:K2758)&gt;$F$6,"",INDEX(A$2:A$10000,SMALL(IF(ISNUMBER(MATCH($B$2:$B$10000,$E$6:$E$22,0)),ROW($C$2:$C$10000)-ROW($C$2)+1),ROWS(K$20:K2758))))</f>
        <v/>
      </c>
      <c r="H2758" s="4" t="str">
        <f t="array" ref="H2758">IF(ROWS(L$20:L2758)&gt;$F$6,"",INDEX(B$2:B$10000,SMALL(IF(ISNUMBER(MATCH($B$2:$B$10000,$E$6:$E$22,0)),ROW($C$2:$C$10000)-ROW($C$2)+1),ROWS(L$20:L2758))))</f>
        <v/>
      </c>
      <c r="I2758" s="4" t="str">
        <f t="array" ref="I2758">IF(ROWS(M$20:M2758)&gt;$F$6,"",INDEX(C$2:C$10000,SMALL(IF(ISNUMBER(MATCH($B$2:$B$10000,$E$6:$E$22,0)),ROW($C$2:$C$10000)-ROW($C$2)+1),ROWS(M$20:M2758))))</f>
        <v/>
      </c>
      <c r="K2758" s="7" t="str">
        <f t="array" ref="K2758">IF(ROWS(K$20:K2758)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2758))))</f>
        <v/>
      </c>
      <c r="L2758" s="4" t="str">
        <f t="array" ref="L2758">IF(ROWS(L$20:L2758)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2758))))</f>
        <v/>
      </c>
      <c r="M2758" s="4" t="str">
        <f t="array" ref="M2758">IF(ROWS(M$20:M2758)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2758))))</f>
        <v/>
      </c>
    </row>
    <row r="2759" spans="1:13" x14ac:dyDescent="0.25">
      <c r="A2759" s="3">
        <v>41385</v>
      </c>
      <c r="B2759" s="2" t="s">
        <v>14</v>
      </c>
      <c r="C2759" s="2">
        <v>20</v>
      </c>
      <c r="G2759" s="7" t="str">
        <f t="array" ref="G2759">IF(ROWS(K$20:K2759)&gt;$F$6,"",INDEX(A$2:A$10000,SMALL(IF(ISNUMBER(MATCH($B$2:$B$10000,$E$6:$E$22,0)),ROW($C$2:$C$10000)-ROW($C$2)+1),ROWS(K$20:K2759))))</f>
        <v/>
      </c>
      <c r="H2759" s="4" t="str">
        <f t="array" ref="H2759">IF(ROWS(L$20:L2759)&gt;$F$6,"",INDEX(B$2:B$10000,SMALL(IF(ISNUMBER(MATCH($B$2:$B$10000,$E$6:$E$22,0)),ROW($C$2:$C$10000)-ROW($C$2)+1),ROWS(L$20:L2759))))</f>
        <v/>
      </c>
      <c r="I2759" s="4" t="str">
        <f t="array" ref="I2759">IF(ROWS(M$20:M2759)&gt;$F$6,"",INDEX(C$2:C$10000,SMALL(IF(ISNUMBER(MATCH($B$2:$B$10000,$E$6:$E$22,0)),ROW($C$2:$C$10000)-ROW($C$2)+1),ROWS(M$20:M2759))))</f>
        <v/>
      </c>
      <c r="K2759" s="7" t="str">
        <f t="array" ref="K2759">IF(ROWS(K$20:K2759)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2759))))</f>
        <v/>
      </c>
      <c r="L2759" s="4" t="str">
        <f t="array" ref="L2759">IF(ROWS(L$20:L2759)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2759))))</f>
        <v/>
      </c>
      <c r="M2759" s="4" t="str">
        <f t="array" ref="M2759">IF(ROWS(M$20:M2759)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2759))))</f>
        <v/>
      </c>
    </row>
    <row r="2760" spans="1:13" x14ac:dyDescent="0.25">
      <c r="A2760" s="3">
        <v>41446</v>
      </c>
      <c r="B2760" s="2" t="s">
        <v>14</v>
      </c>
      <c r="C2760" s="2">
        <v>41</v>
      </c>
      <c r="G2760" s="7" t="str">
        <f t="array" ref="G2760">IF(ROWS(K$20:K2760)&gt;$F$6,"",INDEX(A$2:A$10000,SMALL(IF(ISNUMBER(MATCH($B$2:$B$10000,$E$6:$E$22,0)),ROW($C$2:$C$10000)-ROW($C$2)+1),ROWS(K$20:K2760))))</f>
        <v/>
      </c>
      <c r="H2760" s="4" t="str">
        <f t="array" ref="H2760">IF(ROWS(L$20:L2760)&gt;$F$6,"",INDEX(B$2:B$10000,SMALL(IF(ISNUMBER(MATCH($B$2:$B$10000,$E$6:$E$22,0)),ROW($C$2:$C$10000)-ROW($C$2)+1),ROWS(L$20:L2760))))</f>
        <v/>
      </c>
      <c r="I2760" s="4" t="str">
        <f t="array" ref="I2760">IF(ROWS(M$20:M2760)&gt;$F$6,"",INDEX(C$2:C$10000,SMALL(IF(ISNUMBER(MATCH($B$2:$B$10000,$E$6:$E$22,0)),ROW($C$2:$C$10000)-ROW($C$2)+1),ROWS(M$20:M2760))))</f>
        <v/>
      </c>
      <c r="K2760" s="7" t="str">
        <f t="array" ref="K2760">IF(ROWS(K$20:K2760)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2760))))</f>
        <v/>
      </c>
      <c r="L2760" s="4" t="str">
        <f t="array" ref="L2760">IF(ROWS(L$20:L2760)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2760))))</f>
        <v/>
      </c>
      <c r="M2760" s="4" t="str">
        <f t="array" ref="M2760">IF(ROWS(M$20:M2760)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2760))))</f>
        <v/>
      </c>
    </row>
    <row r="2761" spans="1:13" x14ac:dyDescent="0.25">
      <c r="A2761" s="3">
        <v>41776</v>
      </c>
      <c r="B2761" s="2" t="s">
        <v>38</v>
      </c>
      <c r="C2761" s="2">
        <v>38</v>
      </c>
      <c r="G2761" s="7" t="str">
        <f t="array" ref="G2761">IF(ROWS(K$20:K2761)&gt;$F$6,"",INDEX(A$2:A$10000,SMALL(IF(ISNUMBER(MATCH($B$2:$B$10000,$E$6:$E$22,0)),ROW($C$2:$C$10000)-ROW($C$2)+1),ROWS(K$20:K2761))))</f>
        <v/>
      </c>
      <c r="H2761" s="4" t="str">
        <f t="array" ref="H2761">IF(ROWS(L$20:L2761)&gt;$F$6,"",INDEX(B$2:B$10000,SMALL(IF(ISNUMBER(MATCH($B$2:$B$10000,$E$6:$E$22,0)),ROW($C$2:$C$10000)-ROW($C$2)+1),ROWS(L$20:L2761))))</f>
        <v/>
      </c>
      <c r="I2761" s="4" t="str">
        <f t="array" ref="I2761">IF(ROWS(M$20:M2761)&gt;$F$6,"",INDEX(C$2:C$10000,SMALL(IF(ISNUMBER(MATCH($B$2:$B$10000,$E$6:$E$22,0)),ROW($C$2:$C$10000)-ROW($C$2)+1),ROWS(M$20:M2761))))</f>
        <v/>
      </c>
      <c r="K2761" s="7" t="str">
        <f t="array" ref="K2761">IF(ROWS(K$20:K2761)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2761))))</f>
        <v/>
      </c>
      <c r="L2761" s="4" t="str">
        <f t="array" ref="L2761">IF(ROWS(L$20:L2761)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2761))))</f>
        <v/>
      </c>
      <c r="M2761" s="4" t="str">
        <f t="array" ref="M2761">IF(ROWS(M$20:M2761)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2761))))</f>
        <v/>
      </c>
    </row>
    <row r="2762" spans="1:13" x14ac:dyDescent="0.25">
      <c r="A2762" s="3">
        <v>41469</v>
      </c>
      <c r="B2762" s="2" t="s">
        <v>41</v>
      </c>
      <c r="C2762" s="2">
        <v>40</v>
      </c>
      <c r="G2762" s="7" t="str">
        <f t="array" ref="G2762">IF(ROWS(K$20:K2762)&gt;$F$6,"",INDEX(A$2:A$10000,SMALL(IF(ISNUMBER(MATCH($B$2:$B$10000,$E$6:$E$22,0)),ROW($C$2:$C$10000)-ROW($C$2)+1),ROWS(K$20:K2762))))</f>
        <v/>
      </c>
      <c r="H2762" s="4" t="str">
        <f t="array" ref="H2762">IF(ROWS(L$20:L2762)&gt;$F$6,"",INDEX(B$2:B$10000,SMALL(IF(ISNUMBER(MATCH($B$2:$B$10000,$E$6:$E$22,0)),ROW($C$2:$C$10000)-ROW($C$2)+1),ROWS(L$20:L2762))))</f>
        <v/>
      </c>
      <c r="I2762" s="4" t="str">
        <f t="array" ref="I2762">IF(ROWS(M$20:M2762)&gt;$F$6,"",INDEX(C$2:C$10000,SMALL(IF(ISNUMBER(MATCH($B$2:$B$10000,$E$6:$E$22,0)),ROW($C$2:$C$10000)-ROW($C$2)+1),ROWS(M$20:M2762))))</f>
        <v/>
      </c>
      <c r="K2762" s="7" t="str">
        <f t="array" ref="K2762">IF(ROWS(K$20:K2762)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2762))))</f>
        <v/>
      </c>
      <c r="L2762" s="4" t="str">
        <f t="array" ref="L2762">IF(ROWS(L$20:L2762)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2762))))</f>
        <v/>
      </c>
      <c r="M2762" s="4" t="str">
        <f t="array" ref="M2762">IF(ROWS(M$20:M2762)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2762))))</f>
        <v/>
      </c>
    </row>
    <row r="2763" spans="1:13" x14ac:dyDescent="0.25">
      <c r="A2763" s="3">
        <v>41603</v>
      </c>
      <c r="B2763" s="2" t="s">
        <v>32</v>
      </c>
      <c r="C2763" s="2">
        <v>3</v>
      </c>
      <c r="G2763" s="7" t="str">
        <f t="array" ref="G2763">IF(ROWS(K$20:K2763)&gt;$F$6,"",INDEX(A$2:A$10000,SMALL(IF(ISNUMBER(MATCH($B$2:$B$10000,$E$6:$E$22,0)),ROW($C$2:$C$10000)-ROW($C$2)+1),ROWS(K$20:K2763))))</f>
        <v/>
      </c>
      <c r="H2763" s="4" t="str">
        <f t="array" ref="H2763">IF(ROWS(L$20:L2763)&gt;$F$6,"",INDEX(B$2:B$10000,SMALL(IF(ISNUMBER(MATCH($B$2:$B$10000,$E$6:$E$22,0)),ROW($C$2:$C$10000)-ROW($C$2)+1),ROWS(L$20:L2763))))</f>
        <v/>
      </c>
      <c r="I2763" s="4" t="str">
        <f t="array" ref="I2763">IF(ROWS(M$20:M2763)&gt;$F$6,"",INDEX(C$2:C$10000,SMALL(IF(ISNUMBER(MATCH($B$2:$B$10000,$E$6:$E$22,0)),ROW($C$2:$C$10000)-ROW($C$2)+1),ROWS(M$20:M2763))))</f>
        <v/>
      </c>
      <c r="K2763" s="7" t="str">
        <f t="array" ref="K2763">IF(ROWS(K$20:K2763)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2763))))</f>
        <v/>
      </c>
      <c r="L2763" s="4" t="str">
        <f t="array" ref="L2763">IF(ROWS(L$20:L2763)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2763))))</f>
        <v/>
      </c>
      <c r="M2763" s="4" t="str">
        <f t="array" ref="M2763">IF(ROWS(M$20:M2763)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2763))))</f>
        <v/>
      </c>
    </row>
    <row r="2764" spans="1:13" x14ac:dyDescent="0.25">
      <c r="A2764" s="3">
        <v>41643</v>
      </c>
      <c r="B2764" s="2" t="s">
        <v>2</v>
      </c>
      <c r="C2764" s="2">
        <v>10</v>
      </c>
      <c r="G2764" s="7" t="str">
        <f t="array" ref="G2764">IF(ROWS(K$20:K2764)&gt;$F$6,"",INDEX(A$2:A$10000,SMALL(IF(ISNUMBER(MATCH($B$2:$B$10000,$E$6:$E$22,0)),ROW($C$2:$C$10000)-ROW($C$2)+1),ROWS(K$20:K2764))))</f>
        <v/>
      </c>
      <c r="H2764" s="4" t="str">
        <f t="array" ref="H2764">IF(ROWS(L$20:L2764)&gt;$F$6,"",INDEX(B$2:B$10000,SMALL(IF(ISNUMBER(MATCH($B$2:$B$10000,$E$6:$E$22,0)),ROW($C$2:$C$10000)-ROW($C$2)+1),ROWS(L$20:L2764))))</f>
        <v/>
      </c>
      <c r="I2764" s="4" t="str">
        <f t="array" ref="I2764">IF(ROWS(M$20:M2764)&gt;$F$6,"",INDEX(C$2:C$10000,SMALL(IF(ISNUMBER(MATCH($B$2:$B$10000,$E$6:$E$22,0)),ROW($C$2:$C$10000)-ROW($C$2)+1),ROWS(M$20:M2764))))</f>
        <v/>
      </c>
      <c r="K2764" s="7" t="str">
        <f t="array" ref="K2764">IF(ROWS(K$20:K2764)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2764))))</f>
        <v/>
      </c>
      <c r="L2764" s="4" t="str">
        <f t="array" ref="L2764">IF(ROWS(L$20:L2764)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2764))))</f>
        <v/>
      </c>
      <c r="M2764" s="4" t="str">
        <f t="array" ref="M2764">IF(ROWS(M$20:M2764)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2764))))</f>
        <v/>
      </c>
    </row>
    <row r="2765" spans="1:13" x14ac:dyDescent="0.25">
      <c r="A2765" s="3">
        <v>41965</v>
      </c>
      <c r="B2765" s="2" t="s">
        <v>26</v>
      </c>
      <c r="C2765" s="2">
        <v>48</v>
      </c>
      <c r="G2765" s="7" t="str">
        <f t="array" ref="G2765">IF(ROWS(K$20:K2765)&gt;$F$6,"",INDEX(A$2:A$10000,SMALL(IF(ISNUMBER(MATCH($B$2:$B$10000,$E$6:$E$22,0)),ROW($C$2:$C$10000)-ROW($C$2)+1),ROWS(K$20:K2765))))</f>
        <v/>
      </c>
      <c r="H2765" s="4" t="str">
        <f t="array" ref="H2765">IF(ROWS(L$20:L2765)&gt;$F$6,"",INDEX(B$2:B$10000,SMALL(IF(ISNUMBER(MATCH($B$2:$B$10000,$E$6:$E$22,0)),ROW($C$2:$C$10000)-ROW($C$2)+1),ROWS(L$20:L2765))))</f>
        <v/>
      </c>
      <c r="I2765" s="4" t="str">
        <f t="array" ref="I2765">IF(ROWS(M$20:M2765)&gt;$F$6,"",INDEX(C$2:C$10000,SMALL(IF(ISNUMBER(MATCH($B$2:$B$10000,$E$6:$E$22,0)),ROW($C$2:$C$10000)-ROW($C$2)+1),ROWS(M$20:M2765))))</f>
        <v/>
      </c>
      <c r="K2765" s="7" t="str">
        <f t="array" ref="K2765">IF(ROWS(K$20:K2765)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2765))))</f>
        <v/>
      </c>
      <c r="L2765" s="4" t="str">
        <f t="array" ref="L2765">IF(ROWS(L$20:L2765)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2765))))</f>
        <v/>
      </c>
      <c r="M2765" s="4" t="str">
        <f t="array" ref="M2765">IF(ROWS(M$20:M2765)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2765))))</f>
        <v/>
      </c>
    </row>
    <row r="2766" spans="1:13" x14ac:dyDescent="0.25">
      <c r="A2766" s="3">
        <v>41443</v>
      </c>
      <c r="B2766" s="2" t="s">
        <v>4</v>
      </c>
      <c r="C2766" s="2">
        <v>7</v>
      </c>
      <c r="G2766" s="7" t="str">
        <f t="array" ref="G2766">IF(ROWS(K$20:K2766)&gt;$F$6,"",INDEX(A$2:A$10000,SMALL(IF(ISNUMBER(MATCH($B$2:$B$10000,$E$6:$E$22,0)),ROW($C$2:$C$10000)-ROW($C$2)+1),ROWS(K$20:K2766))))</f>
        <v/>
      </c>
      <c r="H2766" s="4" t="str">
        <f t="array" ref="H2766">IF(ROWS(L$20:L2766)&gt;$F$6,"",INDEX(B$2:B$10000,SMALL(IF(ISNUMBER(MATCH($B$2:$B$10000,$E$6:$E$22,0)),ROW($C$2:$C$10000)-ROW($C$2)+1),ROWS(L$20:L2766))))</f>
        <v/>
      </c>
      <c r="I2766" s="4" t="str">
        <f t="array" ref="I2766">IF(ROWS(M$20:M2766)&gt;$F$6,"",INDEX(C$2:C$10000,SMALL(IF(ISNUMBER(MATCH($B$2:$B$10000,$E$6:$E$22,0)),ROW($C$2:$C$10000)-ROW($C$2)+1),ROWS(M$20:M2766))))</f>
        <v/>
      </c>
      <c r="K2766" s="7" t="str">
        <f t="array" ref="K2766">IF(ROWS(K$20:K2766)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2766))))</f>
        <v/>
      </c>
      <c r="L2766" s="4" t="str">
        <f t="array" ref="L2766">IF(ROWS(L$20:L2766)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2766))))</f>
        <v/>
      </c>
      <c r="M2766" s="4" t="str">
        <f t="array" ref="M2766">IF(ROWS(M$20:M2766)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2766))))</f>
        <v/>
      </c>
    </row>
    <row r="2767" spans="1:13" x14ac:dyDescent="0.25">
      <c r="A2767" s="3">
        <v>41829</v>
      </c>
      <c r="B2767" s="2" t="s">
        <v>18</v>
      </c>
      <c r="C2767" s="2">
        <v>28</v>
      </c>
      <c r="G2767" s="7" t="str">
        <f t="array" ref="G2767">IF(ROWS(K$20:K2767)&gt;$F$6,"",INDEX(A$2:A$10000,SMALL(IF(ISNUMBER(MATCH($B$2:$B$10000,$E$6:$E$22,0)),ROW($C$2:$C$10000)-ROW($C$2)+1),ROWS(K$20:K2767))))</f>
        <v/>
      </c>
      <c r="H2767" s="4" t="str">
        <f t="array" ref="H2767">IF(ROWS(L$20:L2767)&gt;$F$6,"",INDEX(B$2:B$10000,SMALL(IF(ISNUMBER(MATCH($B$2:$B$10000,$E$6:$E$22,0)),ROW($C$2:$C$10000)-ROW($C$2)+1),ROWS(L$20:L2767))))</f>
        <v/>
      </c>
      <c r="I2767" s="4" t="str">
        <f t="array" ref="I2767">IF(ROWS(M$20:M2767)&gt;$F$6,"",INDEX(C$2:C$10000,SMALL(IF(ISNUMBER(MATCH($B$2:$B$10000,$E$6:$E$22,0)),ROW($C$2:$C$10000)-ROW($C$2)+1),ROWS(M$20:M2767))))</f>
        <v/>
      </c>
      <c r="K2767" s="7" t="str">
        <f t="array" ref="K2767">IF(ROWS(K$20:K2767)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2767))))</f>
        <v/>
      </c>
      <c r="L2767" s="4" t="str">
        <f t="array" ref="L2767">IF(ROWS(L$20:L2767)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2767))))</f>
        <v/>
      </c>
      <c r="M2767" s="4" t="str">
        <f t="array" ref="M2767">IF(ROWS(M$20:M2767)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2767))))</f>
        <v/>
      </c>
    </row>
    <row r="2768" spans="1:13" x14ac:dyDescent="0.25">
      <c r="A2768" s="3">
        <v>41795</v>
      </c>
      <c r="B2768" s="2" t="s">
        <v>4</v>
      </c>
      <c r="C2768" s="2">
        <v>46</v>
      </c>
      <c r="G2768" s="7" t="str">
        <f t="array" ref="G2768">IF(ROWS(K$20:K2768)&gt;$F$6,"",INDEX(A$2:A$10000,SMALL(IF(ISNUMBER(MATCH($B$2:$B$10000,$E$6:$E$22,0)),ROW($C$2:$C$10000)-ROW($C$2)+1),ROWS(K$20:K2768))))</f>
        <v/>
      </c>
      <c r="H2768" s="4" t="str">
        <f t="array" ref="H2768">IF(ROWS(L$20:L2768)&gt;$F$6,"",INDEX(B$2:B$10000,SMALL(IF(ISNUMBER(MATCH($B$2:$B$10000,$E$6:$E$22,0)),ROW($C$2:$C$10000)-ROW($C$2)+1),ROWS(L$20:L2768))))</f>
        <v/>
      </c>
      <c r="I2768" s="4" t="str">
        <f t="array" ref="I2768">IF(ROWS(M$20:M2768)&gt;$F$6,"",INDEX(C$2:C$10000,SMALL(IF(ISNUMBER(MATCH($B$2:$B$10000,$E$6:$E$22,0)),ROW($C$2:$C$10000)-ROW($C$2)+1),ROWS(M$20:M2768))))</f>
        <v/>
      </c>
      <c r="K2768" s="7" t="str">
        <f t="array" ref="K2768">IF(ROWS(K$20:K2768)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2768))))</f>
        <v/>
      </c>
      <c r="L2768" s="4" t="str">
        <f t="array" ref="L2768">IF(ROWS(L$20:L2768)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2768))))</f>
        <v/>
      </c>
      <c r="M2768" s="4" t="str">
        <f t="array" ref="M2768">IF(ROWS(M$20:M2768)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2768))))</f>
        <v/>
      </c>
    </row>
    <row r="2769" spans="1:13" x14ac:dyDescent="0.25">
      <c r="A2769" s="3">
        <v>41576</v>
      </c>
      <c r="B2769" s="2" t="s">
        <v>14</v>
      </c>
      <c r="C2769" s="2">
        <v>38</v>
      </c>
      <c r="G2769" s="7" t="str">
        <f t="array" ref="G2769">IF(ROWS(K$20:K2769)&gt;$F$6,"",INDEX(A$2:A$10000,SMALL(IF(ISNUMBER(MATCH($B$2:$B$10000,$E$6:$E$22,0)),ROW($C$2:$C$10000)-ROW($C$2)+1),ROWS(K$20:K2769))))</f>
        <v/>
      </c>
      <c r="H2769" s="4" t="str">
        <f t="array" ref="H2769">IF(ROWS(L$20:L2769)&gt;$F$6,"",INDEX(B$2:B$10000,SMALL(IF(ISNUMBER(MATCH($B$2:$B$10000,$E$6:$E$22,0)),ROW($C$2:$C$10000)-ROW($C$2)+1),ROWS(L$20:L2769))))</f>
        <v/>
      </c>
      <c r="I2769" s="4" t="str">
        <f t="array" ref="I2769">IF(ROWS(M$20:M2769)&gt;$F$6,"",INDEX(C$2:C$10000,SMALL(IF(ISNUMBER(MATCH($B$2:$B$10000,$E$6:$E$22,0)),ROW($C$2:$C$10000)-ROW($C$2)+1),ROWS(M$20:M2769))))</f>
        <v/>
      </c>
      <c r="K2769" s="7" t="str">
        <f t="array" ref="K2769">IF(ROWS(K$20:K2769)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2769))))</f>
        <v/>
      </c>
      <c r="L2769" s="4" t="str">
        <f t="array" ref="L2769">IF(ROWS(L$20:L2769)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2769))))</f>
        <v/>
      </c>
      <c r="M2769" s="4" t="str">
        <f t="array" ref="M2769">IF(ROWS(M$20:M2769)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2769))))</f>
        <v/>
      </c>
    </row>
    <row r="2770" spans="1:13" x14ac:dyDescent="0.25">
      <c r="A2770" s="3">
        <v>41486</v>
      </c>
      <c r="B2770" s="2" t="s">
        <v>45</v>
      </c>
      <c r="C2770" s="2">
        <v>3</v>
      </c>
      <c r="G2770" s="7" t="str">
        <f t="array" ref="G2770">IF(ROWS(K$20:K2770)&gt;$F$6,"",INDEX(A$2:A$10000,SMALL(IF(ISNUMBER(MATCH($B$2:$B$10000,$E$6:$E$22,0)),ROW($C$2:$C$10000)-ROW($C$2)+1),ROWS(K$20:K2770))))</f>
        <v/>
      </c>
      <c r="H2770" s="4" t="str">
        <f t="array" ref="H2770">IF(ROWS(L$20:L2770)&gt;$F$6,"",INDEX(B$2:B$10000,SMALL(IF(ISNUMBER(MATCH($B$2:$B$10000,$E$6:$E$22,0)),ROW($C$2:$C$10000)-ROW($C$2)+1),ROWS(L$20:L2770))))</f>
        <v/>
      </c>
      <c r="I2770" s="4" t="str">
        <f t="array" ref="I2770">IF(ROWS(M$20:M2770)&gt;$F$6,"",INDEX(C$2:C$10000,SMALL(IF(ISNUMBER(MATCH($B$2:$B$10000,$E$6:$E$22,0)),ROW($C$2:$C$10000)-ROW($C$2)+1),ROWS(M$20:M2770))))</f>
        <v/>
      </c>
      <c r="K2770" s="7" t="str">
        <f t="array" ref="K2770">IF(ROWS(K$20:K2770)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2770))))</f>
        <v/>
      </c>
      <c r="L2770" s="4" t="str">
        <f t="array" ref="L2770">IF(ROWS(L$20:L2770)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2770))))</f>
        <v/>
      </c>
      <c r="M2770" s="4" t="str">
        <f t="array" ref="M2770">IF(ROWS(M$20:M2770)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2770))))</f>
        <v/>
      </c>
    </row>
    <row r="2771" spans="1:13" x14ac:dyDescent="0.25">
      <c r="A2771" s="3">
        <v>41982</v>
      </c>
      <c r="B2771" s="2" t="s">
        <v>28</v>
      </c>
      <c r="C2771" s="2">
        <v>32</v>
      </c>
      <c r="G2771" s="7" t="str">
        <f t="array" ref="G2771">IF(ROWS(K$20:K2771)&gt;$F$6,"",INDEX(A$2:A$10000,SMALL(IF(ISNUMBER(MATCH($B$2:$B$10000,$E$6:$E$22,0)),ROW($C$2:$C$10000)-ROW($C$2)+1),ROWS(K$20:K2771))))</f>
        <v/>
      </c>
      <c r="H2771" s="4" t="str">
        <f t="array" ref="H2771">IF(ROWS(L$20:L2771)&gt;$F$6,"",INDEX(B$2:B$10000,SMALL(IF(ISNUMBER(MATCH($B$2:$B$10000,$E$6:$E$22,0)),ROW($C$2:$C$10000)-ROW($C$2)+1),ROWS(L$20:L2771))))</f>
        <v/>
      </c>
      <c r="I2771" s="4" t="str">
        <f t="array" ref="I2771">IF(ROWS(M$20:M2771)&gt;$F$6,"",INDEX(C$2:C$10000,SMALL(IF(ISNUMBER(MATCH($B$2:$B$10000,$E$6:$E$22,0)),ROW($C$2:$C$10000)-ROW($C$2)+1),ROWS(M$20:M2771))))</f>
        <v/>
      </c>
      <c r="K2771" s="7" t="str">
        <f t="array" ref="K2771">IF(ROWS(K$20:K2771)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2771))))</f>
        <v/>
      </c>
      <c r="L2771" s="4" t="str">
        <f t="array" ref="L2771">IF(ROWS(L$20:L2771)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2771))))</f>
        <v/>
      </c>
      <c r="M2771" s="4" t="str">
        <f t="array" ref="M2771">IF(ROWS(M$20:M2771)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2771))))</f>
        <v/>
      </c>
    </row>
    <row r="2772" spans="1:13" x14ac:dyDescent="0.25">
      <c r="A2772" s="3">
        <v>41833</v>
      </c>
      <c r="B2772" s="2" t="s">
        <v>45</v>
      </c>
      <c r="C2772" s="2">
        <v>37</v>
      </c>
      <c r="G2772" s="7" t="str">
        <f t="array" ref="G2772">IF(ROWS(K$20:K2772)&gt;$F$6,"",INDEX(A$2:A$10000,SMALL(IF(ISNUMBER(MATCH($B$2:$B$10000,$E$6:$E$22,0)),ROW($C$2:$C$10000)-ROW($C$2)+1),ROWS(K$20:K2772))))</f>
        <v/>
      </c>
      <c r="H2772" s="4" t="str">
        <f t="array" ref="H2772">IF(ROWS(L$20:L2772)&gt;$F$6,"",INDEX(B$2:B$10000,SMALL(IF(ISNUMBER(MATCH($B$2:$B$10000,$E$6:$E$22,0)),ROW($C$2:$C$10000)-ROW($C$2)+1),ROWS(L$20:L2772))))</f>
        <v/>
      </c>
      <c r="I2772" s="4" t="str">
        <f t="array" ref="I2772">IF(ROWS(M$20:M2772)&gt;$F$6,"",INDEX(C$2:C$10000,SMALL(IF(ISNUMBER(MATCH($B$2:$B$10000,$E$6:$E$22,0)),ROW($C$2:$C$10000)-ROW($C$2)+1),ROWS(M$20:M2772))))</f>
        <v/>
      </c>
      <c r="K2772" s="7" t="str">
        <f t="array" ref="K2772">IF(ROWS(K$20:K2772)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2772))))</f>
        <v/>
      </c>
      <c r="L2772" s="4" t="str">
        <f t="array" ref="L2772">IF(ROWS(L$20:L2772)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2772))))</f>
        <v/>
      </c>
      <c r="M2772" s="4" t="str">
        <f t="array" ref="M2772">IF(ROWS(M$20:M2772)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2772))))</f>
        <v/>
      </c>
    </row>
    <row r="2773" spans="1:13" x14ac:dyDescent="0.25">
      <c r="A2773" s="3">
        <v>41566</v>
      </c>
      <c r="B2773" s="2" t="s">
        <v>50</v>
      </c>
      <c r="C2773" s="2">
        <v>27</v>
      </c>
      <c r="G2773" s="7" t="str">
        <f t="array" ref="G2773">IF(ROWS(K$20:K2773)&gt;$F$6,"",INDEX(A$2:A$10000,SMALL(IF(ISNUMBER(MATCH($B$2:$B$10000,$E$6:$E$22,0)),ROW($C$2:$C$10000)-ROW($C$2)+1),ROWS(K$20:K2773))))</f>
        <v/>
      </c>
      <c r="H2773" s="4" t="str">
        <f t="array" ref="H2773">IF(ROWS(L$20:L2773)&gt;$F$6,"",INDEX(B$2:B$10000,SMALL(IF(ISNUMBER(MATCH($B$2:$B$10000,$E$6:$E$22,0)),ROW($C$2:$C$10000)-ROW($C$2)+1),ROWS(L$20:L2773))))</f>
        <v/>
      </c>
      <c r="I2773" s="4" t="str">
        <f t="array" ref="I2773">IF(ROWS(M$20:M2773)&gt;$F$6,"",INDEX(C$2:C$10000,SMALL(IF(ISNUMBER(MATCH($B$2:$B$10000,$E$6:$E$22,0)),ROW($C$2:$C$10000)-ROW($C$2)+1),ROWS(M$20:M2773))))</f>
        <v/>
      </c>
      <c r="K2773" s="7" t="str">
        <f t="array" ref="K2773">IF(ROWS(K$20:K2773)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2773))))</f>
        <v/>
      </c>
      <c r="L2773" s="4" t="str">
        <f t="array" ref="L2773">IF(ROWS(L$20:L2773)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2773))))</f>
        <v/>
      </c>
      <c r="M2773" s="4" t="str">
        <f t="array" ref="M2773">IF(ROWS(M$20:M2773)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2773))))</f>
        <v/>
      </c>
    </row>
    <row r="2774" spans="1:13" x14ac:dyDescent="0.25">
      <c r="A2774" s="3">
        <v>41776</v>
      </c>
      <c r="B2774" s="2" t="s">
        <v>8</v>
      </c>
      <c r="C2774" s="2">
        <v>45</v>
      </c>
      <c r="G2774" s="7" t="str">
        <f t="array" ref="G2774">IF(ROWS(K$20:K2774)&gt;$F$6,"",INDEX(A$2:A$10000,SMALL(IF(ISNUMBER(MATCH($B$2:$B$10000,$E$6:$E$22,0)),ROW($C$2:$C$10000)-ROW($C$2)+1),ROWS(K$20:K2774))))</f>
        <v/>
      </c>
      <c r="H2774" s="4" t="str">
        <f t="array" ref="H2774">IF(ROWS(L$20:L2774)&gt;$F$6,"",INDEX(B$2:B$10000,SMALL(IF(ISNUMBER(MATCH($B$2:$B$10000,$E$6:$E$22,0)),ROW($C$2:$C$10000)-ROW($C$2)+1),ROWS(L$20:L2774))))</f>
        <v/>
      </c>
      <c r="I2774" s="4" t="str">
        <f t="array" ref="I2774">IF(ROWS(M$20:M2774)&gt;$F$6,"",INDEX(C$2:C$10000,SMALL(IF(ISNUMBER(MATCH($B$2:$B$10000,$E$6:$E$22,0)),ROW($C$2:$C$10000)-ROW($C$2)+1),ROWS(M$20:M2774))))</f>
        <v/>
      </c>
      <c r="K2774" s="7" t="str">
        <f t="array" ref="K2774">IF(ROWS(K$20:K2774)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2774))))</f>
        <v/>
      </c>
      <c r="L2774" s="4" t="str">
        <f t="array" ref="L2774">IF(ROWS(L$20:L2774)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2774))))</f>
        <v/>
      </c>
      <c r="M2774" s="4" t="str">
        <f t="array" ref="M2774">IF(ROWS(M$20:M2774)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2774))))</f>
        <v/>
      </c>
    </row>
    <row r="2775" spans="1:13" x14ac:dyDescent="0.25">
      <c r="A2775" s="3">
        <v>41360</v>
      </c>
      <c r="B2775" s="2" t="s">
        <v>7</v>
      </c>
      <c r="C2775" s="2">
        <v>62</v>
      </c>
      <c r="G2775" s="7" t="str">
        <f t="array" ref="G2775">IF(ROWS(K$20:K2775)&gt;$F$6,"",INDEX(A$2:A$10000,SMALL(IF(ISNUMBER(MATCH($B$2:$B$10000,$E$6:$E$22,0)),ROW($C$2:$C$10000)-ROW($C$2)+1),ROWS(K$20:K2775))))</f>
        <v/>
      </c>
      <c r="H2775" s="4" t="str">
        <f t="array" ref="H2775">IF(ROWS(L$20:L2775)&gt;$F$6,"",INDEX(B$2:B$10000,SMALL(IF(ISNUMBER(MATCH($B$2:$B$10000,$E$6:$E$22,0)),ROW($C$2:$C$10000)-ROW($C$2)+1),ROWS(L$20:L2775))))</f>
        <v/>
      </c>
      <c r="I2775" s="4" t="str">
        <f t="array" ref="I2775">IF(ROWS(M$20:M2775)&gt;$F$6,"",INDEX(C$2:C$10000,SMALL(IF(ISNUMBER(MATCH($B$2:$B$10000,$E$6:$E$22,0)),ROW($C$2:$C$10000)-ROW($C$2)+1),ROWS(M$20:M2775))))</f>
        <v/>
      </c>
      <c r="K2775" s="7" t="str">
        <f t="array" ref="K2775">IF(ROWS(K$20:K2775)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2775))))</f>
        <v/>
      </c>
      <c r="L2775" s="4" t="str">
        <f t="array" ref="L2775">IF(ROWS(L$20:L2775)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2775))))</f>
        <v/>
      </c>
      <c r="M2775" s="4" t="str">
        <f t="array" ref="M2775">IF(ROWS(M$20:M2775)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2775))))</f>
        <v/>
      </c>
    </row>
    <row r="2776" spans="1:13" x14ac:dyDescent="0.25">
      <c r="A2776" s="3">
        <v>41486</v>
      </c>
      <c r="B2776" s="2" t="s">
        <v>4</v>
      </c>
      <c r="C2776" s="2">
        <v>31</v>
      </c>
      <c r="G2776" s="7" t="str">
        <f t="array" ref="G2776">IF(ROWS(K$20:K2776)&gt;$F$6,"",INDEX(A$2:A$10000,SMALL(IF(ISNUMBER(MATCH($B$2:$B$10000,$E$6:$E$22,0)),ROW($C$2:$C$10000)-ROW($C$2)+1),ROWS(K$20:K2776))))</f>
        <v/>
      </c>
      <c r="H2776" s="4" t="str">
        <f t="array" ref="H2776">IF(ROWS(L$20:L2776)&gt;$F$6,"",INDEX(B$2:B$10000,SMALL(IF(ISNUMBER(MATCH($B$2:$B$10000,$E$6:$E$22,0)),ROW($C$2:$C$10000)-ROW($C$2)+1),ROWS(L$20:L2776))))</f>
        <v/>
      </c>
      <c r="I2776" s="4" t="str">
        <f t="array" ref="I2776">IF(ROWS(M$20:M2776)&gt;$F$6,"",INDEX(C$2:C$10000,SMALL(IF(ISNUMBER(MATCH($B$2:$B$10000,$E$6:$E$22,0)),ROW($C$2:$C$10000)-ROW($C$2)+1),ROWS(M$20:M2776))))</f>
        <v/>
      </c>
      <c r="K2776" s="7" t="str">
        <f t="array" ref="K2776">IF(ROWS(K$20:K2776)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2776))))</f>
        <v/>
      </c>
      <c r="L2776" s="4" t="str">
        <f t="array" ref="L2776">IF(ROWS(L$20:L2776)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2776))))</f>
        <v/>
      </c>
      <c r="M2776" s="4" t="str">
        <f t="array" ref="M2776">IF(ROWS(M$20:M2776)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2776))))</f>
        <v/>
      </c>
    </row>
    <row r="2777" spans="1:13" x14ac:dyDescent="0.25">
      <c r="A2777" s="3">
        <v>41385</v>
      </c>
      <c r="B2777" s="2" t="s">
        <v>22</v>
      </c>
      <c r="C2777" s="2">
        <v>26</v>
      </c>
      <c r="G2777" s="7" t="str">
        <f t="array" ref="G2777">IF(ROWS(K$20:K2777)&gt;$F$6,"",INDEX(A$2:A$10000,SMALL(IF(ISNUMBER(MATCH($B$2:$B$10000,$E$6:$E$22,0)),ROW($C$2:$C$10000)-ROW($C$2)+1),ROWS(K$20:K2777))))</f>
        <v/>
      </c>
      <c r="H2777" s="4" t="str">
        <f t="array" ref="H2777">IF(ROWS(L$20:L2777)&gt;$F$6,"",INDEX(B$2:B$10000,SMALL(IF(ISNUMBER(MATCH($B$2:$B$10000,$E$6:$E$22,0)),ROW($C$2:$C$10000)-ROW($C$2)+1),ROWS(L$20:L2777))))</f>
        <v/>
      </c>
      <c r="I2777" s="4" t="str">
        <f t="array" ref="I2777">IF(ROWS(M$20:M2777)&gt;$F$6,"",INDEX(C$2:C$10000,SMALL(IF(ISNUMBER(MATCH($B$2:$B$10000,$E$6:$E$22,0)),ROW($C$2:$C$10000)-ROW($C$2)+1),ROWS(M$20:M2777))))</f>
        <v/>
      </c>
      <c r="K2777" s="7" t="str">
        <f t="array" ref="K2777">IF(ROWS(K$20:K2777)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2777))))</f>
        <v/>
      </c>
      <c r="L2777" s="4" t="str">
        <f t="array" ref="L2777">IF(ROWS(L$20:L2777)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2777))))</f>
        <v/>
      </c>
      <c r="M2777" s="4" t="str">
        <f t="array" ref="M2777">IF(ROWS(M$20:M2777)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2777))))</f>
        <v/>
      </c>
    </row>
    <row r="2778" spans="1:13" x14ac:dyDescent="0.25">
      <c r="A2778" s="3">
        <v>41491</v>
      </c>
      <c r="B2778" s="2" t="s">
        <v>7</v>
      </c>
      <c r="C2778" s="2">
        <v>29</v>
      </c>
      <c r="G2778" s="7" t="str">
        <f t="array" ref="G2778">IF(ROWS(K$20:K2778)&gt;$F$6,"",INDEX(A$2:A$10000,SMALL(IF(ISNUMBER(MATCH($B$2:$B$10000,$E$6:$E$22,0)),ROW($C$2:$C$10000)-ROW($C$2)+1),ROWS(K$20:K2778))))</f>
        <v/>
      </c>
      <c r="H2778" s="4" t="str">
        <f t="array" ref="H2778">IF(ROWS(L$20:L2778)&gt;$F$6,"",INDEX(B$2:B$10000,SMALL(IF(ISNUMBER(MATCH($B$2:$B$10000,$E$6:$E$22,0)),ROW($C$2:$C$10000)-ROW($C$2)+1),ROWS(L$20:L2778))))</f>
        <v/>
      </c>
      <c r="I2778" s="4" t="str">
        <f t="array" ref="I2778">IF(ROWS(M$20:M2778)&gt;$F$6,"",INDEX(C$2:C$10000,SMALL(IF(ISNUMBER(MATCH($B$2:$B$10000,$E$6:$E$22,0)),ROW($C$2:$C$10000)-ROW($C$2)+1),ROWS(M$20:M2778))))</f>
        <v/>
      </c>
      <c r="K2778" s="7" t="str">
        <f t="array" ref="K2778">IF(ROWS(K$20:K2778)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2778))))</f>
        <v/>
      </c>
      <c r="L2778" s="4" t="str">
        <f t="array" ref="L2778">IF(ROWS(L$20:L2778)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2778))))</f>
        <v/>
      </c>
      <c r="M2778" s="4" t="str">
        <f t="array" ref="M2778">IF(ROWS(M$20:M2778)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2778))))</f>
        <v/>
      </c>
    </row>
    <row r="2779" spans="1:13" x14ac:dyDescent="0.25">
      <c r="A2779" s="3">
        <v>41482</v>
      </c>
      <c r="B2779" s="2" t="s">
        <v>47</v>
      </c>
      <c r="C2779" s="2">
        <v>29</v>
      </c>
      <c r="G2779" s="7" t="str">
        <f t="array" ref="G2779">IF(ROWS(K$20:K2779)&gt;$F$6,"",INDEX(A$2:A$10000,SMALL(IF(ISNUMBER(MATCH($B$2:$B$10000,$E$6:$E$22,0)),ROW($C$2:$C$10000)-ROW($C$2)+1),ROWS(K$20:K2779))))</f>
        <v/>
      </c>
      <c r="H2779" s="4" t="str">
        <f t="array" ref="H2779">IF(ROWS(L$20:L2779)&gt;$F$6,"",INDEX(B$2:B$10000,SMALL(IF(ISNUMBER(MATCH($B$2:$B$10000,$E$6:$E$22,0)),ROW($C$2:$C$10000)-ROW($C$2)+1),ROWS(L$20:L2779))))</f>
        <v/>
      </c>
      <c r="I2779" s="4" t="str">
        <f t="array" ref="I2779">IF(ROWS(M$20:M2779)&gt;$F$6,"",INDEX(C$2:C$10000,SMALL(IF(ISNUMBER(MATCH($B$2:$B$10000,$E$6:$E$22,0)),ROW($C$2:$C$10000)-ROW($C$2)+1),ROWS(M$20:M2779))))</f>
        <v/>
      </c>
      <c r="K2779" s="7" t="str">
        <f t="array" ref="K2779">IF(ROWS(K$20:K2779)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2779))))</f>
        <v/>
      </c>
      <c r="L2779" s="4" t="str">
        <f t="array" ref="L2779">IF(ROWS(L$20:L2779)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2779))))</f>
        <v/>
      </c>
      <c r="M2779" s="4" t="str">
        <f t="array" ref="M2779">IF(ROWS(M$20:M2779)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2779))))</f>
        <v/>
      </c>
    </row>
    <row r="2780" spans="1:13" x14ac:dyDescent="0.25">
      <c r="A2780" s="3">
        <v>41730</v>
      </c>
      <c r="B2780" s="2" t="s">
        <v>8</v>
      </c>
      <c r="C2780" s="2">
        <v>30</v>
      </c>
      <c r="G2780" s="7" t="str">
        <f t="array" ref="G2780">IF(ROWS(K$20:K2780)&gt;$F$6,"",INDEX(A$2:A$10000,SMALL(IF(ISNUMBER(MATCH($B$2:$B$10000,$E$6:$E$22,0)),ROW($C$2:$C$10000)-ROW($C$2)+1),ROWS(K$20:K2780))))</f>
        <v/>
      </c>
      <c r="H2780" s="4" t="str">
        <f t="array" ref="H2780">IF(ROWS(L$20:L2780)&gt;$F$6,"",INDEX(B$2:B$10000,SMALL(IF(ISNUMBER(MATCH($B$2:$B$10000,$E$6:$E$22,0)),ROW($C$2:$C$10000)-ROW($C$2)+1),ROWS(L$20:L2780))))</f>
        <v/>
      </c>
      <c r="I2780" s="4" t="str">
        <f t="array" ref="I2780">IF(ROWS(M$20:M2780)&gt;$F$6,"",INDEX(C$2:C$10000,SMALL(IF(ISNUMBER(MATCH($B$2:$B$10000,$E$6:$E$22,0)),ROW($C$2:$C$10000)-ROW($C$2)+1),ROWS(M$20:M2780))))</f>
        <v/>
      </c>
      <c r="K2780" s="7" t="str">
        <f t="array" ref="K2780">IF(ROWS(K$20:K2780)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2780))))</f>
        <v/>
      </c>
      <c r="L2780" s="4" t="str">
        <f t="array" ref="L2780">IF(ROWS(L$20:L2780)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2780))))</f>
        <v/>
      </c>
      <c r="M2780" s="4" t="str">
        <f t="array" ref="M2780">IF(ROWS(M$20:M2780)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2780))))</f>
        <v/>
      </c>
    </row>
    <row r="2781" spans="1:13" x14ac:dyDescent="0.25">
      <c r="A2781" s="3">
        <v>41397</v>
      </c>
      <c r="B2781" s="2" t="s">
        <v>10</v>
      </c>
      <c r="C2781" s="2">
        <v>13</v>
      </c>
      <c r="G2781" s="7" t="str">
        <f t="array" ref="G2781">IF(ROWS(K$20:K2781)&gt;$F$6,"",INDEX(A$2:A$10000,SMALL(IF(ISNUMBER(MATCH($B$2:$B$10000,$E$6:$E$22,0)),ROW($C$2:$C$10000)-ROW($C$2)+1),ROWS(K$20:K2781))))</f>
        <v/>
      </c>
      <c r="H2781" s="4" t="str">
        <f t="array" ref="H2781">IF(ROWS(L$20:L2781)&gt;$F$6,"",INDEX(B$2:B$10000,SMALL(IF(ISNUMBER(MATCH($B$2:$B$10000,$E$6:$E$22,0)),ROW($C$2:$C$10000)-ROW($C$2)+1),ROWS(L$20:L2781))))</f>
        <v/>
      </c>
      <c r="I2781" s="4" t="str">
        <f t="array" ref="I2781">IF(ROWS(M$20:M2781)&gt;$F$6,"",INDEX(C$2:C$10000,SMALL(IF(ISNUMBER(MATCH($B$2:$B$10000,$E$6:$E$22,0)),ROW($C$2:$C$10000)-ROW($C$2)+1),ROWS(M$20:M2781))))</f>
        <v/>
      </c>
      <c r="K2781" s="7" t="str">
        <f t="array" ref="K2781">IF(ROWS(K$20:K2781)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2781))))</f>
        <v/>
      </c>
      <c r="L2781" s="4" t="str">
        <f t="array" ref="L2781">IF(ROWS(L$20:L2781)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2781))))</f>
        <v/>
      </c>
      <c r="M2781" s="4" t="str">
        <f t="array" ref="M2781">IF(ROWS(M$20:M2781)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2781))))</f>
        <v/>
      </c>
    </row>
    <row r="2782" spans="1:13" x14ac:dyDescent="0.25">
      <c r="A2782" s="3">
        <v>41856</v>
      </c>
      <c r="B2782" s="2" t="s">
        <v>11</v>
      </c>
      <c r="C2782" s="2">
        <v>8</v>
      </c>
      <c r="G2782" s="7" t="str">
        <f t="array" ref="G2782">IF(ROWS(K$20:K2782)&gt;$F$6,"",INDEX(A$2:A$10000,SMALL(IF(ISNUMBER(MATCH($B$2:$B$10000,$E$6:$E$22,0)),ROW($C$2:$C$10000)-ROW($C$2)+1),ROWS(K$20:K2782))))</f>
        <v/>
      </c>
      <c r="H2782" s="4" t="str">
        <f t="array" ref="H2782">IF(ROWS(L$20:L2782)&gt;$F$6,"",INDEX(B$2:B$10000,SMALL(IF(ISNUMBER(MATCH($B$2:$B$10000,$E$6:$E$22,0)),ROW($C$2:$C$10000)-ROW($C$2)+1),ROWS(L$20:L2782))))</f>
        <v/>
      </c>
      <c r="I2782" s="4" t="str">
        <f t="array" ref="I2782">IF(ROWS(M$20:M2782)&gt;$F$6,"",INDEX(C$2:C$10000,SMALL(IF(ISNUMBER(MATCH($B$2:$B$10000,$E$6:$E$22,0)),ROW($C$2:$C$10000)-ROW($C$2)+1),ROWS(M$20:M2782))))</f>
        <v/>
      </c>
      <c r="K2782" s="7" t="str">
        <f t="array" ref="K2782">IF(ROWS(K$20:K2782)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2782))))</f>
        <v/>
      </c>
      <c r="L2782" s="4" t="str">
        <f t="array" ref="L2782">IF(ROWS(L$20:L2782)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2782))))</f>
        <v/>
      </c>
      <c r="M2782" s="4" t="str">
        <f t="array" ref="M2782">IF(ROWS(M$20:M2782)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2782))))</f>
        <v/>
      </c>
    </row>
    <row r="2783" spans="1:13" x14ac:dyDescent="0.25">
      <c r="A2783" s="3">
        <v>41310</v>
      </c>
      <c r="B2783" s="2" t="s">
        <v>43</v>
      </c>
      <c r="C2783" s="2">
        <v>7</v>
      </c>
      <c r="G2783" s="7" t="str">
        <f t="array" ref="G2783">IF(ROWS(K$20:K2783)&gt;$F$6,"",INDEX(A$2:A$10000,SMALL(IF(ISNUMBER(MATCH($B$2:$B$10000,$E$6:$E$22,0)),ROW($C$2:$C$10000)-ROW($C$2)+1),ROWS(K$20:K2783))))</f>
        <v/>
      </c>
      <c r="H2783" s="4" t="str">
        <f t="array" ref="H2783">IF(ROWS(L$20:L2783)&gt;$F$6,"",INDEX(B$2:B$10000,SMALL(IF(ISNUMBER(MATCH($B$2:$B$10000,$E$6:$E$22,0)),ROW($C$2:$C$10000)-ROW($C$2)+1),ROWS(L$20:L2783))))</f>
        <v/>
      </c>
      <c r="I2783" s="4" t="str">
        <f t="array" ref="I2783">IF(ROWS(M$20:M2783)&gt;$F$6,"",INDEX(C$2:C$10000,SMALL(IF(ISNUMBER(MATCH($B$2:$B$10000,$E$6:$E$22,0)),ROW($C$2:$C$10000)-ROW($C$2)+1),ROWS(M$20:M2783))))</f>
        <v/>
      </c>
      <c r="K2783" s="7" t="str">
        <f t="array" ref="K2783">IF(ROWS(K$20:K2783)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2783))))</f>
        <v/>
      </c>
      <c r="L2783" s="4" t="str">
        <f t="array" ref="L2783">IF(ROWS(L$20:L2783)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2783))))</f>
        <v/>
      </c>
      <c r="M2783" s="4" t="str">
        <f t="array" ref="M2783">IF(ROWS(M$20:M2783)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2783))))</f>
        <v/>
      </c>
    </row>
    <row r="2784" spans="1:13" x14ac:dyDescent="0.25">
      <c r="A2784" s="3">
        <v>41311</v>
      </c>
      <c r="B2784" s="2" t="s">
        <v>15</v>
      </c>
      <c r="C2784" s="2">
        <v>17</v>
      </c>
      <c r="G2784" s="7" t="str">
        <f t="array" ref="G2784">IF(ROWS(K$20:K2784)&gt;$F$6,"",INDEX(A$2:A$10000,SMALL(IF(ISNUMBER(MATCH($B$2:$B$10000,$E$6:$E$22,0)),ROW($C$2:$C$10000)-ROW($C$2)+1),ROWS(K$20:K2784))))</f>
        <v/>
      </c>
      <c r="H2784" s="4" t="str">
        <f t="array" ref="H2784">IF(ROWS(L$20:L2784)&gt;$F$6,"",INDEX(B$2:B$10000,SMALL(IF(ISNUMBER(MATCH($B$2:$B$10000,$E$6:$E$22,0)),ROW($C$2:$C$10000)-ROW($C$2)+1),ROWS(L$20:L2784))))</f>
        <v/>
      </c>
      <c r="I2784" s="4" t="str">
        <f t="array" ref="I2784">IF(ROWS(M$20:M2784)&gt;$F$6,"",INDEX(C$2:C$10000,SMALL(IF(ISNUMBER(MATCH($B$2:$B$10000,$E$6:$E$22,0)),ROW($C$2:$C$10000)-ROW($C$2)+1),ROWS(M$20:M2784))))</f>
        <v/>
      </c>
      <c r="K2784" s="7" t="str">
        <f t="array" ref="K2784">IF(ROWS(K$20:K2784)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2784))))</f>
        <v/>
      </c>
      <c r="L2784" s="4" t="str">
        <f t="array" ref="L2784">IF(ROWS(L$20:L2784)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2784))))</f>
        <v/>
      </c>
      <c r="M2784" s="4" t="str">
        <f t="array" ref="M2784">IF(ROWS(M$20:M2784)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2784))))</f>
        <v/>
      </c>
    </row>
    <row r="2785" spans="1:13" x14ac:dyDescent="0.25">
      <c r="A2785" s="3">
        <v>41629</v>
      </c>
      <c r="B2785" s="2" t="s">
        <v>27</v>
      </c>
      <c r="C2785" s="2">
        <v>17</v>
      </c>
      <c r="G2785" s="7" t="str">
        <f t="array" ref="G2785">IF(ROWS(K$20:K2785)&gt;$F$6,"",INDEX(A$2:A$10000,SMALL(IF(ISNUMBER(MATCH($B$2:$B$10000,$E$6:$E$22,0)),ROW($C$2:$C$10000)-ROW($C$2)+1),ROWS(K$20:K2785))))</f>
        <v/>
      </c>
      <c r="H2785" s="4" t="str">
        <f t="array" ref="H2785">IF(ROWS(L$20:L2785)&gt;$F$6,"",INDEX(B$2:B$10000,SMALL(IF(ISNUMBER(MATCH($B$2:$B$10000,$E$6:$E$22,0)),ROW($C$2:$C$10000)-ROW($C$2)+1),ROWS(L$20:L2785))))</f>
        <v/>
      </c>
      <c r="I2785" s="4" t="str">
        <f t="array" ref="I2785">IF(ROWS(M$20:M2785)&gt;$F$6,"",INDEX(C$2:C$10000,SMALL(IF(ISNUMBER(MATCH($B$2:$B$10000,$E$6:$E$22,0)),ROW($C$2:$C$10000)-ROW($C$2)+1),ROWS(M$20:M2785))))</f>
        <v/>
      </c>
      <c r="K2785" s="7" t="str">
        <f t="array" ref="K2785">IF(ROWS(K$20:K2785)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2785))))</f>
        <v/>
      </c>
      <c r="L2785" s="4" t="str">
        <f t="array" ref="L2785">IF(ROWS(L$20:L2785)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2785))))</f>
        <v/>
      </c>
      <c r="M2785" s="4" t="str">
        <f t="array" ref="M2785">IF(ROWS(M$20:M2785)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2785))))</f>
        <v/>
      </c>
    </row>
    <row r="2786" spans="1:13" x14ac:dyDescent="0.25">
      <c r="A2786" s="3">
        <v>41363</v>
      </c>
      <c r="B2786" s="2" t="s">
        <v>26</v>
      </c>
      <c r="C2786" s="2">
        <v>20</v>
      </c>
      <c r="G2786" s="7" t="str">
        <f t="array" ref="G2786">IF(ROWS(K$20:K2786)&gt;$F$6,"",INDEX(A$2:A$10000,SMALL(IF(ISNUMBER(MATCH($B$2:$B$10000,$E$6:$E$22,0)),ROW($C$2:$C$10000)-ROW($C$2)+1),ROWS(K$20:K2786))))</f>
        <v/>
      </c>
      <c r="H2786" s="4" t="str">
        <f t="array" ref="H2786">IF(ROWS(L$20:L2786)&gt;$F$6,"",INDEX(B$2:B$10000,SMALL(IF(ISNUMBER(MATCH($B$2:$B$10000,$E$6:$E$22,0)),ROW($C$2:$C$10000)-ROW($C$2)+1),ROWS(L$20:L2786))))</f>
        <v/>
      </c>
      <c r="I2786" s="4" t="str">
        <f t="array" ref="I2786">IF(ROWS(M$20:M2786)&gt;$F$6,"",INDEX(C$2:C$10000,SMALL(IF(ISNUMBER(MATCH($B$2:$B$10000,$E$6:$E$22,0)),ROW($C$2:$C$10000)-ROW($C$2)+1),ROWS(M$20:M2786))))</f>
        <v/>
      </c>
      <c r="K2786" s="7" t="str">
        <f t="array" ref="K2786">IF(ROWS(K$20:K2786)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2786))))</f>
        <v/>
      </c>
      <c r="L2786" s="4" t="str">
        <f t="array" ref="L2786">IF(ROWS(L$20:L2786)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2786))))</f>
        <v/>
      </c>
      <c r="M2786" s="4" t="str">
        <f t="array" ref="M2786">IF(ROWS(M$20:M2786)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2786))))</f>
        <v/>
      </c>
    </row>
    <row r="2787" spans="1:13" x14ac:dyDescent="0.25">
      <c r="A2787" s="3">
        <v>41529</v>
      </c>
      <c r="B2787" s="2" t="s">
        <v>15</v>
      </c>
      <c r="C2787" s="2">
        <v>28</v>
      </c>
      <c r="G2787" s="7" t="str">
        <f t="array" ref="G2787">IF(ROWS(K$20:K2787)&gt;$F$6,"",INDEX(A$2:A$10000,SMALL(IF(ISNUMBER(MATCH($B$2:$B$10000,$E$6:$E$22,0)),ROW($C$2:$C$10000)-ROW($C$2)+1),ROWS(K$20:K2787))))</f>
        <v/>
      </c>
      <c r="H2787" s="4" t="str">
        <f t="array" ref="H2787">IF(ROWS(L$20:L2787)&gt;$F$6,"",INDEX(B$2:B$10000,SMALL(IF(ISNUMBER(MATCH($B$2:$B$10000,$E$6:$E$22,0)),ROW($C$2:$C$10000)-ROW($C$2)+1),ROWS(L$20:L2787))))</f>
        <v/>
      </c>
      <c r="I2787" s="4" t="str">
        <f t="array" ref="I2787">IF(ROWS(M$20:M2787)&gt;$F$6,"",INDEX(C$2:C$10000,SMALL(IF(ISNUMBER(MATCH($B$2:$B$10000,$E$6:$E$22,0)),ROW($C$2:$C$10000)-ROW($C$2)+1),ROWS(M$20:M2787))))</f>
        <v/>
      </c>
      <c r="K2787" s="7" t="str">
        <f t="array" ref="K2787">IF(ROWS(K$20:K2787)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2787))))</f>
        <v/>
      </c>
      <c r="L2787" s="4" t="str">
        <f t="array" ref="L2787">IF(ROWS(L$20:L2787)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2787))))</f>
        <v/>
      </c>
      <c r="M2787" s="4" t="str">
        <f t="array" ref="M2787">IF(ROWS(M$20:M2787)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2787))))</f>
        <v/>
      </c>
    </row>
    <row r="2788" spans="1:13" x14ac:dyDescent="0.25">
      <c r="A2788" s="3">
        <v>41448</v>
      </c>
      <c r="B2788" s="2" t="s">
        <v>40</v>
      </c>
      <c r="C2788" s="2">
        <v>26</v>
      </c>
      <c r="G2788" s="7" t="str">
        <f t="array" ref="G2788">IF(ROWS(K$20:K2788)&gt;$F$6,"",INDEX(A$2:A$10000,SMALL(IF(ISNUMBER(MATCH($B$2:$B$10000,$E$6:$E$22,0)),ROW($C$2:$C$10000)-ROW($C$2)+1),ROWS(K$20:K2788))))</f>
        <v/>
      </c>
      <c r="H2788" s="4" t="str">
        <f t="array" ref="H2788">IF(ROWS(L$20:L2788)&gt;$F$6,"",INDEX(B$2:B$10000,SMALL(IF(ISNUMBER(MATCH($B$2:$B$10000,$E$6:$E$22,0)),ROW($C$2:$C$10000)-ROW($C$2)+1),ROWS(L$20:L2788))))</f>
        <v/>
      </c>
      <c r="I2788" s="4" t="str">
        <f t="array" ref="I2788">IF(ROWS(M$20:M2788)&gt;$F$6,"",INDEX(C$2:C$10000,SMALL(IF(ISNUMBER(MATCH($B$2:$B$10000,$E$6:$E$22,0)),ROW($C$2:$C$10000)-ROW($C$2)+1),ROWS(M$20:M2788))))</f>
        <v/>
      </c>
      <c r="K2788" s="7" t="str">
        <f t="array" ref="K2788">IF(ROWS(K$20:K2788)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2788))))</f>
        <v/>
      </c>
      <c r="L2788" s="4" t="str">
        <f t="array" ref="L2788">IF(ROWS(L$20:L2788)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2788))))</f>
        <v/>
      </c>
      <c r="M2788" s="4" t="str">
        <f t="array" ref="M2788">IF(ROWS(M$20:M2788)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2788))))</f>
        <v/>
      </c>
    </row>
    <row r="2789" spans="1:13" x14ac:dyDescent="0.25">
      <c r="A2789" s="3">
        <v>41830</v>
      </c>
      <c r="B2789" s="2" t="s">
        <v>16</v>
      </c>
      <c r="C2789" s="2">
        <v>23</v>
      </c>
      <c r="G2789" s="7" t="str">
        <f t="array" ref="G2789">IF(ROWS(K$20:K2789)&gt;$F$6,"",INDEX(A$2:A$10000,SMALL(IF(ISNUMBER(MATCH($B$2:$B$10000,$E$6:$E$22,0)),ROW($C$2:$C$10000)-ROW($C$2)+1),ROWS(K$20:K2789))))</f>
        <v/>
      </c>
      <c r="H2789" s="4" t="str">
        <f t="array" ref="H2789">IF(ROWS(L$20:L2789)&gt;$F$6,"",INDEX(B$2:B$10000,SMALL(IF(ISNUMBER(MATCH($B$2:$B$10000,$E$6:$E$22,0)),ROW($C$2:$C$10000)-ROW($C$2)+1),ROWS(L$20:L2789))))</f>
        <v/>
      </c>
      <c r="I2789" s="4" t="str">
        <f t="array" ref="I2789">IF(ROWS(M$20:M2789)&gt;$F$6,"",INDEX(C$2:C$10000,SMALL(IF(ISNUMBER(MATCH($B$2:$B$10000,$E$6:$E$22,0)),ROW($C$2:$C$10000)-ROW($C$2)+1),ROWS(M$20:M2789))))</f>
        <v/>
      </c>
      <c r="K2789" s="7" t="str">
        <f t="array" ref="K2789">IF(ROWS(K$20:K2789)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2789))))</f>
        <v/>
      </c>
      <c r="L2789" s="4" t="str">
        <f t="array" ref="L2789">IF(ROWS(L$20:L2789)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2789))))</f>
        <v/>
      </c>
      <c r="M2789" s="4" t="str">
        <f t="array" ref="M2789">IF(ROWS(M$20:M2789)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2789))))</f>
        <v/>
      </c>
    </row>
    <row r="2790" spans="1:13" x14ac:dyDescent="0.25">
      <c r="A2790" s="3">
        <v>41822</v>
      </c>
      <c r="B2790" s="2" t="s">
        <v>16</v>
      </c>
      <c r="C2790" s="2">
        <v>39</v>
      </c>
      <c r="G2790" s="7" t="str">
        <f t="array" ref="G2790">IF(ROWS(K$20:K2790)&gt;$F$6,"",INDEX(A$2:A$10000,SMALL(IF(ISNUMBER(MATCH($B$2:$B$10000,$E$6:$E$22,0)),ROW($C$2:$C$10000)-ROW($C$2)+1),ROWS(K$20:K2790))))</f>
        <v/>
      </c>
      <c r="H2790" s="4" t="str">
        <f t="array" ref="H2790">IF(ROWS(L$20:L2790)&gt;$F$6,"",INDEX(B$2:B$10000,SMALL(IF(ISNUMBER(MATCH($B$2:$B$10000,$E$6:$E$22,0)),ROW($C$2:$C$10000)-ROW($C$2)+1),ROWS(L$20:L2790))))</f>
        <v/>
      </c>
      <c r="I2790" s="4" t="str">
        <f t="array" ref="I2790">IF(ROWS(M$20:M2790)&gt;$F$6,"",INDEX(C$2:C$10000,SMALL(IF(ISNUMBER(MATCH($B$2:$B$10000,$E$6:$E$22,0)),ROW($C$2:$C$10000)-ROW($C$2)+1),ROWS(M$20:M2790))))</f>
        <v/>
      </c>
      <c r="K2790" s="7" t="str">
        <f t="array" ref="K2790">IF(ROWS(K$20:K2790)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2790))))</f>
        <v/>
      </c>
      <c r="L2790" s="4" t="str">
        <f t="array" ref="L2790">IF(ROWS(L$20:L2790)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2790))))</f>
        <v/>
      </c>
      <c r="M2790" s="4" t="str">
        <f t="array" ref="M2790">IF(ROWS(M$20:M2790)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2790))))</f>
        <v/>
      </c>
    </row>
    <row r="2791" spans="1:13" x14ac:dyDescent="0.25">
      <c r="A2791" s="3">
        <v>41867</v>
      </c>
      <c r="B2791" s="2" t="s">
        <v>48</v>
      </c>
      <c r="C2791" s="2">
        <v>31</v>
      </c>
      <c r="G2791" s="7" t="str">
        <f t="array" ref="G2791">IF(ROWS(K$20:K2791)&gt;$F$6,"",INDEX(A$2:A$10000,SMALL(IF(ISNUMBER(MATCH($B$2:$B$10000,$E$6:$E$22,0)),ROW($C$2:$C$10000)-ROW($C$2)+1),ROWS(K$20:K2791))))</f>
        <v/>
      </c>
      <c r="H2791" s="4" t="str">
        <f t="array" ref="H2791">IF(ROWS(L$20:L2791)&gt;$F$6,"",INDEX(B$2:B$10000,SMALL(IF(ISNUMBER(MATCH($B$2:$B$10000,$E$6:$E$22,0)),ROW($C$2:$C$10000)-ROW($C$2)+1),ROWS(L$20:L2791))))</f>
        <v/>
      </c>
      <c r="I2791" s="4" t="str">
        <f t="array" ref="I2791">IF(ROWS(M$20:M2791)&gt;$F$6,"",INDEX(C$2:C$10000,SMALL(IF(ISNUMBER(MATCH($B$2:$B$10000,$E$6:$E$22,0)),ROW($C$2:$C$10000)-ROW($C$2)+1),ROWS(M$20:M2791))))</f>
        <v/>
      </c>
      <c r="K2791" s="7" t="str">
        <f t="array" ref="K2791">IF(ROWS(K$20:K2791)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2791))))</f>
        <v/>
      </c>
      <c r="L2791" s="4" t="str">
        <f t="array" ref="L2791">IF(ROWS(L$20:L2791)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2791))))</f>
        <v/>
      </c>
      <c r="M2791" s="4" t="str">
        <f t="array" ref="M2791">IF(ROWS(M$20:M2791)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2791))))</f>
        <v/>
      </c>
    </row>
    <row r="2792" spans="1:13" x14ac:dyDescent="0.25">
      <c r="A2792" s="3">
        <v>41364</v>
      </c>
      <c r="B2792" s="2" t="s">
        <v>46</v>
      </c>
      <c r="C2792" s="2">
        <v>33</v>
      </c>
      <c r="G2792" s="7" t="str">
        <f t="array" ref="G2792">IF(ROWS(K$20:K2792)&gt;$F$6,"",INDEX(A$2:A$10000,SMALL(IF(ISNUMBER(MATCH($B$2:$B$10000,$E$6:$E$22,0)),ROW($C$2:$C$10000)-ROW($C$2)+1),ROWS(K$20:K2792))))</f>
        <v/>
      </c>
      <c r="H2792" s="4" t="str">
        <f t="array" ref="H2792">IF(ROWS(L$20:L2792)&gt;$F$6,"",INDEX(B$2:B$10000,SMALL(IF(ISNUMBER(MATCH($B$2:$B$10000,$E$6:$E$22,0)),ROW($C$2:$C$10000)-ROW($C$2)+1),ROWS(L$20:L2792))))</f>
        <v/>
      </c>
      <c r="I2792" s="4" t="str">
        <f t="array" ref="I2792">IF(ROWS(M$20:M2792)&gt;$F$6,"",INDEX(C$2:C$10000,SMALL(IF(ISNUMBER(MATCH($B$2:$B$10000,$E$6:$E$22,0)),ROW($C$2:$C$10000)-ROW($C$2)+1),ROWS(M$20:M2792))))</f>
        <v/>
      </c>
      <c r="K2792" s="7" t="str">
        <f t="array" ref="K2792">IF(ROWS(K$20:K2792)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2792))))</f>
        <v/>
      </c>
      <c r="L2792" s="4" t="str">
        <f t="array" ref="L2792">IF(ROWS(L$20:L2792)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2792))))</f>
        <v/>
      </c>
      <c r="M2792" s="4" t="str">
        <f t="array" ref="M2792">IF(ROWS(M$20:M2792)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2792))))</f>
        <v/>
      </c>
    </row>
    <row r="2793" spans="1:13" x14ac:dyDescent="0.25">
      <c r="A2793" s="3">
        <v>41894</v>
      </c>
      <c r="B2793" s="2" t="s">
        <v>42</v>
      </c>
      <c r="C2793" s="2">
        <v>24</v>
      </c>
      <c r="G2793" s="7" t="str">
        <f t="array" ref="G2793">IF(ROWS(K$20:K2793)&gt;$F$6,"",INDEX(A$2:A$10000,SMALL(IF(ISNUMBER(MATCH($B$2:$B$10000,$E$6:$E$22,0)),ROW($C$2:$C$10000)-ROW($C$2)+1),ROWS(K$20:K2793))))</f>
        <v/>
      </c>
      <c r="H2793" s="4" t="str">
        <f t="array" ref="H2793">IF(ROWS(L$20:L2793)&gt;$F$6,"",INDEX(B$2:B$10000,SMALL(IF(ISNUMBER(MATCH($B$2:$B$10000,$E$6:$E$22,0)),ROW($C$2:$C$10000)-ROW($C$2)+1),ROWS(L$20:L2793))))</f>
        <v/>
      </c>
      <c r="I2793" s="4" t="str">
        <f t="array" ref="I2793">IF(ROWS(M$20:M2793)&gt;$F$6,"",INDEX(C$2:C$10000,SMALL(IF(ISNUMBER(MATCH($B$2:$B$10000,$E$6:$E$22,0)),ROW($C$2:$C$10000)-ROW($C$2)+1),ROWS(M$20:M2793))))</f>
        <v/>
      </c>
      <c r="K2793" s="7" t="str">
        <f t="array" ref="K2793">IF(ROWS(K$20:K2793)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2793))))</f>
        <v/>
      </c>
      <c r="L2793" s="4" t="str">
        <f t="array" ref="L2793">IF(ROWS(L$20:L2793)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2793))))</f>
        <v/>
      </c>
      <c r="M2793" s="4" t="str">
        <f t="array" ref="M2793">IF(ROWS(M$20:M2793)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2793))))</f>
        <v/>
      </c>
    </row>
    <row r="2794" spans="1:13" x14ac:dyDescent="0.25">
      <c r="A2794" s="3">
        <v>41836</v>
      </c>
      <c r="B2794" s="2" t="s">
        <v>41</v>
      </c>
      <c r="C2794" s="2">
        <v>18</v>
      </c>
      <c r="G2794" s="7" t="str">
        <f t="array" ref="G2794">IF(ROWS(K$20:K2794)&gt;$F$6,"",INDEX(A$2:A$10000,SMALL(IF(ISNUMBER(MATCH($B$2:$B$10000,$E$6:$E$22,0)),ROW($C$2:$C$10000)-ROW($C$2)+1),ROWS(K$20:K2794))))</f>
        <v/>
      </c>
      <c r="H2794" s="4" t="str">
        <f t="array" ref="H2794">IF(ROWS(L$20:L2794)&gt;$F$6,"",INDEX(B$2:B$10000,SMALL(IF(ISNUMBER(MATCH($B$2:$B$10000,$E$6:$E$22,0)),ROW($C$2:$C$10000)-ROW($C$2)+1),ROWS(L$20:L2794))))</f>
        <v/>
      </c>
      <c r="I2794" s="4" t="str">
        <f t="array" ref="I2794">IF(ROWS(M$20:M2794)&gt;$F$6,"",INDEX(C$2:C$10000,SMALL(IF(ISNUMBER(MATCH($B$2:$B$10000,$E$6:$E$22,0)),ROW($C$2:$C$10000)-ROW($C$2)+1),ROWS(M$20:M2794))))</f>
        <v/>
      </c>
      <c r="K2794" s="7" t="str">
        <f t="array" ref="K2794">IF(ROWS(K$20:K2794)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2794))))</f>
        <v/>
      </c>
      <c r="L2794" s="4" t="str">
        <f t="array" ref="L2794">IF(ROWS(L$20:L2794)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2794))))</f>
        <v/>
      </c>
      <c r="M2794" s="4" t="str">
        <f t="array" ref="M2794">IF(ROWS(M$20:M2794)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2794))))</f>
        <v/>
      </c>
    </row>
    <row r="2795" spans="1:13" x14ac:dyDescent="0.25">
      <c r="A2795" s="3">
        <v>41362</v>
      </c>
      <c r="B2795" s="2" t="s">
        <v>43</v>
      </c>
      <c r="C2795" s="2">
        <v>38</v>
      </c>
      <c r="G2795" s="7" t="str">
        <f t="array" ref="G2795">IF(ROWS(K$20:K2795)&gt;$F$6,"",INDEX(A$2:A$10000,SMALL(IF(ISNUMBER(MATCH($B$2:$B$10000,$E$6:$E$22,0)),ROW($C$2:$C$10000)-ROW($C$2)+1),ROWS(K$20:K2795))))</f>
        <v/>
      </c>
      <c r="H2795" s="4" t="str">
        <f t="array" ref="H2795">IF(ROWS(L$20:L2795)&gt;$F$6,"",INDEX(B$2:B$10000,SMALL(IF(ISNUMBER(MATCH($B$2:$B$10000,$E$6:$E$22,0)),ROW($C$2:$C$10000)-ROW($C$2)+1),ROWS(L$20:L2795))))</f>
        <v/>
      </c>
      <c r="I2795" s="4" t="str">
        <f t="array" ref="I2795">IF(ROWS(M$20:M2795)&gt;$F$6,"",INDEX(C$2:C$10000,SMALL(IF(ISNUMBER(MATCH($B$2:$B$10000,$E$6:$E$22,0)),ROW($C$2:$C$10000)-ROW($C$2)+1),ROWS(M$20:M2795))))</f>
        <v/>
      </c>
      <c r="K2795" s="7" t="str">
        <f t="array" ref="K2795">IF(ROWS(K$20:K2795)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2795))))</f>
        <v/>
      </c>
      <c r="L2795" s="4" t="str">
        <f t="array" ref="L2795">IF(ROWS(L$20:L2795)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2795))))</f>
        <v/>
      </c>
      <c r="M2795" s="4" t="str">
        <f t="array" ref="M2795">IF(ROWS(M$20:M2795)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2795))))</f>
        <v/>
      </c>
    </row>
    <row r="2796" spans="1:13" x14ac:dyDescent="0.25">
      <c r="A2796" s="3">
        <v>41313</v>
      </c>
      <c r="B2796" s="2" t="s">
        <v>9</v>
      </c>
      <c r="C2796" s="2">
        <v>27</v>
      </c>
      <c r="G2796" s="7" t="str">
        <f t="array" ref="G2796">IF(ROWS(K$20:K2796)&gt;$F$6,"",INDEX(A$2:A$10000,SMALL(IF(ISNUMBER(MATCH($B$2:$B$10000,$E$6:$E$22,0)),ROW($C$2:$C$10000)-ROW($C$2)+1),ROWS(K$20:K2796))))</f>
        <v/>
      </c>
      <c r="H2796" s="4" t="str">
        <f t="array" ref="H2796">IF(ROWS(L$20:L2796)&gt;$F$6,"",INDEX(B$2:B$10000,SMALL(IF(ISNUMBER(MATCH($B$2:$B$10000,$E$6:$E$22,0)),ROW($C$2:$C$10000)-ROW($C$2)+1),ROWS(L$20:L2796))))</f>
        <v/>
      </c>
      <c r="I2796" s="4" t="str">
        <f t="array" ref="I2796">IF(ROWS(M$20:M2796)&gt;$F$6,"",INDEX(C$2:C$10000,SMALL(IF(ISNUMBER(MATCH($B$2:$B$10000,$E$6:$E$22,0)),ROW($C$2:$C$10000)-ROW($C$2)+1),ROWS(M$20:M2796))))</f>
        <v/>
      </c>
      <c r="K2796" s="7" t="str">
        <f t="array" ref="K2796">IF(ROWS(K$20:K2796)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2796))))</f>
        <v/>
      </c>
      <c r="L2796" s="4" t="str">
        <f t="array" ref="L2796">IF(ROWS(L$20:L2796)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2796))))</f>
        <v/>
      </c>
      <c r="M2796" s="4" t="str">
        <f t="array" ref="M2796">IF(ROWS(M$20:M2796)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2796))))</f>
        <v/>
      </c>
    </row>
    <row r="2797" spans="1:13" x14ac:dyDescent="0.25">
      <c r="A2797" s="3">
        <v>41616</v>
      </c>
      <c r="B2797" s="2" t="s">
        <v>4</v>
      </c>
      <c r="C2797" s="2">
        <v>32</v>
      </c>
      <c r="G2797" s="7" t="str">
        <f t="array" ref="G2797">IF(ROWS(K$20:K2797)&gt;$F$6,"",INDEX(A$2:A$10000,SMALL(IF(ISNUMBER(MATCH($B$2:$B$10000,$E$6:$E$22,0)),ROW($C$2:$C$10000)-ROW($C$2)+1),ROWS(K$20:K2797))))</f>
        <v/>
      </c>
      <c r="H2797" s="4" t="str">
        <f t="array" ref="H2797">IF(ROWS(L$20:L2797)&gt;$F$6,"",INDEX(B$2:B$10000,SMALL(IF(ISNUMBER(MATCH($B$2:$B$10000,$E$6:$E$22,0)),ROW($C$2:$C$10000)-ROW($C$2)+1),ROWS(L$20:L2797))))</f>
        <v/>
      </c>
      <c r="I2797" s="4" t="str">
        <f t="array" ref="I2797">IF(ROWS(M$20:M2797)&gt;$F$6,"",INDEX(C$2:C$10000,SMALL(IF(ISNUMBER(MATCH($B$2:$B$10000,$E$6:$E$22,0)),ROW($C$2:$C$10000)-ROW($C$2)+1),ROWS(M$20:M2797))))</f>
        <v/>
      </c>
      <c r="K2797" s="7" t="str">
        <f t="array" ref="K2797">IF(ROWS(K$20:K2797)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2797))))</f>
        <v/>
      </c>
      <c r="L2797" s="4" t="str">
        <f t="array" ref="L2797">IF(ROWS(L$20:L2797)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2797))))</f>
        <v/>
      </c>
      <c r="M2797" s="4" t="str">
        <f t="array" ref="M2797">IF(ROWS(M$20:M2797)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2797))))</f>
        <v/>
      </c>
    </row>
    <row r="2798" spans="1:13" x14ac:dyDescent="0.25">
      <c r="A2798" s="3">
        <v>41885</v>
      </c>
      <c r="B2798" s="2" t="s">
        <v>36</v>
      </c>
      <c r="C2798" s="2">
        <v>34</v>
      </c>
      <c r="G2798" s="7" t="str">
        <f t="array" ref="G2798">IF(ROWS(K$20:K2798)&gt;$F$6,"",INDEX(A$2:A$10000,SMALL(IF(ISNUMBER(MATCH($B$2:$B$10000,$E$6:$E$22,0)),ROW($C$2:$C$10000)-ROW($C$2)+1),ROWS(K$20:K2798))))</f>
        <v/>
      </c>
      <c r="H2798" s="4" t="str">
        <f t="array" ref="H2798">IF(ROWS(L$20:L2798)&gt;$F$6,"",INDEX(B$2:B$10000,SMALL(IF(ISNUMBER(MATCH($B$2:$B$10000,$E$6:$E$22,0)),ROW($C$2:$C$10000)-ROW($C$2)+1),ROWS(L$20:L2798))))</f>
        <v/>
      </c>
      <c r="I2798" s="4" t="str">
        <f t="array" ref="I2798">IF(ROWS(M$20:M2798)&gt;$F$6,"",INDEX(C$2:C$10000,SMALL(IF(ISNUMBER(MATCH($B$2:$B$10000,$E$6:$E$22,0)),ROW($C$2:$C$10000)-ROW($C$2)+1),ROWS(M$20:M2798))))</f>
        <v/>
      </c>
      <c r="K2798" s="7" t="str">
        <f t="array" ref="K2798">IF(ROWS(K$20:K2798)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2798))))</f>
        <v/>
      </c>
      <c r="L2798" s="4" t="str">
        <f t="array" ref="L2798">IF(ROWS(L$20:L2798)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2798))))</f>
        <v/>
      </c>
      <c r="M2798" s="4" t="str">
        <f t="array" ref="M2798">IF(ROWS(M$20:M2798)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2798))))</f>
        <v/>
      </c>
    </row>
    <row r="2799" spans="1:13" x14ac:dyDescent="0.25">
      <c r="A2799" s="3">
        <v>41859</v>
      </c>
      <c r="B2799" s="2" t="s">
        <v>8</v>
      </c>
      <c r="C2799" s="2">
        <v>32</v>
      </c>
      <c r="G2799" s="7" t="str">
        <f t="array" ref="G2799">IF(ROWS(K$20:K2799)&gt;$F$6,"",INDEX(A$2:A$10000,SMALL(IF(ISNUMBER(MATCH($B$2:$B$10000,$E$6:$E$22,0)),ROW($C$2:$C$10000)-ROW($C$2)+1),ROWS(K$20:K2799))))</f>
        <v/>
      </c>
      <c r="H2799" s="4" t="str">
        <f t="array" ref="H2799">IF(ROWS(L$20:L2799)&gt;$F$6,"",INDEX(B$2:B$10000,SMALL(IF(ISNUMBER(MATCH($B$2:$B$10000,$E$6:$E$22,0)),ROW($C$2:$C$10000)-ROW($C$2)+1),ROWS(L$20:L2799))))</f>
        <v/>
      </c>
      <c r="I2799" s="4" t="str">
        <f t="array" ref="I2799">IF(ROWS(M$20:M2799)&gt;$F$6,"",INDEX(C$2:C$10000,SMALL(IF(ISNUMBER(MATCH($B$2:$B$10000,$E$6:$E$22,0)),ROW($C$2:$C$10000)-ROW($C$2)+1),ROWS(M$20:M2799))))</f>
        <v/>
      </c>
      <c r="K2799" s="7" t="str">
        <f t="array" ref="K2799">IF(ROWS(K$20:K2799)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2799))))</f>
        <v/>
      </c>
      <c r="L2799" s="4" t="str">
        <f t="array" ref="L2799">IF(ROWS(L$20:L2799)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2799))))</f>
        <v/>
      </c>
      <c r="M2799" s="4" t="str">
        <f t="array" ref="M2799">IF(ROWS(M$20:M2799)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2799))))</f>
        <v/>
      </c>
    </row>
    <row r="2800" spans="1:13" x14ac:dyDescent="0.25">
      <c r="A2800" s="3">
        <v>41940</v>
      </c>
      <c r="B2800" s="2" t="s">
        <v>15</v>
      </c>
      <c r="C2800" s="2">
        <v>14</v>
      </c>
      <c r="G2800" s="7" t="str">
        <f t="array" ref="G2800">IF(ROWS(K$20:K2800)&gt;$F$6,"",INDEX(A$2:A$10000,SMALL(IF(ISNUMBER(MATCH($B$2:$B$10000,$E$6:$E$22,0)),ROW($C$2:$C$10000)-ROW($C$2)+1),ROWS(K$20:K2800))))</f>
        <v/>
      </c>
      <c r="H2800" s="4" t="str">
        <f t="array" ref="H2800">IF(ROWS(L$20:L2800)&gt;$F$6,"",INDEX(B$2:B$10000,SMALL(IF(ISNUMBER(MATCH($B$2:$B$10000,$E$6:$E$22,0)),ROW($C$2:$C$10000)-ROW($C$2)+1),ROWS(L$20:L2800))))</f>
        <v/>
      </c>
      <c r="I2800" s="4" t="str">
        <f t="array" ref="I2800">IF(ROWS(M$20:M2800)&gt;$F$6,"",INDEX(C$2:C$10000,SMALL(IF(ISNUMBER(MATCH($B$2:$B$10000,$E$6:$E$22,0)),ROW($C$2:$C$10000)-ROW($C$2)+1),ROWS(M$20:M2800))))</f>
        <v/>
      </c>
      <c r="K2800" s="7" t="str">
        <f t="array" ref="K2800">IF(ROWS(K$20:K2800)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2800))))</f>
        <v/>
      </c>
      <c r="L2800" s="4" t="str">
        <f t="array" ref="L2800">IF(ROWS(L$20:L2800)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2800))))</f>
        <v/>
      </c>
      <c r="M2800" s="4" t="str">
        <f t="array" ref="M2800">IF(ROWS(M$20:M2800)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2800))))</f>
        <v/>
      </c>
    </row>
    <row r="2801" spans="1:13" x14ac:dyDescent="0.25">
      <c r="A2801" s="3">
        <v>41709</v>
      </c>
      <c r="B2801" s="2" t="s">
        <v>7</v>
      </c>
      <c r="C2801" s="2">
        <v>25</v>
      </c>
      <c r="G2801" s="7" t="str">
        <f t="array" ref="G2801">IF(ROWS(K$20:K2801)&gt;$F$6,"",INDEX(A$2:A$10000,SMALL(IF(ISNUMBER(MATCH($B$2:$B$10000,$E$6:$E$22,0)),ROW($C$2:$C$10000)-ROW($C$2)+1),ROWS(K$20:K2801))))</f>
        <v/>
      </c>
      <c r="H2801" s="4" t="str">
        <f t="array" ref="H2801">IF(ROWS(L$20:L2801)&gt;$F$6,"",INDEX(B$2:B$10000,SMALL(IF(ISNUMBER(MATCH($B$2:$B$10000,$E$6:$E$22,0)),ROW($C$2:$C$10000)-ROW($C$2)+1),ROWS(L$20:L2801))))</f>
        <v/>
      </c>
      <c r="I2801" s="4" t="str">
        <f t="array" ref="I2801">IF(ROWS(M$20:M2801)&gt;$F$6,"",INDEX(C$2:C$10000,SMALL(IF(ISNUMBER(MATCH($B$2:$B$10000,$E$6:$E$22,0)),ROW($C$2:$C$10000)-ROW($C$2)+1),ROWS(M$20:M2801))))</f>
        <v/>
      </c>
      <c r="K2801" s="7" t="str">
        <f t="array" ref="K2801">IF(ROWS(K$20:K2801)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2801))))</f>
        <v/>
      </c>
      <c r="L2801" s="4" t="str">
        <f t="array" ref="L2801">IF(ROWS(L$20:L2801)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2801))))</f>
        <v/>
      </c>
      <c r="M2801" s="4" t="str">
        <f t="array" ref="M2801">IF(ROWS(M$20:M2801)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2801))))</f>
        <v/>
      </c>
    </row>
    <row r="2802" spans="1:13" x14ac:dyDescent="0.25">
      <c r="A2802" s="3">
        <v>41405</v>
      </c>
      <c r="B2802" s="2" t="s">
        <v>42</v>
      </c>
      <c r="C2802" s="2">
        <v>41</v>
      </c>
      <c r="G2802" s="7" t="str">
        <f t="array" ref="G2802">IF(ROWS(K$20:K2802)&gt;$F$6,"",INDEX(A$2:A$10000,SMALL(IF(ISNUMBER(MATCH($B$2:$B$10000,$E$6:$E$22,0)),ROW($C$2:$C$10000)-ROW($C$2)+1),ROWS(K$20:K2802))))</f>
        <v/>
      </c>
      <c r="H2802" s="4" t="str">
        <f t="array" ref="H2802">IF(ROWS(L$20:L2802)&gt;$F$6,"",INDEX(B$2:B$10000,SMALL(IF(ISNUMBER(MATCH($B$2:$B$10000,$E$6:$E$22,0)),ROW($C$2:$C$10000)-ROW($C$2)+1),ROWS(L$20:L2802))))</f>
        <v/>
      </c>
      <c r="I2802" s="4" t="str">
        <f t="array" ref="I2802">IF(ROWS(M$20:M2802)&gt;$F$6,"",INDEX(C$2:C$10000,SMALL(IF(ISNUMBER(MATCH($B$2:$B$10000,$E$6:$E$22,0)),ROW($C$2:$C$10000)-ROW($C$2)+1),ROWS(M$20:M2802))))</f>
        <v/>
      </c>
      <c r="K2802" s="7" t="str">
        <f t="array" ref="K2802">IF(ROWS(K$20:K2802)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2802))))</f>
        <v/>
      </c>
      <c r="L2802" s="4" t="str">
        <f t="array" ref="L2802">IF(ROWS(L$20:L2802)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2802))))</f>
        <v/>
      </c>
      <c r="M2802" s="4" t="str">
        <f t="array" ref="M2802">IF(ROWS(M$20:M2802)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2802))))</f>
        <v/>
      </c>
    </row>
    <row r="2803" spans="1:13" x14ac:dyDescent="0.25">
      <c r="A2803" s="3">
        <v>41385</v>
      </c>
      <c r="B2803" s="2" t="s">
        <v>32</v>
      </c>
      <c r="C2803" s="2">
        <v>22</v>
      </c>
      <c r="G2803" s="7" t="str">
        <f t="array" ref="G2803">IF(ROWS(K$20:K2803)&gt;$F$6,"",INDEX(A$2:A$10000,SMALL(IF(ISNUMBER(MATCH($B$2:$B$10000,$E$6:$E$22,0)),ROW($C$2:$C$10000)-ROW($C$2)+1),ROWS(K$20:K2803))))</f>
        <v/>
      </c>
      <c r="H2803" s="4" t="str">
        <f t="array" ref="H2803">IF(ROWS(L$20:L2803)&gt;$F$6,"",INDEX(B$2:B$10000,SMALL(IF(ISNUMBER(MATCH($B$2:$B$10000,$E$6:$E$22,0)),ROW($C$2:$C$10000)-ROW($C$2)+1),ROWS(L$20:L2803))))</f>
        <v/>
      </c>
      <c r="I2803" s="4" t="str">
        <f t="array" ref="I2803">IF(ROWS(M$20:M2803)&gt;$F$6,"",INDEX(C$2:C$10000,SMALL(IF(ISNUMBER(MATCH($B$2:$B$10000,$E$6:$E$22,0)),ROW($C$2:$C$10000)-ROW($C$2)+1),ROWS(M$20:M2803))))</f>
        <v/>
      </c>
      <c r="K2803" s="7" t="str">
        <f t="array" ref="K2803">IF(ROWS(K$20:K2803)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2803))))</f>
        <v/>
      </c>
      <c r="L2803" s="4" t="str">
        <f t="array" ref="L2803">IF(ROWS(L$20:L2803)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2803))))</f>
        <v/>
      </c>
      <c r="M2803" s="4" t="str">
        <f t="array" ref="M2803">IF(ROWS(M$20:M2803)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2803))))</f>
        <v/>
      </c>
    </row>
    <row r="2804" spans="1:13" x14ac:dyDescent="0.25">
      <c r="A2804" s="3">
        <v>41284</v>
      </c>
      <c r="B2804" s="2" t="s">
        <v>36</v>
      </c>
      <c r="C2804" s="2">
        <v>24</v>
      </c>
      <c r="G2804" s="7" t="str">
        <f t="array" ref="G2804">IF(ROWS(K$20:K2804)&gt;$F$6,"",INDEX(A$2:A$10000,SMALL(IF(ISNUMBER(MATCH($B$2:$B$10000,$E$6:$E$22,0)),ROW($C$2:$C$10000)-ROW($C$2)+1),ROWS(K$20:K2804))))</f>
        <v/>
      </c>
      <c r="H2804" s="4" t="str">
        <f t="array" ref="H2804">IF(ROWS(L$20:L2804)&gt;$F$6,"",INDEX(B$2:B$10000,SMALL(IF(ISNUMBER(MATCH($B$2:$B$10000,$E$6:$E$22,0)),ROW($C$2:$C$10000)-ROW($C$2)+1),ROWS(L$20:L2804))))</f>
        <v/>
      </c>
      <c r="I2804" s="4" t="str">
        <f t="array" ref="I2804">IF(ROWS(M$20:M2804)&gt;$F$6,"",INDEX(C$2:C$10000,SMALL(IF(ISNUMBER(MATCH($B$2:$B$10000,$E$6:$E$22,0)),ROW($C$2:$C$10000)-ROW($C$2)+1),ROWS(M$20:M2804))))</f>
        <v/>
      </c>
      <c r="K2804" s="7" t="str">
        <f t="array" ref="K2804">IF(ROWS(K$20:K2804)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2804))))</f>
        <v/>
      </c>
      <c r="L2804" s="4" t="str">
        <f t="array" ref="L2804">IF(ROWS(L$20:L2804)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2804))))</f>
        <v/>
      </c>
      <c r="M2804" s="4" t="str">
        <f t="array" ref="M2804">IF(ROWS(M$20:M2804)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2804))))</f>
        <v/>
      </c>
    </row>
    <row r="2805" spans="1:13" x14ac:dyDescent="0.25">
      <c r="A2805" s="3">
        <v>41818</v>
      </c>
      <c r="B2805" s="2" t="s">
        <v>40</v>
      </c>
      <c r="C2805" s="2">
        <v>4</v>
      </c>
      <c r="G2805" s="7" t="str">
        <f t="array" ref="G2805">IF(ROWS(K$20:K2805)&gt;$F$6,"",INDEX(A$2:A$10000,SMALL(IF(ISNUMBER(MATCH($B$2:$B$10000,$E$6:$E$22,0)),ROW($C$2:$C$10000)-ROW($C$2)+1),ROWS(K$20:K2805))))</f>
        <v/>
      </c>
      <c r="H2805" s="4" t="str">
        <f t="array" ref="H2805">IF(ROWS(L$20:L2805)&gt;$F$6,"",INDEX(B$2:B$10000,SMALL(IF(ISNUMBER(MATCH($B$2:$B$10000,$E$6:$E$22,0)),ROW($C$2:$C$10000)-ROW($C$2)+1),ROWS(L$20:L2805))))</f>
        <v/>
      </c>
      <c r="I2805" s="4" t="str">
        <f t="array" ref="I2805">IF(ROWS(M$20:M2805)&gt;$F$6,"",INDEX(C$2:C$10000,SMALL(IF(ISNUMBER(MATCH($B$2:$B$10000,$E$6:$E$22,0)),ROW($C$2:$C$10000)-ROW($C$2)+1),ROWS(M$20:M2805))))</f>
        <v/>
      </c>
      <c r="K2805" s="7" t="str">
        <f t="array" ref="K2805">IF(ROWS(K$20:K2805)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2805))))</f>
        <v/>
      </c>
      <c r="L2805" s="4" t="str">
        <f t="array" ref="L2805">IF(ROWS(L$20:L2805)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2805))))</f>
        <v/>
      </c>
      <c r="M2805" s="4" t="str">
        <f t="array" ref="M2805">IF(ROWS(M$20:M2805)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2805))))</f>
        <v/>
      </c>
    </row>
    <row r="2806" spans="1:13" x14ac:dyDescent="0.25">
      <c r="A2806" s="3">
        <v>41582</v>
      </c>
      <c r="B2806" s="2" t="s">
        <v>33</v>
      </c>
      <c r="C2806" s="2">
        <v>21</v>
      </c>
      <c r="G2806" s="7" t="str">
        <f t="array" ref="G2806">IF(ROWS(K$20:K2806)&gt;$F$6,"",INDEX(A$2:A$10000,SMALL(IF(ISNUMBER(MATCH($B$2:$B$10000,$E$6:$E$22,0)),ROW($C$2:$C$10000)-ROW($C$2)+1),ROWS(K$20:K2806))))</f>
        <v/>
      </c>
      <c r="H2806" s="4" t="str">
        <f t="array" ref="H2806">IF(ROWS(L$20:L2806)&gt;$F$6,"",INDEX(B$2:B$10000,SMALL(IF(ISNUMBER(MATCH($B$2:$B$10000,$E$6:$E$22,0)),ROW($C$2:$C$10000)-ROW($C$2)+1),ROWS(L$20:L2806))))</f>
        <v/>
      </c>
      <c r="I2806" s="4" t="str">
        <f t="array" ref="I2806">IF(ROWS(M$20:M2806)&gt;$F$6,"",INDEX(C$2:C$10000,SMALL(IF(ISNUMBER(MATCH($B$2:$B$10000,$E$6:$E$22,0)),ROW($C$2:$C$10000)-ROW($C$2)+1),ROWS(M$20:M2806))))</f>
        <v/>
      </c>
      <c r="K2806" s="7" t="str">
        <f t="array" ref="K2806">IF(ROWS(K$20:K2806)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2806))))</f>
        <v/>
      </c>
      <c r="L2806" s="4" t="str">
        <f t="array" ref="L2806">IF(ROWS(L$20:L2806)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2806))))</f>
        <v/>
      </c>
      <c r="M2806" s="4" t="str">
        <f t="array" ref="M2806">IF(ROWS(M$20:M2806)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2806))))</f>
        <v/>
      </c>
    </row>
    <row r="2807" spans="1:13" x14ac:dyDescent="0.25">
      <c r="A2807" s="3">
        <v>41953</v>
      </c>
      <c r="B2807" s="2" t="s">
        <v>23</v>
      </c>
      <c r="C2807" s="2">
        <v>41</v>
      </c>
      <c r="G2807" s="7" t="str">
        <f t="array" ref="G2807">IF(ROWS(K$20:K2807)&gt;$F$6,"",INDEX(A$2:A$10000,SMALL(IF(ISNUMBER(MATCH($B$2:$B$10000,$E$6:$E$22,0)),ROW($C$2:$C$10000)-ROW($C$2)+1),ROWS(K$20:K2807))))</f>
        <v/>
      </c>
      <c r="H2807" s="4" t="str">
        <f t="array" ref="H2807">IF(ROWS(L$20:L2807)&gt;$F$6,"",INDEX(B$2:B$10000,SMALL(IF(ISNUMBER(MATCH($B$2:$B$10000,$E$6:$E$22,0)),ROW($C$2:$C$10000)-ROW($C$2)+1),ROWS(L$20:L2807))))</f>
        <v/>
      </c>
      <c r="I2807" s="4" t="str">
        <f t="array" ref="I2807">IF(ROWS(M$20:M2807)&gt;$F$6,"",INDEX(C$2:C$10000,SMALL(IF(ISNUMBER(MATCH($B$2:$B$10000,$E$6:$E$22,0)),ROW($C$2:$C$10000)-ROW($C$2)+1),ROWS(M$20:M2807))))</f>
        <v/>
      </c>
      <c r="K2807" s="7" t="str">
        <f t="array" ref="K2807">IF(ROWS(K$20:K2807)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2807))))</f>
        <v/>
      </c>
      <c r="L2807" s="4" t="str">
        <f t="array" ref="L2807">IF(ROWS(L$20:L2807)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2807))))</f>
        <v/>
      </c>
      <c r="M2807" s="4" t="str">
        <f t="array" ref="M2807">IF(ROWS(M$20:M2807)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2807))))</f>
        <v/>
      </c>
    </row>
    <row r="2808" spans="1:13" x14ac:dyDescent="0.25">
      <c r="A2808" s="3">
        <v>41533</v>
      </c>
      <c r="B2808" s="2" t="s">
        <v>38</v>
      </c>
      <c r="C2808" s="2">
        <v>22</v>
      </c>
      <c r="G2808" s="7" t="str">
        <f t="array" ref="G2808">IF(ROWS(K$20:K2808)&gt;$F$6,"",INDEX(A$2:A$10000,SMALL(IF(ISNUMBER(MATCH($B$2:$B$10000,$E$6:$E$22,0)),ROW($C$2:$C$10000)-ROW($C$2)+1),ROWS(K$20:K2808))))</f>
        <v/>
      </c>
      <c r="H2808" s="4" t="str">
        <f t="array" ref="H2808">IF(ROWS(L$20:L2808)&gt;$F$6,"",INDEX(B$2:B$10000,SMALL(IF(ISNUMBER(MATCH($B$2:$B$10000,$E$6:$E$22,0)),ROW($C$2:$C$10000)-ROW($C$2)+1),ROWS(L$20:L2808))))</f>
        <v/>
      </c>
      <c r="I2808" s="4" t="str">
        <f t="array" ref="I2808">IF(ROWS(M$20:M2808)&gt;$F$6,"",INDEX(C$2:C$10000,SMALL(IF(ISNUMBER(MATCH($B$2:$B$10000,$E$6:$E$22,0)),ROW($C$2:$C$10000)-ROW($C$2)+1),ROWS(M$20:M2808))))</f>
        <v/>
      </c>
      <c r="K2808" s="7" t="str">
        <f t="array" ref="K2808">IF(ROWS(K$20:K2808)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2808))))</f>
        <v/>
      </c>
      <c r="L2808" s="4" t="str">
        <f t="array" ref="L2808">IF(ROWS(L$20:L2808)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2808))))</f>
        <v/>
      </c>
      <c r="M2808" s="4" t="str">
        <f t="array" ref="M2808">IF(ROWS(M$20:M2808)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2808))))</f>
        <v/>
      </c>
    </row>
    <row r="2809" spans="1:13" x14ac:dyDescent="0.25">
      <c r="A2809" s="3">
        <v>41884</v>
      </c>
      <c r="B2809" s="2" t="s">
        <v>31</v>
      </c>
      <c r="C2809" s="2">
        <v>39</v>
      </c>
      <c r="G2809" s="7" t="str">
        <f t="array" ref="G2809">IF(ROWS(K$20:K2809)&gt;$F$6,"",INDEX(A$2:A$10000,SMALL(IF(ISNUMBER(MATCH($B$2:$B$10000,$E$6:$E$22,0)),ROW($C$2:$C$10000)-ROW($C$2)+1),ROWS(K$20:K2809))))</f>
        <v/>
      </c>
      <c r="H2809" s="4" t="str">
        <f t="array" ref="H2809">IF(ROWS(L$20:L2809)&gt;$F$6,"",INDEX(B$2:B$10000,SMALL(IF(ISNUMBER(MATCH($B$2:$B$10000,$E$6:$E$22,0)),ROW($C$2:$C$10000)-ROW($C$2)+1),ROWS(L$20:L2809))))</f>
        <v/>
      </c>
      <c r="I2809" s="4" t="str">
        <f t="array" ref="I2809">IF(ROWS(M$20:M2809)&gt;$F$6,"",INDEX(C$2:C$10000,SMALL(IF(ISNUMBER(MATCH($B$2:$B$10000,$E$6:$E$22,0)),ROW($C$2:$C$10000)-ROW($C$2)+1),ROWS(M$20:M2809))))</f>
        <v/>
      </c>
      <c r="K2809" s="7" t="str">
        <f t="array" ref="K2809">IF(ROWS(K$20:K2809)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2809))))</f>
        <v/>
      </c>
      <c r="L2809" s="4" t="str">
        <f t="array" ref="L2809">IF(ROWS(L$20:L2809)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2809))))</f>
        <v/>
      </c>
      <c r="M2809" s="4" t="str">
        <f t="array" ref="M2809">IF(ROWS(M$20:M2809)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2809))))</f>
        <v/>
      </c>
    </row>
    <row r="2810" spans="1:13" x14ac:dyDescent="0.25">
      <c r="A2810" s="3">
        <v>41377</v>
      </c>
      <c r="B2810" s="2" t="s">
        <v>31</v>
      </c>
      <c r="C2810" s="2">
        <v>16</v>
      </c>
      <c r="G2810" s="7" t="str">
        <f t="array" ref="G2810">IF(ROWS(K$20:K2810)&gt;$F$6,"",INDEX(A$2:A$10000,SMALL(IF(ISNUMBER(MATCH($B$2:$B$10000,$E$6:$E$22,0)),ROW($C$2:$C$10000)-ROW($C$2)+1),ROWS(K$20:K2810))))</f>
        <v/>
      </c>
      <c r="H2810" s="4" t="str">
        <f t="array" ref="H2810">IF(ROWS(L$20:L2810)&gt;$F$6,"",INDEX(B$2:B$10000,SMALL(IF(ISNUMBER(MATCH($B$2:$B$10000,$E$6:$E$22,0)),ROW($C$2:$C$10000)-ROW($C$2)+1),ROWS(L$20:L2810))))</f>
        <v/>
      </c>
      <c r="I2810" s="4" t="str">
        <f t="array" ref="I2810">IF(ROWS(M$20:M2810)&gt;$F$6,"",INDEX(C$2:C$10000,SMALL(IF(ISNUMBER(MATCH($B$2:$B$10000,$E$6:$E$22,0)),ROW($C$2:$C$10000)-ROW($C$2)+1),ROWS(M$20:M2810))))</f>
        <v/>
      </c>
      <c r="K2810" s="7" t="str">
        <f t="array" ref="K2810">IF(ROWS(K$20:K2810)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2810))))</f>
        <v/>
      </c>
      <c r="L2810" s="4" t="str">
        <f t="array" ref="L2810">IF(ROWS(L$20:L2810)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2810))))</f>
        <v/>
      </c>
      <c r="M2810" s="4" t="str">
        <f t="array" ref="M2810">IF(ROWS(M$20:M2810)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2810))))</f>
        <v/>
      </c>
    </row>
    <row r="2811" spans="1:13" x14ac:dyDescent="0.25">
      <c r="A2811" s="3">
        <v>41407</v>
      </c>
      <c r="B2811" s="2" t="s">
        <v>42</v>
      </c>
      <c r="C2811" s="2">
        <v>45</v>
      </c>
      <c r="G2811" s="7" t="str">
        <f t="array" ref="G2811">IF(ROWS(K$20:K2811)&gt;$F$6,"",INDEX(A$2:A$10000,SMALL(IF(ISNUMBER(MATCH($B$2:$B$10000,$E$6:$E$22,0)),ROW($C$2:$C$10000)-ROW($C$2)+1),ROWS(K$20:K2811))))</f>
        <v/>
      </c>
      <c r="H2811" s="4" t="str">
        <f t="array" ref="H2811">IF(ROWS(L$20:L2811)&gt;$F$6,"",INDEX(B$2:B$10000,SMALL(IF(ISNUMBER(MATCH($B$2:$B$10000,$E$6:$E$22,0)),ROW($C$2:$C$10000)-ROW($C$2)+1),ROWS(L$20:L2811))))</f>
        <v/>
      </c>
      <c r="I2811" s="4" t="str">
        <f t="array" ref="I2811">IF(ROWS(M$20:M2811)&gt;$F$6,"",INDEX(C$2:C$10000,SMALL(IF(ISNUMBER(MATCH($B$2:$B$10000,$E$6:$E$22,0)),ROW($C$2:$C$10000)-ROW($C$2)+1),ROWS(M$20:M2811))))</f>
        <v/>
      </c>
      <c r="K2811" s="7" t="str">
        <f t="array" ref="K2811">IF(ROWS(K$20:K2811)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2811))))</f>
        <v/>
      </c>
      <c r="L2811" s="4" t="str">
        <f t="array" ref="L2811">IF(ROWS(L$20:L2811)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2811))))</f>
        <v/>
      </c>
      <c r="M2811" s="4" t="str">
        <f t="array" ref="M2811">IF(ROWS(M$20:M2811)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2811))))</f>
        <v/>
      </c>
    </row>
    <row r="2812" spans="1:13" x14ac:dyDescent="0.25">
      <c r="A2812" s="3">
        <v>41362</v>
      </c>
      <c r="B2812" s="2" t="s">
        <v>46</v>
      </c>
      <c r="C2812" s="2">
        <v>44</v>
      </c>
      <c r="G2812" s="7" t="str">
        <f t="array" ref="G2812">IF(ROWS(K$20:K2812)&gt;$F$6,"",INDEX(A$2:A$10000,SMALL(IF(ISNUMBER(MATCH($B$2:$B$10000,$E$6:$E$22,0)),ROW($C$2:$C$10000)-ROW($C$2)+1),ROWS(K$20:K2812))))</f>
        <v/>
      </c>
      <c r="H2812" s="4" t="str">
        <f t="array" ref="H2812">IF(ROWS(L$20:L2812)&gt;$F$6,"",INDEX(B$2:B$10000,SMALL(IF(ISNUMBER(MATCH($B$2:$B$10000,$E$6:$E$22,0)),ROW($C$2:$C$10000)-ROW($C$2)+1),ROWS(L$20:L2812))))</f>
        <v/>
      </c>
      <c r="I2812" s="4" t="str">
        <f t="array" ref="I2812">IF(ROWS(M$20:M2812)&gt;$F$6,"",INDEX(C$2:C$10000,SMALL(IF(ISNUMBER(MATCH($B$2:$B$10000,$E$6:$E$22,0)),ROW($C$2:$C$10000)-ROW($C$2)+1),ROWS(M$20:M2812))))</f>
        <v/>
      </c>
      <c r="K2812" s="7" t="str">
        <f t="array" ref="K2812">IF(ROWS(K$20:K2812)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2812))))</f>
        <v/>
      </c>
      <c r="L2812" s="4" t="str">
        <f t="array" ref="L2812">IF(ROWS(L$20:L2812)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2812))))</f>
        <v/>
      </c>
      <c r="M2812" s="4" t="str">
        <f t="array" ref="M2812">IF(ROWS(M$20:M2812)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2812))))</f>
        <v/>
      </c>
    </row>
    <row r="2813" spans="1:13" x14ac:dyDescent="0.25">
      <c r="A2813" s="3">
        <v>41806</v>
      </c>
      <c r="B2813" s="2" t="s">
        <v>24</v>
      </c>
      <c r="C2813" s="2">
        <v>25</v>
      </c>
      <c r="G2813" s="7" t="str">
        <f t="array" ref="G2813">IF(ROWS(K$20:K2813)&gt;$F$6,"",INDEX(A$2:A$10000,SMALL(IF(ISNUMBER(MATCH($B$2:$B$10000,$E$6:$E$22,0)),ROW($C$2:$C$10000)-ROW($C$2)+1),ROWS(K$20:K2813))))</f>
        <v/>
      </c>
      <c r="H2813" s="4" t="str">
        <f t="array" ref="H2813">IF(ROWS(L$20:L2813)&gt;$F$6,"",INDEX(B$2:B$10000,SMALL(IF(ISNUMBER(MATCH($B$2:$B$10000,$E$6:$E$22,0)),ROW($C$2:$C$10000)-ROW($C$2)+1),ROWS(L$20:L2813))))</f>
        <v/>
      </c>
      <c r="I2813" s="4" t="str">
        <f t="array" ref="I2813">IF(ROWS(M$20:M2813)&gt;$F$6,"",INDEX(C$2:C$10000,SMALL(IF(ISNUMBER(MATCH($B$2:$B$10000,$E$6:$E$22,0)),ROW($C$2:$C$10000)-ROW($C$2)+1),ROWS(M$20:M2813))))</f>
        <v/>
      </c>
      <c r="K2813" s="7" t="str">
        <f t="array" ref="K2813">IF(ROWS(K$20:K2813)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2813))))</f>
        <v/>
      </c>
      <c r="L2813" s="4" t="str">
        <f t="array" ref="L2813">IF(ROWS(L$20:L2813)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2813))))</f>
        <v/>
      </c>
      <c r="M2813" s="4" t="str">
        <f t="array" ref="M2813">IF(ROWS(M$20:M2813)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2813))))</f>
        <v/>
      </c>
    </row>
    <row r="2814" spans="1:13" x14ac:dyDescent="0.25">
      <c r="A2814" s="3">
        <v>41546</v>
      </c>
      <c r="B2814" s="2" t="s">
        <v>10</v>
      </c>
      <c r="C2814" s="2">
        <v>11</v>
      </c>
      <c r="G2814" s="7" t="str">
        <f t="array" ref="G2814">IF(ROWS(K$20:K2814)&gt;$F$6,"",INDEX(A$2:A$10000,SMALL(IF(ISNUMBER(MATCH($B$2:$B$10000,$E$6:$E$22,0)),ROW($C$2:$C$10000)-ROW($C$2)+1),ROWS(K$20:K2814))))</f>
        <v/>
      </c>
      <c r="H2814" s="4" t="str">
        <f t="array" ref="H2814">IF(ROWS(L$20:L2814)&gt;$F$6,"",INDEX(B$2:B$10000,SMALL(IF(ISNUMBER(MATCH($B$2:$B$10000,$E$6:$E$22,0)),ROW($C$2:$C$10000)-ROW($C$2)+1),ROWS(L$20:L2814))))</f>
        <v/>
      </c>
      <c r="I2814" s="4" t="str">
        <f t="array" ref="I2814">IF(ROWS(M$20:M2814)&gt;$F$6,"",INDEX(C$2:C$10000,SMALL(IF(ISNUMBER(MATCH($B$2:$B$10000,$E$6:$E$22,0)),ROW($C$2:$C$10000)-ROW($C$2)+1),ROWS(M$20:M2814))))</f>
        <v/>
      </c>
      <c r="K2814" s="7" t="str">
        <f t="array" ref="K2814">IF(ROWS(K$20:K2814)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2814))))</f>
        <v/>
      </c>
      <c r="L2814" s="4" t="str">
        <f t="array" ref="L2814">IF(ROWS(L$20:L2814)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2814))))</f>
        <v/>
      </c>
      <c r="M2814" s="4" t="str">
        <f t="array" ref="M2814">IF(ROWS(M$20:M2814)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2814))))</f>
        <v/>
      </c>
    </row>
    <row r="2815" spans="1:13" x14ac:dyDescent="0.25">
      <c r="A2815" s="3">
        <v>41315</v>
      </c>
      <c r="B2815" s="2" t="s">
        <v>30</v>
      </c>
      <c r="C2815" s="2">
        <v>18</v>
      </c>
      <c r="G2815" s="7" t="str">
        <f t="array" ref="G2815">IF(ROWS(K$20:K2815)&gt;$F$6,"",INDEX(A$2:A$10000,SMALL(IF(ISNUMBER(MATCH($B$2:$B$10000,$E$6:$E$22,0)),ROW($C$2:$C$10000)-ROW($C$2)+1),ROWS(K$20:K2815))))</f>
        <v/>
      </c>
      <c r="H2815" s="4" t="str">
        <f t="array" ref="H2815">IF(ROWS(L$20:L2815)&gt;$F$6,"",INDEX(B$2:B$10000,SMALL(IF(ISNUMBER(MATCH($B$2:$B$10000,$E$6:$E$22,0)),ROW($C$2:$C$10000)-ROW($C$2)+1),ROWS(L$20:L2815))))</f>
        <v/>
      </c>
      <c r="I2815" s="4" t="str">
        <f t="array" ref="I2815">IF(ROWS(M$20:M2815)&gt;$F$6,"",INDEX(C$2:C$10000,SMALL(IF(ISNUMBER(MATCH($B$2:$B$10000,$E$6:$E$22,0)),ROW($C$2:$C$10000)-ROW($C$2)+1),ROWS(M$20:M2815))))</f>
        <v/>
      </c>
      <c r="K2815" s="7" t="str">
        <f t="array" ref="K2815">IF(ROWS(K$20:K2815)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2815))))</f>
        <v/>
      </c>
      <c r="L2815" s="4" t="str">
        <f t="array" ref="L2815">IF(ROWS(L$20:L2815)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2815))))</f>
        <v/>
      </c>
      <c r="M2815" s="4" t="str">
        <f t="array" ref="M2815">IF(ROWS(M$20:M2815)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2815))))</f>
        <v/>
      </c>
    </row>
    <row r="2816" spans="1:13" x14ac:dyDescent="0.25">
      <c r="A2816" s="3">
        <v>41320</v>
      </c>
      <c r="B2816" s="2" t="s">
        <v>18</v>
      </c>
      <c r="C2816" s="2">
        <v>20</v>
      </c>
      <c r="G2816" s="7" t="str">
        <f t="array" ref="G2816">IF(ROWS(K$20:K2816)&gt;$F$6,"",INDEX(A$2:A$10000,SMALL(IF(ISNUMBER(MATCH($B$2:$B$10000,$E$6:$E$22,0)),ROW($C$2:$C$10000)-ROW($C$2)+1),ROWS(K$20:K2816))))</f>
        <v/>
      </c>
      <c r="H2816" s="4" t="str">
        <f t="array" ref="H2816">IF(ROWS(L$20:L2816)&gt;$F$6,"",INDEX(B$2:B$10000,SMALL(IF(ISNUMBER(MATCH($B$2:$B$10000,$E$6:$E$22,0)),ROW($C$2:$C$10000)-ROW($C$2)+1),ROWS(L$20:L2816))))</f>
        <v/>
      </c>
      <c r="I2816" s="4" t="str">
        <f t="array" ref="I2816">IF(ROWS(M$20:M2816)&gt;$F$6,"",INDEX(C$2:C$10000,SMALL(IF(ISNUMBER(MATCH($B$2:$B$10000,$E$6:$E$22,0)),ROW($C$2:$C$10000)-ROW($C$2)+1),ROWS(M$20:M2816))))</f>
        <v/>
      </c>
      <c r="K2816" s="7" t="str">
        <f t="array" ref="K2816">IF(ROWS(K$20:K2816)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2816))))</f>
        <v/>
      </c>
      <c r="L2816" s="4" t="str">
        <f t="array" ref="L2816">IF(ROWS(L$20:L2816)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2816))))</f>
        <v/>
      </c>
      <c r="M2816" s="4" t="str">
        <f t="array" ref="M2816">IF(ROWS(M$20:M2816)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2816))))</f>
        <v/>
      </c>
    </row>
    <row r="2817" spans="1:13" x14ac:dyDescent="0.25">
      <c r="A2817" s="3">
        <v>41331</v>
      </c>
      <c r="B2817" s="2" t="s">
        <v>34</v>
      </c>
      <c r="C2817" s="2">
        <v>5</v>
      </c>
      <c r="G2817" s="7" t="str">
        <f t="array" ref="G2817">IF(ROWS(K$20:K2817)&gt;$F$6,"",INDEX(A$2:A$10000,SMALL(IF(ISNUMBER(MATCH($B$2:$B$10000,$E$6:$E$22,0)),ROW($C$2:$C$10000)-ROW($C$2)+1),ROWS(K$20:K2817))))</f>
        <v/>
      </c>
      <c r="H2817" s="4" t="str">
        <f t="array" ref="H2817">IF(ROWS(L$20:L2817)&gt;$F$6,"",INDEX(B$2:B$10000,SMALL(IF(ISNUMBER(MATCH($B$2:$B$10000,$E$6:$E$22,0)),ROW($C$2:$C$10000)-ROW($C$2)+1),ROWS(L$20:L2817))))</f>
        <v/>
      </c>
      <c r="I2817" s="4" t="str">
        <f t="array" ref="I2817">IF(ROWS(M$20:M2817)&gt;$F$6,"",INDEX(C$2:C$10000,SMALL(IF(ISNUMBER(MATCH($B$2:$B$10000,$E$6:$E$22,0)),ROW($C$2:$C$10000)-ROW($C$2)+1),ROWS(M$20:M2817))))</f>
        <v/>
      </c>
      <c r="K2817" s="7" t="str">
        <f t="array" ref="K2817">IF(ROWS(K$20:K2817)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2817))))</f>
        <v/>
      </c>
      <c r="L2817" s="4" t="str">
        <f t="array" ref="L2817">IF(ROWS(L$20:L2817)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2817))))</f>
        <v/>
      </c>
      <c r="M2817" s="4" t="str">
        <f t="array" ref="M2817">IF(ROWS(M$20:M2817)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2817))))</f>
        <v/>
      </c>
    </row>
    <row r="2818" spans="1:13" x14ac:dyDescent="0.25">
      <c r="A2818" s="3">
        <v>41958</v>
      </c>
      <c r="B2818" s="2" t="s">
        <v>35</v>
      </c>
      <c r="C2818" s="2">
        <v>14</v>
      </c>
      <c r="G2818" s="7" t="str">
        <f t="array" ref="G2818">IF(ROWS(K$20:K2818)&gt;$F$6,"",INDEX(A$2:A$10000,SMALL(IF(ISNUMBER(MATCH($B$2:$B$10000,$E$6:$E$22,0)),ROW($C$2:$C$10000)-ROW($C$2)+1),ROWS(K$20:K2818))))</f>
        <v/>
      </c>
      <c r="H2818" s="4" t="str">
        <f t="array" ref="H2818">IF(ROWS(L$20:L2818)&gt;$F$6,"",INDEX(B$2:B$10000,SMALL(IF(ISNUMBER(MATCH($B$2:$B$10000,$E$6:$E$22,0)),ROW($C$2:$C$10000)-ROW($C$2)+1),ROWS(L$20:L2818))))</f>
        <v/>
      </c>
      <c r="I2818" s="4" t="str">
        <f t="array" ref="I2818">IF(ROWS(M$20:M2818)&gt;$F$6,"",INDEX(C$2:C$10000,SMALL(IF(ISNUMBER(MATCH($B$2:$B$10000,$E$6:$E$22,0)),ROW($C$2:$C$10000)-ROW($C$2)+1),ROWS(M$20:M2818))))</f>
        <v/>
      </c>
      <c r="K2818" s="7" t="str">
        <f t="array" ref="K2818">IF(ROWS(K$20:K2818)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2818))))</f>
        <v/>
      </c>
      <c r="L2818" s="4" t="str">
        <f t="array" ref="L2818">IF(ROWS(L$20:L2818)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2818))))</f>
        <v/>
      </c>
      <c r="M2818" s="4" t="str">
        <f t="array" ref="M2818">IF(ROWS(M$20:M2818)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2818))))</f>
        <v/>
      </c>
    </row>
    <row r="2819" spans="1:13" x14ac:dyDescent="0.25">
      <c r="A2819" s="3">
        <v>41333</v>
      </c>
      <c r="B2819" s="2" t="s">
        <v>13</v>
      </c>
      <c r="C2819" s="2">
        <v>24</v>
      </c>
      <c r="G2819" s="7" t="str">
        <f t="array" ref="G2819">IF(ROWS(K$20:K2819)&gt;$F$6,"",INDEX(A$2:A$10000,SMALL(IF(ISNUMBER(MATCH($B$2:$B$10000,$E$6:$E$22,0)),ROW($C$2:$C$10000)-ROW($C$2)+1),ROWS(K$20:K2819))))</f>
        <v/>
      </c>
      <c r="H2819" s="4" t="str">
        <f t="array" ref="H2819">IF(ROWS(L$20:L2819)&gt;$F$6,"",INDEX(B$2:B$10000,SMALL(IF(ISNUMBER(MATCH($B$2:$B$10000,$E$6:$E$22,0)),ROW($C$2:$C$10000)-ROW($C$2)+1),ROWS(L$20:L2819))))</f>
        <v/>
      </c>
      <c r="I2819" s="4" t="str">
        <f t="array" ref="I2819">IF(ROWS(M$20:M2819)&gt;$F$6,"",INDEX(C$2:C$10000,SMALL(IF(ISNUMBER(MATCH($B$2:$B$10000,$E$6:$E$22,0)),ROW($C$2:$C$10000)-ROW($C$2)+1),ROWS(M$20:M2819))))</f>
        <v/>
      </c>
      <c r="K2819" s="7" t="str">
        <f t="array" ref="K2819">IF(ROWS(K$20:K2819)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2819))))</f>
        <v/>
      </c>
      <c r="L2819" s="4" t="str">
        <f t="array" ref="L2819">IF(ROWS(L$20:L2819)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2819))))</f>
        <v/>
      </c>
      <c r="M2819" s="4" t="str">
        <f t="array" ref="M2819">IF(ROWS(M$20:M2819)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2819))))</f>
        <v/>
      </c>
    </row>
    <row r="2820" spans="1:13" x14ac:dyDescent="0.25">
      <c r="A2820" s="3">
        <v>41318</v>
      </c>
      <c r="B2820" s="2" t="s">
        <v>48</v>
      </c>
      <c r="C2820" s="2">
        <v>24</v>
      </c>
      <c r="G2820" s="7" t="str">
        <f t="array" ref="G2820">IF(ROWS(K$20:K2820)&gt;$F$6,"",INDEX(A$2:A$10000,SMALL(IF(ISNUMBER(MATCH($B$2:$B$10000,$E$6:$E$22,0)),ROW($C$2:$C$10000)-ROW($C$2)+1),ROWS(K$20:K2820))))</f>
        <v/>
      </c>
      <c r="H2820" s="4" t="str">
        <f t="array" ref="H2820">IF(ROWS(L$20:L2820)&gt;$F$6,"",INDEX(B$2:B$10000,SMALL(IF(ISNUMBER(MATCH($B$2:$B$10000,$E$6:$E$22,0)),ROW($C$2:$C$10000)-ROW($C$2)+1),ROWS(L$20:L2820))))</f>
        <v/>
      </c>
      <c r="I2820" s="4" t="str">
        <f t="array" ref="I2820">IF(ROWS(M$20:M2820)&gt;$F$6,"",INDEX(C$2:C$10000,SMALL(IF(ISNUMBER(MATCH($B$2:$B$10000,$E$6:$E$22,0)),ROW($C$2:$C$10000)-ROW($C$2)+1),ROWS(M$20:M2820))))</f>
        <v/>
      </c>
      <c r="K2820" s="7" t="str">
        <f t="array" ref="K2820">IF(ROWS(K$20:K2820)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2820))))</f>
        <v/>
      </c>
      <c r="L2820" s="4" t="str">
        <f t="array" ref="L2820">IF(ROWS(L$20:L2820)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2820))))</f>
        <v/>
      </c>
      <c r="M2820" s="4" t="str">
        <f t="array" ref="M2820">IF(ROWS(M$20:M2820)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2820))))</f>
        <v/>
      </c>
    </row>
    <row r="2821" spans="1:13" x14ac:dyDescent="0.25">
      <c r="A2821" s="3">
        <v>41368</v>
      </c>
      <c r="B2821" s="2" t="s">
        <v>27</v>
      </c>
      <c r="C2821" s="2">
        <v>31</v>
      </c>
      <c r="G2821" s="7" t="str">
        <f t="array" ref="G2821">IF(ROWS(K$20:K2821)&gt;$F$6,"",INDEX(A$2:A$10000,SMALL(IF(ISNUMBER(MATCH($B$2:$B$10000,$E$6:$E$22,0)),ROW($C$2:$C$10000)-ROW($C$2)+1),ROWS(K$20:K2821))))</f>
        <v/>
      </c>
      <c r="H2821" s="4" t="str">
        <f t="array" ref="H2821">IF(ROWS(L$20:L2821)&gt;$F$6,"",INDEX(B$2:B$10000,SMALL(IF(ISNUMBER(MATCH($B$2:$B$10000,$E$6:$E$22,0)),ROW($C$2:$C$10000)-ROW($C$2)+1),ROWS(L$20:L2821))))</f>
        <v/>
      </c>
      <c r="I2821" s="4" t="str">
        <f t="array" ref="I2821">IF(ROWS(M$20:M2821)&gt;$F$6,"",INDEX(C$2:C$10000,SMALL(IF(ISNUMBER(MATCH($B$2:$B$10000,$E$6:$E$22,0)),ROW($C$2:$C$10000)-ROW($C$2)+1),ROWS(M$20:M2821))))</f>
        <v/>
      </c>
      <c r="K2821" s="7" t="str">
        <f t="array" ref="K2821">IF(ROWS(K$20:K2821)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2821))))</f>
        <v/>
      </c>
      <c r="L2821" s="4" t="str">
        <f t="array" ref="L2821">IF(ROWS(L$20:L2821)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2821))))</f>
        <v/>
      </c>
      <c r="M2821" s="4" t="str">
        <f t="array" ref="M2821">IF(ROWS(M$20:M2821)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2821))))</f>
        <v/>
      </c>
    </row>
    <row r="2822" spans="1:13" x14ac:dyDescent="0.25">
      <c r="A2822" s="3">
        <v>41636</v>
      </c>
      <c r="B2822" s="2" t="s">
        <v>32</v>
      </c>
      <c r="C2822" s="2">
        <v>33</v>
      </c>
      <c r="G2822" s="7" t="str">
        <f t="array" ref="G2822">IF(ROWS(K$20:K2822)&gt;$F$6,"",INDEX(A$2:A$10000,SMALL(IF(ISNUMBER(MATCH($B$2:$B$10000,$E$6:$E$22,0)),ROW($C$2:$C$10000)-ROW($C$2)+1),ROWS(K$20:K2822))))</f>
        <v/>
      </c>
      <c r="H2822" s="4" t="str">
        <f t="array" ref="H2822">IF(ROWS(L$20:L2822)&gt;$F$6,"",INDEX(B$2:B$10000,SMALL(IF(ISNUMBER(MATCH($B$2:$B$10000,$E$6:$E$22,0)),ROW($C$2:$C$10000)-ROW($C$2)+1),ROWS(L$20:L2822))))</f>
        <v/>
      </c>
      <c r="I2822" s="4" t="str">
        <f t="array" ref="I2822">IF(ROWS(M$20:M2822)&gt;$F$6,"",INDEX(C$2:C$10000,SMALL(IF(ISNUMBER(MATCH($B$2:$B$10000,$E$6:$E$22,0)),ROW($C$2:$C$10000)-ROW($C$2)+1),ROWS(M$20:M2822))))</f>
        <v/>
      </c>
      <c r="K2822" s="7" t="str">
        <f t="array" ref="K2822">IF(ROWS(K$20:K2822)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2822))))</f>
        <v/>
      </c>
      <c r="L2822" s="4" t="str">
        <f t="array" ref="L2822">IF(ROWS(L$20:L2822)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2822))))</f>
        <v/>
      </c>
      <c r="M2822" s="4" t="str">
        <f t="array" ref="M2822">IF(ROWS(M$20:M2822)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2822))))</f>
        <v/>
      </c>
    </row>
    <row r="2823" spans="1:13" x14ac:dyDescent="0.25">
      <c r="A2823" s="3">
        <v>41601</v>
      </c>
      <c r="B2823" s="2" t="s">
        <v>50</v>
      </c>
      <c r="C2823" s="2">
        <v>43</v>
      </c>
      <c r="G2823" s="7" t="str">
        <f t="array" ref="G2823">IF(ROWS(K$20:K2823)&gt;$F$6,"",INDEX(A$2:A$10000,SMALL(IF(ISNUMBER(MATCH($B$2:$B$10000,$E$6:$E$22,0)),ROW($C$2:$C$10000)-ROW($C$2)+1),ROWS(K$20:K2823))))</f>
        <v/>
      </c>
      <c r="H2823" s="4" t="str">
        <f t="array" ref="H2823">IF(ROWS(L$20:L2823)&gt;$F$6,"",INDEX(B$2:B$10000,SMALL(IF(ISNUMBER(MATCH($B$2:$B$10000,$E$6:$E$22,0)),ROW($C$2:$C$10000)-ROW($C$2)+1),ROWS(L$20:L2823))))</f>
        <v/>
      </c>
      <c r="I2823" s="4" t="str">
        <f t="array" ref="I2823">IF(ROWS(M$20:M2823)&gt;$F$6,"",INDEX(C$2:C$10000,SMALL(IF(ISNUMBER(MATCH($B$2:$B$10000,$E$6:$E$22,0)),ROW($C$2:$C$10000)-ROW($C$2)+1),ROWS(M$20:M2823))))</f>
        <v/>
      </c>
      <c r="K2823" s="7" t="str">
        <f t="array" ref="K2823">IF(ROWS(K$20:K2823)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2823))))</f>
        <v/>
      </c>
      <c r="L2823" s="4" t="str">
        <f t="array" ref="L2823">IF(ROWS(L$20:L2823)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2823))))</f>
        <v/>
      </c>
      <c r="M2823" s="4" t="str">
        <f t="array" ref="M2823">IF(ROWS(M$20:M2823)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2823))))</f>
        <v/>
      </c>
    </row>
    <row r="2824" spans="1:13" x14ac:dyDescent="0.25">
      <c r="A2824" s="3">
        <v>41389</v>
      </c>
      <c r="B2824" s="2" t="s">
        <v>39</v>
      </c>
      <c r="C2824" s="2">
        <v>32</v>
      </c>
      <c r="G2824" s="7" t="str">
        <f t="array" ref="G2824">IF(ROWS(K$20:K2824)&gt;$F$6,"",INDEX(A$2:A$10000,SMALL(IF(ISNUMBER(MATCH($B$2:$B$10000,$E$6:$E$22,0)),ROW($C$2:$C$10000)-ROW($C$2)+1),ROWS(K$20:K2824))))</f>
        <v/>
      </c>
      <c r="H2824" s="4" t="str">
        <f t="array" ref="H2824">IF(ROWS(L$20:L2824)&gt;$F$6,"",INDEX(B$2:B$10000,SMALL(IF(ISNUMBER(MATCH($B$2:$B$10000,$E$6:$E$22,0)),ROW($C$2:$C$10000)-ROW($C$2)+1),ROWS(L$20:L2824))))</f>
        <v/>
      </c>
      <c r="I2824" s="4" t="str">
        <f t="array" ref="I2824">IF(ROWS(M$20:M2824)&gt;$F$6,"",INDEX(C$2:C$10000,SMALL(IF(ISNUMBER(MATCH($B$2:$B$10000,$E$6:$E$22,0)),ROW($C$2:$C$10000)-ROW($C$2)+1),ROWS(M$20:M2824))))</f>
        <v/>
      </c>
      <c r="K2824" s="7" t="str">
        <f t="array" ref="K2824">IF(ROWS(K$20:K2824)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2824))))</f>
        <v/>
      </c>
      <c r="L2824" s="4" t="str">
        <f t="array" ref="L2824">IF(ROWS(L$20:L2824)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2824))))</f>
        <v/>
      </c>
      <c r="M2824" s="4" t="str">
        <f t="array" ref="M2824">IF(ROWS(M$20:M2824)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2824))))</f>
        <v/>
      </c>
    </row>
    <row r="2825" spans="1:13" x14ac:dyDescent="0.25">
      <c r="A2825" s="3">
        <v>41822</v>
      </c>
      <c r="B2825" s="2" t="s">
        <v>39</v>
      </c>
      <c r="C2825" s="2">
        <v>40</v>
      </c>
      <c r="G2825" s="7" t="str">
        <f t="array" ref="G2825">IF(ROWS(K$20:K2825)&gt;$F$6,"",INDEX(A$2:A$10000,SMALL(IF(ISNUMBER(MATCH($B$2:$B$10000,$E$6:$E$22,0)),ROW($C$2:$C$10000)-ROW($C$2)+1),ROWS(K$20:K2825))))</f>
        <v/>
      </c>
      <c r="H2825" s="4" t="str">
        <f t="array" ref="H2825">IF(ROWS(L$20:L2825)&gt;$F$6,"",INDEX(B$2:B$10000,SMALL(IF(ISNUMBER(MATCH($B$2:$B$10000,$E$6:$E$22,0)),ROW($C$2:$C$10000)-ROW($C$2)+1),ROWS(L$20:L2825))))</f>
        <v/>
      </c>
      <c r="I2825" s="4" t="str">
        <f t="array" ref="I2825">IF(ROWS(M$20:M2825)&gt;$F$6,"",INDEX(C$2:C$10000,SMALL(IF(ISNUMBER(MATCH($B$2:$B$10000,$E$6:$E$22,0)),ROW($C$2:$C$10000)-ROW($C$2)+1),ROWS(M$20:M2825))))</f>
        <v/>
      </c>
      <c r="K2825" s="7" t="str">
        <f t="array" ref="K2825">IF(ROWS(K$20:K2825)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2825))))</f>
        <v/>
      </c>
      <c r="L2825" s="4" t="str">
        <f t="array" ref="L2825">IF(ROWS(L$20:L2825)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2825))))</f>
        <v/>
      </c>
      <c r="M2825" s="4" t="str">
        <f t="array" ref="M2825">IF(ROWS(M$20:M2825)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2825))))</f>
        <v/>
      </c>
    </row>
    <row r="2826" spans="1:13" x14ac:dyDescent="0.25">
      <c r="A2826" s="3">
        <v>41907</v>
      </c>
      <c r="B2826" s="2" t="s">
        <v>9</v>
      </c>
      <c r="C2826" s="2">
        <v>0</v>
      </c>
      <c r="G2826" s="7" t="str">
        <f t="array" ref="G2826">IF(ROWS(K$20:K2826)&gt;$F$6,"",INDEX(A$2:A$10000,SMALL(IF(ISNUMBER(MATCH($B$2:$B$10000,$E$6:$E$22,0)),ROW($C$2:$C$10000)-ROW($C$2)+1),ROWS(K$20:K2826))))</f>
        <v/>
      </c>
      <c r="H2826" s="4" t="str">
        <f t="array" ref="H2826">IF(ROWS(L$20:L2826)&gt;$F$6,"",INDEX(B$2:B$10000,SMALL(IF(ISNUMBER(MATCH($B$2:$B$10000,$E$6:$E$22,0)),ROW($C$2:$C$10000)-ROW($C$2)+1),ROWS(L$20:L2826))))</f>
        <v/>
      </c>
      <c r="I2826" s="4" t="str">
        <f t="array" ref="I2826">IF(ROWS(M$20:M2826)&gt;$F$6,"",INDEX(C$2:C$10000,SMALL(IF(ISNUMBER(MATCH($B$2:$B$10000,$E$6:$E$22,0)),ROW($C$2:$C$10000)-ROW($C$2)+1),ROWS(M$20:M2826))))</f>
        <v/>
      </c>
      <c r="K2826" s="7" t="str">
        <f t="array" ref="K2826">IF(ROWS(K$20:K2826)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2826))))</f>
        <v/>
      </c>
      <c r="L2826" s="4" t="str">
        <f t="array" ref="L2826">IF(ROWS(L$20:L2826)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2826))))</f>
        <v/>
      </c>
      <c r="M2826" s="4" t="str">
        <f t="array" ref="M2826">IF(ROWS(M$20:M2826)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2826))))</f>
        <v/>
      </c>
    </row>
    <row r="2827" spans="1:13" x14ac:dyDescent="0.25">
      <c r="A2827" s="3">
        <v>41979</v>
      </c>
      <c r="B2827" s="2" t="s">
        <v>11</v>
      </c>
      <c r="C2827" s="2">
        <v>21</v>
      </c>
      <c r="G2827" s="7" t="str">
        <f t="array" ref="G2827">IF(ROWS(K$20:K2827)&gt;$F$6,"",INDEX(A$2:A$10000,SMALL(IF(ISNUMBER(MATCH($B$2:$B$10000,$E$6:$E$22,0)),ROW($C$2:$C$10000)-ROW($C$2)+1),ROWS(K$20:K2827))))</f>
        <v/>
      </c>
      <c r="H2827" s="4" t="str">
        <f t="array" ref="H2827">IF(ROWS(L$20:L2827)&gt;$F$6,"",INDEX(B$2:B$10000,SMALL(IF(ISNUMBER(MATCH($B$2:$B$10000,$E$6:$E$22,0)),ROW($C$2:$C$10000)-ROW($C$2)+1),ROWS(L$20:L2827))))</f>
        <v/>
      </c>
      <c r="I2827" s="4" t="str">
        <f t="array" ref="I2827">IF(ROWS(M$20:M2827)&gt;$F$6,"",INDEX(C$2:C$10000,SMALL(IF(ISNUMBER(MATCH($B$2:$B$10000,$E$6:$E$22,0)),ROW($C$2:$C$10000)-ROW($C$2)+1),ROWS(M$20:M2827))))</f>
        <v/>
      </c>
      <c r="K2827" s="7" t="str">
        <f t="array" ref="K2827">IF(ROWS(K$20:K2827)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2827))))</f>
        <v/>
      </c>
      <c r="L2827" s="4" t="str">
        <f t="array" ref="L2827">IF(ROWS(L$20:L2827)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2827))))</f>
        <v/>
      </c>
      <c r="M2827" s="4" t="str">
        <f t="array" ref="M2827">IF(ROWS(M$20:M2827)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2827))))</f>
        <v/>
      </c>
    </row>
    <row r="2828" spans="1:13" x14ac:dyDescent="0.25">
      <c r="A2828" s="3">
        <v>41284</v>
      </c>
      <c r="B2828" s="2" t="s">
        <v>30</v>
      </c>
      <c r="C2828" s="2">
        <v>14</v>
      </c>
      <c r="G2828" s="7" t="str">
        <f t="array" ref="G2828">IF(ROWS(K$20:K2828)&gt;$F$6,"",INDEX(A$2:A$10000,SMALL(IF(ISNUMBER(MATCH($B$2:$B$10000,$E$6:$E$22,0)),ROW($C$2:$C$10000)-ROW($C$2)+1),ROWS(K$20:K2828))))</f>
        <v/>
      </c>
      <c r="H2828" s="4" t="str">
        <f t="array" ref="H2828">IF(ROWS(L$20:L2828)&gt;$F$6,"",INDEX(B$2:B$10000,SMALL(IF(ISNUMBER(MATCH($B$2:$B$10000,$E$6:$E$22,0)),ROW($C$2:$C$10000)-ROW($C$2)+1),ROWS(L$20:L2828))))</f>
        <v/>
      </c>
      <c r="I2828" s="4" t="str">
        <f t="array" ref="I2828">IF(ROWS(M$20:M2828)&gt;$F$6,"",INDEX(C$2:C$10000,SMALL(IF(ISNUMBER(MATCH($B$2:$B$10000,$E$6:$E$22,0)),ROW($C$2:$C$10000)-ROW($C$2)+1),ROWS(M$20:M2828))))</f>
        <v/>
      </c>
      <c r="K2828" s="7" t="str">
        <f t="array" ref="K2828">IF(ROWS(K$20:K2828)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2828))))</f>
        <v/>
      </c>
      <c r="L2828" s="4" t="str">
        <f t="array" ref="L2828">IF(ROWS(L$20:L2828)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2828))))</f>
        <v/>
      </c>
      <c r="M2828" s="4" t="str">
        <f t="array" ref="M2828">IF(ROWS(M$20:M2828)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2828))))</f>
        <v/>
      </c>
    </row>
    <row r="2829" spans="1:13" x14ac:dyDescent="0.25">
      <c r="A2829" s="3">
        <v>41835</v>
      </c>
      <c r="B2829" s="2" t="s">
        <v>48</v>
      </c>
      <c r="C2829" s="2">
        <v>25</v>
      </c>
      <c r="G2829" s="7" t="str">
        <f t="array" ref="G2829">IF(ROWS(K$20:K2829)&gt;$F$6,"",INDEX(A$2:A$10000,SMALL(IF(ISNUMBER(MATCH($B$2:$B$10000,$E$6:$E$22,0)),ROW($C$2:$C$10000)-ROW($C$2)+1),ROWS(K$20:K2829))))</f>
        <v/>
      </c>
      <c r="H2829" s="4" t="str">
        <f t="array" ref="H2829">IF(ROWS(L$20:L2829)&gt;$F$6,"",INDEX(B$2:B$10000,SMALL(IF(ISNUMBER(MATCH($B$2:$B$10000,$E$6:$E$22,0)),ROW($C$2:$C$10000)-ROW($C$2)+1),ROWS(L$20:L2829))))</f>
        <v/>
      </c>
      <c r="I2829" s="4" t="str">
        <f t="array" ref="I2829">IF(ROWS(M$20:M2829)&gt;$F$6,"",INDEX(C$2:C$10000,SMALL(IF(ISNUMBER(MATCH($B$2:$B$10000,$E$6:$E$22,0)),ROW($C$2:$C$10000)-ROW($C$2)+1),ROWS(M$20:M2829))))</f>
        <v/>
      </c>
      <c r="K2829" s="7" t="str">
        <f t="array" ref="K2829">IF(ROWS(K$20:K2829)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2829))))</f>
        <v/>
      </c>
      <c r="L2829" s="4" t="str">
        <f t="array" ref="L2829">IF(ROWS(L$20:L2829)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2829))))</f>
        <v/>
      </c>
      <c r="M2829" s="4" t="str">
        <f t="array" ref="M2829">IF(ROWS(M$20:M2829)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2829))))</f>
        <v/>
      </c>
    </row>
    <row r="2830" spans="1:13" x14ac:dyDescent="0.25">
      <c r="A2830" s="3">
        <v>41425</v>
      </c>
      <c r="B2830" s="2" t="s">
        <v>26</v>
      </c>
      <c r="C2830" s="2">
        <v>48</v>
      </c>
      <c r="G2830" s="7" t="str">
        <f t="array" ref="G2830">IF(ROWS(K$20:K2830)&gt;$F$6,"",INDEX(A$2:A$10000,SMALL(IF(ISNUMBER(MATCH($B$2:$B$10000,$E$6:$E$22,0)),ROW($C$2:$C$10000)-ROW($C$2)+1),ROWS(K$20:K2830))))</f>
        <v/>
      </c>
      <c r="H2830" s="4" t="str">
        <f t="array" ref="H2830">IF(ROWS(L$20:L2830)&gt;$F$6,"",INDEX(B$2:B$10000,SMALL(IF(ISNUMBER(MATCH($B$2:$B$10000,$E$6:$E$22,0)),ROW($C$2:$C$10000)-ROW($C$2)+1),ROWS(L$20:L2830))))</f>
        <v/>
      </c>
      <c r="I2830" s="4" t="str">
        <f t="array" ref="I2830">IF(ROWS(M$20:M2830)&gt;$F$6,"",INDEX(C$2:C$10000,SMALL(IF(ISNUMBER(MATCH($B$2:$B$10000,$E$6:$E$22,0)),ROW($C$2:$C$10000)-ROW($C$2)+1),ROWS(M$20:M2830))))</f>
        <v/>
      </c>
      <c r="K2830" s="7" t="str">
        <f t="array" ref="K2830">IF(ROWS(K$20:K2830)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2830))))</f>
        <v/>
      </c>
      <c r="L2830" s="4" t="str">
        <f t="array" ref="L2830">IF(ROWS(L$20:L2830)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2830))))</f>
        <v/>
      </c>
      <c r="M2830" s="4" t="str">
        <f t="array" ref="M2830">IF(ROWS(M$20:M2830)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2830))))</f>
        <v/>
      </c>
    </row>
    <row r="2831" spans="1:13" x14ac:dyDescent="0.25">
      <c r="A2831" s="3">
        <v>41813</v>
      </c>
      <c r="B2831" s="2" t="s">
        <v>9</v>
      </c>
      <c r="C2831" s="2">
        <v>12</v>
      </c>
      <c r="G2831" s="7" t="str">
        <f t="array" ref="G2831">IF(ROWS(K$20:K2831)&gt;$F$6,"",INDEX(A$2:A$10000,SMALL(IF(ISNUMBER(MATCH($B$2:$B$10000,$E$6:$E$22,0)),ROW($C$2:$C$10000)-ROW($C$2)+1),ROWS(K$20:K2831))))</f>
        <v/>
      </c>
      <c r="H2831" s="4" t="str">
        <f t="array" ref="H2831">IF(ROWS(L$20:L2831)&gt;$F$6,"",INDEX(B$2:B$10000,SMALL(IF(ISNUMBER(MATCH($B$2:$B$10000,$E$6:$E$22,0)),ROW($C$2:$C$10000)-ROW($C$2)+1),ROWS(L$20:L2831))))</f>
        <v/>
      </c>
      <c r="I2831" s="4" t="str">
        <f t="array" ref="I2831">IF(ROWS(M$20:M2831)&gt;$F$6,"",INDEX(C$2:C$10000,SMALL(IF(ISNUMBER(MATCH($B$2:$B$10000,$E$6:$E$22,0)),ROW($C$2:$C$10000)-ROW($C$2)+1),ROWS(M$20:M2831))))</f>
        <v/>
      </c>
      <c r="K2831" s="7" t="str">
        <f t="array" ref="K2831">IF(ROWS(K$20:K2831)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2831))))</f>
        <v/>
      </c>
      <c r="L2831" s="4" t="str">
        <f t="array" ref="L2831">IF(ROWS(L$20:L2831)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2831))))</f>
        <v/>
      </c>
      <c r="M2831" s="4" t="str">
        <f t="array" ref="M2831">IF(ROWS(M$20:M2831)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2831))))</f>
        <v/>
      </c>
    </row>
    <row r="2832" spans="1:13" x14ac:dyDescent="0.25">
      <c r="A2832" s="3">
        <v>42004</v>
      </c>
      <c r="B2832" s="2" t="s">
        <v>36</v>
      </c>
      <c r="C2832" s="2">
        <v>13</v>
      </c>
      <c r="G2832" s="7" t="str">
        <f t="array" ref="G2832">IF(ROWS(K$20:K2832)&gt;$F$6,"",INDEX(A$2:A$10000,SMALL(IF(ISNUMBER(MATCH($B$2:$B$10000,$E$6:$E$22,0)),ROW($C$2:$C$10000)-ROW($C$2)+1),ROWS(K$20:K2832))))</f>
        <v/>
      </c>
      <c r="H2832" s="4" t="str">
        <f t="array" ref="H2832">IF(ROWS(L$20:L2832)&gt;$F$6,"",INDEX(B$2:B$10000,SMALL(IF(ISNUMBER(MATCH($B$2:$B$10000,$E$6:$E$22,0)),ROW($C$2:$C$10000)-ROW($C$2)+1),ROWS(L$20:L2832))))</f>
        <v/>
      </c>
      <c r="I2832" s="4" t="str">
        <f t="array" ref="I2832">IF(ROWS(M$20:M2832)&gt;$F$6,"",INDEX(C$2:C$10000,SMALL(IF(ISNUMBER(MATCH($B$2:$B$10000,$E$6:$E$22,0)),ROW($C$2:$C$10000)-ROW($C$2)+1),ROWS(M$20:M2832))))</f>
        <v/>
      </c>
      <c r="K2832" s="7" t="str">
        <f t="array" ref="K2832">IF(ROWS(K$20:K2832)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2832))))</f>
        <v/>
      </c>
      <c r="L2832" s="4" t="str">
        <f t="array" ref="L2832">IF(ROWS(L$20:L2832)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2832))))</f>
        <v/>
      </c>
      <c r="M2832" s="4" t="str">
        <f t="array" ref="M2832">IF(ROWS(M$20:M2832)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2832))))</f>
        <v/>
      </c>
    </row>
    <row r="2833" spans="1:13" x14ac:dyDescent="0.25">
      <c r="A2833" s="3">
        <v>41392</v>
      </c>
      <c r="B2833" s="2" t="s">
        <v>35</v>
      </c>
      <c r="C2833" s="2">
        <v>11</v>
      </c>
      <c r="G2833" s="7" t="str">
        <f t="array" ref="G2833">IF(ROWS(K$20:K2833)&gt;$F$6,"",INDEX(A$2:A$10000,SMALL(IF(ISNUMBER(MATCH($B$2:$B$10000,$E$6:$E$22,0)),ROW($C$2:$C$10000)-ROW($C$2)+1),ROWS(K$20:K2833))))</f>
        <v/>
      </c>
      <c r="H2833" s="4" t="str">
        <f t="array" ref="H2833">IF(ROWS(L$20:L2833)&gt;$F$6,"",INDEX(B$2:B$10000,SMALL(IF(ISNUMBER(MATCH($B$2:$B$10000,$E$6:$E$22,0)),ROW($C$2:$C$10000)-ROW($C$2)+1),ROWS(L$20:L2833))))</f>
        <v/>
      </c>
      <c r="I2833" s="4" t="str">
        <f t="array" ref="I2833">IF(ROWS(M$20:M2833)&gt;$F$6,"",INDEX(C$2:C$10000,SMALL(IF(ISNUMBER(MATCH($B$2:$B$10000,$E$6:$E$22,0)),ROW($C$2:$C$10000)-ROW($C$2)+1),ROWS(M$20:M2833))))</f>
        <v/>
      </c>
      <c r="K2833" s="7" t="str">
        <f t="array" ref="K2833">IF(ROWS(K$20:K2833)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2833))))</f>
        <v/>
      </c>
      <c r="L2833" s="4" t="str">
        <f t="array" ref="L2833">IF(ROWS(L$20:L2833)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2833))))</f>
        <v/>
      </c>
      <c r="M2833" s="4" t="str">
        <f t="array" ref="M2833">IF(ROWS(M$20:M2833)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2833))))</f>
        <v/>
      </c>
    </row>
    <row r="2834" spans="1:13" x14ac:dyDescent="0.25">
      <c r="A2834" s="3">
        <v>41379</v>
      </c>
      <c r="B2834" s="2" t="s">
        <v>35</v>
      </c>
      <c r="C2834" s="2">
        <v>26</v>
      </c>
      <c r="G2834" s="7" t="str">
        <f t="array" ref="G2834">IF(ROWS(K$20:K2834)&gt;$F$6,"",INDEX(A$2:A$10000,SMALL(IF(ISNUMBER(MATCH($B$2:$B$10000,$E$6:$E$22,0)),ROW($C$2:$C$10000)-ROW($C$2)+1),ROWS(K$20:K2834))))</f>
        <v/>
      </c>
      <c r="H2834" s="4" t="str">
        <f t="array" ref="H2834">IF(ROWS(L$20:L2834)&gt;$F$6,"",INDEX(B$2:B$10000,SMALL(IF(ISNUMBER(MATCH($B$2:$B$10000,$E$6:$E$22,0)),ROW($C$2:$C$10000)-ROW($C$2)+1),ROWS(L$20:L2834))))</f>
        <v/>
      </c>
      <c r="I2834" s="4" t="str">
        <f t="array" ref="I2834">IF(ROWS(M$20:M2834)&gt;$F$6,"",INDEX(C$2:C$10000,SMALL(IF(ISNUMBER(MATCH($B$2:$B$10000,$E$6:$E$22,0)),ROW($C$2:$C$10000)-ROW($C$2)+1),ROWS(M$20:M2834))))</f>
        <v/>
      </c>
      <c r="K2834" s="7" t="str">
        <f t="array" ref="K2834">IF(ROWS(K$20:K2834)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2834))))</f>
        <v/>
      </c>
      <c r="L2834" s="4" t="str">
        <f t="array" ref="L2834">IF(ROWS(L$20:L2834)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2834))))</f>
        <v/>
      </c>
      <c r="M2834" s="4" t="str">
        <f t="array" ref="M2834">IF(ROWS(M$20:M2834)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2834))))</f>
        <v/>
      </c>
    </row>
    <row r="2835" spans="1:13" x14ac:dyDescent="0.25">
      <c r="A2835" s="3">
        <v>41852</v>
      </c>
      <c r="B2835" s="2" t="s">
        <v>41</v>
      </c>
      <c r="C2835" s="2">
        <v>39</v>
      </c>
      <c r="G2835" s="7" t="str">
        <f t="array" ref="G2835">IF(ROWS(K$20:K2835)&gt;$F$6,"",INDEX(A$2:A$10000,SMALL(IF(ISNUMBER(MATCH($B$2:$B$10000,$E$6:$E$22,0)),ROW($C$2:$C$10000)-ROW($C$2)+1),ROWS(K$20:K2835))))</f>
        <v/>
      </c>
      <c r="H2835" s="4" t="str">
        <f t="array" ref="H2835">IF(ROWS(L$20:L2835)&gt;$F$6,"",INDEX(B$2:B$10000,SMALL(IF(ISNUMBER(MATCH($B$2:$B$10000,$E$6:$E$22,0)),ROW($C$2:$C$10000)-ROW($C$2)+1),ROWS(L$20:L2835))))</f>
        <v/>
      </c>
      <c r="I2835" s="4" t="str">
        <f t="array" ref="I2835">IF(ROWS(M$20:M2835)&gt;$F$6,"",INDEX(C$2:C$10000,SMALL(IF(ISNUMBER(MATCH($B$2:$B$10000,$E$6:$E$22,0)),ROW($C$2:$C$10000)-ROW($C$2)+1),ROWS(M$20:M2835))))</f>
        <v/>
      </c>
      <c r="K2835" s="7" t="str">
        <f t="array" ref="K2835">IF(ROWS(K$20:K2835)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2835))))</f>
        <v/>
      </c>
      <c r="L2835" s="4" t="str">
        <f t="array" ref="L2835">IF(ROWS(L$20:L2835)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2835))))</f>
        <v/>
      </c>
      <c r="M2835" s="4" t="str">
        <f t="array" ref="M2835">IF(ROWS(M$20:M2835)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2835))))</f>
        <v/>
      </c>
    </row>
    <row r="2836" spans="1:13" x14ac:dyDescent="0.25">
      <c r="A2836" s="3">
        <v>41572</v>
      </c>
      <c r="B2836" s="2" t="s">
        <v>2</v>
      </c>
      <c r="C2836" s="2">
        <v>40</v>
      </c>
      <c r="G2836" s="7" t="str">
        <f t="array" ref="G2836">IF(ROWS(K$20:K2836)&gt;$F$6,"",INDEX(A$2:A$10000,SMALL(IF(ISNUMBER(MATCH($B$2:$B$10000,$E$6:$E$22,0)),ROW($C$2:$C$10000)-ROW($C$2)+1),ROWS(K$20:K2836))))</f>
        <v/>
      </c>
      <c r="H2836" s="4" t="str">
        <f t="array" ref="H2836">IF(ROWS(L$20:L2836)&gt;$F$6,"",INDEX(B$2:B$10000,SMALL(IF(ISNUMBER(MATCH($B$2:$B$10000,$E$6:$E$22,0)),ROW($C$2:$C$10000)-ROW($C$2)+1),ROWS(L$20:L2836))))</f>
        <v/>
      </c>
      <c r="I2836" s="4" t="str">
        <f t="array" ref="I2836">IF(ROWS(M$20:M2836)&gt;$F$6,"",INDEX(C$2:C$10000,SMALL(IF(ISNUMBER(MATCH($B$2:$B$10000,$E$6:$E$22,0)),ROW($C$2:$C$10000)-ROW($C$2)+1),ROWS(M$20:M2836))))</f>
        <v/>
      </c>
      <c r="K2836" s="7" t="str">
        <f t="array" ref="K2836">IF(ROWS(K$20:K2836)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2836))))</f>
        <v/>
      </c>
      <c r="L2836" s="4" t="str">
        <f t="array" ref="L2836">IF(ROWS(L$20:L2836)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2836))))</f>
        <v/>
      </c>
      <c r="M2836" s="4" t="str">
        <f t="array" ref="M2836">IF(ROWS(M$20:M2836)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2836))))</f>
        <v/>
      </c>
    </row>
    <row r="2837" spans="1:13" x14ac:dyDescent="0.25">
      <c r="A2837" s="3">
        <v>41786</v>
      </c>
      <c r="B2837" s="2" t="s">
        <v>42</v>
      </c>
      <c r="C2837" s="2">
        <v>52</v>
      </c>
      <c r="G2837" s="7" t="str">
        <f t="array" ref="G2837">IF(ROWS(K$20:K2837)&gt;$F$6,"",INDEX(A$2:A$10000,SMALL(IF(ISNUMBER(MATCH($B$2:$B$10000,$E$6:$E$22,0)),ROW($C$2:$C$10000)-ROW($C$2)+1),ROWS(K$20:K2837))))</f>
        <v/>
      </c>
      <c r="H2837" s="4" t="str">
        <f t="array" ref="H2837">IF(ROWS(L$20:L2837)&gt;$F$6,"",INDEX(B$2:B$10000,SMALL(IF(ISNUMBER(MATCH($B$2:$B$10000,$E$6:$E$22,0)),ROW($C$2:$C$10000)-ROW($C$2)+1),ROWS(L$20:L2837))))</f>
        <v/>
      </c>
      <c r="I2837" s="4" t="str">
        <f t="array" ref="I2837">IF(ROWS(M$20:M2837)&gt;$F$6,"",INDEX(C$2:C$10000,SMALL(IF(ISNUMBER(MATCH($B$2:$B$10000,$E$6:$E$22,0)),ROW($C$2:$C$10000)-ROW($C$2)+1),ROWS(M$20:M2837))))</f>
        <v/>
      </c>
      <c r="K2837" s="7" t="str">
        <f t="array" ref="K2837">IF(ROWS(K$20:K2837)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2837))))</f>
        <v/>
      </c>
      <c r="L2837" s="4" t="str">
        <f t="array" ref="L2837">IF(ROWS(L$20:L2837)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2837))))</f>
        <v/>
      </c>
      <c r="M2837" s="4" t="str">
        <f t="array" ref="M2837">IF(ROWS(M$20:M2837)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2837))))</f>
        <v/>
      </c>
    </row>
    <row r="2838" spans="1:13" x14ac:dyDescent="0.25">
      <c r="A2838" s="3">
        <v>41554</v>
      </c>
      <c r="B2838" s="2" t="s">
        <v>37</v>
      </c>
      <c r="C2838" s="2">
        <v>22</v>
      </c>
      <c r="G2838" s="7" t="str">
        <f t="array" ref="G2838">IF(ROWS(K$20:K2838)&gt;$F$6,"",INDEX(A$2:A$10000,SMALL(IF(ISNUMBER(MATCH($B$2:$B$10000,$E$6:$E$22,0)),ROW($C$2:$C$10000)-ROW($C$2)+1),ROWS(K$20:K2838))))</f>
        <v/>
      </c>
      <c r="H2838" s="4" t="str">
        <f t="array" ref="H2838">IF(ROWS(L$20:L2838)&gt;$F$6,"",INDEX(B$2:B$10000,SMALL(IF(ISNUMBER(MATCH($B$2:$B$10000,$E$6:$E$22,0)),ROW($C$2:$C$10000)-ROW($C$2)+1),ROWS(L$20:L2838))))</f>
        <v/>
      </c>
      <c r="I2838" s="4" t="str">
        <f t="array" ref="I2838">IF(ROWS(M$20:M2838)&gt;$F$6,"",INDEX(C$2:C$10000,SMALL(IF(ISNUMBER(MATCH($B$2:$B$10000,$E$6:$E$22,0)),ROW($C$2:$C$10000)-ROW($C$2)+1),ROWS(M$20:M2838))))</f>
        <v/>
      </c>
      <c r="K2838" s="7" t="str">
        <f t="array" ref="K2838">IF(ROWS(K$20:K2838)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2838))))</f>
        <v/>
      </c>
      <c r="L2838" s="4" t="str">
        <f t="array" ref="L2838">IF(ROWS(L$20:L2838)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2838))))</f>
        <v/>
      </c>
      <c r="M2838" s="4" t="str">
        <f t="array" ref="M2838">IF(ROWS(M$20:M2838)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2838))))</f>
        <v/>
      </c>
    </row>
    <row r="2839" spans="1:13" x14ac:dyDescent="0.25">
      <c r="A2839" s="3">
        <v>41644</v>
      </c>
      <c r="B2839" s="2" t="s">
        <v>28</v>
      </c>
      <c r="C2839" s="2">
        <v>14</v>
      </c>
      <c r="G2839" s="7" t="str">
        <f t="array" ref="G2839">IF(ROWS(K$20:K2839)&gt;$F$6,"",INDEX(A$2:A$10000,SMALL(IF(ISNUMBER(MATCH($B$2:$B$10000,$E$6:$E$22,0)),ROW($C$2:$C$10000)-ROW($C$2)+1),ROWS(K$20:K2839))))</f>
        <v/>
      </c>
      <c r="H2839" s="4" t="str">
        <f t="array" ref="H2839">IF(ROWS(L$20:L2839)&gt;$F$6,"",INDEX(B$2:B$10000,SMALL(IF(ISNUMBER(MATCH($B$2:$B$10000,$E$6:$E$22,0)),ROW($C$2:$C$10000)-ROW($C$2)+1),ROWS(L$20:L2839))))</f>
        <v/>
      </c>
      <c r="I2839" s="4" t="str">
        <f t="array" ref="I2839">IF(ROWS(M$20:M2839)&gt;$F$6,"",INDEX(C$2:C$10000,SMALL(IF(ISNUMBER(MATCH($B$2:$B$10000,$E$6:$E$22,0)),ROW($C$2:$C$10000)-ROW($C$2)+1),ROWS(M$20:M2839))))</f>
        <v/>
      </c>
      <c r="K2839" s="7" t="str">
        <f t="array" ref="K2839">IF(ROWS(K$20:K2839)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2839))))</f>
        <v/>
      </c>
      <c r="L2839" s="4" t="str">
        <f t="array" ref="L2839">IF(ROWS(L$20:L2839)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2839))))</f>
        <v/>
      </c>
      <c r="M2839" s="4" t="str">
        <f t="array" ref="M2839">IF(ROWS(M$20:M2839)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2839))))</f>
        <v/>
      </c>
    </row>
    <row r="2840" spans="1:13" x14ac:dyDescent="0.25">
      <c r="A2840" s="3">
        <v>41975</v>
      </c>
      <c r="B2840" s="2" t="s">
        <v>51</v>
      </c>
      <c r="C2840" s="2">
        <v>19</v>
      </c>
      <c r="G2840" s="7" t="str">
        <f t="array" ref="G2840">IF(ROWS(K$20:K2840)&gt;$F$6,"",INDEX(A$2:A$10000,SMALL(IF(ISNUMBER(MATCH($B$2:$B$10000,$E$6:$E$22,0)),ROW($C$2:$C$10000)-ROW($C$2)+1),ROWS(K$20:K2840))))</f>
        <v/>
      </c>
      <c r="H2840" s="4" t="str">
        <f t="array" ref="H2840">IF(ROWS(L$20:L2840)&gt;$F$6,"",INDEX(B$2:B$10000,SMALL(IF(ISNUMBER(MATCH($B$2:$B$10000,$E$6:$E$22,0)),ROW($C$2:$C$10000)-ROW($C$2)+1),ROWS(L$20:L2840))))</f>
        <v/>
      </c>
      <c r="I2840" s="4" t="str">
        <f t="array" ref="I2840">IF(ROWS(M$20:M2840)&gt;$F$6,"",INDEX(C$2:C$10000,SMALL(IF(ISNUMBER(MATCH($B$2:$B$10000,$E$6:$E$22,0)),ROW($C$2:$C$10000)-ROW($C$2)+1),ROWS(M$20:M2840))))</f>
        <v/>
      </c>
      <c r="K2840" s="7" t="str">
        <f t="array" ref="K2840">IF(ROWS(K$20:K2840)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2840))))</f>
        <v/>
      </c>
      <c r="L2840" s="4" t="str">
        <f t="array" ref="L2840">IF(ROWS(L$20:L2840)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2840))))</f>
        <v/>
      </c>
      <c r="M2840" s="4" t="str">
        <f t="array" ref="M2840">IF(ROWS(M$20:M2840)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2840))))</f>
        <v/>
      </c>
    </row>
    <row r="2841" spans="1:13" x14ac:dyDescent="0.25">
      <c r="A2841" s="3">
        <v>41842</v>
      </c>
      <c r="B2841" s="2" t="s">
        <v>8</v>
      </c>
      <c r="C2841" s="2">
        <v>32</v>
      </c>
      <c r="G2841" s="7" t="str">
        <f t="array" ref="G2841">IF(ROWS(K$20:K2841)&gt;$F$6,"",INDEX(A$2:A$10000,SMALL(IF(ISNUMBER(MATCH($B$2:$B$10000,$E$6:$E$22,0)),ROW($C$2:$C$10000)-ROW($C$2)+1),ROWS(K$20:K2841))))</f>
        <v/>
      </c>
      <c r="H2841" s="4" t="str">
        <f t="array" ref="H2841">IF(ROWS(L$20:L2841)&gt;$F$6,"",INDEX(B$2:B$10000,SMALL(IF(ISNUMBER(MATCH($B$2:$B$10000,$E$6:$E$22,0)),ROW($C$2:$C$10000)-ROW($C$2)+1),ROWS(L$20:L2841))))</f>
        <v/>
      </c>
      <c r="I2841" s="4" t="str">
        <f t="array" ref="I2841">IF(ROWS(M$20:M2841)&gt;$F$6,"",INDEX(C$2:C$10000,SMALL(IF(ISNUMBER(MATCH($B$2:$B$10000,$E$6:$E$22,0)),ROW($C$2:$C$10000)-ROW($C$2)+1),ROWS(M$20:M2841))))</f>
        <v/>
      </c>
      <c r="K2841" s="7" t="str">
        <f t="array" ref="K2841">IF(ROWS(K$20:K2841)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2841))))</f>
        <v/>
      </c>
      <c r="L2841" s="4" t="str">
        <f t="array" ref="L2841">IF(ROWS(L$20:L2841)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2841))))</f>
        <v/>
      </c>
      <c r="M2841" s="4" t="str">
        <f t="array" ref="M2841">IF(ROWS(M$20:M2841)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2841))))</f>
        <v/>
      </c>
    </row>
    <row r="2842" spans="1:13" x14ac:dyDescent="0.25">
      <c r="A2842" s="3">
        <v>41884</v>
      </c>
      <c r="B2842" s="2" t="s">
        <v>19</v>
      </c>
      <c r="C2842" s="2">
        <v>25</v>
      </c>
      <c r="G2842" s="7" t="str">
        <f t="array" ref="G2842">IF(ROWS(K$20:K2842)&gt;$F$6,"",INDEX(A$2:A$10000,SMALL(IF(ISNUMBER(MATCH($B$2:$B$10000,$E$6:$E$22,0)),ROW($C$2:$C$10000)-ROW($C$2)+1),ROWS(K$20:K2842))))</f>
        <v/>
      </c>
      <c r="H2842" s="4" t="str">
        <f t="array" ref="H2842">IF(ROWS(L$20:L2842)&gt;$F$6,"",INDEX(B$2:B$10000,SMALL(IF(ISNUMBER(MATCH($B$2:$B$10000,$E$6:$E$22,0)),ROW($C$2:$C$10000)-ROW($C$2)+1),ROWS(L$20:L2842))))</f>
        <v/>
      </c>
      <c r="I2842" s="4" t="str">
        <f t="array" ref="I2842">IF(ROWS(M$20:M2842)&gt;$F$6,"",INDEX(C$2:C$10000,SMALL(IF(ISNUMBER(MATCH($B$2:$B$10000,$E$6:$E$22,0)),ROW($C$2:$C$10000)-ROW($C$2)+1),ROWS(M$20:M2842))))</f>
        <v/>
      </c>
      <c r="K2842" s="7" t="str">
        <f t="array" ref="K2842">IF(ROWS(K$20:K2842)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2842))))</f>
        <v/>
      </c>
      <c r="L2842" s="4" t="str">
        <f t="array" ref="L2842">IF(ROWS(L$20:L2842)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2842))))</f>
        <v/>
      </c>
      <c r="M2842" s="4" t="str">
        <f t="array" ref="M2842">IF(ROWS(M$20:M2842)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2842))))</f>
        <v/>
      </c>
    </row>
    <row r="2843" spans="1:13" x14ac:dyDescent="0.25">
      <c r="A2843" s="3">
        <v>41434</v>
      </c>
      <c r="B2843" s="2" t="s">
        <v>24</v>
      </c>
      <c r="C2843" s="2">
        <v>13</v>
      </c>
      <c r="G2843" s="7" t="str">
        <f t="array" ref="G2843">IF(ROWS(K$20:K2843)&gt;$F$6,"",INDEX(A$2:A$10000,SMALL(IF(ISNUMBER(MATCH($B$2:$B$10000,$E$6:$E$22,0)),ROW($C$2:$C$10000)-ROW($C$2)+1),ROWS(K$20:K2843))))</f>
        <v/>
      </c>
      <c r="H2843" s="4" t="str">
        <f t="array" ref="H2843">IF(ROWS(L$20:L2843)&gt;$F$6,"",INDEX(B$2:B$10000,SMALL(IF(ISNUMBER(MATCH($B$2:$B$10000,$E$6:$E$22,0)),ROW($C$2:$C$10000)-ROW($C$2)+1),ROWS(L$20:L2843))))</f>
        <v/>
      </c>
      <c r="I2843" s="4" t="str">
        <f t="array" ref="I2843">IF(ROWS(M$20:M2843)&gt;$F$6,"",INDEX(C$2:C$10000,SMALL(IF(ISNUMBER(MATCH($B$2:$B$10000,$E$6:$E$22,0)),ROW($C$2:$C$10000)-ROW($C$2)+1),ROWS(M$20:M2843))))</f>
        <v/>
      </c>
      <c r="K2843" s="7" t="str">
        <f t="array" ref="K2843">IF(ROWS(K$20:K2843)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2843))))</f>
        <v/>
      </c>
      <c r="L2843" s="4" t="str">
        <f t="array" ref="L2843">IF(ROWS(L$20:L2843)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2843))))</f>
        <v/>
      </c>
      <c r="M2843" s="4" t="str">
        <f t="array" ref="M2843">IF(ROWS(M$20:M2843)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2843))))</f>
        <v/>
      </c>
    </row>
    <row r="2844" spans="1:13" x14ac:dyDescent="0.25">
      <c r="A2844" s="3">
        <v>41800</v>
      </c>
      <c r="B2844" s="2" t="s">
        <v>8</v>
      </c>
      <c r="C2844" s="2">
        <v>7</v>
      </c>
      <c r="G2844" s="7" t="str">
        <f t="array" ref="G2844">IF(ROWS(K$20:K2844)&gt;$F$6,"",INDEX(A$2:A$10000,SMALL(IF(ISNUMBER(MATCH($B$2:$B$10000,$E$6:$E$22,0)),ROW($C$2:$C$10000)-ROW($C$2)+1),ROWS(K$20:K2844))))</f>
        <v/>
      </c>
      <c r="H2844" s="4" t="str">
        <f t="array" ref="H2844">IF(ROWS(L$20:L2844)&gt;$F$6,"",INDEX(B$2:B$10000,SMALL(IF(ISNUMBER(MATCH($B$2:$B$10000,$E$6:$E$22,0)),ROW($C$2:$C$10000)-ROW($C$2)+1),ROWS(L$20:L2844))))</f>
        <v/>
      </c>
      <c r="I2844" s="4" t="str">
        <f t="array" ref="I2844">IF(ROWS(M$20:M2844)&gt;$F$6,"",INDEX(C$2:C$10000,SMALL(IF(ISNUMBER(MATCH($B$2:$B$10000,$E$6:$E$22,0)),ROW($C$2:$C$10000)-ROW($C$2)+1),ROWS(M$20:M2844))))</f>
        <v/>
      </c>
      <c r="K2844" s="7" t="str">
        <f t="array" ref="K2844">IF(ROWS(K$20:K2844)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2844))))</f>
        <v/>
      </c>
      <c r="L2844" s="4" t="str">
        <f t="array" ref="L2844">IF(ROWS(L$20:L2844)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2844))))</f>
        <v/>
      </c>
      <c r="M2844" s="4" t="str">
        <f t="array" ref="M2844">IF(ROWS(M$20:M2844)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2844))))</f>
        <v/>
      </c>
    </row>
    <row r="2845" spans="1:13" x14ac:dyDescent="0.25">
      <c r="A2845" s="3">
        <v>41511</v>
      </c>
      <c r="B2845" s="2" t="s">
        <v>5</v>
      </c>
      <c r="C2845" s="2">
        <v>48</v>
      </c>
      <c r="G2845" s="7" t="str">
        <f t="array" ref="G2845">IF(ROWS(K$20:K2845)&gt;$F$6,"",INDEX(A$2:A$10000,SMALL(IF(ISNUMBER(MATCH($B$2:$B$10000,$E$6:$E$22,0)),ROW($C$2:$C$10000)-ROW($C$2)+1),ROWS(K$20:K2845))))</f>
        <v/>
      </c>
      <c r="H2845" s="4" t="str">
        <f t="array" ref="H2845">IF(ROWS(L$20:L2845)&gt;$F$6,"",INDEX(B$2:B$10000,SMALL(IF(ISNUMBER(MATCH($B$2:$B$10000,$E$6:$E$22,0)),ROW($C$2:$C$10000)-ROW($C$2)+1),ROWS(L$20:L2845))))</f>
        <v/>
      </c>
      <c r="I2845" s="4" t="str">
        <f t="array" ref="I2845">IF(ROWS(M$20:M2845)&gt;$F$6,"",INDEX(C$2:C$10000,SMALL(IF(ISNUMBER(MATCH($B$2:$B$10000,$E$6:$E$22,0)),ROW($C$2:$C$10000)-ROW($C$2)+1),ROWS(M$20:M2845))))</f>
        <v/>
      </c>
      <c r="K2845" s="7" t="str">
        <f t="array" ref="K2845">IF(ROWS(K$20:K2845)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2845))))</f>
        <v/>
      </c>
      <c r="L2845" s="4" t="str">
        <f t="array" ref="L2845">IF(ROWS(L$20:L2845)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2845))))</f>
        <v/>
      </c>
      <c r="M2845" s="4" t="str">
        <f t="array" ref="M2845">IF(ROWS(M$20:M2845)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2845))))</f>
        <v/>
      </c>
    </row>
    <row r="2846" spans="1:13" x14ac:dyDescent="0.25">
      <c r="A2846" s="3">
        <v>41334</v>
      </c>
      <c r="B2846" s="2" t="s">
        <v>6</v>
      </c>
      <c r="C2846" s="2">
        <v>53</v>
      </c>
      <c r="G2846" s="7" t="str">
        <f t="array" ref="G2846">IF(ROWS(K$20:K2846)&gt;$F$6,"",INDEX(A$2:A$10000,SMALL(IF(ISNUMBER(MATCH($B$2:$B$10000,$E$6:$E$22,0)),ROW($C$2:$C$10000)-ROW($C$2)+1),ROWS(K$20:K2846))))</f>
        <v/>
      </c>
      <c r="H2846" s="4" t="str">
        <f t="array" ref="H2846">IF(ROWS(L$20:L2846)&gt;$F$6,"",INDEX(B$2:B$10000,SMALL(IF(ISNUMBER(MATCH($B$2:$B$10000,$E$6:$E$22,0)),ROW($C$2:$C$10000)-ROW($C$2)+1),ROWS(L$20:L2846))))</f>
        <v/>
      </c>
      <c r="I2846" s="4" t="str">
        <f t="array" ref="I2846">IF(ROWS(M$20:M2846)&gt;$F$6,"",INDEX(C$2:C$10000,SMALL(IF(ISNUMBER(MATCH($B$2:$B$10000,$E$6:$E$22,0)),ROW($C$2:$C$10000)-ROW($C$2)+1),ROWS(M$20:M2846))))</f>
        <v/>
      </c>
      <c r="K2846" s="7" t="str">
        <f t="array" ref="K2846">IF(ROWS(K$20:K2846)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2846))))</f>
        <v/>
      </c>
      <c r="L2846" s="4" t="str">
        <f t="array" ref="L2846">IF(ROWS(L$20:L2846)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2846))))</f>
        <v/>
      </c>
      <c r="M2846" s="4" t="str">
        <f t="array" ref="M2846">IF(ROWS(M$20:M2846)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2846))))</f>
        <v/>
      </c>
    </row>
    <row r="2847" spans="1:13" x14ac:dyDescent="0.25">
      <c r="A2847" s="3">
        <v>41325</v>
      </c>
      <c r="B2847" s="2" t="s">
        <v>25</v>
      </c>
      <c r="C2847" s="2">
        <v>22</v>
      </c>
      <c r="G2847" s="7" t="str">
        <f t="array" ref="G2847">IF(ROWS(K$20:K2847)&gt;$F$6,"",INDEX(A$2:A$10000,SMALL(IF(ISNUMBER(MATCH($B$2:$B$10000,$E$6:$E$22,0)),ROW($C$2:$C$10000)-ROW($C$2)+1),ROWS(K$20:K2847))))</f>
        <v/>
      </c>
      <c r="H2847" s="4" t="str">
        <f t="array" ref="H2847">IF(ROWS(L$20:L2847)&gt;$F$6,"",INDEX(B$2:B$10000,SMALL(IF(ISNUMBER(MATCH($B$2:$B$10000,$E$6:$E$22,0)),ROW($C$2:$C$10000)-ROW($C$2)+1),ROWS(L$20:L2847))))</f>
        <v/>
      </c>
      <c r="I2847" s="4" t="str">
        <f t="array" ref="I2847">IF(ROWS(M$20:M2847)&gt;$F$6,"",INDEX(C$2:C$10000,SMALL(IF(ISNUMBER(MATCH($B$2:$B$10000,$E$6:$E$22,0)),ROW($C$2:$C$10000)-ROW($C$2)+1),ROWS(M$20:M2847))))</f>
        <v/>
      </c>
      <c r="K2847" s="7" t="str">
        <f t="array" ref="K2847">IF(ROWS(K$20:K2847)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2847))))</f>
        <v/>
      </c>
      <c r="L2847" s="4" t="str">
        <f t="array" ref="L2847">IF(ROWS(L$20:L2847)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2847))))</f>
        <v/>
      </c>
      <c r="M2847" s="4" t="str">
        <f t="array" ref="M2847">IF(ROWS(M$20:M2847)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2847))))</f>
        <v/>
      </c>
    </row>
    <row r="2848" spans="1:13" x14ac:dyDescent="0.25">
      <c r="A2848" s="3">
        <v>41423</v>
      </c>
      <c r="B2848" s="2" t="s">
        <v>3</v>
      </c>
      <c r="C2848" s="2">
        <v>26</v>
      </c>
      <c r="G2848" s="7" t="str">
        <f t="array" ref="G2848">IF(ROWS(K$20:K2848)&gt;$F$6,"",INDEX(A$2:A$10000,SMALL(IF(ISNUMBER(MATCH($B$2:$B$10000,$E$6:$E$22,0)),ROW($C$2:$C$10000)-ROW($C$2)+1),ROWS(K$20:K2848))))</f>
        <v/>
      </c>
      <c r="H2848" s="4" t="str">
        <f t="array" ref="H2848">IF(ROWS(L$20:L2848)&gt;$F$6,"",INDEX(B$2:B$10000,SMALL(IF(ISNUMBER(MATCH($B$2:$B$10000,$E$6:$E$22,0)),ROW($C$2:$C$10000)-ROW($C$2)+1),ROWS(L$20:L2848))))</f>
        <v/>
      </c>
      <c r="I2848" s="4" t="str">
        <f t="array" ref="I2848">IF(ROWS(M$20:M2848)&gt;$F$6,"",INDEX(C$2:C$10000,SMALL(IF(ISNUMBER(MATCH($B$2:$B$10000,$E$6:$E$22,0)),ROW($C$2:$C$10000)-ROW($C$2)+1),ROWS(M$20:M2848))))</f>
        <v/>
      </c>
      <c r="K2848" s="7" t="str">
        <f t="array" ref="K2848">IF(ROWS(K$20:K2848)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2848))))</f>
        <v/>
      </c>
      <c r="L2848" s="4" t="str">
        <f t="array" ref="L2848">IF(ROWS(L$20:L2848)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2848))))</f>
        <v/>
      </c>
      <c r="M2848" s="4" t="str">
        <f t="array" ref="M2848">IF(ROWS(M$20:M2848)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2848))))</f>
        <v/>
      </c>
    </row>
    <row r="2849" spans="1:13" x14ac:dyDescent="0.25">
      <c r="A2849" s="3">
        <v>41445</v>
      </c>
      <c r="B2849" s="2" t="s">
        <v>44</v>
      </c>
      <c r="C2849" s="2">
        <v>8</v>
      </c>
      <c r="G2849" s="7" t="str">
        <f t="array" ref="G2849">IF(ROWS(K$20:K2849)&gt;$F$6,"",INDEX(A$2:A$10000,SMALL(IF(ISNUMBER(MATCH($B$2:$B$10000,$E$6:$E$22,0)),ROW($C$2:$C$10000)-ROW($C$2)+1),ROWS(K$20:K2849))))</f>
        <v/>
      </c>
      <c r="H2849" s="4" t="str">
        <f t="array" ref="H2849">IF(ROWS(L$20:L2849)&gt;$F$6,"",INDEX(B$2:B$10000,SMALL(IF(ISNUMBER(MATCH($B$2:$B$10000,$E$6:$E$22,0)),ROW($C$2:$C$10000)-ROW($C$2)+1),ROWS(L$20:L2849))))</f>
        <v/>
      </c>
      <c r="I2849" s="4" t="str">
        <f t="array" ref="I2849">IF(ROWS(M$20:M2849)&gt;$F$6,"",INDEX(C$2:C$10000,SMALL(IF(ISNUMBER(MATCH($B$2:$B$10000,$E$6:$E$22,0)),ROW($C$2:$C$10000)-ROW($C$2)+1),ROWS(M$20:M2849))))</f>
        <v/>
      </c>
      <c r="K2849" s="7" t="str">
        <f t="array" ref="K2849">IF(ROWS(K$20:K2849)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2849))))</f>
        <v/>
      </c>
      <c r="L2849" s="4" t="str">
        <f t="array" ref="L2849">IF(ROWS(L$20:L2849)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2849))))</f>
        <v/>
      </c>
      <c r="M2849" s="4" t="str">
        <f t="array" ref="M2849">IF(ROWS(M$20:M2849)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2849))))</f>
        <v/>
      </c>
    </row>
    <row r="2850" spans="1:13" x14ac:dyDescent="0.25">
      <c r="A2850" s="3">
        <v>41983</v>
      </c>
      <c r="B2850" s="2" t="s">
        <v>20</v>
      </c>
      <c r="C2850" s="2">
        <v>36</v>
      </c>
      <c r="G2850" s="7" t="str">
        <f t="array" ref="G2850">IF(ROWS(K$20:K2850)&gt;$F$6,"",INDEX(A$2:A$10000,SMALL(IF(ISNUMBER(MATCH($B$2:$B$10000,$E$6:$E$22,0)),ROW($C$2:$C$10000)-ROW($C$2)+1),ROWS(K$20:K2850))))</f>
        <v/>
      </c>
      <c r="H2850" s="4" t="str">
        <f t="array" ref="H2850">IF(ROWS(L$20:L2850)&gt;$F$6,"",INDEX(B$2:B$10000,SMALL(IF(ISNUMBER(MATCH($B$2:$B$10000,$E$6:$E$22,0)),ROW($C$2:$C$10000)-ROW($C$2)+1),ROWS(L$20:L2850))))</f>
        <v/>
      </c>
      <c r="I2850" s="4" t="str">
        <f t="array" ref="I2850">IF(ROWS(M$20:M2850)&gt;$F$6,"",INDEX(C$2:C$10000,SMALL(IF(ISNUMBER(MATCH($B$2:$B$10000,$E$6:$E$22,0)),ROW($C$2:$C$10000)-ROW($C$2)+1),ROWS(M$20:M2850))))</f>
        <v/>
      </c>
      <c r="K2850" s="7" t="str">
        <f t="array" ref="K2850">IF(ROWS(K$20:K2850)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2850))))</f>
        <v/>
      </c>
      <c r="L2850" s="4" t="str">
        <f t="array" ref="L2850">IF(ROWS(L$20:L2850)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2850))))</f>
        <v/>
      </c>
      <c r="M2850" s="4" t="str">
        <f t="array" ref="M2850">IF(ROWS(M$20:M2850)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2850))))</f>
        <v/>
      </c>
    </row>
    <row r="2851" spans="1:13" x14ac:dyDescent="0.25">
      <c r="A2851" s="3">
        <v>41663</v>
      </c>
      <c r="B2851" s="2" t="s">
        <v>45</v>
      </c>
      <c r="C2851" s="2">
        <v>39</v>
      </c>
      <c r="G2851" s="7" t="str">
        <f t="array" ref="G2851">IF(ROWS(K$20:K2851)&gt;$F$6,"",INDEX(A$2:A$10000,SMALL(IF(ISNUMBER(MATCH($B$2:$B$10000,$E$6:$E$22,0)),ROW($C$2:$C$10000)-ROW($C$2)+1),ROWS(K$20:K2851))))</f>
        <v/>
      </c>
      <c r="H2851" s="4" t="str">
        <f t="array" ref="H2851">IF(ROWS(L$20:L2851)&gt;$F$6,"",INDEX(B$2:B$10000,SMALL(IF(ISNUMBER(MATCH($B$2:$B$10000,$E$6:$E$22,0)),ROW($C$2:$C$10000)-ROW($C$2)+1),ROWS(L$20:L2851))))</f>
        <v/>
      </c>
      <c r="I2851" s="4" t="str">
        <f t="array" ref="I2851">IF(ROWS(M$20:M2851)&gt;$F$6,"",INDEX(C$2:C$10000,SMALL(IF(ISNUMBER(MATCH($B$2:$B$10000,$E$6:$E$22,0)),ROW($C$2:$C$10000)-ROW($C$2)+1),ROWS(M$20:M2851))))</f>
        <v/>
      </c>
      <c r="K2851" s="7" t="str">
        <f t="array" ref="K2851">IF(ROWS(K$20:K2851)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2851))))</f>
        <v/>
      </c>
      <c r="L2851" s="4" t="str">
        <f t="array" ref="L2851">IF(ROWS(L$20:L2851)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2851))))</f>
        <v/>
      </c>
      <c r="M2851" s="4" t="str">
        <f t="array" ref="M2851">IF(ROWS(M$20:M2851)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2851))))</f>
        <v/>
      </c>
    </row>
    <row r="2852" spans="1:13" x14ac:dyDescent="0.25">
      <c r="A2852" s="3">
        <v>41558</v>
      </c>
      <c r="B2852" s="2" t="s">
        <v>25</v>
      </c>
      <c r="C2852" s="2">
        <v>7</v>
      </c>
      <c r="G2852" s="7" t="str">
        <f t="array" ref="G2852">IF(ROWS(K$20:K2852)&gt;$F$6,"",INDEX(A$2:A$10000,SMALL(IF(ISNUMBER(MATCH($B$2:$B$10000,$E$6:$E$22,0)),ROW($C$2:$C$10000)-ROW($C$2)+1),ROWS(K$20:K2852))))</f>
        <v/>
      </c>
      <c r="H2852" s="4" t="str">
        <f t="array" ref="H2852">IF(ROWS(L$20:L2852)&gt;$F$6,"",INDEX(B$2:B$10000,SMALL(IF(ISNUMBER(MATCH($B$2:$B$10000,$E$6:$E$22,0)),ROW($C$2:$C$10000)-ROW($C$2)+1),ROWS(L$20:L2852))))</f>
        <v/>
      </c>
      <c r="I2852" s="4" t="str">
        <f t="array" ref="I2852">IF(ROWS(M$20:M2852)&gt;$F$6,"",INDEX(C$2:C$10000,SMALL(IF(ISNUMBER(MATCH($B$2:$B$10000,$E$6:$E$22,0)),ROW($C$2:$C$10000)-ROW($C$2)+1),ROWS(M$20:M2852))))</f>
        <v/>
      </c>
      <c r="K2852" s="7" t="str">
        <f t="array" ref="K2852">IF(ROWS(K$20:K2852)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2852))))</f>
        <v/>
      </c>
      <c r="L2852" s="4" t="str">
        <f t="array" ref="L2852">IF(ROWS(L$20:L2852)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2852))))</f>
        <v/>
      </c>
      <c r="M2852" s="4" t="str">
        <f t="array" ref="M2852">IF(ROWS(M$20:M2852)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2852))))</f>
        <v/>
      </c>
    </row>
    <row r="2853" spans="1:13" x14ac:dyDescent="0.25">
      <c r="A2853" s="3">
        <v>41760</v>
      </c>
      <c r="B2853" s="2" t="s">
        <v>43</v>
      </c>
      <c r="C2853" s="2">
        <v>27</v>
      </c>
      <c r="G2853" s="7" t="str">
        <f t="array" ref="G2853">IF(ROWS(K$20:K2853)&gt;$F$6,"",INDEX(A$2:A$10000,SMALL(IF(ISNUMBER(MATCH($B$2:$B$10000,$E$6:$E$22,0)),ROW($C$2:$C$10000)-ROW($C$2)+1),ROWS(K$20:K2853))))</f>
        <v/>
      </c>
      <c r="H2853" s="4" t="str">
        <f t="array" ref="H2853">IF(ROWS(L$20:L2853)&gt;$F$6,"",INDEX(B$2:B$10000,SMALL(IF(ISNUMBER(MATCH($B$2:$B$10000,$E$6:$E$22,0)),ROW($C$2:$C$10000)-ROW($C$2)+1),ROWS(L$20:L2853))))</f>
        <v/>
      </c>
      <c r="I2853" s="4" t="str">
        <f t="array" ref="I2853">IF(ROWS(M$20:M2853)&gt;$F$6,"",INDEX(C$2:C$10000,SMALL(IF(ISNUMBER(MATCH($B$2:$B$10000,$E$6:$E$22,0)),ROW($C$2:$C$10000)-ROW($C$2)+1),ROWS(M$20:M2853))))</f>
        <v/>
      </c>
      <c r="K2853" s="7" t="str">
        <f t="array" ref="K2853">IF(ROWS(K$20:K2853)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2853))))</f>
        <v/>
      </c>
      <c r="L2853" s="4" t="str">
        <f t="array" ref="L2853">IF(ROWS(L$20:L2853)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2853))))</f>
        <v/>
      </c>
      <c r="M2853" s="4" t="str">
        <f t="array" ref="M2853">IF(ROWS(M$20:M2853)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2853))))</f>
        <v/>
      </c>
    </row>
    <row r="2854" spans="1:13" x14ac:dyDescent="0.25">
      <c r="A2854" s="3">
        <v>41659</v>
      </c>
      <c r="B2854" s="2" t="s">
        <v>27</v>
      </c>
      <c r="C2854" s="2">
        <v>46</v>
      </c>
      <c r="G2854" s="7" t="str">
        <f t="array" ref="G2854">IF(ROWS(K$20:K2854)&gt;$F$6,"",INDEX(A$2:A$10000,SMALL(IF(ISNUMBER(MATCH($B$2:$B$10000,$E$6:$E$22,0)),ROW($C$2:$C$10000)-ROW($C$2)+1),ROWS(K$20:K2854))))</f>
        <v/>
      </c>
      <c r="H2854" s="4" t="str">
        <f t="array" ref="H2854">IF(ROWS(L$20:L2854)&gt;$F$6,"",INDEX(B$2:B$10000,SMALL(IF(ISNUMBER(MATCH($B$2:$B$10000,$E$6:$E$22,0)),ROW($C$2:$C$10000)-ROW($C$2)+1),ROWS(L$20:L2854))))</f>
        <v/>
      </c>
      <c r="I2854" s="4" t="str">
        <f t="array" ref="I2854">IF(ROWS(M$20:M2854)&gt;$F$6,"",INDEX(C$2:C$10000,SMALL(IF(ISNUMBER(MATCH($B$2:$B$10000,$E$6:$E$22,0)),ROW($C$2:$C$10000)-ROW($C$2)+1),ROWS(M$20:M2854))))</f>
        <v/>
      </c>
      <c r="K2854" s="7" t="str">
        <f t="array" ref="K2854">IF(ROWS(K$20:K2854)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2854))))</f>
        <v/>
      </c>
      <c r="L2854" s="4" t="str">
        <f t="array" ref="L2854">IF(ROWS(L$20:L2854)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2854))))</f>
        <v/>
      </c>
      <c r="M2854" s="4" t="str">
        <f t="array" ref="M2854">IF(ROWS(M$20:M2854)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2854))))</f>
        <v/>
      </c>
    </row>
    <row r="2855" spans="1:13" x14ac:dyDescent="0.25">
      <c r="A2855" s="3">
        <v>41536</v>
      </c>
      <c r="B2855" s="2" t="s">
        <v>44</v>
      </c>
      <c r="C2855" s="2">
        <v>0</v>
      </c>
      <c r="G2855" s="7" t="str">
        <f t="array" ref="G2855">IF(ROWS(K$20:K2855)&gt;$F$6,"",INDEX(A$2:A$10000,SMALL(IF(ISNUMBER(MATCH($B$2:$B$10000,$E$6:$E$22,0)),ROW($C$2:$C$10000)-ROW($C$2)+1),ROWS(K$20:K2855))))</f>
        <v/>
      </c>
      <c r="H2855" s="4" t="str">
        <f t="array" ref="H2855">IF(ROWS(L$20:L2855)&gt;$F$6,"",INDEX(B$2:B$10000,SMALL(IF(ISNUMBER(MATCH($B$2:$B$10000,$E$6:$E$22,0)),ROW($C$2:$C$10000)-ROW($C$2)+1),ROWS(L$20:L2855))))</f>
        <v/>
      </c>
      <c r="I2855" s="4" t="str">
        <f t="array" ref="I2855">IF(ROWS(M$20:M2855)&gt;$F$6,"",INDEX(C$2:C$10000,SMALL(IF(ISNUMBER(MATCH($B$2:$B$10000,$E$6:$E$22,0)),ROW($C$2:$C$10000)-ROW($C$2)+1),ROWS(M$20:M2855))))</f>
        <v/>
      </c>
      <c r="K2855" s="7" t="str">
        <f t="array" ref="K2855">IF(ROWS(K$20:K2855)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2855))))</f>
        <v/>
      </c>
      <c r="L2855" s="4" t="str">
        <f t="array" ref="L2855">IF(ROWS(L$20:L2855)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2855))))</f>
        <v/>
      </c>
      <c r="M2855" s="4" t="str">
        <f t="array" ref="M2855">IF(ROWS(M$20:M2855)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2855))))</f>
        <v/>
      </c>
    </row>
    <row r="2856" spans="1:13" x14ac:dyDescent="0.25">
      <c r="A2856" s="3">
        <v>41454</v>
      </c>
      <c r="B2856" s="2" t="s">
        <v>12</v>
      </c>
      <c r="C2856" s="2">
        <v>48</v>
      </c>
      <c r="G2856" s="7" t="str">
        <f t="array" ref="G2856">IF(ROWS(K$20:K2856)&gt;$F$6,"",INDEX(A$2:A$10000,SMALL(IF(ISNUMBER(MATCH($B$2:$B$10000,$E$6:$E$22,0)),ROW($C$2:$C$10000)-ROW($C$2)+1),ROWS(K$20:K2856))))</f>
        <v/>
      </c>
      <c r="H2856" s="4" t="str">
        <f t="array" ref="H2856">IF(ROWS(L$20:L2856)&gt;$F$6,"",INDEX(B$2:B$10000,SMALL(IF(ISNUMBER(MATCH($B$2:$B$10000,$E$6:$E$22,0)),ROW($C$2:$C$10000)-ROW($C$2)+1),ROWS(L$20:L2856))))</f>
        <v/>
      </c>
      <c r="I2856" s="4" t="str">
        <f t="array" ref="I2856">IF(ROWS(M$20:M2856)&gt;$F$6,"",INDEX(C$2:C$10000,SMALL(IF(ISNUMBER(MATCH($B$2:$B$10000,$E$6:$E$22,0)),ROW($C$2:$C$10000)-ROW($C$2)+1),ROWS(M$20:M2856))))</f>
        <v/>
      </c>
      <c r="K2856" s="7" t="str">
        <f t="array" ref="K2856">IF(ROWS(K$20:K2856)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2856))))</f>
        <v/>
      </c>
      <c r="L2856" s="4" t="str">
        <f t="array" ref="L2856">IF(ROWS(L$20:L2856)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2856))))</f>
        <v/>
      </c>
      <c r="M2856" s="4" t="str">
        <f t="array" ref="M2856">IF(ROWS(M$20:M2856)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2856))))</f>
        <v/>
      </c>
    </row>
    <row r="2857" spans="1:13" x14ac:dyDescent="0.25">
      <c r="A2857" s="3">
        <v>41470</v>
      </c>
      <c r="B2857" s="2" t="s">
        <v>47</v>
      </c>
      <c r="C2857" s="2">
        <v>10</v>
      </c>
      <c r="G2857" s="7" t="str">
        <f t="array" ref="G2857">IF(ROWS(K$20:K2857)&gt;$F$6,"",INDEX(A$2:A$10000,SMALL(IF(ISNUMBER(MATCH($B$2:$B$10000,$E$6:$E$22,0)),ROW($C$2:$C$10000)-ROW($C$2)+1),ROWS(K$20:K2857))))</f>
        <v/>
      </c>
      <c r="H2857" s="4" t="str">
        <f t="array" ref="H2857">IF(ROWS(L$20:L2857)&gt;$F$6,"",INDEX(B$2:B$10000,SMALL(IF(ISNUMBER(MATCH($B$2:$B$10000,$E$6:$E$22,0)),ROW($C$2:$C$10000)-ROW($C$2)+1),ROWS(L$20:L2857))))</f>
        <v/>
      </c>
      <c r="I2857" s="4" t="str">
        <f t="array" ref="I2857">IF(ROWS(M$20:M2857)&gt;$F$6,"",INDEX(C$2:C$10000,SMALL(IF(ISNUMBER(MATCH($B$2:$B$10000,$E$6:$E$22,0)),ROW($C$2:$C$10000)-ROW($C$2)+1),ROWS(M$20:M2857))))</f>
        <v/>
      </c>
      <c r="K2857" s="7" t="str">
        <f t="array" ref="K2857">IF(ROWS(K$20:K2857)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2857))))</f>
        <v/>
      </c>
      <c r="L2857" s="4" t="str">
        <f t="array" ref="L2857">IF(ROWS(L$20:L2857)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2857))))</f>
        <v/>
      </c>
      <c r="M2857" s="4" t="str">
        <f t="array" ref="M2857">IF(ROWS(M$20:M2857)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2857))))</f>
        <v/>
      </c>
    </row>
    <row r="2858" spans="1:13" x14ac:dyDescent="0.25">
      <c r="A2858" s="3">
        <v>41813</v>
      </c>
      <c r="B2858" s="2" t="s">
        <v>41</v>
      </c>
      <c r="C2858" s="2">
        <v>16</v>
      </c>
      <c r="G2858" s="7" t="str">
        <f t="array" ref="G2858">IF(ROWS(K$20:K2858)&gt;$F$6,"",INDEX(A$2:A$10000,SMALL(IF(ISNUMBER(MATCH($B$2:$B$10000,$E$6:$E$22,0)),ROW($C$2:$C$10000)-ROW($C$2)+1),ROWS(K$20:K2858))))</f>
        <v/>
      </c>
      <c r="H2858" s="4" t="str">
        <f t="array" ref="H2858">IF(ROWS(L$20:L2858)&gt;$F$6,"",INDEX(B$2:B$10000,SMALL(IF(ISNUMBER(MATCH($B$2:$B$10000,$E$6:$E$22,0)),ROW($C$2:$C$10000)-ROW($C$2)+1),ROWS(L$20:L2858))))</f>
        <v/>
      </c>
      <c r="I2858" s="4" t="str">
        <f t="array" ref="I2858">IF(ROWS(M$20:M2858)&gt;$F$6,"",INDEX(C$2:C$10000,SMALL(IF(ISNUMBER(MATCH($B$2:$B$10000,$E$6:$E$22,0)),ROW($C$2:$C$10000)-ROW($C$2)+1),ROWS(M$20:M2858))))</f>
        <v/>
      </c>
      <c r="K2858" s="7" t="str">
        <f t="array" ref="K2858">IF(ROWS(K$20:K2858)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2858))))</f>
        <v/>
      </c>
      <c r="L2858" s="4" t="str">
        <f t="array" ref="L2858">IF(ROWS(L$20:L2858)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2858))))</f>
        <v/>
      </c>
      <c r="M2858" s="4" t="str">
        <f t="array" ref="M2858">IF(ROWS(M$20:M2858)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2858))))</f>
        <v/>
      </c>
    </row>
    <row r="2859" spans="1:13" x14ac:dyDescent="0.25">
      <c r="A2859" s="3">
        <v>41877</v>
      </c>
      <c r="B2859" s="2" t="s">
        <v>21</v>
      </c>
      <c r="C2859" s="2">
        <v>34</v>
      </c>
      <c r="G2859" s="7" t="str">
        <f t="array" ref="G2859">IF(ROWS(K$20:K2859)&gt;$F$6,"",INDEX(A$2:A$10000,SMALL(IF(ISNUMBER(MATCH($B$2:$B$10000,$E$6:$E$22,0)),ROW($C$2:$C$10000)-ROW($C$2)+1),ROWS(K$20:K2859))))</f>
        <v/>
      </c>
      <c r="H2859" s="4" t="str">
        <f t="array" ref="H2859">IF(ROWS(L$20:L2859)&gt;$F$6,"",INDEX(B$2:B$10000,SMALL(IF(ISNUMBER(MATCH($B$2:$B$10000,$E$6:$E$22,0)),ROW($C$2:$C$10000)-ROW($C$2)+1),ROWS(L$20:L2859))))</f>
        <v/>
      </c>
      <c r="I2859" s="4" t="str">
        <f t="array" ref="I2859">IF(ROWS(M$20:M2859)&gt;$F$6,"",INDEX(C$2:C$10000,SMALL(IF(ISNUMBER(MATCH($B$2:$B$10000,$E$6:$E$22,0)),ROW($C$2:$C$10000)-ROW($C$2)+1),ROWS(M$20:M2859))))</f>
        <v/>
      </c>
      <c r="K2859" s="7" t="str">
        <f t="array" ref="K2859">IF(ROWS(K$20:K2859)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2859))))</f>
        <v/>
      </c>
      <c r="L2859" s="4" t="str">
        <f t="array" ref="L2859">IF(ROWS(L$20:L2859)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2859))))</f>
        <v/>
      </c>
      <c r="M2859" s="4" t="str">
        <f t="array" ref="M2859">IF(ROWS(M$20:M2859)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2859))))</f>
        <v/>
      </c>
    </row>
    <row r="2860" spans="1:13" x14ac:dyDescent="0.25">
      <c r="A2860" s="3">
        <v>41280</v>
      </c>
      <c r="B2860" s="2" t="s">
        <v>29</v>
      </c>
      <c r="C2860" s="2">
        <v>15</v>
      </c>
      <c r="G2860" s="7" t="str">
        <f t="array" ref="G2860">IF(ROWS(K$20:K2860)&gt;$F$6,"",INDEX(A$2:A$10000,SMALL(IF(ISNUMBER(MATCH($B$2:$B$10000,$E$6:$E$22,0)),ROW($C$2:$C$10000)-ROW($C$2)+1),ROWS(K$20:K2860))))</f>
        <v/>
      </c>
      <c r="H2860" s="4" t="str">
        <f t="array" ref="H2860">IF(ROWS(L$20:L2860)&gt;$F$6,"",INDEX(B$2:B$10000,SMALL(IF(ISNUMBER(MATCH($B$2:$B$10000,$E$6:$E$22,0)),ROW($C$2:$C$10000)-ROW($C$2)+1),ROWS(L$20:L2860))))</f>
        <v/>
      </c>
      <c r="I2860" s="4" t="str">
        <f t="array" ref="I2860">IF(ROWS(M$20:M2860)&gt;$F$6,"",INDEX(C$2:C$10000,SMALL(IF(ISNUMBER(MATCH($B$2:$B$10000,$E$6:$E$22,0)),ROW($C$2:$C$10000)-ROW($C$2)+1),ROWS(M$20:M2860))))</f>
        <v/>
      </c>
      <c r="K2860" s="7" t="str">
        <f t="array" ref="K2860">IF(ROWS(K$20:K2860)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2860))))</f>
        <v/>
      </c>
      <c r="L2860" s="4" t="str">
        <f t="array" ref="L2860">IF(ROWS(L$20:L2860)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2860))))</f>
        <v/>
      </c>
      <c r="M2860" s="4" t="str">
        <f t="array" ref="M2860">IF(ROWS(M$20:M2860)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2860))))</f>
        <v/>
      </c>
    </row>
    <row r="2861" spans="1:13" x14ac:dyDescent="0.25">
      <c r="A2861" s="3">
        <v>41330</v>
      </c>
      <c r="B2861" s="2" t="s">
        <v>9</v>
      </c>
      <c r="C2861" s="2">
        <v>35</v>
      </c>
      <c r="G2861" s="7" t="str">
        <f t="array" ref="G2861">IF(ROWS(K$20:K2861)&gt;$F$6,"",INDEX(A$2:A$10000,SMALL(IF(ISNUMBER(MATCH($B$2:$B$10000,$E$6:$E$22,0)),ROW($C$2:$C$10000)-ROW($C$2)+1),ROWS(K$20:K2861))))</f>
        <v/>
      </c>
      <c r="H2861" s="4" t="str">
        <f t="array" ref="H2861">IF(ROWS(L$20:L2861)&gt;$F$6,"",INDEX(B$2:B$10000,SMALL(IF(ISNUMBER(MATCH($B$2:$B$10000,$E$6:$E$22,0)),ROW($C$2:$C$10000)-ROW($C$2)+1),ROWS(L$20:L2861))))</f>
        <v/>
      </c>
      <c r="I2861" s="4" t="str">
        <f t="array" ref="I2861">IF(ROWS(M$20:M2861)&gt;$F$6,"",INDEX(C$2:C$10000,SMALL(IF(ISNUMBER(MATCH($B$2:$B$10000,$E$6:$E$22,0)),ROW($C$2:$C$10000)-ROW($C$2)+1),ROWS(M$20:M2861))))</f>
        <v/>
      </c>
      <c r="K2861" s="7" t="str">
        <f t="array" ref="K2861">IF(ROWS(K$20:K2861)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2861))))</f>
        <v/>
      </c>
      <c r="L2861" s="4" t="str">
        <f t="array" ref="L2861">IF(ROWS(L$20:L2861)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2861))))</f>
        <v/>
      </c>
      <c r="M2861" s="4" t="str">
        <f t="array" ref="M2861">IF(ROWS(M$20:M2861)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2861))))</f>
        <v/>
      </c>
    </row>
    <row r="2862" spans="1:13" x14ac:dyDescent="0.25">
      <c r="A2862" s="3">
        <v>41285</v>
      </c>
      <c r="B2862" s="2" t="s">
        <v>31</v>
      </c>
      <c r="C2862" s="2">
        <v>20</v>
      </c>
      <c r="G2862" s="7" t="str">
        <f t="array" ref="G2862">IF(ROWS(K$20:K2862)&gt;$F$6,"",INDEX(A$2:A$10000,SMALL(IF(ISNUMBER(MATCH($B$2:$B$10000,$E$6:$E$22,0)),ROW($C$2:$C$10000)-ROW($C$2)+1),ROWS(K$20:K2862))))</f>
        <v/>
      </c>
      <c r="H2862" s="4" t="str">
        <f t="array" ref="H2862">IF(ROWS(L$20:L2862)&gt;$F$6,"",INDEX(B$2:B$10000,SMALL(IF(ISNUMBER(MATCH($B$2:$B$10000,$E$6:$E$22,0)),ROW($C$2:$C$10000)-ROW($C$2)+1),ROWS(L$20:L2862))))</f>
        <v/>
      </c>
      <c r="I2862" s="4" t="str">
        <f t="array" ref="I2862">IF(ROWS(M$20:M2862)&gt;$F$6,"",INDEX(C$2:C$10000,SMALL(IF(ISNUMBER(MATCH($B$2:$B$10000,$E$6:$E$22,0)),ROW($C$2:$C$10000)-ROW($C$2)+1),ROWS(M$20:M2862))))</f>
        <v/>
      </c>
      <c r="K2862" s="7" t="str">
        <f t="array" ref="K2862">IF(ROWS(K$20:K2862)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2862))))</f>
        <v/>
      </c>
      <c r="L2862" s="4" t="str">
        <f t="array" ref="L2862">IF(ROWS(L$20:L2862)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2862))))</f>
        <v/>
      </c>
      <c r="M2862" s="4" t="str">
        <f t="array" ref="M2862">IF(ROWS(M$20:M2862)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2862))))</f>
        <v/>
      </c>
    </row>
    <row r="2863" spans="1:13" x14ac:dyDescent="0.25">
      <c r="A2863" s="3">
        <v>41727</v>
      </c>
      <c r="B2863" s="2" t="s">
        <v>44</v>
      </c>
      <c r="C2863" s="2">
        <v>10</v>
      </c>
      <c r="G2863" s="7" t="str">
        <f t="array" ref="G2863">IF(ROWS(K$20:K2863)&gt;$F$6,"",INDEX(A$2:A$10000,SMALL(IF(ISNUMBER(MATCH($B$2:$B$10000,$E$6:$E$22,0)),ROW($C$2:$C$10000)-ROW($C$2)+1),ROWS(K$20:K2863))))</f>
        <v/>
      </c>
      <c r="H2863" s="4" t="str">
        <f t="array" ref="H2863">IF(ROWS(L$20:L2863)&gt;$F$6,"",INDEX(B$2:B$10000,SMALL(IF(ISNUMBER(MATCH($B$2:$B$10000,$E$6:$E$22,0)),ROW($C$2:$C$10000)-ROW($C$2)+1),ROWS(L$20:L2863))))</f>
        <v/>
      </c>
      <c r="I2863" s="4" t="str">
        <f t="array" ref="I2863">IF(ROWS(M$20:M2863)&gt;$F$6,"",INDEX(C$2:C$10000,SMALL(IF(ISNUMBER(MATCH($B$2:$B$10000,$E$6:$E$22,0)),ROW($C$2:$C$10000)-ROW($C$2)+1),ROWS(M$20:M2863))))</f>
        <v/>
      </c>
      <c r="K2863" s="7" t="str">
        <f t="array" ref="K2863">IF(ROWS(K$20:K2863)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2863))))</f>
        <v/>
      </c>
      <c r="L2863" s="4" t="str">
        <f t="array" ref="L2863">IF(ROWS(L$20:L2863)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2863))))</f>
        <v/>
      </c>
      <c r="M2863" s="4" t="str">
        <f t="array" ref="M2863">IF(ROWS(M$20:M2863)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2863))))</f>
        <v/>
      </c>
    </row>
    <row r="2864" spans="1:13" x14ac:dyDescent="0.25">
      <c r="A2864" s="3">
        <v>41703</v>
      </c>
      <c r="B2864" s="2" t="s">
        <v>35</v>
      </c>
      <c r="C2864" s="2">
        <v>10</v>
      </c>
      <c r="G2864" s="7" t="str">
        <f t="array" ref="G2864">IF(ROWS(K$20:K2864)&gt;$F$6,"",INDEX(A$2:A$10000,SMALL(IF(ISNUMBER(MATCH($B$2:$B$10000,$E$6:$E$22,0)),ROW($C$2:$C$10000)-ROW($C$2)+1),ROWS(K$20:K2864))))</f>
        <v/>
      </c>
      <c r="H2864" s="4" t="str">
        <f t="array" ref="H2864">IF(ROWS(L$20:L2864)&gt;$F$6,"",INDEX(B$2:B$10000,SMALL(IF(ISNUMBER(MATCH($B$2:$B$10000,$E$6:$E$22,0)),ROW($C$2:$C$10000)-ROW($C$2)+1),ROWS(L$20:L2864))))</f>
        <v/>
      </c>
      <c r="I2864" s="4" t="str">
        <f t="array" ref="I2864">IF(ROWS(M$20:M2864)&gt;$F$6,"",INDEX(C$2:C$10000,SMALL(IF(ISNUMBER(MATCH($B$2:$B$10000,$E$6:$E$22,0)),ROW($C$2:$C$10000)-ROW($C$2)+1),ROWS(M$20:M2864))))</f>
        <v/>
      </c>
      <c r="K2864" s="7" t="str">
        <f t="array" ref="K2864">IF(ROWS(K$20:K2864)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2864))))</f>
        <v/>
      </c>
      <c r="L2864" s="4" t="str">
        <f t="array" ref="L2864">IF(ROWS(L$20:L2864)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2864))))</f>
        <v/>
      </c>
      <c r="M2864" s="4" t="str">
        <f t="array" ref="M2864">IF(ROWS(M$20:M2864)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2864))))</f>
        <v/>
      </c>
    </row>
    <row r="2865" spans="1:13" x14ac:dyDescent="0.25">
      <c r="A2865" s="3">
        <v>41678</v>
      </c>
      <c r="B2865" s="2" t="s">
        <v>37</v>
      </c>
      <c r="C2865" s="2">
        <v>26</v>
      </c>
      <c r="G2865" s="7" t="str">
        <f t="array" ref="G2865">IF(ROWS(K$20:K2865)&gt;$F$6,"",INDEX(A$2:A$10000,SMALL(IF(ISNUMBER(MATCH($B$2:$B$10000,$E$6:$E$22,0)),ROW($C$2:$C$10000)-ROW($C$2)+1),ROWS(K$20:K2865))))</f>
        <v/>
      </c>
      <c r="H2865" s="4" t="str">
        <f t="array" ref="H2865">IF(ROWS(L$20:L2865)&gt;$F$6,"",INDEX(B$2:B$10000,SMALL(IF(ISNUMBER(MATCH($B$2:$B$10000,$E$6:$E$22,0)),ROW($C$2:$C$10000)-ROW($C$2)+1),ROWS(L$20:L2865))))</f>
        <v/>
      </c>
      <c r="I2865" s="4" t="str">
        <f t="array" ref="I2865">IF(ROWS(M$20:M2865)&gt;$F$6,"",INDEX(C$2:C$10000,SMALL(IF(ISNUMBER(MATCH($B$2:$B$10000,$E$6:$E$22,0)),ROW($C$2:$C$10000)-ROW($C$2)+1),ROWS(M$20:M2865))))</f>
        <v/>
      </c>
      <c r="K2865" s="7" t="str">
        <f t="array" ref="K2865">IF(ROWS(K$20:K2865)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2865))))</f>
        <v/>
      </c>
      <c r="L2865" s="4" t="str">
        <f t="array" ref="L2865">IF(ROWS(L$20:L2865)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2865))))</f>
        <v/>
      </c>
      <c r="M2865" s="4" t="str">
        <f t="array" ref="M2865">IF(ROWS(M$20:M2865)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2865))))</f>
        <v/>
      </c>
    </row>
    <row r="2866" spans="1:13" x14ac:dyDescent="0.25">
      <c r="A2866" s="3">
        <v>41864</v>
      </c>
      <c r="B2866" s="2" t="s">
        <v>4</v>
      </c>
      <c r="C2866" s="2">
        <v>35</v>
      </c>
      <c r="G2866" s="7" t="str">
        <f t="array" ref="G2866">IF(ROWS(K$20:K2866)&gt;$F$6,"",INDEX(A$2:A$10000,SMALL(IF(ISNUMBER(MATCH($B$2:$B$10000,$E$6:$E$22,0)),ROW($C$2:$C$10000)-ROW($C$2)+1),ROWS(K$20:K2866))))</f>
        <v/>
      </c>
      <c r="H2866" s="4" t="str">
        <f t="array" ref="H2866">IF(ROWS(L$20:L2866)&gt;$F$6,"",INDEX(B$2:B$10000,SMALL(IF(ISNUMBER(MATCH($B$2:$B$10000,$E$6:$E$22,0)),ROW($C$2:$C$10000)-ROW($C$2)+1),ROWS(L$20:L2866))))</f>
        <v/>
      </c>
      <c r="I2866" s="4" t="str">
        <f t="array" ref="I2866">IF(ROWS(M$20:M2866)&gt;$F$6,"",INDEX(C$2:C$10000,SMALL(IF(ISNUMBER(MATCH($B$2:$B$10000,$E$6:$E$22,0)),ROW($C$2:$C$10000)-ROW($C$2)+1),ROWS(M$20:M2866))))</f>
        <v/>
      </c>
      <c r="K2866" s="7" t="str">
        <f t="array" ref="K2866">IF(ROWS(K$20:K2866)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2866))))</f>
        <v/>
      </c>
      <c r="L2866" s="4" t="str">
        <f t="array" ref="L2866">IF(ROWS(L$20:L2866)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2866))))</f>
        <v/>
      </c>
      <c r="M2866" s="4" t="str">
        <f t="array" ref="M2866">IF(ROWS(M$20:M2866)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2866))))</f>
        <v/>
      </c>
    </row>
    <row r="2867" spans="1:13" x14ac:dyDescent="0.25">
      <c r="A2867" s="3">
        <v>41718</v>
      </c>
      <c r="B2867" s="2" t="s">
        <v>36</v>
      </c>
      <c r="C2867" s="2">
        <v>42</v>
      </c>
      <c r="G2867" s="7" t="str">
        <f t="array" ref="G2867">IF(ROWS(K$20:K2867)&gt;$F$6,"",INDEX(A$2:A$10000,SMALL(IF(ISNUMBER(MATCH($B$2:$B$10000,$E$6:$E$22,0)),ROW($C$2:$C$10000)-ROW($C$2)+1),ROWS(K$20:K2867))))</f>
        <v/>
      </c>
      <c r="H2867" s="4" t="str">
        <f t="array" ref="H2867">IF(ROWS(L$20:L2867)&gt;$F$6,"",INDEX(B$2:B$10000,SMALL(IF(ISNUMBER(MATCH($B$2:$B$10000,$E$6:$E$22,0)),ROW($C$2:$C$10000)-ROW($C$2)+1),ROWS(L$20:L2867))))</f>
        <v/>
      </c>
      <c r="I2867" s="4" t="str">
        <f t="array" ref="I2867">IF(ROWS(M$20:M2867)&gt;$F$6,"",INDEX(C$2:C$10000,SMALL(IF(ISNUMBER(MATCH($B$2:$B$10000,$E$6:$E$22,0)),ROW($C$2:$C$10000)-ROW($C$2)+1),ROWS(M$20:M2867))))</f>
        <v/>
      </c>
      <c r="K2867" s="7" t="str">
        <f t="array" ref="K2867">IF(ROWS(K$20:K2867)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2867))))</f>
        <v/>
      </c>
      <c r="L2867" s="4" t="str">
        <f t="array" ref="L2867">IF(ROWS(L$20:L2867)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2867))))</f>
        <v/>
      </c>
      <c r="M2867" s="4" t="str">
        <f t="array" ref="M2867">IF(ROWS(M$20:M2867)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2867))))</f>
        <v/>
      </c>
    </row>
    <row r="2868" spans="1:13" x14ac:dyDescent="0.25">
      <c r="A2868" s="3">
        <v>41423</v>
      </c>
      <c r="B2868" s="2" t="s">
        <v>42</v>
      </c>
      <c r="C2868" s="2">
        <v>17</v>
      </c>
      <c r="G2868" s="7" t="str">
        <f t="array" ref="G2868">IF(ROWS(K$20:K2868)&gt;$F$6,"",INDEX(A$2:A$10000,SMALL(IF(ISNUMBER(MATCH($B$2:$B$10000,$E$6:$E$22,0)),ROW($C$2:$C$10000)-ROW($C$2)+1),ROWS(K$20:K2868))))</f>
        <v/>
      </c>
      <c r="H2868" s="4" t="str">
        <f t="array" ref="H2868">IF(ROWS(L$20:L2868)&gt;$F$6,"",INDEX(B$2:B$10000,SMALL(IF(ISNUMBER(MATCH($B$2:$B$10000,$E$6:$E$22,0)),ROW($C$2:$C$10000)-ROW($C$2)+1),ROWS(L$20:L2868))))</f>
        <v/>
      </c>
      <c r="I2868" s="4" t="str">
        <f t="array" ref="I2868">IF(ROWS(M$20:M2868)&gt;$F$6,"",INDEX(C$2:C$10000,SMALL(IF(ISNUMBER(MATCH($B$2:$B$10000,$E$6:$E$22,0)),ROW($C$2:$C$10000)-ROW($C$2)+1),ROWS(M$20:M2868))))</f>
        <v/>
      </c>
      <c r="K2868" s="7" t="str">
        <f t="array" ref="K2868">IF(ROWS(K$20:K2868)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2868))))</f>
        <v/>
      </c>
      <c r="L2868" s="4" t="str">
        <f t="array" ref="L2868">IF(ROWS(L$20:L2868)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2868))))</f>
        <v/>
      </c>
      <c r="M2868" s="4" t="str">
        <f t="array" ref="M2868">IF(ROWS(M$20:M2868)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2868))))</f>
        <v/>
      </c>
    </row>
    <row r="2869" spans="1:13" x14ac:dyDescent="0.25">
      <c r="A2869" s="3">
        <v>41850</v>
      </c>
      <c r="B2869" s="2" t="s">
        <v>21</v>
      </c>
      <c r="C2869" s="2">
        <v>14</v>
      </c>
      <c r="G2869" s="7" t="str">
        <f t="array" ref="G2869">IF(ROWS(K$20:K2869)&gt;$F$6,"",INDEX(A$2:A$10000,SMALL(IF(ISNUMBER(MATCH($B$2:$B$10000,$E$6:$E$22,0)),ROW($C$2:$C$10000)-ROW($C$2)+1),ROWS(K$20:K2869))))</f>
        <v/>
      </c>
      <c r="H2869" s="4" t="str">
        <f t="array" ref="H2869">IF(ROWS(L$20:L2869)&gt;$F$6,"",INDEX(B$2:B$10000,SMALL(IF(ISNUMBER(MATCH($B$2:$B$10000,$E$6:$E$22,0)),ROW($C$2:$C$10000)-ROW($C$2)+1),ROWS(L$20:L2869))))</f>
        <v/>
      </c>
      <c r="I2869" s="4" t="str">
        <f t="array" ref="I2869">IF(ROWS(M$20:M2869)&gt;$F$6,"",INDEX(C$2:C$10000,SMALL(IF(ISNUMBER(MATCH($B$2:$B$10000,$E$6:$E$22,0)),ROW($C$2:$C$10000)-ROW($C$2)+1),ROWS(M$20:M2869))))</f>
        <v/>
      </c>
      <c r="K2869" s="7" t="str">
        <f t="array" ref="K2869">IF(ROWS(K$20:K2869)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2869))))</f>
        <v/>
      </c>
      <c r="L2869" s="4" t="str">
        <f t="array" ref="L2869">IF(ROWS(L$20:L2869)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2869))))</f>
        <v/>
      </c>
      <c r="M2869" s="4" t="str">
        <f t="array" ref="M2869">IF(ROWS(M$20:M2869)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2869))))</f>
        <v/>
      </c>
    </row>
    <row r="2870" spans="1:13" x14ac:dyDescent="0.25">
      <c r="A2870" s="3">
        <v>41280</v>
      </c>
      <c r="B2870" s="2" t="s">
        <v>37</v>
      </c>
      <c r="C2870" s="2">
        <v>42</v>
      </c>
      <c r="G2870" s="7" t="str">
        <f t="array" ref="G2870">IF(ROWS(K$20:K2870)&gt;$F$6,"",INDEX(A$2:A$10000,SMALL(IF(ISNUMBER(MATCH($B$2:$B$10000,$E$6:$E$22,0)),ROW($C$2:$C$10000)-ROW($C$2)+1),ROWS(K$20:K2870))))</f>
        <v/>
      </c>
      <c r="H2870" s="4" t="str">
        <f t="array" ref="H2870">IF(ROWS(L$20:L2870)&gt;$F$6,"",INDEX(B$2:B$10000,SMALL(IF(ISNUMBER(MATCH($B$2:$B$10000,$E$6:$E$22,0)),ROW($C$2:$C$10000)-ROW($C$2)+1),ROWS(L$20:L2870))))</f>
        <v/>
      </c>
      <c r="I2870" s="4" t="str">
        <f t="array" ref="I2870">IF(ROWS(M$20:M2870)&gt;$F$6,"",INDEX(C$2:C$10000,SMALL(IF(ISNUMBER(MATCH($B$2:$B$10000,$E$6:$E$22,0)),ROW($C$2:$C$10000)-ROW($C$2)+1),ROWS(M$20:M2870))))</f>
        <v/>
      </c>
      <c r="K2870" s="7" t="str">
        <f t="array" ref="K2870">IF(ROWS(K$20:K2870)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2870))))</f>
        <v/>
      </c>
      <c r="L2870" s="4" t="str">
        <f t="array" ref="L2870">IF(ROWS(L$20:L2870)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2870))))</f>
        <v/>
      </c>
      <c r="M2870" s="4" t="str">
        <f t="array" ref="M2870">IF(ROWS(M$20:M2870)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2870))))</f>
        <v/>
      </c>
    </row>
    <row r="2871" spans="1:13" x14ac:dyDescent="0.25">
      <c r="A2871" s="3">
        <v>41681</v>
      </c>
      <c r="B2871" s="2" t="s">
        <v>11</v>
      </c>
      <c r="C2871" s="2">
        <v>24</v>
      </c>
      <c r="G2871" s="7" t="str">
        <f t="array" ref="G2871">IF(ROWS(K$20:K2871)&gt;$F$6,"",INDEX(A$2:A$10000,SMALL(IF(ISNUMBER(MATCH($B$2:$B$10000,$E$6:$E$22,0)),ROW($C$2:$C$10000)-ROW($C$2)+1),ROWS(K$20:K2871))))</f>
        <v/>
      </c>
      <c r="H2871" s="4" t="str">
        <f t="array" ref="H2871">IF(ROWS(L$20:L2871)&gt;$F$6,"",INDEX(B$2:B$10000,SMALL(IF(ISNUMBER(MATCH($B$2:$B$10000,$E$6:$E$22,0)),ROW($C$2:$C$10000)-ROW($C$2)+1),ROWS(L$20:L2871))))</f>
        <v/>
      </c>
      <c r="I2871" s="4" t="str">
        <f t="array" ref="I2871">IF(ROWS(M$20:M2871)&gt;$F$6,"",INDEX(C$2:C$10000,SMALL(IF(ISNUMBER(MATCH($B$2:$B$10000,$E$6:$E$22,0)),ROW($C$2:$C$10000)-ROW($C$2)+1),ROWS(M$20:M2871))))</f>
        <v/>
      </c>
      <c r="K2871" s="7" t="str">
        <f t="array" ref="K2871">IF(ROWS(K$20:K2871)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2871))))</f>
        <v/>
      </c>
      <c r="L2871" s="4" t="str">
        <f t="array" ref="L2871">IF(ROWS(L$20:L2871)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2871))))</f>
        <v/>
      </c>
      <c r="M2871" s="4" t="str">
        <f t="array" ref="M2871">IF(ROWS(M$20:M2871)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2871))))</f>
        <v/>
      </c>
    </row>
    <row r="2872" spans="1:13" x14ac:dyDescent="0.25">
      <c r="A2872" s="3">
        <v>41899</v>
      </c>
      <c r="B2872" s="2" t="s">
        <v>34</v>
      </c>
      <c r="C2872" s="2">
        <v>43</v>
      </c>
      <c r="G2872" s="7" t="str">
        <f t="array" ref="G2872">IF(ROWS(K$20:K2872)&gt;$F$6,"",INDEX(A$2:A$10000,SMALL(IF(ISNUMBER(MATCH($B$2:$B$10000,$E$6:$E$22,0)),ROW($C$2:$C$10000)-ROW($C$2)+1),ROWS(K$20:K2872))))</f>
        <v/>
      </c>
      <c r="H2872" s="4" t="str">
        <f t="array" ref="H2872">IF(ROWS(L$20:L2872)&gt;$F$6,"",INDEX(B$2:B$10000,SMALL(IF(ISNUMBER(MATCH($B$2:$B$10000,$E$6:$E$22,0)),ROW($C$2:$C$10000)-ROW($C$2)+1),ROWS(L$20:L2872))))</f>
        <v/>
      </c>
      <c r="I2872" s="4" t="str">
        <f t="array" ref="I2872">IF(ROWS(M$20:M2872)&gt;$F$6,"",INDEX(C$2:C$10000,SMALL(IF(ISNUMBER(MATCH($B$2:$B$10000,$E$6:$E$22,0)),ROW($C$2:$C$10000)-ROW($C$2)+1),ROWS(M$20:M2872))))</f>
        <v/>
      </c>
      <c r="K2872" s="7" t="str">
        <f t="array" ref="K2872">IF(ROWS(K$20:K2872)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2872))))</f>
        <v/>
      </c>
      <c r="L2872" s="4" t="str">
        <f t="array" ref="L2872">IF(ROWS(L$20:L2872)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2872))))</f>
        <v/>
      </c>
      <c r="M2872" s="4" t="str">
        <f t="array" ref="M2872">IF(ROWS(M$20:M2872)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2872))))</f>
        <v/>
      </c>
    </row>
    <row r="2873" spans="1:13" x14ac:dyDescent="0.25">
      <c r="A2873" s="3">
        <v>41483</v>
      </c>
      <c r="B2873" s="2" t="s">
        <v>5</v>
      </c>
      <c r="C2873" s="2">
        <v>32</v>
      </c>
      <c r="G2873" s="7" t="str">
        <f t="array" ref="G2873">IF(ROWS(K$20:K2873)&gt;$F$6,"",INDEX(A$2:A$10000,SMALL(IF(ISNUMBER(MATCH($B$2:$B$10000,$E$6:$E$22,0)),ROW($C$2:$C$10000)-ROW($C$2)+1),ROWS(K$20:K2873))))</f>
        <v/>
      </c>
      <c r="H2873" s="4" t="str">
        <f t="array" ref="H2873">IF(ROWS(L$20:L2873)&gt;$F$6,"",INDEX(B$2:B$10000,SMALL(IF(ISNUMBER(MATCH($B$2:$B$10000,$E$6:$E$22,0)),ROW($C$2:$C$10000)-ROW($C$2)+1),ROWS(L$20:L2873))))</f>
        <v/>
      </c>
      <c r="I2873" s="4" t="str">
        <f t="array" ref="I2873">IF(ROWS(M$20:M2873)&gt;$F$6,"",INDEX(C$2:C$10000,SMALL(IF(ISNUMBER(MATCH($B$2:$B$10000,$E$6:$E$22,0)),ROW($C$2:$C$10000)-ROW($C$2)+1),ROWS(M$20:M2873))))</f>
        <v/>
      </c>
      <c r="K2873" s="7" t="str">
        <f t="array" ref="K2873">IF(ROWS(K$20:K2873)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2873))))</f>
        <v/>
      </c>
      <c r="L2873" s="4" t="str">
        <f t="array" ref="L2873">IF(ROWS(L$20:L2873)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2873))))</f>
        <v/>
      </c>
      <c r="M2873" s="4" t="str">
        <f t="array" ref="M2873">IF(ROWS(M$20:M2873)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2873))))</f>
        <v/>
      </c>
    </row>
    <row r="2874" spans="1:13" x14ac:dyDescent="0.25">
      <c r="A2874" s="3">
        <v>41626</v>
      </c>
      <c r="B2874" s="2" t="s">
        <v>15</v>
      </c>
      <c r="C2874" s="2">
        <v>15</v>
      </c>
      <c r="G2874" s="7" t="str">
        <f t="array" ref="G2874">IF(ROWS(K$20:K2874)&gt;$F$6,"",INDEX(A$2:A$10000,SMALL(IF(ISNUMBER(MATCH($B$2:$B$10000,$E$6:$E$22,0)),ROW($C$2:$C$10000)-ROW($C$2)+1),ROWS(K$20:K2874))))</f>
        <v/>
      </c>
      <c r="H2874" s="4" t="str">
        <f t="array" ref="H2874">IF(ROWS(L$20:L2874)&gt;$F$6,"",INDEX(B$2:B$10000,SMALL(IF(ISNUMBER(MATCH($B$2:$B$10000,$E$6:$E$22,0)),ROW($C$2:$C$10000)-ROW($C$2)+1),ROWS(L$20:L2874))))</f>
        <v/>
      </c>
      <c r="I2874" s="4" t="str">
        <f t="array" ref="I2874">IF(ROWS(M$20:M2874)&gt;$F$6,"",INDEX(C$2:C$10000,SMALL(IF(ISNUMBER(MATCH($B$2:$B$10000,$E$6:$E$22,0)),ROW($C$2:$C$10000)-ROW($C$2)+1),ROWS(M$20:M2874))))</f>
        <v/>
      </c>
      <c r="K2874" s="7" t="str">
        <f t="array" ref="K2874">IF(ROWS(K$20:K2874)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2874))))</f>
        <v/>
      </c>
      <c r="L2874" s="4" t="str">
        <f t="array" ref="L2874">IF(ROWS(L$20:L2874)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2874))))</f>
        <v/>
      </c>
      <c r="M2874" s="4" t="str">
        <f t="array" ref="M2874">IF(ROWS(M$20:M2874)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2874))))</f>
        <v/>
      </c>
    </row>
    <row r="2875" spans="1:13" x14ac:dyDescent="0.25">
      <c r="A2875" s="3">
        <v>41922</v>
      </c>
      <c r="B2875" s="2" t="s">
        <v>12</v>
      </c>
      <c r="C2875" s="2">
        <v>20</v>
      </c>
      <c r="G2875" s="7" t="str">
        <f t="array" ref="G2875">IF(ROWS(K$20:K2875)&gt;$F$6,"",INDEX(A$2:A$10000,SMALL(IF(ISNUMBER(MATCH($B$2:$B$10000,$E$6:$E$22,0)),ROW($C$2:$C$10000)-ROW($C$2)+1),ROWS(K$20:K2875))))</f>
        <v/>
      </c>
      <c r="H2875" s="4" t="str">
        <f t="array" ref="H2875">IF(ROWS(L$20:L2875)&gt;$F$6,"",INDEX(B$2:B$10000,SMALL(IF(ISNUMBER(MATCH($B$2:$B$10000,$E$6:$E$22,0)),ROW($C$2:$C$10000)-ROW($C$2)+1),ROWS(L$20:L2875))))</f>
        <v/>
      </c>
      <c r="I2875" s="4" t="str">
        <f t="array" ref="I2875">IF(ROWS(M$20:M2875)&gt;$F$6,"",INDEX(C$2:C$10000,SMALL(IF(ISNUMBER(MATCH($B$2:$B$10000,$E$6:$E$22,0)),ROW($C$2:$C$10000)-ROW($C$2)+1),ROWS(M$20:M2875))))</f>
        <v/>
      </c>
      <c r="K2875" s="7" t="str">
        <f t="array" ref="K2875">IF(ROWS(K$20:K2875)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2875))))</f>
        <v/>
      </c>
      <c r="L2875" s="4" t="str">
        <f t="array" ref="L2875">IF(ROWS(L$20:L2875)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2875))))</f>
        <v/>
      </c>
      <c r="M2875" s="4" t="str">
        <f t="array" ref="M2875">IF(ROWS(M$20:M2875)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2875))))</f>
        <v/>
      </c>
    </row>
    <row r="2876" spans="1:13" x14ac:dyDescent="0.25">
      <c r="A2876" s="3">
        <v>41995</v>
      </c>
      <c r="B2876" s="2" t="s">
        <v>30</v>
      </c>
      <c r="C2876" s="2">
        <v>15</v>
      </c>
      <c r="G2876" s="7" t="str">
        <f t="array" ref="G2876">IF(ROWS(K$20:K2876)&gt;$F$6,"",INDEX(A$2:A$10000,SMALL(IF(ISNUMBER(MATCH($B$2:$B$10000,$E$6:$E$22,0)),ROW($C$2:$C$10000)-ROW($C$2)+1),ROWS(K$20:K2876))))</f>
        <v/>
      </c>
      <c r="H2876" s="4" t="str">
        <f t="array" ref="H2876">IF(ROWS(L$20:L2876)&gt;$F$6,"",INDEX(B$2:B$10000,SMALL(IF(ISNUMBER(MATCH($B$2:$B$10000,$E$6:$E$22,0)),ROW($C$2:$C$10000)-ROW($C$2)+1),ROWS(L$20:L2876))))</f>
        <v/>
      </c>
      <c r="I2876" s="4" t="str">
        <f t="array" ref="I2876">IF(ROWS(M$20:M2876)&gt;$F$6,"",INDEX(C$2:C$10000,SMALL(IF(ISNUMBER(MATCH($B$2:$B$10000,$E$6:$E$22,0)),ROW($C$2:$C$10000)-ROW($C$2)+1),ROWS(M$20:M2876))))</f>
        <v/>
      </c>
      <c r="K2876" s="7" t="str">
        <f t="array" ref="K2876">IF(ROWS(K$20:K2876)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2876))))</f>
        <v/>
      </c>
      <c r="L2876" s="4" t="str">
        <f t="array" ref="L2876">IF(ROWS(L$20:L2876)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2876))))</f>
        <v/>
      </c>
      <c r="M2876" s="4" t="str">
        <f t="array" ref="M2876">IF(ROWS(M$20:M2876)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2876))))</f>
        <v/>
      </c>
    </row>
    <row r="2877" spans="1:13" x14ac:dyDescent="0.25">
      <c r="A2877" s="3">
        <v>41718</v>
      </c>
      <c r="B2877" s="2" t="s">
        <v>14</v>
      </c>
      <c r="C2877" s="2">
        <v>22</v>
      </c>
      <c r="G2877" s="7" t="str">
        <f t="array" ref="G2877">IF(ROWS(K$20:K2877)&gt;$F$6,"",INDEX(A$2:A$10000,SMALL(IF(ISNUMBER(MATCH($B$2:$B$10000,$E$6:$E$22,0)),ROW($C$2:$C$10000)-ROW($C$2)+1),ROWS(K$20:K2877))))</f>
        <v/>
      </c>
      <c r="H2877" s="4" t="str">
        <f t="array" ref="H2877">IF(ROWS(L$20:L2877)&gt;$F$6,"",INDEX(B$2:B$10000,SMALL(IF(ISNUMBER(MATCH($B$2:$B$10000,$E$6:$E$22,0)),ROW($C$2:$C$10000)-ROW($C$2)+1),ROWS(L$20:L2877))))</f>
        <v/>
      </c>
      <c r="I2877" s="4" t="str">
        <f t="array" ref="I2877">IF(ROWS(M$20:M2877)&gt;$F$6,"",INDEX(C$2:C$10000,SMALL(IF(ISNUMBER(MATCH($B$2:$B$10000,$E$6:$E$22,0)),ROW($C$2:$C$10000)-ROW($C$2)+1),ROWS(M$20:M2877))))</f>
        <v/>
      </c>
      <c r="K2877" s="7" t="str">
        <f t="array" ref="K2877">IF(ROWS(K$20:K2877)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2877))))</f>
        <v/>
      </c>
      <c r="L2877" s="4" t="str">
        <f t="array" ref="L2877">IF(ROWS(L$20:L2877)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2877))))</f>
        <v/>
      </c>
      <c r="M2877" s="4" t="str">
        <f t="array" ref="M2877">IF(ROWS(M$20:M2877)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2877))))</f>
        <v/>
      </c>
    </row>
    <row r="2878" spans="1:13" x14ac:dyDescent="0.25">
      <c r="A2878" s="3">
        <v>41393</v>
      </c>
      <c r="B2878" s="2" t="s">
        <v>18</v>
      </c>
      <c r="C2878" s="2">
        <v>40</v>
      </c>
      <c r="G2878" s="7" t="str">
        <f t="array" ref="G2878">IF(ROWS(K$20:K2878)&gt;$F$6,"",INDEX(A$2:A$10000,SMALL(IF(ISNUMBER(MATCH($B$2:$B$10000,$E$6:$E$22,0)),ROW($C$2:$C$10000)-ROW($C$2)+1),ROWS(K$20:K2878))))</f>
        <v/>
      </c>
      <c r="H2878" s="4" t="str">
        <f t="array" ref="H2878">IF(ROWS(L$20:L2878)&gt;$F$6,"",INDEX(B$2:B$10000,SMALL(IF(ISNUMBER(MATCH($B$2:$B$10000,$E$6:$E$22,0)),ROW($C$2:$C$10000)-ROW($C$2)+1),ROWS(L$20:L2878))))</f>
        <v/>
      </c>
      <c r="I2878" s="4" t="str">
        <f t="array" ref="I2878">IF(ROWS(M$20:M2878)&gt;$F$6,"",INDEX(C$2:C$10000,SMALL(IF(ISNUMBER(MATCH($B$2:$B$10000,$E$6:$E$22,0)),ROW($C$2:$C$10000)-ROW($C$2)+1),ROWS(M$20:M2878))))</f>
        <v/>
      </c>
      <c r="K2878" s="7" t="str">
        <f t="array" ref="K2878">IF(ROWS(K$20:K2878)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2878))))</f>
        <v/>
      </c>
      <c r="L2878" s="4" t="str">
        <f t="array" ref="L2878">IF(ROWS(L$20:L2878)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2878))))</f>
        <v/>
      </c>
      <c r="M2878" s="4" t="str">
        <f t="array" ref="M2878">IF(ROWS(M$20:M2878)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2878))))</f>
        <v/>
      </c>
    </row>
    <row r="2879" spans="1:13" x14ac:dyDescent="0.25">
      <c r="A2879" s="3">
        <v>41545</v>
      </c>
      <c r="B2879" s="2" t="s">
        <v>4</v>
      </c>
      <c r="C2879" s="2">
        <v>31</v>
      </c>
      <c r="G2879" s="7" t="str">
        <f t="array" ref="G2879">IF(ROWS(K$20:K2879)&gt;$F$6,"",INDEX(A$2:A$10000,SMALL(IF(ISNUMBER(MATCH($B$2:$B$10000,$E$6:$E$22,0)),ROW($C$2:$C$10000)-ROW($C$2)+1),ROWS(K$20:K2879))))</f>
        <v/>
      </c>
      <c r="H2879" s="4" t="str">
        <f t="array" ref="H2879">IF(ROWS(L$20:L2879)&gt;$F$6,"",INDEX(B$2:B$10000,SMALL(IF(ISNUMBER(MATCH($B$2:$B$10000,$E$6:$E$22,0)),ROW($C$2:$C$10000)-ROW($C$2)+1),ROWS(L$20:L2879))))</f>
        <v/>
      </c>
      <c r="I2879" s="4" t="str">
        <f t="array" ref="I2879">IF(ROWS(M$20:M2879)&gt;$F$6,"",INDEX(C$2:C$10000,SMALL(IF(ISNUMBER(MATCH($B$2:$B$10000,$E$6:$E$22,0)),ROW($C$2:$C$10000)-ROW($C$2)+1),ROWS(M$20:M2879))))</f>
        <v/>
      </c>
      <c r="K2879" s="7" t="str">
        <f t="array" ref="K2879">IF(ROWS(K$20:K2879)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2879))))</f>
        <v/>
      </c>
      <c r="L2879" s="4" t="str">
        <f t="array" ref="L2879">IF(ROWS(L$20:L2879)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2879))))</f>
        <v/>
      </c>
      <c r="M2879" s="4" t="str">
        <f t="array" ref="M2879">IF(ROWS(M$20:M2879)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2879))))</f>
        <v/>
      </c>
    </row>
    <row r="2880" spans="1:13" x14ac:dyDescent="0.25">
      <c r="A2880" s="3">
        <v>41932</v>
      </c>
      <c r="B2880" s="2" t="s">
        <v>50</v>
      </c>
      <c r="C2880" s="2">
        <v>56</v>
      </c>
      <c r="G2880" s="7" t="str">
        <f t="array" ref="G2880">IF(ROWS(K$20:K2880)&gt;$F$6,"",INDEX(A$2:A$10000,SMALL(IF(ISNUMBER(MATCH($B$2:$B$10000,$E$6:$E$22,0)),ROW($C$2:$C$10000)-ROW($C$2)+1),ROWS(K$20:K2880))))</f>
        <v/>
      </c>
      <c r="H2880" s="4" t="str">
        <f t="array" ref="H2880">IF(ROWS(L$20:L2880)&gt;$F$6,"",INDEX(B$2:B$10000,SMALL(IF(ISNUMBER(MATCH($B$2:$B$10000,$E$6:$E$22,0)),ROW($C$2:$C$10000)-ROW($C$2)+1),ROWS(L$20:L2880))))</f>
        <v/>
      </c>
      <c r="I2880" s="4" t="str">
        <f t="array" ref="I2880">IF(ROWS(M$20:M2880)&gt;$F$6,"",INDEX(C$2:C$10000,SMALL(IF(ISNUMBER(MATCH($B$2:$B$10000,$E$6:$E$22,0)),ROW($C$2:$C$10000)-ROW($C$2)+1),ROWS(M$20:M2880))))</f>
        <v/>
      </c>
      <c r="K2880" s="7" t="str">
        <f t="array" ref="K2880">IF(ROWS(K$20:K2880)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2880))))</f>
        <v/>
      </c>
      <c r="L2880" s="4" t="str">
        <f t="array" ref="L2880">IF(ROWS(L$20:L2880)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2880))))</f>
        <v/>
      </c>
      <c r="M2880" s="4" t="str">
        <f t="array" ref="M2880">IF(ROWS(M$20:M2880)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2880))))</f>
        <v/>
      </c>
    </row>
    <row r="2881" spans="1:13" x14ac:dyDescent="0.25">
      <c r="A2881" s="3">
        <v>41454</v>
      </c>
      <c r="B2881" s="2" t="s">
        <v>6</v>
      </c>
      <c r="C2881" s="2">
        <v>52</v>
      </c>
      <c r="G2881" s="7" t="str">
        <f t="array" ref="G2881">IF(ROWS(K$20:K2881)&gt;$F$6,"",INDEX(A$2:A$10000,SMALL(IF(ISNUMBER(MATCH($B$2:$B$10000,$E$6:$E$22,0)),ROW($C$2:$C$10000)-ROW($C$2)+1),ROWS(K$20:K2881))))</f>
        <v/>
      </c>
      <c r="H2881" s="4" t="str">
        <f t="array" ref="H2881">IF(ROWS(L$20:L2881)&gt;$F$6,"",INDEX(B$2:B$10000,SMALL(IF(ISNUMBER(MATCH($B$2:$B$10000,$E$6:$E$22,0)),ROW($C$2:$C$10000)-ROW($C$2)+1),ROWS(L$20:L2881))))</f>
        <v/>
      </c>
      <c r="I2881" s="4" t="str">
        <f t="array" ref="I2881">IF(ROWS(M$20:M2881)&gt;$F$6,"",INDEX(C$2:C$10000,SMALL(IF(ISNUMBER(MATCH($B$2:$B$10000,$E$6:$E$22,0)),ROW($C$2:$C$10000)-ROW($C$2)+1),ROWS(M$20:M2881))))</f>
        <v/>
      </c>
      <c r="K2881" s="7" t="str">
        <f t="array" ref="K2881">IF(ROWS(K$20:K2881)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2881))))</f>
        <v/>
      </c>
      <c r="L2881" s="4" t="str">
        <f t="array" ref="L2881">IF(ROWS(L$20:L2881)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2881))))</f>
        <v/>
      </c>
      <c r="M2881" s="4" t="str">
        <f t="array" ref="M2881">IF(ROWS(M$20:M2881)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2881))))</f>
        <v/>
      </c>
    </row>
    <row r="2882" spans="1:13" x14ac:dyDescent="0.25">
      <c r="A2882" s="3">
        <v>41960</v>
      </c>
      <c r="B2882" s="2" t="s">
        <v>29</v>
      </c>
      <c r="C2882" s="2">
        <v>41</v>
      </c>
      <c r="G2882" s="7" t="str">
        <f t="array" ref="G2882">IF(ROWS(K$20:K2882)&gt;$F$6,"",INDEX(A$2:A$10000,SMALL(IF(ISNUMBER(MATCH($B$2:$B$10000,$E$6:$E$22,0)),ROW($C$2:$C$10000)-ROW($C$2)+1),ROWS(K$20:K2882))))</f>
        <v/>
      </c>
      <c r="H2882" s="4" t="str">
        <f t="array" ref="H2882">IF(ROWS(L$20:L2882)&gt;$F$6,"",INDEX(B$2:B$10000,SMALL(IF(ISNUMBER(MATCH($B$2:$B$10000,$E$6:$E$22,0)),ROW($C$2:$C$10000)-ROW($C$2)+1),ROWS(L$20:L2882))))</f>
        <v/>
      </c>
      <c r="I2882" s="4" t="str">
        <f t="array" ref="I2882">IF(ROWS(M$20:M2882)&gt;$F$6,"",INDEX(C$2:C$10000,SMALL(IF(ISNUMBER(MATCH($B$2:$B$10000,$E$6:$E$22,0)),ROW($C$2:$C$10000)-ROW($C$2)+1),ROWS(M$20:M2882))))</f>
        <v/>
      </c>
      <c r="K2882" s="7" t="str">
        <f t="array" ref="K2882">IF(ROWS(K$20:K2882)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2882))))</f>
        <v/>
      </c>
      <c r="L2882" s="4" t="str">
        <f t="array" ref="L2882">IF(ROWS(L$20:L2882)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2882))))</f>
        <v/>
      </c>
      <c r="M2882" s="4" t="str">
        <f t="array" ref="M2882">IF(ROWS(M$20:M2882)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2882))))</f>
        <v/>
      </c>
    </row>
    <row r="2883" spans="1:13" x14ac:dyDescent="0.25">
      <c r="A2883" s="3">
        <v>41290</v>
      </c>
      <c r="B2883" s="2" t="s">
        <v>45</v>
      </c>
      <c r="C2883" s="2">
        <v>29</v>
      </c>
      <c r="G2883" s="7" t="str">
        <f t="array" ref="G2883">IF(ROWS(K$20:K2883)&gt;$F$6,"",INDEX(A$2:A$10000,SMALL(IF(ISNUMBER(MATCH($B$2:$B$10000,$E$6:$E$22,0)),ROW($C$2:$C$10000)-ROW($C$2)+1),ROWS(K$20:K2883))))</f>
        <v/>
      </c>
      <c r="H2883" s="4" t="str">
        <f t="array" ref="H2883">IF(ROWS(L$20:L2883)&gt;$F$6,"",INDEX(B$2:B$10000,SMALL(IF(ISNUMBER(MATCH($B$2:$B$10000,$E$6:$E$22,0)),ROW($C$2:$C$10000)-ROW($C$2)+1),ROWS(L$20:L2883))))</f>
        <v/>
      </c>
      <c r="I2883" s="4" t="str">
        <f t="array" ref="I2883">IF(ROWS(M$20:M2883)&gt;$F$6,"",INDEX(C$2:C$10000,SMALL(IF(ISNUMBER(MATCH($B$2:$B$10000,$E$6:$E$22,0)),ROW($C$2:$C$10000)-ROW($C$2)+1),ROWS(M$20:M2883))))</f>
        <v/>
      </c>
      <c r="K2883" s="7" t="str">
        <f t="array" ref="K2883">IF(ROWS(K$20:K2883)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2883))))</f>
        <v/>
      </c>
      <c r="L2883" s="4" t="str">
        <f t="array" ref="L2883">IF(ROWS(L$20:L2883)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2883))))</f>
        <v/>
      </c>
      <c r="M2883" s="4" t="str">
        <f t="array" ref="M2883">IF(ROWS(M$20:M2883)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2883))))</f>
        <v/>
      </c>
    </row>
    <row r="2884" spans="1:13" x14ac:dyDescent="0.25">
      <c r="A2884" s="3">
        <v>41596</v>
      </c>
      <c r="B2884" s="2" t="s">
        <v>14</v>
      </c>
      <c r="C2884" s="2">
        <v>44</v>
      </c>
      <c r="G2884" s="7" t="str">
        <f t="array" ref="G2884">IF(ROWS(K$20:K2884)&gt;$F$6,"",INDEX(A$2:A$10000,SMALL(IF(ISNUMBER(MATCH($B$2:$B$10000,$E$6:$E$22,0)),ROW($C$2:$C$10000)-ROW($C$2)+1),ROWS(K$20:K2884))))</f>
        <v/>
      </c>
      <c r="H2884" s="4" t="str">
        <f t="array" ref="H2884">IF(ROWS(L$20:L2884)&gt;$F$6,"",INDEX(B$2:B$10000,SMALL(IF(ISNUMBER(MATCH($B$2:$B$10000,$E$6:$E$22,0)),ROW($C$2:$C$10000)-ROW($C$2)+1),ROWS(L$20:L2884))))</f>
        <v/>
      </c>
      <c r="I2884" s="4" t="str">
        <f t="array" ref="I2884">IF(ROWS(M$20:M2884)&gt;$F$6,"",INDEX(C$2:C$10000,SMALL(IF(ISNUMBER(MATCH($B$2:$B$10000,$E$6:$E$22,0)),ROW($C$2:$C$10000)-ROW($C$2)+1),ROWS(M$20:M2884))))</f>
        <v/>
      </c>
      <c r="K2884" s="7" t="str">
        <f t="array" ref="K2884">IF(ROWS(K$20:K2884)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2884))))</f>
        <v/>
      </c>
      <c r="L2884" s="4" t="str">
        <f t="array" ref="L2884">IF(ROWS(L$20:L2884)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2884))))</f>
        <v/>
      </c>
      <c r="M2884" s="4" t="str">
        <f t="array" ref="M2884">IF(ROWS(M$20:M2884)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2884))))</f>
        <v/>
      </c>
    </row>
    <row r="2885" spans="1:13" x14ac:dyDescent="0.25">
      <c r="A2885" s="3">
        <v>41733</v>
      </c>
      <c r="B2885" s="2" t="s">
        <v>2</v>
      </c>
      <c r="C2885" s="2">
        <v>18</v>
      </c>
      <c r="G2885" s="7" t="str">
        <f t="array" ref="G2885">IF(ROWS(K$20:K2885)&gt;$F$6,"",INDEX(A$2:A$10000,SMALL(IF(ISNUMBER(MATCH($B$2:$B$10000,$E$6:$E$22,0)),ROW($C$2:$C$10000)-ROW($C$2)+1),ROWS(K$20:K2885))))</f>
        <v/>
      </c>
      <c r="H2885" s="4" t="str">
        <f t="array" ref="H2885">IF(ROWS(L$20:L2885)&gt;$F$6,"",INDEX(B$2:B$10000,SMALL(IF(ISNUMBER(MATCH($B$2:$B$10000,$E$6:$E$22,0)),ROW($C$2:$C$10000)-ROW($C$2)+1),ROWS(L$20:L2885))))</f>
        <v/>
      </c>
      <c r="I2885" s="4" t="str">
        <f t="array" ref="I2885">IF(ROWS(M$20:M2885)&gt;$F$6,"",INDEX(C$2:C$10000,SMALL(IF(ISNUMBER(MATCH($B$2:$B$10000,$E$6:$E$22,0)),ROW($C$2:$C$10000)-ROW($C$2)+1),ROWS(M$20:M2885))))</f>
        <v/>
      </c>
      <c r="K2885" s="7" t="str">
        <f t="array" ref="K2885">IF(ROWS(K$20:K2885)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2885))))</f>
        <v/>
      </c>
      <c r="L2885" s="4" t="str">
        <f t="array" ref="L2885">IF(ROWS(L$20:L2885)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2885))))</f>
        <v/>
      </c>
      <c r="M2885" s="4" t="str">
        <f t="array" ref="M2885">IF(ROWS(M$20:M2885)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2885))))</f>
        <v/>
      </c>
    </row>
    <row r="2886" spans="1:13" x14ac:dyDescent="0.25">
      <c r="A2886" s="3">
        <v>41440</v>
      </c>
      <c r="B2886" s="2" t="s">
        <v>36</v>
      </c>
      <c r="C2886" s="2">
        <v>32</v>
      </c>
      <c r="G2886" s="7" t="str">
        <f t="array" ref="G2886">IF(ROWS(K$20:K2886)&gt;$F$6,"",INDEX(A$2:A$10000,SMALL(IF(ISNUMBER(MATCH($B$2:$B$10000,$E$6:$E$22,0)),ROW($C$2:$C$10000)-ROW($C$2)+1),ROWS(K$20:K2886))))</f>
        <v/>
      </c>
      <c r="H2886" s="4" t="str">
        <f t="array" ref="H2886">IF(ROWS(L$20:L2886)&gt;$F$6,"",INDEX(B$2:B$10000,SMALL(IF(ISNUMBER(MATCH($B$2:$B$10000,$E$6:$E$22,0)),ROW($C$2:$C$10000)-ROW($C$2)+1),ROWS(L$20:L2886))))</f>
        <v/>
      </c>
      <c r="I2886" s="4" t="str">
        <f t="array" ref="I2886">IF(ROWS(M$20:M2886)&gt;$F$6,"",INDEX(C$2:C$10000,SMALL(IF(ISNUMBER(MATCH($B$2:$B$10000,$E$6:$E$22,0)),ROW($C$2:$C$10000)-ROW($C$2)+1),ROWS(M$20:M2886))))</f>
        <v/>
      </c>
      <c r="K2886" s="7" t="str">
        <f t="array" ref="K2886">IF(ROWS(K$20:K2886)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2886))))</f>
        <v/>
      </c>
      <c r="L2886" s="4" t="str">
        <f t="array" ref="L2886">IF(ROWS(L$20:L2886)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2886))))</f>
        <v/>
      </c>
      <c r="M2886" s="4" t="str">
        <f t="array" ref="M2886">IF(ROWS(M$20:M2886)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2886))))</f>
        <v/>
      </c>
    </row>
    <row r="2887" spans="1:13" x14ac:dyDescent="0.25">
      <c r="A2887" s="3">
        <v>41348</v>
      </c>
      <c r="B2887" s="2" t="s">
        <v>4</v>
      </c>
      <c r="C2887" s="2">
        <v>28</v>
      </c>
      <c r="G2887" s="7" t="str">
        <f t="array" ref="G2887">IF(ROWS(K$20:K2887)&gt;$F$6,"",INDEX(A$2:A$10000,SMALL(IF(ISNUMBER(MATCH($B$2:$B$10000,$E$6:$E$22,0)),ROW($C$2:$C$10000)-ROW($C$2)+1),ROWS(K$20:K2887))))</f>
        <v/>
      </c>
      <c r="H2887" s="4" t="str">
        <f t="array" ref="H2887">IF(ROWS(L$20:L2887)&gt;$F$6,"",INDEX(B$2:B$10000,SMALL(IF(ISNUMBER(MATCH($B$2:$B$10000,$E$6:$E$22,0)),ROW($C$2:$C$10000)-ROW($C$2)+1),ROWS(L$20:L2887))))</f>
        <v/>
      </c>
      <c r="I2887" s="4" t="str">
        <f t="array" ref="I2887">IF(ROWS(M$20:M2887)&gt;$F$6,"",INDEX(C$2:C$10000,SMALL(IF(ISNUMBER(MATCH($B$2:$B$10000,$E$6:$E$22,0)),ROW($C$2:$C$10000)-ROW($C$2)+1),ROWS(M$20:M2887))))</f>
        <v/>
      </c>
      <c r="K2887" s="7" t="str">
        <f t="array" ref="K2887">IF(ROWS(K$20:K2887)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2887))))</f>
        <v/>
      </c>
      <c r="L2887" s="4" t="str">
        <f t="array" ref="L2887">IF(ROWS(L$20:L2887)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2887))))</f>
        <v/>
      </c>
      <c r="M2887" s="4" t="str">
        <f t="array" ref="M2887">IF(ROWS(M$20:M2887)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2887))))</f>
        <v/>
      </c>
    </row>
    <row r="2888" spans="1:13" x14ac:dyDescent="0.25">
      <c r="A2888" s="3">
        <v>41788</v>
      </c>
      <c r="B2888" s="2" t="s">
        <v>33</v>
      </c>
      <c r="C2888" s="2">
        <v>31</v>
      </c>
      <c r="G2888" s="7" t="str">
        <f t="array" ref="G2888">IF(ROWS(K$20:K2888)&gt;$F$6,"",INDEX(A$2:A$10000,SMALL(IF(ISNUMBER(MATCH($B$2:$B$10000,$E$6:$E$22,0)),ROW($C$2:$C$10000)-ROW($C$2)+1),ROWS(K$20:K2888))))</f>
        <v/>
      </c>
      <c r="H2888" s="4" t="str">
        <f t="array" ref="H2888">IF(ROWS(L$20:L2888)&gt;$F$6,"",INDEX(B$2:B$10000,SMALL(IF(ISNUMBER(MATCH($B$2:$B$10000,$E$6:$E$22,0)),ROW($C$2:$C$10000)-ROW($C$2)+1),ROWS(L$20:L2888))))</f>
        <v/>
      </c>
      <c r="I2888" s="4" t="str">
        <f t="array" ref="I2888">IF(ROWS(M$20:M2888)&gt;$F$6,"",INDEX(C$2:C$10000,SMALL(IF(ISNUMBER(MATCH($B$2:$B$10000,$E$6:$E$22,0)),ROW($C$2:$C$10000)-ROW($C$2)+1),ROWS(M$20:M2888))))</f>
        <v/>
      </c>
      <c r="K2888" s="7" t="str">
        <f t="array" ref="K2888">IF(ROWS(K$20:K2888)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2888))))</f>
        <v/>
      </c>
      <c r="L2888" s="4" t="str">
        <f t="array" ref="L2888">IF(ROWS(L$20:L2888)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2888))))</f>
        <v/>
      </c>
      <c r="M2888" s="4" t="str">
        <f t="array" ref="M2888">IF(ROWS(M$20:M2888)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2888))))</f>
        <v/>
      </c>
    </row>
    <row r="2889" spans="1:13" x14ac:dyDescent="0.25">
      <c r="A2889" s="3">
        <v>41525</v>
      </c>
      <c r="B2889" s="2" t="s">
        <v>28</v>
      </c>
      <c r="C2889" s="2">
        <v>23</v>
      </c>
      <c r="G2889" s="7" t="str">
        <f t="array" ref="G2889">IF(ROWS(K$20:K2889)&gt;$F$6,"",INDEX(A$2:A$10000,SMALL(IF(ISNUMBER(MATCH($B$2:$B$10000,$E$6:$E$22,0)),ROW($C$2:$C$10000)-ROW($C$2)+1),ROWS(K$20:K2889))))</f>
        <v/>
      </c>
      <c r="H2889" s="4" t="str">
        <f t="array" ref="H2889">IF(ROWS(L$20:L2889)&gt;$F$6,"",INDEX(B$2:B$10000,SMALL(IF(ISNUMBER(MATCH($B$2:$B$10000,$E$6:$E$22,0)),ROW($C$2:$C$10000)-ROW($C$2)+1),ROWS(L$20:L2889))))</f>
        <v/>
      </c>
      <c r="I2889" s="4" t="str">
        <f t="array" ref="I2889">IF(ROWS(M$20:M2889)&gt;$F$6,"",INDEX(C$2:C$10000,SMALL(IF(ISNUMBER(MATCH($B$2:$B$10000,$E$6:$E$22,0)),ROW($C$2:$C$10000)-ROW($C$2)+1),ROWS(M$20:M2889))))</f>
        <v/>
      </c>
      <c r="K2889" s="7" t="str">
        <f t="array" ref="K2889">IF(ROWS(K$20:K2889)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2889))))</f>
        <v/>
      </c>
      <c r="L2889" s="4" t="str">
        <f t="array" ref="L2889">IF(ROWS(L$20:L2889)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2889))))</f>
        <v/>
      </c>
      <c r="M2889" s="4" t="str">
        <f t="array" ref="M2889">IF(ROWS(M$20:M2889)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2889))))</f>
        <v/>
      </c>
    </row>
    <row r="2890" spans="1:13" x14ac:dyDescent="0.25">
      <c r="A2890" s="3">
        <v>41724</v>
      </c>
      <c r="B2890" s="2" t="s">
        <v>3</v>
      </c>
      <c r="C2890" s="2">
        <v>42</v>
      </c>
      <c r="G2890" s="7" t="str">
        <f t="array" ref="G2890">IF(ROWS(K$20:K2890)&gt;$F$6,"",INDEX(A$2:A$10000,SMALL(IF(ISNUMBER(MATCH($B$2:$B$10000,$E$6:$E$22,0)),ROW($C$2:$C$10000)-ROW($C$2)+1),ROWS(K$20:K2890))))</f>
        <v/>
      </c>
      <c r="H2890" s="4" t="str">
        <f t="array" ref="H2890">IF(ROWS(L$20:L2890)&gt;$F$6,"",INDEX(B$2:B$10000,SMALL(IF(ISNUMBER(MATCH($B$2:$B$10000,$E$6:$E$22,0)),ROW($C$2:$C$10000)-ROW($C$2)+1),ROWS(L$20:L2890))))</f>
        <v/>
      </c>
      <c r="I2890" s="4" t="str">
        <f t="array" ref="I2890">IF(ROWS(M$20:M2890)&gt;$F$6,"",INDEX(C$2:C$10000,SMALL(IF(ISNUMBER(MATCH($B$2:$B$10000,$E$6:$E$22,0)),ROW($C$2:$C$10000)-ROW($C$2)+1),ROWS(M$20:M2890))))</f>
        <v/>
      </c>
      <c r="K2890" s="7" t="str">
        <f t="array" ref="K2890">IF(ROWS(K$20:K2890)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2890))))</f>
        <v/>
      </c>
      <c r="L2890" s="4" t="str">
        <f t="array" ref="L2890">IF(ROWS(L$20:L2890)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2890))))</f>
        <v/>
      </c>
      <c r="M2890" s="4" t="str">
        <f t="array" ref="M2890">IF(ROWS(M$20:M2890)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2890))))</f>
        <v/>
      </c>
    </row>
    <row r="2891" spans="1:13" x14ac:dyDescent="0.25">
      <c r="A2891" s="3">
        <v>41940</v>
      </c>
      <c r="B2891" s="2" t="s">
        <v>47</v>
      </c>
      <c r="C2891" s="2">
        <v>20</v>
      </c>
      <c r="G2891" s="7" t="str">
        <f t="array" ref="G2891">IF(ROWS(K$20:K2891)&gt;$F$6,"",INDEX(A$2:A$10000,SMALL(IF(ISNUMBER(MATCH($B$2:$B$10000,$E$6:$E$22,0)),ROW($C$2:$C$10000)-ROW($C$2)+1),ROWS(K$20:K2891))))</f>
        <v/>
      </c>
      <c r="H2891" s="4" t="str">
        <f t="array" ref="H2891">IF(ROWS(L$20:L2891)&gt;$F$6,"",INDEX(B$2:B$10000,SMALL(IF(ISNUMBER(MATCH($B$2:$B$10000,$E$6:$E$22,0)),ROW($C$2:$C$10000)-ROW($C$2)+1),ROWS(L$20:L2891))))</f>
        <v/>
      </c>
      <c r="I2891" s="4" t="str">
        <f t="array" ref="I2891">IF(ROWS(M$20:M2891)&gt;$F$6,"",INDEX(C$2:C$10000,SMALL(IF(ISNUMBER(MATCH($B$2:$B$10000,$E$6:$E$22,0)),ROW($C$2:$C$10000)-ROW($C$2)+1),ROWS(M$20:M2891))))</f>
        <v/>
      </c>
      <c r="K2891" s="7" t="str">
        <f t="array" ref="K2891">IF(ROWS(K$20:K2891)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2891))))</f>
        <v/>
      </c>
      <c r="L2891" s="4" t="str">
        <f t="array" ref="L2891">IF(ROWS(L$20:L2891)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2891))))</f>
        <v/>
      </c>
      <c r="M2891" s="4" t="str">
        <f t="array" ref="M2891">IF(ROWS(M$20:M2891)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2891))))</f>
        <v/>
      </c>
    </row>
    <row r="2892" spans="1:13" x14ac:dyDescent="0.25">
      <c r="A2892" s="3">
        <v>41706</v>
      </c>
      <c r="B2892" s="2" t="s">
        <v>15</v>
      </c>
      <c r="C2892" s="2">
        <v>31</v>
      </c>
      <c r="G2892" s="7" t="str">
        <f t="array" ref="G2892">IF(ROWS(K$20:K2892)&gt;$F$6,"",INDEX(A$2:A$10000,SMALL(IF(ISNUMBER(MATCH($B$2:$B$10000,$E$6:$E$22,0)),ROW($C$2:$C$10000)-ROW($C$2)+1),ROWS(K$20:K2892))))</f>
        <v/>
      </c>
      <c r="H2892" s="4" t="str">
        <f t="array" ref="H2892">IF(ROWS(L$20:L2892)&gt;$F$6,"",INDEX(B$2:B$10000,SMALL(IF(ISNUMBER(MATCH($B$2:$B$10000,$E$6:$E$22,0)),ROW($C$2:$C$10000)-ROW($C$2)+1),ROWS(L$20:L2892))))</f>
        <v/>
      </c>
      <c r="I2892" s="4" t="str">
        <f t="array" ref="I2892">IF(ROWS(M$20:M2892)&gt;$F$6,"",INDEX(C$2:C$10000,SMALL(IF(ISNUMBER(MATCH($B$2:$B$10000,$E$6:$E$22,0)),ROW($C$2:$C$10000)-ROW($C$2)+1),ROWS(M$20:M2892))))</f>
        <v/>
      </c>
      <c r="K2892" s="7" t="str">
        <f t="array" ref="K2892">IF(ROWS(K$20:K2892)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2892))))</f>
        <v/>
      </c>
      <c r="L2892" s="4" t="str">
        <f t="array" ref="L2892">IF(ROWS(L$20:L2892)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2892))))</f>
        <v/>
      </c>
      <c r="M2892" s="4" t="str">
        <f t="array" ref="M2892">IF(ROWS(M$20:M2892)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2892))))</f>
        <v/>
      </c>
    </row>
    <row r="2893" spans="1:13" x14ac:dyDescent="0.25">
      <c r="A2893" s="3">
        <v>41558</v>
      </c>
      <c r="B2893" s="2" t="s">
        <v>47</v>
      </c>
      <c r="C2893" s="2">
        <v>43</v>
      </c>
      <c r="G2893" s="7" t="str">
        <f t="array" ref="G2893">IF(ROWS(K$20:K2893)&gt;$F$6,"",INDEX(A$2:A$10000,SMALL(IF(ISNUMBER(MATCH($B$2:$B$10000,$E$6:$E$22,0)),ROW($C$2:$C$10000)-ROW($C$2)+1),ROWS(K$20:K2893))))</f>
        <v/>
      </c>
      <c r="H2893" s="4" t="str">
        <f t="array" ref="H2893">IF(ROWS(L$20:L2893)&gt;$F$6,"",INDEX(B$2:B$10000,SMALL(IF(ISNUMBER(MATCH($B$2:$B$10000,$E$6:$E$22,0)),ROW($C$2:$C$10000)-ROW($C$2)+1),ROWS(L$20:L2893))))</f>
        <v/>
      </c>
      <c r="I2893" s="4" t="str">
        <f t="array" ref="I2893">IF(ROWS(M$20:M2893)&gt;$F$6,"",INDEX(C$2:C$10000,SMALL(IF(ISNUMBER(MATCH($B$2:$B$10000,$E$6:$E$22,0)),ROW($C$2:$C$10000)-ROW($C$2)+1),ROWS(M$20:M2893))))</f>
        <v/>
      </c>
      <c r="K2893" s="7" t="str">
        <f t="array" ref="K2893">IF(ROWS(K$20:K2893)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2893))))</f>
        <v/>
      </c>
      <c r="L2893" s="4" t="str">
        <f t="array" ref="L2893">IF(ROWS(L$20:L2893)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2893))))</f>
        <v/>
      </c>
      <c r="M2893" s="4" t="str">
        <f t="array" ref="M2893">IF(ROWS(M$20:M2893)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2893))))</f>
        <v/>
      </c>
    </row>
    <row r="2894" spans="1:13" x14ac:dyDescent="0.25">
      <c r="A2894" s="3">
        <v>41350</v>
      </c>
      <c r="B2894" s="2" t="s">
        <v>38</v>
      </c>
      <c r="C2894" s="2">
        <v>62</v>
      </c>
      <c r="G2894" s="7" t="str">
        <f t="array" ref="G2894">IF(ROWS(K$20:K2894)&gt;$F$6,"",INDEX(A$2:A$10000,SMALL(IF(ISNUMBER(MATCH($B$2:$B$10000,$E$6:$E$22,0)),ROW($C$2:$C$10000)-ROW($C$2)+1),ROWS(K$20:K2894))))</f>
        <v/>
      </c>
      <c r="H2894" s="4" t="str">
        <f t="array" ref="H2894">IF(ROWS(L$20:L2894)&gt;$F$6,"",INDEX(B$2:B$10000,SMALL(IF(ISNUMBER(MATCH($B$2:$B$10000,$E$6:$E$22,0)),ROW($C$2:$C$10000)-ROW($C$2)+1),ROWS(L$20:L2894))))</f>
        <v/>
      </c>
      <c r="I2894" s="4" t="str">
        <f t="array" ref="I2894">IF(ROWS(M$20:M2894)&gt;$F$6,"",INDEX(C$2:C$10000,SMALL(IF(ISNUMBER(MATCH($B$2:$B$10000,$E$6:$E$22,0)),ROW($C$2:$C$10000)-ROW($C$2)+1),ROWS(M$20:M2894))))</f>
        <v/>
      </c>
      <c r="K2894" s="7" t="str">
        <f t="array" ref="K2894">IF(ROWS(K$20:K2894)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2894))))</f>
        <v/>
      </c>
      <c r="L2894" s="4" t="str">
        <f t="array" ref="L2894">IF(ROWS(L$20:L2894)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2894))))</f>
        <v/>
      </c>
      <c r="M2894" s="4" t="str">
        <f t="array" ref="M2894">IF(ROWS(M$20:M2894)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2894))))</f>
        <v/>
      </c>
    </row>
    <row r="2895" spans="1:13" x14ac:dyDescent="0.25">
      <c r="A2895" s="3">
        <v>41788</v>
      </c>
      <c r="B2895" s="2" t="s">
        <v>37</v>
      </c>
      <c r="C2895" s="2">
        <v>41</v>
      </c>
      <c r="G2895" s="7" t="str">
        <f t="array" ref="G2895">IF(ROWS(K$20:K2895)&gt;$F$6,"",INDEX(A$2:A$10000,SMALL(IF(ISNUMBER(MATCH($B$2:$B$10000,$E$6:$E$22,0)),ROW($C$2:$C$10000)-ROW($C$2)+1),ROWS(K$20:K2895))))</f>
        <v/>
      </c>
      <c r="H2895" s="4" t="str">
        <f t="array" ref="H2895">IF(ROWS(L$20:L2895)&gt;$F$6,"",INDEX(B$2:B$10000,SMALL(IF(ISNUMBER(MATCH($B$2:$B$10000,$E$6:$E$22,0)),ROW($C$2:$C$10000)-ROW($C$2)+1),ROWS(L$20:L2895))))</f>
        <v/>
      </c>
      <c r="I2895" s="4" t="str">
        <f t="array" ref="I2895">IF(ROWS(M$20:M2895)&gt;$F$6,"",INDEX(C$2:C$10000,SMALL(IF(ISNUMBER(MATCH($B$2:$B$10000,$E$6:$E$22,0)),ROW($C$2:$C$10000)-ROW($C$2)+1),ROWS(M$20:M2895))))</f>
        <v/>
      </c>
      <c r="K2895" s="7" t="str">
        <f t="array" ref="K2895">IF(ROWS(K$20:K2895)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2895))))</f>
        <v/>
      </c>
      <c r="L2895" s="4" t="str">
        <f t="array" ref="L2895">IF(ROWS(L$20:L2895)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2895))))</f>
        <v/>
      </c>
      <c r="M2895" s="4" t="str">
        <f t="array" ref="M2895">IF(ROWS(M$20:M2895)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2895))))</f>
        <v/>
      </c>
    </row>
    <row r="2896" spans="1:13" x14ac:dyDescent="0.25">
      <c r="A2896" s="3">
        <v>41945</v>
      </c>
      <c r="B2896" s="2" t="s">
        <v>46</v>
      </c>
      <c r="C2896" s="2">
        <v>17</v>
      </c>
      <c r="G2896" s="7" t="str">
        <f t="array" ref="G2896">IF(ROWS(K$20:K2896)&gt;$F$6,"",INDEX(A$2:A$10000,SMALL(IF(ISNUMBER(MATCH($B$2:$B$10000,$E$6:$E$22,0)),ROW($C$2:$C$10000)-ROW($C$2)+1),ROWS(K$20:K2896))))</f>
        <v/>
      </c>
      <c r="H2896" s="4" t="str">
        <f t="array" ref="H2896">IF(ROWS(L$20:L2896)&gt;$F$6,"",INDEX(B$2:B$10000,SMALL(IF(ISNUMBER(MATCH($B$2:$B$10000,$E$6:$E$22,0)),ROW($C$2:$C$10000)-ROW($C$2)+1),ROWS(L$20:L2896))))</f>
        <v/>
      </c>
      <c r="I2896" s="4" t="str">
        <f t="array" ref="I2896">IF(ROWS(M$20:M2896)&gt;$F$6,"",INDEX(C$2:C$10000,SMALL(IF(ISNUMBER(MATCH($B$2:$B$10000,$E$6:$E$22,0)),ROW($C$2:$C$10000)-ROW($C$2)+1),ROWS(M$20:M2896))))</f>
        <v/>
      </c>
      <c r="K2896" s="7" t="str">
        <f t="array" ref="K2896">IF(ROWS(K$20:K2896)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2896))))</f>
        <v/>
      </c>
      <c r="L2896" s="4" t="str">
        <f t="array" ref="L2896">IF(ROWS(L$20:L2896)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2896))))</f>
        <v/>
      </c>
      <c r="M2896" s="4" t="str">
        <f t="array" ref="M2896">IF(ROWS(M$20:M2896)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2896))))</f>
        <v/>
      </c>
    </row>
    <row r="2897" spans="1:13" x14ac:dyDescent="0.25">
      <c r="A2897" s="3">
        <v>41587</v>
      </c>
      <c r="B2897" s="2" t="s">
        <v>49</v>
      </c>
      <c r="C2897" s="2">
        <v>21</v>
      </c>
      <c r="G2897" s="7" t="str">
        <f t="array" ref="G2897">IF(ROWS(K$20:K2897)&gt;$F$6,"",INDEX(A$2:A$10000,SMALL(IF(ISNUMBER(MATCH($B$2:$B$10000,$E$6:$E$22,0)),ROW($C$2:$C$10000)-ROW($C$2)+1),ROWS(K$20:K2897))))</f>
        <v/>
      </c>
      <c r="H2897" s="4" t="str">
        <f t="array" ref="H2897">IF(ROWS(L$20:L2897)&gt;$F$6,"",INDEX(B$2:B$10000,SMALL(IF(ISNUMBER(MATCH($B$2:$B$10000,$E$6:$E$22,0)),ROW($C$2:$C$10000)-ROW($C$2)+1),ROWS(L$20:L2897))))</f>
        <v/>
      </c>
      <c r="I2897" s="4" t="str">
        <f t="array" ref="I2897">IF(ROWS(M$20:M2897)&gt;$F$6,"",INDEX(C$2:C$10000,SMALL(IF(ISNUMBER(MATCH($B$2:$B$10000,$E$6:$E$22,0)),ROW($C$2:$C$10000)-ROW($C$2)+1),ROWS(M$20:M2897))))</f>
        <v/>
      </c>
      <c r="K2897" s="7" t="str">
        <f t="array" ref="K2897">IF(ROWS(K$20:K2897)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2897))))</f>
        <v/>
      </c>
      <c r="L2897" s="4" t="str">
        <f t="array" ref="L2897">IF(ROWS(L$20:L2897)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2897))))</f>
        <v/>
      </c>
      <c r="M2897" s="4" t="str">
        <f t="array" ref="M2897">IF(ROWS(M$20:M2897)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2897))))</f>
        <v/>
      </c>
    </row>
    <row r="2898" spans="1:13" x14ac:dyDescent="0.25">
      <c r="A2898" s="3">
        <v>41943</v>
      </c>
      <c r="B2898" s="2" t="s">
        <v>28</v>
      </c>
      <c r="C2898" s="2">
        <v>4</v>
      </c>
      <c r="G2898" s="7" t="str">
        <f t="array" ref="G2898">IF(ROWS(K$20:K2898)&gt;$F$6,"",INDEX(A$2:A$10000,SMALL(IF(ISNUMBER(MATCH($B$2:$B$10000,$E$6:$E$22,0)),ROW($C$2:$C$10000)-ROW($C$2)+1),ROWS(K$20:K2898))))</f>
        <v/>
      </c>
      <c r="H2898" s="4" t="str">
        <f t="array" ref="H2898">IF(ROWS(L$20:L2898)&gt;$F$6,"",INDEX(B$2:B$10000,SMALL(IF(ISNUMBER(MATCH($B$2:$B$10000,$E$6:$E$22,0)),ROW($C$2:$C$10000)-ROW($C$2)+1),ROWS(L$20:L2898))))</f>
        <v/>
      </c>
      <c r="I2898" s="4" t="str">
        <f t="array" ref="I2898">IF(ROWS(M$20:M2898)&gt;$F$6,"",INDEX(C$2:C$10000,SMALL(IF(ISNUMBER(MATCH($B$2:$B$10000,$E$6:$E$22,0)),ROW($C$2:$C$10000)-ROW($C$2)+1),ROWS(M$20:M2898))))</f>
        <v/>
      </c>
      <c r="K2898" s="7" t="str">
        <f t="array" ref="K2898">IF(ROWS(K$20:K2898)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2898))))</f>
        <v/>
      </c>
      <c r="L2898" s="4" t="str">
        <f t="array" ref="L2898">IF(ROWS(L$20:L2898)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2898))))</f>
        <v/>
      </c>
      <c r="M2898" s="4" t="str">
        <f t="array" ref="M2898">IF(ROWS(M$20:M2898)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2898))))</f>
        <v/>
      </c>
    </row>
    <row r="2899" spans="1:13" x14ac:dyDescent="0.25">
      <c r="A2899" s="3">
        <v>41579</v>
      </c>
      <c r="B2899" s="2" t="s">
        <v>46</v>
      </c>
      <c r="C2899" s="2">
        <v>41</v>
      </c>
      <c r="G2899" s="7" t="str">
        <f t="array" ref="G2899">IF(ROWS(K$20:K2899)&gt;$F$6,"",INDEX(A$2:A$10000,SMALL(IF(ISNUMBER(MATCH($B$2:$B$10000,$E$6:$E$22,0)),ROW($C$2:$C$10000)-ROW($C$2)+1),ROWS(K$20:K2899))))</f>
        <v/>
      </c>
      <c r="H2899" s="4" t="str">
        <f t="array" ref="H2899">IF(ROWS(L$20:L2899)&gt;$F$6,"",INDEX(B$2:B$10000,SMALL(IF(ISNUMBER(MATCH($B$2:$B$10000,$E$6:$E$22,0)),ROW($C$2:$C$10000)-ROW($C$2)+1),ROWS(L$20:L2899))))</f>
        <v/>
      </c>
      <c r="I2899" s="4" t="str">
        <f t="array" ref="I2899">IF(ROWS(M$20:M2899)&gt;$F$6,"",INDEX(C$2:C$10000,SMALL(IF(ISNUMBER(MATCH($B$2:$B$10000,$E$6:$E$22,0)),ROW($C$2:$C$10000)-ROW($C$2)+1),ROWS(M$20:M2899))))</f>
        <v/>
      </c>
      <c r="K2899" s="7" t="str">
        <f t="array" ref="K2899">IF(ROWS(K$20:K2899)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2899))))</f>
        <v/>
      </c>
      <c r="L2899" s="4" t="str">
        <f t="array" ref="L2899">IF(ROWS(L$20:L2899)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2899))))</f>
        <v/>
      </c>
      <c r="M2899" s="4" t="str">
        <f t="array" ref="M2899">IF(ROWS(M$20:M2899)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2899))))</f>
        <v/>
      </c>
    </row>
    <row r="2900" spans="1:13" x14ac:dyDescent="0.25">
      <c r="A2900" s="3">
        <v>41330</v>
      </c>
      <c r="B2900" s="2" t="s">
        <v>42</v>
      </c>
      <c r="C2900" s="2">
        <v>39</v>
      </c>
      <c r="G2900" s="7" t="str">
        <f t="array" ref="G2900">IF(ROWS(K$20:K2900)&gt;$F$6,"",INDEX(A$2:A$10000,SMALL(IF(ISNUMBER(MATCH($B$2:$B$10000,$E$6:$E$22,0)),ROW($C$2:$C$10000)-ROW($C$2)+1),ROWS(K$20:K2900))))</f>
        <v/>
      </c>
      <c r="H2900" s="4" t="str">
        <f t="array" ref="H2900">IF(ROWS(L$20:L2900)&gt;$F$6,"",INDEX(B$2:B$10000,SMALL(IF(ISNUMBER(MATCH($B$2:$B$10000,$E$6:$E$22,0)),ROW($C$2:$C$10000)-ROW($C$2)+1),ROWS(L$20:L2900))))</f>
        <v/>
      </c>
      <c r="I2900" s="4" t="str">
        <f t="array" ref="I2900">IF(ROWS(M$20:M2900)&gt;$F$6,"",INDEX(C$2:C$10000,SMALL(IF(ISNUMBER(MATCH($B$2:$B$10000,$E$6:$E$22,0)),ROW($C$2:$C$10000)-ROW($C$2)+1),ROWS(M$20:M2900))))</f>
        <v/>
      </c>
      <c r="K2900" s="7" t="str">
        <f t="array" ref="K2900">IF(ROWS(K$20:K2900)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2900))))</f>
        <v/>
      </c>
      <c r="L2900" s="4" t="str">
        <f t="array" ref="L2900">IF(ROWS(L$20:L2900)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2900))))</f>
        <v/>
      </c>
      <c r="M2900" s="4" t="str">
        <f t="array" ref="M2900">IF(ROWS(M$20:M2900)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2900))))</f>
        <v/>
      </c>
    </row>
    <row r="2901" spans="1:13" x14ac:dyDescent="0.25">
      <c r="A2901" s="3">
        <v>41935</v>
      </c>
      <c r="B2901" s="2" t="s">
        <v>13</v>
      </c>
      <c r="C2901" s="2">
        <v>9</v>
      </c>
      <c r="G2901" s="7" t="str">
        <f t="array" ref="G2901">IF(ROWS(K$20:K2901)&gt;$F$6,"",INDEX(A$2:A$10000,SMALL(IF(ISNUMBER(MATCH($B$2:$B$10000,$E$6:$E$22,0)),ROW($C$2:$C$10000)-ROW($C$2)+1),ROWS(K$20:K2901))))</f>
        <v/>
      </c>
      <c r="H2901" s="4" t="str">
        <f t="array" ref="H2901">IF(ROWS(L$20:L2901)&gt;$F$6,"",INDEX(B$2:B$10000,SMALL(IF(ISNUMBER(MATCH($B$2:$B$10000,$E$6:$E$22,0)),ROW($C$2:$C$10000)-ROW($C$2)+1),ROWS(L$20:L2901))))</f>
        <v/>
      </c>
      <c r="I2901" s="4" t="str">
        <f t="array" ref="I2901">IF(ROWS(M$20:M2901)&gt;$F$6,"",INDEX(C$2:C$10000,SMALL(IF(ISNUMBER(MATCH($B$2:$B$10000,$E$6:$E$22,0)),ROW($C$2:$C$10000)-ROW($C$2)+1),ROWS(M$20:M2901))))</f>
        <v/>
      </c>
      <c r="K2901" s="7" t="str">
        <f t="array" ref="K2901">IF(ROWS(K$20:K2901)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2901))))</f>
        <v/>
      </c>
      <c r="L2901" s="4" t="str">
        <f t="array" ref="L2901">IF(ROWS(L$20:L2901)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2901))))</f>
        <v/>
      </c>
      <c r="M2901" s="4" t="str">
        <f t="array" ref="M2901">IF(ROWS(M$20:M2901)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2901))))</f>
        <v/>
      </c>
    </row>
    <row r="2902" spans="1:13" x14ac:dyDescent="0.25">
      <c r="A2902" s="3">
        <v>41755</v>
      </c>
      <c r="B2902" s="2" t="s">
        <v>26</v>
      </c>
      <c r="C2902" s="2">
        <v>31</v>
      </c>
      <c r="G2902" s="7" t="str">
        <f t="array" ref="G2902">IF(ROWS(K$20:K2902)&gt;$F$6,"",INDEX(A$2:A$10000,SMALL(IF(ISNUMBER(MATCH($B$2:$B$10000,$E$6:$E$22,0)),ROW($C$2:$C$10000)-ROW($C$2)+1),ROWS(K$20:K2902))))</f>
        <v/>
      </c>
      <c r="H2902" s="4" t="str">
        <f t="array" ref="H2902">IF(ROWS(L$20:L2902)&gt;$F$6,"",INDEX(B$2:B$10000,SMALL(IF(ISNUMBER(MATCH($B$2:$B$10000,$E$6:$E$22,0)),ROW($C$2:$C$10000)-ROW($C$2)+1),ROWS(L$20:L2902))))</f>
        <v/>
      </c>
      <c r="I2902" s="4" t="str">
        <f t="array" ref="I2902">IF(ROWS(M$20:M2902)&gt;$F$6,"",INDEX(C$2:C$10000,SMALL(IF(ISNUMBER(MATCH($B$2:$B$10000,$E$6:$E$22,0)),ROW($C$2:$C$10000)-ROW($C$2)+1),ROWS(M$20:M2902))))</f>
        <v/>
      </c>
      <c r="K2902" s="7" t="str">
        <f t="array" ref="K2902">IF(ROWS(K$20:K2902)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2902))))</f>
        <v/>
      </c>
      <c r="L2902" s="4" t="str">
        <f t="array" ref="L2902">IF(ROWS(L$20:L2902)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2902))))</f>
        <v/>
      </c>
      <c r="M2902" s="4" t="str">
        <f t="array" ref="M2902">IF(ROWS(M$20:M2902)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2902))))</f>
        <v/>
      </c>
    </row>
    <row r="2903" spans="1:13" x14ac:dyDescent="0.25">
      <c r="A2903" s="3">
        <v>41325</v>
      </c>
      <c r="B2903" s="2" t="s">
        <v>15</v>
      </c>
      <c r="C2903" s="2">
        <v>21</v>
      </c>
      <c r="G2903" s="7" t="str">
        <f t="array" ref="G2903">IF(ROWS(K$20:K2903)&gt;$F$6,"",INDEX(A$2:A$10000,SMALL(IF(ISNUMBER(MATCH($B$2:$B$10000,$E$6:$E$22,0)),ROW($C$2:$C$10000)-ROW($C$2)+1),ROWS(K$20:K2903))))</f>
        <v/>
      </c>
      <c r="H2903" s="4" t="str">
        <f t="array" ref="H2903">IF(ROWS(L$20:L2903)&gt;$F$6,"",INDEX(B$2:B$10000,SMALL(IF(ISNUMBER(MATCH($B$2:$B$10000,$E$6:$E$22,0)),ROW($C$2:$C$10000)-ROW($C$2)+1),ROWS(L$20:L2903))))</f>
        <v/>
      </c>
      <c r="I2903" s="4" t="str">
        <f t="array" ref="I2903">IF(ROWS(M$20:M2903)&gt;$F$6,"",INDEX(C$2:C$10000,SMALL(IF(ISNUMBER(MATCH($B$2:$B$10000,$E$6:$E$22,0)),ROW($C$2:$C$10000)-ROW($C$2)+1),ROWS(M$20:M2903))))</f>
        <v/>
      </c>
      <c r="K2903" s="7" t="str">
        <f t="array" ref="K2903">IF(ROWS(K$20:K2903)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2903))))</f>
        <v/>
      </c>
      <c r="L2903" s="4" t="str">
        <f t="array" ref="L2903">IF(ROWS(L$20:L2903)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2903))))</f>
        <v/>
      </c>
      <c r="M2903" s="4" t="str">
        <f t="array" ref="M2903">IF(ROWS(M$20:M2903)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2903))))</f>
        <v/>
      </c>
    </row>
    <row r="2904" spans="1:13" x14ac:dyDescent="0.25">
      <c r="A2904" s="3">
        <v>41914</v>
      </c>
      <c r="B2904" s="2" t="s">
        <v>50</v>
      </c>
      <c r="C2904" s="2">
        <v>10</v>
      </c>
      <c r="G2904" s="7" t="str">
        <f t="array" ref="G2904">IF(ROWS(K$20:K2904)&gt;$F$6,"",INDEX(A$2:A$10000,SMALL(IF(ISNUMBER(MATCH($B$2:$B$10000,$E$6:$E$22,0)),ROW($C$2:$C$10000)-ROW($C$2)+1),ROWS(K$20:K2904))))</f>
        <v/>
      </c>
      <c r="H2904" s="4" t="str">
        <f t="array" ref="H2904">IF(ROWS(L$20:L2904)&gt;$F$6,"",INDEX(B$2:B$10000,SMALL(IF(ISNUMBER(MATCH($B$2:$B$10000,$E$6:$E$22,0)),ROW($C$2:$C$10000)-ROW($C$2)+1),ROWS(L$20:L2904))))</f>
        <v/>
      </c>
      <c r="I2904" s="4" t="str">
        <f t="array" ref="I2904">IF(ROWS(M$20:M2904)&gt;$F$6,"",INDEX(C$2:C$10000,SMALL(IF(ISNUMBER(MATCH($B$2:$B$10000,$E$6:$E$22,0)),ROW($C$2:$C$10000)-ROW($C$2)+1),ROWS(M$20:M2904))))</f>
        <v/>
      </c>
      <c r="K2904" s="7" t="str">
        <f t="array" ref="K2904">IF(ROWS(K$20:K2904)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2904))))</f>
        <v/>
      </c>
      <c r="L2904" s="4" t="str">
        <f t="array" ref="L2904">IF(ROWS(L$20:L2904)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2904))))</f>
        <v/>
      </c>
      <c r="M2904" s="4" t="str">
        <f t="array" ref="M2904">IF(ROWS(M$20:M2904)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2904))))</f>
        <v/>
      </c>
    </row>
    <row r="2905" spans="1:13" x14ac:dyDescent="0.25">
      <c r="A2905" s="3">
        <v>41844</v>
      </c>
      <c r="B2905" s="2" t="s">
        <v>35</v>
      </c>
      <c r="C2905" s="2">
        <v>36</v>
      </c>
      <c r="G2905" s="7" t="str">
        <f t="array" ref="G2905">IF(ROWS(K$20:K2905)&gt;$F$6,"",INDEX(A$2:A$10000,SMALL(IF(ISNUMBER(MATCH($B$2:$B$10000,$E$6:$E$22,0)),ROW($C$2:$C$10000)-ROW($C$2)+1),ROWS(K$20:K2905))))</f>
        <v/>
      </c>
      <c r="H2905" s="4" t="str">
        <f t="array" ref="H2905">IF(ROWS(L$20:L2905)&gt;$F$6,"",INDEX(B$2:B$10000,SMALL(IF(ISNUMBER(MATCH($B$2:$B$10000,$E$6:$E$22,0)),ROW($C$2:$C$10000)-ROW($C$2)+1),ROWS(L$20:L2905))))</f>
        <v/>
      </c>
      <c r="I2905" s="4" t="str">
        <f t="array" ref="I2905">IF(ROWS(M$20:M2905)&gt;$F$6,"",INDEX(C$2:C$10000,SMALL(IF(ISNUMBER(MATCH($B$2:$B$10000,$E$6:$E$22,0)),ROW($C$2:$C$10000)-ROW($C$2)+1),ROWS(M$20:M2905))))</f>
        <v/>
      </c>
      <c r="K2905" s="7" t="str">
        <f t="array" ref="K2905">IF(ROWS(K$20:K2905)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2905))))</f>
        <v/>
      </c>
      <c r="L2905" s="4" t="str">
        <f t="array" ref="L2905">IF(ROWS(L$20:L2905)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2905))))</f>
        <v/>
      </c>
      <c r="M2905" s="4" t="str">
        <f t="array" ref="M2905">IF(ROWS(M$20:M2905)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2905))))</f>
        <v/>
      </c>
    </row>
    <row r="2906" spans="1:13" x14ac:dyDescent="0.25">
      <c r="A2906" s="3">
        <v>41369</v>
      </c>
      <c r="B2906" s="2" t="s">
        <v>5</v>
      </c>
      <c r="C2906" s="2">
        <v>56</v>
      </c>
      <c r="G2906" s="7" t="str">
        <f t="array" ref="G2906">IF(ROWS(K$20:K2906)&gt;$F$6,"",INDEX(A$2:A$10000,SMALL(IF(ISNUMBER(MATCH($B$2:$B$10000,$E$6:$E$22,0)),ROW($C$2:$C$10000)-ROW($C$2)+1),ROWS(K$20:K2906))))</f>
        <v/>
      </c>
      <c r="H2906" s="4" t="str">
        <f t="array" ref="H2906">IF(ROWS(L$20:L2906)&gt;$F$6,"",INDEX(B$2:B$10000,SMALL(IF(ISNUMBER(MATCH($B$2:$B$10000,$E$6:$E$22,0)),ROW($C$2:$C$10000)-ROW($C$2)+1),ROWS(L$20:L2906))))</f>
        <v/>
      </c>
      <c r="I2906" s="4" t="str">
        <f t="array" ref="I2906">IF(ROWS(M$20:M2906)&gt;$F$6,"",INDEX(C$2:C$10000,SMALL(IF(ISNUMBER(MATCH($B$2:$B$10000,$E$6:$E$22,0)),ROW($C$2:$C$10000)-ROW($C$2)+1),ROWS(M$20:M2906))))</f>
        <v/>
      </c>
      <c r="K2906" s="7" t="str">
        <f t="array" ref="K2906">IF(ROWS(K$20:K2906)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2906))))</f>
        <v/>
      </c>
      <c r="L2906" s="4" t="str">
        <f t="array" ref="L2906">IF(ROWS(L$20:L2906)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2906))))</f>
        <v/>
      </c>
      <c r="M2906" s="4" t="str">
        <f t="array" ref="M2906">IF(ROWS(M$20:M2906)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2906))))</f>
        <v/>
      </c>
    </row>
    <row r="2907" spans="1:13" x14ac:dyDescent="0.25">
      <c r="A2907" s="3">
        <v>41642</v>
      </c>
      <c r="B2907" s="2" t="s">
        <v>24</v>
      </c>
      <c r="C2907" s="2">
        <v>43</v>
      </c>
      <c r="G2907" s="7" t="str">
        <f t="array" ref="G2907">IF(ROWS(K$20:K2907)&gt;$F$6,"",INDEX(A$2:A$10000,SMALL(IF(ISNUMBER(MATCH($B$2:$B$10000,$E$6:$E$22,0)),ROW($C$2:$C$10000)-ROW($C$2)+1),ROWS(K$20:K2907))))</f>
        <v/>
      </c>
      <c r="H2907" s="4" t="str">
        <f t="array" ref="H2907">IF(ROWS(L$20:L2907)&gt;$F$6,"",INDEX(B$2:B$10000,SMALL(IF(ISNUMBER(MATCH($B$2:$B$10000,$E$6:$E$22,0)),ROW($C$2:$C$10000)-ROW($C$2)+1),ROWS(L$20:L2907))))</f>
        <v/>
      </c>
      <c r="I2907" s="4" t="str">
        <f t="array" ref="I2907">IF(ROWS(M$20:M2907)&gt;$F$6,"",INDEX(C$2:C$10000,SMALL(IF(ISNUMBER(MATCH($B$2:$B$10000,$E$6:$E$22,0)),ROW($C$2:$C$10000)-ROW($C$2)+1),ROWS(M$20:M2907))))</f>
        <v/>
      </c>
      <c r="K2907" s="7" t="str">
        <f t="array" ref="K2907">IF(ROWS(K$20:K2907)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2907))))</f>
        <v/>
      </c>
      <c r="L2907" s="4" t="str">
        <f t="array" ref="L2907">IF(ROWS(L$20:L2907)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2907))))</f>
        <v/>
      </c>
      <c r="M2907" s="4" t="str">
        <f t="array" ref="M2907">IF(ROWS(M$20:M2907)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2907))))</f>
        <v/>
      </c>
    </row>
    <row r="2908" spans="1:13" x14ac:dyDescent="0.25">
      <c r="A2908" s="3">
        <v>41467</v>
      </c>
      <c r="B2908" s="2" t="s">
        <v>28</v>
      </c>
      <c r="C2908" s="2">
        <v>22</v>
      </c>
      <c r="G2908" s="7" t="str">
        <f t="array" ref="G2908">IF(ROWS(K$20:K2908)&gt;$F$6,"",INDEX(A$2:A$10000,SMALL(IF(ISNUMBER(MATCH($B$2:$B$10000,$E$6:$E$22,0)),ROW($C$2:$C$10000)-ROW($C$2)+1),ROWS(K$20:K2908))))</f>
        <v/>
      </c>
      <c r="H2908" s="4" t="str">
        <f t="array" ref="H2908">IF(ROWS(L$20:L2908)&gt;$F$6,"",INDEX(B$2:B$10000,SMALL(IF(ISNUMBER(MATCH($B$2:$B$10000,$E$6:$E$22,0)),ROW($C$2:$C$10000)-ROW($C$2)+1),ROWS(L$20:L2908))))</f>
        <v/>
      </c>
      <c r="I2908" s="4" t="str">
        <f t="array" ref="I2908">IF(ROWS(M$20:M2908)&gt;$F$6,"",INDEX(C$2:C$10000,SMALL(IF(ISNUMBER(MATCH($B$2:$B$10000,$E$6:$E$22,0)),ROW($C$2:$C$10000)-ROW($C$2)+1),ROWS(M$20:M2908))))</f>
        <v/>
      </c>
      <c r="K2908" s="7" t="str">
        <f t="array" ref="K2908">IF(ROWS(K$20:K2908)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2908))))</f>
        <v/>
      </c>
      <c r="L2908" s="4" t="str">
        <f t="array" ref="L2908">IF(ROWS(L$20:L2908)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2908))))</f>
        <v/>
      </c>
      <c r="M2908" s="4" t="str">
        <f t="array" ref="M2908">IF(ROWS(M$20:M2908)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2908))))</f>
        <v/>
      </c>
    </row>
    <row r="2909" spans="1:13" x14ac:dyDescent="0.25">
      <c r="A2909" s="3">
        <v>41665</v>
      </c>
      <c r="B2909" s="2" t="s">
        <v>43</v>
      </c>
      <c r="C2909" s="2">
        <v>36</v>
      </c>
      <c r="G2909" s="7" t="str">
        <f t="array" ref="G2909">IF(ROWS(K$20:K2909)&gt;$F$6,"",INDEX(A$2:A$10000,SMALL(IF(ISNUMBER(MATCH($B$2:$B$10000,$E$6:$E$22,0)),ROW($C$2:$C$10000)-ROW($C$2)+1),ROWS(K$20:K2909))))</f>
        <v/>
      </c>
      <c r="H2909" s="4" t="str">
        <f t="array" ref="H2909">IF(ROWS(L$20:L2909)&gt;$F$6,"",INDEX(B$2:B$10000,SMALL(IF(ISNUMBER(MATCH($B$2:$B$10000,$E$6:$E$22,0)),ROW($C$2:$C$10000)-ROW($C$2)+1),ROWS(L$20:L2909))))</f>
        <v/>
      </c>
      <c r="I2909" s="4" t="str">
        <f t="array" ref="I2909">IF(ROWS(M$20:M2909)&gt;$F$6,"",INDEX(C$2:C$10000,SMALL(IF(ISNUMBER(MATCH($B$2:$B$10000,$E$6:$E$22,0)),ROW($C$2:$C$10000)-ROW($C$2)+1),ROWS(M$20:M2909))))</f>
        <v/>
      </c>
      <c r="K2909" s="7" t="str">
        <f t="array" ref="K2909">IF(ROWS(K$20:K2909)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2909))))</f>
        <v/>
      </c>
      <c r="L2909" s="4" t="str">
        <f t="array" ref="L2909">IF(ROWS(L$20:L2909)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2909))))</f>
        <v/>
      </c>
      <c r="M2909" s="4" t="str">
        <f t="array" ref="M2909">IF(ROWS(M$20:M2909)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2909))))</f>
        <v/>
      </c>
    </row>
    <row r="2910" spans="1:13" x14ac:dyDescent="0.25">
      <c r="A2910" s="3">
        <v>41759</v>
      </c>
      <c r="B2910" s="2" t="s">
        <v>16</v>
      </c>
      <c r="C2910" s="2">
        <v>39</v>
      </c>
      <c r="G2910" s="7" t="str">
        <f t="array" ref="G2910">IF(ROWS(K$20:K2910)&gt;$F$6,"",INDEX(A$2:A$10000,SMALL(IF(ISNUMBER(MATCH($B$2:$B$10000,$E$6:$E$22,0)),ROW($C$2:$C$10000)-ROW($C$2)+1),ROWS(K$20:K2910))))</f>
        <v/>
      </c>
      <c r="H2910" s="4" t="str">
        <f t="array" ref="H2910">IF(ROWS(L$20:L2910)&gt;$F$6,"",INDEX(B$2:B$10000,SMALL(IF(ISNUMBER(MATCH($B$2:$B$10000,$E$6:$E$22,0)),ROW($C$2:$C$10000)-ROW($C$2)+1),ROWS(L$20:L2910))))</f>
        <v/>
      </c>
      <c r="I2910" s="4" t="str">
        <f t="array" ref="I2910">IF(ROWS(M$20:M2910)&gt;$F$6,"",INDEX(C$2:C$10000,SMALL(IF(ISNUMBER(MATCH($B$2:$B$10000,$E$6:$E$22,0)),ROW($C$2:$C$10000)-ROW($C$2)+1),ROWS(M$20:M2910))))</f>
        <v/>
      </c>
      <c r="K2910" s="7" t="str">
        <f t="array" ref="K2910">IF(ROWS(K$20:K2910)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2910))))</f>
        <v/>
      </c>
      <c r="L2910" s="4" t="str">
        <f t="array" ref="L2910">IF(ROWS(L$20:L2910)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2910))))</f>
        <v/>
      </c>
      <c r="M2910" s="4" t="str">
        <f t="array" ref="M2910">IF(ROWS(M$20:M2910)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2910))))</f>
        <v/>
      </c>
    </row>
    <row r="2911" spans="1:13" x14ac:dyDescent="0.25">
      <c r="A2911" s="3">
        <v>41524</v>
      </c>
      <c r="B2911" s="2" t="s">
        <v>22</v>
      </c>
      <c r="C2911" s="2">
        <v>36</v>
      </c>
      <c r="G2911" s="7" t="str">
        <f t="array" ref="G2911">IF(ROWS(K$20:K2911)&gt;$F$6,"",INDEX(A$2:A$10000,SMALL(IF(ISNUMBER(MATCH($B$2:$B$10000,$E$6:$E$22,0)),ROW($C$2:$C$10000)-ROW($C$2)+1),ROWS(K$20:K2911))))</f>
        <v/>
      </c>
      <c r="H2911" s="4" t="str">
        <f t="array" ref="H2911">IF(ROWS(L$20:L2911)&gt;$F$6,"",INDEX(B$2:B$10000,SMALL(IF(ISNUMBER(MATCH($B$2:$B$10000,$E$6:$E$22,0)),ROW($C$2:$C$10000)-ROW($C$2)+1),ROWS(L$20:L2911))))</f>
        <v/>
      </c>
      <c r="I2911" s="4" t="str">
        <f t="array" ref="I2911">IF(ROWS(M$20:M2911)&gt;$F$6,"",INDEX(C$2:C$10000,SMALL(IF(ISNUMBER(MATCH($B$2:$B$10000,$E$6:$E$22,0)),ROW($C$2:$C$10000)-ROW($C$2)+1),ROWS(M$20:M2911))))</f>
        <v/>
      </c>
      <c r="K2911" s="7" t="str">
        <f t="array" ref="K2911">IF(ROWS(K$20:K2911)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2911))))</f>
        <v/>
      </c>
      <c r="L2911" s="4" t="str">
        <f t="array" ref="L2911">IF(ROWS(L$20:L2911)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2911))))</f>
        <v/>
      </c>
      <c r="M2911" s="4" t="str">
        <f t="array" ref="M2911">IF(ROWS(M$20:M2911)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2911))))</f>
        <v/>
      </c>
    </row>
    <row r="2912" spans="1:13" x14ac:dyDescent="0.25">
      <c r="A2912" s="3">
        <v>41580</v>
      </c>
      <c r="B2912" s="2" t="s">
        <v>9</v>
      </c>
      <c r="C2912" s="2">
        <v>17</v>
      </c>
      <c r="G2912" s="7" t="str">
        <f t="array" ref="G2912">IF(ROWS(K$20:K2912)&gt;$F$6,"",INDEX(A$2:A$10000,SMALL(IF(ISNUMBER(MATCH($B$2:$B$10000,$E$6:$E$22,0)),ROW($C$2:$C$10000)-ROW($C$2)+1),ROWS(K$20:K2912))))</f>
        <v/>
      </c>
      <c r="H2912" s="4" t="str">
        <f t="array" ref="H2912">IF(ROWS(L$20:L2912)&gt;$F$6,"",INDEX(B$2:B$10000,SMALL(IF(ISNUMBER(MATCH($B$2:$B$10000,$E$6:$E$22,0)),ROW($C$2:$C$10000)-ROW($C$2)+1),ROWS(L$20:L2912))))</f>
        <v/>
      </c>
      <c r="I2912" s="4" t="str">
        <f t="array" ref="I2912">IF(ROWS(M$20:M2912)&gt;$F$6,"",INDEX(C$2:C$10000,SMALL(IF(ISNUMBER(MATCH($B$2:$B$10000,$E$6:$E$22,0)),ROW($C$2:$C$10000)-ROW($C$2)+1),ROWS(M$20:M2912))))</f>
        <v/>
      </c>
      <c r="K2912" s="7" t="str">
        <f t="array" ref="K2912">IF(ROWS(K$20:K2912)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2912))))</f>
        <v/>
      </c>
      <c r="L2912" s="4" t="str">
        <f t="array" ref="L2912">IF(ROWS(L$20:L2912)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2912))))</f>
        <v/>
      </c>
      <c r="M2912" s="4" t="str">
        <f t="array" ref="M2912">IF(ROWS(M$20:M2912)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2912))))</f>
        <v/>
      </c>
    </row>
    <row r="2913" spans="1:13" x14ac:dyDescent="0.25">
      <c r="A2913" s="3">
        <v>41472</v>
      </c>
      <c r="B2913" s="2" t="s">
        <v>11</v>
      </c>
      <c r="C2913" s="2">
        <v>29</v>
      </c>
      <c r="G2913" s="7" t="str">
        <f t="array" ref="G2913">IF(ROWS(K$20:K2913)&gt;$F$6,"",INDEX(A$2:A$10000,SMALL(IF(ISNUMBER(MATCH($B$2:$B$10000,$E$6:$E$22,0)),ROW($C$2:$C$10000)-ROW($C$2)+1),ROWS(K$20:K2913))))</f>
        <v/>
      </c>
      <c r="H2913" s="4" t="str">
        <f t="array" ref="H2913">IF(ROWS(L$20:L2913)&gt;$F$6,"",INDEX(B$2:B$10000,SMALL(IF(ISNUMBER(MATCH($B$2:$B$10000,$E$6:$E$22,0)),ROW($C$2:$C$10000)-ROW($C$2)+1),ROWS(L$20:L2913))))</f>
        <v/>
      </c>
      <c r="I2913" s="4" t="str">
        <f t="array" ref="I2913">IF(ROWS(M$20:M2913)&gt;$F$6,"",INDEX(C$2:C$10000,SMALL(IF(ISNUMBER(MATCH($B$2:$B$10000,$E$6:$E$22,0)),ROW($C$2:$C$10000)-ROW($C$2)+1),ROWS(M$20:M2913))))</f>
        <v/>
      </c>
      <c r="K2913" s="7" t="str">
        <f t="array" ref="K2913">IF(ROWS(K$20:K2913)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2913))))</f>
        <v/>
      </c>
      <c r="L2913" s="4" t="str">
        <f t="array" ref="L2913">IF(ROWS(L$20:L2913)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2913))))</f>
        <v/>
      </c>
      <c r="M2913" s="4" t="str">
        <f t="array" ref="M2913">IF(ROWS(M$20:M2913)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2913))))</f>
        <v/>
      </c>
    </row>
    <row r="2914" spans="1:13" x14ac:dyDescent="0.25">
      <c r="A2914" s="3">
        <v>42001</v>
      </c>
      <c r="B2914" s="2" t="s">
        <v>43</v>
      </c>
      <c r="C2914" s="2">
        <v>31</v>
      </c>
      <c r="G2914" s="7" t="str">
        <f t="array" ref="G2914">IF(ROWS(K$20:K2914)&gt;$F$6,"",INDEX(A$2:A$10000,SMALL(IF(ISNUMBER(MATCH($B$2:$B$10000,$E$6:$E$22,0)),ROW($C$2:$C$10000)-ROW($C$2)+1),ROWS(K$20:K2914))))</f>
        <v/>
      </c>
      <c r="H2914" s="4" t="str">
        <f t="array" ref="H2914">IF(ROWS(L$20:L2914)&gt;$F$6,"",INDEX(B$2:B$10000,SMALL(IF(ISNUMBER(MATCH($B$2:$B$10000,$E$6:$E$22,0)),ROW($C$2:$C$10000)-ROW($C$2)+1),ROWS(L$20:L2914))))</f>
        <v/>
      </c>
      <c r="I2914" s="4" t="str">
        <f t="array" ref="I2914">IF(ROWS(M$20:M2914)&gt;$F$6,"",INDEX(C$2:C$10000,SMALL(IF(ISNUMBER(MATCH($B$2:$B$10000,$E$6:$E$22,0)),ROW($C$2:$C$10000)-ROW($C$2)+1),ROWS(M$20:M2914))))</f>
        <v/>
      </c>
      <c r="K2914" s="7" t="str">
        <f t="array" ref="K2914">IF(ROWS(K$20:K2914)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2914))))</f>
        <v/>
      </c>
      <c r="L2914" s="4" t="str">
        <f t="array" ref="L2914">IF(ROWS(L$20:L2914)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2914))))</f>
        <v/>
      </c>
      <c r="M2914" s="4" t="str">
        <f t="array" ref="M2914">IF(ROWS(M$20:M2914)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2914))))</f>
        <v/>
      </c>
    </row>
    <row r="2915" spans="1:13" x14ac:dyDescent="0.25">
      <c r="A2915" s="3">
        <v>41821</v>
      </c>
      <c r="B2915" s="2" t="s">
        <v>23</v>
      </c>
      <c r="C2915" s="2">
        <v>39</v>
      </c>
      <c r="G2915" s="7" t="str">
        <f t="array" ref="G2915">IF(ROWS(K$20:K2915)&gt;$F$6,"",INDEX(A$2:A$10000,SMALL(IF(ISNUMBER(MATCH($B$2:$B$10000,$E$6:$E$22,0)),ROW($C$2:$C$10000)-ROW($C$2)+1),ROWS(K$20:K2915))))</f>
        <v/>
      </c>
      <c r="H2915" s="4" t="str">
        <f t="array" ref="H2915">IF(ROWS(L$20:L2915)&gt;$F$6,"",INDEX(B$2:B$10000,SMALL(IF(ISNUMBER(MATCH($B$2:$B$10000,$E$6:$E$22,0)),ROW($C$2:$C$10000)-ROW($C$2)+1),ROWS(L$20:L2915))))</f>
        <v/>
      </c>
      <c r="I2915" s="4" t="str">
        <f t="array" ref="I2915">IF(ROWS(M$20:M2915)&gt;$F$6,"",INDEX(C$2:C$10000,SMALL(IF(ISNUMBER(MATCH($B$2:$B$10000,$E$6:$E$22,0)),ROW($C$2:$C$10000)-ROW($C$2)+1),ROWS(M$20:M2915))))</f>
        <v/>
      </c>
      <c r="K2915" s="7" t="str">
        <f t="array" ref="K2915">IF(ROWS(K$20:K2915)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2915))))</f>
        <v/>
      </c>
      <c r="L2915" s="4" t="str">
        <f t="array" ref="L2915">IF(ROWS(L$20:L2915)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2915))))</f>
        <v/>
      </c>
      <c r="M2915" s="4" t="str">
        <f t="array" ref="M2915">IF(ROWS(M$20:M2915)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2915))))</f>
        <v/>
      </c>
    </row>
    <row r="2916" spans="1:13" x14ac:dyDescent="0.25">
      <c r="A2916" s="3">
        <v>41514</v>
      </c>
      <c r="B2916" s="2" t="s">
        <v>22</v>
      </c>
      <c r="C2916" s="2">
        <v>46</v>
      </c>
      <c r="G2916" s="7" t="str">
        <f t="array" ref="G2916">IF(ROWS(K$20:K2916)&gt;$F$6,"",INDEX(A$2:A$10000,SMALL(IF(ISNUMBER(MATCH($B$2:$B$10000,$E$6:$E$22,0)),ROW($C$2:$C$10000)-ROW($C$2)+1),ROWS(K$20:K2916))))</f>
        <v/>
      </c>
      <c r="H2916" s="4" t="str">
        <f t="array" ref="H2916">IF(ROWS(L$20:L2916)&gt;$F$6,"",INDEX(B$2:B$10000,SMALL(IF(ISNUMBER(MATCH($B$2:$B$10000,$E$6:$E$22,0)),ROW($C$2:$C$10000)-ROW($C$2)+1),ROWS(L$20:L2916))))</f>
        <v/>
      </c>
      <c r="I2916" s="4" t="str">
        <f t="array" ref="I2916">IF(ROWS(M$20:M2916)&gt;$F$6,"",INDEX(C$2:C$10000,SMALL(IF(ISNUMBER(MATCH($B$2:$B$10000,$E$6:$E$22,0)),ROW($C$2:$C$10000)-ROW($C$2)+1),ROWS(M$20:M2916))))</f>
        <v/>
      </c>
      <c r="K2916" s="7" t="str">
        <f t="array" ref="K2916">IF(ROWS(K$20:K2916)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2916))))</f>
        <v/>
      </c>
      <c r="L2916" s="4" t="str">
        <f t="array" ref="L2916">IF(ROWS(L$20:L2916)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2916))))</f>
        <v/>
      </c>
      <c r="M2916" s="4" t="str">
        <f t="array" ref="M2916">IF(ROWS(M$20:M2916)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2916))))</f>
        <v/>
      </c>
    </row>
    <row r="2917" spans="1:13" x14ac:dyDescent="0.25">
      <c r="A2917" s="3">
        <v>41786</v>
      </c>
      <c r="B2917" s="2" t="s">
        <v>20</v>
      </c>
      <c r="C2917" s="2">
        <v>44</v>
      </c>
      <c r="G2917" s="7" t="str">
        <f t="array" ref="G2917">IF(ROWS(K$20:K2917)&gt;$F$6,"",INDEX(A$2:A$10000,SMALL(IF(ISNUMBER(MATCH($B$2:$B$10000,$E$6:$E$22,0)),ROW($C$2:$C$10000)-ROW($C$2)+1),ROWS(K$20:K2917))))</f>
        <v/>
      </c>
      <c r="H2917" s="4" t="str">
        <f t="array" ref="H2917">IF(ROWS(L$20:L2917)&gt;$F$6,"",INDEX(B$2:B$10000,SMALL(IF(ISNUMBER(MATCH($B$2:$B$10000,$E$6:$E$22,0)),ROW($C$2:$C$10000)-ROW($C$2)+1),ROWS(L$20:L2917))))</f>
        <v/>
      </c>
      <c r="I2917" s="4" t="str">
        <f t="array" ref="I2917">IF(ROWS(M$20:M2917)&gt;$F$6,"",INDEX(C$2:C$10000,SMALL(IF(ISNUMBER(MATCH($B$2:$B$10000,$E$6:$E$22,0)),ROW($C$2:$C$10000)-ROW($C$2)+1),ROWS(M$20:M2917))))</f>
        <v/>
      </c>
      <c r="K2917" s="7" t="str">
        <f t="array" ref="K2917">IF(ROWS(K$20:K2917)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2917))))</f>
        <v/>
      </c>
      <c r="L2917" s="4" t="str">
        <f t="array" ref="L2917">IF(ROWS(L$20:L2917)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2917))))</f>
        <v/>
      </c>
      <c r="M2917" s="4" t="str">
        <f t="array" ref="M2917">IF(ROWS(M$20:M2917)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2917))))</f>
        <v/>
      </c>
    </row>
    <row r="2918" spans="1:13" x14ac:dyDescent="0.25">
      <c r="A2918" s="3">
        <v>41380</v>
      </c>
      <c r="B2918" s="2" t="s">
        <v>3</v>
      </c>
      <c r="C2918" s="2">
        <v>23</v>
      </c>
      <c r="G2918" s="7" t="str">
        <f t="array" ref="G2918">IF(ROWS(K$20:K2918)&gt;$F$6,"",INDEX(A$2:A$10000,SMALL(IF(ISNUMBER(MATCH($B$2:$B$10000,$E$6:$E$22,0)),ROW($C$2:$C$10000)-ROW($C$2)+1),ROWS(K$20:K2918))))</f>
        <v/>
      </c>
      <c r="H2918" s="4" t="str">
        <f t="array" ref="H2918">IF(ROWS(L$20:L2918)&gt;$F$6,"",INDEX(B$2:B$10000,SMALL(IF(ISNUMBER(MATCH($B$2:$B$10000,$E$6:$E$22,0)),ROW($C$2:$C$10000)-ROW($C$2)+1),ROWS(L$20:L2918))))</f>
        <v/>
      </c>
      <c r="I2918" s="4" t="str">
        <f t="array" ref="I2918">IF(ROWS(M$20:M2918)&gt;$F$6,"",INDEX(C$2:C$10000,SMALL(IF(ISNUMBER(MATCH($B$2:$B$10000,$E$6:$E$22,0)),ROW($C$2:$C$10000)-ROW($C$2)+1),ROWS(M$20:M2918))))</f>
        <v/>
      </c>
      <c r="K2918" s="7" t="str">
        <f t="array" ref="K2918">IF(ROWS(K$20:K2918)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2918))))</f>
        <v/>
      </c>
      <c r="L2918" s="4" t="str">
        <f t="array" ref="L2918">IF(ROWS(L$20:L2918)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2918))))</f>
        <v/>
      </c>
      <c r="M2918" s="4" t="str">
        <f t="array" ref="M2918">IF(ROWS(M$20:M2918)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2918))))</f>
        <v/>
      </c>
    </row>
    <row r="2919" spans="1:13" x14ac:dyDescent="0.25">
      <c r="A2919" s="3">
        <v>41417</v>
      </c>
      <c r="B2919" s="2" t="s">
        <v>24</v>
      </c>
      <c r="C2919" s="2">
        <v>32</v>
      </c>
      <c r="G2919" s="7" t="str">
        <f t="array" ref="G2919">IF(ROWS(K$20:K2919)&gt;$F$6,"",INDEX(A$2:A$10000,SMALL(IF(ISNUMBER(MATCH($B$2:$B$10000,$E$6:$E$22,0)),ROW($C$2:$C$10000)-ROW($C$2)+1),ROWS(K$20:K2919))))</f>
        <v/>
      </c>
      <c r="H2919" s="4" t="str">
        <f t="array" ref="H2919">IF(ROWS(L$20:L2919)&gt;$F$6,"",INDEX(B$2:B$10000,SMALL(IF(ISNUMBER(MATCH($B$2:$B$10000,$E$6:$E$22,0)),ROW($C$2:$C$10000)-ROW($C$2)+1),ROWS(L$20:L2919))))</f>
        <v/>
      </c>
      <c r="I2919" s="4" t="str">
        <f t="array" ref="I2919">IF(ROWS(M$20:M2919)&gt;$F$6,"",INDEX(C$2:C$10000,SMALL(IF(ISNUMBER(MATCH($B$2:$B$10000,$E$6:$E$22,0)),ROW($C$2:$C$10000)-ROW($C$2)+1),ROWS(M$20:M2919))))</f>
        <v/>
      </c>
      <c r="K2919" s="7" t="str">
        <f t="array" ref="K2919">IF(ROWS(K$20:K2919)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2919))))</f>
        <v/>
      </c>
      <c r="L2919" s="4" t="str">
        <f t="array" ref="L2919">IF(ROWS(L$20:L2919)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2919))))</f>
        <v/>
      </c>
      <c r="M2919" s="4" t="str">
        <f t="array" ref="M2919">IF(ROWS(M$20:M2919)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2919))))</f>
        <v/>
      </c>
    </row>
    <row r="2920" spans="1:13" x14ac:dyDescent="0.25">
      <c r="A2920" s="3">
        <v>41721</v>
      </c>
      <c r="B2920" s="2" t="s">
        <v>33</v>
      </c>
      <c r="C2920" s="2">
        <v>9</v>
      </c>
      <c r="G2920" s="7" t="str">
        <f t="array" ref="G2920">IF(ROWS(K$20:K2920)&gt;$F$6,"",INDEX(A$2:A$10000,SMALL(IF(ISNUMBER(MATCH($B$2:$B$10000,$E$6:$E$22,0)),ROW($C$2:$C$10000)-ROW($C$2)+1),ROWS(K$20:K2920))))</f>
        <v/>
      </c>
      <c r="H2920" s="4" t="str">
        <f t="array" ref="H2920">IF(ROWS(L$20:L2920)&gt;$F$6,"",INDEX(B$2:B$10000,SMALL(IF(ISNUMBER(MATCH($B$2:$B$10000,$E$6:$E$22,0)),ROW($C$2:$C$10000)-ROW($C$2)+1),ROWS(L$20:L2920))))</f>
        <v/>
      </c>
      <c r="I2920" s="4" t="str">
        <f t="array" ref="I2920">IF(ROWS(M$20:M2920)&gt;$F$6,"",INDEX(C$2:C$10000,SMALL(IF(ISNUMBER(MATCH($B$2:$B$10000,$E$6:$E$22,0)),ROW($C$2:$C$10000)-ROW($C$2)+1),ROWS(M$20:M2920))))</f>
        <v/>
      </c>
      <c r="K2920" s="7" t="str">
        <f t="array" ref="K2920">IF(ROWS(K$20:K2920)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2920))))</f>
        <v/>
      </c>
      <c r="L2920" s="4" t="str">
        <f t="array" ref="L2920">IF(ROWS(L$20:L2920)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2920))))</f>
        <v/>
      </c>
      <c r="M2920" s="4" t="str">
        <f t="array" ref="M2920">IF(ROWS(M$20:M2920)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2920))))</f>
        <v/>
      </c>
    </row>
    <row r="2921" spans="1:13" x14ac:dyDescent="0.25">
      <c r="A2921" s="3">
        <v>41409</v>
      </c>
      <c r="B2921" s="2" t="s">
        <v>16</v>
      </c>
      <c r="C2921" s="2">
        <v>23</v>
      </c>
      <c r="G2921" s="7" t="str">
        <f t="array" ref="G2921">IF(ROWS(K$20:K2921)&gt;$F$6,"",INDEX(A$2:A$10000,SMALL(IF(ISNUMBER(MATCH($B$2:$B$10000,$E$6:$E$22,0)),ROW($C$2:$C$10000)-ROW($C$2)+1),ROWS(K$20:K2921))))</f>
        <v/>
      </c>
      <c r="H2921" s="4" t="str">
        <f t="array" ref="H2921">IF(ROWS(L$20:L2921)&gt;$F$6,"",INDEX(B$2:B$10000,SMALL(IF(ISNUMBER(MATCH($B$2:$B$10000,$E$6:$E$22,0)),ROW($C$2:$C$10000)-ROW($C$2)+1),ROWS(L$20:L2921))))</f>
        <v/>
      </c>
      <c r="I2921" s="4" t="str">
        <f t="array" ref="I2921">IF(ROWS(M$20:M2921)&gt;$F$6,"",INDEX(C$2:C$10000,SMALL(IF(ISNUMBER(MATCH($B$2:$B$10000,$E$6:$E$22,0)),ROW($C$2:$C$10000)-ROW($C$2)+1),ROWS(M$20:M2921))))</f>
        <v/>
      </c>
      <c r="K2921" s="7" t="str">
        <f t="array" ref="K2921">IF(ROWS(K$20:K2921)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2921))))</f>
        <v/>
      </c>
      <c r="L2921" s="4" t="str">
        <f t="array" ref="L2921">IF(ROWS(L$20:L2921)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2921))))</f>
        <v/>
      </c>
      <c r="M2921" s="4" t="str">
        <f t="array" ref="M2921">IF(ROWS(M$20:M2921)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2921))))</f>
        <v/>
      </c>
    </row>
    <row r="2922" spans="1:13" x14ac:dyDescent="0.25">
      <c r="A2922" s="3">
        <v>41546</v>
      </c>
      <c r="B2922" s="2" t="s">
        <v>17</v>
      </c>
      <c r="C2922" s="2">
        <v>34</v>
      </c>
      <c r="G2922" s="7" t="str">
        <f t="array" ref="G2922">IF(ROWS(K$20:K2922)&gt;$F$6,"",INDEX(A$2:A$10000,SMALL(IF(ISNUMBER(MATCH($B$2:$B$10000,$E$6:$E$22,0)),ROW($C$2:$C$10000)-ROW($C$2)+1),ROWS(K$20:K2922))))</f>
        <v/>
      </c>
      <c r="H2922" s="4" t="str">
        <f t="array" ref="H2922">IF(ROWS(L$20:L2922)&gt;$F$6,"",INDEX(B$2:B$10000,SMALL(IF(ISNUMBER(MATCH($B$2:$B$10000,$E$6:$E$22,0)),ROW($C$2:$C$10000)-ROW($C$2)+1),ROWS(L$20:L2922))))</f>
        <v/>
      </c>
      <c r="I2922" s="4" t="str">
        <f t="array" ref="I2922">IF(ROWS(M$20:M2922)&gt;$F$6,"",INDEX(C$2:C$10000,SMALL(IF(ISNUMBER(MATCH($B$2:$B$10000,$E$6:$E$22,0)),ROW($C$2:$C$10000)-ROW($C$2)+1),ROWS(M$20:M2922))))</f>
        <v/>
      </c>
      <c r="K2922" s="7" t="str">
        <f t="array" ref="K2922">IF(ROWS(K$20:K2922)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2922))))</f>
        <v/>
      </c>
      <c r="L2922" s="4" t="str">
        <f t="array" ref="L2922">IF(ROWS(L$20:L2922)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2922))))</f>
        <v/>
      </c>
      <c r="M2922" s="4" t="str">
        <f t="array" ref="M2922">IF(ROWS(M$20:M2922)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2922))))</f>
        <v/>
      </c>
    </row>
    <row r="2923" spans="1:13" x14ac:dyDescent="0.25">
      <c r="A2923" s="3">
        <v>41431</v>
      </c>
      <c r="B2923" s="2" t="s">
        <v>10</v>
      </c>
      <c r="C2923" s="2">
        <v>34</v>
      </c>
      <c r="G2923" s="7" t="str">
        <f t="array" ref="G2923">IF(ROWS(K$20:K2923)&gt;$F$6,"",INDEX(A$2:A$10000,SMALL(IF(ISNUMBER(MATCH($B$2:$B$10000,$E$6:$E$22,0)),ROW($C$2:$C$10000)-ROW($C$2)+1),ROWS(K$20:K2923))))</f>
        <v/>
      </c>
      <c r="H2923" s="4" t="str">
        <f t="array" ref="H2923">IF(ROWS(L$20:L2923)&gt;$F$6,"",INDEX(B$2:B$10000,SMALL(IF(ISNUMBER(MATCH($B$2:$B$10000,$E$6:$E$22,0)),ROW($C$2:$C$10000)-ROW($C$2)+1),ROWS(L$20:L2923))))</f>
        <v/>
      </c>
      <c r="I2923" s="4" t="str">
        <f t="array" ref="I2923">IF(ROWS(M$20:M2923)&gt;$F$6,"",INDEX(C$2:C$10000,SMALL(IF(ISNUMBER(MATCH($B$2:$B$10000,$E$6:$E$22,0)),ROW($C$2:$C$10000)-ROW($C$2)+1),ROWS(M$20:M2923))))</f>
        <v/>
      </c>
      <c r="K2923" s="7" t="str">
        <f t="array" ref="K2923">IF(ROWS(K$20:K2923)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2923))))</f>
        <v/>
      </c>
      <c r="L2923" s="4" t="str">
        <f t="array" ref="L2923">IF(ROWS(L$20:L2923)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2923))))</f>
        <v/>
      </c>
      <c r="M2923" s="4" t="str">
        <f t="array" ref="M2923">IF(ROWS(M$20:M2923)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2923))))</f>
        <v/>
      </c>
    </row>
    <row r="2924" spans="1:13" x14ac:dyDescent="0.25">
      <c r="A2924" s="3">
        <v>41710</v>
      </c>
      <c r="B2924" s="2" t="s">
        <v>23</v>
      </c>
      <c r="C2924" s="2">
        <v>45</v>
      </c>
      <c r="G2924" s="7" t="str">
        <f t="array" ref="G2924">IF(ROWS(K$20:K2924)&gt;$F$6,"",INDEX(A$2:A$10000,SMALL(IF(ISNUMBER(MATCH($B$2:$B$10000,$E$6:$E$22,0)),ROW($C$2:$C$10000)-ROW($C$2)+1),ROWS(K$20:K2924))))</f>
        <v/>
      </c>
      <c r="H2924" s="4" t="str">
        <f t="array" ref="H2924">IF(ROWS(L$20:L2924)&gt;$F$6,"",INDEX(B$2:B$10000,SMALL(IF(ISNUMBER(MATCH($B$2:$B$10000,$E$6:$E$22,0)),ROW($C$2:$C$10000)-ROW($C$2)+1),ROWS(L$20:L2924))))</f>
        <v/>
      </c>
      <c r="I2924" s="4" t="str">
        <f t="array" ref="I2924">IF(ROWS(M$20:M2924)&gt;$F$6,"",INDEX(C$2:C$10000,SMALL(IF(ISNUMBER(MATCH($B$2:$B$10000,$E$6:$E$22,0)),ROW($C$2:$C$10000)-ROW($C$2)+1),ROWS(M$20:M2924))))</f>
        <v/>
      </c>
      <c r="K2924" s="7" t="str">
        <f t="array" ref="K2924">IF(ROWS(K$20:K2924)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2924))))</f>
        <v/>
      </c>
      <c r="L2924" s="4" t="str">
        <f t="array" ref="L2924">IF(ROWS(L$20:L2924)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2924))))</f>
        <v/>
      </c>
      <c r="M2924" s="4" t="str">
        <f t="array" ref="M2924">IF(ROWS(M$20:M2924)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2924))))</f>
        <v/>
      </c>
    </row>
    <row r="2925" spans="1:13" x14ac:dyDescent="0.25">
      <c r="A2925" s="3">
        <v>41733</v>
      </c>
      <c r="B2925" s="2" t="s">
        <v>38</v>
      </c>
      <c r="C2925" s="2">
        <v>24</v>
      </c>
      <c r="G2925" s="7" t="str">
        <f t="array" ref="G2925">IF(ROWS(K$20:K2925)&gt;$F$6,"",INDEX(A$2:A$10000,SMALL(IF(ISNUMBER(MATCH($B$2:$B$10000,$E$6:$E$22,0)),ROW($C$2:$C$10000)-ROW($C$2)+1),ROWS(K$20:K2925))))</f>
        <v/>
      </c>
      <c r="H2925" s="4" t="str">
        <f t="array" ref="H2925">IF(ROWS(L$20:L2925)&gt;$F$6,"",INDEX(B$2:B$10000,SMALL(IF(ISNUMBER(MATCH($B$2:$B$10000,$E$6:$E$22,0)),ROW($C$2:$C$10000)-ROW($C$2)+1),ROWS(L$20:L2925))))</f>
        <v/>
      </c>
      <c r="I2925" s="4" t="str">
        <f t="array" ref="I2925">IF(ROWS(M$20:M2925)&gt;$F$6,"",INDEX(C$2:C$10000,SMALL(IF(ISNUMBER(MATCH($B$2:$B$10000,$E$6:$E$22,0)),ROW($C$2:$C$10000)-ROW($C$2)+1),ROWS(M$20:M2925))))</f>
        <v/>
      </c>
      <c r="K2925" s="7" t="str">
        <f t="array" ref="K2925">IF(ROWS(K$20:K2925)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2925))))</f>
        <v/>
      </c>
      <c r="L2925" s="4" t="str">
        <f t="array" ref="L2925">IF(ROWS(L$20:L2925)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2925))))</f>
        <v/>
      </c>
      <c r="M2925" s="4" t="str">
        <f t="array" ref="M2925">IF(ROWS(M$20:M2925)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2925))))</f>
        <v/>
      </c>
    </row>
    <row r="2926" spans="1:13" x14ac:dyDescent="0.25">
      <c r="A2926" s="3">
        <v>41371</v>
      </c>
      <c r="B2926" s="2" t="s">
        <v>29</v>
      </c>
      <c r="C2926" s="2">
        <v>33</v>
      </c>
      <c r="G2926" s="7" t="str">
        <f t="array" ref="G2926">IF(ROWS(K$20:K2926)&gt;$F$6,"",INDEX(A$2:A$10000,SMALL(IF(ISNUMBER(MATCH($B$2:$B$10000,$E$6:$E$22,0)),ROW($C$2:$C$10000)-ROW($C$2)+1),ROWS(K$20:K2926))))</f>
        <v/>
      </c>
      <c r="H2926" s="4" t="str">
        <f t="array" ref="H2926">IF(ROWS(L$20:L2926)&gt;$F$6,"",INDEX(B$2:B$10000,SMALL(IF(ISNUMBER(MATCH($B$2:$B$10000,$E$6:$E$22,0)),ROW($C$2:$C$10000)-ROW($C$2)+1),ROWS(L$20:L2926))))</f>
        <v/>
      </c>
      <c r="I2926" s="4" t="str">
        <f t="array" ref="I2926">IF(ROWS(M$20:M2926)&gt;$F$6,"",INDEX(C$2:C$10000,SMALL(IF(ISNUMBER(MATCH($B$2:$B$10000,$E$6:$E$22,0)),ROW($C$2:$C$10000)-ROW($C$2)+1),ROWS(M$20:M2926))))</f>
        <v/>
      </c>
      <c r="K2926" s="7" t="str">
        <f t="array" ref="K2926">IF(ROWS(K$20:K2926)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2926))))</f>
        <v/>
      </c>
      <c r="L2926" s="4" t="str">
        <f t="array" ref="L2926">IF(ROWS(L$20:L2926)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2926))))</f>
        <v/>
      </c>
      <c r="M2926" s="4" t="str">
        <f t="array" ref="M2926">IF(ROWS(M$20:M2926)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2926))))</f>
        <v/>
      </c>
    </row>
    <row r="2927" spans="1:13" x14ac:dyDescent="0.25">
      <c r="A2927" s="3">
        <v>41830</v>
      </c>
      <c r="B2927" s="2" t="s">
        <v>22</v>
      </c>
      <c r="C2927" s="2">
        <v>33</v>
      </c>
      <c r="G2927" s="7" t="str">
        <f t="array" ref="G2927">IF(ROWS(K$20:K2927)&gt;$F$6,"",INDEX(A$2:A$10000,SMALL(IF(ISNUMBER(MATCH($B$2:$B$10000,$E$6:$E$22,0)),ROW($C$2:$C$10000)-ROW($C$2)+1),ROWS(K$20:K2927))))</f>
        <v/>
      </c>
      <c r="H2927" s="4" t="str">
        <f t="array" ref="H2927">IF(ROWS(L$20:L2927)&gt;$F$6,"",INDEX(B$2:B$10000,SMALL(IF(ISNUMBER(MATCH($B$2:$B$10000,$E$6:$E$22,0)),ROW($C$2:$C$10000)-ROW($C$2)+1),ROWS(L$20:L2927))))</f>
        <v/>
      </c>
      <c r="I2927" s="4" t="str">
        <f t="array" ref="I2927">IF(ROWS(M$20:M2927)&gt;$F$6,"",INDEX(C$2:C$10000,SMALL(IF(ISNUMBER(MATCH($B$2:$B$10000,$E$6:$E$22,0)),ROW($C$2:$C$10000)-ROW($C$2)+1),ROWS(M$20:M2927))))</f>
        <v/>
      </c>
      <c r="K2927" s="7" t="str">
        <f t="array" ref="K2927">IF(ROWS(K$20:K2927)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2927))))</f>
        <v/>
      </c>
      <c r="L2927" s="4" t="str">
        <f t="array" ref="L2927">IF(ROWS(L$20:L2927)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2927))))</f>
        <v/>
      </c>
      <c r="M2927" s="4" t="str">
        <f t="array" ref="M2927">IF(ROWS(M$20:M2927)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2927))))</f>
        <v/>
      </c>
    </row>
    <row r="2928" spans="1:13" x14ac:dyDescent="0.25">
      <c r="A2928" s="3">
        <v>41697</v>
      </c>
      <c r="B2928" s="2" t="s">
        <v>40</v>
      </c>
      <c r="C2928" s="2">
        <v>49</v>
      </c>
      <c r="G2928" s="7" t="str">
        <f t="array" ref="G2928">IF(ROWS(K$20:K2928)&gt;$F$6,"",INDEX(A$2:A$10000,SMALL(IF(ISNUMBER(MATCH($B$2:$B$10000,$E$6:$E$22,0)),ROW($C$2:$C$10000)-ROW($C$2)+1),ROWS(K$20:K2928))))</f>
        <v/>
      </c>
      <c r="H2928" s="4" t="str">
        <f t="array" ref="H2928">IF(ROWS(L$20:L2928)&gt;$F$6,"",INDEX(B$2:B$10000,SMALL(IF(ISNUMBER(MATCH($B$2:$B$10000,$E$6:$E$22,0)),ROW($C$2:$C$10000)-ROW($C$2)+1),ROWS(L$20:L2928))))</f>
        <v/>
      </c>
      <c r="I2928" s="4" t="str">
        <f t="array" ref="I2928">IF(ROWS(M$20:M2928)&gt;$F$6,"",INDEX(C$2:C$10000,SMALL(IF(ISNUMBER(MATCH($B$2:$B$10000,$E$6:$E$22,0)),ROW($C$2:$C$10000)-ROW($C$2)+1),ROWS(M$20:M2928))))</f>
        <v/>
      </c>
      <c r="K2928" s="7" t="str">
        <f t="array" ref="K2928">IF(ROWS(K$20:K2928)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2928))))</f>
        <v/>
      </c>
      <c r="L2928" s="4" t="str">
        <f t="array" ref="L2928">IF(ROWS(L$20:L2928)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2928))))</f>
        <v/>
      </c>
      <c r="M2928" s="4" t="str">
        <f t="array" ref="M2928">IF(ROWS(M$20:M2928)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2928))))</f>
        <v/>
      </c>
    </row>
    <row r="2929" spans="1:13" x14ac:dyDescent="0.25">
      <c r="A2929" s="3">
        <v>41812</v>
      </c>
      <c r="B2929" s="2" t="s">
        <v>18</v>
      </c>
      <c r="C2929" s="2">
        <v>9</v>
      </c>
      <c r="G2929" s="7" t="str">
        <f t="array" ref="G2929">IF(ROWS(K$20:K2929)&gt;$F$6,"",INDEX(A$2:A$10000,SMALL(IF(ISNUMBER(MATCH($B$2:$B$10000,$E$6:$E$22,0)),ROW($C$2:$C$10000)-ROW($C$2)+1),ROWS(K$20:K2929))))</f>
        <v/>
      </c>
      <c r="H2929" s="4" t="str">
        <f t="array" ref="H2929">IF(ROWS(L$20:L2929)&gt;$F$6,"",INDEX(B$2:B$10000,SMALL(IF(ISNUMBER(MATCH($B$2:$B$10000,$E$6:$E$22,0)),ROW($C$2:$C$10000)-ROW($C$2)+1),ROWS(L$20:L2929))))</f>
        <v/>
      </c>
      <c r="I2929" s="4" t="str">
        <f t="array" ref="I2929">IF(ROWS(M$20:M2929)&gt;$F$6,"",INDEX(C$2:C$10000,SMALL(IF(ISNUMBER(MATCH($B$2:$B$10000,$E$6:$E$22,0)),ROW($C$2:$C$10000)-ROW($C$2)+1),ROWS(M$20:M2929))))</f>
        <v/>
      </c>
      <c r="K2929" s="7" t="str">
        <f t="array" ref="K2929">IF(ROWS(K$20:K2929)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2929))))</f>
        <v/>
      </c>
      <c r="L2929" s="4" t="str">
        <f t="array" ref="L2929">IF(ROWS(L$20:L2929)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2929))))</f>
        <v/>
      </c>
      <c r="M2929" s="4" t="str">
        <f t="array" ref="M2929">IF(ROWS(M$20:M2929)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2929))))</f>
        <v/>
      </c>
    </row>
    <row r="2930" spans="1:13" x14ac:dyDescent="0.25">
      <c r="A2930" s="3">
        <v>41941</v>
      </c>
      <c r="B2930" s="2" t="s">
        <v>47</v>
      </c>
      <c r="C2930" s="2">
        <v>48</v>
      </c>
      <c r="G2930" s="7" t="str">
        <f t="array" ref="G2930">IF(ROWS(K$20:K2930)&gt;$F$6,"",INDEX(A$2:A$10000,SMALL(IF(ISNUMBER(MATCH($B$2:$B$10000,$E$6:$E$22,0)),ROW($C$2:$C$10000)-ROW($C$2)+1),ROWS(K$20:K2930))))</f>
        <v/>
      </c>
      <c r="H2930" s="4" t="str">
        <f t="array" ref="H2930">IF(ROWS(L$20:L2930)&gt;$F$6,"",INDEX(B$2:B$10000,SMALL(IF(ISNUMBER(MATCH($B$2:$B$10000,$E$6:$E$22,0)),ROW($C$2:$C$10000)-ROW($C$2)+1),ROWS(L$20:L2930))))</f>
        <v/>
      </c>
      <c r="I2930" s="4" t="str">
        <f t="array" ref="I2930">IF(ROWS(M$20:M2930)&gt;$F$6,"",INDEX(C$2:C$10000,SMALL(IF(ISNUMBER(MATCH($B$2:$B$10000,$E$6:$E$22,0)),ROW($C$2:$C$10000)-ROW($C$2)+1),ROWS(M$20:M2930))))</f>
        <v/>
      </c>
      <c r="K2930" s="7" t="str">
        <f t="array" ref="K2930">IF(ROWS(K$20:K2930)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2930))))</f>
        <v/>
      </c>
      <c r="L2930" s="4" t="str">
        <f t="array" ref="L2930">IF(ROWS(L$20:L2930)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2930))))</f>
        <v/>
      </c>
      <c r="M2930" s="4" t="str">
        <f t="array" ref="M2930">IF(ROWS(M$20:M2930)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2930))))</f>
        <v/>
      </c>
    </row>
    <row r="2931" spans="1:13" x14ac:dyDescent="0.25">
      <c r="A2931" s="3">
        <v>41736</v>
      </c>
      <c r="B2931" s="2" t="s">
        <v>11</v>
      </c>
      <c r="C2931" s="2">
        <v>22</v>
      </c>
      <c r="G2931" s="7" t="str">
        <f t="array" ref="G2931">IF(ROWS(K$20:K2931)&gt;$F$6,"",INDEX(A$2:A$10000,SMALL(IF(ISNUMBER(MATCH($B$2:$B$10000,$E$6:$E$22,0)),ROW($C$2:$C$10000)-ROW($C$2)+1),ROWS(K$20:K2931))))</f>
        <v/>
      </c>
      <c r="H2931" s="4" t="str">
        <f t="array" ref="H2931">IF(ROWS(L$20:L2931)&gt;$F$6,"",INDEX(B$2:B$10000,SMALL(IF(ISNUMBER(MATCH($B$2:$B$10000,$E$6:$E$22,0)),ROW($C$2:$C$10000)-ROW($C$2)+1),ROWS(L$20:L2931))))</f>
        <v/>
      </c>
      <c r="I2931" s="4" t="str">
        <f t="array" ref="I2931">IF(ROWS(M$20:M2931)&gt;$F$6,"",INDEX(C$2:C$10000,SMALL(IF(ISNUMBER(MATCH($B$2:$B$10000,$E$6:$E$22,0)),ROW($C$2:$C$10000)-ROW($C$2)+1),ROWS(M$20:M2931))))</f>
        <v/>
      </c>
      <c r="K2931" s="7" t="str">
        <f t="array" ref="K2931">IF(ROWS(K$20:K2931)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2931))))</f>
        <v/>
      </c>
      <c r="L2931" s="4" t="str">
        <f t="array" ref="L2931">IF(ROWS(L$20:L2931)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2931))))</f>
        <v/>
      </c>
      <c r="M2931" s="4" t="str">
        <f t="array" ref="M2931">IF(ROWS(M$20:M2931)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2931))))</f>
        <v/>
      </c>
    </row>
    <row r="2932" spans="1:13" x14ac:dyDescent="0.25">
      <c r="A2932" s="3">
        <v>41288</v>
      </c>
      <c r="B2932" s="2" t="s">
        <v>3</v>
      </c>
      <c r="C2932" s="2">
        <v>34</v>
      </c>
      <c r="G2932" s="7" t="str">
        <f t="array" ref="G2932">IF(ROWS(K$20:K2932)&gt;$F$6,"",INDEX(A$2:A$10000,SMALL(IF(ISNUMBER(MATCH($B$2:$B$10000,$E$6:$E$22,0)),ROW($C$2:$C$10000)-ROW($C$2)+1),ROWS(K$20:K2932))))</f>
        <v/>
      </c>
      <c r="H2932" s="4" t="str">
        <f t="array" ref="H2932">IF(ROWS(L$20:L2932)&gt;$F$6,"",INDEX(B$2:B$10000,SMALL(IF(ISNUMBER(MATCH($B$2:$B$10000,$E$6:$E$22,0)),ROW($C$2:$C$10000)-ROW($C$2)+1),ROWS(L$20:L2932))))</f>
        <v/>
      </c>
      <c r="I2932" s="4" t="str">
        <f t="array" ref="I2932">IF(ROWS(M$20:M2932)&gt;$F$6,"",INDEX(C$2:C$10000,SMALL(IF(ISNUMBER(MATCH($B$2:$B$10000,$E$6:$E$22,0)),ROW($C$2:$C$10000)-ROW($C$2)+1),ROWS(M$20:M2932))))</f>
        <v/>
      </c>
      <c r="K2932" s="7" t="str">
        <f t="array" ref="K2932">IF(ROWS(K$20:K2932)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2932))))</f>
        <v/>
      </c>
      <c r="L2932" s="4" t="str">
        <f t="array" ref="L2932">IF(ROWS(L$20:L2932)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2932))))</f>
        <v/>
      </c>
      <c r="M2932" s="4" t="str">
        <f t="array" ref="M2932">IF(ROWS(M$20:M2932)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2932))))</f>
        <v/>
      </c>
    </row>
    <row r="2933" spans="1:13" x14ac:dyDescent="0.25">
      <c r="A2933" s="3">
        <v>41615</v>
      </c>
      <c r="B2933" s="2" t="s">
        <v>14</v>
      </c>
      <c r="C2933" s="2">
        <v>34</v>
      </c>
      <c r="G2933" s="7" t="str">
        <f t="array" ref="G2933">IF(ROWS(K$20:K2933)&gt;$F$6,"",INDEX(A$2:A$10000,SMALL(IF(ISNUMBER(MATCH($B$2:$B$10000,$E$6:$E$22,0)),ROW($C$2:$C$10000)-ROW($C$2)+1),ROWS(K$20:K2933))))</f>
        <v/>
      </c>
      <c r="H2933" s="4" t="str">
        <f t="array" ref="H2933">IF(ROWS(L$20:L2933)&gt;$F$6,"",INDEX(B$2:B$10000,SMALL(IF(ISNUMBER(MATCH($B$2:$B$10000,$E$6:$E$22,0)),ROW($C$2:$C$10000)-ROW($C$2)+1),ROWS(L$20:L2933))))</f>
        <v/>
      </c>
      <c r="I2933" s="4" t="str">
        <f t="array" ref="I2933">IF(ROWS(M$20:M2933)&gt;$F$6,"",INDEX(C$2:C$10000,SMALL(IF(ISNUMBER(MATCH($B$2:$B$10000,$E$6:$E$22,0)),ROW($C$2:$C$10000)-ROW($C$2)+1),ROWS(M$20:M2933))))</f>
        <v/>
      </c>
      <c r="K2933" s="7" t="str">
        <f t="array" ref="K2933">IF(ROWS(K$20:K2933)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2933))))</f>
        <v/>
      </c>
      <c r="L2933" s="4" t="str">
        <f t="array" ref="L2933">IF(ROWS(L$20:L2933)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2933))))</f>
        <v/>
      </c>
      <c r="M2933" s="4" t="str">
        <f t="array" ref="M2933">IF(ROWS(M$20:M2933)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2933))))</f>
        <v/>
      </c>
    </row>
    <row r="2934" spans="1:13" x14ac:dyDescent="0.25">
      <c r="A2934" s="3">
        <v>41713</v>
      </c>
      <c r="B2934" s="2" t="s">
        <v>42</v>
      </c>
      <c r="C2934" s="2">
        <v>34</v>
      </c>
      <c r="G2934" s="7" t="str">
        <f t="array" ref="G2934">IF(ROWS(K$20:K2934)&gt;$F$6,"",INDEX(A$2:A$10000,SMALL(IF(ISNUMBER(MATCH($B$2:$B$10000,$E$6:$E$22,0)),ROW($C$2:$C$10000)-ROW($C$2)+1),ROWS(K$20:K2934))))</f>
        <v/>
      </c>
      <c r="H2934" s="4" t="str">
        <f t="array" ref="H2934">IF(ROWS(L$20:L2934)&gt;$F$6,"",INDEX(B$2:B$10000,SMALL(IF(ISNUMBER(MATCH($B$2:$B$10000,$E$6:$E$22,0)),ROW($C$2:$C$10000)-ROW($C$2)+1),ROWS(L$20:L2934))))</f>
        <v/>
      </c>
      <c r="I2934" s="4" t="str">
        <f t="array" ref="I2934">IF(ROWS(M$20:M2934)&gt;$F$6,"",INDEX(C$2:C$10000,SMALL(IF(ISNUMBER(MATCH($B$2:$B$10000,$E$6:$E$22,0)),ROW($C$2:$C$10000)-ROW($C$2)+1),ROWS(M$20:M2934))))</f>
        <v/>
      </c>
      <c r="K2934" s="7" t="str">
        <f t="array" ref="K2934">IF(ROWS(K$20:K2934)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2934))))</f>
        <v/>
      </c>
      <c r="L2934" s="4" t="str">
        <f t="array" ref="L2934">IF(ROWS(L$20:L2934)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2934))))</f>
        <v/>
      </c>
      <c r="M2934" s="4" t="str">
        <f t="array" ref="M2934">IF(ROWS(M$20:M2934)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2934))))</f>
        <v/>
      </c>
    </row>
    <row r="2935" spans="1:13" x14ac:dyDescent="0.25">
      <c r="A2935" s="3">
        <v>41700</v>
      </c>
      <c r="B2935" s="2" t="s">
        <v>44</v>
      </c>
      <c r="C2935" s="2">
        <v>24</v>
      </c>
      <c r="G2935" s="7" t="str">
        <f t="array" ref="G2935">IF(ROWS(K$20:K2935)&gt;$F$6,"",INDEX(A$2:A$10000,SMALL(IF(ISNUMBER(MATCH($B$2:$B$10000,$E$6:$E$22,0)),ROW($C$2:$C$10000)-ROW($C$2)+1),ROWS(K$20:K2935))))</f>
        <v/>
      </c>
      <c r="H2935" s="4" t="str">
        <f t="array" ref="H2935">IF(ROWS(L$20:L2935)&gt;$F$6,"",INDEX(B$2:B$10000,SMALL(IF(ISNUMBER(MATCH($B$2:$B$10000,$E$6:$E$22,0)),ROW($C$2:$C$10000)-ROW($C$2)+1),ROWS(L$20:L2935))))</f>
        <v/>
      </c>
      <c r="I2935" s="4" t="str">
        <f t="array" ref="I2935">IF(ROWS(M$20:M2935)&gt;$F$6,"",INDEX(C$2:C$10000,SMALL(IF(ISNUMBER(MATCH($B$2:$B$10000,$E$6:$E$22,0)),ROW($C$2:$C$10000)-ROW($C$2)+1),ROWS(M$20:M2935))))</f>
        <v/>
      </c>
      <c r="K2935" s="7" t="str">
        <f t="array" ref="K2935">IF(ROWS(K$20:K2935)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2935))))</f>
        <v/>
      </c>
      <c r="L2935" s="4" t="str">
        <f t="array" ref="L2935">IF(ROWS(L$20:L2935)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2935))))</f>
        <v/>
      </c>
      <c r="M2935" s="4" t="str">
        <f t="array" ref="M2935">IF(ROWS(M$20:M2935)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2935))))</f>
        <v/>
      </c>
    </row>
    <row r="2936" spans="1:13" x14ac:dyDescent="0.25">
      <c r="A2936" s="3">
        <v>41819</v>
      </c>
      <c r="B2936" s="2" t="s">
        <v>31</v>
      </c>
      <c r="C2936" s="2">
        <v>24</v>
      </c>
      <c r="G2936" s="7" t="str">
        <f t="array" ref="G2936">IF(ROWS(K$20:K2936)&gt;$F$6,"",INDEX(A$2:A$10000,SMALL(IF(ISNUMBER(MATCH($B$2:$B$10000,$E$6:$E$22,0)),ROW($C$2:$C$10000)-ROW($C$2)+1),ROWS(K$20:K2936))))</f>
        <v/>
      </c>
      <c r="H2936" s="4" t="str">
        <f t="array" ref="H2936">IF(ROWS(L$20:L2936)&gt;$F$6,"",INDEX(B$2:B$10000,SMALL(IF(ISNUMBER(MATCH($B$2:$B$10000,$E$6:$E$22,0)),ROW($C$2:$C$10000)-ROW($C$2)+1),ROWS(L$20:L2936))))</f>
        <v/>
      </c>
      <c r="I2936" s="4" t="str">
        <f t="array" ref="I2936">IF(ROWS(M$20:M2936)&gt;$F$6,"",INDEX(C$2:C$10000,SMALL(IF(ISNUMBER(MATCH($B$2:$B$10000,$E$6:$E$22,0)),ROW($C$2:$C$10000)-ROW($C$2)+1),ROWS(M$20:M2936))))</f>
        <v/>
      </c>
      <c r="K2936" s="7" t="str">
        <f t="array" ref="K2936">IF(ROWS(K$20:K2936)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2936))))</f>
        <v/>
      </c>
      <c r="L2936" s="4" t="str">
        <f t="array" ref="L2936">IF(ROWS(L$20:L2936)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2936))))</f>
        <v/>
      </c>
      <c r="M2936" s="4" t="str">
        <f t="array" ref="M2936">IF(ROWS(M$20:M2936)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2936))))</f>
        <v/>
      </c>
    </row>
    <row r="2937" spans="1:13" x14ac:dyDescent="0.25">
      <c r="A2937" s="3">
        <v>41357</v>
      </c>
      <c r="B2937" s="2" t="s">
        <v>35</v>
      </c>
      <c r="C2937" s="2">
        <v>42</v>
      </c>
      <c r="G2937" s="7" t="str">
        <f t="array" ref="G2937">IF(ROWS(K$20:K2937)&gt;$F$6,"",INDEX(A$2:A$10000,SMALL(IF(ISNUMBER(MATCH($B$2:$B$10000,$E$6:$E$22,0)),ROW($C$2:$C$10000)-ROW($C$2)+1),ROWS(K$20:K2937))))</f>
        <v/>
      </c>
      <c r="H2937" s="4" t="str">
        <f t="array" ref="H2937">IF(ROWS(L$20:L2937)&gt;$F$6,"",INDEX(B$2:B$10000,SMALL(IF(ISNUMBER(MATCH($B$2:$B$10000,$E$6:$E$22,0)),ROW($C$2:$C$10000)-ROW($C$2)+1),ROWS(L$20:L2937))))</f>
        <v/>
      </c>
      <c r="I2937" s="4" t="str">
        <f t="array" ref="I2937">IF(ROWS(M$20:M2937)&gt;$F$6,"",INDEX(C$2:C$10000,SMALL(IF(ISNUMBER(MATCH($B$2:$B$10000,$E$6:$E$22,0)),ROW($C$2:$C$10000)-ROW($C$2)+1),ROWS(M$20:M2937))))</f>
        <v/>
      </c>
      <c r="K2937" s="7" t="str">
        <f t="array" ref="K2937">IF(ROWS(K$20:K2937)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2937))))</f>
        <v/>
      </c>
      <c r="L2937" s="4" t="str">
        <f t="array" ref="L2937">IF(ROWS(L$20:L2937)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2937))))</f>
        <v/>
      </c>
      <c r="M2937" s="4" t="str">
        <f t="array" ref="M2937">IF(ROWS(M$20:M2937)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2937))))</f>
        <v/>
      </c>
    </row>
    <row r="2938" spans="1:13" x14ac:dyDescent="0.25">
      <c r="A2938" s="3">
        <v>41657</v>
      </c>
      <c r="B2938" s="2" t="s">
        <v>24</v>
      </c>
      <c r="C2938" s="2">
        <v>50</v>
      </c>
      <c r="G2938" s="7" t="str">
        <f t="array" ref="G2938">IF(ROWS(K$20:K2938)&gt;$F$6,"",INDEX(A$2:A$10000,SMALL(IF(ISNUMBER(MATCH($B$2:$B$10000,$E$6:$E$22,0)),ROW($C$2:$C$10000)-ROW($C$2)+1),ROWS(K$20:K2938))))</f>
        <v/>
      </c>
      <c r="H2938" s="4" t="str">
        <f t="array" ref="H2938">IF(ROWS(L$20:L2938)&gt;$F$6,"",INDEX(B$2:B$10000,SMALL(IF(ISNUMBER(MATCH($B$2:$B$10000,$E$6:$E$22,0)),ROW($C$2:$C$10000)-ROW($C$2)+1),ROWS(L$20:L2938))))</f>
        <v/>
      </c>
      <c r="I2938" s="4" t="str">
        <f t="array" ref="I2938">IF(ROWS(M$20:M2938)&gt;$F$6,"",INDEX(C$2:C$10000,SMALL(IF(ISNUMBER(MATCH($B$2:$B$10000,$E$6:$E$22,0)),ROW($C$2:$C$10000)-ROW($C$2)+1),ROWS(M$20:M2938))))</f>
        <v/>
      </c>
      <c r="K2938" s="7" t="str">
        <f t="array" ref="K2938">IF(ROWS(K$20:K2938)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2938))))</f>
        <v/>
      </c>
      <c r="L2938" s="4" t="str">
        <f t="array" ref="L2938">IF(ROWS(L$20:L2938)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2938))))</f>
        <v/>
      </c>
      <c r="M2938" s="4" t="str">
        <f t="array" ref="M2938">IF(ROWS(M$20:M2938)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2938))))</f>
        <v/>
      </c>
    </row>
    <row r="2939" spans="1:13" x14ac:dyDescent="0.25">
      <c r="A2939" s="3">
        <v>41474</v>
      </c>
      <c r="B2939" s="2" t="s">
        <v>34</v>
      </c>
      <c r="C2939" s="2">
        <v>34</v>
      </c>
      <c r="G2939" s="7" t="str">
        <f t="array" ref="G2939">IF(ROWS(K$20:K2939)&gt;$F$6,"",INDEX(A$2:A$10000,SMALL(IF(ISNUMBER(MATCH($B$2:$B$10000,$E$6:$E$22,0)),ROW($C$2:$C$10000)-ROW($C$2)+1),ROWS(K$20:K2939))))</f>
        <v/>
      </c>
      <c r="H2939" s="4" t="str">
        <f t="array" ref="H2939">IF(ROWS(L$20:L2939)&gt;$F$6,"",INDEX(B$2:B$10000,SMALL(IF(ISNUMBER(MATCH($B$2:$B$10000,$E$6:$E$22,0)),ROW($C$2:$C$10000)-ROW($C$2)+1),ROWS(L$20:L2939))))</f>
        <v/>
      </c>
      <c r="I2939" s="4" t="str">
        <f t="array" ref="I2939">IF(ROWS(M$20:M2939)&gt;$F$6,"",INDEX(C$2:C$10000,SMALL(IF(ISNUMBER(MATCH($B$2:$B$10000,$E$6:$E$22,0)),ROW($C$2:$C$10000)-ROW($C$2)+1),ROWS(M$20:M2939))))</f>
        <v/>
      </c>
      <c r="K2939" s="7" t="str">
        <f t="array" ref="K2939">IF(ROWS(K$20:K2939)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2939))))</f>
        <v/>
      </c>
      <c r="L2939" s="4" t="str">
        <f t="array" ref="L2939">IF(ROWS(L$20:L2939)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2939))))</f>
        <v/>
      </c>
      <c r="M2939" s="4" t="str">
        <f t="array" ref="M2939">IF(ROWS(M$20:M2939)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2939))))</f>
        <v/>
      </c>
    </row>
    <row r="2940" spans="1:13" x14ac:dyDescent="0.25">
      <c r="A2940" s="3">
        <v>41392</v>
      </c>
      <c r="B2940" s="2" t="s">
        <v>12</v>
      </c>
      <c r="C2940" s="2">
        <v>9</v>
      </c>
      <c r="G2940" s="7" t="str">
        <f t="array" ref="G2940">IF(ROWS(K$20:K2940)&gt;$F$6,"",INDEX(A$2:A$10000,SMALL(IF(ISNUMBER(MATCH($B$2:$B$10000,$E$6:$E$22,0)),ROW($C$2:$C$10000)-ROW($C$2)+1),ROWS(K$20:K2940))))</f>
        <v/>
      </c>
      <c r="H2940" s="4" t="str">
        <f t="array" ref="H2940">IF(ROWS(L$20:L2940)&gt;$F$6,"",INDEX(B$2:B$10000,SMALL(IF(ISNUMBER(MATCH($B$2:$B$10000,$E$6:$E$22,0)),ROW($C$2:$C$10000)-ROW($C$2)+1),ROWS(L$20:L2940))))</f>
        <v/>
      </c>
      <c r="I2940" s="4" t="str">
        <f t="array" ref="I2940">IF(ROWS(M$20:M2940)&gt;$F$6,"",INDEX(C$2:C$10000,SMALL(IF(ISNUMBER(MATCH($B$2:$B$10000,$E$6:$E$22,0)),ROW($C$2:$C$10000)-ROW($C$2)+1),ROWS(M$20:M2940))))</f>
        <v/>
      </c>
      <c r="K2940" s="7" t="str">
        <f t="array" ref="K2940">IF(ROWS(K$20:K2940)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2940))))</f>
        <v/>
      </c>
      <c r="L2940" s="4" t="str">
        <f t="array" ref="L2940">IF(ROWS(L$20:L2940)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2940))))</f>
        <v/>
      </c>
      <c r="M2940" s="4" t="str">
        <f t="array" ref="M2940">IF(ROWS(M$20:M2940)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2940))))</f>
        <v/>
      </c>
    </row>
    <row r="2941" spans="1:13" x14ac:dyDescent="0.25">
      <c r="A2941" s="3">
        <v>41591</v>
      </c>
      <c r="B2941" s="2" t="s">
        <v>24</v>
      </c>
      <c r="C2941" s="2">
        <v>44</v>
      </c>
      <c r="G2941" s="7" t="str">
        <f t="array" ref="G2941">IF(ROWS(K$20:K2941)&gt;$F$6,"",INDEX(A$2:A$10000,SMALL(IF(ISNUMBER(MATCH($B$2:$B$10000,$E$6:$E$22,0)),ROW($C$2:$C$10000)-ROW($C$2)+1),ROWS(K$20:K2941))))</f>
        <v/>
      </c>
      <c r="H2941" s="4" t="str">
        <f t="array" ref="H2941">IF(ROWS(L$20:L2941)&gt;$F$6,"",INDEX(B$2:B$10000,SMALL(IF(ISNUMBER(MATCH($B$2:$B$10000,$E$6:$E$22,0)),ROW($C$2:$C$10000)-ROW($C$2)+1),ROWS(L$20:L2941))))</f>
        <v/>
      </c>
      <c r="I2941" s="4" t="str">
        <f t="array" ref="I2941">IF(ROWS(M$20:M2941)&gt;$F$6,"",INDEX(C$2:C$10000,SMALL(IF(ISNUMBER(MATCH($B$2:$B$10000,$E$6:$E$22,0)),ROW($C$2:$C$10000)-ROW($C$2)+1),ROWS(M$20:M2941))))</f>
        <v/>
      </c>
      <c r="K2941" s="7" t="str">
        <f t="array" ref="K2941">IF(ROWS(K$20:K2941)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2941))))</f>
        <v/>
      </c>
      <c r="L2941" s="4" t="str">
        <f t="array" ref="L2941">IF(ROWS(L$20:L2941)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2941))))</f>
        <v/>
      </c>
      <c r="M2941" s="4" t="str">
        <f t="array" ref="M2941">IF(ROWS(M$20:M2941)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2941))))</f>
        <v/>
      </c>
    </row>
    <row r="2942" spans="1:13" x14ac:dyDescent="0.25">
      <c r="A2942" s="3">
        <v>41802</v>
      </c>
      <c r="B2942" s="2" t="s">
        <v>30</v>
      </c>
      <c r="C2942" s="2">
        <v>15</v>
      </c>
      <c r="G2942" s="7" t="str">
        <f t="array" ref="G2942">IF(ROWS(K$20:K2942)&gt;$F$6,"",INDEX(A$2:A$10000,SMALL(IF(ISNUMBER(MATCH($B$2:$B$10000,$E$6:$E$22,0)),ROW($C$2:$C$10000)-ROW($C$2)+1),ROWS(K$20:K2942))))</f>
        <v/>
      </c>
      <c r="H2942" s="4" t="str">
        <f t="array" ref="H2942">IF(ROWS(L$20:L2942)&gt;$F$6,"",INDEX(B$2:B$10000,SMALL(IF(ISNUMBER(MATCH($B$2:$B$10000,$E$6:$E$22,0)),ROW($C$2:$C$10000)-ROW($C$2)+1),ROWS(L$20:L2942))))</f>
        <v/>
      </c>
      <c r="I2942" s="4" t="str">
        <f t="array" ref="I2942">IF(ROWS(M$20:M2942)&gt;$F$6,"",INDEX(C$2:C$10000,SMALL(IF(ISNUMBER(MATCH($B$2:$B$10000,$E$6:$E$22,0)),ROW($C$2:$C$10000)-ROW($C$2)+1),ROWS(M$20:M2942))))</f>
        <v/>
      </c>
      <c r="K2942" s="7" t="str">
        <f t="array" ref="K2942">IF(ROWS(K$20:K2942)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2942))))</f>
        <v/>
      </c>
      <c r="L2942" s="4" t="str">
        <f t="array" ref="L2942">IF(ROWS(L$20:L2942)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2942))))</f>
        <v/>
      </c>
      <c r="M2942" s="4" t="str">
        <f t="array" ref="M2942">IF(ROWS(M$20:M2942)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2942))))</f>
        <v/>
      </c>
    </row>
    <row r="2943" spans="1:13" x14ac:dyDescent="0.25">
      <c r="A2943" s="3">
        <v>41375</v>
      </c>
      <c r="B2943" s="2" t="s">
        <v>34</v>
      </c>
      <c r="C2943" s="2">
        <v>12</v>
      </c>
      <c r="G2943" s="7" t="str">
        <f t="array" ref="G2943">IF(ROWS(K$20:K2943)&gt;$F$6,"",INDEX(A$2:A$10000,SMALL(IF(ISNUMBER(MATCH($B$2:$B$10000,$E$6:$E$22,0)),ROW($C$2:$C$10000)-ROW($C$2)+1),ROWS(K$20:K2943))))</f>
        <v/>
      </c>
      <c r="H2943" s="4" t="str">
        <f t="array" ref="H2943">IF(ROWS(L$20:L2943)&gt;$F$6,"",INDEX(B$2:B$10000,SMALL(IF(ISNUMBER(MATCH($B$2:$B$10000,$E$6:$E$22,0)),ROW($C$2:$C$10000)-ROW($C$2)+1),ROWS(L$20:L2943))))</f>
        <v/>
      </c>
      <c r="I2943" s="4" t="str">
        <f t="array" ref="I2943">IF(ROWS(M$20:M2943)&gt;$F$6,"",INDEX(C$2:C$10000,SMALL(IF(ISNUMBER(MATCH($B$2:$B$10000,$E$6:$E$22,0)),ROW($C$2:$C$10000)-ROW($C$2)+1),ROWS(M$20:M2943))))</f>
        <v/>
      </c>
      <c r="K2943" s="7" t="str">
        <f t="array" ref="K2943">IF(ROWS(K$20:K2943)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2943))))</f>
        <v/>
      </c>
      <c r="L2943" s="4" t="str">
        <f t="array" ref="L2943">IF(ROWS(L$20:L2943)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2943))))</f>
        <v/>
      </c>
      <c r="M2943" s="4" t="str">
        <f t="array" ref="M2943">IF(ROWS(M$20:M2943)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2943))))</f>
        <v/>
      </c>
    </row>
    <row r="2944" spans="1:13" x14ac:dyDescent="0.25">
      <c r="A2944" s="3">
        <v>41546</v>
      </c>
      <c r="B2944" s="2" t="s">
        <v>38</v>
      </c>
      <c r="C2944" s="2">
        <v>16</v>
      </c>
      <c r="G2944" s="7" t="str">
        <f t="array" ref="G2944">IF(ROWS(K$20:K2944)&gt;$F$6,"",INDEX(A$2:A$10000,SMALL(IF(ISNUMBER(MATCH($B$2:$B$10000,$E$6:$E$22,0)),ROW($C$2:$C$10000)-ROW($C$2)+1),ROWS(K$20:K2944))))</f>
        <v/>
      </c>
      <c r="H2944" s="4" t="str">
        <f t="array" ref="H2944">IF(ROWS(L$20:L2944)&gt;$F$6,"",INDEX(B$2:B$10000,SMALL(IF(ISNUMBER(MATCH($B$2:$B$10000,$E$6:$E$22,0)),ROW($C$2:$C$10000)-ROW($C$2)+1),ROWS(L$20:L2944))))</f>
        <v/>
      </c>
      <c r="I2944" s="4" t="str">
        <f t="array" ref="I2944">IF(ROWS(M$20:M2944)&gt;$F$6,"",INDEX(C$2:C$10000,SMALL(IF(ISNUMBER(MATCH($B$2:$B$10000,$E$6:$E$22,0)),ROW($C$2:$C$10000)-ROW($C$2)+1),ROWS(M$20:M2944))))</f>
        <v/>
      </c>
      <c r="K2944" s="7" t="str">
        <f t="array" ref="K2944">IF(ROWS(K$20:K2944)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2944))))</f>
        <v/>
      </c>
      <c r="L2944" s="4" t="str">
        <f t="array" ref="L2944">IF(ROWS(L$20:L2944)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2944))))</f>
        <v/>
      </c>
      <c r="M2944" s="4" t="str">
        <f t="array" ref="M2944">IF(ROWS(M$20:M2944)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2944))))</f>
        <v/>
      </c>
    </row>
    <row r="2945" spans="1:13" x14ac:dyDescent="0.25">
      <c r="A2945" s="3">
        <v>41899</v>
      </c>
      <c r="B2945" s="2" t="s">
        <v>8</v>
      </c>
      <c r="C2945" s="2">
        <v>27</v>
      </c>
      <c r="G2945" s="7" t="str">
        <f t="array" ref="G2945">IF(ROWS(K$20:K2945)&gt;$F$6,"",INDEX(A$2:A$10000,SMALL(IF(ISNUMBER(MATCH($B$2:$B$10000,$E$6:$E$22,0)),ROW($C$2:$C$10000)-ROW($C$2)+1),ROWS(K$20:K2945))))</f>
        <v/>
      </c>
      <c r="H2945" s="4" t="str">
        <f t="array" ref="H2945">IF(ROWS(L$20:L2945)&gt;$F$6,"",INDEX(B$2:B$10000,SMALL(IF(ISNUMBER(MATCH($B$2:$B$10000,$E$6:$E$22,0)),ROW($C$2:$C$10000)-ROW($C$2)+1),ROWS(L$20:L2945))))</f>
        <v/>
      </c>
      <c r="I2945" s="4" t="str">
        <f t="array" ref="I2945">IF(ROWS(M$20:M2945)&gt;$F$6,"",INDEX(C$2:C$10000,SMALL(IF(ISNUMBER(MATCH($B$2:$B$10000,$E$6:$E$22,0)),ROW($C$2:$C$10000)-ROW($C$2)+1),ROWS(M$20:M2945))))</f>
        <v/>
      </c>
      <c r="K2945" s="7" t="str">
        <f t="array" ref="K2945">IF(ROWS(K$20:K2945)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2945))))</f>
        <v/>
      </c>
      <c r="L2945" s="4" t="str">
        <f t="array" ref="L2945">IF(ROWS(L$20:L2945)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2945))))</f>
        <v/>
      </c>
      <c r="M2945" s="4" t="str">
        <f t="array" ref="M2945">IF(ROWS(M$20:M2945)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2945))))</f>
        <v/>
      </c>
    </row>
    <row r="2946" spans="1:13" x14ac:dyDescent="0.25">
      <c r="A2946" s="3">
        <v>41371</v>
      </c>
      <c r="B2946" s="2" t="s">
        <v>19</v>
      </c>
      <c r="C2946" s="2">
        <v>19</v>
      </c>
      <c r="G2946" s="7" t="str">
        <f t="array" ref="G2946">IF(ROWS(K$20:K2946)&gt;$F$6,"",INDEX(A$2:A$10000,SMALL(IF(ISNUMBER(MATCH($B$2:$B$10000,$E$6:$E$22,0)),ROW($C$2:$C$10000)-ROW($C$2)+1),ROWS(K$20:K2946))))</f>
        <v/>
      </c>
      <c r="H2946" s="4" t="str">
        <f t="array" ref="H2946">IF(ROWS(L$20:L2946)&gt;$F$6,"",INDEX(B$2:B$10000,SMALL(IF(ISNUMBER(MATCH($B$2:$B$10000,$E$6:$E$22,0)),ROW($C$2:$C$10000)-ROW($C$2)+1),ROWS(L$20:L2946))))</f>
        <v/>
      </c>
      <c r="I2946" s="4" t="str">
        <f t="array" ref="I2946">IF(ROWS(M$20:M2946)&gt;$F$6,"",INDEX(C$2:C$10000,SMALL(IF(ISNUMBER(MATCH($B$2:$B$10000,$E$6:$E$22,0)),ROW($C$2:$C$10000)-ROW($C$2)+1),ROWS(M$20:M2946))))</f>
        <v/>
      </c>
      <c r="K2946" s="7" t="str">
        <f t="array" ref="K2946">IF(ROWS(K$20:K2946)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2946))))</f>
        <v/>
      </c>
      <c r="L2946" s="4" t="str">
        <f t="array" ref="L2946">IF(ROWS(L$20:L2946)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2946))))</f>
        <v/>
      </c>
      <c r="M2946" s="4" t="str">
        <f t="array" ref="M2946">IF(ROWS(M$20:M2946)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2946))))</f>
        <v/>
      </c>
    </row>
    <row r="2947" spans="1:13" x14ac:dyDescent="0.25">
      <c r="A2947" s="3">
        <v>41500</v>
      </c>
      <c r="B2947" s="2" t="s">
        <v>49</v>
      </c>
      <c r="C2947" s="2">
        <v>40</v>
      </c>
      <c r="G2947" s="7" t="str">
        <f t="array" ref="G2947">IF(ROWS(K$20:K2947)&gt;$F$6,"",INDEX(A$2:A$10000,SMALL(IF(ISNUMBER(MATCH($B$2:$B$10000,$E$6:$E$22,0)),ROW($C$2:$C$10000)-ROW($C$2)+1),ROWS(K$20:K2947))))</f>
        <v/>
      </c>
      <c r="H2947" s="4" t="str">
        <f t="array" ref="H2947">IF(ROWS(L$20:L2947)&gt;$F$6,"",INDEX(B$2:B$10000,SMALL(IF(ISNUMBER(MATCH($B$2:$B$10000,$E$6:$E$22,0)),ROW($C$2:$C$10000)-ROW($C$2)+1),ROWS(L$20:L2947))))</f>
        <v/>
      </c>
      <c r="I2947" s="4" t="str">
        <f t="array" ref="I2947">IF(ROWS(M$20:M2947)&gt;$F$6,"",INDEX(C$2:C$10000,SMALL(IF(ISNUMBER(MATCH($B$2:$B$10000,$E$6:$E$22,0)),ROW($C$2:$C$10000)-ROW($C$2)+1),ROWS(M$20:M2947))))</f>
        <v/>
      </c>
      <c r="K2947" s="7" t="str">
        <f t="array" ref="K2947">IF(ROWS(K$20:K2947)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2947))))</f>
        <v/>
      </c>
      <c r="L2947" s="4" t="str">
        <f t="array" ref="L2947">IF(ROWS(L$20:L2947)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2947))))</f>
        <v/>
      </c>
      <c r="M2947" s="4" t="str">
        <f t="array" ref="M2947">IF(ROWS(M$20:M2947)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2947))))</f>
        <v/>
      </c>
    </row>
    <row r="2948" spans="1:13" x14ac:dyDescent="0.25">
      <c r="A2948" s="3">
        <v>41937</v>
      </c>
      <c r="B2948" s="2" t="s">
        <v>2</v>
      </c>
      <c r="C2948" s="2">
        <v>13</v>
      </c>
      <c r="G2948" s="7" t="str">
        <f t="array" ref="G2948">IF(ROWS(K$20:K2948)&gt;$F$6,"",INDEX(A$2:A$10000,SMALL(IF(ISNUMBER(MATCH($B$2:$B$10000,$E$6:$E$22,0)),ROW($C$2:$C$10000)-ROW($C$2)+1),ROWS(K$20:K2948))))</f>
        <v/>
      </c>
      <c r="H2948" s="4" t="str">
        <f t="array" ref="H2948">IF(ROWS(L$20:L2948)&gt;$F$6,"",INDEX(B$2:B$10000,SMALL(IF(ISNUMBER(MATCH($B$2:$B$10000,$E$6:$E$22,0)),ROW($C$2:$C$10000)-ROW($C$2)+1),ROWS(L$20:L2948))))</f>
        <v/>
      </c>
      <c r="I2948" s="4" t="str">
        <f t="array" ref="I2948">IF(ROWS(M$20:M2948)&gt;$F$6,"",INDEX(C$2:C$10000,SMALL(IF(ISNUMBER(MATCH($B$2:$B$10000,$E$6:$E$22,0)),ROW($C$2:$C$10000)-ROW($C$2)+1),ROWS(M$20:M2948))))</f>
        <v/>
      </c>
      <c r="K2948" s="7" t="str">
        <f t="array" ref="K2948">IF(ROWS(K$20:K2948)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2948))))</f>
        <v/>
      </c>
      <c r="L2948" s="4" t="str">
        <f t="array" ref="L2948">IF(ROWS(L$20:L2948)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2948))))</f>
        <v/>
      </c>
      <c r="M2948" s="4" t="str">
        <f t="array" ref="M2948">IF(ROWS(M$20:M2948)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2948))))</f>
        <v/>
      </c>
    </row>
    <row r="2949" spans="1:13" x14ac:dyDescent="0.25">
      <c r="A2949" s="3">
        <v>41473</v>
      </c>
      <c r="B2949" s="2" t="s">
        <v>48</v>
      </c>
      <c r="C2949" s="2">
        <v>31</v>
      </c>
      <c r="G2949" s="7" t="str">
        <f t="array" ref="G2949">IF(ROWS(K$20:K2949)&gt;$F$6,"",INDEX(A$2:A$10000,SMALL(IF(ISNUMBER(MATCH($B$2:$B$10000,$E$6:$E$22,0)),ROW($C$2:$C$10000)-ROW($C$2)+1),ROWS(K$20:K2949))))</f>
        <v/>
      </c>
      <c r="H2949" s="4" t="str">
        <f t="array" ref="H2949">IF(ROWS(L$20:L2949)&gt;$F$6,"",INDEX(B$2:B$10000,SMALL(IF(ISNUMBER(MATCH($B$2:$B$10000,$E$6:$E$22,0)),ROW($C$2:$C$10000)-ROW($C$2)+1),ROWS(L$20:L2949))))</f>
        <v/>
      </c>
      <c r="I2949" s="4" t="str">
        <f t="array" ref="I2949">IF(ROWS(M$20:M2949)&gt;$F$6,"",INDEX(C$2:C$10000,SMALL(IF(ISNUMBER(MATCH($B$2:$B$10000,$E$6:$E$22,0)),ROW($C$2:$C$10000)-ROW($C$2)+1),ROWS(M$20:M2949))))</f>
        <v/>
      </c>
      <c r="K2949" s="7" t="str">
        <f t="array" ref="K2949">IF(ROWS(K$20:K2949)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2949))))</f>
        <v/>
      </c>
      <c r="L2949" s="4" t="str">
        <f t="array" ref="L2949">IF(ROWS(L$20:L2949)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2949))))</f>
        <v/>
      </c>
      <c r="M2949" s="4" t="str">
        <f t="array" ref="M2949">IF(ROWS(M$20:M2949)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2949))))</f>
        <v/>
      </c>
    </row>
    <row r="2950" spans="1:13" x14ac:dyDescent="0.25">
      <c r="A2950" s="3">
        <v>41698</v>
      </c>
      <c r="B2950" s="2" t="s">
        <v>5</v>
      </c>
      <c r="C2950" s="2">
        <v>20</v>
      </c>
      <c r="G2950" s="7" t="str">
        <f t="array" ref="G2950">IF(ROWS(K$20:K2950)&gt;$F$6,"",INDEX(A$2:A$10000,SMALL(IF(ISNUMBER(MATCH($B$2:$B$10000,$E$6:$E$22,0)),ROW($C$2:$C$10000)-ROW($C$2)+1),ROWS(K$20:K2950))))</f>
        <v/>
      </c>
      <c r="H2950" s="4" t="str">
        <f t="array" ref="H2950">IF(ROWS(L$20:L2950)&gt;$F$6,"",INDEX(B$2:B$10000,SMALL(IF(ISNUMBER(MATCH($B$2:$B$10000,$E$6:$E$22,0)),ROW($C$2:$C$10000)-ROW($C$2)+1),ROWS(L$20:L2950))))</f>
        <v/>
      </c>
      <c r="I2950" s="4" t="str">
        <f t="array" ref="I2950">IF(ROWS(M$20:M2950)&gt;$F$6,"",INDEX(C$2:C$10000,SMALL(IF(ISNUMBER(MATCH($B$2:$B$10000,$E$6:$E$22,0)),ROW($C$2:$C$10000)-ROW($C$2)+1),ROWS(M$20:M2950))))</f>
        <v/>
      </c>
      <c r="K2950" s="7" t="str">
        <f t="array" ref="K2950">IF(ROWS(K$20:K2950)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2950))))</f>
        <v/>
      </c>
      <c r="L2950" s="4" t="str">
        <f t="array" ref="L2950">IF(ROWS(L$20:L2950)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2950))))</f>
        <v/>
      </c>
      <c r="M2950" s="4" t="str">
        <f t="array" ref="M2950">IF(ROWS(M$20:M2950)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2950))))</f>
        <v/>
      </c>
    </row>
    <row r="2951" spans="1:13" x14ac:dyDescent="0.25">
      <c r="A2951" s="3">
        <v>41821</v>
      </c>
      <c r="B2951" s="2" t="s">
        <v>42</v>
      </c>
      <c r="C2951" s="2">
        <v>17</v>
      </c>
      <c r="G2951" s="7" t="str">
        <f t="array" ref="G2951">IF(ROWS(K$20:K2951)&gt;$F$6,"",INDEX(A$2:A$10000,SMALL(IF(ISNUMBER(MATCH($B$2:$B$10000,$E$6:$E$22,0)),ROW($C$2:$C$10000)-ROW($C$2)+1),ROWS(K$20:K2951))))</f>
        <v/>
      </c>
      <c r="H2951" s="4" t="str">
        <f t="array" ref="H2951">IF(ROWS(L$20:L2951)&gt;$F$6,"",INDEX(B$2:B$10000,SMALL(IF(ISNUMBER(MATCH($B$2:$B$10000,$E$6:$E$22,0)),ROW($C$2:$C$10000)-ROW($C$2)+1),ROWS(L$20:L2951))))</f>
        <v/>
      </c>
      <c r="I2951" s="4" t="str">
        <f t="array" ref="I2951">IF(ROWS(M$20:M2951)&gt;$F$6,"",INDEX(C$2:C$10000,SMALL(IF(ISNUMBER(MATCH($B$2:$B$10000,$E$6:$E$22,0)),ROW($C$2:$C$10000)-ROW($C$2)+1),ROWS(M$20:M2951))))</f>
        <v/>
      </c>
      <c r="K2951" s="7" t="str">
        <f t="array" ref="K2951">IF(ROWS(K$20:K2951)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2951))))</f>
        <v/>
      </c>
      <c r="L2951" s="4" t="str">
        <f t="array" ref="L2951">IF(ROWS(L$20:L2951)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2951))))</f>
        <v/>
      </c>
      <c r="M2951" s="4" t="str">
        <f t="array" ref="M2951">IF(ROWS(M$20:M2951)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2951))))</f>
        <v/>
      </c>
    </row>
    <row r="2952" spans="1:13" x14ac:dyDescent="0.25">
      <c r="A2952" s="3">
        <v>41430</v>
      </c>
      <c r="B2952" s="2" t="s">
        <v>37</v>
      </c>
      <c r="C2952" s="2">
        <v>36</v>
      </c>
      <c r="G2952" s="7" t="str">
        <f t="array" ref="G2952">IF(ROWS(K$20:K2952)&gt;$F$6,"",INDEX(A$2:A$10000,SMALL(IF(ISNUMBER(MATCH($B$2:$B$10000,$E$6:$E$22,0)),ROW($C$2:$C$10000)-ROW($C$2)+1),ROWS(K$20:K2952))))</f>
        <v/>
      </c>
      <c r="H2952" s="4" t="str">
        <f t="array" ref="H2952">IF(ROWS(L$20:L2952)&gt;$F$6,"",INDEX(B$2:B$10000,SMALL(IF(ISNUMBER(MATCH($B$2:$B$10000,$E$6:$E$22,0)),ROW($C$2:$C$10000)-ROW($C$2)+1),ROWS(L$20:L2952))))</f>
        <v/>
      </c>
      <c r="I2952" s="4" t="str">
        <f t="array" ref="I2952">IF(ROWS(M$20:M2952)&gt;$F$6,"",INDEX(C$2:C$10000,SMALL(IF(ISNUMBER(MATCH($B$2:$B$10000,$E$6:$E$22,0)),ROW($C$2:$C$10000)-ROW($C$2)+1),ROWS(M$20:M2952))))</f>
        <v/>
      </c>
      <c r="K2952" s="7" t="str">
        <f t="array" ref="K2952">IF(ROWS(K$20:K2952)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2952))))</f>
        <v/>
      </c>
      <c r="L2952" s="4" t="str">
        <f t="array" ref="L2952">IF(ROWS(L$20:L2952)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2952))))</f>
        <v/>
      </c>
      <c r="M2952" s="4" t="str">
        <f t="array" ref="M2952">IF(ROWS(M$20:M2952)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2952))))</f>
        <v/>
      </c>
    </row>
    <row r="2953" spans="1:13" x14ac:dyDescent="0.25">
      <c r="A2953" s="3">
        <v>41946</v>
      </c>
      <c r="B2953" s="2" t="s">
        <v>46</v>
      </c>
      <c r="C2953" s="2">
        <v>23</v>
      </c>
      <c r="G2953" s="7" t="str">
        <f t="array" ref="G2953">IF(ROWS(K$20:K2953)&gt;$F$6,"",INDEX(A$2:A$10000,SMALL(IF(ISNUMBER(MATCH($B$2:$B$10000,$E$6:$E$22,0)),ROW($C$2:$C$10000)-ROW($C$2)+1),ROWS(K$20:K2953))))</f>
        <v/>
      </c>
      <c r="H2953" s="4" t="str">
        <f t="array" ref="H2953">IF(ROWS(L$20:L2953)&gt;$F$6,"",INDEX(B$2:B$10000,SMALL(IF(ISNUMBER(MATCH($B$2:$B$10000,$E$6:$E$22,0)),ROW($C$2:$C$10000)-ROW($C$2)+1),ROWS(L$20:L2953))))</f>
        <v/>
      </c>
      <c r="I2953" s="4" t="str">
        <f t="array" ref="I2953">IF(ROWS(M$20:M2953)&gt;$F$6,"",INDEX(C$2:C$10000,SMALL(IF(ISNUMBER(MATCH($B$2:$B$10000,$E$6:$E$22,0)),ROW($C$2:$C$10000)-ROW($C$2)+1),ROWS(M$20:M2953))))</f>
        <v/>
      </c>
      <c r="K2953" s="7" t="str">
        <f t="array" ref="K2953">IF(ROWS(K$20:K2953)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2953))))</f>
        <v/>
      </c>
      <c r="L2953" s="4" t="str">
        <f t="array" ref="L2953">IF(ROWS(L$20:L2953)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2953))))</f>
        <v/>
      </c>
      <c r="M2953" s="4" t="str">
        <f t="array" ref="M2953">IF(ROWS(M$20:M2953)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2953))))</f>
        <v/>
      </c>
    </row>
    <row r="2954" spans="1:13" x14ac:dyDescent="0.25">
      <c r="A2954" s="3">
        <v>41831</v>
      </c>
      <c r="B2954" s="2" t="s">
        <v>37</v>
      </c>
      <c r="C2954" s="2">
        <v>27</v>
      </c>
      <c r="G2954" s="7" t="str">
        <f t="array" ref="G2954">IF(ROWS(K$20:K2954)&gt;$F$6,"",INDEX(A$2:A$10000,SMALL(IF(ISNUMBER(MATCH($B$2:$B$10000,$E$6:$E$22,0)),ROW($C$2:$C$10000)-ROW($C$2)+1),ROWS(K$20:K2954))))</f>
        <v/>
      </c>
      <c r="H2954" s="4" t="str">
        <f t="array" ref="H2954">IF(ROWS(L$20:L2954)&gt;$F$6,"",INDEX(B$2:B$10000,SMALL(IF(ISNUMBER(MATCH($B$2:$B$10000,$E$6:$E$22,0)),ROW($C$2:$C$10000)-ROW($C$2)+1),ROWS(L$20:L2954))))</f>
        <v/>
      </c>
      <c r="I2954" s="4" t="str">
        <f t="array" ref="I2954">IF(ROWS(M$20:M2954)&gt;$F$6,"",INDEX(C$2:C$10000,SMALL(IF(ISNUMBER(MATCH($B$2:$B$10000,$E$6:$E$22,0)),ROW($C$2:$C$10000)-ROW($C$2)+1),ROWS(M$20:M2954))))</f>
        <v/>
      </c>
      <c r="K2954" s="7" t="str">
        <f t="array" ref="K2954">IF(ROWS(K$20:K2954)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2954))))</f>
        <v/>
      </c>
      <c r="L2954" s="4" t="str">
        <f t="array" ref="L2954">IF(ROWS(L$20:L2954)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2954))))</f>
        <v/>
      </c>
      <c r="M2954" s="4" t="str">
        <f t="array" ref="M2954">IF(ROWS(M$20:M2954)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2954))))</f>
        <v/>
      </c>
    </row>
    <row r="2955" spans="1:13" x14ac:dyDescent="0.25">
      <c r="A2955" s="3">
        <v>41323</v>
      </c>
      <c r="B2955" s="2" t="s">
        <v>25</v>
      </c>
      <c r="C2955" s="2">
        <v>33</v>
      </c>
      <c r="G2955" s="7" t="str">
        <f t="array" ref="G2955">IF(ROWS(K$20:K2955)&gt;$F$6,"",INDEX(A$2:A$10000,SMALL(IF(ISNUMBER(MATCH($B$2:$B$10000,$E$6:$E$22,0)),ROW($C$2:$C$10000)-ROW($C$2)+1),ROWS(K$20:K2955))))</f>
        <v/>
      </c>
      <c r="H2955" s="4" t="str">
        <f t="array" ref="H2955">IF(ROWS(L$20:L2955)&gt;$F$6,"",INDEX(B$2:B$10000,SMALL(IF(ISNUMBER(MATCH($B$2:$B$10000,$E$6:$E$22,0)),ROW($C$2:$C$10000)-ROW($C$2)+1),ROWS(L$20:L2955))))</f>
        <v/>
      </c>
      <c r="I2955" s="4" t="str">
        <f t="array" ref="I2955">IF(ROWS(M$20:M2955)&gt;$F$6,"",INDEX(C$2:C$10000,SMALL(IF(ISNUMBER(MATCH($B$2:$B$10000,$E$6:$E$22,0)),ROW($C$2:$C$10000)-ROW($C$2)+1),ROWS(M$20:M2955))))</f>
        <v/>
      </c>
      <c r="K2955" s="7" t="str">
        <f t="array" ref="K2955">IF(ROWS(K$20:K2955)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2955))))</f>
        <v/>
      </c>
      <c r="L2955" s="4" t="str">
        <f t="array" ref="L2955">IF(ROWS(L$20:L2955)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2955))))</f>
        <v/>
      </c>
      <c r="M2955" s="4" t="str">
        <f t="array" ref="M2955">IF(ROWS(M$20:M2955)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2955))))</f>
        <v/>
      </c>
    </row>
    <row r="2956" spans="1:13" x14ac:dyDescent="0.25">
      <c r="A2956" s="3">
        <v>41430</v>
      </c>
      <c r="B2956" s="2" t="s">
        <v>37</v>
      </c>
      <c r="C2956" s="2">
        <v>37</v>
      </c>
      <c r="G2956" s="7" t="str">
        <f t="array" ref="G2956">IF(ROWS(K$20:K2956)&gt;$F$6,"",INDEX(A$2:A$10000,SMALL(IF(ISNUMBER(MATCH($B$2:$B$10000,$E$6:$E$22,0)),ROW($C$2:$C$10000)-ROW($C$2)+1),ROWS(K$20:K2956))))</f>
        <v/>
      </c>
      <c r="H2956" s="4" t="str">
        <f t="array" ref="H2956">IF(ROWS(L$20:L2956)&gt;$F$6,"",INDEX(B$2:B$10000,SMALL(IF(ISNUMBER(MATCH($B$2:$B$10000,$E$6:$E$22,0)),ROW($C$2:$C$10000)-ROW($C$2)+1),ROWS(L$20:L2956))))</f>
        <v/>
      </c>
      <c r="I2956" s="4" t="str">
        <f t="array" ref="I2956">IF(ROWS(M$20:M2956)&gt;$F$6,"",INDEX(C$2:C$10000,SMALL(IF(ISNUMBER(MATCH($B$2:$B$10000,$E$6:$E$22,0)),ROW($C$2:$C$10000)-ROW($C$2)+1),ROWS(M$20:M2956))))</f>
        <v/>
      </c>
      <c r="K2956" s="7" t="str">
        <f t="array" ref="K2956">IF(ROWS(K$20:K2956)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2956))))</f>
        <v/>
      </c>
      <c r="L2956" s="4" t="str">
        <f t="array" ref="L2956">IF(ROWS(L$20:L2956)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2956))))</f>
        <v/>
      </c>
      <c r="M2956" s="4" t="str">
        <f t="array" ref="M2956">IF(ROWS(M$20:M2956)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2956))))</f>
        <v/>
      </c>
    </row>
    <row r="2957" spans="1:13" x14ac:dyDescent="0.25">
      <c r="A2957" s="3">
        <v>41847</v>
      </c>
      <c r="B2957" s="2" t="s">
        <v>15</v>
      </c>
      <c r="C2957" s="2">
        <v>40</v>
      </c>
      <c r="G2957" s="7" t="str">
        <f t="array" ref="G2957">IF(ROWS(K$20:K2957)&gt;$F$6,"",INDEX(A$2:A$10000,SMALL(IF(ISNUMBER(MATCH($B$2:$B$10000,$E$6:$E$22,0)),ROW($C$2:$C$10000)-ROW($C$2)+1),ROWS(K$20:K2957))))</f>
        <v/>
      </c>
      <c r="H2957" s="4" t="str">
        <f t="array" ref="H2957">IF(ROWS(L$20:L2957)&gt;$F$6,"",INDEX(B$2:B$10000,SMALL(IF(ISNUMBER(MATCH($B$2:$B$10000,$E$6:$E$22,0)),ROW($C$2:$C$10000)-ROW($C$2)+1),ROWS(L$20:L2957))))</f>
        <v/>
      </c>
      <c r="I2957" s="4" t="str">
        <f t="array" ref="I2957">IF(ROWS(M$20:M2957)&gt;$F$6,"",INDEX(C$2:C$10000,SMALL(IF(ISNUMBER(MATCH($B$2:$B$10000,$E$6:$E$22,0)),ROW($C$2:$C$10000)-ROW($C$2)+1),ROWS(M$20:M2957))))</f>
        <v/>
      </c>
      <c r="K2957" s="7" t="str">
        <f t="array" ref="K2957">IF(ROWS(K$20:K2957)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2957))))</f>
        <v/>
      </c>
      <c r="L2957" s="4" t="str">
        <f t="array" ref="L2957">IF(ROWS(L$20:L2957)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2957))))</f>
        <v/>
      </c>
      <c r="M2957" s="4" t="str">
        <f t="array" ref="M2957">IF(ROWS(M$20:M2957)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2957))))</f>
        <v/>
      </c>
    </row>
    <row r="2958" spans="1:13" x14ac:dyDescent="0.25">
      <c r="A2958" s="3">
        <v>41556</v>
      </c>
      <c r="B2958" s="2" t="s">
        <v>33</v>
      </c>
      <c r="C2958" s="2">
        <v>18</v>
      </c>
      <c r="G2958" s="7" t="str">
        <f t="array" ref="G2958">IF(ROWS(K$20:K2958)&gt;$F$6,"",INDEX(A$2:A$10000,SMALL(IF(ISNUMBER(MATCH($B$2:$B$10000,$E$6:$E$22,0)),ROW($C$2:$C$10000)-ROW($C$2)+1),ROWS(K$20:K2958))))</f>
        <v/>
      </c>
      <c r="H2958" s="4" t="str">
        <f t="array" ref="H2958">IF(ROWS(L$20:L2958)&gt;$F$6,"",INDEX(B$2:B$10000,SMALL(IF(ISNUMBER(MATCH($B$2:$B$10000,$E$6:$E$22,0)),ROW($C$2:$C$10000)-ROW($C$2)+1),ROWS(L$20:L2958))))</f>
        <v/>
      </c>
      <c r="I2958" s="4" t="str">
        <f t="array" ref="I2958">IF(ROWS(M$20:M2958)&gt;$F$6,"",INDEX(C$2:C$10000,SMALL(IF(ISNUMBER(MATCH($B$2:$B$10000,$E$6:$E$22,0)),ROW($C$2:$C$10000)-ROW($C$2)+1),ROWS(M$20:M2958))))</f>
        <v/>
      </c>
      <c r="K2958" s="7" t="str">
        <f t="array" ref="K2958">IF(ROWS(K$20:K2958)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2958))))</f>
        <v/>
      </c>
      <c r="L2958" s="4" t="str">
        <f t="array" ref="L2958">IF(ROWS(L$20:L2958)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2958))))</f>
        <v/>
      </c>
      <c r="M2958" s="4" t="str">
        <f t="array" ref="M2958">IF(ROWS(M$20:M2958)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2958))))</f>
        <v/>
      </c>
    </row>
    <row r="2959" spans="1:13" x14ac:dyDescent="0.25">
      <c r="A2959" s="3">
        <v>41937</v>
      </c>
      <c r="B2959" s="2" t="s">
        <v>33</v>
      </c>
      <c r="C2959" s="2">
        <v>35</v>
      </c>
      <c r="G2959" s="7" t="str">
        <f t="array" ref="G2959">IF(ROWS(K$20:K2959)&gt;$F$6,"",INDEX(A$2:A$10000,SMALL(IF(ISNUMBER(MATCH($B$2:$B$10000,$E$6:$E$22,0)),ROW($C$2:$C$10000)-ROW($C$2)+1),ROWS(K$20:K2959))))</f>
        <v/>
      </c>
      <c r="H2959" s="4" t="str">
        <f t="array" ref="H2959">IF(ROWS(L$20:L2959)&gt;$F$6,"",INDEX(B$2:B$10000,SMALL(IF(ISNUMBER(MATCH($B$2:$B$10000,$E$6:$E$22,0)),ROW($C$2:$C$10000)-ROW($C$2)+1),ROWS(L$20:L2959))))</f>
        <v/>
      </c>
      <c r="I2959" s="4" t="str">
        <f t="array" ref="I2959">IF(ROWS(M$20:M2959)&gt;$F$6,"",INDEX(C$2:C$10000,SMALL(IF(ISNUMBER(MATCH($B$2:$B$10000,$E$6:$E$22,0)),ROW($C$2:$C$10000)-ROW($C$2)+1),ROWS(M$20:M2959))))</f>
        <v/>
      </c>
      <c r="K2959" s="7" t="str">
        <f t="array" ref="K2959">IF(ROWS(K$20:K2959)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2959))))</f>
        <v/>
      </c>
      <c r="L2959" s="4" t="str">
        <f t="array" ref="L2959">IF(ROWS(L$20:L2959)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2959))))</f>
        <v/>
      </c>
      <c r="M2959" s="4" t="str">
        <f t="array" ref="M2959">IF(ROWS(M$20:M2959)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2959))))</f>
        <v/>
      </c>
    </row>
    <row r="2960" spans="1:13" x14ac:dyDescent="0.25">
      <c r="A2960" s="3">
        <v>41920</v>
      </c>
      <c r="B2960" s="2" t="s">
        <v>11</v>
      </c>
      <c r="C2960" s="2">
        <v>30</v>
      </c>
      <c r="G2960" s="7" t="str">
        <f t="array" ref="G2960">IF(ROWS(K$20:K2960)&gt;$F$6,"",INDEX(A$2:A$10000,SMALL(IF(ISNUMBER(MATCH($B$2:$B$10000,$E$6:$E$22,0)),ROW($C$2:$C$10000)-ROW($C$2)+1),ROWS(K$20:K2960))))</f>
        <v/>
      </c>
      <c r="H2960" s="4" t="str">
        <f t="array" ref="H2960">IF(ROWS(L$20:L2960)&gt;$F$6,"",INDEX(B$2:B$10000,SMALL(IF(ISNUMBER(MATCH($B$2:$B$10000,$E$6:$E$22,0)),ROW($C$2:$C$10000)-ROW($C$2)+1),ROWS(L$20:L2960))))</f>
        <v/>
      </c>
      <c r="I2960" s="4" t="str">
        <f t="array" ref="I2960">IF(ROWS(M$20:M2960)&gt;$F$6,"",INDEX(C$2:C$10000,SMALL(IF(ISNUMBER(MATCH($B$2:$B$10000,$E$6:$E$22,0)),ROW($C$2:$C$10000)-ROW($C$2)+1),ROWS(M$20:M2960))))</f>
        <v/>
      </c>
      <c r="K2960" s="7" t="str">
        <f t="array" ref="K2960">IF(ROWS(K$20:K2960)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2960))))</f>
        <v/>
      </c>
      <c r="L2960" s="4" t="str">
        <f t="array" ref="L2960">IF(ROWS(L$20:L2960)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2960))))</f>
        <v/>
      </c>
      <c r="M2960" s="4" t="str">
        <f t="array" ref="M2960">IF(ROWS(M$20:M2960)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2960))))</f>
        <v/>
      </c>
    </row>
    <row r="2961" spans="1:13" x14ac:dyDescent="0.25">
      <c r="A2961" s="3">
        <v>41563</v>
      </c>
      <c r="B2961" s="2" t="s">
        <v>6</v>
      </c>
      <c r="C2961" s="2">
        <v>25</v>
      </c>
      <c r="G2961" s="7" t="str">
        <f t="array" ref="G2961">IF(ROWS(K$20:K2961)&gt;$F$6,"",INDEX(A$2:A$10000,SMALL(IF(ISNUMBER(MATCH($B$2:$B$10000,$E$6:$E$22,0)),ROW($C$2:$C$10000)-ROW($C$2)+1),ROWS(K$20:K2961))))</f>
        <v/>
      </c>
      <c r="H2961" s="4" t="str">
        <f t="array" ref="H2961">IF(ROWS(L$20:L2961)&gt;$F$6,"",INDEX(B$2:B$10000,SMALL(IF(ISNUMBER(MATCH($B$2:$B$10000,$E$6:$E$22,0)),ROW($C$2:$C$10000)-ROW($C$2)+1),ROWS(L$20:L2961))))</f>
        <v/>
      </c>
      <c r="I2961" s="4" t="str">
        <f t="array" ref="I2961">IF(ROWS(M$20:M2961)&gt;$F$6,"",INDEX(C$2:C$10000,SMALL(IF(ISNUMBER(MATCH($B$2:$B$10000,$E$6:$E$22,0)),ROW($C$2:$C$10000)-ROW($C$2)+1),ROWS(M$20:M2961))))</f>
        <v/>
      </c>
      <c r="K2961" s="7" t="str">
        <f t="array" ref="K2961">IF(ROWS(K$20:K2961)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2961))))</f>
        <v/>
      </c>
      <c r="L2961" s="4" t="str">
        <f t="array" ref="L2961">IF(ROWS(L$20:L2961)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2961))))</f>
        <v/>
      </c>
      <c r="M2961" s="4" t="str">
        <f t="array" ref="M2961">IF(ROWS(M$20:M2961)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2961))))</f>
        <v/>
      </c>
    </row>
    <row r="2962" spans="1:13" x14ac:dyDescent="0.25">
      <c r="A2962" s="3">
        <v>41991</v>
      </c>
      <c r="B2962" s="2" t="s">
        <v>20</v>
      </c>
      <c r="C2962" s="2">
        <v>15</v>
      </c>
      <c r="G2962" s="7" t="str">
        <f t="array" ref="G2962">IF(ROWS(K$20:K2962)&gt;$F$6,"",INDEX(A$2:A$10000,SMALL(IF(ISNUMBER(MATCH($B$2:$B$10000,$E$6:$E$22,0)),ROW($C$2:$C$10000)-ROW($C$2)+1),ROWS(K$20:K2962))))</f>
        <v/>
      </c>
      <c r="H2962" s="4" t="str">
        <f t="array" ref="H2962">IF(ROWS(L$20:L2962)&gt;$F$6,"",INDEX(B$2:B$10000,SMALL(IF(ISNUMBER(MATCH($B$2:$B$10000,$E$6:$E$22,0)),ROW($C$2:$C$10000)-ROW($C$2)+1),ROWS(L$20:L2962))))</f>
        <v/>
      </c>
      <c r="I2962" s="4" t="str">
        <f t="array" ref="I2962">IF(ROWS(M$20:M2962)&gt;$F$6,"",INDEX(C$2:C$10000,SMALL(IF(ISNUMBER(MATCH($B$2:$B$10000,$E$6:$E$22,0)),ROW($C$2:$C$10000)-ROW($C$2)+1),ROWS(M$20:M2962))))</f>
        <v/>
      </c>
      <c r="K2962" s="7" t="str">
        <f t="array" ref="K2962">IF(ROWS(K$20:K2962)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2962))))</f>
        <v/>
      </c>
      <c r="L2962" s="4" t="str">
        <f t="array" ref="L2962">IF(ROWS(L$20:L2962)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2962))))</f>
        <v/>
      </c>
      <c r="M2962" s="4" t="str">
        <f t="array" ref="M2962">IF(ROWS(M$20:M2962)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2962))))</f>
        <v/>
      </c>
    </row>
    <row r="2963" spans="1:13" x14ac:dyDescent="0.25">
      <c r="A2963" s="3">
        <v>41661</v>
      </c>
      <c r="B2963" s="2" t="s">
        <v>48</v>
      </c>
      <c r="C2963" s="2">
        <v>23</v>
      </c>
      <c r="G2963" s="7" t="str">
        <f t="array" ref="G2963">IF(ROWS(K$20:K2963)&gt;$F$6,"",INDEX(A$2:A$10000,SMALL(IF(ISNUMBER(MATCH($B$2:$B$10000,$E$6:$E$22,0)),ROW($C$2:$C$10000)-ROW($C$2)+1),ROWS(K$20:K2963))))</f>
        <v/>
      </c>
      <c r="H2963" s="4" t="str">
        <f t="array" ref="H2963">IF(ROWS(L$20:L2963)&gt;$F$6,"",INDEX(B$2:B$10000,SMALL(IF(ISNUMBER(MATCH($B$2:$B$10000,$E$6:$E$22,0)),ROW($C$2:$C$10000)-ROW($C$2)+1),ROWS(L$20:L2963))))</f>
        <v/>
      </c>
      <c r="I2963" s="4" t="str">
        <f t="array" ref="I2963">IF(ROWS(M$20:M2963)&gt;$F$6,"",INDEX(C$2:C$10000,SMALL(IF(ISNUMBER(MATCH($B$2:$B$10000,$E$6:$E$22,0)),ROW($C$2:$C$10000)-ROW($C$2)+1),ROWS(M$20:M2963))))</f>
        <v/>
      </c>
      <c r="K2963" s="7" t="str">
        <f t="array" ref="K2963">IF(ROWS(K$20:K2963)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2963))))</f>
        <v/>
      </c>
      <c r="L2963" s="4" t="str">
        <f t="array" ref="L2963">IF(ROWS(L$20:L2963)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2963))))</f>
        <v/>
      </c>
      <c r="M2963" s="4" t="str">
        <f t="array" ref="M2963">IF(ROWS(M$20:M2963)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2963))))</f>
        <v/>
      </c>
    </row>
    <row r="2964" spans="1:13" x14ac:dyDescent="0.25">
      <c r="A2964" s="3">
        <v>41792</v>
      </c>
      <c r="B2964" s="2" t="s">
        <v>4</v>
      </c>
      <c r="C2964" s="2">
        <v>25</v>
      </c>
      <c r="G2964" s="7" t="str">
        <f t="array" ref="G2964">IF(ROWS(K$20:K2964)&gt;$F$6,"",INDEX(A$2:A$10000,SMALL(IF(ISNUMBER(MATCH($B$2:$B$10000,$E$6:$E$22,0)),ROW($C$2:$C$10000)-ROW($C$2)+1),ROWS(K$20:K2964))))</f>
        <v/>
      </c>
      <c r="H2964" s="4" t="str">
        <f t="array" ref="H2964">IF(ROWS(L$20:L2964)&gt;$F$6,"",INDEX(B$2:B$10000,SMALL(IF(ISNUMBER(MATCH($B$2:$B$10000,$E$6:$E$22,0)),ROW($C$2:$C$10000)-ROW($C$2)+1),ROWS(L$20:L2964))))</f>
        <v/>
      </c>
      <c r="I2964" s="4" t="str">
        <f t="array" ref="I2964">IF(ROWS(M$20:M2964)&gt;$F$6,"",INDEX(C$2:C$10000,SMALL(IF(ISNUMBER(MATCH($B$2:$B$10000,$E$6:$E$22,0)),ROW($C$2:$C$10000)-ROW($C$2)+1),ROWS(M$20:M2964))))</f>
        <v/>
      </c>
      <c r="K2964" s="7" t="str">
        <f t="array" ref="K2964">IF(ROWS(K$20:K2964)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2964))))</f>
        <v/>
      </c>
      <c r="L2964" s="4" t="str">
        <f t="array" ref="L2964">IF(ROWS(L$20:L2964)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2964))))</f>
        <v/>
      </c>
      <c r="M2964" s="4" t="str">
        <f t="array" ref="M2964">IF(ROWS(M$20:M2964)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2964))))</f>
        <v/>
      </c>
    </row>
    <row r="2965" spans="1:13" x14ac:dyDescent="0.25">
      <c r="A2965" s="3">
        <v>41606</v>
      </c>
      <c r="B2965" s="2" t="s">
        <v>23</v>
      </c>
      <c r="C2965" s="2">
        <v>18</v>
      </c>
      <c r="G2965" s="7" t="str">
        <f t="array" ref="G2965">IF(ROWS(K$20:K2965)&gt;$F$6,"",INDEX(A$2:A$10000,SMALL(IF(ISNUMBER(MATCH($B$2:$B$10000,$E$6:$E$22,0)),ROW($C$2:$C$10000)-ROW($C$2)+1),ROWS(K$20:K2965))))</f>
        <v/>
      </c>
      <c r="H2965" s="4" t="str">
        <f t="array" ref="H2965">IF(ROWS(L$20:L2965)&gt;$F$6,"",INDEX(B$2:B$10000,SMALL(IF(ISNUMBER(MATCH($B$2:$B$10000,$E$6:$E$22,0)),ROW($C$2:$C$10000)-ROW($C$2)+1),ROWS(L$20:L2965))))</f>
        <v/>
      </c>
      <c r="I2965" s="4" t="str">
        <f t="array" ref="I2965">IF(ROWS(M$20:M2965)&gt;$F$6,"",INDEX(C$2:C$10000,SMALL(IF(ISNUMBER(MATCH($B$2:$B$10000,$E$6:$E$22,0)),ROW($C$2:$C$10000)-ROW($C$2)+1),ROWS(M$20:M2965))))</f>
        <v/>
      </c>
      <c r="K2965" s="7" t="str">
        <f t="array" ref="K2965">IF(ROWS(K$20:K2965)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2965))))</f>
        <v/>
      </c>
      <c r="L2965" s="4" t="str">
        <f t="array" ref="L2965">IF(ROWS(L$20:L2965)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2965))))</f>
        <v/>
      </c>
      <c r="M2965" s="4" t="str">
        <f t="array" ref="M2965">IF(ROWS(M$20:M2965)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2965))))</f>
        <v/>
      </c>
    </row>
    <row r="2966" spans="1:13" x14ac:dyDescent="0.25">
      <c r="A2966" s="3">
        <v>41830</v>
      </c>
      <c r="B2966" s="2" t="s">
        <v>7</v>
      </c>
      <c r="C2966" s="2">
        <v>30</v>
      </c>
      <c r="G2966" s="7" t="str">
        <f t="array" ref="G2966">IF(ROWS(K$20:K2966)&gt;$F$6,"",INDEX(A$2:A$10000,SMALL(IF(ISNUMBER(MATCH($B$2:$B$10000,$E$6:$E$22,0)),ROW($C$2:$C$10000)-ROW($C$2)+1),ROWS(K$20:K2966))))</f>
        <v/>
      </c>
      <c r="H2966" s="4" t="str">
        <f t="array" ref="H2966">IF(ROWS(L$20:L2966)&gt;$F$6,"",INDEX(B$2:B$10000,SMALL(IF(ISNUMBER(MATCH($B$2:$B$10000,$E$6:$E$22,0)),ROW($C$2:$C$10000)-ROW($C$2)+1),ROWS(L$20:L2966))))</f>
        <v/>
      </c>
      <c r="I2966" s="4" t="str">
        <f t="array" ref="I2966">IF(ROWS(M$20:M2966)&gt;$F$6,"",INDEX(C$2:C$10000,SMALL(IF(ISNUMBER(MATCH($B$2:$B$10000,$E$6:$E$22,0)),ROW($C$2:$C$10000)-ROW($C$2)+1),ROWS(M$20:M2966))))</f>
        <v/>
      </c>
      <c r="K2966" s="7" t="str">
        <f t="array" ref="K2966">IF(ROWS(K$20:K2966)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2966))))</f>
        <v/>
      </c>
      <c r="L2966" s="4" t="str">
        <f t="array" ref="L2966">IF(ROWS(L$20:L2966)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2966))))</f>
        <v/>
      </c>
      <c r="M2966" s="4" t="str">
        <f t="array" ref="M2966">IF(ROWS(M$20:M2966)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2966))))</f>
        <v/>
      </c>
    </row>
    <row r="2967" spans="1:13" x14ac:dyDescent="0.25">
      <c r="A2967" s="3">
        <v>41393</v>
      </c>
      <c r="B2967" s="2" t="s">
        <v>25</v>
      </c>
      <c r="C2967" s="2">
        <v>23</v>
      </c>
      <c r="G2967" s="7" t="str">
        <f t="array" ref="G2967">IF(ROWS(K$20:K2967)&gt;$F$6,"",INDEX(A$2:A$10000,SMALL(IF(ISNUMBER(MATCH($B$2:$B$10000,$E$6:$E$22,0)),ROW($C$2:$C$10000)-ROW($C$2)+1),ROWS(K$20:K2967))))</f>
        <v/>
      </c>
      <c r="H2967" s="4" t="str">
        <f t="array" ref="H2967">IF(ROWS(L$20:L2967)&gt;$F$6,"",INDEX(B$2:B$10000,SMALL(IF(ISNUMBER(MATCH($B$2:$B$10000,$E$6:$E$22,0)),ROW($C$2:$C$10000)-ROW($C$2)+1),ROWS(L$20:L2967))))</f>
        <v/>
      </c>
      <c r="I2967" s="4" t="str">
        <f t="array" ref="I2967">IF(ROWS(M$20:M2967)&gt;$F$6,"",INDEX(C$2:C$10000,SMALL(IF(ISNUMBER(MATCH($B$2:$B$10000,$E$6:$E$22,0)),ROW($C$2:$C$10000)-ROW($C$2)+1),ROWS(M$20:M2967))))</f>
        <v/>
      </c>
      <c r="K2967" s="7" t="str">
        <f t="array" ref="K2967">IF(ROWS(K$20:K2967)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2967))))</f>
        <v/>
      </c>
      <c r="L2967" s="4" t="str">
        <f t="array" ref="L2967">IF(ROWS(L$20:L2967)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2967))))</f>
        <v/>
      </c>
      <c r="M2967" s="4" t="str">
        <f t="array" ref="M2967">IF(ROWS(M$20:M2967)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2967))))</f>
        <v/>
      </c>
    </row>
    <row r="2968" spans="1:13" x14ac:dyDescent="0.25">
      <c r="A2968" s="3">
        <v>41807</v>
      </c>
      <c r="B2968" s="2" t="s">
        <v>34</v>
      </c>
      <c r="C2968" s="2">
        <v>43</v>
      </c>
      <c r="G2968" s="7" t="str">
        <f t="array" ref="G2968">IF(ROWS(K$20:K2968)&gt;$F$6,"",INDEX(A$2:A$10000,SMALL(IF(ISNUMBER(MATCH($B$2:$B$10000,$E$6:$E$22,0)),ROW($C$2:$C$10000)-ROW($C$2)+1),ROWS(K$20:K2968))))</f>
        <v/>
      </c>
      <c r="H2968" s="4" t="str">
        <f t="array" ref="H2968">IF(ROWS(L$20:L2968)&gt;$F$6,"",INDEX(B$2:B$10000,SMALL(IF(ISNUMBER(MATCH($B$2:$B$10000,$E$6:$E$22,0)),ROW($C$2:$C$10000)-ROW($C$2)+1),ROWS(L$20:L2968))))</f>
        <v/>
      </c>
      <c r="I2968" s="4" t="str">
        <f t="array" ref="I2968">IF(ROWS(M$20:M2968)&gt;$F$6,"",INDEX(C$2:C$10000,SMALL(IF(ISNUMBER(MATCH($B$2:$B$10000,$E$6:$E$22,0)),ROW($C$2:$C$10000)-ROW($C$2)+1),ROWS(M$20:M2968))))</f>
        <v/>
      </c>
      <c r="K2968" s="7" t="str">
        <f t="array" ref="K2968">IF(ROWS(K$20:K2968)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2968))))</f>
        <v/>
      </c>
      <c r="L2968" s="4" t="str">
        <f t="array" ref="L2968">IF(ROWS(L$20:L2968)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2968))))</f>
        <v/>
      </c>
      <c r="M2968" s="4" t="str">
        <f t="array" ref="M2968">IF(ROWS(M$20:M2968)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2968))))</f>
        <v/>
      </c>
    </row>
    <row r="2969" spans="1:13" x14ac:dyDescent="0.25">
      <c r="A2969" s="3">
        <v>41537</v>
      </c>
      <c r="B2969" s="2" t="s">
        <v>3</v>
      </c>
      <c r="C2969" s="2">
        <v>19</v>
      </c>
      <c r="G2969" s="7" t="str">
        <f t="array" ref="G2969">IF(ROWS(K$20:K2969)&gt;$F$6,"",INDEX(A$2:A$10000,SMALL(IF(ISNUMBER(MATCH($B$2:$B$10000,$E$6:$E$22,0)),ROW($C$2:$C$10000)-ROW($C$2)+1),ROWS(K$20:K2969))))</f>
        <v/>
      </c>
      <c r="H2969" s="4" t="str">
        <f t="array" ref="H2969">IF(ROWS(L$20:L2969)&gt;$F$6,"",INDEX(B$2:B$10000,SMALL(IF(ISNUMBER(MATCH($B$2:$B$10000,$E$6:$E$22,0)),ROW($C$2:$C$10000)-ROW($C$2)+1),ROWS(L$20:L2969))))</f>
        <v/>
      </c>
      <c r="I2969" s="4" t="str">
        <f t="array" ref="I2969">IF(ROWS(M$20:M2969)&gt;$F$6,"",INDEX(C$2:C$10000,SMALL(IF(ISNUMBER(MATCH($B$2:$B$10000,$E$6:$E$22,0)),ROW($C$2:$C$10000)-ROW($C$2)+1),ROWS(M$20:M2969))))</f>
        <v/>
      </c>
      <c r="K2969" s="7" t="str">
        <f t="array" ref="K2969">IF(ROWS(K$20:K2969)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2969))))</f>
        <v/>
      </c>
      <c r="L2969" s="4" t="str">
        <f t="array" ref="L2969">IF(ROWS(L$20:L2969)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2969))))</f>
        <v/>
      </c>
      <c r="M2969" s="4" t="str">
        <f t="array" ref="M2969">IF(ROWS(M$20:M2969)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2969))))</f>
        <v/>
      </c>
    </row>
    <row r="2970" spans="1:13" x14ac:dyDescent="0.25">
      <c r="A2970" s="3">
        <v>41646</v>
      </c>
      <c r="B2970" s="2" t="s">
        <v>3</v>
      </c>
      <c r="C2970" s="2">
        <v>45</v>
      </c>
      <c r="G2970" s="7" t="str">
        <f t="array" ref="G2970">IF(ROWS(K$20:K2970)&gt;$F$6,"",INDEX(A$2:A$10000,SMALL(IF(ISNUMBER(MATCH($B$2:$B$10000,$E$6:$E$22,0)),ROW($C$2:$C$10000)-ROW($C$2)+1),ROWS(K$20:K2970))))</f>
        <v/>
      </c>
      <c r="H2970" s="4" t="str">
        <f t="array" ref="H2970">IF(ROWS(L$20:L2970)&gt;$F$6,"",INDEX(B$2:B$10000,SMALL(IF(ISNUMBER(MATCH($B$2:$B$10000,$E$6:$E$22,0)),ROW($C$2:$C$10000)-ROW($C$2)+1),ROWS(L$20:L2970))))</f>
        <v/>
      </c>
      <c r="I2970" s="4" t="str">
        <f t="array" ref="I2970">IF(ROWS(M$20:M2970)&gt;$F$6,"",INDEX(C$2:C$10000,SMALL(IF(ISNUMBER(MATCH($B$2:$B$10000,$E$6:$E$22,0)),ROW($C$2:$C$10000)-ROW($C$2)+1),ROWS(M$20:M2970))))</f>
        <v/>
      </c>
      <c r="K2970" s="7" t="str">
        <f t="array" ref="K2970">IF(ROWS(K$20:K2970)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2970))))</f>
        <v/>
      </c>
      <c r="L2970" s="4" t="str">
        <f t="array" ref="L2970">IF(ROWS(L$20:L2970)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2970))))</f>
        <v/>
      </c>
      <c r="M2970" s="4" t="str">
        <f t="array" ref="M2970">IF(ROWS(M$20:M2970)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2970))))</f>
        <v/>
      </c>
    </row>
    <row r="2971" spans="1:13" x14ac:dyDescent="0.25">
      <c r="A2971" s="3">
        <v>41314</v>
      </c>
      <c r="B2971" s="2" t="s">
        <v>29</v>
      </c>
      <c r="C2971" s="2">
        <v>18</v>
      </c>
      <c r="G2971" s="7" t="str">
        <f t="array" ref="G2971">IF(ROWS(K$20:K2971)&gt;$F$6,"",INDEX(A$2:A$10000,SMALL(IF(ISNUMBER(MATCH($B$2:$B$10000,$E$6:$E$22,0)),ROW($C$2:$C$10000)-ROW($C$2)+1),ROWS(K$20:K2971))))</f>
        <v/>
      </c>
      <c r="H2971" s="4" t="str">
        <f t="array" ref="H2971">IF(ROWS(L$20:L2971)&gt;$F$6,"",INDEX(B$2:B$10000,SMALL(IF(ISNUMBER(MATCH($B$2:$B$10000,$E$6:$E$22,0)),ROW($C$2:$C$10000)-ROW($C$2)+1),ROWS(L$20:L2971))))</f>
        <v/>
      </c>
      <c r="I2971" s="4" t="str">
        <f t="array" ref="I2971">IF(ROWS(M$20:M2971)&gt;$F$6,"",INDEX(C$2:C$10000,SMALL(IF(ISNUMBER(MATCH($B$2:$B$10000,$E$6:$E$22,0)),ROW($C$2:$C$10000)-ROW($C$2)+1),ROWS(M$20:M2971))))</f>
        <v/>
      </c>
      <c r="K2971" s="7" t="str">
        <f t="array" ref="K2971">IF(ROWS(K$20:K2971)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2971))))</f>
        <v/>
      </c>
      <c r="L2971" s="4" t="str">
        <f t="array" ref="L2971">IF(ROWS(L$20:L2971)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2971))))</f>
        <v/>
      </c>
      <c r="M2971" s="4" t="str">
        <f t="array" ref="M2971">IF(ROWS(M$20:M2971)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2971))))</f>
        <v/>
      </c>
    </row>
    <row r="2972" spans="1:13" x14ac:dyDescent="0.25">
      <c r="A2972" s="3">
        <v>41882</v>
      </c>
      <c r="B2972" s="2" t="s">
        <v>49</v>
      </c>
      <c r="C2972" s="2">
        <v>16</v>
      </c>
      <c r="G2972" s="7" t="str">
        <f t="array" ref="G2972">IF(ROWS(K$20:K2972)&gt;$F$6,"",INDEX(A$2:A$10000,SMALL(IF(ISNUMBER(MATCH($B$2:$B$10000,$E$6:$E$22,0)),ROW($C$2:$C$10000)-ROW($C$2)+1),ROWS(K$20:K2972))))</f>
        <v/>
      </c>
      <c r="H2972" s="4" t="str">
        <f t="array" ref="H2972">IF(ROWS(L$20:L2972)&gt;$F$6,"",INDEX(B$2:B$10000,SMALL(IF(ISNUMBER(MATCH($B$2:$B$10000,$E$6:$E$22,0)),ROW($C$2:$C$10000)-ROW($C$2)+1),ROWS(L$20:L2972))))</f>
        <v/>
      </c>
      <c r="I2972" s="4" t="str">
        <f t="array" ref="I2972">IF(ROWS(M$20:M2972)&gt;$F$6,"",INDEX(C$2:C$10000,SMALL(IF(ISNUMBER(MATCH($B$2:$B$10000,$E$6:$E$22,0)),ROW($C$2:$C$10000)-ROW($C$2)+1),ROWS(M$20:M2972))))</f>
        <v/>
      </c>
      <c r="K2972" s="7" t="str">
        <f t="array" ref="K2972">IF(ROWS(K$20:K2972)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2972))))</f>
        <v/>
      </c>
      <c r="L2972" s="4" t="str">
        <f t="array" ref="L2972">IF(ROWS(L$20:L2972)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2972))))</f>
        <v/>
      </c>
      <c r="M2972" s="4" t="str">
        <f t="array" ref="M2972">IF(ROWS(M$20:M2972)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2972))))</f>
        <v/>
      </c>
    </row>
    <row r="2973" spans="1:13" x14ac:dyDescent="0.25">
      <c r="A2973" s="3">
        <v>41397</v>
      </c>
      <c r="B2973" s="2" t="s">
        <v>27</v>
      </c>
      <c r="C2973" s="2">
        <v>21</v>
      </c>
      <c r="G2973" s="7" t="str">
        <f t="array" ref="G2973">IF(ROWS(K$20:K2973)&gt;$F$6,"",INDEX(A$2:A$10000,SMALL(IF(ISNUMBER(MATCH($B$2:$B$10000,$E$6:$E$22,0)),ROW($C$2:$C$10000)-ROW($C$2)+1),ROWS(K$20:K2973))))</f>
        <v/>
      </c>
      <c r="H2973" s="4" t="str">
        <f t="array" ref="H2973">IF(ROWS(L$20:L2973)&gt;$F$6,"",INDEX(B$2:B$10000,SMALL(IF(ISNUMBER(MATCH($B$2:$B$10000,$E$6:$E$22,0)),ROW($C$2:$C$10000)-ROW($C$2)+1),ROWS(L$20:L2973))))</f>
        <v/>
      </c>
      <c r="I2973" s="4" t="str">
        <f t="array" ref="I2973">IF(ROWS(M$20:M2973)&gt;$F$6,"",INDEX(C$2:C$10000,SMALL(IF(ISNUMBER(MATCH($B$2:$B$10000,$E$6:$E$22,0)),ROW($C$2:$C$10000)-ROW($C$2)+1),ROWS(M$20:M2973))))</f>
        <v/>
      </c>
      <c r="K2973" s="7" t="str">
        <f t="array" ref="K2973">IF(ROWS(K$20:K2973)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2973))))</f>
        <v/>
      </c>
      <c r="L2973" s="4" t="str">
        <f t="array" ref="L2973">IF(ROWS(L$20:L2973)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2973))))</f>
        <v/>
      </c>
      <c r="M2973" s="4" t="str">
        <f t="array" ref="M2973">IF(ROWS(M$20:M2973)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2973))))</f>
        <v/>
      </c>
    </row>
    <row r="2974" spans="1:13" x14ac:dyDescent="0.25">
      <c r="A2974" s="3">
        <v>41525</v>
      </c>
      <c r="B2974" s="2" t="s">
        <v>9</v>
      </c>
      <c r="C2974" s="2">
        <v>22</v>
      </c>
      <c r="G2974" s="7" t="str">
        <f t="array" ref="G2974">IF(ROWS(K$20:K2974)&gt;$F$6,"",INDEX(A$2:A$10000,SMALL(IF(ISNUMBER(MATCH($B$2:$B$10000,$E$6:$E$22,0)),ROW($C$2:$C$10000)-ROW($C$2)+1),ROWS(K$20:K2974))))</f>
        <v/>
      </c>
      <c r="H2974" s="4" t="str">
        <f t="array" ref="H2974">IF(ROWS(L$20:L2974)&gt;$F$6,"",INDEX(B$2:B$10000,SMALL(IF(ISNUMBER(MATCH($B$2:$B$10000,$E$6:$E$22,0)),ROW($C$2:$C$10000)-ROW($C$2)+1),ROWS(L$20:L2974))))</f>
        <v/>
      </c>
      <c r="I2974" s="4" t="str">
        <f t="array" ref="I2974">IF(ROWS(M$20:M2974)&gt;$F$6,"",INDEX(C$2:C$10000,SMALL(IF(ISNUMBER(MATCH($B$2:$B$10000,$E$6:$E$22,0)),ROW($C$2:$C$10000)-ROW($C$2)+1),ROWS(M$20:M2974))))</f>
        <v/>
      </c>
      <c r="K2974" s="7" t="str">
        <f t="array" ref="K2974">IF(ROWS(K$20:K2974)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2974))))</f>
        <v/>
      </c>
      <c r="L2974" s="4" t="str">
        <f t="array" ref="L2974">IF(ROWS(L$20:L2974)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2974))))</f>
        <v/>
      </c>
      <c r="M2974" s="4" t="str">
        <f t="array" ref="M2974">IF(ROWS(M$20:M2974)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2974))))</f>
        <v/>
      </c>
    </row>
    <row r="2975" spans="1:13" x14ac:dyDescent="0.25">
      <c r="A2975" s="3">
        <v>41354</v>
      </c>
      <c r="B2975" s="2" t="s">
        <v>38</v>
      </c>
      <c r="C2975" s="2">
        <v>9</v>
      </c>
      <c r="G2975" s="7" t="str">
        <f t="array" ref="G2975">IF(ROWS(K$20:K2975)&gt;$F$6,"",INDEX(A$2:A$10000,SMALL(IF(ISNUMBER(MATCH($B$2:$B$10000,$E$6:$E$22,0)),ROW($C$2:$C$10000)-ROW($C$2)+1),ROWS(K$20:K2975))))</f>
        <v/>
      </c>
      <c r="H2975" s="4" t="str">
        <f t="array" ref="H2975">IF(ROWS(L$20:L2975)&gt;$F$6,"",INDEX(B$2:B$10000,SMALL(IF(ISNUMBER(MATCH($B$2:$B$10000,$E$6:$E$22,0)),ROW($C$2:$C$10000)-ROW($C$2)+1),ROWS(L$20:L2975))))</f>
        <v/>
      </c>
      <c r="I2975" s="4" t="str">
        <f t="array" ref="I2975">IF(ROWS(M$20:M2975)&gt;$F$6,"",INDEX(C$2:C$10000,SMALL(IF(ISNUMBER(MATCH($B$2:$B$10000,$E$6:$E$22,0)),ROW($C$2:$C$10000)-ROW($C$2)+1),ROWS(M$20:M2975))))</f>
        <v/>
      </c>
      <c r="K2975" s="7" t="str">
        <f t="array" ref="K2975">IF(ROWS(K$20:K2975)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2975))))</f>
        <v/>
      </c>
      <c r="L2975" s="4" t="str">
        <f t="array" ref="L2975">IF(ROWS(L$20:L2975)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2975))))</f>
        <v/>
      </c>
      <c r="M2975" s="4" t="str">
        <f t="array" ref="M2975">IF(ROWS(M$20:M2975)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2975))))</f>
        <v/>
      </c>
    </row>
    <row r="2976" spans="1:13" x14ac:dyDescent="0.25">
      <c r="A2976" s="3">
        <v>41479</v>
      </c>
      <c r="B2976" s="2" t="s">
        <v>48</v>
      </c>
      <c r="C2976" s="2">
        <v>42</v>
      </c>
      <c r="G2976" s="7" t="str">
        <f t="array" ref="G2976">IF(ROWS(K$20:K2976)&gt;$F$6,"",INDEX(A$2:A$10000,SMALL(IF(ISNUMBER(MATCH($B$2:$B$10000,$E$6:$E$22,0)),ROW($C$2:$C$10000)-ROW($C$2)+1),ROWS(K$20:K2976))))</f>
        <v/>
      </c>
      <c r="H2976" s="4" t="str">
        <f t="array" ref="H2976">IF(ROWS(L$20:L2976)&gt;$F$6,"",INDEX(B$2:B$10000,SMALL(IF(ISNUMBER(MATCH($B$2:$B$10000,$E$6:$E$22,0)),ROW($C$2:$C$10000)-ROW($C$2)+1),ROWS(L$20:L2976))))</f>
        <v/>
      </c>
      <c r="I2976" s="4" t="str">
        <f t="array" ref="I2976">IF(ROWS(M$20:M2976)&gt;$F$6,"",INDEX(C$2:C$10000,SMALL(IF(ISNUMBER(MATCH($B$2:$B$10000,$E$6:$E$22,0)),ROW($C$2:$C$10000)-ROW($C$2)+1),ROWS(M$20:M2976))))</f>
        <v/>
      </c>
      <c r="K2976" s="7" t="str">
        <f t="array" ref="K2976">IF(ROWS(K$20:K2976)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2976))))</f>
        <v/>
      </c>
      <c r="L2976" s="4" t="str">
        <f t="array" ref="L2976">IF(ROWS(L$20:L2976)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2976))))</f>
        <v/>
      </c>
      <c r="M2976" s="4" t="str">
        <f t="array" ref="M2976">IF(ROWS(M$20:M2976)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2976))))</f>
        <v/>
      </c>
    </row>
    <row r="2977" spans="1:13" x14ac:dyDescent="0.25">
      <c r="A2977" s="3">
        <v>41864</v>
      </c>
      <c r="B2977" s="2" t="s">
        <v>32</v>
      </c>
      <c r="C2977" s="2">
        <v>15</v>
      </c>
      <c r="G2977" s="7" t="str">
        <f t="array" ref="G2977">IF(ROWS(K$20:K2977)&gt;$F$6,"",INDEX(A$2:A$10000,SMALL(IF(ISNUMBER(MATCH($B$2:$B$10000,$E$6:$E$22,0)),ROW($C$2:$C$10000)-ROW($C$2)+1),ROWS(K$20:K2977))))</f>
        <v/>
      </c>
      <c r="H2977" s="4" t="str">
        <f t="array" ref="H2977">IF(ROWS(L$20:L2977)&gt;$F$6,"",INDEX(B$2:B$10000,SMALL(IF(ISNUMBER(MATCH($B$2:$B$10000,$E$6:$E$22,0)),ROW($C$2:$C$10000)-ROW($C$2)+1),ROWS(L$20:L2977))))</f>
        <v/>
      </c>
      <c r="I2977" s="4" t="str">
        <f t="array" ref="I2977">IF(ROWS(M$20:M2977)&gt;$F$6,"",INDEX(C$2:C$10000,SMALL(IF(ISNUMBER(MATCH($B$2:$B$10000,$E$6:$E$22,0)),ROW($C$2:$C$10000)-ROW($C$2)+1),ROWS(M$20:M2977))))</f>
        <v/>
      </c>
      <c r="K2977" s="7" t="str">
        <f t="array" ref="K2977">IF(ROWS(K$20:K2977)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2977))))</f>
        <v/>
      </c>
      <c r="L2977" s="4" t="str">
        <f t="array" ref="L2977">IF(ROWS(L$20:L2977)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2977))))</f>
        <v/>
      </c>
      <c r="M2977" s="4" t="str">
        <f t="array" ref="M2977">IF(ROWS(M$20:M2977)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2977))))</f>
        <v/>
      </c>
    </row>
    <row r="2978" spans="1:13" x14ac:dyDescent="0.25">
      <c r="A2978" s="3">
        <v>41754</v>
      </c>
      <c r="B2978" s="2" t="s">
        <v>50</v>
      </c>
      <c r="C2978" s="2">
        <v>6</v>
      </c>
      <c r="G2978" s="7" t="str">
        <f t="array" ref="G2978">IF(ROWS(K$20:K2978)&gt;$F$6,"",INDEX(A$2:A$10000,SMALL(IF(ISNUMBER(MATCH($B$2:$B$10000,$E$6:$E$22,0)),ROW($C$2:$C$10000)-ROW($C$2)+1),ROWS(K$20:K2978))))</f>
        <v/>
      </c>
      <c r="H2978" s="4" t="str">
        <f t="array" ref="H2978">IF(ROWS(L$20:L2978)&gt;$F$6,"",INDEX(B$2:B$10000,SMALL(IF(ISNUMBER(MATCH($B$2:$B$10000,$E$6:$E$22,0)),ROW($C$2:$C$10000)-ROW($C$2)+1),ROWS(L$20:L2978))))</f>
        <v/>
      </c>
      <c r="I2978" s="4" t="str">
        <f t="array" ref="I2978">IF(ROWS(M$20:M2978)&gt;$F$6,"",INDEX(C$2:C$10000,SMALL(IF(ISNUMBER(MATCH($B$2:$B$10000,$E$6:$E$22,0)),ROW($C$2:$C$10000)-ROW($C$2)+1),ROWS(M$20:M2978))))</f>
        <v/>
      </c>
      <c r="K2978" s="7" t="str">
        <f t="array" ref="K2978">IF(ROWS(K$20:K2978)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2978))))</f>
        <v/>
      </c>
      <c r="L2978" s="4" t="str">
        <f t="array" ref="L2978">IF(ROWS(L$20:L2978)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2978))))</f>
        <v/>
      </c>
      <c r="M2978" s="4" t="str">
        <f t="array" ref="M2978">IF(ROWS(M$20:M2978)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2978))))</f>
        <v/>
      </c>
    </row>
    <row r="2979" spans="1:13" x14ac:dyDescent="0.25">
      <c r="A2979" s="3">
        <v>41669</v>
      </c>
      <c r="B2979" s="2" t="s">
        <v>2</v>
      </c>
      <c r="C2979" s="2">
        <v>29</v>
      </c>
      <c r="G2979" s="7" t="str">
        <f t="array" ref="G2979">IF(ROWS(K$20:K2979)&gt;$F$6,"",INDEX(A$2:A$10000,SMALL(IF(ISNUMBER(MATCH($B$2:$B$10000,$E$6:$E$22,0)),ROW($C$2:$C$10000)-ROW($C$2)+1),ROWS(K$20:K2979))))</f>
        <v/>
      </c>
      <c r="H2979" s="4" t="str">
        <f t="array" ref="H2979">IF(ROWS(L$20:L2979)&gt;$F$6,"",INDEX(B$2:B$10000,SMALL(IF(ISNUMBER(MATCH($B$2:$B$10000,$E$6:$E$22,0)),ROW($C$2:$C$10000)-ROW($C$2)+1),ROWS(L$20:L2979))))</f>
        <v/>
      </c>
      <c r="I2979" s="4" t="str">
        <f t="array" ref="I2979">IF(ROWS(M$20:M2979)&gt;$F$6,"",INDEX(C$2:C$10000,SMALL(IF(ISNUMBER(MATCH($B$2:$B$10000,$E$6:$E$22,0)),ROW($C$2:$C$10000)-ROW($C$2)+1),ROWS(M$20:M2979))))</f>
        <v/>
      </c>
      <c r="K2979" s="7" t="str">
        <f t="array" ref="K2979">IF(ROWS(K$20:K2979)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2979))))</f>
        <v/>
      </c>
      <c r="L2979" s="4" t="str">
        <f t="array" ref="L2979">IF(ROWS(L$20:L2979)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2979))))</f>
        <v/>
      </c>
      <c r="M2979" s="4" t="str">
        <f t="array" ref="M2979">IF(ROWS(M$20:M2979)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2979))))</f>
        <v/>
      </c>
    </row>
    <row r="2980" spans="1:13" x14ac:dyDescent="0.25">
      <c r="A2980" s="3">
        <v>41816</v>
      </c>
      <c r="B2980" s="2" t="s">
        <v>42</v>
      </c>
      <c r="C2980" s="2">
        <v>16</v>
      </c>
      <c r="G2980" s="7" t="str">
        <f t="array" ref="G2980">IF(ROWS(K$20:K2980)&gt;$F$6,"",INDEX(A$2:A$10000,SMALL(IF(ISNUMBER(MATCH($B$2:$B$10000,$E$6:$E$22,0)),ROW($C$2:$C$10000)-ROW($C$2)+1),ROWS(K$20:K2980))))</f>
        <v/>
      </c>
      <c r="H2980" s="4" t="str">
        <f t="array" ref="H2980">IF(ROWS(L$20:L2980)&gt;$F$6,"",INDEX(B$2:B$10000,SMALL(IF(ISNUMBER(MATCH($B$2:$B$10000,$E$6:$E$22,0)),ROW($C$2:$C$10000)-ROW($C$2)+1),ROWS(L$20:L2980))))</f>
        <v/>
      </c>
      <c r="I2980" s="4" t="str">
        <f t="array" ref="I2980">IF(ROWS(M$20:M2980)&gt;$F$6,"",INDEX(C$2:C$10000,SMALL(IF(ISNUMBER(MATCH($B$2:$B$10000,$E$6:$E$22,0)),ROW($C$2:$C$10000)-ROW($C$2)+1),ROWS(M$20:M2980))))</f>
        <v/>
      </c>
      <c r="K2980" s="7" t="str">
        <f t="array" ref="K2980">IF(ROWS(K$20:K2980)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2980))))</f>
        <v/>
      </c>
      <c r="L2980" s="4" t="str">
        <f t="array" ref="L2980">IF(ROWS(L$20:L2980)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2980))))</f>
        <v/>
      </c>
      <c r="M2980" s="4" t="str">
        <f t="array" ref="M2980">IF(ROWS(M$20:M2980)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2980))))</f>
        <v/>
      </c>
    </row>
    <row r="2981" spans="1:13" x14ac:dyDescent="0.25">
      <c r="A2981" s="3">
        <v>41738</v>
      </c>
      <c r="B2981" s="2" t="s">
        <v>18</v>
      </c>
      <c r="C2981" s="2">
        <v>24</v>
      </c>
      <c r="G2981" s="7" t="str">
        <f t="array" ref="G2981">IF(ROWS(K$20:K2981)&gt;$F$6,"",INDEX(A$2:A$10000,SMALL(IF(ISNUMBER(MATCH($B$2:$B$10000,$E$6:$E$22,0)),ROW($C$2:$C$10000)-ROW($C$2)+1),ROWS(K$20:K2981))))</f>
        <v/>
      </c>
      <c r="H2981" s="4" t="str">
        <f t="array" ref="H2981">IF(ROWS(L$20:L2981)&gt;$F$6,"",INDEX(B$2:B$10000,SMALL(IF(ISNUMBER(MATCH($B$2:$B$10000,$E$6:$E$22,0)),ROW($C$2:$C$10000)-ROW($C$2)+1),ROWS(L$20:L2981))))</f>
        <v/>
      </c>
      <c r="I2981" s="4" t="str">
        <f t="array" ref="I2981">IF(ROWS(M$20:M2981)&gt;$F$6,"",INDEX(C$2:C$10000,SMALL(IF(ISNUMBER(MATCH($B$2:$B$10000,$E$6:$E$22,0)),ROW($C$2:$C$10000)-ROW($C$2)+1),ROWS(M$20:M2981))))</f>
        <v/>
      </c>
      <c r="K2981" s="7" t="str">
        <f t="array" ref="K2981">IF(ROWS(K$20:K2981)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2981))))</f>
        <v/>
      </c>
      <c r="L2981" s="4" t="str">
        <f t="array" ref="L2981">IF(ROWS(L$20:L2981)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2981))))</f>
        <v/>
      </c>
      <c r="M2981" s="4" t="str">
        <f t="array" ref="M2981">IF(ROWS(M$20:M2981)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2981))))</f>
        <v/>
      </c>
    </row>
    <row r="2982" spans="1:13" x14ac:dyDescent="0.25">
      <c r="A2982" s="3">
        <v>41956</v>
      </c>
      <c r="B2982" s="2" t="s">
        <v>6</v>
      </c>
      <c r="C2982" s="2">
        <v>7</v>
      </c>
      <c r="G2982" s="7" t="str">
        <f t="array" ref="G2982">IF(ROWS(K$20:K2982)&gt;$F$6,"",INDEX(A$2:A$10000,SMALL(IF(ISNUMBER(MATCH($B$2:$B$10000,$E$6:$E$22,0)),ROW($C$2:$C$10000)-ROW($C$2)+1),ROWS(K$20:K2982))))</f>
        <v/>
      </c>
      <c r="H2982" s="4" t="str">
        <f t="array" ref="H2982">IF(ROWS(L$20:L2982)&gt;$F$6,"",INDEX(B$2:B$10000,SMALL(IF(ISNUMBER(MATCH($B$2:$B$10000,$E$6:$E$22,0)),ROW($C$2:$C$10000)-ROW($C$2)+1),ROWS(L$20:L2982))))</f>
        <v/>
      </c>
      <c r="I2982" s="4" t="str">
        <f t="array" ref="I2982">IF(ROWS(M$20:M2982)&gt;$F$6,"",INDEX(C$2:C$10000,SMALL(IF(ISNUMBER(MATCH($B$2:$B$10000,$E$6:$E$22,0)),ROW($C$2:$C$10000)-ROW($C$2)+1),ROWS(M$20:M2982))))</f>
        <v/>
      </c>
      <c r="K2982" s="7" t="str">
        <f t="array" ref="K2982">IF(ROWS(K$20:K2982)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2982))))</f>
        <v/>
      </c>
      <c r="L2982" s="4" t="str">
        <f t="array" ref="L2982">IF(ROWS(L$20:L2982)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2982))))</f>
        <v/>
      </c>
      <c r="M2982" s="4" t="str">
        <f t="array" ref="M2982">IF(ROWS(M$20:M2982)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2982))))</f>
        <v/>
      </c>
    </row>
    <row r="2983" spans="1:13" x14ac:dyDescent="0.25">
      <c r="A2983" s="3">
        <v>41296</v>
      </c>
      <c r="B2983" s="2" t="s">
        <v>3</v>
      </c>
      <c r="C2983" s="2">
        <v>34</v>
      </c>
      <c r="G2983" s="7" t="str">
        <f t="array" ref="G2983">IF(ROWS(K$20:K2983)&gt;$F$6,"",INDEX(A$2:A$10000,SMALL(IF(ISNUMBER(MATCH($B$2:$B$10000,$E$6:$E$22,0)),ROW($C$2:$C$10000)-ROW($C$2)+1),ROWS(K$20:K2983))))</f>
        <v/>
      </c>
      <c r="H2983" s="4" t="str">
        <f t="array" ref="H2983">IF(ROWS(L$20:L2983)&gt;$F$6,"",INDEX(B$2:B$10000,SMALL(IF(ISNUMBER(MATCH($B$2:$B$10000,$E$6:$E$22,0)),ROW($C$2:$C$10000)-ROW($C$2)+1),ROWS(L$20:L2983))))</f>
        <v/>
      </c>
      <c r="I2983" s="4" t="str">
        <f t="array" ref="I2983">IF(ROWS(M$20:M2983)&gt;$F$6,"",INDEX(C$2:C$10000,SMALL(IF(ISNUMBER(MATCH($B$2:$B$10000,$E$6:$E$22,0)),ROW($C$2:$C$10000)-ROW($C$2)+1),ROWS(M$20:M2983))))</f>
        <v/>
      </c>
      <c r="K2983" s="7" t="str">
        <f t="array" ref="K2983">IF(ROWS(K$20:K2983)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2983))))</f>
        <v/>
      </c>
      <c r="L2983" s="4" t="str">
        <f t="array" ref="L2983">IF(ROWS(L$20:L2983)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2983))))</f>
        <v/>
      </c>
      <c r="M2983" s="4" t="str">
        <f t="array" ref="M2983">IF(ROWS(M$20:M2983)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2983))))</f>
        <v/>
      </c>
    </row>
    <row r="2984" spans="1:13" x14ac:dyDescent="0.25">
      <c r="A2984" s="3">
        <v>41384</v>
      </c>
      <c r="B2984" s="2" t="s">
        <v>48</v>
      </c>
      <c r="C2984" s="2">
        <v>19</v>
      </c>
      <c r="G2984" s="7" t="str">
        <f t="array" ref="G2984">IF(ROWS(K$20:K2984)&gt;$F$6,"",INDEX(A$2:A$10000,SMALL(IF(ISNUMBER(MATCH($B$2:$B$10000,$E$6:$E$22,0)),ROW($C$2:$C$10000)-ROW($C$2)+1),ROWS(K$20:K2984))))</f>
        <v/>
      </c>
      <c r="H2984" s="4" t="str">
        <f t="array" ref="H2984">IF(ROWS(L$20:L2984)&gt;$F$6,"",INDEX(B$2:B$10000,SMALL(IF(ISNUMBER(MATCH($B$2:$B$10000,$E$6:$E$22,0)),ROW($C$2:$C$10000)-ROW($C$2)+1),ROWS(L$20:L2984))))</f>
        <v/>
      </c>
      <c r="I2984" s="4" t="str">
        <f t="array" ref="I2984">IF(ROWS(M$20:M2984)&gt;$F$6,"",INDEX(C$2:C$10000,SMALL(IF(ISNUMBER(MATCH($B$2:$B$10000,$E$6:$E$22,0)),ROW($C$2:$C$10000)-ROW($C$2)+1),ROWS(M$20:M2984))))</f>
        <v/>
      </c>
      <c r="K2984" s="7" t="str">
        <f t="array" ref="K2984">IF(ROWS(K$20:K2984)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2984))))</f>
        <v/>
      </c>
      <c r="L2984" s="4" t="str">
        <f t="array" ref="L2984">IF(ROWS(L$20:L2984)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2984))))</f>
        <v/>
      </c>
      <c r="M2984" s="4" t="str">
        <f t="array" ref="M2984">IF(ROWS(M$20:M2984)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2984))))</f>
        <v/>
      </c>
    </row>
    <row r="2985" spans="1:13" x14ac:dyDescent="0.25">
      <c r="A2985" s="3">
        <v>41361</v>
      </c>
      <c r="B2985" s="2" t="s">
        <v>14</v>
      </c>
      <c r="C2985" s="2">
        <v>37</v>
      </c>
      <c r="G2985" s="7" t="str">
        <f t="array" ref="G2985">IF(ROWS(K$20:K2985)&gt;$F$6,"",INDEX(A$2:A$10000,SMALL(IF(ISNUMBER(MATCH($B$2:$B$10000,$E$6:$E$22,0)),ROW($C$2:$C$10000)-ROW($C$2)+1),ROWS(K$20:K2985))))</f>
        <v/>
      </c>
      <c r="H2985" s="4" t="str">
        <f t="array" ref="H2985">IF(ROWS(L$20:L2985)&gt;$F$6,"",INDEX(B$2:B$10000,SMALL(IF(ISNUMBER(MATCH($B$2:$B$10000,$E$6:$E$22,0)),ROW($C$2:$C$10000)-ROW($C$2)+1),ROWS(L$20:L2985))))</f>
        <v/>
      </c>
      <c r="I2985" s="4" t="str">
        <f t="array" ref="I2985">IF(ROWS(M$20:M2985)&gt;$F$6,"",INDEX(C$2:C$10000,SMALL(IF(ISNUMBER(MATCH($B$2:$B$10000,$E$6:$E$22,0)),ROW($C$2:$C$10000)-ROW($C$2)+1),ROWS(M$20:M2985))))</f>
        <v/>
      </c>
      <c r="K2985" s="7" t="str">
        <f t="array" ref="K2985">IF(ROWS(K$20:K2985)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2985))))</f>
        <v/>
      </c>
      <c r="L2985" s="4" t="str">
        <f t="array" ref="L2985">IF(ROWS(L$20:L2985)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2985))))</f>
        <v/>
      </c>
      <c r="M2985" s="4" t="str">
        <f t="array" ref="M2985">IF(ROWS(M$20:M2985)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2985))))</f>
        <v/>
      </c>
    </row>
    <row r="2986" spans="1:13" x14ac:dyDescent="0.25">
      <c r="A2986" s="3">
        <v>41966</v>
      </c>
      <c r="B2986" s="2" t="s">
        <v>45</v>
      </c>
      <c r="C2986" s="2">
        <v>15</v>
      </c>
      <c r="G2986" s="7" t="str">
        <f t="array" ref="G2986">IF(ROWS(K$20:K2986)&gt;$F$6,"",INDEX(A$2:A$10000,SMALL(IF(ISNUMBER(MATCH($B$2:$B$10000,$E$6:$E$22,0)),ROW($C$2:$C$10000)-ROW($C$2)+1),ROWS(K$20:K2986))))</f>
        <v/>
      </c>
      <c r="H2986" s="4" t="str">
        <f t="array" ref="H2986">IF(ROWS(L$20:L2986)&gt;$F$6,"",INDEX(B$2:B$10000,SMALL(IF(ISNUMBER(MATCH($B$2:$B$10000,$E$6:$E$22,0)),ROW($C$2:$C$10000)-ROW($C$2)+1),ROWS(L$20:L2986))))</f>
        <v/>
      </c>
      <c r="I2986" s="4" t="str">
        <f t="array" ref="I2986">IF(ROWS(M$20:M2986)&gt;$F$6,"",INDEX(C$2:C$10000,SMALL(IF(ISNUMBER(MATCH($B$2:$B$10000,$E$6:$E$22,0)),ROW($C$2:$C$10000)-ROW($C$2)+1),ROWS(M$20:M2986))))</f>
        <v/>
      </c>
      <c r="K2986" s="7" t="str">
        <f t="array" ref="K2986">IF(ROWS(K$20:K2986)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2986))))</f>
        <v/>
      </c>
      <c r="L2986" s="4" t="str">
        <f t="array" ref="L2986">IF(ROWS(L$20:L2986)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2986))))</f>
        <v/>
      </c>
      <c r="M2986" s="4" t="str">
        <f t="array" ref="M2986">IF(ROWS(M$20:M2986)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2986))))</f>
        <v/>
      </c>
    </row>
    <row r="2987" spans="1:13" x14ac:dyDescent="0.25">
      <c r="A2987" s="3">
        <v>41776</v>
      </c>
      <c r="B2987" s="2" t="s">
        <v>14</v>
      </c>
      <c r="C2987" s="2">
        <v>3</v>
      </c>
      <c r="G2987" s="7" t="str">
        <f t="array" ref="G2987">IF(ROWS(K$20:K2987)&gt;$F$6,"",INDEX(A$2:A$10000,SMALL(IF(ISNUMBER(MATCH($B$2:$B$10000,$E$6:$E$22,0)),ROW($C$2:$C$10000)-ROW($C$2)+1),ROWS(K$20:K2987))))</f>
        <v/>
      </c>
      <c r="H2987" s="4" t="str">
        <f t="array" ref="H2987">IF(ROWS(L$20:L2987)&gt;$F$6,"",INDEX(B$2:B$10000,SMALL(IF(ISNUMBER(MATCH($B$2:$B$10000,$E$6:$E$22,0)),ROW($C$2:$C$10000)-ROW($C$2)+1),ROWS(L$20:L2987))))</f>
        <v/>
      </c>
      <c r="I2987" s="4" t="str">
        <f t="array" ref="I2987">IF(ROWS(M$20:M2987)&gt;$F$6,"",INDEX(C$2:C$10000,SMALL(IF(ISNUMBER(MATCH($B$2:$B$10000,$E$6:$E$22,0)),ROW($C$2:$C$10000)-ROW($C$2)+1),ROWS(M$20:M2987))))</f>
        <v/>
      </c>
      <c r="K2987" s="7" t="str">
        <f t="array" ref="K2987">IF(ROWS(K$20:K2987)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2987))))</f>
        <v/>
      </c>
      <c r="L2987" s="4" t="str">
        <f t="array" ref="L2987">IF(ROWS(L$20:L2987)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2987))))</f>
        <v/>
      </c>
      <c r="M2987" s="4" t="str">
        <f t="array" ref="M2987">IF(ROWS(M$20:M2987)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2987))))</f>
        <v/>
      </c>
    </row>
    <row r="2988" spans="1:13" x14ac:dyDescent="0.25">
      <c r="A2988" s="3">
        <v>41540</v>
      </c>
      <c r="B2988" s="2" t="s">
        <v>19</v>
      </c>
      <c r="C2988" s="2">
        <v>28</v>
      </c>
      <c r="G2988" s="7" t="str">
        <f t="array" ref="G2988">IF(ROWS(K$20:K2988)&gt;$F$6,"",INDEX(A$2:A$10000,SMALL(IF(ISNUMBER(MATCH($B$2:$B$10000,$E$6:$E$22,0)),ROW($C$2:$C$10000)-ROW($C$2)+1),ROWS(K$20:K2988))))</f>
        <v/>
      </c>
      <c r="H2988" s="4" t="str">
        <f t="array" ref="H2988">IF(ROWS(L$20:L2988)&gt;$F$6,"",INDEX(B$2:B$10000,SMALL(IF(ISNUMBER(MATCH($B$2:$B$10000,$E$6:$E$22,0)),ROW($C$2:$C$10000)-ROW($C$2)+1),ROWS(L$20:L2988))))</f>
        <v/>
      </c>
      <c r="I2988" s="4" t="str">
        <f t="array" ref="I2988">IF(ROWS(M$20:M2988)&gt;$F$6,"",INDEX(C$2:C$10000,SMALL(IF(ISNUMBER(MATCH($B$2:$B$10000,$E$6:$E$22,0)),ROW($C$2:$C$10000)-ROW($C$2)+1),ROWS(M$20:M2988))))</f>
        <v/>
      </c>
      <c r="K2988" s="7" t="str">
        <f t="array" ref="K2988">IF(ROWS(K$20:K2988)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2988))))</f>
        <v/>
      </c>
      <c r="L2988" s="4" t="str">
        <f t="array" ref="L2988">IF(ROWS(L$20:L2988)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2988))))</f>
        <v/>
      </c>
      <c r="M2988" s="4" t="str">
        <f t="array" ref="M2988">IF(ROWS(M$20:M2988)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2988))))</f>
        <v/>
      </c>
    </row>
    <row r="2989" spans="1:13" x14ac:dyDescent="0.25">
      <c r="A2989" s="3">
        <v>41415</v>
      </c>
      <c r="B2989" s="2" t="s">
        <v>23</v>
      </c>
      <c r="C2989" s="2">
        <v>65</v>
      </c>
      <c r="G2989" s="7" t="str">
        <f t="array" ref="G2989">IF(ROWS(K$20:K2989)&gt;$F$6,"",INDEX(A$2:A$10000,SMALL(IF(ISNUMBER(MATCH($B$2:$B$10000,$E$6:$E$22,0)),ROW($C$2:$C$10000)-ROW($C$2)+1),ROWS(K$20:K2989))))</f>
        <v/>
      </c>
      <c r="H2989" s="4" t="str">
        <f t="array" ref="H2989">IF(ROWS(L$20:L2989)&gt;$F$6,"",INDEX(B$2:B$10000,SMALL(IF(ISNUMBER(MATCH($B$2:$B$10000,$E$6:$E$22,0)),ROW($C$2:$C$10000)-ROW($C$2)+1),ROWS(L$20:L2989))))</f>
        <v/>
      </c>
      <c r="I2989" s="4" t="str">
        <f t="array" ref="I2989">IF(ROWS(M$20:M2989)&gt;$F$6,"",INDEX(C$2:C$10000,SMALL(IF(ISNUMBER(MATCH($B$2:$B$10000,$E$6:$E$22,0)),ROW($C$2:$C$10000)-ROW($C$2)+1),ROWS(M$20:M2989))))</f>
        <v/>
      </c>
      <c r="K2989" s="7" t="str">
        <f t="array" ref="K2989">IF(ROWS(K$20:K2989)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2989))))</f>
        <v/>
      </c>
      <c r="L2989" s="4" t="str">
        <f t="array" ref="L2989">IF(ROWS(L$20:L2989)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2989))))</f>
        <v/>
      </c>
      <c r="M2989" s="4" t="str">
        <f t="array" ref="M2989">IF(ROWS(M$20:M2989)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2989))))</f>
        <v/>
      </c>
    </row>
    <row r="2990" spans="1:13" x14ac:dyDescent="0.25">
      <c r="A2990" s="3">
        <v>41877</v>
      </c>
      <c r="B2990" s="2" t="s">
        <v>48</v>
      </c>
      <c r="C2990" s="2">
        <v>6</v>
      </c>
      <c r="G2990" s="7" t="str">
        <f t="array" ref="G2990">IF(ROWS(K$20:K2990)&gt;$F$6,"",INDEX(A$2:A$10000,SMALL(IF(ISNUMBER(MATCH($B$2:$B$10000,$E$6:$E$22,0)),ROW($C$2:$C$10000)-ROW($C$2)+1),ROWS(K$20:K2990))))</f>
        <v/>
      </c>
      <c r="H2990" s="4" t="str">
        <f t="array" ref="H2990">IF(ROWS(L$20:L2990)&gt;$F$6,"",INDEX(B$2:B$10000,SMALL(IF(ISNUMBER(MATCH($B$2:$B$10000,$E$6:$E$22,0)),ROW($C$2:$C$10000)-ROW($C$2)+1),ROWS(L$20:L2990))))</f>
        <v/>
      </c>
      <c r="I2990" s="4" t="str">
        <f t="array" ref="I2990">IF(ROWS(M$20:M2990)&gt;$F$6,"",INDEX(C$2:C$10000,SMALL(IF(ISNUMBER(MATCH($B$2:$B$10000,$E$6:$E$22,0)),ROW($C$2:$C$10000)-ROW($C$2)+1),ROWS(M$20:M2990))))</f>
        <v/>
      </c>
      <c r="K2990" s="7" t="str">
        <f t="array" ref="K2990">IF(ROWS(K$20:K2990)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2990))))</f>
        <v/>
      </c>
      <c r="L2990" s="4" t="str">
        <f t="array" ref="L2990">IF(ROWS(L$20:L2990)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2990))))</f>
        <v/>
      </c>
      <c r="M2990" s="4" t="str">
        <f t="array" ref="M2990">IF(ROWS(M$20:M2990)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2990))))</f>
        <v/>
      </c>
    </row>
    <row r="2991" spans="1:13" x14ac:dyDescent="0.25">
      <c r="A2991" s="3">
        <v>41709</v>
      </c>
      <c r="B2991" s="2" t="s">
        <v>17</v>
      </c>
      <c r="C2991" s="2">
        <v>23</v>
      </c>
      <c r="G2991" s="7" t="str">
        <f t="array" ref="G2991">IF(ROWS(K$20:K2991)&gt;$F$6,"",INDEX(A$2:A$10000,SMALL(IF(ISNUMBER(MATCH($B$2:$B$10000,$E$6:$E$22,0)),ROW($C$2:$C$10000)-ROW($C$2)+1),ROWS(K$20:K2991))))</f>
        <v/>
      </c>
      <c r="H2991" s="4" t="str">
        <f t="array" ref="H2991">IF(ROWS(L$20:L2991)&gt;$F$6,"",INDEX(B$2:B$10000,SMALL(IF(ISNUMBER(MATCH($B$2:$B$10000,$E$6:$E$22,0)),ROW($C$2:$C$10000)-ROW($C$2)+1),ROWS(L$20:L2991))))</f>
        <v/>
      </c>
      <c r="I2991" s="4" t="str">
        <f t="array" ref="I2991">IF(ROWS(M$20:M2991)&gt;$F$6,"",INDEX(C$2:C$10000,SMALL(IF(ISNUMBER(MATCH($B$2:$B$10000,$E$6:$E$22,0)),ROW($C$2:$C$10000)-ROW($C$2)+1),ROWS(M$20:M2991))))</f>
        <v/>
      </c>
      <c r="K2991" s="7" t="str">
        <f t="array" ref="K2991">IF(ROWS(K$20:K2991)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2991))))</f>
        <v/>
      </c>
      <c r="L2991" s="4" t="str">
        <f t="array" ref="L2991">IF(ROWS(L$20:L2991)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2991))))</f>
        <v/>
      </c>
      <c r="M2991" s="4" t="str">
        <f t="array" ref="M2991">IF(ROWS(M$20:M2991)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2991))))</f>
        <v/>
      </c>
    </row>
    <row r="2992" spans="1:13" x14ac:dyDescent="0.25">
      <c r="A2992" s="3">
        <v>41563</v>
      </c>
      <c r="B2992" s="2" t="s">
        <v>5</v>
      </c>
      <c r="C2992" s="2">
        <v>41</v>
      </c>
      <c r="G2992" s="7" t="str">
        <f t="array" ref="G2992">IF(ROWS(K$20:K2992)&gt;$F$6,"",INDEX(A$2:A$10000,SMALL(IF(ISNUMBER(MATCH($B$2:$B$10000,$E$6:$E$22,0)),ROW($C$2:$C$10000)-ROW($C$2)+1),ROWS(K$20:K2992))))</f>
        <v/>
      </c>
      <c r="H2992" s="4" t="str">
        <f t="array" ref="H2992">IF(ROWS(L$20:L2992)&gt;$F$6,"",INDEX(B$2:B$10000,SMALL(IF(ISNUMBER(MATCH($B$2:$B$10000,$E$6:$E$22,0)),ROW($C$2:$C$10000)-ROW($C$2)+1),ROWS(L$20:L2992))))</f>
        <v/>
      </c>
      <c r="I2992" s="4" t="str">
        <f t="array" ref="I2992">IF(ROWS(M$20:M2992)&gt;$F$6,"",INDEX(C$2:C$10000,SMALL(IF(ISNUMBER(MATCH($B$2:$B$10000,$E$6:$E$22,0)),ROW($C$2:$C$10000)-ROW($C$2)+1),ROWS(M$20:M2992))))</f>
        <v/>
      </c>
      <c r="K2992" s="7" t="str">
        <f t="array" ref="K2992">IF(ROWS(K$20:K2992)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2992))))</f>
        <v/>
      </c>
      <c r="L2992" s="4" t="str">
        <f t="array" ref="L2992">IF(ROWS(L$20:L2992)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2992))))</f>
        <v/>
      </c>
      <c r="M2992" s="4" t="str">
        <f t="array" ref="M2992">IF(ROWS(M$20:M2992)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2992))))</f>
        <v/>
      </c>
    </row>
    <row r="2993" spans="1:13" x14ac:dyDescent="0.25">
      <c r="A2993" s="3">
        <v>41649</v>
      </c>
      <c r="B2993" s="2" t="s">
        <v>29</v>
      </c>
      <c r="C2993" s="2">
        <v>26</v>
      </c>
      <c r="G2993" s="7" t="str">
        <f t="array" ref="G2993">IF(ROWS(K$20:K2993)&gt;$F$6,"",INDEX(A$2:A$10000,SMALL(IF(ISNUMBER(MATCH($B$2:$B$10000,$E$6:$E$22,0)),ROW($C$2:$C$10000)-ROW($C$2)+1),ROWS(K$20:K2993))))</f>
        <v/>
      </c>
      <c r="H2993" s="4" t="str">
        <f t="array" ref="H2993">IF(ROWS(L$20:L2993)&gt;$F$6,"",INDEX(B$2:B$10000,SMALL(IF(ISNUMBER(MATCH($B$2:$B$10000,$E$6:$E$22,0)),ROW($C$2:$C$10000)-ROW($C$2)+1),ROWS(L$20:L2993))))</f>
        <v/>
      </c>
      <c r="I2993" s="4" t="str">
        <f t="array" ref="I2993">IF(ROWS(M$20:M2993)&gt;$F$6,"",INDEX(C$2:C$10000,SMALL(IF(ISNUMBER(MATCH($B$2:$B$10000,$E$6:$E$22,0)),ROW($C$2:$C$10000)-ROW($C$2)+1),ROWS(M$20:M2993))))</f>
        <v/>
      </c>
      <c r="K2993" s="7" t="str">
        <f t="array" ref="K2993">IF(ROWS(K$20:K2993)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2993))))</f>
        <v/>
      </c>
      <c r="L2993" s="4" t="str">
        <f t="array" ref="L2993">IF(ROWS(L$20:L2993)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2993))))</f>
        <v/>
      </c>
      <c r="M2993" s="4" t="str">
        <f t="array" ref="M2993">IF(ROWS(M$20:M2993)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2993))))</f>
        <v/>
      </c>
    </row>
    <row r="2994" spans="1:13" x14ac:dyDescent="0.25">
      <c r="A2994" s="3">
        <v>41875</v>
      </c>
      <c r="B2994" s="2" t="s">
        <v>24</v>
      </c>
      <c r="C2994" s="2">
        <v>29</v>
      </c>
      <c r="G2994" s="7" t="str">
        <f t="array" ref="G2994">IF(ROWS(K$20:K2994)&gt;$F$6,"",INDEX(A$2:A$10000,SMALL(IF(ISNUMBER(MATCH($B$2:$B$10000,$E$6:$E$22,0)),ROW($C$2:$C$10000)-ROW($C$2)+1),ROWS(K$20:K2994))))</f>
        <v/>
      </c>
      <c r="H2994" s="4" t="str">
        <f t="array" ref="H2994">IF(ROWS(L$20:L2994)&gt;$F$6,"",INDEX(B$2:B$10000,SMALL(IF(ISNUMBER(MATCH($B$2:$B$10000,$E$6:$E$22,0)),ROW($C$2:$C$10000)-ROW($C$2)+1),ROWS(L$20:L2994))))</f>
        <v/>
      </c>
      <c r="I2994" s="4" t="str">
        <f t="array" ref="I2994">IF(ROWS(M$20:M2994)&gt;$F$6,"",INDEX(C$2:C$10000,SMALL(IF(ISNUMBER(MATCH($B$2:$B$10000,$E$6:$E$22,0)),ROW($C$2:$C$10000)-ROW($C$2)+1),ROWS(M$20:M2994))))</f>
        <v/>
      </c>
      <c r="K2994" s="7" t="str">
        <f t="array" ref="K2994">IF(ROWS(K$20:K2994)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2994))))</f>
        <v/>
      </c>
      <c r="L2994" s="4" t="str">
        <f t="array" ref="L2994">IF(ROWS(L$20:L2994)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2994))))</f>
        <v/>
      </c>
      <c r="M2994" s="4" t="str">
        <f t="array" ref="M2994">IF(ROWS(M$20:M2994)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2994))))</f>
        <v/>
      </c>
    </row>
    <row r="2995" spans="1:13" x14ac:dyDescent="0.25">
      <c r="A2995" s="3">
        <v>41727</v>
      </c>
      <c r="B2995" s="2" t="s">
        <v>45</v>
      </c>
      <c r="C2995" s="2">
        <v>28</v>
      </c>
      <c r="G2995" s="7" t="str">
        <f t="array" ref="G2995">IF(ROWS(K$20:K2995)&gt;$F$6,"",INDEX(A$2:A$10000,SMALL(IF(ISNUMBER(MATCH($B$2:$B$10000,$E$6:$E$22,0)),ROW($C$2:$C$10000)-ROW($C$2)+1),ROWS(K$20:K2995))))</f>
        <v/>
      </c>
      <c r="H2995" s="4" t="str">
        <f t="array" ref="H2995">IF(ROWS(L$20:L2995)&gt;$F$6,"",INDEX(B$2:B$10000,SMALL(IF(ISNUMBER(MATCH($B$2:$B$10000,$E$6:$E$22,0)),ROW($C$2:$C$10000)-ROW($C$2)+1),ROWS(L$20:L2995))))</f>
        <v/>
      </c>
      <c r="I2995" s="4" t="str">
        <f t="array" ref="I2995">IF(ROWS(M$20:M2995)&gt;$F$6,"",INDEX(C$2:C$10000,SMALL(IF(ISNUMBER(MATCH($B$2:$B$10000,$E$6:$E$22,0)),ROW($C$2:$C$10000)-ROW($C$2)+1),ROWS(M$20:M2995))))</f>
        <v/>
      </c>
      <c r="K2995" s="7" t="str">
        <f t="array" ref="K2995">IF(ROWS(K$20:K2995)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2995))))</f>
        <v/>
      </c>
      <c r="L2995" s="4" t="str">
        <f t="array" ref="L2995">IF(ROWS(L$20:L2995)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2995))))</f>
        <v/>
      </c>
      <c r="M2995" s="4" t="str">
        <f t="array" ref="M2995">IF(ROWS(M$20:M2995)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2995))))</f>
        <v/>
      </c>
    </row>
    <row r="2996" spans="1:13" x14ac:dyDescent="0.25">
      <c r="A2996" s="3">
        <v>41520</v>
      </c>
      <c r="B2996" s="2" t="s">
        <v>35</v>
      </c>
      <c r="C2996" s="2">
        <v>20</v>
      </c>
      <c r="G2996" s="7" t="str">
        <f t="array" ref="G2996">IF(ROWS(K$20:K2996)&gt;$F$6,"",INDEX(A$2:A$10000,SMALL(IF(ISNUMBER(MATCH($B$2:$B$10000,$E$6:$E$22,0)),ROW($C$2:$C$10000)-ROW($C$2)+1),ROWS(K$20:K2996))))</f>
        <v/>
      </c>
      <c r="H2996" s="4" t="str">
        <f t="array" ref="H2996">IF(ROWS(L$20:L2996)&gt;$F$6,"",INDEX(B$2:B$10000,SMALL(IF(ISNUMBER(MATCH($B$2:$B$10000,$E$6:$E$22,0)),ROW($C$2:$C$10000)-ROW($C$2)+1),ROWS(L$20:L2996))))</f>
        <v/>
      </c>
      <c r="I2996" s="4" t="str">
        <f t="array" ref="I2996">IF(ROWS(M$20:M2996)&gt;$F$6,"",INDEX(C$2:C$10000,SMALL(IF(ISNUMBER(MATCH($B$2:$B$10000,$E$6:$E$22,0)),ROW($C$2:$C$10000)-ROW($C$2)+1),ROWS(M$20:M2996))))</f>
        <v/>
      </c>
      <c r="K2996" s="7" t="str">
        <f t="array" ref="K2996">IF(ROWS(K$20:K2996)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2996))))</f>
        <v/>
      </c>
      <c r="L2996" s="4" t="str">
        <f t="array" ref="L2996">IF(ROWS(L$20:L2996)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2996))))</f>
        <v/>
      </c>
      <c r="M2996" s="4" t="str">
        <f t="array" ref="M2996">IF(ROWS(M$20:M2996)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2996))))</f>
        <v/>
      </c>
    </row>
    <row r="2997" spans="1:13" x14ac:dyDescent="0.25">
      <c r="A2997" s="3">
        <v>41713</v>
      </c>
      <c r="B2997" s="2" t="s">
        <v>16</v>
      </c>
      <c r="C2997" s="2">
        <v>33</v>
      </c>
      <c r="G2997" s="7" t="str">
        <f t="array" ref="G2997">IF(ROWS(K$20:K2997)&gt;$F$6,"",INDEX(A$2:A$10000,SMALL(IF(ISNUMBER(MATCH($B$2:$B$10000,$E$6:$E$22,0)),ROW($C$2:$C$10000)-ROW($C$2)+1),ROWS(K$20:K2997))))</f>
        <v/>
      </c>
      <c r="H2997" s="4" t="str">
        <f t="array" ref="H2997">IF(ROWS(L$20:L2997)&gt;$F$6,"",INDEX(B$2:B$10000,SMALL(IF(ISNUMBER(MATCH($B$2:$B$10000,$E$6:$E$22,0)),ROW($C$2:$C$10000)-ROW($C$2)+1),ROWS(L$20:L2997))))</f>
        <v/>
      </c>
      <c r="I2997" s="4" t="str">
        <f t="array" ref="I2997">IF(ROWS(M$20:M2997)&gt;$F$6,"",INDEX(C$2:C$10000,SMALL(IF(ISNUMBER(MATCH($B$2:$B$10000,$E$6:$E$22,0)),ROW($C$2:$C$10000)-ROW($C$2)+1),ROWS(M$20:M2997))))</f>
        <v/>
      </c>
      <c r="K2997" s="7" t="str">
        <f t="array" ref="K2997">IF(ROWS(K$20:K2997)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2997))))</f>
        <v/>
      </c>
      <c r="L2997" s="4" t="str">
        <f t="array" ref="L2997">IF(ROWS(L$20:L2997)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2997))))</f>
        <v/>
      </c>
      <c r="M2997" s="4" t="str">
        <f t="array" ref="M2997">IF(ROWS(M$20:M2997)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2997))))</f>
        <v/>
      </c>
    </row>
    <row r="2998" spans="1:13" x14ac:dyDescent="0.25">
      <c r="A2998" s="3">
        <v>41670</v>
      </c>
      <c r="B2998" s="2" t="s">
        <v>16</v>
      </c>
      <c r="C2998" s="2">
        <v>18</v>
      </c>
      <c r="G2998" s="7" t="str">
        <f t="array" ref="G2998">IF(ROWS(K$20:K2998)&gt;$F$6,"",INDEX(A$2:A$10000,SMALL(IF(ISNUMBER(MATCH($B$2:$B$10000,$E$6:$E$22,0)),ROW($C$2:$C$10000)-ROW($C$2)+1),ROWS(K$20:K2998))))</f>
        <v/>
      </c>
      <c r="H2998" s="4" t="str">
        <f t="array" ref="H2998">IF(ROWS(L$20:L2998)&gt;$F$6,"",INDEX(B$2:B$10000,SMALL(IF(ISNUMBER(MATCH($B$2:$B$10000,$E$6:$E$22,0)),ROW($C$2:$C$10000)-ROW($C$2)+1),ROWS(L$20:L2998))))</f>
        <v/>
      </c>
      <c r="I2998" s="4" t="str">
        <f t="array" ref="I2998">IF(ROWS(M$20:M2998)&gt;$F$6,"",INDEX(C$2:C$10000,SMALL(IF(ISNUMBER(MATCH($B$2:$B$10000,$E$6:$E$22,0)),ROW($C$2:$C$10000)-ROW($C$2)+1),ROWS(M$20:M2998))))</f>
        <v/>
      </c>
      <c r="K2998" s="7" t="str">
        <f t="array" ref="K2998">IF(ROWS(K$20:K2998)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2998))))</f>
        <v/>
      </c>
      <c r="L2998" s="4" t="str">
        <f t="array" ref="L2998">IF(ROWS(L$20:L2998)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2998))))</f>
        <v/>
      </c>
      <c r="M2998" s="4" t="str">
        <f t="array" ref="M2998">IF(ROWS(M$20:M2998)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2998))))</f>
        <v/>
      </c>
    </row>
    <row r="2999" spans="1:13" x14ac:dyDescent="0.25">
      <c r="A2999" s="3">
        <v>41437</v>
      </c>
      <c r="B2999" s="2" t="s">
        <v>46</v>
      </c>
      <c r="C2999" s="2">
        <v>15</v>
      </c>
      <c r="G2999" s="7" t="str">
        <f t="array" ref="G2999">IF(ROWS(K$20:K2999)&gt;$F$6,"",INDEX(A$2:A$10000,SMALL(IF(ISNUMBER(MATCH($B$2:$B$10000,$E$6:$E$22,0)),ROW($C$2:$C$10000)-ROW($C$2)+1),ROWS(K$20:K2999))))</f>
        <v/>
      </c>
      <c r="H2999" s="4" t="str">
        <f t="array" ref="H2999">IF(ROWS(L$20:L2999)&gt;$F$6,"",INDEX(B$2:B$10000,SMALL(IF(ISNUMBER(MATCH($B$2:$B$10000,$E$6:$E$22,0)),ROW($C$2:$C$10000)-ROW($C$2)+1),ROWS(L$20:L2999))))</f>
        <v/>
      </c>
      <c r="I2999" s="4" t="str">
        <f t="array" ref="I2999">IF(ROWS(M$20:M2999)&gt;$F$6,"",INDEX(C$2:C$10000,SMALL(IF(ISNUMBER(MATCH($B$2:$B$10000,$E$6:$E$22,0)),ROW($C$2:$C$10000)-ROW($C$2)+1),ROWS(M$20:M2999))))</f>
        <v/>
      </c>
      <c r="K2999" s="7" t="str">
        <f t="array" ref="K2999">IF(ROWS(K$20:K2999)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2999))))</f>
        <v/>
      </c>
      <c r="L2999" s="4" t="str">
        <f t="array" ref="L2999">IF(ROWS(L$20:L2999)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2999))))</f>
        <v/>
      </c>
      <c r="M2999" s="4" t="str">
        <f t="array" ref="M2999">IF(ROWS(M$20:M2999)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2999))))</f>
        <v/>
      </c>
    </row>
    <row r="3000" spans="1:13" x14ac:dyDescent="0.25">
      <c r="A3000" s="3">
        <v>41282</v>
      </c>
      <c r="B3000" s="2" t="s">
        <v>16</v>
      </c>
      <c r="C3000" s="2">
        <v>7</v>
      </c>
      <c r="G3000" s="7" t="str">
        <f t="array" ref="G3000">IF(ROWS(K$20:K3000)&gt;$F$6,"",INDEX(A$2:A$10000,SMALL(IF(ISNUMBER(MATCH($B$2:$B$10000,$E$6:$E$22,0)),ROW($C$2:$C$10000)-ROW($C$2)+1),ROWS(K$20:K3000))))</f>
        <v/>
      </c>
      <c r="H3000" s="4" t="str">
        <f t="array" ref="H3000">IF(ROWS(L$20:L3000)&gt;$F$6,"",INDEX(B$2:B$10000,SMALL(IF(ISNUMBER(MATCH($B$2:$B$10000,$E$6:$E$22,0)),ROW($C$2:$C$10000)-ROW($C$2)+1),ROWS(L$20:L3000))))</f>
        <v/>
      </c>
      <c r="I3000" s="4" t="str">
        <f t="array" ref="I3000">IF(ROWS(M$20:M3000)&gt;$F$6,"",INDEX(C$2:C$10000,SMALL(IF(ISNUMBER(MATCH($B$2:$B$10000,$E$6:$E$22,0)),ROW($C$2:$C$10000)-ROW($C$2)+1),ROWS(M$20:M3000))))</f>
        <v/>
      </c>
      <c r="K3000" s="7" t="str">
        <f t="array" ref="K3000">IF(ROWS(K$20:K3000)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3000))))</f>
        <v/>
      </c>
      <c r="L3000" s="4" t="str">
        <f t="array" ref="L3000">IF(ROWS(L$20:L3000)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3000))))</f>
        <v/>
      </c>
      <c r="M3000" s="4" t="str">
        <f t="array" ref="M3000">IF(ROWS(M$20:M3000)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3000))))</f>
        <v/>
      </c>
    </row>
    <row r="3001" spans="1:13" x14ac:dyDescent="0.25">
      <c r="A3001" s="3">
        <v>41765</v>
      </c>
      <c r="B3001" s="2" t="s">
        <v>41</v>
      </c>
      <c r="C3001" s="2">
        <v>21</v>
      </c>
      <c r="G3001" s="7" t="str">
        <f t="array" ref="G3001">IF(ROWS(K$20:K3001)&gt;$F$6,"",INDEX(A$2:A$10000,SMALL(IF(ISNUMBER(MATCH($B$2:$B$10000,$E$6:$E$22,0)),ROW($C$2:$C$10000)-ROW($C$2)+1),ROWS(K$20:K3001))))</f>
        <v/>
      </c>
      <c r="H3001" s="4" t="str">
        <f t="array" ref="H3001">IF(ROWS(L$20:L3001)&gt;$F$6,"",INDEX(B$2:B$10000,SMALL(IF(ISNUMBER(MATCH($B$2:$B$10000,$E$6:$E$22,0)),ROW($C$2:$C$10000)-ROW($C$2)+1),ROWS(L$20:L3001))))</f>
        <v/>
      </c>
      <c r="I3001" s="4" t="str">
        <f t="array" ref="I3001">IF(ROWS(M$20:M3001)&gt;$F$6,"",INDEX(C$2:C$10000,SMALL(IF(ISNUMBER(MATCH($B$2:$B$10000,$E$6:$E$22,0)),ROW($C$2:$C$10000)-ROW($C$2)+1),ROWS(M$20:M3001))))</f>
        <v/>
      </c>
      <c r="K3001" s="7" t="str">
        <f t="array" ref="K3001">IF(ROWS(K$20:K3001)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3001))))</f>
        <v/>
      </c>
      <c r="L3001" s="4" t="str">
        <f t="array" ref="L3001">IF(ROWS(L$20:L3001)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3001))))</f>
        <v/>
      </c>
      <c r="M3001" s="4" t="str">
        <f t="array" ref="M3001">IF(ROWS(M$20:M3001)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3001))))</f>
        <v/>
      </c>
    </row>
    <row r="3002" spans="1:13" x14ac:dyDescent="0.25">
      <c r="A3002" s="3">
        <v>41543</v>
      </c>
      <c r="B3002" s="2" t="s">
        <v>25</v>
      </c>
      <c r="C3002" s="2">
        <v>25</v>
      </c>
      <c r="G3002" s="7" t="str">
        <f t="array" ref="G3002">IF(ROWS(K$20:K3002)&gt;$F$6,"",INDEX(A$2:A$10000,SMALL(IF(ISNUMBER(MATCH($B$2:$B$10000,$E$6:$E$22,0)),ROW($C$2:$C$10000)-ROW($C$2)+1),ROWS(K$20:K3002))))</f>
        <v/>
      </c>
      <c r="H3002" s="4" t="str">
        <f t="array" ref="H3002">IF(ROWS(L$20:L3002)&gt;$F$6,"",INDEX(B$2:B$10000,SMALL(IF(ISNUMBER(MATCH($B$2:$B$10000,$E$6:$E$22,0)),ROW($C$2:$C$10000)-ROW($C$2)+1),ROWS(L$20:L3002))))</f>
        <v/>
      </c>
      <c r="I3002" s="4" t="str">
        <f t="array" ref="I3002">IF(ROWS(M$20:M3002)&gt;$F$6,"",INDEX(C$2:C$10000,SMALL(IF(ISNUMBER(MATCH($B$2:$B$10000,$E$6:$E$22,0)),ROW($C$2:$C$10000)-ROW($C$2)+1),ROWS(M$20:M3002))))</f>
        <v/>
      </c>
      <c r="K3002" s="7" t="str">
        <f t="array" ref="K3002">IF(ROWS(K$20:K3002)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3002))))</f>
        <v/>
      </c>
      <c r="L3002" s="4" t="str">
        <f t="array" ref="L3002">IF(ROWS(L$20:L3002)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3002))))</f>
        <v/>
      </c>
      <c r="M3002" s="4" t="str">
        <f t="array" ref="M3002">IF(ROWS(M$20:M3002)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3002))))</f>
        <v/>
      </c>
    </row>
    <row r="3003" spans="1:13" x14ac:dyDescent="0.25">
      <c r="A3003" s="3">
        <v>41828</v>
      </c>
      <c r="B3003" s="2" t="s">
        <v>35</v>
      </c>
      <c r="C3003" s="2">
        <v>46</v>
      </c>
      <c r="G3003" s="7" t="str">
        <f t="array" ref="G3003">IF(ROWS(K$20:K3003)&gt;$F$6,"",INDEX(A$2:A$10000,SMALL(IF(ISNUMBER(MATCH($B$2:$B$10000,$E$6:$E$22,0)),ROW($C$2:$C$10000)-ROW($C$2)+1),ROWS(K$20:K3003))))</f>
        <v/>
      </c>
      <c r="H3003" s="4" t="str">
        <f t="array" ref="H3003">IF(ROWS(L$20:L3003)&gt;$F$6,"",INDEX(B$2:B$10000,SMALL(IF(ISNUMBER(MATCH($B$2:$B$10000,$E$6:$E$22,0)),ROW($C$2:$C$10000)-ROW($C$2)+1),ROWS(L$20:L3003))))</f>
        <v/>
      </c>
      <c r="I3003" s="4" t="str">
        <f t="array" ref="I3003">IF(ROWS(M$20:M3003)&gt;$F$6,"",INDEX(C$2:C$10000,SMALL(IF(ISNUMBER(MATCH($B$2:$B$10000,$E$6:$E$22,0)),ROW($C$2:$C$10000)-ROW($C$2)+1),ROWS(M$20:M3003))))</f>
        <v/>
      </c>
      <c r="K3003" s="7" t="str">
        <f t="array" ref="K3003">IF(ROWS(K$20:K3003)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3003))))</f>
        <v/>
      </c>
      <c r="L3003" s="4" t="str">
        <f t="array" ref="L3003">IF(ROWS(L$20:L3003)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3003))))</f>
        <v/>
      </c>
      <c r="M3003" s="4" t="str">
        <f t="array" ref="M3003">IF(ROWS(M$20:M3003)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3003))))</f>
        <v/>
      </c>
    </row>
    <row r="3004" spans="1:13" x14ac:dyDescent="0.25">
      <c r="A3004" s="3">
        <v>41852</v>
      </c>
      <c r="B3004" s="2" t="s">
        <v>49</v>
      </c>
      <c r="C3004" s="2">
        <v>47</v>
      </c>
      <c r="G3004" s="7" t="str">
        <f t="array" ref="G3004">IF(ROWS(K$20:K3004)&gt;$F$6,"",INDEX(A$2:A$10000,SMALL(IF(ISNUMBER(MATCH($B$2:$B$10000,$E$6:$E$22,0)),ROW($C$2:$C$10000)-ROW($C$2)+1),ROWS(K$20:K3004))))</f>
        <v/>
      </c>
      <c r="H3004" s="4" t="str">
        <f t="array" ref="H3004">IF(ROWS(L$20:L3004)&gt;$F$6,"",INDEX(B$2:B$10000,SMALL(IF(ISNUMBER(MATCH($B$2:$B$10000,$E$6:$E$22,0)),ROW($C$2:$C$10000)-ROW($C$2)+1),ROWS(L$20:L3004))))</f>
        <v/>
      </c>
      <c r="I3004" s="4" t="str">
        <f t="array" ref="I3004">IF(ROWS(M$20:M3004)&gt;$F$6,"",INDEX(C$2:C$10000,SMALL(IF(ISNUMBER(MATCH($B$2:$B$10000,$E$6:$E$22,0)),ROW($C$2:$C$10000)-ROW($C$2)+1),ROWS(M$20:M3004))))</f>
        <v/>
      </c>
      <c r="K3004" s="7" t="str">
        <f t="array" ref="K3004">IF(ROWS(K$20:K3004)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3004))))</f>
        <v/>
      </c>
      <c r="L3004" s="4" t="str">
        <f t="array" ref="L3004">IF(ROWS(L$20:L3004)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3004))))</f>
        <v/>
      </c>
      <c r="M3004" s="4" t="str">
        <f t="array" ref="M3004">IF(ROWS(M$20:M3004)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3004))))</f>
        <v/>
      </c>
    </row>
    <row r="3005" spans="1:13" x14ac:dyDescent="0.25">
      <c r="A3005" s="3">
        <v>41505</v>
      </c>
      <c r="B3005" s="2" t="s">
        <v>19</v>
      </c>
      <c r="C3005" s="2">
        <v>37</v>
      </c>
      <c r="G3005" s="7" t="str">
        <f t="array" ref="G3005">IF(ROWS(K$20:K3005)&gt;$F$6,"",INDEX(A$2:A$10000,SMALL(IF(ISNUMBER(MATCH($B$2:$B$10000,$E$6:$E$22,0)),ROW($C$2:$C$10000)-ROW($C$2)+1),ROWS(K$20:K3005))))</f>
        <v/>
      </c>
      <c r="H3005" s="4" t="str">
        <f t="array" ref="H3005">IF(ROWS(L$20:L3005)&gt;$F$6,"",INDEX(B$2:B$10000,SMALL(IF(ISNUMBER(MATCH($B$2:$B$10000,$E$6:$E$22,0)),ROW($C$2:$C$10000)-ROW($C$2)+1),ROWS(L$20:L3005))))</f>
        <v/>
      </c>
      <c r="I3005" s="4" t="str">
        <f t="array" ref="I3005">IF(ROWS(M$20:M3005)&gt;$F$6,"",INDEX(C$2:C$10000,SMALL(IF(ISNUMBER(MATCH($B$2:$B$10000,$E$6:$E$22,0)),ROW($C$2:$C$10000)-ROW($C$2)+1),ROWS(M$20:M3005))))</f>
        <v/>
      </c>
      <c r="K3005" s="7" t="str">
        <f t="array" ref="K3005">IF(ROWS(K$20:K3005)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3005))))</f>
        <v/>
      </c>
      <c r="L3005" s="4" t="str">
        <f t="array" ref="L3005">IF(ROWS(L$20:L3005)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3005))))</f>
        <v/>
      </c>
      <c r="M3005" s="4" t="str">
        <f t="array" ref="M3005">IF(ROWS(M$20:M3005)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3005))))</f>
        <v/>
      </c>
    </row>
    <row r="3006" spans="1:13" x14ac:dyDescent="0.25">
      <c r="A3006" s="3">
        <v>41651</v>
      </c>
      <c r="B3006" s="2" t="s">
        <v>39</v>
      </c>
      <c r="C3006" s="2">
        <v>21</v>
      </c>
      <c r="G3006" s="7" t="str">
        <f t="array" ref="G3006">IF(ROWS(K$20:K3006)&gt;$F$6,"",INDEX(A$2:A$10000,SMALL(IF(ISNUMBER(MATCH($B$2:$B$10000,$E$6:$E$22,0)),ROW($C$2:$C$10000)-ROW($C$2)+1),ROWS(K$20:K3006))))</f>
        <v/>
      </c>
      <c r="H3006" s="4" t="str">
        <f t="array" ref="H3006">IF(ROWS(L$20:L3006)&gt;$F$6,"",INDEX(B$2:B$10000,SMALL(IF(ISNUMBER(MATCH($B$2:$B$10000,$E$6:$E$22,0)),ROW($C$2:$C$10000)-ROW($C$2)+1),ROWS(L$20:L3006))))</f>
        <v/>
      </c>
      <c r="I3006" s="4" t="str">
        <f t="array" ref="I3006">IF(ROWS(M$20:M3006)&gt;$F$6,"",INDEX(C$2:C$10000,SMALL(IF(ISNUMBER(MATCH($B$2:$B$10000,$E$6:$E$22,0)),ROW($C$2:$C$10000)-ROW($C$2)+1),ROWS(M$20:M3006))))</f>
        <v/>
      </c>
      <c r="K3006" s="7" t="str">
        <f t="array" ref="K3006">IF(ROWS(K$20:K3006)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3006))))</f>
        <v/>
      </c>
      <c r="L3006" s="4" t="str">
        <f t="array" ref="L3006">IF(ROWS(L$20:L3006)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3006))))</f>
        <v/>
      </c>
      <c r="M3006" s="4" t="str">
        <f t="array" ref="M3006">IF(ROWS(M$20:M3006)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3006))))</f>
        <v/>
      </c>
    </row>
    <row r="3007" spans="1:13" x14ac:dyDescent="0.25">
      <c r="A3007" s="3">
        <v>41621</v>
      </c>
      <c r="B3007" s="2" t="s">
        <v>30</v>
      </c>
      <c r="C3007" s="2">
        <v>18</v>
      </c>
      <c r="G3007" s="7" t="str">
        <f t="array" ref="G3007">IF(ROWS(K$20:K3007)&gt;$F$6,"",INDEX(A$2:A$10000,SMALL(IF(ISNUMBER(MATCH($B$2:$B$10000,$E$6:$E$22,0)),ROW($C$2:$C$10000)-ROW($C$2)+1),ROWS(K$20:K3007))))</f>
        <v/>
      </c>
      <c r="H3007" s="4" t="str">
        <f t="array" ref="H3007">IF(ROWS(L$20:L3007)&gt;$F$6,"",INDEX(B$2:B$10000,SMALL(IF(ISNUMBER(MATCH($B$2:$B$10000,$E$6:$E$22,0)),ROW($C$2:$C$10000)-ROW($C$2)+1),ROWS(L$20:L3007))))</f>
        <v/>
      </c>
      <c r="I3007" s="4" t="str">
        <f t="array" ref="I3007">IF(ROWS(M$20:M3007)&gt;$F$6,"",INDEX(C$2:C$10000,SMALL(IF(ISNUMBER(MATCH($B$2:$B$10000,$E$6:$E$22,0)),ROW($C$2:$C$10000)-ROW($C$2)+1),ROWS(M$20:M3007))))</f>
        <v/>
      </c>
      <c r="K3007" s="7" t="str">
        <f t="array" ref="K3007">IF(ROWS(K$20:K3007)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3007))))</f>
        <v/>
      </c>
      <c r="L3007" s="4" t="str">
        <f t="array" ref="L3007">IF(ROWS(L$20:L3007)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3007))))</f>
        <v/>
      </c>
      <c r="M3007" s="4" t="str">
        <f t="array" ref="M3007">IF(ROWS(M$20:M3007)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3007))))</f>
        <v/>
      </c>
    </row>
    <row r="3008" spans="1:13" x14ac:dyDescent="0.25">
      <c r="A3008" s="3">
        <v>41628</v>
      </c>
      <c r="B3008" s="2" t="s">
        <v>42</v>
      </c>
      <c r="C3008" s="2">
        <v>3</v>
      </c>
      <c r="G3008" s="7" t="str">
        <f t="array" ref="G3008">IF(ROWS(K$20:K3008)&gt;$F$6,"",INDEX(A$2:A$10000,SMALL(IF(ISNUMBER(MATCH($B$2:$B$10000,$E$6:$E$22,0)),ROW($C$2:$C$10000)-ROW($C$2)+1),ROWS(K$20:K3008))))</f>
        <v/>
      </c>
      <c r="H3008" s="4" t="str">
        <f t="array" ref="H3008">IF(ROWS(L$20:L3008)&gt;$F$6,"",INDEX(B$2:B$10000,SMALL(IF(ISNUMBER(MATCH($B$2:$B$10000,$E$6:$E$22,0)),ROW($C$2:$C$10000)-ROW($C$2)+1),ROWS(L$20:L3008))))</f>
        <v/>
      </c>
      <c r="I3008" s="4" t="str">
        <f t="array" ref="I3008">IF(ROWS(M$20:M3008)&gt;$F$6,"",INDEX(C$2:C$10000,SMALL(IF(ISNUMBER(MATCH($B$2:$B$10000,$E$6:$E$22,0)),ROW($C$2:$C$10000)-ROW($C$2)+1),ROWS(M$20:M3008))))</f>
        <v/>
      </c>
      <c r="K3008" s="7" t="str">
        <f t="array" ref="K3008">IF(ROWS(K$20:K3008)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3008))))</f>
        <v/>
      </c>
      <c r="L3008" s="4" t="str">
        <f t="array" ref="L3008">IF(ROWS(L$20:L3008)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3008))))</f>
        <v/>
      </c>
      <c r="M3008" s="4" t="str">
        <f t="array" ref="M3008">IF(ROWS(M$20:M3008)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3008))))</f>
        <v/>
      </c>
    </row>
    <row r="3009" spans="1:13" x14ac:dyDescent="0.25">
      <c r="A3009" s="3">
        <v>41418</v>
      </c>
      <c r="B3009" s="2" t="s">
        <v>6</v>
      </c>
      <c r="C3009" s="2">
        <v>4</v>
      </c>
      <c r="G3009" s="7" t="str">
        <f t="array" ref="G3009">IF(ROWS(K$20:K3009)&gt;$F$6,"",INDEX(A$2:A$10000,SMALL(IF(ISNUMBER(MATCH($B$2:$B$10000,$E$6:$E$22,0)),ROW($C$2:$C$10000)-ROW($C$2)+1),ROWS(K$20:K3009))))</f>
        <v/>
      </c>
      <c r="H3009" s="4" t="str">
        <f t="array" ref="H3009">IF(ROWS(L$20:L3009)&gt;$F$6,"",INDEX(B$2:B$10000,SMALL(IF(ISNUMBER(MATCH($B$2:$B$10000,$E$6:$E$22,0)),ROW($C$2:$C$10000)-ROW($C$2)+1),ROWS(L$20:L3009))))</f>
        <v/>
      </c>
      <c r="I3009" s="4" t="str">
        <f t="array" ref="I3009">IF(ROWS(M$20:M3009)&gt;$F$6,"",INDEX(C$2:C$10000,SMALL(IF(ISNUMBER(MATCH($B$2:$B$10000,$E$6:$E$22,0)),ROW($C$2:$C$10000)-ROW($C$2)+1),ROWS(M$20:M3009))))</f>
        <v/>
      </c>
      <c r="K3009" s="7" t="str">
        <f t="array" ref="K3009">IF(ROWS(K$20:K3009)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3009))))</f>
        <v/>
      </c>
      <c r="L3009" s="4" t="str">
        <f t="array" ref="L3009">IF(ROWS(L$20:L3009)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3009))))</f>
        <v/>
      </c>
      <c r="M3009" s="4" t="str">
        <f t="array" ref="M3009">IF(ROWS(M$20:M3009)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3009))))</f>
        <v/>
      </c>
    </row>
    <row r="3010" spans="1:13" x14ac:dyDescent="0.25">
      <c r="A3010" s="3">
        <v>41925</v>
      </c>
      <c r="B3010" s="2" t="s">
        <v>23</v>
      </c>
      <c r="C3010" s="2">
        <v>15</v>
      </c>
      <c r="G3010" s="7" t="str">
        <f t="array" ref="G3010">IF(ROWS(K$20:K3010)&gt;$F$6,"",INDEX(A$2:A$10000,SMALL(IF(ISNUMBER(MATCH($B$2:$B$10000,$E$6:$E$22,0)),ROW($C$2:$C$10000)-ROW($C$2)+1),ROWS(K$20:K3010))))</f>
        <v/>
      </c>
      <c r="H3010" s="4" t="str">
        <f t="array" ref="H3010">IF(ROWS(L$20:L3010)&gt;$F$6,"",INDEX(B$2:B$10000,SMALL(IF(ISNUMBER(MATCH($B$2:$B$10000,$E$6:$E$22,0)),ROW($C$2:$C$10000)-ROW($C$2)+1),ROWS(L$20:L3010))))</f>
        <v/>
      </c>
      <c r="I3010" s="4" t="str">
        <f t="array" ref="I3010">IF(ROWS(M$20:M3010)&gt;$F$6,"",INDEX(C$2:C$10000,SMALL(IF(ISNUMBER(MATCH($B$2:$B$10000,$E$6:$E$22,0)),ROW($C$2:$C$10000)-ROW($C$2)+1),ROWS(M$20:M3010))))</f>
        <v/>
      </c>
      <c r="K3010" s="7" t="str">
        <f t="array" ref="K3010">IF(ROWS(K$20:K3010)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3010))))</f>
        <v/>
      </c>
      <c r="L3010" s="4" t="str">
        <f t="array" ref="L3010">IF(ROWS(L$20:L3010)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3010))))</f>
        <v/>
      </c>
      <c r="M3010" s="4" t="str">
        <f t="array" ref="M3010">IF(ROWS(M$20:M3010)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3010))))</f>
        <v/>
      </c>
    </row>
    <row r="3011" spans="1:13" x14ac:dyDescent="0.25">
      <c r="A3011" s="3">
        <v>41435</v>
      </c>
      <c r="B3011" s="2" t="s">
        <v>22</v>
      </c>
      <c r="C3011" s="2">
        <v>10</v>
      </c>
      <c r="G3011" s="7" t="str">
        <f t="array" ref="G3011">IF(ROWS(K$20:K3011)&gt;$F$6,"",INDEX(A$2:A$10000,SMALL(IF(ISNUMBER(MATCH($B$2:$B$10000,$E$6:$E$22,0)),ROW($C$2:$C$10000)-ROW($C$2)+1),ROWS(K$20:K3011))))</f>
        <v/>
      </c>
      <c r="H3011" s="4" t="str">
        <f t="array" ref="H3011">IF(ROWS(L$20:L3011)&gt;$F$6,"",INDEX(B$2:B$10000,SMALL(IF(ISNUMBER(MATCH($B$2:$B$10000,$E$6:$E$22,0)),ROW($C$2:$C$10000)-ROW($C$2)+1),ROWS(L$20:L3011))))</f>
        <v/>
      </c>
      <c r="I3011" s="4" t="str">
        <f t="array" ref="I3011">IF(ROWS(M$20:M3011)&gt;$F$6,"",INDEX(C$2:C$10000,SMALL(IF(ISNUMBER(MATCH($B$2:$B$10000,$E$6:$E$22,0)),ROW($C$2:$C$10000)-ROW($C$2)+1),ROWS(M$20:M3011))))</f>
        <v/>
      </c>
      <c r="K3011" s="7" t="str">
        <f t="array" ref="K3011">IF(ROWS(K$20:K3011)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3011))))</f>
        <v/>
      </c>
      <c r="L3011" s="4" t="str">
        <f t="array" ref="L3011">IF(ROWS(L$20:L3011)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3011))))</f>
        <v/>
      </c>
      <c r="M3011" s="4" t="str">
        <f t="array" ref="M3011">IF(ROWS(M$20:M3011)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3011))))</f>
        <v/>
      </c>
    </row>
    <row r="3012" spans="1:13" x14ac:dyDescent="0.25">
      <c r="A3012" s="3">
        <v>41926</v>
      </c>
      <c r="B3012" s="2" t="s">
        <v>25</v>
      </c>
      <c r="C3012" s="2">
        <v>25</v>
      </c>
      <c r="G3012" s="7" t="str">
        <f t="array" ref="G3012">IF(ROWS(K$20:K3012)&gt;$F$6,"",INDEX(A$2:A$10000,SMALL(IF(ISNUMBER(MATCH($B$2:$B$10000,$E$6:$E$22,0)),ROW($C$2:$C$10000)-ROW($C$2)+1),ROWS(K$20:K3012))))</f>
        <v/>
      </c>
      <c r="H3012" s="4" t="str">
        <f t="array" ref="H3012">IF(ROWS(L$20:L3012)&gt;$F$6,"",INDEX(B$2:B$10000,SMALL(IF(ISNUMBER(MATCH($B$2:$B$10000,$E$6:$E$22,0)),ROW($C$2:$C$10000)-ROW($C$2)+1),ROWS(L$20:L3012))))</f>
        <v/>
      </c>
      <c r="I3012" s="4" t="str">
        <f t="array" ref="I3012">IF(ROWS(M$20:M3012)&gt;$F$6,"",INDEX(C$2:C$10000,SMALL(IF(ISNUMBER(MATCH($B$2:$B$10000,$E$6:$E$22,0)),ROW($C$2:$C$10000)-ROW($C$2)+1),ROWS(M$20:M3012))))</f>
        <v/>
      </c>
      <c r="K3012" s="7" t="str">
        <f t="array" ref="K3012">IF(ROWS(K$20:K3012)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3012))))</f>
        <v/>
      </c>
      <c r="L3012" s="4" t="str">
        <f t="array" ref="L3012">IF(ROWS(L$20:L3012)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3012))))</f>
        <v/>
      </c>
      <c r="M3012" s="4" t="str">
        <f t="array" ref="M3012">IF(ROWS(M$20:M3012)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3012))))</f>
        <v/>
      </c>
    </row>
    <row r="3013" spans="1:13" x14ac:dyDescent="0.25">
      <c r="A3013" s="3">
        <v>41452</v>
      </c>
      <c r="B3013" s="2" t="s">
        <v>26</v>
      </c>
      <c r="C3013" s="2">
        <v>26</v>
      </c>
      <c r="G3013" s="7" t="str">
        <f t="array" ref="G3013">IF(ROWS(K$20:K3013)&gt;$F$6,"",INDEX(A$2:A$10000,SMALL(IF(ISNUMBER(MATCH($B$2:$B$10000,$E$6:$E$22,0)),ROW($C$2:$C$10000)-ROW($C$2)+1),ROWS(K$20:K3013))))</f>
        <v/>
      </c>
      <c r="H3013" s="4" t="str">
        <f t="array" ref="H3013">IF(ROWS(L$20:L3013)&gt;$F$6,"",INDEX(B$2:B$10000,SMALL(IF(ISNUMBER(MATCH($B$2:$B$10000,$E$6:$E$22,0)),ROW($C$2:$C$10000)-ROW($C$2)+1),ROWS(L$20:L3013))))</f>
        <v/>
      </c>
      <c r="I3013" s="4" t="str">
        <f t="array" ref="I3013">IF(ROWS(M$20:M3013)&gt;$F$6,"",INDEX(C$2:C$10000,SMALL(IF(ISNUMBER(MATCH($B$2:$B$10000,$E$6:$E$22,0)),ROW($C$2:$C$10000)-ROW($C$2)+1),ROWS(M$20:M3013))))</f>
        <v/>
      </c>
      <c r="K3013" s="7" t="str">
        <f t="array" ref="K3013">IF(ROWS(K$20:K3013)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3013))))</f>
        <v/>
      </c>
      <c r="L3013" s="4" t="str">
        <f t="array" ref="L3013">IF(ROWS(L$20:L3013)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3013))))</f>
        <v/>
      </c>
      <c r="M3013" s="4" t="str">
        <f t="array" ref="M3013">IF(ROWS(M$20:M3013)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3013))))</f>
        <v/>
      </c>
    </row>
    <row r="3014" spans="1:13" x14ac:dyDescent="0.25">
      <c r="A3014" s="3">
        <v>41296</v>
      </c>
      <c r="B3014" s="2" t="s">
        <v>39</v>
      </c>
      <c r="C3014" s="2">
        <v>38</v>
      </c>
      <c r="G3014" s="7" t="str">
        <f t="array" ref="G3014">IF(ROWS(K$20:K3014)&gt;$F$6,"",INDEX(A$2:A$10000,SMALL(IF(ISNUMBER(MATCH($B$2:$B$10000,$E$6:$E$22,0)),ROW($C$2:$C$10000)-ROW($C$2)+1),ROWS(K$20:K3014))))</f>
        <v/>
      </c>
      <c r="H3014" s="4" t="str">
        <f t="array" ref="H3014">IF(ROWS(L$20:L3014)&gt;$F$6,"",INDEX(B$2:B$10000,SMALL(IF(ISNUMBER(MATCH($B$2:$B$10000,$E$6:$E$22,0)),ROW($C$2:$C$10000)-ROW($C$2)+1),ROWS(L$20:L3014))))</f>
        <v/>
      </c>
      <c r="I3014" s="4" t="str">
        <f t="array" ref="I3014">IF(ROWS(M$20:M3014)&gt;$F$6,"",INDEX(C$2:C$10000,SMALL(IF(ISNUMBER(MATCH($B$2:$B$10000,$E$6:$E$22,0)),ROW($C$2:$C$10000)-ROW($C$2)+1),ROWS(M$20:M3014))))</f>
        <v/>
      </c>
      <c r="K3014" s="7" t="str">
        <f t="array" ref="K3014">IF(ROWS(K$20:K3014)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3014))))</f>
        <v/>
      </c>
      <c r="L3014" s="4" t="str">
        <f t="array" ref="L3014">IF(ROWS(L$20:L3014)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3014))))</f>
        <v/>
      </c>
      <c r="M3014" s="4" t="str">
        <f t="array" ref="M3014">IF(ROWS(M$20:M3014)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3014))))</f>
        <v/>
      </c>
    </row>
    <row r="3015" spans="1:13" x14ac:dyDescent="0.25">
      <c r="A3015" s="3">
        <v>41895</v>
      </c>
      <c r="B3015" s="2" t="s">
        <v>23</v>
      </c>
      <c r="C3015" s="2">
        <v>14</v>
      </c>
      <c r="G3015" s="7" t="str">
        <f t="array" ref="G3015">IF(ROWS(K$20:K3015)&gt;$F$6,"",INDEX(A$2:A$10000,SMALL(IF(ISNUMBER(MATCH($B$2:$B$10000,$E$6:$E$22,0)),ROW($C$2:$C$10000)-ROW($C$2)+1),ROWS(K$20:K3015))))</f>
        <v/>
      </c>
      <c r="H3015" s="4" t="str">
        <f t="array" ref="H3015">IF(ROWS(L$20:L3015)&gt;$F$6,"",INDEX(B$2:B$10000,SMALL(IF(ISNUMBER(MATCH($B$2:$B$10000,$E$6:$E$22,0)),ROW($C$2:$C$10000)-ROW($C$2)+1),ROWS(L$20:L3015))))</f>
        <v/>
      </c>
      <c r="I3015" s="4" t="str">
        <f t="array" ref="I3015">IF(ROWS(M$20:M3015)&gt;$F$6,"",INDEX(C$2:C$10000,SMALL(IF(ISNUMBER(MATCH($B$2:$B$10000,$E$6:$E$22,0)),ROW($C$2:$C$10000)-ROW($C$2)+1),ROWS(M$20:M3015))))</f>
        <v/>
      </c>
      <c r="K3015" s="7" t="str">
        <f t="array" ref="K3015">IF(ROWS(K$20:K3015)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3015))))</f>
        <v/>
      </c>
      <c r="L3015" s="4" t="str">
        <f t="array" ref="L3015">IF(ROWS(L$20:L3015)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3015))))</f>
        <v/>
      </c>
      <c r="M3015" s="4" t="str">
        <f t="array" ref="M3015">IF(ROWS(M$20:M3015)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3015))))</f>
        <v/>
      </c>
    </row>
    <row r="3016" spans="1:13" x14ac:dyDescent="0.25">
      <c r="A3016" s="3">
        <v>41952</v>
      </c>
      <c r="B3016" s="2" t="s">
        <v>51</v>
      </c>
      <c r="C3016" s="2">
        <v>40</v>
      </c>
      <c r="G3016" s="7" t="str">
        <f t="array" ref="G3016">IF(ROWS(K$20:K3016)&gt;$F$6,"",INDEX(A$2:A$10000,SMALL(IF(ISNUMBER(MATCH($B$2:$B$10000,$E$6:$E$22,0)),ROW($C$2:$C$10000)-ROW($C$2)+1),ROWS(K$20:K3016))))</f>
        <v/>
      </c>
      <c r="H3016" s="4" t="str">
        <f t="array" ref="H3016">IF(ROWS(L$20:L3016)&gt;$F$6,"",INDEX(B$2:B$10000,SMALL(IF(ISNUMBER(MATCH($B$2:$B$10000,$E$6:$E$22,0)),ROW($C$2:$C$10000)-ROW($C$2)+1),ROWS(L$20:L3016))))</f>
        <v/>
      </c>
      <c r="I3016" s="4" t="str">
        <f t="array" ref="I3016">IF(ROWS(M$20:M3016)&gt;$F$6,"",INDEX(C$2:C$10000,SMALL(IF(ISNUMBER(MATCH($B$2:$B$10000,$E$6:$E$22,0)),ROW($C$2:$C$10000)-ROW($C$2)+1),ROWS(M$20:M3016))))</f>
        <v/>
      </c>
      <c r="K3016" s="7" t="str">
        <f t="array" ref="K3016">IF(ROWS(K$20:K3016)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3016))))</f>
        <v/>
      </c>
      <c r="L3016" s="4" t="str">
        <f t="array" ref="L3016">IF(ROWS(L$20:L3016)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3016))))</f>
        <v/>
      </c>
      <c r="M3016" s="4" t="str">
        <f t="array" ref="M3016">IF(ROWS(M$20:M3016)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3016))))</f>
        <v/>
      </c>
    </row>
    <row r="3017" spans="1:13" x14ac:dyDescent="0.25">
      <c r="A3017" s="3">
        <v>41701</v>
      </c>
      <c r="B3017" s="2" t="s">
        <v>12</v>
      </c>
      <c r="C3017" s="2">
        <v>48</v>
      </c>
      <c r="G3017" s="7" t="str">
        <f t="array" ref="G3017">IF(ROWS(K$20:K3017)&gt;$F$6,"",INDEX(A$2:A$10000,SMALL(IF(ISNUMBER(MATCH($B$2:$B$10000,$E$6:$E$22,0)),ROW($C$2:$C$10000)-ROW($C$2)+1),ROWS(K$20:K3017))))</f>
        <v/>
      </c>
      <c r="H3017" s="4" t="str">
        <f t="array" ref="H3017">IF(ROWS(L$20:L3017)&gt;$F$6,"",INDEX(B$2:B$10000,SMALL(IF(ISNUMBER(MATCH($B$2:$B$10000,$E$6:$E$22,0)),ROW($C$2:$C$10000)-ROW($C$2)+1),ROWS(L$20:L3017))))</f>
        <v/>
      </c>
      <c r="I3017" s="4" t="str">
        <f t="array" ref="I3017">IF(ROWS(M$20:M3017)&gt;$F$6,"",INDEX(C$2:C$10000,SMALL(IF(ISNUMBER(MATCH($B$2:$B$10000,$E$6:$E$22,0)),ROW($C$2:$C$10000)-ROW($C$2)+1),ROWS(M$20:M3017))))</f>
        <v/>
      </c>
      <c r="K3017" s="7" t="str">
        <f t="array" ref="K3017">IF(ROWS(K$20:K3017)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3017))))</f>
        <v/>
      </c>
      <c r="L3017" s="4" t="str">
        <f t="array" ref="L3017">IF(ROWS(L$20:L3017)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3017))))</f>
        <v/>
      </c>
      <c r="M3017" s="4" t="str">
        <f t="array" ref="M3017">IF(ROWS(M$20:M3017)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3017))))</f>
        <v/>
      </c>
    </row>
    <row r="3018" spans="1:13" x14ac:dyDescent="0.25">
      <c r="A3018" s="3">
        <v>41831</v>
      </c>
      <c r="B3018" s="2" t="s">
        <v>9</v>
      </c>
      <c r="C3018" s="2">
        <v>47</v>
      </c>
      <c r="G3018" s="7" t="str">
        <f t="array" ref="G3018">IF(ROWS(K$20:K3018)&gt;$F$6,"",INDEX(A$2:A$10000,SMALL(IF(ISNUMBER(MATCH($B$2:$B$10000,$E$6:$E$22,0)),ROW($C$2:$C$10000)-ROW($C$2)+1),ROWS(K$20:K3018))))</f>
        <v/>
      </c>
      <c r="H3018" s="4" t="str">
        <f t="array" ref="H3018">IF(ROWS(L$20:L3018)&gt;$F$6,"",INDEX(B$2:B$10000,SMALL(IF(ISNUMBER(MATCH($B$2:$B$10000,$E$6:$E$22,0)),ROW($C$2:$C$10000)-ROW($C$2)+1),ROWS(L$20:L3018))))</f>
        <v/>
      </c>
      <c r="I3018" s="4" t="str">
        <f t="array" ref="I3018">IF(ROWS(M$20:M3018)&gt;$F$6,"",INDEX(C$2:C$10000,SMALL(IF(ISNUMBER(MATCH($B$2:$B$10000,$E$6:$E$22,0)),ROW($C$2:$C$10000)-ROW($C$2)+1),ROWS(M$20:M3018))))</f>
        <v/>
      </c>
      <c r="K3018" s="7" t="str">
        <f t="array" ref="K3018">IF(ROWS(K$20:K3018)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3018))))</f>
        <v/>
      </c>
      <c r="L3018" s="4" t="str">
        <f t="array" ref="L3018">IF(ROWS(L$20:L3018)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3018))))</f>
        <v/>
      </c>
      <c r="M3018" s="4" t="str">
        <f t="array" ref="M3018">IF(ROWS(M$20:M3018)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3018))))</f>
        <v/>
      </c>
    </row>
    <row r="3019" spans="1:13" x14ac:dyDescent="0.25">
      <c r="A3019" s="3">
        <v>41691</v>
      </c>
      <c r="B3019" s="2" t="s">
        <v>43</v>
      </c>
      <c r="C3019" s="2">
        <v>39</v>
      </c>
      <c r="G3019" s="7" t="str">
        <f t="array" ref="G3019">IF(ROWS(K$20:K3019)&gt;$F$6,"",INDEX(A$2:A$10000,SMALL(IF(ISNUMBER(MATCH($B$2:$B$10000,$E$6:$E$22,0)),ROW($C$2:$C$10000)-ROW($C$2)+1),ROWS(K$20:K3019))))</f>
        <v/>
      </c>
      <c r="H3019" s="4" t="str">
        <f t="array" ref="H3019">IF(ROWS(L$20:L3019)&gt;$F$6,"",INDEX(B$2:B$10000,SMALL(IF(ISNUMBER(MATCH($B$2:$B$10000,$E$6:$E$22,0)),ROW($C$2:$C$10000)-ROW($C$2)+1),ROWS(L$20:L3019))))</f>
        <v/>
      </c>
      <c r="I3019" s="4" t="str">
        <f t="array" ref="I3019">IF(ROWS(M$20:M3019)&gt;$F$6,"",INDEX(C$2:C$10000,SMALL(IF(ISNUMBER(MATCH($B$2:$B$10000,$E$6:$E$22,0)),ROW($C$2:$C$10000)-ROW($C$2)+1),ROWS(M$20:M3019))))</f>
        <v/>
      </c>
      <c r="K3019" s="7" t="str">
        <f t="array" ref="K3019">IF(ROWS(K$20:K3019)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3019))))</f>
        <v/>
      </c>
      <c r="L3019" s="4" t="str">
        <f t="array" ref="L3019">IF(ROWS(L$20:L3019)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3019))))</f>
        <v/>
      </c>
      <c r="M3019" s="4" t="str">
        <f t="array" ref="M3019">IF(ROWS(M$20:M3019)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3019))))</f>
        <v/>
      </c>
    </row>
    <row r="3020" spans="1:13" x14ac:dyDescent="0.25">
      <c r="A3020" s="3">
        <v>41364</v>
      </c>
      <c r="B3020" s="2" t="s">
        <v>40</v>
      </c>
      <c r="C3020" s="2">
        <v>17</v>
      </c>
      <c r="G3020" s="7" t="str">
        <f t="array" ref="G3020">IF(ROWS(K$20:K3020)&gt;$F$6,"",INDEX(A$2:A$10000,SMALL(IF(ISNUMBER(MATCH($B$2:$B$10000,$E$6:$E$22,0)),ROW($C$2:$C$10000)-ROW($C$2)+1),ROWS(K$20:K3020))))</f>
        <v/>
      </c>
      <c r="H3020" s="4" t="str">
        <f t="array" ref="H3020">IF(ROWS(L$20:L3020)&gt;$F$6,"",INDEX(B$2:B$10000,SMALL(IF(ISNUMBER(MATCH($B$2:$B$10000,$E$6:$E$22,0)),ROW($C$2:$C$10000)-ROW($C$2)+1),ROWS(L$20:L3020))))</f>
        <v/>
      </c>
      <c r="I3020" s="4" t="str">
        <f t="array" ref="I3020">IF(ROWS(M$20:M3020)&gt;$F$6,"",INDEX(C$2:C$10000,SMALL(IF(ISNUMBER(MATCH($B$2:$B$10000,$E$6:$E$22,0)),ROW($C$2:$C$10000)-ROW($C$2)+1),ROWS(M$20:M3020))))</f>
        <v/>
      </c>
      <c r="K3020" s="7" t="str">
        <f t="array" ref="K3020">IF(ROWS(K$20:K3020)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3020))))</f>
        <v/>
      </c>
      <c r="L3020" s="4" t="str">
        <f t="array" ref="L3020">IF(ROWS(L$20:L3020)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3020))))</f>
        <v/>
      </c>
      <c r="M3020" s="4" t="str">
        <f t="array" ref="M3020">IF(ROWS(M$20:M3020)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3020))))</f>
        <v/>
      </c>
    </row>
    <row r="3021" spans="1:13" x14ac:dyDescent="0.25">
      <c r="A3021" s="3">
        <v>41611</v>
      </c>
      <c r="B3021" s="2" t="s">
        <v>31</v>
      </c>
      <c r="C3021" s="2">
        <v>10</v>
      </c>
      <c r="G3021" s="7" t="str">
        <f t="array" ref="G3021">IF(ROWS(K$20:K3021)&gt;$F$6,"",INDEX(A$2:A$10000,SMALL(IF(ISNUMBER(MATCH($B$2:$B$10000,$E$6:$E$22,0)),ROW($C$2:$C$10000)-ROW($C$2)+1),ROWS(K$20:K3021))))</f>
        <v/>
      </c>
      <c r="H3021" s="4" t="str">
        <f t="array" ref="H3021">IF(ROWS(L$20:L3021)&gt;$F$6,"",INDEX(B$2:B$10000,SMALL(IF(ISNUMBER(MATCH($B$2:$B$10000,$E$6:$E$22,0)),ROW($C$2:$C$10000)-ROW($C$2)+1),ROWS(L$20:L3021))))</f>
        <v/>
      </c>
      <c r="I3021" s="4" t="str">
        <f t="array" ref="I3021">IF(ROWS(M$20:M3021)&gt;$F$6,"",INDEX(C$2:C$10000,SMALL(IF(ISNUMBER(MATCH($B$2:$B$10000,$E$6:$E$22,0)),ROW($C$2:$C$10000)-ROW($C$2)+1),ROWS(M$20:M3021))))</f>
        <v/>
      </c>
      <c r="K3021" s="7" t="str">
        <f t="array" ref="K3021">IF(ROWS(K$20:K3021)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3021))))</f>
        <v/>
      </c>
      <c r="L3021" s="4" t="str">
        <f t="array" ref="L3021">IF(ROWS(L$20:L3021)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3021))))</f>
        <v/>
      </c>
      <c r="M3021" s="4" t="str">
        <f t="array" ref="M3021">IF(ROWS(M$20:M3021)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3021))))</f>
        <v/>
      </c>
    </row>
    <row r="3022" spans="1:13" x14ac:dyDescent="0.25">
      <c r="A3022" s="3">
        <v>41825</v>
      </c>
      <c r="B3022" s="2" t="s">
        <v>20</v>
      </c>
      <c r="C3022" s="2">
        <v>9</v>
      </c>
      <c r="G3022" s="7" t="str">
        <f t="array" ref="G3022">IF(ROWS(K$20:K3022)&gt;$F$6,"",INDEX(A$2:A$10000,SMALL(IF(ISNUMBER(MATCH($B$2:$B$10000,$E$6:$E$22,0)),ROW($C$2:$C$10000)-ROW($C$2)+1),ROWS(K$20:K3022))))</f>
        <v/>
      </c>
      <c r="H3022" s="4" t="str">
        <f t="array" ref="H3022">IF(ROWS(L$20:L3022)&gt;$F$6,"",INDEX(B$2:B$10000,SMALL(IF(ISNUMBER(MATCH($B$2:$B$10000,$E$6:$E$22,0)),ROW($C$2:$C$10000)-ROW($C$2)+1),ROWS(L$20:L3022))))</f>
        <v/>
      </c>
      <c r="I3022" s="4" t="str">
        <f t="array" ref="I3022">IF(ROWS(M$20:M3022)&gt;$F$6,"",INDEX(C$2:C$10000,SMALL(IF(ISNUMBER(MATCH($B$2:$B$10000,$E$6:$E$22,0)),ROW($C$2:$C$10000)-ROW($C$2)+1),ROWS(M$20:M3022))))</f>
        <v/>
      </c>
      <c r="K3022" s="7" t="str">
        <f t="array" ref="K3022">IF(ROWS(K$20:K3022)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3022))))</f>
        <v/>
      </c>
      <c r="L3022" s="4" t="str">
        <f t="array" ref="L3022">IF(ROWS(L$20:L3022)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3022))))</f>
        <v/>
      </c>
      <c r="M3022" s="4" t="str">
        <f t="array" ref="M3022">IF(ROWS(M$20:M3022)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3022))))</f>
        <v/>
      </c>
    </row>
    <row r="3023" spans="1:13" x14ac:dyDescent="0.25">
      <c r="A3023" s="3">
        <v>41792</v>
      </c>
      <c r="B3023" s="2" t="s">
        <v>12</v>
      </c>
      <c r="C3023" s="2">
        <v>9</v>
      </c>
      <c r="G3023" s="7" t="str">
        <f t="array" ref="G3023">IF(ROWS(K$20:K3023)&gt;$F$6,"",INDEX(A$2:A$10000,SMALL(IF(ISNUMBER(MATCH($B$2:$B$10000,$E$6:$E$22,0)),ROW($C$2:$C$10000)-ROW($C$2)+1),ROWS(K$20:K3023))))</f>
        <v/>
      </c>
      <c r="H3023" s="4" t="str">
        <f t="array" ref="H3023">IF(ROWS(L$20:L3023)&gt;$F$6,"",INDEX(B$2:B$10000,SMALL(IF(ISNUMBER(MATCH($B$2:$B$10000,$E$6:$E$22,0)),ROW($C$2:$C$10000)-ROW($C$2)+1),ROWS(L$20:L3023))))</f>
        <v/>
      </c>
      <c r="I3023" s="4" t="str">
        <f t="array" ref="I3023">IF(ROWS(M$20:M3023)&gt;$F$6,"",INDEX(C$2:C$10000,SMALL(IF(ISNUMBER(MATCH($B$2:$B$10000,$E$6:$E$22,0)),ROW($C$2:$C$10000)-ROW($C$2)+1),ROWS(M$20:M3023))))</f>
        <v/>
      </c>
      <c r="K3023" s="7" t="str">
        <f t="array" ref="K3023">IF(ROWS(K$20:K3023)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3023))))</f>
        <v/>
      </c>
      <c r="L3023" s="4" t="str">
        <f t="array" ref="L3023">IF(ROWS(L$20:L3023)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3023))))</f>
        <v/>
      </c>
      <c r="M3023" s="4" t="str">
        <f t="array" ref="M3023">IF(ROWS(M$20:M3023)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3023))))</f>
        <v/>
      </c>
    </row>
    <row r="3024" spans="1:13" x14ac:dyDescent="0.25">
      <c r="A3024" s="3">
        <v>42003</v>
      </c>
      <c r="B3024" s="2" t="s">
        <v>7</v>
      </c>
      <c r="C3024" s="2">
        <v>29</v>
      </c>
      <c r="G3024" s="7" t="str">
        <f t="array" ref="G3024">IF(ROWS(K$20:K3024)&gt;$F$6,"",INDEX(A$2:A$10000,SMALL(IF(ISNUMBER(MATCH($B$2:$B$10000,$E$6:$E$22,0)),ROW($C$2:$C$10000)-ROW($C$2)+1),ROWS(K$20:K3024))))</f>
        <v/>
      </c>
      <c r="H3024" s="4" t="str">
        <f t="array" ref="H3024">IF(ROWS(L$20:L3024)&gt;$F$6,"",INDEX(B$2:B$10000,SMALL(IF(ISNUMBER(MATCH($B$2:$B$10000,$E$6:$E$22,0)),ROW($C$2:$C$10000)-ROW($C$2)+1),ROWS(L$20:L3024))))</f>
        <v/>
      </c>
      <c r="I3024" s="4" t="str">
        <f t="array" ref="I3024">IF(ROWS(M$20:M3024)&gt;$F$6,"",INDEX(C$2:C$10000,SMALL(IF(ISNUMBER(MATCH($B$2:$B$10000,$E$6:$E$22,0)),ROW($C$2:$C$10000)-ROW($C$2)+1),ROWS(M$20:M3024))))</f>
        <v/>
      </c>
      <c r="K3024" s="7" t="str">
        <f t="array" ref="K3024">IF(ROWS(K$20:K3024)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3024))))</f>
        <v/>
      </c>
      <c r="L3024" s="4" t="str">
        <f t="array" ref="L3024">IF(ROWS(L$20:L3024)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3024))))</f>
        <v/>
      </c>
      <c r="M3024" s="4" t="str">
        <f t="array" ref="M3024">IF(ROWS(M$20:M3024)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3024))))</f>
        <v/>
      </c>
    </row>
    <row r="3025" spans="1:13" x14ac:dyDescent="0.25">
      <c r="A3025" s="3">
        <v>41479</v>
      </c>
      <c r="B3025" s="2" t="s">
        <v>28</v>
      </c>
      <c r="C3025" s="2">
        <v>16</v>
      </c>
      <c r="G3025" s="7" t="str">
        <f t="array" ref="G3025">IF(ROWS(K$20:K3025)&gt;$F$6,"",INDEX(A$2:A$10000,SMALL(IF(ISNUMBER(MATCH($B$2:$B$10000,$E$6:$E$22,0)),ROW($C$2:$C$10000)-ROW($C$2)+1),ROWS(K$20:K3025))))</f>
        <v/>
      </c>
      <c r="H3025" s="4" t="str">
        <f t="array" ref="H3025">IF(ROWS(L$20:L3025)&gt;$F$6,"",INDEX(B$2:B$10000,SMALL(IF(ISNUMBER(MATCH($B$2:$B$10000,$E$6:$E$22,0)),ROW($C$2:$C$10000)-ROW($C$2)+1),ROWS(L$20:L3025))))</f>
        <v/>
      </c>
      <c r="I3025" s="4" t="str">
        <f t="array" ref="I3025">IF(ROWS(M$20:M3025)&gt;$F$6,"",INDEX(C$2:C$10000,SMALL(IF(ISNUMBER(MATCH($B$2:$B$10000,$E$6:$E$22,0)),ROW($C$2:$C$10000)-ROW($C$2)+1),ROWS(M$20:M3025))))</f>
        <v/>
      </c>
      <c r="K3025" s="7" t="str">
        <f t="array" ref="K3025">IF(ROWS(K$20:K3025)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3025))))</f>
        <v/>
      </c>
      <c r="L3025" s="4" t="str">
        <f t="array" ref="L3025">IF(ROWS(L$20:L3025)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3025))))</f>
        <v/>
      </c>
      <c r="M3025" s="4" t="str">
        <f t="array" ref="M3025">IF(ROWS(M$20:M3025)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3025))))</f>
        <v/>
      </c>
    </row>
    <row r="3026" spans="1:13" x14ac:dyDescent="0.25">
      <c r="A3026" s="3">
        <v>41298</v>
      </c>
      <c r="B3026" s="2" t="s">
        <v>41</v>
      </c>
      <c r="C3026" s="2">
        <v>14</v>
      </c>
      <c r="G3026" s="7" t="str">
        <f t="array" ref="G3026">IF(ROWS(K$20:K3026)&gt;$F$6,"",INDEX(A$2:A$10000,SMALL(IF(ISNUMBER(MATCH($B$2:$B$10000,$E$6:$E$22,0)),ROW($C$2:$C$10000)-ROW($C$2)+1),ROWS(K$20:K3026))))</f>
        <v/>
      </c>
      <c r="H3026" s="4" t="str">
        <f t="array" ref="H3026">IF(ROWS(L$20:L3026)&gt;$F$6,"",INDEX(B$2:B$10000,SMALL(IF(ISNUMBER(MATCH($B$2:$B$10000,$E$6:$E$22,0)),ROW($C$2:$C$10000)-ROW($C$2)+1),ROWS(L$20:L3026))))</f>
        <v/>
      </c>
      <c r="I3026" s="4" t="str">
        <f t="array" ref="I3026">IF(ROWS(M$20:M3026)&gt;$F$6,"",INDEX(C$2:C$10000,SMALL(IF(ISNUMBER(MATCH($B$2:$B$10000,$E$6:$E$22,0)),ROW($C$2:$C$10000)-ROW($C$2)+1),ROWS(M$20:M3026))))</f>
        <v/>
      </c>
      <c r="K3026" s="7" t="str">
        <f t="array" ref="K3026">IF(ROWS(K$20:K3026)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3026))))</f>
        <v/>
      </c>
      <c r="L3026" s="4" t="str">
        <f t="array" ref="L3026">IF(ROWS(L$20:L3026)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3026))))</f>
        <v/>
      </c>
      <c r="M3026" s="4" t="str">
        <f t="array" ref="M3026">IF(ROWS(M$20:M3026)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3026))))</f>
        <v/>
      </c>
    </row>
    <row r="3027" spans="1:13" x14ac:dyDescent="0.25">
      <c r="A3027" s="3">
        <v>41445</v>
      </c>
      <c r="B3027" s="2" t="s">
        <v>51</v>
      </c>
      <c r="C3027" s="2">
        <v>44</v>
      </c>
      <c r="G3027" s="7" t="str">
        <f t="array" ref="G3027">IF(ROWS(K$20:K3027)&gt;$F$6,"",INDEX(A$2:A$10000,SMALL(IF(ISNUMBER(MATCH($B$2:$B$10000,$E$6:$E$22,0)),ROW($C$2:$C$10000)-ROW($C$2)+1),ROWS(K$20:K3027))))</f>
        <v/>
      </c>
      <c r="H3027" s="4" t="str">
        <f t="array" ref="H3027">IF(ROWS(L$20:L3027)&gt;$F$6,"",INDEX(B$2:B$10000,SMALL(IF(ISNUMBER(MATCH($B$2:$B$10000,$E$6:$E$22,0)),ROW($C$2:$C$10000)-ROW($C$2)+1),ROWS(L$20:L3027))))</f>
        <v/>
      </c>
      <c r="I3027" s="4" t="str">
        <f t="array" ref="I3027">IF(ROWS(M$20:M3027)&gt;$F$6,"",INDEX(C$2:C$10000,SMALL(IF(ISNUMBER(MATCH($B$2:$B$10000,$E$6:$E$22,0)),ROW($C$2:$C$10000)-ROW($C$2)+1),ROWS(M$20:M3027))))</f>
        <v/>
      </c>
      <c r="K3027" s="7" t="str">
        <f t="array" ref="K3027">IF(ROWS(K$20:K3027)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3027))))</f>
        <v/>
      </c>
      <c r="L3027" s="4" t="str">
        <f t="array" ref="L3027">IF(ROWS(L$20:L3027)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3027))))</f>
        <v/>
      </c>
      <c r="M3027" s="4" t="str">
        <f t="array" ref="M3027">IF(ROWS(M$20:M3027)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3027))))</f>
        <v/>
      </c>
    </row>
    <row r="3028" spans="1:13" x14ac:dyDescent="0.25">
      <c r="A3028" s="3">
        <v>41780</v>
      </c>
      <c r="B3028" s="2" t="s">
        <v>51</v>
      </c>
      <c r="C3028" s="2">
        <v>13</v>
      </c>
      <c r="G3028" s="7" t="str">
        <f t="array" ref="G3028">IF(ROWS(K$20:K3028)&gt;$F$6,"",INDEX(A$2:A$10000,SMALL(IF(ISNUMBER(MATCH($B$2:$B$10000,$E$6:$E$22,0)),ROW($C$2:$C$10000)-ROW($C$2)+1),ROWS(K$20:K3028))))</f>
        <v/>
      </c>
      <c r="H3028" s="4" t="str">
        <f t="array" ref="H3028">IF(ROWS(L$20:L3028)&gt;$F$6,"",INDEX(B$2:B$10000,SMALL(IF(ISNUMBER(MATCH($B$2:$B$10000,$E$6:$E$22,0)),ROW($C$2:$C$10000)-ROW($C$2)+1),ROWS(L$20:L3028))))</f>
        <v/>
      </c>
      <c r="I3028" s="4" t="str">
        <f t="array" ref="I3028">IF(ROWS(M$20:M3028)&gt;$F$6,"",INDEX(C$2:C$10000,SMALL(IF(ISNUMBER(MATCH($B$2:$B$10000,$E$6:$E$22,0)),ROW($C$2:$C$10000)-ROW($C$2)+1),ROWS(M$20:M3028))))</f>
        <v/>
      </c>
      <c r="K3028" s="7" t="str">
        <f t="array" ref="K3028">IF(ROWS(K$20:K3028)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3028))))</f>
        <v/>
      </c>
      <c r="L3028" s="4" t="str">
        <f t="array" ref="L3028">IF(ROWS(L$20:L3028)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3028))))</f>
        <v/>
      </c>
      <c r="M3028" s="4" t="str">
        <f t="array" ref="M3028">IF(ROWS(M$20:M3028)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3028))))</f>
        <v/>
      </c>
    </row>
    <row r="3029" spans="1:13" x14ac:dyDescent="0.25">
      <c r="A3029" s="3">
        <v>41939</v>
      </c>
      <c r="B3029" s="2" t="s">
        <v>42</v>
      </c>
      <c r="C3029" s="2">
        <v>37</v>
      </c>
      <c r="G3029" s="7" t="str">
        <f t="array" ref="G3029">IF(ROWS(K$20:K3029)&gt;$F$6,"",INDEX(A$2:A$10000,SMALL(IF(ISNUMBER(MATCH($B$2:$B$10000,$E$6:$E$22,0)),ROW($C$2:$C$10000)-ROW($C$2)+1),ROWS(K$20:K3029))))</f>
        <v/>
      </c>
      <c r="H3029" s="4" t="str">
        <f t="array" ref="H3029">IF(ROWS(L$20:L3029)&gt;$F$6,"",INDEX(B$2:B$10000,SMALL(IF(ISNUMBER(MATCH($B$2:$B$10000,$E$6:$E$22,0)),ROW($C$2:$C$10000)-ROW($C$2)+1),ROWS(L$20:L3029))))</f>
        <v/>
      </c>
      <c r="I3029" s="4" t="str">
        <f t="array" ref="I3029">IF(ROWS(M$20:M3029)&gt;$F$6,"",INDEX(C$2:C$10000,SMALL(IF(ISNUMBER(MATCH($B$2:$B$10000,$E$6:$E$22,0)),ROW($C$2:$C$10000)-ROW($C$2)+1),ROWS(M$20:M3029))))</f>
        <v/>
      </c>
      <c r="K3029" s="7" t="str">
        <f t="array" ref="K3029">IF(ROWS(K$20:K3029)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3029))))</f>
        <v/>
      </c>
      <c r="L3029" s="4" t="str">
        <f t="array" ref="L3029">IF(ROWS(L$20:L3029)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3029))))</f>
        <v/>
      </c>
      <c r="M3029" s="4" t="str">
        <f t="array" ref="M3029">IF(ROWS(M$20:M3029)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3029))))</f>
        <v/>
      </c>
    </row>
    <row r="3030" spans="1:13" x14ac:dyDescent="0.25">
      <c r="A3030" s="3">
        <v>41842</v>
      </c>
      <c r="B3030" s="2" t="s">
        <v>7</v>
      </c>
      <c r="C3030" s="2">
        <v>5</v>
      </c>
      <c r="G3030" s="7" t="str">
        <f t="array" ref="G3030">IF(ROWS(K$20:K3030)&gt;$F$6,"",INDEX(A$2:A$10000,SMALL(IF(ISNUMBER(MATCH($B$2:$B$10000,$E$6:$E$22,0)),ROW($C$2:$C$10000)-ROW($C$2)+1),ROWS(K$20:K3030))))</f>
        <v/>
      </c>
      <c r="H3030" s="4" t="str">
        <f t="array" ref="H3030">IF(ROWS(L$20:L3030)&gt;$F$6,"",INDEX(B$2:B$10000,SMALL(IF(ISNUMBER(MATCH($B$2:$B$10000,$E$6:$E$22,0)),ROW($C$2:$C$10000)-ROW($C$2)+1),ROWS(L$20:L3030))))</f>
        <v/>
      </c>
      <c r="I3030" s="4" t="str">
        <f t="array" ref="I3030">IF(ROWS(M$20:M3030)&gt;$F$6,"",INDEX(C$2:C$10000,SMALL(IF(ISNUMBER(MATCH($B$2:$B$10000,$E$6:$E$22,0)),ROW($C$2:$C$10000)-ROW($C$2)+1),ROWS(M$20:M3030))))</f>
        <v/>
      </c>
      <c r="K3030" s="7" t="str">
        <f t="array" ref="K3030">IF(ROWS(K$20:K3030)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3030))))</f>
        <v/>
      </c>
      <c r="L3030" s="4" t="str">
        <f t="array" ref="L3030">IF(ROWS(L$20:L3030)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3030))))</f>
        <v/>
      </c>
      <c r="M3030" s="4" t="str">
        <f t="array" ref="M3030">IF(ROWS(M$20:M3030)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3030))))</f>
        <v/>
      </c>
    </row>
    <row r="3031" spans="1:13" x14ac:dyDescent="0.25">
      <c r="A3031" s="3">
        <v>41668</v>
      </c>
      <c r="B3031" s="2" t="s">
        <v>32</v>
      </c>
      <c r="C3031" s="2">
        <v>20</v>
      </c>
      <c r="G3031" s="7" t="str">
        <f t="array" ref="G3031">IF(ROWS(K$20:K3031)&gt;$F$6,"",INDEX(A$2:A$10000,SMALL(IF(ISNUMBER(MATCH($B$2:$B$10000,$E$6:$E$22,0)),ROW($C$2:$C$10000)-ROW($C$2)+1),ROWS(K$20:K3031))))</f>
        <v/>
      </c>
      <c r="H3031" s="4" t="str">
        <f t="array" ref="H3031">IF(ROWS(L$20:L3031)&gt;$F$6,"",INDEX(B$2:B$10000,SMALL(IF(ISNUMBER(MATCH($B$2:$B$10000,$E$6:$E$22,0)),ROW($C$2:$C$10000)-ROW($C$2)+1),ROWS(L$20:L3031))))</f>
        <v/>
      </c>
      <c r="I3031" s="4" t="str">
        <f t="array" ref="I3031">IF(ROWS(M$20:M3031)&gt;$F$6,"",INDEX(C$2:C$10000,SMALL(IF(ISNUMBER(MATCH($B$2:$B$10000,$E$6:$E$22,0)),ROW($C$2:$C$10000)-ROW($C$2)+1),ROWS(M$20:M3031))))</f>
        <v/>
      </c>
      <c r="K3031" s="7" t="str">
        <f t="array" ref="K3031">IF(ROWS(K$20:K3031)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3031))))</f>
        <v/>
      </c>
      <c r="L3031" s="4" t="str">
        <f t="array" ref="L3031">IF(ROWS(L$20:L3031)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3031))))</f>
        <v/>
      </c>
      <c r="M3031" s="4" t="str">
        <f t="array" ref="M3031">IF(ROWS(M$20:M3031)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3031))))</f>
        <v/>
      </c>
    </row>
    <row r="3032" spans="1:13" x14ac:dyDescent="0.25">
      <c r="A3032" s="3">
        <v>41701</v>
      </c>
      <c r="B3032" s="2" t="s">
        <v>14</v>
      </c>
      <c r="C3032" s="2">
        <v>45</v>
      </c>
      <c r="G3032" s="7" t="str">
        <f t="array" ref="G3032">IF(ROWS(K$20:K3032)&gt;$F$6,"",INDEX(A$2:A$10000,SMALL(IF(ISNUMBER(MATCH($B$2:$B$10000,$E$6:$E$22,0)),ROW($C$2:$C$10000)-ROW($C$2)+1),ROWS(K$20:K3032))))</f>
        <v/>
      </c>
      <c r="H3032" s="4" t="str">
        <f t="array" ref="H3032">IF(ROWS(L$20:L3032)&gt;$F$6,"",INDEX(B$2:B$10000,SMALL(IF(ISNUMBER(MATCH($B$2:$B$10000,$E$6:$E$22,0)),ROW($C$2:$C$10000)-ROW($C$2)+1),ROWS(L$20:L3032))))</f>
        <v/>
      </c>
      <c r="I3032" s="4" t="str">
        <f t="array" ref="I3032">IF(ROWS(M$20:M3032)&gt;$F$6,"",INDEX(C$2:C$10000,SMALL(IF(ISNUMBER(MATCH($B$2:$B$10000,$E$6:$E$22,0)),ROW($C$2:$C$10000)-ROW($C$2)+1),ROWS(M$20:M3032))))</f>
        <v/>
      </c>
      <c r="K3032" s="7" t="str">
        <f t="array" ref="K3032">IF(ROWS(K$20:K3032)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3032))))</f>
        <v/>
      </c>
      <c r="L3032" s="4" t="str">
        <f t="array" ref="L3032">IF(ROWS(L$20:L3032)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3032))))</f>
        <v/>
      </c>
      <c r="M3032" s="4" t="str">
        <f t="array" ref="M3032">IF(ROWS(M$20:M3032)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3032))))</f>
        <v/>
      </c>
    </row>
    <row r="3033" spans="1:13" x14ac:dyDescent="0.25">
      <c r="A3033" s="3">
        <v>41409</v>
      </c>
      <c r="B3033" s="2" t="s">
        <v>34</v>
      </c>
      <c r="C3033" s="2">
        <v>8</v>
      </c>
      <c r="G3033" s="7" t="str">
        <f t="array" ref="G3033">IF(ROWS(K$20:K3033)&gt;$F$6,"",INDEX(A$2:A$10000,SMALL(IF(ISNUMBER(MATCH($B$2:$B$10000,$E$6:$E$22,0)),ROW($C$2:$C$10000)-ROW($C$2)+1),ROWS(K$20:K3033))))</f>
        <v/>
      </c>
      <c r="H3033" s="4" t="str">
        <f t="array" ref="H3033">IF(ROWS(L$20:L3033)&gt;$F$6,"",INDEX(B$2:B$10000,SMALL(IF(ISNUMBER(MATCH($B$2:$B$10000,$E$6:$E$22,0)),ROW($C$2:$C$10000)-ROW($C$2)+1),ROWS(L$20:L3033))))</f>
        <v/>
      </c>
      <c r="I3033" s="4" t="str">
        <f t="array" ref="I3033">IF(ROWS(M$20:M3033)&gt;$F$6,"",INDEX(C$2:C$10000,SMALL(IF(ISNUMBER(MATCH($B$2:$B$10000,$E$6:$E$22,0)),ROW($C$2:$C$10000)-ROW($C$2)+1),ROWS(M$20:M3033))))</f>
        <v/>
      </c>
      <c r="K3033" s="7" t="str">
        <f t="array" ref="K3033">IF(ROWS(K$20:K3033)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3033))))</f>
        <v/>
      </c>
      <c r="L3033" s="4" t="str">
        <f t="array" ref="L3033">IF(ROWS(L$20:L3033)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3033))))</f>
        <v/>
      </c>
      <c r="M3033" s="4" t="str">
        <f t="array" ref="M3033">IF(ROWS(M$20:M3033)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3033))))</f>
        <v/>
      </c>
    </row>
    <row r="3034" spans="1:13" x14ac:dyDescent="0.25">
      <c r="A3034" s="3">
        <v>41467</v>
      </c>
      <c r="B3034" s="2" t="s">
        <v>8</v>
      </c>
      <c r="C3034" s="2">
        <v>34</v>
      </c>
      <c r="G3034" s="7" t="str">
        <f t="array" ref="G3034">IF(ROWS(K$20:K3034)&gt;$F$6,"",INDEX(A$2:A$10000,SMALL(IF(ISNUMBER(MATCH($B$2:$B$10000,$E$6:$E$22,0)),ROW($C$2:$C$10000)-ROW($C$2)+1),ROWS(K$20:K3034))))</f>
        <v/>
      </c>
      <c r="H3034" s="4" t="str">
        <f t="array" ref="H3034">IF(ROWS(L$20:L3034)&gt;$F$6,"",INDEX(B$2:B$10000,SMALL(IF(ISNUMBER(MATCH($B$2:$B$10000,$E$6:$E$22,0)),ROW($C$2:$C$10000)-ROW($C$2)+1),ROWS(L$20:L3034))))</f>
        <v/>
      </c>
      <c r="I3034" s="4" t="str">
        <f t="array" ref="I3034">IF(ROWS(M$20:M3034)&gt;$F$6,"",INDEX(C$2:C$10000,SMALL(IF(ISNUMBER(MATCH($B$2:$B$10000,$E$6:$E$22,0)),ROW($C$2:$C$10000)-ROW($C$2)+1),ROWS(M$20:M3034))))</f>
        <v/>
      </c>
      <c r="K3034" s="7" t="str">
        <f t="array" ref="K3034">IF(ROWS(K$20:K3034)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3034))))</f>
        <v/>
      </c>
      <c r="L3034" s="4" t="str">
        <f t="array" ref="L3034">IF(ROWS(L$20:L3034)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3034))))</f>
        <v/>
      </c>
      <c r="M3034" s="4" t="str">
        <f t="array" ref="M3034">IF(ROWS(M$20:M3034)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3034))))</f>
        <v/>
      </c>
    </row>
    <row r="3035" spans="1:13" x14ac:dyDescent="0.25">
      <c r="A3035" s="3">
        <v>41683</v>
      </c>
      <c r="B3035" s="2" t="s">
        <v>42</v>
      </c>
      <c r="C3035" s="2">
        <v>54</v>
      </c>
      <c r="G3035" s="7" t="str">
        <f t="array" ref="G3035">IF(ROWS(K$20:K3035)&gt;$F$6,"",INDEX(A$2:A$10000,SMALL(IF(ISNUMBER(MATCH($B$2:$B$10000,$E$6:$E$22,0)),ROW($C$2:$C$10000)-ROW($C$2)+1),ROWS(K$20:K3035))))</f>
        <v/>
      </c>
      <c r="H3035" s="4" t="str">
        <f t="array" ref="H3035">IF(ROWS(L$20:L3035)&gt;$F$6,"",INDEX(B$2:B$10000,SMALL(IF(ISNUMBER(MATCH($B$2:$B$10000,$E$6:$E$22,0)),ROW($C$2:$C$10000)-ROW($C$2)+1),ROWS(L$20:L3035))))</f>
        <v/>
      </c>
      <c r="I3035" s="4" t="str">
        <f t="array" ref="I3035">IF(ROWS(M$20:M3035)&gt;$F$6,"",INDEX(C$2:C$10000,SMALL(IF(ISNUMBER(MATCH($B$2:$B$10000,$E$6:$E$22,0)),ROW($C$2:$C$10000)-ROW($C$2)+1),ROWS(M$20:M3035))))</f>
        <v/>
      </c>
      <c r="K3035" s="7" t="str">
        <f t="array" ref="K3035">IF(ROWS(K$20:K3035)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3035))))</f>
        <v/>
      </c>
      <c r="L3035" s="4" t="str">
        <f t="array" ref="L3035">IF(ROWS(L$20:L3035)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3035))))</f>
        <v/>
      </c>
      <c r="M3035" s="4" t="str">
        <f t="array" ref="M3035">IF(ROWS(M$20:M3035)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3035))))</f>
        <v/>
      </c>
    </row>
    <row r="3036" spans="1:13" x14ac:dyDescent="0.25">
      <c r="A3036" s="3">
        <v>41696</v>
      </c>
      <c r="B3036" s="2" t="s">
        <v>14</v>
      </c>
      <c r="C3036" s="2">
        <v>16</v>
      </c>
      <c r="G3036" s="7" t="str">
        <f t="array" ref="G3036">IF(ROWS(K$20:K3036)&gt;$F$6,"",INDEX(A$2:A$10000,SMALL(IF(ISNUMBER(MATCH($B$2:$B$10000,$E$6:$E$22,0)),ROW($C$2:$C$10000)-ROW($C$2)+1),ROWS(K$20:K3036))))</f>
        <v/>
      </c>
      <c r="H3036" s="4" t="str">
        <f t="array" ref="H3036">IF(ROWS(L$20:L3036)&gt;$F$6,"",INDEX(B$2:B$10000,SMALL(IF(ISNUMBER(MATCH($B$2:$B$10000,$E$6:$E$22,0)),ROW($C$2:$C$10000)-ROW($C$2)+1),ROWS(L$20:L3036))))</f>
        <v/>
      </c>
      <c r="I3036" s="4" t="str">
        <f t="array" ref="I3036">IF(ROWS(M$20:M3036)&gt;$F$6,"",INDEX(C$2:C$10000,SMALL(IF(ISNUMBER(MATCH($B$2:$B$10000,$E$6:$E$22,0)),ROW($C$2:$C$10000)-ROW($C$2)+1),ROWS(M$20:M3036))))</f>
        <v/>
      </c>
      <c r="K3036" s="7" t="str">
        <f t="array" ref="K3036">IF(ROWS(K$20:K3036)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3036))))</f>
        <v/>
      </c>
      <c r="L3036" s="4" t="str">
        <f t="array" ref="L3036">IF(ROWS(L$20:L3036)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3036))))</f>
        <v/>
      </c>
      <c r="M3036" s="4" t="str">
        <f t="array" ref="M3036">IF(ROWS(M$20:M3036)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3036))))</f>
        <v/>
      </c>
    </row>
    <row r="3037" spans="1:13" x14ac:dyDescent="0.25">
      <c r="A3037" s="3">
        <v>41291</v>
      </c>
      <c r="B3037" s="2" t="s">
        <v>17</v>
      </c>
      <c r="C3037" s="2">
        <v>27</v>
      </c>
      <c r="G3037" s="7" t="str">
        <f t="array" ref="G3037">IF(ROWS(K$20:K3037)&gt;$F$6,"",INDEX(A$2:A$10000,SMALL(IF(ISNUMBER(MATCH($B$2:$B$10000,$E$6:$E$22,0)),ROW($C$2:$C$10000)-ROW($C$2)+1),ROWS(K$20:K3037))))</f>
        <v/>
      </c>
      <c r="H3037" s="4" t="str">
        <f t="array" ref="H3037">IF(ROWS(L$20:L3037)&gt;$F$6,"",INDEX(B$2:B$10000,SMALL(IF(ISNUMBER(MATCH($B$2:$B$10000,$E$6:$E$22,0)),ROW($C$2:$C$10000)-ROW($C$2)+1),ROWS(L$20:L3037))))</f>
        <v/>
      </c>
      <c r="I3037" s="4" t="str">
        <f t="array" ref="I3037">IF(ROWS(M$20:M3037)&gt;$F$6,"",INDEX(C$2:C$10000,SMALL(IF(ISNUMBER(MATCH($B$2:$B$10000,$E$6:$E$22,0)),ROW($C$2:$C$10000)-ROW($C$2)+1),ROWS(M$20:M3037))))</f>
        <v/>
      </c>
      <c r="K3037" s="7" t="str">
        <f t="array" ref="K3037">IF(ROWS(K$20:K3037)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3037))))</f>
        <v/>
      </c>
      <c r="L3037" s="4" t="str">
        <f t="array" ref="L3037">IF(ROWS(L$20:L3037)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3037))))</f>
        <v/>
      </c>
      <c r="M3037" s="4" t="str">
        <f t="array" ref="M3037">IF(ROWS(M$20:M3037)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3037))))</f>
        <v/>
      </c>
    </row>
    <row r="3038" spans="1:13" x14ac:dyDescent="0.25">
      <c r="A3038" s="3">
        <v>41843</v>
      </c>
      <c r="B3038" s="2" t="s">
        <v>23</v>
      </c>
      <c r="C3038" s="2">
        <v>29</v>
      </c>
      <c r="G3038" s="7" t="str">
        <f t="array" ref="G3038">IF(ROWS(K$20:K3038)&gt;$F$6,"",INDEX(A$2:A$10000,SMALL(IF(ISNUMBER(MATCH($B$2:$B$10000,$E$6:$E$22,0)),ROW($C$2:$C$10000)-ROW($C$2)+1),ROWS(K$20:K3038))))</f>
        <v/>
      </c>
      <c r="H3038" s="4" t="str">
        <f t="array" ref="H3038">IF(ROWS(L$20:L3038)&gt;$F$6,"",INDEX(B$2:B$10000,SMALL(IF(ISNUMBER(MATCH($B$2:$B$10000,$E$6:$E$22,0)),ROW($C$2:$C$10000)-ROW($C$2)+1),ROWS(L$20:L3038))))</f>
        <v/>
      </c>
      <c r="I3038" s="4" t="str">
        <f t="array" ref="I3038">IF(ROWS(M$20:M3038)&gt;$F$6,"",INDEX(C$2:C$10000,SMALL(IF(ISNUMBER(MATCH($B$2:$B$10000,$E$6:$E$22,0)),ROW($C$2:$C$10000)-ROW($C$2)+1),ROWS(M$20:M3038))))</f>
        <v/>
      </c>
      <c r="K3038" s="7" t="str">
        <f t="array" ref="K3038">IF(ROWS(K$20:K3038)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3038))))</f>
        <v/>
      </c>
      <c r="L3038" s="4" t="str">
        <f t="array" ref="L3038">IF(ROWS(L$20:L3038)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3038))))</f>
        <v/>
      </c>
      <c r="M3038" s="4" t="str">
        <f t="array" ref="M3038">IF(ROWS(M$20:M3038)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3038))))</f>
        <v/>
      </c>
    </row>
    <row r="3039" spans="1:13" x14ac:dyDescent="0.25">
      <c r="A3039" s="3">
        <v>42001</v>
      </c>
      <c r="B3039" s="2" t="s">
        <v>27</v>
      </c>
      <c r="C3039" s="2">
        <v>42</v>
      </c>
      <c r="G3039" s="7" t="str">
        <f t="array" ref="G3039">IF(ROWS(K$20:K3039)&gt;$F$6,"",INDEX(A$2:A$10000,SMALL(IF(ISNUMBER(MATCH($B$2:$B$10000,$E$6:$E$22,0)),ROW($C$2:$C$10000)-ROW($C$2)+1),ROWS(K$20:K3039))))</f>
        <v/>
      </c>
      <c r="H3039" s="4" t="str">
        <f t="array" ref="H3039">IF(ROWS(L$20:L3039)&gt;$F$6,"",INDEX(B$2:B$10000,SMALL(IF(ISNUMBER(MATCH($B$2:$B$10000,$E$6:$E$22,0)),ROW($C$2:$C$10000)-ROW($C$2)+1),ROWS(L$20:L3039))))</f>
        <v/>
      </c>
      <c r="I3039" s="4" t="str">
        <f t="array" ref="I3039">IF(ROWS(M$20:M3039)&gt;$F$6,"",INDEX(C$2:C$10000,SMALL(IF(ISNUMBER(MATCH($B$2:$B$10000,$E$6:$E$22,0)),ROW($C$2:$C$10000)-ROW($C$2)+1),ROWS(M$20:M3039))))</f>
        <v/>
      </c>
      <c r="K3039" s="7" t="str">
        <f t="array" ref="K3039">IF(ROWS(K$20:K3039)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3039))))</f>
        <v/>
      </c>
      <c r="L3039" s="4" t="str">
        <f t="array" ref="L3039">IF(ROWS(L$20:L3039)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3039))))</f>
        <v/>
      </c>
      <c r="M3039" s="4" t="str">
        <f t="array" ref="M3039">IF(ROWS(M$20:M3039)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3039))))</f>
        <v/>
      </c>
    </row>
    <row r="3040" spans="1:13" x14ac:dyDescent="0.25">
      <c r="A3040" s="3">
        <v>41924</v>
      </c>
      <c r="B3040" s="2" t="s">
        <v>8</v>
      </c>
      <c r="C3040" s="2">
        <v>24</v>
      </c>
      <c r="G3040" s="7" t="str">
        <f t="array" ref="G3040">IF(ROWS(K$20:K3040)&gt;$F$6,"",INDEX(A$2:A$10000,SMALL(IF(ISNUMBER(MATCH($B$2:$B$10000,$E$6:$E$22,0)),ROW($C$2:$C$10000)-ROW($C$2)+1),ROWS(K$20:K3040))))</f>
        <v/>
      </c>
      <c r="H3040" s="4" t="str">
        <f t="array" ref="H3040">IF(ROWS(L$20:L3040)&gt;$F$6,"",INDEX(B$2:B$10000,SMALL(IF(ISNUMBER(MATCH($B$2:$B$10000,$E$6:$E$22,0)),ROW($C$2:$C$10000)-ROW($C$2)+1),ROWS(L$20:L3040))))</f>
        <v/>
      </c>
      <c r="I3040" s="4" t="str">
        <f t="array" ref="I3040">IF(ROWS(M$20:M3040)&gt;$F$6,"",INDEX(C$2:C$10000,SMALL(IF(ISNUMBER(MATCH($B$2:$B$10000,$E$6:$E$22,0)),ROW($C$2:$C$10000)-ROW($C$2)+1),ROWS(M$20:M3040))))</f>
        <v/>
      </c>
      <c r="K3040" s="7" t="str">
        <f t="array" ref="K3040">IF(ROWS(K$20:K3040)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3040))))</f>
        <v/>
      </c>
      <c r="L3040" s="4" t="str">
        <f t="array" ref="L3040">IF(ROWS(L$20:L3040)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3040))))</f>
        <v/>
      </c>
      <c r="M3040" s="4" t="str">
        <f t="array" ref="M3040">IF(ROWS(M$20:M3040)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3040))))</f>
        <v/>
      </c>
    </row>
    <row r="3041" spans="1:13" x14ac:dyDescent="0.25">
      <c r="A3041" s="3">
        <v>41925</v>
      </c>
      <c r="B3041" s="2" t="s">
        <v>12</v>
      </c>
      <c r="C3041" s="2">
        <v>48</v>
      </c>
      <c r="G3041" s="7" t="str">
        <f t="array" ref="G3041">IF(ROWS(K$20:K3041)&gt;$F$6,"",INDEX(A$2:A$10000,SMALL(IF(ISNUMBER(MATCH($B$2:$B$10000,$E$6:$E$22,0)),ROW($C$2:$C$10000)-ROW($C$2)+1),ROWS(K$20:K3041))))</f>
        <v/>
      </c>
      <c r="H3041" s="4" t="str">
        <f t="array" ref="H3041">IF(ROWS(L$20:L3041)&gt;$F$6,"",INDEX(B$2:B$10000,SMALL(IF(ISNUMBER(MATCH($B$2:$B$10000,$E$6:$E$22,0)),ROW($C$2:$C$10000)-ROW($C$2)+1),ROWS(L$20:L3041))))</f>
        <v/>
      </c>
      <c r="I3041" s="4" t="str">
        <f t="array" ref="I3041">IF(ROWS(M$20:M3041)&gt;$F$6,"",INDEX(C$2:C$10000,SMALL(IF(ISNUMBER(MATCH($B$2:$B$10000,$E$6:$E$22,0)),ROW($C$2:$C$10000)-ROW($C$2)+1),ROWS(M$20:M3041))))</f>
        <v/>
      </c>
      <c r="K3041" s="7" t="str">
        <f t="array" ref="K3041">IF(ROWS(K$20:K3041)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3041))))</f>
        <v/>
      </c>
      <c r="L3041" s="4" t="str">
        <f t="array" ref="L3041">IF(ROWS(L$20:L3041)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3041))))</f>
        <v/>
      </c>
      <c r="M3041" s="4" t="str">
        <f t="array" ref="M3041">IF(ROWS(M$20:M3041)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3041))))</f>
        <v/>
      </c>
    </row>
    <row r="3042" spans="1:13" x14ac:dyDescent="0.25">
      <c r="A3042" s="3">
        <v>41558</v>
      </c>
      <c r="B3042" s="2" t="s">
        <v>44</v>
      </c>
      <c r="C3042" s="2">
        <v>29</v>
      </c>
      <c r="G3042" s="7" t="str">
        <f t="array" ref="G3042">IF(ROWS(K$20:K3042)&gt;$F$6,"",INDEX(A$2:A$10000,SMALL(IF(ISNUMBER(MATCH($B$2:$B$10000,$E$6:$E$22,0)),ROW($C$2:$C$10000)-ROW($C$2)+1),ROWS(K$20:K3042))))</f>
        <v/>
      </c>
      <c r="H3042" s="4" t="str">
        <f t="array" ref="H3042">IF(ROWS(L$20:L3042)&gt;$F$6,"",INDEX(B$2:B$10000,SMALL(IF(ISNUMBER(MATCH($B$2:$B$10000,$E$6:$E$22,0)),ROW($C$2:$C$10000)-ROW($C$2)+1),ROWS(L$20:L3042))))</f>
        <v/>
      </c>
      <c r="I3042" s="4" t="str">
        <f t="array" ref="I3042">IF(ROWS(M$20:M3042)&gt;$F$6,"",INDEX(C$2:C$10000,SMALL(IF(ISNUMBER(MATCH($B$2:$B$10000,$E$6:$E$22,0)),ROW($C$2:$C$10000)-ROW($C$2)+1),ROWS(M$20:M3042))))</f>
        <v/>
      </c>
      <c r="K3042" s="7" t="str">
        <f t="array" ref="K3042">IF(ROWS(K$20:K3042)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3042))))</f>
        <v/>
      </c>
      <c r="L3042" s="4" t="str">
        <f t="array" ref="L3042">IF(ROWS(L$20:L3042)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3042))))</f>
        <v/>
      </c>
      <c r="M3042" s="4" t="str">
        <f t="array" ref="M3042">IF(ROWS(M$20:M3042)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3042))))</f>
        <v/>
      </c>
    </row>
    <row r="3043" spans="1:13" x14ac:dyDescent="0.25">
      <c r="A3043" s="3">
        <v>41279</v>
      </c>
      <c r="B3043" s="2" t="s">
        <v>33</v>
      </c>
      <c r="C3043" s="2">
        <v>38</v>
      </c>
      <c r="G3043" s="7" t="str">
        <f t="array" ref="G3043">IF(ROWS(K$20:K3043)&gt;$F$6,"",INDEX(A$2:A$10000,SMALL(IF(ISNUMBER(MATCH($B$2:$B$10000,$E$6:$E$22,0)),ROW($C$2:$C$10000)-ROW($C$2)+1),ROWS(K$20:K3043))))</f>
        <v/>
      </c>
      <c r="H3043" s="4" t="str">
        <f t="array" ref="H3043">IF(ROWS(L$20:L3043)&gt;$F$6,"",INDEX(B$2:B$10000,SMALL(IF(ISNUMBER(MATCH($B$2:$B$10000,$E$6:$E$22,0)),ROW($C$2:$C$10000)-ROW($C$2)+1),ROWS(L$20:L3043))))</f>
        <v/>
      </c>
      <c r="I3043" s="4" t="str">
        <f t="array" ref="I3043">IF(ROWS(M$20:M3043)&gt;$F$6,"",INDEX(C$2:C$10000,SMALL(IF(ISNUMBER(MATCH($B$2:$B$10000,$E$6:$E$22,0)),ROW($C$2:$C$10000)-ROW($C$2)+1),ROWS(M$20:M3043))))</f>
        <v/>
      </c>
      <c r="K3043" s="7" t="str">
        <f t="array" ref="K3043">IF(ROWS(K$20:K3043)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3043))))</f>
        <v/>
      </c>
      <c r="L3043" s="4" t="str">
        <f t="array" ref="L3043">IF(ROWS(L$20:L3043)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3043))))</f>
        <v/>
      </c>
      <c r="M3043" s="4" t="str">
        <f t="array" ref="M3043">IF(ROWS(M$20:M3043)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3043))))</f>
        <v/>
      </c>
    </row>
    <row r="3044" spans="1:13" x14ac:dyDescent="0.25">
      <c r="A3044" s="3">
        <v>41675</v>
      </c>
      <c r="B3044" s="2" t="s">
        <v>45</v>
      </c>
      <c r="C3044" s="2">
        <v>33</v>
      </c>
      <c r="G3044" s="7" t="str">
        <f t="array" ref="G3044">IF(ROWS(K$20:K3044)&gt;$F$6,"",INDEX(A$2:A$10000,SMALL(IF(ISNUMBER(MATCH($B$2:$B$10000,$E$6:$E$22,0)),ROW($C$2:$C$10000)-ROW($C$2)+1),ROWS(K$20:K3044))))</f>
        <v/>
      </c>
      <c r="H3044" s="4" t="str">
        <f t="array" ref="H3044">IF(ROWS(L$20:L3044)&gt;$F$6,"",INDEX(B$2:B$10000,SMALL(IF(ISNUMBER(MATCH($B$2:$B$10000,$E$6:$E$22,0)),ROW($C$2:$C$10000)-ROW($C$2)+1),ROWS(L$20:L3044))))</f>
        <v/>
      </c>
      <c r="I3044" s="4" t="str">
        <f t="array" ref="I3044">IF(ROWS(M$20:M3044)&gt;$F$6,"",INDEX(C$2:C$10000,SMALL(IF(ISNUMBER(MATCH($B$2:$B$10000,$E$6:$E$22,0)),ROW($C$2:$C$10000)-ROW($C$2)+1),ROWS(M$20:M3044))))</f>
        <v/>
      </c>
      <c r="K3044" s="7" t="str">
        <f t="array" ref="K3044">IF(ROWS(K$20:K3044)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3044))))</f>
        <v/>
      </c>
      <c r="L3044" s="4" t="str">
        <f t="array" ref="L3044">IF(ROWS(L$20:L3044)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3044))))</f>
        <v/>
      </c>
      <c r="M3044" s="4" t="str">
        <f t="array" ref="M3044">IF(ROWS(M$20:M3044)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3044))))</f>
        <v/>
      </c>
    </row>
    <row r="3045" spans="1:13" x14ac:dyDescent="0.25">
      <c r="A3045" s="3">
        <v>41997</v>
      </c>
      <c r="B3045" s="2" t="s">
        <v>16</v>
      </c>
      <c r="C3045" s="2">
        <v>12</v>
      </c>
      <c r="G3045" s="7" t="str">
        <f t="array" ref="G3045">IF(ROWS(K$20:K3045)&gt;$F$6,"",INDEX(A$2:A$10000,SMALL(IF(ISNUMBER(MATCH($B$2:$B$10000,$E$6:$E$22,0)),ROW($C$2:$C$10000)-ROW($C$2)+1),ROWS(K$20:K3045))))</f>
        <v/>
      </c>
      <c r="H3045" s="4" t="str">
        <f t="array" ref="H3045">IF(ROWS(L$20:L3045)&gt;$F$6,"",INDEX(B$2:B$10000,SMALL(IF(ISNUMBER(MATCH($B$2:$B$10000,$E$6:$E$22,0)),ROW($C$2:$C$10000)-ROW($C$2)+1),ROWS(L$20:L3045))))</f>
        <v/>
      </c>
      <c r="I3045" s="4" t="str">
        <f t="array" ref="I3045">IF(ROWS(M$20:M3045)&gt;$F$6,"",INDEX(C$2:C$10000,SMALL(IF(ISNUMBER(MATCH($B$2:$B$10000,$E$6:$E$22,0)),ROW($C$2:$C$10000)-ROW($C$2)+1),ROWS(M$20:M3045))))</f>
        <v/>
      </c>
      <c r="K3045" s="7" t="str">
        <f t="array" ref="K3045">IF(ROWS(K$20:K3045)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3045))))</f>
        <v/>
      </c>
      <c r="L3045" s="4" t="str">
        <f t="array" ref="L3045">IF(ROWS(L$20:L3045)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3045))))</f>
        <v/>
      </c>
      <c r="M3045" s="4" t="str">
        <f t="array" ref="M3045">IF(ROWS(M$20:M3045)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3045))))</f>
        <v/>
      </c>
    </row>
    <row r="3046" spans="1:13" x14ac:dyDescent="0.25">
      <c r="A3046" s="3">
        <v>41713</v>
      </c>
      <c r="B3046" s="2" t="s">
        <v>26</v>
      </c>
      <c r="C3046" s="2">
        <v>16</v>
      </c>
      <c r="G3046" s="7" t="str">
        <f t="array" ref="G3046">IF(ROWS(K$20:K3046)&gt;$F$6,"",INDEX(A$2:A$10000,SMALL(IF(ISNUMBER(MATCH($B$2:$B$10000,$E$6:$E$22,0)),ROW($C$2:$C$10000)-ROW($C$2)+1),ROWS(K$20:K3046))))</f>
        <v/>
      </c>
      <c r="H3046" s="4" t="str">
        <f t="array" ref="H3046">IF(ROWS(L$20:L3046)&gt;$F$6,"",INDEX(B$2:B$10000,SMALL(IF(ISNUMBER(MATCH($B$2:$B$10000,$E$6:$E$22,0)),ROW($C$2:$C$10000)-ROW($C$2)+1),ROWS(L$20:L3046))))</f>
        <v/>
      </c>
      <c r="I3046" s="4" t="str">
        <f t="array" ref="I3046">IF(ROWS(M$20:M3046)&gt;$F$6,"",INDEX(C$2:C$10000,SMALL(IF(ISNUMBER(MATCH($B$2:$B$10000,$E$6:$E$22,0)),ROW($C$2:$C$10000)-ROW($C$2)+1),ROWS(M$20:M3046))))</f>
        <v/>
      </c>
      <c r="K3046" s="7" t="str">
        <f t="array" ref="K3046">IF(ROWS(K$20:K3046)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3046))))</f>
        <v/>
      </c>
      <c r="L3046" s="4" t="str">
        <f t="array" ref="L3046">IF(ROWS(L$20:L3046)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3046))))</f>
        <v/>
      </c>
      <c r="M3046" s="4" t="str">
        <f t="array" ref="M3046">IF(ROWS(M$20:M3046)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3046))))</f>
        <v/>
      </c>
    </row>
    <row r="3047" spans="1:13" x14ac:dyDescent="0.25">
      <c r="A3047" s="3">
        <v>41911</v>
      </c>
      <c r="B3047" s="2" t="s">
        <v>16</v>
      </c>
      <c r="C3047" s="2">
        <v>21</v>
      </c>
      <c r="G3047" s="7" t="str">
        <f t="array" ref="G3047">IF(ROWS(K$20:K3047)&gt;$F$6,"",INDEX(A$2:A$10000,SMALL(IF(ISNUMBER(MATCH($B$2:$B$10000,$E$6:$E$22,0)),ROW($C$2:$C$10000)-ROW($C$2)+1),ROWS(K$20:K3047))))</f>
        <v/>
      </c>
      <c r="H3047" s="4" t="str">
        <f t="array" ref="H3047">IF(ROWS(L$20:L3047)&gt;$F$6,"",INDEX(B$2:B$10000,SMALL(IF(ISNUMBER(MATCH($B$2:$B$10000,$E$6:$E$22,0)),ROW($C$2:$C$10000)-ROW($C$2)+1),ROWS(L$20:L3047))))</f>
        <v/>
      </c>
      <c r="I3047" s="4" t="str">
        <f t="array" ref="I3047">IF(ROWS(M$20:M3047)&gt;$F$6,"",INDEX(C$2:C$10000,SMALL(IF(ISNUMBER(MATCH($B$2:$B$10000,$E$6:$E$22,0)),ROW($C$2:$C$10000)-ROW($C$2)+1),ROWS(M$20:M3047))))</f>
        <v/>
      </c>
      <c r="K3047" s="7" t="str">
        <f t="array" ref="K3047">IF(ROWS(K$20:K3047)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3047))))</f>
        <v/>
      </c>
      <c r="L3047" s="4" t="str">
        <f t="array" ref="L3047">IF(ROWS(L$20:L3047)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3047))))</f>
        <v/>
      </c>
      <c r="M3047" s="4" t="str">
        <f t="array" ref="M3047">IF(ROWS(M$20:M3047)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3047))))</f>
        <v/>
      </c>
    </row>
    <row r="3048" spans="1:13" x14ac:dyDescent="0.25">
      <c r="A3048" s="3">
        <v>41947</v>
      </c>
      <c r="B3048" s="2" t="s">
        <v>50</v>
      </c>
      <c r="C3048" s="2">
        <v>49</v>
      </c>
      <c r="G3048" s="7" t="str">
        <f t="array" ref="G3048">IF(ROWS(K$20:K3048)&gt;$F$6,"",INDEX(A$2:A$10000,SMALL(IF(ISNUMBER(MATCH($B$2:$B$10000,$E$6:$E$22,0)),ROW($C$2:$C$10000)-ROW($C$2)+1),ROWS(K$20:K3048))))</f>
        <v/>
      </c>
      <c r="H3048" s="4" t="str">
        <f t="array" ref="H3048">IF(ROWS(L$20:L3048)&gt;$F$6,"",INDEX(B$2:B$10000,SMALL(IF(ISNUMBER(MATCH($B$2:$B$10000,$E$6:$E$22,0)),ROW($C$2:$C$10000)-ROW($C$2)+1),ROWS(L$20:L3048))))</f>
        <v/>
      </c>
      <c r="I3048" s="4" t="str">
        <f t="array" ref="I3048">IF(ROWS(M$20:M3048)&gt;$F$6,"",INDEX(C$2:C$10000,SMALL(IF(ISNUMBER(MATCH($B$2:$B$10000,$E$6:$E$22,0)),ROW($C$2:$C$10000)-ROW($C$2)+1),ROWS(M$20:M3048))))</f>
        <v/>
      </c>
      <c r="K3048" s="7" t="str">
        <f t="array" ref="K3048">IF(ROWS(K$20:K3048)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3048))))</f>
        <v/>
      </c>
      <c r="L3048" s="4" t="str">
        <f t="array" ref="L3048">IF(ROWS(L$20:L3048)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3048))))</f>
        <v/>
      </c>
      <c r="M3048" s="4" t="str">
        <f t="array" ref="M3048">IF(ROWS(M$20:M3048)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3048))))</f>
        <v/>
      </c>
    </row>
    <row r="3049" spans="1:13" x14ac:dyDescent="0.25">
      <c r="A3049" s="3">
        <v>41344</v>
      </c>
      <c r="B3049" s="2" t="s">
        <v>11</v>
      </c>
      <c r="C3049" s="2">
        <v>19</v>
      </c>
      <c r="G3049" s="7" t="str">
        <f t="array" ref="G3049">IF(ROWS(K$20:K3049)&gt;$F$6,"",INDEX(A$2:A$10000,SMALL(IF(ISNUMBER(MATCH($B$2:$B$10000,$E$6:$E$22,0)),ROW($C$2:$C$10000)-ROW($C$2)+1),ROWS(K$20:K3049))))</f>
        <v/>
      </c>
      <c r="H3049" s="4" t="str">
        <f t="array" ref="H3049">IF(ROWS(L$20:L3049)&gt;$F$6,"",INDEX(B$2:B$10000,SMALL(IF(ISNUMBER(MATCH($B$2:$B$10000,$E$6:$E$22,0)),ROW($C$2:$C$10000)-ROW($C$2)+1),ROWS(L$20:L3049))))</f>
        <v/>
      </c>
      <c r="I3049" s="4" t="str">
        <f t="array" ref="I3049">IF(ROWS(M$20:M3049)&gt;$F$6,"",INDEX(C$2:C$10000,SMALL(IF(ISNUMBER(MATCH($B$2:$B$10000,$E$6:$E$22,0)),ROW($C$2:$C$10000)-ROW($C$2)+1),ROWS(M$20:M3049))))</f>
        <v/>
      </c>
      <c r="K3049" s="7" t="str">
        <f t="array" ref="K3049">IF(ROWS(K$20:K3049)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3049))))</f>
        <v/>
      </c>
      <c r="L3049" s="4" t="str">
        <f t="array" ref="L3049">IF(ROWS(L$20:L3049)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3049))))</f>
        <v/>
      </c>
      <c r="M3049" s="4" t="str">
        <f t="array" ref="M3049">IF(ROWS(M$20:M3049)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3049))))</f>
        <v/>
      </c>
    </row>
    <row r="3050" spans="1:13" x14ac:dyDescent="0.25">
      <c r="A3050" s="3">
        <v>41555</v>
      </c>
      <c r="B3050" s="2" t="s">
        <v>15</v>
      </c>
      <c r="C3050" s="2">
        <v>43</v>
      </c>
      <c r="G3050" s="7" t="str">
        <f t="array" ref="G3050">IF(ROWS(K$20:K3050)&gt;$F$6,"",INDEX(A$2:A$10000,SMALL(IF(ISNUMBER(MATCH($B$2:$B$10000,$E$6:$E$22,0)),ROW($C$2:$C$10000)-ROW($C$2)+1),ROWS(K$20:K3050))))</f>
        <v/>
      </c>
      <c r="H3050" s="4" t="str">
        <f t="array" ref="H3050">IF(ROWS(L$20:L3050)&gt;$F$6,"",INDEX(B$2:B$10000,SMALL(IF(ISNUMBER(MATCH($B$2:$B$10000,$E$6:$E$22,0)),ROW($C$2:$C$10000)-ROW($C$2)+1),ROWS(L$20:L3050))))</f>
        <v/>
      </c>
      <c r="I3050" s="4" t="str">
        <f t="array" ref="I3050">IF(ROWS(M$20:M3050)&gt;$F$6,"",INDEX(C$2:C$10000,SMALL(IF(ISNUMBER(MATCH($B$2:$B$10000,$E$6:$E$22,0)),ROW($C$2:$C$10000)-ROW($C$2)+1),ROWS(M$20:M3050))))</f>
        <v/>
      </c>
      <c r="K3050" s="7" t="str">
        <f t="array" ref="K3050">IF(ROWS(K$20:K3050)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3050))))</f>
        <v/>
      </c>
      <c r="L3050" s="4" t="str">
        <f t="array" ref="L3050">IF(ROWS(L$20:L3050)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3050))))</f>
        <v/>
      </c>
      <c r="M3050" s="4" t="str">
        <f t="array" ref="M3050">IF(ROWS(M$20:M3050)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3050))))</f>
        <v/>
      </c>
    </row>
    <row r="3051" spans="1:13" x14ac:dyDescent="0.25">
      <c r="A3051" s="3">
        <v>41417</v>
      </c>
      <c r="B3051" s="2" t="s">
        <v>8</v>
      </c>
      <c r="C3051" s="2">
        <v>6</v>
      </c>
      <c r="G3051" s="7" t="str">
        <f t="array" ref="G3051">IF(ROWS(K$20:K3051)&gt;$F$6,"",INDEX(A$2:A$10000,SMALL(IF(ISNUMBER(MATCH($B$2:$B$10000,$E$6:$E$22,0)),ROW($C$2:$C$10000)-ROW($C$2)+1),ROWS(K$20:K3051))))</f>
        <v/>
      </c>
      <c r="H3051" s="4" t="str">
        <f t="array" ref="H3051">IF(ROWS(L$20:L3051)&gt;$F$6,"",INDEX(B$2:B$10000,SMALL(IF(ISNUMBER(MATCH($B$2:$B$10000,$E$6:$E$22,0)),ROW($C$2:$C$10000)-ROW($C$2)+1),ROWS(L$20:L3051))))</f>
        <v/>
      </c>
      <c r="I3051" s="4" t="str">
        <f t="array" ref="I3051">IF(ROWS(M$20:M3051)&gt;$F$6,"",INDEX(C$2:C$10000,SMALL(IF(ISNUMBER(MATCH($B$2:$B$10000,$E$6:$E$22,0)),ROW($C$2:$C$10000)-ROW($C$2)+1),ROWS(M$20:M3051))))</f>
        <v/>
      </c>
      <c r="K3051" s="7" t="str">
        <f t="array" ref="K3051">IF(ROWS(K$20:K3051)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3051))))</f>
        <v/>
      </c>
      <c r="L3051" s="4" t="str">
        <f t="array" ref="L3051">IF(ROWS(L$20:L3051)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3051))))</f>
        <v/>
      </c>
      <c r="M3051" s="4" t="str">
        <f t="array" ref="M3051">IF(ROWS(M$20:M3051)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3051))))</f>
        <v/>
      </c>
    </row>
    <row r="3052" spans="1:13" x14ac:dyDescent="0.25">
      <c r="A3052" s="3">
        <v>41662</v>
      </c>
      <c r="B3052" s="2" t="s">
        <v>14</v>
      </c>
      <c r="C3052" s="2">
        <v>36</v>
      </c>
      <c r="G3052" s="7" t="str">
        <f t="array" ref="G3052">IF(ROWS(K$20:K3052)&gt;$F$6,"",INDEX(A$2:A$10000,SMALL(IF(ISNUMBER(MATCH($B$2:$B$10000,$E$6:$E$22,0)),ROW($C$2:$C$10000)-ROW($C$2)+1),ROWS(K$20:K3052))))</f>
        <v/>
      </c>
      <c r="H3052" s="4" t="str">
        <f t="array" ref="H3052">IF(ROWS(L$20:L3052)&gt;$F$6,"",INDEX(B$2:B$10000,SMALL(IF(ISNUMBER(MATCH($B$2:$B$10000,$E$6:$E$22,0)),ROW($C$2:$C$10000)-ROW($C$2)+1),ROWS(L$20:L3052))))</f>
        <v/>
      </c>
      <c r="I3052" s="4" t="str">
        <f t="array" ref="I3052">IF(ROWS(M$20:M3052)&gt;$F$6,"",INDEX(C$2:C$10000,SMALL(IF(ISNUMBER(MATCH($B$2:$B$10000,$E$6:$E$22,0)),ROW($C$2:$C$10000)-ROW($C$2)+1),ROWS(M$20:M3052))))</f>
        <v/>
      </c>
      <c r="K3052" s="7" t="str">
        <f t="array" ref="K3052">IF(ROWS(K$20:K3052)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3052))))</f>
        <v/>
      </c>
      <c r="L3052" s="4" t="str">
        <f t="array" ref="L3052">IF(ROWS(L$20:L3052)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3052))))</f>
        <v/>
      </c>
      <c r="M3052" s="4" t="str">
        <f t="array" ref="M3052">IF(ROWS(M$20:M3052)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3052))))</f>
        <v/>
      </c>
    </row>
    <row r="3053" spans="1:13" x14ac:dyDescent="0.25">
      <c r="A3053" s="3">
        <v>41361</v>
      </c>
      <c r="B3053" s="2" t="s">
        <v>15</v>
      </c>
      <c r="C3053" s="2">
        <v>11</v>
      </c>
      <c r="G3053" s="7" t="str">
        <f t="array" ref="G3053">IF(ROWS(K$20:K3053)&gt;$F$6,"",INDEX(A$2:A$10000,SMALL(IF(ISNUMBER(MATCH($B$2:$B$10000,$E$6:$E$22,0)),ROW($C$2:$C$10000)-ROW($C$2)+1),ROWS(K$20:K3053))))</f>
        <v/>
      </c>
      <c r="H3053" s="4" t="str">
        <f t="array" ref="H3053">IF(ROWS(L$20:L3053)&gt;$F$6,"",INDEX(B$2:B$10000,SMALL(IF(ISNUMBER(MATCH($B$2:$B$10000,$E$6:$E$22,0)),ROW($C$2:$C$10000)-ROW($C$2)+1),ROWS(L$20:L3053))))</f>
        <v/>
      </c>
      <c r="I3053" s="4" t="str">
        <f t="array" ref="I3053">IF(ROWS(M$20:M3053)&gt;$F$6,"",INDEX(C$2:C$10000,SMALL(IF(ISNUMBER(MATCH($B$2:$B$10000,$E$6:$E$22,0)),ROW($C$2:$C$10000)-ROW($C$2)+1),ROWS(M$20:M3053))))</f>
        <v/>
      </c>
      <c r="K3053" s="7" t="str">
        <f t="array" ref="K3053">IF(ROWS(K$20:K3053)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3053))))</f>
        <v/>
      </c>
      <c r="L3053" s="4" t="str">
        <f t="array" ref="L3053">IF(ROWS(L$20:L3053)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3053))))</f>
        <v/>
      </c>
      <c r="M3053" s="4" t="str">
        <f t="array" ref="M3053">IF(ROWS(M$20:M3053)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3053))))</f>
        <v/>
      </c>
    </row>
    <row r="3054" spans="1:13" x14ac:dyDescent="0.25">
      <c r="A3054" s="3">
        <v>41533</v>
      </c>
      <c r="B3054" s="2" t="s">
        <v>26</v>
      </c>
      <c r="C3054" s="2">
        <v>54</v>
      </c>
      <c r="G3054" s="7" t="str">
        <f t="array" ref="G3054">IF(ROWS(K$20:K3054)&gt;$F$6,"",INDEX(A$2:A$10000,SMALL(IF(ISNUMBER(MATCH($B$2:$B$10000,$E$6:$E$22,0)),ROW($C$2:$C$10000)-ROW($C$2)+1),ROWS(K$20:K3054))))</f>
        <v/>
      </c>
      <c r="H3054" s="4" t="str">
        <f t="array" ref="H3054">IF(ROWS(L$20:L3054)&gt;$F$6,"",INDEX(B$2:B$10000,SMALL(IF(ISNUMBER(MATCH($B$2:$B$10000,$E$6:$E$22,0)),ROW($C$2:$C$10000)-ROW($C$2)+1),ROWS(L$20:L3054))))</f>
        <v/>
      </c>
      <c r="I3054" s="4" t="str">
        <f t="array" ref="I3054">IF(ROWS(M$20:M3054)&gt;$F$6,"",INDEX(C$2:C$10000,SMALL(IF(ISNUMBER(MATCH($B$2:$B$10000,$E$6:$E$22,0)),ROW($C$2:$C$10000)-ROW($C$2)+1),ROWS(M$20:M3054))))</f>
        <v/>
      </c>
      <c r="K3054" s="7" t="str">
        <f t="array" ref="K3054">IF(ROWS(K$20:K3054)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3054))))</f>
        <v/>
      </c>
      <c r="L3054" s="4" t="str">
        <f t="array" ref="L3054">IF(ROWS(L$20:L3054)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3054))))</f>
        <v/>
      </c>
      <c r="M3054" s="4" t="str">
        <f t="array" ref="M3054">IF(ROWS(M$20:M3054)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3054))))</f>
        <v/>
      </c>
    </row>
    <row r="3055" spans="1:13" x14ac:dyDescent="0.25">
      <c r="A3055" s="3">
        <v>41523</v>
      </c>
      <c r="B3055" s="2" t="s">
        <v>15</v>
      </c>
      <c r="C3055" s="2">
        <v>3</v>
      </c>
      <c r="G3055" s="7" t="str">
        <f t="array" ref="G3055">IF(ROWS(K$20:K3055)&gt;$F$6,"",INDEX(A$2:A$10000,SMALL(IF(ISNUMBER(MATCH($B$2:$B$10000,$E$6:$E$22,0)),ROW($C$2:$C$10000)-ROW($C$2)+1),ROWS(K$20:K3055))))</f>
        <v/>
      </c>
      <c r="H3055" s="4" t="str">
        <f t="array" ref="H3055">IF(ROWS(L$20:L3055)&gt;$F$6,"",INDEX(B$2:B$10000,SMALL(IF(ISNUMBER(MATCH($B$2:$B$10000,$E$6:$E$22,0)),ROW($C$2:$C$10000)-ROW($C$2)+1),ROWS(L$20:L3055))))</f>
        <v/>
      </c>
      <c r="I3055" s="4" t="str">
        <f t="array" ref="I3055">IF(ROWS(M$20:M3055)&gt;$F$6,"",INDEX(C$2:C$10000,SMALL(IF(ISNUMBER(MATCH($B$2:$B$10000,$E$6:$E$22,0)),ROW($C$2:$C$10000)-ROW($C$2)+1),ROWS(M$20:M3055))))</f>
        <v/>
      </c>
      <c r="K3055" s="7" t="str">
        <f t="array" ref="K3055">IF(ROWS(K$20:K3055)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3055))))</f>
        <v/>
      </c>
      <c r="L3055" s="4" t="str">
        <f t="array" ref="L3055">IF(ROWS(L$20:L3055)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3055))))</f>
        <v/>
      </c>
      <c r="M3055" s="4" t="str">
        <f t="array" ref="M3055">IF(ROWS(M$20:M3055)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3055))))</f>
        <v/>
      </c>
    </row>
    <row r="3056" spans="1:13" x14ac:dyDescent="0.25">
      <c r="A3056" s="3">
        <v>41824</v>
      </c>
      <c r="B3056" s="2" t="s">
        <v>39</v>
      </c>
      <c r="C3056" s="2">
        <v>3</v>
      </c>
      <c r="G3056" s="7" t="str">
        <f t="array" ref="G3056">IF(ROWS(K$20:K3056)&gt;$F$6,"",INDEX(A$2:A$10000,SMALL(IF(ISNUMBER(MATCH($B$2:$B$10000,$E$6:$E$22,0)),ROW($C$2:$C$10000)-ROW($C$2)+1),ROWS(K$20:K3056))))</f>
        <v/>
      </c>
      <c r="H3056" s="4" t="str">
        <f t="array" ref="H3056">IF(ROWS(L$20:L3056)&gt;$F$6,"",INDEX(B$2:B$10000,SMALL(IF(ISNUMBER(MATCH($B$2:$B$10000,$E$6:$E$22,0)),ROW($C$2:$C$10000)-ROW($C$2)+1),ROWS(L$20:L3056))))</f>
        <v/>
      </c>
      <c r="I3056" s="4" t="str">
        <f t="array" ref="I3056">IF(ROWS(M$20:M3056)&gt;$F$6,"",INDEX(C$2:C$10000,SMALL(IF(ISNUMBER(MATCH($B$2:$B$10000,$E$6:$E$22,0)),ROW($C$2:$C$10000)-ROW($C$2)+1),ROWS(M$20:M3056))))</f>
        <v/>
      </c>
      <c r="K3056" s="7" t="str">
        <f t="array" ref="K3056">IF(ROWS(K$20:K3056)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3056))))</f>
        <v/>
      </c>
      <c r="L3056" s="4" t="str">
        <f t="array" ref="L3056">IF(ROWS(L$20:L3056)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3056))))</f>
        <v/>
      </c>
      <c r="M3056" s="4" t="str">
        <f t="array" ref="M3056">IF(ROWS(M$20:M3056)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3056))))</f>
        <v/>
      </c>
    </row>
    <row r="3057" spans="1:13" x14ac:dyDescent="0.25">
      <c r="A3057" s="3">
        <v>41803</v>
      </c>
      <c r="B3057" s="2" t="s">
        <v>38</v>
      </c>
      <c r="C3057" s="2">
        <v>44</v>
      </c>
      <c r="G3057" s="7" t="str">
        <f t="array" ref="G3057">IF(ROWS(K$20:K3057)&gt;$F$6,"",INDEX(A$2:A$10000,SMALL(IF(ISNUMBER(MATCH($B$2:$B$10000,$E$6:$E$22,0)),ROW($C$2:$C$10000)-ROW($C$2)+1),ROWS(K$20:K3057))))</f>
        <v/>
      </c>
      <c r="H3057" s="4" t="str">
        <f t="array" ref="H3057">IF(ROWS(L$20:L3057)&gt;$F$6,"",INDEX(B$2:B$10000,SMALL(IF(ISNUMBER(MATCH($B$2:$B$10000,$E$6:$E$22,0)),ROW($C$2:$C$10000)-ROW($C$2)+1),ROWS(L$20:L3057))))</f>
        <v/>
      </c>
      <c r="I3057" s="4" t="str">
        <f t="array" ref="I3057">IF(ROWS(M$20:M3057)&gt;$F$6,"",INDEX(C$2:C$10000,SMALL(IF(ISNUMBER(MATCH($B$2:$B$10000,$E$6:$E$22,0)),ROW($C$2:$C$10000)-ROW($C$2)+1),ROWS(M$20:M3057))))</f>
        <v/>
      </c>
      <c r="K3057" s="7" t="str">
        <f t="array" ref="K3057">IF(ROWS(K$20:K3057)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3057))))</f>
        <v/>
      </c>
      <c r="L3057" s="4" t="str">
        <f t="array" ref="L3057">IF(ROWS(L$20:L3057)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3057))))</f>
        <v/>
      </c>
      <c r="M3057" s="4" t="str">
        <f t="array" ref="M3057">IF(ROWS(M$20:M3057)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3057))))</f>
        <v/>
      </c>
    </row>
    <row r="3058" spans="1:13" x14ac:dyDescent="0.25">
      <c r="A3058" s="3">
        <v>41979</v>
      </c>
      <c r="B3058" s="2" t="s">
        <v>49</v>
      </c>
      <c r="C3058" s="2">
        <v>1</v>
      </c>
      <c r="G3058" s="7" t="str">
        <f t="array" ref="G3058">IF(ROWS(K$20:K3058)&gt;$F$6,"",INDEX(A$2:A$10000,SMALL(IF(ISNUMBER(MATCH($B$2:$B$10000,$E$6:$E$22,0)),ROW($C$2:$C$10000)-ROW($C$2)+1),ROWS(K$20:K3058))))</f>
        <v/>
      </c>
      <c r="H3058" s="4" t="str">
        <f t="array" ref="H3058">IF(ROWS(L$20:L3058)&gt;$F$6,"",INDEX(B$2:B$10000,SMALL(IF(ISNUMBER(MATCH($B$2:$B$10000,$E$6:$E$22,0)),ROW($C$2:$C$10000)-ROW($C$2)+1),ROWS(L$20:L3058))))</f>
        <v/>
      </c>
      <c r="I3058" s="4" t="str">
        <f t="array" ref="I3058">IF(ROWS(M$20:M3058)&gt;$F$6,"",INDEX(C$2:C$10000,SMALL(IF(ISNUMBER(MATCH($B$2:$B$10000,$E$6:$E$22,0)),ROW($C$2:$C$10000)-ROW($C$2)+1),ROWS(M$20:M3058))))</f>
        <v/>
      </c>
      <c r="K3058" s="7" t="str">
        <f t="array" ref="K3058">IF(ROWS(K$20:K3058)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3058))))</f>
        <v/>
      </c>
      <c r="L3058" s="4" t="str">
        <f t="array" ref="L3058">IF(ROWS(L$20:L3058)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3058))))</f>
        <v/>
      </c>
      <c r="M3058" s="4" t="str">
        <f t="array" ref="M3058">IF(ROWS(M$20:M3058)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3058))))</f>
        <v/>
      </c>
    </row>
    <row r="3059" spans="1:13" x14ac:dyDescent="0.25">
      <c r="A3059" s="3">
        <v>41339</v>
      </c>
      <c r="B3059" s="2" t="s">
        <v>42</v>
      </c>
      <c r="C3059" s="2">
        <v>12</v>
      </c>
      <c r="G3059" s="7" t="str">
        <f t="array" ref="G3059">IF(ROWS(K$20:K3059)&gt;$F$6,"",INDEX(A$2:A$10000,SMALL(IF(ISNUMBER(MATCH($B$2:$B$10000,$E$6:$E$22,0)),ROW($C$2:$C$10000)-ROW($C$2)+1),ROWS(K$20:K3059))))</f>
        <v/>
      </c>
      <c r="H3059" s="4" t="str">
        <f t="array" ref="H3059">IF(ROWS(L$20:L3059)&gt;$F$6,"",INDEX(B$2:B$10000,SMALL(IF(ISNUMBER(MATCH($B$2:$B$10000,$E$6:$E$22,0)),ROW($C$2:$C$10000)-ROW($C$2)+1),ROWS(L$20:L3059))))</f>
        <v/>
      </c>
      <c r="I3059" s="4" t="str">
        <f t="array" ref="I3059">IF(ROWS(M$20:M3059)&gt;$F$6,"",INDEX(C$2:C$10000,SMALL(IF(ISNUMBER(MATCH($B$2:$B$10000,$E$6:$E$22,0)),ROW($C$2:$C$10000)-ROW($C$2)+1),ROWS(M$20:M3059))))</f>
        <v/>
      </c>
      <c r="K3059" s="7" t="str">
        <f t="array" ref="K3059">IF(ROWS(K$20:K3059)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3059))))</f>
        <v/>
      </c>
      <c r="L3059" s="4" t="str">
        <f t="array" ref="L3059">IF(ROWS(L$20:L3059)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3059))))</f>
        <v/>
      </c>
      <c r="M3059" s="4" t="str">
        <f t="array" ref="M3059">IF(ROWS(M$20:M3059)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3059))))</f>
        <v/>
      </c>
    </row>
    <row r="3060" spans="1:13" x14ac:dyDescent="0.25">
      <c r="A3060" s="3">
        <v>41569</v>
      </c>
      <c r="B3060" s="2" t="s">
        <v>35</v>
      </c>
      <c r="C3060" s="2">
        <v>29</v>
      </c>
      <c r="G3060" s="7" t="str">
        <f t="array" ref="G3060">IF(ROWS(K$20:K3060)&gt;$F$6,"",INDEX(A$2:A$10000,SMALL(IF(ISNUMBER(MATCH($B$2:$B$10000,$E$6:$E$22,0)),ROW($C$2:$C$10000)-ROW($C$2)+1),ROWS(K$20:K3060))))</f>
        <v/>
      </c>
      <c r="H3060" s="4" t="str">
        <f t="array" ref="H3060">IF(ROWS(L$20:L3060)&gt;$F$6,"",INDEX(B$2:B$10000,SMALL(IF(ISNUMBER(MATCH($B$2:$B$10000,$E$6:$E$22,0)),ROW($C$2:$C$10000)-ROW($C$2)+1),ROWS(L$20:L3060))))</f>
        <v/>
      </c>
      <c r="I3060" s="4" t="str">
        <f t="array" ref="I3060">IF(ROWS(M$20:M3060)&gt;$F$6,"",INDEX(C$2:C$10000,SMALL(IF(ISNUMBER(MATCH($B$2:$B$10000,$E$6:$E$22,0)),ROW($C$2:$C$10000)-ROW($C$2)+1),ROWS(M$20:M3060))))</f>
        <v/>
      </c>
      <c r="K3060" s="7" t="str">
        <f t="array" ref="K3060">IF(ROWS(K$20:K3060)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3060))))</f>
        <v/>
      </c>
      <c r="L3060" s="4" t="str">
        <f t="array" ref="L3060">IF(ROWS(L$20:L3060)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3060))))</f>
        <v/>
      </c>
      <c r="M3060" s="4" t="str">
        <f t="array" ref="M3060">IF(ROWS(M$20:M3060)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3060))))</f>
        <v/>
      </c>
    </row>
    <row r="3061" spans="1:13" x14ac:dyDescent="0.25">
      <c r="A3061" s="3">
        <v>41331</v>
      </c>
      <c r="B3061" s="2" t="s">
        <v>38</v>
      </c>
      <c r="C3061" s="2">
        <v>21</v>
      </c>
      <c r="G3061" s="7" t="str">
        <f t="array" ref="G3061">IF(ROWS(K$20:K3061)&gt;$F$6,"",INDEX(A$2:A$10000,SMALL(IF(ISNUMBER(MATCH($B$2:$B$10000,$E$6:$E$22,0)),ROW($C$2:$C$10000)-ROW($C$2)+1),ROWS(K$20:K3061))))</f>
        <v/>
      </c>
      <c r="H3061" s="4" t="str">
        <f t="array" ref="H3061">IF(ROWS(L$20:L3061)&gt;$F$6,"",INDEX(B$2:B$10000,SMALL(IF(ISNUMBER(MATCH($B$2:$B$10000,$E$6:$E$22,0)),ROW($C$2:$C$10000)-ROW($C$2)+1),ROWS(L$20:L3061))))</f>
        <v/>
      </c>
      <c r="I3061" s="4" t="str">
        <f t="array" ref="I3061">IF(ROWS(M$20:M3061)&gt;$F$6,"",INDEX(C$2:C$10000,SMALL(IF(ISNUMBER(MATCH($B$2:$B$10000,$E$6:$E$22,0)),ROW($C$2:$C$10000)-ROW($C$2)+1),ROWS(M$20:M3061))))</f>
        <v/>
      </c>
      <c r="K3061" s="7" t="str">
        <f t="array" ref="K3061">IF(ROWS(K$20:K3061)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3061))))</f>
        <v/>
      </c>
      <c r="L3061" s="4" t="str">
        <f t="array" ref="L3061">IF(ROWS(L$20:L3061)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3061))))</f>
        <v/>
      </c>
      <c r="M3061" s="4" t="str">
        <f t="array" ref="M3061">IF(ROWS(M$20:M3061)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3061))))</f>
        <v/>
      </c>
    </row>
    <row r="3062" spans="1:13" x14ac:dyDescent="0.25">
      <c r="A3062" s="3">
        <v>41759</v>
      </c>
      <c r="B3062" s="2" t="s">
        <v>38</v>
      </c>
      <c r="C3062" s="2">
        <v>19</v>
      </c>
      <c r="G3062" s="7" t="str">
        <f t="array" ref="G3062">IF(ROWS(K$20:K3062)&gt;$F$6,"",INDEX(A$2:A$10000,SMALL(IF(ISNUMBER(MATCH($B$2:$B$10000,$E$6:$E$22,0)),ROW($C$2:$C$10000)-ROW($C$2)+1),ROWS(K$20:K3062))))</f>
        <v/>
      </c>
      <c r="H3062" s="4" t="str">
        <f t="array" ref="H3062">IF(ROWS(L$20:L3062)&gt;$F$6,"",INDEX(B$2:B$10000,SMALL(IF(ISNUMBER(MATCH($B$2:$B$10000,$E$6:$E$22,0)),ROW($C$2:$C$10000)-ROW($C$2)+1),ROWS(L$20:L3062))))</f>
        <v/>
      </c>
      <c r="I3062" s="4" t="str">
        <f t="array" ref="I3062">IF(ROWS(M$20:M3062)&gt;$F$6,"",INDEX(C$2:C$10000,SMALL(IF(ISNUMBER(MATCH($B$2:$B$10000,$E$6:$E$22,0)),ROW($C$2:$C$10000)-ROW($C$2)+1),ROWS(M$20:M3062))))</f>
        <v/>
      </c>
      <c r="K3062" s="7" t="str">
        <f t="array" ref="K3062">IF(ROWS(K$20:K3062)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3062))))</f>
        <v/>
      </c>
      <c r="L3062" s="4" t="str">
        <f t="array" ref="L3062">IF(ROWS(L$20:L3062)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3062))))</f>
        <v/>
      </c>
      <c r="M3062" s="4" t="str">
        <f t="array" ref="M3062">IF(ROWS(M$20:M3062)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3062))))</f>
        <v/>
      </c>
    </row>
    <row r="3063" spans="1:13" x14ac:dyDescent="0.25">
      <c r="A3063" s="3">
        <v>41992</v>
      </c>
      <c r="B3063" s="2" t="s">
        <v>19</v>
      </c>
      <c r="C3063" s="2">
        <v>40</v>
      </c>
      <c r="G3063" s="7" t="str">
        <f t="array" ref="G3063">IF(ROWS(K$20:K3063)&gt;$F$6,"",INDEX(A$2:A$10000,SMALL(IF(ISNUMBER(MATCH($B$2:$B$10000,$E$6:$E$22,0)),ROW($C$2:$C$10000)-ROW($C$2)+1),ROWS(K$20:K3063))))</f>
        <v/>
      </c>
      <c r="H3063" s="4" t="str">
        <f t="array" ref="H3063">IF(ROWS(L$20:L3063)&gt;$F$6,"",INDEX(B$2:B$10000,SMALL(IF(ISNUMBER(MATCH($B$2:$B$10000,$E$6:$E$22,0)),ROW($C$2:$C$10000)-ROW($C$2)+1),ROWS(L$20:L3063))))</f>
        <v/>
      </c>
      <c r="I3063" s="4" t="str">
        <f t="array" ref="I3063">IF(ROWS(M$20:M3063)&gt;$F$6,"",INDEX(C$2:C$10000,SMALL(IF(ISNUMBER(MATCH($B$2:$B$10000,$E$6:$E$22,0)),ROW($C$2:$C$10000)-ROW($C$2)+1),ROWS(M$20:M3063))))</f>
        <v/>
      </c>
      <c r="K3063" s="7" t="str">
        <f t="array" ref="K3063">IF(ROWS(K$20:K3063)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3063))))</f>
        <v/>
      </c>
      <c r="L3063" s="4" t="str">
        <f t="array" ref="L3063">IF(ROWS(L$20:L3063)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3063))))</f>
        <v/>
      </c>
      <c r="M3063" s="4" t="str">
        <f t="array" ref="M3063">IF(ROWS(M$20:M3063)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3063))))</f>
        <v/>
      </c>
    </row>
    <row r="3064" spans="1:13" x14ac:dyDescent="0.25">
      <c r="A3064" s="3">
        <v>41533</v>
      </c>
      <c r="B3064" s="2" t="s">
        <v>17</v>
      </c>
      <c r="C3064" s="2">
        <v>31</v>
      </c>
      <c r="G3064" s="7" t="str">
        <f t="array" ref="G3064">IF(ROWS(K$20:K3064)&gt;$F$6,"",INDEX(A$2:A$10000,SMALL(IF(ISNUMBER(MATCH($B$2:$B$10000,$E$6:$E$22,0)),ROW($C$2:$C$10000)-ROW($C$2)+1),ROWS(K$20:K3064))))</f>
        <v/>
      </c>
      <c r="H3064" s="4" t="str">
        <f t="array" ref="H3064">IF(ROWS(L$20:L3064)&gt;$F$6,"",INDEX(B$2:B$10000,SMALL(IF(ISNUMBER(MATCH($B$2:$B$10000,$E$6:$E$22,0)),ROW($C$2:$C$10000)-ROW($C$2)+1),ROWS(L$20:L3064))))</f>
        <v/>
      </c>
      <c r="I3064" s="4" t="str">
        <f t="array" ref="I3064">IF(ROWS(M$20:M3064)&gt;$F$6,"",INDEX(C$2:C$10000,SMALL(IF(ISNUMBER(MATCH($B$2:$B$10000,$E$6:$E$22,0)),ROW($C$2:$C$10000)-ROW($C$2)+1),ROWS(M$20:M3064))))</f>
        <v/>
      </c>
      <c r="K3064" s="7" t="str">
        <f t="array" ref="K3064">IF(ROWS(K$20:K3064)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3064))))</f>
        <v/>
      </c>
      <c r="L3064" s="4" t="str">
        <f t="array" ref="L3064">IF(ROWS(L$20:L3064)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3064))))</f>
        <v/>
      </c>
      <c r="M3064" s="4" t="str">
        <f t="array" ref="M3064">IF(ROWS(M$20:M3064)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3064))))</f>
        <v/>
      </c>
    </row>
    <row r="3065" spans="1:13" x14ac:dyDescent="0.25">
      <c r="A3065" s="3">
        <v>41804</v>
      </c>
      <c r="B3065" s="2" t="s">
        <v>13</v>
      </c>
      <c r="C3065" s="2">
        <v>6</v>
      </c>
      <c r="G3065" s="7" t="str">
        <f t="array" ref="G3065">IF(ROWS(K$20:K3065)&gt;$F$6,"",INDEX(A$2:A$10000,SMALL(IF(ISNUMBER(MATCH($B$2:$B$10000,$E$6:$E$22,0)),ROW($C$2:$C$10000)-ROW($C$2)+1),ROWS(K$20:K3065))))</f>
        <v/>
      </c>
      <c r="H3065" s="4" t="str">
        <f t="array" ref="H3065">IF(ROWS(L$20:L3065)&gt;$F$6,"",INDEX(B$2:B$10000,SMALL(IF(ISNUMBER(MATCH($B$2:$B$10000,$E$6:$E$22,0)),ROW($C$2:$C$10000)-ROW($C$2)+1),ROWS(L$20:L3065))))</f>
        <v/>
      </c>
      <c r="I3065" s="4" t="str">
        <f t="array" ref="I3065">IF(ROWS(M$20:M3065)&gt;$F$6,"",INDEX(C$2:C$10000,SMALL(IF(ISNUMBER(MATCH($B$2:$B$10000,$E$6:$E$22,0)),ROW($C$2:$C$10000)-ROW($C$2)+1),ROWS(M$20:M3065))))</f>
        <v/>
      </c>
      <c r="K3065" s="7" t="str">
        <f t="array" ref="K3065">IF(ROWS(K$20:K3065)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3065))))</f>
        <v/>
      </c>
      <c r="L3065" s="4" t="str">
        <f t="array" ref="L3065">IF(ROWS(L$20:L3065)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3065))))</f>
        <v/>
      </c>
      <c r="M3065" s="4" t="str">
        <f t="array" ref="M3065">IF(ROWS(M$20:M3065)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3065))))</f>
        <v/>
      </c>
    </row>
    <row r="3066" spans="1:13" x14ac:dyDescent="0.25">
      <c r="A3066" s="3">
        <v>41651</v>
      </c>
      <c r="B3066" s="2" t="s">
        <v>10</v>
      </c>
      <c r="C3066" s="2">
        <v>48</v>
      </c>
      <c r="G3066" s="7" t="str">
        <f t="array" ref="G3066">IF(ROWS(K$20:K3066)&gt;$F$6,"",INDEX(A$2:A$10000,SMALL(IF(ISNUMBER(MATCH($B$2:$B$10000,$E$6:$E$22,0)),ROW($C$2:$C$10000)-ROW($C$2)+1),ROWS(K$20:K3066))))</f>
        <v/>
      </c>
      <c r="H3066" s="4" t="str">
        <f t="array" ref="H3066">IF(ROWS(L$20:L3066)&gt;$F$6,"",INDEX(B$2:B$10000,SMALL(IF(ISNUMBER(MATCH($B$2:$B$10000,$E$6:$E$22,0)),ROW($C$2:$C$10000)-ROW($C$2)+1),ROWS(L$20:L3066))))</f>
        <v/>
      </c>
      <c r="I3066" s="4" t="str">
        <f t="array" ref="I3066">IF(ROWS(M$20:M3066)&gt;$F$6,"",INDEX(C$2:C$10000,SMALL(IF(ISNUMBER(MATCH($B$2:$B$10000,$E$6:$E$22,0)),ROW($C$2:$C$10000)-ROW($C$2)+1),ROWS(M$20:M3066))))</f>
        <v/>
      </c>
      <c r="K3066" s="7" t="str">
        <f t="array" ref="K3066">IF(ROWS(K$20:K3066)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3066))))</f>
        <v/>
      </c>
      <c r="L3066" s="4" t="str">
        <f t="array" ref="L3066">IF(ROWS(L$20:L3066)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3066))))</f>
        <v/>
      </c>
      <c r="M3066" s="4" t="str">
        <f t="array" ref="M3066">IF(ROWS(M$20:M3066)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3066))))</f>
        <v/>
      </c>
    </row>
    <row r="3067" spans="1:13" x14ac:dyDescent="0.25">
      <c r="A3067" s="3">
        <v>41484</v>
      </c>
      <c r="B3067" s="2" t="s">
        <v>6</v>
      </c>
      <c r="C3067" s="2">
        <v>6</v>
      </c>
      <c r="G3067" s="7" t="str">
        <f t="array" ref="G3067">IF(ROWS(K$20:K3067)&gt;$F$6,"",INDEX(A$2:A$10000,SMALL(IF(ISNUMBER(MATCH($B$2:$B$10000,$E$6:$E$22,0)),ROW($C$2:$C$10000)-ROW($C$2)+1),ROWS(K$20:K3067))))</f>
        <v/>
      </c>
      <c r="H3067" s="4" t="str">
        <f t="array" ref="H3067">IF(ROWS(L$20:L3067)&gt;$F$6,"",INDEX(B$2:B$10000,SMALL(IF(ISNUMBER(MATCH($B$2:$B$10000,$E$6:$E$22,0)),ROW($C$2:$C$10000)-ROW($C$2)+1),ROWS(L$20:L3067))))</f>
        <v/>
      </c>
      <c r="I3067" s="4" t="str">
        <f t="array" ref="I3067">IF(ROWS(M$20:M3067)&gt;$F$6,"",INDEX(C$2:C$10000,SMALL(IF(ISNUMBER(MATCH($B$2:$B$10000,$E$6:$E$22,0)),ROW($C$2:$C$10000)-ROW($C$2)+1),ROWS(M$20:M3067))))</f>
        <v/>
      </c>
      <c r="K3067" s="7" t="str">
        <f t="array" ref="K3067">IF(ROWS(K$20:K3067)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3067))))</f>
        <v/>
      </c>
      <c r="L3067" s="4" t="str">
        <f t="array" ref="L3067">IF(ROWS(L$20:L3067)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3067))))</f>
        <v/>
      </c>
      <c r="M3067" s="4" t="str">
        <f t="array" ref="M3067">IF(ROWS(M$20:M3067)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3067))))</f>
        <v/>
      </c>
    </row>
    <row r="3068" spans="1:13" x14ac:dyDescent="0.25">
      <c r="A3068" s="3">
        <v>41736</v>
      </c>
      <c r="B3068" s="2" t="s">
        <v>26</v>
      </c>
      <c r="C3068" s="2">
        <v>11</v>
      </c>
      <c r="G3068" s="7" t="str">
        <f t="array" ref="G3068">IF(ROWS(K$20:K3068)&gt;$F$6,"",INDEX(A$2:A$10000,SMALL(IF(ISNUMBER(MATCH($B$2:$B$10000,$E$6:$E$22,0)),ROW($C$2:$C$10000)-ROW($C$2)+1),ROWS(K$20:K3068))))</f>
        <v/>
      </c>
      <c r="H3068" s="4" t="str">
        <f t="array" ref="H3068">IF(ROWS(L$20:L3068)&gt;$F$6,"",INDEX(B$2:B$10000,SMALL(IF(ISNUMBER(MATCH($B$2:$B$10000,$E$6:$E$22,0)),ROW($C$2:$C$10000)-ROW($C$2)+1),ROWS(L$20:L3068))))</f>
        <v/>
      </c>
      <c r="I3068" s="4" t="str">
        <f t="array" ref="I3068">IF(ROWS(M$20:M3068)&gt;$F$6,"",INDEX(C$2:C$10000,SMALL(IF(ISNUMBER(MATCH($B$2:$B$10000,$E$6:$E$22,0)),ROW($C$2:$C$10000)-ROW($C$2)+1),ROWS(M$20:M3068))))</f>
        <v/>
      </c>
      <c r="K3068" s="7" t="str">
        <f t="array" ref="K3068">IF(ROWS(K$20:K3068)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3068))))</f>
        <v/>
      </c>
      <c r="L3068" s="4" t="str">
        <f t="array" ref="L3068">IF(ROWS(L$20:L3068)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3068))))</f>
        <v/>
      </c>
      <c r="M3068" s="4" t="str">
        <f t="array" ref="M3068">IF(ROWS(M$20:M3068)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3068))))</f>
        <v/>
      </c>
    </row>
    <row r="3069" spans="1:13" x14ac:dyDescent="0.25">
      <c r="A3069" s="3">
        <v>41797</v>
      </c>
      <c r="B3069" s="2" t="s">
        <v>11</v>
      </c>
      <c r="C3069" s="2">
        <v>13</v>
      </c>
      <c r="G3069" s="7" t="str">
        <f t="array" ref="G3069">IF(ROWS(K$20:K3069)&gt;$F$6,"",INDEX(A$2:A$10000,SMALL(IF(ISNUMBER(MATCH($B$2:$B$10000,$E$6:$E$22,0)),ROW($C$2:$C$10000)-ROW($C$2)+1),ROWS(K$20:K3069))))</f>
        <v/>
      </c>
      <c r="H3069" s="4" t="str">
        <f t="array" ref="H3069">IF(ROWS(L$20:L3069)&gt;$F$6,"",INDEX(B$2:B$10000,SMALL(IF(ISNUMBER(MATCH($B$2:$B$10000,$E$6:$E$22,0)),ROW($C$2:$C$10000)-ROW($C$2)+1),ROWS(L$20:L3069))))</f>
        <v/>
      </c>
      <c r="I3069" s="4" t="str">
        <f t="array" ref="I3069">IF(ROWS(M$20:M3069)&gt;$F$6,"",INDEX(C$2:C$10000,SMALL(IF(ISNUMBER(MATCH($B$2:$B$10000,$E$6:$E$22,0)),ROW($C$2:$C$10000)-ROW($C$2)+1),ROWS(M$20:M3069))))</f>
        <v/>
      </c>
      <c r="K3069" s="7" t="str">
        <f t="array" ref="K3069">IF(ROWS(K$20:K3069)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3069))))</f>
        <v/>
      </c>
      <c r="L3069" s="4" t="str">
        <f t="array" ref="L3069">IF(ROWS(L$20:L3069)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3069))))</f>
        <v/>
      </c>
      <c r="M3069" s="4" t="str">
        <f t="array" ref="M3069">IF(ROWS(M$20:M3069)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3069))))</f>
        <v/>
      </c>
    </row>
    <row r="3070" spans="1:13" x14ac:dyDescent="0.25">
      <c r="A3070" s="3">
        <v>41306</v>
      </c>
      <c r="B3070" s="2" t="s">
        <v>25</v>
      </c>
      <c r="C3070" s="2">
        <v>47</v>
      </c>
      <c r="G3070" s="7" t="str">
        <f t="array" ref="G3070">IF(ROWS(K$20:K3070)&gt;$F$6,"",INDEX(A$2:A$10000,SMALL(IF(ISNUMBER(MATCH($B$2:$B$10000,$E$6:$E$22,0)),ROW($C$2:$C$10000)-ROW($C$2)+1),ROWS(K$20:K3070))))</f>
        <v/>
      </c>
      <c r="H3070" s="4" t="str">
        <f t="array" ref="H3070">IF(ROWS(L$20:L3070)&gt;$F$6,"",INDEX(B$2:B$10000,SMALL(IF(ISNUMBER(MATCH($B$2:$B$10000,$E$6:$E$22,0)),ROW($C$2:$C$10000)-ROW($C$2)+1),ROWS(L$20:L3070))))</f>
        <v/>
      </c>
      <c r="I3070" s="4" t="str">
        <f t="array" ref="I3070">IF(ROWS(M$20:M3070)&gt;$F$6,"",INDEX(C$2:C$10000,SMALL(IF(ISNUMBER(MATCH($B$2:$B$10000,$E$6:$E$22,0)),ROW($C$2:$C$10000)-ROW($C$2)+1),ROWS(M$20:M3070))))</f>
        <v/>
      </c>
      <c r="K3070" s="7" t="str">
        <f t="array" ref="K3070">IF(ROWS(K$20:K3070)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3070))))</f>
        <v/>
      </c>
      <c r="L3070" s="4" t="str">
        <f t="array" ref="L3070">IF(ROWS(L$20:L3070)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3070))))</f>
        <v/>
      </c>
      <c r="M3070" s="4" t="str">
        <f t="array" ref="M3070">IF(ROWS(M$20:M3070)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3070))))</f>
        <v/>
      </c>
    </row>
    <row r="3071" spans="1:13" x14ac:dyDescent="0.25">
      <c r="A3071" s="3">
        <v>41941</v>
      </c>
      <c r="B3071" s="2" t="s">
        <v>42</v>
      </c>
      <c r="C3071" s="2">
        <v>56</v>
      </c>
      <c r="G3071" s="7" t="str">
        <f t="array" ref="G3071">IF(ROWS(K$20:K3071)&gt;$F$6,"",INDEX(A$2:A$10000,SMALL(IF(ISNUMBER(MATCH($B$2:$B$10000,$E$6:$E$22,0)),ROW($C$2:$C$10000)-ROW($C$2)+1),ROWS(K$20:K3071))))</f>
        <v/>
      </c>
      <c r="H3071" s="4" t="str">
        <f t="array" ref="H3071">IF(ROWS(L$20:L3071)&gt;$F$6,"",INDEX(B$2:B$10000,SMALL(IF(ISNUMBER(MATCH($B$2:$B$10000,$E$6:$E$22,0)),ROW($C$2:$C$10000)-ROW($C$2)+1),ROWS(L$20:L3071))))</f>
        <v/>
      </c>
      <c r="I3071" s="4" t="str">
        <f t="array" ref="I3071">IF(ROWS(M$20:M3071)&gt;$F$6,"",INDEX(C$2:C$10000,SMALL(IF(ISNUMBER(MATCH($B$2:$B$10000,$E$6:$E$22,0)),ROW($C$2:$C$10000)-ROW($C$2)+1),ROWS(M$20:M3071))))</f>
        <v/>
      </c>
      <c r="K3071" s="7" t="str">
        <f t="array" ref="K3071">IF(ROWS(K$20:K3071)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3071))))</f>
        <v/>
      </c>
      <c r="L3071" s="4" t="str">
        <f t="array" ref="L3071">IF(ROWS(L$20:L3071)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3071))))</f>
        <v/>
      </c>
      <c r="M3071" s="4" t="str">
        <f t="array" ref="M3071">IF(ROWS(M$20:M3071)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3071))))</f>
        <v/>
      </c>
    </row>
    <row r="3072" spans="1:13" x14ac:dyDescent="0.25">
      <c r="A3072" s="3">
        <v>41663</v>
      </c>
      <c r="B3072" s="2" t="s">
        <v>35</v>
      </c>
      <c r="C3072" s="2">
        <v>29</v>
      </c>
      <c r="G3072" s="7" t="str">
        <f t="array" ref="G3072">IF(ROWS(K$20:K3072)&gt;$F$6,"",INDEX(A$2:A$10000,SMALL(IF(ISNUMBER(MATCH($B$2:$B$10000,$E$6:$E$22,0)),ROW($C$2:$C$10000)-ROW($C$2)+1),ROWS(K$20:K3072))))</f>
        <v/>
      </c>
      <c r="H3072" s="4" t="str">
        <f t="array" ref="H3072">IF(ROWS(L$20:L3072)&gt;$F$6,"",INDEX(B$2:B$10000,SMALL(IF(ISNUMBER(MATCH($B$2:$B$10000,$E$6:$E$22,0)),ROW($C$2:$C$10000)-ROW($C$2)+1),ROWS(L$20:L3072))))</f>
        <v/>
      </c>
      <c r="I3072" s="4" t="str">
        <f t="array" ref="I3072">IF(ROWS(M$20:M3072)&gt;$F$6,"",INDEX(C$2:C$10000,SMALL(IF(ISNUMBER(MATCH($B$2:$B$10000,$E$6:$E$22,0)),ROW($C$2:$C$10000)-ROW($C$2)+1),ROWS(M$20:M3072))))</f>
        <v/>
      </c>
      <c r="K3072" s="7" t="str">
        <f t="array" ref="K3072">IF(ROWS(K$20:K3072)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3072))))</f>
        <v/>
      </c>
      <c r="L3072" s="4" t="str">
        <f t="array" ref="L3072">IF(ROWS(L$20:L3072)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3072))))</f>
        <v/>
      </c>
      <c r="M3072" s="4" t="str">
        <f t="array" ref="M3072">IF(ROWS(M$20:M3072)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3072))))</f>
        <v/>
      </c>
    </row>
    <row r="3073" spans="1:13" x14ac:dyDescent="0.25">
      <c r="A3073" s="3">
        <v>41930</v>
      </c>
      <c r="B3073" s="2" t="s">
        <v>41</v>
      </c>
      <c r="C3073" s="2">
        <v>15</v>
      </c>
      <c r="G3073" s="7" t="str">
        <f t="array" ref="G3073">IF(ROWS(K$20:K3073)&gt;$F$6,"",INDEX(A$2:A$10000,SMALL(IF(ISNUMBER(MATCH($B$2:$B$10000,$E$6:$E$22,0)),ROW($C$2:$C$10000)-ROW($C$2)+1),ROWS(K$20:K3073))))</f>
        <v/>
      </c>
      <c r="H3073" s="4" t="str">
        <f t="array" ref="H3073">IF(ROWS(L$20:L3073)&gt;$F$6,"",INDEX(B$2:B$10000,SMALL(IF(ISNUMBER(MATCH($B$2:$B$10000,$E$6:$E$22,0)),ROW($C$2:$C$10000)-ROW($C$2)+1),ROWS(L$20:L3073))))</f>
        <v/>
      </c>
      <c r="I3073" s="4" t="str">
        <f t="array" ref="I3073">IF(ROWS(M$20:M3073)&gt;$F$6,"",INDEX(C$2:C$10000,SMALL(IF(ISNUMBER(MATCH($B$2:$B$10000,$E$6:$E$22,0)),ROW($C$2:$C$10000)-ROW($C$2)+1),ROWS(M$20:M3073))))</f>
        <v/>
      </c>
      <c r="K3073" s="7" t="str">
        <f t="array" ref="K3073">IF(ROWS(K$20:K3073)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3073))))</f>
        <v/>
      </c>
      <c r="L3073" s="4" t="str">
        <f t="array" ref="L3073">IF(ROWS(L$20:L3073)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3073))))</f>
        <v/>
      </c>
      <c r="M3073" s="4" t="str">
        <f t="array" ref="M3073">IF(ROWS(M$20:M3073)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3073))))</f>
        <v/>
      </c>
    </row>
    <row r="3074" spans="1:13" x14ac:dyDescent="0.25">
      <c r="A3074" s="3">
        <v>41716</v>
      </c>
      <c r="B3074" s="2" t="s">
        <v>45</v>
      </c>
      <c r="C3074" s="2">
        <v>45</v>
      </c>
      <c r="G3074" s="7" t="str">
        <f t="array" ref="G3074">IF(ROWS(K$20:K3074)&gt;$F$6,"",INDEX(A$2:A$10000,SMALL(IF(ISNUMBER(MATCH($B$2:$B$10000,$E$6:$E$22,0)),ROW($C$2:$C$10000)-ROW($C$2)+1),ROWS(K$20:K3074))))</f>
        <v/>
      </c>
      <c r="H3074" s="4" t="str">
        <f t="array" ref="H3074">IF(ROWS(L$20:L3074)&gt;$F$6,"",INDEX(B$2:B$10000,SMALL(IF(ISNUMBER(MATCH($B$2:$B$10000,$E$6:$E$22,0)),ROW($C$2:$C$10000)-ROW($C$2)+1),ROWS(L$20:L3074))))</f>
        <v/>
      </c>
      <c r="I3074" s="4" t="str">
        <f t="array" ref="I3074">IF(ROWS(M$20:M3074)&gt;$F$6,"",INDEX(C$2:C$10000,SMALL(IF(ISNUMBER(MATCH($B$2:$B$10000,$E$6:$E$22,0)),ROW($C$2:$C$10000)-ROW($C$2)+1),ROWS(M$20:M3074))))</f>
        <v/>
      </c>
      <c r="K3074" s="7" t="str">
        <f t="array" ref="K3074">IF(ROWS(K$20:K3074)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3074))))</f>
        <v/>
      </c>
      <c r="L3074" s="4" t="str">
        <f t="array" ref="L3074">IF(ROWS(L$20:L3074)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3074))))</f>
        <v/>
      </c>
      <c r="M3074" s="4" t="str">
        <f t="array" ref="M3074">IF(ROWS(M$20:M3074)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3074))))</f>
        <v/>
      </c>
    </row>
    <row r="3075" spans="1:13" x14ac:dyDescent="0.25">
      <c r="A3075" s="3">
        <v>41902</v>
      </c>
      <c r="B3075" s="2" t="s">
        <v>34</v>
      </c>
      <c r="C3075" s="2">
        <v>15</v>
      </c>
      <c r="G3075" s="7" t="str">
        <f t="array" ref="G3075">IF(ROWS(K$20:K3075)&gt;$F$6,"",INDEX(A$2:A$10000,SMALL(IF(ISNUMBER(MATCH($B$2:$B$10000,$E$6:$E$22,0)),ROW($C$2:$C$10000)-ROW($C$2)+1),ROWS(K$20:K3075))))</f>
        <v/>
      </c>
      <c r="H3075" s="4" t="str">
        <f t="array" ref="H3075">IF(ROWS(L$20:L3075)&gt;$F$6,"",INDEX(B$2:B$10000,SMALL(IF(ISNUMBER(MATCH($B$2:$B$10000,$E$6:$E$22,0)),ROW($C$2:$C$10000)-ROW($C$2)+1),ROWS(L$20:L3075))))</f>
        <v/>
      </c>
      <c r="I3075" s="4" t="str">
        <f t="array" ref="I3075">IF(ROWS(M$20:M3075)&gt;$F$6,"",INDEX(C$2:C$10000,SMALL(IF(ISNUMBER(MATCH($B$2:$B$10000,$E$6:$E$22,0)),ROW($C$2:$C$10000)-ROW($C$2)+1),ROWS(M$20:M3075))))</f>
        <v/>
      </c>
      <c r="K3075" s="7" t="str">
        <f t="array" ref="K3075">IF(ROWS(K$20:K3075)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3075))))</f>
        <v/>
      </c>
      <c r="L3075" s="4" t="str">
        <f t="array" ref="L3075">IF(ROWS(L$20:L3075)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3075))))</f>
        <v/>
      </c>
      <c r="M3075" s="4" t="str">
        <f t="array" ref="M3075">IF(ROWS(M$20:M3075)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3075))))</f>
        <v/>
      </c>
    </row>
    <row r="3076" spans="1:13" x14ac:dyDescent="0.25">
      <c r="A3076" s="3">
        <v>41430</v>
      </c>
      <c r="B3076" s="2" t="s">
        <v>16</v>
      </c>
      <c r="C3076" s="2">
        <v>1</v>
      </c>
      <c r="G3076" s="7" t="str">
        <f t="array" ref="G3076">IF(ROWS(K$20:K3076)&gt;$F$6,"",INDEX(A$2:A$10000,SMALL(IF(ISNUMBER(MATCH($B$2:$B$10000,$E$6:$E$22,0)),ROW($C$2:$C$10000)-ROW($C$2)+1),ROWS(K$20:K3076))))</f>
        <v/>
      </c>
      <c r="H3076" s="4" t="str">
        <f t="array" ref="H3076">IF(ROWS(L$20:L3076)&gt;$F$6,"",INDEX(B$2:B$10000,SMALL(IF(ISNUMBER(MATCH($B$2:$B$10000,$E$6:$E$22,0)),ROW($C$2:$C$10000)-ROW($C$2)+1),ROWS(L$20:L3076))))</f>
        <v/>
      </c>
      <c r="I3076" s="4" t="str">
        <f t="array" ref="I3076">IF(ROWS(M$20:M3076)&gt;$F$6,"",INDEX(C$2:C$10000,SMALL(IF(ISNUMBER(MATCH($B$2:$B$10000,$E$6:$E$22,0)),ROW($C$2:$C$10000)-ROW($C$2)+1),ROWS(M$20:M3076))))</f>
        <v/>
      </c>
      <c r="K3076" s="7" t="str">
        <f t="array" ref="K3076">IF(ROWS(K$20:K3076)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3076))))</f>
        <v/>
      </c>
      <c r="L3076" s="4" t="str">
        <f t="array" ref="L3076">IF(ROWS(L$20:L3076)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3076))))</f>
        <v/>
      </c>
      <c r="M3076" s="4" t="str">
        <f t="array" ref="M3076">IF(ROWS(M$20:M3076)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3076))))</f>
        <v/>
      </c>
    </row>
    <row r="3077" spans="1:13" x14ac:dyDescent="0.25">
      <c r="A3077" s="3">
        <v>41511</v>
      </c>
      <c r="B3077" s="2" t="s">
        <v>6</v>
      </c>
      <c r="C3077" s="2">
        <v>43</v>
      </c>
      <c r="G3077" s="7" t="str">
        <f t="array" ref="G3077">IF(ROWS(K$20:K3077)&gt;$F$6,"",INDEX(A$2:A$10000,SMALL(IF(ISNUMBER(MATCH($B$2:$B$10000,$E$6:$E$22,0)),ROW($C$2:$C$10000)-ROW($C$2)+1),ROWS(K$20:K3077))))</f>
        <v/>
      </c>
      <c r="H3077" s="4" t="str">
        <f t="array" ref="H3077">IF(ROWS(L$20:L3077)&gt;$F$6,"",INDEX(B$2:B$10000,SMALL(IF(ISNUMBER(MATCH($B$2:$B$10000,$E$6:$E$22,0)),ROW($C$2:$C$10000)-ROW($C$2)+1),ROWS(L$20:L3077))))</f>
        <v/>
      </c>
      <c r="I3077" s="4" t="str">
        <f t="array" ref="I3077">IF(ROWS(M$20:M3077)&gt;$F$6,"",INDEX(C$2:C$10000,SMALL(IF(ISNUMBER(MATCH($B$2:$B$10000,$E$6:$E$22,0)),ROW($C$2:$C$10000)-ROW($C$2)+1),ROWS(M$20:M3077))))</f>
        <v/>
      </c>
      <c r="K3077" s="7" t="str">
        <f t="array" ref="K3077">IF(ROWS(K$20:K3077)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3077))))</f>
        <v/>
      </c>
      <c r="L3077" s="4" t="str">
        <f t="array" ref="L3077">IF(ROWS(L$20:L3077)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3077))))</f>
        <v/>
      </c>
      <c r="M3077" s="4" t="str">
        <f t="array" ref="M3077">IF(ROWS(M$20:M3077)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3077))))</f>
        <v/>
      </c>
    </row>
    <row r="3078" spans="1:13" x14ac:dyDescent="0.25">
      <c r="A3078" s="3">
        <v>41863</v>
      </c>
      <c r="B3078" s="2" t="s">
        <v>45</v>
      </c>
      <c r="C3078" s="2">
        <v>41</v>
      </c>
      <c r="G3078" s="7" t="str">
        <f t="array" ref="G3078">IF(ROWS(K$20:K3078)&gt;$F$6,"",INDEX(A$2:A$10000,SMALL(IF(ISNUMBER(MATCH($B$2:$B$10000,$E$6:$E$22,0)),ROW($C$2:$C$10000)-ROW($C$2)+1),ROWS(K$20:K3078))))</f>
        <v/>
      </c>
      <c r="H3078" s="4" t="str">
        <f t="array" ref="H3078">IF(ROWS(L$20:L3078)&gt;$F$6,"",INDEX(B$2:B$10000,SMALL(IF(ISNUMBER(MATCH($B$2:$B$10000,$E$6:$E$22,0)),ROW($C$2:$C$10000)-ROW($C$2)+1),ROWS(L$20:L3078))))</f>
        <v/>
      </c>
      <c r="I3078" s="4" t="str">
        <f t="array" ref="I3078">IF(ROWS(M$20:M3078)&gt;$F$6,"",INDEX(C$2:C$10000,SMALL(IF(ISNUMBER(MATCH($B$2:$B$10000,$E$6:$E$22,0)),ROW($C$2:$C$10000)-ROW($C$2)+1),ROWS(M$20:M3078))))</f>
        <v/>
      </c>
      <c r="K3078" s="7" t="str">
        <f t="array" ref="K3078">IF(ROWS(K$20:K3078)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3078))))</f>
        <v/>
      </c>
      <c r="L3078" s="4" t="str">
        <f t="array" ref="L3078">IF(ROWS(L$20:L3078)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3078))))</f>
        <v/>
      </c>
      <c r="M3078" s="4" t="str">
        <f t="array" ref="M3078">IF(ROWS(M$20:M3078)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3078))))</f>
        <v/>
      </c>
    </row>
    <row r="3079" spans="1:13" x14ac:dyDescent="0.25">
      <c r="A3079" s="3">
        <v>41569</v>
      </c>
      <c r="B3079" s="2" t="s">
        <v>24</v>
      </c>
      <c r="C3079" s="2">
        <v>1</v>
      </c>
      <c r="G3079" s="7" t="str">
        <f t="array" ref="G3079">IF(ROWS(K$20:K3079)&gt;$F$6,"",INDEX(A$2:A$10000,SMALL(IF(ISNUMBER(MATCH($B$2:$B$10000,$E$6:$E$22,0)),ROW($C$2:$C$10000)-ROW($C$2)+1),ROWS(K$20:K3079))))</f>
        <v/>
      </c>
      <c r="H3079" s="4" t="str">
        <f t="array" ref="H3079">IF(ROWS(L$20:L3079)&gt;$F$6,"",INDEX(B$2:B$10000,SMALL(IF(ISNUMBER(MATCH($B$2:$B$10000,$E$6:$E$22,0)),ROW($C$2:$C$10000)-ROW($C$2)+1),ROWS(L$20:L3079))))</f>
        <v/>
      </c>
      <c r="I3079" s="4" t="str">
        <f t="array" ref="I3079">IF(ROWS(M$20:M3079)&gt;$F$6,"",INDEX(C$2:C$10000,SMALL(IF(ISNUMBER(MATCH($B$2:$B$10000,$E$6:$E$22,0)),ROW($C$2:$C$10000)-ROW($C$2)+1),ROWS(M$20:M3079))))</f>
        <v/>
      </c>
      <c r="K3079" s="7" t="str">
        <f t="array" ref="K3079">IF(ROWS(K$20:K3079)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3079))))</f>
        <v/>
      </c>
      <c r="L3079" s="4" t="str">
        <f t="array" ref="L3079">IF(ROWS(L$20:L3079)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3079))))</f>
        <v/>
      </c>
      <c r="M3079" s="4" t="str">
        <f t="array" ref="M3079">IF(ROWS(M$20:M3079)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3079))))</f>
        <v/>
      </c>
    </row>
    <row r="3080" spans="1:13" x14ac:dyDescent="0.25">
      <c r="A3080" s="3">
        <v>41345</v>
      </c>
      <c r="B3080" s="2" t="s">
        <v>21</v>
      </c>
      <c r="C3080" s="2">
        <v>15</v>
      </c>
      <c r="G3080" s="7" t="str">
        <f t="array" ref="G3080">IF(ROWS(K$20:K3080)&gt;$F$6,"",INDEX(A$2:A$10000,SMALL(IF(ISNUMBER(MATCH($B$2:$B$10000,$E$6:$E$22,0)),ROW($C$2:$C$10000)-ROW($C$2)+1),ROWS(K$20:K3080))))</f>
        <v/>
      </c>
      <c r="H3080" s="4" t="str">
        <f t="array" ref="H3080">IF(ROWS(L$20:L3080)&gt;$F$6,"",INDEX(B$2:B$10000,SMALL(IF(ISNUMBER(MATCH($B$2:$B$10000,$E$6:$E$22,0)),ROW($C$2:$C$10000)-ROW($C$2)+1),ROWS(L$20:L3080))))</f>
        <v/>
      </c>
      <c r="I3080" s="4" t="str">
        <f t="array" ref="I3080">IF(ROWS(M$20:M3080)&gt;$F$6,"",INDEX(C$2:C$10000,SMALL(IF(ISNUMBER(MATCH($B$2:$B$10000,$E$6:$E$22,0)),ROW($C$2:$C$10000)-ROW($C$2)+1),ROWS(M$20:M3080))))</f>
        <v/>
      </c>
      <c r="K3080" s="7" t="str">
        <f t="array" ref="K3080">IF(ROWS(K$20:K3080)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3080))))</f>
        <v/>
      </c>
      <c r="L3080" s="4" t="str">
        <f t="array" ref="L3080">IF(ROWS(L$20:L3080)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3080))))</f>
        <v/>
      </c>
      <c r="M3080" s="4" t="str">
        <f t="array" ref="M3080">IF(ROWS(M$20:M3080)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3080))))</f>
        <v/>
      </c>
    </row>
    <row r="3081" spans="1:13" x14ac:dyDescent="0.25">
      <c r="A3081" s="3">
        <v>41458</v>
      </c>
      <c r="B3081" s="2" t="s">
        <v>46</v>
      </c>
      <c r="C3081" s="2">
        <v>18</v>
      </c>
      <c r="G3081" s="7" t="str">
        <f t="array" ref="G3081">IF(ROWS(K$20:K3081)&gt;$F$6,"",INDEX(A$2:A$10000,SMALL(IF(ISNUMBER(MATCH($B$2:$B$10000,$E$6:$E$22,0)),ROW($C$2:$C$10000)-ROW($C$2)+1),ROWS(K$20:K3081))))</f>
        <v/>
      </c>
      <c r="H3081" s="4" t="str">
        <f t="array" ref="H3081">IF(ROWS(L$20:L3081)&gt;$F$6,"",INDEX(B$2:B$10000,SMALL(IF(ISNUMBER(MATCH($B$2:$B$10000,$E$6:$E$22,0)),ROW($C$2:$C$10000)-ROW($C$2)+1),ROWS(L$20:L3081))))</f>
        <v/>
      </c>
      <c r="I3081" s="4" t="str">
        <f t="array" ref="I3081">IF(ROWS(M$20:M3081)&gt;$F$6,"",INDEX(C$2:C$10000,SMALL(IF(ISNUMBER(MATCH($B$2:$B$10000,$E$6:$E$22,0)),ROW($C$2:$C$10000)-ROW($C$2)+1),ROWS(M$20:M3081))))</f>
        <v/>
      </c>
      <c r="K3081" s="7" t="str">
        <f t="array" ref="K3081">IF(ROWS(K$20:K3081)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3081))))</f>
        <v/>
      </c>
      <c r="L3081" s="4" t="str">
        <f t="array" ref="L3081">IF(ROWS(L$20:L3081)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3081))))</f>
        <v/>
      </c>
      <c r="M3081" s="4" t="str">
        <f t="array" ref="M3081">IF(ROWS(M$20:M3081)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3081))))</f>
        <v/>
      </c>
    </row>
    <row r="3082" spans="1:13" x14ac:dyDescent="0.25">
      <c r="A3082" s="3">
        <v>41283</v>
      </c>
      <c r="B3082" s="2" t="s">
        <v>49</v>
      </c>
      <c r="C3082" s="2">
        <v>6</v>
      </c>
      <c r="G3082" s="7" t="str">
        <f t="array" ref="G3082">IF(ROWS(K$20:K3082)&gt;$F$6,"",INDEX(A$2:A$10000,SMALL(IF(ISNUMBER(MATCH($B$2:$B$10000,$E$6:$E$22,0)),ROW($C$2:$C$10000)-ROW($C$2)+1),ROWS(K$20:K3082))))</f>
        <v/>
      </c>
      <c r="H3082" s="4" t="str">
        <f t="array" ref="H3082">IF(ROWS(L$20:L3082)&gt;$F$6,"",INDEX(B$2:B$10000,SMALL(IF(ISNUMBER(MATCH($B$2:$B$10000,$E$6:$E$22,0)),ROW($C$2:$C$10000)-ROW($C$2)+1),ROWS(L$20:L3082))))</f>
        <v/>
      </c>
      <c r="I3082" s="4" t="str">
        <f t="array" ref="I3082">IF(ROWS(M$20:M3082)&gt;$F$6,"",INDEX(C$2:C$10000,SMALL(IF(ISNUMBER(MATCH($B$2:$B$10000,$E$6:$E$22,0)),ROW($C$2:$C$10000)-ROW($C$2)+1),ROWS(M$20:M3082))))</f>
        <v/>
      </c>
      <c r="K3082" s="7" t="str">
        <f t="array" ref="K3082">IF(ROWS(K$20:K3082)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3082))))</f>
        <v/>
      </c>
      <c r="L3082" s="4" t="str">
        <f t="array" ref="L3082">IF(ROWS(L$20:L3082)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3082))))</f>
        <v/>
      </c>
      <c r="M3082" s="4" t="str">
        <f t="array" ref="M3082">IF(ROWS(M$20:M3082)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3082))))</f>
        <v/>
      </c>
    </row>
    <row r="3083" spans="1:13" x14ac:dyDescent="0.25">
      <c r="A3083" s="3">
        <v>41291</v>
      </c>
      <c r="B3083" s="2" t="s">
        <v>48</v>
      </c>
      <c r="C3083" s="2">
        <v>31</v>
      </c>
      <c r="G3083" s="7" t="str">
        <f t="array" ref="G3083">IF(ROWS(K$20:K3083)&gt;$F$6,"",INDEX(A$2:A$10000,SMALL(IF(ISNUMBER(MATCH($B$2:$B$10000,$E$6:$E$22,0)),ROW($C$2:$C$10000)-ROW($C$2)+1),ROWS(K$20:K3083))))</f>
        <v/>
      </c>
      <c r="H3083" s="4" t="str">
        <f t="array" ref="H3083">IF(ROWS(L$20:L3083)&gt;$F$6,"",INDEX(B$2:B$10000,SMALL(IF(ISNUMBER(MATCH($B$2:$B$10000,$E$6:$E$22,0)),ROW($C$2:$C$10000)-ROW($C$2)+1),ROWS(L$20:L3083))))</f>
        <v/>
      </c>
      <c r="I3083" s="4" t="str">
        <f t="array" ref="I3083">IF(ROWS(M$20:M3083)&gt;$F$6,"",INDEX(C$2:C$10000,SMALL(IF(ISNUMBER(MATCH($B$2:$B$10000,$E$6:$E$22,0)),ROW($C$2:$C$10000)-ROW($C$2)+1),ROWS(M$20:M3083))))</f>
        <v/>
      </c>
      <c r="K3083" s="7" t="str">
        <f t="array" ref="K3083">IF(ROWS(K$20:K3083)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3083))))</f>
        <v/>
      </c>
      <c r="L3083" s="4" t="str">
        <f t="array" ref="L3083">IF(ROWS(L$20:L3083)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3083))))</f>
        <v/>
      </c>
      <c r="M3083" s="4" t="str">
        <f t="array" ref="M3083">IF(ROWS(M$20:M3083)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3083))))</f>
        <v/>
      </c>
    </row>
    <row r="3084" spans="1:13" x14ac:dyDescent="0.25">
      <c r="A3084" s="3">
        <v>41909</v>
      </c>
      <c r="B3084" s="2" t="s">
        <v>38</v>
      </c>
      <c r="C3084" s="2">
        <v>18</v>
      </c>
      <c r="G3084" s="7" t="str">
        <f t="array" ref="G3084">IF(ROWS(K$20:K3084)&gt;$F$6,"",INDEX(A$2:A$10000,SMALL(IF(ISNUMBER(MATCH($B$2:$B$10000,$E$6:$E$22,0)),ROW($C$2:$C$10000)-ROW($C$2)+1),ROWS(K$20:K3084))))</f>
        <v/>
      </c>
      <c r="H3084" s="4" t="str">
        <f t="array" ref="H3084">IF(ROWS(L$20:L3084)&gt;$F$6,"",INDEX(B$2:B$10000,SMALL(IF(ISNUMBER(MATCH($B$2:$B$10000,$E$6:$E$22,0)),ROW($C$2:$C$10000)-ROW($C$2)+1),ROWS(L$20:L3084))))</f>
        <v/>
      </c>
      <c r="I3084" s="4" t="str">
        <f t="array" ref="I3084">IF(ROWS(M$20:M3084)&gt;$F$6,"",INDEX(C$2:C$10000,SMALL(IF(ISNUMBER(MATCH($B$2:$B$10000,$E$6:$E$22,0)),ROW($C$2:$C$10000)-ROW($C$2)+1),ROWS(M$20:M3084))))</f>
        <v/>
      </c>
      <c r="K3084" s="7" t="str">
        <f t="array" ref="K3084">IF(ROWS(K$20:K3084)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3084))))</f>
        <v/>
      </c>
      <c r="L3084" s="4" t="str">
        <f t="array" ref="L3084">IF(ROWS(L$20:L3084)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3084))))</f>
        <v/>
      </c>
      <c r="M3084" s="4" t="str">
        <f t="array" ref="M3084">IF(ROWS(M$20:M3084)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3084))))</f>
        <v/>
      </c>
    </row>
    <row r="3085" spans="1:13" x14ac:dyDescent="0.25">
      <c r="A3085" s="3">
        <v>41549</v>
      </c>
      <c r="B3085" s="2" t="s">
        <v>14</v>
      </c>
      <c r="C3085" s="2">
        <v>4</v>
      </c>
      <c r="G3085" s="7" t="str">
        <f t="array" ref="G3085">IF(ROWS(K$20:K3085)&gt;$F$6,"",INDEX(A$2:A$10000,SMALL(IF(ISNUMBER(MATCH($B$2:$B$10000,$E$6:$E$22,0)),ROW($C$2:$C$10000)-ROW($C$2)+1),ROWS(K$20:K3085))))</f>
        <v/>
      </c>
      <c r="H3085" s="4" t="str">
        <f t="array" ref="H3085">IF(ROWS(L$20:L3085)&gt;$F$6,"",INDEX(B$2:B$10000,SMALL(IF(ISNUMBER(MATCH($B$2:$B$10000,$E$6:$E$22,0)),ROW($C$2:$C$10000)-ROW($C$2)+1),ROWS(L$20:L3085))))</f>
        <v/>
      </c>
      <c r="I3085" s="4" t="str">
        <f t="array" ref="I3085">IF(ROWS(M$20:M3085)&gt;$F$6,"",INDEX(C$2:C$10000,SMALL(IF(ISNUMBER(MATCH($B$2:$B$10000,$E$6:$E$22,0)),ROW($C$2:$C$10000)-ROW($C$2)+1),ROWS(M$20:M3085))))</f>
        <v/>
      </c>
      <c r="K3085" s="7" t="str">
        <f t="array" ref="K3085">IF(ROWS(K$20:K3085)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3085))))</f>
        <v/>
      </c>
      <c r="L3085" s="4" t="str">
        <f t="array" ref="L3085">IF(ROWS(L$20:L3085)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3085))))</f>
        <v/>
      </c>
      <c r="M3085" s="4" t="str">
        <f t="array" ref="M3085">IF(ROWS(M$20:M3085)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3085))))</f>
        <v/>
      </c>
    </row>
    <row r="3086" spans="1:13" x14ac:dyDescent="0.25">
      <c r="A3086" s="3">
        <v>41550</v>
      </c>
      <c r="B3086" s="2" t="s">
        <v>37</v>
      </c>
      <c r="C3086" s="2">
        <v>29</v>
      </c>
      <c r="G3086" s="7" t="str">
        <f t="array" ref="G3086">IF(ROWS(K$20:K3086)&gt;$F$6,"",INDEX(A$2:A$10000,SMALL(IF(ISNUMBER(MATCH($B$2:$B$10000,$E$6:$E$22,0)),ROW($C$2:$C$10000)-ROW($C$2)+1),ROWS(K$20:K3086))))</f>
        <v/>
      </c>
      <c r="H3086" s="4" t="str">
        <f t="array" ref="H3086">IF(ROWS(L$20:L3086)&gt;$F$6,"",INDEX(B$2:B$10000,SMALL(IF(ISNUMBER(MATCH($B$2:$B$10000,$E$6:$E$22,0)),ROW($C$2:$C$10000)-ROW($C$2)+1),ROWS(L$20:L3086))))</f>
        <v/>
      </c>
      <c r="I3086" s="4" t="str">
        <f t="array" ref="I3086">IF(ROWS(M$20:M3086)&gt;$F$6,"",INDEX(C$2:C$10000,SMALL(IF(ISNUMBER(MATCH($B$2:$B$10000,$E$6:$E$22,0)),ROW($C$2:$C$10000)-ROW($C$2)+1),ROWS(M$20:M3086))))</f>
        <v/>
      </c>
      <c r="K3086" s="7" t="str">
        <f t="array" ref="K3086">IF(ROWS(K$20:K3086)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3086))))</f>
        <v/>
      </c>
      <c r="L3086" s="4" t="str">
        <f t="array" ref="L3086">IF(ROWS(L$20:L3086)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3086))))</f>
        <v/>
      </c>
      <c r="M3086" s="4" t="str">
        <f t="array" ref="M3086">IF(ROWS(M$20:M3086)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3086))))</f>
        <v/>
      </c>
    </row>
    <row r="3087" spans="1:13" x14ac:dyDescent="0.25">
      <c r="A3087" s="3">
        <v>41884</v>
      </c>
      <c r="B3087" s="2" t="s">
        <v>48</v>
      </c>
      <c r="C3087" s="2">
        <v>46</v>
      </c>
      <c r="G3087" s="7" t="str">
        <f t="array" ref="G3087">IF(ROWS(K$20:K3087)&gt;$F$6,"",INDEX(A$2:A$10000,SMALL(IF(ISNUMBER(MATCH($B$2:$B$10000,$E$6:$E$22,0)),ROW($C$2:$C$10000)-ROW($C$2)+1),ROWS(K$20:K3087))))</f>
        <v/>
      </c>
      <c r="H3087" s="4" t="str">
        <f t="array" ref="H3087">IF(ROWS(L$20:L3087)&gt;$F$6,"",INDEX(B$2:B$10000,SMALL(IF(ISNUMBER(MATCH($B$2:$B$10000,$E$6:$E$22,0)),ROW($C$2:$C$10000)-ROW($C$2)+1),ROWS(L$20:L3087))))</f>
        <v/>
      </c>
      <c r="I3087" s="4" t="str">
        <f t="array" ref="I3087">IF(ROWS(M$20:M3087)&gt;$F$6,"",INDEX(C$2:C$10000,SMALL(IF(ISNUMBER(MATCH($B$2:$B$10000,$E$6:$E$22,0)),ROW($C$2:$C$10000)-ROW($C$2)+1),ROWS(M$20:M3087))))</f>
        <v/>
      </c>
      <c r="K3087" s="7" t="str">
        <f t="array" ref="K3087">IF(ROWS(K$20:K3087)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3087))))</f>
        <v/>
      </c>
      <c r="L3087" s="4" t="str">
        <f t="array" ref="L3087">IF(ROWS(L$20:L3087)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3087))))</f>
        <v/>
      </c>
      <c r="M3087" s="4" t="str">
        <f t="array" ref="M3087">IF(ROWS(M$20:M3087)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3087))))</f>
        <v/>
      </c>
    </row>
    <row r="3088" spans="1:13" x14ac:dyDescent="0.25">
      <c r="A3088" s="3">
        <v>41639</v>
      </c>
      <c r="B3088" s="2" t="s">
        <v>51</v>
      </c>
      <c r="C3088" s="2">
        <v>4</v>
      </c>
      <c r="G3088" s="7" t="str">
        <f t="array" ref="G3088">IF(ROWS(K$20:K3088)&gt;$F$6,"",INDEX(A$2:A$10000,SMALL(IF(ISNUMBER(MATCH($B$2:$B$10000,$E$6:$E$22,0)),ROW($C$2:$C$10000)-ROW($C$2)+1),ROWS(K$20:K3088))))</f>
        <v/>
      </c>
      <c r="H3088" s="4" t="str">
        <f t="array" ref="H3088">IF(ROWS(L$20:L3088)&gt;$F$6,"",INDEX(B$2:B$10000,SMALL(IF(ISNUMBER(MATCH($B$2:$B$10000,$E$6:$E$22,0)),ROW($C$2:$C$10000)-ROW($C$2)+1),ROWS(L$20:L3088))))</f>
        <v/>
      </c>
      <c r="I3088" s="4" t="str">
        <f t="array" ref="I3088">IF(ROWS(M$20:M3088)&gt;$F$6,"",INDEX(C$2:C$10000,SMALL(IF(ISNUMBER(MATCH($B$2:$B$10000,$E$6:$E$22,0)),ROW($C$2:$C$10000)-ROW($C$2)+1),ROWS(M$20:M3088))))</f>
        <v/>
      </c>
      <c r="K3088" s="7" t="str">
        <f t="array" ref="K3088">IF(ROWS(K$20:K3088)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3088))))</f>
        <v/>
      </c>
      <c r="L3088" s="4" t="str">
        <f t="array" ref="L3088">IF(ROWS(L$20:L3088)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3088))))</f>
        <v/>
      </c>
      <c r="M3088" s="4" t="str">
        <f t="array" ref="M3088">IF(ROWS(M$20:M3088)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3088))))</f>
        <v/>
      </c>
    </row>
    <row r="3089" spans="1:13" x14ac:dyDescent="0.25">
      <c r="A3089" s="3">
        <v>41513</v>
      </c>
      <c r="B3089" s="2" t="s">
        <v>10</v>
      </c>
      <c r="C3089" s="2">
        <v>11</v>
      </c>
      <c r="G3089" s="7" t="str">
        <f t="array" ref="G3089">IF(ROWS(K$20:K3089)&gt;$F$6,"",INDEX(A$2:A$10000,SMALL(IF(ISNUMBER(MATCH($B$2:$B$10000,$E$6:$E$22,0)),ROW($C$2:$C$10000)-ROW($C$2)+1),ROWS(K$20:K3089))))</f>
        <v/>
      </c>
      <c r="H3089" s="4" t="str">
        <f t="array" ref="H3089">IF(ROWS(L$20:L3089)&gt;$F$6,"",INDEX(B$2:B$10000,SMALL(IF(ISNUMBER(MATCH($B$2:$B$10000,$E$6:$E$22,0)),ROW($C$2:$C$10000)-ROW($C$2)+1),ROWS(L$20:L3089))))</f>
        <v/>
      </c>
      <c r="I3089" s="4" t="str">
        <f t="array" ref="I3089">IF(ROWS(M$20:M3089)&gt;$F$6,"",INDEX(C$2:C$10000,SMALL(IF(ISNUMBER(MATCH($B$2:$B$10000,$E$6:$E$22,0)),ROW($C$2:$C$10000)-ROW($C$2)+1),ROWS(M$20:M3089))))</f>
        <v/>
      </c>
      <c r="K3089" s="7" t="str">
        <f t="array" ref="K3089">IF(ROWS(K$20:K3089)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3089))))</f>
        <v/>
      </c>
      <c r="L3089" s="4" t="str">
        <f t="array" ref="L3089">IF(ROWS(L$20:L3089)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3089))))</f>
        <v/>
      </c>
      <c r="M3089" s="4" t="str">
        <f t="array" ref="M3089">IF(ROWS(M$20:M3089)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3089))))</f>
        <v/>
      </c>
    </row>
    <row r="3090" spans="1:13" x14ac:dyDescent="0.25">
      <c r="A3090" s="3">
        <v>41514</v>
      </c>
      <c r="B3090" s="2" t="s">
        <v>46</v>
      </c>
      <c r="C3090" s="2">
        <v>9</v>
      </c>
      <c r="G3090" s="7" t="str">
        <f t="array" ref="G3090">IF(ROWS(K$20:K3090)&gt;$F$6,"",INDEX(A$2:A$10000,SMALL(IF(ISNUMBER(MATCH($B$2:$B$10000,$E$6:$E$22,0)),ROW($C$2:$C$10000)-ROW($C$2)+1),ROWS(K$20:K3090))))</f>
        <v/>
      </c>
      <c r="H3090" s="4" t="str">
        <f t="array" ref="H3090">IF(ROWS(L$20:L3090)&gt;$F$6,"",INDEX(B$2:B$10000,SMALL(IF(ISNUMBER(MATCH($B$2:$B$10000,$E$6:$E$22,0)),ROW($C$2:$C$10000)-ROW($C$2)+1),ROWS(L$20:L3090))))</f>
        <v/>
      </c>
      <c r="I3090" s="4" t="str">
        <f t="array" ref="I3090">IF(ROWS(M$20:M3090)&gt;$F$6,"",INDEX(C$2:C$10000,SMALL(IF(ISNUMBER(MATCH($B$2:$B$10000,$E$6:$E$22,0)),ROW($C$2:$C$10000)-ROW($C$2)+1),ROWS(M$20:M3090))))</f>
        <v/>
      </c>
      <c r="K3090" s="7" t="str">
        <f t="array" ref="K3090">IF(ROWS(K$20:K3090)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3090))))</f>
        <v/>
      </c>
      <c r="L3090" s="4" t="str">
        <f t="array" ref="L3090">IF(ROWS(L$20:L3090)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3090))))</f>
        <v/>
      </c>
      <c r="M3090" s="4" t="str">
        <f t="array" ref="M3090">IF(ROWS(M$20:M3090)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3090))))</f>
        <v/>
      </c>
    </row>
    <row r="3091" spans="1:13" x14ac:dyDescent="0.25">
      <c r="A3091" s="3">
        <v>41428</v>
      </c>
      <c r="B3091" s="2" t="s">
        <v>24</v>
      </c>
      <c r="C3091" s="2">
        <v>38</v>
      </c>
      <c r="G3091" s="7" t="str">
        <f t="array" ref="G3091">IF(ROWS(K$20:K3091)&gt;$F$6,"",INDEX(A$2:A$10000,SMALL(IF(ISNUMBER(MATCH($B$2:$B$10000,$E$6:$E$22,0)),ROW($C$2:$C$10000)-ROW($C$2)+1),ROWS(K$20:K3091))))</f>
        <v/>
      </c>
      <c r="H3091" s="4" t="str">
        <f t="array" ref="H3091">IF(ROWS(L$20:L3091)&gt;$F$6,"",INDEX(B$2:B$10000,SMALL(IF(ISNUMBER(MATCH($B$2:$B$10000,$E$6:$E$22,0)),ROW($C$2:$C$10000)-ROW($C$2)+1),ROWS(L$20:L3091))))</f>
        <v/>
      </c>
      <c r="I3091" s="4" t="str">
        <f t="array" ref="I3091">IF(ROWS(M$20:M3091)&gt;$F$6,"",INDEX(C$2:C$10000,SMALL(IF(ISNUMBER(MATCH($B$2:$B$10000,$E$6:$E$22,0)),ROW($C$2:$C$10000)-ROW($C$2)+1),ROWS(M$20:M3091))))</f>
        <v/>
      </c>
      <c r="K3091" s="7" t="str">
        <f t="array" ref="K3091">IF(ROWS(K$20:K3091)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3091))))</f>
        <v/>
      </c>
      <c r="L3091" s="4" t="str">
        <f t="array" ref="L3091">IF(ROWS(L$20:L3091)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3091))))</f>
        <v/>
      </c>
      <c r="M3091" s="4" t="str">
        <f t="array" ref="M3091">IF(ROWS(M$20:M3091)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3091))))</f>
        <v/>
      </c>
    </row>
    <row r="3092" spans="1:13" x14ac:dyDescent="0.25">
      <c r="A3092" s="3">
        <v>41504</v>
      </c>
      <c r="B3092" s="2" t="s">
        <v>47</v>
      </c>
      <c r="C3092" s="2">
        <v>16</v>
      </c>
      <c r="G3092" s="7" t="str">
        <f t="array" ref="G3092">IF(ROWS(K$20:K3092)&gt;$F$6,"",INDEX(A$2:A$10000,SMALL(IF(ISNUMBER(MATCH($B$2:$B$10000,$E$6:$E$22,0)),ROW($C$2:$C$10000)-ROW($C$2)+1),ROWS(K$20:K3092))))</f>
        <v/>
      </c>
      <c r="H3092" s="4" t="str">
        <f t="array" ref="H3092">IF(ROWS(L$20:L3092)&gt;$F$6,"",INDEX(B$2:B$10000,SMALL(IF(ISNUMBER(MATCH($B$2:$B$10000,$E$6:$E$22,0)),ROW($C$2:$C$10000)-ROW($C$2)+1),ROWS(L$20:L3092))))</f>
        <v/>
      </c>
      <c r="I3092" s="4" t="str">
        <f t="array" ref="I3092">IF(ROWS(M$20:M3092)&gt;$F$6,"",INDEX(C$2:C$10000,SMALL(IF(ISNUMBER(MATCH($B$2:$B$10000,$E$6:$E$22,0)),ROW($C$2:$C$10000)-ROW($C$2)+1),ROWS(M$20:M3092))))</f>
        <v/>
      </c>
      <c r="K3092" s="7" t="str">
        <f t="array" ref="K3092">IF(ROWS(K$20:K3092)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3092))))</f>
        <v/>
      </c>
      <c r="L3092" s="4" t="str">
        <f t="array" ref="L3092">IF(ROWS(L$20:L3092)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3092))))</f>
        <v/>
      </c>
      <c r="M3092" s="4" t="str">
        <f t="array" ref="M3092">IF(ROWS(M$20:M3092)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3092))))</f>
        <v/>
      </c>
    </row>
    <row r="3093" spans="1:13" x14ac:dyDescent="0.25">
      <c r="A3093" s="3">
        <v>41561</v>
      </c>
      <c r="B3093" s="2" t="s">
        <v>13</v>
      </c>
      <c r="C3093" s="2">
        <v>8</v>
      </c>
      <c r="G3093" s="7" t="str">
        <f t="array" ref="G3093">IF(ROWS(K$20:K3093)&gt;$F$6,"",INDEX(A$2:A$10000,SMALL(IF(ISNUMBER(MATCH($B$2:$B$10000,$E$6:$E$22,0)),ROW($C$2:$C$10000)-ROW($C$2)+1),ROWS(K$20:K3093))))</f>
        <v/>
      </c>
      <c r="H3093" s="4" t="str">
        <f t="array" ref="H3093">IF(ROWS(L$20:L3093)&gt;$F$6,"",INDEX(B$2:B$10000,SMALL(IF(ISNUMBER(MATCH($B$2:$B$10000,$E$6:$E$22,0)),ROW($C$2:$C$10000)-ROW($C$2)+1),ROWS(L$20:L3093))))</f>
        <v/>
      </c>
      <c r="I3093" s="4" t="str">
        <f t="array" ref="I3093">IF(ROWS(M$20:M3093)&gt;$F$6,"",INDEX(C$2:C$10000,SMALL(IF(ISNUMBER(MATCH($B$2:$B$10000,$E$6:$E$22,0)),ROW($C$2:$C$10000)-ROW($C$2)+1),ROWS(M$20:M3093))))</f>
        <v/>
      </c>
      <c r="K3093" s="7" t="str">
        <f t="array" ref="K3093">IF(ROWS(K$20:K3093)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3093))))</f>
        <v/>
      </c>
      <c r="L3093" s="4" t="str">
        <f t="array" ref="L3093">IF(ROWS(L$20:L3093)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3093))))</f>
        <v/>
      </c>
      <c r="M3093" s="4" t="str">
        <f t="array" ref="M3093">IF(ROWS(M$20:M3093)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3093))))</f>
        <v/>
      </c>
    </row>
    <row r="3094" spans="1:13" x14ac:dyDescent="0.25">
      <c r="A3094" s="3">
        <v>41800</v>
      </c>
      <c r="B3094" s="2" t="s">
        <v>4</v>
      </c>
      <c r="C3094" s="2">
        <v>16</v>
      </c>
      <c r="G3094" s="7" t="str">
        <f t="array" ref="G3094">IF(ROWS(K$20:K3094)&gt;$F$6,"",INDEX(A$2:A$10000,SMALL(IF(ISNUMBER(MATCH($B$2:$B$10000,$E$6:$E$22,0)),ROW($C$2:$C$10000)-ROW($C$2)+1),ROWS(K$20:K3094))))</f>
        <v/>
      </c>
      <c r="H3094" s="4" t="str">
        <f t="array" ref="H3094">IF(ROWS(L$20:L3094)&gt;$F$6,"",INDEX(B$2:B$10000,SMALL(IF(ISNUMBER(MATCH($B$2:$B$10000,$E$6:$E$22,0)),ROW($C$2:$C$10000)-ROW($C$2)+1),ROWS(L$20:L3094))))</f>
        <v/>
      </c>
      <c r="I3094" s="4" t="str">
        <f t="array" ref="I3094">IF(ROWS(M$20:M3094)&gt;$F$6,"",INDEX(C$2:C$10000,SMALL(IF(ISNUMBER(MATCH($B$2:$B$10000,$E$6:$E$22,0)),ROW($C$2:$C$10000)-ROW($C$2)+1),ROWS(M$20:M3094))))</f>
        <v/>
      </c>
      <c r="K3094" s="7" t="str">
        <f t="array" ref="K3094">IF(ROWS(K$20:K3094)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3094))))</f>
        <v/>
      </c>
      <c r="L3094" s="4" t="str">
        <f t="array" ref="L3094">IF(ROWS(L$20:L3094)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3094))))</f>
        <v/>
      </c>
      <c r="M3094" s="4" t="str">
        <f t="array" ref="M3094">IF(ROWS(M$20:M3094)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3094))))</f>
        <v/>
      </c>
    </row>
    <row r="3095" spans="1:13" x14ac:dyDescent="0.25">
      <c r="A3095" s="3">
        <v>41882</v>
      </c>
      <c r="B3095" s="2" t="s">
        <v>35</v>
      </c>
      <c r="C3095" s="2">
        <v>4</v>
      </c>
      <c r="G3095" s="7" t="str">
        <f t="array" ref="G3095">IF(ROWS(K$20:K3095)&gt;$F$6,"",INDEX(A$2:A$10000,SMALL(IF(ISNUMBER(MATCH($B$2:$B$10000,$E$6:$E$22,0)),ROW($C$2:$C$10000)-ROW($C$2)+1),ROWS(K$20:K3095))))</f>
        <v/>
      </c>
      <c r="H3095" s="4" t="str">
        <f t="array" ref="H3095">IF(ROWS(L$20:L3095)&gt;$F$6,"",INDEX(B$2:B$10000,SMALL(IF(ISNUMBER(MATCH($B$2:$B$10000,$E$6:$E$22,0)),ROW($C$2:$C$10000)-ROW($C$2)+1),ROWS(L$20:L3095))))</f>
        <v/>
      </c>
      <c r="I3095" s="4" t="str">
        <f t="array" ref="I3095">IF(ROWS(M$20:M3095)&gt;$F$6,"",INDEX(C$2:C$10000,SMALL(IF(ISNUMBER(MATCH($B$2:$B$10000,$E$6:$E$22,0)),ROW($C$2:$C$10000)-ROW($C$2)+1),ROWS(M$20:M3095))))</f>
        <v/>
      </c>
      <c r="K3095" s="7" t="str">
        <f t="array" ref="K3095">IF(ROWS(K$20:K3095)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3095))))</f>
        <v/>
      </c>
      <c r="L3095" s="4" t="str">
        <f t="array" ref="L3095">IF(ROWS(L$20:L3095)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3095))))</f>
        <v/>
      </c>
      <c r="M3095" s="4" t="str">
        <f t="array" ref="M3095">IF(ROWS(M$20:M3095)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3095))))</f>
        <v/>
      </c>
    </row>
    <row r="3096" spans="1:13" x14ac:dyDescent="0.25">
      <c r="A3096" s="3">
        <v>41726</v>
      </c>
      <c r="B3096" s="2" t="s">
        <v>42</v>
      </c>
      <c r="C3096" s="2">
        <v>35</v>
      </c>
      <c r="G3096" s="7" t="str">
        <f t="array" ref="G3096">IF(ROWS(K$20:K3096)&gt;$F$6,"",INDEX(A$2:A$10000,SMALL(IF(ISNUMBER(MATCH($B$2:$B$10000,$E$6:$E$22,0)),ROW($C$2:$C$10000)-ROW($C$2)+1),ROWS(K$20:K3096))))</f>
        <v/>
      </c>
      <c r="H3096" s="4" t="str">
        <f t="array" ref="H3096">IF(ROWS(L$20:L3096)&gt;$F$6,"",INDEX(B$2:B$10000,SMALL(IF(ISNUMBER(MATCH($B$2:$B$10000,$E$6:$E$22,0)),ROW($C$2:$C$10000)-ROW($C$2)+1),ROWS(L$20:L3096))))</f>
        <v/>
      </c>
      <c r="I3096" s="4" t="str">
        <f t="array" ref="I3096">IF(ROWS(M$20:M3096)&gt;$F$6,"",INDEX(C$2:C$10000,SMALL(IF(ISNUMBER(MATCH($B$2:$B$10000,$E$6:$E$22,0)),ROW($C$2:$C$10000)-ROW($C$2)+1),ROWS(M$20:M3096))))</f>
        <v/>
      </c>
      <c r="K3096" s="7" t="str">
        <f t="array" ref="K3096">IF(ROWS(K$20:K3096)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3096))))</f>
        <v/>
      </c>
      <c r="L3096" s="4" t="str">
        <f t="array" ref="L3096">IF(ROWS(L$20:L3096)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3096))))</f>
        <v/>
      </c>
      <c r="M3096" s="4" t="str">
        <f t="array" ref="M3096">IF(ROWS(M$20:M3096)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3096))))</f>
        <v/>
      </c>
    </row>
    <row r="3097" spans="1:13" x14ac:dyDescent="0.25">
      <c r="A3097" s="3">
        <v>41316</v>
      </c>
      <c r="B3097" s="2" t="s">
        <v>20</v>
      </c>
      <c r="C3097" s="2">
        <v>40</v>
      </c>
      <c r="G3097" s="7" t="str">
        <f t="array" ref="G3097">IF(ROWS(K$20:K3097)&gt;$F$6,"",INDEX(A$2:A$10000,SMALL(IF(ISNUMBER(MATCH($B$2:$B$10000,$E$6:$E$22,0)),ROW($C$2:$C$10000)-ROW($C$2)+1),ROWS(K$20:K3097))))</f>
        <v/>
      </c>
      <c r="H3097" s="4" t="str">
        <f t="array" ref="H3097">IF(ROWS(L$20:L3097)&gt;$F$6,"",INDEX(B$2:B$10000,SMALL(IF(ISNUMBER(MATCH($B$2:$B$10000,$E$6:$E$22,0)),ROW($C$2:$C$10000)-ROW($C$2)+1),ROWS(L$20:L3097))))</f>
        <v/>
      </c>
      <c r="I3097" s="4" t="str">
        <f t="array" ref="I3097">IF(ROWS(M$20:M3097)&gt;$F$6,"",INDEX(C$2:C$10000,SMALL(IF(ISNUMBER(MATCH($B$2:$B$10000,$E$6:$E$22,0)),ROW($C$2:$C$10000)-ROW($C$2)+1),ROWS(M$20:M3097))))</f>
        <v/>
      </c>
      <c r="K3097" s="7" t="str">
        <f t="array" ref="K3097">IF(ROWS(K$20:K3097)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3097))))</f>
        <v/>
      </c>
      <c r="L3097" s="4" t="str">
        <f t="array" ref="L3097">IF(ROWS(L$20:L3097)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3097))))</f>
        <v/>
      </c>
      <c r="M3097" s="4" t="str">
        <f t="array" ref="M3097">IF(ROWS(M$20:M3097)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3097))))</f>
        <v/>
      </c>
    </row>
    <row r="3098" spans="1:13" x14ac:dyDescent="0.25">
      <c r="A3098" s="3">
        <v>41601</v>
      </c>
      <c r="B3098" s="2" t="s">
        <v>30</v>
      </c>
      <c r="C3098" s="2">
        <v>15</v>
      </c>
      <c r="G3098" s="7" t="str">
        <f t="array" ref="G3098">IF(ROWS(K$20:K3098)&gt;$F$6,"",INDEX(A$2:A$10000,SMALL(IF(ISNUMBER(MATCH($B$2:$B$10000,$E$6:$E$22,0)),ROW($C$2:$C$10000)-ROW($C$2)+1),ROWS(K$20:K3098))))</f>
        <v/>
      </c>
      <c r="H3098" s="4" t="str">
        <f t="array" ref="H3098">IF(ROWS(L$20:L3098)&gt;$F$6,"",INDEX(B$2:B$10000,SMALL(IF(ISNUMBER(MATCH($B$2:$B$10000,$E$6:$E$22,0)),ROW($C$2:$C$10000)-ROW($C$2)+1),ROWS(L$20:L3098))))</f>
        <v/>
      </c>
      <c r="I3098" s="4" t="str">
        <f t="array" ref="I3098">IF(ROWS(M$20:M3098)&gt;$F$6,"",INDEX(C$2:C$10000,SMALL(IF(ISNUMBER(MATCH($B$2:$B$10000,$E$6:$E$22,0)),ROW($C$2:$C$10000)-ROW($C$2)+1),ROWS(M$20:M3098))))</f>
        <v/>
      </c>
      <c r="K3098" s="7" t="str">
        <f t="array" ref="K3098">IF(ROWS(K$20:K3098)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3098))))</f>
        <v/>
      </c>
      <c r="L3098" s="4" t="str">
        <f t="array" ref="L3098">IF(ROWS(L$20:L3098)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3098))))</f>
        <v/>
      </c>
      <c r="M3098" s="4" t="str">
        <f t="array" ref="M3098">IF(ROWS(M$20:M3098)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3098))))</f>
        <v/>
      </c>
    </row>
    <row r="3099" spans="1:13" x14ac:dyDescent="0.25">
      <c r="A3099" s="3">
        <v>41376</v>
      </c>
      <c r="B3099" s="2" t="s">
        <v>35</v>
      </c>
      <c r="C3099" s="2">
        <v>35</v>
      </c>
      <c r="G3099" s="7" t="str">
        <f t="array" ref="G3099">IF(ROWS(K$20:K3099)&gt;$F$6,"",INDEX(A$2:A$10000,SMALL(IF(ISNUMBER(MATCH($B$2:$B$10000,$E$6:$E$22,0)),ROW($C$2:$C$10000)-ROW($C$2)+1),ROWS(K$20:K3099))))</f>
        <v/>
      </c>
      <c r="H3099" s="4" t="str">
        <f t="array" ref="H3099">IF(ROWS(L$20:L3099)&gt;$F$6,"",INDEX(B$2:B$10000,SMALL(IF(ISNUMBER(MATCH($B$2:$B$10000,$E$6:$E$22,0)),ROW($C$2:$C$10000)-ROW($C$2)+1),ROWS(L$20:L3099))))</f>
        <v/>
      </c>
      <c r="I3099" s="4" t="str">
        <f t="array" ref="I3099">IF(ROWS(M$20:M3099)&gt;$F$6,"",INDEX(C$2:C$10000,SMALL(IF(ISNUMBER(MATCH($B$2:$B$10000,$E$6:$E$22,0)),ROW($C$2:$C$10000)-ROW($C$2)+1),ROWS(M$20:M3099))))</f>
        <v/>
      </c>
      <c r="K3099" s="7" t="str">
        <f t="array" ref="K3099">IF(ROWS(K$20:K3099)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3099))))</f>
        <v/>
      </c>
      <c r="L3099" s="4" t="str">
        <f t="array" ref="L3099">IF(ROWS(L$20:L3099)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3099))))</f>
        <v/>
      </c>
      <c r="M3099" s="4" t="str">
        <f t="array" ref="M3099">IF(ROWS(M$20:M3099)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3099))))</f>
        <v/>
      </c>
    </row>
    <row r="3100" spans="1:13" x14ac:dyDescent="0.25">
      <c r="A3100" s="3">
        <v>41908</v>
      </c>
      <c r="B3100" s="2" t="s">
        <v>9</v>
      </c>
      <c r="C3100" s="2">
        <v>36</v>
      </c>
      <c r="G3100" s="7" t="str">
        <f t="array" ref="G3100">IF(ROWS(K$20:K3100)&gt;$F$6,"",INDEX(A$2:A$10000,SMALL(IF(ISNUMBER(MATCH($B$2:$B$10000,$E$6:$E$22,0)),ROW($C$2:$C$10000)-ROW($C$2)+1),ROWS(K$20:K3100))))</f>
        <v/>
      </c>
      <c r="H3100" s="4" t="str">
        <f t="array" ref="H3100">IF(ROWS(L$20:L3100)&gt;$F$6,"",INDEX(B$2:B$10000,SMALL(IF(ISNUMBER(MATCH($B$2:$B$10000,$E$6:$E$22,0)),ROW($C$2:$C$10000)-ROW($C$2)+1),ROWS(L$20:L3100))))</f>
        <v/>
      </c>
      <c r="I3100" s="4" t="str">
        <f t="array" ref="I3100">IF(ROWS(M$20:M3100)&gt;$F$6,"",INDEX(C$2:C$10000,SMALL(IF(ISNUMBER(MATCH($B$2:$B$10000,$E$6:$E$22,0)),ROW($C$2:$C$10000)-ROW($C$2)+1),ROWS(M$20:M3100))))</f>
        <v/>
      </c>
      <c r="K3100" s="7" t="str">
        <f t="array" ref="K3100">IF(ROWS(K$20:K3100)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3100))))</f>
        <v/>
      </c>
      <c r="L3100" s="4" t="str">
        <f t="array" ref="L3100">IF(ROWS(L$20:L3100)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3100))))</f>
        <v/>
      </c>
      <c r="M3100" s="4" t="str">
        <f t="array" ref="M3100">IF(ROWS(M$20:M3100)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3100))))</f>
        <v/>
      </c>
    </row>
    <row r="3101" spans="1:13" x14ac:dyDescent="0.25">
      <c r="A3101" s="3">
        <v>41770</v>
      </c>
      <c r="B3101" s="2" t="s">
        <v>44</v>
      </c>
      <c r="C3101" s="2">
        <v>15</v>
      </c>
      <c r="G3101" s="7" t="str">
        <f t="array" ref="G3101">IF(ROWS(K$20:K3101)&gt;$F$6,"",INDEX(A$2:A$10000,SMALL(IF(ISNUMBER(MATCH($B$2:$B$10000,$E$6:$E$22,0)),ROW($C$2:$C$10000)-ROW($C$2)+1),ROWS(K$20:K3101))))</f>
        <v/>
      </c>
      <c r="H3101" s="4" t="str">
        <f t="array" ref="H3101">IF(ROWS(L$20:L3101)&gt;$F$6,"",INDEX(B$2:B$10000,SMALL(IF(ISNUMBER(MATCH($B$2:$B$10000,$E$6:$E$22,0)),ROW($C$2:$C$10000)-ROW($C$2)+1),ROWS(L$20:L3101))))</f>
        <v/>
      </c>
      <c r="I3101" s="4" t="str">
        <f t="array" ref="I3101">IF(ROWS(M$20:M3101)&gt;$F$6,"",INDEX(C$2:C$10000,SMALL(IF(ISNUMBER(MATCH($B$2:$B$10000,$E$6:$E$22,0)),ROW($C$2:$C$10000)-ROW($C$2)+1),ROWS(M$20:M3101))))</f>
        <v/>
      </c>
      <c r="K3101" s="7" t="str">
        <f t="array" ref="K3101">IF(ROWS(K$20:K3101)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3101))))</f>
        <v/>
      </c>
      <c r="L3101" s="4" t="str">
        <f t="array" ref="L3101">IF(ROWS(L$20:L3101)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3101))))</f>
        <v/>
      </c>
      <c r="M3101" s="4" t="str">
        <f t="array" ref="M3101">IF(ROWS(M$20:M3101)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3101))))</f>
        <v/>
      </c>
    </row>
    <row r="3102" spans="1:13" x14ac:dyDescent="0.25">
      <c r="A3102" s="3">
        <v>41414</v>
      </c>
      <c r="B3102" s="2" t="s">
        <v>42</v>
      </c>
      <c r="C3102" s="2">
        <v>9</v>
      </c>
      <c r="G3102" s="7" t="str">
        <f t="array" ref="G3102">IF(ROWS(K$20:K3102)&gt;$F$6,"",INDEX(A$2:A$10000,SMALL(IF(ISNUMBER(MATCH($B$2:$B$10000,$E$6:$E$22,0)),ROW($C$2:$C$10000)-ROW($C$2)+1),ROWS(K$20:K3102))))</f>
        <v/>
      </c>
      <c r="H3102" s="4" t="str">
        <f t="array" ref="H3102">IF(ROWS(L$20:L3102)&gt;$F$6,"",INDEX(B$2:B$10000,SMALL(IF(ISNUMBER(MATCH($B$2:$B$10000,$E$6:$E$22,0)),ROW($C$2:$C$10000)-ROW($C$2)+1),ROWS(L$20:L3102))))</f>
        <v/>
      </c>
      <c r="I3102" s="4" t="str">
        <f t="array" ref="I3102">IF(ROWS(M$20:M3102)&gt;$F$6,"",INDEX(C$2:C$10000,SMALL(IF(ISNUMBER(MATCH($B$2:$B$10000,$E$6:$E$22,0)),ROW($C$2:$C$10000)-ROW($C$2)+1),ROWS(M$20:M3102))))</f>
        <v/>
      </c>
      <c r="K3102" s="7" t="str">
        <f t="array" ref="K3102">IF(ROWS(K$20:K3102)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3102))))</f>
        <v/>
      </c>
      <c r="L3102" s="4" t="str">
        <f t="array" ref="L3102">IF(ROWS(L$20:L3102)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3102))))</f>
        <v/>
      </c>
      <c r="M3102" s="4" t="str">
        <f t="array" ref="M3102">IF(ROWS(M$20:M3102)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3102))))</f>
        <v/>
      </c>
    </row>
    <row r="3103" spans="1:13" x14ac:dyDescent="0.25">
      <c r="A3103" s="3">
        <v>41870</v>
      </c>
      <c r="B3103" s="2" t="s">
        <v>6</v>
      </c>
      <c r="C3103" s="2">
        <v>26</v>
      </c>
      <c r="G3103" s="7" t="str">
        <f t="array" ref="G3103">IF(ROWS(K$20:K3103)&gt;$F$6,"",INDEX(A$2:A$10000,SMALL(IF(ISNUMBER(MATCH($B$2:$B$10000,$E$6:$E$22,0)),ROW($C$2:$C$10000)-ROW($C$2)+1),ROWS(K$20:K3103))))</f>
        <v/>
      </c>
      <c r="H3103" s="4" t="str">
        <f t="array" ref="H3103">IF(ROWS(L$20:L3103)&gt;$F$6,"",INDEX(B$2:B$10000,SMALL(IF(ISNUMBER(MATCH($B$2:$B$10000,$E$6:$E$22,0)),ROW($C$2:$C$10000)-ROW($C$2)+1),ROWS(L$20:L3103))))</f>
        <v/>
      </c>
      <c r="I3103" s="4" t="str">
        <f t="array" ref="I3103">IF(ROWS(M$20:M3103)&gt;$F$6,"",INDEX(C$2:C$10000,SMALL(IF(ISNUMBER(MATCH($B$2:$B$10000,$E$6:$E$22,0)),ROW($C$2:$C$10000)-ROW($C$2)+1),ROWS(M$20:M3103))))</f>
        <v/>
      </c>
      <c r="K3103" s="7" t="str">
        <f t="array" ref="K3103">IF(ROWS(K$20:K3103)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3103))))</f>
        <v/>
      </c>
      <c r="L3103" s="4" t="str">
        <f t="array" ref="L3103">IF(ROWS(L$20:L3103)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3103))))</f>
        <v/>
      </c>
      <c r="M3103" s="4" t="str">
        <f t="array" ref="M3103">IF(ROWS(M$20:M3103)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3103))))</f>
        <v/>
      </c>
    </row>
    <row r="3104" spans="1:13" x14ac:dyDescent="0.25">
      <c r="A3104" s="3">
        <v>41727</v>
      </c>
      <c r="B3104" s="2" t="s">
        <v>50</v>
      </c>
      <c r="C3104" s="2">
        <v>34</v>
      </c>
      <c r="G3104" s="7" t="str">
        <f t="array" ref="G3104">IF(ROWS(K$20:K3104)&gt;$F$6,"",INDEX(A$2:A$10000,SMALL(IF(ISNUMBER(MATCH($B$2:$B$10000,$E$6:$E$22,0)),ROW($C$2:$C$10000)-ROW($C$2)+1),ROWS(K$20:K3104))))</f>
        <v/>
      </c>
      <c r="H3104" s="4" t="str">
        <f t="array" ref="H3104">IF(ROWS(L$20:L3104)&gt;$F$6,"",INDEX(B$2:B$10000,SMALL(IF(ISNUMBER(MATCH($B$2:$B$10000,$E$6:$E$22,0)),ROW($C$2:$C$10000)-ROW($C$2)+1),ROWS(L$20:L3104))))</f>
        <v/>
      </c>
      <c r="I3104" s="4" t="str">
        <f t="array" ref="I3104">IF(ROWS(M$20:M3104)&gt;$F$6,"",INDEX(C$2:C$10000,SMALL(IF(ISNUMBER(MATCH($B$2:$B$10000,$E$6:$E$22,0)),ROW($C$2:$C$10000)-ROW($C$2)+1),ROWS(M$20:M3104))))</f>
        <v/>
      </c>
      <c r="K3104" s="7" t="str">
        <f t="array" ref="K3104">IF(ROWS(K$20:K3104)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3104))))</f>
        <v/>
      </c>
      <c r="L3104" s="4" t="str">
        <f t="array" ref="L3104">IF(ROWS(L$20:L3104)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3104))))</f>
        <v/>
      </c>
      <c r="M3104" s="4" t="str">
        <f t="array" ref="M3104">IF(ROWS(M$20:M3104)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3104))))</f>
        <v/>
      </c>
    </row>
    <row r="3105" spans="1:13" x14ac:dyDescent="0.25">
      <c r="A3105" s="3">
        <v>41986</v>
      </c>
      <c r="B3105" s="2" t="s">
        <v>38</v>
      </c>
      <c r="C3105" s="2">
        <v>15</v>
      </c>
      <c r="G3105" s="7" t="str">
        <f t="array" ref="G3105">IF(ROWS(K$20:K3105)&gt;$F$6,"",INDEX(A$2:A$10000,SMALL(IF(ISNUMBER(MATCH($B$2:$B$10000,$E$6:$E$22,0)),ROW($C$2:$C$10000)-ROW($C$2)+1),ROWS(K$20:K3105))))</f>
        <v/>
      </c>
      <c r="H3105" s="4" t="str">
        <f t="array" ref="H3105">IF(ROWS(L$20:L3105)&gt;$F$6,"",INDEX(B$2:B$10000,SMALL(IF(ISNUMBER(MATCH($B$2:$B$10000,$E$6:$E$22,0)),ROW($C$2:$C$10000)-ROW($C$2)+1),ROWS(L$20:L3105))))</f>
        <v/>
      </c>
      <c r="I3105" s="4" t="str">
        <f t="array" ref="I3105">IF(ROWS(M$20:M3105)&gt;$F$6,"",INDEX(C$2:C$10000,SMALL(IF(ISNUMBER(MATCH($B$2:$B$10000,$E$6:$E$22,0)),ROW($C$2:$C$10000)-ROW($C$2)+1),ROWS(M$20:M3105))))</f>
        <v/>
      </c>
      <c r="K3105" s="7" t="str">
        <f t="array" ref="K3105">IF(ROWS(K$20:K3105)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3105))))</f>
        <v/>
      </c>
      <c r="L3105" s="4" t="str">
        <f t="array" ref="L3105">IF(ROWS(L$20:L3105)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3105))))</f>
        <v/>
      </c>
      <c r="M3105" s="4" t="str">
        <f t="array" ref="M3105">IF(ROWS(M$20:M3105)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3105))))</f>
        <v/>
      </c>
    </row>
    <row r="3106" spans="1:13" x14ac:dyDescent="0.25">
      <c r="A3106" s="3">
        <v>41737</v>
      </c>
      <c r="B3106" s="2" t="s">
        <v>39</v>
      </c>
      <c r="C3106" s="2">
        <v>29</v>
      </c>
      <c r="G3106" s="7" t="str">
        <f t="array" ref="G3106">IF(ROWS(K$20:K3106)&gt;$F$6,"",INDEX(A$2:A$10000,SMALL(IF(ISNUMBER(MATCH($B$2:$B$10000,$E$6:$E$22,0)),ROW($C$2:$C$10000)-ROW($C$2)+1),ROWS(K$20:K3106))))</f>
        <v/>
      </c>
      <c r="H3106" s="4" t="str">
        <f t="array" ref="H3106">IF(ROWS(L$20:L3106)&gt;$F$6,"",INDEX(B$2:B$10000,SMALL(IF(ISNUMBER(MATCH($B$2:$B$10000,$E$6:$E$22,0)),ROW($C$2:$C$10000)-ROW($C$2)+1),ROWS(L$20:L3106))))</f>
        <v/>
      </c>
      <c r="I3106" s="4" t="str">
        <f t="array" ref="I3106">IF(ROWS(M$20:M3106)&gt;$F$6,"",INDEX(C$2:C$10000,SMALL(IF(ISNUMBER(MATCH($B$2:$B$10000,$E$6:$E$22,0)),ROW($C$2:$C$10000)-ROW($C$2)+1),ROWS(M$20:M3106))))</f>
        <v/>
      </c>
      <c r="K3106" s="7" t="str">
        <f t="array" ref="K3106">IF(ROWS(K$20:K3106)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3106))))</f>
        <v/>
      </c>
      <c r="L3106" s="4" t="str">
        <f t="array" ref="L3106">IF(ROWS(L$20:L3106)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3106))))</f>
        <v/>
      </c>
      <c r="M3106" s="4" t="str">
        <f t="array" ref="M3106">IF(ROWS(M$20:M3106)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3106))))</f>
        <v/>
      </c>
    </row>
    <row r="3107" spans="1:13" x14ac:dyDescent="0.25">
      <c r="A3107" s="3">
        <v>41362</v>
      </c>
      <c r="B3107" s="2" t="s">
        <v>36</v>
      </c>
      <c r="C3107" s="2">
        <v>11</v>
      </c>
      <c r="G3107" s="7" t="str">
        <f t="array" ref="G3107">IF(ROWS(K$20:K3107)&gt;$F$6,"",INDEX(A$2:A$10000,SMALL(IF(ISNUMBER(MATCH($B$2:$B$10000,$E$6:$E$22,0)),ROW($C$2:$C$10000)-ROW($C$2)+1),ROWS(K$20:K3107))))</f>
        <v/>
      </c>
      <c r="H3107" s="4" t="str">
        <f t="array" ref="H3107">IF(ROWS(L$20:L3107)&gt;$F$6,"",INDEX(B$2:B$10000,SMALL(IF(ISNUMBER(MATCH($B$2:$B$10000,$E$6:$E$22,0)),ROW($C$2:$C$10000)-ROW($C$2)+1),ROWS(L$20:L3107))))</f>
        <v/>
      </c>
      <c r="I3107" s="4" t="str">
        <f t="array" ref="I3107">IF(ROWS(M$20:M3107)&gt;$F$6,"",INDEX(C$2:C$10000,SMALL(IF(ISNUMBER(MATCH($B$2:$B$10000,$E$6:$E$22,0)),ROW($C$2:$C$10000)-ROW($C$2)+1),ROWS(M$20:M3107))))</f>
        <v/>
      </c>
      <c r="K3107" s="7" t="str">
        <f t="array" ref="K3107">IF(ROWS(K$20:K3107)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3107))))</f>
        <v/>
      </c>
      <c r="L3107" s="4" t="str">
        <f t="array" ref="L3107">IF(ROWS(L$20:L3107)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3107))))</f>
        <v/>
      </c>
      <c r="M3107" s="4" t="str">
        <f t="array" ref="M3107">IF(ROWS(M$20:M3107)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3107))))</f>
        <v/>
      </c>
    </row>
    <row r="3108" spans="1:13" x14ac:dyDescent="0.25">
      <c r="A3108" s="3">
        <v>41431</v>
      </c>
      <c r="B3108" s="2" t="s">
        <v>4</v>
      </c>
      <c r="C3108" s="2">
        <v>8</v>
      </c>
      <c r="G3108" s="7" t="str">
        <f t="array" ref="G3108">IF(ROWS(K$20:K3108)&gt;$F$6,"",INDEX(A$2:A$10000,SMALL(IF(ISNUMBER(MATCH($B$2:$B$10000,$E$6:$E$22,0)),ROW($C$2:$C$10000)-ROW($C$2)+1),ROWS(K$20:K3108))))</f>
        <v/>
      </c>
      <c r="H3108" s="4" t="str">
        <f t="array" ref="H3108">IF(ROWS(L$20:L3108)&gt;$F$6,"",INDEX(B$2:B$10000,SMALL(IF(ISNUMBER(MATCH($B$2:$B$10000,$E$6:$E$22,0)),ROW($C$2:$C$10000)-ROW($C$2)+1),ROWS(L$20:L3108))))</f>
        <v/>
      </c>
      <c r="I3108" s="4" t="str">
        <f t="array" ref="I3108">IF(ROWS(M$20:M3108)&gt;$F$6,"",INDEX(C$2:C$10000,SMALL(IF(ISNUMBER(MATCH($B$2:$B$10000,$E$6:$E$22,0)),ROW($C$2:$C$10000)-ROW($C$2)+1),ROWS(M$20:M3108))))</f>
        <v/>
      </c>
      <c r="K3108" s="7" t="str">
        <f t="array" ref="K3108">IF(ROWS(K$20:K3108)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3108))))</f>
        <v/>
      </c>
      <c r="L3108" s="4" t="str">
        <f t="array" ref="L3108">IF(ROWS(L$20:L3108)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3108))))</f>
        <v/>
      </c>
      <c r="M3108" s="4" t="str">
        <f t="array" ref="M3108">IF(ROWS(M$20:M3108)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3108))))</f>
        <v/>
      </c>
    </row>
    <row r="3109" spans="1:13" x14ac:dyDescent="0.25">
      <c r="A3109" s="3">
        <v>41871</v>
      </c>
      <c r="B3109" s="2" t="s">
        <v>35</v>
      </c>
      <c r="C3109" s="2">
        <v>51</v>
      </c>
      <c r="G3109" s="7" t="str">
        <f t="array" ref="G3109">IF(ROWS(K$20:K3109)&gt;$F$6,"",INDEX(A$2:A$10000,SMALL(IF(ISNUMBER(MATCH($B$2:$B$10000,$E$6:$E$22,0)),ROW($C$2:$C$10000)-ROW($C$2)+1),ROWS(K$20:K3109))))</f>
        <v/>
      </c>
      <c r="H3109" s="4" t="str">
        <f t="array" ref="H3109">IF(ROWS(L$20:L3109)&gt;$F$6,"",INDEX(B$2:B$10000,SMALL(IF(ISNUMBER(MATCH($B$2:$B$10000,$E$6:$E$22,0)),ROW($C$2:$C$10000)-ROW($C$2)+1),ROWS(L$20:L3109))))</f>
        <v/>
      </c>
      <c r="I3109" s="4" t="str">
        <f t="array" ref="I3109">IF(ROWS(M$20:M3109)&gt;$F$6,"",INDEX(C$2:C$10000,SMALL(IF(ISNUMBER(MATCH($B$2:$B$10000,$E$6:$E$22,0)),ROW($C$2:$C$10000)-ROW($C$2)+1),ROWS(M$20:M3109))))</f>
        <v/>
      </c>
      <c r="K3109" s="7" t="str">
        <f t="array" ref="K3109">IF(ROWS(K$20:K3109)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3109))))</f>
        <v/>
      </c>
      <c r="L3109" s="4" t="str">
        <f t="array" ref="L3109">IF(ROWS(L$20:L3109)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3109))))</f>
        <v/>
      </c>
      <c r="M3109" s="4" t="str">
        <f t="array" ref="M3109">IF(ROWS(M$20:M3109)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3109))))</f>
        <v/>
      </c>
    </row>
    <row r="3110" spans="1:13" x14ac:dyDescent="0.25">
      <c r="A3110" s="3">
        <v>41520</v>
      </c>
      <c r="B3110" s="2" t="s">
        <v>19</v>
      </c>
      <c r="C3110" s="2">
        <v>47</v>
      </c>
      <c r="G3110" s="7" t="str">
        <f t="array" ref="G3110">IF(ROWS(K$20:K3110)&gt;$F$6,"",INDEX(A$2:A$10000,SMALL(IF(ISNUMBER(MATCH($B$2:$B$10000,$E$6:$E$22,0)),ROW($C$2:$C$10000)-ROW($C$2)+1),ROWS(K$20:K3110))))</f>
        <v/>
      </c>
      <c r="H3110" s="4" t="str">
        <f t="array" ref="H3110">IF(ROWS(L$20:L3110)&gt;$F$6,"",INDEX(B$2:B$10000,SMALL(IF(ISNUMBER(MATCH($B$2:$B$10000,$E$6:$E$22,0)),ROW($C$2:$C$10000)-ROW($C$2)+1),ROWS(L$20:L3110))))</f>
        <v/>
      </c>
      <c r="I3110" s="4" t="str">
        <f t="array" ref="I3110">IF(ROWS(M$20:M3110)&gt;$F$6,"",INDEX(C$2:C$10000,SMALL(IF(ISNUMBER(MATCH($B$2:$B$10000,$E$6:$E$22,0)),ROW($C$2:$C$10000)-ROW($C$2)+1),ROWS(M$20:M3110))))</f>
        <v/>
      </c>
      <c r="K3110" s="7" t="str">
        <f t="array" ref="K3110">IF(ROWS(K$20:K3110)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3110))))</f>
        <v/>
      </c>
      <c r="L3110" s="4" t="str">
        <f t="array" ref="L3110">IF(ROWS(L$20:L3110)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3110))))</f>
        <v/>
      </c>
      <c r="M3110" s="4" t="str">
        <f t="array" ref="M3110">IF(ROWS(M$20:M3110)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3110))))</f>
        <v/>
      </c>
    </row>
    <row r="3111" spans="1:13" x14ac:dyDescent="0.25">
      <c r="A3111" s="3">
        <v>41917</v>
      </c>
      <c r="B3111" s="2" t="s">
        <v>16</v>
      </c>
      <c r="C3111" s="2">
        <v>29</v>
      </c>
      <c r="G3111" s="7" t="str">
        <f t="array" ref="G3111">IF(ROWS(K$20:K3111)&gt;$F$6,"",INDEX(A$2:A$10000,SMALL(IF(ISNUMBER(MATCH($B$2:$B$10000,$E$6:$E$22,0)),ROW($C$2:$C$10000)-ROW($C$2)+1),ROWS(K$20:K3111))))</f>
        <v/>
      </c>
      <c r="H3111" s="4" t="str">
        <f t="array" ref="H3111">IF(ROWS(L$20:L3111)&gt;$F$6,"",INDEX(B$2:B$10000,SMALL(IF(ISNUMBER(MATCH($B$2:$B$10000,$E$6:$E$22,0)),ROW($C$2:$C$10000)-ROW($C$2)+1),ROWS(L$20:L3111))))</f>
        <v/>
      </c>
      <c r="I3111" s="4" t="str">
        <f t="array" ref="I3111">IF(ROWS(M$20:M3111)&gt;$F$6,"",INDEX(C$2:C$10000,SMALL(IF(ISNUMBER(MATCH($B$2:$B$10000,$E$6:$E$22,0)),ROW($C$2:$C$10000)-ROW($C$2)+1),ROWS(M$20:M3111))))</f>
        <v/>
      </c>
      <c r="K3111" s="7" t="str">
        <f t="array" ref="K3111">IF(ROWS(K$20:K3111)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3111))))</f>
        <v/>
      </c>
      <c r="L3111" s="4" t="str">
        <f t="array" ref="L3111">IF(ROWS(L$20:L3111)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3111))))</f>
        <v/>
      </c>
      <c r="M3111" s="4" t="str">
        <f t="array" ref="M3111">IF(ROWS(M$20:M3111)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3111))))</f>
        <v/>
      </c>
    </row>
    <row r="3112" spans="1:13" x14ac:dyDescent="0.25">
      <c r="A3112" s="3">
        <v>41896</v>
      </c>
      <c r="B3112" s="2" t="s">
        <v>9</v>
      </c>
      <c r="C3112" s="2">
        <v>7</v>
      </c>
      <c r="G3112" s="7" t="str">
        <f t="array" ref="G3112">IF(ROWS(K$20:K3112)&gt;$F$6,"",INDEX(A$2:A$10000,SMALL(IF(ISNUMBER(MATCH($B$2:$B$10000,$E$6:$E$22,0)),ROW($C$2:$C$10000)-ROW($C$2)+1),ROWS(K$20:K3112))))</f>
        <v/>
      </c>
      <c r="H3112" s="4" t="str">
        <f t="array" ref="H3112">IF(ROWS(L$20:L3112)&gt;$F$6,"",INDEX(B$2:B$10000,SMALL(IF(ISNUMBER(MATCH($B$2:$B$10000,$E$6:$E$22,0)),ROW($C$2:$C$10000)-ROW($C$2)+1),ROWS(L$20:L3112))))</f>
        <v/>
      </c>
      <c r="I3112" s="4" t="str">
        <f t="array" ref="I3112">IF(ROWS(M$20:M3112)&gt;$F$6,"",INDEX(C$2:C$10000,SMALL(IF(ISNUMBER(MATCH($B$2:$B$10000,$E$6:$E$22,0)),ROW($C$2:$C$10000)-ROW($C$2)+1),ROWS(M$20:M3112))))</f>
        <v/>
      </c>
      <c r="K3112" s="7" t="str">
        <f t="array" ref="K3112">IF(ROWS(K$20:K3112)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3112))))</f>
        <v/>
      </c>
      <c r="L3112" s="4" t="str">
        <f t="array" ref="L3112">IF(ROWS(L$20:L3112)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3112))))</f>
        <v/>
      </c>
      <c r="M3112" s="4" t="str">
        <f t="array" ref="M3112">IF(ROWS(M$20:M3112)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3112))))</f>
        <v/>
      </c>
    </row>
    <row r="3113" spans="1:13" x14ac:dyDescent="0.25">
      <c r="A3113" s="3">
        <v>41736</v>
      </c>
      <c r="B3113" s="2" t="s">
        <v>14</v>
      </c>
      <c r="C3113" s="2">
        <v>23</v>
      </c>
      <c r="G3113" s="7" t="str">
        <f t="array" ref="G3113">IF(ROWS(K$20:K3113)&gt;$F$6,"",INDEX(A$2:A$10000,SMALL(IF(ISNUMBER(MATCH($B$2:$B$10000,$E$6:$E$22,0)),ROW($C$2:$C$10000)-ROW($C$2)+1),ROWS(K$20:K3113))))</f>
        <v/>
      </c>
      <c r="H3113" s="4" t="str">
        <f t="array" ref="H3113">IF(ROWS(L$20:L3113)&gt;$F$6,"",INDEX(B$2:B$10000,SMALL(IF(ISNUMBER(MATCH($B$2:$B$10000,$E$6:$E$22,0)),ROW($C$2:$C$10000)-ROW($C$2)+1),ROWS(L$20:L3113))))</f>
        <v/>
      </c>
      <c r="I3113" s="4" t="str">
        <f t="array" ref="I3113">IF(ROWS(M$20:M3113)&gt;$F$6,"",INDEX(C$2:C$10000,SMALL(IF(ISNUMBER(MATCH($B$2:$B$10000,$E$6:$E$22,0)),ROW($C$2:$C$10000)-ROW($C$2)+1),ROWS(M$20:M3113))))</f>
        <v/>
      </c>
      <c r="K3113" s="7" t="str">
        <f t="array" ref="K3113">IF(ROWS(K$20:K3113)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3113))))</f>
        <v/>
      </c>
      <c r="L3113" s="4" t="str">
        <f t="array" ref="L3113">IF(ROWS(L$20:L3113)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3113))))</f>
        <v/>
      </c>
      <c r="M3113" s="4" t="str">
        <f t="array" ref="M3113">IF(ROWS(M$20:M3113)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3113))))</f>
        <v/>
      </c>
    </row>
    <row r="3114" spans="1:13" x14ac:dyDescent="0.25">
      <c r="A3114" s="3">
        <v>41584</v>
      </c>
      <c r="B3114" s="2" t="s">
        <v>31</v>
      </c>
      <c r="C3114" s="2">
        <v>41</v>
      </c>
      <c r="G3114" s="7" t="str">
        <f t="array" ref="G3114">IF(ROWS(K$20:K3114)&gt;$F$6,"",INDEX(A$2:A$10000,SMALL(IF(ISNUMBER(MATCH($B$2:$B$10000,$E$6:$E$22,0)),ROW($C$2:$C$10000)-ROW($C$2)+1),ROWS(K$20:K3114))))</f>
        <v/>
      </c>
      <c r="H3114" s="4" t="str">
        <f t="array" ref="H3114">IF(ROWS(L$20:L3114)&gt;$F$6,"",INDEX(B$2:B$10000,SMALL(IF(ISNUMBER(MATCH($B$2:$B$10000,$E$6:$E$22,0)),ROW($C$2:$C$10000)-ROW($C$2)+1),ROWS(L$20:L3114))))</f>
        <v/>
      </c>
      <c r="I3114" s="4" t="str">
        <f t="array" ref="I3114">IF(ROWS(M$20:M3114)&gt;$F$6,"",INDEX(C$2:C$10000,SMALL(IF(ISNUMBER(MATCH($B$2:$B$10000,$E$6:$E$22,0)),ROW($C$2:$C$10000)-ROW($C$2)+1),ROWS(M$20:M3114))))</f>
        <v/>
      </c>
      <c r="K3114" s="7" t="str">
        <f t="array" ref="K3114">IF(ROWS(K$20:K3114)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3114))))</f>
        <v/>
      </c>
      <c r="L3114" s="4" t="str">
        <f t="array" ref="L3114">IF(ROWS(L$20:L3114)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3114))))</f>
        <v/>
      </c>
      <c r="M3114" s="4" t="str">
        <f t="array" ref="M3114">IF(ROWS(M$20:M3114)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3114))))</f>
        <v/>
      </c>
    </row>
    <row r="3115" spans="1:13" x14ac:dyDescent="0.25">
      <c r="A3115" s="3">
        <v>41933</v>
      </c>
      <c r="B3115" s="2" t="s">
        <v>6</v>
      </c>
      <c r="C3115" s="2">
        <v>11</v>
      </c>
      <c r="G3115" s="7" t="str">
        <f t="array" ref="G3115">IF(ROWS(K$20:K3115)&gt;$F$6,"",INDEX(A$2:A$10000,SMALL(IF(ISNUMBER(MATCH($B$2:$B$10000,$E$6:$E$22,0)),ROW($C$2:$C$10000)-ROW($C$2)+1),ROWS(K$20:K3115))))</f>
        <v/>
      </c>
      <c r="H3115" s="4" t="str">
        <f t="array" ref="H3115">IF(ROWS(L$20:L3115)&gt;$F$6,"",INDEX(B$2:B$10000,SMALL(IF(ISNUMBER(MATCH($B$2:$B$10000,$E$6:$E$22,0)),ROW($C$2:$C$10000)-ROW($C$2)+1),ROWS(L$20:L3115))))</f>
        <v/>
      </c>
      <c r="I3115" s="4" t="str">
        <f t="array" ref="I3115">IF(ROWS(M$20:M3115)&gt;$F$6,"",INDEX(C$2:C$10000,SMALL(IF(ISNUMBER(MATCH($B$2:$B$10000,$E$6:$E$22,0)),ROW($C$2:$C$10000)-ROW($C$2)+1),ROWS(M$20:M3115))))</f>
        <v/>
      </c>
      <c r="K3115" s="7" t="str">
        <f t="array" ref="K3115">IF(ROWS(K$20:K3115)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3115))))</f>
        <v/>
      </c>
      <c r="L3115" s="4" t="str">
        <f t="array" ref="L3115">IF(ROWS(L$20:L3115)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3115))))</f>
        <v/>
      </c>
      <c r="M3115" s="4" t="str">
        <f t="array" ref="M3115">IF(ROWS(M$20:M3115)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3115))))</f>
        <v/>
      </c>
    </row>
    <row r="3116" spans="1:13" x14ac:dyDescent="0.25">
      <c r="A3116" s="3">
        <v>41995</v>
      </c>
      <c r="B3116" s="2" t="s">
        <v>30</v>
      </c>
      <c r="C3116" s="2">
        <v>30</v>
      </c>
      <c r="G3116" s="7" t="str">
        <f t="array" ref="G3116">IF(ROWS(K$20:K3116)&gt;$F$6,"",INDEX(A$2:A$10000,SMALL(IF(ISNUMBER(MATCH($B$2:$B$10000,$E$6:$E$22,0)),ROW($C$2:$C$10000)-ROW($C$2)+1),ROWS(K$20:K3116))))</f>
        <v/>
      </c>
      <c r="H3116" s="4" t="str">
        <f t="array" ref="H3116">IF(ROWS(L$20:L3116)&gt;$F$6,"",INDEX(B$2:B$10000,SMALL(IF(ISNUMBER(MATCH($B$2:$B$10000,$E$6:$E$22,0)),ROW($C$2:$C$10000)-ROW($C$2)+1),ROWS(L$20:L3116))))</f>
        <v/>
      </c>
      <c r="I3116" s="4" t="str">
        <f t="array" ref="I3116">IF(ROWS(M$20:M3116)&gt;$F$6,"",INDEX(C$2:C$10000,SMALL(IF(ISNUMBER(MATCH($B$2:$B$10000,$E$6:$E$22,0)),ROW($C$2:$C$10000)-ROW($C$2)+1),ROWS(M$20:M3116))))</f>
        <v/>
      </c>
      <c r="K3116" s="7" t="str">
        <f t="array" ref="K3116">IF(ROWS(K$20:K3116)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3116))))</f>
        <v/>
      </c>
      <c r="L3116" s="4" t="str">
        <f t="array" ref="L3116">IF(ROWS(L$20:L3116)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3116))))</f>
        <v/>
      </c>
      <c r="M3116" s="4" t="str">
        <f t="array" ref="M3116">IF(ROWS(M$20:M3116)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3116))))</f>
        <v/>
      </c>
    </row>
    <row r="3117" spans="1:13" x14ac:dyDescent="0.25">
      <c r="A3117" s="3">
        <v>41630</v>
      </c>
      <c r="B3117" s="2" t="s">
        <v>12</v>
      </c>
      <c r="C3117" s="2">
        <v>31</v>
      </c>
      <c r="G3117" s="7" t="str">
        <f t="array" ref="G3117">IF(ROWS(K$20:K3117)&gt;$F$6,"",INDEX(A$2:A$10000,SMALL(IF(ISNUMBER(MATCH($B$2:$B$10000,$E$6:$E$22,0)),ROW($C$2:$C$10000)-ROW($C$2)+1),ROWS(K$20:K3117))))</f>
        <v/>
      </c>
      <c r="H3117" s="4" t="str">
        <f t="array" ref="H3117">IF(ROWS(L$20:L3117)&gt;$F$6,"",INDEX(B$2:B$10000,SMALL(IF(ISNUMBER(MATCH($B$2:$B$10000,$E$6:$E$22,0)),ROW($C$2:$C$10000)-ROW($C$2)+1),ROWS(L$20:L3117))))</f>
        <v/>
      </c>
      <c r="I3117" s="4" t="str">
        <f t="array" ref="I3117">IF(ROWS(M$20:M3117)&gt;$F$6,"",INDEX(C$2:C$10000,SMALL(IF(ISNUMBER(MATCH($B$2:$B$10000,$E$6:$E$22,0)),ROW($C$2:$C$10000)-ROW($C$2)+1),ROWS(M$20:M3117))))</f>
        <v/>
      </c>
      <c r="K3117" s="7" t="str">
        <f t="array" ref="K3117">IF(ROWS(K$20:K3117)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3117))))</f>
        <v/>
      </c>
      <c r="L3117" s="4" t="str">
        <f t="array" ref="L3117">IF(ROWS(L$20:L3117)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3117))))</f>
        <v/>
      </c>
      <c r="M3117" s="4" t="str">
        <f t="array" ref="M3117">IF(ROWS(M$20:M3117)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3117))))</f>
        <v/>
      </c>
    </row>
    <row r="3118" spans="1:13" x14ac:dyDescent="0.25">
      <c r="A3118" s="3">
        <v>41777</v>
      </c>
      <c r="B3118" s="2" t="s">
        <v>31</v>
      </c>
      <c r="C3118" s="2">
        <v>4</v>
      </c>
      <c r="G3118" s="7" t="str">
        <f t="array" ref="G3118">IF(ROWS(K$20:K3118)&gt;$F$6,"",INDEX(A$2:A$10000,SMALL(IF(ISNUMBER(MATCH($B$2:$B$10000,$E$6:$E$22,0)),ROW($C$2:$C$10000)-ROW($C$2)+1),ROWS(K$20:K3118))))</f>
        <v/>
      </c>
      <c r="H3118" s="4" t="str">
        <f t="array" ref="H3118">IF(ROWS(L$20:L3118)&gt;$F$6,"",INDEX(B$2:B$10000,SMALL(IF(ISNUMBER(MATCH($B$2:$B$10000,$E$6:$E$22,0)),ROW($C$2:$C$10000)-ROW($C$2)+1),ROWS(L$20:L3118))))</f>
        <v/>
      </c>
      <c r="I3118" s="4" t="str">
        <f t="array" ref="I3118">IF(ROWS(M$20:M3118)&gt;$F$6,"",INDEX(C$2:C$10000,SMALL(IF(ISNUMBER(MATCH($B$2:$B$10000,$E$6:$E$22,0)),ROW($C$2:$C$10000)-ROW($C$2)+1),ROWS(M$20:M3118))))</f>
        <v/>
      </c>
      <c r="K3118" s="7" t="str">
        <f t="array" ref="K3118">IF(ROWS(K$20:K3118)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3118))))</f>
        <v/>
      </c>
      <c r="L3118" s="4" t="str">
        <f t="array" ref="L3118">IF(ROWS(L$20:L3118)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3118))))</f>
        <v/>
      </c>
      <c r="M3118" s="4" t="str">
        <f t="array" ref="M3118">IF(ROWS(M$20:M3118)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3118))))</f>
        <v/>
      </c>
    </row>
    <row r="3119" spans="1:13" x14ac:dyDescent="0.25">
      <c r="A3119" s="3">
        <v>41504</v>
      </c>
      <c r="B3119" s="2" t="s">
        <v>39</v>
      </c>
      <c r="C3119" s="2">
        <v>1</v>
      </c>
      <c r="G3119" s="7" t="str">
        <f t="array" ref="G3119">IF(ROWS(K$20:K3119)&gt;$F$6,"",INDEX(A$2:A$10000,SMALL(IF(ISNUMBER(MATCH($B$2:$B$10000,$E$6:$E$22,0)),ROW($C$2:$C$10000)-ROW($C$2)+1),ROWS(K$20:K3119))))</f>
        <v/>
      </c>
      <c r="H3119" s="4" t="str">
        <f t="array" ref="H3119">IF(ROWS(L$20:L3119)&gt;$F$6,"",INDEX(B$2:B$10000,SMALL(IF(ISNUMBER(MATCH($B$2:$B$10000,$E$6:$E$22,0)),ROW($C$2:$C$10000)-ROW($C$2)+1),ROWS(L$20:L3119))))</f>
        <v/>
      </c>
      <c r="I3119" s="4" t="str">
        <f t="array" ref="I3119">IF(ROWS(M$20:M3119)&gt;$F$6,"",INDEX(C$2:C$10000,SMALL(IF(ISNUMBER(MATCH($B$2:$B$10000,$E$6:$E$22,0)),ROW($C$2:$C$10000)-ROW($C$2)+1),ROWS(M$20:M3119))))</f>
        <v/>
      </c>
      <c r="K3119" s="7" t="str">
        <f t="array" ref="K3119">IF(ROWS(K$20:K3119)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3119))))</f>
        <v/>
      </c>
      <c r="L3119" s="4" t="str">
        <f t="array" ref="L3119">IF(ROWS(L$20:L3119)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3119))))</f>
        <v/>
      </c>
      <c r="M3119" s="4" t="str">
        <f t="array" ref="M3119">IF(ROWS(M$20:M3119)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3119))))</f>
        <v/>
      </c>
    </row>
    <row r="3120" spans="1:13" x14ac:dyDescent="0.25">
      <c r="A3120" s="3">
        <v>41686</v>
      </c>
      <c r="B3120" s="2" t="s">
        <v>19</v>
      </c>
      <c r="C3120" s="2">
        <v>53</v>
      </c>
      <c r="G3120" s="7" t="str">
        <f t="array" ref="G3120">IF(ROWS(K$20:K3120)&gt;$F$6,"",INDEX(A$2:A$10000,SMALL(IF(ISNUMBER(MATCH($B$2:$B$10000,$E$6:$E$22,0)),ROW($C$2:$C$10000)-ROW($C$2)+1),ROWS(K$20:K3120))))</f>
        <v/>
      </c>
      <c r="H3120" s="4" t="str">
        <f t="array" ref="H3120">IF(ROWS(L$20:L3120)&gt;$F$6,"",INDEX(B$2:B$10000,SMALL(IF(ISNUMBER(MATCH($B$2:$B$10000,$E$6:$E$22,0)),ROW($C$2:$C$10000)-ROW($C$2)+1),ROWS(L$20:L3120))))</f>
        <v/>
      </c>
      <c r="I3120" s="4" t="str">
        <f t="array" ref="I3120">IF(ROWS(M$20:M3120)&gt;$F$6,"",INDEX(C$2:C$10000,SMALL(IF(ISNUMBER(MATCH($B$2:$B$10000,$E$6:$E$22,0)),ROW($C$2:$C$10000)-ROW($C$2)+1),ROWS(M$20:M3120))))</f>
        <v/>
      </c>
      <c r="K3120" s="7" t="str">
        <f t="array" ref="K3120">IF(ROWS(K$20:K3120)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3120))))</f>
        <v/>
      </c>
      <c r="L3120" s="4" t="str">
        <f t="array" ref="L3120">IF(ROWS(L$20:L3120)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3120))))</f>
        <v/>
      </c>
      <c r="M3120" s="4" t="str">
        <f t="array" ref="M3120">IF(ROWS(M$20:M3120)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3120))))</f>
        <v/>
      </c>
    </row>
    <row r="3121" spans="1:13" x14ac:dyDescent="0.25">
      <c r="A3121" s="3">
        <v>41833</v>
      </c>
      <c r="B3121" s="2" t="s">
        <v>5</v>
      </c>
      <c r="C3121" s="2">
        <v>18</v>
      </c>
      <c r="G3121" s="7" t="str">
        <f t="array" ref="G3121">IF(ROWS(K$20:K3121)&gt;$F$6,"",INDEX(A$2:A$10000,SMALL(IF(ISNUMBER(MATCH($B$2:$B$10000,$E$6:$E$22,0)),ROW($C$2:$C$10000)-ROW($C$2)+1),ROWS(K$20:K3121))))</f>
        <v/>
      </c>
      <c r="H3121" s="4" t="str">
        <f t="array" ref="H3121">IF(ROWS(L$20:L3121)&gt;$F$6,"",INDEX(B$2:B$10000,SMALL(IF(ISNUMBER(MATCH($B$2:$B$10000,$E$6:$E$22,0)),ROW($C$2:$C$10000)-ROW($C$2)+1),ROWS(L$20:L3121))))</f>
        <v/>
      </c>
      <c r="I3121" s="4" t="str">
        <f t="array" ref="I3121">IF(ROWS(M$20:M3121)&gt;$F$6,"",INDEX(C$2:C$10000,SMALL(IF(ISNUMBER(MATCH($B$2:$B$10000,$E$6:$E$22,0)),ROW($C$2:$C$10000)-ROW($C$2)+1),ROWS(M$20:M3121))))</f>
        <v/>
      </c>
      <c r="K3121" s="7" t="str">
        <f t="array" ref="K3121">IF(ROWS(K$20:K3121)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3121))))</f>
        <v/>
      </c>
      <c r="L3121" s="4" t="str">
        <f t="array" ref="L3121">IF(ROWS(L$20:L3121)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3121))))</f>
        <v/>
      </c>
      <c r="M3121" s="4" t="str">
        <f t="array" ref="M3121">IF(ROWS(M$20:M3121)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3121))))</f>
        <v/>
      </c>
    </row>
    <row r="3122" spans="1:13" x14ac:dyDescent="0.25">
      <c r="A3122" s="3">
        <v>41917</v>
      </c>
      <c r="B3122" s="2" t="s">
        <v>51</v>
      </c>
      <c r="C3122" s="2">
        <v>19</v>
      </c>
      <c r="G3122" s="7" t="str">
        <f t="array" ref="G3122">IF(ROWS(K$20:K3122)&gt;$F$6,"",INDEX(A$2:A$10000,SMALL(IF(ISNUMBER(MATCH($B$2:$B$10000,$E$6:$E$22,0)),ROW($C$2:$C$10000)-ROW($C$2)+1),ROWS(K$20:K3122))))</f>
        <v/>
      </c>
      <c r="H3122" s="4" t="str">
        <f t="array" ref="H3122">IF(ROWS(L$20:L3122)&gt;$F$6,"",INDEX(B$2:B$10000,SMALL(IF(ISNUMBER(MATCH($B$2:$B$10000,$E$6:$E$22,0)),ROW($C$2:$C$10000)-ROW($C$2)+1),ROWS(L$20:L3122))))</f>
        <v/>
      </c>
      <c r="I3122" s="4" t="str">
        <f t="array" ref="I3122">IF(ROWS(M$20:M3122)&gt;$F$6,"",INDEX(C$2:C$10000,SMALL(IF(ISNUMBER(MATCH($B$2:$B$10000,$E$6:$E$22,0)),ROW($C$2:$C$10000)-ROW($C$2)+1),ROWS(M$20:M3122))))</f>
        <v/>
      </c>
      <c r="K3122" s="7" t="str">
        <f t="array" ref="K3122">IF(ROWS(K$20:K3122)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3122))))</f>
        <v/>
      </c>
      <c r="L3122" s="4" t="str">
        <f t="array" ref="L3122">IF(ROWS(L$20:L3122)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3122))))</f>
        <v/>
      </c>
      <c r="M3122" s="4" t="str">
        <f t="array" ref="M3122">IF(ROWS(M$20:M3122)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3122))))</f>
        <v/>
      </c>
    </row>
    <row r="3123" spans="1:13" x14ac:dyDescent="0.25">
      <c r="A3123" s="3">
        <v>41563</v>
      </c>
      <c r="B3123" s="2" t="s">
        <v>30</v>
      </c>
      <c r="C3123" s="2">
        <v>46</v>
      </c>
      <c r="G3123" s="7" t="str">
        <f t="array" ref="G3123">IF(ROWS(K$20:K3123)&gt;$F$6,"",INDEX(A$2:A$10000,SMALL(IF(ISNUMBER(MATCH($B$2:$B$10000,$E$6:$E$22,0)),ROW($C$2:$C$10000)-ROW($C$2)+1),ROWS(K$20:K3123))))</f>
        <v/>
      </c>
      <c r="H3123" s="4" t="str">
        <f t="array" ref="H3123">IF(ROWS(L$20:L3123)&gt;$F$6,"",INDEX(B$2:B$10000,SMALL(IF(ISNUMBER(MATCH($B$2:$B$10000,$E$6:$E$22,0)),ROW($C$2:$C$10000)-ROW($C$2)+1),ROWS(L$20:L3123))))</f>
        <v/>
      </c>
      <c r="I3123" s="4" t="str">
        <f t="array" ref="I3123">IF(ROWS(M$20:M3123)&gt;$F$6,"",INDEX(C$2:C$10000,SMALL(IF(ISNUMBER(MATCH($B$2:$B$10000,$E$6:$E$22,0)),ROW($C$2:$C$10000)-ROW($C$2)+1),ROWS(M$20:M3123))))</f>
        <v/>
      </c>
      <c r="K3123" s="7" t="str">
        <f t="array" ref="K3123">IF(ROWS(K$20:K3123)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3123))))</f>
        <v/>
      </c>
      <c r="L3123" s="4" t="str">
        <f t="array" ref="L3123">IF(ROWS(L$20:L3123)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3123))))</f>
        <v/>
      </c>
      <c r="M3123" s="4" t="str">
        <f t="array" ref="M3123">IF(ROWS(M$20:M3123)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3123))))</f>
        <v/>
      </c>
    </row>
    <row r="3124" spans="1:13" x14ac:dyDescent="0.25">
      <c r="A3124" s="3">
        <v>41821</v>
      </c>
      <c r="B3124" s="2" t="s">
        <v>49</v>
      </c>
      <c r="C3124" s="2">
        <v>13</v>
      </c>
      <c r="G3124" s="7" t="str">
        <f t="array" ref="G3124">IF(ROWS(K$20:K3124)&gt;$F$6,"",INDEX(A$2:A$10000,SMALL(IF(ISNUMBER(MATCH($B$2:$B$10000,$E$6:$E$22,0)),ROW($C$2:$C$10000)-ROW($C$2)+1),ROWS(K$20:K3124))))</f>
        <v/>
      </c>
      <c r="H3124" s="4" t="str">
        <f t="array" ref="H3124">IF(ROWS(L$20:L3124)&gt;$F$6,"",INDEX(B$2:B$10000,SMALL(IF(ISNUMBER(MATCH($B$2:$B$10000,$E$6:$E$22,0)),ROW($C$2:$C$10000)-ROW($C$2)+1),ROWS(L$20:L3124))))</f>
        <v/>
      </c>
      <c r="I3124" s="4" t="str">
        <f t="array" ref="I3124">IF(ROWS(M$20:M3124)&gt;$F$6,"",INDEX(C$2:C$10000,SMALL(IF(ISNUMBER(MATCH($B$2:$B$10000,$E$6:$E$22,0)),ROW($C$2:$C$10000)-ROW($C$2)+1),ROWS(M$20:M3124))))</f>
        <v/>
      </c>
      <c r="K3124" s="7" t="str">
        <f t="array" ref="K3124">IF(ROWS(K$20:K3124)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3124))))</f>
        <v/>
      </c>
      <c r="L3124" s="4" t="str">
        <f t="array" ref="L3124">IF(ROWS(L$20:L3124)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3124))))</f>
        <v/>
      </c>
      <c r="M3124" s="4" t="str">
        <f t="array" ref="M3124">IF(ROWS(M$20:M3124)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3124))))</f>
        <v/>
      </c>
    </row>
    <row r="3125" spans="1:13" x14ac:dyDescent="0.25">
      <c r="A3125" s="3">
        <v>41368</v>
      </c>
      <c r="B3125" s="2" t="s">
        <v>32</v>
      </c>
      <c r="C3125" s="2">
        <v>23</v>
      </c>
      <c r="G3125" s="7" t="str">
        <f t="array" ref="G3125">IF(ROWS(K$20:K3125)&gt;$F$6,"",INDEX(A$2:A$10000,SMALL(IF(ISNUMBER(MATCH($B$2:$B$10000,$E$6:$E$22,0)),ROW($C$2:$C$10000)-ROW($C$2)+1),ROWS(K$20:K3125))))</f>
        <v/>
      </c>
      <c r="H3125" s="4" t="str">
        <f t="array" ref="H3125">IF(ROWS(L$20:L3125)&gt;$F$6,"",INDEX(B$2:B$10000,SMALL(IF(ISNUMBER(MATCH($B$2:$B$10000,$E$6:$E$22,0)),ROW($C$2:$C$10000)-ROW($C$2)+1),ROWS(L$20:L3125))))</f>
        <v/>
      </c>
      <c r="I3125" s="4" t="str">
        <f t="array" ref="I3125">IF(ROWS(M$20:M3125)&gt;$F$6,"",INDEX(C$2:C$10000,SMALL(IF(ISNUMBER(MATCH($B$2:$B$10000,$E$6:$E$22,0)),ROW($C$2:$C$10000)-ROW($C$2)+1),ROWS(M$20:M3125))))</f>
        <v/>
      </c>
      <c r="K3125" s="7" t="str">
        <f t="array" ref="K3125">IF(ROWS(K$20:K3125)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3125))))</f>
        <v/>
      </c>
      <c r="L3125" s="4" t="str">
        <f t="array" ref="L3125">IF(ROWS(L$20:L3125)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3125))))</f>
        <v/>
      </c>
      <c r="M3125" s="4" t="str">
        <f t="array" ref="M3125">IF(ROWS(M$20:M3125)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3125))))</f>
        <v/>
      </c>
    </row>
    <row r="3126" spans="1:13" x14ac:dyDescent="0.25">
      <c r="A3126" s="3">
        <v>41906</v>
      </c>
      <c r="B3126" s="2" t="s">
        <v>38</v>
      </c>
      <c r="C3126" s="2">
        <v>18</v>
      </c>
      <c r="G3126" s="7" t="str">
        <f t="array" ref="G3126">IF(ROWS(K$20:K3126)&gt;$F$6,"",INDEX(A$2:A$10000,SMALL(IF(ISNUMBER(MATCH($B$2:$B$10000,$E$6:$E$22,0)),ROW($C$2:$C$10000)-ROW($C$2)+1),ROWS(K$20:K3126))))</f>
        <v/>
      </c>
      <c r="H3126" s="4" t="str">
        <f t="array" ref="H3126">IF(ROWS(L$20:L3126)&gt;$F$6,"",INDEX(B$2:B$10000,SMALL(IF(ISNUMBER(MATCH($B$2:$B$10000,$E$6:$E$22,0)),ROW($C$2:$C$10000)-ROW($C$2)+1),ROWS(L$20:L3126))))</f>
        <v/>
      </c>
      <c r="I3126" s="4" t="str">
        <f t="array" ref="I3126">IF(ROWS(M$20:M3126)&gt;$F$6,"",INDEX(C$2:C$10000,SMALL(IF(ISNUMBER(MATCH($B$2:$B$10000,$E$6:$E$22,0)),ROW($C$2:$C$10000)-ROW($C$2)+1),ROWS(M$20:M3126))))</f>
        <v/>
      </c>
      <c r="K3126" s="7" t="str">
        <f t="array" ref="K3126">IF(ROWS(K$20:K3126)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3126))))</f>
        <v/>
      </c>
      <c r="L3126" s="4" t="str">
        <f t="array" ref="L3126">IF(ROWS(L$20:L3126)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3126))))</f>
        <v/>
      </c>
      <c r="M3126" s="4" t="str">
        <f t="array" ref="M3126">IF(ROWS(M$20:M3126)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3126))))</f>
        <v/>
      </c>
    </row>
    <row r="3127" spans="1:13" x14ac:dyDescent="0.25">
      <c r="A3127" s="3">
        <v>41499</v>
      </c>
      <c r="B3127" s="2" t="s">
        <v>46</v>
      </c>
      <c r="C3127" s="2">
        <v>62</v>
      </c>
      <c r="G3127" s="7" t="str">
        <f t="array" ref="G3127">IF(ROWS(K$20:K3127)&gt;$F$6,"",INDEX(A$2:A$10000,SMALL(IF(ISNUMBER(MATCH($B$2:$B$10000,$E$6:$E$22,0)),ROW($C$2:$C$10000)-ROW($C$2)+1),ROWS(K$20:K3127))))</f>
        <v/>
      </c>
      <c r="H3127" s="4" t="str">
        <f t="array" ref="H3127">IF(ROWS(L$20:L3127)&gt;$F$6,"",INDEX(B$2:B$10000,SMALL(IF(ISNUMBER(MATCH($B$2:$B$10000,$E$6:$E$22,0)),ROW($C$2:$C$10000)-ROW($C$2)+1),ROWS(L$20:L3127))))</f>
        <v/>
      </c>
      <c r="I3127" s="4" t="str">
        <f t="array" ref="I3127">IF(ROWS(M$20:M3127)&gt;$F$6,"",INDEX(C$2:C$10000,SMALL(IF(ISNUMBER(MATCH($B$2:$B$10000,$E$6:$E$22,0)),ROW($C$2:$C$10000)-ROW($C$2)+1),ROWS(M$20:M3127))))</f>
        <v/>
      </c>
      <c r="K3127" s="7" t="str">
        <f t="array" ref="K3127">IF(ROWS(K$20:K3127)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3127))))</f>
        <v/>
      </c>
      <c r="L3127" s="4" t="str">
        <f t="array" ref="L3127">IF(ROWS(L$20:L3127)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3127))))</f>
        <v/>
      </c>
      <c r="M3127" s="4" t="str">
        <f t="array" ref="M3127">IF(ROWS(M$20:M3127)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3127))))</f>
        <v/>
      </c>
    </row>
    <row r="3128" spans="1:13" x14ac:dyDescent="0.25">
      <c r="A3128" s="3">
        <v>41477</v>
      </c>
      <c r="B3128" s="2" t="s">
        <v>46</v>
      </c>
      <c r="C3128" s="2">
        <v>33</v>
      </c>
      <c r="G3128" s="7" t="str">
        <f t="array" ref="G3128">IF(ROWS(K$20:K3128)&gt;$F$6,"",INDEX(A$2:A$10000,SMALL(IF(ISNUMBER(MATCH($B$2:$B$10000,$E$6:$E$22,0)),ROW($C$2:$C$10000)-ROW($C$2)+1),ROWS(K$20:K3128))))</f>
        <v/>
      </c>
      <c r="H3128" s="4" t="str">
        <f t="array" ref="H3128">IF(ROWS(L$20:L3128)&gt;$F$6,"",INDEX(B$2:B$10000,SMALL(IF(ISNUMBER(MATCH($B$2:$B$10000,$E$6:$E$22,0)),ROW($C$2:$C$10000)-ROW($C$2)+1),ROWS(L$20:L3128))))</f>
        <v/>
      </c>
      <c r="I3128" s="4" t="str">
        <f t="array" ref="I3128">IF(ROWS(M$20:M3128)&gt;$F$6,"",INDEX(C$2:C$10000,SMALL(IF(ISNUMBER(MATCH($B$2:$B$10000,$E$6:$E$22,0)),ROW($C$2:$C$10000)-ROW($C$2)+1),ROWS(M$20:M3128))))</f>
        <v/>
      </c>
      <c r="K3128" s="7" t="str">
        <f t="array" ref="K3128">IF(ROWS(K$20:K3128)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3128))))</f>
        <v/>
      </c>
      <c r="L3128" s="4" t="str">
        <f t="array" ref="L3128">IF(ROWS(L$20:L3128)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3128))))</f>
        <v/>
      </c>
      <c r="M3128" s="4" t="str">
        <f t="array" ref="M3128">IF(ROWS(M$20:M3128)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3128))))</f>
        <v/>
      </c>
    </row>
    <row r="3129" spans="1:13" x14ac:dyDescent="0.25">
      <c r="A3129" s="3">
        <v>41982</v>
      </c>
      <c r="B3129" s="2" t="s">
        <v>12</v>
      </c>
      <c r="C3129" s="2">
        <v>23</v>
      </c>
      <c r="G3129" s="7" t="str">
        <f t="array" ref="G3129">IF(ROWS(K$20:K3129)&gt;$F$6,"",INDEX(A$2:A$10000,SMALL(IF(ISNUMBER(MATCH($B$2:$B$10000,$E$6:$E$22,0)),ROW($C$2:$C$10000)-ROW($C$2)+1),ROWS(K$20:K3129))))</f>
        <v/>
      </c>
      <c r="H3129" s="4" t="str">
        <f t="array" ref="H3129">IF(ROWS(L$20:L3129)&gt;$F$6,"",INDEX(B$2:B$10000,SMALL(IF(ISNUMBER(MATCH($B$2:$B$10000,$E$6:$E$22,0)),ROW($C$2:$C$10000)-ROW($C$2)+1),ROWS(L$20:L3129))))</f>
        <v/>
      </c>
      <c r="I3129" s="4" t="str">
        <f t="array" ref="I3129">IF(ROWS(M$20:M3129)&gt;$F$6,"",INDEX(C$2:C$10000,SMALL(IF(ISNUMBER(MATCH($B$2:$B$10000,$E$6:$E$22,0)),ROW($C$2:$C$10000)-ROW($C$2)+1),ROWS(M$20:M3129))))</f>
        <v/>
      </c>
      <c r="K3129" s="7" t="str">
        <f t="array" ref="K3129">IF(ROWS(K$20:K3129)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3129))))</f>
        <v/>
      </c>
      <c r="L3129" s="4" t="str">
        <f t="array" ref="L3129">IF(ROWS(L$20:L3129)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3129))))</f>
        <v/>
      </c>
      <c r="M3129" s="4" t="str">
        <f t="array" ref="M3129">IF(ROWS(M$20:M3129)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3129))))</f>
        <v/>
      </c>
    </row>
    <row r="3130" spans="1:13" x14ac:dyDescent="0.25">
      <c r="A3130" s="3">
        <v>41908</v>
      </c>
      <c r="B3130" s="2" t="s">
        <v>46</v>
      </c>
      <c r="C3130" s="2">
        <v>40</v>
      </c>
      <c r="G3130" s="7" t="str">
        <f t="array" ref="G3130">IF(ROWS(K$20:K3130)&gt;$F$6,"",INDEX(A$2:A$10000,SMALL(IF(ISNUMBER(MATCH($B$2:$B$10000,$E$6:$E$22,0)),ROW($C$2:$C$10000)-ROW($C$2)+1),ROWS(K$20:K3130))))</f>
        <v/>
      </c>
      <c r="H3130" s="4" t="str">
        <f t="array" ref="H3130">IF(ROWS(L$20:L3130)&gt;$F$6,"",INDEX(B$2:B$10000,SMALL(IF(ISNUMBER(MATCH($B$2:$B$10000,$E$6:$E$22,0)),ROW($C$2:$C$10000)-ROW($C$2)+1),ROWS(L$20:L3130))))</f>
        <v/>
      </c>
      <c r="I3130" s="4" t="str">
        <f t="array" ref="I3130">IF(ROWS(M$20:M3130)&gt;$F$6,"",INDEX(C$2:C$10000,SMALL(IF(ISNUMBER(MATCH($B$2:$B$10000,$E$6:$E$22,0)),ROW($C$2:$C$10000)-ROW($C$2)+1),ROWS(M$20:M3130))))</f>
        <v/>
      </c>
      <c r="K3130" s="7" t="str">
        <f t="array" ref="K3130">IF(ROWS(K$20:K3130)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3130))))</f>
        <v/>
      </c>
      <c r="L3130" s="4" t="str">
        <f t="array" ref="L3130">IF(ROWS(L$20:L3130)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3130))))</f>
        <v/>
      </c>
      <c r="M3130" s="4" t="str">
        <f t="array" ref="M3130">IF(ROWS(M$20:M3130)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3130))))</f>
        <v/>
      </c>
    </row>
    <row r="3131" spans="1:13" x14ac:dyDescent="0.25">
      <c r="A3131" s="3">
        <v>41500</v>
      </c>
      <c r="B3131" s="2" t="s">
        <v>45</v>
      </c>
      <c r="C3131" s="2">
        <v>45</v>
      </c>
      <c r="G3131" s="7" t="str">
        <f t="array" ref="G3131">IF(ROWS(K$20:K3131)&gt;$F$6,"",INDEX(A$2:A$10000,SMALL(IF(ISNUMBER(MATCH($B$2:$B$10000,$E$6:$E$22,0)),ROW($C$2:$C$10000)-ROW($C$2)+1),ROWS(K$20:K3131))))</f>
        <v/>
      </c>
      <c r="H3131" s="4" t="str">
        <f t="array" ref="H3131">IF(ROWS(L$20:L3131)&gt;$F$6,"",INDEX(B$2:B$10000,SMALL(IF(ISNUMBER(MATCH($B$2:$B$10000,$E$6:$E$22,0)),ROW($C$2:$C$10000)-ROW($C$2)+1),ROWS(L$20:L3131))))</f>
        <v/>
      </c>
      <c r="I3131" s="4" t="str">
        <f t="array" ref="I3131">IF(ROWS(M$20:M3131)&gt;$F$6,"",INDEX(C$2:C$10000,SMALL(IF(ISNUMBER(MATCH($B$2:$B$10000,$E$6:$E$22,0)),ROW($C$2:$C$10000)-ROW($C$2)+1),ROWS(M$20:M3131))))</f>
        <v/>
      </c>
      <c r="K3131" s="7" t="str">
        <f t="array" ref="K3131">IF(ROWS(K$20:K3131)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3131))))</f>
        <v/>
      </c>
      <c r="L3131" s="4" t="str">
        <f t="array" ref="L3131">IF(ROWS(L$20:L3131)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3131))))</f>
        <v/>
      </c>
      <c r="M3131" s="4" t="str">
        <f t="array" ref="M3131">IF(ROWS(M$20:M3131)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3131))))</f>
        <v/>
      </c>
    </row>
    <row r="3132" spans="1:13" x14ac:dyDescent="0.25">
      <c r="A3132" s="3">
        <v>41347</v>
      </c>
      <c r="B3132" s="2" t="s">
        <v>16</v>
      </c>
      <c r="C3132" s="2">
        <v>35</v>
      </c>
      <c r="G3132" s="7" t="str">
        <f t="array" ref="G3132">IF(ROWS(K$20:K3132)&gt;$F$6,"",INDEX(A$2:A$10000,SMALL(IF(ISNUMBER(MATCH($B$2:$B$10000,$E$6:$E$22,0)),ROW($C$2:$C$10000)-ROW($C$2)+1),ROWS(K$20:K3132))))</f>
        <v/>
      </c>
      <c r="H3132" s="4" t="str">
        <f t="array" ref="H3132">IF(ROWS(L$20:L3132)&gt;$F$6,"",INDEX(B$2:B$10000,SMALL(IF(ISNUMBER(MATCH($B$2:$B$10000,$E$6:$E$22,0)),ROW($C$2:$C$10000)-ROW($C$2)+1),ROWS(L$20:L3132))))</f>
        <v/>
      </c>
      <c r="I3132" s="4" t="str">
        <f t="array" ref="I3132">IF(ROWS(M$20:M3132)&gt;$F$6,"",INDEX(C$2:C$10000,SMALL(IF(ISNUMBER(MATCH($B$2:$B$10000,$E$6:$E$22,0)),ROW($C$2:$C$10000)-ROW($C$2)+1),ROWS(M$20:M3132))))</f>
        <v/>
      </c>
      <c r="K3132" s="7" t="str">
        <f t="array" ref="K3132">IF(ROWS(K$20:K3132)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3132))))</f>
        <v/>
      </c>
      <c r="L3132" s="4" t="str">
        <f t="array" ref="L3132">IF(ROWS(L$20:L3132)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3132))))</f>
        <v/>
      </c>
      <c r="M3132" s="4" t="str">
        <f t="array" ref="M3132">IF(ROWS(M$20:M3132)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3132))))</f>
        <v/>
      </c>
    </row>
    <row r="3133" spans="1:13" x14ac:dyDescent="0.25">
      <c r="A3133" s="3">
        <v>41605</v>
      </c>
      <c r="B3133" s="2" t="s">
        <v>50</v>
      </c>
      <c r="C3133" s="2">
        <v>33</v>
      </c>
      <c r="G3133" s="7" t="str">
        <f t="array" ref="G3133">IF(ROWS(K$20:K3133)&gt;$F$6,"",INDEX(A$2:A$10000,SMALL(IF(ISNUMBER(MATCH($B$2:$B$10000,$E$6:$E$22,0)),ROW($C$2:$C$10000)-ROW($C$2)+1),ROWS(K$20:K3133))))</f>
        <v/>
      </c>
      <c r="H3133" s="4" t="str">
        <f t="array" ref="H3133">IF(ROWS(L$20:L3133)&gt;$F$6,"",INDEX(B$2:B$10000,SMALL(IF(ISNUMBER(MATCH($B$2:$B$10000,$E$6:$E$22,0)),ROW($C$2:$C$10000)-ROW($C$2)+1),ROWS(L$20:L3133))))</f>
        <v/>
      </c>
      <c r="I3133" s="4" t="str">
        <f t="array" ref="I3133">IF(ROWS(M$20:M3133)&gt;$F$6,"",INDEX(C$2:C$10000,SMALL(IF(ISNUMBER(MATCH($B$2:$B$10000,$E$6:$E$22,0)),ROW($C$2:$C$10000)-ROW($C$2)+1),ROWS(M$20:M3133))))</f>
        <v/>
      </c>
      <c r="K3133" s="7" t="str">
        <f t="array" ref="K3133">IF(ROWS(K$20:K3133)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3133))))</f>
        <v/>
      </c>
      <c r="L3133" s="4" t="str">
        <f t="array" ref="L3133">IF(ROWS(L$20:L3133)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3133))))</f>
        <v/>
      </c>
      <c r="M3133" s="4" t="str">
        <f t="array" ref="M3133">IF(ROWS(M$20:M3133)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3133))))</f>
        <v/>
      </c>
    </row>
    <row r="3134" spans="1:13" x14ac:dyDescent="0.25">
      <c r="A3134" s="3">
        <v>41903</v>
      </c>
      <c r="B3134" s="2" t="s">
        <v>23</v>
      </c>
      <c r="C3134" s="2">
        <v>37</v>
      </c>
      <c r="G3134" s="7" t="str">
        <f t="array" ref="G3134">IF(ROWS(K$20:K3134)&gt;$F$6,"",INDEX(A$2:A$10000,SMALL(IF(ISNUMBER(MATCH($B$2:$B$10000,$E$6:$E$22,0)),ROW($C$2:$C$10000)-ROW($C$2)+1),ROWS(K$20:K3134))))</f>
        <v/>
      </c>
      <c r="H3134" s="4" t="str">
        <f t="array" ref="H3134">IF(ROWS(L$20:L3134)&gt;$F$6,"",INDEX(B$2:B$10000,SMALL(IF(ISNUMBER(MATCH($B$2:$B$10000,$E$6:$E$22,0)),ROW($C$2:$C$10000)-ROW($C$2)+1),ROWS(L$20:L3134))))</f>
        <v/>
      </c>
      <c r="I3134" s="4" t="str">
        <f t="array" ref="I3134">IF(ROWS(M$20:M3134)&gt;$F$6,"",INDEX(C$2:C$10000,SMALL(IF(ISNUMBER(MATCH($B$2:$B$10000,$E$6:$E$22,0)),ROW($C$2:$C$10000)-ROW($C$2)+1),ROWS(M$20:M3134))))</f>
        <v/>
      </c>
      <c r="K3134" s="7" t="str">
        <f t="array" ref="K3134">IF(ROWS(K$20:K3134)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3134))))</f>
        <v/>
      </c>
      <c r="L3134" s="4" t="str">
        <f t="array" ref="L3134">IF(ROWS(L$20:L3134)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3134))))</f>
        <v/>
      </c>
      <c r="M3134" s="4" t="str">
        <f t="array" ref="M3134">IF(ROWS(M$20:M3134)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3134))))</f>
        <v/>
      </c>
    </row>
    <row r="3135" spans="1:13" x14ac:dyDescent="0.25">
      <c r="A3135" s="3">
        <v>41638</v>
      </c>
      <c r="B3135" s="2" t="s">
        <v>48</v>
      </c>
      <c r="C3135" s="2">
        <v>48</v>
      </c>
      <c r="G3135" s="7" t="str">
        <f t="array" ref="G3135">IF(ROWS(K$20:K3135)&gt;$F$6,"",INDEX(A$2:A$10000,SMALL(IF(ISNUMBER(MATCH($B$2:$B$10000,$E$6:$E$22,0)),ROW($C$2:$C$10000)-ROW($C$2)+1),ROWS(K$20:K3135))))</f>
        <v/>
      </c>
      <c r="H3135" s="4" t="str">
        <f t="array" ref="H3135">IF(ROWS(L$20:L3135)&gt;$F$6,"",INDEX(B$2:B$10000,SMALL(IF(ISNUMBER(MATCH($B$2:$B$10000,$E$6:$E$22,0)),ROW($C$2:$C$10000)-ROW($C$2)+1),ROWS(L$20:L3135))))</f>
        <v/>
      </c>
      <c r="I3135" s="4" t="str">
        <f t="array" ref="I3135">IF(ROWS(M$20:M3135)&gt;$F$6,"",INDEX(C$2:C$10000,SMALL(IF(ISNUMBER(MATCH($B$2:$B$10000,$E$6:$E$22,0)),ROW($C$2:$C$10000)-ROW($C$2)+1),ROWS(M$20:M3135))))</f>
        <v/>
      </c>
      <c r="K3135" s="7" t="str">
        <f t="array" ref="K3135">IF(ROWS(K$20:K3135)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3135))))</f>
        <v/>
      </c>
      <c r="L3135" s="4" t="str">
        <f t="array" ref="L3135">IF(ROWS(L$20:L3135)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3135))))</f>
        <v/>
      </c>
      <c r="M3135" s="4" t="str">
        <f t="array" ref="M3135">IF(ROWS(M$20:M3135)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3135))))</f>
        <v/>
      </c>
    </row>
    <row r="3136" spans="1:13" x14ac:dyDescent="0.25">
      <c r="A3136" s="3">
        <v>41995</v>
      </c>
      <c r="B3136" s="2" t="s">
        <v>34</v>
      </c>
      <c r="C3136" s="2">
        <v>17</v>
      </c>
      <c r="G3136" s="7" t="str">
        <f t="array" ref="G3136">IF(ROWS(K$20:K3136)&gt;$F$6,"",INDEX(A$2:A$10000,SMALL(IF(ISNUMBER(MATCH($B$2:$B$10000,$E$6:$E$22,0)),ROW($C$2:$C$10000)-ROW($C$2)+1),ROWS(K$20:K3136))))</f>
        <v/>
      </c>
      <c r="H3136" s="4" t="str">
        <f t="array" ref="H3136">IF(ROWS(L$20:L3136)&gt;$F$6,"",INDEX(B$2:B$10000,SMALL(IF(ISNUMBER(MATCH($B$2:$B$10000,$E$6:$E$22,0)),ROW($C$2:$C$10000)-ROW($C$2)+1),ROWS(L$20:L3136))))</f>
        <v/>
      </c>
      <c r="I3136" s="4" t="str">
        <f t="array" ref="I3136">IF(ROWS(M$20:M3136)&gt;$F$6,"",INDEX(C$2:C$10000,SMALL(IF(ISNUMBER(MATCH($B$2:$B$10000,$E$6:$E$22,0)),ROW($C$2:$C$10000)-ROW($C$2)+1),ROWS(M$20:M3136))))</f>
        <v/>
      </c>
      <c r="K3136" s="7" t="str">
        <f t="array" ref="K3136">IF(ROWS(K$20:K3136)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3136))))</f>
        <v/>
      </c>
      <c r="L3136" s="4" t="str">
        <f t="array" ref="L3136">IF(ROWS(L$20:L3136)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3136))))</f>
        <v/>
      </c>
      <c r="M3136" s="4" t="str">
        <f t="array" ref="M3136">IF(ROWS(M$20:M3136)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3136))))</f>
        <v/>
      </c>
    </row>
    <row r="3137" spans="1:13" x14ac:dyDescent="0.25">
      <c r="A3137" s="3">
        <v>41863</v>
      </c>
      <c r="B3137" s="2" t="s">
        <v>46</v>
      </c>
      <c r="C3137" s="2">
        <v>37</v>
      </c>
      <c r="G3137" s="7" t="str">
        <f t="array" ref="G3137">IF(ROWS(K$20:K3137)&gt;$F$6,"",INDEX(A$2:A$10000,SMALL(IF(ISNUMBER(MATCH($B$2:$B$10000,$E$6:$E$22,0)),ROW($C$2:$C$10000)-ROW($C$2)+1),ROWS(K$20:K3137))))</f>
        <v/>
      </c>
      <c r="H3137" s="4" t="str">
        <f t="array" ref="H3137">IF(ROWS(L$20:L3137)&gt;$F$6,"",INDEX(B$2:B$10000,SMALL(IF(ISNUMBER(MATCH($B$2:$B$10000,$E$6:$E$22,0)),ROW($C$2:$C$10000)-ROW($C$2)+1),ROWS(L$20:L3137))))</f>
        <v/>
      </c>
      <c r="I3137" s="4" t="str">
        <f t="array" ref="I3137">IF(ROWS(M$20:M3137)&gt;$F$6,"",INDEX(C$2:C$10000,SMALL(IF(ISNUMBER(MATCH($B$2:$B$10000,$E$6:$E$22,0)),ROW($C$2:$C$10000)-ROW($C$2)+1),ROWS(M$20:M3137))))</f>
        <v/>
      </c>
      <c r="K3137" s="7" t="str">
        <f t="array" ref="K3137">IF(ROWS(K$20:K3137)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3137))))</f>
        <v/>
      </c>
      <c r="L3137" s="4" t="str">
        <f t="array" ref="L3137">IF(ROWS(L$20:L3137)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3137))))</f>
        <v/>
      </c>
      <c r="M3137" s="4" t="str">
        <f t="array" ref="M3137">IF(ROWS(M$20:M3137)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3137))))</f>
        <v/>
      </c>
    </row>
    <row r="3138" spans="1:13" x14ac:dyDescent="0.25">
      <c r="A3138" s="3">
        <v>41486</v>
      </c>
      <c r="B3138" s="2" t="s">
        <v>11</v>
      </c>
      <c r="C3138" s="2">
        <v>13</v>
      </c>
      <c r="G3138" s="7" t="str">
        <f t="array" ref="G3138">IF(ROWS(K$20:K3138)&gt;$F$6,"",INDEX(A$2:A$10000,SMALL(IF(ISNUMBER(MATCH($B$2:$B$10000,$E$6:$E$22,0)),ROW($C$2:$C$10000)-ROW($C$2)+1),ROWS(K$20:K3138))))</f>
        <v/>
      </c>
      <c r="H3138" s="4" t="str">
        <f t="array" ref="H3138">IF(ROWS(L$20:L3138)&gt;$F$6,"",INDEX(B$2:B$10000,SMALL(IF(ISNUMBER(MATCH($B$2:$B$10000,$E$6:$E$22,0)),ROW($C$2:$C$10000)-ROW($C$2)+1),ROWS(L$20:L3138))))</f>
        <v/>
      </c>
      <c r="I3138" s="4" t="str">
        <f t="array" ref="I3138">IF(ROWS(M$20:M3138)&gt;$F$6,"",INDEX(C$2:C$10000,SMALL(IF(ISNUMBER(MATCH($B$2:$B$10000,$E$6:$E$22,0)),ROW($C$2:$C$10000)-ROW($C$2)+1),ROWS(M$20:M3138))))</f>
        <v/>
      </c>
      <c r="K3138" s="7" t="str">
        <f t="array" ref="K3138">IF(ROWS(K$20:K3138)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3138))))</f>
        <v/>
      </c>
      <c r="L3138" s="4" t="str">
        <f t="array" ref="L3138">IF(ROWS(L$20:L3138)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3138))))</f>
        <v/>
      </c>
      <c r="M3138" s="4" t="str">
        <f t="array" ref="M3138">IF(ROWS(M$20:M3138)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3138))))</f>
        <v/>
      </c>
    </row>
    <row r="3139" spans="1:13" x14ac:dyDescent="0.25">
      <c r="A3139" s="3">
        <v>41655</v>
      </c>
      <c r="B3139" s="2" t="s">
        <v>13</v>
      </c>
      <c r="C3139" s="2">
        <v>6</v>
      </c>
      <c r="G3139" s="7" t="str">
        <f t="array" ref="G3139">IF(ROWS(K$20:K3139)&gt;$F$6,"",INDEX(A$2:A$10000,SMALL(IF(ISNUMBER(MATCH($B$2:$B$10000,$E$6:$E$22,0)),ROW($C$2:$C$10000)-ROW($C$2)+1),ROWS(K$20:K3139))))</f>
        <v/>
      </c>
      <c r="H3139" s="4" t="str">
        <f t="array" ref="H3139">IF(ROWS(L$20:L3139)&gt;$F$6,"",INDEX(B$2:B$10000,SMALL(IF(ISNUMBER(MATCH($B$2:$B$10000,$E$6:$E$22,0)),ROW($C$2:$C$10000)-ROW($C$2)+1),ROWS(L$20:L3139))))</f>
        <v/>
      </c>
      <c r="I3139" s="4" t="str">
        <f t="array" ref="I3139">IF(ROWS(M$20:M3139)&gt;$F$6,"",INDEX(C$2:C$10000,SMALL(IF(ISNUMBER(MATCH($B$2:$B$10000,$E$6:$E$22,0)),ROW($C$2:$C$10000)-ROW($C$2)+1),ROWS(M$20:M3139))))</f>
        <v/>
      </c>
      <c r="K3139" s="7" t="str">
        <f t="array" ref="K3139">IF(ROWS(K$20:K3139)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3139))))</f>
        <v/>
      </c>
      <c r="L3139" s="4" t="str">
        <f t="array" ref="L3139">IF(ROWS(L$20:L3139)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3139))))</f>
        <v/>
      </c>
      <c r="M3139" s="4" t="str">
        <f t="array" ref="M3139">IF(ROWS(M$20:M3139)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3139))))</f>
        <v/>
      </c>
    </row>
    <row r="3140" spans="1:13" x14ac:dyDescent="0.25">
      <c r="A3140" s="3">
        <v>41315</v>
      </c>
      <c r="B3140" s="2" t="s">
        <v>26</v>
      </c>
      <c r="C3140" s="2">
        <v>6</v>
      </c>
      <c r="G3140" s="7" t="str">
        <f t="array" ref="G3140">IF(ROWS(K$20:K3140)&gt;$F$6,"",INDEX(A$2:A$10000,SMALL(IF(ISNUMBER(MATCH($B$2:$B$10000,$E$6:$E$22,0)),ROW($C$2:$C$10000)-ROW($C$2)+1),ROWS(K$20:K3140))))</f>
        <v/>
      </c>
      <c r="H3140" s="4" t="str">
        <f t="array" ref="H3140">IF(ROWS(L$20:L3140)&gt;$F$6,"",INDEX(B$2:B$10000,SMALL(IF(ISNUMBER(MATCH($B$2:$B$10000,$E$6:$E$22,0)),ROW($C$2:$C$10000)-ROW($C$2)+1),ROWS(L$20:L3140))))</f>
        <v/>
      </c>
      <c r="I3140" s="4" t="str">
        <f t="array" ref="I3140">IF(ROWS(M$20:M3140)&gt;$F$6,"",INDEX(C$2:C$10000,SMALL(IF(ISNUMBER(MATCH($B$2:$B$10000,$E$6:$E$22,0)),ROW($C$2:$C$10000)-ROW($C$2)+1),ROWS(M$20:M3140))))</f>
        <v/>
      </c>
      <c r="K3140" s="7" t="str">
        <f t="array" ref="K3140">IF(ROWS(K$20:K3140)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3140))))</f>
        <v/>
      </c>
      <c r="L3140" s="4" t="str">
        <f t="array" ref="L3140">IF(ROWS(L$20:L3140)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3140))))</f>
        <v/>
      </c>
      <c r="M3140" s="4" t="str">
        <f t="array" ref="M3140">IF(ROWS(M$20:M3140)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3140))))</f>
        <v/>
      </c>
    </row>
    <row r="3141" spans="1:13" x14ac:dyDescent="0.25">
      <c r="A3141" s="3">
        <v>41624</v>
      </c>
      <c r="B3141" s="2" t="s">
        <v>20</v>
      </c>
      <c r="C3141" s="2">
        <v>7</v>
      </c>
      <c r="G3141" s="7" t="str">
        <f t="array" ref="G3141">IF(ROWS(K$20:K3141)&gt;$F$6,"",INDEX(A$2:A$10000,SMALL(IF(ISNUMBER(MATCH($B$2:$B$10000,$E$6:$E$22,0)),ROW($C$2:$C$10000)-ROW($C$2)+1),ROWS(K$20:K3141))))</f>
        <v/>
      </c>
      <c r="H3141" s="4" t="str">
        <f t="array" ref="H3141">IF(ROWS(L$20:L3141)&gt;$F$6,"",INDEX(B$2:B$10000,SMALL(IF(ISNUMBER(MATCH($B$2:$B$10000,$E$6:$E$22,0)),ROW($C$2:$C$10000)-ROW($C$2)+1),ROWS(L$20:L3141))))</f>
        <v/>
      </c>
      <c r="I3141" s="4" t="str">
        <f t="array" ref="I3141">IF(ROWS(M$20:M3141)&gt;$F$6,"",INDEX(C$2:C$10000,SMALL(IF(ISNUMBER(MATCH($B$2:$B$10000,$E$6:$E$22,0)),ROW($C$2:$C$10000)-ROW($C$2)+1),ROWS(M$20:M3141))))</f>
        <v/>
      </c>
      <c r="K3141" s="7" t="str">
        <f t="array" ref="K3141">IF(ROWS(K$20:K3141)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3141))))</f>
        <v/>
      </c>
      <c r="L3141" s="4" t="str">
        <f t="array" ref="L3141">IF(ROWS(L$20:L3141)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3141))))</f>
        <v/>
      </c>
      <c r="M3141" s="4" t="str">
        <f t="array" ref="M3141">IF(ROWS(M$20:M3141)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3141))))</f>
        <v/>
      </c>
    </row>
    <row r="3142" spans="1:13" x14ac:dyDescent="0.25">
      <c r="A3142" s="3">
        <v>41686</v>
      </c>
      <c r="B3142" s="2" t="s">
        <v>12</v>
      </c>
      <c r="C3142" s="2">
        <v>5</v>
      </c>
      <c r="G3142" s="7" t="str">
        <f t="array" ref="G3142">IF(ROWS(K$20:K3142)&gt;$F$6,"",INDEX(A$2:A$10000,SMALL(IF(ISNUMBER(MATCH($B$2:$B$10000,$E$6:$E$22,0)),ROW($C$2:$C$10000)-ROW($C$2)+1),ROWS(K$20:K3142))))</f>
        <v/>
      </c>
      <c r="H3142" s="4" t="str">
        <f t="array" ref="H3142">IF(ROWS(L$20:L3142)&gt;$F$6,"",INDEX(B$2:B$10000,SMALL(IF(ISNUMBER(MATCH($B$2:$B$10000,$E$6:$E$22,0)),ROW($C$2:$C$10000)-ROW($C$2)+1),ROWS(L$20:L3142))))</f>
        <v/>
      </c>
      <c r="I3142" s="4" t="str">
        <f t="array" ref="I3142">IF(ROWS(M$20:M3142)&gt;$F$6,"",INDEX(C$2:C$10000,SMALL(IF(ISNUMBER(MATCH($B$2:$B$10000,$E$6:$E$22,0)),ROW($C$2:$C$10000)-ROW($C$2)+1),ROWS(M$20:M3142))))</f>
        <v/>
      </c>
      <c r="K3142" s="7" t="str">
        <f t="array" ref="K3142">IF(ROWS(K$20:K3142)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3142))))</f>
        <v/>
      </c>
      <c r="L3142" s="4" t="str">
        <f t="array" ref="L3142">IF(ROWS(L$20:L3142)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3142))))</f>
        <v/>
      </c>
      <c r="M3142" s="4" t="str">
        <f t="array" ref="M3142">IF(ROWS(M$20:M3142)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3142))))</f>
        <v/>
      </c>
    </row>
    <row r="3143" spans="1:13" x14ac:dyDescent="0.25">
      <c r="A3143" s="3">
        <v>41461</v>
      </c>
      <c r="B3143" s="2" t="s">
        <v>15</v>
      </c>
      <c r="C3143" s="2">
        <v>48</v>
      </c>
      <c r="G3143" s="7" t="str">
        <f t="array" ref="G3143">IF(ROWS(K$20:K3143)&gt;$F$6,"",INDEX(A$2:A$10000,SMALL(IF(ISNUMBER(MATCH($B$2:$B$10000,$E$6:$E$22,0)),ROW($C$2:$C$10000)-ROW($C$2)+1),ROWS(K$20:K3143))))</f>
        <v/>
      </c>
      <c r="H3143" s="4" t="str">
        <f t="array" ref="H3143">IF(ROWS(L$20:L3143)&gt;$F$6,"",INDEX(B$2:B$10000,SMALL(IF(ISNUMBER(MATCH($B$2:$B$10000,$E$6:$E$22,0)),ROW($C$2:$C$10000)-ROW($C$2)+1),ROWS(L$20:L3143))))</f>
        <v/>
      </c>
      <c r="I3143" s="4" t="str">
        <f t="array" ref="I3143">IF(ROWS(M$20:M3143)&gt;$F$6,"",INDEX(C$2:C$10000,SMALL(IF(ISNUMBER(MATCH($B$2:$B$10000,$E$6:$E$22,0)),ROW($C$2:$C$10000)-ROW($C$2)+1),ROWS(M$20:M3143))))</f>
        <v/>
      </c>
      <c r="K3143" s="7" t="str">
        <f t="array" ref="K3143">IF(ROWS(K$20:K3143)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3143))))</f>
        <v/>
      </c>
      <c r="L3143" s="4" t="str">
        <f t="array" ref="L3143">IF(ROWS(L$20:L3143)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3143))))</f>
        <v/>
      </c>
      <c r="M3143" s="4" t="str">
        <f t="array" ref="M3143">IF(ROWS(M$20:M3143)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3143))))</f>
        <v/>
      </c>
    </row>
    <row r="3144" spans="1:13" x14ac:dyDescent="0.25">
      <c r="A3144" s="3">
        <v>41339</v>
      </c>
      <c r="B3144" s="2" t="s">
        <v>28</v>
      </c>
      <c r="C3144" s="2">
        <v>20</v>
      </c>
      <c r="G3144" s="7" t="str">
        <f t="array" ref="G3144">IF(ROWS(K$20:K3144)&gt;$F$6,"",INDEX(A$2:A$10000,SMALL(IF(ISNUMBER(MATCH($B$2:$B$10000,$E$6:$E$22,0)),ROW($C$2:$C$10000)-ROW($C$2)+1),ROWS(K$20:K3144))))</f>
        <v/>
      </c>
      <c r="H3144" s="4" t="str">
        <f t="array" ref="H3144">IF(ROWS(L$20:L3144)&gt;$F$6,"",INDEX(B$2:B$10000,SMALL(IF(ISNUMBER(MATCH($B$2:$B$10000,$E$6:$E$22,0)),ROW($C$2:$C$10000)-ROW($C$2)+1),ROWS(L$20:L3144))))</f>
        <v/>
      </c>
      <c r="I3144" s="4" t="str">
        <f t="array" ref="I3144">IF(ROWS(M$20:M3144)&gt;$F$6,"",INDEX(C$2:C$10000,SMALL(IF(ISNUMBER(MATCH($B$2:$B$10000,$E$6:$E$22,0)),ROW($C$2:$C$10000)-ROW($C$2)+1),ROWS(M$20:M3144))))</f>
        <v/>
      </c>
      <c r="K3144" s="7" t="str">
        <f t="array" ref="K3144">IF(ROWS(K$20:K3144)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3144))))</f>
        <v/>
      </c>
      <c r="L3144" s="4" t="str">
        <f t="array" ref="L3144">IF(ROWS(L$20:L3144)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3144))))</f>
        <v/>
      </c>
      <c r="M3144" s="4" t="str">
        <f t="array" ref="M3144">IF(ROWS(M$20:M3144)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3144))))</f>
        <v/>
      </c>
    </row>
    <row r="3145" spans="1:13" x14ac:dyDescent="0.25">
      <c r="A3145" s="3">
        <v>41832</v>
      </c>
      <c r="B3145" s="2" t="s">
        <v>51</v>
      </c>
      <c r="C3145" s="2">
        <v>28</v>
      </c>
      <c r="G3145" s="7" t="str">
        <f t="array" ref="G3145">IF(ROWS(K$20:K3145)&gt;$F$6,"",INDEX(A$2:A$10000,SMALL(IF(ISNUMBER(MATCH($B$2:$B$10000,$E$6:$E$22,0)),ROW($C$2:$C$10000)-ROW($C$2)+1),ROWS(K$20:K3145))))</f>
        <v/>
      </c>
      <c r="H3145" s="4" t="str">
        <f t="array" ref="H3145">IF(ROWS(L$20:L3145)&gt;$F$6,"",INDEX(B$2:B$10000,SMALL(IF(ISNUMBER(MATCH($B$2:$B$10000,$E$6:$E$22,0)),ROW($C$2:$C$10000)-ROW($C$2)+1),ROWS(L$20:L3145))))</f>
        <v/>
      </c>
      <c r="I3145" s="4" t="str">
        <f t="array" ref="I3145">IF(ROWS(M$20:M3145)&gt;$F$6,"",INDEX(C$2:C$10000,SMALL(IF(ISNUMBER(MATCH($B$2:$B$10000,$E$6:$E$22,0)),ROW($C$2:$C$10000)-ROW($C$2)+1),ROWS(M$20:M3145))))</f>
        <v/>
      </c>
      <c r="K3145" s="7" t="str">
        <f t="array" ref="K3145">IF(ROWS(K$20:K3145)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3145))))</f>
        <v/>
      </c>
      <c r="L3145" s="4" t="str">
        <f t="array" ref="L3145">IF(ROWS(L$20:L3145)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3145))))</f>
        <v/>
      </c>
      <c r="M3145" s="4" t="str">
        <f t="array" ref="M3145">IF(ROWS(M$20:M3145)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3145))))</f>
        <v/>
      </c>
    </row>
    <row r="3146" spans="1:13" x14ac:dyDescent="0.25">
      <c r="A3146" s="3">
        <v>41541</v>
      </c>
      <c r="B3146" s="2" t="s">
        <v>46</v>
      </c>
      <c r="C3146" s="2">
        <v>43</v>
      </c>
      <c r="G3146" s="7" t="str">
        <f t="array" ref="G3146">IF(ROWS(K$20:K3146)&gt;$F$6,"",INDEX(A$2:A$10000,SMALL(IF(ISNUMBER(MATCH($B$2:$B$10000,$E$6:$E$22,0)),ROW($C$2:$C$10000)-ROW($C$2)+1),ROWS(K$20:K3146))))</f>
        <v/>
      </c>
      <c r="H3146" s="4" t="str">
        <f t="array" ref="H3146">IF(ROWS(L$20:L3146)&gt;$F$6,"",INDEX(B$2:B$10000,SMALL(IF(ISNUMBER(MATCH($B$2:$B$10000,$E$6:$E$22,0)),ROW($C$2:$C$10000)-ROW($C$2)+1),ROWS(L$20:L3146))))</f>
        <v/>
      </c>
      <c r="I3146" s="4" t="str">
        <f t="array" ref="I3146">IF(ROWS(M$20:M3146)&gt;$F$6,"",INDEX(C$2:C$10000,SMALL(IF(ISNUMBER(MATCH($B$2:$B$10000,$E$6:$E$22,0)),ROW($C$2:$C$10000)-ROW($C$2)+1),ROWS(M$20:M3146))))</f>
        <v/>
      </c>
      <c r="K3146" s="7" t="str">
        <f t="array" ref="K3146">IF(ROWS(K$20:K3146)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3146))))</f>
        <v/>
      </c>
      <c r="L3146" s="4" t="str">
        <f t="array" ref="L3146">IF(ROWS(L$20:L3146)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3146))))</f>
        <v/>
      </c>
      <c r="M3146" s="4" t="str">
        <f t="array" ref="M3146">IF(ROWS(M$20:M3146)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3146))))</f>
        <v/>
      </c>
    </row>
    <row r="3147" spans="1:13" x14ac:dyDescent="0.25">
      <c r="A3147" s="3">
        <v>41386</v>
      </c>
      <c r="B3147" s="2" t="s">
        <v>3</v>
      </c>
      <c r="C3147" s="2">
        <v>0</v>
      </c>
      <c r="G3147" s="7" t="str">
        <f t="array" ref="G3147">IF(ROWS(K$20:K3147)&gt;$F$6,"",INDEX(A$2:A$10000,SMALL(IF(ISNUMBER(MATCH($B$2:$B$10000,$E$6:$E$22,0)),ROW($C$2:$C$10000)-ROW($C$2)+1),ROWS(K$20:K3147))))</f>
        <v/>
      </c>
      <c r="H3147" s="4" t="str">
        <f t="array" ref="H3147">IF(ROWS(L$20:L3147)&gt;$F$6,"",INDEX(B$2:B$10000,SMALL(IF(ISNUMBER(MATCH($B$2:$B$10000,$E$6:$E$22,0)),ROW($C$2:$C$10000)-ROW($C$2)+1),ROWS(L$20:L3147))))</f>
        <v/>
      </c>
      <c r="I3147" s="4" t="str">
        <f t="array" ref="I3147">IF(ROWS(M$20:M3147)&gt;$F$6,"",INDEX(C$2:C$10000,SMALL(IF(ISNUMBER(MATCH($B$2:$B$10000,$E$6:$E$22,0)),ROW($C$2:$C$10000)-ROW($C$2)+1),ROWS(M$20:M3147))))</f>
        <v/>
      </c>
      <c r="K3147" s="7" t="str">
        <f t="array" ref="K3147">IF(ROWS(K$20:K3147)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3147))))</f>
        <v/>
      </c>
      <c r="L3147" s="4" t="str">
        <f t="array" ref="L3147">IF(ROWS(L$20:L3147)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3147))))</f>
        <v/>
      </c>
      <c r="M3147" s="4" t="str">
        <f t="array" ref="M3147">IF(ROWS(M$20:M3147)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3147))))</f>
        <v/>
      </c>
    </row>
    <row r="3148" spans="1:13" x14ac:dyDescent="0.25">
      <c r="A3148" s="3">
        <v>41589</v>
      </c>
      <c r="B3148" s="2" t="s">
        <v>13</v>
      </c>
      <c r="C3148" s="2">
        <v>18</v>
      </c>
      <c r="G3148" s="7" t="str">
        <f t="array" ref="G3148">IF(ROWS(K$20:K3148)&gt;$F$6,"",INDEX(A$2:A$10000,SMALL(IF(ISNUMBER(MATCH($B$2:$B$10000,$E$6:$E$22,0)),ROW($C$2:$C$10000)-ROW($C$2)+1),ROWS(K$20:K3148))))</f>
        <v/>
      </c>
      <c r="H3148" s="4" t="str">
        <f t="array" ref="H3148">IF(ROWS(L$20:L3148)&gt;$F$6,"",INDEX(B$2:B$10000,SMALL(IF(ISNUMBER(MATCH($B$2:$B$10000,$E$6:$E$22,0)),ROW($C$2:$C$10000)-ROW($C$2)+1),ROWS(L$20:L3148))))</f>
        <v/>
      </c>
      <c r="I3148" s="4" t="str">
        <f t="array" ref="I3148">IF(ROWS(M$20:M3148)&gt;$F$6,"",INDEX(C$2:C$10000,SMALL(IF(ISNUMBER(MATCH($B$2:$B$10000,$E$6:$E$22,0)),ROW($C$2:$C$10000)-ROW($C$2)+1),ROWS(M$20:M3148))))</f>
        <v/>
      </c>
      <c r="K3148" s="7" t="str">
        <f t="array" ref="K3148">IF(ROWS(K$20:K3148)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3148))))</f>
        <v/>
      </c>
      <c r="L3148" s="4" t="str">
        <f t="array" ref="L3148">IF(ROWS(L$20:L3148)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3148))))</f>
        <v/>
      </c>
      <c r="M3148" s="4" t="str">
        <f t="array" ref="M3148">IF(ROWS(M$20:M3148)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3148))))</f>
        <v/>
      </c>
    </row>
    <row r="3149" spans="1:13" x14ac:dyDescent="0.25">
      <c r="A3149" s="3">
        <v>41958</v>
      </c>
      <c r="B3149" s="2" t="s">
        <v>21</v>
      </c>
      <c r="C3149" s="2">
        <v>65</v>
      </c>
      <c r="G3149" s="7" t="str">
        <f t="array" ref="G3149">IF(ROWS(K$20:K3149)&gt;$F$6,"",INDEX(A$2:A$10000,SMALL(IF(ISNUMBER(MATCH($B$2:$B$10000,$E$6:$E$22,0)),ROW($C$2:$C$10000)-ROW($C$2)+1),ROWS(K$20:K3149))))</f>
        <v/>
      </c>
      <c r="H3149" s="4" t="str">
        <f t="array" ref="H3149">IF(ROWS(L$20:L3149)&gt;$F$6,"",INDEX(B$2:B$10000,SMALL(IF(ISNUMBER(MATCH($B$2:$B$10000,$E$6:$E$22,0)),ROW($C$2:$C$10000)-ROW($C$2)+1),ROWS(L$20:L3149))))</f>
        <v/>
      </c>
      <c r="I3149" s="4" t="str">
        <f t="array" ref="I3149">IF(ROWS(M$20:M3149)&gt;$F$6,"",INDEX(C$2:C$10000,SMALL(IF(ISNUMBER(MATCH($B$2:$B$10000,$E$6:$E$22,0)),ROW($C$2:$C$10000)-ROW($C$2)+1),ROWS(M$20:M3149))))</f>
        <v/>
      </c>
      <c r="K3149" s="7" t="str">
        <f t="array" ref="K3149">IF(ROWS(K$20:K3149)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3149))))</f>
        <v/>
      </c>
      <c r="L3149" s="4" t="str">
        <f t="array" ref="L3149">IF(ROWS(L$20:L3149)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3149))))</f>
        <v/>
      </c>
      <c r="M3149" s="4" t="str">
        <f t="array" ref="M3149">IF(ROWS(M$20:M3149)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3149))))</f>
        <v/>
      </c>
    </row>
    <row r="3150" spans="1:13" x14ac:dyDescent="0.25">
      <c r="A3150" s="3">
        <v>41641</v>
      </c>
      <c r="B3150" s="2" t="s">
        <v>18</v>
      </c>
      <c r="C3150" s="2">
        <v>23</v>
      </c>
      <c r="G3150" s="7" t="str">
        <f t="array" ref="G3150">IF(ROWS(K$20:K3150)&gt;$F$6,"",INDEX(A$2:A$10000,SMALL(IF(ISNUMBER(MATCH($B$2:$B$10000,$E$6:$E$22,0)),ROW($C$2:$C$10000)-ROW($C$2)+1),ROWS(K$20:K3150))))</f>
        <v/>
      </c>
      <c r="H3150" s="4" t="str">
        <f t="array" ref="H3150">IF(ROWS(L$20:L3150)&gt;$F$6,"",INDEX(B$2:B$10000,SMALL(IF(ISNUMBER(MATCH($B$2:$B$10000,$E$6:$E$22,0)),ROW($C$2:$C$10000)-ROW($C$2)+1),ROWS(L$20:L3150))))</f>
        <v/>
      </c>
      <c r="I3150" s="4" t="str">
        <f t="array" ref="I3150">IF(ROWS(M$20:M3150)&gt;$F$6,"",INDEX(C$2:C$10000,SMALL(IF(ISNUMBER(MATCH($B$2:$B$10000,$E$6:$E$22,0)),ROW($C$2:$C$10000)-ROW($C$2)+1),ROWS(M$20:M3150))))</f>
        <v/>
      </c>
      <c r="K3150" s="7" t="str">
        <f t="array" ref="K3150">IF(ROWS(K$20:K3150)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3150))))</f>
        <v/>
      </c>
      <c r="L3150" s="4" t="str">
        <f t="array" ref="L3150">IF(ROWS(L$20:L3150)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3150))))</f>
        <v/>
      </c>
      <c r="M3150" s="4" t="str">
        <f t="array" ref="M3150">IF(ROWS(M$20:M3150)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3150))))</f>
        <v/>
      </c>
    </row>
    <row r="3151" spans="1:13" x14ac:dyDescent="0.25">
      <c r="A3151" s="3">
        <v>41451</v>
      </c>
      <c r="B3151" s="2" t="s">
        <v>28</v>
      </c>
      <c r="C3151" s="2">
        <v>20</v>
      </c>
      <c r="G3151" s="7" t="str">
        <f t="array" ref="G3151">IF(ROWS(K$20:K3151)&gt;$F$6,"",INDEX(A$2:A$10000,SMALL(IF(ISNUMBER(MATCH($B$2:$B$10000,$E$6:$E$22,0)),ROW($C$2:$C$10000)-ROW($C$2)+1),ROWS(K$20:K3151))))</f>
        <v/>
      </c>
      <c r="H3151" s="4" t="str">
        <f t="array" ref="H3151">IF(ROWS(L$20:L3151)&gt;$F$6,"",INDEX(B$2:B$10000,SMALL(IF(ISNUMBER(MATCH($B$2:$B$10000,$E$6:$E$22,0)),ROW($C$2:$C$10000)-ROW($C$2)+1),ROWS(L$20:L3151))))</f>
        <v/>
      </c>
      <c r="I3151" s="4" t="str">
        <f t="array" ref="I3151">IF(ROWS(M$20:M3151)&gt;$F$6,"",INDEX(C$2:C$10000,SMALL(IF(ISNUMBER(MATCH($B$2:$B$10000,$E$6:$E$22,0)),ROW($C$2:$C$10000)-ROW($C$2)+1),ROWS(M$20:M3151))))</f>
        <v/>
      </c>
      <c r="K3151" s="7" t="str">
        <f t="array" ref="K3151">IF(ROWS(K$20:K3151)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3151))))</f>
        <v/>
      </c>
      <c r="L3151" s="4" t="str">
        <f t="array" ref="L3151">IF(ROWS(L$20:L3151)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3151))))</f>
        <v/>
      </c>
      <c r="M3151" s="4" t="str">
        <f t="array" ref="M3151">IF(ROWS(M$20:M3151)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3151))))</f>
        <v/>
      </c>
    </row>
    <row r="3152" spans="1:13" x14ac:dyDescent="0.25">
      <c r="A3152" s="3">
        <v>41636</v>
      </c>
      <c r="B3152" s="2" t="s">
        <v>44</v>
      </c>
      <c r="C3152" s="2">
        <v>14</v>
      </c>
      <c r="G3152" s="7" t="str">
        <f t="array" ref="G3152">IF(ROWS(K$20:K3152)&gt;$F$6,"",INDEX(A$2:A$10000,SMALL(IF(ISNUMBER(MATCH($B$2:$B$10000,$E$6:$E$22,0)),ROW($C$2:$C$10000)-ROW($C$2)+1),ROWS(K$20:K3152))))</f>
        <v/>
      </c>
      <c r="H3152" s="4" t="str">
        <f t="array" ref="H3152">IF(ROWS(L$20:L3152)&gt;$F$6,"",INDEX(B$2:B$10000,SMALL(IF(ISNUMBER(MATCH($B$2:$B$10000,$E$6:$E$22,0)),ROW($C$2:$C$10000)-ROW($C$2)+1),ROWS(L$20:L3152))))</f>
        <v/>
      </c>
      <c r="I3152" s="4" t="str">
        <f t="array" ref="I3152">IF(ROWS(M$20:M3152)&gt;$F$6,"",INDEX(C$2:C$10000,SMALL(IF(ISNUMBER(MATCH($B$2:$B$10000,$E$6:$E$22,0)),ROW($C$2:$C$10000)-ROW($C$2)+1),ROWS(M$20:M3152))))</f>
        <v/>
      </c>
      <c r="K3152" s="7" t="str">
        <f t="array" ref="K3152">IF(ROWS(K$20:K3152)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3152))))</f>
        <v/>
      </c>
      <c r="L3152" s="4" t="str">
        <f t="array" ref="L3152">IF(ROWS(L$20:L3152)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3152))))</f>
        <v/>
      </c>
      <c r="M3152" s="4" t="str">
        <f t="array" ref="M3152">IF(ROWS(M$20:M3152)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3152))))</f>
        <v/>
      </c>
    </row>
    <row r="3153" spans="1:13" x14ac:dyDescent="0.25">
      <c r="A3153" s="3">
        <v>41990</v>
      </c>
      <c r="B3153" s="2" t="s">
        <v>21</v>
      </c>
      <c r="C3153" s="2">
        <v>39</v>
      </c>
      <c r="G3153" s="7" t="str">
        <f t="array" ref="G3153">IF(ROWS(K$20:K3153)&gt;$F$6,"",INDEX(A$2:A$10000,SMALL(IF(ISNUMBER(MATCH($B$2:$B$10000,$E$6:$E$22,0)),ROW($C$2:$C$10000)-ROW($C$2)+1),ROWS(K$20:K3153))))</f>
        <v/>
      </c>
      <c r="H3153" s="4" t="str">
        <f t="array" ref="H3153">IF(ROWS(L$20:L3153)&gt;$F$6,"",INDEX(B$2:B$10000,SMALL(IF(ISNUMBER(MATCH($B$2:$B$10000,$E$6:$E$22,0)),ROW($C$2:$C$10000)-ROW($C$2)+1),ROWS(L$20:L3153))))</f>
        <v/>
      </c>
      <c r="I3153" s="4" t="str">
        <f t="array" ref="I3153">IF(ROWS(M$20:M3153)&gt;$F$6,"",INDEX(C$2:C$10000,SMALL(IF(ISNUMBER(MATCH($B$2:$B$10000,$E$6:$E$22,0)),ROW($C$2:$C$10000)-ROW($C$2)+1),ROWS(M$20:M3153))))</f>
        <v/>
      </c>
      <c r="K3153" s="7" t="str">
        <f t="array" ref="K3153">IF(ROWS(K$20:K3153)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3153))))</f>
        <v/>
      </c>
      <c r="L3153" s="4" t="str">
        <f t="array" ref="L3153">IF(ROWS(L$20:L3153)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3153))))</f>
        <v/>
      </c>
      <c r="M3153" s="4" t="str">
        <f t="array" ref="M3153">IF(ROWS(M$20:M3153)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3153))))</f>
        <v/>
      </c>
    </row>
    <row r="3154" spans="1:13" x14ac:dyDescent="0.25">
      <c r="A3154" s="3">
        <v>41479</v>
      </c>
      <c r="B3154" s="2" t="s">
        <v>16</v>
      </c>
      <c r="C3154" s="2">
        <v>29</v>
      </c>
      <c r="G3154" s="7" t="str">
        <f t="array" ref="G3154">IF(ROWS(K$20:K3154)&gt;$F$6,"",INDEX(A$2:A$10000,SMALL(IF(ISNUMBER(MATCH($B$2:$B$10000,$E$6:$E$22,0)),ROW($C$2:$C$10000)-ROW($C$2)+1),ROWS(K$20:K3154))))</f>
        <v/>
      </c>
      <c r="H3154" s="4" t="str">
        <f t="array" ref="H3154">IF(ROWS(L$20:L3154)&gt;$F$6,"",INDEX(B$2:B$10000,SMALL(IF(ISNUMBER(MATCH($B$2:$B$10000,$E$6:$E$22,0)),ROW($C$2:$C$10000)-ROW($C$2)+1),ROWS(L$20:L3154))))</f>
        <v/>
      </c>
      <c r="I3154" s="4" t="str">
        <f t="array" ref="I3154">IF(ROWS(M$20:M3154)&gt;$F$6,"",INDEX(C$2:C$10000,SMALL(IF(ISNUMBER(MATCH($B$2:$B$10000,$E$6:$E$22,0)),ROW($C$2:$C$10000)-ROW($C$2)+1),ROWS(M$20:M3154))))</f>
        <v/>
      </c>
      <c r="K3154" s="7" t="str">
        <f t="array" ref="K3154">IF(ROWS(K$20:K3154)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3154))))</f>
        <v/>
      </c>
      <c r="L3154" s="4" t="str">
        <f t="array" ref="L3154">IF(ROWS(L$20:L3154)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3154))))</f>
        <v/>
      </c>
      <c r="M3154" s="4" t="str">
        <f t="array" ref="M3154">IF(ROWS(M$20:M3154)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3154))))</f>
        <v/>
      </c>
    </row>
    <row r="3155" spans="1:13" x14ac:dyDescent="0.25">
      <c r="A3155" s="3">
        <v>41899</v>
      </c>
      <c r="B3155" s="2" t="s">
        <v>25</v>
      </c>
      <c r="C3155" s="2">
        <v>25</v>
      </c>
      <c r="G3155" s="7" t="str">
        <f t="array" ref="G3155">IF(ROWS(K$20:K3155)&gt;$F$6,"",INDEX(A$2:A$10000,SMALL(IF(ISNUMBER(MATCH($B$2:$B$10000,$E$6:$E$22,0)),ROW($C$2:$C$10000)-ROW($C$2)+1),ROWS(K$20:K3155))))</f>
        <v/>
      </c>
      <c r="H3155" s="4" t="str">
        <f t="array" ref="H3155">IF(ROWS(L$20:L3155)&gt;$F$6,"",INDEX(B$2:B$10000,SMALL(IF(ISNUMBER(MATCH($B$2:$B$10000,$E$6:$E$22,0)),ROW($C$2:$C$10000)-ROW($C$2)+1),ROWS(L$20:L3155))))</f>
        <v/>
      </c>
      <c r="I3155" s="4" t="str">
        <f t="array" ref="I3155">IF(ROWS(M$20:M3155)&gt;$F$6,"",INDEX(C$2:C$10000,SMALL(IF(ISNUMBER(MATCH($B$2:$B$10000,$E$6:$E$22,0)),ROW($C$2:$C$10000)-ROW($C$2)+1),ROWS(M$20:M3155))))</f>
        <v/>
      </c>
      <c r="K3155" s="7" t="str">
        <f t="array" ref="K3155">IF(ROWS(K$20:K3155)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3155))))</f>
        <v/>
      </c>
      <c r="L3155" s="4" t="str">
        <f t="array" ref="L3155">IF(ROWS(L$20:L3155)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3155))))</f>
        <v/>
      </c>
      <c r="M3155" s="4" t="str">
        <f t="array" ref="M3155">IF(ROWS(M$20:M3155)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3155))))</f>
        <v/>
      </c>
    </row>
    <row r="3156" spans="1:13" x14ac:dyDescent="0.25">
      <c r="A3156" s="3">
        <v>41783</v>
      </c>
      <c r="B3156" s="2" t="s">
        <v>6</v>
      </c>
      <c r="C3156" s="2">
        <v>14</v>
      </c>
      <c r="G3156" s="7" t="str">
        <f t="array" ref="G3156">IF(ROWS(K$20:K3156)&gt;$F$6,"",INDEX(A$2:A$10000,SMALL(IF(ISNUMBER(MATCH($B$2:$B$10000,$E$6:$E$22,0)),ROW($C$2:$C$10000)-ROW($C$2)+1),ROWS(K$20:K3156))))</f>
        <v/>
      </c>
      <c r="H3156" s="4" t="str">
        <f t="array" ref="H3156">IF(ROWS(L$20:L3156)&gt;$F$6,"",INDEX(B$2:B$10000,SMALL(IF(ISNUMBER(MATCH($B$2:$B$10000,$E$6:$E$22,0)),ROW($C$2:$C$10000)-ROW($C$2)+1),ROWS(L$20:L3156))))</f>
        <v/>
      </c>
      <c r="I3156" s="4" t="str">
        <f t="array" ref="I3156">IF(ROWS(M$20:M3156)&gt;$F$6,"",INDEX(C$2:C$10000,SMALL(IF(ISNUMBER(MATCH($B$2:$B$10000,$E$6:$E$22,0)),ROW($C$2:$C$10000)-ROW($C$2)+1),ROWS(M$20:M3156))))</f>
        <v/>
      </c>
      <c r="K3156" s="7" t="str">
        <f t="array" ref="K3156">IF(ROWS(K$20:K3156)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3156))))</f>
        <v/>
      </c>
      <c r="L3156" s="4" t="str">
        <f t="array" ref="L3156">IF(ROWS(L$20:L3156)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3156))))</f>
        <v/>
      </c>
      <c r="M3156" s="4" t="str">
        <f t="array" ref="M3156">IF(ROWS(M$20:M3156)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3156))))</f>
        <v/>
      </c>
    </row>
    <row r="3157" spans="1:13" x14ac:dyDescent="0.25">
      <c r="A3157" s="3">
        <v>41524</v>
      </c>
      <c r="B3157" s="2" t="s">
        <v>21</v>
      </c>
      <c r="C3157" s="2">
        <v>5</v>
      </c>
      <c r="G3157" s="7" t="str">
        <f t="array" ref="G3157">IF(ROWS(K$20:K3157)&gt;$F$6,"",INDEX(A$2:A$10000,SMALL(IF(ISNUMBER(MATCH($B$2:$B$10000,$E$6:$E$22,0)),ROW($C$2:$C$10000)-ROW($C$2)+1),ROWS(K$20:K3157))))</f>
        <v/>
      </c>
      <c r="H3157" s="4" t="str">
        <f t="array" ref="H3157">IF(ROWS(L$20:L3157)&gt;$F$6,"",INDEX(B$2:B$10000,SMALL(IF(ISNUMBER(MATCH($B$2:$B$10000,$E$6:$E$22,0)),ROW($C$2:$C$10000)-ROW($C$2)+1),ROWS(L$20:L3157))))</f>
        <v/>
      </c>
      <c r="I3157" s="4" t="str">
        <f t="array" ref="I3157">IF(ROWS(M$20:M3157)&gt;$F$6,"",INDEX(C$2:C$10000,SMALL(IF(ISNUMBER(MATCH($B$2:$B$10000,$E$6:$E$22,0)),ROW($C$2:$C$10000)-ROW($C$2)+1),ROWS(M$20:M3157))))</f>
        <v/>
      </c>
      <c r="K3157" s="7" t="str">
        <f t="array" ref="K3157">IF(ROWS(K$20:K3157)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3157))))</f>
        <v/>
      </c>
      <c r="L3157" s="4" t="str">
        <f t="array" ref="L3157">IF(ROWS(L$20:L3157)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3157))))</f>
        <v/>
      </c>
      <c r="M3157" s="4" t="str">
        <f t="array" ref="M3157">IF(ROWS(M$20:M3157)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3157))))</f>
        <v/>
      </c>
    </row>
    <row r="3158" spans="1:13" x14ac:dyDescent="0.25">
      <c r="A3158" s="3">
        <v>41742</v>
      </c>
      <c r="B3158" s="2" t="s">
        <v>22</v>
      </c>
      <c r="C3158" s="2">
        <v>2</v>
      </c>
      <c r="G3158" s="7" t="str">
        <f t="array" ref="G3158">IF(ROWS(K$20:K3158)&gt;$F$6,"",INDEX(A$2:A$10000,SMALL(IF(ISNUMBER(MATCH($B$2:$B$10000,$E$6:$E$22,0)),ROW($C$2:$C$10000)-ROW($C$2)+1),ROWS(K$20:K3158))))</f>
        <v/>
      </c>
      <c r="H3158" s="4" t="str">
        <f t="array" ref="H3158">IF(ROWS(L$20:L3158)&gt;$F$6,"",INDEX(B$2:B$10000,SMALL(IF(ISNUMBER(MATCH($B$2:$B$10000,$E$6:$E$22,0)),ROW($C$2:$C$10000)-ROW($C$2)+1),ROWS(L$20:L3158))))</f>
        <v/>
      </c>
      <c r="I3158" s="4" t="str">
        <f t="array" ref="I3158">IF(ROWS(M$20:M3158)&gt;$F$6,"",INDEX(C$2:C$10000,SMALL(IF(ISNUMBER(MATCH($B$2:$B$10000,$E$6:$E$22,0)),ROW($C$2:$C$10000)-ROW($C$2)+1),ROWS(M$20:M3158))))</f>
        <v/>
      </c>
      <c r="K3158" s="7" t="str">
        <f t="array" ref="K3158">IF(ROWS(K$20:K3158)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3158))))</f>
        <v/>
      </c>
      <c r="L3158" s="4" t="str">
        <f t="array" ref="L3158">IF(ROWS(L$20:L3158)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3158))))</f>
        <v/>
      </c>
      <c r="M3158" s="4" t="str">
        <f t="array" ref="M3158">IF(ROWS(M$20:M3158)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3158))))</f>
        <v/>
      </c>
    </row>
    <row r="3159" spans="1:13" x14ac:dyDescent="0.25">
      <c r="A3159" s="3">
        <v>41555</v>
      </c>
      <c r="B3159" s="2" t="s">
        <v>38</v>
      </c>
      <c r="C3159" s="2">
        <v>41</v>
      </c>
      <c r="G3159" s="7" t="str">
        <f t="array" ref="G3159">IF(ROWS(K$20:K3159)&gt;$F$6,"",INDEX(A$2:A$10000,SMALL(IF(ISNUMBER(MATCH($B$2:$B$10000,$E$6:$E$22,0)),ROW($C$2:$C$10000)-ROW($C$2)+1),ROWS(K$20:K3159))))</f>
        <v/>
      </c>
      <c r="H3159" s="4" t="str">
        <f t="array" ref="H3159">IF(ROWS(L$20:L3159)&gt;$F$6,"",INDEX(B$2:B$10000,SMALL(IF(ISNUMBER(MATCH($B$2:$B$10000,$E$6:$E$22,0)),ROW($C$2:$C$10000)-ROW($C$2)+1),ROWS(L$20:L3159))))</f>
        <v/>
      </c>
      <c r="I3159" s="4" t="str">
        <f t="array" ref="I3159">IF(ROWS(M$20:M3159)&gt;$F$6,"",INDEX(C$2:C$10000,SMALL(IF(ISNUMBER(MATCH($B$2:$B$10000,$E$6:$E$22,0)),ROW($C$2:$C$10000)-ROW($C$2)+1),ROWS(M$20:M3159))))</f>
        <v/>
      </c>
      <c r="K3159" s="7" t="str">
        <f t="array" ref="K3159">IF(ROWS(K$20:K3159)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3159))))</f>
        <v/>
      </c>
      <c r="L3159" s="4" t="str">
        <f t="array" ref="L3159">IF(ROWS(L$20:L3159)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3159))))</f>
        <v/>
      </c>
      <c r="M3159" s="4" t="str">
        <f t="array" ref="M3159">IF(ROWS(M$20:M3159)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3159))))</f>
        <v/>
      </c>
    </row>
    <row r="3160" spans="1:13" x14ac:dyDescent="0.25">
      <c r="A3160" s="3">
        <v>41658</v>
      </c>
      <c r="B3160" s="2" t="s">
        <v>28</v>
      </c>
      <c r="C3160" s="2">
        <v>29</v>
      </c>
      <c r="G3160" s="7" t="str">
        <f t="array" ref="G3160">IF(ROWS(K$20:K3160)&gt;$F$6,"",INDEX(A$2:A$10000,SMALL(IF(ISNUMBER(MATCH($B$2:$B$10000,$E$6:$E$22,0)),ROW($C$2:$C$10000)-ROW($C$2)+1),ROWS(K$20:K3160))))</f>
        <v/>
      </c>
      <c r="H3160" s="4" t="str">
        <f t="array" ref="H3160">IF(ROWS(L$20:L3160)&gt;$F$6,"",INDEX(B$2:B$10000,SMALL(IF(ISNUMBER(MATCH($B$2:$B$10000,$E$6:$E$22,0)),ROW($C$2:$C$10000)-ROW($C$2)+1),ROWS(L$20:L3160))))</f>
        <v/>
      </c>
      <c r="I3160" s="4" t="str">
        <f t="array" ref="I3160">IF(ROWS(M$20:M3160)&gt;$F$6,"",INDEX(C$2:C$10000,SMALL(IF(ISNUMBER(MATCH($B$2:$B$10000,$E$6:$E$22,0)),ROW($C$2:$C$10000)-ROW($C$2)+1),ROWS(M$20:M3160))))</f>
        <v/>
      </c>
      <c r="K3160" s="7" t="str">
        <f t="array" ref="K3160">IF(ROWS(K$20:K3160)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3160))))</f>
        <v/>
      </c>
      <c r="L3160" s="4" t="str">
        <f t="array" ref="L3160">IF(ROWS(L$20:L3160)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3160))))</f>
        <v/>
      </c>
      <c r="M3160" s="4" t="str">
        <f t="array" ref="M3160">IF(ROWS(M$20:M3160)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3160))))</f>
        <v/>
      </c>
    </row>
    <row r="3161" spans="1:13" x14ac:dyDescent="0.25">
      <c r="A3161" s="3">
        <v>41998</v>
      </c>
      <c r="B3161" s="2" t="s">
        <v>32</v>
      </c>
      <c r="C3161" s="2">
        <v>14</v>
      </c>
      <c r="G3161" s="7" t="str">
        <f t="array" ref="G3161">IF(ROWS(K$20:K3161)&gt;$F$6,"",INDEX(A$2:A$10000,SMALL(IF(ISNUMBER(MATCH($B$2:$B$10000,$E$6:$E$22,0)),ROW($C$2:$C$10000)-ROW($C$2)+1),ROWS(K$20:K3161))))</f>
        <v/>
      </c>
      <c r="H3161" s="4" t="str">
        <f t="array" ref="H3161">IF(ROWS(L$20:L3161)&gt;$F$6,"",INDEX(B$2:B$10000,SMALL(IF(ISNUMBER(MATCH($B$2:$B$10000,$E$6:$E$22,0)),ROW($C$2:$C$10000)-ROW($C$2)+1),ROWS(L$20:L3161))))</f>
        <v/>
      </c>
      <c r="I3161" s="4" t="str">
        <f t="array" ref="I3161">IF(ROWS(M$20:M3161)&gt;$F$6,"",INDEX(C$2:C$10000,SMALL(IF(ISNUMBER(MATCH($B$2:$B$10000,$E$6:$E$22,0)),ROW($C$2:$C$10000)-ROW($C$2)+1),ROWS(M$20:M3161))))</f>
        <v/>
      </c>
      <c r="K3161" s="7" t="str">
        <f t="array" ref="K3161">IF(ROWS(K$20:K3161)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3161))))</f>
        <v/>
      </c>
      <c r="L3161" s="4" t="str">
        <f t="array" ref="L3161">IF(ROWS(L$20:L3161)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3161))))</f>
        <v/>
      </c>
      <c r="M3161" s="4" t="str">
        <f t="array" ref="M3161">IF(ROWS(M$20:M3161)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3161))))</f>
        <v/>
      </c>
    </row>
    <row r="3162" spans="1:13" x14ac:dyDescent="0.25">
      <c r="A3162" s="3">
        <v>41854</v>
      </c>
      <c r="B3162" s="2" t="s">
        <v>49</v>
      </c>
      <c r="C3162" s="2">
        <v>29</v>
      </c>
      <c r="G3162" s="7" t="str">
        <f t="array" ref="G3162">IF(ROWS(K$20:K3162)&gt;$F$6,"",INDEX(A$2:A$10000,SMALL(IF(ISNUMBER(MATCH($B$2:$B$10000,$E$6:$E$22,0)),ROW($C$2:$C$10000)-ROW($C$2)+1),ROWS(K$20:K3162))))</f>
        <v/>
      </c>
      <c r="H3162" s="4" t="str">
        <f t="array" ref="H3162">IF(ROWS(L$20:L3162)&gt;$F$6,"",INDEX(B$2:B$10000,SMALL(IF(ISNUMBER(MATCH($B$2:$B$10000,$E$6:$E$22,0)),ROW($C$2:$C$10000)-ROW($C$2)+1),ROWS(L$20:L3162))))</f>
        <v/>
      </c>
      <c r="I3162" s="4" t="str">
        <f t="array" ref="I3162">IF(ROWS(M$20:M3162)&gt;$F$6,"",INDEX(C$2:C$10000,SMALL(IF(ISNUMBER(MATCH($B$2:$B$10000,$E$6:$E$22,0)),ROW($C$2:$C$10000)-ROW($C$2)+1),ROWS(M$20:M3162))))</f>
        <v/>
      </c>
      <c r="K3162" s="7" t="str">
        <f t="array" ref="K3162">IF(ROWS(K$20:K3162)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3162))))</f>
        <v/>
      </c>
      <c r="L3162" s="4" t="str">
        <f t="array" ref="L3162">IF(ROWS(L$20:L3162)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3162))))</f>
        <v/>
      </c>
      <c r="M3162" s="4" t="str">
        <f t="array" ref="M3162">IF(ROWS(M$20:M3162)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3162))))</f>
        <v/>
      </c>
    </row>
    <row r="3163" spans="1:13" x14ac:dyDescent="0.25">
      <c r="A3163" s="3">
        <v>41611</v>
      </c>
      <c r="B3163" s="2" t="s">
        <v>19</v>
      </c>
      <c r="C3163" s="2">
        <v>34</v>
      </c>
      <c r="G3163" s="7" t="str">
        <f t="array" ref="G3163">IF(ROWS(K$20:K3163)&gt;$F$6,"",INDEX(A$2:A$10000,SMALL(IF(ISNUMBER(MATCH($B$2:$B$10000,$E$6:$E$22,0)),ROW($C$2:$C$10000)-ROW($C$2)+1),ROWS(K$20:K3163))))</f>
        <v/>
      </c>
      <c r="H3163" s="4" t="str">
        <f t="array" ref="H3163">IF(ROWS(L$20:L3163)&gt;$F$6,"",INDEX(B$2:B$10000,SMALL(IF(ISNUMBER(MATCH($B$2:$B$10000,$E$6:$E$22,0)),ROW($C$2:$C$10000)-ROW($C$2)+1),ROWS(L$20:L3163))))</f>
        <v/>
      </c>
      <c r="I3163" s="4" t="str">
        <f t="array" ref="I3163">IF(ROWS(M$20:M3163)&gt;$F$6,"",INDEX(C$2:C$10000,SMALL(IF(ISNUMBER(MATCH($B$2:$B$10000,$E$6:$E$22,0)),ROW($C$2:$C$10000)-ROW($C$2)+1),ROWS(M$20:M3163))))</f>
        <v/>
      </c>
      <c r="K3163" s="7" t="str">
        <f t="array" ref="K3163">IF(ROWS(K$20:K3163)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3163))))</f>
        <v/>
      </c>
      <c r="L3163" s="4" t="str">
        <f t="array" ref="L3163">IF(ROWS(L$20:L3163)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3163))))</f>
        <v/>
      </c>
      <c r="M3163" s="4" t="str">
        <f t="array" ref="M3163">IF(ROWS(M$20:M3163)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3163))))</f>
        <v/>
      </c>
    </row>
    <row r="3164" spans="1:13" x14ac:dyDescent="0.25">
      <c r="A3164" s="3">
        <v>41278</v>
      </c>
      <c r="B3164" s="2" t="s">
        <v>16</v>
      </c>
      <c r="C3164" s="2">
        <v>40</v>
      </c>
      <c r="G3164" s="7" t="str">
        <f t="array" ref="G3164">IF(ROWS(K$20:K3164)&gt;$F$6,"",INDEX(A$2:A$10000,SMALL(IF(ISNUMBER(MATCH($B$2:$B$10000,$E$6:$E$22,0)),ROW($C$2:$C$10000)-ROW($C$2)+1),ROWS(K$20:K3164))))</f>
        <v/>
      </c>
      <c r="H3164" s="4" t="str">
        <f t="array" ref="H3164">IF(ROWS(L$20:L3164)&gt;$F$6,"",INDEX(B$2:B$10000,SMALL(IF(ISNUMBER(MATCH($B$2:$B$10000,$E$6:$E$22,0)),ROW($C$2:$C$10000)-ROW($C$2)+1),ROWS(L$20:L3164))))</f>
        <v/>
      </c>
      <c r="I3164" s="4" t="str">
        <f t="array" ref="I3164">IF(ROWS(M$20:M3164)&gt;$F$6,"",INDEX(C$2:C$10000,SMALL(IF(ISNUMBER(MATCH($B$2:$B$10000,$E$6:$E$22,0)),ROW($C$2:$C$10000)-ROW($C$2)+1),ROWS(M$20:M3164))))</f>
        <v/>
      </c>
      <c r="K3164" s="7" t="str">
        <f t="array" ref="K3164">IF(ROWS(K$20:K3164)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3164))))</f>
        <v/>
      </c>
      <c r="L3164" s="4" t="str">
        <f t="array" ref="L3164">IF(ROWS(L$20:L3164)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3164))))</f>
        <v/>
      </c>
      <c r="M3164" s="4" t="str">
        <f t="array" ref="M3164">IF(ROWS(M$20:M3164)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3164))))</f>
        <v/>
      </c>
    </row>
    <row r="3165" spans="1:13" x14ac:dyDescent="0.25">
      <c r="A3165" s="3">
        <v>41931</v>
      </c>
      <c r="B3165" s="2" t="s">
        <v>31</v>
      </c>
      <c r="C3165" s="2">
        <v>43</v>
      </c>
      <c r="G3165" s="7" t="str">
        <f t="array" ref="G3165">IF(ROWS(K$20:K3165)&gt;$F$6,"",INDEX(A$2:A$10000,SMALL(IF(ISNUMBER(MATCH($B$2:$B$10000,$E$6:$E$22,0)),ROW($C$2:$C$10000)-ROW($C$2)+1),ROWS(K$20:K3165))))</f>
        <v/>
      </c>
      <c r="H3165" s="4" t="str">
        <f t="array" ref="H3165">IF(ROWS(L$20:L3165)&gt;$F$6,"",INDEX(B$2:B$10000,SMALL(IF(ISNUMBER(MATCH($B$2:$B$10000,$E$6:$E$22,0)),ROW($C$2:$C$10000)-ROW($C$2)+1),ROWS(L$20:L3165))))</f>
        <v/>
      </c>
      <c r="I3165" s="4" t="str">
        <f t="array" ref="I3165">IF(ROWS(M$20:M3165)&gt;$F$6,"",INDEX(C$2:C$10000,SMALL(IF(ISNUMBER(MATCH($B$2:$B$10000,$E$6:$E$22,0)),ROW($C$2:$C$10000)-ROW($C$2)+1),ROWS(M$20:M3165))))</f>
        <v/>
      </c>
      <c r="K3165" s="7" t="str">
        <f t="array" ref="K3165">IF(ROWS(K$20:K3165)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3165))))</f>
        <v/>
      </c>
      <c r="L3165" s="4" t="str">
        <f t="array" ref="L3165">IF(ROWS(L$20:L3165)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3165))))</f>
        <v/>
      </c>
      <c r="M3165" s="4" t="str">
        <f t="array" ref="M3165">IF(ROWS(M$20:M3165)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3165))))</f>
        <v/>
      </c>
    </row>
    <row r="3166" spans="1:13" x14ac:dyDescent="0.25">
      <c r="A3166" s="3">
        <v>41854</v>
      </c>
      <c r="B3166" s="2" t="s">
        <v>3</v>
      </c>
      <c r="C3166" s="2">
        <v>32</v>
      </c>
      <c r="G3166" s="7" t="str">
        <f t="array" ref="G3166">IF(ROWS(K$20:K3166)&gt;$F$6,"",INDEX(A$2:A$10000,SMALL(IF(ISNUMBER(MATCH($B$2:$B$10000,$E$6:$E$22,0)),ROW($C$2:$C$10000)-ROW($C$2)+1),ROWS(K$20:K3166))))</f>
        <v/>
      </c>
      <c r="H3166" s="4" t="str">
        <f t="array" ref="H3166">IF(ROWS(L$20:L3166)&gt;$F$6,"",INDEX(B$2:B$10000,SMALL(IF(ISNUMBER(MATCH($B$2:$B$10000,$E$6:$E$22,0)),ROW($C$2:$C$10000)-ROW($C$2)+1),ROWS(L$20:L3166))))</f>
        <v/>
      </c>
      <c r="I3166" s="4" t="str">
        <f t="array" ref="I3166">IF(ROWS(M$20:M3166)&gt;$F$6,"",INDEX(C$2:C$10000,SMALL(IF(ISNUMBER(MATCH($B$2:$B$10000,$E$6:$E$22,0)),ROW($C$2:$C$10000)-ROW($C$2)+1),ROWS(M$20:M3166))))</f>
        <v/>
      </c>
      <c r="K3166" s="7" t="str">
        <f t="array" ref="K3166">IF(ROWS(K$20:K3166)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3166))))</f>
        <v/>
      </c>
      <c r="L3166" s="4" t="str">
        <f t="array" ref="L3166">IF(ROWS(L$20:L3166)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3166))))</f>
        <v/>
      </c>
      <c r="M3166" s="4" t="str">
        <f t="array" ref="M3166">IF(ROWS(M$20:M3166)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3166))))</f>
        <v/>
      </c>
    </row>
    <row r="3167" spans="1:13" x14ac:dyDescent="0.25">
      <c r="A3167" s="3">
        <v>41547</v>
      </c>
      <c r="B3167" s="2" t="s">
        <v>30</v>
      </c>
      <c r="C3167" s="2">
        <v>17</v>
      </c>
      <c r="G3167" s="7" t="str">
        <f t="array" ref="G3167">IF(ROWS(K$20:K3167)&gt;$F$6,"",INDEX(A$2:A$10000,SMALL(IF(ISNUMBER(MATCH($B$2:$B$10000,$E$6:$E$22,0)),ROW($C$2:$C$10000)-ROW($C$2)+1),ROWS(K$20:K3167))))</f>
        <v/>
      </c>
      <c r="H3167" s="4" t="str">
        <f t="array" ref="H3167">IF(ROWS(L$20:L3167)&gt;$F$6,"",INDEX(B$2:B$10000,SMALL(IF(ISNUMBER(MATCH($B$2:$B$10000,$E$6:$E$22,0)),ROW($C$2:$C$10000)-ROW($C$2)+1),ROWS(L$20:L3167))))</f>
        <v/>
      </c>
      <c r="I3167" s="4" t="str">
        <f t="array" ref="I3167">IF(ROWS(M$20:M3167)&gt;$F$6,"",INDEX(C$2:C$10000,SMALL(IF(ISNUMBER(MATCH($B$2:$B$10000,$E$6:$E$22,0)),ROW($C$2:$C$10000)-ROW($C$2)+1),ROWS(M$20:M3167))))</f>
        <v/>
      </c>
      <c r="K3167" s="7" t="str">
        <f t="array" ref="K3167">IF(ROWS(K$20:K3167)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3167))))</f>
        <v/>
      </c>
      <c r="L3167" s="4" t="str">
        <f t="array" ref="L3167">IF(ROWS(L$20:L3167)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3167))))</f>
        <v/>
      </c>
      <c r="M3167" s="4" t="str">
        <f t="array" ref="M3167">IF(ROWS(M$20:M3167)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3167))))</f>
        <v/>
      </c>
    </row>
    <row r="3168" spans="1:13" x14ac:dyDescent="0.25">
      <c r="A3168" s="3">
        <v>41487</v>
      </c>
      <c r="B3168" s="2" t="s">
        <v>13</v>
      </c>
      <c r="C3168" s="2">
        <v>15</v>
      </c>
      <c r="G3168" s="7" t="str">
        <f t="array" ref="G3168">IF(ROWS(K$20:K3168)&gt;$F$6,"",INDEX(A$2:A$10000,SMALL(IF(ISNUMBER(MATCH($B$2:$B$10000,$E$6:$E$22,0)),ROW($C$2:$C$10000)-ROW($C$2)+1),ROWS(K$20:K3168))))</f>
        <v/>
      </c>
      <c r="H3168" s="4" t="str">
        <f t="array" ref="H3168">IF(ROWS(L$20:L3168)&gt;$F$6,"",INDEX(B$2:B$10000,SMALL(IF(ISNUMBER(MATCH($B$2:$B$10000,$E$6:$E$22,0)),ROW($C$2:$C$10000)-ROW($C$2)+1),ROWS(L$20:L3168))))</f>
        <v/>
      </c>
      <c r="I3168" s="4" t="str">
        <f t="array" ref="I3168">IF(ROWS(M$20:M3168)&gt;$F$6,"",INDEX(C$2:C$10000,SMALL(IF(ISNUMBER(MATCH($B$2:$B$10000,$E$6:$E$22,0)),ROW($C$2:$C$10000)-ROW($C$2)+1),ROWS(M$20:M3168))))</f>
        <v/>
      </c>
      <c r="K3168" s="7" t="str">
        <f t="array" ref="K3168">IF(ROWS(K$20:K3168)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3168))))</f>
        <v/>
      </c>
      <c r="L3168" s="4" t="str">
        <f t="array" ref="L3168">IF(ROWS(L$20:L3168)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3168))))</f>
        <v/>
      </c>
      <c r="M3168" s="4" t="str">
        <f t="array" ref="M3168">IF(ROWS(M$20:M3168)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3168))))</f>
        <v/>
      </c>
    </row>
    <row r="3169" spans="1:13" x14ac:dyDescent="0.25">
      <c r="A3169" s="3">
        <v>41505</v>
      </c>
      <c r="B3169" s="2" t="s">
        <v>44</v>
      </c>
      <c r="C3169" s="2">
        <v>38</v>
      </c>
      <c r="G3169" s="7" t="str">
        <f t="array" ref="G3169">IF(ROWS(K$20:K3169)&gt;$F$6,"",INDEX(A$2:A$10000,SMALL(IF(ISNUMBER(MATCH($B$2:$B$10000,$E$6:$E$22,0)),ROW($C$2:$C$10000)-ROW($C$2)+1),ROWS(K$20:K3169))))</f>
        <v/>
      </c>
      <c r="H3169" s="4" t="str">
        <f t="array" ref="H3169">IF(ROWS(L$20:L3169)&gt;$F$6,"",INDEX(B$2:B$10000,SMALL(IF(ISNUMBER(MATCH($B$2:$B$10000,$E$6:$E$22,0)),ROW($C$2:$C$10000)-ROW($C$2)+1),ROWS(L$20:L3169))))</f>
        <v/>
      </c>
      <c r="I3169" s="4" t="str">
        <f t="array" ref="I3169">IF(ROWS(M$20:M3169)&gt;$F$6,"",INDEX(C$2:C$10000,SMALL(IF(ISNUMBER(MATCH($B$2:$B$10000,$E$6:$E$22,0)),ROW($C$2:$C$10000)-ROW($C$2)+1),ROWS(M$20:M3169))))</f>
        <v/>
      </c>
      <c r="K3169" s="7" t="str">
        <f t="array" ref="K3169">IF(ROWS(K$20:K3169)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3169))))</f>
        <v/>
      </c>
      <c r="L3169" s="4" t="str">
        <f t="array" ref="L3169">IF(ROWS(L$20:L3169)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3169))))</f>
        <v/>
      </c>
      <c r="M3169" s="4" t="str">
        <f t="array" ref="M3169">IF(ROWS(M$20:M3169)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3169))))</f>
        <v/>
      </c>
    </row>
    <row r="3170" spans="1:13" x14ac:dyDescent="0.25">
      <c r="A3170" s="3">
        <v>41307</v>
      </c>
      <c r="B3170" s="2" t="s">
        <v>22</v>
      </c>
      <c r="C3170" s="2">
        <v>46</v>
      </c>
      <c r="G3170" s="7" t="str">
        <f t="array" ref="G3170">IF(ROWS(K$20:K3170)&gt;$F$6,"",INDEX(A$2:A$10000,SMALL(IF(ISNUMBER(MATCH($B$2:$B$10000,$E$6:$E$22,0)),ROW($C$2:$C$10000)-ROW($C$2)+1),ROWS(K$20:K3170))))</f>
        <v/>
      </c>
      <c r="H3170" s="4" t="str">
        <f t="array" ref="H3170">IF(ROWS(L$20:L3170)&gt;$F$6,"",INDEX(B$2:B$10000,SMALL(IF(ISNUMBER(MATCH($B$2:$B$10000,$E$6:$E$22,0)),ROW($C$2:$C$10000)-ROW($C$2)+1),ROWS(L$20:L3170))))</f>
        <v/>
      </c>
      <c r="I3170" s="4" t="str">
        <f t="array" ref="I3170">IF(ROWS(M$20:M3170)&gt;$F$6,"",INDEX(C$2:C$10000,SMALL(IF(ISNUMBER(MATCH($B$2:$B$10000,$E$6:$E$22,0)),ROW($C$2:$C$10000)-ROW($C$2)+1),ROWS(M$20:M3170))))</f>
        <v/>
      </c>
      <c r="K3170" s="7" t="str">
        <f t="array" ref="K3170">IF(ROWS(K$20:K3170)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3170))))</f>
        <v/>
      </c>
      <c r="L3170" s="4" t="str">
        <f t="array" ref="L3170">IF(ROWS(L$20:L3170)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3170))))</f>
        <v/>
      </c>
      <c r="M3170" s="4" t="str">
        <f t="array" ref="M3170">IF(ROWS(M$20:M3170)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3170))))</f>
        <v/>
      </c>
    </row>
    <row r="3171" spans="1:13" x14ac:dyDescent="0.25">
      <c r="A3171" s="3">
        <v>41380</v>
      </c>
      <c r="B3171" s="2" t="s">
        <v>21</v>
      </c>
      <c r="C3171" s="2">
        <v>9</v>
      </c>
      <c r="G3171" s="7" t="str">
        <f t="array" ref="G3171">IF(ROWS(K$20:K3171)&gt;$F$6,"",INDEX(A$2:A$10000,SMALL(IF(ISNUMBER(MATCH($B$2:$B$10000,$E$6:$E$22,0)),ROW($C$2:$C$10000)-ROW($C$2)+1),ROWS(K$20:K3171))))</f>
        <v/>
      </c>
      <c r="H3171" s="4" t="str">
        <f t="array" ref="H3171">IF(ROWS(L$20:L3171)&gt;$F$6,"",INDEX(B$2:B$10000,SMALL(IF(ISNUMBER(MATCH($B$2:$B$10000,$E$6:$E$22,0)),ROW($C$2:$C$10000)-ROW($C$2)+1),ROWS(L$20:L3171))))</f>
        <v/>
      </c>
      <c r="I3171" s="4" t="str">
        <f t="array" ref="I3171">IF(ROWS(M$20:M3171)&gt;$F$6,"",INDEX(C$2:C$10000,SMALL(IF(ISNUMBER(MATCH($B$2:$B$10000,$E$6:$E$22,0)),ROW($C$2:$C$10000)-ROW($C$2)+1),ROWS(M$20:M3171))))</f>
        <v/>
      </c>
      <c r="K3171" s="7" t="str">
        <f t="array" ref="K3171">IF(ROWS(K$20:K3171)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3171))))</f>
        <v/>
      </c>
      <c r="L3171" s="4" t="str">
        <f t="array" ref="L3171">IF(ROWS(L$20:L3171)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3171))))</f>
        <v/>
      </c>
      <c r="M3171" s="4" t="str">
        <f t="array" ref="M3171">IF(ROWS(M$20:M3171)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3171))))</f>
        <v/>
      </c>
    </row>
    <row r="3172" spans="1:13" x14ac:dyDescent="0.25">
      <c r="A3172" s="3">
        <v>41582</v>
      </c>
      <c r="B3172" s="2" t="s">
        <v>9</v>
      </c>
      <c r="C3172" s="2">
        <v>5</v>
      </c>
      <c r="G3172" s="7" t="str">
        <f t="array" ref="G3172">IF(ROWS(K$20:K3172)&gt;$F$6,"",INDEX(A$2:A$10000,SMALL(IF(ISNUMBER(MATCH($B$2:$B$10000,$E$6:$E$22,0)),ROW($C$2:$C$10000)-ROW($C$2)+1),ROWS(K$20:K3172))))</f>
        <v/>
      </c>
      <c r="H3172" s="4" t="str">
        <f t="array" ref="H3172">IF(ROWS(L$20:L3172)&gt;$F$6,"",INDEX(B$2:B$10000,SMALL(IF(ISNUMBER(MATCH($B$2:$B$10000,$E$6:$E$22,0)),ROW($C$2:$C$10000)-ROW($C$2)+1),ROWS(L$20:L3172))))</f>
        <v/>
      </c>
      <c r="I3172" s="4" t="str">
        <f t="array" ref="I3172">IF(ROWS(M$20:M3172)&gt;$F$6,"",INDEX(C$2:C$10000,SMALL(IF(ISNUMBER(MATCH($B$2:$B$10000,$E$6:$E$22,0)),ROW($C$2:$C$10000)-ROW($C$2)+1),ROWS(M$20:M3172))))</f>
        <v/>
      </c>
      <c r="K3172" s="7" t="str">
        <f t="array" ref="K3172">IF(ROWS(K$20:K3172)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3172))))</f>
        <v/>
      </c>
      <c r="L3172" s="4" t="str">
        <f t="array" ref="L3172">IF(ROWS(L$20:L3172)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3172))))</f>
        <v/>
      </c>
      <c r="M3172" s="4" t="str">
        <f t="array" ref="M3172">IF(ROWS(M$20:M3172)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3172))))</f>
        <v/>
      </c>
    </row>
    <row r="3173" spans="1:13" x14ac:dyDescent="0.25">
      <c r="A3173" s="3">
        <v>41304</v>
      </c>
      <c r="B3173" s="2" t="s">
        <v>11</v>
      </c>
      <c r="C3173" s="2">
        <v>19</v>
      </c>
      <c r="G3173" s="7" t="str">
        <f t="array" ref="G3173">IF(ROWS(K$20:K3173)&gt;$F$6,"",INDEX(A$2:A$10000,SMALL(IF(ISNUMBER(MATCH($B$2:$B$10000,$E$6:$E$22,0)),ROW($C$2:$C$10000)-ROW($C$2)+1),ROWS(K$20:K3173))))</f>
        <v/>
      </c>
      <c r="H3173" s="4" t="str">
        <f t="array" ref="H3173">IF(ROWS(L$20:L3173)&gt;$F$6,"",INDEX(B$2:B$10000,SMALL(IF(ISNUMBER(MATCH($B$2:$B$10000,$E$6:$E$22,0)),ROW($C$2:$C$10000)-ROW($C$2)+1),ROWS(L$20:L3173))))</f>
        <v/>
      </c>
      <c r="I3173" s="4" t="str">
        <f t="array" ref="I3173">IF(ROWS(M$20:M3173)&gt;$F$6,"",INDEX(C$2:C$10000,SMALL(IF(ISNUMBER(MATCH($B$2:$B$10000,$E$6:$E$22,0)),ROW($C$2:$C$10000)-ROW($C$2)+1),ROWS(M$20:M3173))))</f>
        <v/>
      </c>
      <c r="K3173" s="7" t="str">
        <f t="array" ref="K3173">IF(ROWS(K$20:K3173)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3173))))</f>
        <v/>
      </c>
      <c r="L3173" s="4" t="str">
        <f t="array" ref="L3173">IF(ROWS(L$20:L3173)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3173))))</f>
        <v/>
      </c>
      <c r="M3173" s="4" t="str">
        <f t="array" ref="M3173">IF(ROWS(M$20:M3173)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3173))))</f>
        <v/>
      </c>
    </row>
    <row r="3174" spans="1:13" x14ac:dyDescent="0.25">
      <c r="A3174" s="3">
        <v>41752</v>
      </c>
      <c r="B3174" s="2" t="s">
        <v>5</v>
      </c>
      <c r="C3174" s="2">
        <v>29</v>
      </c>
      <c r="G3174" s="7" t="str">
        <f t="array" ref="G3174">IF(ROWS(K$20:K3174)&gt;$F$6,"",INDEX(A$2:A$10000,SMALL(IF(ISNUMBER(MATCH($B$2:$B$10000,$E$6:$E$22,0)),ROW($C$2:$C$10000)-ROW($C$2)+1),ROWS(K$20:K3174))))</f>
        <v/>
      </c>
      <c r="H3174" s="4" t="str">
        <f t="array" ref="H3174">IF(ROWS(L$20:L3174)&gt;$F$6,"",INDEX(B$2:B$10000,SMALL(IF(ISNUMBER(MATCH($B$2:$B$10000,$E$6:$E$22,0)),ROW($C$2:$C$10000)-ROW($C$2)+1),ROWS(L$20:L3174))))</f>
        <v/>
      </c>
      <c r="I3174" s="4" t="str">
        <f t="array" ref="I3174">IF(ROWS(M$20:M3174)&gt;$F$6,"",INDEX(C$2:C$10000,SMALL(IF(ISNUMBER(MATCH($B$2:$B$10000,$E$6:$E$22,0)),ROW($C$2:$C$10000)-ROW($C$2)+1),ROWS(M$20:M3174))))</f>
        <v/>
      </c>
      <c r="K3174" s="7" t="str">
        <f t="array" ref="K3174">IF(ROWS(K$20:K3174)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3174))))</f>
        <v/>
      </c>
      <c r="L3174" s="4" t="str">
        <f t="array" ref="L3174">IF(ROWS(L$20:L3174)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3174))))</f>
        <v/>
      </c>
      <c r="M3174" s="4" t="str">
        <f t="array" ref="M3174">IF(ROWS(M$20:M3174)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3174))))</f>
        <v/>
      </c>
    </row>
    <row r="3175" spans="1:13" x14ac:dyDescent="0.25">
      <c r="A3175" s="3">
        <v>41296</v>
      </c>
      <c r="B3175" s="2" t="s">
        <v>2</v>
      </c>
      <c r="C3175" s="2">
        <v>43</v>
      </c>
      <c r="G3175" s="7" t="str">
        <f t="array" ref="G3175">IF(ROWS(K$20:K3175)&gt;$F$6,"",INDEX(A$2:A$10000,SMALL(IF(ISNUMBER(MATCH($B$2:$B$10000,$E$6:$E$22,0)),ROW($C$2:$C$10000)-ROW($C$2)+1),ROWS(K$20:K3175))))</f>
        <v/>
      </c>
      <c r="H3175" s="4" t="str">
        <f t="array" ref="H3175">IF(ROWS(L$20:L3175)&gt;$F$6,"",INDEX(B$2:B$10000,SMALL(IF(ISNUMBER(MATCH($B$2:$B$10000,$E$6:$E$22,0)),ROW($C$2:$C$10000)-ROW($C$2)+1),ROWS(L$20:L3175))))</f>
        <v/>
      </c>
      <c r="I3175" s="4" t="str">
        <f t="array" ref="I3175">IF(ROWS(M$20:M3175)&gt;$F$6,"",INDEX(C$2:C$10000,SMALL(IF(ISNUMBER(MATCH($B$2:$B$10000,$E$6:$E$22,0)),ROW($C$2:$C$10000)-ROW($C$2)+1),ROWS(M$20:M3175))))</f>
        <v/>
      </c>
      <c r="K3175" s="7" t="str">
        <f t="array" ref="K3175">IF(ROWS(K$20:K3175)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3175))))</f>
        <v/>
      </c>
      <c r="L3175" s="4" t="str">
        <f t="array" ref="L3175">IF(ROWS(L$20:L3175)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3175))))</f>
        <v/>
      </c>
      <c r="M3175" s="4" t="str">
        <f t="array" ref="M3175">IF(ROWS(M$20:M3175)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3175))))</f>
        <v/>
      </c>
    </row>
    <row r="3176" spans="1:13" x14ac:dyDescent="0.25">
      <c r="A3176" s="3">
        <v>41713</v>
      </c>
      <c r="B3176" s="2" t="s">
        <v>29</v>
      </c>
      <c r="C3176" s="2">
        <v>34</v>
      </c>
      <c r="G3176" s="7" t="str">
        <f t="array" ref="G3176">IF(ROWS(K$20:K3176)&gt;$F$6,"",INDEX(A$2:A$10000,SMALL(IF(ISNUMBER(MATCH($B$2:$B$10000,$E$6:$E$22,0)),ROW($C$2:$C$10000)-ROW($C$2)+1),ROWS(K$20:K3176))))</f>
        <v/>
      </c>
      <c r="H3176" s="4" t="str">
        <f t="array" ref="H3176">IF(ROWS(L$20:L3176)&gt;$F$6,"",INDEX(B$2:B$10000,SMALL(IF(ISNUMBER(MATCH($B$2:$B$10000,$E$6:$E$22,0)),ROW($C$2:$C$10000)-ROW($C$2)+1),ROWS(L$20:L3176))))</f>
        <v/>
      </c>
      <c r="I3176" s="4" t="str">
        <f t="array" ref="I3176">IF(ROWS(M$20:M3176)&gt;$F$6,"",INDEX(C$2:C$10000,SMALL(IF(ISNUMBER(MATCH($B$2:$B$10000,$E$6:$E$22,0)),ROW($C$2:$C$10000)-ROW($C$2)+1),ROWS(M$20:M3176))))</f>
        <v/>
      </c>
      <c r="K3176" s="7" t="str">
        <f t="array" ref="K3176">IF(ROWS(K$20:K3176)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3176))))</f>
        <v/>
      </c>
      <c r="L3176" s="4" t="str">
        <f t="array" ref="L3176">IF(ROWS(L$20:L3176)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3176))))</f>
        <v/>
      </c>
      <c r="M3176" s="4" t="str">
        <f t="array" ref="M3176">IF(ROWS(M$20:M3176)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3176))))</f>
        <v/>
      </c>
    </row>
    <row r="3177" spans="1:13" x14ac:dyDescent="0.25">
      <c r="A3177" s="3">
        <v>41677</v>
      </c>
      <c r="B3177" s="2" t="s">
        <v>44</v>
      </c>
      <c r="C3177" s="2">
        <v>24</v>
      </c>
      <c r="G3177" s="7" t="str">
        <f t="array" ref="G3177">IF(ROWS(K$20:K3177)&gt;$F$6,"",INDEX(A$2:A$10000,SMALL(IF(ISNUMBER(MATCH($B$2:$B$10000,$E$6:$E$22,0)),ROW($C$2:$C$10000)-ROW($C$2)+1),ROWS(K$20:K3177))))</f>
        <v/>
      </c>
      <c r="H3177" s="4" t="str">
        <f t="array" ref="H3177">IF(ROWS(L$20:L3177)&gt;$F$6,"",INDEX(B$2:B$10000,SMALL(IF(ISNUMBER(MATCH($B$2:$B$10000,$E$6:$E$22,0)),ROW($C$2:$C$10000)-ROW($C$2)+1),ROWS(L$20:L3177))))</f>
        <v/>
      </c>
      <c r="I3177" s="4" t="str">
        <f t="array" ref="I3177">IF(ROWS(M$20:M3177)&gt;$F$6,"",INDEX(C$2:C$10000,SMALL(IF(ISNUMBER(MATCH($B$2:$B$10000,$E$6:$E$22,0)),ROW($C$2:$C$10000)-ROW($C$2)+1),ROWS(M$20:M3177))))</f>
        <v/>
      </c>
      <c r="K3177" s="7" t="str">
        <f t="array" ref="K3177">IF(ROWS(K$20:K3177)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3177))))</f>
        <v/>
      </c>
      <c r="L3177" s="4" t="str">
        <f t="array" ref="L3177">IF(ROWS(L$20:L3177)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3177))))</f>
        <v/>
      </c>
      <c r="M3177" s="4" t="str">
        <f t="array" ref="M3177">IF(ROWS(M$20:M3177)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3177))))</f>
        <v/>
      </c>
    </row>
    <row r="3178" spans="1:13" x14ac:dyDescent="0.25">
      <c r="A3178" s="3">
        <v>41425</v>
      </c>
      <c r="B3178" s="2" t="s">
        <v>44</v>
      </c>
      <c r="C3178" s="2">
        <v>26</v>
      </c>
      <c r="G3178" s="7" t="str">
        <f t="array" ref="G3178">IF(ROWS(K$20:K3178)&gt;$F$6,"",INDEX(A$2:A$10000,SMALL(IF(ISNUMBER(MATCH($B$2:$B$10000,$E$6:$E$22,0)),ROW($C$2:$C$10000)-ROW($C$2)+1),ROWS(K$20:K3178))))</f>
        <v/>
      </c>
      <c r="H3178" s="4" t="str">
        <f t="array" ref="H3178">IF(ROWS(L$20:L3178)&gt;$F$6,"",INDEX(B$2:B$10000,SMALL(IF(ISNUMBER(MATCH($B$2:$B$10000,$E$6:$E$22,0)),ROW($C$2:$C$10000)-ROW($C$2)+1),ROWS(L$20:L3178))))</f>
        <v/>
      </c>
      <c r="I3178" s="4" t="str">
        <f t="array" ref="I3178">IF(ROWS(M$20:M3178)&gt;$F$6,"",INDEX(C$2:C$10000,SMALL(IF(ISNUMBER(MATCH($B$2:$B$10000,$E$6:$E$22,0)),ROW($C$2:$C$10000)-ROW($C$2)+1),ROWS(M$20:M3178))))</f>
        <v/>
      </c>
      <c r="K3178" s="7" t="str">
        <f t="array" ref="K3178">IF(ROWS(K$20:K3178)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3178))))</f>
        <v/>
      </c>
      <c r="L3178" s="4" t="str">
        <f t="array" ref="L3178">IF(ROWS(L$20:L3178)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3178))))</f>
        <v/>
      </c>
      <c r="M3178" s="4" t="str">
        <f t="array" ref="M3178">IF(ROWS(M$20:M3178)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3178))))</f>
        <v/>
      </c>
    </row>
    <row r="3179" spans="1:13" x14ac:dyDescent="0.25">
      <c r="A3179" s="3">
        <v>41726</v>
      </c>
      <c r="B3179" s="2" t="s">
        <v>10</v>
      </c>
      <c r="C3179" s="2">
        <v>24</v>
      </c>
      <c r="G3179" s="7" t="str">
        <f t="array" ref="G3179">IF(ROWS(K$20:K3179)&gt;$F$6,"",INDEX(A$2:A$10000,SMALL(IF(ISNUMBER(MATCH($B$2:$B$10000,$E$6:$E$22,0)),ROW($C$2:$C$10000)-ROW($C$2)+1),ROWS(K$20:K3179))))</f>
        <v/>
      </c>
      <c r="H3179" s="4" t="str">
        <f t="array" ref="H3179">IF(ROWS(L$20:L3179)&gt;$F$6,"",INDEX(B$2:B$10000,SMALL(IF(ISNUMBER(MATCH($B$2:$B$10000,$E$6:$E$22,0)),ROW($C$2:$C$10000)-ROW($C$2)+1),ROWS(L$20:L3179))))</f>
        <v/>
      </c>
      <c r="I3179" s="4" t="str">
        <f t="array" ref="I3179">IF(ROWS(M$20:M3179)&gt;$F$6,"",INDEX(C$2:C$10000,SMALL(IF(ISNUMBER(MATCH($B$2:$B$10000,$E$6:$E$22,0)),ROW($C$2:$C$10000)-ROW($C$2)+1),ROWS(M$20:M3179))))</f>
        <v/>
      </c>
      <c r="K3179" s="7" t="str">
        <f t="array" ref="K3179">IF(ROWS(K$20:K3179)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3179))))</f>
        <v/>
      </c>
      <c r="L3179" s="4" t="str">
        <f t="array" ref="L3179">IF(ROWS(L$20:L3179)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3179))))</f>
        <v/>
      </c>
      <c r="M3179" s="4" t="str">
        <f t="array" ref="M3179">IF(ROWS(M$20:M3179)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3179))))</f>
        <v/>
      </c>
    </row>
    <row r="3180" spans="1:13" x14ac:dyDescent="0.25">
      <c r="A3180" s="3">
        <v>41920</v>
      </c>
      <c r="B3180" s="2" t="s">
        <v>5</v>
      </c>
      <c r="C3180" s="2">
        <v>16</v>
      </c>
      <c r="G3180" s="7" t="str">
        <f t="array" ref="G3180">IF(ROWS(K$20:K3180)&gt;$F$6,"",INDEX(A$2:A$10000,SMALL(IF(ISNUMBER(MATCH($B$2:$B$10000,$E$6:$E$22,0)),ROW($C$2:$C$10000)-ROW($C$2)+1),ROWS(K$20:K3180))))</f>
        <v/>
      </c>
      <c r="H3180" s="4" t="str">
        <f t="array" ref="H3180">IF(ROWS(L$20:L3180)&gt;$F$6,"",INDEX(B$2:B$10000,SMALL(IF(ISNUMBER(MATCH($B$2:$B$10000,$E$6:$E$22,0)),ROW($C$2:$C$10000)-ROW($C$2)+1),ROWS(L$20:L3180))))</f>
        <v/>
      </c>
      <c r="I3180" s="4" t="str">
        <f t="array" ref="I3180">IF(ROWS(M$20:M3180)&gt;$F$6,"",INDEX(C$2:C$10000,SMALL(IF(ISNUMBER(MATCH($B$2:$B$10000,$E$6:$E$22,0)),ROW($C$2:$C$10000)-ROW($C$2)+1),ROWS(M$20:M3180))))</f>
        <v/>
      </c>
      <c r="K3180" s="7" t="str">
        <f t="array" ref="K3180">IF(ROWS(K$20:K3180)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3180))))</f>
        <v/>
      </c>
      <c r="L3180" s="4" t="str">
        <f t="array" ref="L3180">IF(ROWS(L$20:L3180)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3180))))</f>
        <v/>
      </c>
      <c r="M3180" s="4" t="str">
        <f t="array" ref="M3180">IF(ROWS(M$20:M3180)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3180))))</f>
        <v/>
      </c>
    </row>
    <row r="3181" spans="1:13" x14ac:dyDescent="0.25">
      <c r="A3181" s="3">
        <v>41527</v>
      </c>
      <c r="B3181" s="2" t="s">
        <v>43</v>
      </c>
      <c r="C3181" s="2">
        <v>17</v>
      </c>
      <c r="G3181" s="7" t="str">
        <f t="array" ref="G3181">IF(ROWS(K$20:K3181)&gt;$F$6,"",INDEX(A$2:A$10000,SMALL(IF(ISNUMBER(MATCH($B$2:$B$10000,$E$6:$E$22,0)),ROW($C$2:$C$10000)-ROW($C$2)+1),ROWS(K$20:K3181))))</f>
        <v/>
      </c>
      <c r="H3181" s="4" t="str">
        <f t="array" ref="H3181">IF(ROWS(L$20:L3181)&gt;$F$6,"",INDEX(B$2:B$10000,SMALL(IF(ISNUMBER(MATCH($B$2:$B$10000,$E$6:$E$22,0)),ROW($C$2:$C$10000)-ROW($C$2)+1),ROWS(L$20:L3181))))</f>
        <v/>
      </c>
      <c r="I3181" s="4" t="str">
        <f t="array" ref="I3181">IF(ROWS(M$20:M3181)&gt;$F$6,"",INDEX(C$2:C$10000,SMALL(IF(ISNUMBER(MATCH($B$2:$B$10000,$E$6:$E$22,0)),ROW($C$2:$C$10000)-ROW($C$2)+1),ROWS(M$20:M3181))))</f>
        <v/>
      </c>
      <c r="K3181" s="7" t="str">
        <f t="array" ref="K3181">IF(ROWS(K$20:K3181)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3181))))</f>
        <v/>
      </c>
      <c r="L3181" s="4" t="str">
        <f t="array" ref="L3181">IF(ROWS(L$20:L3181)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3181))))</f>
        <v/>
      </c>
      <c r="M3181" s="4" t="str">
        <f t="array" ref="M3181">IF(ROWS(M$20:M3181)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3181))))</f>
        <v/>
      </c>
    </row>
    <row r="3182" spans="1:13" x14ac:dyDescent="0.25">
      <c r="A3182" s="3">
        <v>41298</v>
      </c>
      <c r="B3182" s="2" t="s">
        <v>47</v>
      </c>
      <c r="C3182" s="2">
        <v>25</v>
      </c>
      <c r="G3182" s="7" t="str">
        <f t="array" ref="G3182">IF(ROWS(K$20:K3182)&gt;$F$6,"",INDEX(A$2:A$10000,SMALL(IF(ISNUMBER(MATCH($B$2:$B$10000,$E$6:$E$22,0)),ROW($C$2:$C$10000)-ROW($C$2)+1),ROWS(K$20:K3182))))</f>
        <v/>
      </c>
      <c r="H3182" s="4" t="str">
        <f t="array" ref="H3182">IF(ROWS(L$20:L3182)&gt;$F$6,"",INDEX(B$2:B$10000,SMALL(IF(ISNUMBER(MATCH($B$2:$B$10000,$E$6:$E$22,0)),ROW($C$2:$C$10000)-ROW($C$2)+1),ROWS(L$20:L3182))))</f>
        <v/>
      </c>
      <c r="I3182" s="4" t="str">
        <f t="array" ref="I3182">IF(ROWS(M$20:M3182)&gt;$F$6,"",INDEX(C$2:C$10000,SMALL(IF(ISNUMBER(MATCH($B$2:$B$10000,$E$6:$E$22,0)),ROW($C$2:$C$10000)-ROW($C$2)+1),ROWS(M$20:M3182))))</f>
        <v/>
      </c>
      <c r="K3182" s="7" t="str">
        <f t="array" ref="K3182">IF(ROWS(K$20:K3182)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3182))))</f>
        <v/>
      </c>
      <c r="L3182" s="4" t="str">
        <f t="array" ref="L3182">IF(ROWS(L$20:L3182)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3182))))</f>
        <v/>
      </c>
      <c r="M3182" s="4" t="str">
        <f t="array" ref="M3182">IF(ROWS(M$20:M3182)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3182))))</f>
        <v/>
      </c>
    </row>
    <row r="3183" spans="1:13" x14ac:dyDescent="0.25">
      <c r="A3183" s="3">
        <v>41297</v>
      </c>
      <c r="B3183" s="2" t="s">
        <v>27</v>
      </c>
      <c r="C3183" s="2">
        <v>6</v>
      </c>
      <c r="G3183" s="7" t="str">
        <f t="array" ref="G3183">IF(ROWS(K$20:K3183)&gt;$F$6,"",INDEX(A$2:A$10000,SMALL(IF(ISNUMBER(MATCH($B$2:$B$10000,$E$6:$E$22,0)),ROW($C$2:$C$10000)-ROW($C$2)+1),ROWS(K$20:K3183))))</f>
        <v/>
      </c>
      <c r="H3183" s="4" t="str">
        <f t="array" ref="H3183">IF(ROWS(L$20:L3183)&gt;$F$6,"",INDEX(B$2:B$10000,SMALL(IF(ISNUMBER(MATCH($B$2:$B$10000,$E$6:$E$22,0)),ROW($C$2:$C$10000)-ROW($C$2)+1),ROWS(L$20:L3183))))</f>
        <v/>
      </c>
      <c r="I3183" s="4" t="str">
        <f t="array" ref="I3183">IF(ROWS(M$20:M3183)&gt;$F$6,"",INDEX(C$2:C$10000,SMALL(IF(ISNUMBER(MATCH($B$2:$B$10000,$E$6:$E$22,0)),ROW($C$2:$C$10000)-ROW($C$2)+1),ROWS(M$20:M3183))))</f>
        <v/>
      </c>
      <c r="K3183" s="7" t="str">
        <f t="array" ref="K3183">IF(ROWS(K$20:K3183)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3183))))</f>
        <v/>
      </c>
      <c r="L3183" s="4" t="str">
        <f t="array" ref="L3183">IF(ROWS(L$20:L3183)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3183))))</f>
        <v/>
      </c>
      <c r="M3183" s="4" t="str">
        <f t="array" ref="M3183">IF(ROWS(M$20:M3183)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3183))))</f>
        <v/>
      </c>
    </row>
    <row r="3184" spans="1:13" x14ac:dyDescent="0.25">
      <c r="A3184" s="3">
        <v>41415</v>
      </c>
      <c r="B3184" s="2" t="s">
        <v>27</v>
      </c>
      <c r="C3184" s="2">
        <v>44</v>
      </c>
      <c r="G3184" s="7" t="str">
        <f t="array" ref="G3184">IF(ROWS(K$20:K3184)&gt;$F$6,"",INDEX(A$2:A$10000,SMALL(IF(ISNUMBER(MATCH($B$2:$B$10000,$E$6:$E$22,0)),ROW($C$2:$C$10000)-ROW($C$2)+1),ROWS(K$20:K3184))))</f>
        <v/>
      </c>
      <c r="H3184" s="4" t="str">
        <f t="array" ref="H3184">IF(ROWS(L$20:L3184)&gt;$F$6,"",INDEX(B$2:B$10000,SMALL(IF(ISNUMBER(MATCH($B$2:$B$10000,$E$6:$E$22,0)),ROW($C$2:$C$10000)-ROW($C$2)+1),ROWS(L$20:L3184))))</f>
        <v/>
      </c>
      <c r="I3184" s="4" t="str">
        <f t="array" ref="I3184">IF(ROWS(M$20:M3184)&gt;$F$6,"",INDEX(C$2:C$10000,SMALL(IF(ISNUMBER(MATCH($B$2:$B$10000,$E$6:$E$22,0)),ROW($C$2:$C$10000)-ROW($C$2)+1),ROWS(M$20:M3184))))</f>
        <v/>
      </c>
      <c r="K3184" s="7" t="str">
        <f t="array" ref="K3184">IF(ROWS(K$20:K3184)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3184))))</f>
        <v/>
      </c>
      <c r="L3184" s="4" t="str">
        <f t="array" ref="L3184">IF(ROWS(L$20:L3184)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3184))))</f>
        <v/>
      </c>
      <c r="M3184" s="4" t="str">
        <f t="array" ref="M3184">IF(ROWS(M$20:M3184)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3184))))</f>
        <v/>
      </c>
    </row>
    <row r="3185" spans="1:13" x14ac:dyDescent="0.25">
      <c r="A3185" s="3">
        <v>41300</v>
      </c>
      <c r="B3185" s="2" t="s">
        <v>34</v>
      </c>
      <c r="C3185" s="2">
        <v>19</v>
      </c>
      <c r="G3185" s="7" t="str">
        <f t="array" ref="G3185">IF(ROWS(K$20:K3185)&gt;$F$6,"",INDEX(A$2:A$10000,SMALL(IF(ISNUMBER(MATCH($B$2:$B$10000,$E$6:$E$22,0)),ROW($C$2:$C$10000)-ROW($C$2)+1),ROWS(K$20:K3185))))</f>
        <v/>
      </c>
      <c r="H3185" s="4" t="str">
        <f t="array" ref="H3185">IF(ROWS(L$20:L3185)&gt;$F$6,"",INDEX(B$2:B$10000,SMALL(IF(ISNUMBER(MATCH($B$2:$B$10000,$E$6:$E$22,0)),ROW($C$2:$C$10000)-ROW($C$2)+1),ROWS(L$20:L3185))))</f>
        <v/>
      </c>
      <c r="I3185" s="4" t="str">
        <f t="array" ref="I3185">IF(ROWS(M$20:M3185)&gt;$F$6,"",INDEX(C$2:C$10000,SMALL(IF(ISNUMBER(MATCH($B$2:$B$10000,$E$6:$E$22,0)),ROW($C$2:$C$10000)-ROW($C$2)+1),ROWS(M$20:M3185))))</f>
        <v/>
      </c>
      <c r="K3185" s="7" t="str">
        <f t="array" ref="K3185">IF(ROWS(K$20:K3185)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3185))))</f>
        <v/>
      </c>
      <c r="L3185" s="4" t="str">
        <f t="array" ref="L3185">IF(ROWS(L$20:L3185)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3185))))</f>
        <v/>
      </c>
      <c r="M3185" s="4" t="str">
        <f t="array" ref="M3185">IF(ROWS(M$20:M3185)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3185))))</f>
        <v/>
      </c>
    </row>
    <row r="3186" spans="1:13" x14ac:dyDescent="0.25">
      <c r="A3186" s="3">
        <v>41464</v>
      </c>
      <c r="B3186" s="2" t="s">
        <v>31</v>
      </c>
      <c r="C3186" s="2">
        <v>31</v>
      </c>
      <c r="G3186" s="7" t="str">
        <f t="array" ref="G3186">IF(ROWS(K$20:K3186)&gt;$F$6,"",INDEX(A$2:A$10000,SMALL(IF(ISNUMBER(MATCH($B$2:$B$10000,$E$6:$E$22,0)),ROW($C$2:$C$10000)-ROW($C$2)+1),ROWS(K$20:K3186))))</f>
        <v/>
      </c>
      <c r="H3186" s="4" t="str">
        <f t="array" ref="H3186">IF(ROWS(L$20:L3186)&gt;$F$6,"",INDEX(B$2:B$10000,SMALL(IF(ISNUMBER(MATCH($B$2:$B$10000,$E$6:$E$22,0)),ROW($C$2:$C$10000)-ROW($C$2)+1),ROWS(L$20:L3186))))</f>
        <v/>
      </c>
      <c r="I3186" s="4" t="str">
        <f t="array" ref="I3186">IF(ROWS(M$20:M3186)&gt;$F$6,"",INDEX(C$2:C$10000,SMALL(IF(ISNUMBER(MATCH($B$2:$B$10000,$E$6:$E$22,0)),ROW($C$2:$C$10000)-ROW($C$2)+1),ROWS(M$20:M3186))))</f>
        <v/>
      </c>
      <c r="K3186" s="7" t="str">
        <f t="array" ref="K3186">IF(ROWS(K$20:K3186)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3186))))</f>
        <v/>
      </c>
      <c r="L3186" s="4" t="str">
        <f t="array" ref="L3186">IF(ROWS(L$20:L3186)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3186))))</f>
        <v/>
      </c>
      <c r="M3186" s="4" t="str">
        <f t="array" ref="M3186">IF(ROWS(M$20:M3186)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3186))))</f>
        <v/>
      </c>
    </row>
    <row r="3187" spans="1:13" x14ac:dyDescent="0.25">
      <c r="A3187" s="3">
        <v>41979</v>
      </c>
      <c r="B3187" s="2" t="s">
        <v>6</v>
      </c>
      <c r="C3187" s="2">
        <v>12</v>
      </c>
      <c r="G3187" s="7" t="str">
        <f t="array" ref="G3187">IF(ROWS(K$20:K3187)&gt;$F$6,"",INDEX(A$2:A$10000,SMALL(IF(ISNUMBER(MATCH($B$2:$B$10000,$E$6:$E$22,0)),ROW($C$2:$C$10000)-ROW($C$2)+1),ROWS(K$20:K3187))))</f>
        <v/>
      </c>
      <c r="H3187" s="4" t="str">
        <f t="array" ref="H3187">IF(ROWS(L$20:L3187)&gt;$F$6,"",INDEX(B$2:B$10000,SMALL(IF(ISNUMBER(MATCH($B$2:$B$10000,$E$6:$E$22,0)),ROW($C$2:$C$10000)-ROW($C$2)+1),ROWS(L$20:L3187))))</f>
        <v/>
      </c>
      <c r="I3187" s="4" t="str">
        <f t="array" ref="I3187">IF(ROWS(M$20:M3187)&gt;$F$6,"",INDEX(C$2:C$10000,SMALL(IF(ISNUMBER(MATCH($B$2:$B$10000,$E$6:$E$22,0)),ROW($C$2:$C$10000)-ROW($C$2)+1),ROWS(M$20:M3187))))</f>
        <v/>
      </c>
      <c r="K3187" s="7" t="str">
        <f t="array" ref="K3187">IF(ROWS(K$20:K3187)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3187))))</f>
        <v/>
      </c>
      <c r="L3187" s="4" t="str">
        <f t="array" ref="L3187">IF(ROWS(L$20:L3187)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3187))))</f>
        <v/>
      </c>
      <c r="M3187" s="4" t="str">
        <f t="array" ref="M3187">IF(ROWS(M$20:M3187)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3187))))</f>
        <v/>
      </c>
    </row>
    <row r="3188" spans="1:13" x14ac:dyDescent="0.25">
      <c r="A3188" s="3">
        <v>41767</v>
      </c>
      <c r="B3188" s="2" t="s">
        <v>46</v>
      </c>
      <c r="C3188" s="2">
        <v>40</v>
      </c>
      <c r="G3188" s="7" t="str">
        <f t="array" ref="G3188">IF(ROWS(K$20:K3188)&gt;$F$6,"",INDEX(A$2:A$10000,SMALL(IF(ISNUMBER(MATCH($B$2:$B$10000,$E$6:$E$22,0)),ROW($C$2:$C$10000)-ROW($C$2)+1),ROWS(K$20:K3188))))</f>
        <v/>
      </c>
      <c r="H3188" s="4" t="str">
        <f t="array" ref="H3188">IF(ROWS(L$20:L3188)&gt;$F$6,"",INDEX(B$2:B$10000,SMALL(IF(ISNUMBER(MATCH($B$2:$B$10000,$E$6:$E$22,0)),ROW($C$2:$C$10000)-ROW($C$2)+1),ROWS(L$20:L3188))))</f>
        <v/>
      </c>
      <c r="I3188" s="4" t="str">
        <f t="array" ref="I3188">IF(ROWS(M$20:M3188)&gt;$F$6,"",INDEX(C$2:C$10000,SMALL(IF(ISNUMBER(MATCH($B$2:$B$10000,$E$6:$E$22,0)),ROW($C$2:$C$10000)-ROW($C$2)+1),ROWS(M$20:M3188))))</f>
        <v/>
      </c>
      <c r="K3188" s="7" t="str">
        <f t="array" ref="K3188">IF(ROWS(K$20:K3188)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3188))))</f>
        <v/>
      </c>
      <c r="L3188" s="4" t="str">
        <f t="array" ref="L3188">IF(ROWS(L$20:L3188)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3188))))</f>
        <v/>
      </c>
      <c r="M3188" s="4" t="str">
        <f t="array" ref="M3188">IF(ROWS(M$20:M3188)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3188))))</f>
        <v/>
      </c>
    </row>
    <row r="3189" spans="1:13" x14ac:dyDescent="0.25">
      <c r="A3189" s="3">
        <v>41363</v>
      </c>
      <c r="B3189" s="2" t="s">
        <v>9</v>
      </c>
      <c r="C3189" s="2">
        <v>14</v>
      </c>
      <c r="G3189" s="7" t="str">
        <f t="array" ref="G3189">IF(ROWS(K$20:K3189)&gt;$F$6,"",INDEX(A$2:A$10000,SMALL(IF(ISNUMBER(MATCH($B$2:$B$10000,$E$6:$E$22,0)),ROW($C$2:$C$10000)-ROW($C$2)+1),ROWS(K$20:K3189))))</f>
        <v/>
      </c>
      <c r="H3189" s="4" t="str">
        <f t="array" ref="H3189">IF(ROWS(L$20:L3189)&gt;$F$6,"",INDEX(B$2:B$10000,SMALL(IF(ISNUMBER(MATCH($B$2:$B$10000,$E$6:$E$22,0)),ROW($C$2:$C$10000)-ROW($C$2)+1),ROWS(L$20:L3189))))</f>
        <v/>
      </c>
      <c r="I3189" s="4" t="str">
        <f t="array" ref="I3189">IF(ROWS(M$20:M3189)&gt;$F$6,"",INDEX(C$2:C$10000,SMALL(IF(ISNUMBER(MATCH($B$2:$B$10000,$E$6:$E$22,0)),ROW($C$2:$C$10000)-ROW($C$2)+1),ROWS(M$20:M3189))))</f>
        <v/>
      </c>
      <c r="K3189" s="7" t="str">
        <f t="array" ref="K3189">IF(ROWS(K$20:K3189)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3189))))</f>
        <v/>
      </c>
      <c r="L3189" s="4" t="str">
        <f t="array" ref="L3189">IF(ROWS(L$20:L3189)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3189))))</f>
        <v/>
      </c>
      <c r="M3189" s="4" t="str">
        <f t="array" ref="M3189">IF(ROWS(M$20:M3189)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3189))))</f>
        <v/>
      </c>
    </row>
    <row r="3190" spans="1:13" x14ac:dyDescent="0.25">
      <c r="A3190" s="3">
        <v>41785</v>
      </c>
      <c r="B3190" s="2" t="s">
        <v>45</v>
      </c>
      <c r="C3190" s="2">
        <v>29</v>
      </c>
      <c r="G3190" s="7" t="str">
        <f t="array" ref="G3190">IF(ROWS(K$20:K3190)&gt;$F$6,"",INDEX(A$2:A$10000,SMALL(IF(ISNUMBER(MATCH($B$2:$B$10000,$E$6:$E$22,0)),ROW($C$2:$C$10000)-ROW($C$2)+1),ROWS(K$20:K3190))))</f>
        <v/>
      </c>
      <c r="H3190" s="4" t="str">
        <f t="array" ref="H3190">IF(ROWS(L$20:L3190)&gt;$F$6,"",INDEX(B$2:B$10000,SMALL(IF(ISNUMBER(MATCH($B$2:$B$10000,$E$6:$E$22,0)),ROW($C$2:$C$10000)-ROW($C$2)+1),ROWS(L$20:L3190))))</f>
        <v/>
      </c>
      <c r="I3190" s="4" t="str">
        <f t="array" ref="I3190">IF(ROWS(M$20:M3190)&gt;$F$6,"",INDEX(C$2:C$10000,SMALL(IF(ISNUMBER(MATCH($B$2:$B$10000,$E$6:$E$22,0)),ROW($C$2:$C$10000)-ROW($C$2)+1),ROWS(M$20:M3190))))</f>
        <v/>
      </c>
      <c r="K3190" s="7" t="str">
        <f t="array" ref="K3190">IF(ROWS(K$20:K3190)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3190))))</f>
        <v/>
      </c>
      <c r="L3190" s="4" t="str">
        <f t="array" ref="L3190">IF(ROWS(L$20:L3190)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3190))))</f>
        <v/>
      </c>
      <c r="M3190" s="4" t="str">
        <f t="array" ref="M3190">IF(ROWS(M$20:M3190)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3190))))</f>
        <v/>
      </c>
    </row>
    <row r="3191" spans="1:13" x14ac:dyDescent="0.25">
      <c r="A3191" s="3">
        <v>41341</v>
      </c>
      <c r="B3191" s="2" t="s">
        <v>44</v>
      </c>
      <c r="C3191" s="2">
        <v>26</v>
      </c>
      <c r="G3191" s="7" t="str">
        <f t="array" ref="G3191">IF(ROWS(K$20:K3191)&gt;$F$6,"",INDEX(A$2:A$10000,SMALL(IF(ISNUMBER(MATCH($B$2:$B$10000,$E$6:$E$22,0)),ROW($C$2:$C$10000)-ROW($C$2)+1),ROWS(K$20:K3191))))</f>
        <v/>
      </c>
      <c r="H3191" s="4" t="str">
        <f t="array" ref="H3191">IF(ROWS(L$20:L3191)&gt;$F$6,"",INDEX(B$2:B$10000,SMALL(IF(ISNUMBER(MATCH($B$2:$B$10000,$E$6:$E$22,0)),ROW($C$2:$C$10000)-ROW($C$2)+1),ROWS(L$20:L3191))))</f>
        <v/>
      </c>
      <c r="I3191" s="4" t="str">
        <f t="array" ref="I3191">IF(ROWS(M$20:M3191)&gt;$F$6,"",INDEX(C$2:C$10000,SMALL(IF(ISNUMBER(MATCH($B$2:$B$10000,$E$6:$E$22,0)),ROW($C$2:$C$10000)-ROW($C$2)+1),ROWS(M$20:M3191))))</f>
        <v/>
      </c>
      <c r="K3191" s="7" t="str">
        <f t="array" ref="K3191">IF(ROWS(K$20:K3191)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3191))))</f>
        <v/>
      </c>
      <c r="L3191" s="4" t="str">
        <f t="array" ref="L3191">IF(ROWS(L$20:L3191)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3191))))</f>
        <v/>
      </c>
      <c r="M3191" s="4" t="str">
        <f t="array" ref="M3191">IF(ROWS(M$20:M3191)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3191))))</f>
        <v/>
      </c>
    </row>
    <row r="3192" spans="1:13" x14ac:dyDescent="0.25">
      <c r="A3192" s="3">
        <v>41960</v>
      </c>
      <c r="B3192" s="2" t="s">
        <v>14</v>
      </c>
      <c r="C3192" s="2">
        <v>47</v>
      </c>
      <c r="G3192" s="7" t="str">
        <f t="array" ref="G3192">IF(ROWS(K$20:K3192)&gt;$F$6,"",INDEX(A$2:A$10000,SMALL(IF(ISNUMBER(MATCH($B$2:$B$10000,$E$6:$E$22,0)),ROW($C$2:$C$10000)-ROW($C$2)+1),ROWS(K$20:K3192))))</f>
        <v/>
      </c>
      <c r="H3192" s="4" t="str">
        <f t="array" ref="H3192">IF(ROWS(L$20:L3192)&gt;$F$6,"",INDEX(B$2:B$10000,SMALL(IF(ISNUMBER(MATCH($B$2:$B$10000,$E$6:$E$22,0)),ROW($C$2:$C$10000)-ROW($C$2)+1),ROWS(L$20:L3192))))</f>
        <v/>
      </c>
      <c r="I3192" s="4" t="str">
        <f t="array" ref="I3192">IF(ROWS(M$20:M3192)&gt;$F$6,"",INDEX(C$2:C$10000,SMALL(IF(ISNUMBER(MATCH($B$2:$B$10000,$E$6:$E$22,0)),ROW($C$2:$C$10000)-ROW($C$2)+1),ROWS(M$20:M3192))))</f>
        <v/>
      </c>
      <c r="K3192" s="7" t="str">
        <f t="array" ref="K3192">IF(ROWS(K$20:K3192)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3192))))</f>
        <v/>
      </c>
      <c r="L3192" s="4" t="str">
        <f t="array" ref="L3192">IF(ROWS(L$20:L3192)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3192))))</f>
        <v/>
      </c>
      <c r="M3192" s="4" t="str">
        <f t="array" ref="M3192">IF(ROWS(M$20:M3192)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3192))))</f>
        <v/>
      </c>
    </row>
    <row r="3193" spans="1:13" x14ac:dyDescent="0.25">
      <c r="A3193" s="3">
        <v>41963</v>
      </c>
      <c r="B3193" s="2" t="s">
        <v>28</v>
      </c>
      <c r="C3193" s="2">
        <v>45</v>
      </c>
      <c r="G3193" s="7" t="str">
        <f t="array" ref="G3193">IF(ROWS(K$20:K3193)&gt;$F$6,"",INDEX(A$2:A$10000,SMALL(IF(ISNUMBER(MATCH($B$2:$B$10000,$E$6:$E$22,0)),ROW($C$2:$C$10000)-ROW($C$2)+1),ROWS(K$20:K3193))))</f>
        <v/>
      </c>
      <c r="H3193" s="4" t="str">
        <f t="array" ref="H3193">IF(ROWS(L$20:L3193)&gt;$F$6,"",INDEX(B$2:B$10000,SMALL(IF(ISNUMBER(MATCH($B$2:$B$10000,$E$6:$E$22,0)),ROW($C$2:$C$10000)-ROW($C$2)+1),ROWS(L$20:L3193))))</f>
        <v/>
      </c>
      <c r="I3193" s="4" t="str">
        <f t="array" ref="I3193">IF(ROWS(M$20:M3193)&gt;$F$6,"",INDEX(C$2:C$10000,SMALL(IF(ISNUMBER(MATCH($B$2:$B$10000,$E$6:$E$22,0)),ROW($C$2:$C$10000)-ROW($C$2)+1),ROWS(M$20:M3193))))</f>
        <v/>
      </c>
      <c r="K3193" s="7" t="str">
        <f t="array" ref="K3193">IF(ROWS(K$20:K3193)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3193))))</f>
        <v/>
      </c>
      <c r="L3193" s="4" t="str">
        <f t="array" ref="L3193">IF(ROWS(L$20:L3193)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3193))))</f>
        <v/>
      </c>
      <c r="M3193" s="4" t="str">
        <f t="array" ref="M3193">IF(ROWS(M$20:M3193)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3193))))</f>
        <v/>
      </c>
    </row>
    <row r="3194" spans="1:13" x14ac:dyDescent="0.25">
      <c r="A3194" s="3">
        <v>41336</v>
      </c>
      <c r="B3194" s="2" t="s">
        <v>18</v>
      </c>
      <c r="C3194" s="2">
        <v>42</v>
      </c>
      <c r="G3194" s="7" t="str">
        <f t="array" ref="G3194">IF(ROWS(K$20:K3194)&gt;$F$6,"",INDEX(A$2:A$10000,SMALL(IF(ISNUMBER(MATCH($B$2:$B$10000,$E$6:$E$22,0)),ROW($C$2:$C$10000)-ROW($C$2)+1),ROWS(K$20:K3194))))</f>
        <v/>
      </c>
      <c r="H3194" s="4" t="str">
        <f t="array" ref="H3194">IF(ROWS(L$20:L3194)&gt;$F$6,"",INDEX(B$2:B$10000,SMALL(IF(ISNUMBER(MATCH($B$2:$B$10000,$E$6:$E$22,0)),ROW($C$2:$C$10000)-ROW($C$2)+1),ROWS(L$20:L3194))))</f>
        <v/>
      </c>
      <c r="I3194" s="4" t="str">
        <f t="array" ref="I3194">IF(ROWS(M$20:M3194)&gt;$F$6,"",INDEX(C$2:C$10000,SMALL(IF(ISNUMBER(MATCH($B$2:$B$10000,$E$6:$E$22,0)),ROW($C$2:$C$10000)-ROW($C$2)+1),ROWS(M$20:M3194))))</f>
        <v/>
      </c>
      <c r="K3194" s="7" t="str">
        <f t="array" ref="K3194">IF(ROWS(K$20:K3194)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3194))))</f>
        <v/>
      </c>
      <c r="L3194" s="4" t="str">
        <f t="array" ref="L3194">IF(ROWS(L$20:L3194)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3194))))</f>
        <v/>
      </c>
      <c r="M3194" s="4" t="str">
        <f t="array" ref="M3194">IF(ROWS(M$20:M3194)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3194))))</f>
        <v/>
      </c>
    </row>
    <row r="3195" spans="1:13" x14ac:dyDescent="0.25">
      <c r="A3195" s="3">
        <v>41565</v>
      </c>
      <c r="B3195" s="2" t="s">
        <v>24</v>
      </c>
      <c r="C3195" s="2">
        <v>7</v>
      </c>
      <c r="G3195" s="7" t="str">
        <f t="array" ref="G3195">IF(ROWS(K$20:K3195)&gt;$F$6,"",INDEX(A$2:A$10000,SMALL(IF(ISNUMBER(MATCH($B$2:$B$10000,$E$6:$E$22,0)),ROW($C$2:$C$10000)-ROW($C$2)+1),ROWS(K$20:K3195))))</f>
        <v/>
      </c>
      <c r="H3195" s="4" t="str">
        <f t="array" ref="H3195">IF(ROWS(L$20:L3195)&gt;$F$6,"",INDEX(B$2:B$10000,SMALL(IF(ISNUMBER(MATCH($B$2:$B$10000,$E$6:$E$22,0)),ROW($C$2:$C$10000)-ROW($C$2)+1),ROWS(L$20:L3195))))</f>
        <v/>
      </c>
      <c r="I3195" s="4" t="str">
        <f t="array" ref="I3195">IF(ROWS(M$20:M3195)&gt;$F$6,"",INDEX(C$2:C$10000,SMALL(IF(ISNUMBER(MATCH($B$2:$B$10000,$E$6:$E$22,0)),ROW($C$2:$C$10000)-ROW($C$2)+1),ROWS(M$20:M3195))))</f>
        <v/>
      </c>
      <c r="K3195" s="7" t="str">
        <f t="array" ref="K3195">IF(ROWS(K$20:K3195)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3195))))</f>
        <v/>
      </c>
      <c r="L3195" s="4" t="str">
        <f t="array" ref="L3195">IF(ROWS(L$20:L3195)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3195))))</f>
        <v/>
      </c>
      <c r="M3195" s="4" t="str">
        <f t="array" ref="M3195">IF(ROWS(M$20:M3195)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3195))))</f>
        <v/>
      </c>
    </row>
    <row r="3196" spans="1:13" x14ac:dyDescent="0.25">
      <c r="A3196" s="3">
        <v>41318</v>
      </c>
      <c r="B3196" s="2" t="s">
        <v>36</v>
      </c>
      <c r="C3196" s="2">
        <v>38</v>
      </c>
      <c r="G3196" s="7" t="str">
        <f t="array" ref="G3196">IF(ROWS(K$20:K3196)&gt;$F$6,"",INDEX(A$2:A$10000,SMALL(IF(ISNUMBER(MATCH($B$2:$B$10000,$E$6:$E$22,0)),ROW($C$2:$C$10000)-ROW($C$2)+1),ROWS(K$20:K3196))))</f>
        <v/>
      </c>
      <c r="H3196" s="4" t="str">
        <f t="array" ref="H3196">IF(ROWS(L$20:L3196)&gt;$F$6,"",INDEX(B$2:B$10000,SMALL(IF(ISNUMBER(MATCH($B$2:$B$10000,$E$6:$E$22,0)),ROW($C$2:$C$10000)-ROW($C$2)+1),ROWS(L$20:L3196))))</f>
        <v/>
      </c>
      <c r="I3196" s="4" t="str">
        <f t="array" ref="I3196">IF(ROWS(M$20:M3196)&gt;$F$6,"",INDEX(C$2:C$10000,SMALL(IF(ISNUMBER(MATCH($B$2:$B$10000,$E$6:$E$22,0)),ROW($C$2:$C$10000)-ROW($C$2)+1),ROWS(M$20:M3196))))</f>
        <v/>
      </c>
      <c r="K3196" s="7" t="str">
        <f t="array" ref="K3196">IF(ROWS(K$20:K3196)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3196))))</f>
        <v/>
      </c>
      <c r="L3196" s="4" t="str">
        <f t="array" ref="L3196">IF(ROWS(L$20:L3196)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3196))))</f>
        <v/>
      </c>
      <c r="M3196" s="4" t="str">
        <f t="array" ref="M3196">IF(ROWS(M$20:M3196)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3196))))</f>
        <v/>
      </c>
    </row>
    <row r="3197" spans="1:13" x14ac:dyDescent="0.25">
      <c r="A3197" s="3">
        <v>41373</v>
      </c>
      <c r="B3197" s="2" t="s">
        <v>7</v>
      </c>
      <c r="C3197" s="2">
        <v>21</v>
      </c>
      <c r="G3197" s="7" t="str">
        <f t="array" ref="G3197">IF(ROWS(K$20:K3197)&gt;$F$6,"",INDEX(A$2:A$10000,SMALL(IF(ISNUMBER(MATCH($B$2:$B$10000,$E$6:$E$22,0)),ROW($C$2:$C$10000)-ROW($C$2)+1),ROWS(K$20:K3197))))</f>
        <v/>
      </c>
      <c r="H3197" s="4" t="str">
        <f t="array" ref="H3197">IF(ROWS(L$20:L3197)&gt;$F$6,"",INDEX(B$2:B$10000,SMALL(IF(ISNUMBER(MATCH($B$2:$B$10000,$E$6:$E$22,0)),ROW($C$2:$C$10000)-ROW($C$2)+1),ROWS(L$20:L3197))))</f>
        <v/>
      </c>
      <c r="I3197" s="4" t="str">
        <f t="array" ref="I3197">IF(ROWS(M$20:M3197)&gt;$F$6,"",INDEX(C$2:C$10000,SMALL(IF(ISNUMBER(MATCH($B$2:$B$10000,$E$6:$E$22,0)),ROW($C$2:$C$10000)-ROW($C$2)+1),ROWS(M$20:M3197))))</f>
        <v/>
      </c>
      <c r="K3197" s="7" t="str">
        <f t="array" ref="K3197">IF(ROWS(K$20:K3197)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3197))))</f>
        <v/>
      </c>
      <c r="L3197" s="4" t="str">
        <f t="array" ref="L3197">IF(ROWS(L$20:L3197)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3197))))</f>
        <v/>
      </c>
      <c r="M3197" s="4" t="str">
        <f t="array" ref="M3197">IF(ROWS(M$20:M3197)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3197))))</f>
        <v/>
      </c>
    </row>
    <row r="3198" spans="1:13" x14ac:dyDescent="0.25">
      <c r="A3198" s="3">
        <v>41282</v>
      </c>
      <c r="B3198" s="2" t="s">
        <v>11</v>
      </c>
      <c r="C3198" s="2">
        <v>2</v>
      </c>
      <c r="G3198" s="7" t="str">
        <f t="array" ref="G3198">IF(ROWS(K$20:K3198)&gt;$F$6,"",INDEX(A$2:A$10000,SMALL(IF(ISNUMBER(MATCH($B$2:$B$10000,$E$6:$E$22,0)),ROW($C$2:$C$10000)-ROW($C$2)+1),ROWS(K$20:K3198))))</f>
        <v/>
      </c>
      <c r="H3198" s="4" t="str">
        <f t="array" ref="H3198">IF(ROWS(L$20:L3198)&gt;$F$6,"",INDEX(B$2:B$10000,SMALL(IF(ISNUMBER(MATCH($B$2:$B$10000,$E$6:$E$22,0)),ROW($C$2:$C$10000)-ROW($C$2)+1),ROWS(L$20:L3198))))</f>
        <v/>
      </c>
      <c r="I3198" s="4" t="str">
        <f t="array" ref="I3198">IF(ROWS(M$20:M3198)&gt;$F$6,"",INDEX(C$2:C$10000,SMALL(IF(ISNUMBER(MATCH($B$2:$B$10000,$E$6:$E$22,0)),ROW($C$2:$C$10000)-ROW($C$2)+1),ROWS(M$20:M3198))))</f>
        <v/>
      </c>
      <c r="K3198" s="7" t="str">
        <f t="array" ref="K3198">IF(ROWS(K$20:K3198)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3198))))</f>
        <v/>
      </c>
      <c r="L3198" s="4" t="str">
        <f t="array" ref="L3198">IF(ROWS(L$20:L3198)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3198))))</f>
        <v/>
      </c>
      <c r="M3198" s="4" t="str">
        <f t="array" ref="M3198">IF(ROWS(M$20:M3198)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3198))))</f>
        <v/>
      </c>
    </row>
    <row r="3199" spans="1:13" x14ac:dyDescent="0.25">
      <c r="A3199" s="3">
        <v>41450</v>
      </c>
      <c r="B3199" s="2" t="s">
        <v>23</v>
      </c>
      <c r="C3199" s="2">
        <v>13</v>
      </c>
      <c r="G3199" s="7" t="str">
        <f t="array" ref="G3199">IF(ROWS(K$20:K3199)&gt;$F$6,"",INDEX(A$2:A$10000,SMALL(IF(ISNUMBER(MATCH($B$2:$B$10000,$E$6:$E$22,0)),ROW($C$2:$C$10000)-ROW($C$2)+1),ROWS(K$20:K3199))))</f>
        <v/>
      </c>
      <c r="H3199" s="4" t="str">
        <f t="array" ref="H3199">IF(ROWS(L$20:L3199)&gt;$F$6,"",INDEX(B$2:B$10000,SMALL(IF(ISNUMBER(MATCH($B$2:$B$10000,$E$6:$E$22,0)),ROW($C$2:$C$10000)-ROW($C$2)+1),ROWS(L$20:L3199))))</f>
        <v/>
      </c>
      <c r="I3199" s="4" t="str">
        <f t="array" ref="I3199">IF(ROWS(M$20:M3199)&gt;$F$6,"",INDEX(C$2:C$10000,SMALL(IF(ISNUMBER(MATCH($B$2:$B$10000,$E$6:$E$22,0)),ROW($C$2:$C$10000)-ROW($C$2)+1),ROWS(M$20:M3199))))</f>
        <v/>
      </c>
      <c r="K3199" s="7" t="str">
        <f t="array" ref="K3199">IF(ROWS(K$20:K3199)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3199))))</f>
        <v/>
      </c>
      <c r="L3199" s="4" t="str">
        <f t="array" ref="L3199">IF(ROWS(L$20:L3199)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3199))))</f>
        <v/>
      </c>
      <c r="M3199" s="4" t="str">
        <f t="array" ref="M3199">IF(ROWS(M$20:M3199)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3199))))</f>
        <v/>
      </c>
    </row>
    <row r="3200" spans="1:13" x14ac:dyDescent="0.25">
      <c r="A3200" s="3">
        <v>41432</v>
      </c>
      <c r="B3200" s="2" t="s">
        <v>17</v>
      </c>
      <c r="C3200" s="2">
        <v>37</v>
      </c>
      <c r="G3200" s="7" t="str">
        <f t="array" ref="G3200">IF(ROWS(K$20:K3200)&gt;$F$6,"",INDEX(A$2:A$10000,SMALL(IF(ISNUMBER(MATCH($B$2:$B$10000,$E$6:$E$22,0)),ROW($C$2:$C$10000)-ROW($C$2)+1),ROWS(K$20:K3200))))</f>
        <v/>
      </c>
      <c r="H3200" s="4" t="str">
        <f t="array" ref="H3200">IF(ROWS(L$20:L3200)&gt;$F$6,"",INDEX(B$2:B$10000,SMALL(IF(ISNUMBER(MATCH($B$2:$B$10000,$E$6:$E$22,0)),ROW($C$2:$C$10000)-ROW($C$2)+1),ROWS(L$20:L3200))))</f>
        <v/>
      </c>
      <c r="I3200" s="4" t="str">
        <f t="array" ref="I3200">IF(ROWS(M$20:M3200)&gt;$F$6,"",INDEX(C$2:C$10000,SMALL(IF(ISNUMBER(MATCH($B$2:$B$10000,$E$6:$E$22,0)),ROW($C$2:$C$10000)-ROW($C$2)+1),ROWS(M$20:M3200))))</f>
        <v/>
      </c>
      <c r="K3200" s="7" t="str">
        <f t="array" ref="K3200">IF(ROWS(K$20:K3200)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3200))))</f>
        <v/>
      </c>
      <c r="L3200" s="4" t="str">
        <f t="array" ref="L3200">IF(ROWS(L$20:L3200)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3200))))</f>
        <v/>
      </c>
      <c r="M3200" s="4" t="str">
        <f t="array" ref="M3200">IF(ROWS(M$20:M3200)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3200))))</f>
        <v/>
      </c>
    </row>
    <row r="3201" spans="1:13" x14ac:dyDescent="0.25">
      <c r="A3201" s="3">
        <v>41351</v>
      </c>
      <c r="B3201" s="2" t="s">
        <v>50</v>
      </c>
      <c r="C3201" s="2">
        <v>57</v>
      </c>
      <c r="G3201" s="7" t="str">
        <f t="array" ref="G3201">IF(ROWS(K$20:K3201)&gt;$F$6,"",INDEX(A$2:A$10000,SMALL(IF(ISNUMBER(MATCH($B$2:$B$10000,$E$6:$E$22,0)),ROW($C$2:$C$10000)-ROW($C$2)+1),ROWS(K$20:K3201))))</f>
        <v/>
      </c>
      <c r="H3201" s="4" t="str">
        <f t="array" ref="H3201">IF(ROWS(L$20:L3201)&gt;$F$6,"",INDEX(B$2:B$10000,SMALL(IF(ISNUMBER(MATCH($B$2:$B$10000,$E$6:$E$22,0)),ROW($C$2:$C$10000)-ROW($C$2)+1),ROWS(L$20:L3201))))</f>
        <v/>
      </c>
      <c r="I3201" s="4" t="str">
        <f t="array" ref="I3201">IF(ROWS(M$20:M3201)&gt;$F$6,"",INDEX(C$2:C$10000,SMALL(IF(ISNUMBER(MATCH($B$2:$B$10000,$E$6:$E$22,0)),ROW($C$2:$C$10000)-ROW($C$2)+1),ROWS(M$20:M3201))))</f>
        <v/>
      </c>
      <c r="K3201" s="7" t="str">
        <f t="array" ref="K3201">IF(ROWS(K$20:K3201)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3201))))</f>
        <v/>
      </c>
      <c r="L3201" s="4" t="str">
        <f t="array" ref="L3201">IF(ROWS(L$20:L3201)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3201))))</f>
        <v/>
      </c>
      <c r="M3201" s="4" t="str">
        <f t="array" ref="M3201">IF(ROWS(M$20:M3201)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3201))))</f>
        <v/>
      </c>
    </row>
    <row r="3202" spans="1:13" x14ac:dyDescent="0.25">
      <c r="A3202" s="3">
        <v>41686</v>
      </c>
      <c r="B3202" s="2" t="s">
        <v>10</v>
      </c>
      <c r="C3202" s="2">
        <v>27</v>
      </c>
      <c r="G3202" s="7" t="str">
        <f t="array" ref="G3202">IF(ROWS(K$20:K3202)&gt;$F$6,"",INDEX(A$2:A$10000,SMALL(IF(ISNUMBER(MATCH($B$2:$B$10000,$E$6:$E$22,0)),ROW($C$2:$C$10000)-ROW($C$2)+1),ROWS(K$20:K3202))))</f>
        <v/>
      </c>
      <c r="H3202" s="4" t="str">
        <f t="array" ref="H3202">IF(ROWS(L$20:L3202)&gt;$F$6,"",INDEX(B$2:B$10000,SMALL(IF(ISNUMBER(MATCH($B$2:$B$10000,$E$6:$E$22,0)),ROW($C$2:$C$10000)-ROW($C$2)+1),ROWS(L$20:L3202))))</f>
        <v/>
      </c>
      <c r="I3202" s="4" t="str">
        <f t="array" ref="I3202">IF(ROWS(M$20:M3202)&gt;$F$6,"",INDEX(C$2:C$10000,SMALL(IF(ISNUMBER(MATCH($B$2:$B$10000,$E$6:$E$22,0)),ROW($C$2:$C$10000)-ROW($C$2)+1),ROWS(M$20:M3202))))</f>
        <v/>
      </c>
      <c r="K3202" s="7" t="str">
        <f t="array" ref="K3202">IF(ROWS(K$20:K3202)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3202))))</f>
        <v/>
      </c>
      <c r="L3202" s="4" t="str">
        <f t="array" ref="L3202">IF(ROWS(L$20:L3202)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3202))))</f>
        <v/>
      </c>
      <c r="M3202" s="4" t="str">
        <f t="array" ref="M3202">IF(ROWS(M$20:M3202)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3202))))</f>
        <v/>
      </c>
    </row>
    <row r="3203" spans="1:13" x14ac:dyDescent="0.25">
      <c r="A3203" s="3">
        <v>41278</v>
      </c>
      <c r="B3203" s="2" t="s">
        <v>47</v>
      </c>
      <c r="C3203" s="2">
        <v>31</v>
      </c>
      <c r="G3203" s="7" t="str">
        <f t="array" ref="G3203">IF(ROWS(K$20:K3203)&gt;$F$6,"",INDEX(A$2:A$10000,SMALL(IF(ISNUMBER(MATCH($B$2:$B$10000,$E$6:$E$22,0)),ROW($C$2:$C$10000)-ROW($C$2)+1),ROWS(K$20:K3203))))</f>
        <v/>
      </c>
      <c r="H3203" s="4" t="str">
        <f t="array" ref="H3203">IF(ROWS(L$20:L3203)&gt;$F$6,"",INDEX(B$2:B$10000,SMALL(IF(ISNUMBER(MATCH($B$2:$B$10000,$E$6:$E$22,0)),ROW($C$2:$C$10000)-ROW($C$2)+1),ROWS(L$20:L3203))))</f>
        <v/>
      </c>
      <c r="I3203" s="4" t="str">
        <f t="array" ref="I3203">IF(ROWS(M$20:M3203)&gt;$F$6,"",INDEX(C$2:C$10000,SMALL(IF(ISNUMBER(MATCH($B$2:$B$10000,$E$6:$E$22,0)),ROW($C$2:$C$10000)-ROW($C$2)+1),ROWS(M$20:M3203))))</f>
        <v/>
      </c>
      <c r="K3203" s="7" t="str">
        <f t="array" ref="K3203">IF(ROWS(K$20:K3203)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3203))))</f>
        <v/>
      </c>
      <c r="L3203" s="4" t="str">
        <f t="array" ref="L3203">IF(ROWS(L$20:L3203)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3203))))</f>
        <v/>
      </c>
      <c r="M3203" s="4" t="str">
        <f t="array" ref="M3203">IF(ROWS(M$20:M3203)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3203))))</f>
        <v/>
      </c>
    </row>
    <row r="3204" spans="1:13" x14ac:dyDescent="0.25">
      <c r="A3204" s="3">
        <v>41849</v>
      </c>
      <c r="B3204" s="2" t="s">
        <v>18</v>
      </c>
      <c r="C3204" s="2">
        <v>3</v>
      </c>
      <c r="G3204" s="7" t="str">
        <f t="array" ref="G3204">IF(ROWS(K$20:K3204)&gt;$F$6,"",INDEX(A$2:A$10000,SMALL(IF(ISNUMBER(MATCH($B$2:$B$10000,$E$6:$E$22,0)),ROW($C$2:$C$10000)-ROW($C$2)+1),ROWS(K$20:K3204))))</f>
        <v/>
      </c>
      <c r="H3204" s="4" t="str">
        <f t="array" ref="H3204">IF(ROWS(L$20:L3204)&gt;$F$6,"",INDEX(B$2:B$10000,SMALL(IF(ISNUMBER(MATCH($B$2:$B$10000,$E$6:$E$22,0)),ROW($C$2:$C$10000)-ROW($C$2)+1),ROWS(L$20:L3204))))</f>
        <v/>
      </c>
      <c r="I3204" s="4" t="str">
        <f t="array" ref="I3204">IF(ROWS(M$20:M3204)&gt;$F$6,"",INDEX(C$2:C$10000,SMALL(IF(ISNUMBER(MATCH($B$2:$B$10000,$E$6:$E$22,0)),ROW($C$2:$C$10000)-ROW($C$2)+1),ROWS(M$20:M3204))))</f>
        <v/>
      </c>
      <c r="K3204" s="7" t="str">
        <f t="array" ref="K3204">IF(ROWS(K$20:K3204)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3204))))</f>
        <v/>
      </c>
      <c r="L3204" s="4" t="str">
        <f t="array" ref="L3204">IF(ROWS(L$20:L3204)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3204))))</f>
        <v/>
      </c>
      <c r="M3204" s="4" t="str">
        <f t="array" ref="M3204">IF(ROWS(M$20:M3204)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3204))))</f>
        <v/>
      </c>
    </row>
    <row r="3205" spans="1:13" x14ac:dyDescent="0.25">
      <c r="A3205" s="3">
        <v>41755</v>
      </c>
      <c r="B3205" s="2" t="s">
        <v>9</v>
      </c>
      <c r="C3205" s="2">
        <v>0</v>
      </c>
      <c r="G3205" s="7" t="str">
        <f t="array" ref="G3205">IF(ROWS(K$20:K3205)&gt;$F$6,"",INDEX(A$2:A$10000,SMALL(IF(ISNUMBER(MATCH($B$2:$B$10000,$E$6:$E$22,0)),ROW($C$2:$C$10000)-ROW($C$2)+1),ROWS(K$20:K3205))))</f>
        <v/>
      </c>
      <c r="H3205" s="4" t="str">
        <f t="array" ref="H3205">IF(ROWS(L$20:L3205)&gt;$F$6,"",INDEX(B$2:B$10000,SMALL(IF(ISNUMBER(MATCH($B$2:$B$10000,$E$6:$E$22,0)),ROW($C$2:$C$10000)-ROW($C$2)+1),ROWS(L$20:L3205))))</f>
        <v/>
      </c>
      <c r="I3205" s="4" t="str">
        <f t="array" ref="I3205">IF(ROWS(M$20:M3205)&gt;$F$6,"",INDEX(C$2:C$10000,SMALL(IF(ISNUMBER(MATCH($B$2:$B$10000,$E$6:$E$22,0)),ROW($C$2:$C$10000)-ROW($C$2)+1),ROWS(M$20:M3205))))</f>
        <v/>
      </c>
      <c r="K3205" s="7" t="str">
        <f t="array" ref="K3205">IF(ROWS(K$20:K3205)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3205))))</f>
        <v/>
      </c>
      <c r="L3205" s="4" t="str">
        <f t="array" ref="L3205">IF(ROWS(L$20:L3205)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3205))))</f>
        <v/>
      </c>
      <c r="M3205" s="4" t="str">
        <f t="array" ref="M3205">IF(ROWS(M$20:M3205)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3205))))</f>
        <v/>
      </c>
    </row>
    <row r="3206" spans="1:13" x14ac:dyDescent="0.25">
      <c r="A3206" s="3">
        <v>41385</v>
      </c>
      <c r="B3206" s="2" t="s">
        <v>10</v>
      </c>
      <c r="C3206" s="2">
        <v>24</v>
      </c>
      <c r="G3206" s="7" t="str">
        <f t="array" ref="G3206">IF(ROWS(K$20:K3206)&gt;$F$6,"",INDEX(A$2:A$10000,SMALL(IF(ISNUMBER(MATCH($B$2:$B$10000,$E$6:$E$22,0)),ROW($C$2:$C$10000)-ROW($C$2)+1),ROWS(K$20:K3206))))</f>
        <v/>
      </c>
      <c r="H3206" s="4" t="str">
        <f t="array" ref="H3206">IF(ROWS(L$20:L3206)&gt;$F$6,"",INDEX(B$2:B$10000,SMALL(IF(ISNUMBER(MATCH($B$2:$B$10000,$E$6:$E$22,0)),ROW($C$2:$C$10000)-ROW($C$2)+1),ROWS(L$20:L3206))))</f>
        <v/>
      </c>
      <c r="I3206" s="4" t="str">
        <f t="array" ref="I3206">IF(ROWS(M$20:M3206)&gt;$F$6,"",INDEX(C$2:C$10000,SMALL(IF(ISNUMBER(MATCH($B$2:$B$10000,$E$6:$E$22,0)),ROW($C$2:$C$10000)-ROW($C$2)+1),ROWS(M$20:M3206))))</f>
        <v/>
      </c>
      <c r="K3206" s="7" t="str">
        <f t="array" ref="K3206">IF(ROWS(K$20:K3206)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3206))))</f>
        <v/>
      </c>
      <c r="L3206" s="4" t="str">
        <f t="array" ref="L3206">IF(ROWS(L$20:L3206)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3206))))</f>
        <v/>
      </c>
      <c r="M3206" s="4" t="str">
        <f t="array" ref="M3206">IF(ROWS(M$20:M3206)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3206))))</f>
        <v/>
      </c>
    </row>
    <row r="3207" spans="1:13" x14ac:dyDescent="0.25">
      <c r="A3207" s="3">
        <v>41743</v>
      </c>
      <c r="B3207" s="2" t="s">
        <v>28</v>
      </c>
      <c r="C3207" s="2">
        <v>31</v>
      </c>
      <c r="G3207" s="7" t="str">
        <f t="array" ref="G3207">IF(ROWS(K$20:K3207)&gt;$F$6,"",INDEX(A$2:A$10000,SMALL(IF(ISNUMBER(MATCH($B$2:$B$10000,$E$6:$E$22,0)),ROW($C$2:$C$10000)-ROW($C$2)+1),ROWS(K$20:K3207))))</f>
        <v/>
      </c>
      <c r="H3207" s="4" t="str">
        <f t="array" ref="H3207">IF(ROWS(L$20:L3207)&gt;$F$6,"",INDEX(B$2:B$10000,SMALL(IF(ISNUMBER(MATCH($B$2:$B$10000,$E$6:$E$22,0)),ROW($C$2:$C$10000)-ROW($C$2)+1),ROWS(L$20:L3207))))</f>
        <v/>
      </c>
      <c r="I3207" s="4" t="str">
        <f t="array" ref="I3207">IF(ROWS(M$20:M3207)&gt;$F$6,"",INDEX(C$2:C$10000,SMALL(IF(ISNUMBER(MATCH($B$2:$B$10000,$E$6:$E$22,0)),ROW($C$2:$C$10000)-ROW($C$2)+1),ROWS(M$20:M3207))))</f>
        <v/>
      </c>
      <c r="K3207" s="7" t="str">
        <f t="array" ref="K3207">IF(ROWS(K$20:K3207)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3207))))</f>
        <v/>
      </c>
      <c r="L3207" s="4" t="str">
        <f t="array" ref="L3207">IF(ROWS(L$20:L3207)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3207))))</f>
        <v/>
      </c>
      <c r="M3207" s="4" t="str">
        <f t="array" ref="M3207">IF(ROWS(M$20:M3207)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3207))))</f>
        <v/>
      </c>
    </row>
    <row r="3208" spans="1:13" x14ac:dyDescent="0.25">
      <c r="A3208" s="3">
        <v>41796</v>
      </c>
      <c r="B3208" s="2" t="s">
        <v>28</v>
      </c>
      <c r="C3208" s="2">
        <v>37</v>
      </c>
      <c r="G3208" s="7" t="str">
        <f t="array" ref="G3208">IF(ROWS(K$20:K3208)&gt;$F$6,"",INDEX(A$2:A$10000,SMALL(IF(ISNUMBER(MATCH($B$2:$B$10000,$E$6:$E$22,0)),ROW($C$2:$C$10000)-ROW($C$2)+1),ROWS(K$20:K3208))))</f>
        <v/>
      </c>
      <c r="H3208" s="4" t="str">
        <f t="array" ref="H3208">IF(ROWS(L$20:L3208)&gt;$F$6,"",INDEX(B$2:B$10000,SMALL(IF(ISNUMBER(MATCH($B$2:$B$10000,$E$6:$E$22,0)),ROW($C$2:$C$10000)-ROW($C$2)+1),ROWS(L$20:L3208))))</f>
        <v/>
      </c>
      <c r="I3208" s="4" t="str">
        <f t="array" ref="I3208">IF(ROWS(M$20:M3208)&gt;$F$6,"",INDEX(C$2:C$10000,SMALL(IF(ISNUMBER(MATCH($B$2:$B$10000,$E$6:$E$22,0)),ROW($C$2:$C$10000)-ROW($C$2)+1),ROWS(M$20:M3208))))</f>
        <v/>
      </c>
      <c r="K3208" s="7" t="str">
        <f t="array" ref="K3208">IF(ROWS(K$20:K3208)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3208))))</f>
        <v/>
      </c>
      <c r="L3208" s="4" t="str">
        <f t="array" ref="L3208">IF(ROWS(L$20:L3208)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3208))))</f>
        <v/>
      </c>
      <c r="M3208" s="4" t="str">
        <f t="array" ref="M3208">IF(ROWS(M$20:M3208)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3208))))</f>
        <v/>
      </c>
    </row>
    <row r="3209" spans="1:13" x14ac:dyDescent="0.25">
      <c r="A3209" s="3">
        <v>41788</v>
      </c>
      <c r="B3209" s="2" t="s">
        <v>15</v>
      </c>
      <c r="C3209" s="2">
        <v>29</v>
      </c>
      <c r="G3209" s="7" t="str">
        <f t="array" ref="G3209">IF(ROWS(K$20:K3209)&gt;$F$6,"",INDEX(A$2:A$10000,SMALL(IF(ISNUMBER(MATCH($B$2:$B$10000,$E$6:$E$22,0)),ROW($C$2:$C$10000)-ROW($C$2)+1),ROWS(K$20:K3209))))</f>
        <v/>
      </c>
      <c r="H3209" s="4" t="str">
        <f t="array" ref="H3209">IF(ROWS(L$20:L3209)&gt;$F$6,"",INDEX(B$2:B$10000,SMALL(IF(ISNUMBER(MATCH($B$2:$B$10000,$E$6:$E$22,0)),ROW($C$2:$C$10000)-ROW($C$2)+1),ROWS(L$20:L3209))))</f>
        <v/>
      </c>
      <c r="I3209" s="4" t="str">
        <f t="array" ref="I3209">IF(ROWS(M$20:M3209)&gt;$F$6,"",INDEX(C$2:C$10000,SMALL(IF(ISNUMBER(MATCH($B$2:$B$10000,$E$6:$E$22,0)),ROW($C$2:$C$10000)-ROW($C$2)+1),ROWS(M$20:M3209))))</f>
        <v/>
      </c>
      <c r="K3209" s="7" t="str">
        <f t="array" ref="K3209">IF(ROWS(K$20:K3209)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3209))))</f>
        <v/>
      </c>
      <c r="L3209" s="4" t="str">
        <f t="array" ref="L3209">IF(ROWS(L$20:L3209)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3209))))</f>
        <v/>
      </c>
      <c r="M3209" s="4" t="str">
        <f t="array" ref="M3209">IF(ROWS(M$20:M3209)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3209))))</f>
        <v/>
      </c>
    </row>
    <row r="3210" spans="1:13" x14ac:dyDescent="0.25">
      <c r="A3210" s="3">
        <v>41827</v>
      </c>
      <c r="B3210" s="2" t="s">
        <v>45</v>
      </c>
      <c r="C3210" s="2">
        <v>6</v>
      </c>
      <c r="G3210" s="7" t="str">
        <f t="array" ref="G3210">IF(ROWS(K$20:K3210)&gt;$F$6,"",INDEX(A$2:A$10000,SMALL(IF(ISNUMBER(MATCH($B$2:$B$10000,$E$6:$E$22,0)),ROW($C$2:$C$10000)-ROW($C$2)+1),ROWS(K$20:K3210))))</f>
        <v/>
      </c>
      <c r="H3210" s="4" t="str">
        <f t="array" ref="H3210">IF(ROWS(L$20:L3210)&gt;$F$6,"",INDEX(B$2:B$10000,SMALL(IF(ISNUMBER(MATCH($B$2:$B$10000,$E$6:$E$22,0)),ROW($C$2:$C$10000)-ROW($C$2)+1),ROWS(L$20:L3210))))</f>
        <v/>
      </c>
      <c r="I3210" s="4" t="str">
        <f t="array" ref="I3210">IF(ROWS(M$20:M3210)&gt;$F$6,"",INDEX(C$2:C$10000,SMALL(IF(ISNUMBER(MATCH($B$2:$B$10000,$E$6:$E$22,0)),ROW($C$2:$C$10000)-ROW($C$2)+1),ROWS(M$20:M3210))))</f>
        <v/>
      </c>
      <c r="K3210" s="7" t="str">
        <f t="array" ref="K3210">IF(ROWS(K$20:K3210)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3210))))</f>
        <v/>
      </c>
      <c r="L3210" s="4" t="str">
        <f t="array" ref="L3210">IF(ROWS(L$20:L3210)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3210))))</f>
        <v/>
      </c>
      <c r="M3210" s="4" t="str">
        <f t="array" ref="M3210">IF(ROWS(M$20:M3210)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3210))))</f>
        <v/>
      </c>
    </row>
    <row r="3211" spans="1:13" x14ac:dyDescent="0.25">
      <c r="A3211" s="3">
        <v>41720</v>
      </c>
      <c r="B3211" s="2" t="s">
        <v>32</v>
      </c>
      <c r="C3211" s="2">
        <v>3</v>
      </c>
      <c r="G3211" s="7" t="str">
        <f t="array" ref="G3211">IF(ROWS(K$20:K3211)&gt;$F$6,"",INDEX(A$2:A$10000,SMALL(IF(ISNUMBER(MATCH($B$2:$B$10000,$E$6:$E$22,0)),ROW($C$2:$C$10000)-ROW($C$2)+1),ROWS(K$20:K3211))))</f>
        <v/>
      </c>
      <c r="H3211" s="4" t="str">
        <f t="array" ref="H3211">IF(ROWS(L$20:L3211)&gt;$F$6,"",INDEX(B$2:B$10000,SMALL(IF(ISNUMBER(MATCH($B$2:$B$10000,$E$6:$E$22,0)),ROW($C$2:$C$10000)-ROW($C$2)+1),ROWS(L$20:L3211))))</f>
        <v/>
      </c>
      <c r="I3211" s="4" t="str">
        <f t="array" ref="I3211">IF(ROWS(M$20:M3211)&gt;$F$6,"",INDEX(C$2:C$10000,SMALL(IF(ISNUMBER(MATCH($B$2:$B$10000,$E$6:$E$22,0)),ROW($C$2:$C$10000)-ROW($C$2)+1),ROWS(M$20:M3211))))</f>
        <v/>
      </c>
      <c r="K3211" s="7" t="str">
        <f t="array" ref="K3211">IF(ROWS(K$20:K3211)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3211))))</f>
        <v/>
      </c>
      <c r="L3211" s="4" t="str">
        <f t="array" ref="L3211">IF(ROWS(L$20:L3211)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3211))))</f>
        <v/>
      </c>
      <c r="M3211" s="4" t="str">
        <f t="array" ref="M3211">IF(ROWS(M$20:M3211)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3211))))</f>
        <v/>
      </c>
    </row>
    <row r="3212" spans="1:13" x14ac:dyDescent="0.25">
      <c r="A3212" s="3">
        <v>41759</v>
      </c>
      <c r="B3212" s="2" t="s">
        <v>9</v>
      </c>
      <c r="C3212" s="2">
        <v>14</v>
      </c>
      <c r="G3212" s="7" t="str">
        <f t="array" ref="G3212">IF(ROWS(K$20:K3212)&gt;$F$6,"",INDEX(A$2:A$10000,SMALL(IF(ISNUMBER(MATCH($B$2:$B$10000,$E$6:$E$22,0)),ROW($C$2:$C$10000)-ROW($C$2)+1),ROWS(K$20:K3212))))</f>
        <v/>
      </c>
      <c r="H3212" s="4" t="str">
        <f t="array" ref="H3212">IF(ROWS(L$20:L3212)&gt;$F$6,"",INDEX(B$2:B$10000,SMALL(IF(ISNUMBER(MATCH($B$2:$B$10000,$E$6:$E$22,0)),ROW($C$2:$C$10000)-ROW($C$2)+1),ROWS(L$20:L3212))))</f>
        <v/>
      </c>
      <c r="I3212" s="4" t="str">
        <f t="array" ref="I3212">IF(ROWS(M$20:M3212)&gt;$F$6,"",INDEX(C$2:C$10000,SMALL(IF(ISNUMBER(MATCH($B$2:$B$10000,$E$6:$E$22,0)),ROW($C$2:$C$10000)-ROW($C$2)+1),ROWS(M$20:M3212))))</f>
        <v/>
      </c>
      <c r="K3212" s="7" t="str">
        <f t="array" ref="K3212">IF(ROWS(K$20:K3212)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3212))))</f>
        <v/>
      </c>
      <c r="L3212" s="4" t="str">
        <f t="array" ref="L3212">IF(ROWS(L$20:L3212)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3212))))</f>
        <v/>
      </c>
      <c r="M3212" s="4" t="str">
        <f t="array" ref="M3212">IF(ROWS(M$20:M3212)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3212))))</f>
        <v/>
      </c>
    </row>
    <row r="3213" spans="1:13" x14ac:dyDescent="0.25">
      <c r="A3213" s="3">
        <v>41275</v>
      </c>
      <c r="B3213" s="2" t="s">
        <v>30</v>
      </c>
      <c r="C3213" s="2">
        <v>45</v>
      </c>
      <c r="G3213" s="7" t="str">
        <f t="array" ref="G3213">IF(ROWS(K$20:K3213)&gt;$F$6,"",INDEX(A$2:A$10000,SMALL(IF(ISNUMBER(MATCH($B$2:$B$10000,$E$6:$E$22,0)),ROW($C$2:$C$10000)-ROW($C$2)+1),ROWS(K$20:K3213))))</f>
        <v/>
      </c>
      <c r="H3213" s="4" t="str">
        <f t="array" ref="H3213">IF(ROWS(L$20:L3213)&gt;$F$6,"",INDEX(B$2:B$10000,SMALL(IF(ISNUMBER(MATCH($B$2:$B$10000,$E$6:$E$22,0)),ROW($C$2:$C$10000)-ROW($C$2)+1),ROWS(L$20:L3213))))</f>
        <v/>
      </c>
      <c r="I3213" s="4" t="str">
        <f t="array" ref="I3213">IF(ROWS(M$20:M3213)&gt;$F$6,"",INDEX(C$2:C$10000,SMALL(IF(ISNUMBER(MATCH($B$2:$B$10000,$E$6:$E$22,0)),ROW($C$2:$C$10000)-ROW($C$2)+1),ROWS(M$20:M3213))))</f>
        <v/>
      </c>
      <c r="K3213" s="7" t="str">
        <f t="array" ref="K3213">IF(ROWS(K$20:K3213)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3213))))</f>
        <v/>
      </c>
      <c r="L3213" s="4" t="str">
        <f t="array" ref="L3213">IF(ROWS(L$20:L3213)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3213))))</f>
        <v/>
      </c>
      <c r="M3213" s="4" t="str">
        <f t="array" ref="M3213">IF(ROWS(M$20:M3213)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3213))))</f>
        <v/>
      </c>
    </row>
    <row r="3214" spans="1:13" x14ac:dyDescent="0.25">
      <c r="A3214" s="3">
        <v>41671</v>
      </c>
      <c r="B3214" s="2" t="s">
        <v>5</v>
      </c>
      <c r="C3214" s="2">
        <v>22</v>
      </c>
      <c r="G3214" s="7" t="str">
        <f t="array" ref="G3214">IF(ROWS(K$20:K3214)&gt;$F$6,"",INDEX(A$2:A$10000,SMALL(IF(ISNUMBER(MATCH($B$2:$B$10000,$E$6:$E$22,0)),ROW($C$2:$C$10000)-ROW($C$2)+1),ROWS(K$20:K3214))))</f>
        <v/>
      </c>
      <c r="H3214" s="4" t="str">
        <f t="array" ref="H3214">IF(ROWS(L$20:L3214)&gt;$F$6,"",INDEX(B$2:B$10000,SMALL(IF(ISNUMBER(MATCH($B$2:$B$10000,$E$6:$E$22,0)),ROW($C$2:$C$10000)-ROW($C$2)+1),ROWS(L$20:L3214))))</f>
        <v/>
      </c>
      <c r="I3214" s="4" t="str">
        <f t="array" ref="I3214">IF(ROWS(M$20:M3214)&gt;$F$6,"",INDEX(C$2:C$10000,SMALL(IF(ISNUMBER(MATCH($B$2:$B$10000,$E$6:$E$22,0)),ROW($C$2:$C$10000)-ROW($C$2)+1),ROWS(M$20:M3214))))</f>
        <v/>
      </c>
      <c r="K3214" s="7" t="str">
        <f t="array" ref="K3214">IF(ROWS(K$20:K3214)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3214))))</f>
        <v/>
      </c>
      <c r="L3214" s="4" t="str">
        <f t="array" ref="L3214">IF(ROWS(L$20:L3214)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3214))))</f>
        <v/>
      </c>
      <c r="M3214" s="4" t="str">
        <f t="array" ref="M3214">IF(ROWS(M$20:M3214)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3214))))</f>
        <v/>
      </c>
    </row>
    <row r="3215" spans="1:13" x14ac:dyDescent="0.25">
      <c r="A3215" s="3">
        <v>41898</v>
      </c>
      <c r="B3215" s="2" t="s">
        <v>12</v>
      </c>
      <c r="C3215" s="2">
        <v>16</v>
      </c>
      <c r="G3215" s="7" t="str">
        <f t="array" ref="G3215">IF(ROWS(K$20:K3215)&gt;$F$6,"",INDEX(A$2:A$10000,SMALL(IF(ISNUMBER(MATCH($B$2:$B$10000,$E$6:$E$22,0)),ROW($C$2:$C$10000)-ROW($C$2)+1),ROWS(K$20:K3215))))</f>
        <v/>
      </c>
      <c r="H3215" s="4" t="str">
        <f t="array" ref="H3215">IF(ROWS(L$20:L3215)&gt;$F$6,"",INDEX(B$2:B$10000,SMALL(IF(ISNUMBER(MATCH($B$2:$B$10000,$E$6:$E$22,0)),ROW($C$2:$C$10000)-ROW($C$2)+1),ROWS(L$20:L3215))))</f>
        <v/>
      </c>
      <c r="I3215" s="4" t="str">
        <f t="array" ref="I3215">IF(ROWS(M$20:M3215)&gt;$F$6,"",INDEX(C$2:C$10000,SMALL(IF(ISNUMBER(MATCH($B$2:$B$10000,$E$6:$E$22,0)),ROW($C$2:$C$10000)-ROW($C$2)+1),ROWS(M$20:M3215))))</f>
        <v/>
      </c>
      <c r="K3215" s="7" t="str">
        <f t="array" ref="K3215">IF(ROWS(K$20:K3215)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3215))))</f>
        <v/>
      </c>
      <c r="L3215" s="4" t="str">
        <f t="array" ref="L3215">IF(ROWS(L$20:L3215)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3215))))</f>
        <v/>
      </c>
      <c r="M3215" s="4" t="str">
        <f t="array" ref="M3215">IF(ROWS(M$20:M3215)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3215))))</f>
        <v/>
      </c>
    </row>
    <row r="3216" spans="1:13" x14ac:dyDescent="0.25">
      <c r="A3216" s="3">
        <v>41785</v>
      </c>
      <c r="B3216" s="2" t="s">
        <v>24</v>
      </c>
      <c r="C3216" s="2">
        <v>29</v>
      </c>
      <c r="G3216" s="7" t="str">
        <f t="array" ref="G3216">IF(ROWS(K$20:K3216)&gt;$F$6,"",INDEX(A$2:A$10000,SMALL(IF(ISNUMBER(MATCH($B$2:$B$10000,$E$6:$E$22,0)),ROW($C$2:$C$10000)-ROW($C$2)+1),ROWS(K$20:K3216))))</f>
        <v/>
      </c>
      <c r="H3216" s="4" t="str">
        <f t="array" ref="H3216">IF(ROWS(L$20:L3216)&gt;$F$6,"",INDEX(B$2:B$10000,SMALL(IF(ISNUMBER(MATCH($B$2:$B$10000,$E$6:$E$22,0)),ROW($C$2:$C$10000)-ROW($C$2)+1),ROWS(L$20:L3216))))</f>
        <v/>
      </c>
      <c r="I3216" s="4" t="str">
        <f t="array" ref="I3216">IF(ROWS(M$20:M3216)&gt;$F$6,"",INDEX(C$2:C$10000,SMALL(IF(ISNUMBER(MATCH($B$2:$B$10000,$E$6:$E$22,0)),ROW($C$2:$C$10000)-ROW($C$2)+1),ROWS(M$20:M3216))))</f>
        <v/>
      </c>
      <c r="K3216" s="7" t="str">
        <f t="array" ref="K3216">IF(ROWS(K$20:K3216)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3216))))</f>
        <v/>
      </c>
      <c r="L3216" s="4" t="str">
        <f t="array" ref="L3216">IF(ROWS(L$20:L3216)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3216))))</f>
        <v/>
      </c>
      <c r="M3216" s="4" t="str">
        <f t="array" ref="M3216">IF(ROWS(M$20:M3216)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3216))))</f>
        <v/>
      </c>
    </row>
    <row r="3217" spans="1:13" x14ac:dyDescent="0.25">
      <c r="A3217" s="3">
        <v>41810</v>
      </c>
      <c r="B3217" s="2" t="s">
        <v>14</v>
      </c>
      <c r="C3217" s="2">
        <v>13</v>
      </c>
      <c r="G3217" s="7" t="str">
        <f t="array" ref="G3217">IF(ROWS(K$20:K3217)&gt;$F$6,"",INDEX(A$2:A$10000,SMALL(IF(ISNUMBER(MATCH($B$2:$B$10000,$E$6:$E$22,0)),ROW($C$2:$C$10000)-ROW($C$2)+1),ROWS(K$20:K3217))))</f>
        <v/>
      </c>
      <c r="H3217" s="4" t="str">
        <f t="array" ref="H3217">IF(ROWS(L$20:L3217)&gt;$F$6,"",INDEX(B$2:B$10000,SMALL(IF(ISNUMBER(MATCH($B$2:$B$10000,$E$6:$E$22,0)),ROW($C$2:$C$10000)-ROW($C$2)+1),ROWS(L$20:L3217))))</f>
        <v/>
      </c>
      <c r="I3217" s="4" t="str">
        <f t="array" ref="I3217">IF(ROWS(M$20:M3217)&gt;$F$6,"",INDEX(C$2:C$10000,SMALL(IF(ISNUMBER(MATCH($B$2:$B$10000,$E$6:$E$22,0)),ROW($C$2:$C$10000)-ROW($C$2)+1),ROWS(M$20:M3217))))</f>
        <v/>
      </c>
      <c r="K3217" s="7" t="str">
        <f t="array" ref="K3217">IF(ROWS(K$20:K3217)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3217))))</f>
        <v/>
      </c>
      <c r="L3217" s="4" t="str">
        <f t="array" ref="L3217">IF(ROWS(L$20:L3217)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3217))))</f>
        <v/>
      </c>
      <c r="M3217" s="4" t="str">
        <f t="array" ref="M3217">IF(ROWS(M$20:M3217)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3217))))</f>
        <v/>
      </c>
    </row>
    <row r="3218" spans="1:13" x14ac:dyDescent="0.25">
      <c r="A3218" s="3">
        <v>41839</v>
      </c>
      <c r="B3218" s="2" t="s">
        <v>22</v>
      </c>
      <c r="C3218" s="2">
        <v>30</v>
      </c>
      <c r="G3218" s="7" t="str">
        <f t="array" ref="G3218">IF(ROWS(K$20:K3218)&gt;$F$6,"",INDEX(A$2:A$10000,SMALL(IF(ISNUMBER(MATCH($B$2:$B$10000,$E$6:$E$22,0)),ROW($C$2:$C$10000)-ROW($C$2)+1),ROWS(K$20:K3218))))</f>
        <v/>
      </c>
      <c r="H3218" s="4" t="str">
        <f t="array" ref="H3218">IF(ROWS(L$20:L3218)&gt;$F$6,"",INDEX(B$2:B$10000,SMALL(IF(ISNUMBER(MATCH($B$2:$B$10000,$E$6:$E$22,0)),ROW($C$2:$C$10000)-ROW($C$2)+1),ROWS(L$20:L3218))))</f>
        <v/>
      </c>
      <c r="I3218" s="4" t="str">
        <f t="array" ref="I3218">IF(ROWS(M$20:M3218)&gt;$F$6,"",INDEX(C$2:C$10000,SMALL(IF(ISNUMBER(MATCH($B$2:$B$10000,$E$6:$E$22,0)),ROW($C$2:$C$10000)-ROW($C$2)+1),ROWS(M$20:M3218))))</f>
        <v/>
      </c>
      <c r="K3218" s="7" t="str">
        <f t="array" ref="K3218">IF(ROWS(K$20:K3218)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3218))))</f>
        <v/>
      </c>
      <c r="L3218" s="4" t="str">
        <f t="array" ref="L3218">IF(ROWS(L$20:L3218)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3218))))</f>
        <v/>
      </c>
      <c r="M3218" s="4" t="str">
        <f t="array" ref="M3218">IF(ROWS(M$20:M3218)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3218))))</f>
        <v/>
      </c>
    </row>
    <row r="3219" spans="1:13" x14ac:dyDescent="0.25">
      <c r="A3219" s="3">
        <v>41662</v>
      </c>
      <c r="B3219" s="2" t="s">
        <v>7</v>
      </c>
      <c r="C3219" s="2">
        <v>35</v>
      </c>
      <c r="G3219" s="7" t="str">
        <f t="array" ref="G3219">IF(ROWS(K$20:K3219)&gt;$F$6,"",INDEX(A$2:A$10000,SMALL(IF(ISNUMBER(MATCH($B$2:$B$10000,$E$6:$E$22,0)),ROW($C$2:$C$10000)-ROW($C$2)+1),ROWS(K$20:K3219))))</f>
        <v/>
      </c>
      <c r="H3219" s="4" t="str">
        <f t="array" ref="H3219">IF(ROWS(L$20:L3219)&gt;$F$6,"",INDEX(B$2:B$10000,SMALL(IF(ISNUMBER(MATCH($B$2:$B$10000,$E$6:$E$22,0)),ROW($C$2:$C$10000)-ROW($C$2)+1),ROWS(L$20:L3219))))</f>
        <v/>
      </c>
      <c r="I3219" s="4" t="str">
        <f t="array" ref="I3219">IF(ROWS(M$20:M3219)&gt;$F$6,"",INDEX(C$2:C$10000,SMALL(IF(ISNUMBER(MATCH($B$2:$B$10000,$E$6:$E$22,0)),ROW($C$2:$C$10000)-ROW($C$2)+1),ROWS(M$20:M3219))))</f>
        <v/>
      </c>
      <c r="K3219" s="7" t="str">
        <f t="array" ref="K3219">IF(ROWS(K$20:K3219)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3219))))</f>
        <v/>
      </c>
      <c r="L3219" s="4" t="str">
        <f t="array" ref="L3219">IF(ROWS(L$20:L3219)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3219))))</f>
        <v/>
      </c>
      <c r="M3219" s="4" t="str">
        <f t="array" ref="M3219">IF(ROWS(M$20:M3219)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3219))))</f>
        <v/>
      </c>
    </row>
    <row r="3220" spans="1:13" x14ac:dyDescent="0.25">
      <c r="A3220" s="3">
        <v>41337</v>
      </c>
      <c r="B3220" s="2" t="s">
        <v>14</v>
      </c>
      <c r="C3220" s="2">
        <v>45</v>
      </c>
      <c r="G3220" s="7" t="str">
        <f t="array" ref="G3220">IF(ROWS(K$20:K3220)&gt;$F$6,"",INDEX(A$2:A$10000,SMALL(IF(ISNUMBER(MATCH($B$2:$B$10000,$E$6:$E$22,0)),ROW($C$2:$C$10000)-ROW($C$2)+1),ROWS(K$20:K3220))))</f>
        <v/>
      </c>
      <c r="H3220" s="4" t="str">
        <f t="array" ref="H3220">IF(ROWS(L$20:L3220)&gt;$F$6,"",INDEX(B$2:B$10000,SMALL(IF(ISNUMBER(MATCH($B$2:$B$10000,$E$6:$E$22,0)),ROW($C$2:$C$10000)-ROW($C$2)+1),ROWS(L$20:L3220))))</f>
        <v/>
      </c>
      <c r="I3220" s="4" t="str">
        <f t="array" ref="I3220">IF(ROWS(M$20:M3220)&gt;$F$6,"",INDEX(C$2:C$10000,SMALL(IF(ISNUMBER(MATCH($B$2:$B$10000,$E$6:$E$22,0)),ROW($C$2:$C$10000)-ROW($C$2)+1),ROWS(M$20:M3220))))</f>
        <v/>
      </c>
      <c r="K3220" s="7" t="str">
        <f t="array" ref="K3220">IF(ROWS(K$20:K3220)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3220))))</f>
        <v/>
      </c>
      <c r="L3220" s="4" t="str">
        <f t="array" ref="L3220">IF(ROWS(L$20:L3220)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3220))))</f>
        <v/>
      </c>
      <c r="M3220" s="4" t="str">
        <f t="array" ref="M3220">IF(ROWS(M$20:M3220)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3220))))</f>
        <v/>
      </c>
    </row>
    <row r="3221" spans="1:13" x14ac:dyDescent="0.25">
      <c r="A3221" s="3">
        <v>41920</v>
      </c>
      <c r="B3221" s="2" t="s">
        <v>11</v>
      </c>
      <c r="C3221" s="2">
        <v>32</v>
      </c>
      <c r="G3221" s="7" t="str">
        <f t="array" ref="G3221">IF(ROWS(K$20:K3221)&gt;$F$6,"",INDEX(A$2:A$10000,SMALL(IF(ISNUMBER(MATCH($B$2:$B$10000,$E$6:$E$22,0)),ROW($C$2:$C$10000)-ROW($C$2)+1),ROWS(K$20:K3221))))</f>
        <v/>
      </c>
      <c r="H3221" s="4" t="str">
        <f t="array" ref="H3221">IF(ROWS(L$20:L3221)&gt;$F$6,"",INDEX(B$2:B$10000,SMALL(IF(ISNUMBER(MATCH($B$2:$B$10000,$E$6:$E$22,0)),ROW($C$2:$C$10000)-ROW($C$2)+1),ROWS(L$20:L3221))))</f>
        <v/>
      </c>
      <c r="I3221" s="4" t="str">
        <f t="array" ref="I3221">IF(ROWS(M$20:M3221)&gt;$F$6,"",INDEX(C$2:C$10000,SMALL(IF(ISNUMBER(MATCH($B$2:$B$10000,$E$6:$E$22,0)),ROW($C$2:$C$10000)-ROW($C$2)+1),ROWS(M$20:M3221))))</f>
        <v/>
      </c>
      <c r="K3221" s="7" t="str">
        <f t="array" ref="K3221">IF(ROWS(K$20:K3221)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3221))))</f>
        <v/>
      </c>
      <c r="L3221" s="4" t="str">
        <f t="array" ref="L3221">IF(ROWS(L$20:L3221)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3221))))</f>
        <v/>
      </c>
      <c r="M3221" s="4" t="str">
        <f t="array" ref="M3221">IF(ROWS(M$20:M3221)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3221))))</f>
        <v/>
      </c>
    </row>
    <row r="3222" spans="1:13" x14ac:dyDescent="0.25">
      <c r="A3222" s="3">
        <v>41435</v>
      </c>
      <c r="B3222" s="2" t="s">
        <v>36</v>
      </c>
      <c r="C3222" s="2">
        <v>4</v>
      </c>
      <c r="G3222" s="7" t="str">
        <f t="array" ref="G3222">IF(ROWS(K$20:K3222)&gt;$F$6,"",INDEX(A$2:A$10000,SMALL(IF(ISNUMBER(MATCH($B$2:$B$10000,$E$6:$E$22,0)),ROW($C$2:$C$10000)-ROW($C$2)+1),ROWS(K$20:K3222))))</f>
        <v/>
      </c>
      <c r="H3222" s="4" t="str">
        <f t="array" ref="H3222">IF(ROWS(L$20:L3222)&gt;$F$6,"",INDEX(B$2:B$10000,SMALL(IF(ISNUMBER(MATCH($B$2:$B$10000,$E$6:$E$22,0)),ROW($C$2:$C$10000)-ROW($C$2)+1),ROWS(L$20:L3222))))</f>
        <v/>
      </c>
      <c r="I3222" s="4" t="str">
        <f t="array" ref="I3222">IF(ROWS(M$20:M3222)&gt;$F$6,"",INDEX(C$2:C$10000,SMALL(IF(ISNUMBER(MATCH($B$2:$B$10000,$E$6:$E$22,0)),ROW($C$2:$C$10000)-ROW($C$2)+1),ROWS(M$20:M3222))))</f>
        <v/>
      </c>
      <c r="K3222" s="7" t="str">
        <f t="array" ref="K3222">IF(ROWS(K$20:K3222)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3222))))</f>
        <v/>
      </c>
      <c r="L3222" s="4" t="str">
        <f t="array" ref="L3222">IF(ROWS(L$20:L3222)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3222))))</f>
        <v/>
      </c>
      <c r="M3222" s="4" t="str">
        <f t="array" ref="M3222">IF(ROWS(M$20:M3222)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3222))))</f>
        <v/>
      </c>
    </row>
    <row r="3223" spans="1:13" x14ac:dyDescent="0.25">
      <c r="A3223" s="3">
        <v>41614</v>
      </c>
      <c r="B3223" s="2" t="s">
        <v>42</v>
      </c>
      <c r="C3223" s="2">
        <v>14</v>
      </c>
      <c r="G3223" s="7" t="str">
        <f t="array" ref="G3223">IF(ROWS(K$20:K3223)&gt;$F$6,"",INDEX(A$2:A$10000,SMALL(IF(ISNUMBER(MATCH($B$2:$B$10000,$E$6:$E$22,0)),ROW($C$2:$C$10000)-ROW($C$2)+1),ROWS(K$20:K3223))))</f>
        <v/>
      </c>
      <c r="H3223" s="4" t="str">
        <f t="array" ref="H3223">IF(ROWS(L$20:L3223)&gt;$F$6,"",INDEX(B$2:B$10000,SMALL(IF(ISNUMBER(MATCH($B$2:$B$10000,$E$6:$E$22,0)),ROW($C$2:$C$10000)-ROW($C$2)+1),ROWS(L$20:L3223))))</f>
        <v/>
      </c>
      <c r="I3223" s="4" t="str">
        <f t="array" ref="I3223">IF(ROWS(M$20:M3223)&gt;$F$6,"",INDEX(C$2:C$10000,SMALL(IF(ISNUMBER(MATCH($B$2:$B$10000,$E$6:$E$22,0)),ROW($C$2:$C$10000)-ROW($C$2)+1),ROWS(M$20:M3223))))</f>
        <v/>
      </c>
      <c r="K3223" s="7" t="str">
        <f t="array" ref="K3223">IF(ROWS(K$20:K3223)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3223))))</f>
        <v/>
      </c>
      <c r="L3223" s="4" t="str">
        <f t="array" ref="L3223">IF(ROWS(L$20:L3223)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3223))))</f>
        <v/>
      </c>
      <c r="M3223" s="4" t="str">
        <f t="array" ref="M3223">IF(ROWS(M$20:M3223)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3223))))</f>
        <v/>
      </c>
    </row>
    <row r="3224" spans="1:13" x14ac:dyDescent="0.25">
      <c r="A3224" s="3">
        <v>41532</v>
      </c>
      <c r="B3224" s="2" t="s">
        <v>44</v>
      </c>
      <c r="C3224" s="2">
        <v>22</v>
      </c>
      <c r="G3224" s="7" t="str">
        <f t="array" ref="G3224">IF(ROWS(K$20:K3224)&gt;$F$6,"",INDEX(A$2:A$10000,SMALL(IF(ISNUMBER(MATCH($B$2:$B$10000,$E$6:$E$22,0)),ROW($C$2:$C$10000)-ROW($C$2)+1),ROWS(K$20:K3224))))</f>
        <v/>
      </c>
      <c r="H3224" s="4" t="str">
        <f t="array" ref="H3224">IF(ROWS(L$20:L3224)&gt;$F$6,"",INDEX(B$2:B$10000,SMALL(IF(ISNUMBER(MATCH($B$2:$B$10000,$E$6:$E$22,0)),ROW($C$2:$C$10000)-ROW($C$2)+1),ROWS(L$20:L3224))))</f>
        <v/>
      </c>
      <c r="I3224" s="4" t="str">
        <f t="array" ref="I3224">IF(ROWS(M$20:M3224)&gt;$F$6,"",INDEX(C$2:C$10000,SMALL(IF(ISNUMBER(MATCH($B$2:$B$10000,$E$6:$E$22,0)),ROW($C$2:$C$10000)-ROW($C$2)+1),ROWS(M$20:M3224))))</f>
        <v/>
      </c>
      <c r="K3224" s="7" t="str">
        <f t="array" ref="K3224">IF(ROWS(K$20:K3224)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3224))))</f>
        <v/>
      </c>
      <c r="L3224" s="4" t="str">
        <f t="array" ref="L3224">IF(ROWS(L$20:L3224)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3224))))</f>
        <v/>
      </c>
      <c r="M3224" s="4" t="str">
        <f t="array" ref="M3224">IF(ROWS(M$20:M3224)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3224))))</f>
        <v/>
      </c>
    </row>
    <row r="3225" spans="1:13" x14ac:dyDescent="0.25">
      <c r="A3225" s="3">
        <v>41478</v>
      </c>
      <c r="B3225" s="2" t="s">
        <v>50</v>
      </c>
      <c r="C3225" s="2">
        <v>1</v>
      </c>
      <c r="G3225" s="7" t="str">
        <f t="array" ref="G3225">IF(ROWS(K$20:K3225)&gt;$F$6,"",INDEX(A$2:A$10000,SMALL(IF(ISNUMBER(MATCH($B$2:$B$10000,$E$6:$E$22,0)),ROW($C$2:$C$10000)-ROW($C$2)+1),ROWS(K$20:K3225))))</f>
        <v/>
      </c>
      <c r="H3225" s="4" t="str">
        <f t="array" ref="H3225">IF(ROWS(L$20:L3225)&gt;$F$6,"",INDEX(B$2:B$10000,SMALL(IF(ISNUMBER(MATCH($B$2:$B$10000,$E$6:$E$22,0)),ROW($C$2:$C$10000)-ROW($C$2)+1),ROWS(L$20:L3225))))</f>
        <v/>
      </c>
      <c r="I3225" s="4" t="str">
        <f t="array" ref="I3225">IF(ROWS(M$20:M3225)&gt;$F$6,"",INDEX(C$2:C$10000,SMALL(IF(ISNUMBER(MATCH($B$2:$B$10000,$E$6:$E$22,0)),ROW($C$2:$C$10000)-ROW($C$2)+1),ROWS(M$20:M3225))))</f>
        <v/>
      </c>
      <c r="K3225" s="7" t="str">
        <f t="array" ref="K3225">IF(ROWS(K$20:K3225)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3225))))</f>
        <v/>
      </c>
      <c r="L3225" s="4" t="str">
        <f t="array" ref="L3225">IF(ROWS(L$20:L3225)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3225))))</f>
        <v/>
      </c>
      <c r="M3225" s="4" t="str">
        <f t="array" ref="M3225">IF(ROWS(M$20:M3225)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3225))))</f>
        <v/>
      </c>
    </row>
    <row r="3226" spans="1:13" x14ac:dyDescent="0.25">
      <c r="A3226" s="3">
        <v>41786</v>
      </c>
      <c r="B3226" s="2" t="s">
        <v>7</v>
      </c>
      <c r="C3226" s="2">
        <v>7</v>
      </c>
      <c r="G3226" s="7" t="str">
        <f t="array" ref="G3226">IF(ROWS(K$20:K3226)&gt;$F$6,"",INDEX(A$2:A$10000,SMALL(IF(ISNUMBER(MATCH($B$2:$B$10000,$E$6:$E$22,0)),ROW($C$2:$C$10000)-ROW($C$2)+1),ROWS(K$20:K3226))))</f>
        <v/>
      </c>
      <c r="H3226" s="4" t="str">
        <f t="array" ref="H3226">IF(ROWS(L$20:L3226)&gt;$F$6,"",INDEX(B$2:B$10000,SMALL(IF(ISNUMBER(MATCH($B$2:$B$10000,$E$6:$E$22,0)),ROW($C$2:$C$10000)-ROW($C$2)+1),ROWS(L$20:L3226))))</f>
        <v/>
      </c>
      <c r="I3226" s="4" t="str">
        <f t="array" ref="I3226">IF(ROWS(M$20:M3226)&gt;$F$6,"",INDEX(C$2:C$10000,SMALL(IF(ISNUMBER(MATCH($B$2:$B$10000,$E$6:$E$22,0)),ROW($C$2:$C$10000)-ROW($C$2)+1),ROWS(M$20:M3226))))</f>
        <v/>
      </c>
      <c r="K3226" s="7" t="str">
        <f t="array" ref="K3226">IF(ROWS(K$20:K3226)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3226))))</f>
        <v/>
      </c>
      <c r="L3226" s="4" t="str">
        <f t="array" ref="L3226">IF(ROWS(L$20:L3226)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3226))))</f>
        <v/>
      </c>
      <c r="M3226" s="4" t="str">
        <f t="array" ref="M3226">IF(ROWS(M$20:M3226)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3226))))</f>
        <v/>
      </c>
    </row>
    <row r="3227" spans="1:13" x14ac:dyDescent="0.25">
      <c r="A3227" s="3">
        <v>41948</v>
      </c>
      <c r="B3227" s="2" t="s">
        <v>31</v>
      </c>
      <c r="C3227" s="2">
        <v>13</v>
      </c>
      <c r="G3227" s="7" t="str">
        <f t="array" ref="G3227">IF(ROWS(K$20:K3227)&gt;$F$6,"",INDEX(A$2:A$10000,SMALL(IF(ISNUMBER(MATCH($B$2:$B$10000,$E$6:$E$22,0)),ROW($C$2:$C$10000)-ROW($C$2)+1),ROWS(K$20:K3227))))</f>
        <v/>
      </c>
      <c r="H3227" s="4" t="str">
        <f t="array" ref="H3227">IF(ROWS(L$20:L3227)&gt;$F$6,"",INDEX(B$2:B$10000,SMALL(IF(ISNUMBER(MATCH($B$2:$B$10000,$E$6:$E$22,0)),ROW($C$2:$C$10000)-ROW($C$2)+1),ROWS(L$20:L3227))))</f>
        <v/>
      </c>
      <c r="I3227" s="4" t="str">
        <f t="array" ref="I3227">IF(ROWS(M$20:M3227)&gt;$F$6,"",INDEX(C$2:C$10000,SMALL(IF(ISNUMBER(MATCH($B$2:$B$10000,$E$6:$E$22,0)),ROW($C$2:$C$10000)-ROW($C$2)+1),ROWS(M$20:M3227))))</f>
        <v/>
      </c>
      <c r="K3227" s="7" t="str">
        <f t="array" ref="K3227">IF(ROWS(K$20:K3227)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3227))))</f>
        <v/>
      </c>
      <c r="L3227" s="4" t="str">
        <f t="array" ref="L3227">IF(ROWS(L$20:L3227)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3227))))</f>
        <v/>
      </c>
      <c r="M3227" s="4" t="str">
        <f t="array" ref="M3227">IF(ROWS(M$20:M3227)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3227))))</f>
        <v/>
      </c>
    </row>
    <row r="3228" spans="1:13" x14ac:dyDescent="0.25">
      <c r="A3228" s="3">
        <v>41462</v>
      </c>
      <c r="B3228" s="2" t="s">
        <v>16</v>
      </c>
      <c r="C3228" s="2">
        <v>45</v>
      </c>
      <c r="G3228" s="7" t="str">
        <f t="array" ref="G3228">IF(ROWS(K$20:K3228)&gt;$F$6,"",INDEX(A$2:A$10000,SMALL(IF(ISNUMBER(MATCH($B$2:$B$10000,$E$6:$E$22,0)),ROW($C$2:$C$10000)-ROW($C$2)+1),ROWS(K$20:K3228))))</f>
        <v/>
      </c>
      <c r="H3228" s="4" t="str">
        <f t="array" ref="H3228">IF(ROWS(L$20:L3228)&gt;$F$6,"",INDEX(B$2:B$10000,SMALL(IF(ISNUMBER(MATCH($B$2:$B$10000,$E$6:$E$22,0)),ROW($C$2:$C$10000)-ROW($C$2)+1),ROWS(L$20:L3228))))</f>
        <v/>
      </c>
      <c r="I3228" s="4" t="str">
        <f t="array" ref="I3228">IF(ROWS(M$20:M3228)&gt;$F$6,"",INDEX(C$2:C$10000,SMALL(IF(ISNUMBER(MATCH($B$2:$B$10000,$E$6:$E$22,0)),ROW($C$2:$C$10000)-ROW($C$2)+1),ROWS(M$20:M3228))))</f>
        <v/>
      </c>
      <c r="K3228" s="7" t="str">
        <f t="array" ref="K3228">IF(ROWS(K$20:K3228)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3228))))</f>
        <v/>
      </c>
      <c r="L3228" s="4" t="str">
        <f t="array" ref="L3228">IF(ROWS(L$20:L3228)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3228))))</f>
        <v/>
      </c>
      <c r="M3228" s="4" t="str">
        <f t="array" ref="M3228">IF(ROWS(M$20:M3228)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3228))))</f>
        <v/>
      </c>
    </row>
    <row r="3229" spans="1:13" x14ac:dyDescent="0.25">
      <c r="A3229" s="3">
        <v>41574</v>
      </c>
      <c r="B3229" s="2" t="s">
        <v>4</v>
      </c>
      <c r="C3229" s="2">
        <v>30</v>
      </c>
      <c r="G3229" s="7" t="str">
        <f t="array" ref="G3229">IF(ROWS(K$20:K3229)&gt;$F$6,"",INDEX(A$2:A$10000,SMALL(IF(ISNUMBER(MATCH($B$2:$B$10000,$E$6:$E$22,0)),ROW($C$2:$C$10000)-ROW($C$2)+1),ROWS(K$20:K3229))))</f>
        <v/>
      </c>
      <c r="H3229" s="4" t="str">
        <f t="array" ref="H3229">IF(ROWS(L$20:L3229)&gt;$F$6,"",INDEX(B$2:B$10000,SMALL(IF(ISNUMBER(MATCH($B$2:$B$10000,$E$6:$E$22,0)),ROW($C$2:$C$10000)-ROW($C$2)+1),ROWS(L$20:L3229))))</f>
        <v/>
      </c>
      <c r="I3229" s="4" t="str">
        <f t="array" ref="I3229">IF(ROWS(M$20:M3229)&gt;$F$6,"",INDEX(C$2:C$10000,SMALL(IF(ISNUMBER(MATCH($B$2:$B$10000,$E$6:$E$22,0)),ROW($C$2:$C$10000)-ROW($C$2)+1),ROWS(M$20:M3229))))</f>
        <v/>
      </c>
      <c r="K3229" s="7" t="str">
        <f t="array" ref="K3229">IF(ROWS(K$20:K3229)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3229))))</f>
        <v/>
      </c>
      <c r="L3229" s="4" t="str">
        <f t="array" ref="L3229">IF(ROWS(L$20:L3229)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3229))))</f>
        <v/>
      </c>
      <c r="M3229" s="4" t="str">
        <f t="array" ref="M3229">IF(ROWS(M$20:M3229)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3229))))</f>
        <v/>
      </c>
    </row>
    <row r="3230" spans="1:13" x14ac:dyDescent="0.25">
      <c r="A3230" s="3">
        <v>41905</v>
      </c>
      <c r="B3230" s="2" t="s">
        <v>36</v>
      </c>
      <c r="C3230" s="2">
        <v>38</v>
      </c>
      <c r="G3230" s="7" t="str">
        <f t="array" ref="G3230">IF(ROWS(K$20:K3230)&gt;$F$6,"",INDEX(A$2:A$10000,SMALL(IF(ISNUMBER(MATCH($B$2:$B$10000,$E$6:$E$22,0)),ROW($C$2:$C$10000)-ROW($C$2)+1),ROWS(K$20:K3230))))</f>
        <v/>
      </c>
      <c r="H3230" s="4" t="str">
        <f t="array" ref="H3230">IF(ROWS(L$20:L3230)&gt;$F$6,"",INDEX(B$2:B$10000,SMALL(IF(ISNUMBER(MATCH($B$2:$B$10000,$E$6:$E$22,0)),ROW($C$2:$C$10000)-ROW($C$2)+1),ROWS(L$20:L3230))))</f>
        <v/>
      </c>
      <c r="I3230" s="4" t="str">
        <f t="array" ref="I3230">IF(ROWS(M$20:M3230)&gt;$F$6,"",INDEX(C$2:C$10000,SMALL(IF(ISNUMBER(MATCH($B$2:$B$10000,$E$6:$E$22,0)),ROW($C$2:$C$10000)-ROW($C$2)+1),ROWS(M$20:M3230))))</f>
        <v/>
      </c>
      <c r="K3230" s="7" t="str">
        <f t="array" ref="K3230">IF(ROWS(K$20:K3230)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3230))))</f>
        <v/>
      </c>
      <c r="L3230" s="4" t="str">
        <f t="array" ref="L3230">IF(ROWS(L$20:L3230)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3230))))</f>
        <v/>
      </c>
      <c r="M3230" s="4" t="str">
        <f t="array" ref="M3230">IF(ROWS(M$20:M3230)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3230))))</f>
        <v/>
      </c>
    </row>
    <row r="3231" spans="1:13" x14ac:dyDescent="0.25">
      <c r="A3231" s="3">
        <v>41629</v>
      </c>
      <c r="B3231" s="2" t="s">
        <v>44</v>
      </c>
      <c r="C3231" s="2">
        <v>33</v>
      </c>
      <c r="G3231" s="7" t="str">
        <f t="array" ref="G3231">IF(ROWS(K$20:K3231)&gt;$F$6,"",INDEX(A$2:A$10000,SMALL(IF(ISNUMBER(MATCH($B$2:$B$10000,$E$6:$E$22,0)),ROW($C$2:$C$10000)-ROW($C$2)+1),ROWS(K$20:K3231))))</f>
        <v/>
      </c>
      <c r="H3231" s="4" t="str">
        <f t="array" ref="H3231">IF(ROWS(L$20:L3231)&gt;$F$6,"",INDEX(B$2:B$10000,SMALL(IF(ISNUMBER(MATCH($B$2:$B$10000,$E$6:$E$22,0)),ROW($C$2:$C$10000)-ROW($C$2)+1),ROWS(L$20:L3231))))</f>
        <v/>
      </c>
      <c r="I3231" s="4" t="str">
        <f t="array" ref="I3231">IF(ROWS(M$20:M3231)&gt;$F$6,"",INDEX(C$2:C$10000,SMALL(IF(ISNUMBER(MATCH($B$2:$B$10000,$E$6:$E$22,0)),ROW($C$2:$C$10000)-ROW($C$2)+1),ROWS(M$20:M3231))))</f>
        <v/>
      </c>
      <c r="K3231" s="7" t="str">
        <f t="array" ref="K3231">IF(ROWS(K$20:K3231)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3231))))</f>
        <v/>
      </c>
      <c r="L3231" s="4" t="str">
        <f t="array" ref="L3231">IF(ROWS(L$20:L3231)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3231))))</f>
        <v/>
      </c>
      <c r="M3231" s="4" t="str">
        <f t="array" ref="M3231">IF(ROWS(M$20:M3231)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3231))))</f>
        <v/>
      </c>
    </row>
    <row r="3232" spans="1:13" x14ac:dyDescent="0.25">
      <c r="A3232" s="3">
        <v>41879</v>
      </c>
      <c r="B3232" s="2" t="s">
        <v>42</v>
      </c>
      <c r="C3232" s="2">
        <v>18</v>
      </c>
      <c r="G3232" s="7" t="str">
        <f t="array" ref="G3232">IF(ROWS(K$20:K3232)&gt;$F$6,"",INDEX(A$2:A$10000,SMALL(IF(ISNUMBER(MATCH($B$2:$B$10000,$E$6:$E$22,0)),ROW($C$2:$C$10000)-ROW($C$2)+1),ROWS(K$20:K3232))))</f>
        <v/>
      </c>
      <c r="H3232" s="4" t="str">
        <f t="array" ref="H3232">IF(ROWS(L$20:L3232)&gt;$F$6,"",INDEX(B$2:B$10000,SMALL(IF(ISNUMBER(MATCH($B$2:$B$10000,$E$6:$E$22,0)),ROW($C$2:$C$10000)-ROW($C$2)+1),ROWS(L$20:L3232))))</f>
        <v/>
      </c>
      <c r="I3232" s="4" t="str">
        <f t="array" ref="I3232">IF(ROWS(M$20:M3232)&gt;$F$6,"",INDEX(C$2:C$10000,SMALL(IF(ISNUMBER(MATCH($B$2:$B$10000,$E$6:$E$22,0)),ROW($C$2:$C$10000)-ROW($C$2)+1),ROWS(M$20:M3232))))</f>
        <v/>
      </c>
      <c r="K3232" s="7" t="str">
        <f t="array" ref="K3232">IF(ROWS(K$20:K3232)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3232))))</f>
        <v/>
      </c>
      <c r="L3232" s="4" t="str">
        <f t="array" ref="L3232">IF(ROWS(L$20:L3232)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3232))))</f>
        <v/>
      </c>
      <c r="M3232" s="4" t="str">
        <f t="array" ref="M3232">IF(ROWS(M$20:M3232)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3232))))</f>
        <v/>
      </c>
    </row>
    <row r="3233" spans="1:13" x14ac:dyDescent="0.25">
      <c r="A3233" s="3">
        <v>42004</v>
      </c>
      <c r="B3233" s="2" t="s">
        <v>40</v>
      </c>
      <c r="C3233" s="2">
        <v>19</v>
      </c>
      <c r="G3233" s="7" t="str">
        <f t="array" ref="G3233">IF(ROWS(K$20:K3233)&gt;$F$6,"",INDEX(A$2:A$10000,SMALL(IF(ISNUMBER(MATCH($B$2:$B$10000,$E$6:$E$22,0)),ROW($C$2:$C$10000)-ROW($C$2)+1),ROWS(K$20:K3233))))</f>
        <v/>
      </c>
      <c r="H3233" s="4" t="str">
        <f t="array" ref="H3233">IF(ROWS(L$20:L3233)&gt;$F$6,"",INDEX(B$2:B$10000,SMALL(IF(ISNUMBER(MATCH($B$2:$B$10000,$E$6:$E$22,0)),ROW($C$2:$C$10000)-ROW($C$2)+1),ROWS(L$20:L3233))))</f>
        <v/>
      </c>
      <c r="I3233" s="4" t="str">
        <f t="array" ref="I3233">IF(ROWS(M$20:M3233)&gt;$F$6,"",INDEX(C$2:C$10000,SMALL(IF(ISNUMBER(MATCH($B$2:$B$10000,$E$6:$E$22,0)),ROW($C$2:$C$10000)-ROW($C$2)+1),ROWS(M$20:M3233))))</f>
        <v/>
      </c>
      <c r="K3233" s="7" t="str">
        <f t="array" ref="K3233">IF(ROWS(K$20:K3233)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3233))))</f>
        <v/>
      </c>
      <c r="L3233" s="4" t="str">
        <f t="array" ref="L3233">IF(ROWS(L$20:L3233)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3233))))</f>
        <v/>
      </c>
      <c r="M3233" s="4" t="str">
        <f t="array" ref="M3233">IF(ROWS(M$20:M3233)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3233))))</f>
        <v/>
      </c>
    </row>
    <row r="3234" spans="1:13" x14ac:dyDescent="0.25">
      <c r="A3234" s="3">
        <v>41781</v>
      </c>
      <c r="B3234" s="2" t="s">
        <v>26</v>
      </c>
      <c r="C3234" s="2">
        <v>21</v>
      </c>
      <c r="G3234" s="7" t="str">
        <f t="array" ref="G3234">IF(ROWS(K$20:K3234)&gt;$F$6,"",INDEX(A$2:A$10000,SMALL(IF(ISNUMBER(MATCH($B$2:$B$10000,$E$6:$E$22,0)),ROW($C$2:$C$10000)-ROW($C$2)+1),ROWS(K$20:K3234))))</f>
        <v/>
      </c>
      <c r="H3234" s="4" t="str">
        <f t="array" ref="H3234">IF(ROWS(L$20:L3234)&gt;$F$6,"",INDEX(B$2:B$10000,SMALL(IF(ISNUMBER(MATCH($B$2:$B$10000,$E$6:$E$22,0)),ROW($C$2:$C$10000)-ROW($C$2)+1),ROWS(L$20:L3234))))</f>
        <v/>
      </c>
      <c r="I3234" s="4" t="str">
        <f t="array" ref="I3234">IF(ROWS(M$20:M3234)&gt;$F$6,"",INDEX(C$2:C$10000,SMALL(IF(ISNUMBER(MATCH($B$2:$B$10000,$E$6:$E$22,0)),ROW($C$2:$C$10000)-ROW($C$2)+1),ROWS(M$20:M3234))))</f>
        <v/>
      </c>
      <c r="K3234" s="7" t="str">
        <f t="array" ref="K3234">IF(ROWS(K$20:K3234)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3234))))</f>
        <v/>
      </c>
      <c r="L3234" s="4" t="str">
        <f t="array" ref="L3234">IF(ROWS(L$20:L3234)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3234))))</f>
        <v/>
      </c>
      <c r="M3234" s="4" t="str">
        <f t="array" ref="M3234">IF(ROWS(M$20:M3234)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3234))))</f>
        <v/>
      </c>
    </row>
    <row r="3235" spans="1:13" x14ac:dyDescent="0.25">
      <c r="A3235" s="3">
        <v>41649</v>
      </c>
      <c r="B3235" s="2" t="s">
        <v>33</v>
      </c>
      <c r="C3235" s="2">
        <v>17</v>
      </c>
      <c r="G3235" s="7" t="str">
        <f t="array" ref="G3235">IF(ROWS(K$20:K3235)&gt;$F$6,"",INDEX(A$2:A$10000,SMALL(IF(ISNUMBER(MATCH($B$2:$B$10000,$E$6:$E$22,0)),ROW($C$2:$C$10000)-ROW($C$2)+1),ROWS(K$20:K3235))))</f>
        <v/>
      </c>
      <c r="H3235" s="4" t="str">
        <f t="array" ref="H3235">IF(ROWS(L$20:L3235)&gt;$F$6,"",INDEX(B$2:B$10000,SMALL(IF(ISNUMBER(MATCH($B$2:$B$10000,$E$6:$E$22,0)),ROW($C$2:$C$10000)-ROW($C$2)+1),ROWS(L$20:L3235))))</f>
        <v/>
      </c>
      <c r="I3235" s="4" t="str">
        <f t="array" ref="I3235">IF(ROWS(M$20:M3235)&gt;$F$6,"",INDEX(C$2:C$10000,SMALL(IF(ISNUMBER(MATCH($B$2:$B$10000,$E$6:$E$22,0)),ROW($C$2:$C$10000)-ROW($C$2)+1),ROWS(M$20:M3235))))</f>
        <v/>
      </c>
      <c r="K3235" s="7" t="str">
        <f t="array" ref="K3235">IF(ROWS(K$20:K3235)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3235))))</f>
        <v/>
      </c>
      <c r="L3235" s="4" t="str">
        <f t="array" ref="L3235">IF(ROWS(L$20:L3235)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3235))))</f>
        <v/>
      </c>
      <c r="M3235" s="4" t="str">
        <f t="array" ref="M3235">IF(ROWS(M$20:M3235)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3235))))</f>
        <v/>
      </c>
    </row>
    <row r="3236" spans="1:13" x14ac:dyDescent="0.25">
      <c r="A3236" s="3">
        <v>41699</v>
      </c>
      <c r="B3236" s="2" t="s">
        <v>5</v>
      </c>
      <c r="C3236" s="2">
        <v>53</v>
      </c>
      <c r="G3236" s="7" t="str">
        <f t="array" ref="G3236">IF(ROWS(K$20:K3236)&gt;$F$6,"",INDEX(A$2:A$10000,SMALL(IF(ISNUMBER(MATCH($B$2:$B$10000,$E$6:$E$22,0)),ROW($C$2:$C$10000)-ROW($C$2)+1),ROWS(K$20:K3236))))</f>
        <v/>
      </c>
      <c r="H3236" s="4" t="str">
        <f t="array" ref="H3236">IF(ROWS(L$20:L3236)&gt;$F$6,"",INDEX(B$2:B$10000,SMALL(IF(ISNUMBER(MATCH($B$2:$B$10000,$E$6:$E$22,0)),ROW($C$2:$C$10000)-ROW($C$2)+1),ROWS(L$20:L3236))))</f>
        <v/>
      </c>
      <c r="I3236" s="4" t="str">
        <f t="array" ref="I3236">IF(ROWS(M$20:M3236)&gt;$F$6,"",INDEX(C$2:C$10000,SMALL(IF(ISNUMBER(MATCH($B$2:$B$10000,$E$6:$E$22,0)),ROW($C$2:$C$10000)-ROW($C$2)+1),ROWS(M$20:M3236))))</f>
        <v/>
      </c>
      <c r="K3236" s="7" t="str">
        <f t="array" ref="K3236">IF(ROWS(K$20:K3236)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3236))))</f>
        <v/>
      </c>
      <c r="L3236" s="4" t="str">
        <f t="array" ref="L3236">IF(ROWS(L$20:L3236)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3236))))</f>
        <v/>
      </c>
      <c r="M3236" s="4" t="str">
        <f t="array" ref="M3236">IF(ROWS(M$20:M3236)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3236))))</f>
        <v/>
      </c>
    </row>
    <row r="3237" spans="1:13" x14ac:dyDescent="0.25">
      <c r="A3237" s="3">
        <v>41914</v>
      </c>
      <c r="B3237" s="2" t="s">
        <v>25</v>
      </c>
      <c r="C3237" s="2">
        <v>19</v>
      </c>
      <c r="G3237" s="7" t="str">
        <f t="array" ref="G3237">IF(ROWS(K$20:K3237)&gt;$F$6,"",INDEX(A$2:A$10000,SMALL(IF(ISNUMBER(MATCH($B$2:$B$10000,$E$6:$E$22,0)),ROW($C$2:$C$10000)-ROW($C$2)+1),ROWS(K$20:K3237))))</f>
        <v/>
      </c>
      <c r="H3237" s="4" t="str">
        <f t="array" ref="H3237">IF(ROWS(L$20:L3237)&gt;$F$6,"",INDEX(B$2:B$10000,SMALL(IF(ISNUMBER(MATCH($B$2:$B$10000,$E$6:$E$22,0)),ROW($C$2:$C$10000)-ROW($C$2)+1),ROWS(L$20:L3237))))</f>
        <v/>
      </c>
      <c r="I3237" s="4" t="str">
        <f t="array" ref="I3237">IF(ROWS(M$20:M3237)&gt;$F$6,"",INDEX(C$2:C$10000,SMALL(IF(ISNUMBER(MATCH($B$2:$B$10000,$E$6:$E$22,0)),ROW($C$2:$C$10000)-ROW($C$2)+1),ROWS(M$20:M3237))))</f>
        <v/>
      </c>
      <c r="K3237" s="7" t="str">
        <f t="array" ref="K3237">IF(ROWS(K$20:K3237)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3237))))</f>
        <v/>
      </c>
      <c r="L3237" s="4" t="str">
        <f t="array" ref="L3237">IF(ROWS(L$20:L3237)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3237))))</f>
        <v/>
      </c>
      <c r="M3237" s="4" t="str">
        <f t="array" ref="M3237">IF(ROWS(M$20:M3237)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3237))))</f>
        <v/>
      </c>
    </row>
    <row r="3238" spans="1:13" x14ac:dyDescent="0.25">
      <c r="A3238" s="3">
        <v>41833</v>
      </c>
      <c r="B3238" s="2" t="s">
        <v>46</v>
      </c>
      <c r="C3238" s="2">
        <v>15</v>
      </c>
      <c r="G3238" s="7" t="str">
        <f t="array" ref="G3238">IF(ROWS(K$20:K3238)&gt;$F$6,"",INDEX(A$2:A$10000,SMALL(IF(ISNUMBER(MATCH($B$2:$B$10000,$E$6:$E$22,0)),ROW($C$2:$C$10000)-ROW($C$2)+1),ROWS(K$20:K3238))))</f>
        <v/>
      </c>
      <c r="H3238" s="4" t="str">
        <f t="array" ref="H3238">IF(ROWS(L$20:L3238)&gt;$F$6,"",INDEX(B$2:B$10000,SMALL(IF(ISNUMBER(MATCH($B$2:$B$10000,$E$6:$E$22,0)),ROW($C$2:$C$10000)-ROW($C$2)+1),ROWS(L$20:L3238))))</f>
        <v/>
      </c>
      <c r="I3238" s="4" t="str">
        <f t="array" ref="I3238">IF(ROWS(M$20:M3238)&gt;$F$6,"",INDEX(C$2:C$10000,SMALL(IF(ISNUMBER(MATCH($B$2:$B$10000,$E$6:$E$22,0)),ROW($C$2:$C$10000)-ROW($C$2)+1),ROWS(M$20:M3238))))</f>
        <v/>
      </c>
      <c r="K3238" s="7" t="str">
        <f t="array" ref="K3238">IF(ROWS(K$20:K3238)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3238))))</f>
        <v/>
      </c>
      <c r="L3238" s="4" t="str">
        <f t="array" ref="L3238">IF(ROWS(L$20:L3238)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3238))))</f>
        <v/>
      </c>
      <c r="M3238" s="4" t="str">
        <f t="array" ref="M3238">IF(ROWS(M$20:M3238)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3238))))</f>
        <v/>
      </c>
    </row>
    <row r="3239" spans="1:13" x14ac:dyDescent="0.25">
      <c r="A3239" s="3">
        <v>41854</v>
      </c>
      <c r="B3239" s="2" t="s">
        <v>15</v>
      </c>
      <c r="C3239" s="2">
        <v>0</v>
      </c>
      <c r="G3239" s="7" t="str">
        <f t="array" ref="G3239">IF(ROWS(K$20:K3239)&gt;$F$6,"",INDEX(A$2:A$10000,SMALL(IF(ISNUMBER(MATCH($B$2:$B$10000,$E$6:$E$22,0)),ROW($C$2:$C$10000)-ROW($C$2)+1),ROWS(K$20:K3239))))</f>
        <v/>
      </c>
      <c r="H3239" s="4" t="str">
        <f t="array" ref="H3239">IF(ROWS(L$20:L3239)&gt;$F$6,"",INDEX(B$2:B$10000,SMALL(IF(ISNUMBER(MATCH($B$2:$B$10000,$E$6:$E$22,0)),ROW($C$2:$C$10000)-ROW($C$2)+1),ROWS(L$20:L3239))))</f>
        <v/>
      </c>
      <c r="I3239" s="4" t="str">
        <f t="array" ref="I3239">IF(ROWS(M$20:M3239)&gt;$F$6,"",INDEX(C$2:C$10000,SMALL(IF(ISNUMBER(MATCH($B$2:$B$10000,$E$6:$E$22,0)),ROW($C$2:$C$10000)-ROW($C$2)+1),ROWS(M$20:M3239))))</f>
        <v/>
      </c>
      <c r="K3239" s="7" t="str">
        <f t="array" ref="K3239">IF(ROWS(K$20:K3239)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3239))))</f>
        <v/>
      </c>
      <c r="L3239" s="4" t="str">
        <f t="array" ref="L3239">IF(ROWS(L$20:L3239)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3239))))</f>
        <v/>
      </c>
      <c r="M3239" s="4" t="str">
        <f t="array" ref="M3239">IF(ROWS(M$20:M3239)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3239))))</f>
        <v/>
      </c>
    </row>
    <row r="3240" spans="1:13" x14ac:dyDescent="0.25">
      <c r="A3240" s="3">
        <v>41618</v>
      </c>
      <c r="B3240" s="2" t="s">
        <v>34</v>
      </c>
      <c r="C3240" s="2">
        <v>37</v>
      </c>
      <c r="G3240" s="7" t="str">
        <f t="array" ref="G3240">IF(ROWS(K$20:K3240)&gt;$F$6,"",INDEX(A$2:A$10000,SMALL(IF(ISNUMBER(MATCH($B$2:$B$10000,$E$6:$E$22,0)),ROW($C$2:$C$10000)-ROW($C$2)+1),ROWS(K$20:K3240))))</f>
        <v/>
      </c>
      <c r="H3240" s="4" t="str">
        <f t="array" ref="H3240">IF(ROWS(L$20:L3240)&gt;$F$6,"",INDEX(B$2:B$10000,SMALL(IF(ISNUMBER(MATCH($B$2:$B$10000,$E$6:$E$22,0)),ROW($C$2:$C$10000)-ROW($C$2)+1),ROWS(L$20:L3240))))</f>
        <v/>
      </c>
      <c r="I3240" s="4" t="str">
        <f t="array" ref="I3240">IF(ROWS(M$20:M3240)&gt;$F$6,"",INDEX(C$2:C$10000,SMALL(IF(ISNUMBER(MATCH($B$2:$B$10000,$E$6:$E$22,0)),ROW($C$2:$C$10000)-ROW($C$2)+1),ROWS(M$20:M3240))))</f>
        <v/>
      </c>
      <c r="K3240" s="7" t="str">
        <f t="array" ref="K3240">IF(ROWS(K$20:K3240)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3240))))</f>
        <v/>
      </c>
      <c r="L3240" s="4" t="str">
        <f t="array" ref="L3240">IF(ROWS(L$20:L3240)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3240))))</f>
        <v/>
      </c>
      <c r="M3240" s="4" t="str">
        <f t="array" ref="M3240">IF(ROWS(M$20:M3240)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3240))))</f>
        <v/>
      </c>
    </row>
    <row r="3241" spans="1:13" x14ac:dyDescent="0.25">
      <c r="A3241" s="3">
        <v>41552</v>
      </c>
      <c r="B3241" s="2" t="s">
        <v>10</v>
      </c>
      <c r="C3241" s="2">
        <v>18</v>
      </c>
      <c r="G3241" s="7" t="str">
        <f t="array" ref="G3241">IF(ROWS(K$20:K3241)&gt;$F$6,"",INDEX(A$2:A$10000,SMALL(IF(ISNUMBER(MATCH($B$2:$B$10000,$E$6:$E$22,0)),ROW($C$2:$C$10000)-ROW($C$2)+1),ROWS(K$20:K3241))))</f>
        <v/>
      </c>
      <c r="H3241" s="4" t="str">
        <f t="array" ref="H3241">IF(ROWS(L$20:L3241)&gt;$F$6,"",INDEX(B$2:B$10000,SMALL(IF(ISNUMBER(MATCH($B$2:$B$10000,$E$6:$E$22,0)),ROW($C$2:$C$10000)-ROW($C$2)+1),ROWS(L$20:L3241))))</f>
        <v/>
      </c>
      <c r="I3241" s="4" t="str">
        <f t="array" ref="I3241">IF(ROWS(M$20:M3241)&gt;$F$6,"",INDEX(C$2:C$10000,SMALL(IF(ISNUMBER(MATCH($B$2:$B$10000,$E$6:$E$22,0)),ROW($C$2:$C$10000)-ROW($C$2)+1),ROWS(M$20:M3241))))</f>
        <v/>
      </c>
      <c r="K3241" s="7" t="str">
        <f t="array" ref="K3241">IF(ROWS(K$20:K3241)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3241))))</f>
        <v/>
      </c>
      <c r="L3241" s="4" t="str">
        <f t="array" ref="L3241">IF(ROWS(L$20:L3241)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3241))))</f>
        <v/>
      </c>
      <c r="M3241" s="4" t="str">
        <f t="array" ref="M3241">IF(ROWS(M$20:M3241)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3241))))</f>
        <v/>
      </c>
    </row>
    <row r="3242" spans="1:13" x14ac:dyDescent="0.25">
      <c r="A3242" s="3">
        <v>41475</v>
      </c>
      <c r="B3242" s="2" t="s">
        <v>29</v>
      </c>
      <c r="C3242" s="2">
        <v>10</v>
      </c>
      <c r="G3242" s="7" t="str">
        <f t="array" ref="G3242">IF(ROWS(K$20:K3242)&gt;$F$6,"",INDEX(A$2:A$10000,SMALL(IF(ISNUMBER(MATCH($B$2:$B$10000,$E$6:$E$22,0)),ROW($C$2:$C$10000)-ROW($C$2)+1),ROWS(K$20:K3242))))</f>
        <v/>
      </c>
      <c r="H3242" s="4" t="str">
        <f t="array" ref="H3242">IF(ROWS(L$20:L3242)&gt;$F$6,"",INDEX(B$2:B$10000,SMALL(IF(ISNUMBER(MATCH($B$2:$B$10000,$E$6:$E$22,0)),ROW($C$2:$C$10000)-ROW($C$2)+1),ROWS(L$20:L3242))))</f>
        <v/>
      </c>
      <c r="I3242" s="4" t="str">
        <f t="array" ref="I3242">IF(ROWS(M$20:M3242)&gt;$F$6,"",INDEX(C$2:C$10000,SMALL(IF(ISNUMBER(MATCH($B$2:$B$10000,$E$6:$E$22,0)),ROW($C$2:$C$10000)-ROW($C$2)+1),ROWS(M$20:M3242))))</f>
        <v/>
      </c>
      <c r="K3242" s="7" t="str">
        <f t="array" ref="K3242">IF(ROWS(K$20:K3242)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3242))))</f>
        <v/>
      </c>
      <c r="L3242" s="4" t="str">
        <f t="array" ref="L3242">IF(ROWS(L$20:L3242)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3242))))</f>
        <v/>
      </c>
      <c r="M3242" s="4" t="str">
        <f t="array" ref="M3242">IF(ROWS(M$20:M3242)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3242))))</f>
        <v/>
      </c>
    </row>
    <row r="3243" spans="1:13" x14ac:dyDescent="0.25">
      <c r="A3243" s="3">
        <v>41552</v>
      </c>
      <c r="B3243" s="2" t="s">
        <v>16</v>
      </c>
      <c r="C3243" s="2">
        <v>23</v>
      </c>
      <c r="G3243" s="7" t="str">
        <f t="array" ref="G3243">IF(ROWS(K$20:K3243)&gt;$F$6,"",INDEX(A$2:A$10000,SMALL(IF(ISNUMBER(MATCH($B$2:$B$10000,$E$6:$E$22,0)),ROW($C$2:$C$10000)-ROW($C$2)+1),ROWS(K$20:K3243))))</f>
        <v/>
      </c>
      <c r="H3243" s="4" t="str">
        <f t="array" ref="H3243">IF(ROWS(L$20:L3243)&gt;$F$6,"",INDEX(B$2:B$10000,SMALL(IF(ISNUMBER(MATCH($B$2:$B$10000,$E$6:$E$22,0)),ROW($C$2:$C$10000)-ROW($C$2)+1),ROWS(L$20:L3243))))</f>
        <v/>
      </c>
      <c r="I3243" s="4" t="str">
        <f t="array" ref="I3243">IF(ROWS(M$20:M3243)&gt;$F$6,"",INDEX(C$2:C$10000,SMALL(IF(ISNUMBER(MATCH($B$2:$B$10000,$E$6:$E$22,0)),ROW($C$2:$C$10000)-ROW($C$2)+1),ROWS(M$20:M3243))))</f>
        <v/>
      </c>
      <c r="K3243" s="7" t="str">
        <f t="array" ref="K3243">IF(ROWS(K$20:K3243)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3243))))</f>
        <v/>
      </c>
      <c r="L3243" s="4" t="str">
        <f t="array" ref="L3243">IF(ROWS(L$20:L3243)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3243))))</f>
        <v/>
      </c>
      <c r="M3243" s="4" t="str">
        <f t="array" ref="M3243">IF(ROWS(M$20:M3243)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3243))))</f>
        <v/>
      </c>
    </row>
    <row r="3244" spans="1:13" x14ac:dyDescent="0.25">
      <c r="A3244" s="3">
        <v>41565</v>
      </c>
      <c r="B3244" s="2" t="s">
        <v>34</v>
      </c>
      <c r="C3244" s="2">
        <v>13</v>
      </c>
      <c r="G3244" s="7" t="str">
        <f t="array" ref="G3244">IF(ROWS(K$20:K3244)&gt;$F$6,"",INDEX(A$2:A$10000,SMALL(IF(ISNUMBER(MATCH($B$2:$B$10000,$E$6:$E$22,0)),ROW($C$2:$C$10000)-ROW($C$2)+1),ROWS(K$20:K3244))))</f>
        <v/>
      </c>
      <c r="H3244" s="4" t="str">
        <f t="array" ref="H3244">IF(ROWS(L$20:L3244)&gt;$F$6,"",INDEX(B$2:B$10000,SMALL(IF(ISNUMBER(MATCH($B$2:$B$10000,$E$6:$E$22,0)),ROW($C$2:$C$10000)-ROW($C$2)+1),ROWS(L$20:L3244))))</f>
        <v/>
      </c>
      <c r="I3244" s="4" t="str">
        <f t="array" ref="I3244">IF(ROWS(M$20:M3244)&gt;$F$6,"",INDEX(C$2:C$10000,SMALL(IF(ISNUMBER(MATCH($B$2:$B$10000,$E$6:$E$22,0)),ROW($C$2:$C$10000)-ROW($C$2)+1),ROWS(M$20:M3244))))</f>
        <v/>
      </c>
      <c r="K3244" s="7" t="str">
        <f t="array" ref="K3244">IF(ROWS(K$20:K3244)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3244))))</f>
        <v/>
      </c>
      <c r="L3244" s="4" t="str">
        <f t="array" ref="L3244">IF(ROWS(L$20:L3244)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3244))))</f>
        <v/>
      </c>
      <c r="M3244" s="4" t="str">
        <f t="array" ref="M3244">IF(ROWS(M$20:M3244)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3244))))</f>
        <v/>
      </c>
    </row>
    <row r="3245" spans="1:13" x14ac:dyDescent="0.25">
      <c r="A3245" s="3">
        <v>41391</v>
      </c>
      <c r="B3245" s="2" t="s">
        <v>21</v>
      </c>
      <c r="C3245" s="2">
        <v>28</v>
      </c>
      <c r="G3245" s="7" t="str">
        <f t="array" ref="G3245">IF(ROWS(K$20:K3245)&gt;$F$6,"",INDEX(A$2:A$10000,SMALL(IF(ISNUMBER(MATCH($B$2:$B$10000,$E$6:$E$22,0)),ROW($C$2:$C$10000)-ROW($C$2)+1),ROWS(K$20:K3245))))</f>
        <v/>
      </c>
      <c r="H3245" s="4" t="str">
        <f t="array" ref="H3245">IF(ROWS(L$20:L3245)&gt;$F$6,"",INDEX(B$2:B$10000,SMALL(IF(ISNUMBER(MATCH($B$2:$B$10000,$E$6:$E$22,0)),ROW($C$2:$C$10000)-ROW($C$2)+1),ROWS(L$20:L3245))))</f>
        <v/>
      </c>
      <c r="I3245" s="4" t="str">
        <f t="array" ref="I3245">IF(ROWS(M$20:M3245)&gt;$F$6,"",INDEX(C$2:C$10000,SMALL(IF(ISNUMBER(MATCH($B$2:$B$10000,$E$6:$E$22,0)),ROW($C$2:$C$10000)-ROW($C$2)+1),ROWS(M$20:M3245))))</f>
        <v/>
      </c>
      <c r="K3245" s="7" t="str">
        <f t="array" ref="K3245">IF(ROWS(K$20:K3245)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3245))))</f>
        <v/>
      </c>
      <c r="L3245" s="4" t="str">
        <f t="array" ref="L3245">IF(ROWS(L$20:L3245)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3245))))</f>
        <v/>
      </c>
      <c r="M3245" s="4" t="str">
        <f t="array" ref="M3245">IF(ROWS(M$20:M3245)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3245))))</f>
        <v/>
      </c>
    </row>
    <row r="3246" spans="1:13" x14ac:dyDescent="0.25">
      <c r="A3246" s="3">
        <v>41445</v>
      </c>
      <c r="B3246" s="2" t="s">
        <v>18</v>
      </c>
      <c r="C3246" s="2">
        <v>2</v>
      </c>
      <c r="G3246" s="7" t="str">
        <f t="array" ref="G3246">IF(ROWS(K$20:K3246)&gt;$F$6,"",INDEX(A$2:A$10000,SMALL(IF(ISNUMBER(MATCH($B$2:$B$10000,$E$6:$E$22,0)),ROW($C$2:$C$10000)-ROW($C$2)+1),ROWS(K$20:K3246))))</f>
        <v/>
      </c>
      <c r="H3246" s="4" t="str">
        <f t="array" ref="H3246">IF(ROWS(L$20:L3246)&gt;$F$6,"",INDEX(B$2:B$10000,SMALL(IF(ISNUMBER(MATCH($B$2:$B$10000,$E$6:$E$22,0)),ROW($C$2:$C$10000)-ROW($C$2)+1),ROWS(L$20:L3246))))</f>
        <v/>
      </c>
      <c r="I3246" s="4" t="str">
        <f t="array" ref="I3246">IF(ROWS(M$20:M3246)&gt;$F$6,"",INDEX(C$2:C$10000,SMALL(IF(ISNUMBER(MATCH($B$2:$B$10000,$E$6:$E$22,0)),ROW($C$2:$C$10000)-ROW($C$2)+1),ROWS(M$20:M3246))))</f>
        <v/>
      </c>
      <c r="K3246" s="7" t="str">
        <f t="array" ref="K3246">IF(ROWS(K$20:K3246)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3246))))</f>
        <v/>
      </c>
      <c r="L3246" s="4" t="str">
        <f t="array" ref="L3246">IF(ROWS(L$20:L3246)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3246))))</f>
        <v/>
      </c>
      <c r="M3246" s="4" t="str">
        <f t="array" ref="M3246">IF(ROWS(M$20:M3246)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3246))))</f>
        <v/>
      </c>
    </row>
    <row r="3247" spans="1:13" x14ac:dyDescent="0.25">
      <c r="A3247" s="3">
        <v>41312</v>
      </c>
      <c r="B3247" s="2" t="s">
        <v>35</v>
      </c>
      <c r="C3247" s="2">
        <v>10</v>
      </c>
      <c r="G3247" s="7" t="str">
        <f t="array" ref="G3247">IF(ROWS(K$20:K3247)&gt;$F$6,"",INDEX(A$2:A$10000,SMALL(IF(ISNUMBER(MATCH($B$2:$B$10000,$E$6:$E$22,0)),ROW($C$2:$C$10000)-ROW($C$2)+1),ROWS(K$20:K3247))))</f>
        <v/>
      </c>
      <c r="H3247" s="4" t="str">
        <f t="array" ref="H3247">IF(ROWS(L$20:L3247)&gt;$F$6,"",INDEX(B$2:B$10000,SMALL(IF(ISNUMBER(MATCH($B$2:$B$10000,$E$6:$E$22,0)),ROW($C$2:$C$10000)-ROW($C$2)+1),ROWS(L$20:L3247))))</f>
        <v/>
      </c>
      <c r="I3247" s="4" t="str">
        <f t="array" ref="I3247">IF(ROWS(M$20:M3247)&gt;$F$6,"",INDEX(C$2:C$10000,SMALL(IF(ISNUMBER(MATCH($B$2:$B$10000,$E$6:$E$22,0)),ROW($C$2:$C$10000)-ROW($C$2)+1),ROWS(M$20:M3247))))</f>
        <v/>
      </c>
      <c r="K3247" s="7" t="str">
        <f t="array" ref="K3247">IF(ROWS(K$20:K3247)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3247))))</f>
        <v/>
      </c>
      <c r="L3247" s="4" t="str">
        <f t="array" ref="L3247">IF(ROWS(L$20:L3247)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3247))))</f>
        <v/>
      </c>
      <c r="M3247" s="4" t="str">
        <f t="array" ref="M3247">IF(ROWS(M$20:M3247)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3247))))</f>
        <v/>
      </c>
    </row>
    <row r="3248" spans="1:13" x14ac:dyDescent="0.25">
      <c r="A3248" s="3">
        <v>41572</v>
      </c>
      <c r="B3248" s="2" t="s">
        <v>30</v>
      </c>
      <c r="C3248" s="2">
        <v>32</v>
      </c>
      <c r="G3248" s="7" t="str">
        <f t="array" ref="G3248">IF(ROWS(K$20:K3248)&gt;$F$6,"",INDEX(A$2:A$10000,SMALL(IF(ISNUMBER(MATCH($B$2:$B$10000,$E$6:$E$22,0)),ROW($C$2:$C$10000)-ROW($C$2)+1),ROWS(K$20:K3248))))</f>
        <v/>
      </c>
      <c r="H3248" s="4" t="str">
        <f t="array" ref="H3248">IF(ROWS(L$20:L3248)&gt;$F$6,"",INDEX(B$2:B$10000,SMALL(IF(ISNUMBER(MATCH($B$2:$B$10000,$E$6:$E$22,0)),ROW($C$2:$C$10000)-ROW($C$2)+1),ROWS(L$20:L3248))))</f>
        <v/>
      </c>
      <c r="I3248" s="4" t="str">
        <f t="array" ref="I3248">IF(ROWS(M$20:M3248)&gt;$F$6,"",INDEX(C$2:C$10000,SMALL(IF(ISNUMBER(MATCH($B$2:$B$10000,$E$6:$E$22,0)),ROW($C$2:$C$10000)-ROW($C$2)+1),ROWS(M$20:M3248))))</f>
        <v/>
      </c>
      <c r="K3248" s="7" t="str">
        <f t="array" ref="K3248">IF(ROWS(K$20:K3248)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3248))))</f>
        <v/>
      </c>
      <c r="L3248" s="4" t="str">
        <f t="array" ref="L3248">IF(ROWS(L$20:L3248)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3248))))</f>
        <v/>
      </c>
      <c r="M3248" s="4" t="str">
        <f t="array" ref="M3248">IF(ROWS(M$20:M3248)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3248))))</f>
        <v/>
      </c>
    </row>
    <row r="3249" spans="1:13" x14ac:dyDescent="0.25">
      <c r="A3249" s="3">
        <v>41966</v>
      </c>
      <c r="B3249" s="2" t="s">
        <v>24</v>
      </c>
      <c r="C3249" s="2">
        <v>22</v>
      </c>
      <c r="G3249" s="7" t="str">
        <f t="array" ref="G3249">IF(ROWS(K$20:K3249)&gt;$F$6,"",INDEX(A$2:A$10000,SMALL(IF(ISNUMBER(MATCH($B$2:$B$10000,$E$6:$E$22,0)),ROW($C$2:$C$10000)-ROW($C$2)+1),ROWS(K$20:K3249))))</f>
        <v/>
      </c>
      <c r="H3249" s="4" t="str">
        <f t="array" ref="H3249">IF(ROWS(L$20:L3249)&gt;$F$6,"",INDEX(B$2:B$10000,SMALL(IF(ISNUMBER(MATCH($B$2:$B$10000,$E$6:$E$22,0)),ROW($C$2:$C$10000)-ROW($C$2)+1),ROWS(L$20:L3249))))</f>
        <v/>
      </c>
      <c r="I3249" s="4" t="str">
        <f t="array" ref="I3249">IF(ROWS(M$20:M3249)&gt;$F$6,"",INDEX(C$2:C$10000,SMALL(IF(ISNUMBER(MATCH($B$2:$B$10000,$E$6:$E$22,0)),ROW($C$2:$C$10000)-ROW($C$2)+1),ROWS(M$20:M3249))))</f>
        <v/>
      </c>
      <c r="K3249" s="7" t="str">
        <f t="array" ref="K3249">IF(ROWS(K$20:K3249)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3249))))</f>
        <v/>
      </c>
      <c r="L3249" s="4" t="str">
        <f t="array" ref="L3249">IF(ROWS(L$20:L3249)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3249))))</f>
        <v/>
      </c>
      <c r="M3249" s="4" t="str">
        <f t="array" ref="M3249">IF(ROWS(M$20:M3249)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3249))))</f>
        <v/>
      </c>
    </row>
    <row r="3250" spans="1:13" x14ac:dyDescent="0.25">
      <c r="A3250" s="3">
        <v>41631</v>
      </c>
      <c r="B3250" s="2" t="s">
        <v>25</v>
      </c>
      <c r="C3250" s="2">
        <v>58</v>
      </c>
      <c r="G3250" s="7" t="str">
        <f t="array" ref="G3250">IF(ROWS(K$20:K3250)&gt;$F$6,"",INDEX(A$2:A$10000,SMALL(IF(ISNUMBER(MATCH($B$2:$B$10000,$E$6:$E$22,0)),ROW($C$2:$C$10000)-ROW($C$2)+1),ROWS(K$20:K3250))))</f>
        <v/>
      </c>
      <c r="H3250" s="4" t="str">
        <f t="array" ref="H3250">IF(ROWS(L$20:L3250)&gt;$F$6,"",INDEX(B$2:B$10000,SMALL(IF(ISNUMBER(MATCH($B$2:$B$10000,$E$6:$E$22,0)),ROW($C$2:$C$10000)-ROW($C$2)+1),ROWS(L$20:L3250))))</f>
        <v/>
      </c>
      <c r="I3250" s="4" t="str">
        <f t="array" ref="I3250">IF(ROWS(M$20:M3250)&gt;$F$6,"",INDEX(C$2:C$10000,SMALL(IF(ISNUMBER(MATCH($B$2:$B$10000,$E$6:$E$22,0)),ROW($C$2:$C$10000)-ROW($C$2)+1),ROWS(M$20:M3250))))</f>
        <v/>
      </c>
      <c r="K3250" s="7" t="str">
        <f t="array" ref="K3250">IF(ROWS(K$20:K3250)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3250))))</f>
        <v/>
      </c>
      <c r="L3250" s="4" t="str">
        <f t="array" ref="L3250">IF(ROWS(L$20:L3250)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3250))))</f>
        <v/>
      </c>
      <c r="M3250" s="4" t="str">
        <f t="array" ref="M3250">IF(ROWS(M$20:M3250)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3250))))</f>
        <v/>
      </c>
    </row>
    <row r="3251" spans="1:13" x14ac:dyDescent="0.25">
      <c r="A3251" s="3">
        <v>41560</v>
      </c>
      <c r="B3251" s="2" t="s">
        <v>13</v>
      </c>
      <c r="C3251" s="2">
        <v>29</v>
      </c>
      <c r="G3251" s="7" t="str">
        <f t="array" ref="G3251">IF(ROWS(K$20:K3251)&gt;$F$6,"",INDEX(A$2:A$10000,SMALL(IF(ISNUMBER(MATCH($B$2:$B$10000,$E$6:$E$22,0)),ROW($C$2:$C$10000)-ROW($C$2)+1),ROWS(K$20:K3251))))</f>
        <v/>
      </c>
      <c r="H3251" s="4" t="str">
        <f t="array" ref="H3251">IF(ROWS(L$20:L3251)&gt;$F$6,"",INDEX(B$2:B$10000,SMALL(IF(ISNUMBER(MATCH($B$2:$B$10000,$E$6:$E$22,0)),ROW($C$2:$C$10000)-ROW($C$2)+1),ROWS(L$20:L3251))))</f>
        <v/>
      </c>
      <c r="I3251" s="4" t="str">
        <f t="array" ref="I3251">IF(ROWS(M$20:M3251)&gt;$F$6,"",INDEX(C$2:C$10000,SMALL(IF(ISNUMBER(MATCH($B$2:$B$10000,$E$6:$E$22,0)),ROW($C$2:$C$10000)-ROW($C$2)+1),ROWS(M$20:M3251))))</f>
        <v/>
      </c>
      <c r="K3251" s="7" t="str">
        <f t="array" ref="K3251">IF(ROWS(K$20:K3251)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3251))))</f>
        <v/>
      </c>
      <c r="L3251" s="4" t="str">
        <f t="array" ref="L3251">IF(ROWS(L$20:L3251)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3251))))</f>
        <v/>
      </c>
      <c r="M3251" s="4" t="str">
        <f t="array" ref="M3251">IF(ROWS(M$20:M3251)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3251))))</f>
        <v/>
      </c>
    </row>
    <row r="3252" spans="1:13" x14ac:dyDescent="0.25">
      <c r="A3252" s="3">
        <v>41505</v>
      </c>
      <c r="B3252" s="2" t="s">
        <v>39</v>
      </c>
      <c r="C3252" s="2">
        <v>42</v>
      </c>
      <c r="G3252" s="7" t="str">
        <f t="array" ref="G3252">IF(ROWS(K$20:K3252)&gt;$F$6,"",INDEX(A$2:A$10000,SMALL(IF(ISNUMBER(MATCH($B$2:$B$10000,$E$6:$E$22,0)),ROW($C$2:$C$10000)-ROW($C$2)+1),ROWS(K$20:K3252))))</f>
        <v/>
      </c>
      <c r="H3252" s="4" t="str">
        <f t="array" ref="H3252">IF(ROWS(L$20:L3252)&gt;$F$6,"",INDEX(B$2:B$10000,SMALL(IF(ISNUMBER(MATCH($B$2:$B$10000,$E$6:$E$22,0)),ROW($C$2:$C$10000)-ROW($C$2)+1),ROWS(L$20:L3252))))</f>
        <v/>
      </c>
      <c r="I3252" s="4" t="str">
        <f t="array" ref="I3252">IF(ROWS(M$20:M3252)&gt;$F$6,"",INDEX(C$2:C$10000,SMALL(IF(ISNUMBER(MATCH($B$2:$B$10000,$E$6:$E$22,0)),ROW($C$2:$C$10000)-ROW($C$2)+1),ROWS(M$20:M3252))))</f>
        <v/>
      </c>
      <c r="K3252" s="7" t="str">
        <f t="array" ref="K3252">IF(ROWS(K$20:K3252)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3252))))</f>
        <v/>
      </c>
      <c r="L3252" s="4" t="str">
        <f t="array" ref="L3252">IF(ROWS(L$20:L3252)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3252))))</f>
        <v/>
      </c>
      <c r="M3252" s="4" t="str">
        <f t="array" ref="M3252">IF(ROWS(M$20:M3252)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3252))))</f>
        <v/>
      </c>
    </row>
    <row r="3253" spans="1:13" x14ac:dyDescent="0.25">
      <c r="A3253" s="3">
        <v>41784</v>
      </c>
      <c r="B3253" s="2" t="s">
        <v>12</v>
      </c>
      <c r="C3253" s="2">
        <v>39</v>
      </c>
      <c r="G3253" s="7" t="str">
        <f t="array" ref="G3253">IF(ROWS(K$20:K3253)&gt;$F$6,"",INDEX(A$2:A$10000,SMALL(IF(ISNUMBER(MATCH($B$2:$B$10000,$E$6:$E$22,0)),ROW($C$2:$C$10000)-ROW($C$2)+1),ROWS(K$20:K3253))))</f>
        <v/>
      </c>
      <c r="H3253" s="4" t="str">
        <f t="array" ref="H3253">IF(ROWS(L$20:L3253)&gt;$F$6,"",INDEX(B$2:B$10000,SMALL(IF(ISNUMBER(MATCH($B$2:$B$10000,$E$6:$E$22,0)),ROW($C$2:$C$10000)-ROW($C$2)+1),ROWS(L$20:L3253))))</f>
        <v/>
      </c>
      <c r="I3253" s="4" t="str">
        <f t="array" ref="I3253">IF(ROWS(M$20:M3253)&gt;$F$6,"",INDEX(C$2:C$10000,SMALL(IF(ISNUMBER(MATCH($B$2:$B$10000,$E$6:$E$22,0)),ROW($C$2:$C$10000)-ROW($C$2)+1),ROWS(M$20:M3253))))</f>
        <v/>
      </c>
      <c r="K3253" s="7" t="str">
        <f t="array" ref="K3253">IF(ROWS(K$20:K3253)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3253))))</f>
        <v/>
      </c>
      <c r="L3253" s="4" t="str">
        <f t="array" ref="L3253">IF(ROWS(L$20:L3253)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3253))))</f>
        <v/>
      </c>
      <c r="M3253" s="4" t="str">
        <f t="array" ref="M3253">IF(ROWS(M$20:M3253)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3253))))</f>
        <v/>
      </c>
    </row>
    <row r="3254" spans="1:13" x14ac:dyDescent="0.25">
      <c r="A3254" s="3">
        <v>41455</v>
      </c>
      <c r="B3254" s="2" t="s">
        <v>19</v>
      </c>
      <c r="C3254" s="2">
        <v>11</v>
      </c>
      <c r="G3254" s="7" t="str">
        <f t="array" ref="G3254">IF(ROWS(K$20:K3254)&gt;$F$6,"",INDEX(A$2:A$10000,SMALL(IF(ISNUMBER(MATCH($B$2:$B$10000,$E$6:$E$22,0)),ROW($C$2:$C$10000)-ROW($C$2)+1),ROWS(K$20:K3254))))</f>
        <v/>
      </c>
      <c r="H3254" s="4" t="str">
        <f t="array" ref="H3254">IF(ROWS(L$20:L3254)&gt;$F$6,"",INDEX(B$2:B$10000,SMALL(IF(ISNUMBER(MATCH($B$2:$B$10000,$E$6:$E$22,0)),ROW($C$2:$C$10000)-ROW($C$2)+1),ROWS(L$20:L3254))))</f>
        <v/>
      </c>
      <c r="I3254" s="4" t="str">
        <f t="array" ref="I3254">IF(ROWS(M$20:M3254)&gt;$F$6,"",INDEX(C$2:C$10000,SMALL(IF(ISNUMBER(MATCH($B$2:$B$10000,$E$6:$E$22,0)),ROW($C$2:$C$10000)-ROW($C$2)+1),ROWS(M$20:M3254))))</f>
        <v/>
      </c>
      <c r="K3254" s="7" t="str">
        <f t="array" ref="K3254">IF(ROWS(K$20:K3254)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3254))))</f>
        <v/>
      </c>
      <c r="L3254" s="4" t="str">
        <f t="array" ref="L3254">IF(ROWS(L$20:L3254)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3254))))</f>
        <v/>
      </c>
      <c r="M3254" s="4" t="str">
        <f t="array" ref="M3254">IF(ROWS(M$20:M3254)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3254))))</f>
        <v/>
      </c>
    </row>
    <row r="3255" spans="1:13" x14ac:dyDescent="0.25">
      <c r="A3255" s="3">
        <v>41594</v>
      </c>
      <c r="B3255" s="2" t="s">
        <v>28</v>
      </c>
      <c r="C3255" s="2">
        <v>14</v>
      </c>
      <c r="G3255" s="7" t="str">
        <f t="array" ref="G3255">IF(ROWS(K$20:K3255)&gt;$F$6,"",INDEX(A$2:A$10000,SMALL(IF(ISNUMBER(MATCH($B$2:$B$10000,$E$6:$E$22,0)),ROW($C$2:$C$10000)-ROW($C$2)+1),ROWS(K$20:K3255))))</f>
        <v/>
      </c>
      <c r="H3255" s="4" t="str">
        <f t="array" ref="H3255">IF(ROWS(L$20:L3255)&gt;$F$6,"",INDEX(B$2:B$10000,SMALL(IF(ISNUMBER(MATCH($B$2:$B$10000,$E$6:$E$22,0)),ROW($C$2:$C$10000)-ROW($C$2)+1),ROWS(L$20:L3255))))</f>
        <v/>
      </c>
      <c r="I3255" s="4" t="str">
        <f t="array" ref="I3255">IF(ROWS(M$20:M3255)&gt;$F$6,"",INDEX(C$2:C$10000,SMALL(IF(ISNUMBER(MATCH($B$2:$B$10000,$E$6:$E$22,0)),ROW($C$2:$C$10000)-ROW($C$2)+1),ROWS(M$20:M3255))))</f>
        <v/>
      </c>
      <c r="K3255" s="7" t="str">
        <f t="array" ref="K3255">IF(ROWS(K$20:K3255)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3255))))</f>
        <v/>
      </c>
      <c r="L3255" s="4" t="str">
        <f t="array" ref="L3255">IF(ROWS(L$20:L3255)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3255))))</f>
        <v/>
      </c>
      <c r="M3255" s="4" t="str">
        <f t="array" ref="M3255">IF(ROWS(M$20:M3255)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3255))))</f>
        <v/>
      </c>
    </row>
    <row r="3256" spans="1:13" x14ac:dyDescent="0.25">
      <c r="A3256" s="3">
        <v>41321</v>
      </c>
      <c r="B3256" s="2" t="s">
        <v>43</v>
      </c>
      <c r="C3256" s="2">
        <v>20</v>
      </c>
      <c r="G3256" s="7" t="str">
        <f t="array" ref="G3256">IF(ROWS(K$20:K3256)&gt;$F$6,"",INDEX(A$2:A$10000,SMALL(IF(ISNUMBER(MATCH($B$2:$B$10000,$E$6:$E$22,0)),ROW($C$2:$C$10000)-ROW($C$2)+1),ROWS(K$20:K3256))))</f>
        <v/>
      </c>
      <c r="H3256" s="4" t="str">
        <f t="array" ref="H3256">IF(ROWS(L$20:L3256)&gt;$F$6,"",INDEX(B$2:B$10000,SMALL(IF(ISNUMBER(MATCH($B$2:$B$10000,$E$6:$E$22,0)),ROW($C$2:$C$10000)-ROW($C$2)+1),ROWS(L$20:L3256))))</f>
        <v/>
      </c>
      <c r="I3256" s="4" t="str">
        <f t="array" ref="I3256">IF(ROWS(M$20:M3256)&gt;$F$6,"",INDEX(C$2:C$10000,SMALL(IF(ISNUMBER(MATCH($B$2:$B$10000,$E$6:$E$22,0)),ROW($C$2:$C$10000)-ROW($C$2)+1),ROWS(M$20:M3256))))</f>
        <v/>
      </c>
      <c r="K3256" s="7" t="str">
        <f t="array" ref="K3256">IF(ROWS(K$20:K3256)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3256))))</f>
        <v/>
      </c>
      <c r="L3256" s="4" t="str">
        <f t="array" ref="L3256">IF(ROWS(L$20:L3256)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3256))))</f>
        <v/>
      </c>
      <c r="M3256" s="4" t="str">
        <f t="array" ref="M3256">IF(ROWS(M$20:M3256)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3256))))</f>
        <v/>
      </c>
    </row>
    <row r="3257" spans="1:13" x14ac:dyDescent="0.25">
      <c r="A3257" s="3">
        <v>41773</v>
      </c>
      <c r="B3257" s="2" t="s">
        <v>28</v>
      </c>
      <c r="C3257" s="2">
        <v>32</v>
      </c>
      <c r="G3257" s="7" t="str">
        <f t="array" ref="G3257">IF(ROWS(K$20:K3257)&gt;$F$6,"",INDEX(A$2:A$10000,SMALL(IF(ISNUMBER(MATCH($B$2:$B$10000,$E$6:$E$22,0)),ROW($C$2:$C$10000)-ROW($C$2)+1),ROWS(K$20:K3257))))</f>
        <v/>
      </c>
      <c r="H3257" s="4" t="str">
        <f t="array" ref="H3257">IF(ROWS(L$20:L3257)&gt;$F$6,"",INDEX(B$2:B$10000,SMALL(IF(ISNUMBER(MATCH($B$2:$B$10000,$E$6:$E$22,0)),ROW($C$2:$C$10000)-ROW($C$2)+1),ROWS(L$20:L3257))))</f>
        <v/>
      </c>
      <c r="I3257" s="4" t="str">
        <f t="array" ref="I3257">IF(ROWS(M$20:M3257)&gt;$F$6,"",INDEX(C$2:C$10000,SMALL(IF(ISNUMBER(MATCH($B$2:$B$10000,$E$6:$E$22,0)),ROW($C$2:$C$10000)-ROW($C$2)+1),ROWS(M$20:M3257))))</f>
        <v/>
      </c>
      <c r="K3257" s="7" t="str">
        <f t="array" ref="K3257">IF(ROWS(K$20:K3257)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3257))))</f>
        <v/>
      </c>
      <c r="L3257" s="4" t="str">
        <f t="array" ref="L3257">IF(ROWS(L$20:L3257)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3257))))</f>
        <v/>
      </c>
      <c r="M3257" s="4" t="str">
        <f t="array" ref="M3257">IF(ROWS(M$20:M3257)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3257))))</f>
        <v/>
      </c>
    </row>
    <row r="3258" spans="1:13" x14ac:dyDescent="0.25">
      <c r="A3258" s="3">
        <v>41337</v>
      </c>
      <c r="B3258" s="2" t="s">
        <v>29</v>
      </c>
      <c r="C3258" s="2">
        <v>11</v>
      </c>
      <c r="G3258" s="7" t="str">
        <f t="array" ref="G3258">IF(ROWS(K$20:K3258)&gt;$F$6,"",INDEX(A$2:A$10000,SMALL(IF(ISNUMBER(MATCH($B$2:$B$10000,$E$6:$E$22,0)),ROW($C$2:$C$10000)-ROW($C$2)+1),ROWS(K$20:K3258))))</f>
        <v/>
      </c>
      <c r="H3258" s="4" t="str">
        <f t="array" ref="H3258">IF(ROWS(L$20:L3258)&gt;$F$6,"",INDEX(B$2:B$10000,SMALL(IF(ISNUMBER(MATCH($B$2:$B$10000,$E$6:$E$22,0)),ROW($C$2:$C$10000)-ROW($C$2)+1),ROWS(L$20:L3258))))</f>
        <v/>
      </c>
      <c r="I3258" s="4" t="str">
        <f t="array" ref="I3258">IF(ROWS(M$20:M3258)&gt;$F$6,"",INDEX(C$2:C$10000,SMALL(IF(ISNUMBER(MATCH($B$2:$B$10000,$E$6:$E$22,0)),ROW($C$2:$C$10000)-ROW($C$2)+1),ROWS(M$20:M3258))))</f>
        <v/>
      </c>
      <c r="K3258" s="7" t="str">
        <f t="array" ref="K3258">IF(ROWS(K$20:K3258)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3258))))</f>
        <v/>
      </c>
      <c r="L3258" s="4" t="str">
        <f t="array" ref="L3258">IF(ROWS(L$20:L3258)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3258))))</f>
        <v/>
      </c>
      <c r="M3258" s="4" t="str">
        <f t="array" ref="M3258">IF(ROWS(M$20:M3258)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3258))))</f>
        <v/>
      </c>
    </row>
    <row r="3259" spans="1:13" x14ac:dyDescent="0.25">
      <c r="A3259" s="3">
        <v>41363</v>
      </c>
      <c r="B3259" s="2" t="s">
        <v>23</v>
      </c>
      <c r="C3259" s="2">
        <v>32</v>
      </c>
      <c r="G3259" s="7" t="str">
        <f t="array" ref="G3259">IF(ROWS(K$20:K3259)&gt;$F$6,"",INDEX(A$2:A$10000,SMALL(IF(ISNUMBER(MATCH($B$2:$B$10000,$E$6:$E$22,0)),ROW($C$2:$C$10000)-ROW($C$2)+1),ROWS(K$20:K3259))))</f>
        <v/>
      </c>
      <c r="H3259" s="4" t="str">
        <f t="array" ref="H3259">IF(ROWS(L$20:L3259)&gt;$F$6,"",INDEX(B$2:B$10000,SMALL(IF(ISNUMBER(MATCH($B$2:$B$10000,$E$6:$E$22,0)),ROW($C$2:$C$10000)-ROW($C$2)+1),ROWS(L$20:L3259))))</f>
        <v/>
      </c>
      <c r="I3259" s="4" t="str">
        <f t="array" ref="I3259">IF(ROWS(M$20:M3259)&gt;$F$6,"",INDEX(C$2:C$10000,SMALL(IF(ISNUMBER(MATCH($B$2:$B$10000,$E$6:$E$22,0)),ROW($C$2:$C$10000)-ROW($C$2)+1),ROWS(M$20:M3259))))</f>
        <v/>
      </c>
      <c r="K3259" s="7" t="str">
        <f t="array" ref="K3259">IF(ROWS(K$20:K3259)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3259))))</f>
        <v/>
      </c>
      <c r="L3259" s="4" t="str">
        <f t="array" ref="L3259">IF(ROWS(L$20:L3259)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3259))))</f>
        <v/>
      </c>
      <c r="M3259" s="4" t="str">
        <f t="array" ref="M3259">IF(ROWS(M$20:M3259)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3259))))</f>
        <v/>
      </c>
    </row>
    <row r="3260" spans="1:13" x14ac:dyDescent="0.25">
      <c r="A3260" s="3">
        <v>41807</v>
      </c>
      <c r="B3260" s="2" t="s">
        <v>2</v>
      </c>
      <c r="C3260" s="2">
        <v>44</v>
      </c>
      <c r="G3260" s="7" t="str">
        <f t="array" ref="G3260">IF(ROWS(K$20:K3260)&gt;$F$6,"",INDEX(A$2:A$10000,SMALL(IF(ISNUMBER(MATCH($B$2:$B$10000,$E$6:$E$22,0)),ROW($C$2:$C$10000)-ROW($C$2)+1),ROWS(K$20:K3260))))</f>
        <v/>
      </c>
      <c r="H3260" s="4" t="str">
        <f t="array" ref="H3260">IF(ROWS(L$20:L3260)&gt;$F$6,"",INDEX(B$2:B$10000,SMALL(IF(ISNUMBER(MATCH($B$2:$B$10000,$E$6:$E$22,0)),ROW($C$2:$C$10000)-ROW($C$2)+1),ROWS(L$20:L3260))))</f>
        <v/>
      </c>
      <c r="I3260" s="4" t="str">
        <f t="array" ref="I3260">IF(ROWS(M$20:M3260)&gt;$F$6,"",INDEX(C$2:C$10000,SMALL(IF(ISNUMBER(MATCH($B$2:$B$10000,$E$6:$E$22,0)),ROW($C$2:$C$10000)-ROW($C$2)+1),ROWS(M$20:M3260))))</f>
        <v/>
      </c>
      <c r="K3260" s="7" t="str">
        <f t="array" ref="K3260">IF(ROWS(K$20:K3260)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3260))))</f>
        <v/>
      </c>
      <c r="L3260" s="4" t="str">
        <f t="array" ref="L3260">IF(ROWS(L$20:L3260)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3260))))</f>
        <v/>
      </c>
      <c r="M3260" s="4" t="str">
        <f t="array" ref="M3260">IF(ROWS(M$20:M3260)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3260))))</f>
        <v/>
      </c>
    </row>
    <row r="3261" spans="1:13" x14ac:dyDescent="0.25">
      <c r="A3261" s="3">
        <v>41333</v>
      </c>
      <c r="B3261" s="2" t="s">
        <v>16</v>
      </c>
      <c r="C3261" s="2">
        <v>39</v>
      </c>
      <c r="G3261" s="7" t="str">
        <f t="array" ref="G3261">IF(ROWS(K$20:K3261)&gt;$F$6,"",INDEX(A$2:A$10000,SMALL(IF(ISNUMBER(MATCH($B$2:$B$10000,$E$6:$E$22,0)),ROW($C$2:$C$10000)-ROW($C$2)+1),ROWS(K$20:K3261))))</f>
        <v/>
      </c>
      <c r="H3261" s="4" t="str">
        <f t="array" ref="H3261">IF(ROWS(L$20:L3261)&gt;$F$6,"",INDEX(B$2:B$10000,SMALL(IF(ISNUMBER(MATCH($B$2:$B$10000,$E$6:$E$22,0)),ROW($C$2:$C$10000)-ROW($C$2)+1),ROWS(L$20:L3261))))</f>
        <v/>
      </c>
      <c r="I3261" s="4" t="str">
        <f t="array" ref="I3261">IF(ROWS(M$20:M3261)&gt;$F$6,"",INDEX(C$2:C$10000,SMALL(IF(ISNUMBER(MATCH($B$2:$B$10000,$E$6:$E$22,0)),ROW($C$2:$C$10000)-ROW($C$2)+1),ROWS(M$20:M3261))))</f>
        <v/>
      </c>
      <c r="K3261" s="7" t="str">
        <f t="array" ref="K3261">IF(ROWS(K$20:K3261)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3261))))</f>
        <v/>
      </c>
      <c r="L3261" s="4" t="str">
        <f t="array" ref="L3261">IF(ROWS(L$20:L3261)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3261))))</f>
        <v/>
      </c>
      <c r="M3261" s="4" t="str">
        <f t="array" ref="M3261">IF(ROWS(M$20:M3261)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3261))))</f>
        <v/>
      </c>
    </row>
    <row r="3262" spans="1:13" x14ac:dyDescent="0.25">
      <c r="A3262" s="3">
        <v>41283</v>
      </c>
      <c r="B3262" s="2" t="s">
        <v>16</v>
      </c>
      <c r="C3262" s="2">
        <v>25</v>
      </c>
      <c r="G3262" s="7" t="str">
        <f t="array" ref="G3262">IF(ROWS(K$20:K3262)&gt;$F$6,"",INDEX(A$2:A$10000,SMALL(IF(ISNUMBER(MATCH($B$2:$B$10000,$E$6:$E$22,0)),ROW($C$2:$C$10000)-ROW($C$2)+1),ROWS(K$20:K3262))))</f>
        <v/>
      </c>
      <c r="H3262" s="4" t="str">
        <f t="array" ref="H3262">IF(ROWS(L$20:L3262)&gt;$F$6,"",INDEX(B$2:B$10000,SMALL(IF(ISNUMBER(MATCH($B$2:$B$10000,$E$6:$E$22,0)),ROW($C$2:$C$10000)-ROW($C$2)+1),ROWS(L$20:L3262))))</f>
        <v/>
      </c>
      <c r="I3262" s="4" t="str">
        <f t="array" ref="I3262">IF(ROWS(M$20:M3262)&gt;$F$6,"",INDEX(C$2:C$10000,SMALL(IF(ISNUMBER(MATCH($B$2:$B$10000,$E$6:$E$22,0)),ROW($C$2:$C$10000)-ROW($C$2)+1),ROWS(M$20:M3262))))</f>
        <v/>
      </c>
      <c r="K3262" s="7" t="str">
        <f t="array" ref="K3262">IF(ROWS(K$20:K3262)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3262))))</f>
        <v/>
      </c>
      <c r="L3262" s="4" t="str">
        <f t="array" ref="L3262">IF(ROWS(L$20:L3262)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3262))))</f>
        <v/>
      </c>
      <c r="M3262" s="4" t="str">
        <f t="array" ref="M3262">IF(ROWS(M$20:M3262)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3262))))</f>
        <v/>
      </c>
    </row>
    <row r="3263" spans="1:13" x14ac:dyDescent="0.25">
      <c r="A3263" s="3">
        <v>41820</v>
      </c>
      <c r="B3263" s="2" t="s">
        <v>41</v>
      </c>
      <c r="C3263" s="2">
        <v>41</v>
      </c>
      <c r="G3263" s="7" t="str">
        <f t="array" ref="G3263">IF(ROWS(K$20:K3263)&gt;$F$6,"",INDEX(A$2:A$10000,SMALL(IF(ISNUMBER(MATCH($B$2:$B$10000,$E$6:$E$22,0)),ROW($C$2:$C$10000)-ROW($C$2)+1),ROWS(K$20:K3263))))</f>
        <v/>
      </c>
      <c r="H3263" s="4" t="str">
        <f t="array" ref="H3263">IF(ROWS(L$20:L3263)&gt;$F$6,"",INDEX(B$2:B$10000,SMALL(IF(ISNUMBER(MATCH($B$2:$B$10000,$E$6:$E$22,0)),ROW($C$2:$C$10000)-ROW($C$2)+1),ROWS(L$20:L3263))))</f>
        <v/>
      </c>
      <c r="I3263" s="4" t="str">
        <f t="array" ref="I3263">IF(ROWS(M$20:M3263)&gt;$F$6,"",INDEX(C$2:C$10000,SMALL(IF(ISNUMBER(MATCH($B$2:$B$10000,$E$6:$E$22,0)),ROW($C$2:$C$10000)-ROW($C$2)+1),ROWS(M$20:M3263))))</f>
        <v/>
      </c>
      <c r="K3263" s="7" t="str">
        <f t="array" ref="K3263">IF(ROWS(K$20:K3263)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3263))))</f>
        <v/>
      </c>
      <c r="L3263" s="4" t="str">
        <f t="array" ref="L3263">IF(ROWS(L$20:L3263)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3263))))</f>
        <v/>
      </c>
      <c r="M3263" s="4" t="str">
        <f t="array" ref="M3263">IF(ROWS(M$20:M3263)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3263))))</f>
        <v/>
      </c>
    </row>
    <row r="3264" spans="1:13" x14ac:dyDescent="0.25">
      <c r="A3264" s="3">
        <v>41757</v>
      </c>
      <c r="B3264" s="2" t="s">
        <v>16</v>
      </c>
      <c r="C3264" s="2">
        <v>43</v>
      </c>
      <c r="G3264" s="7" t="str">
        <f t="array" ref="G3264">IF(ROWS(K$20:K3264)&gt;$F$6,"",INDEX(A$2:A$10000,SMALL(IF(ISNUMBER(MATCH($B$2:$B$10000,$E$6:$E$22,0)),ROW($C$2:$C$10000)-ROW($C$2)+1),ROWS(K$20:K3264))))</f>
        <v/>
      </c>
      <c r="H3264" s="4" t="str">
        <f t="array" ref="H3264">IF(ROWS(L$20:L3264)&gt;$F$6,"",INDEX(B$2:B$10000,SMALL(IF(ISNUMBER(MATCH($B$2:$B$10000,$E$6:$E$22,0)),ROW($C$2:$C$10000)-ROW($C$2)+1),ROWS(L$20:L3264))))</f>
        <v/>
      </c>
      <c r="I3264" s="4" t="str">
        <f t="array" ref="I3264">IF(ROWS(M$20:M3264)&gt;$F$6,"",INDEX(C$2:C$10000,SMALL(IF(ISNUMBER(MATCH($B$2:$B$10000,$E$6:$E$22,0)),ROW($C$2:$C$10000)-ROW($C$2)+1),ROWS(M$20:M3264))))</f>
        <v/>
      </c>
      <c r="K3264" s="7" t="str">
        <f t="array" ref="K3264">IF(ROWS(K$20:K3264)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3264))))</f>
        <v/>
      </c>
      <c r="L3264" s="4" t="str">
        <f t="array" ref="L3264">IF(ROWS(L$20:L3264)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3264))))</f>
        <v/>
      </c>
      <c r="M3264" s="4" t="str">
        <f t="array" ref="M3264">IF(ROWS(M$20:M3264)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3264))))</f>
        <v/>
      </c>
    </row>
    <row r="3265" spans="1:13" x14ac:dyDescent="0.25">
      <c r="A3265" s="3">
        <v>41968</v>
      </c>
      <c r="B3265" s="2" t="s">
        <v>6</v>
      </c>
      <c r="C3265" s="2">
        <v>21</v>
      </c>
      <c r="G3265" s="7" t="str">
        <f t="array" ref="G3265">IF(ROWS(K$20:K3265)&gt;$F$6,"",INDEX(A$2:A$10000,SMALL(IF(ISNUMBER(MATCH($B$2:$B$10000,$E$6:$E$22,0)),ROW($C$2:$C$10000)-ROW($C$2)+1),ROWS(K$20:K3265))))</f>
        <v/>
      </c>
      <c r="H3265" s="4" t="str">
        <f t="array" ref="H3265">IF(ROWS(L$20:L3265)&gt;$F$6,"",INDEX(B$2:B$10000,SMALL(IF(ISNUMBER(MATCH($B$2:$B$10000,$E$6:$E$22,0)),ROW($C$2:$C$10000)-ROW($C$2)+1),ROWS(L$20:L3265))))</f>
        <v/>
      </c>
      <c r="I3265" s="4" t="str">
        <f t="array" ref="I3265">IF(ROWS(M$20:M3265)&gt;$F$6,"",INDEX(C$2:C$10000,SMALL(IF(ISNUMBER(MATCH($B$2:$B$10000,$E$6:$E$22,0)),ROW($C$2:$C$10000)-ROW($C$2)+1),ROWS(M$20:M3265))))</f>
        <v/>
      </c>
      <c r="K3265" s="7" t="str">
        <f t="array" ref="K3265">IF(ROWS(K$20:K3265)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3265))))</f>
        <v/>
      </c>
      <c r="L3265" s="4" t="str">
        <f t="array" ref="L3265">IF(ROWS(L$20:L3265)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3265))))</f>
        <v/>
      </c>
      <c r="M3265" s="4" t="str">
        <f t="array" ref="M3265">IF(ROWS(M$20:M3265)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3265))))</f>
        <v/>
      </c>
    </row>
    <row r="3266" spans="1:13" x14ac:dyDescent="0.25">
      <c r="A3266" s="3">
        <v>41791</v>
      </c>
      <c r="B3266" s="2" t="s">
        <v>5</v>
      </c>
      <c r="C3266" s="2">
        <v>21</v>
      </c>
      <c r="G3266" s="7" t="str">
        <f t="array" ref="G3266">IF(ROWS(K$20:K3266)&gt;$F$6,"",INDEX(A$2:A$10000,SMALL(IF(ISNUMBER(MATCH($B$2:$B$10000,$E$6:$E$22,0)),ROW($C$2:$C$10000)-ROW($C$2)+1),ROWS(K$20:K3266))))</f>
        <v/>
      </c>
      <c r="H3266" s="4" t="str">
        <f t="array" ref="H3266">IF(ROWS(L$20:L3266)&gt;$F$6,"",INDEX(B$2:B$10000,SMALL(IF(ISNUMBER(MATCH($B$2:$B$10000,$E$6:$E$22,0)),ROW($C$2:$C$10000)-ROW($C$2)+1),ROWS(L$20:L3266))))</f>
        <v/>
      </c>
      <c r="I3266" s="4" t="str">
        <f t="array" ref="I3266">IF(ROWS(M$20:M3266)&gt;$F$6,"",INDEX(C$2:C$10000,SMALL(IF(ISNUMBER(MATCH($B$2:$B$10000,$E$6:$E$22,0)),ROW($C$2:$C$10000)-ROW($C$2)+1),ROWS(M$20:M3266))))</f>
        <v/>
      </c>
      <c r="K3266" s="7" t="str">
        <f t="array" ref="K3266">IF(ROWS(K$20:K3266)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3266))))</f>
        <v/>
      </c>
      <c r="L3266" s="4" t="str">
        <f t="array" ref="L3266">IF(ROWS(L$20:L3266)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3266))))</f>
        <v/>
      </c>
      <c r="M3266" s="4" t="str">
        <f t="array" ref="M3266">IF(ROWS(M$20:M3266)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3266))))</f>
        <v/>
      </c>
    </row>
    <row r="3267" spans="1:13" x14ac:dyDescent="0.25">
      <c r="A3267" s="3">
        <v>41423</v>
      </c>
      <c r="B3267" s="2" t="s">
        <v>14</v>
      </c>
      <c r="C3267" s="2">
        <v>45</v>
      </c>
      <c r="G3267" s="7" t="str">
        <f t="array" ref="G3267">IF(ROWS(K$20:K3267)&gt;$F$6,"",INDEX(A$2:A$10000,SMALL(IF(ISNUMBER(MATCH($B$2:$B$10000,$E$6:$E$22,0)),ROW($C$2:$C$10000)-ROW($C$2)+1),ROWS(K$20:K3267))))</f>
        <v/>
      </c>
      <c r="H3267" s="4" t="str">
        <f t="array" ref="H3267">IF(ROWS(L$20:L3267)&gt;$F$6,"",INDEX(B$2:B$10000,SMALL(IF(ISNUMBER(MATCH($B$2:$B$10000,$E$6:$E$22,0)),ROW($C$2:$C$10000)-ROW($C$2)+1),ROWS(L$20:L3267))))</f>
        <v/>
      </c>
      <c r="I3267" s="4" t="str">
        <f t="array" ref="I3267">IF(ROWS(M$20:M3267)&gt;$F$6,"",INDEX(C$2:C$10000,SMALL(IF(ISNUMBER(MATCH($B$2:$B$10000,$E$6:$E$22,0)),ROW($C$2:$C$10000)-ROW($C$2)+1),ROWS(M$20:M3267))))</f>
        <v/>
      </c>
      <c r="K3267" s="7" t="str">
        <f t="array" ref="K3267">IF(ROWS(K$20:K3267)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3267))))</f>
        <v/>
      </c>
      <c r="L3267" s="4" t="str">
        <f t="array" ref="L3267">IF(ROWS(L$20:L3267)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3267))))</f>
        <v/>
      </c>
      <c r="M3267" s="4" t="str">
        <f t="array" ref="M3267">IF(ROWS(M$20:M3267)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3267))))</f>
        <v/>
      </c>
    </row>
    <row r="3268" spans="1:13" x14ac:dyDescent="0.25">
      <c r="A3268" s="3">
        <v>41920</v>
      </c>
      <c r="B3268" s="2" t="s">
        <v>40</v>
      </c>
      <c r="C3268" s="2">
        <v>24</v>
      </c>
      <c r="G3268" s="7" t="str">
        <f t="array" ref="G3268">IF(ROWS(K$20:K3268)&gt;$F$6,"",INDEX(A$2:A$10000,SMALL(IF(ISNUMBER(MATCH($B$2:$B$10000,$E$6:$E$22,0)),ROW($C$2:$C$10000)-ROW($C$2)+1),ROWS(K$20:K3268))))</f>
        <v/>
      </c>
      <c r="H3268" s="4" t="str">
        <f t="array" ref="H3268">IF(ROWS(L$20:L3268)&gt;$F$6,"",INDEX(B$2:B$10000,SMALL(IF(ISNUMBER(MATCH($B$2:$B$10000,$E$6:$E$22,0)),ROW($C$2:$C$10000)-ROW($C$2)+1),ROWS(L$20:L3268))))</f>
        <v/>
      </c>
      <c r="I3268" s="4" t="str">
        <f t="array" ref="I3268">IF(ROWS(M$20:M3268)&gt;$F$6,"",INDEX(C$2:C$10000,SMALL(IF(ISNUMBER(MATCH($B$2:$B$10000,$E$6:$E$22,0)),ROW($C$2:$C$10000)-ROW($C$2)+1),ROWS(M$20:M3268))))</f>
        <v/>
      </c>
      <c r="K3268" s="7" t="str">
        <f t="array" ref="K3268">IF(ROWS(K$20:K3268)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3268))))</f>
        <v/>
      </c>
      <c r="L3268" s="4" t="str">
        <f t="array" ref="L3268">IF(ROWS(L$20:L3268)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3268))))</f>
        <v/>
      </c>
      <c r="M3268" s="4" t="str">
        <f t="array" ref="M3268">IF(ROWS(M$20:M3268)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3268))))</f>
        <v/>
      </c>
    </row>
    <row r="3269" spans="1:13" x14ac:dyDescent="0.25">
      <c r="A3269" s="3">
        <v>41674</v>
      </c>
      <c r="B3269" s="2" t="s">
        <v>20</v>
      </c>
      <c r="C3269" s="2">
        <v>30</v>
      </c>
      <c r="G3269" s="7" t="str">
        <f t="array" ref="G3269">IF(ROWS(K$20:K3269)&gt;$F$6,"",INDEX(A$2:A$10000,SMALL(IF(ISNUMBER(MATCH($B$2:$B$10000,$E$6:$E$22,0)),ROW($C$2:$C$10000)-ROW($C$2)+1),ROWS(K$20:K3269))))</f>
        <v/>
      </c>
      <c r="H3269" s="4" t="str">
        <f t="array" ref="H3269">IF(ROWS(L$20:L3269)&gt;$F$6,"",INDEX(B$2:B$10000,SMALL(IF(ISNUMBER(MATCH($B$2:$B$10000,$E$6:$E$22,0)),ROW($C$2:$C$10000)-ROW($C$2)+1),ROWS(L$20:L3269))))</f>
        <v/>
      </c>
      <c r="I3269" s="4" t="str">
        <f t="array" ref="I3269">IF(ROWS(M$20:M3269)&gt;$F$6,"",INDEX(C$2:C$10000,SMALL(IF(ISNUMBER(MATCH($B$2:$B$10000,$E$6:$E$22,0)),ROW($C$2:$C$10000)-ROW($C$2)+1),ROWS(M$20:M3269))))</f>
        <v/>
      </c>
      <c r="K3269" s="7" t="str">
        <f t="array" ref="K3269">IF(ROWS(K$20:K3269)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3269))))</f>
        <v/>
      </c>
      <c r="L3269" s="4" t="str">
        <f t="array" ref="L3269">IF(ROWS(L$20:L3269)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3269))))</f>
        <v/>
      </c>
      <c r="M3269" s="4" t="str">
        <f t="array" ref="M3269">IF(ROWS(M$20:M3269)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3269))))</f>
        <v/>
      </c>
    </row>
    <row r="3270" spans="1:13" x14ac:dyDescent="0.25">
      <c r="A3270" s="3">
        <v>41417</v>
      </c>
      <c r="B3270" s="2" t="s">
        <v>36</v>
      </c>
      <c r="C3270" s="2">
        <v>29</v>
      </c>
      <c r="G3270" s="7" t="str">
        <f t="array" ref="G3270">IF(ROWS(K$20:K3270)&gt;$F$6,"",INDEX(A$2:A$10000,SMALL(IF(ISNUMBER(MATCH($B$2:$B$10000,$E$6:$E$22,0)),ROW($C$2:$C$10000)-ROW($C$2)+1),ROWS(K$20:K3270))))</f>
        <v/>
      </c>
      <c r="H3270" s="4" t="str">
        <f t="array" ref="H3270">IF(ROWS(L$20:L3270)&gt;$F$6,"",INDEX(B$2:B$10000,SMALL(IF(ISNUMBER(MATCH($B$2:$B$10000,$E$6:$E$22,0)),ROW($C$2:$C$10000)-ROW($C$2)+1),ROWS(L$20:L3270))))</f>
        <v/>
      </c>
      <c r="I3270" s="4" t="str">
        <f t="array" ref="I3270">IF(ROWS(M$20:M3270)&gt;$F$6,"",INDEX(C$2:C$10000,SMALL(IF(ISNUMBER(MATCH($B$2:$B$10000,$E$6:$E$22,0)),ROW($C$2:$C$10000)-ROW($C$2)+1),ROWS(M$20:M3270))))</f>
        <v/>
      </c>
      <c r="K3270" s="7" t="str">
        <f t="array" ref="K3270">IF(ROWS(K$20:K3270)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3270))))</f>
        <v/>
      </c>
      <c r="L3270" s="4" t="str">
        <f t="array" ref="L3270">IF(ROWS(L$20:L3270)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3270))))</f>
        <v/>
      </c>
      <c r="M3270" s="4" t="str">
        <f t="array" ref="M3270">IF(ROWS(M$20:M3270)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3270))))</f>
        <v/>
      </c>
    </row>
    <row r="3271" spans="1:13" x14ac:dyDescent="0.25">
      <c r="A3271" s="3">
        <v>41276</v>
      </c>
      <c r="B3271" s="2" t="s">
        <v>33</v>
      </c>
      <c r="C3271" s="2">
        <v>2</v>
      </c>
      <c r="G3271" s="7" t="str">
        <f t="array" ref="G3271">IF(ROWS(K$20:K3271)&gt;$F$6,"",INDEX(A$2:A$10000,SMALL(IF(ISNUMBER(MATCH($B$2:$B$10000,$E$6:$E$22,0)),ROW($C$2:$C$10000)-ROW($C$2)+1),ROWS(K$20:K3271))))</f>
        <v/>
      </c>
      <c r="H3271" s="4" t="str">
        <f t="array" ref="H3271">IF(ROWS(L$20:L3271)&gt;$F$6,"",INDEX(B$2:B$10000,SMALL(IF(ISNUMBER(MATCH($B$2:$B$10000,$E$6:$E$22,0)),ROW($C$2:$C$10000)-ROW($C$2)+1),ROWS(L$20:L3271))))</f>
        <v/>
      </c>
      <c r="I3271" s="4" t="str">
        <f t="array" ref="I3271">IF(ROWS(M$20:M3271)&gt;$F$6,"",INDEX(C$2:C$10000,SMALL(IF(ISNUMBER(MATCH($B$2:$B$10000,$E$6:$E$22,0)),ROW($C$2:$C$10000)-ROW($C$2)+1),ROWS(M$20:M3271))))</f>
        <v/>
      </c>
      <c r="K3271" s="7" t="str">
        <f t="array" ref="K3271">IF(ROWS(K$20:K3271)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3271))))</f>
        <v/>
      </c>
      <c r="L3271" s="4" t="str">
        <f t="array" ref="L3271">IF(ROWS(L$20:L3271)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3271))))</f>
        <v/>
      </c>
      <c r="M3271" s="4" t="str">
        <f t="array" ref="M3271">IF(ROWS(M$20:M3271)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3271))))</f>
        <v/>
      </c>
    </row>
    <row r="3272" spans="1:13" x14ac:dyDescent="0.25">
      <c r="A3272" s="3">
        <v>41655</v>
      </c>
      <c r="B3272" s="2" t="s">
        <v>3</v>
      </c>
      <c r="C3272" s="2">
        <v>22</v>
      </c>
      <c r="G3272" s="7" t="str">
        <f t="array" ref="G3272">IF(ROWS(K$20:K3272)&gt;$F$6,"",INDEX(A$2:A$10000,SMALL(IF(ISNUMBER(MATCH($B$2:$B$10000,$E$6:$E$22,0)),ROW($C$2:$C$10000)-ROW($C$2)+1),ROWS(K$20:K3272))))</f>
        <v/>
      </c>
      <c r="H3272" s="4" t="str">
        <f t="array" ref="H3272">IF(ROWS(L$20:L3272)&gt;$F$6,"",INDEX(B$2:B$10000,SMALL(IF(ISNUMBER(MATCH($B$2:$B$10000,$E$6:$E$22,0)),ROW($C$2:$C$10000)-ROW($C$2)+1),ROWS(L$20:L3272))))</f>
        <v/>
      </c>
      <c r="I3272" s="4" t="str">
        <f t="array" ref="I3272">IF(ROWS(M$20:M3272)&gt;$F$6,"",INDEX(C$2:C$10000,SMALL(IF(ISNUMBER(MATCH($B$2:$B$10000,$E$6:$E$22,0)),ROW($C$2:$C$10000)-ROW($C$2)+1),ROWS(M$20:M3272))))</f>
        <v/>
      </c>
      <c r="K3272" s="7" t="str">
        <f t="array" ref="K3272">IF(ROWS(K$20:K3272)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3272))))</f>
        <v/>
      </c>
      <c r="L3272" s="4" t="str">
        <f t="array" ref="L3272">IF(ROWS(L$20:L3272)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3272))))</f>
        <v/>
      </c>
      <c r="M3272" s="4" t="str">
        <f t="array" ref="M3272">IF(ROWS(M$20:M3272)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3272))))</f>
        <v/>
      </c>
    </row>
    <row r="3273" spans="1:13" x14ac:dyDescent="0.25">
      <c r="A3273" s="3">
        <v>41964</v>
      </c>
      <c r="B3273" s="2" t="s">
        <v>51</v>
      </c>
      <c r="C3273" s="2">
        <v>39</v>
      </c>
      <c r="G3273" s="7" t="str">
        <f t="array" ref="G3273">IF(ROWS(K$20:K3273)&gt;$F$6,"",INDEX(A$2:A$10000,SMALL(IF(ISNUMBER(MATCH($B$2:$B$10000,$E$6:$E$22,0)),ROW($C$2:$C$10000)-ROW($C$2)+1),ROWS(K$20:K3273))))</f>
        <v/>
      </c>
      <c r="H3273" s="4" t="str">
        <f t="array" ref="H3273">IF(ROWS(L$20:L3273)&gt;$F$6,"",INDEX(B$2:B$10000,SMALL(IF(ISNUMBER(MATCH($B$2:$B$10000,$E$6:$E$22,0)),ROW($C$2:$C$10000)-ROW($C$2)+1),ROWS(L$20:L3273))))</f>
        <v/>
      </c>
      <c r="I3273" s="4" t="str">
        <f t="array" ref="I3273">IF(ROWS(M$20:M3273)&gt;$F$6,"",INDEX(C$2:C$10000,SMALL(IF(ISNUMBER(MATCH($B$2:$B$10000,$E$6:$E$22,0)),ROW($C$2:$C$10000)-ROW($C$2)+1),ROWS(M$20:M3273))))</f>
        <v/>
      </c>
      <c r="K3273" s="7" t="str">
        <f t="array" ref="K3273">IF(ROWS(K$20:K3273)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3273))))</f>
        <v/>
      </c>
      <c r="L3273" s="4" t="str">
        <f t="array" ref="L3273">IF(ROWS(L$20:L3273)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3273))))</f>
        <v/>
      </c>
      <c r="M3273" s="4" t="str">
        <f t="array" ref="M3273">IF(ROWS(M$20:M3273)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3273))))</f>
        <v/>
      </c>
    </row>
    <row r="3274" spans="1:13" x14ac:dyDescent="0.25">
      <c r="A3274" s="3">
        <v>41577</v>
      </c>
      <c r="B3274" s="2" t="s">
        <v>26</v>
      </c>
      <c r="C3274" s="2">
        <v>27</v>
      </c>
      <c r="G3274" s="7" t="str">
        <f t="array" ref="G3274">IF(ROWS(K$20:K3274)&gt;$F$6,"",INDEX(A$2:A$10000,SMALL(IF(ISNUMBER(MATCH($B$2:$B$10000,$E$6:$E$22,0)),ROW($C$2:$C$10000)-ROW($C$2)+1),ROWS(K$20:K3274))))</f>
        <v/>
      </c>
      <c r="H3274" s="4" t="str">
        <f t="array" ref="H3274">IF(ROWS(L$20:L3274)&gt;$F$6,"",INDEX(B$2:B$10000,SMALL(IF(ISNUMBER(MATCH($B$2:$B$10000,$E$6:$E$22,0)),ROW($C$2:$C$10000)-ROW($C$2)+1),ROWS(L$20:L3274))))</f>
        <v/>
      </c>
      <c r="I3274" s="4" t="str">
        <f t="array" ref="I3274">IF(ROWS(M$20:M3274)&gt;$F$6,"",INDEX(C$2:C$10000,SMALL(IF(ISNUMBER(MATCH($B$2:$B$10000,$E$6:$E$22,0)),ROW($C$2:$C$10000)-ROW($C$2)+1),ROWS(M$20:M3274))))</f>
        <v/>
      </c>
      <c r="K3274" s="7" t="str">
        <f t="array" ref="K3274">IF(ROWS(K$20:K3274)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3274))))</f>
        <v/>
      </c>
      <c r="L3274" s="4" t="str">
        <f t="array" ref="L3274">IF(ROWS(L$20:L3274)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3274))))</f>
        <v/>
      </c>
      <c r="M3274" s="4" t="str">
        <f t="array" ref="M3274">IF(ROWS(M$20:M3274)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3274))))</f>
        <v/>
      </c>
    </row>
    <row r="3275" spans="1:13" x14ac:dyDescent="0.25">
      <c r="A3275" s="3">
        <v>41820</v>
      </c>
      <c r="B3275" s="2" t="s">
        <v>24</v>
      </c>
      <c r="C3275" s="2">
        <v>29</v>
      </c>
      <c r="G3275" s="7" t="str">
        <f t="array" ref="G3275">IF(ROWS(K$20:K3275)&gt;$F$6,"",INDEX(A$2:A$10000,SMALL(IF(ISNUMBER(MATCH($B$2:$B$10000,$E$6:$E$22,0)),ROW($C$2:$C$10000)-ROW($C$2)+1),ROWS(K$20:K3275))))</f>
        <v/>
      </c>
      <c r="H3275" s="4" t="str">
        <f t="array" ref="H3275">IF(ROWS(L$20:L3275)&gt;$F$6,"",INDEX(B$2:B$10000,SMALL(IF(ISNUMBER(MATCH($B$2:$B$10000,$E$6:$E$22,0)),ROW($C$2:$C$10000)-ROW($C$2)+1),ROWS(L$20:L3275))))</f>
        <v/>
      </c>
      <c r="I3275" s="4" t="str">
        <f t="array" ref="I3275">IF(ROWS(M$20:M3275)&gt;$F$6,"",INDEX(C$2:C$10000,SMALL(IF(ISNUMBER(MATCH($B$2:$B$10000,$E$6:$E$22,0)),ROW($C$2:$C$10000)-ROW($C$2)+1),ROWS(M$20:M3275))))</f>
        <v/>
      </c>
      <c r="K3275" s="7" t="str">
        <f t="array" ref="K3275">IF(ROWS(K$20:K3275)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3275))))</f>
        <v/>
      </c>
      <c r="L3275" s="4" t="str">
        <f t="array" ref="L3275">IF(ROWS(L$20:L3275)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3275))))</f>
        <v/>
      </c>
      <c r="M3275" s="4" t="str">
        <f t="array" ref="M3275">IF(ROWS(M$20:M3275)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3275))))</f>
        <v/>
      </c>
    </row>
    <row r="3276" spans="1:13" x14ac:dyDescent="0.25">
      <c r="A3276" s="3">
        <v>41285</v>
      </c>
      <c r="B3276" s="2" t="s">
        <v>12</v>
      </c>
      <c r="C3276" s="2">
        <v>8</v>
      </c>
      <c r="G3276" s="7" t="str">
        <f t="array" ref="G3276">IF(ROWS(K$20:K3276)&gt;$F$6,"",INDEX(A$2:A$10000,SMALL(IF(ISNUMBER(MATCH($B$2:$B$10000,$E$6:$E$22,0)),ROW($C$2:$C$10000)-ROW($C$2)+1),ROWS(K$20:K3276))))</f>
        <v/>
      </c>
      <c r="H3276" s="4" t="str">
        <f t="array" ref="H3276">IF(ROWS(L$20:L3276)&gt;$F$6,"",INDEX(B$2:B$10000,SMALL(IF(ISNUMBER(MATCH($B$2:$B$10000,$E$6:$E$22,0)),ROW($C$2:$C$10000)-ROW($C$2)+1),ROWS(L$20:L3276))))</f>
        <v/>
      </c>
      <c r="I3276" s="4" t="str">
        <f t="array" ref="I3276">IF(ROWS(M$20:M3276)&gt;$F$6,"",INDEX(C$2:C$10000,SMALL(IF(ISNUMBER(MATCH($B$2:$B$10000,$E$6:$E$22,0)),ROW($C$2:$C$10000)-ROW($C$2)+1),ROWS(M$20:M3276))))</f>
        <v/>
      </c>
      <c r="K3276" s="7" t="str">
        <f t="array" ref="K3276">IF(ROWS(K$20:K3276)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3276))))</f>
        <v/>
      </c>
      <c r="L3276" s="4" t="str">
        <f t="array" ref="L3276">IF(ROWS(L$20:L3276)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3276))))</f>
        <v/>
      </c>
      <c r="M3276" s="4" t="str">
        <f t="array" ref="M3276">IF(ROWS(M$20:M3276)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3276))))</f>
        <v/>
      </c>
    </row>
    <row r="3277" spans="1:13" x14ac:dyDescent="0.25">
      <c r="A3277" s="3">
        <v>41846</v>
      </c>
      <c r="B3277" s="2" t="s">
        <v>45</v>
      </c>
      <c r="C3277" s="2">
        <v>38</v>
      </c>
      <c r="G3277" s="7" t="str">
        <f t="array" ref="G3277">IF(ROWS(K$20:K3277)&gt;$F$6,"",INDEX(A$2:A$10000,SMALL(IF(ISNUMBER(MATCH($B$2:$B$10000,$E$6:$E$22,0)),ROW($C$2:$C$10000)-ROW($C$2)+1),ROWS(K$20:K3277))))</f>
        <v/>
      </c>
      <c r="H3277" s="4" t="str">
        <f t="array" ref="H3277">IF(ROWS(L$20:L3277)&gt;$F$6,"",INDEX(B$2:B$10000,SMALL(IF(ISNUMBER(MATCH($B$2:$B$10000,$E$6:$E$22,0)),ROW($C$2:$C$10000)-ROW($C$2)+1),ROWS(L$20:L3277))))</f>
        <v/>
      </c>
      <c r="I3277" s="4" t="str">
        <f t="array" ref="I3277">IF(ROWS(M$20:M3277)&gt;$F$6,"",INDEX(C$2:C$10000,SMALL(IF(ISNUMBER(MATCH($B$2:$B$10000,$E$6:$E$22,0)),ROW($C$2:$C$10000)-ROW($C$2)+1),ROWS(M$20:M3277))))</f>
        <v/>
      </c>
      <c r="K3277" s="7" t="str">
        <f t="array" ref="K3277">IF(ROWS(K$20:K3277)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3277))))</f>
        <v/>
      </c>
      <c r="L3277" s="4" t="str">
        <f t="array" ref="L3277">IF(ROWS(L$20:L3277)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3277))))</f>
        <v/>
      </c>
      <c r="M3277" s="4" t="str">
        <f t="array" ref="M3277">IF(ROWS(M$20:M3277)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3277))))</f>
        <v/>
      </c>
    </row>
    <row r="3278" spans="1:13" x14ac:dyDescent="0.25">
      <c r="A3278" s="3">
        <v>41767</v>
      </c>
      <c r="B3278" s="2" t="s">
        <v>27</v>
      </c>
      <c r="C3278" s="2">
        <v>23</v>
      </c>
      <c r="G3278" s="7" t="str">
        <f t="array" ref="G3278">IF(ROWS(K$20:K3278)&gt;$F$6,"",INDEX(A$2:A$10000,SMALL(IF(ISNUMBER(MATCH($B$2:$B$10000,$E$6:$E$22,0)),ROW($C$2:$C$10000)-ROW($C$2)+1),ROWS(K$20:K3278))))</f>
        <v/>
      </c>
      <c r="H3278" s="4" t="str">
        <f t="array" ref="H3278">IF(ROWS(L$20:L3278)&gt;$F$6,"",INDEX(B$2:B$10000,SMALL(IF(ISNUMBER(MATCH($B$2:$B$10000,$E$6:$E$22,0)),ROW($C$2:$C$10000)-ROW($C$2)+1),ROWS(L$20:L3278))))</f>
        <v/>
      </c>
      <c r="I3278" s="4" t="str">
        <f t="array" ref="I3278">IF(ROWS(M$20:M3278)&gt;$F$6,"",INDEX(C$2:C$10000,SMALL(IF(ISNUMBER(MATCH($B$2:$B$10000,$E$6:$E$22,0)),ROW($C$2:$C$10000)-ROW($C$2)+1),ROWS(M$20:M3278))))</f>
        <v/>
      </c>
      <c r="K3278" s="7" t="str">
        <f t="array" ref="K3278">IF(ROWS(K$20:K3278)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3278))))</f>
        <v/>
      </c>
      <c r="L3278" s="4" t="str">
        <f t="array" ref="L3278">IF(ROWS(L$20:L3278)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3278))))</f>
        <v/>
      </c>
      <c r="M3278" s="4" t="str">
        <f t="array" ref="M3278">IF(ROWS(M$20:M3278)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3278))))</f>
        <v/>
      </c>
    </row>
    <row r="3279" spans="1:13" x14ac:dyDescent="0.25">
      <c r="A3279" s="3">
        <v>41794</v>
      </c>
      <c r="B3279" s="2" t="s">
        <v>45</v>
      </c>
      <c r="C3279" s="2">
        <v>4</v>
      </c>
      <c r="G3279" s="7" t="str">
        <f t="array" ref="G3279">IF(ROWS(K$20:K3279)&gt;$F$6,"",INDEX(A$2:A$10000,SMALL(IF(ISNUMBER(MATCH($B$2:$B$10000,$E$6:$E$22,0)),ROW($C$2:$C$10000)-ROW($C$2)+1),ROWS(K$20:K3279))))</f>
        <v/>
      </c>
      <c r="H3279" s="4" t="str">
        <f t="array" ref="H3279">IF(ROWS(L$20:L3279)&gt;$F$6,"",INDEX(B$2:B$10000,SMALL(IF(ISNUMBER(MATCH($B$2:$B$10000,$E$6:$E$22,0)),ROW($C$2:$C$10000)-ROW($C$2)+1),ROWS(L$20:L3279))))</f>
        <v/>
      </c>
      <c r="I3279" s="4" t="str">
        <f t="array" ref="I3279">IF(ROWS(M$20:M3279)&gt;$F$6,"",INDEX(C$2:C$10000,SMALL(IF(ISNUMBER(MATCH($B$2:$B$10000,$E$6:$E$22,0)),ROW($C$2:$C$10000)-ROW($C$2)+1),ROWS(M$20:M3279))))</f>
        <v/>
      </c>
      <c r="K3279" s="7" t="str">
        <f t="array" ref="K3279">IF(ROWS(K$20:K3279)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3279))))</f>
        <v/>
      </c>
      <c r="L3279" s="4" t="str">
        <f t="array" ref="L3279">IF(ROWS(L$20:L3279)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3279))))</f>
        <v/>
      </c>
      <c r="M3279" s="4" t="str">
        <f t="array" ref="M3279">IF(ROWS(M$20:M3279)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3279))))</f>
        <v/>
      </c>
    </row>
    <row r="3280" spans="1:13" x14ac:dyDescent="0.25">
      <c r="A3280" s="3">
        <v>41857</v>
      </c>
      <c r="B3280" s="2" t="s">
        <v>24</v>
      </c>
      <c r="C3280" s="2">
        <v>12</v>
      </c>
      <c r="G3280" s="7" t="str">
        <f t="array" ref="G3280">IF(ROWS(K$20:K3280)&gt;$F$6,"",INDEX(A$2:A$10000,SMALL(IF(ISNUMBER(MATCH($B$2:$B$10000,$E$6:$E$22,0)),ROW($C$2:$C$10000)-ROW($C$2)+1),ROWS(K$20:K3280))))</f>
        <v/>
      </c>
      <c r="H3280" s="4" t="str">
        <f t="array" ref="H3280">IF(ROWS(L$20:L3280)&gt;$F$6,"",INDEX(B$2:B$10000,SMALL(IF(ISNUMBER(MATCH($B$2:$B$10000,$E$6:$E$22,0)),ROW($C$2:$C$10000)-ROW($C$2)+1),ROWS(L$20:L3280))))</f>
        <v/>
      </c>
      <c r="I3280" s="4" t="str">
        <f t="array" ref="I3280">IF(ROWS(M$20:M3280)&gt;$F$6,"",INDEX(C$2:C$10000,SMALL(IF(ISNUMBER(MATCH($B$2:$B$10000,$E$6:$E$22,0)),ROW($C$2:$C$10000)-ROW($C$2)+1),ROWS(M$20:M3280))))</f>
        <v/>
      </c>
      <c r="K3280" s="7" t="str">
        <f t="array" ref="K3280">IF(ROWS(K$20:K3280)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3280))))</f>
        <v/>
      </c>
      <c r="L3280" s="4" t="str">
        <f t="array" ref="L3280">IF(ROWS(L$20:L3280)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3280))))</f>
        <v/>
      </c>
      <c r="M3280" s="4" t="str">
        <f t="array" ref="M3280">IF(ROWS(M$20:M3280)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3280))))</f>
        <v/>
      </c>
    </row>
    <row r="3281" spans="1:13" x14ac:dyDescent="0.25">
      <c r="A3281" s="3">
        <v>41586</v>
      </c>
      <c r="B3281" s="2" t="s">
        <v>36</v>
      </c>
      <c r="C3281" s="2">
        <v>27</v>
      </c>
      <c r="G3281" s="7" t="str">
        <f t="array" ref="G3281">IF(ROWS(K$20:K3281)&gt;$F$6,"",INDEX(A$2:A$10000,SMALL(IF(ISNUMBER(MATCH($B$2:$B$10000,$E$6:$E$22,0)),ROW($C$2:$C$10000)-ROW($C$2)+1),ROWS(K$20:K3281))))</f>
        <v/>
      </c>
      <c r="H3281" s="4" t="str">
        <f t="array" ref="H3281">IF(ROWS(L$20:L3281)&gt;$F$6,"",INDEX(B$2:B$10000,SMALL(IF(ISNUMBER(MATCH($B$2:$B$10000,$E$6:$E$22,0)),ROW($C$2:$C$10000)-ROW($C$2)+1),ROWS(L$20:L3281))))</f>
        <v/>
      </c>
      <c r="I3281" s="4" t="str">
        <f t="array" ref="I3281">IF(ROWS(M$20:M3281)&gt;$F$6,"",INDEX(C$2:C$10000,SMALL(IF(ISNUMBER(MATCH($B$2:$B$10000,$E$6:$E$22,0)),ROW($C$2:$C$10000)-ROW($C$2)+1),ROWS(M$20:M3281))))</f>
        <v/>
      </c>
      <c r="K3281" s="7" t="str">
        <f t="array" ref="K3281">IF(ROWS(K$20:K3281)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3281))))</f>
        <v/>
      </c>
      <c r="L3281" s="4" t="str">
        <f t="array" ref="L3281">IF(ROWS(L$20:L3281)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3281))))</f>
        <v/>
      </c>
      <c r="M3281" s="4" t="str">
        <f t="array" ref="M3281">IF(ROWS(M$20:M3281)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3281))))</f>
        <v/>
      </c>
    </row>
    <row r="3282" spans="1:13" x14ac:dyDescent="0.25">
      <c r="A3282" s="3">
        <v>41537</v>
      </c>
      <c r="B3282" s="2" t="s">
        <v>41</v>
      </c>
      <c r="C3282" s="2">
        <v>2</v>
      </c>
      <c r="G3282" s="7" t="str">
        <f t="array" ref="G3282">IF(ROWS(K$20:K3282)&gt;$F$6,"",INDEX(A$2:A$10000,SMALL(IF(ISNUMBER(MATCH($B$2:$B$10000,$E$6:$E$22,0)),ROW($C$2:$C$10000)-ROW($C$2)+1),ROWS(K$20:K3282))))</f>
        <v/>
      </c>
      <c r="H3282" s="4" t="str">
        <f t="array" ref="H3282">IF(ROWS(L$20:L3282)&gt;$F$6,"",INDEX(B$2:B$10000,SMALL(IF(ISNUMBER(MATCH($B$2:$B$10000,$E$6:$E$22,0)),ROW($C$2:$C$10000)-ROW($C$2)+1),ROWS(L$20:L3282))))</f>
        <v/>
      </c>
      <c r="I3282" s="4" t="str">
        <f t="array" ref="I3282">IF(ROWS(M$20:M3282)&gt;$F$6,"",INDEX(C$2:C$10000,SMALL(IF(ISNUMBER(MATCH($B$2:$B$10000,$E$6:$E$22,0)),ROW($C$2:$C$10000)-ROW($C$2)+1),ROWS(M$20:M3282))))</f>
        <v/>
      </c>
      <c r="K3282" s="7" t="str">
        <f t="array" ref="K3282">IF(ROWS(K$20:K3282)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3282))))</f>
        <v/>
      </c>
      <c r="L3282" s="4" t="str">
        <f t="array" ref="L3282">IF(ROWS(L$20:L3282)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3282))))</f>
        <v/>
      </c>
      <c r="M3282" s="4" t="str">
        <f t="array" ref="M3282">IF(ROWS(M$20:M3282)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3282))))</f>
        <v/>
      </c>
    </row>
    <row r="3283" spans="1:13" x14ac:dyDescent="0.25">
      <c r="A3283" s="3">
        <v>41557</v>
      </c>
      <c r="B3283" s="2" t="s">
        <v>24</v>
      </c>
      <c r="C3283" s="2">
        <v>33</v>
      </c>
      <c r="G3283" s="7" t="str">
        <f t="array" ref="G3283">IF(ROWS(K$20:K3283)&gt;$F$6,"",INDEX(A$2:A$10000,SMALL(IF(ISNUMBER(MATCH($B$2:$B$10000,$E$6:$E$22,0)),ROW($C$2:$C$10000)-ROW($C$2)+1),ROWS(K$20:K3283))))</f>
        <v/>
      </c>
      <c r="H3283" s="4" t="str">
        <f t="array" ref="H3283">IF(ROWS(L$20:L3283)&gt;$F$6,"",INDEX(B$2:B$10000,SMALL(IF(ISNUMBER(MATCH($B$2:$B$10000,$E$6:$E$22,0)),ROW($C$2:$C$10000)-ROW($C$2)+1),ROWS(L$20:L3283))))</f>
        <v/>
      </c>
      <c r="I3283" s="4" t="str">
        <f t="array" ref="I3283">IF(ROWS(M$20:M3283)&gt;$F$6,"",INDEX(C$2:C$10000,SMALL(IF(ISNUMBER(MATCH($B$2:$B$10000,$E$6:$E$22,0)),ROW($C$2:$C$10000)-ROW($C$2)+1),ROWS(M$20:M3283))))</f>
        <v/>
      </c>
      <c r="K3283" s="7" t="str">
        <f t="array" ref="K3283">IF(ROWS(K$20:K3283)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3283))))</f>
        <v/>
      </c>
      <c r="L3283" s="4" t="str">
        <f t="array" ref="L3283">IF(ROWS(L$20:L3283)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3283))))</f>
        <v/>
      </c>
      <c r="M3283" s="4" t="str">
        <f t="array" ref="M3283">IF(ROWS(M$20:M3283)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3283))))</f>
        <v/>
      </c>
    </row>
    <row r="3284" spans="1:13" x14ac:dyDescent="0.25">
      <c r="A3284" s="3">
        <v>41575</v>
      </c>
      <c r="B3284" s="2" t="s">
        <v>4</v>
      </c>
      <c r="C3284" s="2">
        <v>2</v>
      </c>
      <c r="G3284" s="7" t="str">
        <f t="array" ref="G3284">IF(ROWS(K$20:K3284)&gt;$F$6,"",INDEX(A$2:A$10000,SMALL(IF(ISNUMBER(MATCH($B$2:$B$10000,$E$6:$E$22,0)),ROW($C$2:$C$10000)-ROW($C$2)+1),ROWS(K$20:K3284))))</f>
        <v/>
      </c>
      <c r="H3284" s="4" t="str">
        <f t="array" ref="H3284">IF(ROWS(L$20:L3284)&gt;$F$6,"",INDEX(B$2:B$10000,SMALL(IF(ISNUMBER(MATCH($B$2:$B$10000,$E$6:$E$22,0)),ROW($C$2:$C$10000)-ROW($C$2)+1),ROWS(L$20:L3284))))</f>
        <v/>
      </c>
      <c r="I3284" s="4" t="str">
        <f t="array" ref="I3284">IF(ROWS(M$20:M3284)&gt;$F$6,"",INDEX(C$2:C$10000,SMALL(IF(ISNUMBER(MATCH($B$2:$B$10000,$E$6:$E$22,0)),ROW($C$2:$C$10000)-ROW($C$2)+1),ROWS(M$20:M3284))))</f>
        <v/>
      </c>
      <c r="K3284" s="7" t="str">
        <f t="array" ref="K3284">IF(ROWS(K$20:K3284)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3284))))</f>
        <v/>
      </c>
      <c r="L3284" s="4" t="str">
        <f t="array" ref="L3284">IF(ROWS(L$20:L3284)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3284))))</f>
        <v/>
      </c>
      <c r="M3284" s="4" t="str">
        <f t="array" ref="M3284">IF(ROWS(M$20:M3284)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3284))))</f>
        <v/>
      </c>
    </row>
    <row r="3285" spans="1:13" x14ac:dyDescent="0.25">
      <c r="A3285" s="3">
        <v>41419</v>
      </c>
      <c r="B3285" s="2" t="s">
        <v>20</v>
      </c>
      <c r="C3285" s="2">
        <v>17</v>
      </c>
      <c r="G3285" s="7" t="str">
        <f t="array" ref="G3285">IF(ROWS(K$20:K3285)&gt;$F$6,"",INDEX(A$2:A$10000,SMALL(IF(ISNUMBER(MATCH($B$2:$B$10000,$E$6:$E$22,0)),ROW($C$2:$C$10000)-ROW($C$2)+1),ROWS(K$20:K3285))))</f>
        <v/>
      </c>
      <c r="H3285" s="4" t="str">
        <f t="array" ref="H3285">IF(ROWS(L$20:L3285)&gt;$F$6,"",INDEX(B$2:B$10000,SMALL(IF(ISNUMBER(MATCH($B$2:$B$10000,$E$6:$E$22,0)),ROW($C$2:$C$10000)-ROW($C$2)+1),ROWS(L$20:L3285))))</f>
        <v/>
      </c>
      <c r="I3285" s="4" t="str">
        <f t="array" ref="I3285">IF(ROWS(M$20:M3285)&gt;$F$6,"",INDEX(C$2:C$10000,SMALL(IF(ISNUMBER(MATCH($B$2:$B$10000,$E$6:$E$22,0)),ROW($C$2:$C$10000)-ROW($C$2)+1),ROWS(M$20:M3285))))</f>
        <v/>
      </c>
      <c r="K3285" s="7" t="str">
        <f t="array" ref="K3285">IF(ROWS(K$20:K3285)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3285))))</f>
        <v/>
      </c>
      <c r="L3285" s="4" t="str">
        <f t="array" ref="L3285">IF(ROWS(L$20:L3285)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3285))))</f>
        <v/>
      </c>
      <c r="M3285" s="4" t="str">
        <f t="array" ref="M3285">IF(ROWS(M$20:M3285)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3285))))</f>
        <v/>
      </c>
    </row>
    <row r="3286" spans="1:13" x14ac:dyDescent="0.25">
      <c r="A3286" s="3">
        <v>41368</v>
      </c>
      <c r="B3286" s="2" t="s">
        <v>24</v>
      </c>
      <c r="C3286" s="2">
        <v>44</v>
      </c>
      <c r="G3286" s="7" t="str">
        <f t="array" ref="G3286">IF(ROWS(K$20:K3286)&gt;$F$6,"",INDEX(A$2:A$10000,SMALL(IF(ISNUMBER(MATCH($B$2:$B$10000,$E$6:$E$22,0)),ROW($C$2:$C$10000)-ROW($C$2)+1),ROWS(K$20:K3286))))</f>
        <v/>
      </c>
      <c r="H3286" s="4" t="str">
        <f t="array" ref="H3286">IF(ROWS(L$20:L3286)&gt;$F$6,"",INDEX(B$2:B$10000,SMALL(IF(ISNUMBER(MATCH($B$2:$B$10000,$E$6:$E$22,0)),ROW($C$2:$C$10000)-ROW($C$2)+1),ROWS(L$20:L3286))))</f>
        <v/>
      </c>
      <c r="I3286" s="4" t="str">
        <f t="array" ref="I3286">IF(ROWS(M$20:M3286)&gt;$F$6,"",INDEX(C$2:C$10000,SMALL(IF(ISNUMBER(MATCH($B$2:$B$10000,$E$6:$E$22,0)),ROW($C$2:$C$10000)-ROW($C$2)+1),ROWS(M$20:M3286))))</f>
        <v/>
      </c>
      <c r="K3286" s="7" t="str">
        <f t="array" ref="K3286">IF(ROWS(K$20:K3286)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3286))))</f>
        <v/>
      </c>
      <c r="L3286" s="4" t="str">
        <f t="array" ref="L3286">IF(ROWS(L$20:L3286)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3286))))</f>
        <v/>
      </c>
      <c r="M3286" s="4" t="str">
        <f t="array" ref="M3286">IF(ROWS(M$20:M3286)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3286))))</f>
        <v/>
      </c>
    </row>
    <row r="3287" spans="1:13" x14ac:dyDescent="0.25">
      <c r="A3287" s="3">
        <v>41310</v>
      </c>
      <c r="B3287" s="2" t="s">
        <v>34</v>
      </c>
      <c r="C3287" s="2">
        <v>62</v>
      </c>
      <c r="G3287" s="7" t="str">
        <f t="array" ref="G3287">IF(ROWS(K$20:K3287)&gt;$F$6,"",INDEX(A$2:A$10000,SMALL(IF(ISNUMBER(MATCH($B$2:$B$10000,$E$6:$E$22,0)),ROW($C$2:$C$10000)-ROW($C$2)+1),ROWS(K$20:K3287))))</f>
        <v/>
      </c>
      <c r="H3287" s="4" t="str">
        <f t="array" ref="H3287">IF(ROWS(L$20:L3287)&gt;$F$6,"",INDEX(B$2:B$10000,SMALL(IF(ISNUMBER(MATCH($B$2:$B$10000,$E$6:$E$22,0)),ROW($C$2:$C$10000)-ROW($C$2)+1),ROWS(L$20:L3287))))</f>
        <v/>
      </c>
      <c r="I3287" s="4" t="str">
        <f t="array" ref="I3287">IF(ROWS(M$20:M3287)&gt;$F$6,"",INDEX(C$2:C$10000,SMALL(IF(ISNUMBER(MATCH($B$2:$B$10000,$E$6:$E$22,0)),ROW($C$2:$C$10000)-ROW($C$2)+1),ROWS(M$20:M3287))))</f>
        <v/>
      </c>
      <c r="K3287" s="7" t="str">
        <f t="array" ref="K3287">IF(ROWS(K$20:K3287)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3287))))</f>
        <v/>
      </c>
      <c r="L3287" s="4" t="str">
        <f t="array" ref="L3287">IF(ROWS(L$20:L3287)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3287))))</f>
        <v/>
      </c>
      <c r="M3287" s="4" t="str">
        <f t="array" ref="M3287">IF(ROWS(M$20:M3287)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3287))))</f>
        <v/>
      </c>
    </row>
    <row r="3288" spans="1:13" x14ac:dyDescent="0.25">
      <c r="A3288" s="3">
        <v>41640</v>
      </c>
      <c r="B3288" s="2" t="s">
        <v>14</v>
      </c>
      <c r="C3288" s="2">
        <v>47</v>
      </c>
      <c r="G3288" s="7" t="str">
        <f t="array" ref="G3288">IF(ROWS(K$20:K3288)&gt;$F$6,"",INDEX(A$2:A$10000,SMALL(IF(ISNUMBER(MATCH($B$2:$B$10000,$E$6:$E$22,0)),ROW($C$2:$C$10000)-ROW($C$2)+1),ROWS(K$20:K3288))))</f>
        <v/>
      </c>
      <c r="H3288" s="4" t="str">
        <f t="array" ref="H3288">IF(ROWS(L$20:L3288)&gt;$F$6,"",INDEX(B$2:B$10000,SMALL(IF(ISNUMBER(MATCH($B$2:$B$10000,$E$6:$E$22,0)),ROW($C$2:$C$10000)-ROW($C$2)+1),ROWS(L$20:L3288))))</f>
        <v/>
      </c>
      <c r="I3288" s="4" t="str">
        <f t="array" ref="I3288">IF(ROWS(M$20:M3288)&gt;$F$6,"",INDEX(C$2:C$10000,SMALL(IF(ISNUMBER(MATCH($B$2:$B$10000,$E$6:$E$22,0)),ROW($C$2:$C$10000)-ROW($C$2)+1),ROWS(M$20:M3288))))</f>
        <v/>
      </c>
      <c r="K3288" s="7" t="str">
        <f t="array" ref="K3288">IF(ROWS(K$20:K3288)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3288))))</f>
        <v/>
      </c>
      <c r="L3288" s="4" t="str">
        <f t="array" ref="L3288">IF(ROWS(L$20:L3288)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3288))))</f>
        <v/>
      </c>
      <c r="M3288" s="4" t="str">
        <f t="array" ref="M3288">IF(ROWS(M$20:M3288)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3288))))</f>
        <v/>
      </c>
    </row>
    <row r="3289" spans="1:13" x14ac:dyDescent="0.25">
      <c r="A3289" s="3">
        <v>41700</v>
      </c>
      <c r="B3289" s="2" t="s">
        <v>12</v>
      </c>
      <c r="C3289" s="2">
        <v>30</v>
      </c>
      <c r="G3289" s="7" t="str">
        <f t="array" ref="G3289">IF(ROWS(K$20:K3289)&gt;$F$6,"",INDEX(A$2:A$10000,SMALL(IF(ISNUMBER(MATCH($B$2:$B$10000,$E$6:$E$22,0)),ROW($C$2:$C$10000)-ROW($C$2)+1),ROWS(K$20:K3289))))</f>
        <v/>
      </c>
      <c r="H3289" s="4" t="str">
        <f t="array" ref="H3289">IF(ROWS(L$20:L3289)&gt;$F$6,"",INDEX(B$2:B$10000,SMALL(IF(ISNUMBER(MATCH($B$2:$B$10000,$E$6:$E$22,0)),ROW($C$2:$C$10000)-ROW($C$2)+1),ROWS(L$20:L3289))))</f>
        <v/>
      </c>
      <c r="I3289" s="4" t="str">
        <f t="array" ref="I3289">IF(ROWS(M$20:M3289)&gt;$F$6,"",INDEX(C$2:C$10000,SMALL(IF(ISNUMBER(MATCH($B$2:$B$10000,$E$6:$E$22,0)),ROW($C$2:$C$10000)-ROW($C$2)+1),ROWS(M$20:M3289))))</f>
        <v/>
      </c>
      <c r="K3289" s="7" t="str">
        <f t="array" ref="K3289">IF(ROWS(K$20:K3289)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3289))))</f>
        <v/>
      </c>
      <c r="L3289" s="4" t="str">
        <f t="array" ref="L3289">IF(ROWS(L$20:L3289)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3289))))</f>
        <v/>
      </c>
      <c r="M3289" s="4" t="str">
        <f t="array" ref="M3289">IF(ROWS(M$20:M3289)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3289))))</f>
        <v/>
      </c>
    </row>
    <row r="3290" spans="1:13" x14ac:dyDescent="0.25">
      <c r="A3290" s="3">
        <v>41666</v>
      </c>
      <c r="B3290" s="2" t="s">
        <v>30</v>
      </c>
      <c r="C3290" s="2">
        <v>9</v>
      </c>
      <c r="G3290" s="7" t="str">
        <f t="array" ref="G3290">IF(ROWS(K$20:K3290)&gt;$F$6,"",INDEX(A$2:A$10000,SMALL(IF(ISNUMBER(MATCH($B$2:$B$10000,$E$6:$E$22,0)),ROW($C$2:$C$10000)-ROW($C$2)+1),ROWS(K$20:K3290))))</f>
        <v/>
      </c>
      <c r="H3290" s="4" t="str">
        <f t="array" ref="H3290">IF(ROWS(L$20:L3290)&gt;$F$6,"",INDEX(B$2:B$10000,SMALL(IF(ISNUMBER(MATCH($B$2:$B$10000,$E$6:$E$22,0)),ROW($C$2:$C$10000)-ROW($C$2)+1),ROWS(L$20:L3290))))</f>
        <v/>
      </c>
      <c r="I3290" s="4" t="str">
        <f t="array" ref="I3290">IF(ROWS(M$20:M3290)&gt;$F$6,"",INDEX(C$2:C$10000,SMALL(IF(ISNUMBER(MATCH($B$2:$B$10000,$E$6:$E$22,0)),ROW($C$2:$C$10000)-ROW($C$2)+1),ROWS(M$20:M3290))))</f>
        <v/>
      </c>
      <c r="K3290" s="7" t="str">
        <f t="array" ref="K3290">IF(ROWS(K$20:K3290)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3290))))</f>
        <v/>
      </c>
      <c r="L3290" s="4" t="str">
        <f t="array" ref="L3290">IF(ROWS(L$20:L3290)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3290))))</f>
        <v/>
      </c>
      <c r="M3290" s="4" t="str">
        <f t="array" ref="M3290">IF(ROWS(M$20:M3290)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3290))))</f>
        <v/>
      </c>
    </row>
    <row r="3291" spans="1:13" x14ac:dyDescent="0.25">
      <c r="A3291" s="3">
        <v>41429</v>
      </c>
      <c r="B3291" s="2" t="s">
        <v>11</v>
      </c>
      <c r="C3291" s="2">
        <v>5</v>
      </c>
      <c r="G3291" s="7" t="str">
        <f t="array" ref="G3291">IF(ROWS(K$20:K3291)&gt;$F$6,"",INDEX(A$2:A$10000,SMALL(IF(ISNUMBER(MATCH($B$2:$B$10000,$E$6:$E$22,0)),ROW($C$2:$C$10000)-ROW($C$2)+1),ROWS(K$20:K3291))))</f>
        <v/>
      </c>
      <c r="H3291" s="4" t="str">
        <f t="array" ref="H3291">IF(ROWS(L$20:L3291)&gt;$F$6,"",INDEX(B$2:B$10000,SMALL(IF(ISNUMBER(MATCH($B$2:$B$10000,$E$6:$E$22,0)),ROW($C$2:$C$10000)-ROW($C$2)+1),ROWS(L$20:L3291))))</f>
        <v/>
      </c>
      <c r="I3291" s="4" t="str">
        <f t="array" ref="I3291">IF(ROWS(M$20:M3291)&gt;$F$6,"",INDEX(C$2:C$10000,SMALL(IF(ISNUMBER(MATCH($B$2:$B$10000,$E$6:$E$22,0)),ROW($C$2:$C$10000)-ROW($C$2)+1),ROWS(M$20:M3291))))</f>
        <v/>
      </c>
      <c r="K3291" s="7" t="str">
        <f t="array" ref="K3291">IF(ROWS(K$20:K3291)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3291))))</f>
        <v/>
      </c>
      <c r="L3291" s="4" t="str">
        <f t="array" ref="L3291">IF(ROWS(L$20:L3291)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3291))))</f>
        <v/>
      </c>
      <c r="M3291" s="4" t="str">
        <f t="array" ref="M3291">IF(ROWS(M$20:M3291)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3291))))</f>
        <v/>
      </c>
    </row>
    <row r="3292" spans="1:13" x14ac:dyDescent="0.25">
      <c r="A3292" s="3">
        <v>41925</v>
      </c>
      <c r="B3292" s="2" t="s">
        <v>41</v>
      </c>
      <c r="C3292" s="2">
        <v>31</v>
      </c>
      <c r="G3292" s="7" t="str">
        <f t="array" ref="G3292">IF(ROWS(K$20:K3292)&gt;$F$6,"",INDEX(A$2:A$10000,SMALL(IF(ISNUMBER(MATCH($B$2:$B$10000,$E$6:$E$22,0)),ROW($C$2:$C$10000)-ROW($C$2)+1),ROWS(K$20:K3292))))</f>
        <v/>
      </c>
      <c r="H3292" s="4" t="str">
        <f t="array" ref="H3292">IF(ROWS(L$20:L3292)&gt;$F$6,"",INDEX(B$2:B$10000,SMALL(IF(ISNUMBER(MATCH($B$2:$B$10000,$E$6:$E$22,0)),ROW($C$2:$C$10000)-ROW($C$2)+1),ROWS(L$20:L3292))))</f>
        <v/>
      </c>
      <c r="I3292" s="4" t="str">
        <f t="array" ref="I3292">IF(ROWS(M$20:M3292)&gt;$F$6,"",INDEX(C$2:C$10000,SMALL(IF(ISNUMBER(MATCH($B$2:$B$10000,$E$6:$E$22,0)),ROW($C$2:$C$10000)-ROW($C$2)+1),ROWS(M$20:M3292))))</f>
        <v/>
      </c>
      <c r="K3292" s="7" t="str">
        <f t="array" ref="K3292">IF(ROWS(K$20:K3292)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3292))))</f>
        <v/>
      </c>
      <c r="L3292" s="4" t="str">
        <f t="array" ref="L3292">IF(ROWS(L$20:L3292)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3292))))</f>
        <v/>
      </c>
      <c r="M3292" s="4" t="str">
        <f t="array" ref="M3292">IF(ROWS(M$20:M3292)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3292))))</f>
        <v/>
      </c>
    </row>
    <row r="3293" spans="1:13" x14ac:dyDescent="0.25">
      <c r="A3293" s="3">
        <v>41555</v>
      </c>
      <c r="B3293" s="2" t="s">
        <v>39</v>
      </c>
      <c r="C3293" s="2">
        <v>15</v>
      </c>
      <c r="G3293" s="7" t="str">
        <f t="array" ref="G3293">IF(ROWS(K$20:K3293)&gt;$F$6,"",INDEX(A$2:A$10000,SMALL(IF(ISNUMBER(MATCH($B$2:$B$10000,$E$6:$E$22,0)),ROW($C$2:$C$10000)-ROW($C$2)+1),ROWS(K$20:K3293))))</f>
        <v/>
      </c>
      <c r="H3293" s="4" t="str">
        <f t="array" ref="H3293">IF(ROWS(L$20:L3293)&gt;$F$6,"",INDEX(B$2:B$10000,SMALL(IF(ISNUMBER(MATCH($B$2:$B$10000,$E$6:$E$22,0)),ROW($C$2:$C$10000)-ROW($C$2)+1),ROWS(L$20:L3293))))</f>
        <v/>
      </c>
      <c r="I3293" s="4" t="str">
        <f t="array" ref="I3293">IF(ROWS(M$20:M3293)&gt;$F$6,"",INDEX(C$2:C$10000,SMALL(IF(ISNUMBER(MATCH($B$2:$B$10000,$E$6:$E$22,0)),ROW($C$2:$C$10000)-ROW($C$2)+1),ROWS(M$20:M3293))))</f>
        <v/>
      </c>
      <c r="K3293" s="7" t="str">
        <f t="array" ref="K3293">IF(ROWS(K$20:K3293)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3293))))</f>
        <v/>
      </c>
      <c r="L3293" s="4" t="str">
        <f t="array" ref="L3293">IF(ROWS(L$20:L3293)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3293))))</f>
        <v/>
      </c>
      <c r="M3293" s="4" t="str">
        <f t="array" ref="M3293">IF(ROWS(M$20:M3293)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3293))))</f>
        <v/>
      </c>
    </row>
    <row r="3294" spans="1:13" x14ac:dyDescent="0.25">
      <c r="A3294" s="3">
        <v>41473</v>
      </c>
      <c r="B3294" s="2" t="s">
        <v>7</v>
      </c>
      <c r="C3294" s="2">
        <v>25</v>
      </c>
      <c r="G3294" s="7" t="str">
        <f t="array" ref="G3294">IF(ROWS(K$20:K3294)&gt;$F$6,"",INDEX(A$2:A$10000,SMALL(IF(ISNUMBER(MATCH($B$2:$B$10000,$E$6:$E$22,0)),ROW($C$2:$C$10000)-ROW($C$2)+1),ROWS(K$20:K3294))))</f>
        <v/>
      </c>
      <c r="H3294" s="4" t="str">
        <f t="array" ref="H3294">IF(ROWS(L$20:L3294)&gt;$F$6,"",INDEX(B$2:B$10000,SMALL(IF(ISNUMBER(MATCH($B$2:$B$10000,$E$6:$E$22,0)),ROW($C$2:$C$10000)-ROW($C$2)+1),ROWS(L$20:L3294))))</f>
        <v/>
      </c>
      <c r="I3294" s="4" t="str">
        <f t="array" ref="I3294">IF(ROWS(M$20:M3294)&gt;$F$6,"",INDEX(C$2:C$10000,SMALL(IF(ISNUMBER(MATCH($B$2:$B$10000,$E$6:$E$22,0)),ROW($C$2:$C$10000)-ROW($C$2)+1),ROWS(M$20:M3294))))</f>
        <v/>
      </c>
      <c r="K3294" s="7" t="str">
        <f t="array" ref="K3294">IF(ROWS(K$20:K3294)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3294))))</f>
        <v/>
      </c>
      <c r="L3294" s="4" t="str">
        <f t="array" ref="L3294">IF(ROWS(L$20:L3294)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3294))))</f>
        <v/>
      </c>
      <c r="M3294" s="4" t="str">
        <f t="array" ref="M3294">IF(ROWS(M$20:M3294)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3294))))</f>
        <v/>
      </c>
    </row>
    <row r="3295" spans="1:13" x14ac:dyDescent="0.25">
      <c r="A3295" s="3">
        <v>41833</v>
      </c>
      <c r="B3295" s="2" t="s">
        <v>23</v>
      </c>
      <c r="C3295" s="2">
        <v>48</v>
      </c>
      <c r="G3295" s="7" t="str">
        <f t="array" ref="G3295">IF(ROWS(K$20:K3295)&gt;$F$6,"",INDEX(A$2:A$10000,SMALL(IF(ISNUMBER(MATCH($B$2:$B$10000,$E$6:$E$22,0)),ROW($C$2:$C$10000)-ROW($C$2)+1),ROWS(K$20:K3295))))</f>
        <v/>
      </c>
      <c r="H3295" s="4" t="str">
        <f t="array" ref="H3295">IF(ROWS(L$20:L3295)&gt;$F$6,"",INDEX(B$2:B$10000,SMALL(IF(ISNUMBER(MATCH($B$2:$B$10000,$E$6:$E$22,0)),ROW($C$2:$C$10000)-ROW($C$2)+1),ROWS(L$20:L3295))))</f>
        <v/>
      </c>
      <c r="I3295" s="4" t="str">
        <f t="array" ref="I3295">IF(ROWS(M$20:M3295)&gt;$F$6,"",INDEX(C$2:C$10000,SMALL(IF(ISNUMBER(MATCH($B$2:$B$10000,$E$6:$E$22,0)),ROW($C$2:$C$10000)-ROW($C$2)+1),ROWS(M$20:M3295))))</f>
        <v/>
      </c>
      <c r="K3295" s="7" t="str">
        <f t="array" ref="K3295">IF(ROWS(K$20:K3295)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3295))))</f>
        <v/>
      </c>
      <c r="L3295" s="4" t="str">
        <f t="array" ref="L3295">IF(ROWS(L$20:L3295)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3295))))</f>
        <v/>
      </c>
      <c r="M3295" s="4" t="str">
        <f t="array" ref="M3295">IF(ROWS(M$20:M3295)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3295))))</f>
        <v/>
      </c>
    </row>
    <row r="3296" spans="1:13" x14ac:dyDescent="0.25">
      <c r="A3296" s="3">
        <v>41363</v>
      </c>
      <c r="B3296" s="2" t="s">
        <v>16</v>
      </c>
      <c r="C3296" s="2">
        <v>1</v>
      </c>
      <c r="G3296" s="7" t="str">
        <f t="array" ref="G3296">IF(ROWS(K$20:K3296)&gt;$F$6,"",INDEX(A$2:A$10000,SMALL(IF(ISNUMBER(MATCH($B$2:$B$10000,$E$6:$E$22,0)),ROW($C$2:$C$10000)-ROW($C$2)+1),ROWS(K$20:K3296))))</f>
        <v/>
      </c>
      <c r="H3296" s="4" t="str">
        <f t="array" ref="H3296">IF(ROWS(L$20:L3296)&gt;$F$6,"",INDEX(B$2:B$10000,SMALL(IF(ISNUMBER(MATCH($B$2:$B$10000,$E$6:$E$22,0)),ROW($C$2:$C$10000)-ROW($C$2)+1),ROWS(L$20:L3296))))</f>
        <v/>
      </c>
      <c r="I3296" s="4" t="str">
        <f t="array" ref="I3296">IF(ROWS(M$20:M3296)&gt;$F$6,"",INDEX(C$2:C$10000,SMALL(IF(ISNUMBER(MATCH($B$2:$B$10000,$E$6:$E$22,0)),ROW($C$2:$C$10000)-ROW($C$2)+1),ROWS(M$20:M3296))))</f>
        <v/>
      </c>
      <c r="K3296" s="7" t="str">
        <f t="array" ref="K3296">IF(ROWS(K$20:K3296)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3296))))</f>
        <v/>
      </c>
      <c r="L3296" s="4" t="str">
        <f t="array" ref="L3296">IF(ROWS(L$20:L3296)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3296))))</f>
        <v/>
      </c>
      <c r="M3296" s="4" t="str">
        <f t="array" ref="M3296">IF(ROWS(M$20:M3296)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3296))))</f>
        <v/>
      </c>
    </row>
    <row r="3297" spans="1:13" x14ac:dyDescent="0.25">
      <c r="A3297" s="3">
        <v>41483</v>
      </c>
      <c r="B3297" s="2" t="s">
        <v>41</v>
      </c>
      <c r="C3297" s="2">
        <v>22</v>
      </c>
      <c r="G3297" s="7" t="str">
        <f t="array" ref="G3297">IF(ROWS(K$20:K3297)&gt;$F$6,"",INDEX(A$2:A$10000,SMALL(IF(ISNUMBER(MATCH($B$2:$B$10000,$E$6:$E$22,0)),ROW($C$2:$C$10000)-ROW($C$2)+1),ROWS(K$20:K3297))))</f>
        <v/>
      </c>
      <c r="H3297" s="4" t="str">
        <f t="array" ref="H3297">IF(ROWS(L$20:L3297)&gt;$F$6,"",INDEX(B$2:B$10000,SMALL(IF(ISNUMBER(MATCH($B$2:$B$10000,$E$6:$E$22,0)),ROW($C$2:$C$10000)-ROW($C$2)+1),ROWS(L$20:L3297))))</f>
        <v/>
      </c>
      <c r="I3297" s="4" t="str">
        <f t="array" ref="I3297">IF(ROWS(M$20:M3297)&gt;$F$6,"",INDEX(C$2:C$10000,SMALL(IF(ISNUMBER(MATCH($B$2:$B$10000,$E$6:$E$22,0)),ROW($C$2:$C$10000)-ROW($C$2)+1),ROWS(M$20:M3297))))</f>
        <v/>
      </c>
      <c r="K3297" s="7" t="str">
        <f t="array" ref="K3297">IF(ROWS(K$20:K3297)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3297))))</f>
        <v/>
      </c>
      <c r="L3297" s="4" t="str">
        <f t="array" ref="L3297">IF(ROWS(L$20:L3297)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3297))))</f>
        <v/>
      </c>
      <c r="M3297" s="4" t="str">
        <f t="array" ref="M3297">IF(ROWS(M$20:M3297)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3297))))</f>
        <v/>
      </c>
    </row>
    <row r="3298" spans="1:13" x14ac:dyDescent="0.25">
      <c r="A3298" s="3">
        <v>41484</v>
      </c>
      <c r="B3298" s="2" t="s">
        <v>35</v>
      </c>
      <c r="C3298" s="2">
        <v>27</v>
      </c>
      <c r="G3298" s="7" t="str">
        <f t="array" ref="G3298">IF(ROWS(K$20:K3298)&gt;$F$6,"",INDEX(A$2:A$10000,SMALL(IF(ISNUMBER(MATCH($B$2:$B$10000,$E$6:$E$22,0)),ROW($C$2:$C$10000)-ROW($C$2)+1),ROWS(K$20:K3298))))</f>
        <v/>
      </c>
      <c r="H3298" s="4" t="str">
        <f t="array" ref="H3298">IF(ROWS(L$20:L3298)&gt;$F$6,"",INDEX(B$2:B$10000,SMALL(IF(ISNUMBER(MATCH($B$2:$B$10000,$E$6:$E$22,0)),ROW($C$2:$C$10000)-ROW($C$2)+1),ROWS(L$20:L3298))))</f>
        <v/>
      </c>
      <c r="I3298" s="4" t="str">
        <f t="array" ref="I3298">IF(ROWS(M$20:M3298)&gt;$F$6,"",INDEX(C$2:C$10000,SMALL(IF(ISNUMBER(MATCH($B$2:$B$10000,$E$6:$E$22,0)),ROW($C$2:$C$10000)-ROW($C$2)+1),ROWS(M$20:M3298))))</f>
        <v/>
      </c>
      <c r="K3298" s="7" t="str">
        <f t="array" ref="K3298">IF(ROWS(K$20:K3298)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3298))))</f>
        <v/>
      </c>
      <c r="L3298" s="4" t="str">
        <f t="array" ref="L3298">IF(ROWS(L$20:L3298)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3298))))</f>
        <v/>
      </c>
      <c r="M3298" s="4" t="str">
        <f t="array" ref="M3298">IF(ROWS(M$20:M3298)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3298))))</f>
        <v/>
      </c>
    </row>
    <row r="3299" spans="1:13" x14ac:dyDescent="0.25">
      <c r="A3299" s="3">
        <v>41978</v>
      </c>
      <c r="B3299" s="2" t="s">
        <v>49</v>
      </c>
      <c r="C3299" s="2">
        <v>30</v>
      </c>
      <c r="G3299" s="7" t="str">
        <f t="array" ref="G3299">IF(ROWS(K$20:K3299)&gt;$F$6,"",INDEX(A$2:A$10000,SMALL(IF(ISNUMBER(MATCH($B$2:$B$10000,$E$6:$E$22,0)),ROW($C$2:$C$10000)-ROW($C$2)+1),ROWS(K$20:K3299))))</f>
        <v/>
      </c>
      <c r="H3299" s="4" t="str">
        <f t="array" ref="H3299">IF(ROWS(L$20:L3299)&gt;$F$6,"",INDEX(B$2:B$10000,SMALL(IF(ISNUMBER(MATCH($B$2:$B$10000,$E$6:$E$22,0)),ROW($C$2:$C$10000)-ROW($C$2)+1),ROWS(L$20:L3299))))</f>
        <v/>
      </c>
      <c r="I3299" s="4" t="str">
        <f t="array" ref="I3299">IF(ROWS(M$20:M3299)&gt;$F$6,"",INDEX(C$2:C$10000,SMALL(IF(ISNUMBER(MATCH($B$2:$B$10000,$E$6:$E$22,0)),ROW($C$2:$C$10000)-ROW($C$2)+1),ROWS(M$20:M3299))))</f>
        <v/>
      </c>
      <c r="K3299" s="7" t="str">
        <f t="array" ref="K3299">IF(ROWS(K$20:K3299)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3299))))</f>
        <v/>
      </c>
      <c r="L3299" s="4" t="str">
        <f t="array" ref="L3299">IF(ROWS(L$20:L3299)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3299))))</f>
        <v/>
      </c>
      <c r="M3299" s="4" t="str">
        <f t="array" ref="M3299">IF(ROWS(M$20:M3299)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3299))))</f>
        <v/>
      </c>
    </row>
    <row r="3300" spans="1:13" x14ac:dyDescent="0.25">
      <c r="A3300" s="3">
        <v>41407</v>
      </c>
      <c r="B3300" s="2" t="s">
        <v>26</v>
      </c>
      <c r="C3300" s="2">
        <v>12</v>
      </c>
      <c r="G3300" s="7" t="str">
        <f t="array" ref="G3300">IF(ROWS(K$20:K3300)&gt;$F$6,"",INDEX(A$2:A$10000,SMALL(IF(ISNUMBER(MATCH($B$2:$B$10000,$E$6:$E$22,0)),ROW($C$2:$C$10000)-ROW($C$2)+1),ROWS(K$20:K3300))))</f>
        <v/>
      </c>
      <c r="H3300" s="4" t="str">
        <f t="array" ref="H3300">IF(ROWS(L$20:L3300)&gt;$F$6,"",INDEX(B$2:B$10000,SMALL(IF(ISNUMBER(MATCH($B$2:$B$10000,$E$6:$E$22,0)),ROW($C$2:$C$10000)-ROW($C$2)+1),ROWS(L$20:L3300))))</f>
        <v/>
      </c>
      <c r="I3300" s="4" t="str">
        <f t="array" ref="I3300">IF(ROWS(M$20:M3300)&gt;$F$6,"",INDEX(C$2:C$10000,SMALL(IF(ISNUMBER(MATCH($B$2:$B$10000,$E$6:$E$22,0)),ROW($C$2:$C$10000)-ROW($C$2)+1),ROWS(M$20:M3300))))</f>
        <v/>
      </c>
      <c r="K3300" s="7" t="str">
        <f t="array" ref="K3300">IF(ROWS(K$20:K3300)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3300))))</f>
        <v/>
      </c>
      <c r="L3300" s="4" t="str">
        <f t="array" ref="L3300">IF(ROWS(L$20:L3300)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3300))))</f>
        <v/>
      </c>
      <c r="M3300" s="4" t="str">
        <f t="array" ref="M3300">IF(ROWS(M$20:M3300)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3300))))</f>
        <v/>
      </c>
    </row>
    <row r="3301" spans="1:13" x14ac:dyDescent="0.25">
      <c r="A3301" s="3">
        <v>41329</v>
      </c>
      <c r="B3301" s="2" t="s">
        <v>49</v>
      </c>
      <c r="C3301" s="2">
        <v>44</v>
      </c>
      <c r="G3301" s="7" t="str">
        <f t="array" ref="G3301">IF(ROWS(K$20:K3301)&gt;$F$6,"",INDEX(A$2:A$10000,SMALL(IF(ISNUMBER(MATCH($B$2:$B$10000,$E$6:$E$22,0)),ROW($C$2:$C$10000)-ROW($C$2)+1),ROWS(K$20:K3301))))</f>
        <v/>
      </c>
      <c r="H3301" s="4" t="str">
        <f t="array" ref="H3301">IF(ROWS(L$20:L3301)&gt;$F$6,"",INDEX(B$2:B$10000,SMALL(IF(ISNUMBER(MATCH($B$2:$B$10000,$E$6:$E$22,0)),ROW($C$2:$C$10000)-ROW($C$2)+1),ROWS(L$20:L3301))))</f>
        <v/>
      </c>
      <c r="I3301" s="4" t="str">
        <f t="array" ref="I3301">IF(ROWS(M$20:M3301)&gt;$F$6,"",INDEX(C$2:C$10000,SMALL(IF(ISNUMBER(MATCH($B$2:$B$10000,$E$6:$E$22,0)),ROW($C$2:$C$10000)-ROW($C$2)+1),ROWS(M$20:M3301))))</f>
        <v/>
      </c>
      <c r="K3301" s="7" t="str">
        <f t="array" ref="K3301">IF(ROWS(K$20:K3301)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3301))))</f>
        <v/>
      </c>
      <c r="L3301" s="4" t="str">
        <f t="array" ref="L3301">IF(ROWS(L$20:L3301)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3301))))</f>
        <v/>
      </c>
      <c r="M3301" s="4" t="str">
        <f t="array" ref="M3301">IF(ROWS(M$20:M3301)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3301))))</f>
        <v/>
      </c>
    </row>
    <row r="3302" spans="1:13" x14ac:dyDescent="0.25">
      <c r="A3302" s="3">
        <v>41609</v>
      </c>
      <c r="B3302" s="2" t="s">
        <v>12</v>
      </c>
      <c r="C3302" s="2">
        <v>38</v>
      </c>
      <c r="G3302" s="7" t="str">
        <f t="array" ref="G3302">IF(ROWS(K$20:K3302)&gt;$F$6,"",INDEX(A$2:A$10000,SMALL(IF(ISNUMBER(MATCH($B$2:$B$10000,$E$6:$E$22,0)),ROW($C$2:$C$10000)-ROW($C$2)+1),ROWS(K$20:K3302))))</f>
        <v/>
      </c>
      <c r="H3302" s="4" t="str">
        <f t="array" ref="H3302">IF(ROWS(L$20:L3302)&gt;$F$6,"",INDEX(B$2:B$10000,SMALL(IF(ISNUMBER(MATCH($B$2:$B$10000,$E$6:$E$22,0)),ROW($C$2:$C$10000)-ROW($C$2)+1),ROWS(L$20:L3302))))</f>
        <v/>
      </c>
      <c r="I3302" s="4" t="str">
        <f t="array" ref="I3302">IF(ROWS(M$20:M3302)&gt;$F$6,"",INDEX(C$2:C$10000,SMALL(IF(ISNUMBER(MATCH($B$2:$B$10000,$E$6:$E$22,0)),ROW($C$2:$C$10000)-ROW($C$2)+1),ROWS(M$20:M3302))))</f>
        <v/>
      </c>
      <c r="K3302" s="7" t="str">
        <f t="array" ref="K3302">IF(ROWS(K$20:K3302)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3302))))</f>
        <v/>
      </c>
      <c r="L3302" s="4" t="str">
        <f t="array" ref="L3302">IF(ROWS(L$20:L3302)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3302))))</f>
        <v/>
      </c>
      <c r="M3302" s="4" t="str">
        <f t="array" ref="M3302">IF(ROWS(M$20:M3302)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3302))))</f>
        <v/>
      </c>
    </row>
    <row r="3303" spans="1:13" x14ac:dyDescent="0.25">
      <c r="A3303" s="3">
        <v>41946</v>
      </c>
      <c r="B3303" s="2" t="s">
        <v>14</v>
      </c>
      <c r="C3303" s="2">
        <v>16</v>
      </c>
      <c r="G3303" s="7" t="str">
        <f t="array" ref="G3303">IF(ROWS(K$20:K3303)&gt;$F$6,"",INDEX(A$2:A$10000,SMALL(IF(ISNUMBER(MATCH($B$2:$B$10000,$E$6:$E$22,0)),ROW($C$2:$C$10000)-ROW($C$2)+1),ROWS(K$20:K3303))))</f>
        <v/>
      </c>
      <c r="H3303" s="4" t="str">
        <f t="array" ref="H3303">IF(ROWS(L$20:L3303)&gt;$F$6,"",INDEX(B$2:B$10000,SMALL(IF(ISNUMBER(MATCH($B$2:$B$10000,$E$6:$E$22,0)),ROW($C$2:$C$10000)-ROW($C$2)+1),ROWS(L$20:L3303))))</f>
        <v/>
      </c>
      <c r="I3303" s="4" t="str">
        <f t="array" ref="I3303">IF(ROWS(M$20:M3303)&gt;$F$6,"",INDEX(C$2:C$10000,SMALL(IF(ISNUMBER(MATCH($B$2:$B$10000,$E$6:$E$22,0)),ROW($C$2:$C$10000)-ROW($C$2)+1),ROWS(M$20:M3303))))</f>
        <v/>
      </c>
      <c r="K3303" s="7" t="str">
        <f t="array" ref="K3303">IF(ROWS(K$20:K3303)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3303))))</f>
        <v/>
      </c>
      <c r="L3303" s="4" t="str">
        <f t="array" ref="L3303">IF(ROWS(L$20:L3303)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3303))))</f>
        <v/>
      </c>
      <c r="M3303" s="4" t="str">
        <f t="array" ref="M3303">IF(ROWS(M$20:M3303)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3303))))</f>
        <v/>
      </c>
    </row>
    <row r="3304" spans="1:13" x14ac:dyDescent="0.25">
      <c r="A3304" s="3">
        <v>41896</v>
      </c>
      <c r="B3304" s="2" t="s">
        <v>4</v>
      </c>
      <c r="C3304" s="2">
        <v>58</v>
      </c>
      <c r="G3304" s="7" t="str">
        <f t="array" ref="G3304">IF(ROWS(K$20:K3304)&gt;$F$6,"",INDEX(A$2:A$10000,SMALL(IF(ISNUMBER(MATCH($B$2:$B$10000,$E$6:$E$22,0)),ROW($C$2:$C$10000)-ROW($C$2)+1),ROWS(K$20:K3304))))</f>
        <v/>
      </c>
      <c r="H3304" s="4" t="str">
        <f t="array" ref="H3304">IF(ROWS(L$20:L3304)&gt;$F$6,"",INDEX(B$2:B$10000,SMALL(IF(ISNUMBER(MATCH($B$2:$B$10000,$E$6:$E$22,0)),ROW($C$2:$C$10000)-ROW($C$2)+1),ROWS(L$20:L3304))))</f>
        <v/>
      </c>
      <c r="I3304" s="4" t="str">
        <f t="array" ref="I3304">IF(ROWS(M$20:M3304)&gt;$F$6,"",INDEX(C$2:C$10000,SMALL(IF(ISNUMBER(MATCH($B$2:$B$10000,$E$6:$E$22,0)),ROW($C$2:$C$10000)-ROW($C$2)+1),ROWS(M$20:M3304))))</f>
        <v/>
      </c>
      <c r="K3304" s="7" t="str">
        <f t="array" ref="K3304">IF(ROWS(K$20:K3304)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3304))))</f>
        <v/>
      </c>
      <c r="L3304" s="4" t="str">
        <f t="array" ref="L3304">IF(ROWS(L$20:L3304)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3304))))</f>
        <v/>
      </c>
      <c r="M3304" s="4" t="str">
        <f t="array" ref="M3304">IF(ROWS(M$20:M3304)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3304))))</f>
        <v/>
      </c>
    </row>
    <row r="3305" spans="1:13" x14ac:dyDescent="0.25">
      <c r="A3305" s="3">
        <v>41386</v>
      </c>
      <c r="B3305" s="2" t="s">
        <v>42</v>
      </c>
      <c r="C3305" s="2">
        <v>26</v>
      </c>
      <c r="G3305" s="7" t="str">
        <f t="array" ref="G3305">IF(ROWS(K$20:K3305)&gt;$F$6,"",INDEX(A$2:A$10000,SMALL(IF(ISNUMBER(MATCH($B$2:$B$10000,$E$6:$E$22,0)),ROW($C$2:$C$10000)-ROW($C$2)+1),ROWS(K$20:K3305))))</f>
        <v/>
      </c>
      <c r="H3305" s="4" t="str">
        <f t="array" ref="H3305">IF(ROWS(L$20:L3305)&gt;$F$6,"",INDEX(B$2:B$10000,SMALL(IF(ISNUMBER(MATCH($B$2:$B$10000,$E$6:$E$22,0)),ROW($C$2:$C$10000)-ROW($C$2)+1),ROWS(L$20:L3305))))</f>
        <v/>
      </c>
      <c r="I3305" s="4" t="str">
        <f t="array" ref="I3305">IF(ROWS(M$20:M3305)&gt;$F$6,"",INDEX(C$2:C$10000,SMALL(IF(ISNUMBER(MATCH($B$2:$B$10000,$E$6:$E$22,0)),ROW($C$2:$C$10000)-ROW($C$2)+1),ROWS(M$20:M3305))))</f>
        <v/>
      </c>
      <c r="K3305" s="7" t="str">
        <f t="array" ref="K3305">IF(ROWS(K$20:K3305)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3305))))</f>
        <v/>
      </c>
      <c r="L3305" s="4" t="str">
        <f t="array" ref="L3305">IF(ROWS(L$20:L3305)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3305))))</f>
        <v/>
      </c>
      <c r="M3305" s="4" t="str">
        <f t="array" ref="M3305">IF(ROWS(M$20:M3305)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3305))))</f>
        <v/>
      </c>
    </row>
    <row r="3306" spans="1:13" x14ac:dyDescent="0.25">
      <c r="A3306" s="3">
        <v>41592</v>
      </c>
      <c r="B3306" s="2" t="s">
        <v>26</v>
      </c>
      <c r="C3306" s="2">
        <v>25</v>
      </c>
      <c r="G3306" s="7" t="str">
        <f t="array" ref="G3306">IF(ROWS(K$20:K3306)&gt;$F$6,"",INDEX(A$2:A$10000,SMALL(IF(ISNUMBER(MATCH($B$2:$B$10000,$E$6:$E$22,0)),ROW($C$2:$C$10000)-ROW($C$2)+1),ROWS(K$20:K3306))))</f>
        <v/>
      </c>
      <c r="H3306" s="4" t="str">
        <f t="array" ref="H3306">IF(ROWS(L$20:L3306)&gt;$F$6,"",INDEX(B$2:B$10000,SMALL(IF(ISNUMBER(MATCH($B$2:$B$10000,$E$6:$E$22,0)),ROW($C$2:$C$10000)-ROW($C$2)+1),ROWS(L$20:L3306))))</f>
        <v/>
      </c>
      <c r="I3306" s="4" t="str">
        <f t="array" ref="I3306">IF(ROWS(M$20:M3306)&gt;$F$6,"",INDEX(C$2:C$10000,SMALL(IF(ISNUMBER(MATCH($B$2:$B$10000,$E$6:$E$22,0)),ROW($C$2:$C$10000)-ROW($C$2)+1),ROWS(M$20:M3306))))</f>
        <v/>
      </c>
      <c r="K3306" s="7" t="str">
        <f t="array" ref="K3306">IF(ROWS(K$20:K3306)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3306))))</f>
        <v/>
      </c>
      <c r="L3306" s="4" t="str">
        <f t="array" ref="L3306">IF(ROWS(L$20:L3306)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3306))))</f>
        <v/>
      </c>
      <c r="M3306" s="4" t="str">
        <f t="array" ref="M3306">IF(ROWS(M$20:M3306)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3306))))</f>
        <v/>
      </c>
    </row>
    <row r="3307" spans="1:13" x14ac:dyDescent="0.25">
      <c r="A3307" s="3">
        <v>41345</v>
      </c>
      <c r="B3307" s="2" t="s">
        <v>21</v>
      </c>
      <c r="C3307" s="2">
        <v>5</v>
      </c>
      <c r="G3307" s="7" t="str">
        <f t="array" ref="G3307">IF(ROWS(K$20:K3307)&gt;$F$6,"",INDEX(A$2:A$10000,SMALL(IF(ISNUMBER(MATCH($B$2:$B$10000,$E$6:$E$22,0)),ROW($C$2:$C$10000)-ROW($C$2)+1),ROWS(K$20:K3307))))</f>
        <v/>
      </c>
      <c r="H3307" s="4" t="str">
        <f t="array" ref="H3307">IF(ROWS(L$20:L3307)&gt;$F$6,"",INDEX(B$2:B$10000,SMALL(IF(ISNUMBER(MATCH($B$2:$B$10000,$E$6:$E$22,0)),ROW($C$2:$C$10000)-ROW($C$2)+1),ROWS(L$20:L3307))))</f>
        <v/>
      </c>
      <c r="I3307" s="4" t="str">
        <f t="array" ref="I3307">IF(ROWS(M$20:M3307)&gt;$F$6,"",INDEX(C$2:C$10000,SMALL(IF(ISNUMBER(MATCH($B$2:$B$10000,$E$6:$E$22,0)),ROW($C$2:$C$10000)-ROW($C$2)+1),ROWS(M$20:M3307))))</f>
        <v/>
      </c>
      <c r="K3307" s="7" t="str">
        <f t="array" ref="K3307">IF(ROWS(K$20:K3307)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3307))))</f>
        <v/>
      </c>
      <c r="L3307" s="4" t="str">
        <f t="array" ref="L3307">IF(ROWS(L$20:L3307)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3307))))</f>
        <v/>
      </c>
      <c r="M3307" s="4" t="str">
        <f t="array" ref="M3307">IF(ROWS(M$20:M3307)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3307))))</f>
        <v/>
      </c>
    </row>
    <row r="3308" spans="1:13" x14ac:dyDescent="0.25">
      <c r="A3308" s="3">
        <v>41550</v>
      </c>
      <c r="B3308" s="2" t="s">
        <v>48</v>
      </c>
      <c r="C3308" s="2">
        <v>5</v>
      </c>
      <c r="G3308" s="7" t="str">
        <f t="array" ref="G3308">IF(ROWS(K$20:K3308)&gt;$F$6,"",INDEX(A$2:A$10000,SMALL(IF(ISNUMBER(MATCH($B$2:$B$10000,$E$6:$E$22,0)),ROW($C$2:$C$10000)-ROW($C$2)+1),ROWS(K$20:K3308))))</f>
        <v/>
      </c>
      <c r="H3308" s="4" t="str">
        <f t="array" ref="H3308">IF(ROWS(L$20:L3308)&gt;$F$6,"",INDEX(B$2:B$10000,SMALL(IF(ISNUMBER(MATCH($B$2:$B$10000,$E$6:$E$22,0)),ROW($C$2:$C$10000)-ROW($C$2)+1),ROWS(L$20:L3308))))</f>
        <v/>
      </c>
      <c r="I3308" s="4" t="str">
        <f t="array" ref="I3308">IF(ROWS(M$20:M3308)&gt;$F$6,"",INDEX(C$2:C$10000,SMALL(IF(ISNUMBER(MATCH($B$2:$B$10000,$E$6:$E$22,0)),ROW($C$2:$C$10000)-ROW($C$2)+1),ROWS(M$20:M3308))))</f>
        <v/>
      </c>
      <c r="K3308" s="7" t="str">
        <f t="array" ref="K3308">IF(ROWS(K$20:K3308)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3308))))</f>
        <v/>
      </c>
      <c r="L3308" s="4" t="str">
        <f t="array" ref="L3308">IF(ROWS(L$20:L3308)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3308))))</f>
        <v/>
      </c>
      <c r="M3308" s="4" t="str">
        <f t="array" ref="M3308">IF(ROWS(M$20:M3308)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3308))))</f>
        <v/>
      </c>
    </row>
    <row r="3309" spans="1:13" x14ac:dyDescent="0.25">
      <c r="A3309" s="3">
        <v>41372</v>
      </c>
      <c r="B3309" s="2" t="s">
        <v>45</v>
      </c>
      <c r="C3309" s="2">
        <v>4</v>
      </c>
      <c r="G3309" s="7" t="str">
        <f t="array" ref="G3309">IF(ROWS(K$20:K3309)&gt;$F$6,"",INDEX(A$2:A$10000,SMALL(IF(ISNUMBER(MATCH($B$2:$B$10000,$E$6:$E$22,0)),ROW($C$2:$C$10000)-ROW($C$2)+1),ROWS(K$20:K3309))))</f>
        <v/>
      </c>
      <c r="H3309" s="4" t="str">
        <f t="array" ref="H3309">IF(ROWS(L$20:L3309)&gt;$F$6,"",INDEX(B$2:B$10000,SMALL(IF(ISNUMBER(MATCH($B$2:$B$10000,$E$6:$E$22,0)),ROW($C$2:$C$10000)-ROW($C$2)+1),ROWS(L$20:L3309))))</f>
        <v/>
      </c>
      <c r="I3309" s="4" t="str">
        <f t="array" ref="I3309">IF(ROWS(M$20:M3309)&gt;$F$6,"",INDEX(C$2:C$10000,SMALL(IF(ISNUMBER(MATCH($B$2:$B$10000,$E$6:$E$22,0)),ROW($C$2:$C$10000)-ROW($C$2)+1),ROWS(M$20:M3309))))</f>
        <v/>
      </c>
      <c r="K3309" s="7" t="str">
        <f t="array" ref="K3309">IF(ROWS(K$20:K3309)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3309))))</f>
        <v/>
      </c>
      <c r="L3309" s="4" t="str">
        <f t="array" ref="L3309">IF(ROWS(L$20:L3309)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3309))))</f>
        <v/>
      </c>
      <c r="M3309" s="4" t="str">
        <f t="array" ref="M3309">IF(ROWS(M$20:M3309)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3309))))</f>
        <v/>
      </c>
    </row>
    <row r="3310" spans="1:13" x14ac:dyDescent="0.25">
      <c r="A3310" s="3">
        <v>41543</v>
      </c>
      <c r="B3310" s="2" t="s">
        <v>8</v>
      </c>
      <c r="C3310" s="2">
        <v>23</v>
      </c>
      <c r="G3310" s="7" t="str">
        <f t="array" ref="G3310">IF(ROWS(K$20:K3310)&gt;$F$6,"",INDEX(A$2:A$10000,SMALL(IF(ISNUMBER(MATCH($B$2:$B$10000,$E$6:$E$22,0)),ROW($C$2:$C$10000)-ROW($C$2)+1),ROWS(K$20:K3310))))</f>
        <v/>
      </c>
      <c r="H3310" s="4" t="str">
        <f t="array" ref="H3310">IF(ROWS(L$20:L3310)&gt;$F$6,"",INDEX(B$2:B$10000,SMALL(IF(ISNUMBER(MATCH($B$2:$B$10000,$E$6:$E$22,0)),ROW($C$2:$C$10000)-ROW($C$2)+1),ROWS(L$20:L3310))))</f>
        <v/>
      </c>
      <c r="I3310" s="4" t="str">
        <f t="array" ref="I3310">IF(ROWS(M$20:M3310)&gt;$F$6,"",INDEX(C$2:C$10000,SMALL(IF(ISNUMBER(MATCH($B$2:$B$10000,$E$6:$E$22,0)),ROW($C$2:$C$10000)-ROW($C$2)+1),ROWS(M$20:M3310))))</f>
        <v/>
      </c>
      <c r="K3310" s="7" t="str">
        <f t="array" ref="K3310">IF(ROWS(K$20:K3310)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3310))))</f>
        <v/>
      </c>
      <c r="L3310" s="4" t="str">
        <f t="array" ref="L3310">IF(ROWS(L$20:L3310)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3310))))</f>
        <v/>
      </c>
      <c r="M3310" s="4" t="str">
        <f t="array" ref="M3310">IF(ROWS(M$20:M3310)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3310))))</f>
        <v/>
      </c>
    </row>
    <row r="3311" spans="1:13" x14ac:dyDescent="0.25">
      <c r="A3311" s="3">
        <v>41509</v>
      </c>
      <c r="B3311" s="2" t="s">
        <v>27</v>
      </c>
      <c r="C3311" s="2">
        <v>5</v>
      </c>
      <c r="G3311" s="7" t="str">
        <f t="array" ref="G3311">IF(ROWS(K$20:K3311)&gt;$F$6,"",INDEX(A$2:A$10000,SMALL(IF(ISNUMBER(MATCH($B$2:$B$10000,$E$6:$E$22,0)),ROW($C$2:$C$10000)-ROW($C$2)+1),ROWS(K$20:K3311))))</f>
        <v/>
      </c>
      <c r="H3311" s="4" t="str">
        <f t="array" ref="H3311">IF(ROWS(L$20:L3311)&gt;$F$6,"",INDEX(B$2:B$10000,SMALL(IF(ISNUMBER(MATCH($B$2:$B$10000,$E$6:$E$22,0)),ROW($C$2:$C$10000)-ROW($C$2)+1),ROWS(L$20:L3311))))</f>
        <v/>
      </c>
      <c r="I3311" s="4" t="str">
        <f t="array" ref="I3311">IF(ROWS(M$20:M3311)&gt;$F$6,"",INDEX(C$2:C$10000,SMALL(IF(ISNUMBER(MATCH($B$2:$B$10000,$E$6:$E$22,0)),ROW($C$2:$C$10000)-ROW($C$2)+1),ROWS(M$20:M3311))))</f>
        <v/>
      </c>
      <c r="K3311" s="7" t="str">
        <f t="array" ref="K3311">IF(ROWS(K$20:K3311)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3311))))</f>
        <v/>
      </c>
      <c r="L3311" s="4" t="str">
        <f t="array" ref="L3311">IF(ROWS(L$20:L3311)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3311))))</f>
        <v/>
      </c>
      <c r="M3311" s="4" t="str">
        <f t="array" ref="M3311">IF(ROWS(M$20:M3311)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3311))))</f>
        <v/>
      </c>
    </row>
    <row r="3312" spans="1:13" x14ac:dyDescent="0.25">
      <c r="A3312" s="3">
        <v>41320</v>
      </c>
      <c r="B3312" s="2" t="s">
        <v>41</v>
      </c>
      <c r="C3312" s="2">
        <v>27</v>
      </c>
      <c r="G3312" s="7" t="str">
        <f t="array" ref="G3312">IF(ROWS(K$20:K3312)&gt;$F$6,"",INDEX(A$2:A$10000,SMALL(IF(ISNUMBER(MATCH($B$2:$B$10000,$E$6:$E$22,0)),ROW($C$2:$C$10000)-ROW($C$2)+1),ROWS(K$20:K3312))))</f>
        <v/>
      </c>
      <c r="H3312" s="4" t="str">
        <f t="array" ref="H3312">IF(ROWS(L$20:L3312)&gt;$F$6,"",INDEX(B$2:B$10000,SMALL(IF(ISNUMBER(MATCH($B$2:$B$10000,$E$6:$E$22,0)),ROW($C$2:$C$10000)-ROW($C$2)+1),ROWS(L$20:L3312))))</f>
        <v/>
      </c>
      <c r="I3312" s="4" t="str">
        <f t="array" ref="I3312">IF(ROWS(M$20:M3312)&gt;$F$6,"",INDEX(C$2:C$10000,SMALL(IF(ISNUMBER(MATCH($B$2:$B$10000,$E$6:$E$22,0)),ROW($C$2:$C$10000)-ROW($C$2)+1),ROWS(M$20:M3312))))</f>
        <v/>
      </c>
      <c r="K3312" s="7" t="str">
        <f t="array" ref="K3312">IF(ROWS(K$20:K3312)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3312))))</f>
        <v/>
      </c>
      <c r="L3312" s="4" t="str">
        <f t="array" ref="L3312">IF(ROWS(L$20:L3312)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3312))))</f>
        <v/>
      </c>
      <c r="M3312" s="4" t="str">
        <f t="array" ref="M3312">IF(ROWS(M$20:M3312)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3312))))</f>
        <v/>
      </c>
    </row>
    <row r="3313" spans="1:13" x14ac:dyDescent="0.25">
      <c r="A3313" s="3">
        <v>41670</v>
      </c>
      <c r="B3313" s="2" t="s">
        <v>45</v>
      </c>
      <c r="C3313" s="2">
        <v>28</v>
      </c>
      <c r="G3313" s="7" t="str">
        <f t="array" ref="G3313">IF(ROWS(K$20:K3313)&gt;$F$6,"",INDEX(A$2:A$10000,SMALL(IF(ISNUMBER(MATCH($B$2:$B$10000,$E$6:$E$22,0)),ROW($C$2:$C$10000)-ROW($C$2)+1),ROWS(K$20:K3313))))</f>
        <v/>
      </c>
      <c r="H3313" s="4" t="str">
        <f t="array" ref="H3313">IF(ROWS(L$20:L3313)&gt;$F$6,"",INDEX(B$2:B$10000,SMALL(IF(ISNUMBER(MATCH($B$2:$B$10000,$E$6:$E$22,0)),ROW($C$2:$C$10000)-ROW($C$2)+1),ROWS(L$20:L3313))))</f>
        <v/>
      </c>
      <c r="I3313" s="4" t="str">
        <f t="array" ref="I3313">IF(ROWS(M$20:M3313)&gt;$F$6,"",INDEX(C$2:C$10000,SMALL(IF(ISNUMBER(MATCH($B$2:$B$10000,$E$6:$E$22,0)),ROW($C$2:$C$10000)-ROW($C$2)+1),ROWS(M$20:M3313))))</f>
        <v/>
      </c>
      <c r="K3313" s="7" t="str">
        <f t="array" ref="K3313">IF(ROWS(K$20:K3313)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3313))))</f>
        <v/>
      </c>
      <c r="L3313" s="4" t="str">
        <f t="array" ref="L3313">IF(ROWS(L$20:L3313)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3313))))</f>
        <v/>
      </c>
      <c r="M3313" s="4" t="str">
        <f t="array" ref="M3313">IF(ROWS(M$20:M3313)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3313))))</f>
        <v/>
      </c>
    </row>
    <row r="3314" spans="1:13" x14ac:dyDescent="0.25">
      <c r="A3314" s="3">
        <v>41840</v>
      </c>
      <c r="B3314" s="2" t="s">
        <v>26</v>
      </c>
      <c r="C3314" s="2">
        <v>11</v>
      </c>
      <c r="G3314" s="7" t="str">
        <f t="array" ref="G3314">IF(ROWS(K$20:K3314)&gt;$F$6,"",INDEX(A$2:A$10000,SMALL(IF(ISNUMBER(MATCH($B$2:$B$10000,$E$6:$E$22,0)),ROW($C$2:$C$10000)-ROW($C$2)+1),ROWS(K$20:K3314))))</f>
        <v/>
      </c>
      <c r="H3314" s="4" t="str">
        <f t="array" ref="H3314">IF(ROWS(L$20:L3314)&gt;$F$6,"",INDEX(B$2:B$10000,SMALL(IF(ISNUMBER(MATCH($B$2:$B$10000,$E$6:$E$22,0)),ROW($C$2:$C$10000)-ROW($C$2)+1),ROWS(L$20:L3314))))</f>
        <v/>
      </c>
      <c r="I3314" s="4" t="str">
        <f t="array" ref="I3314">IF(ROWS(M$20:M3314)&gt;$F$6,"",INDEX(C$2:C$10000,SMALL(IF(ISNUMBER(MATCH($B$2:$B$10000,$E$6:$E$22,0)),ROW($C$2:$C$10000)-ROW($C$2)+1),ROWS(M$20:M3314))))</f>
        <v/>
      </c>
      <c r="K3314" s="7" t="str">
        <f t="array" ref="K3314">IF(ROWS(K$20:K3314)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3314))))</f>
        <v/>
      </c>
      <c r="L3314" s="4" t="str">
        <f t="array" ref="L3314">IF(ROWS(L$20:L3314)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3314))))</f>
        <v/>
      </c>
      <c r="M3314" s="4" t="str">
        <f t="array" ref="M3314">IF(ROWS(M$20:M3314)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3314))))</f>
        <v/>
      </c>
    </row>
    <row r="3315" spans="1:13" x14ac:dyDescent="0.25">
      <c r="A3315" s="3">
        <v>41506</v>
      </c>
      <c r="B3315" s="2" t="s">
        <v>43</v>
      </c>
      <c r="C3315" s="2">
        <v>46</v>
      </c>
      <c r="G3315" s="7" t="str">
        <f t="array" ref="G3315">IF(ROWS(K$20:K3315)&gt;$F$6,"",INDEX(A$2:A$10000,SMALL(IF(ISNUMBER(MATCH($B$2:$B$10000,$E$6:$E$22,0)),ROW($C$2:$C$10000)-ROW($C$2)+1),ROWS(K$20:K3315))))</f>
        <v/>
      </c>
      <c r="H3315" s="4" t="str">
        <f t="array" ref="H3315">IF(ROWS(L$20:L3315)&gt;$F$6,"",INDEX(B$2:B$10000,SMALL(IF(ISNUMBER(MATCH($B$2:$B$10000,$E$6:$E$22,0)),ROW($C$2:$C$10000)-ROW($C$2)+1),ROWS(L$20:L3315))))</f>
        <v/>
      </c>
      <c r="I3315" s="4" t="str">
        <f t="array" ref="I3315">IF(ROWS(M$20:M3315)&gt;$F$6,"",INDEX(C$2:C$10000,SMALL(IF(ISNUMBER(MATCH($B$2:$B$10000,$E$6:$E$22,0)),ROW($C$2:$C$10000)-ROW($C$2)+1),ROWS(M$20:M3315))))</f>
        <v/>
      </c>
      <c r="K3315" s="7" t="str">
        <f t="array" ref="K3315">IF(ROWS(K$20:K3315)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3315))))</f>
        <v/>
      </c>
      <c r="L3315" s="4" t="str">
        <f t="array" ref="L3315">IF(ROWS(L$20:L3315)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3315))))</f>
        <v/>
      </c>
      <c r="M3315" s="4" t="str">
        <f t="array" ref="M3315">IF(ROWS(M$20:M3315)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3315))))</f>
        <v/>
      </c>
    </row>
    <row r="3316" spans="1:13" x14ac:dyDescent="0.25">
      <c r="A3316" s="3">
        <v>41790</v>
      </c>
      <c r="B3316" s="2" t="s">
        <v>9</v>
      </c>
      <c r="C3316" s="2">
        <v>44</v>
      </c>
      <c r="G3316" s="7" t="str">
        <f t="array" ref="G3316">IF(ROWS(K$20:K3316)&gt;$F$6,"",INDEX(A$2:A$10000,SMALL(IF(ISNUMBER(MATCH($B$2:$B$10000,$E$6:$E$22,0)),ROW($C$2:$C$10000)-ROW($C$2)+1),ROWS(K$20:K3316))))</f>
        <v/>
      </c>
      <c r="H3316" s="4" t="str">
        <f t="array" ref="H3316">IF(ROWS(L$20:L3316)&gt;$F$6,"",INDEX(B$2:B$10000,SMALL(IF(ISNUMBER(MATCH($B$2:$B$10000,$E$6:$E$22,0)),ROW($C$2:$C$10000)-ROW($C$2)+1),ROWS(L$20:L3316))))</f>
        <v/>
      </c>
      <c r="I3316" s="4" t="str">
        <f t="array" ref="I3316">IF(ROWS(M$20:M3316)&gt;$F$6,"",INDEX(C$2:C$10000,SMALL(IF(ISNUMBER(MATCH($B$2:$B$10000,$E$6:$E$22,0)),ROW($C$2:$C$10000)-ROW($C$2)+1),ROWS(M$20:M3316))))</f>
        <v/>
      </c>
      <c r="K3316" s="7" t="str">
        <f t="array" ref="K3316">IF(ROWS(K$20:K3316)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3316))))</f>
        <v/>
      </c>
      <c r="L3316" s="4" t="str">
        <f t="array" ref="L3316">IF(ROWS(L$20:L3316)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3316))))</f>
        <v/>
      </c>
      <c r="M3316" s="4" t="str">
        <f t="array" ref="M3316">IF(ROWS(M$20:M3316)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3316))))</f>
        <v/>
      </c>
    </row>
    <row r="3317" spans="1:13" x14ac:dyDescent="0.25">
      <c r="A3317" s="3">
        <v>41734</v>
      </c>
      <c r="B3317" s="2" t="s">
        <v>13</v>
      </c>
      <c r="C3317" s="2">
        <v>23</v>
      </c>
      <c r="G3317" s="7" t="str">
        <f t="array" ref="G3317">IF(ROWS(K$20:K3317)&gt;$F$6,"",INDEX(A$2:A$10000,SMALL(IF(ISNUMBER(MATCH($B$2:$B$10000,$E$6:$E$22,0)),ROW($C$2:$C$10000)-ROW($C$2)+1),ROWS(K$20:K3317))))</f>
        <v/>
      </c>
      <c r="H3317" s="4" t="str">
        <f t="array" ref="H3317">IF(ROWS(L$20:L3317)&gt;$F$6,"",INDEX(B$2:B$10000,SMALL(IF(ISNUMBER(MATCH($B$2:$B$10000,$E$6:$E$22,0)),ROW($C$2:$C$10000)-ROW($C$2)+1),ROWS(L$20:L3317))))</f>
        <v/>
      </c>
      <c r="I3317" s="4" t="str">
        <f t="array" ref="I3317">IF(ROWS(M$20:M3317)&gt;$F$6,"",INDEX(C$2:C$10000,SMALL(IF(ISNUMBER(MATCH($B$2:$B$10000,$E$6:$E$22,0)),ROW($C$2:$C$10000)-ROW($C$2)+1),ROWS(M$20:M3317))))</f>
        <v/>
      </c>
      <c r="K3317" s="7" t="str">
        <f t="array" ref="K3317">IF(ROWS(K$20:K3317)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3317))))</f>
        <v/>
      </c>
      <c r="L3317" s="4" t="str">
        <f t="array" ref="L3317">IF(ROWS(L$20:L3317)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3317))))</f>
        <v/>
      </c>
      <c r="M3317" s="4" t="str">
        <f t="array" ref="M3317">IF(ROWS(M$20:M3317)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3317))))</f>
        <v/>
      </c>
    </row>
    <row r="3318" spans="1:13" x14ac:dyDescent="0.25">
      <c r="A3318" s="3">
        <v>41305</v>
      </c>
      <c r="B3318" s="2" t="s">
        <v>13</v>
      </c>
      <c r="C3318" s="2">
        <v>20</v>
      </c>
      <c r="G3318" s="7" t="str">
        <f t="array" ref="G3318">IF(ROWS(K$20:K3318)&gt;$F$6,"",INDEX(A$2:A$10000,SMALL(IF(ISNUMBER(MATCH($B$2:$B$10000,$E$6:$E$22,0)),ROW($C$2:$C$10000)-ROW($C$2)+1),ROWS(K$20:K3318))))</f>
        <v/>
      </c>
      <c r="H3318" s="4" t="str">
        <f t="array" ref="H3318">IF(ROWS(L$20:L3318)&gt;$F$6,"",INDEX(B$2:B$10000,SMALL(IF(ISNUMBER(MATCH($B$2:$B$10000,$E$6:$E$22,0)),ROW($C$2:$C$10000)-ROW($C$2)+1),ROWS(L$20:L3318))))</f>
        <v/>
      </c>
      <c r="I3318" s="4" t="str">
        <f t="array" ref="I3318">IF(ROWS(M$20:M3318)&gt;$F$6,"",INDEX(C$2:C$10000,SMALL(IF(ISNUMBER(MATCH($B$2:$B$10000,$E$6:$E$22,0)),ROW($C$2:$C$10000)-ROW($C$2)+1),ROWS(M$20:M3318))))</f>
        <v/>
      </c>
      <c r="K3318" s="7" t="str">
        <f t="array" ref="K3318">IF(ROWS(K$20:K3318)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3318))))</f>
        <v/>
      </c>
      <c r="L3318" s="4" t="str">
        <f t="array" ref="L3318">IF(ROWS(L$20:L3318)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3318))))</f>
        <v/>
      </c>
      <c r="M3318" s="4" t="str">
        <f t="array" ref="M3318">IF(ROWS(M$20:M3318)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3318))))</f>
        <v/>
      </c>
    </row>
    <row r="3319" spans="1:13" x14ac:dyDescent="0.25">
      <c r="A3319" s="3">
        <v>41385</v>
      </c>
      <c r="B3319" s="2" t="s">
        <v>22</v>
      </c>
      <c r="C3319" s="2">
        <v>16</v>
      </c>
      <c r="G3319" s="7" t="str">
        <f t="array" ref="G3319">IF(ROWS(K$20:K3319)&gt;$F$6,"",INDEX(A$2:A$10000,SMALL(IF(ISNUMBER(MATCH($B$2:$B$10000,$E$6:$E$22,0)),ROW($C$2:$C$10000)-ROW($C$2)+1),ROWS(K$20:K3319))))</f>
        <v/>
      </c>
      <c r="H3319" s="4" t="str">
        <f t="array" ref="H3319">IF(ROWS(L$20:L3319)&gt;$F$6,"",INDEX(B$2:B$10000,SMALL(IF(ISNUMBER(MATCH($B$2:$B$10000,$E$6:$E$22,0)),ROW($C$2:$C$10000)-ROW($C$2)+1),ROWS(L$20:L3319))))</f>
        <v/>
      </c>
      <c r="I3319" s="4" t="str">
        <f t="array" ref="I3319">IF(ROWS(M$20:M3319)&gt;$F$6,"",INDEX(C$2:C$10000,SMALL(IF(ISNUMBER(MATCH($B$2:$B$10000,$E$6:$E$22,0)),ROW($C$2:$C$10000)-ROW($C$2)+1),ROWS(M$20:M3319))))</f>
        <v/>
      </c>
      <c r="K3319" s="7" t="str">
        <f t="array" ref="K3319">IF(ROWS(K$20:K3319)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3319))))</f>
        <v/>
      </c>
      <c r="L3319" s="4" t="str">
        <f t="array" ref="L3319">IF(ROWS(L$20:L3319)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3319))))</f>
        <v/>
      </c>
      <c r="M3319" s="4" t="str">
        <f t="array" ref="M3319">IF(ROWS(M$20:M3319)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3319))))</f>
        <v/>
      </c>
    </row>
    <row r="3320" spans="1:13" x14ac:dyDescent="0.25">
      <c r="A3320" s="3">
        <v>41439</v>
      </c>
      <c r="B3320" s="2" t="s">
        <v>48</v>
      </c>
      <c r="C3320" s="2">
        <v>62</v>
      </c>
      <c r="G3320" s="7" t="str">
        <f t="array" ref="G3320">IF(ROWS(K$20:K3320)&gt;$F$6,"",INDEX(A$2:A$10000,SMALL(IF(ISNUMBER(MATCH($B$2:$B$10000,$E$6:$E$22,0)),ROW($C$2:$C$10000)-ROW($C$2)+1),ROWS(K$20:K3320))))</f>
        <v/>
      </c>
      <c r="H3320" s="4" t="str">
        <f t="array" ref="H3320">IF(ROWS(L$20:L3320)&gt;$F$6,"",INDEX(B$2:B$10000,SMALL(IF(ISNUMBER(MATCH($B$2:$B$10000,$E$6:$E$22,0)),ROW($C$2:$C$10000)-ROW($C$2)+1),ROWS(L$20:L3320))))</f>
        <v/>
      </c>
      <c r="I3320" s="4" t="str">
        <f t="array" ref="I3320">IF(ROWS(M$20:M3320)&gt;$F$6,"",INDEX(C$2:C$10000,SMALL(IF(ISNUMBER(MATCH($B$2:$B$10000,$E$6:$E$22,0)),ROW($C$2:$C$10000)-ROW($C$2)+1),ROWS(M$20:M3320))))</f>
        <v/>
      </c>
      <c r="K3320" s="7" t="str">
        <f t="array" ref="K3320">IF(ROWS(K$20:K3320)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3320))))</f>
        <v/>
      </c>
      <c r="L3320" s="4" t="str">
        <f t="array" ref="L3320">IF(ROWS(L$20:L3320)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3320))))</f>
        <v/>
      </c>
      <c r="M3320" s="4" t="str">
        <f t="array" ref="M3320">IF(ROWS(M$20:M3320)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3320))))</f>
        <v/>
      </c>
    </row>
    <row r="3321" spans="1:13" x14ac:dyDescent="0.25">
      <c r="A3321" s="3">
        <v>41301</v>
      </c>
      <c r="B3321" s="2" t="s">
        <v>37</v>
      </c>
      <c r="C3321" s="2">
        <v>43</v>
      </c>
      <c r="G3321" s="7" t="str">
        <f t="array" ref="G3321">IF(ROWS(K$20:K3321)&gt;$F$6,"",INDEX(A$2:A$10000,SMALL(IF(ISNUMBER(MATCH($B$2:$B$10000,$E$6:$E$22,0)),ROW($C$2:$C$10000)-ROW($C$2)+1),ROWS(K$20:K3321))))</f>
        <v/>
      </c>
      <c r="H3321" s="4" t="str">
        <f t="array" ref="H3321">IF(ROWS(L$20:L3321)&gt;$F$6,"",INDEX(B$2:B$10000,SMALL(IF(ISNUMBER(MATCH($B$2:$B$10000,$E$6:$E$22,0)),ROW($C$2:$C$10000)-ROW($C$2)+1),ROWS(L$20:L3321))))</f>
        <v/>
      </c>
      <c r="I3321" s="4" t="str">
        <f t="array" ref="I3321">IF(ROWS(M$20:M3321)&gt;$F$6,"",INDEX(C$2:C$10000,SMALL(IF(ISNUMBER(MATCH($B$2:$B$10000,$E$6:$E$22,0)),ROW($C$2:$C$10000)-ROW($C$2)+1),ROWS(M$20:M3321))))</f>
        <v/>
      </c>
      <c r="K3321" s="7" t="str">
        <f t="array" ref="K3321">IF(ROWS(K$20:K3321)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3321))))</f>
        <v/>
      </c>
      <c r="L3321" s="4" t="str">
        <f t="array" ref="L3321">IF(ROWS(L$20:L3321)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3321))))</f>
        <v/>
      </c>
      <c r="M3321" s="4" t="str">
        <f t="array" ref="M3321">IF(ROWS(M$20:M3321)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3321))))</f>
        <v/>
      </c>
    </row>
    <row r="3322" spans="1:13" x14ac:dyDescent="0.25">
      <c r="A3322" s="3">
        <v>41541</v>
      </c>
      <c r="B3322" s="2" t="s">
        <v>47</v>
      </c>
      <c r="C3322" s="2">
        <v>9</v>
      </c>
      <c r="G3322" s="7" t="str">
        <f t="array" ref="G3322">IF(ROWS(K$20:K3322)&gt;$F$6,"",INDEX(A$2:A$10000,SMALL(IF(ISNUMBER(MATCH($B$2:$B$10000,$E$6:$E$22,0)),ROW($C$2:$C$10000)-ROW($C$2)+1),ROWS(K$20:K3322))))</f>
        <v/>
      </c>
      <c r="H3322" s="4" t="str">
        <f t="array" ref="H3322">IF(ROWS(L$20:L3322)&gt;$F$6,"",INDEX(B$2:B$10000,SMALL(IF(ISNUMBER(MATCH($B$2:$B$10000,$E$6:$E$22,0)),ROW($C$2:$C$10000)-ROW($C$2)+1),ROWS(L$20:L3322))))</f>
        <v/>
      </c>
      <c r="I3322" s="4" t="str">
        <f t="array" ref="I3322">IF(ROWS(M$20:M3322)&gt;$F$6,"",INDEX(C$2:C$10000,SMALL(IF(ISNUMBER(MATCH($B$2:$B$10000,$E$6:$E$22,0)),ROW($C$2:$C$10000)-ROW($C$2)+1),ROWS(M$20:M3322))))</f>
        <v/>
      </c>
      <c r="K3322" s="7" t="str">
        <f t="array" ref="K3322">IF(ROWS(K$20:K3322)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3322))))</f>
        <v/>
      </c>
      <c r="L3322" s="4" t="str">
        <f t="array" ref="L3322">IF(ROWS(L$20:L3322)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3322))))</f>
        <v/>
      </c>
      <c r="M3322" s="4" t="str">
        <f t="array" ref="M3322">IF(ROWS(M$20:M3322)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3322))))</f>
        <v/>
      </c>
    </row>
    <row r="3323" spans="1:13" x14ac:dyDescent="0.25">
      <c r="A3323" s="3">
        <v>41498</v>
      </c>
      <c r="B3323" s="2" t="s">
        <v>20</v>
      </c>
      <c r="C3323" s="2">
        <v>24</v>
      </c>
      <c r="G3323" s="7" t="str">
        <f t="array" ref="G3323">IF(ROWS(K$20:K3323)&gt;$F$6,"",INDEX(A$2:A$10000,SMALL(IF(ISNUMBER(MATCH($B$2:$B$10000,$E$6:$E$22,0)),ROW($C$2:$C$10000)-ROW($C$2)+1),ROWS(K$20:K3323))))</f>
        <v/>
      </c>
      <c r="H3323" s="4" t="str">
        <f t="array" ref="H3323">IF(ROWS(L$20:L3323)&gt;$F$6,"",INDEX(B$2:B$10000,SMALL(IF(ISNUMBER(MATCH($B$2:$B$10000,$E$6:$E$22,0)),ROW($C$2:$C$10000)-ROW($C$2)+1),ROWS(L$20:L3323))))</f>
        <v/>
      </c>
      <c r="I3323" s="4" t="str">
        <f t="array" ref="I3323">IF(ROWS(M$20:M3323)&gt;$F$6,"",INDEX(C$2:C$10000,SMALL(IF(ISNUMBER(MATCH($B$2:$B$10000,$E$6:$E$22,0)),ROW($C$2:$C$10000)-ROW($C$2)+1),ROWS(M$20:M3323))))</f>
        <v/>
      </c>
      <c r="K3323" s="7" t="str">
        <f t="array" ref="K3323">IF(ROWS(K$20:K3323)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3323))))</f>
        <v/>
      </c>
      <c r="L3323" s="4" t="str">
        <f t="array" ref="L3323">IF(ROWS(L$20:L3323)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3323))))</f>
        <v/>
      </c>
      <c r="M3323" s="4" t="str">
        <f t="array" ref="M3323">IF(ROWS(M$20:M3323)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3323))))</f>
        <v/>
      </c>
    </row>
    <row r="3324" spans="1:13" x14ac:dyDescent="0.25">
      <c r="A3324" s="3">
        <v>41477</v>
      </c>
      <c r="B3324" s="2" t="s">
        <v>19</v>
      </c>
      <c r="C3324" s="2">
        <v>17</v>
      </c>
      <c r="G3324" s="7" t="str">
        <f t="array" ref="G3324">IF(ROWS(K$20:K3324)&gt;$F$6,"",INDEX(A$2:A$10000,SMALL(IF(ISNUMBER(MATCH($B$2:$B$10000,$E$6:$E$22,0)),ROW($C$2:$C$10000)-ROW($C$2)+1),ROWS(K$20:K3324))))</f>
        <v/>
      </c>
      <c r="H3324" s="4" t="str">
        <f t="array" ref="H3324">IF(ROWS(L$20:L3324)&gt;$F$6,"",INDEX(B$2:B$10000,SMALL(IF(ISNUMBER(MATCH($B$2:$B$10000,$E$6:$E$22,0)),ROW($C$2:$C$10000)-ROW($C$2)+1),ROWS(L$20:L3324))))</f>
        <v/>
      </c>
      <c r="I3324" s="4" t="str">
        <f t="array" ref="I3324">IF(ROWS(M$20:M3324)&gt;$F$6,"",INDEX(C$2:C$10000,SMALL(IF(ISNUMBER(MATCH($B$2:$B$10000,$E$6:$E$22,0)),ROW($C$2:$C$10000)-ROW($C$2)+1),ROWS(M$20:M3324))))</f>
        <v/>
      </c>
      <c r="K3324" s="7" t="str">
        <f t="array" ref="K3324">IF(ROWS(K$20:K3324)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3324))))</f>
        <v/>
      </c>
      <c r="L3324" s="4" t="str">
        <f t="array" ref="L3324">IF(ROWS(L$20:L3324)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3324))))</f>
        <v/>
      </c>
      <c r="M3324" s="4" t="str">
        <f t="array" ref="M3324">IF(ROWS(M$20:M3324)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3324))))</f>
        <v/>
      </c>
    </row>
    <row r="3325" spans="1:13" x14ac:dyDescent="0.25">
      <c r="A3325" s="3">
        <v>41473</v>
      </c>
      <c r="B3325" s="2" t="s">
        <v>25</v>
      </c>
      <c r="C3325" s="2">
        <v>17</v>
      </c>
      <c r="G3325" s="7" t="str">
        <f t="array" ref="G3325">IF(ROWS(K$20:K3325)&gt;$F$6,"",INDEX(A$2:A$10000,SMALL(IF(ISNUMBER(MATCH($B$2:$B$10000,$E$6:$E$22,0)),ROW($C$2:$C$10000)-ROW($C$2)+1),ROWS(K$20:K3325))))</f>
        <v/>
      </c>
      <c r="H3325" s="4" t="str">
        <f t="array" ref="H3325">IF(ROWS(L$20:L3325)&gt;$F$6,"",INDEX(B$2:B$10000,SMALL(IF(ISNUMBER(MATCH($B$2:$B$10000,$E$6:$E$22,0)),ROW($C$2:$C$10000)-ROW($C$2)+1),ROWS(L$20:L3325))))</f>
        <v/>
      </c>
      <c r="I3325" s="4" t="str">
        <f t="array" ref="I3325">IF(ROWS(M$20:M3325)&gt;$F$6,"",INDEX(C$2:C$10000,SMALL(IF(ISNUMBER(MATCH($B$2:$B$10000,$E$6:$E$22,0)),ROW($C$2:$C$10000)-ROW($C$2)+1),ROWS(M$20:M3325))))</f>
        <v/>
      </c>
      <c r="K3325" s="7" t="str">
        <f t="array" ref="K3325">IF(ROWS(K$20:K3325)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3325))))</f>
        <v/>
      </c>
      <c r="L3325" s="4" t="str">
        <f t="array" ref="L3325">IF(ROWS(L$20:L3325)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3325))))</f>
        <v/>
      </c>
      <c r="M3325" s="4" t="str">
        <f t="array" ref="M3325">IF(ROWS(M$20:M3325)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3325))))</f>
        <v/>
      </c>
    </row>
    <row r="3326" spans="1:13" x14ac:dyDescent="0.25">
      <c r="A3326" s="3">
        <v>41540</v>
      </c>
      <c r="B3326" s="2" t="s">
        <v>50</v>
      </c>
      <c r="C3326" s="2">
        <v>5</v>
      </c>
      <c r="G3326" s="7" t="str">
        <f t="array" ref="G3326">IF(ROWS(K$20:K3326)&gt;$F$6,"",INDEX(A$2:A$10000,SMALL(IF(ISNUMBER(MATCH($B$2:$B$10000,$E$6:$E$22,0)),ROW($C$2:$C$10000)-ROW($C$2)+1),ROWS(K$20:K3326))))</f>
        <v/>
      </c>
      <c r="H3326" s="4" t="str">
        <f t="array" ref="H3326">IF(ROWS(L$20:L3326)&gt;$F$6,"",INDEX(B$2:B$10000,SMALL(IF(ISNUMBER(MATCH($B$2:$B$10000,$E$6:$E$22,0)),ROW($C$2:$C$10000)-ROW($C$2)+1),ROWS(L$20:L3326))))</f>
        <v/>
      </c>
      <c r="I3326" s="4" t="str">
        <f t="array" ref="I3326">IF(ROWS(M$20:M3326)&gt;$F$6,"",INDEX(C$2:C$10000,SMALL(IF(ISNUMBER(MATCH($B$2:$B$10000,$E$6:$E$22,0)),ROW($C$2:$C$10000)-ROW($C$2)+1),ROWS(M$20:M3326))))</f>
        <v/>
      </c>
      <c r="K3326" s="7" t="str">
        <f t="array" ref="K3326">IF(ROWS(K$20:K3326)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3326))))</f>
        <v/>
      </c>
      <c r="L3326" s="4" t="str">
        <f t="array" ref="L3326">IF(ROWS(L$20:L3326)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3326))))</f>
        <v/>
      </c>
      <c r="M3326" s="4" t="str">
        <f t="array" ref="M3326">IF(ROWS(M$20:M3326)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3326))))</f>
        <v/>
      </c>
    </row>
    <row r="3327" spans="1:13" x14ac:dyDescent="0.25">
      <c r="A3327" s="3">
        <v>41722</v>
      </c>
      <c r="B3327" s="2" t="s">
        <v>25</v>
      </c>
      <c r="C3327" s="2">
        <v>42</v>
      </c>
      <c r="G3327" s="7" t="str">
        <f t="array" ref="G3327">IF(ROWS(K$20:K3327)&gt;$F$6,"",INDEX(A$2:A$10000,SMALL(IF(ISNUMBER(MATCH($B$2:$B$10000,$E$6:$E$22,0)),ROW($C$2:$C$10000)-ROW($C$2)+1),ROWS(K$20:K3327))))</f>
        <v/>
      </c>
      <c r="H3327" s="4" t="str">
        <f t="array" ref="H3327">IF(ROWS(L$20:L3327)&gt;$F$6,"",INDEX(B$2:B$10000,SMALL(IF(ISNUMBER(MATCH($B$2:$B$10000,$E$6:$E$22,0)),ROW($C$2:$C$10000)-ROW($C$2)+1),ROWS(L$20:L3327))))</f>
        <v/>
      </c>
      <c r="I3327" s="4" t="str">
        <f t="array" ref="I3327">IF(ROWS(M$20:M3327)&gt;$F$6,"",INDEX(C$2:C$10000,SMALL(IF(ISNUMBER(MATCH($B$2:$B$10000,$E$6:$E$22,0)),ROW($C$2:$C$10000)-ROW($C$2)+1),ROWS(M$20:M3327))))</f>
        <v/>
      </c>
      <c r="K3327" s="7" t="str">
        <f t="array" ref="K3327">IF(ROWS(K$20:K3327)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3327))))</f>
        <v/>
      </c>
      <c r="L3327" s="4" t="str">
        <f t="array" ref="L3327">IF(ROWS(L$20:L3327)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3327))))</f>
        <v/>
      </c>
      <c r="M3327" s="4" t="str">
        <f t="array" ref="M3327">IF(ROWS(M$20:M3327)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3327))))</f>
        <v/>
      </c>
    </row>
    <row r="3328" spans="1:13" x14ac:dyDescent="0.25">
      <c r="A3328" s="3">
        <v>41421</v>
      </c>
      <c r="B3328" s="2" t="s">
        <v>3</v>
      </c>
      <c r="C3328" s="2">
        <v>43</v>
      </c>
      <c r="G3328" s="7" t="str">
        <f t="array" ref="G3328">IF(ROWS(K$20:K3328)&gt;$F$6,"",INDEX(A$2:A$10000,SMALL(IF(ISNUMBER(MATCH($B$2:$B$10000,$E$6:$E$22,0)),ROW($C$2:$C$10000)-ROW($C$2)+1),ROWS(K$20:K3328))))</f>
        <v/>
      </c>
      <c r="H3328" s="4" t="str">
        <f t="array" ref="H3328">IF(ROWS(L$20:L3328)&gt;$F$6,"",INDEX(B$2:B$10000,SMALL(IF(ISNUMBER(MATCH($B$2:$B$10000,$E$6:$E$22,0)),ROW($C$2:$C$10000)-ROW($C$2)+1),ROWS(L$20:L3328))))</f>
        <v/>
      </c>
      <c r="I3328" s="4" t="str">
        <f t="array" ref="I3328">IF(ROWS(M$20:M3328)&gt;$F$6,"",INDEX(C$2:C$10000,SMALL(IF(ISNUMBER(MATCH($B$2:$B$10000,$E$6:$E$22,0)),ROW($C$2:$C$10000)-ROW($C$2)+1),ROWS(M$20:M3328))))</f>
        <v/>
      </c>
      <c r="K3328" s="7" t="str">
        <f t="array" ref="K3328">IF(ROWS(K$20:K3328)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3328))))</f>
        <v/>
      </c>
      <c r="L3328" s="4" t="str">
        <f t="array" ref="L3328">IF(ROWS(L$20:L3328)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3328))))</f>
        <v/>
      </c>
      <c r="M3328" s="4" t="str">
        <f t="array" ref="M3328">IF(ROWS(M$20:M3328)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3328))))</f>
        <v/>
      </c>
    </row>
    <row r="3329" spans="1:13" x14ac:dyDescent="0.25">
      <c r="A3329" s="3">
        <v>41836</v>
      </c>
      <c r="B3329" s="2" t="s">
        <v>47</v>
      </c>
      <c r="C3329" s="2">
        <v>23</v>
      </c>
      <c r="G3329" s="7" t="str">
        <f t="array" ref="G3329">IF(ROWS(K$20:K3329)&gt;$F$6,"",INDEX(A$2:A$10000,SMALL(IF(ISNUMBER(MATCH($B$2:$B$10000,$E$6:$E$22,0)),ROW($C$2:$C$10000)-ROW($C$2)+1),ROWS(K$20:K3329))))</f>
        <v/>
      </c>
      <c r="H3329" s="4" t="str">
        <f t="array" ref="H3329">IF(ROWS(L$20:L3329)&gt;$F$6,"",INDEX(B$2:B$10000,SMALL(IF(ISNUMBER(MATCH($B$2:$B$10000,$E$6:$E$22,0)),ROW($C$2:$C$10000)-ROW($C$2)+1),ROWS(L$20:L3329))))</f>
        <v/>
      </c>
      <c r="I3329" s="4" t="str">
        <f t="array" ref="I3329">IF(ROWS(M$20:M3329)&gt;$F$6,"",INDEX(C$2:C$10000,SMALL(IF(ISNUMBER(MATCH($B$2:$B$10000,$E$6:$E$22,0)),ROW($C$2:$C$10000)-ROW($C$2)+1),ROWS(M$20:M3329))))</f>
        <v/>
      </c>
      <c r="K3329" s="7" t="str">
        <f t="array" ref="K3329">IF(ROWS(K$20:K3329)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3329))))</f>
        <v/>
      </c>
      <c r="L3329" s="4" t="str">
        <f t="array" ref="L3329">IF(ROWS(L$20:L3329)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3329))))</f>
        <v/>
      </c>
      <c r="M3329" s="4" t="str">
        <f t="array" ref="M3329">IF(ROWS(M$20:M3329)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3329))))</f>
        <v/>
      </c>
    </row>
    <row r="3330" spans="1:13" x14ac:dyDescent="0.25">
      <c r="A3330" s="3">
        <v>41294</v>
      </c>
      <c r="B3330" s="2" t="s">
        <v>43</v>
      </c>
      <c r="C3330" s="2">
        <v>44</v>
      </c>
      <c r="G3330" s="7" t="str">
        <f t="array" ref="G3330">IF(ROWS(K$20:K3330)&gt;$F$6,"",INDEX(A$2:A$10000,SMALL(IF(ISNUMBER(MATCH($B$2:$B$10000,$E$6:$E$22,0)),ROW($C$2:$C$10000)-ROW($C$2)+1),ROWS(K$20:K3330))))</f>
        <v/>
      </c>
      <c r="H3330" s="4" t="str">
        <f t="array" ref="H3330">IF(ROWS(L$20:L3330)&gt;$F$6,"",INDEX(B$2:B$10000,SMALL(IF(ISNUMBER(MATCH($B$2:$B$10000,$E$6:$E$22,0)),ROW($C$2:$C$10000)-ROW($C$2)+1),ROWS(L$20:L3330))))</f>
        <v/>
      </c>
      <c r="I3330" s="4" t="str">
        <f t="array" ref="I3330">IF(ROWS(M$20:M3330)&gt;$F$6,"",INDEX(C$2:C$10000,SMALL(IF(ISNUMBER(MATCH($B$2:$B$10000,$E$6:$E$22,0)),ROW($C$2:$C$10000)-ROW($C$2)+1),ROWS(M$20:M3330))))</f>
        <v/>
      </c>
      <c r="K3330" s="7" t="str">
        <f t="array" ref="K3330">IF(ROWS(K$20:K3330)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3330))))</f>
        <v/>
      </c>
      <c r="L3330" s="4" t="str">
        <f t="array" ref="L3330">IF(ROWS(L$20:L3330)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3330))))</f>
        <v/>
      </c>
      <c r="M3330" s="4" t="str">
        <f t="array" ref="M3330">IF(ROWS(M$20:M3330)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3330))))</f>
        <v/>
      </c>
    </row>
    <row r="3331" spans="1:13" x14ac:dyDescent="0.25">
      <c r="A3331" s="3">
        <v>41848</v>
      </c>
      <c r="B3331" s="2" t="s">
        <v>11</v>
      </c>
      <c r="C3331" s="2">
        <v>42</v>
      </c>
      <c r="G3331" s="7" t="str">
        <f t="array" ref="G3331">IF(ROWS(K$20:K3331)&gt;$F$6,"",INDEX(A$2:A$10000,SMALL(IF(ISNUMBER(MATCH($B$2:$B$10000,$E$6:$E$22,0)),ROW($C$2:$C$10000)-ROW($C$2)+1),ROWS(K$20:K3331))))</f>
        <v/>
      </c>
      <c r="H3331" s="4" t="str">
        <f t="array" ref="H3331">IF(ROWS(L$20:L3331)&gt;$F$6,"",INDEX(B$2:B$10000,SMALL(IF(ISNUMBER(MATCH($B$2:$B$10000,$E$6:$E$22,0)),ROW($C$2:$C$10000)-ROW($C$2)+1),ROWS(L$20:L3331))))</f>
        <v/>
      </c>
      <c r="I3331" s="4" t="str">
        <f t="array" ref="I3331">IF(ROWS(M$20:M3331)&gt;$F$6,"",INDEX(C$2:C$10000,SMALL(IF(ISNUMBER(MATCH($B$2:$B$10000,$E$6:$E$22,0)),ROW($C$2:$C$10000)-ROW($C$2)+1),ROWS(M$20:M3331))))</f>
        <v/>
      </c>
      <c r="K3331" s="7" t="str">
        <f t="array" ref="K3331">IF(ROWS(K$20:K3331)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3331))))</f>
        <v/>
      </c>
      <c r="L3331" s="4" t="str">
        <f t="array" ref="L3331">IF(ROWS(L$20:L3331)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3331))))</f>
        <v/>
      </c>
      <c r="M3331" s="4" t="str">
        <f t="array" ref="M3331">IF(ROWS(M$20:M3331)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3331))))</f>
        <v/>
      </c>
    </row>
    <row r="3332" spans="1:13" x14ac:dyDescent="0.25">
      <c r="A3332" s="3">
        <v>41723</v>
      </c>
      <c r="B3332" s="2" t="s">
        <v>29</v>
      </c>
      <c r="C3332" s="2">
        <v>26</v>
      </c>
      <c r="G3332" s="7" t="str">
        <f t="array" ref="G3332">IF(ROWS(K$20:K3332)&gt;$F$6,"",INDEX(A$2:A$10000,SMALL(IF(ISNUMBER(MATCH($B$2:$B$10000,$E$6:$E$22,0)),ROW($C$2:$C$10000)-ROW($C$2)+1),ROWS(K$20:K3332))))</f>
        <v/>
      </c>
      <c r="H3332" s="4" t="str">
        <f t="array" ref="H3332">IF(ROWS(L$20:L3332)&gt;$F$6,"",INDEX(B$2:B$10000,SMALL(IF(ISNUMBER(MATCH($B$2:$B$10000,$E$6:$E$22,0)),ROW($C$2:$C$10000)-ROW($C$2)+1),ROWS(L$20:L3332))))</f>
        <v/>
      </c>
      <c r="I3332" s="4" t="str">
        <f t="array" ref="I3332">IF(ROWS(M$20:M3332)&gt;$F$6,"",INDEX(C$2:C$10000,SMALL(IF(ISNUMBER(MATCH($B$2:$B$10000,$E$6:$E$22,0)),ROW($C$2:$C$10000)-ROW($C$2)+1),ROWS(M$20:M3332))))</f>
        <v/>
      </c>
      <c r="K3332" s="7" t="str">
        <f t="array" ref="K3332">IF(ROWS(K$20:K3332)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3332))))</f>
        <v/>
      </c>
      <c r="L3332" s="4" t="str">
        <f t="array" ref="L3332">IF(ROWS(L$20:L3332)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3332))))</f>
        <v/>
      </c>
      <c r="M3332" s="4" t="str">
        <f t="array" ref="M3332">IF(ROWS(M$20:M3332)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3332))))</f>
        <v/>
      </c>
    </row>
    <row r="3333" spans="1:13" x14ac:dyDescent="0.25">
      <c r="A3333" s="3">
        <v>41815</v>
      </c>
      <c r="B3333" s="2" t="s">
        <v>49</v>
      </c>
      <c r="C3333" s="2">
        <v>12</v>
      </c>
      <c r="G3333" s="7" t="str">
        <f t="array" ref="G3333">IF(ROWS(K$20:K3333)&gt;$F$6,"",INDEX(A$2:A$10000,SMALL(IF(ISNUMBER(MATCH($B$2:$B$10000,$E$6:$E$22,0)),ROW($C$2:$C$10000)-ROW($C$2)+1),ROWS(K$20:K3333))))</f>
        <v/>
      </c>
      <c r="H3333" s="4" t="str">
        <f t="array" ref="H3333">IF(ROWS(L$20:L3333)&gt;$F$6,"",INDEX(B$2:B$10000,SMALL(IF(ISNUMBER(MATCH($B$2:$B$10000,$E$6:$E$22,0)),ROW($C$2:$C$10000)-ROW($C$2)+1),ROWS(L$20:L3333))))</f>
        <v/>
      </c>
      <c r="I3333" s="4" t="str">
        <f t="array" ref="I3333">IF(ROWS(M$20:M3333)&gt;$F$6,"",INDEX(C$2:C$10000,SMALL(IF(ISNUMBER(MATCH($B$2:$B$10000,$E$6:$E$22,0)),ROW($C$2:$C$10000)-ROW($C$2)+1),ROWS(M$20:M3333))))</f>
        <v/>
      </c>
      <c r="K3333" s="7" t="str">
        <f t="array" ref="K3333">IF(ROWS(K$20:K3333)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3333))))</f>
        <v/>
      </c>
      <c r="L3333" s="4" t="str">
        <f t="array" ref="L3333">IF(ROWS(L$20:L3333)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3333))))</f>
        <v/>
      </c>
      <c r="M3333" s="4" t="str">
        <f t="array" ref="M3333">IF(ROWS(M$20:M3333)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3333))))</f>
        <v/>
      </c>
    </row>
    <row r="3334" spans="1:13" x14ac:dyDescent="0.25">
      <c r="A3334" s="3">
        <v>41501</v>
      </c>
      <c r="B3334" s="2" t="s">
        <v>13</v>
      </c>
      <c r="C3334" s="2">
        <v>4</v>
      </c>
      <c r="G3334" s="7" t="str">
        <f t="array" ref="G3334">IF(ROWS(K$20:K3334)&gt;$F$6,"",INDEX(A$2:A$10000,SMALL(IF(ISNUMBER(MATCH($B$2:$B$10000,$E$6:$E$22,0)),ROW($C$2:$C$10000)-ROW($C$2)+1),ROWS(K$20:K3334))))</f>
        <v/>
      </c>
      <c r="H3334" s="4" t="str">
        <f t="array" ref="H3334">IF(ROWS(L$20:L3334)&gt;$F$6,"",INDEX(B$2:B$10000,SMALL(IF(ISNUMBER(MATCH($B$2:$B$10000,$E$6:$E$22,0)),ROW($C$2:$C$10000)-ROW($C$2)+1),ROWS(L$20:L3334))))</f>
        <v/>
      </c>
      <c r="I3334" s="4" t="str">
        <f t="array" ref="I3334">IF(ROWS(M$20:M3334)&gt;$F$6,"",INDEX(C$2:C$10000,SMALL(IF(ISNUMBER(MATCH($B$2:$B$10000,$E$6:$E$22,0)),ROW($C$2:$C$10000)-ROW($C$2)+1),ROWS(M$20:M3334))))</f>
        <v/>
      </c>
      <c r="K3334" s="7" t="str">
        <f t="array" ref="K3334">IF(ROWS(K$20:K3334)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3334))))</f>
        <v/>
      </c>
      <c r="L3334" s="4" t="str">
        <f t="array" ref="L3334">IF(ROWS(L$20:L3334)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3334))))</f>
        <v/>
      </c>
      <c r="M3334" s="4" t="str">
        <f t="array" ref="M3334">IF(ROWS(M$20:M3334)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3334))))</f>
        <v/>
      </c>
    </row>
    <row r="3335" spans="1:13" x14ac:dyDescent="0.25">
      <c r="A3335" s="3">
        <v>41770</v>
      </c>
      <c r="B3335" s="2" t="s">
        <v>9</v>
      </c>
      <c r="C3335" s="2">
        <v>2</v>
      </c>
      <c r="G3335" s="7" t="str">
        <f t="array" ref="G3335">IF(ROWS(K$20:K3335)&gt;$F$6,"",INDEX(A$2:A$10000,SMALL(IF(ISNUMBER(MATCH($B$2:$B$10000,$E$6:$E$22,0)),ROW($C$2:$C$10000)-ROW($C$2)+1),ROWS(K$20:K3335))))</f>
        <v/>
      </c>
      <c r="H3335" s="4" t="str">
        <f t="array" ref="H3335">IF(ROWS(L$20:L3335)&gt;$F$6,"",INDEX(B$2:B$10000,SMALL(IF(ISNUMBER(MATCH($B$2:$B$10000,$E$6:$E$22,0)),ROW($C$2:$C$10000)-ROW($C$2)+1),ROWS(L$20:L3335))))</f>
        <v/>
      </c>
      <c r="I3335" s="4" t="str">
        <f t="array" ref="I3335">IF(ROWS(M$20:M3335)&gt;$F$6,"",INDEX(C$2:C$10000,SMALL(IF(ISNUMBER(MATCH($B$2:$B$10000,$E$6:$E$22,0)),ROW($C$2:$C$10000)-ROW($C$2)+1),ROWS(M$20:M3335))))</f>
        <v/>
      </c>
      <c r="K3335" s="7" t="str">
        <f t="array" ref="K3335">IF(ROWS(K$20:K3335)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3335))))</f>
        <v/>
      </c>
      <c r="L3335" s="4" t="str">
        <f t="array" ref="L3335">IF(ROWS(L$20:L3335)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3335))))</f>
        <v/>
      </c>
      <c r="M3335" s="4" t="str">
        <f t="array" ref="M3335">IF(ROWS(M$20:M3335)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3335))))</f>
        <v/>
      </c>
    </row>
    <row r="3336" spans="1:13" x14ac:dyDescent="0.25">
      <c r="A3336" s="3">
        <v>41754</v>
      </c>
      <c r="B3336" s="2" t="s">
        <v>13</v>
      </c>
      <c r="C3336" s="2">
        <v>47</v>
      </c>
      <c r="G3336" s="7" t="str">
        <f t="array" ref="G3336">IF(ROWS(K$20:K3336)&gt;$F$6,"",INDEX(A$2:A$10000,SMALL(IF(ISNUMBER(MATCH($B$2:$B$10000,$E$6:$E$22,0)),ROW($C$2:$C$10000)-ROW($C$2)+1),ROWS(K$20:K3336))))</f>
        <v/>
      </c>
      <c r="H3336" s="4" t="str">
        <f t="array" ref="H3336">IF(ROWS(L$20:L3336)&gt;$F$6,"",INDEX(B$2:B$10000,SMALL(IF(ISNUMBER(MATCH($B$2:$B$10000,$E$6:$E$22,0)),ROW($C$2:$C$10000)-ROW($C$2)+1),ROWS(L$20:L3336))))</f>
        <v/>
      </c>
      <c r="I3336" s="4" t="str">
        <f t="array" ref="I3336">IF(ROWS(M$20:M3336)&gt;$F$6,"",INDEX(C$2:C$10000,SMALL(IF(ISNUMBER(MATCH($B$2:$B$10000,$E$6:$E$22,0)),ROW($C$2:$C$10000)-ROW($C$2)+1),ROWS(M$20:M3336))))</f>
        <v/>
      </c>
      <c r="K3336" s="7" t="str">
        <f t="array" ref="K3336">IF(ROWS(K$20:K3336)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3336))))</f>
        <v/>
      </c>
      <c r="L3336" s="4" t="str">
        <f t="array" ref="L3336">IF(ROWS(L$20:L3336)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3336))))</f>
        <v/>
      </c>
      <c r="M3336" s="4" t="str">
        <f t="array" ref="M3336">IF(ROWS(M$20:M3336)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3336))))</f>
        <v/>
      </c>
    </row>
    <row r="3337" spans="1:13" x14ac:dyDescent="0.25">
      <c r="A3337" s="3">
        <v>41771</v>
      </c>
      <c r="B3337" s="2" t="s">
        <v>18</v>
      </c>
      <c r="C3337" s="2">
        <v>4</v>
      </c>
      <c r="G3337" s="7" t="str">
        <f t="array" ref="G3337">IF(ROWS(K$20:K3337)&gt;$F$6,"",INDEX(A$2:A$10000,SMALL(IF(ISNUMBER(MATCH($B$2:$B$10000,$E$6:$E$22,0)),ROW($C$2:$C$10000)-ROW($C$2)+1),ROWS(K$20:K3337))))</f>
        <v/>
      </c>
      <c r="H3337" s="4" t="str">
        <f t="array" ref="H3337">IF(ROWS(L$20:L3337)&gt;$F$6,"",INDEX(B$2:B$10000,SMALL(IF(ISNUMBER(MATCH($B$2:$B$10000,$E$6:$E$22,0)),ROW($C$2:$C$10000)-ROW($C$2)+1),ROWS(L$20:L3337))))</f>
        <v/>
      </c>
      <c r="I3337" s="4" t="str">
        <f t="array" ref="I3337">IF(ROWS(M$20:M3337)&gt;$F$6,"",INDEX(C$2:C$10000,SMALL(IF(ISNUMBER(MATCH($B$2:$B$10000,$E$6:$E$22,0)),ROW($C$2:$C$10000)-ROW($C$2)+1),ROWS(M$20:M3337))))</f>
        <v/>
      </c>
      <c r="K3337" s="7" t="str">
        <f t="array" ref="K3337">IF(ROWS(K$20:K3337)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3337))))</f>
        <v/>
      </c>
      <c r="L3337" s="4" t="str">
        <f t="array" ref="L3337">IF(ROWS(L$20:L3337)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3337))))</f>
        <v/>
      </c>
      <c r="M3337" s="4" t="str">
        <f t="array" ref="M3337">IF(ROWS(M$20:M3337)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3337))))</f>
        <v/>
      </c>
    </row>
    <row r="3338" spans="1:13" x14ac:dyDescent="0.25">
      <c r="A3338" s="3">
        <v>41923</v>
      </c>
      <c r="B3338" s="2" t="s">
        <v>16</v>
      </c>
      <c r="C3338" s="2">
        <v>7</v>
      </c>
      <c r="G3338" s="7" t="str">
        <f t="array" ref="G3338">IF(ROWS(K$20:K3338)&gt;$F$6,"",INDEX(A$2:A$10000,SMALL(IF(ISNUMBER(MATCH($B$2:$B$10000,$E$6:$E$22,0)),ROW($C$2:$C$10000)-ROW($C$2)+1),ROWS(K$20:K3338))))</f>
        <v/>
      </c>
      <c r="H3338" s="4" t="str">
        <f t="array" ref="H3338">IF(ROWS(L$20:L3338)&gt;$F$6,"",INDEX(B$2:B$10000,SMALL(IF(ISNUMBER(MATCH($B$2:$B$10000,$E$6:$E$22,0)),ROW($C$2:$C$10000)-ROW($C$2)+1),ROWS(L$20:L3338))))</f>
        <v/>
      </c>
      <c r="I3338" s="4" t="str">
        <f t="array" ref="I3338">IF(ROWS(M$20:M3338)&gt;$F$6,"",INDEX(C$2:C$10000,SMALL(IF(ISNUMBER(MATCH($B$2:$B$10000,$E$6:$E$22,0)),ROW($C$2:$C$10000)-ROW($C$2)+1),ROWS(M$20:M3338))))</f>
        <v/>
      </c>
      <c r="K3338" s="7" t="str">
        <f t="array" ref="K3338">IF(ROWS(K$20:K3338)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3338))))</f>
        <v/>
      </c>
      <c r="L3338" s="4" t="str">
        <f t="array" ref="L3338">IF(ROWS(L$20:L3338)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3338))))</f>
        <v/>
      </c>
      <c r="M3338" s="4" t="str">
        <f t="array" ref="M3338">IF(ROWS(M$20:M3338)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3338))))</f>
        <v/>
      </c>
    </row>
    <row r="3339" spans="1:13" x14ac:dyDescent="0.25">
      <c r="A3339" s="3">
        <v>41814</v>
      </c>
      <c r="B3339" s="2" t="s">
        <v>51</v>
      </c>
      <c r="C3339" s="2">
        <v>25</v>
      </c>
      <c r="G3339" s="7" t="str">
        <f t="array" ref="G3339">IF(ROWS(K$20:K3339)&gt;$F$6,"",INDEX(A$2:A$10000,SMALL(IF(ISNUMBER(MATCH($B$2:$B$10000,$E$6:$E$22,0)),ROW($C$2:$C$10000)-ROW($C$2)+1),ROWS(K$20:K3339))))</f>
        <v/>
      </c>
      <c r="H3339" s="4" t="str">
        <f t="array" ref="H3339">IF(ROWS(L$20:L3339)&gt;$F$6,"",INDEX(B$2:B$10000,SMALL(IF(ISNUMBER(MATCH($B$2:$B$10000,$E$6:$E$22,0)),ROW($C$2:$C$10000)-ROW($C$2)+1),ROWS(L$20:L3339))))</f>
        <v/>
      </c>
      <c r="I3339" s="4" t="str">
        <f t="array" ref="I3339">IF(ROWS(M$20:M3339)&gt;$F$6,"",INDEX(C$2:C$10000,SMALL(IF(ISNUMBER(MATCH($B$2:$B$10000,$E$6:$E$22,0)),ROW($C$2:$C$10000)-ROW($C$2)+1),ROWS(M$20:M3339))))</f>
        <v/>
      </c>
      <c r="K3339" s="7" t="str">
        <f t="array" ref="K3339">IF(ROWS(K$20:K3339)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3339))))</f>
        <v/>
      </c>
      <c r="L3339" s="4" t="str">
        <f t="array" ref="L3339">IF(ROWS(L$20:L3339)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3339))))</f>
        <v/>
      </c>
      <c r="M3339" s="4" t="str">
        <f t="array" ref="M3339">IF(ROWS(M$20:M3339)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3339))))</f>
        <v/>
      </c>
    </row>
    <row r="3340" spans="1:13" x14ac:dyDescent="0.25">
      <c r="A3340" s="3">
        <v>41592</v>
      </c>
      <c r="B3340" s="2" t="s">
        <v>37</v>
      </c>
      <c r="C3340" s="2">
        <v>36</v>
      </c>
      <c r="G3340" s="7" t="str">
        <f t="array" ref="G3340">IF(ROWS(K$20:K3340)&gt;$F$6,"",INDEX(A$2:A$10000,SMALL(IF(ISNUMBER(MATCH($B$2:$B$10000,$E$6:$E$22,0)),ROW($C$2:$C$10000)-ROW($C$2)+1),ROWS(K$20:K3340))))</f>
        <v/>
      </c>
      <c r="H3340" s="4" t="str">
        <f t="array" ref="H3340">IF(ROWS(L$20:L3340)&gt;$F$6,"",INDEX(B$2:B$10000,SMALL(IF(ISNUMBER(MATCH($B$2:$B$10000,$E$6:$E$22,0)),ROW($C$2:$C$10000)-ROW($C$2)+1),ROWS(L$20:L3340))))</f>
        <v/>
      </c>
      <c r="I3340" s="4" t="str">
        <f t="array" ref="I3340">IF(ROWS(M$20:M3340)&gt;$F$6,"",INDEX(C$2:C$10000,SMALL(IF(ISNUMBER(MATCH($B$2:$B$10000,$E$6:$E$22,0)),ROW($C$2:$C$10000)-ROW($C$2)+1),ROWS(M$20:M3340))))</f>
        <v/>
      </c>
      <c r="K3340" s="7" t="str">
        <f t="array" ref="K3340">IF(ROWS(K$20:K3340)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3340))))</f>
        <v/>
      </c>
      <c r="L3340" s="4" t="str">
        <f t="array" ref="L3340">IF(ROWS(L$20:L3340)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3340))))</f>
        <v/>
      </c>
      <c r="M3340" s="4" t="str">
        <f t="array" ref="M3340">IF(ROWS(M$20:M3340)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3340))))</f>
        <v/>
      </c>
    </row>
    <row r="3341" spans="1:13" x14ac:dyDescent="0.25">
      <c r="A3341" s="3">
        <v>41962</v>
      </c>
      <c r="B3341" s="2" t="s">
        <v>48</v>
      </c>
      <c r="C3341" s="2">
        <v>21</v>
      </c>
      <c r="G3341" s="7" t="str">
        <f t="array" ref="G3341">IF(ROWS(K$20:K3341)&gt;$F$6,"",INDEX(A$2:A$10000,SMALL(IF(ISNUMBER(MATCH($B$2:$B$10000,$E$6:$E$22,0)),ROW($C$2:$C$10000)-ROW($C$2)+1),ROWS(K$20:K3341))))</f>
        <v/>
      </c>
      <c r="H3341" s="4" t="str">
        <f t="array" ref="H3341">IF(ROWS(L$20:L3341)&gt;$F$6,"",INDEX(B$2:B$10000,SMALL(IF(ISNUMBER(MATCH($B$2:$B$10000,$E$6:$E$22,0)),ROW($C$2:$C$10000)-ROW($C$2)+1),ROWS(L$20:L3341))))</f>
        <v/>
      </c>
      <c r="I3341" s="4" t="str">
        <f t="array" ref="I3341">IF(ROWS(M$20:M3341)&gt;$F$6,"",INDEX(C$2:C$10000,SMALL(IF(ISNUMBER(MATCH($B$2:$B$10000,$E$6:$E$22,0)),ROW($C$2:$C$10000)-ROW($C$2)+1),ROWS(M$20:M3341))))</f>
        <v/>
      </c>
      <c r="K3341" s="7" t="str">
        <f t="array" ref="K3341">IF(ROWS(K$20:K3341)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3341))))</f>
        <v/>
      </c>
      <c r="L3341" s="4" t="str">
        <f t="array" ref="L3341">IF(ROWS(L$20:L3341)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3341))))</f>
        <v/>
      </c>
      <c r="M3341" s="4" t="str">
        <f t="array" ref="M3341">IF(ROWS(M$20:M3341)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3341))))</f>
        <v/>
      </c>
    </row>
    <row r="3342" spans="1:13" x14ac:dyDescent="0.25">
      <c r="A3342" s="3">
        <v>41372</v>
      </c>
      <c r="B3342" s="2" t="s">
        <v>39</v>
      </c>
      <c r="C3342" s="2">
        <v>11</v>
      </c>
      <c r="G3342" s="7" t="str">
        <f t="array" ref="G3342">IF(ROWS(K$20:K3342)&gt;$F$6,"",INDEX(A$2:A$10000,SMALL(IF(ISNUMBER(MATCH($B$2:$B$10000,$E$6:$E$22,0)),ROW($C$2:$C$10000)-ROW($C$2)+1),ROWS(K$20:K3342))))</f>
        <v/>
      </c>
      <c r="H3342" s="4" t="str">
        <f t="array" ref="H3342">IF(ROWS(L$20:L3342)&gt;$F$6,"",INDEX(B$2:B$10000,SMALL(IF(ISNUMBER(MATCH($B$2:$B$10000,$E$6:$E$22,0)),ROW($C$2:$C$10000)-ROW($C$2)+1),ROWS(L$20:L3342))))</f>
        <v/>
      </c>
      <c r="I3342" s="4" t="str">
        <f t="array" ref="I3342">IF(ROWS(M$20:M3342)&gt;$F$6,"",INDEX(C$2:C$10000,SMALL(IF(ISNUMBER(MATCH($B$2:$B$10000,$E$6:$E$22,0)),ROW($C$2:$C$10000)-ROW($C$2)+1),ROWS(M$20:M3342))))</f>
        <v/>
      </c>
      <c r="K3342" s="7" t="str">
        <f t="array" ref="K3342">IF(ROWS(K$20:K3342)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3342))))</f>
        <v/>
      </c>
      <c r="L3342" s="4" t="str">
        <f t="array" ref="L3342">IF(ROWS(L$20:L3342)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3342))))</f>
        <v/>
      </c>
      <c r="M3342" s="4" t="str">
        <f t="array" ref="M3342">IF(ROWS(M$20:M3342)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3342))))</f>
        <v/>
      </c>
    </row>
    <row r="3343" spans="1:13" x14ac:dyDescent="0.25">
      <c r="A3343" s="3">
        <v>41564</v>
      </c>
      <c r="B3343" s="2" t="s">
        <v>51</v>
      </c>
      <c r="C3343" s="2">
        <v>44</v>
      </c>
      <c r="G3343" s="7" t="str">
        <f t="array" ref="G3343">IF(ROWS(K$20:K3343)&gt;$F$6,"",INDEX(A$2:A$10000,SMALL(IF(ISNUMBER(MATCH($B$2:$B$10000,$E$6:$E$22,0)),ROW($C$2:$C$10000)-ROW($C$2)+1),ROWS(K$20:K3343))))</f>
        <v/>
      </c>
      <c r="H3343" s="4" t="str">
        <f t="array" ref="H3343">IF(ROWS(L$20:L3343)&gt;$F$6,"",INDEX(B$2:B$10000,SMALL(IF(ISNUMBER(MATCH($B$2:$B$10000,$E$6:$E$22,0)),ROW($C$2:$C$10000)-ROW($C$2)+1),ROWS(L$20:L3343))))</f>
        <v/>
      </c>
      <c r="I3343" s="4" t="str">
        <f t="array" ref="I3343">IF(ROWS(M$20:M3343)&gt;$F$6,"",INDEX(C$2:C$10000,SMALL(IF(ISNUMBER(MATCH($B$2:$B$10000,$E$6:$E$22,0)),ROW($C$2:$C$10000)-ROW($C$2)+1),ROWS(M$20:M3343))))</f>
        <v/>
      </c>
      <c r="K3343" s="7" t="str">
        <f t="array" ref="K3343">IF(ROWS(K$20:K3343)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3343))))</f>
        <v/>
      </c>
      <c r="L3343" s="4" t="str">
        <f t="array" ref="L3343">IF(ROWS(L$20:L3343)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3343))))</f>
        <v/>
      </c>
      <c r="M3343" s="4" t="str">
        <f t="array" ref="M3343">IF(ROWS(M$20:M3343)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3343))))</f>
        <v/>
      </c>
    </row>
    <row r="3344" spans="1:13" x14ac:dyDescent="0.25">
      <c r="A3344" s="3">
        <v>41558</v>
      </c>
      <c r="B3344" s="2" t="s">
        <v>27</v>
      </c>
      <c r="C3344" s="2">
        <v>3</v>
      </c>
      <c r="G3344" s="7" t="str">
        <f t="array" ref="G3344">IF(ROWS(K$20:K3344)&gt;$F$6,"",INDEX(A$2:A$10000,SMALL(IF(ISNUMBER(MATCH($B$2:$B$10000,$E$6:$E$22,0)),ROW($C$2:$C$10000)-ROW($C$2)+1),ROWS(K$20:K3344))))</f>
        <v/>
      </c>
      <c r="H3344" s="4" t="str">
        <f t="array" ref="H3344">IF(ROWS(L$20:L3344)&gt;$F$6,"",INDEX(B$2:B$10000,SMALL(IF(ISNUMBER(MATCH($B$2:$B$10000,$E$6:$E$22,0)),ROW($C$2:$C$10000)-ROW($C$2)+1),ROWS(L$20:L3344))))</f>
        <v/>
      </c>
      <c r="I3344" s="4" t="str">
        <f t="array" ref="I3344">IF(ROWS(M$20:M3344)&gt;$F$6,"",INDEX(C$2:C$10000,SMALL(IF(ISNUMBER(MATCH($B$2:$B$10000,$E$6:$E$22,0)),ROW($C$2:$C$10000)-ROW($C$2)+1),ROWS(M$20:M3344))))</f>
        <v/>
      </c>
      <c r="K3344" s="7" t="str">
        <f t="array" ref="K3344">IF(ROWS(K$20:K3344)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3344))))</f>
        <v/>
      </c>
      <c r="L3344" s="4" t="str">
        <f t="array" ref="L3344">IF(ROWS(L$20:L3344)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3344))))</f>
        <v/>
      </c>
      <c r="M3344" s="4" t="str">
        <f t="array" ref="M3344">IF(ROWS(M$20:M3344)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3344))))</f>
        <v/>
      </c>
    </row>
    <row r="3345" spans="1:13" x14ac:dyDescent="0.25">
      <c r="A3345" s="3">
        <v>41777</v>
      </c>
      <c r="B3345" s="2" t="s">
        <v>24</v>
      </c>
      <c r="C3345" s="2">
        <v>28</v>
      </c>
      <c r="G3345" s="7" t="str">
        <f t="array" ref="G3345">IF(ROWS(K$20:K3345)&gt;$F$6,"",INDEX(A$2:A$10000,SMALL(IF(ISNUMBER(MATCH($B$2:$B$10000,$E$6:$E$22,0)),ROW($C$2:$C$10000)-ROW($C$2)+1),ROWS(K$20:K3345))))</f>
        <v/>
      </c>
      <c r="H3345" s="4" t="str">
        <f t="array" ref="H3345">IF(ROWS(L$20:L3345)&gt;$F$6,"",INDEX(B$2:B$10000,SMALL(IF(ISNUMBER(MATCH($B$2:$B$10000,$E$6:$E$22,0)),ROW($C$2:$C$10000)-ROW($C$2)+1),ROWS(L$20:L3345))))</f>
        <v/>
      </c>
      <c r="I3345" s="4" t="str">
        <f t="array" ref="I3345">IF(ROWS(M$20:M3345)&gt;$F$6,"",INDEX(C$2:C$10000,SMALL(IF(ISNUMBER(MATCH($B$2:$B$10000,$E$6:$E$22,0)),ROW($C$2:$C$10000)-ROW($C$2)+1),ROWS(M$20:M3345))))</f>
        <v/>
      </c>
      <c r="K3345" s="7" t="str">
        <f t="array" ref="K3345">IF(ROWS(K$20:K3345)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3345))))</f>
        <v/>
      </c>
      <c r="L3345" s="4" t="str">
        <f t="array" ref="L3345">IF(ROWS(L$20:L3345)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3345))))</f>
        <v/>
      </c>
      <c r="M3345" s="4" t="str">
        <f t="array" ref="M3345">IF(ROWS(M$20:M3345)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3345))))</f>
        <v/>
      </c>
    </row>
    <row r="3346" spans="1:13" x14ac:dyDescent="0.25">
      <c r="A3346" s="3">
        <v>41644</v>
      </c>
      <c r="B3346" s="2" t="s">
        <v>30</v>
      </c>
      <c r="C3346" s="2">
        <v>27</v>
      </c>
      <c r="G3346" s="7" t="str">
        <f t="array" ref="G3346">IF(ROWS(K$20:K3346)&gt;$F$6,"",INDEX(A$2:A$10000,SMALL(IF(ISNUMBER(MATCH($B$2:$B$10000,$E$6:$E$22,0)),ROW($C$2:$C$10000)-ROW($C$2)+1),ROWS(K$20:K3346))))</f>
        <v/>
      </c>
      <c r="H3346" s="4" t="str">
        <f t="array" ref="H3346">IF(ROWS(L$20:L3346)&gt;$F$6,"",INDEX(B$2:B$10000,SMALL(IF(ISNUMBER(MATCH($B$2:$B$10000,$E$6:$E$22,0)),ROW($C$2:$C$10000)-ROW($C$2)+1),ROWS(L$20:L3346))))</f>
        <v/>
      </c>
      <c r="I3346" s="4" t="str">
        <f t="array" ref="I3346">IF(ROWS(M$20:M3346)&gt;$F$6,"",INDEX(C$2:C$10000,SMALL(IF(ISNUMBER(MATCH($B$2:$B$10000,$E$6:$E$22,0)),ROW($C$2:$C$10000)-ROW($C$2)+1),ROWS(M$20:M3346))))</f>
        <v/>
      </c>
      <c r="K3346" s="7" t="str">
        <f t="array" ref="K3346">IF(ROWS(K$20:K3346)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3346))))</f>
        <v/>
      </c>
      <c r="L3346" s="4" t="str">
        <f t="array" ref="L3346">IF(ROWS(L$20:L3346)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3346))))</f>
        <v/>
      </c>
      <c r="M3346" s="4" t="str">
        <f t="array" ref="M3346">IF(ROWS(M$20:M3346)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3346))))</f>
        <v/>
      </c>
    </row>
    <row r="3347" spans="1:13" x14ac:dyDescent="0.25">
      <c r="A3347" s="3">
        <v>41836</v>
      </c>
      <c r="B3347" s="2" t="s">
        <v>22</v>
      </c>
      <c r="C3347" s="2">
        <v>5</v>
      </c>
      <c r="G3347" s="7" t="str">
        <f t="array" ref="G3347">IF(ROWS(K$20:K3347)&gt;$F$6,"",INDEX(A$2:A$10000,SMALL(IF(ISNUMBER(MATCH($B$2:$B$10000,$E$6:$E$22,0)),ROW($C$2:$C$10000)-ROW($C$2)+1),ROWS(K$20:K3347))))</f>
        <v/>
      </c>
      <c r="H3347" s="4" t="str">
        <f t="array" ref="H3347">IF(ROWS(L$20:L3347)&gt;$F$6,"",INDEX(B$2:B$10000,SMALL(IF(ISNUMBER(MATCH($B$2:$B$10000,$E$6:$E$22,0)),ROW($C$2:$C$10000)-ROW($C$2)+1),ROWS(L$20:L3347))))</f>
        <v/>
      </c>
      <c r="I3347" s="4" t="str">
        <f t="array" ref="I3347">IF(ROWS(M$20:M3347)&gt;$F$6,"",INDEX(C$2:C$10000,SMALL(IF(ISNUMBER(MATCH($B$2:$B$10000,$E$6:$E$22,0)),ROW($C$2:$C$10000)-ROW($C$2)+1),ROWS(M$20:M3347))))</f>
        <v/>
      </c>
      <c r="K3347" s="7" t="str">
        <f t="array" ref="K3347">IF(ROWS(K$20:K3347)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3347))))</f>
        <v/>
      </c>
      <c r="L3347" s="4" t="str">
        <f t="array" ref="L3347">IF(ROWS(L$20:L3347)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3347))))</f>
        <v/>
      </c>
      <c r="M3347" s="4" t="str">
        <f t="array" ref="M3347">IF(ROWS(M$20:M3347)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3347))))</f>
        <v/>
      </c>
    </row>
    <row r="3348" spans="1:13" x14ac:dyDescent="0.25">
      <c r="A3348" s="3">
        <v>41913</v>
      </c>
      <c r="B3348" s="2" t="s">
        <v>39</v>
      </c>
      <c r="C3348" s="2">
        <v>15</v>
      </c>
      <c r="G3348" s="7" t="str">
        <f t="array" ref="G3348">IF(ROWS(K$20:K3348)&gt;$F$6,"",INDEX(A$2:A$10000,SMALL(IF(ISNUMBER(MATCH($B$2:$B$10000,$E$6:$E$22,0)),ROW($C$2:$C$10000)-ROW($C$2)+1),ROWS(K$20:K3348))))</f>
        <v/>
      </c>
      <c r="H3348" s="4" t="str">
        <f t="array" ref="H3348">IF(ROWS(L$20:L3348)&gt;$F$6,"",INDEX(B$2:B$10000,SMALL(IF(ISNUMBER(MATCH($B$2:$B$10000,$E$6:$E$22,0)),ROW($C$2:$C$10000)-ROW($C$2)+1),ROWS(L$20:L3348))))</f>
        <v/>
      </c>
      <c r="I3348" s="4" t="str">
        <f t="array" ref="I3348">IF(ROWS(M$20:M3348)&gt;$F$6,"",INDEX(C$2:C$10000,SMALL(IF(ISNUMBER(MATCH($B$2:$B$10000,$E$6:$E$22,0)),ROW($C$2:$C$10000)-ROW($C$2)+1),ROWS(M$20:M3348))))</f>
        <v/>
      </c>
      <c r="K3348" s="7" t="str">
        <f t="array" ref="K3348">IF(ROWS(K$20:K3348)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3348))))</f>
        <v/>
      </c>
      <c r="L3348" s="4" t="str">
        <f t="array" ref="L3348">IF(ROWS(L$20:L3348)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3348))))</f>
        <v/>
      </c>
      <c r="M3348" s="4" t="str">
        <f t="array" ref="M3348">IF(ROWS(M$20:M3348)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3348))))</f>
        <v/>
      </c>
    </row>
    <row r="3349" spans="1:13" x14ac:dyDescent="0.25">
      <c r="A3349" s="3">
        <v>41635</v>
      </c>
      <c r="B3349" s="2" t="s">
        <v>47</v>
      </c>
      <c r="C3349" s="2">
        <v>32</v>
      </c>
      <c r="G3349" s="7" t="str">
        <f t="array" ref="G3349">IF(ROWS(K$20:K3349)&gt;$F$6,"",INDEX(A$2:A$10000,SMALL(IF(ISNUMBER(MATCH($B$2:$B$10000,$E$6:$E$22,0)),ROW($C$2:$C$10000)-ROW($C$2)+1),ROWS(K$20:K3349))))</f>
        <v/>
      </c>
      <c r="H3349" s="4" t="str">
        <f t="array" ref="H3349">IF(ROWS(L$20:L3349)&gt;$F$6,"",INDEX(B$2:B$10000,SMALL(IF(ISNUMBER(MATCH($B$2:$B$10000,$E$6:$E$22,0)),ROW($C$2:$C$10000)-ROW($C$2)+1),ROWS(L$20:L3349))))</f>
        <v/>
      </c>
      <c r="I3349" s="4" t="str">
        <f t="array" ref="I3349">IF(ROWS(M$20:M3349)&gt;$F$6,"",INDEX(C$2:C$10000,SMALL(IF(ISNUMBER(MATCH($B$2:$B$10000,$E$6:$E$22,0)),ROW($C$2:$C$10000)-ROW($C$2)+1),ROWS(M$20:M3349))))</f>
        <v/>
      </c>
      <c r="K3349" s="7" t="str">
        <f t="array" ref="K3349">IF(ROWS(K$20:K3349)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3349))))</f>
        <v/>
      </c>
      <c r="L3349" s="4" t="str">
        <f t="array" ref="L3349">IF(ROWS(L$20:L3349)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3349))))</f>
        <v/>
      </c>
      <c r="M3349" s="4" t="str">
        <f t="array" ref="M3349">IF(ROWS(M$20:M3349)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3349))))</f>
        <v/>
      </c>
    </row>
    <row r="3350" spans="1:13" x14ac:dyDescent="0.25">
      <c r="A3350" s="3">
        <v>41964</v>
      </c>
      <c r="B3350" s="2" t="s">
        <v>44</v>
      </c>
      <c r="C3350" s="2">
        <v>45</v>
      </c>
      <c r="G3350" s="7" t="str">
        <f t="array" ref="G3350">IF(ROWS(K$20:K3350)&gt;$F$6,"",INDEX(A$2:A$10000,SMALL(IF(ISNUMBER(MATCH($B$2:$B$10000,$E$6:$E$22,0)),ROW($C$2:$C$10000)-ROW($C$2)+1),ROWS(K$20:K3350))))</f>
        <v/>
      </c>
      <c r="H3350" s="4" t="str">
        <f t="array" ref="H3350">IF(ROWS(L$20:L3350)&gt;$F$6,"",INDEX(B$2:B$10000,SMALL(IF(ISNUMBER(MATCH($B$2:$B$10000,$E$6:$E$22,0)),ROW($C$2:$C$10000)-ROW($C$2)+1),ROWS(L$20:L3350))))</f>
        <v/>
      </c>
      <c r="I3350" s="4" t="str">
        <f t="array" ref="I3350">IF(ROWS(M$20:M3350)&gt;$F$6,"",INDEX(C$2:C$10000,SMALL(IF(ISNUMBER(MATCH($B$2:$B$10000,$E$6:$E$22,0)),ROW($C$2:$C$10000)-ROW($C$2)+1),ROWS(M$20:M3350))))</f>
        <v/>
      </c>
      <c r="K3350" s="7" t="str">
        <f t="array" ref="K3350">IF(ROWS(K$20:K3350)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3350))))</f>
        <v/>
      </c>
      <c r="L3350" s="4" t="str">
        <f t="array" ref="L3350">IF(ROWS(L$20:L3350)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3350))))</f>
        <v/>
      </c>
      <c r="M3350" s="4" t="str">
        <f t="array" ref="M3350">IF(ROWS(M$20:M3350)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3350))))</f>
        <v/>
      </c>
    </row>
    <row r="3351" spans="1:13" x14ac:dyDescent="0.25">
      <c r="A3351" s="3">
        <v>41521</v>
      </c>
      <c r="B3351" s="2" t="s">
        <v>14</v>
      </c>
      <c r="C3351" s="2">
        <v>57</v>
      </c>
      <c r="G3351" s="7" t="str">
        <f t="array" ref="G3351">IF(ROWS(K$20:K3351)&gt;$F$6,"",INDEX(A$2:A$10000,SMALL(IF(ISNUMBER(MATCH($B$2:$B$10000,$E$6:$E$22,0)),ROW($C$2:$C$10000)-ROW($C$2)+1),ROWS(K$20:K3351))))</f>
        <v/>
      </c>
      <c r="H3351" s="4" t="str">
        <f t="array" ref="H3351">IF(ROWS(L$20:L3351)&gt;$F$6,"",INDEX(B$2:B$10000,SMALL(IF(ISNUMBER(MATCH($B$2:$B$10000,$E$6:$E$22,0)),ROW($C$2:$C$10000)-ROW($C$2)+1),ROWS(L$20:L3351))))</f>
        <v/>
      </c>
      <c r="I3351" s="4" t="str">
        <f t="array" ref="I3351">IF(ROWS(M$20:M3351)&gt;$F$6,"",INDEX(C$2:C$10000,SMALL(IF(ISNUMBER(MATCH($B$2:$B$10000,$E$6:$E$22,0)),ROW($C$2:$C$10000)-ROW($C$2)+1),ROWS(M$20:M3351))))</f>
        <v/>
      </c>
      <c r="K3351" s="7" t="str">
        <f t="array" ref="K3351">IF(ROWS(K$20:K3351)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3351))))</f>
        <v/>
      </c>
      <c r="L3351" s="4" t="str">
        <f t="array" ref="L3351">IF(ROWS(L$20:L3351)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3351))))</f>
        <v/>
      </c>
      <c r="M3351" s="4" t="str">
        <f t="array" ref="M3351">IF(ROWS(M$20:M3351)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3351))))</f>
        <v/>
      </c>
    </row>
    <row r="3352" spans="1:13" x14ac:dyDescent="0.25">
      <c r="A3352" s="3">
        <v>41593</v>
      </c>
      <c r="B3352" s="2" t="s">
        <v>45</v>
      </c>
      <c r="C3352" s="2">
        <v>10</v>
      </c>
      <c r="G3352" s="7" t="str">
        <f t="array" ref="G3352">IF(ROWS(K$20:K3352)&gt;$F$6,"",INDEX(A$2:A$10000,SMALL(IF(ISNUMBER(MATCH($B$2:$B$10000,$E$6:$E$22,0)),ROW($C$2:$C$10000)-ROW($C$2)+1),ROWS(K$20:K3352))))</f>
        <v/>
      </c>
      <c r="H3352" s="4" t="str">
        <f t="array" ref="H3352">IF(ROWS(L$20:L3352)&gt;$F$6,"",INDEX(B$2:B$10000,SMALL(IF(ISNUMBER(MATCH($B$2:$B$10000,$E$6:$E$22,0)),ROW($C$2:$C$10000)-ROW($C$2)+1),ROWS(L$20:L3352))))</f>
        <v/>
      </c>
      <c r="I3352" s="4" t="str">
        <f t="array" ref="I3352">IF(ROWS(M$20:M3352)&gt;$F$6,"",INDEX(C$2:C$10000,SMALL(IF(ISNUMBER(MATCH($B$2:$B$10000,$E$6:$E$22,0)),ROW($C$2:$C$10000)-ROW($C$2)+1),ROWS(M$20:M3352))))</f>
        <v/>
      </c>
      <c r="K3352" s="7" t="str">
        <f t="array" ref="K3352">IF(ROWS(K$20:K3352)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3352))))</f>
        <v/>
      </c>
      <c r="L3352" s="4" t="str">
        <f t="array" ref="L3352">IF(ROWS(L$20:L3352)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3352))))</f>
        <v/>
      </c>
      <c r="M3352" s="4" t="str">
        <f t="array" ref="M3352">IF(ROWS(M$20:M3352)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3352))))</f>
        <v/>
      </c>
    </row>
    <row r="3353" spans="1:13" x14ac:dyDescent="0.25">
      <c r="A3353" s="3">
        <v>41792</v>
      </c>
      <c r="B3353" s="2" t="s">
        <v>25</v>
      </c>
      <c r="C3353" s="2">
        <v>43</v>
      </c>
      <c r="G3353" s="7" t="str">
        <f t="array" ref="G3353">IF(ROWS(K$20:K3353)&gt;$F$6,"",INDEX(A$2:A$10000,SMALL(IF(ISNUMBER(MATCH($B$2:$B$10000,$E$6:$E$22,0)),ROW($C$2:$C$10000)-ROW($C$2)+1),ROWS(K$20:K3353))))</f>
        <v/>
      </c>
      <c r="H3353" s="4" t="str">
        <f t="array" ref="H3353">IF(ROWS(L$20:L3353)&gt;$F$6,"",INDEX(B$2:B$10000,SMALL(IF(ISNUMBER(MATCH($B$2:$B$10000,$E$6:$E$22,0)),ROW($C$2:$C$10000)-ROW($C$2)+1),ROWS(L$20:L3353))))</f>
        <v/>
      </c>
      <c r="I3353" s="4" t="str">
        <f t="array" ref="I3353">IF(ROWS(M$20:M3353)&gt;$F$6,"",INDEX(C$2:C$10000,SMALL(IF(ISNUMBER(MATCH($B$2:$B$10000,$E$6:$E$22,0)),ROW($C$2:$C$10000)-ROW($C$2)+1),ROWS(M$20:M3353))))</f>
        <v/>
      </c>
      <c r="K3353" s="7" t="str">
        <f t="array" ref="K3353">IF(ROWS(K$20:K3353)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3353))))</f>
        <v/>
      </c>
      <c r="L3353" s="4" t="str">
        <f t="array" ref="L3353">IF(ROWS(L$20:L3353)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3353))))</f>
        <v/>
      </c>
      <c r="M3353" s="4" t="str">
        <f t="array" ref="M3353">IF(ROWS(M$20:M3353)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3353))))</f>
        <v/>
      </c>
    </row>
    <row r="3354" spans="1:13" x14ac:dyDescent="0.25">
      <c r="A3354" s="3">
        <v>41832</v>
      </c>
      <c r="B3354" s="2" t="s">
        <v>18</v>
      </c>
      <c r="C3354" s="2">
        <v>32</v>
      </c>
      <c r="G3354" s="7" t="str">
        <f t="array" ref="G3354">IF(ROWS(K$20:K3354)&gt;$F$6,"",INDEX(A$2:A$10000,SMALL(IF(ISNUMBER(MATCH($B$2:$B$10000,$E$6:$E$22,0)),ROW($C$2:$C$10000)-ROW($C$2)+1),ROWS(K$20:K3354))))</f>
        <v/>
      </c>
      <c r="H3354" s="4" t="str">
        <f t="array" ref="H3354">IF(ROWS(L$20:L3354)&gt;$F$6,"",INDEX(B$2:B$10000,SMALL(IF(ISNUMBER(MATCH($B$2:$B$10000,$E$6:$E$22,0)),ROW($C$2:$C$10000)-ROW($C$2)+1),ROWS(L$20:L3354))))</f>
        <v/>
      </c>
      <c r="I3354" s="4" t="str">
        <f t="array" ref="I3354">IF(ROWS(M$20:M3354)&gt;$F$6,"",INDEX(C$2:C$10000,SMALL(IF(ISNUMBER(MATCH($B$2:$B$10000,$E$6:$E$22,0)),ROW($C$2:$C$10000)-ROW($C$2)+1),ROWS(M$20:M3354))))</f>
        <v/>
      </c>
      <c r="K3354" s="7" t="str">
        <f t="array" ref="K3354">IF(ROWS(K$20:K3354)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3354))))</f>
        <v/>
      </c>
      <c r="L3354" s="4" t="str">
        <f t="array" ref="L3354">IF(ROWS(L$20:L3354)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3354))))</f>
        <v/>
      </c>
      <c r="M3354" s="4" t="str">
        <f t="array" ref="M3354">IF(ROWS(M$20:M3354)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3354))))</f>
        <v/>
      </c>
    </row>
    <row r="3355" spans="1:13" x14ac:dyDescent="0.25">
      <c r="A3355" s="3">
        <v>41456</v>
      </c>
      <c r="B3355" s="2" t="s">
        <v>9</v>
      </c>
      <c r="C3355" s="2">
        <v>29</v>
      </c>
      <c r="G3355" s="7" t="str">
        <f t="array" ref="G3355">IF(ROWS(K$20:K3355)&gt;$F$6,"",INDEX(A$2:A$10000,SMALL(IF(ISNUMBER(MATCH($B$2:$B$10000,$E$6:$E$22,0)),ROW($C$2:$C$10000)-ROW($C$2)+1),ROWS(K$20:K3355))))</f>
        <v/>
      </c>
      <c r="H3355" s="4" t="str">
        <f t="array" ref="H3355">IF(ROWS(L$20:L3355)&gt;$F$6,"",INDEX(B$2:B$10000,SMALL(IF(ISNUMBER(MATCH($B$2:$B$10000,$E$6:$E$22,0)),ROW($C$2:$C$10000)-ROW($C$2)+1),ROWS(L$20:L3355))))</f>
        <v/>
      </c>
      <c r="I3355" s="4" t="str">
        <f t="array" ref="I3355">IF(ROWS(M$20:M3355)&gt;$F$6,"",INDEX(C$2:C$10000,SMALL(IF(ISNUMBER(MATCH($B$2:$B$10000,$E$6:$E$22,0)),ROW($C$2:$C$10000)-ROW($C$2)+1),ROWS(M$20:M3355))))</f>
        <v/>
      </c>
      <c r="K3355" s="7" t="str">
        <f t="array" ref="K3355">IF(ROWS(K$20:K3355)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3355))))</f>
        <v/>
      </c>
      <c r="L3355" s="4" t="str">
        <f t="array" ref="L3355">IF(ROWS(L$20:L3355)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3355))))</f>
        <v/>
      </c>
      <c r="M3355" s="4" t="str">
        <f t="array" ref="M3355">IF(ROWS(M$20:M3355)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3355))))</f>
        <v/>
      </c>
    </row>
    <row r="3356" spans="1:13" x14ac:dyDescent="0.25">
      <c r="A3356" s="3">
        <v>41419</v>
      </c>
      <c r="B3356" s="2" t="s">
        <v>15</v>
      </c>
      <c r="C3356" s="2">
        <v>1</v>
      </c>
      <c r="G3356" s="7" t="str">
        <f t="array" ref="G3356">IF(ROWS(K$20:K3356)&gt;$F$6,"",INDEX(A$2:A$10000,SMALL(IF(ISNUMBER(MATCH($B$2:$B$10000,$E$6:$E$22,0)),ROW($C$2:$C$10000)-ROW($C$2)+1),ROWS(K$20:K3356))))</f>
        <v/>
      </c>
      <c r="H3356" s="4" t="str">
        <f t="array" ref="H3356">IF(ROWS(L$20:L3356)&gt;$F$6,"",INDEX(B$2:B$10000,SMALL(IF(ISNUMBER(MATCH($B$2:$B$10000,$E$6:$E$22,0)),ROW($C$2:$C$10000)-ROW($C$2)+1),ROWS(L$20:L3356))))</f>
        <v/>
      </c>
      <c r="I3356" s="4" t="str">
        <f t="array" ref="I3356">IF(ROWS(M$20:M3356)&gt;$F$6,"",INDEX(C$2:C$10000,SMALL(IF(ISNUMBER(MATCH($B$2:$B$10000,$E$6:$E$22,0)),ROW($C$2:$C$10000)-ROW($C$2)+1),ROWS(M$20:M3356))))</f>
        <v/>
      </c>
      <c r="K3356" s="7" t="str">
        <f t="array" ref="K3356">IF(ROWS(K$20:K3356)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3356))))</f>
        <v/>
      </c>
      <c r="L3356" s="4" t="str">
        <f t="array" ref="L3356">IF(ROWS(L$20:L3356)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3356))))</f>
        <v/>
      </c>
      <c r="M3356" s="4" t="str">
        <f t="array" ref="M3356">IF(ROWS(M$20:M3356)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3356))))</f>
        <v/>
      </c>
    </row>
    <row r="3357" spans="1:13" x14ac:dyDescent="0.25">
      <c r="A3357" s="3">
        <v>41430</v>
      </c>
      <c r="B3357" s="2" t="s">
        <v>42</v>
      </c>
      <c r="C3357" s="2">
        <v>14</v>
      </c>
      <c r="G3357" s="7" t="str">
        <f t="array" ref="G3357">IF(ROWS(K$20:K3357)&gt;$F$6,"",INDEX(A$2:A$10000,SMALL(IF(ISNUMBER(MATCH($B$2:$B$10000,$E$6:$E$22,0)),ROW($C$2:$C$10000)-ROW($C$2)+1),ROWS(K$20:K3357))))</f>
        <v/>
      </c>
      <c r="H3357" s="4" t="str">
        <f t="array" ref="H3357">IF(ROWS(L$20:L3357)&gt;$F$6,"",INDEX(B$2:B$10000,SMALL(IF(ISNUMBER(MATCH($B$2:$B$10000,$E$6:$E$22,0)),ROW($C$2:$C$10000)-ROW($C$2)+1),ROWS(L$20:L3357))))</f>
        <v/>
      </c>
      <c r="I3357" s="4" t="str">
        <f t="array" ref="I3357">IF(ROWS(M$20:M3357)&gt;$F$6,"",INDEX(C$2:C$10000,SMALL(IF(ISNUMBER(MATCH($B$2:$B$10000,$E$6:$E$22,0)),ROW($C$2:$C$10000)-ROW($C$2)+1),ROWS(M$20:M3357))))</f>
        <v/>
      </c>
      <c r="K3357" s="7" t="str">
        <f t="array" ref="K3357">IF(ROWS(K$20:K3357)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3357))))</f>
        <v/>
      </c>
      <c r="L3357" s="4" t="str">
        <f t="array" ref="L3357">IF(ROWS(L$20:L3357)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3357))))</f>
        <v/>
      </c>
      <c r="M3357" s="4" t="str">
        <f t="array" ref="M3357">IF(ROWS(M$20:M3357)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3357))))</f>
        <v/>
      </c>
    </row>
    <row r="3358" spans="1:13" x14ac:dyDescent="0.25">
      <c r="A3358" s="3">
        <v>41360</v>
      </c>
      <c r="B3358" s="2" t="s">
        <v>22</v>
      </c>
      <c r="C3358" s="2">
        <v>58</v>
      </c>
      <c r="G3358" s="7" t="str">
        <f t="array" ref="G3358">IF(ROWS(K$20:K3358)&gt;$F$6,"",INDEX(A$2:A$10000,SMALL(IF(ISNUMBER(MATCH($B$2:$B$10000,$E$6:$E$22,0)),ROW($C$2:$C$10000)-ROW($C$2)+1),ROWS(K$20:K3358))))</f>
        <v/>
      </c>
      <c r="H3358" s="4" t="str">
        <f t="array" ref="H3358">IF(ROWS(L$20:L3358)&gt;$F$6,"",INDEX(B$2:B$10000,SMALL(IF(ISNUMBER(MATCH($B$2:$B$10000,$E$6:$E$22,0)),ROW($C$2:$C$10000)-ROW($C$2)+1),ROWS(L$20:L3358))))</f>
        <v/>
      </c>
      <c r="I3358" s="4" t="str">
        <f t="array" ref="I3358">IF(ROWS(M$20:M3358)&gt;$F$6,"",INDEX(C$2:C$10000,SMALL(IF(ISNUMBER(MATCH($B$2:$B$10000,$E$6:$E$22,0)),ROW($C$2:$C$10000)-ROW($C$2)+1),ROWS(M$20:M3358))))</f>
        <v/>
      </c>
      <c r="K3358" s="7" t="str">
        <f t="array" ref="K3358">IF(ROWS(K$20:K3358)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3358))))</f>
        <v/>
      </c>
      <c r="L3358" s="4" t="str">
        <f t="array" ref="L3358">IF(ROWS(L$20:L3358)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3358))))</f>
        <v/>
      </c>
      <c r="M3358" s="4" t="str">
        <f t="array" ref="M3358">IF(ROWS(M$20:M3358)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3358))))</f>
        <v/>
      </c>
    </row>
    <row r="3359" spans="1:13" x14ac:dyDescent="0.25">
      <c r="A3359" s="3">
        <v>41945</v>
      </c>
      <c r="B3359" s="2" t="s">
        <v>45</v>
      </c>
      <c r="C3359" s="2">
        <v>11</v>
      </c>
      <c r="G3359" s="7" t="str">
        <f t="array" ref="G3359">IF(ROWS(K$20:K3359)&gt;$F$6,"",INDEX(A$2:A$10000,SMALL(IF(ISNUMBER(MATCH($B$2:$B$10000,$E$6:$E$22,0)),ROW($C$2:$C$10000)-ROW($C$2)+1),ROWS(K$20:K3359))))</f>
        <v/>
      </c>
      <c r="H3359" s="4" t="str">
        <f t="array" ref="H3359">IF(ROWS(L$20:L3359)&gt;$F$6,"",INDEX(B$2:B$10000,SMALL(IF(ISNUMBER(MATCH($B$2:$B$10000,$E$6:$E$22,0)),ROW($C$2:$C$10000)-ROW($C$2)+1),ROWS(L$20:L3359))))</f>
        <v/>
      </c>
      <c r="I3359" s="4" t="str">
        <f t="array" ref="I3359">IF(ROWS(M$20:M3359)&gt;$F$6,"",INDEX(C$2:C$10000,SMALL(IF(ISNUMBER(MATCH($B$2:$B$10000,$E$6:$E$22,0)),ROW($C$2:$C$10000)-ROW($C$2)+1),ROWS(M$20:M3359))))</f>
        <v/>
      </c>
      <c r="K3359" s="7" t="str">
        <f t="array" ref="K3359">IF(ROWS(K$20:K3359)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3359))))</f>
        <v/>
      </c>
      <c r="L3359" s="4" t="str">
        <f t="array" ref="L3359">IF(ROWS(L$20:L3359)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3359))))</f>
        <v/>
      </c>
      <c r="M3359" s="4" t="str">
        <f t="array" ref="M3359">IF(ROWS(M$20:M3359)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3359))))</f>
        <v/>
      </c>
    </row>
    <row r="3360" spans="1:13" x14ac:dyDescent="0.25">
      <c r="A3360" s="3">
        <v>41713</v>
      </c>
      <c r="B3360" s="2" t="s">
        <v>5</v>
      </c>
      <c r="C3360" s="2">
        <v>37</v>
      </c>
      <c r="G3360" s="7" t="str">
        <f t="array" ref="G3360">IF(ROWS(K$20:K3360)&gt;$F$6,"",INDEX(A$2:A$10000,SMALL(IF(ISNUMBER(MATCH($B$2:$B$10000,$E$6:$E$22,0)),ROW($C$2:$C$10000)-ROW($C$2)+1),ROWS(K$20:K3360))))</f>
        <v/>
      </c>
      <c r="H3360" s="4" t="str">
        <f t="array" ref="H3360">IF(ROWS(L$20:L3360)&gt;$F$6,"",INDEX(B$2:B$10000,SMALL(IF(ISNUMBER(MATCH($B$2:$B$10000,$E$6:$E$22,0)),ROW($C$2:$C$10000)-ROW($C$2)+1),ROWS(L$20:L3360))))</f>
        <v/>
      </c>
      <c r="I3360" s="4" t="str">
        <f t="array" ref="I3360">IF(ROWS(M$20:M3360)&gt;$F$6,"",INDEX(C$2:C$10000,SMALL(IF(ISNUMBER(MATCH($B$2:$B$10000,$E$6:$E$22,0)),ROW($C$2:$C$10000)-ROW($C$2)+1),ROWS(M$20:M3360))))</f>
        <v/>
      </c>
      <c r="K3360" s="7" t="str">
        <f t="array" ref="K3360">IF(ROWS(K$20:K3360)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3360))))</f>
        <v/>
      </c>
      <c r="L3360" s="4" t="str">
        <f t="array" ref="L3360">IF(ROWS(L$20:L3360)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3360))))</f>
        <v/>
      </c>
      <c r="M3360" s="4" t="str">
        <f t="array" ref="M3360">IF(ROWS(M$20:M3360)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3360))))</f>
        <v/>
      </c>
    </row>
    <row r="3361" spans="1:13" x14ac:dyDescent="0.25">
      <c r="A3361" s="3">
        <v>41523</v>
      </c>
      <c r="B3361" s="2" t="s">
        <v>11</v>
      </c>
      <c r="C3361" s="2">
        <v>11</v>
      </c>
      <c r="G3361" s="7" t="str">
        <f t="array" ref="G3361">IF(ROWS(K$20:K3361)&gt;$F$6,"",INDEX(A$2:A$10000,SMALL(IF(ISNUMBER(MATCH($B$2:$B$10000,$E$6:$E$22,0)),ROW($C$2:$C$10000)-ROW($C$2)+1),ROWS(K$20:K3361))))</f>
        <v/>
      </c>
      <c r="H3361" s="4" t="str">
        <f t="array" ref="H3361">IF(ROWS(L$20:L3361)&gt;$F$6,"",INDEX(B$2:B$10000,SMALL(IF(ISNUMBER(MATCH($B$2:$B$10000,$E$6:$E$22,0)),ROW($C$2:$C$10000)-ROW($C$2)+1),ROWS(L$20:L3361))))</f>
        <v/>
      </c>
      <c r="I3361" s="4" t="str">
        <f t="array" ref="I3361">IF(ROWS(M$20:M3361)&gt;$F$6,"",INDEX(C$2:C$10000,SMALL(IF(ISNUMBER(MATCH($B$2:$B$10000,$E$6:$E$22,0)),ROW($C$2:$C$10000)-ROW($C$2)+1),ROWS(M$20:M3361))))</f>
        <v/>
      </c>
      <c r="K3361" s="7" t="str">
        <f t="array" ref="K3361">IF(ROWS(K$20:K3361)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3361))))</f>
        <v/>
      </c>
      <c r="L3361" s="4" t="str">
        <f t="array" ref="L3361">IF(ROWS(L$20:L3361)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3361))))</f>
        <v/>
      </c>
      <c r="M3361" s="4" t="str">
        <f t="array" ref="M3361">IF(ROWS(M$20:M3361)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3361))))</f>
        <v/>
      </c>
    </row>
    <row r="3362" spans="1:13" x14ac:dyDescent="0.25">
      <c r="A3362" s="3">
        <v>41531</v>
      </c>
      <c r="B3362" s="2" t="s">
        <v>49</v>
      </c>
      <c r="C3362" s="2">
        <v>39</v>
      </c>
      <c r="G3362" s="7" t="str">
        <f t="array" ref="G3362">IF(ROWS(K$20:K3362)&gt;$F$6,"",INDEX(A$2:A$10000,SMALL(IF(ISNUMBER(MATCH($B$2:$B$10000,$E$6:$E$22,0)),ROW($C$2:$C$10000)-ROW($C$2)+1),ROWS(K$20:K3362))))</f>
        <v/>
      </c>
      <c r="H3362" s="4" t="str">
        <f t="array" ref="H3362">IF(ROWS(L$20:L3362)&gt;$F$6,"",INDEX(B$2:B$10000,SMALL(IF(ISNUMBER(MATCH($B$2:$B$10000,$E$6:$E$22,0)),ROW($C$2:$C$10000)-ROW($C$2)+1),ROWS(L$20:L3362))))</f>
        <v/>
      </c>
      <c r="I3362" s="4" t="str">
        <f t="array" ref="I3362">IF(ROWS(M$20:M3362)&gt;$F$6,"",INDEX(C$2:C$10000,SMALL(IF(ISNUMBER(MATCH($B$2:$B$10000,$E$6:$E$22,0)),ROW($C$2:$C$10000)-ROW($C$2)+1),ROWS(M$20:M3362))))</f>
        <v/>
      </c>
      <c r="K3362" s="7" t="str">
        <f t="array" ref="K3362">IF(ROWS(K$20:K3362)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3362))))</f>
        <v/>
      </c>
      <c r="L3362" s="4" t="str">
        <f t="array" ref="L3362">IF(ROWS(L$20:L3362)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3362))))</f>
        <v/>
      </c>
      <c r="M3362" s="4" t="str">
        <f t="array" ref="M3362">IF(ROWS(M$20:M3362)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3362))))</f>
        <v/>
      </c>
    </row>
    <row r="3363" spans="1:13" x14ac:dyDescent="0.25">
      <c r="A3363" s="3">
        <v>41387</v>
      </c>
      <c r="B3363" s="2" t="s">
        <v>38</v>
      </c>
      <c r="C3363" s="2">
        <v>6</v>
      </c>
      <c r="G3363" s="7" t="str">
        <f t="array" ref="G3363">IF(ROWS(K$20:K3363)&gt;$F$6,"",INDEX(A$2:A$10000,SMALL(IF(ISNUMBER(MATCH($B$2:$B$10000,$E$6:$E$22,0)),ROW($C$2:$C$10000)-ROW($C$2)+1),ROWS(K$20:K3363))))</f>
        <v/>
      </c>
      <c r="H3363" s="4" t="str">
        <f t="array" ref="H3363">IF(ROWS(L$20:L3363)&gt;$F$6,"",INDEX(B$2:B$10000,SMALL(IF(ISNUMBER(MATCH($B$2:$B$10000,$E$6:$E$22,0)),ROW($C$2:$C$10000)-ROW($C$2)+1),ROWS(L$20:L3363))))</f>
        <v/>
      </c>
      <c r="I3363" s="4" t="str">
        <f t="array" ref="I3363">IF(ROWS(M$20:M3363)&gt;$F$6,"",INDEX(C$2:C$10000,SMALL(IF(ISNUMBER(MATCH($B$2:$B$10000,$E$6:$E$22,0)),ROW($C$2:$C$10000)-ROW($C$2)+1),ROWS(M$20:M3363))))</f>
        <v/>
      </c>
      <c r="K3363" s="7" t="str">
        <f t="array" ref="K3363">IF(ROWS(K$20:K3363)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3363))))</f>
        <v/>
      </c>
      <c r="L3363" s="4" t="str">
        <f t="array" ref="L3363">IF(ROWS(L$20:L3363)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3363))))</f>
        <v/>
      </c>
      <c r="M3363" s="4" t="str">
        <f t="array" ref="M3363">IF(ROWS(M$20:M3363)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3363))))</f>
        <v/>
      </c>
    </row>
    <row r="3364" spans="1:13" x14ac:dyDescent="0.25">
      <c r="A3364" s="3">
        <v>41985</v>
      </c>
      <c r="B3364" s="2" t="s">
        <v>40</v>
      </c>
      <c r="C3364" s="2">
        <v>37</v>
      </c>
      <c r="G3364" s="7" t="str">
        <f t="array" ref="G3364">IF(ROWS(K$20:K3364)&gt;$F$6,"",INDEX(A$2:A$10000,SMALL(IF(ISNUMBER(MATCH($B$2:$B$10000,$E$6:$E$22,0)),ROW($C$2:$C$10000)-ROW($C$2)+1),ROWS(K$20:K3364))))</f>
        <v/>
      </c>
      <c r="H3364" s="4" t="str">
        <f t="array" ref="H3364">IF(ROWS(L$20:L3364)&gt;$F$6,"",INDEX(B$2:B$10000,SMALL(IF(ISNUMBER(MATCH($B$2:$B$10000,$E$6:$E$22,0)),ROW($C$2:$C$10000)-ROW($C$2)+1),ROWS(L$20:L3364))))</f>
        <v/>
      </c>
      <c r="I3364" s="4" t="str">
        <f t="array" ref="I3364">IF(ROWS(M$20:M3364)&gt;$F$6,"",INDEX(C$2:C$10000,SMALL(IF(ISNUMBER(MATCH($B$2:$B$10000,$E$6:$E$22,0)),ROW($C$2:$C$10000)-ROW($C$2)+1),ROWS(M$20:M3364))))</f>
        <v/>
      </c>
      <c r="K3364" s="7" t="str">
        <f t="array" ref="K3364">IF(ROWS(K$20:K3364)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3364))))</f>
        <v/>
      </c>
      <c r="L3364" s="4" t="str">
        <f t="array" ref="L3364">IF(ROWS(L$20:L3364)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3364))))</f>
        <v/>
      </c>
      <c r="M3364" s="4" t="str">
        <f t="array" ref="M3364">IF(ROWS(M$20:M3364)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3364))))</f>
        <v/>
      </c>
    </row>
    <row r="3365" spans="1:13" x14ac:dyDescent="0.25">
      <c r="A3365" s="3">
        <v>41893</v>
      </c>
      <c r="B3365" s="2" t="s">
        <v>12</v>
      </c>
      <c r="C3365" s="2">
        <v>17</v>
      </c>
      <c r="G3365" s="7" t="str">
        <f t="array" ref="G3365">IF(ROWS(K$20:K3365)&gt;$F$6,"",INDEX(A$2:A$10000,SMALL(IF(ISNUMBER(MATCH($B$2:$B$10000,$E$6:$E$22,0)),ROW($C$2:$C$10000)-ROW($C$2)+1),ROWS(K$20:K3365))))</f>
        <v/>
      </c>
      <c r="H3365" s="4" t="str">
        <f t="array" ref="H3365">IF(ROWS(L$20:L3365)&gt;$F$6,"",INDEX(B$2:B$10000,SMALL(IF(ISNUMBER(MATCH($B$2:$B$10000,$E$6:$E$22,0)),ROW($C$2:$C$10000)-ROW($C$2)+1),ROWS(L$20:L3365))))</f>
        <v/>
      </c>
      <c r="I3365" s="4" t="str">
        <f t="array" ref="I3365">IF(ROWS(M$20:M3365)&gt;$F$6,"",INDEX(C$2:C$10000,SMALL(IF(ISNUMBER(MATCH($B$2:$B$10000,$E$6:$E$22,0)),ROW($C$2:$C$10000)-ROW($C$2)+1),ROWS(M$20:M3365))))</f>
        <v/>
      </c>
      <c r="K3365" s="7" t="str">
        <f t="array" ref="K3365">IF(ROWS(K$20:K3365)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3365))))</f>
        <v/>
      </c>
      <c r="L3365" s="4" t="str">
        <f t="array" ref="L3365">IF(ROWS(L$20:L3365)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3365))))</f>
        <v/>
      </c>
      <c r="M3365" s="4" t="str">
        <f t="array" ref="M3365">IF(ROWS(M$20:M3365)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3365))))</f>
        <v/>
      </c>
    </row>
    <row r="3366" spans="1:13" x14ac:dyDescent="0.25">
      <c r="A3366" s="3">
        <v>41987</v>
      </c>
      <c r="B3366" s="2" t="s">
        <v>42</v>
      </c>
      <c r="C3366" s="2">
        <v>46</v>
      </c>
      <c r="G3366" s="7" t="str">
        <f t="array" ref="G3366">IF(ROWS(K$20:K3366)&gt;$F$6,"",INDEX(A$2:A$10000,SMALL(IF(ISNUMBER(MATCH($B$2:$B$10000,$E$6:$E$22,0)),ROW($C$2:$C$10000)-ROW($C$2)+1),ROWS(K$20:K3366))))</f>
        <v/>
      </c>
      <c r="H3366" s="4" t="str">
        <f t="array" ref="H3366">IF(ROWS(L$20:L3366)&gt;$F$6,"",INDEX(B$2:B$10000,SMALL(IF(ISNUMBER(MATCH($B$2:$B$10000,$E$6:$E$22,0)),ROW($C$2:$C$10000)-ROW($C$2)+1),ROWS(L$20:L3366))))</f>
        <v/>
      </c>
      <c r="I3366" s="4" t="str">
        <f t="array" ref="I3366">IF(ROWS(M$20:M3366)&gt;$F$6,"",INDEX(C$2:C$10000,SMALL(IF(ISNUMBER(MATCH($B$2:$B$10000,$E$6:$E$22,0)),ROW($C$2:$C$10000)-ROW($C$2)+1),ROWS(M$20:M3366))))</f>
        <v/>
      </c>
      <c r="K3366" s="7" t="str">
        <f t="array" ref="K3366">IF(ROWS(K$20:K3366)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3366))))</f>
        <v/>
      </c>
      <c r="L3366" s="4" t="str">
        <f t="array" ref="L3366">IF(ROWS(L$20:L3366)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3366))))</f>
        <v/>
      </c>
      <c r="M3366" s="4" t="str">
        <f t="array" ref="M3366">IF(ROWS(M$20:M3366)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3366))))</f>
        <v/>
      </c>
    </row>
    <row r="3367" spans="1:13" x14ac:dyDescent="0.25">
      <c r="A3367" s="3">
        <v>41453</v>
      </c>
      <c r="B3367" s="2" t="s">
        <v>24</v>
      </c>
      <c r="C3367" s="2">
        <v>24</v>
      </c>
      <c r="G3367" s="7" t="str">
        <f t="array" ref="G3367">IF(ROWS(K$20:K3367)&gt;$F$6,"",INDEX(A$2:A$10000,SMALL(IF(ISNUMBER(MATCH($B$2:$B$10000,$E$6:$E$22,0)),ROW($C$2:$C$10000)-ROW($C$2)+1),ROWS(K$20:K3367))))</f>
        <v/>
      </c>
      <c r="H3367" s="4" t="str">
        <f t="array" ref="H3367">IF(ROWS(L$20:L3367)&gt;$F$6,"",INDEX(B$2:B$10000,SMALL(IF(ISNUMBER(MATCH($B$2:$B$10000,$E$6:$E$22,0)),ROW($C$2:$C$10000)-ROW($C$2)+1),ROWS(L$20:L3367))))</f>
        <v/>
      </c>
      <c r="I3367" s="4" t="str">
        <f t="array" ref="I3367">IF(ROWS(M$20:M3367)&gt;$F$6,"",INDEX(C$2:C$10000,SMALL(IF(ISNUMBER(MATCH($B$2:$B$10000,$E$6:$E$22,0)),ROW($C$2:$C$10000)-ROW($C$2)+1),ROWS(M$20:M3367))))</f>
        <v/>
      </c>
      <c r="K3367" s="7" t="str">
        <f t="array" ref="K3367">IF(ROWS(K$20:K3367)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3367))))</f>
        <v/>
      </c>
      <c r="L3367" s="4" t="str">
        <f t="array" ref="L3367">IF(ROWS(L$20:L3367)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3367))))</f>
        <v/>
      </c>
      <c r="M3367" s="4" t="str">
        <f t="array" ref="M3367">IF(ROWS(M$20:M3367)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3367))))</f>
        <v/>
      </c>
    </row>
    <row r="3368" spans="1:13" x14ac:dyDescent="0.25">
      <c r="A3368" s="3">
        <v>41712</v>
      </c>
      <c r="B3368" s="2" t="s">
        <v>14</v>
      </c>
      <c r="C3368" s="2">
        <v>16</v>
      </c>
      <c r="G3368" s="7" t="str">
        <f t="array" ref="G3368">IF(ROWS(K$20:K3368)&gt;$F$6,"",INDEX(A$2:A$10000,SMALL(IF(ISNUMBER(MATCH($B$2:$B$10000,$E$6:$E$22,0)),ROW($C$2:$C$10000)-ROW($C$2)+1),ROWS(K$20:K3368))))</f>
        <v/>
      </c>
      <c r="H3368" s="4" t="str">
        <f t="array" ref="H3368">IF(ROWS(L$20:L3368)&gt;$F$6,"",INDEX(B$2:B$10000,SMALL(IF(ISNUMBER(MATCH($B$2:$B$10000,$E$6:$E$22,0)),ROW($C$2:$C$10000)-ROW($C$2)+1),ROWS(L$20:L3368))))</f>
        <v/>
      </c>
      <c r="I3368" s="4" t="str">
        <f t="array" ref="I3368">IF(ROWS(M$20:M3368)&gt;$F$6,"",INDEX(C$2:C$10000,SMALL(IF(ISNUMBER(MATCH($B$2:$B$10000,$E$6:$E$22,0)),ROW($C$2:$C$10000)-ROW($C$2)+1),ROWS(M$20:M3368))))</f>
        <v/>
      </c>
      <c r="K3368" s="7" t="str">
        <f t="array" ref="K3368">IF(ROWS(K$20:K3368)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3368))))</f>
        <v/>
      </c>
      <c r="L3368" s="4" t="str">
        <f t="array" ref="L3368">IF(ROWS(L$20:L3368)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3368))))</f>
        <v/>
      </c>
      <c r="M3368" s="4" t="str">
        <f t="array" ref="M3368">IF(ROWS(M$20:M3368)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3368))))</f>
        <v/>
      </c>
    </row>
    <row r="3369" spans="1:13" x14ac:dyDescent="0.25">
      <c r="A3369" s="3">
        <v>41409</v>
      </c>
      <c r="B3369" s="2" t="s">
        <v>18</v>
      </c>
      <c r="C3369" s="2">
        <v>12</v>
      </c>
      <c r="G3369" s="7" t="str">
        <f t="array" ref="G3369">IF(ROWS(K$20:K3369)&gt;$F$6,"",INDEX(A$2:A$10000,SMALL(IF(ISNUMBER(MATCH($B$2:$B$10000,$E$6:$E$22,0)),ROW($C$2:$C$10000)-ROW($C$2)+1),ROWS(K$20:K3369))))</f>
        <v/>
      </c>
      <c r="H3369" s="4" t="str">
        <f t="array" ref="H3369">IF(ROWS(L$20:L3369)&gt;$F$6,"",INDEX(B$2:B$10000,SMALL(IF(ISNUMBER(MATCH($B$2:$B$10000,$E$6:$E$22,0)),ROW($C$2:$C$10000)-ROW($C$2)+1),ROWS(L$20:L3369))))</f>
        <v/>
      </c>
      <c r="I3369" s="4" t="str">
        <f t="array" ref="I3369">IF(ROWS(M$20:M3369)&gt;$F$6,"",INDEX(C$2:C$10000,SMALL(IF(ISNUMBER(MATCH($B$2:$B$10000,$E$6:$E$22,0)),ROW($C$2:$C$10000)-ROW($C$2)+1),ROWS(M$20:M3369))))</f>
        <v/>
      </c>
      <c r="K3369" s="7" t="str">
        <f t="array" ref="K3369">IF(ROWS(K$20:K3369)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3369))))</f>
        <v/>
      </c>
      <c r="L3369" s="4" t="str">
        <f t="array" ref="L3369">IF(ROWS(L$20:L3369)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3369))))</f>
        <v/>
      </c>
      <c r="M3369" s="4" t="str">
        <f t="array" ref="M3369">IF(ROWS(M$20:M3369)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3369))))</f>
        <v/>
      </c>
    </row>
    <row r="3370" spans="1:13" x14ac:dyDescent="0.25">
      <c r="A3370" s="3">
        <v>41913</v>
      </c>
      <c r="B3370" s="2" t="s">
        <v>4</v>
      </c>
      <c r="C3370" s="2">
        <v>11</v>
      </c>
      <c r="G3370" s="7" t="str">
        <f t="array" ref="G3370">IF(ROWS(K$20:K3370)&gt;$F$6,"",INDEX(A$2:A$10000,SMALL(IF(ISNUMBER(MATCH($B$2:$B$10000,$E$6:$E$22,0)),ROW($C$2:$C$10000)-ROW($C$2)+1),ROWS(K$20:K3370))))</f>
        <v/>
      </c>
      <c r="H3370" s="4" t="str">
        <f t="array" ref="H3370">IF(ROWS(L$20:L3370)&gt;$F$6,"",INDEX(B$2:B$10000,SMALL(IF(ISNUMBER(MATCH($B$2:$B$10000,$E$6:$E$22,0)),ROW($C$2:$C$10000)-ROW($C$2)+1),ROWS(L$20:L3370))))</f>
        <v/>
      </c>
      <c r="I3370" s="4" t="str">
        <f t="array" ref="I3370">IF(ROWS(M$20:M3370)&gt;$F$6,"",INDEX(C$2:C$10000,SMALL(IF(ISNUMBER(MATCH($B$2:$B$10000,$E$6:$E$22,0)),ROW($C$2:$C$10000)-ROW($C$2)+1),ROWS(M$20:M3370))))</f>
        <v/>
      </c>
      <c r="K3370" s="7" t="str">
        <f t="array" ref="K3370">IF(ROWS(K$20:K3370)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3370))))</f>
        <v/>
      </c>
      <c r="L3370" s="4" t="str">
        <f t="array" ref="L3370">IF(ROWS(L$20:L3370)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3370))))</f>
        <v/>
      </c>
      <c r="M3370" s="4" t="str">
        <f t="array" ref="M3370">IF(ROWS(M$20:M3370)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3370))))</f>
        <v/>
      </c>
    </row>
    <row r="3371" spans="1:13" x14ac:dyDescent="0.25">
      <c r="A3371" s="3">
        <v>41993</v>
      </c>
      <c r="B3371" s="2" t="s">
        <v>35</v>
      </c>
      <c r="C3371" s="2">
        <v>24</v>
      </c>
      <c r="G3371" s="7" t="str">
        <f t="array" ref="G3371">IF(ROWS(K$20:K3371)&gt;$F$6,"",INDEX(A$2:A$10000,SMALL(IF(ISNUMBER(MATCH($B$2:$B$10000,$E$6:$E$22,0)),ROW($C$2:$C$10000)-ROW($C$2)+1),ROWS(K$20:K3371))))</f>
        <v/>
      </c>
      <c r="H3371" s="4" t="str">
        <f t="array" ref="H3371">IF(ROWS(L$20:L3371)&gt;$F$6,"",INDEX(B$2:B$10000,SMALL(IF(ISNUMBER(MATCH($B$2:$B$10000,$E$6:$E$22,0)),ROW($C$2:$C$10000)-ROW($C$2)+1),ROWS(L$20:L3371))))</f>
        <v/>
      </c>
      <c r="I3371" s="4" t="str">
        <f t="array" ref="I3371">IF(ROWS(M$20:M3371)&gt;$F$6,"",INDEX(C$2:C$10000,SMALL(IF(ISNUMBER(MATCH($B$2:$B$10000,$E$6:$E$22,0)),ROW($C$2:$C$10000)-ROW($C$2)+1),ROWS(M$20:M3371))))</f>
        <v/>
      </c>
      <c r="K3371" s="7" t="str">
        <f t="array" ref="K3371">IF(ROWS(K$20:K3371)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3371))))</f>
        <v/>
      </c>
      <c r="L3371" s="4" t="str">
        <f t="array" ref="L3371">IF(ROWS(L$20:L3371)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3371))))</f>
        <v/>
      </c>
      <c r="M3371" s="4" t="str">
        <f t="array" ref="M3371">IF(ROWS(M$20:M3371)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3371))))</f>
        <v/>
      </c>
    </row>
    <row r="3372" spans="1:13" x14ac:dyDescent="0.25">
      <c r="A3372" s="3">
        <v>41489</v>
      </c>
      <c r="B3372" s="2" t="s">
        <v>40</v>
      </c>
      <c r="C3372" s="2">
        <v>30</v>
      </c>
      <c r="G3372" s="7" t="str">
        <f t="array" ref="G3372">IF(ROWS(K$20:K3372)&gt;$F$6,"",INDEX(A$2:A$10000,SMALL(IF(ISNUMBER(MATCH($B$2:$B$10000,$E$6:$E$22,0)),ROW($C$2:$C$10000)-ROW($C$2)+1),ROWS(K$20:K3372))))</f>
        <v/>
      </c>
      <c r="H3372" s="4" t="str">
        <f t="array" ref="H3372">IF(ROWS(L$20:L3372)&gt;$F$6,"",INDEX(B$2:B$10000,SMALL(IF(ISNUMBER(MATCH($B$2:$B$10000,$E$6:$E$22,0)),ROW($C$2:$C$10000)-ROW($C$2)+1),ROWS(L$20:L3372))))</f>
        <v/>
      </c>
      <c r="I3372" s="4" t="str">
        <f t="array" ref="I3372">IF(ROWS(M$20:M3372)&gt;$F$6,"",INDEX(C$2:C$10000,SMALL(IF(ISNUMBER(MATCH($B$2:$B$10000,$E$6:$E$22,0)),ROW($C$2:$C$10000)-ROW($C$2)+1),ROWS(M$20:M3372))))</f>
        <v/>
      </c>
      <c r="K3372" s="7" t="str">
        <f t="array" ref="K3372">IF(ROWS(K$20:K3372)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3372))))</f>
        <v/>
      </c>
      <c r="L3372" s="4" t="str">
        <f t="array" ref="L3372">IF(ROWS(L$20:L3372)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3372))))</f>
        <v/>
      </c>
      <c r="M3372" s="4" t="str">
        <f t="array" ref="M3372">IF(ROWS(M$20:M3372)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3372))))</f>
        <v/>
      </c>
    </row>
    <row r="3373" spans="1:13" x14ac:dyDescent="0.25">
      <c r="A3373" s="3">
        <v>41420</v>
      </c>
      <c r="B3373" s="2" t="s">
        <v>13</v>
      </c>
      <c r="C3373" s="2">
        <v>4</v>
      </c>
      <c r="G3373" s="7" t="str">
        <f t="array" ref="G3373">IF(ROWS(K$20:K3373)&gt;$F$6,"",INDEX(A$2:A$10000,SMALL(IF(ISNUMBER(MATCH($B$2:$B$10000,$E$6:$E$22,0)),ROW($C$2:$C$10000)-ROW($C$2)+1),ROWS(K$20:K3373))))</f>
        <v/>
      </c>
      <c r="H3373" s="4" t="str">
        <f t="array" ref="H3373">IF(ROWS(L$20:L3373)&gt;$F$6,"",INDEX(B$2:B$10000,SMALL(IF(ISNUMBER(MATCH($B$2:$B$10000,$E$6:$E$22,0)),ROW($C$2:$C$10000)-ROW($C$2)+1),ROWS(L$20:L3373))))</f>
        <v/>
      </c>
      <c r="I3373" s="4" t="str">
        <f t="array" ref="I3373">IF(ROWS(M$20:M3373)&gt;$F$6,"",INDEX(C$2:C$10000,SMALL(IF(ISNUMBER(MATCH($B$2:$B$10000,$E$6:$E$22,0)),ROW($C$2:$C$10000)-ROW($C$2)+1),ROWS(M$20:M3373))))</f>
        <v/>
      </c>
      <c r="K3373" s="7" t="str">
        <f t="array" ref="K3373">IF(ROWS(K$20:K3373)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3373))))</f>
        <v/>
      </c>
      <c r="L3373" s="4" t="str">
        <f t="array" ref="L3373">IF(ROWS(L$20:L3373)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3373))))</f>
        <v/>
      </c>
      <c r="M3373" s="4" t="str">
        <f t="array" ref="M3373">IF(ROWS(M$20:M3373)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3373))))</f>
        <v/>
      </c>
    </row>
    <row r="3374" spans="1:13" x14ac:dyDescent="0.25">
      <c r="A3374" s="3">
        <v>41523</v>
      </c>
      <c r="B3374" s="2" t="s">
        <v>8</v>
      </c>
      <c r="C3374" s="2">
        <v>23</v>
      </c>
      <c r="G3374" s="7" t="str">
        <f t="array" ref="G3374">IF(ROWS(K$20:K3374)&gt;$F$6,"",INDEX(A$2:A$10000,SMALL(IF(ISNUMBER(MATCH($B$2:$B$10000,$E$6:$E$22,0)),ROW($C$2:$C$10000)-ROW($C$2)+1),ROWS(K$20:K3374))))</f>
        <v/>
      </c>
      <c r="H3374" s="4" t="str">
        <f t="array" ref="H3374">IF(ROWS(L$20:L3374)&gt;$F$6,"",INDEX(B$2:B$10000,SMALL(IF(ISNUMBER(MATCH($B$2:$B$10000,$E$6:$E$22,0)),ROW($C$2:$C$10000)-ROW($C$2)+1),ROWS(L$20:L3374))))</f>
        <v/>
      </c>
      <c r="I3374" s="4" t="str">
        <f t="array" ref="I3374">IF(ROWS(M$20:M3374)&gt;$F$6,"",INDEX(C$2:C$10000,SMALL(IF(ISNUMBER(MATCH($B$2:$B$10000,$E$6:$E$22,0)),ROW($C$2:$C$10000)-ROW($C$2)+1),ROWS(M$20:M3374))))</f>
        <v/>
      </c>
      <c r="K3374" s="7" t="str">
        <f t="array" ref="K3374">IF(ROWS(K$20:K3374)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3374))))</f>
        <v/>
      </c>
      <c r="L3374" s="4" t="str">
        <f t="array" ref="L3374">IF(ROWS(L$20:L3374)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3374))))</f>
        <v/>
      </c>
      <c r="M3374" s="4" t="str">
        <f t="array" ref="M3374">IF(ROWS(M$20:M3374)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3374))))</f>
        <v/>
      </c>
    </row>
    <row r="3375" spans="1:13" x14ac:dyDescent="0.25">
      <c r="A3375" s="3">
        <v>41669</v>
      </c>
      <c r="B3375" s="2" t="s">
        <v>34</v>
      </c>
      <c r="C3375" s="2">
        <v>24</v>
      </c>
      <c r="G3375" s="7" t="str">
        <f t="array" ref="G3375">IF(ROWS(K$20:K3375)&gt;$F$6,"",INDEX(A$2:A$10000,SMALL(IF(ISNUMBER(MATCH($B$2:$B$10000,$E$6:$E$22,0)),ROW($C$2:$C$10000)-ROW($C$2)+1),ROWS(K$20:K3375))))</f>
        <v/>
      </c>
      <c r="H3375" s="4" t="str">
        <f t="array" ref="H3375">IF(ROWS(L$20:L3375)&gt;$F$6,"",INDEX(B$2:B$10000,SMALL(IF(ISNUMBER(MATCH($B$2:$B$10000,$E$6:$E$22,0)),ROW($C$2:$C$10000)-ROW($C$2)+1),ROWS(L$20:L3375))))</f>
        <v/>
      </c>
      <c r="I3375" s="4" t="str">
        <f t="array" ref="I3375">IF(ROWS(M$20:M3375)&gt;$F$6,"",INDEX(C$2:C$10000,SMALL(IF(ISNUMBER(MATCH($B$2:$B$10000,$E$6:$E$22,0)),ROW($C$2:$C$10000)-ROW($C$2)+1),ROWS(M$20:M3375))))</f>
        <v/>
      </c>
      <c r="K3375" s="7" t="str">
        <f t="array" ref="K3375">IF(ROWS(K$20:K3375)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3375))))</f>
        <v/>
      </c>
      <c r="L3375" s="4" t="str">
        <f t="array" ref="L3375">IF(ROWS(L$20:L3375)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3375))))</f>
        <v/>
      </c>
      <c r="M3375" s="4" t="str">
        <f t="array" ref="M3375">IF(ROWS(M$20:M3375)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3375))))</f>
        <v/>
      </c>
    </row>
    <row r="3376" spans="1:13" x14ac:dyDescent="0.25">
      <c r="A3376" s="3">
        <v>41429</v>
      </c>
      <c r="B3376" s="2" t="s">
        <v>29</v>
      </c>
      <c r="C3376" s="2">
        <v>29</v>
      </c>
      <c r="G3376" s="7" t="str">
        <f t="array" ref="G3376">IF(ROWS(K$20:K3376)&gt;$F$6,"",INDEX(A$2:A$10000,SMALL(IF(ISNUMBER(MATCH($B$2:$B$10000,$E$6:$E$22,0)),ROW($C$2:$C$10000)-ROW($C$2)+1),ROWS(K$20:K3376))))</f>
        <v/>
      </c>
      <c r="H3376" s="4" t="str">
        <f t="array" ref="H3376">IF(ROWS(L$20:L3376)&gt;$F$6,"",INDEX(B$2:B$10000,SMALL(IF(ISNUMBER(MATCH($B$2:$B$10000,$E$6:$E$22,0)),ROW($C$2:$C$10000)-ROW($C$2)+1),ROWS(L$20:L3376))))</f>
        <v/>
      </c>
      <c r="I3376" s="4" t="str">
        <f t="array" ref="I3376">IF(ROWS(M$20:M3376)&gt;$F$6,"",INDEX(C$2:C$10000,SMALL(IF(ISNUMBER(MATCH($B$2:$B$10000,$E$6:$E$22,0)),ROW($C$2:$C$10000)-ROW($C$2)+1),ROWS(M$20:M3376))))</f>
        <v/>
      </c>
      <c r="K3376" s="7" t="str">
        <f t="array" ref="K3376">IF(ROWS(K$20:K3376)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3376))))</f>
        <v/>
      </c>
      <c r="L3376" s="4" t="str">
        <f t="array" ref="L3376">IF(ROWS(L$20:L3376)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3376))))</f>
        <v/>
      </c>
      <c r="M3376" s="4" t="str">
        <f t="array" ref="M3376">IF(ROWS(M$20:M3376)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3376))))</f>
        <v/>
      </c>
    </row>
    <row r="3377" spans="1:13" x14ac:dyDescent="0.25">
      <c r="A3377" s="3">
        <v>41728</v>
      </c>
      <c r="B3377" s="2" t="s">
        <v>41</v>
      </c>
      <c r="C3377" s="2">
        <v>43</v>
      </c>
      <c r="G3377" s="7" t="str">
        <f t="array" ref="G3377">IF(ROWS(K$20:K3377)&gt;$F$6,"",INDEX(A$2:A$10000,SMALL(IF(ISNUMBER(MATCH($B$2:$B$10000,$E$6:$E$22,0)),ROW($C$2:$C$10000)-ROW($C$2)+1),ROWS(K$20:K3377))))</f>
        <v/>
      </c>
      <c r="H3377" s="4" t="str">
        <f t="array" ref="H3377">IF(ROWS(L$20:L3377)&gt;$F$6,"",INDEX(B$2:B$10000,SMALL(IF(ISNUMBER(MATCH($B$2:$B$10000,$E$6:$E$22,0)),ROW($C$2:$C$10000)-ROW($C$2)+1),ROWS(L$20:L3377))))</f>
        <v/>
      </c>
      <c r="I3377" s="4" t="str">
        <f t="array" ref="I3377">IF(ROWS(M$20:M3377)&gt;$F$6,"",INDEX(C$2:C$10000,SMALL(IF(ISNUMBER(MATCH($B$2:$B$10000,$E$6:$E$22,0)),ROW($C$2:$C$10000)-ROW($C$2)+1),ROWS(M$20:M3377))))</f>
        <v/>
      </c>
      <c r="K3377" s="7" t="str">
        <f t="array" ref="K3377">IF(ROWS(K$20:K3377)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3377))))</f>
        <v/>
      </c>
      <c r="L3377" s="4" t="str">
        <f t="array" ref="L3377">IF(ROWS(L$20:L3377)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3377))))</f>
        <v/>
      </c>
      <c r="M3377" s="4" t="str">
        <f t="array" ref="M3377">IF(ROWS(M$20:M3377)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3377))))</f>
        <v/>
      </c>
    </row>
    <row r="3378" spans="1:13" x14ac:dyDescent="0.25">
      <c r="A3378" s="3">
        <v>41457</v>
      </c>
      <c r="B3378" s="2" t="s">
        <v>27</v>
      </c>
      <c r="C3378" s="2">
        <v>17</v>
      </c>
      <c r="G3378" s="7" t="str">
        <f t="array" ref="G3378">IF(ROWS(K$20:K3378)&gt;$F$6,"",INDEX(A$2:A$10000,SMALL(IF(ISNUMBER(MATCH($B$2:$B$10000,$E$6:$E$22,0)),ROW($C$2:$C$10000)-ROW($C$2)+1),ROWS(K$20:K3378))))</f>
        <v/>
      </c>
      <c r="H3378" s="4" t="str">
        <f t="array" ref="H3378">IF(ROWS(L$20:L3378)&gt;$F$6,"",INDEX(B$2:B$10000,SMALL(IF(ISNUMBER(MATCH($B$2:$B$10000,$E$6:$E$22,0)),ROW($C$2:$C$10000)-ROW($C$2)+1),ROWS(L$20:L3378))))</f>
        <v/>
      </c>
      <c r="I3378" s="4" t="str">
        <f t="array" ref="I3378">IF(ROWS(M$20:M3378)&gt;$F$6,"",INDEX(C$2:C$10000,SMALL(IF(ISNUMBER(MATCH($B$2:$B$10000,$E$6:$E$22,0)),ROW($C$2:$C$10000)-ROW($C$2)+1),ROWS(M$20:M3378))))</f>
        <v/>
      </c>
      <c r="K3378" s="7" t="str">
        <f t="array" ref="K3378">IF(ROWS(K$20:K3378)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3378))))</f>
        <v/>
      </c>
      <c r="L3378" s="4" t="str">
        <f t="array" ref="L3378">IF(ROWS(L$20:L3378)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3378))))</f>
        <v/>
      </c>
      <c r="M3378" s="4" t="str">
        <f t="array" ref="M3378">IF(ROWS(M$20:M3378)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3378))))</f>
        <v/>
      </c>
    </row>
    <row r="3379" spans="1:13" x14ac:dyDescent="0.25">
      <c r="A3379" s="3">
        <v>41394</v>
      </c>
      <c r="B3379" s="2" t="s">
        <v>23</v>
      </c>
      <c r="C3379" s="2">
        <v>15</v>
      </c>
      <c r="G3379" s="7" t="str">
        <f t="array" ref="G3379">IF(ROWS(K$20:K3379)&gt;$F$6,"",INDEX(A$2:A$10000,SMALL(IF(ISNUMBER(MATCH($B$2:$B$10000,$E$6:$E$22,0)),ROW($C$2:$C$10000)-ROW($C$2)+1),ROWS(K$20:K3379))))</f>
        <v/>
      </c>
      <c r="H3379" s="4" t="str">
        <f t="array" ref="H3379">IF(ROWS(L$20:L3379)&gt;$F$6,"",INDEX(B$2:B$10000,SMALL(IF(ISNUMBER(MATCH($B$2:$B$10000,$E$6:$E$22,0)),ROW($C$2:$C$10000)-ROW($C$2)+1),ROWS(L$20:L3379))))</f>
        <v/>
      </c>
      <c r="I3379" s="4" t="str">
        <f t="array" ref="I3379">IF(ROWS(M$20:M3379)&gt;$F$6,"",INDEX(C$2:C$10000,SMALL(IF(ISNUMBER(MATCH($B$2:$B$10000,$E$6:$E$22,0)),ROW($C$2:$C$10000)-ROW($C$2)+1),ROWS(M$20:M3379))))</f>
        <v/>
      </c>
      <c r="K3379" s="7" t="str">
        <f t="array" ref="K3379">IF(ROWS(K$20:K3379)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3379))))</f>
        <v/>
      </c>
      <c r="L3379" s="4" t="str">
        <f t="array" ref="L3379">IF(ROWS(L$20:L3379)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3379))))</f>
        <v/>
      </c>
      <c r="M3379" s="4" t="str">
        <f t="array" ref="M3379">IF(ROWS(M$20:M3379)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3379))))</f>
        <v/>
      </c>
    </row>
    <row r="3380" spans="1:13" x14ac:dyDescent="0.25">
      <c r="A3380" s="3">
        <v>41336</v>
      </c>
      <c r="B3380" s="2" t="s">
        <v>33</v>
      </c>
      <c r="C3380" s="2">
        <v>20</v>
      </c>
      <c r="G3380" s="7" t="str">
        <f t="array" ref="G3380">IF(ROWS(K$20:K3380)&gt;$F$6,"",INDEX(A$2:A$10000,SMALL(IF(ISNUMBER(MATCH($B$2:$B$10000,$E$6:$E$22,0)),ROW($C$2:$C$10000)-ROW($C$2)+1),ROWS(K$20:K3380))))</f>
        <v/>
      </c>
      <c r="H3380" s="4" t="str">
        <f t="array" ref="H3380">IF(ROWS(L$20:L3380)&gt;$F$6,"",INDEX(B$2:B$10000,SMALL(IF(ISNUMBER(MATCH($B$2:$B$10000,$E$6:$E$22,0)),ROW($C$2:$C$10000)-ROW($C$2)+1),ROWS(L$20:L3380))))</f>
        <v/>
      </c>
      <c r="I3380" s="4" t="str">
        <f t="array" ref="I3380">IF(ROWS(M$20:M3380)&gt;$F$6,"",INDEX(C$2:C$10000,SMALL(IF(ISNUMBER(MATCH($B$2:$B$10000,$E$6:$E$22,0)),ROW($C$2:$C$10000)-ROW($C$2)+1),ROWS(M$20:M3380))))</f>
        <v/>
      </c>
      <c r="K3380" s="7" t="str">
        <f t="array" ref="K3380">IF(ROWS(K$20:K3380)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3380))))</f>
        <v/>
      </c>
      <c r="L3380" s="4" t="str">
        <f t="array" ref="L3380">IF(ROWS(L$20:L3380)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3380))))</f>
        <v/>
      </c>
      <c r="M3380" s="4" t="str">
        <f t="array" ref="M3380">IF(ROWS(M$20:M3380)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3380))))</f>
        <v/>
      </c>
    </row>
    <row r="3381" spans="1:13" x14ac:dyDescent="0.25">
      <c r="A3381" s="3">
        <v>41778</v>
      </c>
      <c r="B3381" s="2" t="s">
        <v>18</v>
      </c>
      <c r="C3381" s="2">
        <v>25</v>
      </c>
      <c r="G3381" s="7" t="str">
        <f t="array" ref="G3381">IF(ROWS(K$20:K3381)&gt;$F$6,"",INDEX(A$2:A$10000,SMALL(IF(ISNUMBER(MATCH($B$2:$B$10000,$E$6:$E$22,0)),ROW($C$2:$C$10000)-ROW($C$2)+1),ROWS(K$20:K3381))))</f>
        <v/>
      </c>
      <c r="H3381" s="4" t="str">
        <f t="array" ref="H3381">IF(ROWS(L$20:L3381)&gt;$F$6,"",INDEX(B$2:B$10000,SMALL(IF(ISNUMBER(MATCH($B$2:$B$10000,$E$6:$E$22,0)),ROW($C$2:$C$10000)-ROW($C$2)+1),ROWS(L$20:L3381))))</f>
        <v/>
      </c>
      <c r="I3381" s="4" t="str">
        <f t="array" ref="I3381">IF(ROWS(M$20:M3381)&gt;$F$6,"",INDEX(C$2:C$10000,SMALL(IF(ISNUMBER(MATCH($B$2:$B$10000,$E$6:$E$22,0)),ROW($C$2:$C$10000)-ROW($C$2)+1),ROWS(M$20:M3381))))</f>
        <v/>
      </c>
      <c r="K3381" s="7" t="str">
        <f t="array" ref="K3381">IF(ROWS(K$20:K3381)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3381))))</f>
        <v/>
      </c>
      <c r="L3381" s="4" t="str">
        <f t="array" ref="L3381">IF(ROWS(L$20:L3381)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3381))))</f>
        <v/>
      </c>
      <c r="M3381" s="4" t="str">
        <f t="array" ref="M3381">IF(ROWS(M$20:M3381)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3381))))</f>
        <v/>
      </c>
    </row>
    <row r="3382" spans="1:13" x14ac:dyDescent="0.25">
      <c r="A3382" s="3">
        <v>41827</v>
      </c>
      <c r="B3382" s="2" t="s">
        <v>19</v>
      </c>
      <c r="C3382" s="2">
        <v>44</v>
      </c>
      <c r="G3382" s="7" t="str">
        <f t="array" ref="G3382">IF(ROWS(K$20:K3382)&gt;$F$6,"",INDEX(A$2:A$10000,SMALL(IF(ISNUMBER(MATCH($B$2:$B$10000,$E$6:$E$22,0)),ROW($C$2:$C$10000)-ROW($C$2)+1),ROWS(K$20:K3382))))</f>
        <v/>
      </c>
      <c r="H3382" s="4" t="str">
        <f t="array" ref="H3382">IF(ROWS(L$20:L3382)&gt;$F$6,"",INDEX(B$2:B$10000,SMALL(IF(ISNUMBER(MATCH($B$2:$B$10000,$E$6:$E$22,0)),ROW($C$2:$C$10000)-ROW($C$2)+1),ROWS(L$20:L3382))))</f>
        <v/>
      </c>
      <c r="I3382" s="4" t="str">
        <f t="array" ref="I3382">IF(ROWS(M$20:M3382)&gt;$F$6,"",INDEX(C$2:C$10000,SMALL(IF(ISNUMBER(MATCH($B$2:$B$10000,$E$6:$E$22,0)),ROW($C$2:$C$10000)-ROW($C$2)+1),ROWS(M$20:M3382))))</f>
        <v/>
      </c>
      <c r="K3382" s="7" t="str">
        <f t="array" ref="K3382">IF(ROWS(K$20:K3382)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3382))))</f>
        <v/>
      </c>
      <c r="L3382" s="4" t="str">
        <f t="array" ref="L3382">IF(ROWS(L$20:L3382)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3382))))</f>
        <v/>
      </c>
      <c r="M3382" s="4" t="str">
        <f t="array" ref="M3382">IF(ROWS(M$20:M3382)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3382))))</f>
        <v/>
      </c>
    </row>
    <row r="3383" spans="1:13" x14ac:dyDescent="0.25">
      <c r="A3383" s="3">
        <v>41923</v>
      </c>
      <c r="B3383" s="2" t="s">
        <v>17</v>
      </c>
      <c r="C3383" s="2">
        <v>24</v>
      </c>
      <c r="G3383" s="7" t="str">
        <f t="array" ref="G3383">IF(ROWS(K$20:K3383)&gt;$F$6,"",INDEX(A$2:A$10000,SMALL(IF(ISNUMBER(MATCH($B$2:$B$10000,$E$6:$E$22,0)),ROW($C$2:$C$10000)-ROW($C$2)+1),ROWS(K$20:K3383))))</f>
        <v/>
      </c>
      <c r="H3383" s="4" t="str">
        <f t="array" ref="H3383">IF(ROWS(L$20:L3383)&gt;$F$6,"",INDEX(B$2:B$10000,SMALL(IF(ISNUMBER(MATCH($B$2:$B$10000,$E$6:$E$22,0)),ROW($C$2:$C$10000)-ROW($C$2)+1),ROWS(L$20:L3383))))</f>
        <v/>
      </c>
      <c r="I3383" s="4" t="str">
        <f t="array" ref="I3383">IF(ROWS(M$20:M3383)&gt;$F$6,"",INDEX(C$2:C$10000,SMALL(IF(ISNUMBER(MATCH($B$2:$B$10000,$E$6:$E$22,0)),ROW($C$2:$C$10000)-ROW($C$2)+1),ROWS(M$20:M3383))))</f>
        <v/>
      </c>
      <c r="K3383" s="7" t="str">
        <f t="array" ref="K3383">IF(ROWS(K$20:K3383)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3383))))</f>
        <v/>
      </c>
      <c r="L3383" s="4" t="str">
        <f t="array" ref="L3383">IF(ROWS(L$20:L3383)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3383))))</f>
        <v/>
      </c>
      <c r="M3383" s="4" t="str">
        <f t="array" ref="M3383">IF(ROWS(M$20:M3383)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3383))))</f>
        <v/>
      </c>
    </row>
    <row r="3384" spans="1:13" x14ac:dyDescent="0.25">
      <c r="A3384" s="3">
        <v>41684</v>
      </c>
      <c r="B3384" s="2" t="s">
        <v>26</v>
      </c>
      <c r="C3384" s="2">
        <v>16</v>
      </c>
      <c r="G3384" s="7" t="str">
        <f t="array" ref="G3384">IF(ROWS(K$20:K3384)&gt;$F$6,"",INDEX(A$2:A$10000,SMALL(IF(ISNUMBER(MATCH($B$2:$B$10000,$E$6:$E$22,0)),ROW($C$2:$C$10000)-ROW($C$2)+1),ROWS(K$20:K3384))))</f>
        <v/>
      </c>
      <c r="H3384" s="4" t="str">
        <f t="array" ref="H3384">IF(ROWS(L$20:L3384)&gt;$F$6,"",INDEX(B$2:B$10000,SMALL(IF(ISNUMBER(MATCH($B$2:$B$10000,$E$6:$E$22,0)),ROW($C$2:$C$10000)-ROW($C$2)+1),ROWS(L$20:L3384))))</f>
        <v/>
      </c>
      <c r="I3384" s="4" t="str">
        <f t="array" ref="I3384">IF(ROWS(M$20:M3384)&gt;$F$6,"",INDEX(C$2:C$10000,SMALL(IF(ISNUMBER(MATCH($B$2:$B$10000,$E$6:$E$22,0)),ROW($C$2:$C$10000)-ROW($C$2)+1),ROWS(M$20:M3384))))</f>
        <v/>
      </c>
      <c r="K3384" s="7" t="str">
        <f t="array" ref="K3384">IF(ROWS(K$20:K3384)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3384))))</f>
        <v/>
      </c>
      <c r="L3384" s="4" t="str">
        <f t="array" ref="L3384">IF(ROWS(L$20:L3384)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3384))))</f>
        <v/>
      </c>
      <c r="M3384" s="4" t="str">
        <f t="array" ref="M3384">IF(ROWS(M$20:M3384)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3384))))</f>
        <v/>
      </c>
    </row>
    <row r="3385" spans="1:13" x14ac:dyDescent="0.25">
      <c r="A3385" s="3">
        <v>41279</v>
      </c>
      <c r="B3385" s="2" t="s">
        <v>32</v>
      </c>
      <c r="C3385" s="2">
        <v>38</v>
      </c>
      <c r="G3385" s="7" t="str">
        <f t="array" ref="G3385">IF(ROWS(K$20:K3385)&gt;$F$6,"",INDEX(A$2:A$10000,SMALL(IF(ISNUMBER(MATCH($B$2:$B$10000,$E$6:$E$22,0)),ROW($C$2:$C$10000)-ROW($C$2)+1),ROWS(K$20:K3385))))</f>
        <v/>
      </c>
      <c r="H3385" s="4" t="str">
        <f t="array" ref="H3385">IF(ROWS(L$20:L3385)&gt;$F$6,"",INDEX(B$2:B$10000,SMALL(IF(ISNUMBER(MATCH($B$2:$B$10000,$E$6:$E$22,0)),ROW($C$2:$C$10000)-ROW($C$2)+1),ROWS(L$20:L3385))))</f>
        <v/>
      </c>
      <c r="I3385" s="4" t="str">
        <f t="array" ref="I3385">IF(ROWS(M$20:M3385)&gt;$F$6,"",INDEX(C$2:C$10000,SMALL(IF(ISNUMBER(MATCH($B$2:$B$10000,$E$6:$E$22,0)),ROW($C$2:$C$10000)-ROW($C$2)+1),ROWS(M$20:M3385))))</f>
        <v/>
      </c>
      <c r="K3385" s="7" t="str">
        <f t="array" ref="K3385">IF(ROWS(K$20:K3385)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3385))))</f>
        <v/>
      </c>
      <c r="L3385" s="4" t="str">
        <f t="array" ref="L3385">IF(ROWS(L$20:L3385)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3385))))</f>
        <v/>
      </c>
      <c r="M3385" s="4" t="str">
        <f t="array" ref="M3385">IF(ROWS(M$20:M3385)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3385))))</f>
        <v/>
      </c>
    </row>
    <row r="3386" spans="1:13" x14ac:dyDescent="0.25">
      <c r="A3386" s="3">
        <v>41509</v>
      </c>
      <c r="B3386" s="2" t="s">
        <v>15</v>
      </c>
      <c r="C3386" s="2">
        <v>21</v>
      </c>
      <c r="G3386" s="7" t="str">
        <f t="array" ref="G3386">IF(ROWS(K$20:K3386)&gt;$F$6,"",INDEX(A$2:A$10000,SMALL(IF(ISNUMBER(MATCH($B$2:$B$10000,$E$6:$E$22,0)),ROW($C$2:$C$10000)-ROW($C$2)+1),ROWS(K$20:K3386))))</f>
        <v/>
      </c>
      <c r="H3386" s="4" t="str">
        <f t="array" ref="H3386">IF(ROWS(L$20:L3386)&gt;$F$6,"",INDEX(B$2:B$10000,SMALL(IF(ISNUMBER(MATCH($B$2:$B$10000,$E$6:$E$22,0)),ROW($C$2:$C$10000)-ROW($C$2)+1),ROWS(L$20:L3386))))</f>
        <v/>
      </c>
      <c r="I3386" s="4" t="str">
        <f t="array" ref="I3386">IF(ROWS(M$20:M3386)&gt;$F$6,"",INDEX(C$2:C$10000,SMALL(IF(ISNUMBER(MATCH($B$2:$B$10000,$E$6:$E$22,0)),ROW($C$2:$C$10000)-ROW($C$2)+1),ROWS(M$20:M3386))))</f>
        <v/>
      </c>
      <c r="K3386" s="7" t="str">
        <f t="array" ref="K3386">IF(ROWS(K$20:K3386)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3386))))</f>
        <v/>
      </c>
      <c r="L3386" s="4" t="str">
        <f t="array" ref="L3386">IF(ROWS(L$20:L3386)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3386))))</f>
        <v/>
      </c>
      <c r="M3386" s="4" t="str">
        <f t="array" ref="M3386">IF(ROWS(M$20:M3386)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3386))))</f>
        <v/>
      </c>
    </row>
    <row r="3387" spans="1:13" x14ac:dyDescent="0.25">
      <c r="A3387" s="3">
        <v>41308</v>
      </c>
      <c r="B3387" s="2" t="s">
        <v>41</v>
      </c>
      <c r="C3387" s="2">
        <v>23</v>
      </c>
      <c r="G3387" s="7" t="str">
        <f t="array" ref="G3387">IF(ROWS(K$20:K3387)&gt;$F$6,"",INDEX(A$2:A$10000,SMALL(IF(ISNUMBER(MATCH($B$2:$B$10000,$E$6:$E$22,0)),ROW($C$2:$C$10000)-ROW($C$2)+1),ROWS(K$20:K3387))))</f>
        <v/>
      </c>
      <c r="H3387" s="4" t="str">
        <f t="array" ref="H3387">IF(ROWS(L$20:L3387)&gt;$F$6,"",INDEX(B$2:B$10000,SMALL(IF(ISNUMBER(MATCH($B$2:$B$10000,$E$6:$E$22,0)),ROW($C$2:$C$10000)-ROW($C$2)+1),ROWS(L$20:L3387))))</f>
        <v/>
      </c>
      <c r="I3387" s="4" t="str">
        <f t="array" ref="I3387">IF(ROWS(M$20:M3387)&gt;$F$6,"",INDEX(C$2:C$10000,SMALL(IF(ISNUMBER(MATCH($B$2:$B$10000,$E$6:$E$22,0)),ROW($C$2:$C$10000)-ROW($C$2)+1),ROWS(M$20:M3387))))</f>
        <v/>
      </c>
      <c r="K3387" s="7" t="str">
        <f t="array" ref="K3387">IF(ROWS(K$20:K3387)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3387))))</f>
        <v/>
      </c>
      <c r="L3387" s="4" t="str">
        <f t="array" ref="L3387">IF(ROWS(L$20:L3387)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3387))))</f>
        <v/>
      </c>
      <c r="M3387" s="4" t="str">
        <f t="array" ref="M3387">IF(ROWS(M$20:M3387)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3387))))</f>
        <v/>
      </c>
    </row>
    <row r="3388" spans="1:13" x14ac:dyDescent="0.25">
      <c r="A3388" s="3">
        <v>41462</v>
      </c>
      <c r="B3388" s="2" t="s">
        <v>27</v>
      </c>
      <c r="C3388" s="2">
        <v>24</v>
      </c>
      <c r="G3388" s="7" t="str">
        <f t="array" ref="G3388">IF(ROWS(K$20:K3388)&gt;$F$6,"",INDEX(A$2:A$10000,SMALL(IF(ISNUMBER(MATCH($B$2:$B$10000,$E$6:$E$22,0)),ROW($C$2:$C$10000)-ROW($C$2)+1),ROWS(K$20:K3388))))</f>
        <v/>
      </c>
      <c r="H3388" s="4" t="str">
        <f t="array" ref="H3388">IF(ROWS(L$20:L3388)&gt;$F$6,"",INDEX(B$2:B$10000,SMALL(IF(ISNUMBER(MATCH($B$2:$B$10000,$E$6:$E$22,0)),ROW($C$2:$C$10000)-ROW($C$2)+1),ROWS(L$20:L3388))))</f>
        <v/>
      </c>
      <c r="I3388" s="4" t="str">
        <f t="array" ref="I3388">IF(ROWS(M$20:M3388)&gt;$F$6,"",INDEX(C$2:C$10000,SMALL(IF(ISNUMBER(MATCH($B$2:$B$10000,$E$6:$E$22,0)),ROW($C$2:$C$10000)-ROW($C$2)+1),ROWS(M$20:M3388))))</f>
        <v/>
      </c>
      <c r="K3388" s="7" t="str">
        <f t="array" ref="K3388">IF(ROWS(K$20:K3388)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3388))))</f>
        <v/>
      </c>
      <c r="L3388" s="4" t="str">
        <f t="array" ref="L3388">IF(ROWS(L$20:L3388)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3388))))</f>
        <v/>
      </c>
      <c r="M3388" s="4" t="str">
        <f t="array" ref="M3388">IF(ROWS(M$20:M3388)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3388))))</f>
        <v/>
      </c>
    </row>
    <row r="3389" spans="1:13" x14ac:dyDescent="0.25">
      <c r="A3389" s="3">
        <v>41958</v>
      </c>
      <c r="B3389" s="2" t="s">
        <v>9</v>
      </c>
      <c r="C3389" s="2">
        <v>8</v>
      </c>
      <c r="G3389" s="7" t="str">
        <f t="array" ref="G3389">IF(ROWS(K$20:K3389)&gt;$F$6,"",INDEX(A$2:A$10000,SMALL(IF(ISNUMBER(MATCH($B$2:$B$10000,$E$6:$E$22,0)),ROW($C$2:$C$10000)-ROW($C$2)+1),ROWS(K$20:K3389))))</f>
        <v/>
      </c>
      <c r="H3389" s="4" t="str">
        <f t="array" ref="H3389">IF(ROWS(L$20:L3389)&gt;$F$6,"",INDEX(B$2:B$10000,SMALL(IF(ISNUMBER(MATCH($B$2:$B$10000,$E$6:$E$22,0)),ROW($C$2:$C$10000)-ROW($C$2)+1),ROWS(L$20:L3389))))</f>
        <v/>
      </c>
      <c r="I3389" s="4" t="str">
        <f t="array" ref="I3389">IF(ROWS(M$20:M3389)&gt;$F$6,"",INDEX(C$2:C$10000,SMALL(IF(ISNUMBER(MATCH($B$2:$B$10000,$E$6:$E$22,0)),ROW($C$2:$C$10000)-ROW($C$2)+1),ROWS(M$20:M3389))))</f>
        <v/>
      </c>
      <c r="K3389" s="7" t="str">
        <f t="array" ref="K3389">IF(ROWS(K$20:K3389)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3389))))</f>
        <v/>
      </c>
      <c r="L3389" s="4" t="str">
        <f t="array" ref="L3389">IF(ROWS(L$20:L3389)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3389))))</f>
        <v/>
      </c>
      <c r="M3389" s="4" t="str">
        <f t="array" ref="M3389">IF(ROWS(M$20:M3389)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3389))))</f>
        <v/>
      </c>
    </row>
    <row r="3390" spans="1:13" x14ac:dyDescent="0.25">
      <c r="A3390" s="3">
        <v>41972</v>
      </c>
      <c r="B3390" s="2" t="s">
        <v>20</v>
      </c>
      <c r="C3390" s="2">
        <v>46</v>
      </c>
      <c r="G3390" s="7" t="str">
        <f t="array" ref="G3390">IF(ROWS(K$20:K3390)&gt;$F$6,"",INDEX(A$2:A$10000,SMALL(IF(ISNUMBER(MATCH($B$2:$B$10000,$E$6:$E$22,0)),ROW($C$2:$C$10000)-ROW($C$2)+1),ROWS(K$20:K3390))))</f>
        <v/>
      </c>
      <c r="H3390" s="4" t="str">
        <f t="array" ref="H3390">IF(ROWS(L$20:L3390)&gt;$F$6,"",INDEX(B$2:B$10000,SMALL(IF(ISNUMBER(MATCH($B$2:$B$10000,$E$6:$E$22,0)),ROW($C$2:$C$10000)-ROW($C$2)+1),ROWS(L$20:L3390))))</f>
        <v/>
      </c>
      <c r="I3390" s="4" t="str">
        <f t="array" ref="I3390">IF(ROWS(M$20:M3390)&gt;$F$6,"",INDEX(C$2:C$10000,SMALL(IF(ISNUMBER(MATCH($B$2:$B$10000,$E$6:$E$22,0)),ROW($C$2:$C$10000)-ROW($C$2)+1),ROWS(M$20:M3390))))</f>
        <v/>
      </c>
      <c r="K3390" s="7" t="str">
        <f t="array" ref="K3390">IF(ROWS(K$20:K3390)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3390))))</f>
        <v/>
      </c>
      <c r="L3390" s="4" t="str">
        <f t="array" ref="L3390">IF(ROWS(L$20:L3390)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3390))))</f>
        <v/>
      </c>
      <c r="M3390" s="4" t="str">
        <f t="array" ref="M3390">IF(ROWS(M$20:M3390)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3390))))</f>
        <v/>
      </c>
    </row>
    <row r="3391" spans="1:13" x14ac:dyDescent="0.25">
      <c r="A3391" s="3">
        <v>41742</v>
      </c>
      <c r="B3391" s="2" t="s">
        <v>4</v>
      </c>
      <c r="C3391" s="2">
        <v>45</v>
      </c>
      <c r="G3391" s="7" t="str">
        <f t="array" ref="G3391">IF(ROWS(K$20:K3391)&gt;$F$6,"",INDEX(A$2:A$10000,SMALL(IF(ISNUMBER(MATCH($B$2:$B$10000,$E$6:$E$22,0)),ROW($C$2:$C$10000)-ROW($C$2)+1),ROWS(K$20:K3391))))</f>
        <v/>
      </c>
      <c r="H3391" s="4" t="str">
        <f t="array" ref="H3391">IF(ROWS(L$20:L3391)&gt;$F$6,"",INDEX(B$2:B$10000,SMALL(IF(ISNUMBER(MATCH($B$2:$B$10000,$E$6:$E$22,0)),ROW($C$2:$C$10000)-ROW($C$2)+1),ROWS(L$20:L3391))))</f>
        <v/>
      </c>
      <c r="I3391" s="4" t="str">
        <f t="array" ref="I3391">IF(ROWS(M$20:M3391)&gt;$F$6,"",INDEX(C$2:C$10000,SMALL(IF(ISNUMBER(MATCH($B$2:$B$10000,$E$6:$E$22,0)),ROW($C$2:$C$10000)-ROW($C$2)+1),ROWS(M$20:M3391))))</f>
        <v/>
      </c>
      <c r="K3391" s="7" t="str">
        <f t="array" ref="K3391">IF(ROWS(K$20:K3391)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3391))))</f>
        <v/>
      </c>
      <c r="L3391" s="4" t="str">
        <f t="array" ref="L3391">IF(ROWS(L$20:L3391)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3391))))</f>
        <v/>
      </c>
      <c r="M3391" s="4" t="str">
        <f t="array" ref="M3391">IF(ROWS(M$20:M3391)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3391))))</f>
        <v/>
      </c>
    </row>
    <row r="3392" spans="1:13" x14ac:dyDescent="0.25">
      <c r="A3392" s="3">
        <v>41782</v>
      </c>
      <c r="B3392" s="2" t="s">
        <v>40</v>
      </c>
      <c r="C3392" s="2">
        <v>16</v>
      </c>
      <c r="G3392" s="7" t="str">
        <f t="array" ref="G3392">IF(ROWS(K$20:K3392)&gt;$F$6,"",INDEX(A$2:A$10000,SMALL(IF(ISNUMBER(MATCH($B$2:$B$10000,$E$6:$E$22,0)),ROW($C$2:$C$10000)-ROW($C$2)+1),ROWS(K$20:K3392))))</f>
        <v/>
      </c>
      <c r="H3392" s="4" t="str">
        <f t="array" ref="H3392">IF(ROWS(L$20:L3392)&gt;$F$6,"",INDEX(B$2:B$10000,SMALL(IF(ISNUMBER(MATCH($B$2:$B$10000,$E$6:$E$22,0)),ROW($C$2:$C$10000)-ROW($C$2)+1),ROWS(L$20:L3392))))</f>
        <v/>
      </c>
      <c r="I3392" s="4" t="str">
        <f t="array" ref="I3392">IF(ROWS(M$20:M3392)&gt;$F$6,"",INDEX(C$2:C$10000,SMALL(IF(ISNUMBER(MATCH($B$2:$B$10000,$E$6:$E$22,0)),ROW($C$2:$C$10000)-ROW($C$2)+1),ROWS(M$20:M3392))))</f>
        <v/>
      </c>
      <c r="K3392" s="7" t="str">
        <f t="array" ref="K3392">IF(ROWS(K$20:K3392)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3392))))</f>
        <v/>
      </c>
      <c r="L3392" s="4" t="str">
        <f t="array" ref="L3392">IF(ROWS(L$20:L3392)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3392))))</f>
        <v/>
      </c>
      <c r="M3392" s="4" t="str">
        <f t="array" ref="M3392">IF(ROWS(M$20:M3392)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3392))))</f>
        <v/>
      </c>
    </row>
    <row r="3393" spans="1:13" x14ac:dyDescent="0.25">
      <c r="A3393" s="3">
        <v>41412</v>
      </c>
      <c r="B3393" s="2" t="s">
        <v>47</v>
      </c>
      <c r="C3393" s="2">
        <v>37</v>
      </c>
      <c r="G3393" s="7" t="str">
        <f t="array" ref="G3393">IF(ROWS(K$20:K3393)&gt;$F$6,"",INDEX(A$2:A$10000,SMALL(IF(ISNUMBER(MATCH($B$2:$B$10000,$E$6:$E$22,0)),ROW($C$2:$C$10000)-ROW($C$2)+1),ROWS(K$20:K3393))))</f>
        <v/>
      </c>
      <c r="H3393" s="4" t="str">
        <f t="array" ref="H3393">IF(ROWS(L$20:L3393)&gt;$F$6,"",INDEX(B$2:B$10000,SMALL(IF(ISNUMBER(MATCH($B$2:$B$10000,$E$6:$E$22,0)),ROW($C$2:$C$10000)-ROW($C$2)+1),ROWS(L$20:L3393))))</f>
        <v/>
      </c>
      <c r="I3393" s="4" t="str">
        <f t="array" ref="I3393">IF(ROWS(M$20:M3393)&gt;$F$6,"",INDEX(C$2:C$10000,SMALL(IF(ISNUMBER(MATCH($B$2:$B$10000,$E$6:$E$22,0)),ROW($C$2:$C$10000)-ROW($C$2)+1),ROWS(M$20:M3393))))</f>
        <v/>
      </c>
      <c r="K3393" s="7" t="str">
        <f t="array" ref="K3393">IF(ROWS(K$20:K3393)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3393))))</f>
        <v/>
      </c>
      <c r="L3393" s="4" t="str">
        <f t="array" ref="L3393">IF(ROWS(L$20:L3393)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3393))))</f>
        <v/>
      </c>
      <c r="M3393" s="4" t="str">
        <f t="array" ref="M3393">IF(ROWS(M$20:M3393)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3393))))</f>
        <v/>
      </c>
    </row>
    <row r="3394" spans="1:13" x14ac:dyDescent="0.25">
      <c r="A3394" s="3">
        <v>41445</v>
      </c>
      <c r="B3394" s="2" t="s">
        <v>9</v>
      </c>
      <c r="C3394" s="2">
        <v>15</v>
      </c>
      <c r="G3394" s="7" t="str">
        <f t="array" ref="G3394">IF(ROWS(K$20:K3394)&gt;$F$6,"",INDEX(A$2:A$10000,SMALL(IF(ISNUMBER(MATCH($B$2:$B$10000,$E$6:$E$22,0)),ROW($C$2:$C$10000)-ROW($C$2)+1),ROWS(K$20:K3394))))</f>
        <v/>
      </c>
      <c r="H3394" s="4" t="str">
        <f t="array" ref="H3394">IF(ROWS(L$20:L3394)&gt;$F$6,"",INDEX(B$2:B$10000,SMALL(IF(ISNUMBER(MATCH($B$2:$B$10000,$E$6:$E$22,0)),ROW($C$2:$C$10000)-ROW($C$2)+1),ROWS(L$20:L3394))))</f>
        <v/>
      </c>
      <c r="I3394" s="4" t="str">
        <f t="array" ref="I3394">IF(ROWS(M$20:M3394)&gt;$F$6,"",INDEX(C$2:C$10000,SMALL(IF(ISNUMBER(MATCH($B$2:$B$10000,$E$6:$E$22,0)),ROW($C$2:$C$10000)-ROW($C$2)+1),ROWS(M$20:M3394))))</f>
        <v/>
      </c>
      <c r="K3394" s="7" t="str">
        <f t="array" ref="K3394">IF(ROWS(K$20:K3394)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3394))))</f>
        <v/>
      </c>
      <c r="L3394" s="4" t="str">
        <f t="array" ref="L3394">IF(ROWS(L$20:L3394)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3394))))</f>
        <v/>
      </c>
      <c r="M3394" s="4" t="str">
        <f t="array" ref="M3394">IF(ROWS(M$20:M3394)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3394))))</f>
        <v/>
      </c>
    </row>
    <row r="3395" spans="1:13" x14ac:dyDescent="0.25">
      <c r="A3395" s="3">
        <v>41736</v>
      </c>
      <c r="B3395" s="2" t="s">
        <v>13</v>
      </c>
      <c r="C3395" s="2">
        <v>22</v>
      </c>
      <c r="G3395" s="7" t="str">
        <f t="array" ref="G3395">IF(ROWS(K$20:K3395)&gt;$F$6,"",INDEX(A$2:A$10000,SMALL(IF(ISNUMBER(MATCH($B$2:$B$10000,$E$6:$E$22,0)),ROW($C$2:$C$10000)-ROW($C$2)+1),ROWS(K$20:K3395))))</f>
        <v/>
      </c>
      <c r="H3395" s="4" t="str">
        <f t="array" ref="H3395">IF(ROWS(L$20:L3395)&gt;$F$6,"",INDEX(B$2:B$10000,SMALL(IF(ISNUMBER(MATCH($B$2:$B$10000,$E$6:$E$22,0)),ROW($C$2:$C$10000)-ROW($C$2)+1),ROWS(L$20:L3395))))</f>
        <v/>
      </c>
      <c r="I3395" s="4" t="str">
        <f t="array" ref="I3395">IF(ROWS(M$20:M3395)&gt;$F$6,"",INDEX(C$2:C$10000,SMALL(IF(ISNUMBER(MATCH($B$2:$B$10000,$E$6:$E$22,0)),ROW($C$2:$C$10000)-ROW($C$2)+1),ROWS(M$20:M3395))))</f>
        <v/>
      </c>
      <c r="K3395" s="7" t="str">
        <f t="array" ref="K3395">IF(ROWS(K$20:K3395)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3395))))</f>
        <v/>
      </c>
      <c r="L3395" s="4" t="str">
        <f t="array" ref="L3395">IF(ROWS(L$20:L3395)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3395))))</f>
        <v/>
      </c>
      <c r="M3395" s="4" t="str">
        <f t="array" ref="M3395">IF(ROWS(M$20:M3395)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3395))))</f>
        <v/>
      </c>
    </row>
    <row r="3396" spans="1:13" x14ac:dyDescent="0.25">
      <c r="A3396" s="3">
        <v>41482</v>
      </c>
      <c r="B3396" s="2" t="s">
        <v>20</v>
      </c>
      <c r="C3396" s="2">
        <v>5</v>
      </c>
      <c r="G3396" s="7" t="str">
        <f t="array" ref="G3396">IF(ROWS(K$20:K3396)&gt;$F$6,"",INDEX(A$2:A$10000,SMALL(IF(ISNUMBER(MATCH($B$2:$B$10000,$E$6:$E$22,0)),ROW($C$2:$C$10000)-ROW($C$2)+1),ROWS(K$20:K3396))))</f>
        <v/>
      </c>
      <c r="H3396" s="4" t="str">
        <f t="array" ref="H3396">IF(ROWS(L$20:L3396)&gt;$F$6,"",INDEX(B$2:B$10000,SMALL(IF(ISNUMBER(MATCH($B$2:$B$10000,$E$6:$E$22,0)),ROW($C$2:$C$10000)-ROW($C$2)+1),ROWS(L$20:L3396))))</f>
        <v/>
      </c>
      <c r="I3396" s="4" t="str">
        <f t="array" ref="I3396">IF(ROWS(M$20:M3396)&gt;$F$6,"",INDEX(C$2:C$10000,SMALL(IF(ISNUMBER(MATCH($B$2:$B$10000,$E$6:$E$22,0)),ROW($C$2:$C$10000)-ROW($C$2)+1),ROWS(M$20:M3396))))</f>
        <v/>
      </c>
      <c r="K3396" s="7" t="str">
        <f t="array" ref="K3396">IF(ROWS(K$20:K3396)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3396))))</f>
        <v/>
      </c>
      <c r="L3396" s="4" t="str">
        <f t="array" ref="L3396">IF(ROWS(L$20:L3396)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3396))))</f>
        <v/>
      </c>
      <c r="M3396" s="4" t="str">
        <f t="array" ref="M3396">IF(ROWS(M$20:M3396)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3396))))</f>
        <v/>
      </c>
    </row>
    <row r="3397" spans="1:13" x14ac:dyDescent="0.25">
      <c r="A3397" s="3">
        <v>41451</v>
      </c>
      <c r="B3397" s="2" t="s">
        <v>42</v>
      </c>
      <c r="C3397" s="2">
        <v>31</v>
      </c>
      <c r="G3397" s="7" t="str">
        <f t="array" ref="G3397">IF(ROWS(K$20:K3397)&gt;$F$6,"",INDEX(A$2:A$10000,SMALL(IF(ISNUMBER(MATCH($B$2:$B$10000,$E$6:$E$22,0)),ROW($C$2:$C$10000)-ROW($C$2)+1),ROWS(K$20:K3397))))</f>
        <v/>
      </c>
      <c r="H3397" s="4" t="str">
        <f t="array" ref="H3397">IF(ROWS(L$20:L3397)&gt;$F$6,"",INDEX(B$2:B$10000,SMALL(IF(ISNUMBER(MATCH($B$2:$B$10000,$E$6:$E$22,0)),ROW($C$2:$C$10000)-ROW($C$2)+1),ROWS(L$20:L3397))))</f>
        <v/>
      </c>
      <c r="I3397" s="4" t="str">
        <f t="array" ref="I3397">IF(ROWS(M$20:M3397)&gt;$F$6,"",INDEX(C$2:C$10000,SMALL(IF(ISNUMBER(MATCH($B$2:$B$10000,$E$6:$E$22,0)),ROW($C$2:$C$10000)-ROW($C$2)+1),ROWS(M$20:M3397))))</f>
        <v/>
      </c>
      <c r="K3397" s="7" t="str">
        <f t="array" ref="K3397">IF(ROWS(K$20:K3397)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3397))))</f>
        <v/>
      </c>
      <c r="L3397" s="4" t="str">
        <f t="array" ref="L3397">IF(ROWS(L$20:L3397)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3397))))</f>
        <v/>
      </c>
      <c r="M3397" s="4" t="str">
        <f t="array" ref="M3397">IF(ROWS(M$20:M3397)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3397))))</f>
        <v/>
      </c>
    </row>
    <row r="3398" spans="1:13" x14ac:dyDescent="0.25">
      <c r="A3398" s="3">
        <v>41338</v>
      </c>
      <c r="B3398" s="2" t="s">
        <v>31</v>
      </c>
      <c r="C3398" s="2">
        <v>3</v>
      </c>
      <c r="G3398" s="7" t="str">
        <f t="array" ref="G3398">IF(ROWS(K$20:K3398)&gt;$F$6,"",INDEX(A$2:A$10000,SMALL(IF(ISNUMBER(MATCH($B$2:$B$10000,$E$6:$E$22,0)),ROW($C$2:$C$10000)-ROW($C$2)+1),ROWS(K$20:K3398))))</f>
        <v/>
      </c>
      <c r="H3398" s="4" t="str">
        <f t="array" ref="H3398">IF(ROWS(L$20:L3398)&gt;$F$6,"",INDEX(B$2:B$10000,SMALL(IF(ISNUMBER(MATCH($B$2:$B$10000,$E$6:$E$22,0)),ROW($C$2:$C$10000)-ROW($C$2)+1),ROWS(L$20:L3398))))</f>
        <v/>
      </c>
      <c r="I3398" s="4" t="str">
        <f t="array" ref="I3398">IF(ROWS(M$20:M3398)&gt;$F$6,"",INDEX(C$2:C$10000,SMALL(IF(ISNUMBER(MATCH($B$2:$B$10000,$E$6:$E$22,0)),ROW($C$2:$C$10000)-ROW($C$2)+1),ROWS(M$20:M3398))))</f>
        <v/>
      </c>
      <c r="K3398" s="7" t="str">
        <f t="array" ref="K3398">IF(ROWS(K$20:K3398)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3398))))</f>
        <v/>
      </c>
      <c r="L3398" s="4" t="str">
        <f t="array" ref="L3398">IF(ROWS(L$20:L3398)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3398))))</f>
        <v/>
      </c>
      <c r="M3398" s="4" t="str">
        <f t="array" ref="M3398">IF(ROWS(M$20:M3398)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3398))))</f>
        <v/>
      </c>
    </row>
    <row r="3399" spans="1:13" x14ac:dyDescent="0.25">
      <c r="A3399" s="3">
        <v>41548</v>
      </c>
      <c r="B3399" s="2" t="s">
        <v>13</v>
      </c>
      <c r="C3399" s="2">
        <v>23</v>
      </c>
      <c r="G3399" s="7" t="str">
        <f t="array" ref="G3399">IF(ROWS(K$20:K3399)&gt;$F$6,"",INDEX(A$2:A$10000,SMALL(IF(ISNUMBER(MATCH($B$2:$B$10000,$E$6:$E$22,0)),ROW($C$2:$C$10000)-ROW($C$2)+1),ROWS(K$20:K3399))))</f>
        <v/>
      </c>
      <c r="H3399" s="4" t="str">
        <f t="array" ref="H3399">IF(ROWS(L$20:L3399)&gt;$F$6,"",INDEX(B$2:B$10000,SMALL(IF(ISNUMBER(MATCH($B$2:$B$10000,$E$6:$E$22,0)),ROW($C$2:$C$10000)-ROW($C$2)+1),ROWS(L$20:L3399))))</f>
        <v/>
      </c>
      <c r="I3399" s="4" t="str">
        <f t="array" ref="I3399">IF(ROWS(M$20:M3399)&gt;$F$6,"",INDEX(C$2:C$10000,SMALL(IF(ISNUMBER(MATCH($B$2:$B$10000,$E$6:$E$22,0)),ROW($C$2:$C$10000)-ROW($C$2)+1),ROWS(M$20:M3399))))</f>
        <v/>
      </c>
      <c r="K3399" s="7" t="str">
        <f t="array" ref="K3399">IF(ROWS(K$20:K3399)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3399))))</f>
        <v/>
      </c>
      <c r="L3399" s="4" t="str">
        <f t="array" ref="L3399">IF(ROWS(L$20:L3399)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3399))))</f>
        <v/>
      </c>
      <c r="M3399" s="4" t="str">
        <f t="array" ref="M3399">IF(ROWS(M$20:M3399)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3399))))</f>
        <v/>
      </c>
    </row>
    <row r="3400" spans="1:13" x14ac:dyDescent="0.25">
      <c r="A3400" s="3">
        <v>41854</v>
      </c>
      <c r="B3400" s="2" t="s">
        <v>26</v>
      </c>
      <c r="C3400" s="2">
        <v>25</v>
      </c>
      <c r="G3400" s="7" t="str">
        <f t="array" ref="G3400">IF(ROWS(K$20:K3400)&gt;$F$6,"",INDEX(A$2:A$10000,SMALL(IF(ISNUMBER(MATCH($B$2:$B$10000,$E$6:$E$22,0)),ROW($C$2:$C$10000)-ROW($C$2)+1),ROWS(K$20:K3400))))</f>
        <v/>
      </c>
      <c r="H3400" s="4" t="str">
        <f t="array" ref="H3400">IF(ROWS(L$20:L3400)&gt;$F$6,"",INDEX(B$2:B$10000,SMALL(IF(ISNUMBER(MATCH($B$2:$B$10000,$E$6:$E$22,0)),ROW($C$2:$C$10000)-ROW($C$2)+1),ROWS(L$20:L3400))))</f>
        <v/>
      </c>
      <c r="I3400" s="4" t="str">
        <f t="array" ref="I3400">IF(ROWS(M$20:M3400)&gt;$F$6,"",INDEX(C$2:C$10000,SMALL(IF(ISNUMBER(MATCH($B$2:$B$10000,$E$6:$E$22,0)),ROW($C$2:$C$10000)-ROW($C$2)+1),ROWS(M$20:M3400))))</f>
        <v/>
      </c>
      <c r="K3400" s="7" t="str">
        <f t="array" ref="K3400">IF(ROWS(K$20:K3400)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3400))))</f>
        <v/>
      </c>
      <c r="L3400" s="4" t="str">
        <f t="array" ref="L3400">IF(ROWS(L$20:L3400)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3400))))</f>
        <v/>
      </c>
      <c r="M3400" s="4" t="str">
        <f t="array" ref="M3400">IF(ROWS(M$20:M3400)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3400))))</f>
        <v/>
      </c>
    </row>
    <row r="3401" spans="1:13" x14ac:dyDescent="0.25">
      <c r="A3401" s="3">
        <v>41448</v>
      </c>
      <c r="B3401" s="2" t="s">
        <v>30</v>
      </c>
      <c r="C3401" s="2">
        <v>31</v>
      </c>
      <c r="G3401" s="7" t="str">
        <f t="array" ref="G3401">IF(ROWS(K$20:K3401)&gt;$F$6,"",INDEX(A$2:A$10000,SMALL(IF(ISNUMBER(MATCH($B$2:$B$10000,$E$6:$E$22,0)),ROW($C$2:$C$10000)-ROW($C$2)+1),ROWS(K$20:K3401))))</f>
        <v/>
      </c>
      <c r="H3401" s="4" t="str">
        <f t="array" ref="H3401">IF(ROWS(L$20:L3401)&gt;$F$6,"",INDEX(B$2:B$10000,SMALL(IF(ISNUMBER(MATCH($B$2:$B$10000,$E$6:$E$22,0)),ROW($C$2:$C$10000)-ROW($C$2)+1),ROWS(L$20:L3401))))</f>
        <v/>
      </c>
      <c r="I3401" s="4" t="str">
        <f t="array" ref="I3401">IF(ROWS(M$20:M3401)&gt;$F$6,"",INDEX(C$2:C$10000,SMALL(IF(ISNUMBER(MATCH($B$2:$B$10000,$E$6:$E$22,0)),ROW($C$2:$C$10000)-ROW($C$2)+1),ROWS(M$20:M3401))))</f>
        <v/>
      </c>
      <c r="K3401" s="7" t="str">
        <f t="array" ref="K3401">IF(ROWS(K$20:K3401)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3401))))</f>
        <v/>
      </c>
      <c r="L3401" s="4" t="str">
        <f t="array" ref="L3401">IF(ROWS(L$20:L3401)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3401))))</f>
        <v/>
      </c>
      <c r="M3401" s="4" t="str">
        <f t="array" ref="M3401">IF(ROWS(M$20:M3401)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3401))))</f>
        <v/>
      </c>
    </row>
    <row r="3402" spans="1:13" x14ac:dyDescent="0.25">
      <c r="A3402" s="3">
        <v>41738</v>
      </c>
      <c r="B3402" s="2" t="s">
        <v>13</v>
      </c>
      <c r="C3402" s="2">
        <v>16</v>
      </c>
      <c r="G3402" s="7" t="str">
        <f t="array" ref="G3402">IF(ROWS(K$20:K3402)&gt;$F$6,"",INDEX(A$2:A$10000,SMALL(IF(ISNUMBER(MATCH($B$2:$B$10000,$E$6:$E$22,0)),ROW($C$2:$C$10000)-ROW($C$2)+1),ROWS(K$20:K3402))))</f>
        <v/>
      </c>
      <c r="H3402" s="4" t="str">
        <f t="array" ref="H3402">IF(ROWS(L$20:L3402)&gt;$F$6,"",INDEX(B$2:B$10000,SMALL(IF(ISNUMBER(MATCH($B$2:$B$10000,$E$6:$E$22,0)),ROW($C$2:$C$10000)-ROW($C$2)+1),ROWS(L$20:L3402))))</f>
        <v/>
      </c>
      <c r="I3402" s="4" t="str">
        <f t="array" ref="I3402">IF(ROWS(M$20:M3402)&gt;$F$6,"",INDEX(C$2:C$10000,SMALL(IF(ISNUMBER(MATCH($B$2:$B$10000,$E$6:$E$22,0)),ROW($C$2:$C$10000)-ROW($C$2)+1),ROWS(M$20:M3402))))</f>
        <v/>
      </c>
      <c r="K3402" s="7" t="str">
        <f t="array" ref="K3402">IF(ROWS(K$20:K3402)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3402))))</f>
        <v/>
      </c>
      <c r="L3402" s="4" t="str">
        <f t="array" ref="L3402">IF(ROWS(L$20:L3402)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3402))))</f>
        <v/>
      </c>
      <c r="M3402" s="4" t="str">
        <f t="array" ref="M3402">IF(ROWS(M$20:M3402)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3402))))</f>
        <v/>
      </c>
    </row>
    <row r="3403" spans="1:13" x14ac:dyDescent="0.25">
      <c r="A3403" s="3">
        <v>41890</v>
      </c>
      <c r="B3403" s="2" t="s">
        <v>40</v>
      </c>
      <c r="C3403" s="2">
        <v>26</v>
      </c>
      <c r="G3403" s="7" t="str">
        <f t="array" ref="G3403">IF(ROWS(K$20:K3403)&gt;$F$6,"",INDEX(A$2:A$10000,SMALL(IF(ISNUMBER(MATCH($B$2:$B$10000,$E$6:$E$22,0)),ROW($C$2:$C$10000)-ROW($C$2)+1),ROWS(K$20:K3403))))</f>
        <v/>
      </c>
      <c r="H3403" s="4" t="str">
        <f t="array" ref="H3403">IF(ROWS(L$20:L3403)&gt;$F$6,"",INDEX(B$2:B$10000,SMALL(IF(ISNUMBER(MATCH($B$2:$B$10000,$E$6:$E$22,0)),ROW($C$2:$C$10000)-ROW($C$2)+1),ROWS(L$20:L3403))))</f>
        <v/>
      </c>
      <c r="I3403" s="4" t="str">
        <f t="array" ref="I3403">IF(ROWS(M$20:M3403)&gt;$F$6,"",INDEX(C$2:C$10000,SMALL(IF(ISNUMBER(MATCH($B$2:$B$10000,$E$6:$E$22,0)),ROW($C$2:$C$10000)-ROW($C$2)+1),ROWS(M$20:M3403))))</f>
        <v/>
      </c>
      <c r="K3403" s="7" t="str">
        <f t="array" ref="K3403">IF(ROWS(K$20:K3403)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3403))))</f>
        <v/>
      </c>
      <c r="L3403" s="4" t="str">
        <f t="array" ref="L3403">IF(ROWS(L$20:L3403)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3403))))</f>
        <v/>
      </c>
      <c r="M3403" s="4" t="str">
        <f t="array" ref="M3403">IF(ROWS(M$20:M3403)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3403))))</f>
        <v/>
      </c>
    </row>
    <row r="3404" spans="1:13" x14ac:dyDescent="0.25">
      <c r="A3404" s="3">
        <v>41735</v>
      </c>
      <c r="B3404" s="2" t="s">
        <v>50</v>
      </c>
      <c r="C3404" s="2">
        <v>56</v>
      </c>
      <c r="G3404" s="7" t="str">
        <f t="array" ref="G3404">IF(ROWS(K$20:K3404)&gt;$F$6,"",INDEX(A$2:A$10000,SMALL(IF(ISNUMBER(MATCH($B$2:$B$10000,$E$6:$E$22,0)),ROW($C$2:$C$10000)-ROW($C$2)+1),ROWS(K$20:K3404))))</f>
        <v/>
      </c>
      <c r="H3404" s="4" t="str">
        <f t="array" ref="H3404">IF(ROWS(L$20:L3404)&gt;$F$6,"",INDEX(B$2:B$10000,SMALL(IF(ISNUMBER(MATCH($B$2:$B$10000,$E$6:$E$22,0)),ROW($C$2:$C$10000)-ROW($C$2)+1),ROWS(L$20:L3404))))</f>
        <v/>
      </c>
      <c r="I3404" s="4" t="str">
        <f t="array" ref="I3404">IF(ROWS(M$20:M3404)&gt;$F$6,"",INDEX(C$2:C$10000,SMALL(IF(ISNUMBER(MATCH($B$2:$B$10000,$E$6:$E$22,0)),ROW($C$2:$C$10000)-ROW($C$2)+1),ROWS(M$20:M3404))))</f>
        <v/>
      </c>
      <c r="K3404" s="7" t="str">
        <f t="array" ref="K3404">IF(ROWS(K$20:K3404)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3404))))</f>
        <v/>
      </c>
      <c r="L3404" s="4" t="str">
        <f t="array" ref="L3404">IF(ROWS(L$20:L3404)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3404))))</f>
        <v/>
      </c>
      <c r="M3404" s="4" t="str">
        <f t="array" ref="M3404">IF(ROWS(M$20:M3404)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3404))))</f>
        <v/>
      </c>
    </row>
    <row r="3405" spans="1:13" x14ac:dyDescent="0.25">
      <c r="A3405" s="3">
        <v>41627</v>
      </c>
      <c r="B3405" s="2" t="s">
        <v>4</v>
      </c>
      <c r="C3405" s="2">
        <v>5</v>
      </c>
      <c r="G3405" s="7" t="str">
        <f t="array" ref="G3405">IF(ROWS(K$20:K3405)&gt;$F$6,"",INDEX(A$2:A$10000,SMALL(IF(ISNUMBER(MATCH($B$2:$B$10000,$E$6:$E$22,0)),ROW($C$2:$C$10000)-ROW($C$2)+1),ROWS(K$20:K3405))))</f>
        <v/>
      </c>
      <c r="H3405" s="4" t="str">
        <f t="array" ref="H3405">IF(ROWS(L$20:L3405)&gt;$F$6,"",INDEX(B$2:B$10000,SMALL(IF(ISNUMBER(MATCH($B$2:$B$10000,$E$6:$E$22,0)),ROW($C$2:$C$10000)-ROW($C$2)+1),ROWS(L$20:L3405))))</f>
        <v/>
      </c>
      <c r="I3405" s="4" t="str">
        <f t="array" ref="I3405">IF(ROWS(M$20:M3405)&gt;$F$6,"",INDEX(C$2:C$10000,SMALL(IF(ISNUMBER(MATCH($B$2:$B$10000,$E$6:$E$22,0)),ROW($C$2:$C$10000)-ROW($C$2)+1),ROWS(M$20:M3405))))</f>
        <v/>
      </c>
      <c r="K3405" s="7" t="str">
        <f t="array" ref="K3405">IF(ROWS(K$20:K3405)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3405))))</f>
        <v/>
      </c>
      <c r="L3405" s="4" t="str">
        <f t="array" ref="L3405">IF(ROWS(L$20:L3405)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3405))))</f>
        <v/>
      </c>
      <c r="M3405" s="4" t="str">
        <f t="array" ref="M3405">IF(ROWS(M$20:M3405)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3405))))</f>
        <v/>
      </c>
    </row>
    <row r="3406" spans="1:13" x14ac:dyDescent="0.25">
      <c r="A3406" s="3">
        <v>41886</v>
      </c>
      <c r="B3406" s="2" t="s">
        <v>45</v>
      </c>
      <c r="C3406" s="2">
        <v>43</v>
      </c>
      <c r="G3406" s="7" t="str">
        <f t="array" ref="G3406">IF(ROWS(K$20:K3406)&gt;$F$6,"",INDEX(A$2:A$10000,SMALL(IF(ISNUMBER(MATCH($B$2:$B$10000,$E$6:$E$22,0)),ROW($C$2:$C$10000)-ROW($C$2)+1),ROWS(K$20:K3406))))</f>
        <v/>
      </c>
      <c r="H3406" s="4" t="str">
        <f t="array" ref="H3406">IF(ROWS(L$20:L3406)&gt;$F$6,"",INDEX(B$2:B$10000,SMALL(IF(ISNUMBER(MATCH($B$2:$B$10000,$E$6:$E$22,0)),ROW($C$2:$C$10000)-ROW($C$2)+1),ROWS(L$20:L3406))))</f>
        <v/>
      </c>
      <c r="I3406" s="4" t="str">
        <f t="array" ref="I3406">IF(ROWS(M$20:M3406)&gt;$F$6,"",INDEX(C$2:C$10000,SMALL(IF(ISNUMBER(MATCH($B$2:$B$10000,$E$6:$E$22,0)),ROW($C$2:$C$10000)-ROW($C$2)+1),ROWS(M$20:M3406))))</f>
        <v/>
      </c>
      <c r="K3406" s="7" t="str">
        <f t="array" ref="K3406">IF(ROWS(K$20:K3406)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3406))))</f>
        <v/>
      </c>
      <c r="L3406" s="4" t="str">
        <f t="array" ref="L3406">IF(ROWS(L$20:L3406)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3406))))</f>
        <v/>
      </c>
      <c r="M3406" s="4" t="str">
        <f t="array" ref="M3406">IF(ROWS(M$20:M3406)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3406))))</f>
        <v/>
      </c>
    </row>
    <row r="3407" spans="1:13" x14ac:dyDescent="0.25">
      <c r="A3407" s="3">
        <v>41968</v>
      </c>
      <c r="B3407" s="2" t="s">
        <v>25</v>
      </c>
      <c r="C3407" s="2">
        <v>25</v>
      </c>
      <c r="G3407" s="7" t="str">
        <f t="array" ref="G3407">IF(ROWS(K$20:K3407)&gt;$F$6,"",INDEX(A$2:A$10000,SMALL(IF(ISNUMBER(MATCH($B$2:$B$10000,$E$6:$E$22,0)),ROW($C$2:$C$10000)-ROW($C$2)+1),ROWS(K$20:K3407))))</f>
        <v/>
      </c>
      <c r="H3407" s="4" t="str">
        <f t="array" ref="H3407">IF(ROWS(L$20:L3407)&gt;$F$6,"",INDEX(B$2:B$10000,SMALL(IF(ISNUMBER(MATCH($B$2:$B$10000,$E$6:$E$22,0)),ROW($C$2:$C$10000)-ROW($C$2)+1),ROWS(L$20:L3407))))</f>
        <v/>
      </c>
      <c r="I3407" s="4" t="str">
        <f t="array" ref="I3407">IF(ROWS(M$20:M3407)&gt;$F$6,"",INDEX(C$2:C$10000,SMALL(IF(ISNUMBER(MATCH($B$2:$B$10000,$E$6:$E$22,0)),ROW($C$2:$C$10000)-ROW($C$2)+1),ROWS(M$20:M3407))))</f>
        <v/>
      </c>
      <c r="K3407" s="7" t="str">
        <f t="array" ref="K3407">IF(ROWS(K$20:K3407)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3407))))</f>
        <v/>
      </c>
      <c r="L3407" s="4" t="str">
        <f t="array" ref="L3407">IF(ROWS(L$20:L3407)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3407))))</f>
        <v/>
      </c>
      <c r="M3407" s="4" t="str">
        <f t="array" ref="M3407">IF(ROWS(M$20:M3407)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3407))))</f>
        <v/>
      </c>
    </row>
    <row r="3408" spans="1:13" x14ac:dyDescent="0.25">
      <c r="A3408" s="3">
        <v>41637</v>
      </c>
      <c r="B3408" s="2" t="s">
        <v>26</v>
      </c>
      <c r="C3408" s="2">
        <v>22</v>
      </c>
      <c r="G3408" s="7" t="str">
        <f t="array" ref="G3408">IF(ROWS(K$20:K3408)&gt;$F$6,"",INDEX(A$2:A$10000,SMALL(IF(ISNUMBER(MATCH($B$2:$B$10000,$E$6:$E$22,0)),ROW($C$2:$C$10000)-ROW($C$2)+1),ROWS(K$20:K3408))))</f>
        <v/>
      </c>
      <c r="H3408" s="4" t="str">
        <f t="array" ref="H3408">IF(ROWS(L$20:L3408)&gt;$F$6,"",INDEX(B$2:B$10000,SMALL(IF(ISNUMBER(MATCH($B$2:$B$10000,$E$6:$E$22,0)),ROW($C$2:$C$10000)-ROW($C$2)+1),ROWS(L$20:L3408))))</f>
        <v/>
      </c>
      <c r="I3408" s="4" t="str">
        <f t="array" ref="I3408">IF(ROWS(M$20:M3408)&gt;$F$6,"",INDEX(C$2:C$10000,SMALL(IF(ISNUMBER(MATCH($B$2:$B$10000,$E$6:$E$22,0)),ROW($C$2:$C$10000)-ROW($C$2)+1),ROWS(M$20:M3408))))</f>
        <v/>
      </c>
      <c r="K3408" s="7" t="str">
        <f t="array" ref="K3408">IF(ROWS(K$20:K3408)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3408))))</f>
        <v/>
      </c>
      <c r="L3408" s="4" t="str">
        <f t="array" ref="L3408">IF(ROWS(L$20:L3408)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3408))))</f>
        <v/>
      </c>
      <c r="M3408" s="4" t="str">
        <f t="array" ref="M3408">IF(ROWS(M$20:M3408)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3408))))</f>
        <v/>
      </c>
    </row>
    <row r="3409" spans="1:13" x14ac:dyDescent="0.25">
      <c r="A3409" s="3">
        <v>41477</v>
      </c>
      <c r="B3409" s="2" t="s">
        <v>29</v>
      </c>
      <c r="C3409" s="2">
        <v>15</v>
      </c>
      <c r="G3409" s="7" t="str">
        <f t="array" ref="G3409">IF(ROWS(K$20:K3409)&gt;$F$6,"",INDEX(A$2:A$10000,SMALL(IF(ISNUMBER(MATCH($B$2:$B$10000,$E$6:$E$22,0)),ROW($C$2:$C$10000)-ROW($C$2)+1),ROWS(K$20:K3409))))</f>
        <v/>
      </c>
      <c r="H3409" s="4" t="str">
        <f t="array" ref="H3409">IF(ROWS(L$20:L3409)&gt;$F$6,"",INDEX(B$2:B$10000,SMALL(IF(ISNUMBER(MATCH($B$2:$B$10000,$E$6:$E$22,0)),ROW($C$2:$C$10000)-ROW($C$2)+1),ROWS(L$20:L3409))))</f>
        <v/>
      </c>
      <c r="I3409" s="4" t="str">
        <f t="array" ref="I3409">IF(ROWS(M$20:M3409)&gt;$F$6,"",INDEX(C$2:C$10000,SMALL(IF(ISNUMBER(MATCH($B$2:$B$10000,$E$6:$E$22,0)),ROW($C$2:$C$10000)-ROW($C$2)+1),ROWS(M$20:M3409))))</f>
        <v/>
      </c>
      <c r="K3409" s="7" t="str">
        <f t="array" ref="K3409">IF(ROWS(K$20:K3409)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3409))))</f>
        <v/>
      </c>
      <c r="L3409" s="4" t="str">
        <f t="array" ref="L3409">IF(ROWS(L$20:L3409)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3409))))</f>
        <v/>
      </c>
      <c r="M3409" s="4" t="str">
        <f t="array" ref="M3409">IF(ROWS(M$20:M3409)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3409))))</f>
        <v/>
      </c>
    </row>
    <row r="3410" spans="1:13" x14ac:dyDescent="0.25">
      <c r="A3410" s="3">
        <v>41584</v>
      </c>
      <c r="B3410" s="2" t="s">
        <v>14</v>
      </c>
      <c r="C3410" s="2">
        <v>35</v>
      </c>
      <c r="G3410" s="7" t="str">
        <f t="array" ref="G3410">IF(ROWS(K$20:K3410)&gt;$F$6,"",INDEX(A$2:A$10000,SMALL(IF(ISNUMBER(MATCH($B$2:$B$10000,$E$6:$E$22,0)),ROW($C$2:$C$10000)-ROW($C$2)+1),ROWS(K$20:K3410))))</f>
        <v/>
      </c>
      <c r="H3410" s="4" t="str">
        <f t="array" ref="H3410">IF(ROWS(L$20:L3410)&gt;$F$6,"",INDEX(B$2:B$10000,SMALL(IF(ISNUMBER(MATCH($B$2:$B$10000,$E$6:$E$22,0)),ROW($C$2:$C$10000)-ROW($C$2)+1),ROWS(L$20:L3410))))</f>
        <v/>
      </c>
      <c r="I3410" s="4" t="str">
        <f t="array" ref="I3410">IF(ROWS(M$20:M3410)&gt;$F$6,"",INDEX(C$2:C$10000,SMALL(IF(ISNUMBER(MATCH($B$2:$B$10000,$E$6:$E$22,0)),ROW($C$2:$C$10000)-ROW($C$2)+1),ROWS(M$20:M3410))))</f>
        <v/>
      </c>
      <c r="K3410" s="7" t="str">
        <f t="array" ref="K3410">IF(ROWS(K$20:K3410)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3410))))</f>
        <v/>
      </c>
      <c r="L3410" s="4" t="str">
        <f t="array" ref="L3410">IF(ROWS(L$20:L3410)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3410))))</f>
        <v/>
      </c>
      <c r="M3410" s="4" t="str">
        <f t="array" ref="M3410">IF(ROWS(M$20:M3410)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3410))))</f>
        <v/>
      </c>
    </row>
    <row r="3411" spans="1:13" x14ac:dyDescent="0.25">
      <c r="A3411" s="3">
        <v>41765</v>
      </c>
      <c r="B3411" s="2" t="s">
        <v>46</v>
      </c>
      <c r="C3411" s="2">
        <v>32</v>
      </c>
      <c r="G3411" s="7" t="str">
        <f t="array" ref="G3411">IF(ROWS(K$20:K3411)&gt;$F$6,"",INDEX(A$2:A$10000,SMALL(IF(ISNUMBER(MATCH($B$2:$B$10000,$E$6:$E$22,0)),ROW($C$2:$C$10000)-ROW($C$2)+1),ROWS(K$20:K3411))))</f>
        <v/>
      </c>
      <c r="H3411" s="4" t="str">
        <f t="array" ref="H3411">IF(ROWS(L$20:L3411)&gt;$F$6,"",INDEX(B$2:B$10000,SMALL(IF(ISNUMBER(MATCH($B$2:$B$10000,$E$6:$E$22,0)),ROW($C$2:$C$10000)-ROW($C$2)+1),ROWS(L$20:L3411))))</f>
        <v/>
      </c>
      <c r="I3411" s="4" t="str">
        <f t="array" ref="I3411">IF(ROWS(M$20:M3411)&gt;$F$6,"",INDEX(C$2:C$10000,SMALL(IF(ISNUMBER(MATCH($B$2:$B$10000,$E$6:$E$22,0)),ROW($C$2:$C$10000)-ROW($C$2)+1),ROWS(M$20:M3411))))</f>
        <v/>
      </c>
      <c r="K3411" s="7" t="str">
        <f t="array" ref="K3411">IF(ROWS(K$20:K3411)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3411))))</f>
        <v/>
      </c>
      <c r="L3411" s="4" t="str">
        <f t="array" ref="L3411">IF(ROWS(L$20:L3411)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3411))))</f>
        <v/>
      </c>
      <c r="M3411" s="4" t="str">
        <f t="array" ref="M3411">IF(ROWS(M$20:M3411)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3411))))</f>
        <v/>
      </c>
    </row>
    <row r="3412" spans="1:13" x14ac:dyDescent="0.25">
      <c r="A3412" s="3">
        <v>41803</v>
      </c>
      <c r="B3412" s="2" t="s">
        <v>2</v>
      </c>
      <c r="C3412" s="2">
        <v>0</v>
      </c>
      <c r="G3412" s="7" t="str">
        <f t="array" ref="G3412">IF(ROWS(K$20:K3412)&gt;$F$6,"",INDEX(A$2:A$10000,SMALL(IF(ISNUMBER(MATCH($B$2:$B$10000,$E$6:$E$22,0)),ROW($C$2:$C$10000)-ROW($C$2)+1),ROWS(K$20:K3412))))</f>
        <v/>
      </c>
      <c r="H3412" s="4" t="str">
        <f t="array" ref="H3412">IF(ROWS(L$20:L3412)&gt;$F$6,"",INDEX(B$2:B$10000,SMALL(IF(ISNUMBER(MATCH($B$2:$B$10000,$E$6:$E$22,0)),ROW($C$2:$C$10000)-ROW($C$2)+1),ROWS(L$20:L3412))))</f>
        <v/>
      </c>
      <c r="I3412" s="4" t="str">
        <f t="array" ref="I3412">IF(ROWS(M$20:M3412)&gt;$F$6,"",INDEX(C$2:C$10000,SMALL(IF(ISNUMBER(MATCH($B$2:$B$10000,$E$6:$E$22,0)),ROW($C$2:$C$10000)-ROW($C$2)+1),ROWS(M$20:M3412))))</f>
        <v/>
      </c>
      <c r="K3412" s="7" t="str">
        <f t="array" ref="K3412">IF(ROWS(K$20:K3412)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3412))))</f>
        <v/>
      </c>
      <c r="L3412" s="4" t="str">
        <f t="array" ref="L3412">IF(ROWS(L$20:L3412)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3412))))</f>
        <v/>
      </c>
      <c r="M3412" s="4" t="str">
        <f t="array" ref="M3412">IF(ROWS(M$20:M3412)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3412))))</f>
        <v/>
      </c>
    </row>
    <row r="3413" spans="1:13" x14ac:dyDescent="0.25">
      <c r="A3413" s="3">
        <v>41474</v>
      </c>
      <c r="B3413" s="2" t="s">
        <v>34</v>
      </c>
      <c r="C3413" s="2">
        <v>1</v>
      </c>
      <c r="G3413" s="7" t="str">
        <f t="array" ref="G3413">IF(ROWS(K$20:K3413)&gt;$F$6,"",INDEX(A$2:A$10000,SMALL(IF(ISNUMBER(MATCH($B$2:$B$10000,$E$6:$E$22,0)),ROW($C$2:$C$10000)-ROW($C$2)+1),ROWS(K$20:K3413))))</f>
        <v/>
      </c>
      <c r="H3413" s="4" t="str">
        <f t="array" ref="H3413">IF(ROWS(L$20:L3413)&gt;$F$6,"",INDEX(B$2:B$10000,SMALL(IF(ISNUMBER(MATCH($B$2:$B$10000,$E$6:$E$22,0)),ROW($C$2:$C$10000)-ROW($C$2)+1),ROWS(L$20:L3413))))</f>
        <v/>
      </c>
      <c r="I3413" s="4" t="str">
        <f t="array" ref="I3413">IF(ROWS(M$20:M3413)&gt;$F$6,"",INDEX(C$2:C$10000,SMALL(IF(ISNUMBER(MATCH($B$2:$B$10000,$E$6:$E$22,0)),ROW($C$2:$C$10000)-ROW($C$2)+1),ROWS(M$20:M3413))))</f>
        <v/>
      </c>
      <c r="K3413" s="7" t="str">
        <f t="array" ref="K3413">IF(ROWS(K$20:K3413)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3413))))</f>
        <v/>
      </c>
      <c r="L3413" s="4" t="str">
        <f t="array" ref="L3413">IF(ROWS(L$20:L3413)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3413))))</f>
        <v/>
      </c>
      <c r="M3413" s="4" t="str">
        <f t="array" ref="M3413">IF(ROWS(M$20:M3413)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3413))))</f>
        <v/>
      </c>
    </row>
    <row r="3414" spans="1:13" x14ac:dyDescent="0.25">
      <c r="A3414" s="3">
        <v>41904</v>
      </c>
      <c r="B3414" s="2" t="s">
        <v>19</v>
      </c>
      <c r="C3414" s="2">
        <v>12</v>
      </c>
      <c r="G3414" s="7" t="str">
        <f t="array" ref="G3414">IF(ROWS(K$20:K3414)&gt;$F$6,"",INDEX(A$2:A$10000,SMALL(IF(ISNUMBER(MATCH($B$2:$B$10000,$E$6:$E$22,0)),ROW($C$2:$C$10000)-ROW($C$2)+1),ROWS(K$20:K3414))))</f>
        <v/>
      </c>
      <c r="H3414" s="4" t="str">
        <f t="array" ref="H3414">IF(ROWS(L$20:L3414)&gt;$F$6,"",INDEX(B$2:B$10000,SMALL(IF(ISNUMBER(MATCH($B$2:$B$10000,$E$6:$E$22,0)),ROW($C$2:$C$10000)-ROW($C$2)+1),ROWS(L$20:L3414))))</f>
        <v/>
      </c>
      <c r="I3414" s="4" t="str">
        <f t="array" ref="I3414">IF(ROWS(M$20:M3414)&gt;$F$6,"",INDEX(C$2:C$10000,SMALL(IF(ISNUMBER(MATCH($B$2:$B$10000,$E$6:$E$22,0)),ROW($C$2:$C$10000)-ROW($C$2)+1),ROWS(M$20:M3414))))</f>
        <v/>
      </c>
      <c r="K3414" s="7" t="str">
        <f t="array" ref="K3414">IF(ROWS(K$20:K3414)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3414))))</f>
        <v/>
      </c>
      <c r="L3414" s="4" t="str">
        <f t="array" ref="L3414">IF(ROWS(L$20:L3414)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3414))))</f>
        <v/>
      </c>
      <c r="M3414" s="4" t="str">
        <f t="array" ref="M3414">IF(ROWS(M$20:M3414)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3414))))</f>
        <v/>
      </c>
    </row>
    <row r="3415" spans="1:13" x14ac:dyDescent="0.25">
      <c r="A3415" s="3">
        <v>41550</v>
      </c>
      <c r="B3415" s="2" t="s">
        <v>30</v>
      </c>
      <c r="C3415" s="2">
        <v>12</v>
      </c>
      <c r="G3415" s="7" t="str">
        <f t="array" ref="G3415">IF(ROWS(K$20:K3415)&gt;$F$6,"",INDEX(A$2:A$10000,SMALL(IF(ISNUMBER(MATCH($B$2:$B$10000,$E$6:$E$22,0)),ROW($C$2:$C$10000)-ROW($C$2)+1),ROWS(K$20:K3415))))</f>
        <v/>
      </c>
      <c r="H3415" s="4" t="str">
        <f t="array" ref="H3415">IF(ROWS(L$20:L3415)&gt;$F$6,"",INDEX(B$2:B$10000,SMALL(IF(ISNUMBER(MATCH($B$2:$B$10000,$E$6:$E$22,0)),ROW($C$2:$C$10000)-ROW($C$2)+1),ROWS(L$20:L3415))))</f>
        <v/>
      </c>
      <c r="I3415" s="4" t="str">
        <f t="array" ref="I3415">IF(ROWS(M$20:M3415)&gt;$F$6,"",INDEX(C$2:C$10000,SMALL(IF(ISNUMBER(MATCH($B$2:$B$10000,$E$6:$E$22,0)),ROW($C$2:$C$10000)-ROW($C$2)+1),ROWS(M$20:M3415))))</f>
        <v/>
      </c>
      <c r="K3415" s="7" t="str">
        <f t="array" ref="K3415">IF(ROWS(K$20:K3415)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3415))))</f>
        <v/>
      </c>
      <c r="L3415" s="4" t="str">
        <f t="array" ref="L3415">IF(ROWS(L$20:L3415)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3415))))</f>
        <v/>
      </c>
      <c r="M3415" s="4" t="str">
        <f t="array" ref="M3415">IF(ROWS(M$20:M3415)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3415))))</f>
        <v/>
      </c>
    </row>
    <row r="3416" spans="1:13" x14ac:dyDescent="0.25">
      <c r="A3416" s="3">
        <v>41466</v>
      </c>
      <c r="B3416" s="2" t="s">
        <v>7</v>
      </c>
      <c r="C3416" s="2">
        <v>17</v>
      </c>
      <c r="G3416" s="7" t="str">
        <f t="array" ref="G3416">IF(ROWS(K$20:K3416)&gt;$F$6,"",INDEX(A$2:A$10000,SMALL(IF(ISNUMBER(MATCH($B$2:$B$10000,$E$6:$E$22,0)),ROW($C$2:$C$10000)-ROW($C$2)+1),ROWS(K$20:K3416))))</f>
        <v/>
      </c>
      <c r="H3416" s="4" t="str">
        <f t="array" ref="H3416">IF(ROWS(L$20:L3416)&gt;$F$6,"",INDEX(B$2:B$10000,SMALL(IF(ISNUMBER(MATCH($B$2:$B$10000,$E$6:$E$22,0)),ROW($C$2:$C$10000)-ROW($C$2)+1),ROWS(L$20:L3416))))</f>
        <v/>
      </c>
      <c r="I3416" s="4" t="str">
        <f t="array" ref="I3416">IF(ROWS(M$20:M3416)&gt;$F$6,"",INDEX(C$2:C$10000,SMALL(IF(ISNUMBER(MATCH($B$2:$B$10000,$E$6:$E$22,0)),ROW($C$2:$C$10000)-ROW($C$2)+1),ROWS(M$20:M3416))))</f>
        <v/>
      </c>
      <c r="K3416" s="7" t="str">
        <f t="array" ref="K3416">IF(ROWS(K$20:K3416)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3416))))</f>
        <v/>
      </c>
      <c r="L3416" s="4" t="str">
        <f t="array" ref="L3416">IF(ROWS(L$20:L3416)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3416))))</f>
        <v/>
      </c>
      <c r="M3416" s="4" t="str">
        <f t="array" ref="M3416">IF(ROWS(M$20:M3416)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3416))))</f>
        <v/>
      </c>
    </row>
    <row r="3417" spans="1:13" x14ac:dyDescent="0.25">
      <c r="A3417" s="3">
        <v>41570</v>
      </c>
      <c r="B3417" s="2" t="s">
        <v>43</v>
      </c>
      <c r="C3417" s="2">
        <v>30</v>
      </c>
      <c r="G3417" s="7" t="str">
        <f t="array" ref="G3417">IF(ROWS(K$20:K3417)&gt;$F$6,"",INDEX(A$2:A$10000,SMALL(IF(ISNUMBER(MATCH($B$2:$B$10000,$E$6:$E$22,0)),ROW($C$2:$C$10000)-ROW($C$2)+1),ROWS(K$20:K3417))))</f>
        <v/>
      </c>
      <c r="H3417" s="4" t="str">
        <f t="array" ref="H3417">IF(ROWS(L$20:L3417)&gt;$F$6,"",INDEX(B$2:B$10000,SMALL(IF(ISNUMBER(MATCH($B$2:$B$10000,$E$6:$E$22,0)),ROW($C$2:$C$10000)-ROW($C$2)+1),ROWS(L$20:L3417))))</f>
        <v/>
      </c>
      <c r="I3417" s="4" t="str">
        <f t="array" ref="I3417">IF(ROWS(M$20:M3417)&gt;$F$6,"",INDEX(C$2:C$10000,SMALL(IF(ISNUMBER(MATCH($B$2:$B$10000,$E$6:$E$22,0)),ROW($C$2:$C$10000)-ROW($C$2)+1),ROWS(M$20:M3417))))</f>
        <v/>
      </c>
      <c r="K3417" s="7" t="str">
        <f t="array" ref="K3417">IF(ROWS(K$20:K3417)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3417))))</f>
        <v/>
      </c>
      <c r="L3417" s="4" t="str">
        <f t="array" ref="L3417">IF(ROWS(L$20:L3417)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3417))))</f>
        <v/>
      </c>
      <c r="M3417" s="4" t="str">
        <f t="array" ref="M3417">IF(ROWS(M$20:M3417)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3417))))</f>
        <v/>
      </c>
    </row>
    <row r="3418" spans="1:13" x14ac:dyDescent="0.25">
      <c r="A3418" s="3">
        <v>41777</v>
      </c>
      <c r="B3418" s="2" t="s">
        <v>38</v>
      </c>
      <c r="C3418" s="2">
        <v>4</v>
      </c>
      <c r="G3418" s="7" t="str">
        <f t="array" ref="G3418">IF(ROWS(K$20:K3418)&gt;$F$6,"",INDEX(A$2:A$10000,SMALL(IF(ISNUMBER(MATCH($B$2:$B$10000,$E$6:$E$22,0)),ROW($C$2:$C$10000)-ROW($C$2)+1),ROWS(K$20:K3418))))</f>
        <v/>
      </c>
      <c r="H3418" s="4" t="str">
        <f t="array" ref="H3418">IF(ROWS(L$20:L3418)&gt;$F$6,"",INDEX(B$2:B$10000,SMALL(IF(ISNUMBER(MATCH($B$2:$B$10000,$E$6:$E$22,0)),ROW($C$2:$C$10000)-ROW($C$2)+1),ROWS(L$20:L3418))))</f>
        <v/>
      </c>
      <c r="I3418" s="4" t="str">
        <f t="array" ref="I3418">IF(ROWS(M$20:M3418)&gt;$F$6,"",INDEX(C$2:C$10000,SMALL(IF(ISNUMBER(MATCH($B$2:$B$10000,$E$6:$E$22,0)),ROW($C$2:$C$10000)-ROW($C$2)+1),ROWS(M$20:M3418))))</f>
        <v/>
      </c>
      <c r="K3418" s="7" t="str">
        <f t="array" ref="K3418">IF(ROWS(K$20:K3418)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3418))))</f>
        <v/>
      </c>
      <c r="L3418" s="4" t="str">
        <f t="array" ref="L3418">IF(ROWS(L$20:L3418)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3418))))</f>
        <v/>
      </c>
      <c r="M3418" s="4" t="str">
        <f t="array" ref="M3418">IF(ROWS(M$20:M3418)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3418))))</f>
        <v/>
      </c>
    </row>
    <row r="3419" spans="1:13" x14ac:dyDescent="0.25">
      <c r="A3419" s="3">
        <v>41732</v>
      </c>
      <c r="B3419" s="2" t="s">
        <v>20</v>
      </c>
      <c r="C3419" s="2">
        <v>6</v>
      </c>
      <c r="G3419" s="7" t="str">
        <f t="array" ref="G3419">IF(ROWS(K$20:K3419)&gt;$F$6,"",INDEX(A$2:A$10000,SMALL(IF(ISNUMBER(MATCH($B$2:$B$10000,$E$6:$E$22,0)),ROW($C$2:$C$10000)-ROW($C$2)+1),ROWS(K$20:K3419))))</f>
        <v/>
      </c>
      <c r="H3419" s="4" t="str">
        <f t="array" ref="H3419">IF(ROWS(L$20:L3419)&gt;$F$6,"",INDEX(B$2:B$10000,SMALL(IF(ISNUMBER(MATCH($B$2:$B$10000,$E$6:$E$22,0)),ROW($C$2:$C$10000)-ROW($C$2)+1),ROWS(L$20:L3419))))</f>
        <v/>
      </c>
      <c r="I3419" s="4" t="str">
        <f t="array" ref="I3419">IF(ROWS(M$20:M3419)&gt;$F$6,"",INDEX(C$2:C$10000,SMALL(IF(ISNUMBER(MATCH($B$2:$B$10000,$E$6:$E$22,0)),ROW($C$2:$C$10000)-ROW($C$2)+1),ROWS(M$20:M3419))))</f>
        <v/>
      </c>
      <c r="K3419" s="7" t="str">
        <f t="array" ref="K3419">IF(ROWS(K$20:K3419)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3419))))</f>
        <v/>
      </c>
      <c r="L3419" s="4" t="str">
        <f t="array" ref="L3419">IF(ROWS(L$20:L3419)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3419))))</f>
        <v/>
      </c>
      <c r="M3419" s="4" t="str">
        <f t="array" ref="M3419">IF(ROWS(M$20:M3419)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3419))))</f>
        <v/>
      </c>
    </row>
    <row r="3420" spans="1:13" x14ac:dyDescent="0.25">
      <c r="A3420" s="3">
        <v>41282</v>
      </c>
      <c r="B3420" s="2" t="s">
        <v>16</v>
      </c>
      <c r="C3420" s="2">
        <v>14</v>
      </c>
      <c r="G3420" s="7" t="str">
        <f t="array" ref="G3420">IF(ROWS(K$20:K3420)&gt;$F$6,"",INDEX(A$2:A$10000,SMALL(IF(ISNUMBER(MATCH($B$2:$B$10000,$E$6:$E$22,0)),ROW($C$2:$C$10000)-ROW($C$2)+1),ROWS(K$20:K3420))))</f>
        <v/>
      </c>
      <c r="H3420" s="4" t="str">
        <f t="array" ref="H3420">IF(ROWS(L$20:L3420)&gt;$F$6,"",INDEX(B$2:B$10000,SMALL(IF(ISNUMBER(MATCH($B$2:$B$10000,$E$6:$E$22,0)),ROW($C$2:$C$10000)-ROW($C$2)+1),ROWS(L$20:L3420))))</f>
        <v/>
      </c>
      <c r="I3420" s="4" t="str">
        <f t="array" ref="I3420">IF(ROWS(M$20:M3420)&gt;$F$6,"",INDEX(C$2:C$10000,SMALL(IF(ISNUMBER(MATCH($B$2:$B$10000,$E$6:$E$22,0)),ROW($C$2:$C$10000)-ROW($C$2)+1),ROWS(M$20:M3420))))</f>
        <v/>
      </c>
      <c r="K3420" s="7" t="str">
        <f t="array" ref="K3420">IF(ROWS(K$20:K3420)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3420))))</f>
        <v/>
      </c>
      <c r="L3420" s="4" t="str">
        <f t="array" ref="L3420">IF(ROWS(L$20:L3420)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3420))))</f>
        <v/>
      </c>
      <c r="M3420" s="4" t="str">
        <f t="array" ref="M3420">IF(ROWS(M$20:M3420)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3420))))</f>
        <v/>
      </c>
    </row>
    <row r="3421" spans="1:13" x14ac:dyDescent="0.25">
      <c r="A3421" s="3">
        <v>41450</v>
      </c>
      <c r="B3421" s="2" t="s">
        <v>30</v>
      </c>
      <c r="C3421" s="2">
        <v>18</v>
      </c>
      <c r="G3421" s="7" t="str">
        <f t="array" ref="G3421">IF(ROWS(K$20:K3421)&gt;$F$6,"",INDEX(A$2:A$10000,SMALL(IF(ISNUMBER(MATCH($B$2:$B$10000,$E$6:$E$22,0)),ROW($C$2:$C$10000)-ROW($C$2)+1),ROWS(K$20:K3421))))</f>
        <v/>
      </c>
      <c r="H3421" s="4" t="str">
        <f t="array" ref="H3421">IF(ROWS(L$20:L3421)&gt;$F$6,"",INDEX(B$2:B$10000,SMALL(IF(ISNUMBER(MATCH($B$2:$B$10000,$E$6:$E$22,0)),ROW($C$2:$C$10000)-ROW($C$2)+1),ROWS(L$20:L3421))))</f>
        <v/>
      </c>
      <c r="I3421" s="4" t="str">
        <f t="array" ref="I3421">IF(ROWS(M$20:M3421)&gt;$F$6,"",INDEX(C$2:C$10000,SMALL(IF(ISNUMBER(MATCH($B$2:$B$10000,$E$6:$E$22,0)),ROW($C$2:$C$10000)-ROW($C$2)+1),ROWS(M$20:M3421))))</f>
        <v/>
      </c>
      <c r="K3421" s="7" t="str">
        <f t="array" ref="K3421">IF(ROWS(K$20:K3421)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3421))))</f>
        <v/>
      </c>
      <c r="L3421" s="4" t="str">
        <f t="array" ref="L3421">IF(ROWS(L$20:L3421)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3421))))</f>
        <v/>
      </c>
      <c r="M3421" s="4" t="str">
        <f t="array" ref="M3421">IF(ROWS(M$20:M3421)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3421))))</f>
        <v/>
      </c>
    </row>
    <row r="3422" spans="1:13" x14ac:dyDescent="0.25">
      <c r="A3422" s="3">
        <v>41287</v>
      </c>
      <c r="B3422" s="2" t="s">
        <v>32</v>
      </c>
      <c r="C3422" s="2">
        <v>33</v>
      </c>
      <c r="G3422" s="7" t="str">
        <f t="array" ref="G3422">IF(ROWS(K$20:K3422)&gt;$F$6,"",INDEX(A$2:A$10000,SMALL(IF(ISNUMBER(MATCH($B$2:$B$10000,$E$6:$E$22,0)),ROW($C$2:$C$10000)-ROW($C$2)+1),ROWS(K$20:K3422))))</f>
        <v/>
      </c>
      <c r="H3422" s="4" t="str">
        <f t="array" ref="H3422">IF(ROWS(L$20:L3422)&gt;$F$6,"",INDEX(B$2:B$10000,SMALL(IF(ISNUMBER(MATCH($B$2:$B$10000,$E$6:$E$22,0)),ROW($C$2:$C$10000)-ROW($C$2)+1),ROWS(L$20:L3422))))</f>
        <v/>
      </c>
      <c r="I3422" s="4" t="str">
        <f t="array" ref="I3422">IF(ROWS(M$20:M3422)&gt;$F$6,"",INDEX(C$2:C$10000,SMALL(IF(ISNUMBER(MATCH($B$2:$B$10000,$E$6:$E$22,0)),ROW($C$2:$C$10000)-ROW($C$2)+1),ROWS(M$20:M3422))))</f>
        <v/>
      </c>
      <c r="K3422" s="7" t="str">
        <f t="array" ref="K3422">IF(ROWS(K$20:K3422)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3422))))</f>
        <v/>
      </c>
      <c r="L3422" s="4" t="str">
        <f t="array" ref="L3422">IF(ROWS(L$20:L3422)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3422))))</f>
        <v/>
      </c>
      <c r="M3422" s="4" t="str">
        <f t="array" ref="M3422">IF(ROWS(M$20:M3422)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3422))))</f>
        <v/>
      </c>
    </row>
    <row r="3423" spans="1:13" x14ac:dyDescent="0.25">
      <c r="A3423" s="3">
        <v>41284</v>
      </c>
      <c r="B3423" s="2" t="s">
        <v>16</v>
      </c>
      <c r="C3423" s="2">
        <v>17</v>
      </c>
      <c r="G3423" s="7" t="str">
        <f t="array" ref="G3423">IF(ROWS(K$20:K3423)&gt;$F$6,"",INDEX(A$2:A$10000,SMALL(IF(ISNUMBER(MATCH($B$2:$B$10000,$E$6:$E$22,0)),ROW($C$2:$C$10000)-ROW($C$2)+1),ROWS(K$20:K3423))))</f>
        <v/>
      </c>
      <c r="H3423" s="4" t="str">
        <f t="array" ref="H3423">IF(ROWS(L$20:L3423)&gt;$F$6,"",INDEX(B$2:B$10000,SMALL(IF(ISNUMBER(MATCH($B$2:$B$10000,$E$6:$E$22,0)),ROW($C$2:$C$10000)-ROW($C$2)+1),ROWS(L$20:L3423))))</f>
        <v/>
      </c>
      <c r="I3423" s="4" t="str">
        <f t="array" ref="I3423">IF(ROWS(M$20:M3423)&gt;$F$6,"",INDEX(C$2:C$10000,SMALL(IF(ISNUMBER(MATCH($B$2:$B$10000,$E$6:$E$22,0)),ROW($C$2:$C$10000)-ROW($C$2)+1),ROWS(M$20:M3423))))</f>
        <v/>
      </c>
      <c r="K3423" s="7" t="str">
        <f t="array" ref="K3423">IF(ROWS(K$20:K3423)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3423))))</f>
        <v/>
      </c>
      <c r="L3423" s="4" t="str">
        <f t="array" ref="L3423">IF(ROWS(L$20:L3423)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3423))))</f>
        <v/>
      </c>
      <c r="M3423" s="4" t="str">
        <f t="array" ref="M3423">IF(ROWS(M$20:M3423)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3423))))</f>
        <v/>
      </c>
    </row>
    <row r="3424" spans="1:13" x14ac:dyDescent="0.25">
      <c r="A3424" s="3">
        <v>41934</v>
      </c>
      <c r="B3424" s="2" t="s">
        <v>46</v>
      </c>
      <c r="C3424" s="2">
        <v>2</v>
      </c>
      <c r="G3424" s="7" t="str">
        <f t="array" ref="G3424">IF(ROWS(K$20:K3424)&gt;$F$6,"",INDEX(A$2:A$10000,SMALL(IF(ISNUMBER(MATCH($B$2:$B$10000,$E$6:$E$22,0)),ROW($C$2:$C$10000)-ROW($C$2)+1),ROWS(K$20:K3424))))</f>
        <v/>
      </c>
      <c r="H3424" s="4" t="str">
        <f t="array" ref="H3424">IF(ROWS(L$20:L3424)&gt;$F$6,"",INDEX(B$2:B$10000,SMALL(IF(ISNUMBER(MATCH($B$2:$B$10000,$E$6:$E$22,0)),ROW($C$2:$C$10000)-ROW($C$2)+1),ROWS(L$20:L3424))))</f>
        <v/>
      </c>
      <c r="I3424" s="4" t="str">
        <f t="array" ref="I3424">IF(ROWS(M$20:M3424)&gt;$F$6,"",INDEX(C$2:C$10000,SMALL(IF(ISNUMBER(MATCH($B$2:$B$10000,$E$6:$E$22,0)),ROW($C$2:$C$10000)-ROW($C$2)+1),ROWS(M$20:M3424))))</f>
        <v/>
      </c>
      <c r="K3424" s="7" t="str">
        <f t="array" ref="K3424">IF(ROWS(K$20:K3424)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3424))))</f>
        <v/>
      </c>
      <c r="L3424" s="4" t="str">
        <f t="array" ref="L3424">IF(ROWS(L$20:L3424)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3424))))</f>
        <v/>
      </c>
      <c r="M3424" s="4" t="str">
        <f t="array" ref="M3424">IF(ROWS(M$20:M3424)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3424))))</f>
        <v/>
      </c>
    </row>
    <row r="3425" spans="1:13" x14ac:dyDescent="0.25">
      <c r="A3425" s="3">
        <v>41309</v>
      </c>
      <c r="B3425" s="2" t="s">
        <v>38</v>
      </c>
      <c r="C3425" s="2">
        <v>32</v>
      </c>
      <c r="G3425" s="7" t="str">
        <f t="array" ref="G3425">IF(ROWS(K$20:K3425)&gt;$F$6,"",INDEX(A$2:A$10000,SMALL(IF(ISNUMBER(MATCH($B$2:$B$10000,$E$6:$E$22,0)),ROW($C$2:$C$10000)-ROW($C$2)+1),ROWS(K$20:K3425))))</f>
        <v/>
      </c>
      <c r="H3425" s="4" t="str">
        <f t="array" ref="H3425">IF(ROWS(L$20:L3425)&gt;$F$6,"",INDEX(B$2:B$10000,SMALL(IF(ISNUMBER(MATCH($B$2:$B$10000,$E$6:$E$22,0)),ROW($C$2:$C$10000)-ROW($C$2)+1),ROWS(L$20:L3425))))</f>
        <v/>
      </c>
      <c r="I3425" s="4" t="str">
        <f t="array" ref="I3425">IF(ROWS(M$20:M3425)&gt;$F$6,"",INDEX(C$2:C$10000,SMALL(IF(ISNUMBER(MATCH($B$2:$B$10000,$E$6:$E$22,0)),ROW($C$2:$C$10000)-ROW($C$2)+1),ROWS(M$20:M3425))))</f>
        <v/>
      </c>
      <c r="K3425" s="7" t="str">
        <f t="array" ref="K3425">IF(ROWS(K$20:K3425)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3425))))</f>
        <v/>
      </c>
      <c r="L3425" s="4" t="str">
        <f t="array" ref="L3425">IF(ROWS(L$20:L3425)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3425))))</f>
        <v/>
      </c>
      <c r="M3425" s="4" t="str">
        <f t="array" ref="M3425">IF(ROWS(M$20:M3425)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3425))))</f>
        <v/>
      </c>
    </row>
    <row r="3426" spans="1:13" x14ac:dyDescent="0.25">
      <c r="A3426" s="3">
        <v>41626</v>
      </c>
      <c r="B3426" s="2" t="s">
        <v>42</v>
      </c>
      <c r="C3426" s="2">
        <v>4</v>
      </c>
      <c r="G3426" s="7" t="str">
        <f t="array" ref="G3426">IF(ROWS(K$20:K3426)&gt;$F$6,"",INDEX(A$2:A$10000,SMALL(IF(ISNUMBER(MATCH($B$2:$B$10000,$E$6:$E$22,0)),ROW($C$2:$C$10000)-ROW($C$2)+1),ROWS(K$20:K3426))))</f>
        <v/>
      </c>
      <c r="H3426" s="4" t="str">
        <f t="array" ref="H3426">IF(ROWS(L$20:L3426)&gt;$F$6,"",INDEX(B$2:B$10000,SMALL(IF(ISNUMBER(MATCH($B$2:$B$10000,$E$6:$E$22,0)),ROW($C$2:$C$10000)-ROW($C$2)+1),ROWS(L$20:L3426))))</f>
        <v/>
      </c>
      <c r="I3426" s="4" t="str">
        <f t="array" ref="I3426">IF(ROWS(M$20:M3426)&gt;$F$6,"",INDEX(C$2:C$10000,SMALL(IF(ISNUMBER(MATCH($B$2:$B$10000,$E$6:$E$22,0)),ROW($C$2:$C$10000)-ROW($C$2)+1),ROWS(M$20:M3426))))</f>
        <v/>
      </c>
      <c r="K3426" s="7" t="str">
        <f t="array" ref="K3426">IF(ROWS(K$20:K3426)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3426))))</f>
        <v/>
      </c>
      <c r="L3426" s="4" t="str">
        <f t="array" ref="L3426">IF(ROWS(L$20:L3426)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3426))))</f>
        <v/>
      </c>
      <c r="M3426" s="4" t="str">
        <f t="array" ref="M3426">IF(ROWS(M$20:M3426)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3426))))</f>
        <v/>
      </c>
    </row>
    <row r="3427" spans="1:13" x14ac:dyDescent="0.25">
      <c r="A3427" s="3">
        <v>41862</v>
      </c>
      <c r="B3427" s="2" t="s">
        <v>11</v>
      </c>
      <c r="C3427" s="2">
        <v>28</v>
      </c>
      <c r="G3427" s="7" t="str">
        <f t="array" ref="G3427">IF(ROWS(K$20:K3427)&gt;$F$6,"",INDEX(A$2:A$10000,SMALL(IF(ISNUMBER(MATCH($B$2:$B$10000,$E$6:$E$22,0)),ROW($C$2:$C$10000)-ROW($C$2)+1),ROWS(K$20:K3427))))</f>
        <v/>
      </c>
      <c r="H3427" s="4" t="str">
        <f t="array" ref="H3427">IF(ROWS(L$20:L3427)&gt;$F$6,"",INDEX(B$2:B$10000,SMALL(IF(ISNUMBER(MATCH($B$2:$B$10000,$E$6:$E$22,0)),ROW($C$2:$C$10000)-ROW($C$2)+1),ROWS(L$20:L3427))))</f>
        <v/>
      </c>
      <c r="I3427" s="4" t="str">
        <f t="array" ref="I3427">IF(ROWS(M$20:M3427)&gt;$F$6,"",INDEX(C$2:C$10000,SMALL(IF(ISNUMBER(MATCH($B$2:$B$10000,$E$6:$E$22,0)),ROW($C$2:$C$10000)-ROW($C$2)+1),ROWS(M$20:M3427))))</f>
        <v/>
      </c>
      <c r="K3427" s="7" t="str">
        <f t="array" ref="K3427">IF(ROWS(K$20:K3427)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3427))))</f>
        <v/>
      </c>
      <c r="L3427" s="4" t="str">
        <f t="array" ref="L3427">IF(ROWS(L$20:L3427)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3427))))</f>
        <v/>
      </c>
      <c r="M3427" s="4" t="str">
        <f t="array" ref="M3427">IF(ROWS(M$20:M3427)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3427))))</f>
        <v/>
      </c>
    </row>
    <row r="3428" spans="1:13" x14ac:dyDescent="0.25">
      <c r="A3428" s="3">
        <v>41536</v>
      </c>
      <c r="B3428" s="2" t="s">
        <v>38</v>
      </c>
      <c r="C3428" s="2">
        <v>27</v>
      </c>
      <c r="G3428" s="7" t="str">
        <f t="array" ref="G3428">IF(ROWS(K$20:K3428)&gt;$F$6,"",INDEX(A$2:A$10000,SMALL(IF(ISNUMBER(MATCH($B$2:$B$10000,$E$6:$E$22,0)),ROW($C$2:$C$10000)-ROW($C$2)+1),ROWS(K$20:K3428))))</f>
        <v/>
      </c>
      <c r="H3428" s="4" t="str">
        <f t="array" ref="H3428">IF(ROWS(L$20:L3428)&gt;$F$6,"",INDEX(B$2:B$10000,SMALL(IF(ISNUMBER(MATCH($B$2:$B$10000,$E$6:$E$22,0)),ROW($C$2:$C$10000)-ROW($C$2)+1),ROWS(L$20:L3428))))</f>
        <v/>
      </c>
      <c r="I3428" s="4" t="str">
        <f t="array" ref="I3428">IF(ROWS(M$20:M3428)&gt;$F$6,"",INDEX(C$2:C$10000,SMALL(IF(ISNUMBER(MATCH($B$2:$B$10000,$E$6:$E$22,0)),ROW($C$2:$C$10000)-ROW($C$2)+1),ROWS(M$20:M3428))))</f>
        <v/>
      </c>
      <c r="K3428" s="7" t="str">
        <f t="array" ref="K3428">IF(ROWS(K$20:K3428)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3428))))</f>
        <v/>
      </c>
      <c r="L3428" s="4" t="str">
        <f t="array" ref="L3428">IF(ROWS(L$20:L3428)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3428))))</f>
        <v/>
      </c>
      <c r="M3428" s="4" t="str">
        <f t="array" ref="M3428">IF(ROWS(M$20:M3428)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3428))))</f>
        <v/>
      </c>
    </row>
    <row r="3429" spans="1:13" x14ac:dyDescent="0.25">
      <c r="A3429" s="3">
        <v>41515</v>
      </c>
      <c r="B3429" s="2" t="s">
        <v>44</v>
      </c>
      <c r="C3429" s="2">
        <v>9</v>
      </c>
      <c r="G3429" s="7" t="str">
        <f t="array" ref="G3429">IF(ROWS(K$20:K3429)&gt;$F$6,"",INDEX(A$2:A$10000,SMALL(IF(ISNUMBER(MATCH($B$2:$B$10000,$E$6:$E$22,0)),ROW($C$2:$C$10000)-ROW($C$2)+1),ROWS(K$20:K3429))))</f>
        <v/>
      </c>
      <c r="H3429" s="4" t="str">
        <f t="array" ref="H3429">IF(ROWS(L$20:L3429)&gt;$F$6,"",INDEX(B$2:B$10000,SMALL(IF(ISNUMBER(MATCH($B$2:$B$10000,$E$6:$E$22,0)),ROW($C$2:$C$10000)-ROW($C$2)+1),ROWS(L$20:L3429))))</f>
        <v/>
      </c>
      <c r="I3429" s="4" t="str">
        <f t="array" ref="I3429">IF(ROWS(M$20:M3429)&gt;$F$6,"",INDEX(C$2:C$10000,SMALL(IF(ISNUMBER(MATCH($B$2:$B$10000,$E$6:$E$22,0)),ROW($C$2:$C$10000)-ROW($C$2)+1),ROWS(M$20:M3429))))</f>
        <v/>
      </c>
      <c r="K3429" s="7" t="str">
        <f t="array" ref="K3429">IF(ROWS(K$20:K3429)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3429))))</f>
        <v/>
      </c>
      <c r="L3429" s="4" t="str">
        <f t="array" ref="L3429">IF(ROWS(L$20:L3429)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3429))))</f>
        <v/>
      </c>
      <c r="M3429" s="4" t="str">
        <f t="array" ref="M3429">IF(ROWS(M$20:M3429)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3429))))</f>
        <v/>
      </c>
    </row>
    <row r="3430" spans="1:13" x14ac:dyDescent="0.25">
      <c r="A3430" s="3">
        <v>41473</v>
      </c>
      <c r="B3430" s="2" t="s">
        <v>50</v>
      </c>
      <c r="C3430" s="2">
        <v>78</v>
      </c>
      <c r="G3430" s="7" t="str">
        <f t="array" ref="G3430">IF(ROWS(K$20:K3430)&gt;$F$6,"",INDEX(A$2:A$10000,SMALL(IF(ISNUMBER(MATCH($B$2:$B$10000,$E$6:$E$22,0)),ROW($C$2:$C$10000)-ROW($C$2)+1),ROWS(K$20:K3430))))</f>
        <v/>
      </c>
      <c r="H3430" s="4" t="str">
        <f t="array" ref="H3430">IF(ROWS(L$20:L3430)&gt;$F$6,"",INDEX(B$2:B$10000,SMALL(IF(ISNUMBER(MATCH($B$2:$B$10000,$E$6:$E$22,0)),ROW($C$2:$C$10000)-ROW($C$2)+1),ROWS(L$20:L3430))))</f>
        <v/>
      </c>
      <c r="I3430" s="4" t="str">
        <f t="array" ref="I3430">IF(ROWS(M$20:M3430)&gt;$F$6,"",INDEX(C$2:C$10000,SMALL(IF(ISNUMBER(MATCH($B$2:$B$10000,$E$6:$E$22,0)),ROW($C$2:$C$10000)-ROW($C$2)+1),ROWS(M$20:M3430))))</f>
        <v/>
      </c>
      <c r="K3430" s="7" t="str">
        <f t="array" ref="K3430">IF(ROWS(K$20:K3430)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3430))))</f>
        <v/>
      </c>
      <c r="L3430" s="4" t="str">
        <f t="array" ref="L3430">IF(ROWS(L$20:L3430)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3430))))</f>
        <v/>
      </c>
      <c r="M3430" s="4" t="str">
        <f t="array" ref="M3430">IF(ROWS(M$20:M3430)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3430))))</f>
        <v/>
      </c>
    </row>
    <row r="3431" spans="1:13" x14ac:dyDescent="0.25">
      <c r="A3431" s="3">
        <v>41681</v>
      </c>
      <c r="B3431" s="2" t="s">
        <v>7</v>
      </c>
      <c r="C3431" s="2">
        <v>46</v>
      </c>
      <c r="G3431" s="7" t="str">
        <f t="array" ref="G3431">IF(ROWS(K$20:K3431)&gt;$F$6,"",INDEX(A$2:A$10000,SMALL(IF(ISNUMBER(MATCH($B$2:$B$10000,$E$6:$E$22,0)),ROW($C$2:$C$10000)-ROW($C$2)+1),ROWS(K$20:K3431))))</f>
        <v/>
      </c>
      <c r="H3431" s="4" t="str">
        <f t="array" ref="H3431">IF(ROWS(L$20:L3431)&gt;$F$6,"",INDEX(B$2:B$10000,SMALL(IF(ISNUMBER(MATCH($B$2:$B$10000,$E$6:$E$22,0)),ROW($C$2:$C$10000)-ROW($C$2)+1),ROWS(L$20:L3431))))</f>
        <v/>
      </c>
      <c r="I3431" s="4" t="str">
        <f t="array" ref="I3431">IF(ROWS(M$20:M3431)&gt;$F$6,"",INDEX(C$2:C$10000,SMALL(IF(ISNUMBER(MATCH($B$2:$B$10000,$E$6:$E$22,0)),ROW($C$2:$C$10000)-ROW($C$2)+1),ROWS(M$20:M3431))))</f>
        <v/>
      </c>
      <c r="K3431" s="7" t="str">
        <f t="array" ref="K3431">IF(ROWS(K$20:K3431)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3431))))</f>
        <v/>
      </c>
      <c r="L3431" s="4" t="str">
        <f t="array" ref="L3431">IF(ROWS(L$20:L3431)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3431))))</f>
        <v/>
      </c>
      <c r="M3431" s="4" t="str">
        <f t="array" ref="M3431">IF(ROWS(M$20:M3431)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3431))))</f>
        <v/>
      </c>
    </row>
    <row r="3432" spans="1:13" x14ac:dyDescent="0.25">
      <c r="A3432" s="3">
        <v>41866</v>
      </c>
      <c r="B3432" s="2" t="s">
        <v>14</v>
      </c>
      <c r="C3432" s="2">
        <v>22</v>
      </c>
      <c r="G3432" s="7" t="str">
        <f t="array" ref="G3432">IF(ROWS(K$20:K3432)&gt;$F$6,"",INDEX(A$2:A$10000,SMALL(IF(ISNUMBER(MATCH($B$2:$B$10000,$E$6:$E$22,0)),ROW($C$2:$C$10000)-ROW($C$2)+1),ROWS(K$20:K3432))))</f>
        <v/>
      </c>
      <c r="H3432" s="4" t="str">
        <f t="array" ref="H3432">IF(ROWS(L$20:L3432)&gt;$F$6,"",INDEX(B$2:B$10000,SMALL(IF(ISNUMBER(MATCH($B$2:$B$10000,$E$6:$E$22,0)),ROW($C$2:$C$10000)-ROW($C$2)+1),ROWS(L$20:L3432))))</f>
        <v/>
      </c>
      <c r="I3432" s="4" t="str">
        <f t="array" ref="I3432">IF(ROWS(M$20:M3432)&gt;$F$6,"",INDEX(C$2:C$10000,SMALL(IF(ISNUMBER(MATCH($B$2:$B$10000,$E$6:$E$22,0)),ROW($C$2:$C$10000)-ROW($C$2)+1),ROWS(M$20:M3432))))</f>
        <v/>
      </c>
      <c r="K3432" s="7" t="str">
        <f t="array" ref="K3432">IF(ROWS(K$20:K3432)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3432))))</f>
        <v/>
      </c>
      <c r="L3432" s="4" t="str">
        <f t="array" ref="L3432">IF(ROWS(L$20:L3432)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3432))))</f>
        <v/>
      </c>
      <c r="M3432" s="4" t="str">
        <f t="array" ref="M3432">IF(ROWS(M$20:M3432)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3432))))</f>
        <v/>
      </c>
    </row>
    <row r="3433" spans="1:13" x14ac:dyDescent="0.25">
      <c r="A3433" s="3">
        <v>41770</v>
      </c>
      <c r="B3433" s="2" t="s">
        <v>7</v>
      </c>
      <c r="C3433" s="2">
        <v>20</v>
      </c>
      <c r="G3433" s="7" t="str">
        <f t="array" ref="G3433">IF(ROWS(K$20:K3433)&gt;$F$6,"",INDEX(A$2:A$10000,SMALL(IF(ISNUMBER(MATCH($B$2:$B$10000,$E$6:$E$22,0)),ROW($C$2:$C$10000)-ROW($C$2)+1),ROWS(K$20:K3433))))</f>
        <v/>
      </c>
      <c r="H3433" s="4" t="str">
        <f t="array" ref="H3433">IF(ROWS(L$20:L3433)&gt;$F$6,"",INDEX(B$2:B$10000,SMALL(IF(ISNUMBER(MATCH($B$2:$B$10000,$E$6:$E$22,0)),ROW($C$2:$C$10000)-ROW($C$2)+1),ROWS(L$20:L3433))))</f>
        <v/>
      </c>
      <c r="I3433" s="4" t="str">
        <f t="array" ref="I3433">IF(ROWS(M$20:M3433)&gt;$F$6,"",INDEX(C$2:C$10000,SMALL(IF(ISNUMBER(MATCH($B$2:$B$10000,$E$6:$E$22,0)),ROW($C$2:$C$10000)-ROW($C$2)+1),ROWS(M$20:M3433))))</f>
        <v/>
      </c>
      <c r="K3433" s="7" t="str">
        <f t="array" ref="K3433">IF(ROWS(K$20:K3433)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3433))))</f>
        <v/>
      </c>
      <c r="L3433" s="4" t="str">
        <f t="array" ref="L3433">IF(ROWS(L$20:L3433)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3433))))</f>
        <v/>
      </c>
      <c r="M3433" s="4" t="str">
        <f t="array" ref="M3433">IF(ROWS(M$20:M3433)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3433))))</f>
        <v/>
      </c>
    </row>
    <row r="3434" spans="1:13" x14ac:dyDescent="0.25">
      <c r="A3434" s="3">
        <v>41841</v>
      </c>
      <c r="B3434" s="2" t="s">
        <v>21</v>
      </c>
      <c r="C3434" s="2">
        <v>36</v>
      </c>
      <c r="G3434" s="7" t="str">
        <f t="array" ref="G3434">IF(ROWS(K$20:K3434)&gt;$F$6,"",INDEX(A$2:A$10000,SMALL(IF(ISNUMBER(MATCH($B$2:$B$10000,$E$6:$E$22,0)),ROW($C$2:$C$10000)-ROW($C$2)+1),ROWS(K$20:K3434))))</f>
        <v/>
      </c>
      <c r="H3434" s="4" t="str">
        <f t="array" ref="H3434">IF(ROWS(L$20:L3434)&gt;$F$6,"",INDEX(B$2:B$10000,SMALL(IF(ISNUMBER(MATCH($B$2:$B$10000,$E$6:$E$22,0)),ROW($C$2:$C$10000)-ROW($C$2)+1),ROWS(L$20:L3434))))</f>
        <v/>
      </c>
      <c r="I3434" s="4" t="str">
        <f t="array" ref="I3434">IF(ROWS(M$20:M3434)&gt;$F$6,"",INDEX(C$2:C$10000,SMALL(IF(ISNUMBER(MATCH($B$2:$B$10000,$E$6:$E$22,0)),ROW($C$2:$C$10000)-ROW($C$2)+1),ROWS(M$20:M3434))))</f>
        <v/>
      </c>
      <c r="K3434" s="7" t="str">
        <f t="array" ref="K3434">IF(ROWS(K$20:K3434)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3434))))</f>
        <v/>
      </c>
      <c r="L3434" s="4" t="str">
        <f t="array" ref="L3434">IF(ROWS(L$20:L3434)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3434))))</f>
        <v/>
      </c>
      <c r="M3434" s="4" t="str">
        <f t="array" ref="M3434">IF(ROWS(M$20:M3434)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3434))))</f>
        <v/>
      </c>
    </row>
    <row r="3435" spans="1:13" x14ac:dyDescent="0.25">
      <c r="A3435" s="3">
        <v>41499</v>
      </c>
      <c r="B3435" s="2" t="s">
        <v>48</v>
      </c>
      <c r="C3435" s="2">
        <v>13</v>
      </c>
      <c r="G3435" s="7" t="str">
        <f t="array" ref="G3435">IF(ROWS(K$20:K3435)&gt;$F$6,"",INDEX(A$2:A$10000,SMALL(IF(ISNUMBER(MATCH($B$2:$B$10000,$E$6:$E$22,0)),ROW($C$2:$C$10000)-ROW($C$2)+1),ROWS(K$20:K3435))))</f>
        <v/>
      </c>
      <c r="H3435" s="4" t="str">
        <f t="array" ref="H3435">IF(ROWS(L$20:L3435)&gt;$F$6,"",INDEX(B$2:B$10000,SMALL(IF(ISNUMBER(MATCH($B$2:$B$10000,$E$6:$E$22,0)),ROW($C$2:$C$10000)-ROW($C$2)+1),ROWS(L$20:L3435))))</f>
        <v/>
      </c>
      <c r="I3435" s="4" t="str">
        <f t="array" ref="I3435">IF(ROWS(M$20:M3435)&gt;$F$6,"",INDEX(C$2:C$10000,SMALL(IF(ISNUMBER(MATCH($B$2:$B$10000,$E$6:$E$22,0)),ROW($C$2:$C$10000)-ROW($C$2)+1),ROWS(M$20:M3435))))</f>
        <v/>
      </c>
      <c r="K3435" s="7" t="str">
        <f t="array" ref="K3435">IF(ROWS(K$20:K3435)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3435))))</f>
        <v/>
      </c>
      <c r="L3435" s="4" t="str">
        <f t="array" ref="L3435">IF(ROWS(L$20:L3435)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3435))))</f>
        <v/>
      </c>
      <c r="M3435" s="4" t="str">
        <f t="array" ref="M3435">IF(ROWS(M$20:M3435)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3435))))</f>
        <v/>
      </c>
    </row>
    <row r="3436" spans="1:13" x14ac:dyDescent="0.25">
      <c r="A3436" s="3">
        <v>41765</v>
      </c>
      <c r="B3436" s="2" t="s">
        <v>3</v>
      </c>
      <c r="C3436" s="2">
        <v>28</v>
      </c>
      <c r="G3436" s="7" t="str">
        <f t="array" ref="G3436">IF(ROWS(K$20:K3436)&gt;$F$6,"",INDEX(A$2:A$10000,SMALL(IF(ISNUMBER(MATCH($B$2:$B$10000,$E$6:$E$22,0)),ROW($C$2:$C$10000)-ROW($C$2)+1),ROWS(K$20:K3436))))</f>
        <v/>
      </c>
      <c r="H3436" s="4" t="str">
        <f t="array" ref="H3436">IF(ROWS(L$20:L3436)&gt;$F$6,"",INDEX(B$2:B$10000,SMALL(IF(ISNUMBER(MATCH($B$2:$B$10000,$E$6:$E$22,0)),ROW($C$2:$C$10000)-ROW($C$2)+1),ROWS(L$20:L3436))))</f>
        <v/>
      </c>
      <c r="I3436" s="4" t="str">
        <f t="array" ref="I3436">IF(ROWS(M$20:M3436)&gt;$F$6,"",INDEX(C$2:C$10000,SMALL(IF(ISNUMBER(MATCH($B$2:$B$10000,$E$6:$E$22,0)),ROW($C$2:$C$10000)-ROW($C$2)+1),ROWS(M$20:M3436))))</f>
        <v/>
      </c>
      <c r="K3436" s="7" t="str">
        <f t="array" ref="K3436">IF(ROWS(K$20:K3436)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3436))))</f>
        <v/>
      </c>
      <c r="L3436" s="4" t="str">
        <f t="array" ref="L3436">IF(ROWS(L$20:L3436)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3436))))</f>
        <v/>
      </c>
      <c r="M3436" s="4" t="str">
        <f t="array" ref="M3436">IF(ROWS(M$20:M3436)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3436))))</f>
        <v/>
      </c>
    </row>
    <row r="3437" spans="1:13" x14ac:dyDescent="0.25">
      <c r="A3437" s="3">
        <v>41506</v>
      </c>
      <c r="B3437" s="2" t="s">
        <v>23</v>
      </c>
      <c r="C3437" s="2">
        <v>18</v>
      </c>
      <c r="G3437" s="7" t="str">
        <f t="array" ref="G3437">IF(ROWS(K$20:K3437)&gt;$F$6,"",INDEX(A$2:A$10000,SMALL(IF(ISNUMBER(MATCH($B$2:$B$10000,$E$6:$E$22,0)),ROW($C$2:$C$10000)-ROW($C$2)+1),ROWS(K$20:K3437))))</f>
        <v/>
      </c>
      <c r="H3437" s="4" t="str">
        <f t="array" ref="H3437">IF(ROWS(L$20:L3437)&gt;$F$6,"",INDEX(B$2:B$10000,SMALL(IF(ISNUMBER(MATCH($B$2:$B$10000,$E$6:$E$22,0)),ROW($C$2:$C$10000)-ROW($C$2)+1),ROWS(L$20:L3437))))</f>
        <v/>
      </c>
      <c r="I3437" s="4" t="str">
        <f t="array" ref="I3437">IF(ROWS(M$20:M3437)&gt;$F$6,"",INDEX(C$2:C$10000,SMALL(IF(ISNUMBER(MATCH($B$2:$B$10000,$E$6:$E$22,0)),ROW($C$2:$C$10000)-ROW($C$2)+1),ROWS(M$20:M3437))))</f>
        <v/>
      </c>
      <c r="K3437" s="7" t="str">
        <f t="array" ref="K3437">IF(ROWS(K$20:K3437)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3437))))</f>
        <v/>
      </c>
      <c r="L3437" s="4" t="str">
        <f t="array" ref="L3437">IF(ROWS(L$20:L3437)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3437))))</f>
        <v/>
      </c>
      <c r="M3437" s="4" t="str">
        <f t="array" ref="M3437">IF(ROWS(M$20:M3437)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3437))))</f>
        <v/>
      </c>
    </row>
    <row r="3438" spans="1:13" x14ac:dyDescent="0.25">
      <c r="A3438" s="3">
        <v>41554</v>
      </c>
      <c r="B3438" s="2" t="s">
        <v>2</v>
      </c>
      <c r="C3438" s="2">
        <v>46</v>
      </c>
      <c r="G3438" s="7" t="str">
        <f t="array" ref="G3438">IF(ROWS(K$20:K3438)&gt;$F$6,"",INDEX(A$2:A$10000,SMALL(IF(ISNUMBER(MATCH($B$2:$B$10000,$E$6:$E$22,0)),ROW($C$2:$C$10000)-ROW($C$2)+1),ROWS(K$20:K3438))))</f>
        <v/>
      </c>
      <c r="H3438" s="4" t="str">
        <f t="array" ref="H3438">IF(ROWS(L$20:L3438)&gt;$F$6,"",INDEX(B$2:B$10000,SMALL(IF(ISNUMBER(MATCH($B$2:$B$10000,$E$6:$E$22,0)),ROW($C$2:$C$10000)-ROW($C$2)+1),ROWS(L$20:L3438))))</f>
        <v/>
      </c>
      <c r="I3438" s="4" t="str">
        <f t="array" ref="I3438">IF(ROWS(M$20:M3438)&gt;$F$6,"",INDEX(C$2:C$10000,SMALL(IF(ISNUMBER(MATCH($B$2:$B$10000,$E$6:$E$22,0)),ROW($C$2:$C$10000)-ROW($C$2)+1),ROWS(M$20:M3438))))</f>
        <v/>
      </c>
      <c r="K3438" s="7" t="str">
        <f t="array" ref="K3438">IF(ROWS(K$20:K3438)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3438))))</f>
        <v/>
      </c>
      <c r="L3438" s="4" t="str">
        <f t="array" ref="L3438">IF(ROWS(L$20:L3438)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3438))))</f>
        <v/>
      </c>
      <c r="M3438" s="4" t="str">
        <f t="array" ref="M3438">IF(ROWS(M$20:M3438)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3438))))</f>
        <v/>
      </c>
    </row>
    <row r="3439" spans="1:13" x14ac:dyDescent="0.25">
      <c r="A3439" s="3">
        <v>41449</v>
      </c>
      <c r="B3439" s="2" t="s">
        <v>49</v>
      </c>
      <c r="C3439" s="2">
        <v>1</v>
      </c>
      <c r="G3439" s="7" t="str">
        <f t="array" ref="G3439">IF(ROWS(K$20:K3439)&gt;$F$6,"",INDEX(A$2:A$10000,SMALL(IF(ISNUMBER(MATCH($B$2:$B$10000,$E$6:$E$22,0)),ROW($C$2:$C$10000)-ROW($C$2)+1),ROWS(K$20:K3439))))</f>
        <v/>
      </c>
      <c r="H3439" s="4" t="str">
        <f t="array" ref="H3439">IF(ROWS(L$20:L3439)&gt;$F$6,"",INDEX(B$2:B$10000,SMALL(IF(ISNUMBER(MATCH($B$2:$B$10000,$E$6:$E$22,0)),ROW($C$2:$C$10000)-ROW($C$2)+1),ROWS(L$20:L3439))))</f>
        <v/>
      </c>
      <c r="I3439" s="4" t="str">
        <f t="array" ref="I3439">IF(ROWS(M$20:M3439)&gt;$F$6,"",INDEX(C$2:C$10000,SMALL(IF(ISNUMBER(MATCH($B$2:$B$10000,$E$6:$E$22,0)),ROW($C$2:$C$10000)-ROW($C$2)+1),ROWS(M$20:M3439))))</f>
        <v/>
      </c>
      <c r="K3439" s="7" t="str">
        <f t="array" ref="K3439">IF(ROWS(K$20:K3439)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3439))))</f>
        <v/>
      </c>
      <c r="L3439" s="4" t="str">
        <f t="array" ref="L3439">IF(ROWS(L$20:L3439)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3439))))</f>
        <v/>
      </c>
      <c r="M3439" s="4" t="str">
        <f t="array" ref="M3439">IF(ROWS(M$20:M3439)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3439))))</f>
        <v/>
      </c>
    </row>
    <row r="3440" spans="1:13" x14ac:dyDescent="0.25">
      <c r="A3440" s="3">
        <v>41679</v>
      </c>
      <c r="B3440" s="2" t="s">
        <v>50</v>
      </c>
      <c r="C3440" s="2">
        <v>35</v>
      </c>
      <c r="G3440" s="7" t="str">
        <f t="array" ref="G3440">IF(ROWS(K$20:K3440)&gt;$F$6,"",INDEX(A$2:A$10000,SMALL(IF(ISNUMBER(MATCH($B$2:$B$10000,$E$6:$E$22,0)),ROW($C$2:$C$10000)-ROW($C$2)+1),ROWS(K$20:K3440))))</f>
        <v/>
      </c>
      <c r="H3440" s="4" t="str">
        <f t="array" ref="H3440">IF(ROWS(L$20:L3440)&gt;$F$6,"",INDEX(B$2:B$10000,SMALL(IF(ISNUMBER(MATCH($B$2:$B$10000,$E$6:$E$22,0)),ROW($C$2:$C$10000)-ROW($C$2)+1),ROWS(L$20:L3440))))</f>
        <v/>
      </c>
      <c r="I3440" s="4" t="str">
        <f t="array" ref="I3440">IF(ROWS(M$20:M3440)&gt;$F$6,"",INDEX(C$2:C$10000,SMALL(IF(ISNUMBER(MATCH($B$2:$B$10000,$E$6:$E$22,0)),ROW($C$2:$C$10000)-ROW($C$2)+1),ROWS(M$20:M3440))))</f>
        <v/>
      </c>
      <c r="K3440" s="7" t="str">
        <f t="array" ref="K3440">IF(ROWS(K$20:K3440)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3440))))</f>
        <v/>
      </c>
      <c r="L3440" s="4" t="str">
        <f t="array" ref="L3440">IF(ROWS(L$20:L3440)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3440))))</f>
        <v/>
      </c>
      <c r="M3440" s="4" t="str">
        <f t="array" ref="M3440">IF(ROWS(M$20:M3440)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3440))))</f>
        <v/>
      </c>
    </row>
    <row r="3441" spans="1:13" x14ac:dyDescent="0.25">
      <c r="A3441" s="3">
        <v>41909</v>
      </c>
      <c r="B3441" s="2" t="s">
        <v>13</v>
      </c>
      <c r="C3441" s="2">
        <v>21</v>
      </c>
      <c r="G3441" s="7" t="str">
        <f t="array" ref="G3441">IF(ROWS(K$20:K3441)&gt;$F$6,"",INDEX(A$2:A$10000,SMALL(IF(ISNUMBER(MATCH($B$2:$B$10000,$E$6:$E$22,0)),ROW($C$2:$C$10000)-ROW($C$2)+1),ROWS(K$20:K3441))))</f>
        <v/>
      </c>
      <c r="H3441" s="4" t="str">
        <f t="array" ref="H3441">IF(ROWS(L$20:L3441)&gt;$F$6,"",INDEX(B$2:B$10000,SMALL(IF(ISNUMBER(MATCH($B$2:$B$10000,$E$6:$E$22,0)),ROW($C$2:$C$10000)-ROW($C$2)+1),ROWS(L$20:L3441))))</f>
        <v/>
      </c>
      <c r="I3441" s="4" t="str">
        <f t="array" ref="I3441">IF(ROWS(M$20:M3441)&gt;$F$6,"",INDEX(C$2:C$10000,SMALL(IF(ISNUMBER(MATCH($B$2:$B$10000,$E$6:$E$22,0)),ROW($C$2:$C$10000)-ROW($C$2)+1),ROWS(M$20:M3441))))</f>
        <v/>
      </c>
      <c r="K3441" s="7" t="str">
        <f t="array" ref="K3441">IF(ROWS(K$20:K3441)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3441))))</f>
        <v/>
      </c>
      <c r="L3441" s="4" t="str">
        <f t="array" ref="L3441">IF(ROWS(L$20:L3441)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3441))))</f>
        <v/>
      </c>
      <c r="M3441" s="4" t="str">
        <f t="array" ref="M3441">IF(ROWS(M$20:M3441)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3441))))</f>
        <v/>
      </c>
    </row>
    <row r="3442" spans="1:13" x14ac:dyDescent="0.25">
      <c r="A3442" s="3">
        <v>41583</v>
      </c>
      <c r="B3442" s="2" t="s">
        <v>7</v>
      </c>
      <c r="C3442" s="2">
        <v>11</v>
      </c>
      <c r="G3442" s="7" t="str">
        <f t="array" ref="G3442">IF(ROWS(K$20:K3442)&gt;$F$6,"",INDEX(A$2:A$10000,SMALL(IF(ISNUMBER(MATCH($B$2:$B$10000,$E$6:$E$22,0)),ROW($C$2:$C$10000)-ROW($C$2)+1),ROWS(K$20:K3442))))</f>
        <v/>
      </c>
      <c r="H3442" s="4" t="str">
        <f t="array" ref="H3442">IF(ROWS(L$20:L3442)&gt;$F$6,"",INDEX(B$2:B$10000,SMALL(IF(ISNUMBER(MATCH($B$2:$B$10000,$E$6:$E$22,0)),ROW($C$2:$C$10000)-ROW($C$2)+1),ROWS(L$20:L3442))))</f>
        <v/>
      </c>
      <c r="I3442" s="4" t="str">
        <f t="array" ref="I3442">IF(ROWS(M$20:M3442)&gt;$F$6,"",INDEX(C$2:C$10000,SMALL(IF(ISNUMBER(MATCH($B$2:$B$10000,$E$6:$E$22,0)),ROW($C$2:$C$10000)-ROW($C$2)+1),ROWS(M$20:M3442))))</f>
        <v/>
      </c>
      <c r="K3442" s="7" t="str">
        <f t="array" ref="K3442">IF(ROWS(K$20:K3442)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3442))))</f>
        <v/>
      </c>
      <c r="L3442" s="4" t="str">
        <f t="array" ref="L3442">IF(ROWS(L$20:L3442)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3442))))</f>
        <v/>
      </c>
      <c r="M3442" s="4" t="str">
        <f t="array" ref="M3442">IF(ROWS(M$20:M3442)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3442))))</f>
        <v/>
      </c>
    </row>
    <row r="3443" spans="1:13" x14ac:dyDescent="0.25">
      <c r="A3443" s="3">
        <v>41654</v>
      </c>
      <c r="B3443" s="2" t="s">
        <v>43</v>
      </c>
      <c r="C3443" s="2">
        <v>21</v>
      </c>
      <c r="G3443" s="7" t="str">
        <f t="array" ref="G3443">IF(ROWS(K$20:K3443)&gt;$F$6,"",INDEX(A$2:A$10000,SMALL(IF(ISNUMBER(MATCH($B$2:$B$10000,$E$6:$E$22,0)),ROW($C$2:$C$10000)-ROW($C$2)+1),ROWS(K$20:K3443))))</f>
        <v/>
      </c>
      <c r="H3443" s="4" t="str">
        <f t="array" ref="H3443">IF(ROWS(L$20:L3443)&gt;$F$6,"",INDEX(B$2:B$10000,SMALL(IF(ISNUMBER(MATCH($B$2:$B$10000,$E$6:$E$22,0)),ROW($C$2:$C$10000)-ROW($C$2)+1),ROWS(L$20:L3443))))</f>
        <v/>
      </c>
      <c r="I3443" s="4" t="str">
        <f t="array" ref="I3443">IF(ROWS(M$20:M3443)&gt;$F$6,"",INDEX(C$2:C$10000,SMALL(IF(ISNUMBER(MATCH($B$2:$B$10000,$E$6:$E$22,0)),ROW($C$2:$C$10000)-ROW($C$2)+1),ROWS(M$20:M3443))))</f>
        <v/>
      </c>
      <c r="K3443" s="7" t="str">
        <f t="array" ref="K3443">IF(ROWS(K$20:K3443)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3443))))</f>
        <v/>
      </c>
      <c r="L3443" s="4" t="str">
        <f t="array" ref="L3443">IF(ROWS(L$20:L3443)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3443))))</f>
        <v/>
      </c>
      <c r="M3443" s="4" t="str">
        <f t="array" ref="M3443">IF(ROWS(M$20:M3443)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3443))))</f>
        <v/>
      </c>
    </row>
    <row r="3444" spans="1:13" x14ac:dyDescent="0.25">
      <c r="A3444" s="3">
        <v>41774</v>
      </c>
      <c r="B3444" s="2" t="s">
        <v>29</v>
      </c>
      <c r="C3444" s="2">
        <v>8</v>
      </c>
      <c r="G3444" s="7" t="str">
        <f t="array" ref="G3444">IF(ROWS(K$20:K3444)&gt;$F$6,"",INDEX(A$2:A$10000,SMALL(IF(ISNUMBER(MATCH($B$2:$B$10000,$E$6:$E$22,0)),ROW($C$2:$C$10000)-ROW($C$2)+1),ROWS(K$20:K3444))))</f>
        <v/>
      </c>
      <c r="H3444" s="4" t="str">
        <f t="array" ref="H3444">IF(ROWS(L$20:L3444)&gt;$F$6,"",INDEX(B$2:B$10000,SMALL(IF(ISNUMBER(MATCH($B$2:$B$10000,$E$6:$E$22,0)),ROW($C$2:$C$10000)-ROW($C$2)+1),ROWS(L$20:L3444))))</f>
        <v/>
      </c>
      <c r="I3444" s="4" t="str">
        <f t="array" ref="I3444">IF(ROWS(M$20:M3444)&gt;$F$6,"",INDEX(C$2:C$10000,SMALL(IF(ISNUMBER(MATCH($B$2:$B$10000,$E$6:$E$22,0)),ROW($C$2:$C$10000)-ROW($C$2)+1),ROWS(M$20:M3444))))</f>
        <v/>
      </c>
      <c r="K3444" s="7" t="str">
        <f t="array" ref="K3444">IF(ROWS(K$20:K3444)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3444))))</f>
        <v/>
      </c>
      <c r="L3444" s="4" t="str">
        <f t="array" ref="L3444">IF(ROWS(L$20:L3444)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3444))))</f>
        <v/>
      </c>
      <c r="M3444" s="4" t="str">
        <f t="array" ref="M3444">IF(ROWS(M$20:M3444)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3444))))</f>
        <v/>
      </c>
    </row>
    <row r="3445" spans="1:13" x14ac:dyDescent="0.25">
      <c r="A3445" s="3">
        <v>41815</v>
      </c>
      <c r="B3445" s="2" t="s">
        <v>25</v>
      </c>
      <c r="C3445" s="2">
        <v>23</v>
      </c>
      <c r="G3445" s="7" t="str">
        <f t="array" ref="G3445">IF(ROWS(K$20:K3445)&gt;$F$6,"",INDEX(A$2:A$10000,SMALL(IF(ISNUMBER(MATCH($B$2:$B$10000,$E$6:$E$22,0)),ROW($C$2:$C$10000)-ROW($C$2)+1),ROWS(K$20:K3445))))</f>
        <v/>
      </c>
      <c r="H3445" s="4" t="str">
        <f t="array" ref="H3445">IF(ROWS(L$20:L3445)&gt;$F$6,"",INDEX(B$2:B$10000,SMALL(IF(ISNUMBER(MATCH($B$2:$B$10000,$E$6:$E$22,0)),ROW($C$2:$C$10000)-ROW($C$2)+1),ROWS(L$20:L3445))))</f>
        <v/>
      </c>
      <c r="I3445" s="4" t="str">
        <f t="array" ref="I3445">IF(ROWS(M$20:M3445)&gt;$F$6,"",INDEX(C$2:C$10000,SMALL(IF(ISNUMBER(MATCH($B$2:$B$10000,$E$6:$E$22,0)),ROW($C$2:$C$10000)-ROW($C$2)+1),ROWS(M$20:M3445))))</f>
        <v/>
      </c>
      <c r="K3445" s="7" t="str">
        <f t="array" ref="K3445">IF(ROWS(K$20:K3445)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3445))))</f>
        <v/>
      </c>
      <c r="L3445" s="4" t="str">
        <f t="array" ref="L3445">IF(ROWS(L$20:L3445)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3445))))</f>
        <v/>
      </c>
      <c r="M3445" s="4" t="str">
        <f t="array" ref="M3445">IF(ROWS(M$20:M3445)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3445))))</f>
        <v/>
      </c>
    </row>
    <row r="3446" spans="1:13" x14ac:dyDescent="0.25">
      <c r="A3446" s="3">
        <v>41779</v>
      </c>
      <c r="B3446" s="2" t="s">
        <v>31</v>
      </c>
      <c r="C3446" s="2">
        <v>30</v>
      </c>
      <c r="G3446" s="7" t="str">
        <f t="array" ref="G3446">IF(ROWS(K$20:K3446)&gt;$F$6,"",INDEX(A$2:A$10000,SMALL(IF(ISNUMBER(MATCH($B$2:$B$10000,$E$6:$E$22,0)),ROW($C$2:$C$10000)-ROW($C$2)+1),ROWS(K$20:K3446))))</f>
        <v/>
      </c>
      <c r="H3446" s="4" t="str">
        <f t="array" ref="H3446">IF(ROWS(L$20:L3446)&gt;$F$6,"",INDEX(B$2:B$10000,SMALL(IF(ISNUMBER(MATCH($B$2:$B$10000,$E$6:$E$22,0)),ROW($C$2:$C$10000)-ROW($C$2)+1),ROWS(L$20:L3446))))</f>
        <v/>
      </c>
      <c r="I3446" s="4" t="str">
        <f t="array" ref="I3446">IF(ROWS(M$20:M3446)&gt;$F$6,"",INDEX(C$2:C$10000,SMALL(IF(ISNUMBER(MATCH($B$2:$B$10000,$E$6:$E$22,0)),ROW($C$2:$C$10000)-ROW($C$2)+1),ROWS(M$20:M3446))))</f>
        <v/>
      </c>
      <c r="K3446" s="7" t="str">
        <f t="array" ref="K3446">IF(ROWS(K$20:K3446)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3446))))</f>
        <v/>
      </c>
      <c r="L3446" s="4" t="str">
        <f t="array" ref="L3446">IF(ROWS(L$20:L3446)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3446))))</f>
        <v/>
      </c>
      <c r="M3446" s="4" t="str">
        <f t="array" ref="M3446">IF(ROWS(M$20:M3446)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3446))))</f>
        <v/>
      </c>
    </row>
    <row r="3447" spans="1:13" x14ac:dyDescent="0.25">
      <c r="A3447" s="3">
        <v>41675</v>
      </c>
      <c r="B3447" s="2" t="s">
        <v>42</v>
      </c>
      <c r="C3447" s="2">
        <v>16</v>
      </c>
      <c r="G3447" s="7" t="str">
        <f t="array" ref="G3447">IF(ROWS(K$20:K3447)&gt;$F$6,"",INDEX(A$2:A$10000,SMALL(IF(ISNUMBER(MATCH($B$2:$B$10000,$E$6:$E$22,0)),ROW($C$2:$C$10000)-ROW($C$2)+1),ROWS(K$20:K3447))))</f>
        <v/>
      </c>
      <c r="H3447" s="4" t="str">
        <f t="array" ref="H3447">IF(ROWS(L$20:L3447)&gt;$F$6,"",INDEX(B$2:B$10000,SMALL(IF(ISNUMBER(MATCH($B$2:$B$10000,$E$6:$E$22,0)),ROW($C$2:$C$10000)-ROW($C$2)+1),ROWS(L$20:L3447))))</f>
        <v/>
      </c>
      <c r="I3447" s="4" t="str">
        <f t="array" ref="I3447">IF(ROWS(M$20:M3447)&gt;$F$6,"",INDEX(C$2:C$10000,SMALL(IF(ISNUMBER(MATCH($B$2:$B$10000,$E$6:$E$22,0)),ROW($C$2:$C$10000)-ROW($C$2)+1),ROWS(M$20:M3447))))</f>
        <v/>
      </c>
      <c r="K3447" s="7" t="str">
        <f t="array" ref="K3447">IF(ROWS(K$20:K3447)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3447))))</f>
        <v/>
      </c>
      <c r="L3447" s="4" t="str">
        <f t="array" ref="L3447">IF(ROWS(L$20:L3447)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3447))))</f>
        <v/>
      </c>
      <c r="M3447" s="4" t="str">
        <f t="array" ref="M3447">IF(ROWS(M$20:M3447)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3447))))</f>
        <v/>
      </c>
    </row>
    <row r="3448" spans="1:13" x14ac:dyDescent="0.25">
      <c r="A3448" s="3">
        <v>41844</v>
      </c>
      <c r="B3448" s="2" t="s">
        <v>29</v>
      </c>
      <c r="C3448" s="2">
        <v>29</v>
      </c>
      <c r="G3448" s="7" t="str">
        <f t="array" ref="G3448">IF(ROWS(K$20:K3448)&gt;$F$6,"",INDEX(A$2:A$10000,SMALL(IF(ISNUMBER(MATCH($B$2:$B$10000,$E$6:$E$22,0)),ROW($C$2:$C$10000)-ROW($C$2)+1),ROWS(K$20:K3448))))</f>
        <v/>
      </c>
      <c r="H3448" s="4" t="str">
        <f t="array" ref="H3448">IF(ROWS(L$20:L3448)&gt;$F$6,"",INDEX(B$2:B$10000,SMALL(IF(ISNUMBER(MATCH($B$2:$B$10000,$E$6:$E$22,0)),ROW($C$2:$C$10000)-ROW($C$2)+1),ROWS(L$20:L3448))))</f>
        <v/>
      </c>
      <c r="I3448" s="4" t="str">
        <f t="array" ref="I3448">IF(ROWS(M$20:M3448)&gt;$F$6,"",INDEX(C$2:C$10000,SMALL(IF(ISNUMBER(MATCH($B$2:$B$10000,$E$6:$E$22,0)),ROW($C$2:$C$10000)-ROW($C$2)+1),ROWS(M$20:M3448))))</f>
        <v/>
      </c>
      <c r="K3448" s="7" t="str">
        <f t="array" ref="K3448">IF(ROWS(K$20:K3448)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3448))))</f>
        <v/>
      </c>
      <c r="L3448" s="4" t="str">
        <f t="array" ref="L3448">IF(ROWS(L$20:L3448)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3448))))</f>
        <v/>
      </c>
      <c r="M3448" s="4" t="str">
        <f t="array" ref="M3448">IF(ROWS(M$20:M3448)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3448))))</f>
        <v/>
      </c>
    </row>
    <row r="3449" spans="1:13" x14ac:dyDescent="0.25">
      <c r="A3449" s="3">
        <v>41445</v>
      </c>
      <c r="B3449" s="2" t="s">
        <v>20</v>
      </c>
      <c r="C3449" s="2">
        <v>18</v>
      </c>
      <c r="G3449" s="7" t="str">
        <f t="array" ref="G3449">IF(ROWS(K$20:K3449)&gt;$F$6,"",INDEX(A$2:A$10000,SMALL(IF(ISNUMBER(MATCH($B$2:$B$10000,$E$6:$E$22,0)),ROW($C$2:$C$10000)-ROW($C$2)+1),ROWS(K$20:K3449))))</f>
        <v/>
      </c>
      <c r="H3449" s="4" t="str">
        <f t="array" ref="H3449">IF(ROWS(L$20:L3449)&gt;$F$6,"",INDEX(B$2:B$10000,SMALL(IF(ISNUMBER(MATCH($B$2:$B$10000,$E$6:$E$22,0)),ROW($C$2:$C$10000)-ROW($C$2)+1),ROWS(L$20:L3449))))</f>
        <v/>
      </c>
      <c r="I3449" s="4" t="str">
        <f t="array" ref="I3449">IF(ROWS(M$20:M3449)&gt;$F$6,"",INDEX(C$2:C$10000,SMALL(IF(ISNUMBER(MATCH($B$2:$B$10000,$E$6:$E$22,0)),ROW($C$2:$C$10000)-ROW($C$2)+1),ROWS(M$20:M3449))))</f>
        <v/>
      </c>
      <c r="K3449" s="7" t="str">
        <f t="array" ref="K3449">IF(ROWS(K$20:K3449)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3449))))</f>
        <v/>
      </c>
      <c r="L3449" s="4" t="str">
        <f t="array" ref="L3449">IF(ROWS(L$20:L3449)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3449))))</f>
        <v/>
      </c>
      <c r="M3449" s="4" t="str">
        <f t="array" ref="M3449">IF(ROWS(M$20:M3449)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3449))))</f>
        <v/>
      </c>
    </row>
    <row r="3450" spans="1:13" x14ac:dyDescent="0.25">
      <c r="A3450" s="3">
        <v>41891</v>
      </c>
      <c r="B3450" s="2" t="s">
        <v>19</v>
      </c>
      <c r="C3450" s="2">
        <v>38</v>
      </c>
      <c r="G3450" s="7" t="str">
        <f t="array" ref="G3450">IF(ROWS(K$20:K3450)&gt;$F$6,"",INDEX(A$2:A$10000,SMALL(IF(ISNUMBER(MATCH($B$2:$B$10000,$E$6:$E$22,0)),ROW($C$2:$C$10000)-ROW($C$2)+1),ROWS(K$20:K3450))))</f>
        <v/>
      </c>
      <c r="H3450" s="4" t="str">
        <f t="array" ref="H3450">IF(ROWS(L$20:L3450)&gt;$F$6,"",INDEX(B$2:B$10000,SMALL(IF(ISNUMBER(MATCH($B$2:$B$10000,$E$6:$E$22,0)),ROW($C$2:$C$10000)-ROW($C$2)+1),ROWS(L$20:L3450))))</f>
        <v/>
      </c>
      <c r="I3450" s="4" t="str">
        <f t="array" ref="I3450">IF(ROWS(M$20:M3450)&gt;$F$6,"",INDEX(C$2:C$10000,SMALL(IF(ISNUMBER(MATCH($B$2:$B$10000,$E$6:$E$22,0)),ROW($C$2:$C$10000)-ROW($C$2)+1),ROWS(M$20:M3450))))</f>
        <v/>
      </c>
      <c r="K3450" s="7" t="str">
        <f t="array" ref="K3450">IF(ROWS(K$20:K3450)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3450))))</f>
        <v/>
      </c>
      <c r="L3450" s="4" t="str">
        <f t="array" ref="L3450">IF(ROWS(L$20:L3450)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3450))))</f>
        <v/>
      </c>
      <c r="M3450" s="4" t="str">
        <f t="array" ref="M3450">IF(ROWS(M$20:M3450)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3450))))</f>
        <v/>
      </c>
    </row>
    <row r="3451" spans="1:13" x14ac:dyDescent="0.25">
      <c r="A3451" s="3">
        <v>41582</v>
      </c>
      <c r="B3451" s="2" t="s">
        <v>7</v>
      </c>
      <c r="C3451" s="2">
        <v>32</v>
      </c>
      <c r="G3451" s="7" t="str">
        <f t="array" ref="G3451">IF(ROWS(K$20:K3451)&gt;$F$6,"",INDEX(A$2:A$10000,SMALL(IF(ISNUMBER(MATCH($B$2:$B$10000,$E$6:$E$22,0)),ROW($C$2:$C$10000)-ROW($C$2)+1),ROWS(K$20:K3451))))</f>
        <v/>
      </c>
      <c r="H3451" s="4" t="str">
        <f t="array" ref="H3451">IF(ROWS(L$20:L3451)&gt;$F$6,"",INDEX(B$2:B$10000,SMALL(IF(ISNUMBER(MATCH($B$2:$B$10000,$E$6:$E$22,0)),ROW($C$2:$C$10000)-ROW($C$2)+1),ROWS(L$20:L3451))))</f>
        <v/>
      </c>
      <c r="I3451" s="4" t="str">
        <f t="array" ref="I3451">IF(ROWS(M$20:M3451)&gt;$F$6,"",INDEX(C$2:C$10000,SMALL(IF(ISNUMBER(MATCH($B$2:$B$10000,$E$6:$E$22,0)),ROW($C$2:$C$10000)-ROW($C$2)+1),ROWS(M$20:M3451))))</f>
        <v/>
      </c>
      <c r="K3451" s="7" t="str">
        <f t="array" ref="K3451">IF(ROWS(K$20:K3451)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3451))))</f>
        <v/>
      </c>
      <c r="L3451" s="4" t="str">
        <f t="array" ref="L3451">IF(ROWS(L$20:L3451)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3451))))</f>
        <v/>
      </c>
      <c r="M3451" s="4" t="str">
        <f t="array" ref="M3451">IF(ROWS(M$20:M3451)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3451))))</f>
        <v/>
      </c>
    </row>
    <row r="3452" spans="1:13" x14ac:dyDescent="0.25">
      <c r="A3452" s="3">
        <v>41827</v>
      </c>
      <c r="B3452" s="2" t="s">
        <v>6</v>
      </c>
      <c r="C3452" s="2">
        <v>14</v>
      </c>
      <c r="G3452" s="7" t="str">
        <f t="array" ref="G3452">IF(ROWS(K$20:K3452)&gt;$F$6,"",INDEX(A$2:A$10000,SMALL(IF(ISNUMBER(MATCH($B$2:$B$10000,$E$6:$E$22,0)),ROW($C$2:$C$10000)-ROW($C$2)+1),ROWS(K$20:K3452))))</f>
        <v/>
      </c>
      <c r="H3452" s="4" t="str">
        <f t="array" ref="H3452">IF(ROWS(L$20:L3452)&gt;$F$6,"",INDEX(B$2:B$10000,SMALL(IF(ISNUMBER(MATCH($B$2:$B$10000,$E$6:$E$22,0)),ROW($C$2:$C$10000)-ROW($C$2)+1),ROWS(L$20:L3452))))</f>
        <v/>
      </c>
      <c r="I3452" s="4" t="str">
        <f t="array" ref="I3452">IF(ROWS(M$20:M3452)&gt;$F$6,"",INDEX(C$2:C$10000,SMALL(IF(ISNUMBER(MATCH($B$2:$B$10000,$E$6:$E$22,0)),ROW($C$2:$C$10000)-ROW($C$2)+1),ROWS(M$20:M3452))))</f>
        <v/>
      </c>
      <c r="K3452" s="7" t="str">
        <f t="array" ref="K3452">IF(ROWS(K$20:K3452)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3452))))</f>
        <v/>
      </c>
      <c r="L3452" s="4" t="str">
        <f t="array" ref="L3452">IF(ROWS(L$20:L3452)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3452))))</f>
        <v/>
      </c>
      <c r="M3452" s="4" t="str">
        <f t="array" ref="M3452">IF(ROWS(M$20:M3452)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3452))))</f>
        <v/>
      </c>
    </row>
    <row r="3453" spans="1:13" x14ac:dyDescent="0.25">
      <c r="A3453" s="3">
        <v>41947</v>
      </c>
      <c r="B3453" s="2" t="s">
        <v>22</v>
      </c>
      <c r="C3453" s="2">
        <v>17</v>
      </c>
      <c r="G3453" s="7" t="str">
        <f t="array" ref="G3453">IF(ROWS(K$20:K3453)&gt;$F$6,"",INDEX(A$2:A$10000,SMALL(IF(ISNUMBER(MATCH($B$2:$B$10000,$E$6:$E$22,0)),ROW($C$2:$C$10000)-ROW($C$2)+1),ROWS(K$20:K3453))))</f>
        <v/>
      </c>
      <c r="H3453" s="4" t="str">
        <f t="array" ref="H3453">IF(ROWS(L$20:L3453)&gt;$F$6,"",INDEX(B$2:B$10000,SMALL(IF(ISNUMBER(MATCH($B$2:$B$10000,$E$6:$E$22,0)),ROW($C$2:$C$10000)-ROW($C$2)+1),ROWS(L$20:L3453))))</f>
        <v/>
      </c>
      <c r="I3453" s="4" t="str">
        <f t="array" ref="I3453">IF(ROWS(M$20:M3453)&gt;$F$6,"",INDEX(C$2:C$10000,SMALL(IF(ISNUMBER(MATCH($B$2:$B$10000,$E$6:$E$22,0)),ROW($C$2:$C$10000)-ROW($C$2)+1),ROWS(M$20:M3453))))</f>
        <v/>
      </c>
      <c r="K3453" s="7" t="str">
        <f t="array" ref="K3453">IF(ROWS(K$20:K3453)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3453))))</f>
        <v/>
      </c>
      <c r="L3453" s="4" t="str">
        <f t="array" ref="L3453">IF(ROWS(L$20:L3453)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3453))))</f>
        <v/>
      </c>
      <c r="M3453" s="4" t="str">
        <f t="array" ref="M3453">IF(ROWS(M$20:M3453)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3453))))</f>
        <v/>
      </c>
    </row>
    <row r="3454" spans="1:13" x14ac:dyDescent="0.25">
      <c r="A3454" s="3">
        <v>41311</v>
      </c>
      <c r="B3454" s="2" t="s">
        <v>20</v>
      </c>
      <c r="C3454" s="2">
        <v>28</v>
      </c>
      <c r="G3454" s="7" t="str">
        <f t="array" ref="G3454">IF(ROWS(K$20:K3454)&gt;$F$6,"",INDEX(A$2:A$10000,SMALL(IF(ISNUMBER(MATCH($B$2:$B$10000,$E$6:$E$22,0)),ROW($C$2:$C$10000)-ROW($C$2)+1),ROWS(K$20:K3454))))</f>
        <v/>
      </c>
      <c r="H3454" s="4" t="str">
        <f t="array" ref="H3454">IF(ROWS(L$20:L3454)&gt;$F$6,"",INDEX(B$2:B$10000,SMALL(IF(ISNUMBER(MATCH($B$2:$B$10000,$E$6:$E$22,0)),ROW($C$2:$C$10000)-ROW($C$2)+1),ROWS(L$20:L3454))))</f>
        <v/>
      </c>
      <c r="I3454" s="4" t="str">
        <f t="array" ref="I3454">IF(ROWS(M$20:M3454)&gt;$F$6,"",INDEX(C$2:C$10000,SMALL(IF(ISNUMBER(MATCH($B$2:$B$10000,$E$6:$E$22,0)),ROW($C$2:$C$10000)-ROW($C$2)+1),ROWS(M$20:M3454))))</f>
        <v/>
      </c>
      <c r="K3454" s="7" t="str">
        <f t="array" ref="K3454">IF(ROWS(K$20:K3454)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3454))))</f>
        <v/>
      </c>
      <c r="L3454" s="4" t="str">
        <f t="array" ref="L3454">IF(ROWS(L$20:L3454)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3454))))</f>
        <v/>
      </c>
      <c r="M3454" s="4" t="str">
        <f t="array" ref="M3454">IF(ROWS(M$20:M3454)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3454))))</f>
        <v/>
      </c>
    </row>
    <row r="3455" spans="1:13" x14ac:dyDescent="0.25">
      <c r="A3455" s="3">
        <v>41341</v>
      </c>
      <c r="B3455" s="2" t="s">
        <v>7</v>
      </c>
      <c r="C3455" s="2">
        <v>4</v>
      </c>
      <c r="G3455" s="7" t="str">
        <f t="array" ref="G3455">IF(ROWS(K$20:K3455)&gt;$F$6,"",INDEX(A$2:A$10000,SMALL(IF(ISNUMBER(MATCH($B$2:$B$10000,$E$6:$E$22,0)),ROW($C$2:$C$10000)-ROW($C$2)+1),ROWS(K$20:K3455))))</f>
        <v/>
      </c>
      <c r="H3455" s="4" t="str">
        <f t="array" ref="H3455">IF(ROWS(L$20:L3455)&gt;$F$6,"",INDEX(B$2:B$10000,SMALL(IF(ISNUMBER(MATCH($B$2:$B$10000,$E$6:$E$22,0)),ROW($C$2:$C$10000)-ROW($C$2)+1),ROWS(L$20:L3455))))</f>
        <v/>
      </c>
      <c r="I3455" s="4" t="str">
        <f t="array" ref="I3455">IF(ROWS(M$20:M3455)&gt;$F$6,"",INDEX(C$2:C$10000,SMALL(IF(ISNUMBER(MATCH($B$2:$B$10000,$E$6:$E$22,0)),ROW($C$2:$C$10000)-ROW($C$2)+1),ROWS(M$20:M3455))))</f>
        <v/>
      </c>
      <c r="K3455" s="7" t="str">
        <f t="array" ref="K3455">IF(ROWS(K$20:K3455)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3455))))</f>
        <v/>
      </c>
      <c r="L3455" s="4" t="str">
        <f t="array" ref="L3455">IF(ROWS(L$20:L3455)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3455))))</f>
        <v/>
      </c>
      <c r="M3455" s="4" t="str">
        <f t="array" ref="M3455">IF(ROWS(M$20:M3455)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3455))))</f>
        <v/>
      </c>
    </row>
    <row r="3456" spans="1:13" x14ac:dyDescent="0.25">
      <c r="A3456" s="3">
        <v>41814</v>
      </c>
      <c r="B3456" s="2" t="s">
        <v>14</v>
      </c>
      <c r="C3456" s="2">
        <v>22</v>
      </c>
      <c r="G3456" s="7" t="str">
        <f t="array" ref="G3456">IF(ROWS(K$20:K3456)&gt;$F$6,"",INDEX(A$2:A$10000,SMALL(IF(ISNUMBER(MATCH($B$2:$B$10000,$E$6:$E$22,0)),ROW($C$2:$C$10000)-ROW($C$2)+1),ROWS(K$20:K3456))))</f>
        <v/>
      </c>
      <c r="H3456" s="4" t="str">
        <f t="array" ref="H3456">IF(ROWS(L$20:L3456)&gt;$F$6,"",INDEX(B$2:B$10000,SMALL(IF(ISNUMBER(MATCH($B$2:$B$10000,$E$6:$E$22,0)),ROW($C$2:$C$10000)-ROW($C$2)+1),ROWS(L$20:L3456))))</f>
        <v/>
      </c>
      <c r="I3456" s="4" t="str">
        <f t="array" ref="I3456">IF(ROWS(M$20:M3456)&gt;$F$6,"",INDEX(C$2:C$10000,SMALL(IF(ISNUMBER(MATCH($B$2:$B$10000,$E$6:$E$22,0)),ROW($C$2:$C$10000)-ROW($C$2)+1),ROWS(M$20:M3456))))</f>
        <v/>
      </c>
      <c r="K3456" s="7" t="str">
        <f t="array" ref="K3456">IF(ROWS(K$20:K3456)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3456))))</f>
        <v/>
      </c>
      <c r="L3456" s="4" t="str">
        <f t="array" ref="L3456">IF(ROWS(L$20:L3456)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3456))))</f>
        <v/>
      </c>
      <c r="M3456" s="4" t="str">
        <f t="array" ref="M3456">IF(ROWS(M$20:M3456)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3456))))</f>
        <v/>
      </c>
    </row>
    <row r="3457" spans="1:13" x14ac:dyDescent="0.25">
      <c r="A3457" s="3">
        <v>41290</v>
      </c>
      <c r="B3457" s="2" t="s">
        <v>21</v>
      </c>
      <c r="C3457" s="2">
        <v>32</v>
      </c>
      <c r="G3457" s="7" t="str">
        <f t="array" ref="G3457">IF(ROWS(K$20:K3457)&gt;$F$6,"",INDEX(A$2:A$10000,SMALL(IF(ISNUMBER(MATCH($B$2:$B$10000,$E$6:$E$22,0)),ROW($C$2:$C$10000)-ROW($C$2)+1),ROWS(K$20:K3457))))</f>
        <v/>
      </c>
      <c r="H3457" s="4" t="str">
        <f t="array" ref="H3457">IF(ROWS(L$20:L3457)&gt;$F$6,"",INDEX(B$2:B$10000,SMALL(IF(ISNUMBER(MATCH($B$2:$B$10000,$E$6:$E$22,0)),ROW($C$2:$C$10000)-ROW($C$2)+1),ROWS(L$20:L3457))))</f>
        <v/>
      </c>
      <c r="I3457" s="4" t="str">
        <f t="array" ref="I3457">IF(ROWS(M$20:M3457)&gt;$F$6,"",INDEX(C$2:C$10000,SMALL(IF(ISNUMBER(MATCH($B$2:$B$10000,$E$6:$E$22,0)),ROW($C$2:$C$10000)-ROW($C$2)+1),ROWS(M$20:M3457))))</f>
        <v/>
      </c>
      <c r="K3457" s="7" t="str">
        <f t="array" ref="K3457">IF(ROWS(K$20:K3457)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3457))))</f>
        <v/>
      </c>
      <c r="L3457" s="4" t="str">
        <f t="array" ref="L3457">IF(ROWS(L$20:L3457)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3457))))</f>
        <v/>
      </c>
      <c r="M3457" s="4" t="str">
        <f t="array" ref="M3457">IF(ROWS(M$20:M3457)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3457))))</f>
        <v/>
      </c>
    </row>
    <row r="3458" spans="1:13" x14ac:dyDescent="0.25">
      <c r="A3458" s="3">
        <v>41607</v>
      </c>
      <c r="B3458" s="2" t="s">
        <v>18</v>
      </c>
      <c r="C3458" s="2">
        <v>23</v>
      </c>
      <c r="G3458" s="7" t="str">
        <f t="array" ref="G3458">IF(ROWS(K$20:K3458)&gt;$F$6,"",INDEX(A$2:A$10000,SMALL(IF(ISNUMBER(MATCH($B$2:$B$10000,$E$6:$E$22,0)),ROW($C$2:$C$10000)-ROW($C$2)+1),ROWS(K$20:K3458))))</f>
        <v/>
      </c>
      <c r="H3458" s="4" t="str">
        <f t="array" ref="H3458">IF(ROWS(L$20:L3458)&gt;$F$6,"",INDEX(B$2:B$10000,SMALL(IF(ISNUMBER(MATCH($B$2:$B$10000,$E$6:$E$22,0)),ROW($C$2:$C$10000)-ROW($C$2)+1),ROWS(L$20:L3458))))</f>
        <v/>
      </c>
      <c r="I3458" s="4" t="str">
        <f t="array" ref="I3458">IF(ROWS(M$20:M3458)&gt;$F$6,"",INDEX(C$2:C$10000,SMALL(IF(ISNUMBER(MATCH($B$2:$B$10000,$E$6:$E$22,0)),ROW($C$2:$C$10000)-ROW($C$2)+1),ROWS(M$20:M3458))))</f>
        <v/>
      </c>
      <c r="K3458" s="7" t="str">
        <f t="array" ref="K3458">IF(ROWS(K$20:K3458)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3458))))</f>
        <v/>
      </c>
      <c r="L3458" s="4" t="str">
        <f t="array" ref="L3458">IF(ROWS(L$20:L3458)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3458))))</f>
        <v/>
      </c>
      <c r="M3458" s="4" t="str">
        <f t="array" ref="M3458">IF(ROWS(M$20:M3458)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3458))))</f>
        <v/>
      </c>
    </row>
    <row r="3459" spans="1:13" x14ac:dyDescent="0.25">
      <c r="A3459" s="3">
        <v>41687</v>
      </c>
      <c r="B3459" s="2" t="s">
        <v>6</v>
      </c>
      <c r="C3459" s="2">
        <v>18</v>
      </c>
      <c r="G3459" s="7" t="str">
        <f t="array" ref="G3459">IF(ROWS(K$20:K3459)&gt;$F$6,"",INDEX(A$2:A$10000,SMALL(IF(ISNUMBER(MATCH($B$2:$B$10000,$E$6:$E$22,0)),ROW($C$2:$C$10000)-ROW($C$2)+1),ROWS(K$20:K3459))))</f>
        <v/>
      </c>
      <c r="H3459" s="4" t="str">
        <f t="array" ref="H3459">IF(ROWS(L$20:L3459)&gt;$F$6,"",INDEX(B$2:B$10000,SMALL(IF(ISNUMBER(MATCH($B$2:$B$10000,$E$6:$E$22,0)),ROW($C$2:$C$10000)-ROW($C$2)+1),ROWS(L$20:L3459))))</f>
        <v/>
      </c>
      <c r="I3459" s="4" t="str">
        <f t="array" ref="I3459">IF(ROWS(M$20:M3459)&gt;$F$6,"",INDEX(C$2:C$10000,SMALL(IF(ISNUMBER(MATCH($B$2:$B$10000,$E$6:$E$22,0)),ROW($C$2:$C$10000)-ROW($C$2)+1),ROWS(M$20:M3459))))</f>
        <v/>
      </c>
      <c r="K3459" s="7" t="str">
        <f t="array" ref="K3459">IF(ROWS(K$20:K3459)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3459))))</f>
        <v/>
      </c>
      <c r="L3459" s="4" t="str">
        <f t="array" ref="L3459">IF(ROWS(L$20:L3459)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3459))))</f>
        <v/>
      </c>
      <c r="M3459" s="4" t="str">
        <f t="array" ref="M3459">IF(ROWS(M$20:M3459)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3459))))</f>
        <v/>
      </c>
    </row>
    <row r="3460" spans="1:13" x14ac:dyDescent="0.25">
      <c r="A3460" s="3">
        <v>41529</v>
      </c>
      <c r="B3460" s="2" t="s">
        <v>23</v>
      </c>
      <c r="C3460" s="2">
        <v>19</v>
      </c>
      <c r="G3460" s="7" t="str">
        <f t="array" ref="G3460">IF(ROWS(K$20:K3460)&gt;$F$6,"",INDEX(A$2:A$10000,SMALL(IF(ISNUMBER(MATCH($B$2:$B$10000,$E$6:$E$22,0)),ROW($C$2:$C$10000)-ROW($C$2)+1),ROWS(K$20:K3460))))</f>
        <v/>
      </c>
      <c r="H3460" s="4" t="str">
        <f t="array" ref="H3460">IF(ROWS(L$20:L3460)&gt;$F$6,"",INDEX(B$2:B$10000,SMALL(IF(ISNUMBER(MATCH($B$2:$B$10000,$E$6:$E$22,0)),ROW($C$2:$C$10000)-ROW($C$2)+1),ROWS(L$20:L3460))))</f>
        <v/>
      </c>
      <c r="I3460" s="4" t="str">
        <f t="array" ref="I3460">IF(ROWS(M$20:M3460)&gt;$F$6,"",INDEX(C$2:C$10000,SMALL(IF(ISNUMBER(MATCH($B$2:$B$10000,$E$6:$E$22,0)),ROW($C$2:$C$10000)-ROW($C$2)+1),ROWS(M$20:M3460))))</f>
        <v/>
      </c>
      <c r="K3460" s="7" t="str">
        <f t="array" ref="K3460">IF(ROWS(K$20:K3460)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3460))))</f>
        <v/>
      </c>
      <c r="L3460" s="4" t="str">
        <f t="array" ref="L3460">IF(ROWS(L$20:L3460)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3460))))</f>
        <v/>
      </c>
      <c r="M3460" s="4" t="str">
        <f t="array" ref="M3460">IF(ROWS(M$20:M3460)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3460))))</f>
        <v/>
      </c>
    </row>
    <row r="3461" spans="1:13" x14ac:dyDescent="0.25">
      <c r="A3461" s="3">
        <v>41345</v>
      </c>
      <c r="B3461" s="2" t="s">
        <v>3</v>
      </c>
      <c r="C3461" s="2">
        <v>16</v>
      </c>
      <c r="G3461" s="7" t="str">
        <f t="array" ref="G3461">IF(ROWS(K$20:K3461)&gt;$F$6,"",INDEX(A$2:A$10000,SMALL(IF(ISNUMBER(MATCH($B$2:$B$10000,$E$6:$E$22,0)),ROW($C$2:$C$10000)-ROW($C$2)+1),ROWS(K$20:K3461))))</f>
        <v/>
      </c>
      <c r="H3461" s="4" t="str">
        <f t="array" ref="H3461">IF(ROWS(L$20:L3461)&gt;$F$6,"",INDEX(B$2:B$10000,SMALL(IF(ISNUMBER(MATCH($B$2:$B$10000,$E$6:$E$22,0)),ROW($C$2:$C$10000)-ROW($C$2)+1),ROWS(L$20:L3461))))</f>
        <v/>
      </c>
      <c r="I3461" s="4" t="str">
        <f t="array" ref="I3461">IF(ROWS(M$20:M3461)&gt;$F$6,"",INDEX(C$2:C$10000,SMALL(IF(ISNUMBER(MATCH($B$2:$B$10000,$E$6:$E$22,0)),ROW($C$2:$C$10000)-ROW($C$2)+1),ROWS(M$20:M3461))))</f>
        <v/>
      </c>
      <c r="K3461" s="7" t="str">
        <f t="array" ref="K3461">IF(ROWS(K$20:K3461)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3461))))</f>
        <v/>
      </c>
      <c r="L3461" s="4" t="str">
        <f t="array" ref="L3461">IF(ROWS(L$20:L3461)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3461))))</f>
        <v/>
      </c>
      <c r="M3461" s="4" t="str">
        <f t="array" ref="M3461">IF(ROWS(M$20:M3461)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3461))))</f>
        <v/>
      </c>
    </row>
    <row r="3462" spans="1:13" x14ac:dyDescent="0.25">
      <c r="A3462" s="3">
        <v>41522</v>
      </c>
      <c r="B3462" s="2" t="s">
        <v>37</v>
      </c>
      <c r="C3462" s="2">
        <v>16</v>
      </c>
      <c r="G3462" s="7" t="str">
        <f t="array" ref="G3462">IF(ROWS(K$20:K3462)&gt;$F$6,"",INDEX(A$2:A$10000,SMALL(IF(ISNUMBER(MATCH($B$2:$B$10000,$E$6:$E$22,0)),ROW($C$2:$C$10000)-ROW($C$2)+1),ROWS(K$20:K3462))))</f>
        <v/>
      </c>
      <c r="H3462" s="4" t="str">
        <f t="array" ref="H3462">IF(ROWS(L$20:L3462)&gt;$F$6,"",INDEX(B$2:B$10000,SMALL(IF(ISNUMBER(MATCH($B$2:$B$10000,$E$6:$E$22,0)),ROW($C$2:$C$10000)-ROW($C$2)+1),ROWS(L$20:L3462))))</f>
        <v/>
      </c>
      <c r="I3462" s="4" t="str">
        <f t="array" ref="I3462">IF(ROWS(M$20:M3462)&gt;$F$6,"",INDEX(C$2:C$10000,SMALL(IF(ISNUMBER(MATCH($B$2:$B$10000,$E$6:$E$22,0)),ROW($C$2:$C$10000)-ROW($C$2)+1),ROWS(M$20:M3462))))</f>
        <v/>
      </c>
      <c r="K3462" s="7" t="str">
        <f t="array" ref="K3462">IF(ROWS(K$20:K3462)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3462))))</f>
        <v/>
      </c>
      <c r="L3462" s="4" t="str">
        <f t="array" ref="L3462">IF(ROWS(L$20:L3462)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3462))))</f>
        <v/>
      </c>
      <c r="M3462" s="4" t="str">
        <f t="array" ref="M3462">IF(ROWS(M$20:M3462)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3462))))</f>
        <v/>
      </c>
    </row>
    <row r="3463" spans="1:13" x14ac:dyDescent="0.25">
      <c r="A3463" s="3">
        <v>41866</v>
      </c>
      <c r="B3463" s="2" t="s">
        <v>32</v>
      </c>
      <c r="C3463" s="2">
        <v>23</v>
      </c>
      <c r="G3463" s="7" t="str">
        <f t="array" ref="G3463">IF(ROWS(K$20:K3463)&gt;$F$6,"",INDEX(A$2:A$10000,SMALL(IF(ISNUMBER(MATCH($B$2:$B$10000,$E$6:$E$22,0)),ROW($C$2:$C$10000)-ROW($C$2)+1),ROWS(K$20:K3463))))</f>
        <v/>
      </c>
      <c r="H3463" s="4" t="str">
        <f t="array" ref="H3463">IF(ROWS(L$20:L3463)&gt;$F$6,"",INDEX(B$2:B$10000,SMALL(IF(ISNUMBER(MATCH($B$2:$B$10000,$E$6:$E$22,0)),ROW($C$2:$C$10000)-ROW($C$2)+1),ROWS(L$20:L3463))))</f>
        <v/>
      </c>
      <c r="I3463" s="4" t="str">
        <f t="array" ref="I3463">IF(ROWS(M$20:M3463)&gt;$F$6,"",INDEX(C$2:C$10000,SMALL(IF(ISNUMBER(MATCH($B$2:$B$10000,$E$6:$E$22,0)),ROW($C$2:$C$10000)-ROW($C$2)+1),ROWS(M$20:M3463))))</f>
        <v/>
      </c>
      <c r="K3463" s="7" t="str">
        <f t="array" ref="K3463">IF(ROWS(K$20:K3463)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3463))))</f>
        <v/>
      </c>
      <c r="L3463" s="4" t="str">
        <f t="array" ref="L3463">IF(ROWS(L$20:L3463)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3463))))</f>
        <v/>
      </c>
      <c r="M3463" s="4" t="str">
        <f t="array" ref="M3463">IF(ROWS(M$20:M3463)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3463))))</f>
        <v/>
      </c>
    </row>
    <row r="3464" spans="1:13" x14ac:dyDescent="0.25">
      <c r="A3464" s="3">
        <v>41901</v>
      </c>
      <c r="B3464" s="2" t="s">
        <v>31</v>
      </c>
      <c r="C3464" s="2">
        <v>24</v>
      </c>
      <c r="G3464" s="7" t="str">
        <f t="array" ref="G3464">IF(ROWS(K$20:K3464)&gt;$F$6,"",INDEX(A$2:A$10000,SMALL(IF(ISNUMBER(MATCH($B$2:$B$10000,$E$6:$E$22,0)),ROW($C$2:$C$10000)-ROW($C$2)+1),ROWS(K$20:K3464))))</f>
        <v/>
      </c>
      <c r="H3464" s="4" t="str">
        <f t="array" ref="H3464">IF(ROWS(L$20:L3464)&gt;$F$6,"",INDEX(B$2:B$10000,SMALL(IF(ISNUMBER(MATCH($B$2:$B$10000,$E$6:$E$22,0)),ROW($C$2:$C$10000)-ROW($C$2)+1),ROWS(L$20:L3464))))</f>
        <v/>
      </c>
      <c r="I3464" s="4" t="str">
        <f t="array" ref="I3464">IF(ROWS(M$20:M3464)&gt;$F$6,"",INDEX(C$2:C$10000,SMALL(IF(ISNUMBER(MATCH($B$2:$B$10000,$E$6:$E$22,0)),ROW($C$2:$C$10000)-ROW($C$2)+1),ROWS(M$20:M3464))))</f>
        <v/>
      </c>
      <c r="K3464" s="7" t="str">
        <f t="array" ref="K3464">IF(ROWS(K$20:K3464)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3464))))</f>
        <v/>
      </c>
      <c r="L3464" s="4" t="str">
        <f t="array" ref="L3464">IF(ROWS(L$20:L3464)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3464))))</f>
        <v/>
      </c>
      <c r="M3464" s="4" t="str">
        <f t="array" ref="M3464">IF(ROWS(M$20:M3464)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3464))))</f>
        <v/>
      </c>
    </row>
    <row r="3465" spans="1:13" x14ac:dyDescent="0.25">
      <c r="A3465" s="3">
        <v>41298</v>
      </c>
      <c r="B3465" s="2" t="s">
        <v>39</v>
      </c>
      <c r="C3465" s="2">
        <v>36</v>
      </c>
      <c r="G3465" s="7" t="str">
        <f t="array" ref="G3465">IF(ROWS(K$20:K3465)&gt;$F$6,"",INDEX(A$2:A$10000,SMALL(IF(ISNUMBER(MATCH($B$2:$B$10000,$E$6:$E$22,0)),ROW($C$2:$C$10000)-ROW($C$2)+1),ROWS(K$20:K3465))))</f>
        <v/>
      </c>
      <c r="H3465" s="4" t="str">
        <f t="array" ref="H3465">IF(ROWS(L$20:L3465)&gt;$F$6,"",INDEX(B$2:B$10000,SMALL(IF(ISNUMBER(MATCH($B$2:$B$10000,$E$6:$E$22,0)),ROW($C$2:$C$10000)-ROW($C$2)+1),ROWS(L$20:L3465))))</f>
        <v/>
      </c>
      <c r="I3465" s="4" t="str">
        <f t="array" ref="I3465">IF(ROWS(M$20:M3465)&gt;$F$6,"",INDEX(C$2:C$10000,SMALL(IF(ISNUMBER(MATCH($B$2:$B$10000,$E$6:$E$22,0)),ROW($C$2:$C$10000)-ROW($C$2)+1),ROWS(M$20:M3465))))</f>
        <v/>
      </c>
      <c r="K3465" s="7" t="str">
        <f t="array" ref="K3465">IF(ROWS(K$20:K3465)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3465))))</f>
        <v/>
      </c>
      <c r="L3465" s="4" t="str">
        <f t="array" ref="L3465">IF(ROWS(L$20:L3465)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3465))))</f>
        <v/>
      </c>
      <c r="M3465" s="4" t="str">
        <f t="array" ref="M3465">IF(ROWS(M$20:M3465)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3465))))</f>
        <v/>
      </c>
    </row>
    <row r="3466" spans="1:13" x14ac:dyDescent="0.25">
      <c r="A3466" s="3">
        <v>41798</v>
      </c>
      <c r="B3466" s="2" t="s">
        <v>15</v>
      </c>
      <c r="C3466" s="2">
        <v>16</v>
      </c>
      <c r="G3466" s="7" t="str">
        <f t="array" ref="G3466">IF(ROWS(K$20:K3466)&gt;$F$6,"",INDEX(A$2:A$10000,SMALL(IF(ISNUMBER(MATCH($B$2:$B$10000,$E$6:$E$22,0)),ROW($C$2:$C$10000)-ROW($C$2)+1),ROWS(K$20:K3466))))</f>
        <v/>
      </c>
      <c r="H3466" s="4" t="str">
        <f t="array" ref="H3466">IF(ROWS(L$20:L3466)&gt;$F$6,"",INDEX(B$2:B$10000,SMALL(IF(ISNUMBER(MATCH($B$2:$B$10000,$E$6:$E$22,0)),ROW($C$2:$C$10000)-ROW($C$2)+1),ROWS(L$20:L3466))))</f>
        <v/>
      </c>
      <c r="I3466" s="4" t="str">
        <f t="array" ref="I3466">IF(ROWS(M$20:M3466)&gt;$F$6,"",INDEX(C$2:C$10000,SMALL(IF(ISNUMBER(MATCH($B$2:$B$10000,$E$6:$E$22,0)),ROW($C$2:$C$10000)-ROW($C$2)+1),ROWS(M$20:M3466))))</f>
        <v/>
      </c>
      <c r="K3466" s="7" t="str">
        <f t="array" ref="K3466">IF(ROWS(K$20:K3466)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3466))))</f>
        <v/>
      </c>
      <c r="L3466" s="4" t="str">
        <f t="array" ref="L3466">IF(ROWS(L$20:L3466)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3466))))</f>
        <v/>
      </c>
      <c r="M3466" s="4" t="str">
        <f t="array" ref="M3466">IF(ROWS(M$20:M3466)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3466))))</f>
        <v/>
      </c>
    </row>
    <row r="3467" spans="1:13" x14ac:dyDescent="0.25">
      <c r="A3467" s="3">
        <v>41426</v>
      </c>
      <c r="B3467" s="2" t="s">
        <v>17</v>
      </c>
      <c r="C3467" s="2">
        <v>33</v>
      </c>
      <c r="G3467" s="7" t="str">
        <f t="array" ref="G3467">IF(ROWS(K$20:K3467)&gt;$F$6,"",INDEX(A$2:A$10000,SMALL(IF(ISNUMBER(MATCH($B$2:$B$10000,$E$6:$E$22,0)),ROW($C$2:$C$10000)-ROW($C$2)+1),ROWS(K$20:K3467))))</f>
        <v/>
      </c>
      <c r="H3467" s="4" t="str">
        <f t="array" ref="H3467">IF(ROWS(L$20:L3467)&gt;$F$6,"",INDEX(B$2:B$10000,SMALL(IF(ISNUMBER(MATCH($B$2:$B$10000,$E$6:$E$22,0)),ROW($C$2:$C$10000)-ROW($C$2)+1),ROWS(L$20:L3467))))</f>
        <v/>
      </c>
      <c r="I3467" s="4" t="str">
        <f t="array" ref="I3467">IF(ROWS(M$20:M3467)&gt;$F$6,"",INDEX(C$2:C$10000,SMALL(IF(ISNUMBER(MATCH($B$2:$B$10000,$E$6:$E$22,0)),ROW($C$2:$C$10000)-ROW($C$2)+1),ROWS(M$20:M3467))))</f>
        <v/>
      </c>
      <c r="K3467" s="7" t="str">
        <f t="array" ref="K3467">IF(ROWS(K$20:K3467)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3467))))</f>
        <v/>
      </c>
      <c r="L3467" s="4" t="str">
        <f t="array" ref="L3467">IF(ROWS(L$20:L3467)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3467))))</f>
        <v/>
      </c>
      <c r="M3467" s="4" t="str">
        <f t="array" ref="M3467">IF(ROWS(M$20:M3467)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3467))))</f>
        <v/>
      </c>
    </row>
    <row r="3468" spans="1:13" x14ac:dyDescent="0.25">
      <c r="A3468" s="3">
        <v>41383</v>
      </c>
      <c r="B3468" s="2" t="s">
        <v>21</v>
      </c>
      <c r="C3468" s="2">
        <v>14</v>
      </c>
      <c r="G3468" s="7" t="str">
        <f t="array" ref="G3468">IF(ROWS(K$20:K3468)&gt;$F$6,"",INDEX(A$2:A$10000,SMALL(IF(ISNUMBER(MATCH($B$2:$B$10000,$E$6:$E$22,0)),ROW($C$2:$C$10000)-ROW($C$2)+1),ROWS(K$20:K3468))))</f>
        <v/>
      </c>
      <c r="H3468" s="4" t="str">
        <f t="array" ref="H3468">IF(ROWS(L$20:L3468)&gt;$F$6,"",INDEX(B$2:B$10000,SMALL(IF(ISNUMBER(MATCH($B$2:$B$10000,$E$6:$E$22,0)),ROW($C$2:$C$10000)-ROW($C$2)+1),ROWS(L$20:L3468))))</f>
        <v/>
      </c>
      <c r="I3468" s="4" t="str">
        <f t="array" ref="I3468">IF(ROWS(M$20:M3468)&gt;$F$6,"",INDEX(C$2:C$10000,SMALL(IF(ISNUMBER(MATCH($B$2:$B$10000,$E$6:$E$22,0)),ROW($C$2:$C$10000)-ROW($C$2)+1),ROWS(M$20:M3468))))</f>
        <v/>
      </c>
      <c r="K3468" s="7" t="str">
        <f t="array" ref="K3468">IF(ROWS(K$20:K3468)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3468))))</f>
        <v/>
      </c>
      <c r="L3468" s="4" t="str">
        <f t="array" ref="L3468">IF(ROWS(L$20:L3468)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3468))))</f>
        <v/>
      </c>
      <c r="M3468" s="4" t="str">
        <f t="array" ref="M3468">IF(ROWS(M$20:M3468)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3468))))</f>
        <v/>
      </c>
    </row>
    <row r="3469" spans="1:13" x14ac:dyDescent="0.25">
      <c r="A3469" s="3">
        <v>41365</v>
      </c>
      <c r="B3469" s="2" t="s">
        <v>35</v>
      </c>
      <c r="C3469" s="2">
        <v>19</v>
      </c>
      <c r="G3469" s="7" t="str">
        <f t="array" ref="G3469">IF(ROWS(K$20:K3469)&gt;$F$6,"",INDEX(A$2:A$10000,SMALL(IF(ISNUMBER(MATCH($B$2:$B$10000,$E$6:$E$22,0)),ROW($C$2:$C$10000)-ROW($C$2)+1),ROWS(K$20:K3469))))</f>
        <v/>
      </c>
      <c r="H3469" s="4" t="str">
        <f t="array" ref="H3469">IF(ROWS(L$20:L3469)&gt;$F$6,"",INDEX(B$2:B$10000,SMALL(IF(ISNUMBER(MATCH($B$2:$B$10000,$E$6:$E$22,0)),ROW($C$2:$C$10000)-ROW($C$2)+1),ROWS(L$20:L3469))))</f>
        <v/>
      </c>
      <c r="I3469" s="4" t="str">
        <f t="array" ref="I3469">IF(ROWS(M$20:M3469)&gt;$F$6,"",INDEX(C$2:C$10000,SMALL(IF(ISNUMBER(MATCH($B$2:$B$10000,$E$6:$E$22,0)),ROW($C$2:$C$10000)-ROW($C$2)+1),ROWS(M$20:M3469))))</f>
        <v/>
      </c>
      <c r="K3469" s="7" t="str">
        <f t="array" ref="K3469">IF(ROWS(K$20:K3469)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3469))))</f>
        <v/>
      </c>
      <c r="L3469" s="4" t="str">
        <f t="array" ref="L3469">IF(ROWS(L$20:L3469)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3469))))</f>
        <v/>
      </c>
      <c r="M3469" s="4" t="str">
        <f t="array" ref="M3469">IF(ROWS(M$20:M3469)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3469))))</f>
        <v/>
      </c>
    </row>
    <row r="3470" spans="1:13" x14ac:dyDescent="0.25">
      <c r="A3470" s="3">
        <v>41701</v>
      </c>
      <c r="B3470" s="2" t="s">
        <v>15</v>
      </c>
      <c r="C3470" s="2">
        <v>10</v>
      </c>
      <c r="G3470" s="7" t="str">
        <f t="array" ref="G3470">IF(ROWS(K$20:K3470)&gt;$F$6,"",INDEX(A$2:A$10000,SMALL(IF(ISNUMBER(MATCH($B$2:$B$10000,$E$6:$E$22,0)),ROW($C$2:$C$10000)-ROW($C$2)+1),ROWS(K$20:K3470))))</f>
        <v/>
      </c>
      <c r="H3470" s="4" t="str">
        <f t="array" ref="H3470">IF(ROWS(L$20:L3470)&gt;$F$6,"",INDEX(B$2:B$10000,SMALL(IF(ISNUMBER(MATCH($B$2:$B$10000,$E$6:$E$22,0)),ROW($C$2:$C$10000)-ROW($C$2)+1),ROWS(L$20:L3470))))</f>
        <v/>
      </c>
      <c r="I3470" s="4" t="str">
        <f t="array" ref="I3470">IF(ROWS(M$20:M3470)&gt;$F$6,"",INDEX(C$2:C$10000,SMALL(IF(ISNUMBER(MATCH($B$2:$B$10000,$E$6:$E$22,0)),ROW($C$2:$C$10000)-ROW($C$2)+1),ROWS(M$20:M3470))))</f>
        <v/>
      </c>
      <c r="K3470" s="7" t="str">
        <f t="array" ref="K3470">IF(ROWS(K$20:K3470)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3470))))</f>
        <v/>
      </c>
      <c r="L3470" s="4" t="str">
        <f t="array" ref="L3470">IF(ROWS(L$20:L3470)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3470))))</f>
        <v/>
      </c>
      <c r="M3470" s="4" t="str">
        <f t="array" ref="M3470">IF(ROWS(M$20:M3470)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3470))))</f>
        <v/>
      </c>
    </row>
    <row r="3471" spans="1:13" x14ac:dyDescent="0.25">
      <c r="A3471" s="3">
        <v>41463</v>
      </c>
      <c r="B3471" s="2" t="s">
        <v>24</v>
      </c>
      <c r="C3471" s="2">
        <v>2</v>
      </c>
      <c r="G3471" s="7" t="str">
        <f t="array" ref="G3471">IF(ROWS(K$20:K3471)&gt;$F$6,"",INDEX(A$2:A$10000,SMALL(IF(ISNUMBER(MATCH($B$2:$B$10000,$E$6:$E$22,0)),ROW($C$2:$C$10000)-ROW($C$2)+1),ROWS(K$20:K3471))))</f>
        <v/>
      </c>
      <c r="H3471" s="4" t="str">
        <f t="array" ref="H3471">IF(ROWS(L$20:L3471)&gt;$F$6,"",INDEX(B$2:B$10000,SMALL(IF(ISNUMBER(MATCH($B$2:$B$10000,$E$6:$E$22,0)),ROW($C$2:$C$10000)-ROW($C$2)+1),ROWS(L$20:L3471))))</f>
        <v/>
      </c>
      <c r="I3471" s="4" t="str">
        <f t="array" ref="I3471">IF(ROWS(M$20:M3471)&gt;$F$6,"",INDEX(C$2:C$10000,SMALL(IF(ISNUMBER(MATCH($B$2:$B$10000,$E$6:$E$22,0)),ROW($C$2:$C$10000)-ROW($C$2)+1),ROWS(M$20:M3471))))</f>
        <v/>
      </c>
      <c r="K3471" s="7" t="str">
        <f t="array" ref="K3471">IF(ROWS(K$20:K3471)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3471))))</f>
        <v/>
      </c>
      <c r="L3471" s="4" t="str">
        <f t="array" ref="L3471">IF(ROWS(L$20:L3471)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3471))))</f>
        <v/>
      </c>
      <c r="M3471" s="4" t="str">
        <f t="array" ref="M3471">IF(ROWS(M$20:M3471)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3471))))</f>
        <v/>
      </c>
    </row>
    <row r="3472" spans="1:13" x14ac:dyDescent="0.25">
      <c r="A3472" s="3">
        <v>41535</v>
      </c>
      <c r="B3472" s="2" t="s">
        <v>38</v>
      </c>
      <c r="C3472" s="2">
        <v>17</v>
      </c>
      <c r="G3472" s="7" t="str">
        <f t="array" ref="G3472">IF(ROWS(K$20:K3472)&gt;$F$6,"",INDEX(A$2:A$10000,SMALL(IF(ISNUMBER(MATCH($B$2:$B$10000,$E$6:$E$22,0)),ROW($C$2:$C$10000)-ROW($C$2)+1),ROWS(K$20:K3472))))</f>
        <v/>
      </c>
      <c r="H3472" s="4" t="str">
        <f t="array" ref="H3472">IF(ROWS(L$20:L3472)&gt;$F$6,"",INDEX(B$2:B$10000,SMALL(IF(ISNUMBER(MATCH($B$2:$B$10000,$E$6:$E$22,0)),ROW($C$2:$C$10000)-ROW($C$2)+1),ROWS(L$20:L3472))))</f>
        <v/>
      </c>
      <c r="I3472" s="4" t="str">
        <f t="array" ref="I3472">IF(ROWS(M$20:M3472)&gt;$F$6,"",INDEX(C$2:C$10000,SMALL(IF(ISNUMBER(MATCH($B$2:$B$10000,$E$6:$E$22,0)),ROW($C$2:$C$10000)-ROW($C$2)+1),ROWS(M$20:M3472))))</f>
        <v/>
      </c>
      <c r="K3472" s="7" t="str">
        <f t="array" ref="K3472">IF(ROWS(K$20:K3472)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3472))))</f>
        <v/>
      </c>
      <c r="L3472" s="4" t="str">
        <f t="array" ref="L3472">IF(ROWS(L$20:L3472)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3472))))</f>
        <v/>
      </c>
      <c r="M3472" s="4" t="str">
        <f t="array" ref="M3472">IF(ROWS(M$20:M3472)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3472))))</f>
        <v/>
      </c>
    </row>
    <row r="3473" spans="1:13" x14ac:dyDescent="0.25">
      <c r="A3473" s="3">
        <v>41300</v>
      </c>
      <c r="B3473" s="2" t="s">
        <v>33</v>
      </c>
      <c r="C3473" s="2">
        <v>27</v>
      </c>
      <c r="G3473" s="7" t="str">
        <f t="array" ref="G3473">IF(ROWS(K$20:K3473)&gt;$F$6,"",INDEX(A$2:A$10000,SMALL(IF(ISNUMBER(MATCH($B$2:$B$10000,$E$6:$E$22,0)),ROW($C$2:$C$10000)-ROW($C$2)+1),ROWS(K$20:K3473))))</f>
        <v/>
      </c>
      <c r="H3473" s="4" t="str">
        <f t="array" ref="H3473">IF(ROWS(L$20:L3473)&gt;$F$6,"",INDEX(B$2:B$10000,SMALL(IF(ISNUMBER(MATCH($B$2:$B$10000,$E$6:$E$22,0)),ROW($C$2:$C$10000)-ROW($C$2)+1),ROWS(L$20:L3473))))</f>
        <v/>
      </c>
      <c r="I3473" s="4" t="str">
        <f t="array" ref="I3473">IF(ROWS(M$20:M3473)&gt;$F$6,"",INDEX(C$2:C$10000,SMALL(IF(ISNUMBER(MATCH($B$2:$B$10000,$E$6:$E$22,0)),ROW($C$2:$C$10000)-ROW($C$2)+1),ROWS(M$20:M3473))))</f>
        <v/>
      </c>
      <c r="K3473" s="7" t="str">
        <f t="array" ref="K3473">IF(ROWS(K$20:K3473)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3473))))</f>
        <v/>
      </c>
      <c r="L3473" s="4" t="str">
        <f t="array" ref="L3473">IF(ROWS(L$20:L3473)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3473))))</f>
        <v/>
      </c>
      <c r="M3473" s="4" t="str">
        <f t="array" ref="M3473">IF(ROWS(M$20:M3473)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3473))))</f>
        <v/>
      </c>
    </row>
    <row r="3474" spans="1:13" x14ac:dyDescent="0.25">
      <c r="A3474" s="3">
        <v>41960</v>
      </c>
      <c r="B3474" s="2" t="s">
        <v>49</v>
      </c>
      <c r="C3474" s="2">
        <v>4</v>
      </c>
      <c r="G3474" s="7" t="str">
        <f t="array" ref="G3474">IF(ROWS(K$20:K3474)&gt;$F$6,"",INDEX(A$2:A$10000,SMALL(IF(ISNUMBER(MATCH($B$2:$B$10000,$E$6:$E$22,0)),ROW($C$2:$C$10000)-ROW($C$2)+1),ROWS(K$20:K3474))))</f>
        <v/>
      </c>
      <c r="H3474" s="4" t="str">
        <f t="array" ref="H3474">IF(ROWS(L$20:L3474)&gt;$F$6,"",INDEX(B$2:B$10000,SMALL(IF(ISNUMBER(MATCH($B$2:$B$10000,$E$6:$E$22,0)),ROW($C$2:$C$10000)-ROW($C$2)+1),ROWS(L$20:L3474))))</f>
        <v/>
      </c>
      <c r="I3474" s="4" t="str">
        <f t="array" ref="I3474">IF(ROWS(M$20:M3474)&gt;$F$6,"",INDEX(C$2:C$10000,SMALL(IF(ISNUMBER(MATCH($B$2:$B$10000,$E$6:$E$22,0)),ROW($C$2:$C$10000)-ROW($C$2)+1),ROWS(M$20:M3474))))</f>
        <v/>
      </c>
      <c r="K3474" s="7" t="str">
        <f t="array" ref="K3474">IF(ROWS(K$20:K3474)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3474))))</f>
        <v/>
      </c>
      <c r="L3474" s="4" t="str">
        <f t="array" ref="L3474">IF(ROWS(L$20:L3474)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3474))))</f>
        <v/>
      </c>
      <c r="M3474" s="4" t="str">
        <f t="array" ref="M3474">IF(ROWS(M$20:M3474)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3474))))</f>
        <v/>
      </c>
    </row>
    <row r="3475" spans="1:13" x14ac:dyDescent="0.25">
      <c r="A3475" s="3">
        <v>41909</v>
      </c>
      <c r="B3475" s="2" t="s">
        <v>10</v>
      </c>
      <c r="C3475" s="2">
        <v>26</v>
      </c>
      <c r="G3475" s="7" t="str">
        <f t="array" ref="G3475">IF(ROWS(K$20:K3475)&gt;$F$6,"",INDEX(A$2:A$10000,SMALL(IF(ISNUMBER(MATCH($B$2:$B$10000,$E$6:$E$22,0)),ROW($C$2:$C$10000)-ROW($C$2)+1),ROWS(K$20:K3475))))</f>
        <v/>
      </c>
      <c r="H3475" s="4" t="str">
        <f t="array" ref="H3475">IF(ROWS(L$20:L3475)&gt;$F$6,"",INDEX(B$2:B$10000,SMALL(IF(ISNUMBER(MATCH($B$2:$B$10000,$E$6:$E$22,0)),ROW($C$2:$C$10000)-ROW($C$2)+1),ROWS(L$20:L3475))))</f>
        <v/>
      </c>
      <c r="I3475" s="4" t="str">
        <f t="array" ref="I3475">IF(ROWS(M$20:M3475)&gt;$F$6,"",INDEX(C$2:C$10000,SMALL(IF(ISNUMBER(MATCH($B$2:$B$10000,$E$6:$E$22,0)),ROW($C$2:$C$10000)-ROW($C$2)+1),ROWS(M$20:M3475))))</f>
        <v/>
      </c>
      <c r="K3475" s="7" t="str">
        <f t="array" ref="K3475">IF(ROWS(K$20:K3475)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3475))))</f>
        <v/>
      </c>
      <c r="L3475" s="4" t="str">
        <f t="array" ref="L3475">IF(ROWS(L$20:L3475)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3475))))</f>
        <v/>
      </c>
      <c r="M3475" s="4" t="str">
        <f t="array" ref="M3475">IF(ROWS(M$20:M3475)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3475))))</f>
        <v/>
      </c>
    </row>
    <row r="3476" spans="1:13" x14ac:dyDescent="0.25">
      <c r="A3476" s="3">
        <v>41409</v>
      </c>
      <c r="B3476" s="2" t="s">
        <v>34</v>
      </c>
      <c r="C3476" s="2">
        <v>25</v>
      </c>
      <c r="G3476" s="7" t="str">
        <f t="array" ref="G3476">IF(ROWS(K$20:K3476)&gt;$F$6,"",INDEX(A$2:A$10000,SMALL(IF(ISNUMBER(MATCH($B$2:$B$10000,$E$6:$E$22,0)),ROW($C$2:$C$10000)-ROW($C$2)+1),ROWS(K$20:K3476))))</f>
        <v/>
      </c>
      <c r="H3476" s="4" t="str">
        <f t="array" ref="H3476">IF(ROWS(L$20:L3476)&gt;$F$6,"",INDEX(B$2:B$10000,SMALL(IF(ISNUMBER(MATCH($B$2:$B$10000,$E$6:$E$22,0)),ROW($C$2:$C$10000)-ROW($C$2)+1),ROWS(L$20:L3476))))</f>
        <v/>
      </c>
      <c r="I3476" s="4" t="str">
        <f t="array" ref="I3476">IF(ROWS(M$20:M3476)&gt;$F$6,"",INDEX(C$2:C$10000,SMALL(IF(ISNUMBER(MATCH($B$2:$B$10000,$E$6:$E$22,0)),ROW($C$2:$C$10000)-ROW($C$2)+1),ROWS(M$20:M3476))))</f>
        <v/>
      </c>
      <c r="K3476" s="7" t="str">
        <f t="array" ref="K3476">IF(ROWS(K$20:K3476)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3476))))</f>
        <v/>
      </c>
      <c r="L3476" s="4" t="str">
        <f t="array" ref="L3476">IF(ROWS(L$20:L3476)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3476))))</f>
        <v/>
      </c>
      <c r="M3476" s="4" t="str">
        <f t="array" ref="M3476">IF(ROWS(M$20:M3476)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3476))))</f>
        <v/>
      </c>
    </row>
    <row r="3477" spans="1:13" x14ac:dyDescent="0.25">
      <c r="A3477" s="3">
        <v>41433</v>
      </c>
      <c r="B3477" s="2" t="s">
        <v>47</v>
      </c>
      <c r="C3477" s="2">
        <v>44</v>
      </c>
      <c r="G3477" s="7" t="str">
        <f t="array" ref="G3477">IF(ROWS(K$20:K3477)&gt;$F$6,"",INDEX(A$2:A$10000,SMALL(IF(ISNUMBER(MATCH($B$2:$B$10000,$E$6:$E$22,0)),ROW($C$2:$C$10000)-ROW($C$2)+1),ROWS(K$20:K3477))))</f>
        <v/>
      </c>
      <c r="H3477" s="4" t="str">
        <f t="array" ref="H3477">IF(ROWS(L$20:L3477)&gt;$F$6,"",INDEX(B$2:B$10000,SMALL(IF(ISNUMBER(MATCH($B$2:$B$10000,$E$6:$E$22,0)),ROW($C$2:$C$10000)-ROW($C$2)+1),ROWS(L$20:L3477))))</f>
        <v/>
      </c>
      <c r="I3477" s="4" t="str">
        <f t="array" ref="I3477">IF(ROWS(M$20:M3477)&gt;$F$6,"",INDEX(C$2:C$10000,SMALL(IF(ISNUMBER(MATCH($B$2:$B$10000,$E$6:$E$22,0)),ROW($C$2:$C$10000)-ROW($C$2)+1),ROWS(M$20:M3477))))</f>
        <v/>
      </c>
      <c r="K3477" s="7" t="str">
        <f t="array" ref="K3477">IF(ROWS(K$20:K3477)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3477))))</f>
        <v/>
      </c>
      <c r="L3477" s="4" t="str">
        <f t="array" ref="L3477">IF(ROWS(L$20:L3477)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3477))))</f>
        <v/>
      </c>
      <c r="M3477" s="4" t="str">
        <f t="array" ref="M3477">IF(ROWS(M$20:M3477)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3477))))</f>
        <v/>
      </c>
    </row>
    <row r="3478" spans="1:13" x14ac:dyDescent="0.25">
      <c r="A3478" s="3">
        <v>41294</v>
      </c>
      <c r="B3478" s="2" t="s">
        <v>47</v>
      </c>
      <c r="C3478" s="2">
        <v>19</v>
      </c>
      <c r="G3478" s="7" t="str">
        <f t="array" ref="G3478">IF(ROWS(K$20:K3478)&gt;$F$6,"",INDEX(A$2:A$10000,SMALL(IF(ISNUMBER(MATCH($B$2:$B$10000,$E$6:$E$22,0)),ROW($C$2:$C$10000)-ROW($C$2)+1),ROWS(K$20:K3478))))</f>
        <v/>
      </c>
      <c r="H3478" s="4" t="str">
        <f t="array" ref="H3478">IF(ROWS(L$20:L3478)&gt;$F$6,"",INDEX(B$2:B$10000,SMALL(IF(ISNUMBER(MATCH($B$2:$B$10000,$E$6:$E$22,0)),ROW($C$2:$C$10000)-ROW($C$2)+1),ROWS(L$20:L3478))))</f>
        <v/>
      </c>
      <c r="I3478" s="4" t="str">
        <f t="array" ref="I3478">IF(ROWS(M$20:M3478)&gt;$F$6,"",INDEX(C$2:C$10000,SMALL(IF(ISNUMBER(MATCH($B$2:$B$10000,$E$6:$E$22,0)),ROW($C$2:$C$10000)-ROW($C$2)+1),ROWS(M$20:M3478))))</f>
        <v/>
      </c>
      <c r="K3478" s="7" t="str">
        <f t="array" ref="K3478">IF(ROWS(K$20:K3478)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3478))))</f>
        <v/>
      </c>
      <c r="L3478" s="4" t="str">
        <f t="array" ref="L3478">IF(ROWS(L$20:L3478)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3478))))</f>
        <v/>
      </c>
      <c r="M3478" s="4" t="str">
        <f t="array" ref="M3478">IF(ROWS(M$20:M3478)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3478))))</f>
        <v/>
      </c>
    </row>
    <row r="3479" spans="1:13" x14ac:dyDescent="0.25">
      <c r="A3479" s="3">
        <v>41895</v>
      </c>
      <c r="B3479" s="2" t="s">
        <v>23</v>
      </c>
      <c r="C3479" s="2">
        <v>31</v>
      </c>
      <c r="G3479" s="7" t="str">
        <f t="array" ref="G3479">IF(ROWS(K$20:K3479)&gt;$F$6,"",INDEX(A$2:A$10000,SMALL(IF(ISNUMBER(MATCH($B$2:$B$10000,$E$6:$E$22,0)),ROW($C$2:$C$10000)-ROW($C$2)+1),ROWS(K$20:K3479))))</f>
        <v/>
      </c>
      <c r="H3479" s="4" t="str">
        <f t="array" ref="H3479">IF(ROWS(L$20:L3479)&gt;$F$6,"",INDEX(B$2:B$10000,SMALL(IF(ISNUMBER(MATCH($B$2:$B$10000,$E$6:$E$22,0)),ROW($C$2:$C$10000)-ROW($C$2)+1),ROWS(L$20:L3479))))</f>
        <v/>
      </c>
      <c r="I3479" s="4" t="str">
        <f t="array" ref="I3479">IF(ROWS(M$20:M3479)&gt;$F$6,"",INDEX(C$2:C$10000,SMALL(IF(ISNUMBER(MATCH($B$2:$B$10000,$E$6:$E$22,0)),ROW($C$2:$C$10000)-ROW($C$2)+1),ROWS(M$20:M3479))))</f>
        <v/>
      </c>
      <c r="K3479" s="7" t="str">
        <f t="array" ref="K3479">IF(ROWS(K$20:K3479)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3479))))</f>
        <v/>
      </c>
      <c r="L3479" s="4" t="str">
        <f t="array" ref="L3479">IF(ROWS(L$20:L3479)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3479))))</f>
        <v/>
      </c>
      <c r="M3479" s="4" t="str">
        <f t="array" ref="M3479">IF(ROWS(M$20:M3479)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3479))))</f>
        <v/>
      </c>
    </row>
    <row r="3480" spans="1:13" x14ac:dyDescent="0.25">
      <c r="A3480" s="3">
        <v>41744</v>
      </c>
      <c r="B3480" s="2" t="s">
        <v>10</v>
      </c>
      <c r="C3480" s="2">
        <v>20</v>
      </c>
      <c r="G3480" s="7" t="str">
        <f t="array" ref="G3480">IF(ROWS(K$20:K3480)&gt;$F$6,"",INDEX(A$2:A$10000,SMALL(IF(ISNUMBER(MATCH($B$2:$B$10000,$E$6:$E$22,0)),ROW($C$2:$C$10000)-ROW($C$2)+1),ROWS(K$20:K3480))))</f>
        <v/>
      </c>
      <c r="H3480" s="4" t="str">
        <f t="array" ref="H3480">IF(ROWS(L$20:L3480)&gt;$F$6,"",INDEX(B$2:B$10000,SMALL(IF(ISNUMBER(MATCH($B$2:$B$10000,$E$6:$E$22,0)),ROW($C$2:$C$10000)-ROW($C$2)+1),ROWS(L$20:L3480))))</f>
        <v/>
      </c>
      <c r="I3480" s="4" t="str">
        <f t="array" ref="I3480">IF(ROWS(M$20:M3480)&gt;$F$6,"",INDEX(C$2:C$10000,SMALL(IF(ISNUMBER(MATCH($B$2:$B$10000,$E$6:$E$22,0)),ROW($C$2:$C$10000)-ROW($C$2)+1),ROWS(M$20:M3480))))</f>
        <v/>
      </c>
      <c r="K3480" s="7" t="str">
        <f t="array" ref="K3480">IF(ROWS(K$20:K3480)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3480))))</f>
        <v/>
      </c>
      <c r="L3480" s="4" t="str">
        <f t="array" ref="L3480">IF(ROWS(L$20:L3480)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3480))))</f>
        <v/>
      </c>
      <c r="M3480" s="4" t="str">
        <f t="array" ref="M3480">IF(ROWS(M$20:M3480)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3480))))</f>
        <v/>
      </c>
    </row>
    <row r="3481" spans="1:13" x14ac:dyDescent="0.25">
      <c r="A3481" s="3">
        <v>41291</v>
      </c>
      <c r="B3481" s="2" t="s">
        <v>39</v>
      </c>
      <c r="C3481" s="2">
        <v>25</v>
      </c>
      <c r="G3481" s="7" t="str">
        <f t="array" ref="G3481">IF(ROWS(K$20:K3481)&gt;$F$6,"",INDEX(A$2:A$10000,SMALL(IF(ISNUMBER(MATCH($B$2:$B$10000,$E$6:$E$22,0)),ROW($C$2:$C$10000)-ROW($C$2)+1),ROWS(K$20:K3481))))</f>
        <v/>
      </c>
      <c r="H3481" s="4" t="str">
        <f t="array" ref="H3481">IF(ROWS(L$20:L3481)&gt;$F$6,"",INDEX(B$2:B$10000,SMALL(IF(ISNUMBER(MATCH($B$2:$B$10000,$E$6:$E$22,0)),ROW($C$2:$C$10000)-ROW($C$2)+1),ROWS(L$20:L3481))))</f>
        <v/>
      </c>
      <c r="I3481" s="4" t="str">
        <f t="array" ref="I3481">IF(ROWS(M$20:M3481)&gt;$F$6,"",INDEX(C$2:C$10000,SMALL(IF(ISNUMBER(MATCH($B$2:$B$10000,$E$6:$E$22,0)),ROW($C$2:$C$10000)-ROW($C$2)+1),ROWS(M$20:M3481))))</f>
        <v/>
      </c>
      <c r="K3481" s="7" t="str">
        <f t="array" ref="K3481">IF(ROWS(K$20:K3481)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3481))))</f>
        <v/>
      </c>
      <c r="L3481" s="4" t="str">
        <f t="array" ref="L3481">IF(ROWS(L$20:L3481)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3481))))</f>
        <v/>
      </c>
      <c r="M3481" s="4" t="str">
        <f t="array" ref="M3481">IF(ROWS(M$20:M3481)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3481))))</f>
        <v/>
      </c>
    </row>
    <row r="3482" spans="1:13" x14ac:dyDescent="0.25">
      <c r="A3482" s="3">
        <v>41970</v>
      </c>
      <c r="B3482" s="2" t="s">
        <v>6</v>
      </c>
      <c r="C3482" s="2">
        <v>36</v>
      </c>
      <c r="G3482" s="7" t="str">
        <f t="array" ref="G3482">IF(ROWS(K$20:K3482)&gt;$F$6,"",INDEX(A$2:A$10000,SMALL(IF(ISNUMBER(MATCH($B$2:$B$10000,$E$6:$E$22,0)),ROW($C$2:$C$10000)-ROW($C$2)+1),ROWS(K$20:K3482))))</f>
        <v/>
      </c>
      <c r="H3482" s="4" t="str">
        <f t="array" ref="H3482">IF(ROWS(L$20:L3482)&gt;$F$6,"",INDEX(B$2:B$10000,SMALL(IF(ISNUMBER(MATCH($B$2:$B$10000,$E$6:$E$22,0)),ROW($C$2:$C$10000)-ROW($C$2)+1),ROWS(L$20:L3482))))</f>
        <v/>
      </c>
      <c r="I3482" s="4" t="str">
        <f t="array" ref="I3482">IF(ROWS(M$20:M3482)&gt;$F$6,"",INDEX(C$2:C$10000,SMALL(IF(ISNUMBER(MATCH($B$2:$B$10000,$E$6:$E$22,0)),ROW($C$2:$C$10000)-ROW($C$2)+1),ROWS(M$20:M3482))))</f>
        <v/>
      </c>
      <c r="K3482" s="7" t="str">
        <f t="array" ref="K3482">IF(ROWS(K$20:K3482)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3482))))</f>
        <v/>
      </c>
      <c r="L3482" s="4" t="str">
        <f t="array" ref="L3482">IF(ROWS(L$20:L3482)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3482))))</f>
        <v/>
      </c>
      <c r="M3482" s="4" t="str">
        <f t="array" ref="M3482">IF(ROWS(M$20:M3482)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3482))))</f>
        <v/>
      </c>
    </row>
    <row r="3483" spans="1:13" x14ac:dyDescent="0.25">
      <c r="A3483" s="3">
        <v>41467</v>
      </c>
      <c r="B3483" s="2" t="s">
        <v>46</v>
      </c>
      <c r="C3483" s="2">
        <v>31</v>
      </c>
      <c r="G3483" s="7" t="str">
        <f t="array" ref="G3483">IF(ROWS(K$20:K3483)&gt;$F$6,"",INDEX(A$2:A$10000,SMALL(IF(ISNUMBER(MATCH($B$2:$B$10000,$E$6:$E$22,0)),ROW($C$2:$C$10000)-ROW($C$2)+1),ROWS(K$20:K3483))))</f>
        <v/>
      </c>
      <c r="H3483" s="4" t="str">
        <f t="array" ref="H3483">IF(ROWS(L$20:L3483)&gt;$F$6,"",INDEX(B$2:B$10000,SMALL(IF(ISNUMBER(MATCH($B$2:$B$10000,$E$6:$E$22,0)),ROW($C$2:$C$10000)-ROW($C$2)+1),ROWS(L$20:L3483))))</f>
        <v/>
      </c>
      <c r="I3483" s="4" t="str">
        <f t="array" ref="I3483">IF(ROWS(M$20:M3483)&gt;$F$6,"",INDEX(C$2:C$10000,SMALL(IF(ISNUMBER(MATCH($B$2:$B$10000,$E$6:$E$22,0)),ROW($C$2:$C$10000)-ROW($C$2)+1),ROWS(M$20:M3483))))</f>
        <v/>
      </c>
      <c r="K3483" s="7" t="str">
        <f t="array" ref="K3483">IF(ROWS(K$20:K3483)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3483))))</f>
        <v/>
      </c>
      <c r="L3483" s="4" t="str">
        <f t="array" ref="L3483">IF(ROWS(L$20:L3483)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3483))))</f>
        <v/>
      </c>
      <c r="M3483" s="4" t="str">
        <f t="array" ref="M3483">IF(ROWS(M$20:M3483)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3483))))</f>
        <v/>
      </c>
    </row>
    <row r="3484" spans="1:13" x14ac:dyDescent="0.25">
      <c r="A3484" s="3">
        <v>41835</v>
      </c>
      <c r="B3484" s="2" t="s">
        <v>2</v>
      </c>
      <c r="C3484" s="2">
        <v>40</v>
      </c>
      <c r="G3484" s="7" t="str">
        <f t="array" ref="G3484">IF(ROWS(K$20:K3484)&gt;$F$6,"",INDEX(A$2:A$10000,SMALL(IF(ISNUMBER(MATCH($B$2:$B$10000,$E$6:$E$22,0)),ROW($C$2:$C$10000)-ROW($C$2)+1),ROWS(K$20:K3484))))</f>
        <v/>
      </c>
      <c r="H3484" s="4" t="str">
        <f t="array" ref="H3484">IF(ROWS(L$20:L3484)&gt;$F$6,"",INDEX(B$2:B$10000,SMALL(IF(ISNUMBER(MATCH($B$2:$B$10000,$E$6:$E$22,0)),ROW($C$2:$C$10000)-ROW($C$2)+1),ROWS(L$20:L3484))))</f>
        <v/>
      </c>
      <c r="I3484" s="4" t="str">
        <f t="array" ref="I3484">IF(ROWS(M$20:M3484)&gt;$F$6,"",INDEX(C$2:C$10000,SMALL(IF(ISNUMBER(MATCH($B$2:$B$10000,$E$6:$E$22,0)),ROW($C$2:$C$10000)-ROW($C$2)+1),ROWS(M$20:M3484))))</f>
        <v/>
      </c>
      <c r="K3484" s="7" t="str">
        <f t="array" ref="K3484">IF(ROWS(K$20:K3484)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3484))))</f>
        <v/>
      </c>
      <c r="L3484" s="4" t="str">
        <f t="array" ref="L3484">IF(ROWS(L$20:L3484)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3484))))</f>
        <v/>
      </c>
      <c r="M3484" s="4" t="str">
        <f t="array" ref="M3484">IF(ROWS(M$20:M3484)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3484))))</f>
        <v/>
      </c>
    </row>
    <row r="3485" spans="1:13" x14ac:dyDescent="0.25">
      <c r="A3485" s="3">
        <v>41314</v>
      </c>
      <c r="B3485" s="2" t="s">
        <v>5</v>
      </c>
      <c r="C3485" s="2">
        <v>15</v>
      </c>
      <c r="G3485" s="7" t="str">
        <f t="array" ref="G3485">IF(ROWS(K$20:K3485)&gt;$F$6,"",INDEX(A$2:A$10000,SMALL(IF(ISNUMBER(MATCH($B$2:$B$10000,$E$6:$E$22,0)),ROW($C$2:$C$10000)-ROW($C$2)+1),ROWS(K$20:K3485))))</f>
        <v/>
      </c>
      <c r="H3485" s="4" t="str">
        <f t="array" ref="H3485">IF(ROWS(L$20:L3485)&gt;$F$6,"",INDEX(B$2:B$10000,SMALL(IF(ISNUMBER(MATCH($B$2:$B$10000,$E$6:$E$22,0)),ROW($C$2:$C$10000)-ROW($C$2)+1),ROWS(L$20:L3485))))</f>
        <v/>
      </c>
      <c r="I3485" s="4" t="str">
        <f t="array" ref="I3485">IF(ROWS(M$20:M3485)&gt;$F$6,"",INDEX(C$2:C$10000,SMALL(IF(ISNUMBER(MATCH($B$2:$B$10000,$E$6:$E$22,0)),ROW($C$2:$C$10000)-ROW($C$2)+1),ROWS(M$20:M3485))))</f>
        <v/>
      </c>
      <c r="K3485" s="7" t="str">
        <f t="array" ref="K3485">IF(ROWS(K$20:K3485)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3485))))</f>
        <v/>
      </c>
      <c r="L3485" s="4" t="str">
        <f t="array" ref="L3485">IF(ROWS(L$20:L3485)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3485))))</f>
        <v/>
      </c>
      <c r="M3485" s="4" t="str">
        <f t="array" ref="M3485">IF(ROWS(M$20:M3485)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3485))))</f>
        <v/>
      </c>
    </row>
    <row r="3486" spans="1:13" x14ac:dyDescent="0.25">
      <c r="A3486" s="3">
        <v>41821</v>
      </c>
      <c r="B3486" s="2" t="s">
        <v>16</v>
      </c>
      <c r="C3486" s="2">
        <v>23</v>
      </c>
      <c r="G3486" s="7" t="str">
        <f t="array" ref="G3486">IF(ROWS(K$20:K3486)&gt;$F$6,"",INDEX(A$2:A$10000,SMALL(IF(ISNUMBER(MATCH($B$2:$B$10000,$E$6:$E$22,0)),ROW($C$2:$C$10000)-ROW($C$2)+1),ROWS(K$20:K3486))))</f>
        <v/>
      </c>
      <c r="H3486" s="4" t="str">
        <f t="array" ref="H3486">IF(ROWS(L$20:L3486)&gt;$F$6,"",INDEX(B$2:B$10000,SMALL(IF(ISNUMBER(MATCH($B$2:$B$10000,$E$6:$E$22,0)),ROW($C$2:$C$10000)-ROW($C$2)+1),ROWS(L$20:L3486))))</f>
        <v/>
      </c>
      <c r="I3486" s="4" t="str">
        <f t="array" ref="I3486">IF(ROWS(M$20:M3486)&gt;$F$6,"",INDEX(C$2:C$10000,SMALL(IF(ISNUMBER(MATCH($B$2:$B$10000,$E$6:$E$22,0)),ROW($C$2:$C$10000)-ROW($C$2)+1),ROWS(M$20:M3486))))</f>
        <v/>
      </c>
      <c r="K3486" s="7" t="str">
        <f t="array" ref="K3486">IF(ROWS(K$20:K3486)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3486))))</f>
        <v/>
      </c>
      <c r="L3486" s="4" t="str">
        <f t="array" ref="L3486">IF(ROWS(L$20:L3486)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3486))))</f>
        <v/>
      </c>
      <c r="M3486" s="4" t="str">
        <f t="array" ref="M3486">IF(ROWS(M$20:M3486)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3486))))</f>
        <v/>
      </c>
    </row>
    <row r="3487" spans="1:13" x14ac:dyDescent="0.25">
      <c r="A3487" s="3">
        <v>41499</v>
      </c>
      <c r="B3487" s="2" t="s">
        <v>36</v>
      </c>
      <c r="C3487" s="2">
        <v>39</v>
      </c>
      <c r="G3487" s="7" t="str">
        <f t="array" ref="G3487">IF(ROWS(K$20:K3487)&gt;$F$6,"",INDEX(A$2:A$10000,SMALL(IF(ISNUMBER(MATCH($B$2:$B$10000,$E$6:$E$22,0)),ROW($C$2:$C$10000)-ROW($C$2)+1),ROWS(K$20:K3487))))</f>
        <v/>
      </c>
      <c r="H3487" s="4" t="str">
        <f t="array" ref="H3487">IF(ROWS(L$20:L3487)&gt;$F$6,"",INDEX(B$2:B$10000,SMALL(IF(ISNUMBER(MATCH($B$2:$B$10000,$E$6:$E$22,0)),ROW($C$2:$C$10000)-ROW($C$2)+1),ROWS(L$20:L3487))))</f>
        <v/>
      </c>
      <c r="I3487" s="4" t="str">
        <f t="array" ref="I3487">IF(ROWS(M$20:M3487)&gt;$F$6,"",INDEX(C$2:C$10000,SMALL(IF(ISNUMBER(MATCH($B$2:$B$10000,$E$6:$E$22,0)),ROW($C$2:$C$10000)-ROW($C$2)+1),ROWS(M$20:M3487))))</f>
        <v/>
      </c>
      <c r="K3487" s="7" t="str">
        <f t="array" ref="K3487">IF(ROWS(K$20:K3487)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3487))))</f>
        <v/>
      </c>
      <c r="L3487" s="4" t="str">
        <f t="array" ref="L3487">IF(ROWS(L$20:L3487)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3487))))</f>
        <v/>
      </c>
      <c r="M3487" s="4" t="str">
        <f t="array" ref="M3487">IF(ROWS(M$20:M3487)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3487))))</f>
        <v/>
      </c>
    </row>
    <row r="3488" spans="1:13" x14ac:dyDescent="0.25">
      <c r="A3488" s="3">
        <v>41618</v>
      </c>
      <c r="B3488" s="2" t="s">
        <v>26</v>
      </c>
      <c r="C3488" s="2">
        <v>21</v>
      </c>
      <c r="G3488" s="7" t="str">
        <f t="array" ref="G3488">IF(ROWS(K$20:K3488)&gt;$F$6,"",INDEX(A$2:A$10000,SMALL(IF(ISNUMBER(MATCH($B$2:$B$10000,$E$6:$E$22,0)),ROW($C$2:$C$10000)-ROW($C$2)+1),ROWS(K$20:K3488))))</f>
        <v/>
      </c>
      <c r="H3488" s="4" t="str">
        <f t="array" ref="H3488">IF(ROWS(L$20:L3488)&gt;$F$6,"",INDEX(B$2:B$10000,SMALL(IF(ISNUMBER(MATCH($B$2:$B$10000,$E$6:$E$22,0)),ROW($C$2:$C$10000)-ROW($C$2)+1),ROWS(L$20:L3488))))</f>
        <v/>
      </c>
      <c r="I3488" s="4" t="str">
        <f t="array" ref="I3488">IF(ROWS(M$20:M3488)&gt;$F$6,"",INDEX(C$2:C$10000,SMALL(IF(ISNUMBER(MATCH($B$2:$B$10000,$E$6:$E$22,0)),ROW($C$2:$C$10000)-ROW($C$2)+1),ROWS(M$20:M3488))))</f>
        <v/>
      </c>
      <c r="K3488" s="7" t="str">
        <f t="array" ref="K3488">IF(ROWS(K$20:K3488)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3488))))</f>
        <v/>
      </c>
      <c r="L3488" s="4" t="str">
        <f t="array" ref="L3488">IF(ROWS(L$20:L3488)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3488))))</f>
        <v/>
      </c>
      <c r="M3488" s="4" t="str">
        <f t="array" ref="M3488">IF(ROWS(M$20:M3488)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3488))))</f>
        <v/>
      </c>
    </row>
    <row r="3489" spans="1:13" x14ac:dyDescent="0.25">
      <c r="A3489" s="3">
        <v>41412</v>
      </c>
      <c r="B3489" s="2" t="s">
        <v>14</v>
      </c>
      <c r="C3489" s="2">
        <v>16</v>
      </c>
      <c r="G3489" s="7" t="str">
        <f t="array" ref="G3489">IF(ROWS(K$20:K3489)&gt;$F$6,"",INDEX(A$2:A$10000,SMALL(IF(ISNUMBER(MATCH($B$2:$B$10000,$E$6:$E$22,0)),ROW($C$2:$C$10000)-ROW($C$2)+1),ROWS(K$20:K3489))))</f>
        <v/>
      </c>
      <c r="H3489" s="4" t="str">
        <f t="array" ref="H3489">IF(ROWS(L$20:L3489)&gt;$F$6,"",INDEX(B$2:B$10000,SMALL(IF(ISNUMBER(MATCH($B$2:$B$10000,$E$6:$E$22,0)),ROW($C$2:$C$10000)-ROW($C$2)+1),ROWS(L$20:L3489))))</f>
        <v/>
      </c>
      <c r="I3489" s="4" t="str">
        <f t="array" ref="I3489">IF(ROWS(M$20:M3489)&gt;$F$6,"",INDEX(C$2:C$10000,SMALL(IF(ISNUMBER(MATCH($B$2:$B$10000,$E$6:$E$22,0)),ROW($C$2:$C$10000)-ROW($C$2)+1),ROWS(M$20:M3489))))</f>
        <v/>
      </c>
      <c r="K3489" s="7" t="str">
        <f t="array" ref="K3489">IF(ROWS(K$20:K3489)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3489))))</f>
        <v/>
      </c>
      <c r="L3489" s="4" t="str">
        <f t="array" ref="L3489">IF(ROWS(L$20:L3489)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3489))))</f>
        <v/>
      </c>
      <c r="M3489" s="4" t="str">
        <f t="array" ref="M3489">IF(ROWS(M$20:M3489)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3489))))</f>
        <v/>
      </c>
    </row>
    <row r="3490" spans="1:13" x14ac:dyDescent="0.25">
      <c r="A3490" s="3">
        <v>41819</v>
      </c>
      <c r="B3490" s="2" t="s">
        <v>37</v>
      </c>
      <c r="C3490" s="2">
        <v>17</v>
      </c>
      <c r="G3490" s="7" t="str">
        <f t="array" ref="G3490">IF(ROWS(K$20:K3490)&gt;$F$6,"",INDEX(A$2:A$10000,SMALL(IF(ISNUMBER(MATCH($B$2:$B$10000,$E$6:$E$22,0)),ROW($C$2:$C$10000)-ROW($C$2)+1),ROWS(K$20:K3490))))</f>
        <v/>
      </c>
      <c r="H3490" s="4" t="str">
        <f t="array" ref="H3490">IF(ROWS(L$20:L3490)&gt;$F$6,"",INDEX(B$2:B$10000,SMALL(IF(ISNUMBER(MATCH($B$2:$B$10000,$E$6:$E$22,0)),ROW($C$2:$C$10000)-ROW($C$2)+1),ROWS(L$20:L3490))))</f>
        <v/>
      </c>
      <c r="I3490" s="4" t="str">
        <f t="array" ref="I3490">IF(ROWS(M$20:M3490)&gt;$F$6,"",INDEX(C$2:C$10000,SMALL(IF(ISNUMBER(MATCH($B$2:$B$10000,$E$6:$E$22,0)),ROW($C$2:$C$10000)-ROW($C$2)+1),ROWS(M$20:M3490))))</f>
        <v/>
      </c>
      <c r="K3490" s="7" t="str">
        <f t="array" ref="K3490">IF(ROWS(K$20:K3490)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3490))))</f>
        <v/>
      </c>
      <c r="L3490" s="4" t="str">
        <f t="array" ref="L3490">IF(ROWS(L$20:L3490)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3490))))</f>
        <v/>
      </c>
      <c r="M3490" s="4" t="str">
        <f t="array" ref="M3490">IF(ROWS(M$20:M3490)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3490))))</f>
        <v/>
      </c>
    </row>
    <row r="3491" spans="1:13" x14ac:dyDescent="0.25">
      <c r="A3491" s="3">
        <v>41821</v>
      </c>
      <c r="B3491" s="2" t="s">
        <v>6</v>
      </c>
      <c r="C3491" s="2">
        <v>32</v>
      </c>
      <c r="G3491" s="7" t="str">
        <f t="array" ref="G3491">IF(ROWS(K$20:K3491)&gt;$F$6,"",INDEX(A$2:A$10000,SMALL(IF(ISNUMBER(MATCH($B$2:$B$10000,$E$6:$E$22,0)),ROW($C$2:$C$10000)-ROW($C$2)+1),ROWS(K$20:K3491))))</f>
        <v/>
      </c>
      <c r="H3491" s="4" t="str">
        <f t="array" ref="H3491">IF(ROWS(L$20:L3491)&gt;$F$6,"",INDEX(B$2:B$10000,SMALL(IF(ISNUMBER(MATCH($B$2:$B$10000,$E$6:$E$22,0)),ROW($C$2:$C$10000)-ROW($C$2)+1),ROWS(L$20:L3491))))</f>
        <v/>
      </c>
      <c r="I3491" s="4" t="str">
        <f t="array" ref="I3491">IF(ROWS(M$20:M3491)&gt;$F$6,"",INDEX(C$2:C$10000,SMALL(IF(ISNUMBER(MATCH($B$2:$B$10000,$E$6:$E$22,0)),ROW($C$2:$C$10000)-ROW($C$2)+1),ROWS(M$20:M3491))))</f>
        <v/>
      </c>
      <c r="K3491" s="7" t="str">
        <f t="array" ref="K3491">IF(ROWS(K$20:K3491)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3491))))</f>
        <v/>
      </c>
      <c r="L3491" s="4" t="str">
        <f t="array" ref="L3491">IF(ROWS(L$20:L3491)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3491))))</f>
        <v/>
      </c>
      <c r="M3491" s="4" t="str">
        <f t="array" ref="M3491">IF(ROWS(M$20:M3491)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3491))))</f>
        <v/>
      </c>
    </row>
    <row r="3492" spans="1:13" x14ac:dyDescent="0.25">
      <c r="A3492" s="3">
        <v>42000</v>
      </c>
      <c r="B3492" s="2" t="s">
        <v>11</v>
      </c>
      <c r="C3492" s="2">
        <v>41</v>
      </c>
      <c r="G3492" s="7" t="str">
        <f t="array" ref="G3492">IF(ROWS(K$20:K3492)&gt;$F$6,"",INDEX(A$2:A$10000,SMALL(IF(ISNUMBER(MATCH($B$2:$B$10000,$E$6:$E$22,0)),ROW($C$2:$C$10000)-ROW($C$2)+1),ROWS(K$20:K3492))))</f>
        <v/>
      </c>
      <c r="H3492" s="4" t="str">
        <f t="array" ref="H3492">IF(ROWS(L$20:L3492)&gt;$F$6,"",INDEX(B$2:B$10000,SMALL(IF(ISNUMBER(MATCH($B$2:$B$10000,$E$6:$E$22,0)),ROW($C$2:$C$10000)-ROW($C$2)+1),ROWS(L$20:L3492))))</f>
        <v/>
      </c>
      <c r="I3492" s="4" t="str">
        <f t="array" ref="I3492">IF(ROWS(M$20:M3492)&gt;$F$6,"",INDEX(C$2:C$10000,SMALL(IF(ISNUMBER(MATCH($B$2:$B$10000,$E$6:$E$22,0)),ROW($C$2:$C$10000)-ROW($C$2)+1),ROWS(M$20:M3492))))</f>
        <v/>
      </c>
      <c r="K3492" s="7" t="str">
        <f t="array" ref="K3492">IF(ROWS(K$20:K3492)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3492))))</f>
        <v/>
      </c>
      <c r="L3492" s="4" t="str">
        <f t="array" ref="L3492">IF(ROWS(L$20:L3492)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3492))))</f>
        <v/>
      </c>
      <c r="M3492" s="4" t="str">
        <f t="array" ref="M3492">IF(ROWS(M$20:M3492)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3492))))</f>
        <v/>
      </c>
    </row>
    <row r="3493" spans="1:13" x14ac:dyDescent="0.25">
      <c r="A3493" s="3">
        <v>41528</v>
      </c>
      <c r="B3493" s="2" t="s">
        <v>37</v>
      </c>
      <c r="C3493" s="2">
        <v>14</v>
      </c>
      <c r="G3493" s="7" t="str">
        <f t="array" ref="G3493">IF(ROWS(K$20:K3493)&gt;$F$6,"",INDEX(A$2:A$10000,SMALL(IF(ISNUMBER(MATCH($B$2:$B$10000,$E$6:$E$22,0)),ROW($C$2:$C$10000)-ROW($C$2)+1),ROWS(K$20:K3493))))</f>
        <v/>
      </c>
      <c r="H3493" s="4" t="str">
        <f t="array" ref="H3493">IF(ROWS(L$20:L3493)&gt;$F$6,"",INDEX(B$2:B$10000,SMALL(IF(ISNUMBER(MATCH($B$2:$B$10000,$E$6:$E$22,0)),ROW($C$2:$C$10000)-ROW($C$2)+1),ROWS(L$20:L3493))))</f>
        <v/>
      </c>
      <c r="I3493" s="4" t="str">
        <f t="array" ref="I3493">IF(ROWS(M$20:M3493)&gt;$F$6,"",INDEX(C$2:C$10000,SMALL(IF(ISNUMBER(MATCH($B$2:$B$10000,$E$6:$E$22,0)),ROW($C$2:$C$10000)-ROW($C$2)+1),ROWS(M$20:M3493))))</f>
        <v/>
      </c>
      <c r="K3493" s="7" t="str">
        <f t="array" ref="K3493">IF(ROWS(K$20:K3493)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3493))))</f>
        <v/>
      </c>
      <c r="L3493" s="4" t="str">
        <f t="array" ref="L3493">IF(ROWS(L$20:L3493)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3493))))</f>
        <v/>
      </c>
      <c r="M3493" s="4" t="str">
        <f t="array" ref="M3493">IF(ROWS(M$20:M3493)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3493))))</f>
        <v/>
      </c>
    </row>
    <row r="3494" spans="1:13" x14ac:dyDescent="0.25">
      <c r="A3494" s="3">
        <v>41681</v>
      </c>
      <c r="B3494" s="2" t="s">
        <v>50</v>
      </c>
      <c r="C3494" s="2">
        <v>29</v>
      </c>
      <c r="G3494" s="7" t="str">
        <f t="array" ref="G3494">IF(ROWS(K$20:K3494)&gt;$F$6,"",INDEX(A$2:A$10000,SMALL(IF(ISNUMBER(MATCH($B$2:$B$10000,$E$6:$E$22,0)),ROW($C$2:$C$10000)-ROW($C$2)+1),ROWS(K$20:K3494))))</f>
        <v/>
      </c>
      <c r="H3494" s="4" t="str">
        <f t="array" ref="H3494">IF(ROWS(L$20:L3494)&gt;$F$6,"",INDEX(B$2:B$10000,SMALL(IF(ISNUMBER(MATCH($B$2:$B$10000,$E$6:$E$22,0)),ROW($C$2:$C$10000)-ROW($C$2)+1),ROWS(L$20:L3494))))</f>
        <v/>
      </c>
      <c r="I3494" s="4" t="str">
        <f t="array" ref="I3494">IF(ROWS(M$20:M3494)&gt;$F$6,"",INDEX(C$2:C$10000,SMALL(IF(ISNUMBER(MATCH($B$2:$B$10000,$E$6:$E$22,0)),ROW($C$2:$C$10000)-ROW($C$2)+1),ROWS(M$20:M3494))))</f>
        <v/>
      </c>
      <c r="K3494" s="7" t="str">
        <f t="array" ref="K3494">IF(ROWS(K$20:K3494)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3494))))</f>
        <v/>
      </c>
      <c r="L3494" s="4" t="str">
        <f t="array" ref="L3494">IF(ROWS(L$20:L3494)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3494))))</f>
        <v/>
      </c>
      <c r="M3494" s="4" t="str">
        <f t="array" ref="M3494">IF(ROWS(M$20:M3494)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3494))))</f>
        <v/>
      </c>
    </row>
    <row r="3495" spans="1:13" x14ac:dyDescent="0.25">
      <c r="A3495" s="3">
        <v>41792</v>
      </c>
      <c r="B3495" s="2" t="s">
        <v>13</v>
      </c>
      <c r="C3495" s="2">
        <v>5</v>
      </c>
      <c r="G3495" s="7" t="str">
        <f t="array" ref="G3495">IF(ROWS(K$20:K3495)&gt;$F$6,"",INDEX(A$2:A$10000,SMALL(IF(ISNUMBER(MATCH($B$2:$B$10000,$E$6:$E$22,0)),ROW($C$2:$C$10000)-ROW($C$2)+1),ROWS(K$20:K3495))))</f>
        <v/>
      </c>
      <c r="H3495" s="4" t="str">
        <f t="array" ref="H3495">IF(ROWS(L$20:L3495)&gt;$F$6,"",INDEX(B$2:B$10000,SMALL(IF(ISNUMBER(MATCH($B$2:$B$10000,$E$6:$E$22,0)),ROW($C$2:$C$10000)-ROW($C$2)+1),ROWS(L$20:L3495))))</f>
        <v/>
      </c>
      <c r="I3495" s="4" t="str">
        <f t="array" ref="I3495">IF(ROWS(M$20:M3495)&gt;$F$6,"",INDEX(C$2:C$10000,SMALL(IF(ISNUMBER(MATCH($B$2:$B$10000,$E$6:$E$22,0)),ROW($C$2:$C$10000)-ROW($C$2)+1),ROWS(M$20:M3495))))</f>
        <v/>
      </c>
      <c r="K3495" s="7" t="str">
        <f t="array" ref="K3495">IF(ROWS(K$20:K3495)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3495))))</f>
        <v/>
      </c>
      <c r="L3495" s="4" t="str">
        <f t="array" ref="L3495">IF(ROWS(L$20:L3495)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3495))))</f>
        <v/>
      </c>
      <c r="M3495" s="4" t="str">
        <f t="array" ref="M3495">IF(ROWS(M$20:M3495)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3495))))</f>
        <v/>
      </c>
    </row>
    <row r="3496" spans="1:13" x14ac:dyDescent="0.25">
      <c r="A3496" s="3">
        <v>41748</v>
      </c>
      <c r="B3496" s="2" t="s">
        <v>36</v>
      </c>
      <c r="C3496" s="2">
        <v>1</v>
      </c>
      <c r="G3496" s="7" t="str">
        <f t="array" ref="G3496">IF(ROWS(K$20:K3496)&gt;$F$6,"",INDEX(A$2:A$10000,SMALL(IF(ISNUMBER(MATCH($B$2:$B$10000,$E$6:$E$22,0)),ROW($C$2:$C$10000)-ROW($C$2)+1),ROWS(K$20:K3496))))</f>
        <v/>
      </c>
      <c r="H3496" s="4" t="str">
        <f t="array" ref="H3496">IF(ROWS(L$20:L3496)&gt;$F$6,"",INDEX(B$2:B$10000,SMALL(IF(ISNUMBER(MATCH($B$2:$B$10000,$E$6:$E$22,0)),ROW($C$2:$C$10000)-ROW($C$2)+1),ROWS(L$20:L3496))))</f>
        <v/>
      </c>
      <c r="I3496" s="4" t="str">
        <f t="array" ref="I3496">IF(ROWS(M$20:M3496)&gt;$F$6,"",INDEX(C$2:C$10000,SMALL(IF(ISNUMBER(MATCH($B$2:$B$10000,$E$6:$E$22,0)),ROW($C$2:$C$10000)-ROW($C$2)+1),ROWS(M$20:M3496))))</f>
        <v/>
      </c>
      <c r="K3496" s="7" t="str">
        <f t="array" ref="K3496">IF(ROWS(K$20:K3496)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3496))))</f>
        <v/>
      </c>
      <c r="L3496" s="4" t="str">
        <f t="array" ref="L3496">IF(ROWS(L$20:L3496)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3496))))</f>
        <v/>
      </c>
      <c r="M3496" s="4" t="str">
        <f t="array" ref="M3496">IF(ROWS(M$20:M3496)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3496))))</f>
        <v/>
      </c>
    </row>
    <row r="3497" spans="1:13" x14ac:dyDescent="0.25">
      <c r="A3497" s="3">
        <v>41945</v>
      </c>
      <c r="B3497" s="2" t="s">
        <v>5</v>
      </c>
      <c r="C3497" s="2">
        <v>19</v>
      </c>
      <c r="G3497" s="7" t="str">
        <f t="array" ref="G3497">IF(ROWS(K$20:K3497)&gt;$F$6,"",INDEX(A$2:A$10000,SMALL(IF(ISNUMBER(MATCH($B$2:$B$10000,$E$6:$E$22,0)),ROW($C$2:$C$10000)-ROW($C$2)+1),ROWS(K$20:K3497))))</f>
        <v/>
      </c>
      <c r="H3497" s="4" t="str">
        <f t="array" ref="H3497">IF(ROWS(L$20:L3497)&gt;$F$6,"",INDEX(B$2:B$10000,SMALL(IF(ISNUMBER(MATCH($B$2:$B$10000,$E$6:$E$22,0)),ROW($C$2:$C$10000)-ROW($C$2)+1),ROWS(L$20:L3497))))</f>
        <v/>
      </c>
      <c r="I3497" s="4" t="str">
        <f t="array" ref="I3497">IF(ROWS(M$20:M3497)&gt;$F$6,"",INDEX(C$2:C$10000,SMALL(IF(ISNUMBER(MATCH($B$2:$B$10000,$E$6:$E$22,0)),ROW($C$2:$C$10000)-ROW($C$2)+1),ROWS(M$20:M3497))))</f>
        <v/>
      </c>
      <c r="K3497" s="7" t="str">
        <f t="array" ref="K3497">IF(ROWS(K$20:K3497)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3497))))</f>
        <v/>
      </c>
      <c r="L3497" s="4" t="str">
        <f t="array" ref="L3497">IF(ROWS(L$20:L3497)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3497))))</f>
        <v/>
      </c>
      <c r="M3497" s="4" t="str">
        <f t="array" ref="M3497">IF(ROWS(M$20:M3497)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3497))))</f>
        <v/>
      </c>
    </row>
    <row r="3498" spans="1:13" x14ac:dyDescent="0.25">
      <c r="A3498" s="3">
        <v>41338</v>
      </c>
      <c r="B3498" s="2" t="s">
        <v>40</v>
      </c>
      <c r="C3498" s="2">
        <v>23</v>
      </c>
      <c r="G3498" s="7" t="str">
        <f t="array" ref="G3498">IF(ROWS(K$20:K3498)&gt;$F$6,"",INDEX(A$2:A$10000,SMALL(IF(ISNUMBER(MATCH($B$2:$B$10000,$E$6:$E$22,0)),ROW($C$2:$C$10000)-ROW($C$2)+1),ROWS(K$20:K3498))))</f>
        <v/>
      </c>
      <c r="H3498" s="4" t="str">
        <f t="array" ref="H3498">IF(ROWS(L$20:L3498)&gt;$F$6,"",INDEX(B$2:B$10000,SMALL(IF(ISNUMBER(MATCH($B$2:$B$10000,$E$6:$E$22,0)),ROW($C$2:$C$10000)-ROW($C$2)+1),ROWS(L$20:L3498))))</f>
        <v/>
      </c>
      <c r="I3498" s="4" t="str">
        <f t="array" ref="I3498">IF(ROWS(M$20:M3498)&gt;$F$6,"",INDEX(C$2:C$10000,SMALL(IF(ISNUMBER(MATCH($B$2:$B$10000,$E$6:$E$22,0)),ROW($C$2:$C$10000)-ROW($C$2)+1),ROWS(M$20:M3498))))</f>
        <v/>
      </c>
      <c r="K3498" s="7" t="str">
        <f t="array" ref="K3498">IF(ROWS(K$20:K3498)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3498))))</f>
        <v/>
      </c>
      <c r="L3498" s="4" t="str">
        <f t="array" ref="L3498">IF(ROWS(L$20:L3498)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3498))))</f>
        <v/>
      </c>
      <c r="M3498" s="4" t="str">
        <f t="array" ref="M3498">IF(ROWS(M$20:M3498)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3498))))</f>
        <v/>
      </c>
    </row>
    <row r="3499" spans="1:13" x14ac:dyDescent="0.25">
      <c r="A3499" s="3">
        <v>41315</v>
      </c>
      <c r="B3499" s="2" t="s">
        <v>24</v>
      </c>
      <c r="C3499" s="2">
        <v>27</v>
      </c>
      <c r="G3499" s="7" t="str">
        <f t="array" ref="G3499">IF(ROWS(K$20:K3499)&gt;$F$6,"",INDEX(A$2:A$10000,SMALL(IF(ISNUMBER(MATCH($B$2:$B$10000,$E$6:$E$22,0)),ROW($C$2:$C$10000)-ROW($C$2)+1),ROWS(K$20:K3499))))</f>
        <v/>
      </c>
      <c r="H3499" s="4" t="str">
        <f t="array" ref="H3499">IF(ROWS(L$20:L3499)&gt;$F$6,"",INDEX(B$2:B$10000,SMALL(IF(ISNUMBER(MATCH($B$2:$B$10000,$E$6:$E$22,0)),ROW($C$2:$C$10000)-ROW($C$2)+1),ROWS(L$20:L3499))))</f>
        <v/>
      </c>
      <c r="I3499" s="4" t="str">
        <f t="array" ref="I3499">IF(ROWS(M$20:M3499)&gt;$F$6,"",INDEX(C$2:C$10000,SMALL(IF(ISNUMBER(MATCH($B$2:$B$10000,$E$6:$E$22,0)),ROW($C$2:$C$10000)-ROW($C$2)+1),ROWS(M$20:M3499))))</f>
        <v/>
      </c>
      <c r="K3499" s="7" t="str">
        <f t="array" ref="K3499">IF(ROWS(K$20:K3499)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3499))))</f>
        <v/>
      </c>
      <c r="L3499" s="4" t="str">
        <f t="array" ref="L3499">IF(ROWS(L$20:L3499)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3499))))</f>
        <v/>
      </c>
      <c r="M3499" s="4" t="str">
        <f t="array" ref="M3499">IF(ROWS(M$20:M3499)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3499))))</f>
        <v/>
      </c>
    </row>
    <row r="3500" spans="1:13" x14ac:dyDescent="0.25">
      <c r="A3500" s="3">
        <v>41981</v>
      </c>
      <c r="B3500" s="2" t="s">
        <v>12</v>
      </c>
      <c r="C3500" s="2">
        <v>46</v>
      </c>
      <c r="G3500" s="7" t="str">
        <f t="array" ref="G3500">IF(ROWS(K$20:K3500)&gt;$F$6,"",INDEX(A$2:A$10000,SMALL(IF(ISNUMBER(MATCH($B$2:$B$10000,$E$6:$E$22,0)),ROW($C$2:$C$10000)-ROW($C$2)+1),ROWS(K$20:K3500))))</f>
        <v/>
      </c>
      <c r="H3500" s="4" t="str">
        <f t="array" ref="H3500">IF(ROWS(L$20:L3500)&gt;$F$6,"",INDEX(B$2:B$10000,SMALL(IF(ISNUMBER(MATCH($B$2:$B$10000,$E$6:$E$22,0)),ROW($C$2:$C$10000)-ROW($C$2)+1),ROWS(L$20:L3500))))</f>
        <v/>
      </c>
      <c r="I3500" s="4" t="str">
        <f t="array" ref="I3500">IF(ROWS(M$20:M3500)&gt;$F$6,"",INDEX(C$2:C$10000,SMALL(IF(ISNUMBER(MATCH($B$2:$B$10000,$E$6:$E$22,0)),ROW($C$2:$C$10000)-ROW($C$2)+1),ROWS(M$20:M3500))))</f>
        <v/>
      </c>
      <c r="K3500" s="7" t="str">
        <f t="array" ref="K3500">IF(ROWS(K$20:K3500)&gt;$F$6,"",INDEX(A$2:A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K$20:K3500))))</f>
        <v/>
      </c>
      <c r="L3500" s="4" t="str">
        <f t="array" ref="L3500">IF(ROWS(L$20:L3500)&gt;$F$6,"",INDEX(B$2:B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L$20:L3500))))</f>
        <v/>
      </c>
      <c r="M3500" s="4" t="str">
        <f t="array" ref="M3500">IF(ROWS(M$20:M3500)&gt;$F$6,"",INDEX(C$2:C$10000,SMALL(IF(($B$2:$B$10000=$E$6)+($B$2:$B$10000=$E$7)+($B$2:$B$10000=$E$8)+($B$2:$B$10000=$E$9)+($B$2:$B$10000=$E$10)+($B$2:$B$10000=$E$11)+($B$2:$B$10000=$E$12)+($B$2:$B$10000=$E$13)+($B$2:$B$10000=$E$14)+($B$2:$B$10000=$E$15)+($B$2:$B$10000=$E$16)+($B$2:$B$10000=$E$17)+($B$2:$B$10000=$E$18)+($B$2:$B$10000=$E$19)+($B$2:$B$10000=$E$20)+($B$2:$B$10000=$E$21)+($B$2:$B$10000=$E$22),ROW($C$2:$C$10000)-ROW($C$2)+1),ROWS(M$20:M3500))))</f>
        <v/>
      </c>
    </row>
    <row r="3501" spans="1:13" x14ac:dyDescent="0.25">
      <c r="A3501" s="3">
        <v>41355</v>
      </c>
      <c r="B3501" s="2" t="s">
        <v>13</v>
      </c>
      <c r="C3501" s="2">
        <v>26</v>
      </c>
    </row>
    <row r="3502" spans="1:13" x14ac:dyDescent="0.25">
      <c r="A3502" s="3">
        <v>41652</v>
      </c>
      <c r="B3502" s="2" t="s">
        <v>40</v>
      </c>
      <c r="C3502" s="2">
        <v>16</v>
      </c>
    </row>
    <row r="3503" spans="1:13" x14ac:dyDescent="0.25">
      <c r="A3503" s="3">
        <v>41359</v>
      </c>
      <c r="B3503" s="2" t="s">
        <v>8</v>
      </c>
      <c r="C3503" s="2">
        <v>34</v>
      </c>
    </row>
    <row r="3504" spans="1:13" x14ac:dyDescent="0.25">
      <c r="A3504" s="3">
        <v>41790</v>
      </c>
      <c r="B3504" s="2" t="s">
        <v>51</v>
      </c>
      <c r="C3504" s="2">
        <v>13</v>
      </c>
    </row>
    <row r="3505" spans="1:3" x14ac:dyDescent="0.25">
      <c r="A3505" s="3">
        <v>41812</v>
      </c>
      <c r="B3505" s="2" t="s">
        <v>3</v>
      </c>
      <c r="C3505" s="2">
        <v>24</v>
      </c>
    </row>
    <row r="3506" spans="1:3" x14ac:dyDescent="0.25">
      <c r="A3506" s="3">
        <v>41902</v>
      </c>
      <c r="B3506" s="2" t="s">
        <v>50</v>
      </c>
      <c r="C3506" s="2">
        <v>9</v>
      </c>
    </row>
    <row r="3507" spans="1:3" x14ac:dyDescent="0.25">
      <c r="A3507" s="3">
        <v>41626</v>
      </c>
      <c r="B3507" s="2" t="s">
        <v>9</v>
      </c>
      <c r="C3507" s="2">
        <v>29</v>
      </c>
    </row>
    <row r="3508" spans="1:3" x14ac:dyDescent="0.25">
      <c r="A3508" s="3">
        <v>41891</v>
      </c>
      <c r="B3508" s="2" t="s">
        <v>29</v>
      </c>
      <c r="C3508" s="2">
        <v>18</v>
      </c>
    </row>
    <row r="3509" spans="1:3" x14ac:dyDescent="0.25">
      <c r="A3509" s="3">
        <v>41890</v>
      </c>
      <c r="B3509" s="2" t="s">
        <v>48</v>
      </c>
      <c r="C3509" s="2">
        <v>10</v>
      </c>
    </row>
    <row r="3510" spans="1:3" x14ac:dyDescent="0.25">
      <c r="A3510" s="3">
        <v>41620</v>
      </c>
      <c r="B3510" s="2" t="s">
        <v>3</v>
      </c>
      <c r="C3510" s="2">
        <v>38</v>
      </c>
    </row>
    <row r="3511" spans="1:3" x14ac:dyDescent="0.25">
      <c r="A3511" s="3">
        <v>41380</v>
      </c>
      <c r="B3511" s="2" t="s">
        <v>9</v>
      </c>
      <c r="C3511" s="2">
        <v>18</v>
      </c>
    </row>
    <row r="3512" spans="1:3" x14ac:dyDescent="0.25">
      <c r="A3512" s="3">
        <v>41767</v>
      </c>
      <c r="B3512" s="2" t="s">
        <v>38</v>
      </c>
      <c r="C3512" s="2">
        <v>49</v>
      </c>
    </row>
    <row r="3513" spans="1:3" x14ac:dyDescent="0.25">
      <c r="A3513" s="3">
        <v>41734</v>
      </c>
      <c r="B3513" s="2" t="s">
        <v>15</v>
      </c>
      <c r="C3513" s="2">
        <v>19</v>
      </c>
    </row>
    <row r="3514" spans="1:3" x14ac:dyDescent="0.25">
      <c r="A3514" s="3">
        <v>41877</v>
      </c>
      <c r="B3514" s="2" t="s">
        <v>14</v>
      </c>
      <c r="C3514" s="2">
        <v>23</v>
      </c>
    </row>
    <row r="3515" spans="1:3" x14ac:dyDescent="0.25">
      <c r="A3515" s="3">
        <v>41341</v>
      </c>
      <c r="B3515" s="2" t="s">
        <v>17</v>
      </c>
      <c r="C3515" s="2">
        <v>26</v>
      </c>
    </row>
    <row r="3516" spans="1:3" x14ac:dyDescent="0.25">
      <c r="A3516" s="3">
        <v>41602</v>
      </c>
      <c r="B3516" s="2" t="s">
        <v>14</v>
      </c>
      <c r="C3516" s="2">
        <v>6</v>
      </c>
    </row>
    <row r="3517" spans="1:3" x14ac:dyDescent="0.25">
      <c r="A3517" s="3">
        <v>41571</v>
      </c>
      <c r="B3517" s="2" t="s">
        <v>29</v>
      </c>
      <c r="C3517" s="2">
        <v>34</v>
      </c>
    </row>
    <row r="3518" spans="1:3" x14ac:dyDescent="0.25">
      <c r="A3518" s="3">
        <v>41988</v>
      </c>
      <c r="B3518" s="2" t="s">
        <v>41</v>
      </c>
      <c r="C3518" s="2">
        <v>24</v>
      </c>
    </row>
    <row r="3519" spans="1:3" x14ac:dyDescent="0.25">
      <c r="A3519" s="3">
        <v>41375</v>
      </c>
      <c r="B3519" s="2" t="s">
        <v>21</v>
      </c>
      <c r="C3519" s="2">
        <v>15</v>
      </c>
    </row>
    <row r="3520" spans="1:3" x14ac:dyDescent="0.25">
      <c r="A3520" s="3">
        <v>41573</v>
      </c>
      <c r="B3520" s="2" t="s">
        <v>10</v>
      </c>
      <c r="C3520" s="2">
        <v>31</v>
      </c>
    </row>
    <row r="3521" spans="1:3" x14ac:dyDescent="0.25">
      <c r="A3521" s="3">
        <v>41344</v>
      </c>
      <c r="B3521" s="2" t="s">
        <v>46</v>
      </c>
      <c r="C3521" s="2">
        <v>18</v>
      </c>
    </row>
    <row r="3522" spans="1:3" x14ac:dyDescent="0.25">
      <c r="A3522" s="3">
        <v>41670</v>
      </c>
      <c r="B3522" s="2" t="s">
        <v>24</v>
      </c>
      <c r="C3522" s="2">
        <v>45</v>
      </c>
    </row>
    <row r="3523" spans="1:3" x14ac:dyDescent="0.25">
      <c r="A3523" s="3">
        <v>41547</v>
      </c>
      <c r="B3523" s="2" t="s">
        <v>37</v>
      </c>
      <c r="C3523" s="2">
        <v>4</v>
      </c>
    </row>
    <row r="3524" spans="1:3" x14ac:dyDescent="0.25">
      <c r="A3524" s="3">
        <v>41361</v>
      </c>
      <c r="B3524" s="2" t="s">
        <v>51</v>
      </c>
      <c r="C3524" s="2">
        <v>25</v>
      </c>
    </row>
    <row r="3525" spans="1:3" x14ac:dyDescent="0.25">
      <c r="A3525" s="3">
        <v>41746</v>
      </c>
      <c r="B3525" s="2" t="s">
        <v>18</v>
      </c>
      <c r="C3525" s="2">
        <v>13</v>
      </c>
    </row>
    <row r="3526" spans="1:3" x14ac:dyDescent="0.25">
      <c r="A3526" s="3">
        <v>41809</v>
      </c>
      <c r="B3526" s="2" t="s">
        <v>48</v>
      </c>
      <c r="C3526" s="2">
        <v>12</v>
      </c>
    </row>
    <row r="3527" spans="1:3" x14ac:dyDescent="0.25">
      <c r="A3527" s="3">
        <v>41434</v>
      </c>
      <c r="B3527" s="2" t="s">
        <v>7</v>
      </c>
      <c r="C3527" s="2">
        <v>15</v>
      </c>
    </row>
    <row r="3528" spans="1:3" x14ac:dyDescent="0.25">
      <c r="A3528" s="3">
        <v>41699</v>
      </c>
      <c r="B3528" s="2" t="s">
        <v>9</v>
      </c>
      <c r="C3528" s="2">
        <v>36</v>
      </c>
    </row>
    <row r="3529" spans="1:3" x14ac:dyDescent="0.25">
      <c r="A3529" s="3">
        <v>41932</v>
      </c>
      <c r="B3529" s="2" t="s">
        <v>13</v>
      </c>
      <c r="C3529" s="2">
        <v>22</v>
      </c>
    </row>
    <row r="3530" spans="1:3" x14ac:dyDescent="0.25">
      <c r="A3530" s="3">
        <v>42004</v>
      </c>
      <c r="B3530" s="2" t="s">
        <v>49</v>
      </c>
      <c r="C3530" s="2">
        <v>39</v>
      </c>
    </row>
    <row r="3531" spans="1:3" x14ac:dyDescent="0.25">
      <c r="A3531" s="3">
        <v>41703</v>
      </c>
      <c r="B3531" s="2" t="s">
        <v>34</v>
      </c>
      <c r="C3531" s="2">
        <v>37</v>
      </c>
    </row>
    <row r="3532" spans="1:3" x14ac:dyDescent="0.25">
      <c r="A3532" s="3">
        <v>41689</v>
      </c>
      <c r="B3532" s="2" t="s">
        <v>38</v>
      </c>
      <c r="C3532" s="2">
        <v>13</v>
      </c>
    </row>
    <row r="3533" spans="1:3" x14ac:dyDescent="0.25">
      <c r="A3533" s="3">
        <v>41490</v>
      </c>
      <c r="B3533" s="2" t="s">
        <v>6</v>
      </c>
      <c r="C3533" s="2">
        <v>28</v>
      </c>
    </row>
    <row r="3534" spans="1:3" x14ac:dyDescent="0.25">
      <c r="A3534" s="3">
        <v>41480</v>
      </c>
      <c r="B3534" s="2" t="s">
        <v>12</v>
      </c>
      <c r="C3534" s="2">
        <v>38</v>
      </c>
    </row>
    <row r="3535" spans="1:3" x14ac:dyDescent="0.25">
      <c r="A3535" s="3">
        <v>41919</v>
      </c>
      <c r="B3535" s="2" t="s">
        <v>44</v>
      </c>
      <c r="C3535" s="2">
        <v>5</v>
      </c>
    </row>
    <row r="3536" spans="1:3" x14ac:dyDescent="0.25">
      <c r="A3536" s="3">
        <v>41556</v>
      </c>
      <c r="B3536" s="2" t="s">
        <v>16</v>
      </c>
      <c r="C3536" s="2">
        <v>23</v>
      </c>
    </row>
    <row r="3537" spans="1:3" x14ac:dyDescent="0.25">
      <c r="A3537" s="3">
        <v>41613</v>
      </c>
      <c r="B3537" s="2" t="s">
        <v>27</v>
      </c>
      <c r="C3537" s="2">
        <v>22</v>
      </c>
    </row>
    <row r="3538" spans="1:3" x14ac:dyDescent="0.25">
      <c r="A3538" s="3">
        <v>41306</v>
      </c>
      <c r="B3538" s="2" t="s">
        <v>47</v>
      </c>
      <c r="C3538" s="2">
        <v>29</v>
      </c>
    </row>
    <row r="3539" spans="1:3" x14ac:dyDescent="0.25">
      <c r="A3539" s="3">
        <v>41630</v>
      </c>
      <c r="B3539" s="2" t="s">
        <v>4</v>
      </c>
      <c r="C3539" s="2">
        <v>21</v>
      </c>
    </row>
    <row r="3540" spans="1:3" x14ac:dyDescent="0.25">
      <c r="A3540" s="3">
        <v>41649</v>
      </c>
      <c r="B3540" s="2" t="s">
        <v>33</v>
      </c>
      <c r="C3540" s="2">
        <v>21</v>
      </c>
    </row>
    <row r="3541" spans="1:3" x14ac:dyDescent="0.25">
      <c r="A3541" s="3">
        <v>41394</v>
      </c>
      <c r="B3541" s="2" t="s">
        <v>5</v>
      </c>
      <c r="C3541" s="2">
        <v>21</v>
      </c>
    </row>
    <row r="3542" spans="1:3" x14ac:dyDescent="0.25">
      <c r="A3542" s="3">
        <v>41510</v>
      </c>
      <c r="B3542" s="2" t="s">
        <v>25</v>
      </c>
      <c r="C3542" s="2">
        <v>48</v>
      </c>
    </row>
    <row r="3543" spans="1:3" x14ac:dyDescent="0.25">
      <c r="A3543" s="3">
        <v>41284</v>
      </c>
      <c r="B3543" s="2" t="s">
        <v>15</v>
      </c>
      <c r="C3543" s="2">
        <v>48</v>
      </c>
    </row>
    <row r="3544" spans="1:3" x14ac:dyDescent="0.25">
      <c r="A3544" s="3">
        <v>41781</v>
      </c>
      <c r="B3544" s="2" t="s">
        <v>39</v>
      </c>
      <c r="C3544" s="2">
        <v>31</v>
      </c>
    </row>
    <row r="3545" spans="1:3" x14ac:dyDescent="0.25">
      <c r="A3545" s="3">
        <v>41330</v>
      </c>
      <c r="B3545" s="2" t="s">
        <v>12</v>
      </c>
      <c r="C3545" s="2">
        <v>12</v>
      </c>
    </row>
    <row r="3546" spans="1:3" x14ac:dyDescent="0.25">
      <c r="A3546" s="3">
        <v>41525</v>
      </c>
      <c r="B3546" s="2" t="s">
        <v>37</v>
      </c>
      <c r="C3546" s="2">
        <v>9</v>
      </c>
    </row>
    <row r="3547" spans="1:3" x14ac:dyDescent="0.25">
      <c r="A3547" s="3">
        <v>41426</v>
      </c>
      <c r="B3547" s="2" t="s">
        <v>43</v>
      </c>
      <c r="C3547" s="2">
        <v>16</v>
      </c>
    </row>
    <row r="3548" spans="1:3" x14ac:dyDescent="0.25">
      <c r="A3548" s="3">
        <v>41846</v>
      </c>
      <c r="B3548" s="2" t="s">
        <v>13</v>
      </c>
      <c r="C3548" s="2">
        <v>51</v>
      </c>
    </row>
    <row r="3549" spans="1:3" x14ac:dyDescent="0.25">
      <c r="A3549" s="3">
        <v>41764</v>
      </c>
      <c r="B3549" s="2" t="s">
        <v>41</v>
      </c>
      <c r="C3549" s="2">
        <v>37</v>
      </c>
    </row>
    <row r="3550" spans="1:3" x14ac:dyDescent="0.25">
      <c r="A3550" s="3">
        <v>41560</v>
      </c>
      <c r="B3550" s="2" t="s">
        <v>40</v>
      </c>
      <c r="C3550" s="2">
        <v>36</v>
      </c>
    </row>
    <row r="3551" spans="1:3" x14ac:dyDescent="0.25">
      <c r="A3551" s="3">
        <v>41995</v>
      </c>
      <c r="B3551" s="2" t="s">
        <v>35</v>
      </c>
      <c r="C3551" s="2">
        <v>0</v>
      </c>
    </row>
    <row r="3552" spans="1:3" x14ac:dyDescent="0.25">
      <c r="A3552" s="3">
        <v>41935</v>
      </c>
      <c r="B3552" s="2" t="s">
        <v>44</v>
      </c>
      <c r="C3552" s="2">
        <v>37</v>
      </c>
    </row>
    <row r="3553" spans="1:3" x14ac:dyDescent="0.25">
      <c r="A3553" s="3">
        <v>41623</v>
      </c>
      <c r="B3553" s="2" t="s">
        <v>35</v>
      </c>
      <c r="C3553" s="2">
        <v>34</v>
      </c>
    </row>
    <row r="3554" spans="1:3" x14ac:dyDescent="0.25">
      <c r="A3554" s="3">
        <v>41538</v>
      </c>
      <c r="B3554" s="2" t="s">
        <v>29</v>
      </c>
      <c r="C3554" s="2">
        <v>27</v>
      </c>
    </row>
    <row r="3555" spans="1:3" x14ac:dyDescent="0.25">
      <c r="A3555" s="3">
        <v>41853</v>
      </c>
      <c r="B3555" s="2" t="s">
        <v>27</v>
      </c>
      <c r="C3555" s="2">
        <v>40</v>
      </c>
    </row>
    <row r="3556" spans="1:3" x14ac:dyDescent="0.25">
      <c r="A3556" s="3">
        <v>41785</v>
      </c>
      <c r="B3556" s="2" t="s">
        <v>20</v>
      </c>
      <c r="C3556" s="2">
        <v>12</v>
      </c>
    </row>
    <row r="3557" spans="1:3" x14ac:dyDescent="0.25">
      <c r="A3557" s="3">
        <v>41745</v>
      </c>
      <c r="B3557" s="2" t="s">
        <v>30</v>
      </c>
      <c r="C3557" s="2">
        <v>0</v>
      </c>
    </row>
    <row r="3558" spans="1:3" x14ac:dyDescent="0.25">
      <c r="A3558" s="3">
        <v>41784</v>
      </c>
      <c r="B3558" s="2" t="s">
        <v>29</v>
      </c>
      <c r="C3558" s="2">
        <v>3</v>
      </c>
    </row>
    <row r="3559" spans="1:3" x14ac:dyDescent="0.25">
      <c r="A3559" s="3">
        <v>41458</v>
      </c>
      <c r="B3559" s="2" t="s">
        <v>22</v>
      </c>
      <c r="C3559" s="2">
        <v>29</v>
      </c>
    </row>
    <row r="3560" spans="1:3" x14ac:dyDescent="0.25">
      <c r="A3560" s="3">
        <v>41799</v>
      </c>
      <c r="B3560" s="2" t="s">
        <v>44</v>
      </c>
      <c r="C3560" s="2">
        <v>15</v>
      </c>
    </row>
    <row r="3561" spans="1:3" x14ac:dyDescent="0.25">
      <c r="A3561" s="3">
        <v>41969</v>
      </c>
      <c r="B3561" s="2" t="s">
        <v>19</v>
      </c>
      <c r="C3561" s="2">
        <v>7</v>
      </c>
    </row>
    <row r="3562" spans="1:3" x14ac:dyDescent="0.25">
      <c r="A3562" s="3">
        <v>41678</v>
      </c>
      <c r="B3562" s="2" t="s">
        <v>22</v>
      </c>
      <c r="C3562" s="2">
        <v>1</v>
      </c>
    </row>
    <row r="3563" spans="1:3" x14ac:dyDescent="0.25">
      <c r="A3563" s="3">
        <v>42001</v>
      </c>
      <c r="B3563" s="2" t="s">
        <v>15</v>
      </c>
      <c r="C3563" s="2">
        <v>8</v>
      </c>
    </row>
    <row r="3564" spans="1:3" x14ac:dyDescent="0.25">
      <c r="A3564" s="3">
        <v>41799</v>
      </c>
      <c r="B3564" s="2" t="s">
        <v>23</v>
      </c>
      <c r="C3564" s="2">
        <v>4</v>
      </c>
    </row>
    <row r="3565" spans="1:3" x14ac:dyDescent="0.25">
      <c r="A3565" s="3">
        <v>41705</v>
      </c>
      <c r="B3565" s="2" t="s">
        <v>25</v>
      </c>
      <c r="C3565" s="2">
        <v>5</v>
      </c>
    </row>
    <row r="3566" spans="1:3" x14ac:dyDescent="0.25">
      <c r="A3566" s="3">
        <v>41811</v>
      </c>
      <c r="B3566" s="2" t="s">
        <v>43</v>
      </c>
      <c r="C3566" s="2">
        <v>46</v>
      </c>
    </row>
    <row r="3567" spans="1:3" x14ac:dyDescent="0.25">
      <c r="A3567" s="3">
        <v>41971</v>
      </c>
      <c r="B3567" s="2" t="s">
        <v>41</v>
      </c>
      <c r="C3567" s="2">
        <v>49</v>
      </c>
    </row>
    <row r="3568" spans="1:3" x14ac:dyDescent="0.25">
      <c r="A3568" s="3">
        <v>41555</v>
      </c>
      <c r="B3568" s="2" t="s">
        <v>42</v>
      </c>
      <c r="C3568" s="2">
        <v>41</v>
      </c>
    </row>
    <row r="3569" spans="1:3" x14ac:dyDescent="0.25">
      <c r="A3569" s="3">
        <v>41997</v>
      </c>
      <c r="B3569" s="2" t="s">
        <v>17</v>
      </c>
      <c r="C3569" s="2">
        <v>50</v>
      </c>
    </row>
    <row r="3570" spans="1:3" x14ac:dyDescent="0.25">
      <c r="A3570" s="3">
        <v>41920</v>
      </c>
      <c r="B3570" s="2" t="s">
        <v>25</v>
      </c>
      <c r="C3570" s="2">
        <v>44</v>
      </c>
    </row>
    <row r="3571" spans="1:3" x14ac:dyDescent="0.25">
      <c r="A3571" s="3">
        <v>41351</v>
      </c>
      <c r="B3571" s="2" t="s">
        <v>8</v>
      </c>
      <c r="C3571" s="2">
        <v>14</v>
      </c>
    </row>
    <row r="3572" spans="1:3" x14ac:dyDescent="0.25">
      <c r="A3572" s="3">
        <v>41735</v>
      </c>
      <c r="B3572" s="2" t="s">
        <v>4</v>
      </c>
      <c r="C3572" s="2">
        <v>26</v>
      </c>
    </row>
    <row r="3573" spans="1:3" x14ac:dyDescent="0.25">
      <c r="A3573" s="3">
        <v>41453</v>
      </c>
      <c r="B3573" s="2" t="s">
        <v>18</v>
      </c>
      <c r="C3573" s="2">
        <v>51</v>
      </c>
    </row>
    <row r="3574" spans="1:3" x14ac:dyDescent="0.25">
      <c r="A3574" s="3">
        <v>41775</v>
      </c>
      <c r="B3574" s="2" t="s">
        <v>10</v>
      </c>
      <c r="C3574" s="2">
        <v>50</v>
      </c>
    </row>
    <row r="3575" spans="1:3" x14ac:dyDescent="0.25">
      <c r="A3575" s="3">
        <v>41916</v>
      </c>
      <c r="B3575" s="2" t="s">
        <v>20</v>
      </c>
      <c r="C3575" s="2">
        <v>49</v>
      </c>
    </row>
    <row r="3576" spans="1:3" x14ac:dyDescent="0.25">
      <c r="A3576" s="3">
        <v>41300</v>
      </c>
      <c r="B3576" s="2" t="s">
        <v>25</v>
      </c>
      <c r="C3576" s="2">
        <v>19</v>
      </c>
    </row>
    <row r="3577" spans="1:3" x14ac:dyDescent="0.25">
      <c r="A3577" s="3">
        <v>41747</v>
      </c>
      <c r="B3577" s="2" t="s">
        <v>7</v>
      </c>
      <c r="C3577" s="2">
        <v>23</v>
      </c>
    </row>
    <row r="3578" spans="1:3" x14ac:dyDescent="0.25">
      <c r="A3578" s="3">
        <v>41309</v>
      </c>
      <c r="B3578" s="2" t="s">
        <v>15</v>
      </c>
      <c r="C3578" s="2">
        <v>5</v>
      </c>
    </row>
    <row r="3579" spans="1:3" x14ac:dyDescent="0.25">
      <c r="A3579" s="3">
        <v>41900</v>
      </c>
      <c r="B3579" s="2" t="s">
        <v>42</v>
      </c>
      <c r="C3579" s="2">
        <v>21</v>
      </c>
    </row>
    <row r="3580" spans="1:3" x14ac:dyDescent="0.25">
      <c r="A3580" s="3">
        <v>41742</v>
      </c>
      <c r="B3580" s="2" t="s">
        <v>14</v>
      </c>
      <c r="C3580" s="2">
        <v>17</v>
      </c>
    </row>
    <row r="3581" spans="1:3" x14ac:dyDescent="0.25">
      <c r="A3581" s="3">
        <v>41308</v>
      </c>
      <c r="B3581" s="2" t="s">
        <v>4</v>
      </c>
      <c r="C3581" s="2">
        <v>44</v>
      </c>
    </row>
    <row r="3582" spans="1:3" x14ac:dyDescent="0.25">
      <c r="A3582" s="3">
        <v>41876</v>
      </c>
      <c r="B3582" s="2" t="s">
        <v>17</v>
      </c>
      <c r="C3582" s="2">
        <v>40</v>
      </c>
    </row>
    <row r="3583" spans="1:3" x14ac:dyDescent="0.25">
      <c r="A3583" s="3">
        <v>41691</v>
      </c>
      <c r="B3583" s="2" t="s">
        <v>14</v>
      </c>
      <c r="C3583" s="2">
        <v>19</v>
      </c>
    </row>
    <row r="3584" spans="1:3" x14ac:dyDescent="0.25">
      <c r="A3584" s="3">
        <v>41814</v>
      </c>
      <c r="B3584" s="2" t="s">
        <v>2</v>
      </c>
      <c r="C3584" s="2">
        <v>29</v>
      </c>
    </row>
    <row r="3585" spans="1:3" x14ac:dyDescent="0.25">
      <c r="A3585" s="3">
        <v>41726</v>
      </c>
      <c r="B3585" s="2" t="s">
        <v>26</v>
      </c>
      <c r="C3585" s="2">
        <v>39</v>
      </c>
    </row>
    <row r="3586" spans="1:3" x14ac:dyDescent="0.25">
      <c r="A3586" s="3">
        <v>41924</v>
      </c>
      <c r="B3586" s="2" t="s">
        <v>37</v>
      </c>
      <c r="C3586" s="2">
        <v>33</v>
      </c>
    </row>
    <row r="3587" spans="1:3" x14ac:dyDescent="0.25">
      <c r="A3587" s="3">
        <v>41592</v>
      </c>
      <c r="B3587" s="2" t="s">
        <v>8</v>
      </c>
      <c r="C3587" s="2">
        <v>24</v>
      </c>
    </row>
    <row r="3588" spans="1:3" x14ac:dyDescent="0.25">
      <c r="A3588" s="3">
        <v>41340</v>
      </c>
      <c r="B3588" s="2" t="s">
        <v>14</v>
      </c>
      <c r="C3588" s="2">
        <v>30</v>
      </c>
    </row>
    <row r="3589" spans="1:3" x14ac:dyDescent="0.25">
      <c r="A3589" s="3">
        <v>41766</v>
      </c>
      <c r="B3589" s="2" t="s">
        <v>44</v>
      </c>
      <c r="C3589" s="2">
        <v>1</v>
      </c>
    </row>
    <row r="3590" spans="1:3" x14ac:dyDescent="0.25">
      <c r="A3590" s="3">
        <v>41573</v>
      </c>
      <c r="B3590" s="2" t="s">
        <v>5</v>
      </c>
      <c r="C3590" s="2">
        <v>33</v>
      </c>
    </row>
    <row r="3591" spans="1:3" x14ac:dyDescent="0.25">
      <c r="A3591" s="3">
        <v>41988</v>
      </c>
      <c r="B3591" s="2" t="s">
        <v>8</v>
      </c>
      <c r="C3591" s="2">
        <v>35</v>
      </c>
    </row>
    <row r="3592" spans="1:3" x14ac:dyDescent="0.25">
      <c r="A3592" s="3">
        <v>41637</v>
      </c>
      <c r="B3592" s="2" t="s">
        <v>42</v>
      </c>
      <c r="C3592" s="2">
        <v>37</v>
      </c>
    </row>
    <row r="3593" spans="1:3" x14ac:dyDescent="0.25">
      <c r="A3593" s="3">
        <v>41744</v>
      </c>
      <c r="B3593" s="2" t="s">
        <v>18</v>
      </c>
      <c r="C3593" s="2">
        <v>22</v>
      </c>
    </row>
    <row r="3594" spans="1:3" x14ac:dyDescent="0.25">
      <c r="A3594" s="3">
        <v>41674</v>
      </c>
      <c r="B3594" s="2" t="s">
        <v>25</v>
      </c>
      <c r="C3594" s="2">
        <v>49</v>
      </c>
    </row>
    <row r="3595" spans="1:3" x14ac:dyDescent="0.25">
      <c r="A3595" s="3">
        <v>41576</v>
      </c>
      <c r="B3595" s="2" t="s">
        <v>15</v>
      </c>
      <c r="C3595" s="2">
        <v>21</v>
      </c>
    </row>
    <row r="3596" spans="1:3" x14ac:dyDescent="0.25">
      <c r="A3596" s="3">
        <v>41468</v>
      </c>
      <c r="B3596" s="2" t="s">
        <v>34</v>
      </c>
      <c r="C3596" s="2">
        <v>39</v>
      </c>
    </row>
    <row r="3597" spans="1:3" x14ac:dyDescent="0.25">
      <c r="A3597" s="3">
        <v>41659</v>
      </c>
      <c r="B3597" s="2" t="s">
        <v>45</v>
      </c>
      <c r="C3597" s="2">
        <v>45</v>
      </c>
    </row>
    <row r="3598" spans="1:3" x14ac:dyDescent="0.25">
      <c r="A3598" s="3">
        <v>41748</v>
      </c>
      <c r="B3598" s="2" t="s">
        <v>49</v>
      </c>
      <c r="C3598" s="2">
        <v>26</v>
      </c>
    </row>
    <row r="3599" spans="1:3" x14ac:dyDescent="0.25">
      <c r="A3599" s="3">
        <v>41739</v>
      </c>
      <c r="B3599" s="2" t="s">
        <v>29</v>
      </c>
      <c r="C3599" s="2">
        <v>7</v>
      </c>
    </row>
    <row r="3600" spans="1:3" x14ac:dyDescent="0.25">
      <c r="A3600" s="3">
        <v>41476</v>
      </c>
      <c r="B3600" s="2" t="s">
        <v>34</v>
      </c>
      <c r="C3600" s="2">
        <v>9</v>
      </c>
    </row>
    <row r="3601" spans="1:3" x14ac:dyDescent="0.25">
      <c r="A3601" s="3">
        <v>41938</v>
      </c>
      <c r="B3601" s="2" t="s">
        <v>38</v>
      </c>
      <c r="C3601" s="2">
        <v>29</v>
      </c>
    </row>
    <row r="3602" spans="1:3" x14ac:dyDescent="0.25">
      <c r="A3602" s="3">
        <v>41308</v>
      </c>
      <c r="B3602" s="2" t="s">
        <v>21</v>
      </c>
      <c r="C3602" s="2">
        <v>22</v>
      </c>
    </row>
    <row r="3603" spans="1:3" x14ac:dyDescent="0.25">
      <c r="A3603" s="3">
        <v>41999</v>
      </c>
      <c r="B3603" s="2" t="s">
        <v>7</v>
      </c>
      <c r="C3603" s="2">
        <v>32</v>
      </c>
    </row>
    <row r="3604" spans="1:3" x14ac:dyDescent="0.25">
      <c r="A3604" s="3">
        <v>41941</v>
      </c>
      <c r="B3604" s="2" t="s">
        <v>50</v>
      </c>
      <c r="C3604" s="2">
        <v>17</v>
      </c>
    </row>
    <row r="3605" spans="1:3" x14ac:dyDescent="0.25">
      <c r="A3605" s="3">
        <v>41785</v>
      </c>
      <c r="B3605" s="2" t="s">
        <v>47</v>
      </c>
      <c r="C3605" s="2">
        <v>28</v>
      </c>
    </row>
    <row r="3606" spans="1:3" x14ac:dyDescent="0.25">
      <c r="A3606" s="3">
        <v>41738</v>
      </c>
      <c r="B3606" s="2" t="s">
        <v>29</v>
      </c>
      <c r="C3606" s="2">
        <v>13</v>
      </c>
    </row>
    <row r="3607" spans="1:3" x14ac:dyDescent="0.25">
      <c r="A3607" s="3">
        <v>41652</v>
      </c>
      <c r="B3607" s="2" t="s">
        <v>38</v>
      </c>
      <c r="C3607" s="2">
        <v>24</v>
      </c>
    </row>
    <row r="3608" spans="1:3" x14ac:dyDescent="0.25">
      <c r="A3608" s="3">
        <v>41957</v>
      </c>
      <c r="B3608" s="2" t="s">
        <v>16</v>
      </c>
      <c r="C3608" s="2">
        <v>28</v>
      </c>
    </row>
    <row r="3609" spans="1:3" x14ac:dyDescent="0.25">
      <c r="A3609" s="3">
        <v>41515</v>
      </c>
      <c r="B3609" s="2" t="s">
        <v>15</v>
      </c>
      <c r="C3609" s="2">
        <v>39</v>
      </c>
    </row>
    <row r="3610" spans="1:3" x14ac:dyDescent="0.25">
      <c r="A3610" s="3">
        <v>41414</v>
      </c>
      <c r="B3610" s="2" t="s">
        <v>8</v>
      </c>
      <c r="C3610" s="2">
        <v>15</v>
      </c>
    </row>
    <row r="3611" spans="1:3" x14ac:dyDescent="0.25">
      <c r="A3611" s="3">
        <v>41359</v>
      </c>
      <c r="B3611" s="2" t="s">
        <v>30</v>
      </c>
      <c r="C3611" s="2">
        <v>29</v>
      </c>
    </row>
    <row r="3612" spans="1:3" x14ac:dyDescent="0.25">
      <c r="A3612" s="3">
        <v>41499</v>
      </c>
      <c r="B3612" s="2" t="s">
        <v>29</v>
      </c>
      <c r="C3612" s="2">
        <v>2</v>
      </c>
    </row>
    <row r="3613" spans="1:3" x14ac:dyDescent="0.25">
      <c r="A3613" s="3">
        <v>41461</v>
      </c>
      <c r="B3613" s="2" t="s">
        <v>35</v>
      </c>
      <c r="C3613" s="2">
        <v>54</v>
      </c>
    </row>
    <row r="3614" spans="1:3" x14ac:dyDescent="0.25">
      <c r="A3614" s="3">
        <v>41747</v>
      </c>
      <c r="B3614" s="2" t="s">
        <v>25</v>
      </c>
      <c r="C3614" s="2">
        <v>32</v>
      </c>
    </row>
    <row r="3615" spans="1:3" x14ac:dyDescent="0.25">
      <c r="A3615" s="3">
        <v>41820</v>
      </c>
      <c r="B3615" s="2" t="s">
        <v>23</v>
      </c>
      <c r="C3615" s="2">
        <v>9</v>
      </c>
    </row>
    <row r="3616" spans="1:3" x14ac:dyDescent="0.25">
      <c r="A3616" s="3">
        <v>41850</v>
      </c>
      <c r="B3616" s="2" t="s">
        <v>28</v>
      </c>
      <c r="C3616" s="2">
        <v>41</v>
      </c>
    </row>
    <row r="3617" spans="1:3" x14ac:dyDescent="0.25">
      <c r="A3617" s="3">
        <v>41776</v>
      </c>
      <c r="B3617" s="2" t="s">
        <v>35</v>
      </c>
      <c r="C3617" s="2">
        <v>24</v>
      </c>
    </row>
    <row r="3618" spans="1:3" x14ac:dyDescent="0.25">
      <c r="A3618" s="3">
        <v>41639</v>
      </c>
      <c r="B3618" s="2" t="s">
        <v>47</v>
      </c>
      <c r="C3618" s="2">
        <v>5</v>
      </c>
    </row>
    <row r="3619" spans="1:3" x14ac:dyDescent="0.25">
      <c r="A3619" s="3">
        <v>41764</v>
      </c>
      <c r="B3619" s="2" t="s">
        <v>23</v>
      </c>
      <c r="C3619" s="2">
        <v>45</v>
      </c>
    </row>
    <row r="3620" spans="1:3" x14ac:dyDescent="0.25">
      <c r="A3620" s="3">
        <v>41905</v>
      </c>
      <c r="B3620" s="2" t="s">
        <v>38</v>
      </c>
      <c r="C3620" s="2">
        <v>30</v>
      </c>
    </row>
    <row r="3621" spans="1:3" x14ac:dyDescent="0.25">
      <c r="A3621" s="3">
        <v>41688</v>
      </c>
      <c r="B3621" s="2" t="s">
        <v>5</v>
      </c>
      <c r="C3621" s="2">
        <v>18</v>
      </c>
    </row>
    <row r="3622" spans="1:3" x14ac:dyDescent="0.25">
      <c r="A3622" s="3">
        <v>41893</v>
      </c>
      <c r="B3622" s="2" t="s">
        <v>41</v>
      </c>
      <c r="C3622" s="2">
        <v>41</v>
      </c>
    </row>
    <row r="3623" spans="1:3" x14ac:dyDescent="0.25">
      <c r="A3623" s="3">
        <v>41960</v>
      </c>
      <c r="B3623" s="2" t="s">
        <v>24</v>
      </c>
      <c r="C3623" s="2">
        <v>35</v>
      </c>
    </row>
    <row r="3624" spans="1:3" x14ac:dyDescent="0.25">
      <c r="A3624" s="3">
        <v>41842</v>
      </c>
      <c r="B3624" s="2" t="s">
        <v>33</v>
      </c>
      <c r="C3624" s="2">
        <v>21</v>
      </c>
    </row>
    <row r="3625" spans="1:3" x14ac:dyDescent="0.25">
      <c r="A3625" s="3">
        <v>41777</v>
      </c>
      <c r="B3625" s="2" t="s">
        <v>51</v>
      </c>
      <c r="C3625" s="2">
        <v>12</v>
      </c>
    </row>
    <row r="3626" spans="1:3" x14ac:dyDescent="0.25">
      <c r="A3626" s="3">
        <v>41281</v>
      </c>
      <c r="B3626" s="2" t="s">
        <v>38</v>
      </c>
      <c r="C3626" s="2">
        <v>4</v>
      </c>
    </row>
    <row r="3627" spans="1:3" x14ac:dyDescent="0.25">
      <c r="A3627" s="3">
        <v>41360</v>
      </c>
      <c r="B3627" s="2" t="s">
        <v>16</v>
      </c>
      <c r="C3627" s="2">
        <v>45</v>
      </c>
    </row>
    <row r="3628" spans="1:3" x14ac:dyDescent="0.25">
      <c r="A3628" s="3">
        <v>41417</v>
      </c>
      <c r="B3628" s="2" t="s">
        <v>4</v>
      </c>
      <c r="C3628" s="2">
        <v>19</v>
      </c>
    </row>
    <row r="3629" spans="1:3" x14ac:dyDescent="0.25">
      <c r="A3629" s="3">
        <v>41304</v>
      </c>
      <c r="B3629" s="2" t="s">
        <v>40</v>
      </c>
      <c r="C3629" s="2">
        <v>34</v>
      </c>
    </row>
    <row r="3630" spans="1:3" x14ac:dyDescent="0.25">
      <c r="A3630" s="3">
        <v>41854</v>
      </c>
      <c r="B3630" s="2" t="s">
        <v>45</v>
      </c>
      <c r="C3630" s="2">
        <v>55</v>
      </c>
    </row>
    <row r="3631" spans="1:3" x14ac:dyDescent="0.25">
      <c r="A3631" s="3">
        <v>41662</v>
      </c>
      <c r="B3631" s="2" t="s">
        <v>14</v>
      </c>
      <c r="C3631" s="2">
        <v>31</v>
      </c>
    </row>
    <row r="3632" spans="1:3" x14ac:dyDescent="0.25">
      <c r="A3632" s="3">
        <v>41679</v>
      </c>
      <c r="B3632" s="2" t="s">
        <v>51</v>
      </c>
      <c r="C3632" s="2">
        <v>16</v>
      </c>
    </row>
    <row r="3633" spans="1:3" x14ac:dyDescent="0.25">
      <c r="A3633" s="3">
        <v>41950</v>
      </c>
      <c r="B3633" s="2" t="s">
        <v>42</v>
      </c>
      <c r="C3633" s="2">
        <v>11</v>
      </c>
    </row>
    <row r="3634" spans="1:3" x14ac:dyDescent="0.25">
      <c r="A3634" s="3">
        <v>41559</v>
      </c>
      <c r="B3634" s="2" t="s">
        <v>43</v>
      </c>
      <c r="C3634" s="2">
        <v>10</v>
      </c>
    </row>
    <row r="3635" spans="1:3" x14ac:dyDescent="0.25">
      <c r="A3635" s="3">
        <v>41966</v>
      </c>
      <c r="B3635" s="2" t="s">
        <v>30</v>
      </c>
      <c r="C3635" s="2">
        <v>26</v>
      </c>
    </row>
    <row r="3636" spans="1:3" x14ac:dyDescent="0.25">
      <c r="A3636" s="3">
        <v>41938</v>
      </c>
      <c r="B3636" s="2" t="s">
        <v>28</v>
      </c>
      <c r="C3636" s="2">
        <v>27</v>
      </c>
    </row>
    <row r="3637" spans="1:3" x14ac:dyDescent="0.25">
      <c r="A3637" s="3">
        <v>41879</v>
      </c>
      <c r="B3637" s="2" t="s">
        <v>35</v>
      </c>
      <c r="C3637" s="2">
        <v>18</v>
      </c>
    </row>
    <row r="3638" spans="1:3" x14ac:dyDescent="0.25">
      <c r="A3638" s="3">
        <v>41969</v>
      </c>
      <c r="B3638" s="2" t="s">
        <v>13</v>
      </c>
      <c r="C3638" s="2">
        <v>27</v>
      </c>
    </row>
    <row r="3639" spans="1:3" x14ac:dyDescent="0.25">
      <c r="A3639" s="3">
        <v>41341</v>
      </c>
      <c r="B3639" s="2" t="s">
        <v>18</v>
      </c>
      <c r="C3639" s="2">
        <v>28</v>
      </c>
    </row>
    <row r="3640" spans="1:3" x14ac:dyDescent="0.25">
      <c r="A3640" s="3">
        <v>41918</v>
      </c>
      <c r="B3640" s="2" t="s">
        <v>15</v>
      </c>
      <c r="C3640" s="2">
        <v>47</v>
      </c>
    </row>
    <row r="3641" spans="1:3" x14ac:dyDescent="0.25">
      <c r="A3641" s="3">
        <v>41601</v>
      </c>
      <c r="B3641" s="2" t="s">
        <v>13</v>
      </c>
      <c r="C3641" s="2">
        <v>10</v>
      </c>
    </row>
    <row r="3642" spans="1:3" x14ac:dyDescent="0.25">
      <c r="A3642" s="3">
        <v>41291</v>
      </c>
      <c r="B3642" s="2" t="s">
        <v>38</v>
      </c>
      <c r="C3642" s="2">
        <v>43</v>
      </c>
    </row>
    <row r="3643" spans="1:3" x14ac:dyDescent="0.25">
      <c r="A3643" s="3">
        <v>41630</v>
      </c>
      <c r="B3643" s="2" t="s">
        <v>24</v>
      </c>
      <c r="C3643" s="2">
        <v>26</v>
      </c>
    </row>
    <row r="3644" spans="1:3" x14ac:dyDescent="0.25">
      <c r="A3644" s="3">
        <v>41479</v>
      </c>
      <c r="B3644" s="2" t="s">
        <v>26</v>
      </c>
      <c r="C3644" s="2">
        <v>3</v>
      </c>
    </row>
    <row r="3645" spans="1:3" x14ac:dyDescent="0.25">
      <c r="A3645" s="3">
        <v>41425</v>
      </c>
      <c r="B3645" s="2" t="s">
        <v>32</v>
      </c>
      <c r="C3645" s="2">
        <v>49</v>
      </c>
    </row>
    <row r="3646" spans="1:3" x14ac:dyDescent="0.25">
      <c r="A3646" s="3">
        <v>41925</v>
      </c>
      <c r="B3646" s="2" t="s">
        <v>24</v>
      </c>
      <c r="C3646" s="2">
        <v>28</v>
      </c>
    </row>
    <row r="3647" spans="1:3" x14ac:dyDescent="0.25">
      <c r="A3647" s="3">
        <v>41535</v>
      </c>
      <c r="B3647" s="2" t="s">
        <v>48</v>
      </c>
      <c r="C3647" s="2">
        <v>9</v>
      </c>
    </row>
    <row r="3648" spans="1:3" x14ac:dyDescent="0.25">
      <c r="A3648" s="3">
        <v>41362</v>
      </c>
      <c r="B3648" s="2" t="s">
        <v>44</v>
      </c>
      <c r="C3648" s="2">
        <v>10</v>
      </c>
    </row>
    <row r="3649" spans="1:3" x14ac:dyDescent="0.25">
      <c r="A3649" s="3">
        <v>41429</v>
      </c>
      <c r="B3649" s="2" t="s">
        <v>18</v>
      </c>
      <c r="C3649" s="2">
        <v>19</v>
      </c>
    </row>
    <row r="3650" spans="1:3" x14ac:dyDescent="0.25">
      <c r="A3650" s="3">
        <v>41336</v>
      </c>
      <c r="B3650" s="2" t="s">
        <v>2</v>
      </c>
      <c r="C3650" s="2">
        <v>9</v>
      </c>
    </row>
    <row r="3651" spans="1:3" x14ac:dyDescent="0.25">
      <c r="A3651" s="3">
        <v>41530</v>
      </c>
      <c r="B3651" s="2" t="s">
        <v>23</v>
      </c>
      <c r="C3651" s="2">
        <v>23</v>
      </c>
    </row>
    <row r="3652" spans="1:3" x14ac:dyDescent="0.25">
      <c r="A3652" s="3">
        <v>41658</v>
      </c>
      <c r="B3652" s="2" t="s">
        <v>16</v>
      </c>
      <c r="C3652" s="2">
        <v>17</v>
      </c>
    </row>
    <row r="3653" spans="1:3" x14ac:dyDescent="0.25">
      <c r="A3653" s="3">
        <v>41745</v>
      </c>
      <c r="B3653" s="2" t="s">
        <v>12</v>
      </c>
      <c r="C3653" s="2">
        <v>29</v>
      </c>
    </row>
    <row r="3654" spans="1:3" x14ac:dyDescent="0.25">
      <c r="A3654" s="3">
        <v>41565</v>
      </c>
      <c r="B3654" s="2" t="s">
        <v>29</v>
      </c>
      <c r="C3654" s="2">
        <v>33</v>
      </c>
    </row>
    <row r="3655" spans="1:3" x14ac:dyDescent="0.25">
      <c r="A3655" s="3">
        <v>41925</v>
      </c>
      <c r="B3655" s="2" t="s">
        <v>21</v>
      </c>
      <c r="C3655" s="2">
        <v>47</v>
      </c>
    </row>
    <row r="3656" spans="1:3" x14ac:dyDescent="0.25">
      <c r="A3656" s="3">
        <v>41695</v>
      </c>
      <c r="B3656" s="2" t="s">
        <v>36</v>
      </c>
      <c r="C3656" s="2">
        <v>20</v>
      </c>
    </row>
    <row r="3657" spans="1:3" x14ac:dyDescent="0.25">
      <c r="A3657" s="3">
        <v>41761</v>
      </c>
      <c r="B3657" s="2" t="s">
        <v>35</v>
      </c>
      <c r="C3657" s="2">
        <v>21</v>
      </c>
    </row>
    <row r="3658" spans="1:3" x14ac:dyDescent="0.25">
      <c r="A3658" s="3">
        <v>41359</v>
      </c>
      <c r="B3658" s="2" t="s">
        <v>17</v>
      </c>
      <c r="C3658" s="2">
        <v>22</v>
      </c>
    </row>
    <row r="3659" spans="1:3" x14ac:dyDescent="0.25">
      <c r="A3659" s="3">
        <v>41994</v>
      </c>
      <c r="B3659" s="2" t="s">
        <v>49</v>
      </c>
      <c r="C3659" s="2">
        <v>42</v>
      </c>
    </row>
    <row r="3660" spans="1:3" x14ac:dyDescent="0.25">
      <c r="A3660" s="3">
        <v>41851</v>
      </c>
      <c r="B3660" s="2" t="s">
        <v>46</v>
      </c>
      <c r="C3660" s="2">
        <v>18</v>
      </c>
    </row>
    <row r="3661" spans="1:3" x14ac:dyDescent="0.25">
      <c r="A3661" s="3">
        <v>41369</v>
      </c>
      <c r="B3661" s="2" t="s">
        <v>38</v>
      </c>
      <c r="C3661" s="2">
        <v>1</v>
      </c>
    </row>
    <row r="3662" spans="1:3" x14ac:dyDescent="0.25">
      <c r="A3662" s="3">
        <v>41688</v>
      </c>
      <c r="B3662" s="2" t="s">
        <v>40</v>
      </c>
      <c r="C3662" s="2">
        <v>14</v>
      </c>
    </row>
    <row r="3663" spans="1:3" x14ac:dyDescent="0.25">
      <c r="A3663" s="3">
        <v>41427</v>
      </c>
      <c r="B3663" s="2" t="s">
        <v>4</v>
      </c>
      <c r="C3663" s="2">
        <v>33</v>
      </c>
    </row>
    <row r="3664" spans="1:3" x14ac:dyDescent="0.25">
      <c r="A3664" s="3">
        <v>41742</v>
      </c>
      <c r="B3664" s="2" t="s">
        <v>26</v>
      </c>
      <c r="C3664" s="2">
        <v>30</v>
      </c>
    </row>
    <row r="3665" spans="1:3" x14ac:dyDescent="0.25">
      <c r="A3665" s="3">
        <v>41977</v>
      </c>
      <c r="B3665" s="2" t="s">
        <v>20</v>
      </c>
      <c r="C3665" s="2">
        <v>15</v>
      </c>
    </row>
    <row r="3666" spans="1:3" x14ac:dyDescent="0.25">
      <c r="A3666" s="3">
        <v>41713</v>
      </c>
      <c r="B3666" s="2" t="s">
        <v>39</v>
      </c>
      <c r="C3666" s="2">
        <v>0</v>
      </c>
    </row>
    <row r="3667" spans="1:3" x14ac:dyDescent="0.25">
      <c r="A3667" s="3">
        <v>41631</v>
      </c>
      <c r="B3667" s="2" t="s">
        <v>11</v>
      </c>
      <c r="C3667" s="2">
        <v>9</v>
      </c>
    </row>
    <row r="3668" spans="1:3" x14ac:dyDescent="0.25">
      <c r="A3668" s="3">
        <v>41768</v>
      </c>
      <c r="B3668" s="2" t="s">
        <v>43</v>
      </c>
      <c r="C3668" s="2">
        <v>35</v>
      </c>
    </row>
    <row r="3669" spans="1:3" x14ac:dyDescent="0.25">
      <c r="A3669" s="3">
        <v>41582</v>
      </c>
      <c r="B3669" s="2" t="s">
        <v>48</v>
      </c>
      <c r="C3669" s="2">
        <v>27</v>
      </c>
    </row>
    <row r="3670" spans="1:3" x14ac:dyDescent="0.25">
      <c r="A3670" s="3">
        <v>41326</v>
      </c>
      <c r="B3670" s="2" t="s">
        <v>48</v>
      </c>
      <c r="C3670" s="2">
        <v>22</v>
      </c>
    </row>
    <row r="3671" spans="1:3" x14ac:dyDescent="0.25">
      <c r="A3671" s="3">
        <v>41303</v>
      </c>
      <c r="B3671" s="2" t="s">
        <v>18</v>
      </c>
      <c r="C3671" s="2">
        <v>31</v>
      </c>
    </row>
    <row r="3672" spans="1:3" x14ac:dyDescent="0.25">
      <c r="A3672" s="3">
        <v>41917</v>
      </c>
      <c r="B3672" s="2" t="s">
        <v>45</v>
      </c>
      <c r="C3672" s="2">
        <v>39</v>
      </c>
    </row>
    <row r="3673" spans="1:3" x14ac:dyDescent="0.25">
      <c r="A3673" s="3">
        <v>41968</v>
      </c>
      <c r="B3673" s="2" t="s">
        <v>34</v>
      </c>
      <c r="C3673" s="2">
        <v>52</v>
      </c>
    </row>
    <row r="3674" spans="1:3" x14ac:dyDescent="0.25">
      <c r="A3674" s="3">
        <v>41762</v>
      </c>
      <c r="B3674" s="2" t="s">
        <v>4</v>
      </c>
      <c r="C3674" s="2">
        <v>29</v>
      </c>
    </row>
    <row r="3675" spans="1:3" x14ac:dyDescent="0.25">
      <c r="A3675" s="3">
        <v>41412</v>
      </c>
      <c r="B3675" s="2" t="s">
        <v>23</v>
      </c>
      <c r="C3675" s="2">
        <v>47</v>
      </c>
    </row>
    <row r="3676" spans="1:3" x14ac:dyDescent="0.25">
      <c r="A3676" s="3">
        <v>41865</v>
      </c>
      <c r="B3676" s="2" t="s">
        <v>44</v>
      </c>
      <c r="C3676" s="2">
        <v>9</v>
      </c>
    </row>
    <row r="3677" spans="1:3" x14ac:dyDescent="0.25">
      <c r="A3677" s="3">
        <v>41799</v>
      </c>
      <c r="B3677" s="2" t="s">
        <v>6</v>
      </c>
      <c r="C3677" s="2">
        <v>13</v>
      </c>
    </row>
    <row r="3678" spans="1:3" x14ac:dyDescent="0.25">
      <c r="A3678" s="3">
        <v>41787</v>
      </c>
      <c r="B3678" s="2" t="s">
        <v>38</v>
      </c>
      <c r="C3678" s="2">
        <v>2</v>
      </c>
    </row>
    <row r="3679" spans="1:3" x14ac:dyDescent="0.25">
      <c r="A3679" s="3">
        <v>41362</v>
      </c>
      <c r="B3679" s="2" t="s">
        <v>42</v>
      </c>
      <c r="C3679" s="2">
        <v>14</v>
      </c>
    </row>
    <row r="3680" spans="1:3" x14ac:dyDescent="0.25">
      <c r="A3680" s="3">
        <v>41551</v>
      </c>
      <c r="B3680" s="2" t="s">
        <v>20</v>
      </c>
      <c r="C3680" s="2">
        <v>23</v>
      </c>
    </row>
    <row r="3681" spans="1:3" x14ac:dyDescent="0.25">
      <c r="A3681" s="3">
        <v>41864</v>
      </c>
      <c r="B3681" s="2" t="s">
        <v>38</v>
      </c>
      <c r="C3681" s="2">
        <v>20</v>
      </c>
    </row>
    <row r="3682" spans="1:3" x14ac:dyDescent="0.25">
      <c r="A3682" s="3">
        <v>41990</v>
      </c>
      <c r="B3682" s="2" t="s">
        <v>18</v>
      </c>
      <c r="C3682" s="2">
        <v>30</v>
      </c>
    </row>
    <row r="3683" spans="1:3" x14ac:dyDescent="0.25">
      <c r="A3683" s="3">
        <v>41956</v>
      </c>
      <c r="B3683" s="2" t="s">
        <v>4</v>
      </c>
      <c r="C3683" s="2">
        <v>12</v>
      </c>
    </row>
    <row r="3684" spans="1:3" x14ac:dyDescent="0.25">
      <c r="A3684" s="3">
        <v>41285</v>
      </c>
      <c r="B3684" s="2" t="s">
        <v>35</v>
      </c>
      <c r="C3684" s="2">
        <v>16</v>
      </c>
    </row>
    <row r="3685" spans="1:3" x14ac:dyDescent="0.25">
      <c r="A3685" s="3">
        <v>41835</v>
      </c>
      <c r="B3685" s="2" t="s">
        <v>7</v>
      </c>
      <c r="C3685" s="2">
        <v>30</v>
      </c>
    </row>
    <row r="3686" spans="1:3" x14ac:dyDescent="0.25">
      <c r="A3686" s="3">
        <v>41511</v>
      </c>
      <c r="B3686" s="2" t="s">
        <v>47</v>
      </c>
      <c r="C3686" s="2">
        <v>20</v>
      </c>
    </row>
    <row r="3687" spans="1:3" x14ac:dyDescent="0.25">
      <c r="A3687" s="3">
        <v>41952</v>
      </c>
      <c r="B3687" s="2" t="s">
        <v>48</v>
      </c>
      <c r="C3687" s="2">
        <v>32</v>
      </c>
    </row>
    <row r="3688" spans="1:3" x14ac:dyDescent="0.25">
      <c r="A3688" s="3">
        <v>41536</v>
      </c>
      <c r="B3688" s="2" t="s">
        <v>44</v>
      </c>
      <c r="C3688" s="2">
        <v>0</v>
      </c>
    </row>
    <row r="3689" spans="1:3" x14ac:dyDescent="0.25">
      <c r="A3689" s="3">
        <v>41578</v>
      </c>
      <c r="B3689" s="2" t="s">
        <v>40</v>
      </c>
      <c r="C3689" s="2">
        <v>23</v>
      </c>
    </row>
    <row r="3690" spans="1:3" x14ac:dyDescent="0.25">
      <c r="A3690" s="3">
        <v>41482</v>
      </c>
      <c r="B3690" s="2" t="s">
        <v>46</v>
      </c>
      <c r="C3690" s="2">
        <v>39</v>
      </c>
    </row>
    <row r="3691" spans="1:3" x14ac:dyDescent="0.25">
      <c r="A3691" s="3">
        <v>41345</v>
      </c>
      <c r="B3691" s="2" t="s">
        <v>28</v>
      </c>
      <c r="C3691" s="2">
        <v>19</v>
      </c>
    </row>
    <row r="3692" spans="1:3" x14ac:dyDescent="0.25">
      <c r="A3692" s="3">
        <v>41311</v>
      </c>
      <c r="B3692" s="2" t="s">
        <v>9</v>
      </c>
      <c r="C3692" s="2">
        <v>6</v>
      </c>
    </row>
    <row r="3693" spans="1:3" x14ac:dyDescent="0.25">
      <c r="A3693" s="3">
        <v>41539</v>
      </c>
      <c r="B3693" s="2" t="s">
        <v>39</v>
      </c>
      <c r="C3693" s="2">
        <v>1</v>
      </c>
    </row>
    <row r="3694" spans="1:3" x14ac:dyDescent="0.25">
      <c r="A3694" s="3">
        <v>41703</v>
      </c>
      <c r="B3694" s="2" t="s">
        <v>7</v>
      </c>
      <c r="C3694" s="2">
        <v>21</v>
      </c>
    </row>
    <row r="3695" spans="1:3" x14ac:dyDescent="0.25">
      <c r="A3695" s="3">
        <v>41695</v>
      </c>
      <c r="B3695" s="2" t="s">
        <v>35</v>
      </c>
      <c r="C3695" s="2">
        <v>18</v>
      </c>
    </row>
    <row r="3696" spans="1:3" x14ac:dyDescent="0.25">
      <c r="A3696" s="3">
        <v>41304</v>
      </c>
      <c r="B3696" s="2" t="s">
        <v>3</v>
      </c>
      <c r="C3696" s="2">
        <v>23</v>
      </c>
    </row>
    <row r="3697" spans="1:3" x14ac:dyDescent="0.25">
      <c r="A3697" s="3">
        <v>41733</v>
      </c>
      <c r="B3697" s="2" t="s">
        <v>29</v>
      </c>
      <c r="C3697" s="2">
        <v>21</v>
      </c>
    </row>
    <row r="3698" spans="1:3" x14ac:dyDescent="0.25">
      <c r="A3698" s="3">
        <v>41488</v>
      </c>
      <c r="B3698" s="2" t="s">
        <v>42</v>
      </c>
      <c r="C3698" s="2">
        <v>24</v>
      </c>
    </row>
    <row r="3699" spans="1:3" x14ac:dyDescent="0.25">
      <c r="A3699" s="3">
        <v>41693</v>
      </c>
      <c r="B3699" s="2" t="s">
        <v>25</v>
      </c>
      <c r="C3699" s="2">
        <v>80</v>
      </c>
    </row>
    <row r="3700" spans="1:3" x14ac:dyDescent="0.25">
      <c r="A3700" s="3">
        <v>41327</v>
      </c>
      <c r="B3700" s="2" t="s">
        <v>28</v>
      </c>
      <c r="C3700" s="2">
        <v>11</v>
      </c>
    </row>
    <row r="3701" spans="1:3" x14ac:dyDescent="0.25">
      <c r="A3701" s="3">
        <v>41992</v>
      </c>
      <c r="B3701" s="2" t="s">
        <v>40</v>
      </c>
      <c r="C3701" s="2">
        <v>27</v>
      </c>
    </row>
    <row r="3702" spans="1:3" x14ac:dyDescent="0.25">
      <c r="A3702" s="3">
        <v>41289</v>
      </c>
      <c r="B3702" s="2" t="s">
        <v>16</v>
      </c>
      <c r="C3702" s="2">
        <v>16</v>
      </c>
    </row>
    <row r="3703" spans="1:3" x14ac:dyDescent="0.25">
      <c r="A3703" s="3">
        <v>41496</v>
      </c>
      <c r="B3703" s="2" t="s">
        <v>14</v>
      </c>
      <c r="C3703" s="2">
        <v>23</v>
      </c>
    </row>
    <row r="3704" spans="1:3" x14ac:dyDescent="0.25">
      <c r="A3704" s="3">
        <v>41644</v>
      </c>
      <c r="B3704" s="2" t="s">
        <v>17</v>
      </c>
      <c r="C3704" s="2">
        <v>56</v>
      </c>
    </row>
    <row r="3705" spans="1:3" x14ac:dyDescent="0.25">
      <c r="A3705" s="3">
        <v>41509</v>
      </c>
      <c r="B3705" s="2" t="s">
        <v>32</v>
      </c>
      <c r="C3705" s="2">
        <v>22</v>
      </c>
    </row>
    <row r="3706" spans="1:3" x14ac:dyDescent="0.25">
      <c r="A3706" s="3">
        <v>41290</v>
      </c>
      <c r="B3706" s="2" t="s">
        <v>7</v>
      </c>
      <c r="C3706" s="2">
        <v>22</v>
      </c>
    </row>
    <row r="3707" spans="1:3" x14ac:dyDescent="0.25">
      <c r="A3707" s="3">
        <v>41952</v>
      </c>
      <c r="B3707" s="2" t="s">
        <v>43</v>
      </c>
      <c r="C3707" s="2">
        <v>37</v>
      </c>
    </row>
    <row r="3708" spans="1:3" x14ac:dyDescent="0.25">
      <c r="A3708" s="3">
        <v>41320</v>
      </c>
      <c r="B3708" s="2" t="s">
        <v>19</v>
      </c>
      <c r="C3708" s="2">
        <v>22</v>
      </c>
    </row>
    <row r="3709" spans="1:3" x14ac:dyDescent="0.25">
      <c r="A3709" s="3">
        <v>41679</v>
      </c>
      <c r="B3709" s="2" t="s">
        <v>2</v>
      </c>
      <c r="C3709" s="2">
        <v>21</v>
      </c>
    </row>
    <row r="3710" spans="1:3" x14ac:dyDescent="0.25">
      <c r="A3710" s="3">
        <v>41462</v>
      </c>
      <c r="B3710" s="2" t="s">
        <v>15</v>
      </c>
      <c r="C3710" s="2">
        <v>49</v>
      </c>
    </row>
    <row r="3711" spans="1:3" x14ac:dyDescent="0.25">
      <c r="A3711" s="3">
        <v>41479</v>
      </c>
      <c r="B3711" s="2" t="s">
        <v>23</v>
      </c>
      <c r="C3711" s="2">
        <v>37</v>
      </c>
    </row>
    <row r="3712" spans="1:3" x14ac:dyDescent="0.25">
      <c r="A3712" s="3">
        <v>41607</v>
      </c>
      <c r="B3712" s="2" t="s">
        <v>39</v>
      </c>
      <c r="C3712" s="2">
        <v>21</v>
      </c>
    </row>
    <row r="3713" spans="1:3" x14ac:dyDescent="0.25">
      <c r="A3713" s="3">
        <v>41795</v>
      </c>
      <c r="B3713" s="2" t="s">
        <v>18</v>
      </c>
      <c r="C3713" s="2">
        <v>14</v>
      </c>
    </row>
    <row r="3714" spans="1:3" x14ac:dyDescent="0.25">
      <c r="A3714" s="3">
        <v>41600</v>
      </c>
      <c r="B3714" s="2" t="s">
        <v>46</v>
      </c>
      <c r="C3714" s="2">
        <v>17</v>
      </c>
    </row>
    <row r="3715" spans="1:3" x14ac:dyDescent="0.25">
      <c r="A3715" s="3">
        <v>41287</v>
      </c>
      <c r="B3715" s="2" t="s">
        <v>25</v>
      </c>
      <c r="C3715" s="2">
        <v>35</v>
      </c>
    </row>
    <row r="3716" spans="1:3" x14ac:dyDescent="0.25">
      <c r="A3716" s="3">
        <v>41560</v>
      </c>
      <c r="B3716" s="2" t="s">
        <v>13</v>
      </c>
      <c r="C3716" s="2">
        <v>31</v>
      </c>
    </row>
    <row r="3717" spans="1:3" x14ac:dyDescent="0.25">
      <c r="A3717" s="3">
        <v>41912</v>
      </c>
      <c r="B3717" s="2" t="s">
        <v>51</v>
      </c>
      <c r="C3717" s="2">
        <v>15</v>
      </c>
    </row>
    <row r="3718" spans="1:3" x14ac:dyDescent="0.25">
      <c r="A3718" s="3">
        <v>41886</v>
      </c>
      <c r="B3718" s="2" t="s">
        <v>22</v>
      </c>
      <c r="C3718" s="2">
        <v>39</v>
      </c>
    </row>
    <row r="3719" spans="1:3" x14ac:dyDescent="0.25">
      <c r="A3719" s="3">
        <v>41936</v>
      </c>
      <c r="B3719" s="2" t="s">
        <v>18</v>
      </c>
      <c r="C3719" s="2">
        <v>46</v>
      </c>
    </row>
    <row r="3720" spans="1:3" x14ac:dyDescent="0.25">
      <c r="A3720" s="3">
        <v>41670</v>
      </c>
      <c r="B3720" s="2" t="s">
        <v>10</v>
      </c>
      <c r="C3720" s="2">
        <v>39</v>
      </c>
    </row>
    <row r="3721" spans="1:3" x14ac:dyDescent="0.25">
      <c r="A3721" s="3">
        <v>41416</v>
      </c>
      <c r="B3721" s="2" t="s">
        <v>36</v>
      </c>
      <c r="C3721" s="2">
        <v>15</v>
      </c>
    </row>
    <row r="3722" spans="1:3" x14ac:dyDescent="0.25">
      <c r="A3722" s="3">
        <v>41304</v>
      </c>
      <c r="B3722" s="2" t="s">
        <v>20</v>
      </c>
      <c r="C3722" s="2">
        <v>41</v>
      </c>
    </row>
    <row r="3723" spans="1:3" x14ac:dyDescent="0.25">
      <c r="A3723" s="3">
        <v>41586</v>
      </c>
      <c r="B3723" s="2" t="s">
        <v>37</v>
      </c>
      <c r="C3723" s="2">
        <v>11</v>
      </c>
    </row>
    <row r="3724" spans="1:3" x14ac:dyDescent="0.25">
      <c r="A3724" s="3">
        <v>41916</v>
      </c>
      <c r="B3724" s="2" t="s">
        <v>44</v>
      </c>
      <c r="C3724" s="2">
        <v>4</v>
      </c>
    </row>
    <row r="3725" spans="1:3" x14ac:dyDescent="0.25">
      <c r="A3725" s="3">
        <v>41572</v>
      </c>
      <c r="B3725" s="2" t="s">
        <v>41</v>
      </c>
      <c r="C3725" s="2">
        <v>15</v>
      </c>
    </row>
    <row r="3726" spans="1:3" x14ac:dyDescent="0.25">
      <c r="A3726" s="3">
        <v>41796</v>
      </c>
      <c r="B3726" s="2" t="s">
        <v>45</v>
      </c>
      <c r="C3726" s="2">
        <v>6</v>
      </c>
    </row>
    <row r="3727" spans="1:3" x14ac:dyDescent="0.25">
      <c r="A3727" s="3">
        <v>41852</v>
      </c>
      <c r="B3727" s="2" t="s">
        <v>23</v>
      </c>
      <c r="C3727" s="2">
        <v>26</v>
      </c>
    </row>
    <row r="3728" spans="1:3" x14ac:dyDescent="0.25">
      <c r="A3728" s="3">
        <v>41850</v>
      </c>
      <c r="B3728" s="2" t="s">
        <v>40</v>
      </c>
      <c r="C3728" s="2">
        <v>16</v>
      </c>
    </row>
    <row r="3729" spans="1:3" x14ac:dyDescent="0.25">
      <c r="A3729" s="3">
        <v>41588</v>
      </c>
      <c r="B3729" s="2" t="s">
        <v>24</v>
      </c>
      <c r="C3729" s="2">
        <v>23</v>
      </c>
    </row>
    <row r="3730" spans="1:3" x14ac:dyDescent="0.25">
      <c r="A3730" s="3">
        <v>41376</v>
      </c>
      <c r="B3730" s="2" t="s">
        <v>40</v>
      </c>
      <c r="C3730" s="2">
        <v>46</v>
      </c>
    </row>
    <row r="3731" spans="1:3" x14ac:dyDescent="0.25">
      <c r="A3731" s="3">
        <v>41680</v>
      </c>
      <c r="B3731" s="2" t="s">
        <v>4</v>
      </c>
      <c r="C3731" s="2">
        <v>26</v>
      </c>
    </row>
    <row r="3732" spans="1:3" x14ac:dyDescent="0.25">
      <c r="A3732" s="3">
        <v>41317</v>
      </c>
      <c r="B3732" s="2" t="s">
        <v>16</v>
      </c>
      <c r="C3732" s="2">
        <v>37</v>
      </c>
    </row>
    <row r="3733" spans="1:3" x14ac:dyDescent="0.25">
      <c r="A3733" s="3">
        <v>41699</v>
      </c>
      <c r="B3733" s="2" t="s">
        <v>5</v>
      </c>
      <c r="C3733" s="2">
        <v>30</v>
      </c>
    </row>
    <row r="3734" spans="1:3" x14ac:dyDescent="0.25">
      <c r="A3734" s="3">
        <v>41518</v>
      </c>
      <c r="B3734" s="2" t="s">
        <v>26</v>
      </c>
      <c r="C3734" s="2">
        <v>50</v>
      </c>
    </row>
    <row r="3735" spans="1:3" x14ac:dyDescent="0.25">
      <c r="A3735" s="3">
        <v>41503</v>
      </c>
      <c r="B3735" s="2" t="s">
        <v>40</v>
      </c>
      <c r="C3735" s="2">
        <v>8</v>
      </c>
    </row>
    <row r="3736" spans="1:3" x14ac:dyDescent="0.25">
      <c r="A3736" s="3">
        <v>41921</v>
      </c>
      <c r="B3736" s="2" t="s">
        <v>26</v>
      </c>
      <c r="C3736" s="2">
        <v>35</v>
      </c>
    </row>
    <row r="3737" spans="1:3" x14ac:dyDescent="0.25">
      <c r="A3737" s="3">
        <v>41674</v>
      </c>
      <c r="B3737" s="2" t="s">
        <v>9</v>
      </c>
      <c r="C3737" s="2">
        <v>41</v>
      </c>
    </row>
    <row r="3738" spans="1:3" x14ac:dyDescent="0.25">
      <c r="A3738" s="3">
        <v>41371</v>
      </c>
      <c r="B3738" s="2" t="s">
        <v>36</v>
      </c>
      <c r="C3738" s="2">
        <v>22</v>
      </c>
    </row>
    <row r="3739" spans="1:3" x14ac:dyDescent="0.25">
      <c r="A3739" s="3">
        <v>41675</v>
      </c>
      <c r="B3739" s="2" t="s">
        <v>41</v>
      </c>
      <c r="C3739" s="2">
        <v>18</v>
      </c>
    </row>
    <row r="3740" spans="1:3" x14ac:dyDescent="0.25">
      <c r="A3740" s="3">
        <v>41505</v>
      </c>
      <c r="B3740" s="2" t="s">
        <v>22</v>
      </c>
      <c r="C3740" s="2">
        <v>50</v>
      </c>
    </row>
    <row r="3741" spans="1:3" x14ac:dyDescent="0.25">
      <c r="A3741" s="3">
        <v>41455</v>
      </c>
      <c r="B3741" s="2" t="s">
        <v>9</v>
      </c>
      <c r="C3741" s="2">
        <v>44</v>
      </c>
    </row>
    <row r="3742" spans="1:3" x14ac:dyDescent="0.25">
      <c r="A3742" s="3">
        <v>41330</v>
      </c>
      <c r="B3742" s="2" t="s">
        <v>44</v>
      </c>
      <c r="C3742" s="2">
        <v>22</v>
      </c>
    </row>
    <row r="3743" spans="1:3" x14ac:dyDescent="0.25">
      <c r="A3743" s="3">
        <v>41656</v>
      </c>
      <c r="B3743" s="2" t="s">
        <v>41</v>
      </c>
      <c r="C3743" s="2">
        <v>29</v>
      </c>
    </row>
    <row r="3744" spans="1:3" x14ac:dyDescent="0.25">
      <c r="A3744" s="3">
        <v>41696</v>
      </c>
      <c r="B3744" s="2" t="s">
        <v>34</v>
      </c>
      <c r="C3744" s="2">
        <v>23</v>
      </c>
    </row>
    <row r="3745" spans="1:3" x14ac:dyDescent="0.25">
      <c r="A3745" s="3">
        <v>41701</v>
      </c>
      <c r="B3745" s="2" t="s">
        <v>5</v>
      </c>
      <c r="C3745" s="2">
        <v>0</v>
      </c>
    </row>
    <row r="3746" spans="1:3" x14ac:dyDescent="0.25">
      <c r="A3746" s="3">
        <v>41420</v>
      </c>
      <c r="B3746" s="2" t="s">
        <v>25</v>
      </c>
      <c r="C3746" s="2">
        <v>29</v>
      </c>
    </row>
    <row r="3747" spans="1:3" x14ac:dyDescent="0.25">
      <c r="A3747" s="3">
        <v>41623</v>
      </c>
      <c r="B3747" s="2" t="s">
        <v>14</v>
      </c>
      <c r="C3747" s="2">
        <v>7</v>
      </c>
    </row>
    <row r="3748" spans="1:3" x14ac:dyDescent="0.25">
      <c r="A3748" s="3">
        <v>41511</v>
      </c>
      <c r="B3748" s="2" t="s">
        <v>28</v>
      </c>
      <c r="C3748" s="2">
        <v>28</v>
      </c>
    </row>
    <row r="3749" spans="1:3" x14ac:dyDescent="0.25">
      <c r="A3749" s="3">
        <v>41493</v>
      </c>
      <c r="B3749" s="2" t="s">
        <v>17</v>
      </c>
      <c r="C3749" s="2">
        <v>33</v>
      </c>
    </row>
    <row r="3750" spans="1:3" x14ac:dyDescent="0.25">
      <c r="A3750" s="3">
        <v>41409</v>
      </c>
      <c r="B3750" s="2" t="s">
        <v>39</v>
      </c>
      <c r="C3750" s="2">
        <v>20</v>
      </c>
    </row>
    <row r="3751" spans="1:3" x14ac:dyDescent="0.25">
      <c r="A3751" s="3">
        <v>41974</v>
      </c>
      <c r="B3751" s="2" t="s">
        <v>21</v>
      </c>
      <c r="C3751" s="2">
        <v>30</v>
      </c>
    </row>
    <row r="3752" spans="1:3" x14ac:dyDescent="0.25">
      <c r="A3752" s="3">
        <v>41965</v>
      </c>
      <c r="B3752" s="2" t="s">
        <v>21</v>
      </c>
      <c r="C3752" s="2">
        <v>22</v>
      </c>
    </row>
    <row r="3753" spans="1:3" x14ac:dyDescent="0.25">
      <c r="A3753" s="3">
        <v>41683</v>
      </c>
      <c r="B3753" s="2" t="s">
        <v>9</v>
      </c>
      <c r="C3753" s="2">
        <v>16</v>
      </c>
    </row>
    <row r="3754" spans="1:3" x14ac:dyDescent="0.25">
      <c r="A3754" s="3">
        <v>41860</v>
      </c>
      <c r="B3754" s="2" t="s">
        <v>50</v>
      </c>
      <c r="C3754" s="2">
        <v>43</v>
      </c>
    </row>
    <row r="3755" spans="1:3" x14ac:dyDescent="0.25">
      <c r="A3755" s="3">
        <v>41486</v>
      </c>
      <c r="B3755" s="2" t="s">
        <v>8</v>
      </c>
      <c r="C3755" s="2">
        <v>6</v>
      </c>
    </row>
    <row r="3756" spans="1:3" x14ac:dyDescent="0.25">
      <c r="A3756" s="3">
        <v>41823</v>
      </c>
      <c r="B3756" s="2" t="s">
        <v>20</v>
      </c>
      <c r="C3756" s="2">
        <v>27</v>
      </c>
    </row>
    <row r="3757" spans="1:3" x14ac:dyDescent="0.25">
      <c r="A3757" s="3">
        <v>41456</v>
      </c>
      <c r="B3757" s="2" t="s">
        <v>27</v>
      </c>
      <c r="C3757" s="2">
        <v>23</v>
      </c>
    </row>
    <row r="3758" spans="1:3" x14ac:dyDescent="0.25">
      <c r="A3758" s="3">
        <v>41407</v>
      </c>
      <c r="B3758" s="2" t="s">
        <v>17</v>
      </c>
      <c r="C3758" s="2">
        <v>37</v>
      </c>
    </row>
    <row r="3759" spans="1:3" x14ac:dyDescent="0.25">
      <c r="A3759" s="3">
        <v>41595</v>
      </c>
      <c r="B3759" s="2" t="s">
        <v>33</v>
      </c>
      <c r="C3759" s="2">
        <v>22</v>
      </c>
    </row>
    <row r="3760" spans="1:3" x14ac:dyDescent="0.25">
      <c r="A3760" s="3">
        <v>41970</v>
      </c>
      <c r="B3760" s="2" t="s">
        <v>23</v>
      </c>
      <c r="C3760" s="2">
        <v>12</v>
      </c>
    </row>
    <row r="3761" spans="1:3" x14ac:dyDescent="0.25">
      <c r="A3761" s="3">
        <v>41342</v>
      </c>
      <c r="B3761" s="2" t="s">
        <v>4</v>
      </c>
      <c r="C3761" s="2">
        <v>21</v>
      </c>
    </row>
    <row r="3762" spans="1:3" x14ac:dyDescent="0.25">
      <c r="A3762" s="3">
        <v>41604</v>
      </c>
      <c r="B3762" s="2" t="s">
        <v>17</v>
      </c>
      <c r="C3762" s="2">
        <v>33</v>
      </c>
    </row>
    <row r="3763" spans="1:3" x14ac:dyDescent="0.25">
      <c r="A3763" s="3">
        <v>41557</v>
      </c>
      <c r="B3763" s="2" t="s">
        <v>48</v>
      </c>
      <c r="C3763" s="2">
        <v>8</v>
      </c>
    </row>
    <row r="3764" spans="1:3" x14ac:dyDescent="0.25">
      <c r="A3764" s="3">
        <v>41318</v>
      </c>
      <c r="B3764" s="2" t="s">
        <v>38</v>
      </c>
      <c r="C3764" s="2">
        <v>55</v>
      </c>
    </row>
    <row r="3765" spans="1:3" x14ac:dyDescent="0.25">
      <c r="A3765" s="3">
        <v>41976</v>
      </c>
      <c r="B3765" s="2" t="s">
        <v>33</v>
      </c>
      <c r="C3765" s="2">
        <v>22</v>
      </c>
    </row>
    <row r="3766" spans="1:3" x14ac:dyDescent="0.25">
      <c r="A3766" s="3">
        <v>41797</v>
      </c>
      <c r="B3766" s="2" t="s">
        <v>37</v>
      </c>
      <c r="C3766" s="2">
        <v>25</v>
      </c>
    </row>
    <row r="3767" spans="1:3" x14ac:dyDescent="0.25">
      <c r="A3767" s="3">
        <v>41489</v>
      </c>
      <c r="B3767" s="2" t="s">
        <v>6</v>
      </c>
      <c r="C3767" s="2">
        <v>20</v>
      </c>
    </row>
    <row r="3768" spans="1:3" x14ac:dyDescent="0.25">
      <c r="A3768" s="3">
        <v>41975</v>
      </c>
      <c r="B3768" s="2" t="s">
        <v>8</v>
      </c>
      <c r="C3768" s="2">
        <v>21</v>
      </c>
    </row>
    <row r="3769" spans="1:3" x14ac:dyDescent="0.25">
      <c r="A3769" s="3">
        <v>41380</v>
      </c>
      <c r="B3769" s="2" t="s">
        <v>6</v>
      </c>
      <c r="C3769" s="2">
        <v>6</v>
      </c>
    </row>
    <row r="3770" spans="1:3" x14ac:dyDescent="0.25">
      <c r="A3770" s="3">
        <v>41770</v>
      </c>
      <c r="B3770" s="2" t="s">
        <v>17</v>
      </c>
      <c r="C3770" s="2">
        <v>40</v>
      </c>
    </row>
    <row r="3771" spans="1:3" x14ac:dyDescent="0.25">
      <c r="A3771" s="3">
        <v>41410</v>
      </c>
      <c r="B3771" s="2" t="s">
        <v>13</v>
      </c>
      <c r="C3771" s="2">
        <v>23</v>
      </c>
    </row>
    <row r="3772" spans="1:3" x14ac:dyDescent="0.25">
      <c r="A3772" s="3">
        <v>41877</v>
      </c>
      <c r="B3772" s="2" t="s">
        <v>4</v>
      </c>
      <c r="C3772" s="2">
        <v>14</v>
      </c>
    </row>
    <row r="3773" spans="1:3" x14ac:dyDescent="0.25">
      <c r="A3773" s="3">
        <v>41506</v>
      </c>
      <c r="B3773" s="2" t="s">
        <v>18</v>
      </c>
      <c r="C3773" s="2">
        <v>35</v>
      </c>
    </row>
    <row r="3774" spans="1:3" x14ac:dyDescent="0.25">
      <c r="A3774" s="3">
        <v>41495</v>
      </c>
      <c r="B3774" s="2" t="s">
        <v>46</v>
      </c>
      <c r="C3774" s="2">
        <v>43</v>
      </c>
    </row>
    <row r="3775" spans="1:3" x14ac:dyDescent="0.25">
      <c r="A3775" s="3">
        <v>41473</v>
      </c>
      <c r="B3775" s="2" t="s">
        <v>31</v>
      </c>
      <c r="C3775" s="2">
        <v>47</v>
      </c>
    </row>
    <row r="3776" spans="1:3" x14ac:dyDescent="0.25">
      <c r="A3776" s="3">
        <v>41725</v>
      </c>
      <c r="B3776" s="2" t="s">
        <v>51</v>
      </c>
      <c r="C3776" s="2">
        <v>25</v>
      </c>
    </row>
    <row r="3777" spans="1:3" x14ac:dyDescent="0.25">
      <c r="A3777" s="3">
        <v>41581</v>
      </c>
      <c r="B3777" s="2" t="s">
        <v>38</v>
      </c>
      <c r="C3777" s="2">
        <v>42</v>
      </c>
    </row>
    <row r="3778" spans="1:3" x14ac:dyDescent="0.25">
      <c r="A3778" s="3">
        <v>41928</v>
      </c>
      <c r="B3778" s="2" t="s">
        <v>9</v>
      </c>
      <c r="C3778" s="2">
        <v>47</v>
      </c>
    </row>
    <row r="3779" spans="1:3" x14ac:dyDescent="0.25">
      <c r="A3779" s="3">
        <v>41288</v>
      </c>
      <c r="B3779" s="2" t="s">
        <v>14</v>
      </c>
      <c r="C3779" s="2">
        <v>28</v>
      </c>
    </row>
    <row r="3780" spans="1:3" x14ac:dyDescent="0.25">
      <c r="A3780" s="3">
        <v>41397</v>
      </c>
      <c r="B3780" s="2" t="s">
        <v>40</v>
      </c>
      <c r="C3780" s="2">
        <v>44</v>
      </c>
    </row>
    <row r="3781" spans="1:3" x14ac:dyDescent="0.25">
      <c r="A3781" s="3">
        <v>41573</v>
      </c>
      <c r="B3781" s="2" t="s">
        <v>14</v>
      </c>
      <c r="C3781" s="2">
        <v>34</v>
      </c>
    </row>
    <row r="3782" spans="1:3" x14ac:dyDescent="0.25">
      <c r="A3782" s="3">
        <v>41425</v>
      </c>
      <c r="B3782" s="2" t="s">
        <v>2</v>
      </c>
      <c r="C3782" s="2">
        <v>37</v>
      </c>
    </row>
    <row r="3783" spans="1:3" x14ac:dyDescent="0.25">
      <c r="A3783" s="3">
        <v>41943</v>
      </c>
      <c r="B3783" s="2" t="s">
        <v>22</v>
      </c>
      <c r="C3783" s="2">
        <v>50</v>
      </c>
    </row>
    <row r="3784" spans="1:3" x14ac:dyDescent="0.25">
      <c r="A3784" s="3">
        <v>41819</v>
      </c>
      <c r="B3784" s="2" t="s">
        <v>10</v>
      </c>
      <c r="C3784" s="2">
        <v>42</v>
      </c>
    </row>
    <row r="3785" spans="1:3" x14ac:dyDescent="0.25">
      <c r="A3785" s="3">
        <v>41653</v>
      </c>
      <c r="B3785" s="2" t="s">
        <v>9</v>
      </c>
      <c r="C3785" s="2">
        <v>47</v>
      </c>
    </row>
    <row r="3786" spans="1:3" x14ac:dyDescent="0.25">
      <c r="A3786" s="3">
        <v>41473</v>
      </c>
      <c r="B3786" s="2" t="s">
        <v>31</v>
      </c>
      <c r="C3786" s="2">
        <v>34</v>
      </c>
    </row>
    <row r="3787" spans="1:3" x14ac:dyDescent="0.25">
      <c r="A3787" s="3">
        <v>41517</v>
      </c>
      <c r="B3787" s="2" t="s">
        <v>22</v>
      </c>
      <c r="C3787" s="2">
        <v>13</v>
      </c>
    </row>
    <row r="3788" spans="1:3" x14ac:dyDescent="0.25">
      <c r="A3788" s="3">
        <v>41844</v>
      </c>
      <c r="B3788" s="2" t="s">
        <v>3</v>
      </c>
      <c r="C3788" s="2">
        <v>33</v>
      </c>
    </row>
    <row r="3789" spans="1:3" x14ac:dyDescent="0.25">
      <c r="A3789" s="3">
        <v>41412</v>
      </c>
      <c r="B3789" s="2" t="s">
        <v>3</v>
      </c>
      <c r="C3789" s="2">
        <v>21</v>
      </c>
    </row>
    <row r="3790" spans="1:3" x14ac:dyDescent="0.25">
      <c r="A3790" s="3">
        <v>41382</v>
      </c>
      <c r="B3790" s="2" t="s">
        <v>46</v>
      </c>
      <c r="C3790" s="2">
        <v>46</v>
      </c>
    </row>
    <row r="3791" spans="1:3" x14ac:dyDescent="0.25">
      <c r="A3791" s="3">
        <v>41996</v>
      </c>
      <c r="B3791" s="2" t="s">
        <v>37</v>
      </c>
      <c r="C3791" s="2">
        <v>28</v>
      </c>
    </row>
    <row r="3792" spans="1:3" x14ac:dyDescent="0.25">
      <c r="A3792" s="3">
        <v>41883</v>
      </c>
      <c r="B3792" s="2" t="s">
        <v>15</v>
      </c>
      <c r="C3792" s="2">
        <v>19</v>
      </c>
    </row>
    <row r="3793" spans="1:3" x14ac:dyDescent="0.25">
      <c r="A3793" s="3">
        <v>41909</v>
      </c>
      <c r="B3793" s="2" t="s">
        <v>38</v>
      </c>
      <c r="C3793" s="2">
        <v>19</v>
      </c>
    </row>
    <row r="3794" spans="1:3" x14ac:dyDescent="0.25">
      <c r="A3794" s="3">
        <v>41638</v>
      </c>
      <c r="B3794" s="2" t="s">
        <v>19</v>
      </c>
      <c r="C3794" s="2">
        <v>49</v>
      </c>
    </row>
    <row r="3795" spans="1:3" x14ac:dyDescent="0.25">
      <c r="A3795" s="3">
        <v>41471</v>
      </c>
      <c r="B3795" s="2" t="s">
        <v>39</v>
      </c>
      <c r="C3795" s="2">
        <v>14</v>
      </c>
    </row>
    <row r="3796" spans="1:3" x14ac:dyDescent="0.25">
      <c r="A3796" s="3">
        <v>41511</v>
      </c>
      <c r="B3796" s="2" t="s">
        <v>45</v>
      </c>
      <c r="C3796" s="2">
        <v>43</v>
      </c>
    </row>
    <row r="3797" spans="1:3" x14ac:dyDescent="0.25">
      <c r="A3797" s="3">
        <v>41424</v>
      </c>
      <c r="B3797" s="2" t="s">
        <v>10</v>
      </c>
      <c r="C3797" s="2">
        <v>24</v>
      </c>
    </row>
    <row r="3798" spans="1:3" x14ac:dyDescent="0.25">
      <c r="A3798" s="3">
        <v>41797</v>
      </c>
      <c r="B3798" s="2" t="s">
        <v>50</v>
      </c>
      <c r="C3798" s="2">
        <v>31</v>
      </c>
    </row>
    <row r="3799" spans="1:3" x14ac:dyDescent="0.25">
      <c r="A3799" s="3">
        <v>41658</v>
      </c>
      <c r="B3799" s="2" t="s">
        <v>2</v>
      </c>
      <c r="C3799" s="2">
        <v>41</v>
      </c>
    </row>
    <row r="3800" spans="1:3" x14ac:dyDescent="0.25">
      <c r="A3800" s="3">
        <v>41432</v>
      </c>
      <c r="B3800" s="2" t="s">
        <v>25</v>
      </c>
      <c r="C3800" s="2">
        <v>43</v>
      </c>
    </row>
    <row r="3801" spans="1:3" x14ac:dyDescent="0.25">
      <c r="A3801" s="3">
        <v>41362</v>
      </c>
      <c r="B3801" s="2" t="s">
        <v>17</v>
      </c>
      <c r="C3801" s="2">
        <v>19</v>
      </c>
    </row>
    <row r="3802" spans="1:3" x14ac:dyDescent="0.25">
      <c r="A3802" s="3">
        <v>41741</v>
      </c>
      <c r="B3802" s="2" t="s">
        <v>19</v>
      </c>
      <c r="C3802" s="2">
        <v>51</v>
      </c>
    </row>
    <row r="3803" spans="1:3" x14ac:dyDescent="0.25">
      <c r="A3803" s="3">
        <v>41635</v>
      </c>
      <c r="B3803" s="2" t="s">
        <v>35</v>
      </c>
      <c r="C3803" s="2">
        <v>34</v>
      </c>
    </row>
    <row r="3804" spans="1:3" x14ac:dyDescent="0.25">
      <c r="A3804" s="3">
        <v>41933</v>
      </c>
      <c r="B3804" s="2" t="s">
        <v>31</v>
      </c>
      <c r="C3804" s="2">
        <v>5</v>
      </c>
    </row>
    <row r="3805" spans="1:3" x14ac:dyDescent="0.25">
      <c r="A3805" s="3">
        <v>41542</v>
      </c>
      <c r="B3805" s="2" t="s">
        <v>6</v>
      </c>
      <c r="C3805" s="2">
        <v>19</v>
      </c>
    </row>
    <row r="3806" spans="1:3" x14ac:dyDescent="0.25">
      <c r="A3806" s="3">
        <v>41852</v>
      </c>
      <c r="B3806" s="2" t="s">
        <v>25</v>
      </c>
      <c r="C3806" s="2">
        <v>56</v>
      </c>
    </row>
    <row r="3807" spans="1:3" x14ac:dyDescent="0.25">
      <c r="A3807" s="3">
        <v>41408</v>
      </c>
      <c r="B3807" s="2" t="s">
        <v>25</v>
      </c>
      <c r="C3807" s="2">
        <v>30</v>
      </c>
    </row>
    <row r="3808" spans="1:3" x14ac:dyDescent="0.25">
      <c r="A3808" s="3">
        <v>41788</v>
      </c>
      <c r="B3808" s="2" t="s">
        <v>12</v>
      </c>
      <c r="C3808" s="2">
        <v>27</v>
      </c>
    </row>
    <row r="3809" spans="1:3" x14ac:dyDescent="0.25">
      <c r="A3809" s="3">
        <v>41948</v>
      </c>
      <c r="B3809" s="2" t="s">
        <v>42</v>
      </c>
      <c r="C3809" s="2">
        <v>10</v>
      </c>
    </row>
    <row r="3810" spans="1:3" x14ac:dyDescent="0.25">
      <c r="A3810" s="3">
        <v>41749</v>
      </c>
      <c r="B3810" s="2" t="s">
        <v>7</v>
      </c>
      <c r="C3810" s="2">
        <v>20</v>
      </c>
    </row>
    <row r="3811" spans="1:3" x14ac:dyDescent="0.25">
      <c r="A3811" s="3">
        <v>41279</v>
      </c>
      <c r="B3811" s="2" t="s">
        <v>12</v>
      </c>
      <c r="C3811" s="2">
        <v>50</v>
      </c>
    </row>
    <row r="3812" spans="1:3" x14ac:dyDescent="0.25">
      <c r="A3812" s="3">
        <v>41275</v>
      </c>
      <c r="B3812" s="2" t="s">
        <v>44</v>
      </c>
      <c r="C3812" s="2">
        <v>15</v>
      </c>
    </row>
    <row r="3813" spans="1:3" x14ac:dyDescent="0.25">
      <c r="A3813" s="3">
        <v>41641</v>
      </c>
      <c r="B3813" s="2" t="s">
        <v>30</v>
      </c>
      <c r="C3813" s="2">
        <v>40</v>
      </c>
    </row>
    <row r="3814" spans="1:3" x14ac:dyDescent="0.25">
      <c r="A3814" s="3">
        <v>41415</v>
      </c>
      <c r="B3814" s="2" t="s">
        <v>39</v>
      </c>
      <c r="C3814" s="2">
        <v>27</v>
      </c>
    </row>
    <row r="3815" spans="1:3" x14ac:dyDescent="0.25">
      <c r="A3815" s="3">
        <v>41959</v>
      </c>
      <c r="B3815" s="2" t="s">
        <v>9</v>
      </c>
      <c r="C3815" s="2">
        <v>18</v>
      </c>
    </row>
    <row r="3816" spans="1:3" x14ac:dyDescent="0.25">
      <c r="A3816" s="3">
        <v>41313</v>
      </c>
      <c r="B3816" s="2" t="s">
        <v>37</v>
      </c>
      <c r="C3816" s="2">
        <v>21</v>
      </c>
    </row>
    <row r="3817" spans="1:3" x14ac:dyDescent="0.25">
      <c r="A3817" s="3">
        <v>41741</v>
      </c>
      <c r="B3817" s="2" t="s">
        <v>51</v>
      </c>
      <c r="C3817" s="2">
        <v>37</v>
      </c>
    </row>
    <row r="3818" spans="1:3" x14ac:dyDescent="0.25">
      <c r="A3818" s="3">
        <v>41313</v>
      </c>
      <c r="B3818" s="2" t="s">
        <v>50</v>
      </c>
      <c r="C3818" s="2">
        <v>20</v>
      </c>
    </row>
    <row r="3819" spans="1:3" x14ac:dyDescent="0.25">
      <c r="A3819" s="3">
        <v>41977</v>
      </c>
      <c r="B3819" s="2" t="s">
        <v>29</v>
      </c>
      <c r="C3819" s="2">
        <v>55</v>
      </c>
    </row>
    <row r="3820" spans="1:3" x14ac:dyDescent="0.25">
      <c r="A3820" s="3">
        <v>41906</v>
      </c>
      <c r="B3820" s="2" t="s">
        <v>24</v>
      </c>
      <c r="C3820" s="2">
        <v>28</v>
      </c>
    </row>
    <row r="3821" spans="1:3" x14ac:dyDescent="0.25">
      <c r="A3821" s="3">
        <v>41815</v>
      </c>
      <c r="B3821" s="2" t="s">
        <v>37</v>
      </c>
      <c r="C3821" s="2">
        <v>13</v>
      </c>
    </row>
    <row r="3822" spans="1:3" x14ac:dyDescent="0.25">
      <c r="A3822" s="3">
        <v>41377</v>
      </c>
      <c r="B3822" s="2" t="s">
        <v>3</v>
      </c>
      <c r="C3822" s="2">
        <v>24</v>
      </c>
    </row>
    <row r="3823" spans="1:3" x14ac:dyDescent="0.25">
      <c r="A3823" s="3">
        <v>41604</v>
      </c>
      <c r="B3823" s="2" t="s">
        <v>29</v>
      </c>
      <c r="C3823" s="2">
        <v>28</v>
      </c>
    </row>
    <row r="3824" spans="1:3" x14ac:dyDescent="0.25">
      <c r="A3824" s="3">
        <v>41386</v>
      </c>
      <c r="B3824" s="2" t="s">
        <v>4</v>
      </c>
      <c r="C3824" s="2">
        <v>33</v>
      </c>
    </row>
    <row r="3825" spans="1:3" x14ac:dyDescent="0.25">
      <c r="A3825" s="3">
        <v>41974</v>
      </c>
      <c r="B3825" s="2" t="s">
        <v>23</v>
      </c>
      <c r="C3825" s="2">
        <v>29</v>
      </c>
    </row>
    <row r="3826" spans="1:3" x14ac:dyDescent="0.25">
      <c r="A3826" s="3">
        <v>41494</v>
      </c>
      <c r="B3826" s="2" t="s">
        <v>33</v>
      </c>
      <c r="C3826" s="2">
        <v>24</v>
      </c>
    </row>
    <row r="3827" spans="1:3" x14ac:dyDescent="0.25">
      <c r="A3827" s="3">
        <v>41342</v>
      </c>
      <c r="B3827" s="2" t="s">
        <v>2</v>
      </c>
      <c r="C3827" s="2">
        <v>12</v>
      </c>
    </row>
    <row r="3828" spans="1:3" x14ac:dyDescent="0.25">
      <c r="A3828" s="3">
        <v>41947</v>
      </c>
      <c r="B3828" s="2" t="s">
        <v>36</v>
      </c>
      <c r="C3828" s="2">
        <v>4</v>
      </c>
    </row>
    <row r="3829" spans="1:3" x14ac:dyDescent="0.25">
      <c r="A3829" s="3">
        <v>41630</v>
      </c>
      <c r="B3829" s="2" t="s">
        <v>20</v>
      </c>
      <c r="C3829" s="2">
        <v>14</v>
      </c>
    </row>
    <row r="3830" spans="1:3" x14ac:dyDescent="0.25">
      <c r="A3830" s="3">
        <v>41871</v>
      </c>
      <c r="B3830" s="2" t="s">
        <v>41</v>
      </c>
      <c r="C3830" s="2">
        <v>28</v>
      </c>
    </row>
    <row r="3831" spans="1:3" x14ac:dyDescent="0.25">
      <c r="A3831" s="3">
        <v>41810</v>
      </c>
      <c r="B3831" s="2" t="s">
        <v>38</v>
      </c>
      <c r="C3831" s="2">
        <v>43</v>
      </c>
    </row>
    <row r="3832" spans="1:3" x14ac:dyDescent="0.25">
      <c r="A3832" s="3">
        <v>41624</v>
      </c>
      <c r="B3832" s="2" t="s">
        <v>24</v>
      </c>
      <c r="C3832" s="2">
        <v>19</v>
      </c>
    </row>
    <row r="3833" spans="1:3" x14ac:dyDescent="0.25">
      <c r="A3833" s="3">
        <v>41326</v>
      </c>
      <c r="B3833" s="2" t="s">
        <v>17</v>
      </c>
      <c r="C3833" s="2">
        <v>29</v>
      </c>
    </row>
    <row r="3834" spans="1:3" x14ac:dyDescent="0.25">
      <c r="A3834" s="3">
        <v>41942</v>
      </c>
      <c r="B3834" s="2" t="s">
        <v>21</v>
      </c>
      <c r="C3834" s="2">
        <v>8</v>
      </c>
    </row>
    <row r="3835" spans="1:3" x14ac:dyDescent="0.25">
      <c r="A3835" s="3">
        <v>41494</v>
      </c>
      <c r="B3835" s="2" t="s">
        <v>9</v>
      </c>
      <c r="C3835" s="2">
        <v>33</v>
      </c>
    </row>
    <row r="3836" spans="1:3" x14ac:dyDescent="0.25">
      <c r="A3836" s="3">
        <v>41330</v>
      </c>
      <c r="B3836" s="2" t="s">
        <v>33</v>
      </c>
      <c r="C3836" s="2">
        <v>39</v>
      </c>
    </row>
    <row r="3837" spans="1:3" x14ac:dyDescent="0.25">
      <c r="A3837" s="3">
        <v>41979</v>
      </c>
      <c r="B3837" s="2" t="s">
        <v>5</v>
      </c>
      <c r="C3837" s="2">
        <v>38</v>
      </c>
    </row>
    <row r="3838" spans="1:3" x14ac:dyDescent="0.25">
      <c r="A3838" s="3">
        <v>41444</v>
      </c>
      <c r="B3838" s="2" t="s">
        <v>43</v>
      </c>
      <c r="C3838" s="2">
        <v>22</v>
      </c>
    </row>
    <row r="3839" spans="1:3" x14ac:dyDescent="0.25">
      <c r="A3839" s="3">
        <v>41972</v>
      </c>
      <c r="B3839" s="2" t="s">
        <v>44</v>
      </c>
      <c r="C3839" s="2">
        <v>28</v>
      </c>
    </row>
    <row r="3840" spans="1:3" x14ac:dyDescent="0.25">
      <c r="A3840" s="3">
        <v>41819</v>
      </c>
      <c r="B3840" s="2" t="s">
        <v>37</v>
      </c>
      <c r="C3840" s="2">
        <v>19</v>
      </c>
    </row>
    <row r="3841" spans="1:3" x14ac:dyDescent="0.25">
      <c r="A3841" s="3">
        <v>41730</v>
      </c>
      <c r="B3841" s="2" t="s">
        <v>30</v>
      </c>
      <c r="C3841" s="2">
        <v>2</v>
      </c>
    </row>
    <row r="3842" spans="1:3" x14ac:dyDescent="0.25">
      <c r="A3842" s="3">
        <v>41644</v>
      </c>
      <c r="B3842" s="2" t="s">
        <v>28</v>
      </c>
      <c r="C3842" s="2">
        <v>36</v>
      </c>
    </row>
    <row r="3843" spans="1:3" x14ac:dyDescent="0.25">
      <c r="A3843" s="3">
        <v>41425</v>
      </c>
      <c r="B3843" s="2" t="s">
        <v>5</v>
      </c>
      <c r="C3843" s="2">
        <v>15</v>
      </c>
    </row>
    <row r="3844" spans="1:3" x14ac:dyDescent="0.25">
      <c r="A3844" s="3">
        <v>42002</v>
      </c>
      <c r="B3844" s="2" t="s">
        <v>45</v>
      </c>
      <c r="C3844" s="2">
        <v>13</v>
      </c>
    </row>
    <row r="3845" spans="1:3" x14ac:dyDescent="0.25">
      <c r="A3845" s="3">
        <v>41804</v>
      </c>
      <c r="B3845" s="2" t="s">
        <v>40</v>
      </c>
      <c r="C3845" s="2">
        <v>29</v>
      </c>
    </row>
    <row r="3846" spans="1:3" x14ac:dyDescent="0.25">
      <c r="A3846" s="3">
        <v>41288</v>
      </c>
      <c r="B3846" s="2" t="s">
        <v>29</v>
      </c>
      <c r="C3846" s="2">
        <v>2</v>
      </c>
    </row>
    <row r="3847" spans="1:3" x14ac:dyDescent="0.25">
      <c r="A3847" s="3">
        <v>41311</v>
      </c>
      <c r="B3847" s="2" t="s">
        <v>20</v>
      </c>
      <c r="C3847" s="2">
        <v>28</v>
      </c>
    </row>
    <row r="3848" spans="1:3" x14ac:dyDescent="0.25">
      <c r="A3848" s="3">
        <v>41886</v>
      </c>
      <c r="B3848" s="2" t="s">
        <v>2</v>
      </c>
      <c r="C3848" s="2">
        <v>20</v>
      </c>
    </row>
    <row r="3849" spans="1:3" x14ac:dyDescent="0.25">
      <c r="A3849" s="3">
        <v>41642</v>
      </c>
      <c r="B3849" s="2" t="s">
        <v>40</v>
      </c>
      <c r="C3849" s="2">
        <v>4</v>
      </c>
    </row>
    <row r="3850" spans="1:3" x14ac:dyDescent="0.25">
      <c r="A3850" s="3">
        <v>41526</v>
      </c>
      <c r="B3850" s="2" t="s">
        <v>21</v>
      </c>
      <c r="C3850" s="2">
        <v>10</v>
      </c>
    </row>
    <row r="3851" spans="1:3" x14ac:dyDescent="0.25">
      <c r="A3851" s="3">
        <v>41378</v>
      </c>
      <c r="B3851" s="2" t="s">
        <v>42</v>
      </c>
      <c r="C3851" s="2">
        <v>25</v>
      </c>
    </row>
    <row r="3852" spans="1:3" x14ac:dyDescent="0.25">
      <c r="A3852" s="3">
        <v>41982</v>
      </c>
      <c r="B3852" s="2" t="s">
        <v>50</v>
      </c>
      <c r="C3852" s="2">
        <v>12</v>
      </c>
    </row>
    <row r="3853" spans="1:3" x14ac:dyDescent="0.25">
      <c r="A3853" s="3">
        <v>41929</v>
      </c>
      <c r="B3853" s="2" t="s">
        <v>38</v>
      </c>
      <c r="C3853" s="2">
        <v>8</v>
      </c>
    </row>
    <row r="3854" spans="1:3" x14ac:dyDescent="0.25">
      <c r="A3854" s="3">
        <v>41756</v>
      </c>
      <c r="B3854" s="2" t="s">
        <v>48</v>
      </c>
      <c r="C3854" s="2">
        <v>41</v>
      </c>
    </row>
    <row r="3855" spans="1:3" x14ac:dyDescent="0.25">
      <c r="A3855" s="3">
        <v>41787</v>
      </c>
      <c r="B3855" s="2" t="s">
        <v>5</v>
      </c>
      <c r="C3855" s="2">
        <v>15</v>
      </c>
    </row>
    <row r="3856" spans="1:3" x14ac:dyDescent="0.25">
      <c r="A3856" s="3">
        <v>41839</v>
      </c>
      <c r="B3856" s="2" t="s">
        <v>24</v>
      </c>
      <c r="C3856" s="2">
        <v>25</v>
      </c>
    </row>
    <row r="3857" spans="1:3" x14ac:dyDescent="0.25">
      <c r="A3857" s="3">
        <v>41411</v>
      </c>
      <c r="B3857" s="2" t="s">
        <v>44</v>
      </c>
      <c r="C3857" s="2">
        <v>38</v>
      </c>
    </row>
    <row r="3858" spans="1:3" x14ac:dyDescent="0.25">
      <c r="A3858" s="3">
        <v>41632</v>
      </c>
      <c r="B3858" s="2" t="s">
        <v>12</v>
      </c>
      <c r="C3858" s="2">
        <v>51</v>
      </c>
    </row>
    <row r="3859" spans="1:3" x14ac:dyDescent="0.25">
      <c r="A3859" s="3">
        <v>41462</v>
      </c>
      <c r="B3859" s="2" t="s">
        <v>49</v>
      </c>
      <c r="C3859" s="2">
        <v>45</v>
      </c>
    </row>
    <row r="3860" spans="1:3" x14ac:dyDescent="0.25">
      <c r="A3860" s="3">
        <v>41455</v>
      </c>
      <c r="B3860" s="2" t="s">
        <v>45</v>
      </c>
      <c r="C3860" s="2">
        <v>54</v>
      </c>
    </row>
    <row r="3861" spans="1:3" x14ac:dyDescent="0.25">
      <c r="A3861" s="3">
        <v>41714</v>
      </c>
      <c r="B3861" s="2" t="s">
        <v>36</v>
      </c>
      <c r="C3861" s="2">
        <v>37</v>
      </c>
    </row>
    <row r="3862" spans="1:3" x14ac:dyDescent="0.25">
      <c r="A3862" s="3">
        <v>41290</v>
      </c>
      <c r="B3862" s="2" t="s">
        <v>33</v>
      </c>
      <c r="C3862" s="2">
        <v>20</v>
      </c>
    </row>
    <row r="3863" spans="1:3" x14ac:dyDescent="0.25">
      <c r="A3863" s="3">
        <v>41842</v>
      </c>
      <c r="B3863" s="2" t="s">
        <v>38</v>
      </c>
      <c r="C3863" s="2">
        <v>15</v>
      </c>
    </row>
    <row r="3864" spans="1:3" x14ac:dyDescent="0.25">
      <c r="A3864" s="3">
        <v>41835</v>
      </c>
      <c r="B3864" s="2" t="s">
        <v>9</v>
      </c>
      <c r="C3864" s="2">
        <v>4</v>
      </c>
    </row>
    <row r="3865" spans="1:3" x14ac:dyDescent="0.25">
      <c r="A3865" s="3">
        <v>41450</v>
      </c>
      <c r="B3865" s="2" t="s">
        <v>19</v>
      </c>
      <c r="C3865" s="2">
        <v>12</v>
      </c>
    </row>
    <row r="3866" spans="1:3" x14ac:dyDescent="0.25">
      <c r="A3866" s="3">
        <v>41403</v>
      </c>
      <c r="B3866" s="2" t="s">
        <v>2</v>
      </c>
      <c r="C3866" s="2">
        <v>8</v>
      </c>
    </row>
    <row r="3867" spans="1:3" x14ac:dyDescent="0.25">
      <c r="A3867" s="3">
        <v>41472</v>
      </c>
      <c r="B3867" s="2" t="s">
        <v>14</v>
      </c>
      <c r="C3867" s="2">
        <v>48</v>
      </c>
    </row>
    <row r="3868" spans="1:3" x14ac:dyDescent="0.25">
      <c r="A3868" s="3">
        <v>41681</v>
      </c>
      <c r="B3868" s="2" t="s">
        <v>46</v>
      </c>
      <c r="C3868" s="2">
        <v>24</v>
      </c>
    </row>
    <row r="3869" spans="1:3" x14ac:dyDescent="0.25">
      <c r="A3869" s="3">
        <v>41847</v>
      </c>
      <c r="B3869" s="2" t="s">
        <v>32</v>
      </c>
      <c r="C3869" s="2">
        <v>2</v>
      </c>
    </row>
    <row r="3870" spans="1:3" x14ac:dyDescent="0.25">
      <c r="A3870" s="3">
        <v>41796</v>
      </c>
      <c r="B3870" s="2" t="s">
        <v>42</v>
      </c>
      <c r="C3870" s="2">
        <v>36</v>
      </c>
    </row>
    <row r="3871" spans="1:3" x14ac:dyDescent="0.25">
      <c r="A3871" s="3">
        <v>41445</v>
      </c>
      <c r="B3871" s="2" t="s">
        <v>2</v>
      </c>
      <c r="C3871" s="2">
        <v>38</v>
      </c>
    </row>
    <row r="3872" spans="1:3" x14ac:dyDescent="0.25">
      <c r="A3872" s="3">
        <v>41745</v>
      </c>
      <c r="B3872" s="2" t="s">
        <v>23</v>
      </c>
      <c r="C3872" s="2">
        <v>11</v>
      </c>
    </row>
    <row r="3873" spans="1:3" x14ac:dyDescent="0.25">
      <c r="A3873" s="3">
        <v>41700</v>
      </c>
      <c r="B3873" s="2" t="s">
        <v>2</v>
      </c>
      <c r="C3873" s="2">
        <v>19</v>
      </c>
    </row>
    <row r="3874" spans="1:3" x14ac:dyDescent="0.25">
      <c r="A3874" s="3">
        <v>41656</v>
      </c>
      <c r="B3874" s="2" t="s">
        <v>15</v>
      </c>
      <c r="C3874" s="2">
        <v>18</v>
      </c>
    </row>
    <row r="3875" spans="1:3" x14ac:dyDescent="0.25">
      <c r="A3875" s="3">
        <v>41566</v>
      </c>
      <c r="B3875" s="2" t="s">
        <v>15</v>
      </c>
      <c r="C3875" s="2">
        <v>23</v>
      </c>
    </row>
    <row r="3876" spans="1:3" x14ac:dyDescent="0.25">
      <c r="A3876" s="3">
        <v>41971</v>
      </c>
      <c r="B3876" s="2" t="s">
        <v>26</v>
      </c>
      <c r="C3876" s="2">
        <v>29</v>
      </c>
    </row>
    <row r="3877" spans="1:3" x14ac:dyDescent="0.25">
      <c r="A3877" s="3">
        <v>41792</v>
      </c>
      <c r="B3877" s="2" t="s">
        <v>36</v>
      </c>
      <c r="C3877" s="2">
        <v>21</v>
      </c>
    </row>
    <row r="3878" spans="1:3" x14ac:dyDescent="0.25">
      <c r="A3878" s="3">
        <v>41566</v>
      </c>
      <c r="B3878" s="2" t="s">
        <v>38</v>
      </c>
      <c r="C3878" s="2">
        <v>8</v>
      </c>
    </row>
    <row r="3879" spans="1:3" x14ac:dyDescent="0.25">
      <c r="A3879" s="3">
        <v>41786</v>
      </c>
      <c r="B3879" s="2" t="s">
        <v>17</v>
      </c>
      <c r="C3879" s="2">
        <v>12</v>
      </c>
    </row>
    <row r="3880" spans="1:3" x14ac:dyDescent="0.25">
      <c r="A3880" s="3">
        <v>41766</v>
      </c>
      <c r="B3880" s="2" t="s">
        <v>29</v>
      </c>
      <c r="C3880" s="2">
        <v>26</v>
      </c>
    </row>
    <row r="3881" spans="1:3" x14ac:dyDescent="0.25">
      <c r="A3881" s="3">
        <v>41911</v>
      </c>
      <c r="B3881" s="2" t="s">
        <v>3</v>
      </c>
      <c r="C3881" s="2">
        <v>7</v>
      </c>
    </row>
    <row r="3882" spans="1:3" x14ac:dyDescent="0.25">
      <c r="A3882" s="3">
        <v>41318</v>
      </c>
      <c r="B3882" s="2" t="s">
        <v>10</v>
      </c>
      <c r="C3882" s="2">
        <v>4</v>
      </c>
    </row>
    <row r="3883" spans="1:3" x14ac:dyDescent="0.25">
      <c r="A3883" s="3">
        <v>41599</v>
      </c>
      <c r="B3883" s="2" t="s">
        <v>42</v>
      </c>
      <c r="C3883" s="2">
        <v>5</v>
      </c>
    </row>
    <row r="3884" spans="1:3" x14ac:dyDescent="0.25">
      <c r="A3884" s="3">
        <v>41637</v>
      </c>
      <c r="B3884" s="2" t="s">
        <v>2</v>
      </c>
      <c r="C3884" s="2">
        <v>21</v>
      </c>
    </row>
    <row r="3885" spans="1:3" x14ac:dyDescent="0.25">
      <c r="A3885" s="3">
        <v>41744</v>
      </c>
      <c r="B3885" s="2" t="s">
        <v>3</v>
      </c>
      <c r="C3885" s="2">
        <v>25</v>
      </c>
    </row>
    <row r="3886" spans="1:3" x14ac:dyDescent="0.25">
      <c r="A3886" s="3">
        <v>41503</v>
      </c>
      <c r="B3886" s="2" t="s">
        <v>7</v>
      </c>
      <c r="C3886" s="2">
        <v>16</v>
      </c>
    </row>
    <row r="3887" spans="1:3" x14ac:dyDescent="0.25">
      <c r="A3887" s="3">
        <v>41893</v>
      </c>
      <c r="B3887" s="2" t="s">
        <v>34</v>
      </c>
      <c r="C3887" s="2">
        <v>34</v>
      </c>
    </row>
    <row r="3888" spans="1:3" x14ac:dyDescent="0.25">
      <c r="A3888" s="3">
        <v>41706</v>
      </c>
      <c r="B3888" s="2" t="s">
        <v>30</v>
      </c>
      <c r="C3888" s="2">
        <v>14</v>
      </c>
    </row>
    <row r="3889" spans="1:3" x14ac:dyDescent="0.25">
      <c r="A3889" s="3">
        <v>41545</v>
      </c>
      <c r="B3889" s="2" t="s">
        <v>33</v>
      </c>
      <c r="C3889" s="2">
        <v>16</v>
      </c>
    </row>
    <row r="3890" spans="1:3" x14ac:dyDescent="0.25">
      <c r="A3890" s="3">
        <v>41936</v>
      </c>
      <c r="B3890" s="2" t="s">
        <v>4</v>
      </c>
      <c r="C3890" s="2">
        <v>53</v>
      </c>
    </row>
    <row r="3891" spans="1:3" x14ac:dyDescent="0.25">
      <c r="A3891" s="3">
        <v>41457</v>
      </c>
      <c r="B3891" s="2" t="s">
        <v>43</v>
      </c>
      <c r="C3891" s="2">
        <v>26</v>
      </c>
    </row>
    <row r="3892" spans="1:3" x14ac:dyDescent="0.25">
      <c r="A3892" s="3">
        <v>41767</v>
      </c>
      <c r="B3892" s="2" t="s">
        <v>24</v>
      </c>
      <c r="C3892" s="2">
        <v>3</v>
      </c>
    </row>
    <row r="3893" spans="1:3" x14ac:dyDescent="0.25">
      <c r="A3893" s="3">
        <v>41771</v>
      </c>
      <c r="B3893" s="2" t="s">
        <v>34</v>
      </c>
      <c r="C3893" s="2">
        <v>42</v>
      </c>
    </row>
    <row r="3894" spans="1:3" x14ac:dyDescent="0.25">
      <c r="A3894" s="3">
        <v>41799</v>
      </c>
      <c r="B3894" s="2" t="s">
        <v>42</v>
      </c>
      <c r="C3894" s="2">
        <v>17</v>
      </c>
    </row>
    <row r="3895" spans="1:3" x14ac:dyDescent="0.25">
      <c r="A3895" s="3">
        <v>41729</v>
      </c>
      <c r="B3895" s="2" t="s">
        <v>27</v>
      </c>
      <c r="C3895" s="2">
        <v>29</v>
      </c>
    </row>
    <row r="3896" spans="1:3" x14ac:dyDescent="0.25">
      <c r="A3896" s="3">
        <v>41703</v>
      </c>
      <c r="B3896" s="2" t="s">
        <v>3</v>
      </c>
      <c r="C3896" s="2">
        <v>44</v>
      </c>
    </row>
    <row r="3897" spans="1:3" x14ac:dyDescent="0.25">
      <c r="A3897" s="3">
        <v>41453</v>
      </c>
      <c r="B3897" s="2" t="s">
        <v>44</v>
      </c>
      <c r="C3897" s="2">
        <v>8</v>
      </c>
    </row>
    <row r="3898" spans="1:3" x14ac:dyDescent="0.25">
      <c r="A3898" s="3">
        <v>41950</v>
      </c>
      <c r="B3898" s="2" t="s">
        <v>33</v>
      </c>
      <c r="C3898" s="2">
        <v>11</v>
      </c>
    </row>
    <row r="3899" spans="1:3" x14ac:dyDescent="0.25">
      <c r="A3899" s="3">
        <v>41854</v>
      </c>
      <c r="B3899" s="2" t="s">
        <v>34</v>
      </c>
      <c r="C3899" s="2">
        <v>44</v>
      </c>
    </row>
    <row r="3900" spans="1:3" x14ac:dyDescent="0.25">
      <c r="A3900" s="3">
        <v>41399</v>
      </c>
      <c r="B3900" s="2" t="s">
        <v>46</v>
      </c>
      <c r="C3900" s="2">
        <v>32</v>
      </c>
    </row>
    <row r="3901" spans="1:3" x14ac:dyDescent="0.25">
      <c r="A3901" s="3">
        <v>41589</v>
      </c>
      <c r="B3901" s="2" t="s">
        <v>11</v>
      </c>
      <c r="C3901" s="2">
        <v>19</v>
      </c>
    </row>
    <row r="3902" spans="1:3" x14ac:dyDescent="0.25">
      <c r="A3902" s="3">
        <v>41529</v>
      </c>
      <c r="B3902" s="2" t="s">
        <v>46</v>
      </c>
      <c r="C3902" s="2">
        <v>4</v>
      </c>
    </row>
    <row r="3903" spans="1:3" x14ac:dyDescent="0.25">
      <c r="A3903" s="3">
        <v>41861</v>
      </c>
      <c r="B3903" s="2" t="s">
        <v>25</v>
      </c>
      <c r="C3903" s="2">
        <v>23</v>
      </c>
    </row>
    <row r="3904" spans="1:3" x14ac:dyDescent="0.25">
      <c r="A3904" s="3">
        <v>41567</v>
      </c>
      <c r="B3904" s="2" t="s">
        <v>4</v>
      </c>
      <c r="C3904" s="2">
        <v>17</v>
      </c>
    </row>
    <row r="3905" spans="1:3" x14ac:dyDescent="0.25">
      <c r="A3905" s="3">
        <v>41297</v>
      </c>
      <c r="B3905" s="2" t="s">
        <v>15</v>
      </c>
      <c r="C3905" s="2">
        <v>17</v>
      </c>
    </row>
    <row r="3906" spans="1:3" x14ac:dyDescent="0.25">
      <c r="A3906" s="3">
        <v>41767</v>
      </c>
      <c r="B3906" s="2" t="s">
        <v>19</v>
      </c>
      <c r="C3906" s="2">
        <v>5</v>
      </c>
    </row>
    <row r="3907" spans="1:3" x14ac:dyDescent="0.25">
      <c r="A3907" s="3">
        <v>41924</v>
      </c>
      <c r="B3907" s="2" t="s">
        <v>13</v>
      </c>
      <c r="C3907" s="2">
        <v>9</v>
      </c>
    </row>
    <row r="3908" spans="1:3" x14ac:dyDescent="0.25">
      <c r="A3908" s="3">
        <v>41610</v>
      </c>
      <c r="B3908" s="2" t="s">
        <v>2</v>
      </c>
      <c r="C3908" s="2">
        <v>12</v>
      </c>
    </row>
    <row r="3909" spans="1:3" x14ac:dyDescent="0.25">
      <c r="A3909" s="3">
        <v>41743</v>
      </c>
      <c r="B3909" s="2" t="s">
        <v>20</v>
      </c>
      <c r="C3909" s="2">
        <v>59</v>
      </c>
    </row>
    <row r="3910" spans="1:3" x14ac:dyDescent="0.25">
      <c r="A3910" s="3">
        <v>41671</v>
      </c>
      <c r="B3910" s="2" t="s">
        <v>50</v>
      </c>
      <c r="C3910" s="2">
        <v>38</v>
      </c>
    </row>
    <row r="3911" spans="1:3" x14ac:dyDescent="0.25">
      <c r="A3911" s="3">
        <v>41751</v>
      </c>
      <c r="B3911" s="2" t="s">
        <v>37</v>
      </c>
      <c r="C3911" s="2">
        <v>30</v>
      </c>
    </row>
    <row r="3912" spans="1:3" x14ac:dyDescent="0.25">
      <c r="A3912" s="3">
        <v>41853</v>
      </c>
      <c r="B3912" s="2" t="s">
        <v>25</v>
      </c>
      <c r="C3912" s="2">
        <v>33</v>
      </c>
    </row>
    <row r="3913" spans="1:3" x14ac:dyDescent="0.25">
      <c r="A3913" s="3">
        <v>41990</v>
      </c>
      <c r="B3913" s="2" t="s">
        <v>18</v>
      </c>
      <c r="C3913" s="2">
        <v>20</v>
      </c>
    </row>
    <row r="3914" spans="1:3" x14ac:dyDescent="0.25">
      <c r="A3914" s="3">
        <v>41575</v>
      </c>
      <c r="B3914" s="2" t="s">
        <v>9</v>
      </c>
      <c r="C3914" s="2">
        <v>20</v>
      </c>
    </row>
    <row r="3915" spans="1:3" x14ac:dyDescent="0.25">
      <c r="A3915" s="3">
        <v>41823</v>
      </c>
      <c r="B3915" s="2" t="s">
        <v>31</v>
      </c>
      <c r="C3915" s="2">
        <v>26</v>
      </c>
    </row>
    <row r="3916" spans="1:3" x14ac:dyDescent="0.25">
      <c r="A3916" s="3">
        <v>41521</v>
      </c>
      <c r="B3916" s="2" t="s">
        <v>18</v>
      </c>
      <c r="C3916" s="2">
        <v>42</v>
      </c>
    </row>
    <row r="3917" spans="1:3" x14ac:dyDescent="0.25">
      <c r="A3917" s="3">
        <v>41722</v>
      </c>
      <c r="B3917" s="2" t="s">
        <v>41</v>
      </c>
      <c r="C3917" s="2">
        <v>28</v>
      </c>
    </row>
    <row r="3918" spans="1:3" x14ac:dyDescent="0.25">
      <c r="A3918" s="3">
        <v>41445</v>
      </c>
      <c r="B3918" s="2" t="s">
        <v>47</v>
      </c>
      <c r="C3918" s="2">
        <v>11</v>
      </c>
    </row>
    <row r="3919" spans="1:3" x14ac:dyDescent="0.25">
      <c r="A3919" s="3">
        <v>41628</v>
      </c>
      <c r="B3919" s="2" t="s">
        <v>4</v>
      </c>
      <c r="C3919" s="2">
        <v>27</v>
      </c>
    </row>
    <row r="3920" spans="1:3" x14ac:dyDescent="0.25">
      <c r="A3920" s="3">
        <v>41885</v>
      </c>
      <c r="B3920" s="2" t="s">
        <v>8</v>
      </c>
      <c r="C3920" s="2">
        <v>54</v>
      </c>
    </row>
    <row r="3921" spans="1:3" x14ac:dyDescent="0.25">
      <c r="A3921" s="3">
        <v>41783</v>
      </c>
      <c r="B3921" s="2" t="s">
        <v>10</v>
      </c>
      <c r="C3921" s="2">
        <v>36</v>
      </c>
    </row>
    <row r="3922" spans="1:3" x14ac:dyDescent="0.25">
      <c r="A3922" s="3">
        <v>41955</v>
      </c>
      <c r="B3922" s="2" t="s">
        <v>12</v>
      </c>
      <c r="C3922" s="2">
        <v>48</v>
      </c>
    </row>
    <row r="3923" spans="1:3" x14ac:dyDescent="0.25">
      <c r="A3923" s="3">
        <v>41998</v>
      </c>
      <c r="B3923" s="2" t="s">
        <v>15</v>
      </c>
      <c r="C3923" s="2">
        <v>19</v>
      </c>
    </row>
    <row r="3924" spans="1:3" x14ac:dyDescent="0.25">
      <c r="A3924" s="3">
        <v>41721</v>
      </c>
      <c r="B3924" s="2" t="s">
        <v>18</v>
      </c>
      <c r="C3924" s="2">
        <v>3</v>
      </c>
    </row>
    <row r="3925" spans="1:3" x14ac:dyDescent="0.25">
      <c r="A3925" s="3">
        <v>41477</v>
      </c>
      <c r="B3925" s="2" t="s">
        <v>11</v>
      </c>
      <c r="C3925" s="2">
        <v>22</v>
      </c>
    </row>
    <row r="3926" spans="1:3" x14ac:dyDescent="0.25">
      <c r="A3926" s="3">
        <v>41605</v>
      </c>
      <c r="B3926" s="2" t="s">
        <v>27</v>
      </c>
      <c r="C3926" s="2">
        <v>34</v>
      </c>
    </row>
    <row r="3927" spans="1:3" x14ac:dyDescent="0.25">
      <c r="A3927" s="3">
        <v>41493</v>
      </c>
      <c r="B3927" s="2" t="s">
        <v>26</v>
      </c>
      <c r="C3927" s="2">
        <v>40</v>
      </c>
    </row>
    <row r="3928" spans="1:3" x14ac:dyDescent="0.25">
      <c r="A3928" s="3">
        <v>41614</v>
      </c>
      <c r="B3928" s="2" t="s">
        <v>7</v>
      </c>
      <c r="C3928" s="2">
        <v>45</v>
      </c>
    </row>
    <row r="3929" spans="1:3" x14ac:dyDescent="0.25">
      <c r="A3929" s="3">
        <v>41516</v>
      </c>
      <c r="B3929" s="2" t="s">
        <v>32</v>
      </c>
      <c r="C3929" s="2">
        <v>56</v>
      </c>
    </row>
    <row r="3930" spans="1:3" x14ac:dyDescent="0.25">
      <c r="A3930" s="3">
        <v>41629</v>
      </c>
      <c r="B3930" s="2" t="s">
        <v>37</v>
      </c>
      <c r="C3930" s="2">
        <v>7</v>
      </c>
    </row>
    <row r="3931" spans="1:3" x14ac:dyDescent="0.25">
      <c r="A3931" s="3">
        <v>41696</v>
      </c>
      <c r="B3931" s="2" t="s">
        <v>25</v>
      </c>
      <c r="C3931" s="2">
        <v>36</v>
      </c>
    </row>
    <row r="3932" spans="1:3" x14ac:dyDescent="0.25">
      <c r="A3932" s="3">
        <v>41843</v>
      </c>
      <c r="B3932" s="2" t="s">
        <v>28</v>
      </c>
      <c r="C3932" s="2">
        <v>23</v>
      </c>
    </row>
    <row r="3933" spans="1:3" x14ac:dyDescent="0.25">
      <c r="A3933" s="3">
        <v>41973</v>
      </c>
      <c r="B3933" s="2" t="s">
        <v>7</v>
      </c>
      <c r="C3933" s="2">
        <v>22</v>
      </c>
    </row>
    <row r="3934" spans="1:3" x14ac:dyDescent="0.25">
      <c r="A3934" s="3">
        <v>41975</v>
      </c>
      <c r="B3934" s="2" t="s">
        <v>31</v>
      </c>
      <c r="C3934" s="2">
        <v>30</v>
      </c>
    </row>
    <row r="3935" spans="1:3" x14ac:dyDescent="0.25">
      <c r="A3935" s="3">
        <v>41787</v>
      </c>
      <c r="B3935" s="2" t="s">
        <v>29</v>
      </c>
      <c r="C3935" s="2">
        <v>27</v>
      </c>
    </row>
    <row r="3936" spans="1:3" x14ac:dyDescent="0.25">
      <c r="A3936" s="3">
        <v>42001</v>
      </c>
      <c r="B3936" s="2" t="s">
        <v>47</v>
      </c>
      <c r="C3936" s="2">
        <v>37</v>
      </c>
    </row>
    <row r="3937" spans="1:3" x14ac:dyDescent="0.25">
      <c r="A3937" s="3">
        <v>41543</v>
      </c>
      <c r="B3937" s="2" t="s">
        <v>38</v>
      </c>
      <c r="C3937" s="2">
        <v>46</v>
      </c>
    </row>
    <row r="3938" spans="1:3" x14ac:dyDescent="0.25">
      <c r="A3938" s="3">
        <v>41486</v>
      </c>
      <c r="B3938" s="2" t="s">
        <v>20</v>
      </c>
      <c r="C3938" s="2">
        <v>38</v>
      </c>
    </row>
    <row r="3939" spans="1:3" x14ac:dyDescent="0.25">
      <c r="A3939" s="3">
        <v>41833</v>
      </c>
      <c r="B3939" s="2" t="s">
        <v>28</v>
      </c>
      <c r="C3939" s="2">
        <v>30</v>
      </c>
    </row>
    <row r="3940" spans="1:3" x14ac:dyDescent="0.25">
      <c r="A3940" s="3">
        <v>41441</v>
      </c>
      <c r="B3940" s="2" t="s">
        <v>36</v>
      </c>
      <c r="C3940" s="2">
        <v>22</v>
      </c>
    </row>
    <row r="3941" spans="1:3" x14ac:dyDescent="0.25">
      <c r="A3941" s="3">
        <v>41276</v>
      </c>
      <c r="B3941" s="2" t="s">
        <v>9</v>
      </c>
      <c r="C3941" s="2">
        <v>24</v>
      </c>
    </row>
    <row r="3942" spans="1:3" x14ac:dyDescent="0.25">
      <c r="A3942" s="3">
        <v>41344</v>
      </c>
      <c r="B3942" s="2" t="s">
        <v>33</v>
      </c>
      <c r="C3942" s="2">
        <v>32</v>
      </c>
    </row>
    <row r="3943" spans="1:3" x14ac:dyDescent="0.25">
      <c r="A3943" s="3">
        <v>41458</v>
      </c>
      <c r="B3943" s="2" t="s">
        <v>33</v>
      </c>
      <c r="C3943" s="2">
        <v>23</v>
      </c>
    </row>
    <row r="3944" spans="1:3" x14ac:dyDescent="0.25">
      <c r="A3944" s="3">
        <v>41389</v>
      </c>
      <c r="B3944" s="2" t="s">
        <v>9</v>
      </c>
      <c r="C3944" s="2">
        <v>33</v>
      </c>
    </row>
    <row r="3945" spans="1:3" x14ac:dyDescent="0.25">
      <c r="A3945" s="3">
        <v>41704</v>
      </c>
      <c r="B3945" s="2" t="s">
        <v>6</v>
      </c>
      <c r="C3945" s="2">
        <v>23</v>
      </c>
    </row>
    <row r="3946" spans="1:3" x14ac:dyDescent="0.25">
      <c r="A3946" s="3">
        <v>41594</v>
      </c>
      <c r="B3946" s="2" t="s">
        <v>30</v>
      </c>
      <c r="C3946" s="2">
        <v>19</v>
      </c>
    </row>
    <row r="3947" spans="1:3" x14ac:dyDescent="0.25">
      <c r="A3947" s="3">
        <v>41979</v>
      </c>
      <c r="B3947" s="2" t="s">
        <v>22</v>
      </c>
      <c r="C3947" s="2">
        <v>28</v>
      </c>
    </row>
    <row r="3948" spans="1:3" x14ac:dyDescent="0.25">
      <c r="A3948" s="3">
        <v>41498</v>
      </c>
      <c r="B3948" s="2" t="s">
        <v>3</v>
      </c>
      <c r="C3948" s="2">
        <v>15</v>
      </c>
    </row>
    <row r="3949" spans="1:3" x14ac:dyDescent="0.25">
      <c r="A3949" s="3">
        <v>41302</v>
      </c>
      <c r="B3949" s="2" t="s">
        <v>9</v>
      </c>
      <c r="C3949" s="2">
        <v>1</v>
      </c>
    </row>
    <row r="3950" spans="1:3" x14ac:dyDescent="0.25">
      <c r="A3950" s="3">
        <v>41465</v>
      </c>
      <c r="B3950" s="2" t="s">
        <v>13</v>
      </c>
      <c r="C3950" s="2">
        <v>11</v>
      </c>
    </row>
    <row r="3951" spans="1:3" x14ac:dyDescent="0.25">
      <c r="A3951" s="3">
        <v>42002</v>
      </c>
      <c r="B3951" s="2" t="s">
        <v>33</v>
      </c>
      <c r="C3951" s="2">
        <v>6</v>
      </c>
    </row>
    <row r="3952" spans="1:3" x14ac:dyDescent="0.25">
      <c r="A3952" s="3">
        <v>41874</v>
      </c>
      <c r="B3952" s="2" t="s">
        <v>3</v>
      </c>
      <c r="C3952" s="2">
        <v>2</v>
      </c>
    </row>
    <row r="3953" spans="1:3" x14ac:dyDescent="0.25">
      <c r="A3953" s="3">
        <v>41847</v>
      </c>
      <c r="B3953" s="2" t="s">
        <v>48</v>
      </c>
      <c r="C3953" s="2">
        <v>31</v>
      </c>
    </row>
    <row r="3954" spans="1:3" x14ac:dyDescent="0.25">
      <c r="A3954" s="3">
        <v>41373</v>
      </c>
      <c r="B3954" s="2" t="s">
        <v>39</v>
      </c>
      <c r="C3954" s="2">
        <v>50</v>
      </c>
    </row>
    <row r="3955" spans="1:3" x14ac:dyDescent="0.25">
      <c r="A3955" s="3">
        <v>41535</v>
      </c>
      <c r="B3955" s="2" t="s">
        <v>51</v>
      </c>
      <c r="C3955" s="2">
        <v>55</v>
      </c>
    </row>
    <row r="3956" spans="1:3" x14ac:dyDescent="0.25">
      <c r="A3956" s="3">
        <v>41847</v>
      </c>
      <c r="B3956" s="2" t="s">
        <v>4</v>
      </c>
      <c r="C3956" s="2">
        <v>43</v>
      </c>
    </row>
    <row r="3957" spans="1:3" x14ac:dyDescent="0.25">
      <c r="A3957" s="3">
        <v>41915</v>
      </c>
      <c r="B3957" s="2" t="s">
        <v>22</v>
      </c>
      <c r="C3957" s="2">
        <v>28</v>
      </c>
    </row>
    <row r="3958" spans="1:3" x14ac:dyDescent="0.25">
      <c r="A3958" s="3">
        <v>41860</v>
      </c>
      <c r="B3958" s="2" t="s">
        <v>40</v>
      </c>
      <c r="C3958" s="2">
        <v>40</v>
      </c>
    </row>
    <row r="3959" spans="1:3" x14ac:dyDescent="0.25">
      <c r="A3959" s="3">
        <v>41410</v>
      </c>
      <c r="B3959" s="2" t="s">
        <v>17</v>
      </c>
      <c r="C3959" s="2">
        <v>30</v>
      </c>
    </row>
    <row r="3960" spans="1:3" x14ac:dyDescent="0.25">
      <c r="A3960" s="3">
        <v>41364</v>
      </c>
      <c r="B3960" s="2" t="s">
        <v>37</v>
      </c>
      <c r="C3960" s="2">
        <v>17</v>
      </c>
    </row>
    <row r="3961" spans="1:3" x14ac:dyDescent="0.25">
      <c r="A3961" s="3">
        <v>41420</v>
      </c>
      <c r="B3961" s="2" t="s">
        <v>11</v>
      </c>
      <c r="C3961" s="2">
        <v>23</v>
      </c>
    </row>
    <row r="3962" spans="1:3" x14ac:dyDescent="0.25">
      <c r="A3962" s="3">
        <v>41480</v>
      </c>
      <c r="B3962" s="2" t="s">
        <v>40</v>
      </c>
      <c r="C3962" s="2">
        <v>24</v>
      </c>
    </row>
    <row r="3963" spans="1:3" x14ac:dyDescent="0.25">
      <c r="A3963" s="3">
        <v>41982</v>
      </c>
      <c r="B3963" s="2" t="s">
        <v>39</v>
      </c>
      <c r="C3963" s="2">
        <v>22</v>
      </c>
    </row>
    <row r="3964" spans="1:3" x14ac:dyDescent="0.25">
      <c r="A3964" s="3">
        <v>41817</v>
      </c>
      <c r="B3964" s="2" t="s">
        <v>46</v>
      </c>
      <c r="C3964" s="2">
        <v>26</v>
      </c>
    </row>
    <row r="3965" spans="1:3" x14ac:dyDescent="0.25">
      <c r="A3965" s="3">
        <v>41896</v>
      </c>
      <c r="B3965" s="2" t="s">
        <v>19</v>
      </c>
      <c r="C3965" s="2">
        <v>32</v>
      </c>
    </row>
    <row r="3966" spans="1:3" x14ac:dyDescent="0.25">
      <c r="A3966" s="3">
        <v>41407</v>
      </c>
      <c r="B3966" s="2" t="s">
        <v>11</v>
      </c>
      <c r="C3966" s="2">
        <v>0</v>
      </c>
    </row>
    <row r="3967" spans="1:3" x14ac:dyDescent="0.25">
      <c r="A3967" s="3">
        <v>41379</v>
      </c>
      <c r="B3967" s="2" t="s">
        <v>16</v>
      </c>
      <c r="C3967" s="2">
        <v>13</v>
      </c>
    </row>
    <row r="3968" spans="1:3" x14ac:dyDescent="0.25">
      <c r="A3968" s="3">
        <v>41936</v>
      </c>
      <c r="B3968" s="2" t="s">
        <v>24</v>
      </c>
      <c r="C3968" s="2">
        <v>20</v>
      </c>
    </row>
    <row r="3969" spans="1:3" x14ac:dyDescent="0.25">
      <c r="A3969" s="3">
        <v>41677</v>
      </c>
      <c r="B3969" s="2" t="s">
        <v>43</v>
      </c>
      <c r="C3969" s="2">
        <v>42</v>
      </c>
    </row>
    <row r="3970" spans="1:3" x14ac:dyDescent="0.25">
      <c r="A3970" s="3">
        <v>41821</v>
      </c>
      <c r="B3970" s="2" t="s">
        <v>18</v>
      </c>
      <c r="C3970" s="2">
        <v>1</v>
      </c>
    </row>
    <row r="3971" spans="1:3" x14ac:dyDescent="0.25">
      <c r="A3971" s="3">
        <v>41398</v>
      </c>
      <c r="B3971" s="2" t="s">
        <v>21</v>
      </c>
      <c r="C3971" s="2">
        <v>12</v>
      </c>
    </row>
    <row r="3972" spans="1:3" x14ac:dyDescent="0.25">
      <c r="A3972" s="3">
        <v>41318</v>
      </c>
      <c r="B3972" s="2" t="s">
        <v>49</v>
      </c>
      <c r="C3972" s="2">
        <v>10</v>
      </c>
    </row>
    <row r="3973" spans="1:3" x14ac:dyDescent="0.25">
      <c r="A3973" s="3">
        <v>41846</v>
      </c>
      <c r="B3973" s="2" t="s">
        <v>32</v>
      </c>
      <c r="C3973" s="2">
        <v>43</v>
      </c>
    </row>
    <row r="3974" spans="1:3" x14ac:dyDescent="0.25">
      <c r="A3974" s="3">
        <v>41664</v>
      </c>
      <c r="B3974" s="2" t="s">
        <v>42</v>
      </c>
      <c r="C3974" s="2">
        <v>35</v>
      </c>
    </row>
    <row r="3975" spans="1:3" x14ac:dyDescent="0.25">
      <c r="A3975" s="3">
        <v>41636</v>
      </c>
      <c r="B3975" s="2" t="s">
        <v>35</v>
      </c>
      <c r="C3975" s="2">
        <v>49</v>
      </c>
    </row>
    <row r="3976" spans="1:3" x14ac:dyDescent="0.25">
      <c r="A3976" s="3">
        <v>41448</v>
      </c>
      <c r="B3976" s="2" t="s">
        <v>19</v>
      </c>
      <c r="C3976" s="2">
        <v>38</v>
      </c>
    </row>
    <row r="3977" spans="1:3" x14ac:dyDescent="0.25">
      <c r="A3977" s="3">
        <v>41705</v>
      </c>
      <c r="B3977" s="2" t="s">
        <v>44</v>
      </c>
      <c r="C3977" s="2">
        <v>49</v>
      </c>
    </row>
    <row r="3978" spans="1:3" x14ac:dyDescent="0.25">
      <c r="A3978" s="3">
        <v>41312</v>
      </c>
      <c r="B3978" s="2" t="s">
        <v>43</v>
      </c>
      <c r="C3978" s="2">
        <v>19</v>
      </c>
    </row>
    <row r="3979" spans="1:3" x14ac:dyDescent="0.25">
      <c r="A3979" s="3">
        <v>41314</v>
      </c>
      <c r="B3979" s="2" t="s">
        <v>51</v>
      </c>
      <c r="C3979" s="2">
        <v>24</v>
      </c>
    </row>
    <row r="3980" spans="1:3" x14ac:dyDescent="0.25">
      <c r="A3980" s="3">
        <v>41545</v>
      </c>
      <c r="B3980" s="2" t="s">
        <v>30</v>
      </c>
      <c r="C3980" s="2">
        <v>19</v>
      </c>
    </row>
    <row r="3981" spans="1:3" x14ac:dyDescent="0.25">
      <c r="A3981" s="3">
        <v>41364</v>
      </c>
      <c r="B3981" s="2" t="s">
        <v>41</v>
      </c>
      <c r="C3981" s="2">
        <v>15</v>
      </c>
    </row>
    <row r="3982" spans="1:3" x14ac:dyDescent="0.25">
      <c r="A3982" s="3">
        <v>41616</v>
      </c>
      <c r="B3982" s="2" t="s">
        <v>19</v>
      </c>
      <c r="C3982" s="2">
        <v>35</v>
      </c>
    </row>
    <row r="3983" spans="1:3" x14ac:dyDescent="0.25">
      <c r="A3983" s="3">
        <v>41779</v>
      </c>
      <c r="B3983" s="2" t="s">
        <v>14</v>
      </c>
      <c r="C3983" s="2">
        <v>40</v>
      </c>
    </row>
    <row r="3984" spans="1:3" x14ac:dyDescent="0.25">
      <c r="A3984" s="3">
        <v>41419</v>
      </c>
      <c r="B3984" s="2" t="s">
        <v>15</v>
      </c>
      <c r="C3984" s="2">
        <v>46</v>
      </c>
    </row>
    <row r="3985" spans="1:3" x14ac:dyDescent="0.25">
      <c r="A3985" s="3">
        <v>41572</v>
      </c>
      <c r="B3985" s="2" t="s">
        <v>42</v>
      </c>
      <c r="C3985" s="2">
        <v>25</v>
      </c>
    </row>
    <row r="3986" spans="1:3" x14ac:dyDescent="0.25">
      <c r="A3986" s="3">
        <v>41750</v>
      </c>
      <c r="B3986" s="2" t="s">
        <v>14</v>
      </c>
      <c r="C3986" s="2">
        <v>52</v>
      </c>
    </row>
    <row r="3987" spans="1:3" x14ac:dyDescent="0.25">
      <c r="A3987" s="3">
        <v>41432</v>
      </c>
      <c r="B3987" s="2" t="s">
        <v>17</v>
      </c>
      <c r="C3987" s="2">
        <v>14</v>
      </c>
    </row>
    <row r="3988" spans="1:3" x14ac:dyDescent="0.25">
      <c r="A3988" s="3">
        <v>41670</v>
      </c>
      <c r="B3988" s="2" t="s">
        <v>47</v>
      </c>
      <c r="C3988" s="2">
        <v>33</v>
      </c>
    </row>
    <row r="3989" spans="1:3" x14ac:dyDescent="0.25">
      <c r="A3989" s="3">
        <v>41459</v>
      </c>
      <c r="B3989" s="2" t="s">
        <v>9</v>
      </c>
      <c r="C3989" s="2">
        <v>35</v>
      </c>
    </row>
    <row r="3990" spans="1:3" x14ac:dyDescent="0.25">
      <c r="A3990" s="3">
        <v>41670</v>
      </c>
      <c r="B3990" s="2" t="s">
        <v>4</v>
      </c>
      <c r="C3990" s="2">
        <v>52</v>
      </c>
    </row>
    <row r="3991" spans="1:3" x14ac:dyDescent="0.25">
      <c r="A3991" s="3">
        <v>41778</v>
      </c>
      <c r="B3991" s="2" t="s">
        <v>3</v>
      </c>
      <c r="C3991" s="2">
        <v>37</v>
      </c>
    </row>
    <row r="3992" spans="1:3" x14ac:dyDescent="0.25">
      <c r="A3992" s="3">
        <v>41501</v>
      </c>
      <c r="B3992" s="2" t="s">
        <v>23</v>
      </c>
      <c r="C3992" s="2">
        <v>22</v>
      </c>
    </row>
    <row r="3993" spans="1:3" x14ac:dyDescent="0.25">
      <c r="A3993" s="3">
        <v>41518</v>
      </c>
      <c r="B3993" s="2" t="s">
        <v>20</v>
      </c>
      <c r="C3993" s="2">
        <v>35</v>
      </c>
    </row>
    <row r="3994" spans="1:3" x14ac:dyDescent="0.25">
      <c r="A3994" s="3">
        <v>41388</v>
      </c>
      <c r="B3994" s="2" t="s">
        <v>16</v>
      </c>
      <c r="C3994" s="2">
        <v>36</v>
      </c>
    </row>
    <row r="3995" spans="1:3" x14ac:dyDescent="0.25">
      <c r="A3995" s="3">
        <v>41857</v>
      </c>
      <c r="B3995" s="2" t="s">
        <v>13</v>
      </c>
      <c r="C3995" s="2">
        <v>41</v>
      </c>
    </row>
    <row r="3996" spans="1:3" x14ac:dyDescent="0.25">
      <c r="A3996" s="3">
        <v>41980</v>
      </c>
      <c r="B3996" s="2" t="s">
        <v>4</v>
      </c>
      <c r="C3996" s="2">
        <v>25</v>
      </c>
    </row>
    <row r="3997" spans="1:3" x14ac:dyDescent="0.25">
      <c r="A3997" s="3">
        <v>41448</v>
      </c>
      <c r="B3997" s="2" t="s">
        <v>4</v>
      </c>
      <c r="C3997" s="2">
        <v>27</v>
      </c>
    </row>
    <row r="3998" spans="1:3" x14ac:dyDescent="0.25">
      <c r="A3998" s="3">
        <v>41766</v>
      </c>
      <c r="B3998" s="2" t="s">
        <v>33</v>
      </c>
      <c r="C3998" s="2">
        <v>56</v>
      </c>
    </row>
    <row r="3999" spans="1:3" x14ac:dyDescent="0.25">
      <c r="A3999" s="3">
        <v>41724</v>
      </c>
      <c r="B3999" s="2" t="s">
        <v>45</v>
      </c>
      <c r="C3999" s="2">
        <v>39</v>
      </c>
    </row>
    <row r="4000" spans="1:3" x14ac:dyDescent="0.25">
      <c r="A4000" s="3">
        <v>41481</v>
      </c>
      <c r="B4000" s="2" t="s">
        <v>19</v>
      </c>
      <c r="C4000" s="2">
        <v>37</v>
      </c>
    </row>
    <row r="4001" spans="1:3" x14ac:dyDescent="0.25">
      <c r="A4001" s="3">
        <v>41797</v>
      </c>
      <c r="B4001" s="2" t="s">
        <v>41</v>
      </c>
      <c r="C4001" s="2">
        <v>18</v>
      </c>
    </row>
    <row r="4002" spans="1:3" x14ac:dyDescent="0.25">
      <c r="A4002" s="3">
        <v>41624</v>
      </c>
      <c r="B4002" s="2" t="s">
        <v>32</v>
      </c>
      <c r="C4002" s="2">
        <v>22</v>
      </c>
    </row>
    <row r="4003" spans="1:3" x14ac:dyDescent="0.25">
      <c r="A4003" s="3">
        <v>41279</v>
      </c>
      <c r="B4003" s="2" t="s">
        <v>49</v>
      </c>
      <c r="C4003" s="2">
        <v>18</v>
      </c>
    </row>
    <row r="4004" spans="1:3" x14ac:dyDescent="0.25">
      <c r="A4004" s="3">
        <v>41497</v>
      </c>
      <c r="B4004" s="2" t="s">
        <v>36</v>
      </c>
      <c r="C4004" s="2">
        <v>18</v>
      </c>
    </row>
    <row r="4005" spans="1:3" x14ac:dyDescent="0.25">
      <c r="A4005" s="3">
        <v>41933</v>
      </c>
      <c r="B4005" s="2" t="s">
        <v>37</v>
      </c>
      <c r="C4005" s="2">
        <v>41</v>
      </c>
    </row>
    <row r="4006" spans="1:3" x14ac:dyDescent="0.25">
      <c r="A4006" s="3">
        <v>41472</v>
      </c>
      <c r="B4006" s="2" t="s">
        <v>34</v>
      </c>
      <c r="C4006" s="2">
        <v>41</v>
      </c>
    </row>
    <row r="4007" spans="1:3" x14ac:dyDescent="0.25">
      <c r="A4007" s="3">
        <v>41740</v>
      </c>
      <c r="B4007" s="2" t="s">
        <v>13</v>
      </c>
      <c r="C4007" s="2">
        <v>56</v>
      </c>
    </row>
    <row r="4008" spans="1:3" x14ac:dyDescent="0.25">
      <c r="A4008" s="3">
        <v>41599</v>
      </c>
      <c r="B4008" s="2" t="s">
        <v>46</v>
      </c>
      <c r="C4008" s="2">
        <v>22</v>
      </c>
    </row>
    <row r="4009" spans="1:3" x14ac:dyDescent="0.25">
      <c r="A4009" s="3">
        <v>41468</v>
      </c>
      <c r="B4009" s="2" t="s">
        <v>47</v>
      </c>
      <c r="C4009" s="2">
        <v>35</v>
      </c>
    </row>
    <row r="4010" spans="1:3" x14ac:dyDescent="0.25">
      <c r="A4010" s="3">
        <v>41405</v>
      </c>
      <c r="B4010" s="2" t="s">
        <v>46</v>
      </c>
      <c r="C4010" s="2">
        <v>40</v>
      </c>
    </row>
    <row r="4011" spans="1:3" x14ac:dyDescent="0.25">
      <c r="A4011" s="3">
        <v>41639</v>
      </c>
      <c r="B4011" s="2" t="s">
        <v>25</v>
      </c>
      <c r="C4011" s="2">
        <v>7</v>
      </c>
    </row>
    <row r="4012" spans="1:3" x14ac:dyDescent="0.25">
      <c r="A4012" s="3">
        <v>41517</v>
      </c>
      <c r="B4012" s="2" t="s">
        <v>8</v>
      </c>
      <c r="C4012" s="2">
        <v>32</v>
      </c>
    </row>
    <row r="4013" spans="1:3" x14ac:dyDescent="0.25">
      <c r="A4013" s="3">
        <v>41912</v>
      </c>
      <c r="B4013" s="2" t="s">
        <v>44</v>
      </c>
      <c r="C4013" s="2">
        <v>10</v>
      </c>
    </row>
    <row r="4014" spans="1:3" x14ac:dyDescent="0.25">
      <c r="A4014" s="3">
        <v>41960</v>
      </c>
      <c r="B4014" s="2" t="s">
        <v>42</v>
      </c>
      <c r="C4014" s="2">
        <v>29</v>
      </c>
    </row>
    <row r="4015" spans="1:3" x14ac:dyDescent="0.25">
      <c r="A4015" s="3">
        <v>41982</v>
      </c>
      <c r="B4015" s="2" t="s">
        <v>18</v>
      </c>
      <c r="C4015" s="2">
        <v>17</v>
      </c>
    </row>
    <row r="4016" spans="1:3" x14ac:dyDescent="0.25">
      <c r="A4016" s="3">
        <v>41316</v>
      </c>
      <c r="B4016" s="2" t="s">
        <v>19</v>
      </c>
      <c r="C4016" s="2">
        <v>37</v>
      </c>
    </row>
    <row r="4017" spans="1:3" x14ac:dyDescent="0.25">
      <c r="A4017" s="3">
        <v>41533</v>
      </c>
      <c r="B4017" s="2" t="s">
        <v>47</v>
      </c>
      <c r="C4017" s="2">
        <v>18</v>
      </c>
    </row>
    <row r="4018" spans="1:3" x14ac:dyDescent="0.25">
      <c r="A4018" s="3">
        <v>41336</v>
      </c>
      <c r="B4018" s="2" t="s">
        <v>25</v>
      </c>
      <c r="C4018" s="2">
        <v>32</v>
      </c>
    </row>
    <row r="4019" spans="1:3" x14ac:dyDescent="0.25">
      <c r="A4019" s="3">
        <v>41630</v>
      </c>
      <c r="B4019" s="2" t="s">
        <v>35</v>
      </c>
      <c r="C4019" s="2">
        <v>7</v>
      </c>
    </row>
    <row r="4020" spans="1:3" x14ac:dyDescent="0.25">
      <c r="A4020" s="3">
        <v>41970</v>
      </c>
      <c r="B4020" s="2" t="s">
        <v>42</v>
      </c>
      <c r="C4020" s="2">
        <v>21</v>
      </c>
    </row>
    <row r="4021" spans="1:3" x14ac:dyDescent="0.25">
      <c r="A4021" s="3">
        <v>41483</v>
      </c>
      <c r="B4021" s="2" t="s">
        <v>51</v>
      </c>
      <c r="C4021" s="2">
        <v>19</v>
      </c>
    </row>
    <row r="4022" spans="1:3" x14ac:dyDescent="0.25">
      <c r="A4022" s="3">
        <v>41877</v>
      </c>
      <c r="B4022" s="2" t="s">
        <v>13</v>
      </c>
      <c r="C4022" s="2">
        <v>30</v>
      </c>
    </row>
    <row r="4023" spans="1:3" x14ac:dyDescent="0.25">
      <c r="A4023" s="3">
        <v>41864</v>
      </c>
      <c r="B4023" s="2" t="s">
        <v>7</v>
      </c>
      <c r="C4023" s="2">
        <v>9</v>
      </c>
    </row>
    <row r="4024" spans="1:3" x14ac:dyDescent="0.25">
      <c r="A4024" s="3">
        <v>41785</v>
      </c>
      <c r="B4024" s="2" t="s">
        <v>20</v>
      </c>
      <c r="C4024" s="2">
        <v>19</v>
      </c>
    </row>
    <row r="4025" spans="1:3" x14ac:dyDescent="0.25">
      <c r="A4025" s="3">
        <v>41443</v>
      </c>
      <c r="B4025" s="2" t="s">
        <v>36</v>
      </c>
      <c r="C4025" s="2">
        <v>26</v>
      </c>
    </row>
    <row r="4026" spans="1:3" x14ac:dyDescent="0.25">
      <c r="A4026" s="3">
        <v>41864</v>
      </c>
      <c r="B4026" s="2" t="s">
        <v>37</v>
      </c>
      <c r="C4026" s="2">
        <v>37</v>
      </c>
    </row>
    <row r="4027" spans="1:3" x14ac:dyDescent="0.25">
      <c r="A4027" s="3">
        <v>41977</v>
      </c>
      <c r="B4027" s="2" t="s">
        <v>46</v>
      </c>
      <c r="C4027" s="2">
        <v>11</v>
      </c>
    </row>
    <row r="4028" spans="1:3" x14ac:dyDescent="0.25">
      <c r="A4028" s="3">
        <v>41790</v>
      </c>
      <c r="B4028" s="2" t="s">
        <v>26</v>
      </c>
      <c r="C4028" s="2">
        <v>35</v>
      </c>
    </row>
    <row r="4029" spans="1:3" x14ac:dyDescent="0.25">
      <c r="A4029" s="3">
        <v>41645</v>
      </c>
      <c r="B4029" s="2" t="s">
        <v>28</v>
      </c>
      <c r="C4029" s="2">
        <v>29</v>
      </c>
    </row>
    <row r="4030" spans="1:3" x14ac:dyDescent="0.25">
      <c r="A4030" s="3">
        <v>41467</v>
      </c>
      <c r="B4030" s="2" t="s">
        <v>48</v>
      </c>
      <c r="C4030" s="2">
        <v>33</v>
      </c>
    </row>
    <row r="4031" spans="1:3" x14ac:dyDescent="0.25">
      <c r="A4031" s="3">
        <v>41492</v>
      </c>
      <c r="B4031" s="2" t="s">
        <v>32</v>
      </c>
      <c r="C4031" s="2">
        <v>39</v>
      </c>
    </row>
    <row r="4032" spans="1:3" x14ac:dyDescent="0.25">
      <c r="A4032" s="3">
        <v>41769</v>
      </c>
      <c r="B4032" s="2" t="s">
        <v>29</v>
      </c>
      <c r="C4032" s="2">
        <v>4</v>
      </c>
    </row>
    <row r="4033" spans="1:3" x14ac:dyDescent="0.25">
      <c r="A4033" s="3">
        <v>41636</v>
      </c>
      <c r="B4033" s="2" t="s">
        <v>14</v>
      </c>
      <c r="C4033" s="2">
        <v>35</v>
      </c>
    </row>
    <row r="4034" spans="1:3" x14ac:dyDescent="0.25">
      <c r="A4034" s="3">
        <v>41993</v>
      </c>
      <c r="B4034" s="2" t="s">
        <v>38</v>
      </c>
      <c r="C4034" s="2">
        <v>36</v>
      </c>
    </row>
    <row r="4035" spans="1:3" x14ac:dyDescent="0.25">
      <c r="A4035" s="3">
        <v>41809</v>
      </c>
      <c r="B4035" s="2" t="s">
        <v>48</v>
      </c>
      <c r="C4035" s="2">
        <v>20</v>
      </c>
    </row>
    <row r="4036" spans="1:3" x14ac:dyDescent="0.25">
      <c r="A4036" s="3">
        <v>41697</v>
      </c>
      <c r="B4036" s="2" t="s">
        <v>4</v>
      </c>
      <c r="C4036" s="2">
        <v>22</v>
      </c>
    </row>
    <row r="4037" spans="1:3" x14ac:dyDescent="0.25">
      <c r="A4037" s="3">
        <v>41934</v>
      </c>
      <c r="B4037" s="2" t="s">
        <v>49</v>
      </c>
      <c r="C4037" s="2">
        <v>11</v>
      </c>
    </row>
    <row r="4038" spans="1:3" x14ac:dyDescent="0.25">
      <c r="A4038" s="3">
        <v>41308</v>
      </c>
      <c r="B4038" s="2" t="s">
        <v>33</v>
      </c>
      <c r="C4038" s="2">
        <v>41</v>
      </c>
    </row>
    <row r="4039" spans="1:3" x14ac:dyDescent="0.25">
      <c r="A4039" s="3">
        <v>41390</v>
      </c>
      <c r="B4039" s="2" t="s">
        <v>35</v>
      </c>
      <c r="C4039" s="2">
        <v>13</v>
      </c>
    </row>
    <row r="4040" spans="1:3" x14ac:dyDescent="0.25">
      <c r="A4040" s="3">
        <v>42001</v>
      </c>
      <c r="B4040" s="2" t="s">
        <v>18</v>
      </c>
      <c r="C4040" s="2">
        <v>11</v>
      </c>
    </row>
    <row r="4041" spans="1:3" x14ac:dyDescent="0.25">
      <c r="A4041" s="3">
        <v>41423</v>
      </c>
      <c r="B4041" s="2" t="s">
        <v>27</v>
      </c>
      <c r="C4041" s="2">
        <v>21</v>
      </c>
    </row>
    <row r="4042" spans="1:3" x14ac:dyDescent="0.25">
      <c r="A4042" s="3">
        <v>41622</v>
      </c>
      <c r="B4042" s="2" t="s">
        <v>3</v>
      </c>
      <c r="C4042" s="2">
        <v>65</v>
      </c>
    </row>
    <row r="4043" spans="1:3" x14ac:dyDescent="0.25">
      <c r="A4043" s="3">
        <v>41897</v>
      </c>
      <c r="B4043" s="2" t="s">
        <v>5</v>
      </c>
      <c r="C4043" s="2">
        <v>11</v>
      </c>
    </row>
    <row r="4044" spans="1:3" x14ac:dyDescent="0.25">
      <c r="A4044" s="3">
        <v>41422</v>
      </c>
      <c r="B4044" s="2" t="s">
        <v>16</v>
      </c>
      <c r="C4044" s="2">
        <v>30</v>
      </c>
    </row>
    <row r="4045" spans="1:3" x14ac:dyDescent="0.25">
      <c r="A4045" s="3">
        <v>41302</v>
      </c>
      <c r="B4045" s="2" t="s">
        <v>37</v>
      </c>
      <c r="C4045" s="2">
        <v>23</v>
      </c>
    </row>
    <row r="4046" spans="1:3" x14ac:dyDescent="0.25">
      <c r="A4046" s="3">
        <v>41360</v>
      </c>
      <c r="B4046" s="2" t="s">
        <v>9</v>
      </c>
      <c r="C4046" s="2">
        <v>17</v>
      </c>
    </row>
    <row r="4047" spans="1:3" x14ac:dyDescent="0.25">
      <c r="A4047" s="3">
        <v>41476</v>
      </c>
      <c r="B4047" s="2" t="s">
        <v>38</v>
      </c>
      <c r="C4047" s="2">
        <v>25</v>
      </c>
    </row>
    <row r="4048" spans="1:3" x14ac:dyDescent="0.25">
      <c r="A4048" s="3">
        <v>41724</v>
      </c>
      <c r="B4048" s="2" t="s">
        <v>46</v>
      </c>
      <c r="C4048" s="2">
        <v>72</v>
      </c>
    </row>
    <row r="4049" spans="1:3" x14ac:dyDescent="0.25">
      <c r="A4049" s="3">
        <v>41937</v>
      </c>
      <c r="B4049" s="2" t="s">
        <v>31</v>
      </c>
      <c r="C4049" s="2">
        <v>30</v>
      </c>
    </row>
    <row r="4050" spans="1:3" x14ac:dyDescent="0.25">
      <c r="A4050" s="3">
        <v>41805</v>
      </c>
      <c r="B4050" s="2" t="s">
        <v>38</v>
      </c>
      <c r="C4050" s="2">
        <v>36</v>
      </c>
    </row>
    <row r="4051" spans="1:3" x14ac:dyDescent="0.25">
      <c r="A4051" s="3">
        <v>41294</v>
      </c>
      <c r="B4051" s="2" t="s">
        <v>44</v>
      </c>
      <c r="C4051" s="2">
        <v>22</v>
      </c>
    </row>
    <row r="4052" spans="1:3" x14ac:dyDescent="0.25">
      <c r="A4052" s="3">
        <v>41570</v>
      </c>
      <c r="B4052" s="2" t="s">
        <v>2</v>
      </c>
      <c r="C4052" s="2">
        <v>17</v>
      </c>
    </row>
    <row r="4053" spans="1:3" x14ac:dyDescent="0.25">
      <c r="A4053" s="3">
        <v>41777</v>
      </c>
      <c r="B4053" s="2" t="s">
        <v>31</v>
      </c>
      <c r="C4053" s="2">
        <v>6</v>
      </c>
    </row>
    <row r="4054" spans="1:3" x14ac:dyDescent="0.25">
      <c r="A4054" s="3">
        <v>41552</v>
      </c>
      <c r="B4054" s="2" t="s">
        <v>46</v>
      </c>
      <c r="C4054" s="2">
        <v>6</v>
      </c>
    </row>
    <row r="4055" spans="1:3" x14ac:dyDescent="0.25">
      <c r="A4055" s="3">
        <v>41379</v>
      </c>
      <c r="B4055" s="2" t="s">
        <v>22</v>
      </c>
      <c r="C4055" s="2">
        <v>39</v>
      </c>
    </row>
    <row r="4056" spans="1:3" x14ac:dyDescent="0.25">
      <c r="A4056" s="3">
        <v>41969</v>
      </c>
      <c r="B4056" s="2" t="s">
        <v>40</v>
      </c>
      <c r="C4056" s="2">
        <v>4</v>
      </c>
    </row>
    <row r="4057" spans="1:3" x14ac:dyDescent="0.25">
      <c r="A4057" s="3">
        <v>41696</v>
      </c>
      <c r="B4057" s="2" t="s">
        <v>14</v>
      </c>
      <c r="C4057" s="2">
        <v>52</v>
      </c>
    </row>
    <row r="4058" spans="1:3" x14ac:dyDescent="0.25">
      <c r="A4058" s="3">
        <v>41808</v>
      </c>
      <c r="B4058" s="2" t="s">
        <v>45</v>
      </c>
      <c r="C4058" s="2">
        <v>8</v>
      </c>
    </row>
    <row r="4059" spans="1:3" x14ac:dyDescent="0.25">
      <c r="A4059" s="3">
        <v>41440</v>
      </c>
      <c r="B4059" s="2" t="s">
        <v>23</v>
      </c>
      <c r="C4059" s="2">
        <v>21</v>
      </c>
    </row>
    <row r="4060" spans="1:3" x14ac:dyDescent="0.25">
      <c r="A4060" s="3">
        <v>41608</v>
      </c>
      <c r="B4060" s="2" t="s">
        <v>36</v>
      </c>
      <c r="C4060" s="2">
        <v>9</v>
      </c>
    </row>
    <row r="4061" spans="1:3" x14ac:dyDescent="0.25">
      <c r="A4061" s="3">
        <v>41383</v>
      </c>
      <c r="B4061" s="2" t="s">
        <v>27</v>
      </c>
      <c r="C4061" s="2">
        <v>23</v>
      </c>
    </row>
    <row r="4062" spans="1:3" x14ac:dyDescent="0.25">
      <c r="A4062" s="3">
        <v>41711</v>
      </c>
      <c r="B4062" s="2" t="s">
        <v>46</v>
      </c>
      <c r="C4062" s="2">
        <v>23</v>
      </c>
    </row>
    <row r="4063" spans="1:3" x14ac:dyDescent="0.25">
      <c r="A4063" s="3">
        <v>41576</v>
      </c>
      <c r="B4063" s="2" t="s">
        <v>26</v>
      </c>
      <c r="C4063" s="2">
        <v>17</v>
      </c>
    </row>
    <row r="4064" spans="1:3" x14ac:dyDescent="0.25">
      <c r="A4064" s="3">
        <v>41675</v>
      </c>
      <c r="B4064" s="2" t="s">
        <v>42</v>
      </c>
      <c r="C4064" s="2">
        <v>38</v>
      </c>
    </row>
    <row r="4065" spans="1:3" x14ac:dyDescent="0.25">
      <c r="A4065" s="3">
        <v>41791</v>
      </c>
      <c r="B4065" s="2" t="s">
        <v>13</v>
      </c>
      <c r="C4065" s="2">
        <v>37</v>
      </c>
    </row>
    <row r="4066" spans="1:3" x14ac:dyDescent="0.25">
      <c r="A4066" s="3">
        <v>41981</v>
      </c>
      <c r="B4066" s="2" t="s">
        <v>12</v>
      </c>
      <c r="C4066" s="2">
        <v>22</v>
      </c>
    </row>
    <row r="4067" spans="1:3" x14ac:dyDescent="0.25">
      <c r="A4067" s="3">
        <v>41629</v>
      </c>
      <c r="B4067" s="2" t="s">
        <v>39</v>
      </c>
      <c r="C4067" s="2">
        <v>33</v>
      </c>
    </row>
    <row r="4068" spans="1:3" x14ac:dyDescent="0.25">
      <c r="A4068" s="3">
        <v>41644</v>
      </c>
      <c r="B4068" s="2" t="s">
        <v>30</v>
      </c>
      <c r="C4068" s="2">
        <v>39</v>
      </c>
    </row>
    <row r="4069" spans="1:3" x14ac:dyDescent="0.25">
      <c r="A4069" s="3">
        <v>41926</v>
      </c>
      <c r="B4069" s="2" t="s">
        <v>14</v>
      </c>
      <c r="C4069" s="2">
        <v>25</v>
      </c>
    </row>
    <row r="4070" spans="1:3" x14ac:dyDescent="0.25">
      <c r="A4070" s="3">
        <v>41408</v>
      </c>
      <c r="B4070" s="2" t="s">
        <v>40</v>
      </c>
      <c r="C4070" s="2">
        <v>49</v>
      </c>
    </row>
    <row r="4071" spans="1:3" x14ac:dyDescent="0.25">
      <c r="A4071" s="3">
        <v>41396</v>
      </c>
      <c r="B4071" s="2" t="s">
        <v>33</v>
      </c>
      <c r="C4071" s="2">
        <v>30</v>
      </c>
    </row>
    <row r="4072" spans="1:3" x14ac:dyDescent="0.25">
      <c r="A4072" s="3">
        <v>41588</v>
      </c>
      <c r="B4072" s="2" t="s">
        <v>40</v>
      </c>
      <c r="C4072" s="2">
        <v>45</v>
      </c>
    </row>
    <row r="4073" spans="1:3" x14ac:dyDescent="0.25">
      <c r="A4073" s="3">
        <v>41641</v>
      </c>
      <c r="B4073" s="2" t="s">
        <v>6</v>
      </c>
      <c r="C4073" s="2">
        <v>22</v>
      </c>
    </row>
    <row r="4074" spans="1:3" x14ac:dyDescent="0.25">
      <c r="A4074" s="3">
        <v>41436</v>
      </c>
      <c r="B4074" s="2" t="s">
        <v>34</v>
      </c>
      <c r="C4074" s="2">
        <v>47</v>
      </c>
    </row>
    <row r="4075" spans="1:3" x14ac:dyDescent="0.25">
      <c r="A4075" s="3">
        <v>41852</v>
      </c>
      <c r="B4075" s="2" t="s">
        <v>35</v>
      </c>
      <c r="C4075" s="2">
        <v>10</v>
      </c>
    </row>
    <row r="4076" spans="1:3" x14ac:dyDescent="0.25">
      <c r="A4076" s="3">
        <v>41385</v>
      </c>
      <c r="B4076" s="2" t="s">
        <v>36</v>
      </c>
      <c r="C4076" s="2">
        <v>19</v>
      </c>
    </row>
    <row r="4077" spans="1:3" x14ac:dyDescent="0.25">
      <c r="A4077" s="3">
        <v>41407</v>
      </c>
      <c r="B4077" s="2" t="s">
        <v>43</v>
      </c>
      <c r="C4077" s="2">
        <v>19</v>
      </c>
    </row>
    <row r="4078" spans="1:3" x14ac:dyDescent="0.25">
      <c r="A4078" s="3">
        <v>41633</v>
      </c>
      <c r="B4078" s="2" t="s">
        <v>26</v>
      </c>
      <c r="C4078" s="2">
        <v>33</v>
      </c>
    </row>
    <row r="4079" spans="1:3" x14ac:dyDescent="0.25">
      <c r="A4079" s="3">
        <v>41731</v>
      </c>
      <c r="B4079" s="2" t="s">
        <v>7</v>
      </c>
      <c r="C4079" s="2">
        <v>11</v>
      </c>
    </row>
    <row r="4080" spans="1:3" x14ac:dyDescent="0.25">
      <c r="A4080" s="3">
        <v>41688</v>
      </c>
      <c r="B4080" s="2" t="s">
        <v>17</v>
      </c>
      <c r="C4080" s="2">
        <v>33</v>
      </c>
    </row>
    <row r="4081" spans="1:3" x14ac:dyDescent="0.25">
      <c r="A4081" s="3">
        <v>41652</v>
      </c>
      <c r="B4081" s="2" t="s">
        <v>29</v>
      </c>
      <c r="C4081" s="2">
        <v>45</v>
      </c>
    </row>
    <row r="4082" spans="1:3" x14ac:dyDescent="0.25">
      <c r="A4082" s="3">
        <v>41484</v>
      </c>
      <c r="B4082" s="2" t="s">
        <v>38</v>
      </c>
      <c r="C4082" s="2">
        <v>36</v>
      </c>
    </row>
    <row r="4083" spans="1:3" x14ac:dyDescent="0.25">
      <c r="A4083" s="3">
        <v>41536</v>
      </c>
      <c r="B4083" s="2" t="s">
        <v>25</v>
      </c>
      <c r="C4083" s="2">
        <v>41</v>
      </c>
    </row>
    <row r="4084" spans="1:3" x14ac:dyDescent="0.25">
      <c r="A4084" s="3">
        <v>41984</v>
      </c>
      <c r="B4084" s="2" t="s">
        <v>46</v>
      </c>
      <c r="C4084" s="2">
        <v>20</v>
      </c>
    </row>
    <row r="4085" spans="1:3" x14ac:dyDescent="0.25">
      <c r="A4085" s="3">
        <v>41600</v>
      </c>
      <c r="B4085" s="2" t="s">
        <v>16</v>
      </c>
      <c r="C4085" s="2">
        <v>20</v>
      </c>
    </row>
    <row r="4086" spans="1:3" x14ac:dyDescent="0.25">
      <c r="A4086" s="3">
        <v>41893</v>
      </c>
      <c r="B4086" s="2" t="s">
        <v>9</v>
      </c>
      <c r="C4086" s="2">
        <v>33</v>
      </c>
    </row>
    <row r="4087" spans="1:3" x14ac:dyDescent="0.25">
      <c r="A4087" s="3">
        <v>41402</v>
      </c>
      <c r="B4087" s="2" t="s">
        <v>51</v>
      </c>
      <c r="C4087" s="2">
        <v>44</v>
      </c>
    </row>
    <row r="4088" spans="1:3" x14ac:dyDescent="0.25">
      <c r="A4088" s="3">
        <v>41760</v>
      </c>
      <c r="B4088" s="2" t="s">
        <v>29</v>
      </c>
      <c r="C4088" s="2">
        <v>32</v>
      </c>
    </row>
    <row r="4089" spans="1:3" x14ac:dyDescent="0.25">
      <c r="A4089" s="3">
        <v>41319</v>
      </c>
      <c r="B4089" s="2" t="s">
        <v>25</v>
      </c>
      <c r="C4089" s="2">
        <v>27</v>
      </c>
    </row>
    <row r="4090" spans="1:3" x14ac:dyDescent="0.25">
      <c r="A4090" s="3">
        <v>41947</v>
      </c>
      <c r="B4090" s="2" t="s">
        <v>47</v>
      </c>
      <c r="C4090" s="2">
        <v>37</v>
      </c>
    </row>
    <row r="4091" spans="1:3" x14ac:dyDescent="0.25">
      <c r="A4091" s="3">
        <v>41839</v>
      </c>
      <c r="B4091" s="2" t="s">
        <v>13</v>
      </c>
      <c r="C4091" s="2">
        <v>40</v>
      </c>
    </row>
    <row r="4092" spans="1:3" x14ac:dyDescent="0.25">
      <c r="A4092" s="3">
        <v>41372</v>
      </c>
      <c r="B4092" s="2" t="s">
        <v>40</v>
      </c>
      <c r="C4092" s="2">
        <v>16</v>
      </c>
    </row>
    <row r="4093" spans="1:3" x14ac:dyDescent="0.25">
      <c r="A4093" s="3">
        <v>41896</v>
      </c>
      <c r="B4093" s="2" t="s">
        <v>10</v>
      </c>
      <c r="C4093" s="2">
        <v>35</v>
      </c>
    </row>
    <row r="4094" spans="1:3" x14ac:dyDescent="0.25">
      <c r="A4094" s="3">
        <v>41987</v>
      </c>
      <c r="B4094" s="2" t="s">
        <v>19</v>
      </c>
      <c r="C4094" s="2">
        <v>9</v>
      </c>
    </row>
    <row r="4095" spans="1:3" x14ac:dyDescent="0.25">
      <c r="A4095" s="3">
        <v>41366</v>
      </c>
      <c r="B4095" s="2" t="s">
        <v>3</v>
      </c>
      <c r="C4095" s="2">
        <v>27</v>
      </c>
    </row>
    <row r="4096" spans="1:3" x14ac:dyDescent="0.25">
      <c r="A4096" s="3">
        <v>41854</v>
      </c>
      <c r="B4096" s="2" t="s">
        <v>25</v>
      </c>
      <c r="C4096" s="2">
        <v>45</v>
      </c>
    </row>
    <row r="4097" spans="1:3" x14ac:dyDescent="0.25">
      <c r="A4097" s="3">
        <v>41449</v>
      </c>
      <c r="B4097" s="2" t="s">
        <v>46</v>
      </c>
      <c r="C4097" s="2">
        <v>17</v>
      </c>
    </row>
    <row r="4098" spans="1:3" x14ac:dyDescent="0.25">
      <c r="A4098" s="3">
        <v>41784</v>
      </c>
      <c r="B4098" s="2" t="s">
        <v>27</v>
      </c>
      <c r="C4098" s="2">
        <v>47</v>
      </c>
    </row>
    <row r="4099" spans="1:3" x14ac:dyDescent="0.25">
      <c r="A4099" s="3">
        <v>41531</v>
      </c>
      <c r="B4099" s="2" t="s">
        <v>11</v>
      </c>
      <c r="C4099" s="2">
        <v>5</v>
      </c>
    </row>
    <row r="4100" spans="1:3" x14ac:dyDescent="0.25">
      <c r="A4100" s="3">
        <v>41454</v>
      </c>
      <c r="B4100" s="2" t="s">
        <v>14</v>
      </c>
      <c r="C4100" s="2">
        <v>38</v>
      </c>
    </row>
    <row r="4101" spans="1:3" x14ac:dyDescent="0.25">
      <c r="A4101" s="3">
        <v>41693</v>
      </c>
      <c r="B4101" s="2" t="s">
        <v>18</v>
      </c>
      <c r="C4101" s="2">
        <v>40</v>
      </c>
    </row>
    <row r="4102" spans="1:3" x14ac:dyDescent="0.25">
      <c r="A4102" s="3">
        <v>41288</v>
      </c>
      <c r="B4102" s="2" t="s">
        <v>4</v>
      </c>
      <c r="C4102" s="2">
        <v>20</v>
      </c>
    </row>
    <row r="4103" spans="1:3" x14ac:dyDescent="0.25">
      <c r="A4103" s="3">
        <v>41392</v>
      </c>
      <c r="B4103" s="2" t="s">
        <v>24</v>
      </c>
      <c r="C4103" s="2">
        <v>23</v>
      </c>
    </row>
    <row r="4104" spans="1:3" x14ac:dyDescent="0.25">
      <c r="A4104" s="3">
        <v>41843</v>
      </c>
      <c r="B4104" s="2" t="s">
        <v>39</v>
      </c>
      <c r="C4104" s="2">
        <v>50</v>
      </c>
    </row>
    <row r="4105" spans="1:3" x14ac:dyDescent="0.25">
      <c r="A4105" s="3">
        <v>41423</v>
      </c>
      <c r="B4105" s="2" t="s">
        <v>26</v>
      </c>
      <c r="C4105" s="2">
        <v>33</v>
      </c>
    </row>
    <row r="4106" spans="1:3" x14ac:dyDescent="0.25">
      <c r="A4106" s="3">
        <v>41424</v>
      </c>
      <c r="B4106" s="2" t="s">
        <v>4</v>
      </c>
      <c r="C4106" s="2">
        <v>42</v>
      </c>
    </row>
    <row r="4107" spans="1:3" x14ac:dyDescent="0.25">
      <c r="A4107" s="3">
        <v>41479</v>
      </c>
      <c r="B4107" s="2" t="s">
        <v>24</v>
      </c>
      <c r="C4107" s="2">
        <v>49</v>
      </c>
    </row>
    <row r="4108" spans="1:3" x14ac:dyDescent="0.25">
      <c r="A4108" s="3">
        <v>41369</v>
      </c>
      <c r="B4108" s="2" t="s">
        <v>8</v>
      </c>
      <c r="C4108" s="2">
        <v>40</v>
      </c>
    </row>
    <row r="4109" spans="1:3" x14ac:dyDescent="0.25">
      <c r="A4109" s="3">
        <v>41935</v>
      </c>
      <c r="B4109" s="2" t="s">
        <v>13</v>
      </c>
      <c r="C4109" s="2">
        <v>12</v>
      </c>
    </row>
    <row r="4110" spans="1:3" x14ac:dyDescent="0.25">
      <c r="A4110" s="3">
        <v>41694</v>
      </c>
      <c r="B4110" s="2" t="s">
        <v>26</v>
      </c>
      <c r="C4110" s="2">
        <v>72</v>
      </c>
    </row>
    <row r="4111" spans="1:3" x14ac:dyDescent="0.25">
      <c r="A4111" s="3">
        <v>41585</v>
      </c>
      <c r="B4111" s="2" t="s">
        <v>22</v>
      </c>
      <c r="C4111" s="2">
        <v>4</v>
      </c>
    </row>
    <row r="4112" spans="1:3" x14ac:dyDescent="0.25">
      <c r="A4112" s="3">
        <v>41552</v>
      </c>
      <c r="B4112" s="2" t="s">
        <v>31</v>
      </c>
      <c r="C4112" s="2">
        <v>35</v>
      </c>
    </row>
    <row r="4113" spans="1:3" x14ac:dyDescent="0.25">
      <c r="A4113" s="3">
        <v>41406</v>
      </c>
      <c r="B4113" s="2" t="s">
        <v>47</v>
      </c>
      <c r="C4113" s="2">
        <v>21</v>
      </c>
    </row>
    <row r="4114" spans="1:3" x14ac:dyDescent="0.25">
      <c r="A4114" s="3">
        <v>41803</v>
      </c>
      <c r="B4114" s="2" t="s">
        <v>12</v>
      </c>
      <c r="C4114" s="2">
        <v>15</v>
      </c>
    </row>
    <row r="4115" spans="1:3" x14ac:dyDescent="0.25">
      <c r="A4115" s="3">
        <v>41354</v>
      </c>
      <c r="B4115" s="2" t="s">
        <v>12</v>
      </c>
      <c r="C4115" s="2">
        <v>26</v>
      </c>
    </row>
    <row r="4116" spans="1:3" x14ac:dyDescent="0.25">
      <c r="A4116" s="3">
        <v>41723</v>
      </c>
      <c r="B4116" s="2" t="s">
        <v>39</v>
      </c>
      <c r="C4116" s="2">
        <v>28</v>
      </c>
    </row>
    <row r="4117" spans="1:3" x14ac:dyDescent="0.25">
      <c r="A4117" s="3">
        <v>41807</v>
      </c>
      <c r="B4117" s="2" t="s">
        <v>12</v>
      </c>
      <c r="C4117" s="2">
        <v>39</v>
      </c>
    </row>
    <row r="4118" spans="1:3" x14ac:dyDescent="0.25">
      <c r="A4118" s="3">
        <v>41973</v>
      </c>
      <c r="B4118" s="2" t="s">
        <v>20</v>
      </c>
      <c r="C4118" s="2">
        <v>33</v>
      </c>
    </row>
    <row r="4119" spans="1:3" x14ac:dyDescent="0.25">
      <c r="A4119" s="3">
        <v>41537</v>
      </c>
      <c r="B4119" s="2" t="s">
        <v>34</v>
      </c>
      <c r="C4119" s="2">
        <v>13</v>
      </c>
    </row>
    <row r="4120" spans="1:3" x14ac:dyDescent="0.25">
      <c r="A4120" s="3">
        <v>41484</v>
      </c>
      <c r="B4120" s="2" t="s">
        <v>22</v>
      </c>
      <c r="C4120" s="2">
        <v>20</v>
      </c>
    </row>
    <row r="4121" spans="1:3" x14ac:dyDescent="0.25">
      <c r="A4121" s="3">
        <v>41898</v>
      </c>
      <c r="B4121" s="2" t="s">
        <v>40</v>
      </c>
      <c r="C4121" s="2">
        <v>22</v>
      </c>
    </row>
    <row r="4122" spans="1:3" x14ac:dyDescent="0.25">
      <c r="A4122" s="3">
        <v>41624</v>
      </c>
      <c r="B4122" s="2" t="s">
        <v>35</v>
      </c>
      <c r="C4122" s="2">
        <v>32</v>
      </c>
    </row>
    <row r="4123" spans="1:3" x14ac:dyDescent="0.25">
      <c r="A4123" s="3">
        <v>41847</v>
      </c>
      <c r="B4123" s="2" t="s">
        <v>27</v>
      </c>
      <c r="C4123" s="2">
        <v>50</v>
      </c>
    </row>
    <row r="4124" spans="1:3" x14ac:dyDescent="0.25">
      <c r="A4124" s="3">
        <v>41367</v>
      </c>
      <c r="B4124" s="2" t="s">
        <v>42</v>
      </c>
      <c r="C4124" s="2">
        <v>38</v>
      </c>
    </row>
    <row r="4125" spans="1:3" x14ac:dyDescent="0.25">
      <c r="A4125" s="3">
        <v>41579</v>
      </c>
      <c r="B4125" s="2" t="s">
        <v>20</v>
      </c>
      <c r="C4125" s="2">
        <v>26</v>
      </c>
    </row>
    <row r="4126" spans="1:3" x14ac:dyDescent="0.25">
      <c r="A4126" s="3">
        <v>41653</v>
      </c>
      <c r="B4126" s="2" t="s">
        <v>17</v>
      </c>
      <c r="C4126" s="2">
        <v>23</v>
      </c>
    </row>
    <row r="4127" spans="1:3" x14ac:dyDescent="0.25">
      <c r="A4127" s="3">
        <v>41341</v>
      </c>
      <c r="B4127" s="2" t="s">
        <v>25</v>
      </c>
      <c r="C4127" s="2">
        <v>35</v>
      </c>
    </row>
    <row r="4128" spans="1:3" x14ac:dyDescent="0.25">
      <c r="A4128" s="3">
        <v>41336</v>
      </c>
      <c r="B4128" s="2" t="s">
        <v>3</v>
      </c>
      <c r="C4128" s="2">
        <v>26</v>
      </c>
    </row>
    <row r="4129" spans="1:3" x14ac:dyDescent="0.25">
      <c r="A4129" s="3">
        <v>41420</v>
      </c>
      <c r="B4129" s="2" t="s">
        <v>5</v>
      </c>
      <c r="C4129" s="2">
        <v>23</v>
      </c>
    </row>
    <row r="4130" spans="1:3" x14ac:dyDescent="0.25">
      <c r="A4130" s="3">
        <v>41375</v>
      </c>
      <c r="B4130" s="2" t="s">
        <v>22</v>
      </c>
      <c r="C4130" s="2">
        <v>16</v>
      </c>
    </row>
    <row r="4131" spans="1:3" x14ac:dyDescent="0.25">
      <c r="A4131" s="3">
        <v>41863</v>
      </c>
      <c r="B4131" s="2" t="s">
        <v>2</v>
      </c>
      <c r="C4131" s="2">
        <v>17</v>
      </c>
    </row>
    <row r="4132" spans="1:3" x14ac:dyDescent="0.25">
      <c r="A4132" s="3">
        <v>41639</v>
      </c>
      <c r="B4132" s="2" t="s">
        <v>7</v>
      </c>
      <c r="C4132" s="2">
        <v>32</v>
      </c>
    </row>
    <row r="4133" spans="1:3" x14ac:dyDescent="0.25">
      <c r="A4133" s="3">
        <v>41536</v>
      </c>
      <c r="B4133" s="2" t="s">
        <v>38</v>
      </c>
      <c r="C4133" s="2">
        <v>52</v>
      </c>
    </row>
    <row r="4134" spans="1:3" x14ac:dyDescent="0.25">
      <c r="A4134" s="3">
        <v>41449</v>
      </c>
      <c r="B4134" s="2" t="s">
        <v>10</v>
      </c>
      <c r="C4134" s="2">
        <v>45</v>
      </c>
    </row>
    <row r="4135" spans="1:3" x14ac:dyDescent="0.25">
      <c r="A4135" s="3">
        <v>41875</v>
      </c>
      <c r="B4135" s="2" t="s">
        <v>44</v>
      </c>
      <c r="C4135" s="2">
        <v>51</v>
      </c>
    </row>
    <row r="4136" spans="1:3" x14ac:dyDescent="0.25">
      <c r="A4136" s="3">
        <v>41645</v>
      </c>
      <c r="B4136" s="2" t="s">
        <v>41</v>
      </c>
      <c r="C4136" s="2">
        <v>51</v>
      </c>
    </row>
    <row r="4137" spans="1:3" x14ac:dyDescent="0.25">
      <c r="A4137" s="3">
        <v>41650</v>
      </c>
      <c r="B4137" s="2" t="s">
        <v>14</v>
      </c>
      <c r="C4137" s="2">
        <v>31</v>
      </c>
    </row>
    <row r="4138" spans="1:3" x14ac:dyDescent="0.25">
      <c r="A4138" s="3">
        <v>41885</v>
      </c>
      <c r="B4138" s="2" t="s">
        <v>36</v>
      </c>
      <c r="C4138" s="2">
        <v>43</v>
      </c>
    </row>
    <row r="4139" spans="1:3" x14ac:dyDescent="0.25">
      <c r="A4139" s="3">
        <v>41748</v>
      </c>
      <c r="B4139" s="2" t="s">
        <v>23</v>
      </c>
      <c r="C4139" s="2">
        <v>31</v>
      </c>
    </row>
    <row r="4140" spans="1:3" x14ac:dyDescent="0.25">
      <c r="A4140" s="3">
        <v>41928</v>
      </c>
      <c r="B4140" s="2" t="s">
        <v>22</v>
      </c>
      <c r="C4140" s="2">
        <v>13</v>
      </c>
    </row>
    <row r="4141" spans="1:3" x14ac:dyDescent="0.25">
      <c r="A4141" s="3">
        <v>41981</v>
      </c>
      <c r="B4141" s="2" t="s">
        <v>30</v>
      </c>
      <c r="C4141" s="2">
        <v>26</v>
      </c>
    </row>
    <row r="4142" spans="1:3" x14ac:dyDescent="0.25">
      <c r="A4142" s="3">
        <v>41822</v>
      </c>
      <c r="B4142" s="2" t="s">
        <v>28</v>
      </c>
      <c r="C4142" s="2">
        <v>24</v>
      </c>
    </row>
    <row r="4143" spans="1:3" x14ac:dyDescent="0.25">
      <c r="A4143" s="3">
        <v>41653</v>
      </c>
      <c r="B4143" s="2" t="s">
        <v>38</v>
      </c>
      <c r="C4143" s="2">
        <v>42</v>
      </c>
    </row>
    <row r="4144" spans="1:3" x14ac:dyDescent="0.25">
      <c r="A4144" s="3">
        <v>41926</v>
      </c>
      <c r="B4144" s="2" t="s">
        <v>5</v>
      </c>
      <c r="C4144" s="2">
        <v>13</v>
      </c>
    </row>
    <row r="4145" spans="1:3" x14ac:dyDescent="0.25">
      <c r="A4145" s="3">
        <v>41676</v>
      </c>
      <c r="B4145" s="2" t="s">
        <v>14</v>
      </c>
      <c r="C4145" s="2">
        <v>10</v>
      </c>
    </row>
    <row r="4146" spans="1:3" x14ac:dyDescent="0.25">
      <c r="A4146" s="3">
        <v>41873</v>
      </c>
      <c r="B4146" s="2" t="s">
        <v>5</v>
      </c>
      <c r="C4146" s="2">
        <v>50</v>
      </c>
    </row>
    <row r="4147" spans="1:3" x14ac:dyDescent="0.25">
      <c r="A4147" s="3">
        <v>41545</v>
      </c>
      <c r="B4147" s="2" t="s">
        <v>32</v>
      </c>
      <c r="C4147" s="2">
        <v>26</v>
      </c>
    </row>
    <row r="4148" spans="1:3" x14ac:dyDescent="0.25">
      <c r="A4148" s="3">
        <v>41458</v>
      </c>
      <c r="B4148" s="2" t="s">
        <v>37</v>
      </c>
      <c r="C4148" s="2">
        <v>21</v>
      </c>
    </row>
    <row r="4149" spans="1:3" x14ac:dyDescent="0.25">
      <c r="A4149" s="3">
        <v>41977</v>
      </c>
      <c r="B4149" s="2" t="s">
        <v>19</v>
      </c>
      <c r="C4149" s="2">
        <v>26</v>
      </c>
    </row>
    <row r="4150" spans="1:3" x14ac:dyDescent="0.25">
      <c r="A4150" s="3">
        <v>41959</v>
      </c>
      <c r="B4150" s="2" t="s">
        <v>11</v>
      </c>
      <c r="C4150" s="2">
        <v>5</v>
      </c>
    </row>
    <row r="4151" spans="1:3" x14ac:dyDescent="0.25">
      <c r="A4151" s="3">
        <v>41644</v>
      </c>
      <c r="B4151" s="2" t="s">
        <v>5</v>
      </c>
      <c r="C4151" s="2">
        <v>27</v>
      </c>
    </row>
    <row r="4152" spans="1:3" x14ac:dyDescent="0.25">
      <c r="A4152" s="3">
        <v>41524</v>
      </c>
      <c r="B4152" s="2" t="s">
        <v>17</v>
      </c>
      <c r="C4152" s="2">
        <v>38</v>
      </c>
    </row>
    <row r="4153" spans="1:3" x14ac:dyDescent="0.25">
      <c r="A4153" s="3">
        <v>41422</v>
      </c>
      <c r="B4153" s="2" t="s">
        <v>43</v>
      </c>
      <c r="C4153" s="2">
        <v>25</v>
      </c>
    </row>
    <row r="4154" spans="1:3" x14ac:dyDescent="0.25">
      <c r="A4154" s="3">
        <v>41343</v>
      </c>
      <c r="B4154" s="2" t="s">
        <v>19</v>
      </c>
      <c r="C4154" s="2">
        <v>28</v>
      </c>
    </row>
    <row r="4155" spans="1:3" x14ac:dyDescent="0.25">
      <c r="A4155" s="3">
        <v>41875</v>
      </c>
      <c r="B4155" s="2" t="s">
        <v>37</v>
      </c>
      <c r="C4155" s="2">
        <v>50</v>
      </c>
    </row>
    <row r="4156" spans="1:3" x14ac:dyDescent="0.25">
      <c r="A4156" s="3">
        <v>41783</v>
      </c>
      <c r="B4156" s="2" t="s">
        <v>21</v>
      </c>
      <c r="C4156" s="2">
        <v>24</v>
      </c>
    </row>
    <row r="4157" spans="1:3" x14ac:dyDescent="0.25">
      <c r="A4157" s="3">
        <v>41320</v>
      </c>
      <c r="B4157" s="2" t="s">
        <v>32</v>
      </c>
      <c r="C4157" s="2">
        <v>16</v>
      </c>
    </row>
    <row r="4158" spans="1:3" x14ac:dyDescent="0.25">
      <c r="A4158" s="3">
        <v>41352</v>
      </c>
      <c r="B4158" s="2" t="s">
        <v>35</v>
      </c>
      <c r="C4158" s="2">
        <v>13</v>
      </c>
    </row>
    <row r="4159" spans="1:3" x14ac:dyDescent="0.25">
      <c r="A4159" s="3">
        <v>41703</v>
      </c>
      <c r="B4159" s="2" t="s">
        <v>34</v>
      </c>
      <c r="C4159" s="2">
        <v>27</v>
      </c>
    </row>
    <row r="4160" spans="1:3" x14ac:dyDescent="0.25">
      <c r="A4160" s="3">
        <v>41926</v>
      </c>
      <c r="B4160" s="2" t="s">
        <v>26</v>
      </c>
      <c r="C4160" s="2">
        <v>10</v>
      </c>
    </row>
    <row r="4161" spans="1:3" x14ac:dyDescent="0.25">
      <c r="A4161" s="3">
        <v>41940</v>
      </c>
      <c r="B4161" s="2" t="s">
        <v>7</v>
      </c>
      <c r="C4161" s="2">
        <v>44</v>
      </c>
    </row>
    <row r="4162" spans="1:3" x14ac:dyDescent="0.25">
      <c r="A4162" s="3">
        <v>41912</v>
      </c>
      <c r="B4162" s="2" t="s">
        <v>20</v>
      </c>
      <c r="C4162" s="2">
        <v>6</v>
      </c>
    </row>
    <row r="4163" spans="1:3" x14ac:dyDescent="0.25">
      <c r="A4163" s="3">
        <v>41574</v>
      </c>
      <c r="B4163" s="2" t="s">
        <v>31</v>
      </c>
      <c r="C4163" s="2">
        <v>47</v>
      </c>
    </row>
    <row r="4164" spans="1:3" x14ac:dyDescent="0.25">
      <c r="A4164" s="3">
        <v>41490</v>
      </c>
      <c r="B4164" s="2" t="s">
        <v>51</v>
      </c>
      <c r="C4164" s="2">
        <v>14</v>
      </c>
    </row>
    <row r="4165" spans="1:3" x14ac:dyDescent="0.25">
      <c r="A4165" s="3">
        <v>41418</v>
      </c>
      <c r="B4165" s="2" t="s">
        <v>14</v>
      </c>
      <c r="C4165" s="2">
        <v>21</v>
      </c>
    </row>
    <row r="4166" spans="1:3" x14ac:dyDescent="0.25">
      <c r="A4166" s="3">
        <v>41849</v>
      </c>
      <c r="B4166" s="2" t="s">
        <v>44</v>
      </c>
      <c r="C4166" s="2">
        <v>22</v>
      </c>
    </row>
    <row r="4167" spans="1:3" x14ac:dyDescent="0.25">
      <c r="A4167" s="3">
        <v>41703</v>
      </c>
      <c r="B4167" s="2" t="s">
        <v>14</v>
      </c>
      <c r="C4167" s="2">
        <v>16</v>
      </c>
    </row>
    <row r="4168" spans="1:3" x14ac:dyDescent="0.25">
      <c r="A4168" s="3">
        <v>41943</v>
      </c>
      <c r="B4168" s="2" t="s">
        <v>26</v>
      </c>
      <c r="C4168" s="2">
        <v>26</v>
      </c>
    </row>
    <row r="4169" spans="1:3" x14ac:dyDescent="0.25">
      <c r="A4169" s="3">
        <v>41539</v>
      </c>
      <c r="B4169" s="2" t="s">
        <v>6</v>
      </c>
      <c r="C4169" s="2">
        <v>1</v>
      </c>
    </row>
    <row r="4170" spans="1:3" x14ac:dyDescent="0.25">
      <c r="A4170" s="3">
        <v>41782</v>
      </c>
      <c r="B4170" s="2" t="s">
        <v>22</v>
      </c>
      <c r="C4170" s="2">
        <v>9</v>
      </c>
    </row>
    <row r="4171" spans="1:3" x14ac:dyDescent="0.25">
      <c r="A4171" s="3">
        <v>41716</v>
      </c>
      <c r="B4171" s="2" t="s">
        <v>42</v>
      </c>
      <c r="C4171" s="2">
        <v>41</v>
      </c>
    </row>
    <row r="4172" spans="1:3" x14ac:dyDescent="0.25">
      <c r="A4172" s="3">
        <v>41863</v>
      </c>
      <c r="B4172" s="2" t="s">
        <v>7</v>
      </c>
      <c r="C4172" s="2">
        <v>32</v>
      </c>
    </row>
    <row r="4173" spans="1:3" x14ac:dyDescent="0.25">
      <c r="A4173" s="3">
        <v>41622</v>
      </c>
      <c r="B4173" s="2" t="s">
        <v>27</v>
      </c>
      <c r="C4173" s="2">
        <v>8</v>
      </c>
    </row>
    <row r="4174" spans="1:3" x14ac:dyDescent="0.25">
      <c r="A4174" s="3">
        <v>41412</v>
      </c>
      <c r="B4174" s="2" t="s">
        <v>26</v>
      </c>
      <c r="C4174" s="2">
        <v>41</v>
      </c>
    </row>
    <row r="4175" spans="1:3" x14ac:dyDescent="0.25">
      <c r="A4175" s="3">
        <v>41646</v>
      </c>
      <c r="B4175" s="2" t="s">
        <v>5</v>
      </c>
      <c r="C4175" s="2">
        <v>21</v>
      </c>
    </row>
    <row r="4176" spans="1:3" x14ac:dyDescent="0.25">
      <c r="A4176" s="3">
        <v>41504</v>
      </c>
      <c r="B4176" s="2" t="s">
        <v>11</v>
      </c>
      <c r="C4176" s="2">
        <v>16</v>
      </c>
    </row>
    <row r="4177" spans="1:3" x14ac:dyDescent="0.25">
      <c r="A4177" s="3">
        <v>41709</v>
      </c>
      <c r="B4177" s="2" t="s">
        <v>46</v>
      </c>
      <c r="C4177" s="2">
        <v>51</v>
      </c>
    </row>
    <row r="4178" spans="1:3" x14ac:dyDescent="0.25">
      <c r="A4178" s="3">
        <v>41304</v>
      </c>
      <c r="B4178" s="2" t="s">
        <v>5</v>
      </c>
      <c r="C4178" s="2">
        <v>8</v>
      </c>
    </row>
    <row r="4179" spans="1:3" x14ac:dyDescent="0.25">
      <c r="A4179" s="3">
        <v>41947</v>
      </c>
      <c r="B4179" s="2" t="s">
        <v>49</v>
      </c>
      <c r="C4179" s="2">
        <v>44</v>
      </c>
    </row>
    <row r="4180" spans="1:3" x14ac:dyDescent="0.25">
      <c r="A4180" s="3">
        <v>41516</v>
      </c>
      <c r="B4180" s="2" t="s">
        <v>21</v>
      </c>
      <c r="C4180" s="2">
        <v>3</v>
      </c>
    </row>
    <row r="4181" spans="1:3" x14ac:dyDescent="0.25">
      <c r="A4181" s="3">
        <v>41432</v>
      </c>
      <c r="B4181" s="2" t="s">
        <v>24</v>
      </c>
      <c r="C4181" s="2">
        <v>37</v>
      </c>
    </row>
    <row r="4182" spans="1:3" x14ac:dyDescent="0.25">
      <c r="A4182" s="3">
        <v>41639</v>
      </c>
      <c r="B4182" s="2" t="s">
        <v>24</v>
      </c>
      <c r="C4182" s="2">
        <v>20</v>
      </c>
    </row>
    <row r="4183" spans="1:3" x14ac:dyDescent="0.25">
      <c r="A4183" s="3">
        <v>41718</v>
      </c>
      <c r="B4183" s="2" t="s">
        <v>9</v>
      </c>
      <c r="C4183" s="2">
        <v>26</v>
      </c>
    </row>
    <row r="4184" spans="1:3" x14ac:dyDescent="0.25">
      <c r="A4184" s="3">
        <v>41914</v>
      </c>
      <c r="B4184" s="2" t="s">
        <v>8</v>
      </c>
      <c r="C4184" s="2">
        <v>12</v>
      </c>
    </row>
    <row r="4185" spans="1:3" x14ac:dyDescent="0.25">
      <c r="A4185" s="3">
        <v>41321</v>
      </c>
      <c r="B4185" s="2" t="s">
        <v>44</v>
      </c>
      <c r="C4185" s="2">
        <v>10</v>
      </c>
    </row>
    <row r="4186" spans="1:3" x14ac:dyDescent="0.25">
      <c r="A4186" s="3">
        <v>41340</v>
      </c>
      <c r="B4186" s="2" t="s">
        <v>29</v>
      </c>
      <c r="C4186" s="2">
        <v>17</v>
      </c>
    </row>
    <row r="4187" spans="1:3" x14ac:dyDescent="0.25">
      <c r="A4187" s="3">
        <v>41285</v>
      </c>
      <c r="B4187" s="2" t="s">
        <v>18</v>
      </c>
      <c r="C4187" s="2">
        <v>35</v>
      </c>
    </row>
    <row r="4188" spans="1:3" x14ac:dyDescent="0.25">
      <c r="A4188" s="3">
        <v>41727</v>
      </c>
      <c r="B4188" s="2" t="s">
        <v>15</v>
      </c>
      <c r="C4188" s="2">
        <v>23</v>
      </c>
    </row>
    <row r="4189" spans="1:3" x14ac:dyDescent="0.25">
      <c r="A4189" s="3">
        <v>41512</v>
      </c>
      <c r="B4189" s="2" t="s">
        <v>22</v>
      </c>
      <c r="C4189" s="2">
        <v>48</v>
      </c>
    </row>
    <row r="4190" spans="1:3" x14ac:dyDescent="0.25">
      <c r="A4190" s="3">
        <v>41867</v>
      </c>
      <c r="B4190" s="2" t="s">
        <v>3</v>
      </c>
      <c r="C4190" s="2">
        <v>25</v>
      </c>
    </row>
    <row r="4191" spans="1:3" x14ac:dyDescent="0.25">
      <c r="A4191" s="3">
        <v>41780</v>
      </c>
      <c r="B4191" s="2" t="s">
        <v>11</v>
      </c>
      <c r="C4191" s="2">
        <v>39</v>
      </c>
    </row>
    <row r="4192" spans="1:3" x14ac:dyDescent="0.25">
      <c r="A4192" s="3">
        <v>41939</v>
      </c>
      <c r="B4192" s="2" t="s">
        <v>18</v>
      </c>
      <c r="C4192" s="2">
        <v>20</v>
      </c>
    </row>
    <row r="4193" spans="1:3" x14ac:dyDescent="0.25">
      <c r="A4193" s="3">
        <v>41615</v>
      </c>
      <c r="B4193" s="2" t="s">
        <v>37</v>
      </c>
      <c r="C4193" s="2">
        <v>40</v>
      </c>
    </row>
    <row r="4194" spans="1:3" x14ac:dyDescent="0.25">
      <c r="A4194" s="3">
        <v>41641</v>
      </c>
      <c r="B4194" s="2" t="s">
        <v>24</v>
      </c>
      <c r="C4194" s="2">
        <v>9</v>
      </c>
    </row>
    <row r="4195" spans="1:3" x14ac:dyDescent="0.25">
      <c r="A4195" s="3">
        <v>41958</v>
      </c>
      <c r="B4195" s="2" t="s">
        <v>7</v>
      </c>
      <c r="C4195" s="2">
        <v>8</v>
      </c>
    </row>
    <row r="4196" spans="1:3" x14ac:dyDescent="0.25">
      <c r="A4196" s="3">
        <v>41990</v>
      </c>
      <c r="B4196" s="2" t="s">
        <v>35</v>
      </c>
      <c r="C4196" s="2">
        <v>65</v>
      </c>
    </row>
    <row r="4197" spans="1:3" x14ac:dyDescent="0.25">
      <c r="A4197" s="3">
        <v>41875</v>
      </c>
      <c r="B4197" s="2" t="s">
        <v>40</v>
      </c>
      <c r="C4197" s="2">
        <v>24</v>
      </c>
    </row>
    <row r="4198" spans="1:3" x14ac:dyDescent="0.25">
      <c r="A4198" s="3">
        <v>41928</v>
      </c>
      <c r="B4198" s="2" t="s">
        <v>26</v>
      </c>
      <c r="C4198" s="2">
        <v>26</v>
      </c>
    </row>
    <row r="4199" spans="1:3" x14ac:dyDescent="0.25">
      <c r="A4199" s="3">
        <v>41487</v>
      </c>
      <c r="B4199" s="2" t="s">
        <v>17</v>
      </c>
      <c r="C4199" s="2">
        <v>11</v>
      </c>
    </row>
    <row r="4200" spans="1:3" x14ac:dyDescent="0.25">
      <c r="A4200" s="3">
        <v>41574</v>
      </c>
      <c r="B4200" s="2" t="s">
        <v>44</v>
      </c>
      <c r="C4200" s="2">
        <v>46</v>
      </c>
    </row>
    <row r="4201" spans="1:3" x14ac:dyDescent="0.25">
      <c r="A4201" s="3">
        <v>41553</v>
      </c>
      <c r="B4201" s="2" t="s">
        <v>46</v>
      </c>
      <c r="C4201" s="2">
        <v>26</v>
      </c>
    </row>
    <row r="4202" spans="1:3" x14ac:dyDescent="0.25">
      <c r="A4202" s="3">
        <v>41931</v>
      </c>
      <c r="B4202" s="2" t="s">
        <v>23</v>
      </c>
      <c r="C4202" s="2">
        <v>27</v>
      </c>
    </row>
    <row r="4203" spans="1:3" x14ac:dyDescent="0.25">
      <c r="A4203" s="3">
        <v>41796</v>
      </c>
      <c r="B4203" s="2" t="s">
        <v>26</v>
      </c>
      <c r="C4203" s="2">
        <v>28</v>
      </c>
    </row>
    <row r="4204" spans="1:3" x14ac:dyDescent="0.25">
      <c r="A4204" s="3">
        <v>41320</v>
      </c>
      <c r="B4204" s="2" t="s">
        <v>5</v>
      </c>
      <c r="C4204" s="2">
        <v>46</v>
      </c>
    </row>
    <row r="4205" spans="1:3" x14ac:dyDescent="0.25">
      <c r="A4205" s="3">
        <v>41276</v>
      </c>
      <c r="B4205" s="2" t="s">
        <v>43</v>
      </c>
      <c r="C4205" s="2">
        <v>4</v>
      </c>
    </row>
    <row r="4206" spans="1:3" x14ac:dyDescent="0.25">
      <c r="A4206" s="3">
        <v>41981</v>
      </c>
      <c r="B4206" s="2" t="s">
        <v>14</v>
      </c>
      <c r="C4206" s="2">
        <v>43</v>
      </c>
    </row>
    <row r="4207" spans="1:3" x14ac:dyDescent="0.25">
      <c r="A4207" s="3">
        <v>41916</v>
      </c>
      <c r="B4207" s="2" t="s">
        <v>28</v>
      </c>
      <c r="C4207" s="2">
        <v>7</v>
      </c>
    </row>
    <row r="4208" spans="1:3" x14ac:dyDescent="0.25">
      <c r="A4208" s="3">
        <v>41392</v>
      </c>
      <c r="B4208" s="2" t="s">
        <v>43</v>
      </c>
      <c r="C4208" s="2">
        <v>31</v>
      </c>
    </row>
    <row r="4209" spans="1:3" x14ac:dyDescent="0.25">
      <c r="A4209" s="3">
        <v>41760</v>
      </c>
      <c r="B4209" s="2" t="s">
        <v>3</v>
      </c>
      <c r="C4209" s="2">
        <v>49</v>
      </c>
    </row>
    <row r="4210" spans="1:3" x14ac:dyDescent="0.25">
      <c r="A4210" s="3">
        <v>41575</v>
      </c>
      <c r="B4210" s="2" t="s">
        <v>17</v>
      </c>
      <c r="C4210" s="2">
        <v>44</v>
      </c>
    </row>
    <row r="4211" spans="1:3" x14ac:dyDescent="0.25">
      <c r="A4211" s="3">
        <v>41847</v>
      </c>
      <c r="B4211" s="2" t="s">
        <v>8</v>
      </c>
      <c r="C4211" s="2">
        <v>25</v>
      </c>
    </row>
    <row r="4212" spans="1:3" x14ac:dyDescent="0.25">
      <c r="A4212" s="3">
        <v>41883</v>
      </c>
      <c r="B4212" s="2" t="s">
        <v>36</v>
      </c>
      <c r="C4212" s="2">
        <v>44</v>
      </c>
    </row>
    <row r="4213" spans="1:3" x14ac:dyDescent="0.25">
      <c r="A4213" s="3">
        <v>41715</v>
      </c>
      <c r="B4213" s="2" t="s">
        <v>34</v>
      </c>
      <c r="C4213" s="2">
        <v>18</v>
      </c>
    </row>
    <row r="4214" spans="1:3" x14ac:dyDescent="0.25">
      <c r="A4214" s="3">
        <v>41928</v>
      </c>
      <c r="B4214" s="2" t="s">
        <v>12</v>
      </c>
      <c r="C4214" s="2">
        <v>26</v>
      </c>
    </row>
    <row r="4215" spans="1:3" x14ac:dyDescent="0.25">
      <c r="A4215" s="3">
        <v>41724</v>
      </c>
      <c r="B4215" s="2" t="s">
        <v>6</v>
      </c>
      <c r="C4215" s="2">
        <v>3</v>
      </c>
    </row>
    <row r="4216" spans="1:3" x14ac:dyDescent="0.25">
      <c r="A4216" s="3">
        <v>41331</v>
      </c>
      <c r="B4216" s="2" t="s">
        <v>22</v>
      </c>
      <c r="C4216" s="2">
        <v>4</v>
      </c>
    </row>
    <row r="4217" spans="1:3" x14ac:dyDescent="0.25">
      <c r="A4217" s="3">
        <v>41764</v>
      </c>
      <c r="B4217" s="2" t="s">
        <v>28</v>
      </c>
      <c r="C4217" s="2">
        <v>40</v>
      </c>
    </row>
    <row r="4218" spans="1:3" x14ac:dyDescent="0.25">
      <c r="A4218" s="3">
        <v>41963</v>
      </c>
      <c r="B4218" s="2" t="s">
        <v>48</v>
      </c>
      <c r="C4218" s="2">
        <v>38</v>
      </c>
    </row>
    <row r="4219" spans="1:3" x14ac:dyDescent="0.25">
      <c r="A4219" s="3">
        <v>41487</v>
      </c>
      <c r="B4219" s="2" t="s">
        <v>6</v>
      </c>
      <c r="C4219" s="2">
        <v>13</v>
      </c>
    </row>
    <row r="4220" spans="1:3" x14ac:dyDescent="0.25">
      <c r="A4220" s="3">
        <v>41576</v>
      </c>
      <c r="B4220" s="2" t="s">
        <v>50</v>
      </c>
      <c r="C4220" s="2">
        <v>14</v>
      </c>
    </row>
    <row r="4221" spans="1:3" x14ac:dyDescent="0.25">
      <c r="A4221" s="3">
        <v>41859</v>
      </c>
      <c r="B4221" s="2" t="s">
        <v>45</v>
      </c>
      <c r="C4221" s="2">
        <v>1</v>
      </c>
    </row>
    <row r="4222" spans="1:3" x14ac:dyDescent="0.25">
      <c r="A4222" s="3">
        <v>41607</v>
      </c>
      <c r="B4222" s="2" t="s">
        <v>48</v>
      </c>
      <c r="C4222" s="2">
        <v>38</v>
      </c>
    </row>
    <row r="4223" spans="1:3" x14ac:dyDescent="0.25">
      <c r="A4223" s="3">
        <v>41781</v>
      </c>
      <c r="B4223" s="2" t="s">
        <v>25</v>
      </c>
      <c r="C4223" s="2">
        <v>39</v>
      </c>
    </row>
    <row r="4224" spans="1:3" x14ac:dyDescent="0.25">
      <c r="A4224" s="3">
        <v>41393</v>
      </c>
      <c r="B4224" s="2" t="s">
        <v>23</v>
      </c>
      <c r="C4224" s="2">
        <v>17</v>
      </c>
    </row>
    <row r="4225" spans="1:3" x14ac:dyDescent="0.25">
      <c r="A4225" s="3">
        <v>41484</v>
      </c>
      <c r="B4225" s="2" t="s">
        <v>28</v>
      </c>
      <c r="C4225" s="2">
        <v>29</v>
      </c>
    </row>
    <row r="4226" spans="1:3" x14ac:dyDescent="0.25">
      <c r="A4226" s="3">
        <v>41970</v>
      </c>
      <c r="B4226" s="2" t="s">
        <v>6</v>
      </c>
      <c r="C4226" s="2">
        <v>25</v>
      </c>
    </row>
    <row r="4227" spans="1:3" x14ac:dyDescent="0.25">
      <c r="A4227" s="3">
        <v>41669</v>
      </c>
      <c r="B4227" s="2" t="s">
        <v>39</v>
      </c>
      <c r="C4227" s="2">
        <v>28</v>
      </c>
    </row>
    <row r="4228" spans="1:3" x14ac:dyDescent="0.25">
      <c r="A4228" s="3">
        <v>41727</v>
      </c>
      <c r="B4228" s="2" t="s">
        <v>7</v>
      </c>
      <c r="C4228" s="2">
        <v>33</v>
      </c>
    </row>
    <row r="4229" spans="1:3" x14ac:dyDescent="0.25">
      <c r="A4229" s="3">
        <v>41431</v>
      </c>
      <c r="B4229" s="2" t="s">
        <v>32</v>
      </c>
      <c r="C4229" s="2">
        <v>46</v>
      </c>
    </row>
    <row r="4230" spans="1:3" x14ac:dyDescent="0.25">
      <c r="A4230" s="3">
        <v>41466</v>
      </c>
      <c r="B4230" s="2" t="s">
        <v>9</v>
      </c>
      <c r="C4230" s="2">
        <v>19</v>
      </c>
    </row>
    <row r="4231" spans="1:3" x14ac:dyDescent="0.25">
      <c r="A4231" s="3">
        <v>41915</v>
      </c>
      <c r="B4231" s="2" t="s">
        <v>3</v>
      </c>
      <c r="C4231" s="2">
        <v>17</v>
      </c>
    </row>
    <row r="4232" spans="1:3" x14ac:dyDescent="0.25">
      <c r="A4232" s="3">
        <v>41667</v>
      </c>
      <c r="B4232" s="2" t="s">
        <v>40</v>
      </c>
      <c r="C4232" s="2">
        <v>44</v>
      </c>
    </row>
    <row r="4233" spans="1:3" x14ac:dyDescent="0.25">
      <c r="A4233" s="3">
        <v>41482</v>
      </c>
      <c r="B4233" s="2" t="s">
        <v>50</v>
      </c>
      <c r="C4233" s="2">
        <v>41</v>
      </c>
    </row>
    <row r="4234" spans="1:3" x14ac:dyDescent="0.25">
      <c r="A4234" s="3">
        <v>41683</v>
      </c>
      <c r="B4234" s="2" t="s">
        <v>3</v>
      </c>
      <c r="C4234" s="2">
        <v>24</v>
      </c>
    </row>
    <row r="4235" spans="1:3" x14ac:dyDescent="0.25">
      <c r="A4235" s="3">
        <v>41548</v>
      </c>
      <c r="B4235" s="2" t="s">
        <v>8</v>
      </c>
      <c r="C4235" s="2">
        <v>46</v>
      </c>
    </row>
    <row r="4236" spans="1:3" x14ac:dyDescent="0.25">
      <c r="A4236" s="3">
        <v>41965</v>
      </c>
      <c r="B4236" s="2" t="s">
        <v>3</v>
      </c>
      <c r="C4236" s="2">
        <v>27</v>
      </c>
    </row>
    <row r="4237" spans="1:3" x14ac:dyDescent="0.25">
      <c r="A4237" s="3">
        <v>41482</v>
      </c>
      <c r="B4237" s="2" t="s">
        <v>40</v>
      </c>
      <c r="C4237" s="2">
        <v>42</v>
      </c>
    </row>
    <row r="4238" spans="1:3" x14ac:dyDescent="0.25">
      <c r="A4238" s="3">
        <v>41599</v>
      </c>
      <c r="B4238" s="2" t="s">
        <v>39</v>
      </c>
      <c r="C4238" s="2">
        <v>22</v>
      </c>
    </row>
    <row r="4239" spans="1:3" x14ac:dyDescent="0.25">
      <c r="A4239" s="3">
        <v>41549</v>
      </c>
      <c r="B4239" s="2" t="s">
        <v>22</v>
      </c>
      <c r="C4239" s="2">
        <v>26</v>
      </c>
    </row>
    <row r="4240" spans="1:3" x14ac:dyDescent="0.25">
      <c r="A4240" s="3">
        <v>41518</v>
      </c>
      <c r="B4240" s="2" t="s">
        <v>40</v>
      </c>
      <c r="C4240" s="2">
        <v>31</v>
      </c>
    </row>
    <row r="4241" spans="1:3" x14ac:dyDescent="0.25">
      <c r="A4241" s="3">
        <v>41876</v>
      </c>
      <c r="B4241" s="2" t="s">
        <v>47</v>
      </c>
      <c r="C4241" s="2">
        <v>19</v>
      </c>
    </row>
    <row r="4242" spans="1:3" x14ac:dyDescent="0.25">
      <c r="A4242" s="3">
        <v>41283</v>
      </c>
      <c r="B4242" s="2" t="s">
        <v>50</v>
      </c>
      <c r="C4242" s="2">
        <v>16</v>
      </c>
    </row>
    <row r="4243" spans="1:3" x14ac:dyDescent="0.25">
      <c r="A4243" s="3">
        <v>41714</v>
      </c>
      <c r="B4243" s="2" t="s">
        <v>46</v>
      </c>
      <c r="C4243" s="2">
        <v>16</v>
      </c>
    </row>
    <row r="4244" spans="1:3" x14ac:dyDescent="0.25">
      <c r="A4244" s="3">
        <v>41754</v>
      </c>
      <c r="B4244" s="2" t="s">
        <v>38</v>
      </c>
      <c r="C4244" s="2">
        <v>32</v>
      </c>
    </row>
    <row r="4245" spans="1:3" x14ac:dyDescent="0.25">
      <c r="A4245" s="3">
        <v>41280</v>
      </c>
      <c r="B4245" s="2" t="s">
        <v>16</v>
      </c>
      <c r="C4245" s="2">
        <v>8</v>
      </c>
    </row>
    <row r="4246" spans="1:3" x14ac:dyDescent="0.25">
      <c r="A4246" s="3">
        <v>41977</v>
      </c>
      <c r="B4246" s="2" t="s">
        <v>19</v>
      </c>
      <c r="C4246" s="2">
        <v>38</v>
      </c>
    </row>
    <row r="4247" spans="1:3" x14ac:dyDescent="0.25">
      <c r="A4247" s="3">
        <v>41656</v>
      </c>
      <c r="B4247" s="2" t="s">
        <v>45</v>
      </c>
      <c r="C4247" s="2">
        <v>64</v>
      </c>
    </row>
    <row r="4248" spans="1:3" x14ac:dyDescent="0.25">
      <c r="A4248" s="3">
        <v>41870</v>
      </c>
      <c r="B4248" s="2" t="s">
        <v>32</v>
      </c>
      <c r="C4248" s="2">
        <v>73</v>
      </c>
    </row>
    <row r="4249" spans="1:3" x14ac:dyDescent="0.25">
      <c r="A4249" s="3">
        <v>41411</v>
      </c>
      <c r="B4249" s="2" t="s">
        <v>11</v>
      </c>
      <c r="C4249" s="2">
        <v>16</v>
      </c>
    </row>
    <row r="4250" spans="1:3" x14ac:dyDescent="0.25">
      <c r="A4250" s="3">
        <v>41355</v>
      </c>
      <c r="B4250" s="2" t="s">
        <v>8</v>
      </c>
      <c r="C4250" s="2">
        <v>7</v>
      </c>
    </row>
    <row r="4251" spans="1:3" x14ac:dyDescent="0.25">
      <c r="A4251" s="3">
        <v>41833</v>
      </c>
      <c r="B4251" s="2" t="s">
        <v>30</v>
      </c>
      <c r="C4251" s="2">
        <v>2</v>
      </c>
    </row>
    <row r="4252" spans="1:3" x14ac:dyDescent="0.25">
      <c r="A4252" s="3">
        <v>41333</v>
      </c>
      <c r="B4252" s="2" t="s">
        <v>45</v>
      </c>
      <c r="C4252" s="2">
        <v>22</v>
      </c>
    </row>
    <row r="4253" spans="1:3" x14ac:dyDescent="0.25">
      <c r="A4253" s="3">
        <v>41820</v>
      </c>
      <c r="B4253" s="2" t="s">
        <v>25</v>
      </c>
      <c r="C4253" s="2">
        <v>55</v>
      </c>
    </row>
    <row r="4254" spans="1:3" x14ac:dyDescent="0.25">
      <c r="A4254" s="3">
        <v>41446</v>
      </c>
      <c r="B4254" s="2" t="s">
        <v>46</v>
      </c>
      <c r="C4254" s="2">
        <v>20</v>
      </c>
    </row>
    <row r="4255" spans="1:3" x14ac:dyDescent="0.25">
      <c r="A4255" s="3">
        <v>41464</v>
      </c>
      <c r="B4255" s="2" t="s">
        <v>38</v>
      </c>
      <c r="C4255" s="2">
        <v>12</v>
      </c>
    </row>
    <row r="4256" spans="1:3" x14ac:dyDescent="0.25">
      <c r="A4256" s="3">
        <v>41424</v>
      </c>
      <c r="B4256" s="2" t="s">
        <v>37</v>
      </c>
      <c r="C4256" s="2">
        <v>31</v>
      </c>
    </row>
    <row r="4257" spans="1:3" x14ac:dyDescent="0.25">
      <c r="A4257" s="3">
        <v>41373</v>
      </c>
      <c r="B4257" s="2" t="s">
        <v>16</v>
      </c>
      <c r="C4257" s="2">
        <v>32</v>
      </c>
    </row>
    <row r="4258" spans="1:3" x14ac:dyDescent="0.25">
      <c r="A4258" s="3">
        <v>41566</v>
      </c>
      <c r="B4258" s="2" t="s">
        <v>39</v>
      </c>
      <c r="C4258" s="2">
        <v>24</v>
      </c>
    </row>
    <row r="4259" spans="1:3" x14ac:dyDescent="0.25">
      <c r="A4259" s="3">
        <v>41349</v>
      </c>
      <c r="B4259" s="2" t="s">
        <v>38</v>
      </c>
      <c r="C4259" s="2">
        <v>33</v>
      </c>
    </row>
    <row r="4260" spans="1:3" x14ac:dyDescent="0.25">
      <c r="A4260" s="3">
        <v>41878</v>
      </c>
      <c r="B4260" s="2" t="s">
        <v>26</v>
      </c>
      <c r="C4260" s="2">
        <v>23</v>
      </c>
    </row>
    <row r="4261" spans="1:3" x14ac:dyDescent="0.25">
      <c r="A4261" s="3">
        <v>41461</v>
      </c>
      <c r="B4261" s="2" t="s">
        <v>9</v>
      </c>
      <c r="C4261" s="2">
        <v>15</v>
      </c>
    </row>
    <row r="4262" spans="1:3" x14ac:dyDescent="0.25">
      <c r="A4262" s="3">
        <v>41605</v>
      </c>
      <c r="B4262" s="2" t="s">
        <v>10</v>
      </c>
      <c r="C4262" s="2">
        <v>7</v>
      </c>
    </row>
    <row r="4263" spans="1:3" x14ac:dyDescent="0.25">
      <c r="A4263" s="3">
        <v>41746</v>
      </c>
      <c r="B4263" s="2" t="s">
        <v>11</v>
      </c>
      <c r="C4263" s="2">
        <v>39</v>
      </c>
    </row>
    <row r="4264" spans="1:3" x14ac:dyDescent="0.25">
      <c r="A4264" s="3">
        <v>41361</v>
      </c>
      <c r="B4264" s="2" t="s">
        <v>25</v>
      </c>
      <c r="C4264" s="2">
        <v>10</v>
      </c>
    </row>
    <row r="4265" spans="1:3" x14ac:dyDescent="0.25">
      <c r="A4265" s="3">
        <v>41650</v>
      </c>
      <c r="B4265" s="2" t="s">
        <v>13</v>
      </c>
      <c r="C4265" s="2">
        <v>20</v>
      </c>
    </row>
    <row r="4266" spans="1:3" x14ac:dyDescent="0.25">
      <c r="A4266" s="3">
        <v>41480</v>
      </c>
      <c r="B4266" s="2" t="s">
        <v>14</v>
      </c>
      <c r="C4266" s="2">
        <v>18</v>
      </c>
    </row>
    <row r="4267" spans="1:3" x14ac:dyDescent="0.25">
      <c r="A4267" s="3">
        <v>41389</v>
      </c>
      <c r="B4267" s="2" t="s">
        <v>41</v>
      </c>
      <c r="C4267" s="2">
        <v>13</v>
      </c>
    </row>
    <row r="4268" spans="1:3" x14ac:dyDescent="0.25">
      <c r="A4268" s="3">
        <v>41929</v>
      </c>
      <c r="B4268" s="2" t="s">
        <v>39</v>
      </c>
      <c r="C4268" s="2">
        <v>27</v>
      </c>
    </row>
    <row r="4269" spans="1:3" x14ac:dyDescent="0.25">
      <c r="A4269" s="3">
        <v>41408</v>
      </c>
      <c r="B4269" s="2" t="s">
        <v>42</v>
      </c>
      <c r="C4269" s="2">
        <v>33</v>
      </c>
    </row>
    <row r="4270" spans="1:3" x14ac:dyDescent="0.25">
      <c r="A4270" s="3">
        <v>41908</v>
      </c>
      <c r="B4270" s="2" t="s">
        <v>29</v>
      </c>
      <c r="C4270" s="2">
        <v>34</v>
      </c>
    </row>
    <row r="4271" spans="1:3" x14ac:dyDescent="0.25">
      <c r="A4271" s="3">
        <v>41847</v>
      </c>
      <c r="B4271" s="2" t="s">
        <v>45</v>
      </c>
      <c r="C4271" s="2">
        <v>26</v>
      </c>
    </row>
    <row r="4272" spans="1:3" x14ac:dyDescent="0.25">
      <c r="A4272" s="3">
        <v>41331</v>
      </c>
      <c r="B4272" s="2" t="s">
        <v>7</v>
      </c>
      <c r="C4272" s="2">
        <v>12</v>
      </c>
    </row>
    <row r="4273" spans="1:3" x14ac:dyDescent="0.25">
      <c r="A4273" s="3">
        <v>41533</v>
      </c>
      <c r="B4273" s="2" t="s">
        <v>44</v>
      </c>
      <c r="C4273" s="2">
        <v>35</v>
      </c>
    </row>
    <row r="4274" spans="1:3" x14ac:dyDescent="0.25">
      <c r="A4274" s="3">
        <v>41535</v>
      </c>
      <c r="B4274" s="2" t="s">
        <v>36</v>
      </c>
      <c r="C4274" s="2">
        <v>32</v>
      </c>
    </row>
    <row r="4275" spans="1:3" x14ac:dyDescent="0.25">
      <c r="A4275" s="3">
        <v>41293</v>
      </c>
      <c r="B4275" s="2" t="s">
        <v>12</v>
      </c>
      <c r="C4275" s="2">
        <v>33</v>
      </c>
    </row>
    <row r="4276" spans="1:3" x14ac:dyDescent="0.25">
      <c r="A4276" s="3">
        <v>41940</v>
      </c>
      <c r="B4276" s="2" t="s">
        <v>22</v>
      </c>
      <c r="C4276" s="2">
        <v>8</v>
      </c>
    </row>
    <row r="4277" spans="1:3" x14ac:dyDescent="0.25">
      <c r="A4277" s="3">
        <v>41849</v>
      </c>
      <c r="B4277" s="2" t="s">
        <v>42</v>
      </c>
      <c r="C4277" s="2">
        <v>12</v>
      </c>
    </row>
    <row r="4278" spans="1:3" x14ac:dyDescent="0.25">
      <c r="A4278" s="3">
        <v>41626</v>
      </c>
      <c r="B4278" s="2" t="s">
        <v>36</v>
      </c>
      <c r="C4278" s="2">
        <v>28</v>
      </c>
    </row>
    <row r="4279" spans="1:3" x14ac:dyDescent="0.25">
      <c r="A4279" s="3">
        <v>41698</v>
      </c>
      <c r="B4279" s="2" t="s">
        <v>36</v>
      </c>
      <c r="C4279" s="2">
        <v>25</v>
      </c>
    </row>
    <row r="4280" spans="1:3" x14ac:dyDescent="0.25">
      <c r="A4280" s="3">
        <v>41384</v>
      </c>
      <c r="B4280" s="2" t="s">
        <v>26</v>
      </c>
      <c r="C4280" s="2">
        <v>39</v>
      </c>
    </row>
    <row r="4281" spans="1:3" x14ac:dyDescent="0.25">
      <c r="A4281" s="3">
        <v>41996</v>
      </c>
      <c r="B4281" s="2" t="s">
        <v>48</v>
      </c>
      <c r="C4281" s="2">
        <v>41</v>
      </c>
    </row>
    <row r="4282" spans="1:3" x14ac:dyDescent="0.25">
      <c r="A4282" s="3">
        <v>41783</v>
      </c>
      <c r="B4282" s="2" t="s">
        <v>4</v>
      </c>
      <c r="C4282" s="2">
        <v>6</v>
      </c>
    </row>
    <row r="4283" spans="1:3" x14ac:dyDescent="0.25">
      <c r="A4283" s="3">
        <v>41852</v>
      </c>
      <c r="B4283" s="2" t="s">
        <v>25</v>
      </c>
      <c r="C4283" s="2">
        <v>31</v>
      </c>
    </row>
    <row r="4284" spans="1:3" x14ac:dyDescent="0.25">
      <c r="A4284" s="3">
        <v>41465</v>
      </c>
      <c r="B4284" s="2" t="s">
        <v>29</v>
      </c>
      <c r="C4284" s="2">
        <v>14</v>
      </c>
    </row>
    <row r="4285" spans="1:3" x14ac:dyDescent="0.25">
      <c r="A4285" s="3">
        <v>41388</v>
      </c>
      <c r="B4285" s="2" t="s">
        <v>37</v>
      </c>
      <c r="C4285" s="2">
        <v>13</v>
      </c>
    </row>
    <row r="4286" spans="1:3" x14ac:dyDescent="0.25">
      <c r="A4286" s="3">
        <v>41324</v>
      </c>
      <c r="B4286" s="2" t="s">
        <v>17</v>
      </c>
      <c r="C4286" s="2">
        <v>17</v>
      </c>
    </row>
    <row r="4287" spans="1:3" x14ac:dyDescent="0.25">
      <c r="A4287" s="3">
        <v>41656</v>
      </c>
      <c r="B4287" s="2" t="s">
        <v>33</v>
      </c>
      <c r="C4287" s="2">
        <v>53</v>
      </c>
    </row>
    <row r="4288" spans="1:3" x14ac:dyDescent="0.25">
      <c r="A4288" s="3">
        <v>41362</v>
      </c>
      <c r="B4288" s="2" t="s">
        <v>42</v>
      </c>
      <c r="C4288" s="2">
        <v>11</v>
      </c>
    </row>
    <row r="4289" spans="1:3" x14ac:dyDescent="0.25">
      <c r="A4289" s="3">
        <v>41457</v>
      </c>
      <c r="B4289" s="2" t="s">
        <v>24</v>
      </c>
      <c r="C4289" s="2">
        <v>45</v>
      </c>
    </row>
    <row r="4290" spans="1:3" x14ac:dyDescent="0.25">
      <c r="A4290" s="3">
        <v>41879</v>
      </c>
      <c r="B4290" s="2" t="s">
        <v>6</v>
      </c>
      <c r="C4290" s="2">
        <v>6</v>
      </c>
    </row>
    <row r="4291" spans="1:3" x14ac:dyDescent="0.25">
      <c r="A4291" s="3">
        <v>41344</v>
      </c>
      <c r="B4291" s="2" t="s">
        <v>16</v>
      </c>
      <c r="C4291" s="2">
        <v>49</v>
      </c>
    </row>
    <row r="4292" spans="1:3" x14ac:dyDescent="0.25">
      <c r="A4292" s="3">
        <v>41494</v>
      </c>
      <c r="B4292" s="2" t="s">
        <v>18</v>
      </c>
      <c r="C4292" s="2">
        <v>28</v>
      </c>
    </row>
    <row r="4293" spans="1:3" x14ac:dyDescent="0.25">
      <c r="A4293" s="3">
        <v>41902</v>
      </c>
      <c r="B4293" s="2" t="s">
        <v>23</v>
      </c>
      <c r="C4293" s="2">
        <v>11</v>
      </c>
    </row>
    <row r="4294" spans="1:3" x14ac:dyDescent="0.25">
      <c r="A4294" s="3">
        <v>41332</v>
      </c>
      <c r="B4294" s="2" t="s">
        <v>49</v>
      </c>
      <c r="C4294" s="2">
        <v>17</v>
      </c>
    </row>
    <row r="4295" spans="1:3" x14ac:dyDescent="0.25">
      <c r="A4295" s="3">
        <v>41762</v>
      </c>
      <c r="B4295" s="2" t="s">
        <v>15</v>
      </c>
      <c r="C4295" s="2">
        <v>30</v>
      </c>
    </row>
    <row r="4296" spans="1:3" x14ac:dyDescent="0.25">
      <c r="A4296" s="3">
        <v>41887</v>
      </c>
      <c r="B4296" s="2" t="s">
        <v>23</v>
      </c>
      <c r="C4296" s="2">
        <v>16</v>
      </c>
    </row>
    <row r="4297" spans="1:3" x14ac:dyDescent="0.25">
      <c r="A4297" s="3">
        <v>41907</v>
      </c>
      <c r="B4297" s="2" t="s">
        <v>8</v>
      </c>
      <c r="C4297" s="2">
        <v>21</v>
      </c>
    </row>
    <row r="4298" spans="1:3" x14ac:dyDescent="0.25">
      <c r="A4298" s="3">
        <v>41648</v>
      </c>
      <c r="B4298" s="2" t="s">
        <v>46</v>
      </c>
      <c r="C4298" s="2">
        <v>29</v>
      </c>
    </row>
    <row r="4299" spans="1:3" x14ac:dyDescent="0.25">
      <c r="A4299" s="3">
        <v>41536</v>
      </c>
      <c r="B4299" s="2" t="s">
        <v>8</v>
      </c>
      <c r="C4299" s="2">
        <v>26</v>
      </c>
    </row>
    <row r="4300" spans="1:3" x14ac:dyDescent="0.25">
      <c r="A4300" s="3">
        <v>41400</v>
      </c>
      <c r="B4300" s="2" t="s">
        <v>49</v>
      </c>
      <c r="C4300" s="2">
        <v>22</v>
      </c>
    </row>
    <row r="4301" spans="1:3" x14ac:dyDescent="0.25">
      <c r="A4301" s="3">
        <v>41394</v>
      </c>
      <c r="B4301" s="2" t="s">
        <v>29</v>
      </c>
      <c r="C4301" s="2">
        <v>26</v>
      </c>
    </row>
    <row r="4302" spans="1:3" x14ac:dyDescent="0.25">
      <c r="A4302" s="3">
        <v>41765</v>
      </c>
      <c r="B4302" s="2" t="s">
        <v>29</v>
      </c>
      <c r="C4302" s="2">
        <v>10</v>
      </c>
    </row>
    <row r="4303" spans="1:3" x14ac:dyDescent="0.25">
      <c r="A4303" s="3">
        <v>41918</v>
      </c>
      <c r="B4303" s="2" t="s">
        <v>27</v>
      </c>
      <c r="C4303" s="2">
        <v>37</v>
      </c>
    </row>
    <row r="4304" spans="1:3" x14ac:dyDescent="0.25">
      <c r="A4304" s="3">
        <v>41884</v>
      </c>
      <c r="B4304" s="2" t="s">
        <v>13</v>
      </c>
      <c r="C4304" s="2">
        <v>36</v>
      </c>
    </row>
    <row r="4305" spans="1:3" x14ac:dyDescent="0.25">
      <c r="A4305" s="3">
        <v>41911</v>
      </c>
      <c r="B4305" s="2" t="s">
        <v>50</v>
      </c>
      <c r="C4305" s="2">
        <v>14</v>
      </c>
    </row>
    <row r="4306" spans="1:3" x14ac:dyDescent="0.25">
      <c r="A4306" s="3">
        <v>41347</v>
      </c>
      <c r="B4306" s="2" t="s">
        <v>45</v>
      </c>
      <c r="C4306" s="2">
        <v>55</v>
      </c>
    </row>
    <row r="4307" spans="1:3" x14ac:dyDescent="0.25">
      <c r="A4307" s="3">
        <v>41443</v>
      </c>
      <c r="B4307" s="2" t="s">
        <v>40</v>
      </c>
      <c r="C4307" s="2">
        <v>10</v>
      </c>
    </row>
    <row r="4308" spans="1:3" x14ac:dyDescent="0.25">
      <c r="A4308" s="3">
        <v>41294</v>
      </c>
      <c r="B4308" s="2" t="s">
        <v>48</v>
      </c>
      <c r="C4308" s="2">
        <v>14</v>
      </c>
    </row>
    <row r="4309" spans="1:3" x14ac:dyDescent="0.25">
      <c r="A4309" s="3">
        <v>41493</v>
      </c>
      <c r="B4309" s="2" t="s">
        <v>37</v>
      </c>
      <c r="C4309" s="2">
        <v>5</v>
      </c>
    </row>
    <row r="4310" spans="1:3" x14ac:dyDescent="0.25">
      <c r="A4310" s="3">
        <v>41621</v>
      </c>
      <c r="B4310" s="2" t="s">
        <v>47</v>
      </c>
      <c r="C4310" s="2">
        <v>16</v>
      </c>
    </row>
    <row r="4311" spans="1:3" x14ac:dyDescent="0.25">
      <c r="A4311" s="3">
        <v>41997</v>
      </c>
      <c r="B4311" s="2" t="s">
        <v>38</v>
      </c>
      <c r="C4311" s="2">
        <v>42</v>
      </c>
    </row>
    <row r="4312" spans="1:3" x14ac:dyDescent="0.25">
      <c r="A4312" s="3">
        <v>41601</v>
      </c>
      <c r="B4312" s="2" t="s">
        <v>20</v>
      </c>
      <c r="C4312" s="2">
        <v>41</v>
      </c>
    </row>
    <row r="4313" spans="1:3" x14ac:dyDescent="0.25">
      <c r="A4313" s="3">
        <v>41412</v>
      </c>
      <c r="B4313" s="2" t="s">
        <v>24</v>
      </c>
      <c r="C4313" s="2">
        <v>41</v>
      </c>
    </row>
    <row r="4314" spans="1:3" x14ac:dyDescent="0.25">
      <c r="A4314" s="3">
        <v>41429</v>
      </c>
      <c r="B4314" s="2" t="s">
        <v>8</v>
      </c>
      <c r="C4314" s="2">
        <v>24</v>
      </c>
    </row>
    <row r="4315" spans="1:3" x14ac:dyDescent="0.25">
      <c r="A4315" s="3">
        <v>41429</v>
      </c>
      <c r="B4315" s="2" t="s">
        <v>51</v>
      </c>
      <c r="C4315" s="2">
        <v>32</v>
      </c>
    </row>
    <row r="4316" spans="1:3" x14ac:dyDescent="0.25">
      <c r="A4316" s="3">
        <v>41472</v>
      </c>
      <c r="B4316" s="2" t="s">
        <v>20</v>
      </c>
      <c r="C4316" s="2">
        <v>29</v>
      </c>
    </row>
    <row r="4317" spans="1:3" x14ac:dyDescent="0.25">
      <c r="A4317" s="3">
        <v>41448</v>
      </c>
      <c r="B4317" s="2" t="s">
        <v>38</v>
      </c>
      <c r="C4317" s="2">
        <v>10</v>
      </c>
    </row>
    <row r="4318" spans="1:3" x14ac:dyDescent="0.25">
      <c r="A4318" s="3">
        <v>41728</v>
      </c>
      <c r="B4318" s="2" t="s">
        <v>29</v>
      </c>
      <c r="C4318" s="2">
        <v>23</v>
      </c>
    </row>
    <row r="4319" spans="1:3" x14ac:dyDescent="0.25">
      <c r="A4319" s="3">
        <v>41770</v>
      </c>
      <c r="B4319" s="2" t="s">
        <v>7</v>
      </c>
      <c r="C4319" s="2">
        <v>20</v>
      </c>
    </row>
    <row r="4320" spans="1:3" x14ac:dyDescent="0.25">
      <c r="A4320" s="3">
        <v>41451</v>
      </c>
      <c r="B4320" s="2" t="s">
        <v>51</v>
      </c>
      <c r="C4320" s="2">
        <v>37</v>
      </c>
    </row>
    <row r="4321" spans="1:3" x14ac:dyDescent="0.25">
      <c r="A4321" s="3">
        <v>41973</v>
      </c>
      <c r="B4321" s="2" t="s">
        <v>33</v>
      </c>
      <c r="C4321" s="2">
        <v>18</v>
      </c>
    </row>
    <row r="4322" spans="1:3" x14ac:dyDescent="0.25">
      <c r="A4322" s="3">
        <v>41802</v>
      </c>
      <c r="B4322" s="2" t="s">
        <v>40</v>
      </c>
      <c r="C4322" s="2">
        <v>32</v>
      </c>
    </row>
    <row r="4323" spans="1:3" x14ac:dyDescent="0.25">
      <c r="A4323" s="3">
        <v>41644</v>
      </c>
      <c r="B4323" s="2" t="s">
        <v>16</v>
      </c>
      <c r="C4323" s="2">
        <v>10</v>
      </c>
    </row>
    <row r="4324" spans="1:3" x14ac:dyDescent="0.25">
      <c r="A4324" s="3">
        <v>41969</v>
      </c>
      <c r="B4324" s="2" t="s">
        <v>7</v>
      </c>
      <c r="C4324" s="2">
        <v>24</v>
      </c>
    </row>
    <row r="4325" spans="1:3" x14ac:dyDescent="0.25">
      <c r="A4325" s="3">
        <v>41811</v>
      </c>
      <c r="B4325" s="2" t="s">
        <v>14</v>
      </c>
      <c r="C4325" s="2">
        <v>25</v>
      </c>
    </row>
    <row r="4326" spans="1:3" x14ac:dyDescent="0.25">
      <c r="A4326" s="3">
        <v>41974</v>
      </c>
      <c r="B4326" s="2" t="s">
        <v>41</v>
      </c>
      <c r="C4326" s="2">
        <v>19</v>
      </c>
    </row>
    <row r="4327" spans="1:3" x14ac:dyDescent="0.25">
      <c r="A4327" s="3">
        <v>41857</v>
      </c>
      <c r="B4327" s="2" t="s">
        <v>29</v>
      </c>
      <c r="C4327" s="2">
        <v>8</v>
      </c>
    </row>
    <row r="4328" spans="1:3" x14ac:dyDescent="0.25">
      <c r="A4328" s="3">
        <v>41572</v>
      </c>
      <c r="B4328" s="2" t="s">
        <v>17</v>
      </c>
      <c r="C4328" s="2">
        <v>23</v>
      </c>
    </row>
    <row r="4329" spans="1:3" x14ac:dyDescent="0.25">
      <c r="A4329" s="3">
        <v>41294</v>
      </c>
      <c r="B4329" s="2" t="s">
        <v>18</v>
      </c>
      <c r="C4329" s="2">
        <v>14</v>
      </c>
    </row>
    <row r="4330" spans="1:3" x14ac:dyDescent="0.25">
      <c r="A4330" s="3">
        <v>41468</v>
      </c>
      <c r="B4330" s="2" t="s">
        <v>17</v>
      </c>
      <c r="C4330" s="2">
        <v>24</v>
      </c>
    </row>
    <row r="4331" spans="1:3" x14ac:dyDescent="0.25">
      <c r="A4331" s="3">
        <v>41558</v>
      </c>
      <c r="B4331" s="2" t="s">
        <v>23</v>
      </c>
      <c r="C4331" s="2">
        <v>29</v>
      </c>
    </row>
    <row r="4332" spans="1:3" x14ac:dyDescent="0.25">
      <c r="A4332" s="3">
        <v>41723</v>
      </c>
      <c r="B4332" s="2" t="s">
        <v>42</v>
      </c>
      <c r="C4332" s="2">
        <v>7</v>
      </c>
    </row>
    <row r="4333" spans="1:3" x14ac:dyDescent="0.25">
      <c r="A4333" s="3">
        <v>41669</v>
      </c>
      <c r="B4333" s="2" t="s">
        <v>7</v>
      </c>
      <c r="C4333" s="2">
        <v>6</v>
      </c>
    </row>
    <row r="4334" spans="1:3" x14ac:dyDescent="0.25">
      <c r="A4334" s="3">
        <v>41729</v>
      </c>
      <c r="B4334" s="2" t="s">
        <v>26</v>
      </c>
      <c r="C4334" s="2">
        <v>35</v>
      </c>
    </row>
    <row r="4335" spans="1:3" x14ac:dyDescent="0.25">
      <c r="A4335" s="3">
        <v>41442</v>
      </c>
      <c r="B4335" s="2" t="s">
        <v>38</v>
      </c>
      <c r="C4335" s="2">
        <v>22</v>
      </c>
    </row>
    <row r="4336" spans="1:3" x14ac:dyDescent="0.25">
      <c r="A4336" s="3">
        <v>41847</v>
      </c>
      <c r="B4336" s="2" t="s">
        <v>4</v>
      </c>
      <c r="C4336" s="2">
        <v>14</v>
      </c>
    </row>
    <row r="4337" spans="1:3" x14ac:dyDescent="0.25">
      <c r="A4337" s="3">
        <v>41283</v>
      </c>
      <c r="B4337" s="2" t="s">
        <v>19</v>
      </c>
      <c r="C4337" s="2">
        <v>62</v>
      </c>
    </row>
    <row r="4338" spans="1:3" x14ac:dyDescent="0.25">
      <c r="A4338" s="3">
        <v>41769</v>
      </c>
      <c r="B4338" s="2" t="s">
        <v>17</v>
      </c>
      <c r="C4338" s="2">
        <v>25</v>
      </c>
    </row>
    <row r="4339" spans="1:3" x14ac:dyDescent="0.25">
      <c r="A4339" s="3">
        <v>41748</v>
      </c>
      <c r="B4339" s="2" t="s">
        <v>43</v>
      </c>
      <c r="C4339" s="2">
        <v>10</v>
      </c>
    </row>
    <row r="4340" spans="1:3" x14ac:dyDescent="0.25">
      <c r="A4340" s="3">
        <v>41695</v>
      </c>
      <c r="B4340" s="2" t="s">
        <v>17</v>
      </c>
      <c r="C4340" s="2">
        <v>37</v>
      </c>
    </row>
    <row r="4341" spans="1:3" x14ac:dyDescent="0.25">
      <c r="A4341" s="3">
        <v>41785</v>
      </c>
      <c r="B4341" s="2" t="s">
        <v>40</v>
      </c>
      <c r="C4341" s="2">
        <v>28</v>
      </c>
    </row>
    <row r="4342" spans="1:3" x14ac:dyDescent="0.25">
      <c r="A4342" s="3">
        <v>41577</v>
      </c>
      <c r="B4342" s="2" t="s">
        <v>32</v>
      </c>
      <c r="C4342" s="2">
        <v>31</v>
      </c>
    </row>
    <row r="4343" spans="1:3" x14ac:dyDescent="0.25">
      <c r="A4343" s="3">
        <v>41849</v>
      </c>
      <c r="B4343" s="2" t="s">
        <v>43</v>
      </c>
      <c r="C4343" s="2">
        <v>16</v>
      </c>
    </row>
    <row r="4344" spans="1:3" x14ac:dyDescent="0.25">
      <c r="A4344" s="3">
        <v>41428</v>
      </c>
      <c r="B4344" s="2" t="s">
        <v>10</v>
      </c>
      <c r="C4344" s="2">
        <v>6</v>
      </c>
    </row>
    <row r="4345" spans="1:3" x14ac:dyDescent="0.25">
      <c r="A4345" s="3">
        <v>41593</v>
      </c>
      <c r="B4345" s="2" t="s">
        <v>35</v>
      </c>
      <c r="C4345" s="2">
        <v>17</v>
      </c>
    </row>
    <row r="4346" spans="1:3" x14ac:dyDescent="0.25">
      <c r="A4346" s="3">
        <v>41643</v>
      </c>
      <c r="B4346" s="2" t="s">
        <v>30</v>
      </c>
      <c r="C4346" s="2">
        <v>6</v>
      </c>
    </row>
    <row r="4347" spans="1:3" x14ac:dyDescent="0.25">
      <c r="A4347" s="3">
        <v>41951</v>
      </c>
      <c r="B4347" s="2" t="s">
        <v>26</v>
      </c>
      <c r="C4347" s="2">
        <v>27</v>
      </c>
    </row>
    <row r="4348" spans="1:3" x14ac:dyDescent="0.25">
      <c r="A4348" s="3">
        <v>41584</v>
      </c>
      <c r="B4348" s="2" t="s">
        <v>2</v>
      </c>
      <c r="C4348" s="2">
        <v>16</v>
      </c>
    </row>
    <row r="4349" spans="1:3" x14ac:dyDescent="0.25">
      <c r="A4349" s="3">
        <v>41483</v>
      </c>
      <c r="B4349" s="2" t="s">
        <v>10</v>
      </c>
      <c r="C4349" s="2">
        <v>44</v>
      </c>
    </row>
    <row r="4350" spans="1:3" x14ac:dyDescent="0.25">
      <c r="A4350" s="3">
        <v>41615</v>
      </c>
      <c r="B4350" s="2" t="s">
        <v>27</v>
      </c>
      <c r="C4350" s="2">
        <v>9</v>
      </c>
    </row>
    <row r="4351" spans="1:3" x14ac:dyDescent="0.25">
      <c r="A4351" s="3">
        <v>41572</v>
      </c>
      <c r="B4351" s="2" t="s">
        <v>2</v>
      </c>
      <c r="C4351" s="2">
        <v>7</v>
      </c>
    </row>
    <row r="4352" spans="1:3" x14ac:dyDescent="0.25">
      <c r="A4352" s="3">
        <v>41904</v>
      </c>
      <c r="B4352" s="2" t="s">
        <v>37</v>
      </c>
      <c r="C4352" s="2">
        <v>50</v>
      </c>
    </row>
    <row r="4353" spans="1:3" x14ac:dyDescent="0.25">
      <c r="A4353" s="3">
        <v>42000</v>
      </c>
      <c r="B4353" s="2" t="s">
        <v>25</v>
      </c>
      <c r="C4353" s="2">
        <v>46</v>
      </c>
    </row>
    <row r="4354" spans="1:3" x14ac:dyDescent="0.25">
      <c r="A4354" s="3">
        <v>41395</v>
      </c>
      <c r="B4354" s="2" t="s">
        <v>15</v>
      </c>
      <c r="C4354" s="2">
        <v>20</v>
      </c>
    </row>
    <row r="4355" spans="1:3" x14ac:dyDescent="0.25">
      <c r="A4355" s="3">
        <v>41924</v>
      </c>
      <c r="B4355" s="2" t="s">
        <v>2</v>
      </c>
      <c r="C4355" s="2">
        <v>45</v>
      </c>
    </row>
    <row r="4356" spans="1:3" x14ac:dyDescent="0.25">
      <c r="A4356" s="3">
        <v>41353</v>
      </c>
      <c r="B4356" s="2" t="s">
        <v>24</v>
      </c>
      <c r="C4356" s="2">
        <v>2</v>
      </c>
    </row>
    <row r="4357" spans="1:3" x14ac:dyDescent="0.25">
      <c r="A4357" s="3">
        <v>41943</v>
      </c>
      <c r="B4357" s="2" t="s">
        <v>49</v>
      </c>
      <c r="C4357" s="2">
        <v>23</v>
      </c>
    </row>
    <row r="4358" spans="1:3" x14ac:dyDescent="0.25">
      <c r="A4358" s="3">
        <v>41848</v>
      </c>
      <c r="B4358" s="2" t="s">
        <v>28</v>
      </c>
      <c r="C4358" s="2">
        <v>10</v>
      </c>
    </row>
    <row r="4359" spans="1:3" x14ac:dyDescent="0.25">
      <c r="A4359" s="3">
        <v>41853</v>
      </c>
      <c r="B4359" s="2" t="s">
        <v>41</v>
      </c>
      <c r="C4359" s="2">
        <v>45</v>
      </c>
    </row>
    <row r="4360" spans="1:3" x14ac:dyDescent="0.25">
      <c r="A4360" s="3">
        <v>41365</v>
      </c>
      <c r="B4360" s="2" t="s">
        <v>16</v>
      </c>
      <c r="C4360" s="2">
        <v>7</v>
      </c>
    </row>
    <row r="4361" spans="1:3" x14ac:dyDescent="0.25">
      <c r="A4361" s="3">
        <v>41605</v>
      </c>
      <c r="B4361" s="2" t="s">
        <v>38</v>
      </c>
      <c r="C4361" s="2">
        <v>26</v>
      </c>
    </row>
    <row r="4362" spans="1:3" x14ac:dyDescent="0.25">
      <c r="A4362" s="3">
        <v>41527</v>
      </c>
      <c r="B4362" s="2" t="s">
        <v>48</v>
      </c>
      <c r="C4362" s="2">
        <v>35</v>
      </c>
    </row>
    <row r="4363" spans="1:3" x14ac:dyDescent="0.25">
      <c r="A4363" s="3">
        <v>41817</v>
      </c>
      <c r="B4363" s="2" t="s">
        <v>38</v>
      </c>
      <c r="C4363" s="2">
        <v>20</v>
      </c>
    </row>
    <row r="4364" spans="1:3" x14ac:dyDescent="0.25">
      <c r="A4364" s="3">
        <v>41823</v>
      </c>
      <c r="B4364" s="2" t="s">
        <v>33</v>
      </c>
      <c r="C4364" s="2">
        <v>36</v>
      </c>
    </row>
    <row r="4365" spans="1:3" x14ac:dyDescent="0.25">
      <c r="A4365" s="3">
        <v>41545</v>
      </c>
      <c r="B4365" s="2" t="s">
        <v>8</v>
      </c>
      <c r="C4365" s="2">
        <v>31</v>
      </c>
    </row>
    <row r="4366" spans="1:3" x14ac:dyDescent="0.25">
      <c r="A4366" s="3">
        <v>41775</v>
      </c>
      <c r="B4366" s="2" t="s">
        <v>26</v>
      </c>
      <c r="C4366" s="2">
        <v>48</v>
      </c>
    </row>
    <row r="4367" spans="1:3" x14ac:dyDescent="0.25">
      <c r="A4367" s="3">
        <v>41360</v>
      </c>
      <c r="B4367" s="2" t="s">
        <v>47</v>
      </c>
      <c r="C4367" s="2">
        <v>42</v>
      </c>
    </row>
    <row r="4368" spans="1:3" x14ac:dyDescent="0.25">
      <c r="A4368" s="3">
        <v>41466</v>
      </c>
      <c r="B4368" s="2" t="s">
        <v>50</v>
      </c>
      <c r="C4368" s="2">
        <v>25</v>
      </c>
    </row>
    <row r="4369" spans="1:3" x14ac:dyDescent="0.25">
      <c r="A4369" s="3">
        <v>41616</v>
      </c>
      <c r="B4369" s="2" t="s">
        <v>38</v>
      </c>
      <c r="C4369" s="2">
        <v>3</v>
      </c>
    </row>
    <row r="4370" spans="1:3" x14ac:dyDescent="0.25">
      <c r="A4370" s="3">
        <v>41936</v>
      </c>
      <c r="B4370" s="2" t="s">
        <v>8</v>
      </c>
      <c r="C4370" s="2">
        <v>22</v>
      </c>
    </row>
    <row r="4371" spans="1:3" x14ac:dyDescent="0.25">
      <c r="A4371" s="3">
        <v>41358</v>
      </c>
      <c r="B4371" s="2" t="s">
        <v>13</v>
      </c>
      <c r="C4371" s="2">
        <v>11</v>
      </c>
    </row>
    <row r="4372" spans="1:3" x14ac:dyDescent="0.25">
      <c r="A4372" s="3">
        <v>41618</v>
      </c>
      <c r="B4372" s="2" t="s">
        <v>26</v>
      </c>
      <c r="C4372" s="2">
        <v>47</v>
      </c>
    </row>
    <row r="4373" spans="1:3" x14ac:dyDescent="0.25">
      <c r="A4373" s="3">
        <v>41509</v>
      </c>
      <c r="B4373" s="2" t="s">
        <v>33</v>
      </c>
      <c r="C4373" s="2">
        <v>47</v>
      </c>
    </row>
    <row r="4374" spans="1:3" x14ac:dyDescent="0.25">
      <c r="A4374" s="3">
        <v>41350</v>
      </c>
      <c r="B4374" s="2" t="s">
        <v>8</v>
      </c>
      <c r="C4374" s="2">
        <v>18</v>
      </c>
    </row>
    <row r="4375" spans="1:3" x14ac:dyDescent="0.25">
      <c r="A4375" s="3">
        <v>41775</v>
      </c>
      <c r="B4375" s="2" t="s">
        <v>10</v>
      </c>
      <c r="C4375" s="2">
        <v>42</v>
      </c>
    </row>
    <row r="4376" spans="1:3" x14ac:dyDescent="0.25">
      <c r="A4376" s="3">
        <v>41505</v>
      </c>
      <c r="B4376" s="2" t="s">
        <v>8</v>
      </c>
      <c r="C4376" s="2">
        <v>70</v>
      </c>
    </row>
    <row r="4377" spans="1:3" x14ac:dyDescent="0.25">
      <c r="A4377" s="3">
        <v>41472</v>
      </c>
      <c r="B4377" s="2" t="s">
        <v>2</v>
      </c>
      <c r="C4377" s="2">
        <v>45</v>
      </c>
    </row>
    <row r="4378" spans="1:3" x14ac:dyDescent="0.25">
      <c r="A4378" s="3">
        <v>41889</v>
      </c>
      <c r="B4378" s="2" t="s">
        <v>49</v>
      </c>
      <c r="C4378" s="2">
        <v>40</v>
      </c>
    </row>
    <row r="4379" spans="1:3" x14ac:dyDescent="0.25">
      <c r="A4379" s="3">
        <v>41679</v>
      </c>
      <c r="B4379" s="2" t="s">
        <v>16</v>
      </c>
      <c r="C4379" s="2">
        <v>33</v>
      </c>
    </row>
    <row r="4380" spans="1:3" x14ac:dyDescent="0.25">
      <c r="A4380" s="3">
        <v>41486</v>
      </c>
      <c r="B4380" s="2" t="s">
        <v>39</v>
      </c>
      <c r="C4380" s="2">
        <v>25</v>
      </c>
    </row>
    <row r="4381" spans="1:3" x14ac:dyDescent="0.25">
      <c r="A4381" s="3">
        <v>41655</v>
      </c>
      <c r="B4381" s="2" t="s">
        <v>3</v>
      </c>
      <c r="C4381" s="2">
        <v>5</v>
      </c>
    </row>
    <row r="4382" spans="1:3" x14ac:dyDescent="0.25">
      <c r="A4382" s="3">
        <v>41523</v>
      </c>
      <c r="B4382" s="2" t="s">
        <v>9</v>
      </c>
      <c r="C4382" s="2">
        <v>30</v>
      </c>
    </row>
    <row r="4383" spans="1:3" x14ac:dyDescent="0.25">
      <c r="A4383" s="3">
        <v>41885</v>
      </c>
      <c r="B4383" s="2" t="s">
        <v>16</v>
      </c>
      <c r="C4383" s="2">
        <v>12</v>
      </c>
    </row>
    <row r="4384" spans="1:3" x14ac:dyDescent="0.25">
      <c r="A4384" s="3">
        <v>41884</v>
      </c>
      <c r="B4384" s="2" t="s">
        <v>7</v>
      </c>
      <c r="C4384" s="2">
        <v>44</v>
      </c>
    </row>
    <row r="4385" spans="1:3" x14ac:dyDescent="0.25">
      <c r="A4385" s="3">
        <v>41390</v>
      </c>
      <c r="B4385" s="2" t="s">
        <v>50</v>
      </c>
      <c r="C4385" s="2">
        <v>32</v>
      </c>
    </row>
    <row r="4386" spans="1:3" x14ac:dyDescent="0.25">
      <c r="A4386" s="3">
        <v>41717</v>
      </c>
      <c r="B4386" s="2" t="s">
        <v>3</v>
      </c>
      <c r="C4386" s="2">
        <v>26</v>
      </c>
    </row>
    <row r="4387" spans="1:3" x14ac:dyDescent="0.25">
      <c r="A4387" s="3">
        <v>41531</v>
      </c>
      <c r="B4387" s="2" t="s">
        <v>36</v>
      </c>
      <c r="C4387" s="2">
        <v>45</v>
      </c>
    </row>
    <row r="4388" spans="1:3" x14ac:dyDescent="0.25">
      <c r="A4388" s="3">
        <v>41672</v>
      </c>
      <c r="B4388" s="2" t="s">
        <v>50</v>
      </c>
      <c r="C4388" s="2">
        <v>15</v>
      </c>
    </row>
    <row r="4389" spans="1:3" x14ac:dyDescent="0.25">
      <c r="A4389" s="3">
        <v>41919</v>
      </c>
      <c r="B4389" s="2" t="s">
        <v>17</v>
      </c>
      <c r="C4389" s="2">
        <v>33</v>
      </c>
    </row>
    <row r="4390" spans="1:3" x14ac:dyDescent="0.25">
      <c r="A4390" s="3">
        <v>41980</v>
      </c>
      <c r="B4390" s="2" t="s">
        <v>10</v>
      </c>
      <c r="C4390" s="2">
        <v>6</v>
      </c>
    </row>
    <row r="4391" spans="1:3" x14ac:dyDescent="0.25">
      <c r="A4391" s="3">
        <v>41278</v>
      </c>
      <c r="B4391" s="2" t="s">
        <v>28</v>
      </c>
      <c r="C4391" s="2">
        <v>10</v>
      </c>
    </row>
    <row r="4392" spans="1:3" x14ac:dyDescent="0.25">
      <c r="A4392" s="3">
        <v>41591</v>
      </c>
      <c r="B4392" s="2" t="s">
        <v>8</v>
      </c>
      <c r="C4392" s="2">
        <v>47</v>
      </c>
    </row>
    <row r="4393" spans="1:3" x14ac:dyDescent="0.25">
      <c r="A4393" s="3">
        <v>41902</v>
      </c>
      <c r="B4393" s="2" t="s">
        <v>24</v>
      </c>
      <c r="C4393" s="2">
        <v>58</v>
      </c>
    </row>
    <row r="4394" spans="1:3" x14ac:dyDescent="0.25">
      <c r="A4394" s="3">
        <v>41593</v>
      </c>
      <c r="B4394" s="2" t="s">
        <v>5</v>
      </c>
      <c r="C4394" s="2">
        <v>9</v>
      </c>
    </row>
    <row r="4395" spans="1:3" x14ac:dyDescent="0.25">
      <c r="A4395" s="3">
        <v>41678</v>
      </c>
      <c r="B4395" s="2" t="s">
        <v>32</v>
      </c>
      <c r="C4395" s="2">
        <v>61</v>
      </c>
    </row>
    <row r="4396" spans="1:3" x14ac:dyDescent="0.25">
      <c r="A4396" s="3">
        <v>41695</v>
      </c>
      <c r="B4396" s="2" t="s">
        <v>16</v>
      </c>
      <c r="C4396" s="2">
        <v>22</v>
      </c>
    </row>
    <row r="4397" spans="1:3" x14ac:dyDescent="0.25">
      <c r="A4397" s="3">
        <v>41750</v>
      </c>
      <c r="B4397" s="2" t="s">
        <v>11</v>
      </c>
      <c r="C4397" s="2">
        <v>20</v>
      </c>
    </row>
    <row r="4398" spans="1:3" x14ac:dyDescent="0.25">
      <c r="A4398" s="3">
        <v>41283</v>
      </c>
      <c r="B4398" s="2" t="s">
        <v>42</v>
      </c>
      <c r="C4398" s="2">
        <v>15</v>
      </c>
    </row>
    <row r="4399" spans="1:3" x14ac:dyDescent="0.25">
      <c r="A4399" s="3">
        <v>41381</v>
      </c>
      <c r="B4399" s="2" t="s">
        <v>4</v>
      </c>
      <c r="C4399" s="2">
        <v>60</v>
      </c>
    </row>
    <row r="4400" spans="1:3" x14ac:dyDescent="0.25">
      <c r="A4400" s="3">
        <v>41308</v>
      </c>
      <c r="B4400" s="2" t="s">
        <v>50</v>
      </c>
      <c r="C4400" s="2">
        <v>19</v>
      </c>
    </row>
    <row r="4401" spans="1:3" x14ac:dyDescent="0.25">
      <c r="A4401" s="3">
        <v>41628</v>
      </c>
      <c r="B4401" s="2" t="s">
        <v>2</v>
      </c>
      <c r="C4401" s="2">
        <v>5</v>
      </c>
    </row>
    <row r="4402" spans="1:3" x14ac:dyDescent="0.25">
      <c r="A4402" s="3">
        <v>41373</v>
      </c>
      <c r="B4402" s="2" t="s">
        <v>48</v>
      </c>
      <c r="C4402" s="2">
        <v>1</v>
      </c>
    </row>
    <row r="4403" spans="1:3" x14ac:dyDescent="0.25">
      <c r="A4403" s="3">
        <v>41369</v>
      </c>
      <c r="B4403" s="2" t="s">
        <v>18</v>
      </c>
      <c r="C4403" s="2">
        <v>44</v>
      </c>
    </row>
    <row r="4404" spans="1:3" x14ac:dyDescent="0.25">
      <c r="A4404" s="3">
        <v>41882</v>
      </c>
      <c r="B4404" s="2" t="s">
        <v>32</v>
      </c>
      <c r="C4404" s="2">
        <v>2</v>
      </c>
    </row>
    <row r="4405" spans="1:3" x14ac:dyDescent="0.25">
      <c r="A4405" s="3">
        <v>41894</v>
      </c>
      <c r="B4405" s="2" t="s">
        <v>42</v>
      </c>
      <c r="C4405" s="2">
        <v>42</v>
      </c>
    </row>
    <row r="4406" spans="1:3" x14ac:dyDescent="0.25">
      <c r="A4406" s="3">
        <v>41376</v>
      </c>
      <c r="B4406" s="2" t="s">
        <v>21</v>
      </c>
      <c r="C4406" s="2">
        <v>8</v>
      </c>
    </row>
    <row r="4407" spans="1:3" x14ac:dyDescent="0.25">
      <c r="A4407" s="3">
        <v>41580</v>
      </c>
      <c r="B4407" s="2" t="s">
        <v>38</v>
      </c>
      <c r="C4407" s="2">
        <v>54</v>
      </c>
    </row>
    <row r="4408" spans="1:3" x14ac:dyDescent="0.25">
      <c r="A4408" s="3">
        <v>41492</v>
      </c>
      <c r="B4408" s="2" t="s">
        <v>44</v>
      </c>
      <c r="C4408" s="2">
        <v>31</v>
      </c>
    </row>
    <row r="4409" spans="1:3" x14ac:dyDescent="0.25">
      <c r="A4409" s="3">
        <v>41334</v>
      </c>
      <c r="B4409" s="2" t="s">
        <v>43</v>
      </c>
      <c r="C4409" s="2">
        <v>27</v>
      </c>
    </row>
    <row r="4410" spans="1:3" x14ac:dyDescent="0.25">
      <c r="A4410" s="3">
        <v>41594</v>
      </c>
      <c r="B4410" s="2" t="s">
        <v>13</v>
      </c>
      <c r="C4410" s="2">
        <v>21</v>
      </c>
    </row>
    <row r="4411" spans="1:3" x14ac:dyDescent="0.25">
      <c r="A4411" s="3">
        <v>41849</v>
      </c>
      <c r="B4411" s="2" t="s">
        <v>11</v>
      </c>
      <c r="C4411" s="2">
        <v>40</v>
      </c>
    </row>
    <row r="4412" spans="1:3" x14ac:dyDescent="0.25">
      <c r="A4412" s="3">
        <v>41713</v>
      </c>
      <c r="B4412" s="2" t="s">
        <v>9</v>
      </c>
      <c r="C4412" s="2">
        <v>33</v>
      </c>
    </row>
    <row r="4413" spans="1:3" x14ac:dyDescent="0.25">
      <c r="A4413" s="3">
        <v>41955</v>
      </c>
      <c r="B4413" s="2" t="s">
        <v>42</v>
      </c>
      <c r="C4413" s="2">
        <v>29</v>
      </c>
    </row>
    <row r="4414" spans="1:3" x14ac:dyDescent="0.25">
      <c r="A4414" s="3">
        <v>41394</v>
      </c>
      <c r="B4414" s="2" t="s">
        <v>8</v>
      </c>
      <c r="C4414" s="2">
        <v>27</v>
      </c>
    </row>
    <row r="4415" spans="1:3" x14ac:dyDescent="0.25">
      <c r="A4415" s="3">
        <v>41306</v>
      </c>
      <c r="B4415" s="2" t="s">
        <v>39</v>
      </c>
      <c r="C4415" s="2">
        <v>46</v>
      </c>
    </row>
    <row r="4416" spans="1:3" x14ac:dyDescent="0.25">
      <c r="A4416" s="3">
        <v>41402</v>
      </c>
      <c r="B4416" s="2" t="s">
        <v>12</v>
      </c>
      <c r="C4416" s="2">
        <v>36</v>
      </c>
    </row>
    <row r="4417" spans="1:3" x14ac:dyDescent="0.25">
      <c r="A4417" s="3">
        <v>41695</v>
      </c>
      <c r="B4417" s="2" t="s">
        <v>28</v>
      </c>
      <c r="C4417" s="2">
        <v>35</v>
      </c>
    </row>
    <row r="4418" spans="1:3" x14ac:dyDescent="0.25">
      <c r="A4418" s="3">
        <v>41298</v>
      </c>
      <c r="B4418" s="2" t="s">
        <v>40</v>
      </c>
      <c r="C4418" s="2">
        <v>42</v>
      </c>
    </row>
    <row r="4419" spans="1:3" x14ac:dyDescent="0.25">
      <c r="A4419" s="3">
        <v>41367</v>
      </c>
      <c r="B4419" s="2" t="s">
        <v>27</v>
      </c>
      <c r="C4419" s="2">
        <v>19</v>
      </c>
    </row>
    <row r="4420" spans="1:3" x14ac:dyDescent="0.25">
      <c r="A4420" s="3">
        <v>41881</v>
      </c>
      <c r="B4420" s="2" t="s">
        <v>5</v>
      </c>
      <c r="C4420" s="2">
        <v>23</v>
      </c>
    </row>
    <row r="4421" spans="1:3" x14ac:dyDescent="0.25">
      <c r="A4421" s="3">
        <v>41320</v>
      </c>
      <c r="B4421" s="2" t="s">
        <v>34</v>
      </c>
      <c r="C4421" s="2">
        <v>22</v>
      </c>
    </row>
    <row r="4422" spans="1:3" x14ac:dyDescent="0.25">
      <c r="A4422" s="3">
        <v>41638</v>
      </c>
      <c r="B4422" s="2" t="s">
        <v>17</v>
      </c>
      <c r="C4422" s="2">
        <v>58</v>
      </c>
    </row>
    <row r="4423" spans="1:3" x14ac:dyDescent="0.25">
      <c r="A4423" s="3">
        <v>41947</v>
      </c>
      <c r="B4423" s="2" t="s">
        <v>9</v>
      </c>
      <c r="C4423" s="2">
        <v>43</v>
      </c>
    </row>
    <row r="4424" spans="1:3" x14ac:dyDescent="0.25">
      <c r="A4424" s="3">
        <v>41282</v>
      </c>
      <c r="B4424" s="2" t="s">
        <v>3</v>
      </c>
      <c r="C4424" s="2">
        <v>10</v>
      </c>
    </row>
    <row r="4425" spans="1:3" x14ac:dyDescent="0.25">
      <c r="A4425" s="3">
        <v>41740</v>
      </c>
      <c r="B4425" s="2" t="s">
        <v>50</v>
      </c>
      <c r="C4425" s="2">
        <v>10</v>
      </c>
    </row>
    <row r="4426" spans="1:3" x14ac:dyDescent="0.25">
      <c r="A4426" s="3">
        <v>41872</v>
      </c>
      <c r="B4426" s="2" t="s">
        <v>35</v>
      </c>
      <c r="C4426" s="2">
        <v>27</v>
      </c>
    </row>
    <row r="4427" spans="1:3" x14ac:dyDescent="0.25">
      <c r="A4427" s="3">
        <v>41536</v>
      </c>
      <c r="B4427" s="2" t="s">
        <v>26</v>
      </c>
      <c r="C4427" s="2">
        <v>35</v>
      </c>
    </row>
    <row r="4428" spans="1:3" x14ac:dyDescent="0.25">
      <c r="A4428" s="3">
        <v>41644</v>
      </c>
      <c r="B4428" s="2" t="s">
        <v>19</v>
      </c>
      <c r="C4428" s="2">
        <v>26</v>
      </c>
    </row>
    <row r="4429" spans="1:3" x14ac:dyDescent="0.25">
      <c r="A4429" s="3">
        <v>41359</v>
      </c>
      <c r="B4429" s="2" t="s">
        <v>48</v>
      </c>
      <c r="C4429" s="2">
        <v>34</v>
      </c>
    </row>
    <row r="4430" spans="1:3" x14ac:dyDescent="0.25">
      <c r="A4430" s="3">
        <v>41786</v>
      </c>
      <c r="B4430" s="2" t="s">
        <v>3</v>
      </c>
      <c r="C4430" s="2">
        <v>22</v>
      </c>
    </row>
    <row r="4431" spans="1:3" x14ac:dyDescent="0.25">
      <c r="A4431" s="3">
        <v>41373</v>
      </c>
      <c r="B4431" s="2" t="s">
        <v>50</v>
      </c>
      <c r="C4431" s="2">
        <v>27</v>
      </c>
    </row>
    <row r="4432" spans="1:3" x14ac:dyDescent="0.25">
      <c r="A4432" s="3">
        <v>41822</v>
      </c>
      <c r="B4432" s="2" t="s">
        <v>14</v>
      </c>
      <c r="C4432" s="2">
        <v>31</v>
      </c>
    </row>
    <row r="4433" spans="1:3" x14ac:dyDescent="0.25">
      <c r="A4433" s="3">
        <v>41933</v>
      </c>
      <c r="B4433" s="2" t="s">
        <v>9</v>
      </c>
      <c r="C4433" s="2">
        <v>37</v>
      </c>
    </row>
    <row r="4434" spans="1:3" x14ac:dyDescent="0.25">
      <c r="A4434" s="3">
        <v>41412</v>
      </c>
      <c r="B4434" s="2" t="s">
        <v>5</v>
      </c>
      <c r="C4434" s="2">
        <v>4</v>
      </c>
    </row>
    <row r="4435" spans="1:3" x14ac:dyDescent="0.25">
      <c r="A4435" s="3">
        <v>41862</v>
      </c>
      <c r="B4435" s="2" t="s">
        <v>40</v>
      </c>
      <c r="C4435" s="2">
        <v>37</v>
      </c>
    </row>
    <row r="4436" spans="1:3" x14ac:dyDescent="0.25">
      <c r="A4436" s="3">
        <v>41498</v>
      </c>
      <c r="B4436" s="2" t="s">
        <v>15</v>
      </c>
      <c r="C4436" s="2">
        <v>23</v>
      </c>
    </row>
    <row r="4437" spans="1:3" x14ac:dyDescent="0.25">
      <c r="A4437" s="3">
        <v>41467</v>
      </c>
      <c r="B4437" s="2" t="s">
        <v>49</v>
      </c>
      <c r="C4437" s="2">
        <v>28</v>
      </c>
    </row>
    <row r="4438" spans="1:3" x14ac:dyDescent="0.25">
      <c r="A4438" s="3">
        <v>41951</v>
      </c>
      <c r="B4438" s="2" t="s">
        <v>48</v>
      </c>
      <c r="C4438" s="2">
        <v>34</v>
      </c>
    </row>
    <row r="4439" spans="1:3" x14ac:dyDescent="0.25">
      <c r="A4439" s="3">
        <v>41471</v>
      </c>
      <c r="B4439" s="2" t="s">
        <v>14</v>
      </c>
      <c r="C4439" s="2">
        <v>21</v>
      </c>
    </row>
    <row r="4440" spans="1:3" x14ac:dyDescent="0.25">
      <c r="A4440" s="3">
        <v>41958</v>
      </c>
      <c r="B4440" s="2" t="s">
        <v>16</v>
      </c>
      <c r="C4440" s="2">
        <v>32</v>
      </c>
    </row>
    <row r="4441" spans="1:3" x14ac:dyDescent="0.25">
      <c r="A4441" s="3">
        <v>41317</v>
      </c>
      <c r="B4441" s="2" t="s">
        <v>24</v>
      </c>
      <c r="C4441" s="2">
        <v>21</v>
      </c>
    </row>
    <row r="4442" spans="1:3" x14ac:dyDescent="0.25">
      <c r="A4442" s="3">
        <v>41998</v>
      </c>
      <c r="B4442" s="2" t="s">
        <v>16</v>
      </c>
      <c r="C4442" s="2">
        <v>19</v>
      </c>
    </row>
    <row r="4443" spans="1:3" x14ac:dyDescent="0.25">
      <c r="A4443" s="3">
        <v>41983</v>
      </c>
      <c r="B4443" s="2" t="s">
        <v>26</v>
      </c>
      <c r="C4443" s="2">
        <v>26</v>
      </c>
    </row>
    <row r="4444" spans="1:3" x14ac:dyDescent="0.25">
      <c r="A4444" s="3">
        <v>41489</v>
      </c>
      <c r="B4444" s="2" t="s">
        <v>48</v>
      </c>
      <c r="C4444" s="2">
        <v>8</v>
      </c>
    </row>
    <row r="4445" spans="1:3" x14ac:dyDescent="0.25">
      <c r="A4445" s="3">
        <v>41861</v>
      </c>
      <c r="B4445" s="2" t="s">
        <v>45</v>
      </c>
      <c r="C4445" s="2">
        <v>16</v>
      </c>
    </row>
    <row r="4446" spans="1:3" x14ac:dyDescent="0.25">
      <c r="A4446" s="3">
        <v>41683</v>
      </c>
      <c r="B4446" s="2" t="s">
        <v>38</v>
      </c>
      <c r="C4446" s="2">
        <v>13</v>
      </c>
    </row>
    <row r="4447" spans="1:3" x14ac:dyDescent="0.25">
      <c r="A4447" s="3">
        <v>41322</v>
      </c>
      <c r="B4447" s="2" t="s">
        <v>29</v>
      </c>
      <c r="C4447" s="2">
        <v>13</v>
      </c>
    </row>
    <row r="4448" spans="1:3" x14ac:dyDescent="0.25">
      <c r="A4448" s="3">
        <v>41769</v>
      </c>
      <c r="B4448" s="2" t="s">
        <v>45</v>
      </c>
      <c r="C4448" s="2">
        <v>5</v>
      </c>
    </row>
    <row r="4449" spans="1:3" x14ac:dyDescent="0.25">
      <c r="A4449" s="3">
        <v>41346</v>
      </c>
      <c r="B4449" s="2" t="s">
        <v>16</v>
      </c>
      <c r="C4449" s="2">
        <v>31</v>
      </c>
    </row>
    <row r="4450" spans="1:3" x14ac:dyDescent="0.25">
      <c r="A4450" s="3">
        <v>41950</v>
      </c>
      <c r="B4450" s="2" t="s">
        <v>42</v>
      </c>
      <c r="C4450" s="2">
        <v>27</v>
      </c>
    </row>
    <row r="4451" spans="1:3" x14ac:dyDescent="0.25">
      <c r="A4451" s="3">
        <v>41360</v>
      </c>
      <c r="B4451" s="2" t="s">
        <v>9</v>
      </c>
      <c r="C4451" s="2">
        <v>9</v>
      </c>
    </row>
    <row r="4452" spans="1:3" x14ac:dyDescent="0.25">
      <c r="A4452" s="3">
        <v>41978</v>
      </c>
      <c r="B4452" s="2" t="s">
        <v>11</v>
      </c>
      <c r="C4452" s="2">
        <v>27</v>
      </c>
    </row>
    <row r="4453" spans="1:3" x14ac:dyDescent="0.25">
      <c r="A4453" s="3">
        <v>41970</v>
      </c>
      <c r="B4453" s="2" t="s">
        <v>29</v>
      </c>
      <c r="C4453" s="2">
        <v>40</v>
      </c>
    </row>
    <row r="4454" spans="1:3" x14ac:dyDescent="0.25">
      <c r="A4454" s="3">
        <v>41588</v>
      </c>
      <c r="B4454" s="2" t="s">
        <v>32</v>
      </c>
      <c r="C4454" s="2">
        <v>4</v>
      </c>
    </row>
    <row r="4455" spans="1:3" x14ac:dyDescent="0.25">
      <c r="A4455" s="3">
        <v>41954</v>
      </c>
      <c r="B4455" s="2" t="s">
        <v>37</v>
      </c>
      <c r="C4455" s="2">
        <v>21</v>
      </c>
    </row>
    <row r="4456" spans="1:3" x14ac:dyDescent="0.25">
      <c r="A4456" s="3">
        <v>41531</v>
      </c>
      <c r="B4456" s="2" t="s">
        <v>37</v>
      </c>
      <c r="C4456" s="2">
        <v>4</v>
      </c>
    </row>
    <row r="4457" spans="1:3" x14ac:dyDescent="0.25">
      <c r="A4457" s="3">
        <v>41444</v>
      </c>
      <c r="B4457" s="2" t="s">
        <v>19</v>
      </c>
      <c r="C4457" s="2">
        <v>16</v>
      </c>
    </row>
    <row r="4458" spans="1:3" x14ac:dyDescent="0.25">
      <c r="A4458" s="3">
        <v>41533</v>
      </c>
      <c r="B4458" s="2" t="s">
        <v>41</v>
      </c>
      <c r="C4458" s="2">
        <v>25</v>
      </c>
    </row>
    <row r="4459" spans="1:3" x14ac:dyDescent="0.25">
      <c r="A4459" s="3">
        <v>41346</v>
      </c>
      <c r="B4459" s="2" t="s">
        <v>50</v>
      </c>
      <c r="C4459" s="2">
        <v>24</v>
      </c>
    </row>
    <row r="4460" spans="1:3" x14ac:dyDescent="0.25">
      <c r="A4460" s="3">
        <v>41496</v>
      </c>
      <c r="B4460" s="2" t="s">
        <v>24</v>
      </c>
      <c r="C4460" s="2">
        <v>26</v>
      </c>
    </row>
    <row r="4461" spans="1:3" x14ac:dyDescent="0.25">
      <c r="A4461" s="3">
        <v>41592</v>
      </c>
      <c r="B4461" s="2" t="s">
        <v>49</v>
      </c>
      <c r="C4461" s="2">
        <v>21</v>
      </c>
    </row>
    <row r="4462" spans="1:3" x14ac:dyDescent="0.25">
      <c r="A4462" s="3">
        <v>41674</v>
      </c>
      <c r="B4462" s="2" t="s">
        <v>5</v>
      </c>
      <c r="C4462" s="2">
        <v>22</v>
      </c>
    </row>
    <row r="4463" spans="1:3" x14ac:dyDescent="0.25">
      <c r="A4463" s="3">
        <v>41738</v>
      </c>
      <c r="B4463" s="2" t="s">
        <v>21</v>
      </c>
      <c r="C4463" s="2">
        <v>21</v>
      </c>
    </row>
    <row r="4464" spans="1:3" x14ac:dyDescent="0.25">
      <c r="A4464" s="3">
        <v>41676</v>
      </c>
      <c r="B4464" s="2" t="s">
        <v>51</v>
      </c>
      <c r="C4464" s="2">
        <v>3</v>
      </c>
    </row>
    <row r="4465" spans="1:3" x14ac:dyDescent="0.25">
      <c r="A4465" s="3">
        <v>41811</v>
      </c>
      <c r="B4465" s="2" t="s">
        <v>25</v>
      </c>
      <c r="C4465" s="2">
        <v>31</v>
      </c>
    </row>
    <row r="4466" spans="1:3" x14ac:dyDescent="0.25">
      <c r="A4466" s="3">
        <v>41837</v>
      </c>
      <c r="B4466" s="2" t="s">
        <v>36</v>
      </c>
      <c r="C4466" s="2">
        <v>10</v>
      </c>
    </row>
    <row r="4467" spans="1:3" x14ac:dyDescent="0.25">
      <c r="A4467" s="3">
        <v>41587</v>
      </c>
      <c r="B4467" s="2" t="s">
        <v>40</v>
      </c>
      <c r="C4467" s="2">
        <v>26</v>
      </c>
    </row>
    <row r="4468" spans="1:3" x14ac:dyDescent="0.25">
      <c r="A4468" s="3">
        <v>41436</v>
      </c>
      <c r="B4468" s="2" t="s">
        <v>45</v>
      </c>
      <c r="C4468" s="2">
        <v>30</v>
      </c>
    </row>
    <row r="4469" spans="1:3" x14ac:dyDescent="0.25">
      <c r="A4469" s="3">
        <v>41631</v>
      </c>
      <c r="B4469" s="2" t="s">
        <v>20</v>
      </c>
      <c r="C4469" s="2">
        <v>19</v>
      </c>
    </row>
    <row r="4470" spans="1:3" x14ac:dyDescent="0.25">
      <c r="A4470" s="3">
        <v>41401</v>
      </c>
      <c r="B4470" s="2" t="s">
        <v>25</v>
      </c>
      <c r="C4470" s="2">
        <v>23</v>
      </c>
    </row>
    <row r="4471" spans="1:3" x14ac:dyDescent="0.25">
      <c r="A4471" s="3">
        <v>41781</v>
      </c>
      <c r="B4471" s="2" t="s">
        <v>33</v>
      </c>
      <c r="C4471" s="2">
        <v>27</v>
      </c>
    </row>
    <row r="4472" spans="1:3" x14ac:dyDescent="0.25">
      <c r="A4472" s="3">
        <v>41900</v>
      </c>
      <c r="B4472" s="2" t="s">
        <v>11</v>
      </c>
      <c r="C4472" s="2">
        <v>29</v>
      </c>
    </row>
    <row r="4473" spans="1:3" x14ac:dyDescent="0.25">
      <c r="A4473" s="3">
        <v>41781</v>
      </c>
      <c r="B4473" s="2" t="s">
        <v>51</v>
      </c>
      <c r="C4473" s="2">
        <v>25</v>
      </c>
    </row>
    <row r="4474" spans="1:3" x14ac:dyDescent="0.25">
      <c r="A4474" s="3">
        <v>41591</v>
      </c>
      <c r="B4474" s="2" t="s">
        <v>14</v>
      </c>
      <c r="C4474" s="2">
        <v>29</v>
      </c>
    </row>
    <row r="4475" spans="1:3" x14ac:dyDescent="0.25">
      <c r="A4475" s="3">
        <v>41674</v>
      </c>
      <c r="B4475" s="2" t="s">
        <v>42</v>
      </c>
      <c r="C4475" s="2">
        <v>37</v>
      </c>
    </row>
    <row r="4476" spans="1:3" x14ac:dyDescent="0.25">
      <c r="A4476" s="3">
        <v>41360</v>
      </c>
      <c r="B4476" s="2" t="s">
        <v>25</v>
      </c>
      <c r="C4476" s="2">
        <v>22</v>
      </c>
    </row>
    <row r="4477" spans="1:3" x14ac:dyDescent="0.25">
      <c r="A4477" s="3">
        <v>41634</v>
      </c>
      <c r="B4477" s="2" t="s">
        <v>36</v>
      </c>
      <c r="C4477" s="2">
        <v>13</v>
      </c>
    </row>
    <row r="4478" spans="1:3" x14ac:dyDescent="0.25">
      <c r="A4478" s="3">
        <v>41282</v>
      </c>
      <c r="B4478" s="2" t="s">
        <v>46</v>
      </c>
      <c r="C4478" s="2">
        <v>16</v>
      </c>
    </row>
    <row r="4479" spans="1:3" x14ac:dyDescent="0.25">
      <c r="A4479" s="3">
        <v>41652</v>
      </c>
      <c r="B4479" s="2" t="s">
        <v>29</v>
      </c>
      <c r="C4479" s="2">
        <v>61</v>
      </c>
    </row>
    <row r="4480" spans="1:3" x14ac:dyDescent="0.25">
      <c r="A4480" s="3">
        <v>41292</v>
      </c>
      <c r="B4480" s="2" t="s">
        <v>20</v>
      </c>
      <c r="C4480" s="2">
        <v>6</v>
      </c>
    </row>
    <row r="4481" spans="1:3" x14ac:dyDescent="0.25">
      <c r="A4481" s="3">
        <v>41955</v>
      </c>
      <c r="B4481" s="2" t="s">
        <v>2</v>
      </c>
      <c r="C4481" s="2">
        <v>13</v>
      </c>
    </row>
    <row r="4482" spans="1:3" x14ac:dyDescent="0.25">
      <c r="A4482" s="3">
        <v>41730</v>
      </c>
      <c r="B4482" s="2" t="s">
        <v>45</v>
      </c>
      <c r="C4482" s="2">
        <v>2</v>
      </c>
    </row>
    <row r="4483" spans="1:3" x14ac:dyDescent="0.25">
      <c r="A4483" s="3">
        <v>41834</v>
      </c>
      <c r="B4483" s="2" t="s">
        <v>7</v>
      </c>
      <c r="C4483" s="2">
        <v>37</v>
      </c>
    </row>
    <row r="4484" spans="1:3" x14ac:dyDescent="0.25">
      <c r="A4484" s="3">
        <v>41396</v>
      </c>
      <c r="B4484" s="2" t="s">
        <v>50</v>
      </c>
      <c r="C4484" s="2">
        <v>31</v>
      </c>
    </row>
    <row r="4485" spans="1:3" x14ac:dyDescent="0.25">
      <c r="A4485" s="3">
        <v>41741</v>
      </c>
      <c r="B4485" s="2" t="s">
        <v>4</v>
      </c>
      <c r="C4485" s="2">
        <v>41</v>
      </c>
    </row>
    <row r="4486" spans="1:3" x14ac:dyDescent="0.25">
      <c r="A4486" s="3">
        <v>41590</v>
      </c>
      <c r="B4486" s="2" t="s">
        <v>30</v>
      </c>
      <c r="C4486" s="2">
        <v>23</v>
      </c>
    </row>
    <row r="4487" spans="1:3" x14ac:dyDescent="0.25">
      <c r="A4487" s="3">
        <v>41307</v>
      </c>
      <c r="B4487" s="2" t="s">
        <v>30</v>
      </c>
      <c r="C4487" s="2">
        <v>56</v>
      </c>
    </row>
    <row r="4488" spans="1:3" x14ac:dyDescent="0.25">
      <c r="A4488" s="3">
        <v>41931</v>
      </c>
      <c r="B4488" s="2" t="s">
        <v>13</v>
      </c>
      <c r="C4488" s="2">
        <v>44</v>
      </c>
    </row>
    <row r="4489" spans="1:3" x14ac:dyDescent="0.25">
      <c r="A4489" s="3">
        <v>41676</v>
      </c>
      <c r="B4489" s="2" t="s">
        <v>33</v>
      </c>
      <c r="C4489" s="2">
        <v>25</v>
      </c>
    </row>
    <row r="4490" spans="1:3" x14ac:dyDescent="0.25">
      <c r="A4490" s="3">
        <v>41524</v>
      </c>
      <c r="B4490" s="2" t="s">
        <v>16</v>
      </c>
      <c r="C4490" s="2">
        <v>35</v>
      </c>
    </row>
    <row r="4491" spans="1:3" x14ac:dyDescent="0.25">
      <c r="A4491" s="3">
        <v>41541</v>
      </c>
      <c r="B4491" s="2" t="s">
        <v>24</v>
      </c>
      <c r="C4491" s="2">
        <v>24</v>
      </c>
    </row>
    <row r="4492" spans="1:3" x14ac:dyDescent="0.25">
      <c r="A4492" s="3">
        <v>41290</v>
      </c>
      <c r="B4492" s="2" t="s">
        <v>9</v>
      </c>
      <c r="C4492" s="2">
        <v>35</v>
      </c>
    </row>
    <row r="4493" spans="1:3" x14ac:dyDescent="0.25">
      <c r="A4493" s="3">
        <v>41384</v>
      </c>
      <c r="B4493" s="2" t="s">
        <v>44</v>
      </c>
      <c r="C4493" s="2">
        <v>33</v>
      </c>
    </row>
    <row r="4494" spans="1:3" x14ac:dyDescent="0.25">
      <c r="A4494" s="3">
        <v>41445</v>
      </c>
      <c r="B4494" s="2" t="s">
        <v>41</v>
      </c>
      <c r="C4494" s="2">
        <v>32</v>
      </c>
    </row>
    <row r="4495" spans="1:3" x14ac:dyDescent="0.25">
      <c r="A4495" s="3">
        <v>41555</v>
      </c>
      <c r="B4495" s="2" t="s">
        <v>32</v>
      </c>
      <c r="C4495" s="2">
        <v>17</v>
      </c>
    </row>
    <row r="4496" spans="1:3" x14ac:dyDescent="0.25">
      <c r="A4496" s="3">
        <v>41824</v>
      </c>
      <c r="B4496" s="2" t="s">
        <v>4</v>
      </c>
      <c r="C4496" s="2">
        <v>21</v>
      </c>
    </row>
    <row r="4497" spans="1:3" x14ac:dyDescent="0.25">
      <c r="A4497" s="3">
        <v>41565</v>
      </c>
      <c r="B4497" s="2" t="s">
        <v>22</v>
      </c>
      <c r="C4497" s="2">
        <v>16</v>
      </c>
    </row>
    <row r="4498" spans="1:3" x14ac:dyDescent="0.25">
      <c r="A4498" s="3">
        <v>41861</v>
      </c>
      <c r="B4498" s="2" t="s">
        <v>33</v>
      </c>
      <c r="C4498" s="2">
        <v>35</v>
      </c>
    </row>
    <row r="4499" spans="1:3" x14ac:dyDescent="0.25">
      <c r="A4499" s="3">
        <v>41443</v>
      </c>
      <c r="B4499" s="2" t="s">
        <v>3</v>
      </c>
      <c r="C4499" s="2">
        <v>38</v>
      </c>
    </row>
    <row r="4500" spans="1:3" x14ac:dyDescent="0.25">
      <c r="A4500" s="3">
        <v>41894</v>
      </c>
      <c r="B4500" s="2" t="s">
        <v>27</v>
      </c>
      <c r="C4500" s="2">
        <v>22</v>
      </c>
    </row>
    <row r="4501" spans="1:3" x14ac:dyDescent="0.25">
      <c r="A4501" s="3">
        <v>41994</v>
      </c>
      <c r="B4501" s="2" t="s">
        <v>14</v>
      </c>
      <c r="C4501" s="2">
        <v>10</v>
      </c>
    </row>
    <row r="4502" spans="1:3" x14ac:dyDescent="0.25">
      <c r="A4502" s="3">
        <v>41726</v>
      </c>
      <c r="B4502" s="2" t="s">
        <v>5</v>
      </c>
      <c r="C4502" s="2">
        <v>58</v>
      </c>
    </row>
    <row r="4503" spans="1:3" x14ac:dyDescent="0.25">
      <c r="A4503" s="3">
        <v>41779</v>
      </c>
      <c r="B4503" s="2" t="s">
        <v>44</v>
      </c>
      <c r="C4503" s="2">
        <v>9</v>
      </c>
    </row>
    <row r="4504" spans="1:3" x14ac:dyDescent="0.25">
      <c r="A4504" s="3">
        <v>41617</v>
      </c>
      <c r="B4504" s="2" t="s">
        <v>51</v>
      </c>
      <c r="C4504" s="2">
        <v>28</v>
      </c>
    </row>
    <row r="4505" spans="1:3" x14ac:dyDescent="0.25">
      <c r="A4505" s="3">
        <v>41812</v>
      </c>
      <c r="B4505" s="2" t="s">
        <v>39</v>
      </c>
      <c r="C4505" s="2">
        <v>18</v>
      </c>
    </row>
    <row r="4506" spans="1:3" x14ac:dyDescent="0.25">
      <c r="A4506" s="3">
        <v>41861</v>
      </c>
      <c r="B4506" s="2" t="s">
        <v>33</v>
      </c>
      <c r="C4506" s="2">
        <v>50</v>
      </c>
    </row>
    <row r="4507" spans="1:3" x14ac:dyDescent="0.25">
      <c r="A4507" s="3">
        <v>41329</v>
      </c>
      <c r="B4507" s="2" t="s">
        <v>51</v>
      </c>
      <c r="C4507" s="2">
        <v>36</v>
      </c>
    </row>
    <row r="4508" spans="1:3" x14ac:dyDescent="0.25">
      <c r="A4508" s="3">
        <v>41442</v>
      </c>
      <c r="B4508" s="2" t="s">
        <v>24</v>
      </c>
      <c r="C4508" s="2">
        <v>45</v>
      </c>
    </row>
    <row r="4509" spans="1:3" x14ac:dyDescent="0.25">
      <c r="A4509" s="3">
        <v>41710</v>
      </c>
      <c r="B4509" s="2" t="s">
        <v>29</v>
      </c>
      <c r="C4509" s="2">
        <v>26</v>
      </c>
    </row>
    <row r="4510" spans="1:3" x14ac:dyDescent="0.25">
      <c r="A4510" s="3">
        <v>41809</v>
      </c>
      <c r="B4510" s="2" t="s">
        <v>6</v>
      </c>
      <c r="C4510" s="2">
        <v>1</v>
      </c>
    </row>
    <row r="4511" spans="1:3" x14ac:dyDescent="0.25">
      <c r="A4511" s="3">
        <v>41558</v>
      </c>
      <c r="B4511" s="2" t="s">
        <v>19</v>
      </c>
      <c r="C4511" s="2">
        <v>3</v>
      </c>
    </row>
    <row r="4512" spans="1:3" x14ac:dyDescent="0.25">
      <c r="A4512" s="3">
        <v>41521</v>
      </c>
      <c r="B4512" s="2" t="s">
        <v>37</v>
      </c>
      <c r="C4512" s="2">
        <v>26</v>
      </c>
    </row>
    <row r="4513" spans="1:3" x14ac:dyDescent="0.25">
      <c r="A4513" s="3">
        <v>41941</v>
      </c>
      <c r="B4513" s="2" t="s">
        <v>18</v>
      </c>
      <c r="C4513" s="2">
        <v>28</v>
      </c>
    </row>
    <row r="4514" spans="1:3" x14ac:dyDescent="0.25">
      <c r="A4514" s="3">
        <v>41306</v>
      </c>
      <c r="B4514" s="2" t="s">
        <v>42</v>
      </c>
      <c r="C4514" s="2">
        <v>31</v>
      </c>
    </row>
    <row r="4515" spans="1:3" x14ac:dyDescent="0.25">
      <c r="A4515" s="3">
        <v>41432</v>
      </c>
      <c r="B4515" s="2" t="s">
        <v>4</v>
      </c>
      <c r="C4515" s="2">
        <v>35</v>
      </c>
    </row>
    <row r="4516" spans="1:3" x14ac:dyDescent="0.25">
      <c r="A4516" s="3">
        <v>41894</v>
      </c>
      <c r="B4516" s="2" t="s">
        <v>44</v>
      </c>
      <c r="C4516" s="2">
        <v>25</v>
      </c>
    </row>
    <row r="4517" spans="1:3" x14ac:dyDescent="0.25">
      <c r="A4517" s="3">
        <v>41309</v>
      </c>
      <c r="B4517" s="2" t="s">
        <v>16</v>
      </c>
      <c r="C4517" s="2">
        <v>29</v>
      </c>
    </row>
    <row r="4518" spans="1:3" x14ac:dyDescent="0.25">
      <c r="A4518" s="3">
        <v>41353</v>
      </c>
      <c r="B4518" s="2" t="s">
        <v>14</v>
      </c>
      <c r="C4518" s="2">
        <v>9</v>
      </c>
    </row>
    <row r="4519" spans="1:3" x14ac:dyDescent="0.25">
      <c r="A4519" s="3">
        <v>41845</v>
      </c>
      <c r="B4519" s="2" t="s">
        <v>28</v>
      </c>
      <c r="C4519" s="2">
        <v>28</v>
      </c>
    </row>
    <row r="4520" spans="1:3" x14ac:dyDescent="0.25">
      <c r="A4520" s="3">
        <v>41925</v>
      </c>
      <c r="B4520" s="2" t="s">
        <v>50</v>
      </c>
      <c r="C4520" s="2">
        <v>24</v>
      </c>
    </row>
    <row r="4521" spans="1:3" x14ac:dyDescent="0.25">
      <c r="A4521" s="3">
        <v>41661</v>
      </c>
      <c r="B4521" s="2" t="s">
        <v>4</v>
      </c>
      <c r="C4521" s="2">
        <v>46</v>
      </c>
    </row>
    <row r="4522" spans="1:3" x14ac:dyDescent="0.25">
      <c r="A4522" s="3">
        <v>41605</v>
      </c>
      <c r="B4522" s="2" t="s">
        <v>29</v>
      </c>
      <c r="C4522" s="2">
        <v>26</v>
      </c>
    </row>
    <row r="4523" spans="1:3" x14ac:dyDescent="0.25">
      <c r="A4523" s="3">
        <v>41642</v>
      </c>
      <c r="B4523" s="2" t="s">
        <v>32</v>
      </c>
      <c r="C4523" s="2">
        <v>11</v>
      </c>
    </row>
    <row r="4524" spans="1:3" x14ac:dyDescent="0.25">
      <c r="A4524" s="3">
        <v>41895</v>
      </c>
      <c r="B4524" s="2" t="s">
        <v>17</v>
      </c>
      <c r="C4524" s="2">
        <v>6</v>
      </c>
    </row>
    <row r="4525" spans="1:3" x14ac:dyDescent="0.25">
      <c r="A4525" s="3">
        <v>41878</v>
      </c>
      <c r="B4525" s="2" t="s">
        <v>10</v>
      </c>
      <c r="C4525" s="2">
        <v>53</v>
      </c>
    </row>
    <row r="4526" spans="1:3" x14ac:dyDescent="0.25">
      <c r="A4526" s="3">
        <v>41450</v>
      </c>
      <c r="B4526" s="2" t="s">
        <v>7</v>
      </c>
      <c r="C4526" s="2">
        <v>34</v>
      </c>
    </row>
    <row r="4527" spans="1:3" x14ac:dyDescent="0.25">
      <c r="A4527" s="3">
        <v>41570</v>
      </c>
      <c r="B4527" s="2" t="s">
        <v>37</v>
      </c>
      <c r="C4527" s="2">
        <v>50</v>
      </c>
    </row>
    <row r="4528" spans="1:3" x14ac:dyDescent="0.25">
      <c r="A4528" s="3">
        <v>41627</v>
      </c>
      <c r="B4528" s="2" t="s">
        <v>46</v>
      </c>
      <c r="C4528" s="2">
        <v>11</v>
      </c>
    </row>
    <row r="4529" spans="1:3" x14ac:dyDescent="0.25">
      <c r="A4529" s="3">
        <v>41866</v>
      </c>
      <c r="B4529" s="2" t="s">
        <v>48</v>
      </c>
      <c r="C4529" s="2">
        <v>19</v>
      </c>
    </row>
    <row r="4530" spans="1:3" x14ac:dyDescent="0.25">
      <c r="A4530" s="3">
        <v>41956</v>
      </c>
      <c r="B4530" s="2" t="s">
        <v>20</v>
      </c>
      <c r="C4530" s="2">
        <v>29</v>
      </c>
    </row>
    <row r="4531" spans="1:3" x14ac:dyDescent="0.25">
      <c r="A4531" s="3">
        <v>41644</v>
      </c>
      <c r="B4531" s="2" t="s">
        <v>4</v>
      </c>
      <c r="C4531" s="2">
        <v>19</v>
      </c>
    </row>
    <row r="4532" spans="1:3" x14ac:dyDescent="0.25">
      <c r="A4532" s="3">
        <v>41870</v>
      </c>
      <c r="B4532" s="2" t="s">
        <v>37</v>
      </c>
      <c r="C4532" s="2">
        <v>29</v>
      </c>
    </row>
    <row r="4533" spans="1:3" x14ac:dyDescent="0.25">
      <c r="A4533" s="3">
        <v>41905</v>
      </c>
      <c r="B4533" s="2" t="s">
        <v>6</v>
      </c>
      <c r="C4533" s="2">
        <v>45</v>
      </c>
    </row>
    <row r="4534" spans="1:3" x14ac:dyDescent="0.25">
      <c r="A4534" s="3">
        <v>41879</v>
      </c>
      <c r="B4534" s="2" t="s">
        <v>29</v>
      </c>
      <c r="C4534" s="2">
        <v>49</v>
      </c>
    </row>
    <row r="4535" spans="1:3" x14ac:dyDescent="0.25">
      <c r="A4535" s="3">
        <v>41970</v>
      </c>
      <c r="B4535" s="2" t="s">
        <v>6</v>
      </c>
      <c r="C4535" s="2">
        <v>42</v>
      </c>
    </row>
    <row r="4536" spans="1:3" x14ac:dyDescent="0.25">
      <c r="A4536" s="3">
        <v>41987</v>
      </c>
      <c r="B4536" s="2" t="s">
        <v>36</v>
      </c>
      <c r="C4536" s="2">
        <v>26</v>
      </c>
    </row>
    <row r="4537" spans="1:3" x14ac:dyDescent="0.25">
      <c r="A4537" s="3">
        <v>41578</v>
      </c>
      <c r="B4537" s="2" t="s">
        <v>44</v>
      </c>
      <c r="C4537" s="2">
        <v>41</v>
      </c>
    </row>
    <row r="4538" spans="1:3" x14ac:dyDescent="0.25">
      <c r="A4538" s="3">
        <v>41386</v>
      </c>
      <c r="B4538" s="2" t="s">
        <v>9</v>
      </c>
      <c r="C4538" s="2">
        <v>28</v>
      </c>
    </row>
    <row r="4539" spans="1:3" x14ac:dyDescent="0.25">
      <c r="A4539" s="3">
        <v>41952</v>
      </c>
      <c r="B4539" s="2" t="s">
        <v>8</v>
      </c>
      <c r="C4539" s="2">
        <v>1</v>
      </c>
    </row>
    <row r="4540" spans="1:3" x14ac:dyDescent="0.25">
      <c r="A4540" s="3">
        <v>41295</v>
      </c>
      <c r="B4540" s="2" t="s">
        <v>31</v>
      </c>
      <c r="C4540" s="2">
        <v>36</v>
      </c>
    </row>
    <row r="4541" spans="1:3" x14ac:dyDescent="0.25">
      <c r="A4541" s="3">
        <v>41340</v>
      </c>
      <c r="B4541" s="2" t="s">
        <v>43</v>
      </c>
      <c r="C4541" s="2">
        <v>4</v>
      </c>
    </row>
    <row r="4542" spans="1:3" x14ac:dyDescent="0.25">
      <c r="A4542" s="3">
        <v>41424</v>
      </c>
      <c r="B4542" s="2" t="s">
        <v>51</v>
      </c>
      <c r="C4542" s="2">
        <v>23</v>
      </c>
    </row>
    <row r="4543" spans="1:3" x14ac:dyDescent="0.25">
      <c r="A4543" s="3">
        <v>41418</v>
      </c>
      <c r="B4543" s="2" t="s">
        <v>45</v>
      </c>
      <c r="C4543" s="2">
        <v>14</v>
      </c>
    </row>
    <row r="4544" spans="1:3" x14ac:dyDescent="0.25">
      <c r="A4544" s="3">
        <v>41603</v>
      </c>
      <c r="B4544" s="2" t="s">
        <v>50</v>
      </c>
      <c r="C4544" s="2">
        <v>12</v>
      </c>
    </row>
    <row r="4545" spans="1:3" x14ac:dyDescent="0.25">
      <c r="A4545" s="3">
        <v>41969</v>
      </c>
      <c r="B4545" s="2" t="s">
        <v>32</v>
      </c>
      <c r="C4545" s="2">
        <v>16</v>
      </c>
    </row>
    <row r="4546" spans="1:3" x14ac:dyDescent="0.25">
      <c r="A4546" s="3">
        <v>41757</v>
      </c>
      <c r="B4546" s="2" t="s">
        <v>30</v>
      </c>
      <c r="C4546" s="2">
        <v>29</v>
      </c>
    </row>
    <row r="4547" spans="1:3" x14ac:dyDescent="0.25">
      <c r="A4547" s="3">
        <v>41614</v>
      </c>
      <c r="B4547" s="2" t="s">
        <v>19</v>
      </c>
      <c r="C4547" s="2">
        <v>51</v>
      </c>
    </row>
    <row r="4548" spans="1:3" x14ac:dyDescent="0.25">
      <c r="A4548" s="3">
        <v>41804</v>
      </c>
      <c r="B4548" s="2" t="s">
        <v>24</v>
      </c>
      <c r="C4548" s="2">
        <v>4</v>
      </c>
    </row>
    <row r="4549" spans="1:3" x14ac:dyDescent="0.25">
      <c r="A4549" s="3">
        <v>41753</v>
      </c>
      <c r="B4549" s="2" t="s">
        <v>37</v>
      </c>
      <c r="C4549" s="2">
        <v>19</v>
      </c>
    </row>
    <row r="4550" spans="1:3" x14ac:dyDescent="0.25">
      <c r="A4550" s="3">
        <v>41806</v>
      </c>
      <c r="B4550" s="2" t="s">
        <v>21</v>
      </c>
      <c r="C4550" s="2">
        <v>28</v>
      </c>
    </row>
    <row r="4551" spans="1:3" x14ac:dyDescent="0.25">
      <c r="A4551" s="3">
        <v>41777</v>
      </c>
      <c r="B4551" s="2" t="s">
        <v>48</v>
      </c>
      <c r="C4551" s="2">
        <v>13</v>
      </c>
    </row>
    <row r="4552" spans="1:3" x14ac:dyDescent="0.25">
      <c r="A4552" s="3">
        <v>41888</v>
      </c>
      <c r="B4552" s="2" t="s">
        <v>7</v>
      </c>
      <c r="C4552" s="2">
        <v>8</v>
      </c>
    </row>
    <row r="4553" spans="1:3" x14ac:dyDescent="0.25">
      <c r="A4553" s="3">
        <v>41427</v>
      </c>
      <c r="B4553" s="2" t="s">
        <v>10</v>
      </c>
      <c r="C4553" s="2">
        <v>29</v>
      </c>
    </row>
    <row r="4554" spans="1:3" x14ac:dyDescent="0.25">
      <c r="A4554" s="3">
        <v>41361</v>
      </c>
      <c r="B4554" s="2" t="s">
        <v>34</v>
      </c>
      <c r="C4554" s="2">
        <v>32</v>
      </c>
    </row>
    <row r="4555" spans="1:3" x14ac:dyDescent="0.25">
      <c r="A4555" s="3">
        <v>41606</v>
      </c>
      <c r="B4555" s="2" t="s">
        <v>20</v>
      </c>
      <c r="C4555" s="2">
        <v>15</v>
      </c>
    </row>
    <row r="4556" spans="1:3" x14ac:dyDescent="0.25">
      <c r="A4556" s="3">
        <v>41699</v>
      </c>
      <c r="B4556" s="2" t="s">
        <v>44</v>
      </c>
      <c r="C4556" s="2">
        <v>8</v>
      </c>
    </row>
    <row r="4557" spans="1:3" x14ac:dyDescent="0.25">
      <c r="A4557" s="3">
        <v>41956</v>
      </c>
      <c r="B4557" s="2" t="s">
        <v>3</v>
      </c>
      <c r="C4557" s="2">
        <v>31</v>
      </c>
    </row>
    <row r="4558" spans="1:3" x14ac:dyDescent="0.25">
      <c r="A4558" s="3">
        <v>41818</v>
      </c>
      <c r="B4558" s="2" t="s">
        <v>49</v>
      </c>
      <c r="C4558" s="2">
        <v>36</v>
      </c>
    </row>
    <row r="4559" spans="1:3" x14ac:dyDescent="0.25">
      <c r="A4559" s="3">
        <v>41463</v>
      </c>
      <c r="B4559" s="2" t="s">
        <v>45</v>
      </c>
      <c r="C4559" s="2">
        <v>9</v>
      </c>
    </row>
    <row r="4560" spans="1:3" x14ac:dyDescent="0.25">
      <c r="A4560" s="3">
        <v>41794</v>
      </c>
      <c r="B4560" s="2" t="s">
        <v>45</v>
      </c>
      <c r="C4560" s="2">
        <v>31</v>
      </c>
    </row>
    <row r="4561" spans="1:3" x14ac:dyDescent="0.25">
      <c r="A4561" s="3">
        <v>41744</v>
      </c>
      <c r="B4561" s="2" t="s">
        <v>28</v>
      </c>
      <c r="C4561" s="2">
        <v>22</v>
      </c>
    </row>
    <row r="4562" spans="1:3" x14ac:dyDescent="0.25">
      <c r="A4562" s="3">
        <v>41722</v>
      </c>
      <c r="B4562" s="2" t="s">
        <v>24</v>
      </c>
      <c r="C4562" s="2">
        <v>8</v>
      </c>
    </row>
    <row r="4563" spans="1:3" x14ac:dyDescent="0.25">
      <c r="A4563" s="3">
        <v>41539</v>
      </c>
      <c r="B4563" s="2" t="s">
        <v>27</v>
      </c>
      <c r="C4563" s="2">
        <v>24</v>
      </c>
    </row>
    <row r="4564" spans="1:3" x14ac:dyDescent="0.25">
      <c r="A4564" s="3">
        <v>41867</v>
      </c>
      <c r="B4564" s="2" t="s">
        <v>16</v>
      </c>
      <c r="C4564" s="2">
        <v>28</v>
      </c>
    </row>
    <row r="4565" spans="1:3" x14ac:dyDescent="0.25">
      <c r="A4565" s="3">
        <v>41710</v>
      </c>
      <c r="B4565" s="2" t="s">
        <v>16</v>
      </c>
      <c r="C4565" s="2">
        <v>8</v>
      </c>
    </row>
    <row r="4566" spans="1:3" x14ac:dyDescent="0.25">
      <c r="A4566" s="3">
        <v>41703</v>
      </c>
      <c r="B4566" s="2" t="s">
        <v>14</v>
      </c>
      <c r="C4566" s="2">
        <v>6</v>
      </c>
    </row>
    <row r="4567" spans="1:3" x14ac:dyDescent="0.25">
      <c r="A4567" s="3">
        <v>41546</v>
      </c>
      <c r="B4567" s="2" t="s">
        <v>36</v>
      </c>
      <c r="C4567" s="2">
        <v>41</v>
      </c>
    </row>
    <row r="4568" spans="1:3" x14ac:dyDescent="0.25">
      <c r="A4568" s="3">
        <v>41804</v>
      </c>
      <c r="B4568" s="2" t="s">
        <v>50</v>
      </c>
      <c r="C4568" s="2">
        <v>35</v>
      </c>
    </row>
    <row r="4569" spans="1:3" x14ac:dyDescent="0.25">
      <c r="A4569" s="3">
        <v>41572</v>
      </c>
      <c r="B4569" s="2" t="s">
        <v>12</v>
      </c>
      <c r="C4569" s="2">
        <v>25</v>
      </c>
    </row>
    <row r="4570" spans="1:3" x14ac:dyDescent="0.25">
      <c r="A4570" s="3">
        <v>41520</v>
      </c>
      <c r="B4570" s="2" t="s">
        <v>49</v>
      </c>
      <c r="C4570" s="2">
        <v>23</v>
      </c>
    </row>
    <row r="4571" spans="1:3" x14ac:dyDescent="0.25">
      <c r="A4571" s="3">
        <v>41442</v>
      </c>
      <c r="B4571" s="2" t="s">
        <v>16</v>
      </c>
      <c r="C4571" s="2">
        <v>16</v>
      </c>
    </row>
    <row r="4572" spans="1:3" x14ac:dyDescent="0.25">
      <c r="A4572" s="3">
        <v>41912</v>
      </c>
      <c r="B4572" s="2" t="s">
        <v>17</v>
      </c>
      <c r="C4572" s="2">
        <v>33</v>
      </c>
    </row>
    <row r="4573" spans="1:3" x14ac:dyDescent="0.25">
      <c r="A4573" s="3">
        <v>41688</v>
      </c>
      <c r="B4573" s="2" t="s">
        <v>41</v>
      </c>
      <c r="C4573" s="2">
        <v>7</v>
      </c>
    </row>
    <row r="4574" spans="1:3" x14ac:dyDescent="0.25">
      <c r="A4574" s="3">
        <v>41645</v>
      </c>
      <c r="B4574" s="2" t="s">
        <v>37</v>
      </c>
      <c r="C4574" s="2">
        <v>16</v>
      </c>
    </row>
    <row r="4575" spans="1:3" x14ac:dyDescent="0.25">
      <c r="A4575" s="3">
        <v>41408</v>
      </c>
      <c r="B4575" s="2" t="s">
        <v>28</v>
      </c>
      <c r="C4575" s="2">
        <v>25</v>
      </c>
    </row>
    <row r="4576" spans="1:3" x14ac:dyDescent="0.25">
      <c r="A4576" s="3">
        <v>41594</v>
      </c>
      <c r="B4576" s="2" t="s">
        <v>32</v>
      </c>
      <c r="C4576" s="2">
        <v>34</v>
      </c>
    </row>
    <row r="4577" spans="1:3" x14ac:dyDescent="0.25">
      <c r="A4577" s="3">
        <v>41497</v>
      </c>
      <c r="B4577" s="2" t="s">
        <v>36</v>
      </c>
      <c r="C4577" s="2">
        <v>20</v>
      </c>
    </row>
    <row r="4578" spans="1:3" x14ac:dyDescent="0.25">
      <c r="A4578" s="3">
        <v>41836</v>
      </c>
      <c r="B4578" s="2" t="s">
        <v>27</v>
      </c>
      <c r="C4578" s="2">
        <v>6</v>
      </c>
    </row>
    <row r="4579" spans="1:3" x14ac:dyDescent="0.25">
      <c r="A4579" s="3">
        <v>41402</v>
      </c>
      <c r="B4579" s="2" t="s">
        <v>14</v>
      </c>
      <c r="C4579" s="2">
        <v>2</v>
      </c>
    </row>
    <row r="4580" spans="1:3" x14ac:dyDescent="0.25">
      <c r="A4580" s="3">
        <v>41487</v>
      </c>
      <c r="B4580" s="2" t="s">
        <v>51</v>
      </c>
      <c r="C4580" s="2">
        <v>12</v>
      </c>
    </row>
    <row r="4581" spans="1:3" x14ac:dyDescent="0.25">
      <c r="A4581" s="3">
        <v>41473</v>
      </c>
      <c r="B4581" s="2" t="s">
        <v>8</v>
      </c>
      <c r="C4581" s="2">
        <v>43</v>
      </c>
    </row>
    <row r="4582" spans="1:3" x14ac:dyDescent="0.25">
      <c r="A4582" s="3">
        <v>41963</v>
      </c>
      <c r="B4582" s="2" t="s">
        <v>27</v>
      </c>
      <c r="C4582" s="2">
        <v>23</v>
      </c>
    </row>
    <row r="4583" spans="1:3" x14ac:dyDescent="0.25">
      <c r="A4583" s="3">
        <v>41831</v>
      </c>
      <c r="B4583" s="2" t="s">
        <v>28</v>
      </c>
      <c r="C4583" s="2">
        <v>23</v>
      </c>
    </row>
    <row r="4584" spans="1:3" x14ac:dyDescent="0.25">
      <c r="A4584" s="3">
        <v>41892</v>
      </c>
      <c r="B4584" s="2" t="s">
        <v>19</v>
      </c>
      <c r="C4584" s="2">
        <v>35</v>
      </c>
    </row>
    <row r="4585" spans="1:3" x14ac:dyDescent="0.25">
      <c r="A4585" s="3">
        <v>41330</v>
      </c>
      <c r="B4585" s="2" t="s">
        <v>3</v>
      </c>
      <c r="C4585" s="2">
        <v>21</v>
      </c>
    </row>
    <row r="4586" spans="1:3" x14ac:dyDescent="0.25">
      <c r="A4586" s="3">
        <v>41362</v>
      </c>
      <c r="B4586" s="2" t="s">
        <v>35</v>
      </c>
      <c r="C4586" s="2">
        <v>11</v>
      </c>
    </row>
    <row r="4587" spans="1:3" x14ac:dyDescent="0.25">
      <c r="A4587" s="3">
        <v>41342</v>
      </c>
      <c r="B4587" s="2" t="s">
        <v>5</v>
      </c>
      <c r="C4587" s="2">
        <v>15</v>
      </c>
    </row>
    <row r="4588" spans="1:3" x14ac:dyDescent="0.25">
      <c r="A4588" s="3">
        <v>41924</v>
      </c>
      <c r="B4588" s="2" t="s">
        <v>10</v>
      </c>
      <c r="C4588" s="2">
        <v>35</v>
      </c>
    </row>
    <row r="4589" spans="1:3" x14ac:dyDescent="0.25">
      <c r="A4589" s="3">
        <v>41824</v>
      </c>
      <c r="B4589" s="2" t="s">
        <v>9</v>
      </c>
      <c r="C4589" s="2">
        <v>36</v>
      </c>
    </row>
    <row r="4590" spans="1:3" x14ac:dyDescent="0.25">
      <c r="A4590" s="3">
        <v>41574</v>
      </c>
      <c r="B4590" s="2" t="s">
        <v>37</v>
      </c>
      <c r="C4590" s="2">
        <v>27</v>
      </c>
    </row>
    <row r="4591" spans="1:3" x14ac:dyDescent="0.25">
      <c r="A4591" s="3">
        <v>41389</v>
      </c>
      <c r="B4591" s="2" t="s">
        <v>38</v>
      </c>
      <c r="C4591" s="2">
        <v>30</v>
      </c>
    </row>
    <row r="4592" spans="1:3" x14ac:dyDescent="0.25">
      <c r="A4592" s="3">
        <v>41802</v>
      </c>
      <c r="B4592" s="2" t="s">
        <v>3</v>
      </c>
      <c r="C4592" s="2">
        <v>1</v>
      </c>
    </row>
    <row r="4593" spans="1:3" x14ac:dyDescent="0.25">
      <c r="A4593" s="3">
        <v>41324</v>
      </c>
      <c r="B4593" s="2" t="s">
        <v>49</v>
      </c>
      <c r="C4593" s="2">
        <v>24</v>
      </c>
    </row>
    <row r="4594" spans="1:3" x14ac:dyDescent="0.25">
      <c r="A4594" s="3">
        <v>41553</v>
      </c>
      <c r="B4594" s="2" t="s">
        <v>36</v>
      </c>
      <c r="C4594" s="2">
        <v>5</v>
      </c>
    </row>
    <row r="4595" spans="1:3" x14ac:dyDescent="0.25">
      <c r="A4595" s="3">
        <v>41373</v>
      </c>
      <c r="B4595" s="2" t="s">
        <v>14</v>
      </c>
      <c r="C4595" s="2">
        <v>45</v>
      </c>
    </row>
    <row r="4596" spans="1:3" x14ac:dyDescent="0.25">
      <c r="A4596" s="3">
        <v>41455</v>
      </c>
      <c r="B4596" s="2" t="s">
        <v>20</v>
      </c>
      <c r="C4596" s="2">
        <v>9</v>
      </c>
    </row>
    <row r="4597" spans="1:3" x14ac:dyDescent="0.25">
      <c r="A4597" s="3">
        <v>41567</v>
      </c>
      <c r="B4597" s="2" t="s">
        <v>20</v>
      </c>
      <c r="C4597" s="2">
        <v>36</v>
      </c>
    </row>
    <row r="4598" spans="1:3" x14ac:dyDescent="0.25">
      <c r="A4598" s="3">
        <v>41294</v>
      </c>
      <c r="B4598" s="2" t="s">
        <v>47</v>
      </c>
      <c r="C4598" s="2">
        <v>40</v>
      </c>
    </row>
    <row r="4599" spans="1:3" x14ac:dyDescent="0.25">
      <c r="A4599" s="3">
        <v>41533</v>
      </c>
      <c r="B4599" s="2" t="s">
        <v>51</v>
      </c>
      <c r="C4599" s="2">
        <v>25</v>
      </c>
    </row>
    <row r="4600" spans="1:3" x14ac:dyDescent="0.25">
      <c r="A4600" s="3">
        <v>41668</v>
      </c>
      <c r="B4600" s="2" t="s">
        <v>23</v>
      </c>
      <c r="C4600" s="2">
        <v>33</v>
      </c>
    </row>
    <row r="4601" spans="1:3" x14ac:dyDescent="0.25">
      <c r="A4601" s="3">
        <v>41471</v>
      </c>
      <c r="B4601" s="2" t="s">
        <v>11</v>
      </c>
      <c r="C4601" s="2">
        <v>17</v>
      </c>
    </row>
    <row r="4602" spans="1:3" x14ac:dyDescent="0.25">
      <c r="A4602" s="3">
        <v>41828</v>
      </c>
      <c r="B4602" s="2" t="s">
        <v>31</v>
      </c>
      <c r="C4602" s="2">
        <v>19</v>
      </c>
    </row>
    <row r="4603" spans="1:3" x14ac:dyDescent="0.25">
      <c r="A4603" s="3">
        <v>41610</v>
      </c>
      <c r="B4603" s="2" t="s">
        <v>17</v>
      </c>
      <c r="C4603" s="2">
        <v>37</v>
      </c>
    </row>
    <row r="4604" spans="1:3" x14ac:dyDescent="0.25">
      <c r="A4604" s="3">
        <v>41578</v>
      </c>
      <c r="B4604" s="2" t="s">
        <v>2</v>
      </c>
      <c r="C4604" s="2">
        <v>27</v>
      </c>
    </row>
    <row r="4605" spans="1:3" x14ac:dyDescent="0.25">
      <c r="A4605" s="3">
        <v>41670</v>
      </c>
      <c r="B4605" s="2" t="s">
        <v>42</v>
      </c>
      <c r="C4605" s="2">
        <v>40</v>
      </c>
    </row>
    <row r="4606" spans="1:3" x14ac:dyDescent="0.25">
      <c r="A4606" s="3">
        <v>41623</v>
      </c>
      <c r="B4606" s="2" t="s">
        <v>42</v>
      </c>
      <c r="C4606" s="2">
        <v>6</v>
      </c>
    </row>
    <row r="4607" spans="1:3" x14ac:dyDescent="0.25">
      <c r="A4607" s="3">
        <v>41299</v>
      </c>
      <c r="B4607" s="2" t="s">
        <v>39</v>
      </c>
      <c r="C4607" s="2">
        <v>21</v>
      </c>
    </row>
    <row r="4608" spans="1:3" x14ac:dyDescent="0.25">
      <c r="A4608" s="3">
        <v>41533</v>
      </c>
      <c r="B4608" s="2" t="s">
        <v>27</v>
      </c>
      <c r="C4608" s="2">
        <v>34</v>
      </c>
    </row>
    <row r="4609" spans="1:3" x14ac:dyDescent="0.25">
      <c r="A4609" s="3">
        <v>41742</v>
      </c>
      <c r="B4609" s="2" t="s">
        <v>17</v>
      </c>
      <c r="C4609" s="2">
        <v>64</v>
      </c>
    </row>
    <row r="4610" spans="1:3" x14ac:dyDescent="0.25">
      <c r="A4610" s="3">
        <v>41698</v>
      </c>
      <c r="B4610" s="2" t="s">
        <v>28</v>
      </c>
      <c r="C4610" s="2">
        <v>30</v>
      </c>
    </row>
    <row r="4611" spans="1:3" x14ac:dyDescent="0.25">
      <c r="A4611" s="3">
        <v>41854</v>
      </c>
      <c r="B4611" s="2" t="s">
        <v>30</v>
      </c>
      <c r="C4611" s="2">
        <v>19</v>
      </c>
    </row>
    <row r="4612" spans="1:3" x14ac:dyDescent="0.25">
      <c r="A4612" s="3">
        <v>41500</v>
      </c>
      <c r="B4612" s="2" t="s">
        <v>48</v>
      </c>
      <c r="C4612" s="2">
        <v>20</v>
      </c>
    </row>
    <row r="4613" spans="1:3" x14ac:dyDescent="0.25">
      <c r="A4613" s="3">
        <v>41868</v>
      </c>
      <c r="B4613" s="2" t="s">
        <v>5</v>
      </c>
      <c r="C4613" s="2">
        <v>36</v>
      </c>
    </row>
    <row r="4614" spans="1:3" x14ac:dyDescent="0.25">
      <c r="A4614" s="3">
        <v>41814</v>
      </c>
      <c r="B4614" s="2" t="s">
        <v>28</v>
      </c>
      <c r="C4614" s="2">
        <v>7</v>
      </c>
    </row>
    <row r="4615" spans="1:3" x14ac:dyDescent="0.25">
      <c r="A4615" s="3">
        <v>41754</v>
      </c>
      <c r="B4615" s="2" t="s">
        <v>15</v>
      </c>
      <c r="C4615" s="2">
        <v>42</v>
      </c>
    </row>
    <row r="4616" spans="1:3" x14ac:dyDescent="0.25">
      <c r="A4616" s="3">
        <v>41866</v>
      </c>
      <c r="B4616" s="2" t="s">
        <v>33</v>
      </c>
      <c r="C4616" s="2">
        <v>32</v>
      </c>
    </row>
    <row r="4617" spans="1:3" x14ac:dyDescent="0.25">
      <c r="A4617" s="3">
        <v>41881</v>
      </c>
      <c r="B4617" s="2" t="s">
        <v>47</v>
      </c>
      <c r="C4617" s="2">
        <v>10</v>
      </c>
    </row>
    <row r="4618" spans="1:3" x14ac:dyDescent="0.25">
      <c r="A4618" s="3">
        <v>41579</v>
      </c>
      <c r="B4618" s="2" t="s">
        <v>49</v>
      </c>
      <c r="C4618" s="2">
        <v>12</v>
      </c>
    </row>
    <row r="4619" spans="1:3" x14ac:dyDescent="0.25">
      <c r="A4619" s="3">
        <v>41814</v>
      </c>
      <c r="B4619" s="2" t="s">
        <v>46</v>
      </c>
      <c r="C4619" s="2">
        <v>40</v>
      </c>
    </row>
    <row r="4620" spans="1:3" x14ac:dyDescent="0.25">
      <c r="A4620" s="3">
        <v>41911</v>
      </c>
      <c r="B4620" s="2" t="s">
        <v>49</v>
      </c>
      <c r="C4620" s="2">
        <v>34</v>
      </c>
    </row>
    <row r="4621" spans="1:3" x14ac:dyDescent="0.25">
      <c r="A4621" s="3">
        <v>41435</v>
      </c>
      <c r="B4621" s="2" t="s">
        <v>43</v>
      </c>
      <c r="C4621" s="2">
        <v>31</v>
      </c>
    </row>
    <row r="4622" spans="1:3" x14ac:dyDescent="0.25">
      <c r="A4622" s="3">
        <v>41756</v>
      </c>
      <c r="B4622" s="2" t="s">
        <v>17</v>
      </c>
      <c r="C4622" s="2">
        <v>23</v>
      </c>
    </row>
    <row r="4623" spans="1:3" x14ac:dyDescent="0.25">
      <c r="A4623" s="3">
        <v>41413</v>
      </c>
      <c r="B4623" s="2" t="s">
        <v>12</v>
      </c>
      <c r="C4623" s="2">
        <v>30</v>
      </c>
    </row>
    <row r="4624" spans="1:3" x14ac:dyDescent="0.25">
      <c r="A4624" s="3">
        <v>41929</v>
      </c>
      <c r="B4624" s="2" t="s">
        <v>14</v>
      </c>
      <c r="C4624" s="2">
        <v>16</v>
      </c>
    </row>
    <row r="4625" spans="1:3" x14ac:dyDescent="0.25">
      <c r="A4625" s="3">
        <v>41466</v>
      </c>
      <c r="B4625" s="2" t="s">
        <v>4</v>
      </c>
      <c r="C4625" s="2">
        <v>9</v>
      </c>
    </row>
    <row r="4626" spans="1:3" x14ac:dyDescent="0.25">
      <c r="A4626" s="3">
        <v>41831</v>
      </c>
      <c r="B4626" s="2" t="s">
        <v>8</v>
      </c>
      <c r="C4626" s="2">
        <v>10</v>
      </c>
    </row>
    <row r="4627" spans="1:3" x14ac:dyDescent="0.25">
      <c r="A4627" s="3">
        <v>41802</v>
      </c>
      <c r="B4627" s="2" t="s">
        <v>19</v>
      </c>
      <c r="C4627" s="2">
        <v>47</v>
      </c>
    </row>
    <row r="4628" spans="1:3" x14ac:dyDescent="0.25">
      <c r="A4628" s="3">
        <v>41976</v>
      </c>
      <c r="B4628" s="2" t="s">
        <v>7</v>
      </c>
      <c r="C4628" s="2">
        <v>12</v>
      </c>
    </row>
    <row r="4629" spans="1:3" x14ac:dyDescent="0.25">
      <c r="A4629" s="3">
        <v>41777</v>
      </c>
      <c r="B4629" s="2" t="s">
        <v>15</v>
      </c>
      <c r="C4629" s="2">
        <v>5</v>
      </c>
    </row>
    <row r="4630" spans="1:3" x14ac:dyDescent="0.25">
      <c r="A4630" s="3">
        <v>41608</v>
      </c>
      <c r="B4630" s="2" t="s">
        <v>44</v>
      </c>
      <c r="C4630" s="2">
        <v>23</v>
      </c>
    </row>
    <row r="4631" spans="1:3" x14ac:dyDescent="0.25">
      <c r="A4631" s="3">
        <v>41519</v>
      </c>
      <c r="B4631" s="2" t="s">
        <v>33</v>
      </c>
      <c r="C4631" s="2">
        <v>43</v>
      </c>
    </row>
    <row r="4632" spans="1:3" x14ac:dyDescent="0.25">
      <c r="A4632" s="3">
        <v>41684</v>
      </c>
      <c r="B4632" s="2" t="s">
        <v>9</v>
      </c>
      <c r="C4632" s="2">
        <v>20</v>
      </c>
    </row>
    <row r="4633" spans="1:3" x14ac:dyDescent="0.25">
      <c r="A4633" s="3">
        <v>41893</v>
      </c>
      <c r="B4633" s="2" t="s">
        <v>20</v>
      </c>
      <c r="C4633" s="2">
        <v>22</v>
      </c>
    </row>
    <row r="4634" spans="1:3" x14ac:dyDescent="0.25">
      <c r="A4634" s="3">
        <v>41569</v>
      </c>
      <c r="B4634" s="2" t="s">
        <v>18</v>
      </c>
      <c r="C4634" s="2">
        <v>31</v>
      </c>
    </row>
    <row r="4635" spans="1:3" x14ac:dyDescent="0.25">
      <c r="A4635" s="3">
        <v>41464</v>
      </c>
      <c r="B4635" s="2" t="s">
        <v>37</v>
      </c>
      <c r="C4635" s="2">
        <v>40</v>
      </c>
    </row>
    <row r="4636" spans="1:3" x14ac:dyDescent="0.25">
      <c r="A4636" s="3">
        <v>41941</v>
      </c>
      <c r="B4636" s="2" t="s">
        <v>2</v>
      </c>
      <c r="C4636" s="2">
        <v>1</v>
      </c>
    </row>
    <row r="4637" spans="1:3" x14ac:dyDescent="0.25">
      <c r="A4637" s="3">
        <v>41487</v>
      </c>
      <c r="B4637" s="2" t="s">
        <v>29</v>
      </c>
      <c r="C4637" s="2">
        <v>28</v>
      </c>
    </row>
    <row r="4638" spans="1:3" x14ac:dyDescent="0.25">
      <c r="A4638" s="3">
        <v>41707</v>
      </c>
      <c r="B4638" s="2" t="s">
        <v>15</v>
      </c>
      <c r="C4638" s="2">
        <v>29</v>
      </c>
    </row>
    <row r="4639" spans="1:3" x14ac:dyDescent="0.25">
      <c r="A4639" s="3">
        <v>41768</v>
      </c>
      <c r="B4639" s="2" t="s">
        <v>25</v>
      </c>
      <c r="C4639" s="2">
        <v>37</v>
      </c>
    </row>
    <row r="4640" spans="1:3" x14ac:dyDescent="0.25">
      <c r="A4640" s="3">
        <v>41750</v>
      </c>
      <c r="B4640" s="2" t="s">
        <v>7</v>
      </c>
      <c r="C4640" s="2">
        <v>30</v>
      </c>
    </row>
    <row r="4641" spans="1:3" x14ac:dyDescent="0.25">
      <c r="A4641" s="3">
        <v>41961</v>
      </c>
      <c r="B4641" s="2" t="s">
        <v>36</v>
      </c>
      <c r="C4641" s="2">
        <v>19</v>
      </c>
    </row>
    <row r="4642" spans="1:3" x14ac:dyDescent="0.25">
      <c r="A4642" s="3">
        <v>41928</v>
      </c>
      <c r="B4642" s="2" t="s">
        <v>44</v>
      </c>
      <c r="C4642" s="2">
        <v>19</v>
      </c>
    </row>
    <row r="4643" spans="1:3" x14ac:dyDescent="0.25">
      <c r="A4643" s="3">
        <v>41589</v>
      </c>
      <c r="B4643" s="2" t="s">
        <v>6</v>
      </c>
      <c r="C4643" s="2">
        <v>8</v>
      </c>
    </row>
    <row r="4644" spans="1:3" x14ac:dyDescent="0.25">
      <c r="A4644" s="3">
        <v>41371</v>
      </c>
      <c r="B4644" s="2" t="s">
        <v>27</v>
      </c>
      <c r="C4644" s="2">
        <v>30</v>
      </c>
    </row>
    <row r="4645" spans="1:3" x14ac:dyDescent="0.25">
      <c r="A4645" s="3">
        <v>41668</v>
      </c>
      <c r="B4645" s="2" t="s">
        <v>19</v>
      </c>
      <c r="C4645" s="2">
        <v>25</v>
      </c>
    </row>
    <row r="4646" spans="1:3" x14ac:dyDescent="0.25">
      <c r="A4646" s="3">
        <v>41307</v>
      </c>
      <c r="B4646" s="2" t="s">
        <v>50</v>
      </c>
      <c r="C4646" s="2">
        <v>15</v>
      </c>
    </row>
    <row r="4647" spans="1:3" x14ac:dyDescent="0.25">
      <c r="A4647" s="3">
        <v>41574</v>
      </c>
      <c r="B4647" s="2" t="s">
        <v>37</v>
      </c>
      <c r="C4647" s="2">
        <v>1</v>
      </c>
    </row>
    <row r="4648" spans="1:3" x14ac:dyDescent="0.25">
      <c r="A4648" s="3">
        <v>41801</v>
      </c>
      <c r="B4648" s="2" t="s">
        <v>27</v>
      </c>
      <c r="C4648" s="2">
        <v>19</v>
      </c>
    </row>
    <row r="4649" spans="1:3" x14ac:dyDescent="0.25">
      <c r="A4649" s="3">
        <v>41767</v>
      </c>
      <c r="B4649" s="2" t="s">
        <v>6</v>
      </c>
      <c r="C4649" s="2">
        <v>15</v>
      </c>
    </row>
    <row r="4650" spans="1:3" x14ac:dyDescent="0.25">
      <c r="A4650" s="3">
        <v>41433</v>
      </c>
      <c r="B4650" s="2" t="s">
        <v>15</v>
      </c>
      <c r="C4650" s="2">
        <v>15</v>
      </c>
    </row>
    <row r="4651" spans="1:3" x14ac:dyDescent="0.25">
      <c r="A4651" s="3">
        <v>41471</v>
      </c>
      <c r="B4651" s="2" t="s">
        <v>38</v>
      </c>
      <c r="C4651" s="2">
        <v>29</v>
      </c>
    </row>
    <row r="4652" spans="1:3" x14ac:dyDescent="0.25">
      <c r="A4652" s="3">
        <v>41513</v>
      </c>
      <c r="B4652" s="2" t="s">
        <v>29</v>
      </c>
      <c r="C4652" s="2">
        <v>22</v>
      </c>
    </row>
    <row r="4653" spans="1:3" x14ac:dyDescent="0.25">
      <c r="A4653" s="3">
        <v>41954</v>
      </c>
      <c r="B4653" s="2" t="s">
        <v>25</v>
      </c>
      <c r="C4653" s="2">
        <v>16</v>
      </c>
    </row>
    <row r="4654" spans="1:3" x14ac:dyDescent="0.25">
      <c r="A4654" s="3">
        <v>41933</v>
      </c>
      <c r="B4654" s="2" t="s">
        <v>6</v>
      </c>
      <c r="C4654" s="2">
        <v>10</v>
      </c>
    </row>
    <row r="4655" spans="1:3" x14ac:dyDescent="0.25">
      <c r="A4655" s="3">
        <v>41614</v>
      </c>
      <c r="B4655" s="2" t="s">
        <v>46</v>
      </c>
      <c r="C4655" s="2">
        <v>8</v>
      </c>
    </row>
    <row r="4656" spans="1:3" x14ac:dyDescent="0.25">
      <c r="A4656" s="3">
        <v>41462</v>
      </c>
      <c r="B4656" s="2" t="s">
        <v>17</v>
      </c>
      <c r="C4656" s="2">
        <v>23</v>
      </c>
    </row>
    <row r="4657" spans="1:3" x14ac:dyDescent="0.25">
      <c r="A4657" s="3">
        <v>41784</v>
      </c>
      <c r="B4657" s="2" t="s">
        <v>48</v>
      </c>
      <c r="C4657" s="2">
        <v>7</v>
      </c>
    </row>
    <row r="4658" spans="1:3" x14ac:dyDescent="0.25">
      <c r="A4658" s="3">
        <v>41573</v>
      </c>
      <c r="B4658" s="2" t="s">
        <v>22</v>
      </c>
      <c r="C4658" s="2">
        <v>30</v>
      </c>
    </row>
    <row r="4659" spans="1:3" x14ac:dyDescent="0.25">
      <c r="A4659" s="3">
        <v>41942</v>
      </c>
      <c r="B4659" s="2" t="s">
        <v>38</v>
      </c>
      <c r="C4659" s="2">
        <v>47</v>
      </c>
    </row>
    <row r="4660" spans="1:3" x14ac:dyDescent="0.25">
      <c r="A4660" s="3">
        <v>41477</v>
      </c>
      <c r="B4660" s="2" t="s">
        <v>43</v>
      </c>
      <c r="C4660" s="2">
        <v>28</v>
      </c>
    </row>
    <row r="4661" spans="1:3" x14ac:dyDescent="0.25">
      <c r="A4661" s="3">
        <v>41467</v>
      </c>
      <c r="B4661" s="2" t="s">
        <v>39</v>
      </c>
      <c r="C4661" s="2">
        <v>6</v>
      </c>
    </row>
    <row r="4662" spans="1:3" x14ac:dyDescent="0.25">
      <c r="A4662" s="3">
        <v>41759</v>
      </c>
      <c r="B4662" s="2" t="s">
        <v>18</v>
      </c>
      <c r="C4662" s="2">
        <v>11</v>
      </c>
    </row>
    <row r="4663" spans="1:3" x14ac:dyDescent="0.25">
      <c r="A4663" s="3">
        <v>41368</v>
      </c>
      <c r="B4663" s="2" t="s">
        <v>41</v>
      </c>
      <c r="C4663" s="2">
        <v>29</v>
      </c>
    </row>
    <row r="4664" spans="1:3" x14ac:dyDescent="0.25">
      <c r="A4664" s="3">
        <v>41318</v>
      </c>
      <c r="B4664" s="2" t="s">
        <v>48</v>
      </c>
      <c r="C4664" s="2">
        <v>29</v>
      </c>
    </row>
    <row r="4665" spans="1:3" x14ac:dyDescent="0.25">
      <c r="A4665" s="3">
        <v>41504</v>
      </c>
      <c r="B4665" s="2" t="s">
        <v>43</v>
      </c>
      <c r="C4665" s="2">
        <v>45</v>
      </c>
    </row>
    <row r="4666" spans="1:3" x14ac:dyDescent="0.25">
      <c r="A4666" s="3">
        <v>41365</v>
      </c>
      <c r="B4666" s="2" t="s">
        <v>25</v>
      </c>
      <c r="C4666" s="2">
        <v>45</v>
      </c>
    </row>
    <row r="4667" spans="1:3" x14ac:dyDescent="0.25">
      <c r="A4667" s="3">
        <v>41729</v>
      </c>
      <c r="B4667" s="2" t="s">
        <v>36</v>
      </c>
      <c r="C4667" s="2">
        <v>18</v>
      </c>
    </row>
    <row r="4668" spans="1:3" x14ac:dyDescent="0.25">
      <c r="A4668" s="3">
        <v>41846</v>
      </c>
      <c r="B4668" s="2" t="s">
        <v>29</v>
      </c>
      <c r="C4668" s="2">
        <v>31</v>
      </c>
    </row>
    <row r="4669" spans="1:3" x14ac:dyDescent="0.25">
      <c r="A4669" s="3">
        <v>41375</v>
      </c>
      <c r="B4669" s="2" t="s">
        <v>37</v>
      </c>
      <c r="C4669" s="2">
        <v>7</v>
      </c>
    </row>
    <row r="4670" spans="1:3" x14ac:dyDescent="0.25">
      <c r="A4670" s="3">
        <v>41835</v>
      </c>
      <c r="B4670" s="2" t="s">
        <v>4</v>
      </c>
      <c r="C4670" s="2">
        <v>5</v>
      </c>
    </row>
    <row r="4671" spans="1:3" x14ac:dyDescent="0.25">
      <c r="A4671" s="3">
        <v>41557</v>
      </c>
      <c r="B4671" s="2" t="s">
        <v>7</v>
      </c>
      <c r="C4671" s="2">
        <v>46</v>
      </c>
    </row>
    <row r="4672" spans="1:3" x14ac:dyDescent="0.25">
      <c r="A4672" s="3">
        <v>41811</v>
      </c>
      <c r="B4672" s="2" t="s">
        <v>5</v>
      </c>
      <c r="C4672" s="2">
        <v>48</v>
      </c>
    </row>
    <row r="4673" spans="1:3" x14ac:dyDescent="0.25">
      <c r="A4673" s="3">
        <v>41691</v>
      </c>
      <c r="B4673" s="2" t="s">
        <v>51</v>
      </c>
      <c r="C4673" s="2">
        <v>50</v>
      </c>
    </row>
    <row r="4674" spans="1:3" x14ac:dyDescent="0.25">
      <c r="A4674" s="3">
        <v>41308</v>
      </c>
      <c r="B4674" s="2" t="s">
        <v>22</v>
      </c>
      <c r="C4674" s="2">
        <v>47</v>
      </c>
    </row>
    <row r="4675" spans="1:3" x14ac:dyDescent="0.25">
      <c r="A4675" s="3">
        <v>41521</v>
      </c>
      <c r="B4675" s="2" t="s">
        <v>30</v>
      </c>
      <c r="C4675" s="2">
        <v>32</v>
      </c>
    </row>
    <row r="4676" spans="1:3" x14ac:dyDescent="0.25">
      <c r="A4676" s="3">
        <v>41557</v>
      </c>
      <c r="B4676" s="2" t="s">
        <v>50</v>
      </c>
      <c r="C4676" s="2">
        <v>15</v>
      </c>
    </row>
    <row r="4677" spans="1:3" x14ac:dyDescent="0.25">
      <c r="A4677" s="3">
        <v>41396</v>
      </c>
      <c r="B4677" s="2" t="s">
        <v>40</v>
      </c>
      <c r="C4677" s="2">
        <v>30</v>
      </c>
    </row>
    <row r="4678" spans="1:3" x14ac:dyDescent="0.25">
      <c r="A4678" s="3">
        <v>41861</v>
      </c>
      <c r="B4678" s="2" t="s">
        <v>10</v>
      </c>
      <c r="C4678" s="2">
        <v>29</v>
      </c>
    </row>
    <row r="4679" spans="1:3" x14ac:dyDescent="0.25">
      <c r="A4679" s="3">
        <v>41613</v>
      </c>
      <c r="B4679" s="2" t="s">
        <v>41</v>
      </c>
      <c r="C4679" s="2">
        <v>18</v>
      </c>
    </row>
    <row r="4680" spans="1:3" x14ac:dyDescent="0.25">
      <c r="A4680" s="3">
        <v>41691</v>
      </c>
      <c r="B4680" s="2" t="s">
        <v>22</v>
      </c>
      <c r="C4680" s="2">
        <v>18</v>
      </c>
    </row>
    <row r="4681" spans="1:3" x14ac:dyDescent="0.25">
      <c r="A4681" s="3">
        <v>41861</v>
      </c>
      <c r="B4681" s="2" t="s">
        <v>15</v>
      </c>
      <c r="C4681" s="2">
        <v>21</v>
      </c>
    </row>
    <row r="4682" spans="1:3" x14ac:dyDescent="0.25">
      <c r="A4682" s="3">
        <v>41995</v>
      </c>
      <c r="B4682" s="2" t="s">
        <v>9</v>
      </c>
      <c r="C4682" s="2">
        <v>13</v>
      </c>
    </row>
    <row r="4683" spans="1:3" x14ac:dyDescent="0.25">
      <c r="A4683" s="3">
        <v>41537</v>
      </c>
      <c r="B4683" s="2" t="s">
        <v>15</v>
      </c>
      <c r="C4683" s="2">
        <v>39</v>
      </c>
    </row>
    <row r="4684" spans="1:3" x14ac:dyDescent="0.25">
      <c r="A4684" s="3">
        <v>41788</v>
      </c>
      <c r="B4684" s="2" t="s">
        <v>10</v>
      </c>
      <c r="C4684" s="2">
        <v>41</v>
      </c>
    </row>
    <row r="4685" spans="1:3" x14ac:dyDescent="0.25">
      <c r="A4685" s="3">
        <v>41753</v>
      </c>
      <c r="B4685" s="2" t="s">
        <v>42</v>
      </c>
      <c r="C4685" s="2">
        <v>77</v>
      </c>
    </row>
    <row r="4686" spans="1:3" x14ac:dyDescent="0.25">
      <c r="A4686" s="3">
        <v>41423</v>
      </c>
      <c r="B4686" s="2" t="s">
        <v>22</v>
      </c>
      <c r="C4686" s="2">
        <v>52</v>
      </c>
    </row>
    <row r="4687" spans="1:3" x14ac:dyDescent="0.25">
      <c r="A4687" s="3">
        <v>41710</v>
      </c>
      <c r="B4687" s="2" t="s">
        <v>6</v>
      </c>
      <c r="C4687" s="2">
        <v>42</v>
      </c>
    </row>
    <row r="4688" spans="1:3" x14ac:dyDescent="0.25">
      <c r="A4688" s="3">
        <v>41592</v>
      </c>
      <c r="B4688" s="2" t="s">
        <v>51</v>
      </c>
      <c r="C4688" s="2">
        <v>50</v>
      </c>
    </row>
    <row r="4689" spans="1:3" x14ac:dyDescent="0.25">
      <c r="A4689" s="3">
        <v>41817</v>
      </c>
      <c r="B4689" s="2" t="s">
        <v>47</v>
      </c>
      <c r="C4689" s="2">
        <v>34</v>
      </c>
    </row>
    <row r="4690" spans="1:3" x14ac:dyDescent="0.25">
      <c r="A4690" s="3">
        <v>41459</v>
      </c>
      <c r="B4690" s="2" t="s">
        <v>14</v>
      </c>
      <c r="C4690" s="2">
        <v>12</v>
      </c>
    </row>
    <row r="4691" spans="1:3" x14ac:dyDescent="0.25">
      <c r="A4691" s="3">
        <v>41550</v>
      </c>
      <c r="B4691" s="2" t="s">
        <v>32</v>
      </c>
      <c r="C4691" s="2">
        <v>4</v>
      </c>
    </row>
    <row r="4692" spans="1:3" x14ac:dyDescent="0.25">
      <c r="A4692" s="3">
        <v>41919</v>
      </c>
      <c r="B4692" s="2" t="s">
        <v>19</v>
      </c>
      <c r="C4692" s="2">
        <v>43</v>
      </c>
    </row>
    <row r="4693" spans="1:3" x14ac:dyDescent="0.25">
      <c r="A4693" s="3">
        <v>41578</v>
      </c>
      <c r="B4693" s="2" t="s">
        <v>47</v>
      </c>
      <c r="C4693" s="2">
        <v>37</v>
      </c>
    </row>
    <row r="4694" spans="1:3" x14ac:dyDescent="0.25">
      <c r="A4694" s="3">
        <v>41487</v>
      </c>
      <c r="B4694" s="2" t="s">
        <v>8</v>
      </c>
      <c r="C4694" s="2">
        <v>16</v>
      </c>
    </row>
    <row r="4695" spans="1:3" x14ac:dyDescent="0.25">
      <c r="A4695" s="3">
        <v>41699</v>
      </c>
      <c r="B4695" s="2" t="s">
        <v>36</v>
      </c>
      <c r="C4695" s="2">
        <v>44</v>
      </c>
    </row>
    <row r="4696" spans="1:3" x14ac:dyDescent="0.25">
      <c r="A4696" s="3">
        <v>41544</v>
      </c>
      <c r="B4696" s="2" t="s">
        <v>12</v>
      </c>
      <c r="C4696" s="2">
        <v>12</v>
      </c>
    </row>
    <row r="4697" spans="1:3" x14ac:dyDescent="0.25">
      <c r="A4697" s="3">
        <v>41926</v>
      </c>
      <c r="B4697" s="2" t="s">
        <v>40</v>
      </c>
      <c r="C4697" s="2">
        <v>9</v>
      </c>
    </row>
    <row r="4698" spans="1:3" x14ac:dyDescent="0.25">
      <c r="A4698" s="3">
        <v>41429</v>
      </c>
      <c r="B4698" s="2" t="s">
        <v>45</v>
      </c>
      <c r="C4698" s="2">
        <v>49</v>
      </c>
    </row>
    <row r="4699" spans="1:3" x14ac:dyDescent="0.25">
      <c r="A4699" s="3">
        <v>41566</v>
      </c>
      <c r="B4699" s="2" t="s">
        <v>15</v>
      </c>
      <c r="C4699" s="2">
        <v>3</v>
      </c>
    </row>
    <row r="4700" spans="1:3" x14ac:dyDescent="0.25">
      <c r="A4700" s="3">
        <v>41515</v>
      </c>
      <c r="B4700" s="2" t="s">
        <v>50</v>
      </c>
      <c r="C4700" s="2">
        <v>39</v>
      </c>
    </row>
    <row r="4701" spans="1:3" x14ac:dyDescent="0.25">
      <c r="A4701" s="3">
        <v>41478</v>
      </c>
      <c r="B4701" s="2" t="s">
        <v>50</v>
      </c>
      <c r="C4701" s="2">
        <v>40</v>
      </c>
    </row>
    <row r="4702" spans="1:3" x14ac:dyDescent="0.25">
      <c r="A4702" s="3">
        <v>41441</v>
      </c>
      <c r="B4702" s="2" t="s">
        <v>44</v>
      </c>
      <c r="C4702" s="2">
        <v>24</v>
      </c>
    </row>
    <row r="4703" spans="1:3" x14ac:dyDescent="0.25">
      <c r="A4703" s="3">
        <v>41707</v>
      </c>
      <c r="B4703" s="2" t="s">
        <v>7</v>
      </c>
      <c r="C4703" s="2">
        <v>44</v>
      </c>
    </row>
    <row r="4704" spans="1:3" x14ac:dyDescent="0.25">
      <c r="A4704" s="3">
        <v>41573</v>
      </c>
      <c r="B4704" s="2" t="s">
        <v>42</v>
      </c>
      <c r="C4704" s="2">
        <v>7</v>
      </c>
    </row>
    <row r="4705" spans="1:3" x14ac:dyDescent="0.25">
      <c r="A4705" s="3">
        <v>41908</v>
      </c>
      <c r="B4705" s="2" t="s">
        <v>38</v>
      </c>
      <c r="C4705" s="2">
        <v>2</v>
      </c>
    </row>
    <row r="4706" spans="1:3" x14ac:dyDescent="0.25">
      <c r="A4706" s="3">
        <v>41374</v>
      </c>
      <c r="B4706" s="2" t="s">
        <v>46</v>
      </c>
      <c r="C4706" s="2">
        <v>31</v>
      </c>
    </row>
    <row r="4707" spans="1:3" x14ac:dyDescent="0.25">
      <c r="A4707" s="3">
        <v>41622</v>
      </c>
      <c r="B4707" s="2" t="s">
        <v>44</v>
      </c>
      <c r="C4707" s="2">
        <v>6</v>
      </c>
    </row>
    <row r="4708" spans="1:3" x14ac:dyDescent="0.25">
      <c r="A4708" s="3">
        <v>41851</v>
      </c>
      <c r="B4708" s="2" t="s">
        <v>44</v>
      </c>
      <c r="C4708" s="2">
        <v>10</v>
      </c>
    </row>
    <row r="4709" spans="1:3" x14ac:dyDescent="0.25">
      <c r="A4709" s="3">
        <v>41928</v>
      </c>
      <c r="B4709" s="2" t="s">
        <v>40</v>
      </c>
      <c r="C4709" s="2">
        <v>33</v>
      </c>
    </row>
    <row r="4710" spans="1:3" x14ac:dyDescent="0.25">
      <c r="A4710" s="3">
        <v>41985</v>
      </c>
      <c r="B4710" s="2" t="s">
        <v>33</v>
      </c>
      <c r="C4710" s="2">
        <v>48</v>
      </c>
    </row>
    <row r="4711" spans="1:3" x14ac:dyDescent="0.25">
      <c r="A4711" s="3">
        <v>41703</v>
      </c>
      <c r="B4711" s="2" t="s">
        <v>40</v>
      </c>
      <c r="C4711" s="2">
        <v>42</v>
      </c>
    </row>
    <row r="4712" spans="1:3" x14ac:dyDescent="0.25">
      <c r="A4712" s="3">
        <v>41917</v>
      </c>
      <c r="B4712" s="2" t="s">
        <v>5</v>
      </c>
      <c r="C4712" s="2">
        <v>31</v>
      </c>
    </row>
    <row r="4713" spans="1:3" x14ac:dyDescent="0.25">
      <c r="A4713" s="3">
        <v>41807</v>
      </c>
      <c r="B4713" s="2" t="s">
        <v>14</v>
      </c>
      <c r="C4713" s="2">
        <v>32</v>
      </c>
    </row>
    <row r="4714" spans="1:3" x14ac:dyDescent="0.25">
      <c r="A4714" s="3">
        <v>41829</v>
      </c>
      <c r="B4714" s="2" t="s">
        <v>35</v>
      </c>
      <c r="C4714" s="2">
        <v>2</v>
      </c>
    </row>
    <row r="4715" spans="1:3" x14ac:dyDescent="0.25">
      <c r="A4715" s="3">
        <v>41891</v>
      </c>
      <c r="B4715" s="2" t="s">
        <v>29</v>
      </c>
      <c r="C4715" s="2">
        <v>51</v>
      </c>
    </row>
    <row r="4716" spans="1:3" x14ac:dyDescent="0.25">
      <c r="A4716" s="3">
        <v>41372</v>
      </c>
      <c r="B4716" s="2" t="s">
        <v>44</v>
      </c>
      <c r="C4716" s="2">
        <v>35</v>
      </c>
    </row>
    <row r="4717" spans="1:3" x14ac:dyDescent="0.25">
      <c r="A4717" s="3">
        <v>41397</v>
      </c>
      <c r="B4717" s="2" t="s">
        <v>30</v>
      </c>
      <c r="C4717" s="2">
        <v>13</v>
      </c>
    </row>
    <row r="4718" spans="1:3" x14ac:dyDescent="0.25">
      <c r="A4718" s="3">
        <v>41836</v>
      </c>
      <c r="B4718" s="2" t="s">
        <v>27</v>
      </c>
      <c r="C4718" s="2">
        <v>21</v>
      </c>
    </row>
    <row r="4719" spans="1:3" x14ac:dyDescent="0.25">
      <c r="A4719" s="3">
        <v>41826</v>
      </c>
      <c r="B4719" s="2" t="s">
        <v>42</v>
      </c>
      <c r="C4719" s="2">
        <v>37</v>
      </c>
    </row>
    <row r="4720" spans="1:3" x14ac:dyDescent="0.25">
      <c r="A4720" s="3">
        <v>41711</v>
      </c>
      <c r="B4720" s="2" t="s">
        <v>29</v>
      </c>
      <c r="C4720" s="2">
        <v>14</v>
      </c>
    </row>
    <row r="4721" spans="1:3" x14ac:dyDescent="0.25">
      <c r="A4721" s="3">
        <v>41528</v>
      </c>
      <c r="B4721" s="2" t="s">
        <v>5</v>
      </c>
      <c r="C4721" s="2">
        <v>35</v>
      </c>
    </row>
    <row r="4722" spans="1:3" x14ac:dyDescent="0.25">
      <c r="A4722" s="3">
        <v>41508</v>
      </c>
      <c r="B4722" s="2" t="s">
        <v>40</v>
      </c>
      <c r="C4722" s="2">
        <v>22</v>
      </c>
    </row>
    <row r="4723" spans="1:3" x14ac:dyDescent="0.25">
      <c r="A4723" s="3">
        <v>41693</v>
      </c>
      <c r="B4723" s="2" t="s">
        <v>5</v>
      </c>
      <c r="C4723" s="2">
        <v>42</v>
      </c>
    </row>
    <row r="4724" spans="1:3" x14ac:dyDescent="0.25">
      <c r="A4724" s="3">
        <v>41387</v>
      </c>
      <c r="B4724" s="2" t="s">
        <v>40</v>
      </c>
      <c r="C4724" s="2">
        <v>35</v>
      </c>
    </row>
    <row r="4725" spans="1:3" x14ac:dyDescent="0.25">
      <c r="A4725" s="3">
        <v>41939</v>
      </c>
      <c r="B4725" s="2" t="s">
        <v>13</v>
      </c>
      <c r="C4725" s="2">
        <v>15</v>
      </c>
    </row>
    <row r="4726" spans="1:3" x14ac:dyDescent="0.25">
      <c r="A4726" s="3">
        <v>41737</v>
      </c>
      <c r="B4726" s="2" t="s">
        <v>19</v>
      </c>
      <c r="C4726" s="2">
        <v>24</v>
      </c>
    </row>
    <row r="4727" spans="1:3" x14ac:dyDescent="0.25">
      <c r="A4727" s="3">
        <v>41351</v>
      </c>
      <c r="B4727" s="2" t="s">
        <v>32</v>
      </c>
      <c r="C4727" s="2">
        <v>44</v>
      </c>
    </row>
    <row r="4728" spans="1:3" x14ac:dyDescent="0.25">
      <c r="A4728" s="3">
        <v>41277</v>
      </c>
      <c r="B4728" s="2" t="s">
        <v>39</v>
      </c>
      <c r="C4728" s="2">
        <v>10</v>
      </c>
    </row>
    <row r="4729" spans="1:3" x14ac:dyDescent="0.25">
      <c r="A4729" s="3">
        <v>41439</v>
      </c>
      <c r="B4729" s="2" t="s">
        <v>21</v>
      </c>
      <c r="C4729" s="2">
        <v>17</v>
      </c>
    </row>
    <row r="4730" spans="1:3" x14ac:dyDescent="0.25">
      <c r="A4730" s="3">
        <v>41773</v>
      </c>
      <c r="B4730" s="2" t="s">
        <v>27</v>
      </c>
      <c r="C4730" s="2">
        <v>20</v>
      </c>
    </row>
    <row r="4731" spans="1:3" x14ac:dyDescent="0.25">
      <c r="A4731" s="3">
        <v>41953</v>
      </c>
      <c r="B4731" s="2" t="s">
        <v>39</v>
      </c>
      <c r="C4731" s="2">
        <v>19</v>
      </c>
    </row>
    <row r="4732" spans="1:3" x14ac:dyDescent="0.25">
      <c r="A4732" s="3">
        <v>41697</v>
      </c>
      <c r="B4732" s="2" t="s">
        <v>38</v>
      </c>
      <c r="C4732" s="2">
        <v>9</v>
      </c>
    </row>
    <row r="4733" spans="1:3" x14ac:dyDescent="0.25">
      <c r="A4733" s="3">
        <v>41801</v>
      </c>
      <c r="B4733" s="2" t="s">
        <v>19</v>
      </c>
      <c r="C4733" s="2">
        <v>12</v>
      </c>
    </row>
    <row r="4734" spans="1:3" x14ac:dyDescent="0.25">
      <c r="A4734" s="3">
        <v>41279</v>
      </c>
      <c r="B4734" s="2" t="s">
        <v>27</v>
      </c>
      <c r="C4734" s="2">
        <v>19</v>
      </c>
    </row>
    <row r="4735" spans="1:3" x14ac:dyDescent="0.25">
      <c r="A4735" s="3">
        <v>41977</v>
      </c>
      <c r="B4735" s="2" t="s">
        <v>27</v>
      </c>
      <c r="C4735" s="2">
        <v>19</v>
      </c>
    </row>
    <row r="4736" spans="1:3" x14ac:dyDescent="0.25">
      <c r="A4736" s="3">
        <v>41485</v>
      </c>
      <c r="B4736" s="2" t="s">
        <v>16</v>
      </c>
      <c r="C4736" s="2">
        <v>18</v>
      </c>
    </row>
    <row r="4737" spans="1:3" x14ac:dyDescent="0.25">
      <c r="A4737" s="3">
        <v>41794</v>
      </c>
      <c r="B4737" s="2" t="s">
        <v>7</v>
      </c>
      <c r="C4737" s="2">
        <v>44</v>
      </c>
    </row>
    <row r="4738" spans="1:3" x14ac:dyDescent="0.25">
      <c r="A4738" s="3">
        <v>41550</v>
      </c>
      <c r="B4738" s="2" t="s">
        <v>45</v>
      </c>
      <c r="C4738" s="2">
        <v>13</v>
      </c>
    </row>
    <row r="4739" spans="1:3" x14ac:dyDescent="0.25">
      <c r="A4739" s="3">
        <v>41466</v>
      </c>
      <c r="B4739" s="2" t="s">
        <v>24</v>
      </c>
      <c r="C4739" s="2">
        <v>41</v>
      </c>
    </row>
    <row r="4740" spans="1:3" x14ac:dyDescent="0.25">
      <c r="A4740" s="3">
        <v>41699</v>
      </c>
      <c r="B4740" s="2" t="s">
        <v>45</v>
      </c>
      <c r="C4740" s="2">
        <v>14</v>
      </c>
    </row>
    <row r="4741" spans="1:3" x14ac:dyDescent="0.25">
      <c r="A4741" s="3">
        <v>41911</v>
      </c>
      <c r="B4741" s="2" t="s">
        <v>23</v>
      </c>
      <c r="C4741" s="2">
        <v>20</v>
      </c>
    </row>
    <row r="4742" spans="1:3" x14ac:dyDescent="0.25">
      <c r="A4742" s="3">
        <v>41948</v>
      </c>
      <c r="B4742" s="2" t="s">
        <v>8</v>
      </c>
      <c r="C4742" s="2">
        <v>21</v>
      </c>
    </row>
    <row r="4743" spans="1:3" x14ac:dyDescent="0.25">
      <c r="A4743" s="3">
        <v>41477</v>
      </c>
      <c r="B4743" s="2" t="s">
        <v>30</v>
      </c>
      <c r="C4743" s="2">
        <v>34</v>
      </c>
    </row>
    <row r="4744" spans="1:3" x14ac:dyDescent="0.25">
      <c r="A4744" s="3">
        <v>41425</v>
      </c>
      <c r="B4744" s="2" t="s">
        <v>4</v>
      </c>
      <c r="C4744" s="2">
        <v>20</v>
      </c>
    </row>
    <row r="4745" spans="1:3" x14ac:dyDescent="0.25">
      <c r="A4745" s="3">
        <v>41914</v>
      </c>
      <c r="B4745" s="2" t="s">
        <v>28</v>
      </c>
      <c r="C4745" s="2">
        <v>20</v>
      </c>
    </row>
    <row r="4746" spans="1:3" x14ac:dyDescent="0.25">
      <c r="A4746" s="3">
        <v>41822</v>
      </c>
      <c r="B4746" s="2" t="s">
        <v>51</v>
      </c>
      <c r="C4746" s="2">
        <v>33</v>
      </c>
    </row>
    <row r="4747" spans="1:3" x14ac:dyDescent="0.25">
      <c r="A4747" s="3">
        <v>41391</v>
      </c>
      <c r="B4747" s="2" t="s">
        <v>24</v>
      </c>
      <c r="C4747" s="2">
        <v>47</v>
      </c>
    </row>
    <row r="4748" spans="1:3" x14ac:dyDescent="0.25">
      <c r="A4748" s="3">
        <v>41508</v>
      </c>
      <c r="B4748" s="2" t="s">
        <v>30</v>
      </c>
      <c r="C4748" s="2">
        <v>10</v>
      </c>
    </row>
    <row r="4749" spans="1:3" x14ac:dyDescent="0.25">
      <c r="A4749" s="3">
        <v>41735</v>
      </c>
      <c r="B4749" s="2" t="s">
        <v>38</v>
      </c>
      <c r="C4749" s="2">
        <v>20</v>
      </c>
    </row>
    <row r="4750" spans="1:3" x14ac:dyDescent="0.25">
      <c r="A4750" s="3">
        <v>41934</v>
      </c>
      <c r="B4750" s="2" t="s">
        <v>33</v>
      </c>
      <c r="C4750" s="2">
        <v>27</v>
      </c>
    </row>
    <row r="4751" spans="1:3" x14ac:dyDescent="0.25">
      <c r="A4751" s="3">
        <v>41790</v>
      </c>
      <c r="B4751" s="2" t="s">
        <v>4</v>
      </c>
      <c r="C4751" s="2">
        <v>25</v>
      </c>
    </row>
    <row r="4752" spans="1:3" x14ac:dyDescent="0.25">
      <c r="A4752" s="3">
        <v>41569</v>
      </c>
      <c r="B4752" s="2" t="s">
        <v>40</v>
      </c>
      <c r="C4752" s="2">
        <v>18</v>
      </c>
    </row>
    <row r="4753" spans="1:3" x14ac:dyDescent="0.25">
      <c r="A4753" s="3">
        <v>41436</v>
      </c>
      <c r="B4753" s="2" t="s">
        <v>5</v>
      </c>
      <c r="C4753" s="2">
        <v>5</v>
      </c>
    </row>
    <row r="4754" spans="1:3" x14ac:dyDescent="0.25">
      <c r="A4754" s="3">
        <v>41975</v>
      </c>
      <c r="B4754" s="2" t="s">
        <v>47</v>
      </c>
      <c r="C4754" s="2">
        <v>45</v>
      </c>
    </row>
    <row r="4755" spans="1:3" x14ac:dyDescent="0.25">
      <c r="A4755" s="3">
        <v>41424</v>
      </c>
      <c r="B4755" s="2" t="s">
        <v>5</v>
      </c>
      <c r="C4755" s="2">
        <v>17</v>
      </c>
    </row>
    <row r="4756" spans="1:3" x14ac:dyDescent="0.25">
      <c r="A4756" s="3">
        <v>41872</v>
      </c>
      <c r="B4756" s="2" t="s">
        <v>26</v>
      </c>
      <c r="C4756" s="2">
        <v>37</v>
      </c>
    </row>
    <row r="4757" spans="1:3" x14ac:dyDescent="0.25">
      <c r="A4757" s="3">
        <v>41845</v>
      </c>
      <c r="B4757" s="2" t="s">
        <v>35</v>
      </c>
      <c r="C4757" s="2">
        <v>3</v>
      </c>
    </row>
    <row r="4758" spans="1:3" x14ac:dyDescent="0.25">
      <c r="A4758" s="3">
        <v>41897</v>
      </c>
      <c r="B4758" s="2" t="s">
        <v>31</v>
      </c>
      <c r="C4758" s="2">
        <v>34</v>
      </c>
    </row>
    <row r="4759" spans="1:3" x14ac:dyDescent="0.25">
      <c r="A4759" s="3">
        <v>41564</v>
      </c>
      <c r="B4759" s="2" t="s">
        <v>27</v>
      </c>
      <c r="C4759" s="2">
        <v>7</v>
      </c>
    </row>
    <row r="4760" spans="1:3" x14ac:dyDescent="0.25">
      <c r="A4760" s="3">
        <v>41670</v>
      </c>
      <c r="B4760" s="2" t="s">
        <v>22</v>
      </c>
      <c r="C4760" s="2">
        <v>3</v>
      </c>
    </row>
    <row r="4761" spans="1:3" x14ac:dyDescent="0.25">
      <c r="A4761" s="3">
        <v>41477</v>
      </c>
      <c r="B4761" s="2" t="s">
        <v>34</v>
      </c>
      <c r="C4761" s="2">
        <v>20</v>
      </c>
    </row>
    <row r="4762" spans="1:3" x14ac:dyDescent="0.25">
      <c r="A4762" s="3">
        <v>41976</v>
      </c>
      <c r="B4762" s="2" t="s">
        <v>25</v>
      </c>
      <c r="C4762" s="2">
        <v>38</v>
      </c>
    </row>
    <row r="4763" spans="1:3" x14ac:dyDescent="0.25">
      <c r="A4763" s="3">
        <v>41802</v>
      </c>
      <c r="B4763" s="2" t="s">
        <v>31</v>
      </c>
      <c r="C4763" s="2">
        <v>24</v>
      </c>
    </row>
    <row r="4764" spans="1:3" x14ac:dyDescent="0.25">
      <c r="A4764" s="3">
        <v>41664</v>
      </c>
      <c r="B4764" s="2" t="s">
        <v>9</v>
      </c>
      <c r="C4764" s="2">
        <v>29</v>
      </c>
    </row>
    <row r="4765" spans="1:3" x14ac:dyDescent="0.25">
      <c r="A4765" s="3">
        <v>41646</v>
      </c>
      <c r="B4765" s="2" t="s">
        <v>47</v>
      </c>
      <c r="C4765" s="2">
        <v>25</v>
      </c>
    </row>
    <row r="4766" spans="1:3" x14ac:dyDescent="0.25">
      <c r="A4766" s="3">
        <v>41981</v>
      </c>
      <c r="B4766" s="2" t="s">
        <v>6</v>
      </c>
      <c r="C4766" s="2">
        <v>15</v>
      </c>
    </row>
    <row r="4767" spans="1:3" x14ac:dyDescent="0.25">
      <c r="A4767" s="3">
        <v>41309</v>
      </c>
      <c r="B4767" s="2" t="s">
        <v>10</v>
      </c>
      <c r="C4767" s="2">
        <v>16</v>
      </c>
    </row>
    <row r="4768" spans="1:3" x14ac:dyDescent="0.25">
      <c r="A4768" s="3">
        <v>41468</v>
      </c>
      <c r="B4768" s="2" t="s">
        <v>21</v>
      </c>
      <c r="C4768" s="2">
        <v>26</v>
      </c>
    </row>
    <row r="4769" spans="1:3" x14ac:dyDescent="0.25">
      <c r="A4769" s="3">
        <v>41399</v>
      </c>
      <c r="B4769" s="2" t="s">
        <v>38</v>
      </c>
      <c r="C4769" s="2">
        <v>30</v>
      </c>
    </row>
    <row r="4770" spans="1:3" x14ac:dyDescent="0.25">
      <c r="A4770" s="3">
        <v>41559</v>
      </c>
      <c r="B4770" s="2" t="s">
        <v>40</v>
      </c>
      <c r="C4770" s="2">
        <v>14</v>
      </c>
    </row>
    <row r="4771" spans="1:3" x14ac:dyDescent="0.25">
      <c r="A4771" s="3">
        <v>41799</v>
      </c>
      <c r="B4771" s="2" t="s">
        <v>23</v>
      </c>
      <c r="C4771" s="2">
        <v>29</v>
      </c>
    </row>
    <row r="4772" spans="1:3" x14ac:dyDescent="0.25">
      <c r="A4772" s="3">
        <v>41697</v>
      </c>
      <c r="B4772" s="2" t="s">
        <v>37</v>
      </c>
      <c r="C4772" s="2">
        <v>8</v>
      </c>
    </row>
    <row r="4773" spans="1:3" x14ac:dyDescent="0.25">
      <c r="A4773" s="3">
        <v>41929</v>
      </c>
      <c r="B4773" s="2" t="s">
        <v>23</v>
      </c>
      <c r="C4773" s="2">
        <v>41</v>
      </c>
    </row>
    <row r="4774" spans="1:3" x14ac:dyDescent="0.25">
      <c r="A4774" s="3">
        <v>41840</v>
      </c>
      <c r="B4774" s="2" t="s">
        <v>48</v>
      </c>
      <c r="C4774" s="2">
        <v>16</v>
      </c>
    </row>
    <row r="4775" spans="1:3" x14ac:dyDescent="0.25">
      <c r="A4775" s="3">
        <v>41565</v>
      </c>
      <c r="B4775" s="2" t="s">
        <v>24</v>
      </c>
      <c r="C4775" s="2">
        <v>16</v>
      </c>
    </row>
    <row r="4776" spans="1:3" x14ac:dyDescent="0.25">
      <c r="A4776" s="3">
        <v>41534</v>
      </c>
      <c r="B4776" s="2" t="s">
        <v>46</v>
      </c>
      <c r="C4776" s="2">
        <v>20</v>
      </c>
    </row>
    <row r="4777" spans="1:3" x14ac:dyDescent="0.25">
      <c r="A4777" s="3">
        <v>41985</v>
      </c>
      <c r="B4777" s="2" t="s">
        <v>37</v>
      </c>
      <c r="C4777" s="2">
        <v>27</v>
      </c>
    </row>
    <row r="4778" spans="1:3" x14ac:dyDescent="0.25">
      <c r="A4778" s="3">
        <v>41600</v>
      </c>
      <c r="B4778" s="2" t="s">
        <v>14</v>
      </c>
      <c r="C4778" s="2">
        <v>12</v>
      </c>
    </row>
    <row r="4779" spans="1:3" x14ac:dyDescent="0.25">
      <c r="A4779" s="3">
        <v>41354</v>
      </c>
      <c r="B4779" s="2" t="s">
        <v>11</v>
      </c>
      <c r="C4779" s="2">
        <v>42</v>
      </c>
    </row>
    <row r="4780" spans="1:3" x14ac:dyDescent="0.25">
      <c r="A4780" s="3">
        <v>41601</v>
      </c>
      <c r="B4780" s="2" t="s">
        <v>9</v>
      </c>
      <c r="C4780" s="2">
        <v>41</v>
      </c>
    </row>
    <row r="4781" spans="1:3" x14ac:dyDescent="0.25">
      <c r="A4781" s="3">
        <v>41906</v>
      </c>
      <c r="B4781" s="2" t="s">
        <v>6</v>
      </c>
      <c r="C4781" s="2">
        <v>20</v>
      </c>
    </row>
    <row r="4782" spans="1:3" x14ac:dyDescent="0.25">
      <c r="A4782" s="3">
        <v>41330</v>
      </c>
      <c r="B4782" s="2" t="s">
        <v>14</v>
      </c>
      <c r="C4782" s="2">
        <v>13</v>
      </c>
    </row>
    <row r="4783" spans="1:3" x14ac:dyDescent="0.25">
      <c r="A4783" s="3">
        <v>41686</v>
      </c>
      <c r="B4783" s="2" t="s">
        <v>25</v>
      </c>
      <c r="C4783" s="2">
        <v>24</v>
      </c>
    </row>
    <row r="4784" spans="1:3" x14ac:dyDescent="0.25">
      <c r="A4784" s="3">
        <v>41457</v>
      </c>
      <c r="B4784" s="2" t="s">
        <v>6</v>
      </c>
      <c r="C4784" s="2">
        <v>26</v>
      </c>
    </row>
    <row r="4785" spans="1:3" x14ac:dyDescent="0.25">
      <c r="A4785" s="3">
        <v>41544</v>
      </c>
      <c r="B4785" s="2" t="s">
        <v>11</v>
      </c>
      <c r="C4785" s="2">
        <v>42</v>
      </c>
    </row>
    <row r="4786" spans="1:3" x14ac:dyDescent="0.25">
      <c r="A4786" s="3">
        <v>41615</v>
      </c>
      <c r="B4786" s="2" t="s">
        <v>45</v>
      </c>
      <c r="C4786" s="2">
        <v>28</v>
      </c>
    </row>
    <row r="4787" spans="1:3" x14ac:dyDescent="0.25">
      <c r="A4787" s="3">
        <v>41329</v>
      </c>
      <c r="B4787" s="2" t="s">
        <v>32</v>
      </c>
      <c r="C4787" s="2">
        <v>38</v>
      </c>
    </row>
    <row r="4788" spans="1:3" x14ac:dyDescent="0.25">
      <c r="A4788" s="3">
        <v>41470</v>
      </c>
      <c r="B4788" s="2" t="s">
        <v>18</v>
      </c>
      <c r="C4788" s="2">
        <v>6</v>
      </c>
    </row>
    <row r="4789" spans="1:3" x14ac:dyDescent="0.25">
      <c r="A4789" s="3">
        <v>41627</v>
      </c>
      <c r="B4789" s="2" t="s">
        <v>29</v>
      </c>
      <c r="C4789" s="2">
        <v>20</v>
      </c>
    </row>
    <row r="4790" spans="1:3" x14ac:dyDescent="0.25">
      <c r="A4790" s="3">
        <v>41412</v>
      </c>
      <c r="B4790" s="2" t="s">
        <v>12</v>
      </c>
      <c r="C4790" s="2">
        <v>39</v>
      </c>
    </row>
    <row r="4791" spans="1:3" x14ac:dyDescent="0.25">
      <c r="A4791" s="3">
        <v>41896</v>
      </c>
      <c r="B4791" s="2" t="s">
        <v>24</v>
      </c>
      <c r="C4791" s="2">
        <v>2</v>
      </c>
    </row>
    <row r="4792" spans="1:3" x14ac:dyDescent="0.25">
      <c r="A4792" s="3">
        <v>41602</v>
      </c>
      <c r="B4792" s="2" t="s">
        <v>22</v>
      </c>
      <c r="C4792" s="2">
        <v>15</v>
      </c>
    </row>
    <row r="4793" spans="1:3" x14ac:dyDescent="0.25">
      <c r="A4793" s="3">
        <v>41432</v>
      </c>
      <c r="B4793" s="2" t="s">
        <v>24</v>
      </c>
      <c r="C4793" s="2">
        <v>23</v>
      </c>
    </row>
    <row r="4794" spans="1:3" x14ac:dyDescent="0.25">
      <c r="A4794" s="3">
        <v>41394</v>
      </c>
      <c r="B4794" s="2" t="s">
        <v>31</v>
      </c>
      <c r="C4794" s="2">
        <v>20</v>
      </c>
    </row>
    <row r="4795" spans="1:3" x14ac:dyDescent="0.25">
      <c r="A4795" s="3">
        <v>41785</v>
      </c>
      <c r="B4795" s="2" t="s">
        <v>4</v>
      </c>
      <c r="C4795" s="2">
        <v>9</v>
      </c>
    </row>
    <row r="4796" spans="1:3" x14ac:dyDescent="0.25">
      <c r="A4796" s="3">
        <v>41832</v>
      </c>
      <c r="B4796" s="2" t="s">
        <v>30</v>
      </c>
      <c r="C4796" s="2">
        <v>12</v>
      </c>
    </row>
    <row r="4797" spans="1:3" x14ac:dyDescent="0.25">
      <c r="A4797" s="3">
        <v>41300</v>
      </c>
      <c r="B4797" s="2" t="s">
        <v>12</v>
      </c>
      <c r="C4797" s="2">
        <v>33</v>
      </c>
    </row>
    <row r="4798" spans="1:3" x14ac:dyDescent="0.25">
      <c r="A4798" s="3">
        <v>41474</v>
      </c>
      <c r="B4798" s="2" t="s">
        <v>13</v>
      </c>
      <c r="C4798" s="2">
        <v>5</v>
      </c>
    </row>
    <row r="4799" spans="1:3" x14ac:dyDescent="0.25">
      <c r="A4799" s="3">
        <v>41341</v>
      </c>
      <c r="B4799" s="2" t="s">
        <v>37</v>
      </c>
      <c r="C4799" s="2">
        <v>32</v>
      </c>
    </row>
    <row r="4800" spans="1:3" x14ac:dyDescent="0.25">
      <c r="A4800" s="3">
        <v>41400</v>
      </c>
      <c r="B4800" s="2" t="s">
        <v>51</v>
      </c>
      <c r="C4800" s="2">
        <v>49</v>
      </c>
    </row>
    <row r="4801" spans="1:3" x14ac:dyDescent="0.25">
      <c r="A4801" s="3">
        <v>41292</v>
      </c>
      <c r="B4801" s="2" t="s">
        <v>36</v>
      </c>
      <c r="C4801" s="2">
        <v>30</v>
      </c>
    </row>
    <row r="4802" spans="1:3" x14ac:dyDescent="0.25">
      <c r="A4802" s="3">
        <v>41338</v>
      </c>
      <c r="B4802" s="2" t="s">
        <v>8</v>
      </c>
      <c r="C4802" s="2">
        <v>23</v>
      </c>
    </row>
    <row r="4803" spans="1:3" x14ac:dyDescent="0.25">
      <c r="A4803" s="3">
        <v>41783</v>
      </c>
      <c r="B4803" s="2" t="s">
        <v>5</v>
      </c>
      <c r="C4803" s="2">
        <v>17</v>
      </c>
    </row>
    <row r="4804" spans="1:3" x14ac:dyDescent="0.25">
      <c r="A4804" s="3">
        <v>41311</v>
      </c>
      <c r="B4804" s="2" t="s">
        <v>37</v>
      </c>
      <c r="C4804" s="2">
        <v>35</v>
      </c>
    </row>
    <row r="4805" spans="1:3" x14ac:dyDescent="0.25">
      <c r="A4805" s="3">
        <v>41295</v>
      </c>
      <c r="B4805" s="2" t="s">
        <v>34</v>
      </c>
      <c r="C4805" s="2">
        <v>38</v>
      </c>
    </row>
    <row r="4806" spans="1:3" x14ac:dyDescent="0.25">
      <c r="A4806" s="3">
        <v>41796</v>
      </c>
      <c r="B4806" s="2" t="s">
        <v>48</v>
      </c>
      <c r="C4806" s="2">
        <v>14</v>
      </c>
    </row>
    <row r="4807" spans="1:3" x14ac:dyDescent="0.25">
      <c r="A4807" s="3">
        <v>41949</v>
      </c>
      <c r="B4807" s="2" t="s">
        <v>32</v>
      </c>
      <c r="C4807" s="2">
        <v>22</v>
      </c>
    </row>
    <row r="4808" spans="1:3" x14ac:dyDescent="0.25">
      <c r="A4808" s="3">
        <v>41482</v>
      </c>
      <c r="B4808" s="2" t="s">
        <v>30</v>
      </c>
      <c r="C4808" s="2">
        <v>16</v>
      </c>
    </row>
    <row r="4809" spans="1:3" x14ac:dyDescent="0.25">
      <c r="A4809" s="3">
        <v>41870</v>
      </c>
      <c r="B4809" s="2" t="s">
        <v>44</v>
      </c>
      <c r="C4809" s="2">
        <v>35</v>
      </c>
    </row>
    <row r="4810" spans="1:3" x14ac:dyDescent="0.25">
      <c r="A4810" s="3">
        <v>41400</v>
      </c>
      <c r="B4810" s="2" t="s">
        <v>30</v>
      </c>
      <c r="C4810" s="2">
        <v>50</v>
      </c>
    </row>
    <row r="4811" spans="1:3" x14ac:dyDescent="0.25">
      <c r="A4811" s="3">
        <v>41475</v>
      </c>
      <c r="B4811" s="2" t="s">
        <v>42</v>
      </c>
      <c r="C4811" s="2">
        <v>6</v>
      </c>
    </row>
    <row r="4812" spans="1:3" x14ac:dyDescent="0.25">
      <c r="A4812" s="3">
        <v>41363</v>
      </c>
      <c r="B4812" s="2" t="s">
        <v>25</v>
      </c>
      <c r="C4812" s="2">
        <v>34</v>
      </c>
    </row>
    <row r="4813" spans="1:3" x14ac:dyDescent="0.25">
      <c r="A4813" s="3">
        <v>41764</v>
      </c>
      <c r="B4813" s="2" t="s">
        <v>45</v>
      </c>
      <c r="C4813" s="2">
        <v>34</v>
      </c>
    </row>
    <row r="4814" spans="1:3" x14ac:dyDescent="0.25">
      <c r="A4814" s="3">
        <v>41487</v>
      </c>
      <c r="B4814" s="2" t="s">
        <v>2</v>
      </c>
      <c r="C4814" s="2">
        <v>24</v>
      </c>
    </row>
    <row r="4815" spans="1:3" x14ac:dyDescent="0.25">
      <c r="A4815" s="3">
        <v>41765</v>
      </c>
      <c r="B4815" s="2" t="s">
        <v>8</v>
      </c>
      <c r="C4815" s="2">
        <v>52</v>
      </c>
    </row>
    <row r="4816" spans="1:3" x14ac:dyDescent="0.25">
      <c r="A4816" s="3">
        <v>41403</v>
      </c>
      <c r="B4816" s="2" t="s">
        <v>19</v>
      </c>
      <c r="C4816" s="2">
        <v>1</v>
      </c>
    </row>
    <row r="4817" spans="1:3" x14ac:dyDescent="0.25">
      <c r="A4817" s="3">
        <v>41586</v>
      </c>
      <c r="B4817" s="2" t="s">
        <v>11</v>
      </c>
      <c r="C4817" s="2">
        <v>38</v>
      </c>
    </row>
    <row r="4818" spans="1:3" x14ac:dyDescent="0.25">
      <c r="A4818" s="3">
        <v>41773</v>
      </c>
      <c r="B4818" s="2" t="s">
        <v>28</v>
      </c>
      <c r="C4818" s="2">
        <v>7</v>
      </c>
    </row>
    <row r="4819" spans="1:3" x14ac:dyDescent="0.25">
      <c r="A4819" s="3">
        <v>41852</v>
      </c>
      <c r="B4819" s="2" t="s">
        <v>34</v>
      </c>
      <c r="C4819" s="2">
        <v>25</v>
      </c>
    </row>
    <row r="4820" spans="1:3" x14ac:dyDescent="0.25">
      <c r="A4820" s="3">
        <v>41802</v>
      </c>
      <c r="B4820" s="2" t="s">
        <v>46</v>
      </c>
      <c r="C4820" s="2">
        <v>19</v>
      </c>
    </row>
    <row r="4821" spans="1:3" x14ac:dyDescent="0.25">
      <c r="A4821" s="3">
        <v>41301</v>
      </c>
      <c r="B4821" s="2" t="s">
        <v>4</v>
      </c>
      <c r="C4821" s="2">
        <v>32</v>
      </c>
    </row>
    <row r="4822" spans="1:3" x14ac:dyDescent="0.25">
      <c r="A4822" s="3">
        <v>41584</v>
      </c>
      <c r="B4822" s="2" t="s">
        <v>25</v>
      </c>
      <c r="C4822" s="2">
        <v>37</v>
      </c>
    </row>
    <row r="4823" spans="1:3" x14ac:dyDescent="0.25">
      <c r="A4823" s="3">
        <v>41833</v>
      </c>
      <c r="B4823" s="2" t="s">
        <v>2</v>
      </c>
      <c r="C4823" s="2">
        <v>39</v>
      </c>
    </row>
    <row r="4824" spans="1:3" x14ac:dyDescent="0.25">
      <c r="A4824" s="3">
        <v>41746</v>
      </c>
      <c r="B4824" s="2" t="s">
        <v>33</v>
      </c>
      <c r="C4824" s="2">
        <v>14</v>
      </c>
    </row>
    <row r="4825" spans="1:3" x14ac:dyDescent="0.25">
      <c r="A4825" s="3">
        <v>41422</v>
      </c>
      <c r="B4825" s="2" t="s">
        <v>5</v>
      </c>
      <c r="C4825" s="2">
        <v>20</v>
      </c>
    </row>
    <row r="4826" spans="1:3" x14ac:dyDescent="0.25">
      <c r="A4826" s="3">
        <v>41495</v>
      </c>
      <c r="B4826" s="2" t="s">
        <v>18</v>
      </c>
      <c r="C4826" s="2">
        <v>41</v>
      </c>
    </row>
    <row r="4827" spans="1:3" x14ac:dyDescent="0.25">
      <c r="A4827" s="3">
        <v>41760</v>
      </c>
      <c r="B4827" s="2" t="s">
        <v>50</v>
      </c>
      <c r="C4827" s="2">
        <v>27</v>
      </c>
    </row>
    <row r="4828" spans="1:3" x14ac:dyDescent="0.25">
      <c r="A4828" s="3">
        <v>41451</v>
      </c>
      <c r="B4828" s="2" t="s">
        <v>25</v>
      </c>
      <c r="C4828" s="2">
        <v>40</v>
      </c>
    </row>
    <row r="4829" spans="1:3" x14ac:dyDescent="0.25">
      <c r="A4829" s="3">
        <v>41468</v>
      </c>
      <c r="B4829" s="2" t="s">
        <v>12</v>
      </c>
      <c r="C4829" s="2">
        <v>8</v>
      </c>
    </row>
    <row r="4830" spans="1:3" x14ac:dyDescent="0.25">
      <c r="A4830" s="3">
        <v>41293</v>
      </c>
      <c r="B4830" s="2" t="s">
        <v>19</v>
      </c>
      <c r="C4830" s="2">
        <v>17</v>
      </c>
    </row>
    <row r="4831" spans="1:3" x14ac:dyDescent="0.25">
      <c r="A4831" s="3">
        <v>41894</v>
      </c>
      <c r="B4831" s="2" t="s">
        <v>48</v>
      </c>
      <c r="C4831" s="2">
        <v>31</v>
      </c>
    </row>
    <row r="4832" spans="1:3" x14ac:dyDescent="0.25">
      <c r="A4832" s="3">
        <v>41633</v>
      </c>
      <c r="B4832" s="2" t="s">
        <v>47</v>
      </c>
      <c r="C4832" s="2">
        <v>42</v>
      </c>
    </row>
    <row r="4833" spans="1:3" x14ac:dyDescent="0.25">
      <c r="A4833" s="3">
        <v>41977</v>
      </c>
      <c r="B4833" s="2" t="s">
        <v>31</v>
      </c>
      <c r="C4833" s="2">
        <v>27</v>
      </c>
    </row>
    <row r="4834" spans="1:3" x14ac:dyDescent="0.25">
      <c r="A4834" s="3">
        <v>41534</v>
      </c>
      <c r="B4834" s="2" t="s">
        <v>44</v>
      </c>
      <c r="C4834" s="2">
        <v>18</v>
      </c>
    </row>
    <row r="4835" spans="1:3" x14ac:dyDescent="0.25">
      <c r="A4835" s="3">
        <v>41554</v>
      </c>
      <c r="B4835" s="2" t="s">
        <v>19</v>
      </c>
      <c r="C4835" s="2">
        <v>20</v>
      </c>
    </row>
    <row r="4836" spans="1:3" x14ac:dyDescent="0.25">
      <c r="A4836" s="3">
        <v>41466</v>
      </c>
      <c r="B4836" s="2" t="s">
        <v>4</v>
      </c>
      <c r="C4836" s="2">
        <v>45</v>
      </c>
    </row>
    <row r="4837" spans="1:3" x14ac:dyDescent="0.25">
      <c r="A4837" s="3">
        <v>41838</v>
      </c>
      <c r="B4837" s="2" t="s">
        <v>39</v>
      </c>
      <c r="C4837" s="2">
        <v>35</v>
      </c>
    </row>
    <row r="4838" spans="1:3" x14ac:dyDescent="0.25">
      <c r="A4838" s="3">
        <v>41811</v>
      </c>
      <c r="B4838" s="2" t="s">
        <v>24</v>
      </c>
      <c r="C4838" s="2">
        <v>0</v>
      </c>
    </row>
    <row r="4839" spans="1:3" x14ac:dyDescent="0.25">
      <c r="A4839" s="3">
        <v>41973</v>
      </c>
      <c r="B4839" s="2" t="s">
        <v>43</v>
      </c>
      <c r="C4839" s="2">
        <v>19</v>
      </c>
    </row>
    <row r="4840" spans="1:3" x14ac:dyDescent="0.25">
      <c r="A4840" s="3">
        <v>41559</v>
      </c>
      <c r="B4840" s="2" t="s">
        <v>38</v>
      </c>
      <c r="C4840" s="2">
        <v>33</v>
      </c>
    </row>
    <row r="4841" spans="1:3" x14ac:dyDescent="0.25">
      <c r="A4841" s="3">
        <v>41499</v>
      </c>
      <c r="B4841" s="2" t="s">
        <v>41</v>
      </c>
      <c r="C4841" s="2">
        <v>35</v>
      </c>
    </row>
    <row r="4842" spans="1:3" x14ac:dyDescent="0.25">
      <c r="A4842" s="3">
        <v>41325</v>
      </c>
      <c r="B4842" s="2" t="s">
        <v>44</v>
      </c>
      <c r="C4842" s="2">
        <v>9</v>
      </c>
    </row>
    <row r="4843" spans="1:3" x14ac:dyDescent="0.25">
      <c r="A4843" s="3">
        <v>41623</v>
      </c>
      <c r="B4843" s="2" t="s">
        <v>36</v>
      </c>
      <c r="C4843" s="2">
        <v>16</v>
      </c>
    </row>
    <row r="4844" spans="1:3" x14ac:dyDescent="0.25">
      <c r="A4844" s="3">
        <v>41705</v>
      </c>
      <c r="B4844" s="2" t="s">
        <v>30</v>
      </c>
      <c r="C4844" s="2">
        <v>22</v>
      </c>
    </row>
    <row r="4845" spans="1:3" x14ac:dyDescent="0.25">
      <c r="A4845" s="3">
        <v>41994</v>
      </c>
      <c r="B4845" s="2" t="s">
        <v>44</v>
      </c>
      <c r="C4845" s="2">
        <v>25</v>
      </c>
    </row>
    <row r="4846" spans="1:3" x14ac:dyDescent="0.25">
      <c r="A4846" s="3">
        <v>41724</v>
      </c>
      <c r="B4846" s="2" t="s">
        <v>43</v>
      </c>
      <c r="C4846" s="2">
        <v>18</v>
      </c>
    </row>
    <row r="4847" spans="1:3" x14ac:dyDescent="0.25">
      <c r="A4847" s="3">
        <v>41956</v>
      </c>
      <c r="B4847" s="2" t="s">
        <v>43</v>
      </c>
      <c r="C4847" s="2">
        <v>0</v>
      </c>
    </row>
    <row r="4848" spans="1:3" x14ac:dyDescent="0.25">
      <c r="A4848" s="3">
        <v>41724</v>
      </c>
      <c r="B4848" s="2" t="s">
        <v>33</v>
      </c>
      <c r="C4848" s="2">
        <v>33</v>
      </c>
    </row>
    <row r="4849" spans="1:3" x14ac:dyDescent="0.25">
      <c r="A4849" s="3">
        <v>41948</v>
      </c>
      <c r="B4849" s="2" t="s">
        <v>51</v>
      </c>
      <c r="C4849" s="2">
        <v>36</v>
      </c>
    </row>
    <row r="4850" spans="1:3" x14ac:dyDescent="0.25">
      <c r="A4850" s="3">
        <v>41959</v>
      </c>
      <c r="B4850" s="2" t="s">
        <v>22</v>
      </c>
      <c r="C4850" s="2">
        <v>24</v>
      </c>
    </row>
    <row r="4851" spans="1:3" x14ac:dyDescent="0.25">
      <c r="A4851" s="3">
        <v>41298</v>
      </c>
      <c r="B4851" s="2" t="s">
        <v>2</v>
      </c>
      <c r="C4851" s="2">
        <v>11</v>
      </c>
    </row>
    <row r="4852" spans="1:3" x14ac:dyDescent="0.25">
      <c r="A4852" s="3">
        <v>41536</v>
      </c>
      <c r="B4852" s="2" t="s">
        <v>40</v>
      </c>
      <c r="C4852" s="2">
        <v>18</v>
      </c>
    </row>
    <row r="4853" spans="1:3" x14ac:dyDescent="0.25">
      <c r="A4853" s="3">
        <v>41967</v>
      </c>
      <c r="B4853" s="2" t="s">
        <v>7</v>
      </c>
      <c r="C4853" s="2">
        <v>31</v>
      </c>
    </row>
    <row r="4854" spans="1:3" x14ac:dyDescent="0.25">
      <c r="A4854" s="3">
        <v>41628</v>
      </c>
      <c r="B4854" s="2" t="s">
        <v>43</v>
      </c>
      <c r="C4854" s="2">
        <v>18</v>
      </c>
    </row>
    <row r="4855" spans="1:3" x14ac:dyDescent="0.25">
      <c r="A4855" s="3">
        <v>41304</v>
      </c>
      <c r="B4855" s="2" t="s">
        <v>39</v>
      </c>
      <c r="C4855" s="2">
        <v>52</v>
      </c>
    </row>
    <row r="4856" spans="1:3" x14ac:dyDescent="0.25">
      <c r="A4856" s="3">
        <v>41726</v>
      </c>
      <c r="B4856" s="2" t="s">
        <v>21</v>
      </c>
      <c r="C4856" s="2">
        <v>13</v>
      </c>
    </row>
    <row r="4857" spans="1:3" x14ac:dyDescent="0.25">
      <c r="A4857" s="3">
        <v>41333</v>
      </c>
      <c r="B4857" s="2" t="s">
        <v>44</v>
      </c>
      <c r="C4857" s="2">
        <v>32</v>
      </c>
    </row>
    <row r="4858" spans="1:3" x14ac:dyDescent="0.25">
      <c r="A4858" s="3">
        <v>41569</v>
      </c>
      <c r="B4858" s="2" t="s">
        <v>8</v>
      </c>
      <c r="C4858" s="2">
        <v>44</v>
      </c>
    </row>
    <row r="4859" spans="1:3" x14ac:dyDescent="0.25">
      <c r="A4859" s="3">
        <v>41737</v>
      </c>
      <c r="B4859" s="2" t="s">
        <v>46</v>
      </c>
      <c r="C4859" s="2">
        <v>29</v>
      </c>
    </row>
    <row r="4860" spans="1:3" x14ac:dyDescent="0.25">
      <c r="A4860" s="3">
        <v>41881</v>
      </c>
      <c r="B4860" s="2" t="s">
        <v>43</v>
      </c>
      <c r="C4860" s="2">
        <v>26</v>
      </c>
    </row>
    <row r="4861" spans="1:3" x14ac:dyDescent="0.25">
      <c r="A4861" s="3">
        <v>41915</v>
      </c>
      <c r="B4861" s="2" t="s">
        <v>39</v>
      </c>
      <c r="C4861" s="2">
        <v>26</v>
      </c>
    </row>
    <row r="4862" spans="1:3" x14ac:dyDescent="0.25">
      <c r="A4862" s="3">
        <v>41668</v>
      </c>
      <c r="B4862" s="2" t="s">
        <v>40</v>
      </c>
      <c r="C4862" s="2">
        <v>39</v>
      </c>
    </row>
    <row r="4863" spans="1:3" x14ac:dyDescent="0.25">
      <c r="A4863" s="3">
        <v>41981</v>
      </c>
      <c r="B4863" s="2" t="s">
        <v>30</v>
      </c>
      <c r="C4863" s="2">
        <v>4</v>
      </c>
    </row>
    <row r="4864" spans="1:3" x14ac:dyDescent="0.25">
      <c r="A4864" s="3">
        <v>41838</v>
      </c>
      <c r="B4864" s="2" t="s">
        <v>19</v>
      </c>
      <c r="C4864" s="2">
        <v>11</v>
      </c>
    </row>
    <row r="4865" spans="1:3" x14ac:dyDescent="0.25">
      <c r="A4865" s="3">
        <v>41931</v>
      </c>
      <c r="B4865" s="2" t="s">
        <v>24</v>
      </c>
      <c r="C4865" s="2">
        <v>52</v>
      </c>
    </row>
    <row r="4866" spans="1:3" x14ac:dyDescent="0.25">
      <c r="A4866" s="3">
        <v>41787</v>
      </c>
      <c r="B4866" s="2" t="s">
        <v>8</v>
      </c>
      <c r="C4866" s="2">
        <v>40</v>
      </c>
    </row>
    <row r="4867" spans="1:3" x14ac:dyDescent="0.25">
      <c r="A4867" s="3">
        <v>41646</v>
      </c>
      <c r="B4867" s="2" t="s">
        <v>22</v>
      </c>
      <c r="C4867" s="2">
        <v>44</v>
      </c>
    </row>
    <row r="4868" spans="1:3" x14ac:dyDescent="0.25">
      <c r="A4868" s="3">
        <v>41552</v>
      </c>
      <c r="B4868" s="2" t="s">
        <v>9</v>
      </c>
      <c r="C4868" s="2">
        <v>46</v>
      </c>
    </row>
    <row r="4869" spans="1:3" x14ac:dyDescent="0.25">
      <c r="A4869" s="3">
        <v>41700</v>
      </c>
      <c r="B4869" s="2" t="s">
        <v>36</v>
      </c>
      <c r="C4869" s="2">
        <v>28</v>
      </c>
    </row>
    <row r="4870" spans="1:3" x14ac:dyDescent="0.25">
      <c r="A4870" s="3">
        <v>41747</v>
      </c>
      <c r="B4870" s="2" t="s">
        <v>25</v>
      </c>
      <c r="C4870" s="2">
        <v>39</v>
      </c>
    </row>
    <row r="4871" spans="1:3" x14ac:dyDescent="0.25">
      <c r="A4871" s="3">
        <v>41657</v>
      </c>
      <c r="B4871" s="2" t="s">
        <v>5</v>
      </c>
      <c r="C4871" s="2">
        <v>25</v>
      </c>
    </row>
    <row r="4872" spans="1:3" x14ac:dyDescent="0.25">
      <c r="A4872" s="3">
        <v>41454</v>
      </c>
      <c r="B4872" s="2" t="s">
        <v>2</v>
      </c>
      <c r="C4872" s="2">
        <v>57</v>
      </c>
    </row>
    <row r="4873" spans="1:3" x14ac:dyDescent="0.25">
      <c r="A4873" s="3">
        <v>41307</v>
      </c>
      <c r="B4873" s="2" t="s">
        <v>33</v>
      </c>
      <c r="C4873" s="2">
        <v>26</v>
      </c>
    </row>
    <row r="4874" spans="1:3" x14ac:dyDescent="0.25">
      <c r="A4874" s="3">
        <v>41957</v>
      </c>
      <c r="B4874" s="2" t="s">
        <v>35</v>
      </c>
      <c r="C4874" s="2">
        <v>15</v>
      </c>
    </row>
    <row r="4875" spans="1:3" x14ac:dyDescent="0.25">
      <c r="A4875" s="3">
        <v>41560</v>
      </c>
      <c r="B4875" s="2" t="s">
        <v>41</v>
      </c>
      <c r="C4875" s="2">
        <v>11</v>
      </c>
    </row>
    <row r="4876" spans="1:3" x14ac:dyDescent="0.25">
      <c r="A4876" s="3">
        <v>41330</v>
      </c>
      <c r="B4876" s="2" t="s">
        <v>22</v>
      </c>
      <c r="C4876" s="2">
        <v>9</v>
      </c>
    </row>
    <row r="4877" spans="1:3" x14ac:dyDescent="0.25">
      <c r="A4877" s="3">
        <v>41640</v>
      </c>
      <c r="B4877" s="2" t="s">
        <v>2</v>
      </c>
      <c r="C4877" s="2">
        <v>41</v>
      </c>
    </row>
    <row r="4878" spans="1:3" x14ac:dyDescent="0.25">
      <c r="A4878" s="3">
        <v>41700</v>
      </c>
      <c r="B4878" s="2" t="s">
        <v>41</v>
      </c>
      <c r="C4878" s="2">
        <v>52</v>
      </c>
    </row>
    <row r="4879" spans="1:3" x14ac:dyDescent="0.25">
      <c r="A4879" s="3">
        <v>41294</v>
      </c>
      <c r="B4879" s="2" t="s">
        <v>42</v>
      </c>
      <c r="C4879" s="2">
        <v>20</v>
      </c>
    </row>
    <row r="4880" spans="1:3" x14ac:dyDescent="0.25">
      <c r="A4880" s="3">
        <v>41802</v>
      </c>
      <c r="B4880" s="2" t="s">
        <v>3</v>
      </c>
      <c r="C4880" s="2">
        <v>28</v>
      </c>
    </row>
    <row r="4881" spans="1:3" x14ac:dyDescent="0.25">
      <c r="A4881" s="3">
        <v>41876</v>
      </c>
      <c r="B4881" s="2" t="s">
        <v>12</v>
      </c>
      <c r="C4881" s="2">
        <v>3</v>
      </c>
    </row>
    <row r="4882" spans="1:3" x14ac:dyDescent="0.25">
      <c r="A4882" s="3">
        <v>41966</v>
      </c>
      <c r="B4882" s="2" t="s">
        <v>11</v>
      </c>
      <c r="C4882" s="2">
        <v>54</v>
      </c>
    </row>
    <row r="4883" spans="1:3" x14ac:dyDescent="0.25">
      <c r="A4883" s="3">
        <v>41338</v>
      </c>
      <c r="B4883" s="2" t="s">
        <v>42</v>
      </c>
      <c r="C4883" s="2">
        <v>27</v>
      </c>
    </row>
    <row r="4884" spans="1:3" x14ac:dyDescent="0.25">
      <c r="A4884" s="3">
        <v>42004</v>
      </c>
      <c r="B4884" s="2" t="s">
        <v>17</v>
      </c>
      <c r="C4884" s="2">
        <v>30</v>
      </c>
    </row>
    <row r="4885" spans="1:3" x14ac:dyDescent="0.25">
      <c r="A4885" s="3">
        <v>41380</v>
      </c>
      <c r="B4885" s="2" t="s">
        <v>26</v>
      </c>
      <c r="C4885" s="2">
        <v>39</v>
      </c>
    </row>
    <row r="4886" spans="1:3" x14ac:dyDescent="0.25">
      <c r="A4886" s="3">
        <v>41553</v>
      </c>
      <c r="B4886" s="2" t="s">
        <v>2</v>
      </c>
      <c r="C4886" s="2">
        <v>11</v>
      </c>
    </row>
    <row r="4887" spans="1:3" x14ac:dyDescent="0.25">
      <c r="A4887" s="3">
        <v>41830</v>
      </c>
      <c r="B4887" s="2" t="s">
        <v>6</v>
      </c>
      <c r="C4887" s="2">
        <v>33</v>
      </c>
    </row>
    <row r="4888" spans="1:3" x14ac:dyDescent="0.25">
      <c r="A4888" s="3">
        <v>41811</v>
      </c>
      <c r="B4888" s="2" t="s">
        <v>24</v>
      </c>
      <c r="C4888" s="2">
        <v>11</v>
      </c>
    </row>
    <row r="4889" spans="1:3" x14ac:dyDescent="0.25">
      <c r="A4889" s="3">
        <v>41874</v>
      </c>
      <c r="B4889" s="2" t="s">
        <v>39</v>
      </c>
      <c r="C4889" s="2">
        <v>36</v>
      </c>
    </row>
    <row r="4890" spans="1:3" x14ac:dyDescent="0.25">
      <c r="A4890" s="3">
        <v>41571</v>
      </c>
      <c r="B4890" s="2" t="s">
        <v>36</v>
      </c>
      <c r="C4890" s="2">
        <v>18</v>
      </c>
    </row>
    <row r="4891" spans="1:3" x14ac:dyDescent="0.25">
      <c r="A4891" s="3">
        <v>41622</v>
      </c>
      <c r="B4891" s="2" t="s">
        <v>6</v>
      </c>
      <c r="C4891" s="2">
        <v>12</v>
      </c>
    </row>
    <row r="4892" spans="1:3" x14ac:dyDescent="0.25">
      <c r="A4892" s="3">
        <v>41331</v>
      </c>
      <c r="B4892" s="2" t="s">
        <v>32</v>
      </c>
      <c r="C4892" s="2">
        <v>20</v>
      </c>
    </row>
    <row r="4893" spans="1:3" x14ac:dyDescent="0.25">
      <c r="A4893" s="3">
        <v>41638</v>
      </c>
      <c r="B4893" s="2" t="s">
        <v>48</v>
      </c>
      <c r="C4893" s="2">
        <v>2</v>
      </c>
    </row>
    <row r="4894" spans="1:3" x14ac:dyDescent="0.25">
      <c r="A4894" s="3">
        <v>41424</v>
      </c>
      <c r="B4894" s="2" t="s">
        <v>23</v>
      </c>
      <c r="C4894" s="2">
        <v>39</v>
      </c>
    </row>
    <row r="4895" spans="1:3" x14ac:dyDescent="0.25">
      <c r="A4895" s="3">
        <v>41442</v>
      </c>
      <c r="B4895" s="2" t="s">
        <v>38</v>
      </c>
      <c r="C4895" s="2">
        <v>49</v>
      </c>
    </row>
    <row r="4896" spans="1:3" x14ac:dyDescent="0.25">
      <c r="A4896" s="3">
        <v>41515</v>
      </c>
      <c r="B4896" s="2" t="s">
        <v>26</v>
      </c>
      <c r="C4896" s="2">
        <v>43</v>
      </c>
    </row>
    <row r="4897" spans="1:3" x14ac:dyDescent="0.25">
      <c r="A4897" s="3">
        <v>41821</v>
      </c>
      <c r="B4897" s="2" t="s">
        <v>6</v>
      </c>
      <c r="C4897" s="2">
        <v>30</v>
      </c>
    </row>
    <row r="4898" spans="1:3" x14ac:dyDescent="0.25">
      <c r="A4898" s="3">
        <v>41550</v>
      </c>
      <c r="B4898" s="2" t="s">
        <v>41</v>
      </c>
      <c r="C4898" s="2">
        <v>31</v>
      </c>
    </row>
    <row r="4899" spans="1:3" x14ac:dyDescent="0.25">
      <c r="A4899" s="3">
        <v>41579</v>
      </c>
      <c r="B4899" s="2" t="s">
        <v>47</v>
      </c>
      <c r="C4899" s="2">
        <v>1</v>
      </c>
    </row>
    <row r="4900" spans="1:3" x14ac:dyDescent="0.25">
      <c r="A4900" s="3">
        <v>41787</v>
      </c>
      <c r="B4900" s="2" t="s">
        <v>40</v>
      </c>
      <c r="C4900" s="2">
        <v>22</v>
      </c>
    </row>
    <row r="4901" spans="1:3" x14ac:dyDescent="0.25">
      <c r="A4901" s="3">
        <v>41645</v>
      </c>
      <c r="B4901" s="2" t="s">
        <v>28</v>
      </c>
      <c r="C4901" s="2">
        <v>45</v>
      </c>
    </row>
    <row r="4902" spans="1:3" x14ac:dyDescent="0.25">
      <c r="A4902" s="3">
        <v>41414</v>
      </c>
      <c r="B4902" s="2" t="s">
        <v>18</v>
      </c>
      <c r="C4902" s="2">
        <v>29</v>
      </c>
    </row>
    <row r="4903" spans="1:3" x14ac:dyDescent="0.25">
      <c r="A4903" s="3">
        <v>41585</v>
      </c>
      <c r="B4903" s="2" t="s">
        <v>50</v>
      </c>
      <c r="C4903" s="2">
        <v>48</v>
      </c>
    </row>
    <row r="4904" spans="1:3" x14ac:dyDescent="0.25">
      <c r="A4904" s="3">
        <v>41505</v>
      </c>
      <c r="B4904" s="2" t="s">
        <v>20</v>
      </c>
      <c r="C4904" s="2">
        <v>45</v>
      </c>
    </row>
    <row r="4905" spans="1:3" x14ac:dyDescent="0.25">
      <c r="A4905" s="3">
        <v>41741</v>
      </c>
      <c r="B4905" s="2" t="s">
        <v>10</v>
      </c>
      <c r="C4905" s="2">
        <v>47</v>
      </c>
    </row>
    <row r="4906" spans="1:3" x14ac:dyDescent="0.25">
      <c r="A4906" s="3">
        <v>41739</v>
      </c>
      <c r="B4906" s="2" t="s">
        <v>7</v>
      </c>
      <c r="C4906" s="2">
        <v>24</v>
      </c>
    </row>
    <row r="4907" spans="1:3" x14ac:dyDescent="0.25">
      <c r="A4907" s="3">
        <v>41371</v>
      </c>
      <c r="B4907" s="2" t="s">
        <v>24</v>
      </c>
      <c r="C4907" s="2">
        <v>33</v>
      </c>
    </row>
    <row r="4908" spans="1:3" x14ac:dyDescent="0.25">
      <c r="A4908" s="3">
        <v>41802</v>
      </c>
      <c r="B4908" s="2" t="s">
        <v>39</v>
      </c>
      <c r="C4908" s="2">
        <v>15</v>
      </c>
    </row>
    <row r="4909" spans="1:3" x14ac:dyDescent="0.25">
      <c r="A4909" s="3">
        <v>41649</v>
      </c>
      <c r="B4909" s="2" t="s">
        <v>46</v>
      </c>
      <c r="C4909" s="2">
        <v>33</v>
      </c>
    </row>
    <row r="4910" spans="1:3" x14ac:dyDescent="0.25">
      <c r="A4910" s="3">
        <v>41690</v>
      </c>
      <c r="B4910" s="2" t="s">
        <v>4</v>
      </c>
      <c r="C4910" s="2">
        <v>11</v>
      </c>
    </row>
    <row r="4911" spans="1:3" x14ac:dyDescent="0.25">
      <c r="A4911" s="3">
        <v>41830</v>
      </c>
      <c r="B4911" s="2" t="s">
        <v>26</v>
      </c>
      <c r="C4911" s="2">
        <v>12</v>
      </c>
    </row>
    <row r="4912" spans="1:3" x14ac:dyDescent="0.25">
      <c r="A4912" s="3">
        <v>41352</v>
      </c>
      <c r="B4912" s="2" t="s">
        <v>36</v>
      </c>
      <c r="C4912" s="2">
        <v>18</v>
      </c>
    </row>
    <row r="4913" spans="1:3" x14ac:dyDescent="0.25">
      <c r="A4913" s="3">
        <v>41283</v>
      </c>
      <c r="B4913" s="2" t="s">
        <v>35</v>
      </c>
      <c r="C4913" s="2">
        <v>19</v>
      </c>
    </row>
    <row r="4914" spans="1:3" x14ac:dyDescent="0.25">
      <c r="A4914" s="3">
        <v>41664</v>
      </c>
      <c r="B4914" s="2" t="s">
        <v>9</v>
      </c>
      <c r="C4914" s="2">
        <v>11</v>
      </c>
    </row>
    <row r="4915" spans="1:3" x14ac:dyDescent="0.25">
      <c r="A4915" s="3">
        <v>41318</v>
      </c>
      <c r="B4915" s="2" t="s">
        <v>41</v>
      </c>
      <c r="C4915" s="2">
        <v>23</v>
      </c>
    </row>
    <row r="4916" spans="1:3" x14ac:dyDescent="0.25">
      <c r="A4916" s="3">
        <v>41640</v>
      </c>
      <c r="B4916" s="2" t="s">
        <v>46</v>
      </c>
      <c r="C4916" s="2">
        <v>21</v>
      </c>
    </row>
    <row r="4917" spans="1:3" x14ac:dyDescent="0.25">
      <c r="A4917" s="3">
        <v>41644</v>
      </c>
      <c r="B4917" s="2" t="s">
        <v>12</v>
      </c>
      <c r="C4917" s="2">
        <v>11</v>
      </c>
    </row>
    <row r="4918" spans="1:3" x14ac:dyDescent="0.25">
      <c r="A4918" s="3">
        <v>41492</v>
      </c>
      <c r="B4918" s="2" t="s">
        <v>27</v>
      </c>
      <c r="C4918" s="2">
        <v>0</v>
      </c>
    </row>
    <row r="4919" spans="1:3" x14ac:dyDescent="0.25">
      <c r="A4919" s="3">
        <v>41871</v>
      </c>
      <c r="B4919" s="2" t="s">
        <v>17</v>
      </c>
      <c r="C4919" s="2">
        <v>49</v>
      </c>
    </row>
    <row r="4920" spans="1:3" x14ac:dyDescent="0.25">
      <c r="A4920" s="3">
        <v>41464</v>
      </c>
      <c r="B4920" s="2" t="s">
        <v>11</v>
      </c>
      <c r="C4920" s="2">
        <v>7</v>
      </c>
    </row>
    <row r="4921" spans="1:3" x14ac:dyDescent="0.25">
      <c r="A4921" s="3">
        <v>41935</v>
      </c>
      <c r="B4921" s="2" t="s">
        <v>36</v>
      </c>
      <c r="C4921" s="2">
        <v>45</v>
      </c>
    </row>
    <row r="4922" spans="1:3" x14ac:dyDescent="0.25">
      <c r="A4922" s="3">
        <v>41404</v>
      </c>
      <c r="B4922" s="2" t="s">
        <v>41</v>
      </c>
      <c r="C4922" s="2">
        <v>3</v>
      </c>
    </row>
    <row r="4923" spans="1:3" x14ac:dyDescent="0.25">
      <c r="A4923" s="3">
        <v>41634</v>
      </c>
      <c r="B4923" s="2" t="s">
        <v>14</v>
      </c>
      <c r="C4923" s="2">
        <v>26</v>
      </c>
    </row>
    <row r="4924" spans="1:3" x14ac:dyDescent="0.25">
      <c r="A4924" s="3">
        <v>41782</v>
      </c>
      <c r="B4924" s="2" t="s">
        <v>16</v>
      </c>
      <c r="C4924" s="2">
        <v>33</v>
      </c>
    </row>
    <row r="4925" spans="1:3" x14ac:dyDescent="0.25">
      <c r="A4925" s="3">
        <v>41820</v>
      </c>
      <c r="B4925" s="2" t="s">
        <v>15</v>
      </c>
      <c r="C4925" s="2">
        <v>20</v>
      </c>
    </row>
    <row r="4926" spans="1:3" x14ac:dyDescent="0.25">
      <c r="A4926" s="3">
        <v>41986</v>
      </c>
      <c r="B4926" s="2" t="s">
        <v>42</v>
      </c>
      <c r="C4926" s="2">
        <v>46</v>
      </c>
    </row>
    <row r="4927" spans="1:3" x14ac:dyDescent="0.25">
      <c r="A4927" s="3">
        <v>41590</v>
      </c>
      <c r="B4927" s="2" t="s">
        <v>48</v>
      </c>
      <c r="C4927" s="2">
        <v>31</v>
      </c>
    </row>
    <row r="4928" spans="1:3" x14ac:dyDescent="0.25">
      <c r="A4928" s="3">
        <v>41407</v>
      </c>
      <c r="B4928" s="2" t="s">
        <v>32</v>
      </c>
      <c r="C4928" s="2">
        <v>41</v>
      </c>
    </row>
    <row r="4929" spans="1:3" x14ac:dyDescent="0.25">
      <c r="A4929" s="3">
        <v>41859</v>
      </c>
      <c r="B4929" s="2" t="s">
        <v>30</v>
      </c>
      <c r="C4929" s="2">
        <v>20</v>
      </c>
    </row>
    <row r="4930" spans="1:3" x14ac:dyDescent="0.25">
      <c r="A4930" s="3">
        <v>41877</v>
      </c>
      <c r="B4930" s="2" t="s">
        <v>46</v>
      </c>
      <c r="C4930" s="2">
        <v>30</v>
      </c>
    </row>
    <row r="4931" spans="1:3" x14ac:dyDescent="0.25">
      <c r="A4931" s="3">
        <v>41618</v>
      </c>
      <c r="B4931" s="2" t="s">
        <v>15</v>
      </c>
      <c r="C4931" s="2">
        <v>22</v>
      </c>
    </row>
    <row r="4932" spans="1:3" x14ac:dyDescent="0.25">
      <c r="A4932" s="3">
        <v>41798</v>
      </c>
      <c r="B4932" s="2" t="s">
        <v>46</v>
      </c>
      <c r="C4932" s="2">
        <v>16</v>
      </c>
    </row>
    <row r="4933" spans="1:3" x14ac:dyDescent="0.25">
      <c r="A4933" s="3">
        <v>41673</v>
      </c>
      <c r="B4933" s="2" t="s">
        <v>50</v>
      </c>
      <c r="C4933" s="2">
        <v>20</v>
      </c>
    </row>
    <row r="4934" spans="1:3" x14ac:dyDescent="0.25">
      <c r="A4934" s="3">
        <v>41823</v>
      </c>
      <c r="B4934" s="2" t="s">
        <v>30</v>
      </c>
      <c r="C4934" s="2">
        <v>11</v>
      </c>
    </row>
    <row r="4935" spans="1:3" x14ac:dyDescent="0.25">
      <c r="A4935" s="3">
        <v>41584</v>
      </c>
      <c r="B4935" s="2" t="s">
        <v>15</v>
      </c>
      <c r="C4935" s="2">
        <v>19</v>
      </c>
    </row>
    <row r="4936" spans="1:3" x14ac:dyDescent="0.25">
      <c r="A4936" s="3">
        <v>41810</v>
      </c>
      <c r="B4936" s="2" t="s">
        <v>27</v>
      </c>
      <c r="C4936" s="2">
        <v>29</v>
      </c>
    </row>
    <row r="4937" spans="1:3" x14ac:dyDescent="0.25">
      <c r="A4937" s="3">
        <v>41762</v>
      </c>
      <c r="B4937" s="2" t="s">
        <v>41</v>
      </c>
      <c r="C4937" s="2">
        <v>2</v>
      </c>
    </row>
    <row r="4938" spans="1:3" x14ac:dyDescent="0.25">
      <c r="A4938" s="3">
        <v>41303</v>
      </c>
      <c r="B4938" s="2" t="s">
        <v>7</v>
      </c>
      <c r="C4938" s="2">
        <v>42</v>
      </c>
    </row>
    <row r="4939" spans="1:3" x14ac:dyDescent="0.25">
      <c r="A4939" s="3">
        <v>41600</v>
      </c>
      <c r="B4939" s="2" t="s">
        <v>45</v>
      </c>
      <c r="C4939" s="2">
        <v>32</v>
      </c>
    </row>
    <row r="4940" spans="1:3" x14ac:dyDescent="0.25">
      <c r="A4940" s="3">
        <v>41672</v>
      </c>
      <c r="B4940" s="2" t="s">
        <v>34</v>
      </c>
      <c r="C4940" s="2">
        <v>21</v>
      </c>
    </row>
    <row r="4941" spans="1:3" x14ac:dyDescent="0.25">
      <c r="A4941" s="3">
        <v>41795</v>
      </c>
      <c r="B4941" s="2" t="s">
        <v>50</v>
      </c>
      <c r="C4941" s="2">
        <v>27</v>
      </c>
    </row>
    <row r="4942" spans="1:3" x14ac:dyDescent="0.25">
      <c r="A4942" s="3">
        <v>41367</v>
      </c>
      <c r="B4942" s="2" t="s">
        <v>26</v>
      </c>
      <c r="C4942" s="2">
        <v>42</v>
      </c>
    </row>
    <row r="4943" spans="1:3" x14ac:dyDescent="0.25">
      <c r="A4943" s="3">
        <v>41840</v>
      </c>
      <c r="B4943" s="2" t="s">
        <v>30</v>
      </c>
      <c r="C4943" s="2">
        <v>53</v>
      </c>
    </row>
    <row r="4944" spans="1:3" x14ac:dyDescent="0.25">
      <c r="A4944" s="3">
        <v>41578</v>
      </c>
      <c r="B4944" s="2" t="s">
        <v>25</v>
      </c>
      <c r="C4944" s="2">
        <v>11</v>
      </c>
    </row>
    <row r="4945" spans="1:3" x14ac:dyDescent="0.25">
      <c r="A4945" s="3">
        <v>41601</v>
      </c>
      <c r="B4945" s="2" t="s">
        <v>35</v>
      </c>
      <c r="C4945" s="2">
        <v>42</v>
      </c>
    </row>
    <row r="4946" spans="1:3" x14ac:dyDescent="0.25">
      <c r="A4946" s="3">
        <v>41684</v>
      </c>
      <c r="B4946" s="2" t="s">
        <v>27</v>
      </c>
      <c r="C4946" s="2">
        <v>32</v>
      </c>
    </row>
    <row r="4947" spans="1:3" x14ac:dyDescent="0.25">
      <c r="A4947" s="3">
        <v>41572</v>
      </c>
      <c r="B4947" s="2" t="s">
        <v>8</v>
      </c>
      <c r="C4947" s="2">
        <v>13</v>
      </c>
    </row>
    <row r="4948" spans="1:3" x14ac:dyDescent="0.25">
      <c r="A4948" s="3">
        <v>41634</v>
      </c>
      <c r="B4948" s="2" t="s">
        <v>5</v>
      </c>
      <c r="C4948" s="2">
        <v>2</v>
      </c>
    </row>
    <row r="4949" spans="1:3" x14ac:dyDescent="0.25">
      <c r="A4949" s="3">
        <v>41425</v>
      </c>
      <c r="B4949" s="2" t="s">
        <v>38</v>
      </c>
      <c r="C4949" s="2">
        <v>53</v>
      </c>
    </row>
    <row r="4950" spans="1:3" x14ac:dyDescent="0.25">
      <c r="A4950" s="3">
        <v>41913</v>
      </c>
      <c r="B4950" s="2" t="s">
        <v>51</v>
      </c>
      <c r="C4950" s="2">
        <v>40</v>
      </c>
    </row>
    <row r="4951" spans="1:3" x14ac:dyDescent="0.25">
      <c r="A4951" s="3">
        <v>41425</v>
      </c>
      <c r="B4951" s="2" t="s">
        <v>26</v>
      </c>
      <c r="C4951" s="2">
        <v>4</v>
      </c>
    </row>
    <row r="4952" spans="1:3" x14ac:dyDescent="0.25">
      <c r="A4952" s="3">
        <v>41944</v>
      </c>
      <c r="B4952" s="2" t="s">
        <v>27</v>
      </c>
      <c r="C4952" s="2">
        <v>41</v>
      </c>
    </row>
    <row r="4953" spans="1:3" x14ac:dyDescent="0.25">
      <c r="A4953" s="3">
        <v>41639</v>
      </c>
      <c r="B4953" s="2" t="s">
        <v>37</v>
      </c>
      <c r="C4953" s="2">
        <v>19</v>
      </c>
    </row>
    <row r="4954" spans="1:3" x14ac:dyDescent="0.25">
      <c r="A4954" s="3">
        <v>41433</v>
      </c>
      <c r="B4954" s="2" t="s">
        <v>33</v>
      </c>
      <c r="C4954" s="2">
        <v>28</v>
      </c>
    </row>
    <row r="4955" spans="1:3" x14ac:dyDescent="0.25">
      <c r="A4955" s="3">
        <v>41455</v>
      </c>
      <c r="B4955" s="2" t="s">
        <v>23</v>
      </c>
      <c r="C4955" s="2">
        <v>49</v>
      </c>
    </row>
    <row r="4956" spans="1:3" x14ac:dyDescent="0.25">
      <c r="A4956" s="3">
        <v>41721</v>
      </c>
      <c r="B4956" s="2" t="s">
        <v>15</v>
      </c>
      <c r="C4956" s="2">
        <v>27</v>
      </c>
    </row>
    <row r="4957" spans="1:3" x14ac:dyDescent="0.25">
      <c r="A4957" s="3">
        <v>41992</v>
      </c>
      <c r="B4957" s="2" t="s">
        <v>36</v>
      </c>
      <c r="C4957" s="2">
        <v>5</v>
      </c>
    </row>
    <row r="4958" spans="1:3" x14ac:dyDescent="0.25">
      <c r="A4958" s="3">
        <v>41436</v>
      </c>
      <c r="B4958" s="2" t="s">
        <v>6</v>
      </c>
      <c r="C4958" s="2">
        <v>25</v>
      </c>
    </row>
    <row r="4959" spans="1:3" x14ac:dyDescent="0.25">
      <c r="A4959" s="3">
        <v>41602</v>
      </c>
      <c r="B4959" s="2" t="s">
        <v>42</v>
      </c>
      <c r="C4959" s="2">
        <v>14</v>
      </c>
    </row>
    <row r="4960" spans="1:3" x14ac:dyDescent="0.25">
      <c r="A4960" s="3">
        <v>41918</v>
      </c>
      <c r="B4960" s="2" t="s">
        <v>31</v>
      </c>
      <c r="C4960" s="2">
        <v>9</v>
      </c>
    </row>
    <row r="4961" spans="1:3" x14ac:dyDescent="0.25">
      <c r="A4961" s="3">
        <v>41835</v>
      </c>
      <c r="B4961" s="2" t="s">
        <v>30</v>
      </c>
      <c r="C4961" s="2">
        <v>23</v>
      </c>
    </row>
    <row r="4962" spans="1:3" x14ac:dyDescent="0.25">
      <c r="A4962" s="3">
        <v>41935</v>
      </c>
      <c r="B4962" s="2" t="s">
        <v>34</v>
      </c>
      <c r="C4962" s="2">
        <v>18</v>
      </c>
    </row>
    <row r="4963" spans="1:3" x14ac:dyDescent="0.25">
      <c r="A4963" s="3">
        <v>41405</v>
      </c>
      <c r="B4963" s="2" t="s">
        <v>32</v>
      </c>
      <c r="C4963" s="2">
        <v>29</v>
      </c>
    </row>
    <row r="4964" spans="1:3" x14ac:dyDescent="0.25">
      <c r="A4964" s="3">
        <v>41338</v>
      </c>
      <c r="B4964" s="2" t="s">
        <v>26</v>
      </c>
      <c r="C4964" s="2">
        <v>24</v>
      </c>
    </row>
    <row r="4965" spans="1:3" x14ac:dyDescent="0.25">
      <c r="A4965" s="3">
        <v>41797</v>
      </c>
      <c r="B4965" s="2" t="s">
        <v>10</v>
      </c>
      <c r="C4965" s="2">
        <v>16</v>
      </c>
    </row>
    <row r="4966" spans="1:3" x14ac:dyDescent="0.25">
      <c r="A4966" s="3">
        <v>41496</v>
      </c>
      <c r="B4966" s="2" t="s">
        <v>41</v>
      </c>
      <c r="C4966" s="2">
        <v>33</v>
      </c>
    </row>
    <row r="4967" spans="1:3" x14ac:dyDescent="0.25">
      <c r="A4967" s="3">
        <v>41575</v>
      </c>
      <c r="B4967" s="2" t="s">
        <v>11</v>
      </c>
      <c r="C4967" s="2">
        <v>22</v>
      </c>
    </row>
    <row r="4968" spans="1:3" x14ac:dyDescent="0.25">
      <c r="A4968" s="3">
        <v>41392</v>
      </c>
      <c r="B4968" s="2" t="s">
        <v>45</v>
      </c>
      <c r="C4968" s="2">
        <v>19</v>
      </c>
    </row>
    <row r="4969" spans="1:3" x14ac:dyDescent="0.25">
      <c r="A4969" s="3">
        <v>41445</v>
      </c>
      <c r="B4969" s="2" t="s">
        <v>28</v>
      </c>
      <c r="C4969" s="2">
        <v>20</v>
      </c>
    </row>
    <row r="4970" spans="1:3" x14ac:dyDescent="0.25">
      <c r="A4970" s="3">
        <v>41388</v>
      </c>
      <c r="B4970" s="2" t="s">
        <v>26</v>
      </c>
      <c r="C4970" s="2">
        <v>9</v>
      </c>
    </row>
    <row r="4971" spans="1:3" x14ac:dyDescent="0.25">
      <c r="A4971" s="3">
        <v>41672</v>
      </c>
      <c r="B4971" s="2" t="s">
        <v>19</v>
      </c>
      <c r="C4971" s="2">
        <v>21</v>
      </c>
    </row>
    <row r="4972" spans="1:3" x14ac:dyDescent="0.25">
      <c r="A4972" s="3">
        <v>41740</v>
      </c>
      <c r="B4972" s="2" t="s">
        <v>32</v>
      </c>
      <c r="C4972" s="2">
        <v>26</v>
      </c>
    </row>
    <row r="4973" spans="1:3" x14ac:dyDescent="0.25">
      <c r="A4973" s="3">
        <v>41736</v>
      </c>
      <c r="B4973" s="2" t="s">
        <v>21</v>
      </c>
      <c r="C4973" s="2">
        <v>5</v>
      </c>
    </row>
    <row r="4974" spans="1:3" x14ac:dyDescent="0.25">
      <c r="A4974" s="3">
        <v>41533</v>
      </c>
      <c r="B4974" s="2" t="s">
        <v>5</v>
      </c>
      <c r="C4974" s="2">
        <v>42</v>
      </c>
    </row>
    <row r="4975" spans="1:3" x14ac:dyDescent="0.25">
      <c r="A4975" s="3">
        <v>41738</v>
      </c>
      <c r="B4975" s="2" t="s">
        <v>12</v>
      </c>
      <c r="C4975" s="2">
        <v>24</v>
      </c>
    </row>
    <row r="4976" spans="1:3" x14ac:dyDescent="0.25">
      <c r="A4976" s="3">
        <v>41820</v>
      </c>
      <c r="B4976" s="2" t="s">
        <v>14</v>
      </c>
      <c r="C4976" s="2">
        <v>22</v>
      </c>
    </row>
    <row r="4977" spans="1:3" x14ac:dyDescent="0.25">
      <c r="A4977" s="3">
        <v>41785</v>
      </c>
      <c r="B4977" s="2" t="s">
        <v>16</v>
      </c>
      <c r="C4977" s="2">
        <v>30</v>
      </c>
    </row>
    <row r="4978" spans="1:3" x14ac:dyDescent="0.25">
      <c r="A4978" s="3">
        <v>41408</v>
      </c>
      <c r="B4978" s="2" t="s">
        <v>40</v>
      </c>
      <c r="C4978" s="2">
        <v>21</v>
      </c>
    </row>
    <row r="4979" spans="1:3" x14ac:dyDescent="0.25">
      <c r="A4979" s="3">
        <v>42001</v>
      </c>
      <c r="B4979" s="2" t="s">
        <v>19</v>
      </c>
      <c r="C4979" s="2">
        <v>34</v>
      </c>
    </row>
    <row r="4980" spans="1:3" x14ac:dyDescent="0.25">
      <c r="A4980" s="3">
        <v>41325</v>
      </c>
      <c r="B4980" s="2" t="s">
        <v>46</v>
      </c>
      <c r="C4980" s="2">
        <v>30</v>
      </c>
    </row>
    <row r="4981" spans="1:3" x14ac:dyDescent="0.25">
      <c r="A4981" s="3">
        <v>41404</v>
      </c>
      <c r="B4981" s="2" t="s">
        <v>39</v>
      </c>
      <c r="C4981" s="2">
        <v>20</v>
      </c>
    </row>
    <row r="4982" spans="1:3" x14ac:dyDescent="0.25">
      <c r="A4982" s="3">
        <v>41594</v>
      </c>
      <c r="B4982" s="2" t="s">
        <v>31</v>
      </c>
      <c r="C4982" s="2">
        <v>37</v>
      </c>
    </row>
    <row r="4983" spans="1:3" x14ac:dyDescent="0.25">
      <c r="A4983" s="3">
        <v>41875</v>
      </c>
      <c r="B4983" s="2" t="s">
        <v>2</v>
      </c>
      <c r="C4983" s="2">
        <v>17</v>
      </c>
    </row>
    <row r="4984" spans="1:3" x14ac:dyDescent="0.25">
      <c r="A4984" s="3">
        <v>41490</v>
      </c>
      <c r="B4984" s="2" t="s">
        <v>33</v>
      </c>
      <c r="C4984" s="2">
        <v>33</v>
      </c>
    </row>
    <row r="4985" spans="1:3" x14ac:dyDescent="0.25">
      <c r="A4985" s="3">
        <v>41912</v>
      </c>
      <c r="B4985" s="2" t="s">
        <v>26</v>
      </c>
      <c r="C4985" s="2">
        <v>16</v>
      </c>
    </row>
    <row r="4986" spans="1:3" x14ac:dyDescent="0.25">
      <c r="A4986" s="3">
        <v>41472</v>
      </c>
      <c r="B4986" s="2" t="s">
        <v>27</v>
      </c>
      <c r="C4986" s="2">
        <v>3</v>
      </c>
    </row>
    <row r="4987" spans="1:3" x14ac:dyDescent="0.25">
      <c r="A4987" s="3">
        <v>41414</v>
      </c>
      <c r="B4987" s="2" t="s">
        <v>20</v>
      </c>
      <c r="C4987" s="2">
        <v>4</v>
      </c>
    </row>
    <row r="4988" spans="1:3" x14ac:dyDescent="0.25">
      <c r="A4988" s="3">
        <v>41473</v>
      </c>
      <c r="B4988" s="2" t="s">
        <v>4</v>
      </c>
      <c r="C4988" s="2">
        <v>32</v>
      </c>
    </row>
    <row r="4989" spans="1:3" x14ac:dyDescent="0.25">
      <c r="A4989" s="3">
        <v>41838</v>
      </c>
      <c r="B4989" s="2" t="s">
        <v>38</v>
      </c>
      <c r="C4989" s="2">
        <v>9</v>
      </c>
    </row>
    <row r="4990" spans="1:3" x14ac:dyDescent="0.25">
      <c r="A4990" s="3">
        <v>41539</v>
      </c>
      <c r="B4990" s="2" t="s">
        <v>30</v>
      </c>
      <c r="C4990" s="2">
        <v>48</v>
      </c>
    </row>
    <row r="4991" spans="1:3" x14ac:dyDescent="0.25">
      <c r="A4991" s="3">
        <v>41801</v>
      </c>
      <c r="B4991" s="2" t="s">
        <v>14</v>
      </c>
      <c r="C4991" s="2">
        <v>15</v>
      </c>
    </row>
    <row r="4992" spans="1:3" x14ac:dyDescent="0.25">
      <c r="A4992" s="3">
        <v>41281</v>
      </c>
      <c r="B4992" s="2" t="s">
        <v>44</v>
      </c>
      <c r="C4992" s="2">
        <v>23</v>
      </c>
    </row>
    <row r="4993" spans="1:3" x14ac:dyDescent="0.25">
      <c r="A4993" s="3">
        <v>41486</v>
      </c>
      <c r="B4993" s="2" t="s">
        <v>51</v>
      </c>
      <c r="C4993" s="2">
        <v>37</v>
      </c>
    </row>
    <row r="4994" spans="1:3" x14ac:dyDescent="0.25">
      <c r="A4994" s="3">
        <v>41613</v>
      </c>
      <c r="B4994" s="2" t="s">
        <v>12</v>
      </c>
      <c r="C4994" s="2">
        <v>14</v>
      </c>
    </row>
    <row r="4995" spans="1:3" x14ac:dyDescent="0.25">
      <c r="A4995" s="3">
        <v>41547</v>
      </c>
      <c r="B4995" s="2" t="s">
        <v>25</v>
      </c>
      <c r="C4995" s="2">
        <v>13</v>
      </c>
    </row>
    <row r="4996" spans="1:3" x14ac:dyDescent="0.25">
      <c r="A4996" s="3">
        <v>41978</v>
      </c>
      <c r="B4996" s="2" t="s">
        <v>19</v>
      </c>
      <c r="C4996" s="2">
        <v>28</v>
      </c>
    </row>
    <row r="4997" spans="1:3" x14ac:dyDescent="0.25">
      <c r="A4997" s="3">
        <v>41952</v>
      </c>
      <c r="B4997" s="2" t="s">
        <v>13</v>
      </c>
      <c r="C4997" s="2">
        <v>36</v>
      </c>
    </row>
    <row r="4998" spans="1:3" x14ac:dyDescent="0.25">
      <c r="A4998" s="3">
        <v>41748</v>
      </c>
      <c r="B4998" s="2" t="s">
        <v>8</v>
      </c>
      <c r="C4998" s="2">
        <v>30</v>
      </c>
    </row>
    <row r="4999" spans="1:3" x14ac:dyDescent="0.25">
      <c r="A4999" s="3">
        <v>41920</v>
      </c>
      <c r="B4999" s="2" t="s">
        <v>10</v>
      </c>
      <c r="C4999" s="2">
        <v>41</v>
      </c>
    </row>
    <row r="5000" spans="1:3" x14ac:dyDescent="0.25">
      <c r="A5000" s="3">
        <v>41490</v>
      </c>
      <c r="B5000" s="2" t="s">
        <v>40</v>
      </c>
      <c r="C5000" s="2">
        <v>46</v>
      </c>
    </row>
    <row r="5001" spans="1:3" x14ac:dyDescent="0.25">
      <c r="A5001" s="3">
        <v>41354</v>
      </c>
      <c r="B5001" s="2" t="s">
        <v>19</v>
      </c>
      <c r="C5001" s="2">
        <v>1</v>
      </c>
    </row>
    <row r="5002" spans="1:3" x14ac:dyDescent="0.25">
      <c r="A5002" s="3">
        <v>41928</v>
      </c>
      <c r="B5002" s="2" t="s">
        <v>44</v>
      </c>
      <c r="C5002" s="2">
        <v>19</v>
      </c>
    </row>
    <row r="5003" spans="1:3" x14ac:dyDescent="0.25">
      <c r="A5003" s="3">
        <v>41935</v>
      </c>
      <c r="B5003" s="2" t="s">
        <v>15</v>
      </c>
      <c r="C5003" s="2">
        <v>25</v>
      </c>
    </row>
    <row r="5004" spans="1:3" x14ac:dyDescent="0.25">
      <c r="A5004" s="3">
        <v>41516</v>
      </c>
      <c r="B5004" s="2" t="s">
        <v>46</v>
      </c>
      <c r="C5004" s="2">
        <v>4</v>
      </c>
    </row>
    <row r="5005" spans="1:3" x14ac:dyDescent="0.25">
      <c r="A5005" s="3">
        <v>41502</v>
      </c>
      <c r="B5005" s="2" t="s">
        <v>15</v>
      </c>
      <c r="C5005" s="2">
        <v>39</v>
      </c>
    </row>
    <row r="5006" spans="1:3" x14ac:dyDescent="0.25">
      <c r="A5006" s="3">
        <v>41842</v>
      </c>
      <c r="B5006" s="2" t="s">
        <v>37</v>
      </c>
      <c r="C5006" s="2">
        <v>7</v>
      </c>
    </row>
    <row r="5007" spans="1:3" x14ac:dyDescent="0.25">
      <c r="A5007" s="3">
        <v>41695</v>
      </c>
      <c r="B5007" s="2" t="s">
        <v>26</v>
      </c>
      <c r="C5007" s="2">
        <v>24</v>
      </c>
    </row>
    <row r="5008" spans="1:3" x14ac:dyDescent="0.25">
      <c r="A5008" s="3">
        <v>41612</v>
      </c>
      <c r="B5008" s="2" t="s">
        <v>7</v>
      </c>
      <c r="C5008" s="2">
        <v>16</v>
      </c>
    </row>
    <row r="5009" spans="1:3" x14ac:dyDescent="0.25">
      <c r="A5009" s="3">
        <v>41658</v>
      </c>
      <c r="B5009" s="2" t="s">
        <v>20</v>
      </c>
      <c r="C5009" s="2">
        <v>15</v>
      </c>
    </row>
    <row r="5010" spans="1:3" x14ac:dyDescent="0.25">
      <c r="A5010" s="3">
        <v>41426</v>
      </c>
      <c r="B5010" s="2" t="s">
        <v>12</v>
      </c>
      <c r="C5010" s="2">
        <v>13</v>
      </c>
    </row>
    <row r="5011" spans="1:3" x14ac:dyDescent="0.25">
      <c r="A5011" s="3">
        <v>41280</v>
      </c>
      <c r="B5011" s="2" t="s">
        <v>9</v>
      </c>
      <c r="C5011" s="2">
        <v>26</v>
      </c>
    </row>
    <row r="5012" spans="1:3" x14ac:dyDescent="0.25">
      <c r="A5012" s="3">
        <v>41762</v>
      </c>
      <c r="B5012" s="2" t="s">
        <v>35</v>
      </c>
      <c r="C5012" s="2">
        <v>32</v>
      </c>
    </row>
    <row r="5013" spans="1:3" x14ac:dyDescent="0.25">
      <c r="A5013" s="3">
        <v>41364</v>
      </c>
      <c r="B5013" s="2" t="s">
        <v>48</v>
      </c>
      <c r="C5013" s="2">
        <v>13</v>
      </c>
    </row>
    <row r="5014" spans="1:3" x14ac:dyDescent="0.25">
      <c r="A5014" s="3">
        <v>41879</v>
      </c>
      <c r="B5014" s="2" t="s">
        <v>17</v>
      </c>
      <c r="C5014" s="2">
        <v>52</v>
      </c>
    </row>
    <row r="5015" spans="1:3" x14ac:dyDescent="0.25">
      <c r="A5015" s="3">
        <v>41678</v>
      </c>
      <c r="B5015" s="2" t="s">
        <v>16</v>
      </c>
      <c r="C5015" s="2">
        <v>56</v>
      </c>
    </row>
    <row r="5016" spans="1:3" x14ac:dyDescent="0.25">
      <c r="A5016" s="3">
        <v>41353</v>
      </c>
      <c r="B5016" s="2" t="s">
        <v>34</v>
      </c>
      <c r="C5016" s="2">
        <v>36</v>
      </c>
    </row>
    <row r="5017" spans="1:3" x14ac:dyDescent="0.25">
      <c r="A5017" s="3">
        <v>41963</v>
      </c>
      <c r="B5017" s="2" t="s">
        <v>13</v>
      </c>
      <c r="C5017" s="2">
        <v>41</v>
      </c>
    </row>
    <row r="5018" spans="1:3" x14ac:dyDescent="0.25">
      <c r="A5018" s="3">
        <v>41576</v>
      </c>
      <c r="B5018" s="2" t="s">
        <v>27</v>
      </c>
      <c r="C5018" s="2">
        <v>55</v>
      </c>
    </row>
    <row r="5019" spans="1:3" x14ac:dyDescent="0.25">
      <c r="A5019" s="3">
        <v>41285</v>
      </c>
      <c r="B5019" s="2" t="s">
        <v>29</v>
      </c>
      <c r="C5019" s="2">
        <v>30</v>
      </c>
    </row>
    <row r="5020" spans="1:3" x14ac:dyDescent="0.25">
      <c r="A5020" s="3">
        <v>41487</v>
      </c>
      <c r="B5020" s="2" t="s">
        <v>3</v>
      </c>
      <c r="C5020" s="2">
        <v>21</v>
      </c>
    </row>
    <row r="5021" spans="1:3" x14ac:dyDescent="0.25">
      <c r="A5021" s="3">
        <v>41382</v>
      </c>
      <c r="B5021" s="2" t="s">
        <v>3</v>
      </c>
      <c r="C5021" s="2">
        <v>43</v>
      </c>
    </row>
    <row r="5022" spans="1:3" x14ac:dyDescent="0.25">
      <c r="A5022" s="3">
        <v>41437</v>
      </c>
      <c r="B5022" s="2" t="s">
        <v>9</v>
      </c>
      <c r="C5022" s="2">
        <v>30</v>
      </c>
    </row>
    <row r="5023" spans="1:3" x14ac:dyDescent="0.25">
      <c r="A5023" s="3">
        <v>41866</v>
      </c>
      <c r="B5023" s="2" t="s">
        <v>29</v>
      </c>
      <c r="C5023" s="2">
        <v>32</v>
      </c>
    </row>
    <row r="5024" spans="1:3" x14ac:dyDescent="0.25">
      <c r="A5024" s="3">
        <v>41399</v>
      </c>
      <c r="B5024" s="2" t="s">
        <v>9</v>
      </c>
      <c r="C5024" s="2">
        <v>3</v>
      </c>
    </row>
    <row r="5025" spans="1:3" x14ac:dyDescent="0.25">
      <c r="A5025" s="3">
        <v>41477</v>
      </c>
      <c r="B5025" s="2" t="s">
        <v>45</v>
      </c>
      <c r="C5025" s="2">
        <v>10</v>
      </c>
    </row>
    <row r="5026" spans="1:3" x14ac:dyDescent="0.25">
      <c r="A5026" s="3">
        <v>41765</v>
      </c>
      <c r="B5026" s="2" t="s">
        <v>12</v>
      </c>
      <c r="C5026" s="2">
        <v>28</v>
      </c>
    </row>
    <row r="5027" spans="1:3" x14ac:dyDescent="0.25">
      <c r="A5027" s="3">
        <v>41298</v>
      </c>
      <c r="B5027" s="2" t="s">
        <v>28</v>
      </c>
      <c r="C5027" s="2">
        <v>47</v>
      </c>
    </row>
    <row r="5028" spans="1:3" x14ac:dyDescent="0.25">
      <c r="A5028" s="3">
        <v>41836</v>
      </c>
      <c r="B5028" s="2" t="s">
        <v>8</v>
      </c>
      <c r="C5028" s="2">
        <v>6</v>
      </c>
    </row>
    <row r="5029" spans="1:3" x14ac:dyDescent="0.25">
      <c r="A5029" s="3">
        <v>41613</v>
      </c>
      <c r="B5029" s="2" t="s">
        <v>28</v>
      </c>
      <c r="C5029" s="2">
        <v>48</v>
      </c>
    </row>
    <row r="5030" spans="1:3" x14ac:dyDescent="0.25">
      <c r="A5030" s="3">
        <v>41319</v>
      </c>
      <c r="B5030" s="2" t="s">
        <v>30</v>
      </c>
      <c r="C5030" s="2">
        <v>5</v>
      </c>
    </row>
    <row r="5031" spans="1:3" x14ac:dyDescent="0.25">
      <c r="A5031" s="3">
        <v>41316</v>
      </c>
      <c r="B5031" s="2" t="s">
        <v>23</v>
      </c>
      <c r="C5031" s="2">
        <v>27</v>
      </c>
    </row>
    <row r="5032" spans="1:3" x14ac:dyDescent="0.25">
      <c r="A5032" s="3">
        <v>41523</v>
      </c>
      <c r="B5032" s="2" t="s">
        <v>30</v>
      </c>
      <c r="C5032" s="2">
        <v>33</v>
      </c>
    </row>
    <row r="5033" spans="1:3" x14ac:dyDescent="0.25">
      <c r="A5033" s="3">
        <v>41686</v>
      </c>
      <c r="B5033" s="2" t="s">
        <v>48</v>
      </c>
      <c r="C5033" s="2">
        <v>55</v>
      </c>
    </row>
    <row r="5034" spans="1:3" x14ac:dyDescent="0.25">
      <c r="A5034" s="3">
        <v>41390</v>
      </c>
      <c r="B5034" s="2" t="s">
        <v>20</v>
      </c>
      <c r="C5034" s="2">
        <v>38</v>
      </c>
    </row>
    <row r="5035" spans="1:3" x14ac:dyDescent="0.25">
      <c r="A5035" s="3">
        <v>41892</v>
      </c>
      <c r="B5035" s="2" t="s">
        <v>14</v>
      </c>
      <c r="C5035" s="2">
        <v>29</v>
      </c>
    </row>
    <row r="5036" spans="1:3" x14ac:dyDescent="0.25">
      <c r="A5036" s="3">
        <v>41516</v>
      </c>
      <c r="B5036" s="2" t="s">
        <v>5</v>
      </c>
      <c r="C5036" s="2">
        <v>23</v>
      </c>
    </row>
    <row r="5037" spans="1:3" x14ac:dyDescent="0.25">
      <c r="A5037" s="3">
        <v>41999</v>
      </c>
      <c r="B5037" s="2" t="s">
        <v>22</v>
      </c>
      <c r="C5037" s="2">
        <v>25</v>
      </c>
    </row>
    <row r="5038" spans="1:3" x14ac:dyDescent="0.25">
      <c r="A5038" s="3">
        <v>41589</v>
      </c>
      <c r="B5038" s="2" t="s">
        <v>36</v>
      </c>
      <c r="C5038" s="2">
        <v>16</v>
      </c>
    </row>
    <row r="5039" spans="1:3" x14ac:dyDescent="0.25">
      <c r="A5039" s="3">
        <v>41580</v>
      </c>
      <c r="B5039" s="2" t="s">
        <v>43</v>
      </c>
      <c r="C5039" s="2">
        <v>42</v>
      </c>
    </row>
    <row r="5040" spans="1:3" x14ac:dyDescent="0.25">
      <c r="A5040" s="3">
        <v>41395</v>
      </c>
      <c r="B5040" s="2" t="s">
        <v>14</v>
      </c>
      <c r="C5040" s="2">
        <v>34</v>
      </c>
    </row>
    <row r="5041" spans="1:3" x14ac:dyDescent="0.25">
      <c r="A5041" s="3">
        <v>41530</v>
      </c>
      <c r="B5041" s="2" t="s">
        <v>31</v>
      </c>
      <c r="C5041" s="2">
        <v>20</v>
      </c>
    </row>
    <row r="5042" spans="1:3" x14ac:dyDescent="0.25">
      <c r="A5042" s="3">
        <v>41874</v>
      </c>
      <c r="B5042" s="2" t="s">
        <v>37</v>
      </c>
      <c r="C5042" s="2">
        <v>31</v>
      </c>
    </row>
    <row r="5043" spans="1:3" x14ac:dyDescent="0.25">
      <c r="A5043" s="3">
        <v>41460</v>
      </c>
      <c r="B5043" s="2" t="s">
        <v>14</v>
      </c>
      <c r="C5043" s="2">
        <v>20</v>
      </c>
    </row>
    <row r="5044" spans="1:3" x14ac:dyDescent="0.25">
      <c r="A5044" s="3">
        <v>41449</v>
      </c>
      <c r="B5044" s="2" t="s">
        <v>25</v>
      </c>
      <c r="C5044" s="2">
        <v>11</v>
      </c>
    </row>
    <row r="5045" spans="1:3" x14ac:dyDescent="0.25">
      <c r="A5045" s="3">
        <v>41739</v>
      </c>
      <c r="B5045" s="2" t="s">
        <v>48</v>
      </c>
      <c r="C5045" s="2">
        <v>4</v>
      </c>
    </row>
    <row r="5046" spans="1:3" x14ac:dyDescent="0.25">
      <c r="A5046" s="3">
        <v>41923</v>
      </c>
      <c r="B5046" s="2" t="s">
        <v>9</v>
      </c>
      <c r="C5046" s="2">
        <v>21</v>
      </c>
    </row>
    <row r="5047" spans="1:3" x14ac:dyDescent="0.25">
      <c r="A5047" s="3">
        <v>41879</v>
      </c>
      <c r="B5047" s="2" t="s">
        <v>23</v>
      </c>
      <c r="C5047" s="2">
        <v>44</v>
      </c>
    </row>
    <row r="5048" spans="1:3" x14ac:dyDescent="0.25">
      <c r="A5048" s="3">
        <v>41330</v>
      </c>
      <c r="B5048" s="2" t="s">
        <v>6</v>
      </c>
      <c r="C5048" s="2">
        <v>20</v>
      </c>
    </row>
    <row r="5049" spans="1:3" x14ac:dyDescent="0.25">
      <c r="A5049" s="3">
        <v>41301</v>
      </c>
      <c r="B5049" s="2" t="s">
        <v>15</v>
      </c>
      <c r="C5049" s="2">
        <v>52</v>
      </c>
    </row>
    <row r="5050" spans="1:3" x14ac:dyDescent="0.25">
      <c r="A5050" s="3">
        <v>41506</v>
      </c>
      <c r="B5050" s="2" t="s">
        <v>6</v>
      </c>
      <c r="C5050" s="2">
        <v>21</v>
      </c>
    </row>
    <row r="5051" spans="1:3" x14ac:dyDescent="0.25">
      <c r="A5051" s="3">
        <v>41423</v>
      </c>
      <c r="B5051" s="2" t="s">
        <v>34</v>
      </c>
      <c r="C5051" s="2">
        <v>46</v>
      </c>
    </row>
    <row r="5052" spans="1:3" x14ac:dyDescent="0.25">
      <c r="A5052" s="3">
        <v>41633</v>
      </c>
      <c r="B5052" s="2" t="s">
        <v>26</v>
      </c>
      <c r="C5052" s="2">
        <v>10</v>
      </c>
    </row>
    <row r="5053" spans="1:3" x14ac:dyDescent="0.25">
      <c r="A5053" s="3">
        <v>41650</v>
      </c>
      <c r="B5053" s="2" t="s">
        <v>47</v>
      </c>
      <c r="C5053" s="2">
        <v>13</v>
      </c>
    </row>
    <row r="5054" spans="1:3" x14ac:dyDescent="0.25">
      <c r="A5054" s="3">
        <v>41308</v>
      </c>
      <c r="B5054" s="2" t="s">
        <v>20</v>
      </c>
      <c r="C5054" s="2">
        <v>20</v>
      </c>
    </row>
    <row r="5055" spans="1:3" x14ac:dyDescent="0.25">
      <c r="A5055" s="3">
        <v>41627</v>
      </c>
      <c r="B5055" s="2" t="s">
        <v>2</v>
      </c>
      <c r="C5055" s="2">
        <v>30</v>
      </c>
    </row>
    <row r="5056" spans="1:3" x14ac:dyDescent="0.25">
      <c r="A5056" s="3">
        <v>41468</v>
      </c>
      <c r="B5056" s="2" t="s">
        <v>38</v>
      </c>
      <c r="C5056" s="2">
        <v>31</v>
      </c>
    </row>
    <row r="5057" spans="1:3" x14ac:dyDescent="0.25">
      <c r="A5057" s="3">
        <v>41620</v>
      </c>
      <c r="B5057" s="2" t="s">
        <v>14</v>
      </c>
      <c r="C5057" s="2">
        <v>29</v>
      </c>
    </row>
    <row r="5058" spans="1:3" x14ac:dyDescent="0.25">
      <c r="A5058" s="3">
        <v>41584</v>
      </c>
      <c r="B5058" s="2" t="s">
        <v>9</v>
      </c>
      <c r="C5058" s="2">
        <v>11</v>
      </c>
    </row>
    <row r="5059" spans="1:3" x14ac:dyDescent="0.25">
      <c r="A5059" s="3">
        <v>41456</v>
      </c>
      <c r="B5059" s="2" t="s">
        <v>26</v>
      </c>
      <c r="C5059" s="2">
        <v>7</v>
      </c>
    </row>
    <row r="5060" spans="1:3" x14ac:dyDescent="0.25">
      <c r="A5060" s="3">
        <v>41652</v>
      </c>
      <c r="B5060" s="2" t="s">
        <v>9</v>
      </c>
      <c r="C5060" s="2">
        <v>32</v>
      </c>
    </row>
    <row r="5061" spans="1:3" x14ac:dyDescent="0.25">
      <c r="A5061" s="3">
        <v>41382</v>
      </c>
      <c r="B5061" s="2" t="s">
        <v>10</v>
      </c>
      <c r="C5061" s="2">
        <v>38</v>
      </c>
    </row>
    <row r="5062" spans="1:3" x14ac:dyDescent="0.25">
      <c r="A5062" s="3">
        <v>41291</v>
      </c>
      <c r="B5062" s="2" t="s">
        <v>6</v>
      </c>
      <c r="C5062" s="2">
        <v>34</v>
      </c>
    </row>
    <row r="5063" spans="1:3" x14ac:dyDescent="0.25">
      <c r="A5063" s="3">
        <v>41753</v>
      </c>
      <c r="B5063" s="2" t="s">
        <v>41</v>
      </c>
      <c r="C5063" s="2">
        <v>45</v>
      </c>
    </row>
    <row r="5064" spans="1:3" x14ac:dyDescent="0.25">
      <c r="A5064" s="3">
        <v>41388</v>
      </c>
      <c r="B5064" s="2" t="s">
        <v>24</v>
      </c>
      <c r="C5064" s="2">
        <v>48</v>
      </c>
    </row>
    <row r="5065" spans="1:3" x14ac:dyDescent="0.25">
      <c r="A5065" s="3">
        <v>41299</v>
      </c>
      <c r="B5065" s="2" t="s">
        <v>20</v>
      </c>
      <c r="C5065" s="2">
        <v>25</v>
      </c>
    </row>
    <row r="5066" spans="1:3" x14ac:dyDescent="0.25">
      <c r="A5066" s="3">
        <v>41370</v>
      </c>
      <c r="B5066" s="2" t="s">
        <v>31</v>
      </c>
      <c r="C5066" s="2">
        <v>23</v>
      </c>
    </row>
    <row r="5067" spans="1:3" x14ac:dyDescent="0.25">
      <c r="A5067" s="3">
        <v>41381</v>
      </c>
      <c r="B5067" s="2" t="s">
        <v>12</v>
      </c>
      <c r="C5067" s="2">
        <v>36</v>
      </c>
    </row>
    <row r="5068" spans="1:3" x14ac:dyDescent="0.25">
      <c r="A5068" s="3">
        <v>41828</v>
      </c>
      <c r="B5068" s="2" t="s">
        <v>8</v>
      </c>
      <c r="C5068" s="2">
        <v>42</v>
      </c>
    </row>
    <row r="5069" spans="1:3" x14ac:dyDescent="0.25">
      <c r="A5069" s="3">
        <v>42004</v>
      </c>
      <c r="B5069" s="2" t="s">
        <v>33</v>
      </c>
      <c r="C5069" s="2">
        <v>33</v>
      </c>
    </row>
    <row r="5070" spans="1:3" x14ac:dyDescent="0.25">
      <c r="A5070" s="3">
        <v>41769</v>
      </c>
      <c r="B5070" s="2" t="s">
        <v>7</v>
      </c>
      <c r="C5070" s="2">
        <v>24</v>
      </c>
    </row>
    <row r="5071" spans="1:3" x14ac:dyDescent="0.25">
      <c r="A5071" s="3">
        <v>41663</v>
      </c>
      <c r="B5071" s="2" t="s">
        <v>44</v>
      </c>
      <c r="C5071" s="2">
        <v>43</v>
      </c>
    </row>
    <row r="5072" spans="1:3" x14ac:dyDescent="0.25">
      <c r="A5072" s="3">
        <v>41426</v>
      </c>
      <c r="B5072" s="2" t="s">
        <v>16</v>
      </c>
      <c r="C5072" s="2">
        <v>19</v>
      </c>
    </row>
    <row r="5073" spans="1:3" x14ac:dyDescent="0.25">
      <c r="A5073" s="3">
        <v>41372</v>
      </c>
      <c r="B5073" s="2" t="s">
        <v>3</v>
      </c>
      <c r="C5073" s="2">
        <v>60</v>
      </c>
    </row>
    <row r="5074" spans="1:3" x14ac:dyDescent="0.25">
      <c r="A5074" s="3">
        <v>41306</v>
      </c>
      <c r="B5074" s="2" t="s">
        <v>21</v>
      </c>
      <c r="C5074" s="2">
        <v>61</v>
      </c>
    </row>
    <row r="5075" spans="1:3" x14ac:dyDescent="0.25">
      <c r="A5075" s="3">
        <v>41933</v>
      </c>
      <c r="B5075" s="2" t="s">
        <v>29</v>
      </c>
      <c r="C5075" s="2">
        <v>32</v>
      </c>
    </row>
    <row r="5076" spans="1:3" x14ac:dyDescent="0.25">
      <c r="A5076" s="3">
        <v>41971</v>
      </c>
      <c r="B5076" s="2" t="s">
        <v>17</v>
      </c>
      <c r="C5076" s="2">
        <v>45</v>
      </c>
    </row>
    <row r="5077" spans="1:3" x14ac:dyDescent="0.25">
      <c r="A5077" s="3">
        <v>41991</v>
      </c>
      <c r="B5077" s="2" t="s">
        <v>7</v>
      </c>
      <c r="C5077" s="2">
        <v>18</v>
      </c>
    </row>
    <row r="5078" spans="1:3" x14ac:dyDescent="0.25">
      <c r="A5078" s="3">
        <v>41890</v>
      </c>
      <c r="B5078" s="2" t="s">
        <v>50</v>
      </c>
      <c r="C5078" s="2">
        <v>29</v>
      </c>
    </row>
    <row r="5079" spans="1:3" x14ac:dyDescent="0.25">
      <c r="A5079" s="3">
        <v>41418</v>
      </c>
      <c r="B5079" s="2" t="s">
        <v>46</v>
      </c>
      <c r="C5079" s="2">
        <v>40</v>
      </c>
    </row>
    <row r="5080" spans="1:3" x14ac:dyDescent="0.25">
      <c r="A5080" s="3">
        <v>41731</v>
      </c>
      <c r="B5080" s="2" t="s">
        <v>46</v>
      </c>
      <c r="C5080" s="2">
        <v>5</v>
      </c>
    </row>
    <row r="5081" spans="1:3" x14ac:dyDescent="0.25">
      <c r="A5081" s="3">
        <v>41680</v>
      </c>
      <c r="B5081" s="2" t="s">
        <v>22</v>
      </c>
      <c r="C5081" s="2">
        <v>55</v>
      </c>
    </row>
    <row r="5082" spans="1:3" x14ac:dyDescent="0.25">
      <c r="A5082" s="3">
        <v>41330</v>
      </c>
      <c r="B5082" s="2" t="s">
        <v>6</v>
      </c>
      <c r="C5082" s="2">
        <v>35</v>
      </c>
    </row>
    <row r="5083" spans="1:3" x14ac:dyDescent="0.25">
      <c r="A5083" s="3">
        <v>41890</v>
      </c>
      <c r="B5083" s="2" t="s">
        <v>21</v>
      </c>
      <c r="C5083" s="2">
        <v>18</v>
      </c>
    </row>
    <row r="5084" spans="1:3" x14ac:dyDescent="0.25">
      <c r="A5084" s="3">
        <v>41451</v>
      </c>
      <c r="B5084" s="2" t="s">
        <v>51</v>
      </c>
      <c r="C5084" s="2">
        <v>23</v>
      </c>
    </row>
    <row r="5085" spans="1:3" x14ac:dyDescent="0.25">
      <c r="A5085" s="3">
        <v>41524</v>
      </c>
      <c r="B5085" s="2" t="s">
        <v>7</v>
      </c>
      <c r="C5085" s="2">
        <v>56</v>
      </c>
    </row>
    <row r="5086" spans="1:3" x14ac:dyDescent="0.25">
      <c r="A5086" s="3">
        <v>41518</v>
      </c>
      <c r="B5086" s="2" t="s">
        <v>3</v>
      </c>
      <c r="C5086" s="2">
        <v>21</v>
      </c>
    </row>
    <row r="5087" spans="1:3" x14ac:dyDescent="0.25">
      <c r="A5087" s="3">
        <v>41982</v>
      </c>
      <c r="B5087" s="2" t="s">
        <v>46</v>
      </c>
      <c r="C5087" s="2">
        <v>17</v>
      </c>
    </row>
    <row r="5088" spans="1:3" x14ac:dyDescent="0.25">
      <c r="A5088" s="3">
        <v>41336</v>
      </c>
      <c r="B5088" s="2" t="s">
        <v>32</v>
      </c>
      <c r="C5088" s="2">
        <v>42</v>
      </c>
    </row>
    <row r="5089" spans="1:3" x14ac:dyDescent="0.25">
      <c r="A5089" s="3">
        <v>41556</v>
      </c>
      <c r="B5089" s="2" t="s">
        <v>46</v>
      </c>
      <c r="C5089" s="2">
        <v>23</v>
      </c>
    </row>
    <row r="5090" spans="1:3" x14ac:dyDescent="0.25">
      <c r="A5090" s="3">
        <v>41551</v>
      </c>
      <c r="B5090" s="2" t="s">
        <v>25</v>
      </c>
      <c r="C5090" s="2">
        <v>50</v>
      </c>
    </row>
    <row r="5091" spans="1:3" x14ac:dyDescent="0.25">
      <c r="A5091" s="3">
        <v>41747</v>
      </c>
      <c r="B5091" s="2" t="s">
        <v>47</v>
      </c>
      <c r="C5091" s="2">
        <v>24</v>
      </c>
    </row>
    <row r="5092" spans="1:3" x14ac:dyDescent="0.25">
      <c r="A5092" s="3">
        <v>41940</v>
      </c>
      <c r="B5092" s="2" t="s">
        <v>49</v>
      </c>
      <c r="C5092" s="2">
        <v>36</v>
      </c>
    </row>
    <row r="5093" spans="1:3" x14ac:dyDescent="0.25">
      <c r="A5093" s="3">
        <v>41489</v>
      </c>
      <c r="B5093" s="2" t="s">
        <v>7</v>
      </c>
      <c r="C5093" s="2">
        <v>11</v>
      </c>
    </row>
    <row r="5094" spans="1:3" x14ac:dyDescent="0.25">
      <c r="A5094" s="3">
        <v>41316</v>
      </c>
      <c r="B5094" s="2" t="s">
        <v>35</v>
      </c>
      <c r="C5094" s="2">
        <v>22</v>
      </c>
    </row>
    <row r="5095" spans="1:3" x14ac:dyDescent="0.25">
      <c r="A5095" s="3">
        <v>41895</v>
      </c>
      <c r="B5095" s="2" t="s">
        <v>6</v>
      </c>
      <c r="C5095" s="2">
        <v>9</v>
      </c>
    </row>
    <row r="5096" spans="1:3" x14ac:dyDescent="0.25">
      <c r="A5096" s="3">
        <v>41347</v>
      </c>
      <c r="B5096" s="2" t="s">
        <v>3</v>
      </c>
      <c r="C5096" s="2">
        <v>10</v>
      </c>
    </row>
    <row r="5097" spans="1:3" x14ac:dyDescent="0.25">
      <c r="A5097" s="3">
        <v>41762</v>
      </c>
      <c r="B5097" s="2" t="s">
        <v>46</v>
      </c>
      <c r="C5097" s="2">
        <v>39</v>
      </c>
    </row>
    <row r="5098" spans="1:3" x14ac:dyDescent="0.25">
      <c r="A5098" s="3">
        <v>41956</v>
      </c>
      <c r="B5098" s="2" t="s">
        <v>38</v>
      </c>
      <c r="C5098" s="2">
        <v>8</v>
      </c>
    </row>
    <row r="5099" spans="1:3" x14ac:dyDescent="0.25">
      <c r="A5099" s="3">
        <v>41382</v>
      </c>
      <c r="B5099" s="2" t="s">
        <v>27</v>
      </c>
      <c r="C5099" s="2">
        <v>46</v>
      </c>
    </row>
    <row r="5100" spans="1:3" x14ac:dyDescent="0.25">
      <c r="A5100" s="3">
        <v>41426</v>
      </c>
      <c r="B5100" s="2" t="s">
        <v>22</v>
      </c>
      <c r="C5100" s="2">
        <v>3</v>
      </c>
    </row>
    <row r="5101" spans="1:3" x14ac:dyDescent="0.25">
      <c r="A5101" s="3">
        <v>41907</v>
      </c>
      <c r="B5101" s="2" t="s">
        <v>9</v>
      </c>
      <c r="C5101" s="2">
        <v>10</v>
      </c>
    </row>
    <row r="5102" spans="1:3" x14ac:dyDescent="0.25">
      <c r="A5102" s="3">
        <v>41810</v>
      </c>
      <c r="B5102" s="2" t="s">
        <v>3</v>
      </c>
      <c r="C5102" s="2">
        <v>37</v>
      </c>
    </row>
    <row r="5103" spans="1:3" x14ac:dyDescent="0.25">
      <c r="A5103" s="3">
        <v>41487</v>
      </c>
      <c r="B5103" s="2" t="s">
        <v>29</v>
      </c>
      <c r="C5103" s="2">
        <v>41</v>
      </c>
    </row>
    <row r="5104" spans="1:3" x14ac:dyDescent="0.25">
      <c r="A5104" s="3">
        <v>41403</v>
      </c>
      <c r="B5104" s="2" t="s">
        <v>31</v>
      </c>
      <c r="C5104" s="2">
        <v>20</v>
      </c>
    </row>
    <row r="5105" spans="1:3" x14ac:dyDescent="0.25">
      <c r="A5105" s="3">
        <v>41868</v>
      </c>
      <c r="B5105" s="2" t="s">
        <v>40</v>
      </c>
      <c r="C5105" s="2">
        <v>10</v>
      </c>
    </row>
    <row r="5106" spans="1:3" x14ac:dyDescent="0.25">
      <c r="A5106" s="3">
        <v>41686</v>
      </c>
      <c r="B5106" s="2" t="s">
        <v>40</v>
      </c>
      <c r="C5106" s="2">
        <v>20</v>
      </c>
    </row>
    <row r="5107" spans="1:3" x14ac:dyDescent="0.25">
      <c r="A5107" s="3">
        <v>41466</v>
      </c>
      <c r="B5107" s="2" t="s">
        <v>30</v>
      </c>
      <c r="C5107" s="2">
        <v>33</v>
      </c>
    </row>
    <row r="5108" spans="1:3" x14ac:dyDescent="0.25">
      <c r="A5108" s="3">
        <v>41330</v>
      </c>
      <c r="B5108" s="2" t="s">
        <v>4</v>
      </c>
      <c r="C5108" s="2">
        <v>19</v>
      </c>
    </row>
    <row r="5109" spans="1:3" x14ac:dyDescent="0.25">
      <c r="A5109" s="3">
        <v>41978</v>
      </c>
      <c r="B5109" s="2" t="s">
        <v>50</v>
      </c>
      <c r="C5109" s="2">
        <v>17</v>
      </c>
    </row>
    <row r="5110" spans="1:3" x14ac:dyDescent="0.25">
      <c r="A5110" s="3">
        <v>41851</v>
      </c>
      <c r="B5110" s="2" t="s">
        <v>34</v>
      </c>
      <c r="C5110" s="2">
        <v>32</v>
      </c>
    </row>
    <row r="5111" spans="1:3" x14ac:dyDescent="0.25">
      <c r="A5111" s="3">
        <v>41820</v>
      </c>
      <c r="B5111" s="2" t="s">
        <v>45</v>
      </c>
      <c r="C5111" s="2">
        <v>24</v>
      </c>
    </row>
    <row r="5112" spans="1:3" x14ac:dyDescent="0.25">
      <c r="A5112" s="3">
        <v>41391</v>
      </c>
      <c r="B5112" s="2" t="s">
        <v>7</v>
      </c>
      <c r="C5112" s="2">
        <v>18</v>
      </c>
    </row>
    <row r="5113" spans="1:3" x14ac:dyDescent="0.25">
      <c r="A5113" s="3">
        <v>41848</v>
      </c>
      <c r="B5113" s="2" t="s">
        <v>20</v>
      </c>
      <c r="C5113" s="2">
        <v>32</v>
      </c>
    </row>
    <row r="5114" spans="1:3" x14ac:dyDescent="0.25">
      <c r="A5114" s="3">
        <v>41945</v>
      </c>
      <c r="B5114" s="2" t="s">
        <v>13</v>
      </c>
      <c r="C5114" s="2">
        <v>24</v>
      </c>
    </row>
    <row r="5115" spans="1:3" x14ac:dyDescent="0.25">
      <c r="A5115" s="3">
        <v>41911</v>
      </c>
      <c r="B5115" s="2" t="s">
        <v>31</v>
      </c>
      <c r="C5115" s="2">
        <v>31</v>
      </c>
    </row>
    <row r="5116" spans="1:3" x14ac:dyDescent="0.25">
      <c r="A5116" s="3">
        <v>41310</v>
      </c>
      <c r="B5116" s="2" t="s">
        <v>39</v>
      </c>
      <c r="C5116" s="2">
        <v>30</v>
      </c>
    </row>
    <row r="5117" spans="1:3" x14ac:dyDescent="0.25">
      <c r="A5117" s="3">
        <v>41597</v>
      </c>
      <c r="B5117" s="2" t="s">
        <v>37</v>
      </c>
      <c r="C5117" s="2">
        <v>50</v>
      </c>
    </row>
    <row r="5118" spans="1:3" x14ac:dyDescent="0.25">
      <c r="A5118" s="3">
        <v>41309</v>
      </c>
      <c r="B5118" s="2" t="s">
        <v>26</v>
      </c>
      <c r="C5118" s="2">
        <v>11</v>
      </c>
    </row>
    <row r="5119" spans="1:3" x14ac:dyDescent="0.25">
      <c r="A5119" s="3">
        <v>41463</v>
      </c>
      <c r="B5119" s="2" t="s">
        <v>48</v>
      </c>
      <c r="C5119" s="2">
        <v>37</v>
      </c>
    </row>
    <row r="5120" spans="1:3" x14ac:dyDescent="0.25">
      <c r="A5120" s="3">
        <v>41996</v>
      </c>
      <c r="B5120" s="2" t="s">
        <v>37</v>
      </c>
      <c r="C5120" s="2">
        <v>33</v>
      </c>
    </row>
    <row r="5121" spans="1:3" x14ac:dyDescent="0.25">
      <c r="A5121" s="3">
        <v>41577</v>
      </c>
      <c r="B5121" s="2" t="s">
        <v>36</v>
      </c>
      <c r="C5121" s="2">
        <v>46</v>
      </c>
    </row>
    <row r="5122" spans="1:3" x14ac:dyDescent="0.25">
      <c r="A5122" s="3">
        <v>41867</v>
      </c>
      <c r="B5122" s="2" t="s">
        <v>26</v>
      </c>
      <c r="C5122" s="2">
        <v>25</v>
      </c>
    </row>
    <row r="5123" spans="1:3" x14ac:dyDescent="0.25">
      <c r="A5123" s="3">
        <v>41407</v>
      </c>
      <c r="B5123" s="2" t="s">
        <v>45</v>
      </c>
      <c r="C5123" s="2">
        <v>33</v>
      </c>
    </row>
    <row r="5124" spans="1:3" x14ac:dyDescent="0.25">
      <c r="A5124" s="3">
        <v>41404</v>
      </c>
      <c r="B5124" s="2" t="s">
        <v>34</v>
      </c>
      <c r="C5124" s="2">
        <v>33</v>
      </c>
    </row>
    <row r="5125" spans="1:3" x14ac:dyDescent="0.25">
      <c r="A5125" s="3">
        <v>41447</v>
      </c>
      <c r="B5125" s="2" t="s">
        <v>40</v>
      </c>
      <c r="C5125" s="2">
        <v>23</v>
      </c>
    </row>
    <row r="5126" spans="1:3" x14ac:dyDescent="0.25">
      <c r="A5126" s="3">
        <v>41959</v>
      </c>
      <c r="B5126" s="2" t="s">
        <v>11</v>
      </c>
      <c r="C5126" s="2">
        <v>40</v>
      </c>
    </row>
    <row r="5127" spans="1:3" x14ac:dyDescent="0.25">
      <c r="A5127" s="3">
        <v>41664</v>
      </c>
      <c r="B5127" s="2" t="s">
        <v>43</v>
      </c>
      <c r="C5127" s="2">
        <v>15</v>
      </c>
    </row>
    <row r="5128" spans="1:3" x14ac:dyDescent="0.25">
      <c r="A5128" s="3">
        <v>41491</v>
      </c>
      <c r="B5128" s="2" t="s">
        <v>2</v>
      </c>
      <c r="C5128" s="2">
        <v>20</v>
      </c>
    </row>
    <row r="5129" spans="1:3" x14ac:dyDescent="0.25">
      <c r="A5129" s="3">
        <v>41692</v>
      </c>
      <c r="B5129" s="2" t="s">
        <v>17</v>
      </c>
      <c r="C5129" s="2">
        <v>25</v>
      </c>
    </row>
    <row r="5130" spans="1:3" x14ac:dyDescent="0.25">
      <c r="A5130" s="3">
        <v>41580</v>
      </c>
      <c r="B5130" s="2" t="s">
        <v>44</v>
      </c>
      <c r="C5130" s="2">
        <v>52</v>
      </c>
    </row>
    <row r="5131" spans="1:3" x14ac:dyDescent="0.25">
      <c r="A5131" s="3">
        <v>41624</v>
      </c>
      <c r="B5131" s="2" t="s">
        <v>41</v>
      </c>
      <c r="C5131" s="2">
        <v>45</v>
      </c>
    </row>
    <row r="5132" spans="1:3" x14ac:dyDescent="0.25">
      <c r="A5132" s="3">
        <v>41378</v>
      </c>
      <c r="B5132" s="2" t="s">
        <v>23</v>
      </c>
      <c r="C5132" s="2">
        <v>24</v>
      </c>
    </row>
    <row r="5133" spans="1:3" x14ac:dyDescent="0.25">
      <c r="A5133" s="3">
        <v>41457</v>
      </c>
      <c r="B5133" s="2" t="s">
        <v>29</v>
      </c>
      <c r="C5133" s="2">
        <v>4</v>
      </c>
    </row>
    <row r="5134" spans="1:3" x14ac:dyDescent="0.25">
      <c r="A5134" s="3">
        <v>41559</v>
      </c>
      <c r="B5134" s="2" t="s">
        <v>40</v>
      </c>
      <c r="C5134" s="2">
        <v>45</v>
      </c>
    </row>
    <row r="5135" spans="1:3" x14ac:dyDescent="0.25">
      <c r="A5135" s="3">
        <v>41981</v>
      </c>
      <c r="B5135" s="2" t="s">
        <v>38</v>
      </c>
      <c r="C5135" s="2">
        <v>52</v>
      </c>
    </row>
    <row r="5136" spans="1:3" x14ac:dyDescent="0.25">
      <c r="A5136" s="3">
        <v>41648</v>
      </c>
      <c r="B5136" s="2" t="s">
        <v>44</v>
      </c>
      <c r="C5136" s="2">
        <v>40</v>
      </c>
    </row>
    <row r="5137" spans="1:3" x14ac:dyDescent="0.25">
      <c r="A5137" s="3">
        <v>41755</v>
      </c>
      <c r="B5137" s="2" t="s">
        <v>41</v>
      </c>
      <c r="C5137" s="2">
        <v>13</v>
      </c>
    </row>
    <row r="5138" spans="1:3" x14ac:dyDescent="0.25">
      <c r="A5138" s="3">
        <v>41537</v>
      </c>
      <c r="B5138" s="2" t="s">
        <v>5</v>
      </c>
      <c r="C5138" s="2">
        <v>46</v>
      </c>
    </row>
    <row r="5139" spans="1:3" x14ac:dyDescent="0.25">
      <c r="A5139" s="3">
        <v>41375</v>
      </c>
      <c r="B5139" s="2" t="s">
        <v>13</v>
      </c>
      <c r="C5139" s="2">
        <v>42</v>
      </c>
    </row>
    <row r="5140" spans="1:3" x14ac:dyDescent="0.25">
      <c r="A5140" s="3">
        <v>41891</v>
      </c>
      <c r="B5140" s="2" t="s">
        <v>3</v>
      </c>
      <c r="C5140" s="2">
        <v>19</v>
      </c>
    </row>
    <row r="5141" spans="1:3" x14ac:dyDescent="0.25">
      <c r="A5141" s="3">
        <v>41871</v>
      </c>
      <c r="B5141" s="2" t="s">
        <v>32</v>
      </c>
      <c r="C5141" s="2">
        <v>6</v>
      </c>
    </row>
    <row r="5142" spans="1:3" x14ac:dyDescent="0.25">
      <c r="A5142" s="3">
        <v>41382</v>
      </c>
      <c r="B5142" s="2" t="s">
        <v>29</v>
      </c>
      <c r="C5142" s="2">
        <v>33</v>
      </c>
    </row>
    <row r="5143" spans="1:3" x14ac:dyDescent="0.25">
      <c r="A5143" s="3">
        <v>41280</v>
      </c>
      <c r="B5143" s="2" t="s">
        <v>23</v>
      </c>
      <c r="C5143" s="2">
        <v>23</v>
      </c>
    </row>
    <row r="5144" spans="1:3" x14ac:dyDescent="0.25">
      <c r="A5144" s="3">
        <v>41906</v>
      </c>
      <c r="B5144" s="2" t="s">
        <v>27</v>
      </c>
      <c r="C5144" s="2">
        <v>33</v>
      </c>
    </row>
    <row r="5145" spans="1:3" x14ac:dyDescent="0.25">
      <c r="A5145" s="3">
        <v>41639</v>
      </c>
      <c r="B5145" s="2" t="s">
        <v>26</v>
      </c>
      <c r="C5145" s="2">
        <v>20</v>
      </c>
    </row>
    <row r="5146" spans="1:3" x14ac:dyDescent="0.25">
      <c r="A5146" s="3">
        <v>41399</v>
      </c>
      <c r="B5146" s="2" t="s">
        <v>30</v>
      </c>
      <c r="C5146" s="2">
        <v>27</v>
      </c>
    </row>
    <row r="5147" spans="1:3" x14ac:dyDescent="0.25">
      <c r="A5147" s="3">
        <v>41390</v>
      </c>
      <c r="B5147" s="2" t="s">
        <v>44</v>
      </c>
      <c r="C5147" s="2">
        <v>31</v>
      </c>
    </row>
    <row r="5148" spans="1:3" x14ac:dyDescent="0.25">
      <c r="A5148" s="3">
        <v>41279</v>
      </c>
      <c r="B5148" s="2" t="s">
        <v>35</v>
      </c>
      <c r="C5148" s="2">
        <v>48</v>
      </c>
    </row>
    <row r="5149" spans="1:3" x14ac:dyDescent="0.25">
      <c r="A5149" s="3">
        <v>41330</v>
      </c>
      <c r="B5149" s="2" t="s">
        <v>43</v>
      </c>
      <c r="C5149" s="2">
        <v>3</v>
      </c>
    </row>
    <row r="5150" spans="1:3" x14ac:dyDescent="0.25">
      <c r="A5150" s="3">
        <v>41722</v>
      </c>
      <c r="B5150" s="2" t="s">
        <v>7</v>
      </c>
      <c r="C5150" s="2">
        <v>50</v>
      </c>
    </row>
    <row r="5151" spans="1:3" x14ac:dyDescent="0.25">
      <c r="A5151" s="3">
        <v>41640</v>
      </c>
      <c r="B5151" s="2" t="s">
        <v>18</v>
      </c>
      <c r="C5151" s="2">
        <v>43</v>
      </c>
    </row>
    <row r="5152" spans="1:3" x14ac:dyDescent="0.25">
      <c r="A5152" s="3">
        <v>41484</v>
      </c>
      <c r="B5152" s="2" t="s">
        <v>17</v>
      </c>
      <c r="C5152" s="2">
        <v>33</v>
      </c>
    </row>
    <row r="5153" spans="1:3" x14ac:dyDescent="0.25">
      <c r="A5153" s="3">
        <v>41806</v>
      </c>
      <c r="B5153" s="2" t="s">
        <v>32</v>
      </c>
      <c r="C5153" s="2">
        <v>18</v>
      </c>
    </row>
    <row r="5154" spans="1:3" x14ac:dyDescent="0.25">
      <c r="A5154" s="3">
        <v>41968</v>
      </c>
      <c r="B5154" s="2" t="s">
        <v>25</v>
      </c>
      <c r="C5154" s="2">
        <v>22</v>
      </c>
    </row>
    <row r="5155" spans="1:3" x14ac:dyDescent="0.25">
      <c r="A5155" s="3">
        <v>41916</v>
      </c>
      <c r="B5155" s="2" t="s">
        <v>34</v>
      </c>
      <c r="C5155" s="2">
        <v>17</v>
      </c>
    </row>
    <row r="5156" spans="1:3" x14ac:dyDescent="0.25">
      <c r="A5156" s="3">
        <v>41853</v>
      </c>
      <c r="B5156" s="2" t="s">
        <v>25</v>
      </c>
      <c r="C5156" s="2">
        <v>12</v>
      </c>
    </row>
    <row r="5157" spans="1:3" x14ac:dyDescent="0.25">
      <c r="A5157" s="3">
        <v>41316</v>
      </c>
      <c r="B5157" s="2" t="s">
        <v>6</v>
      </c>
      <c r="C5157" s="2">
        <v>31</v>
      </c>
    </row>
    <row r="5158" spans="1:3" x14ac:dyDescent="0.25">
      <c r="A5158" s="3">
        <v>41729</v>
      </c>
      <c r="B5158" s="2" t="s">
        <v>19</v>
      </c>
      <c r="C5158" s="2">
        <v>22</v>
      </c>
    </row>
    <row r="5159" spans="1:3" x14ac:dyDescent="0.25">
      <c r="A5159" s="3">
        <v>41514</v>
      </c>
      <c r="B5159" s="2" t="s">
        <v>16</v>
      </c>
      <c r="C5159" s="2">
        <v>24</v>
      </c>
    </row>
    <row r="5160" spans="1:3" x14ac:dyDescent="0.25">
      <c r="A5160" s="3">
        <v>41587</v>
      </c>
      <c r="B5160" s="2" t="s">
        <v>6</v>
      </c>
      <c r="C5160" s="2">
        <v>7</v>
      </c>
    </row>
    <row r="5161" spans="1:3" x14ac:dyDescent="0.25">
      <c r="A5161" s="3">
        <v>41933</v>
      </c>
      <c r="B5161" s="2" t="s">
        <v>26</v>
      </c>
      <c r="C5161" s="2">
        <v>26</v>
      </c>
    </row>
    <row r="5162" spans="1:3" x14ac:dyDescent="0.25">
      <c r="A5162" s="3">
        <v>41656</v>
      </c>
      <c r="B5162" s="2" t="s">
        <v>17</v>
      </c>
      <c r="C5162" s="2">
        <v>29</v>
      </c>
    </row>
    <row r="5163" spans="1:3" x14ac:dyDescent="0.25">
      <c r="A5163" s="3">
        <v>41602</v>
      </c>
      <c r="B5163" s="2" t="s">
        <v>6</v>
      </c>
      <c r="C5163" s="2">
        <v>46</v>
      </c>
    </row>
    <row r="5164" spans="1:3" x14ac:dyDescent="0.25">
      <c r="A5164" s="3">
        <v>41456</v>
      </c>
      <c r="B5164" s="2" t="s">
        <v>17</v>
      </c>
      <c r="C5164" s="2">
        <v>7</v>
      </c>
    </row>
    <row r="5165" spans="1:3" x14ac:dyDescent="0.25">
      <c r="A5165" s="3">
        <v>41574</v>
      </c>
      <c r="B5165" s="2" t="s">
        <v>14</v>
      </c>
      <c r="C5165" s="2">
        <v>23</v>
      </c>
    </row>
    <row r="5166" spans="1:3" x14ac:dyDescent="0.25">
      <c r="A5166" s="3">
        <v>41432</v>
      </c>
      <c r="B5166" s="2" t="s">
        <v>25</v>
      </c>
      <c r="C5166" s="2">
        <v>24</v>
      </c>
    </row>
    <row r="5167" spans="1:3" x14ac:dyDescent="0.25">
      <c r="A5167" s="3">
        <v>41633</v>
      </c>
      <c r="B5167" s="2" t="s">
        <v>7</v>
      </c>
      <c r="C5167" s="2">
        <v>23</v>
      </c>
    </row>
    <row r="5168" spans="1:3" x14ac:dyDescent="0.25">
      <c r="A5168" s="3">
        <v>41465</v>
      </c>
      <c r="B5168" s="2" t="s">
        <v>20</v>
      </c>
      <c r="C5168" s="2">
        <v>11</v>
      </c>
    </row>
    <row r="5169" spans="1:3" x14ac:dyDescent="0.25">
      <c r="A5169" s="3">
        <v>41351</v>
      </c>
      <c r="B5169" s="2" t="s">
        <v>44</v>
      </c>
      <c r="C5169" s="2">
        <v>11</v>
      </c>
    </row>
    <row r="5170" spans="1:3" x14ac:dyDescent="0.25">
      <c r="A5170" s="3">
        <v>41302</v>
      </c>
      <c r="B5170" s="2" t="s">
        <v>15</v>
      </c>
      <c r="C5170" s="2">
        <v>21</v>
      </c>
    </row>
    <row r="5171" spans="1:3" x14ac:dyDescent="0.25">
      <c r="A5171" s="3">
        <v>41343</v>
      </c>
      <c r="B5171" s="2" t="s">
        <v>17</v>
      </c>
      <c r="C5171" s="2">
        <v>40</v>
      </c>
    </row>
    <row r="5172" spans="1:3" x14ac:dyDescent="0.25">
      <c r="A5172" s="3">
        <v>41760</v>
      </c>
      <c r="B5172" s="2" t="s">
        <v>35</v>
      </c>
      <c r="C5172" s="2">
        <v>31</v>
      </c>
    </row>
    <row r="5173" spans="1:3" x14ac:dyDescent="0.25">
      <c r="A5173" s="3">
        <v>41806</v>
      </c>
      <c r="B5173" s="2" t="s">
        <v>34</v>
      </c>
      <c r="C5173" s="2">
        <v>66</v>
      </c>
    </row>
    <row r="5174" spans="1:3" x14ac:dyDescent="0.25">
      <c r="A5174" s="3">
        <v>41421</v>
      </c>
      <c r="B5174" s="2" t="s">
        <v>26</v>
      </c>
      <c r="C5174" s="2">
        <v>39</v>
      </c>
    </row>
    <row r="5175" spans="1:3" x14ac:dyDescent="0.25">
      <c r="A5175" s="3">
        <v>41636</v>
      </c>
      <c r="B5175" s="2" t="s">
        <v>38</v>
      </c>
      <c r="C5175" s="2">
        <v>20</v>
      </c>
    </row>
    <row r="5176" spans="1:3" x14ac:dyDescent="0.25">
      <c r="A5176" s="3">
        <v>41715</v>
      </c>
      <c r="B5176" s="2" t="s">
        <v>36</v>
      </c>
      <c r="C5176" s="2">
        <v>26</v>
      </c>
    </row>
    <row r="5177" spans="1:3" x14ac:dyDescent="0.25">
      <c r="A5177" s="3">
        <v>41922</v>
      </c>
      <c r="B5177" s="2" t="s">
        <v>40</v>
      </c>
      <c r="C5177" s="2">
        <v>2</v>
      </c>
    </row>
    <row r="5178" spans="1:3" x14ac:dyDescent="0.25">
      <c r="A5178" s="3">
        <v>41985</v>
      </c>
      <c r="B5178" s="2" t="s">
        <v>18</v>
      </c>
      <c r="C5178" s="2">
        <v>39</v>
      </c>
    </row>
    <row r="5179" spans="1:3" x14ac:dyDescent="0.25">
      <c r="A5179" s="3">
        <v>41801</v>
      </c>
      <c r="B5179" s="2" t="s">
        <v>14</v>
      </c>
      <c r="C5179" s="2">
        <v>36</v>
      </c>
    </row>
    <row r="5180" spans="1:3" x14ac:dyDescent="0.25">
      <c r="A5180" s="3">
        <v>41543</v>
      </c>
      <c r="B5180" s="2" t="s">
        <v>39</v>
      </c>
      <c r="C5180" s="2">
        <v>64</v>
      </c>
    </row>
    <row r="5181" spans="1:3" x14ac:dyDescent="0.25">
      <c r="A5181" s="3">
        <v>41871</v>
      </c>
      <c r="B5181" s="2" t="s">
        <v>10</v>
      </c>
      <c r="C5181" s="2">
        <v>52</v>
      </c>
    </row>
    <row r="5182" spans="1:3" x14ac:dyDescent="0.25">
      <c r="A5182" s="3">
        <v>41591</v>
      </c>
      <c r="B5182" s="2" t="s">
        <v>11</v>
      </c>
      <c r="C5182" s="2">
        <v>22</v>
      </c>
    </row>
    <row r="5183" spans="1:3" x14ac:dyDescent="0.25">
      <c r="A5183" s="3">
        <v>41751</v>
      </c>
      <c r="B5183" s="2" t="s">
        <v>5</v>
      </c>
      <c r="C5183" s="2">
        <v>18</v>
      </c>
    </row>
    <row r="5184" spans="1:3" x14ac:dyDescent="0.25">
      <c r="A5184" s="3">
        <v>41768</v>
      </c>
      <c r="B5184" s="2" t="s">
        <v>7</v>
      </c>
      <c r="C5184" s="2">
        <v>47</v>
      </c>
    </row>
    <row r="5185" spans="1:3" x14ac:dyDescent="0.25">
      <c r="A5185" s="3">
        <v>41530</v>
      </c>
      <c r="B5185" s="2" t="s">
        <v>48</v>
      </c>
      <c r="C5185" s="2">
        <v>7</v>
      </c>
    </row>
    <row r="5186" spans="1:3" x14ac:dyDescent="0.25">
      <c r="A5186" s="3">
        <v>41993</v>
      </c>
      <c r="B5186" s="2" t="s">
        <v>42</v>
      </c>
      <c r="C5186" s="2">
        <v>40</v>
      </c>
    </row>
    <row r="5187" spans="1:3" x14ac:dyDescent="0.25">
      <c r="A5187" s="3">
        <v>41790</v>
      </c>
      <c r="B5187" s="2" t="s">
        <v>38</v>
      </c>
      <c r="C5187" s="2">
        <v>31</v>
      </c>
    </row>
    <row r="5188" spans="1:3" x14ac:dyDescent="0.25">
      <c r="A5188" s="3">
        <v>41919</v>
      </c>
      <c r="B5188" s="2" t="s">
        <v>17</v>
      </c>
      <c r="C5188" s="2">
        <v>29</v>
      </c>
    </row>
    <row r="5189" spans="1:3" x14ac:dyDescent="0.25">
      <c r="A5189" s="3">
        <v>41576</v>
      </c>
      <c r="B5189" s="2" t="s">
        <v>44</v>
      </c>
      <c r="C5189" s="2">
        <v>46</v>
      </c>
    </row>
    <row r="5190" spans="1:3" x14ac:dyDescent="0.25">
      <c r="A5190" s="3">
        <v>41996</v>
      </c>
      <c r="B5190" s="2" t="s">
        <v>27</v>
      </c>
      <c r="C5190" s="2">
        <v>35</v>
      </c>
    </row>
    <row r="5191" spans="1:3" x14ac:dyDescent="0.25">
      <c r="A5191" s="3">
        <v>41667</v>
      </c>
      <c r="B5191" s="2" t="s">
        <v>28</v>
      </c>
      <c r="C5191" s="2">
        <v>13</v>
      </c>
    </row>
    <row r="5192" spans="1:3" x14ac:dyDescent="0.25">
      <c r="A5192" s="3">
        <v>41321</v>
      </c>
      <c r="B5192" s="2" t="s">
        <v>9</v>
      </c>
      <c r="C5192" s="2">
        <v>12</v>
      </c>
    </row>
    <row r="5193" spans="1:3" x14ac:dyDescent="0.25">
      <c r="A5193" s="3">
        <v>41580</v>
      </c>
      <c r="B5193" s="2" t="s">
        <v>14</v>
      </c>
      <c r="C5193" s="2">
        <v>48</v>
      </c>
    </row>
    <row r="5194" spans="1:3" x14ac:dyDescent="0.25">
      <c r="A5194" s="3">
        <v>41486</v>
      </c>
      <c r="B5194" s="2" t="s">
        <v>3</v>
      </c>
      <c r="C5194" s="2">
        <v>5</v>
      </c>
    </row>
    <row r="5195" spans="1:3" x14ac:dyDescent="0.25">
      <c r="A5195" s="3">
        <v>41930</v>
      </c>
      <c r="B5195" s="2" t="s">
        <v>10</v>
      </c>
      <c r="C5195" s="2">
        <v>22</v>
      </c>
    </row>
    <row r="5196" spans="1:3" x14ac:dyDescent="0.25">
      <c r="A5196" s="3">
        <v>41367</v>
      </c>
      <c r="B5196" s="2" t="s">
        <v>24</v>
      </c>
      <c r="C5196" s="2">
        <v>2</v>
      </c>
    </row>
    <row r="5197" spans="1:3" x14ac:dyDescent="0.25">
      <c r="A5197" s="3">
        <v>41462</v>
      </c>
      <c r="B5197" s="2" t="s">
        <v>37</v>
      </c>
      <c r="C5197" s="2">
        <v>5</v>
      </c>
    </row>
    <row r="5198" spans="1:3" x14ac:dyDescent="0.25">
      <c r="A5198" s="3">
        <v>41516</v>
      </c>
      <c r="B5198" s="2" t="s">
        <v>47</v>
      </c>
      <c r="C5198" s="2">
        <v>51</v>
      </c>
    </row>
    <row r="5199" spans="1:3" x14ac:dyDescent="0.25">
      <c r="A5199" s="3">
        <v>41684</v>
      </c>
      <c r="B5199" s="2" t="s">
        <v>34</v>
      </c>
      <c r="C5199" s="2">
        <v>22</v>
      </c>
    </row>
    <row r="5200" spans="1:3" x14ac:dyDescent="0.25">
      <c r="A5200" s="3">
        <v>41295</v>
      </c>
      <c r="B5200" s="2" t="s">
        <v>29</v>
      </c>
      <c r="C5200" s="2">
        <v>22</v>
      </c>
    </row>
    <row r="5201" spans="1:3" x14ac:dyDescent="0.25">
      <c r="A5201" s="3">
        <v>41728</v>
      </c>
      <c r="B5201" s="2" t="s">
        <v>6</v>
      </c>
      <c r="C5201" s="2">
        <v>17</v>
      </c>
    </row>
    <row r="5202" spans="1:3" x14ac:dyDescent="0.25">
      <c r="A5202" s="3">
        <v>41893</v>
      </c>
      <c r="B5202" s="2" t="s">
        <v>18</v>
      </c>
      <c r="C5202" s="2">
        <v>8</v>
      </c>
    </row>
    <row r="5203" spans="1:3" x14ac:dyDescent="0.25">
      <c r="A5203" s="3">
        <v>41569</v>
      </c>
      <c r="B5203" s="2" t="s">
        <v>6</v>
      </c>
      <c r="C5203" s="2">
        <v>32</v>
      </c>
    </row>
    <row r="5204" spans="1:3" x14ac:dyDescent="0.25">
      <c r="A5204" s="3">
        <v>41953</v>
      </c>
      <c r="B5204" s="2" t="s">
        <v>25</v>
      </c>
      <c r="C5204" s="2">
        <v>12</v>
      </c>
    </row>
    <row r="5205" spans="1:3" x14ac:dyDescent="0.25">
      <c r="A5205" s="3">
        <v>41428</v>
      </c>
      <c r="B5205" s="2" t="s">
        <v>29</v>
      </c>
      <c r="C5205" s="2">
        <v>34</v>
      </c>
    </row>
    <row r="5206" spans="1:3" x14ac:dyDescent="0.25">
      <c r="A5206" s="3">
        <v>41878</v>
      </c>
      <c r="B5206" s="2" t="s">
        <v>18</v>
      </c>
      <c r="C5206" s="2">
        <v>45</v>
      </c>
    </row>
    <row r="5207" spans="1:3" x14ac:dyDescent="0.25">
      <c r="A5207" s="3">
        <v>41648</v>
      </c>
      <c r="B5207" s="2" t="s">
        <v>17</v>
      </c>
      <c r="C5207" s="2">
        <v>21</v>
      </c>
    </row>
    <row r="5208" spans="1:3" x14ac:dyDescent="0.25">
      <c r="A5208" s="3">
        <v>41883</v>
      </c>
      <c r="B5208" s="2" t="s">
        <v>24</v>
      </c>
      <c r="C5208" s="2">
        <v>29</v>
      </c>
    </row>
    <row r="5209" spans="1:3" x14ac:dyDescent="0.25">
      <c r="A5209" s="3">
        <v>41567</v>
      </c>
      <c r="B5209" s="2" t="s">
        <v>41</v>
      </c>
      <c r="C5209" s="2">
        <v>41</v>
      </c>
    </row>
    <row r="5210" spans="1:3" x14ac:dyDescent="0.25">
      <c r="A5210" s="3">
        <v>42004</v>
      </c>
      <c r="B5210" s="2" t="s">
        <v>34</v>
      </c>
      <c r="C5210" s="2">
        <v>45</v>
      </c>
    </row>
    <row r="5211" spans="1:3" x14ac:dyDescent="0.25">
      <c r="A5211" s="3">
        <v>41600</v>
      </c>
      <c r="B5211" s="2" t="s">
        <v>28</v>
      </c>
      <c r="C5211" s="2">
        <v>20</v>
      </c>
    </row>
    <row r="5212" spans="1:3" x14ac:dyDescent="0.25">
      <c r="A5212" s="3">
        <v>41549</v>
      </c>
      <c r="B5212" s="2" t="s">
        <v>46</v>
      </c>
      <c r="C5212" s="2">
        <v>17</v>
      </c>
    </row>
    <row r="5213" spans="1:3" x14ac:dyDescent="0.25">
      <c r="A5213" s="3">
        <v>41293</v>
      </c>
      <c r="B5213" s="2" t="s">
        <v>32</v>
      </c>
      <c r="C5213" s="2">
        <v>40</v>
      </c>
    </row>
    <row r="5214" spans="1:3" x14ac:dyDescent="0.25">
      <c r="A5214" s="3">
        <v>41976</v>
      </c>
      <c r="B5214" s="2" t="s">
        <v>3</v>
      </c>
      <c r="C5214" s="2">
        <v>27</v>
      </c>
    </row>
    <row r="5215" spans="1:3" x14ac:dyDescent="0.25">
      <c r="A5215" s="3">
        <v>41695</v>
      </c>
      <c r="B5215" s="2" t="s">
        <v>38</v>
      </c>
      <c r="C5215" s="2">
        <v>18</v>
      </c>
    </row>
    <row r="5216" spans="1:3" x14ac:dyDescent="0.25">
      <c r="A5216" s="3">
        <v>41667</v>
      </c>
      <c r="B5216" s="2" t="s">
        <v>13</v>
      </c>
      <c r="C5216" s="2">
        <v>19</v>
      </c>
    </row>
    <row r="5217" spans="1:3" x14ac:dyDescent="0.25">
      <c r="A5217" s="3">
        <v>41495</v>
      </c>
      <c r="B5217" s="2" t="s">
        <v>40</v>
      </c>
      <c r="C5217" s="2">
        <v>10</v>
      </c>
    </row>
    <row r="5218" spans="1:3" x14ac:dyDescent="0.25">
      <c r="A5218" s="3">
        <v>41730</v>
      </c>
      <c r="B5218" s="2" t="s">
        <v>32</v>
      </c>
      <c r="C5218" s="2">
        <v>42</v>
      </c>
    </row>
    <row r="5219" spans="1:3" x14ac:dyDescent="0.25">
      <c r="A5219" s="3">
        <v>41330</v>
      </c>
      <c r="B5219" s="2" t="s">
        <v>15</v>
      </c>
      <c r="C5219" s="2">
        <v>2</v>
      </c>
    </row>
    <row r="5220" spans="1:3" x14ac:dyDescent="0.25">
      <c r="A5220" s="3">
        <v>41679</v>
      </c>
      <c r="B5220" s="2" t="s">
        <v>29</v>
      </c>
      <c r="C5220" s="2">
        <v>22</v>
      </c>
    </row>
    <row r="5221" spans="1:3" x14ac:dyDescent="0.25">
      <c r="A5221" s="3">
        <v>41780</v>
      </c>
      <c r="B5221" s="2" t="s">
        <v>23</v>
      </c>
      <c r="C5221" s="2">
        <v>21</v>
      </c>
    </row>
    <row r="5222" spans="1:3" x14ac:dyDescent="0.25">
      <c r="A5222" s="3">
        <v>41399</v>
      </c>
      <c r="B5222" s="2" t="s">
        <v>4</v>
      </c>
      <c r="C5222" s="2">
        <v>23</v>
      </c>
    </row>
    <row r="5223" spans="1:3" x14ac:dyDescent="0.25">
      <c r="A5223" s="3">
        <v>41948</v>
      </c>
      <c r="B5223" s="2" t="s">
        <v>9</v>
      </c>
      <c r="C5223" s="2">
        <v>28</v>
      </c>
    </row>
    <row r="5224" spans="1:3" x14ac:dyDescent="0.25">
      <c r="A5224" s="3">
        <v>41855</v>
      </c>
      <c r="B5224" s="2" t="s">
        <v>4</v>
      </c>
      <c r="C5224" s="2">
        <v>14</v>
      </c>
    </row>
    <row r="5225" spans="1:3" x14ac:dyDescent="0.25">
      <c r="A5225" s="3">
        <v>41451</v>
      </c>
      <c r="B5225" s="2" t="s">
        <v>42</v>
      </c>
      <c r="C5225" s="2">
        <v>28</v>
      </c>
    </row>
    <row r="5226" spans="1:3" x14ac:dyDescent="0.25">
      <c r="A5226" s="3">
        <v>41379</v>
      </c>
      <c r="B5226" s="2" t="s">
        <v>36</v>
      </c>
      <c r="C5226" s="2">
        <v>35</v>
      </c>
    </row>
    <row r="5227" spans="1:3" x14ac:dyDescent="0.25">
      <c r="A5227" s="3">
        <v>41791</v>
      </c>
      <c r="B5227" s="2" t="s">
        <v>27</v>
      </c>
      <c r="C5227" s="2">
        <v>15</v>
      </c>
    </row>
    <row r="5228" spans="1:3" x14ac:dyDescent="0.25">
      <c r="A5228" s="3">
        <v>41957</v>
      </c>
      <c r="B5228" s="2" t="s">
        <v>44</v>
      </c>
      <c r="C5228" s="2">
        <v>3</v>
      </c>
    </row>
    <row r="5229" spans="1:3" x14ac:dyDescent="0.25">
      <c r="A5229" s="3">
        <v>41650</v>
      </c>
      <c r="B5229" s="2" t="s">
        <v>5</v>
      </c>
      <c r="C5229" s="2">
        <v>12</v>
      </c>
    </row>
    <row r="5230" spans="1:3" x14ac:dyDescent="0.25">
      <c r="A5230" s="3">
        <v>41855</v>
      </c>
      <c r="B5230" s="2" t="s">
        <v>30</v>
      </c>
      <c r="C5230" s="2">
        <v>0</v>
      </c>
    </row>
    <row r="5231" spans="1:3" x14ac:dyDescent="0.25">
      <c r="A5231" s="3">
        <v>41448</v>
      </c>
      <c r="B5231" s="2" t="s">
        <v>47</v>
      </c>
      <c r="C5231" s="2">
        <v>42</v>
      </c>
    </row>
    <row r="5232" spans="1:3" x14ac:dyDescent="0.25">
      <c r="A5232" s="3">
        <v>41351</v>
      </c>
      <c r="B5232" s="2" t="s">
        <v>24</v>
      </c>
      <c r="C5232" s="2">
        <v>12</v>
      </c>
    </row>
    <row r="5233" spans="1:3" x14ac:dyDescent="0.25">
      <c r="A5233" s="3">
        <v>41576</v>
      </c>
      <c r="B5233" s="2" t="s">
        <v>10</v>
      </c>
      <c r="C5233" s="2">
        <v>30</v>
      </c>
    </row>
    <row r="5234" spans="1:3" x14ac:dyDescent="0.25">
      <c r="A5234" s="3">
        <v>41283</v>
      </c>
      <c r="B5234" s="2" t="s">
        <v>26</v>
      </c>
      <c r="C5234" s="2">
        <v>19</v>
      </c>
    </row>
    <row r="5235" spans="1:3" x14ac:dyDescent="0.25">
      <c r="A5235" s="3">
        <v>41883</v>
      </c>
      <c r="B5235" s="2" t="s">
        <v>10</v>
      </c>
      <c r="C5235" s="2">
        <v>26</v>
      </c>
    </row>
    <row r="5236" spans="1:3" x14ac:dyDescent="0.25">
      <c r="A5236" s="3">
        <v>41545</v>
      </c>
      <c r="B5236" s="2" t="s">
        <v>23</v>
      </c>
      <c r="C5236" s="2">
        <v>9</v>
      </c>
    </row>
    <row r="5237" spans="1:3" x14ac:dyDescent="0.25">
      <c r="A5237" s="3">
        <v>41566</v>
      </c>
      <c r="B5237" s="2" t="s">
        <v>26</v>
      </c>
      <c r="C5237" s="2">
        <v>24</v>
      </c>
    </row>
    <row r="5238" spans="1:3" x14ac:dyDescent="0.25">
      <c r="A5238" s="3">
        <v>41414</v>
      </c>
      <c r="B5238" s="2" t="s">
        <v>35</v>
      </c>
      <c r="C5238" s="2">
        <v>61</v>
      </c>
    </row>
    <row r="5239" spans="1:3" x14ac:dyDescent="0.25">
      <c r="A5239" s="3">
        <v>41489</v>
      </c>
      <c r="B5239" s="2" t="s">
        <v>20</v>
      </c>
      <c r="C5239" s="2">
        <v>27</v>
      </c>
    </row>
    <row r="5240" spans="1:3" x14ac:dyDescent="0.25">
      <c r="A5240" s="3">
        <v>41569</v>
      </c>
      <c r="B5240" s="2" t="s">
        <v>29</v>
      </c>
      <c r="C5240" s="2">
        <v>33</v>
      </c>
    </row>
    <row r="5241" spans="1:3" x14ac:dyDescent="0.25">
      <c r="A5241" s="3">
        <v>41512</v>
      </c>
      <c r="B5241" s="2" t="s">
        <v>35</v>
      </c>
      <c r="C5241" s="2">
        <v>27</v>
      </c>
    </row>
    <row r="5242" spans="1:3" x14ac:dyDescent="0.25">
      <c r="A5242" s="3">
        <v>41991</v>
      </c>
      <c r="B5242" s="2" t="s">
        <v>29</v>
      </c>
      <c r="C5242" s="2">
        <v>45</v>
      </c>
    </row>
    <row r="5243" spans="1:3" x14ac:dyDescent="0.25">
      <c r="A5243" s="3">
        <v>41902</v>
      </c>
      <c r="B5243" s="2" t="s">
        <v>12</v>
      </c>
      <c r="C5243" s="2">
        <v>23</v>
      </c>
    </row>
    <row r="5244" spans="1:3" x14ac:dyDescent="0.25">
      <c r="A5244" s="3">
        <v>41588</v>
      </c>
      <c r="B5244" s="2" t="s">
        <v>33</v>
      </c>
      <c r="C5244" s="2">
        <v>8</v>
      </c>
    </row>
    <row r="5245" spans="1:3" x14ac:dyDescent="0.25">
      <c r="A5245" s="3">
        <v>41671</v>
      </c>
      <c r="B5245" s="2" t="s">
        <v>22</v>
      </c>
      <c r="C5245" s="2">
        <v>34</v>
      </c>
    </row>
    <row r="5246" spans="1:3" x14ac:dyDescent="0.25">
      <c r="A5246" s="3">
        <v>41596</v>
      </c>
      <c r="B5246" s="2" t="s">
        <v>14</v>
      </c>
      <c r="C5246" s="2">
        <v>33</v>
      </c>
    </row>
    <row r="5247" spans="1:3" x14ac:dyDescent="0.25">
      <c r="A5247" s="3">
        <v>41944</v>
      </c>
      <c r="B5247" s="2" t="s">
        <v>6</v>
      </c>
      <c r="C5247" s="2">
        <v>20</v>
      </c>
    </row>
    <row r="5248" spans="1:3" x14ac:dyDescent="0.25">
      <c r="A5248" s="3">
        <v>41951</v>
      </c>
      <c r="B5248" s="2" t="s">
        <v>38</v>
      </c>
      <c r="C5248" s="2">
        <v>25</v>
      </c>
    </row>
    <row r="5249" spans="1:3" x14ac:dyDescent="0.25">
      <c r="A5249" s="3">
        <v>41921</v>
      </c>
      <c r="B5249" s="2" t="s">
        <v>3</v>
      </c>
      <c r="C5249" s="2">
        <v>8</v>
      </c>
    </row>
    <row r="5250" spans="1:3" x14ac:dyDescent="0.25">
      <c r="A5250" s="3">
        <v>41545</v>
      </c>
      <c r="B5250" s="2" t="s">
        <v>48</v>
      </c>
      <c r="C5250" s="2">
        <v>35</v>
      </c>
    </row>
    <row r="5251" spans="1:3" x14ac:dyDescent="0.25">
      <c r="A5251" s="3">
        <v>41795</v>
      </c>
      <c r="B5251" s="2" t="s">
        <v>2</v>
      </c>
      <c r="C5251" s="2">
        <v>25</v>
      </c>
    </row>
    <row r="5252" spans="1:3" x14ac:dyDescent="0.25">
      <c r="A5252" s="3">
        <v>41275</v>
      </c>
      <c r="B5252" s="2" t="s">
        <v>32</v>
      </c>
      <c r="C5252" s="2">
        <v>7</v>
      </c>
    </row>
    <row r="5253" spans="1:3" x14ac:dyDescent="0.25">
      <c r="A5253" s="3">
        <v>41291</v>
      </c>
      <c r="B5253" s="2" t="s">
        <v>14</v>
      </c>
      <c r="C5253" s="2">
        <v>16</v>
      </c>
    </row>
    <row r="5254" spans="1:3" x14ac:dyDescent="0.25">
      <c r="A5254" s="3">
        <v>41554</v>
      </c>
      <c r="B5254" s="2" t="s">
        <v>5</v>
      </c>
      <c r="C5254" s="2">
        <v>36</v>
      </c>
    </row>
    <row r="5255" spans="1:3" x14ac:dyDescent="0.25">
      <c r="A5255" s="3">
        <v>41683</v>
      </c>
      <c r="B5255" s="2" t="s">
        <v>8</v>
      </c>
      <c r="C5255" s="2">
        <v>16</v>
      </c>
    </row>
    <row r="5256" spans="1:3" x14ac:dyDescent="0.25">
      <c r="A5256" s="3">
        <v>41774</v>
      </c>
      <c r="B5256" s="2" t="s">
        <v>38</v>
      </c>
      <c r="C5256" s="2">
        <v>29</v>
      </c>
    </row>
    <row r="5257" spans="1:3" x14ac:dyDescent="0.25">
      <c r="A5257" s="3">
        <v>41860</v>
      </c>
      <c r="B5257" s="2" t="s">
        <v>33</v>
      </c>
      <c r="C5257" s="2">
        <v>55</v>
      </c>
    </row>
    <row r="5258" spans="1:3" x14ac:dyDescent="0.25">
      <c r="A5258" s="3">
        <v>41335</v>
      </c>
      <c r="B5258" s="2" t="s">
        <v>22</v>
      </c>
      <c r="C5258" s="2">
        <v>17</v>
      </c>
    </row>
    <row r="5259" spans="1:3" x14ac:dyDescent="0.25">
      <c r="A5259" s="3">
        <v>41692</v>
      </c>
      <c r="B5259" s="2" t="s">
        <v>19</v>
      </c>
      <c r="C5259" s="2">
        <v>31</v>
      </c>
    </row>
    <row r="5260" spans="1:3" x14ac:dyDescent="0.25">
      <c r="A5260" s="3">
        <v>41483</v>
      </c>
      <c r="B5260" s="2" t="s">
        <v>39</v>
      </c>
      <c r="C5260" s="2">
        <v>54</v>
      </c>
    </row>
    <row r="5261" spans="1:3" x14ac:dyDescent="0.25">
      <c r="A5261" s="3">
        <v>41403</v>
      </c>
      <c r="B5261" s="2" t="s">
        <v>26</v>
      </c>
      <c r="C5261" s="2">
        <v>18</v>
      </c>
    </row>
    <row r="5262" spans="1:3" x14ac:dyDescent="0.25">
      <c r="A5262" s="3">
        <v>41941</v>
      </c>
      <c r="B5262" s="2" t="s">
        <v>35</v>
      </c>
      <c r="C5262" s="2">
        <v>5</v>
      </c>
    </row>
    <row r="5263" spans="1:3" x14ac:dyDescent="0.25">
      <c r="A5263" s="3">
        <v>41689</v>
      </c>
      <c r="B5263" s="2" t="s">
        <v>3</v>
      </c>
      <c r="C5263" s="2">
        <v>9</v>
      </c>
    </row>
    <row r="5264" spans="1:3" x14ac:dyDescent="0.25">
      <c r="A5264" s="3">
        <v>41940</v>
      </c>
      <c r="B5264" s="2" t="s">
        <v>3</v>
      </c>
      <c r="C5264" s="2">
        <v>16</v>
      </c>
    </row>
    <row r="5265" spans="1:3" x14ac:dyDescent="0.25">
      <c r="A5265" s="3">
        <v>41284</v>
      </c>
      <c r="B5265" s="2" t="s">
        <v>2</v>
      </c>
      <c r="C5265" s="2">
        <v>28</v>
      </c>
    </row>
    <row r="5266" spans="1:3" x14ac:dyDescent="0.25">
      <c r="A5266" s="3">
        <v>41993</v>
      </c>
      <c r="B5266" s="2" t="s">
        <v>39</v>
      </c>
      <c r="C5266" s="2">
        <v>20</v>
      </c>
    </row>
    <row r="5267" spans="1:3" x14ac:dyDescent="0.25">
      <c r="A5267" s="3">
        <v>41490</v>
      </c>
      <c r="B5267" s="2" t="s">
        <v>32</v>
      </c>
      <c r="C5267" s="2">
        <v>10</v>
      </c>
    </row>
    <row r="5268" spans="1:3" x14ac:dyDescent="0.25">
      <c r="A5268" s="3">
        <v>41595</v>
      </c>
      <c r="B5268" s="2" t="s">
        <v>22</v>
      </c>
      <c r="C5268" s="2">
        <v>42</v>
      </c>
    </row>
    <row r="5269" spans="1:3" x14ac:dyDescent="0.25">
      <c r="A5269" s="3">
        <v>41597</v>
      </c>
      <c r="B5269" s="2" t="s">
        <v>30</v>
      </c>
      <c r="C5269" s="2">
        <v>16</v>
      </c>
    </row>
    <row r="5270" spans="1:3" x14ac:dyDescent="0.25">
      <c r="A5270" s="3">
        <v>41984</v>
      </c>
      <c r="B5270" s="2" t="s">
        <v>27</v>
      </c>
      <c r="C5270" s="2">
        <v>18</v>
      </c>
    </row>
    <row r="5271" spans="1:3" x14ac:dyDescent="0.25">
      <c r="A5271" s="3">
        <v>41392</v>
      </c>
      <c r="B5271" s="2" t="s">
        <v>20</v>
      </c>
      <c r="C5271" s="2">
        <v>30</v>
      </c>
    </row>
    <row r="5272" spans="1:3" x14ac:dyDescent="0.25">
      <c r="A5272" s="3">
        <v>41514</v>
      </c>
      <c r="B5272" s="2" t="s">
        <v>16</v>
      </c>
      <c r="C5272" s="2">
        <v>64</v>
      </c>
    </row>
    <row r="5273" spans="1:3" x14ac:dyDescent="0.25">
      <c r="A5273" s="3">
        <v>41628</v>
      </c>
      <c r="B5273" s="2" t="s">
        <v>46</v>
      </c>
      <c r="C5273" s="2">
        <v>28</v>
      </c>
    </row>
    <row r="5274" spans="1:3" x14ac:dyDescent="0.25">
      <c r="A5274" s="3">
        <v>41913</v>
      </c>
      <c r="B5274" s="2" t="s">
        <v>5</v>
      </c>
      <c r="C5274" s="2">
        <v>32</v>
      </c>
    </row>
    <row r="5275" spans="1:3" x14ac:dyDescent="0.25">
      <c r="A5275" s="3">
        <v>41858</v>
      </c>
      <c r="B5275" s="2" t="s">
        <v>35</v>
      </c>
      <c r="C5275" s="2">
        <v>33</v>
      </c>
    </row>
    <row r="5276" spans="1:3" x14ac:dyDescent="0.25">
      <c r="A5276" s="3">
        <v>41360</v>
      </c>
      <c r="B5276" s="2" t="s">
        <v>35</v>
      </c>
      <c r="C5276" s="2">
        <v>54</v>
      </c>
    </row>
    <row r="5277" spans="1:3" x14ac:dyDescent="0.25">
      <c r="A5277" s="3">
        <v>41798</v>
      </c>
      <c r="B5277" s="2" t="s">
        <v>48</v>
      </c>
      <c r="C5277" s="2">
        <v>11</v>
      </c>
    </row>
    <row r="5278" spans="1:3" x14ac:dyDescent="0.25">
      <c r="A5278" s="3">
        <v>41697</v>
      </c>
      <c r="B5278" s="2" t="s">
        <v>26</v>
      </c>
      <c r="C5278" s="2">
        <v>4</v>
      </c>
    </row>
    <row r="5279" spans="1:3" x14ac:dyDescent="0.25">
      <c r="A5279" s="3">
        <v>42001</v>
      </c>
      <c r="B5279" s="2" t="s">
        <v>39</v>
      </c>
      <c r="C5279" s="2">
        <v>3</v>
      </c>
    </row>
    <row r="5280" spans="1:3" x14ac:dyDescent="0.25">
      <c r="A5280" s="3">
        <v>41982</v>
      </c>
      <c r="B5280" s="2" t="s">
        <v>27</v>
      </c>
      <c r="C5280" s="2">
        <v>24</v>
      </c>
    </row>
    <row r="5281" spans="1:3" x14ac:dyDescent="0.25">
      <c r="A5281" s="3">
        <v>41821</v>
      </c>
      <c r="B5281" s="2" t="s">
        <v>21</v>
      </c>
      <c r="C5281" s="2">
        <v>4</v>
      </c>
    </row>
    <row r="5282" spans="1:3" x14ac:dyDescent="0.25">
      <c r="A5282" s="3">
        <v>41835</v>
      </c>
      <c r="B5282" s="2" t="s">
        <v>9</v>
      </c>
      <c r="C5282" s="2">
        <v>32</v>
      </c>
    </row>
    <row r="5283" spans="1:3" x14ac:dyDescent="0.25">
      <c r="A5283" s="3">
        <v>41449</v>
      </c>
      <c r="B5283" s="2" t="s">
        <v>40</v>
      </c>
      <c r="C5283" s="2">
        <v>28</v>
      </c>
    </row>
    <row r="5284" spans="1:3" x14ac:dyDescent="0.25">
      <c r="A5284" s="3">
        <v>41417</v>
      </c>
      <c r="B5284" s="2" t="s">
        <v>37</v>
      </c>
      <c r="C5284" s="2">
        <v>0</v>
      </c>
    </row>
    <row r="5285" spans="1:3" x14ac:dyDescent="0.25">
      <c r="A5285" s="3">
        <v>41696</v>
      </c>
      <c r="B5285" s="2" t="s">
        <v>42</v>
      </c>
      <c r="C5285" s="2">
        <v>30</v>
      </c>
    </row>
    <row r="5286" spans="1:3" x14ac:dyDescent="0.25">
      <c r="A5286" s="3">
        <v>41635</v>
      </c>
      <c r="B5286" s="2" t="s">
        <v>44</v>
      </c>
      <c r="C5286" s="2">
        <v>27</v>
      </c>
    </row>
    <row r="5287" spans="1:3" x14ac:dyDescent="0.25">
      <c r="A5287" s="3">
        <v>41606</v>
      </c>
      <c r="B5287" s="2" t="s">
        <v>16</v>
      </c>
      <c r="C5287" s="2">
        <v>3</v>
      </c>
    </row>
    <row r="5288" spans="1:3" x14ac:dyDescent="0.25">
      <c r="A5288" s="3">
        <v>41325</v>
      </c>
      <c r="B5288" s="2" t="s">
        <v>32</v>
      </c>
      <c r="C5288" s="2">
        <v>21</v>
      </c>
    </row>
    <row r="5289" spans="1:3" x14ac:dyDescent="0.25">
      <c r="A5289" s="3">
        <v>41436</v>
      </c>
      <c r="B5289" s="2" t="s">
        <v>21</v>
      </c>
      <c r="C5289" s="2">
        <v>24</v>
      </c>
    </row>
    <row r="5290" spans="1:3" x14ac:dyDescent="0.25">
      <c r="A5290" s="3">
        <v>41343</v>
      </c>
      <c r="B5290" s="2" t="s">
        <v>15</v>
      </c>
      <c r="C5290" s="2">
        <v>27</v>
      </c>
    </row>
    <row r="5291" spans="1:3" x14ac:dyDescent="0.25">
      <c r="A5291" s="3">
        <v>41371</v>
      </c>
      <c r="B5291" s="2" t="s">
        <v>7</v>
      </c>
      <c r="C5291" s="2">
        <v>13</v>
      </c>
    </row>
    <row r="5292" spans="1:3" x14ac:dyDescent="0.25">
      <c r="A5292" s="3">
        <v>41418</v>
      </c>
      <c r="B5292" s="2" t="s">
        <v>24</v>
      </c>
      <c r="C5292" s="2">
        <v>22</v>
      </c>
    </row>
    <row r="5293" spans="1:3" x14ac:dyDescent="0.25">
      <c r="A5293" s="3">
        <v>41661</v>
      </c>
      <c r="B5293" s="2" t="s">
        <v>36</v>
      </c>
      <c r="C5293" s="2">
        <v>31</v>
      </c>
    </row>
    <row r="5294" spans="1:3" x14ac:dyDescent="0.25">
      <c r="A5294" s="3">
        <v>41933</v>
      </c>
      <c r="B5294" s="2" t="s">
        <v>21</v>
      </c>
      <c r="C5294" s="2">
        <v>25</v>
      </c>
    </row>
    <row r="5295" spans="1:3" x14ac:dyDescent="0.25">
      <c r="A5295" s="3">
        <v>41946</v>
      </c>
      <c r="B5295" s="2" t="s">
        <v>26</v>
      </c>
      <c r="C5295" s="2">
        <v>5</v>
      </c>
    </row>
    <row r="5296" spans="1:3" x14ac:dyDescent="0.25">
      <c r="A5296" s="3">
        <v>41714</v>
      </c>
      <c r="B5296" s="2" t="s">
        <v>49</v>
      </c>
      <c r="C5296" s="2">
        <v>14</v>
      </c>
    </row>
    <row r="5297" spans="1:3" x14ac:dyDescent="0.25">
      <c r="A5297" s="3">
        <v>41303</v>
      </c>
      <c r="B5297" s="2" t="s">
        <v>8</v>
      </c>
      <c r="C5297" s="2">
        <v>35</v>
      </c>
    </row>
    <row r="5298" spans="1:3" x14ac:dyDescent="0.25">
      <c r="A5298" s="3">
        <v>41721</v>
      </c>
      <c r="B5298" s="2" t="s">
        <v>33</v>
      </c>
      <c r="C5298" s="2">
        <v>18</v>
      </c>
    </row>
    <row r="5299" spans="1:3" x14ac:dyDescent="0.25">
      <c r="A5299" s="3">
        <v>41336</v>
      </c>
      <c r="B5299" s="2" t="s">
        <v>43</v>
      </c>
      <c r="C5299" s="2">
        <v>5</v>
      </c>
    </row>
    <row r="5300" spans="1:3" x14ac:dyDescent="0.25">
      <c r="A5300" s="3">
        <v>41630</v>
      </c>
      <c r="B5300" s="2" t="s">
        <v>2</v>
      </c>
      <c r="C5300" s="2">
        <v>31</v>
      </c>
    </row>
    <row r="5301" spans="1:3" x14ac:dyDescent="0.25">
      <c r="A5301" s="3">
        <v>41967</v>
      </c>
      <c r="B5301" s="2" t="s">
        <v>27</v>
      </c>
      <c r="C5301" s="2">
        <v>15</v>
      </c>
    </row>
    <row r="5302" spans="1:3" x14ac:dyDescent="0.25">
      <c r="A5302" s="3">
        <v>41442</v>
      </c>
      <c r="B5302" s="2" t="s">
        <v>3</v>
      </c>
      <c r="C5302" s="2">
        <v>24</v>
      </c>
    </row>
    <row r="5303" spans="1:3" x14ac:dyDescent="0.25">
      <c r="A5303" s="3">
        <v>41289</v>
      </c>
      <c r="B5303" s="2" t="s">
        <v>49</v>
      </c>
      <c r="C5303" s="2">
        <v>47</v>
      </c>
    </row>
    <row r="5304" spans="1:3" x14ac:dyDescent="0.25">
      <c r="A5304" s="3">
        <v>41354</v>
      </c>
      <c r="B5304" s="2" t="s">
        <v>22</v>
      </c>
      <c r="C5304" s="2">
        <v>14</v>
      </c>
    </row>
    <row r="5305" spans="1:3" x14ac:dyDescent="0.25">
      <c r="A5305" s="3">
        <v>41576</v>
      </c>
      <c r="B5305" s="2" t="s">
        <v>5</v>
      </c>
      <c r="C5305" s="2">
        <v>31</v>
      </c>
    </row>
    <row r="5306" spans="1:3" x14ac:dyDescent="0.25">
      <c r="A5306" s="3">
        <v>41513</v>
      </c>
      <c r="B5306" s="2" t="s">
        <v>30</v>
      </c>
      <c r="C5306" s="2">
        <v>34</v>
      </c>
    </row>
    <row r="5307" spans="1:3" x14ac:dyDescent="0.25">
      <c r="A5307" s="3">
        <v>41787</v>
      </c>
      <c r="B5307" s="2" t="s">
        <v>7</v>
      </c>
      <c r="C5307" s="2">
        <v>44</v>
      </c>
    </row>
    <row r="5308" spans="1:3" x14ac:dyDescent="0.25">
      <c r="A5308" s="3">
        <v>41651</v>
      </c>
      <c r="B5308" s="2" t="s">
        <v>7</v>
      </c>
      <c r="C5308" s="2">
        <v>7</v>
      </c>
    </row>
    <row r="5309" spans="1:3" x14ac:dyDescent="0.25">
      <c r="A5309" s="3">
        <v>41730</v>
      </c>
      <c r="B5309" s="2" t="s">
        <v>24</v>
      </c>
      <c r="C5309" s="2">
        <v>25</v>
      </c>
    </row>
    <row r="5310" spans="1:3" x14ac:dyDescent="0.25">
      <c r="A5310" s="3">
        <v>41874</v>
      </c>
      <c r="B5310" s="2" t="s">
        <v>14</v>
      </c>
      <c r="C5310" s="2">
        <v>21</v>
      </c>
    </row>
    <row r="5311" spans="1:3" x14ac:dyDescent="0.25">
      <c r="A5311" s="3">
        <v>41598</v>
      </c>
      <c r="B5311" s="2" t="s">
        <v>31</v>
      </c>
      <c r="C5311" s="2">
        <v>40</v>
      </c>
    </row>
    <row r="5312" spans="1:3" x14ac:dyDescent="0.25">
      <c r="A5312" s="3">
        <v>41847</v>
      </c>
      <c r="B5312" s="2" t="s">
        <v>18</v>
      </c>
      <c r="C5312" s="2">
        <v>20</v>
      </c>
    </row>
    <row r="5313" spans="1:3" x14ac:dyDescent="0.25">
      <c r="A5313" s="3">
        <v>41907</v>
      </c>
      <c r="B5313" s="2" t="s">
        <v>49</v>
      </c>
      <c r="C5313" s="2">
        <v>12</v>
      </c>
    </row>
    <row r="5314" spans="1:3" x14ac:dyDescent="0.25">
      <c r="A5314" s="3">
        <v>41648</v>
      </c>
      <c r="B5314" s="2" t="s">
        <v>15</v>
      </c>
      <c r="C5314" s="2">
        <v>38</v>
      </c>
    </row>
    <row r="5315" spans="1:3" x14ac:dyDescent="0.25">
      <c r="A5315" s="3">
        <v>41886</v>
      </c>
      <c r="B5315" s="2" t="s">
        <v>37</v>
      </c>
      <c r="C5315" s="2">
        <v>1</v>
      </c>
    </row>
    <row r="5316" spans="1:3" x14ac:dyDescent="0.25">
      <c r="A5316" s="3">
        <v>41560</v>
      </c>
      <c r="B5316" s="2" t="s">
        <v>21</v>
      </c>
      <c r="C5316" s="2">
        <v>39</v>
      </c>
    </row>
    <row r="5317" spans="1:3" x14ac:dyDescent="0.25">
      <c r="A5317" s="3">
        <v>41844</v>
      </c>
      <c r="B5317" s="2" t="s">
        <v>26</v>
      </c>
      <c r="C5317" s="2">
        <v>65</v>
      </c>
    </row>
    <row r="5318" spans="1:3" x14ac:dyDescent="0.25">
      <c r="A5318" s="3">
        <v>41469</v>
      </c>
      <c r="B5318" s="2" t="s">
        <v>28</v>
      </c>
      <c r="C5318" s="2">
        <v>31</v>
      </c>
    </row>
    <row r="5319" spans="1:3" x14ac:dyDescent="0.25">
      <c r="A5319" s="3">
        <v>41294</v>
      </c>
      <c r="B5319" s="2" t="s">
        <v>41</v>
      </c>
      <c r="C5319" s="2">
        <v>26</v>
      </c>
    </row>
    <row r="5320" spans="1:3" x14ac:dyDescent="0.25">
      <c r="A5320" s="3">
        <v>41431</v>
      </c>
      <c r="B5320" s="2" t="s">
        <v>42</v>
      </c>
      <c r="C5320" s="2">
        <v>22</v>
      </c>
    </row>
    <row r="5321" spans="1:3" x14ac:dyDescent="0.25">
      <c r="A5321" s="3">
        <v>41996</v>
      </c>
      <c r="B5321" s="2" t="s">
        <v>33</v>
      </c>
      <c r="C5321" s="2">
        <v>8</v>
      </c>
    </row>
    <row r="5322" spans="1:3" x14ac:dyDescent="0.25">
      <c r="A5322" s="3">
        <v>41303</v>
      </c>
      <c r="B5322" s="2" t="s">
        <v>12</v>
      </c>
      <c r="C5322" s="2">
        <v>45</v>
      </c>
    </row>
    <row r="5323" spans="1:3" x14ac:dyDescent="0.25">
      <c r="A5323" s="3">
        <v>41473</v>
      </c>
      <c r="B5323" s="2" t="s">
        <v>40</v>
      </c>
      <c r="C5323" s="2">
        <v>36</v>
      </c>
    </row>
    <row r="5324" spans="1:3" x14ac:dyDescent="0.25">
      <c r="A5324" s="3">
        <v>41763</v>
      </c>
      <c r="B5324" s="2" t="s">
        <v>39</v>
      </c>
      <c r="C5324" s="2">
        <v>49</v>
      </c>
    </row>
    <row r="5325" spans="1:3" x14ac:dyDescent="0.25">
      <c r="A5325" s="3">
        <v>41973</v>
      </c>
      <c r="B5325" s="2" t="s">
        <v>37</v>
      </c>
      <c r="C5325" s="2">
        <v>53</v>
      </c>
    </row>
    <row r="5326" spans="1:3" x14ac:dyDescent="0.25">
      <c r="A5326" s="3">
        <v>41566</v>
      </c>
      <c r="B5326" s="2" t="s">
        <v>9</v>
      </c>
      <c r="C5326" s="2">
        <v>5</v>
      </c>
    </row>
    <row r="5327" spans="1:3" x14ac:dyDescent="0.25">
      <c r="A5327" s="3">
        <v>41381</v>
      </c>
      <c r="B5327" s="2" t="s">
        <v>35</v>
      </c>
      <c r="C5327" s="2">
        <v>50</v>
      </c>
    </row>
    <row r="5328" spans="1:3" x14ac:dyDescent="0.25">
      <c r="A5328" s="3">
        <v>41716</v>
      </c>
      <c r="B5328" s="2" t="s">
        <v>27</v>
      </c>
      <c r="C5328" s="2">
        <v>22</v>
      </c>
    </row>
    <row r="5329" spans="1:3" x14ac:dyDescent="0.25">
      <c r="A5329" s="3">
        <v>41418</v>
      </c>
      <c r="B5329" s="2" t="s">
        <v>7</v>
      </c>
      <c r="C5329" s="2">
        <v>4</v>
      </c>
    </row>
    <row r="5330" spans="1:3" x14ac:dyDescent="0.25">
      <c r="A5330" s="3">
        <v>41873</v>
      </c>
      <c r="B5330" s="2" t="s">
        <v>36</v>
      </c>
      <c r="C5330" s="2">
        <v>5</v>
      </c>
    </row>
    <row r="5331" spans="1:3" x14ac:dyDescent="0.25">
      <c r="A5331" s="3">
        <v>41452</v>
      </c>
      <c r="B5331" s="2" t="s">
        <v>47</v>
      </c>
      <c r="C5331" s="2">
        <v>29</v>
      </c>
    </row>
    <row r="5332" spans="1:3" x14ac:dyDescent="0.25">
      <c r="A5332" s="3">
        <v>41441</v>
      </c>
      <c r="B5332" s="2" t="s">
        <v>3</v>
      </c>
      <c r="C5332" s="2">
        <v>22</v>
      </c>
    </row>
    <row r="5333" spans="1:3" x14ac:dyDescent="0.25">
      <c r="A5333" s="3">
        <v>41421</v>
      </c>
      <c r="B5333" s="2" t="s">
        <v>9</v>
      </c>
      <c r="C5333" s="2">
        <v>20</v>
      </c>
    </row>
    <row r="5334" spans="1:3" x14ac:dyDescent="0.25">
      <c r="A5334" s="3">
        <v>41584</v>
      </c>
      <c r="B5334" s="2" t="s">
        <v>49</v>
      </c>
      <c r="C5334" s="2">
        <v>3</v>
      </c>
    </row>
    <row r="5335" spans="1:3" x14ac:dyDescent="0.25">
      <c r="A5335" s="3">
        <v>41565</v>
      </c>
      <c r="B5335" s="2" t="s">
        <v>8</v>
      </c>
      <c r="C5335" s="2">
        <v>29</v>
      </c>
    </row>
    <row r="5336" spans="1:3" x14ac:dyDescent="0.25">
      <c r="A5336" s="3">
        <v>41783</v>
      </c>
      <c r="B5336" s="2" t="s">
        <v>43</v>
      </c>
      <c r="C5336" s="2">
        <v>4</v>
      </c>
    </row>
    <row r="5337" spans="1:3" x14ac:dyDescent="0.25">
      <c r="A5337" s="3">
        <v>41767</v>
      </c>
      <c r="B5337" s="2" t="s">
        <v>9</v>
      </c>
      <c r="C5337" s="2">
        <v>25</v>
      </c>
    </row>
    <row r="5338" spans="1:3" x14ac:dyDescent="0.25">
      <c r="A5338" s="3">
        <v>41678</v>
      </c>
      <c r="B5338" s="2" t="s">
        <v>22</v>
      </c>
      <c r="C5338" s="2">
        <v>15</v>
      </c>
    </row>
    <row r="5339" spans="1:3" x14ac:dyDescent="0.25">
      <c r="A5339" s="3">
        <v>41713</v>
      </c>
      <c r="B5339" s="2" t="s">
        <v>43</v>
      </c>
      <c r="C5339" s="2">
        <v>15</v>
      </c>
    </row>
    <row r="5340" spans="1:3" x14ac:dyDescent="0.25">
      <c r="A5340" s="3">
        <v>41447</v>
      </c>
      <c r="B5340" s="2" t="s">
        <v>43</v>
      </c>
      <c r="C5340" s="2">
        <v>20</v>
      </c>
    </row>
    <row r="5341" spans="1:3" x14ac:dyDescent="0.25">
      <c r="A5341" s="3">
        <v>41972</v>
      </c>
      <c r="B5341" s="2" t="s">
        <v>51</v>
      </c>
      <c r="C5341" s="2">
        <v>54</v>
      </c>
    </row>
    <row r="5342" spans="1:3" x14ac:dyDescent="0.25">
      <c r="A5342" s="3">
        <v>41472</v>
      </c>
      <c r="B5342" s="2" t="s">
        <v>30</v>
      </c>
      <c r="C5342" s="2">
        <v>13</v>
      </c>
    </row>
    <row r="5343" spans="1:3" x14ac:dyDescent="0.25">
      <c r="A5343" s="3">
        <v>41846</v>
      </c>
      <c r="B5343" s="2" t="s">
        <v>36</v>
      </c>
      <c r="C5343" s="2">
        <v>32</v>
      </c>
    </row>
    <row r="5344" spans="1:3" x14ac:dyDescent="0.25">
      <c r="A5344" s="3">
        <v>41326</v>
      </c>
      <c r="B5344" s="2" t="s">
        <v>11</v>
      </c>
      <c r="C5344" s="2">
        <v>7</v>
      </c>
    </row>
    <row r="5345" spans="1:3" x14ac:dyDescent="0.25">
      <c r="A5345" s="3">
        <v>41632</v>
      </c>
      <c r="B5345" s="2" t="s">
        <v>7</v>
      </c>
      <c r="C5345" s="2">
        <v>31</v>
      </c>
    </row>
    <row r="5346" spans="1:3" x14ac:dyDescent="0.25">
      <c r="A5346" s="3">
        <v>41350</v>
      </c>
      <c r="B5346" s="2" t="s">
        <v>25</v>
      </c>
      <c r="C5346" s="2">
        <v>12</v>
      </c>
    </row>
    <row r="5347" spans="1:3" x14ac:dyDescent="0.25">
      <c r="A5347" s="3">
        <v>41605</v>
      </c>
      <c r="B5347" s="2" t="s">
        <v>39</v>
      </c>
      <c r="C5347" s="2">
        <v>0</v>
      </c>
    </row>
    <row r="5348" spans="1:3" x14ac:dyDescent="0.25">
      <c r="A5348" s="3">
        <v>41728</v>
      </c>
      <c r="B5348" s="2" t="s">
        <v>10</v>
      </c>
      <c r="C5348" s="2">
        <v>13</v>
      </c>
    </row>
    <row r="5349" spans="1:3" x14ac:dyDescent="0.25">
      <c r="A5349" s="3">
        <v>41711</v>
      </c>
      <c r="B5349" s="2" t="s">
        <v>25</v>
      </c>
      <c r="C5349" s="2">
        <v>38</v>
      </c>
    </row>
    <row r="5350" spans="1:3" x14ac:dyDescent="0.25">
      <c r="A5350" s="3">
        <v>41659</v>
      </c>
      <c r="B5350" s="2" t="s">
        <v>3</v>
      </c>
      <c r="C5350" s="2">
        <v>2</v>
      </c>
    </row>
    <row r="5351" spans="1:3" x14ac:dyDescent="0.25">
      <c r="A5351" s="3">
        <v>41897</v>
      </c>
      <c r="B5351" s="2" t="s">
        <v>25</v>
      </c>
      <c r="C5351" s="2">
        <v>26</v>
      </c>
    </row>
    <row r="5352" spans="1:3" x14ac:dyDescent="0.25">
      <c r="A5352" s="3">
        <v>41276</v>
      </c>
      <c r="B5352" s="2" t="s">
        <v>11</v>
      </c>
      <c r="C5352" s="2">
        <v>12</v>
      </c>
    </row>
    <row r="5353" spans="1:3" x14ac:dyDescent="0.25">
      <c r="A5353" s="3">
        <v>41576</v>
      </c>
      <c r="B5353" s="2" t="s">
        <v>30</v>
      </c>
      <c r="C5353" s="2">
        <v>8</v>
      </c>
    </row>
    <row r="5354" spans="1:3" x14ac:dyDescent="0.25">
      <c r="A5354" s="3">
        <v>41513</v>
      </c>
      <c r="B5354" s="2" t="s">
        <v>12</v>
      </c>
      <c r="C5354" s="2">
        <v>23</v>
      </c>
    </row>
    <row r="5355" spans="1:3" x14ac:dyDescent="0.25">
      <c r="A5355" s="3">
        <v>41954</v>
      </c>
      <c r="B5355" s="2" t="s">
        <v>39</v>
      </c>
      <c r="C5355" s="2">
        <v>46</v>
      </c>
    </row>
    <row r="5356" spans="1:3" x14ac:dyDescent="0.25">
      <c r="A5356" s="3">
        <v>41745</v>
      </c>
      <c r="B5356" s="2" t="s">
        <v>2</v>
      </c>
      <c r="C5356" s="2">
        <v>35</v>
      </c>
    </row>
    <row r="5357" spans="1:3" x14ac:dyDescent="0.25">
      <c r="A5357" s="3">
        <v>41801</v>
      </c>
      <c r="B5357" s="2" t="s">
        <v>45</v>
      </c>
      <c r="C5357" s="2">
        <v>13</v>
      </c>
    </row>
    <row r="5358" spans="1:3" x14ac:dyDescent="0.25">
      <c r="A5358" s="3">
        <v>41428</v>
      </c>
      <c r="B5358" s="2" t="s">
        <v>7</v>
      </c>
      <c r="C5358" s="2">
        <v>6</v>
      </c>
    </row>
    <row r="5359" spans="1:3" x14ac:dyDescent="0.25">
      <c r="A5359" s="3">
        <v>41438</v>
      </c>
      <c r="B5359" s="2" t="s">
        <v>25</v>
      </c>
      <c r="C5359" s="2">
        <v>38</v>
      </c>
    </row>
    <row r="5360" spans="1:3" x14ac:dyDescent="0.25">
      <c r="A5360" s="3">
        <v>41821</v>
      </c>
      <c r="B5360" s="2" t="s">
        <v>9</v>
      </c>
      <c r="C5360" s="2">
        <v>14</v>
      </c>
    </row>
    <row r="5361" spans="1:3" x14ac:dyDescent="0.25">
      <c r="A5361" s="3">
        <v>41703</v>
      </c>
      <c r="B5361" s="2" t="s">
        <v>12</v>
      </c>
      <c r="C5361" s="2">
        <v>13</v>
      </c>
    </row>
    <row r="5362" spans="1:3" x14ac:dyDescent="0.25">
      <c r="A5362" s="3">
        <v>41321</v>
      </c>
      <c r="B5362" s="2" t="s">
        <v>37</v>
      </c>
      <c r="C5362" s="2">
        <v>20</v>
      </c>
    </row>
    <row r="5363" spans="1:3" x14ac:dyDescent="0.25">
      <c r="A5363" s="3">
        <v>41558</v>
      </c>
      <c r="B5363" s="2" t="s">
        <v>37</v>
      </c>
      <c r="C5363" s="2">
        <v>35</v>
      </c>
    </row>
    <row r="5364" spans="1:3" x14ac:dyDescent="0.25">
      <c r="A5364" s="3">
        <v>41736</v>
      </c>
      <c r="B5364" s="2" t="s">
        <v>46</v>
      </c>
      <c r="C5364" s="2">
        <v>38</v>
      </c>
    </row>
    <row r="5365" spans="1:3" x14ac:dyDescent="0.25">
      <c r="A5365" s="3">
        <v>41478</v>
      </c>
      <c r="B5365" s="2" t="s">
        <v>50</v>
      </c>
      <c r="C5365" s="2">
        <v>4</v>
      </c>
    </row>
    <row r="5366" spans="1:3" x14ac:dyDescent="0.25">
      <c r="A5366" s="3">
        <v>41579</v>
      </c>
      <c r="B5366" s="2" t="s">
        <v>27</v>
      </c>
      <c r="C5366" s="2">
        <v>23</v>
      </c>
    </row>
    <row r="5367" spans="1:3" x14ac:dyDescent="0.25">
      <c r="A5367" s="3">
        <v>41320</v>
      </c>
      <c r="B5367" s="2" t="s">
        <v>38</v>
      </c>
      <c r="C5367" s="2">
        <v>9</v>
      </c>
    </row>
    <row r="5368" spans="1:3" x14ac:dyDescent="0.25">
      <c r="A5368" s="3">
        <v>41528</v>
      </c>
      <c r="B5368" s="2" t="s">
        <v>27</v>
      </c>
      <c r="C5368" s="2">
        <v>4</v>
      </c>
    </row>
    <row r="5369" spans="1:3" x14ac:dyDescent="0.25">
      <c r="A5369" s="3">
        <v>41501</v>
      </c>
      <c r="B5369" s="2" t="s">
        <v>32</v>
      </c>
      <c r="C5369" s="2">
        <v>56</v>
      </c>
    </row>
    <row r="5370" spans="1:3" x14ac:dyDescent="0.25">
      <c r="A5370" s="3">
        <v>41663</v>
      </c>
      <c r="B5370" s="2" t="s">
        <v>39</v>
      </c>
      <c r="C5370" s="2">
        <v>39</v>
      </c>
    </row>
    <row r="5371" spans="1:3" x14ac:dyDescent="0.25">
      <c r="A5371" s="3">
        <v>41290</v>
      </c>
      <c r="B5371" s="2" t="s">
        <v>36</v>
      </c>
      <c r="C5371" s="2">
        <v>32</v>
      </c>
    </row>
    <row r="5372" spans="1:3" x14ac:dyDescent="0.25">
      <c r="A5372" s="3">
        <v>41727</v>
      </c>
      <c r="B5372" s="2" t="s">
        <v>4</v>
      </c>
      <c r="C5372" s="2">
        <v>25</v>
      </c>
    </row>
    <row r="5373" spans="1:3" x14ac:dyDescent="0.25">
      <c r="A5373" s="3">
        <v>41476</v>
      </c>
      <c r="B5373" s="2" t="s">
        <v>25</v>
      </c>
      <c r="C5373" s="2">
        <v>24</v>
      </c>
    </row>
    <row r="5374" spans="1:3" x14ac:dyDescent="0.25">
      <c r="A5374" s="3">
        <v>41494</v>
      </c>
      <c r="B5374" s="2" t="s">
        <v>51</v>
      </c>
      <c r="C5374" s="2">
        <v>31</v>
      </c>
    </row>
    <row r="5375" spans="1:3" x14ac:dyDescent="0.25">
      <c r="A5375" s="3">
        <v>41889</v>
      </c>
      <c r="B5375" s="2" t="s">
        <v>7</v>
      </c>
      <c r="C5375" s="2">
        <v>11</v>
      </c>
    </row>
    <row r="5376" spans="1:3" x14ac:dyDescent="0.25">
      <c r="A5376" s="3">
        <v>41680</v>
      </c>
      <c r="B5376" s="2" t="s">
        <v>24</v>
      </c>
      <c r="C5376" s="2">
        <v>15</v>
      </c>
    </row>
    <row r="5377" spans="1:3" x14ac:dyDescent="0.25">
      <c r="A5377" s="3">
        <v>41628</v>
      </c>
      <c r="B5377" s="2" t="s">
        <v>30</v>
      </c>
      <c r="C5377" s="2">
        <v>28</v>
      </c>
    </row>
    <row r="5378" spans="1:3" x14ac:dyDescent="0.25">
      <c r="A5378" s="3">
        <v>41556</v>
      </c>
      <c r="B5378" s="2" t="s">
        <v>51</v>
      </c>
      <c r="C5378" s="2">
        <v>16</v>
      </c>
    </row>
    <row r="5379" spans="1:3" x14ac:dyDescent="0.25">
      <c r="A5379" s="3">
        <v>41887</v>
      </c>
      <c r="B5379" s="2" t="s">
        <v>32</v>
      </c>
      <c r="C5379" s="2">
        <v>50</v>
      </c>
    </row>
    <row r="5380" spans="1:3" x14ac:dyDescent="0.25">
      <c r="A5380" s="3">
        <v>41961</v>
      </c>
      <c r="B5380" s="2" t="s">
        <v>33</v>
      </c>
      <c r="C5380" s="2">
        <v>23</v>
      </c>
    </row>
    <row r="5381" spans="1:3" x14ac:dyDescent="0.25">
      <c r="A5381" s="3">
        <v>41995</v>
      </c>
      <c r="B5381" s="2" t="s">
        <v>38</v>
      </c>
      <c r="C5381" s="2">
        <v>24</v>
      </c>
    </row>
    <row r="5382" spans="1:3" x14ac:dyDescent="0.25">
      <c r="A5382" s="3">
        <v>41504</v>
      </c>
      <c r="B5382" s="2" t="s">
        <v>48</v>
      </c>
      <c r="C5382" s="2">
        <v>44</v>
      </c>
    </row>
    <row r="5383" spans="1:3" x14ac:dyDescent="0.25">
      <c r="A5383" s="3">
        <v>41643</v>
      </c>
      <c r="B5383" s="2" t="s">
        <v>4</v>
      </c>
      <c r="C5383" s="2">
        <v>13</v>
      </c>
    </row>
    <row r="5384" spans="1:3" x14ac:dyDescent="0.25">
      <c r="A5384" s="3">
        <v>41518</v>
      </c>
      <c r="B5384" s="2" t="s">
        <v>26</v>
      </c>
      <c r="C5384" s="2">
        <v>4</v>
      </c>
    </row>
    <row r="5385" spans="1:3" x14ac:dyDescent="0.25">
      <c r="A5385" s="3">
        <v>41978</v>
      </c>
      <c r="B5385" s="2" t="s">
        <v>11</v>
      </c>
      <c r="C5385" s="2">
        <v>24</v>
      </c>
    </row>
    <row r="5386" spans="1:3" x14ac:dyDescent="0.25">
      <c r="A5386" s="3">
        <v>41623</v>
      </c>
      <c r="B5386" s="2" t="s">
        <v>46</v>
      </c>
      <c r="C5386" s="2">
        <v>4</v>
      </c>
    </row>
    <row r="5387" spans="1:3" x14ac:dyDescent="0.25">
      <c r="A5387" s="3">
        <v>41817</v>
      </c>
      <c r="B5387" s="2" t="s">
        <v>30</v>
      </c>
      <c r="C5387" s="2">
        <v>19</v>
      </c>
    </row>
    <row r="5388" spans="1:3" x14ac:dyDescent="0.25">
      <c r="A5388" s="3">
        <v>41851</v>
      </c>
      <c r="B5388" s="2" t="s">
        <v>13</v>
      </c>
      <c r="C5388" s="2">
        <v>4</v>
      </c>
    </row>
    <row r="5389" spans="1:3" x14ac:dyDescent="0.25">
      <c r="A5389" s="3">
        <v>41988</v>
      </c>
      <c r="B5389" s="2" t="s">
        <v>47</v>
      </c>
      <c r="C5389" s="2">
        <v>47</v>
      </c>
    </row>
    <row r="5390" spans="1:3" x14ac:dyDescent="0.25">
      <c r="A5390" s="3">
        <v>41556</v>
      </c>
      <c r="B5390" s="2" t="s">
        <v>14</v>
      </c>
      <c r="C5390" s="2">
        <v>6</v>
      </c>
    </row>
    <row r="5391" spans="1:3" x14ac:dyDescent="0.25">
      <c r="A5391" s="3">
        <v>41292</v>
      </c>
      <c r="B5391" s="2" t="s">
        <v>33</v>
      </c>
      <c r="C5391" s="2">
        <v>27</v>
      </c>
    </row>
    <row r="5392" spans="1:3" x14ac:dyDescent="0.25">
      <c r="A5392" s="3">
        <v>41730</v>
      </c>
      <c r="B5392" s="2" t="s">
        <v>39</v>
      </c>
      <c r="C5392" s="2">
        <v>5</v>
      </c>
    </row>
    <row r="5393" spans="1:3" x14ac:dyDescent="0.25">
      <c r="A5393" s="3">
        <v>41798</v>
      </c>
      <c r="B5393" s="2" t="s">
        <v>44</v>
      </c>
      <c r="C5393" s="2">
        <v>29</v>
      </c>
    </row>
    <row r="5394" spans="1:3" x14ac:dyDescent="0.25">
      <c r="A5394" s="3">
        <v>41942</v>
      </c>
      <c r="B5394" s="2" t="s">
        <v>38</v>
      </c>
      <c r="C5394" s="2">
        <v>26</v>
      </c>
    </row>
    <row r="5395" spans="1:3" x14ac:dyDescent="0.25">
      <c r="A5395" s="3">
        <v>41759</v>
      </c>
      <c r="B5395" s="2" t="s">
        <v>27</v>
      </c>
      <c r="C5395" s="2">
        <v>22</v>
      </c>
    </row>
    <row r="5396" spans="1:3" x14ac:dyDescent="0.25">
      <c r="A5396" s="3">
        <v>41776</v>
      </c>
      <c r="B5396" s="2" t="s">
        <v>40</v>
      </c>
      <c r="C5396" s="2">
        <v>34</v>
      </c>
    </row>
    <row r="5397" spans="1:3" x14ac:dyDescent="0.25">
      <c r="A5397" s="3">
        <v>41329</v>
      </c>
      <c r="B5397" s="2" t="s">
        <v>2</v>
      </c>
      <c r="C5397" s="2">
        <v>42</v>
      </c>
    </row>
    <row r="5398" spans="1:3" x14ac:dyDescent="0.25">
      <c r="A5398" s="3">
        <v>41935</v>
      </c>
      <c r="B5398" s="2" t="s">
        <v>43</v>
      </c>
      <c r="C5398" s="2">
        <v>13</v>
      </c>
    </row>
    <row r="5399" spans="1:3" x14ac:dyDescent="0.25">
      <c r="A5399" s="3">
        <v>41399</v>
      </c>
      <c r="B5399" s="2" t="s">
        <v>26</v>
      </c>
      <c r="C5399" s="2">
        <v>55</v>
      </c>
    </row>
    <row r="5400" spans="1:3" x14ac:dyDescent="0.25">
      <c r="A5400" s="3">
        <v>41427</v>
      </c>
      <c r="B5400" s="2" t="s">
        <v>46</v>
      </c>
      <c r="C5400" s="2">
        <v>30</v>
      </c>
    </row>
    <row r="5401" spans="1:3" x14ac:dyDescent="0.25">
      <c r="A5401" s="3">
        <v>41975</v>
      </c>
      <c r="B5401" s="2" t="s">
        <v>47</v>
      </c>
      <c r="C5401" s="2">
        <v>31</v>
      </c>
    </row>
    <row r="5402" spans="1:3" x14ac:dyDescent="0.25">
      <c r="A5402" s="3">
        <v>41278</v>
      </c>
      <c r="B5402" s="2" t="s">
        <v>44</v>
      </c>
      <c r="C5402" s="2">
        <v>44</v>
      </c>
    </row>
    <row r="5403" spans="1:3" x14ac:dyDescent="0.25">
      <c r="A5403" s="3">
        <v>41879</v>
      </c>
      <c r="B5403" s="2" t="s">
        <v>34</v>
      </c>
      <c r="C5403" s="2">
        <v>46</v>
      </c>
    </row>
    <row r="5404" spans="1:3" x14ac:dyDescent="0.25">
      <c r="A5404" s="3">
        <v>41730</v>
      </c>
      <c r="B5404" s="2" t="s">
        <v>48</v>
      </c>
      <c r="C5404" s="2">
        <v>26</v>
      </c>
    </row>
    <row r="5405" spans="1:3" x14ac:dyDescent="0.25">
      <c r="A5405" s="3">
        <v>41884</v>
      </c>
      <c r="B5405" s="2" t="s">
        <v>37</v>
      </c>
      <c r="C5405" s="2">
        <v>22</v>
      </c>
    </row>
    <row r="5406" spans="1:3" x14ac:dyDescent="0.25">
      <c r="A5406" s="3">
        <v>41722</v>
      </c>
      <c r="B5406" s="2" t="s">
        <v>17</v>
      </c>
      <c r="C5406" s="2">
        <v>28</v>
      </c>
    </row>
    <row r="5407" spans="1:3" x14ac:dyDescent="0.25">
      <c r="A5407" s="3">
        <v>41616</v>
      </c>
      <c r="B5407" s="2" t="s">
        <v>27</v>
      </c>
      <c r="C5407" s="2">
        <v>10</v>
      </c>
    </row>
    <row r="5408" spans="1:3" x14ac:dyDescent="0.25">
      <c r="A5408" s="3">
        <v>41427</v>
      </c>
      <c r="B5408" s="2" t="s">
        <v>38</v>
      </c>
      <c r="C5408" s="2">
        <v>25</v>
      </c>
    </row>
    <row r="5409" spans="1:3" x14ac:dyDescent="0.25">
      <c r="A5409" s="3">
        <v>41836</v>
      </c>
      <c r="B5409" s="2" t="s">
        <v>46</v>
      </c>
      <c r="C5409" s="2">
        <v>4</v>
      </c>
    </row>
    <row r="5410" spans="1:3" x14ac:dyDescent="0.25">
      <c r="A5410" s="3">
        <v>41376</v>
      </c>
      <c r="B5410" s="2" t="s">
        <v>17</v>
      </c>
      <c r="C5410" s="2">
        <v>15</v>
      </c>
    </row>
    <row r="5411" spans="1:3" x14ac:dyDescent="0.25">
      <c r="A5411" s="3">
        <v>41384</v>
      </c>
      <c r="B5411" s="2" t="s">
        <v>15</v>
      </c>
      <c r="C5411" s="2">
        <v>39</v>
      </c>
    </row>
    <row r="5412" spans="1:3" x14ac:dyDescent="0.25">
      <c r="A5412" s="3">
        <v>41668</v>
      </c>
      <c r="B5412" s="2" t="s">
        <v>42</v>
      </c>
      <c r="C5412" s="2">
        <v>9</v>
      </c>
    </row>
    <row r="5413" spans="1:3" x14ac:dyDescent="0.25">
      <c r="A5413" s="3">
        <v>41291</v>
      </c>
      <c r="B5413" s="2" t="s">
        <v>8</v>
      </c>
      <c r="C5413" s="2">
        <v>28</v>
      </c>
    </row>
    <row r="5414" spans="1:3" x14ac:dyDescent="0.25">
      <c r="A5414" s="3">
        <v>41295</v>
      </c>
      <c r="B5414" s="2" t="s">
        <v>42</v>
      </c>
      <c r="C5414" s="2">
        <v>44</v>
      </c>
    </row>
    <row r="5415" spans="1:3" x14ac:dyDescent="0.25">
      <c r="A5415" s="3">
        <v>41912</v>
      </c>
      <c r="B5415" s="2" t="s">
        <v>11</v>
      </c>
      <c r="C5415" s="2">
        <v>22</v>
      </c>
    </row>
    <row r="5416" spans="1:3" x14ac:dyDescent="0.25">
      <c r="A5416" s="3">
        <v>41520</v>
      </c>
      <c r="B5416" s="2" t="s">
        <v>46</v>
      </c>
      <c r="C5416" s="2">
        <v>37</v>
      </c>
    </row>
    <row r="5417" spans="1:3" x14ac:dyDescent="0.25">
      <c r="A5417" s="3">
        <v>41927</v>
      </c>
      <c r="B5417" s="2" t="s">
        <v>30</v>
      </c>
      <c r="C5417" s="2">
        <v>43</v>
      </c>
    </row>
    <row r="5418" spans="1:3" x14ac:dyDescent="0.25">
      <c r="A5418" s="3">
        <v>41794</v>
      </c>
      <c r="B5418" s="2" t="s">
        <v>43</v>
      </c>
      <c r="C5418" s="2">
        <v>35</v>
      </c>
    </row>
    <row r="5419" spans="1:3" x14ac:dyDescent="0.25">
      <c r="A5419" s="3">
        <v>41416</v>
      </c>
      <c r="B5419" s="2" t="s">
        <v>12</v>
      </c>
      <c r="C5419" s="2">
        <v>23</v>
      </c>
    </row>
    <row r="5420" spans="1:3" x14ac:dyDescent="0.25">
      <c r="A5420" s="3">
        <v>41926</v>
      </c>
      <c r="B5420" s="2" t="s">
        <v>27</v>
      </c>
      <c r="C5420" s="2">
        <v>29</v>
      </c>
    </row>
    <row r="5421" spans="1:3" x14ac:dyDescent="0.25">
      <c r="A5421" s="3">
        <v>41393</v>
      </c>
      <c r="B5421" s="2" t="s">
        <v>35</v>
      </c>
      <c r="C5421" s="2">
        <v>12</v>
      </c>
    </row>
    <row r="5422" spans="1:3" x14ac:dyDescent="0.25">
      <c r="A5422" s="3">
        <v>41366</v>
      </c>
      <c r="B5422" s="2" t="s">
        <v>2</v>
      </c>
      <c r="C5422" s="2">
        <v>30</v>
      </c>
    </row>
    <row r="5423" spans="1:3" x14ac:dyDescent="0.25">
      <c r="A5423" s="3">
        <v>41545</v>
      </c>
      <c r="B5423" s="2" t="s">
        <v>46</v>
      </c>
      <c r="C5423" s="2">
        <v>7</v>
      </c>
    </row>
    <row r="5424" spans="1:3" x14ac:dyDescent="0.25">
      <c r="A5424" s="3">
        <v>41564</v>
      </c>
      <c r="B5424" s="2" t="s">
        <v>49</v>
      </c>
      <c r="C5424" s="2">
        <v>61</v>
      </c>
    </row>
    <row r="5425" spans="1:3" x14ac:dyDescent="0.25">
      <c r="A5425" s="3">
        <v>41664</v>
      </c>
      <c r="B5425" s="2" t="s">
        <v>9</v>
      </c>
      <c r="C5425" s="2">
        <v>47</v>
      </c>
    </row>
    <row r="5426" spans="1:3" x14ac:dyDescent="0.25">
      <c r="A5426" s="3">
        <v>41781</v>
      </c>
      <c r="B5426" s="2" t="s">
        <v>6</v>
      </c>
      <c r="C5426" s="2">
        <v>45</v>
      </c>
    </row>
    <row r="5427" spans="1:3" x14ac:dyDescent="0.25">
      <c r="A5427" s="3">
        <v>41936</v>
      </c>
      <c r="B5427" s="2" t="s">
        <v>24</v>
      </c>
      <c r="C5427" s="2">
        <v>57</v>
      </c>
    </row>
    <row r="5428" spans="1:3" x14ac:dyDescent="0.25">
      <c r="A5428" s="3">
        <v>41816</v>
      </c>
      <c r="B5428" s="2" t="s">
        <v>51</v>
      </c>
      <c r="C5428" s="2">
        <v>10</v>
      </c>
    </row>
    <row r="5429" spans="1:3" x14ac:dyDescent="0.25">
      <c r="A5429" s="3">
        <v>41961</v>
      </c>
      <c r="B5429" s="2" t="s">
        <v>38</v>
      </c>
      <c r="C5429" s="2">
        <v>32</v>
      </c>
    </row>
    <row r="5430" spans="1:3" x14ac:dyDescent="0.25">
      <c r="A5430" s="3">
        <v>41724</v>
      </c>
      <c r="B5430" s="2" t="s">
        <v>13</v>
      </c>
      <c r="C5430" s="2">
        <v>33</v>
      </c>
    </row>
    <row r="5431" spans="1:3" x14ac:dyDescent="0.25">
      <c r="A5431" s="3">
        <v>41526</v>
      </c>
      <c r="B5431" s="2" t="s">
        <v>5</v>
      </c>
      <c r="C5431" s="2">
        <v>7</v>
      </c>
    </row>
    <row r="5432" spans="1:3" x14ac:dyDescent="0.25">
      <c r="A5432" s="3">
        <v>41511</v>
      </c>
      <c r="B5432" s="2" t="s">
        <v>19</v>
      </c>
      <c r="C5432" s="2">
        <v>9</v>
      </c>
    </row>
    <row r="5433" spans="1:3" x14ac:dyDescent="0.25">
      <c r="A5433" s="3">
        <v>41877</v>
      </c>
      <c r="B5433" s="2" t="s">
        <v>21</v>
      </c>
      <c r="C5433" s="2">
        <v>43</v>
      </c>
    </row>
    <row r="5434" spans="1:3" x14ac:dyDescent="0.25">
      <c r="A5434" s="3">
        <v>41304</v>
      </c>
      <c r="B5434" s="2" t="s">
        <v>46</v>
      </c>
      <c r="C5434" s="2">
        <v>30</v>
      </c>
    </row>
    <row r="5435" spans="1:3" x14ac:dyDescent="0.25">
      <c r="A5435" s="3">
        <v>41364</v>
      </c>
      <c r="B5435" s="2" t="s">
        <v>35</v>
      </c>
      <c r="C5435" s="2">
        <v>46</v>
      </c>
    </row>
    <row r="5436" spans="1:3" x14ac:dyDescent="0.25">
      <c r="A5436" s="3">
        <v>41493</v>
      </c>
      <c r="B5436" s="2" t="s">
        <v>32</v>
      </c>
      <c r="C5436" s="2">
        <v>2</v>
      </c>
    </row>
    <row r="5437" spans="1:3" x14ac:dyDescent="0.25">
      <c r="A5437" s="3">
        <v>41655</v>
      </c>
      <c r="B5437" s="2" t="s">
        <v>19</v>
      </c>
      <c r="C5437" s="2">
        <v>27</v>
      </c>
    </row>
    <row r="5438" spans="1:3" x14ac:dyDescent="0.25">
      <c r="A5438" s="3">
        <v>41487</v>
      </c>
      <c r="B5438" s="2" t="s">
        <v>27</v>
      </c>
      <c r="C5438" s="2">
        <v>16</v>
      </c>
    </row>
    <row r="5439" spans="1:3" x14ac:dyDescent="0.25">
      <c r="A5439" s="3">
        <v>41275</v>
      </c>
      <c r="B5439" s="2" t="s">
        <v>22</v>
      </c>
      <c r="C5439" s="2">
        <v>25</v>
      </c>
    </row>
    <row r="5440" spans="1:3" x14ac:dyDescent="0.25">
      <c r="A5440" s="3">
        <v>41488</v>
      </c>
      <c r="B5440" s="2" t="s">
        <v>42</v>
      </c>
      <c r="C5440" s="2">
        <v>33</v>
      </c>
    </row>
    <row r="5441" spans="1:3" x14ac:dyDescent="0.25">
      <c r="A5441" s="3">
        <v>41974</v>
      </c>
      <c r="B5441" s="2" t="s">
        <v>2</v>
      </c>
      <c r="C5441" s="2">
        <v>16</v>
      </c>
    </row>
    <row r="5442" spans="1:3" x14ac:dyDescent="0.25">
      <c r="A5442" s="3">
        <v>41619</v>
      </c>
      <c r="B5442" s="2" t="s">
        <v>39</v>
      </c>
      <c r="C5442" s="2">
        <v>38</v>
      </c>
    </row>
    <row r="5443" spans="1:3" x14ac:dyDescent="0.25">
      <c r="A5443" s="3">
        <v>41964</v>
      </c>
      <c r="B5443" s="2" t="s">
        <v>3</v>
      </c>
      <c r="C5443" s="2">
        <v>34</v>
      </c>
    </row>
    <row r="5444" spans="1:3" x14ac:dyDescent="0.25">
      <c r="A5444" s="3">
        <v>41805</v>
      </c>
      <c r="B5444" s="2" t="s">
        <v>26</v>
      </c>
      <c r="C5444" s="2">
        <v>51</v>
      </c>
    </row>
    <row r="5445" spans="1:3" x14ac:dyDescent="0.25">
      <c r="A5445" s="3">
        <v>41308</v>
      </c>
      <c r="B5445" s="2" t="s">
        <v>15</v>
      </c>
      <c r="C5445" s="2">
        <v>26</v>
      </c>
    </row>
    <row r="5446" spans="1:3" x14ac:dyDescent="0.25">
      <c r="A5446" s="3">
        <v>41625</v>
      </c>
      <c r="B5446" s="2" t="s">
        <v>3</v>
      </c>
      <c r="C5446" s="2">
        <v>39</v>
      </c>
    </row>
    <row r="5447" spans="1:3" x14ac:dyDescent="0.25">
      <c r="A5447" s="3">
        <v>41334</v>
      </c>
      <c r="B5447" s="2" t="s">
        <v>45</v>
      </c>
      <c r="C5447" s="2">
        <v>34</v>
      </c>
    </row>
    <row r="5448" spans="1:3" x14ac:dyDescent="0.25">
      <c r="A5448" s="3">
        <v>41674</v>
      </c>
      <c r="B5448" s="2" t="s">
        <v>5</v>
      </c>
      <c r="C5448" s="2">
        <v>9</v>
      </c>
    </row>
    <row r="5449" spans="1:3" x14ac:dyDescent="0.25">
      <c r="A5449" s="3">
        <v>41605</v>
      </c>
      <c r="B5449" s="2" t="s">
        <v>26</v>
      </c>
      <c r="C5449" s="2">
        <v>26</v>
      </c>
    </row>
    <row r="5450" spans="1:3" x14ac:dyDescent="0.25">
      <c r="A5450" s="3">
        <v>41634</v>
      </c>
      <c r="B5450" s="2" t="s">
        <v>42</v>
      </c>
      <c r="C5450" s="2">
        <v>25</v>
      </c>
    </row>
    <row r="5451" spans="1:3" x14ac:dyDescent="0.25">
      <c r="A5451" s="3">
        <v>41305</v>
      </c>
      <c r="B5451" s="2" t="s">
        <v>7</v>
      </c>
      <c r="C5451" s="2">
        <v>0</v>
      </c>
    </row>
    <row r="5452" spans="1:3" x14ac:dyDescent="0.25">
      <c r="A5452" s="3">
        <v>41828</v>
      </c>
      <c r="B5452" s="2" t="s">
        <v>21</v>
      </c>
      <c r="C5452" s="2">
        <v>47</v>
      </c>
    </row>
    <row r="5453" spans="1:3" x14ac:dyDescent="0.25">
      <c r="A5453" s="3">
        <v>41674</v>
      </c>
      <c r="B5453" s="2" t="s">
        <v>33</v>
      </c>
      <c r="C5453" s="2">
        <v>35</v>
      </c>
    </row>
    <row r="5454" spans="1:3" x14ac:dyDescent="0.25">
      <c r="A5454" s="3">
        <v>41856</v>
      </c>
      <c r="B5454" s="2" t="s">
        <v>19</v>
      </c>
      <c r="C5454" s="2">
        <v>9</v>
      </c>
    </row>
    <row r="5455" spans="1:3" x14ac:dyDescent="0.25">
      <c r="A5455" s="3">
        <v>41556</v>
      </c>
      <c r="B5455" s="2" t="s">
        <v>16</v>
      </c>
      <c r="C5455" s="2">
        <v>34</v>
      </c>
    </row>
    <row r="5456" spans="1:3" x14ac:dyDescent="0.25">
      <c r="A5456" s="3">
        <v>41586</v>
      </c>
      <c r="B5456" s="2" t="s">
        <v>44</v>
      </c>
      <c r="C5456" s="2">
        <v>34</v>
      </c>
    </row>
    <row r="5457" spans="1:3" x14ac:dyDescent="0.25">
      <c r="A5457" s="3">
        <v>41387</v>
      </c>
      <c r="B5457" s="2" t="s">
        <v>32</v>
      </c>
      <c r="C5457" s="2">
        <v>28</v>
      </c>
    </row>
    <row r="5458" spans="1:3" x14ac:dyDescent="0.25">
      <c r="A5458" s="3">
        <v>41814</v>
      </c>
      <c r="B5458" s="2" t="s">
        <v>43</v>
      </c>
      <c r="C5458" s="2">
        <v>3</v>
      </c>
    </row>
    <row r="5459" spans="1:3" x14ac:dyDescent="0.25">
      <c r="A5459" s="3">
        <v>41725</v>
      </c>
      <c r="B5459" s="2" t="s">
        <v>13</v>
      </c>
      <c r="C5459" s="2">
        <v>35</v>
      </c>
    </row>
    <row r="5460" spans="1:3" x14ac:dyDescent="0.25">
      <c r="A5460" s="3">
        <v>41671</v>
      </c>
      <c r="B5460" s="2" t="s">
        <v>25</v>
      </c>
      <c r="C5460" s="2">
        <v>49</v>
      </c>
    </row>
    <row r="5461" spans="1:3" x14ac:dyDescent="0.25">
      <c r="A5461" s="3">
        <v>41685</v>
      </c>
      <c r="B5461" s="2" t="s">
        <v>49</v>
      </c>
      <c r="C5461" s="2">
        <v>15</v>
      </c>
    </row>
    <row r="5462" spans="1:3" x14ac:dyDescent="0.25">
      <c r="A5462" s="3">
        <v>41276</v>
      </c>
      <c r="B5462" s="2" t="s">
        <v>21</v>
      </c>
      <c r="C5462" s="2">
        <v>41</v>
      </c>
    </row>
    <row r="5463" spans="1:3" x14ac:dyDescent="0.25">
      <c r="A5463" s="3">
        <v>41866</v>
      </c>
      <c r="B5463" s="2" t="s">
        <v>48</v>
      </c>
      <c r="C5463" s="2">
        <v>36</v>
      </c>
    </row>
    <row r="5464" spans="1:3" x14ac:dyDescent="0.25">
      <c r="A5464" s="3">
        <v>41330</v>
      </c>
      <c r="B5464" s="2" t="s">
        <v>51</v>
      </c>
      <c r="C5464" s="2">
        <v>14</v>
      </c>
    </row>
    <row r="5465" spans="1:3" x14ac:dyDescent="0.25">
      <c r="A5465" s="3">
        <v>41918</v>
      </c>
      <c r="B5465" s="2" t="s">
        <v>8</v>
      </c>
      <c r="C5465" s="2">
        <v>47</v>
      </c>
    </row>
    <row r="5466" spans="1:3" x14ac:dyDescent="0.25">
      <c r="A5466" s="3">
        <v>41372</v>
      </c>
      <c r="B5466" s="2" t="s">
        <v>8</v>
      </c>
      <c r="C5466" s="2">
        <v>20</v>
      </c>
    </row>
    <row r="5467" spans="1:3" x14ac:dyDescent="0.25">
      <c r="A5467" s="3">
        <v>41542</v>
      </c>
      <c r="B5467" s="2" t="s">
        <v>15</v>
      </c>
      <c r="C5467" s="2">
        <v>3</v>
      </c>
    </row>
    <row r="5468" spans="1:3" x14ac:dyDescent="0.25">
      <c r="A5468" s="3">
        <v>41468</v>
      </c>
      <c r="B5468" s="2" t="s">
        <v>17</v>
      </c>
      <c r="C5468" s="2">
        <v>1</v>
      </c>
    </row>
    <row r="5469" spans="1:3" x14ac:dyDescent="0.25">
      <c r="A5469" s="3">
        <v>41498</v>
      </c>
      <c r="B5469" s="2" t="s">
        <v>47</v>
      </c>
      <c r="C5469" s="2">
        <v>26</v>
      </c>
    </row>
    <row r="5470" spans="1:3" x14ac:dyDescent="0.25">
      <c r="A5470" s="3">
        <v>41995</v>
      </c>
      <c r="B5470" s="2" t="s">
        <v>6</v>
      </c>
      <c r="C5470" s="2">
        <v>45</v>
      </c>
    </row>
    <row r="5471" spans="1:3" x14ac:dyDescent="0.25">
      <c r="A5471" s="3">
        <v>41887</v>
      </c>
      <c r="B5471" s="2" t="s">
        <v>45</v>
      </c>
      <c r="C5471" s="2">
        <v>32</v>
      </c>
    </row>
    <row r="5472" spans="1:3" x14ac:dyDescent="0.25">
      <c r="A5472" s="3">
        <v>41306</v>
      </c>
      <c r="B5472" s="2" t="s">
        <v>35</v>
      </c>
      <c r="C5472" s="2">
        <v>19</v>
      </c>
    </row>
    <row r="5473" spans="1:3" x14ac:dyDescent="0.25">
      <c r="A5473" s="3">
        <v>41425</v>
      </c>
      <c r="B5473" s="2" t="s">
        <v>38</v>
      </c>
      <c r="C5473" s="2">
        <v>11</v>
      </c>
    </row>
    <row r="5474" spans="1:3" x14ac:dyDescent="0.25">
      <c r="A5474" s="3">
        <v>41626</v>
      </c>
      <c r="B5474" s="2" t="s">
        <v>48</v>
      </c>
      <c r="C5474" s="2">
        <v>32</v>
      </c>
    </row>
    <row r="5475" spans="1:3" x14ac:dyDescent="0.25">
      <c r="A5475" s="3">
        <v>41825</v>
      </c>
      <c r="B5475" s="2" t="s">
        <v>10</v>
      </c>
      <c r="C5475" s="2">
        <v>46</v>
      </c>
    </row>
    <row r="5476" spans="1:3" x14ac:dyDescent="0.25">
      <c r="A5476" s="3">
        <v>41991</v>
      </c>
      <c r="B5476" s="2" t="s">
        <v>7</v>
      </c>
      <c r="C5476" s="2">
        <v>11</v>
      </c>
    </row>
    <row r="5477" spans="1:3" x14ac:dyDescent="0.25">
      <c r="A5477" s="3">
        <v>41653</v>
      </c>
      <c r="B5477" s="2" t="s">
        <v>30</v>
      </c>
      <c r="C5477" s="2">
        <v>11</v>
      </c>
    </row>
    <row r="5478" spans="1:3" x14ac:dyDescent="0.25">
      <c r="A5478" s="3">
        <v>41813</v>
      </c>
      <c r="B5478" s="2" t="s">
        <v>19</v>
      </c>
      <c r="C5478" s="2">
        <v>40</v>
      </c>
    </row>
    <row r="5479" spans="1:3" x14ac:dyDescent="0.25">
      <c r="A5479" s="3">
        <v>41911</v>
      </c>
      <c r="B5479" s="2" t="s">
        <v>13</v>
      </c>
      <c r="C5479" s="2">
        <v>9</v>
      </c>
    </row>
    <row r="5480" spans="1:3" x14ac:dyDescent="0.25">
      <c r="A5480" s="3">
        <v>41791</v>
      </c>
      <c r="B5480" s="2" t="s">
        <v>39</v>
      </c>
      <c r="C5480" s="2">
        <v>5</v>
      </c>
    </row>
    <row r="5481" spans="1:3" x14ac:dyDescent="0.25">
      <c r="A5481" s="3">
        <v>41471</v>
      </c>
      <c r="B5481" s="2" t="s">
        <v>24</v>
      </c>
      <c r="C5481" s="2">
        <v>41</v>
      </c>
    </row>
    <row r="5482" spans="1:3" x14ac:dyDescent="0.25">
      <c r="A5482" s="3">
        <v>41530</v>
      </c>
      <c r="B5482" s="2" t="s">
        <v>4</v>
      </c>
      <c r="C5482" s="2">
        <v>18</v>
      </c>
    </row>
    <row r="5483" spans="1:3" x14ac:dyDescent="0.25">
      <c r="A5483" s="3">
        <v>41945</v>
      </c>
      <c r="B5483" s="2" t="s">
        <v>38</v>
      </c>
      <c r="C5483" s="2">
        <v>1</v>
      </c>
    </row>
    <row r="5484" spans="1:3" x14ac:dyDescent="0.25">
      <c r="A5484" s="3">
        <v>41649</v>
      </c>
      <c r="B5484" s="2" t="s">
        <v>23</v>
      </c>
      <c r="C5484" s="2">
        <v>15</v>
      </c>
    </row>
    <row r="5485" spans="1:3" x14ac:dyDescent="0.25">
      <c r="A5485" s="3">
        <v>41301</v>
      </c>
      <c r="B5485" s="2" t="s">
        <v>6</v>
      </c>
      <c r="C5485" s="2">
        <v>46</v>
      </c>
    </row>
    <row r="5486" spans="1:3" x14ac:dyDescent="0.25">
      <c r="A5486" s="3">
        <v>41464</v>
      </c>
      <c r="B5486" s="2" t="s">
        <v>26</v>
      </c>
      <c r="C5486" s="2">
        <v>11</v>
      </c>
    </row>
    <row r="5487" spans="1:3" x14ac:dyDescent="0.25">
      <c r="A5487" s="3">
        <v>41491</v>
      </c>
      <c r="B5487" s="2" t="s">
        <v>18</v>
      </c>
      <c r="C5487" s="2">
        <v>21</v>
      </c>
    </row>
    <row r="5488" spans="1:3" x14ac:dyDescent="0.25">
      <c r="A5488" s="3">
        <v>41429</v>
      </c>
      <c r="B5488" s="2" t="s">
        <v>48</v>
      </c>
      <c r="C5488" s="2">
        <v>14</v>
      </c>
    </row>
    <row r="5489" spans="1:3" x14ac:dyDescent="0.25">
      <c r="A5489" s="3">
        <v>41304</v>
      </c>
      <c r="B5489" s="2" t="s">
        <v>11</v>
      </c>
      <c r="C5489" s="2">
        <v>33</v>
      </c>
    </row>
    <row r="5490" spans="1:3" x14ac:dyDescent="0.25">
      <c r="A5490" s="3">
        <v>41359</v>
      </c>
      <c r="B5490" s="2" t="s">
        <v>41</v>
      </c>
      <c r="C5490" s="2">
        <v>24</v>
      </c>
    </row>
    <row r="5491" spans="1:3" x14ac:dyDescent="0.25">
      <c r="A5491" s="3">
        <v>41985</v>
      </c>
      <c r="B5491" s="2" t="s">
        <v>13</v>
      </c>
      <c r="C5491" s="2">
        <v>9</v>
      </c>
    </row>
    <row r="5492" spans="1:3" x14ac:dyDescent="0.25">
      <c r="A5492" s="3">
        <v>41975</v>
      </c>
      <c r="B5492" s="2" t="s">
        <v>21</v>
      </c>
      <c r="C5492" s="2">
        <v>8</v>
      </c>
    </row>
    <row r="5493" spans="1:3" x14ac:dyDescent="0.25">
      <c r="A5493" s="3">
        <v>41788</v>
      </c>
      <c r="B5493" s="2" t="s">
        <v>18</v>
      </c>
      <c r="C5493" s="2">
        <v>32</v>
      </c>
    </row>
    <row r="5494" spans="1:3" x14ac:dyDescent="0.25">
      <c r="A5494" s="3">
        <v>41786</v>
      </c>
      <c r="B5494" s="2" t="s">
        <v>28</v>
      </c>
      <c r="C5494" s="2">
        <v>40</v>
      </c>
    </row>
    <row r="5495" spans="1:3" x14ac:dyDescent="0.25">
      <c r="A5495" s="3">
        <v>41496</v>
      </c>
      <c r="B5495" s="2" t="s">
        <v>41</v>
      </c>
      <c r="C5495" s="2">
        <v>6</v>
      </c>
    </row>
    <row r="5496" spans="1:3" x14ac:dyDescent="0.25">
      <c r="A5496" s="3">
        <v>42002</v>
      </c>
      <c r="B5496" s="2" t="s">
        <v>10</v>
      </c>
      <c r="C5496" s="2">
        <v>16</v>
      </c>
    </row>
    <row r="5497" spans="1:3" x14ac:dyDescent="0.25">
      <c r="A5497" s="3">
        <v>41282</v>
      </c>
      <c r="B5497" s="2" t="s">
        <v>39</v>
      </c>
      <c r="C5497" s="2">
        <v>4</v>
      </c>
    </row>
    <row r="5498" spans="1:3" x14ac:dyDescent="0.25">
      <c r="A5498" s="3">
        <v>41904</v>
      </c>
      <c r="B5498" s="2" t="s">
        <v>16</v>
      </c>
      <c r="C5498" s="2">
        <v>24</v>
      </c>
    </row>
    <row r="5499" spans="1:3" x14ac:dyDescent="0.25">
      <c r="A5499" s="3">
        <v>41806</v>
      </c>
      <c r="B5499" s="2" t="s">
        <v>45</v>
      </c>
      <c r="C5499" s="2">
        <v>28</v>
      </c>
    </row>
    <row r="5500" spans="1:3" x14ac:dyDescent="0.25">
      <c r="A5500" s="3">
        <v>41708</v>
      </c>
      <c r="B5500" s="2" t="s">
        <v>5</v>
      </c>
      <c r="C5500" s="2">
        <v>34</v>
      </c>
    </row>
    <row r="5501" spans="1:3" x14ac:dyDescent="0.25">
      <c r="A5501" s="3">
        <v>41953</v>
      </c>
      <c r="B5501" s="2" t="s">
        <v>40</v>
      </c>
      <c r="C5501" s="2">
        <v>9</v>
      </c>
    </row>
    <row r="5502" spans="1:3" x14ac:dyDescent="0.25">
      <c r="A5502" s="3">
        <v>41773</v>
      </c>
      <c r="B5502" s="2" t="s">
        <v>4</v>
      </c>
      <c r="C5502" s="2">
        <v>28</v>
      </c>
    </row>
    <row r="5503" spans="1:3" x14ac:dyDescent="0.25">
      <c r="A5503" s="3">
        <v>41871</v>
      </c>
      <c r="B5503" s="2" t="s">
        <v>33</v>
      </c>
      <c r="C5503" s="2">
        <v>25</v>
      </c>
    </row>
    <row r="5504" spans="1:3" x14ac:dyDescent="0.25">
      <c r="A5504" s="3">
        <v>41893</v>
      </c>
      <c r="B5504" s="2" t="s">
        <v>51</v>
      </c>
      <c r="C5504" s="2">
        <v>1</v>
      </c>
    </row>
    <row r="5505" spans="1:3" x14ac:dyDescent="0.25">
      <c r="A5505" s="3">
        <v>41692</v>
      </c>
      <c r="B5505" s="2" t="s">
        <v>29</v>
      </c>
      <c r="C5505" s="2">
        <v>22</v>
      </c>
    </row>
    <row r="5506" spans="1:3" x14ac:dyDescent="0.25">
      <c r="A5506" s="3">
        <v>41306</v>
      </c>
      <c r="B5506" s="2" t="s">
        <v>14</v>
      </c>
      <c r="C5506" s="2">
        <v>52</v>
      </c>
    </row>
    <row r="5507" spans="1:3" x14ac:dyDescent="0.25">
      <c r="A5507" s="3">
        <v>41638</v>
      </c>
      <c r="B5507" s="2" t="s">
        <v>25</v>
      </c>
      <c r="C5507" s="2">
        <v>48</v>
      </c>
    </row>
    <row r="5508" spans="1:3" x14ac:dyDescent="0.25">
      <c r="A5508" s="3">
        <v>41398</v>
      </c>
      <c r="B5508" s="2" t="s">
        <v>17</v>
      </c>
      <c r="C5508" s="2">
        <v>41</v>
      </c>
    </row>
    <row r="5509" spans="1:3" x14ac:dyDescent="0.25">
      <c r="A5509" s="3">
        <v>41786</v>
      </c>
      <c r="B5509" s="2" t="s">
        <v>7</v>
      </c>
      <c r="C5509" s="2">
        <v>3</v>
      </c>
    </row>
    <row r="5510" spans="1:3" x14ac:dyDescent="0.25">
      <c r="A5510" s="3">
        <v>41913</v>
      </c>
      <c r="B5510" s="2" t="s">
        <v>34</v>
      </c>
      <c r="C5510" s="2">
        <v>4</v>
      </c>
    </row>
    <row r="5511" spans="1:3" x14ac:dyDescent="0.25">
      <c r="A5511" s="3">
        <v>41735</v>
      </c>
      <c r="B5511" s="2" t="s">
        <v>12</v>
      </c>
      <c r="C5511" s="2">
        <v>10</v>
      </c>
    </row>
    <row r="5512" spans="1:3" x14ac:dyDescent="0.25">
      <c r="A5512" s="3">
        <v>41302</v>
      </c>
      <c r="B5512" s="2" t="s">
        <v>5</v>
      </c>
      <c r="C5512" s="2">
        <v>7</v>
      </c>
    </row>
    <row r="5513" spans="1:3" x14ac:dyDescent="0.25">
      <c r="A5513" s="3">
        <v>41739</v>
      </c>
      <c r="B5513" s="2" t="s">
        <v>27</v>
      </c>
      <c r="C5513" s="2">
        <v>5</v>
      </c>
    </row>
    <row r="5514" spans="1:3" x14ac:dyDescent="0.25">
      <c r="A5514" s="3">
        <v>41341</v>
      </c>
      <c r="B5514" s="2" t="s">
        <v>39</v>
      </c>
      <c r="C5514" s="2">
        <v>19</v>
      </c>
    </row>
    <row r="5515" spans="1:3" x14ac:dyDescent="0.25">
      <c r="A5515" s="3">
        <v>41961</v>
      </c>
      <c r="B5515" s="2" t="s">
        <v>6</v>
      </c>
      <c r="C5515" s="2">
        <v>14</v>
      </c>
    </row>
    <row r="5516" spans="1:3" x14ac:dyDescent="0.25">
      <c r="A5516" s="3">
        <v>41304</v>
      </c>
      <c r="B5516" s="2" t="s">
        <v>39</v>
      </c>
      <c r="C5516" s="2">
        <v>2</v>
      </c>
    </row>
    <row r="5517" spans="1:3" x14ac:dyDescent="0.25">
      <c r="A5517" s="3">
        <v>41308</v>
      </c>
      <c r="B5517" s="2" t="s">
        <v>38</v>
      </c>
      <c r="C5517" s="2">
        <v>0</v>
      </c>
    </row>
    <row r="5518" spans="1:3" x14ac:dyDescent="0.25">
      <c r="A5518" s="3">
        <v>41965</v>
      </c>
      <c r="B5518" s="2" t="s">
        <v>9</v>
      </c>
      <c r="C5518" s="2">
        <v>46</v>
      </c>
    </row>
    <row r="5519" spans="1:3" x14ac:dyDescent="0.25">
      <c r="A5519" s="3">
        <v>41657</v>
      </c>
      <c r="B5519" s="2" t="s">
        <v>40</v>
      </c>
      <c r="C5519" s="2">
        <v>46</v>
      </c>
    </row>
    <row r="5520" spans="1:3" x14ac:dyDescent="0.25">
      <c r="A5520" s="3">
        <v>41850</v>
      </c>
      <c r="B5520" s="2" t="s">
        <v>30</v>
      </c>
      <c r="C5520" s="2">
        <v>43</v>
      </c>
    </row>
    <row r="5521" spans="1:3" x14ac:dyDescent="0.25">
      <c r="A5521" s="3">
        <v>41899</v>
      </c>
      <c r="B5521" s="2" t="s">
        <v>4</v>
      </c>
      <c r="C5521" s="2">
        <v>35</v>
      </c>
    </row>
    <row r="5522" spans="1:3" x14ac:dyDescent="0.25">
      <c r="A5522" s="3">
        <v>41425</v>
      </c>
      <c r="B5522" s="2" t="s">
        <v>11</v>
      </c>
      <c r="C5522" s="2">
        <v>25</v>
      </c>
    </row>
    <row r="5523" spans="1:3" x14ac:dyDescent="0.25">
      <c r="A5523" s="3">
        <v>41462</v>
      </c>
      <c r="B5523" s="2" t="s">
        <v>36</v>
      </c>
      <c r="C5523" s="2">
        <v>27</v>
      </c>
    </row>
    <row r="5524" spans="1:3" x14ac:dyDescent="0.25">
      <c r="A5524" s="3">
        <v>41755</v>
      </c>
      <c r="B5524" s="2" t="s">
        <v>33</v>
      </c>
      <c r="C5524" s="2">
        <v>48</v>
      </c>
    </row>
    <row r="5525" spans="1:3" x14ac:dyDescent="0.25">
      <c r="A5525" s="3">
        <v>41342</v>
      </c>
      <c r="B5525" s="2" t="s">
        <v>11</v>
      </c>
      <c r="C5525" s="2">
        <v>10</v>
      </c>
    </row>
    <row r="5526" spans="1:3" x14ac:dyDescent="0.25">
      <c r="A5526" s="3">
        <v>41334</v>
      </c>
      <c r="B5526" s="2" t="s">
        <v>17</v>
      </c>
      <c r="C5526" s="2">
        <v>33</v>
      </c>
    </row>
    <row r="5527" spans="1:3" x14ac:dyDescent="0.25">
      <c r="A5527" s="3">
        <v>41705</v>
      </c>
      <c r="B5527" s="2" t="s">
        <v>19</v>
      </c>
      <c r="C5527" s="2">
        <v>36</v>
      </c>
    </row>
    <row r="5528" spans="1:3" x14ac:dyDescent="0.25">
      <c r="A5528" s="3">
        <v>41614</v>
      </c>
      <c r="B5528" s="2" t="s">
        <v>33</v>
      </c>
      <c r="C5528" s="2">
        <v>42</v>
      </c>
    </row>
    <row r="5529" spans="1:3" x14ac:dyDescent="0.25">
      <c r="A5529" s="3">
        <v>41902</v>
      </c>
      <c r="B5529" s="2" t="s">
        <v>18</v>
      </c>
      <c r="C5529" s="2">
        <v>19</v>
      </c>
    </row>
    <row r="5530" spans="1:3" x14ac:dyDescent="0.25">
      <c r="A5530" s="3">
        <v>41535</v>
      </c>
      <c r="B5530" s="2" t="s">
        <v>37</v>
      </c>
      <c r="C5530" s="2">
        <v>28</v>
      </c>
    </row>
    <row r="5531" spans="1:3" x14ac:dyDescent="0.25">
      <c r="A5531" s="3">
        <v>41526</v>
      </c>
      <c r="B5531" s="2" t="s">
        <v>7</v>
      </c>
      <c r="C5531" s="2">
        <v>42</v>
      </c>
    </row>
    <row r="5532" spans="1:3" x14ac:dyDescent="0.25">
      <c r="A5532" s="3">
        <v>41476</v>
      </c>
      <c r="B5532" s="2" t="s">
        <v>48</v>
      </c>
      <c r="C5532" s="2">
        <v>60</v>
      </c>
    </row>
    <row r="5533" spans="1:3" x14ac:dyDescent="0.25">
      <c r="A5533" s="3">
        <v>41516</v>
      </c>
      <c r="B5533" s="2" t="s">
        <v>38</v>
      </c>
      <c r="C5533" s="2">
        <v>23</v>
      </c>
    </row>
    <row r="5534" spans="1:3" x14ac:dyDescent="0.25">
      <c r="A5534" s="3">
        <v>41501</v>
      </c>
      <c r="B5534" s="2" t="s">
        <v>47</v>
      </c>
      <c r="C5534" s="2">
        <v>18</v>
      </c>
    </row>
    <row r="5535" spans="1:3" x14ac:dyDescent="0.25">
      <c r="A5535" s="3">
        <v>41389</v>
      </c>
      <c r="B5535" s="2" t="s">
        <v>12</v>
      </c>
      <c r="C5535" s="2">
        <v>6</v>
      </c>
    </row>
    <row r="5536" spans="1:3" x14ac:dyDescent="0.25">
      <c r="A5536" s="3">
        <v>41724</v>
      </c>
      <c r="B5536" s="2" t="s">
        <v>49</v>
      </c>
      <c r="C5536" s="2">
        <v>42</v>
      </c>
    </row>
    <row r="5537" spans="1:3" x14ac:dyDescent="0.25">
      <c r="A5537" s="3">
        <v>41853</v>
      </c>
      <c r="B5537" s="2" t="s">
        <v>21</v>
      </c>
      <c r="C5537" s="2">
        <v>14</v>
      </c>
    </row>
    <row r="5538" spans="1:3" x14ac:dyDescent="0.25">
      <c r="A5538" s="3">
        <v>41473</v>
      </c>
      <c r="B5538" s="2" t="s">
        <v>23</v>
      </c>
      <c r="C5538" s="2">
        <v>45</v>
      </c>
    </row>
    <row r="5539" spans="1:3" x14ac:dyDescent="0.25">
      <c r="A5539" s="3">
        <v>41836</v>
      </c>
      <c r="B5539" s="2" t="s">
        <v>3</v>
      </c>
      <c r="C5539" s="2">
        <v>59</v>
      </c>
    </row>
    <row r="5540" spans="1:3" x14ac:dyDescent="0.25">
      <c r="A5540" s="3">
        <v>41290</v>
      </c>
      <c r="B5540" s="2" t="s">
        <v>51</v>
      </c>
      <c r="C5540" s="2">
        <v>52</v>
      </c>
    </row>
    <row r="5541" spans="1:3" x14ac:dyDescent="0.25">
      <c r="A5541" s="3">
        <v>41433</v>
      </c>
      <c r="B5541" s="2" t="s">
        <v>41</v>
      </c>
      <c r="C5541" s="2">
        <v>1</v>
      </c>
    </row>
    <row r="5542" spans="1:3" x14ac:dyDescent="0.25">
      <c r="A5542" s="3">
        <v>41852</v>
      </c>
      <c r="B5542" s="2" t="s">
        <v>30</v>
      </c>
      <c r="C5542" s="2">
        <v>38</v>
      </c>
    </row>
    <row r="5543" spans="1:3" x14ac:dyDescent="0.25">
      <c r="A5543" s="3">
        <v>41803</v>
      </c>
      <c r="B5543" s="2" t="s">
        <v>40</v>
      </c>
      <c r="C5543" s="2">
        <v>39</v>
      </c>
    </row>
    <row r="5544" spans="1:3" x14ac:dyDescent="0.25">
      <c r="A5544" s="3">
        <v>41706</v>
      </c>
      <c r="B5544" s="2" t="s">
        <v>3</v>
      </c>
      <c r="C5544" s="2">
        <v>39</v>
      </c>
    </row>
    <row r="5545" spans="1:3" x14ac:dyDescent="0.25">
      <c r="A5545" s="3">
        <v>41841</v>
      </c>
      <c r="B5545" s="2" t="s">
        <v>11</v>
      </c>
      <c r="C5545" s="2">
        <v>1</v>
      </c>
    </row>
    <row r="5546" spans="1:3" x14ac:dyDescent="0.25">
      <c r="A5546" s="3">
        <v>41496</v>
      </c>
      <c r="B5546" s="2" t="s">
        <v>27</v>
      </c>
      <c r="C5546" s="2">
        <v>22</v>
      </c>
    </row>
    <row r="5547" spans="1:3" x14ac:dyDescent="0.25">
      <c r="A5547" s="3">
        <v>41739</v>
      </c>
      <c r="B5547" s="2" t="s">
        <v>38</v>
      </c>
      <c r="C5547" s="2">
        <v>4</v>
      </c>
    </row>
    <row r="5548" spans="1:3" x14ac:dyDescent="0.25">
      <c r="A5548" s="3">
        <v>41359</v>
      </c>
      <c r="B5548" s="2" t="s">
        <v>44</v>
      </c>
      <c r="C5548" s="2">
        <v>36</v>
      </c>
    </row>
    <row r="5549" spans="1:3" x14ac:dyDescent="0.25">
      <c r="A5549" s="3">
        <v>41784</v>
      </c>
      <c r="B5549" s="2" t="s">
        <v>14</v>
      </c>
      <c r="C5549" s="2">
        <v>8</v>
      </c>
    </row>
    <row r="5550" spans="1:3" x14ac:dyDescent="0.25">
      <c r="A5550" s="3">
        <v>41518</v>
      </c>
      <c r="B5550" s="2" t="s">
        <v>16</v>
      </c>
      <c r="C5550" s="2">
        <v>2</v>
      </c>
    </row>
    <row r="5551" spans="1:3" x14ac:dyDescent="0.25">
      <c r="A5551" s="3">
        <v>41572</v>
      </c>
      <c r="B5551" s="2" t="s">
        <v>37</v>
      </c>
      <c r="C5551" s="2">
        <v>24</v>
      </c>
    </row>
    <row r="5552" spans="1:3" x14ac:dyDescent="0.25">
      <c r="A5552" s="3">
        <v>41281</v>
      </c>
      <c r="B5552" s="2" t="s">
        <v>36</v>
      </c>
      <c r="C5552" s="2">
        <v>31</v>
      </c>
    </row>
    <row r="5553" spans="1:3" x14ac:dyDescent="0.25">
      <c r="A5553" s="3">
        <v>41779</v>
      </c>
      <c r="B5553" s="2" t="s">
        <v>50</v>
      </c>
      <c r="C5553" s="2">
        <v>28</v>
      </c>
    </row>
    <row r="5554" spans="1:3" x14ac:dyDescent="0.25">
      <c r="A5554" s="3">
        <v>41527</v>
      </c>
      <c r="B5554" s="2" t="s">
        <v>33</v>
      </c>
      <c r="C5554" s="2">
        <v>47</v>
      </c>
    </row>
    <row r="5555" spans="1:3" x14ac:dyDescent="0.25">
      <c r="A5555" s="3">
        <v>41713</v>
      </c>
      <c r="B5555" s="2" t="s">
        <v>32</v>
      </c>
      <c r="C5555" s="2">
        <v>7</v>
      </c>
    </row>
    <row r="5556" spans="1:3" x14ac:dyDescent="0.25">
      <c r="A5556" s="3">
        <v>41459</v>
      </c>
      <c r="B5556" s="2" t="s">
        <v>24</v>
      </c>
      <c r="C5556" s="2">
        <v>14</v>
      </c>
    </row>
    <row r="5557" spans="1:3" x14ac:dyDescent="0.25">
      <c r="A5557" s="3">
        <v>41535</v>
      </c>
      <c r="B5557" s="2" t="s">
        <v>28</v>
      </c>
      <c r="C5557" s="2">
        <v>32</v>
      </c>
    </row>
    <row r="5558" spans="1:3" x14ac:dyDescent="0.25">
      <c r="A5558" s="3">
        <v>41736</v>
      </c>
      <c r="B5558" s="2" t="s">
        <v>2</v>
      </c>
      <c r="C5558" s="2">
        <v>46</v>
      </c>
    </row>
    <row r="5559" spans="1:3" x14ac:dyDescent="0.25">
      <c r="A5559" s="3">
        <v>41367</v>
      </c>
      <c r="B5559" s="2" t="s">
        <v>39</v>
      </c>
      <c r="C5559" s="2">
        <v>21</v>
      </c>
    </row>
    <row r="5560" spans="1:3" x14ac:dyDescent="0.25">
      <c r="A5560" s="3">
        <v>41355</v>
      </c>
      <c r="B5560" s="2" t="s">
        <v>38</v>
      </c>
      <c r="C5560" s="2">
        <v>20</v>
      </c>
    </row>
    <row r="5561" spans="1:3" x14ac:dyDescent="0.25">
      <c r="A5561" s="3">
        <v>41542</v>
      </c>
      <c r="B5561" s="2" t="s">
        <v>48</v>
      </c>
      <c r="C5561" s="2">
        <v>42</v>
      </c>
    </row>
    <row r="5562" spans="1:3" x14ac:dyDescent="0.25">
      <c r="A5562" s="3">
        <v>41547</v>
      </c>
      <c r="B5562" s="2" t="s">
        <v>41</v>
      </c>
      <c r="C5562" s="2">
        <v>48</v>
      </c>
    </row>
    <row r="5563" spans="1:3" x14ac:dyDescent="0.25">
      <c r="A5563" s="3">
        <v>41444</v>
      </c>
      <c r="B5563" s="2" t="s">
        <v>48</v>
      </c>
      <c r="C5563" s="2">
        <v>17</v>
      </c>
    </row>
    <row r="5564" spans="1:3" x14ac:dyDescent="0.25">
      <c r="A5564" s="3">
        <v>41562</v>
      </c>
      <c r="B5564" s="2" t="s">
        <v>5</v>
      </c>
      <c r="C5564" s="2">
        <v>10</v>
      </c>
    </row>
    <row r="5565" spans="1:3" x14ac:dyDescent="0.25">
      <c r="A5565" s="3">
        <v>41450</v>
      </c>
      <c r="B5565" s="2" t="s">
        <v>11</v>
      </c>
      <c r="C5565" s="2">
        <v>15</v>
      </c>
    </row>
    <row r="5566" spans="1:3" x14ac:dyDescent="0.25">
      <c r="A5566" s="3">
        <v>41470</v>
      </c>
      <c r="B5566" s="2" t="s">
        <v>15</v>
      </c>
      <c r="C5566" s="2">
        <v>0</v>
      </c>
    </row>
    <row r="5567" spans="1:3" x14ac:dyDescent="0.25">
      <c r="A5567" s="3">
        <v>41317</v>
      </c>
      <c r="B5567" s="2" t="s">
        <v>26</v>
      </c>
      <c r="C5567" s="2">
        <v>1</v>
      </c>
    </row>
    <row r="5568" spans="1:3" x14ac:dyDescent="0.25">
      <c r="A5568" s="3">
        <v>41467</v>
      </c>
      <c r="B5568" s="2" t="s">
        <v>25</v>
      </c>
      <c r="C5568" s="2">
        <v>41</v>
      </c>
    </row>
    <row r="5569" spans="1:3" x14ac:dyDescent="0.25">
      <c r="A5569" s="3">
        <v>41610</v>
      </c>
      <c r="B5569" s="2" t="s">
        <v>5</v>
      </c>
      <c r="C5569" s="2">
        <v>2</v>
      </c>
    </row>
    <row r="5570" spans="1:3" x14ac:dyDescent="0.25">
      <c r="A5570" s="3">
        <v>41348</v>
      </c>
      <c r="B5570" s="2" t="s">
        <v>51</v>
      </c>
      <c r="C5570" s="2">
        <v>24</v>
      </c>
    </row>
    <row r="5571" spans="1:3" x14ac:dyDescent="0.25">
      <c r="A5571" s="3">
        <v>41953</v>
      </c>
      <c r="B5571" s="2" t="s">
        <v>21</v>
      </c>
      <c r="C5571" s="2">
        <v>9</v>
      </c>
    </row>
    <row r="5572" spans="1:3" x14ac:dyDescent="0.25">
      <c r="A5572" s="3">
        <v>41578</v>
      </c>
      <c r="B5572" s="2" t="s">
        <v>25</v>
      </c>
      <c r="C5572" s="2">
        <v>19</v>
      </c>
    </row>
    <row r="5573" spans="1:3" x14ac:dyDescent="0.25">
      <c r="A5573" s="3">
        <v>41791</v>
      </c>
      <c r="B5573" s="2" t="s">
        <v>49</v>
      </c>
      <c r="C5573" s="2">
        <v>41</v>
      </c>
    </row>
    <row r="5574" spans="1:3" x14ac:dyDescent="0.25">
      <c r="A5574" s="3">
        <v>41455</v>
      </c>
      <c r="B5574" s="2" t="s">
        <v>33</v>
      </c>
      <c r="C5574" s="2">
        <v>8</v>
      </c>
    </row>
    <row r="5575" spans="1:3" x14ac:dyDescent="0.25">
      <c r="A5575" s="3">
        <v>41521</v>
      </c>
      <c r="B5575" s="2" t="s">
        <v>6</v>
      </c>
      <c r="C5575" s="2">
        <v>4</v>
      </c>
    </row>
    <row r="5576" spans="1:3" x14ac:dyDescent="0.25">
      <c r="A5576" s="3">
        <v>41365</v>
      </c>
      <c r="B5576" s="2" t="s">
        <v>8</v>
      </c>
      <c r="C5576" s="2">
        <v>9</v>
      </c>
    </row>
    <row r="5577" spans="1:3" x14ac:dyDescent="0.25">
      <c r="A5577" s="3">
        <v>41432</v>
      </c>
      <c r="B5577" s="2" t="s">
        <v>49</v>
      </c>
      <c r="C5577" s="2">
        <v>52</v>
      </c>
    </row>
    <row r="5578" spans="1:3" x14ac:dyDescent="0.25">
      <c r="A5578" s="3">
        <v>41303</v>
      </c>
      <c r="B5578" s="2" t="s">
        <v>10</v>
      </c>
      <c r="C5578" s="2">
        <v>39</v>
      </c>
    </row>
    <row r="5579" spans="1:3" x14ac:dyDescent="0.25">
      <c r="A5579" s="3">
        <v>41964</v>
      </c>
      <c r="B5579" s="2" t="s">
        <v>10</v>
      </c>
      <c r="C5579" s="2">
        <v>12</v>
      </c>
    </row>
    <row r="5580" spans="1:3" x14ac:dyDescent="0.25">
      <c r="A5580" s="3">
        <v>41750</v>
      </c>
      <c r="B5580" s="2" t="s">
        <v>25</v>
      </c>
      <c r="C5580" s="2">
        <v>37</v>
      </c>
    </row>
    <row r="5581" spans="1:3" x14ac:dyDescent="0.25">
      <c r="A5581" s="3">
        <v>41725</v>
      </c>
      <c r="B5581" s="2" t="s">
        <v>6</v>
      </c>
      <c r="C5581" s="2">
        <v>18</v>
      </c>
    </row>
    <row r="5582" spans="1:3" x14ac:dyDescent="0.25">
      <c r="A5582" s="3">
        <v>41537</v>
      </c>
      <c r="B5582" s="2" t="s">
        <v>2</v>
      </c>
      <c r="C5582" s="2">
        <v>8</v>
      </c>
    </row>
    <row r="5583" spans="1:3" x14ac:dyDescent="0.25">
      <c r="A5583" s="3">
        <v>41359</v>
      </c>
      <c r="B5583" s="2" t="s">
        <v>49</v>
      </c>
      <c r="C5583" s="2">
        <v>20</v>
      </c>
    </row>
    <row r="5584" spans="1:3" x14ac:dyDescent="0.25">
      <c r="A5584" s="3">
        <v>41317</v>
      </c>
      <c r="B5584" s="2" t="s">
        <v>43</v>
      </c>
      <c r="C5584" s="2">
        <v>36</v>
      </c>
    </row>
    <row r="5585" spans="1:3" x14ac:dyDescent="0.25">
      <c r="A5585" s="3">
        <v>41449</v>
      </c>
      <c r="B5585" s="2" t="s">
        <v>23</v>
      </c>
      <c r="C5585" s="2">
        <v>45</v>
      </c>
    </row>
    <row r="5586" spans="1:3" x14ac:dyDescent="0.25">
      <c r="A5586" s="3">
        <v>41434</v>
      </c>
      <c r="B5586" s="2" t="s">
        <v>38</v>
      </c>
      <c r="C5586" s="2">
        <v>26</v>
      </c>
    </row>
    <row r="5587" spans="1:3" x14ac:dyDescent="0.25">
      <c r="A5587" s="3">
        <v>42001</v>
      </c>
      <c r="B5587" s="2" t="s">
        <v>2</v>
      </c>
      <c r="C5587" s="2">
        <v>22</v>
      </c>
    </row>
    <row r="5588" spans="1:3" x14ac:dyDescent="0.25">
      <c r="A5588" s="3">
        <v>41504</v>
      </c>
      <c r="B5588" s="2" t="s">
        <v>12</v>
      </c>
      <c r="C5588" s="2">
        <v>61</v>
      </c>
    </row>
    <row r="5589" spans="1:3" x14ac:dyDescent="0.25">
      <c r="A5589" s="3">
        <v>41711</v>
      </c>
      <c r="B5589" s="2" t="s">
        <v>29</v>
      </c>
      <c r="C5589" s="2">
        <v>29</v>
      </c>
    </row>
    <row r="5590" spans="1:3" x14ac:dyDescent="0.25">
      <c r="A5590" s="3">
        <v>41455</v>
      </c>
      <c r="B5590" s="2" t="s">
        <v>31</v>
      </c>
      <c r="C5590" s="2">
        <v>58</v>
      </c>
    </row>
    <row r="5591" spans="1:3" x14ac:dyDescent="0.25">
      <c r="A5591" s="3">
        <v>41737</v>
      </c>
      <c r="B5591" s="2" t="s">
        <v>2</v>
      </c>
      <c r="C5591" s="2">
        <v>37</v>
      </c>
    </row>
    <row r="5592" spans="1:3" x14ac:dyDescent="0.25">
      <c r="A5592" s="3">
        <v>41423</v>
      </c>
      <c r="B5592" s="2" t="s">
        <v>48</v>
      </c>
      <c r="C5592" s="2">
        <v>9</v>
      </c>
    </row>
    <row r="5593" spans="1:3" x14ac:dyDescent="0.25">
      <c r="A5593" s="3">
        <v>41337</v>
      </c>
      <c r="B5593" s="2" t="s">
        <v>9</v>
      </c>
      <c r="C5593" s="2">
        <v>31</v>
      </c>
    </row>
    <row r="5594" spans="1:3" x14ac:dyDescent="0.25">
      <c r="A5594" s="3">
        <v>41311</v>
      </c>
      <c r="B5594" s="2" t="s">
        <v>2</v>
      </c>
      <c r="C5594" s="2">
        <v>21</v>
      </c>
    </row>
    <row r="5595" spans="1:3" x14ac:dyDescent="0.25">
      <c r="A5595" s="3">
        <v>41947</v>
      </c>
      <c r="B5595" s="2" t="s">
        <v>39</v>
      </c>
      <c r="C5595" s="2">
        <v>44</v>
      </c>
    </row>
    <row r="5596" spans="1:3" x14ac:dyDescent="0.25">
      <c r="A5596" s="3">
        <v>41926</v>
      </c>
      <c r="B5596" s="2" t="s">
        <v>41</v>
      </c>
      <c r="C5596" s="2">
        <v>41</v>
      </c>
    </row>
    <row r="5597" spans="1:3" x14ac:dyDescent="0.25">
      <c r="A5597" s="3">
        <v>41750</v>
      </c>
      <c r="B5597" s="2" t="s">
        <v>2</v>
      </c>
      <c r="C5597" s="2">
        <v>31</v>
      </c>
    </row>
    <row r="5598" spans="1:3" x14ac:dyDescent="0.25">
      <c r="A5598" s="3">
        <v>41843</v>
      </c>
      <c r="B5598" s="2" t="s">
        <v>19</v>
      </c>
      <c r="C5598" s="2">
        <v>21</v>
      </c>
    </row>
    <row r="5599" spans="1:3" x14ac:dyDescent="0.25">
      <c r="A5599" s="3">
        <v>41792</v>
      </c>
      <c r="B5599" s="2" t="s">
        <v>51</v>
      </c>
      <c r="C5599" s="2">
        <v>27</v>
      </c>
    </row>
    <row r="5600" spans="1:3" x14ac:dyDescent="0.25">
      <c r="A5600" s="3">
        <v>41864</v>
      </c>
      <c r="B5600" s="2" t="s">
        <v>44</v>
      </c>
      <c r="C5600" s="2">
        <v>42</v>
      </c>
    </row>
    <row r="5601" spans="1:3" x14ac:dyDescent="0.25">
      <c r="A5601" s="3">
        <v>41828</v>
      </c>
      <c r="B5601" s="2" t="s">
        <v>23</v>
      </c>
      <c r="C5601" s="2">
        <v>25</v>
      </c>
    </row>
    <row r="5602" spans="1:3" x14ac:dyDescent="0.25">
      <c r="A5602" s="3">
        <v>41565</v>
      </c>
      <c r="B5602" s="2" t="s">
        <v>6</v>
      </c>
      <c r="C5602" s="2">
        <v>30</v>
      </c>
    </row>
    <row r="5603" spans="1:3" x14ac:dyDescent="0.25">
      <c r="A5603" s="3">
        <v>41540</v>
      </c>
      <c r="B5603" s="2" t="s">
        <v>20</v>
      </c>
      <c r="C5603" s="2">
        <v>10</v>
      </c>
    </row>
    <row r="5604" spans="1:3" x14ac:dyDescent="0.25">
      <c r="A5604" s="3">
        <v>41836</v>
      </c>
      <c r="B5604" s="2" t="s">
        <v>19</v>
      </c>
      <c r="C5604" s="2">
        <v>19</v>
      </c>
    </row>
    <row r="5605" spans="1:3" x14ac:dyDescent="0.25">
      <c r="A5605" s="3">
        <v>41356</v>
      </c>
      <c r="B5605" s="2" t="s">
        <v>17</v>
      </c>
      <c r="C5605" s="2">
        <v>22</v>
      </c>
    </row>
    <row r="5606" spans="1:3" x14ac:dyDescent="0.25">
      <c r="A5606" s="3">
        <v>41334</v>
      </c>
      <c r="B5606" s="2" t="s">
        <v>49</v>
      </c>
      <c r="C5606" s="2">
        <v>31</v>
      </c>
    </row>
    <row r="5607" spans="1:3" x14ac:dyDescent="0.25">
      <c r="A5607" s="3">
        <v>41384</v>
      </c>
      <c r="B5607" s="2" t="s">
        <v>50</v>
      </c>
      <c r="C5607" s="2">
        <v>29</v>
      </c>
    </row>
    <row r="5608" spans="1:3" x14ac:dyDescent="0.25">
      <c r="A5608" s="3">
        <v>41556</v>
      </c>
      <c r="B5608" s="2" t="s">
        <v>8</v>
      </c>
      <c r="C5608" s="2">
        <v>41</v>
      </c>
    </row>
    <row r="5609" spans="1:3" x14ac:dyDescent="0.25">
      <c r="A5609" s="3">
        <v>41621</v>
      </c>
      <c r="B5609" s="2" t="s">
        <v>30</v>
      </c>
      <c r="C5609" s="2">
        <v>40</v>
      </c>
    </row>
    <row r="5610" spans="1:3" x14ac:dyDescent="0.25">
      <c r="A5610" s="3">
        <v>41509</v>
      </c>
      <c r="B5610" s="2" t="s">
        <v>32</v>
      </c>
      <c r="C5610" s="2">
        <v>42</v>
      </c>
    </row>
    <row r="5611" spans="1:3" x14ac:dyDescent="0.25">
      <c r="A5611" s="3">
        <v>41320</v>
      </c>
      <c r="B5611" s="2" t="s">
        <v>24</v>
      </c>
      <c r="C5611" s="2">
        <v>20</v>
      </c>
    </row>
    <row r="5612" spans="1:3" x14ac:dyDescent="0.25">
      <c r="A5612" s="3">
        <v>41873</v>
      </c>
      <c r="B5612" s="2" t="s">
        <v>40</v>
      </c>
      <c r="C5612" s="2">
        <v>67</v>
      </c>
    </row>
    <row r="5613" spans="1:3" x14ac:dyDescent="0.25">
      <c r="A5613" s="3">
        <v>41783</v>
      </c>
      <c r="B5613" s="2" t="s">
        <v>49</v>
      </c>
      <c r="C5613" s="2">
        <v>25</v>
      </c>
    </row>
    <row r="5614" spans="1:3" x14ac:dyDescent="0.25">
      <c r="A5614" s="3">
        <v>41905</v>
      </c>
      <c r="B5614" s="2" t="s">
        <v>15</v>
      </c>
      <c r="C5614" s="2">
        <v>15</v>
      </c>
    </row>
    <row r="5615" spans="1:3" x14ac:dyDescent="0.25">
      <c r="A5615" s="3">
        <v>41764</v>
      </c>
      <c r="B5615" s="2" t="s">
        <v>28</v>
      </c>
      <c r="C5615" s="2">
        <v>6</v>
      </c>
    </row>
    <row r="5616" spans="1:3" x14ac:dyDescent="0.25">
      <c r="A5616" s="3">
        <v>41575</v>
      </c>
      <c r="B5616" s="2" t="s">
        <v>28</v>
      </c>
      <c r="C5616" s="2">
        <v>41</v>
      </c>
    </row>
    <row r="5617" spans="1:3" x14ac:dyDescent="0.25">
      <c r="A5617" s="3">
        <v>41921</v>
      </c>
      <c r="B5617" s="2" t="s">
        <v>33</v>
      </c>
      <c r="C5617" s="2">
        <v>31</v>
      </c>
    </row>
    <row r="5618" spans="1:3" x14ac:dyDescent="0.25">
      <c r="A5618" s="3">
        <v>41568</v>
      </c>
      <c r="B5618" s="2" t="s">
        <v>13</v>
      </c>
      <c r="C5618" s="2">
        <v>19</v>
      </c>
    </row>
    <row r="5619" spans="1:3" x14ac:dyDescent="0.25">
      <c r="A5619" s="3">
        <v>41490</v>
      </c>
      <c r="B5619" s="2" t="s">
        <v>51</v>
      </c>
      <c r="C5619" s="2">
        <v>10</v>
      </c>
    </row>
    <row r="5620" spans="1:3" x14ac:dyDescent="0.25">
      <c r="A5620" s="3">
        <v>41983</v>
      </c>
      <c r="B5620" s="2" t="s">
        <v>3</v>
      </c>
      <c r="C5620" s="2">
        <v>42</v>
      </c>
    </row>
    <row r="5621" spans="1:3" x14ac:dyDescent="0.25">
      <c r="A5621" s="3">
        <v>41629</v>
      </c>
      <c r="B5621" s="2" t="s">
        <v>51</v>
      </c>
      <c r="C5621" s="2">
        <v>14</v>
      </c>
    </row>
    <row r="5622" spans="1:3" x14ac:dyDescent="0.25">
      <c r="A5622" s="3">
        <v>41822</v>
      </c>
      <c r="B5622" s="2" t="s">
        <v>24</v>
      </c>
      <c r="C5622" s="2">
        <v>35</v>
      </c>
    </row>
    <row r="5623" spans="1:3" x14ac:dyDescent="0.25">
      <c r="A5623" s="3">
        <v>41898</v>
      </c>
      <c r="B5623" s="2" t="s">
        <v>10</v>
      </c>
      <c r="C5623" s="2">
        <v>34</v>
      </c>
    </row>
    <row r="5624" spans="1:3" x14ac:dyDescent="0.25">
      <c r="A5624" s="3">
        <v>41630</v>
      </c>
      <c r="B5624" s="2" t="s">
        <v>25</v>
      </c>
      <c r="C5624" s="2">
        <v>12</v>
      </c>
    </row>
    <row r="5625" spans="1:3" x14ac:dyDescent="0.25">
      <c r="A5625" s="3">
        <v>41947</v>
      </c>
      <c r="B5625" s="2" t="s">
        <v>25</v>
      </c>
      <c r="C5625" s="2">
        <v>6</v>
      </c>
    </row>
    <row r="5626" spans="1:3" x14ac:dyDescent="0.25">
      <c r="A5626" s="3">
        <v>41424</v>
      </c>
      <c r="B5626" s="2" t="s">
        <v>32</v>
      </c>
      <c r="C5626" s="2">
        <v>24</v>
      </c>
    </row>
    <row r="5627" spans="1:3" x14ac:dyDescent="0.25">
      <c r="A5627" s="3">
        <v>41934</v>
      </c>
      <c r="B5627" s="2" t="s">
        <v>4</v>
      </c>
      <c r="C5627" s="2">
        <v>39</v>
      </c>
    </row>
    <row r="5628" spans="1:3" x14ac:dyDescent="0.25">
      <c r="A5628" s="3">
        <v>41856</v>
      </c>
      <c r="B5628" s="2" t="s">
        <v>9</v>
      </c>
      <c r="C5628" s="2">
        <v>44</v>
      </c>
    </row>
    <row r="5629" spans="1:3" x14ac:dyDescent="0.25">
      <c r="A5629" s="3">
        <v>41723</v>
      </c>
      <c r="B5629" s="2" t="s">
        <v>23</v>
      </c>
      <c r="C5629" s="2">
        <v>14</v>
      </c>
    </row>
    <row r="5630" spans="1:3" x14ac:dyDescent="0.25">
      <c r="A5630" s="3">
        <v>41717</v>
      </c>
      <c r="B5630" s="2" t="s">
        <v>31</v>
      </c>
      <c r="C5630" s="2">
        <v>44</v>
      </c>
    </row>
    <row r="5631" spans="1:3" x14ac:dyDescent="0.25">
      <c r="A5631" s="3">
        <v>41712</v>
      </c>
      <c r="B5631" s="2" t="s">
        <v>31</v>
      </c>
      <c r="C5631" s="2">
        <v>39</v>
      </c>
    </row>
    <row r="5632" spans="1:3" x14ac:dyDescent="0.25">
      <c r="A5632" s="3">
        <v>41858</v>
      </c>
      <c r="B5632" s="2" t="s">
        <v>21</v>
      </c>
      <c r="C5632" s="2">
        <v>33</v>
      </c>
    </row>
    <row r="5633" spans="1:3" x14ac:dyDescent="0.25">
      <c r="A5633" s="3">
        <v>41928</v>
      </c>
      <c r="B5633" s="2" t="s">
        <v>39</v>
      </c>
      <c r="C5633" s="2">
        <v>15</v>
      </c>
    </row>
    <row r="5634" spans="1:3" x14ac:dyDescent="0.25">
      <c r="A5634" s="3">
        <v>41610</v>
      </c>
      <c r="B5634" s="2" t="s">
        <v>7</v>
      </c>
      <c r="C5634" s="2">
        <v>17</v>
      </c>
    </row>
    <row r="5635" spans="1:3" x14ac:dyDescent="0.25">
      <c r="A5635" s="3">
        <v>41873</v>
      </c>
      <c r="B5635" s="2" t="s">
        <v>50</v>
      </c>
      <c r="C5635" s="2">
        <v>23</v>
      </c>
    </row>
    <row r="5636" spans="1:3" x14ac:dyDescent="0.25">
      <c r="A5636" s="3">
        <v>41514</v>
      </c>
      <c r="B5636" s="2" t="s">
        <v>44</v>
      </c>
      <c r="C5636" s="2">
        <v>20</v>
      </c>
    </row>
    <row r="5637" spans="1:3" x14ac:dyDescent="0.25">
      <c r="A5637" s="3">
        <v>41754</v>
      </c>
      <c r="B5637" s="2" t="s">
        <v>49</v>
      </c>
      <c r="C5637" s="2">
        <v>50</v>
      </c>
    </row>
    <row r="5638" spans="1:3" x14ac:dyDescent="0.25">
      <c r="A5638" s="3">
        <v>41678</v>
      </c>
      <c r="B5638" s="2" t="s">
        <v>13</v>
      </c>
      <c r="C5638" s="2">
        <v>44</v>
      </c>
    </row>
    <row r="5639" spans="1:3" x14ac:dyDescent="0.25">
      <c r="A5639" s="3">
        <v>41416</v>
      </c>
      <c r="B5639" s="2" t="s">
        <v>51</v>
      </c>
      <c r="C5639" s="2">
        <v>37</v>
      </c>
    </row>
    <row r="5640" spans="1:3" x14ac:dyDescent="0.25">
      <c r="A5640" s="3">
        <v>41470</v>
      </c>
      <c r="B5640" s="2" t="s">
        <v>3</v>
      </c>
      <c r="C5640" s="2">
        <v>16</v>
      </c>
    </row>
    <row r="5641" spans="1:3" x14ac:dyDescent="0.25">
      <c r="A5641" s="3">
        <v>41596</v>
      </c>
      <c r="B5641" s="2" t="s">
        <v>29</v>
      </c>
      <c r="C5641" s="2">
        <v>26</v>
      </c>
    </row>
    <row r="5642" spans="1:3" x14ac:dyDescent="0.25">
      <c r="A5642" s="3">
        <v>41379</v>
      </c>
      <c r="B5642" s="2" t="s">
        <v>17</v>
      </c>
      <c r="C5642" s="2">
        <v>20</v>
      </c>
    </row>
    <row r="5643" spans="1:3" x14ac:dyDescent="0.25">
      <c r="A5643" s="3">
        <v>41934</v>
      </c>
      <c r="B5643" s="2" t="s">
        <v>45</v>
      </c>
      <c r="C5643" s="2">
        <v>49</v>
      </c>
    </row>
    <row r="5644" spans="1:3" x14ac:dyDescent="0.25">
      <c r="A5644" s="3">
        <v>41542</v>
      </c>
      <c r="B5644" s="2" t="s">
        <v>25</v>
      </c>
      <c r="C5644" s="2">
        <v>50</v>
      </c>
    </row>
    <row r="5645" spans="1:3" x14ac:dyDescent="0.25">
      <c r="A5645" s="3">
        <v>41345</v>
      </c>
      <c r="B5645" s="2" t="s">
        <v>36</v>
      </c>
      <c r="C5645" s="2">
        <v>44</v>
      </c>
    </row>
    <row r="5646" spans="1:3" x14ac:dyDescent="0.25">
      <c r="A5646" s="3">
        <v>41603</v>
      </c>
      <c r="B5646" s="2" t="s">
        <v>14</v>
      </c>
      <c r="C5646" s="2">
        <v>19</v>
      </c>
    </row>
    <row r="5647" spans="1:3" x14ac:dyDescent="0.25">
      <c r="A5647" s="3">
        <v>41321</v>
      </c>
      <c r="B5647" s="2" t="s">
        <v>27</v>
      </c>
      <c r="C5647" s="2">
        <v>41</v>
      </c>
    </row>
    <row r="5648" spans="1:3" x14ac:dyDescent="0.25">
      <c r="A5648" s="3">
        <v>41622</v>
      </c>
      <c r="B5648" s="2" t="s">
        <v>9</v>
      </c>
      <c r="C5648" s="2">
        <v>30</v>
      </c>
    </row>
    <row r="5649" spans="1:3" x14ac:dyDescent="0.25">
      <c r="A5649" s="3">
        <v>41773</v>
      </c>
      <c r="B5649" s="2" t="s">
        <v>45</v>
      </c>
      <c r="C5649" s="2">
        <v>19</v>
      </c>
    </row>
    <row r="5650" spans="1:3" x14ac:dyDescent="0.25">
      <c r="A5650" s="3">
        <v>41414</v>
      </c>
      <c r="B5650" s="2" t="s">
        <v>46</v>
      </c>
      <c r="C5650" s="2">
        <v>25</v>
      </c>
    </row>
    <row r="5651" spans="1:3" x14ac:dyDescent="0.25">
      <c r="A5651" s="3">
        <v>41364</v>
      </c>
      <c r="B5651" s="2" t="s">
        <v>14</v>
      </c>
      <c r="C5651" s="2">
        <v>39</v>
      </c>
    </row>
    <row r="5652" spans="1:3" x14ac:dyDescent="0.25">
      <c r="A5652" s="3">
        <v>41670</v>
      </c>
      <c r="B5652" s="2" t="s">
        <v>17</v>
      </c>
      <c r="C5652" s="2">
        <v>8</v>
      </c>
    </row>
    <row r="5653" spans="1:3" x14ac:dyDescent="0.25">
      <c r="A5653" s="3">
        <v>41896</v>
      </c>
      <c r="B5653" s="2" t="s">
        <v>40</v>
      </c>
      <c r="C5653" s="2">
        <v>18</v>
      </c>
    </row>
    <row r="5654" spans="1:3" x14ac:dyDescent="0.25">
      <c r="A5654" s="3">
        <v>41451</v>
      </c>
      <c r="B5654" s="2" t="s">
        <v>24</v>
      </c>
      <c r="C5654" s="2">
        <v>25</v>
      </c>
    </row>
    <row r="5655" spans="1:3" x14ac:dyDescent="0.25">
      <c r="A5655" s="3">
        <v>42004</v>
      </c>
      <c r="B5655" s="2" t="s">
        <v>20</v>
      </c>
      <c r="C5655" s="2">
        <v>17</v>
      </c>
    </row>
    <row r="5656" spans="1:3" x14ac:dyDescent="0.25">
      <c r="A5656" s="3">
        <v>41599</v>
      </c>
      <c r="B5656" s="2" t="s">
        <v>20</v>
      </c>
      <c r="C5656" s="2">
        <v>25</v>
      </c>
    </row>
    <row r="5657" spans="1:3" x14ac:dyDescent="0.25">
      <c r="A5657" s="3">
        <v>41917</v>
      </c>
      <c r="B5657" s="2" t="s">
        <v>17</v>
      </c>
      <c r="C5657" s="2">
        <v>14</v>
      </c>
    </row>
    <row r="5658" spans="1:3" x14ac:dyDescent="0.25">
      <c r="A5658" s="3">
        <v>41901</v>
      </c>
      <c r="B5658" s="2" t="s">
        <v>37</v>
      </c>
      <c r="C5658" s="2">
        <v>12</v>
      </c>
    </row>
    <row r="5659" spans="1:3" x14ac:dyDescent="0.25">
      <c r="A5659" s="3">
        <v>41288</v>
      </c>
      <c r="B5659" s="2" t="s">
        <v>48</v>
      </c>
      <c r="C5659" s="2">
        <v>33</v>
      </c>
    </row>
    <row r="5660" spans="1:3" x14ac:dyDescent="0.25">
      <c r="A5660" s="3">
        <v>41790</v>
      </c>
      <c r="B5660" s="2" t="s">
        <v>45</v>
      </c>
      <c r="C5660" s="2">
        <v>44</v>
      </c>
    </row>
    <row r="5661" spans="1:3" x14ac:dyDescent="0.25">
      <c r="A5661" s="3">
        <v>41443</v>
      </c>
      <c r="B5661" s="2" t="s">
        <v>41</v>
      </c>
      <c r="C5661" s="2">
        <v>22</v>
      </c>
    </row>
    <row r="5662" spans="1:3" x14ac:dyDescent="0.25">
      <c r="A5662" s="3">
        <v>41858</v>
      </c>
      <c r="B5662" s="2" t="s">
        <v>26</v>
      </c>
      <c r="C5662" s="2">
        <v>35</v>
      </c>
    </row>
    <row r="5663" spans="1:3" x14ac:dyDescent="0.25">
      <c r="A5663" s="3">
        <v>41673</v>
      </c>
      <c r="B5663" s="2" t="s">
        <v>3</v>
      </c>
      <c r="C5663" s="2">
        <v>31</v>
      </c>
    </row>
    <row r="5664" spans="1:3" x14ac:dyDescent="0.25">
      <c r="A5664" s="3">
        <v>41309</v>
      </c>
      <c r="B5664" s="2" t="s">
        <v>19</v>
      </c>
      <c r="C5664" s="2">
        <v>27</v>
      </c>
    </row>
    <row r="5665" spans="1:3" x14ac:dyDescent="0.25">
      <c r="A5665" s="3">
        <v>41338</v>
      </c>
      <c r="B5665" s="2" t="s">
        <v>8</v>
      </c>
      <c r="C5665" s="2">
        <v>44</v>
      </c>
    </row>
    <row r="5666" spans="1:3" x14ac:dyDescent="0.25">
      <c r="A5666" s="3">
        <v>41836</v>
      </c>
      <c r="B5666" s="2" t="s">
        <v>24</v>
      </c>
      <c r="C5666" s="2">
        <v>15</v>
      </c>
    </row>
    <row r="5667" spans="1:3" x14ac:dyDescent="0.25">
      <c r="A5667" s="3">
        <v>41449</v>
      </c>
      <c r="B5667" s="2" t="s">
        <v>39</v>
      </c>
      <c r="C5667" s="2">
        <v>16</v>
      </c>
    </row>
    <row r="5668" spans="1:3" x14ac:dyDescent="0.25">
      <c r="A5668" s="3">
        <v>41710</v>
      </c>
      <c r="B5668" s="2" t="s">
        <v>28</v>
      </c>
      <c r="C5668" s="2">
        <v>27</v>
      </c>
    </row>
    <row r="5669" spans="1:3" x14ac:dyDescent="0.25">
      <c r="A5669" s="3">
        <v>41767</v>
      </c>
      <c r="B5669" s="2" t="s">
        <v>43</v>
      </c>
      <c r="C5669" s="2">
        <v>5</v>
      </c>
    </row>
    <row r="5670" spans="1:3" x14ac:dyDescent="0.25">
      <c r="A5670" s="3">
        <v>41911</v>
      </c>
      <c r="B5670" s="2" t="s">
        <v>7</v>
      </c>
      <c r="C5670" s="2">
        <v>20</v>
      </c>
    </row>
    <row r="5671" spans="1:3" x14ac:dyDescent="0.25">
      <c r="A5671" s="3">
        <v>41478</v>
      </c>
      <c r="B5671" s="2" t="s">
        <v>35</v>
      </c>
      <c r="C5671" s="2">
        <v>31</v>
      </c>
    </row>
    <row r="5672" spans="1:3" x14ac:dyDescent="0.25">
      <c r="A5672" s="3">
        <v>41530</v>
      </c>
      <c r="B5672" s="2" t="s">
        <v>33</v>
      </c>
      <c r="C5672" s="2">
        <v>23</v>
      </c>
    </row>
    <row r="5673" spans="1:3" x14ac:dyDescent="0.25">
      <c r="A5673" s="3">
        <v>41858</v>
      </c>
      <c r="B5673" s="2" t="s">
        <v>16</v>
      </c>
      <c r="C5673" s="2">
        <v>33</v>
      </c>
    </row>
    <row r="5674" spans="1:3" x14ac:dyDescent="0.25">
      <c r="A5674" s="3">
        <v>41762</v>
      </c>
      <c r="B5674" s="2" t="s">
        <v>19</v>
      </c>
      <c r="C5674" s="2">
        <v>1</v>
      </c>
    </row>
    <row r="5675" spans="1:3" x14ac:dyDescent="0.25">
      <c r="A5675" s="3">
        <v>41943</v>
      </c>
      <c r="B5675" s="2" t="s">
        <v>3</v>
      </c>
      <c r="C5675" s="2">
        <v>28</v>
      </c>
    </row>
    <row r="5676" spans="1:3" x14ac:dyDescent="0.25">
      <c r="A5676" s="3">
        <v>41793</v>
      </c>
      <c r="B5676" s="2" t="s">
        <v>10</v>
      </c>
      <c r="C5676" s="2">
        <v>26</v>
      </c>
    </row>
    <row r="5677" spans="1:3" x14ac:dyDescent="0.25">
      <c r="A5677" s="3">
        <v>41495</v>
      </c>
      <c r="B5677" s="2" t="s">
        <v>36</v>
      </c>
      <c r="C5677" s="2">
        <v>21</v>
      </c>
    </row>
    <row r="5678" spans="1:3" x14ac:dyDescent="0.25">
      <c r="A5678" s="3">
        <v>41864</v>
      </c>
      <c r="B5678" s="2" t="s">
        <v>28</v>
      </c>
      <c r="C5678" s="2">
        <v>11</v>
      </c>
    </row>
    <row r="5679" spans="1:3" x14ac:dyDescent="0.25">
      <c r="A5679" s="3">
        <v>41695</v>
      </c>
      <c r="B5679" s="2" t="s">
        <v>25</v>
      </c>
      <c r="C5679" s="2">
        <v>51</v>
      </c>
    </row>
    <row r="5680" spans="1:3" x14ac:dyDescent="0.25">
      <c r="A5680" s="3">
        <v>41847</v>
      </c>
      <c r="B5680" s="2" t="s">
        <v>37</v>
      </c>
      <c r="C5680" s="2">
        <v>33</v>
      </c>
    </row>
    <row r="5681" spans="1:3" x14ac:dyDescent="0.25">
      <c r="A5681" s="3">
        <v>41921</v>
      </c>
      <c r="B5681" s="2" t="s">
        <v>40</v>
      </c>
      <c r="C5681" s="2">
        <v>54</v>
      </c>
    </row>
    <row r="5682" spans="1:3" x14ac:dyDescent="0.25">
      <c r="A5682" s="3">
        <v>41327</v>
      </c>
      <c r="B5682" s="2" t="s">
        <v>29</v>
      </c>
      <c r="C5682" s="2">
        <v>53</v>
      </c>
    </row>
    <row r="5683" spans="1:3" x14ac:dyDescent="0.25">
      <c r="A5683" s="3">
        <v>41461</v>
      </c>
      <c r="B5683" s="2" t="s">
        <v>24</v>
      </c>
      <c r="C5683" s="2">
        <v>22</v>
      </c>
    </row>
    <row r="5684" spans="1:3" x14ac:dyDescent="0.25">
      <c r="A5684" s="3">
        <v>41568</v>
      </c>
      <c r="B5684" s="2" t="s">
        <v>41</v>
      </c>
      <c r="C5684" s="2">
        <v>29</v>
      </c>
    </row>
    <row r="5685" spans="1:3" x14ac:dyDescent="0.25">
      <c r="A5685" s="3">
        <v>41850</v>
      </c>
      <c r="B5685" s="2" t="s">
        <v>21</v>
      </c>
      <c r="C5685" s="2">
        <v>28</v>
      </c>
    </row>
    <row r="5686" spans="1:3" x14ac:dyDescent="0.25">
      <c r="A5686" s="3">
        <v>41893</v>
      </c>
      <c r="B5686" s="2" t="s">
        <v>13</v>
      </c>
      <c r="C5686" s="2">
        <v>36</v>
      </c>
    </row>
    <row r="5687" spans="1:3" x14ac:dyDescent="0.25">
      <c r="A5687" s="3">
        <v>41344</v>
      </c>
      <c r="B5687" s="2" t="s">
        <v>24</v>
      </c>
      <c r="C5687" s="2">
        <v>9</v>
      </c>
    </row>
    <row r="5688" spans="1:3" x14ac:dyDescent="0.25">
      <c r="A5688" s="3">
        <v>41877</v>
      </c>
      <c r="B5688" s="2" t="s">
        <v>10</v>
      </c>
      <c r="C5688" s="2">
        <v>37</v>
      </c>
    </row>
    <row r="5689" spans="1:3" x14ac:dyDescent="0.25">
      <c r="A5689" s="3">
        <v>41653</v>
      </c>
      <c r="B5689" s="2" t="s">
        <v>44</v>
      </c>
      <c r="C5689" s="2">
        <v>31</v>
      </c>
    </row>
    <row r="5690" spans="1:3" x14ac:dyDescent="0.25">
      <c r="A5690" s="3">
        <v>41557</v>
      </c>
      <c r="B5690" s="2" t="s">
        <v>10</v>
      </c>
      <c r="C5690" s="2">
        <v>18</v>
      </c>
    </row>
    <row r="5691" spans="1:3" x14ac:dyDescent="0.25">
      <c r="A5691" s="3">
        <v>41533</v>
      </c>
      <c r="B5691" s="2" t="s">
        <v>8</v>
      </c>
      <c r="C5691" s="2">
        <v>21</v>
      </c>
    </row>
    <row r="5692" spans="1:3" x14ac:dyDescent="0.25">
      <c r="A5692" s="3">
        <v>41458</v>
      </c>
      <c r="B5692" s="2" t="s">
        <v>17</v>
      </c>
      <c r="C5692" s="2">
        <v>14</v>
      </c>
    </row>
    <row r="5693" spans="1:3" x14ac:dyDescent="0.25">
      <c r="A5693" s="3">
        <v>41680</v>
      </c>
      <c r="B5693" s="2" t="s">
        <v>44</v>
      </c>
      <c r="C5693" s="2">
        <v>36</v>
      </c>
    </row>
    <row r="5694" spans="1:3" x14ac:dyDescent="0.25">
      <c r="A5694" s="3">
        <v>41674</v>
      </c>
      <c r="B5694" s="2" t="s">
        <v>34</v>
      </c>
      <c r="C5694" s="2">
        <v>2</v>
      </c>
    </row>
    <row r="5695" spans="1:3" x14ac:dyDescent="0.25">
      <c r="A5695" s="3">
        <v>41365</v>
      </c>
      <c r="B5695" s="2" t="s">
        <v>20</v>
      </c>
      <c r="C5695" s="2">
        <v>38</v>
      </c>
    </row>
    <row r="5696" spans="1:3" x14ac:dyDescent="0.25">
      <c r="A5696" s="3">
        <v>41391</v>
      </c>
      <c r="B5696" s="2" t="s">
        <v>4</v>
      </c>
      <c r="C5696" s="2">
        <v>41</v>
      </c>
    </row>
    <row r="5697" spans="1:3" x14ac:dyDescent="0.25">
      <c r="A5697" s="3">
        <v>41873</v>
      </c>
      <c r="B5697" s="2" t="s">
        <v>12</v>
      </c>
      <c r="C5697" s="2">
        <v>28</v>
      </c>
    </row>
    <row r="5698" spans="1:3" x14ac:dyDescent="0.25">
      <c r="A5698" s="3">
        <v>41550</v>
      </c>
      <c r="B5698" s="2" t="s">
        <v>34</v>
      </c>
      <c r="C5698" s="2">
        <v>11</v>
      </c>
    </row>
    <row r="5699" spans="1:3" x14ac:dyDescent="0.25">
      <c r="A5699" s="3">
        <v>41309</v>
      </c>
      <c r="B5699" s="2" t="s">
        <v>37</v>
      </c>
      <c r="C5699" s="2">
        <v>21</v>
      </c>
    </row>
    <row r="5700" spans="1:3" x14ac:dyDescent="0.25">
      <c r="A5700" s="3">
        <v>41323</v>
      </c>
      <c r="B5700" s="2" t="s">
        <v>3</v>
      </c>
      <c r="C5700" s="2">
        <v>32</v>
      </c>
    </row>
    <row r="5701" spans="1:3" x14ac:dyDescent="0.25">
      <c r="A5701" s="3">
        <v>41812</v>
      </c>
      <c r="B5701" s="2" t="s">
        <v>41</v>
      </c>
      <c r="C5701" s="2">
        <v>38</v>
      </c>
    </row>
    <row r="5702" spans="1:3" x14ac:dyDescent="0.25">
      <c r="A5702" s="3">
        <v>41425</v>
      </c>
      <c r="B5702" s="2" t="s">
        <v>28</v>
      </c>
      <c r="C5702" s="2">
        <v>25</v>
      </c>
    </row>
    <row r="5703" spans="1:3" x14ac:dyDescent="0.25">
      <c r="A5703" s="3">
        <v>41447</v>
      </c>
      <c r="B5703" s="2" t="s">
        <v>29</v>
      </c>
      <c r="C5703" s="2">
        <v>46</v>
      </c>
    </row>
    <row r="5704" spans="1:3" x14ac:dyDescent="0.25">
      <c r="A5704" s="3">
        <v>41313</v>
      </c>
      <c r="B5704" s="2" t="s">
        <v>19</v>
      </c>
      <c r="C5704" s="2">
        <v>34</v>
      </c>
    </row>
    <row r="5705" spans="1:3" x14ac:dyDescent="0.25">
      <c r="A5705" s="3">
        <v>41915</v>
      </c>
      <c r="B5705" s="2" t="s">
        <v>36</v>
      </c>
      <c r="C5705" s="2">
        <v>27</v>
      </c>
    </row>
    <row r="5706" spans="1:3" x14ac:dyDescent="0.25">
      <c r="A5706" s="3">
        <v>41337</v>
      </c>
      <c r="B5706" s="2" t="s">
        <v>3</v>
      </c>
      <c r="C5706" s="2">
        <v>38</v>
      </c>
    </row>
    <row r="5707" spans="1:3" x14ac:dyDescent="0.25">
      <c r="A5707" s="3">
        <v>41367</v>
      </c>
      <c r="B5707" s="2" t="s">
        <v>21</v>
      </c>
      <c r="C5707" s="2">
        <v>30</v>
      </c>
    </row>
    <row r="5708" spans="1:3" x14ac:dyDescent="0.25">
      <c r="A5708" s="3">
        <v>41841</v>
      </c>
      <c r="B5708" s="2" t="s">
        <v>13</v>
      </c>
      <c r="C5708" s="2">
        <v>34</v>
      </c>
    </row>
    <row r="5709" spans="1:3" x14ac:dyDescent="0.25">
      <c r="A5709" s="3">
        <v>41354</v>
      </c>
      <c r="B5709" s="2" t="s">
        <v>29</v>
      </c>
      <c r="C5709" s="2">
        <v>30</v>
      </c>
    </row>
    <row r="5710" spans="1:3" x14ac:dyDescent="0.25">
      <c r="A5710" s="3">
        <v>41285</v>
      </c>
      <c r="B5710" s="2" t="s">
        <v>6</v>
      </c>
      <c r="C5710" s="2">
        <v>0</v>
      </c>
    </row>
    <row r="5711" spans="1:3" x14ac:dyDescent="0.25">
      <c r="A5711" s="3">
        <v>41635</v>
      </c>
      <c r="B5711" s="2" t="s">
        <v>38</v>
      </c>
      <c r="C5711" s="2">
        <v>13</v>
      </c>
    </row>
    <row r="5712" spans="1:3" x14ac:dyDescent="0.25">
      <c r="A5712" s="3">
        <v>41360</v>
      </c>
      <c r="B5712" s="2" t="s">
        <v>6</v>
      </c>
      <c r="C5712" s="2">
        <v>17</v>
      </c>
    </row>
    <row r="5713" spans="1:3" x14ac:dyDescent="0.25">
      <c r="A5713" s="3">
        <v>41379</v>
      </c>
      <c r="B5713" s="2" t="s">
        <v>7</v>
      </c>
      <c r="C5713" s="2">
        <v>35</v>
      </c>
    </row>
    <row r="5714" spans="1:3" x14ac:dyDescent="0.25">
      <c r="A5714" s="3">
        <v>41521</v>
      </c>
      <c r="B5714" s="2" t="s">
        <v>42</v>
      </c>
      <c r="C5714" s="2">
        <v>15</v>
      </c>
    </row>
    <row r="5715" spans="1:3" x14ac:dyDescent="0.25">
      <c r="A5715" s="3">
        <v>41953</v>
      </c>
      <c r="B5715" s="2" t="s">
        <v>4</v>
      </c>
      <c r="C5715" s="2">
        <v>33</v>
      </c>
    </row>
    <row r="5716" spans="1:3" x14ac:dyDescent="0.25">
      <c r="A5716" s="3">
        <v>41638</v>
      </c>
      <c r="B5716" s="2" t="s">
        <v>5</v>
      </c>
      <c r="C5716" s="2">
        <v>33</v>
      </c>
    </row>
    <row r="5717" spans="1:3" x14ac:dyDescent="0.25">
      <c r="A5717" s="3">
        <v>41709</v>
      </c>
      <c r="B5717" s="2" t="s">
        <v>19</v>
      </c>
      <c r="C5717" s="2">
        <v>16</v>
      </c>
    </row>
    <row r="5718" spans="1:3" x14ac:dyDescent="0.25">
      <c r="A5718" s="3">
        <v>41666</v>
      </c>
      <c r="B5718" s="2" t="s">
        <v>21</v>
      </c>
      <c r="C5718" s="2">
        <v>25</v>
      </c>
    </row>
    <row r="5719" spans="1:3" x14ac:dyDescent="0.25">
      <c r="A5719" s="3">
        <v>41351</v>
      </c>
      <c r="B5719" s="2" t="s">
        <v>5</v>
      </c>
      <c r="C5719" s="2">
        <v>21</v>
      </c>
    </row>
    <row r="5720" spans="1:3" x14ac:dyDescent="0.25">
      <c r="A5720" s="3">
        <v>41282</v>
      </c>
      <c r="B5720" s="2" t="s">
        <v>11</v>
      </c>
      <c r="C5720" s="2">
        <v>36</v>
      </c>
    </row>
    <row r="5721" spans="1:3" x14ac:dyDescent="0.25">
      <c r="A5721" s="3">
        <v>41429</v>
      </c>
      <c r="B5721" s="2" t="s">
        <v>48</v>
      </c>
      <c r="C5721" s="2">
        <v>40</v>
      </c>
    </row>
    <row r="5722" spans="1:3" x14ac:dyDescent="0.25">
      <c r="A5722" s="3">
        <v>41727</v>
      </c>
      <c r="B5722" s="2" t="s">
        <v>27</v>
      </c>
      <c r="C5722" s="2">
        <v>26</v>
      </c>
    </row>
    <row r="5723" spans="1:3" x14ac:dyDescent="0.25">
      <c r="A5723" s="3">
        <v>41323</v>
      </c>
      <c r="B5723" s="2" t="s">
        <v>14</v>
      </c>
      <c r="C5723" s="2">
        <v>30</v>
      </c>
    </row>
    <row r="5724" spans="1:3" x14ac:dyDescent="0.25">
      <c r="A5724" s="3">
        <v>41582</v>
      </c>
      <c r="B5724" s="2" t="s">
        <v>20</v>
      </c>
      <c r="C5724" s="2">
        <v>42</v>
      </c>
    </row>
    <row r="5725" spans="1:3" x14ac:dyDescent="0.25">
      <c r="A5725" s="3">
        <v>41439</v>
      </c>
      <c r="B5725" s="2" t="s">
        <v>20</v>
      </c>
      <c r="C5725" s="2">
        <v>49</v>
      </c>
    </row>
    <row r="5726" spans="1:3" x14ac:dyDescent="0.25">
      <c r="A5726" s="3">
        <v>41681</v>
      </c>
      <c r="B5726" s="2" t="s">
        <v>12</v>
      </c>
      <c r="C5726" s="2">
        <v>28</v>
      </c>
    </row>
    <row r="5727" spans="1:3" x14ac:dyDescent="0.25">
      <c r="A5727" s="3">
        <v>41909</v>
      </c>
      <c r="B5727" s="2" t="s">
        <v>41</v>
      </c>
      <c r="C5727" s="2">
        <v>39</v>
      </c>
    </row>
    <row r="5728" spans="1:3" x14ac:dyDescent="0.25">
      <c r="A5728" s="3">
        <v>41786</v>
      </c>
      <c r="B5728" s="2" t="s">
        <v>16</v>
      </c>
      <c r="C5728" s="2">
        <v>22</v>
      </c>
    </row>
    <row r="5729" spans="1:3" x14ac:dyDescent="0.25">
      <c r="A5729" s="3">
        <v>41350</v>
      </c>
      <c r="B5729" s="2" t="s">
        <v>15</v>
      </c>
      <c r="C5729" s="2">
        <v>36</v>
      </c>
    </row>
    <row r="5730" spans="1:3" x14ac:dyDescent="0.25">
      <c r="A5730" s="3">
        <v>41953</v>
      </c>
      <c r="B5730" s="2" t="s">
        <v>26</v>
      </c>
      <c r="C5730" s="2">
        <v>24</v>
      </c>
    </row>
    <row r="5731" spans="1:3" x14ac:dyDescent="0.25">
      <c r="A5731" s="3">
        <v>41533</v>
      </c>
      <c r="B5731" s="2" t="s">
        <v>45</v>
      </c>
      <c r="C5731" s="2">
        <v>36</v>
      </c>
    </row>
    <row r="5732" spans="1:3" x14ac:dyDescent="0.25">
      <c r="A5732" s="3">
        <v>41619</v>
      </c>
      <c r="B5732" s="2" t="s">
        <v>23</v>
      </c>
      <c r="C5732" s="2">
        <v>55</v>
      </c>
    </row>
    <row r="5733" spans="1:3" x14ac:dyDescent="0.25">
      <c r="A5733" s="3">
        <v>41590</v>
      </c>
      <c r="B5733" s="2" t="s">
        <v>5</v>
      </c>
      <c r="C5733" s="2">
        <v>14</v>
      </c>
    </row>
    <row r="5734" spans="1:3" x14ac:dyDescent="0.25">
      <c r="A5734" s="3">
        <v>41578</v>
      </c>
      <c r="B5734" s="2" t="s">
        <v>10</v>
      </c>
      <c r="C5734" s="2">
        <v>51</v>
      </c>
    </row>
    <row r="5735" spans="1:3" x14ac:dyDescent="0.25">
      <c r="A5735" s="3">
        <v>41350</v>
      </c>
      <c r="B5735" s="2" t="s">
        <v>22</v>
      </c>
      <c r="C5735" s="2">
        <v>40</v>
      </c>
    </row>
    <row r="5736" spans="1:3" x14ac:dyDescent="0.25">
      <c r="A5736" s="3">
        <v>41550</v>
      </c>
      <c r="B5736" s="2" t="s">
        <v>9</v>
      </c>
      <c r="C5736" s="2">
        <v>24</v>
      </c>
    </row>
    <row r="5737" spans="1:3" x14ac:dyDescent="0.25">
      <c r="A5737" s="3">
        <v>41869</v>
      </c>
      <c r="B5737" s="2" t="s">
        <v>23</v>
      </c>
      <c r="C5737" s="2">
        <v>31</v>
      </c>
    </row>
    <row r="5738" spans="1:3" x14ac:dyDescent="0.25">
      <c r="A5738" s="3">
        <v>41927</v>
      </c>
      <c r="B5738" s="2" t="s">
        <v>33</v>
      </c>
      <c r="C5738" s="2">
        <v>26</v>
      </c>
    </row>
    <row r="5739" spans="1:3" x14ac:dyDescent="0.25">
      <c r="A5739" s="3">
        <v>41639</v>
      </c>
      <c r="B5739" s="2" t="s">
        <v>18</v>
      </c>
      <c r="C5739" s="2">
        <v>22</v>
      </c>
    </row>
    <row r="5740" spans="1:3" x14ac:dyDescent="0.25">
      <c r="A5740" s="3">
        <v>41561</v>
      </c>
      <c r="B5740" s="2" t="s">
        <v>19</v>
      </c>
      <c r="C5740" s="2">
        <v>41</v>
      </c>
    </row>
    <row r="5741" spans="1:3" x14ac:dyDescent="0.25">
      <c r="A5741" s="3">
        <v>41471</v>
      </c>
      <c r="B5741" s="2" t="s">
        <v>17</v>
      </c>
      <c r="C5741" s="2">
        <v>6</v>
      </c>
    </row>
    <row r="5742" spans="1:3" x14ac:dyDescent="0.25">
      <c r="A5742" s="3">
        <v>41789</v>
      </c>
      <c r="B5742" s="2" t="s">
        <v>37</v>
      </c>
      <c r="C5742" s="2">
        <v>34</v>
      </c>
    </row>
    <row r="5743" spans="1:3" x14ac:dyDescent="0.25">
      <c r="A5743" s="3">
        <v>41990</v>
      </c>
      <c r="B5743" s="2" t="s">
        <v>34</v>
      </c>
      <c r="C5743" s="2">
        <v>25</v>
      </c>
    </row>
    <row r="5744" spans="1:3" x14ac:dyDescent="0.25">
      <c r="A5744" s="3">
        <v>41376</v>
      </c>
      <c r="B5744" s="2" t="s">
        <v>21</v>
      </c>
      <c r="C5744" s="2">
        <v>22</v>
      </c>
    </row>
    <row r="5745" spans="1:3" x14ac:dyDescent="0.25">
      <c r="A5745" s="3">
        <v>41399</v>
      </c>
      <c r="B5745" s="2" t="s">
        <v>2</v>
      </c>
      <c r="C5745" s="2">
        <v>23</v>
      </c>
    </row>
    <row r="5746" spans="1:3" x14ac:dyDescent="0.25">
      <c r="A5746" s="3">
        <v>41424</v>
      </c>
      <c r="B5746" s="2" t="s">
        <v>5</v>
      </c>
      <c r="C5746" s="2">
        <v>26</v>
      </c>
    </row>
    <row r="5747" spans="1:3" x14ac:dyDescent="0.25">
      <c r="A5747" s="3">
        <v>41382</v>
      </c>
      <c r="B5747" s="2" t="s">
        <v>39</v>
      </c>
      <c r="C5747" s="2">
        <v>46</v>
      </c>
    </row>
    <row r="5748" spans="1:3" x14ac:dyDescent="0.25">
      <c r="A5748" s="3">
        <v>41666</v>
      </c>
      <c r="B5748" s="2" t="s">
        <v>46</v>
      </c>
      <c r="C5748" s="2">
        <v>5</v>
      </c>
    </row>
    <row r="5749" spans="1:3" x14ac:dyDescent="0.25">
      <c r="A5749" s="3">
        <v>41875</v>
      </c>
      <c r="B5749" s="2" t="s">
        <v>9</v>
      </c>
      <c r="C5749" s="2">
        <v>26</v>
      </c>
    </row>
    <row r="5750" spans="1:3" x14ac:dyDescent="0.25">
      <c r="A5750" s="3">
        <v>41906</v>
      </c>
      <c r="B5750" s="2" t="s">
        <v>16</v>
      </c>
      <c r="C5750" s="2">
        <v>35</v>
      </c>
    </row>
    <row r="5751" spans="1:3" x14ac:dyDescent="0.25">
      <c r="A5751" s="3">
        <v>41940</v>
      </c>
      <c r="B5751" s="2" t="s">
        <v>15</v>
      </c>
      <c r="C5751" s="2">
        <v>33</v>
      </c>
    </row>
    <row r="5752" spans="1:3" x14ac:dyDescent="0.25">
      <c r="A5752" s="3">
        <v>41534</v>
      </c>
      <c r="B5752" s="2" t="s">
        <v>11</v>
      </c>
      <c r="C5752" s="2">
        <v>26</v>
      </c>
    </row>
    <row r="5753" spans="1:3" x14ac:dyDescent="0.25">
      <c r="A5753" s="3">
        <v>41917</v>
      </c>
      <c r="B5753" s="2" t="s">
        <v>51</v>
      </c>
      <c r="C5753" s="2">
        <v>19</v>
      </c>
    </row>
    <row r="5754" spans="1:3" x14ac:dyDescent="0.25">
      <c r="A5754" s="3">
        <v>41674</v>
      </c>
      <c r="B5754" s="2" t="s">
        <v>21</v>
      </c>
      <c r="C5754" s="2">
        <v>15</v>
      </c>
    </row>
    <row r="5755" spans="1:3" x14ac:dyDescent="0.25">
      <c r="A5755" s="3">
        <v>41852</v>
      </c>
      <c r="B5755" s="2" t="s">
        <v>49</v>
      </c>
      <c r="C5755" s="2">
        <v>3</v>
      </c>
    </row>
    <row r="5756" spans="1:3" x14ac:dyDescent="0.25">
      <c r="A5756" s="3">
        <v>41802</v>
      </c>
      <c r="B5756" s="2" t="s">
        <v>31</v>
      </c>
      <c r="C5756" s="2">
        <v>17</v>
      </c>
    </row>
    <row r="5757" spans="1:3" x14ac:dyDescent="0.25">
      <c r="A5757" s="3">
        <v>41531</v>
      </c>
      <c r="B5757" s="2" t="s">
        <v>16</v>
      </c>
      <c r="C5757" s="2">
        <v>26</v>
      </c>
    </row>
    <row r="5758" spans="1:3" x14ac:dyDescent="0.25">
      <c r="A5758" s="3">
        <v>41300</v>
      </c>
      <c r="B5758" s="2" t="s">
        <v>3</v>
      </c>
      <c r="C5758" s="2">
        <v>28</v>
      </c>
    </row>
    <row r="5759" spans="1:3" x14ac:dyDescent="0.25">
      <c r="A5759" s="3">
        <v>41368</v>
      </c>
      <c r="B5759" s="2" t="s">
        <v>42</v>
      </c>
      <c r="C5759" s="2">
        <v>19</v>
      </c>
    </row>
    <row r="5760" spans="1:3" x14ac:dyDescent="0.25">
      <c r="A5760" s="3">
        <v>41900</v>
      </c>
      <c r="B5760" s="2" t="s">
        <v>18</v>
      </c>
      <c r="C5760" s="2">
        <v>25</v>
      </c>
    </row>
    <row r="5761" spans="1:3" x14ac:dyDescent="0.25">
      <c r="A5761" s="3">
        <v>41705</v>
      </c>
      <c r="B5761" s="2" t="s">
        <v>26</v>
      </c>
      <c r="C5761" s="2">
        <v>16</v>
      </c>
    </row>
    <row r="5762" spans="1:3" x14ac:dyDescent="0.25">
      <c r="A5762" s="3">
        <v>41440</v>
      </c>
      <c r="B5762" s="2" t="s">
        <v>29</v>
      </c>
      <c r="C5762" s="2">
        <v>24</v>
      </c>
    </row>
    <row r="5763" spans="1:3" x14ac:dyDescent="0.25">
      <c r="A5763" s="3">
        <v>41771</v>
      </c>
      <c r="B5763" s="2" t="s">
        <v>22</v>
      </c>
      <c r="C5763" s="2">
        <v>27</v>
      </c>
    </row>
    <row r="5764" spans="1:3" x14ac:dyDescent="0.25">
      <c r="A5764" s="3">
        <v>41306</v>
      </c>
      <c r="B5764" s="2" t="s">
        <v>23</v>
      </c>
      <c r="C5764" s="2">
        <v>25</v>
      </c>
    </row>
    <row r="5765" spans="1:3" x14ac:dyDescent="0.25">
      <c r="A5765" s="3">
        <v>41529</v>
      </c>
      <c r="B5765" s="2" t="s">
        <v>40</v>
      </c>
      <c r="C5765" s="2">
        <v>26</v>
      </c>
    </row>
    <row r="5766" spans="1:3" x14ac:dyDescent="0.25">
      <c r="A5766" s="3">
        <v>41832</v>
      </c>
      <c r="B5766" s="2" t="s">
        <v>45</v>
      </c>
      <c r="C5766" s="2">
        <v>13</v>
      </c>
    </row>
    <row r="5767" spans="1:3" x14ac:dyDescent="0.25">
      <c r="A5767" s="3">
        <v>41373</v>
      </c>
      <c r="B5767" s="2" t="s">
        <v>48</v>
      </c>
      <c r="C5767" s="2">
        <v>46</v>
      </c>
    </row>
    <row r="5768" spans="1:3" x14ac:dyDescent="0.25">
      <c r="A5768" s="3">
        <v>41871</v>
      </c>
      <c r="B5768" s="2" t="s">
        <v>14</v>
      </c>
      <c r="C5768" s="2">
        <v>22</v>
      </c>
    </row>
    <row r="5769" spans="1:3" x14ac:dyDescent="0.25">
      <c r="A5769" s="3">
        <v>41480</v>
      </c>
      <c r="B5769" s="2" t="s">
        <v>16</v>
      </c>
      <c r="C5769" s="2">
        <v>32</v>
      </c>
    </row>
    <row r="5770" spans="1:3" x14ac:dyDescent="0.25">
      <c r="A5770" s="3">
        <v>41698</v>
      </c>
      <c r="B5770" s="2" t="s">
        <v>8</v>
      </c>
      <c r="C5770" s="2">
        <v>23</v>
      </c>
    </row>
    <row r="5771" spans="1:3" x14ac:dyDescent="0.25">
      <c r="A5771" s="3">
        <v>41471</v>
      </c>
      <c r="B5771" s="2" t="s">
        <v>25</v>
      </c>
      <c r="C5771" s="2">
        <v>23</v>
      </c>
    </row>
    <row r="5772" spans="1:3" x14ac:dyDescent="0.25">
      <c r="A5772" s="3">
        <v>41401</v>
      </c>
      <c r="B5772" s="2" t="s">
        <v>39</v>
      </c>
      <c r="C5772" s="2">
        <v>37</v>
      </c>
    </row>
    <row r="5773" spans="1:3" x14ac:dyDescent="0.25">
      <c r="A5773" s="3">
        <v>41349</v>
      </c>
      <c r="B5773" s="2" t="s">
        <v>41</v>
      </c>
      <c r="C5773" s="2">
        <v>36</v>
      </c>
    </row>
    <row r="5774" spans="1:3" x14ac:dyDescent="0.25">
      <c r="A5774" s="3">
        <v>41426</v>
      </c>
      <c r="B5774" s="2" t="s">
        <v>33</v>
      </c>
      <c r="C5774" s="2">
        <v>46</v>
      </c>
    </row>
    <row r="5775" spans="1:3" x14ac:dyDescent="0.25">
      <c r="A5775" s="3">
        <v>41538</v>
      </c>
      <c r="B5775" s="2" t="s">
        <v>51</v>
      </c>
      <c r="C5775" s="2">
        <v>29</v>
      </c>
    </row>
    <row r="5776" spans="1:3" x14ac:dyDescent="0.25">
      <c r="A5776" s="3">
        <v>41613</v>
      </c>
      <c r="B5776" s="2" t="s">
        <v>13</v>
      </c>
      <c r="C5776" s="2">
        <v>5</v>
      </c>
    </row>
    <row r="5777" spans="1:3" x14ac:dyDescent="0.25">
      <c r="A5777" s="3">
        <v>41828</v>
      </c>
      <c r="B5777" s="2" t="s">
        <v>25</v>
      </c>
      <c r="C5777" s="2">
        <v>24</v>
      </c>
    </row>
    <row r="5778" spans="1:3" x14ac:dyDescent="0.25">
      <c r="A5778" s="3">
        <v>41759</v>
      </c>
      <c r="B5778" s="2" t="s">
        <v>8</v>
      </c>
      <c r="C5778" s="2">
        <v>44</v>
      </c>
    </row>
    <row r="5779" spans="1:3" x14ac:dyDescent="0.25">
      <c r="A5779" s="3">
        <v>41302</v>
      </c>
      <c r="B5779" s="2" t="s">
        <v>47</v>
      </c>
      <c r="C5779" s="2">
        <v>47</v>
      </c>
    </row>
    <row r="5780" spans="1:3" x14ac:dyDescent="0.25">
      <c r="A5780" s="3">
        <v>41580</v>
      </c>
      <c r="B5780" s="2" t="s">
        <v>40</v>
      </c>
      <c r="C5780" s="2">
        <v>17</v>
      </c>
    </row>
    <row r="5781" spans="1:3" x14ac:dyDescent="0.25">
      <c r="A5781" s="3">
        <v>41728</v>
      </c>
      <c r="B5781" s="2" t="s">
        <v>29</v>
      </c>
      <c r="C5781" s="2">
        <v>5</v>
      </c>
    </row>
    <row r="5782" spans="1:3" x14ac:dyDescent="0.25">
      <c r="A5782" s="3">
        <v>41804</v>
      </c>
      <c r="B5782" s="2" t="s">
        <v>49</v>
      </c>
      <c r="C5782" s="2">
        <v>27</v>
      </c>
    </row>
    <row r="5783" spans="1:3" x14ac:dyDescent="0.25">
      <c r="A5783" s="3">
        <v>41421</v>
      </c>
      <c r="B5783" s="2" t="s">
        <v>23</v>
      </c>
      <c r="C5783" s="2">
        <v>20</v>
      </c>
    </row>
    <row r="5784" spans="1:3" x14ac:dyDescent="0.25">
      <c r="A5784" s="3">
        <v>41939</v>
      </c>
      <c r="B5784" s="2" t="s">
        <v>33</v>
      </c>
      <c r="C5784" s="2">
        <v>42</v>
      </c>
    </row>
    <row r="5785" spans="1:3" x14ac:dyDescent="0.25">
      <c r="A5785" s="3">
        <v>41803</v>
      </c>
      <c r="B5785" s="2" t="s">
        <v>24</v>
      </c>
      <c r="C5785" s="2">
        <v>18</v>
      </c>
    </row>
    <row r="5786" spans="1:3" x14ac:dyDescent="0.25">
      <c r="A5786" s="3">
        <v>41665</v>
      </c>
      <c r="B5786" s="2" t="s">
        <v>28</v>
      </c>
      <c r="C5786" s="2">
        <v>28</v>
      </c>
    </row>
    <row r="5787" spans="1:3" x14ac:dyDescent="0.25">
      <c r="A5787" s="3">
        <v>41640</v>
      </c>
      <c r="B5787" s="2" t="s">
        <v>45</v>
      </c>
      <c r="C5787" s="2">
        <v>34</v>
      </c>
    </row>
    <row r="5788" spans="1:3" x14ac:dyDescent="0.25">
      <c r="A5788" s="3">
        <v>41894</v>
      </c>
      <c r="B5788" s="2" t="s">
        <v>28</v>
      </c>
      <c r="C5788" s="2">
        <v>41</v>
      </c>
    </row>
    <row r="5789" spans="1:3" x14ac:dyDescent="0.25">
      <c r="A5789" s="3">
        <v>41695</v>
      </c>
      <c r="B5789" s="2" t="s">
        <v>4</v>
      </c>
      <c r="C5789" s="2">
        <v>23</v>
      </c>
    </row>
    <row r="5790" spans="1:3" x14ac:dyDescent="0.25">
      <c r="A5790" s="3">
        <v>41434</v>
      </c>
      <c r="B5790" s="2" t="s">
        <v>29</v>
      </c>
      <c r="C5790" s="2">
        <v>22</v>
      </c>
    </row>
    <row r="5791" spans="1:3" x14ac:dyDescent="0.25">
      <c r="A5791" s="3">
        <v>41426</v>
      </c>
      <c r="B5791" s="2" t="s">
        <v>20</v>
      </c>
      <c r="C5791" s="2">
        <v>27</v>
      </c>
    </row>
    <row r="5792" spans="1:3" x14ac:dyDescent="0.25">
      <c r="A5792" s="3">
        <v>41412</v>
      </c>
      <c r="B5792" s="2" t="s">
        <v>30</v>
      </c>
      <c r="C5792" s="2">
        <v>47</v>
      </c>
    </row>
    <row r="5793" spans="1:3" x14ac:dyDescent="0.25">
      <c r="A5793" s="3">
        <v>41626</v>
      </c>
      <c r="B5793" s="2" t="s">
        <v>43</v>
      </c>
      <c r="C5793" s="2">
        <v>32</v>
      </c>
    </row>
    <row r="5794" spans="1:3" x14ac:dyDescent="0.25">
      <c r="A5794" s="3">
        <v>41421</v>
      </c>
      <c r="B5794" s="2" t="s">
        <v>13</v>
      </c>
      <c r="C5794" s="2">
        <v>26</v>
      </c>
    </row>
    <row r="5795" spans="1:3" x14ac:dyDescent="0.25">
      <c r="A5795" s="3">
        <v>41406</v>
      </c>
      <c r="B5795" s="2" t="s">
        <v>27</v>
      </c>
      <c r="C5795" s="2">
        <v>9</v>
      </c>
    </row>
    <row r="5796" spans="1:3" x14ac:dyDescent="0.25">
      <c r="A5796" s="3">
        <v>41723</v>
      </c>
      <c r="B5796" s="2" t="s">
        <v>43</v>
      </c>
      <c r="C5796" s="2">
        <v>37</v>
      </c>
    </row>
    <row r="5797" spans="1:3" x14ac:dyDescent="0.25">
      <c r="A5797" s="3">
        <v>41503</v>
      </c>
      <c r="B5797" s="2" t="s">
        <v>40</v>
      </c>
      <c r="C5797" s="2">
        <v>27</v>
      </c>
    </row>
    <row r="5798" spans="1:3" x14ac:dyDescent="0.25">
      <c r="A5798" s="3">
        <v>41471</v>
      </c>
      <c r="B5798" s="2" t="s">
        <v>25</v>
      </c>
      <c r="C5798" s="2">
        <v>46</v>
      </c>
    </row>
    <row r="5799" spans="1:3" x14ac:dyDescent="0.25">
      <c r="A5799" s="3">
        <v>41904</v>
      </c>
      <c r="B5799" s="2" t="s">
        <v>7</v>
      </c>
      <c r="C5799" s="2">
        <v>15</v>
      </c>
    </row>
    <row r="5800" spans="1:3" x14ac:dyDescent="0.25">
      <c r="A5800" s="3">
        <v>41491</v>
      </c>
      <c r="B5800" s="2" t="s">
        <v>16</v>
      </c>
      <c r="C5800" s="2">
        <v>15</v>
      </c>
    </row>
    <row r="5801" spans="1:3" x14ac:dyDescent="0.25">
      <c r="A5801" s="3">
        <v>41551</v>
      </c>
      <c r="B5801" s="2" t="s">
        <v>14</v>
      </c>
      <c r="C5801" s="2">
        <v>13</v>
      </c>
    </row>
    <row r="5802" spans="1:3" x14ac:dyDescent="0.25">
      <c r="A5802" s="3">
        <v>41429</v>
      </c>
      <c r="B5802" s="2" t="s">
        <v>25</v>
      </c>
      <c r="C5802" s="2">
        <v>39</v>
      </c>
    </row>
    <row r="5803" spans="1:3" x14ac:dyDescent="0.25">
      <c r="A5803" s="3">
        <v>41368</v>
      </c>
      <c r="B5803" s="2" t="s">
        <v>49</v>
      </c>
      <c r="C5803" s="2">
        <v>28</v>
      </c>
    </row>
    <row r="5804" spans="1:3" x14ac:dyDescent="0.25">
      <c r="A5804" s="3">
        <v>41327</v>
      </c>
      <c r="B5804" s="2" t="s">
        <v>50</v>
      </c>
      <c r="C5804" s="2">
        <v>30</v>
      </c>
    </row>
    <row r="5805" spans="1:3" x14ac:dyDescent="0.25">
      <c r="A5805" s="3">
        <v>41922</v>
      </c>
      <c r="B5805" s="2" t="s">
        <v>34</v>
      </c>
      <c r="C5805" s="2">
        <v>24</v>
      </c>
    </row>
    <row r="5806" spans="1:3" x14ac:dyDescent="0.25">
      <c r="A5806" s="3">
        <v>41356</v>
      </c>
      <c r="B5806" s="2" t="s">
        <v>27</v>
      </c>
      <c r="C5806" s="2">
        <v>11</v>
      </c>
    </row>
    <row r="5807" spans="1:3" x14ac:dyDescent="0.25">
      <c r="A5807" s="3">
        <v>41859</v>
      </c>
      <c r="B5807" s="2" t="s">
        <v>15</v>
      </c>
      <c r="C5807" s="2">
        <v>12</v>
      </c>
    </row>
    <row r="5808" spans="1:3" x14ac:dyDescent="0.25">
      <c r="A5808" s="3">
        <v>41282</v>
      </c>
      <c r="B5808" s="2" t="s">
        <v>8</v>
      </c>
      <c r="C5808" s="2">
        <v>29</v>
      </c>
    </row>
    <row r="5809" spans="1:3" x14ac:dyDescent="0.25">
      <c r="A5809" s="3">
        <v>41416</v>
      </c>
      <c r="B5809" s="2" t="s">
        <v>39</v>
      </c>
      <c r="C5809" s="2">
        <v>39</v>
      </c>
    </row>
    <row r="5810" spans="1:3" x14ac:dyDescent="0.25">
      <c r="A5810" s="3">
        <v>41987</v>
      </c>
      <c r="B5810" s="2" t="s">
        <v>51</v>
      </c>
      <c r="C5810" s="2">
        <v>26</v>
      </c>
    </row>
    <row r="5811" spans="1:3" x14ac:dyDescent="0.25">
      <c r="A5811" s="3">
        <v>41699</v>
      </c>
      <c r="B5811" s="2" t="s">
        <v>40</v>
      </c>
      <c r="C5811" s="2">
        <v>26</v>
      </c>
    </row>
    <row r="5812" spans="1:3" x14ac:dyDescent="0.25">
      <c r="A5812" s="3">
        <v>41495</v>
      </c>
      <c r="B5812" s="2" t="s">
        <v>45</v>
      </c>
      <c r="C5812" s="2">
        <v>25</v>
      </c>
    </row>
    <row r="5813" spans="1:3" x14ac:dyDescent="0.25">
      <c r="A5813" s="3">
        <v>41859</v>
      </c>
      <c r="B5813" s="2" t="s">
        <v>9</v>
      </c>
      <c r="C5813" s="2">
        <v>27</v>
      </c>
    </row>
    <row r="5814" spans="1:3" x14ac:dyDescent="0.25">
      <c r="A5814" s="3">
        <v>41387</v>
      </c>
      <c r="B5814" s="2" t="s">
        <v>28</v>
      </c>
      <c r="C5814" s="2">
        <v>46</v>
      </c>
    </row>
    <row r="5815" spans="1:3" x14ac:dyDescent="0.25">
      <c r="A5815" s="3">
        <v>41972</v>
      </c>
      <c r="B5815" s="2" t="s">
        <v>38</v>
      </c>
      <c r="C5815" s="2">
        <v>38</v>
      </c>
    </row>
    <row r="5816" spans="1:3" x14ac:dyDescent="0.25">
      <c r="A5816" s="3">
        <v>41852</v>
      </c>
      <c r="B5816" s="2" t="s">
        <v>30</v>
      </c>
      <c r="C5816" s="2">
        <v>1</v>
      </c>
    </row>
    <row r="5817" spans="1:3" x14ac:dyDescent="0.25">
      <c r="A5817" s="3">
        <v>41522</v>
      </c>
      <c r="B5817" s="2" t="s">
        <v>36</v>
      </c>
      <c r="C5817" s="2">
        <v>19</v>
      </c>
    </row>
    <row r="5818" spans="1:3" x14ac:dyDescent="0.25">
      <c r="A5818" s="3">
        <v>41765</v>
      </c>
      <c r="B5818" s="2" t="s">
        <v>10</v>
      </c>
      <c r="C5818" s="2">
        <v>21</v>
      </c>
    </row>
    <row r="5819" spans="1:3" x14ac:dyDescent="0.25">
      <c r="A5819" s="3">
        <v>41859</v>
      </c>
      <c r="B5819" s="2" t="s">
        <v>43</v>
      </c>
      <c r="C5819" s="2">
        <v>34</v>
      </c>
    </row>
    <row r="5820" spans="1:3" x14ac:dyDescent="0.25">
      <c r="A5820" s="3">
        <v>41677</v>
      </c>
      <c r="B5820" s="2" t="s">
        <v>41</v>
      </c>
      <c r="C5820" s="2">
        <v>30</v>
      </c>
    </row>
    <row r="5821" spans="1:3" x14ac:dyDescent="0.25">
      <c r="A5821" s="3">
        <v>41749</v>
      </c>
      <c r="B5821" s="2" t="s">
        <v>27</v>
      </c>
      <c r="C5821" s="2">
        <v>33</v>
      </c>
    </row>
    <row r="5822" spans="1:3" x14ac:dyDescent="0.25">
      <c r="A5822" s="3">
        <v>41962</v>
      </c>
      <c r="B5822" s="2" t="s">
        <v>5</v>
      </c>
      <c r="C5822" s="2">
        <v>23</v>
      </c>
    </row>
    <row r="5823" spans="1:3" x14ac:dyDescent="0.25">
      <c r="A5823" s="3">
        <v>41830</v>
      </c>
      <c r="B5823" s="2" t="s">
        <v>23</v>
      </c>
      <c r="C5823" s="2">
        <v>10</v>
      </c>
    </row>
    <row r="5824" spans="1:3" x14ac:dyDescent="0.25">
      <c r="A5824" s="3">
        <v>41550</v>
      </c>
      <c r="B5824" s="2" t="s">
        <v>42</v>
      </c>
      <c r="C5824" s="2">
        <v>22</v>
      </c>
    </row>
    <row r="5825" spans="1:3" x14ac:dyDescent="0.25">
      <c r="A5825" s="3">
        <v>41657</v>
      </c>
      <c r="B5825" s="2" t="s">
        <v>49</v>
      </c>
      <c r="C5825" s="2">
        <v>15</v>
      </c>
    </row>
    <row r="5826" spans="1:3" x14ac:dyDescent="0.25">
      <c r="A5826" s="3">
        <v>41719</v>
      </c>
      <c r="B5826" s="2" t="s">
        <v>30</v>
      </c>
      <c r="C5826" s="2">
        <v>15</v>
      </c>
    </row>
    <row r="5827" spans="1:3" x14ac:dyDescent="0.25">
      <c r="A5827" s="3">
        <v>41747</v>
      </c>
      <c r="B5827" s="2" t="s">
        <v>41</v>
      </c>
      <c r="C5827" s="2">
        <v>30</v>
      </c>
    </row>
    <row r="5828" spans="1:3" x14ac:dyDescent="0.25">
      <c r="A5828" s="3">
        <v>41482</v>
      </c>
      <c r="B5828" s="2" t="s">
        <v>12</v>
      </c>
      <c r="C5828" s="2">
        <v>0</v>
      </c>
    </row>
    <row r="5829" spans="1:3" x14ac:dyDescent="0.25">
      <c r="A5829" s="3">
        <v>41712</v>
      </c>
      <c r="B5829" s="2" t="s">
        <v>9</v>
      </c>
      <c r="C5829" s="2">
        <v>39</v>
      </c>
    </row>
    <row r="5830" spans="1:3" x14ac:dyDescent="0.25">
      <c r="A5830" s="3">
        <v>41900</v>
      </c>
      <c r="B5830" s="2" t="s">
        <v>24</v>
      </c>
      <c r="C5830" s="2">
        <v>40</v>
      </c>
    </row>
    <row r="5831" spans="1:3" x14ac:dyDescent="0.25">
      <c r="A5831" s="3">
        <v>41282</v>
      </c>
      <c r="B5831" s="2" t="s">
        <v>22</v>
      </c>
      <c r="C5831" s="2">
        <v>10</v>
      </c>
    </row>
    <row r="5832" spans="1:3" x14ac:dyDescent="0.25">
      <c r="A5832" s="3">
        <v>41705</v>
      </c>
      <c r="B5832" s="2" t="s">
        <v>23</v>
      </c>
      <c r="C5832" s="2">
        <v>23</v>
      </c>
    </row>
    <row r="5833" spans="1:3" x14ac:dyDescent="0.25">
      <c r="A5833" s="3">
        <v>41431</v>
      </c>
      <c r="B5833" s="2" t="s">
        <v>34</v>
      </c>
      <c r="C5833" s="2">
        <v>25</v>
      </c>
    </row>
    <row r="5834" spans="1:3" x14ac:dyDescent="0.25">
      <c r="A5834" s="3">
        <v>41581</v>
      </c>
      <c r="B5834" s="2" t="s">
        <v>45</v>
      </c>
      <c r="C5834" s="2">
        <v>23</v>
      </c>
    </row>
    <row r="5835" spans="1:3" x14ac:dyDescent="0.25">
      <c r="A5835" s="3">
        <v>41906</v>
      </c>
      <c r="B5835" s="2" t="s">
        <v>27</v>
      </c>
      <c r="C5835" s="2">
        <v>3</v>
      </c>
    </row>
    <row r="5836" spans="1:3" x14ac:dyDescent="0.25">
      <c r="A5836" s="3">
        <v>41297</v>
      </c>
      <c r="B5836" s="2" t="s">
        <v>36</v>
      </c>
      <c r="C5836" s="2">
        <v>28</v>
      </c>
    </row>
    <row r="5837" spans="1:3" x14ac:dyDescent="0.25">
      <c r="A5837" s="3">
        <v>41973</v>
      </c>
      <c r="B5837" s="2" t="s">
        <v>21</v>
      </c>
      <c r="C5837" s="2">
        <v>19</v>
      </c>
    </row>
    <row r="5838" spans="1:3" x14ac:dyDescent="0.25">
      <c r="A5838" s="3">
        <v>41419</v>
      </c>
      <c r="B5838" s="2" t="s">
        <v>51</v>
      </c>
      <c r="C5838" s="2">
        <v>23</v>
      </c>
    </row>
    <row r="5839" spans="1:3" x14ac:dyDescent="0.25">
      <c r="A5839" s="3">
        <v>41839</v>
      </c>
      <c r="B5839" s="2" t="s">
        <v>8</v>
      </c>
      <c r="C5839" s="2">
        <v>18</v>
      </c>
    </row>
    <row r="5840" spans="1:3" x14ac:dyDescent="0.25">
      <c r="A5840" s="3">
        <v>41562</v>
      </c>
      <c r="B5840" s="2" t="s">
        <v>41</v>
      </c>
      <c r="C5840" s="2">
        <v>53</v>
      </c>
    </row>
    <row r="5841" spans="1:3" x14ac:dyDescent="0.25">
      <c r="A5841" s="3">
        <v>41781</v>
      </c>
      <c r="B5841" s="2" t="s">
        <v>38</v>
      </c>
      <c r="C5841" s="2">
        <v>0</v>
      </c>
    </row>
    <row r="5842" spans="1:3" x14ac:dyDescent="0.25">
      <c r="A5842" s="3">
        <v>41636</v>
      </c>
      <c r="B5842" s="2" t="s">
        <v>23</v>
      </c>
      <c r="C5842" s="2">
        <v>44</v>
      </c>
    </row>
    <row r="5843" spans="1:3" x14ac:dyDescent="0.25">
      <c r="A5843" s="3">
        <v>41818</v>
      </c>
      <c r="B5843" s="2" t="s">
        <v>13</v>
      </c>
      <c r="C5843" s="2">
        <v>54</v>
      </c>
    </row>
    <row r="5844" spans="1:3" x14ac:dyDescent="0.25">
      <c r="A5844" s="3">
        <v>41813</v>
      </c>
      <c r="B5844" s="2" t="s">
        <v>51</v>
      </c>
      <c r="C5844" s="2">
        <v>22</v>
      </c>
    </row>
    <row r="5845" spans="1:3" x14ac:dyDescent="0.25">
      <c r="A5845" s="3">
        <v>41371</v>
      </c>
      <c r="B5845" s="2" t="s">
        <v>37</v>
      </c>
      <c r="C5845" s="2">
        <v>20</v>
      </c>
    </row>
    <row r="5846" spans="1:3" x14ac:dyDescent="0.25">
      <c r="A5846" s="3">
        <v>41364</v>
      </c>
      <c r="B5846" s="2" t="s">
        <v>42</v>
      </c>
      <c r="C5846" s="2">
        <v>16</v>
      </c>
    </row>
    <row r="5847" spans="1:3" x14ac:dyDescent="0.25">
      <c r="A5847" s="3">
        <v>41950</v>
      </c>
      <c r="B5847" s="2" t="s">
        <v>50</v>
      </c>
      <c r="C5847" s="2">
        <v>5</v>
      </c>
    </row>
    <row r="5848" spans="1:3" x14ac:dyDescent="0.25">
      <c r="A5848" s="3">
        <v>41573</v>
      </c>
      <c r="B5848" s="2" t="s">
        <v>2</v>
      </c>
      <c r="C5848" s="2">
        <v>18</v>
      </c>
    </row>
    <row r="5849" spans="1:3" x14ac:dyDescent="0.25">
      <c r="A5849" s="3">
        <v>41441</v>
      </c>
      <c r="B5849" s="2" t="s">
        <v>6</v>
      </c>
      <c r="C5849" s="2">
        <v>24</v>
      </c>
    </row>
    <row r="5850" spans="1:3" x14ac:dyDescent="0.25">
      <c r="A5850" s="3">
        <v>41468</v>
      </c>
      <c r="B5850" s="2" t="s">
        <v>43</v>
      </c>
      <c r="C5850" s="2">
        <v>36</v>
      </c>
    </row>
    <row r="5851" spans="1:3" x14ac:dyDescent="0.25">
      <c r="A5851" s="3">
        <v>41615</v>
      </c>
      <c r="B5851" s="2" t="s">
        <v>34</v>
      </c>
      <c r="C5851" s="2">
        <v>43</v>
      </c>
    </row>
    <row r="5852" spans="1:3" x14ac:dyDescent="0.25">
      <c r="A5852" s="3">
        <v>41517</v>
      </c>
      <c r="B5852" s="2" t="s">
        <v>21</v>
      </c>
      <c r="C5852" s="2">
        <v>20</v>
      </c>
    </row>
    <row r="5853" spans="1:3" x14ac:dyDescent="0.25">
      <c r="A5853" s="3">
        <v>41647</v>
      </c>
      <c r="B5853" s="2" t="s">
        <v>34</v>
      </c>
      <c r="C5853" s="2">
        <v>2</v>
      </c>
    </row>
    <row r="5854" spans="1:3" x14ac:dyDescent="0.25">
      <c r="A5854" s="3">
        <v>41882</v>
      </c>
      <c r="B5854" s="2" t="s">
        <v>9</v>
      </c>
      <c r="C5854" s="2">
        <v>25</v>
      </c>
    </row>
    <row r="5855" spans="1:3" x14ac:dyDescent="0.25">
      <c r="A5855" s="3">
        <v>41744</v>
      </c>
      <c r="B5855" s="2" t="s">
        <v>32</v>
      </c>
      <c r="C5855" s="2">
        <v>43</v>
      </c>
    </row>
    <row r="5856" spans="1:3" x14ac:dyDescent="0.25">
      <c r="A5856" s="3">
        <v>41458</v>
      </c>
      <c r="B5856" s="2" t="s">
        <v>43</v>
      </c>
      <c r="C5856" s="2">
        <v>36</v>
      </c>
    </row>
    <row r="5857" spans="1:3" x14ac:dyDescent="0.25">
      <c r="A5857" s="3">
        <v>41683</v>
      </c>
      <c r="B5857" s="2" t="s">
        <v>43</v>
      </c>
      <c r="C5857" s="2">
        <v>5</v>
      </c>
    </row>
    <row r="5858" spans="1:3" x14ac:dyDescent="0.25">
      <c r="A5858" s="3">
        <v>41677</v>
      </c>
      <c r="B5858" s="2" t="s">
        <v>7</v>
      </c>
      <c r="C5858" s="2">
        <v>20</v>
      </c>
    </row>
    <row r="5859" spans="1:3" x14ac:dyDescent="0.25">
      <c r="A5859" s="3">
        <v>41564</v>
      </c>
      <c r="B5859" s="2" t="s">
        <v>20</v>
      </c>
      <c r="C5859" s="2">
        <v>26</v>
      </c>
    </row>
    <row r="5860" spans="1:3" x14ac:dyDescent="0.25">
      <c r="A5860" s="3">
        <v>41309</v>
      </c>
      <c r="B5860" s="2" t="s">
        <v>13</v>
      </c>
      <c r="C5860" s="2">
        <v>27</v>
      </c>
    </row>
    <row r="5861" spans="1:3" x14ac:dyDescent="0.25">
      <c r="A5861" s="3">
        <v>41958</v>
      </c>
      <c r="B5861" s="2" t="s">
        <v>27</v>
      </c>
      <c r="C5861" s="2">
        <v>1</v>
      </c>
    </row>
    <row r="5862" spans="1:3" x14ac:dyDescent="0.25">
      <c r="A5862" s="3">
        <v>41433</v>
      </c>
      <c r="B5862" s="2" t="s">
        <v>48</v>
      </c>
      <c r="C5862" s="2">
        <v>12</v>
      </c>
    </row>
    <row r="5863" spans="1:3" x14ac:dyDescent="0.25">
      <c r="A5863" s="3">
        <v>41848</v>
      </c>
      <c r="B5863" s="2" t="s">
        <v>43</v>
      </c>
      <c r="C5863" s="2">
        <v>35</v>
      </c>
    </row>
    <row r="5864" spans="1:3" x14ac:dyDescent="0.25">
      <c r="A5864" s="3">
        <v>41392</v>
      </c>
      <c r="B5864" s="2" t="s">
        <v>12</v>
      </c>
      <c r="C5864" s="2">
        <v>8</v>
      </c>
    </row>
    <row r="5865" spans="1:3" x14ac:dyDescent="0.25">
      <c r="A5865" s="3">
        <v>41737</v>
      </c>
      <c r="B5865" s="2" t="s">
        <v>49</v>
      </c>
      <c r="C5865" s="2">
        <v>26</v>
      </c>
    </row>
    <row r="5866" spans="1:3" x14ac:dyDescent="0.25">
      <c r="A5866" s="3">
        <v>41787</v>
      </c>
      <c r="B5866" s="2" t="s">
        <v>42</v>
      </c>
      <c r="C5866" s="2">
        <v>33</v>
      </c>
    </row>
    <row r="5867" spans="1:3" x14ac:dyDescent="0.25">
      <c r="A5867" s="3">
        <v>41730</v>
      </c>
      <c r="B5867" s="2" t="s">
        <v>8</v>
      </c>
      <c r="C5867" s="2">
        <v>33</v>
      </c>
    </row>
    <row r="5868" spans="1:3" x14ac:dyDescent="0.25">
      <c r="A5868" s="3">
        <v>41438</v>
      </c>
      <c r="B5868" s="2" t="s">
        <v>37</v>
      </c>
      <c r="C5868" s="2">
        <v>13</v>
      </c>
    </row>
    <row r="5869" spans="1:3" x14ac:dyDescent="0.25">
      <c r="A5869" s="3">
        <v>41764</v>
      </c>
      <c r="B5869" s="2" t="s">
        <v>33</v>
      </c>
      <c r="C5869" s="2">
        <v>17</v>
      </c>
    </row>
    <row r="5870" spans="1:3" x14ac:dyDescent="0.25">
      <c r="A5870" s="3">
        <v>41783</v>
      </c>
      <c r="B5870" s="2" t="s">
        <v>34</v>
      </c>
      <c r="C5870" s="2">
        <v>41</v>
      </c>
    </row>
    <row r="5871" spans="1:3" x14ac:dyDescent="0.25">
      <c r="A5871" s="3">
        <v>41652</v>
      </c>
      <c r="B5871" s="2" t="s">
        <v>42</v>
      </c>
      <c r="C5871" s="2">
        <v>42</v>
      </c>
    </row>
    <row r="5872" spans="1:3" x14ac:dyDescent="0.25">
      <c r="A5872" s="3">
        <v>41789</v>
      </c>
      <c r="B5872" s="2" t="s">
        <v>24</v>
      </c>
      <c r="C5872" s="2">
        <v>19</v>
      </c>
    </row>
    <row r="5873" spans="1:3" x14ac:dyDescent="0.25">
      <c r="A5873" s="3">
        <v>41701</v>
      </c>
      <c r="B5873" s="2" t="s">
        <v>49</v>
      </c>
      <c r="C5873" s="2">
        <v>19</v>
      </c>
    </row>
    <row r="5874" spans="1:3" x14ac:dyDescent="0.25">
      <c r="A5874" s="3">
        <v>41460</v>
      </c>
      <c r="B5874" s="2" t="s">
        <v>22</v>
      </c>
      <c r="C5874" s="2">
        <v>51</v>
      </c>
    </row>
    <row r="5875" spans="1:3" x14ac:dyDescent="0.25">
      <c r="A5875" s="3">
        <v>41439</v>
      </c>
      <c r="B5875" s="2" t="s">
        <v>16</v>
      </c>
      <c r="C5875" s="2">
        <v>33</v>
      </c>
    </row>
    <row r="5876" spans="1:3" x14ac:dyDescent="0.25">
      <c r="A5876" s="3">
        <v>41298</v>
      </c>
      <c r="B5876" s="2" t="s">
        <v>46</v>
      </c>
      <c r="C5876" s="2">
        <v>18</v>
      </c>
    </row>
    <row r="5877" spans="1:3" x14ac:dyDescent="0.25">
      <c r="A5877" s="3">
        <v>41420</v>
      </c>
      <c r="B5877" s="2" t="s">
        <v>43</v>
      </c>
      <c r="C5877" s="2">
        <v>23</v>
      </c>
    </row>
    <row r="5878" spans="1:3" x14ac:dyDescent="0.25">
      <c r="A5878" s="3">
        <v>41468</v>
      </c>
      <c r="B5878" s="2" t="s">
        <v>18</v>
      </c>
      <c r="C5878" s="2">
        <v>23</v>
      </c>
    </row>
    <row r="5879" spans="1:3" x14ac:dyDescent="0.25">
      <c r="A5879" s="3">
        <v>41799</v>
      </c>
      <c r="B5879" s="2" t="s">
        <v>17</v>
      </c>
      <c r="C5879" s="2">
        <v>2</v>
      </c>
    </row>
    <row r="5880" spans="1:3" x14ac:dyDescent="0.25">
      <c r="A5880" s="3">
        <v>41775</v>
      </c>
      <c r="B5880" s="2" t="s">
        <v>3</v>
      </c>
      <c r="C5880" s="2">
        <v>17</v>
      </c>
    </row>
    <row r="5881" spans="1:3" x14ac:dyDescent="0.25">
      <c r="A5881" s="3">
        <v>41475</v>
      </c>
      <c r="B5881" s="2" t="s">
        <v>38</v>
      </c>
      <c r="C5881" s="2">
        <v>18</v>
      </c>
    </row>
    <row r="5882" spans="1:3" x14ac:dyDescent="0.25">
      <c r="A5882" s="3">
        <v>41747</v>
      </c>
      <c r="B5882" s="2" t="s">
        <v>26</v>
      </c>
      <c r="C5882" s="2">
        <v>40</v>
      </c>
    </row>
    <row r="5883" spans="1:3" x14ac:dyDescent="0.25">
      <c r="A5883" s="3">
        <v>41829</v>
      </c>
      <c r="B5883" s="2" t="s">
        <v>3</v>
      </c>
      <c r="C5883" s="2">
        <v>1</v>
      </c>
    </row>
    <row r="5884" spans="1:3" x14ac:dyDescent="0.25">
      <c r="A5884" s="3">
        <v>41916</v>
      </c>
      <c r="B5884" s="2" t="s">
        <v>13</v>
      </c>
      <c r="C5884" s="2">
        <v>51</v>
      </c>
    </row>
    <row r="5885" spans="1:3" x14ac:dyDescent="0.25">
      <c r="A5885" s="3">
        <v>41299</v>
      </c>
      <c r="B5885" s="2" t="s">
        <v>16</v>
      </c>
      <c r="C5885" s="2">
        <v>22</v>
      </c>
    </row>
    <row r="5886" spans="1:3" x14ac:dyDescent="0.25">
      <c r="A5886" s="3">
        <v>41485</v>
      </c>
      <c r="B5886" s="2" t="s">
        <v>47</v>
      </c>
      <c r="C5886" s="2">
        <v>24</v>
      </c>
    </row>
    <row r="5887" spans="1:3" x14ac:dyDescent="0.25">
      <c r="A5887" s="3">
        <v>41561</v>
      </c>
      <c r="B5887" s="2" t="s">
        <v>9</v>
      </c>
      <c r="C5887" s="2">
        <v>8</v>
      </c>
    </row>
    <row r="5888" spans="1:3" x14ac:dyDescent="0.25">
      <c r="A5888" s="3">
        <v>41948</v>
      </c>
      <c r="B5888" s="2" t="s">
        <v>6</v>
      </c>
      <c r="C5888" s="2">
        <v>34</v>
      </c>
    </row>
    <row r="5889" spans="1:3" x14ac:dyDescent="0.25">
      <c r="A5889" s="3">
        <v>41279</v>
      </c>
      <c r="B5889" s="2" t="s">
        <v>19</v>
      </c>
      <c r="C5889" s="2">
        <v>32</v>
      </c>
    </row>
    <row r="5890" spans="1:3" x14ac:dyDescent="0.25">
      <c r="A5890" s="3">
        <v>41911</v>
      </c>
      <c r="B5890" s="2" t="s">
        <v>12</v>
      </c>
      <c r="C5890" s="2">
        <v>10</v>
      </c>
    </row>
    <row r="5891" spans="1:3" x14ac:dyDescent="0.25">
      <c r="A5891" s="3">
        <v>41580</v>
      </c>
      <c r="B5891" s="2" t="s">
        <v>46</v>
      </c>
      <c r="C5891" s="2">
        <v>38</v>
      </c>
    </row>
    <row r="5892" spans="1:3" x14ac:dyDescent="0.25">
      <c r="A5892" s="3">
        <v>41858</v>
      </c>
      <c r="B5892" s="2" t="s">
        <v>48</v>
      </c>
      <c r="C5892" s="2">
        <v>33</v>
      </c>
    </row>
    <row r="5893" spans="1:3" x14ac:dyDescent="0.25">
      <c r="A5893" s="3">
        <v>41929</v>
      </c>
      <c r="B5893" s="2" t="s">
        <v>17</v>
      </c>
      <c r="C5893" s="2">
        <v>18</v>
      </c>
    </row>
    <row r="5894" spans="1:3" x14ac:dyDescent="0.25">
      <c r="A5894" s="3">
        <v>41973</v>
      </c>
      <c r="B5894" s="2" t="s">
        <v>31</v>
      </c>
      <c r="C5894" s="2">
        <v>32</v>
      </c>
    </row>
    <row r="5895" spans="1:3" x14ac:dyDescent="0.25">
      <c r="A5895" s="3">
        <v>41479</v>
      </c>
      <c r="B5895" s="2" t="s">
        <v>24</v>
      </c>
      <c r="C5895" s="2">
        <v>4</v>
      </c>
    </row>
    <row r="5896" spans="1:3" x14ac:dyDescent="0.25">
      <c r="A5896" s="3">
        <v>41277</v>
      </c>
      <c r="B5896" s="2" t="s">
        <v>42</v>
      </c>
      <c r="C5896" s="2">
        <v>18</v>
      </c>
    </row>
    <row r="5897" spans="1:3" x14ac:dyDescent="0.25">
      <c r="A5897" s="3">
        <v>41355</v>
      </c>
      <c r="B5897" s="2" t="s">
        <v>33</v>
      </c>
      <c r="C5897" s="2">
        <v>46</v>
      </c>
    </row>
    <row r="5898" spans="1:3" x14ac:dyDescent="0.25">
      <c r="A5898" s="3">
        <v>41367</v>
      </c>
      <c r="B5898" s="2" t="s">
        <v>45</v>
      </c>
      <c r="C5898" s="2">
        <v>51</v>
      </c>
    </row>
    <row r="5899" spans="1:3" x14ac:dyDescent="0.25">
      <c r="A5899" s="3">
        <v>41329</v>
      </c>
      <c r="B5899" s="2" t="s">
        <v>38</v>
      </c>
      <c r="C5899" s="2">
        <v>6</v>
      </c>
    </row>
    <row r="5900" spans="1:3" x14ac:dyDescent="0.25">
      <c r="A5900" s="3">
        <v>41782</v>
      </c>
      <c r="B5900" s="2" t="s">
        <v>42</v>
      </c>
      <c r="C5900" s="2">
        <v>27</v>
      </c>
    </row>
    <row r="5901" spans="1:3" x14ac:dyDescent="0.25">
      <c r="A5901" s="3">
        <v>41287</v>
      </c>
      <c r="B5901" s="2" t="s">
        <v>50</v>
      </c>
      <c r="C5901" s="2">
        <v>5</v>
      </c>
    </row>
    <row r="5902" spans="1:3" x14ac:dyDescent="0.25">
      <c r="A5902" s="3">
        <v>41462</v>
      </c>
      <c r="B5902" s="2" t="s">
        <v>48</v>
      </c>
      <c r="C5902" s="2">
        <v>16</v>
      </c>
    </row>
    <row r="5903" spans="1:3" x14ac:dyDescent="0.25">
      <c r="A5903" s="3">
        <v>41795</v>
      </c>
      <c r="B5903" s="2" t="s">
        <v>27</v>
      </c>
      <c r="C5903" s="2">
        <v>16</v>
      </c>
    </row>
    <row r="5904" spans="1:3" x14ac:dyDescent="0.25">
      <c r="A5904" s="3">
        <v>41465</v>
      </c>
      <c r="B5904" s="2" t="s">
        <v>28</v>
      </c>
      <c r="C5904" s="2">
        <v>29</v>
      </c>
    </row>
    <row r="5905" spans="1:3" x14ac:dyDescent="0.25">
      <c r="A5905" s="3">
        <v>41430</v>
      </c>
      <c r="B5905" s="2" t="s">
        <v>45</v>
      </c>
      <c r="C5905" s="2">
        <v>39</v>
      </c>
    </row>
    <row r="5906" spans="1:3" x14ac:dyDescent="0.25">
      <c r="A5906" s="3">
        <v>41479</v>
      </c>
      <c r="B5906" s="2" t="s">
        <v>22</v>
      </c>
      <c r="C5906" s="2">
        <v>25</v>
      </c>
    </row>
    <row r="5907" spans="1:3" x14ac:dyDescent="0.25">
      <c r="A5907" s="3">
        <v>41509</v>
      </c>
      <c r="B5907" s="2" t="s">
        <v>29</v>
      </c>
      <c r="C5907" s="2">
        <v>27</v>
      </c>
    </row>
    <row r="5908" spans="1:3" x14ac:dyDescent="0.25">
      <c r="A5908" s="3">
        <v>41412</v>
      </c>
      <c r="B5908" s="2" t="s">
        <v>40</v>
      </c>
      <c r="C5908" s="2">
        <v>39</v>
      </c>
    </row>
    <row r="5909" spans="1:3" x14ac:dyDescent="0.25">
      <c r="A5909" s="3">
        <v>41413</v>
      </c>
      <c r="B5909" s="2" t="s">
        <v>11</v>
      </c>
      <c r="C5909" s="2">
        <v>8</v>
      </c>
    </row>
    <row r="5910" spans="1:3" x14ac:dyDescent="0.25">
      <c r="A5910" s="3">
        <v>41914</v>
      </c>
      <c r="B5910" s="2" t="s">
        <v>50</v>
      </c>
      <c r="C5910" s="2">
        <v>41</v>
      </c>
    </row>
    <row r="5911" spans="1:3" x14ac:dyDescent="0.25">
      <c r="A5911" s="3">
        <v>41585</v>
      </c>
      <c r="B5911" s="2" t="s">
        <v>40</v>
      </c>
      <c r="C5911" s="2">
        <v>2</v>
      </c>
    </row>
    <row r="5912" spans="1:3" x14ac:dyDescent="0.25">
      <c r="A5912" s="3">
        <v>41602</v>
      </c>
      <c r="B5912" s="2" t="s">
        <v>21</v>
      </c>
      <c r="C5912" s="2">
        <v>34</v>
      </c>
    </row>
    <row r="5913" spans="1:3" x14ac:dyDescent="0.25">
      <c r="A5913" s="3">
        <v>41465</v>
      </c>
      <c r="B5913" s="2" t="s">
        <v>5</v>
      </c>
      <c r="C5913" s="2">
        <v>26</v>
      </c>
    </row>
    <row r="5914" spans="1:3" x14ac:dyDescent="0.25">
      <c r="A5914" s="3">
        <v>41796</v>
      </c>
      <c r="B5914" s="2" t="s">
        <v>48</v>
      </c>
      <c r="C5914" s="2">
        <v>15</v>
      </c>
    </row>
    <row r="5915" spans="1:3" x14ac:dyDescent="0.25">
      <c r="A5915" s="3">
        <v>41431</v>
      </c>
      <c r="B5915" s="2" t="s">
        <v>16</v>
      </c>
      <c r="C5915" s="2">
        <v>28</v>
      </c>
    </row>
    <row r="5916" spans="1:3" x14ac:dyDescent="0.25">
      <c r="A5916" s="3">
        <v>41557</v>
      </c>
      <c r="B5916" s="2" t="s">
        <v>39</v>
      </c>
      <c r="C5916" s="2">
        <v>12</v>
      </c>
    </row>
    <row r="5917" spans="1:3" x14ac:dyDescent="0.25">
      <c r="A5917" s="3">
        <v>41276</v>
      </c>
      <c r="B5917" s="2" t="s">
        <v>32</v>
      </c>
      <c r="C5917" s="2">
        <v>30</v>
      </c>
    </row>
    <row r="5918" spans="1:3" x14ac:dyDescent="0.25">
      <c r="A5918" s="3">
        <v>41803</v>
      </c>
      <c r="B5918" s="2" t="s">
        <v>42</v>
      </c>
      <c r="C5918" s="2">
        <v>28</v>
      </c>
    </row>
    <row r="5919" spans="1:3" x14ac:dyDescent="0.25">
      <c r="A5919" s="3">
        <v>41739</v>
      </c>
      <c r="B5919" s="2" t="s">
        <v>23</v>
      </c>
      <c r="C5919" s="2">
        <v>32</v>
      </c>
    </row>
    <row r="5920" spans="1:3" x14ac:dyDescent="0.25">
      <c r="A5920" s="3">
        <v>41894</v>
      </c>
      <c r="B5920" s="2" t="s">
        <v>36</v>
      </c>
      <c r="C5920" s="2">
        <v>32</v>
      </c>
    </row>
    <row r="5921" spans="1:3" x14ac:dyDescent="0.25">
      <c r="A5921" s="3">
        <v>41626</v>
      </c>
      <c r="B5921" s="2" t="s">
        <v>29</v>
      </c>
      <c r="C5921" s="2">
        <v>29</v>
      </c>
    </row>
    <row r="5922" spans="1:3" x14ac:dyDescent="0.25">
      <c r="A5922" s="3">
        <v>41831</v>
      </c>
      <c r="B5922" s="2" t="s">
        <v>50</v>
      </c>
      <c r="C5922" s="2">
        <v>15</v>
      </c>
    </row>
    <row r="5923" spans="1:3" x14ac:dyDescent="0.25">
      <c r="A5923" s="3">
        <v>41595</v>
      </c>
      <c r="B5923" s="2" t="s">
        <v>22</v>
      </c>
      <c r="C5923" s="2">
        <v>30</v>
      </c>
    </row>
    <row r="5924" spans="1:3" x14ac:dyDescent="0.25">
      <c r="A5924" s="3">
        <v>41871</v>
      </c>
      <c r="B5924" s="2" t="s">
        <v>44</v>
      </c>
      <c r="C5924" s="2">
        <v>37</v>
      </c>
    </row>
    <row r="5925" spans="1:3" x14ac:dyDescent="0.25">
      <c r="A5925" s="3">
        <v>41705</v>
      </c>
      <c r="B5925" s="2" t="s">
        <v>46</v>
      </c>
      <c r="C5925" s="2">
        <v>35</v>
      </c>
    </row>
    <row r="5926" spans="1:3" x14ac:dyDescent="0.25">
      <c r="A5926" s="3">
        <v>41416</v>
      </c>
      <c r="B5926" s="2" t="s">
        <v>3</v>
      </c>
      <c r="C5926" s="2">
        <v>35</v>
      </c>
    </row>
    <row r="5927" spans="1:3" x14ac:dyDescent="0.25">
      <c r="A5927" s="3">
        <v>41785</v>
      </c>
      <c r="B5927" s="2" t="s">
        <v>15</v>
      </c>
      <c r="C5927" s="2">
        <v>17</v>
      </c>
    </row>
    <row r="5928" spans="1:3" x14ac:dyDescent="0.25">
      <c r="A5928" s="3">
        <v>41540</v>
      </c>
      <c r="B5928" s="2" t="s">
        <v>48</v>
      </c>
      <c r="C5928" s="2">
        <v>22</v>
      </c>
    </row>
    <row r="5929" spans="1:3" x14ac:dyDescent="0.25">
      <c r="A5929" s="3">
        <v>41675</v>
      </c>
      <c r="B5929" s="2" t="s">
        <v>26</v>
      </c>
      <c r="C5929" s="2">
        <v>19</v>
      </c>
    </row>
    <row r="5930" spans="1:3" x14ac:dyDescent="0.25">
      <c r="A5930" s="3">
        <v>41470</v>
      </c>
      <c r="B5930" s="2" t="s">
        <v>13</v>
      </c>
      <c r="C5930" s="2">
        <v>36</v>
      </c>
    </row>
    <row r="5931" spans="1:3" x14ac:dyDescent="0.25">
      <c r="A5931" s="3">
        <v>41781</v>
      </c>
      <c r="B5931" s="2" t="s">
        <v>41</v>
      </c>
      <c r="C5931" s="2">
        <v>42</v>
      </c>
    </row>
    <row r="5932" spans="1:3" x14ac:dyDescent="0.25">
      <c r="A5932" s="3">
        <v>41831</v>
      </c>
      <c r="B5932" s="2" t="s">
        <v>29</v>
      </c>
      <c r="C5932" s="2">
        <v>35</v>
      </c>
    </row>
    <row r="5933" spans="1:3" x14ac:dyDescent="0.25">
      <c r="A5933" s="3">
        <v>41572</v>
      </c>
      <c r="B5933" s="2" t="s">
        <v>35</v>
      </c>
      <c r="C5933" s="2">
        <v>20</v>
      </c>
    </row>
    <row r="5934" spans="1:3" x14ac:dyDescent="0.25">
      <c r="A5934" s="3">
        <v>41842</v>
      </c>
      <c r="B5934" s="2" t="s">
        <v>21</v>
      </c>
      <c r="C5934" s="2">
        <v>25</v>
      </c>
    </row>
    <row r="5935" spans="1:3" x14ac:dyDescent="0.25">
      <c r="A5935" s="3">
        <v>41714</v>
      </c>
      <c r="B5935" s="2" t="s">
        <v>31</v>
      </c>
      <c r="C5935" s="2">
        <v>41</v>
      </c>
    </row>
    <row r="5936" spans="1:3" x14ac:dyDescent="0.25">
      <c r="A5936" s="3">
        <v>41376</v>
      </c>
      <c r="B5936" s="2" t="s">
        <v>8</v>
      </c>
      <c r="C5936" s="2">
        <v>35</v>
      </c>
    </row>
    <row r="5937" spans="1:3" x14ac:dyDescent="0.25">
      <c r="A5937" s="3">
        <v>41664</v>
      </c>
      <c r="B5937" s="2" t="s">
        <v>11</v>
      </c>
      <c r="C5937" s="2">
        <v>2</v>
      </c>
    </row>
    <row r="5938" spans="1:3" x14ac:dyDescent="0.25">
      <c r="A5938" s="3">
        <v>41477</v>
      </c>
      <c r="B5938" s="2" t="s">
        <v>33</v>
      </c>
      <c r="C5938" s="2">
        <v>3</v>
      </c>
    </row>
    <row r="5939" spans="1:3" x14ac:dyDescent="0.25">
      <c r="A5939" s="3">
        <v>41281</v>
      </c>
      <c r="B5939" s="2" t="s">
        <v>8</v>
      </c>
      <c r="C5939" s="2">
        <v>15</v>
      </c>
    </row>
    <row r="5940" spans="1:3" x14ac:dyDescent="0.25">
      <c r="A5940" s="3">
        <v>41954</v>
      </c>
      <c r="B5940" s="2" t="s">
        <v>21</v>
      </c>
      <c r="C5940" s="2">
        <v>35</v>
      </c>
    </row>
    <row r="5941" spans="1:3" x14ac:dyDescent="0.25">
      <c r="A5941" s="3">
        <v>41792</v>
      </c>
      <c r="B5941" s="2" t="s">
        <v>41</v>
      </c>
      <c r="C5941" s="2">
        <v>45</v>
      </c>
    </row>
    <row r="5942" spans="1:3" x14ac:dyDescent="0.25">
      <c r="A5942" s="3">
        <v>41652</v>
      </c>
      <c r="B5942" s="2" t="s">
        <v>3</v>
      </c>
      <c r="C5942" s="2">
        <v>7</v>
      </c>
    </row>
    <row r="5943" spans="1:3" x14ac:dyDescent="0.25">
      <c r="A5943" s="3">
        <v>41297</v>
      </c>
      <c r="B5943" s="2" t="s">
        <v>26</v>
      </c>
      <c r="C5943" s="2">
        <v>7</v>
      </c>
    </row>
    <row r="5944" spans="1:3" x14ac:dyDescent="0.25">
      <c r="A5944" s="3">
        <v>41907</v>
      </c>
      <c r="B5944" s="2" t="s">
        <v>16</v>
      </c>
      <c r="C5944" s="2">
        <v>28</v>
      </c>
    </row>
    <row r="5945" spans="1:3" x14ac:dyDescent="0.25">
      <c r="A5945" s="3">
        <v>41336</v>
      </c>
      <c r="B5945" s="2" t="s">
        <v>46</v>
      </c>
      <c r="C5945" s="2">
        <v>6</v>
      </c>
    </row>
    <row r="5946" spans="1:3" x14ac:dyDescent="0.25">
      <c r="A5946" s="3">
        <v>41561</v>
      </c>
      <c r="B5946" s="2" t="s">
        <v>6</v>
      </c>
      <c r="C5946" s="2">
        <v>28</v>
      </c>
    </row>
    <row r="5947" spans="1:3" x14ac:dyDescent="0.25">
      <c r="A5947" s="3">
        <v>41694</v>
      </c>
      <c r="B5947" s="2" t="s">
        <v>12</v>
      </c>
      <c r="C5947" s="2">
        <v>31</v>
      </c>
    </row>
    <row r="5948" spans="1:3" x14ac:dyDescent="0.25">
      <c r="A5948" s="3">
        <v>41675</v>
      </c>
      <c r="B5948" s="2" t="s">
        <v>14</v>
      </c>
      <c r="C5948" s="2">
        <v>33</v>
      </c>
    </row>
    <row r="5949" spans="1:3" x14ac:dyDescent="0.25">
      <c r="A5949" s="3">
        <v>41757</v>
      </c>
      <c r="B5949" s="2" t="s">
        <v>5</v>
      </c>
      <c r="C5949" s="2">
        <v>29</v>
      </c>
    </row>
    <row r="5950" spans="1:3" x14ac:dyDescent="0.25">
      <c r="A5950" s="3">
        <v>41397</v>
      </c>
      <c r="B5950" s="2" t="s">
        <v>4</v>
      </c>
      <c r="C5950" s="2">
        <v>21</v>
      </c>
    </row>
    <row r="5951" spans="1:3" x14ac:dyDescent="0.25">
      <c r="A5951" s="3">
        <v>41533</v>
      </c>
      <c r="B5951" s="2" t="s">
        <v>16</v>
      </c>
      <c r="C5951" s="2">
        <v>22</v>
      </c>
    </row>
    <row r="5952" spans="1:3" x14ac:dyDescent="0.25">
      <c r="A5952" s="3">
        <v>41573</v>
      </c>
      <c r="B5952" s="2" t="s">
        <v>4</v>
      </c>
      <c r="C5952" s="2">
        <v>25</v>
      </c>
    </row>
    <row r="5953" spans="1:3" x14ac:dyDescent="0.25">
      <c r="A5953" s="3">
        <v>41935</v>
      </c>
      <c r="B5953" s="2" t="s">
        <v>6</v>
      </c>
      <c r="C5953" s="2">
        <v>43</v>
      </c>
    </row>
    <row r="5954" spans="1:3" x14ac:dyDescent="0.25">
      <c r="A5954" s="3">
        <v>41285</v>
      </c>
      <c r="B5954" s="2" t="s">
        <v>6</v>
      </c>
      <c r="C5954" s="2">
        <v>13</v>
      </c>
    </row>
    <row r="5955" spans="1:3" x14ac:dyDescent="0.25">
      <c r="A5955" s="3">
        <v>41674</v>
      </c>
      <c r="B5955" s="2" t="s">
        <v>16</v>
      </c>
      <c r="C5955" s="2">
        <v>18</v>
      </c>
    </row>
    <row r="5956" spans="1:3" x14ac:dyDescent="0.25">
      <c r="A5956" s="3">
        <v>41340</v>
      </c>
      <c r="B5956" s="2" t="s">
        <v>14</v>
      </c>
      <c r="C5956" s="2">
        <v>21</v>
      </c>
    </row>
    <row r="5957" spans="1:3" x14ac:dyDescent="0.25">
      <c r="A5957" s="3">
        <v>41741</v>
      </c>
      <c r="B5957" s="2" t="s">
        <v>27</v>
      </c>
      <c r="C5957" s="2">
        <v>26</v>
      </c>
    </row>
    <row r="5958" spans="1:3" x14ac:dyDescent="0.25">
      <c r="A5958" s="3">
        <v>41615</v>
      </c>
      <c r="B5958" s="2" t="s">
        <v>51</v>
      </c>
      <c r="C5958" s="2">
        <v>34</v>
      </c>
    </row>
    <row r="5959" spans="1:3" x14ac:dyDescent="0.25">
      <c r="A5959" s="3">
        <v>41909</v>
      </c>
      <c r="B5959" s="2" t="s">
        <v>36</v>
      </c>
      <c r="C5959" s="2">
        <v>37</v>
      </c>
    </row>
    <row r="5960" spans="1:3" x14ac:dyDescent="0.25">
      <c r="A5960" s="3">
        <v>41650</v>
      </c>
      <c r="B5960" s="2" t="s">
        <v>2</v>
      </c>
      <c r="C5960" s="2">
        <v>42</v>
      </c>
    </row>
    <row r="5961" spans="1:3" x14ac:dyDescent="0.25">
      <c r="A5961" s="3">
        <v>41550</v>
      </c>
      <c r="B5961" s="2" t="s">
        <v>3</v>
      </c>
      <c r="C5961" s="2">
        <v>45</v>
      </c>
    </row>
    <row r="5962" spans="1:3" x14ac:dyDescent="0.25">
      <c r="A5962" s="3">
        <v>41748</v>
      </c>
      <c r="B5962" s="2" t="s">
        <v>27</v>
      </c>
      <c r="C5962" s="2">
        <v>15</v>
      </c>
    </row>
    <row r="5963" spans="1:3" x14ac:dyDescent="0.25">
      <c r="A5963" s="3">
        <v>41400</v>
      </c>
      <c r="B5963" s="2" t="s">
        <v>35</v>
      </c>
      <c r="C5963" s="2">
        <v>27</v>
      </c>
    </row>
    <row r="5964" spans="1:3" x14ac:dyDescent="0.25">
      <c r="A5964" s="3">
        <v>41829</v>
      </c>
      <c r="B5964" s="2" t="s">
        <v>2</v>
      </c>
      <c r="C5964" s="2">
        <v>11</v>
      </c>
    </row>
    <row r="5965" spans="1:3" x14ac:dyDescent="0.25">
      <c r="A5965" s="3">
        <v>41749</v>
      </c>
      <c r="B5965" s="2" t="s">
        <v>8</v>
      </c>
      <c r="C5965" s="2">
        <v>53</v>
      </c>
    </row>
    <row r="5966" spans="1:3" x14ac:dyDescent="0.25">
      <c r="A5966" s="3">
        <v>41728</v>
      </c>
      <c r="B5966" s="2" t="s">
        <v>9</v>
      </c>
      <c r="C5966" s="2">
        <v>31</v>
      </c>
    </row>
    <row r="5967" spans="1:3" x14ac:dyDescent="0.25">
      <c r="A5967" s="3">
        <v>41849</v>
      </c>
      <c r="B5967" s="2" t="s">
        <v>6</v>
      </c>
      <c r="C5967" s="2">
        <v>33</v>
      </c>
    </row>
    <row r="5968" spans="1:3" x14ac:dyDescent="0.25">
      <c r="A5968" s="3">
        <v>41326</v>
      </c>
      <c r="B5968" s="2" t="s">
        <v>19</v>
      </c>
      <c r="C5968" s="2">
        <v>49</v>
      </c>
    </row>
    <row r="5969" spans="1:3" x14ac:dyDescent="0.25">
      <c r="A5969" s="3">
        <v>41646</v>
      </c>
      <c r="B5969" s="2" t="s">
        <v>30</v>
      </c>
      <c r="C5969" s="2">
        <v>11</v>
      </c>
    </row>
    <row r="5970" spans="1:3" x14ac:dyDescent="0.25">
      <c r="A5970" s="3">
        <v>41457</v>
      </c>
      <c r="B5970" s="2" t="s">
        <v>33</v>
      </c>
      <c r="C5970" s="2">
        <v>50</v>
      </c>
    </row>
    <row r="5971" spans="1:3" x14ac:dyDescent="0.25">
      <c r="A5971" s="3">
        <v>42001</v>
      </c>
      <c r="B5971" s="2" t="s">
        <v>39</v>
      </c>
      <c r="C5971" s="2">
        <v>42</v>
      </c>
    </row>
    <row r="5972" spans="1:3" x14ac:dyDescent="0.25">
      <c r="A5972" s="3">
        <v>41901</v>
      </c>
      <c r="B5972" s="2" t="s">
        <v>11</v>
      </c>
      <c r="C5972" s="2">
        <v>6</v>
      </c>
    </row>
    <row r="5973" spans="1:3" x14ac:dyDescent="0.25">
      <c r="A5973" s="3">
        <v>41592</v>
      </c>
      <c r="B5973" s="2" t="s">
        <v>26</v>
      </c>
      <c r="C5973" s="2">
        <v>48</v>
      </c>
    </row>
    <row r="5974" spans="1:3" x14ac:dyDescent="0.25">
      <c r="A5974" s="3">
        <v>41561</v>
      </c>
      <c r="B5974" s="2" t="s">
        <v>21</v>
      </c>
      <c r="C5974" s="2">
        <v>11</v>
      </c>
    </row>
    <row r="5975" spans="1:3" x14ac:dyDescent="0.25">
      <c r="A5975" s="3">
        <v>41372</v>
      </c>
      <c r="B5975" s="2" t="s">
        <v>41</v>
      </c>
      <c r="C5975" s="2">
        <v>6</v>
      </c>
    </row>
    <row r="5976" spans="1:3" x14ac:dyDescent="0.25">
      <c r="A5976" s="3">
        <v>41369</v>
      </c>
      <c r="B5976" s="2" t="s">
        <v>48</v>
      </c>
      <c r="C5976" s="2">
        <v>30</v>
      </c>
    </row>
    <row r="5977" spans="1:3" x14ac:dyDescent="0.25">
      <c r="A5977" s="3">
        <v>41580</v>
      </c>
      <c r="B5977" s="2" t="s">
        <v>25</v>
      </c>
      <c r="C5977" s="2">
        <v>11</v>
      </c>
    </row>
    <row r="5978" spans="1:3" x14ac:dyDescent="0.25">
      <c r="A5978" s="3">
        <v>41681</v>
      </c>
      <c r="B5978" s="2" t="s">
        <v>37</v>
      </c>
      <c r="C5978" s="2">
        <v>39</v>
      </c>
    </row>
    <row r="5979" spans="1:3" x14ac:dyDescent="0.25">
      <c r="A5979" s="3">
        <v>41704</v>
      </c>
      <c r="B5979" s="2" t="s">
        <v>6</v>
      </c>
      <c r="C5979" s="2">
        <v>33</v>
      </c>
    </row>
    <row r="5980" spans="1:3" x14ac:dyDescent="0.25">
      <c r="A5980" s="3">
        <v>41808</v>
      </c>
      <c r="B5980" s="2" t="s">
        <v>17</v>
      </c>
      <c r="C5980" s="2">
        <v>13</v>
      </c>
    </row>
    <row r="5981" spans="1:3" x14ac:dyDescent="0.25">
      <c r="A5981" s="3">
        <v>41857</v>
      </c>
      <c r="B5981" s="2" t="s">
        <v>41</v>
      </c>
      <c r="C5981" s="2">
        <v>25</v>
      </c>
    </row>
    <row r="5982" spans="1:3" x14ac:dyDescent="0.25">
      <c r="A5982" s="3">
        <v>41697</v>
      </c>
      <c r="B5982" s="2" t="s">
        <v>28</v>
      </c>
      <c r="C5982" s="2">
        <v>28</v>
      </c>
    </row>
    <row r="5983" spans="1:3" x14ac:dyDescent="0.25">
      <c r="A5983" s="3">
        <v>42004</v>
      </c>
      <c r="B5983" s="2" t="s">
        <v>35</v>
      </c>
      <c r="C5983" s="2">
        <v>3</v>
      </c>
    </row>
    <row r="5984" spans="1:3" x14ac:dyDescent="0.25">
      <c r="A5984" s="3">
        <v>41420</v>
      </c>
      <c r="B5984" s="2" t="s">
        <v>3</v>
      </c>
      <c r="C5984" s="2">
        <v>6</v>
      </c>
    </row>
    <row r="5985" spans="1:3" x14ac:dyDescent="0.25">
      <c r="A5985" s="3">
        <v>41584</v>
      </c>
      <c r="B5985" s="2" t="s">
        <v>10</v>
      </c>
      <c r="C5985" s="2">
        <v>48</v>
      </c>
    </row>
    <row r="5986" spans="1:3" x14ac:dyDescent="0.25">
      <c r="A5986" s="3">
        <v>41495</v>
      </c>
      <c r="B5986" s="2" t="s">
        <v>3</v>
      </c>
      <c r="C5986" s="2">
        <v>20</v>
      </c>
    </row>
    <row r="5987" spans="1:3" x14ac:dyDescent="0.25">
      <c r="A5987" s="3">
        <v>41364</v>
      </c>
      <c r="B5987" s="2" t="s">
        <v>22</v>
      </c>
      <c r="C5987" s="2">
        <v>38</v>
      </c>
    </row>
    <row r="5988" spans="1:3" x14ac:dyDescent="0.25">
      <c r="A5988" s="3">
        <v>41487</v>
      </c>
      <c r="B5988" s="2" t="s">
        <v>40</v>
      </c>
      <c r="C5988" s="2">
        <v>53</v>
      </c>
    </row>
    <row r="5989" spans="1:3" x14ac:dyDescent="0.25">
      <c r="A5989" s="3">
        <v>41422</v>
      </c>
      <c r="B5989" s="2" t="s">
        <v>15</v>
      </c>
      <c r="C5989" s="2">
        <v>34</v>
      </c>
    </row>
    <row r="5990" spans="1:3" x14ac:dyDescent="0.25">
      <c r="A5990" s="3">
        <v>41957</v>
      </c>
      <c r="B5990" s="2" t="s">
        <v>24</v>
      </c>
      <c r="C5990" s="2">
        <v>7</v>
      </c>
    </row>
    <row r="5991" spans="1:3" x14ac:dyDescent="0.25">
      <c r="A5991" s="3">
        <v>41463</v>
      </c>
      <c r="B5991" s="2" t="s">
        <v>9</v>
      </c>
      <c r="C5991" s="2">
        <v>32</v>
      </c>
    </row>
    <row r="5992" spans="1:3" x14ac:dyDescent="0.25">
      <c r="A5992" s="3">
        <v>41380</v>
      </c>
      <c r="B5992" s="2" t="s">
        <v>26</v>
      </c>
      <c r="C5992" s="2">
        <v>24</v>
      </c>
    </row>
    <row r="5993" spans="1:3" x14ac:dyDescent="0.25">
      <c r="A5993" s="3">
        <v>41666</v>
      </c>
      <c r="B5993" s="2" t="s">
        <v>3</v>
      </c>
      <c r="C5993" s="2">
        <v>17</v>
      </c>
    </row>
    <row r="5994" spans="1:3" x14ac:dyDescent="0.25">
      <c r="A5994" s="3">
        <v>41291</v>
      </c>
      <c r="B5994" s="2" t="s">
        <v>13</v>
      </c>
      <c r="C5994" s="2">
        <v>23</v>
      </c>
    </row>
    <row r="5995" spans="1:3" x14ac:dyDescent="0.25">
      <c r="A5995" s="3">
        <v>41862</v>
      </c>
      <c r="B5995" s="2" t="s">
        <v>46</v>
      </c>
      <c r="C5995" s="2">
        <v>13</v>
      </c>
    </row>
    <row r="5996" spans="1:3" x14ac:dyDescent="0.25">
      <c r="A5996" s="3">
        <v>41720</v>
      </c>
      <c r="B5996" s="2" t="s">
        <v>28</v>
      </c>
      <c r="C5996" s="2">
        <v>5</v>
      </c>
    </row>
    <row r="5997" spans="1:3" x14ac:dyDescent="0.25">
      <c r="A5997" s="3">
        <v>41401</v>
      </c>
      <c r="B5997" s="2" t="s">
        <v>42</v>
      </c>
      <c r="C5997" s="2">
        <v>21</v>
      </c>
    </row>
    <row r="5998" spans="1:3" x14ac:dyDescent="0.25">
      <c r="A5998" s="3">
        <v>41858</v>
      </c>
      <c r="B5998" s="2" t="s">
        <v>16</v>
      </c>
      <c r="C5998" s="2">
        <v>34</v>
      </c>
    </row>
    <row r="5999" spans="1:3" x14ac:dyDescent="0.25">
      <c r="A5999" s="3">
        <v>41809</v>
      </c>
      <c r="B5999" s="2" t="s">
        <v>23</v>
      </c>
      <c r="C5999" s="2">
        <v>11</v>
      </c>
    </row>
    <row r="6000" spans="1:3" x14ac:dyDescent="0.25">
      <c r="A6000" s="3">
        <v>41345</v>
      </c>
      <c r="B6000" s="2" t="s">
        <v>35</v>
      </c>
      <c r="C6000" s="2">
        <v>22</v>
      </c>
    </row>
    <row r="6001" spans="1:3" x14ac:dyDescent="0.25">
      <c r="A6001" s="3">
        <v>41940</v>
      </c>
      <c r="B6001" s="2" t="s">
        <v>24</v>
      </c>
      <c r="C6001" s="2">
        <v>53</v>
      </c>
    </row>
    <row r="6002" spans="1:3" x14ac:dyDescent="0.25">
      <c r="A6002" s="3">
        <v>41580</v>
      </c>
      <c r="B6002" s="2" t="s">
        <v>18</v>
      </c>
      <c r="C6002" s="2">
        <v>39</v>
      </c>
    </row>
    <row r="6003" spans="1:3" x14ac:dyDescent="0.25">
      <c r="A6003" s="3">
        <v>41816</v>
      </c>
      <c r="B6003" s="2" t="s">
        <v>33</v>
      </c>
      <c r="C6003" s="2">
        <v>23</v>
      </c>
    </row>
    <row r="6004" spans="1:3" x14ac:dyDescent="0.25">
      <c r="A6004" s="3">
        <v>41479</v>
      </c>
      <c r="B6004" s="2" t="s">
        <v>20</v>
      </c>
      <c r="C6004" s="2">
        <v>22</v>
      </c>
    </row>
    <row r="6005" spans="1:3" x14ac:dyDescent="0.25">
      <c r="A6005" s="3">
        <v>41787</v>
      </c>
      <c r="B6005" s="2" t="s">
        <v>36</v>
      </c>
      <c r="C6005" s="2">
        <v>36</v>
      </c>
    </row>
    <row r="6006" spans="1:3" x14ac:dyDescent="0.25">
      <c r="A6006" s="3">
        <v>41396</v>
      </c>
      <c r="B6006" s="2" t="s">
        <v>10</v>
      </c>
      <c r="C6006" s="2">
        <v>17</v>
      </c>
    </row>
    <row r="6007" spans="1:3" x14ac:dyDescent="0.25">
      <c r="A6007" s="3">
        <v>41508</v>
      </c>
      <c r="B6007" s="2" t="s">
        <v>41</v>
      </c>
      <c r="C6007" s="2">
        <v>38</v>
      </c>
    </row>
    <row r="6008" spans="1:3" x14ac:dyDescent="0.25">
      <c r="A6008" s="3">
        <v>41504</v>
      </c>
      <c r="B6008" s="2" t="s">
        <v>6</v>
      </c>
      <c r="C6008" s="2">
        <v>11</v>
      </c>
    </row>
    <row r="6009" spans="1:3" x14ac:dyDescent="0.25">
      <c r="A6009" s="3">
        <v>41742</v>
      </c>
      <c r="B6009" s="2" t="s">
        <v>34</v>
      </c>
      <c r="C6009" s="2">
        <v>28</v>
      </c>
    </row>
    <row r="6010" spans="1:3" x14ac:dyDescent="0.25">
      <c r="A6010" s="3">
        <v>41396</v>
      </c>
      <c r="B6010" s="2" t="s">
        <v>7</v>
      </c>
      <c r="C6010" s="2">
        <v>26</v>
      </c>
    </row>
    <row r="6011" spans="1:3" x14ac:dyDescent="0.25">
      <c r="A6011" s="3">
        <v>41740</v>
      </c>
      <c r="B6011" s="2" t="s">
        <v>21</v>
      </c>
      <c r="C6011" s="2">
        <v>38</v>
      </c>
    </row>
    <row r="6012" spans="1:3" x14ac:dyDescent="0.25">
      <c r="A6012" s="3">
        <v>41421</v>
      </c>
      <c r="B6012" s="2" t="s">
        <v>49</v>
      </c>
      <c r="C6012" s="2">
        <v>40</v>
      </c>
    </row>
    <row r="6013" spans="1:3" x14ac:dyDescent="0.25">
      <c r="A6013" s="3">
        <v>41723</v>
      </c>
      <c r="B6013" s="2" t="s">
        <v>5</v>
      </c>
      <c r="C6013" s="2">
        <v>10</v>
      </c>
    </row>
    <row r="6014" spans="1:3" x14ac:dyDescent="0.25">
      <c r="A6014" s="3">
        <v>41504</v>
      </c>
      <c r="B6014" s="2" t="s">
        <v>31</v>
      </c>
      <c r="C6014" s="2">
        <v>37</v>
      </c>
    </row>
    <row r="6015" spans="1:3" x14ac:dyDescent="0.25">
      <c r="A6015" s="3">
        <v>41581</v>
      </c>
      <c r="B6015" s="2" t="s">
        <v>26</v>
      </c>
      <c r="C6015" s="2">
        <v>45</v>
      </c>
    </row>
    <row r="6016" spans="1:3" x14ac:dyDescent="0.25">
      <c r="A6016" s="3">
        <v>41631</v>
      </c>
      <c r="B6016" s="2" t="s">
        <v>24</v>
      </c>
      <c r="C6016" s="2">
        <v>17</v>
      </c>
    </row>
    <row r="6017" spans="1:3" x14ac:dyDescent="0.25">
      <c r="A6017" s="3">
        <v>41418</v>
      </c>
      <c r="B6017" s="2" t="s">
        <v>46</v>
      </c>
      <c r="C6017" s="2">
        <v>34</v>
      </c>
    </row>
    <row r="6018" spans="1:3" x14ac:dyDescent="0.25">
      <c r="A6018" s="3">
        <v>41959</v>
      </c>
      <c r="B6018" s="2" t="s">
        <v>49</v>
      </c>
      <c r="C6018" s="2">
        <v>26</v>
      </c>
    </row>
    <row r="6019" spans="1:3" x14ac:dyDescent="0.25">
      <c r="A6019" s="3">
        <v>41572</v>
      </c>
      <c r="B6019" s="2" t="s">
        <v>32</v>
      </c>
      <c r="C6019" s="2">
        <v>17</v>
      </c>
    </row>
    <row r="6020" spans="1:3" x14ac:dyDescent="0.25">
      <c r="A6020" s="3">
        <v>41662</v>
      </c>
      <c r="B6020" s="2" t="s">
        <v>15</v>
      </c>
      <c r="C6020" s="2">
        <v>12</v>
      </c>
    </row>
    <row r="6021" spans="1:3" x14ac:dyDescent="0.25">
      <c r="A6021" s="3">
        <v>41385</v>
      </c>
      <c r="B6021" s="2" t="s">
        <v>42</v>
      </c>
      <c r="C6021" s="2">
        <v>40</v>
      </c>
    </row>
    <row r="6022" spans="1:3" x14ac:dyDescent="0.25">
      <c r="A6022" s="3">
        <v>41706</v>
      </c>
      <c r="B6022" s="2" t="s">
        <v>39</v>
      </c>
      <c r="C6022" s="2">
        <v>28</v>
      </c>
    </row>
    <row r="6023" spans="1:3" x14ac:dyDescent="0.25">
      <c r="A6023" s="3">
        <v>41847</v>
      </c>
      <c r="B6023" s="2" t="s">
        <v>49</v>
      </c>
      <c r="C6023" s="2">
        <v>55</v>
      </c>
    </row>
    <row r="6024" spans="1:3" x14ac:dyDescent="0.25">
      <c r="A6024" s="3">
        <v>41902</v>
      </c>
      <c r="B6024" s="2" t="s">
        <v>13</v>
      </c>
      <c r="C6024" s="2">
        <v>28</v>
      </c>
    </row>
    <row r="6025" spans="1:3" x14ac:dyDescent="0.25">
      <c r="A6025" s="3">
        <v>41977</v>
      </c>
      <c r="B6025" s="2" t="s">
        <v>50</v>
      </c>
      <c r="C6025" s="2">
        <v>3</v>
      </c>
    </row>
    <row r="6026" spans="1:3" x14ac:dyDescent="0.25">
      <c r="A6026" s="3">
        <v>41839</v>
      </c>
      <c r="B6026" s="2" t="s">
        <v>7</v>
      </c>
      <c r="C6026" s="2">
        <v>27</v>
      </c>
    </row>
    <row r="6027" spans="1:3" x14ac:dyDescent="0.25">
      <c r="A6027" s="3">
        <v>41674</v>
      </c>
      <c r="B6027" s="2" t="s">
        <v>17</v>
      </c>
      <c r="C6027" s="2">
        <v>35</v>
      </c>
    </row>
    <row r="6028" spans="1:3" x14ac:dyDescent="0.25">
      <c r="A6028" s="3">
        <v>41624</v>
      </c>
      <c r="B6028" s="2" t="s">
        <v>23</v>
      </c>
      <c r="C6028" s="2">
        <v>9</v>
      </c>
    </row>
    <row r="6029" spans="1:3" x14ac:dyDescent="0.25">
      <c r="A6029" s="3">
        <v>41526</v>
      </c>
      <c r="B6029" s="2" t="s">
        <v>3</v>
      </c>
      <c r="C6029" s="2">
        <v>16</v>
      </c>
    </row>
    <row r="6030" spans="1:3" x14ac:dyDescent="0.25">
      <c r="A6030" s="3">
        <v>41325</v>
      </c>
      <c r="B6030" s="2" t="s">
        <v>31</v>
      </c>
      <c r="C6030" s="2">
        <v>22</v>
      </c>
    </row>
    <row r="6031" spans="1:3" x14ac:dyDescent="0.25">
      <c r="A6031" s="3">
        <v>41497</v>
      </c>
      <c r="B6031" s="2" t="s">
        <v>11</v>
      </c>
      <c r="C6031" s="2">
        <v>17</v>
      </c>
    </row>
    <row r="6032" spans="1:3" x14ac:dyDescent="0.25">
      <c r="A6032" s="3">
        <v>41537</v>
      </c>
      <c r="B6032" s="2" t="s">
        <v>5</v>
      </c>
      <c r="C6032" s="2">
        <v>23</v>
      </c>
    </row>
    <row r="6033" spans="1:3" x14ac:dyDescent="0.25">
      <c r="A6033" s="3">
        <v>41280</v>
      </c>
      <c r="B6033" s="2" t="s">
        <v>42</v>
      </c>
      <c r="C6033" s="2">
        <v>43</v>
      </c>
    </row>
    <row r="6034" spans="1:3" x14ac:dyDescent="0.25">
      <c r="A6034" s="3">
        <v>41302</v>
      </c>
      <c r="B6034" s="2" t="s">
        <v>5</v>
      </c>
      <c r="C6034" s="2">
        <v>25</v>
      </c>
    </row>
    <row r="6035" spans="1:3" x14ac:dyDescent="0.25">
      <c r="A6035" s="3">
        <v>41921</v>
      </c>
      <c r="B6035" s="2" t="s">
        <v>15</v>
      </c>
      <c r="C6035" s="2">
        <v>15</v>
      </c>
    </row>
    <row r="6036" spans="1:3" x14ac:dyDescent="0.25">
      <c r="A6036" s="3">
        <v>41324</v>
      </c>
      <c r="B6036" s="2" t="s">
        <v>21</v>
      </c>
      <c r="C6036" s="2">
        <v>21</v>
      </c>
    </row>
    <row r="6037" spans="1:3" x14ac:dyDescent="0.25">
      <c r="A6037" s="3">
        <v>41406</v>
      </c>
      <c r="B6037" s="2" t="s">
        <v>26</v>
      </c>
      <c r="C6037" s="2">
        <v>24</v>
      </c>
    </row>
    <row r="6038" spans="1:3" x14ac:dyDescent="0.25">
      <c r="A6038" s="3">
        <v>41937</v>
      </c>
      <c r="B6038" s="2" t="s">
        <v>35</v>
      </c>
      <c r="C6038" s="2">
        <v>59</v>
      </c>
    </row>
    <row r="6039" spans="1:3" x14ac:dyDescent="0.25">
      <c r="A6039" s="3">
        <v>41991</v>
      </c>
      <c r="B6039" s="2" t="s">
        <v>4</v>
      </c>
      <c r="C6039" s="2">
        <v>32</v>
      </c>
    </row>
    <row r="6040" spans="1:3" x14ac:dyDescent="0.25">
      <c r="A6040" s="3">
        <v>41922</v>
      </c>
      <c r="B6040" s="2" t="s">
        <v>37</v>
      </c>
      <c r="C6040" s="2">
        <v>30</v>
      </c>
    </row>
    <row r="6041" spans="1:3" x14ac:dyDescent="0.25">
      <c r="A6041" s="3">
        <v>41475</v>
      </c>
      <c r="B6041" s="2" t="s">
        <v>9</v>
      </c>
      <c r="C6041" s="2">
        <v>48</v>
      </c>
    </row>
    <row r="6042" spans="1:3" x14ac:dyDescent="0.25">
      <c r="A6042" s="3">
        <v>41692</v>
      </c>
      <c r="B6042" s="2" t="s">
        <v>47</v>
      </c>
      <c r="C6042" s="2">
        <v>59</v>
      </c>
    </row>
    <row r="6043" spans="1:3" x14ac:dyDescent="0.25">
      <c r="A6043" s="3">
        <v>41389</v>
      </c>
      <c r="B6043" s="2" t="s">
        <v>25</v>
      </c>
      <c r="C6043" s="2">
        <v>3</v>
      </c>
    </row>
    <row r="6044" spans="1:3" x14ac:dyDescent="0.25">
      <c r="A6044" s="3">
        <v>41483</v>
      </c>
      <c r="B6044" s="2" t="s">
        <v>9</v>
      </c>
      <c r="C6044" s="2">
        <v>17</v>
      </c>
    </row>
    <row r="6045" spans="1:3" x14ac:dyDescent="0.25">
      <c r="A6045" s="3">
        <v>41501</v>
      </c>
      <c r="B6045" s="2" t="s">
        <v>42</v>
      </c>
      <c r="C6045" s="2">
        <v>23</v>
      </c>
    </row>
    <row r="6046" spans="1:3" x14ac:dyDescent="0.25">
      <c r="A6046" s="3">
        <v>41499</v>
      </c>
      <c r="B6046" s="2" t="s">
        <v>20</v>
      </c>
      <c r="C6046" s="2">
        <v>20</v>
      </c>
    </row>
    <row r="6047" spans="1:3" x14ac:dyDescent="0.25">
      <c r="A6047" s="3">
        <v>41470</v>
      </c>
      <c r="B6047" s="2" t="s">
        <v>37</v>
      </c>
      <c r="C6047" s="2">
        <v>32</v>
      </c>
    </row>
    <row r="6048" spans="1:3" x14ac:dyDescent="0.25">
      <c r="A6048" s="3">
        <v>41417</v>
      </c>
      <c r="B6048" s="2" t="s">
        <v>51</v>
      </c>
      <c r="C6048" s="2">
        <v>13</v>
      </c>
    </row>
    <row r="6049" spans="1:3" x14ac:dyDescent="0.25">
      <c r="A6049" s="3">
        <v>41815</v>
      </c>
      <c r="B6049" s="2" t="s">
        <v>9</v>
      </c>
      <c r="C6049" s="2">
        <v>3</v>
      </c>
    </row>
    <row r="6050" spans="1:3" x14ac:dyDescent="0.25">
      <c r="A6050" s="3">
        <v>41409</v>
      </c>
      <c r="B6050" s="2" t="s">
        <v>30</v>
      </c>
      <c r="C6050" s="2">
        <v>36</v>
      </c>
    </row>
    <row r="6051" spans="1:3" x14ac:dyDescent="0.25">
      <c r="A6051" s="3">
        <v>41992</v>
      </c>
      <c r="B6051" s="2" t="s">
        <v>13</v>
      </c>
      <c r="C6051" s="2">
        <v>29</v>
      </c>
    </row>
    <row r="6052" spans="1:3" x14ac:dyDescent="0.25">
      <c r="A6052" s="3">
        <v>41358</v>
      </c>
      <c r="B6052" s="2" t="s">
        <v>13</v>
      </c>
      <c r="C6052" s="2">
        <v>31</v>
      </c>
    </row>
    <row r="6053" spans="1:3" x14ac:dyDescent="0.25">
      <c r="A6053" s="3">
        <v>41313</v>
      </c>
      <c r="B6053" s="2" t="s">
        <v>42</v>
      </c>
      <c r="C6053" s="2">
        <v>41</v>
      </c>
    </row>
    <row r="6054" spans="1:3" x14ac:dyDescent="0.25">
      <c r="A6054" s="3">
        <v>41462</v>
      </c>
      <c r="B6054" s="2" t="s">
        <v>16</v>
      </c>
      <c r="C6054" s="2">
        <v>2</v>
      </c>
    </row>
    <row r="6055" spans="1:3" x14ac:dyDescent="0.25">
      <c r="A6055" s="3">
        <v>41431</v>
      </c>
      <c r="B6055" s="2" t="s">
        <v>27</v>
      </c>
      <c r="C6055" s="2">
        <v>15</v>
      </c>
    </row>
    <row r="6056" spans="1:3" x14ac:dyDescent="0.25">
      <c r="A6056" s="3">
        <v>41758</v>
      </c>
      <c r="B6056" s="2" t="s">
        <v>33</v>
      </c>
      <c r="C6056" s="2">
        <v>16</v>
      </c>
    </row>
    <row r="6057" spans="1:3" x14ac:dyDescent="0.25">
      <c r="A6057" s="3">
        <v>41782</v>
      </c>
      <c r="B6057" s="2" t="s">
        <v>31</v>
      </c>
      <c r="C6057" s="2">
        <v>8</v>
      </c>
    </row>
    <row r="6058" spans="1:3" x14ac:dyDescent="0.25">
      <c r="A6058" s="3">
        <v>41793</v>
      </c>
      <c r="B6058" s="2" t="s">
        <v>2</v>
      </c>
      <c r="C6058" s="2">
        <v>8</v>
      </c>
    </row>
    <row r="6059" spans="1:3" x14ac:dyDescent="0.25">
      <c r="A6059" s="3">
        <v>41883</v>
      </c>
      <c r="B6059" s="2" t="s">
        <v>44</v>
      </c>
      <c r="C6059" s="2">
        <v>11</v>
      </c>
    </row>
    <row r="6060" spans="1:3" x14ac:dyDescent="0.25">
      <c r="A6060" s="3">
        <v>41548</v>
      </c>
      <c r="B6060" s="2" t="s">
        <v>35</v>
      </c>
      <c r="C6060" s="2">
        <v>37</v>
      </c>
    </row>
    <row r="6061" spans="1:3" x14ac:dyDescent="0.25">
      <c r="A6061" s="3">
        <v>41569</v>
      </c>
      <c r="B6061" s="2" t="s">
        <v>21</v>
      </c>
      <c r="C6061" s="2">
        <v>25</v>
      </c>
    </row>
    <row r="6062" spans="1:3" x14ac:dyDescent="0.25">
      <c r="A6062" s="3">
        <v>41670</v>
      </c>
      <c r="B6062" s="2" t="s">
        <v>43</v>
      </c>
      <c r="C6062" s="2">
        <v>12</v>
      </c>
    </row>
    <row r="6063" spans="1:3" x14ac:dyDescent="0.25">
      <c r="A6063" s="3">
        <v>41672</v>
      </c>
      <c r="B6063" s="2" t="s">
        <v>25</v>
      </c>
      <c r="C6063" s="2">
        <v>41</v>
      </c>
    </row>
    <row r="6064" spans="1:3" x14ac:dyDescent="0.25">
      <c r="A6064" s="3">
        <v>41785</v>
      </c>
      <c r="B6064" s="2" t="s">
        <v>45</v>
      </c>
      <c r="C6064" s="2">
        <v>26</v>
      </c>
    </row>
    <row r="6065" spans="1:3" x14ac:dyDescent="0.25">
      <c r="A6065" s="3">
        <v>41573</v>
      </c>
      <c r="B6065" s="2" t="s">
        <v>22</v>
      </c>
      <c r="C6065" s="2">
        <v>21</v>
      </c>
    </row>
    <row r="6066" spans="1:3" x14ac:dyDescent="0.25">
      <c r="A6066" s="3">
        <v>41585</v>
      </c>
      <c r="B6066" s="2" t="s">
        <v>25</v>
      </c>
      <c r="C6066" s="2">
        <v>22</v>
      </c>
    </row>
    <row r="6067" spans="1:3" x14ac:dyDescent="0.25">
      <c r="A6067" s="3">
        <v>41714</v>
      </c>
      <c r="B6067" s="2" t="s">
        <v>22</v>
      </c>
      <c r="C6067" s="2">
        <v>9</v>
      </c>
    </row>
    <row r="6068" spans="1:3" x14ac:dyDescent="0.25">
      <c r="A6068" s="3">
        <v>41548</v>
      </c>
      <c r="B6068" s="2" t="s">
        <v>39</v>
      </c>
      <c r="C6068" s="2">
        <v>6</v>
      </c>
    </row>
    <row r="6069" spans="1:3" x14ac:dyDescent="0.25">
      <c r="A6069" s="3">
        <v>41779</v>
      </c>
      <c r="B6069" s="2" t="s">
        <v>48</v>
      </c>
      <c r="C6069" s="2">
        <v>47</v>
      </c>
    </row>
    <row r="6070" spans="1:3" x14ac:dyDescent="0.25">
      <c r="A6070" s="3">
        <v>41373</v>
      </c>
      <c r="B6070" s="2" t="s">
        <v>43</v>
      </c>
      <c r="C6070" s="2">
        <v>49</v>
      </c>
    </row>
    <row r="6071" spans="1:3" x14ac:dyDescent="0.25">
      <c r="A6071" s="3">
        <v>41444</v>
      </c>
      <c r="B6071" s="2" t="s">
        <v>19</v>
      </c>
      <c r="C6071" s="2">
        <v>28</v>
      </c>
    </row>
    <row r="6072" spans="1:3" x14ac:dyDescent="0.25">
      <c r="A6072" s="3">
        <v>41969</v>
      </c>
      <c r="B6072" s="2" t="s">
        <v>46</v>
      </c>
      <c r="C6072" s="2">
        <v>34</v>
      </c>
    </row>
    <row r="6073" spans="1:3" x14ac:dyDescent="0.25">
      <c r="A6073" s="3">
        <v>41334</v>
      </c>
      <c r="B6073" s="2" t="s">
        <v>35</v>
      </c>
      <c r="C6073" s="2">
        <v>2</v>
      </c>
    </row>
    <row r="6074" spans="1:3" x14ac:dyDescent="0.25">
      <c r="A6074" s="3">
        <v>41404</v>
      </c>
      <c r="B6074" s="2" t="s">
        <v>29</v>
      </c>
      <c r="C6074" s="2">
        <v>53</v>
      </c>
    </row>
    <row r="6075" spans="1:3" x14ac:dyDescent="0.25">
      <c r="A6075" s="3">
        <v>41422</v>
      </c>
      <c r="B6075" s="2" t="s">
        <v>48</v>
      </c>
      <c r="C6075" s="2">
        <v>32</v>
      </c>
    </row>
    <row r="6076" spans="1:3" x14ac:dyDescent="0.25">
      <c r="A6076" s="3">
        <v>41878</v>
      </c>
      <c r="B6076" s="2" t="s">
        <v>38</v>
      </c>
      <c r="C6076" s="2">
        <v>50</v>
      </c>
    </row>
    <row r="6077" spans="1:3" x14ac:dyDescent="0.25">
      <c r="A6077" s="3">
        <v>41559</v>
      </c>
      <c r="B6077" s="2" t="s">
        <v>17</v>
      </c>
      <c r="C6077" s="2">
        <v>13</v>
      </c>
    </row>
    <row r="6078" spans="1:3" x14ac:dyDescent="0.25">
      <c r="A6078" s="3">
        <v>41655</v>
      </c>
      <c r="B6078" s="2" t="s">
        <v>14</v>
      </c>
      <c r="C6078" s="2">
        <v>34</v>
      </c>
    </row>
    <row r="6079" spans="1:3" x14ac:dyDescent="0.25">
      <c r="A6079" s="3">
        <v>41279</v>
      </c>
      <c r="B6079" s="2" t="s">
        <v>10</v>
      </c>
      <c r="C6079" s="2">
        <v>34</v>
      </c>
    </row>
    <row r="6080" spans="1:3" x14ac:dyDescent="0.25">
      <c r="A6080" s="3">
        <v>41637</v>
      </c>
      <c r="B6080" s="2" t="s">
        <v>34</v>
      </c>
      <c r="C6080" s="2">
        <v>11</v>
      </c>
    </row>
    <row r="6081" spans="1:3" x14ac:dyDescent="0.25">
      <c r="A6081" s="3">
        <v>41304</v>
      </c>
      <c r="B6081" s="2" t="s">
        <v>26</v>
      </c>
      <c r="C6081" s="2">
        <v>21</v>
      </c>
    </row>
    <row r="6082" spans="1:3" x14ac:dyDescent="0.25">
      <c r="A6082" s="3">
        <v>41605</v>
      </c>
      <c r="B6082" s="2" t="s">
        <v>43</v>
      </c>
      <c r="C6082" s="2">
        <v>20</v>
      </c>
    </row>
    <row r="6083" spans="1:3" x14ac:dyDescent="0.25">
      <c r="A6083" s="3">
        <v>41664</v>
      </c>
      <c r="B6083" s="2" t="s">
        <v>21</v>
      </c>
      <c r="C6083" s="2">
        <v>30</v>
      </c>
    </row>
    <row r="6084" spans="1:3" x14ac:dyDescent="0.25">
      <c r="A6084" s="3">
        <v>41773</v>
      </c>
      <c r="B6084" s="2" t="s">
        <v>40</v>
      </c>
      <c r="C6084" s="2">
        <v>26</v>
      </c>
    </row>
    <row r="6085" spans="1:3" x14ac:dyDescent="0.25">
      <c r="A6085" s="3">
        <v>41977</v>
      </c>
      <c r="B6085" s="2" t="s">
        <v>43</v>
      </c>
      <c r="C6085" s="2">
        <v>12</v>
      </c>
    </row>
    <row r="6086" spans="1:3" x14ac:dyDescent="0.25">
      <c r="A6086" s="3">
        <v>41870</v>
      </c>
      <c r="B6086" s="2" t="s">
        <v>32</v>
      </c>
      <c r="C6086" s="2">
        <v>14</v>
      </c>
    </row>
    <row r="6087" spans="1:3" x14ac:dyDescent="0.25">
      <c r="A6087" s="3">
        <v>41720</v>
      </c>
      <c r="B6087" s="2" t="s">
        <v>13</v>
      </c>
      <c r="C6087" s="2">
        <v>71</v>
      </c>
    </row>
    <row r="6088" spans="1:3" x14ac:dyDescent="0.25">
      <c r="A6088" s="3">
        <v>41665</v>
      </c>
      <c r="B6088" s="2" t="s">
        <v>44</v>
      </c>
      <c r="C6088" s="2">
        <v>15</v>
      </c>
    </row>
    <row r="6089" spans="1:3" x14ac:dyDescent="0.25">
      <c r="A6089" s="3">
        <v>41959</v>
      </c>
      <c r="B6089" s="2" t="s">
        <v>36</v>
      </c>
      <c r="C6089" s="2">
        <v>43</v>
      </c>
    </row>
    <row r="6090" spans="1:3" x14ac:dyDescent="0.25">
      <c r="A6090" s="3">
        <v>41458</v>
      </c>
      <c r="B6090" s="2" t="s">
        <v>10</v>
      </c>
      <c r="C6090" s="2">
        <v>34</v>
      </c>
    </row>
    <row r="6091" spans="1:3" x14ac:dyDescent="0.25">
      <c r="A6091" s="3">
        <v>41940</v>
      </c>
      <c r="B6091" s="2" t="s">
        <v>39</v>
      </c>
      <c r="C6091" s="2">
        <v>43</v>
      </c>
    </row>
    <row r="6092" spans="1:3" x14ac:dyDescent="0.25">
      <c r="A6092" s="3">
        <v>41408</v>
      </c>
      <c r="B6092" s="2" t="s">
        <v>33</v>
      </c>
      <c r="C6092" s="2">
        <v>37</v>
      </c>
    </row>
    <row r="6093" spans="1:3" x14ac:dyDescent="0.25">
      <c r="A6093" s="3">
        <v>41779</v>
      </c>
      <c r="B6093" s="2" t="s">
        <v>34</v>
      </c>
      <c r="C6093" s="2">
        <v>30</v>
      </c>
    </row>
    <row r="6094" spans="1:3" x14ac:dyDescent="0.25">
      <c r="A6094" s="3">
        <v>41952</v>
      </c>
      <c r="B6094" s="2" t="s">
        <v>17</v>
      </c>
      <c r="C6094" s="2">
        <v>39</v>
      </c>
    </row>
    <row r="6095" spans="1:3" x14ac:dyDescent="0.25">
      <c r="A6095" s="3">
        <v>41393</v>
      </c>
      <c r="B6095" s="2" t="s">
        <v>14</v>
      </c>
      <c r="C6095" s="2">
        <v>28</v>
      </c>
    </row>
    <row r="6096" spans="1:3" x14ac:dyDescent="0.25">
      <c r="A6096" s="3">
        <v>41696</v>
      </c>
      <c r="B6096" s="2" t="s">
        <v>6</v>
      </c>
      <c r="C6096" s="2">
        <v>26</v>
      </c>
    </row>
    <row r="6097" spans="1:3" x14ac:dyDescent="0.25">
      <c r="A6097" s="3">
        <v>41724</v>
      </c>
      <c r="B6097" s="2" t="s">
        <v>8</v>
      </c>
      <c r="C6097" s="2">
        <v>20</v>
      </c>
    </row>
    <row r="6098" spans="1:3" x14ac:dyDescent="0.25">
      <c r="A6098" s="3">
        <v>41963</v>
      </c>
      <c r="B6098" s="2" t="s">
        <v>35</v>
      </c>
      <c r="C6098" s="2">
        <v>32</v>
      </c>
    </row>
    <row r="6099" spans="1:3" x14ac:dyDescent="0.25">
      <c r="A6099" s="3">
        <v>41293</v>
      </c>
      <c r="B6099" s="2" t="s">
        <v>48</v>
      </c>
      <c r="C6099" s="2">
        <v>31</v>
      </c>
    </row>
    <row r="6100" spans="1:3" x14ac:dyDescent="0.25">
      <c r="A6100" s="3">
        <v>41635</v>
      </c>
      <c r="B6100" s="2" t="s">
        <v>43</v>
      </c>
      <c r="C6100" s="2">
        <v>9</v>
      </c>
    </row>
    <row r="6101" spans="1:3" x14ac:dyDescent="0.25">
      <c r="A6101" s="3">
        <v>41634</v>
      </c>
      <c r="B6101" s="2" t="s">
        <v>47</v>
      </c>
      <c r="C6101" s="2">
        <v>21</v>
      </c>
    </row>
    <row r="6102" spans="1:3" x14ac:dyDescent="0.25">
      <c r="A6102" s="3">
        <v>41600</v>
      </c>
      <c r="B6102" s="2" t="s">
        <v>40</v>
      </c>
      <c r="C6102" s="2">
        <v>13</v>
      </c>
    </row>
    <row r="6103" spans="1:3" x14ac:dyDescent="0.25">
      <c r="A6103" s="3">
        <v>41649</v>
      </c>
      <c r="B6103" s="2" t="s">
        <v>8</v>
      </c>
      <c r="C6103" s="2">
        <v>37</v>
      </c>
    </row>
    <row r="6104" spans="1:3" x14ac:dyDescent="0.25">
      <c r="A6104" s="3">
        <v>41840</v>
      </c>
      <c r="B6104" s="2" t="s">
        <v>23</v>
      </c>
      <c r="C6104" s="2">
        <v>39</v>
      </c>
    </row>
    <row r="6105" spans="1:3" x14ac:dyDescent="0.25">
      <c r="A6105" s="3">
        <v>41725</v>
      </c>
      <c r="B6105" s="2" t="s">
        <v>44</v>
      </c>
      <c r="C6105" s="2">
        <v>8</v>
      </c>
    </row>
    <row r="6106" spans="1:3" x14ac:dyDescent="0.25">
      <c r="A6106" s="3">
        <v>41792</v>
      </c>
      <c r="B6106" s="2" t="s">
        <v>19</v>
      </c>
      <c r="C6106" s="2">
        <v>22</v>
      </c>
    </row>
    <row r="6107" spans="1:3" x14ac:dyDescent="0.25">
      <c r="A6107" s="3">
        <v>41834</v>
      </c>
      <c r="B6107" s="2" t="s">
        <v>16</v>
      </c>
      <c r="C6107" s="2">
        <v>6</v>
      </c>
    </row>
    <row r="6108" spans="1:3" x14ac:dyDescent="0.25">
      <c r="A6108" s="3">
        <v>41501</v>
      </c>
      <c r="B6108" s="2" t="s">
        <v>49</v>
      </c>
      <c r="C6108" s="2">
        <v>57</v>
      </c>
    </row>
    <row r="6109" spans="1:3" x14ac:dyDescent="0.25">
      <c r="A6109" s="3">
        <v>41633</v>
      </c>
      <c r="B6109" s="2" t="s">
        <v>25</v>
      </c>
      <c r="C6109" s="2">
        <v>7</v>
      </c>
    </row>
    <row r="6110" spans="1:3" x14ac:dyDescent="0.25">
      <c r="A6110" s="3">
        <v>41795</v>
      </c>
      <c r="B6110" s="2" t="s">
        <v>43</v>
      </c>
      <c r="C6110" s="2">
        <v>42</v>
      </c>
    </row>
    <row r="6111" spans="1:3" x14ac:dyDescent="0.25">
      <c r="A6111" s="3">
        <v>41532</v>
      </c>
      <c r="B6111" s="2" t="s">
        <v>24</v>
      </c>
      <c r="C6111" s="2">
        <v>26</v>
      </c>
    </row>
    <row r="6112" spans="1:3" x14ac:dyDescent="0.25">
      <c r="A6112" s="3">
        <v>41887</v>
      </c>
      <c r="B6112" s="2" t="s">
        <v>2</v>
      </c>
      <c r="C6112" s="2">
        <v>9</v>
      </c>
    </row>
    <row r="6113" spans="1:3" x14ac:dyDescent="0.25">
      <c r="A6113" s="3">
        <v>41737</v>
      </c>
      <c r="B6113" s="2" t="s">
        <v>48</v>
      </c>
      <c r="C6113" s="2">
        <v>51</v>
      </c>
    </row>
    <row r="6114" spans="1:3" x14ac:dyDescent="0.25">
      <c r="A6114" s="3">
        <v>41588</v>
      </c>
      <c r="B6114" s="2" t="s">
        <v>38</v>
      </c>
      <c r="C6114" s="2">
        <v>50</v>
      </c>
    </row>
    <row r="6115" spans="1:3" x14ac:dyDescent="0.25">
      <c r="A6115" s="3">
        <v>41278</v>
      </c>
      <c r="B6115" s="2" t="s">
        <v>23</v>
      </c>
      <c r="C6115" s="2">
        <v>54</v>
      </c>
    </row>
    <row r="6116" spans="1:3" x14ac:dyDescent="0.25">
      <c r="A6116" s="3">
        <v>41947</v>
      </c>
      <c r="B6116" s="2" t="s">
        <v>16</v>
      </c>
      <c r="C6116" s="2">
        <v>43</v>
      </c>
    </row>
    <row r="6117" spans="1:3" x14ac:dyDescent="0.25">
      <c r="A6117" s="3">
        <v>41954</v>
      </c>
      <c r="B6117" s="2" t="s">
        <v>41</v>
      </c>
      <c r="C6117" s="2">
        <v>29</v>
      </c>
    </row>
    <row r="6118" spans="1:3" x14ac:dyDescent="0.25">
      <c r="A6118" s="3">
        <v>41921</v>
      </c>
      <c r="B6118" s="2" t="s">
        <v>49</v>
      </c>
      <c r="C6118" s="2">
        <v>14</v>
      </c>
    </row>
    <row r="6119" spans="1:3" x14ac:dyDescent="0.25">
      <c r="A6119" s="3">
        <v>41746</v>
      </c>
      <c r="B6119" s="2" t="s">
        <v>12</v>
      </c>
      <c r="C6119" s="2">
        <v>2</v>
      </c>
    </row>
    <row r="6120" spans="1:3" x14ac:dyDescent="0.25">
      <c r="A6120" s="3">
        <v>41687</v>
      </c>
      <c r="B6120" s="2" t="s">
        <v>13</v>
      </c>
      <c r="C6120" s="2">
        <v>19</v>
      </c>
    </row>
    <row r="6121" spans="1:3" x14ac:dyDescent="0.25">
      <c r="A6121" s="3">
        <v>41303</v>
      </c>
      <c r="B6121" s="2" t="s">
        <v>49</v>
      </c>
      <c r="C6121" s="2">
        <v>25</v>
      </c>
    </row>
    <row r="6122" spans="1:3" x14ac:dyDescent="0.25">
      <c r="A6122" s="3">
        <v>41870</v>
      </c>
      <c r="B6122" s="2" t="s">
        <v>17</v>
      </c>
      <c r="C6122" s="2">
        <v>23</v>
      </c>
    </row>
    <row r="6123" spans="1:3" x14ac:dyDescent="0.25">
      <c r="A6123" s="3">
        <v>41572</v>
      </c>
      <c r="B6123" s="2" t="s">
        <v>37</v>
      </c>
      <c r="C6123" s="2">
        <v>25</v>
      </c>
    </row>
    <row r="6124" spans="1:3" x14ac:dyDescent="0.25">
      <c r="A6124" s="3">
        <v>41960</v>
      </c>
      <c r="B6124" s="2" t="s">
        <v>10</v>
      </c>
      <c r="C6124" s="2">
        <v>48</v>
      </c>
    </row>
    <row r="6125" spans="1:3" x14ac:dyDescent="0.25">
      <c r="A6125" s="3">
        <v>41397</v>
      </c>
      <c r="B6125" s="2" t="s">
        <v>49</v>
      </c>
      <c r="C6125" s="2">
        <v>15</v>
      </c>
    </row>
    <row r="6126" spans="1:3" x14ac:dyDescent="0.25">
      <c r="A6126" s="3">
        <v>41276</v>
      </c>
      <c r="B6126" s="2" t="s">
        <v>13</v>
      </c>
      <c r="C6126" s="2">
        <v>21</v>
      </c>
    </row>
    <row r="6127" spans="1:3" x14ac:dyDescent="0.25">
      <c r="A6127" s="3">
        <v>41920</v>
      </c>
      <c r="B6127" s="2" t="s">
        <v>50</v>
      </c>
      <c r="C6127" s="2">
        <v>3</v>
      </c>
    </row>
    <row r="6128" spans="1:3" x14ac:dyDescent="0.25">
      <c r="A6128" s="3">
        <v>41732</v>
      </c>
      <c r="B6128" s="2" t="s">
        <v>35</v>
      </c>
      <c r="C6128" s="2">
        <v>20</v>
      </c>
    </row>
    <row r="6129" spans="1:3" x14ac:dyDescent="0.25">
      <c r="A6129" s="3">
        <v>41275</v>
      </c>
      <c r="B6129" s="2" t="s">
        <v>27</v>
      </c>
      <c r="C6129" s="2">
        <v>41</v>
      </c>
    </row>
    <row r="6130" spans="1:3" x14ac:dyDescent="0.25">
      <c r="A6130" s="3">
        <v>41373</v>
      </c>
      <c r="B6130" s="2" t="s">
        <v>2</v>
      </c>
      <c r="C6130" s="2">
        <v>36</v>
      </c>
    </row>
    <row r="6131" spans="1:3" x14ac:dyDescent="0.25">
      <c r="A6131" s="3">
        <v>41460</v>
      </c>
      <c r="B6131" s="2" t="s">
        <v>29</v>
      </c>
      <c r="C6131" s="2">
        <v>18</v>
      </c>
    </row>
    <row r="6132" spans="1:3" x14ac:dyDescent="0.25">
      <c r="A6132" s="3">
        <v>41283</v>
      </c>
      <c r="B6132" s="2" t="s">
        <v>26</v>
      </c>
      <c r="C6132" s="2">
        <v>5</v>
      </c>
    </row>
    <row r="6133" spans="1:3" x14ac:dyDescent="0.25">
      <c r="A6133" s="3">
        <v>41887</v>
      </c>
      <c r="B6133" s="2" t="s">
        <v>50</v>
      </c>
      <c r="C6133" s="2">
        <v>15</v>
      </c>
    </row>
    <row r="6134" spans="1:3" x14ac:dyDescent="0.25">
      <c r="A6134" s="3">
        <v>41985</v>
      </c>
      <c r="B6134" s="2" t="s">
        <v>51</v>
      </c>
      <c r="C6134" s="2">
        <v>22</v>
      </c>
    </row>
    <row r="6135" spans="1:3" x14ac:dyDescent="0.25">
      <c r="A6135" s="3">
        <v>41503</v>
      </c>
      <c r="B6135" s="2" t="s">
        <v>19</v>
      </c>
      <c r="C6135" s="2">
        <v>34</v>
      </c>
    </row>
    <row r="6136" spans="1:3" x14ac:dyDescent="0.25">
      <c r="A6136" s="3">
        <v>41947</v>
      </c>
      <c r="B6136" s="2" t="s">
        <v>16</v>
      </c>
      <c r="C6136" s="2">
        <v>39</v>
      </c>
    </row>
    <row r="6137" spans="1:3" x14ac:dyDescent="0.25">
      <c r="A6137" s="3">
        <v>41649</v>
      </c>
      <c r="B6137" s="2" t="s">
        <v>32</v>
      </c>
      <c r="C6137" s="2">
        <v>39</v>
      </c>
    </row>
    <row r="6138" spans="1:3" x14ac:dyDescent="0.25">
      <c r="A6138" s="3">
        <v>41531</v>
      </c>
      <c r="B6138" s="2" t="s">
        <v>30</v>
      </c>
      <c r="C6138" s="2">
        <v>24</v>
      </c>
    </row>
    <row r="6139" spans="1:3" x14ac:dyDescent="0.25">
      <c r="A6139" s="3">
        <v>41730</v>
      </c>
      <c r="B6139" s="2" t="s">
        <v>21</v>
      </c>
      <c r="C6139" s="2">
        <v>42</v>
      </c>
    </row>
    <row r="6140" spans="1:3" x14ac:dyDescent="0.25">
      <c r="A6140" s="3">
        <v>41354</v>
      </c>
      <c r="B6140" s="2" t="s">
        <v>21</v>
      </c>
      <c r="C6140" s="2">
        <v>9</v>
      </c>
    </row>
    <row r="6141" spans="1:3" x14ac:dyDescent="0.25">
      <c r="A6141" s="3">
        <v>41277</v>
      </c>
      <c r="B6141" s="2" t="s">
        <v>47</v>
      </c>
      <c r="C6141" s="2">
        <v>11</v>
      </c>
    </row>
    <row r="6142" spans="1:3" x14ac:dyDescent="0.25">
      <c r="A6142" s="3">
        <v>41278</v>
      </c>
      <c r="B6142" s="2" t="s">
        <v>32</v>
      </c>
      <c r="C6142" s="2">
        <v>25</v>
      </c>
    </row>
    <row r="6143" spans="1:3" x14ac:dyDescent="0.25">
      <c r="A6143" s="3">
        <v>41551</v>
      </c>
      <c r="B6143" s="2" t="s">
        <v>23</v>
      </c>
      <c r="C6143" s="2">
        <v>56</v>
      </c>
    </row>
    <row r="6144" spans="1:3" x14ac:dyDescent="0.25">
      <c r="A6144" s="3">
        <v>41733</v>
      </c>
      <c r="B6144" s="2" t="s">
        <v>9</v>
      </c>
      <c r="C6144" s="2">
        <v>51</v>
      </c>
    </row>
    <row r="6145" spans="1:3" x14ac:dyDescent="0.25">
      <c r="A6145" s="3">
        <v>41595</v>
      </c>
      <c r="B6145" s="2" t="s">
        <v>6</v>
      </c>
      <c r="C6145" s="2">
        <v>2</v>
      </c>
    </row>
    <row r="6146" spans="1:3" x14ac:dyDescent="0.25">
      <c r="A6146" s="3">
        <v>41303</v>
      </c>
      <c r="B6146" s="2" t="s">
        <v>48</v>
      </c>
      <c r="C6146" s="2">
        <v>29</v>
      </c>
    </row>
    <row r="6147" spans="1:3" x14ac:dyDescent="0.25">
      <c r="A6147" s="3">
        <v>41527</v>
      </c>
      <c r="B6147" s="2" t="s">
        <v>46</v>
      </c>
      <c r="C6147" s="2">
        <v>23</v>
      </c>
    </row>
    <row r="6148" spans="1:3" x14ac:dyDescent="0.25">
      <c r="A6148" s="3">
        <v>41943</v>
      </c>
      <c r="B6148" s="2" t="s">
        <v>50</v>
      </c>
      <c r="C6148" s="2">
        <v>40</v>
      </c>
    </row>
    <row r="6149" spans="1:3" x14ac:dyDescent="0.25">
      <c r="A6149" s="3">
        <v>41368</v>
      </c>
      <c r="B6149" s="2" t="s">
        <v>12</v>
      </c>
      <c r="C6149" s="2">
        <v>37</v>
      </c>
    </row>
    <row r="6150" spans="1:3" x14ac:dyDescent="0.25">
      <c r="A6150" s="3">
        <v>41968</v>
      </c>
      <c r="B6150" s="2" t="s">
        <v>28</v>
      </c>
      <c r="C6150" s="2">
        <v>33</v>
      </c>
    </row>
    <row r="6151" spans="1:3" x14ac:dyDescent="0.25">
      <c r="A6151" s="3">
        <v>41613</v>
      </c>
      <c r="B6151" s="2" t="s">
        <v>36</v>
      </c>
      <c r="C6151" s="2">
        <v>10</v>
      </c>
    </row>
    <row r="6152" spans="1:3" x14ac:dyDescent="0.25">
      <c r="A6152" s="3">
        <v>41655</v>
      </c>
      <c r="B6152" s="2" t="s">
        <v>14</v>
      </c>
      <c r="C6152" s="2">
        <v>29</v>
      </c>
    </row>
    <row r="6153" spans="1:3" x14ac:dyDescent="0.25">
      <c r="A6153" s="3">
        <v>41291</v>
      </c>
      <c r="B6153" s="2" t="s">
        <v>37</v>
      </c>
      <c r="C6153" s="2">
        <v>45</v>
      </c>
    </row>
    <row r="6154" spans="1:3" x14ac:dyDescent="0.25">
      <c r="A6154" s="3">
        <v>41287</v>
      </c>
      <c r="B6154" s="2" t="s">
        <v>35</v>
      </c>
      <c r="C6154" s="2">
        <v>34</v>
      </c>
    </row>
    <row r="6155" spans="1:3" x14ac:dyDescent="0.25">
      <c r="A6155" s="3">
        <v>41753</v>
      </c>
      <c r="B6155" s="2" t="s">
        <v>14</v>
      </c>
      <c r="C6155" s="2">
        <v>1</v>
      </c>
    </row>
    <row r="6156" spans="1:3" x14ac:dyDescent="0.25">
      <c r="A6156" s="3">
        <v>41861</v>
      </c>
      <c r="B6156" s="2" t="s">
        <v>27</v>
      </c>
      <c r="C6156" s="2">
        <v>29</v>
      </c>
    </row>
    <row r="6157" spans="1:3" x14ac:dyDescent="0.25">
      <c r="A6157" s="3">
        <v>41742</v>
      </c>
      <c r="B6157" s="2" t="s">
        <v>16</v>
      </c>
      <c r="C6157" s="2">
        <v>15</v>
      </c>
    </row>
    <row r="6158" spans="1:3" x14ac:dyDescent="0.25">
      <c r="A6158" s="3">
        <v>41933</v>
      </c>
      <c r="B6158" s="2" t="s">
        <v>16</v>
      </c>
      <c r="C6158" s="2">
        <v>48</v>
      </c>
    </row>
    <row r="6159" spans="1:3" x14ac:dyDescent="0.25">
      <c r="A6159" s="3">
        <v>41400</v>
      </c>
      <c r="B6159" s="2" t="s">
        <v>51</v>
      </c>
      <c r="C6159" s="2">
        <v>27</v>
      </c>
    </row>
    <row r="6160" spans="1:3" x14ac:dyDescent="0.25">
      <c r="A6160" s="3">
        <v>41504</v>
      </c>
      <c r="B6160" s="2" t="s">
        <v>24</v>
      </c>
      <c r="C6160" s="2">
        <v>28</v>
      </c>
    </row>
    <row r="6161" spans="1:3" x14ac:dyDescent="0.25">
      <c r="A6161" s="3">
        <v>41507</v>
      </c>
      <c r="B6161" s="2" t="s">
        <v>30</v>
      </c>
      <c r="C6161" s="2">
        <v>28</v>
      </c>
    </row>
    <row r="6162" spans="1:3" x14ac:dyDescent="0.25">
      <c r="A6162" s="3">
        <v>41302</v>
      </c>
      <c r="B6162" s="2" t="s">
        <v>47</v>
      </c>
      <c r="C6162" s="2">
        <v>20</v>
      </c>
    </row>
    <row r="6163" spans="1:3" x14ac:dyDescent="0.25">
      <c r="A6163" s="3">
        <v>41572</v>
      </c>
      <c r="B6163" s="2" t="s">
        <v>13</v>
      </c>
      <c r="C6163" s="2">
        <v>30</v>
      </c>
    </row>
    <row r="6164" spans="1:3" x14ac:dyDescent="0.25">
      <c r="A6164" s="3">
        <v>41886</v>
      </c>
      <c r="B6164" s="2" t="s">
        <v>3</v>
      </c>
      <c r="C6164" s="2">
        <v>35</v>
      </c>
    </row>
    <row r="6165" spans="1:3" x14ac:dyDescent="0.25">
      <c r="A6165" s="3">
        <v>41316</v>
      </c>
      <c r="B6165" s="2" t="s">
        <v>24</v>
      </c>
      <c r="C6165" s="2">
        <v>37</v>
      </c>
    </row>
    <row r="6166" spans="1:3" x14ac:dyDescent="0.25">
      <c r="A6166" s="3">
        <v>41811</v>
      </c>
      <c r="B6166" s="2" t="s">
        <v>32</v>
      </c>
      <c r="C6166" s="2">
        <v>1</v>
      </c>
    </row>
    <row r="6167" spans="1:3" x14ac:dyDescent="0.25">
      <c r="A6167" s="3">
        <v>41835</v>
      </c>
      <c r="B6167" s="2" t="s">
        <v>44</v>
      </c>
      <c r="C6167" s="2">
        <v>28</v>
      </c>
    </row>
    <row r="6168" spans="1:3" x14ac:dyDescent="0.25">
      <c r="A6168" s="3">
        <v>42001</v>
      </c>
      <c r="B6168" s="2" t="s">
        <v>22</v>
      </c>
      <c r="C6168" s="2">
        <v>2</v>
      </c>
    </row>
    <row r="6169" spans="1:3" x14ac:dyDescent="0.25">
      <c r="A6169" s="3">
        <v>41380</v>
      </c>
      <c r="B6169" s="2" t="s">
        <v>5</v>
      </c>
      <c r="C6169" s="2">
        <v>30</v>
      </c>
    </row>
    <row r="6170" spans="1:3" x14ac:dyDescent="0.25">
      <c r="A6170" s="3">
        <v>41572</v>
      </c>
      <c r="B6170" s="2" t="s">
        <v>10</v>
      </c>
      <c r="C6170" s="2">
        <v>10</v>
      </c>
    </row>
    <row r="6171" spans="1:3" x14ac:dyDescent="0.25">
      <c r="A6171" s="3">
        <v>41844</v>
      </c>
      <c r="B6171" s="2" t="s">
        <v>18</v>
      </c>
      <c r="C6171" s="2">
        <v>46</v>
      </c>
    </row>
    <row r="6172" spans="1:3" x14ac:dyDescent="0.25">
      <c r="A6172" s="3">
        <v>41655</v>
      </c>
      <c r="B6172" s="2" t="s">
        <v>39</v>
      </c>
      <c r="C6172" s="2">
        <v>34</v>
      </c>
    </row>
    <row r="6173" spans="1:3" x14ac:dyDescent="0.25">
      <c r="A6173" s="3">
        <v>41876</v>
      </c>
      <c r="B6173" s="2" t="s">
        <v>20</v>
      </c>
      <c r="C6173" s="2">
        <v>29</v>
      </c>
    </row>
    <row r="6174" spans="1:3" x14ac:dyDescent="0.25">
      <c r="A6174" s="3">
        <v>41554</v>
      </c>
      <c r="B6174" s="2" t="s">
        <v>37</v>
      </c>
      <c r="C6174" s="2">
        <v>50</v>
      </c>
    </row>
    <row r="6175" spans="1:3" x14ac:dyDescent="0.25">
      <c r="A6175" s="3">
        <v>41636</v>
      </c>
      <c r="B6175" s="2" t="s">
        <v>50</v>
      </c>
      <c r="C6175" s="2">
        <v>5</v>
      </c>
    </row>
    <row r="6176" spans="1:3" x14ac:dyDescent="0.25">
      <c r="A6176" s="3">
        <v>41440</v>
      </c>
      <c r="B6176" s="2" t="s">
        <v>7</v>
      </c>
      <c r="C6176" s="2">
        <v>44</v>
      </c>
    </row>
    <row r="6177" spans="1:3" x14ac:dyDescent="0.25">
      <c r="A6177" s="3">
        <v>41887</v>
      </c>
      <c r="B6177" s="2" t="s">
        <v>25</v>
      </c>
      <c r="C6177" s="2">
        <v>13</v>
      </c>
    </row>
    <row r="6178" spans="1:3" x14ac:dyDescent="0.25">
      <c r="A6178" s="3">
        <v>41698</v>
      </c>
      <c r="B6178" s="2" t="s">
        <v>22</v>
      </c>
      <c r="C6178" s="2">
        <v>26</v>
      </c>
    </row>
    <row r="6179" spans="1:3" x14ac:dyDescent="0.25">
      <c r="A6179" s="3">
        <v>41832</v>
      </c>
      <c r="B6179" s="2" t="s">
        <v>35</v>
      </c>
      <c r="C6179" s="2">
        <v>20</v>
      </c>
    </row>
    <row r="6180" spans="1:3" x14ac:dyDescent="0.25">
      <c r="A6180" s="3">
        <v>41480</v>
      </c>
      <c r="B6180" s="2" t="s">
        <v>10</v>
      </c>
      <c r="C6180" s="2">
        <v>25</v>
      </c>
    </row>
    <row r="6181" spans="1:3" x14ac:dyDescent="0.25">
      <c r="A6181" s="3">
        <v>41514</v>
      </c>
      <c r="B6181" s="2" t="s">
        <v>7</v>
      </c>
      <c r="C6181" s="2">
        <v>59</v>
      </c>
    </row>
    <row r="6182" spans="1:3" x14ac:dyDescent="0.25">
      <c r="A6182" s="3">
        <v>41641</v>
      </c>
      <c r="B6182" s="2" t="s">
        <v>19</v>
      </c>
      <c r="C6182" s="2">
        <v>53</v>
      </c>
    </row>
    <row r="6183" spans="1:3" x14ac:dyDescent="0.25">
      <c r="A6183" s="3">
        <v>41982</v>
      </c>
      <c r="B6183" s="2" t="s">
        <v>23</v>
      </c>
      <c r="C6183" s="2">
        <v>48</v>
      </c>
    </row>
    <row r="6184" spans="1:3" x14ac:dyDescent="0.25">
      <c r="A6184" s="3">
        <v>41782</v>
      </c>
      <c r="B6184" s="2" t="s">
        <v>5</v>
      </c>
      <c r="C6184" s="2">
        <v>45</v>
      </c>
    </row>
    <row r="6185" spans="1:3" x14ac:dyDescent="0.25">
      <c r="A6185" s="3">
        <v>41598</v>
      </c>
      <c r="B6185" s="2" t="s">
        <v>41</v>
      </c>
      <c r="C6185" s="2">
        <v>58</v>
      </c>
    </row>
    <row r="6186" spans="1:3" x14ac:dyDescent="0.25">
      <c r="A6186" s="3">
        <v>41379</v>
      </c>
      <c r="B6186" s="2" t="s">
        <v>26</v>
      </c>
      <c r="C6186" s="2">
        <v>60</v>
      </c>
    </row>
    <row r="6187" spans="1:3" x14ac:dyDescent="0.25">
      <c r="A6187" s="3">
        <v>41637</v>
      </c>
      <c r="B6187" s="2" t="s">
        <v>44</v>
      </c>
      <c r="C6187" s="2">
        <v>2</v>
      </c>
    </row>
    <row r="6188" spans="1:3" x14ac:dyDescent="0.25">
      <c r="A6188" s="3">
        <v>41623</v>
      </c>
      <c r="B6188" s="2" t="s">
        <v>29</v>
      </c>
      <c r="C6188" s="2">
        <v>37</v>
      </c>
    </row>
    <row r="6189" spans="1:3" x14ac:dyDescent="0.25">
      <c r="A6189" s="3">
        <v>41445</v>
      </c>
      <c r="B6189" s="2" t="s">
        <v>50</v>
      </c>
      <c r="C6189" s="2">
        <v>47</v>
      </c>
    </row>
    <row r="6190" spans="1:3" x14ac:dyDescent="0.25">
      <c r="A6190" s="3">
        <v>41413</v>
      </c>
      <c r="B6190" s="2" t="s">
        <v>17</v>
      </c>
      <c r="C6190" s="2">
        <v>2</v>
      </c>
    </row>
    <row r="6191" spans="1:3" x14ac:dyDescent="0.25">
      <c r="A6191" s="3">
        <v>41512</v>
      </c>
      <c r="B6191" s="2" t="s">
        <v>6</v>
      </c>
      <c r="C6191" s="2">
        <v>40</v>
      </c>
    </row>
    <row r="6192" spans="1:3" x14ac:dyDescent="0.25">
      <c r="A6192" s="3">
        <v>41995</v>
      </c>
      <c r="B6192" s="2" t="s">
        <v>11</v>
      </c>
      <c r="C6192" s="2">
        <v>32</v>
      </c>
    </row>
    <row r="6193" spans="1:3" x14ac:dyDescent="0.25">
      <c r="A6193" s="3">
        <v>41473</v>
      </c>
      <c r="B6193" s="2" t="s">
        <v>30</v>
      </c>
      <c r="C6193" s="2">
        <v>8</v>
      </c>
    </row>
    <row r="6194" spans="1:3" x14ac:dyDescent="0.25">
      <c r="A6194" s="3">
        <v>41635</v>
      </c>
      <c r="B6194" s="2" t="s">
        <v>22</v>
      </c>
      <c r="C6194" s="2">
        <v>44</v>
      </c>
    </row>
    <row r="6195" spans="1:3" x14ac:dyDescent="0.25">
      <c r="A6195" s="3">
        <v>41866</v>
      </c>
      <c r="B6195" s="2" t="s">
        <v>7</v>
      </c>
      <c r="C6195" s="2">
        <v>26</v>
      </c>
    </row>
    <row r="6196" spans="1:3" x14ac:dyDescent="0.25">
      <c r="A6196" s="3">
        <v>41670</v>
      </c>
      <c r="B6196" s="2" t="s">
        <v>32</v>
      </c>
      <c r="C6196" s="2">
        <v>21</v>
      </c>
    </row>
    <row r="6197" spans="1:3" x14ac:dyDescent="0.25">
      <c r="A6197" s="3">
        <v>41749</v>
      </c>
      <c r="B6197" s="2" t="s">
        <v>22</v>
      </c>
      <c r="C6197" s="2">
        <v>28</v>
      </c>
    </row>
    <row r="6198" spans="1:3" x14ac:dyDescent="0.25">
      <c r="A6198" s="3">
        <v>41797</v>
      </c>
      <c r="B6198" s="2" t="s">
        <v>3</v>
      </c>
      <c r="C6198" s="2">
        <v>13</v>
      </c>
    </row>
    <row r="6199" spans="1:3" x14ac:dyDescent="0.25">
      <c r="A6199" s="3">
        <v>41278</v>
      </c>
      <c r="B6199" s="2" t="s">
        <v>39</v>
      </c>
      <c r="C6199" s="2">
        <v>12</v>
      </c>
    </row>
    <row r="6200" spans="1:3" x14ac:dyDescent="0.25">
      <c r="A6200" s="3">
        <v>41634</v>
      </c>
      <c r="B6200" s="2" t="s">
        <v>23</v>
      </c>
      <c r="C6200" s="2">
        <v>38</v>
      </c>
    </row>
    <row r="6201" spans="1:3" x14ac:dyDescent="0.25">
      <c r="A6201" s="3">
        <v>41936</v>
      </c>
      <c r="B6201" s="2" t="s">
        <v>45</v>
      </c>
      <c r="C6201" s="2">
        <v>36</v>
      </c>
    </row>
    <row r="6202" spans="1:3" x14ac:dyDescent="0.25">
      <c r="A6202" s="3">
        <v>41607</v>
      </c>
      <c r="B6202" s="2" t="s">
        <v>41</v>
      </c>
      <c r="C6202" s="2">
        <v>11</v>
      </c>
    </row>
    <row r="6203" spans="1:3" x14ac:dyDescent="0.25">
      <c r="A6203" s="3">
        <v>41912</v>
      </c>
      <c r="B6203" s="2" t="s">
        <v>24</v>
      </c>
      <c r="C6203" s="2">
        <v>28</v>
      </c>
    </row>
    <row r="6204" spans="1:3" x14ac:dyDescent="0.25">
      <c r="A6204" s="3">
        <v>41934</v>
      </c>
      <c r="B6204" s="2" t="s">
        <v>19</v>
      </c>
      <c r="C6204" s="2">
        <v>41</v>
      </c>
    </row>
    <row r="6205" spans="1:3" x14ac:dyDescent="0.25">
      <c r="A6205" s="3">
        <v>41902</v>
      </c>
      <c r="B6205" s="2" t="s">
        <v>45</v>
      </c>
      <c r="C6205" s="2">
        <v>21</v>
      </c>
    </row>
    <row r="6206" spans="1:3" x14ac:dyDescent="0.25">
      <c r="A6206" s="3">
        <v>41824</v>
      </c>
      <c r="B6206" s="2" t="s">
        <v>3</v>
      </c>
      <c r="C6206" s="2">
        <v>9</v>
      </c>
    </row>
    <row r="6207" spans="1:3" x14ac:dyDescent="0.25">
      <c r="A6207" s="3">
        <v>41351</v>
      </c>
      <c r="B6207" s="2" t="s">
        <v>24</v>
      </c>
      <c r="C6207" s="2">
        <v>23</v>
      </c>
    </row>
    <row r="6208" spans="1:3" x14ac:dyDescent="0.25">
      <c r="A6208" s="3">
        <v>41932</v>
      </c>
      <c r="B6208" s="2" t="s">
        <v>47</v>
      </c>
      <c r="C6208" s="2">
        <v>33</v>
      </c>
    </row>
    <row r="6209" spans="1:3" x14ac:dyDescent="0.25">
      <c r="A6209" s="3">
        <v>41641</v>
      </c>
      <c r="B6209" s="2" t="s">
        <v>49</v>
      </c>
      <c r="C6209" s="2">
        <v>35</v>
      </c>
    </row>
    <row r="6210" spans="1:3" x14ac:dyDescent="0.25">
      <c r="A6210" s="3">
        <v>41938</v>
      </c>
      <c r="B6210" s="2" t="s">
        <v>19</v>
      </c>
      <c r="C6210" s="2">
        <v>25</v>
      </c>
    </row>
    <row r="6211" spans="1:3" x14ac:dyDescent="0.25">
      <c r="A6211" s="3">
        <v>41395</v>
      </c>
      <c r="B6211" s="2" t="s">
        <v>23</v>
      </c>
      <c r="C6211" s="2">
        <v>12</v>
      </c>
    </row>
    <row r="6212" spans="1:3" x14ac:dyDescent="0.25">
      <c r="A6212" s="3">
        <v>41541</v>
      </c>
      <c r="B6212" s="2" t="s">
        <v>10</v>
      </c>
      <c r="C6212" s="2">
        <v>4</v>
      </c>
    </row>
    <row r="6213" spans="1:3" x14ac:dyDescent="0.25">
      <c r="A6213" s="3">
        <v>41318</v>
      </c>
      <c r="B6213" s="2" t="s">
        <v>29</v>
      </c>
      <c r="C6213" s="2">
        <v>14</v>
      </c>
    </row>
    <row r="6214" spans="1:3" x14ac:dyDescent="0.25">
      <c r="A6214" s="3">
        <v>41708</v>
      </c>
      <c r="B6214" s="2" t="s">
        <v>20</v>
      </c>
      <c r="C6214" s="2">
        <v>41</v>
      </c>
    </row>
    <row r="6215" spans="1:3" x14ac:dyDescent="0.25">
      <c r="A6215" s="3">
        <v>41970</v>
      </c>
      <c r="B6215" s="2" t="s">
        <v>17</v>
      </c>
      <c r="C6215" s="2">
        <v>7</v>
      </c>
    </row>
    <row r="6216" spans="1:3" x14ac:dyDescent="0.25">
      <c r="A6216" s="3">
        <v>41591</v>
      </c>
      <c r="B6216" s="2" t="s">
        <v>11</v>
      </c>
      <c r="C6216" s="2">
        <v>10</v>
      </c>
    </row>
    <row r="6217" spans="1:3" x14ac:dyDescent="0.25">
      <c r="A6217" s="3">
        <v>41508</v>
      </c>
      <c r="B6217" s="2" t="s">
        <v>48</v>
      </c>
      <c r="C6217" s="2">
        <v>30</v>
      </c>
    </row>
    <row r="6218" spans="1:3" x14ac:dyDescent="0.25">
      <c r="A6218" s="3">
        <v>41408</v>
      </c>
      <c r="B6218" s="2" t="s">
        <v>41</v>
      </c>
      <c r="C6218" s="2">
        <v>16</v>
      </c>
    </row>
    <row r="6219" spans="1:3" x14ac:dyDescent="0.25">
      <c r="A6219" s="3">
        <v>41569</v>
      </c>
      <c r="B6219" s="2" t="s">
        <v>12</v>
      </c>
      <c r="C6219" s="2">
        <v>50</v>
      </c>
    </row>
    <row r="6220" spans="1:3" x14ac:dyDescent="0.25">
      <c r="A6220" s="3">
        <v>41767</v>
      </c>
      <c r="B6220" s="2" t="s">
        <v>4</v>
      </c>
      <c r="C6220" s="2">
        <v>25</v>
      </c>
    </row>
    <row r="6221" spans="1:3" x14ac:dyDescent="0.25">
      <c r="A6221" s="3">
        <v>41826</v>
      </c>
      <c r="B6221" s="2" t="s">
        <v>41</v>
      </c>
      <c r="C6221" s="2">
        <v>8</v>
      </c>
    </row>
    <row r="6222" spans="1:3" x14ac:dyDescent="0.25">
      <c r="A6222" s="3">
        <v>41747</v>
      </c>
      <c r="B6222" s="2" t="s">
        <v>29</v>
      </c>
      <c r="C6222" s="2">
        <v>8</v>
      </c>
    </row>
    <row r="6223" spans="1:3" x14ac:dyDescent="0.25">
      <c r="A6223" s="3">
        <v>41981</v>
      </c>
      <c r="B6223" s="2" t="s">
        <v>19</v>
      </c>
      <c r="C6223" s="2">
        <v>23</v>
      </c>
    </row>
    <row r="6224" spans="1:3" x14ac:dyDescent="0.25">
      <c r="A6224" s="3">
        <v>41328</v>
      </c>
      <c r="B6224" s="2" t="s">
        <v>15</v>
      </c>
      <c r="C6224" s="2">
        <v>12</v>
      </c>
    </row>
    <row r="6225" spans="1:3" x14ac:dyDescent="0.25">
      <c r="A6225" s="3">
        <v>41424</v>
      </c>
      <c r="B6225" s="2" t="s">
        <v>17</v>
      </c>
      <c r="C6225" s="2">
        <v>43</v>
      </c>
    </row>
    <row r="6226" spans="1:3" x14ac:dyDescent="0.25">
      <c r="A6226" s="3">
        <v>41422</v>
      </c>
      <c r="B6226" s="2" t="s">
        <v>14</v>
      </c>
      <c r="C6226" s="2">
        <v>17</v>
      </c>
    </row>
    <row r="6227" spans="1:3" x14ac:dyDescent="0.25">
      <c r="A6227" s="3">
        <v>41372</v>
      </c>
      <c r="B6227" s="2" t="s">
        <v>18</v>
      </c>
      <c r="C6227" s="2">
        <v>2</v>
      </c>
    </row>
    <row r="6228" spans="1:3" x14ac:dyDescent="0.25">
      <c r="A6228" s="3">
        <v>42004</v>
      </c>
      <c r="B6228" s="2" t="s">
        <v>35</v>
      </c>
      <c r="C6228" s="2">
        <v>18</v>
      </c>
    </row>
    <row r="6229" spans="1:3" x14ac:dyDescent="0.25">
      <c r="A6229" s="3">
        <v>41756</v>
      </c>
      <c r="B6229" s="2" t="s">
        <v>6</v>
      </c>
      <c r="C6229" s="2">
        <v>30</v>
      </c>
    </row>
    <row r="6230" spans="1:3" x14ac:dyDescent="0.25">
      <c r="A6230" s="3">
        <v>41988</v>
      </c>
      <c r="B6230" s="2" t="s">
        <v>2</v>
      </c>
      <c r="C6230" s="2">
        <v>36</v>
      </c>
    </row>
    <row r="6231" spans="1:3" x14ac:dyDescent="0.25">
      <c r="A6231" s="3">
        <v>41930</v>
      </c>
      <c r="B6231" s="2" t="s">
        <v>44</v>
      </c>
      <c r="C6231" s="2">
        <v>33</v>
      </c>
    </row>
    <row r="6232" spans="1:3" x14ac:dyDescent="0.25">
      <c r="A6232" s="3">
        <v>41877</v>
      </c>
      <c r="B6232" s="2" t="s">
        <v>43</v>
      </c>
      <c r="C6232" s="2">
        <v>4</v>
      </c>
    </row>
    <row r="6233" spans="1:3" x14ac:dyDescent="0.25">
      <c r="A6233" s="3">
        <v>41600</v>
      </c>
      <c r="B6233" s="2" t="s">
        <v>46</v>
      </c>
      <c r="C6233" s="2">
        <v>6</v>
      </c>
    </row>
    <row r="6234" spans="1:3" x14ac:dyDescent="0.25">
      <c r="A6234" s="3">
        <v>41859</v>
      </c>
      <c r="B6234" s="2" t="s">
        <v>12</v>
      </c>
      <c r="C6234" s="2">
        <v>30</v>
      </c>
    </row>
    <row r="6235" spans="1:3" x14ac:dyDescent="0.25">
      <c r="A6235" s="3">
        <v>41958</v>
      </c>
      <c r="B6235" s="2" t="s">
        <v>18</v>
      </c>
      <c r="C6235" s="2">
        <v>21</v>
      </c>
    </row>
    <row r="6236" spans="1:3" x14ac:dyDescent="0.25">
      <c r="A6236" s="3">
        <v>41471</v>
      </c>
      <c r="B6236" s="2" t="s">
        <v>49</v>
      </c>
      <c r="C6236" s="2">
        <v>17</v>
      </c>
    </row>
    <row r="6237" spans="1:3" x14ac:dyDescent="0.25">
      <c r="A6237" s="3">
        <v>41673</v>
      </c>
      <c r="B6237" s="2" t="s">
        <v>39</v>
      </c>
      <c r="C6237" s="2">
        <v>23</v>
      </c>
    </row>
    <row r="6238" spans="1:3" x14ac:dyDescent="0.25">
      <c r="A6238" s="3">
        <v>41755</v>
      </c>
      <c r="B6238" s="2" t="s">
        <v>30</v>
      </c>
      <c r="C6238" s="2">
        <v>25</v>
      </c>
    </row>
    <row r="6239" spans="1:3" x14ac:dyDescent="0.25">
      <c r="A6239" s="3">
        <v>41619</v>
      </c>
      <c r="B6239" s="2" t="s">
        <v>28</v>
      </c>
      <c r="C6239" s="2">
        <v>31</v>
      </c>
    </row>
    <row r="6240" spans="1:3" x14ac:dyDescent="0.25">
      <c r="A6240" s="3">
        <v>41993</v>
      </c>
      <c r="B6240" s="2" t="s">
        <v>34</v>
      </c>
      <c r="C6240" s="2">
        <v>35</v>
      </c>
    </row>
    <row r="6241" spans="1:3" x14ac:dyDescent="0.25">
      <c r="A6241" s="3">
        <v>41285</v>
      </c>
      <c r="B6241" s="2" t="s">
        <v>14</v>
      </c>
      <c r="C6241" s="2">
        <v>22</v>
      </c>
    </row>
    <row r="6242" spans="1:3" x14ac:dyDescent="0.25">
      <c r="A6242" s="3">
        <v>41905</v>
      </c>
      <c r="B6242" s="2" t="s">
        <v>39</v>
      </c>
      <c r="C6242" s="2">
        <v>36</v>
      </c>
    </row>
    <row r="6243" spans="1:3" x14ac:dyDescent="0.25">
      <c r="A6243" s="3">
        <v>41950</v>
      </c>
      <c r="B6243" s="2" t="s">
        <v>22</v>
      </c>
      <c r="C6243" s="2">
        <v>36</v>
      </c>
    </row>
    <row r="6244" spans="1:3" x14ac:dyDescent="0.25">
      <c r="A6244" s="3">
        <v>41727</v>
      </c>
      <c r="B6244" s="2" t="s">
        <v>49</v>
      </c>
      <c r="C6244" s="2">
        <v>47</v>
      </c>
    </row>
    <row r="6245" spans="1:3" x14ac:dyDescent="0.25">
      <c r="A6245" s="3">
        <v>41557</v>
      </c>
      <c r="B6245" s="2" t="s">
        <v>34</v>
      </c>
      <c r="C6245" s="2">
        <v>30</v>
      </c>
    </row>
    <row r="6246" spans="1:3" x14ac:dyDescent="0.25">
      <c r="A6246" s="3">
        <v>41808</v>
      </c>
      <c r="B6246" s="2" t="s">
        <v>2</v>
      </c>
      <c r="C6246" s="2">
        <v>18</v>
      </c>
    </row>
    <row r="6247" spans="1:3" x14ac:dyDescent="0.25">
      <c r="A6247" s="3">
        <v>41871</v>
      </c>
      <c r="B6247" s="2" t="s">
        <v>38</v>
      </c>
      <c r="C6247" s="2">
        <v>33</v>
      </c>
    </row>
    <row r="6248" spans="1:3" x14ac:dyDescent="0.25">
      <c r="A6248" s="3">
        <v>41847</v>
      </c>
      <c r="B6248" s="2" t="s">
        <v>19</v>
      </c>
      <c r="C6248" s="2">
        <v>1</v>
      </c>
    </row>
    <row r="6249" spans="1:3" x14ac:dyDescent="0.25">
      <c r="A6249" s="3">
        <v>41580</v>
      </c>
      <c r="B6249" s="2" t="s">
        <v>25</v>
      </c>
      <c r="C6249" s="2">
        <v>28</v>
      </c>
    </row>
    <row r="6250" spans="1:3" x14ac:dyDescent="0.25">
      <c r="A6250" s="3">
        <v>41869</v>
      </c>
      <c r="B6250" s="2" t="s">
        <v>18</v>
      </c>
      <c r="C6250" s="2">
        <v>27</v>
      </c>
    </row>
    <row r="6251" spans="1:3" x14ac:dyDescent="0.25">
      <c r="A6251" s="3">
        <v>41890</v>
      </c>
      <c r="B6251" s="2" t="s">
        <v>21</v>
      </c>
      <c r="C6251" s="2">
        <v>1</v>
      </c>
    </row>
    <row r="6252" spans="1:3" x14ac:dyDescent="0.25">
      <c r="A6252" s="3">
        <v>41483</v>
      </c>
      <c r="B6252" s="2" t="s">
        <v>41</v>
      </c>
      <c r="C6252" s="2">
        <v>47</v>
      </c>
    </row>
    <row r="6253" spans="1:3" x14ac:dyDescent="0.25">
      <c r="A6253" s="3">
        <v>41688</v>
      </c>
      <c r="B6253" s="2" t="s">
        <v>43</v>
      </c>
      <c r="C6253" s="2">
        <v>36</v>
      </c>
    </row>
    <row r="6254" spans="1:3" x14ac:dyDescent="0.25">
      <c r="A6254" s="3">
        <v>41534</v>
      </c>
      <c r="B6254" s="2" t="s">
        <v>8</v>
      </c>
      <c r="C6254" s="2">
        <v>23</v>
      </c>
    </row>
    <row r="6255" spans="1:3" x14ac:dyDescent="0.25">
      <c r="A6255" s="3">
        <v>41296</v>
      </c>
      <c r="B6255" s="2" t="s">
        <v>22</v>
      </c>
      <c r="C6255" s="2">
        <v>1</v>
      </c>
    </row>
    <row r="6256" spans="1:3" x14ac:dyDescent="0.25">
      <c r="A6256" s="3">
        <v>41362</v>
      </c>
      <c r="B6256" s="2" t="s">
        <v>43</v>
      </c>
      <c r="C6256" s="2">
        <v>27</v>
      </c>
    </row>
    <row r="6257" spans="1:3" x14ac:dyDescent="0.25">
      <c r="A6257" s="3">
        <v>41453</v>
      </c>
      <c r="B6257" s="2" t="s">
        <v>16</v>
      </c>
      <c r="C6257" s="2">
        <v>15</v>
      </c>
    </row>
    <row r="6258" spans="1:3" x14ac:dyDescent="0.25">
      <c r="A6258" s="3">
        <v>41446</v>
      </c>
      <c r="B6258" s="2" t="s">
        <v>50</v>
      </c>
      <c r="C6258" s="2">
        <v>14</v>
      </c>
    </row>
    <row r="6259" spans="1:3" x14ac:dyDescent="0.25">
      <c r="A6259" s="3">
        <v>41940</v>
      </c>
      <c r="B6259" s="2" t="s">
        <v>38</v>
      </c>
      <c r="C6259" s="2">
        <v>6</v>
      </c>
    </row>
    <row r="6260" spans="1:3" x14ac:dyDescent="0.25">
      <c r="A6260" s="3">
        <v>41869</v>
      </c>
      <c r="B6260" s="2" t="s">
        <v>29</v>
      </c>
      <c r="C6260" s="2">
        <v>13</v>
      </c>
    </row>
    <row r="6261" spans="1:3" x14ac:dyDescent="0.25">
      <c r="A6261" s="3">
        <v>41879</v>
      </c>
      <c r="B6261" s="2" t="s">
        <v>42</v>
      </c>
      <c r="C6261" s="2">
        <v>21</v>
      </c>
    </row>
    <row r="6262" spans="1:3" x14ac:dyDescent="0.25">
      <c r="A6262" s="3">
        <v>41659</v>
      </c>
      <c r="B6262" s="2" t="s">
        <v>28</v>
      </c>
      <c r="C6262" s="2">
        <v>15</v>
      </c>
    </row>
    <row r="6263" spans="1:3" x14ac:dyDescent="0.25">
      <c r="A6263" s="3">
        <v>41322</v>
      </c>
      <c r="B6263" s="2" t="s">
        <v>46</v>
      </c>
      <c r="C6263" s="2">
        <v>29</v>
      </c>
    </row>
    <row r="6264" spans="1:3" x14ac:dyDescent="0.25">
      <c r="A6264" s="3">
        <v>41519</v>
      </c>
      <c r="B6264" s="2" t="s">
        <v>14</v>
      </c>
      <c r="C6264" s="2">
        <v>21</v>
      </c>
    </row>
    <row r="6265" spans="1:3" x14ac:dyDescent="0.25">
      <c r="A6265" s="3">
        <v>41402</v>
      </c>
      <c r="B6265" s="2" t="s">
        <v>36</v>
      </c>
      <c r="C6265" s="2">
        <v>42</v>
      </c>
    </row>
    <row r="6266" spans="1:3" x14ac:dyDescent="0.25">
      <c r="A6266" s="3">
        <v>41699</v>
      </c>
      <c r="B6266" s="2" t="s">
        <v>37</v>
      </c>
      <c r="C6266" s="2">
        <v>41</v>
      </c>
    </row>
    <row r="6267" spans="1:3" x14ac:dyDescent="0.25">
      <c r="A6267" s="3">
        <v>41832</v>
      </c>
      <c r="B6267" s="2" t="s">
        <v>50</v>
      </c>
      <c r="C6267" s="2">
        <v>1</v>
      </c>
    </row>
    <row r="6268" spans="1:3" x14ac:dyDescent="0.25">
      <c r="A6268" s="3">
        <v>41468</v>
      </c>
      <c r="B6268" s="2" t="s">
        <v>34</v>
      </c>
      <c r="C6268" s="2">
        <v>10</v>
      </c>
    </row>
    <row r="6269" spans="1:3" x14ac:dyDescent="0.25">
      <c r="A6269" s="3">
        <v>41924</v>
      </c>
      <c r="B6269" s="2" t="s">
        <v>20</v>
      </c>
      <c r="C6269" s="2">
        <v>41</v>
      </c>
    </row>
    <row r="6270" spans="1:3" x14ac:dyDescent="0.25">
      <c r="A6270" s="3">
        <v>41727</v>
      </c>
      <c r="B6270" s="2" t="s">
        <v>17</v>
      </c>
      <c r="C6270" s="2">
        <v>2</v>
      </c>
    </row>
    <row r="6271" spans="1:3" x14ac:dyDescent="0.25">
      <c r="A6271" s="3">
        <v>41834</v>
      </c>
      <c r="B6271" s="2" t="s">
        <v>17</v>
      </c>
      <c r="C6271" s="2">
        <v>41</v>
      </c>
    </row>
    <row r="6272" spans="1:3" x14ac:dyDescent="0.25">
      <c r="A6272" s="3">
        <v>41382</v>
      </c>
      <c r="B6272" s="2" t="s">
        <v>40</v>
      </c>
      <c r="C6272" s="2">
        <v>18</v>
      </c>
    </row>
    <row r="6273" spans="1:3" x14ac:dyDescent="0.25">
      <c r="A6273" s="3">
        <v>41729</v>
      </c>
      <c r="B6273" s="2" t="s">
        <v>2</v>
      </c>
      <c r="C6273" s="2">
        <v>24</v>
      </c>
    </row>
    <row r="6274" spans="1:3" x14ac:dyDescent="0.25">
      <c r="A6274" s="3">
        <v>41506</v>
      </c>
      <c r="B6274" s="2" t="s">
        <v>15</v>
      </c>
      <c r="C6274" s="2">
        <v>4</v>
      </c>
    </row>
    <row r="6275" spans="1:3" x14ac:dyDescent="0.25">
      <c r="A6275" s="3">
        <v>41843</v>
      </c>
      <c r="B6275" s="2" t="s">
        <v>29</v>
      </c>
      <c r="C6275" s="2">
        <v>23</v>
      </c>
    </row>
    <row r="6276" spans="1:3" x14ac:dyDescent="0.25">
      <c r="A6276" s="3">
        <v>41812</v>
      </c>
      <c r="B6276" s="2" t="s">
        <v>18</v>
      </c>
      <c r="C6276" s="2">
        <v>27</v>
      </c>
    </row>
    <row r="6277" spans="1:3" x14ac:dyDescent="0.25">
      <c r="A6277" s="3">
        <v>41346</v>
      </c>
      <c r="B6277" s="2" t="s">
        <v>25</v>
      </c>
      <c r="C6277" s="2">
        <v>27</v>
      </c>
    </row>
    <row r="6278" spans="1:3" x14ac:dyDescent="0.25">
      <c r="A6278" s="3">
        <v>41850</v>
      </c>
      <c r="B6278" s="2" t="s">
        <v>30</v>
      </c>
      <c r="C6278" s="2">
        <v>2</v>
      </c>
    </row>
    <row r="6279" spans="1:3" x14ac:dyDescent="0.25">
      <c r="A6279" s="3">
        <v>41294</v>
      </c>
      <c r="B6279" s="2" t="s">
        <v>18</v>
      </c>
      <c r="C6279" s="2">
        <v>53</v>
      </c>
    </row>
    <row r="6280" spans="1:3" x14ac:dyDescent="0.25">
      <c r="A6280" s="3">
        <v>41370</v>
      </c>
      <c r="B6280" s="2" t="s">
        <v>35</v>
      </c>
      <c r="C6280" s="2">
        <v>42</v>
      </c>
    </row>
    <row r="6281" spans="1:3" x14ac:dyDescent="0.25">
      <c r="A6281" s="3">
        <v>41641</v>
      </c>
      <c r="B6281" s="2" t="s">
        <v>41</v>
      </c>
      <c r="C6281" s="2">
        <v>6</v>
      </c>
    </row>
    <row r="6282" spans="1:3" x14ac:dyDescent="0.25">
      <c r="A6282" s="3">
        <v>41298</v>
      </c>
      <c r="B6282" s="2" t="s">
        <v>7</v>
      </c>
      <c r="C6282" s="2">
        <v>50</v>
      </c>
    </row>
    <row r="6283" spans="1:3" x14ac:dyDescent="0.25">
      <c r="A6283" s="3">
        <v>41363</v>
      </c>
      <c r="B6283" s="2" t="s">
        <v>9</v>
      </c>
      <c r="C6283" s="2">
        <v>35</v>
      </c>
    </row>
    <row r="6284" spans="1:3" x14ac:dyDescent="0.25">
      <c r="A6284" s="3">
        <v>41692</v>
      </c>
      <c r="B6284" s="2" t="s">
        <v>44</v>
      </c>
      <c r="C6284" s="2">
        <v>32</v>
      </c>
    </row>
    <row r="6285" spans="1:3" x14ac:dyDescent="0.25">
      <c r="A6285" s="3">
        <v>41908</v>
      </c>
      <c r="B6285" s="2" t="s">
        <v>44</v>
      </c>
      <c r="C6285" s="2">
        <v>2</v>
      </c>
    </row>
    <row r="6286" spans="1:3" x14ac:dyDescent="0.25">
      <c r="A6286" s="3">
        <v>41850</v>
      </c>
      <c r="B6286" s="2" t="s">
        <v>36</v>
      </c>
      <c r="C6286" s="2">
        <v>25</v>
      </c>
    </row>
    <row r="6287" spans="1:3" x14ac:dyDescent="0.25">
      <c r="A6287" s="3">
        <v>41868</v>
      </c>
      <c r="B6287" s="2" t="s">
        <v>18</v>
      </c>
      <c r="C6287" s="2">
        <v>16</v>
      </c>
    </row>
    <row r="6288" spans="1:3" x14ac:dyDescent="0.25">
      <c r="A6288" s="3">
        <v>41434</v>
      </c>
      <c r="B6288" s="2" t="s">
        <v>14</v>
      </c>
      <c r="C6288" s="2">
        <v>29</v>
      </c>
    </row>
    <row r="6289" spans="1:3" x14ac:dyDescent="0.25">
      <c r="A6289" s="3">
        <v>41395</v>
      </c>
      <c r="B6289" s="2" t="s">
        <v>2</v>
      </c>
      <c r="C6289" s="2">
        <v>24</v>
      </c>
    </row>
    <row r="6290" spans="1:3" x14ac:dyDescent="0.25">
      <c r="A6290" s="3">
        <v>41775</v>
      </c>
      <c r="B6290" s="2" t="s">
        <v>43</v>
      </c>
      <c r="C6290" s="2">
        <v>16</v>
      </c>
    </row>
    <row r="6291" spans="1:3" x14ac:dyDescent="0.25">
      <c r="A6291" s="3">
        <v>41299</v>
      </c>
      <c r="B6291" s="2" t="s">
        <v>38</v>
      </c>
      <c r="C6291" s="2">
        <v>32</v>
      </c>
    </row>
    <row r="6292" spans="1:3" x14ac:dyDescent="0.25">
      <c r="A6292" s="3">
        <v>41459</v>
      </c>
      <c r="B6292" s="2" t="s">
        <v>7</v>
      </c>
      <c r="C6292" s="2">
        <v>7</v>
      </c>
    </row>
    <row r="6293" spans="1:3" x14ac:dyDescent="0.25">
      <c r="A6293" s="3">
        <v>41666</v>
      </c>
      <c r="B6293" s="2" t="s">
        <v>11</v>
      </c>
      <c r="C6293" s="2">
        <v>22</v>
      </c>
    </row>
    <row r="6294" spans="1:3" x14ac:dyDescent="0.25">
      <c r="A6294" s="3">
        <v>41322</v>
      </c>
      <c r="B6294" s="2" t="s">
        <v>25</v>
      </c>
      <c r="C6294" s="2">
        <v>14</v>
      </c>
    </row>
    <row r="6295" spans="1:3" x14ac:dyDescent="0.25">
      <c r="A6295" s="3">
        <v>41515</v>
      </c>
      <c r="B6295" s="2" t="s">
        <v>6</v>
      </c>
      <c r="C6295" s="2">
        <v>16</v>
      </c>
    </row>
    <row r="6296" spans="1:3" x14ac:dyDescent="0.25">
      <c r="A6296" s="3">
        <v>41648</v>
      </c>
      <c r="B6296" s="2" t="s">
        <v>34</v>
      </c>
      <c r="C6296" s="2">
        <v>4</v>
      </c>
    </row>
    <row r="6297" spans="1:3" x14ac:dyDescent="0.25">
      <c r="A6297" s="3">
        <v>41866</v>
      </c>
      <c r="B6297" s="2" t="s">
        <v>30</v>
      </c>
      <c r="C6297" s="2">
        <v>13</v>
      </c>
    </row>
    <row r="6298" spans="1:3" x14ac:dyDescent="0.25">
      <c r="A6298" s="3">
        <v>41356</v>
      </c>
      <c r="B6298" s="2" t="s">
        <v>36</v>
      </c>
      <c r="C6298" s="2">
        <v>34</v>
      </c>
    </row>
    <row r="6299" spans="1:3" x14ac:dyDescent="0.25">
      <c r="A6299" s="3">
        <v>41786</v>
      </c>
      <c r="B6299" s="2" t="s">
        <v>12</v>
      </c>
      <c r="C6299" s="2">
        <v>33</v>
      </c>
    </row>
    <row r="6300" spans="1:3" x14ac:dyDescent="0.25">
      <c r="A6300" s="3">
        <v>41639</v>
      </c>
      <c r="B6300" s="2" t="s">
        <v>34</v>
      </c>
      <c r="C6300" s="2">
        <v>15</v>
      </c>
    </row>
    <row r="6301" spans="1:3" x14ac:dyDescent="0.25">
      <c r="A6301" s="3">
        <v>41525</v>
      </c>
      <c r="B6301" s="2" t="s">
        <v>11</v>
      </c>
      <c r="C6301" s="2">
        <v>40</v>
      </c>
    </row>
    <row r="6302" spans="1:3" x14ac:dyDescent="0.25">
      <c r="A6302" s="3">
        <v>41926</v>
      </c>
      <c r="B6302" s="2" t="s">
        <v>17</v>
      </c>
      <c r="C6302" s="2">
        <v>21</v>
      </c>
    </row>
    <row r="6303" spans="1:3" x14ac:dyDescent="0.25">
      <c r="A6303" s="3">
        <v>41577</v>
      </c>
      <c r="B6303" s="2" t="s">
        <v>34</v>
      </c>
      <c r="C6303" s="2">
        <v>40</v>
      </c>
    </row>
    <row r="6304" spans="1:3" x14ac:dyDescent="0.25">
      <c r="A6304" s="3">
        <v>41761</v>
      </c>
      <c r="B6304" s="2" t="s">
        <v>43</v>
      </c>
      <c r="C6304" s="2">
        <v>20</v>
      </c>
    </row>
    <row r="6305" spans="1:3" x14ac:dyDescent="0.25">
      <c r="A6305" s="3">
        <v>41842</v>
      </c>
      <c r="B6305" s="2" t="s">
        <v>22</v>
      </c>
      <c r="C6305" s="2">
        <v>19</v>
      </c>
    </row>
    <row r="6306" spans="1:3" x14ac:dyDescent="0.25">
      <c r="A6306" s="3">
        <v>41364</v>
      </c>
      <c r="B6306" s="2" t="s">
        <v>8</v>
      </c>
      <c r="C6306" s="2">
        <v>35</v>
      </c>
    </row>
    <row r="6307" spans="1:3" x14ac:dyDescent="0.25">
      <c r="A6307" s="3">
        <v>41487</v>
      </c>
      <c r="B6307" s="2" t="s">
        <v>44</v>
      </c>
      <c r="C6307" s="2">
        <v>48</v>
      </c>
    </row>
    <row r="6308" spans="1:3" x14ac:dyDescent="0.25">
      <c r="A6308" s="3">
        <v>41934</v>
      </c>
      <c r="B6308" s="2" t="s">
        <v>2</v>
      </c>
      <c r="C6308" s="2">
        <v>6</v>
      </c>
    </row>
    <row r="6309" spans="1:3" x14ac:dyDescent="0.25">
      <c r="A6309" s="3">
        <v>41424</v>
      </c>
      <c r="B6309" s="2" t="s">
        <v>23</v>
      </c>
      <c r="C6309" s="2">
        <v>11</v>
      </c>
    </row>
    <row r="6310" spans="1:3" x14ac:dyDescent="0.25">
      <c r="A6310" s="3">
        <v>41912</v>
      </c>
      <c r="B6310" s="2" t="s">
        <v>35</v>
      </c>
      <c r="C6310" s="2">
        <v>32</v>
      </c>
    </row>
    <row r="6311" spans="1:3" x14ac:dyDescent="0.25">
      <c r="A6311" s="3">
        <v>41336</v>
      </c>
      <c r="B6311" s="2" t="s">
        <v>6</v>
      </c>
      <c r="C6311" s="2">
        <v>20</v>
      </c>
    </row>
    <row r="6312" spans="1:3" x14ac:dyDescent="0.25">
      <c r="A6312" s="3">
        <v>41957</v>
      </c>
      <c r="B6312" s="2" t="s">
        <v>32</v>
      </c>
      <c r="C6312" s="2">
        <v>58</v>
      </c>
    </row>
    <row r="6313" spans="1:3" x14ac:dyDescent="0.25">
      <c r="A6313" s="3">
        <v>41718</v>
      </c>
      <c r="B6313" s="2" t="s">
        <v>2</v>
      </c>
      <c r="C6313" s="2">
        <v>4</v>
      </c>
    </row>
    <row r="6314" spans="1:3" x14ac:dyDescent="0.25">
      <c r="A6314" s="3">
        <v>41289</v>
      </c>
      <c r="B6314" s="2" t="s">
        <v>2</v>
      </c>
      <c r="C6314" s="2">
        <v>52</v>
      </c>
    </row>
    <row r="6315" spans="1:3" x14ac:dyDescent="0.25">
      <c r="A6315" s="3">
        <v>41480</v>
      </c>
      <c r="B6315" s="2" t="s">
        <v>48</v>
      </c>
      <c r="C6315" s="2">
        <v>24</v>
      </c>
    </row>
    <row r="6316" spans="1:3" x14ac:dyDescent="0.25">
      <c r="A6316" s="3">
        <v>41796</v>
      </c>
      <c r="B6316" s="2" t="s">
        <v>4</v>
      </c>
      <c r="C6316" s="2">
        <v>21</v>
      </c>
    </row>
    <row r="6317" spans="1:3" x14ac:dyDescent="0.25">
      <c r="A6317" s="3">
        <v>41950</v>
      </c>
      <c r="B6317" s="2" t="s">
        <v>25</v>
      </c>
      <c r="C6317" s="2">
        <v>13</v>
      </c>
    </row>
    <row r="6318" spans="1:3" x14ac:dyDescent="0.25">
      <c r="A6318" s="3">
        <v>41751</v>
      </c>
      <c r="B6318" s="2" t="s">
        <v>29</v>
      </c>
      <c r="C6318" s="2">
        <v>20</v>
      </c>
    </row>
    <row r="6319" spans="1:3" x14ac:dyDescent="0.25">
      <c r="A6319" s="3">
        <v>41965</v>
      </c>
      <c r="B6319" s="2" t="s">
        <v>49</v>
      </c>
      <c r="C6319" s="2">
        <v>46</v>
      </c>
    </row>
    <row r="6320" spans="1:3" x14ac:dyDescent="0.25">
      <c r="A6320" s="3">
        <v>41661</v>
      </c>
      <c r="B6320" s="2" t="s">
        <v>22</v>
      </c>
      <c r="C6320" s="2">
        <v>22</v>
      </c>
    </row>
    <row r="6321" spans="1:3" x14ac:dyDescent="0.25">
      <c r="A6321" s="3">
        <v>41329</v>
      </c>
      <c r="B6321" s="2" t="s">
        <v>24</v>
      </c>
      <c r="C6321" s="2">
        <v>35</v>
      </c>
    </row>
    <row r="6322" spans="1:3" x14ac:dyDescent="0.25">
      <c r="A6322" s="3">
        <v>41630</v>
      </c>
      <c r="B6322" s="2" t="s">
        <v>40</v>
      </c>
      <c r="C6322" s="2">
        <v>51</v>
      </c>
    </row>
    <row r="6323" spans="1:3" x14ac:dyDescent="0.25">
      <c r="A6323" s="3">
        <v>41920</v>
      </c>
      <c r="B6323" s="2" t="s">
        <v>34</v>
      </c>
      <c r="C6323" s="2">
        <v>9</v>
      </c>
    </row>
    <row r="6324" spans="1:3" x14ac:dyDescent="0.25">
      <c r="A6324" s="3">
        <v>41798</v>
      </c>
      <c r="B6324" s="2" t="s">
        <v>39</v>
      </c>
      <c r="C6324" s="2">
        <v>1</v>
      </c>
    </row>
    <row r="6325" spans="1:3" x14ac:dyDescent="0.25">
      <c r="A6325" s="3">
        <v>41598</v>
      </c>
      <c r="B6325" s="2" t="s">
        <v>27</v>
      </c>
      <c r="C6325" s="2">
        <v>18</v>
      </c>
    </row>
    <row r="6326" spans="1:3" x14ac:dyDescent="0.25">
      <c r="A6326" s="3">
        <v>41878</v>
      </c>
      <c r="B6326" s="2" t="s">
        <v>33</v>
      </c>
      <c r="C6326" s="2">
        <v>33</v>
      </c>
    </row>
    <row r="6327" spans="1:3" x14ac:dyDescent="0.25">
      <c r="A6327" s="3">
        <v>41627</v>
      </c>
      <c r="B6327" s="2" t="s">
        <v>3</v>
      </c>
      <c r="C6327" s="2">
        <v>44</v>
      </c>
    </row>
    <row r="6328" spans="1:3" x14ac:dyDescent="0.25">
      <c r="A6328" s="3">
        <v>41603</v>
      </c>
      <c r="B6328" s="2" t="s">
        <v>10</v>
      </c>
      <c r="C6328" s="2">
        <v>17</v>
      </c>
    </row>
    <row r="6329" spans="1:3" x14ac:dyDescent="0.25">
      <c r="A6329" s="3">
        <v>41833</v>
      </c>
      <c r="B6329" s="2" t="s">
        <v>50</v>
      </c>
      <c r="C6329" s="2">
        <v>22</v>
      </c>
    </row>
    <row r="6330" spans="1:3" x14ac:dyDescent="0.25">
      <c r="A6330" s="3">
        <v>41812</v>
      </c>
      <c r="B6330" s="2" t="s">
        <v>5</v>
      </c>
      <c r="C6330" s="2">
        <v>35</v>
      </c>
    </row>
    <row r="6331" spans="1:3" x14ac:dyDescent="0.25">
      <c r="A6331" s="3">
        <v>41912</v>
      </c>
      <c r="B6331" s="2" t="s">
        <v>51</v>
      </c>
      <c r="C6331" s="2">
        <v>9</v>
      </c>
    </row>
    <row r="6332" spans="1:3" x14ac:dyDescent="0.25">
      <c r="A6332" s="3">
        <v>41744</v>
      </c>
      <c r="B6332" s="2" t="s">
        <v>36</v>
      </c>
      <c r="C6332" s="2">
        <v>24</v>
      </c>
    </row>
    <row r="6333" spans="1:3" x14ac:dyDescent="0.25">
      <c r="A6333" s="3">
        <v>41883</v>
      </c>
      <c r="B6333" s="2" t="s">
        <v>47</v>
      </c>
      <c r="C6333" s="2">
        <v>56</v>
      </c>
    </row>
    <row r="6334" spans="1:3" x14ac:dyDescent="0.25">
      <c r="A6334" s="3">
        <v>41829</v>
      </c>
      <c r="B6334" s="2" t="s">
        <v>46</v>
      </c>
      <c r="C6334" s="2">
        <v>26</v>
      </c>
    </row>
    <row r="6335" spans="1:3" x14ac:dyDescent="0.25">
      <c r="A6335" s="3">
        <v>41752</v>
      </c>
      <c r="B6335" s="2" t="s">
        <v>50</v>
      </c>
      <c r="C6335" s="2">
        <v>30</v>
      </c>
    </row>
    <row r="6336" spans="1:3" x14ac:dyDescent="0.25">
      <c r="A6336" s="3">
        <v>41332</v>
      </c>
      <c r="B6336" s="2" t="s">
        <v>12</v>
      </c>
      <c r="C6336" s="2">
        <v>28</v>
      </c>
    </row>
    <row r="6337" spans="1:3" x14ac:dyDescent="0.25">
      <c r="A6337" s="3">
        <v>41653</v>
      </c>
      <c r="B6337" s="2" t="s">
        <v>43</v>
      </c>
      <c r="C6337" s="2">
        <v>29</v>
      </c>
    </row>
    <row r="6338" spans="1:3" x14ac:dyDescent="0.25">
      <c r="A6338" s="3">
        <v>41790</v>
      </c>
      <c r="B6338" s="2" t="s">
        <v>39</v>
      </c>
      <c r="C6338" s="2">
        <v>10</v>
      </c>
    </row>
    <row r="6339" spans="1:3" x14ac:dyDescent="0.25">
      <c r="A6339" s="3">
        <v>41747</v>
      </c>
      <c r="B6339" s="2" t="s">
        <v>20</v>
      </c>
      <c r="C6339" s="2">
        <v>26</v>
      </c>
    </row>
    <row r="6340" spans="1:3" x14ac:dyDescent="0.25">
      <c r="A6340" s="3">
        <v>41713</v>
      </c>
      <c r="B6340" s="2" t="s">
        <v>25</v>
      </c>
      <c r="C6340" s="2">
        <v>23</v>
      </c>
    </row>
    <row r="6341" spans="1:3" x14ac:dyDescent="0.25">
      <c r="A6341" s="3">
        <v>41907</v>
      </c>
      <c r="B6341" s="2" t="s">
        <v>27</v>
      </c>
      <c r="C6341" s="2">
        <v>22</v>
      </c>
    </row>
    <row r="6342" spans="1:3" x14ac:dyDescent="0.25">
      <c r="A6342" s="3">
        <v>41434</v>
      </c>
      <c r="B6342" s="2" t="s">
        <v>39</v>
      </c>
      <c r="C6342" s="2">
        <v>19</v>
      </c>
    </row>
    <row r="6343" spans="1:3" x14ac:dyDescent="0.25">
      <c r="A6343" s="3">
        <v>41964</v>
      </c>
      <c r="B6343" s="2" t="s">
        <v>37</v>
      </c>
      <c r="C6343" s="2">
        <v>37</v>
      </c>
    </row>
    <row r="6344" spans="1:3" x14ac:dyDescent="0.25">
      <c r="A6344" s="3">
        <v>41709</v>
      </c>
      <c r="B6344" s="2" t="s">
        <v>3</v>
      </c>
      <c r="C6344" s="2">
        <v>26</v>
      </c>
    </row>
    <row r="6345" spans="1:3" x14ac:dyDescent="0.25">
      <c r="A6345" s="3">
        <v>41659</v>
      </c>
      <c r="B6345" s="2" t="s">
        <v>22</v>
      </c>
      <c r="C6345" s="2">
        <v>42</v>
      </c>
    </row>
    <row r="6346" spans="1:3" x14ac:dyDescent="0.25">
      <c r="A6346" s="3">
        <v>41397</v>
      </c>
      <c r="B6346" s="2" t="s">
        <v>17</v>
      </c>
      <c r="C6346" s="2">
        <v>17</v>
      </c>
    </row>
    <row r="6347" spans="1:3" x14ac:dyDescent="0.25">
      <c r="A6347" s="3">
        <v>41656</v>
      </c>
      <c r="B6347" s="2" t="s">
        <v>2</v>
      </c>
      <c r="C6347" s="2">
        <v>6</v>
      </c>
    </row>
    <row r="6348" spans="1:3" x14ac:dyDescent="0.25">
      <c r="A6348" s="3">
        <v>41490</v>
      </c>
      <c r="B6348" s="2" t="s">
        <v>50</v>
      </c>
      <c r="C6348" s="2">
        <v>55</v>
      </c>
    </row>
    <row r="6349" spans="1:3" x14ac:dyDescent="0.25">
      <c r="A6349" s="3">
        <v>41428</v>
      </c>
      <c r="B6349" s="2" t="s">
        <v>48</v>
      </c>
      <c r="C6349" s="2">
        <v>20</v>
      </c>
    </row>
    <row r="6350" spans="1:3" x14ac:dyDescent="0.25">
      <c r="A6350" s="3">
        <v>41835</v>
      </c>
      <c r="B6350" s="2" t="s">
        <v>15</v>
      </c>
      <c r="C6350" s="2">
        <v>14</v>
      </c>
    </row>
    <row r="6351" spans="1:3" x14ac:dyDescent="0.25">
      <c r="A6351" s="3">
        <v>41531</v>
      </c>
      <c r="B6351" s="2" t="s">
        <v>16</v>
      </c>
      <c r="C6351" s="2">
        <v>27</v>
      </c>
    </row>
    <row r="6352" spans="1:3" x14ac:dyDescent="0.25">
      <c r="A6352" s="3">
        <v>41666</v>
      </c>
      <c r="B6352" s="2" t="s">
        <v>20</v>
      </c>
      <c r="C6352" s="2">
        <v>15</v>
      </c>
    </row>
    <row r="6353" spans="1:3" x14ac:dyDescent="0.25">
      <c r="A6353" s="3">
        <v>41347</v>
      </c>
      <c r="B6353" s="2" t="s">
        <v>33</v>
      </c>
      <c r="C6353" s="2">
        <v>9</v>
      </c>
    </row>
    <row r="6354" spans="1:3" x14ac:dyDescent="0.25">
      <c r="A6354" s="3">
        <v>41632</v>
      </c>
      <c r="B6354" s="2" t="s">
        <v>45</v>
      </c>
      <c r="C6354" s="2">
        <v>45</v>
      </c>
    </row>
    <row r="6355" spans="1:3" x14ac:dyDescent="0.25">
      <c r="A6355" s="3">
        <v>41642</v>
      </c>
      <c r="B6355" s="2" t="s">
        <v>44</v>
      </c>
      <c r="C6355" s="2">
        <v>12</v>
      </c>
    </row>
    <row r="6356" spans="1:3" x14ac:dyDescent="0.25">
      <c r="A6356" s="3">
        <v>41765</v>
      </c>
      <c r="B6356" s="2" t="s">
        <v>24</v>
      </c>
      <c r="C6356" s="2">
        <v>23</v>
      </c>
    </row>
    <row r="6357" spans="1:3" x14ac:dyDescent="0.25">
      <c r="A6357" s="3">
        <v>41282</v>
      </c>
      <c r="B6357" s="2" t="s">
        <v>34</v>
      </c>
      <c r="C6357" s="2">
        <v>30</v>
      </c>
    </row>
    <row r="6358" spans="1:3" x14ac:dyDescent="0.25">
      <c r="A6358" s="3">
        <v>41965</v>
      </c>
      <c r="B6358" s="2" t="s">
        <v>38</v>
      </c>
      <c r="C6358" s="2">
        <v>23</v>
      </c>
    </row>
    <row r="6359" spans="1:3" x14ac:dyDescent="0.25">
      <c r="A6359" s="3">
        <v>41991</v>
      </c>
      <c r="B6359" s="2" t="s">
        <v>9</v>
      </c>
      <c r="C6359" s="2">
        <v>13</v>
      </c>
    </row>
    <row r="6360" spans="1:3" x14ac:dyDescent="0.25">
      <c r="A6360" s="3">
        <v>41861</v>
      </c>
      <c r="B6360" s="2" t="s">
        <v>20</v>
      </c>
      <c r="C6360" s="2">
        <v>22</v>
      </c>
    </row>
    <row r="6361" spans="1:3" x14ac:dyDescent="0.25">
      <c r="A6361" s="3">
        <v>41810</v>
      </c>
      <c r="B6361" s="2" t="s">
        <v>51</v>
      </c>
      <c r="C6361" s="2">
        <v>12</v>
      </c>
    </row>
    <row r="6362" spans="1:3" x14ac:dyDescent="0.25">
      <c r="A6362" s="3">
        <v>41613</v>
      </c>
      <c r="B6362" s="2" t="s">
        <v>3</v>
      </c>
      <c r="C6362" s="2">
        <v>36</v>
      </c>
    </row>
    <row r="6363" spans="1:3" x14ac:dyDescent="0.25">
      <c r="A6363" s="3">
        <v>41835</v>
      </c>
      <c r="B6363" s="2" t="s">
        <v>30</v>
      </c>
      <c r="C6363" s="2">
        <v>44</v>
      </c>
    </row>
    <row r="6364" spans="1:3" x14ac:dyDescent="0.25">
      <c r="A6364" s="3">
        <v>41311</v>
      </c>
      <c r="B6364" s="2" t="s">
        <v>38</v>
      </c>
      <c r="C6364" s="2">
        <v>25</v>
      </c>
    </row>
    <row r="6365" spans="1:3" x14ac:dyDescent="0.25">
      <c r="A6365" s="3">
        <v>41645</v>
      </c>
      <c r="B6365" s="2" t="s">
        <v>17</v>
      </c>
      <c r="C6365" s="2">
        <v>20</v>
      </c>
    </row>
    <row r="6366" spans="1:3" x14ac:dyDescent="0.25">
      <c r="A6366" s="3">
        <v>41759</v>
      </c>
      <c r="B6366" s="2" t="s">
        <v>3</v>
      </c>
      <c r="C6366" s="2">
        <v>40</v>
      </c>
    </row>
    <row r="6367" spans="1:3" x14ac:dyDescent="0.25">
      <c r="A6367" s="3">
        <v>41539</v>
      </c>
      <c r="B6367" s="2" t="s">
        <v>14</v>
      </c>
      <c r="C6367" s="2">
        <v>23</v>
      </c>
    </row>
    <row r="6368" spans="1:3" x14ac:dyDescent="0.25">
      <c r="A6368" s="3">
        <v>41655</v>
      </c>
      <c r="B6368" s="2" t="s">
        <v>22</v>
      </c>
      <c r="C6368" s="2">
        <v>8</v>
      </c>
    </row>
    <row r="6369" spans="1:3" x14ac:dyDescent="0.25">
      <c r="A6369" s="3">
        <v>41791</v>
      </c>
      <c r="B6369" s="2" t="s">
        <v>45</v>
      </c>
      <c r="C6369" s="2">
        <v>30</v>
      </c>
    </row>
    <row r="6370" spans="1:3" x14ac:dyDescent="0.25">
      <c r="A6370" s="3">
        <v>41399</v>
      </c>
      <c r="B6370" s="2" t="s">
        <v>35</v>
      </c>
      <c r="C6370" s="2">
        <v>32</v>
      </c>
    </row>
    <row r="6371" spans="1:3" x14ac:dyDescent="0.25">
      <c r="A6371" s="3">
        <v>41302</v>
      </c>
      <c r="B6371" s="2" t="s">
        <v>16</v>
      </c>
      <c r="C6371" s="2">
        <v>25</v>
      </c>
    </row>
    <row r="6372" spans="1:3" x14ac:dyDescent="0.25">
      <c r="A6372" s="3">
        <v>41755</v>
      </c>
      <c r="B6372" s="2" t="s">
        <v>28</v>
      </c>
      <c r="C6372" s="2">
        <v>11</v>
      </c>
    </row>
    <row r="6373" spans="1:3" x14ac:dyDescent="0.25">
      <c r="A6373" s="3">
        <v>41728</v>
      </c>
      <c r="B6373" s="2" t="s">
        <v>6</v>
      </c>
      <c r="C6373" s="2">
        <v>9</v>
      </c>
    </row>
    <row r="6374" spans="1:3" x14ac:dyDescent="0.25">
      <c r="A6374" s="3">
        <v>41956</v>
      </c>
      <c r="B6374" s="2" t="s">
        <v>46</v>
      </c>
      <c r="C6374" s="2">
        <v>28</v>
      </c>
    </row>
    <row r="6375" spans="1:3" x14ac:dyDescent="0.25">
      <c r="A6375" s="3">
        <v>41653</v>
      </c>
      <c r="B6375" s="2" t="s">
        <v>5</v>
      </c>
      <c r="C6375" s="2">
        <v>19</v>
      </c>
    </row>
    <row r="6376" spans="1:3" x14ac:dyDescent="0.25">
      <c r="A6376" s="3">
        <v>41826</v>
      </c>
      <c r="B6376" s="2" t="s">
        <v>20</v>
      </c>
      <c r="C6376" s="2">
        <v>40</v>
      </c>
    </row>
    <row r="6377" spans="1:3" x14ac:dyDescent="0.25">
      <c r="A6377" s="3">
        <v>41912</v>
      </c>
      <c r="B6377" s="2" t="s">
        <v>28</v>
      </c>
      <c r="C6377" s="2">
        <v>2</v>
      </c>
    </row>
    <row r="6378" spans="1:3" x14ac:dyDescent="0.25">
      <c r="A6378" s="3">
        <v>41624</v>
      </c>
      <c r="B6378" s="2" t="s">
        <v>32</v>
      </c>
      <c r="C6378" s="2">
        <v>40</v>
      </c>
    </row>
    <row r="6379" spans="1:3" x14ac:dyDescent="0.25">
      <c r="A6379" s="3">
        <v>41401</v>
      </c>
      <c r="B6379" s="2" t="s">
        <v>13</v>
      </c>
      <c r="C6379" s="2">
        <v>37</v>
      </c>
    </row>
    <row r="6380" spans="1:3" x14ac:dyDescent="0.25">
      <c r="A6380" s="3">
        <v>41887</v>
      </c>
      <c r="B6380" s="2" t="s">
        <v>15</v>
      </c>
      <c r="C6380" s="2">
        <v>19</v>
      </c>
    </row>
    <row r="6381" spans="1:3" x14ac:dyDescent="0.25">
      <c r="A6381" s="3">
        <v>41994</v>
      </c>
      <c r="B6381" s="2" t="s">
        <v>22</v>
      </c>
      <c r="C6381" s="2">
        <v>34</v>
      </c>
    </row>
    <row r="6382" spans="1:3" x14ac:dyDescent="0.25">
      <c r="A6382" s="3">
        <v>41915</v>
      </c>
      <c r="B6382" s="2" t="s">
        <v>33</v>
      </c>
      <c r="C6382" s="2">
        <v>14</v>
      </c>
    </row>
    <row r="6383" spans="1:3" x14ac:dyDescent="0.25">
      <c r="A6383" s="3">
        <v>41415</v>
      </c>
      <c r="B6383" s="2" t="s">
        <v>44</v>
      </c>
      <c r="C6383" s="2">
        <v>27</v>
      </c>
    </row>
    <row r="6384" spans="1:3" x14ac:dyDescent="0.25">
      <c r="A6384" s="3">
        <v>41328</v>
      </c>
      <c r="B6384" s="2" t="s">
        <v>18</v>
      </c>
      <c r="C6384" s="2">
        <v>33</v>
      </c>
    </row>
    <row r="6385" spans="1:3" x14ac:dyDescent="0.25">
      <c r="A6385" s="3">
        <v>41286</v>
      </c>
      <c r="B6385" s="2" t="s">
        <v>38</v>
      </c>
      <c r="C6385" s="2">
        <v>42</v>
      </c>
    </row>
    <row r="6386" spans="1:3" x14ac:dyDescent="0.25">
      <c r="A6386" s="3">
        <v>41968</v>
      </c>
      <c r="B6386" s="2" t="s">
        <v>50</v>
      </c>
      <c r="C6386" s="2">
        <v>14</v>
      </c>
    </row>
    <row r="6387" spans="1:3" x14ac:dyDescent="0.25">
      <c r="A6387" s="3">
        <v>41577</v>
      </c>
      <c r="B6387" s="2" t="s">
        <v>9</v>
      </c>
      <c r="C6387" s="2">
        <v>11</v>
      </c>
    </row>
    <row r="6388" spans="1:3" x14ac:dyDescent="0.25">
      <c r="A6388" s="3">
        <v>41835</v>
      </c>
      <c r="B6388" s="2" t="s">
        <v>51</v>
      </c>
      <c r="C6388" s="2">
        <v>13</v>
      </c>
    </row>
    <row r="6389" spans="1:3" x14ac:dyDescent="0.25">
      <c r="A6389" s="3">
        <v>41570</v>
      </c>
      <c r="B6389" s="2" t="s">
        <v>5</v>
      </c>
      <c r="C6389" s="2">
        <v>7</v>
      </c>
    </row>
    <row r="6390" spans="1:3" x14ac:dyDescent="0.25">
      <c r="A6390" s="3">
        <v>41454</v>
      </c>
      <c r="B6390" s="2" t="s">
        <v>40</v>
      </c>
      <c r="C6390" s="2">
        <v>39</v>
      </c>
    </row>
    <row r="6391" spans="1:3" x14ac:dyDescent="0.25">
      <c r="A6391" s="3">
        <v>41679</v>
      </c>
      <c r="B6391" s="2" t="s">
        <v>18</v>
      </c>
      <c r="C6391" s="2">
        <v>45</v>
      </c>
    </row>
    <row r="6392" spans="1:3" x14ac:dyDescent="0.25">
      <c r="A6392" s="3">
        <v>41777</v>
      </c>
      <c r="B6392" s="2" t="s">
        <v>50</v>
      </c>
      <c r="C6392" s="2">
        <v>0</v>
      </c>
    </row>
    <row r="6393" spans="1:3" x14ac:dyDescent="0.25">
      <c r="A6393" s="3">
        <v>41423</v>
      </c>
      <c r="B6393" s="2" t="s">
        <v>33</v>
      </c>
      <c r="C6393" s="2">
        <v>20</v>
      </c>
    </row>
    <row r="6394" spans="1:3" x14ac:dyDescent="0.25">
      <c r="A6394" s="3">
        <v>41624</v>
      </c>
      <c r="B6394" s="2" t="s">
        <v>7</v>
      </c>
      <c r="C6394" s="2">
        <v>36</v>
      </c>
    </row>
    <row r="6395" spans="1:3" x14ac:dyDescent="0.25">
      <c r="A6395" s="3">
        <v>41416</v>
      </c>
      <c r="B6395" s="2" t="s">
        <v>12</v>
      </c>
      <c r="C6395" s="2">
        <v>54</v>
      </c>
    </row>
    <row r="6396" spans="1:3" x14ac:dyDescent="0.25">
      <c r="A6396" s="3">
        <v>41331</v>
      </c>
      <c r="B6396" s="2" t="s">
        <v>15</v>
      </c>
      <c r="C6396" s="2">
        <v>23</v>
      </c>
    </row>
    <row r="6397" spans="1:3" x14ac:dyDescent="0.25">
      <c r="A6397" s="3">
        <v>41914</v>
      </c>
      <c r="B6397" s="2" t="s">
        <v>30</v>
      </c>
      <c r="C6397" s="2">
        <v>25</v>
      </c>
    </row>
    <row r="6398" spans="1:3" x14ac:dyDescent="0.25">
      <c r="A6398" s="3">
        <v>41672</v>
      </c>
      <c r="B6398" s="2" t="s">
        <v>31</v>
      </c>
      <c r="C6398" s="2">
        <v>12</v>
      </c>
    </row>
    <row r="6399" spans="1:3" x14ac:dyDescent="0.25">
      <c r="A6399" s="3">
        <v>41935</v>
      </c>
      <c r="B6399" s="2" t="s">
        <v>14</v>
      </c>
      <c r="C6399" s="2">
        <v>13</v>
      </c>
    </row>
    <row r="6400" spans="1:3" x14ac:dyDescent="0.25">
      <c r="A6400" s="3">
        <v>41694</v>
      </c>
      <c r="B6400" s="2" t="s">
        <v>36</v>
      </c>
      <c r="C6400" s="2">
        <v>26</v>
      </c>
    </row>
    <row r="6401" spans="1:3" x14ac:dyDescent="0.25">
      <c r="A6401" s="3">
        <v>41777</v>
      </c>
      <c r="B6401" s="2" t="s">
        <v>13</v>
      </c>
      <c r="C6401" s="2">
        <v>38</v>
      </c>
    </row>
    <row r="6402" spans="1:3" x14ac:dyDescent="0.25">
      <c r="A6402" s="3">
        <v>41996</v>
      </c>
      <c r="B6402" s="2" t="s">
        <v>41</v>
      </c>
      <c r="C6402" s="2">
        <v>15</v>
      </c>
    </row>
    <row r="6403" spans="1:3" x14ac:dyDescent="0.25">
      <c r="A6403" s="3">
        <v>41902</v>
      </c>
      <c r="B6403" s="2" t="s">
        <v>37</v>
      </c>
      <c r="C6403" s="2">
        <v>25</v>
      </c>
    </row>
    <row r="6404" spans="1:3" x14ac:dyDescent="0.25">
      <c r="A6404" s="3">
        <v>41549</v>
      </c>
      <c r="B6404" s="2" t="s">
        <v>12</v>
      </c>
      <c r="C6404" s="2">
        <v>24</v>
      </c>
    </row>
    <row r="6405" spans="1:3" x14ac:dyDescent="0.25">
      <c r="A6405" s="3">
        <v>41497</v>
      </c>
      <c r="B6405" s="2" t="s">
        <v>33</v>
      </c>
      <c r="C6405" s="2">
        <v>45</v>
      </c>
    </row>
    <row r="6406" spans="1:3" x14ac:dyDescent="0.25">
      <c r="A6406" s="3">
        <v>41905</v>
      </c>
      <c r="B6406" s="2" t="s">
        <v>39</v>
      </c>
      <c r="C6406" s="2">
        <v>10</v>
      </c>
    </row>
    <row r="6407" spans="1:3" x14ac:dyDescent="0.25">
      <c r="A6407" s="3">
        <v>41636</v>
      </c>
      <c r="B6407" s="2" t="s">
        <v>8</v>
      </c>
      <c r="C6407" s="2">
        <v>31</v>
      </c>
    </row>
    <row r="6408" spans="1:3" x14ac:dyDescent="0.25">
      <c r="A6408" s="3">
        <v>41546</v>
      </c>
      <c r="B6408" s="2" t="s">
        <v>45</v>
      </c>
      <c r="C6408" s="2">
        <v>9</v>
      </c>
    </row>
    <row r="6409" spans="1:3" x14ac:dyDescent="0.25">
      <c r="A6409" s="3">
        <v>41778</v>
      </c>
      <c r="B6409" s="2" t="s">
        <v>40</v>
      </c>
      <c r="C6409" s="2">
        <v>31</v>
      </c>
    </row>
    <row r="6410" spans="1:3" x14ac:dyDescent="0.25">
      <c r="A6410" s="3">
        <v>41423</v>
      </c>
      <c r="B6410" s="2" t="s">
        <v>6</v>
      </c>
      <c r="C6410" s="2">
        <v>13</v>
      </c>
    </row>
    <row r="6411" spans="1:3" x14ac:dyDescent="0.25">
      <c r="A6411" s="3">
        <v>41975</v>
      </c>
      <c r="B6411" s="2" t="s">
        <v>13</v>
      </c>
      <c r="C6411" s="2">
        <v>28</v>
      </c>
    </row>
    <row r="6412" spans="1:3" x14ac:dyDescent="0.25">
      <c r="A6412" s="3">
        <v>41285</v>
      </c>
      <c r="B6412" s="2" t="s">
        <v>38</v>
      </c>
      <c r="C6412" s="2">
        <v>19</v>
      </c>
    </row>
    <row r="6413" spans="1:3" x14ac:dyDescent="0.25">
      <c r="A6413" s="3">
        <v>41531</v>
      </c>
      <c r="B6413" s="2" t="s">
        <v>18</v>
      </c>
      <c r="C6413" s="2">
        <v>7</v>
      </c>
    </row>
    <row r="6414" spans="1:3" x14ac:dyDescent="0.25">
      <c r="A6414" s="3">
        <v>41986</v>
      </c>
      <c r="B6414" s="2" t="s">
        <v>26</v>
      </c>
      <c r="C6414" s="2">
        <v>16</v>
      </c>
    </row>
    <row r="6415" spans="1:3" x14ac:dyDescent="0.25">
      <c r="A6415" s="3">
        <v>41360</v>
      </c>
      <c r="B6415" s="2" t="s">
        <v>35</v>
      </c>
      <c r="C6415" s="2">
        <v>31</v>
      </c>
    </row>
    <row r="6416" spans="1:3" x14ac:dyDescent="0.25">
      <c r="A6416" s="3">
        <v>41797</v>
      </c>
      <c r="B6416" s="2" t="s">
        <v>6</v>
      </c>
      <c r="C6416" s="2">
        <v>45</v>
      </c>
    </row>
    <row r="6417" spans="1:3" x14ac:dyDescent="0.25">
      <c r="A6417" s="3">
        <v>41684</v>
      </c>
      <c r="B6417" s="2" t="s">
        <v>50</v>
      </c>
      <c r="C6417" s="2">
        <v>5</v>
      </c>
    </row>
    <row r="6418" spans="1:3" x14ac:dyDescent="0.25">
      <c r="A6418" s="3">
        <v>41686</v>
      </c>
      <c r="B6418" s="2" t="s">
        <v>15</v>
      </c>
      <c r="C6418" s="2">
        <v>42</v>
      </c>
    </row>
    <row r="6419" spans="1:3" x14ac:dyDescent="0.25">
      <c r="A6419" s="3">
        <v>41890</v>
      </c>
      <c r="B6419" s="2" t="s">
        <v>39</v>
      </c>
      <c r="C6419" s="2">
        <v>21</v>
      </c>
    </row>
    <row r="6420" spans="1:3" x14ac:dyDescent="0.25">
      <c r="A6420" s="3">
        <v>41681</v>
      </c>
      <c r="B6420" s="2" t="s">
        <v>39</v>
      </c>
      <c r="C6420" s="2">
        <v>18</v>
      </c>
    </row>
    <row r="6421" spans="1:3" x14ac:dyDescent="0.25">
      <c r="A6421" s="3">
        <v>41761</v>
      </c>
      <c r="B6421" s="2" t="s">
        <v>44</v>
      </c>
      <c r="C6421" s="2">
        <v>40</v>
      </c>
    </row>
    <row r="6422" spans="1:3" x14ac:dyDescent="0.25">
      <c r="A6422" s="3">
        <v>41632</v>
      </c>
      <c r="B6422" s="2" t="s">
        <v>26</v>
      </c>
      <c r="C6422" s="2">
        <v>22</v>
      </c>
    </row>
    <row r="6423" spans="1:3" x14ac:dyDescent="0.25">
      <c r="A6423" s="3">
        <v>41428</v>
      </c>
      <c r="B6423" s="2" t="s">
        <v>12</v>
      </c>
      <c r="C6423" s="2">
        <v>31</v>
      </c>
    </row>
    <row r="6424" spans="1:3" x14ac:dyDescent="0.25">
      <c r="A6424" s="3">
        <v>41596</v>
      </c>
      <c r="B6424" s="2" t="s">
        <v>9</v>
      </c>
      <c r="C6424" s="2">
        <v>40</v>
      </c>
    </row>
    <row r="6425" spans="1:3" x14ac:dyDescent="0.25">
      <c r="A6425" s="3">
        <v>41718</v>
      </c>
      <c r="B6425" s="2" t="s">
        <v>13</v>
      </c>
      <c r="C6425" s="2">
        <v>53</v>
      </c>
    </row>
    <row r="6426" spans="1:3" x14ac:dyDescent="0.25">
      <c r="A6426" s="3">
        <v>41378</v>
      </c>
      <c r="B6426" s="2" t="s">
        <v>38</v>
      </c>
      <c r="C6426" s="2">
        <v>18</v>
      </c>
    </row>
    <row r="6427" spans="1:3" x14ac:dyDescent="0.25">
      <c r="A6427" s="3">
        <v>41343</v>
      </c>
      <c r="B6427" s="2" t="s">
        <v>32</v>
      </c>
      <c r="C6427" s="2">
        <v>5</v>
      </c>
    </row>
    <row r="6428" spans="1:3" x14ac:dyDescent="0.25">
      <c r="A6428" s="3">
        <v>41764</v>
      </c>
      <c r="B6428" s="2" t="s">
        <v>15</v>
      </c>
      <c r="C6428" s="2">
        <v>32</v>
      </c>
    </row>
    <row r="6429" spans="1:3" x14ac:dyDescent="0.25">
      <c r="A6429" s="3">
        <v>41429</v>
      </c>
      <c r="B6429" s="2" t="s">
        <v>6</v>
      </c>
      <c r="C6429" s="2">
        <v>10</v>
      </c>
    </row>
    <row r="6430" spans="1:3" x14ac:dyDescent="0.25">
      <c r="A6430" s="3">
        <v>41380</v>
      </c>
      <c r="B6430" s="2" t="s">
        <v>21</v>
      </c>
      <c r="C6430" s="2">
        <v>3</v>
      </c>
    </row>
    <row r="6431" spans="1:3" x14ac:dyDescent="0.25">
      <c r="A6431" s="3">
        <v>41332</v>
      </c>
      <c r="B6431" s="2" t="s">
        <v>13</v>
      </c>
      <c r="C6431" s="2">
        <v>46</v>
      </c>
    </row>
    <row r="6432" spans="1:3" x14ac:dyDescent="0.25">
      <c r="A6432" s="3">
        <v>41510</v>
      </c>
      <c r="B6432" s="2" t="s">
        <v>36</v>
      </c>
      <c r="C6432" s="2">
        <v>41</v>
      </c>
    </row>
    <row r="6433" spans="1:3" x14ac:dyDescent="0.25">
      <c r="A6433" s="3">
        <v>41817</v>
      </c>
      <c r="B6433" s="2" t="s">
        <v>15</v>
      </c>
      <c r="C6433" s="2">
        <v>15</v>
      </c>
    </row>
    <row r="6434" spans="1:3" x14ac:dyDescent="0.25">
      <c r="A6434" s="3">
        <v>41707</v>
      </c>
      <c r="B6434" s="2" t="s">
        <v>34</v>
      </c>
      <c r="C6434" s="2">
        <v>13</v>
      </c>
    </row>
    <row r="6435" spans="1:3" x14ac:dyDescent="0.25">
      <c r="A6435" s="3">
        <v>41537</v>
      </c>
      <c r="B6435" s="2" t="s">
        <v>20</v>
      </c>
      <c r="C6435" s="2">
        <v>13</v>
      </c>
    </row>
    <row r="6436" spans="1:3" x14ac:dyDescent="0.25">
      <c r="A6436" s="3">
        <v>41355</v>
      </c>
      <c r="B6436" s="2" t="s">
        <v>9</v>
      </c>
      <c r="C6436" s="2">
        <v>39</v>
      </c>
    </row>
    <row r="6437" spans="1:3" x14ac:dyDescent="0.25">
      <c r="A6437" s="3">
        <v>41640</v>
      </c>
      <c r="B6437" s="2" t="s">
        <v>14</v>
      </c>
      <c r="C6437" s="2">
        <v>15</v>
      </c>
    </row>
    <row r="6438" spans="1:3" x14ac:dyDescent="0.25">
      <c r="A6438" s="3">
        <v>41693</v>
      </c>
      <c r="B6438" s="2" t="s">
        <v>38</v>
      </c>
      <c r="C6438" s="2">
        <v>10</v>
      </c>
    </row>
    <row r="6439" spans="1:3" x14ac:dyDescent="0.25">
      <c r="A6439" s="3">
        <v>41275</v>
      </c>
      <c r="B6439" s="2" t="s">
        <v>47</v>
      </c>
      <c r="C6439" s="2">
        <v>30</v>
      </c>
    </row>
    <row r="6440" spans="1:3" x14ac:dyDescent="0.25">
      <c r="A6440" s="3">
        <v>41379</v>
      </c>
      <c r="B6440" s="2" t="s">
        <v>14</v>
      </c>
      <c r="C6440" s="2">
        <v>4</v>
      </c>
    </row>
    <row r="6441" spans="1:3" x14ac:dyDescent="0.25">
      <c r="A6441" s="3">
        <v>41990</v>
      </c>
      <c r="B6441" s="2" t="s">
        <v>10</v>
      </c>
      <c r="C6441" s="2">
        <v>54</v>
      </c>
    </row>
    <row r="6442" spans="1:3" x14ac:dyDescent="0.25">
      <c r="A6442" s="3">
        <v>41856</v>
      </c>
      <c r="B6442" s="2" t="s">
        <v>49</v>
      </c>
      <c r="C6442" s="2">
        <v>27</v>
      </c>
    </row>
    <row r="6443" spans="1:3" x14ac:dyDescent="0.25">
      <c r="A6443" s="3">
        <v>41926</v>
      </c>
      <c r="B6443" s="2" t="s">
        <v>35</v>
      </c>
      <c r="C6443" s="2">
        <v>34</v>
      </c>
    </row>
    <row r="6444" spans="1:3" x14ac:dyDescent="0.25">
      <c r="A6444" s="3">
        <v>41682</v>
      </c>
      <c r="B6444" s="2" t="s">
        <v>24</v>
      </c>
      <c r="C6444" s="2">
        <v>27</v>
      </c>
    </row>
    <row r="6445" spans="1:3" x14ac:dyDescent="0.25">
      <c r="A6445" s="3">
        <v>41359</v>
      </c>
      <c r="B6445" s="2" t="s">
        <v>11</v>
      </c>
      <c r="C6445" s="2">
        <v>3</v>
      </c>
    </row>
    <row r="6446" spans="1:3" x14ac:dyDescent="0.25">
      <c r="A6446" s="3">
        <v>41627</v>
      </c>
      <c r="B6446" s="2" t="s">
        <v>33</v>
      </c>
      <c r="C6446" s="2">
        <v>15</v>
      </c>
    </row>
    <row r="6447" spans="1:3" x14ac:dyDescent="0.25">
      <c r="A6447" s="3">
        <v>41708</v>
      </c>
      <c r="B6447" s="2" t="s">
        <v>39</v>
      </c>
      <c r="C6447" s="2">
        <v>25</v>
      </c>
    </row>
    <row r="6448" spans="1:3" x14ac:dyDescent="0.25">
      <c r="A6448" s="3">
        <v>41901</v>
      </c>
      <c r="B6448" s="2" t="s">
        <v>20</v>
      </c>
      <c r="C6448" s="2">
        <v>7</v>
      </c>
    </row>
    <row r="6449" spans="1:3" x14ac:dyDescent="0.25">
      <c r="A6449" s="3">
        <v>41942</v>
      </c>
      <c r="B6449" s="2" t="s">
        <v>29</v>
      </c>
      <c r="C6449" s="2">
        <v>32</v>
      </c>
    </row>
    <row r="6450" spans="1:3" x14ac:dyDescent="0.25">
      <c r="A6450" s="3">
        <v>41725</v>
      </c>
      <c r="B6450" s="2" t="s">
        <v>38</v>
      </c>
      <c r="C6450" s="2">
        <v>23</v>
      </c>
    </row>
    <row r="6451" spans="1:3" x14ac:dyDescent="0.25">
      <c r="A6451" s="3">
        <v>41810</v>
      </c>
      <c r="B6451" s="2" t="s">
        <v>39</v>
      </c>
      <c r="C6451" s="2">
        <v>2</v>
      </c>
    </row>
    <row r="6452" spans="1:3" x14ac:dyDescent="0.25">
      <c r="A6452" s="3">
        <v>41570</v>
      </c>
      <c r="B6452" s="2" t="s">
        <v>21</v>
      </c>
      <c r="C6452" s="2">
        <v>0</v>
      </c>
    </row>
    <row r="6453" spans="1:3" x14ac:dyDescent="0.25">
      <c r="A6453" s="3">
        <v>41551</v>
      </c>
      <c r="B6453" s="2" t="s">
        <v>46</v>
      </c>
      <c r="C6453" s="2">
        <v>35</v>
      </c>
    </row>
    <row r="6454" spans="1:3" x14ac:dyDescent="0.25">
      <c r="A6454" s="3">
        <v>41987</v>
      </c>
      <c r="B6454" s="2" t="s">
        <v>23</v>
      </c>
      <c r="C6454" s="2">
        <v>31</v>
      </c>
    </row>
    <row r="6455" spans="1:3" x14ac:dyDescent="0.25">
      <c r="A6455" s="3">
        <v>41414</v>
      </c>
      <c r="B6455" s="2" t="s">
        <v>2</v>
      </c>
      <c r="C6455" s="2">
        <v>11</v>
      </c>
    </row>
    <row r="6456" spans="1:3" x14ac:dyDescent="0.25">
      <c r="A6456" s="3">
        <v>41759</v>
      </c>
      <c r="B6456" s="2" t="s">
        <v>19</v>
      </c>
      <c r="C6456" s="2">
        <v>29</v>
      </c>
    </row>
    <row r="6457" spans="1:3" x14ac:dyDescent="0.25">
      <c r="A6457" s="3">
        <v>41955</v>
      </c>
      <c r="B6457" s="2" t="s">
        <v>32</v>
      </c>
      <c r="C6457" s="2">
        <v>1</v>
      </c>
    </row>
    <row r="6458" spans="1:3" x14ac:dyDescent="0.25">
      <c r="A6458" s="3">
        <v>41437</v>
      </c>
      <c r="B6458" s="2" t="s">
        <v>5</v>
      </c>
      <c r="C6458" s="2">
        <v>19</v>
      </c>
    </row>
    <row r="6459" spans="1:3" x14ac:dyDescent="0.25">
      <c r="A6459" s="3">
        <v>41664</v>
      </c>
      <c r="B6459" s="2" t="s">
        <v>14</v>
      </c>
      <c r="C6459" s="2">
        <v>9</v>
      </c>
    </row>
    <row r="6460" spans="1:3" x14ac:dyDescent="0.25">
      <c r="A6460" s="3">
        <v>41387</v>
      </c>
      <c r="B6460" s="2" t="s">
        <v>49</v>
      </c>
      <c r="C6460" s="2">
        <v>45</v>
      </c>
    </row>
    <row r="6461" spans="1:3" x14ac:dyDescent="0.25">
      <c r="A6461" s="3">
        <v>41648</v>
      </c>
      <c r="B6461" s="2" t="s">
        <v>7</v>
      </c>
      <c r="C6461" s="2">
        <v>41</v>
      </c>
    </row>
    <row r="6462" spans="1:3" x14ac:dyDescent="0.25">
      <c r="A6462" s="3">
        <v>41934</v>
      </c>
      <c r="B6462" s="2" t="s">
        <v>37</v>
      </c>
      <c r="C6462" s="2">
        <v>51</v>
      </c>
    </row>
    <row r="6463" spans="1:3" x14ac:dyDescent="0.25">
      <c r="A6463" s="3">
        <v>41906</v>
      </c>
      <c r="B6463" s="2" t="s">
        <v>10</v>
      </c>
      <c r="C6463" s="2">
        <v>12</v>
      </c>
    </row>
    <row r="6464" spans="1:3" x14ac:dyDescent="0.25">
      <c r="A6464" s="3">
        <v>41897</v>
      </c>
      <c r="B6464" s="2" t="s">
        <v>20</v>
      </c>
      <c r="C6464" s="2">
        <v>15</v>
      </c>
    </row>
    <row r="6465" spans="1:3" x14ac:dyDescent="0.25">
      <c r="A6465" s="3">
        <v>41485</v>
      </c>
      <c r="B6465" s="2" t="s">
        <v>8</v>
      </c>
      <c r="C6465" s="2">
        <v>23</v>
      </c>
    </row>
    <row r="6466" spans="1:3" x14ac:dyDescent="0.25">
      <c r="A6466" s="3">
        <v>41382</v>
      </c>
      <c r="B6466" s="2" t="s">
        <v>39</v>
      </c>
      <c r="C6466" s="2">
        <v>17</v>
      </c>
    </row>
    <row r="6467" spans="1:3" x14ac:dyDescent="0.25">
      <c r="A6467" s="3">
        <v>41704</v>
      </c>
      <c r="B6467" s="2" t="s">
        <v>4</v>
      </c>
      <c r="C6467" s="2">
        <v>18</v>
      </c>
    </row>
    <row r="6468" spans="1:3" x14ac:dyDescent="0.25">
      <c r="A6468" s="3">
        <v>41643</v>
      </c>
      <c r="B6468" s="2" t="s">
        <v>11</v>
      </c>
      <c r="C6468" s="2">
        <v>33</v>
      </c>
    </row>
    <row r="6469" spans="1:3" x14ac:dyDescent="0.25">
      <c r="A6469" s="3">
        <v>41723</v>
      </c>
      <c r="B6469" s="2" t="s">
        <v>13</v>
      </c>
      <c r="C6469" s="2">
        <v>8</v>
      </c>
    </row>
    <row r="6470" spans="1:3" x14ac:dyDescent="0.25">
      <c r="A6470" s="3">
        <v>41521</v>
      </c>
      <c r="B6470" s="2" t="s">
        <v>29</v>
      </c>
      <c r="C6470" s="2">
        <v>61</v>
      </c>
    </row>
    <row r="6471" spans="1:3" x14ac:dyDescent="0.25">
      <c r="A6471" s="3">
        <v>41733</v>
      </c>
      <c r="B6471" s="2" t="s">
        <v>15</v>
      </c>
      <c r="C6471" s="2">
        <v>55</v>
      </c>
    </row>
    <row r="6472" spans="1:3" x14ac:dyDescent="0.25">
      <c r="A6472" s="3">
        <v>41432</v>
      </c>
      <c r="B6472" s="2" t="s">
        <v>30</v>
      </c>
      <c r="C6472" s="2">
        <v>46</v>
      </c>
    </row>
    <row r="6473" spans="1:3" x14ac:dyDescent="0.25">
      <c r="A6473" s="3">
        <v>41286</v>
      </c>
      <c r="B6473" s="2" t="s">
        <v>17</v>
      </c>
      <c r="C6473" s="2">
        <v>12</v>
      </c>
    </row>
    <row r="6474" spans="1:3" x14ac:dyDescent="0.25">
      <c r="A6474" s="3">
        <v>41304</v>
      </c>
      <c r="B6474" s="2" t="s">
        <v>19</v>
      </c>
      <c r="C6474" s="2">
        <v>35</v>
      </c>
    </row>
    <row r="6475" spans="1:3" x14ac:dyDescent="0.25">
      <c r="A6475" s="3">
        <v>41999</v>
      </c>
      <c r="B6475" s="2" t="s">
        <v>8</v>
      </c>
      <c r="C6475" s="2">
        <v>45</v>
      </c>
    </row>
    <row r="6476" spans="1:3" x14ac:dyDescent="0.25">
      <c r="A6476" s="3">
        <v>41787</v>
      </c>
      <c r="B6476" s="2" t="s">
        <v>5</v>
      </c>
      <c r="C6476" s="2">
        <v>16</v>
      </c>
    </row>
    <row r="6477" spans="1:3" x14ac:dyDescent="0.25">
      <c r="A6477" s="3">
        <v>41866</v>
      </c>
      <c r="B6477" s="2" t="s">
        <v>18</v>
      </c>
      <c r="C6477" s="2">
        <v>13</v>
      </c>
    </row>
    <row r="6478" spans="1:3" x14ac:dyDescent="0.25">
      <c r="A6478" s="3">
        <v>41739</v>
      </c>
      <c r="B6478" s="2" t="s">
        <v>17</v>
      </c>
      <c r="C6478" s="2">
        <v>7</v>
      </c>
    </row>
    <row r="6479" spans="1:3" x14ac:dyDescent="0.25">
      <c r="A6479" s="3">
        <v>41816</v>
      </c>
      <c r="B6479" s="2" t="s">
        <v>7</v>
      </c>
      <c r="C6479" s="2">
        <v>12</v>
      </c>
    </row>
    <row r="6480" spans="1:3" x14ac:dyDescent="0.25">
      <c r="A6480" s="3">
        <v>41547</v>
      </c>
      <c r="B6480" s="2" t="s">
        <v>15</v>
      </c>
      <c r="C6480" s="2">
        <v>37</v>
      </c>
    </row>
    <row r="6481" spans="1:3" x14ac:dyDescent="0.25">
      <c r="A6481" s="3">
        <v>41398</v>
      </c>
      <c r="B6481" s="2" t="s">
        <v>18</v>
      </c>
      <c r="C6481" s="2">
        <v>32</v>
      </c>
    </row>
    <row r="6482" spans="1:3" x14ac:dyDescent="0.25">
      <c r="A6482" s="3">
        <v>41911</v>
      </c>
      <c r="B6482" s="2" t="s">
        <v>12</v>
      </c>
      <c r="C6482" s="2">
        <v>30</v>
      </c>
    </row>
    <row r="6483" spans="1:3" x14ac:dyDescent="0.25">
      <c r="A6483" s="3">
        <v>41959</v>
      </c>
      <c r="B6483" s="2" t="s">
        <v>27</v>
      </c>
      <c r="C6483" s="2">
        <v>52</v>
      </c>
    </row>
    <row r="6484" spans="1:3" x14ac:dyDescent="0.25">
      <c r="A6484" s="3">
        <v>41694</v>
      </c>
      <c r="B6484" s="2" t="s">
        <v>9</v>
      </c>
      <c r="C6484" s="2">
        <v>30</v>
      </c>
    </row>
    <row r="6485" spans="1:3" x14ac:dyDescent="0.25">
      <c r="A6485" s="3">
        <v>41319</v>
      </c>
      <c r="B6485" s="2" t="s">
        <v>23</v>
      </c>
      <c r="C6485" s="2">
        <v>37</v>
      </c>
    </row>
    <row r="6486" spans="1:3" x14ac:dyDescent="0.25">
      <c r="A6486" s="3">
        <v>41528</v>
      </c>
      <c r="B6486" s="2" t="s">
        <v>51</v>
      </c>
      <c r="C6486" s="2">
        <v>16</v>
      </c>
    </row>
    <row r="6487" spans="1:3" x14ac:dyDescent="0.25">
      <c r="A6487" s="3">
        <v>41330</v>
      </c>
      <c r="B6487" s="2" t="s">
        <v>8</v>
      </c>
      <c r="C6487" s="2">
        <v>10</v>
      </c>
    </row>
    <row r="6488" spans="1:3" x14ac:dyDescent="0.25">
      <c r="A6488" s="3">
        <v>41379</v>
      </c>
      <c r="B6488" s="2" t="s">
        <v>36</v>
      </c>
      <c r="C6488" s="2">
        <v>54</v>
      </c>
    </row>
    <row r="6489" spans="1:3" x14ac:dyDescent="0.25">
      <c r="A6489" s="3">
        <v>41914</v>
      </c>
      <c r="B6489" s="2" t="s">
        <v>34</v>
      </c>
      <c r="C6489" s="2">
        <v>67</v>
      </c>
    </row>
    <row r="6490" spans="1:3" x14ac:dyDescent="0.25">
      <c r="A6490" s="3">
        <v>41372</v>
      </c>
      <c r="B6490" s="2" t="s">
        <v>36</v>
      </c>
      <c r="C6490" s="2">
        <v>22</v>
      </c>
    </row>
    <row r="6491" spans="1:3" x14ac:dyDescent="0.25">
      <c r="A6491" s="3">
        <v>41742</v>
      </c>
      <c r="B6491" s="2" t="s">
        <v>24</v>
      </c>
      <c r="C6491" s="2">
        <v>1</v>
      </c>
    </row>
    <row r="6492" spans="1:3" x14ac:dyDescent="0.25">
      <c r="A6492" s="3">
        <v>41558</v>
      </c>
      <c r="B6492" s="2" t="s">
        <v>5</v>
      </c>
      <c r="C6492" s="2">
        <v>41</v>
      </c>
    </row>
    <row r="6493" spans="1:3" x14ac:dyDescent="0.25">
      <c r="A6493" s="3">
        <v>41352</v>
      </c>
      <c r="B6493" s="2" t="s">
        <v>21</v>
      </c>
      <c r="C6493" s="2">
        <v>33</v>
      </c>
    </row>
    <row r="6494" spans="1:3" x14ac:dyDescent="0.25">
      <c r="A6494" s="3">
        <v>41408</v>
      </c>
      <c r="B6494" s="2" t="s">
        <v>15</v>
      </c>
      <c r="C6494" s="2">
        <v>39</v>
      </c>
    </row>
    <row r="6495" spans="1:3" x14ac:dyDescent="0.25">
      <c r="A6495" s="3">
        <v>41566</v>
      </c>
      <c r="B6495" s="2" t="s">
        <v>31</v>
      </c>
      <c r="C6495" s="2">
        <v>18</v>
      </c>
    </row>
    <row r="6496" spans="1:3" x14ac:dyDescent="0.25">
      <c r="A6496" s="3">
        <v>41384</v>
      </c>
      <c r="B6496" s="2" t="s">
        <v>41</v>
      </c>
      <c r="C6496" s="2">
        <v>12</v>
      </c>
    </row>
    <row r="6497" spans="1:3" x14ac:dyDescent="0.25">
      <c r="A6497" s="3">
        <v>41934</v>
      </c>
      <c r="B6497" s="2" t="s">
        <v>34</v>
      </c>
      <c r="C6497" s="2">
        <v>19</v>
      </c>
    </row>
    <row r="6498" spans="1:3" x14ac:dyDescent="0.25">
      <c r="A6498" s="3">
        <v>41868</v>
      </c>
      <c r="B6498" s="2" t="s">
        <v>44</v>
      </c>
      <c r="C6498" s="2">
        <v>37</v>
      </c>
    </row>
    <row r="6499" spans="1:3" x14ac:dyDescent="0.25">
      <c r="A6499" s="3">
        <v>41826</v>
      </c>
      <c r="B6499" s="2" t="s">
        <v>39</v>
      </c>
      <c r="C6499" s="2">
        <v>3</v>
      </c>
    </row>
    <row r="6500" spans="1:3" x14ac:dyDescent="0.25">
      <c r="A6500" s="3">
        <v>41477</v>
      </c>
      <c r="B6500" s="2" t="s">
        <v>35</v>
      </c>
      <c r="C6500" s="2">
        <v>29</v>
      </c>
    </row>
    <row r="6501" spans="1:3" x14ac:dyDescent="0.25">
      <c r="A6501" s="3">
        <v>41980</v>
      </c>
      <c r="B6501" s="2" t="s">
        <v>8</v>
      </c>
      <c r="C6501" s="2">
        <v>25</v>
      </c>
    </row>
    <row r="6502" spans="1:3" x14ac:dyDescent="0.25">
      <c r="A6502" s="3">
        <v>41878</v>
      </c>
      <c r="B6502" s="2" t="s">
        <v>22</v>
      </c>
      <c r="C6502" s="2">
        <v>3</v>
      </c>
    </row>
    <row r="6503" spans="1:3" x14ac:dyDescent="0.25">
      <c r="A6503" s="3">
        <v>41891</v>
      </c>
      <c r="B6503" s="2" t="s">
        <v>3</v>
      </c>
      <c r="C6503" s="2">
        <v>12</v>
      </c>
    </row>
    <row r="6504" spans="1:3" x14ac:dyDescent="0.25">
      <c r="A6504" s="3">
        <v>41761</v>
      </c>
      <c r="B6504" s="2" t="s">
        <v>21</v>
      </c>
      <c r="C6504" s="2">
        <v>32</v>
      </c>
    </row>
    <row r="6505" spans="1:3" x14ac:dyDescent="0.25">
      <c r="A6505" s="3">
        <v>41849</v>
      </c>
      <c r="B6505" s="2" t="s">
        <v>41</v>
      </c>
      <c r="C6505" s="2">
        <v>38</v>
      </c>
    </row>
    <row r="6506" spans="1:3" x14ac:dyDescent="0.25">
      <c r="A6506" s="3">
        <v>41519</v>
      </c>
      <c r="B6506" s="2" t="s">
        <v>7</v>
      </c>
      <c r="C6506" s="2">
        <v>29</v>
      </c>
    </row>
    <row r="6507" spans="1:3" x14ac:dyDescent="0.25">
      <c r="A6507" s="3">
        <v>41720</v>
      </c>
      <c r="B6507" s="2" t="s">
        <v>41</v>
      </c>
      <c r="C6507" s="2">
        <v>32</v>
      </c>
    </row>
    <row r="6508" spans="1:3" x14ac:dyDescent="0.25">
      <c r="A6508" s="3">
        <v>41898</v>
      </c>
      <c r="B6508" s="2" t="s">
        <v>23</v>
      </c>
      <c r="C6508" s="2">
        <v>43</v>
      </c>
    </row>
    <row r="6509" spans="1:3" x14ac:dyDescent="0.25">
      <c r="A6509" s="3">
        <v>41669</v>
      </c>
      <c r="B6509" s="2" t="s">
        <v>27</v>
      </c>
      <c r="C6509" s="2">
        <v>42</v>
      </c>
    </row>
    <row r="6510" spans="1:3" x14ac:dyDescent="0.25">
      <c r="A6510" s="3">
        <v>41669</v>
      </c>
      <c r="B6510" s="2" t="s">
        <v>23</v>
      </c>
      <c r="C6510" s="2">
        <v>6</v>
      </c>
    </row>
    <row r="6511" spans="1:3" x14ac:dyDescent="0.25">
      <c r="A6511" s="3">
        <v>41404</v>
      </c>
      <c r="B6511" s="2" t="s">
        <v>6</v>
      </c>
      <c r="C6511" s="2">
        <v>29</v>
      </c>
    </row>
    <row r="6512" spans="1:3" x14ac:dyDescent="0.25">
      <c r="A6512" s="3">
        <v>41953</v>
      </c>
      <c r="B6512" s="2" t="s">
        <v>22</v>
      </c>
      <c r="C6512" s="2">
        <v>21</v>
      </c>
    </row>
    <row r="6513" spans="1:3" x14ac:dyDescent="0.25">
      <c r="A6513" s="3">
        <v>41958</v>
      </c>
      <c r="B6513" s="2" t="s">
        <v>41</v>
      </c>
      <c r="C6513" s="2">
        <v>53</v>
      </c>
    </row>
    <row r="6514" spans="1:3" x14ac:dyDescent="0.25">
      <c r="A6514" s="3">
        <v>41672</v>
      </c>
      <c r="B6514" s="2" t="s">
        <v>15</v>
      </c>
      <c r="C6514" s="2">
        <v>33</v>
      </c>
    </row>
    <row r="6515" spans="1:3" x14ac:dyDescent="0.25">
      <c r="A6515" s="3">
        <v>41604</v>
      </c>
      <c r="B6515" s="2" t="s">
        <v>14</v>
      </c>
      <c r="C6515" s="2">
        <v>33</v>
      </c>
    </row>
    <row r="6516" spans="1:3" x14ac:dyDescent="0.25">
      <c r="A6516" s="3">
        <v>41591</v>
      </c>
      <c r="B6516" s="2" t="s">
        <v>51</v>
      </c>
      <c r="C6516" s="2">
        <v>34</v>
      </c>
    </row>
    <row r="6517" spans="1:3" x14ac:dyDescent="0.25">
      <c r="A6517" s="3">
        <v>41664</v>
      </c>
      <c r="B6517" s="2" t="s">
        <v>50</v>
      </c>
      <c r="C6517" s="2">
        <v>37</v>
      </c>
    </row>
    <row r="6518" spans="1:3" x14ac:dyDescent="0.25">
      <c r="A6518" s="3">
        <v>41295</v>
      </c>
      <c r="B6518" s="2" t="s">
        <v>20</v>
      </c>
      <c r="C6518" s="2">
        <v>14</v>
      </c>
    </row>
    <row r="6519" spans="1:3" x14ac:dyDescent="0.25">
      <c r="A6519" s="3">
        <v>41366</v>
      </c>
      <c r="B6519" s="2" t="s">
        <v>51</v>
      </c>
      <c r="C6519" s="2">
        <v>44</v>
      </c>
    </row>
    <row r="6520" spans="1:3" x14ac:dyDescent="0.25">
      <c r="A6520" s="3">
        <v>41804</v>
      </c>
      <c r="B6520" s="2" t="s">
        <v>11</v>
      </c>
      <c r="C6520" s="2">
        <v>26</v>
      </c>
    </row>
    <row r="6521" spans="1:3" x14ac:dyDescent="0.25">
      <c r="A6521" s="3">
        <v>41448</v>
      </c>
      <c r="B6521" s="2" t="s">
        <v>28</v>
      </c>
      <c r="C6521" s="2">
        <v>40</v>
      </c>
    </row>
    <row r="6522" spans="1:3" x14ac:dyDescent="0.25">
      <c r="A6522" s="3">
        <v>41683</v>
      </c>
      <c r="B6522" s="2" t="s">
        <v>38</v>
      </c>
      <c r="C6522" s="2">
        <v>22</v>
      </c>
    </row>
    <row r="6523" spans="1:3" x14ac:dyDescent="0.25">
      <c r="A6523" s="3">
        <v>41542</v>
      </c>
      <c r="B6523" s="2" t="s">
        <v>13</v>
      </c>
      <c r="C6523" s="2">
        <v>60</v>
      </c>
    </row>
    <row r="6524" spans="1:3" x14ac:dyDescent="0.25">
      <c r="A6524" s="3">
        <v>41995</v>
      </c>
      <c r="B6524" s="2" t="s">
        <v>48</v>
      </c>
      <c r="C6524" s="2">
        <v>38</v>
      </c>
    </row>
    <row r="6525" spans="1:3" x14ac:dyDescent="0.25">
      <c r="A6525" s="3">
        <v>41661</v>
      </c>
      <c r="B6525" s="2" t="s">
        <v>3</v>
      </c>
      <c r="C6525" s="2">
        <v>24</v>
      </c>
    </row>
    <row r="6526" spans="1:3" x14ac:dyDescent="0.25">
      <c r="A6526" s="3">
        <v>41535</v>
      </c>
      <c r="B6526" s="2" t="s">
        <v>8</v>
      </c>
      <c r="C6526" s="2">
        <v>25</v>
      </c>
    </row>
    <row r="6527" spans="1:3" x14ac:dyDescent="0.25">
      <c r="A6527" s="3">
        <v>41735</v>
      </c>
      <c r="B6527" s="2" t="s">
        <v>38</v>
      </c>
      <c r="C6527" s="2">
        <v>35</v>
      </c>
    </row>
    <row r="6528" spans="1:3" x14ac:dyDescent="0.25">
      <c r="A6528" s="3">
        <v>41696</v>
      </c>
      <c r="B6528" s="2" t="s">
        <v>39</v>
      </c>
      <c r="C6528" s="2">
        <v>24</v>
      </c>
    </row>
    <row r="6529" spans="1:3" x14ac:dyDescent="0.25">
      <c r="A6529" s="3">
        <v>41989</v>
      </c>
      <c r="B6529" s="2" t="s">
        <v>49</v>
      </c>
      <c r="C6529" s="2">
        <v>24</v>
      </c>
    </row>
    <row r="6530" spans="1:3" x14ac:dyDescent="0.25">
      <c r="A6530" s="3">
        <v>41843</v>
      </c>
      <c r="B6530" s="2" t="s">
        <v>51</v>
      </c>
      <c r="C6530" s="2">
        <v>9</v>
      </c>
    </row>
    <row r="6531" spans="1:3" x14ac:dyDescent="0.25">
      <c r="A6531" s="3">
        <v>41331</v>
      </c>
      <c r="B6531" s="2" t="s">
        <v>45</v>
      </c>
      <c r="C6531" s="2">
        <v>43</v>
      </c>
    </row>
    <row r="6532" spans="1:3" x14ac:dyDescent="0.25">
      <c r="A6532" s="3">
        <v>41879</v>
      </c>
      <c r="B6532" s="2" t="s">
        <v>8</v>
      </c>
      <c r="C6532" s="2">
        <v>4</v>
      </c>
    </row>
    <row r="6533" spans="1:3" x14ac:dyDescent="0.25">
      <c r="A6533" s="3">
        <v>41300</v>
      </c>
      <c r="B6533" s="2" t="s">
        <v>40</v>
      </c>
      <c r="C6533" s="2">
        <v>40</v>
      </c>
    </row>
    <row r="6534" spans="1:3" x14ac:dyDescent="0.25">
      <c r="A6534" s="3">
        <v>41484</v>
      </c>
      <c r="B6534" s="2" t="s">
        <v>30</v>
      </c>
      <c r="C6534" s="2">
        <v>40</v>
      </c>
    </row>
    <row r="6535" spans="1:3" x14ac:dyDescent="0.25">
      <c r="A6535" s="3">
        <v>41443</v>
      </c>
      <c r="B6535" s="2" t="s">
        <v>15</v>
      </c>
      <c r="C6535" s="2">
        <v>51</v>
      </c>
    </row>
    <row r="6536" spans="1:3" x14ac:dyDescent="0.25">
      <c r="A6536" s="3">
        <v>41353</v>
      </c>
      <c r="B6536" s="2" t="s">
        <v>35</v>
      </c>
      <c r="C6536" s="2">
        <v>14</v>
      </c>
    </row>
    <row r="6537" spans="1:3" x14ac:dyDescent="0.25">
      <c r="A6537" s="3">
        <v>41889</v>
      </c>
      <c r="B6537" s="2" t="s">
        <v>11</v>
      </c>
      <c r="C6537" s="2">
        <v>13</v>
      </c>
    </row>
    <row r="6538" spans="1:3" x14ac:dyDescent="0.25">
      <c r="A6538" s="3">
        <v>41589</v>
      </c>
      <c r="B6538" s="2" t="s">
        <v>25</v>
      </c>
      <c r="C6538" s="2">
        <v>43</v>
      </c>
    </row>
    <row r="6539" spans="1:3" x14ac:dyDescent="0.25">
      <c r="A6539" s="3">
        <v>41474</v>
      </c>
      <c r="B6539" s="2" t="s">
        <v>51</v>
      </c>
      <c r="C6539" s="2">
        <v>48</v>
      </c>
    </row>
    <row r="6540" spans="1:3" x14ac:dyDescent="0.25">
      <c r="A6540" s="3">
        <v>41405</v>
      </c>
      <c r="B6540" s="2" t="s">
        <v>34</v>
      </c>
      <c r="C6540" s="2">
        <v>29</v>
      </c>
    </row>
    <row r="6541" spans="1:3" x14ac:dyDescent="0.25">
      <c r="A6541" s="3">
        <v>41876</v>
      </c>
      <c r="B6541" s="2" t="s">
        <v>47</v>
      </c>
      <c r="C6541" s="2">
        <v>24</v>
      </c>
    </row>
    <row r="6542" spans="1:3" x14ac:dyDescent="0.25">
      <c r="A6542" s="3">
        <v>41618</v>
      </c>
      <c r="B6542" s="2" t="s">
        <v>27</v>
      </c>
      <c r="C6542" s="2">
        <v>42</v>
      </c>
    </row>
    <row r="6543" spans="1:3" x14ac:dyDescent="0.25">
      <c r="A6543" s="3">
        <v>41562</v>
      </c>
      <c r="B6543" s="2" t="s">
        <v>23</v>
      </c>
      <c r="C6543" s="2">
        <v>35</v>
      </c>
    </row>
    <row r="6544" spans="1:3" x14ac:dyDescent="0.25">
      <c r="A6544" s="3">
        <v>41399</v>
      </c>
      <c r="B6544" s="2" t="s">
        <v>2</v>
      </c>
      <c r="C6544" s="2">
        <v>39</v>
      </c>
    </row>
    <row r="6545" spans="1:3" x14ac:dyDescent="0.25">
      <c r="A6545" s="3">
        <v>41776</v>
      </c>
      <c r="B6545" s="2" t="s">
        <v>42</v>
      </c>
      <c r="C6545" s="2">
        <v>41</v>
      </c>
    </row>
    <row r="6546" spans="1:3" x14ac:dyDescent="0.25">
      <c r="A6546" s="3">
        <v>41754</v>
      </c>
      <c r="B6546" s="2" t="s">
        <v>5</v>
      </c>
      <c r="C6546" s="2">
        <v>24</v>
      </c>
    </row>
    <row r="6547" spans="1:3" x14ac:dyDescent="0.25">
      <c r="A6547" s="3">
        <v>41937</v>
      </c>
      <c r="B6547" s="2" t="s">
        <v>11</v>
      </c>
      <c r="C6547" s="2">
        <v>3</v>
      </c>
    </row>
    <row r="6548" spans="1:3" x14ac:dyDescent="0.25">
      <c r="A6548" s="3">
        <v>41753</v>
      </c>
      <c r="B6548" s="2" t="s">
        <v>42</v>
      </c>
      <c r="C6548" s="2">
        <v>45</v>
      </c>
    </row>
    <row r="6549" spans="1:3" x14ac:dyDescent="0.25">
      <c r="A6549" s="3">
        <v>41714</v>
      </c>
      <c r="B6549" s="2" t="s">
        <v>47</v>
      </c>
      <c r="C6549" s="2">
        <v>42</v>
      </c>
    </row>
    <row r="6550" spans="1:3" x14ac:dyDescent="0.25">
      <c r="A6550" s="3">
        <v>41984</v>
      </c>
      <c r="B6550" s="2" t="s">
        <v>42</v>
      </c>
      <c r="C6550" s="2">
        <v>18</v>
      </c>
    </row>
    <row r="6551" spans="1:3" x14ac:dyDescent="0.25">
      <c r="A6551" s="3">
        <v>41656</v>
      </c>
      <c r="B6551" s="2" t="s">
        <v>33</v>
      </c>
      <c r="C6551" s="2">
        <v>29</v>
      </c>
    </row>
    <row r="6552" spans="1:3" x14ac:dyDescent="0.25">
      <c r="A6552" s="3">
        <v>41287</v>
      </c>
      <c r="B6552" s="2" t="s">
        <v>12</v>
      </c>
      <c r="C6552" s="2">
        <v>14</v>
      </c>
    </row>
    <row r="6553" spans="1:3" x14ac:dyDescent="0.25">
      <c r="A6553" s="3">
        <v>41853</v>
      </c>
      <c r="B6553" s="2" t="s">
        <v>13</v>
      </c>
      <c r="C6553" s="2">
        <v>21</v>
      </c>
    </row>
    <row r="6554" spans="1:3" x14ac:dyDescent="0.25">
      <c r="A6554" s="3">
        <v>41784</v>
      </c>
      <c r="B6554" s="2" t="s">
        <v>30</v>
      </c>
      <c r="C6554" s="2">
        <v>4</v>
      </c>
    </row>
    <row r="6555" spans="1:3" x14ac:dyDescent="0.25">
      <c r="A6555" s="3">
        <v>41785</v>
      </c>
      <c r="B6555" s="2" t="s">
        <v>6</v>
      </c>
      <c r="C6555" s="2">
        <v>11</v>
      </c>
    </row>
    <row r="6556" spans="1:3" x14ac:dyDescent="0.25">
      <c r="A6556" s="3">
        <v>41591</v>
      </c>
      <c r="B6556" s="2" t="s">
        <v>30</v>
      </c>
      <c r="C6556" s="2">
        <v>21</v>
      </c>
    </row>
    <row r="6557" spans="1:3" x14ac:dyDescent="0.25">
      <c r="A6557" s="3">
        <v>41674</v>
      </c>
      <c r="B6557" s="2" t="s">
        <v>37</v>
      </c>
      <c r="C6557" s="2">
        <v>44</v>
      </c>
    </row>
    <row r="6558" spans="1:3" x14ac:dyDescent="0.25">
      <c r="A6558" s="3">
        <v>41547</v>
      </c>
      <c r="B6558" s="2" t="s">
        <v>5</v>
      </c>
      <c r="C6558" s="2">
        <v>46</v>
      </c>
    </row>
    <row r="6559" spans="1:3" x14ac:dyDescent="0.25">
      <c r="A6559" s="3">
        <v>41323</v>
      </c>
      <c r="B6559" s="2" t="s">
        <v>27</v>
      </c>
      <c r="C6559" s="2">
        <v>37</v>
      </c>
    </row>
    <row r="6560" spans="1:3" x14ac:dyDescent="0.25">
      <c r="A6560" s="3">
        <v>41800</v>
      </c>
      <c r="B6560" s="2" t="s">
        <v>41</v>
      </c>
      <c r="C6560" s="2">
        <v>11</v>
      </c>
    </row>
    <row r="6561" spans="1:3" x14ac:dyDescent="0.25">
      <c r="A6561" s="3">
        <v>41543</v>
      </c>
      <c r="B6561" s="2" t="s">
        <v>48</v>
      </c>
      <c r="C6561" s="2">
        <v>29</v>
      </c>
    </row>
    <row r="6562" spans="1:3" x14ac:dyDescent="0.25">
      <c r="A6562" s="3">
        <v>41357</v>
      </c>
      <c r="B6562" s="2" t="s">
        <v>8</v>
      </c>
      <c r="C6562" s="2">
        <v>43</v>
      </c>
    </row>
    <row r="6563" spans="1:3" x14ac:dyDescent="0.25">
      <c r="A6563" s="3">
        <v>41771</v>
      </c>
      <c r="B6563" s="2" t="s">
        <v>6</v>
      </c>
      <c r="C6563" s="2">
        <v>35</v>
      </c>
    </row>
    <row r="6564" spans="1:3" x14ac:dyDescent="0.25">
      <c r="A6564" s="3">
        <v>41520</v>
      </c>
      <c r="B6564" s="2" t="s">
        <v>40</v>
      </c>
      <c r="C6564" s="2">
        <v>11</v>
      </c>
    </row>
    <row r="6565" spans="1:3" x14ac:dyDescent="0.25">
      <c r="A6565" s="3">
        <v>41959</v>
      </c>
      <c r="B6565" s="2" t="s">
        <v>7</v>
      </c>
      <c r="C6565" s="2">
        <v>7</v>
      </c>
    </row>
    <row r="6566" spans="1:3" x14ac:dyDescent="0.25">
      <c r="A6566" s="3">
        <v>41281</v>
      </c>
      <c r="B6566" s="2" t="s">
        <v>8</v>
      </c>
      <c r="C6566" s="2">
        <v>16</v>
      </c>
    </row>
    <row r="6567" spans="1:3" x14ac:dyDescent="0.25">
      <c r="A6567" s="3">
        <v>41873</v>
      </c>
      <c r="B6567" s="2" t="s">
        <v>50</v>
      </c>
      <c r="C6567" s="2">
        <v>37</v>
      </c>
    </row>
    <row r="6568" spans="1:3" x14ac:dyDescent="0.25">
      <c r="A6568" s="3">
        <v>41955</v>
      </c>
      <c r="B6568" s="2" t="s">
        <v>42</v>
      </c>
      <c r="C6568" s="2">
        <v>50</v>
      </c>
    </row>
    <row r="6569" spans="1:3" x14ac:dyDescent="0.25">
      <c r="A6569" s="3">
        <v>41746</v>
      </c>
      <c r="B6569" s="2" t="s">
        <v>15</v>
      </c>
      <c r="C6569" s="2">
        <v>13</v>
      </c>
    </row>
    <row r="6570" spans="1:3" x14ac:dyDescent="0.25">
      <c r="A6570" s="3">
        <v>41292</v>
      </c>
      <c r="B6570" s="2" t="s">
        <v>12</v>
      </c>
      <c r="C6570" s="2">
        <v>15</v>
      </c>
    </row>
    <row r="6571" spans="1:3" x14ac:dyDescent="0.25">
      <c r="A6571" s="3">
        <v>41288</v>
      </c>
      <c r="B6571" s="2" t="s">
        <v>23</v>
      </c>
      <c r="C6571" s="2">
        <v>20</v>
      </c>
    </row>
    <row r="6572" spans="1:3" x14ac:dyDescent="0.25">
      <c r="A6572" s="3">
        <v>41456</v>
      </c>
      <c r="B6572" s="2" t="s">
        <v>31</v>
      </c>
      <c r="C6572" s="2">
        <v>16</v>
      </c>
    </row>
    <row r="6573" spans="1:3" x14ac:dyDescent="0.25">
      <c r="A6573" s="3">
        <v>41932</v>
      </c>
      <c r="B6573" s="2" t="s">
        <v>43</v>
      </c>
      <c r="C6573" s="2">
        <v>13</v>
      </c>
    </row>
    <row r="6574" spans="1:3" x14ac:dyDescent="0.25">
      <c r="A6574" s="3">
        <v>41712</v>
      </c>
      <c r="B6574" s="2" t="s">
        <v>11</v>
      </c>
      <c r="C6574" s="2">
        <v>45</v>
      </c>
    </row>
    <row r="6575" spans="1:3" x14ac:dyDescent="0.25">
      <c r="A6575" s="3">
        <v>41705</v>
      </c>
      <c r="B6575" s="2" t="s">
        <v>27</v>
      </c>
      <c r="C6575" s="2">
        <v>46</v>
      </c>
    </row>
    <row r="6576" spans="1:3" x14ac:dyDescent="0.25">
      <c r="A6576" s="3">
        <v>41556</v>
      </c>
      <c r="B6576" s="2" t="s">
        <v>27</v>
      </c>
      <c r="C6576" s="2">
        <v>33</v>
      </c>
    </row>
    <row r="6577" spans="1:3" x14ac:dyDescent="0.25">
      <c r="A6577" s="3">
        <v>41876</v>
      </c>
      <c r="B6577" s="2" t="s">
        <v>31</v>
      </c>
      <c r="C6577" s="2">
        <v>42</v>
      </c>
    </row>
    <row r="6578" spans="1:3" x14ac:dyDescent="0.25">
      <c r="A6578" s="3">
        <v>41955</v>
      </c>
      <c r="B6578" s="2" t="s">
        <v>27</v>
      </c>
      <c r="C6578" s="2">
        <v>21</v>
      </c>
    </row>
    <row r="6579" spans="1:3" x14ac:dyDescent="0.25">
      <c r="A6579" s="3">
        <v>41672</v>
      </c>
      <c r="B6579" s="2" t="s">
        <v>43</v>
      </c>
      <c r="C6579" s="2">
        <v>30</v>
      </c>
    </row>
    <row r="6580" spans="1:3" x14ac:dyDescent="0.25">
      <c r="A6580" s="3">
        <v>41343</v>
      </c>
      <c r="B6580" s="2" t="s">
        <v>23</v>
      </c>
      <c r="C6580" s="2">
        <v>28</v>
      </c>
    </row>
    <row r="6581" spans="1:3" x14ac:dyDescent="0.25">
      <c r="A6581" s="3">
        <v>41321</v>
      </c>
      <c r="B6581" s="2" t="s">
        <v>16</v>
      </c>
      <c r="C6581" s="2">
        <v>16</v>
      </c>
    </row>
    <row r="6582" spans="1:3" x14ac:dyDescent="0.25">
      <c r="A6582" s="3">
        <v>41318</v>
      </c>
      <c r="B6582" s="2" t="s">
        <v>41</v>
      </c>
      <c r="C6582" s="2">
        <v>29</v>
      </c>
    </row>
    <row r="6583" spans="1:3" x14ac:dyDescent="0.25">
      <c r="A6583" s="3">
        <v>41532</v>
      </c>
      <c r="B6583" s="2" t="s">
        <v>4</v>
      </c>
      <c r="C6583" s="2">
        <v>41</v>
      </c>
    </row>
    <row r="6584" spans="1:3" x14ac:dyDescent="0.25">
      <c r="A6584" s="3">
        <v>41365</v>
      </c>
      <c r="B6584" s="2" t="s">
        <v>7</v>
      </c>
      <c r="C6584" s="2">
        <v>29</v>
      </c>
    </row>
    <row r="6585" spans="1:3" x14ac:dyDescent="0.25">
      <c r="A6585" s="3">
        <v>41666</v>
      </c>
      <c r="B6585" s="2" t="s">
        <v>48</v>
      </c>
      <c r="C6585" s="2">
        <v>7</v>
      </c>
    </row>
    <row r="6586" spans="1:3" x14ac:dyDescent="0.25">
      <c r="A6586" s="3">
        <v>41957</v>
      </c>
      <c r="B6586" s="2" t="s">
        <v>39</v>
      </c>
      <c r="C6586" s="2">
        <v>9</v>
      </c>
    </row>
    <row r="6587" spans="1:3" x14ac:dyDescent="0.25">
      <c r="A6587" s="3">
        <v>41776</v>
      </c>
      <c r="B6587" s="2" t="s">
        <v>16</v>
      </c>
      <c r="C6587" s="2">
        <v>27</v>
      </c>
    </row>
    <row r="6588" spans="1:3" x14ac:dyDescent="0.25">
      <c r="A6588" s="3">
        <v>41383</v>
      </c>
      <c r="B6588" s="2" t="s">
        <v>28</v>
      </c>
      <c r="C6588" s="2">
        <v>20</v>
      </c>
    </row>
    <row r="6589" spans="1:3" x14ac:dyDescent="0.25">
      <c r="A6589" s="3">
        <v>41890</v>
      </c>
      <c r="B6589" s="2" t="s">
        <v>44</v>
      </c>
      <c r="C6589" s="2">
        <v>17</v>
      </c>
    </row>
    <row r="6590" spans="1:3" x14ac:dyDescent="0.25">
      <c r="A6590" s="3">
        <v>41349</v>
      </c>
      <c r="B6590" s="2" t="s">
        <v>23</v>
      </c>
      <c r="C6590" s="2">
        <v>9</v>
      </c>
    </row>
    <row r="6591" spans="1:3" x14ac:dyDescent="0.25">
      <c r="A6591" s="3">
        <v>41886</v>
      </c>
      <c r="B6591" s="2" t="s">
        <v>50</v>
      </c>
      <c r="C6591" s="2">
        <v>19</v>
      </c>
    </row>
    <row r="6592" spans="1:3" x14ac:dyDescent="0.25">
      <c r="A6592" s="3">
        <v>41458</v>
      </c>
      <c r="B6592" s="2" t="s">
        <v>40</v>
      </c>
      <c r="C6592" s="2">
        <v>6</v>
      </c>
    </row>
    <row r="6593" spans="1:3" x14ac:dyDescent="0.25">
      <c r="A6593" s="3">
        <v>41980</v>
      </c>
      <c r="B6593" s="2" t="s">
        <v>49</v>
      </c>
      <c r="C6593" s="2">
        <v>13</v>
      </c>
    </row>
    <row r="6594" spans="1:3" x14ac:dyDescent="0.25">
      <c r="A6594" s="3">
        <v>41825</v>
      </c>
      <c r="B6594" s="2" t="s">
        <v>30</v>
      </c>
      <c r="C6594" s="2">
        <v>40</v>
      </c>
    </row>
    <row r="6595" spans="1:3" x14ac:dyDescent="0.25">
      <c r="A6595" s="3">
        <v>41945</v>
      </c>
      <c r="B6595" s="2" t="s">
        <v>51</v>
      </c>
      <c r="C6595" s="2">
        <v>17</v>
      </c>
    </row>
    <row r="6596" spans="1:3" x14ac:dyDescent="0.25">
      <c r="A6596" s="3">
        <v>41455</v>
      </c>
      <c r="B6596" s="2" t="s">
        <v>17</v>
      </c>
      <c r="C6596" s="2">
        <v>60</v>
      </c>
    </row>
    <row r="6597" spans="1:3" x14ac:dyDescent="0.25">
      <c r="A6597" s="3">
        <v>41333</v>
      </c>
      <c r="B6597" s="2" t="s">
        <v>2</v>
      </c>
      <c r="C6597" s="2">
        <v>29</v>
      </c>
    </row>
    <row r="6598" spans="1:3" x14ac:dyDescent="0.25">
      <c r="A6598" s="3">
        <v>41807</v>
      </c>
      <c r="B6598" s="2" t="s">
        <v>3</v>
      </c>
      <c r="C6598" s="2">
        <v>6</v>
      </c>
    </row>
    <row r="6599" spans="1:3" x14ac:dyDescent="0.25">
      <c r="A6599" s="3">
        <v>41859</v>
      </c>
      <c r="B6599" s="2" t="s">
        <v>38</v>
      </c>
      <c r="C6599" s="2">
        <v>24</v>
      </c>
    </row>
    <row r="6600" spans="1:3" x14ac:dyDescent="0.25">
      <c r="A6600" s="3">
        <v>41298</v>
      </c>
      <c r="B6600" s="2" t="s">
        <v>10</v>
      </c>
      <c r="C6600" s="2">
        <v>36</v>
      </c>
    </row>
    <row r="6601" spans="1:3" x14ac:dyDescent="0.25">
      <c r="A6601" s="3">
        <v>41875</v>
      </c>
      <c r="B6601" s="2" t="s">
        <v>2</v>
      </c>
      <c r="C6601" s="2">
        <v>27</v>
      </c>
    </row>
    <row r="6602" spans="1:3" x14ac:dyDescent="0.25">
      <c r="A6602" s="3">
        <v>41559</v>
      </c>
      <c r="B6602" s="2" t="s">
        <v>50</v>
      </c>
      <c r="C6602" s="2">
        <v>42</v>
      </c>
    </row>
    <row r="6603" spans="1:3" x14ac:dyDescent="0.25">
      <c r="A6603" s="3">
        <v>41739</v>
      </c>
      <c r="B6603" s="2" t="s">
        <v>26</v>
      </c>
      <c r="C6603" s="2">
        <v>41</v>
      </c>
    </row>
    <row r="6604" spans="1:3" x14ac:dyDescent="0.25">
      <c r="A6604" s="3">
        <v>41766</v>
      </c>
      <c r="B6604" s="2" t="s">
        <v>49</v>
      </c>
      <c r="C6604" s="2">
        <v>17</v>
      </c>
    </row>
    <row r="6605" spans="1:3" x14ac:dyDescent="0.25">
      <c r="A6605" s="3">
        <v>41291</v>
      </c>
      <c r="B6605" s="2" t="s">
        <v>47</v>
      </c>
      <c r="C6605" s="2">
        <v>34</v>
      </c>
    </row>
    <row r="6606" spans="1:3" x14ac:dyDescent="0.25">
      <c r="A6606" s="3">
        <v>41447</v>
      </c>
      <c r="B6606" s="2" t="s">
        <v>15</v>
      </c>
      <c r="C6606" s="2">
        <v>1</v>
      </c>
    </row>
    <row r="6607" spans="1:3" x14ac:dyDescent="0.25">
      <c r="A6607" s="3">
        <v>41517</v>
      </c>
      <c r="B6607" s="2" t="s">
        <v>24</v>
      </c>
      <c r="C6607" s="2">
        <v>36</v>
      </c>
    </row>
    <row r="6608" spans="1:3" x14ac:dyDescent="0.25">
      <c r="A6608" s="3">
        <v>41336</v>
      </c>
      <c r="B6608" s="2" t="s">
        <v>48</v>
      </c>
      <c r="C6608" s="2">
        <v>59</v>
      </c>
    </row>
    <row r="6609" spans="1:3" x14ac:dyDescent="0.25">
      <c r="A6609" s="3">
        <v>41426</v>
      </c>
      <c r="B6609" s="2" t="s">
        <v>10</v>
      </c>
      <c r="C6609" s="2">
        <v>26</v>
      </c>
    </row>
    <row r="6610" spans="1:3" x14ac:dyDescent="0.25">
      <c r="A6610" s="3">
        <v>41651</v>
      </c>
      <c r="B6610" s="2" t="s">
        <v>22</v>
      </c>
      <c r="C6610" s="2">
        <v>3</v>
      </c>
    </row>
    <row r="6611" spans="1:3" x14ac:dyDescent="0.25">
      <c r="A6611" s="3">
        <v>41710</v>
      </c>
      <c r="B6611" s="2" t="s">
        <v>28</v>
      </c>
      <c r="C6611" s="2">
        <v>29</v>
      </c>
    </row>
    <row r="6612" spans="1:3" x14ac:dyDescent="0.25">
      <c r="A6612" s="3">
        <v>41752</v>
      </c>
      <c r="B6612" s="2" t="s">
        <v>11</v>
      </c>
      <c r="C6612" s="2">
        <v>32</v>
      </c>
    </row>
    <row r="6613" spans="1:3" x14ac:dyDescent="0.25">
      <c r="A6613" s="3">
        <v>41755</v>
      </c>
      <c r="B6613" s="2" t="s">
        <v>38</v>
      </c>
      <c r="C6613" s="2">
        <v>45</v>
      </c>
    </row>
    <row r="6614" spans="1:3" x14ac:dyDescent="0.25">
      <c r="A6614" s="3">
        <v>41799</v>
      </c>
      <c r="B6614" s="2" t="s">
        <v>41</v>
      </c>
      <c r="C6614" s="2">
        <v>23</v>
      </c>
    </row>
    <row r="6615" spans="1:3" x14ac:dyDescent="0.25">
      <c r="A6615" s="3">
        <v>41390</v>
      </c>
      <c r="B6615" s="2" t="s">
        <v>26</v>
      </c>
      <c r="C6615" s="2">
        <v>11</v>
      </c>
    </row>
    <row r="6616" spans="1:3" x14ac:dyDescent="0.25">
      <c r="A6616" s="3">
        <v>41614</v>
      </c>
      <c r="B6616" s="2" t="s">
        <v>9</v>
      </c>
      <c r="C6616" s="2">
        <v>25</v>
      </c>
    </row>
    <row r="6617" spans="1:3" x14ac:dyDescent="0.25">
      <c r="A6617" s="3">
        <v>41544</v>
      </c>
      <c r="B6617" s="2" t="s">
        <v>19</v>
      </c>
      <c r="C6617" s="2">
        <v>45</v>
      </c>
    </row>
    <row r="6618" spans="1:3" x14ac:dyDescent="0.25">
      <c r="A6618" s="3">
        <v>41311</v>
      </c>
      <c r="B6618" s="2" t="s">
        <v>34</v>
      </c>
      <c r="C6618" s="2">
        <v>18</v>
      </c>
    </row>
    <row r="6619" spans="1:3" x14ac:dyDescent="0.25">
      <c r="A6619" s="3">
        <v>41521</v>
      </c>
      <c r="B6619" s="2" t="s">
        <v>3</v>
      </c>
      <c r="C6619" s="2">
        <v>53</v>
      </c>
    </row>
    <row r="6620" spans="1:3" x14ac:dyDescent="0.25">
      <c r="A6620" s="3">
        <v>41292</v>
      </c>
      <c r="B6620" s="2" t="s">
        <v>3</v>
      </c>
      <c r="C6620" s="2">
        <v>28</v>
      </c>
    </row>
    <row r="6621" spans="1:3" x14ac:dyDescent="0.25">
      <c r="A6621" s="3">
        <v>41425</v>
      </c>
      <c r="B6621" s="2" t="s">
        <v>31</v>
      </c>
      <c r="C6621" s="2">
        <v>32</v>
      </c>
    </row>
    <row r="6622" spans="1:3" x14ac:dyDescent="0.25">
      <c r="A6622" s="3">
        <v>41806</v>
      </c>
      <c r="B6622" s="2" t="s">
        <v>12</v>
      </c>
      <c r="C6622" s="2">
        <v>19</v>
      </c>
    </row>
    <row r="6623" spans="1:3" x14ac:dyDescent="0.25">
      <c r="A6623" s="3">
        <v>41379</v>
      </c>
      <c r="B6623" s="2" t="s">
        <v>44</v>
      </c>
      <c r="C6623" s="2">
        <v>19</v>
      </c>
    </row>
    <row r="6624" spans="1:3" x14ac:dyDescent="0.25">
      <c r="A6624" s="3">
        <v>41819</v>
      </c>
      <c r="B6624" s="2" t="s">
        <v>8</v>
      </c>
      <c r="C6624" s="2">
        <v>41</v>
      </c>
    </row>
    <row r="6625" spans="1:3" x14ac:dyDescent="0.25">
      <c r="A6625" s="3">
        <v>41399</v>
      </c>
      <c r="B6625" s="2" t="s">
        <v>3</v>
      </c>
      <c r="C6625" s="2">
        <v>29</v>
      </c>
    </row>
    <row r="6626" spans="1:3" x14ac:dyDescent="0.25">
      <c r="A6626" s="3">
        <v>41957</v>
      </c>
      <c r="B6626" s="2" t="s">
        <v>28</v>
      </c>
      <c r="C6626" s="2">
        <v>3</v>
      </c>
    </row>
    <row r="6627" spans="1:3" x14ac:dyDescent="0.25">
      <c r="A6627" s="3">
        <v>41355</v>
      </c>
      <c r="B6627" s="2" t="s">
        <v>6</v>
      </c>
      <c r="C6627" s="2">
        <v>25</v>
      </c>
    </row>
    <row r="6628" spans="1:3" x14ac:dyDescent="0.25">
      <c r="A6628" s="3">
        <v>41718</v>
      </c>
      <c r="B6628" s="2" t="s">
        <v>49</v>
      </c>
      <c r="C6628" s="2">
        <v>14</v>
      </c>
    </row>
    <row r="6629" spans="1:3" x14ac:dyDescent="0.25">
      <c r="A6629" s="3">
        <v>41696</v>
      </c>
      <c r="B6629" s="2" t="s">
        <v>37</v>
      </c>
      <c r="C6629" s="2">
        <v>40</v>
      </c>
    </row>
    <row r="6630" spans="1:3" x14ac:dyDescent="0.25">
      <c r="A6630" s="3">
        <v>41588</v>
      </c>
      <c r="B6630" s="2" t="s">
        <v>36</v>
      </c>
      <c r="C6630" s="2">
        <v>6</v>
      </c>
    </row>
    <row r="6631" spans="1:3" x14ac:dyDescent="0.25">
      <c r="A6631" s="3">
        <v>41343</v>
      </c>
      <c r="B6631" s="2" t="s">
        <v>14</v>
      </c>
      <c r="C6631" s="2">
        <v>40</v>
      </c>
    </row>
    <row r="6632" spans="1:3" x14ac:dyDescent="0.25">
      <c r="A6632" s="3">
        <v>41467</v>
      </c>
      <c r="B6632" s="2" t="s">
        <v>21</v>
      </c>
      <c r="C6632" s="2">
        <v>32</v>
      </c>
    </row>
    <row r="6633" spans="1:3" x14ac:dyDescent="0.25">
      <c r="A6633" s="3">
        <v>41913</v>
      </c>
      <c r="B6633" s="2" t="s">
        <v>39</v>
      </c>
      <c r="C6633" s="2">
        <v>31</v>
      </c>
    </row>
    <row r="6634" spans="1:3" x14ac:dyDescent="0.25">
      <c r="A6634" s="3">
        <v>41545</v>
      </c>
      <c r="B6634" s="2" t="s">
        <v>12</v>
      </c>
      <c r="C6634" s="2">
        <v>39</v>
      </c>
    </row>
    <row r="6635" spans="1:3" x14ac:dyDescent="0.25">
      <c r="A6635" s="3">
        <v>41979</v>
      </c>
      <c r="B6635" s="2" t="s">
        <v>7</v>
      </c>
      <c r="C6635" s="2">
        <v>27</v>
      </c>
    </row>
    <row r="6636" spans="1:3" x14ac:dyDescent="0.25">
      <c r="A6636" s="3">
        <v>41377</v>
      </c>
      <c r="B6636" s="2" t="s">
        <v>22</v>
      </c>
      <c r="C6636" s="2">
        <v>22</v>
      </c>
    </row>
    <row r="6637" spans="1:3" x14ac:dyDescent="0.25">
      <c r="A6637" s="3">
        <v>42003</v>
      </c>
      <c r="B6637" s="2" t="s">
        <v>37</v>
      </c>
      <c r="C6637" s="2">
        <v>37</v>
      </c>
    </row>
    <row r="6638" spans="1:3" x14ac:dyDescent="0.25">
      <c r="A6638" s="3">
        <v>41649</v>
      </c>
      <c r="B6638" s="2" t="s">
        <v>16</v>
      </c>
      <c r="C6638" s="2">
        <v>5</v>
      </c>
    </row>
    <row r="6639" spans="1:3" x14ac:dyDescent="0.25">
      <c r="A6639" s="3">
        <v>41622</v>
      </c>
      <c r="B6639" s="2" t="s">
        <v>51</v>
      </c>
      <c r="C6639" s="2">
        <v>33</v>
      </c>
    </row>
    <row r="6640" spans="1:3" x14ac:dyDescent="0.25">
      <c r="A6640" s="3">
        <v>41959</v>
      </c>
      <c r="B6640" s="2" t="s">
        <v>31</v>
      </c>
      <c r="C6640" s="2">
        <v>30</v>
      </c>
    </row>
    <row r="6641" spans="1:3" x14ac:dyDescent="0.25">
      <c r="A6641" s="3">
        <v>41718</v>
      </c>
      <c r="B6641" s="2" t="s">
        <v>16</v>
      </c>
      <c r="C6641" s="2">
        <v>27</v>
      </c>
    </row>
    <row r="6642" spans="1:3" x14ac:dyDescent="0.25">
      <c r="A6642" s="3">
        <v>41615</v>
      </c>
      <c r="B6642" s="2" t="s">
        <v>37</v>
      </c>
      <c r="C6642" s="2">
        <v>16</v>
      </c>
    </row>
    <row r="6643" spans="1:3" x14ac:dyDescent="0.25">
      <c r="A6643" s="3">
        <v>41614</v>
      </c>
      <c r="B6643" s="2" t="s">
        <v>49</v>
      </c>
      <c r="C6643" s="2">
        <v>22</v>
      </c>
    </row>
    <row r="6644" spans="1:3" x14ac:dyDescent="0.25">
      <c r="A6644" s="3">
        <v>41887</v>
      </c>
      <c r="B6644" s="2" t="s">
        <v>43</v>
      </c>
      <c r="C6644" s="2">
        <v>28</v>
      </c>
    </row>
    <row r="6645" spans="1:3" x14ac:dyDescent="0.25">
      <c r="A6645" s="3">
        <v>41909</v>
      </c>
      <c r="B6645" s="2" t="s">
        <v>7</v>
      </c>
      <c r="C6645" s="2">
        <v>44</v>
      </c>
    </row>
    <row r="6646" spans="1:3" x14ac:dyDescent="0.25">
      <c r="A6646" s="3">
        <v>41290</v>
      </c>
      <c r="B6646" s="2" t="s">
        <v>5</v>
      </c>
      <c r="C6646" s="2">
        <v>22</v>
      </c>
    </row>
    <row r="6647" spans="1:3" x14ac:dyDescent="0.25">
      <c r="A6647" s="3">
        <v>41543</v>
      </c>
      <c r="B6647" s="2" t="s">
        <v>10</v>
      </c>
      <c r="C6647" s="2">
        <v>19</v>
      </c>
    </row>
    <row r="6648" spans="1:3" x14ac:dyDescent="0.25">
      <c r="A6648" s="3">
        <v>41428</v>
      </c>
      <c r="B6648" s="2" t="s">
        <v>4</v>
      </c>
      <c r="C6648" s="2">
        <v>5</v>
      </c>
    </row>
    <row r="6649" spans="1:3" x14ac:dyDescent="0.25">
      <c r="A6649" s="3">
        <v>41742</v>
      </c>
      <c r="B6649" s="2" t="s">
        <v>29</v>
      </c>
      <c r="C6649" s="2">
        <v>13</v>
      </c>
    </row>
    <row r="6650" spans="1:3" x14ac:dyDescent="0.25">
      <c r="A6650" s="3">
        <v>41882</v>
      </c>
      <c r="B6650" s="2" t="s">
        <v>41</v>
      </c>
      <c r="C6650" s="2">
        <v>31</v>
      </c>
    </row>
    <row r="6651" spans="1:3" x14ac:dyDescent="0.25">
      <c r="A6651" s="3">
        <v>41558</v>
      </c>
      <c r="B6651" s="2" t="s">
        <v>44</v>
      </c>
      <c r="C6651" s="2">
        <v>2</v>
      </c>
    </row>
    <row r="6652" spans="1:3" x14ac:dyDescent="0.25">
      <c r="A6652" s="3">
        <v>41959</v>
      </c>
      <c r="B6652" s="2" t="s">
        <v>4</v>
      </c>
      <c r="C6652" s="2">
        <v>21</v>
      </c>
    </row>
    <row r="6653" spans="1:3" x14ac:dyDescent="0.25">
      <c r="A6653" s="3">
        <v>41873</v>
      </c>
      <c r="B6653" s="2" t="s">
        <v>46</v>
      </c>
      <c r="C6653" s="2">
        <v>28</v>
      </c>
    </row>
    <row r="6654" spans="1:3" x14ac:dyDescent="0.25">
      <c r="A6654" s="3">
        <v>41509</v>
      </c>
      <c r="B6654" s="2" t="s">
        <v>16</v>
      </c>
      <c r="C6654" s="2">
        <v>43</v>
      </c>
    </row>
    <row r="6655" spans="1:3" x14ac:dyDescent="0.25">
      <c r="A6655" s="3">
        <v>41850</v>
      </c>
      <c r="B6655" s="2" t="s">
        <v>6</v>
      </c>
      <c r="C6655" s="2">
        <v>52</v>
      </c>
    </row>
    <row r="6656" spans="1:3" x14ac:dyDescent="0.25">
      <c r="A6656" s="3">
        <v>41596</v>
      </c>
      <c r="B6656" s="2" t="s">
        <v>34</v>
      </c>
      <c r="C6656" s="2">
        <v>46</v>
      </c>
    </row>
    <row r="6657" spans="1:3" x14ac:dyDescent="0.25">
      <c r="A6657" s="3">
        <v>41548</v>
      </c>
      <c r="B6657" s="2" t="s">
        <v>16</v>
      </c>
      <c r="C6657" s="2">
        <v>19</v>
      </c>
    </row>
    <row r="6658" spans="1:3" x14ac:dyDescent="0.25">
      <c r="A6658" s="3">
        <v>41321</v>
      </c>
      <c r="B6658" s="2" t="s">
        <v>29</v>
      </c>
      <c r="C6658" s="2">
        <v>21</v>
      </c>
    </row>
    <row r="6659" spans="1:3" x14ac:dyDescent="0.25">
      <c r="A6659" s="3">
        <v>41490</v>
      </c>
      <c r="B6659" s="2" t="s">
        <v>41</v>
      </c>
      <c r="C6659" s="2">
        <v>2</v>
      </c>
    </row>
    <row r="6660" spans="1:3" x14ac:dyDescent="0.25">
      <c r="A6660" s="3">
        <v>41531</v>
      </c>
      <c r="B6660" s="2" t="s">
        <v>32</v>
      </c>
      <c r="C6660" s="2">
        <v>25</v>
      </c>
    </row>
    <row r="6661" spans="1:3" x14ac:dyDescent="0.25">
      <c r="A6661" s="3">
        <v>41854</v>
      </c>
      <c r="B6661" s="2" t="s">
        <v>12</v>
      </c>
      <c r="C6661" s="2">
        <v>30</v>
      </c>
    </row>
    <row r="6662" spans="1:3" x14ac:dyDescent="0.25">
      <c r="A6662" s="3">
        <v>41278</v>
      </c>
      <c r="B6662" s="2" t="s">
        <v>34</v>
      </c>
      <c r="C6662" s="2">
        <v>1</v>
      </c>
    </row>
    <row r="6663" spans="1:3" x14ac:dyDescent="0.25">
      <c r="A6663" s="3">
        <v>41680</v>
      </c>
      <c r="B6663" s="2" t="s">
        <v>21</v>
      </c>
      <c r="C6663" s="2">
        <v>15</v>
      </c>
    </row>
    <row r="6664" spans="1:3" x14ac:dyDescent="0.25">
      <c r="A6664" s="3">
        <v>41735</v>
      </c>
      <c r="B6664" s="2" t="s">
        <v>31</v>
      </c>
      <c r="C6664" s="2">
        <v>20</v>
      </c>
    </row>
    <row r="6665" spans="1:3" x14ac:dyDescent="0.25">
      <c r="A6665" s="3">
        <v>41311</v>
      </c>
      <c r="B6665" s="2" t="s">
        <v>40</v>
      </c>
      <c r="C6665" s="2">
        <v>23</v>
      </c>
    </row>
    <row r="6666" spans="1:3" x14ac:dyDescent="0.25">
      <c r="A6666" s="3">
        <v>41727</v>
      </c>
      <c r="B6666" s="2" t="s">
        <v>44</v>
      </c>
      <c r="C6666" s="2">
        <v>41</v>
      </c>
    </row>
    <row r="6667" spans="1:3" x14ac:dyDescent="0.25">
      <c r="A6667" s="3">
        <v>41655</v>
      </c>
      <c r="B6667" s="2" t="s">
        <v>33</v>
      </c>
      <c r="C6667" s="2">
        <v>5</v>
      </c>
    </row>
    <row r="6668" spans="1:3" x14ac:dyDescent="0.25">
      <c r="A6668" s="3">
        <v>41888</v>
      </c>
      <c r="B6668" s="2" t="s">
        <v>35</v>
      </c>
      <c r="C6668" s="2">
        <v>34</v>
      </c>
    </row>
    <row r="6669" spans="1:3" x14ac:dyDescent="0.25">
      <c r="A6669" s="3">
        <v>41667</v>
      </c>
      <c r="B6669" s="2" t="s">
        <v>11</v>
      </c>
      <c r="C6669" s="2">
        <v>32</v>
      </c>
    </row>
    <row r="6670" spans="1:3" x14ac:dyDescent="0.25">
      <c r="A6670" s="3">
        <v>41301</v>
      </c>
      <c r="B6670" s="2" t="s">
        <v>2</v>
      </c>
      <c r="C6670" s="2">
        <v>28</v>
      </c>
    </row>
    <row r="6671" spans="1:3" x14ac:dyDescent="0.25">
      <c r="A6671" s="3">
        <v>41774</v>
      </c>
      <c r="B6671" s="2" t="s">
        <v>51</v>
      </c>
      <c r="C6671" s="2">
        <v>21</v>
      </c>
    </row>
    <row r="6672" spans="1:3" x14ac:dyDescent="0.25">
      <c r="A6672" s="3">
        <v>41764</v>
      </c>
      <c r="B6672" s="2" t="s">
        <v>13</v>
      </c>
      <c r="C6672" s="2">
        <v>29</v>
      </c>
    </row>
    <row r="6673" spans="1:3" x14ac:dyDescent="0.25">
      <c r="A6673" s="3">
        <v>41938</v>
      </c>
      <c r="B6673" s="2" t="s">
        <v>27</v>
      </c>
      <c r="C6673" s="2">
        <v>25</v>
      </c>
    </row>
    <row r="6674" spans="1:3" x14ac:dyDescent="0.25">
      <c r="A6674" s="3">
        <v>41695</v>
      </c>
      <c r="B6674" s="2" t="s">
        <v>21</v>
      </c>
      <c r="C6674" s="2">
        <v>0</v>
      </c>
    </row>
    <row r="6675" spans="1:3" x14ac:dyDescent="0.25">
      <c r="A6675" s="3">
        <v>41858</v>
      </c>
      <c r="B6675" s="2" t="s">
        <v>7</v>
      </c>
      <c r="C6675" s="2">
        <v>16</v>
      </c>
    </row>
    <row r="6676" spans="1:3" x14ac:dyDescent="0.25">
      <c r="A6676" s="3">
        <v>41876</v>
      </c>
      <c r="B6676" s="2" t="s">
        <v>43</v>
      </c>
      <c r="C6676" s="2">
        <v>23</v>
      </c>
    </row>
    <row r="6677" spans="1:3" x14ac:dyDescent="0.25">
      <c r="A6677" s="3">
        <v>41618</v>
      </c>
      <c r="B6677" s="2" t="s">
        <v>38</v>
      </c>
      <c r="C6677" s="2">
        <v>18</v>
      </c>
    </row>
    <row r="6678" spans="1:3" x14ac:dyDescent="0.25">
      <c r="A6678" s="3">
        <v>41307</v>
      </c>
      <c r="B6678" s="2" t="s">
        <v>28</v>
      </c>
      <c r="C6678" s="2">
        <v>28</v>
      </c>
    </row>
    <row r="6679" spans="1:3" x14ac:dyDescent="0.25">
      <c r="A6679" s="3">
        <v>41651</v>
      </c>
      <c r="B6679" s="2" t="s">
        <v>47</v>
      </c>
      <c r="C6679" s="2">
        <v>44</v>
      </c>
    </row>
    <row r="6680" spans="1:3" x14ac:dyDescent="0.25">
      <c r="A6680" s="3">
        <v>41933</v>
      </c>
      <c r="B6680" s="2" t="s">
        <v>35</v>
      </c>
      <c r="C6680" s="2">
        <v>15</v>
      </c>
    </row>
    <row r="6681" spans="1:3" x14ac:dyDescent="0.25">
      <c r="A6681" s="3">
        <v>41886</v>
      </c>
      <c r="B6681" s="2" t="s">
        <v>10</v>
      </c>
      <c r="C6681" s="2">
        <v>22</v>
      </c>
    </row>
    <row r="6682" spans="1:3" x14ac:dyDescent="0.25">
      <c r="A6682" s="3">
        <v>41332</v>
      </c>
      <c r="B6682" s="2" t="s">
        <v>9</v>
      </c>
      <c r="C6682" s="2">
        <v>13</v>
      </c>
    </row>
    <row r="6683" spans="1:3" x14ac:dyDescent="0.25">
      <c r="A6683" s="3">
        <v>41856</v>
      </c>
      <c r="B6683" s="2" t="s">
        <v>12</v>
      </c>
      <c r="C6683" s="2">
        <v>35</v>
      </c>
    </row>
    <row r="6684" spans="1:3" x14ac:dyDescent="0.25">
      <c r="A6684" s="3">
        <v>41903</v>
      </c>
      <c r="B6684" s="2" t="s">
        <v>28</v>
      </c>
      <c r="C6684" s="2">
        <v>35</v>
      </c>
    </row>
    <row r="6685" spans="1:3" x14ac:dyDescent="0.25">
      <c r="A6685" s="3">
        <v>41350</v>
      </c>
      <c r="B6685" s="2" t="s">
        <v>51</v>
      </c>
      <c r="C6685" s="2">
        <v>4</v>
      </c>
    </row>
    <row r="6686" spans="1:3" x14ac:dyDescent="0.25">
      <c r="A6686" s="3">
        <v>41380</v>
      </c>
      <c r="B6686" s="2" t="s">
        <v>13</v>
      </c>
      <c r="C6686" s="2">
        <v>32</v>
      </c>
    </row>
    <row r="6687" spans="1:3" x14ac:dyDescent="0.25">
      <c r="A6687" s="3">
        <v>41884</v>
      </c>
      <c r="B6687" s="2" t="s">
        <v>38</v>
      </c>
      <c r="C6687" s="2">
        <v>18</v>
      </c>
    </row>
    <row r="6688" spans="1:3" x14ac:dyDescent="0.25">
      <c r="A6688" s="3">
        <v>41704</v>
      </c>
      <c r="B6688" s="2" t="s">
        <v>31</v>
      </c>
      <c r="C6688" s="2">
        <v>29</v>
      </c>
    </row>
    <row r="6689" spans="1:3" x14ac:dyDescent="0.25">
      <c r="A6689" s="3">
        <v>41700</v>
      </c>
      <c r="B6689" s="2" t="s">
        <v>28</v>
      </c>
      <c r="C6689" s="2">
        <v>40</v>
      </c>
    </row>
    <row r="6690" spans="1:3" x14ac:dyDescent="0.25">
      <c r="A6690" s="3">
        <v>41580</v>
      </c>
      <c r="B6690" s="2" t="s">
        <v>46</v>
      </c>
      <c r="C6690" s="2">
        <v>41</v>
      </c>
    </row>
    <row r="6691" spans="1:3" x14ac:dyDescent="0.25">
      <c r="A6691" s="3">
        <v>41856</v>
      </c>
      <c r="B6691" s="2" t="s">
        <v>2</v>
      </c>
      <c r="C6691" s="2">
        <v>48</v>
      </c>
    </row>
    <row r="6692" spans="1:3" x14ac:dyDescent="0.25">
      <c r="A6692" s="3">
        <v>41731</v>
      </c>
      <c r="B6692" s="2" t="s">
        <v>49</v>
      </c>
      <c r="C6692" s="2">
        <v>10</v>
      </c>
    </row>
    <row r="6693" spans="1:3" x14ac:dyDescent="0.25">
      <c r="A6693" s="3">
        <v>41569</v>
      </c>
      <c r="B6693" s="2" t="s">
        <v>46</v>
      </c>
      <c r="C6693" s="2">
        <v>23</v>
      </c>
    </row>
    <row r="6694" spans="1:3" x14ac:dyDescent="0.25">
      <c r="A6694" s="3">
        <v>41938</v>
      </c>
      <c r="B6694" s="2" t="s">
        <v>10</v>
      </c>
      <c r="C6694" s="2">
        <v>26</v>
      </c>
    </row>
    <row r="6695" spans="1:3" x14ac:dyDescent="0.25">
      <c r="A6695" s="3">
        <v>41367</v>
      </c>
      <c r="B6695" s="2" t="s">
        <v>18</v>
      </c>
      <c r="C6695" s="2">
        <v>28</v>
      </c>
    </row>
    <row r="6696" spans="1:3" x14ac:dyDescent="0.25">
      <c r="A6696" s="3">
        <v>41935</v>
      </c>
      <c r="B6696" s="2" t="s">
        <v>30</v>
      </c>
      <c r="C6696" s="2">
        <v>44</v>
      </c>
    </row>
    <row r="6697" spans="1:3" x14ac:dyDescent="0.25">
      <c r="A6697" s="3">
        <v>41781</v>
      </c>
      <c r="B6697" s="2" t="s">
        <v>5</v>
      </c>
      <c r="C6697" s="2">
        <v>18</v>
      </c>
    </row>
    <row r="6698" spans="1:3" x14ac:dyDescent="0.25">
      <c r="A6698" s="3">
        <v>41683</v>
      </c>
      <c r="B6698" s="2" t="s">
        <v>10</v>
      </c>
      <c r="C6698" s="2">
        <v>31</v>
      </c>
    </row>
    <row r="6699" spans="1:3" x14ac:dyDescent="0.25">
      <c r="A6699" s="3">
        <v>41984</v>
      </c>
      <c r="B6699" s="2" t="s">
        <v>5</v>
      </c>
      <c r="C6699" s="2">
        <v>22</v>
      </c>
    </row>
    <row r="6700" spans="1:3" x14ac:dyDescent="0.25">
      <c r="A6700" s="3">
        <v>41984</v>
      </c>
      <c r="B6700" s="2" t="s">
        <v>36</v>
      </c>
      <c r="C6700" s="2">
        <v>32</v>
      </c>
    </row>
    <row r="6701" spans="1:3" x14ac:dyDescent="0.25">
      <c r="A6701" s="3">
        <v>41678</v>
      </c>
      <c r="B6701" s="2" t="s">
        <v>19</v>
      </c>
      <c r="C6701" s="2">
        <v>30</v>
      </c>
    </row>
    <row r="6702" spans="1:3" x14ac:dyDescent="0.25">
      <c r="A6702" s="3">
        <v>41375</v>
      </c>
      <c r="B6702" s="2" t="s">
        <v>46</v>
      </c>
      <c r="C6702" s="2">
        <v>36</v>
      </c>
    </row>
    <row r="6703" spans="1:3" x14ac:dyDescent="0.25">
      <c r="A6703" s="3">
        <v>41344</v>
      </c>
      <c r="B6703" s="2" t="s">
        <v>45</v>
      </c>
      <c r="C6703" s="2">
        <v>24</v>
      </c>
    </row>
    <row r="6704" spans="1:3" x14ac:dyDescent="0.25">
      <c r="A6704" s="3">
        <v>41921</v>
      </c>
      <c r="B6704" s="2" t="s">
        <v>47</v>
      </c>
      <c r="C6704" s="2">
        <v>31</v>
      </c>
    </row>
    <row r="6705" spans="1:3" x14ac:dyDescent="0.25">
      <c r="A6705" s="3">
        <v>41853</v>
      </c>
      <c r="B6705" s="2" t="s">
        <v>47</v>
      </c>
      <c r="C6705" s="2">
        <v>29</v>
      </c>
    </row>
    <row r="6706" spans="1:3" x14ac:dyDescent="0.25">
      <c r="A6706" s="3">
        <v>41359</v>
      </c>
      <c r="B6706" s="2" t="s">
        <v>47</v>
      </c>
      <c r="C6706" s="2">
        <v>28</v>
      </c>
    </row>
    <row r="6707" spans="1:3" x14ac:dyDescent="0.25">
      <c r="A6707" s="3">
        <v>41720</v>
      </c>
      <c r="B6707" s="2" t="s">
        <v>2</v>
      </c>
      <c r="C6707" s="2">
        <v>40</v>
      </c>
    </row>
    <row r="6708" spans="1:3" x14ac:dyDescent="0.25">
      <c r="A6708" s="3">
        <v>41687</v>
      </c>
      <c r="B6708" s="2" t="s">
        <v>30</v>
      </c>
      <c r="C6708" s="2">
        <v>33</v>
      </c>
    </row>
    <row r="6709" spans="1:3" x14ac:dyDescent="0.25">
      <c r="A6709" s="3">
        <v>41644</v>
      </c>
      <c r="B6709" s="2" t="s">
        <v>23</v>
      </c>
      <c r="C6709" s="2">
        <v>32</v>
      </c>
    </row>
    <row r="6710" spans="1:3" x14ac:dyDescent="0.25">
      <c r="A6710" s="3">
        <v>41669</v>
      </c>
      <c r="B6710" s="2" t="s">
        <v>20</v>
      </c>
      <c r="C6710" s="2">
        <v>3</v>
      </c>
    </row>
    <row r="6711" spans="1:3" x14ac:dyDescent="0.25">
      <c r="A6711" s="3">
        <v>41504</v>
      </c>
      <c r="B6711" s="2" t="s">
        <v>34</v>
      </c>
      <c r="C6711" s="2">
        <v>24</v>
      </c>
    </row>
    <row r="6712" spans="1:3" x14ac:dyDescent="0.25">
      <c r="A6712" s="3">
        <v>41708</v>
      </c>
      <c r="B6712" s="2" t="s">
        <v>46</v>
      </c>
      <c r="C6712" s="2">
        <v>9</v>
      </c>
    </row>
    <row r="6713" spans="1:3" x14ac:dyDescent="0.25">
      <c r="A6713" s="3">
        <v>41421</v>
      </c>
      <c r="B6713" s="2" t="s">
        <v>24</v>
      </c>
      <c r="C6713" s="2">
        <v>31</v>
      </c>
    </row>
    <row r="6714" spans="1:3" x14ac:dyDescent="0.25">
      <c r="A6714" s="3">
        <v>41306</v>
      </c>
      <c r="B6714" s="2" t="s">
        <v>45</v>
      </c>
      <c r="C6714" s="2">
        <v>46</v>
      </c>
    </row>
    <row r="6715" spans="1:3" x14ac:dyDescent="0.25">
      <c r="A6715" s="3">
        <v>41839</v>
      </c>
      <c r="B6715" s="2" t="s">
        <v>15</v>
      </c>
      <c r="C6715" s="2">
        <v>29</v>
      </c>
    </row>
    <row r="6716" spans="1:3" x14ac:dyDescent="0.25">
      <c r="A6716" s="3">
        <v>41705</v>
      </c>
      <c r="B6716" s="2" t="s">
        <v>35</v>
      </c>
      <c r="C6716" s="2">
        <v>13</v>
      </c>
    </row>
    <row r="6717" spans="1:3" x14ac:dyDescent="0.25">
      <c r="A6717" s="3">
        <v>41829</v>
      </c>
      <c r="B6717" s="2" t="s">
        <v>12</v>
      </c>
      <c r="C6717" s="2">
        <v>12</v>
      </c>
    </row>
    <row r="6718" spans="1:3" x14ac:dyDescent="0.25">
      <c r="A6718" s="3">
        <v>41455</v>
      </c>
      <c r="B6718" s="2" t="s">
        <v>47</v>
      </c>
      <c r="C6718" s="2">
        <v>36</v>
      </c>
    </row>
    <row r="6719" spans="1:3" x14ac:dyDescent="0.25">
      <c r="A6719" s="3">
        <v>41747</v>
      </c>
      <c r="B6719" s="2" t="s">
        <v>43</v>
      </c>
      <c r="C6719" s="2">
        <v>37</v>
      </c>
    </row>
    <row r="6720" spans="1:3" x14ac:dyDescent="0.25">
      <c r="A6720" s="3">
        <v>41637</v>
      </c>
      <c r="B6720" s="2" t="s">
        <v>4</v>
      </c>
      <c r="C6720" s="2">
        <v>42</v>
      </c>
    </row>
    <row r="6721" spans="1:3" x14ac:dyDescent="0.25">
      <c r="A6721" s="3">
        <v>41527</v>
      </c>
      <c r="B6721" s="2" t="s">
        <v>21</v>
      </c>
      <c r="C6721" s="2">
        <v>14</v>
      </c>
    </row>
    <row r="6722" spans="1:3" x14ac:dyDescent="0.25">
      <c r="A6722" s="3">
        <v>41698</v>
      </c>
      <c r="B6722" s="2" t="s">
        <v>40</v>
      </c>
      <c r="C6722" s="2">
        <v>39</v>
      </c>
    </row>
    <row r="6723" spans="1:3" x14ac:dyDescent="0.25">
      <c r="A6723" s="3">
        <v>41292</v>
      </c>
      <c r="B6723" s="2" t="s">
        <v>42</v>
      </c>
      <c r="C6723" s="2">
        <v>48</v>
      </c>
    </row>
    <row r="6724" spans="1:3" x14ac:dyDescent="0.25">
      <c r="A6724" s="3">
        <v>41709</v>
      </c>
      <c r="B6724" s="2" t="s">
        <v>7</v>
      </c>
      <c r="C6724" s="2">
        <v>15</v>
      </c>
    </row>
    <row r="6725" spans="1:3" x14ac:dyDescent="0.25">
      <c r="A6725" s="3">
        <v>41757</v>
      </c>
      <c r="B6725" s="2" t="s">
        <v>26</v>
      </c>
      <c r="C6725" s="2">
        <v>28</v>
      </c>
    </row>
    <row r="6726" spans="1:3" x14ac:dyDescent="0.25">
      <c r="A6726" s="3">
        <v>41341</v>
      </c>
      <c r="B6726" s="2" t="s">
        <v>46</v>
      </c>
      <c r="C6726" s="2">
        <v>28</v>
      </c>
    </row>
    <row r="6727" spans="1:3" x14ac:dyDescent="0.25">
      <c r="A6727" s="3">
        <v>41515</v>
      </c>
      <c r="B6727" s="2" t="s">
        <v>18</v>
      </c>
      <c r="C6727" s="2">
        <v>43</v>
      </c>
    </row>
    <row r="6728" spans="1:3" x14ac:dyDescent="0.25">
      <c r="A6728" s="3">
        <v>41525</v>
      </c>
      <c r="B6728" s="2" t="s">
        <v>19</v>
      </c>
      <c r="C6728" s="2">
        <v>18</v>
      </c>
    </row>
    <row r="6729" spans="1:3" x14ac:dyDescent="0.25">
      <c r="A6729" s="3">
        <v>41663</v>
      </c>
      <c r="B6729" s="2" t="s">
        <v>9</v>
      </c>
      <c r="C6729" s="2">
        <v>53</v>
      </c>
    </row>
    <row r="6730" spans="1:3" x14ac:dyDescent="0.25">
      <c r="A6730" s="3">
        <v>41340</v>
      </c>
      <c r="B6730" s="2" t="s">
        <v>20</v>
      </c>
      <c r="C6730" s="2">
        <v>27</v>
      </c>
    </row>
    <row r="6731" spans="1:3" x14ac:dyDescent="0.25">
      <c r="A6731" s="3">
        <v>41959</v>
      </c>
      <c r="B6731" s="2" t="s">
        <v>4</v>
      </c>
      <c r="C6731" s="2">
        <v>20</v>
      </c>
    </row>
    <row r="6732" spans="1:3" x14ac:dyDescent="0.25">
      <c r="A6732" s="3">
        <v>41565</v>
      </c>
      <c r="B6732" s="2" t="s">
        <v>34</v>
      </c>
      <c r="C6732" s="2">
        <v>38</v>
      </c>
    </row>
    <row r="6733" spans="1:3" x14ac:dyDescent="0.25">
      <c r="A6733" s="3">
        <v>41379</v>
      </c>
      <c r="B6733" s="2" t="s">
        <v>30</v>
      </c>
      <c r="C6733" s="2">
        <v>18</v>
      </c>
    </row>
    <row r="6734" spans="1:3" x14ac:dyDescent="0.25">
      <c r="A6734" s="3">
        <v>41903</v>
      </c>
      <c r="B6734" s="2" t="s">
        <v>24</v>
      </c>
      <c r="C6734" s="2">
        <v>49</v>
      </c>
    </row>
    <row r="6735" spans="1:3" x14ac:dyDescent="0.25">
      <c r="A6735" s="3">
        <v>41693</v>
      </c>
      <c r="B6735" s="2" t="s">
        <v>43</v>
      </c>
      <c r="C6735" s="2">
        <v>7</v>
      </c>
    </row>
    <row r="6736" spans="1:3" x14ac:dyDescent="0.25">
      <c r="A6736" s="3">
        <v>41642</v>
      </c>
      <c r="B6736" s="2" t="s">
        <v>14</v>
      </c>
      <c r="C6736" s="2">
        <v>11</v>
      </c>
    </row>
    <row r="6737" spans="1:3" x14ac:dyDescent="0.25">
      <c r="A6737" s="3">
        <v>41382</v>
      </c>
      <c r="B6737" s="2" t="s">
        <v>15</v>
      </c>
      <c r="C6737" s="2">
        <v>36</v>
      </c>
    </row>
    <row r="6738" spans="1:3" x14ac:dyDescent="0.25">
      <c r="A6738" s="3">
        <v>41649</v>
      </c>
      <c r="B6738" s="2" t="s">
        <v>6</v>
      </c>
      <c r="C6738" s="2">
        <v>43</v>
      </c>
    </row>
    <row r="6739" spans="1:3" x14ac:dyDescent="0.25">
      <c r="A6739" s="3">
        <v>41350</v>
      </c>
      <c r="B6739" s="2" t="s">
        <v>47</v>
      </c>
      <c r="C6739" s="2">
        <v>51</v>
      </c>
    </row>
    <row r="6740" spans="1:3" x14ac:dyDescent="0.25">
      <c r="A6740" s="3">
        <v>41684</v>
      </c>
      <c r="B6740" s="2" t="s">
        <v>6</v>
      </c>
      <c r="C6740" s="2">
        <v>30</v>
      </c>
    </row>
    <row r="6741" spans="1:3" x14ac:dyDescent="0.25">
      <c r="A6741" s="3">
        <v>41486</v>
      </c>
      <c r="B6741" s="2" t="s">
        <v>41</v>
      </c>
      <c r="C6741" s="2">
        <v>18</v>
      </c>
    </row>
    <row r="6742" spans="1:3" x14ac:dyDescent="0.25">
      <c r="A6742" s="3">
        <v>41370</v>
      </c>
      <c r="B6742" s="2" t="s">
        <v>36</v>
      </c>
      <c r="C6742" s="2">
        <v>30</v>
      </c>
    </row>
    <row r="6743" spans="1:3" x14ac:dyDescent="0.25">
      <c r="A6743" s="3">
        <v>41505</v>
      </c>
      <c r="B6743" s="2" t="s">
        <v>41</v>
      </c>
      <c r="C6743" s="2">
        <v>3</v>
      </c>
    </row>
    <row r="6744" spans="1:3" x14ac:dyDescent="0.25">
      <c r="A6744" s="3">
        <v>41377</v>
      </c>
      <c r="B6744" s="2" t="s">
        <v>14</v>
      </c>
      <c r="C6744" s="2">
        <v>20</v>
      </c>
    </row>
    <row r="6745" spans="1:3" x14ac:dyDescent="0.25">
      <c r="A6745" s="3">
        <v>41692</v>
      </c>
      <c r="B6745" s="2" t="s">
        <v>8</v>
      </c>
      <c r="C6745" s="2">
        <v>38</v>
      </c>
    </row>
    <row r="6746" spans="1:3" x14ac:dyDescent="0.25">
      <c r="A6746" s="3">
        <v>41826</v>
      </c>
      <c r="B6746" s="2" t="s">
        <v>42</v>
      </c>
      <c r="C6746" s="2">
        <v>46</v>
      </c>
    </row>
    <row r="6747" spans="1:3" x14ac:dyDescent="0.25">
      <c r="A6747" s="3">
        <v>41645</v>
      </c>
      <c r="B6747" s="2" t="s">
        <v>47</v>
      </c>
      <c r="C6747" s="2">
        <v>29</v>
      </c>
    </row>
    <row r="6748" spans="1:3" x14ac:dyDescent="0.25">
      <c r="A6748" s="3">
        <v>41939</v>
      </c>
      <c r="B6748" s="2" t="s">
        <v>29</v>
      </c>
      <c r="C6748" s="2">
        <v>29</v>
      </c>
    </row>
    <row r="6749" spans="1:3" x14ac:dyDescent="0.25">
      <c r="A6749" s="3">
        <v>41392</v>
      </c>
      <c r="B6749" s="2" t="s">
        <v>23</v>
      </c>
      <c r="C6749" s="2">
        <v>9</v>
      </c>
    </row>
    <row r="6750" spans="1:3" x14ac:dyDescent="0.25">
      <c r="A6750" s="3">
        <v>41883</v>
      </c>
      <c r="B6750" s="2" t="s">
        <v>9</v>
      </c>
      <c r="C6750" s="2">
        <v>24</v>
      </c>
    </row>
    <row r="6751" spans="1:3" x14ac:dyDescent="0.25">
      <c r="A6751" s="3">
        <v>41839</v>
      </c>
      <c r="B6751" s="2" t="s">
        <v>4</v>
      </c>
      <c r="C6751" s="2">
        <v>21</v>
      </c>
    </row>
    <row r="6752" spans="1:3" x14ac:dyDescent="0.25">
      <c r="A6752" s="3">
        <v>41939</v>
      </c>
      <c r="B6752" s="2" t="s">
        <v>39</v>
      </c>
      <c r="C6752" s="2">
        <v>10</v>
      </c>
    </row>
    <row r="6753" spans="1:3" x14ac:dyDescent="0.25">
      <c r="A6753" s="3">
        <v>41527</v>
      </c>
      <c r="B6753" s="2" t="s">
        <v>27</v>
      </c>
      <c r="C6753" s="2">
        <v>27</v>
      </c>
    </row>
    <row r="6754" spans="1:3" x14ac:dyDescent="0.25">
      <c r="A6754" s="3">
        <v>41333</v>
      </c>
      <c r="B6754" s="2" t="s">
        <v>47</v>
      </c>
      <c r="C6754" s="2">
        <v>7</v>
      </c>
    </row>
    <row r="6755" spans="1:3" x14ac:dyDescent="0.25">
      <c r="A6755" s="3">
        <v>41399</v>
      </c>
      <c r="B6755" s="2" t="s">
        <v>40</v>
      </c>
      <c r="C6755" s="2">
        <v>14</v>
      </c>
    </row>
    <row r="6756" spans="1:3" x14ac:dyDescent="0.25">
      <c r="A6756" s="3">
        <v>41318</v>
      </c>
      <c r="B6756" s="2" t="s">
        <v>43</v>
      </c>
      <c r="C6756" s="2">
        <v>15</v>
      </c>
    </row>
    <row r="6757" spans="1:3" x14ac:dyDescent="0.25">
      <c r="A6757" s="3">
        <v>41706</v>
      </c>
      <c r="B6757" s="2" t="s">
        <v>26</v>
      </c>
      <c r="C6757" s="2">
        <v>5</v>
      </c>
    </row>
    <row r="6758" spans="1:3" x14ac:dyDescent="0.25">
      <c r="A6758" s="3">
        <v>41604</v>
      </c>
      <c r="B6758" s="2" t="s">
        <v>48</v>
      </c>
      <c r="C6758" s="2">
        <v>11</v>
      </c>
    </row>
    <row r="6759" spans="1:3" x14ac:dyDescent="0.25">
      <c r="A6759" s="3">
        <v>41295</v>
      </c>
      <c r="B6759" s="2" t="s">
        <v>17</v>
      </c>
      <c r="C6759" s="2">
        <v>26</v>
      </c>
    </row>
    <row r="6760" spans="1:3" x14ac:dyDescent="0.25">
      <c r="A6760" s="3">
        <v>41934</v>
      </c>
      <c r="B6760" s="2" t="s">
        <v>22</v>
      </c>
      <c r="C6760" s="2">
        <v>21</v>
      </c>
    </row>
    <row r="6761" spans="1:3" x14ac:dyDescent="0.25">
      <c r="A6761" s="3">
        <v>41908</v>
      </c>
      <c r="B6761" s="2" t="s">
        <v>2</v>
      </c>
      <c r="C6761" s="2">
        <v>27</v>
      </c>
    </row>
    <row r="6762" spans="1:3" x14ac:dyDescent="0.25">
      <c r="A6762" s="3">
        <v>41890</v>
      </c>
      <c r="B6762" s="2" t="s">
        <v>11</v>
      </c>
      <c r="C6762" s="2">
        <v>11</v>
      </c>
    </row>
    <row r="6763" spans="1:3" x14ac:dyDescent="0.25">
      <c r="A6763" s="3">
        <v>41612</v>
      </c>
      <c r="B6763" s="2" t="s">
        <v>7</v>
      </c>
      <c r="C6763" s="2">
        <v>1</v>
      </c>
    </row>
    <row r="6764" spans="1:3" x14ac:dyDescent="0.25">
      <c r="A6764" s="3">
        <v>41627</v>
      </c>
      <c r="B6764" s="2" t="s">
        <v>32</v>
      </c>
      <c r="C6764" s="2">
        <v>3</v>
      </c>
    </row>
    <row r="6765" spans="1:3" x14ac:dyDescent="0.25">
      <c r="A6765" s="3">
        <v>41718</v>
      </c>
      <c r="B6765" s="2" t="s">
        <v>16</v>
      </c>
      <c r="C6765" s="2">
        <v>15</v>
      </c>
    </row>
    <row r="6766" spans="1:3" x14ac:dyDescent="0.25">
      <c r="A6766" s="3">
        <v>41321</v>
      </c>
      <c r="B6766" s="2" t="s">
        <v>12</v>
      </c>
      <c r="C6766" s="2">
        <v>26</v>
      </c>
    </row>
    <row r="6767" spans="1:3" x14ac:dyDescent="0.25">
      <c r="A6767" s="3">
        <v>41900</v>
      </c>
      <c r="B6767" s="2" t="s">
        <v>21</v>
      </c>
      <c r="C6767" s="2">
        <v>22</v>
      </c>
    </row>
    <row r="6768" spans="1:3" x14ac:dyDescent="0.25">
      <c r="A6768" s="3">
        <v>41853</v>
      </c>
      <c r="B6768" s="2" t="s">
        <v>17</v>
      </c>
      <c r="C6768" s="2">
        <v>3</v>
      </c>
    </row>
    <row r="6769" spans="1:3" x14ac:dyDescent="0.25">
      <c r="A6769" s="3">
        <v>41691</v>
      </c>
      <c r="B6769" s="2" t="s">
        <v>31</v>
      </c>
      <c r="C6769" s="2">
        <v>1</v>
      </c>
    </row>
    <row r="6770" spans="1:3" x14ac:dyDescent="0.25">
      <c r="A6770" s="3">
        <v>41864</v>
      </c>
      <c r="B6770" s="2" t="s">
        <v>26</v>
      </c>
      <c r="C6770" s="2">
        <v>48</v>
      </c>
    </row>
    <row r="6771" spans="1:3" x14ac:dyDescent="0.25">
      <c r="A6771" s="3">
        <v>41721</v>
      </c>
      <c r="B6771" s="2" t="s">
        <v>27</v>
      </c>
      <c r="C6771" s="2">
        <v>23</v>
      </c>
    </row>
    <row r="6772" spans="1:3" x14ac:dyDescent="0.25">
      <c r="A6772" s="3">
        <v>41660</v>
      </c>
      <c r="B6772" s="2" t="s">
        <v>6</v>
      </c>
      <c r="C6772" s="2">
        <v>36</v>
      </c>
    </row>
    <row r="6773" spans="1:3" x14ac:dyDescent="0.25">
      <c r="A6773" s="3">
        <v>41400</v>
      </c>
      <c r="B6773" s="2" t="s">
        <v>5</v>
      </c>
      <c r="C6773" s="2">
        <v>1</v>
      </c>
    </row>
    <row r="6774" spans="1:3" x14ac:dyDescent="0.25">
      <c r="A6774" s="3">
        <v>41356</v>
      </c>
      <c r="B6774" s="2" t="s">
        <v>2</v>
      </c>
      <c r="C6774" s="2">
        <v>21</v>
      </c>
    </row>
    <row r="6775" spans="1:3" x14ac:dyDescent="0.25">
      <c r="A6775" s="3">
        <v>41644</v>
      </c>
      <c r="B6775" s="2" t="s">
        <v>24</v>
      </c>
      <c r="C6775" s="2">
        <v>39</v>
      </c>
    </row>
    <row r="6776" spans="1:3" x14ac:dyDescent="0.25">
      <c r="A6776" s="3">
        <v>41817</v>
      </c>
      <c r="B6776" s="2" t="s">
        <v>11</v>
      </c>
      <c r="C6776" s="2">
        <v>46</v>
      </c>
    </row>
    <row r="6777" spans="1:3" x14ac:dyDescent="0.25">
      <c r="A6777" s="3">
        <v>41842</v>
      </c>
      <c r="B6777" s="2" t="s">
        <v>34</v>
      </c>
      <c r="C6777" s="2">
        <v>7</v>
      </c>
    </row>
    <row r="6778" spans="1:3" x14ac:dyDescent="0.25">
      <c r="A6778" s="3">
        <v>41414</v>
      </c>
      <c r="B6778" s="2" t="s">
        <v>50</v>
      </c>
      <c r="C6778" s="2">
        <v>30</v>
      </c>
    </row>
    <row r="6779" spans="1:3" x14ac:dyDescent="0.25">
      <c r="A6779" s="3">
        <v>41577</v>
      </c>
      <c r="B6779" s="2" t="s">
        <v>12</v>
      </c>
      <c r="C6779" s="2">
        <v>8</v>
      </c>
    </row>
    <row r="6780" spans="1:3" x14ac:dyDescent="0.25">
      <c r="A6780" s="3">
        <v>41292</v>
      </c>
      <c r="B6780" s="2" t="s">
        <v>29</v>
      </c>
      <c r="C6780" s="2">
        <v>19</v>
      </c>
    </row>
    <row r="6781" spans="1:3" x14ac:dyDescent="0.25">
      <c r="A6781" s="3">
        <v>41699</v>
      </c>
      <c r="B6781" s="2" t="s">
        <v>49</v>
      </c>
      <c r="C6781" s="2">
        <v>4</v>
      </c>
    </row>
    <row r="6782" spans="1:3" x14ac:dyDescent="0.25">
      <c r="A6782" s="3">
        <v>41832</v>
      </c>
      <c r="B6782" s="2" t="s">
        <v>9</v>
      </c>
      <c r="C6782" s="2">
        <v>45</v>
      </c>
    </row>
    <row r="6783" spans="1:3" x14ac:dyDescent="0.25">
      <c r="A6783" s="3">
        <v>41376</v>
      </c>
      <c r="B6783" s="2" t="s">
        <v>5</v>
      </c>
      <c r="C6783" s="2">
        <v>15</v>
      </c>
    </row>
    <row r="6784" spans="1:3" x14ac:dyDescent="0.25">
      <c r="A6784" s="3">
        <v>41850</v>
      </c>
      <c r="B6784" s="2" t="s">
        <v>34</v>
      </c>
      <c r="C6784" s="2">
        <v>33</v>
      </c>
    </row>
    <row r="6785" spans="1:3" x14ac:dyDescent="0.25">
      <c r="A6785" s="3">
        <v>41749</v>
      </c>
      <c r="B6785" s="2" t="s">
        <v>4</v>
      </c>
      <c r="C6785" s="2">
        <v>9</v>
      </c>
    </row>
    <row r="6786" spans="1:3" x14ac:dyDescent="0.25">
      <c r="A6786" s="3">
        <v>41823</v>
      </c>
      <c r="B6786" s="2" t="s">
        <v>27</v>
      </c>
      <c r="C6786" s="2">
        <v>10</v>
      </c>
    </row>
    <row r="6787" spans="1:3" x14ac:dyDescent="0.25">
      <c r="A6787" s="3">
        <v>41625</v>
      </c>
      <c r="B6787" s="2" t="s">
        <v>29</v>
      </c>
      <c r="C6787" s="2">
        <v>24</v>
      </c>
    </row>
    <row r="6788" spans="1:3" x14ac:dyDescent="0.25">
      <c r="A6788" s="3">
        <v>41886</v>
      </c>
      <c r="B6788" s="2" t="s">
        <v>44</v>
      </c>
      <c r="C6788" s="2">
        <v>6</v>
      </c>
    </row>
    <row r="6789" spans="1:3" x14ac:dyDescent="0.25">
      <c r="A6789" s="3">
        <v>41432</v>
      </c>
      <c r="B6789" s="2" t="s">
        <v>45</v>
      </c>
      <c r="C6789" s="2">
        <v>22</v>
      </c>
    </row>
    <row r="6790" spans="1:3" x14ac:dyDescent="0.25">
      <c r="A6790" s="3">
        <v>41939</v>
      </c>
      <c r="B6790" s="2" t="s">
        <v>23</v>
      </c>
      <c r="C6790" s="2">
        <v>22</v>
      </c>
    </row>
    <row r="6791" spans="1:3" x14ac:dyDescent="0.25">
      <c r="A6791" s="3">
        <v>41440</v>
      </c>
      <c r="B6791" s="2" t="s">
        <v>29</v>
      </c>
      <c r="C6791" s="2">
        <v>18</v>
      </c>
    </row>
    <row r="6792" spans="1:3" x14ac:dyDescent="0.25">
      <c r="A6792" s="3">
        <v>41823</v>
      </c>
      <c r="B6792" s="2" t="s">
        <v>35</v>
      </c>
      <c r="C6792" s="2">
        <v>15</v>
      </c>
    </row>
    <row r="6793" spans="1:3" x14ac:dyDescent="0.25">
      <c r="A6793" s="3">
        <v>41438</v>
      </c>
      <c r="B6793" s="2" t="s">
        <v>7</v>
      </c>
      <c r="C6793" s="2">
        <v>27</v>
      </c>
    </row>
    <row r="6794" spans="1:3" x14ac:dyDescent="0.25">
      <c r="A6794" s="3">
        <v>41866</v>
      </c>
      <c r="B6794" s="2" t="s">
        <v>13</v>
      </c>
      <c r="C6794" s="2">
        <v>7</v>
      </c>
    </row>
    <row r="6795" spans="1:3" x14ac:dyDescent="0.25">
      <c r="A6795" s="3">
        <v>41797</v>
      </c>
      <c r="B6795" s="2" t="s">
        <v>30</v>
      </c>
      <c r="C6795" s="2">
        <v>18</v>
      </c>
    </row>
    <row r="6796" spans="1:3" x14ac:dyDescent="0.25">
      <c r="A6796" s="3">
        <v>41431</v>
      </c>
      <c r="B6796" s="2" t="s">
        <v>44</v>
      </c>
      <c r="C6796" s="2">
        <v>6</v>
      </c>
    </row>
    <row r="6797" spans="1:3" x14ac:dyDescent="0.25">
      <c r="A6797" s="3">
        <v>41635</v>
      </c>
      <c r="B6797" s="2" t="s">
        <v>46</v>
      </c>
      <c r="C6797" s="2">
        <v>47</v>
      </c>
    </row>
    <row r="6798" spans="1:3" x14ac:dyDescent="0.25">
      <c r="A6798" s="3">
        <v>41760</v>
      </c>
      <c r="B6798" s="2" t="s">
        <v>24</v>
      </c>
      <c r="C6798" s="2">
        <v>42</v>
      </c>
    </row>
    <row r="6799" spans="1:3" x14ac:dyDescent="0.25">
      <c r="A6799" s="3">
        <v>41587</v>
      </c>
      <c r="B6799" s="2" t="s">
        <v>28</v>
      </c>
      <c r="C6799" s="2">
        <v>45</v>
      </c>
    </row>
    <row r="6800" spans="1:3" x14ac:dyDescent="0.25">
      <c r="A6800" s="3">
        <v>41999</v>
      </c>
      <c r="B6800" s="2" t="s">
        <v>17</v>
      </c>
      <c r="C6800" s="2">
        <v>49</v>
      </c>
    </row>
    <row r="6801" spans="1:3" x14ac:dyDescent="0.25">
      <c r="A6801" s="3">
        <v>41948</v>
      </c>
      <c r="B6801" s="2" t="s">
        <v>13</v>
      </c>
      <c r="C6801" s="2">
        <v>30</v>
      </c>
    </row>
    <row r="6802" spans="1:3" x14ac:dyDescent="0.25">
      <c r="A6802" s="3">
        <v>41577</v>
      </c>
      <c r="B6802" s="2" t="s">
        <v>27</v>
      </c>
      <c r="C6802" s="2">
        <v>9</v>
      </c>
    </row>
    <row r="6803" spans="1:3" x14ac:dyDescent="0.25">
      <c r="A6803" s="3">
        <v>41556</v>
      </c>
      <c r="B6803" s="2" t="s">
        <v>49</v>
      </c>
      <c r="C6803" s="2">
        <v>12</v>
      </c>
    </row>
    <row r="6804" spans="1:3" x14ac:dyDescent="0.25">
      <c r="A6804" s="3">
        <v>41296</v>
      </c>
      <c r="B6804" s="2" t="s">
        <v>41</v>
      </c>
      <c r="C6804" s="2">
        <v>16</v>
      </c>
    </row>
    <row r="6805" spans="1:3" x14ac:dyDescent="0.25">
      <c r="A6805" s="3">
        <v>41996</v>
      </c>
      <c r="B6805" s="2" t="s">
        <v>2</v>
      </c>
      <c r="C6805" s="2">
        <v>22</v>
      </c>
    </row>
    <row r="6806" spans="1:3" x14ac:dyDescent="0.25">
      <c r="A6806" s="3">
        <v>41804</v>
      </c>
      <c r="B6806" s="2" t="s">
        <v>50</v>
      </c>
      <c r="C6806" s="2">
        <v>16</v>
      </c>
    </row>
    <row r="6807" spans="1:3" x14ac:dyDescent="0.25">
      <c r="A6807" s="3">
        <v>41665</v>
      </c>
      <c r="B6807" s="2" t="s">
        <v>18</v>
      </c>
      <c r="C6807" s="2">
        <v>14</v>
      </c>
    </row>
    <row r="6808" spans="1:3" x14ac:dyDescent="0.25">
      <c r="A6808" s="3">
        <v>41941</v>
      </c>
      <c r="B6808" s="2" t="s">
        <v>26</v>
      </c>
      <c r="C6808" s="2">
        <v>26</v>
      </c>
    </row>
    <row r="6809" spans="1:3" x14ac:dyDescent="0.25">
      <c r="A6809" s="3">
        <v>41850</v>
      </c>
      <c r="B6809" s="2" t="s">
        <v>29</v>
      </c>
      <c r="C6809" s="2">
        <v>35</v>
      </c>
    </row>
    <row r="6810" spans="1:3" x14ac:dyDescent="0.25">
      <c r="A6810" s="3">
        <v>41967</v>
      </c>
      <c r="B6810" s="2" t="s">
        <v>35</v>
      </c>
      <c r="C6810" s="2">
        <v>40</v>
      </c>
    </row>
    <row r="6811" spans="1:3" x14ac:dyDescent="0.25">
      <c r="A6811" s="3">
        <v>41360</v>
      </c>
      <c r="B6811" s="2" t="s">
        <v>33</v>
      </c>
      <c r="C6811" s="2">
        <v>28</v>
      </c>
    </row>
    <row r="6812" spans="1:3" x14ac:dyDescent="0.25">
      <c r="A6812" s="3">
        <v>41922</v>
      </c>
      <c r="B6812" s="2" t="s">
        <v>31</v>
      </c>
      <c r="C6812" s="2">
        <v>23</v>
      </c>
    </row>
    <row r="6813" spans="1:3" x14ac:dyDescent="0.25">
      <c r="A6813" s="3">
        <v>41540</v>
      </c>
      <c r="B6813" s="2" t="s">
        <v>43</v>
      </c>
      <c r="C6813" s="2">
        <v>9</v>
      </c>
    </row>
    <row r="6814" spans="1:3" x14ac:dyDescent="0.25">
      <c r="A6814" s="3">
        <v>41601</v>
      </c>
      <c r="B6814" s="2" t="s">
        <v>25</v>
      </c>
      <c r="C6814" s="2">
        <v>33</v>
      </c>
    </row>
    <row r="6815" spans="1:3" x14ac:dyDescent="0.25">
      <c r="A6815" s="3">
        <v>41959</v>
      </c>
      <c r="B6815" s="2" t="s">
        <v>18</v>
      </c>
      <c r="C6815" s="2">
        <v>1</v>
      </c>
    </row>
    <row r="6816" spans="1:3" x14ac:dyDescent="0.25">
      <c r="A6816" s="3">
        <v>41606</v>
      </c>
      <c r="B6816" s="2" t="s">
        <v>30</v>
      </c>
      <c r="C6816" s="2">
        <v>35</v>
      </c>
    </row>
    <row r="6817" spans="1:3" x14ac:dyDescent="0.25">
      <c r="A6817" s="3">
        <v>41552</v>
      </c>
      <c r="B6817" s="2" t="s">
        <v>43</v>
      </c>
      <c r="C6817" s="2">
        <v>29</v>
      </c>
    </row>
    <row r="6818" spans="1:3" x14ac:dyDescent="0.25">
      <c r="A6818" s="3">
        <v>41390</v>
      </c>
      <c r="B6818" s="2" t="s">
        <v>5</v>
      </c>
      <c r="C6818" s="2">
        <v>10</v>
      </c>
    </row>
    <row r="6819" spans="1:3" x14ac:dyDescent="0.25">
      <c r="A6819" s="3">
        <v>41414</v>
      </c>
      <c r="B6819" s="2" t="s">
        <v>27</v>
      </c>
      <c r="C6819" s="2">
        <v>14</v>
      </c>
    </row>
    <row r="6820" spans="1:3" x14ac:dyDescent="0.25">
      <c r="A6820" s="3">
        <v>41550</v>
      </c>
      <c r="B6820" s="2" t="s">
        <v>26</v>
      </c>
      <c r="C6820" s="2">
        <v>16</v>
      </c>
    </row>
    <row r="6821" spans="1:3" x14ac:dyDescent="0.25">
      <c r="A6821" s="3">
        <v>41461</v>
      </c>
      <c r="B6821" s="2" t="s">
        <v>7</v>
      </c>
      <c r="C6821" s="2">
        <v>16</v>
      </c>
    </row>
    <row r="6822" spans="1:3" x14ac:dyDescent="0.25">
      <c r="A6822" s="3">
        <v>41537</v>
      </c>
      <c r="B6822" s="2" t="s">
        <v>26</v>
      </c>
      <c r="C6822" s="2">
        <v>42</v>
      </c>
    </row>
    <row r="6823" spans="1:3" x14ac:dyDescent="0.25">
      <c r="A6823" s="3">
        <v>41869</v>
      </c>
      <c r="B6823" s="2" t="s">
        <v>48</v>
      </c>
      <c r="C6823" s="2">
        <v>36</v>
      </c>
    </row>
    <row r="6824" spans="1:3" x14ac:dyDescent="0.25">
      <c r="A6824" s="3">
        <v>41938</v>
      </c>
      <c r="B6824" s="2" t="s">
        <v>9</v>
      </c>
      <c r="C6824" s="2">
        <v>21</v>
      </c>
    </row>
    <row r="6825" spans="1:3" x14ac:dyDescent="0.25">
      <c r="A6825" s="3">
        <v>41379</v>
      </c>
      <c r="B6825" s="2" t="s">
        <v>39</v>
      </c>
      <c r="C6825" s="2">
        <v>7</v>
      </c>
    </row>
    <row r="6826" spans="1:3" x14ac:dyDescent="0.25">
      <c r="A6826" s="3">
        <v>41794</v>
      </c>
      <c r="B6826" s="2" t="s">
        <v>41</v>
      </c>
      <c r="C6826" s="2">
        <v>10</v>
      </c>
    </row>
    <row r="6827" spans="1:3" x14ac:dyDescent="0.25">
      <c r="A6827" s="3">
        <v>41555</v>
      </c>
      <c r="B6827" s="2" t="s">
        <v>38</v>
      </c>
      <c r="C6827" s="2">
        <v>12</v>
      </c>
    </row>
    <row r="6828" spans="1:3" x14ac:dyDescent="0.25">
      <c r="A6828" s="3">
        <v>41487</v>
      </c>
      <c r="B6828" s="2" t="s">
        <v>12</v>
      </c>
      <c r="C6828" s="2">
        <v>4</v>
      </c>
    </row>
    <row r="6829" spans="1:3" x14ac:dyDescent="0.25">
      <c r="A6829" s="3">
        <v>41569</v>
      </c>
      <c r="B6829" s="2" t="s">
        <v>35</v>
      </c>
      <c r="C6829" s="2">
        <v>17</v>
      </c>
    </row>
    <row r="6830" spans="1:3" x14ac:dyDescent="0.25">
      <c r="A6830" s="3">
        <v>41974</v>
      </c>
      <c r="B6830" s="2" t="s">
        <v>51</v>
      </c>
      <c r="C6830" s="2">
        <v>9</v>
      </c>
    </row>
    <row r="6831" spans="1:3" x14ac:dyDescent="0.25">
      <c r="A6831" s="3">
        <v>41953</v>
      </c>
      <c r="B6831" s="2" t="s">
        <v>43</v>
      </c>
      <c r="C6831" s="2">
        <v>31</v>
      </c>
    </row>
    <row r="6832" spans="1:3" x14ac:dyDescent="0.25">
      <c r="A6832" s="3">
        <v>41929</v>
      </c>
      <c r="B6832" s="2" t="s">
        <v>51</v>
      </c>
      <c r="C6832" s="2">
        <v>30</v>
      </c>
    </row>
    <row r="6833" spans="1:3" x14ac:dyDescent="0.25">
      <c r="A6833" s="3">
        <v>41294</v>
      </c>
      <c r="B6833" s="2" t="s">
        <v>20</v>
      </c>
      <c r="C6833" s="2">
        <v>21</v>
      </c>
    </row>
    <row r="6834" spans="1:3" x14ac:dyDescent="0.25">
      <c r="A6834" s="3">
        <v>41303</v>
      </c>
      <c r="B6834" s="2" t="s">
        <v>16</v>
      </c>
      <c r="C6834" s="2">
        <v>6</v>
      </c>
    </row>
    <row r="6835" spans="1:3" x14ac:dyDescent="0.25">
      <c r="A6835" s="3">
        <v>41416</v>
      </c>
      <c r="B6835" s="2" t="s">
        <v>22</v>
      </c>
      <c r="C6835" s="2">
        <v>25</v>
      </c>
    </row>
    <row r="6836" spans="1:3" x14ac:dyDescent="0.25">
      <c r="A6836" s="3">
        <v>41474</v>
      </c>
      <c r="B6836" s="2" t="s">
        <v>7</v>
      </c>
      <c r="C6836" s="2">
        <v>2</v>
      </c>
    </row>
    <row r="6837" spans="1:3" x14ac:dyDescent="0.25">
      <c r="A6837" s="3">
        <v>41536</v>
      </c>
      <c r="B6837" s="2" t="s">
        <v>25</v>
      </c>
      <c r="C6837" s="2">
        <v>61</v>
      </c>
    </row>
    <row r="6838" spans="1:3" x14ac:dyDescent="0.25">
      <c r="A6838" s="3">
        <v>41480</v>
      </c>
      <c r="B6838" s="2" t="s">
        <v>17</v>
      </c>
      <c r="C6838" s="2">
        <v>1</v>
      </c>
    </row>
    <row r="6839" spans="1:3" x14ac:dyDescent="0.25">
      <c r="A6839" s="3">
        <v>41619</v>
      </c>
      <c r="B6839" s="2" t="s">
        <v>44</v>
      </c>
      <c r="C6839" s="2">
        <v>27</v>
      </c>
    </row>
    <row r="6840" spans="1:3" x14ac:dyDescent="0.25">
      <c r="A6840" s="3">
        <v>41967</v>
      </c>
      <c r="B6840" s="2" t="s">
        <v>11</v>
      </c>
      <c r="C6840" s="2">
        <v>12</v>
      </c>
    </row>
    <row r="6841" spans="1:3" x14ac:dyDescent="0.25">
      <c r="A6841" s="3">
        <v>41507</v>
      </c>
      <c r="B6841" s="2" t="s">
        <v>31</v>
      </c>
      <c r="C6841" s="2">
        <v>36</v>
      </c>
    </row>
    <row r="6842" spans="1:3" x14ac:dyDescent="0.25">
      <c r="A6842" s="3">
        <v>41586</v>
      </c>
      <c r="B6842" s="2" t="s">
        <v>3</v>
      </c>
      <c r="C6842" s="2">
        <v>5</v>
      </c>
    </row>
    <row r="6843" spans="1:3" x14ac:dyDescent="0.25">
      <c r="A6843" s="3">
        <v>41334</v>
      </c>
      <c r="B6843" s="2" t="s">
        <v>12</v>
      </c>
      <c r="C6843" s="2">
        <v>31</v>
      </c>
    </row>
    <row r="6844" spans="1:3" x14ac:dyDescent="0.25">
      <c r="A6844" s="3">
        <v>41649</v>
      </c>
      <c r="B6844" s="2" t="s">
        <v>42</v>
      </c>
      <c r="C6844" s="2">
        <v>8</v>
      </c>
    </row>
    <row r="6845" spans="1:3" x14ac:dyDescent="0.25">
      <c r="A6845" s="3">
        <v>41983</v>
      </c>
      <c r="B6845" s="2" t="s">
        <v>5</v>
      </c>
      <c r="C6845" s="2">
        <v>33</v>
      </c>
    </row>
    <row r="6846" spans="1:3" x14ac:dyDescent="0.25">
      <c r="A6846" s="3">
        <v>41590</v>
      </c>
      <c r="B6846" s="2" t="s">
        <v>3</v>
      </c>
      <c r="C6846" s="2">
        <v>33</v>
      </c>
    </row>
    <row r="6847" spans="1:3" x14ac:dyDescent="0.25">
      <c r="A6847" s="3">
        <v>41578</v>
      </c>
      <c r="B6847" s="2" t="s">
        <v>15</v>
      </c>
      <c r="C6847" s="2">
        <v>32</v>
      </c>
    </row>
    <row r="6848" spans="1:3" x14ac:dyDescent="0.25">
      <c r="A6848" s="3">
        <v>41941</v>
      </c>
      <c r="B6848" s="2" t="s">
        <v>10</v>
      </c>
      <c r="C6848" s="2">
        <v>4</v>
      </c>
    </row>
    <row r="6849" spans="1:3" x14ac:dyDescent="0.25">
      <c r="A6849" s="3">
        <v>41818</v>
      </c>
      <c r="B6849" s="2" t="s">
        <v>6</v>
      </c>
      <c r="C6849" s="2">
        <v>5</v>
      </c>
    </row>
    <row r="6850" spans="1:3" x14ac:dyDescent="0.25">
      <c r="A6850" s="3">
        <v>41311</v>
      </c>
      <c r="B6850" s="2" t="s">
        <v>18</v>
      </c>
      <c r="C6850" s="2">
        <v>3</v>
      </c>
    </row>
    <row r="6851" spans="1:3" x14ac:dyDescent="0.25">
      <c r="A6851" s="3">
        <v>41382</v>
      </c>
      <c r="B6851" s="2" t="s">
        <v>9</v>
      </c>
      <c r="C6851" s="2">
        <v>9</v>
      </c>
    </row>
    <row r="6852" spans="1:3" x14ac:dyDescent="0.25">
      <c r="A6852" s="3">
        <v>41764</v>
      </c>
      <c r="B6852" s="2" t="s">
        <v>51</v>
      </c>
      <c r="C6852" s="2">
        <v>41</v>
      </c>
    </row>
    <row r="6853" spans="1:3" x14ac:dyDescent="0.25">
      <c r="A6853" s="3">
        <v>41707</v>
      </c>
      <c r="B6853" s="2" t="s">
        <v>25</v>
      </c>
      <c r="C6853" s="2">
        <v>32</v>
      </c>
    </row>
    <row r="6854" spans="1:3" x14ac:dyDescent="0.25">
      <c r="A6854" s="3">
        <v>41798</v>
      </c>
      <c r="B6854" s="2" t="s">
        <v>36</v>
      </c>
      <c r="C6854" s="2">
        <v>32</v>
      </c>
    </row>
    <row r="6855" spans="1:3" x14ac:dyDescent="0.25">
      <c r="A6855" s="3">
        <v>41667</v>
      </c>
      <c r="B6855" s="2" t="s">
        <v>49</v>
      </c>
      <c r="C6855" s="2">
        <v>41</v>
      </c>
    </row>
    <row r="6856" spans="1:3" x14ac:dyDescent="0.25">
      <c r="A6856" s="3">
        <v>41903</v>
      </c>
      <c r="B6856" s="2" t="s">
        <v>50</v>
      </c>
      <c r="C6856" s="2">
        <v>15</v>
      </c>
    </row>
    <row r="6857" spans="1:3" x14ac:dyDescent="0.25">
      <c r="A6857" s="3">
        <v>41422</v>
      </c>
      <c r="B6857" s="2" t="s">
        <v>45</v>
      </c>
      <c r="C6857" s="2">
        <v>15</v>
      </c>
    </row>
    <row r="6858" spans="1:3" x14ac:dyDescent="0.25">
      <c r="A6858" s="3">
        <v>41606</v>
      </c>
      <c r="B6858" s="2" t="s">
        <v>20</v>
      </c>
      <c r="C6858" s="2">
        <v>9</v>
      </c>
    </row>
    <row r="6859" spans="1:3" x14ac:dyDescent="0.25">
      <c r="A6859" s="3">
        <v>41411</v>
      </c>
      <c r="B6859" s="2" t="s">
        <v>42</v>
      </c>
      <c r="C6859" s="2">
        <v>22</v>
      </c>
    </row>
    <row r="6860" spans="1:3" x14ac:dyDescent="0.25">
      <c r="A6860" s="3">
        <v>41382</v>
      </c>
      <c r="B6860" s="2" t="s">
        <v>36</v>
      </c>
      <c r="C6860" s="2">
        <v>20</v>
      </c>
    </row>
    <row r="6861" spans="1:3" x14ac:dyDescent="0.25">
      <c r="A6861" s="3">
        <v>41852</v>
      </c>
      <c r="B6861" s="2" t="s">
        <v>27</v>
      </c>
      <c r="C6861" s="2">
        <v>3</v>
      </c>
    </row>
    <row r="6862" spans="1:3" x14ac:dyDescent="0.25">
      <c r="A6862" s="3">
        <v>41980</v>
      </c>
      <c r="B6862" s="2" t="s">
        <v>16</v>
      </c>
      <c r="C6862" s="2">
        <v>33</v>
      </c>
    </row>
    <row r="6863" spans="1:3" x14ac:dyDescent="0.25">
      <c r="A6863" s="3">
        <v>41970</v>
      </c>
      <c r="B6863" s="2" t="s">
        <v>44</v>
      </c>
      <c r="C6863" s="2">
        <v>19</v>
      </c>
    </row>
    <row r="6864" spans="1:3" x14ac:dyDescent="0.25">
      <c r="A6864" s="3">
        <v>41360</v>
      </c>
      <c r="B6864" s="2" t="s">
        <v>46</v>
      </c>
      <c r="C6864" s="2">
        <v>2</v>
      </c>
    </row>
    <row r="6865" spans="1:3" x14ac:dyDescent="0.25">
      <c r="A6865" s="3">
        <v>41966</v>
      </c>
      <c r="B6865" s="2" t="s">
        <v>31</v>
      </c>
      <c r="C6865" s="2">
        <v>1</v>
      </c>
    </row>
    <row r="6866" spans="1:3" x14ac:dyDescent="0.25">
      <c r="A6866" s="3">
        <v>41888</v>
      </c>
      <c r="B6866" s="2" t="s">
        <v>15</v>
      </c>
      <c r="C6866" s="2">
        <v>25</v>
      </c>
    </row>
    <row r="6867" spans="1:3" x14ac:dyDescent="0.25">
      <c r="A6867" s="3">
        <v>41542</v>
      </c>
      <c r="B6867" s="2" t="s">
        <v>48</v>
      </c>
      <c r="C6867" s="2">
        <v>13</v>
      </c>
    </row>
    <row r="6868" spans="1:3" x14ac:dyDescent="0.25">
      <c r="A6868" s="3">
        <v>41788</v>
      </c>
      <c r="B6868" s="2" t="s">
        <v>6</v>
      </c>
      <c r="C6868" s="2">
        <v>25</v>
      </c>
    </row>
    <row r="6869" spans="1:3" x14ac:dyDescent="0.25">
      <c r="A6869" s="3">
        <v>41691</v>
      </c>
      <c r="B6869" s="2" t="s">
        <v>49</v>
      </c>
      <c r="C6869" s="2">
        <v>26</v>
      </c>
    </row>
    <row r="6870" spans="1:3" x14ac:dyDescent="0.25">
      <c r="A6870" s="3">
        <v>41872</v>
      </c>
      <c r="B6870" s="2" t="s">
        <v>8</v>
      </c>
      <c r="C6870" s="2">
        <v>22</v>
      </c>
    </row>
    <row r="6871" spans="1:3" x14ac:dyDescent="0.25">
      <c r="A6871" s="3">
        <v>41533</v>
      </c>
      <c r="B6871" s="2" t="s">
        <v>44</v>
      </c>
      <c r="C6871" s="2">
        <v>31</v>
      </c>
    </row>
    <row r="6872" spans="1:3" x14ac:dyDescent="0.25">
      <c r="A6872" s="3">
        <v>41727</v>
      </c>
      <c r="B6872" s="2" t="s">
        <v>26</v>
      </c>
      <c r="C6872" s="2">
        <v>22</v>
      </c>
    </row>
    <row r="6873" spans="1:3" x14ac:dyDescent="0.25">
      <c r="A6873" s="3">
        <v>41686</v>
      </c>
      <c r="B6873" s="2" t="s">
        <v>13</v>
      </c>
      <c r="C6873" s="2">
        <v>27</v>
      </c>
    </row>
    <row r="6874" spans="1:3" x14ac:dyDescent="0.25">
      <c r="A6874" s="3">
        <v>41541</v>
      </c>
      <c r="B6874" s="2" t="s">
        <v>3</v>
      </c>
      <c r="C6874" s="2">
        <v>5</v>
      </c>
    </row>
    <row r="6875" spans="1:3" x14ac:dyDescent="0.25">
      <c r="A6875" s="3">
        <v>41631</v>
      </c>
      <c r="B6875" s="2" t="s">
        <v>38</v>
      </c>
      <c r="C6875" s="2">
        <v>5</v>
      </c>
    </row>
    <row r="6876" spans="1:3" x14ac:dyDescent="0.25">
      <c r="A6876" s="3">
        <v>41850</v>
      </c>
      <c r="B6876" s="2" t="s">
        <v>34</v>
      </c>
      <c r="C6876" s="2">
        <v>12</v>
      </c>
    </row>
    <row r="6877" spans="1:3" x14ac:dyDescent="0.25">
      <c r="A6877" s="3">
        <v>41584</v>
      </c>
      <c r="B6877" s="2" t="s">
        <v>44</v>
      </c>
      <c r="C6877" s="2">
        <v>17</v>
      </c>
    </row>
    <row r="6878" spans="1:3" x14ac:dyDescent="0.25">
      <c r="A6878" s="3">
        <v>41734</v>
      </c>
      <c r="B6878" s="2" t="s">
        <v>40</v>
      </c>
      <c r="C6878" s="2">
        <v>8</v>
      </c>
    </row>
    <row r="6879" spans="1:3" x14ac:dyDescent="0.25">
      <c r="A6879" s="3">
        <v>41944</v>
      </c>
      <c r="B6879" s="2" t="s">
        <v>21</v>
      </c>
      <c r="C6879" s="2">
        <v>44</v>
      </c>
    </row>
    <row r="6880" spans="1:3" x14ac:dyDescent="0.25">
      <c r="A6880" s="3">
        <v>41619</v>
      </c>
      <c r="B6880" s="2" t="s">
        <v>24</v>
      </c>
      <c r="C6880" s="2">
        <v>35</v>
      </c>
    </row>
    <row r="6881" spans="1:3" x14ac:dyDescent="0.25">
      <c r="A6881" s="3">
        <v>41696</v>
      </c>
      <c r="B6881" s="2" t="s">
        <v>25</v>
      </c>
      <c r="C6881" s="2">
        <v>2</v>
      </c>
    </row>
    <row r="6882" spans="1:3" x14ac:dyDescent="0.25">
      <c r="A6882" s="3">
        <v>41726</v>
      </c>
      <c r="B6882" s="2" t="s">
        <v>46</v>
      </c>
      <c r="C6882" s="2">
        <v>33</v>
      </c>
    </row>
    <row r="6883" spans="1:3" x14ac:dyDescent="0.25">
      <c r="A6883" s="3">
        <v>41425</v>
      </c>
      <c r="B6883" s="2" t="s">
        <v>50</v>
      </c>
      <c r="C6883" s="2">
        <v>43</v>
      </c>
    </row>
    <row r="6884" spans="1:3" x14ac:dyDescent="0.25">
      <c r="A6884" s="3">
        <v>41275</v>
      </c>
      <c r="B6884" s="2" t="s">
        <v>7</v>
      </c>
      <c r="C6884" s="2">
        <v>19</v>
      </c>
    </row>
    <row r="6885" spans="1:3" x14ac:dyDescent="0.25">
      <c r="A6885" s="3">
        <v>41946</v>
      </c>
      <c r="B6885" s="2" t="s">
        <v>14</v>
      </c>
      <c r="C6885" s="2">
        <v>13</v>
      </c>
    </row>
    <row r="6886" spans="1:3" x14ac:dyDescent="0.25">
      <c r="A6886" s="3">
        <v>41474</v>
      </c>
      <c r="B6886" s="2" t="s">
        <v>4</v>
      </c>
      <c r="C6886" s="2">
        <v>31</v>
      </c>
    </row>
    <row r="6887" spans="1:3" x14ac:dyDescent="0.25">
      <c r="A6887" s="3">
        <v>41383</v>
      </c>
      <c r="B6887" s="2" t="s">
        <v>26</v>
      </c>
      <c r="C6887" s="2">
        <v>16</v>
      </c>
    </row>
    <row r="6888" spans="1:3" x14ac:dyDescent="0.25">
      <c r="A6888" s="3">
        <v>41880</v>
      </c>
      <c r="B6888" s="2" t="s">
        <v>8</v>
      </c>
      <c r="C6888" s="2">
        <v>42</v>
      </c>
    </row>
    <row r="6889" spans="1:3" x14ac:dyDescent="0.25">
      <c r="A6889" s="3">
        <v>41809</v>
      </c>
      <c r="B6889" s="2" t="s">
        <v>31</v>
      </c>
      <c r="C6889" s="2">
        <v>34</v>
      </c>
    </row>
    <row r="6890" spans="1:3" x14ac:dyDescent="0.25">
      <c r="A6890" s="3">
        <v>41809</v>
      </c>
      <c r="B6890" s="2" t="s">
        <v>9</v>
      </c>
      <c r="C6890" s="2">
        <v>36</v>
      </c>
    </row>
    <row r="6891" spans="1:3" x14ac:dyDescent="0.25">
      <c r="A6891" s="3">
        <v>41732</v>
      </c>
      <c r="B6891" s="2" t="s">
        <v>12</v>
      </c>
      <c r="C6891" s="2">
        <v>9</v>
      </c>
    </row>
    <row r="6892" spans="1:3" x14ac:dyDescent="0.25">
      <c r="A6892" s="3">
        <v>41708</v>
      </c>
      <c r="B6892" s="2" t="s">
        <v>51</v>
      </c>
      <c r="C6892" s="2">
        <v>1</v>
      </c>
    </row>
    <row r="6893" spans="1:3" x14ac:dyDescent="0.25">
      <c r="A6893" s="3">
        <v>41462</v>
      </c>
      <c r="B6893" s="2" t="s">
        <v>40</v>
      </c>
      <c r="C6893" s="2">
        <v>41</v>
      </c>
    </row>
    <row r="6894" spans="1:3" x14ac:dyDescent="0.25">
      <c r="A6894" s="3">
        <v>41297</v>
      </c>
      <c r="B6894" s="2" t="s">
        <v>48</v>
      </c>
      <c r="C6894" s="2">
        <v>54</v>
      </c>
    </row>
    <row r="6895" spans="1:3" x14ac:dyDescent="0.25">
      <c r="A6895" s="3">
        <v>41877</v>
      </c>
      <c r="B6895" s="2" t="s">
        <v>22</v>
      </c>
      <c r="C6895" s="2">
        <v>25</v>
      </c>
    </row>
    <row r="6896" spans="1:3" x14ac:dyDescent="0.25">
      <c r="A6896" s="3">
        <v>41900</v>
      </c>
      <c r="B6896" s="2" t="s">
        <v>24</v>
      </c>
      <c r="C6896" s="2">
        <v>37</v>
      </c>
    </row>
    <row r="6897" spans="1:3" x14ac:dyDescent="0.25">
      <c r="A6897" s="3">
        <v>41394</v>
      </c>
      <c r="B6897" s="2" t="s">
        <v>22</v>
      </c>
      <c r="C6897" s="2">
        <v>22</v>
      </c>
    </row>
    <row r="6898" spans="1:3" x14ac:dyDescent="0.25">
      <c r="A6898" s="3">
        <v>41895</v>
      </c>
      <c r="B6898" s="2" t="s">
        <v>29</v>
      </c>
      <c r="C6898" s="2">
        <v>14</v>
      </c>
    </row>
    <row r="6899" spans="1:3" x14ac:dyDescent="0.25">
      <c r="A6899" s="3">
        <v>41700</v>
      </c>
      <c r="B6899" s="2" t="s">
        <v>9</v>
      </c>
      <c r="C6899" s="2">
        <v>37</v>
      </c>
    </row>
    <row r="6900" spans="1:3" x14ac:dyDescent="0.25">
      <c r="A6900" s="3">
        <v>41320</v>
      </c>
      <c r="B6900" s="2" t="s">
        <v>45</v>
      </c>
      <c r="C6900" s="2">
        <v>26</v>
      </c>
    </row>
    <row r="6901" spans="1:3" x14ac:dyDescent="0.25">
      <c r="A6901" s="3">
        <v>41603</v>
      </c>
      <c r="B6901" s="2" t="s">
        <v>22</v>
      </c>
      <c r="C6901" s="2">
        <v>6</v>
      </c>
    </row>
    <row r="6902" spans="1:3" x14ac:dyDescent="0.25">
      <c r="A6902" s="3">
        <v>41316</v>
      </c>
      <c r="B6902" s="2" t="s">
        <v>38</v>
      </c>
      <c r="C6902" s="2">
        <v>5</v>
      </c>
    </row>
    <row r="6903" spans="1:3" x14ac:dyDescent="0.25">
      <c r="A6903" s="3">
        <v>41803</v>
      </c>
      <c r="B6903" s="2" t="s">
        <v>46</v>
      </c>
      <c r="C6903" s="2">
        <v>13</v>
      </c>
    </row>
    <row r="6904" spans="1:3" x14ac:dyDescent="0.25">
      <c r="A6904" s="3">
        <v>41983</v>
      </c>
      <c r="B6904" s="2" t="s">
        <v>23</v>
      </c>
      <c r="C6904" s="2">
        <v>17</v>
      </c>
    </row>
    <row r="6905" spans="1:3" x14ac:dyDescent="0.25">
      <c r="A6905" s="3">
        <v>41930</v>
      </c>
      <c r="B6905" s="2" t="s">
        <v>25</v>
      </c>
      <c r="C6905" s="2">
        <v>21</v>
      </c>
    </row>
    <row r="6906" spans="1:3" x14ac:dyDescent="0.25">
      <c r="A6906" s="3">
        <v>41851</v>
      </c>
      <c r="B6906" s="2" t="s">
        <v>44</v>
      </c>
      <c r="C6906" s="2">
        <v>35</v>
      </c>
    </row>
    <row r="6907" spans="1:3" x14ac:dyDescent="0.25">
      <c r="A6907" s="3">
        <v>41760</v>
      </c>
      <c r="B6907" s="2" t="s">
        <v>14</v>
      </c>
      <c r="C6907" s="2">
        <v>44</v>
      </c>
    </row>
    <row r="6908" spans="1:3" x14ac:dyDescent="0.25">
      <c r="A6908" s="3">
        <v>41670</v>
      </c>
      <c r="B6908" s="2" t="s">
        <v>29</v>
      </c>
      <c r="C6908" s="2">
        <v>52</v>
      </c>
    </row>
    <row r="6909" spans="1:3" x14ac:dyDescent="0.25">
      <c r="A6909" s="3">
        <v>41744</v>
      </c>
      <c r="B6909" s="2" t="s">
        <v>27</v>
      </c>
      <c r="C6909" s="2">
        <v>27</v>
      </c>
    </row>
    <row r="6910" spans="1:3" x14ac:dyDescent="0.25">
      <c r="A6910" s="3">
        <v>41398</v>
      </c>
      <c r="B6910" s="2" t="s">
        <v>11</v>
      </c>
      <c r="C6910" s="2">
        <v>43</v>
      </c>
    </row>
    <row r="6911" spans="1:3" x14ac:dyDescent="0.25">
      <c r="A6911" s="3">
        <v>41535</v>
      </c>
      <c r="B6911" s="2" t="s">
        <v>32</v>
      </c>
      <c r="C6911" s="2">
        <v>13</v>
      </c>
    </row>
    <row r="6912" spans="1:3" x14ac:dyDescent="0.25">
      <c r="A6912" s="3">
        <v>41330</v>
      </c>
      <c r="B6912" s="2" t="s">
        <v>3</v>
      </c>
      <c r="C6912" s="2">
        <v>9</v>
      </c>
    </row>
    <row r="6913" spans="1:3" x14ac:dyDescent="0.25">
      <c r="A6913" s="3">
        <v>41375</v>
      </c>
      <c r="B6913" s="2" t="s">
        <v>13</v>
      </c>
      <c r="C6913" s="2">
        <v>52</v>
      </c>
    </row>
    <row r="6914" spans="1:3" x14ac:dyDescent="0.25">
      <c r="A6914" s="3">
        <v>41724</v>
      </c>
      <c r="B6914" s="2" t="s">
        <v>3</v>
      </c>
      <c r="C6914" s="2">
        <v>21</v>
      </c>
    </row>
    <row r="6915" spans="1:3" x14ac:dyDescent="0.25">
      <c r="A6915" s="3">
        <v>41875</v>
      </c>
      <c r="B6915" s="2" t="s">
        <v>43</v>
      </c>
      <c r="C6915" s="2">
        <v>26</v>
      </c>
    </row>
    <row r="6916" spans="1:3" x14ac:dyDescent="0.25">
      <c r="A6916" s="3">
        <v>41374</v>
      </c>
      <c r="B6916" s="2" t="s">
        <v>34</v>
      </c>
      <c r="C6916" s="2">
        <v>35</v>
      </c>
    </row>
    <row r="6917" spans="1:3" x14ac:dyDescent="0.25">
      <c r="A6917" s="3">
        <v>41500</v>
      </c>
      <c r="B6917" s="2" t="s">
        <v>14</v>
      </c>
      <c r="C6917" s="2">
        <v>25</v>
      </c>
    </row>
    <row r="6918" spans="1:3" x14ac:dyDescent="0.25">
      <c r="A6918" s="3">
        <v>41801</v>
      </c>
      <c r="B6918" s="2" t="s">
        <v>13</v>
      </c>
      <c r="C6918" s="2">
        <v>37</v>
      </c>
    </row>
    <row r="6919" spans="1:3" x14ac:dyDescent="0.25">
      <c r="A6919" s="3">
        <v>41301</v>
      </c>
      <c r="B6919" s="2" t="s">
        <v>30</v>
      </c>
      <c r="C6919" s="2">
        <v>9</v>
      </c>
    </row>
    <row r="6920" spans="1:3" x14ac:dyDescent="0.25">
      <c r="A6920" s="3">
        <v>41514</v>
      </c>
      <c r="B6920" s="2" t="s">
        <v>33</v>
      </c>
      <c r="C6920" s="2">
        <v>14</v>
      </c>
    </row>
    <row r="6921" spans="1:3" x14ac:dyDescent="0.25">
      <c r="A6921" s="3">
        <v>41670</v>
      </c>
      <c r="B6921" s="2" t="s">
        <v>23</v>
      </c>
      <c r="C6921" s="2">
        <v>32</v>
      </c>
    </row>
    <row r="6922" spans="1:3" x14ac:dyDescent="0.25">
      <c r="A6922" s="3">
        <v>41522</v>
      </c>
      <c r="B6922" s="2" t="s">
        <v>19</v>
      </c>
      <c r="C6922" s="2">
        <v>48</v>
      </c>
    </row>
    <row r="6923" spans="1:3" x14ac:dyDescent="0.25">
      <c r="A6923" s="3">
        <v>41856</v>
      </c>
      <c r="B6923" s="2" t="s">
        <v>24</v>
      </c>
      <c r="C6923" s="2">
        <v>34</v>
      </c>
    </row>
    <row r="6924" spans="1:3" x14ac:dyDescent="0.25">
      <c r="A6924" s="3">
        <v>41601</v>
      </c>
      <c r="B6924" s="2" t="s">
        <v>45</v>
      </c>
      <c r="C6924" s="2">
        <v>18</v>
      </c>
    </row>
    <row r="6925" spans="1:3" x14ac:dyDescent="0.25">
      <c r="A6925" s="3">
        <v>41879</v>
      </c>
      <c r="B6925" s="2" t="s">
        <v>18</v>
      </c>
      <c r="C6925" s="2">
        <v>28</v>
      </c>
    </row>
    <row r="6926" spans="1:3" x14ac:dyDescent="0.25">
      <c r="A6926" s="3">
        <v>41879</v>
      </c>
      <c r="B6926" s="2" t="s">
        <v>21</v>
      </c>
      <c r="C6926" s="2">
        <v>20</v>
      </c>
    </row>
    <row r="6927" spans="1:3" x14ac:dyDescent="0.25">
      <c r="A6927" s="3">
        <v>41989</v>
      </c>
      <c r="B6927" s="2" t="s">
        <v>48</v>
      </c>
      <c r="C6927" s="2">
        <v>32</v>
      </c>
    </row>
    <row r="6928" spans="1:3" x14ac:dyDescent="0.25">
      <c r="A6928" s="3">
        <v>41815</v>
      </c>
      <c r="B6928" s="2" t="s">
        <v>15</v>
      </c>
      <c r="C6928" s="2">
        <v>4</v>
      </c>
    </row>
    <row r="6929" spans="1:3" x14ac:dyDescent="0.25">
      <c r="A6929" s="3">
        <v>41963</v>
      </c>
      <c r="B6929" s="2" t="s">
        <v>3</v>
      </c>
      <c r="C6929" s="2">
        <v>45</v>
      </c>
    </row>
    <row r="6930" spans="1:3" x14ac:dyDescent="0.25">
      <c r="A6930" s="3">
        <v>41442</v>
      </c>
      <c r="B6930" s="2" t="s">
        <v>35</v>
      </c>
      <c r="C6930" s="2">
        <v>33</v>
      </c>
    </row>
    <row r="6931" spans="1:3" x14ac:dyDescent="0.25">
      <c r="A6931" s="3">
        <v>41707</v>
      </c>
      <c r="B6931" s="2" t="s">
        <v>44</v>
      </c>
      <c r="C6931" s="2">
        <v>25</v>
      </c>
    </row>
    <row r="6932" spans="1:3" x14ac:dyDescent="0.25">
      <c r="A6932" s="3">
        <v>41898</v>
      </c>
      <c r="B6932" s="2" t="s">
        <v>12</v>
      </c>
      <c r="C6932" s="2">
        <v>19</v>
      </c>
    </row>
    <row r="6933" spans="1:3" x14ac:dyDescent="0.25">
      <c r="A6933" s="3">
        <v>41482</v>
      </c>
      <c r="B6933" s="2" t="s">
        <v>6</v>
      </c>
      <c r="C6933" s="2">
        <v>0</v>
      </c>
    </row>
    <row r="6934" spans="1:3" x14ac:dyDescent="0.25">
      <c r="A6934" s="3">
        <v>41276</v>
      </c>
      <c r="B6934" s="2" t="s">
        <v>44</v>
      </c>
      <c r="C6934" s="2">
        <v>51</v>
      </c>
    </row>
    <row r="6935" spans="1:3" x14ac:dyDescent="0.25">
      <c r="A6935" s="3">
        <v>41626</v>
      </c>
      <c r="B6935" s="2" t="s">
        <v>32</v>
      </c>
      <c r="C6935" s="2">
        <v>28</v>
      </c>
    </row>
    <row r="6936" spans="1:3" x14ac:dyDescent="0.25">
      <c r="A6936" s="3">
        <v>41396</v>
      </c>
      <c r="B6936" s="2" t="s">
        <v>34</v>
      </c>
      <c r="C6936" s="2">
        <v>46</v>
      </c>
    </row>
    <row r="6937" spans="1:3" x14ac:dyDescent="0.25">
      <c r="A6937" s="3">
        <v>41739</v>
      </c>
      <c r="B6937" s="2" t="s">
        <v>37</v>
      </c>
      <c r="C6937" s="2">
        <v>25</v>
      </c>
    </row>
    <row r="6938" spans="1:3" x14ac:dyDescent="0.25">
      <c r="A6938" s="3">
        <v>41446</v>
      </c>
      <c r="B6938" s="2" t="s">
        <v>44</v>
      </c>
      <c r="C6938" s="2">
        <v>1</v>
      </c>
    </row>
    <row r="6939" spans="1:3" x14ac:dyDescent="0.25">
      <c r="A6939" s="3">
        <v>41760</v>
      </c>
      <c r="B6939" s="2" t="s">
        <v>32</v>
      </c>
      <c r="C6939" s="2">
        <v>20</v>
      </c>
    </row>
    <row r="6940" spans="1:3" x14ac:dyDescent="0.25">
      <c r="A6940" s="3">
        <v>41585</v>
      </c>
      <c r="B6940" s="2" t="s">
        <v>29</v>
      </c>
      <c r="C6940" s="2">
        <v>23</v>
      </c>
    </row>
    <row r="6941" spans="1:3" x14ac:dyDescent="0.25">
      <c r="A6941" s="3">
        <v>41496</v>
      </c>
      <c r="B6941" s="2" t="s">
        <v>42</v>
      </c>
      <c r="C6941" s="2">
        <v>44</v>
      </c>
    </row>
    <row r="6942" spans="1:3" x14ac:dyDescent="0.25">
      <c r="A6942" s="3">
        <v>42001</v>
      </c>
      <c r="B6942" s="2" t="s">
        <v>36</v>
      </c>
      <c r="C6942" s="2">
        <v>56</v>
      </c>
    </row>
    <row r="6943" spans="1:3" x14ac:dyDescent="0.25">
      <c r="A6943" s="3">
        <v>41916</v>
      </c>
      <c r="B6943" s="2" t="s">
        <v>16</v>
      </c>
      <c r="C6943" s="2">
        <v>8</v>
      </c>
    </row>
    <row r="6944" spans="1:3" x14ac:dyDescent="0.25">
      <c r="A6944" s="3">
        <v>41513</v>
      </c>
      <c r="B6944" s="2" t="s">
        <v>12</v>
      </c>
      <c r="C6944" s="2">
        <v>24</v>
      </c>
    </row>
    <row r="6945" spans="1:3" x14ac:dyDescent="0.25">
      <c r="A6945" s="3">
        <v>41546</v>
      </c>
      <c r="B6945" s="2" t="s">
        <v>32</v>
      </c>
      <c r="C6945" s="2">
        <v>21</v>
      </c>
    </row>
    <row r="6946" spans="1:3" x14ac:dyDescent="0.25">
      <c r="A6946" s="3">
        <v>41345</v>
      </c>
      <c r="B6946" s="2" t="s">
        <v>50</v>
      </c>
      <c r="C6946" s="2">
        <v>1</v>
      </c>
    </row>
    <row r="6947" spans="1:3" x14ac:dyDescent="0.25">
      <c r="A6947" s="3">
        <v>41722</v>
      </c>
      <c r="B6947" s="2" t="s">
        <v>24</v>
      </c>
      <c r="C6947" s="2">
        <v>14</v>
      </c>
    </row>
    <row r="6948" spans="1:3" x14ac:dyDescent="0.25">
      <c r="A6948" s="3">
        <v>41598</v>
      </c>
      <c r="B6948" s="2" t="s">
        <v>22</v>
      </c>
      <c r="C6948" s="2">
        <v>13</v>
      </c>
    </row>
    <row r="6949" spans="1:3" x14ac:dyDescent="0.25">
      <c r="A6949" s="3">
        <v>41762</v>
      </c>
      <c r="B6949" s="2" t="s">
        <v>2</v>
      </c>
      <c r="C6949" s="2">
        <v>36</v>
      </c>
    </row>
    <row r="6950" spans="1:3" x14ac:dyDescent="0.25">
      <c r="A6950" s="3">
        <v>41622</v>
      </c>
      <c r="B6950" s="2" t="s">
        <v>26</v>
      </c>
      <c r="C6950" s="2">
        <v>14</v>
      </c>
    </row>
    <row r="6951" spans="1:3" x14ac:dyDescent="0.25">
      <c r="A6951" s="3">
        <v>41487</v>
      </c>
      <c r="B6951" s="2" t="s">
        <v>15</v>
      </c>
      <c r="C6951" s="2">
        <v>35</v>
      </c>
    </row>
    <row r="6952" spans="1:3" x14ac:dyDescent="0.25">
      <c r="A6952" s="3">
        <v>41952</v>
      </c>
      <c r="B6952" s="2" t="s">
        <v>17</v>
      </c>
      <c r="C6952" s="2">
        <v>38</v>
      </c>
    </row>
    <row r="6953" spans="1:3" x14ac:dyDescent="0.25">
      <c r="A6953" s="3">
        <v>41714</v>
      </c>
      <c r="B6953" s="2" t="s">
        <v>51</v>
      </c>
      <c r="C6953" s="2">
        <v>6</v>
      </c>
    </row>
    <row r="6954" spans="1:3" x14ac:dyDescent="0.25">
      <c r="A6954" s="3">
        <v>41541</v>
      </c>
      <c r="B6954" s="2" t="s">
        <v>5</v>
      </c>
      <c r="C6954" s="2">
        <v>39</v>
      </c>
    </row>
    <row r="6955" spans="1:3" x14ac:dyDescent="0.25">
      <c r="A6955" s="3">
        <v>41718</v>
      </c>
      <c r="B6955" s="2" t="s">
        <v>30</v>
      </c>
      <c r="C6955" s="2">
        <v>28</v>
      </c>
    </row>
    <row r="6956" spans="1:3" x14ac:dyDescent="0.25">
      <c r="A6956" s="3">
        <v>41394</v>
      </c>
      <c r="B6956" s="2" t="s">
        <v>46</v>
      </c>
      <c r="C6956" s="2">
        <v>12</v>
      </c>
    </row>
    <row r="6957" spans="1:3" x14ac:dyDescent="0.25">
      <c r="A6957" s="3">
        <v>41983</v>
      </c>
      <c r="B6957" s="2" t="s">
        <v>30</v>
      </c>
      <c r="C6957" s="2">
        <v>33</v>
      </c>
    </row>
    <row r="6958" spans="1:3" x14ac:dyDescent="0.25">
      <c r="A6958" s="3">
        <v>41887</v>
      </c>
      <c r="B6958" s="2" t="s">
        <v>51</v>
      </c>
      <c r="C6958" s="2">
        <v>23</v>
      </c>
    </row>
    <row r="6959" spans="1:3" x14ac:dyDescent="0.25">
      <c r="A6959" s="3">
        <v>41389</v>
      </c>
      <c r="B6959" s="2" t="s">
        <v>4</v>
      </c>
      <c r="C6959" s="2">
        <v>1</v>
      </c>
    </row>
    <row r="6960" spans="1:3" x14ac:dyDescent="0.25">
      <c r="A6960" s="3">
        <v>41414</v>
      </c>
      <c r="B6960" s="2" t="s">
        <v>35</v>
      </c>
      <c r="C6960" s="2">
        <v>30</v>
      </c>
    </row>
    <row r="6961" spans="1:3" x14ac:dyDescent="0.25">
      <c r="A6961" s="3">
        <v>41549</v>
      </c>
      <c r="B6961" s="2" t="s">
        <v>41</v>
      </c>
      <c r="C6961" s="2">
        <v>28</v>
      </c>
    </row>
    <row r="6962" spans="1:3" x14ac:dyDescent="0.25">
      <c r="A6962" s="3">
        <v>41596</v>
      </c>
      <c r="B6962" s="2" t="s">
        <v>30</v>
      </c>
      <c r="C6962" s="2">
        <v>32</v>
      </c>
    </row>
    <row r="6963" spans="1:3" x14ac:dyDescent="0.25">
      <c r="A6963" s="3">
        <v>41540</v>
      </c>
      <c r="B6963" s="2" t="s">
        <v>6</v>
      </c>
      <c r="C6963" s="2">
        <v>45</v>
      </c>
    </row>
    <row r="6964" spans="1:3" x14ac:dyDescent="0.25">
      <c r="A6964" s="3">
        <v>41670</v>
      </c>
      <c r="B6964" s="2" t="s">
        <v>44</v>
      </c>
      <c r="C6964" s="2">
        <v>23</v>
      </c>
    </row>
    <row r="6965" spans="1:3" x14ac:dyDescent="0.25">
      <c r="A6965" s="3">
        <v>41966</v>
      </c>
      <c r="B6965" s="2" t="s">
        <v>42</v>
      </c>
      <c r="C6965" s="2">
        <v>30</v>
      </c>
    </row>
    <row r="6966" spans="1:3" x14ac:dyDescent="0.25">
      <c r="A6966" s="3">
        <v>41390</v>
      </c>
      <c r="B6966" s="2" t="s">
        <v>34</v>
      </c>
      <c r="C6966" s="2">
        <v>30</v>
      </c>
    </row>
    <row r="6967" spans="1:3" x14ac:dyDescent="0.25">
      <c r="A6967" s="3">
        <v>41981</v>
      </c>
      <c r="B6967" s="2" t="s">
        <v>21</v>
      </c>
      <c r="C6967" s="2">
        <v>13</v>
      </c>
    </row>
    <row r="6968" spans="1:3" x14ac:dyDescent="0.25">
      <c r="A6968" s="3">
        <v>41632</v>
      </c>
      <c r="B6968" s="2" t="s">
        <v>10</v>
      </c>
      <c r="C6968" s="2">
        <v>5</v>
      </c>
    </row>
    <row r="6969" spans="1:3" x14ac:dyDescent="0.25">
      <c r="A6969" s="3">
        <v>41639</v>
      </c>
      <c r="B6969" s="2" t="s">
        <v>47</v>
      </c>
      <c r="C6969" s="2">
        <v>14</v>
      </c>
    </row>
    <row r="6970" spans="1:3" x14ac:dyDescent="0.25">
      <c r="A6970" s="3">
        <v>41867</v>
      </c>
      <c r="B6970" s="2" t="s">
        <v>12</v>
      </c>
      <c r="C6970" s="2">
        <v>37</v>
      </c>
    </row>
    <row r="6971" spans="1:3" x14ac:dyDescent="0.25">
      <c r="A6971" s="3">
        <v>41985</v>
      </c>
      <c r="B6971" s="2" t="s">
        <v>31</v>
      </c>
      <c r="C6971" s="2">
        <v>63</v>
      </c>
    </row>
    <row r="6972" spans="1:3" x14ac:dyDescent="0.25">
      <c r="A6972" s="3">
        <v>41803</v>
      </c>
      <c r="B6972" s="2" t="s">
        <v>37</v>
      </c>
      <c r="C6972" s="2">
        <v>48</v>
      </c>
    </row>
    <row r="6973" spans="1:3" x14ac:dyDescent="0.25">
      <c r="A6973" s="3">
        <v>41785</v>
      </c>
      <c r="B6973" s="2" t="s">
        <v>33</v>
      </c>
      <c r="C6973" s="2">
        <v>39</v>
      </c>
    </row>
    <row r="6974" spans="1:3" x14ac:dyDescent="0.25">
      <c r="A6974" s="3">
        <v>41390</v>
      </c>
      <c r="B6974" s="2" t="s">
        <v>9</v>
      </c>
      <c r="C6974" s="2">
        <v>30</v>
      </c>
    </row>
    <row r="6975" spans="1:3" x14ac:dyDescent="0.25">
      <c r="A6975" s="3">
        <v>41334</v>
      </c>
      <c r="B6975" s="2" t="s">
        <v>9</v>
      </c>
      <c r="C6975" s="2">
        <v>36</v>
      </c>
    </row>
    <row r="6976" spans="1:3" x14ac:dyDescent="0.25">
      <c r="A6976" s="3">
        <v>41712</v>
      </c>
      <c r="B6976" s="2" t="s">
        <v>13</v>
      </c>
      <c r="C6976" s="2">
        <v>5</v>
      </c>
    </row>
    <row r="6977" spans="1:3" x14ac:dyDescent="0.25">
      <c r="A6977" s="3">
        <v>41654</v>
      </c>
      <c r="B6977" s="2" t="s">
        <v>6</v>
      </c>
      <c r="C6977" s="2">
        <v>26</v>
      </c>
    </row>
    <row r="6978" spans="1:3" x14ac:dyDescent="0.25">
      <c r="A6978" s="3">
        <v>41674</v>
      </c>
      <c r="B6978" s="2" t="s">
        <v>23</v>
      </c>
      <c r="C6978" s="2">
        <v>25</v>
      </c>
    </row>
    <row r="6979" spans="1:3" x14ac:dyDescent="0.25">
      <c r="A6979" s="3">
        <v>41304</v>
      </c>
      <c r="B6979" s="2" t="s">
        <v>43</v>
      </c>
      <c r="C6979" s="2">
        <v>22</v>
      </c>
    </row>
    <row r="6980" spans="1:3" x14ac:dyDescent="0.25">
      <c r="A6980" s="3">
        <v>41653</v>
      </c>
      <c r="B6980" s="2" t="s">
        <v>27</v>
      </c>
      <c r="C6980" s="2">
        <v>14</v>
      </c>
    </row>
    <row r="6981" spans="1:3" x14ac:dyDescent="0.25">
      <c r="A6981" s="3">
        <v>41820</v>
      </c>
      <c r="B6981" s="2" t="s">
        <v>43</v>
      </c>
      <c r="C6981" s="2">
        <v>11</v>
      </c>
    </row>
    <row r="6982" spans="1:3" x14ac:dyDescent="0.25">
      <c r="A6982" s="3">
        <v>41317</v>
      </c>
      <c r="B6982" s="2" t="s">
        <v>30</v>
      </c>
      <c r="C6982" s="2">
        <v>8</v>
      </c>
    </row>
    <row r="6983" spans="1:3" x14ac:dyDescent="0.25">
      <c r="A6983" s="3">
        <v>41720</v>
      </c>
      <c r="B6983" s="2" t="s">
        <v>39</v>
      </c>
      <c r="C6983" s="2">
        <v>45</v>
      </c>
    </row>
    <row r="6984" spans="1:3" x14ac:dyDescent="0.25">
      <c r="A6984" s="3">
        <v>41901</v>
      </c>
      <c r="B6984" s="2" t="s">
        <v>12</v>
      </c>
      <c r="C6984" s="2">
        <v>29</v>
      </c>
    </row>
    <row r="6985" spans="1:3" x14ac:dyDescent="0.25">
      <c r="A6985" s="3">
        <v>41476</v>
      </c>
      <c r="B6985" s="2" t="s">
        <v>17</v>
      </c>
      <c r="C6985" s="2">
        <v>49</v>
      </c>
    </row>
    <row r="6986" spans="1:3" x14ac:dyDescent="0.25">
      <c r="A6986" s="3">
        <v>41645</v>
      </c>
      <c r="B6986" s="2" t="s">
        <v>31</v>
      </c>
      <c r="C6986" s="2">
        <v>11</v>
      </c>
    </row>
    <row r="6987" spans="1:3" x14ac:dyDescent="0.25">
      <c r="A6987" s="3">
        <v>41896</v>
      </c>
      <c r="B6987" s="2" t="s">
        <v>13</v>
      </c>
      <c r="C6987" s="2">
        <v>25</v>
      </c>
    </row>
    <row r="6988" spans="1:3" x14ac:dyDescent="0.25">
      <c r="A6988" s="3">
        <v>41899</v>
      </c>
      <c r="B6988" s="2" t="s">
        <v>32</v>
      </c>
      <c r="C6988" s="2">
        <v>26</v>
      </c>
    </row>
    <row r="6989" spans="1:3" x14ac:dyDescent="0.25">
      <c r="A6989" s="3">
        <v>41401</v>
      </c>
      <c r="B6989" s="2" t="s">
        <v>9</v>
      </c>
      <c r="C6989" s="2">
        <v>52</v>
      </c>
    </row>
    <row r="6990" spans="1:3" x14ac:dyDescent="0.25">
      <c r="A6990" s="3">
        <v>41637</v>
      </c>
      <c r="B6990" s="2" t="s">
        <v>34</v>
      </c>
      <c r="C6990" s="2">
        <v>9</v>
      </c>
    </row>
    <row r="6991" spans="1:3" x14ac:dyDescent="0.25">
      <c r="A6991" s="3">
        <v>41893</v>
      </c>
      <c r="B6991" s="2" t="s">
        <v>10</v>
      </c>
      <c r="C6991" s="2">
        <v>48</v>
      </c>
    </row>
    <row r="6992" spans="1:3" x14ac:dyDescent="0.25">
      <c r="A6992" s="3">
        <v>41520</v>
      </c>
      <c r="B6992" s="2" t="s">
        <v>8</v>
      </c>
      <c r="C6992" s="2">
        <v>27</v>
      </c>
    </row>
    <row r="6993" spans="1:3" x14ac:dyDescent="0.25">
      <c r="A6993" s="3">
        <v>41735</v>
      </c>
      <c r="B6993" s="2" t="s">
        <v>21</v>
      </c>
      <c r="C6993" s="2">
        <v>22</v>
      </c>
    </row>
    <row r="6994" spans="1:3" x14ac:dyDescent="0.25">
      <c r="A6994" s="3">
        <v>41596</v>
      </c>
      <c r="B6994" s="2" t="s">
        <v>22</v>
      </c>
      <c r="C6994" s="2">
        <v>20</v>
      </c>
    </row>
    <row r="6995" spans="1:3" x14ac:dyDescent="0.25">
      <c r="A6995" s="3">
        <v>41582</v>
      </c>
      <c r="B6995" s="2" t="s">
        <v>8</v>
      </c>
      <c r="C6995" s="2">
        <v>41</v>
      </c>
    </row>
    <row r="6996" spans="1:3" x14ac:dyDescent="0.25">
      <c r="A6996" s="3">
        <v>41829</v>
      </c>
      <c r="B6996" s="2" t="s">
        <v>5</v>
      </c>
      <c r="C6996" s="2">
        <v>50</v>
      </c>
    </row>
    <row r="6997" spans="1:3" x14ac:dyDescent="0.25">
      <c r="A6997" s="3">
        <v>41576</v>
      </c>
      <c r="B6997" s="2" t="s">
        <v>33</v>
      </c>
      <c r="C6997" s="2">
        <v>17</v>
      </c>
    </row>
    <row r="6998" spans="1:3" x14ac:dyDescent="0.25">
      <c r="A6998" s="3">
        <v>41669</v>
      </c>
      <c r="B6998" s="2" t="s">
        <v>11</v>
      </c>
      <c r="C6998" s="2">
        <v>52</v>
      </c>
    </row>
    <row r="6999" spans="1:3" x14ac:dyDescent="0.25">
      <c r="A6999" s="3">
        <v>41851</v>
      </c>
      <c r="B6999" s="2" t="s">
        <v>46</v>
      </c>
      <c r="C6999" s="2">
        <v>40</v>
      </c>
    </row>
    <row r="7000" spans="1:3" x14ac:dyDescent="0.25">
      <c r="A7000" s="3">
        <v>41712</v>
      </c>
      <c r="B7000" s="2" t="s">
        <v>16</v>
      </c>
      <c r="C7000" s="2">
        <v>36</v>
      </c>
    </row>
    <row r="7001" spans="1:3" x14ac:dyDescent="0.25">
      <c r="A7001" s="3">
        <v>41588</v>
      </c>
      <c r="B7001" s="2" t="s">
        <v>13</v>
      </c>
      <c r="C7001" s="2">
        <v>25</v>
      </c>
    </row>
    <row r="7002" spans="1:3" x14ac:dyDescent="0.25">
      <c r="A7002" s="3">
        <v>41916</v>
      </c>
      <c r="B7002" s="2" t="s">
        <v>25</v>
      </c>
      <c r="C7002" s="2">
        <v>6</v>
      </c>
    </row>
    <row r="7003" spans="1:3" x14ac:dyDescent="0.25">
      <c r="A7003" s="3">
        <v>41688</v>
      </c>
      <c r="B7003" s="2" t="s">
        <v>50</v>
      </c>
      <c r="C7003" s="2">
        <v>40</v>
      </c>
    </row>
    <row r="7004" spans="1:3" x14ac:dyDescent="0.25">
      <c r="A7004" s="3">
        <v>41907</v>
      </c>
      <c r="B7004" s="2" t="s">
        <v>7</v>
      </c>
      <c r="C7004" s="2">
        <v>20</v>
      </c>
    </row>
    <row r="7005" spans="1:3" x14ac:dyDescent="0.25">
      <c r="A7005" s="3">
        <v>41660</v>
      </c>
      <c r="B7005" s="2" t="s">
        <v>47</v>
      </c>
      <c r="C7005" s="2">
        <v>21</v>
      </c>
    </row>
    <row r="7006" spans="1:3" x14ac:dyDescent="0.25">
      <c r="A7006" s="3">
        <v>41485</v>
      </c>
      <c r="B7006" s="2" t="s">
        <v>36</v>
      </c>
      <c r="C7006" s="2">
        <v>7</v>
      </c>
    </row>
    <row r="7007" spans="1:3" x14ac:dyDescent="0.25">
      <c r="A7007" s="3">
        <v>41864</v>
      </c>
      <c r="B7007" s="2" t="s">
        <v>34</v>
      </c>
      <c r="C7007" s="2">
        <v>23</v>
      </c>
    </row>
    <row r="7008" spans="1:3" x14ac:dyDescent="0.25">
      <c r="A7008" s="3">
        <v>41322</v>
      </c>
      <c r="B7008" s="2" t="s">
        <v>13</v>
      </c>
      <c r="C7008" s="2">
        <v>34</v>
      </c>
    </row>
    <row r="7009" spans="1:3" x14ac:dyDescent="0.25">
      <c r="A7009" s="3">
        <v>41848</v>
      </c>
      <c r="B7009" s="2" t="s">
        <v>12</v>
      </c>
      <c r="C7009" s="2">
        <v>22</v>
      </c>
    </row>
    <row r="7010" spans="1:3" x14ac:dyDescent="0.25">
      <c r="A7010" s="3">
        <v>41552</v>
      </c>
      <c r="B7010" s="2" t="s">
        <v>4</v>
      </c>
      <c r="C7010" s="2">
        <v>57</v>
      </c>
    </row>
    <row r="7011" spans="1:3" x14ac:dyDescent="0.25">
      <c r="A7011" s="3">
        <v>41897</v>
      </c>
      <c r="B7011" s="2" t="s">
        <v>18</v>
      </c>
      <c r="C7011" s="2">
        <v>43</v>
      </c>
    </row>
    <row r="7012" spans="1:3" x14ac:dyDescent="0.25">
      <c r="A7012" s="3">
        <v>41945</v>
      </c>
      <c r="B7012" s="2" t="s">
        <v>8</v>
      </c>
      <c r="C7012" s="2">
        <v>2</v>
      </c>
    </row>
    <row r="7013" spans="1:3" x14ac:dyDescent="0.25">
      <c r="A7013" s="3">
        <v>41548</v>
      </c>
      <c r="B7013" s="2" t="s">
        <v>12</v>
      </c>
      <c r="C7013" s="2">
        <v>15</v>
      </c>
    </row>
    <row r="7014" spans="1:3" x14ac:dyDescent="0.25">
      <c r="A7014" s="3">
        <v>41278</v>
      </c>
      <c r="B7014" s="2" t="s">
        <v>14</v>
      </c>
      <c r="C7014" s="2">
        <v>57</v>
      </c>
    </row>
    <row r="7015" spans="1:3" x14ac:dyDescent="0.25">
      <c r="A7015" s="3">
        <v>41861</v>
      </c>
      <c r="B7015" s="2" t="s">
        <v>13</v>
      </c>
      <c r="C7015" s="2">
        <v>19</v>
      </c>
    </row>
    <row r="7016" spans="1:3" x14ac:dyDescent="0.25">
      <c r="A7016" s="3">
        <v>41669</v>
      </c>
      <c r="B7016" s="2" t="s">
        <v>8</v>
      </c>
      <c r="C7016" s="2">
        <v>25</v>
      </c>
    </row>
    <row r="7017" spans="1:3" x14ac:dyDescent="0.25">
      <c r="A7017" s="3">
        <v>41706</v>
      </c>
      <c r="B7017" s="2" t="s">
        <v>36</v>
      </c>
      <c r="C7017" s="2">
        <v>39</v>
      </c>
    </row>
    <row r="7018" spans="1:3" x14ac:dyDescent="0.25">
      <c r="A7018" s="3">
        <v>41961</v>
      </c>
      <c r="B7018" s="2" t="s">
        <v>35</v>
      </c>
      <c r="C7018" s="2">
        <v>66</v>
      </c>
    </row>
    <row r="7019" spans="1:3" x14ac:dyDescent="0.25">
      <c r="A7019" s="3">
        <v>41857</v>
      </c>
      <c r="B7019" s="2" t="s">
        <v>4</v>
      </c>
      <c r="C7019" s="2">
        <v>44</v>
      </c>
    </row>
    <row r="7020" spans="1:3" x14ac:dyDescent="0.25">
      <c r="A7020" s="3">
        <v>42000</v>
      </c>
      <c r="B7020" s="2" t="s">
        <v>29</v>
      </c>
      <c r="C7020" s="2">
        <v>42</v>
      </c>
    </row>
    <row r="7021" spans="1:3" x14ac:dyDescent="0.25">
      <c r="A7021" s="3">
        <v>41696</v>
      </c>
      <c r="B7021" s="2" t="s">
        <v>17</v>
      </c>
      <c r="C7021" s="2">
        <v>17</v>
      </c>
    </row>
    <row r="7022" spans="1:3" x14ac:dyDescent="0.25">
      <c r="A7022" s="3">
        <v>41994</v>
      </c>
      <c r="B7022" s="2" t="s">
        <v>21</v>
      </c>
      <c r="C7022" s="2">
        <v>26</v>
      </c>
    </row>
    <row r="7023" spans="1:3" x14ac:dyDescent="0.25">
      <c r="A7023" s="3">
        <v>41915</v>
      </c>
      <c r="B7023" s="2" t="s">
        <v>47</v>
      </c>
      <c r="C7023" s="2">
        <v>19</v>
      </c>
    </row>
    <row r="7024" spans="1:3" x14ac:dyDescent="0.25">
      <c r="A7024" s="3">
        <v>41864</v>
      </c>
      <c r="B7024" s="2" t="s">
        <v>11</v>
      </c>
      <c r="C7024" s="2">
        <v>34</v>
      </c>
    </row>
    <row r="7025" spans="1:3" x14ac:dyDescent="0.25">
      <c r="A7025" s="3">
        <v>41793</v>
      </c>
      <c r="B7025" s="2" t="s">
        <v>43</v>
      </c>
      <c r="C7025" s="2">
        <v>48</v>
      </c>
    </row>
    <row r="7026" spans="1:3" x14ac:dyDescent="0.25">
      <c r="A7026" s="3">
        <v>41428</v>
      </c>
      <c r="B7026" s="2" t="s">
        <v>9</v>
      </c>
      <c r="C7026" s="2">
        <v>40</v>
      </c>
    </row>
    <row r="7027" spans="1:3" x14ac:dyDescent="0.25">
      <c r="A7027" s="3">
        <v>41678</v>
      </c>
      <c r="B7027" s="2" t="s">
        <v>46</v>
      </c>
      <c r="C7027" s="2">
        <v>18</v>
      </c>
    </row>
    <row r="7028" spans="1:3" x14ac:dyDescent="0.25">
      <c r="A7028" s="3">
        <v>41348</v>
      </c>
      <c r="B7028" s="2" t="s">
        <v>28</v>
      </c>
      <c r="C7028" s="2">
        <v>49</v>
      </c>
    </row>
    <row r="7029" spans="1:3" x14ac:dyDescent="0.25">
      <c r="A7029" s="3">
        <v>41286</v>
      </c>
      <c r="B7029" s="2" t="s">
        <v>48</v>
      </c>
      <c r="C7029" s="2">
        <v>22</v>
      </c>
    </row>
    <row r="7030" spans="1:3" x14ac:dyDescent="0.25">
      <c r="A7030" s="3">
        <v>41853</v>
      </c>
      <c r="B7030" s="2" t="s">
        <v>9</v>
      </c>
      <c r="C7030" s="2">
        <v>26</v>
      </c>
    </row>
    <row r="7031" spans="1:3" x14ac:dyDescent="0.25">
      <c r="A7031" s="3">
        <v>41552</v>
      </c>
      <c r="B7031" s="2" t="s">
        <v>10</v>
      </c>
      <c r="C7031" s="2">
        <v>40</v>
      </c>
    </row>
    <row r="7032" spans="1:3" x14ac:dyDescent="0.25">
      <c r="A7032" s="3">
        <v>41952</v>
      </c>
      <c r="B7032" s="2" t="s">
        <v>44</v>
      </c>
      <c r="C7032" s="2">
        <v>9</v>
      </c>
    </row>
    <row r="7033" spans="1:3" x14ac:dyDescent="0.25">
      <c r="A7033" s="3">
        <v>41743</v>
      </c>
      <c r="B7033" s="2" t="s">
        <v>41</v>
      </c>
      <c r="C7033" s="2">
        <v>9</v>
      </c>
    </row>
    <row r="7034" spans="1:3" x14ac:dyDescent="0.25">
      <c r="A7034" s="3">
        <v>41666</v>
      </c>
      <c r="B7034" s="2" t="s">
        <v>6</v>
      </c>
      <c r="C7034" s="2">
        <v>12</v>
      </c>
    </row>
    <row r="7035" spans="1:3" x14ac:dyDescent="0.25">
      <c r="A7035" s="3">
        <v>41784</v>
      </c>
      <c r="B7035" s="2" t="s">
        <v>31</v>
      </c>
      <c r="C7035" s="2">
        <v>23</v>
      </c>
    </row>
    <row r="7036" spans="1:3" x14ac:dyDescent="0.25">
      <c r="A7036" s="3">
        <v>41993</v>
      </c>
      <c r="B7036" s="2" t="s">
        <v>50</v>
      </c>
      <c r="C7036" s="2">
        <v>31</v>
      </c>
    </row>
    <row r="7037" spans="1:3" x14ac:dyDescent="0.25">
      <c r="A7037" s="3">
        <v>41372</v>
      </c>
      <c r="B7037" s="2" t="s">
        <v>50</v>
      </c>
      <c r="C7037" s="2">
        <v>15</v>
      </c>
    </row>
    <row r="7038" spans="1:3" x14ac:dyDescent="0.25">
      <c r="A7038" s="3">
        <v>41783</v>
      </c>
      <c r="B7038" s="2" t="s">
        <v>30</v>
      </c>
      <c r="C7038" s="2">
        <v>43</v>
      </c>
    </row>
    <row r="7039" spans="1:3" x14ac:dyDescent="0.25">
      <c r="A7039" s="3">
        <v>41673</v>
      </c>
      <c r="B7039" s="2" t="s">
        <v>41</v>
      </c>
      <c r="C7039" s="2">
        <v>28</v>
      </c>
    </row>
    <row r="7040" spans="1:3" x14ac:dyDescent="0.25">
      <c r="A7040" s="3">
        <v>41291</v>
      </c>
      <c r="B7040" s="2" t="s">
        <v>18</v>
      </c>
      <c r="C7040" s="2">
        <v>20</v>
      </c>
    </row>
    <row r="7041" spans="1:3" x14ac:dyDescent="0.25">
      <c r="A7041" s="3">
        <v>41589</v>
      </c>
      <c r="B7041" s="2" t="s">
        <v>23</v>
      </c>
      <c r="C7041" s="2">
        <v>2</v>
      </c>
    </row>
    <row r="7042" spans="1:3" x14ac:dyDescent="0.25">
      <c r="A7042" s="3">
        <v>41331</v>
      </c>
      <c r="B7042" s="2" t="s">
        <v>29</v>
      </c>
      <c r="C7042" s="2">
        <v>22</v>
      </c>
    </row>
    <row r="7043" spans="1:3" x14ac:dyDescent="0.25">
      <c r="A7043" s="3">
        <v>41935</v>
      </c>
      <c r="B7043" s="2" t="s">
        <v>40</v>
      </c>
      <c r="C7043" s="2">
        <v>38</v>
      </c>
    </row>
    <row r="7044" spans="1:3" x14ac:dyDescent="0.25">
      <c r="A7044" s="3">
        <v>41541</v>
      </c>
      <c r="B7044" s="2" t="s">
        <v>13</v>
      </c>
      <c r="C7044" s="2">
        <v>21</v>
      </c>
    </row>
    <row r="7045" spans="1:3" x14ac:dyDescent="0.25">
      <c r="A7045" s="3">
        <v>41763</v>
      </c>
      <c r="B7045" s="2" t="s">
        <v>2</v>
      </c>
      <c r="C7045" s="2">
        <v>5</v>
      </c>
    </row>
    <row r="7046" spans="1:3" x14ac:dyDescent="0.25">
      <c r="A7046" s="3">
        <v>41741</v>
      </c>
      <c r="B7046" s="2" t="s">
        <v>24</v>
      </c>
      <c r="C7046" s="2">
        <v>50</v>
      </c>
    </row>
    <row r="7047" spans="1:3" x14ac:dyDescent="0.25">
      <c r="A7047" s="3">
        <v>41787</v>
      </c>
      <c r="B7047" s="2" t="s">
        <v>35</v>
      </c>
      <c r="C7047" s="2">
        <v>21</v>
      </c>
    </row>
    <row r="7048" spans="1:3" x14ac:dyDescent="0.25">
      <c r="A7048" s="3">
        <v>41982</v>
      </c>
      <c r="B7048" s="2" t="s">
        <v>21</v>
      </c>
      <c r="C7048" s="2">
        <v>15</v>
      </c>
    </row>
    <row r="7049" spans="1:3" x14ac:dyDescent="0.25">
      <c r="A7049" s="3">
        <v>41913</v>
      </c>
      <c r="B7049" s="2" t="s">
        <v>14</v>
      </c>
      <c r="C7049" s="2">
        <v>22</v>
      </c>
    </row>
    <row r="7050" spans="1:3" x14ac:dyDescent="0.25">
      <c r="A7050" s="3">
        <v>41536</v>
      </c>
      <c r="B7050" s="2" t="s">
        <v>4</v>
      </c>
      <c r="C7050" s="2">
        <v>39</v>
      </c>
    </row>
    <row r="7051" spans="1:3" x14ac:dyDescent="0.25">
      <c r="A7051" s="3">
        <v>41334</v>
      </c>
      <c r="B7051" s="2" t="s">
        <v>16</v>
      </c>
      <c r="C7051" s="2">
        <v>13</v>
      </c>
    </row>
    <row r="7052" spans="1:3" x14ac:dyDescent="0.25">
      <c r="A7052" s="3">
        <v>41891</v>
      </c>
      <c r="B7052" s="2" t="s">
        <v>9</v>
      </c>
      <c r="C7052" s="2">
        <v>28</v>
      </c>
    </row>
    <row r="7053" spans="1:3" x14ac:dyDescent="0.25">
      <c r="A7053" s="3">
        <v>41892</v>
      </c>
      <c r="B7053" s="2" t="s">
        <v>12</v>
      </c>
      <c r="C7053" s="2">
        <v>0</v>
      </c>
    </row>
    <row r="7054" spans="1:3" x14ac:dyDescent="0.25">
      <c r="A7054" s="3">
        <v>41922</v>
      </c>
      <c r="B7054" s="2" t="s">
        <v>22</v>
      </c>
      <c r="C7054" s="2">
        <v>5</v>
      </c>
    </row>
    <row r="7055" spans="1:3" x14ac:dyDescent="0.25">
      <c r="A7055" s="3">
        <v>41392</v>
      </c>
      <c r="B7055" s="2" t="s">
        <v>15</v>
      </c>
      <c r="C7055" s="2">
        <v>3</v>
      </c>
    </row>
    <row r="7056" spans="1:3" x14ac:dyDescent="0.25">
      <c r="A7056" s="3">
        <v>41729</v>
      </c>
      <c r="B7056" s="2" t="s">
        <v>36</v>
      </c>
      <c r="C7056" s="2">
        <v>26</v>
      </c>
    </row>
    <row r="7057" spans="1:3" x14ac:dyDescent="0.25">
      <c r="A7057" s="3">
        <v>41892</v>
      </c>
      <c r="B7057" s="2" t="s">
        <v>9</v>
      </c>
      <c r="C7057" s="2">
        <v>45</v>
      </c>
    </row>
    <row r="7058" spans="1:3" x14ac:dyDescent="0.25">
      <c r="A7058" s="3">
        <v>42001</v>
      </c>
      <c r="B7058" s="2" t="s">
        <v>34</v>
      </c>
      <c r="C7058" s="2">
        <v>14</v>
      </c>
    </row>
    <row r="7059" spans="1:3" x14ac:dyDescent="0.25">
      <c r="A7059" s="3">
        <v>41324</v>
      </c>
      <c r="B7059" s="2" t="s">
        <v>21</v>
      </c>
      <c r="C7059" s="2">
        <v>31</v>
      </c>
    </row>
    <row r="7060" spans="1:3" x14ac:dyDescent="0.25">
      <c r="A7060" s="3">
        <v>41949</v>
      </c>
      <c r="B7060" s="2" t="s">
        <v>12</v>
      </c>
      <c r="C7060" s="2">
        <v>63</v>
      </c>
    </row>
    <row r="7061" spans="1:3" x14ac:dyDescent="0.25">
      <c r="A7061" s="3">
        <v>41599</v>
      </c>
      <c r="B7061" s="2" t="s">
        <v>15</v>
      </c>
      <c r="C7061" s="2">
        <v>44</v>
      </c>
    </row>
    <row r="7062" spans="1:3" x14ac:dyDescent="0.25">
      <c r="A7062" s="3">
        <v>41421</v>
      </c>
      <c r="B7062" s="2" t="s">
        <v>20</v>
      </c>
      <c r="C7062" s="2">
        <v>30</v>
      </c>
    </row>
    <row r="7063" spans="1:3" x14ac:dyDescent="0.25">
      <c r="A7063" s="3">
        <v>41280</v>
      </c>
      <c r="B7063" s="2" t="s">
        <v>15</v>
      </c>
      <c r="C7063" s="2">
        <v>32</v>
      </c>
    </row>
    <row r="7064" spans="1:3" x14ac:dyDescent="0.25">
      <c r="A7064" s="3">
        <v>41489</v>
      </c>
      <c r="B7064" s="2" t="s">
        <v>41</v>
      </c>
      <c r="C7064" s="2">
        <v>35</v>
      </c>
    </row>
    <row r="7065" spans="1:3" x14ac:dyDescent="0.25">
      <c r="A7065" s="3">
        <v>41387</v>
      </c>
      <c r="B7065" s="2" t="s">
        <v>50</v>
      </c>
      <c r="C7065" s="2">
        <v>25</v>
      </c>
    </row>
    <row r="7066" spans="1:3" x14ac:dyDescent="0.25">
      <c r="A7066" s="3">
        <v>41411</v>
      </c>
      <c r="B7066" s="2" t="s">
        <v>26</v>
      </c>
      <c r="C7066" s="2">
        <v>11</v>
      </c>
    </row>
    <row r="7067" spans="1:3" x14ac:dyDescent="0.25">
      <c r="A7067" s="3">
        <v>41427</v>
      </c>
      <c r="B7067" s="2" t="s">
        <v>49</v>
      </c>
      <c r="C7067" s="2">
        <v>27</v>
      </c>
    </row>
    <row r="7068" spans="1:3" x14ac:dyDescent="0.25">
      <c r="A7068" s="3">
        <v>41298</v>
      </c>
      <c r="B7068" s="2" t="s">
        <v>42</v>
      </c>
      <c r="C7068" s="2">
        <v>31</v>
      </c>
    </row>
    <row r="7069" spans="1:3" x14ac:dyDescent="0.25">
      <c r="A7069" s="3">
        <v>41882</v>
      </c>
      <c r="B7069" s="2" t="s">
        <v>50</v>
      </c>
      <c r="C7069" s="2">
        <v>25</v>
      </c>
    </row>
    <row r="7070" spans="1:3" x14ac:dyDescent="0.25">
      <c r="A7070" s="3">
        <v>41425</v>
      </c>
      <c r="B7070" s="2" t="s">
        <v>13</v>
      </c>
      <c r="C7070" s="2">
        <v>22</v>
      </c>
    </row>
    <row r="7071" spans="1:3" x14ac:dyDescent="0.25">
      <c r="A7071" s="3">
        <v>41499</v>
      </c>
      <c r="B7071" s="2" t="s">
        <v>3</v>
      </c>
      <c r="C7071" s="2">
        <v>8</v>
      </c>
    </row>
    <row r="7072" spans="1:3" x14ac:dyDescent="0.25">
      <c r="A7072" s="3">
        <v>41394</v>
      </c>
      <c r="B7072" s="2" t="s">
        <v>23</v>
      </c>
      <c r="C7072" s="2">
        <v>33</v>
      </c>
    </row>
    <row r="7073" spans="1:3" x14ac:dyDescent="0.25">
      <c r="A7073" s="3">
        <v>41373</v>
      </c>
      <c r="B7073" s="2" t="s">
        <v>7</v>
      </c>
      <c r="C7073" s="2">
        <v>35</v>
      </c>
    </row>
    <row r="7074" spans="1:3" x14ac:dyDescent="0.25">
      <c r="A7074" s="3">
        <v>41899</v>
      </c>
      <c r="B7074" s="2" t="s">
        <v>22</v>
      </c>
      <c r="C7074" s="2">
        <v>47</v>
      </c>
    </row>
    <row r="7075" spans="1:3" x14ac:dyDescent="0.25">
      <c r="A7075" s="3">
        <v>41586</v>
      </c>
      <c r="B7075" s="2" t="s">
        <v>39</v>
      </c>
      <c r="C7075" s="2">
        <v>37</v>
      </c>
    </row>
    <row r="7076" spans="1:3" x14ac:dyDescent="0.25">
      <c r="A7076" s="3">
        <v>41863</v>
      </c>
      <c r="B7076" s="2" t="s">
        <v>26</v>
      </c>
      <c r="C7076" s="2">
        <v>20</v>
      </c>
    </row>
    <row r="7077" spans="1:3" x14ac:dyDescent="0.25">
      <c r="A7077" s="3">
        <v>41579</v>
      </c>
      <c r="B7077" s="2" t="s">
        <v>20</v>
      </c>
      <c r="C7077" s="2">
        <v>9</v>
      </c>
    </row>
    <row r="7078" spans="1:3" x14ac:dyDescent="0.25">
      <c r="A7078" s="3">
        <v>41443</v>
      </c>
      <c r="B7078" s="2" t="s">
        <v>12</v>
      </c>
      <c r="C7078" s="2">
        <v>20</v>
      </c>
    </row>
    <row r="7079" spans="1:3" x14ac:dyDescent="0.25">
      <c r="A7079" s="3">
        <v>41381</v>
      </c>
      <c r="B7079" s="2" t="s">
        <v>44</v>
      </c>
      <c r="C7079" s="2">
        <v>44</v>
      </c>
    </row>
    <row r="7080" spans="1:3" x14ac:dyDescent="0.25">
      <c r="A7080" s="3">
        <v>41972</v>
      </c>
      <c r="B7080" s="2" t="s">
        <v>14</v>
      </c>
      <c r="C7080" s="2">
        <v>42</v>
      </c>
    </row>
    <row r="7081" spans="1:3" x14ac:dyDescent="0.25">
      <c r="A7081" s="3">
        <v>41800</v>
      </c>
      <c r="B7081" s="2" t="s">
        <v>16</v>
      </c>
      <c r="C7081" s="2">
        <v>27</v>
      </c>
    </row>
    <row r="7082" spans="1:3" x14ac:dyDescent="0.25">
      <c r="A7082" s="3">
        <v>41385</v>
      </c>
      <c r="B7082" s="2" t="s">
        <v>46</v>
      </c>
      <c r="C7082" s="2">
        <v>31</v>
      </c>
    </row>
    <row r="7083" spans="1:3" x14ac:dyDescent="0.25">
      <c r="A7083" s="3">
        <v>41754</v>
      </c>
      <c r="B7083" s="2" t="s">
        <v>49</v>
      </c>
      <c r="C7083" s="2">
        <v>14</v>
      </c>
    </row>
    <row r="7084" spans="1:3" x14ac:dyDescent="0.25">
      <c r="A7084" s="3">
        <v>41703</v>
      </c>
      <c r="B7084" s="2" t="s">
        <v>42</v>
      </c>
      <c r="C7084" s="2">
        <v>40</v>
      </c>
    </row>
    <row r="7085" spans="1:3" x14ac:dyDescent="0.25">
      <c r="A7085" s="3">
        <v>41961</v>
      </c>
      <c r="B7085" s="2" t="s">
        <v>29</v>
      </c>
      <c r="C7085" s="2">
        <v>30</v>
      </c>
    </row>
    <row r="7086" spans="1:3" x14ac:dyDescent="0.25">
      <c r="A7086" s="3">
        <v>41288</v>
      </c>
      <c r="B7086" s="2" t="s">
        <v>14</v>
      </c>
      <c r="C7086" s="2">
        <v>47</v>
      </c>
    </row>
    <row r="7087" spans="1:3" x14ac:dyDescent="0.25">
      <c r="A7087" s="3">
        <v>41696</v>
      </c>
      <c r="B7087" s="2" t="s">
        <v>13</v>
      </c>
      <c r="C7087" s="2">
        <v>18</v>
      </c>
    </row>
    <row r="7088" spans="1:3" x14ac:dyDescent="0.25">
      <c r="A7088" s="3">
        <v>41690</v>
      </c>
      <c r="B7088" s="2" t="s">
        <v>5</v>
      </c>
      <c r="C7088" s="2">
        <v>37</v>
      </c>
    </row>
    <row r="7089" spans="1:3" x14ac:dyDescent="0.25">
      <c r="A7089" s="3">
        <v>41787</v>
      </c>
      <c r="B7089" s="2" t="s">
        <v>47</v>
      </c>
      <c r="C7089" s="2">
        <v>52</v>
      </c>
    </row>
    <row r="7090" spans="1:3" x14ac:dyDescent="0.25">
      <c r="A7090" s="3">
        <v>41944</v>
      </c>
      <c r="B7090" s="2" t="s">
        <v>43</v>
      </c>
      <c r="C7090" s="2">
        <v>31</v>
      </c>
    </row>
    <row r="7091" spans="1:3" x14ac:dyDescent="0.25">
      <c r="A7091" s="3">
        <v>41597</v>
      </c>
      <c r="B7091" s="2" t="s">
        <v>30</v>
      </c>
      <c r="C7091" s="2">
        <v>13</v>
      </c>
    </row>
    <row r="7092" spans="1:3" x14ac:dyDescent="0.25">
      <c r="A7092" s="3">
        <v>41579</v>
      </c>
      <c r="B7092" s="2" t="s">
        <v>37</v>
      </c>
      <c r="C7092" s="2">
        <v>3</v>
      </c>
    </row>
    <row r="7093" spans="1:3" x14ac:dyDescent="0.25">
      <c r="A7093" s="3">
        <v>41643</v>
      </c>
      <c r="B7093" s="2" t="s">
        <v>34</v>
      </c>
      <c r="C7093" s="2">
        <v>5</v>
      </c>
    </row>
    <row r="7094" spans="1:3" x14ac:dyDescent="0.25">
      <c r="A7094" s="3">
        <v>41725</v>
      </c>
      <c r="B7094" s="2" t="s">
        <v>16</v>
      </c>
      <c r="C7094" s="2">
        <v>51</v>
      </c>
    </row>
    <row r="7095" spans="1:3" x14ac:dyDescent="0.25">
      <c r="A7095" s="3">
        <v>41873</v>
      </c>
      <c r="B7095" s="2" t="s">
        <v>27</v>
      </c>
      <c r="C7095" s="2">
        <v>39</v>
      </c>
    </row>
    <row r="7096" spans="1:3" x14ac:dyDescent="0.25">
      <c r="A7096" s="3">
        <v>41818</v>
      </c>
      <c r="B7096" s="2" t="s">
        <v>32</v>
      </c>
      <c r="C7096" s="2">
        <v>46</v>
      </c>
    </row>
    <row r="7097" spans="1:3" x14ac:dyDescent="0.25">
      <c r="A7097" s="3">
        <v>41746</v>
      </c>
      <c r="B7097" s="2" t="s">
        <v>43</v>
      </c>
      <c r="C7097" s="2">
        <v>33</v>
      </c>
    </row>
    <row r="7098" spans="1:3" x14ac:dyDescent="0.25">
      <c r="A7098" s="3">
        <v>41879</v>
      </c>
      <c r="B7098" s="2" t="s">
        <v>45</v>
      </c>
      <c r="C7098" s="2">
        <v>34</v>
      </c>
    </row>
    <row r="7099" spans="1:3" x14ac:dyDescent="0.25">
      <c r="A7099" s="3">
        <v>41907</v>
      </c>
      <c r="B7099" s="2" t="s">
        <v>16</v>
      </c>
      <c r="C7099" s="2">
        <v>29</v>
      </c>
    </row>
    <row r="7100" spans="1:3" x14ac:dyDescent="0.25">
      <c r="A7100" s="3">
        <v>41275</v>
      </c>
      <c r="B7100" s="2" t="s">
        <v>37</v>
      </c>
      <c r="C7100" s="2">
        <v>25</v>
      </c>
    </row>
    <row r="7101" spans="1:3" x14ac:dyDescent="0.25">
      <c r="A7101" s="3">
        <v>41667</v>
      </c>
      <c r="B7101" s="2" t="s">
        <v>22</v>
      </c>
      <c r="C7101" s="2">
        <v>25</v>
      </c>
    </row>
    <row r="7102" spans="1:3" x14ac:dyDescent="0.25">
      <c r="A7102" s="3">
        <v>41939</v>
      </c>
      <c r="B7102" s="2" t="s">
        <v>28</v>
      </c>
      <c r="C7102" s="2">
        <v>39</v>
      </c>
    </row>
    <row r="7103" spans="1:3" x14ac:dyDescent="0.25">
      <c r="A7103" s="3">
        <v>41521</v>
      </c>
      <c r="B7103" s="2" t="s">
        <v>33</v>
      </c>
      <c r="C7103" s="2">
        <v>34</v>
      </c>
    </row>
    <row r="7104" spans="1:3" x14ac:dyDescent="0.25">
      <c r="A7104" s="3">
        <v>41481</v>
      </c>
      <c r="B7104" s="2" t="s">
        <v>41</v>
      </c>
      <c r="C7104" s="2">
        <v>29</v>
      </c>
    </row>
    <row r="7105" spans="1:3" x14ac:dyDescent="0.25">
      <c r="A7105" s="3">
        <v>41660</v>
      </c>
      <c r="B7105" s="2" t="s">
        <v>21</v>
      </c>
      <c r="C7105" s="2">
        <v>9</v>
      </c>
    </row>
    <row r="7106" spans="1:3" x14ac:dyDescent="0.25">
      <c r="A7106" s="3">
        <v>41368</v>
      </c>
      <c r="B7106" s="2" t="s">
        <v>12</v>
      </c>
      <c r="C7106" s="2">
        <v>18</v>
      </c>
    </row>
    <row r="7107" spans="1:3" x14ac:dyDescent="0.25">
      <c r="A7107" s="3">
        <v>41359</v>
      </c>
      <c r="B7107" s="2" t="s">
        <v>24</v>
      </c>
      <c r="C7107" s="2">
        <v>7</v>
      </c>
    </row>
    <row r="7108" spans="1:3" x14ac:dyDescent="0.25">
      <c r="A7108" s="3">
        <v>41922</v>
      </c>
      <c r="B7108" s="2" t="s">
        <v>3</v>
      </c>
      <c r="C7108" s="2">
        <v>44</v>
      </c>
    </row>
    <row r="7109" spans="1:3" x14ac:dyDescent="0.25">
      <c r="A7109" s="3">
        <v>41880</v>
      </c>
      <c r="B7109" s="2" t="s">
        <v>5</v>
      </c>
      <c r="C7109" s="2">
        <v>29</v>
      </c>
    </row>
    <row r="7110" spans="1:3" x14ac:dyDescent="0.25">
      <c r="A7110" s="3">
        <v>41787</v>
      </c>
      <c r="B7110" s="2" t="s">
        <v>11</v>
      </c>
      <c r="C7110" s="2">
        <v>11</v>
      </c>
    </row>
    <row r="7111" spans="1:3" x14ac:dyDescent="0.25">
      <c r="A7111" s="3">
        <v>41830</v>
      </c>
      <c r="B7111" s="2" t="s">
        <v>5</v>
      </c>
      <c r="C7111" s="2">
        <v>38</v>
      </c>
    </row>
    <row r="7112" spans="1:3" x14ac:dyDescent="0.25">
      <c r="A7112" s="3">
        <v>41397</v>
      </c>
      <c r="B7112" s="2" t="s">
        <v>45</v>
      </c>
      <c r="C7112" s="2">
        <v>31</v>
      </c>
    </row>
    <row r="7113" spans="1:3" x14ac:dyDescent="0.25">
      <c r="A7113" s="3">
        <v>41278</v>
      </c>
      <c r="B7113" s="2" t="s">
        <v>36</v>
      </c>
      <c r="C7113" s="2">
        <v>20</v>
      </c>
    </row>
    <row r="7114" spans="1:3" x14ac:dyDescent="0.25">
      <c r="A7114" s="3">
        <v>41980</v>
      </c>
      <c r="B7114" s="2" t="s">
        <v>30</v>
      </c>
      <c r="C7114" s="2">
        <v>59</v>
      </c>
    </row>
    <row r="7115" spans="1:3" x14ac:dyDescent="0.25">
      <c r="A7115" s="3">
        <v>41871</v>
      </c>
      <c r="B7115" s="2" t="s">
        <v>10</v>
      </c>
      <c r="C7115" s="2">
        <v>25</v>
      </c>
    </row>
    <row r="7116" spans="1:3" x14ac:dyDescent="0.25">
      <c r="A7116" s="3">
        <v>41403</v>
      </c>
      <c r="B7116" s="2" t="s">
        <v>18</v>
      </c>
      <c r="C7116" s="2">
        <v>7</v>
      </c>
    </row>
    <row r="7117" spans="1:3" x14ac:dyDescent="0.25">
      <c r="A7117" s="3">
        <v>41634</v>
      </c>
      <c r="B7117" s="2" t="s">
        <v>10</v>
      </c>
      <c r="C7117" s="2">
        <v>38</v>
      </c>
    </row>
    <row r="7118" spans="1:3" x14ac:dyDescent="0.25">
      <c r="A7118" s="3">
        <v>41892</v>
      </c>
      <c r="B7118" s="2" t="s">
        <v>15</v>
      </c>
      <c r="C7118" s="2">
        <v>57</v>
      </c>
    </row>
    <row r="7119" spans="1:3" x14ac:dyDescent="0.25">
      <c r="A7119" s="3">
        <v>41762</v>
      </c>
      <c r="B7119" s="2" t="s">
        <v>35</v>
      </c>
      <c r="C7119" s="2">
        <v>7</v>
      </c>
    </row>
    <row r="7120" spans="1:3" x14ac:dyDescent="0.25">
      <c r="A7120" s="3">
        <v>41318</v>
      </c>
      <c r="B7120" s="2" t="s">
        <v>36</v>
      </c>
      <c r="C7120" s="2">
        <v>23</v>
      </c>
    </row>
    <row r="7121" spans="1:3" x14ac:dyDescent="0.25">
      <c r="A7121" s="3">
        <v>41868</v>
      </c>
      <c r="B7121" s="2" t="s">
        <v>35</v>
      </c>
      <c r="C7121" s="2">
        <v>9</v>
      </c>
    </row>
    <row r="7122" spans="1:3" x14ac:dyDescent="0.25">
      <c r="A7122" s="3">
        <v>41637</v>
      </c>
      <c r="B7122" s="2" t="s">
        <v>49</v>
      </c>
      <c r="C7122" s="2">
        <v>33</v>
      </c>
    </row>
    <row r="7123" spans="1:3" x14ac:dyDescent="0.25">
      <c r="A7123" s="3">
        <v>41992</v>
      </c>
      <c r="B7123" s="2" t="s">
        <v>15</v>
      </c>
      <c r="C7123" s="2">
        <v>20</v>
      </c>
    </row>
    <row r="7124" spans="1:3" x14ac:dyDescent="0.25">
      <c r="A7124" s="3">
        <v>41573</v>
      </c>
      <c r="B7124" s="2" t="s">
        <v>28</v>
      </c>
      <c r="C7124" s="2">
        <v>30</v>
      </c>
    </row>
    <row r="7125" spans="1:3" x14ac:dyDescent="0.25">
      <c r="A7125" s="3">
        <v>41705</v>
      </c>
      <c r="B7125" s="2" t="s">
        <v>27</v>
      </c>
      <c r="C7125" s="2">
        <v>23</v>
      </c>
    </row>
    <row r="7126" spans="1:3" x14ac:dyDescent="0.25">
      <c r="A7126" s="3">
        <v>41376</v>
      </c>
      <c r="B7126" s="2" t="s">
        <v>36</v>
      </c>
      <c r="C7126" s="2">
        <v>35</v>
      </c>
    </row>
    <row r="7127" spans="1:3" x14ac:dyDescent="0.25">
      <c r="A7127" s="3">
        <v>41374</v>
      </c>
      <c r="B7127" s="2" t="s">
        <v>27</v>
      </c>
      <c r="C7127" s="2">
        <v>32</v>
      </c>
    </row>
    <row r="7128" spans="1:3" x14ac:dyDescent="0.25">
      <c r="A7128" s="3">
        <v>41584</v>
      </c>
      <c r="B7128" s="2" t="s">
        <v>49</v>
      </c>
      <c r="C7128" s="2">
        <v>32</v>
      </c>
    </row>
    <row r="7129" spans="1:3" x14ac:dyDescent="0.25">
      <c r="A7129" s="3">
        <v>41611</v>
      </c>
      <c r="B7129" s="2" t="s">
        <v>26</v>
      </c>
      <c r="C7129" s="2">
        <v>2</v>
      </c>
    </row>
    <row r="7130" spans="1:3" x14ac:dyDescent="0.25">
      <c r="A7130" s="3">
        <v>41488</v>
      </c>
      <c r="B7130" s="2" t="s">
        <v>42</v>
      </c>
      <c r="C7130" s="2">
        <v>40</v>
      </c>
    </row>
    <row r="7131" spans="1:3" x14ac:dyDescent="0.25">
      <c r="A7131" s="3">
        <v>41685</v>
      </c>
      <c r="B7131" s="2" t="s">
        <v>15</v>
      </c>
      <c r="C7131" s="2">
        <v>16</v>
      </c>
    </row>
    <row r="7132" spans="1:3" x14ac:dyDescent="0.25">
      <c r="A7132" s="3">
        <v>41974</v>
      </c>
      <c r="B7132" s="2" t="s">
        <v>12</v>
      </c>
      <c r="C7132" s="2">
        <v>22</v>
      </c>
    </row>
    <row r="7133" spans="1:3" x14ac:dyDescent="0.25">
      <c r="A7133" s="3">
        <v>41296</v>
      </c>
      <c r="B7133" s="2" t="s">
        <v>39</v>
      </c>
      <c r="C7133" s="2">
        <v>4</v>
      </c>
    </row>
    <row r="7134" spans="1:3" x14ac:dyDescent="0.25">
      <c r="A7134" s="3">
        <v>41467</v>
      </c>
      <c r="B7134" s="2" t="s">
        <v>37</v>
      </c>
      <c r="C7134" s="2">
        <v>5</v>
      </c>
    </row>
    <row r="7135" spans="1:3" x14ac:dyDescent="0.25">
      <c r="A7135" s="3">
        <v>41596</v>
      </c>
      <c r="B7135" s="2" t="s">
        <v>23</v>
      </c>
      <c r="C7135" s="2">
        <v>15</v>
      </c>
    </row>
    <row r="7136" spans="1:3" x14ac:dyDescent="0.25">
      <c r="A7136" s="3">
        <v>41586</v>
      </c>
      <c r="B7136" s="2" t="s">
        <v>5</v>
      </c>
      <c r="C7136" s="2">
        <v>15</v>
      </c>
    </row>
    <row r="7137" spans="1:3" x14ac:dyDescent="0.25">
      <c r="A7137" s="3">
        <v>41770</v>
      </c>
      <c r="B7137" s="2" t="s">
        <v>35</v>
      </c>
      <c r="C7137" s="2">
        <v>42</v>
      </c>
    </row>
    <row r="7138" spans="1:3" x14ac:dyDescent="0.25">
      <c r="A7138" s="3">
        <v>41492</v>
      </c>
      <c r="B7138" s="2" t="s">
        <v>16</v>
      </c>
      <c r="C7138" s="2">
        <v>12</v>
      </c>
    </row>
    <row r="7139" spans="1:3" x14ac:dyDescent="0.25">
      <c r="A7139" s="3">
        <v>41427</v>
      </c>
      <c r="B7139" s="2" t="s">
        <v>10</v>
      </c>
      <c r="C7139" s="2">
        <v>30</v>
      </c>
    </row>
    <row r="7140" spans="1:3" x14ac:dyDescent="0.25">
      <c r="A7140" s="3">
        <v>41666</v>
      </c>
      <c r="B7140" s="2" t="s">
        <v>27</v>
      </c>
      <c r="C7140" s="2">
        <v>19</v>
      </c>
    </row>
    <row r="7141" spans="1:3" x14ac:dyDescent="0.25">
      <c r="A7141" s="3">
        <v>41945</v>
      </c>
      <c r="B7141" s="2" t="s">
        <v>2</v>
      </c>
      <c r="C7141" s="2">
        <v>18</v>
      </c>
    </row>
    <row r="7142" spans="1:3" x14ac:dyDescent="0.25">
      <c r="A7142" s="3">
        <v>41762</v>
      </c>
      <c r="B7142" s="2" t="s">
        <v>18</v>
      </c>
      <c r="C7142" s="2">
        <v>39</v>
      </c>
    </row>
    <row r="7143" spans="1:3" x14ac:dyDescent="0.25">
      <c r="A7143" s="3">
        <v>41717</v>
      </c>
      <c r="B7143" s="2" t="s">
        <v>34</v>
      </c>
      <c r="C7143" s="2">
        <v>44</v>
      </c>
    </row>
    <row r="7144" spans="1:3" x14ac:dyDescent="0.25">
      <c r="A7144" s="3">
        <v>41531</v>
      </c>
      <c r="B7144" s="2" t="s">
        <v>30</v>
      </c>
      <c r="C7144" s="2">
        <v>41</v>
      </c>
    </row>
    <row r="7145" spans="1:3" x14ac:dyDescent="0.25">
      <c r="A7145" s="3">
        <v>41538</v>
      </c>
      <c r="B7145" s="2" t="s">
        <v>43</v>
      </c>
      <c r="C7145" s="2">
        <v>45</v>
      </c>
    </row>
    <row r="7146" spans="1:3" x14ac:dyDescent="0.25">
      <c r="A7146" s="3">
        <v>41912</v>
      </c>
      <c r="B7146" s="2" t="s">
        <v>27</v>
      </c>
      <c r="C7146" s="2">
        <v>12</v>
      </c>
    </row>
    <row r="7147" spans="1:3" x14ac:dyDescent="0.25">
      <c r="A7147" s="3">
        <v>41943</v>
      </c>
      <c r="B7147" s="2" t="s">
        <v>17</v>
      </c>
      <c r="C7147" s="2">
        <v>31</v>
      </c>
    </row>
    <row r="7148" spans="1:3" x14ac:dyDescent="0.25">
      <c r="A7148" s="3">
        <v>41927</v>
      </c>
      <c r="B7148" s="2" t="s">
        <v>41</v>
      </c>
      <c r="C7148" s="2">
        <v>53</v>
      </c>
    </row>
    <row r="7149" spans="1:3" x14ac:dyDescent="0.25">
      <c r="A7149" s="3">
        <v>41542</v>
      </c>
      <c r="B7149" s="2" t="s">
        <v>28</v>
      </c>
      <c r="C7149" s="2">
        <v>25</v>
      </c>
    </row>
    <row r="7150" spans="1:3" x14ac:dyDescent="0.25">
      <c r="A7150" s="3">
        <v>41751</v>
      </c>
      <c r="B7150" s="2" t="s">
        <v>28</v>
      </c>
      <c r="C7150" s="2">
        <v>13</v>
      </c>
    </row>
    <row r="7151" spans="1:3" x14ac:dyDescent="0.25">
      <c r="A7151" s="3">
        <v>41667</v>
      </c>
      <c r="B7151" s="2" t="s">
        <v>13</v>
      </c>
      <c r="C7151" s="2">
        <v>19</v>
      </c>
    </row>
    <row r="7152" spans="1:3" x14ac:dyDescent="0.25">
      <c r="A7152" s="3">
        <v>41840</v>
      </c>
      <c r="B7152" s="2" t="s">
        <v>3</v>
      </c>
      <c r="C7152" s="2">
        <v>21</v>
      </c>
    </row>
    <row r="7153" spans="1:3" x14ac:dyDescent="0.25">
      <c r="A7153" s="3">
        <v>41310</v>
      </c>
      <c r="B7153" s="2" t="s">
        <v>39</v>
      </c>
      <c r="C7153" s="2">
        <v>21</v>
      </c>
    </row>
    <row r="7154" spans="1:3" x14ac:dyDescent="0.25">
      <c r="A7154" s="3">
        <v>41680</v>
      </c>
      <c r="B7154" s="2" t="s">
        <v>48</v>
      </c>
      <c r="C7154" s="2">
        <v>27</v>
      </c>
    </row>
    <row r="7155" spans="1:3" x14ac:dyDescent="0.25">
      <c r="A7155" s="3">
        <v>41314</v>
      </c>
      <c r="B7155" s="2" t="s">
        <v>35</v>
      </c>
      <c r="C7155" s="2">
        <v>24</v>
      </c>
    </row>
    <row r="7156" spans="1:3" x14ac:dyDescent="0.25">
      <c r="A7156" s="3">
        <v>41791</v>
      </c>
      <c r="B7156" s="2" t="s">
        <v>33</v>
      </c>
      <c r="C7156" s="2">
        <v>31</v>
      </c>
    </row>
    <row r="7157" spans="1:3" x14ac:dyDescent="0.25">
      <c r="A7157" s="3">
        <v>41638</v>
      </c>
      <c r="B7157" s="2" t="s">
        <v>15</v>
      </c>
      <c r="C7157" s="2">
        <v>37</v>
      </c>
    </row>
    <row r="7158" spans="1:3" x14ac:dyDescent="0.25">
      <c r="A7158" s="3">
        <v>41709</v>
      </c>
      <c r="B7158" s="2" t="s">
        <v>18</v>
      </c>
      <c r="C7158" s="2">
        <v>29</v>
      </c>
    </row>
    <row r="7159" spans="1:3" x14ac:dyDescent="0.25">
      <c r="A7159" s="3">
        <v>41385</v>
      </c>
      <c r="B7159" s="2" t="s">
        <v>48</v>
      </c>
      <c r="C7159" s="2">
        <v>40</v>
      </c>
    </row>
    <row r="7160" spans="1:3" x14ac:dyDescent="0.25">
      <c r="A7160" s="3">
        <v>41280</v>
      </c>
      <c r="B7160" s="2" t="s">
        <v>27</v>
      </c>
      <c r="C7160" s="2">
        <v>36</v>
      </c>
    </row>
    <row r="7161" spans="1:3" x14ac:dyDescent="0.25">
      <c r="A7161" s="3">
        <v>41499</v>
      </c>
      <c r="B7161" s="2" t="s">
        <v>29</v>
      </c>
      <c r="C7161" s="2">
        <v>18</v>
      </c>
    </row>
    <row r="7162" spans="1:3" x14ac:dyDescent="0.25">
      <c r="A7162" s="3">
        <v>41315</v>
      </c>
      <c r="B7162" s="2" t="s">
        <v>21</v>
      </c>
      <c r="C7162" s="2">
        <v>24</v>
      </c>
    </row>
    <row r="7163" spans="1:3" x14ac:dyDescent="0.25">
      <c r="A7163" s="3">
        <v>41584</v>
      </c>
      <c r="B7163" s="2" t="s">
        <v>43</v>
      </c>
      <c r="C7163" s="2">
        <v>41</v>
      </c>
    </row>
    <row r="7164" spans="1:3" x14ac:dyDescent="0.25">
      <c r="A7164" s="3">
        <v>41803</v>
      </c>
      <c r="B7164" s="2" t="s">
        <v>21</v>
      </c>
      <c r="C7164" s="2">
        <v>40</v>
      </c>
    </row>
    <row r="7165" spans="1:3" x14ac:dyDescent="0.25">
      <c r="A7165" s="3">
        <v>41715</v>
      </c>
      <c r="B7165" s="2" t="s">
        <v>28</v>
      </c>
      <c r="C7165" s="2">
        <v>11</v>
      </c>
    </row>
    <row r="7166" spans="1:3" x14ac:dyDescent="0.25">
      <c r="A7166" s="3">
        <v>41655</v>
      </c>
      <c r="B7166" s="2" t="s">
        <v>19</v>
      </c>
      <c r="C7166" s="2">
        <v>8</v>
      </c>
    </row>
    <row r="7167" spans="1:3" x14ac:dyDescent="0.25">
      <c r="A7167" s="3">
        <v>41657</v>
      </c>
      <c r="B7167" s="2" t="s">
        <v>31</v>
      </c>
      <c r="C7167" s="2">
        <v>33</v>
      </c>
    </row>
    <row r="7168" spans="1:3" x14ac:dyDescent="0.25">
      <c r="A7168" s="3">
        <v>41818</v>
      </c>
      <c r="B7168" s="2" t="s">
        <v>35</v>
      </c>
      <c r="C7168" s="2">
        <v>57</v>
      </c>
    </row>
    <row r="7169" spans="1:3" x14ac:dyDescent="0.25">
      <c r="A7169" s="3">
        <v>41353</v>
      </c>
      <c r="B7169" s="2" t="s">
        <v>33</v>
      </c>
      <c r="C7169" s="2">
        <v>12</v>
      </c>
    </row>
    <row r="7170" spans="1:3" x14ac:dyDescent="0.25">
      <c r="A7170" s="3">
        <v>41307</v>
      </c>
      <c r="B7170" s="2" t="s">
        <v>25</v>
      </c>
      <c r="C7170" s="2">
        <v>22</v>
      </c>
    </row>
    <row r="7171" spans="1:3" x14ac:dyDescent="0.25">
      <c r="A7171" s="3">
        <v>41668</v>
      </c>
      <c r="B7171" s="2" t="s">
        <v>7</v>
      </c>
      <c r="C7171" s="2">
        <v>27</v>
      </c>
    </row>
    <row r="7172" spans="1:3" x14ac:dyDescent="0.25">
      <c r="A7172" s="3">
        <v>41317</v>
      </c>
      <c r="B7172" s="2" t="s">
        <v>5</v>
      </c>
      <c r="C7172" s="2">
        <v>19</v>
      </c>
    </row>
    <row r="7173" spans="1:3" x14ac:dyDescent="0.25">
      <c r="A7173" s="3">
        <v>41917</v>
      </c>
      <c r="B7173" s="2" t="s">
        <v>11</v>
      </c>
      <c r="C7173" s="2">
        <v>3</v>
      </c>
    </row>
    <row r="7174" spans="1:3" x14ac:dyDescent="0.25">
      <c r="A7174" s="3">
        <v>41616</v>
      </c>
      <c r="B7174" s="2" t="s">
        <v>51</v>
      </c>
      <c r="C7174" s="2">
        <v>36</v>
      </c>
    </row>
    <row r="7175" spans="1:3" x14ac:dyDescent="0.25">
      <c r="A7175" s="3">
        <v>41588</v>
      </c>
      <c r="B7175" s="2" t="s">
        <v>40</v>
      </c>
      <c r="C7175" s="2">
        <v>18</v>
      </c>
    </row>
    <row r="7176" spans="1:3" x14ac:dyDescent="0.25">
      <c r="A7176" s="3">
        <v>41999</v>
      </c>
      <c r="B7176" s="2" t="s">
        <v>45</v>
      </c>
      <c r="C7176" s="2">
        <v>15</v>
      </c>
    </row>
    <row r="7177" spans="1:3" x14ac:dyDescent="0.25">
      <c r="A7177" s="3">
        <v>41575</v>
      </c>
      <c r="B7177" s="2" t="s">
        <v>33</v>
      </c>
      <c r="C7177" s="2">
        <v>39</v>
      </c>
    </row>
    <row r="7178" spans="1:3" x14ac:dyDescent="0.25">
      <c r="A7178" s="3">
        <v>41600</v>
      </c>
      <c r="B7178" s="2" t="s">
        <v>28</v>
      </c>
      <c r="C7178" s="2">
        <v>23</v>
      </c>
    </row>
    <row r="7179" spans="1:3" x14ac:dyDescent="0.25">
      <c r="A7179" s="3">
        <v>41759</v>
      </c>
      <c r="B7179" s="2" t="s">
        <v>41</v>
      </c>
      <c r="C7179" s="2">
        <v>42</v>
      </c>
    </row>
    <row r="7180" spans="1:3" x14ac:dyDescent="0.25">
      <c r="A7180" s="3">
        <v>41461</v>
      </c>
      <c r="B7180" s="2" t="s">
        <v>11</v>
      </c>
      <c r="C7180" s="2">
        <v>15</v>
      </c>
    </row>
    <row r="7181" spans="1:3" x14ac:dyDescent="0.25">
      <c r="A7181" s="3">
        <v>41477</v>
      </c>
      <c r="B7181" s="2" t="s">
        <v>38</v>
      </c>
      <c r="C7181" s="2">
        <v>43</v>
      </c>
    </row>
    <row r="7182" spans="1:3" x14ac:dyDescent="0.25">
      <c r="A7182" s="3">
        <v>41572</v>
      </c>
      <c r="B7182" s="2" t="s">
        <v>2</v>
      </c>
      <c r="C7182" s="2">
        <v>12</v>
      </c>
    </row>
    <row r="7183" spans="1:3" x14ac:dyDescent="0.25">
      <c r="A7183" s="3">
        <v>41702</v>
      </c>
      <c r="B7183" s="2" t="s">
        <v>42</v>
      </c>
      <c r="C7183" s="2">
        <v>38</v>
      </c>
    </row>
    <row r="7184" spans="1:3" x14ac:dyDescent="0.25">
      <c r="A7184" s="3">
        <v>41407</v>
      </c>
      <c r="B7184" s="2" t="s">
        <v>27</v>
      </c>
      <c r="C7184" s="2">
        <v>13</v>
      </c>
    </row>
    <row r="7185" spans="1:3" x14ac:dyDescent="0.25">
      <c r="A7185" s="3">
        <v>41711</v>
      </c>
      <c r="B7185" s="2" t="s">
        <v>24</v>
      </c>
      <c r="C7185" s="2">
        <v>20</v>
      </c>
    </row>
    <row r="7186" spans="1:3" x14ac:dyDescent="0.25">
      <c r="A7186" s="3">
        <v>41671</v>
      </c>
      <c r="B7186" s="2" t="s">
        <v>22</v>
      </c>
      <c r="C7186" s="2">
        <v>48</v>
      </c>
    </row>
    <row r="7187" spans="1:3" x14ac:dyDescent="0.25">
      <c r="A7187" s="3">
        <v>41858</v>
      </c>
      <c r="B7187" s="2" t="s">
        <v>13</v>
      </c>
      <c r="C7187" s="2">
        <v>34</v>
      </c>
    </row>
    <row r="7188" spans="1:3" x14ac:dyDescent="0.25">
      <c r="A7188" s="3">
        <v>41518</v>
      </c>
      <c r="B7188" s="2" t="s">
        <v>19</v>
      </c>
      <c r="C7188" s="2">
        <v>18</v>
      </c>
    </row>
    <row r="7189" spans="1:3" x14ac:dyDescent="0.25">
      <c r="A7189" s="3">
        <v>41334</v>
      </c>
      <c r="B7189" s="2" t="s">
        <v>4</v>
      </c>
      <c r="C7189" s="2">
        <v>19</v>
      </c>
    </row>
    <row r="7190" spans="1:3" x14ac:dyDescent="0.25">
      <c r="A7190" s="3">
        <v>41581</v>
      </c>
      <c r="B7190" s="2" t="s">
        <v>34</v>
      </c>
      <c r="C7190" s="2">
        <v>19</v>
      </c>
    </row>
    <row r="7191" spans="1:3" x14ac:dyDescent="0.25">
      <c r="A7191" s="3">
        <v>41358</v>
      </c>
      <c r="B7191" s="2" t="s">
        <v>32</v>
      </c>
      <c r="C7191" s="2">
        <v>18</v>
      </c>
    </row>
    <row r="7192" spans="1:3" x14ac:dyDescent="0.25">
      <c r="A7192" s="3">
        <v>41737</v>
      </c>
      <c r="B7192" s="2" t="s">
        <v>17</v>
      </c>
      <c r="C7192" s="2">
        <v>57</v>
      </c>
    </row>
    <row r="7193" spans="1:3" x14ac:dyDescent="0.25">
      <c r="A7193" s="3">
        <v>41371</v>
      </c>
      <c r="B7193" s="2" t="s">
        <v>32</v>
      </c>
      <c r="C7193" s="2">
        <v>39</v>
      </c>
    </row>
    <row r="7194" spans="1:3" x14ac:dyDescent="0.25">
      <c r="A7194" s="3">
        <v>41607</v>
      </c>
      <c r="B7194" s="2" t="s">
        <v>18</v>
      </c>
      <c r="C7194" s="2">
        <v>33</v>
      </c>
    </row>
    <row r="7195" spans="1:3" x14ac:dyDescent="0.25">
      <c r="A7195" s="3">
        <v>41403</v>
      </c>
      <c r="B7195" s="2" t="s">
        <v>7</v>
      </c>
      <c r="C7195" s="2">
        <v>34</v>
      </c>
    </row>
    <row r="7196" spans="1:3" x14ac:dyDescent="0.25">
      <c r="A7196" s="3">
        <v>41882</v>
      </c>
      <c r="B7196" s="2" t="s">
        <v>36</v>
      </c>
      <c r="C7196" s="2">
        <v>7</v>
      </c>
    </row>
    <row r="7197" spans="1:3" x14ac:dyDescent="0.25">
      <c r="A7197" s="3">
        <v>41685</v>
      </c>
      <c r="B7197" s="2" t="s">
        <v>2</v>
      </c>
      <c r="C7197" s="2">
        <v>19</v>
      </c>
    </row>
    <row r="7198" spans="1:3" x14ac:dyDescent="0.25">
      <c r="A7198" s="3">
        <v>41504</v>
      </c>
      <c r="B7198" s="2" t="s">
        <v>35</v>
      </c>
      <c r="C7198" s="2">
        <v>14</v>
      </c>
    </row>
    <row r="7199" spans="1:3" x14ac:dyDescent="0.25">
      <c r="A7199" s="3">
        <v>41596</v>
      </c>
      <c r="B7199" s="2" t="s">
        <v>8</v>
      </c>
      <c r="C7199" s="2">
        <v>2</v>
      </c>
    </row>
    <row r="7200" spans="1:3" x14ac:dyDescent="0.25">
      <c r="A7200" s="3">
        <v>41912</v>
      </c>
      <c r="B7200" s="2" t="s">
        <v>27</v>
      </c>
      <c r="C7200" s="2">
        <v>28</v>
      </c>
    </row>
    <row r="7201" spans="1:3" x14ac:dyDescent="0.25">
      <c r="A7201" s="3">
        <v>41721</v>
      </c>
      <c r="B7201" s="2" t="s">
        <v>26</v>
      </c>
      <c r="C7201" s="2">
        <v>51</v>
      </c>
    </row>
    <row r="7202" spans="1:3" x14ac:dyDescent="0.25">
      <c r="A7202" s="3">
        <v>41729</v>
      </c>
      <c r="B7202" s="2" t="s">
        <v>12</v>
      </c>
      <c r="C7202" s="2">
        <v>12</v>
      </c>
    </row>
    <row r="7203" spans="1:3" x14ac:dyDescent="0.25">
      <c r="A7203" s="3">
        <v>41738</v>
      </c>
      <c r="B7203" s="2" t="s">
        <v>26</v>
      </c>
      <c r="C7203" s="2">
        <v>31</v>
      </c>
    </row>
    <row r="7204" spans="1:3" x14ac:dyDescent="0.25">
      <c r="A7204" s="3">
        <v>41459</v>
      </c>
      <c r="B7204" s="2" t="s">
        <v>45</v>
      </c>
      <c r="C7204" s="2">
        <v>39</v>
      </c>
    </row>
    <row r="7205" spans="1:3" x14ac:dyDescent="0.25">
      <c r="A7205" s="3">
        <v>41492</v>
      </c>
      <c r="B7205" s="2" t="s">
        <v>8</v>
      </c>
      <c r="C7205" s="2">
        <v>58</v>
      </c>
    </row>
    <row r="7206" spans="1:3" x14ac:dyDescent="0.25">
      <c r="A7206" s="3">
        <v>41912</v>
      </c>
      <c r="B7206" s="2" t="s">
        <v>8</v>
      </c>
      <c r="C7206" s="2">
        <v>19</v>
      </c>
    </row>
    <row r="7207" spans="1:3" x14ac:dyDescent="0.25">
      <c r="A7207" s="3">
        <v>41518</v>
      </c>
      <c r="B7207" s="2" t="s">
        <v>28</v>
      </c>
      <c r="C7207" s="2">
        <v>12</v>
      </c>
    </row>
    <row r="7208" spans="1:3" x14ac:dyDescent="0.25">
      <c r="A7208" s="3">
        <v>41329</v>
      </c>
      <c r="B7208" s="2" t="s">
        <v>27</v>
      </c>
      <c r="C7208" s="2">
        <v>24</v>
      </c>
    </row>
    <row r="7209" spans="1:3" x14ac:dyDescent="0.25">
      <c r="A7209" s="3">
        <v>41721</v>
      </c>
      <c r="B7209" s="2" t="s">
        <v>22</v>
      </c>
      <c r="C7209" s="2">
        <v>50</v>
      </c>
    </row>
    <row r="7210" spans="1:3" x14ac:dyDescent="0.25">
      <c r="A7210" s="3">
        <v>41313</v>
      </c>
      <c r="B7210" s="2" t="s">
        <v>36</v>
      </c>
      <c r="C7210" s="2">
        <v>20</v>
      </c>
    </row>
    <row r="7211" spans="1:3" x14ac:dyDescent="0.25">
      <c r="A7211" s="3">
        <v>41972</v>
      </c>
      <c r="B7211" s="2" t="s">
        <v>24</v>
      </c>
      <c r="C7211" s="2">
        <v>55</v>
      </c>
    </row>
    <row r="7212" spans="1:3" x14ac:dyDescent="0.25">
      <c r="A7212" s="3">
        <v>41880</v>
      </c>
      <c r="B7212" s="2" t="s">
        <v>48</v>
      </c>
      <c r="C7212" s="2">
        <v>54</v>
      </c>
    </row>
    <row r="7213" spans="1:3" x14ac:dyDescent="0.25">
      <c r="A7213" s="3">
        <v>41550</v>
      </c>
      <c r="B7213" s="2" t="s">
        <v>9</v>
      </c>
      <c r="C7213" s="2">
        <v>43</v>
      </c>
    </row>
    <row r="7214" spans="1:3" x14ac:dyDescent="0.25">
      <c r="A7214" s="3">
        <v>41465</v>
      </c>
      <c r="B7214" s="2" t="s">
        <v>21</v>
      </c>
      <c r="C7214" s="2">
        <v>35</v>
      </c>
    </row>
    <row r="7215" spans="1:3" x14ac:dyDescent="0.25">
      <c r="A7215" s="3">
        <v>41568</v>
      </c>
      <c r="B7215" s="2" t="s">
        <v>47</v>
      </c>
      <c r="C7215" s="2">
        <v>30</v>
      </c>
    </row>
    <row r="7216" spans="1:3" x14ac:dyDescent="0.25">
      <c r="A7216" s="3">
        <v>41651</v>
      </c>
      <c r="B7216" s="2" t="s">
        <v>21</v>
      </c>
      <c r="C7216" s="2">
        <v>23</v>
      </c>
    </row>
    <row r="7217" spans="1:3" x14ac:dyDescent="0.25">
      <c r="A7217" s="3">
        <v>41294</v>
      </c>
      <c r="B7217" s="2" t="s">
        <v>3</v>
      </c>
      <c r="C7217" s="2">
        <v>7</v>
      </c>
    </row>
    <row r="7218" spans="1:3" x14ac:dyDescent="0.25">
      <c r="A7218" s="3">
        <v>41788</v>
      </c>
      <c r="B7218" s="2" t="s">
        <v>44</v>
      </c>
      <c r="C7218" s="2">
        <v>30</v>
      </c>
    </row>
    <row r="7219" spans="1:3" x14ac:dyDescent="0.25">
      <c r="A7219" s="3">
        <v>41461</v>
      </c>
      <c r="B7219" s="2" t="s">
        <v>18</v>
      </c>
      <c r="C7219" s="2">
        <v>45</v>
      </c>
    </row>
    <row r="7220" spans="1:3" x14ac:dyDescent="0.25">
      <c r="A7220" s="3">
        <v>41472</v>
      </c>
      <c r="B7220" s="2" t="s">
        <v>15</v>
      </c>
      <c r="C7220" s="2">
        <v>11</v>
      </c>
    </row>
    <row r="7221" spans="1:3" x14ac:dyDescent="0.25">
      <c r="A7221" s="3">
        <v>41963</v>
      </c>
      <c r="B7221" s="2" t="s">
        <v>22</v>
      </c>
      <c r="C7221" s="2">
        <v>13</v>
      </c>
    </row>
    <row r="7222" spans="1:3" x14ac:dyDescent="0.25">
      <c r="A7222" s="3">
        <v>41803</v>
      </c>
      <c r="B7222" s="2" t="s">
        <v>7</v>
      </c>
      <c r="C7222" s="2">
        <v>47</v>
      </c>
    </row>
    <row r="7223" spans="1:3" x14ac:dyDescent="0.25">
      <c r="A7223" s="3">
        <v>41974</v>
      </c>
      <c r="B7223" s="2" t="s">
        <v>16</v>
      </c>
      <c r="C7223" s="2">
        <v>28</v>
      </c>
    </row>
    <row r="7224" spans="1:3" x14ac:dyDescent="0.25">
      <c r="A7224" s="3">
        <v>41618</v>
      </c>
      <c r="B7224" s="2" t="s">
        <v>21</v>
      </c>
      <c r="C7224" s="2">
        <v>24</v>
      </c>
    </row>
    <row r="7225" spans="1:3" x14ac:dyDescent="0.25">
      <c r="A7225" s="3">
        <v>41872</v>
      </c>
      <c r="B7225" s="2" t="s">
        <v>31</v>
      </c>
      <c r="C7225" s="2">
        <v>0</v>
      </c>
    </row>
    <row r="7226" spans="1:3" x14ac:dyDescent="0.25">
      <c r="A7226" s="3">
        <v>41844</v>
      </c>
      <c r="B7226" s="2" t="s">
        <v>23</v>
      </c>
      <c r="C7226" s="2">
        <v>42</v>
      </c>
    </row>
    <row r="7227" spans="1:3" x14ac:dyDescent="0.25">
      <c r="A7227" s="3">
        <v>41281</v>
      </c>
      <c r="B7227" s="2" t="s">
        <v>10</v>
      </c>
      <c r="C7227" s="2">
        <v>28</v>
      </c>
    </row>
    <row r="7228" spans="1:3" x14ac:dyDescent="0.25">
      <c r="A7228" s="3">
        <v>41394</v>
      </c>
      <c r="B7228" s="2" t="s">
        <v>35</v>
      </c>
      <c r="C7228" s="2">
        <v>23</v>
      </c>
    </row>
    <row r="7229" spans="1:3" x14ac:dyDescent="0.25">
      <c r="A7229" s="3">
        <v>41415</v>
      </c>
      <c r="B7229" s="2" t="s">
        <v>7</v>
      </c>
      <c r="C7229" s="2">
        <v>35</v>
      </c>
    </row>
    <row r="7230" spans="1:3" x14ac:dyDescent="0.25">
      <c r="A7230" s="3">
        <v>41938</v>
      </c>
      <c r="B7230" s="2" t="s">
        <v>43</v>
      </c>
      <c r="C7230" s="2">
        <v>39</v>
      </c>
    </row>
    <row r="7231" spans="1:3" x14ac:dyDescent="0.25">
      <c r="A7231" s="3">
        <v>41333</v>
      </c>
      <c r="B7231" s="2" t="s">
        <v>41</v>
      </c>
      <c r="C7231" s="2">
        <v>23</v>
      </c>
    </row>
    <row r="7232" spans="1:3" x14ac:dyDescent="0.25">
      <c r="A7232" s="3">
        <v>41670</v>
      </c>
      <c r="B7232" s="2" t="s">
        <v>24</v>
      </c>
      <c r="C7232" s="2">
        <v>42</v>
      </c>
    </row>
    <row r="7233" spans="1:3" x14ac:dyDescent="0.25">
      <c r="A7233" s="3">
        <v>41809</v>
      </c>
      <c r="B7233" s="2" t="s">
        <v>40</v>
      </c>
      <c r="C7233" s="2">
        <v>40</v>
      </c>
    </row>
    <row r="7234" spans="1:3" x14ac:dyDescent="0.25">
      <c r="A7234" s="3">
        <v>41670</v>
      </c>
      <c r="B7234" s="2" t="s">
        <v>40</v>
      </c>
      <c r="C7234" s="2">
        <v>10</v>
      </c>
    </row>
    <row r="7235" spans="1:3" x14ac:dyDescent="0.25">
      <c r="A7235" s="3">
        <v>41754</v>
      </c>
      <c r="B7235" s="2" t="s">
        <v>17</v>
      </c>
      <c r="C7235" s="2">
        <v>40</v>
      </c>
    </row>
    <row r="7236" spans="1:3" x14ac:dyDescent="0.25">
      <c r="A7236" s="3">
        <v>41403</v>
      </c>
      <c r="B7236" s="2" t="s">
        <v>11</v>
      </c>
      <c r="C7236" s="2">
        <v>4</v>
      </c>
    </row>
    <row r="7237" spans="1:3" x14ac:dyDescent="0.25">
      <c r="A7237" s="3">
        <v>41735</v>
      </c>
      <c r="B7237" s="2" t="s">
        <v>36</v>
      </c>
      <c r="C7237" s="2">
        <v>40</v>
      </c>
    </row>
    <row r="7238" spans="1:3" x14ac:dyDescent="0.25">
      <c r="A7238" s="3">
        <v>41338</v>
      </c>
      <c r="B7238" s="2" t="s">
        <v>39</v>
      </c>
      <c r="C7238" s="2">
        <v>7</v>
      </c>
    </row>
    <row r="7239" spans="1:3" x14ac:dyDescent="0.25">
      <c r="A7239" s="3">
        <v>41916</v>
      </c>
      <c r="B7239" s="2" t="s">
        <v>41</v>
      </c>
      <c r="C7239" s="2">
        <v>42</v>
      </c>
    </row>
    <row r="7240" spans="1:3" x14ac:dyDescent="0.25">
      <c r="A7240" s="3">
        <v>41616</v>
      </c>
      <c r="B7240" s="2" t="s">
        <v>43</v>
      </c>
      <c r="C7240" s="2">
        <v>49</v>
      </c>
    </row>
    <row r="7241" spans="1:3" x14ac:dyDescent="0.25">
      <c r="A7241" s="3">
        <v>41571</v>
      </c>
      <c r="B7241" s="2" t="s">
        <v>25</v>
      </c>
      <c r="C7241" s="2">
        <v>24</v>
      </c>
    </row>
    <row r="7242" spans="1:3" x14ac:dyDescent="0.25">
      <c r="A7242" s="3">
        <v>41690</v>
      </c>
      <c r="B7242" s="2" t="s">
        <v>33</v>
      </c>
      <c r="C7242" s="2">
        <v>18</v>
      </c>
    </row>
    <row r="7243" spans="1:3" x14ac:dyDescent="0.25">
      <c r="A7243" s="3">
        <v>41656</v>
      </c>
      <c r="B7243" s="2" t="s">
        <v>49</v>
      </c>
      <c r="C7243" s="2">
        <v>21</v>
      </c>
    </row>
    <row r="7244" spans="1:3" x14ac:dyDescent="0.25">
      <c r="A7244" s="3">
        <v>41487</v>
      </c>
      <c r="B7244" s="2" t="s">
        <v>42</v>
      </c>
      <c r="C7244" s="2">
        <v>14</v>
      </c>
    </row>
    <row r="7245" spans="1:3" x14ac:dyDescent="0.25">
      <c r="A7245" s="3">
        <v>41759</v>
      </c>
      <c r="B7245" s="2" t="s">
        <v>8</v>
      </c>
      <c r="C7245" s="2">
        <v>29</v>
      </c>
    </row>
    <row r="7246" spans="1:3" x14ac:dyDescent="0.25">
      <c r="A7246" s="3">
        <v>41517</v>
      </c>
      <c r="B7246" s="2" t="s">
        <v>10</v>
      </c>
      <c r="C7246" s="2">
        <v>32</v>
      </c>
    </row>
    <row r="7247" spans="1:3" x14ac:dyDescent="0.25">
      <c r="A7247" s="3">
        <v>41367</v>
      </c>
      <c r="B7247" s="2" t="s">
        <v>28</v>
      </c>
      <c r="C7247" s="2">
        <v>36</v>
      </c>
    </row>
    <row r="7248" spans="1:3" x14ac:dyDescent="0.25">
      <c r="A7248" s="3">
        <v>41279</v>
      </c>
      <c r="B7248" s="2" t="s">
        <v>44</v>
      </c>
      <c r="C7248" s="2">
        <v>32</v>
      </c>
    </row>
    <row r="7249" spans="1:3" x14ac:dyDescent="0.25">
      <c r="A7249" s="3">
        <v>41425</v>
      </c>
      <c r="B7249" s="2" t="s">
        <v>48</v>
      </c>
      <c r="C7249" s="2">
        <v>45</v>
      </c>
    </row>
    <row r="7250" spans="1:3" x14ac:dyDescent="0.25">
      <c r="A7250" s="3">
        <v>42000</v>
      </c>
      <c r="B7250" s="2" t="s">
        <v>42</v>
      </c>
      <c r="C7250" s="2">
        <v>42</v>
      </c>
    </row>
    <row r="7251" spans="1:3" x14ac:dyDescent="0.25">
      <c r="A7251" s="3">
        <v>41388</v>
      </c>
      <c r="B7251" s="2" t="s">
        <v>5</v>
      </c>
      <c r="C7251" s="2">
        <v>39</v>
      </c>
    </row>
    <row r="7252" spans="1:3" x14ac:dyDescent="0.25">
      <c r="A7252" s="3">
        <v>41373</v>
      </c>
      <c r="B7252" s="2" t="s">
        <v>46</v>
      </c>
      <c r="C7252" s="2">
        <v>26</v>
      </c>
    </row>
    <row r="7253" spans="1:3" x14ac:dyDescent="0.25">
      <c r="A7253" s="3">
        <v>41547</v>
      </c>
      <c r="B7253" s="2" t="s">
        <v>26</v>
      </c>
      <c r="C7253" s="2">
        <v>35</v>
      </c>
    </row>
    <row r="7254" spans="1:3" x14ac:dyDescent="0.25">
      <c r="A7254" s="3">
        <v>41743</v>
      </c>
      <c r="B7254" s="2" t="s">
        <v>48</v>
      </c>
      <c r="C7254" s="2">
        <v>31</v>
      </c>
    </row>
    <row r="7255" spans="1:3" x14ac:dyDescent="0.25">
      <c r="A7255" s="3">
        <v>41831</v>
      </c>
      <c r="B7255" s="2" t="s">
        <v>7</v>
      </c>
      <c r="C7255" s="2">
        <v>22</v>
      </c>
    </row>
    <row r="7256" spans="1:3" x14ac:dyDescent="0.25">
      <c r="A7256" s="3">
        <v>41417</v>
      </c>
      <c r="B7256" s="2" t="s">
        <v>50</v>
      </c>
      <c r="C7256" s="2">
        <v>25</v>
      </c>
    </row>
    <row r="7257" spans="1:3" x14ac:dyDescent="0.25">
      <c r="A7257" s="3">
        <v>41498</v>
      </c>
      <c r="B7257" s="2" t="s">
        <v>41</v>
      </c>
      <c r="C7257" s="2">
        <v>48</v>
      </c>
    </row>
    <row r="7258" spans="1:3" x14ac:dyDescent="0.25">
      <c r="A7258" s="3">
        <v>41935</v>
      </c>
      <c r="B7258" s="2" t="s">
        <v>14</v>
      </c>
      <c r="C7258" s="2">
        <v>22</v>
      </c>
    </row>
    <row r="7259" spans="1:3" x14ac:dyDescent="0.25">
      <c r="A7259" s="3">
        <v>41916</v>
      </c>
      <c r="B7259" s="2" t="s">
        <v>18</v>
      </c>
      <c r="C7259" s="2">
        <v>7</v>
      </c>
    </row>
    <row r="7260" spans="1:3" x14ac:dyDescent="0.25">
      <c r="A7260" s="3">
        <v>41833</v>
      </c>
      <c r="B7260" s="2" t="s">
        <v>2</v>
      </c>
      <c r="C7260" s="2">
        <v>10</v>
      </c>
    </row>
    <row r="7261" spans="1:3" x14ac:dyDescent="0.25">
      <c r="A7261" s="3">
        <v>41675</v>
      </c>
      <c r="B7261" s="2" t="s">
        <v>18</v>
      </c>
      <c r="C7261" s="2">
        <v>15</v>
      </c>
    </row>
    <row r="7262" spans="1:3" x14ac:dyDescent="0.25">
      <c r="A7262" s="3">
        <v>41438</v>
      </c>
      <c r="B7262" s="2" t="s">
        <v>20</v>
      </c>
      <c r="C7262" s="2">
        <v>28</v>
      </c>
    </row>
    <row r="7263" spans="1:3" x14ac:dyDescent="0.25">
      <c r="A7263" s="3">
        <v>41612</v>
      </c>
      <c r="B7263" s="2" t="s">
        <v>27</v>
      </c>
      <c r="C7263" s="2">
        <v>18</v>
      </c>
    </row>
    <row r="7264" spans="1:3" x14ac:dyDescent="0.25">
      <c r="A7264" s="3">
        <v>41422</v>
      </c>
      <c r="B7264" s="2" t="s">
        <v>32</v>
      </c>
      <c r="C7264" s="2">
        <v>28</v>
      </c>
    </row>
    <row r="7265" spans="1:3" x14ac:dyDescent="0.25">
      <c r="A7265" s="3">
        <v>41703</v>
      </c>
      <c r="B7265" s="2" t="s">
        <v>8</v>
      </c>
      <c r="C7265" s="2">
        <v>17</v>
      </c>
    </row>
    <row r="7266" spans="1:3" x14ac:dyDescent="0.25">
      <c r="A7266" s="3">
        <v>41886</v>
      </c>
      <c r="B7266" s="2" t="s">
        <v>43</v>
      </c>
      <c r="C7266" s="2">
        <v>26</v>
      </c>
    </row>
    <row r="7267" spans="1:3" x14ac:dyDescent="0.25">
      <c r="A7267" s="3">
        <v>41925</v>
      </c>
      <c r="B7267" s="2" t="s">
        <v>32</v>
      </c>
      <c r="C7267" s="2">
        <v>25</v>
      </c>
    </row>
    <row r="7268" spans="1:3" x14ac:dyDescent="0.25">
      <c r="A7268" s="3">
        <v>41518</v>
      </c>
      <c r="B7268" s="2" t="s">
        <v>19</v>
      </c>
      <c r="C7268" s="2">
        <v>45</v>
      </c>
    </row>
    <row r="7269" spans="1:3" x14ac:dyDescent="0.25">
      <c r="A7269" s="3">
        <v>41646</v>
      </c>
      <c r="B7269" s="2" t="s">
        <v>42</v>
      </c>
      <c r="C7269" s="2">
        <v>31</v>
      </c>
    </row>
    <row r="7270" spans="1:3" x14ac:dyDescent="0.25">
      <c r="A7270" s="3">
        <v>41671</v>
      </c>
      <c r="B7270" s="2" t="s">
        <v>20</v>
      </c>
      <c r="C7270" s="2">
        <v>33</v>
      </c>
    </row>
    <row r="7271" spans="1:3" x14ac:dyDescent="0.25">
      <c r="A7271" s="3">
        <v>41314</v>
      </c>
      <c r="B7271" s="2" t="s">
        <v>22</v>
      </c>
      <c r="C7271" s="2">
        <v>36</v>
      </c>
    </row>
    <row r="7272" spans="1:3" x14ac:dyDescent="0.25">
      <c r="A7272" s="3">
        <v>41663</v>
      </c>
      <c r="B7272" s="2" t="s">
        <v>44</v>
      </c>
      <c r="C7272" s="2">
        <v>17</v>
      </c>
    </row>
    <row r="7273" spans="1:3" x14ac:dyDescent="0.25">
      <c r="A7273" s="3">
        <v>42000</v>
      </c>
      <c r="B7273" s="2" t="s">
        <v>25</v>
      </c>
      <c r="C7273" s="2">
        <v>19</v>
      </c>
    </row>
    <row r="7274" spans="1:3" x14ac:dyDescent="0.25">
      <c r="A7274" s="3">
        <v>41956</v>
      </c>
      <c r="B7274" s="2" t="s">
        <v>7</v>
      </c>
      <c r="C7274" s="2">
        <v>28</v>
      </c>
    </row>
    <row r="7275" spans="1:3" x14ac:dyDescent="0.25">
      <c r="A7275" s="3">
        <v>41474</v>
      </c>
      <c r="B7275" s="2" t="s">
        <v>34</v>
      </c>
      <c r="C7275" s="2">
        <v>47</v>
      </c>
    </row>
    <row r="7276" spans="1:3" x14ac:dyDescent="0.25">
      <c r="A7276" s="3">
        <v>41463</v>
      </c>
      <c r="B7276" s="2" t="s">
        <v>16</v>
      </c>
      <c r="C7276" s="2">
        <v>26</v>
      </c>
    </row>
    <row r="7277" spans="1:3" x14ac:dyDescent="0.25">
      <c r="A7277" s="3">
        <v>41450</v>
      </c>
      <c r="B7277" s="2" t="s">
        <v>27</v>
      </c>
      <c r="C7277" s="2">
        <v>5</v>
      </c>
    </row>
    <row r="7278" spans="1:3" x14ac:dyDescent="0.25">
      <c r="A7278" s="3">
        <v>41832</v>
      </c>
      <c r="B7278" s="2" t="s">
        <v>5</v>
      </c>
      <c r="C7278" s="2">
        <v>15</v>
      </c>
    </row>
    <row r="7279" spans="1:3" x14ac:dyDescent="0.25">
      <c r="A7279" s="3">
        <v>41502</v>
      </c>
      <c r="B7279" s="2" t="s">
        <v>3</v>
      </c>
      <c r="C7279" s="2">
        <v>38</v>
      </c>
    </row>
    <row r="7280" spans="1:3" x14ac:dyDescent="0.25">
      <c r="A7280" s="3">
        <v>41765</v>
      </c>
      <c r="B7280" s="2" t="s">
        <v>33</v>
      </c>
      <c r="C7280" s="2">
        <v>18</v>
      </c>
    </row>
    <row r="7281" spans="1:3" x14ac:dyDescent="0.25">
      <c r="A7281" s="3">
        <v>41440</v>
      </c>
      <c r="B7281" s="2" t="s">
        <v>2</v>
      </c>
      <c r="C7281" s="2">
        <v>8</v>
      </c>
    </row>
    <row r="7282" spans="1:3" x14ac:dyDescent="0.25">
      <c r="A7282" s="3">
        <v>41621</v>
      </c>
      <c r="B7282" s="2" t="s">
        <v>24</v>
      </c>
      <c r="C7282" s="2">
        <v>15</v>
      </c>
    </row>
    <row r="7283" spans="1:3" x14ac:dyDescent="0.25">
      <c r="A7283" s="3">
        <v>41529</v>
      </c>
      <c r="B7283" s="2" t="s">
        <v>49</v>
      </c>
      <c r="C7283" s="2">
        <v>42</v>
      </c>
    </row>
    <row r="7284" spans="1:3" x14ac:dyDescent="0.25">
      <c r="A7284" s="3">
        <v>41822</v>
      </c>
      <c r="B7284" s="2" t="s">
        <v>3</v>
      </c>
      <c r="C7284" s="2">
        <v>20</v>
      </c>
    </row>
    <row r="7285" spans="1:3" x14ac:dyDescent="0.25">
      <c r="A7285" s="3">
        <v>41636</v>
      </c>
      <c r="B7285" s="2" t="s">
        <v>37</v>
      </c>
      <c r="C7285" s="2">
        <v>6</v>
      </c>
    </row>
    <row r="7286" spans="1:3" x14ac:dyDescent="0.25">
      <c r="A7286" s="3">
        <v>41649</v>
      </c>
      <c r="B7286" s="2" t="s">
        <v>5</v>
      </c>
      <c r="C7286" s="2">
        <v>35</v>
      </c>
    </row>
    <row r="7287" spans="1:3" x14ac:dyDescent="0.25">
      <c r="A7287" s="3">
        <v>41817</v>
      </c>
      <c r="B7287" s="2" t="s">
        <v>8</v>
      </c>
      <c r="C7287" s="2">
        <v>11</v>
      </c>
    </row>
    <row r="7288" spans="1:3" x14ac:dyDescent="0.25">
      <c r="A7288" s="3">
        <v>41615</v>
      </c>
      <c r="B7288" s="2" t="s">
        <v>24</v>
      </c>
      <c r="C7288" s="2">
        <v>25</v>
      </c>
    </row>
    <row r="7289" spans="1:3" x14ac:dyDescent="0.25">
      <c r="A7289" s="3">
        <v>41505</v>
      </c>
      <c r="B7289" s="2" t="s">
        <v>14</v>
      </c>
      <c r="C7289" s="2">
        <v>20</v>
      </c>
    </row>
    <row r="7290" spans="1:3" x14ac:dyDescent="0.25">
      <c r="A7290" s="3">
        <v>41279</v>
      </c>
      <c r="B7290" s="2" t="s">
        <v>27</v>
      </c>
      <c r="C7290" s="2">
        <v>10</v>
      </c>
    </row>
    <row r="7291" spans="1:3" x14ac:dyDescent="0.25">
      <c r="A7291" s="3">
        <v>41669</v>
      </c>
      <c r="B7291" s="2" t="s">
        <v>5</v>
      </c>
      <c r="C7291" s="2">
        <v>5</v>
      </c>
    </row>
    <row r="7292" spans="1:3" x14ac:dyDescent="0.25">
      <c r="A7292" s="3">
        <v>41644</v>
      </c>
      <c r="B7292" s="2" t="s">
        <v>7</v>
      </c>
      <c r="C7292" s="2">
        <v>11</v>
      </c>
    </row>
    <row r="7293" spans="1:3" x14ac:dyDescent="0.25">
      <c r="A7293" s="3">
        <v>41541</v>
      </c>
      <c r="B7293" s="2" t="s">
        <v>14</v>
      </c>
      <c r="C7293" s="2">
        <v>61</v>
      </c>
    </row>
    <row r="7294" spans="1:3" x14ac:dyDescent="0.25">
      <c r="A7294" s="3">
        <v>41669</v>
      </c>
      <c r="B7294" s="2" t="s">
        <v>6</v>
      </c>
      <c r="C7294" s="2">
        <v>33</v>
      </c>
    </row>
    <row r="7295" spans="1:3" x14ac:dyDescent="0.25">
      <c r="A7295" s="3">
        <v>41336</v>
      </c>
      <c r="B7295" s="2" t="s">
        <v>35</v>
      </c>
      <c r="C7295" s="2">
        <v>34</v>
      </c>
    </row>
    <row r="7296" spans="1:3" x14ac:dyDescent="0.25">
      <c r="A7296" s="3">
        <v>41955</v>
      </c>
      <c r="B7296" s="2" t="s">
        <v>39</v>
      </c>
      <c r="C7296" s="2">
        <v>20</v>
      </c>
    </row>
    <row r="7297" spans="1:3" x14ac:dyDescent="0.25">
      <c r="A7297" s="3">
        <v>41768</v>
      </c>
      <c r="B7297" s="2" t="s">
        <v>44</v>
      </c>
      <c r="C7297" s="2">
        <v>13</v>
      </c>
    </row>
    <row r="7298" spans="1:3" x14ac:dyDescent="0.25">
      <c r="A7298" s="3">
        <v>41734</v>
      </c>
      <c r="B7298" s="2" t="s">
        <v>3</v>
      </c>
      <c r="C7298" s="2">
        <v>20</v>
      </c>
    </row>
    <row r="7299" spans="1:3" x14ac:dyDescent="0.25">
      <c r="A7299" s="3">
        <v>41616</v>
      </c>
      <c r="B7299" s="2" t="s">
        <v>47</v>
      </c>
      <c r="C7299" s="2">
        <v>40</v>
      </c>
    </row>
    <row r="7300" spans="1:3" x14ac:dyDescent="0.25">
      <c r="A7300" s="3">
        <v>41619</v>
      </c>
      <c r="B7300" s="2" t="s">
        <v>19</v>
      </c>
      <c r="C7300" s="2">
        <v>44</v>
      </c>
    </row>
    <row r="7301" spans="1:3" x14ac:dyDescent="0.25">
      <c r="A7301" s="3">
        <v>41311</v>
      </c>
      <c r="B7301" s="2" t="s">
        <v>18</v>
      </c>
      <c r="C7301" s="2">
        <v>27</v>
      </c>
    </row>
    <row r="7302" spans="1:3" x14ac:dyDescent="0.25">
      <c r="A7302" s="3">
        <v>41600</v>
      </c>
      <c r="B7302" s="2" t="s">
        <v>39</v>
      </c>
      <c r="C7302" s="2">
        <v>15</v>
      </c>
    </row>
    <row r="7303" spans="1:3" x14ac:dyDescent="0.25">
      <c r="A7303" s="3">
        <v>41476</v>
      </c>
      <c r="B7303" s="2" t="s">
        <v>9</v>
      </c>
      <c r="C7303" s="2">
        <v>25</v>
      </c>
    </row>
    <row r="7304" spans="1:3" x14ac:dyDescent="0.25">
      <c r="A7304" s="3">
        <v>41964</v>
      </c>
      <c r="B7304" s="2" t="s">
        <v>2</v>
      </c>
      <c r="C7304" s="2">
        <v>58</v>
      </c>
    </row>
    <row r="7305" spans="1:3" x14ac:dyDescent="0.25">
      <c r="A7305" s="3">
        <v>41863</v>
      </c>
      <c r="B7305" s="2" t="s">
        <v>23</v>
      </c>
      <c r="C7305" s="2">
        <v>32</v>
      </c>
    </row>
    <row r="7306" spans="1:3" x14ac:dyDescent="0.25">
      <c r="A7306" s="3">
        <v>41550</v>
      </c>
      <c r="B7306" s="2" t="s">
        <v>5</v>
      </c>
      <c r="C7306" s="2">
        <v>26</v>
      </c>
    </row>
    <row r="7307" spans="1:3" x14ac:dyDescent="0.25">
      <c r="A7307" s="3">
        <v>41696</v>
      </c>
      <c r="B7307" s="2" t="s">
        <v>50</v>
      </c>
      <c r="C7307" s="2">
        <v>20</v>
      </c>
    </row>
    <row r="7308" spans="1:3" x14ac:dyDescent="0.25">
      <c r="A7308" s="3">
        <v>41853</v>
      </c>
      <c r="B7308" s="2" t="s">
        <v>7</v>
      </c>
      <c r="C7308" s="2">
        <v>56</v>
      </c>
    </row>
    <row r="7309" spans="1:3" x14ac:dyDescent="0.25">
      <c r="A7309" s="3">
        <v>41953</v>
      </c>
      <c r="B7309" s="2" t="s">
        <v>5</v>
      </c>
      <c r="C7309" s="2">
        <v>25</v>
      </c>
    </row>
    <row r="7310" spans="1:3" x14ac:dyDescent="0.25">
      <c r="A7310" s="3">
        <v>41434</v>
      </c>
      <c r="B7310" s="2" t="s">
        <v>5</v>
      </c>
      <c r="C7310" s="2">
        <v>31</v>
      </c>
    </row>
    <row r="7311" spans="1:3" x14ac:dyDescent="0.25">
      <c r="A7311" s="3">
        <v>41940</v>
      </c>
      <c r="B7311" s="2" t="s">
        <v>27</v>
      </c>
      <c r="C7311" s="2">
        <v>25</v>
      </c>
    </row>
    <row r="7312" spans="1:3" x14ac:dyDescent="0.25">
      <c r="A7312" s="3">
        <v>41576</v>
      </c>
      <c r="B7312" s="2" t="s">
        <v>38</v>
      </c>
      <c r="C7312" s="2">
        <v>23</v>
      </c>
    </row>
    <row r="7313" spans="1:3" x14ac:dyDescent="0.25">
      <c r="A7313" s="3">
        <v>41282</v>
      </c>
      <c r="B7313" s="2" t="s">
        <v>24</v>
      </c>
      <c r="C7313" s="2">
        <v>32</v>
      </c>
    </row>
    <row r="7314" spans="1:3" x14ac:dyDescent="0.25">
      <c r="A7314" s="3">
        <v>41356</v>
      </c>
      <c r="B7314" s="2" t="s">
        <v>11</v>
      </c>
      <c r="C7314" s="2">
        <v>11</v>
      </c>
    </row>
    <row r="7315" spans="1:3" x14ac:dyDescent="0.25">
      <c r="A7315" s="3">
        <v>41750</v>
      </c>
      <c r="B7315" s="2" t="s">
        <v>6</v>
      </c>
      <c r="C7315" s="2">
        <v>16</v>
      </c>
    </row>
    <row r="7316" spans="1:3" x14ac:dyDescent="0.25">
      <c r="A7316" s="3">
        <v>41628</v>
      </c>
      <c r="B7316" s="2" t="s">
        <v>13</v>
      </c>
      <c r="C7316" s="2">
        <v>12</v>
      </c>
    </row>
    <row r="7317" spans="1:3" x14ac:dyDescent="0.25">
      <c r="A7317" s="3">
        <v>41744</v>
      </c>
      <c r="B7317" s="2" t="s">
        <v>42</v>
      </c>
      <c r="C7317" s="2">
        <v>22</v>
      </c>
    </row>
    <row r="7318" spans="1:3" x14ac:dyDescent="0.25">
      <c r="A7318" s="3">
        <v>41900</v>
      </c>
      <c r="B7318" s="2" t="s">
        <v>10</v>
      </c>
      <c r="C7318" s="2">
        <v>19</v>
      </c>
    </row>
    <row r="7319" spans="1:3" x14ac:dyDescent="0.25">
      <c r="A7319" s="3">
        <v>41785</v>
      </c>
      <c r="B7319" s="2" t="s">
        <v>46</v>
      </c>
      <c r="C7319" s="2">
        <v>42</v>
      </c>
    </row>
    <row r="7320" spans="1:3" x14ac:dyDescent="0.25">
      <c r="A7320" s="3">
        <v>41876</v>
      </c>
      <c r="B7320" s="2" t="s">
        <v>47</v>
      </c>
      <c r="C7320" s="2">
        <v>19</v>
      </c>
    </row>
    <row r="7321" spans="1:3" x14ac:dyDescent="0.25">
      <c r="A7321" s="3">
        <v>41590</v>
      </c>
      <c r="B7321" s="2" t="s">
        <v>24</v>
      </c>
      <c r="C7321" s="2">
        <v>23</v>
      </c>
    </row>
    <row r="7322" spans="1:3" x14ac:dyDescent="0.25">
      <c r="A7322" s="3">
        <v>41683</v>
      </c>
      <c r="B7322" s="2" t="s">
        <v>11</v>
      </c>
      <c r="C7322" s="2">
        <v>37</v>
      </c>
    </row>
    <row r="7323" spans="1:3" x14ac:dyDescent="0.25">
      <c r="A7323" s="3">
        <v>41345</v>
      </c>
      <c r="B7323" s="2" t="s">
        <v>29</v>
      </c>
      <c r="C7323" s="2">
        <v>11</v>
      </c>
    </row>
    <row r="7324" spans="1:3" x14ac:dyDescent="0.25">
      <c r="A7324" s="3">
        <v>41953</v>
      </c>
      <c r="B7324" s="2" t="s">
        <v>47</v>
      </c>
      <c r="C7324" s="2">
        <v>29</v>
      </c>
    </row>
    <row r="7325" spans="1:3" x14ac:dyDescent="0.25">
      <c r="A7325" s="3">
        <v>41582</v>
      </c>
      <c r="B7325" s="2" t="s">
        <v>7</v>
      </c>
      <c r="C7325" s="2">
        <v>20</v>
      </c>
    </row>
    <row r="7326" spans="1:3" x14ac:dyDescent="0.25">
      <c r="A7326" s="3">
        <v>41448</v>
      </c>
      <c r="B7326" s="2" t="s">
        <v>30</v>
      </c>
      <c r="C7326" s="2">
        <v>41</v>
      </c>
    </row>
    <row r="7327" spans="1:3" x14ac:dyDescent="0.25">
      <c r="A7327" s="3">
        <v>41741</v>
      </c>
      <c r="B7327" s="2" t="s">
        <v>35</v>
      </c>
      <c r="C7327" s="2">
        <v>9</v>
      </c>
    </row>
    <row r="7328" spans="1:3" x14ac:dyDescent="0.25">
      <c r="A7328" s="3">
        <v>41724</v>
      </c>
      <c r="B7328" s="2" t="s">
        <v>6</v>
      </c>
      <c r="C7328" s="2">
        <v>21</v>
      </c>
    </row>
    <row r="7329" spans="1:3" x14ac:dyDescent="0.25">
      <c r="A7329" s="3">
        <v>41973</v>
      </c>
      <c r="B7329" s="2" t="s">
        <v>4</v>
      </c>
      <c r="C7329" s="2">
        <v>25</v>
      </c>
    </row>
    <row r="7330" spans="1:3" x14ac:dyDescent="0.25">
      <c r="A7330" s="3">
        <v>41315</v>
      </c>
      <c r="B7330" s="2" t="s">
        <v>48</v>
      </c>
      <c r="C7330" s="2">
        <v>19</v>
      </c>
    </row>
    <row r="7331" spans="1:3" x14ac:dyDescent="0.25">
      <c r="A7331" s="3">
        <v>41516</v>
      </c>
      <c r="B7331" s="2" t="s">
        <v>6</v>
      </c>
      <c r="C7331" s="2">
        <v>18</v>
      </c>
    </row>
    <row r="7332" spans="1:3" x14ac:dyDescent="0.25">
      <c r="A7332" s="3">
        <v>41434</v>
      </c>
      <c r="B7332" s="2" t="s">
        <v>10</v>
      </c>
      <c r="C7332" s="2">
        <v>14</v>
      </c>
    </row>
    <row r="7333" spans="1:3" x14ac:dyDescent="0.25">
      <c r="A7333" s="3">
        <v>41782</v>
      </c>
      <c r="B7333" s="2" t="s">
        <v>34</v>
      </c>
      <c r="C7333" s="2">
        <v>46</v>
      </c>
    </row>
    <row r="7334" spans="1:3" x14ac:dyDescent="0.25">
      <c r="A7334" s="3">
        <v>41454</v>
      </c>
      <c r="B7334" s="2" t="s">
        <v>8</v>
      </c>
      <c r="C7334" s="2">
        <v>44</v>
      </c>
    </row>
    <row r="7335" spans="1:3" x14ac:dyDescent="0.25">
      <c r="A7335" s="3">
        <v>41840</v>
      </c>
      <c r="B7335" s="2" t="s">
        <v>19</v>
      </c>
      <c r="C7335" s="2">
        <v>0</v>
      </c>
    </row>
    <row r="7336" spans="1:3" x14ac:dyDescent="0.25">
      <c r="A7336" s="3">
        <v>41535</v>
      </c>
      <c r="B7336" s="2" t="s">
        <v>41</v>
      </c>
      <c r="C7336" s="2">
        <v>22</v>
      </c>
    </row>
    <row r="7337" spans="1:3" x14ac:dyDescent="0.25">
      <c r="A7337" s="3">
        <v>41751</v>
      </c>
      <c r="B7337" s="2" t="s">
        <v>43</v>
      </c>
      <c r="C7337" s="2">
        <v>18</v>
      </c>
    </row>
    <row r="7338" spans="1:3" x14ac:dyDescent="0.25">
      <c r="A7338" s="3">
        <v>41620</v>
      </c>
      <c r="B7338" s="2" t="s">
        <v>20</v>
      </c>
      <c r="C7338" s="2">
        <v>41</v>
      </c>
    </row>
    <row r="7339" spans="1:3" x14ac:dyDescent="0.25">
      <c r="A7339" s="3">
        <v>41661</v>
      </c>
      <c r="B7339" s="2" t="s">
        <v>31</v>
      </c>
      <c r="C7339" s="2">
        <v>19</v>
      </c>
    </row>
    <row r="7340" spans="1:3" x14ac:dyDescent="0.25">
      <c r="A7340" s="3">
        <v>41994</v>
      </c>
      <c r="B7340" s="2" t="s">
        <v>16</v>
      </c>
      <c r="C7340" s="2">
        <v>27</v>
      </c>
    </row>
    <row r="7341" spans="1:3" x14ac:dyDescent="0.25">
      <c r="A7341" s="3">
        <v>41957</v>
      </c>
      <c r="B7341" s="2" t="s">
        <v>11</v>
      </c>
      <c r="C7341" s="2">
        <v>27</v>
      </c>
    </row>
    <row r="7342" spans="1:3" x14ac:dyDescent="0.25">
      <c r="A7342" s="3">
        <v>41949</v>
      </c>
      <c r="B7342" s="2" t="s">
        <v>5</v>
      </c>
      <c r="C7342" s="2">
        <v>14</v>
      </c>
    </row>
    <row r="7343" spans="1:3" x14ac:dyDescent="0.25">
      <c r="A7343" s="3">
        <v>41893</v>
      </c>
      <c r="B7343" s="2" t="s">
        <v>46</v>
      </c>
      <c r="C7343" s="2">
        <v>27</v>
      </c>
    </row>
    <row r="7344" spans="1:3" x14ac:dyDescent="0.25">
      <c r="A7344" s="3">
        <v>41301</v>
      </c>
      <c r="B7344" s="2" t="s">
        <v>31</v>
      </c>
      <c r="C7344" s="2">
        <v>34</v>
      </c>
    </row>
    <row r="7345" spans="1:3" x14ac:dyDescent="0.25">
      <c r="A7345" s="3">
        <v>41878</v>
      </c>
      <c r="B7345" s="2" t="s">
        <v>35</v>
      </c>
      <c r="C7345" s="2">
        <v>12</v>
      </c>
    </row>
    <row r="7346" spans="1:3" x14ac:dyDescent="0.25">
      <c r="A7346" s="3">
        <v>41414</v>
      </c>
      <c r="B7346" s="2" t="s">
        <v>4</v>
      </c>
      <c r="C7346" s="2">
        <v>16</v>
      </c>
    </row>
    <row r="7347" spans="1:3" x14ac:dyDescent="0.25">
      <c r="A7347" s="3">
        <v>41482</v>
      </c>
      <c r="B7347" s="2" t="s">
        <v>43</v>
      </c>
      <c r="C7347" s="2">
        <v>23</v>
      </c>
    </row>
    <row r="7348" spans="1:3" x14ac:dyDescent="0.25">
      <c r="A7348" s="3">
        <v>41794</v>
      </c>
      <c r="B7348" s="2" t="s">
        <v>36</v>
      </c>
      <c r="C7348" s="2">
        <v>5</v>
      </c>
    </row>
    <row r="7349" spans="1:3" x14ac:dyDescent="0.25">
      <c r="A7349" s="3">
        <v>41431</v>
      </c>
      <c r="B7349" s="2" t="s">
        <v>34</v>
      </c>
      <c r="C7349" s="2">
        <v>3</v>
      </c>
    </row>
    <row r="7350" spans="1:3" x14ac:dyDescent="0.25">
      <c r="A7350" s="3">
        <v>41932</v>
      </c>
      <c r="B7350" s="2" t="s">
        <v>37</v>
      </c>
      <c r="C7350" s="2">
        <v>47</v>
      </c>
    </row>
    <row r="7351" spans="1:3" x14ac:dyDescent="0.25">
      <c r="A7351" s="3">
        <v>41749</v>
      </c>
      <c r="B7351" s="2" t="s">
        <v>3</v>
      </c>
      <c r="C7351" s="2">
        <v>26</v>
      </c>
    </row>
    <row r="7352" spans="1:3" x14ac:dyDescent="0.25">
      <c r="A7352" s="3">
        <v>41382</v>
      </c>
      <c r="B7352" s="2" t="s">
        <v>36</v>
      </c>
      <c r="C7352" s="2">
        <v>36</v>
      </c>
    </row>
    <row r="7353" spans="1:3" x14ac:dyDescent="0.25">
      <c r="A7353" s="3">
        <v>41495</v>
      </c>
      <c r="B7353" s="2" t="s">
        <v>11</v>
      </c>
      <c r="C7353" s="2">
        <v>32</v>
      </c>
    </row>
    <row r="7354" spans="1:3" x14ac:dyDescent="0.25">
      <c r="A7354" s="3">
        <v>41676</v>
      </c>
      <c r="B7354" s="2" t="s">
        <v>48</v>
      </c>
      <c r="C7354" s="2">
        <v>11</v>
      </c>
    </row>
    <row r="7355" spans="1:3" x14ac:dyDescent="0.25">
      <c r="A7355" s="3">
        <v>41518</v>
      </c>
      <c r="B7355" s="2" t="s">
        <v>30</v>
      </c>
      <c r="C7355" s="2">
        <v>9</v>
      </c>
    </row>
    <row r="7356" spans="1:3" x14ac:dyDescent="0.25">
      <c r="A7356" s="3">
        <v>41582</v>
      </c>
      <c r="B7356" s="2" t="s">
        <v>28</v>
      </c>
      <c r="C7356" s="2">
        <v>20</v>
      </c>
    </row>
    <row r="7357" spans="1:3" x14ac:dyDescent="0.25">
      <c r="A7357" s="3">
        <v>41440</v>
      </c>
      <c r="B7357" s="2" t="s">
        <v>17</v>
      </c>
      <c r="C7357" s="2">
        <v>25</v>
      </c>
    </row>
    <row r="7358" spans="1:3" x14ac:dyDescent="0.25">
      <c r="A7358" s="3">
        <v>41855</v>
      </c>
      <c r="B7358" s="2" t="s">
        <v>3</v>
      </c>
      <c r="C7358" s="2">
        <v>24</v>
      </c>
    </row>
    <row r="7359" spans="1:3" x14ac:dyDescent="0.25">
      <c r="A7359" s="3">
        <v>41513</v>
      </c>
      <c r="B7359" s="2" t="s">
        <v>41</v>
      </c>
      <c r="C7359" s="2">
        <v>21</v>
      </c>
    </row>
    <row r="7360" spans="1:3" x14ac:dyDescent="0.25">
      <c r="A7360" s="3">
        <v>41486</v>
      </c>
      <c r="B7360" s="2" t="s">
        <v>41</v>
      </c>
      <c r="C7360" s="2">
        <v>69</v>
      </c>
    </row>
    <row r="7361" spans="1:3" x14ac:dyDescent="0.25">
      <c r="A7361" s="3">
        <v>41320</v>
      </c>
      <c r="B7361" s="2" t="s">
        <v>37</v>
      </c>
      <c r="C7361" s="2">
        <v>14</v>
      </c>
    </row>
    <row r="7362" spans="1:3" x14ac:dyDescent="0.25">
      <c r="A7362" s="3">
        <v>41719</v>
      </c>
      <c r="B7362" s="2" t="s">
        <v>6</v>
      </c>
      <c r="C7362" s="2">
        <v>9</v>
      </c>
    </row>
    <row r="7363" spans="1:3" x14ac:dyDescent="0.25">
      <c r="A7363" s="3">
        <v>41965</v>
      </c>
      <c r="B7363" s="2" t="s">
        <v>13</v>
      </c>
      <c r="C7363" s="2">
        <v>44</v>
      </c>
    </row>
    <row r="7364" spans="1:3" x14ac:dyDescent="0.25">
      <c r="A7364" s="3">
        <v>41473</v>
      </c>
      <c r="B7364" s="2" t="s">
        <v>3</v>
      </c>
      <c r="C7364" s="2">
        <v>27</v>
      </c>
    </row>
    <row r="7365" spans="1:3" x14ac:dyDescent="0.25">
      <c r="A7365" s="3">
        <v>41754</v>
      </c>
      <c r="B7365" s="2" t="s">
        <v>13</v>
      </c>
      <c r="C7365" s="2">
        <v>27</v>
      </c>
    </row>
    <row r="7366" spans="1:3" x14ac:dyDescent="0.25">
      <c r="A7366" s="3">
        <v>41530</v>
      </c>
      <c r="B7366" s="2" t="s">
        <v>4</v>
      </c>
      <c r="C7366" s="2">
        <v>40</v>
      </c>
    </row>
    <row r="7367" spans="1:3" x14ac:dyDescent="0.25">
      <c r="A7367" s="3">
        <v>41954</v>
      </c>
      <c r="B7367" s="2" t="s">
        <v>19</v>
      </c>
      <c r="C7367" s="2">
        <v>19</v>
      </c>
    </row>
    <row r="7368" spans="1:3" x14ac:dyDescent="0.25">
      <c r="A7368" s="3">
        <v>41508</v>
      </c>
      <c r="B7368" s="2" t="s">
        <v>51</v>
      </c>
      <c r="C7368" s="2">
        <v>40</v>
      </c>
    </row>
    <row r="7369" spans="1:3" x14ac:dyDescent="0.25">
      <c r="A7369" s="3">
        <v>41496</v>
      </c>
      <c r="B7369" s="2" t="s">
        <v>51</v>
      </c>
      <c r="C7369" s="2">
        <v>6</v>
      </c>
    </row>
    <row r="7370" spans="1:3" x14ac:dyDescent="0.25">
      <c r="A7370" s="3">
        <v>41346</v>
      </c>
      <c r="B7370" s="2" t="s">
        <v>13</v>
      </c>
      <c r="C7370" s="2">
        <v>29</v>
      </c>
    </row>
    <row r="7371" spans="1:3" x14ac:dyDescent="0.25">
      <c r="A7371" s="3">
        <v>41359</v>
      </c>
      <c r="B7371" s="2" t="s">
        <v>25</v>
      </c>
      <c r="C7371" s="2">
        <v>16</v>
      </c>
    </row>
    <row r="7372" spans="1:3" x14ac:dyDescent="0.25">
      <c r="A7372" s="3">
        <v>41845</v>
      </c>
      <c r="B7372" s="2" t="s">
        <v>21</v>
      </c>
      <c r="C7372" s="2">
        <v>5</v>
      </c>
    </row>
    <row r="7373" spans="1:3" x14ac:dyDescent="0.25">
      <c r="A7373" s="3">
        <v>41880</v>
      </c>
      <c r="B7373" s="2" t="s">
        <v>15</v>
      </c>
      <c r="C7373" s="2">
        <v>47</v>
      </c>
    </row>
    <row r="7374" spans="1:3" x14ac:dyDescent="0.25">
      <c r="A7374" s="3">
        <v>41660</v>
      </c>
      <c r="B7374" s="2" t="s">
        <v>20</v>
      </c>
      <c r="C7374" s="2">
        <v>37</v>
      </c>
    </row>
    <row r="7375" spans="1:3" x14ac:dyDescent="0.25">
      <c r="A7375" s="3">
        <v>41778</v>
      </c>
      <c r="B7375" s="2" t="s">
        <v>13</v>
      </c>
      <c r="C7375" s="2">
        <v>26</v>
      </c>
    </row>
    <row r="7376" spans="1:3" x14ac:dyDescent="0.25">
      <c r="A7376" s="3">
        <v>41360</v>
      </c>
      <c r="B7376" s="2" t="s">
        <v>40</v>
      </c>
      <c r="C7376" s="2">
        <v>37</v>
      </c>
    </row>
    <row r="7377" spans="1:3" x14ac:dyDescent="0.25">
      <c r="A7377" s="3">
        <v>41931</v>
      </c>
      <c r="B7377" s="2" t="s">
        <v>6</v>
      </c>
      <c r="C7377" s="2">
        <v>28</v>
      </c>
    </row>
    <row r="7378" spans="1:3" x14ac:dyDescent="0.25">
      <c r="A7378" s="3">
        <v>41612</v>
      </c>
      <c r="B7378" s="2" t="s">
        <v>30</v>
      </c>
      <c r="C7378" s="2">
        <v>24</v>
      </c>
    </row>
    <row r="7379" spans="1:3" x14ac:dyDescent="0.25">
      <c r="A7379" s="3">
        <v>41619</v>
      </c>
      <c r="B7379" s="2" t="s">
        <v>30</v>
      </c>
      <c r="C7379" s="2">
        <v>20</v>
      </c>
    </row>
    <row r="7380" spans="1:3" x14ac:dyDescent="0.25">
      <c r="A7380" s="3">
        <v>41905</v>
      </c>
      <c r="B7380" s="2" t="s">
        <v>41</v>
      </c>
      <c r="C7380" s="2">
        <v>17</v>
      </c>
    </row>
    <row r="7381" spans="1:3" x14ac:dyDescent="0.25">
      <c r="A7381" s="3">
        <v>41749</v>
      </c>
      <c r="B7381" s="2" t="s">
        <v>39</v>
      </c>
      <c r="C7381" s="2">
        <v>22</v>
      </c>
    </row>
    <row r="7382" spans="1:3" x14ac:dyDescent="0.25">
      <c r="A7382" s="3">
        <v>41463</v>
      </c>
      <c r="B7382" s="2" t="s">
        <v>27</v>
      </c>
      <c r="C7382" s="2">
        <v>47</v>
      </c>
    </row>
    <row r="7383" spans="1:3" x14ac:dyDescent="0.25">
      <c r="A7383" s="3">
        <v>41395</v>
      </c>
      <c r="B7383" s="2" t="s">
        <v>47</v>
      </c>
      <c r="C7383" s="2">
        <v>37</v>
      </c>
    </row>
    <row r="7384" spans="1:3" x14ac:dyDescent="0.25">
      <c r="A7384" s="3">
        <v>41482</v>
      </c>
      <c r="B7384" s="2" t="s">
        <v>35</v>
      </c>
      <c r="C7384" s="2">
        <v>29</v>
      </c>
    </row>
    <row r="7385" spans="1:3" x14ac:dyDescent="0.25">
      <c r="A7385" s="3">
        <v>41975</v>
      </c>
      <c r="B7385" s="2" t="s">
        <v>15</v>
      </c>
      <c r="C7385" s="2">
        <v>21</v>
      </c>
    </row>
    <row r="7386" spans="1:3" x14ac:dyDescent="0.25">
      <c r="A7386" s="3">
        <v>41723</v>
      </c>
      <c r="B7386" s="2" t="s">
        <v>33</v>
      </c>
      <c r="C7386" s="2">
        <v>20</v>
      </c>
    </row>
    <row r="7387" spans="1:3" x14ac:dyDescent="0.25">
      <c r="A7387" s="3">
        <v>41755</v>
      </c>
      <c r="B7387" s="2" t="s">
        <v>24</v>
      </c>
      <c r="C7387" s="2">
        <v>56</v>
      </c>
    </row>
    <row r="7388" spans="1:3" x14ac:dyDescent="0.25">
      <c r="A7388" s="3">
        <v>41664</v>
      </c>
      <c r="B7388" s="2" t="s">
        <v>35</v>
      </c>
      <c r="C7388" s="2">
        <v>55</v>
      </c>
    </row>
    <row r="7389" spans="1:3" x14ac:dyDescent="0.25">
      <c r="A7389" s="3">
        <v>41599</v>
      </c>
      <c r="B7389" s="2" t="s">
        <v>46</v>
      </c>
      <c r="C7389" s="2">
        <v>26</v>
      </c>
    </row>
    <row r="7390" spans="1:3" x14ac:dyDescent="0.25">
      <c r="A7390" s="3">
        <v>41453</v>
      </c>
      <c r="B7390" s="2" t="s">
        <v>35</v>
      </c>
      <c r="C7390" s="2">
        <v>18</v>
      </c>
    </row>
    <row r="7391" spans="1:3" x14ac:dyDescent="0.25">
      <c r="A7391" s="3">
        <v>41330</v>
      </c>
      <c r="B7391" s="2" t="s">
        <v>8</v>
      </c>
      <c r="C7391" s="2">
        <v>35</v>
      </c>
    </row>
    <row r="7392" spans="1:3" x14ac:dyDescent="0.25">
      <c r="A7392" s="3">
        <v>41387</v>
      </c>
      <c r="B7392" s="2" t="s">
        <v>29</v>
      </c>
      <c r="C7392" s="2">
        <v>10</v>
      </c>
    </row>
    <row r="7393" spans="1:3" x14ac:dyDescent="0.25">
      <c r="A7393" s="3">
        <v>41768</v>
      </c>
      <c r="B7393" s="2" t="s">
        <v>37</v>
      </c>
      <c r="C7393" s="2">
        <v>24</v>
      </c>
    </row>
    <row r="7394" spans="1:3" x14ac:dyDescent="0.25">
      <c r="A7394" s="3">
        <v>41670</v>
      </c>
      <c r="B7394" s="2" t="s">
        <v>39</v>
      </c>
      <c r="C7394" s="2">
        <v>21</v>
      </c>
    </row>
    <row r="7395" spans="1:3" x14ac:dyDescent="0.25">
      <c r="A7395" s="3">
        <v>41972</v>
      </c>
      <c r="B7395" s="2" t="s">
        <v>45</v>
      </c>
      <c r="C7395" s="2">
        <v>9</v>
      </c>
    </row>
    <row r="7396" spans="1:3" x14ac:dyDescent="0.25">
      <c r="A7396" s="3">
        <v>41691</v>
      </c>
      <c r="B7396" s="2" t="s">
        <v>26</v>
      </c>
      <c r="C7396" s="2">
        <v>12</v>
      </c>
    </row>
    <row r="7397" spans="1:3" x14ac:dyDescent="0.25">
      <c r="A7397" s="3">
        <v>41979</v>
      </c>
      <c r="B7397" s="2" t="s">
        <v>48</v>
      </c>
      <c r="C7397" s="2">
        <v>40</v>
      </c>
    </row>
    <row r="7398" spans="1:3" x14ac:dyDescent="0.25">
      <c r="A7398" s="3">
        <v>41697</v>
      </c>
      <c r="B7398" s="2" t="s">
        <v>15</v>
      </c>
      <c r="C7398" s="2">
        <v>38</v>
      </c>
    </row>
    <row r="7399" spans="1:3" x14ac:dyDescent="0.25">
      <c r="A7399" s="3">
        <v>41312</v>
      </c>
      <c r="B7399" s="2" t="s">
        <v>33</v>
      </c>
      <c r="C7399" s="2">
        <v>17</v>
      </c>
    </row>
    <row r="7400" spans="1:3" x14ac:dyDescent="0.25">
      <c r="A7400" s="3">
        <v>41974</v>
      </c>
      <c r="B7400" s="2" t="s">
        <v>26</v>
      </c>
      <c r="C7400" s="2">
        <v>25</v>
      </c>
    </row>
    <row r="7401" spans="1:3" x14ac:dyDescent="0.25">
      <c r="A7401" s="3">
        <v>41584</v>
      </c>
      <c r="B7401" s="2" t="s">
        <v>50</v>
      </c>
      <c r="C7401" s="2">
        <v>31</v>
      </c>
    </row>
    <row r="7402" spans="1:3" x14ac:dyDescent="0.25">
      <c r="A7402" s="3">
        <v>41753</v>
      </c>
      <c r="B7402" s="2" t="s">
        <v>14</v>
      </c>
      <c r="C7402" s="2">
        <v>9</v>
      </c>
    </row>
    <row r="7403" spans="1:3" x14ac:dyDescent="0.25">
      <c r="A7403" s="3">
        <v>41464</v>
      </c>
      <c r="B7403" s="2" t="s">
        <v>27</v>
      </c>
      <c r="C7403" s="2">
        <v>24</v>
      </c>
    </row>
    <row r="7404" spans="1:3" x14ac:dyDescent="0.25">
      <c r="A7404" s="3">
        <v>41340</v>
      </c>
      <c r="B7404" s="2" t="s">
        <v>4</v>
      </c>
      <c r="C7404" s="2">
        <v>23</v>
      </c>
    </row>
    <row r="7405" spans="1:3" x14ac:dyDescent="0.25">
      <c r="A7405" s="3">
        <v>41332</v>
      </c>
      <c r="B7405" s="2" t="s">
        <v>7</v>
      </c>
      <c r="C7405" s="2">
        <v>29</v>
      </c>
    </row>
    <row r="7406" spans="1:3" x14ac:dyDescent="0.25">
      <c r="A7406" s="3">
        <v>41557</v>
      </c>
      <c r="B7406" s="2" t="s">
        <v>38</v>
      </c>
      <c r="C7406" s="2">
        <v>30</v>
      </c>
    </row>
    <row r="7407" spans="1:3" x14ac:dyDescent="0.25">
      <c r="A7407" s="3">
        <v>41410</v>
      </c>
      <c r="B7407" s="2" t="s">
        <v>13</v>
      </c>
      <c r="C7407" s="2">
        <v>31</v>
      </c>
    </row>
    <row r="7408" spans="1:3" x14ac:dyDescent="0.25">
      <c r="A7408" s="3">
        <v>41997</v>
      </c>
      <c r="B7408" s="2" t="s">
        <v>49</v>
      </c>
      <c r="C7408" s="2">
        <v>34</v>
      </c>
    </row>
    <row r="7409" spans="1:3" x14ac:dyDescent="0.25">
      <c r="A7409" s="3">
        <v>41337</v>
      </c>
      <c r="B7409" s="2" t="s">
        <v>19</v>
      </c>
      <c r="C7409" s="2">
        <v>26</v>
      </c>
    </row>
    <row r="7410" spans="1:3" x14ac:dyDescent="0.25">
      <c r="A7410" s="3">
        <v>41429</v>
      </c>
      <c r="B7410" s="2" t="s">
        <v>15</v>
      </c>
      <c r="C7410" s="2">
        <v>46</v>
      </c>
    </row>
    <row r="7411" spans="1:3" x14ac:dyDescent="0.25">
      <c r="A7411" s="3">
        <v>41839</v>
      </c>
      <c r="B7411" s="2" t="s">
        <v>8</v>
      </c>
      <c r="C7411" s="2">
        <v>27</v>
      </c>
    </row>
    <row r="7412" spans="1:3" x14ac:dyDescent="0.25">
      <c r="A7412" s="3">
        <v>41316</v>
      </c>
      <c r="B7412" s="2" t="s">
        <v>42</v>
      </c>
      <c r="C7412" s="2">
        <v>15</v>
      </c>
    </row>
    <row r="7413" spans="1:3" x14ac:dyDescent="0.25">
      <c r="A7413" s="3">
        <v>41845</v>
      </c>
      <c r="B7413" s="2" t="s">
        <v>46</v>
      </c>
      <c r="C7413" s="2">
        <v>26</v>
      </c>
    </row>
    <row r="7414" spans="1:3" x14ac:dyDescent="0.25">
      <c r="A7414" s="3">
        <v>41689</v>
      </c>
      <c r="B7414" s="2" t="s">
        <v>43</v>
      </c>
      <c r="C7414" s="2">
        <v>35</v>
      </c>
    </row>
    <row r="7415" spans="1:3" x14ac:dyDescent="0.25">
      <c r="A7415" s="3">
        <v>41796</v>
      </c>
      <c r="B7415" s="2" t="s">
        <v>44</v>
      </c>
      <c r="C7415" s="2">
        <v>20</v>
      </c>
    </row>
    <row r="7416" spans="1:3" x14ac:dyDescent="0.25">
      <c r="A7416" s="3">
        <v>41661</v>
      </c>
      <c r="B7416" s="2" t="s">
        <v>8</v>
      </c>
      <c r="C7416" s="2">
        <v>20</v>
      </c>
    </row>
    <row r="7417" spans="1:3" x14ac:dyDescent="0.25">
      <c r="A7417" s="3">
        <v>41583</v>
      </c>
      <c r="B7417" s="2" t="s">
        <v>37</v>
      </c>
      <c r="C7417" s="2">
        <v>42</v>
      </c>
    </row>
    <row r="7418" spans="1:3" x14ac:dyDescent="0.25">
      <c r="A7418" s="3">
        <v>41423</v>
      </c>
      <c r="B7418" s="2" t="s">
        <v>49</v>
      </c>
      <c r="C7418" s="2">
        <v>34</v>
      </c>
    </row>
    <row r="7419" spans="1:3" x14ac:dyDescent="0.25">
      <c r="A7419" s="3">
        <v>41324</v>
      </c>
      <c r="B7419" s="2" t="s">
        <v>41</v>
      </c>
      <c r="C7419" s="2">
        <v>16</v>
      </c>
    </row>
    <row r="7420" spans="1:3" x14ac:dyDescent="0.25">
      <c r="A7420" s="3">
        <v>41528</v>
      </c>
      <c r="B7420" s="2" t="s">
        <v>32</v>
      </c>
      <c r="C7420" s="2">
        <v>27</v>
      </c>
    </row>
    <row r="7421" spans="1:3" x14ac:dyDescent="0.25">
      <c r="A7421" s="3">
        <v>41706</v>
      </c>
      <c r="B7421" s="2" t="s">
        <v>27</v>
      </c>
      <c r="C7421" s="2">
        <v>19</v>
      </c>
    </row>
    <row r="7422" spans="1:3" x14ac:dyDescent="0.25">
      <c r="A7422" s="3">
        <v>41337</v>
      </c>
      <c r="B7422" s="2" t="s">
        <v>13</v>
      </c>
      <c r="C7422" s="2">
        <v>20</v>
      </c>
    </row>
    <row r="7423" spans="1:3" x14ac:dyDescent="0.25">
      <c r="A7423" s="3">
        <v>41592</v>
      </c>
      <c r="B7423" s="2" t="s">
        <v>41</v>
      </c>
      <c r="C7423" s="2">
        <v>23</v>
      </c>
    </row>
    <row r="7424" spans="1:3" x14ac:dyDescent="0.25">
      <c r="A7424" s="3">
        <v>41582</v>
      </c>
      <c r="B7424" s="2" t="s">
        <v>31</v>
      </c>
      <c r="C7424" s="2">
        <v>9</v>
      </c>
    </row>
    <row r="7425" spans="1:3" x14ac:dyDescent="0.25">
      <c r="A7425" s="3">
        <v>41783</v>
      </c>
      <c r="B7425" s="2" t="s">
        <v>36</v>
      </c>
      <c r="C7425" s="2">
        <v>33</v>
      </c>
    </row>
    <row r="7426" spans="1:3" x14ac:dyDescent="0.25">
      <c r="A7426" s="3">
        <v>41937</v>
      </c>
      <c r="B7426" s="2" t="s">
        <v>37</v>
      </c>
      <c r="C7426" s="2">
        <v>14</v>
      </c>
    </row>
    <row r="7427" spans="1:3" x14ac:dyDescent="0.25">
      <c r="A7427" s="3">
        <v>41310</v>
      </c>
      <c r="B7427" s="2" t="s">
        <v>39</v>
      </c>
      <c r="C7427" s="2">
        <v>33</v>
      </c>
    </row>
    <row r="7428" spans="1:3" x14ac:dyDescent="0.25">
      <c r="A7428" s="3">
        <v>41345</v>
      </c>
      <c r="B7428" s="2" t="s">
        <v>46</v>
      </c>
      <c r="C7428" s="2">
        <v>16</v>
      </c>
    </row>
    <row r="7429" spans="1:3" x14ac:dyDescent="0.25">
      <c r="A7429" s="3">
        <v>41786</v>
      </c>
      <c r="B7429" s="2" t="s">
        <v>17</v>
      </c>
      <c r="C7429" s="2">
        <v>22</v>
      </c>
    </row>
    <row r="7430" spans="1:3" x14ac:dyDescent="0.25">
      <c r="A7430" s="3">
        <v>41529</v>
      </c>
      <c r="B7430" s="2" t="s">
        <v>12</v>
      </c>
      <c r="C7430" s="2">
        <v>4</v>
      </c>
    </row>
    <row r="7431" spans="1:3" x14ac:dyDescent="0.25">
      <c r="A7431" s="3">
        <v>41520</v>
      </c>
      <c r="B7431" s="2" t="s">
        <v>16</v>
      </c>
      <c r="C7431" s="2">
        <v>24</v>
      </c>
    </row>
    <row r="7432" spans="1:3" x14ac:dyDescent="0.25">
      <c r="A7432" s="3">
        <v>41789</v>
      </c>
      <c r="B7432" s="2" t="s">
        <v>21</v>
      </c>
      <c r="C7432" s="2">
        <v>18</v>
      </c>
    </row>
    <row r="7433" spans="1:3" x14ac:dyDescent="0.25">
      <c r="A7433" s="3">
        <v>41494</v>
      </c>
      <c r="B7433" s="2" t="s">
        <v>3</v>
      </c>
      <c r="C7433" s="2">
        <v>22</v>
      </c>
    </row>
    <row r="7434" spans="1:3" x14ac:dyDescent="0.25">
      <c r="A7434" s="3">
        <v>41449</v>
      </c>
      <c r="B7434" s="2" t="s">
        <v>50</v>
      </c>
      <c r="C7434" s="2">
        <v>41</v>
      </c>
    </row>
    <row r="7435" spans="1:3" x14ac:dyDescent="0.25">
      <c r="A7435" s="3">
        <v>41857</v>
      </c>
      <c r="B7435" s="2" t="s">
        <v>2</v>
      </c>
      <c r="C7435" s="2">
        <v>23</v>
      </c>
    </row>
    <row r="7436" spans="1:3" x14ac:dyDescent="0.25">
      <c r="A7436" s="3">
        <v>41340</v>
      </c>
      <c r="B7436" s="2" t="s">
        <v>15</v>
      </c>
      <c r="C7436" s="2">
        <v>30</v>
      </c>
    </row>
    <row r="7437" spans="1:3" x14ac:dyDescent="0.25">
      <c r="A7437" s="3">
        <v>41690</v>
      </c>
      <c r="B7437" s="2" t="s">
        <v>2</v>
      </c>
      <c r="C7437" s="2">
        <v>35</v>
      </c>
    </row>
    <row r="7438" spans="1:3" x14ac:dyDescent="0.25">
      <c r="A7438" s="3">
        <v>41650</v>
      </c>
      <c r="B7438" s="2" t="s">
        <v>32</v>
      </c>
      <c r="C7438" s="2">
        <v>47</v>
      </c>
    </row>
    <row r="7439" spans="1:3" x14ac:dyDescent="0.25">
      <c r="A7439" s="3">
        <v>41916</v>
      </c>
      <c r="B7439" s="2" t="s">
        <v>9</v>
      </c>
      <c r="C7439" s="2">
        <v>24</v>
      </c>
    </row>
    <row r="7440" spans="1:3" x14ac:dyDescent="0.25">
      <c r="A7440" s="3">
        <v>41473</v>
      </c>
      <c r="B7440" s="2" t="s">
        <v>6</v>
      </c>
      <c r="C7440" s="2">
        <v>36</v>
      </c>
    </row>
    <row r="7441" spans="1:3" x14ac:dyDescent="0.25">
      <c r="A7441" s="3">
        <v>41947</v>
      </c>
      <c r="B7441" s="2" t="s">
        <v>39</v>
      </c>
      <c r="C7441" s="2">
        <v>34</v>
      </c>
    </row>
    <row r="7442" spans="1:3" x14ac:dyDescent="0.25">
      <c r="A7442" s="3">
        <v>41756</v>
      </c>
      <c r="B7442" s="2" t="s">
        <v>42</v>
      </c>
      <c r="C7442" s="2">
        <v>27</v>
      </c>
    </row>
    <row r="7443" spans="1:3" x14ac:dyDescent="0.25">
      <c r="A7443" s="3">
        <v>41549</v>
      </c>
      <c r="B7443" s="2" t="s">
        <v>19</v>
      </c>
      <c r="C7443" s="2">
        <v>52</v>
      </c>
    </row>
    <row r="7444" spans="1:3" x14ac:dyDescent="0.25">
      <c r="A7444" s="3">
        <v>41403</v>
      </c>
      <c r="B7444" s="2" t="s">
        <v>38</v>
      </c>
      <c r="C7444" s="2">
        <v>45</v>
      </c>
    </row>
    <row r="7445" spans="1:3" x14ac:dyDescent="0.25">
      <c r="A7445" s="3">
        <v>41796</v>
      </c>
      <c r="B7445" s="2" t="s">
        <v>11</v>
      </c>
      <c r="C7445" s="2">
        <v>20</v>
      </c>
    </row>
    <row r="7446" spans="1:3" x14ac:dyDescent="0.25">
      <c r="A7446" s="3">
        <v>41379</v>
      </c>
      <c r="B7446" s="2" t="s">
        <v>21</v>
      </c>
      <c r="C7446" s="2">
        <v>42</v>
      </c>
    </row>
    <row r="7447" spans="1:3" x14ac:dyDescent="0.25">
      <c r="A7447" s="3">
        <v>41981</v>
      </c>
      <c r="B7447" s="2" t="s">
        <v>36</v>
      </c>
      <c r="C7447" s="2">
        <v>33</v>
      </c>
    </row>
    <row r="7448" spans="1:3" x14ac:dyDescent="0.25">
      <c r="A7448" s="3">
        <v>41563</v>
      </c>
      <c r="B7448" s="2" t="s">
        <v>46</v>
      </c>
      <c r="C7448" s="2">
        <v>25</v>
      </c>
    </row>
    <row r="7449" spans="1:3" x14ac:dyDescent="0.25">
      <c r="A7449" s="3">
        <v>41953</v>
      </c>
      <c r="B7449" s="2" t="s">
        <v>7</v>
      </c>
      <c r="C7449" s="2">
        <v>16</v>
      </c>
    </row>
    <row r="7450" spans="1:3" x14ac:dyDescent="0.25">
      <c r="A7450" s="3">
        <v>42000</v>
      </c>
      <c r="B7450" s="2" t="s">
        <v>40</v>
      </c>
      <c r="C7450" s="2">
        <v>9</v>
      </c>
    </row>
    <row r="7451" spans="1:3" x14ac:dyDescent="0.25">
      <c r="A7451" s="3">
        <v>41695</v>
      </c>
      <c r="B7451" s="2" t="s">
        <v>9</v>
      </c>
      <c r="C7451" s="2">
        <v>17</v>
      </c>
    </row>
    <row r="7452" spans="1:3" x14ac:dyDescent="0.25">
      <c r="A7452" s="3">
        <v>41884</v>
      </c>
      <c r="B7452" s="2" t="s">
        <v>9</v>
      </c>
      <c r="C7452" s="2">
        <v>1</v>
      </c>
    </row>
    <row r="7453" spans="1:3" x14ac:dyDescent="0.25">
      <c r="A7453" s="3">
        <v>41548</v>
      </c>
      <c r="B7453" s="2" t="s">
        <v>40</v>
      </c>
      <c r="C7453" s="2">
        <v>22</v>
      </c>
    </row>
    <row r="7454" spans="1:3" x14ac:dyDescent="0.25">
      <c r="A7454" s="3">
        <v>41500</v>
      </c>
      <c r="B7454" s="2" t="s">
        <v>23</v>
      </c>
      <c r="C7454" s="2">
        <v>1</v>
      </c>
    </row>
    <row r="7455" spans="1:3" x14ac:dyDescent="0.25">
      <c r="A7455" s="3">
        <v>41897</v>
      </c>
      <c r="B7455" s="2" t="s">
        <v>17</v>
      </c>
      <c r="C7455" s="2">
        <v>24</v>
      </c>
    </row>
    <row r="7456" spans="1:3" x14ac:dyDescent="0.25">
      <c r="A7456" s="3">
        <v>41909</v>
      </c>
      <c r="B7456" s="2" t="s">
        <v>28</v>
      </c>
      <c r="C7456" s="2">
        <v>26</v>
      </c>
    </row>
    <row r="7457" spans="1:3" x14ac:dyDescent="0.25">
      <c r="A7457" s="3">
        <v>41360</v>
      </c>
      <c r="B7457" s="2" t="s">
        <v>40</v>
      </c>
      <c r="C7457" s="2">
        <v>10</v>
      </c>
    </row>
    <row r="7458" spans="1:3" x14ac:dyDescent="0.25">
      <c r="A7458" s="3">
        <v>41574</v>
      </c>
      <c r="B7458" s="2" t="s">
        <v>7</v>
      </c>
      <c r="C7458" s="2">
        <v>36</v>
      </c>
    </row>
    <row r="7459" spans="1:3" x14ac:dyDescent="0.25">
      <c r="A7459" s="3">
        <v>41408</v>
      </c>
      <c r="B7459" s="2" t="s">
        <v>47</v>
      </c>
      <c r="C7459" s="2">
        <v>19</v>
      </c>
    </row>
    <row r="7460" spans="1:3" x14ac:dyDescent="0.25">
      <c r="A7460" s="3">
        <v>41827</v>
      </c>
      <c r="B7460" s="2" t="s">
        <v>26</v>
      </c>
      <c r="C7460" s="2">
        <v>8</v>
      </c>
    </row>
    <row r="7461" spans="1:3" x14ac:dyDescent="0.25">
      <c r="A7461" s="3">
        <v>41936</v>
      </c>
      <c r="B7461" s="2" t="s">
        <v>32</v>
      </c>
      <c r="C7461" s="2">
        <v>29</v>
      </c>
    </row>
    <row r="7462" spans="1:3" x14ac:dyDescent="0.25">
      <c r="A7462" s="3">
        <v>41297</v>
      </c>
      <c r="B7462" s="2" t="s">
        <v>16</v>
      </c>
      <c r="C7462" s="2">
        <v>21</v>
      </c>
    </row>
    <row r="7463" spans="1:3" x14ac:dyDescent="0.25">
      <c r="A7463" s="3">
        <v>41404</v>
      </c>
      <c r="B7463" s="2" t="s">
        <v>31</v>
      </c>
      <c r="C7463" s="2">
        <v>32</v>
      </c>
    </row>
    <row r="7464" spans="1:3" x14ac:dyDescent="0.25">
      <c r="A7464" s="3">
        <v>41822</v>
      </c>
      <c r="B7464" s="2" t="s">
        <v>24</v>
      </c>
      <c r="C7464" s="2">
        <v>49</v>
      </c>
    </row>
    <row r="7465" spans="1:3" x14ac:dyDescent="0.25">
      <c r="A7465" s="3">
        <v>41576</v>
      </c>
      <c r="B7465" s="2" t="s">
        <v>31</v>
      </c>
      <c r="C7465" s="2">
        <v>8</v>
      </c>
    </row>
    <row r="7466" spans="1:3" x14ac:dyDescent="0.25">
      <c r="A7466" s="3">
        <v>41438</v>
      </c>
      <c r="B7466" s="2" t="s">
        <v>48</v>
      </c>
      <c r="C7466" s="2">
        <v>36</v>
      </c>
    </row>
    <row r="7467" spans="1:3" x14ac:dyDescent="0.25">
      <c r="A7467" s="3">
        <v>41659</v>
      </c>
      <c r="B7467" s="2" t="s">
        <v>42</v>
      </c>
      <c r="C7467" s="2">
        <v>17</v>
      </c>
    </row>
    <row r="7468" spans="1:3" x14ac:dyDescent="0.25">
      <c r="A7468" s="3">
        <v>41333</v>
      </c>
      <c r="B7468" s="2" t="s">
        <v>43</v>
      </c>
      <c r="C7468" s="2">
        <v>20</v>
      </c>
    </row>
    <row r="7469" spans="1:3" x14ac:dyDescent="0.25">
      <c r="A7469" s="3">
        <v>41580</v>
      </c>
      <c r="B7469" s="2" t="s">
        <v>8</v>
      </c>
      <c r="C7469" s="2">
        <v>4</v>
      </c>
    </row>
    <row r="7470" spans="1:3" x14ac:dyDescent="0.25">
      <c r="A7470" s="3">
        <v>41493</v>
      </c>
      <c r="B7470" s="2" t="s">
        <v>5</v>
      </c>
      <c r="C7470" s="2">
        <v>33</v>
      </c>
    </row>
    <row r="7471" spans="1:3" x14ac:dyDescent="0.25">
      <c r="A7471" s="3">
        <v>41908</v>
      </c>
      <c r="B7471" s="2" t="s">
        <v>35</v>
      </c>
      <c r="C7471" s="2">
        <v>1</v>
      </c>
    </row>
    <row r="7472" spans="1:3" x14ac:dyDescent="0.25">
      <c r="A7472" s="3">
        <v>41808</v>
      </c>
      <c r="B7472" s="2" t="s">
        <v>32</v>
      </c>
      <c r="C7472" s="2">
        <v>27</v>
      </c>
    </row>
    <row r="7473" spans="1:3" x14ac:dyDescent="0.25">
      <c r="A7473" s="3">
        <v>41404</v>
      </c>
      <c r="B7473" s="2" t="s">
        <v>49</v>
      </c>
      <c r="C7473" s="2">
        <v>0</v>
      </c>
    </row>
    <row r="7474" spans="1:3" x14ac:dyDescent="0.25">
      <c r="A7474" s="3">
        <v>41889</v>
      </c>
      <c r="B7474" s="2" t="s">
        <v>45</v>
      </c>
      <c r="C7474" s="2">
        <v>35</v>
      </c>
    </row>
    <row r="7475" spans="1:3" x14ac:dyDescent="0.25">
      <c r="A7475" s="3">
        <v>41501</v>
      </c>
      <c r="B7475" s="2" t="s">
        <v>20</v>
      </c>
      <c r="C7475" s="2">
        <v>14</v>
      </c>
    </row>
    <row r="7476" spans="1:3" x14ac:dyDescent="0.25">
      <c r="A7476" s="3">
        <v>41352</v>
      </c>
      <c r="B7476" s="2" t="s">
        <v>3</v>
      </c>
      <c r="C7476" s="2">
        <v>26</v>
      </c>
    </row>
    <row r="7477" spans="1:3" x14ac:dyDescent="0.25">
      <c r="A7477" s="3">
        <v>41408</v>
      </c>
      <c r="B7477" s="2" t="s">
        <v>43</v>
      </c>
      <c r="C7477" s="2">
        <v>7</v>
      </c>
    </row>
    <row r="7478" spans="1:3" x14ac:dyDescent="0.25">
      <c r="A7478" s="3">
        <v>41554</v>
      </c>
      <c r="B7478" s="2" t="s">
        <v>41</v>
      </c>
      <c r="C7478" s="2">
        <v>28</v>
      </c>
    </row>
    <row r="7479" spans="1:3" x14ac:dyDescent="0.25">
      <c r="A7479" s="3">
        <v>41311</v>
      </c>
      <c r="B7479" s="2" t="s">
        <v>41</v>
      </c>
      <c r="C7479" s="2">
        <v>36</v>
      </c>
    </row>
    <row r="7480" spans="1:3" x14ac:dyDescent="0.25">
      <c r="A7480" s="3">
        <v>41667</v>
      </c>
      <c r="B7480" s="2" t="s">
        <v>44</v>
      </c>
      <c r="C7480" s="2">
        <v>1</v>
      </c>
    </row>
    <row r="7481" spans="1:3" x14ac:dyDescent="0.25">
      <c r="A7481" s="3">
        <v>41318</v>
      </c>
      <c r="B7481" s="2" t="s">
        <v>49</v>
      </c>
      <c r="C7481" s="2">
        <v>50</v>
      </c>
    </row>
    <row r="7482" spans="1:3" x14ac:dyDescent="0.25">
      <c r="A7482" s="3">
        <v>41925</v>
      </c>
      <c r="B7482" s="2" t="s">
        <v>21</v>
      </c>
      <c r="C7482" s="2">
        <v>29</v>
      </c>
    </row>
    <row r="7483" spans="1:3" x14ac:dyDescent="0.25">
      <c r="A7483" s="3">
        <v>41524</v>
      </c>
      <c r="B7483" s="2" t="s">
        <v>32</v>
      </c>
      <c r="C7483" s="2">
        <v>7</v>
      </c>
    </row>
    <row r="7484" spans="1:3" x14ac:dyDescent="0.25">
      <c r="A7484" s="3">
        <v>41829</v>
      </c>
      <c r="B7484" s="2" t="s">
        <v>22</v>
      </c>
      <c r="C7484" s="2">
        <v>23</v>
      </c>
    </row>
    <row r="7485" spans="1:3" x14ac:dyDescent="0.25">
      <c r="A7485" s="3">
        <v>41942</v>
      </c>
      <c r="B7485" s="2" t="s">
        <v>24</v>
      </c>
      <c r="C7485" s="2">
        <v>4</v>
      </c>
    </row>
    <row r="7486" spans="1:3" x14ac:dyDescent="0.25">
      <c r="A7486" s="3">
        <v>41927</v>
      </c>
      <c r="B7486" s="2" t="s">
        <v>24</v>
      </c>
      <c r="C7486" s="2">
        <v>36</v>
      </c>
    </row>
    <row r="7487" spans="1:3" x14ac:dyDescent="0.25">
      <c r="A7487" s="3">
        <v>41337</v>
      </c>
      <c r="B7487" s="2" t="s">
        <v>51</v>
      </c>
      <c r="C7487" s="2">
        <v>28</v>
      </c>
    </row>
    <row r="7488" spans="1:3" x14ac:dyDescent="0.25">
      <c r="A7488" s="3">
        <v>41853</v>
      </c>
      <c r="B7488" s="2" t="s">
        <v>39</v>
      </c>
      <c r="C7488" s="2">
        <v>30</v>
      </c>
    </row>
    <row r="7489" spans="1:3" x14ac:dyDescent="0.25">
      <c r="A7489" s="3">
        <v>41812</v>
      </c>
      <c r="B7489" s="2" t="s">
        <v>4</v>
      </c>
      <c r="C7489" s="2">
        <v>39</v>
      </c>
    </row>
    <row r="7490" spans="1:3" x14ac:dyDescent="0.25">
      <c r="A7490" s="3">
        <v>41879</v>
      </c>
      <c r="B7490" s="2" t="s">
        <v>40</v>
      </c>
      <c r="C7490" s="2">
        <v>18</v>
      </c>
    </row>
    <row r="7491" spans="1:3" x14ac:dyDescent="0.25">
      <c r="A7491" s="3">
        <v>41850</v>
      </c>
      <c r="B7491" s="2" t="s">
        <v>18</v>
      </c>
      <c r="C7491" s="2">
        <v>39</v>
      </c>
    </row>
    <row r="7492" spans="1:3" x14ac:dyDescent="0.25">
      <c r="A7492" s="3">
        <v>41392</v>
      </c>
      <c r="B7492" s="2" t="s">
        <v>34</v>
      </c>
      <c r="C7492" s="2">
        <v>28</v>
      </c>
    </row>
    <row r="7493" spans="1:3" x14ac:dyDescent="0.25">
      <c r="A7493" s="3">
        <v>41877</v>
      </c>
      <c r="B7493" s="2" t="s">
        <v>6</v>
      </c>
      <c r="C7493" s="2">
        <v>32</v>
      </c>
    </row>
    <row r="7494" spans="1:3" x14ac:dyDescent="0.25">
      <c r="A7494" s="3">
        <v>41930</v>
      </c>
      <c r="B7494" s="2" t="s">
        <v>49</v>
      </c>
      <c r="C7494" s="2">
        <v>35</v>
      </c>
    </row>
    <row r="7495" spans="1:3" x14ac:dyDescent="0.25">
      <c r="A7495" s="3">
        <v>41319</v>
      </c>
      <c r="B7495" s="2" t="s">
        <v>50</v>
      </c>
      <c r="C7495" s="2">
        <v>12</v>
      </c>
    </row>
    <row r="7496" spans="1:3" x14ac:dyDescent="0.25">
      <c r="A7496" s="3">
        <v>41572</v>
      </c>
      <c r="B7496" s="2" t="s">
        <v>49</v>
      </c>
      <c r="C7496" s="2">
        <v>39</v>
      </c>
    </row>
    <row r="7497" spans="1:3" x14ac:dyDescent="0.25">
      <c r="A7497" s="3">
        <v>41749</v>
      </c>
      <c r="B7497" s="2" t="s">
        <v>23</v>
      </c>
      <c r="C7497" s="2">
        <v>51</v>
      </c>
    </row>
    <row r="7498" spans="1:3" x14ac:dyDescent="0.25">
      <c r="A7498" s="3">
        <v>41834</v>
      </c>
      <c r="B7498" s="2" t="s">
        <v>23</v>
      </c>
      <c r="C7498" s="2">
        <v>36</v>
      </c>
    </row>
    <row r="7499" spans="1:3" x14ac:dyDescent="0.25">
      <c r="A7499" s="3">
        <v>41445</v>
      </c>
      <c r="B7499" s="2" t="s">
        <v>19</v>
      </c>
      <c r="C7499" s="2">
        <v>33</v>
      </c>
    </row>
    <row r="7500" spans="1:3" x14ac:dyDescent="0.25">
      <c r="A7500" s="3">
        <v>41471</v>
      </c>
      <c r="B7500" s="2" t="s">
        <v>38</v>
      </c>
      <c r="C7500" s="2">
        <v>69</v>
      </c>
    </row>
    <row r="7501" spans="1:3" x14ac:dyDescent="0.25">
      <c r="A7501" s="3">
        <v>41927</v>
      </c>
      <c r="B7501" s="2" t="s">
        <v>33</v>
      </c>
      <c r="C7501" s="2">
        <v>28</v>
      </c>
    </row>
    <row r="7502" spans="1:3" x14ac:dyDescent="0.25">
      <c r="A7502" s="3">
        <v>41966</v>
      </c>
      <c r="B7502" s="2" t="s">
        <v>40</v>
      </c>
      <c r="C7502" s="2">
        <v>2</v>
      </c>
    </row>
    <row r="7503" spans="1:3" x14ac:dyDescent="0.25">
      <c r="A7503" s="3">
        <v>41973</v>
      </c>
      <c r="B7503" s="2" t="s">
        <v>4</v>
      </c>
      <c r="C7503" s="2">
        <v>21</v>
      </c>
    </row>
    <row r="7504" spans="1:3" x14ac:dyDescent="0.25">
      <c r="A7504" s="3">
        <v>41812</v>
      </c>
      <c r="B7504" s="2" t="s">
        <v>12</v>
      </c>
      <c r="C7504" s="2">
        <v>8</v>
      </c>
    </row>
    <row r="7505" spans="1:3" x14ac:dyDescent="0.25">
      <c r="A7505" s="3">
        <v>41509</v>
      </c>
      <c r="B7505" s="2" t="s">
        <v>32</v>
      </c>
      <c r="C7505" s="2">
        <v>7</v>
      </c>
    </row>
    <row r="7506" spans="1:3" x14ac:dyDescent="0.25">
      <c r="A7506" s="3">
        <v>41352</v>
      </c>
      <c r="B7506" s="2" t="s">
        <v>37</v>
      </c>
      <c r="C7506" s="2">
        <v>21</v>
      </c>
    </row>
    <row r="7507" spans="1:3" x14ac:dyDescent="0.25">
      <c r="A7507" s="3">
        <v>41315</v>
      </c>
      <c r="B7507" s="2" t="s">
        <v>5</v>
      </c>
      <c r="C7507" s="2">
        <v>22</v>
      </c>
    </row>
    <row r="7508" spans="1:3" x14ac:dyDescent="0.25">
      <c r="A7508" s="3">
        <v>41572</v>
      </c>
      <c r="B7508" s="2" t="s">
        <v>14</v>
      </c>
      <c r="C7508" s="2">
        <v>43</v>
      </c>
    </row>
    <row r="7509" spans="1:3" x14ac:dyDescent="0.25">
      <c r="A7509" s="3">
        <v>41649</v>
      </c>
      <c r="B7509" s="2" t="s">
        <v>38</v>
      </c>
      <c r="C7509" s="2">
        <v>50</v>
      </c>
    </row>
    <row r="7510" spans="1:3" x14ac:dyDescent="0.25">
      <c r="A7510" s="3">
        <v>41589</v>
      </c>
      <c r="B7510" s="2" t="s">
        <v>37</v>
      </c>
      <c r="C7510" s="2">
        <v>19</v>
      </c>
    </row>
    <row r="7511" spans="1:3" x14ac:dyDescent="0.25">
      <c r="A7511" s="3">
        <v>41420</v>
      </c>
      <c r="B7511" s="2" t="s">
        <v>42</v>
      </c>
      <c r="C7511" s="2">
        <v>61</v>
      </c>
    </row>
    <row r="7512" spans="1:3" x14ac:dyDescent="0.25">
      <c r="A7512" s="3">
        <v>41690</v>
      </c>
      <c r="B7512" s="2" t="s">
        <v>7</v>
      </c>
      <c r="C7512" s="2">
        <v>35</v>
      </c>
    </row>
    <row r="7513" spans="1:3" x14ac:dyDescent="0.25">
      <c r="A7513" s="3">
        <v>41902</v>
      </c>
      <c r="B7513" s="2" t="s">
        <v>28</v>
      </c>
      <c r="C7513" s="2">
        <v>26</v>
      </c>
    </row>
    <row r="7514" spans="1:3" x14ac:dyDescent="0.25">
      <c r="A7514" s="3">
        <v>41603</v>
      </c>
      <c r="B7514" s="2" t="s">
        <v>4</v>
      </c>
      <c r="C7514" s="2">
        <v>23</v>
      </c>
    </row>
    <row r="7515" spans="1:3" x14ac:dyDescent="0.25">
      <c r="A7515" s="3">
        <v>41987</v>
      </c>
      <c r="B7515" s="2" t="s">
        <v>45</v>
      </c>
      <c r="C7515" s="2">
        <v>46</v>
      </c>
    </row>
    <row r="7516" spans="1:3" x14ac:dyDescent="0.25">
      <c r="A7516" s="3">
        <v>41911</v>
      </c>
      <c r="B7516" s="2" t="s">
        <v>33</v>
      </c>
      <c r="C7516" s="2">
        <v>25</v>
      </c>
    </row>
    <row r="7517" spans="1:3" x14ac:dyDescent="0.25">
      <c r="A7517" s="3">
        <v>41642</v>
      </c>
      <c r="B7517" s="2" t="s">
        <v>30</v>
      </c>
      <c r="C7517" s="2">
        <v>20</v>
      </c>
    </row>
    <row r="7518" spans="1:3" x14ac:dyDescent="0.25">
      <c r="A7518" s="3">
        <v>41703</v>
      </c>
      <c r="B7518" s="2" t="s">
        <v>20</v>
      </c>
      <c r="C7518" s="2">
        <v>17</v>
      </c>
    </row>
    <row r="7519" spans="1:3" x14ac:dyDescent="0.25">
      <c r="A7519" s="3">
        <v>41638</v>
      </c>
      <c r="B7519" s="2" t="s">
        <v>50</v>
      </c>
      <c r="C7519" s="2">
        <v>24</v>
      </c>
    </row>
    <row r="7520" spans="1:3" x14ac:dyDescent="0.25">
      <c r="A7520" s="3">
        <v>41312</v>
      </c>
      <c r="B7520" s="2" t="s">
        <v>28</v>
      </c>
      <c r="C7520" s="2">
        <v>9</v>
      </c>
    </row>
    <row r="7521" spans="1:3" x14ac:dyDescent="0.25">
      <c r="A7521" s="3">
        <v>41290</v>
      </c>
      <c r="B7521" s="2" t="s">
        <v>34</v>
      </c>
      <c r="C7521" s="2">
        <v>25</v>
      </c>
    </row>
    <row r="7522" spans="1:3" x14ac:dyDescent="0.25">
      <c r="A7522" s="3">
        <v>41650</v>
      </c>
      <c r="B7522" s="2" t="s">
        <v>22</v>
      </c>
      <c r="C7522" s="2">
        <v>36</v>
      </c>
    </row>
    <row r="7523" spans="1:3" x14ac:dyDescent="0.25">
      <c r="A7523" s="3">
        <v>41612</v>
      </c>
      <c r="B7523" s="2" t="s">
        <v>51</v>
      </c>
      <c r="C7523" s="2">
        <v>18</v>
      </c>
    </row>
    <row r="7524" spans="1:3" x14ac:dyDescent="0.25">
      <c r="A7524" s="3">
        <v>41462</v>
      </c>
      <c r="B7524" s="2" t="s">
        <v>19</v>
      </c>
      <c r="C7524" s="2">
        <v>17</v>
      </c>
    </row>
    <row r="7525" spans="1:3" x14ac:dyDescent="0.25">
      <c r="A7525" s="3">
        <v>41408</v>
      </c>
      <c r="B7525" s="2" t="s">
        <v>33</v>
      </c>
      <c r="C7525" s="2">
        <v>18</v>
      </c>
    </row>
    <row r="7526" spans="1:3" x14ac:dyDescent="0.25">
      <c r="A7526" s="3">
        <v>41938</v>
      </c>
      <c r="B7526" s="2" t="s">
        <v>21</v>
      </c>
      <c r="C7526" s="2">
        <v>29</v>
      </c>
    </row>
    <row r="7527" spans="1:3" x14ac:dyDescent="0.25">
      <c r="A7527" s="3">
        <v>41414</v>
      </c>
      <c r="B7527" s="2" t="s">
        <v>24</v>
      </c>
      <c r="C7527" s="2">
        <v>21</v>
      </c>
    </row>
    <row r="7528" spans="1:3" x14ac:dyDescent="0.25">
      <c r="A7528" s="3">
        <v>41993</v>
      </c>
      <c r="B7528" s="2" t="s">
        <v>27</v>
      </c>
      <c r="C7528" s="2">
        <v>26</v>
      </c>
    </row>
    <row r="7529" spans="1:3" x14ac:dyDescent="0.25">
      <c r="A7529" s="3">
        <v>41667</v>
      </c>
      <c r="B7529" s="2" t="s">
        <v>46</v>
      </c>
      <c r="C7529" s="2">
        <v>10</v>
      </c>
    </row>
    <row r="7530" spans="1:3" x14ac:dyDescent="0.25">
      <c r="A7530" s="3">
        <v>41671</v>
      </c>
      <c r="B7530" s="2" t="s">
        <v>34</v>
      </c>
      <c r="C7530" s="2">
        <v>52</v>
      </c>
    </row>
    <row r="7531" spans="1:3" x14ac:dyDescent="0.25">
      <c r="A7531" s="3">
        <v>41766</v>
      </c>
      <c r="B7531" s="2" t="s">
        <v>39</v>
      </c>
      <c r="C7531" s="2">
        <v>48</v>
      </c>
    </row>
    <row r="7532" spans="1:3" x14ac:dyDescent="0.25">
      <c r="A7532" s="3">
        <v>41301</v>
      </c>
      <c r="B7532" s="2" t="s">
        <v>36</v>
      </c>
      <c r="C7532" s="2">
        <v>37</v>
      </c>
    </row>
    <row r="7533" spans="1:3" x14ac:dyDescent="0.25">
      <c r="A7533" s="3">
        <v>41426</v>
      </c>
      <c r="B7533" s="2" t="s">
        <v>9</v>
      </c>
      <c r="C7533" s="2">
        <v>25</v>
      </c>
    </row>
    <row r="7534" spans="1:3" x14ac:dyDescent="0.25">
      <c r="A7534" s="3">
        <v>41893</v>
      </c>
      <c r="B7534" s="2" t="s">
        <v>9</v>
      </c>
      <c r="C7534" s="2">
        <v>21</v>
      </c>
    </row>
    <row r="7535" spans="1:3" x14ac:dyDescent="0.25">
      <c r="A7535" s="3">
        <v>41664</v>
      </c>
      <c r="B7535" s="2" t="s">
        <v>44</v>
      </c>
      <c r="C7535" s="2">
        <v>28</v>
      </c>
    </row>
    <row r="7536" spans="1:3" x14ac:dyDescent="0.25">
      <c r="A7536" s="3">
        <v>41669</v>
      </c>
      <c r="B7536" s="2" t="s">
        <v>8</v>
      </c>
      <c r="C7536" s="2">
        <v>1</v>
      </c>
    </row>
    <row r="7537" spans="1:3" x14ac:dyDescent="0.25">
      <c r="A7537" s="3">
        <v>41426</v>
      </c>
      <c r="B7537" s="2" t="s">
        <v>50</v>
      </c>
      <c r="C7537" s="2">
        <v>22</v>
      </c>
    </row>
    <row r="7538" spans="1:3" x14ac:dyDescent="0.25">
      <c r="A7538" s="3">
        <v>41759</v>
      </c>
      <c r="B7538" s="2" t="s">
        <v>39</v>
      </c>
      <c r="C7538" s="2">
        <v>8</v>
      </c>
    </row>
    <row r="7539" spans="1:3" x14ac:dyDescent="0.25">
      <c r="A7539" s="3">
        <v>41868</v>
      </c>
      <c r="B7539" s="2" t="s">
        <v>22</v>
      </c>
      <c r="C7539" s="2">
        <v>42</v>
      </c>
    </row>
    <row r="7540" spans="1:3" x14ac:dyDescent="0.25">
      <c r="A7540" s="3">
        <v>41936</v>
      </c>
      <c r="B7540" s="2" t="s">
        <v>19</v>
      </c>
      <c r="C7540" s="2">
        <v>12</v>
      </c>
    </row>
    <row r="7541" spans="1:3" x14ac:dyDescent="0.25">
      <c r="A7541" s="3">
        <v>41805</v>
      </c>
      <c r="B7541" s="2" t="s">
        <v>37</v>
      </c>
      <c r="C7541" s="2">
        <v>36</v>
      </c>
    </row>
    <row r="7542" spans="1:3" x14ac:dyDescent="0.25">
      <c r="A7542" s="3">
        <v>41672</v>
      </c>
      <c r="B7542" s="2" t="s">
        <v>15</v>
      </c>
      <c r="C7542" s="2">
        <v>4</v>
      </c>
    </row>
    <row r="7543" spans="1:3" x14ac:dyDescent="0.25">
      <c r="A7543" s="3">
        <v>41328</v>
      </c>
      <c r="B7543" s="2" t="s">
        <v>26</v>
      </c>
      <c r="C7543" s="2">
        <v>21</v>
      </c>
    </row>
    <row r="7544" spans="1:3" x14ac:dyDescent="0.25">
      <c r="A7544" s="3">
        <v>41679</v>
      </c>
      <c r="B7544" s="2" t="s">
        <v>50</v>
      </c>
      <c r="C7544" s="2">
        <v>38</v>
      </c>
    </row>
    <row r="7545" spans="1:3" x14ac:dyDescent="0.25">
      <c r="A7545" s="3">
        <v>41469</v>
      </c>
      <c r="B7545" s="2" t="s">
        <v>21</v>
      </c>
      <c r="C7545" s="2">
        <v>20</v>
      </c>
    </row>
    <row r="7546" spans="1:3" x14ac:dyDescent="0.25">
      <c r="A7546" s="3">
        <v>41350</v>
      </c>
      <c r="B7546" s="2" t="s">
        <v>17</v>
      </c>
      <c r="C7546" s="2">
        <v>29</v>
      </c>
    </row>
    <row r="7547" spans="1:3" x14ac:dyDescent="0.25">
      <c r="A7547" s="3">
        <v>41813</v>
      </c>
      <c r="B7547" s="2" t="s">
        <v>16</v>
      </c>
      <c r="C7547" s="2">
        <v>48</v>
      </c>
    </row>
    <row r="7548" spans="1:3" x14ac:dyDescent="0.25">
      <c r="A7548" s="3">
        <v>41831</v>
      </c>
      <c r="B7548" s="2" t="s">
        <v>22</v>
      </c>
      <c r="C7548" s="2">
        <v>7</v>
      </c>
    </row>
    <row r="7549" spans="1:3" x14ac:dyDescent="0.25">
      <c r="A7549" s="3">
        <v>41845</v>
      </c>
      <c r="B7549" s="2" t="s">
        <v>21</v>
      </c>
      <c r="C7549" s="2">
        <v>46</v>
      </c>
    </row>
    <row r="7550" spans="1:3" x14ac:dyDescent="0.25">
      <c r="A7550" s="3">
        <v>41810</v>
      </c>
      <c r="B7550" s="2" t="s">
        <v>43</v>
      </c>
      <c r="C7550" s="2">
        <v>13</v>
      </c>
    </row>
    <row r="7551" spans="1:3" x14ac:dyDescent="0.25">
      <c r="A7551" s="3">
        <v>41589</v>
      </c>
      <c r="B7551" s="2" t="s">
        <v>14</v>
      </c>
      <c r="C7551" s="2">
        <v>15</v>
      </c>
    </row>
    <row r="7552" spans="1:3" x14ac:dyDescent="0.25">
      <c r="A7552" s="3">
        <v>41564</v>
      </c>
      <c r="B7552" s="2" t="s">
        <v>41</v>
      </c>
      <c r="C7552" s="2">
        <v>4</v>
      </c>
    </row>
    <row r="7553" spans="1:3" x14ac:dyDescent="0.25">
      <c r="A7553" s="3">
        <v>41820</v>
      </c>
      <c r="B7553" s="2" t="s">
        <v>9</v>
      </c>
      <c r="C7553" s="2">
        <v>15</v>
      </c>
    </row>
    <row r="7554" spans="1:3" x14ac:dyDescent="0.25">
      <c r="A7554" s="3">
        <v>41558</v>
      </c>
      <c r="B7554" s="2" t="s">
        <v>38</v>
      </c>
      <c r="C7554" s="2">
        <v>14</v>
      </c>
    </row>
    <row r="7555" spans="1:3" x14ac:dyDescent="0.25">
      <c r="A7555" s="3">
        <v>41664</v>
      </c>
      <c r="B7555" s="2" t="s">
        <v>4</v>
      </c>
      <c r="C7555" s="2">
        <v>4</v>
      </c>
    </row>
    <row r="7556" spans="1:3" x14ac:dyDescent="0.25">
      <c r="A7556" s="3">
        <v>41574</v>
      </c>
      <c r="B7556" s="2" t="s">
        <v>51</v>
      </c>
      <c r="C7556" s="2">
        <v>42</v>
      </c>
    </row>
    <row r="7557" spans="1:3" x14ac:dyDescent="0.25">
      <c r="A7557" s="3">
        <v>41822</v>
      </c>
      <c r="B7557" s="2" t="s">
        <v>26</v>
      </c>
      <c r="C7557" s="2">
        <v>12</v>
      </c>
    </row>
    <row r="7558" spans="1:3" x14ac:dyDescent="0.25">
      <c r="A7558" s="3">
        <v>41886</v>
      </c>
      <c r="B7558" s="2" t="s">
        <v>51</v>
      </c>
      <c r="C7558" s="2">
        <v>54</v>
      </c>
    </row>
    <row r="7559" spans="1:3" x14ac:dyDescent="0.25">
      <c r="A7559" s="3">
        <v>41638</v>
      </c>
      <c r="B7559" s="2" t="s">
        <v>31</v>
      </c>
      <c r="C7559" s="2">
        <v>21</v>
      </c>
    </row>
    <row r="7560" spans="1:3" x14ac:dyDescent="0.25">
      <c r="A7560" s="3">
        <v>41433</v>
      </c>
      <c r="B7560" s="2" t="s">
        <v>14</v>
      </c>
      <c r="C7560" s="2">
        <v>20</v>
      </c>
    </row>
    <row r="7561" spans="1:3" x14ac:dyDescent="0.25">
      <c r="A7561" s="3">
        <v>41321</v>
      </c>
      <c r="B7561" s="2" t="s">
        <v>8</v>
      </c>
      <c r="C7561" s="2">
        <v>11</v>
      </c>
    </row>
    <row r="7562" spans="1:3" x14ac:dyDescent="0.25">
      <c r="A7562" s="3">
        <v>41772</v>
      </c>
      <c r="B7562" s="2" t="s">
        <v>25</v>
      </c>
      <c r="C7562" s="2">
        <v>23</v>
      </c>
    </row>
    <row r="7563" spans="1:3" x14ac:dyDescent="0.25">
      <c r="A7563" s="3">
        <v>41503</v>
      </c>
      <c r="B7563" s="2" t="s">
        <v>18</v>
      </c>
      <c r="C7563" s="2">
        <v>3</v>
      </c>
    </row>
    <row r="7564" spans="1:3" x14ac:dyDescent="0.25">
      <c r="A7564" s="3">
        <v>41682</v>
      </c>
      <c r="B7564" s="2" t="s">
        <v>43</v>
      </c>
      <c r="C7564" s="2">
        <v>28</v>
      </c>
    </row>
    <row r="7565" spans="1:3" x14ac:dyDescent="0.25">
      <c r="A7565" s="3">
        <v>41619</v>
      </c>
      <c r="B7565" s="2" t="s">
        <v>19</v>
      </c>
      <c r="C7565" s="2">
        <v>6</v>
      </c>
    </row>
    <row r="7566" spans="1:3" x14ac:dyDescent="0.25">
      <c r="A7566" s="3">
        <v>41895</v>
      </c>
      <c r="B7566" s="2" t="s">
        <v>50</v>
      </c>
      <c r="C7566" s="2">
        <v>46</v>
      </c>
    </row>
    <row r="7567" spans="1:3" x14ac:dyDescent="0.25">
      <c r="A7567" s="3">
        <v>41650</v>
      </c>
      <c r="B7567" s="2" t="s">
        <v>21</v>
      </c>
      <c r="C7567" s="2">
        <v>18</v>
      </c>
    </row>
    <row r="7568" spans="1:3" x14ac:dyDescent="0.25">
      <c r="A7568" s="3">
        <v>41869</v>
      </c>
      <c r="B7568" s="2" t="s">
        <v>29</v>
      </c>
      <c r="C7568" s="2">
        <v>36</v>
      </c>
    </row>
    <row r="7569" spans="1:3" x14ac:dyDescent="0.25">
      <c r="A7569" s="3">
        <v>41817</v>
      </c>
      <c r="B7569" s="2" t="s">
        <v>27</v>
      </c>
      <c r="C7569" s="2">
        <v>10</v>
      </c>
    </row>
    <row r="7570" spans="1:3" x14ac:dyDescent="0.25">
      <c r="A7570" s="3">
        <v>41380</v>
      </c>
      <c r="B7570" s="2" t="s">
        <v>7</v>
      </c>
      <c r="C7570" s="2">
        <v>27</v>
      </c>
    </row>
    <row r="7571" spans="1:3" x14ac:dyDescent="0.25">
      <c r="A7571" s="3">
        <v>41551</v>
      </c>
      <c r="B7571" s="2" t="s">
        <v>46</v>
      </c>
      <c r="C7571" s="2">
        <v>51</v>
      </c>
    </row>
    <row r="7572" spans="1:3" x14ac:dyDescent="0.25">
      <c r="A7572" s="3">
        <v>41505</v>
      </c>
      <c r="B7572" s="2" t="s">
        <v>30</v>
      </c>
      <c r="C7572" s="2">
        <v>19</v>
      </c>
    </row>
    <row r="7573" spans="1:3" x14ac:dyDescent="0.25">
      <c r="A7573" s="3">
        <v>41919</v>
      </c>
      <c r="B7573" s="2" t="s">
        <v>35</v>
      </c>
      <c r="C7573" s="2">
        <v>45</v>
      </c>
    </row>
    <row r="7574" spans="1:3" x14ac:dyDescent="0.25">
      <c r="A7574" s="3">
        <v>41946</v>
      </c>
      <c r="B7574" s="2" t="s">
        <v>44</v>
      </c>
      <c r="C7574" s="2">
        <v>32</v>
      </c>
    </row>
    <row r="7575" spans="1:3" x14ac:dyDescent="0.25">
      <c r="A7575" s="3">
        <v>41335</v>
      </c>
      <c r="B7575" s="2" t="s">
        <v>33</v>
      </c>
      <c r="C7575" s="2">
        <v>1</v>
      </c>
    </row>
    <row r="7576" spans="1:3" x14ac:dyDescent="0.25">
      <c r="A7576" s="3">
        <v>41635</v>
      </c>
      <c r="B7576" s="2" t="s">
        <v>25</v>
      </c>
      <c r="C7576" s="2">
        <v>22</v>
      </c>
    </row>
    <row r="7577" spans="1:3" x14ac:dyDescent="0.25">
      <c r="A7577" s="3">
        <v>41765</v>
      </c>
      <c r="B7577" s="2" t="s">
        <v>16</v>
      </c>
      <c r="C7577" s="2">
        <v>20</v>
      </c>
    </row>
    <row r="7578" spans="1:3" x14ac:dyDescent="0.25">
      <c r="A7578" s="3">
        <v>41675</v>
      </c>
      <c r="B7578" s="2" t="s">
        <v>43</v>
      </c>
      <c r="C7578" s="2">
        <v>16</v>
      </c>
    </row>
    <row r="7579" spans="1:3" x14ac:dyDescent="0.25">
      <c r="A7579" s="3">
        <v>41479</v>
      </c>
      <c r="B7579" s="2" t="s">
        <v>12</v>
      </c>
      <c r="C7579" s="2">
        <v>44</v>
      </c>
    </row>
    <row r="7580" spans="1:3" x14ac:dyDescent="0.25">
      <c r="A7580" s="3">
        <v>41369</v>
      </c>
      <c r="B7580" s="2" t="s">
        <v>13</v>
      </c>
      <c r="C7580" s="2">
        <v>67</v>
      </c>
    </row>
    <row r="7581" spans="1:3" x14ac:dyDescent="0.25">
      <c r="A7581" s="3">
        <v>41958</v>
      </c>
      <c r="B7581" s="2" t="s">
        <v>10</v>
      </c>
      <c r="C7581" s="2">
        <v>61</v>
      </c>
    </row>
    <row r="7582" spans="1:3" x14ac:dyDescent="0.25">
      <c r="A7582" s="3">
        <v>41460</v>
      </c>
      <c r="B7582" s="2" t="s">
        <v>8</v>
      </c>
      <c r="C7582" s="2">
        <v>10</v>
      </c>
    </row>
    <row r="7583" spans="1:3" x14ac:dyDescent="0.25">
      <c r="A7583" s="3">
        <v>41657</v>
      </c>
      <c r="B7583" s="2" t="s">
        <v>21</v>
      </c>
      <c r="C7583" s="2">
        <v>44</v>
      </c>
    </row>
    <row r="7584" spans="1:3" x14ac:dyDescent="0.25">
      <c r="A7584" s="3">
        <v>41340</v>
      </c>
      <c r="B7584" s="2" t="s">
        <v>26</v>
      </c>
      <c r="C7584" s="2">
        <v>15</v>
      </c>
    </row>
    <row r="7585" spans="1:3" x14ac:dyDescent="0.25">
      <c r="A7585" s="3">
        <v>42000</v>
      </c>
      <c r="B7585" s="2" t="s">
        <v>43</v>
      </c>
      <c r="C7585" s="2">
        <v>41</v>
      </c>
    </row>
    <row r="7586" spans="1:3" x14ac:dyDescent="0.25">
      <c r="A7586" s="3">
        <v>41460</v>
      </c>
      <c r="B7586" s="2" t="s">
        <v>9</v>
      </c>
      <c r="C7586" s="2">
        <v>41</v>
      </c>
    </row>
    <row r="7587" spans="1:3" x14ac:dyDescent="0.25">
      <c r="A7587" s="3">
        <v>41330</v>
      </c>
      <c r="B7587" s="2" t="s">
        <v>8</v>
      </c>
      <c r="C7587" s="2">
        <v>39</v>
      </c>
    </row>
    <row r="7588" spans="1:3" x14ac:dyDescent="0.25">
      <c r="A7588" s="3">
        <v>41409</v>
      </c>
      <c r="B7588" s="2" t="s">
        <v>23</v>
      </c>
      <c r="C7588" s="2">
        <v>9</v>
      </c>
    </row>
    <row r="7589" spans="1:3" x14ac:dyDescent="0.25">
      <c r="A7589" s="3">
        <v>41404</v>
      </c>
      <c r="B7589" s="2" t="s">
        <v>6</v>
      </c>
      <c r="C7589" s="2">
        <v>20</v>
      </c>
    </row>
    <row r="7590" spans="1:3" x14ac:dyDescent="0.25">
      <c r="A7590" s="3">
        <v>41488</v>
      </c>
      <c r="B7590" s="2" t="s">
        <v>32</v>
      </c>
      <c r="C7590" s="2">
        <v>28</v>
      </c>
    </row>
    <row r="7591" spans="1:3" x14ac:dyDescent="0.25">
      <c r="A7591" s="3">
        <v>41313</v>
      </c>
      <c r="B7591" s="2" t="s">
        <v>41</v>
      </c>
      <c r="C7591" s="2">
        <v>42</v>
      </c>
    </row>
    <row r="7592" spans="1:3" x14ac:dyDescent="0.25">
      <c r="A7592" s="3">
        <v>41599</v>
      </c>
      <c r="B7592" s="2" t="s">
        <v>50</v>
      </c>
      <c r="C7592" s="2">
        <v>38</v>
      </c>
    </row>
    <row r="7593" spans="1:3" x14ac:dyDescent="0.25">
      <c r="A7593" s="3">
        <v>41820</v>
      </c>
      <c r="B7593" s="2" t="s">
        <v>44</v>
      </c>
      <c r="C7593" s="2">
        <v>13</v>
      </c>
    </row>
    <row r="7594" spans="1:3" x14ac:dyDescent="0.25">
      <c r="A7594" s="3">
        <v>41900</v>
      </c>
      <c r="B7594" s="2" t="s">
        <v>15</v>
      </c>
      <c r="C7594" s="2">
        <v>17</v>
      </c>
    </row>
    <row r="7595" spans="1:3" x14ac:dyDescent="0.25">
      <c r="A7595" s="3">
        <v>41752</v>
      </c>
      <c r="B7595" s="2" t="s">
        <v>3</v>
      </c>
      <c r="C7595" s="2">
        <v>17</v>
      </c>
    </row>
    <row r="7596" spans="1:3" x14ac:dyDescent="0.25">
      <c r="A7596" s="3">
        <v>41350</v>
      </c>
      <c r="B7596" s="2" t="s">
        <v>31</v>
      </c>
      <c r="C7596" s="2">
        <v>37</v>
      </c>
    </row>
    <row r="7597" spans="1:3" x14ac:dyDescent="0.25">
      <c r="A7597" s="3">
        <v>41975</v>
      </c>
      <c r="B7597" s="2" t="s">
        <v>7</v>
      </c>
      <c r="C7597" s="2">
        <v>39</v>
      </c>
    </row>
    <row r="7598" spans="1:3" x14ac:dyDescent="0.25">
      <c r="A7598" s="3">
        <v>41627</v>
      </c>
      <c r="B7598" s="2" t="s">
        <v>38</v>
      </c>
      <c r="C7598" s="2">
        <v>11</v>
      </c>
    </row>
    <row r="7599" spans="1:3" x14ac:dyDescent="0.25">
      <c r="A7599" s="3">
        <v>41348</v>
      </c>
      <c r="B7599" s="2" t="s">
        <v>23</v>
      </c>
      <c r="C7599" s="2">
        <v>8</v>
      </c>
    </row>
    <row r="7600" spans="1:3" x14ac:dyDescent="0.25">
      <c r="A7600" s="3">
        <v>41929</v>
      </c>
      <c r="B7600" s="2" t="s">
        <v>19</v>
      </c>
      <c r="C7600" s="2">
        <v>37</v>
      </c>
    </row>
    <row r="7601" spans="1:3" x14ac:dyDescent="0.25">
      <c r="A7601" s="3">
        <v>41934</v>
      </c>
      <c r="B7601" s="2" t="s">
        <v>38</v>
      </c>
      <c r="C7601" s="2">
        <v>36</v>
      </c>
    </row>
    <row r="7602" spans="1:3" x14ac:dyDescent="0.25">
      <c r="A7602" s="3">
        <v>41980</v>
      </c>
      <c r="B7602" s="2" t="s">
        <v>21</v>
      </c>
      <c r="C7602" s="2">
        <v>43</v>
      </c>
    </row>
    <row r="7603" spans="1:3" x14ac:dyDescent="0.25">
      <c r="A7603" s="3">
        <v>41486</v>
      </c>
      <c r="B7603" s="2" t="s">
        <v>29</v>
      </c>
      <c r="C7603" s="2">
        <v>7</v>
      </c>
    </row>
    <row r="7604" spans="1:3" x14ac:dyDescent="0.25">
      <c r="A7604" s="3">
        <v>41774</v>
      </c>
      <c r="B7604" s="2" t="s">
        <v>11</v>
      </c>
      <c r="C7604" s="2">
        <v>26</v>
      </c>
    </row>
    <row r="7605" spans="1:3" x14ac:dyDescent="0.25">
      <c r="A7605" s="3">
        <v>41952</v>
      </c>
      <c r="B7605" s="2" t="s">
        <v>17</v>
      </c>
      <c r="C7605" s="2">
        <v>53</v>
      </c>
    </row>
    <row r="7606" spans="1:3" x14ac:dyDescent="0.25">
      <c r="A7606" s="3">
        <v>41616</v>
      </c>
      <c r="B7606" s="2" t="s">
        <v>8</v>
      </c>
      <c r="C7606" s="2">
        <v>12</v>
      </c>
    </row>
    <row r="7607" spans="1:3" x14ac:dyDescent="0.25">
      <c r="A7607" s="3">
        <v>41341</v>
      </c>
      <c r="B7607" s="2" t="s">
        <v>21</v>
      </c>
      <c r="C7607" s="2">
        <v>34</v>
      </c>
    </row>
    <row r="7608" spans="1:3" x14ac:dyDescent="0.25">
      <c r="A7608" s="3">
        <v>41453</v>
      </c>
      <c r="B7608" s="2" t="s">
        <v>2</v>
      </c>
      <c r="C7608" s="2">
        <v>21</v>
      </c>
    </row>
    <row r="7609" spans="1:3" x14ac:dyDescent="0.25">
      <c r="A7609" s="3">
        <v>41408</v>
      </c>
      <c r="B7609" s="2" t="s">
        <v>46</v>
      </c>
      <c r="C7609" s="2">
        <v>35</v>
      </c>
    </row>
    <row r="7610" spans="1:3" x14ac:dyDescent="0.25">
      <c r="A7610" s="3">
        <v>41294</v>
      </c>
      <c r="B7610" s="2" t="s">
        <v>30</v>
      </c>
      <c r="C7610" s="2">
        <v>13</v>
      </c>
    </row>
    <row r="7611" spans="1:3" x14ac:dyDescent="0.25">
      <c r="A7611" s="3">
        <v>41726</v>
      </c>
      <c r="B7611" s="2" t="s">
        <v>51</v>
      </c>
      <c r="C7611" s="2">
        <v>30</v>
      </c>
    </row>
    <row r="7612" spans="1:3" x14ac:dyDescent="0.25">
      <c r="A7612" s="3">
        <v>41420</v>
      </c>
      <c r="B7612" s="2" t="s">
        <v>36</v>
      </c>
      <c r="C7612" s="2">
        <v>4</v>
      </c>
    </row>
    <row r="7613" spans="1:3" x14ac:dyDescent="0.25">
      <c r="A7613" s="3">
        <v>41808</v>
      </c>
      <c r="B7613" s="2" t="s">
        <v>14</v>
      </c>
      <c r="C7613" s="2">
        <v>15</v>
      </c>
    </row>
    <row r="7614" spans="1:3" x14ac:dyDescent="0.25">
      <c r="A7614" s="3">
        <v>41632</v>
      </c>
      <c r="B7614" s="2" t="s">
        <v>6</v>
      </c>
      <c r="C7614" s="2">
        <v>19</v>
      </c>
    </row>
    <row r="7615" spans="1:3" x14ac:dyDescent="0.25">
      <c r="A7615" s="3">
        <v>41434</v>
      </c>
      <c r="B7615" s="2" t="s">
        <v>17</v>
      </c>
      <c r="C7615" s="2">
        <v>2</v>
      </c>
    </row>
    <row r="7616" spans="1:3" x14ac:dyDescent="0.25">
      <c r="A7616" s="3">
        <v>41577</v>
      </c>
      <c r="B7616" s="2" t="s">
        <v>26</v>
      </c>
      <c r="C7616" s="2">
        <v>43</v>
      </c>
    </row>
    <row r="7617" spans="1:3" x14ac:dyDescent="0.25">
      <c r="A7617" s="3">
        <v>41627</v>
      </c>
      <c r="B7617" s="2" t="s">
        <v>40</v>
      </c>
      <c r="C7617" s="2">
        <v>26</v>
      </c>
    </row>
    <row r="7618" spans="1:3" x14ac:dyDescent="0.25">
      <c r="A7618" s="3">
        <v>41498</v>
      </c>
      <c r="B7618" s="2" t="s">
        <v>19</v>
      </c>
      <c r="C7618" s="2">
        <v>32</v>
      </c>
    </row>
    <row r="7619" spans="1:3" x14ac:dyDescent="0.25">
      <c r="A7619" s="3">
        <v>41391</v>
      </c>
      <c r="B7619" s="2" t="s">
        <v>51</v>
      </c>
      <c r="C7619" s="2">
        <v>14</v>
      </c>
    </row>
    <row r="7620" spans="1:3" x14ac:dyDescent="0.25">
      <c r="A7620" s="3">
        <v>41792</v>
      </c>
      <c r="B7620" s="2" t="s">
        <v>43</v>
      </c>
      <c r="C7620" s="2">
        <v>34</v>
      </c>
    </row>
    <row r="7621" spans="1:3" x14ac:dyDescent="0.25">
      <c r="A7621" s="3">
        <v>41646</v>
      </c>
      <c r="B7621" s="2" t="s">
        <v>45</v>
      </c>
      <c r="C7621" s="2">
        <v>28</v>
      </c>
    </row>
    <row r="7622" spans="1:3" x14ac:dyDescent="0.25">
      <c r="A7622" s="3">
        <v>41922</v>
      </c>
      <c r="B7622" s="2" t="s">
        <v>34</v>
      </c>
      <c r="C7622" s="2">
        <v>34</v>
      </c>
    </row>
    <row r="7623" spans="1:3" x14ac:dyDescent="0.25">
      <c r="A7623" s="3">
        <v>41332</v>
      </c>
      <c r="B7623" s="2" t="s">
        <v>38</v>
      </c>
      <c r="C7623" s="2">
        <v>43</v>
      </c>
    </row>
    <row r="7624" spans="1:3" x14ac:dyDescent="0.25">
      <c r="A7624" s="3">
        <v>41680</v>
      </c>
      <c r="B7624" s="2" t="s">
        <v>6</v>
      </c>
      <c r="C7624" s="2">
        <v>33</v>
      </c>
    </row>
    <row r="7625" spans="1:3" x14ac:dyDescent="0.25">
      <c r="A7625" s="3">
        <v>41884</v>
      </c>
      <c r="B7625" s="2" t="s">
        <v>48</v>
      </c>
      <c r="C7625" s="2">
        <v>13</v>
      </c>
    </row>
    <row r="7626" spans="1:3" x14ac:dyDescent="0.25">
      <c r="A7626" s="3">
        <v>41897</v>
      </c>
      <c r="B7626" s="2" t="s">
        <v>48</v>
      </c>
      <c r="C7626" s="2">
        <v>7</v>
      </c>
    </row>
    <row r="7627" spans="1:3" x14ac:dyDescent="0.25">
      <c r="A7627" s="3">
        <v>41279</v>
      </c>
      <c r="B7627" s="2" t="s">
        <v>44</v>
      </c>
      <c r="C7627" s="2">
        <v>22</v>
      </c>
    </row>
    <row r="7628" spans="1:3" x14ac:dyDescent="0.25">
      <c r="A7628" s="3">
        <v>41637</v>
      </c>
      <c r="B7628" s="2" t="s">
        <v>6</v>
      </c>
      <c r="C7628" s="2">
        <v>38</v>
      </c>
    </row>
    <row r="7629" spans="1:3" x14ac:dyDescent="0.25">
      <c r="A7629" s="3">
        <v>41832</v>
      </c>
      <c r="B7629" s="2" t="s">
        <v>24</v>
      </c>
      <c r="C7629" s="2">
        <v>14</v>
      </c>
    </row>
    <row r="7630" spans="1:3" x14ac:dyDescent="0.25">
      <c r="A7630" s="3">
        <v>41827</v>
      </c>
      <c r="B7630" s="2" t="s">
        <v>47</v>
      </c>
      <c r="C7630" s="2">
        <v>40</v>
      </c>
    </row>
    <row r="7631" spans="1:3" x14ac:dyDescent="0.25">
      <c r="A7631" s="3">
        <v>41810</v>
      </c>
      <c r="B7631" s="2" t="s">
        <v>39</v>
      </c>
      <c r="C7631" s="2">
        <v>12</v>
      </c>
    </row>
    <row r="7632" spans="1:3" x14ac:dyDescent="0.25">
      <c r="A7632" s="3">
        <v>41319</v>
      </c>
      <c r="B7632" s="2" t="s">
        <v>4</v>
      </c>
      <c r="C7632" s="2">
        <v>18</v>
      </c>
    </row>
    <row r="7633" spans="1:3" x14ac:dyDescent="0.25">
      <c r="A7633" s="3">
        <v>41924</v>
      </c>
      <c r="B7633" s="2" t="s">
        <v>10</v>
      </c>
      <c r="C7633" s="2">
        <v>26</v>
      </c>
    </row>
    <row r="7634" spans="1:3" x14ac:dyDescent="0.25">
      <c r="A7634" s="3">
        <v>41375</v>
      </c>
      <c r="B7634" s="2" t="s">
        <v>38</v>
      </c>
      <c r="C7634" s="2">
        <v>20</v>
      </c>
    </row>
    <row r="7635" spans="1:3" x14ac:dyDescent="0.25">
      <c r="A7635" s="3">
        <v>41292</v>
      </c>
      <c r="B7635" s="2" t="s">
        <v>31</v>
      </c>
      <c r="C7635" s="2">
        <v>26</v>
      </c>
    </row>
    <row r="7636" spans="1:3" x14ac:dyDescent="0.25">
      <c r="A7636" s="3">
        <v>41617</v>
      </c>
      <c r="B7636" s="2" t="s">
        <v>25</v>
      </c>
      <c r="C7636" s="2">
        <v>15</v>
      </c>
    </row>
    <row r="7637" spans="1:3" x14ac:dyDescent="0.25">
      <c r="A7637" s="3">
        <v>41336</v>
      </c>
      <c r="B7637" s="2" t="s">
        <v>41</v>
      </c>
      <c r="C7637" s="2">
        <v>12</v>
      </c>
    </row>
    <row r="7638" spans="1:3" x14ac:dyDescent="0.25">
      <c r="A7638" s="3">
        <v>41619</v>
      </c>
      <c r="B7638" s="2" t="s">
        <v>49</v>
      </c>
      <c r="C7638" s="2">
        <v>52</v>
      </c>
    </row>
    <row r="7639" spans="1:3" x14ac:dyDescent="0.25">
      <c r="A7639" s="3">
        <v>41849</v>
      </c>
      <c r="B7639" s="2" t="s">
        <v>35</v>
      </c>
      <c r="C7639" s="2">
        <v>20</v>
      </c>
    </row>
    <row r="7640" spans="1:3" x14ac:dyDescent="0.25">
      <c r="A7640" s="3">
        <v>41876</v>
      </c>
      <c r="B7640" s="2" t="s">
        <v>19</v>
      </c>
      <c r="C7640" s="2">
        <v>17</v>
      </c>
    </row>
    <row r="7641" spans="1:3" x14ac:dyDescent="0.25">
      <c r="A7641" s="3">
        <v>41812</v>
      </c>
      <c r="B7641" s="2" t="s">
        <v>21</v>
      </c>
      <c r="C7641" s="2">
        <v>53</v>
      </c>
    </row>
    <row r="7642" spans="1:3" x14ac:dyDescent="0.25">
      <c r="A7642" s="3">
        <v>41707</v>
      </c>
      <c r="B7642" s="2" t="s">
        <v>5</v>
      </c>
      <c r="C7642" s="2">
        <v>7</v>
      </c>
    </row>
    <row r="7643" spans="1:3" x14ac:dyDescent="0.25">
      <c r="A7643" s="3">
        <v>41712</v>
      </c>
      <c r="B7643" s="2" t="s">
        <v>5</v>
      </c>
      <c r="C7643" s="2">
        <v>11</v>
      </c>
    </row>
    <row r="7644" spans="1:3" x14ac:dyDescent="0.25">
      <c r="A7644" s="3">
        <v>41389</v>
      </c>
      <c r="B7644" s="2" t="s">
        <v>12</v>
      </c>
      <c r="C7644" s="2">
        <v>45</v>
      </c>
    </row>
    <row r="7645" spans="1:3" x14ac:dyDescent="0.25">
      <c r="A7645" s="3">
        <v>41888</v>
      </c>
      <c r="B7645" s="2" t="s">
        <v>18</v>
      </c>
      <c r="C7645" s="2">
        <v>10</v>
      </c>
    </row>
    <row r="7646" spans="1:3" x14ac:dyDescent="0.25">
      <c r="A7646" s="3">
        <v>41637</v>
      </c>
      <c r="B7646" s="2" t="s">
        <v>24</v>
      </c>
      <c r="C7646" s="2">
        <v>16</v>
      </c>
    </row>
    <row r="7647" spans="1:3" x14ac:dyDescent="0.25">
      <c r="A7647" s="3">
        <v>41986</v>
      </c>
      <c r="B7647" s="2" t="s">
        <v>42</v>
      </c>
      <c r="C7647" s="2">
        <v>26</v>
      </c>
    </row>
    <row r="7648" spans="1:3" x14ac:dyDescent="0.25">
      <c r="A7648" s="3">
        <v>41413</v>
      </c>
      <c r="B7648" s="2" t="s">
        <v>11</v>
      </c>
      <c r="C7648" s="2">
        <v>32</v>
      </c>
    </row>
    <row r="7649" spans="1:3" x14ac:dyDescent="0.25">
      <c r="A7649" s="3">
        <v>41284</v>
      </c>
      <c r="B7649" s="2" t="s">
        <v>32</v>
      </c>
      <c r="C7649" s="2">
        <v>14</v>
      </c>
    </row>
    <row r="7650" spans="1:3" x14ac:dyDescent="0.25">
      <c r="A7650" s="3">
        <v>41667</v>
      </c>
      <c r="B7650" s="2" t="s">
        <v>15</v>
      </c>
      <c r="C7650" s="2">
        <v>0</v>
      </c>
    </row>
    <row r="7651" spans="1:3" x14ac:dyDescent="0.25">
      <c r="A7651" s="3">
        <v>41939</v>
      </c>
      <c r="B7651" s="2" t="s">
        <v>30</v>
      </c>
      <c r="C7651" s="2">
        <v>17</v>
      </c>
    </row>
    <row r="7652" spans="1:3" x14ac:dyDescent="0.25">
      <c r="A7652" s="3">
        <v>41959</v>
      </c>
      <c r="B7652" s="2" t="s">
        <v>21</v>
      </c>
      <c r="C7652" s="2">
        <v>21</v>
      </c>
    </row>
    <row r="7653" spans="1:3" x14ac:dyDescent="0.25">
      <c r="A7653" s="3">
        <v>41366</v>
      </c>
      <c r="B7653" s="2" t="s">
        <v>3</v>
      </c>
      <c r="C7653" s="2">
        <v>42</v>
      </c>
    </row>
    <row r="7654" spans="1:3" x14ac:dyDescent="0.25">
      <c r="A7654" s="3">
        <v>41321</v>
      </c>
      <c r="B7654" s="2" t="s">
        <v>18</v>
      </c>
      <c r="C7654" s="2">
        <v>6</v>
      </c>
    </row>
    <row r="7655" spans="1:3" x14ac:dyDescent="0.25">
      <c r="A7655" s="3">
        <v>41354</v>
      </c>
      <c r="B7655" s="2" t="s">
        <v>9</v>
      </c>
      <c r="C7655" s="2">
        <v>42</v>
      </c>
    </row>
    <row r="7656" spans="1:3" x14ac:dyDescent="0.25">
      <c r="A7656" s="3">
        <v>41988</v>
      </c>
      <c r="B7656" s="2" t="s">
        <v>16</v>
      </c>
      <c r="C7656" s="2">
        <v>6</v>
      </c>
    </row>
    <row r="7657" spans="1:3" x14ac:dyDescent="0.25">
      <c r="A7657" s="3">
        <v>41671</v>
      </c>
      <c r="B7657" s="2" t="s">
        <v>19</v>
      </c>
      <c r="C7657" s="2">
        <v>37</v>
      </c>
    </row>
    <row r="7658" spans="1:3" x14ac:dyDescent="0.25">
      <c r="A7658" s="3">
        <v>41891</v>
      </c>
      <c r="B7658" s="2" t="s">
        <v>49</v>
      </c>
      <c r="C7658" s="2">
        <v>2</v>
      </c>
    </row>
    <row r="7659" spans="1:3" x14ac:dyDescent="0.25">
      <c r="A7659" s="3">
        <v>41978</v>
      </c>
      <c r="B7659" s="2" t="s">
        <v>37</v>
      </c>
      <c r="C7659" s="2">
        <v>22</v>
      </c>
    </row>
    <row r="7660" spans="1:3" x14ac:dyDescent="0.25">
      <c r="A7660" s="3">
        <v>41765</v>
      </c>
      <c r="B7660" s="2" t="s">
        <v>26</v>
      </c>
      <c r="C7660" s="2">
        <v>31</v>
      </c>
    </row>
    <row r="7661" spans="1:3" x14ac:dyDescent="0.25">
      <c r="A7661" s="3">
        <v>41824</v>
      </c>
      <c r="B7661" s="2" t="s">
        <v>41</v>
      </c>
      <c r="C7661" s="2">
        <v>17</v>
      </c>
    </row>
    <row r="7662" spans="1:3" x14ac:dyDescent="0.25">
      <c r="A7662" s="3">
        <v>41605</v>
      </c>
      <c r="B7662" s="2" t="s">
        <v>49</v>
      </c>
      <c r="C7662" s="2">
        <v>22</v>
      </c>
    </row>
    <row r="7663" spans="1:3" x14ac:dyDescent="0.25">
      <c r="A7663" s="3">
        <v>41662</v>
      </c>
      <c r="B7663" s="2" t="s">
        <v>17</v>
      </c>
      <c r="C7663" s="2">
        <v>21</v>
      </c>
    </row>
    <row r="7664" spans="1:3" x14ac:dyDescent="0.25">
      <c r="A7664" s="3">
        <v>41287</v>
      </c>
      <c r="B7664" s="2" t="s">
        <v>46</v>
      </c>
      <c r="C7664" s="2">
        <v>30</v>
      </c>
    </row>
    <row r="7665" spans="1:3" x14ac:dyDescent="0.25">
      <c r="A7665" s="3">
        <v>41855</v>
      </c>
      <c r="B7665" s="2" t="s">
        <v>16</v>
      </c>
      <c r="C7665" s="2">
        <v>14</v>
      </c>
    </row>
    <row r="7666" spans="1:3" x14ac:dyDescent="0.25">
      <c r="A7666" s="3">
        <v>41446</v>
      </c>
      <c r="B7666" s="2" t="s">
        <v>25</v>
      </c>
      <c r="C7666" s="2">
        <v>19</v>
      </c>
    </row>
    <row r="7667" spans="1:3" x14ac:dyDescent="0.25">
      <c r="A7667" s="3">
        <v>41648</v>
      </c>
      <c r="B7667" s="2" t="s">
        <v>19</v>
      </c>
      <c r="C7667" s="2">
        <v>45</v>
      </c>
    </row>
    <row r="7668" spans="1:3" x14ac:dyDescent="0.25">
      <c r="A7668" s="3">
        <v>41761</v>
      </c>
      <c r="B7668" s="2" t="s">
        <v>39</v>
      </c>
      <c r="C7668" s="2">
        <v>36</v>
      </c>
    </row>
    <row r="7669" spans="1:3" x14ac:dyDescent="0.25">
      <c r="A7669" s="3">
        <v>41993</v>
      </c>
      <c r="B7669" s="2" t="s">
        <v>17</v>
      </c>
      <c r="C7669" s="2">
        <v>2</v>
      </c>
    </row>
    <row r="7670" spans="1:3" x14ac:dyDescent="0.25">
      <c r="A7670" s="3">
        <v>41805</v>
      </c>
      <c r="B7670" s="2" t="s">
        <v>33</v>
      </c>
      <c r="C7670" s="2">
        <v>0</v>
      </c>
    </row>
    <row r="7671" spans="1:3" x14ac:dyDescent="0.25">
      <c r="A7671" s="3">
        <v>41885</v>
      </c>
      <c r="B7671" s="2" t="s">
        <v>13</v>
      </c>
      <c r="C7671" s="2">
        <v>33</v>
      </c>
    </row>
    <row r="7672" spans="1:3" x14ac:dyDescent="0.25">
      <c r="A7672" s="3">
        <v>41496</v>
      </c>
      <c r="B7672" s="2" t="s">
        <v>31</v>
      </c>
      <c r="C7672" s="2">
        <v>29</v>
      </c>
    </row>
    <row r="7673" spans="1:3" x14ac:dyDescent="0.25">
      <c r="A7673" s="3">
        <v>41945</v>
      </c>
      <c r="B7673" s="2" t="s">
        <v>44</v>
      </c>
      <c r="C7673" s="2">
        <v>14</v>
      </c>
    </row>
    <row r="7674" spans="1:3" x14ac:dyDescent="0.25">
      <c r="A7674" s="3">
        <v>41405</v>
      </c>
      <c r="B7674" s="2" t="s">
        <v>33</v>
      </c>
      <c r="C7674" s="2">
        <v>12</v>
      </c>
    </row>
    <row r="7675" spans="1:3" x14ac:dyDescent="0.25">
      <c r="A7675" s="3">
        <v>41620</v>
      </c>
      <c r="B7675" s="2" t="s">
        <v>10</v>
      </c>
      <c r="C7675" s="2">
        <v>3</v>
      </c>
    </row>
    <row r="7676" spans="1:3" x14ac:dyDescent="0.25">
      <c r="A7676" s="3">
        <v>41646</v>
      </c>
      <c r="B7676" s="2" t="s">
        <v>28</v>
      </c>
      <c r="C7676" s="2">
        <v>44</v>
      </c>
    </row>
    <row r="7677" spans="1:3" x14ac:dyDescent="0.25">
      <c r="A7677" s="3">
        <v>41442</v>
      </c>
      <c r="B7677" s="2" t="s">
        <v>41</v>
      </c>
      <c r="C7677" s="2">
        <v>10</v>
      </c>
    </row>
    <row r="7678" spans="1:3" x14ac:dyDescent="0.25">
      <c r="A7678" s="3">
        <v>41471</v>
      </c>
      <c r="B7678" s="2" t="s">
        <v>12</v>
      </c>
      <c r="C7678" s="2">
        <v>39</v>
      </c>
    </row>
    <row r="7679" spans="1:3" x14ac:dyDescent="0.25">
      <c r="A7679" s="3">
        <v>41803</v>
      </c>
      <c r="B7679" s="2" t="s">
        <v>20</v>
      </c>
      <c r="C7679" s="2">
        <v>7</v>
      </c>
    </row>
    <row r="7680" spans="1:3" x14ac:dyDescent="0.25">
      <c r="A7680" s="3">
        <v>41836</v>
      </c>
      <c r="B7680" s="2" t="s">
        <v>19</v>
      </c>
      <c r="C7680" s="2">
        <v>15</v>
      </c>
    </row>
    <row r="7681" spans="1:3" x14ac:dyDescent="0.25">
      <c r="A7681" s="3">
        <v>41786</v>
      </c>
      <c r="B7681" s="2" t="s">
        <v>34</v>
      </c>
      <c r="C7681" s="2">
        <v>11</v>
      </c>
    </row>
    <row r="7682" spans="1:3" x14ac:dyDescent="0.25">
      <c r="A7682" s="3">
        <v>41283</v>
      </c>
      <c r="B7682" s="2" t="s">
        <v>35</v>
      </c>
      <c r="C7682" s="2">
        <v>41</v>
      </c>
    </row>
    <row r="7683" spans="1:3" x14ac:dyDescent="0.25">
      <c r="A7683" s="3">
        <v>41348</v>
      </c>
      <c r="B7683" s="2" t="s">
        <v>29</v>
      </c>
      <c r="C7683" s="2">
        <v>12</v>
      </c>
    </row>
    <row r="7684" spans="1:3" x14ac:dyDescent="0.25">
      <c r="A7684" s="3">
        <v>41893</v>
      </c>
      <c r="B7684" s="2" t="s">
        <v>51</v>
      </c>
      <c r="C7684" s="2">
        <v>38</v>
      </c>
    </row>
    <row r="7685" spans="1:3" x14ac:dyDescent="0.25">
      <c r="A7685" s="3">
        <v>41806</v>
      </c>
      <c r="B7685" s="2" t="s">
        <v>21</v>
      </c>
      <c r="C7685" s="2">
        <v>3</v>
      </c>
    </row>
    <row r="7686" spans="1:3" x14ac:dyDescent="0.25">
      <c r="A7686" s="3">
        <v>41723</v>
      </c>
      <c r="B7686" s="2" t="s">
        <v>29</v>
      </c>
      <c r="C7686" s="2">
        <v>17</v>
      </c>
    </row>
    <row r="7687" spans="1:3" x14ac:dyDescent="0.25">
      <c r="A7687" s="3">
        <v>41633</v>
      </c>
      <c r="B7687" s="2" t="s">
        <v>48</v>
      </c>
      <c r="C7687" s="2">
        <v>20</v>
      </c>
    </row>
    <row r="7688" spans="1:3" x14ac:dyDescent="0.25">
      <c r="A7688" s="3">
        <v>41588</v>
      </c>
      <c r="B7688" s="2" t="s">
        <v>29</v>
      </c>
      <c r="C7688" s="2">
        <v>18</v>
      </c>
    </row>
    <row r="7689" spans="1:3" x14ac:dyDescent="0.25">
      <c r="A7689" s="3">
        <v>41760</v>
      </c>
      <c r="B7689" s="2" t="s">
        <v>26</v>
      </c>
      <c r="C7689" s="2">
        <v>1</v>
      </c>
    </row>
    <row r="7690" spans="1:3" x14ac:dyDescent="0.25">
      <c r="A7690" s="3">
        <v>41423</v>
      </c>
      <c r="B7690" s="2" t="s">
        <v>4</v>
      </c>
      <c r="C7690" s="2">
        <v>19</v>
      </c>
    </row>
    <row r="7691" spans="1:3" x14ac:dyDescent="0.25">
      <c r="A7691" s="3">
        <v>41501</v>
      </c>
      <c r="B7691" s="2" t="s">
        <v>46</v>
      </c>
      <c r="C7691" s="2">
        <v>20</v>
      </c>
    </row>
    <row r="7692" spans="1:3" x14ac:dyDescent="0.25">
      <c r="A7692" s="3">
        <v>41846</v>
      </c>
      <c r="B7692" s="2" t="s">
        <v>2</v>
      </c>
      <c r="C7692" s="2">
        <v>44</v>
      </c>
    </row>
    <row r="7693" spans="1:3" x14ac:dyDescent="0.25">
      <c r="A7693" s="3">
        <v>41860</v>
      </c>
      <c r="B7693" s="2" t="s">
        <v>42</v>
      </c>
      <c r="C7693" s="2">
        <v>32</v>
      </c>
    </row>
    <row r="7694" spans="1:3" x14ac:dyDescent="0.25">
      <c r="A7694" s="3">
        <v>41400</v>
      </c>
      <c r="B7694" s="2" t="s">
        <v>6</v>
      </c>
      <c r="C7694" s="2">
        <v>26</v>
      </c>
    </row>
    <row r="7695" spans="1:3" x14ac:dyDescent="0.25">
      <c r="A7695" s="3">
        <v>41608</v>
      </c>
      <c r="B7695" s="2" t="s">
        <v>9</v>
      </c>
      <c r="C7695" s="2">
        <v>36</v>
      </c>
    </row>
    <row r="7696" spans="1:3" x14ac:dyDescent="0.25">
      <c r="A7696" s="3">
        <v>41546</v>
      </c>
      <c r="B7696" s="2" t="s">
        <v>9</v>
      </c>
      <c r="C7696" s="2">
        <v>4</v>
      </c>
    </row>
    <row r="7697" spans="1:3" x14ac:dyDescent="0.25">
      <c r="A7697" s="3">
        <v>42003</v>
      </c>
      <c r="B7697" s="2" t="s">
        <v>23</v>
      </c>
      <c r="C7697" s="2">
        <v>20</v>
      </c>
    </row>
    <row r="7698" spans="1:3" x14ac:dyDescent="0.25">
      <c r="A7698" s="3">
        <v>41527</v>
      </c>
      <c r="B7698" s="2" t="s">
        <v>31</v>
      </c>
      <c r="C7698" s="2">
        <v>33</v>
      </c>
    </row>
    <row r="7699" spans="1:3" x14ac:dyDescent="0.25">
      <c r="A7699" s="3">
        <v>41956</v>
      </c>
      <c r="B7699" s="2" t="s">
        <v>15</v>
      </c>
      <c r="C7699" s="2">
        <v>12</v>
      </c>
    </row>
    <row r="7700" spans="1:3" x14ac:dyDescent="0.25">
      <c r="A7700" s="3">
        <v>41331</v>
      </c>
      <c r="B7700" s="2" t="s">
        <v>47</v>
      </c>
      <c r="C7700" s="2">
        <v>28</v>
      </c>
    </row>
    <row r="7701" spans="1:3" x14ac:dyDescent="0.25">
      <c r="A7701" s="3">
        <v>41325</v>
      </c>
      <c r="B7701" s="2" t="s">
        <v>44</v>
      </c>
      <c r="C7701" s="2">
        <v>43</v>
      </c>
    </row>
    <row r="7702" spans="1:3" x14ac:dyDescent="0.25">
      <c r="A7702" s="3">
        <v>41819</v>
      </c>
      <c r="B7702" s="2" t="s">
        <v>25</v>
      </c>
      <c r="C7702" s="2">
        <v>26</v>
      </c>
    </row>
    <row r="7703" spans="1:3" x14ac:dyDescent="0.25">
      <c r="A7703" s="3">
        <v>41952</v>
      </c>
      <c r="B7703" s="2" t="s">
        <v>15</v>
      </c>
      <c r="C7703" s="2">
        <v>26</v>
      </c>
    </row>
    <row r="7704" spans="1:3" x14ac:dyDescent="0.25">
      <c r="A7704" s="3">
        <v>41821</v>
      </c>
      <c r="B7704" s="2" t="s">
        <v>21</v>
      </c>
      <c r="C7704" s="2">
        <v>27</v>
      </c>
    </row>
    <row r="7705" spans="1:3" x14ac:dyDescent="0.25">
      <c r="A7705" s="3">
        <v>41813</v>
      </c>
      <c r="B7705" s="2" t="s">
        <v>23</v>
      </c>
      <c r="C7705" s="2">
        <v>17</v>
      </c>
    </row>
    <row r="7706" spans="1:3" x14ac:dyDescent="0.25">
      <c r="A7706" s="3">
        <v>41461</v>
      </c>
      <c r="B7706" s="2" t="s">
        <v>17</v>
      </c>
      <c r="C7706" s="2">
        <v>56</v>
      </c>
    </row>
    <row r="7707" spans="1:3" x14ac:dyDescent="0.25">
      <c r="A7707" s="3">
        <v>41820</v>
      </c>
      <c r="B7707" s="2" t="s">
        <v>48</v>
      </c>
      <c r="C7707" s="2">
        <v>14</v>
      </c>
    </row>
    <row r="7708" spans="1:3" x14ac:dyDescent="0.25">
      <c r="A7708" s="3">
        <v>41688</v>
      </c>
      <c r="B7708" s="2" t="s">
        <v>47</v>
      </c>
      <c r="C7708" s="2">
        <v>11</v>
      </c>
    </row>
    <row r="7709" spans="1:3" x14ac:dyDescent="0.25">
      <c r="A7709" s="3">
        <v>41700</v>
      </c>
      <c r="B7709" s="2" t="s">
        <v>48</v>
      </c>
      <c r="C7709" s="2">
        <v>6</v>
      </c>
    </row>
    <row r="7710" spans="1:3" x14ac:dyDescent="0.25">
      <c r="A7710" s="3">
        <v>41811</v>
      </c>
      <c r="B7710" s="2" t="s">
        <v>26</v>
      </c>
      <c r="C7710" s="2">
        <v>3</v>
      </c>
    </row>
    <row r="7711" spans="1:3" x14ac:dyDescent="0.25">
      <c r="A7711" s="3">
        <v>41467</v>
      </c>
      <c r="B7711" s="2" t="s">
        <v>7</v>
      </c>
      <c r="C7711" s="2">
        <v>34</v>
      </c>
    </row>
    <row r="7712" spans="1:3" x14ac:dyDescent="0.25">
      <c r="A7712" s="3">
        <v>41944</v>
      </c>
      <c r="B7712" s="2" t="s">
        <v>37</v>
      </c>
      <c r="C7712" s="2">
        <v>36</v>
      </c>
    </row>
    <row r="7713" spans="1:3" x14ac:dyDescent="0.25">
      <c r="A7713" s="3">
        <v>41713</v>
      </c>
      <c r="B7713" s="2" t="s">
        <v>7</v>
      </c>
      <c r="C7713" s="2">
        <v>29</v>
      </c>
    </row>
    <row r="7714" spans="1:3" x14ac:dyDescent="0.25">
      <c r="A7714" s="3">
        <v>42001</v>
      </c>
      <c r="B7714" s="2" t="s">
        <v>2</v>
      </c>
      <c r="C7714" s="2">
        <v>48</v>
      </c>
    </row>
    <row r="7715" spans="1:3" x14ac:dyDescent="0.25">
      <c r="A7715" s="3">
        <v>41310</v>
      </c>
      <c r="B7715" s="2" t="s">
        <v>2</v>
      </c>
      <c r="C7715" s="2">
        <v>21</v>
      </c>
    </row>
    <row r="7716" spans="1:3" x14ac:dyDescent="0.25">
      <c r="A7716" s="3">
        <v>41690</v>
      </c>
      <c r="B7716" s="2" t="s">
        <v>23</v>
      </c>
      <c r="C7716" s="2">
        <v>39</v>
      </c>
    </row>
    <row r="7717" spans="1:3" x14ac:dyDescent="0.25">
      <c r="A7717" s="3">
        <v>41654</v>
      </c>
      <c r="B7717" s="2" t="s">
        <v>6</v>
      </c>
      <c r="C7717" s="2">
        <v>24</v>
      </c>
    </row>
    <row r="7718" spans="1:3" x14ac:dyDescent="0.25">
      <c r="A7718" s="3">
        <v>41825</v>
      </c>
      <c r="B7718" s="2" t="s">
        <v>46</v>
      </c>
      <c r="C7718" s="2">
        <v>31</v>
      </c>
    </row>
    <row r="7719" spans="1:3" x14ac:dyDescent="0.25">
      <c r="A7719" s="3">
        <v>41769</v>
      </c>
      <c r="B7719" s="2" t="s">
        <v>45</v>
      </c>
      <c r="C7719" s="2">
        <v>40</v>
      </c>
    </row>
    <row r="7720" spans="1:3" x14ac:dyDescent="0.25">
      <c r="A7720" s="3">
        <v>41423</v>
      </c>
      <c r="B7720" s="2" t="s">
        <v>43</v>
      </c>
      <c r="C7720" s="2">
        <v>45</v>
      </c>
    </row>
    <row r="7721" spans="1:3" x14ac:dyDescent="0.25">
      <c r="A7721" s="3">
        <v>41335</v>
      </c>
      <c r="B7721" s="2" t="s">
        <v>21</v>
      </c>
      <c r="C7721" s="2">
        <v>49</v>
      </c>
    </row>
    <row r="7722" spans="1:3" x14ac:dyDescent="0.25">
      <c r="A7722" s="3">
        <v>41485</v>
      </c>
      <c r="B7722" s="2" t="s">
        <v>19</v>
      </c>
      <c r="C7722" s="2">
        <v>2</v>
      </c>
    </row>
    <row r="7723" spans="1:3" x14ac:dyDescent="0.25">
      <c r="A7723" s="3">
        <v>41892</v>
      </c>
      <c r="B7723" s="2" t="s">
        <v>15</v>
      </c>
      <c r="C7723" s="2">
        <v>5</v>
      </c>
    </row>
    <row r="7724" spans="1:3" x14ac:dyDescent="0.25">
      <c r="A7724" s="3">
        <v>41580</v>
      </c>
      <c r="B7724" s="2" t="s">
        <v>44</v>
      </c>
      <c r="C7724" s="2">
        <v>19</v>
      </c>
    </row>
    <row r="7725" spans="1:3" x14ac:dyDescent="0.25">
      <c r="A7725" s="3">
        <v>41668</v>
      </c>
      <c r="B7725" s="2" t="s">
        <v>39</v>
      </c>
      <c r="C7725" s="2">
        <v>35</v>
      </c>
    </row>
    <row r="7726" spans="1:3" x14ac:dyDescent="0.25">
      <c r="A7726" s="3">
        <v>41470</v>
      </c>
      <c r="B7726" s="2" t="s">
        <v>9</v>
      </c>
      <c r="C7726" s="2">
        <v>6</v>
      </c>
    </row>
    <row r="7727" spans="1:3" x14ac:dyDescent="0.25">
      <c r="A7727" s="3">
        <v>41816</v>
      </c>
      <c r="B7727" s="2" t="s">
        <v>7</v>
      </c>
      <c r="C7727" s="2">
        <v>26</v>
      </c>
    </row>
    <row r="7728" spans="1:3" x14ac:dyDescent="0.25">
      <c r="A7728" s="3">
        <v>41440</v>
      </c>
      <c r="B7728" s="2" t="s">
        <v>2</v>
      </c>
      <c r="C7728" s="2">
        <v>9</v>
      </c>
    </row>
    <row r="7729" spans="1:3" x14ac:dyDescent="0.25">
      <c r="A7729" s="3">
        <v>41303</v>
      </c>
      <c r="B7729" s="2" t="s">
        <v>26</v>
      </c>
      <c r="C7729" s="2">
        <v>21</v>
      </c>
    </row>
    <row r="7730" spans="1:3" x14ac:dyDescent="0.25">
      <c r="A7730" s="3">
        <v>41997</v>
      </c>
      <c r="B7730" s="2" t="s">
        <v>18</v>
      </c>
      <c r="C7730" s="2">
        <v>29</v>
      </c>
    </row>
    <row r="7731" spans="1:3" x14ac:dyDescent="0.25">
      <c r="A7731" s="3">
        <v>41688</v>
      </c>
      <c r="B7731" s="2" t="s">
        <v>14</v>
      </c>
      <c r="C7731" s="2">
        <v>52</v>
      </c>
    </row>
    <row r="7732" spans="1:3" x14ac:dyDescent="0.25">
      <c r="A7732" s="3">
        <v>41425</v>
      </c>
      <c r="B7732" s="2" t="s">
        <v>50</v>
      </c>
      <c r="C7732" s="2">
        <v>21</v>
      </c>
    </row>
    <row r="7733" spans="1:3" x14ac:dyDescent="0.25">
      <c r="A7733" s="3">
        <v>41520</v>
      </c>
      <c r="B7733" s="2" t="s">
        <v>23</v>
      </c>
      <c r="C7733" s="2">
        <v>24</v>
      </c>
    </row>
    <row r="7734" spans="1:3" x14ac:dyDescent="0.25">
      <c r="A7734" s="3">
        <v>41421</v>
      </c>
      <c r="B7734" s="2" t="s">
        <v>7</v>
      </c>
      <c r="C7734" s="2">
        <v>33</v>
      </c>
    </row>
    <row r="7735" spans="1:3" x14ac:dyDescent="0.25">
      <c r="A7735" s="3">
        <v>41304</v>
      </c>
      <c r="B7735" s="2" t="s">
        <v>9</v>
      </c>
      <c r="C7735" s="2">
        <v>26</v>
      </c>
    </row>
    <row r="7736" spans="1:3" x14ac:dyDescent="0.25">
      <c r="A7736" s="3">
        <v>41370</v>
      </c>
      <c r="B7736" s="2" t="s">
        <v>11</v>
      </c>
      <c r="C7736" s="2">
        <v>24</v>
      </c>
    </row>
    <row r="7737" spans="1:3" x14ac:dyDescent="0.25">
      <c r="A7737" s="3">
        <v>41468</v>
      </c>
      <c r="B7737" s="2" t="s">
        <v>27</v>
      </c>
      <c r="C7737" s="2">
        <v>9</v>
      </c>
    </row>
    <row r="7738" spans="1:3" x14ac:dyDescent="0.25">
      <c r="A7738" s="3">
        <v>41368</v>
      </c>
      <c r="B7738" s="2" t="s">
        <v>3</v>
      </c>
      <c r="C7738" s="2">
        <v>34</v>
      </c>
    </row>
    <row r="7739" spans="1:3" x14ac:dyDescent="0.25">
      <c r="A7739" s="3">
        <v>41315</v>
      </c>
      <c r="B7739" s="2" t="s">
        <v>26</v>
      </c>
      <c r="C7739" s="2">
        <v>27</v>
      </c>
    </row>
    <row r="7740" spans="1:3" x14ac:dyDescent="0.25">
      <c r="A7740" s="3">
        <v>41864</v>
      </c>
      <c r="B7740" s="2" t="s">
        <v>22</v>
      </c>
      <c r="C7740" s="2">
        <v>23</v>
      </c>
    </row>
    <row r="7741" spans="1:3" x14ac:dyDescent="0.25">
      <c r="A7741" s="3">
        <v>41507</v>
      </c>
      <c r="B7741" s="2" t="s">
        <v>15</v>
      </c>
      <c r="C7741" s="2">
        <v>44</v>
      </c>
    </row>
    <row r="7742" spans="1:3" x14ac:dyDescent="0.25">
      <c r="A7742" s="3">
        <v>41296</v>
      </c>
      <c r="B7742" s="2" t="s">
        <v>11</v>
      </c>
      <c r="C7742" s="2">
        <v>41</v>
      </c>
    </row>
    <row r="7743" spans="1:3" x14ac:dyDescent="0.25">
      <c r="A7743" s="3">
        <v>41572</v>
      </c>
      <c r="B7743" s="2" t="s">
        <v>14</v>
      </c>
      <c r="C7743" s="2">
        <v>15</v>
      </c>
    </row>
    <row r="7744" spans="1:3" x14ac:dyDescent="0.25">
      <c r="A7744" s="3">
        <v>41447</v>
      </c>
      <c r="B7744" s="2" t="s">
        <v>38</v>
      </c>
      <c r="C7744" s="2">
        <v>35</v>
      </c>
    </row>
    <row r="7745" spans="1:3" x14ac:dyDescent="0.25">
      <c r="A7745" s="3">
        <v>41369</v>
      </c>
      <c r="B7745" s="2" t="s">
        <v>11</v>
      </c>
      <c r="C7745" s="2">
        <v>29</v>
      </c>
    </row>
    <row r="7746" spans="1:3" x14ac:dyDescent="0.25">
      <c r="A7746" s="3">
        <v>41855</v>
      </c>
      <c r="B7746" s="2" t="s">
        <v>16</v>
      </c>
      <c r="C7746" s="2">
        <v>41</v>
      </c>
    </row>
    <row r="7747" spans="1:3" x14ac:dyDescent="0.25">
      <c r="A7747" s="3">
        <v>41292</v>
      </c>
      <c r="B7747" s="2" t="s">
        <v>18</v>
      </c>
      <c r="C7747" s="2">
        <v>44</v>
      </c>
    </row>
    <row r="7748" spans="1:3" x14ac:dyDescent="0.25">
      <c r="A7748" s="3">
        <v>41996</v>
      </c>
      <c r="B7748" s="2" t="s">
        <v>4</v>
      </c>
      <c r="C7748" s="2">
        <v>23</v>
      </c>
    </row>
    <row r="7749" spans="1:3" x14ac:dyDescent="0.25">
      <c r="A7749" s="3">
        <v>41887</v>
      </c>
      <c r="B7749" s="2" t="s">
        <v>46</v>
      </c>
      <c r="C7749" s="2">
        <v>22</v>
      </c>
    </row>
    <row r="7750" spans="1:3" x14ac:dyDescent="0.25">
      <c r="A7750" s="3">
        <v>41995</v>
      </c>
      <c r="B7750" s="2" t="s">
        <v>21</v>
      </c>
      <c r="C7750" s="2">
        <v>1</v>
      </c>
    </row>
    <row r="7751" spans="1:3" x14ac:dyDescent="0.25">
      <c r="A7751" s="3">
        <v>41593</v>
      </c>
      <c r="B7751" s="2" t="s">
        <v>46</v>
      </c>
      <c r="C7751" s="2">
        <v>22</v>
      </c>
    </row>
    <row r="7752" spans="1:3" x14ac:dyDescent="0.25">
      <c r="A7752" s="3">
        <v>41283</v>
      </c>
      <c r="B7752" s="2" t="s">
        <v>14</v>
      </c>
      <c r="C7752" s="2">
        <v>15</v>
      </c>
    </row>
    <row r="7753" spans="1:3" x14ac:dyDescent="0.25">
      <c r="A7753" s="3">
        <v>41386</v>
      </c>
      <c r="B7753" s="2" t="s">
        <v>38</v>
      </c>
      <c r="C7753" s="2">
        <v>16</v>
      </c>
    </row>
    <row r="7754" spans="1:3" x14ac:dyDescent="0.25">
      <c r="A7754" s="3">
        <v>41994</v>
      </c>
      <c r="B7754" s="2" t="s">
        <v>14</v>
      </c>
      <c r="C7754" s="2">
        <v>25</v>
      </c>
    </row>
    <row r="7755" spans="1:3" x14ac:dyDescent="0.25">
      <c r="A7755" s="3">
        <v>41987</v>
      </c>
      <c r="B7755" s="2" t="s">
        <v>33</v>
      </c>
      <c r="C7755" s="2">
        <v>21</v>
      </c>
    </row>
    <row r="7756" spans="1:3" x14ac:dyDescent="0.25">
      <c r="A7756" s="3">
        <v>41571</v>
      </c>
      <c r="B7756" s="2" t="s">
        <v>31</v>
      </c>
      <c r="C7756" s="2">
        <v>43</v>
      </c>
    </row>
    <row r="7757" spans="1:3" x14ac:dyDescent="0.25">
      <c r="A7757" s="3">
        <v>41553</v>
      </c>
      <c r="B7757" s="2" t="s">
        <v>43</v>
      </c>
      <c r="C7757" s="2">
        <v>37</v>
      </c>
    </row>
    <row r="7758" spans="1:3" x14ac:dyDescent="0.25">
      <c r="A7758" s="3">
        <v>41287</v>
      </c>
      <c r="B7758" s="2" t="s">
        <v>13</v>
      </c>
      <c r="C7758" s="2">
        <v>30</v>
      </c>
    </row>
    <row r="7759" spans="1:3" x14ac:dyDescent="0.25">
      <c r="A7759" s="3">
        <v>41463</v>
      </c>
      <c r="B7759" s="2" t="s">
        <v>20</v>
      </c>
      <c r="C7759" s="2">
        <v>26</v>
      </c>
    </row>
    <row r="7760" spans="1:3" x14ac:dyDescent="0.25">
      <c r="A7760" s="3">
        <v>41410</v>
      </c>
      <c r="B7760" s="2" t="s">
        <v>42</v>
      </c>
      <c r="C7760" s="2">
        <v>41</v>
      </c>
    </row>
    <row r="7761" spans="1:3" x14ac:dyDescent="0.25">
      <c r="A7761" s="3">
        <v>41771</v>
      </c>
      <c r="B7761" s="2" t="s">
        <v>49</v>
      </c>
      <c r="C7761" s="2">
        <v>28</v>
      </c>
    </row>
    <row r="7762" spans="1:3" x14ac:dyDescent="0.25">
      <c r="A7762" s="3">
        <v>41650</v>
      </c>
      <c r="B7762" s="2" t="s">
        <v>41</v>
      </c>
      <c r="C7762" s="2">
        <v>24</v>
      </c>
    </row>
    <row r="7763" spans="1:3" x14ac:dyDescent="0.25">
      <c r="A7763" s="3">
        <v>41452</v>
      </c>
      <c r="B7763" s="2" t="s">
        <v>35</v>
      </c>
      <c r="C7763" s="2">
        <v>47</v>
      </c>
    </row>
    <row r="7764" spans="1:3" x14ac:dyDescent="0.25">
      <c r="A7764" s="3">
        <v>41956</v>
      </c>
      <c r="B7764" s="2" t="s">
        <v>8</v>
      </c>
      <c r="C7764" s="2">
        <v>39</v>
      </c>
    </row>
    <row r="7765" spans="1:3" x14ac:dyDescent="0.25">
      <c r="A7765" s="3">
        <v>41609</v>
      </c>
      <c r="B7765" s="2" t="s">
        <v>33</v>
      </c>
      <c r="C7765" s="2">
        <v>7</v>
      </c>
    </row>
    <row r="7766" spans="1:3" x14ac:dyDescent="0.25">
      <c r="A7766" s="3">
        <v>41752</v>
      </c>
      <c r="B7766" s="2" t="s">
        <v>43</v>
      </c>
      <c r="C7766" s="2">
        <v>17</v>
      </c>
    </row>
    <row r="7767" spans="1:3" x14ac:dyDescent="0.25">
      <c r="A7767" s="3">
        <v>41757</v>
      </c>
      <c r="B7767" s="2" t="s">
        <v>41</v>
      </c>
      <c r="C7767" s="2">
        <v>47</v>
      </c>
    </row>
    <row r="7768" spans="1:3" x14ac:dyDescent="0.25">
      <c r="A7768" s="3">
        <v>41323</v>
      </c>
      <c r="B7768" s="2" t="s">
        <v>32</v>
      </c>
      <c r="C7768" s="2">
        <v>24</v>
      </c>
    </row>
    <row r="7769" spans="1:3" x14ac:dyDescent="0.25">
      <c r="A7769" s="3">
        <v>41948</v>
      </c>
      <c r="B7769" s="2" t="s">
        <v>42</v>
      </c>
      <c r="C7769" s="2">
        <v>7</v>
      </c>
    </row>
    <row r="7770" spans="1:3" x14ac:dyDescent="0.25">
      <c r="A7770" s="3">
        <v>41479</v>
      </c>
      <c r="B7770" s="2" t="s">
        <v>40</v>
      </c>
      <c r="C7770" s="2">
        <v>14</v>
      </c>
    </row>
    <row r="7771" spans="1:3" x14ac:dyDescent="0.25">
      <c r="A7771" s="3">
        <v>41329</v>
      </c>
      <c r="B7771" s="2" t="s">
        <v>42</v>
      </c>
      <c r="C7771" s="2">
        <v>28</v>
      </c>
    </row>
    <row r="7772" spans="1:3" x14ac:dyDescent="0.25">
      <c r="A7772" s="3">
        <v>41337</v>
      </c>
      <c r="B7772" s="2" t="s">
        <v>29</v>
      </c>
      <c r="C7772" s="2">
        <v>31</v>
      </c>
    </row>
    <row r="7773" spans="1:3" x14ac:dyDescent="0.25">
      <c r="A7773" s="3">
        <v>41984</v>
      </c>
      <c r="B7773" s="2" t="s">
        <v>49</v>
      </c>
      <c r="C7773" s="2">
        <v>23</v>
      </c>
    </row>
    <row r="7774" spans="1:3" x14ac:dyDescent="0.25">
      <c r="A7774" s="3">
        <v>41537</v>
      </c>
      <c r="B7774" s="2" t="s">
        <v>2</v>
      </c>
      <c r="C7774" s="2">
        <v>27</v>
      </c>
    </row>
    <row r="7775" spans="1:3" x14ac:dyDescent="0.25">
      <c r="A7775" s="3">
        <v>41938</v>
      </c>
      <c r="B7775" s="2" t="s">
        <v>12</v>
      </c>
      <c r="C7775" s="2">
        <v>17</v>
      </c>
    </row>
    <row r="7776" spans="1:3" x14ac:dyDescent="0.25">
      <c r="A7776" s="3">
        <v>41752</v>
      </c>
      <c r="B7776" s="2" t="s">
        <v>8</v>
      </c>
      <c r="C7776" s="2">
        <v>24</v>
      </c>
    </row>
    <row r="7777" spans="1:3" x14ac:dyDescent="0.25">
      <c r="A7777" s="3">
        <v>41799</v>
      </c>
      <c r="B7777" s="2" t="s">
        <v>19</v>
      </c>
      <c r="C7777" s="2">
        <v>22</v>
      </c>
    </row>
    <row r="7778" spans="1:3" x14ac:dyDescent="0.25">
      <c r="A7778" s="3">
        <v>41295</v>
      </c>
      <c r="B7778" s="2" t="s">
        <v>25</v>
      </c>
      <c r="C7778" s="2">
        <v>51</v>
      </c>
    </row>
    <row r="7779" spans="1:3" x14ac:dyDescent="0.25">
      <c r="A7779" s="3">
        <v>41719</v>
      </c>
      <c r="B7779" s="2" t="s">
        <v>40</v>
      </c>
      <c r="C7779" s="2">
        <v>37</v>
      </c>
    </row>
    <row r="7780" spans="1:3" x14ac:dyDescent="0.25">
      <c r="A7780" s="3">
        <v>41368</v>
      </c>
      <c r="B7780" s="2" t="s">
        <v>23</v>
      </c>
      <c r="C7780" s="2">
        <v>36</v>
      </c>
    </row>
    <row r="7781" spans="1:3" x14ac:dyDescent="0.25">
      <c r="A7781" s="3">
        <v>41776</v>
      </c>
      <c r="B7781" s="2" t="s">
        <v>40</v>
      </c>
      <c r="C7781" s="2">
        <v>15</v>
      </c>
    </row>
    <row r="7782" spans="1:3" x14ac:dyDescent="0.25">
      <c r="A7782" s="3">
        <v>41681</v>
      </c>
      <c r="B7782" s="2" t="s">
        <v>38</v>
      </c>
      <c r="C7782" s="2">
        <v>40</v>
      </c>
    </row>
    <row r="7783" spans="1:3" x14ac:dyDescent="0.25">
      <c r="A7783" s="3">
        <v>41835</v>
      </c>
      <c r="B7783" s="2" t="s">
        <v>47</v>
      </c>
      <c r="C7783" s="2">
        <v>22</v>
      </c>
    </row>
    <row r="7784" spans="1:3" x14ac:dyDescent="0.25">
      <c r="A7784" s="3">
        <v>41670</v>
      </c>
      <c r="B7784" s="2" t="s">
        <v>33</v>
      </c>
      <c r="C7784" s="2">
        <v>29</v>
      </c>
    </row>
    <row r="7785" spans="1:3" x14ac:dyDescent="0.25">
      <c r="A7785" s="3">
        <v>41471</v>
      </c>
      <c r="B7785" s="2" t="s">
        <v>23</v>
      </c>
      <c r="C7785" s="2">
        <v>3</v>
      </c>
    </row>
    <row r="7786" spans="1:3" x14ac:dyDescent="0.25">
      <c r="A7786" s="3">
        <v>41622</v>
      </c>
      <c r="B7786" s="2" t="s">
        <v>10</v>
      </c>
      <c r="C7786" s="2">
        <v>23</v>
      </c>
    </row>
    <row r="7787" spans="1:3" x14ac:dyDescent="0.25">
      <c r="A7787" s="3">
        <v>41454</v>
      </c>
      <c r="B7787" s="2" t="s">
        <v>28</v>
      </c>
      <c r="C7787" s="2">
        <v>42</v>
      </c>
    </row>
    <row r="7788" spans="1:3" x14ac:dyDescent="0.25">
      <c r="A7788" s="3">
        <v>41320</v>
      </c>
      <c r="B7788" s="2" t="s">
        <v>40</v>
      </c>
      <c r="C7788" s="2">
        <v>65</v>
      </c>
    </row>
    <row r="7789" spans="1:3" x14ac:dyDescent="0.25">
      <c r="A7789" s="3">
        <v>41405</v>
      </c>
      <c r="B7789" s="2" t="s">
        <v>13</v>
      </c>
      <c r="C7789" s="2">
        <v>21</v>
      </c>
    </row>
    <row r="7790" spans="1:3" x14ac:dyDescent="0.25">
      <c r="A7790" s="3">
        <v>41779</v>
      </c>
      <c r="B7790" s="2" t="s">
        <v>43</v>
      </c>
      <c r="C7790" s="2">
        <v>21</v>
      </c>
    </row>
    <row r="7791" spans="1:3" x14ac:dyDescent="0.25">
      <c r="A7791" s="3">
        <v>41975</v>
      </c>
      <c r="B7791" s="2" t="s">
        <v>10</v>
      </c>
      <c r="C7791" s="2">
        <v>45</v>
      </c>
    </row>
    <row r="7792" spans="1:3" x14ac:dyDescent="0.25">
      <c r="A7792" s="3">
        <v>41502</v>
      </c>
      <c r="B7792" s="2" t="s">
        <v>10</v>
      </c>
      <c r="C7792" s="2">
        <v>16</v>
      </c>
    </row>
    <row r="7793" spans="1:3" x14ac:dyDescent="0.25">
      <c r="A7793" s="3">
        <v>41726</v>
      </c>
      <c r="B7793" s="2" t="s">
        <v>49</v>
      </c>
      <c r="C7793" s="2">
        <v>10</v>
      </c>
    </row>
    <row r="7794" spans="1:3" x14ac:dyDescent="0.25">
      <c r="A7794" s="3">
        <v>41588</v>
      </c>
      <c r="B7794" s="2" t="s">
        <v>6</v>
      </c>
      <c r="C7794" s="2">
        <v>50</v>
      </c>
    </row>
    <row r="7795" spans="1:3" x14ac:dyDescent="0.25">
      <c r="A7795" s="3">
        <v>41420</v>
      </c>
      <c r="B7795" s="2" t="s">
        <v>35</v>
      </c>
      <c r="C7795" s="2">
        <v>4</v>
      </c>
    </row>
    <row r="7796" spans="1:3" x14ac:dyDescent="0.25">
      <c r="A7796" s="3">
        <v>41600</v>
      </c>
      <c r="B7796" s="2" t="s">
        <v>34</v>
      </c>
      <c r="C7796" s="2">
        <v>51</v>
      </c>
    </row>
    <row r="7797" spans="1:3" x14ac:dyDescent="0.25">
      <c r="A7797" s="3">
        <v>41401</v>
      </c>
      <c r="B7797" s="2" t="s">
        <v>37</v>
      </c>
      <c r="C7797" s="2">
        <v>15</v>
      </c>
    </row>
    <row r="7798" spans="1:3" x14ac:dyDescent="0.25">
      <c r="A7798" s="3">
        <v>41774</v>
      </c>
      <c r="B7798" s="2" t="s">
        <v>24</v>
      </c>
      <c r="C7798" s="2">
        <v>23</v>
      </c>
    </row>
    <row r="7799" spans="1:3" x14ac:dyDescent="0.25">
      <c r="A7799" s="3">
        <v>41347</v>
      </c>
      <c r="B7799" s="2" t="s">
        <v>11</v>
      </c>
      <c r="C7799" s="2">
        <v>16</v>
      </c>
    </row>
    <row r="7800" spans="1:3" x14ac:dyDescent="0.25">
      <c r="A7800" s="3">
        <v>41897</v>
      </c>
      <c r="B7800" s="2" t="s">
        <v>5</v>
      </c>
      <c r="C7800" s="2">
        <v>30</v>
      </c>
    </row>
    <row r="7801" spans="1:3" x14ac:dyDescent="0.25">
      <c r="A7801" s="3">
        <v>41365</v>
      </c>
      <c r="B7801" s="2" t="s">
        <v>29</v>
      </c>
      <c r="C7801" s="2">
        <v>18</v>
      </c>
    </row>
    <row r="7802" spans="1:3" x14ac:dyDescent="0.25">
      <c r="A7802" s="3">
        <v>41379</v>
      </c>
      <c r="B7802" s="2" t="s">
        <v>6</v>
      </c>
      <c r="C7802" s="2">
        <v>39</v>
      </c>
    </row>
    <row r="7803" spans="1:3" x14ac:dyDescent="0.25">
      <c r="A7803" s="3">
        <v>41776</v>
      </c>
      <c r="B7803" s="2" t="s">
        <v>49</v>
      </c>
      <c r="C7803" s="2">
        <v>29</v>
      </c>
    </row>
    <row r="7804" spans="1:3" x14ac:dyDescent="0.25">
      <c r="A7804" s="3">
        <v>41936</v>
      </c>
      <c r="B7804" s="2" t="s">
        <v>46</v>
      </c>
      <c r="C7804" s="2">
        <v>21</v>
      </c>
    </row>
    <row r="7805" spans="1:3" x14ac:dyDescent="0.25">
      <c r="A7805" s="3">
        <v>41275</v>
      </c>
      <c r="B7805" s="2" t="s">
        <v>38</v>
      </c>
      <c r="C7805" s="2">
        <v>53</v>
      </c>
    </row>
    <row r="7806" spans="1:3" x14ac:dyDescent="0.25">
      <c r="A7806" s="3">
        <v>41463</v>
      </c>
      <c r="B7806" s="2" t="s">
        <v>50</v>
      </c>
      <c r="C7806" s="2">
        <v>10</v>
      </c>
    </row>
    <row r="7807" spans="1:3" x14ac:dyDescent="0.25">
      <c r="A7807" s="3">
        <v>41765</v>
      </c>
      <c r="B7807" s="2" t="s">
        <v>9</v>
      </c>
      <c r="C7807" s="2">
        <v>9</v>
      </c>
    </row>
    <row r="7808" spans="1:3" x14ac:dyDescent="0.25">
      <c r="A7808" s="3">
        <v>41462</v>
      </c>
      <c r="B7808" s="2" t="s">
        <v>17</v>
      </c>
      <c r="C7808" s="2">
        <v>25</v>
      </c>
    </row>
    <row r="7809" spans="1:3" x14ac:dyDescent="0.25">
      <c r="A7809" s="3">
        <v>41975</v>
      </c>
      <c r="B7809" s="2" t="s">
        <v>2</v>
      </c>
      <c r="C7809" s="2">
        <v>11</v>
      </c>
    </row>
    <row r="7810" spans="1:3" x14ac:dyDescent="0.25">
      <c r="A7810" s="3">
        <v>41414</v>
      </c>
      <c r="B7810" s="2" t="s">
        <v>15</v>
      </c>
      <c r="C7810" s="2">
        <v>31</v>
      </c>
    </row>
    <row r="7811" spans="1:3" x14ac:dyDescent="0.25">
      <c r="A7811" s="3">
        <v>41302</v>
      </c>
      <c r="B7811" s="2" t="s">
        <v>47</v>
      </c>
      <c r="C7811" s="2">
        <v>24</v>
      </c>
    </row>
    <row r="7812" spans="1:3" x14ac:dyDescent="0.25">
      <c r="A7812" s="3">
        <v>41835</v>
      </c>
      <c r="B7812" s="2" t="s">
        <v>49</v>
      </c>
      <c r="C7812" s="2">
        <v>10</v>
      </c>
    </row>
    <row r="7813" spans="1:3" x14ac:dyDescent="0.25">
      <c r="A7813" s="3">
        <v>41931</v>
      </c>
      <c r="B7813" s="2" t="s">
        <v>40</v>
      </c>
      <c r="C7813" s="2">
        <v>17</v>
      </c>
    </row>
    <row r="7814" spans="1:3" x14ac:dyDescent="0.25">
      <c r="A7814" s="3">
        <v>41969</v>
      </c>
      <c r="B7814" s="2" t="s">
        <v>27</v>
      </c>
      <c r="C7814" s="2">
        <v>0</v>
      </c>
    </row>
    <row r="7815" spans="1:3" x14ac:dyDescent="0.25">
      <c r="A7815" s="3">
        <v>41448</v>
      </c>
      <c r="B7815" s="2" t="s">
        <v>33</v>
      </c>
      <c r="C7815" s="2">
        <v>20</v>
      </c>
    </row>
    <row r="7816" spans="1:3" x14ac:dyDescent="0.25">
      <c r="A7816" s="3">
        <v>41393</v>
      </c>
      <c r="B7816" s="2" t="s">
        <v>11</v>
      </c>
      <c r="C7816" s="2">
        <v>20</v>
      </c>
    </row>
    <row r="7817" spans="1:3" x14ac:dyDescent="0.25">
      <c r="A7817" s="3">
        <v>41958</v>
      </c>
      <c r="B7817" s="2" t="s">
        <v>46</v>
      </c>
      <c r="C7817" s="2">
        <v>19</v>
      </c>
    </row>
    <row r="7818" spans="1:3" x14ac:dyDescent="0.25">
      <c r="A7818" s="3">
        <v>41479</v>
      </c>
      <c r="B7818" s="2" t="s">
        <v>40</v>
      </c>
      <c r="C7818" s="2">
        <v>4</v>
      </c>
    </row>
    <row r="7819" spans="1:3" x14ac:dyDescent="0.25">
      <c r="A7819" s="3">
        <v>41529</v>
      </c>
      <c r="B7819" s="2" t="s">
        <v>38</v>
      </c>
      <c r="C7819" s="2">
        <v>52</v>
      </c>
    </row>
    <row r="7820" spans="1:3" x14ac:dyDescent="0.25">
      <c r="A7820" s="3">
        <v>41922</v>
      </c>
      <c r="B7820" s="2" t="s">
        <v>21</v>
      </c>
      <c r="C7820" s="2">
        <v>23</v>
      </c>
    </row>
    <row r="7821" spans="1:3" x14ac:dyDescent="0.25">
      <c r="A7821" s="3">
        <v>41984</v>
      </c>
      <c r="B7821" s="2" t="s">
        <v>47</v>
      </c>
      <c r="C7821" s="2">
        <v>0</v>
      </c>
    </row>
    <row r="7822" spans="1:3" x14ac:dyDescent="0.25">
      <c r="A7822" s="3">
        <v>41548</v>
      </c>
      <c r="B7822" s="2" t="s">
        <v>14</v>
      </c>
      <c r="C7822" s="2">
        <v>15</v>
      </c>
    </row>
    <row r="7823" spans="1:3" x14ac:dyDescent="0.25">
      <c r="A7823" s="3">
        <v>41329</v>
      </c>
      <c r="B7823" s="2" t="s">
        <v>22</v>
      </c>
      <c r="C7823" s="2">
        <v>12</v>
      </c>
    </row>
    <row r="7824" spans="1:3" x14ac:dyDescent="0.25">
      <c r="A7824" s="3">
        <v>41761</v>
      </c>
      <c r="B7824" s="2" t="s">
        <v>40</v>
      </c>
      <c r="C7824" s="2">
        <v>57</v>
      </c>
    </row>
    <row r="7825" spans="1:3" x14ac:dyDescent="0.25">
      <c r="A7825" s="3">
        <v>41508</v>
      </c>
      <c r="B7825" s="2" t="s">
        <v>51</v>
      </c>
      <c r="C7825" s="2">
        <v>10</v>
      </c>
    </row>
    <row r="7826" spans="1:3" x14ac:dyDescent="0.25">
      <c r="A7826" s="3">
        <v>41311</v>
      </c>
      <c r="B7826" s="2" t="s">
        <v>12</v>
      </c>
      <c r="C7826" s="2">
        <v>4</v>
      </c>
    </row>
    <row r="7827" spans="1:3" x14ac:dyDescent="0.25">
      <c r="A7827" s="3">
        <v>41981</v>
      </c>
      <c r="B7827" s="2" t="s">
        <v>49</v>
      </c>
      <c r="C7827" s="2">
        <v>33</v>
      </c>
    </row>
    <row r="7828" spans="1:3" x14ac:dyDescent="0.25">
      <c r="A7828" s="3">
        <v>41369</v>
      </c>
      <c r="B7828" s="2" t="s">
        <v>17</v>
      </c>
      <c r="C7828" s="2">
        <v>19</v>
      </c>
    </row>
    <row r="7829" spans="1:3" x14ac:dyDescent="0.25">
      <c r="A7829" s="3">
        <v>41447</v>
      </c>
      <c r="B7829" s="2" t="s">
        <v>8</v>
      </c>
      <c r="C7829" s="2">
        <v>15</v>
      </c>
    </row>
    <row r="7830" spans="1:3" x14ac:dyDescent="0.25">
      <c r="A7830" s="3">
        <v>41918</v>
      </c>
      <c r="B7830" s="2" t="s">
        <v>31</v>
      </c>
      <c r="C7830" s="2">
        <v>51</v>
      </c>
    </row>
    <row r="7831" spans="1:3" x14ac:dyDescent="0.25">
      <c r="A7831" s="3">
        <v>41467</v>
      </c>
      <c r="B7831" s="2" t="s">
        <v>35</v>
      </c>
      <c r="C7831" s="2">
        <v>44</v>
      </c>
    </row>
    <row r="7832" spans="1:3" x14ac:dyDescent="0.25">
      <c r="A7832" s="3">
        <v>41482</v>
      </c>
      <c r="B7832" s="2" t="s">
        <v>43</v>
      </c>
      <c r="C7832" s="2">
        <v>24</v>
      </c>
    </row>
    <row r="7833" spans="1:3" x14ac:dyDescent="0.25">
      <c r="A7833" s="3">
        <v>41614</v>
      </c>
      <c r="B7833" s="2" t="s">
        <v>21</v>
      </c>
      <c r="C7833" s="2">
        <v>48</v>
      </c>
    </row>
    <row r="7834" spans="1:3" x14ac:dyDescent="0.25">
      <c r="A7834" s="3">
        <v>41397</v>
      </c>
      <c r="B7834" s="2" t="s">
        <v>28</v>
      </c>
      <c r="C7834" s="2">
        <v>25</v>
      </c>
    </row>
    <row r="7835" spans="1:3" x14ac:dyDescent="0.25">
      <c r="A7835" s="3">
        <v>41684</v>
      </c>
      <c r="B7835" s="2" t="s">
        <v>47</v>
      </c>
      <c r="C7835" s="2">
        <v>6</v>
      </c>
    </row>
    <row r="7836" spans="1:3" x14ac:dyDescent="0.25">
      <c r="A7836" s="3">
        <v>41388</v>
      </c>
      <c r="B7836" s="2" t="s">
        <v>24</v>
      </c>
      <c r="C7836" s="2">
        <v>21</v>
      </c>
    </row>
    <row r="7837" spans="1:3" x14ac:dyDescent="0.25">
      <c r="A7837" s="3">
        <v>42004</v>
      </c>
      <c r="B7837" s="2" t="s">
        <v>39</v>
      </c>
      <c r="C7837" s="2">
        <v>6</v>
      </c>
    </row>
    <row r="7838" spans="1:3" x14ac:dyDescent="0.25">
      <c r="A7838" s="3">
        <v>41659</v>
      </c>
      <c r="B7838" s="2" t="s">
        <v>36</v>
      </c>
      <c r="C7838" s="2">
        <v>38</v>
      </c>
    </row>
    <row r="7839" spans="1:3" x14ac:dyDescent="0.25">
      <c r="A7839" s="3">
        <v>41450</v>
      </c>
      <c r="B7839" s="2" t="s">
        <v>51</v>
      </c>
      <c r="C7839" s="2">
        <v>16</v>
      </c>
    </row>
    <row r="7840" spans="1:3" x14ac:dyDescent="0.25">
      <c r="A7840" s="3">
        <v>41860</v>
      </c>
      <c r="B7840" s="2" t="s">
        <v>45</v>
      </c>
      <c r="C7840" s="2">
        <v>17</v>
      </c>
    </row>
    <row r="7841" spans="1:3" x14ac:dyDescent="0.25">
      <c r="A7841" s="3">
        <v>41550</v>
      </c>
      <c r="B7841" s="2" t="s">
        <v>35</v>
      </c>
      <c r="C7841" s="2">
        <v>34</v>
      </c>
    </row>
    <row r="7842" spans="1:3" x14ac:dyDescent="0.25">
      <c r="A7842" s="3">
        <v>41989</v>
      </c>
      <c r="B7842" s="2" t="s">
        <v>45</v>
      </c>
      <c r="C7842" s="2">
        <v>1</v>
      </c>
    </row>
    <row r="7843" spans="1:3" x14ac:dyDescent="0.25">
      <c r="A7843" s="3">
        <v>41414</v>
      </c>
      <c r="B7843" s="2" t="s">
        <v>33</v>
      </c>
      <c r="C7843" s="2">
        <v>19</v>
      </c>
    </row>
    <row r="7844" spans="1:3" x14ac:dyDescent="0.25">
      <c r="A7844" s="3">
        <v>41592</v>
      </c>
      <c r="B7844" s="2" t="s">
        <v>11</v>
      </c>
      <c r="C7844" s="2">
        <v>41</v>
      </c>
    </row>
    <row r="7845" spans="1:3" x14ac:dyDescent="0.25">
      <c r="A7845" s="3">
        <v>41282</v>
      </c>
      <c r="B7845" s="2" t="s">
        <v>50</v>
      </c>
      <c r="C7845" s="2">
        <v>19</v>
      </c>
    </row>
    <row r="7846" spans="1:3" x14ac:dyDescent="0.25">
      <c r="A7846" s="3">
        <v>41488</v>
      </c>
      <c r="B7846" s="2" t="s">
        <v>39</v>
      </c>
      <c r="C7846" s="2">
        <v>29</v>
      </c>
    </row>
    <row r="7847" spans="1:3" x14ac:dyDescent="0.25">
      <c r="A7847" s="3">
        <v>41788</v>
      </c>
      <c r="B7847" s="2" t="s">
        <v>32</v>
      </c>
      <c r="C7847" s="2">
        <v>46</v>
      </c>
    </row>
    <row r="7848" spans="1:3" x14ac:dyDescent="0.25">
      <c r="A7848" s="3">
        <v>41852</v>
      </c>
      <c r="B7848" s="2" t="s">
        <v>28</v>
      </c>
      <c r="C7848" s="2">
        <v>17</v>
      </c>
    </row>
    <row r="7849" spans="1:3" x14ac:dyDescent="0.25">
      <c r="A7849" s="3">
        <v>41797</v>
      </c>
      <c r="B7849" s="2" t="s">
        <v>10</v>
      </c>
      <c r="C7849" s="2">
        <v>32</v>
      </c>
    </row>
    <row r="7850" spans="1:3" x14ac:dyDescent="0.25">
      <c r="A7850" s="3">
        <v>41426</v>
      </c>
      <c r="B7850" s="2" t="s">
        <v>41</v>
      </c>
      <c r="C7850" s="2">
        <v>4</v>
      </c>
    </row>
    <row r="7851" spans="1:3" x14ac:dyDescent="0.25">
      <c r="A7851" s="3">
        <v>41711</v>
      </c>
      <c r="B7851" s="2" t="s">
        <v>23</v>
      </c>
      <c r="C7851" s="2">
        <v>54</v>
      </c>
    </row>
    <row r="7852" spans="1:3" x14ac:dyDescent="0.25">
      <c r="A7852" s="3">
        <v>41916</v>
      </c>
      <c r="B7852" s="2" t="s">
        <v>4</v>
      </c>
      <c r="C7852" s="2">
        <v>26</v>
      </c>
    </row>
    <row r="7853" spans="1:3" x14ac:dyDescent="0.25">
      <c r="A7853" s="3">
        <v>41473</v>
      </c>
      <c r="B7853" s="2" t="s">
        <v>12</v>
      </c>
      <c r="C7853" s="2">
        <v>52</v>
      </c>
    </row>
    <row r="7854" spans="1:3" x14ac:dyDescent="0.25">
      <c r="A7854" s="3">
        <v>41613</v>
      </c>
      <c r="B7854" s="2" t="s">
        <v>21</v>
      </c>
      <c r="C7854" s="2">
        <v>11</v>
      </c>
    </row>
    <row r="7855" spans="1:3" x14ac:dyDescent="0.25">
      <c r="A7855" s="3">
        <v>41846</v>
      </c>
      <c r="B7855" s="2" t="s">
        <v>30</v>
      </c>
      <c r="C7855" s="2">
        <v>18</v>
      </c>
    </row>
    <row r="7856" spans="1:3" x14ac:dyDescent="0.25">
      <c r="A7856" s="3">
        <v>41965</v>
      </c>
      <c r="B7856" s="2" t="s">
        <v>41</v>
      </c>
      <c r="C7856" s="2">
        <v>18</v>
      </c>
    </row>
    <row r="7857" spans="1:3" x14ac:dyDescent="0.25">
      <c r="A7857" s="3">
        <v>41819</v>
      </c>
      <c r="B7857" s="2" t="s">
        <v>36</v>
      </c>
      <c r="C7857" s="2">
        <v>11</v>
      </c>
    </row>
    <row r="7858" spans="1:3" x14ac:dyDescent="0.25">
      <c r="A7858" s="3">
        <v>41303</v>
      </c>
      <c r="B7858" s="2" t="s">
        <v>17</v>
      </c>
      <c r="C7858" s="2">
        <v>19</v>
      </c>
    </row>
    <row r="7859" spans="1:3" x14ac:dyDescent="0.25">
      <c r="A7859" s="3">
        <v>41967</v>
      </c>
      <c r="B7859" s="2" t="s">
        <v>40</v>
      </c>
      <c r="C7859" s="2">
        <v>23</v>
      </c>
    </row>
    <row r="7860" spans="1:3" x14ac:dyDescent="0.25">
      <c r="A7860" s="3">
        <v>41760</v>
      </c>
      <c r="B7860" s="2" t="s">
        <v>5</v>
      </c>
      <c r="C7860" s="2">
        <v>41</v>
      </c>
    </row>
    <row r="7861" spans="1:3" x14ac:dyDescent="0.25">
      <c r="A7861" s="3">
        <v>41900</v>
      </c>
      <c r="B7861" s="2" t="s">
        <v>6</v>
      </c>
      <c r="C7861" s="2">
        <v>17</v>
      </c>
    </row>
    <row r="7862" spans="1:3" x14ac:dyDescent="0.25">
      <c r="A7862" s="3">
        <v>41504</v>
      </c>
      <c r="B7862" s="2" t="s">
        <v>28</v>
      </c>
      <c r="C7862" s="2">
        <v>20</v>
      </c>
    </row>
    <row r="7863" spans="1:3" x14ac:dyDescent="0.25">
      <c r="A7863" s="3">
        <v>41663</v>
      </c>
      <c r="B7863" s="2" t="s">
        <v>47</v>
      </c>
      <c r="C7863" s="2">
        <v>31</v>
      </c>
    </row>
    <row r="7864" spans="1:3" x14ac:dyDescent="0.25">
      <c r="A7864" s="3">
        <v>41848</v>
      </c>
      <c r="B7864" s="2" t="s">
        <v>13</v>
      </c>
      <c r="C7864" s="2">
        <v>22</v>
      </c>
    </row>
    <row r="7865" spans="1:3" x14ac:dyDescent="0.25">
      <c r="A7865" s="3">
        <v>41919</v>
      </c>
      <c r="B7865" s="2" t="s">
        <v>15</v>
      </c>
      <c r="C7865" s="2">
        <v>40</v>
      </c>
    </row>
    <row r="7866" spans="1:3" x14ac:dyDescent="0.25">
      <c r="A7866" s="3">
        <v>41887</v>
      </c>
      <c r="B7866" s="2" t="s">
        <v>42</v>
      </c>
      <c r="C7866" s="2">
        <v>18</v>
      </c>
    </row>
    <row r="7867" spans="1:3" x14ac:dyDescent="0.25">
      <c r="A7867" s="3">
        <v>41827</v>
      </c>
      <c r="B7867" s="2" t="s">
        <v>10</v>
      </c>
      <c r="C7867" s="2">
        <v>36</v>
      </c>
    </row>
    <row r="7868" spans="1:3" x14ac:dyDescent="0.25">
      <c r="A7868" s="3">
        <v>41363</v>
      </c>
      <c r="B7868" s="2" t="s">
        <v>37</v>
      </c>
      <c r="C7868" s="2">
        <v>23</v>
      </c>
    </row>
    <row r="7869" spans="1:3" x14ac:dyDescent="0.25">
      <c r="A7869" s="3">
        <v>41304</v>
      </c>
      <c r="B7869" s="2" t="s">
        <v>22</v>
      </c>
      <c r="C7869" s="2">
        <v>7</v>
      </c>
    </row>
    <row r="7870" spans="1:3" x14ac:dyDescent="0.25">
      <c r="A7870" s="3">
        <v>41815</v>
      </c>
      <c r="B7870" s="2" t="s">
        <v>15</v>
      </c>
      <c r="C7870" s="2">
        <v>45</v>
      </c>
    </row>
    <row r="7871" spans="1:3" x14ac:dyDescent="0.25">
      <c r="A7871" s="3">
        <v>41708</v>
      </c>
      <c r="B7871" s="2" t="s">
        <v>26</v>
      </c>
      <c r="C7871" s="2">
        <v>2</v>
      </c>
    </row>
    <row r="7872" spans="1:3" x14ac:dyDescent="0.25">
      <c r="A7872" s="3">
        <v>41504</v>
      </c>
      <c r="B7872" s="2" t="s">
        <v>33</v>
      </c>
      <c r="C7872" s="2">
        <v>25</v>
      </c>
    </row>
    <row r="7873" spans="1:3" x14ac:dyDescent="0.25">
      <c r="A7873" s="3">
        <v>41891</v>
      </c>
      <c r="B7873" s="2" t="s">
        <v>49</v>
      </c>
      <c r="C7873" s="2">
        <v>21</v>
      </c>
    </row>
    <row r="7874" spans="1:3" x14ac:dyDescent="0.25">
      <c r="A7874" s="3">
        <v>41410</v>
      </c>
      <c r="B7874" s="2" t="s">
        <v>35</v>
      </c>
      <c r="C7874" s="2">
        <v>41</v>
      </c>
    </row>
    <row r="7875" spans="1:3" x14ac:dyDescent="0.25">
      <c r="A7875" s="3">
        <v>41993</v>
      </c>
      <c r="B7875" s="2" t="s">
        <v>5</v>
      </c>
      <c r="C7875" s="2">
        <v>26</v>
      </c>
    </row>
    <row r="7876" spans="1:3" x14ac:dyDescent="0.25">
      <c r="A7876" s="3">
        <v>41734</v>
      </c>
      <c r="B7876" s="2" t="s">
        <v>9</v>
      </c>
      <c r="C7876" s="2">
        <v>17</v>
      </c>
    </row>
    <row r="7877" spans="1:3" x14ac:dyDescent="0.25">
      <c r="A7877" s="3">
        <v>41302</v>
      </c>
      <c r="B7877" s="2" t="s">
        <v>14</v>
      </c>
      <c r="C7877" s="2">
        <v>8</v>
      </c>
    </row>
    <row r="7878" spans="1:3" x14ac:dyDescent="0.25">
      <c r="A7878" s="3">
        <v>41320</v>
      </c>
      <c r="B7878" s="2" t="s">
        <v>35</v>
      </c>
      <c r="C7878" s="2">
        <v>28</v>
      </c>
    </row>
    <row r="7879" spans="1:3" x14ac:dyDescent="0.25">
      <c r="A7879" s="3">
        <v>41487</v>
      </c>
      <c r="B7879" s="2" t="s">
        <v>42</v>
      </c>
      <c r="C7879" s="2">
        <v>0</v>
      </c>
    </row>
    <row r="7880" spans="1:3" x14ac:dyDescent="0.25">
      <c r="A7880" s="3">
        <v>41316</v>
      </c>
      <c r="B7880" s="2" t="s">
        <v>3</v>
      </c>
      <c r="C7880" s="2">
        <v>41</v>
      </c>
    </row>
    <row r="7881" spans="1:3" x14ac:dyDescent="0.25">
      <c r="A7881" s="3">
        <v>41676</v>
      </c>
      <c r="B7881" s="2" t="s">
        <v>12</v>
      </c>
      <c r="C7881" s="2">
        <v>44</v>
      </c>
    </row>
    <row r="7882" spans="1:3" x14ac:dyDescent="0.25">
      <c r="A7882" s="3">
        <v>41844</v>
      </c>
      <c r="B7882" s="2" t="s">
        <v>9</v>
      </c>
      <c r="C7882" s="2">
        <v>8</v>
      </c>
    </row>
    <row r="7883" spans="1:3" x14ac:dyDescent="0.25">
      <c r="A7883" s="3">
        <v>41384</v>
      </c>
      <c r="B7883" s="2" t="s">
        <v>3</v>
      </c>
      <c r="C7883" s="2">
        <v>28</v>
      </c>
    </row>
    <row r="7884" spans="1:3" x14ac:dyDescent="0.25">
      <c r="A7884" s="3">
        <v>41943</v>
      </c>
      <c r="B7884" s="2" t="s">
        <v>22</v>
      </c>
      <c r="C7884" s="2">
        <v>20</v>
      </c>
    </row>
    <row r="7885" spans="1:3" x14ac:dyDescent="0.25">
      <c r="A7885" s="3">
        <v>41454</v>
      </c>
      <c r="B7885" s="2" t="s">
        <v>12</v>
      </c>
      <c r="C7885" s="2">
        <v>51</v>
      </c>
    </row>
    <row r="7886" spans="1:3" x14ac:dyDescent="0.25">
      <c r="A7886" s="3">
        <v>41683</v>
      </c>
      <c r="B7886" s="2" t="s">
        <v>4</v>
      </c>
      <c r="C7886" s="2">
        <v>12</v>
      </c>
    </row>
    <row r="7887" spans="1:3" x14ac:dyDescent="0.25">
      <c r="A7887" s="3">
        <v>41545</v>
      </c>
      <c r="B7887" s="2" t="s">
        <v>36</v>
      </c>
      <c r="C7887" s="2">
        <v>21</v>
      </c>
    </row>
    <row r="7888" spans="1:3" x14ac:dyDescent="0.25">
      <c r="A7888" s="3">
        <v>41386</v>
      </c>
      <c r="B7888" s="2" t="s">
        <v>17</v>
      </c>
      <c r="C7888" s="2">
        <v>31</v>
      </c>
    </row>
    <row r="7889" spans="1:3" x14ac:dyDescent="0.25">
      <c r="A7889" s="3">
        <v>41377</v>
      </c>
      <c r="B7889" s="2" t="s">
        <v>22</v>
      </c>
      <c r="C7889" s="2">
        <v>11</v>
      </c>
    </row>
    <row r="7890" spans="1:3" x14ac:dyDescent="0.25">
      <c r="A7890" s="3">
        <v>41945</v>
      </c>
      <c r="B7890" s="2" t="s">
        <v>47</v>
      </c>
      <c r="C7890" s="2">
        <v>20</v>
      </c>
    </row>
    <row r="7891" spans="1:3" x14ac:dyDescent="0.25">
      <c r="A7891" s="3">
        <v>41735</v>
      </c>
      <c r="B7891" s="2" t="s">
        <v>10</v>
      </c>
      <c r="C7891" s="2">
        <v>19</v>
      </c>
    </row>
    <row r="7892" spans="1:3" x14ac:dyDescent="0.25">
      <c r="A7892" s="3">
        <v>41665</v>
      </c>
      <c r="B7892" s="2" t="s">
        <v>17</v>
      </c>
      <c r="C7892" s="2">
        <v>20</v>
      </c>
    </row>
    <row r="7893" spans="1:3" x14ac:dyDescent="0.25">
      <c r="A7893" s="3">
        <v>41893</v>
      </c>
      <c r="B7893" s="2" t="s">
        <v>24</v>
      </c>
      <c r="C7893" s="2">
        <v>26</v>
      </c>
    </row>
    <row r="7894" spans="1:3" x14ac:dyDescent="0.25">
      <c r="A7894" s="3">
        <v>41873</v>
      </c>
      <c r="B7894" s="2" t="s">
        <v>12</v>
      </c>
      <c r="C7894" s="2">
        <v>6</v>
      </c>
    </row>
    <row r="7895" spans="1:3" x14ac:dyDescent="0.25">
      <c r="A7895" s="3">
        <v>41544</v>
      </c>
      <c r="B7895" s="2" t="s">
        <v>35</v>
      </c>
      <c r="C7895" s="2">
        <v>5</v>
      </c>
    </row>
    <row r="7896" spans="1:3" x14ac:dyDescent="0.25">
      <c r="A7896" s="3">
        <v>41338</v>
      </c>
      <c r="B7896" s="2" t="s">
        <v>32</v>
      </c>
      <c r="C7896" s="2">
        <v>13</v>
      </c>
    </row>
    <row r="7897" spans="1:3" x14ac:dyDescent="0.25">
      <c r="A7897" s="3">
        <v>41507</v>
      </c>
      <c r="B7897" s="2" t="s">
        <v>26</v>
      </c>
      <c r="C7897" s="2">
        <v>31</v>
      </c>
    </row>
    <row r="7898" spans="1:3" x14ac:dyDescent="0.25">
      <c r="A7898" s="3">
        <v>41390</v>
      </c>
      <c r="B7898" s="2" t="s">
        <v>8</v>
      </c>
      <c r="C7898" s="2">
        <v>22</v>
      </c>
    </row>
    <row r="7899" spans="1:3" x14ac:dyDescent="0.25">
      <c r="A7899" s="3">
        <v>41945</v>
      </c>
      <c r="B7899" s="2" t="s">
        <v>25</v>
      </c>
      <c r="C7899" s="2">
        <v>20</v>
      </c>
    </row>
    <row r="7900" spans="1:3" x14ac:dyDescent="0.25">
      <c r="A7900" s="3">
        <v>41883</v>
      </c>
      <c r="B7900" s="2" t="s">
        <v>17</v>
      </c>
      <c r="C7900" s="2">
        <v>6</v>
      </c>
    </row>
    <row r="7901" spans="1:3" x14ac:dyDescent="0.25">
      <c r="A7901" s="3">
        <v>41428</v>
      </c>
      <c r="B7901" s="2" t="s">
        <v>21</v>
      </c>
      <c r="C7901" s="2">
        <v>44</v>
      </c>
    </row>
    <row r="7902" spans="1:3" x14ac:dyDescent="0.25">
      <c r="A7902" s="3">
        <v>41322</v>
      </c>
      <c r="B7902" s="2" t="s">
        <v>18</v>
      </c>
      <c r="C7902" s="2">
        <v>23</v>
      </c>
    </row>
    <row r="7903" spans="1:3" x14ac:dyDescent="0.25">
      <c r="A7903" s="3">
        <v>41564</v>
      </c>
      <c r="B7903" s="2" t="s">
        <v>29</v>
      </c>
      <c r="C7903" s="2">
        <v>24</v>
      </c>
    </row>
    <row r="7904" spans="1:3" x14ac:dyDescent="0.25">
      <c r="A7904" s="3">
        <v>41884</v>
      </c>
      <c r="B7904" s="2" t="s">
        <v>26</v>
      </c>
      <c r="C7904" s="2">
        <v>27</v>
      </c>
    </row>
    <row r="7905" spans="1:3" x14ac:dyDescent="0.25">
      <c r="A7905" s="3">
        <v>41924</v>
      </c>
      <c r="B7905" s="2" t="s">
        <v>20</v>
      </c>
      <c r="C7905" s="2">
        <v>24</v>
      </c>
    </row>
    <row r="7906" spans="1:3" x14ac:dyDescent="0.25">
      <c r="A7906" s="3">
        <v>41824</v>
      </c>
      <c r="B7906" s="2" t="s">
        <v>26</v>
      </c>
      <c r="C7906" s="2">
        <v>42</v>
      </c>
    </row>
    <row r="7907" spans="1:3" x14ac:dyDescent="0.25">
      <c r="A7907" s="3">
        <v>41379</v>
      </c>
      <c r="B7907" s="2" t="s">
        <v>26</v>
      </c>
      <c r="C7907" s="2">
        <v>19</v>
      </c>
    </row>
    <row r="7908" spans="1:3" x14ac:dyDescent="0.25">
      <c r="A7908" s="3">
        <v>41793</v>
      </c>
      <c r="B7908" s="2" t="s">
        <v>40</v>
      </c>
      <c r="C7908" s="2">
        <v>28</v>
      </c>
    </row>
    <row r="7909" spans="1:3" x14ac:dyDescent="0.25">
      <c r="A7909" s="3">
        <v>41410</v>
      </c>
      <c r="B7909" s="2" t="s">
        <v>45</v>
      </c>
      <c r="C7909" s="2">
        <v>51</v>
      </c>
    </row>
    <row r="7910" spans="1:3" x14ac:dyDescent="0.25">
      <c r="A7910" s="3">
        <v>41938</v>
      </c>
      <c r="B7910" s="2" t="s">
        <v>39</v>
      </c>
      <c r="C7910" s="2">
        <v>13</v>
      </c>
    </row>
    <row r="7911" spans="1:3" x14ac:dyDescent="0.25">
      <c r="A7911" s="3">
        <v>41881</v>
      </c>
      <c r="B7911" s="2" t="s">
        <v>2</v>
      </c>
      <c r="C7911" s="2">
        <v>41</v>
      </c>
    </row>
    <row r="7912" spans="1:3" x14ac:dyDescent="0.25">
      <c r="A7912" s="3">
        <v>41936</v>
      </c>
      <c r="B7912" s="2" t="s">
        <v>31</v>
      </c>
      <c r="C7912" s="2">
        <v>4</v>
      </c>
    </row>
    <row r="7913" spans="1:3" x14ac:dyDescent="0.25">
      <c r="A7913" s="3">
        <v>41460</v>
      </c>
      <c r="B7913" s="2" t="s">
        <v>36</v>
      </c>
      <c r="C7913" s="2">
        <v>39</v>
      </c>
    </row>
    <row r="7914" spans="1:3" x14ac:dyDescent="0.25">
      <c r="A7914" s="3">
        <v>41955</v>
      </c>
      <c r="B7914" s="2" t="s">
        <v>25</v>
      </c>
      <c r="C7914" s="2">
        <v>13</v>
      </c>
    </row>
    <row r="7915" spans="1:3" x14ac:dyDescent="0.25">
      <c r="A7915" s="3">
        <v>41548</v>
      </c>
      <c r="B7915" s="2" t="s">
        <v>4</v>
      </c>
      <c r="C7915" s="2">
        <v>41</v>
      </c>
    </row>
    <row r="7916" spans="1:3" x14ac:dyDescent="0.25">
      <c r="A7916" s="3">
        <v>41629</v>
      </c>
      <c r="B7916" s="2" t="s">
        <v>41</v>
      </c>
      <c r="C7916" s="2">
        <v>2</v>
      </c>
    </row>
    <row r="7917" spans="1:3" x14ac:dyDescent="0.25">
      <c r="A7917" s="3">
        <v>41365</v>
      </c>
      <c r="B7917" s="2" t="s">
        <v>46</v>
      </c>
      <c r="C7917" s="2">
        <v>44</v>
      </c>
    </row>
    <row r="7918" spans="1:3" x14ac:dyDescent="0.25">
      <c r="A7918" s="3">
        <v>41997</v>
      </c>
      <c r="B7918" s="2" t="s">
        <v>20</v>
      </c>
      <c r="C7918" s="2">
        <v>38</v>
      </c>
    </row>
    <row r="7919" spans="1:3" x14ac:dyDescent="0.25">
      <c r="A7919" s="3">
        <v>41514</v>
      </c>
      <c r="B7919" s="2" t="s">
        <v>32</v>
      </c>
      <c r="C7919" s="2">
        <v>4</v>
      </c>
    </row>
    <row r="7920" spans="1:3" x14ac:dyDescent="0.25">
      <c r="A7920" s="3">
        <v>41477</v>
      </c>
      <c r="B7920" s="2" t="s">
        <v>51</v>
      </c>
      <c r="C7920" s="2">
        <v>42</v>
      </c>
    </row>
    <row r="7921" spans="1:3" x14ac:dyDescent="0.25">
      <c r="A7921" s="3">
        <v>41553</v>
      </c>
      <c r="B7921" s="2" t="s">
        <v>19</v>
      </c>
      <c r="C7921" s="2">
        <v>0</v>
      </c>
    </row>
    <row r="7922" spans="1:3" x14ac:dyDescent="0.25">
      <c r="A7922" s="3">
        <v>41756</v>
      </c>
      <c r="B7922" s="2" t="s">
        <v>13</v>
      </c>
      <c r="C7922" s="2">
        <v>32</v>
      </c>
    </row>
    <row r="7923" spans="1:3" x14ac:dyDescent="0.25">
      <c r="A7923" s="3">
        <v>41424</v>
      </c>
      <c r="B7923" s="2" t="s">
        <v>3</v>
      </c>
      <c r="C7923" s="2">
        <v>23</v>
      </c>
    </row>
    <row r="7924" spans="1:3" x14ac:dyDescent="0.25">
      <c r="A7924" s="3">
        <v>41618</v>
      </c>
      <c r="B7924" s="2" t="s">
        <v>20</v>
      </c>
      <c r="C7924" s="2">
        <v>17</v>
      </c>
    </row>
    <row r="7925" spans="1:3" x14ac:dyDescent="0.25">
      <c r="A7925" s="3">
        <v>41546</v>
      </c>
      <c r="B7925" s="2" t="s">
        <v>18</v>
      </c>
      <c r="C7925" s="2">
        <v>30</v>
      </c>
    </row>
    <row r="7926" spans="1:3" x14ac:dyDescent="0.25">
      <c r="A7926" s="3">
        <v>41995</v>
      </c>
      <c r="B7926" s="2" t="s">
        <v>19</v>
      </c>
      <c r="C7926" s="2">
        <v>1</v>
      </c>
    </row>
    <row r="7927" spans="1:3" x14ac:dyDescent="0.25">
      <c r="A7927" s="3">
        <v>41507</v>
      </c>
      <c r="B7927" s="2" t="s">
        <v>5</v>
      </c>
      <c r="C7927" s="2">
        <v>23</v>
      </c>
    </row>
    <row r="7928" spans="1:3" x14ac:dyDescent="0.25">
      <c r="A7928" s="3">
        <v>41998</v>
      </c>
      <c r="B7928" s="2" t="s">
        <v>9</v>
      </c>
      <c r="C7928" s="2">
        <v>45</v>
      </c>
    </row>
    <row r="7929" spans="1:3" x14ac:dyDescent="0.25">
      <c r="A7929" s="3">
        <v>41849</v>
      </c>
      <c r="B7929" s="2" t="s">
        <v>33</v>
      </c>
      <c r="C7929" s="2">
        <v>36</v>
      </c>
    </row>
    <row r="7930" spans="1:3" x14ac:dyDescent="0.25">
      <c r="A7930" s="3">
        <v>41942</v>
      </c>
      <c r="B7930" s="2" t="s">
        <v>4</v>
      </c>
      <c r="C7930" s="2">
        <v>36</v>
      </c>
    </row>
    <row r="7931" spans="1:3" x14ac:dyDescent="0.25">
      <c r="A7931" s="3">
        <v>41844</v>
      </c>
      <c r="B7931" s="2" t="s">
        <v>26</v>
      </c>
      <c r="C7931" s="2">
        <v>16</v>
      </c>
    </row>
    <row r="7932" spans="1:3" x14ac:dyDescent="0.25">
      <c r="A7932" s="3">
        <v>41380</v>
      </c>
      <c r="B7932" s="2" t="s">
        <v>12</v>
      </c>
      <c r="C7932" s="2">
        <v>14</v>
      </c>
    </row>
    <row r="7933" spans="1:3" x14ac:dyDescent="0.25">
      <c r="A7933" s="3">
        <v>41877</v>
      </c>
      <c r="B7933" s="2" t="s">
        <v>9</v>
      </c>
      <c r="C7933" s="2">
        <v>19</v>
      </c>
    </row>
    <row r="7934" spans="1:3" x14ac:dyDescent="0.25">
      <c r="A7934" s="3">
        <v>41464</v>
      </c>
      <c r="B7934" s="2" t="s">
        <v>7</v>
      </c>
      <c r="C7934" s="2">
        <v>29</v>
      </c>
    </row>
    <row r="7935" spans="1:3" x14ac:dyDescent="0.25">
      <c r="A7935" s="3">
        <v>41325</v>
      </c>
      <c r="B7935" s="2" t="s">
        <v>6</v>
      </c>
      <c r="C7935" s="2">
        <v>16</v>
      </c>
    </row>
    <row r="7936" spans="1:3" x14ac:dyDescent="0.25">
      <c r="A7936" s="3">
        <v>41780</v>
      </c>
      <c r="B7936" s="2" t="s">
        <v>23</v>
      </c>
      <c r="C7936" s="2">
        <v>23</v>
      </c>
    </row>
    <row r="7937" spans="1:3" x14ac:dyDescent="0.25">
      <c r="A7937" s="3">
        <v>41490</v>
      </c>
      <c r="B7937" s="2" t="s">
        <v>5</v>
      </c>
      <c r="C7937" s="2">
        <v>49</v>
      </c>
    </row>
    <row r="7938" spans="1:3" x14ac:dyDescent="0.25">
      <c r="A7938" s="3">
        <v>41946</v>
      </c>
      <c r="B7938" s="2" t="s">
        <v>22</v>
      </c>
      <c r="C7938" s="2">
        <v>40</v>
      </c>
    </row>
    <row r="7939" spans="1:3" x14ac:dyDescent="0.25">
      <c r="A7939" s="3">
        <v>41949</v>
      </c>
      <c r="B7939" s="2" t="s">
        <v>20</v>
      </c>
      <c r="C7939" s="2">
        <v>50</v>
      </c>
    </row>
    <row r="7940" spans="1:3" x14ac:dyDescent="0.25">
      <c r="A7940" s="3">
        <v>41504</v>
      </c>
      <c r="B7940" s="2" t="s">
        <v>8</v>
      </c>
      <c r="C7940" s="2">
        <v>11</v>
      </c>
    </row>
    <row r="7941" spans="1:3" x14ac:dyDescent="0.25">
      <c r="A7941" s="3">
        <v>41293</v>
      </c>
      <c r="B7941" s="2" t="s">
        <v>44</v>
      </c>
      <c r="C7941" s="2">
        <v>40</v>
      </c>
    </row>
    <row r="7942" spans="1:3" x14ac:dyDescent="0.25">
      <c r="A7942" s="3">
        <v>41594</v>
      </c>
      <c r="B7942" s="2" t="s">
        <v>25</v>
      </c>
      <c r="C7942" s="2">
        <v>6</v>
      </c>
    </row>
    <row r="7943" spans="1:3" x14ac:dyDescent="0.25">
      <c r="A7943" s="3">
        <v>41739</v>
      </c>
      <c r="B7943" s="2" t="s">
        <v>35</v>
      </c>
      <c r="C7943" s="2">
        <v>34</v>
      </c>
    </row>
    <row r="7944" spans="1:3" x14ac:dyDescent="0.25">
      <c r="A7944" s="3">
        <v>41501</v>
      </c>
      <c r="B7944" s="2" t="s">
        <v>50</v>
      </c>
      <c r="C7944" s="2">
        <v>42</v>
      </c>
    </row>
    <row r="7945" spans="1:3" x14ac:dyDescent="0.25">
      <c r="A7945" s="3">
        <v>41969</v>
      </c>
      <c r="B7945" s="2" t="s">
        <v>21</v>
      </c>
      <c r="C7945" s="2">
        <v>38</v>
      </c>
    </row>
    <row r="7946" spans="1:3" x14ac:dyDescent="0.25">
      <c r="A7946" s="3">
        <v>41693</v>
      </c>
      <c r="B7946" s="2" t="s">
        <v>49</v>
      </c>
      <c r="C7946" s="2">
        <v>25</v>
      </c>
    </row>
    <row r="7947" spans="1:3" x14ac:dyDescent="0.25">
      <c r="A7947" s="3">
        <v>41700</v>
      </c>
      <c r="B7947" s="2" t="s">
        <v>6</v>
      </c>
      <c r="C7947" s="2">
        <v>24</v>
      </c>
    </row>
    <row r="7948" spans="1:3" x14ac:dyDescent="0.25">
      <c r="A7948" s="3">
        <v>41602</v>
      </c>
      <c r="B7948" s="2" t="s">
        <v>24</v>
      </c>
      <c r="C7948" s="2">
        <v>23</v>
      </c>
    </row>
    <row r="7949" spans="1:3" x14ac:dyDescent="0.25">
      <c r="A7949" s="3">
        <v>41280</v>
      </c>
      <c r="B7949" s="2" t="s">
        <v>32</v>
      </c>
      <c r="C7949" s="2">
        <v>14</v>
      </c>
    </row>
    <row r="7950" spans="1:3" x14ac:dyDescent="0.25">
      <c r="A7950" s="3">
        <v>41932</v>
      </c>
      <c r="B7950" s="2" t="s">
        <v>18</v>
      </c>
      <c r="C7950" s="2">
        <v>38</v>
      </c>
    </row>
    <row r="7951" spans="1:3" x14ac:dyDescent="0.25">
      <c r="A7951" s="3">
        <v>41674</v>
      </c>
      <c r="B7951" s="2" t="s">
        <v>36</v>
      </c>
      <c r="C7951" s="2">
        <v>50</v>
      </c>
    </row>
    <row r="7952" spans="1:3" x14ac:dyDescent="0.25">
      <c r="A7952" s="3">
        <v>41819</v>
      </c>
      <c r="B7952" s="2" t="s">
        <v>13</v>
      </c>
      <c r="C7952" s="2">
        <v>41</v>
      </c>
    </row>
    <row r="7953" spans="1:3" x14ac:dyDescent="0.25">
      <c r="A7953" s="3">
        <v>41606</v>
      </c>
      <c r="B7953" s="2" t="s">
        <v>7</v>
      </c>
      <c r="C7953" s="2">
        <v>28</v>
      </c>
    </row>
    <row r="7954" spans="1:3" x14ac:dyDescent="0.25">
      <c r="A7954" s="3">
        <v>41915</v>
      </c>
      <c r="B7954" s="2" t="s">
        <v>14</v>
      </c>
      <c r="C7954" s="2">
        <v>39</v>
      </c>
    </row>
    <row r="7955" spans="1:3" x14ac:dyDescent="0.25">
      <c r="A7955" s="3">
        <v>41376</v>
      </c>
      <c r="B7955" s="2" t="s">
        <v>17</v>
      </c>
      <c r="C7955" s="2">
        <v>14</v>
      </c>
    </row>
    <row r="7956" spans="1:3" x14ac:dyDescent="0.25">
      <c r="A7956" s="3">
        <v>41714</v>
      </c>
      <c r="B7956" s="2" t="s">
        <v>28</v>
      </c>
      <c r="C7956" s="2">
        <v>47</v>
      </c>
    </row>
    <row r="7957" spans="1:3" x14ac:dyDescent="0.25">
      <c r="A7957" s="3">
        <v>41503</v>
      </c>
      <c r="B7957" s="2" t="s">
        <v>16</v>
      </c>
      <c r="C7957" s="2">
        <v>19</v>
      </c>
    </row>
    <row r="7958" spans="1:3" x14ac:dyDescent="0.25">
      <c r="A7958" s="3">
        <v>41833</v>
      </c>
      <c r="B7958" s="2" t="s">
        <v>31</v>
      </c>
      <c r="C7958" s="2">
        <v>32</v>
      </c>
    </row>
    <row r="7959" spans="1:3" x14ac:dyDescent="0.25">
      <c r="A7959" s="3">
        <v>42001</v>
      </c>
      <c r="B7959" s="2" t="s">
        <v>28</v>
      </c>
      <c r="C7959" s="2">
        <v>27</v>
      </c>
    </row>
    <row r="7960" spans="1:3" x14ac:dyDescent="0.25">
      <c r="A7960" s="3">
        <v>41622</v>
      </c>
      <c r="B7960" s="2" t="s">
        <v>32</v>
      </c>
      <c r="C7960" s="2">
        <v>36</v>
      </c>
    </row>
    <row r="7961" spans="1:3" x14ac:dyDescent="0.25">
      <c r="A7961" s="3">
        <v>41803</v>
      </c>
      <c r="B7961" s="2" t="s">
        <v>20</v>
      </c>
      <c r="C7961" s="2">
        <v>11</v>
      </c>
    </row>
    <row r="7962" spans="1:3" x14ac:dyDescent="0.25">
      <c r="A7962" s="3">
        <v>41627</v>
      </c>
      <c r="B7962" s="2" t="s">
        <v>51</v>
      </c>
      <c r="C7962" s="2">
        <v>20</v>
      </c>
    </row>
    <row r="7963" spans="1:3" x14ac:dyDescent="0.25">
      <c r="A7963" s="3">
        <v>41848</v>
      </c>
      <c r="B7963" s="2" t="s">
        <v>39</v>
      </c>
      <c r="C7963" s="2">
        <v>6</v>
      </c>
    </row>
    <row r="7964" spans="1:3" x14ac:dyDescent="0.25">
      <c r="A7964" s="3">
        <v>41975</v>
      </c>
      <c r="B7964" s="2" t="s">
        <v>35</v>
      </c>
      <c r="C7964" s="2">
        <v>23</v>
      </c>
    </row>
    <row r="7965" spans="1:3" x14ac:dyDescent="0.25">
      <c r="A7965" s="3">
        <v>41711</v>
      </c>
      <c r="B7965" s="2" t="s">
        <v>30</v>
      </c>
      <c r="C7965" s="2">
        <v>20</v>
      </c>
    </row>
    <row r="7966" spans="1:3" x14ac:dyDescent="0.25">
      <c r="A7966" s="3">
        <v>41950</v>
      </c>
      <c r="B7966" s="2" t="s">
        <v>38</v>
      </c>
      <c r="C7966" s="2">
        <v>40</v>
      </c>
    </row>
    <row r="7967" spans="1:3" x14ac:dyDescent="0.25">
      <c r="A7967" s="3">
        <v>41755</v>
      </c>
      <c r="B7967" s="2" t="s">
        <v>51</v>
      </c>
      <c r="C7967" s="2">
        <v>30</v>
      </c>
    </row>
    <row r="7968" spans="1:3" x14ac:dyDescent="0.25">
      <c r="A7968" s="3">
        <v>41470</v>
      </c>
      <c r="B7968" s="2" t="s">
        <v>42</v>
      </c>
      <c r="C7968" s="2">
        <v>27</v>
      </c>
    </row>
    <row r="7969" spans="1:3" x14ac:dyDescent="0.25">
      <c r="A7969" s="3">
        <v>41294</v>
      </c>
      <c r="B7969" s="2" t="s">
        <v>17</v>
      </c>
      <c r="C7969" s="2">
        <v>41</v>
      </c>
    </row>
    <row r="7970" spans="1:3" x14ac:dyDescent="0.25">
      <c r="A7970" s="3">
        <v>41952</v>
      </c>
      <c r="B7970" s="2" t="s">
        <v>46</v>
      </c>
      <c r="C7970" s="2">
        <v>0</v>
      </c>
    </row>
    <row r="7971" spans="1:3" x14ac:dyDescent="0.25">
      <c r="A7971" s="3">
        <v>41428</v>
      </c>
      <c r="B7971" s="2" t="s">
        <v>24</v>
      </c>
      <c r="C7971" s="2">
        <v>32</v>
      </c>
    </row>
    <row r="7972" spans="1:3" x14ac:dyDescent="0.25">
      <c r="A7972" s="3">
        <v>41534</v>
      </c>
      <c r="B7972" s="2" t="s">
        <v>8</v>
      </c>
      <c r="C7972" s="2">
        <v>32</v>
      </c>
    </row>
    <row r="7973" spans="1:3" x14ac:dyDescent="0.25">
      <c r="A7973" s="3">
        <v>41800</v>
      </c>
      <c r="B7973" s="2" t="s">
        <v>42</v>
      </c>
      <c r="C7973" s="2">
        <v>50</v>
      </c>
    </row>
    <row r="7974" spans="1:3" x14ac:dyDescent="0.25">
      <c r="A7974" s="3">
        <v>41346</v>
      </c>
      <c r="B7974" s="2" t="s">
        <v>21</v>
      </c>
      <c r="C7974" s="2">
        <v>14</v>
      </c>
    </row>
    <row r="7975" spans="1:3" x14ac:dyDescent="0.25">
      <c r="A7975" s="3">
        <v>41527</v>
      </c>
      <c r="B7975" s="2" t="s">
        <v>8</v>
      </c>
      <c r="C7975" s="2">
        <v>32</v>
      </c>
    </row>
    <row r="7976" spans="1:3" x14ac:dyDescent="0.25">
      <c r="A7976" s="3">
        <v>41782</v>
      </c>
      <c r="B7976" s="2" t="s">
        <v>25</v>
      </c>
      <c r="C7976" s="2">
        <v>24</v>
      </c>
    </row>
    <row r="7977" spans="1:3" x14ac:dyDescent="0.25">
      <c r="A7977" s="3">
        <v>41938</v>
      </c>
      <c r="B7977" s="2" t="s">
        <v>33</v>
      </c>
      <c r="C7977" s="2">
        <v>30</v>
      </c>
    </row>
    <row r="7978" spans="1:3" x14ac:dyDescent="0.25">
      <c r="A7978" s="3">
        <v>41490</v>
      </c>
      <c r="B7978" s="2" t="s">
        <v>38</v>
      </c>
      <c r="C7978" s="2">
        <v>52</v>
      </c>
    </row>
    <row r="7979" spans="1:3" x14ac:dyDescent="0.25">
      <c r="A7979" s="3">
        <v>41956</v>
      </c>
      <c r="B7979" s="2" t="s">
        <v>17</v>
      </c>
      <c r="C7979" s="2">
        <v>52</v>
      </c>
    </row>
    <row r="7980" spans="1:3" x14ac:dyDescent="0.25">
      <c r="A7980" s="3">
        <v>41457</v>
      </c>
      <c r="B7980" s="2" t="s">
        <v>8</v>
      </c>
      <c r="C7980" s="2">
        <v>22</v>
      </c>
    </row>
    <row r="7981" spans="1:3" x14ac:dyDescent="0.25">
      <c r="A7981" s="3">
        <v>41381</v>
      </c>
      <c r="B7981" s="2" t="s">
        <v>6</v>
      </c>
      <c r="C7981" s="2">
        <v>45</v>
      </c>
    </row>
    <row r="7982" spans="1:3" x14ac:dyDescent="0.25">
      <c r="A7982" s="3">
        <v>41934</v>
      </c>
      <c r="B7982" s="2" t="s">
        <v>48</v>
      </c>
      <c r="C7982" s="2">
        <v>29</v>
      </c>
    </row>
    <row r="7983" spans="1:3" x14ac:dyDescent="0.25">
      <c r="A7983" s="3">
        <v>41940</v>
      </c>
      <c r="B7983" s="2" t="s">
        <v>6</v>
      </c>
      <c r="C7983" s="2">
        <v>31</v>
      </c>
    </row>
    <row r="7984" spans="1:3" x14ac:dyDescent="0.25">
      <c r="A7984" s="3">
        <v>41817</v>
      </c>
      <c r="B7984" s="2" t="s">
        <v>38</v>
      </c>
      <c r="C7984" s="2">
        <v>28</v>
      </c>
    </row>
    <row r="7985" spans="1:3" x14ac:dyDescent="0.25">
      <c r="A7985" s="3">
        <v>41936</v>
      </c>
      <c r="B7985" s="2" t="s">
        <v>3</v>
      </c>
      <c r="C7985" s="2">
        <v>55</v>
      </c>
    </row>
    <row r="7986" spans="1:3" x14ac:dyDescent="0.25">
      <c r="A7986" s="3">
        <v>41536</v>
      </c>
      <c r="B7986" s="2" t="s">
        <v>21</v>
      </c>
      <c r="C7986" s="2">
        <v>28</v>
      </c>
    </row>
    <row r="7987" spans="1:3" x14ac:dyDescent="0.25">
      <c r="A7987" s="3">
        <v>41689</v>
      </c>
      <c r="B7987" s="2" t="s">
        <v>19</v>
      </c>
      <c r="C7987" s="2">
        <v>12</v>
      </c>
    </row>
    <row r="7988" spans="1:3" x14ac:dyDescent="0.25">
      <c r="A7988" s="3">
        <v>41612</v>
      </c>
      <c r="B7988" s="2" t="s">
        <v>17</v>
      </c>
      <c r="C7988" s="2">
        <v>43</v>
      </c>
    </row>
    <row r="7989" spans="1:3" x14ac:dyDescent="0.25">
      <c r="A7989" s="3">
        <v>41776</v>
      </c>
      <c r="B7989" s="2" t="s">
        <v>39</v>
      </c>
      <c r="C7989" s="2">
        <v>31</v>
      </c>
    </row>
    <row r="7990" spans="1:3" x14ac:dyDescent="0.25">
      <c r="A7990" s="3">
        <v>41537</v>
      </c>
      <c r="B7990" s="2" t="s">
        <v>40</v>
      </c>
      <c r="C7990" s="2">
        <v>10</v>
      </c>
    </row>
    <row r="7991" spans="1:3" x14ac:dyDescent="0.25">
      <c r="A7991" s="3">
        <v>42001</v>
      </c>
      <c r="B7991" s="2" t="s">
        <v>39</v>
      </c>
      <c r="C7991" s="2">
        <v>16</v>
      </c>
    </row>
    <row r="7992" spans="1:3" x14ac:dyDescent="0.25">
      <c r="A7992" s="3">
        <v>41881</v>
      </c>
      <c r="B7992" s="2" t="s">
        <v>45</v>
      </c>
      <c r="C7992" s="2">
        <v>50</v>
      </c>
    </row>
    <row r="7993" spans="1:3" x14ac:dyDescent="0.25">
      <c r="A7993" s="3">
        <v>41880</v>
      </c>
      <c r="B7993" s="2" t="s">
        <v>24</v>
      </c>
      <c r="C7993" s="2">
        <v>8</v>
      </c>
    </row>
    <row r="7994" spans="1:3" x14ac:dyDescent="0.25">
      <c r="A7994" s="3">
        <v>41789</v>
      </c>
      <c r="B7994" s="2" t="s">
        <v>22</v>
      </c>
      <c r="C7994" s="2">
        <v>8</v>
      </c>
    </row>
    <row r="7995" spans="1:3" x14ac:dyDescent="0.25">
      <c r="A7995" s="3">
        <v>41570</v>
      </c>
      <c r="B7995" s="2" t="s">
        <v>21</v>
      </c>
      <c r="C7995" s="2">
        <v>34</v>
      </c>
    </row>
    <row r="7996" spans="1:3" x14ac:dyDescent="0.25">
      <c r="A7996" s="3">
        <v>41900</v>
      </c>
      <c r="B7996" s="2" t="s">
        <v>8</v>
      </c>
      <c r="C7996" s="2">
        <v>28</v>
      </c>
    </row>
    <row r="7997" spans="1:3" x14ac:dyDescent="0.25">
      <c r="A7997" s="3">
        <v>41491</v>
      </c>
      <c r="B7997" s="2" t="s">
        <v>6</v>
      </c>
      <c r="C7997" s="2">
        <v>17</v>
      </c>
    </row>
    <row r="7998" spans="1:3" x14ac:dyDescent="0.25">
      <c r="A7998" s="3">
        <v>41362</v>
      </c>
      <c r="B7998" s="2" t="s">
        <v>51</v>
      </c>
      <c r="C7998" s="2">
        <v>7</v>
      </c>
    </row>
    <row r="7999" spans="1:3" x14ac:dyDescent="0.25">
      <c r="A7999" s="3">
        <v>41483</v>
      </c>
      <c r="B7999" s="2" t="s">
        <v>9</v>
      </c>
      <c r="C7999" s="2">
        <v>21</v>
      </c>
    </row>
    <row r="8000" spans="1:3" x14ac:dyDescent="0.25">
      <c r="A8000" s="3">
        <v>41482</v>
      </c>
      <c r="B8000" s="2" t="s">
        <v>13</v>
      </c>
      <c r="C8000" s="2">
        <v>29</v>
      </c>
    </row>
    <row r="8001" spans="1:3" x14ac:dyDescent="0.25">
      <c r="A8001" s="3">
        <v>41359</v>
      </c>
      <c r="B8001" s="2" t="s">
        <v>29</v>
      </c>
      <c r="C8001" s="2">
        <v>29</v>
      </c>
    </row>
    <row r="8002" spans="1:3" x14ac:dyDescent="0.25">
      <c r="A8002" s="3">
        <v>41692</v>
      </c>
      <c r="B8002" s="2" t="s">
        <v>34</v>
      </c>
      <c r="C8002" s="2">
        <v>46</v>
      </c>
    </row>
    <row r="8003" spans="1:3" x14ac:dyDescent="0.25">
      <c r="A8003" s="3">
        <v>41651</v>
      </c>
      <c r="B8003" s="2" t="s">
        <v>4</v>
      </c>
      <c r="C8003" s="2">
        <v>22</v>
      </c>
    </row>
    <row r="8004" spans="1:3" x14ac:dyDescent="0.25">
      <c r="A8004" s="3">
        <v>41511</v>
      </c>
      <c r="B8004" s="2" t="s">
        <v>48</v>
      </c>
      <c r="C8004" s="2">
        <v>31</v>
      </c>
    </row>
    <row r="8005" spans="1:3" x14ac:dyDescent="0.25">
      <c r="A8005" s="3">
        <v>41333</v>
      </c>
      <c r="B8005" s="2" t="s">
        <v>37</v>
      </c>
      <c r="C8005" s="2">
        <v>41</v>
      </c>
    </row>
    <row r="8006" spans="1:3" x14ac:dyDescent="0.25">
      <c r="A8006" s="3">
        <v>41926</v>
      </c>
      <c r="B8006" s="2" t="s">
        <v>28</v>
      </c>
      <c r="C8006" s="2">
        <v>13</v>
      </c>
    </row>
    <row r="8007" spans="1:3" x14ac:dyDescent="0.25">
      <c r="A8007" s="3">
        <v>41954</v>
      </c>
      <c r="B8007" s="2" t="s">
        <v>33</v>
      </c>
      <c r="C8007" s="2">
        <v>26</v>
      </c>
    </row>
    <row r="8008" spans="1:3" x14ac:dyDescent="0.25">
      <c r="A8008" s="3">
        <v>41403</v>
      </c>
      <c r="B8008" s="2" t="s">
        <v>17</v>
      </c>
      <c r="C8008" s="2">
        <v>36</v>
      </c>
    </row>
    <row r="8009" spans="1:3" x14ac:dyDescent="0.25">
      <c r="A8009" s="3">
        <v>41470</v>
      </c>
      <c r="B8009" s="2" t="s">
        <v>31</v>
      </c>
      <c r="C8009" s="2">
        <v>21</v>
      </c>
    </row>
    <row r="8010" spans="1:3" x14ac:dyDescent="0.25">
      <c r="A8010" s="3">
        <v>41568</v>
      </c>
      <c r="B8010" s="2" t="s">
        <v>12</v>
      </c>
      <c r="C8010" s="2">
        <v>25</v>
      </c>
    </row>
    <row r="8011" spans="1:3" x14ac:dyDescent="0.25">
      <c r="A8011" s="3">
        <v>41334</v>
      </c>
      <c r="B8011" s="2" t="s">
        <v>46</v>
      </c>
      <c r="C8011" s="2">
        <v>49</v>
      </c>
    </row>
    <row r="8012" spans="1:3" x14ac:dyDescent="0.25">
      <c r="A8012" s="3">
        <v>41659</v>
      </c>
      <c r="B8012" s="2" t="s">
        <v>12</v>
      </c>
      <c r="C8012" s="2">
        <v>44</v>
      </c>
    </row>
    <row r="8013" spans="1:3" x14ac:dyDescent="0.25">
      <c r="A8013" s="3">
        <v>41958</v>
      </c>
      <c r="B8013" s="2" t="s">
        <v>2</v>
      </c>
      <c r="C8013" s="2">
        <v>7</v>
      </c>
    </row>
    <row r="8014" spans="1:3" x14ac:dyDescent="0.25">
      <c r="A8014" s="3">
        <v>41734</v>
      </c>
      <c r="B8014" s="2" t="s">
        <v>6</v>
      </c>
      <c r="C8014" s="2">
        <v>7</v>
      </c>
    </row>
    <row r="8015" spans="1:3" x14ac:dyDescent="0.25">
      <c r="A8015" s="3">
        <v>41766</v>
      </c>
      <c r="B8015" s="2" t="s">
        <v>18</v>
      </c>
      <c r="C8015" s="2">
        <v>18</v>
      </c>
    </row>
    <row r="8016" spans="1:3" x14ac:dyDescent="0.25">
      <c r="A8016" s="3">
        <v>41369</v>
      </c>
      <c r="B8016" s="2" t="s">
        <v>46</v>
      </c>
      <c r="C8016" s="2">
        <v>2</v>
      </c>
    </row>
    <row r="8017" spans="1:3" x14ac:dyDescent="0.25">
      <c r="A8017" s="3">
        <v>41730</v>
      </c>
      <c r="B8017" s="2" t="s">
        <v>24</v>
      </c>
      <c r="C8017" s="2">
        <v>13</v>
      </c>
    </row>
    <row r="8018" spans="1:3" x14ac:dyDescent="0.25">
      <c r="A8018" s="3">
        <v>41286</v>
      </c>
      <c r="B8018" s="2" t="s">
        <v>17</v>
      </c>
      <c r="C8018" s="2">
        <v>10</v>
      </c>
    </row>
    <row r="8019" spans="1:3" x14ac:dyDescent="0.25">
      <c r="A8019" s="3">
        <v>41801</v>
      </c>
      <c r="B8019" s="2" t="s">
        <v>42</v>
      </c>
      <c r="C8019" s="2">
        <v>37</v>
      </c>
    </row>
    <row r="8020" spans="1:3" x14ac:dyDescent="0.25">
      <c r="A8020" s="3">
        <v>41951</v>
      </c>
      <c r="B8020" s="2" t="s">
        <v>21</v>
      </c>
      <c r="C8020" s="2">
        <v>43</v>
      </c>
    </row>
    <row r="8021" spans="1:3" x14ac:dyDescent="0.25">
      <c r="A8021" s="3">
        <v>41371</v>
      </c>
      <c r="B8021" s="2" t="s">
        <v>34</v>
      </c>
      <c r="C8021" s="2">
        <v>0</v>
      </c>
    </row>
    <row r="8022" spans="1:3" x14ac:dyDescent="0.25">
      <c r="A8022" s="3">
        <v>41286</v>
      </c>
      <c r="B8022" s="2" t="s">
        <v>30</v>
      </c>
      <c r="C8022" s="2">
        <v>41</v>
      </c>
    </row>
    <row r="8023" spans="1:3" x14ac:dyDescent="0.25">
      <c r="A8023" s="3">
        <v>41400</v>
      </c>
      <c r="B8023" s="2" t="s">
        <v>35</v>
      </c>
      <c r="C8023" s="2">
        <v>25</v>
      </c>
    </row>
    <row r="8024" spans="1:3" x14ac:dyDescent="0.25">
      <c r="A8024" s="3">
        <v>41376</v>
      </c>
      <c r="B8024" s="2" t="s">
        <v>16</v>
      </c>
      <c r="C8024" s="2">
        <v>12</v>
      </c>
    </row>
    <row r="8025" spans="1:3" x14ac:dyDescent="0.25">
      <c r="A8025" s="3">
        <v>41655</v>
      </c>
      <c r="B8025" s="2" t="s">
        <v>50</v>
      </c>
      <c r="C8025" s="2">
        <v>36</v>
      </c>
    </row>
    <row r="8026" spans="1:3" x14ac:dyDescent="0.25">
      <c r="A8026" s="3">
        <v>41803</v>
      </c>
      <c r="B8026" s="2" t="s">
        <v>19</v>
      </c>
      <c r="C8026" s="2">
        <v>37</v>
      </c>
    </row>
    <row r="8027" spans="1:3" x14ac:dyDescent="0.25">
      <c r="A8027" s="3">
        <v>41422</v>
      </c>
      <c r="B8027" s="2" t="s">
        <v>42</v>
      </c>
      <c r="C8027" s="2">
        <v>29</v>
      </c>
    </row>
    <row r="8028" spans="1:3" x14ac:dyDescent="0.25">
      <c r="A8028" s="3">
        <v>41972</v>
      </c>
      <c r="B8028" s="2" t="s">
        <v>39</v>
      </c>
      <c r="C8028" s="2">
        <v>24</v>
      </c>
    </row>
    <row r="8029" spans="1:3" x14ac:dyDescent="0.25">
      <c r="A8029" s="3">
        <v>41636</v>
      </c>
      <c r="B8029" s="2" t="s">
        <v>41</v>
      </c>
      <c r="C8029" s="2">
        <v>36</v>
      </c>
    </row>
    <row r="8030" spans="1:3" x14ac:dyDescent="0.25">
      <c r="A8030" s="3">
        <v>41768</v>
      </c>
      <c r="B8030" s="2" t="s">
        <v>11</v>
      </c>
      <c r="C8030" s="2">
        <v>11</v>
      </c>
    </row>
    <row r="8031" spans="1:3" x14ac:dyDescent="0.25">
      <c r="A8031" s="3">
        <v>41642</v>
      </c>
      <c r="B8031" s="2" t="s">
        <v>21</v>
      </c>
      <c r="C8031" s="2">
        <v>29</v>
      </c>
    </row>
    <row r="8032" spans="1:3" x14ac:dyDescent="0.25">
      <c r="A8032" s="3">
        <v>41735</v>
      </c>
      <c r="B8032" s="2" t="s">
        <v>32</v>
      </c>
      <c r="C8032" s="2">
        <v>15</v>
      </c>
    </row>
    <row r="8033" spans="1:3" x14ac:dyDescent="0.25">
      <c r="A8033" s="3">
        <v>41741</v>
      </c>
      <c r="B8033" s="2" t="s">
        <v>14</v>
      </c>
      <c r="C8033" s="2">
        <v>24</v>
      </c>
    </row>
    <row r="8034" spans="1:3" x14ac:dyDescent="0.25">
      <c r="A8034" s="3">
        <v>41617</v>
      </c>
      <c r="B8034" s="2" t="s">
        <v>40</v>
      </c>
      <c r="C8034" s="2">
        <v>6</v>
      </c>
    </row>
    <row r="8035" spans="1:3" x14ac:dyDescent="0.25">
      <c r="A8035" s="3">
        <v>41948</v>
      </c>
      <c r="B8035" s="2" t="s">
        <v>14</v>
      </c>
      <c r="C8035" s="2">
        <v>13</v>
      </c>
    </row>
    <row r="8036" spans="1:3" x14ac:dyDescent="0.25">
      <c r="A8036" s="3">
        <v>41277</v>
      </c>
      <c r="B8036" s="2" t="s">
        <v>5</v>
      </c>
      <c r="C8036" s="2">
        <v>7</v>
      </c>
    </row>
    <row r="8037" spans="1:3" x14ac:dyDescent="0.25">
      <c r="A8037" s="3">
        <v>41539</v>
      </c>
      <c r="B8037" s="2" t="s">
        <v>18</v>
      </c>
      <c r="C8037" s="2">
        <v>46</v>
      </c>
    </row>
    <row r="8038" spans="1:3" x14ac:dyDescent="0.25">
      <c r="A8038" s="3">
        <v>41816</v>
      </c>
      <c r="B8038" s="2" t="s">
        <v>11</v>
      </c>
      <c r="C8038" s="2">
        <v>41</v>
      </c>
    </row>
    <row r="8039" spans="1:3" x14ac:dyDescent="0.25">
      <c r="A8039" s="3">
        <v>41596</v>
      </c>
      <c r="B8039" s="2" t="s">
        <v>36</v>
      </c>
      <c r="C8039" s="2">
        <v>11</v>
      </c>
    </row>
    <row r="8040" spans="1:3" x14ac:dyDescent="0.25">
      <c r="A8040" s="3">
        <v>41464</v>
      </c>
      <c r="B8040" s="2" t="s">
        <v>47</v>
      </c>
      <c r="C8040" s="2">
        <v>7</v>
      </c>
    </row>
    <row r="8041" spans="1:3" x14ac:dyDescent="0.25">
      <c r="A8041" s="3">
        <v>41459</v>
      </c>
      <c r="B8041" s="2" t="s">
        <v>15</v>
      </c>
      <c r="C8041" s="2">
        <v>30</v>
      </c>
    </row>
    <row r="8042" spans="1:3" x14ac:dyDescent="0.25">
      <c r="A8042" s="3">
        <v>41763</v>
      </c>
      <c r="B8042" s="2" t="s">
        <v>46</v>
      </c>
      <c r="C8042" s="2">
        <v>3</v>
      </c>
    </row>
    <row r="8043" spans="1:3" x14ac:dyDescent="0.25">
      <c r="A8043" s="3">
        <v>41581</v>
      </c>
      <c r="B8043" s="2" t="s">
        <v>21</v>
      </c>
      <c r="C8043" s="2">
        <v>45</v>
      </c>
    </row>
    <row r="8044" spans="1:3" x14ac:dyDescent="0.25">
      <c r="A8044" s="3">
        <v>41351</v>
      </c>
      <c r="B8044" s="2" t="s">
        <v>41</v>
      </c>
      <c r="C8044" s="2">
        <v>15</v>
      </c>
    </row>
    <row r="8045" spans="1:3" x14ac:dyDescent="0.25">
      <c r="A8045" s="3">
        <v>41755</v>
      </c>
      <c r="B8045" s="2" t="s">
        <v>8</v>
      </c>
      <c r="C8045" s="2">
        <v>43</v>
      </c>
    </row>
    <row r="8046" spans="1:3" x14ac:dyDescent="0.25">
      <c r="A8046" s="3">
        <v>41568</v>
      </c>
      <c r="B8046" s="2" t="s">
        <v>46</v>
      </c>
      <c r="C8046" s="2">
        <v>32</v>
      </c>
    </row>
    <row r="8047" spans="1:3" x14ac:dyDescent="0.25">
      <c r="A8047" s="3">
        <v>41317</v>
      </c>
      <c r="B8047" s="2" t="s">
        <v>47</v>
      </c>
      <c r="C8047" s="2">
        <v>27</v>
      </c>
    </row>
    <row r="8048" spans="1:3" x14ac:dyDescent="0.25">
      <c r="A8048" s="3">
        <v>41278</v>
      </c>
      <c r="B8048" s="2" t="s">
        <v>33</v>
      </c>
      <c r="C8048" s="2">
        <v>0</v>
      </c>
    </row>
    <row r="8049" spans="1:3" x14ac:dyDescent="0.25">
      <c r="A8049" s="3">
        <v>41395</v>
      </c>
      <c r="B8049" s="2" t="s">
        <v>32</v>
      </c>
      <c r="C8049" s="2">
        <v>4</v>
      </c>
    </row>
    <row r="8050" spans="1:3" x14ac:dyDescent="0.25">
      <c r="A8050" s="3">
        <v>41968</v>
      </c>
      <c r="B8050" s="2" t="s">
        <v>18</v>
      </c>
      <c r="C8050" s="2">
        <v>26</v>
      </c>
    </row>
    <row r="8051" spans="1:3" x14ac:dyDescent="0.25">
      <c r="A8051" s="3">
        <v>41587</v>
      </c>
      <c r="B8051" s="2" t="s">
        <v>50</v>
      </c>
      <c r="C8051" s="2">
        <v>19</v>
      </c>
    </row>
    <row r="8052" spans="1:3" x14ac:dyDescent="0.25">
      <c r="A8052" s="3">
        <v>41378</v>
      </c>
      <c r="B8052" s="2" t="s">
        <v>25</v>
      </c>
      <c r="C8052" s="2">
        <v>34</v>
      </c>
    </row>
    <row r="8053" spans="1:3" x14ac:dyDescent="0.25">
      <c r="A8053" s="3">
        <v>41536</v>
      </c>
      <c r="B8053" s="2" t="s">
        <v>15</v>
      </c>
      <c r="C8053" s="2">
        <v>44</v>
      </c>
    </row>
    <row r="8054" spans="1:3" x14ac:dyDescent="0.25">
      <c r="A8054" s="3">
        <v>41545</v>
      </c>
      <c r="B8054" s="2" t="s">
        <v>48</v>
      </c>
      <c r="C8054" s="2">
        <v>20</v>
      </c>
    </row>
    <row r="8055" spans="1:3" x14ac:dyDescent="0.25">
      <c r="A8055" s="3">
        <v>41322</v>
      </c>
      <c r="B8055" s="2" t="s">
        <v>26</v>
      </c>
      <c r="C8055" s="2">
        <v>34</v>
      </c>
    </row>
    <row r="8056" spans="1:3" x14ac:dyDescent="0.25">
      <c r="A8056" s="3">
        <v>41901</v>
      </c>
      <c r="B8056" s="2" t="s">
        <v>27</v>
      </c>
      <c r="C8056" s="2">
        <v>44</v>
      </c>
    </row>
    <row r="8057" spans="1:3" x14ac:dyDescent="0.25">
      <c r="A8057" s="3">
        <v>41417</v>
      </c>
      <c r="B8057" s="2" t="s">
        <v>19</v>
      </c>
      <c r="C8057" s="2">
        <v>33</v>
      </c>
    </row>
    <row r="8058" spans="1:3" x14ac:dyDescent="0.25">
      <c r="A8058" s="3">
        <v>41992</v>
      </c>
      <c r="B8058" s="2" t="s">
        <v>42</v>
      </c>
      <c r="C8058" s="2">
        <v>17</v>
      </c>
    </row>
    <row r="8059" spans="1:3" x14ac:dyDescent="0.25">
      <c r="A8059" s="3">
        <v>41454</v>
      </c>
      <c r="B8059" s="2" t="s">
        <v>6</v>
      </c>
      <c r="C8059" s="2">
        <v>31</v>
      </c>
    </row>
    <row r="8060" spans="1:3" x14ac:dyDescent="0.25">
      <c r="A8060" s="3">
        <v>41729</v>
      </c>
      <c r="B8060" s="2" t="s">
        <v>6</v>
      </c>
      <c r="C8060" s="2">
        <v>29</v>
      </c>
    </row>
    <row r="8061" spans="1:3" x14ac:dyDescent="0.25">
      <c r="A8061" s="3">
        <v>41673</v>
      </c>
      <c r="B8061" s="2" t="s">
        <v>42</v>
      </c>
      <c r="C8061" s="2">
        <v>2</v>
      </c>
    </row>
    <row r="8062" spans="1:3" x14ac:dyDescent="0.25">
      <c r="A8062" s="3">
        <v>41972</v>
      </c>
      <c r="B8062" s="2" t="s">
        <v>47</v>
      </c>
      <c r="C8062" s="2">
        <v>10</v>
      </c>
    </row>
    <row r="8063" spans="1:3" x14ac:dyDescent="0.25">
      <c r="A8063" s="3">
        <v>41887</v>
      </c>
      <c r="B8063" s="2" t="s">
        <v>16</v>
      </c>
      <c r="C8063" s="2">
        <v>44</v>
      </c>
    </row>
    <row r="8064" spans="1:3" x14ac:dyDescent="0.25">
      <c r="A8064" s="3">
        <v>41538</v>
      </c>
      <c r="B8064" s="2" t="s">
        <v>43</v>
      </c>
      <c r="C8064" s="2">
        <v>41</v>
      </c>
    </row>
    <row r="8065" spans="1:3" x14ac:dyDescent="0.25">
      <c r="A8065" s="3">
        <v>41588</v>
      </c>
      <c r="B8065" s="2" t="s">
        <v>18</v>
      </c>
      <c r="C8065" s="2">
        <v>53</v>
      </c>
    </row>
    <row r="8066" spans="1:3" x14ac:dyDescent="0.25">
      <c r="A8066" s="3">
        <v>41574</v>
      </c>
      <c r="B8066" s="2" t="s">
        <v>50</v>
      </c>
      <c r="C8066" s="2">
        <v>45</v>
      </c>
    </row>
    <row r="8067" spans="1:3" x14ac:dyDescent="0.25">
      <c r="A8067" s="3">
        <v>41362</v>
      </c>
      <c r="B8067" s="2" t="s">
        <v>45</v>
      </c>
      <c r="C8067" s="2">
        <v>3</v>
      </c>
    </row>
    <row r="8068" spans="1:3" x14ac:dyDescent="0.25">
      <c r="A8068" s="3">
        <v>41843</v>
      </c>
      <c r="B8068" s="2" t="s">
        <v>28</v>
      </c>
      <c r="C8068" s="2">
        <v>40</v>
      </c>
    </row>
    <row r="8069" spans="1:3" x14ac:dyDescent="0.25">
      <c r="A8069" s="3">
        <v>41306</v>
      </c>
      <c r="B8069" s="2" t="s">
        <v>36</v>
      </c>
      <c r="C8069" s="2">
        <v>21</v>
      </c>
    </row>
    <row r="8070" spans="1:3" x14ac:dyDescent="0.25">
      <c r="A8070" s="3">
        <v>41678</v>
      </c>
      <c r="B8070" s="2" t="s">
        <v>44</v>
      </c>
      <c r="C8070" s="2">
        <v>26</v>
      </c>
    </row>
    <row r="8071" spans="1:3" x14ac:dyDescent="0.25">
      <c r="A8071" s="3">
        <v>41482</v>
      </c>
      <c r="B8071" s="2" t="s">
        <v>24</v>
      </c>
      <c r="C8071" s="2">
        <v>39</v>
      </c>
    </row>
    <row r="8072" spans="1:3" x14ac:dyDescent="0.25">
      <c r="A8072" s="3">
        <v>41614</v>
      </c>
      <c r="B8072" s="2" t="s">
        <v>10</v>
      </c>
      <c r="C8072" s="2">
        <v>23</v>
      </c>
    </row>
    <row r="8073" spans="1:3" x14ac:dyDescent="0.25">
      <c r="A8073" s="3">
        <v>41953</v>
      </c>
      <c r="B8073" s="2" t="s">
        <v>6</v>
      </c>
      <c r="C8073" s="2">
        <v>25</v>
      </c>
    </row>
    <row r="8074" spans="1:3" x14ac:dyDescent="0.25">
      <c r="A8074" s="3">
        <v>41696</v>
      </c>
      <c r="B8074" s="2" t="s">
        <v>36</v>
      </c>
      <c r="C8074" s="2">
        <v>12</v>
      </c>
    </row>
    <row r="8075" spans="1:3" x14ac:dyDescent="0.25">
      <c r="A8075" s="3">
        <v>41626</v>
      </c>
      <c r="B8075" s="2" t="s">
        <v>39</v>
      </c>
      <c r="C8075" s="2">
        <v>26</v>
      </c>
    </row>
    <row r="8076" spans="1:3" x14ac:dyDescent="0.25">
      <c r="A8076" s="3">
        <v>41373</v>
      </c>
      <c r="B8076" s="2" t="s">
        <v>36</v>
      </c>
      <c r="C8076" s="2">
        <v>29</v>
      </c>
    </row>
    <row r="8077" spans="1:3" x14ac:dyDescent="0.25">
      <c r="A8077" s="3">
        <v>41315</v>
      </c>
      <c r="B8077" s="2" t="s">
        <v>35</v>
      </c>
      <c r="C8077" s="2">
        <v>39</v>
      </c>
    </row>
    <row r="8078" spans="1:3" x14ac:dyDescent="0.25">
      <c r="A8078" s="3">
        <v>41279</v>
      </c>
      <c r="B8078" s="2" t="s">
        <v>22</v>
      </c>
      <c r="C8078" s="2">
        <v>3</v>
      </c>
    </row>
    <row r="8079" spans="1:3" x14ac:dyDescent="0.25">
      <c r="A8079" s="3">
        <v>41818</v>
      </c>
      <c r="B8079" s="2" t="s">
        <v>8</v>
      </c>
      <c r="C8079" s="2">
        <v>8</v>
      </c>
    </row>
    <row r="8080" spans="1:3" x14ac:dyDescent="0.25">
      <c r="A8080" s="3">
        <v>41959</v>
      </c>
      <c r="B8080" s="2" t="s">
        <v>23</v>
      </c>
      <c r="C8080" s="2">
        <v>18</v>
      </c>
    </row>
    <row r="8081" spans="1:3" x14ac:dyDescent="0.25">
      <c r="A8081" s="3">
        <v>41530</v>
      </c>
      <c r="B8081" s="2" t="s">
        <v>5</v>
      </c>
      <c r="C8081" s="2">
        <v>36</v>
      </c>
    </row>
    <row r="8082" spans="1:3" x14ac:dyDescent="0.25">
      <c r="A8082" s="3">
        <v>41719</v>
      </c>
      <c r="B8082" s="2" t="s">
        <v>25</v>
      </c>
      <c r="C8082" s="2">
        <v>5</v>
      </c>
    </row>
    <row r="8083" spans="1:3" x14ac:dyDescent="0.25">
      <c r="A8083" s="3">
        <v>41828</v>
      </c>
      <c r="B8083" s="2" t="s">
        <v>43</v>
      </c>
      <c r="C8083" s="2">
        <v>27</v>
      </c>
    </row>
    <row r="8084" spans="1:3" x14ac:dyDescent="0.25">
      <c r="A8084" s="3">
        <v>41447</v>
      </c>
      <c r="B8084" s="2" t="s">
        <v>35</v>
      </c>
      <c r="C8084" s="2">
        <v>23</v>
      </c>
    </row>
    <row r="8085" spans="1:3" x14ac:dyDescent="0.25">
      <c r="A8085" s="3">
        <v>41373</v>
      </c>
      <c r="B8085" s="2" t="s">
        <v>13</v>
      </c>
      <c r="C8085" s="2">
        <v>18</v>
      </c>
    </row>
    <row r="8086" spans="1:3" x14ac:dyDescent="0.25">
      <c r="A8086" s="3">
        <v>41533</v>
      </c>
      <c r="B8086" s="2" t="s">
        <v>40</v>
      </c>
      <c r="C8086" s="2">
        <v>30</v>
      </c>
    </row>
    <row r="8087" spans="1:3" x14ac:dyDescent="0.25">
      <c r="A8087" s="3">
        <v>41612</v>
      </c>
      <c r="B8087" s="2" t="s">
        <v>48</v>
      </c>
      <c r="C8087" s="2">
        <v>16</v>
      </c>
    </row>
    <row r="8088" spans="1:3" x14ac:dyDescent="0.25">
      <c r="A8088" s="3">
        <v>41386</v>
      </c>
      <c r="B8088" s="2" t="s">
        <v>47</v>
      </c>
      <c r="C8088" s="2">
        <v>34</v>
      </c>
    </row>
    <row r="8089" spans="1:3" x14ac:dyDescent="0.25">
      <c r="A8089" s="3">
        <v>41532</v>
      </c>
      <c r="B8089" s="2" t="s">
        <v>2</v>
      </c>
      <c r="C8089" s="2">
        <v>23</v>
      </c>
    </row>
    <row r="8090" spans="1:3" x14ac:dyDescent="0.25">
      <c r="A8090" s="3">
        <v>41915</v>
      </c>
      <c r="B8090" s="2" t="s">
        <v>23</v>
      </c>
      <c r="C8090" s="2">
        <v>3</v>
      </c>
    </row>
    <row r="8091" spans="1:3" x14ac:dyDescent="0.25">
      <c r="A8091" s="3">
        <v>41371</v>
      </c>
      <c r="B8091" s="2" t="s">
        <v>50</v>
      </c>
      <c r="C8091" s="2">
        <v>63</v>
      </c>
    </row>
    <row r="8092" spans="1:3" x14ac:dyDescent="0.25">
      <c r="A8092" s="3">
        <v>41833</v>
      </c>
      <c r="B8092" s="2" t="s">
        <v>28</v>
      </c>
      <c r="C8092" s="2">
        <v>20</v>
      </c>
    </row>
    <row r="8093" spans="1:3" x14ac:dyDescent="0.25">
      <c r="A8093" s="3">
        <v>41649</v>
      </c>
      <c r="B8093" s="2" t="s">
        <v>7</v>
      </c>
      <c r="C8093" s="2">
        <v>25</v>
      </c>
    </row>
    <row r="8094" spans="1:3" x14ac:dyDescent="0.25">
      <c r="A8094" s="3">
        <v>41352</v>
      </c>
      <c r="B8094" s="2" t="s">
        <v>6</v>
      </c>
      <c r="C8094" s="2">
        <v>21</v>
      </c>
    </row>
    <row r="8095" spans="1:3" x14ac:dyDescent="0.25">
      <c r="A8095" s="3">
        <v>41556</v>
      </c>
      <c r="B8095" s="2" t="s">
        <v>40</v>
      </c>
      <c r="C8095" s="2">
        <v>13</v>
      </c>
    </row>
    <row r="8096" spans="1:3" x14ac:dyDescent="0.25">
      <c r="A8096" s="3">
        <v>41878</v>
      </c>
      <c r="B8096" s="2" t="s">
        <v>17</v>
      </c>
      <c r="C8096" s="2">
        <v>19</v>
      </c>
    </row>
    <row r="8097" spans="1:3" x14ac:dyDescent="0.25">
      <c r="A8097" s="3">
        <v>41585</v>
      </c>
      <c r="B8097" s="2" t="s">
        <v>47</v>
      </c>
      <c r="C8097" s="2">
        <v>34</v>
      </c>
    </row>
    <row r="8098" spans="1:3" x14ac:dyDescent="0.25">
      <c r="A8098" s="3">
        <v>41463</v>
      </c>
      <c r="B8098" s="2" t="s">
        <v>24</v>
      </c>
      <c r="C8098" s="2">
        <v>63</v>
      </c>
    </row>
    <row r="8099" spans="1:3" x14ac:dyDescent="0.25">
      <c r="A8099" s="3">
        <v>41335</v>
      </c>
      <c r="B8099" s="2" t="s">
        <v>48</v>
      </c>
      <c r="C8099" s="2">
        <v>45</v>
      </c>
    </row>
    <row r="8100" spans="1:3" x14ac:dyDescent="0.25">
      <c r="A8100" s="3">
        <v>41902</v>
      </c>
      <c r="B8100" s="2" t="s">
        <v>36</v>
      </c>
      <c r="C8100" s="2">
        <v>32</v>
      </c>
    </row>
    <row r="8101" spans="1:3" x14ac:dyDescent="0.25">
      <c r="A8101" s="3">
        <v>41320</v>
      </c>
      <c r="B8101" s="2" t="s">
        <v>2</v>
      </c>
      <c r="C8101" s="2">
        <v>18</v>
      </c>
    </row>
    <row r="8102" spans="1:3" x14ac:dyDescent="0.25">
      <c r="A8102" s="3">
        <v>41586</v>
      </c>
      <c r="B8102" s="2" t="s">
        <v>19</v>
      </c>
      <c r="C8102" s="2">
        <v>37</v>
      </c>
    </row>
    <row r="8103" spans="1:3" x14ac:dyDescent="0.25">
      <c r="A8103" s="3">
        <v>41395</v>
      </c>
      <c r="B8103" s="2" t="s">
        <v>39</v>
      </c>
      <c r="C8103" s="2">
        <v>28</v>
      </c>
    </row>
    <row r="8104" spans="1:3" x14ac:dyDescent="0.25">
      <c r="A8104" s="3">
        <v>41955</v>
      </c>
      <c r="B8104" s="2" t="s">
        <v>48</v>
      </c>
      <c r="C8104" s="2">
        <v>14</v>
      </c>
    </row>
    <row r="8105" spans="1:3" x14ac:dyDescent="0.25">
      <c r="A8105" s="3">
        <v>41433</v>
      </c>
      <c r="B8105" s="2" t="s">
        <v>9</v>
      </c>
      <c r="C8105" s="2">
        <v>32</v>
      </c>
    </row>
    <row r="8106" spans="1:3" x14ac:dyDescent="0.25">
      <c r="A8106" s="3">
        <v>41979</v>
      </c>
      <c r="B8106" s="2" t="s">
        <v>12</v>
      </c>
      <c r="C8106" s="2">
        <v>24</v>
      </c>
    </row>
    <row r="8107" spans="1:3" x14ac:dyDescent="0.25">
      <c r="A8107" s="3">
        <v>41688</v>
      </c>
      <c r="B8107" s="2" t="s">
        <v>6</v>
      </c>
      <c r="C8107" s="2">
        <v>22</v>
      </c>
    </row>
    <row r="8108" spans="1:3" x14ac:dyDescent="0.25">
      <c r="A8108" s="3">
        <v>41687</v>
      </c>
      <c r="B8108" s="2" t="s">
        <v>25</v>
      </c>
      <c r="C8108" s="2">
        <v>18</v>
      </c>
    </row>
    <row r="8109" spans="1:3" x14ac:dyDescent="0.25">
      <c r="A8109" s="3">
        <v>41827</v>
      </c>
      <c r="B8109" s="2" t="s">
        <v>29</v>
      </c>
      <c r="C8109" s="2">
        <v>19</v>
      </c>
    </row>
    <row r="8110" spans="1:3" x14ac:dyDescent="0.25">
      <c r="A8110" s="3">
        <v>41912</v>
      </c>
      <c r="B8110" s="2" t="s">
        <v>37</v>
      </c>
      <c r="C8110" s="2">
        <v>11</v>
      </c>
    </row>
    <row r="8111" spans="1:3" x14ac:dyDescent="0.25">
      <c r="A8111" s="3">
        <v>41997</v>
      </c>
      <c r="B8111" s="2" t="s">
        <v>47</v>
      </c>
      <c r="C8111" s="2">
        <v>6</v>
      </c>
    </row>
    <row r="8112" spans="1:3" x14ac:dyDescent="0.25">
      <c r="A8112" s="3">
        <v>41295</v>
      </c>
      <c r="B8112" s="2" t="s">
        <v>19</v>
      </c>
      <c r="C8112" s="2">
        <v>34</v>
      </c>
    </row>
    <row r="8113" spans="1:3" x14ac:dyDescent="0.25">
      <c r="A8113" s="3">
        <v>41712</v>
      </c>
      <c r="B8113" s="2" t="s">
        <v>49</v>
      </c>
      <c r="C8113" s="2">
        <v>16</v>
      </c>
    </row>
    <row r="8114" spans="1:3" x14ac:dyDescent="0.25">
      <c r="A8114" s="3">
        <v>41292</v>
      </c>
      <c r="B8114" s="2" t="s">
        <v>51</v>
      </c>
      <c r="C8114" s="2">
        <v>53</v>
      </c>
    </row>
    <row r="8115" spans="1:3" x14ac:dyDescent="0.25">
      <c r="A8115" s="3">
        <v>41952</v>
      </c>
      <c r="B8115" s="2" t="s">
        <v>2</v>
      </c>
      <c r="C8115" s="2">
        <v>42</v>
      </c>
    </row>
    <row r="8116" spans="1:3" x14ac:dyDescent="0.25">
      <c r="A8116" s="3">
        <v>41621</v>
      </c>
      <c r="B8116" s="2" t="s">
        <v>12</v>
      </c>
      <c r="C8116" s="2">
        <v>28</v>
      </c>
    </row>
    <row r="8117" spans="1:3" x14ac:dyDescent="0.25">
      <c r="A8117" s="3">
        <v>41613</v>
      </c>
      <c r="B8117" s="2" t="s">
        <v>36</v>
      </c>
      <c r="C8117" s="2">
        <v>17</v>
      </c>
    </row>
    <row r="8118" spans="1:3" x14ac:dyDescent="0.25">
      <c r="A8118" s="3">
        <v>41802</v>
      </c>
      <c r="B8118" s="2" t="s">
        <v>37</v>
      </c>
      <c r="C8118" s="2">
        <v>24</v>
      </c>
    </row>
    <row r="8119" spans="1:3" x14ac:dyDescent="0.25">
      <c r="A8119" s="3">
        <v>41823</v>
      </c>
      <c r="B8119" s="2" t="s">
        <v>36</v>
      </c>
      <c r="C8119" s="2">
        <v>21</v>
      </c>
    </row>
    <row r="8120" spans="1:3" x14ac:dyDescent="0.25">
      <c r="A8120" s="3">
        <v>41753</v>
      </c>
      <c r="B8120" s="2" t="s">
        <v>21</v>
      </c>
      <c r="C8120" s="2">
        <v>18</v>
      </c>
    </row>
    <row r="8121" spans="1:3" x14ac:dyDescent="0.25">
      <c r="A8121" s="3">
        <v>41997</v>
      </c>
      <c r="B8121" s="2" t="s">
        <v>6</v>
      </c>
      <c r="C8121" s="2">
        <v>44</v>
      </c>
    </row>
    <row r="8122" spans="1:3" x14ac:dyDescent="0.25">
      <c r="A8122" s="3">
        <v>41932</v>
      </c>
      <c r="B8122" s="2" t="s">
        <v>23</v>
      </c>
      <c r="C8122" s="2">
        <v>42</v>
      </c>
    </row>
    <row r="8123" spans="1:3" x14ac:dyDescent="0.25">
      <c r="A8123" s="3">
        <v>41852</v>
      </c>
      <c r="B8123" s="2" t="s">
        <v>10</v>
      </c>
      <c r="C8123" s="2">
        <v>18</v>
      </c>
    </row>
    <row r="8124" spans="1:3" x14ac:dyDescent="0.25">
      <c r="A8124" s="3">
        <v>41425</v>
      </c>
      <c r="B8124" s="2" t="s">
        <v>19</v>
      </c>
      <c r="C8124" s="2">
        <v>23</v>
      </c>
    </row>
    <row r="8125" spans="1:3" x14ac:dyDescent="0.25">
      <c r="A8125" s="3">
        <v>41677</v>
      </c>
      <c r="B8125" s="2" t="s">
        <v>49</v>
      </c>
      <c r="C8125" s="2">
        <v>41</v>
      </c>
    </row>
    <row r="8126" spans="1:3" x14ac:dyDescent="0.25">
      <c r="A8126" s="3">
        <v>41895</v>
      </c>
      <c r="B8126" s="2" t="s">
        <v>51</v>
      </c>
      <c r="C8126" s="2">
        <v>20</v>
      </c>
    </row>
    <row r="8127" spans="1:3" x14ac:dyDescent="0.25">
      <c r="A8127" s="3">
        <v>41491</v>
      </c>
      <c r="B8127" s="2" t="s">
        <v>27</v>
      </c>
      <c r="C8127" s="2">
        <v>32</v>
      </c>
    </row>
    <row r="8128" spans="1:3" x14ac:dyDescent="0.25">
      <c r="A8128" s="3">
        <v>41378</v>
      </c>
      <c r="B8128" s="2" t="s">
        <v>13</v>
      </c>
      <c r="C8128" s="2">
        <v>46</v>
      </c>
    </row>
    <row r="8129" spans="1:3" x14ac:dyDescent="0.25">
      <c r="A8129" s="3">
        <v>41496</v>
      </c>
      <c r="B8129" s="2" t="s">
        <v>11</v>
      </c>
      <c r="C8129" s="2">
        <v>47</v>
      </c>
    </row>
    <row r="8130" spans="1:3" x14ac:dyDescent="0.25">
      <c r="A8130" s="3">
        <v>41514</v>
      </c>
      <c r="B8130" s="2" t="s">
        <v>23</v>
      </c>
      <c r="C8130" s="2">
        <v>50</v>
      </c>
    </row>
    <row r="8131" spans="1:3" x14ac:dyDescent="0.25">
      <c r="A8131" s="3">
        <v>41873</v>
      </c>
      <c r="B8131" s="2" t="s">
        <v>48</v>
      </c>
      <c r="C8131" s="2">
        <v>44</v>
      </c>
    </row>
    <row r="8132" spans="1:3" x14ac:dyDescent="0.25">
      <c r="A8132" s="3">
        <v>41962</v>
      </c>
      <c r="B8132" s="2" t="s">
        <v>16</v>
      </c>
      <c r="C8132" s="2">
        <v>0</v>
      </c>
    </row>
    <row r="8133" spans="1:3" x14ac:dyDescent="0.25">
      <c r="A8133" s="3">
        <v>41982</v>
      </c>
      <c r="B8133" s="2" t="s">
        <v>39</v>
      </c>
      <c r="C8133" s="2">
        <v>57</v>
      </c>
    </row>
    <row r="8134" spans="1:3" x14ac:dyDescent="0.25">
      <c r="A8134" s="3">
        <v>41649</v>
      </c>
      <c r="B8134" s="2" t="s">
        <v>10</v>
      </c>
      <c r="C8134" s="2">
        <v>27</v>
      </c>
    </row>
    <row r="8135" spans="1:3" x14ac:dyDescent="0.25">
      <c r="A8135" s="3">
        <v>41812</v>
      </c>
      <c r="B8135" s="2" t="s">
        <v>43</v>
      </c>
      <c r="C8135" s="2">
        <v>41</v>
      </c>
    </row>
    <row r="8136" spans="1:3" x14ac:dyDescent="0.25">
      <c r="A8136" s="3">
        <v>41510</v>
      </c>
      <c r="B8136" s="2" t="s">
        <v>27</v>
      </c>
      <c r="C8136" s="2">
        <v>19</v>
      </c>
    </row>
    <row r="8137" spans="1:3" x14ac:dyDescent="0.25">
      <c r="A8137" s="3">
        <v>41831</v>
      </c>
      <c r="B8137" s="2" t="s">
        <v>29</v>
      </c>
      <c r="C8137" s="2">
        <v>25</v>
      </c>
    </row>
    <row r="8138" spans="1:3" x14ac:dyDescent="0.25">
      <c r="A8138" s="3">
        <v>41793</v>
      </c>
      <c r="B8138" s="2" t="s">
        <v>44</v>
      </c>
      <c r="C8138" s="2">
        <v>36</v>
      </c>
    </row>
    <row r="8139" spans="1:3" x14ac:dyDescent="0.25">
      <c r="A8139" s="3">
        <v>41323</v>
      </c>
      <c r="B8139" s="2" t="s">
        <v>17</v>
      </c>
      <c r="C8139" s="2">
        <v>36</v>
      </c>
    </row>
    <row r="8140" spans="1:3" x14ac:dyDescent="0.25">
      <c r="A8140" s="3">
        <v>41905</v>
      </c>
      <c r="B8140" s="2" t="s">
        <v>30</v>
      </c>
      <c r="C8140" s="2">
        <v>26</v>
      </c>
    </row>
    <row r="8141" spans="1:3" x14ac:dyDescent="0.25">
      <c r="A8141" s="3">
        <v>41783</v>
      </c>
      <c r="B8141" s="2" t="s">
        <v>21</v>
      </c>
      <c r="C8141" s="2">
        <v>18</v>
      </c>
    </row>
    <row r="8142" spans="1:3" x14ac:dyDescent="0.25">
      <c r="A8142" s="3">
        <v>41997</v>
      </c>
      <c r="B8142" s="2" t="s">
        <v>44</v>
      </c>
      <c r="C8142" s="2">
        <v>17</v>
      </c>
    </row>
    <row r="8143" spans="1:3" x14ac:dyDescent="0.25">
      <c r="A8143" s="3">
        <v>41536</v>
      </c>
      <c r="B8143" s="2" t="s">
        <v>8</v>
      </c>
      <c r="C8143" s="2">
        <v>10</v>
      </c>
    </row>
    <row r="8144" spans="1:3" x14ac:dyDescent="0.25">
      <c r="A8144" s="3">
        <v>41802</v>
      </c>
      <c r="B8144" s="2" t="s">
        <v>23</v>
      </c>
      <c r="C8144" s="2">
        <v>23</v>
      </c>
    </row>
    <row r="8145" spans="1:3" x14ac:dyDescent="0.25">
      <c r="A8145" s="3">
        <v>41954</v>
      </c>
      <c r="B8145" s="2" t="s">
        <v>30</v>
      </c>
      <c r="C8145" s="2">
        <v>45</v>
      </c>
    </row>
    <row r="8146" spans="1:3" x14ac:dyDescent="0.25">
      <c r="A8146" s="3">
        <v>41855</v>
      </c>
      <c r="B8146" s="2" t="s">
        <v>20</v>
      </c>
      <c r="C8146" s="2">
        <v>14</v>
      </c>
    </row>
    <row r="8147" spans="1:3" x14ac:dyDescent="0.25">
      <c r="A8147" s="3">
        <v>41664</v>
      </c>
      <c r="B8147" s="2" t="s">
        <v>47</v>
      </c>
      <c r="C8147" s="2">
        <v>41</v>
      </c>
    </row>
    <row r="8148" spans="1:3" x14ac:dyDescent="0.25">
      <c r="A8148" s="3">
        <v>41330</v>
      </c>
      <c r="B8148" s="2" t="s">
        <v>50</v>
      </c>
      <c r="C8148" s="2">
        <v>28</v>
      </c>
    </row>
    <row r="8149" spans="1:3" x14ac:dyDescent="0.25">
      <c r="A8149" s="3">
        <v>41684</v>
      </c>
      <c r="B8149" s="2" t="s">
        <v>44</v>
      </c>
      <c r="C8149" s="2">
        <v>25</v>
      </c>
    </row>
    <row r="8150" spans="1:3" x14ac:dyDescent="0.25">
      <c r="A8150" s="3">
        <v>41733</v>
      </c>
      <c r="B8150" s="2" t="s">
        <v>37</v>
      </c>
      <c r="C8150" s="2">
        <v>53</v>
      </c>
    </row>
    <row r="8151" spans="1:3" x14ac:dyDescent="0.25">
      <c r="A8151" s="3">
        <v>41531</v>
      </c>
      <c r="B8151" s="2" t="s">
        <v>8</v>
      </c>
      <c r="C8151" s="2">
        <v>53</v>
      </c>
    </row>
    <row r="8152" spans="1:3" x14ac:dyDescent="0.25">
      <c r="A8152" s="3">
        <v>41300</v>
      </c>
      <c r="B8152" s="2" t="s">
        <v>41</v>
      </c>
      <c r="C8152" s="2">
        <v>10</v>
      </c>
    </row>
    <row r="8153" spans="1:3" x14ac:dyDescent="0.25">
      <c r="A8153" s="3">
        <v>41712</v>
      </c>
      <c r="B8153" s="2" t="s">
        <v>15</v>
      </c>
      <c r="C8153" s="2">
        <v>24</v>
      </c>
    </row>
    <row r="8154" spans="1:3" x14ac:dyDescent="0.25">
      <c r="A8154" s="3">
        <v>41856</v>
      </c>
      <c r="B8154" s="2" t="s">
        <v>25</v>
      </c>
      <c r="C8154" s="2">
        <v>6</v>
      </c>
    </row>
    <row r="8155" spans="1:3" x14ac:dyDescent="0.25">
      <c r="A8155" s="3">
        <v>41970</v>
      </c>
      <c r="B8155" s="2" t="s">
        <v>28</v>
      </c>
      <c r="C8155" s="2">
        <v>11</v>
      </c>
    </row>
    <row r="8156" spans="1:3" x14ac:dyDescent="0.25">
      <c r="A8156" s="3">
        <v>41723</v>
      </c>
      <c r="B8156" s="2" t="s">
        <v>19</v>
      </c>
      <c r="C8156" s="2">
        <v>25</v>
      </c>
    </row>
    <row r="8157" spans="1:3" x14ac:dyDescent="0.25">
      <c r="A8157" s="3">
        <v>41943</v>
      </c>
      <c r="B8157" s="2" t="s">
        <v>19</v>
      </c>
      <c r="C8157" s="2">
        <v>29</v>
      </c>
    </row>
    <row r="8158" spans="1:3" x14ac:dyDescent="0.25">
      <c r="A8158" s="3">
        <v>41944</v>
      </c>
      <c r="B8158" s="2" t="s">
        <v>3</v>
      </c>
      <c r="C8158" s="2">
        <v>24</v>
      </c>
    </row>
    <row r="8159" spans="1:3" x14ac:dyDescent="0.25">
      <c r="A8159" s="3">
        <v>41382</v>
      </c>
      <c r="B8159" s="2" t="s">
        <v>36</v>
      </c>
      <c r="C8159" s="2">
        <v>26</v>
      </c>
    </row>
    <row r="8160" spans="1:3" x14ac:dyDescent="0.25">
      <c r="A8160" s="3">
        <v>41706</v>
      </c>
      <c r="B8160" s="2" t="s">
        <v>50</v>
      </c>
      <c r="C8160" s="2">
        <v>45</v>
      </c>
    </row>
    <row r="8161" spans="1:3" x14ac:dyDescent="0.25">
      <c r="A8161" s="3">
        <v>41681</v>
      </c>
      <c r="B8161" s="2" t="s">
        <v>32</v>
      </c>
      <c r="C8161" s="2">
        <v>34</v>
      </c>
    </row>
    <row r="8162" spans="1:3" x14ac:dyDescent="0.25">
      <c r="A8162" s="3">
        <v>41894</v>
      </c>
      <c r="B8162" s="2" t="s">
        <v>4</v>
      </c>
      <c r="C8162" s="2">
        <v>19</v>
      </c>
    </row>
    <row r="8163" spans="1:3" x14ac:dyDescent="0.25">
      <c r="A8163" s="3">
        <v>41610</v>
      </c>
      <c r="B8163" s="2" t="s">
        <v>26</v>
      </c>
      <c r="C8163" s="2">
        <v>3</v>
      </c>
    </row>
    <row r="8164" spans="1:3" x14ac:dyDescent="0.25">
      <c r="A8164" s="3">
        <v>41532</v>
      </c>
      <c r="B8164" s="2" t="s">
        <v>47</v>
      </c>
      <c r="C8164" s="2">
        <v>13</v>
      </c>
    </row>
    <row r="8165" spans="1:3" x14ac:dyDescent="0.25">
      <c r="A8165" s="3">
        <v>41304</v>
      </c>
      <c r="B8165" s="2" t="s">
        <v>27</v>
      </c>
      <c r="C8165" s="2">
        <v>23</v>
      </c>
    </row>
    <row r="8166" spans="1:3" x14ac:dyDescent="0.25">
      <c r="A8166" s="3">
        <v>41564</v>
      </c>
      <c r="B8166" s="2" t="s">
        <v>26</v>
      </c>
      <c r="C8166" s="2">
        <v>13</v>
      </c>
    </row>
    <row r="8167" spans="1:3" x14ac:dyDescent="0.25">
      <c r="A8167" s="3">
        <v>41834</v>
      </c>
      <c r="B8167" s="2" t="s">
        <v>7</v>
      </c>
      <c r="C8167" s="2">
        <v>43</v>
      </c>
    </row>
    <row r="8168" spans="1:3" x14ac:dyDescent="0.25">
      <c r="A8168" s="3">
        <v>41840</v>
      </c>
      <c r="B8168" s="2" t="s">
        <v>40</v>
      </c>
      <c r="C8168" s="2">
        <v>29</v>
      </c>
    </row>
    <row r="8169" spans="1:3" x14ac:dyDescent="0.25">
      <c r="A8169" s="3">
        <v>41452</v>
      </c>
      <c r="B8169" s="2" t="s">
        <v>15</v>
      </c>
      <c r="C8169" s="2">
        <v>53</v>
      </c>
    </row>
    <row r="8170" spans="1:3" x14ac:dyDescent="0.25">
      <c r="A8170" s="3">
        <v>41532</v>
      </c>
      <c r="B8170" s="2" t="s">
        <v>28</v>
      </c>
      <c r="C8170" s="2">
        <v>31</v>
      </c>
    </row>
    <row r="8171" spans="1:3" x14ac:dyDescent="0.25">
      <c r="A8171" s="3">
        <v>41380</v>
      </c>
      <c r="B8171" s="2" t="s">
        <v>36</v>
      </c>
      <c r="C8171" s="2">
        <v>43</v>
      </c>
    </row>
    <row r="8172" spans="1:3" x14ac:dyDescent="0.25">
      <c r="A8172" s="3">
        <v>41682</v>
      </c>
      <c r="B8172" s="2" t="s">
        <v>22</v>
      </c>
      <c r="C8172" s="2">
        <v>14</v>
      </c>
    </row>
    <row r="8173" spans="1:3" x14ac:dyDescent="0.25">
      <c r="A8173" s="3">
        <v>41538</v>
      </c>
      <c r="B8173" s="2" t="s">
        <v>25</v>
      </c>
      <c r="C8173" s="2">
        <v>29</v>
      </c>
    </row>
    <row r="8174" spans="1:3" x14ac:dyDescent="0.25">
      <c r="A8174" s="3">
        <v>41589</v>
      </c>
      <c r="B8174" s="2" t="s">
        <v>39</v>
      </c>
      <c r="C8174" s="2">
        <v>30</v>
      </c>
    </row>
    <row r="8175" spans="1:3" x14ac:dyDescent="0.25">
      <c r="A8175" s="3">
        <v>41405</v>
      </c>
      <c r="B8175" s="2" t="s">
        <v>39</v>
      </c>
      <c r="C8175" s="2">
        <v>27</v>
      </c>
    </row>
    <row r="8176" spans="1:3" x14ac:dyDescent="0.25">
      <c r="A8176" s="3">
        <v>41658</v>
      </c>
      <c r="B8176" s="2" t="s">
        <v>28</v>
      </c>
      <c r="C8176" s="2">
        <v>29</v>
      </c>
    </row>
    <row r="8177" spans="1:3" x14ac:dyDescent="0.25">
      <c r="A8177" s="3">
        <v>41815</v>
      </c>
      <c r="B8177" s="2" t="s">
        <v>5</v>
      </c>
      <c r="C8177" s="2">
        <v>50</v>
      </c>
    </row>
    <row r="8178" spans="1:3" x14ac:dyDescent="0.25">
      <c r="A8178" s="3">
        <v>41522</v>
      </c>
      <c r="B8178" s="2" t="s">
        <v>3</v>
      </c>
      <c r="C8178" s="2">
        <v>24</v>
      </c>
    </row>
    <row r="8179" spans="1:3" x14ac:dyDescent="0.25">
      <c r="A8179" s="3">
        <v>41641</v>
      </c>
      <c r="B8179" s="2" t="s">
        <v>41</v>
      </c>
      <c r="C8179" s="2">
        <v>16</v>
      </c>
    </row>
    <row r="8180" spans="1:3" x14ac:dyDescent="0.25">
      <c r="A8180" s="3">
        <v>41726</v>
      </c>
      <c r="B8180" s="2" t="s">
        <v>42</v>
      </c>
      <c r="C8180" s="2">
        <v>47</v>
      </c>
    </row>
    <row r="8181" spans="1:3" x14ac:dyDescent="0.25">
      <c r="A8181" s="3">
        <v>41409</v>
      </c>
      <c r="B8181" s="2" t="s">
        <v>31</v>
      </c>
      <c r="C8181" s="2">
        <v>22</v>
      </c>
    </row>
    <row r="8182" spans="1:3" x14ac:dyDescent="0.25">
      <c r="A8182" s="3">
        <v>41986</v>
      </c>
      <c r="B8182" s="2" t="s">
        <v>18</v>
      </c>
      <c r="C8182" s="2">
        <v>45</v>
      </c>
    </row>
    <row r="8183" spans="1:3" x14ac:dyDescent="0.25">
      <c r="A8183" s="3">
        <v>41321</v>
      </c>
      <c r="B8183" s="2" t="s">
        <v>3</v>
      </c>
      <c r="C8183" s="2">
        <v>21</v>
      </c>
    </row>
    <row r="8184" spans="1:3" x14ac:dyDescent="0.25">
      <c r="A8184" s="3">
        <v>41763</v>
      </c>
      <c r="B8184" s="2" t="s">
        <v>44</v>
      </c>
      <c r="C8184" s="2">
        <v>27</v>
      </c>
    </row>
    <row r="8185" spans="1:3" x14ac:dyDescent="0.25">
      <c r="A8185" s="3">
        <v>41442</v>
      </c>
      <c r="B8185" s="2" t="s">
        <v>14</v>
      </c>
      <c r="C8185" s="2">
        <v>19</v>
      </c>
    </row>
    <row r="8186" spans="1:3" x14ac:dyDescent="0.25">
      <c r="A8186" s="3">
        <v>41847</v>
      </c>
      <c r="B8186" s="2" t="s">
        <v>23</v>
      </c>
      <c r="C8186" s="2">
        <v>22</v>
      </c>
    </row>
    <row r="8187" spans="1:3" x14ac:dyDescent="0.25">
      <c r="A8187" s="3">
        <v>41692</v>
      </c>
      <c r="B8187" s="2" t="s">
        <v>37</v>
      </c>
      <c r="C8187" s="2">
        <v>14</v>
      </c>
    </row>
    <row r="8188" spans="1:3" x14ac:dyDescent="0.25">
      <c r="A8188" s="3">
        <v>41297</v>
      </c>
      <c r="B8188" s="2" t="s">
        <v>10</v>
      </c>
      <c r="C8188" s="2">
        <v>37</v>
      </c>
    </row>
    <row r="8189" spans="1:3" x14ac:dyDescent="0.25">
      <c r="A8189" s="3">
        <v>41483</v>
      </c>
      <c r="B8189" s="2" t="s">
        <v>14</v>
      </c>
      <c r="C8189" s="2">
        <v>42</v>
      </c>
    </row>
    <row r="8190" spans="1:3" x14ac:dyDescent="0.25">
      <c r="A8190" s="3">
        <v>41642</v>
      </c>
      <c r="B8190" s="2" t="s">
        <v>29</v>
      </c>
      <c r="C8190" s="2">
        <v>30</v>
      </c>
    </row>
    <row r="8191" spans="1:3" x14ac:dyDescent="0.25">
      <c r="A8191" s="3">
        <v>41552</v>
      </c>
      <c r="B8191" s="2" t="s">
        <v>45</v>
      </c>
      <c r="C8191" s="2">
        <v>16</v>
      </c>
    </row>
    <row r="8192" spans="1:3" x14ac:dyDescent="0.25">
      <c r="A8192" s="3">
        <v>41291</v>
      </c>
      <c r="B8192" s="2" t="s">
        <v>20</v>
      </c>
      <c r="C8192" s="2">
        <v>2</v>
      </c>
    </row>
    <row r="8193" spans="1:3" x14ac:dyDescent="0.25">
      <c r="A8193" s="3">
        <v>41499</v>
      </c>
      <c r="B8193" s="2" t="s">
        <v>9</v>
      </c>
      <c r="C8193" s="2">
        <v>33</v>
      </c>
    </row>
    <row r="8194" spans="1:3" x14ac:dyDescent="0.25">
      <c r="A8194" s="3">
        <v>41538</v>
      </c>
      <c r="B8194" s="2" t="s">
        <v>26</v>
      </c>
      <c r="C8194" s="2">
        <v>13</v>
      </c>
    </row>
    <row r="8195" spans="1:3" x14ac:dyDescent="0.25">
      <c r="A8195" s="3">
        <v>41307</v>
      </c>
      <c r="B8195" s="2" t="s">
        <v>2</v>
      </c>
      <c r="C8195" s="2">
        <v>34</v>
      </c>
    </row>
    <row r="8196" spans="1:3" x14ac:dyDescent="0.25">
      <c r="A8196" s="3">
        <v>41290</v>
      </c>
      <c r="B8196" s="2" t="s">
        <v>33</v>
      </c>
      <c r="C8196" s="2">
        <v>30</v>
      </c>
    </row>
    <row r="8197" spans="1:3" x14ac:dyDescent="0.25">
      <c r="A8197" s="3">
        <v>41694</v>
      </c>
      <c r="B8197" s="2" t="s">
        <v>10</v>
      </c>
      <c r="C8197" s="2">
        <v>24</v>
      </c>
    </row>
    <row r="8198" spans="1:3" x14ac:dyDescent="0.25">
      <c r="A8198" s="3">
        <v>41305</v>
      </c>
      <c r="B8198" s="2" t="s">
        <v>21</v>
      </c>
      <c r="C8198" s="2">
        <v>21</v>
      </c>
    </row>
    <row r="8199" spans="1:3" x14ac:dyDescent="0.25">
      <c r="A8199" s="3">
        <v>41709</v>
      </c>
      <c r="B8199" s="2" t="s">
        <v>38</v>
      </c>
      <c r="C8199" s="2">
        <v>10</v>
      </c>
    </row>
    <row r="8200" spans="1:3" x14ac:dyDescent="0.25">
      <c r="A8200" s="3">
        <v>41907</v>
      </c>
      <c r="B8200" s="2" t="s">
        <v>30</v>
      </c>
      <c r="C8200" s="2">
        <v>15</v>
      </c>
    </row>
    <row r="8201" spans="1:3" x14ac:dyDescent="0.25">
      <c r="A8201" s="3">
        <v>41420</v>
      </c>
      <c r="B8201" s="2" t="s">
        <v>4</v>
      </c>
      <c r="C8201" s="2">
        <v>31</v>
      </c>
    </row>
    <row r="8202" spans="1:3" x14ac:dyDescent="0.25">
      <c r="A8202" s="3">
        <v>41901</v>
      </c>
      <c r="B8202" s="2" t="s">
        <v>21</v>
      </c>
      <c r="C8202" s="2">
        <v>31</v>
      </c>
    </row>
    <row r="8203" spans="1:3" x14ac:dyDescent="0.25">
      <c r="A8203" s="3">
        <v>41685</v>
      </c>
      <c r="B8203" s="2" t="s">
        <v>3</v>
      </c>
      <c r="C8203" s="2">
        <v>26</v>
      </c>
    </row>
    <row r="8204" spans="1:3" x14ac:dyDescent="0.25">
      <c r="A8204" s="3">
        <v>41951</v>
      </c>
      <c r="B8204" s="2" t="s">
        <v>21</v>
      </c>
      <c r="C8204" s="2">
        <v>55</v>
      </c>
    </row>
    <row r="8205" spans="1:3" x14ac:dyDescent="0.25">
      <c r="A8205" s="3">
        <v>41719</v>
      </c>
      <c r="B8205" s="2" t="s">
        <v>44</v>
      </c>
      <c r="C8205" s="2">
        <v>8</v>
      </c>
    </row>
    <row r="8206" spans="1:3" x14ac:dyDescent="0.25">
      <c r="A8206" s="3">
        <v>41901</v>
      </c>
      <c r="B8206" s="2" t="s">
        <v>16</v>
      </c>
      <c r="C8206" s="2">
        <v>40</v>
      </c>
    </row>
    <row r="8207" spans="1:3" x14ac:dyDescent="0.25">
      <c r="A8207" s="3">
        <v>41297</v>
      </c>
      <c r="B8207" s="2" t="s">
        <v>31</v>
      </c>
      <c r="C8207" s="2">
        <v>49</v>
      </c>
    </row>
    <row r="8208" spans="1:3" x14ac:dyDescent="0.25">
      <c r="A8208" s="3">
        <v>41993</v>
      </c>
      <c r="B8208" s="2" t="s">
        <v>44</v>
      </c>
      <c r="C8208" s="2">
        <v>39</v>
      </c>
    </row>
    <row r="8209" spans="1:3" x14ac:dyDescent="0.25">
      <c r="A8209" s="3">
        <v>41835</v>
      </c>
      <c r="B8209" s="2" t="s">
        <v>8</v>
      </c>
      <c r="C8209" s="2">
        <v>10</v>
      </c>
    </row>
    <row r="8210" spans="1:3" x14ac:dyDescent="0.25">
      <c r="A8210" s="3">
        <v>41340</v>
      </c>
      <c r="B8210" s="2" t="s">
        <v>19</v>
      </c>
      <c r="C8210" s="2">
        <v>5</v>
      </c>
    </row>
    <row r="8211" spans="1:3" x14ac:dyDescent="0.25">
      <c r="A8211" s="3">
        <v>41601</v>
      </c>
      <c r="B8211" s="2" t="s">
        <v>32</v>
      </c>
      <c r="C8211" s="2">
        <v>6</v>
      </c>
    </row>
    <row r="8212" spans="1:3" x14ac:dyDescent="0.25">
      <c r="A8212" s="3">
        <v>41690</v>
      </c>
      <c r="B8212" s="2" t="s">
        <v>25</v>
      </c>
      <c r="C8212" s="2">
        <v>15</v>
      </c>
    </row>
    <row r="8213" spans="1:3" x14ac:dyDescent="0.25">
      <c r="A8213" s="3">
        <v>41502</v>
      </c>
      <c r="B8213" s="2" t="s">
        <v>41</v>
      </c>
      <c r="C8213" s="2">
        <v>20</v>
      </c>
    </row>
    <row r="8214" spans="1:3" x14ac:dyDescent="0.25">
      <c r="A8214" s="3">
        <v>41431</v>
      </c>
      <c r="B8214" s="2" t="s">
        <v>50</v>
      </c>
      <c r="C8214" s="2">
        <v>24</v>
      </c>
    </row>
    <row r="8215" spans="1:3" x14ac:dyDescent="0.25">
      <c r="A8215" s="3">
        <v>41537</v>
      </c>
      <c r="B8215" s="2" t="s">
        <v>44</v>
      </c>
      <c r="C8215" s="2">
        <v>38</v>
      </c>
    </row>
    <row r="8216" spans="1:3" x14ac:dyDescent="0.25">
      <c r="A8216" s="3">
        <v>41718</v>
      </c>
      <c r="B8216" s="2" t="s">
        <v>8</v>
      </c>
      <c r="C8216" s="2">
        <v>43</v>
      </c>
    </row>
    <row r="8217" spans="1:3" x14ac:dyDescent="0.25">
      <c r="A8217" s="3">
        <v>41375</v>
      </c>
      <c r="B8217" s="2" t="s">
        <v>48</v>
      </c>
      <c r="C8217" s="2">
        <v>9</v>
      </c>
    </row>
    <row r="8218" spans="1:3" x14ac:dyDescent="0.25">
      <c r="A8218" s="3">
        <v>41768</v>
      </c>
      <c r="B8218" s="2" t="s">
        <v>51</v>
      </c>
      <c r="C8218" s="2">
        <v>33</v>
      </c>
    </row>
    <row r="8219" spans="1:3" x14ac:dyDescent="0.25">
      <c r="A8219" s="3">
        <v>41659</v>
      </c>
      <c r="B8219" s="2" t="s">
        <v>15</v>
      </c>
      <c r="C8219" s="2">
        <v>35</v>
      </c>
    </row>
    <row r="8220" spans="1:3" x14ac:dyDescent="0.25">
      <c r="A8220" s="3">
        <v>41455</v>
      </c>
      <c r="B8220" s="2" t="s">
        <v>3</v>
      </c>
      <c r="C8220" s="2">
        <v>8</v>
      </c>
    </row>
    <row r="8221" spans="1:3" x14ac:dyDescent="0.25">
      <c r="A8221" s="3">
        <v>41470</v>
      </c>
      <c r="B8221" s="2" t="s">
        <v>43</v>
      </c>
      <c r="C8221" s="2">
        <v>59</v>
      </c>
    </row>
    <row r="8222" spans="1:3" x14ac:dyDescent="0.25">
      <c r="A8222" s="3">
        <v>41801</v>
      </c>
      <c r="B8222" s="2" t="s">
        <v>12</v>
      </c>
      <c r="C8222" s="2">
        <v>7</v>
      </c>
    </row>
    <row r="8223" spans="1:3" x14ac:dyDescent="0.25">
      <c r="A8223" s="3">
        <v>41490</v>
      </c>
      <c r="B8223" s="2" t="s">
        <v>37</v>
      </c>
      <c r="C8223" s="2">
        <v>3</v>
      </c>
    </row>
    <row r="8224" spans="1:3" x14ac:dyDescent="0.25">
      <c r="A8224" s="3">
        <v>41763</v>
      </c>
      <c r="B8224" s="2" t="s">
        <v>8</v>
      </c>
      <c r="C8224" s="2">
        <v>1</v>
      </c>
    </row>
    <row r="8225" spans="1:3" x14ac:dyDescent="0.25">
      <c r="A8225" s="3">
        <v>41719</v>
      </c>
      <c r="B8225" s="2" t="s">
        <v>10</v>
      </c>
      <c r="C8225" s="2">
        <v>39</v>
      </c>
    </row>
    <row r="8226" spans="1:3" x14ac:dyDescent="0.25">
      <c r="A8226" s="3">
        <v>41868</v>
      </c>
      <c r="B8226" s="2" t="s">
        <v>33</v>
      </c>
      <c r="C8226" s="2">
        <v>23</v>
      </c>
    </row>
    <row r="8227" spans="1:3" x14ac:dyDescent="0.25">
      <c r="A8227" s="3">
        <v>41516</v>
      </c>
      <c r="B8227" s="2" t="s">
        <v>47</v>
      </c>
      <c r="C8227" s="2">
        <v>5</v>
      </c>
    </row>
    <row r="8228" spans="1:3" x14ac:dyDescent="0.25">
      <c r="A8228" s="3">
        <v>41855</v>
      </c>
      <c r="B8228" s="2" t="s">
        <v>14</v>
      </c>
      <c r="C8228" s="2">
        <v>18</v>
      </c>
    </row>
    <row r="8229" spans="1:3" x14ac:dyDescent="0.25">
      <c r="A8229" s="3">
        <v>41638</v>
      </c>
      <c r="B8229" s="2" t="s">
        <v>37</v>
      </c>
      <c r="C8229" s="2">
        <v>20</v>
      </c>
    </row>
    <row r="8230" spans="1:3" x14ac:dyDescent="0.25">
      <c r="A8230" s="3">
        <v>41296</v>
      </c>
      <c r="B8230" s="2" t="s">
        <v>30</v>
      </c>
      <c r="C8230" s="2">
        <v>20</v>
      </c>
    </row>
    <row r="8231" spans="1:3" x14ac:dyDescent="0.25">
      <c r="A8231" s="3">
        <v>41665</v>
      </c>
      <c r="B8231" s="2" t="s">
        <v>42</v>
      </c>
      <c r="C8231" s="2">
        <v>31</v>
      </c>
    </row>
    <row r="8232" spans="1:3" x14ac:dyDescent="0.25">
      <c r="A8232" s="3">
        <v>41876</v>
      </c>
      <c r="B8232" s="2" t="s">
        <v>18</v>
      </c>
      <c r="C8232" s="2">
        <v>40</v>
      </c>
    </row>
    <row r="8233" spans="1:3" x14ac:dyDescent="0.25">
      <c r="A8233" s="3">
        <v>41528</v>
      </c>
      <c r="B8233" s="2" t="s">
        <v>44</v>
      </c>
      <c r="C8233" s="2">
        <v>29</v>
      </c>
    </row>
    <row r="8234" spans="1:3" x14ac:dyDescent="0.25">
      <c r="A8234" s="3">
        <v>41755</v>
      </c>
      <c r="B8234" s="2" t="s">
        <v>15</v>
      </c>
      <c r="C8234" s="2">
        <v>28</v>
      </c>
    </row>
    <row r="8235" spans="1:3" x14ac:dyDescent="0.25">
      <c r="A8235" s="3">
        <v>41729</v>
      </c>
      <c r="B8235" s="2" t="s">
        <v>3</v>
      </c>
      <c r="C8235" s="2">
        <v>20</v>
      </c>
    </row>
    <row r="8236" spans="1:3" x14ac:dyDescent="0.25">
      <c r="A8236" s="3">
        <v>41509</v>
      </c>
      <c r="B8236" s="2" t="s">
        <v>27</v>
      </c>
      <c r="C8236" s="2">
        <v>45</v>
      </c>
    </row>
    <row r="8237" spans="1:3" x14ac:dyDescent="0.25">
      <c r="A8237" s="3">
        <v>41574</v>
      </c>
      <c r="B8237" s="2" t="s">
        <v>35</v>
      </c>
      <c r="C8237" s="2">
        <v>19</v>
      </c>
    </row>
    <row r="8238" spans="1:3" x14ac:dyDescent="0.25">
      <c r="A8238" s="3">
        <v>41485</v>
      </c>
      <c r="B8238" s="2" t="s">
        <v>11</v>
      </c>
      <c r="C8238" s="2">
        <v>15</v>
      </c>
    </row>
    <row r="8239" spans="1:3" x14ac:dyDescent="0.25">
      <c r="A8239" s="3">
        <v>41662</v>
      </c>
      <c r="B8239" s="2" t="s">
        <v>30</v>
      </c>
      <c r="C8239" s="2">
        <v>13</v>
      </c>
    </row>
    <row r="8240" spans="1:3" x14ac:dyDescent="0.25">
      <c r="A8240" s="3">
        <v>41990</v>
      </c>
      <c r="B8240" s="2" t="s">
        <v>12</v>
      </c>
      <c r="C8240" s="2">
        <v>12</v>
      </c>
    </row>
    <row r="8241" spans="1:3" x14ac:dyDescent="0.25">
      <c r="A8241" s="3">
        <v>41989</v>
      </c>
      <c r="B8241" s="2" t="s">
        <v>45</v>
      </c>
      <c r="C8241" s="2">
        <v>56</v>
      </c>
    </row>
    <row r="8242" spans="1:3" x14ac:dyDescent="0.25">
      <c r="A8242" s="3">
        <v>41332</v>
      </c>
      <c r="B8242" s="2" t="s">
        <v>42</v>
      </c>
      <c r="C8242" s="2">
        <v>45</v>
      </c>
    </row>
    <row r="8243" spans="1:3" x14ac:dyDescent="0.25">
      <c r="A8243" s="3">
        <v>41807</v>
      </c>
      <c r="B8243" s="2" t="s">
        <v>44</v>
      </c>
      <c r="C8243" s="2">
        <v>35</v>
      </c>
    </row>
    <row r="8244" spans="1:3" x14ac:dyDescent="0.25">
      <c r="A8244" s="3">
        <v>41548</v>
      </c>
      <c r="B8244" s="2" t="s">
        <v>36</v>
      </c>
      <c r="C8244" s="2">
        <v>17</v>
      </c>
    </row>
    <row r="8245" spans="1:3" x14ac:dyDescent="0.25">
      <c r="A8245" s="3">
        <v>41353</v>
      </c>
      <c r="B8245" s="2" t="s">
        <v>50</v>
      </c>
      <c r="C8245" s="2">
        <v>12</v>
      </c>
    </row>
    <row r="8246" spans="1:3" x14ac:dyDescent="0.25">
      <c r="A8246" s="3">
        <v>41709</v>
      </c>
      <c r="B8246" s="2" t="s">
        <v>10</v>
      </c>
      <c r="C8246" s="2">
        <v>45</v>
      </c>
    </row>
    <row r="8247" spans="1:3" x14ac:dyDescent="0.25">
      <c r="A8247" s="3">
        <v>41557</v>
      </c>
      <c r="B8247" s="2" t="s">
        <v>45</v>
      </c>
      <c r="C8247" s="2">
        <v>29</v>
      </c>
    </row>
    <row r="8248" spans="1:3" x14ac:dyDescent="0.25">
      <c r="A8248" s="3">
        <v>41962</v>
      </c>
      <c r="B8248" s="2" t="s">
        <v>50</v>
      </c>
      <c r="C8248" s="2">
        <v>0</v>
      </c>
    </row>
    <row r="8249" spans="1:3" x14ac:dyDescent="0.25">
      <c r="A8249" s="3">
        <v>41533</v>
      </c>
      <c r="B8249" s="2" t="s">
        <v>6</v>
      </c>
      <c r="C8249" s="2">
        <v>38</v>
      </c>
    </row>
    <row r="8250" spans="1:3" x14ac:dyDescent="0.25">
      <c r="A8250" s="3">
        <v>41382</v>
      </c>
      <c r="B8250" s="2" t="s">
        <v>49</v>
      </c>
      <c r="C8250" s="2">
        <v>30</v>
      </c>
    </row>
    <row r="8251" spans="1:3" x14ac:dyDescent="0.25">
      <c r="A8251" s="3">
        <v>41739</v>
      </c>
      <c r="B8251" s="2" t="s">
        <v>5</v>
      </c>
      <c r="C8251" s="2">
        <v>12</v>
      </c>
    </row>
    <row r="8252" spans="1:3" x14ac:dyDescent="0.25">
      <c r="A8252" s="3">
        <v>41637</v>
      </c>
      <c r="B8252" s="2" t="s">
        <v>6</v>
      </c>
      <c r="C8252" s="2">
        <v>46</v>
      </c>
    </row>
    <row r="8253" spans="1:3" x14ac:dyDescent="0.25">
      <c r="A8253" s="3">
        <v>41600</v>
      </c>
      <c r="B8253" s="2" t="s">
        <v>51</v>
      </c>
      <c r="C8253" s="2">
        <v>39</v>
      </c>
    </row>
    <row r="8254" spans="1:3" x14ac:dyDescent="0.25">
      <c r="A8254" s="3">
        <v>41560</v>
      </c>
      <c r="B8254" s="2" t="s">
        <v>49</v>
      </c>
      <c r="C8254" s="2">
        <v>16</v>
      </c>
    </row>
    <row r="8255" spans="1:3" x14ac:dyDescent="0.25">
      <c r="A8255" s="3">
        <v>41414</v>
      </c>
      <c r="B8255" s="2" t="s">
        <v>31</v>
      </c>
      <c r="C8255" s="2">
        <v>55</v>
      </c>
    </row>
    <row r="8256" spans="1:3" x14ac:dyDescent="0.25">
      <c r="A8256" s="3">
        <v>41647</v>
      </c>
      <c r="B8256" s="2" t="s">
        <v>25</v>
      </c>
      <c r="C8256" s="2">
        <v>42</v>
      </c>
    </row>
    <row r="8257" spans="1:3" x14ac:dyDescent="0.25">
      <c r="A8257" s="3">
        <v>41534</v>
      </c>
      <c r="B8257" s="2" t="s">
        <v>19</v>
      </c>
      <c r="C8257" s="2">
        <v>24</v>
      </c>
    </row>
    <row r="8258" spans="1:3" x14ac:dyDescent="0.25">
      <c r="A8258" s="3">
        <v>41548</v>
      </c>
      <c r="B8258" s="2" t="s">
        <v>46</v>
      </c>
      <c r="C8258" s="2">
        <v>34</v>
      </c>
    </row>
    <row r="8259" spans="1:3" x14ac:dyDescent="0.25">
      <c r="A8259" s="3">
        <v>41395</v>
      </c>
      <c r="B8259" s="2" t="s">
        <v>10</v>
      </c>
      <c r="C8259" s="2">
        <v>23</v>
      </c>
    </row>
    <row r="8260" spans="1:3" x14ac:dyDescent="0.25">
      <c r="A8260" s="3">
        <v>41630</v>
      </c>
      <c r="B8260" s="2" t="s">
        <v>3</v>
      </c>
      <c r="C8260" s="2">
        <v>24</v>
      </c>
    </row>
    <row r="8261" spans="1:3" x14ac:dyDescent="0.25">
      <c r="A8261" s="3">
        <v>41513</v>
      </c>
      <c r="B8261" s="2" t="s">
        <v>49</v>
      </c>
      <c r="C8261" s="2">
        <v>48</v>
      </c>
    </row>
    <row r="8262" spans="1:3" x14ac:dyDescent="0.25">
      <c r="A8262" s="3">
        <v>41676</v>
      </c>
      <c r="B8262" s="2" t="s">
        <v>44</v>
      </c>
      <c r="C8262" s="2">
        <v>5</v>
      </c>
    </row>
    <row r="8263" spans="1:3" x14ac:dyDescent="0.25">
      <c r="A8263" s="3">
        <v>41716</v>
      </c>
      <c r="B8263" s="2" t="s">
        <v>38</v>
      </c>
      <c r="C8263" s="2">
        <v>10</v>
      </c>
    </row>
    <row r="8264" spans="1:3" x14ac:dyDescent="0.25">
      <c r="A8264" s="3">
        <v>41359</v>
      </c>
      <c r="B8264" s="2" t="s">
        <v>8</v>
      </c>
      <c r="C8264" s="2">
        <v>33</v>
      </c>
    </row>
    <row r="8265" spans="1:3" x14ac:dyDescent="0.25">
      <c r="A8265" s="3">
        <v>41776</v>
      </c>
      <c r="B8265" s="2" t="s">
        <v>43</v>
      </c>
      <c r="C8265" s="2">
        <v>24</v>
      </c>
    </row>
    <row r="8266" spans="1:3" x14ac:dyDescent="0.25">
      <c r="A8266" s="3">
        <v>41718</v>
      </c>
      <c r="B8266" s="2" t="s">
        <v>42</v>
      </c>
      <c r="C8266" s="2">
        <v>12</v>
      </c>
    </row>
    <row r="8267" spans="1:3" x14ac:dyDescent="0.25">
      <c r="A8267" s="3">
        <v>41950</v>
      </c>
      <c r="B8267" s="2" t="s">
        <v>27</v>
      </c>
      <c r="C8267" s="2">
        <v>24</v>
      </c>
    </row>
    <row r="8268" spans="1:3" x14ac:dyDescent="0.25">
      <c r="A8268" s="3">
        <v>41916</v>
      </c>
      <c r="B8268" s="2" t="s">
        <v>51</v>
      </c>
      <c r="C8268" s="2">
        <v>48</v>
      </c>
    </row>
    <row r="8269" spans="1:3" x14ac:dyDescent="0.25">
      <c r="A8269" s="3">
        <v>41348</v>
      </c>
      <c r="B8269" s="2" t="s">
        <v>7</v>
      </c>
      <c r="C8269" s="2">
        <v>14</v>
      </c>
    </row>
    <row r="8270" spans="1:3" x14ac:dyDescent="0.25">
      <c r="A8270" s="3">
        <v>41910</v>
      </c>
      <c r="B8270" s="2" t="s">
        <v>26</v>
      </c>
      <c r="C8270" s="2">
        <v>19</v>
      </c>
    </row>
    <row r="8271" spans="1:3" x14ac:dyDescent="0.25">
      <c r="A8271" s="3">
        <v>41830</v>
      </c>
      <c r="B8271" s="2" t="s">
        <v>17</v>
      </c>
      <c r="C8271" s="2">
        <v>46</v>
      </c>
    </row>
    <row r="8272" spans="1:3" x14ac:dyDescent="0.25">
      <c r="A8272" s="3">
        <v>41680</v>
      </c>
      <c r="B8272" s="2" t="s">
        <v>50</v>
      </c>
      <c r="C8272" s="2">
        <v>23</v>
      </c>
    </row>
    <row r="8273" spans="1:3" x14ac:dyDescent="0.25">
      <c r="A8273" s="3">
        <v>41918</v>
      </c>
      <c r="B8273" s="2" t="s">
        <v>26</v>
      </c>
      <c r="C8273" s="2">
        <v>37</v>
      </c>
    </row>
    <row r="8274" spans="1:3" x14ac:dyDescent="0.25">
      <c r="A8274" s="3">
        <v>41360</v>
      </c>
      <c r="B8274" s="2" t="s">
        <v>8</v>
      </c>
      <c r="C8274" s="2">
        <v>8</v>
      </c>
    </row>
    <row r="8275" spans="1:3" x14ac:dyDescent="0.25">
      <c r="A8275" s="3">
        <v>41381</v>
      </c>
      <c r="B8275" s="2" t="s">
        <v>12</v>
      </c>
      <c r="C8275" s="2">
        <v>54</v>
      </c>
    </row>
    <row r="8276" spans="1:3" x14ac:dyDescent="0.25">
      <c r="A8276" s="3">
        <v>41512</v>
      </c>
      <c r="B8276" s="2" t="s">
        <v>13</v>
      </c>
      <c r="C8276" s="2">
        <v>49</v>
      </c>
    </row>
    <row r="8277" spans="1:3" x14ac:dyDescent="0.25">
      <c r="A8277" s="3">
        <v>41666</v>
      </c>
      <c r="B8277" s="2" t="s">
        <v>14</v>
      </c>
      <c r="C8277" s="2">
        <v>32</v>
      </c>
    </row>
    <row r="8278" spans="1:3" x14ac:dyDescent="0.25">
      <c r="A8278" s="3">
        <v>41912</v>
      </c>
      <c r="B8278" s="2" t="s">
        <v>30</v>
      </c>
      <c r="C8278" s="2">
        <v>38</v>
      </c>
    </row>
    <row r="8279" spans="1:3" x14ac:dyDescent="0.25">
      <c r="A8279" s="3">
        <v>41950</v>
      </c>
      <c r="B8279" s="2" t="s">
        <v>25</v>
      </c>
      <c r="C8279" s="2">
        <v>54</v>
      </c>
    </row>
    <row r="8280" spans="1:3" x14ac:dyDescent="0.25">
      <c r="A8280" s="3">
        <v>41411</v>
      </c>
      <c r="B8280" s="2" t="s">
        <v>25</v>
      </c>
      <c r="C8280" s="2">
        <v>33</v>
      </c>
    </row>
    <row r="8281" spans="1:3" x14ac:dyDescent="0.25">
      <c r="A8281" s="3">
        <v>41365</v>
      </c>
      <c r="B8281" s="2" t="s">
        <v>14</v>
      </c>
      <c r="C8281" s="2">
        <v>22</v>
      </c>
    </row>
    <row r="8282" spans="1:3" x14ac:dyDescent="0.25">
      <c r="A8282" s="3">
        <v>41503</v>
      </c>
      <c r="B8282" s="2" t="s">
        <v>45</v>
      </c>
      <c r="C8282" s="2">
        <v>32</v>
      </c>
    </row>
    <row r="8283" spans="1:3" x14ac:dyDescent="0.25">
      <c r="A8283" s="3">
        <v>41681</v>
      </c>
      <c r="B8283" s="2" t="s">
        <v>2</v>
      </c>
      <c r="C8283" s="2">
        <v>11</v>
      </c>
    </row>
    <row r="8284" spans="1:3" x14ac:dyDescent="0.25">
      <c r="A8284" s="3">
        <v>41371</v>
      </c>
      <c r="B8284" s="2" t="s">
        <v>45</v>
      </c>
      <c r="C8284" s="2">
        <v>56</v>
      </c>
    </row>
    <row r="8285" spans="1:3" x14ac:dyDescent="0.25">
      <c r="A8285" s="3">
        <v>41924</v>
      </c>
      <c r="B8285" s="2" t="s">
        <v>11</v>
      </c>
      <c r="C8285" s="2">
        <v>21</v>
      </c>
    </row>
    <row r="8286" spans="1:3" x14ac:dyDescent="0.25">
      <c r="A8286" s="3">
        <v>41872</v>
      </c>
      <c r="B8286" s="2" t="s">
        <v>2</v>
      </c>
      <c r="C8286" s="2">
        <v>24</v>
      </c>
    </row>
    <row r="8287" spans="1:3" x14ac:dyDescent="0.25">
      <c r="A8287" s="3">
        <v>41541</v>
      </c>
      <c r="B8287" s="2" t="s">
        <v>3</v>
      </c>
      <c r="C8287" s="2">
        <v>7</v>
      </c>
    </row>
    <row r="8288" spans="1:3" x14ac:dyDescent="0.25">
      <c r="A8288" s="3">
        <v>41287</v>
      </c>
      <c r="B8288" s="2" t="s">
        <v>34</v>
      </c>
      <c r="C8288" s="2">
        <v>22</v>
      </c>
    </row>
    <row r="8289" spans="1:3" x14ac:dyDescent="0.25">
      <c r="A8289" s="3">
        <v>41966</v>
      </c>
      <c r="B8289" s="2" t="s">
        <v>13</v>
      </c>
      <c r="C8289" s="2">
        <v>25</v>
      </c>
    </row>
    <row r="8290" spans="1:3" x14ac:dyDescent="0.25">
      <c r="A8290" s="3">
        <v>41462</v>
      </c>
      <c r="B8290" s="2" t="s">
        <v>11</v>
      </c>
      <c r="C8290" s="2">
        <v>19</v>
      </c>
    </row>
    <row r="8291" spans="1:3" x14ac:dyDescent="0.25">
      <c r="A8291" s="3">
        <v>41616</v>
      </c>
      <c r="B8291" s="2" t="s">
        <v>35</v>
      </c>
      <c r="C8291" s="2">
        <v>15</v>
      </c>
    </row>
    <row r="8292" spans="1:3" x14ac:dyDescent="0.25">
      <c r="A8292" s="3">
        <v>41402</v>
      </c>
      <c r="B8292" s="2" t="s">
        <v>31</v>
      </c>
      <c r="C8292" s="2">
        <v>33</v>
      </c>
    </row>
    <row r="8293" spans="1:3" x14ac:dyDescent="0.25">
      <c r="A8293" s="3">
        <v>41544</v>
      </c>
      <c r="B8293" s="2" t="s">
        <v>16</v>
      </c>
      <c r="C8293" s="2">
        <v>23</v>
      </c>
    </row>
    <row r="8294" spans="1:3" x14ac:dyDescent="0.25">
      <c r="A8294" s="3">
        <v>41915</v>
      </c>
      <c r="B8294" s="2" t="s">
        <v>28</v>
      </c>
      <c r="C8294" s="2">
        <v>21</v>
      </c>
    </row>
    <row r="8295" spans="1:3" x14ac:dyDescent="0.25">
      <c r="A8295" s="3">
        <v>41412</v>
      </c>
      <c r="B8295" s="2" t="s">
        <v>17</v>
      </c>
      <c r="C8295" s="2">
        <v>22</v>
      </c>
    </row>
    <row r="8296" spans="1:3" x14ac:dyDescent="0.25">
      <c r="A8296" s="3">
        <v>41567</v>
      </c>
      <c r="B8296" s="2" t="s">
        <v>30</v>
      </c>
      <c r="C8296" s="2">
        <v>30</v>
      </c>
    </row>
    <row r="8297" spans="1:3" x14ac:dyDescent="0.25">
      <c r="A8297" s="3">
        <v>41752</v>
      </c>
      <c r="B8297" s="2" t="s">
        <v>35</v>
      </c>
      <c r="C8297" s="2">
        <v>48</v>
      </c>
    </row>
    <row r="8298" spans="1:3" x14ac:dyDescent="0.25">
      <c r="A8298" s="3">
        <v>41707</v>
      </c>
      <c r="B8298" s="2" t="s">
        <v>40</v>
      </c>
      <c r="C8298" s="2">
        <v>42</v>
      </c>
    </row>
    <row r="8299" spans="1:3" x14ac:dyDescent="0.25">
      <c r="A8299" s="3">
        <v>41630</v>
      </c>
      <c r="B8299" s="2" t="s">
        <v>8</v>
      </c>
      <c r="C8299" s="2">
        <v>17</v>
      </c>
    </row>
    <row r="8300" spans="1:3" x14ac:dyDescent="0.25">
      <c r="A8300" s="3">
        <v>41789</v>
      </c>
      <c r="B8300" s="2" t="s">
        <v>31</v>
      </c>
      <c r="C8300" s="2">
        <v>13</v>
      </c>
    </row>
    <row r="8301" spans="1:3" x14ac:dyDescent="0.25">
      <c r="A8301" s="3">
        <v>41535</v>
      </c>
      <c r="B8301" s="2" t="s">
        <v>41</v>
      </c>
      <c r="C8301" s="2">
        <v>43</v>
      </c>
    </row>
    <row r="8302" spans="1:3" x14ac:dyDescent="0.25">
      <c r="A8302" s="3">
        <v>41971</v>
      </c>
      <c r="B8302" s="2" t="s">
        <v>40</v>
      </c>
      <c r="C8302" s="2">
        <v>34</v>
      </c>
    </row>
    <row r="8303" spans="1:3" x14ac:dyDescent="0.25">
      <c r="A8303" s="3">
        <v>41401</v>
      </c>
      <c r="B8303" s="2" t="s">
        <v>32</v>
      </c>
      <c r="C8303" s="2">
        <v>6</v>
      </c>
    </row>
    <row r="8304" spans="1:3" x14ac:dyDescent="0.25">
      <c r="A8304" s="3">
        <v>41309</v>
      </c>
      <c r="B8304" s="2" t="s">
        <v>22</v>
      </c>
      <c r="C8304" s="2">
        <v>17</v>
      </c>
    </row>
    <row r="8305" spans="1:3" x14ac:dyDescent="0.25">
      <c r="A8305" s="3">
        <v>41492</v>
      </c>
      <c r="B8305" s="2" t="s">
        <v>18</v>
      </c>
      <c r="C8305" s="2">
        <v>15</v>
      </c>
    </row>
    <row r="8306" spans="1:3" x14ac:dyDescent="0.25">
      <c r="A8306" s="3">
        <v>41346</v>
      </c>
      <c r="B8306" s="2" t="s">
        <v>33</v>
      </c>
      <c r="C8306" s="2">
        <v>40</v>
      </c>
    </row>
    <row r="8307" spans="1:3" x14ac:dyDescent="0.25">
      <c r="A8307" s="3">
        <v>41906</v>
      </c>
      <c r="B8307" s="2" t="s">
        <v>25</v>
      </c>
      <c r="C8307" s="2">
        <v>14</v>
      </c>
    </row>
    <row r="8308" spans="1:3" x14ac:dyDescent="0.25">
      <c r="A8308" s="3">
        <v>41393</v>
      </c>
      <c r="B8308" s="2" t="s">
        <v>8</v>
      </c>
      <c r="C8308" s="2">
        <v>29</v>
      </c>
    </row>
    <row r="8309" spans="1:3" x14ac:dyDescent="0.25">
      <c r="A8309" s="3">
        <v>41690</v>
      </c>
      <c r="B8309" s="2" t="s">
        <v>37</v>
      </c>
      <c r="C8309" s="2">
        <v>12</v>
      </c>
    </row>
    <row r="8310" spans="1:3" x14ac:dyDescent="0.25">
      <c r="A8310" s="3">
        <v>41916</v>
      </c>
      <c r="B8310" s="2" t="s">
        <v>3</v>
      </c>
      <c r="C8310" s="2">
        <v>30</v>
      </c>
    </row>
    <row r="8311" spans="1:3" x14ac:dyDescent="0.25">
      <c r="A8311" s="3">
        <v>41894</v>
      </c>
      <c r="B8311" s="2" t="s">
        <v>50</v>
      </c>
      <c r="C8311" s="2">
        <v>19</v>
      </c>
    </row>
    <row r="8312" spans="1:3" x14ac:dyDescent="0.25">
      <c r="A8312" s="3">
        <v>41572</v>
      </c>
      <c r="B8312" s="2" t="s">
        <v>48</v>
      </c>
      <c r="C8312" s="2">
        <v>17</v>
      </c>
    </row>
    <row r="8313" spans="1:3" x14ac:dyDescent="0.25">
      <c r="A8313" s="3">
        <v>41804</v>
      </c>
      <c r="B8313" s="2" t="s">
        <v>36</v>
      </c>
      <c r="C8313" s="2">
        <v>49</v>
      </c>
    </row>
    <row r="8314" spans="1:3" x14ac:dyDescent="0.25">
      <c r="A8314" s="3">
        <v>41485</v>
      </c>
      <c r="B8314" s="2" t="s">
        <v>19</v>
      </c>
      <c r="C8314" s="2">
        <v>25</v>
      </c>
    </row>
    <row r="8315" spans="1:3" x14ac:dyDescent="0.25">
      <c r="A8315" s="3">
        <v>41979</v>
      </c>
      <c r="B8315" s="2" t="s">
        <v>27</v>
      </c>
      <c r="C8315" s="2">
        <v>43</v>
      </c>
    </row>
    <row r="8316" spans="1:3" x14ac:dyDescent="0.25">
      <c r="A8316" s="3">
        <v>41804</v>
      </c>
      <c r="B8316" s="2" t="s">
        <v>51</v>
      </c>
      <c r="C8316" s="2">
        <v>28</v>
      </c>
    </row>
    <row r="8317" spans="1:3" x14ac:dyDescent="0.25">
      <c r="A8317" s="3">
        <v>41675</v>
      </c>
      <c r="B8317" s="2" t="s">
        <v>2</v>
      </c>
      <c r="C8317" s="2">
        <v>18</v>
      </c>
    </row>
    <row r="8318" spans="1:3" x14ac:dyDescent="0.25">
      <c r="A8318" s="3">
        <v>41798</v>
      </c>
      <c r="B8318" s="2" t="s">
        <v>36</v>
      </c>
      <c r="C8318" s="2">
        <v>45</v>
      </c>
    </row>
    <row r="8319" spans="1:3" x14ac:dyDescent="0.25">
      <c r="A8319" s="3">
        <v>41935</v>
      </c>
      <c r="B8319" s="2" t="s">
        <v>32</v>
      </c>
      <c r="C8319" s="2">
        <v>27</v>
      </c>
    </row>
    <row r="8320" spans="1:3" x14ac:dyDescent="0.25">
      <c r="A8320" s="3">
        <v>41986</v>
      </c>
      <c r="B8320" s="2" t="s">
        <v>15</v>
      </c>
      <c r="C8320" s="2">
        <v>13</v>
      </c>
    </row>
    <row r="8321" spans="1:3" x14ac:dyDescent="0.25">
      <c r="A8321" s="3">
        <v>41786</v>
      </c>
      <c r="B8321" s="2" t="s">
        <v>21</v>
      </c>
      <c r="C8321" s="2">
        <v>23</v>
      </c>
    </row>
    <row r="8322" spans="1:3" x14ac:dyDescent="0.25">
      <c r="A8322" s="3">
        <v>41566</v>
      </c>
      <c r="B8322" s="2" t="s">
        <v>50</v>
      </c>
      <c r="C8322" s="2">
        <v>2</v>
      </c>
    </row>
    <row r="8323" spans="1:3" x14ac:dyDescent="0.25">
      <c r="A8323" s="3">
        <v>41650</v>
      </c>
      <c r="B8323" s="2" t="s">
        <v>4</v>
      </c>
      <c r="C8323" s="2">
        <v>5</v>
      </c>
    </row>
    <row r="8324" spans="1:3" x14ac:dyDescent="0.25">
      <c r="A8324" s="3">
        <v>41501</v>
      </c>
      <c r="B8324" s="2" t="s">
        <v>33</v>
      </c>
      <c r="C8324" s="2">
        <v>22</v>
      </c>
    </row>
    <row r="8325" spans="1:3" x14ac:dyDescent="0.25">
      <c r="A8325" s="3">
        <v>41582</v>
      </c>
      <c r="B8325" s="2" t="s">
        <v>31</v>
      </c>
      <c r="C8325" s="2">
        <v>32</v>
      </c>
    </row>
    <row r="8326" spans="1:3" x14ac:dyDescent="0.25">
      <c r="A8326" s="3">
        <v>41558</v>
      </c>
      <c r="B8326" s="2" t="s">
        <v>23</v>
      </c>
      <c r="C8326" s="2">
        <v>21</v>
      </c>
    </row>
    <row r="8327" spans="1:3" x14ac:dyDescent="0.25">
      <c r="A8327" s="3">
        <v>41532</v>
      </c>
      <c r="B8327" s="2" t="s">
        <v>45</v>
      </c>
      <c r="C8327" s="2">
        <v>32</v>
      </c>
    </row>
    <row r="8328" spans="1:3" x14ac:dyDescent="0.25">
      <c r="A8328" s="3">
        <v>41780</v>
      </c>
      <c r="B8328" s="2" t="s">
        <v>26</v>
      </c>
      <c r="C8328" s="2">
        <v>24</v>
      </c>
    </row>
    <row r="8329" spans="1:3" x14ac:dyDescent="0.25">
      <c r="A8329" s="3">
        <v>41546</v>
      </c>
      <c r="B8329" s="2" t="s">
        <v>37</v>
      </c>
      <c r="C8329" s="2">
        <v>23</v>
      </c>
    </row>
    <row r="8330" spans="1:3" x14ac:dyDescent="0.25">
      <c r="A8330" s="3">
        <v>41581</v>
      </c>
      <c r="B8330" s="2" t="s">
        <v>45</v>
      </c>
      <c r="C8330" s="2">
        <v>40</v>
      </c>
    </row>
    <row r="8331" spans="1:3" x14ac:dyDescent="0.25">
      <c r="A8331" s="3">
        <v>41718</v>
      </c>
      <c r="B8331" s="2" t="s">
        <v>32</v>
      </c>
      <c r="C8331" s="2">
        <v>27</v>
      </c>
    </row>
    <row r="8332" spans="1:3" x14ac:dyDescent="0.25">
      <c r="A8332" s="3">
        <v>41289</v>
      </c>
      <c r="B8332" s="2" t="s">
        <v>45</v>
      </c>
      <c r="C8332" s="2">
        <v>5</v>
      </c>
    </row>
    <row r="8333" spans="1:3" x14ac:dyDescent="0.25">
      <c r="A8333" s="3">
        <v>41744</v>
      </c>
      <c r="B8333" s="2" t="s">
        <v>25</v>
      </c>
      <c r="C8333" s="2">
        <v>22</v>
      </c>
    </row>
    <row r="8334" spans="1:3" x14ac:dyDescent="0.25">
      <c r="A8334" s="3">
        <v>41458</v>
      </c>
      <c r="B8334" s="2" t="s">
        <v>28</v>
      </c>
      <c r="C8334" s="2">
        <v>21</v>
      </c>
    </row>
    <row r="8335" spans="1:3" x14ac:dyDescent="0.25">
      <c r="A8335" s="3">
        <v>41559</v>
      </c>
      <c r="B8335" s="2" t="s">
        <v>51</v>
      </c>
      <c r="C8335" s="2">
        <v>11</v>
      </c>
    </row>
    <row r="8336" spans="1:3" x14ac:dyDescent="0.25">
      <c r="A8336" s="3">
        <v>41527</v>
      </c>
      <c r="B8336" s="2" t="s">
        <v>36</v>
      </c>
      <c r="C8336" s="2">
        <v>28</v>
      </c>
    </row>
    <row r="8337" spans="1:3" x14ac:dyDescent="0.25">
      <c r="A8337" s="3">
        <v>41527</v>
      </c>
      <c r="B8337" s="2" t="s">
        <v>24</v>
      </c>
      <c r="C8337" s="2">
        <v>55</v>
      </c>
    </row>
    <row r="8338" spans="1:3" x14ac:dyDescent="0.25">
      <c r="A8338" s="3">
        <v>41432</v>
      </c>
      <c r="B8338" s="2" t="s">
        <v>43</v>
      </c>
      <c r="C8338" s="2">
        <v>24</v>
      </c>
    </row>
    <row r="8339" spans="1:3" x14ac:dyDescent="0.25">
      <c r="A8339" s="3">
        <v>41292</v>
      </c>
      <c r="B8339" s="2" t="s">
        <v>5</v>
      </c>
      <c r="C8339" s="2">
        <v>33</v>
      </c>
    </row>
    <row r="8340" spans="1:3" x14ac:dyDescent="0.25">
      <c r="A8340" s="3">
        <v>41907</v>
      </c>
      <c r="B8340" s="2" t="s">
        <v>50</v>
      </c>
      <c r="C8340" s="2">
        <v>38</v>
      </c>
    </row>
    <row r="8341" spans="1:3" x14ac:dyDescent="0.25">
      <c r="A8341" s="3">
        <v>41673</v>
      </c>
      <c r="B8341" s="2" t="s">
        <v>3</v>
      </c>
      <c r="C8341" s="2">
        <v>10</v>
      </c>
    </row>
    <row r="8342" spans="1:3" x14ac:dyDescent="0.25">
      <c r="A8342" s="3">
        <v>41571</v>
      </c>
      <c r="B8342" s="2" t="s">
        <v>37</v>
      </c>
      <c r="C8342" s="2">
        <v>25</v>
      </c>
    </row>
    <row r="8343" spans="1:3" x14ac:dyDescent="0.25">
      <c r="A8343" s="3">
        <v>41297</v>
      </c>
      <c r="B8343" s="2" t="s">
        <v>9</v>
      </c>
      <c r="C8343" s="2">
        <v>27</v>
      </c>
    </row>
    <row r="8344" spans="1:3" x14ac:dyDescent="0.25">
      <c r="A8344" s="3">
        <v>41913</v>
      </c>
      <c r="B8344" s="2" t="s">
        <v>17</v>
      </c>
      <c r="C8344" s="2">
        <v>34</v>
      </c>
    </row>
    <row r="8345" spans="1:3" x14ac:dyDescent="0.25">
      <c r="A8345" s="3">
        <v>41954</v>
      </c>
      <c r="B8345" s="2" t="s">
        <v>3</v>
      </c>
      <c r="C8345" s="2">
        <v>17</v>
      </c>
    </row>
    <row r="8346" spans="1:3" x14ac:dyDescent="0.25">
      <c r="A8346" s="3">
        <v>41536</v>
      </c>
      <c r="B8346" s="2" t="s">
        <v>21</v>
      </c>
      <c r="C8346" s="2">
        <v>9</v>
      </c>
    </row>
    <row r="8347" spans="1:3" x14ac:dyDescent="0.25">
      <c r="A8347" s="3">
        <v>41776</v>
      </c>
      <c r="B8347" s="2" t="s">
        <v>39</v>
      </c>
      <c r="C8347" s="2">
        <v>34</v>
      </c>
    </row>
    <row r="8348" spans="1:3" x14ac:dyDescent="0.25">
      <c r="A8348" s="3">
        <v>41951</v>
      </c>
      <c r="B8348" s="2" t="s">
        <v>20</v>
      </c>
      <c r="C8348" s="2">
        <v>55</v>
      </c>
    </row>
    <row r="8349" spans="1:3" x14ac:dyDescent="0.25">
      <c r="A8349" s="3">
        <v>41332</v>
      </c>
      <c r="B8349" s="2" t="s">
        <v>51</v>
      </c>
      <c r="C8349" s="2">
        <v>13</v>
      </c>
    </row>
    <row r="8350" spans="1:3" x14ac:dyDescent="0.25">
      <c r="A8350" s="3">
        <v>41734</v>
      </c>
      <c r="B8350" s="2" t="s">
        <v>10</v>
      </c>
      <c r="C8350" s="2">
        <v>26</v>
      </c>
    </row>
    <row r="8351" spans="1:3" x14ac:dyDescent="0.25">
      <c r="A8351" s="3">
        <v>41458</v>
      </c>
      <c r="B8351" s="2" t="s">
        <v>48</v>
      </c>
      <c r="C8351" s="2">
        <v>53</v>
      </c>
    </row>
    <row r="8352" spans="1:3" x14ac:dyDescent="0.25">
      <c r="A8352" s="3">
        <v>41435</v>
      </c>
      <c r="B8352" s="2" t="s">
        <v>40</v>
      </c>
      <c r="C8352" s="2">
        <v>35</v>
      </c>
    </row>
    <row r="8353" spans="1:3" x14ac:dyDescent="0.25">
      <c r="A8353" s="3">
        <v>41438</v>
      </c>
      <c r="B8353" s="2" t="s">
        <v>3</v>
      </c>
      <c r="C8353" s="2">
        <v>20</v>
      </c>
    </row>
    <row r="8354" spans="1:3" x14ac:dyDescent="0.25">
      <c r="A8354" s="3">
        <v>41850</v>
      </c>
      <c r="B8354" s="2" t="s">
        <v>32</v>
      </c>
      <c r="C8354" s="2">
        <v>25</v>
      </c>
    </row>
    <row r="8355" spans="1:3" x14ac:dyDescent="0.25">
      <c r="A8355" s="3">
        <v>41850</v>
      </c>
      <c r="B8355" s="2" t="s">
        <v>15</v>
      </c>
      <c r="C8355" s="2">
        <v>9</v>
      </c>
    </row>
    <row r="8356" spans="1:3" x14ac:dyDescent="0.25">
      <c r="A8356" s="3">
        <v>41936</v>
      </c>
      <c r="B8356" s="2" t="s">
        <v>37</v>
      </c>
      <c r="C8356" s="2">
        <v>33</v>
      </c>
    </row>
    <row r="8357" spans="1:3" x14ac:dyDescent="0.25">
      <c r="A8357" s="3">
        <v>41521</v>
      </c>
      <c r="B8357" s="2" t="s">
        <v>19</v>
      </c>
      <c r="C8357" s="2">
        <v>35</v>
      </c>
    </row>
    <row r="8358" spans="1:3" x14ac:dyDescent="0.25">
      <c r="A8358" s="3">
        <v>41733</v>
      </c>
      <c r="B8358" s="2" t="s">
        <v>2</v>
      </c>
      <c r="C8358" s="2">
        <v>19</v>
      </c>
    </row>
    <row r="8359" spans="1:3" x14ac:dyDescent="0.25">
      <c r="A8359" s="3">
        <v>41661</v>
      </c>
      <c r="B8359" s="2" t="s">
        <v>26</v>
      </c>
      <c r="C8359" s="2">
        <v>24</v>
      </c>
    </row>
    <row r="8360" spans="1:3" x14ac:dyDescent="0.25">
      <c r="A8360" s="3">
        <v>41746</v>
      </c>
      <c r="B8360" s="2" t="s">
        <v>17</v>
      </c>
      <c r="C8360" s="2">
        <v>19</v>
      </c>
    </row>
    <row r="8361" spans="1:3" x14ac:dyDescent="0.25">
      <c r="A8361" s="3">
        <v>41468</v>
      </c>
      <c r="B8361" s="2" t="s">
        <v>25</v>
      </c>
      <c r="C8361" s="2">
        <v>24</v>
      </c>
    </row>
    <row r="8362" spans="1:3" x14ac:dyDescent="0.25">
      <c r="A8362" s="3">
        <v>41863</v>
      </c>
      <c r="B8362" s="2" t="s">
        <v>9</v>
      </c>
      <c r="C8362" s="2">
        <v>43</v>
      </c>
    </row>
    <row r="8363" spans="1:3" x14ac:dyDescent="0.25">
      <c r="A8363" s="3">
        <v>41656</v>
      </c>
      <c r="B8363" s="2" t="s">
        <v>25</v>
      </c>
      <c r="C8363" s="2">
        <v>31</v>
      </c>
    </row>
    <row r="8364" spans="1:3" x14ac:dyDescent="0.25">
      <c r="A8364" s="3">
        <v>41419</v>
      </c>
      <c r="B8364" s="2" t="s">
        <v>38</v>
      </c>
      <c r="C8364" s="2">
        <v>21</v>
      </c>
    </row>
    <row r="8365" spans="1:3" x14ac:dyDescent="0.25">
      <c r="A8365" s="3">
        <v>41501</v>
      </c>
      <c r="B8365" s="2" t="s">
        <v>49</v>
      </c>
      <c r="C8365" s="2">
        <v>33</v>
      </c>
    </row>
    <row r="8366" spans="1:3" x14ac:dyDescent="0.25">
      <c r="A8366" s="3">
        <v>41694</v>
      </c>
      <c r="B8366" s="2" t="s">
        <v>50</v>
      </c>
      <c r="C8366" s="2">
        <v>18</v>
      </c>
    </row>
    <row r="8367" spans="1:3" x14ac:dyDescent="0.25">
      <c r="A8367" s="3">
        <v>41698</v>
      </c>
      <c r="B8367" s="2" t="s">
        <v>23</v>
      </c>
      <c r="C8367" s="2">
        <v>41</v>
      </c>
    </row>
    <row r="8368" spans="1:3" x14ac:dyDescent="0.25">
      <c r="A8368" s="3">
        <v>41798</v>
      </c>
      <c r="B8368" s="2" t="s">
        <v>32</v>
      </c>
      <c r="C8368" s="2">
        <v>25</v>
      </c>
    </row>
    <row r="8369" spans="1:3" x14ac:dyDescent="0.25">
      <c r="A8369" s="3">
        <v>41554</v>
      </c>
      <c r="B8369" s="2" t="s">
        <v>31</v>
      </c>
      <c r="C8369" s="2">
        <v>36</v>
      </c>
    </row>
    <row r="8370" spans="1:3" x14ac:dyDescent="0.25">
      <c r="A8370" s="3">
        <v>41473</v>
      </c>
      <c r="B8370" s="2" t="s">
        <v>42</v>
      </c>
      <c r="C8370" s="2">
        <v>9</v>
      </c>
    </row>
    <row r="8371" spans="1:3" x14ac:dyDescent="0.25">
      <c r="A8371" s="3">
        <v>41643</v>
      </c>
      <c r="B8371" s="2" t="s">
        <v>3</v>
      </c>
      <c r="C8371" s="2">
        <v>22</v>
      </c>
    </row>
    <row r="8372" spans="1:3" x14ac:dyDescent="0.25">
      <c r="A8372" s="3">
        <v>41883</v>
      </c>
      <c r="B8372" s="2" t="s">
        <v>33</v>
      </c>
      <c r="C8372" s="2">
        <v>58</v>
      </c>
    </row>
    <row r="8373" spans="1:3" x14ac:dyDescent="0.25">
      <c r="A8373" s="3">
        <v>41578</v>
      </c>
      <c r="B8373" s="2" t="s">
        <v>49</v>
      </c>
      <c r="C8373" s="2">
        <v>8</v>
      </c>
    </row>
    <row r="8374" spans="1:3" x14ac:dyDescent="0.25">
      <c r="A8374" s="3">
        <v>41293</v>
      </c>
      <c r="B8374" s="2" t="s">
        <v>28</v>
      </c>
      <c r="C8374" s="2">
        <v>20</v>
      </c>
    </row>
    <row r="8375" spans="1:3" x14ac:dyDescent="0.25">
      <c r="A8375" s="3">
        <v>41942</v>
      </c>
      <c r="B8375" s="2" t="s">
        <v>43</v>
      </c>
      <c r="C8375" s="2">
        <v>46</v>
      </c>
    </row>
    <row r="8376" spans="1:3" x14ac:dyDescent="0.25">
      <c r="A8376" s="3">
        <v>41688</v>
      </c>
      <c r="B8376" s="2" t="s">
        <v>14</v>
      </c>
      <c r="C8376" s="2">
        <v>16</v>
      </c>
    </row>
    <row r="8377" spans="1:3" x14ac:dyDescent="0.25">
      <c r="A8377" s="3">
        <v>41653</v>
      </c>
      <c r="B8377" s="2" t="s">
        <v>43</v>
      </c>
      <c r="C8377" s="2">
        <v>2</v>
      </c>
    </row>
    <row r="8378" spans="1:3" x14ac:dyDescent="0.25">
      <c r="A8378" s="3">
        <v>41458</v>
      </c>
      <c r="B8378" s="2" t="s">
        <v>31</v>
      </c>
      <c r="C8378" s="2">
        <v>34</v>
      </c>
    </row>
    <row r="8379" spans="1:3" x14ac:dyDescent="0.25">
      <c r="A8379" s="3">
        <v>41748</v>
      </c>
      <c r="B8379" s="2" t="s">
        <v>16</v>
      </c>
      <c r="C8379" s="2">
        <v>14</v>
      </c>
    </row>
    <row r="8380" spans="1:3" x14ac:dyDescent="0.25">
      <c r="A8380" s="3">
        <v>41385</v>
      </c>
      <c r="B8380" s="2" t="s">
        <v>5</v>
      </c>
      <c r="C8380" s="2">
        <v>6</v>
      </c>
    </row>
    <row r="8381" spans="1:3" x14ac:dyDescent="0.25">
      <c r="A8381" s="3">
        <v>41620</v>
      </c>
      <c r="B8381" s="2" t="s">
        <v>48</v>
      </c>
      <c r="C8381" s="2">
        <v>49</v>
      </c>
    </row>
    <row r="8382" spans="1:3" x14ac:dyDescent="0.25">
      <c r="A8382" s="3">
        <v>41491</v>
      </c>
      <c r="B8382" s="2" t="s">
        <v>15</v>
      </c>
      <c r="C8382" s="2">
        <v>19</v>
      </c>
    </row>
    <row r="8383" spans="1:3" x14ac:dyDescent="0.25">
      <c r="A8383" s="3">
        <v>41508</v>
      </c>
      <c r="B8383" s="2" t="s">
        <v>37</v>
      </c>
      <c r="C8383" s="2">
        <v>40</v>
      </c>
    </row>
    <row r="8384" spans="1:3" x14ac:dyDescent="0.25">
      <c r="A8384" s="3">
        <v>41955</v>
      </c>
      <c r="B8384" s="2" t="s">
        <v>15</v>
      </c>
      <c r="C8384" s="2">
        <v>26</v>
      </c>
    </row>
    <row r="8385" spans="1:3" x14ac:dyDescent="0.25">
      <c r="A8385" s="3">
        <v>41807</v>
      </c>
      <c r="B8385" s="2" t="s">
        <v>3</v>
      </c>
      <c r="C8385" s="2">
        <v>48</v>
      </c>
    </row>
    <row r="8386" spans="1:3" x14ac:dyDescent="0.25">
      <c r="A8386" s="3">
        <v>41433</v>
      </c>
      <c r="B8386" s="2" t="s">
        <v>51</v>
      </c>
      <c r="C8386" s="2">
        <v>19</v>
      </c>
    </row>
    <row r="8387" spans="1:3" x14ac:dyDescent="0.25">
      <c r="A8387" s="3">
        <v>41608</v>
      </c>
      <c r="B8387" s="2" t="s">
        <v>16</v>
      </c>
      <c r="C8387" s="2">
        <v>32</v>
      </c>
    </row>
    <row r="8388" spans="1:3" x14ac:dyDescent="0.25">
      <c r="A8388" s="3">
        <v>41288</v>
      </c>
      <c r="B8388" s="2" t="s">
        <v>2</v>
      </c>
      <c r="C8388" s="2">
        <v>3</v>
      </c>
    </row>
    <row r="8389" spans="1:3" x14ac:dyDescent="0.25">
      <c r="A8389" s="3">
        <v>41752</v>
      </c>
      <c r="B8389" s="2" t="s">
        <v>43</v>
      </c>
      <c r="C8389" s="2">
        <v>26</v>
      </c>
    </row>
    <row r="8390" spans="1:3" x14ac:dyDescent="0.25">
      <c r="A8390" s="3">
        <v>41787</v>
      </c>
      <c r="B8390" s="2" t="s">
        <v>19</v>
      </c>
      <c r="C8390" s="2">
        <v>27</v>
      </c>
    </row>
    <row r="8391" spans="1:3" x14ac:dyDescent="0.25">
      <c r="A8391" s="3">
        <v>41806</v>
      </c>
      <c r="B8391" s="2" t="s">
        <v>40</v>
      </c>
      <c r="C8391" s="2">
        <v>28</v>
      </c>
    </row>
    <row r="8392" spans="1:3" x14ac:dyDescent="0.25">
      <c r="A8392" s="3">
        <v>41933</v>
      </c>
      <c r="B8392" s="2" t="s">
        <v>47</v>
      </c>
      <c r="C8392" s="2">
        <v>31</v>
      </c>
    </row>
    <row r="8393" spans="1:3" x14ac:dyDescent="0.25">
      <c r="A8393" s="3">
        <v>41903</v>
      </c>
      <c r="B8393" s="2" t="s">
        <v>27</v>
      </c>
      <c r="C8393" s="2">
        <v>24</v>
      </c>
    </row>
    <row r="8394" spans="1:3" x14ac:dyDescent="0.25">
      <c r="A8394" s="3">
        <v>41765</v>
      </c>
      <c r="B8394" s="2" t="s">
        <v>35</v>
      </c>
      <c r="C8394" s="2">
        <v>37</v>
      </c>
    </row>
    <row r="8395" spans="1:3" x14ac:dyDescent="0.25">
      <c r="A8395" s="3">
        <v>41964</v>
      </c>
      <c r="B8395" s="2" t="s">
        <v>22</v>
      </c>
      <c r="C8395" s="2">
        <v>34</v>
      </c>
    </row>
    <row r="8396" spans="1:3" x14ac:dyDescent="0.25">
      <c r="A8396" s="3">
        <v>41500</v>
      </c>
      <c r="B8396" s="2" t="s">
        <v>35</v>
      </c>
      <c r="C8396" s="2">
        <v>41</v>
      </c>
    </row>
    <row r="8397" spans="1:3" x14ac:dyDescent="0.25">
      <c r="A8397" s="3">
        <v>41826</v>
      </c>
      <c r="B8397" s="2" t="s">
        <v>32</v>
      </c>
      <c r="C8397" s="2">
        <v>44</v>
      </c>
    </row>
    <row r="8398" spans="1:3" x14ac:dyDescent="0.25">
      <c r="A8398" s="3">
        <v>41391</v>
      </c>
      <c r="B8398" s="2" t="s">
        <v>34</v>
      </c>
      <c r="C8398" s="2">
        <v>23</v>
      </c>
    </row>
    <row r="8399" spans="1:3" x14ac:dyDescent="0.25">
      <c r="A8399" s="3">
        <v>41824</v>
      </c>
      <c r="B8399" s="2" t="s">
        <v>14</v>
      </c>
      <c r="C8399" s="2">
        <v>10</v>
      </c>
    </row>
    <row r="8400" spans="1:3" x14ac:dyDescent="0.25">
      <c r="A8400" s="3">
        <v>41860</v>
      </c>
      <c r="B8400" s="2" t="s">
        <v>13</v>
      </c>
      <c r="C8400" s="2">
        <v>46</v>
      </c>
    </row>
    <row r="8401" spans="1:3" x14ac:dyDescent="0.25">
      <c r="A8401" s="3">
        <v>41684</v>
      </c>
      <c r="B8401" s="2" t="s">
        <v>16</v>
      </c>
      <c r="C8401" s="2">
        <v>17</v>
      </c>
    </row>
    <row r="8402" spans="1:3" x14ac:dyDescent="0.25">
      <c r="A8402" s="3">
        <v>41796</v>
      </c>
      <c r="B8402" s="2" t="s">
        <v>2</v>
      </c>
      <c r="C8402" s="2">
        <v>12</v>
      </c>
    </row>
    <row r="8403" spans="1:3" x14ac:dyDescent="0.25">
      <c r="A8403" s="3">
        <v>41603</v>
      </c>
      <c r="B8403" s="2" t="s">
        <v>47</v>
      </c>
      <c r="C8403" s="2">
        <v>33</v>
      </c>
    </row>
    <row r="8404" spans="1:3" x14ac:dyDescent="0.25">
      <c r="A8404" s="3">
        <v>41726</v>
      </c>
      <c r="B8404" s="2" t="s">
        <v>44</v>
      </c>
      <c r="C8404" s="2">
        <v>11</v>
      </c>
    </row>
    <row r="8405" spans="1:3" x14ac:dyDescent="0.25">
      <c r="A8405" s="3">
        <v>41472</v>
      </c>
      <c r="B8405" s="2" t="s">
        <v>7</v>
      </c>
      <c r="C8405" s="2">
        <v>38</v>
      </c>
    </row>
    <row r="8406" spans="1:3" x14ac:dyDescent="0.25">
      <c r="A8406" s="3">
        <v>41505</v>
      </c>
      <c r="B8406" s="2" t="s">
        <v>32</v>
      </c>
      <c r="C8406" s="2">
        <v>40</v>
      </c>
    </row>
    <row r="8407" spans="1:3" x14ac:dyDescent="0.25">
      <c r="A8407" s="3">
        <v>41960</v>
      </c>
      <c r="B8407" s="2" t="s">
        <v>42</v>
      </c>
      <c r="C8407" s="2">
        <v>55</v>
      </c>
    </row>
    <row r="8408" spans="1:3" x14ac:dyDescent="0.25">
      <c r="A8408" s="3">
        <v>41516</v>
      </c>
      <c r="B8408" s="2" t="s">
        <v>21</v>
      </c>
      <c r="C8408" s="2">
        <v>9</v>
      </c>
    </row>
    <row r="8409" spans="1:3" x14ac:dyDescent="0.25">
      <c r="A8409" s="3">
        <v>41539</v>
      </c>
      <c r="B8409" s="2" t="s">
        <v>27</v>
      </c>
      <c r="C8409" s="2">
        <v>30</v>
      </c>
    </row>
    <row r="8410" spans="1:3" x14ac:dyDescent="0.25">
      <c r="A8410" s="3">
        <v>41478</v>
      </c>
      <c r="B8410" s="2" t="s">
        <v>36</v>
      </c>
      <c r="C8410" s="2">
        <v>11</v>
      </c>
    </row>
    <row r="8411" spans="1:3" x14ac:dyDescent="0.25">
      <c r="A8411" s="3">
        <v>41356</v>
      </c>
      <c r="B8411" s="2" t="s">
        <v>19</v>
      </c>
      <c r="C8411" s="2">
        <v>28</v>
      </c>
    </row>
    <row r="8412" spans="1:3" x14ac:dyDescent="0.25">
      <c r="A8412" s="3">
        <v>41572</v>
      </c>
      <c r="B8412" s="2" t="s">
        <v>42</v>
      </c>
      <c r="C8412" s="2">
        <v>24</v>
      </c>
    </row>
    <row r="8413" spans="1:3" x14ac:dyDescent="0.25">
      <c r="A8413" s="3">
        <v>41744</v>
      </c>
      <c r="B8413" s="2" t="s">
        <v>46</v>
      </c>
      <c r="C8413" s="2">
        <v>21</v>
      </c>
    </row>
    <row r="8414" spans="1:3" x14ac:dyDescent="0.25">
      <c r="A8414" s="3">
        <v>41527</v>
      </c>
      <c r="B8414" s="2" t="s">
        <v>47</v>
      </c>
      <c r="C8414" s="2">
        <v>22</v>
      </c>
    </row>
    <row r="8415" spans="1:3" x14ac:dyDescent="0.25">
      <c r="A8415" s="3">
        <v>41884</v>
      </c>
      <c r="B8415" s="2" t="s">
        <v>30</v>
      </c>
      <c r="C8415" s="2">
        <v>36</v>
      </c>
    </row>
    <row r="8416" spans="1:3" x14ac:dyDescent="0.25">
      <c r="A8416" s="3">
        <v>41364</v>
      </c>
      <c r="B8416" s="2" t="s">
        <v>13</v>
      </c>
      <c r="C8416" s="2">
        <v>34</v>
      </c>
    </row>
    <row r="8417" spans="1:3" x14ac:dyDescent="0.25">
      <c r="A8417" s="3">
        <v>41769</v>
      </c>
      <c r="B8417" s="2" t="s">
        <v>20</v>
      </c>
      <c r="C8417" s="2">
        <v>24</v>
      </c>
    </row>
    <row r="8418" spans="1:3" x14ac:dyDescent="0.25">
      <c r="A8418" s="3">
        <v>41470</v>
      </c>
      <c r="B8418" s="2" t="s">
        <v>40</v>
      </c>
      <c r="C8418" s="2">
        <v>13</v>
      </c>
    </row>
    <row r="8419" spans="1:3" x14ac:dyDescent="0.25">
      <c r="A8419" s="3">
        <v>41410</v>
      </c>
      <c r="B8419" s="2" t="s">
        <v>5</v>
      </c>
      <c r="C8419" s="2">
        <v>59</v>
      </c>
    </row>
    <row r="8420" spans="1:3" x14ac:dyDescent="0.25">
      <c r="A8420" s="3">
        <v>41855</v>
      </c>
      <c r="B8420" s="2" t="s">
        <v>48</v>
      </c>
      <c r="C8420" s="2">
        <v>27</v>
      </c>
    </row>
    <row r="8421" spans="1:3" x14ac:dyDescent="0.25">
      <c r="A8421" s="3">
        <v>41459</v>
      </c>
      <c r="B8421" s="2" t="s">
        <v>36</v>
      </c>
      <c r="C8421" s="2">
        <v>4</v>
      </c>
    </row>
    <row r="8422" spans="1:3" x14ac:dyDescent="0.25">
      <c r="A8422" s="3">
        <v>41379</v>
      </c>
      <c r="B8422" s="2" t="s">
        <v>33</v>
      </c>
      <c r="C8422" s="2">
        <v>29</v>
      </c>
    </row>
    <row r="8423" spans="1:3" x14ac:dyDescent="0.25">
      <c r="A8423" s="3">
        <v>41764</v>
      </c>
      <c r="B8423" s="2" t="s">
        <v>45</v>
      </c>
      <c r="C8423" s="2">
        <v>40</v>
      </c>
    </row>
    <row r="8424" spans="1:3" x14ac:dyDescent="0.25">
      <c r="A8424" s="3">
        <v>41751</v>
      </c>
      <c r="B8424" s="2" t="s">
        <v>39</v>
      </c>
      <c r="C8424" s="2">
        <v>6</v>
      </c>
    </row>
    <row r="8425" spans="1:3" x14ac:dyDescent="0.25">
      <c r="A8425" s="3">
        <v>41291</v>
      </c>
      <c r="B8425" s="2" t="s">
        <v>4</v>
      </c>
      <c r="C8425" s="2">
        <v>30</v>
      </c>
    </row>
    <row r="8426" spans="1:3" x14ac:dyDescent="0.25">
      <c r="A8426" s="3">
        <v>41945</v>
      </c>
      <c r="B8426" s="2" t="s">
        <v>5</v>
      </c>
      <c r="C8426" s="2">
        <v>25</v>
      </c>
    </row>
    <row r="8427" spans="1:3" x14ac:dyDescent="0.25">
      <c r="A8427" s="3">
        <v>41967</v>
      </c>
      <c r="B8427" s="2" t="s">
        <v>50</v>
      </c>
      <c r="C8427" s="2">
        <v>17</v>
      </c>
    </row>
    <row r="8428" spans="1:3" x14ac:dyDescent="0.25">
      <c r="A8428" s="3">
        <v>41275</v>
      </c>
      <c r="B8428" s="2" t="s">
        <v>27</v>
      </c>
      <c r="C8428" s="2">
        <v>21</v>
      </c>
    </row>
    <row r="8429" spans="1:3" x14ac:dyDescent="0.25">
      <c r="A8429" s="3">
        <v>41711</v>
      </c>
      <c r="B8429" s="2" t="s">
        <v>41</v>
      </c>
      <c r="C8429" s="2">
        <v>24</v>
      </c>
    </row>
    <row r="8430" spans="1:3" x14ac:dyDescent="0.25">
      <c r="A8430" s="3">
        <v>41791</v>
      </c>
      <c r="B8430" s="2" t="s">
        <v>9</v>
      </c>
      <c r="C8430" s="2">
        <v>31</v>
      </c>
    </row>
    <row r="8431" spans="1:3" x14ac:dyDescent="0.25">
      <c r="A8431" s="3">
        <v>41354</v>
      </c>
      <c r="B8431" s="2" t="s">
        <v>10</v>
      </c>
      <c r="C8431" s="2">
        <v>20</v>
      </c>
    </row>
    <row r="8432" spans="1:3" x14ac:dyDescent="0.25">
      <c r="A8432" s="3">
        <v>41325</v>
      </c>
      <c r="B8432" s="2" t="s">
        <v>27</v>
      </c>
      <c r="C8432" s="2">
        <v>24</v>
      </c>
    </row>
    <row r="8433" spans="1:3" x14ac:dyDescent="0.25">
      <c r="A8433" s="3">
        <v>41603</v>
      </c>
      <c r="B8433" s="2" t="s">
        <v>9</v>
      </c>
      <c r="C8433" s="2">
        <v>13</v>
      </c>
    </row>
    <row r="8434" spans="1:3" x14ac:dyDescent="0.25">
      <c r="A8434" s="3">
        <v>41814</v>
      </c>
      <c r="B8434" s="2" t="s">
        <v>13</v>
      </c>
      <c r="C8434" s="2">
        <v>5</v>
      </c>
    </row>
    <row r="8435" spans="1:3" x14ac:dyDescent="0.25">
      <c r="A8435" s="3">
        <v>41408</v>
      </c>
      <c r="B8435" s="2" t="s">
        <v>13</v>
      </c>
      <c r="C8435" s="2">
        <v>23</v>
      </c>
    </row>
    <row r="8436" spans="1:3" x14ac:dyDescent="0.25">
      <c r="A8436" s="3">
        <v>41975</v>
      </c>
      <c r="B8436" s="2" t="s">
        <v>43</v>
      </c>
      <c r="C8436" s="2">
        <v>27</v>
      </c>
    </row>
    <row r="8437" spans="1:3" x14ac:dyDescent="0.25">
      <c r="A8437" s="3">
        <v>41954</v>
      </c>
      <c r="B8437" s="2" t="s">
        <v>26</v>
      </c>
      <c r="C8437" s="2">
        <v>24</v>
      </c>
    </row>
    <row r="8438" spans="1:3" x14ac:dyDescent="0.25">
      <c r="A8438" s="3">
        <v>41329</v>
      </c>
      <c r="B8438" s="2" t="s">
        <v>51</v>
      </c>
      <c r="C8438" s="2">
        <v>27</v>
      </c>
    </row>
    <row r="8439" spans="1:3" x14ac:dyDescent="0.25">
      <c r="A8439" s="3">
        <v>41457</v>
      </c>
      <c r="B8439" s="2" t="s">
        <v>4</v>
      </c>
      <c r="C8439" s="2">
        <v>34</v>
      </c>
    </row>
    <row r="8440" spans="1:3" x14ac:dyDescent="0.25">
      <c r="A8440" s="3">
        <v>41745</v>
      </c>
      <c r="B8440" s="2" t="s">
        <v>16</v>
      </c>
      <c r="C8440" s="2">
        <v>29</v>
      </c>
    </row>
    <row r="8441" spans="1:3" x14ac:dyDescent="0.25">
      <c r="A8441" s="3">
        <v>41646</v>
      </c>
      <c r="B8441" s="2" t="s">
        <v>19</v>
      </c>
      <c r="C8441" s="2">
        <v>41</v>
      </c>
    </row>
    <row r="8442" spans="1:3" x14ac:dyDescent="0.25">
      <c r="A8442" s="3">
        <v>41334</v>
      </c>
      <c r="B8442" s="2" t="s">
        <v>14</v>
      </c>
      <c r="C8442" s="2">
        <v>16</v>
      </c>
    </row>
    <row r="8443" spans="1:3" x14ac:dyDescent="0.25">
      <c r="A8443" s="3">
        <v>41356</v>
      </c>
      <c r="B8443" s="2" t="s">
        <v>48</v>
      </c>
      <c r="C8443" s="2">
        <v>34</v>
      </c>
    </row>
    <row r="8444" spans="1:3" x14ac:dyDescent="0.25">
      <c r="A8444" s="3">
        <v>41799</v>
      </c>
      <c r="B8444" s="2" t="s">
        <v>25</v>
      </c>
      <c r="C8444" s="2">
        <v>6</v>
      </c>
    </row>
    <row r="8445" spans="1:3" x14ac:dyDescent="0.25">
      <c r="A8445" s="3">
        <v>41479</v>
      </c>
      <c r="B8445" s="2" t="s">
        <v>4</v>
      </c>
      <c r="C8445" s="2">
        <v>20</v>
      </c>
    </row>
    <row r="8446" spans="1:3" x14ac:dyDescent="0.25">
      <c r="A8446" s="3">
        <v>41913</v>
      </c>
      <c r="B8446" s="2" t="s">
        <v>21</v>
      </c>
      <c r="C8446" s="2">
        <v>16</v>
      </c>
    </row>
    <row r="8447" spans="1:3" x14ac:dyDescent="0.25">
      <c r="A8447" s="3">
        <v>41745</v>
      </c>
      <c r="B8447" s="2" t="s">
        <v>14</v>
      </c>
      <c r="C8447" s="2">
        <v>27</v>
      </c>
    </row>
    <row r="8448" spans="1:3" x14ac:dyDescent="0.25">
      <c r="A8448" s="3">
        <v>41454</v>
      </c>
      <c r="B8448" s="2" t="s">
        <v>37</v>
      </c>
      <c r="C8448" s="2">
        <v>23</v>
      </c>
    </row>
    <row r="8449" spans="1:3" x14ac:dyDescent="0.25">
      <c r="A8449" s="3">
        <v>41700</v>
      </c>
      <c r="B8449" s="2" t="s">
        <v>14</v>
      </c>
      <c r="C8449" s="2">
        <v>15</v>
      </c>
    </row>
    <row r="8450" spans="1:3" x14ac:dyDescent="0.25">
      <c r="A8450" s="3">
        <v>41701</v>
      </c>
      <c r="B8450" s="2" t="s">
        <v>42</v>
      </c>
      <c r="C8450" s="2">
        <v>46</v>
      </c>
    </row>
    <row r="8451" spans="1:3" x14ac:dyDescent="0.25">
      <c r="A8451" s="3">
        <v>41456</v>
      </c>
      <c r="B8451" s="2" t="s">
        <v>44</v>
      </c>
      <c r="C8451" s="2">
        <v>12</v>
      </c>
    </row>
    <row r="8452" spans="1:3" x14ac:dyDescent="0.25">
      <c r="A8452" s="3">
        <v>41287</v>
      </c>
      <c r="B8452" s="2" t="s">
        <v>51</v>
      </c>
      <c r="C8452" s="2">
        <v>31</v>
      </c>
    </row>
    <row r="8453" spans="1:3" x14ac:dyDescent="0.25">
      <c r="A8453" s="3">
        <v>41674</v>
      </c>
      <c r="B8453" s="2" t="s">
        <v>48</v>
      </c>
      <c r="C8453" s="2">
        <v>20</v>
      </c>
    </row>
    <row r="8454" spans="1:3" x14ac:dyDescent="0.25">
      <c r="A8454" s="3">
        <v>41709</v>
      </c>
      <c r="B8454" s="2" t="s">
        <v>32</v>
      </c>
      <c r="C8454" s="2">
        <v>55</v>
      </c>
    </row>
    <row r="8455" spans="1:3" x14ac:dyDescent="0.25">
      <c r="A8455" s="3">
        <v>41610</v>
      </c>
      <c r="B8455" s="2" t="s">
        <v>23</v>
      </c>
      <c r="C8455" s="2">
        <v>44</v>
      </c>
    </row>
    <row r="8456" spans="1:3" x14ac:dyDescent="0.25">
      <c r="A8456" s="3">
        <v>41969</v>
      </c>
      <c r="B8456" s="2" t="s">
        <v>51</v>
      </c>
      <c r="C8456" s="2">
        <v>2</v>
      </c>
    </row>
    <row r="8457" spans="1:3" x14ac:dyDescent="0.25">
      <c r="A8457" s="3">
        <v>41865</v>
      </c>
      <c r="B8457" s="2" t="s">
        <v>24</v>
      </c>
      <c r="C8457" s="2">
        <v>38</v>
      </c>
    </row>
    <row r="8458" spans="1:3" x14ac:dyDescent="0.25">
      <c r="A8458" s="3">
        <v>41349</v>
      </c>
      <c r="B8458" s="2" t="s">
        <v>39</v>
      </c>
      <c r="C8458" s="2">
        <v>8</v>
      </c>
    </row>
    <row r="8459" spans="1:3" x14ac:dyDescent="0.25">
      <c r="A8459" s="3">
        <v>41686</v>
      </c>
      <c r="B8459" s="2" t="s">
        <v>26</v>
      </c>
      <c r="C8459" s="2">
        <v>20</v>
      </c>
    </row>
    <row r="8460" spans="1:3" x14ac:dyDescent="0.25">
      <c r="A8460" s="3">
        <v>41932</v>
      </c>
      <c r="B8460" s="2" t="s">
        <v>18</v>
      </c>
      <c r="C8460" s="2">
        <v>12</v>
      </c>
    </row>
    <row r="8461" spans="1:3" x14ac:dyDescent="0.25">
      <c r="A8461" s="3">
        <v>41754</v>
      </c>
      <c r="B8461" s="2" t="s">
        <v>41</v>
      </c>
      <c r="C8461" s="2">
        <v>24</v>
      </c>
    </row>
    <row r="8462" spans="1:3" x14ac:dyDescent="0.25">
      <c r="A8462" s="3">
        <v>41952</v>
      </c>
      <c r="B8462" s="2" t="s">
        <v>27</v>
      </c>
      <c r="C8462" s="2">
        <v>28</v>
      </c>
    </row>
    <row r="8463" spans="1:3" x14ac:dyDescent="0.25">
      <c r="A8463" s="3">
        <v>41491</v>
      </c>
      <c r="B8463" s="2" t="s">
        <v>21</v>
      </c>
      <c r="C8463" s="2">
        <v>32</v>
      </c>
    </row>
    <row r="8464" spans="1:3" x14ac:dyDescent="0.25">
      <c r="A8464" s="3">
        <v>41983</v>
      </c>
      <c r="B8464" s="2" t="s">
        <v>22</v>
      </c>
      <c r="C8464" s="2">
        <v>19</v>
      </c>
    </row>
    <row r="8465" spans="1:3" x14ac:dyDescent="0.25">
      <c r="A8465" s="3">
        <v>41516</v>
      </c>
      <c r="B8465" s="2" t="s">
        <v>8</v>
      </c>
      <c r="C8465" s="2">
        <v>27</v>
      </c>
    </row>
    <row r="8466" spans="1:3" x14ac:dyDescent="0.25">
      <c r="A8466" s="3">
        <v>41624</v>
      </c>
      <c r="B8466" s="2" t="s">
        <v>11</v>
      </c>
      <c r="C8466" s="2">
        <v>35</v>
      </c>
    </row>
    <row r="8467" spans="1:3" x14ac:dyDescent="0.25">
      <c r="A8467" s="3">
        <v>41903</v>
      </c>
      <c r="B8467" s="2" t="s">
        <v>22</v>
      </c>
      <c r="C8467" s="2">
        <v>2</v>
      </c>
    </row>
    <row r="8468" spans="1:3" x14ac:dyDescent="0.25">
      <c r="A8468" s="3">
        <v>41938</v>
      </c>
      <c r="B8468" s="2" t="s">
        <v>43</v>
      </c>
      <c r="C8468" s="2">
        <v>6</v>
      </c>
    </row>
    <row r="8469" spans="1:3" x14ac:dyDescent="0.25">
      <c r="A8469" s="3">
        <v>41913</v>
      </c>
      <c r="B8469" s="2" t="s">
        <v>21</v>
      </c>
      <c r="C8469" s="2">
        <v>34</v>
      </c>
    </row>
    <row r="8470" spans="1:3" x14ac:dyDescent="0.25">
      <c r="A8470" s="3">
        <v>41820</v>
      </c>
      <c r="B8470" s="2" t="s">
        <v>6</v>
      </c>
      <c r="C8470" s="2">
        <v>40</v>
      </c>
    </row>
    <row r="8471" spans="1:3" x14ac:dyDescent="0.25">
      <c r="A8471" s="3">
        <v>41286</v>
      </c>
      <c r="B8471" s="2" t="s">
        <v>7</v>
      </c>
      <c r="C8471" s="2">
        <v>40</v>
      </c>
    </row>
    <row r="8472" spans="1:3" x14ac:dyDescent="0.25">
      <c r="A8472" s="3">
        <v>41892</v>
      </c>
      <c r="B8472" s="2" t="s">
        <v>16</v>
      </c>
      <c r="C8472" s="2">
        <v>27</v>
      </c>
    </row>
    <row r="8473" spans="1:3" x14ac:dyDescent="0.25">
      <c r="A8473" s="3">
        <v>41695</v>
      </c>
      <c r="B8473" s="2" t="s">
        <v>10</v>
      </c>
      <c r="C8473" s="2">
        <v>17</v>
      </c>
    </row>
    <row r="8474" spans="1:3" x14ac:dyDescent="0.25">
      <c r="A8474" s="3">
        <v>41778</v>
      </c>
      <c r="B8474" s="2" t="s">
        <v>47</v>
      </c>
      <c r="C8474" s="2">
        <v>20</v>
      </c>
    </row>
    <row r="8475" spans="1:3" x14ac:dyDescent="0.25">
      <c r="A8475" s="3">
        <v>41920</v>
      </c>
      <c r="B8475" s="2" t="s">
        <v>32</v>
      </c>
      <c r="C8475" s="2">
        <v>23</v>
      </c>
    </row>
    <row r="8476" spans="1:3" x14ac:dyDescent="0.25">
      <c r="A8476" s="3">
        <v>41501</v>
      </c>
      <c r="B8476" s="2" t="s">
        <v>6</v>
      </c>
      <c r="C8476" s="2">
        <v>25</v>
      </c>
    </row>
    <row r="8477" spans="1:3" x14ac:dyDescent="0.25">
      <c r="A8477" s="3">
        <v>41924</v>
      </c>
      <c r="B8477" s="2" t="s">
        <v>6</v>
      </c>
      <c r="C8477" s="2">
        <v>18</v>
      </c>
    </row>
    <row r="8478" spans="1:3" x14ac:dyDescent="0.25">
      <c r="A8478" s="3">
        <v>41411</v>
      </c>
      <c r="B8478" s="2" t="s">
        <v>39</v>
      </c>
      <c r="C8478" s="2">
        <v>28</v>
      </c>
    </row>
    <row r="8479" spans="1:3" x14ac:dyDescent="0.25">
      <c r="A8479" s="3">
        <v>41804</v>
      </c>
      <c r="B8479" s="2" t="s">
        <v>7</v>
      </c>
      <c r="C8479" s="2">
        <v>30</v>
      </c>
    </row>
    <row r="8480" spans="1:3" x14ac:dyDescent="0.25">
      <c r="A8480" s="3">
        <v>41592</v>
      </c>
      <c r="B8480" s="2" t="s">
        <v>7</v>
      </c>
      <c r="C8480" s="2">
        <v>23</v>
      </c>
    </row>
    <row r="8481" spans="1:3" x14ac:dyDescent="0.25">
      <c r="A8481" s="3">
        <v>41845</v>
      </c>
      <c r="B8481" s="2" t="s">
        <v>46</v>
      </c>
      <c r="C8481" s="2">
        <v>16</v>
      </c>
    </row>
    <row r="8482" spans="1:3" x14ac:dyDescent="0.25">
      <c r="A8482" s="3">
        <v>41968</v>
      </c>
      <c r="B8482" s="2" t="s">
        <v>29</v>
      </c>
      <c r="C8482" s="2">
        <v>38</v>
      </c>
    </row>
    <row r="8483" spans="1:3" x14ac:dyDescent="0.25">
      <c r="A8483" s="3">
        <v>41497</v>
      </c>
      <c r="B8483" s="2" t="s">
        <v>12</v>
      </c>
      <c r="C8483" s="2">
        <v>32</v>
      </c>
    </row>
    <row r="8484" spans="1:3" x14ac:dyDescent="0.25">
      <c r="A8484" s="3">
        <v>41651</v>
      </c>
      <c r="B8484" s="2" t="s">
        <v>30</v>
      </c>
      <c r="C8484" s="2">
        <v>13</v>
      </c>
    </row>
    <row r="8485" spans="1:3" x14ac:dyDescent="0.25">
      <c r="A8485" s="3">
        <v>41711</v>
      </c>
      <c r="B8485" s="2" t="s">
        <v>25</v>
      </c>
      <c r="C8485" s="2">
        <v>34</v>
      </c>
    </row>
    <row r="8486" spans="1:3" x14ac:dyDescent="0.25">
      <c r="A8486" s="3">
        <v>41396</v>
      </c>
      <c r="B8486" s="2" t="s">
        <v>31</v>
      </c>
      <c r="C8486" s="2">
        <v>39</v>
      </c>
    </row>
    <row r="8487" spans="1:3" x14ac:dyDescent="0.25">
      <c r="A8487" s="3">
        <v>41879</v>
      </c>
      <c r="B8487" s="2" t="s">
        <v>26</v>
      </c>
      <c r="C8487" s="2">
        <v>12</v>
      </c>
    </row>
    <row r="8488" spans="1:3" x14ac:dyDescent="0.25">
      <c r="A8488" s="3">
        <v>41710</v>
      </c>
      <c r="B8488" s="2" t="s">
        <v>35</v>
      </c>
      <c r="C8488" s="2">
        <v>12</v>
      </c>
    </row>
    <row r="8489" spans="1:3" x14ac:dyDescent="0.25">
      <c r="A8489" s="3">
        <v>41837</v>
      </c>
      <c r="B8489" s="2" t="s">
        <v>4</v>
      </c>
      <c r="C8489" s="2">
        <v>38</v>
      </c>
    </row>
    <row r="8490" spans="1:3" x14ac:dyDescent="0.25">
      <c r="A8490" s="3">
        <v>41905</v>
      </c>
      <c r="B8490" s="2" t="s">
        <v>3</v>
      </c>
      <c r="C8490" s="2">
        <v>1</v>
      </c>
    </row>
    <row r="8491" spans="1:3" x14ac:dyDescent="0.25">
      <c r="A8491" s="3">
        <v>41943</v>
      </c>
      <c r="B8491" s="2" t="s">
        <v>31</v>
      </c>
      <c r="C8491" s="2">
        <v>1</v>
      </c>
    </row>
    <row r="8492" spans="1:3" x14ac:dyDescent="0.25">
      <c r="A8492" s="3">
        <v>41592</v>
      </c>
      <c r="B8492" s="2" t="s">
        <v>7</v>
      </c>
      <c r="C8492" s="2">
        <v>2</v>
      </c>
    </row>
    <row r="8493" spans="1:3" x14ac:dyDescent="0.25">
      <c r="A8493" s="3">
        <v>41953</v>
      </c>
      <c r="B8493" s="2" t="s">
        <v>16</v>
      </c>
      <c r="C8493" s="2">
        <v>9</v>
      </c>
    </row>
    <row r="8494" spans="1:3" x14ac:dyDescent="0.25">
      <c r="A8494" s="3">
        <v>41688</v>
      </c>
      <c r="B8494" s="2" t="s">
        <v>30</v>
      </c>
      <c r="C8494" s="2">
        <v>26</v>
      </c>
    </row>
    <row r="8495" spans="1:3" x14ac:dyDescent="0.25">
      <c r="A8495" s="3">
        <v>41355</v>
      </c>
      <c r="B8495" s="2" t="s">
        <v>14</v>
      </c>
      <c r="C8495" s="2">
        <v>45</v>
      </c>
    </row>
    <row r="8496" spans="1:3" x14ac:dyDescent="0.25">
      <c r="A8496" s="3">
        <v>41622</v>
      </c>
      <c r="B8496" s="2" t="s">
        <v>47</v>
      </c>
      <c r="C8496" s="2">
        <v>23</v>
      </c>
    </row>
    <row r="8497" spans="1:3" x14ac:dyDescent="0.25">
      <c r="A8497" s="3">
        <v>41472</v>
      </c>
      <c r="B8497" s="2" t="s">
        <v>25</v>
      </c>
      <c r="C8497" s="2">
        <v>31</v>
      </c>
    </row>
    <row r="8498" spans="1:3" x14ac:dyDescent="0.25">
      <c r="A8498" s="3">
        <v>41341</v>
      </c>
      <c r="B8498" s="2" t="s">
        <v>27</v>
      </c>
      <c r="C8498" s="2">
        <v>34</v>
      </c>
    </row>
    <row r="8499" spans="1:3" x14ac:dyDescent="0.25">
      <c r="A8499" s="3">
        <v>41860</v>
      </c>
      <c r="B8499" s="2" t="s">
        <v>46</v>
      </c>
      <c r="C8499" s="2">
        <v>16</v>
      </c>
    </row>
    <row r="8500" spans="1:3" x14ac:dyDescent="0.25">
      <c r="A8500" s="3">
        <v>41798</v>
      </c>
      <c r="B8500" s="2" t="s">
        <v>49</v>
      </c>
      <c r="C8500" s="2">
        <v>16</v>
      </c>
    </row>
    <row r="8501" spans="1:3" x14ac:dyDescent="0.25">
      <c r="A8501" s="3">
        <v>41724</v>
      </c>
      <c r="B8501" s="2" t="s">
        <v>25</v>
      </c>
      <c r="C8501" s="2">
        <v>13</v>
      </c>
    </row>
    <row r="8502" spans="1:3" x14ac:dyDescent="0.25">
      <c r="A8502" s="3">
        <v>41278</v>
      </c>
      <c r="B8502" s="2" t="s">
        <v>50</v>
      </c>
      <c r="C8502" s="2">
        <v>11</v>
      </c>
    </row>
    <row r="8503" spans="1:3" x14ac:dyDescent="0.25">
      <c r="A8503" s="3">
        <v>41923</v>
      </c>
      <c r="B8503" s="2" t="s">
        <v>2</v>
      </c>
      <c r="C8503" s="2">
        <v>14</v>
      </c>
    </row>
    <row r="8504" spans="1:3" x14ac:dyDescent="0.25">
      <c r="A8504" s="3">
        <v>41860</v>
      </c>
      <c r="B8504" s="2" t="s">
        <v>15</v>
      </c>
      <c r="C8504" s="2">
        <v>25</v>
      </c>
    </row>
    <row r="8505" spans="1:3" x14ac:dyDescent="0.25">
      <c r="A8505" s="3">
        <v>41630</v>
      </c>
      <c r="B8505" s="2" t="s">
        <v>4</v>
      </c>
      <c r="C8505" s="2">
        <v>26</v>
      </c>
    </row>
    <row r="8506" spans="1:3" x14ac:dyDescent="0.25">
      <c r="A8506" s="3">
        <v>41817</v>
      </c>
      <c r="B8506" s="2" t="s">
        <v>14</v>
      </c>
      <c r="C8506" s="2">
        <v>1</v>
      </c>
    </row>
    <row r="8507" spans="1:3" x14ac:dyDescent="0.25">
      <c r="A8507" s="3">
        <v>41385</v>
      </c>
      <c r="B8507" s="2" t="s">
        <v>39</v>
      </c>
      <c r="C8507" s="2">
        <v>9</v>
      </c>
    </row>
    <row r="8508" spans="1:3" x14ac:dyDescent="0.25">
      <c r="A8508" s="3">
        <v>41328</v>
      </c>
      <c r="B8508" s="2" t="s">
        <v>10</v>
      </c>
      <c r="C8508" s="2">
        <v>35</v>
      </c>
    </row>
    <row r="8509" spans="1:3" x14ac:dyDescent="0.25">
      <c r="A8509" s="3">
        <v>41323</v>
      </c>
      <c r="B8509" s="2" t="s">
        <v>24</v>
      </c>
      <c r="C8509" s="2">
        <v>31</v>
      </c>
    </row>
    <row r="8510" spans="1:3" x14ac:dyDescent="0.25">
      <c r="A8510" s="3">
        <v>41295</v>
      </c>
      <c r="B8510" s="2" t="s">
        <v>27</v>
      </c>
      <c r="C8510" s="2">
        <v>10</v>
      </c>
    </row>
    <row r="8511" spans="1:3" x14ac:dyDescent="0.25">
      <c r="A8511" s="3">
        <v>41472</v>
      </c>
      <c r="B8511" s="2" t="s">
        <v>40</v>
      </c>
      <c r="C8511" s="2">
        <v>24</v>
      </c>
    </row>
    <row r="8512" spans="1:3" x14ac:dyDescent="0.25">
      <c r="A8512" s="3">
        <v>41389</v>
      </c>
      <c r="B8512" s="2" t="s">
        <v>12</v>
      </c>
      <c r="C8512" s="2">
        <v>21</v>
      </c>
    </row>
    <row r="8513" spans="1:3" x14ac:dyDescent="0.25">
      <c r="A8513" s="3">
        <v>41542</v>
      </c>
      <c r="B8513" s="2" t="s">
        <v>16</v>
      </c>
      <c r="C8513" s="2">
        <v>32</v>
      </c>
    </row>
    <row r="8514" spans="1:3" x14ac:dyDescent="0.25">
      <c r="A8514" s="3">
        <v>41853</v>
      </c>
      <c r="B8514" s="2" t="s">
        <v>31</v>
      </c>
      <c r="C8514" s="2">
        <v>43</v>
      </c>
    </row>
    <row r="8515" spans="1:3" x14ac:dyDescent="0.25">
      <c r="A8515" s="3">
        <v>41977</v>
      </c>
      <c r="B8515" s="2" t="s">
        <v>48</v>
      </c>
      <c r="C8515" s="2">
        <v>18</v>
      </c>
    </row>
    <row r="8516" spans="1:3" x14ac:dyDescent="0.25">
      <c r="A8516" s="3">
        <v>41668</v>
      </c>
      <c r="B8516" s="2" t="s">
        <v>2</v>
      </c>
      <c r="C8516" s="2">
        <v>10</v>
      </c>
    </row>
    <row r="8517" spans="1:3" x14ac:dyDescent="0.25">
      <c r="A8517" s="3">
        <v>41645</v>
      </c>
      <c r="B8517" s="2" t="s">
        <v>30</v>
      </c>
      <c r="C8517" s="2">
        <v>17</v>
      </c>
    </row>
    <row r="8518" spans="1:3" x14ac:dyDescent="0.25">
      <c r="A8518" s="3">
        <v>41990</v>
      </c>
      <c r="B8518" s="2" t="s">
        <v>47</v>
      </c>
      <c r="C8518" s="2">
        <v>34</v>
      </c>
    </row>
    <row r="8519" spans="1:3" x14ac:dyDescent="0.25">
      <c r="A8519" s="3">
        <v>41460</v>
      </c>
      <c r="B8519" s="2" t="s">
        <v>12</v>
      </c>
      <c r="C8519" s="2">
        <v>34</v>
      </c>
    </row>
    <row r="8520" spans="1:3" x14ac:dyDescent="0.25">
      <c r="A8520" s="3">
        <v>41721</v>
      </c>
      <c r="B8520" s="2" t="s">
        <v>50</v>
      </c>
      <c r="C8520" s="2">
        <v>37</v>
      </c>
    </row>
    <row r="8521" spans="1:3" x14ac:dyDescent="0.25">
      <c r="A8521" s="3">
        <v>41859</v>
      </c>
      <c r="B8521" s="2" t="s">
        <v>16</v>
      </c>
      <c r="C8521" s="2">
        <v>19</v>
      </c>
    </row>
    <row r="8522" spans="1:3" x14ac:dyDescent="0.25">
      <c r="A8522" s="3">
        <v>41797</v>
      </c>
      <c r="B8522" s="2" t="s">
        <v>19</v>
      </c>
      <c r="C8522" s="2">
        <v>19</v>
      </c>
    </row>
    <row r="8523" spans="1:3" x14ac:dyDescent="0.25">
      <c r="A8523" s="3">
        <v>41530</v>
      </c>
      <c r="B8523" s="2" t="s">
        <v>13</v>
      </c>
      <c r="C8523" s="2">
        <v>57</v>
      </c>
    </row>
    <row r="8524" spans="1:3" x14ac:dyDescent="0.25">
      <c r="A8524" s="3">
        <v>41922</v>
      </c>
      <c r="B8524" s="2" t="s">
        <v>12</v>
      </c>
      <c r="C8524" s="2">
        <v>38</v>
      </c>
    </row>
    <row r="8525" spans="1:3" x14ac:dyDescent="0.25">
      <c r="A8525" s="3">
        <v>41768</v>
      </c>
      <c r="B8525" s="2" t="s">
        <v>25</v>
      </c>
      <c r="C8525" s="2">
        <v>28</v>
      </c>
    </row>
    <row r="8526" spans="1:3" x14ac:dyDescent="0.25">
      <c r="A8526" s="3">
        <v>41767</v>
      </c>
      <c r="B8526" s="2" t="s">
        <v>45</v>
      </c>
      <c r="C8526" s="2">
        <v>24</v>
      </c>
    </row>
    <row r="8527" spans="1:3" x14ac:dyDescent="0.25">
      <c r="A8527" s="3">
        <v>41426</v>
      </c>
      <c r="B8527" s="2" t="s">
        <v>40</v>
      </c>
      <c r="C8527" s="2">
        <v>20</v>
      </c>
    </row>
    <row r="8528" spans="1:3" x14ac:dyDescent="0.25">
      <c r="A8528" s="3">
        <v>41533</v>
      </c>
      <c r="B8528" s="2" t="s">
        <v>41</v>
      </c>
      <c r="C8528" s="2">
        <v>46</v>
      </c>
    </row>
    <row r="8529" spans="1:3" x14ac:dyDescent="0.25">
      <c r="A8529" s="3">
        <v>41579</v>
      </c>
      <c r="B8529" s="2" t="s">
        <v>25</v>
      </c>
      <c r="C8529" s="2">
        <v>24</v>
      </c>
    </row>
    <row r="8530" spans="1:3" x14ac:dyDescent="0.25">
      <c r="A8530" s="3">
        <v>41621</v>
      </c>
      <c r="B8530" s="2" t="s">
        <v>38</v>
      </c>
      <c r="C8530" s="2">
        <v>19</v>
      </c>
    </row>
    <row r="8531" spans="1:3" x14ac:dyDescent="0.25">
      <c r="A8531" s="3">
        <v>41592</v>
      </c>
      <c r="B8531" s="2" t="s">
        <v>20</v>
      </c>
      <c r="C8531" s="2">
        <v>37</v>
      </c>
    </row>
    <row r="8532" spans="1:3" x14ac:dyDescent="0.25">
      <c r="A8532" s="3">
        <v>41808</v>
      </c>
      <c r="B8532" s="2" t="s">
        <v>16</v>
      </c>
      <c r="C8532" s="2">
        <v>4</v>
      </c>
    </row>
    <row r="8533" spans="1:3" x14ac:dyDescent="0.25">
      <c r="A8533" s="3">
        <v>41403</v>
      </c>
      <c r="B8533" s="2" t="s">
        <v>44</v>
      </c>
      <c r="C8533" s="2">
        <v>14</v>
      </c>
    </row>
    <row r="8534" spans="1:3" x14ac:dyDescent="0.25">
      <c r="A8534" s="3">
        <v>41785</v>
      </c>
      <c r="B8534" s="2" t="s">
        <v>40</v>
      </c>
      <c r="C8534" s="2">
        <v>47</v>
      </c>
    </row>
    <row r="8535" spans="1:3" x14ac:dyDescent="0.25">
      <c r="A8535" s="3">
        <v>41944</v>
      </c>
      <c r="B8535" s="2" t="s">
        <v>45</v>
      </c>
      <c r="C8535" s="2">
        <v>40</v>
      </c>
    </row>
    <row r="8536" spans="1:3" x14ac:dyDescent="0.25">
      <c r="A8536" s="3">
        <v>41469</v>
      </c>
      <c r="B8536" s="2" t="s">
        <v>33</v>
      </c>
      <c r="C8536" s="2">
        <v>31</v>
      </c>
    </row>
    <row r="8537" spans="1:3" x14ac:dyDescent="0.25">
      <c r="A8537" s="3">
        <v>41291</v>
      </c>
      <c r="B8537" s="2" t="s">
        <v>46</v>
      </c>
      <c r="C8537" s="2">
        <v>23</v>
      </c>
    </row>
    <row r="8538" spans="1:3" x14ac:dyDescent="0.25">
      <c r="A8538" s="3">
        <v>41699</v>
      </c>
      <c r="B8538" s="2" t="s">
        <v>27</v>
      </c>
      <c r="C8538" s="2">
        <v>7</v>
      </c>
    </row>
    <row r="8539" spans="1:3" x14ac:dyDescent="0.25">
      <c r="A8539" s="3">
        <v>41947</v>
      </c>
      <c r="B8539" s="2" t="s">
        <v>50</v>
      </c>
      <c r="C8539" s="2">
        <v>15</v>
      </c>
    </row>
    <row r="8540" spans="1:3" x14ac:dyDescent="0.25">
      <c r="A8540" s="3">
        <v>41473</v>
      </c>
      <c r="B8540" s="2" t="s">
        <v>13</v>
      </c>
      <c r="C8540" s="2">
        <v>7</v>
      </c>
    </row>
    <row r="8541" spans="1:3" x14ac:dyDescent="0.25">
      <c r="A8541" s="3">
        <v>41461</v>
      </c>
      <c r="B8541" s="2" t="s">
        <v>8</v>
      </c>
      <c r="C8541" s="2">
        <v>35</v>
      </c>
    </row>
    <row r="8542" spans="1:3" x14ac:dyDescent="0.25">
      <c r="A8542" s="3">
        <v>41421</v>
      </c>
      <c r="B8542" s="2" t="s">
        <v>44</v>
      </c>
      <c r="C8542" s="2">
        <v>41</v>
      </c>
    </row>
    <row r="8543" spans="1:3" x14ac:dyDescent="0.25">
      <c r="A8543" s="3">
        <v>41398</v>
      </c>
      <c r="B8543" s="2" t="s">
        <v>46</v>
      </c>
      <c r="C8543" s="2">
        <v>31</v>
      </c>
    </row>
    <row r="8544" spans="1:3" x14ac:dyDescent="0.25">
      <c r="A8544" s="3">
        <v>41671</v>
      </c>
      <c r="B8544" s="2" t="s">
        <v>40</v>
      </c>
      <c r="C8544" s="2">
        <v>34</v>
      </c>
    </row>
    <row r="8545" spans="1:3" x14ac:dyDescent="0.25">
      <c r="A8545" s="3">
        <v>41732</v>
      </c>
      <c r="B8545" s="2" t="s">
        <v>14</v>
      </c>
      <c r="C8545" s="2">
        <v>19</v>
      </c>
    </row>
    <row r="8546" spans="1:3" x14ac:dyDescent="0.25">
      <c r="A8546" s="3">
        <v>41739</v>
      </c>
      <c r="B8546" s="2" t="s">
        <v>26</v>
      </c>
      <c r="C8546" s="2">
        <v>41</v>
      </c>
    </row>
    <row r="8547" spans="1:3" x14ac:dyDescent="0.25">
      <c r="A8547" s="3">
        <v>41550</v>
      </c>
      <c r="B8547" s="2" t="s">
        <v>37</v>
      </c>
      <c r="C8547" s="2">
        <v>34</v>
      </c>
    </row>
    <row r="8548" spans="1:3" x14ac:dyDescent="0.25">
      <c r="A8548" s="3">
        <v>41590</v>
      </c>
      <c r="B8548" s="2" t="s">
        <v>17</v>
      </c>
      <c r="C8548" s="2">
        <v>32</v>
      </c>
    </row>
    <row r="8549" spans="1:3" x14ac:dyDescent="0.25">
      <c r="A8549" s="3">
        <v>41390</v>
      </c>
      <c r="B8549" s="2" t="s">
        <v>31</v>
      </c>
      <c r="C8549" s="2">
        <v>46</v>
      </c>
    </row>
    <row r="8550" spans="1:3" x14ac:dyDescent="0.25">
      <c r="A8550" s="3">
        <v>41888</v>
      </c>
      <c r="B8550" s="2" t="s">
        <v>16</v>
      </c>
      <c r="C8550" s="2">
        <v>29</v>
      </c>
    </row>
    <row r="8551" spans="1:3" x14ac:dyDescent="0.25">
      <c r="A8551" s="3">
        <v>41478</v>
      </c>
      <c r="B8551" s="2" t="s">
        <v>41</v>
      </c>
      <c r="C8551" s="2">
        <v>9</v>
      </c>
    </row>
    <row r="8552" spans="1:3" x14ac:dyDescent="0.25">
      <c r="A8552" s="3">
        <v>41853</v>
      </c>
      <c r="B8552" s="2" t="s">
        <v>39</v>
      </c>
      <c r="C8552" s="2">
        <v>39</v>
      </c>
    </row>
    <row r="8553" spans="1:3" x14ac:dyDescent="0.25">
      <c r="A8553" s="3">
        <v>41957</v>
      </c>
      <c r="B8553" s="2" t="s">
        <v>42</v>
      </c>
      <c r="C8553" s="2">
        <v>48</v>
      </c>
    </row>
    <row r="8554" spans="1:3" x14ac:dyDescent="0.25">
      <c r="A8554" s="3">
        <v>41423</v>
      </c>
      <c r="B8554" s="2" t="s">
        <v>32</v>
      </c>
      <c r="C8554" s="2">
        <v>32</v>
      </c>
    </row>
    <row r="8555" spans="1:3" x14ac:dyDescent="0.25">
      <c r="A8555" s="3">
        <v>41443</v>
      </c>
      <c r="B8555" s="2" t="s">
        <v>10</v>
      </c>
      <c r="C8555" s="2">
        <v>7</v>
      </c>
    </row>
    <row r="8556" spans="1:3" x14ac:dyDescent="0.25">
      <c r="A8556" s="3">
        <v>41978</v>
      </c>
      <c r="B8556" s="2" t="s">
        <v>26</v>
      </c>
      <c r="C8556" s="2">
        <v>44</v>
      </c>
    </row>
    <row r="8557" spans="1:3" x14ac:dyDescent="0.25">
      <c r="A8557" s="3">
        <v>41473</v>
      </c>
      <c r="B8557" s="2" t="s">
        <v>23</v>
      </c>
      <c r="C8557" s="2">
        <v>30</v>
      </c>
    </row>
    <row r="8558" spans="1:3" x14ac:dyDescent="0.25">
      <c r="A8558" s="3">
        <v>41370</v>
      </c>
      <c r="B8558" s="2" t="s">
        <v>48</v>
      </c>
      <c r="C8558" s="2">
        <v>47</v>
      </c>
    </row>
    <row r="8559" spans="1:3" x14ac:dyDescent="0.25">
      <c r="A8559" s="3">
        <v>41663</v>
      </c>
      <c r="B8559" s="2" t="s">
        <v>12</v>
      </c>
      <c r="C8559" s="2">
        <v>36</v>
      </c>
    </row>
    <row r="8560" spans="1:3" x14ac:dyDescent="0.25">
      <c r="A8560" s="3">
        <v>41431</v>
      </c>
      <c r="B8560" s="2" t="s">
        <v>9</v>
      </c>
      <c r="C8560" s="2">
        <v>27</v>
      </c>
    </row>
    <row r="8561" spans="1:3" x14ac:dyDescent="0.25">
      <c r="A8561" s="3">
        <v>41334</v>
      </c>
      <c r="B8561" s="2" t="s">
        <v>10</v>
      </c>
      <c r="C8561" s="2">
        <v>56</v>
      </c>
    </row>
    <row r="8562" spans="1:3" x14ac:dyDescent="0.25">
      <c r="A8562" s="3">
        <v>41838</v>
      </c>
      <c r="B8562" s="2" t="s">
        <v>23</v>
      </c>
      <c r="C8562" s="2">
        <v>29</v>
      </c>
    </row>
    <row r="8563" spans="1:3" x14ac:dyDescent="0.25">
      <c r="A8563" s="3">
        <v>41707</v>
      </c>
      <c r="B8563" s="2" t="s">
        <v>7</v>
      </c>
      <c r="C8563" s="2">
        <v>2</v>
      </c>
    </row>
    <row r="8564" spans="1:3" x14ac:dyDescent="0.25">
      <c r="A8564" s="3">
        <v>41942</v>
      </c>
      <c r="B8564" s="2" t="s">
        <v>18</v>
      </c>
      <c r="C8564" s="2">
        <v>34</v>
      </c>
    </row>
    <row r="8565" spans="1:3" x14ac:dyDescent="0.25">
      <c r="A8565" s="3">
        <v>41626</v>
      </c>
      <c r="B8565" s="2" t="s">
        <v>49</v>
      </c>
      <c r="C8565" s="2">
        <v>38</v>
      </c>
    </row>
    <row r="8566" spans="1:3" x14ac:dyDescent="0.25">
      <c r="A8566" s="3">
        <v>41788</v>
      </c>
      <c r="B8566" s="2" t="s">
        <v>9</v>
      </c>
      <c r="C8566" s="2">
        <v>35</v>
      </c>
    </row>
    <row r="8567" spans="1:3" x14ac:dyDescent="0.25">
      <c r="A8567" s="3">
        <v>41290</v>
      </c>
      <c r="B8567" s="2" t="s">
        <v>33</v>
      </c>
      <c r="C8567" s="2">
        <v>48</v>
      </c>
    </row>
    <row r="8568" spans="1:3" x14ac:dyDescent="0.25">
      <c r="A8568" s="3">
        <v>41611</v>
      </c>
      <c r="B8568" s="2" t="s">
        <v>2</v>
      </c>
      <c r="C8568" s="2">
        <v>25</v>
      </c>
    </row>
    <row r="8569" spans="1:3" x14ac:dyDescent="0.25">
      <c r="A8569" s="3">
        <v>41297</v>
      </c>
      <c r="B8569" s="2" t="s">
        <v>44</v>
      </c>
      <c r="C8569" s="2">
        <v>39</v>
      </c>
    </row>
    <row r="8570" spans="1:3" x14ac:dyDescent="0.25">
      <c r="A8570" s="3">
        <v>41523</v>
      </c>
      <c r="B8570" s="2" t="s">
        <v>43</v>
      </c>
      <c r="C8570" s="2">
        <v>25</v>
      </c>
    </row>
    <row r="8571" spans="1:3" x14ac:dyDescent="0.25">
      <c r="A8571" s="3">
        <v>41771</v>
      </c>
      <c r="B8571" s="2" t="s">
        <v>12</v>
      </c>
      <c r="C8571" s="2">
        <v>34</v>
      </c>
    </row>
    <row r="8572" spans="1:3" x14ac:dyDescent="0.25">
      <c r="A8572" s="3">
        <v>41356</v>
      </c>
      <c r="B8572" s="2" t="s">
        <v>16</v>
      </c>
      <c r="C8572" s="2">
        <v>37</v>
      </c>
    </row>
    <row r="8573" spans="1:3" x14ac:dyDescent="0.25">
      <c r="A8573" s="3">
        <v>41376</v>
      </c>
      <c r="B8573" s="2" t="s">
        <v>28</v>
      </c>
      <c r="C8573" s="2">
        <v>33</v>
      </c>
    </row>
    <row r="8574" spans="1:3" x14ac:dyDescent="0.25">
      <c r="A8574" s="3">
        <v>41959</v>
      </c>
      <c r="B8574" s="2" t="s">
        <v>37</v>
      </c>
      <c r="C8574" s="2">
        <v>41</v>
      </c>
    </row>
    <row r="8575" spans="1:3" x14ac:dyDescent="0.25">
      <c r="A8575" s="3">
        <v>41321</v>
      </c>
      <c r="B8575" s="2" t="s">
        <v>25</v>
      </c>
      <c r="C8575" s="2">
        <v>22</v>
      </c>
    </row>
    <row r="8576" spans="1:3" x14ac:dyDescent="0.25">
      <c r="A8576" s="3">
        <v>41968</v>
      </c>
      <c r="B8576" s="2" t="s">
        <v>28</v>
      </c>
      <c r="C8576" s="2">
        <v>16</v>
      </c>
    </row>
    <row r="8577" spans="1:3" x14ac:dyDescent="0.25">
      <c r="A8577" s="3">
        <v>41808</v>
      </c>
      <c r="B8577" s="2" t="s">
        <v>32</v>
      </c>
      <c r="C8577" s="2">
        <v>7</v>
      </c>
    </row>
    <row r="8578" spans="1:3" x14ac:dyDescent="0.25">
      <c r="A8578" s="3">
        <v>41481</v>
      </c>
      <c r="B8578" s="2" t="s">
        <v>20</v>
      </c>
      <c r="C8578" s="2">
        <v>27</v>
      </c>
    </row>
    <row r="8579" spans="1:3" x14ac:dyDescent="0.25">
      <c r="A8579" s="3">
        <v>41676</v>
      </c>
      <c r="B8579" s="2" t="s">
        <v>34</v>
      </c>
      <c r="C8579" s="2">
        <v>40</v>
      </c>
    </row>
    <row r="8580" spans="1:3" x14ac:dyDescent="0.25">
      <c r="A8580" s="3">
        <v>41377</v>
      </c>
      <c r="B8580" s="2" t="s">
        <v>31</v>
      </c>
      <c r="C8580" s="2">
        <v>11</v>
      </c>
    </row>
    <row r="8581" spans="1:3" x14ac:dyDescent="0.25">
      <c r="A8581" s="3">
        <v>41993</v>
      </c>
      <c r="B8581" s="2" t="s">
        <v>47</v>
      </c>
      <c r="C8581" s="2">
        <v>3</v>
      </c>
    </row>
    <row r="8582" spans="1:3" x14ac:dyDescent="0.25">
      <c r="A8582" s="3">
        <v>41542</v>
      </c>
      <c r="B8582" s="2" t="s">
        <v>22</v>
      </c>
      <c r="C8582" s="2">
        <v>32</v>
      </c>
    </row>
    <row r="8583" spans="1:3" x14ac:dyDescent="0.25">
      <c r="A8583" s="3">
        <v>41291</v>
      </c>
      <c r="B8583" s="2" t="s">
        <v>27</v>
      </c>
      <c r="C8583" s="2">
        <v>32</v>
      </c>
    </row>
    <row r="8584" spans="1:3" x14ac:dyDescent="0.25">
      <c r="A8584" s="3">
        <v>41431</v>
      </c>
      <c r="B8584" s="2" t="s">
        <v>2</v>
      </c>
      <c r="C8584" s="2">
        <v>14</v>
      </c>
    </row>
    <row r="8585" spans="1:3" x14ac:dyDescent="0.25">
      <c r="A8585" s="3">
        <v>41551</v>
      </c>
      <c r="B8585" s="2" t="s">
        <v>31</v>
      </c>
      <c r="C8585" s="2">
        <v>22</v>
      </c>
    </row>
    <row r="8586" spans="1:3" x14ac:dyDescent="0.25">
      <c r="A8586" s="3">
        <v>41657</v>
      </c>
      <c r="B8586" s="2" t="s">
        <v>29</v>
      </c>
      <c r="C8586" s="2">
        <v>12</v>
      </c>
    </row>
    <row r="8587" spans="1:3" x14ac:dyDescent="0.25">
      <c r="A8587" s="3">
        <v>41596</v>
      </c>
      <c r="B8587" s="2" t="s">
        <v>25</v>
      </c>
      <c r="C8587" s="2">
        <v>14</v>
      </c>
    </row>
    <row r="8588" spans="1:3" x14ac:dyDescent="0.25">
      <c r="A8588" s="3">
        <v>41309</v>
      </c>
      <c r="B8588" s="2" t="s">
        <v>32</v>
      </c>
      <c r="C8588" s="2">
        <v>16</v>
      </c>
    </row>
    <row r="8589" spans="1:3" x14ac:dyDescent="0.25">
      <c r="A8589" s="3">
        <v>41282</v>
      </c>
      <c r="B8589" s="2" t="s">
        <v>45</v>
      </c>
      <c r="C8589" s="2">
        <v>46</v>
      </c>
    </row>
    <row r="8590" spans="1:3" x14ac:dyDescent="0.25">
      <c r="A8590" s="3">
        <v>41820</v>
      </c>
      <c r="B8590" s="2" t="s">
        <v>36</v>
      </c>
      <c r="C8590" s="2">
        <v>36</v>
      </c>
    </row>
    <row r="8591" spans="1:3" x14ac:dyDescent="0.25">
      <c r="A8591" s="3">
        <v>41330</v>
      </c>
      <c r="B8591" s="2" t="s">
        <v>15</v>
      </c>
      <c r="C8591" s="2">
        <v>22</v>
      </c>
    </row>
    <row r="8592" spans="1:3" x14ac:dyDescent="0.25">
      <c r="A8592" s="3">
        <v>41455</v>
      </c>
      <c r="B8592" s="2" t="s">
        <v>12</v>
      </c>
      <c r="C8592" s="2">
        <v>24</v>
      </c>
    </row>
    <row r="8593" spans="1:3" x14ac:dyDescent="0.25">
      <c r="A8593" s="3">
        <v>41702</v>
      </c>
      <c r="B8593" s="2" t="s">
        <v>7</v>
      </c>
      <c r="C8593" s="2">
        <v>32</v>
      </c>
    </row>
    <row r="8594" spans="1:3" x14ac:dyDescent="0.25">
      <c r="A8594" s="3">
        <v>41374</v>
      </c>
      <c r="B8594" s="2" t="s">
        <v>43</v>
      </c>
      <c r="C8594" s="2">
        <v>8</v>
      </c>
    </row>
    <row r="8595" spans="1:3" x14ac:dyDescent="0.25">
      <c r="A8595" s="3">
        <v>41986</v>
      </c>
      <c r="B8595" s="2" t="s">
        <v>37</v>
      </c>
      <c r="C8595" s="2">
        <v>30</v>
      </c>
    </row>
    <row r="8596" spans="1:3" x14ac:dyDescent="0.25">
      <c r="A8596" s="3">
        <v>41856</v>
      </c>
      <c r="B8596" s="2" t="s">
        <v>14</v>
      </c>
      <c r="C8596" s="2">
        <v>33</v>
      </c>
    </row>
    <row r="8597" spans="1:3" x14ac:dyDescent="0.25">
      <c r="A8597" s="3">
        <v>41507</v>
      </c>
      <c r="B8597" s="2" t="s">
        <v>43</v>
      </c>
      <c r="C8597" s="2">
        <v>38</v>
      </c>
    </row>
    <row r="8598" spans="1:3" x14ac:dyDescent="0.25">
      <c r="A8598" s="3">
        <v>41305</v>
      </c>
      <c r="B8598" s="2" t="s">
        <v>4</v>
      </c>
      <c r="C8598" s="2">
        <v>29</v>
      </c>
    </row>
    <row r="8599" spans="1:3" x14ac:dyDescent="0.25">
      <c r="A8599" s="3">
        <v>41415</v>
      </c>
      <c r="B8599" s="2" t="s">
        <v>34</v>
      </c>
      <c r="C8599" s="2">
        <v>42</v>
      </c>
    </row>
    <row r="8600" spans="1:3" x14ac:dyDescent="0.25">
      <c r="A8600" s="3">
        <v>41816</v>
      </c>
      <c r="B8600" s="2" t="s">
        <v>38</v>
      </c>
      <c r="C8600" s="2">
        <v>15</v>
      </c>
    </row>
    <row r="8601" spans="1:3" x14ac:dyDescent="0.25">
      <c r="A8601" s="3">
        <v>41588</v>
      </c>
      <c r="B8601" s="2" t="s">
        <v>49</v>
      </c>
      <c r="C8601" s="2">
        <v>52</v>
      </c>
    </row>
    <row r="8602" spans="1:3" x14ac:dyDescent="0.25">
      <c r="A8602" s="3">
        <v>41366</v>
      </c>
      <c r="B8602" s="2" t="s">
        <v>45</v>
      </c>
      <c r="C8602" s="2">
        <v>18</v>
      </c>
    </row>
    <row r="8603" spans="1:3" x14ac:dyDescent="0.25">
      <c r="A8603" s="3">
        <v>41286</v>
      </c>
      <c r="B8603" s="2" t="s">
        <v>41</v>
      </c>
      <c r="C8603" s="2">
        <v>30</v>
      </c>
    </row>
    <row r="8604" spans="1:3" x14ac:dyDescent="0.25">
      <c r="A8604" s="3">
        <v>41544</v>
      </c>
      <c r="B8604" s="2" t="s">
        <v>14</v>
      </c>
      <c r="C8604" s="2">
        <v>12</v>
      </c>
    </row>
    <row r="8605" spans="1:3" x14ac:dyDescent="0.25">
      <c r="A8605" s="3">
        <v>41375</v>
      </c>
      <c r="B8605" s="2" t="s">
        <v>41</v>
      </c>
      <c r="C8605" s="2">
        <v>22</v>
      </c>
    </row>
    <row r="8606" spans="1:3" x14ac:dyDescent="0.25">
      <c r="A8606" s="3">
        <v>41549</v>
      </c>
      <c r="B8606" s="2" t="s">
        <v>49</v>
      </c>
      <c r="C8606" s="2">
        <v>19</v>
      </c>
    </row>
    <row r="8607" spans="1:3" x14ac:dyDescent="0.25">
      <c r="A8607" s="3">
        <v>41489</v>
      </c>
      <c r="B8607" s="2" t="s">
        <v>50</v>
      </c>
      <c r="C8607" s="2">
        <v>3</v>
      </c>
    </row>
    <row r="8608" spans="1:3" x14ac:dyDescent="0.25">
      <c r="A8608" s="3">
        <v>41790</v>
      </c>
      <c r="B8608" s="2" t="s">
        <v>22</v>
      </c>
      <c r="C8608" s="2">
        <v>7</v>
      </c>
    </row>
    <row r="8609" spans="1:3" x14ac:dyDescent="0.25">
      <c r="A8609" s="3">
        <v>41551</v>
      </c>
      <c r="B8609" s="2" t="s">
        <v>29</v>
      </c>
      <c r="C8609" s="2">
        <v>15</v>
      </c>
    </row>
    <row r="8610" spans="1:3" x14ac:dyDescent="0.25">
      <c r="A8610" s="3">
        <v>41972</v>
      </c>
      <c r="B8610" s="2" t="s">
        <v>37</v>
      </c>
      <c r="C8610" s="2">
        <v>5</v>
      </c>
    </row>
    <row r="8611" spans="1:3" x14ac:dyDescent="0.25">
      <c r="A8611" s="3">
        <v>41350</v>
      </c>
      <c r="B8611" s="2" t="s">
        <v>19</v>
      </c>
      <c r="C8611" s="2">
        <v>8</v>
      </c>
    </row>
    <row r="8612" spans="1:3" x14ac:dyDescent="0.25">
      <c r="A8612" s="3">
        <v>41953</v>
      </c>
      <c r="B8612" s="2" t="s">
        <v>43</v>
      </c>
      <c r="C8612" s="2">
        <v>27</v>
      </c>
    </row>
    <row r="8613" spans="1:3" x14ac:dyDescent="0.25">
      <c r="A8613" s="3">
        <v>41430</v>
      </c>
      <c r="B8613" s="2" t="s">
        <v>32</v>
      </c>
      <c r="C8613" s="2">
        <v>41</v>
      </c>
    </row>
    <row r="8614" spans="1:3" x14ac:dyDescent="0.25">
      <c r="A8614" s="3">
        <v>41451</v>
      </c>
      <c r="B8614" s="2" t="s">
        <v>30</v>
      </c>
      <c r="C8614" s="2">
        <v>25</v>
      </c>
    </row>
    <row r="8615" spans="1:3" x14ac:dyDescent="0.25">
      <c r="A8615" s="3">
        <v>41371</v>
      </c>
      <c r="B8615" s="2" t="s">
        <v>47</v>
      </c>
      <c r="C8615" s="2">
        <v>47</v>
      </c>
    </row>
    <row r="8616" spans="1:3" x14ac:dyDescent="0.25">
      <c r="A8616" s="3">
        <v>41440</v>
      </c>
      <c r="B8616" s="2" t="s">
        <v>43</v>
      </c>
      <c r="C8616" s="2">
        <v>20</v>
      </c>
    </row>
    <row r="8617" spans="1:3" x14ac:dyDescent="0.25">
      <c r="A8617" s="3">
        <v>41617</v>
      </c>
      <c r="B8617" s="2" t="s">
        <v>28</v>
      </c>
      <c r="C8617" s="2">
        <v>53</v>
      </c>
    </row>
    <row r="8618" spans="1:3" x14ac:dyDescent="0.25">
      <c r="A8618" s="3">
        <v>41284</v>
      </c>
      <c r="B8618" s="2" t="s">
        <v>33</v>
      </c>
      <c r="C8618" s="2">
        <v>38</v>
      </c>
    </row>
    <row r="8619" spans="1:3" x14ac:dyDescent="0.25">
      <c r="A8619" s="3">
        <v>41786</v>
      </c>
      <c r="B8619" s="2" t="s">
        <v>31</v>
      </c>
      <c r="C8619" s="2">
        <v>0</v>
      </c>
    </row>
    <row r="8620" spans="1:3" x14ac:dyDescent="0.25">
      <c r="A8620" s="3">
        <v>41609</v>
      </c>
      <c r="B8620" s="2" t="s">
        <v>50</v>
      </c>
      <c r="C8620" s="2">
        <v>21</v>
      </c>
    </row>
    <row r="8621" spans="1:3" x14ac:dyDescent="0.25">
      <c r="A8621" s="3">
        <v>41332</v>
      </c>
      <c r="B8621" s="2" t="s">
        <v>36</v>
      </c>
      <c r="C8621" s="2">
        <v>13</v>
      </c>
    </row>
    <row r="8622" spans="1:3" x14ac:dyDescent="0.25">
      <c r="A8622" s="3">
        <v>41823</v>
      </c>
      <c r="B8622" s="2" t="s">
        <v>15</v>
      </c>
      <c r="C8622" s="2">
        <v>15</v>
      </c>
    </row>
    <row r="8623" spans="1:3" x14ac:dyDescent="0.25">
      <c r="A8623" s="3">
        <v>41925</v>
      </c>
      <c r="B8623" s="2" t="s">
        <v>40</v>
      </c>
      <c r="C8623" s="2">
        <v>49</v>
      </c>
    </row>
    <row r="8624" spans="1:3" x14ac:dyDescent="0.25">
      <c r="A8624" s="3">
        <v>41275</v>
      </c>
      <c r="B8624" s="2" t="s">
        <v>28</v>
      </c>
      <c r="C8624" s="2">
        <v>26</v>
      </c>
    </row>
    <row r="8625" spans="1:3" x14ac:dyDescent="0.25">
      <c r="A8625" s="3">
        <v>41987</v>
      </c>
      <c r="B8625" s="2" t="s">
        <v>8</v>
      </c>
      <c r="C8625" s="2">
        <v>2</v>
      </c>
    </row>
    <row r="8626" spans="1:3" x14ac:dyDescent="0.25">
      <c r="A8626" s="3">
        <v>41505</v>
      </c>
      <c r="B8626" s="2" t="s">
        <v>40</v>
      </c>
      <c r="C8626" s="2">
        <v>20</v>
      </c>
    </row>
    <row r="8627" spans="1:3" x14ac:dyDescent="0.25">
      <c r="A8627" s="3">
        <v>41298</v>
      </c>
      <c r="B8627" s="2" t="s">
        <v>45</v>
      </c>
      <c r="C8627" s="2">
        <v>14</v>
      </c>
    </row>
    <row r="8628" spans="1:3" x14ac:dyDescent="0.25">
      <c r="A8628" s="3">
        <v>41823</v>
      </c>
      <c r="B8628" s="2" t="s">
        <v>45</v>
      </c>
      <c r="C8628" s="2">
        <v>45</v>
      </c>
    </row>
    <row r="8629" spans="1:3" x14ac:dyDescent="0.25">
      <c r="A8629" s="3">
        <v>41591</v>
      </c>
      <c r="B8629" s="2" t="s">
        <v>45</v>
      </c>
      <c r="C8629" s="2">
        <v>19</v>
      </c>
    </row>
    <row r="8630" spans="1:3" x14ac:dyDescent="0.25">
      <c r="A8630" s="3">
        <v>41872</v>
      </c>
      <c r="B8630" s="2" t="s">
        <v>28</v>
      </c>
      <c r="C8630" s="2">
        <v>44</v>
      </c>
    </row>
    <row r="8631" spans="1:3" x14ac:dyDescent="0.25">
      <c r="A8631" s="3">
        <v>41859</v>
      </c>
      <c r="B8631" s="2" t="s">
        <v>50</v>
      </c>
      <c r="C8631" s="2">
        <v>58</v>
      </c>
    </row>
    <row r="8632" spans="1:3" x14ac:dyDescent="0.25">
      <c r="A8632" s="3">
        <v>41793</v>
      </c>
      <c r="B8632" s="2" t="s">
        <v>12</v>
      </c>
      <c r="C8632" s="2">
        <v>28</v>
      </c>
    </row>
    <row r="8633" spans="1:3" x14ac:dyDescent="0.25">
      <c r="A8633" s="3">
        <v>41835</v>
      </c>
      <c r="B8633" s="2" t="s">
        <v>37</v>
      </c>
      <c r="C8633" s="2">
        <v>37</v>
      </c>
    </row>
    <row r="8634" spans="1:3" x14ac:dyDescent="0.25">
      <c r="A8634" s="3">
        <v>41432</v>
      </c>
      <c r="B8634" s="2" t="s">
        <v>37</v>
      </c>
      <c r="C8634" s="2">
        <v>15</v>
      </c>
    </row>
    <row r="8635" spans="1:3" x14ac:dyDescent="0.25">
      <c r="A8635" s="3">
        <v>41917</v>
      </c>
      <c r="B8635" s="2" t="s">
        <v>51</v>
      </c>
      <c r="C8635" s="2">
        <v>19</v>
      </c>
    </row>
    <row r="8636" spans="1:3" x14ac:dyDescent="0.25">
      <c r="A8636" s="3">
        <v>41800</v>
      </c>
      <c r="B8636" s="2" t="s">
        <v>33</v>
      </c>
      <c r="C8636" s="2">
        <v>50</v>
      </c>
    </row>
    <row r="8637" spans="1:3" x14ac:dyDescent="0.25">
      <c r="A8637" s="3">
        <v>41376</v>
      </c>
      <c r="B8637" s="2" t="s">
        <v>28</v>
      </c>
      <c r="C8637" s="2">
        <v>50</v>
      </c>
    </row>
    <row r="8638" spans="1:3" x14ac:dyDescent="0.25">
      <c r="A8638" s="3">
        <v>41372</v>
      </c>
      <c r="B8638" s="2" t="s">
        <v>21</v>
      </c>
      <c r="C8638" s="2">
        <v>24</v>
      </c>
    </row>
    <row r="8639" spans="1:3" x14ac:dyDescent="0.25">
      <c r="A8639" s="3">
        <v>41850</v>
      </c>
      <c r="B8639" s="2" t="s">
        <v>37</v>
      </c>
      <c r="C8639" s="2">
        <v>2</v>
      </c>
    </row>
    <row r="8640" spans="1:3" x14ac:dyDescent="0.25">
      <c r="A8640" s="3">
        <v>41499</v>
      </c>
      <c r="B8640" s="2" t="s">
        <v>7</v>
      </c>
      <c r="C8640" s="2">
        <v>7</v>
      </c>
    </row>
    <row r="8641" spans="1:3" x14ac:dyDescent="0.25">
      <c r="A8641" s="3">
        <v>41532</v>
      </c>
      <c r="B8641" s="2" t="s">
        <v>13</v>
      </c>
      <c r="C8641" s="2">
        <v>5</v>
      </c>
    </row>
    <row r="8642" spans="1:3" x14ac:dyDescent="0.25">
      <c r="A8642" s="3">
        <v>41550</v>
      </c>
      <c r="B8642" s="2" t="s">
        <v>29</v>
      </c>
      <c r="C8642" s="2">
        <v>5</v>
      </c>
    </row>
    <row r="8643" spans="1:3" x14ac:dyDescent="0.25">
      <c r="A8643" s="3">
        <v>41575</v>
      </c>
      <c r="B8643" s="2" t="s">
        <v>12</v>
      </c>
      <c r="C8643" s="2">
        <v>43</v>
      </c>
    </row>
    <row r="8644" spans="1:3" x14ac:dyDescent="0.25">
      <c r="A8644" s="3">
        <v>41744</v>
      </c>
      <c r="B8644" s="2" t="s">
        <v>10</v>
      </c>
      <c r="C8644" s="2">
        <v>27</v>
      </c>
    </row>
    <row r="8645" spans="1:3" x14ac:dyDescent="0.25">
      <c r="A8645" s="3">
        <v>41596</v>
      </c>
      <c r="B8645" s="2" t="s">
        <v>14</v>
      </c>
      <c r="C8645" s="2">
        <v>35</v>
      </c>
    </row>
    <row r="8646" spans="1:3" x14ac:dyDescent="0.25">
      <c r="A8646" s="3">
        <v>41700</v>
      </c>
      <c r="B8646" s="2" t="s">
        <v>18</v>
      </c>
      <c r="C8646" s="2">
        <v>0</v>
      </c>
    </row>
    <row r="8647" spans="1:3" x14ac:dyDescent="0.25">
      <c r="A8647" s="3">
        <v>41816</v>
      </c>
      <c r="B8647" s="2" t="s">
        <v>36</v>
      </c>
      <c r="C8647" s="2">
        <v>9</v>
      </c>
    </row>
    <row r="8648" spans="1:3" x14ac:dyDescent="0.25">
      <c r="A8648" s="3">
        <v>41433</v>
      </c>
      <c r="B8648" s="2" t="s">
        <v>20</v>
      </c>
      <c r="C8648" s="2">
        <v>7</v>
      </c>
    </row>
    <row r="8649" spans="1:3" x14ac:dyDescent="0.25">
      <c r="A8649" s="3">
        <v>41588</v>
      </c>
      <c r="B8649" s="2" t="s">
        <v>18</v>
      </c>
      <c r="C8649" s="2">
        <v>39</v>
      </c>
    </row>
    <row r="8650" spans="1:3" x14ac:dyDescent="0.25">
      <c r="A8650" s="3">
        <v>41617</v>
      </c>
      <c r="B8650" s="2" t="s">
        <v>35</v>
      </c>
      <c r="C8650" s="2">
        <v>32</v>
      </c>
    </row>
    <row r="8651" spans="1:3" x14ac:dyDescent="0.25">
      <c r="A8651" s="3">
        <v>41492</v>
      </c>
      <c r="B8651" s="2" t="s">
        <v>25</v>
      </c>
      <c r="C8651" s="2">
        <v>37</v>
      </c>
    </row>
    <row r="8652" spans="1:3" x14ac:dyDescent="0.25">
      <c r="A8652" s="3">
        <v>41621</v>
      </c>
      <c r="B8652" s="2" t="s">
        <v>20</v>
      </c>
      <c r="C8652" s="2">
        <v>46</v>
      </c>
    </row>
    <row r="8653" spans="1:3" x14ac:dyDescent="0.25">
      <c r="A8653" s="3">
        <v>41910</v>
      </c>
      <c r="B8653" s="2" t="s">
        <v>4</v>
      </c>
      <c r="C8653" s="2">
        <v>36</v>
      </c>
    </row>
    <row r="8654" spans="1:3" x14ac:dyDescent="0.25">
      <c r="A8654" s="3">
        <v>41469</v>
      </c>
      <c r="B8654" s="2" t="s">
        <v>27</v>
      </c>
      <c r="C8654" s="2">
        <v>26</v>
      </c>
    </row>
    <row r="8655" spans="1:3" x14ac:dyDescent="0.25">
      <c r="A8655" s="3">
        <v>41782</v>
      </c>
      <c r="B8655" s="2" t="s">
        <v>27</v>
      </c>
      <c r="C8655" s="2">
        <v>17</v>
      </c>
    </row>
    <row r="8656" spans="1:3" x14ac:dyDescent="0.25">
      <c r="A8656" s="3">
        <v>41965</v>
      </c>
      <c r="B8656" s="2" t="s">
        <v>36</v>
      </c>
      <c r="C8656" s="2">
        <v>52</v>
      </c>
    </row>
    <row r="8657" spans="1:3" x14ac:dyDescent="0.25">
      <c r="A8657" s="3">
        <v>41387</v>
      </c>
      <c r="B8657" s="2" t="s">
        <v>48</v>
      </c>
      <c r="C8657" s="2">
        <v>20</v>
      </c>
    </row>
    <row r="8658" spans="1:3" x14ac:dyDescent="0.25">
      <c r="A8658" s="3">
        <v>41723</v>
      </c>
      <c r="B8658" s="2" t="s">
        <v>20</v>
      </c>
      <c r="C8658" s="2">
        <v>51</v>
      </c>
    </row>
    <row r="8659" spans="1:3" x14ac:dyDescent="0.25">
      <c r="A8659" s="3">
        <v>41694</v>
      </c>
      <c r="B8659" s="2" t="s">
        <v>50</v>
      </c>
      <c r="C8659" s="2">
        <v>8</v>
      </c>
    </row>
    <row r="8660" spans="1:3" x14ac:dyDescent="0.25">
      <c r="A8660" s="3">
        <v>41924</v>
      </c>
      <c r="B8660" s="2" t="s">
        <v>23</v>
      </c>
      <c r="C8660" s="2">
        <v>26</v>
      </c>
    </row>
    <row r="8661" spans="1:3" x14ac:dyDescent="0.25">
      <c r="A8661" s="3">
        <v>41892</v>
      </c>
      <c r="B8661" s="2" t="s">
        <v>31</v>
      </c>
      <c r="C8661" s="2">
        <v>13</v>
      </c>
    </row>
    <row r="8662" spans="1:3" x14ac:dyDescent="0.25">
      <c r="A8662" s="3">
        <v>41583</v>
      </c>
      <c r="B8662" s="2" t="s">
        <v>36</v>
      </c>
      <c r="C8662" s="2">
        <v>10</v>
      </c>
    </row>
    <row r="8663" spans="1:3" x14ac:dyDescent="0.25">
      <c r="A8663" s="3">
        <v>41491</v>
      </c>
      <c r="B8663" s="2" t="s">
        <v>28</v>
      </c>
      <c r="C8663" s="2">
        <v>27</v>
      </c>
    </row>
    <row r="8664" spans="1:3" x14ac:dyDescent="0.25">
      <c r="A8664" s="3">
        <v>41319</v>
      </c>
      <c r="B8664" s="2" t="s">
        <v>39</v>
      </c>
      <c r="C8664" s="2">
        <v>33</v>
      </c>
    </row>
    <row r="8665" spans="1:3" x14ac:dyDescent="0.25">
      <c r="A8665" s="3">
        <v>41399</v>
      </c>
      <c r="B8665" s="2" t="s">
        <v>19</v>
      </c>
      <c r="C8665" s="2">
        <v>3</v>
      </c>
    </row>
    <row r="8666" spans="1:3" x14ac:dyDescent="0.25">
      <c r="A8666" s="3">
        <v>41930</v>
      </c>
      <c r="B8666" s="2" t="s">
        <v>27</v>
      </c>
      <c r="C8666" s="2">
        <v>28</v>
      </c>
    </row>
    <row r="8667" spans="1:3" x14ac:dyDescent="0.25">
      <c r="A8667" s="3">
        <v>41986</v>
      </c>
      <c r="B8667" s="2" t="s">
        <v>31</v>
      </c>
      <c r="C8667" s="2">
        <v>44</v>
      </c>
    </row>
    <row r="8668" spans="1:3" x14ac:dyDescent="0.25">
      <c r="A8668" s="3">
        <v>41881</v>
      </c>
      <c r="B8668" s="2" t="s">
        <v>41</v>
      </c>
      <c r="C8668" s="2">
        <v>31</v>
      </c>
    </row>
    <row r="8669" spans="1:3" x14ac:dyDescent="0.25">
      <c r="A8669" s="3">
        <v>41285</v>
      </c>
      <c r="B8669" s="2" t="s">
        <v>33</v>
      </c>
      <c r="C8669" s="2">
        <v>2</v>
      </c>
    </row>
    <row r="8670" spans="1:3" x14ac:dyDescent="0.25">
      <c r="A8670" s="3">
        <v>41841</v>
      </c>
      <c r="B8670" s="2" t="s">
        <v>31</v>
      </c>
      <c r="C8670" s="2">
        <v>41</v>
      </c>
    </row>
    <row r="8671" spans="1:3" x14ac:dyDescent="0.25">
      <c r="A8671" s="3">
        <v>41288</v>
      </c>
      <c r="B8671" s="2" t="s">
        <v>22</v>
      </c>
      <c r="C8671" s="2">
        <v>59</v>
      </c>
    </row>
    <row r="8672" spans="1:3" x14ac:dyDescent="0.25">
      <c r="A8672" s="3">
        <v>41422</v>
      </c>
      <c r="B8672" s="2" t="s">
        <v>30</v>
      </c>
      <c r="C8672" s="2">
        <v>18</v>
      </c>
    </row>
    <row r="8673" spans="1:3" x14ac:dyDescent="0.25">
      <c r="A8673" s="3">
        <v>41685</v>
      </c>
      <c r="B8673" s="2" t="s">
        <v>32</v>
      </c>
      <c r="C8673" s="2">
        <v>10</v>
      </c>
    </row>
    <row r="8674" spans="1:3" x14ac:dyDescent="0.25">
      <c r="A8674" s="3">
        <v>41800</v>
      </c>
      <c r="B8674" s="2" t="s">
        <v>26</v>
      </c>
      <c r="C8674" s="2">
        <v>25</v>
      </c>
    </row>
    <row r="8675" spans="1:3" x14ac:dyDescent="0.25">
      <c r="A8675" s="3">
        <v>41687</v>
      </c>
      <c r="B8675" s="2" t="s">
        <v>33</v>
      </c>
      <c r="C8675" s="2">
        <v>37</v>
      </c>
    </row>
    <row r="8676" spans="1:3" x14ac:dyDescent="0.25">
      <c r="A8676" s="3">
        <v>41490</v>
      </c>
      <c r="B8676" s="2" t="s">
        <v>27</v>
      </c>
      <c r="C8676" s="2">
        <v>28</v>
      </c>
    </row>
    <row r="8677" spans="1:3" x14ac:dyDescent="0.25">
      <c r="A8677" s="3">
        <v>41299</v>
      </c>
      <c r="B8677" s="2" t="s">
        <v>38</v>
      </c>
      <c r="C8677" s="2">
        <v>49</v>
      </c>
    </row>
    <row r="8678" spans="1:3" x14ac:dyDescent="0.25">
      <c r="A8678" s="3">
        <v>41323</v>
      </c>
      <c r="B8678" s="2" t="s">
        <v>19</v>
      </c>
      <c r="C8678" s="2">
        <v>36</v>
      </c>
    </row>
    <row r="8679" spans="1:3" x14ac:dyDescent="0.25">
      <c r="A8679" s="3">
        <v>41625</v>
      </c>
      <c r="B8679" s="2" t="s">
        <v>15</v>
      </c>
      <c r="C8679" s="2">
        <v>14</v>
      </c>
    </row>
    <row r="8680" spans="1:3" x14ac:dyDescent="0.25">
      <c r="A8680" s="3">
        <v>41519</v>
      </c>
      <c r="B8680" s="2" t="s">
        <v>4</v>
      </c>
      <c r="C8680" s="2">
        <v>42</v>
      </c>
    </row>
    <row r="8681" spans="1:3" x14ac:dyDescent="0.25">
      <c r="A8681" s="3">
        <v>41970</v>
      </c>
      <c r="B8681" s="2" t="s">
        <v>45</v>
      </c>
      <c r="C8681" s="2">
        <v>28</v>
      </c>
    </row>
    <row r="8682" spans="1:3" x14ac:dyDescent="0.25">
      <c r="A8682" s="3">
        <v>41806</v>
      </c>
      <c r="B8682" s="2" t="s">
        <v>10</v>
      </c>
      <c r="C8682" s="2">
        <v>22</v>
      </c>
    </row>
    <row r="8683" spans="1:3" x14ac:dyDescent="0.25">
      <c r="A8683" s="3">
        <v>41445</v>
      </c>
      <c r="B8683" s="2" t="s">
        <v>15</v>
      </c>
      <c r="C8683" s="2">
        <v>15</v>
      </c>
    </row>
    <row r="8684" spans="1:3" x14ac:dyDescent="0.25">
      <c r="A8684" s="3">
        <v>41736</v>
      </c>
      <c r="B8684" s="2" t="s">
        <v>42</v>
      </c>
      <c r="C8684" s="2">
        <v>34</v>
      </c>
    </row>
    <row r="8685" spans="1:3" x14ac:dyDescent="0.25">
      <c r="A8685" s="3">
        <v>41452</v>
      </c>
      <c r="B8685" s="2" t="s">
        <v>13</v>
      </c>
      <c r="C8685" s="2">
        <v>1</v>
      </c>
    </row>
    <row r="8686" spans="1:3" x14ac:dyDescent="0.25">
      <c r="A8686" s="3">
        <v>41303</v>
      </c>
      <c r="B8686" s="2" t="s">
        <v>8</v>
      </c>
      <c r="C8686" s="2">
        <v>39</v>
      </c>
    </row>
    <row r="8687" spans="1:3" x14ac:dyDescent="0.25">
      <c r="A8687" s="3">
        <v>41508</v>
      </c>
      <c r="B8687" s="2" t="s">
        <v>30</v>
      </c>
      <c r="C8687" s="2">
        <v>40</v>
      </c>
    </row>
    <row r="8688" spans="1:3" x14ac:dyDescent="0.25">
      <c r="A8688" s="3">
        <v>41342</v>
      </c>
      <c r="B8688" s="2" t="s">
        <v>44</v>
      </c>
      <c r="C8688" s="2">
        <v>15</v>
      </c>
    </row>
    <row r="8689" spans="1:3" x14ac:dyDescent="0.25">
      <c r="A8689" s="3">
        <v>41331</v>
      </c>
      <c r="B8689" s="2" t="s">
        <v>12</v>
      </c>
      <c r="C8689" s="2">
        <v>18</v>
      </c>
    </row>
    <row r="8690" spans="1:3" x14ac:dyDescent="0.25">
      <c r="A8690" s="3">
        <v>41379</v>
      </c>
      <c r="B8690" s="2" t="s">
        <v>7</v>
      </c>
      <c r="C8690" s="2">
        <v>15</v>
      </c>
    </row>
    <row r="8691" spans="1:3" x14ac:dyDescent="0.25">
      <c r="A8691" s="3">
        <v>41409</v>
      </c>
      <c r="B8691" s="2" t="s">
        <v>15</v>
      </c>
      <c r="C8691" s="2">
        <v>46</v>
      </c>
    </row>
    <row r="8692" spans="1:3" x14ac:dyDescent="0.25">
      <c r="A8692" s="3">
        <v>41919</v>
      </c>
      <c r="B8692" s="2" t="s">
        <v>42</v>
      </c>
      <c r="C8692" s="2">
        <v>40</v>
      </c>
    </row>
    <row r="8693" spans="1:3" x14ac:dyDescent="0.25">
      <c r="A8693" s="3">
        <v>41925</v>
      </c>
      <c r="B8693" s="2" t="s">
        <v>20</v>
      </c>
      <c r="C8693" s="2">
        <v>33</v>
      </c>
    </row>
    <row r="8694" spans="1:3" x14ac:dyDescent="0.25">
      <c r="A8694" s="3">
        <v>41297</v>
      </c>
      <c r="B8694" s="2" t="s">
        <v>3</v>
      </c>
      <c r="C8694" s="2">
        <v>25</v>
      </c>
    </row>
    <row r="8695" spans="1:3" x14ac:dyDescent="0.25">
      <c r="A8695" s="3">
        <v>41278</v>
      </c>
      <c r="B8695" s="2" t="s">
        <v>17</v>
      </c>
      <c r="C8695" s="2">
        <v>17</v>
      </c>
    </row>
    <row r="8696" spans="1:3" x14ac:dyDescent="0.25">
      <c r="A8696" s="3">
        <v>41859</v>
      </c>
      <c r="B8696" s="2" t="s">
        <v>23</v>
      </c>
      <c r="C8696" s="2">
        <v>19</v>
      </c>
    </row>
    <row r="8697" spans="1:3" x14ac:dyDescent="0.25">
      <c r="A8697" s="3">
        <v>41565</v>
      </c>
      <c r="B8697" s="2" t="s">
        <v>46</v>
      </c>
      <c r="C8697" s="2">
        <v>18</v>
      </c>
    </row>
    <row r="8698" spans="1:3" x14ac:dyDescent="0.25">
      <c r="A8698" s="3">
        <v>41417</v>
      </c>
      <c r="B8698" s="2" t="s">
        <v>5</v>
      </c>
      <c r="C8698" s="2">
        <v>16</v>
      </c>
    </row>
    <row r="8699" spans="1:3" x14ac:dyDescent="0.25">
      <c r="A8699" s="3">
        <v>41675</v>
      </c>
      <c r="B8699" s="2" t="s">
        <v>48</v>
      </c>
      <c r="C8699" s="2">
        <v>15</v>
      </c>
    </row>
    <row r="8700" spans="1:3" x14ac:dyDescent="0.25">
      <c r="A8700" s="3">
        <v>41451</v>
      </c>
      <c r="B8700" s="2" t="s">
        <v>6</v>
      </c>
      <c r="C8700" s="2">
        <v>61</v>
      </c>
    </row>
    <row r="8701" spans="1:3" x14ac:dyDescent="0.25">
      <c r="A8701" s="3">
        <v>41366</v>
      </c>
      <c r="B8701" s="2" t="s">
        <v>50</v>
      </c>
      <c r="C8701" s="2">
        <v>26</v>
      </c>
    </row>
    <row r="8702" spans="1:3" x14ac:dyDescent="0.25">
      <c r="A8702" s="3">
        <v>41411</v>
      </c>
      <c r="B8702" s="2" t="s">
        <v>19</v>
      </c>
      <c r="C8702" s="2">
        <v>19</v>
      </c>
    </row>
    <row r="8703" spans="1:3" x14ac:dyDescent="0.25">
      <c r="A8703" s="3">
        <v>41377</v>
      </c>
      <c r="B8703" s="2" t="s">
        <v>29</v>
      </c>
      <c r="C8703" s="2">
        <v>23</v>
      </c>
    </row>
    <row r="8704" spans="1:3" x14ac:dyDescent="0.25">
      <c r="A8704" s="3">
        <v>41520</v>
      </c>
      <c r="B8704" s="2" t="s">
        <v>43</v>
      </c>
      <c r="C8704" s="2">
        <v>24</v>
      </c>
    </row>
    <row r="8705" spans="1:3" x14ac:dyDescent="0.25">
      <c r="A8705" s="3">
        <v>41340</v>
      </c>
      <c r="B8705" s="2" t="s">
        <v>35</v>
      </c>
      <c r="C8705" s="2">
        <v>68</v>
      </c>
    </row>
    <row r="8706" spans="1:3" x14ac:dyDescent="0.25">
      <c r="A8706" s="3">
        <v>41526</v>
      </c>
      <c r="B8706" s="2" t="s">
        <v>48</v>
      </c>
      <c r="C8706" s="2">
        <v>16</v>
      </c>
    </row>
    <row r="8707" spans="1:3" x14ac:dyDescent="0.25">
      <c r="A8707" s="3">
        <v>41667</v>
      </c>
      <c r="B8707" s="2" t="s">
        <v>33</v>
      </c>
      <c r="C8707" s="2">
        <v>28</v>
      </c>
    </row>
    <row r="8708" spans="1:3" x14ac:dyDescent="0.25">
      <c r="A8708" s="3">
        <v>41894</v>
      </c>
      <c r="B8708" s="2" t="s">
        <v>38</v>
      </c>
      <c r="C8708" s="2">
        <v>38</v>
      </c>
    </row>
    <row r="8709" spans="1:3" x14ac:dyDescent="0.25">
      <c r="A8709" s="3">
        <v>41693</v>
      </c>
      <c r="B8709" s="2" t="s">
        <v>15</v>
      </c>
      <c r="C8709" s="2">
        <v>52</v>
      </c>
    </row>
    <row r="8710" spans="1:3" x14ac:dyDescent="0.25">
      <c r="A8710" s="3">
        <v>41949</v>
      </c>
      <c r="B8710" s="2" t="s">
        <v>45</v>
      </c>
      <c r="C8710" s="2">
        <v>41</v>
      </c>
    </row>
    <row r="8711" spans="1:3" x14ac:dyDescent="0.25">
      <c r="A8711" s="3">
        <v>41656</v>
      </c>
      <c r="B8711" s="2" t="s">
        <v>42</v>
      </c>
      <c r="C8711" s="2">
        <v>58</v>
      </c>
    </row>
    <row r="8712" spans="1:3" x14ac:dyDescent="0.25">
      <c r="A8712" s="3">
        <v>41526</v>
      </c>
      <c r="B8712" s="2" t="s">
        <v>6</v>
      </c>
      <c r="C8712" s="2">
        <v>39</v>
      </c>
    </row>
    <row r="8713" spans="1:3" x14ac:dyDescent="0.25">
      <c r="A8713" s="3">
        <v>41987</v>
      </c>
      <c r="B8713" s="2" t="s">
        <v>20</v>
      </c>
      <c r="C8713" s="2">
        <v>33</v>
      </c>
    </row>
    <row r="8714" spans="1:3" x14ac:dyDescent="0.25">
      <c r="A8714" s="3">
        <v>41576</v>
      </c>
      <c r="B8714" s="2" t="s">
        <v>13</v>
      </c>
      <c r="C8714" s="2">
        <v>47</v>
      </c>
    </row>
    <row r="8715" spans="1:3" x14ac:dyDescent="0.25">
      <c r="A8715" s="3">
        <v>41906</v>
      </c>
      <c r="B8715" s="2" t="s">
        <v>41</v>
      </c>
      <c r="C8715" s="2">
        <v>42</v>
      </c>
    </row>
    <row r="8716" spans="1:3" x14ac:dyDescent="0.25">
      <c r="A8716" s="3">
        <v>41980</v>
      </c>
      <c r="B8716" s="2" t="s">
        <v>36</v>
      </c>
      <c r="C8716" s="2">
        <v>14</v>
      </c>
    </row>
    <row r="8717" spans="1:3" x14ac:dyDescent="0.25">
      <c r="A8717" s="3">
        <v>41427</v>
      </c>
      <c r="B8717" s="2" t="s">
        <v>3</v>
      </c>
      <c r="C8717" s="2">
        <v>20</v>
      </c>
    </row>
    <row r="8718" spans="1:3" x14ac:dyDescent="0.25">
      <c r="A8718" s="3">
        <v>41863</v>
      </c>
      <c r="B8718" s="2" t="s">
        <v>39</v>
      </c>
      <c r="C8718" s="2">
        <v>6</v>
      </c>
    </row>
    <row r="8719" spans="1:3" x14ac:dyDescent="0.25">
      <c r="A8719" s="3">
        <v>41548</v>
      </c>
      <c r="B8719" s="2" t="s">
        <v>40</v>
      </c>
      <c r="C8719" s="2">
        <v>32</v>
      </c>
    </row>
    <row r="8720" spans="1:3" x14ac:dyDescent="0.25">
      <c r="A8720" s="3">
        <v>41611</v>
      </c>
      <c r="B8720" s="2" t="s">
        <v>6</v>
      </c>
      <c r="C8720" s="2">
        <v>18</v>
      </c>
    </row>
    <row r="8721" spans="1:3" x14ac:dyDescent="0.25">
      <c r="A8721" s="3">
        <v>41723</v>
      </c>
      <c r="B8721" s="2" t="s">
        <v>17</v>
      </c>
      <c r="C8721" s="2">
        <v>20</v>
      </c>
    </row>
    <row r="8722" spans="1:3" x14ac:dyDescent="0.25">
      <c r="A8722" s="3">
        <v>41502</v>
      </c>
      <c r="B8722" s="2" t="s">
        <v>15</v>
      </c>
      <c r="C8722" s="2">
        <v>20</v>
      </c>
    </row>
    <row r="8723" spans="1:3" x14ac:dyDescent="0.25">
      <c r="A8723" s="3">
        <v>41837</v>
      </c>
      <c r="B8723" s="2" t="s">
        <v>40</v>
      </c>
      <c r="C8723" s="2">
        <v>19</v>
      </c>
    </row>
    <row r="8724" spans="1:3" x14ac:dyDescent="0.25">
      <c r="A8724" s="3">
        <v>41870</v>
      </c>
      <c r="B8724" s="2" t="s">
        <v>10</v>
      </c>
      <c r="C8724" s="2">
        <v>14</v>
      </c>
    </row>
    <row r="8725" spans="1:3" x14ac:dyDescent="0.25">
      <c r="A8725" s="3">
        <v>41456</v>
      </c>
      <c r="B8725" s="2" t="s">
        <v>39</v>
      </c>
      <c r="C8725" s="2">
        <v>32</v>
      </c>
    </row>
    <row r="8726" spans="1:3" x14ac:dyDescent="0.25">
      <c r="A8726" s="3">
        <v>41293</v>
      </c>
      <c r="B8726" s="2" t="s">
        <v>29</v>
      </c>
      <c r="C8726" s="2">
        <v>28</v>
      </c>
    </row>
    <row r="8727" spans="1:3" x14ac:dyDescent="0.25">
      <c r="A8727" s="3">
        <v>41783</v>
      </c>
      <c r="B8727" s="2" t="s">
        <v>22</v>
      </c>
      <c r="C8727" s="2">
        <v>13</v>
      </c>
    </row>
    <row r="8728" spans="1:3" x14ac:dyDescent="0.25">
      <c r="A8728" s="3">
        <v>41555</v>
      </c>
      <c r="B8728" s="2" t="s">
        <v>15</v>
      </c>
      <c r="C8728" s="2">
        <v>43</v>
      </c>
    </row>
    <row r="8729" spans="1:3" x14ac:dyDescent="0.25">
      <c r="A8729" s="3">
        <v>41471</v>
      </c>
      <c r="B8729" s="2" t="s">
        <v>45</v>
      </c>
      <c r="C8729" s="2">
        <v>6</v>
      </c>
    </row>
    <row r="8730" spans="1:3" x14ac:dyDescent="0.25">
      <c r="A8730" s="3">
        <v>41834</v>
      </c>
      <c r="B8730" s="2" t="s">
        <v>49</v>
      </c>
      <c r="C8730" s="2">
        <v>37</v>
      </c>
    </row>
    <row r="8731" spans="1:3" x14ac:dyDescent="0.25">
      <c r="A8731" s="3">
        <v>41930</v>
      </c>
      <c r="B8731" s="2" t="s">
        <v>37</v>
      </c>
      <c r="C8731" s="2">
        <v>6</v>
      </c>
    </row>
    <row r="8732" spans="1:3" x14ac:dyDescent="0.25">
      <c r="A8732" s="3">
        <v>41629</v>
      </c>
      <c r="B8732" s="2" t="s">
        <v>49</v>
      </c>
      <c r="C8732" s="2">
        <v>24</v>
      </c>
    </row>
    <row r="8733" spans="1:3" x14ac:dyDescent="0.25">
      <c r="A8733" s="3">
        <v>41745</v>
      </c>
      <c r="B8733" s="2" t="s">
        <v>21</v>
      </c>
      <c r="C8733" s="2">
        <v>36</v>
      </c>
    </row>
    <row r="8734" spans="1:3" x14ac:dyDescent="0.25">
      <c r="A8734" s="3">
        <v>41669</v>
      </c>
      <c r="B8734" s="2" t="s">
        <v>28</v>
      </c>
      <c r="C8734" s="2">
        <v>53</v>
      </c>
    </row>
    <row r="8735" spans="1:3" x14ac:dyDescent="0.25">
      <c r="A8735" s="3">
        <v>41511</v>
      </c>
      <c r="B8735" s="2" t="s">
        <v>23</v>
      </c>
      <c r="C8735" s="2">
        <v>44</v>
      </c>
    </row>
    <row r="8736" spans="1:3" x14ac:dyDescent="0.25">
      <c r="A8736" s="3">
        <v>41827</v>
      </c>
      <c r="B8736" s="2" t="s">
        <v>31</v>
      </c>
      <c r="C8736" s="2">
        <v>44</v>
      </c>
    </row>
    <row r="8737" spans="1:3" x14ac:dyDescent="0.25">
      <c r="A8737" s="3">
        <v>41591</v>
      </c>
      <c r="B8737" s="2" t="s">
        <v>19</v>
      </c>
      <c r="C8737" s="2">
        <v>1</v>
      </c>
    </row>
    <row r="8738" spans="1:3" x14ac:dyDescent="0.25">
      <c r="A8738" s="3">
        <v>41525</v>
      </c>
      <c r="B8738" s="2" t="s">
        <v>48</v>
      </c>
      <c r="C8738" s="2">
        <v>7</v>
      </c>
    </row>
    <row r="8739" spans="1:3" x14ac:dyDescent="0.25">
      <c r="A8739" s="3">
        <v>41596</v>
      </c>
      <c r="B8739" s="2" t="s">
        <v>24</v>
      </c>
      <c r="C8739" s="2">
        <v>24</v>
      </c>
    </row>
    <row r="8740" spans="1:3" x14ac:dyDescent="0.25">
      <c r="A8740" s="3">
        <v>41395</v>
      </c>
      <c r="B8740" s="2" t="s">
        <v>39</v>
      </c>
      <c r="C8740" s="2">
        <v>45</v>
      </c>
    </row>
    <row r="8741" spans="1:3" x14ac:dyDescent="0.25">
      <c r="A8741" s="3">
        <v>41824</v>
      </c>
      <c r="B8741" s="2" t="s">
        <v>46</v>
      </c>
      <c r="C8741" s="2">
        <v>8</v>
      </c>
    </row>
    <row r="8742" spans="1:3" x14ac:dyDescent="0.25">
      <c r="A8742" s="3">
        <v>41763</v>
      </c>
      <c r="B8742" s="2" t="s">
        <v>34</v>
      </c>
      <c r="C8742" s="2">
        <v>30</v>
      </c>
    </row>
    <row r="8743" spans="1:3" x14ac:dyDescent="0.25">
      <c r="A8743" s="3">
        <v>41851</v>
      </c>
      <c r="B8743" s="2" t="s">
        <v>7</v>
      </c>
      <c r="C8743" s="2">
        <v>23</v>
      </c>
    </row>
    <row r="8744" spans="1:3" x14ac:dyDescent="0.25">
      <c r="A8744" s="3">
        <v>41811</v>
      </c>
      <c r="B8744" s="2" t="s">
        <v>34</v>
      </c>
      <c r="C8744" s="2">
        <v>50</v>
      </c>
    </row>
    <row r="8745" spans="1:3" x14ac:dyDescent="0.25">
      <c r="A8745" s="3">
        <v>41688</v>
      </c>
      <c r="B8745" s="2" t="s">
        <v>8</v>
      </c>
      <c r="C8745" s="2">
        <v>21</v>
      </c>
    </row>
    <row r="8746" spans="1:3" x14ac:dyDescent="0.25">
      <c r="A8746" s="3">
        <v>41562</v>
      </c>
      <c r="B8746" s="2" t="s">
        <v>31</v>
      </c>
      <c r="C8746" s="2">
        <v>32</v>
      </c>
    </row>
    <row r="8747" spans="1:3" x14ac:dyDescent="0.25">
      <c r="A8747" s="3">
        <v>41596</v>
      </c>
      <c r="B8747" s="2" t="s">
        <v>35</v>
      </c>
      <c r="C8747" s="2">
        <v>10</v>
      </c>
    </row>
    <row r="8748" spans="1:3" x14ac:dyDescent="0.25">
      <c r="A8748" s="3">
        <v>41324</v>
      </c>
      <c r="B8748" s="2" t="s">
        <v>13</v>
      </c>
      <c r="C8748" s="2">
        <v>13</v>
      </c>
    </row>
    <row r="8749" spans="1:3" x14ac:dyDescent="0.25">
      <c r="A8749" s="3">
        <v>41405</v>
      </c>
      <c r="B8749" s="2" t="s">
        <v>25</v>
      </c>
      <c r="C8749" s="2">
        <v>38</v>
      </c>
    </row>
    <row r="8750" spans="1:3" x14ac:dyDescent="0.25">
      <c r="A8750" s="3">
        <v>41710</v>
      </c>
      <c r="B8750" s="2" t="s">
        <v>2</v>
      </c>
      <c r="C8750" s="2">
        <v>30</v>
      </c>
    </row>
    <row r="8751" spans="1:3" x14ac:dyDescent="0.25">
      <c r="A8751" s="3">
        <v>41714</v>
      </c>
      <c r="B8751" s="2" t="s">
        <v>4</v>
      </c>
      <c r="C8751" s="2">
        <v>31</v>
      </c>
    </row>
    <row r="8752" spans="1:3" x14ac:dyDescent="0.25">
      <c r="A8752" s="3">
        <v>41664</v>
      </c>
      <c r="B8752" s="2" t="s">
        <v>34</v>
      </c>
      <c r="C8752" s="2">
        <v>29</v>
      </c>
    </row>
    <row r="8753" spans="1:3" x14ac:dyDescent="0.25">
      <c r="A8753" s="3">
        <v>42000</v>
      </c>
      <c r="B8753" s="2" t="s">
        <v>16</v>
      </c>
      <c r="C8753" s="2">
        <v>46</v>
      </c>
    </row>
    <row r="8754" spans="1:3" x14ac:dyDescent="0.25">
      <c r="A8754" s="3">
        <v>41892</v>
      </c>
      <c r="B8754" s="2" t="s">
        <v>51</v>
      </c>
      <c r="C8754" s="2">
        <v>30</v>
      </c>
    </row>
    <row r="8755" spans="1:3" x14ac:dyDescent="0.25">
      <c r="A8755" s="3">
        <v>41362</v>
      </c>
      <c r="B8755" s="2" t="s">
        <v>30</v>
      </c>
      <c r="C8755" s="2">
        <v>37</v>
      </c>
    </row>
    <row r="8756" spans="1:3" x14ac:dyDescent="0.25">
      <c r="A8756" s="3">
        <v>41645</v>
      </c>
      <c r="B8756" s="2" t="s">
        <v>5</v>
      </c>
      <c r="C8756" s="2">
        <v>18</v>
      </c>
    </row>
    <row r="8757" spans="1:3" x14ac:dyDescent="0.25">
      <c r="A8757" s="3">
        <v>41601</v>
      </c>
      <c r="B8757" s="2" t="s">
        <v>32</v>
      </c>
      <c r="C8757" s="2">
        <v>0</v>
      </c>
    </row>
    <row r="8758" spans="1:3" x14ac:dyDescent="0.25">
      <c r="A8758" s="3">
        <v>41923</v>
      </c>
      <c r="B8758" s="2" t="s">
        <v>34</v>
      </c>
      <c r="C8758" s="2">
        <v>26</v>
      </c>
    </row>
    <row r="8759" spans="1:3" x14ac:dyDescent="0.25">
      <c r="A8759" s="3">
        <v>41352</v>
      </c>
      <c r="B8759" s="2" t="s">
        <v>40</v>
      </c>
      <c r="C8759" s="2">
        <v>57</v>
      </c>
    </row>
    <row r="8760" spans="1:3" x14ac:dyDescent="0.25">
      <c r="A8760" s="3">
        <v>41835</v>
      </c>
      <c r="B8760" s="2" t="s">
        <v>31</v>
      </c>
      <c r="C8760" s="2">
        <v>28</v>
      </c>
    </row>
    <row r="8761" spans="1:3" x14ac:dyDescent="0.25">
      <c r="A8761" s="3">
        <v>41797</v>
      </c>
      <c r="B8761" s="2" t="s">
        <v>25</v>
      </c>
      <c r="C8761" s="2">
        <v>22</v>
      </c>
    </row>
    <row r="8762" spans="1:3" x14ac:dyDescent="0.25">
      <c r="A8762" s="3">
        <v>41953</v>
      </c>
      <c r="B8762" s="2" t="s">
        <v>16</v>
      </c>
      <c r="C8762" s="2">
        <v>20</v>
      </c>
    </row>
    <row r="8763" spans="1:3" x14ac:dyDescent="0.25">
      <c r="A8763" s="3">
        <v>41535</v>
      </c>
      <c r="B8763" s="2" t="s">
        <v>24</v>
      </c>
      <c r="C8763" s="2">
        <v>26</v>
      </c>
    </row>
    <row r="8764" spans="1:3" x14ac:dyDescent="0.25">
      <c r="A8764" s="3">
        <v>41982</v>
      </c>
      <c r="B8764" s="2" t="s">
        <v>36</v>
      </c>
      <c r="C8764" s="2">
        <v>42</v>
      </c>
    </row>
    <row r="8765" spans="1:3" x14ac:dyDescent="0.25">
      <c r="A8765" s="3">
        <v>41766</v>
      </c>
      <c r="B8765" s="2" t="s">
        <v>32</v>
      </c>
      <c r="C8765" s="2">
        <v>19</v>
      </c>
    </row>
    <row r="8766" spans="1:3" x14ac:dyDescent="0.25">
      <c r="A8766" s="3">
        <v>41576</v>
      </c>
      <c r="B8766" s="2" t="s">
        <v>25</v>
      </c>
      <c r="C8766" s="2">
        <v>21</v>
      </c>
    </row>
    <row r="8767" spans="1:3" x14ac:dyDescent="0.25">
      <c r="A8767" s="3">
        <v>41427</v>
      </c>
      <c r="B8767" s="2" t="s">
        <v>33</v>
      </c>
      <c r="C8767" s="2">
        <v>11</v>
      </c>
    </row>
    <row r="8768" spans="1:3" x14ac:dyDescent="0.25">
      <c r="A8768" s="3">
        <v>41774</v>
      </c>
      <c r="B8768" s="2" t="s">
        <v>11</v>
      </c>
      <c r="C8768" s="2">
        <v>19</v>
      </c>
    </row>
    <row r="8769" spans="1:3" x14ac:dyDescent="0.25">
      <c r="A8769" s="3">
        <v>41342</v>
      </c>
      <c r="B8769" s="2" t="s">
        <v>7</v>
      </c>
      <c r="C8769" s="2">
        <v>21</v>
      </c>
    </row>
    <row r="8770" spans="1:3" x14ac:dyDescent="0.25">
      <c r="A8770" s="3">
        <v>41990</v>
      </c>
      <c r="B8770" s="2" t="s">
        <v>3</v>
      </c>
      <c r="C8770" s="2">
        <v>15</v>
      </c>
    </row>
    <row r="8771" spans="1:3" x14ac:dyDescent="0.25">
      <c r="A8771" s="3">
        <v>41778</v>
      </c>
      <c r="B8771" s="2" t="s">
        <v>28</v>
      </c>
      <c r="C8771" s="2">
        <v>15</v>
      </c>
    </row>
    <row r="8772" spans="1:3" x14ac:dyDescent="0.25">
      <c r="A8772" s="3">
        <v>41918</v>
      </c>
      <c r="B8772" s="2" t="s">
        <v>10</v>
      </c>
      <c r="C8772" s="2">
        <v>20</v>
      </c>
    </row>
    <row r="8773" spans="1:3" x14ac:dyDescent="0.25">
      <c r="A8773" s="3">
        <v>41484</v>
      </c>
      <c r="B8773" s="2" t="s">
        <v>42</v>
      </c>
      <c r="C8773" s="2">
        <v>7</v>
      </c>
    </row>
    <row r="8774" spans="1:3" x14ac:dyDescent="0.25">
      <c r="A8774" s="3">
        <v>41665</v>
      </c>
      <c r="B8774" s="2" t="s">
        <v>2</v>
      </c>
      <c r="C8774" s="2">
        <v>37</v>
      </c>
    </row>
    <row r="8775" spans="1:3" x14ac:dyDescent="0.25">
      <c r="A8775" s="3">
        <v>41791</v>
      </c>
      <c r="B8775" s="2" t="s">
        <v>22</v>
      </c>
      <c r="C8775" s="2">
        <v>16</v>
      </c>
    </row>
    <row r="8776" spans="1:3" x14ac:dyDescent="0.25">
      <c r="A8776" s="3">
        <v>41571</v>
      </c>
      <c r="B8776" s="2" t="s">
        <v>13</v>
      </c>
      <c r="C8776" s="2">
        <v>28</v>
      </c>
    </row>
    <row r="8777" spans="1:3" x14ac:dyDescent="0.25">
      <c r="A8777" s="3">
        <v>41671</v>
      </c>
      <c r="B8777" s="2" t="s">
        <v>49</v>
      </c>
      <c r="C8777" s="2">
        <v>4</v>
      </c>
    </row>
    <row r="8778" spans="1:3" x14ac:dyDescent="0.25">
      <c r="A8778" s="3">
        <v>41347</v>
      </c>
      <c r="B8778" s="2" t="s">
        <v>19</v>
      </c>
      <c r="C8778" s="2">
        <v>31</v>
      </c>
    </row>
    <row r="8779" spans="1:3" x14ac:dyDescent="0.25">
      <c r="A8779" s="3">
        <v>41533</v>
      </c>
      <c r="B8779" s="2" t="s">
        <v>13</v>
      </c>
      <c r="C8779" s="2">
        <v>47</v>
      </c>
    </row>
    <row r="8780" spans="1:3" x14ac:dyDescent="0.25">
      <c r="A8780" s="3">
        <v>41952</v>
      </c>
      <c r="B8780" s="2" t="s">
        <v>33</v>
      </c>
      <c r="C8780" s="2">
        <v>7</v>
      </c>
    </row>
    <row r="8781" spans="1:3" x14ac:dyDescent="0.25">
      <c r="A8781" s="3">
        <v>41463</v>
      </c>
      <c r="B8781" s="2" t="s">
        <v>23</v>
      </c>
      <c r="C8781" s="2">
        <v>34</v>
      </c>
    </row>
    <row r="8782" spans="1:3" x14ac:dyDescent="0.25">
      <c r="A8782" s="3">
        <v>41512</v>
      </c>
      <c r="B8782" s="2" t="s">
        <v>16</v>
      </c>
      <c r="C8782" s="2">
        <v>43</v>
      </c>
    </row>
    <row r="8783" spans="1:3" x14ac:dyDescent="0.25">
      <c r="A8783" s="3">
        <v>41582</v>
      </c>
      <c r="B8783" s="2" t="s">
        <v>49</v>
      </c>
      <c r="C8783" s="2">
        <v>24</v>
      </c>
    </row>
    <row r="8784" spans="1:3" x14ac:dyDescent="0.25">
      <c r="A8784" s="3">
        <v>41640</v>
      </c>
      <c r="B8784" s="2" t="s">
        <v>34</v>
      </c>
      <c r="C8784" s="2">
        <v>46</v>
      </c>
    </row>
    <row r="8785" spans="1:3" x14ac:dyDescent="0.25">
      <c r="A8785" s="3">
        <v>41860</v>
      </c>
      <c r="B8785" s="2" t="s">
        <v>42</v>
      </c>
      <c r="C8785" s="2">
        <v>50</v>
      </c>
    </row>
    <row r="8786" spans="1:3" x14ac:dyDescent="0.25">
      <c r="A8786" s="3">
        <v>41893</v>
      </c>
      <c r="B8786" s="2" t="s">
        <v>50</v>
      </c>
      <c r="C8786" s="2">
        <v>37</v>
      </c>
    </row>
    <row r="8787" spans="1:3" x14ac:dyDescent="0.25">
      <c r="A8787" s="3">
        <v>41565</v>
      </c>
      <c r="B8787" s="2" t="s">
        <v>17</v>
      </c>
      <c r="C8787" s="2">
        <v>2</v>
      </c>
    </row>
    <row r="8788" spans="1:3" x14ac:dyDescent="0.25">
      <c r="A8788" s="3">
        <v>41716</v>
      </c>
      <c r="B8788" s="2" t="s">
        <v>48</v>
      </c>
      <c r="C8788" s="2">
        <v>38</v>
      </c>
    </row>
    <row r="8789" spans="1:3" x14ac:dyDescent="0.25">
      <c r="A8789" s="3">
        <v>41403</v>
      </c>
      <c r="B8789" s="2" t="s">
        <v>5</v>
      </c>
      <c r="C8789" s="2">
        <v>46</v>
      </c>
    </row>
    <row r="8790" spans="1:3" x14ac:dyDescent="0.25">
      <c r="A8790" s="3">
        <v>41966</v>
      </c>
      <c r="B8790" s="2" t="s">
        <v>24</v>
      </c>
      <c r="C8790" s="2">
        <v>15</v>
      </c>
    </row>
    <row r="8791" spans="1:3" x14ac:dyDescent="0.25">
      <c r="A8791" s="3">
        <v>41716</v>
      </c>
      <c r="B8791" s="2" t="s">
        <v>7</v>
      </c>
      <c r="C8791" s="2">
        <v>32</v>
      </c>
    </row>
    <row r="8792" spans="1:3" x14ac:dyDescent="0.25">
      <c r="A8792" s="3">
        <v>41800</v>
      </c>
      <c r="B8792" s="2" t="s">
        <v>10</v>
      </c>
      <c r="C8792" s="2">
        <v>8</v>
      </c>
    </row>
    <row r="8793" spans="1:3" x14ac:dyDescent="0.25">
      <c r="A8793" s="3">
        <v>41316</v>
      </c>
      <c r="B8793" s="2" t="s">
        <v>47</v>
      </c>
      <c r="C8793" s="2">
        <v>45</v>
      </c>
    </row>
    <row r="8794" spans="1:3" x14ac:dyDescent="0.25">
      <c r="A8794" s="3">
        <v>41672</v>
      </c>
      <c r="B8794" s="2" t="s">
        <v>40</v>
      </c>
      <c r="C8794" s="2">
        <v>28</v>
      </c>
    </row>
    <row r="8795" spans="1:3" x14ac:dyDescent="0.25">
      <c r="A8795" s="3">
        <v>41480</v>
      </c>
      <c r="B8795" s="2" t="s">
        <v>31</v>
      </c>
      <c r="C8795" s="2">
        <v>33</v>
      </c>
    </row>
    <row r="8796" spans="1:3" x14ac:dyDescent="0.25">
      <c r="A8796" s="3">
        <v>41549</v>
      </c>
      <c r="B8796" s="2" t="s">
        <v>50</v>
      </c>
      <c r="C8796" s="2">
        <v>2</v>
      </c>
    </row>
    <row r="8797" spans="1:3" x14ac:dyDescent="0.25">
      <c r="A8797" s="3">
        <v>41493</v>
      </c>
      <c r="B8797" s="2" t="s">
        <v>36</v>
      </c>
      <c r="C8797" s="2">
        <v>22</v>
      </c>
    </row>
    <row r="8798" spans="1:3" x14ac:dyDescent="0.25">
      <c r="A8798" s="3">
        <v>41665</v>
      </c>
      <c r="B8798" s="2" t="s">
        <v>48</v>
      </c>
      <c r="C8798" s="2">
        <v>20</v>
      </c>
    </row>
    <row r="8799" spans="1:3" x14ac:dyDescent="0.25">
      <c r="A8799" s="3">
        <v>41736</v>
      </c>
      <c r="B8799" s="2" t="s">
        <v>13</v>
      </c>
      <c r="C8799" s="2">
        <v>32</v>
      </c>
    </row>
    <row r="8800" spans="1:3" x14ac:dyDescent="0.25">
      <c r="A8800" s="3">
        <v>41481</v>
      </c>
      <c r="B8800" s="2" t="s">
        <v>23</v>
      </c>
      <c r="C8800" s="2">
        <v>50</v>
      </c>
    </row>
    <row r="8801" spans="1:3" x14ac:dyDescent="0.25">
      <c r="A8801" s="3">
        <v>41321</v>
      </c>
      <c r="B8801" s="2" t="s">
        <v>20</v>
      </c>
      <c r="C8801" s="2">
        <v>26</v>
      </c>
    </row>
    <row r="8802" spans="1:3" x14ac:dyDescent="0.25">
      <c r="A8802" s="3">
        <v>41453</v>
      </c>
      <c r="B8802" s="2" t="s">
        <v>8</v>
      </c>
      <c r="C8802" s="2">
        <v>30</v>
      </c>
    </row>
    <row r="8803" spans="1:3" x14ac:dyDescent="0.25">
      <c r="A8803" s="3">
        <v>41528</v>
      </c>
      <c r="B8803" s="2" t="s">
        <v>8</v>
      </c>
      <c r="C8803" s="2">
        <v>3</v>
      </c>
    </row>
    <row r="8804" spans="1:3" x14ac:dyDescent="0.25">
      <c r="A8804" s="3">
        <v>41516</v>
      </c>
      <c r="B8804" s="2" t="s">
        <v>50</v>
      </c>
      <c r="C8804" s="2">
        <v>12</v>
      </c>
    </row>
    <row r="8805" spans="1:3" x14ac:dyDescent="0.25">
      <c r="A8805" s="3">
        <v>41573</v>
      </c>
      <c r="B8805" s="2" t="s">
        <v>17</v>
      </c>
      <c r="C8805" s="2">
        <v>13</v>
      </c>
    </row>
    <row r="8806" spans="1:3" x14ac:dyDescent="0.25">
      <c r="A8806" s="3">
        <v>41782</v>
      </c>
      <c r="B8806" s="2" t="s">
        <v>20</v>
      </c>
      <c r="C8806" s="2">
        <v>14</v>
      </c>
    </row>
    <row r="8807" spans="1:3" x14ac:dyDescent="0.25">
      <c r="A8807" s="3">
        <v>41861</v>
      </c>
      <c r="B8807" s="2" t="s">
        <v>50</v>
      </c>
      <c r="C8807" s="2">
        <v>21</v>
      </c>
    </row>
    <row r="8808" spans="1:3" x14ac:dyDescent="0.25">
      <c r="A8808" s="3">
        <v>41469</v>
      </c>
      <c r="B8808" s="2" t="s">
        <v>36</v>
      </c>
      <c r="C8808" s="2">
        <v>35</v>
      </c>
    </row>
    <row r="8809" spans="1:3" x14ac:dyDescent="0.25">
      <c r="A8809" s="3">
        <v>41912</v>
      </c>
      <c r="B8809" s="2" t="s">
        <v>44</v>
      </c>
      <c r="C8809" s="2">
        <v>30</v>
      </c>
    </row>
    <row r="8810" spans="1:3" x14ac:dyDescent="0.25">
      <c r="A8810" s="3">
        <v>41730</v>
      </c>
      <c r="B8810" s="2" t="s">
        <v>22</v>
      </c>
      <c r="C8810" s="2">
        <v>44</v>
      </c>
    </row>
    <row r="8811" spans="1:3" x14ac:dyDescent="0.25">
      <c r="A8811" s="3">
        <v>41356</v>
      </c>
      <c r="B8811" s="2" t="s">
        <v>43</v>
      </c>
      <c r="C8811" s="2">
        <v>23</v>
      </c>
    </row>
    <row r="8812" spans="1:3" x14ac:dyDescent="0.25">
      <c r="A8812" s="3">
        <v>41482</v>
      </c>
      <c r="B8812" s="2" t="s">
        <v>7</v>
      </c>
      <c r="C8812" s="2">
        <v>58</v>
      </c>
    </row>
    <row r="8813" spans="1:3" x14ac:dyDescent="0.25">
      <c r="A8813" s="3">
        <v>41901</v>
      </c>
      <c r="B8813" s="2" t="s">
        <v>20</v>
      </c>
      <c r="C8813" s="2">
        <v>20</v>
      </c>
    </row>
    <row r="8814" spans="1:3" x14ac:dyDescent="0.25">
      <c r="A8814" s="3">
        <v>41976</v>
      </c>
      <c r="B8814" s="2" t="s">
        <v>43</v>
      </c>
      <c r="C8814" s="2">
        <v>9</v>
      </c>
    </row>
    <row r="8815" spans="1:3" x14ac:dyDescent="0.25">
      <c r="A8815" s="3">
        <v>41846</v>
      </c>
      <c r="B8815" s="2" t="s">
        <v>39</v>
      </c>
      <c r="C8815" s="2">
        <v>27</v>
      </c>
    </row>
    <row r="8816" spans="1:3" x14ac:dyDescent="0.25">
      <c r="A8816" s="3">
        <v>41552</v>
      </c>
      <c r="B8816" s="2" t="s">
        <v>2</v>
      </c>
      <c r="C8816" s="2">
        <v>28</v>
      </c>
    </row>
    <row r="8817" spans="1:3" x14ac:dyDescent="0.25">
      <c r="A8817" s="3">
        <v>41673</v>
      </c>
      <c r="B8817" s="2" t="s">
        <v>26</v>
      </c>
      <c r="C8817" s="2">
        <v>37</v>
      </c>
    </row>
    <row r="8818" spans="1:3" x14ac:dyDescent="0.25">
      <c r="A8818" s="3">
        <v>41675</v>
      </c>
      <c r="B8818" s="2" t="s">
        <v>46</v>
      </c>
      <c r="C8818" s="2">
        <v>16</v>
      </c>
    </row>
    <row r="8819" spans="1:3" x14ac:dyDescent="0.25">
      <c r="A8819" s="3">
        <v>41972</v>
      </c>
      <c r="B8819" s="2" t="s">
        <v>33</v>
      </c>
      <c r="C8819" s="2">
        <v>24</v>
      </c>
    </row>
    <row r="8820" spans="1:3" x14ac:dyDescent="0.25">
      <c r="A8820" s="3">
        <v>41402</v>
      </c>
      <c r="B8820" s="2" t="s">
        <v>18</v>
      </c>
      <c r="C8820" s="2">
        <v>29</v>
      </c>
    </row>
    <row r="8821" spans="1:3" x14ac:dyDescent="0.25">
      <c r="A8821" s="3">
        <v>41472</v>
      </c>
      <c r="B8821" s="2" t="s">
        <v>40</v>
      </c>
      <c r="C8821" s="2">
        <v>57</v>
      </c>
    </row>
    <row r="8822" spans="1:3" x14ac:dyDescent="0.25">
      <c r="A8822" s="3">
        <v>41521</v>
      </c>
      <c r="B8822" s="2" t="s">
        <v>49</v>
      </c>
      <c r="C8822" s="2">
        <v>18</v>
      </c>
    </row>
    <row r="8823" spans="1:3" x14ac:dyDescent="0.25">
      <c r="A8823" s="3">
        <v>41519</v>
      </c>
      <c r="B8823" s="2" t="s">
        <v>6</v>
      </c>
      <c r="C8823" s="2">
        <v>60</v>
      </c>
    </row>
    <row r="8824" spans="1:3" x14ac:dyDescent="0.25">
      <c r="A8824" s="3">
        <v>41585</v>
      </c>
      <c r="B8824" s="2" t="s">
        <v>8</v>
      </c>
      <c r="C8824" s="2">
        <v>34</v>
      </c>
    </row>
    <row r="8825" spans="1:3" x14ac:dyDescent="0.25">
      <c r="A8825" s="3">
        <v>41299</v>
      </c>
      <c r="B8825" s="2" t="s">
        <v>25</v>
      </c>
      <c r="C8825" s="2">
        <v>14</v>
      </c>
    </row>
    <row r="8826" spans="1:3" x14ac:dyDescent="0.25">
      <c r="A8826" s="3">
        <v>41374</v>
      </c>
      <c r="B8826" s="2" t="s">
        <v>13</v>
      </c>
      <c r="C8826" s="2">
        <v>41</v>
      </c>
    </row>
    <row r="8827" spans="1:3" x14ac:dyDescent="0.25">
      <c r="A8827" s="3">
        <v>41740</v>
      </c>
      <c r="B8827" s="2" t="s">
        <v>19</v>
      </c>
      <c r="C8827" s="2">
        <v>15</v>
      </c>
    </row>
    <row r="8828" spans="1:3" x14ac:dyDescent="0.25">
      <c r="A8828" s="3">
        <v>41455</v>
      </c>
      <c r="B8828" s="2" t="s">
        <v>4</v>
      </c>
      <c r="C8828" s="2">
        <v>29</v>
      </c>
    </row>
    <row r="8829" spans="1:3" x14ac:dyDescent="0.25">
      <c r="A8829" s="3">
        <v>41399</v>
      </c>
      <c r="B8829" s="2" t="s">
        <v>16</v>
      </c>
      <c r="C8829" s="2">
        <v>26</v>
      </c>
    </row>
    <row r="8830" spans="1:3" x14ac:dyDescent="0.25">
      <c r="A8830" s="3">
        <v>41830</v>
      </c>
      <c r="B8830" s="2" t="s">
        <v>4</v>
      </c>
      <c r="C8830" s="2">
        <v>6</v>
      </c>
    </row>
    <row r="8831" spans="1:3" x14ac:dyDescent="0.25">
      <c r="A8831" s="3">
        <v>41716</v>
      </c>
      <c r="B8831" s="2" t="s">
        <v>26</v>
      </c>
      <c r="C8831" s="2">
        <v>17</v>
      </c>
    </row>
    <row r="8832" spans="1:3" x14ac:dyDescent="0.25">
      <c r="A8832" s="3">
        <v>41524</v>
      </c>
      <c r="B8832" s="2" t="s">
        <v>15</v>
      </c>
      <c r="C8832" s="2">
        <v>6</v>
      </c>
    </row>
    <row r="8833" spans="1:3" x14ac:dyDescent="0.25">
      <c r="A8833" s="3">
        <v>41463</v>
      </c>
      <c r="B8833" s="2" t="s">
        <v>50</v>
      </c>
      <c r="C8833" s="2">
        <v>16</v>
      </c>
    </row>
    <row r="8834" spans="1:3" x14ac:dyDescent="0.25">
      <c r="A8834" s="3">
        <v>41311</v>
      </c>
      <c r="B8834" s="2" t="s">
        <v>36</v>
      </c>
      <c r="C8834" s="2">
        <v>11</v>
      </c>
    </row>
    <row r="8835" spans="1:3" x14ac:dyDescent="0.25">
      <c r="A8835" s="3">
        <v>41560</v>
      </c>
      <c r="B8835" s="2" t="s">
        <v>13</v>
      </c>
      <c r="C8835" s="2">
        <v>45</v>
      </c>
    </row>
    <row r="8836" spans="1:3" x14ac:dyDescent="0.25">
      <c r="A8836" s="3">
        <v>41343</v>
      </c>
      <c r="B8836" s="2" t="s">
        <v>39</v>
      </c>
      <c r="C8836" s="2">
        <v>24</v>
      </c>
    </row>
    <row r="8837" spans="1:3" x14ac:dyDescent="0.25">
      <c r="A8837" s="3">
        <v>41974</v>
      </c>
      <c r="B8837" s="2" t="s">
        <v>35</v>
      </c>
      <c r="C8837" s="2">
        <v>18</v>
      </c>
    </row>
    <row r="8838" spans="1:3" x14ac:dyDescent="0.25">
      <c r="A8838" s="3">
        <v>41643</v>
      </c>
      <c r="B8838" s="2" t="s">
        <v>11</v>
      </c>
      <c r="C8838" s="2">
        <v>14</v>
      </c>
    </row>
    <row r="8839" spans="1:3" x14ac:dyDescent="0.25">
      <c r="A8839" s="3">
        <v>41470</v>
      </c>
      <c r="B8839" s="2" t="s">
        <v>4</v>
      </c>
      <c r="C8839" s="2">
        <v>11</v>
      </c>
    </row>
    <row r="8840" spans="1:3" x14ac:dyDescent="0.25">
      <c r="A8840" s="3">
        <v>41578</v>
      </c>
      <c r="B8840" s="2" t="s">
        <v>50</v>
      </c>
      <c r="C8840" s="2">
        <v>38</v>
      </c>
    </row>
    <row r="8841" spans="1:3" x14ac:dyDescent="0.25">
      <c r="A8841" s="3">
        <v>41606</v>
      </c>
      <c r="B8841" s="2" t="s">
        <v>46</v>
      </c>
      <c r="C8841" s="2">
        <v>16</v>
      </c>
    </row>
    <row r="8842" spans="1:3" x14ac:dyDescent="0.25">
      <c r="A8842" s="3">
        <v>41959</v>
      </c>
      <c r="B8842" s="2" t="s">
        <v>27</v>
      </c>
      <c r="C8842" s="2">
        <v>22</v>
      </c>
    </row>
    <row r="8843" spans="1:3" x14ac:dyDescent="0.25">
      <c r="A8843" s="3">
        <v>41599</v>
      </c>
      <c r="B8843" s="2" t="s">
        <v>18</v>
      </c>
      <c r="C8843" s="2">
        <v>18</v>
      </c>
    </row>
    <row r="8844" spans="1:3" x14ac:dyDescent="0.25">
      <c r="A8844" s="3">
        <v>41822</v>
      </c>
      <c r="B8844" s="2" t="s">
        <v>38</v>
      </c>
      <c r="C8844" s="2">
        <v>10</v>
      </c>
    </row>
    <row r="8845" spans="1:3" x14ac:dyDescent="0.25">
      <c r="A8845" s="3">
        <v>41698</v>
      </c>
      <c r="B8845" s="2" t="s">
        <v>41</v>
      </c>
      <c r="C8845" s="2">
        <v>16</v>
      </c>
    </row>
    <row r="8846" spans="1:3" x14ac:dyDescent="0.25">
      <c r="A8846" s="3">
        <v>41933</v>
      </c>
      <c r="B8846" s="2" t="s">
        <v>47</v>
      </c>
      <c r="C8846" s="2">
        <v>24</v>
      </c>
    </row>
    <row r="8847" spans="1:3" x14ac:dyDescent="0.25">
      <c r="A8847" s="3">
        <v>41709</v>
      </c>
      <c r="B8847" s="2" t="s">
        <v>5</v>
      </c>
      <c r="C8847" s="2">
        <v>31</v>
      </c>
    </row>
    <row r="8848" spans="1:3" x14ac:dyDescent="0.25">
      <c r="A8848" s="3">
        <v>41487</v>
      </c>
      <c r="B8848" s="2" t="s">
        <v>11</v>
      </c>
      <c r="C8848" s="2">
        <v>34</v>
      </c>
    </row>
    <row r="8849" spans="1:3" x14ac:dyDescent="0.25">
      <c r="A8849" s="3">
        <v>41944</v>
      </c>
      <c r="B8849" s="2" t="s">
        <v>40</v>
      </c>
      <c r="C8849" s="2">
        <v>20</v>
      </c>
    </row>
    <row r="8850" spans="1:3" x14ac:dyDescent="0.25">
      <c r="A8850" s="3">
        <v>41899</v>
      </c>
      <c r="B8850" s="2" t="s">
        <v>43</v>
      </c>
      <c r="C8850" s="2">
        <v>48</v>
      </c>
    </row>
    <row r="8851" spans="1:3" x14ac:dyDescent="0.25">
      <c r="A8851" s="3">
        <v>41585</v>
      </c>
      <c r="B8851" s="2" t="s">
        <v>2</v>
      </c>
      <c r="C8851" s="2">
        <v>13</v>
      </c>
    </row>
    <row r="8852" spans="1:3" x14ac:dyDescent="0.25">
      <c r="A8852" s="3">
        <v>41507</v>
      </c>
      <c r="B8852" s="2" t="s">
        <v>33</v>
      </c>
      <c r="C8852" s="2">
        <v>24</v>
      </c>
    </row>
    <row r="8853" spans="1:3" x14ac:dyDescent="0.25">
      <c r="A8853" s="3">
        <v>41987</v>
      </c>
      <c r="B8853" s="2" t="s">
        <v>32</v>
      </c>
      <c r="C8853" s="2">
        <v>18</v>
      </c>
    </row>
    <row r="8854" spans="1:3" x14ac:dyDescent="0.25">
      <c r="A8854" s="3">
        <v>41898</v>
      </c>
      <c r="B8854" s="2" t="s">
        <v>25</v>
      </c>
      <c r="C8854" s="2">
        <v>20</v>
      </c>
    </row>
    <row r="8855" spans="1:3" x14ac:dyDescent="0.25">
      <c r="A8855" s="3">
        <v>41444</v>
      </c>
      <c r="B8855" s="2" t="s">
        <v>44</v>
      </c>
      <c r="C8855" s="2">
        <v>23</v>
      </c>
    </row>
    <row r="8856" spans="1:3" x14ac:dyDescent="0.25">
      <c r="A8856" s="3">
        <v>41314</v>
      </c>
      <c r="B8856" s="2" t="s">
        <v>46</v>
      </c>
      <c r="C8856" s="2">
        <v>0</v>
      </c>
    </row>
    <row r="8857" spans="1:3" x14ac:dyDescent="0.25">
      <c r="A8857" s="3">
        <v>41517</v>
      </c>
      <c r="B8857" s="2" t="s">
        <v>26</v>
      </c>
      <c r="C8857" s="2">
        <v>39</v>
      </c>
    </row>
    <row r="8858" spans="1:3" x14ac:dyDescent="0.25">
      <c r="A8858" s="3">
        <v>41856</v>
      </c>
      <c r="B8858" s="2" t="s">
        <v>7</v>
      </c>
      <c r="C8858" s="2">
        <v>47</v>
      </c>
    </row>
    <row r="8859" spans="1:3" x14ac:dyDescent="0.25">
      <c r="A8859" s="3">
        <v>41480</v>
      </c>
      <c r="B8859" s="2" t="s">
        <v>20</v>
      </c>
      <c r="C8859" s="2">
        <v>6</v>
      </c>
    </row>
    <row r="8860" spans="1:3" x14ac:dyDescent="0.25">
      <c r="A8860" s="3">
        <v>41585</v>
      </c>
      <c r="B8860" s="2" t="s">
        <v>14</v>
      </c>
      <c r="C8860" s="2">
        <v>38</v>
      </c>
    </row>
    <row r="8861" spans="1:3" x14ac:dyDescent="0.25">
      <c r="A8861" s="3">
        <v>41356</v>
      </c>
      <c r="B8861" s="2" t="s">
        <v>8</v>
      </c>
      <c r="C8861" s="2">
        <v>29</v>
      </c>
    </row>
    <row r="8862" spans="1:3" x14ac:dyDescent="0.25">
      <c r="A8862" s="3">
        <v>41700</v>
      </c>
      <c r="B8862" s="2" t="s">
        <v>12</v>
      </c>
      <c r="C8862" s="2">
        <v>35</v>
      </c>
    </row>
    <row r="8863" spans="1:3" x14ac:dyDescent="0.25">
      <c r="A8863" s="3">
        <v>41577</v>
      </c>
      <c r="B8863" s="2" t="s">
        <v>4</v>
      </c>
      <c r="C8863" s="2">
        <v>61</v>
      </c>
    </row>
    <row r="8864" spans="1:3" x14ac:dyDescent="0.25">
      <c r="A8864" s="3">
        <v>41642</v>
      </c>
      <c r="B8864" s="2" t="s">
        <v>45</v>
      </c>
      <c r="C8864" s="2">
        <v>10</v>
      </c>
    </row>
    <row r="8865" spans="1:3" x14ac:dyDescent="0.25">
      <c r="A8865" s="3">
        <v>41601</v>
      </c>
      <c r="B8865" s="2" t="s">
        <v>17</v>
      </c>
      <c r="C8865" s="2">
        <v>23</v>
      </c>
    </row>
    <row r="8866" spans="1:3" x14ac:dyDescent="0.25">
      <c r="A8866" s="3">
        <v>41851</v>
      </c>
      <c r="B8866" s="2" t="s">
        <v>22</v>
      </c>
      <c r="C8866" s="2">
        <v>21</v>
      </c>
    </row>
    <row r="8867" spans="1:3" x14ac:dyDescent="0.25">
      <c r="A8867" s="3">
        <v>41436</v>
      </c>
      <c r="B8867" s="2" t="s">
        <v>4</v>
      </c>
      <c r="C8867" s="2">
        <v>13</v>
      </c>
    </row>
    <row r="8868" spans="1:3" x14ac:dyDescent="0.25">
      <c r="A8868" s="3">
        <v>41728</v>
      </c>
      <c r="B8868" s="2" t="s">
        <v>21</v>
      </c>
      <c r="C8868" s="2">
        <v>24</v>
      </c>
    </row>
    <row r="8869" spans="1:3" x14ac:dyDescent="0.25">
      <c r="A8869" s="3">
        <v>41985</v>
      </c>
      <c r="B8869" s="2" t="s">
        <v>47</v>
      </c>
      <c r="C8869" s="2">
        <v>3</v>
      </c>
    </row>
    <row r="8870" spans="1:3" x14ac:dyDescent="0.25">
      <c r="A8870" s="3">
        <v>41596</v>
      </c>
      <c r="B8870" s="2" t="s">
        <v>4</v>
      </c>
      <c r="C8870" s="2">
        <v>21</v>
      </c>
    </row>
    <row r="8871" spans="1:3" x14ac:dyDescent="0.25">
      <c r="A8871" s="3">
        <v>41291</v>
      </c>
      <c r="B8871" s="2" t="s">
        <v>40</v>
      </c>
      <c r="C8871" s="2">
        <v>27</v>
      </c>
    </row>
    <row r="8872" spans="1:3" x14ac:dyDescent="0.25">
      <c r="A8872" s="3">
        <v>41949</v>
      </c>
      <c r="B8872" s="2" t="s">
        <v>36</v>
      </c>
      <c r="C8872" s="2">
        <v>18</v>
      </c>
    </row>
    <row r="8873" spans="1:3" x14ac:dyDescent="0.25">
      <c r="A8873" s="3">
        <v>41299</v>
      </c>
      <c r="B8873" s="2" t="s">
        <v>23</v>
      </c>
      <c r="C8873" s="2">
        <v>28</v>
      </c>
    </row>
    <row r="8874" spans="1:3" x14ac:dyDescent="0.25">
      <c r="A8874" s="3">
        <v>41326</v>
      </c>
      <c r="B8874" s="2" t="s">
        <v>26</v>
      </c>
      <c r="C8874" s="2">
        <v>25</v>
      </c>
    </row>
    <row r="8875" spans="1:3" x14ac:dyDescent="0.25">
      <c r="A8875" s="3">
        <v>41964</v>
      </c>
      <c r="B8875" s="2" t="s">
        <v>46</v>
      </c>
      <c r="C8875" s="2">
        <v>1</v>
      </c>
    </row>
    <row r="8876" spans="1:3" x14ac:dyDescent="0.25">
      <c r="A8876" s="3">
        <v>41338</v>
      </c>
      <c r="B8876" s="2" t="s">
        <v>23</v>
      </c>
      <c r="C8876" s="2">
        <v>50</v>
      </c>
    </row>
    <row r="8877" spans="1:3" x14ac:dyDescent="0.25">
      <c r="A8877" s="3">
        <v>41354</v>
      </c>
      <c r="B8877" s="2" t="s">
        <v>46</v>
      </c>
      <c r="C8877" s="2">
        <v>49</v>
      </c>
    </row>
    <row r="8878" spans="1:3" x14ac:dyDescent="0.25">
      <c r="A8878" s="3">
        <v>41371</v>
      </c>
      <c r="B8878" s="2" t="s">
        <v>7</v>
      </c>
      <c r="C8878" s="2">
        <v>8</v>
      </c>
    </row>
    <row r="8879" spans="1:3" x14ac:dyDescent="0.25">
      <c r="A8879" s="3">
        <v>41291</v>
      </c>
      <c r="B8879" s="2" t="s">
        <v>45</v>
      </c>
      <c r="C8879" s="2">
        <v>16</v>
      </c>
    </row>
    <row r="8880" spans="1:3" x14ac:dyDescent="0.25">
      <c r="A8880" s="3">
        <v>41314</v>
      </c>
      <c r="B8880" s="2" t="s">
        <v>47</v>
      </c>
      <c r="C8880" s="2">
        <v>26</v>
      </c>
    </row>
    <row r="8881" spans="1:3" x14ac:dyDescent="0.25">
      <c r="A8881" s="3">
        <v>41874</v>
      </c>
      <c r="B8881" s="2" t="s">
        <v>14</v>
      </c>
      <c r="C8881" s="2">
        <v>37</v>
      </c>
    </row>
    <row r="8882" spans="1:3" x14ac:dyDescent="0.25">
      <c r="A8882" s="3">
        <v>41336</v>
      </c>
      <c r="B8882" s="2" t="s">
        <v>18</v>
      </c>
      <c r="C8882" s="2">
        <v>23</v>
      </c>
    </row>
    <row r="8883" spans="1:3" x14ac:dyDescent="0.25">
      <c r="A8883" s="3">
        <v>41620</v>
      </c>
      <c r="B8883" s="2" t="s">
        <v>31</v>
      </c>
      <c r="C8883" s="2">
        <v>32</v>
      </c>
    </row>
    <row r="8884" spans="1:3" x14ac:dyDescent="0.25">
      <c r="A8884" s="3">
        <v>41884</v>
      </c>
      <c r="B8884" s="2" t="s">
        <v>24</v>
      </c>
      <c r="C8884" s="2">
        <v>19</v>
      </c>
    </row>
    <row r="8885" spans="1:3" x14ac:dyDescent="0.25">
      <c r="A8885" s="3">
        <v>41292</v>
      </c>
      <c r="B8885" s="2" t="s">
        <v>38</v>
      </c>
      <c r="C8885" s="2">
        <v>24</v>
      </c>
    </row>
    <row r="8886" spans="1:3" x14ac:dyDescent="0.25">
      <c r="A8886" s="3">
        <v>41743</v>
      </c>
      <c r="B8886" s="2" t="s">
        <v>48</v>
      </c>
      <c r="C8886" s="2">
        <v>6</v>
      </c>
    </row>
    <row r="8887" spans="1:3" x14ac:dyDescent="0.25">
      <c r="A8887" s="3">
        <v>41354</v>
      </c>
      <c r="B8887" s="2" t="s">
        <v>9</v>
      </c>
      <c r="C8887" s="2">
        <v>5</v>
      </c>
    </row>
    <row r="8888" spans="1:3" x14ac:dyDescent="0.25">
      <c r="A8888" s="3">
        <v>41996</v>
      </c>
      <c r="B8888" s="2" t="s">
        <v>18</v>
      </c>
      <c r="C8888" s="2">
        <v>16</v>
      </c>
    </row>
    <row r="8889" spans="1:3" x14ac:dyDescent="0.25">
      <c r="A8889" s="3">
        <v>41287</v>
      </c>
      <c r="B8889" s="2" t="s">
        <v>26</v>
      </c>
      <c r="C8889" s="2">
        <v>16</v>
      </c>
    </row>
    <row r="8890" spans="1:3" x14ac:dyDescent="0.25">
      <c r="A8890" s="3">
        <v>41367</v>
      </c>
      <c r="B8890" s="2" t="s">
        <v>3</v>
      </c>
      <c r="C8890" s="2">
        <v>20</v>
      </c>
    </row>
    <row r="8891" spans="1:3" x14ac:dyDescent="0.25">
      <c r="A8891" s="3">
        <v>41934</v>
      </c>
      <c r="B8891" s="2" t="s">
        <v>44</v>
      </c>
      <c r="C8891" s="2">
        <v>22</v>
      </c>
    </row>
    <row r="8892" spans="1:3" x14ac:dyDescent="0.25">
      <c r="A8892" s="3">
        <v>41506</v>
      </c>
      <c r="B8892" s="2" t="s">
        <v>14</v>
      </c>
      <c r="C8892" s="2">
        <v>49</v>
      </c>
    </row>
    <row r="8893" spans="1:3" x14ac:dyDescent="0.25">
      <c r="A8893" s="3">
        <v>41871</v>
      </c>
      <c r="B8893" s="2" t="s">
        <v>37</v>
      </c>
      <c r="C8893" s="2">
        <v>48</v>
      </c>
    </row>
    <row r="8894" spans="1:3" x14ac:dyDescent="0.25">
      <c r="A8894" s="3">
        <v>41608</v>
      </c>
      <c r="B8894" s="2" t="s">
        <v>14</v>
      </c>
      <c r="C8894" s="2">
        <v>34</v>
      </c>
    </row>
    <row r="8895" spans="1:3" x14ac:dyDescent="0.25">
      <c r="A8895" s="3">
        <v>41710</v>
      </c>
      <c r="B8895" s="2" t="s">
        <v>20</v>
      </c>
      <c r="C8895" s="2">
        <v>32</v>
      </c>
    </row>
    <row r="8896" spans="1:3" x14ac:dyDescent="0.25">
      <c r="A8896" s="3">
        <v>41592</v>
      </c>
      <c r="B8896" s="2" t="s">
        <v>46</v>
      </c>
      <c r="C8896" s="2">
        <v>50</v>
      </c>
    </row>
    <row r="8897" spans="1:3" x14ac:dyDescent="0.25">
      <c r="A8897" s="3">
        <v>41861</v>
      </c>
      <c r="B8897" s="2" t="s">
        <v>30</v>
      </c>
      <c r="C8897" s="2">
        <v>62</v>
      </c>
    </row>
    <row r="8898" spans="1:3" x14ac:dyDescent="0.25">
      <c r="A8898" s="3">
        <v>41941</v>
      </c>
      <c r="B8898" s="2" t="s">
        <v>24</v>
      </c>
      <c r="C8898" s="2">
        <v>18</v>
      </c>
    </row>
    <row r="8899" spans="1:3" x14ac:dyDescent="0.25">
      <c r="A8899" s="3">
        <v>41888</v>
      </c>
      <c r="B8899" s="2" t="s">
        <v>29</v>
      </c>
      <c r="C8899" s="2">
        <v>23</v>
      </c>
    </row>
    <row r="8900" spans="1:3" x14ac:dyDescent="0.25">
      <c r="A8900" s="3">
        <v>42002</v>
      </c>
      <c r="B8900" s="2" t="s">
        <v>46</v>
      </c>
      <c r="C8900" s="2">
        <v>22</v>
      </c>
    </row>
    <row r="8901" spans="1:3" x14ac:dyDescent="0.25">
      <c r="A8901" s="3">
        <v>41585</v>
      </c>
      <c r="B8901" s="2" t="s">
        <v>28</v>
      </c>
      <c r="C8901" s="2">
        <v>42</v>
      </c>
    </row>
    <row r="8902" spans="1:3" x14ac:dyDescent="0.25">
      <c r="A8902" s="3">
        <v>41540</v>
      </c>
      <c r="B8902" s="2" t="s">
        <v>16</v>
      </c>
      <c r="C8902" s="2">
        <v>35</v>
      </c>
    </row>
    <row r="8903" spans="1:3" x14ac:dyDescent="0.25">
      <c r="A8903" s="3">
        <v>41688</v>
      </c>
      <c r="B8903" s="2" t="s">
        <v>39</v>
      </c>
      <c r="C8903" s="2">
        <v>51</v>
      </c>
    </row>
    <row r="8904" spans="1:3" x14ac:dyDescent="0.25">
      <c r="A8904" s="3">
        <v>41619</v>
      </c>
      <c r="B8904" s="2" t="s">
        <v>26</v>
      </c>
      <c r="C8904" s="2">
        <v>47</v>
      </c>
    </row>
    <row r="8905" spans="1:3" x14ac:dyDescent="0.25">
      <c r="A8905" s="3">
        <v>41927</v>
      </c>
      <c r="B8905" s="2" t="s">
        <v>11</v>
      </c>
      <c r="C8905" s="2">
        <v>45</v>
      </c>
    </row>
    <row r="8906" spans="1:3" x14ac:dyDescent="0.25">
      <c r="A8906" s="3">
        <v>41756</v>
      </c>
      <c r="B8906" s="2" t="s">
        <v>34</v>
      </c>
      <c r="C8906" s="2">
        <v>29</v>
      </c>
    </row>
    <row r="8907" spans="1:3" x14ac:dyDescent="0.25">
      <c r="A8907" s="3">
        <v>41712</v>
      </c>
      <c r="B8907" s="2" t="s">
        <v>37</v>
      </c>
      <c r="C8907" s="2">
        <v>48</v>
      </c>
    </row>
    <row r="8908" spans="1:3" x14ac:dyDescent="0.25">
      <c r="A8908" s="3">
        <v>41344</v>
      </c>
      <c r="B8908" s="2" t="s">
        <v>24</v>
      </c>
      <c r="C8908" s="2">
        <v>9</v>
      </c>
    </row>
    <row r="8909" spans="1:3" x14ac:dyDescent="0.25">
      <c r="A8909" s="3">
        <v>41741</v>
      </c>
      <c r="B8909" s="2" t="s">
        <v>2</v>
      </c>
      <c r="C8909" s="2">
        <v>20</v>
      </c>
    </row>
    <row r="8910" spans="1:3" x14ac:dyDescent="0.25">
      <c r="A8910" s="3">
        <v>41488</v>
      </c>
      <c r="B8910" s="2" t="s">
        <v>46</v>
      </c>
      <c r="C8910" s="2">
        <v>40</v>
      </c>
    </row>
    <row r="8911" spans="1:3" x14ac:dyDescent="0.25">
      <c r="A8911" s="3">
        <v>41457</v>
      </c>
      <c r="B8911" s="2" t="s">
        <v>42</v>
      </c>
      <c r="C8911" s="2">
        <v>35</v>
      </c>
    </row>
    <row r="8912" spans="1:3" x14ac:dyDescent="0.25">
      <c r="A8912" s="3">
        <v>41418</v>
      </c>
      <c r="B8912" s="2" t="s">
        <v>18</v>
      </c>
      <c r="C8912" s="2">
        <v>27</v>
      </c>
    </row>
    <row r="8913" spans="1:3" x14ac:dyDescent="0.25">
      <c r="A8913" s="3">
        <v>41914</v>
      </c>
      <c r="B8913" s="2" t="s">
        <v>26</v>
      </c>
      <c r="C8913" s="2">
        <v>33</v>
      </c>
    </row>
    <row r="8914" spans="1:3" x14ac:dyDescent="0.25">
      <c r="A8914" s="3">
        <v>41522</v>
      </c>
      <c r="B8914" s="2" t="s">
        <v>41</v>
      </c>
      <c r="C8914" s="2">
        <v>16</v>
      </c>
    </row>
    <row r="8915" spans="1:3" x14ac:dyDescent="0.25">
      <c r="A8915" s="3">
        <v>41507</v>
      </c>
      <c r="B8915" s="2" t="s">
        <v>4</v>
      </c>
      <c r="C8915" s="2">
        <v>32</v>
      </c>
    </row>
    <row r="8916" spans="1:3" x14ac:dyDescent="0.25">
      <c r="A8916" s="3">
        <v>41359</v>
      </c>
      <c r="B8916" s="2" t="s">
        <v>21</v>
      </c>
      <c r="C8916" s="2">
        <v>41</v>
      </c>
    </row>
    <row r="8917" spans="1:3" x14ac:dyDescent="0.25">
      <c r="A8917" s="3">
        <v>41663</v>
      </c>
      <c r="B8917" s="2" t="s">
        <v>31</v>
      </c>
      <c r="C8917" s="2">
        <v>8</v>
      </c>
    </row>
    <row r="8918" spans="1:3" x14ac:dyDescent="0.25">
      <c r="A8918" s="3">
        <v>41970</v>
      </c>
      <c r="B8918" s="2" t="s">
        <v>26</v>
      </c>
      <c r="C8918" s="2">
        <v>23</v>
      </c>
    </row>
    <row r="8919" spans="1:3" x14ac:dyDescent="0.25">
      <c r="A8919" s="3">
        <v>41432</v>
      </c>
      <c r="B8919" s="2" t="s">
        <v>8</v>
      </c>
      <c r="C8919" s="2">
        <v>12</v>
      </c>
    </row>
    <row r="8920" spans="1:3" x14ac:dyDescent="0.25">
      <c r="A8920" s="3">
        <v>41311</v>
      </c>
      <c r="B8920" s="2" t="s">
        <v>7</v>
      </c>
      <c r="C8920" s="2">
        <v>12</v>
      </c>
    </row>
    <row r="8921" spans="1:3" x14ac:dyDescent="0.25">
      <c r="A8921" s="3">
        <v>41905</v>
      </c>
      <c r="B8921" s="2" t="s">
        <v>21</v>
      </c>
      <c r="C8921" s="2">
        <v>46</v>
      </c>
    </row>
    <row r="8922" spans="1:3" x14ac:dyDescent="0.25">
      <c r="A8922" s="3">
        <v>41724</v>
      </c>
      <c r="B8922" s="2" t="s">
        <v>23</v>
      </c>
      <c r="C8922" s="2">
        <v>5</v>
      </c>
    </row>
    <row r="8923" spans="1:3" x14ac:dyDescent="0.25">
      <c r="A8923" s="3">
        <v>41638</v>
      </c>
      <c r="B8923" s="2" t="s">
        <v>23</v>
      </c>
      <c r="C8923" s="2">
        <v>22</v>
      </c>
    </row>
    <row r="8924" spans="1:3" x14ac:dyDescent="0.25">
      <c r="A8924" s="3">
        <v>41569</v>
      </c>
      <c r="B8924" s="2" t="s">
        <v>19</v>
      </c>
      <c r="C8924" s="2">
        <v>20</v>
      </c>
    </row>
    <row r="8925" spans="1:3" x14ac:dyDescent="0.25">
      <c r="A8925" s="3">
        <v>41490</v>
      </c>
      <c r="B8925" s="2" t="s">
        <v>18</v>
      </c>
      <c r="C8925" s="2">
        <v>29</v>
      </c>
    </row>
    <row r="8926" spans="1:3" x14ac:dyDescent="0.25">
      <c r="A8926" s="3">
        <v>41395</v>
      </c>
      <c r="B8926" s="2" t="s">
        <v>19</v>
      </c>
      <c r="C8926" s="2">
        <v>33</v>
      </c>
    </row>
    <row r="8927" spans="1:3" x14ac:dyDescent="0.25">
      <c r="A8927" s="3">
        <v>41756</v>
      </c>
      <c r="B8927" s="2" t="s">
        <v>26</v>
      </c>
      <c r="C8927" s="2">
        <v>17</v>
      </c>
    </row>
    <row r="8928" spans="1:3" x14ac:dyDescent="0.25">
      <c r="A8928" s="3">
        <v>41965</v>
      </c>
      <c r="B8928" s="2" t="s">
        <v>33</v>
      </c>
      <c r="C8928" s="2">
        <v>10</v>
      </c>
    </row>
    <row r="8929" spans="1:3" x14ac:dyDescent="0.25">
      <c r="A8929" s="3">
        <v>41501</v>
      </c>
      <c r="B8929" s="2" t="s">
        <v>51</v>
      </c>
      <c r="C8929" s="2">
        <v>26</v>
      </c>
    </row>
    <row r="8930" spans="1:3" x14ac:dyDescent="0.25">
      <c r="A8930" s="3">
        <v>41627</v>
      </c>
      <c r="B8930" s="2" t="s">
        <v>41</v>
      </c>
      <c r="C8930" s="2">
        <v>16</v>
      </c>
    </row>
    <row r="8931" spans="1:3" x14ac:dyDescent="0.25">
      <c r="A8931" s="3">
        <v>41865</v>
      </c>
      <c r="B8931" s="2" t="s">
        <v>31</v>
      </c>
      <c r="C8931" s="2">
        <v>22</v>
      </c>
    </row>
    <row r="8932" spans="1:3" x14ac:dyDescent="0.25">
      <c r="A8932" s="3">
        <v>41958</v>
      </c>
      <c r="B8932" s="2" t="s">
        <v>49</v>
      </c>
      <c r="C8932" s="2">
        <v>14</v>
      </c>
    </row>
    <row r="8933" spans="1:3" x14ac:dyDescent="0.25">
      <c r="A8933" s="3">
        <v>41426</v>
      </c>
      <c r="B8933" s="2" t="s">
        <v>44</v>
      </c>
      <c r="C8933" s="2">
        <v>42</v>
      </c>
    </row>
    <row r="8934" spans="1:3" x14ac:dyDescent="0.25">
      <c r="A8934" s="3">
        <v>41920</v>
      </c>
      <c r="B8934" s="2" t="s">
        <v>16</v>
      </c>
      <c r="C8934" s="2">
        <v>29</v>
      </c>
    </row>
    <row r="8935" spans="1:3" x14ac:dyDescent="0.25">
      <c r="A8935" s="3">
        <v>41478</v>
      </c>
      <c r="B8935" s="2" t="s">
        <v>28</v>
      </c>
      <c r="C8935" s="2">
        <v>23</v>
      </c>
    </row>
    <row r="8936" spans="1:3" x14ac:dyDescent="0.25">
      <c r="A8936" s="3">
        <v>41429</v>
      </c>
      <c r="B8936" s="2" t="s">
        <v>37</v>
      </c>
      <c r="C8936" s="2">
        <v>20</v>
      </c>
    </row>
    <row r="8937" spans="1:3" x14ac:dyDescent="0.25">
      <c r="A8937" s="3">
        <v>41894</v>
      </c>
      <c r="B8937" s="2" t="s">
        <v>12</v>
      </c>
      <c r="C8937" s="2">
        <v>5</v>
      </c>
    </row>
    <row r="8938" spans="1:3" x14ac:dyDescent="0.25">
      <c r="A8938" s="3">
        <v>41582</v>
      </c>
      <c r="B8938" s="2" t="s">
        <v>14</v>
      </c>
      <c r="C8938" s="2">
        <v>5</v>
      </c>
    </row>
    <row r="8939" spans="1:3" x14ac:dyDescent="0.25">
      <c r="A8939" s="3">
        <v>41929</v>
      </c>
      <c r="B8939" s="2" t="s">
        <v>44</v>
      </c>
      <c r="C8939" s="2">
        <v>5</v>
      </c>
    </row>
    <row r="8940" spans="1:3" x14ac:dyDescent="0.25">
      <c r="A8940" s="3">
        <v>41698</v>
      </c>
      <c r="B8940" s="2" t="s">
        <v>16</v>
      </c>
      <c r="C8940" s="2">
        <v>29</v>
      </c>
    </row>
    <row r="8941" spans="1:3" x14ac:dyDescent="0.25">
      <c r="A8941" s="3">
        <v>41785</v>
      </c>
      <c r="B8941" s="2" t="s">
        <v>39</v>
      </c>
      <c r="C8941" s="2">
        <v>2</v>
      </c>
    </row>
    <row r="8942" spans="1:3" x14ac:dyDescent="0.25">
      <c r="A8942" s="3">
        <v>41693</v>
      </c>
      <c r="B8942" s="2" t="s">
        <v>7</v>
      </c>
      <c r="C8942" s="2">
        <v>31</v>
      </c>
    </row>
    <row r="8943" spans="1:3" x14ac:dyDescent="0.25">
      <c r="A8943" s="3">
        <v>41844</v>
      </c>
      <c r="B8943" s="2" t="s">
        <v>39</v>
      </c>
      <c r="C8943" s="2">
        <v>10</v>
      </c>
    </row>
    <row r="8944" spans="1:3" x14ac:dyDescent="0.25">
      <c r="A8944" s="3">
        <v>41718</v>
      </c>
      <c r="B8944" s="2" t="s">
        <v>17</v>
      </c>
      <c r="C8944" s="2">
        <v>6</v>
      </c>
    </row>
    <row r="8945" spans="1:3" x14ac:dyDescent="0.25">
      <c r="A8945" s="3">
        <v>41711</v>
      </c>
      <c r="B8945" s="2" t="s">
        <v>49</v>
      </c>
      <c r="C8945" s="2">
        <v>17</v>
      </c>
    </row>
    <row r="8946" spans="1:3" x14ac:dyDescent="0.25">
      <c r="A8946" s="3">
        <v>41673</v>
      </c>
      <c r="B8946" s="2" t="s">
        <v>32</v>
      </c>
      <c r="C8946" s="2">
        <v>47</v>
      </c>
    </row>
    <row r="8947" spans="1:3" x14ac:dyDescent="0.25">
      <c r="A8947" s="3">
        <v>41377</v>
      </c>
      <c r="B8947" s="2" t="s">
        <v>20</v>
      </c>
      <c r="C8947" s="2">
        <v>23</v>
      </c>
    </row>
    <row r="8948" spans="1:3" x14ac:dyDescent="0.25">
      <c r="A8948" s="3">
        <v>41289</v>
      </c>
      <c r="B8948" s="2" t="s">
        <v>51</v>
      </c>
      <c r="C8948" s="2">
        <v>20</v>
      </c>
    </row>
    <row r="8949" spans="1:3" x14ac:dyDescent="0.25">
      <c r="A8949" s="3">
        <v>41976</v>
      </c>
      <c r="B8949" s="2" t="s">
        <v>18</v>
      </c>
      <c r="C8949" s="2">
        <v>48</v>
      </c>
    </row>
    <row r="8950" spans="1:3" x14ac:dyDescent="0.25">
      <c r="A8950" s="3">
        <v>41882</v>
      </c>
      <c r="B8950" s="2" t="s">
        <v>16</v>
      </c>
      <c r="C8950" s="2">
        <v>21</v>
      </c>
    </row>
    <row r="8951" spans="1:3" x14ac:dyDescent="0.25">
      <c r="A8951" s="3">
        <v>41560</v>
      </c>
      <c r="B8951" s="2" t="s">
        <v>51</v>
      </c>
      <c r="C8951" s="2">
        <v>23</v>
      </c>
    </row>
    <row r="8952" spans="1:3" x14ac:dyDescent="0.25">
      <c r="A8952" s="3">
        <v>41945</v>
      </c>
      <c r="B8952" s="2" t="s">
        <v>31</v>
      </c>
      <c r="C8952" s="2">
        <v>11</v>
      </c>
    </row>
    <row r="8953" spans="1:3" x14ac:dyDescent="0.25">
      <c r="A8953" s="3">
        <v>41276</v>
      </c>
      <c r="B8953" s="2" t="s">
        <v>2</v>
      </c>
      <c r="C8953" s="2">
        <v>47</v>
      </c>
    </row>
    <row r="8954" spans="1:3" x14ac:dyDescent="0.25">
      <c r="A8954" s="3">
        <v>41819</v>
      </c>
      <c r="B8954" s="2" t="s">
        <v>8</v>
      </c>
      <c r="C8954" s="2">
        <v>17</v>
      </c>
    </row>
    <row r="8955" spans="1:3" x14ac:dyDescent="0.25">
      <c r="A8955" s="3">
        <v>41938</v>
      </c>
      <c r="B8955" s="2" t="s">
        <v>38</v>
      </c>
      <c r="C8955" s="2">
        <v>7</v>
      </c>
    </row>
    <row r="8956" spans="1:3" x14ac:dyDescent="0.25">
      <c r="A8956" s="3">
        <v>41487</v>
      </c>
      <c r="B8956" s="2" t="s">
        <v>31</v>
      </c>
      <c r="C8956" s="2">
        <v>22</v>
      </c>
    </row>
    <row r="8957" spans="1:3" x14ac:dyDescent="0.25">
      <c r="A8957" s="3">
        <v>41388</v>
      </c>
      <c r="B8957" s="2" t="s">
        <v>16</v>
      </c>
      <c r="C8957" s="2">
        <v>31</v>
      </c>
    </row>
    <row r="8958" spans="1:3" x14ac:dyDescent="0.25">
      <c r="A8958" s="3">
        <v>41583</v>
      </c>
      <c r="B8958" s="2" t="s">
        <v>38</v>
      </c>
      <c r="C8958" s="2">
        <v>24</v>
      </c>
    </row>
    <row r="8959" spans="1:3" x14ac:dyDescent="0.25">
      <c r="A8959" s="3">
        <v>41406</v>
      </c>
      <c r="B8959" s="2" t="s">
        <v>48</v>
      </c>
      <c r="C8959" s="2">
        <v>2</v>
      </c>
    </row>
    <row r="8960" spans="1:3" x14ac:dyDescent="0.25">
      <c r="A8960" s="3">
        <v>41799</v>
      </c>
      <c r="B8960" s="2" t="s">
        <v>31</v>
      </c>
      <c r="C8960" s="2">
        <v>39</v>
      </c>
    </row>
    <row r="8961" spans="1:3" x14ac:dyDescent="0.25">
      <c r="A8961" s="3">
        <v>41686</v>
      </c>
      <c r="B8961" s="2" t="s">
        <v>12</v>
      </c>
      <c r="C8961" s="2">
        <v>27</v>
      </c>
    </row>
    <row r="8962" spans="1:3" x14ac:dyDescent="0.25">
      <c r="A8962" s="3">
        <v>41286</v>
      </c>
      <c r="B8962" s="2" t="s">
        <v>18</v>
      </c>
      <c r="C8962" s="2">
        <v>25</v>
      </c>
    </row>
    <row r="8963" spans="1:3" x14ac:dyDescent="0.25">
      <c r="A8963" s="3">
        <v>41466</v>
      </c>
      <c r="B8963" s="2" t="s">
        <v>28</v>
      </c>
      <c r="C8963" s="2">
        <v>7</v>
      </c>
    </row>
    <row r="8964" spans="1:3" x14ac:dyDescent="0.25">
      <c r="A8964" s="3">
        <v>41798</v>
      </c>
      <c r="B8964" s="2" t="s">
        <v>45</v>
      </c>
      <c r="C8964" s="2">
        <v>22</v>
      </c>
    </row>
    <row r="8965" spans="1:3" x14ac:dyDescent="0.25">
      <c r="A8965" s="3">
        <v>41363</v>
      </c>
      <c r="B8965" s="2" t="s">
        <v>4</v>
      </c>
      <c r="C8965" s="2">
        <v>33</v>
      </c>
    </row>
    <row r="8966" spans="1:3" x14ac:dyDescent="0.25">
      <c r="A8966" s="3">
        <v>41922</v>
      </c>
      <c r="B8966" s="2" t="s">
        <v>49</v>
      </c>
      <c r="C8966" s="2">
        <v>42</v>
      </c>
    </row>
    <row r="8967" spans="1:3" x14ac:dyDescent="0.25">
      <c r="A8967" s="3">
        <v>41655</v>
      </c>
      <c r="B8967" s="2" t="s">
        <v>23</v>
      </c>
      <c r="C8967" s="2">
        <v>7</v>
      </c>
    </row>
    <row r="8968" spans="1:3" x14ac:dyDescent="0.25">
      <c r="A8968" s="3">
        <v>41352</v>
      </c>
      <c r="B8968" s="2" t="s">
        <v>36</v>
      </c>
      <c r="C8968" s="2">
        <v>16</v>
      </c>
    </row>
    <row r="8969" spans="1:3" x14ac:dyDescent="0.25">
      <c r="A8969" s="3">
        <v>41937</v>
      </c>
      <c r="B8969" s="2" t="s">
        <v>26</v>
      </c>
      <c r="C8969" s="2">
        <v>23</v>
      </c>
    </row>
    <row r="8970" spans="1:3" x14ac:dyDescent="0.25">
      <c r="A8970" s="3">
        <v>41906</v>
      </c>
      <c r="B8970" s="2" t="s">
        <v>29</v>
      </c>
      <c r="C8970" s="2">
        <v>3</v>
      </c>
    </row>
    <row r="8971" spans="1:3" x14ac:dyDescent="0.25">
      <c r="A8971" s="3">
        <v>41490</v>
      </c>
      <c r="B8971" s="2" t="s">
        <v>29</v>
      </c>
      <c r="C8971" s="2">
        <v>36</v>
      </c>
    </row>
    <row r="8972" spans="1:3" x14ac:dyDescent="0.25">
      <c r="A8972" s="3">
        <v>41777</v>
      </c>
      <c r="B8972" s="2" t="s">
        <v>9</v>
      </c>
      <c r="C8972" s="2">
        <v>30</v>
      </c>
    </row>
    <row r="8973" spans="1:3" x14ac:dyDescent="0.25">
      <c r="A8973" s="3">
        <v>41886</v>
      </c>
      <c r="B8973" s="2" t="s">
        <v>21</v>
      </c>
      <c r="C8973" s="2">
        <v>37</v>
      </c>
    </row>
    <row r="8974" spans="1:3" x14ac:dyDescent="0.25">
      <c r="A8974" s="3">
        <v>41545</v>
      </c>
      <c r="B8974" s="2" t="s">
        <v>43</v>
      </c>
      <c r="C8974" s="2">
        <v>19</v>
      </c>
    </row>
    <row r="8975" spans="1:3" x14ac:dyDescent="0.25">
      <c r="A8975" s="3">
        <v>41431</v>
      </c>
      <c r="B8975" s="2" t="s">
        <v>16</v>
      </c>
      <c r="C8975" s="2">
        <v>22</v>
      </c>
    </row>
    <row r="8976" spans="1:3" x14ac:dyDescent="0.25">
      <c r="A8976" s="3">
        <v>41808</v>
      </c>
      <c r="B8976" s="2" t="s">
        <v>51</v>
      </c>
      <c r="C8976" s="2">
        <v>6</v>
      </c>
    </row>
    <row r="8977" spans="1:3" x14ac:dyDescent="0.25">
      <c r="A8977" s="3">
        <v>41545</v>
      </c>
      <c r="B8977" s="2" t="s">
        <v>40</v>
      </c>
      <c r="C8977" s="2">
        <v>19</v>
      </c>
    </row>
    <row r="8978" spans="1:3" x14ac:dyDescent="0.25">
      <c r="A8978" s="3">
        <v>41838</v>
      </c>
      <c r="B8978" s="2" t="s">
        <v>17</v>
      </c>
      <c r="C8978" s="2">
        <v>16</v>
      </c>
    </row>
    <row r="8979" spans="1:3" x14ac:dyDescent="0.25">
      <c r="A8979" s="3">
        <v>41724</v>
      </c>
      <c r="B8979" s="2" t="s">
        <v>31</v>
      </c>
      <c r="C8979" s="2">
        <v>35</v>
      </c>
    </row>
    <row r="8980" spans="1:3" x14ac:dyDescent="0.25">
      <c r="A8980" s="3">
        <v>41291</v>
      </c>
      <c r="B8980" s="2" t="s">
        <v>21</v>
      </c>
      <c r="C8980" s="2">
        <v>14</v>
      </c>
    </row>
    <row r="8981" spans="1:3" x14ac:dyDescent="0.25">
      <c r="A8981" s="3">
        <v>41757</v>
      </c>
      <c r="B8981" s="2" t="s">
        <v>21</v>
      </c>
      <c r="C8981" s="2">
        <v>23</v>
      </c>
    </row>
    <row r="8982" spans="1:3" x14ac:dyDescent="0.25">
      <c r="A8982" s="3">
        <v>41818</v>
      </c>
      <c r="B8982" s="2" t="s">
        <v>28</v>
      </c>
      <c r="C8982" s="2">
        <v>29</v>
      </c>
    </row>
    <row r="8983" spans="1:3" x14ac:dyDescent="0.25">
      <c r="A8983" s="3">
        <v>41908</v>
      </c>
      <c r="B8983" s="2" t="s">
        <v>33</v>
      </c>
      <c r="C8983" s="2">
        <v>21</v>
      </c>
    </row>
    <row r="8984" spans="1:3" x14ac:dyDescent="0.25">
      <c r="A8984" s="3">
        <v>41830</v>
      </c>
      <c r="B8984" s="2" t="s">
        <v>5</v>
      </c>
      <c r="C8984" s="2">
        <v>39</v>
      </c>
    </row>
    <row r="8985" spans="1:3" x14ac:dyDescent="0.25">
      <c r="A8985" s="3">
        <v>41408</v>
      </c>
      <c r="B8985" s="2" t="s">
        <v>34</v>
      </c>
      <c r="C8985" s="2">
        <v>50</v>
      </c>
    </row>
    <row r="8986" spans="1:3" x14ac:dyDescent="0.25">
      <c r="A8986" s="3">
        <v>41933</v>
      </c>
      <c r="B8986" s="2" t="s">
        <v>6</v>
      </c>
      <c r="C8986" s="2">
        <v>40</v>
      </c>
    </row>
    <row r="8987" spans="1:3" x14ac:dyDescent="0.25">
      <c r="A8987" s="3">
        <v>41808</v>
      </c>
      <c r="B8987" s="2" t="s">
        <v>14</v>
      </c>
      <c r="C8987" s="2">
        <v>33</v>
      </c>
    </row>
    <row r="8988" spans="1:3" x14ac:dyDescent="0.25">
      <c r="A8988" s="3">
        <v>41651</v>
      </c>
      <c r="B8988" s="2" t="s">
        <v>28</v>
      </c>
      <c r="C8988" s="2">
        <v>8</v>
      </c>
    </row>
    <row r="8989" spans="1:3" x14ac:dyDescent="0.25">
      <c r="A8989" s="3">
        <v>41623</v>
      </c>
      <c r="B8989" s="2" t="s">
        <v>48</v>
      </c>
      <c r="C8989" s="2">
        <v>45</v>
      </c>
    </row>
    <row r="8990" spans="1:3" x14ac:dyDescent="0.25">
      <c r="A8990" s="3">
        <v>41497</v>
      </c>
      <c r="B8990" s="2" t="s">
        <v>21</v>
      </c>
      <c r="C8990" s="2">
        <v>37</v>
      </c>
    </row>
    <row r="8991" spans="1:3" x14ac:dyDescent="0.25">
      <c r="A8991" s="3">
        <v>41864</v>
      </c>
      <c r="B8991" s="2" t="s">
        <v>20</v>
      </c>
      <c r="C8991" s="2">
        <v>18</v>
      </c>
    </row>
    <row r="8992" spans="1:3" x14ac:dyDescent="0.25">
      <c r="A8992" s="3">
        <v>41457</v>
      </c>
      <c r="B8992" s="2" t="s">
        <v>3</v>
      </c>
      <c r="C8992" s="2">
        <v>3</v>
      </c>
    </row>
    <row r="8993" spans="1:3" x14ac:dyDescent="0.25">
      <c r="A8993" s="3">
        <v>41660</v>
      </c>
      <c r="B8993" s="2" t="s">
        <v>51</v>
      </c>
      <c r="C8993" s="2">
        <v>25</v>
      </c>
    </row>
    <row r="8994" spans="1:3" x14ac:dyDescent="0.25">
      <c r="A8994" s="3">
        <v>41310</v>
      </c>
      <c r="B8994" s="2" t="s">
        <v>4</v>
      </c>
      <c r="C8994" s="2">
        <v>19</v>
      </c>
    </row>
    <row r="8995" spans="1:3" x14ac:dyDescent="0.25">
      <c r="A8995" s="3">
        <v>41781</v>
      </c>
      <c r="B8995" s="2" t="s">
        <v>15</v>
      </c>
      <c r="C8995" s="2">
        <v>26</v>
      </c>
    </row>
    <row r="8996" spans="1:3" x14ac:dyDescent="0.25">
      <c r="A8996" s="3">
        <v>41946</v>
      </c>
      <c r="B8996" s="2" t="s">
        <v>36</v>
      </c>
      <c r="C8996" s="2">
        <v>4</v>
      </c>
    </row>
    <row r="8997" spans="1:3" x14ac:dyDescent="0.25">
      <c r="A8997" s="3">
        <v>41315</v>
      </c>
      <c r="B8997" s="2" t="s">
        <v>49</v>
      </c>
      <c r="C8997" s="2">
        <v>17</v>
      </c>
    </row>
    <row r="8998" spans="1:3" x14ac:dyDescent="0.25">
      <c r="A8998" s="3">
        <v>41436</v>
      </c>
      <c r="B8998" s="2" t="s">
        <v>23</v>
      </c>
      <c r="C8998" s="2">
        <v>42</v>
      </c>
    </row>
    <row r="8999" spans="1:3" x14ac:dyDescent="0.25">
      <c r="A8999" s="3">
        <v>41455</v>
      </c>
      <c r="B8999" s="2" t="s">
        <v>28</v>
      </c>
      <c r="C8999" s="2">
        <v>14</v>
      </c>
    </row>
    <row r="9000" spans="1:3" x14ac:dyDescent="0.25">
      <c r="A9000" s="3">
        <v>41732</v>
      </c>
      <c r="B9000" s="2" t="s">
        <v>30</v>
      </c>
      <c r="C9000" s="2">
        <v>22</v>
      </c>
    </row>
    <row r="9001" spans="1:3" x14ac:dyDescent="0.25">
      <c r="A9001" s="3">
        <v>41806</v>
      </c>
      <c r="B9001" s="2" t="s">
        <v>25</v>
      </c>
      <c r="C9001" s="2">
        <v>2</v>
      </c>
    </row>
    <row r="9002" spans="1:3" x14ac:dyDescent="0.25">
      <c r="A9002" s="3">
        <v>41770</v>
      </c>
      <c r="B9002" s="2" t="s">
        <v>9</v>
      </c>
      <c r="C9002" s="2">
        <v>4</v>
      </c>
    </row>
    <row r="9003" spans="1:3" x14ac:dyDescent="0.25">
      <c r="A9003" s="3">
        <v>41544</v>
      </c>
      <c r="B9003" s="2" t="s">
        <v>2</v>
      </c>
      <c r="C9003" s="2">
        <v>31</v>
      </c>
    </row>
    <row r="9004" spans="1:3" x14ac:dyDescent="0.25">
      <c r="A9004" s="3">
        <v>41289</v>
      </c>
      <c r="B9004" s="2" t="s">
        <v>15</v>
      </c>
      <c r="C9004" s="2">
        <v>36</v>
      </c>
    </row>
    <row r="9005" spans="1:3" x14ac:dyDescent="0.25">
      <c r="A9005" s="3">
        <v>41346</v>
      </c>
      <c r="B9005" s="2" t="s">
        <v>25</v>
      </c>
      <c r="C9005" s="2">
        <v>32</v>
      </c>
    </row>
    <row r="9006" spans="1:3" x14ac:dyDescent="0.25">
      <c r="A9006" s="3">
        <v>41660</v>
      </c>
      <c r="B9006" s="2" t="s">
        <v>24</v>
      </c>
      <c r="C9006" s="2">
        <v>44</v>
      </c>
    </row>
    <row r="9007" spans="1:3" x14ac:dyDescent="0.25">
      <c r="A9007" s="3">
        <v>41542</v>
      </c>
      <c r="B9007" s="2" t="s">
        <v>5</v>
      </c>
      <c r="C9007" s="2">
        <v>47</v>
      </c>
    </row>
    <row r="9008" spans="1:3" x14ac:dyDescent="0.25">
      <c r="A9008" s="3">
        <v>41282</v>
      </c>
      <c r="B9008" s="2" t="s">
        <v>50</v>
      </c>
      <c r="C9008" s="2">
        <v>44</v>
      </c>
    </row>
    <row r="9009" spans="1:3" x14ac:dyDescent="0.25">
      <c r="A9009" s="3">
        <v>41627</v>
      </c>
      <c r="B9009" s="2" t="s">
        <v>9</v>
      </c>
      <c r="C9009" s="2">
        <v>18</v>
      </c>
    </row>
    <row r="9010" spans="1:3" x14ac:dyDescent="0.25">
      <c r="A9010" s="3">
        <v>41432</v>
      </c>
      <c r="B9010" s="2" t="s">
        <v>40</v>
      </c>
      <c r="C9010" s="2">
        <v>29</v>
      </c>
    </row>
    <row r="9011" spans="1:3" x14ac:dyDescent="0.25">
      <c r="A9011" s="3">
        <v>41491</v>
      </c>
      <c r="B9011" s="2" t="s">
        <v>5</v>
      </c>
      <c r="C9011" s="2">
        <v>17</v>
      </c>
    </row>
    <row r="9012" spans="1:3" x14ac:dyDescent="0.25">
      <c r="A9012" s="3">
        <v>41783</v>
      </c>
      <c r="B9012" s="2" t="s">
        <v>15</v>
      </c>
      <c r="C9012" s="2">
        <v>26</v>
      </c>
    </row>
    <row r="9013" spans="1:3" x14ac:dyDescent="0.25">
      <c r="A9013" s="3">
        <v>41825</v>
      </c>
      <c r="B9013" s="2" t="s">
        <v>38</v>
      </c>
      <c r="C9013" s="2">
        <v>38</v>
      </c>
    </row>
    <row r="9014" spans="1:3" x14ac:dyDescent="0.25">
      <c r="A9014" s="3">
        <v>41287</v>
      </c>
      <c r="B9014" s="2" t="s">
        <v>50</v>
      </c>
      <c r="C9014" s="2">
        <v>36</v>
      </c>
    </row>
    <row r="9015" spans="1:3" x14ac:dyDescent="0.25">
      <c r="A9015" s="3">
        <v>41441</v>
      </c>
      <c r="B9015" s="2" t="s">
        <v>32</v>
      </c>
      <c r="C9015" s="2">
        <v>0</v>
      </c>
    </row>
    <row r="9016" spans="1:3" x14ac:dyDescent="0.25">
      <c r="A9016" s="3">
        <v>41964</v>
      </c>
      <c r="B9016" s="2" t="s">
        <v>40</v>
      </c>
      <c r="C9016" s="2">
        <v>27</v>
      </c>
    </row>
    <row r="9017" spans="1:3" x14ac:dyDescent="0.25">
      <c r="A9017" s="3">
        <v>41353</v>
      </c>
      <c r="B9017" s="2" t="s">
        <v>6</v>
      </c>
      <c r="C9017" s="2">
        <v>60</v>
      </c>
    </row>
    <row r="9018" spans="1:3" x14ac:dyDescent="0.25">
      <c r="A9018" s="3">
        <v>41574</v>
      </c>
      <c r="B9018" s="2" t="s">
        <v>14</v>
      </c>
      <c r="C9018" s="2">
        <v>34</v>
      </c>
    </row>
    <row r="9019" spans="1:3" x14ac:dyDescent="0.25">
      <c r="A9019" s="3">
        <v>41796</v>
      </c>
      <c r="B9019" s="2" t="s">
        <v>29</v>
      </c>
      <c r="C9019" s="2">
        <v>29</v>
      </c>
    </row>
    <row r="9020" spans="1:3" x14ac:dyDescent="0.25">
      <c r="A9020" s="3">
        <v>41522</v>
      </c>
      <c r="B9020" s="2" t="s">
        <v>2</v>
      </c>
      <c r="C9020" s="2">
        <v>2</v>
      </c>
    </row>
    <row r="9021" spans="1:3" x14ac:dyDescent="0.25">
      <c r="A9021" s="3">
        <v>41657</v>
      </c>
      <c r="B9021" s="2" t="s">
        <v>19</v>
      </c>
      <c r="C9021" s="2">
        <v>27</v>
      </c>
    </row>
    <row r="9022" spans="1:3" x14ac:dyDescent="0.25">
      <c r="A9022" s="3">
        <v>41751</v>
      </c>
      <c r="B9022" s="2" t="s">
        <v>43</v>
      </c>
      <c r="C9022" s="2">
        <v>21</v>
      </c>
    </row>
    <row r="9023" spans="1:3" x14ac:dyDescent="0.25">
      <c r="A9023" s="3">
        <v>41511</v>
      </c>
      <c r="B9023" s="2" t="s">
        <v>36</v>
      </c>
      <c r="C9023" s="2">
        <v>27</v>
      </c>
    </row>
    <row r="9024" spans="1:3" x14ac:dyDescent="0.25">
      <c r="A9024" s="3">
        <v>41416</v>
      </c>
      <c r="B9024" s="2" t="s">
        <v>33</v>
      </c>
      <c r="C9024" s="2">
        <v>11</v>
      </c>
    </row>
    <row r="9025" spans="1:3" x14ac:dyDescent="0.25">
      <c r="A9025" s="3">
        <v>41540</v>
      </c>
      <c r="B9025" s="2" t="s">
        <v>34</v>
      </c>
      <c r="C9025" s="2">
        <v>48</v>
      </c>
    </row>
    <row r="9026" spans="1:3" x14ac:dyDescent="0.25">
      <c r="A9026" s="3">
        <v>41610</v>
      </c>
      <c r="B9026" s="2" t="s">
        <v>50</v>
      </c>
      <c r="C9026" s="2">
        <v>33</v>
      </c>
    </row>
    <row r="9027" spans="1:3" x14ac:dyDescent="0.25">
      <c r="A9027" s="3">
        <v>41882</v>
      </c>
      <c r="B9027" s="2" t="s">
        <v>49</v>
      </c>
      <c r="C9027" s="2">
        <v>0</v>
      </c>
    </row>
    <row r="9028" spans="1:3" x14ac:dyDescent="0.25">
      <c r="A9028" s="3">
        <v>41993</v>
      </c>
      <c r="B9028" s="2" t="s">
        <v>36</v>
      </c>
      <c r="C9028" s="2">
        <v>16</v>
      </c>
    </row>
    <row r="9029" spans="1:3" x14ac:dyDescent="0.25">
      <c r="A9029" s="3">
        <v>41680</v>
      </c>
      <c r="B9029" s="2" t="s">
        <v>46</v>
      </c>
      <c r="C9029" s="2">
        <v>2</v>
      </c>
    </row>
    <row r="9030" spans="1:3" x14ac:dyDescent="0.25">
      <c r="A9030" s="3">
        <v>41900</v>
      </c>
      <c r="B9030" s="2" t="s">
        <v>5</v>
      </c>
      <c r="C9030" s="2">
        <v>14</v>
      </c>
    </row>
    <row r="9031" spans="1:3" x14ac:dyDescent="0.25">
      <c r="A9031" s="3">
        <v>41385</v>
      </c>
      <c r="B9031" s="2" t="s">
        <v>27</v>
      </c>
      <c r="C9031" s="2">
        <v>47</v>
      </c>
    </row>
    <row r="9032" spans="1:3" x14ac:dyDescent="0.25">
      <c r="A9032" s="3">
        <v>41591</v>
      </c>
      <c r="B9032" s="2" t="s">
        <v>9</v>
      </c>
      <c r="C9032" s="2">
        <v>15</v>
      </c>
    </row>
    <row r="9033" spans="1:3" x14ac:dyDescent="0.25">
      <c r="A9033" s="3">
        <v>41906</v>
      </c>
      <c r="B9033" s="2" t="s">
        <v>22</v>
      </c>
      <c r="C9033" s="2">
        <v>33</v>
      </c>
    </row>
    <row r="9034" spans="1:3" x14ac:dyDescent="0.25">
      <c r="A9034" s="3">
        <v>41450</v>
      </c>
      <c r="B9034" s="2" t="s">
        <v>51</v>
      </c>
      <c r="C9034" s="2">
        <v>50</v>
      </c>
    </row>
    <row r="9035" spans="1:3" x14ac:dyDescent="0.25">
      <c r="A9035" s="3">
        <v>41382</v>
      </c>
      <c r="B9035" s="2" t="s">
        <v>28</v>
      </c>
      <c r="C9035" s="2">
        <v>11</v>
      </c>
    </row>
    <row r="9036" spans="1:3" x14ac:dyDescent="0.25">
      <c r="A9036" s="3">
        <v>41781</v>
      </c>
      <c r="B9036" s="2" t="s">
        <v>3</v>
      </c>
      <c r="C9036" s="2">
        <v>40</v>
      </c>
    </row>
    <row r="9037" spans="1:3" x14ac:dyDescent="0.25">
      <c r="A9037" s="3">
        <v>41497</v>
      </c>
      <c r="B9037" s="2" t="s">
        <v>7</v>
      </c>
      <c r="C9037" s="2">
        <v>43</v>
      </c>
    </row>
    <row r="9038" spans="1:3" x14ac:dyDescent="0.25">
      <c r="A9038" s="3">
        <v>41350</v>
      </c>
      <c r="B9038" s="2" t="s">
        <v>51</v>
      </c>
      <c r="C9038" s="2">
        <v>42</v>
      </c>
    </row>
    <row r="9039" spans="1:3" x14ac:dyDescent="0.25">
      <c r="A9039" s="3">
        <v>41772</v>
      </c>
      <c r="B9039" s="2" t="s">
        <v>39</v>
      </c>
      <c r="C9039" s="2">
        <v>14</v>
      </c>
    </row>
    <row r="9040" spans="1:3" x14ac:dyDescent="0.25">
      <c r="A9040" s="3">
        <v>41403</v>
      </c>
      <c r="B9040" s="2" t="s">
        <v>5</v>
      </c>
      <c r="C9040" s="2">
        <v>10</v>
      </c>
    </row>
    <row r="9041" spans="1:3" x14ac:dyDescent="0.25">
      <c r="A9041" s="3">
        <v>41437</v>
      </c>
      <c r="B9041" s="2" t="s">
        <v>47</v>
      </c>
      <c r="C9041" s="2">
        <v>1</v>
      </c>
    </row>
    <row r="9042" spans="1:3" x14ac:dyDescent="0.25">
      <c r="A9042" s="3">
        <v>41791</v>
      </c>
      <c r="B9042" s="2" t="s">
        <v>5</v>
      </c>
      <c r="C9042" s="2">
        <v>40</v>
      </c>
    </row>
    <row r="9043" spans="1:3" x14ac:dyDescent="0.25">
      <c r="A9043" s="3">
        <v>41797</v>
      </c>
      <c r="B9043" s="2" t="s">
        <v>36</v>
      </c>
      <c r="C9043" s="2">
        <v>14</v>
      </c>
    </row>
    <row r="9044" spans="1:3" x14ac:dyDescent="0.25">
      <c r="A9044" s="3">
        <v>41891</v>
      </c>
      <c r="B9044" s="2" t="s">
        <v>5</v>
      </c>
      <c r="C9044" s="2">
        <v>50</v>
      </c>
    </row>
    <row r="9045" spans="1:3" x14ac:dyDescent="0.25">
      <c r="A9045" s="3">
        <v>41591</v>
      </c>
      <c r="B9045" s="2" t="s">
        <v>17</v>
      </c>
      <c r="C9045" s="2">
        <v>16</v>
      </c>
    </row>
    <row r="9046" spans="1:3" x14ac:dyDescent="0.25">
      <c r="A9046" s="3">
        <v>41578</v>
      </c>
      <c r="B9046" s="2" t="s">
        <v>28</v>
      </c>
      <c r="C9046" s="2">
        <v>13</v>
      </c>
    </row>
    <row r="9047" spans="1:3" x14ac:dyDescent="0.25">
      <c r="A9047" s="3">
        <v>41354</v>
      </c>
      <c r="B9047" s="2" t="s">
        <v>41</v>
      </c>
      <c r="C9047" s="2">
        <v>49</v>
      </c>
    </row>
    <row r="9048" spans="1:3" x14ac:dyDescent="0.25">
      <c r="A9048" s="3">
        <v>41910</v>
      </c>
      <c r="B9048" s="2" t="s">
        <v>32</v>
      </c>
      <c r="C9048" s="2">
        <v>38</v>
      </c>
    </row>
    <row r="9049" spans="1:3" x14ac:dyDescent="0.25">
      <c r="A9049" s="3">
        <v>41655</v>
      </c>
      <c r="B9049" s="2" t="s">
        <v>45</v>
      </c>
      <c r="C9049" s="2">
        <v>33</v>
      </c>
    </row>
    <row r="9050" spans="1:3" x14ac:dyDescent="0.25">
      <c r="A9050" s="3">
        <v>41822</v>
      </c>
      <c r="B9050" s="2" t="s">
        <v>30</v>
      </c>
      <c r="C9050" s="2">
        <v>27</v>
      </c>
    </row>
    <row r="9051" spans="1:3" x14ac:dyDescent="0.25">
      <c r="A9051" s="3">
        <v>41559</v>
      </c>
      <c r="B9051" s="2" t="s">
        <v>26</v>
      </c>
      <c r="C9051" s="2">
        <v>40</v>
      </c>
    </row>
    <row r="9052" spans="1:3" x14ac:dyDescent="0.25">
      <c r="A9052" s="3">
        <v>41674</v>
      </c>
      <c r="B9052" s="2" t="s">
        <v>50</v>
      </c>
      <c r="C9052" s="2">
        <v>30</v>
      </c>
    </row>
    <row r="9053" spans="1:3" x14ac:dyDescent="0.25">
      <c r="A9053" s="3">
        <v>41781</v>
      </c>
      <c r="B9053" s="2" t="s">
        <v>51</v>
      </c>
      <c r="C9053" s="2">
        <v>18</v>
      </c>
    </row>
    <row r="9054" spans="1:3" x14ac:dyDescent="0.25">
      <c r="A9054" s="3">
        <v>41310</v>
      </c>
      <c r="B9054" s="2" t="s">
        <v>46</v>
      </c>
      <c r="C9054" s="2">
        <v>11</v>
      </c>
    </row>
    <row r="9055" spans="1:3" x14ac:dyDescent="0.25">
      <c r="A9055" s="3">
        <v>41915</v>
      </c>
      <c r="B9055" s="2" t="s">
        <v>21</v>
      </c>
      <c r="C9055" s="2">
        <v>30</v>
      </c>
    </row>
    <row r="9056" spans="1:3" x14ac:dyDescent="0.25">
      <c r="A9056" s="3">
        <v>41442</v>
      </c>
      <c r="B9056" s="2" t="s">
        <v>23</v>
      </c>
      <c r="C9056" s="2">
        <v>25</v>
      </c>
    </row>
    <row r="9057" spans="1:3" x14ac:dyDescent="0.25">
      <c r="A9057" s="3">
        <v>41441</v>
      </c>
      <c r="B9057" s="2" t="s">
        <v>42</v>
      </c>
      <c r="C9057" s="2">
        <v>27</v>
      </c>
    </row>
    <row r="9058" spans="1:3" x14ac:dyDescent="0.25">
      <c r="A9058" s="3">
        <v>41440</v>
      </c>
      <c r="B9058" s="2" t="s">
        <v>20</v>
      </c>
      <c r="C9058" s="2">
        <v>25</v>
      </c>
    </row>
    <row r="9059" spans="1:3" x14ac:dyDescent="0.25">
      <c r="A9059" s="3">
        <v>41461</v>
      </c>
      <c r="B9059" s="2" t="s">
        <v>46</v>
      </c>
      <c r="C9059" s="2">
        <v>50</v>
      </c>
    </row>
    <row r="9060" spans="1:3" x14ac:dyDescent="0.25">
      <c r="A9060" s="3">
        <v>41606</v>
      </c>
      <c r="B9060" s="2" t="s">
        <v>4</v>
      </c>
      <c r="C9060" s="2">
        <v>57</v>
      </c>
    </row>
    <row r="9061" spans="1:3" x14ac:dyDescent="0.25">
      <c r="A9061" s="3">
        <v>41922</v>
      </c>
      <c r="B9061" s="2" t="s">
        <v>21</v>
      </c>
      <c r="C9061" s="2">
        <v>24</v>
      </c>
    </row>
    <row r="9062" spans="1:3" x14ac:dyDescent="0.25">
      <c r="A9062" s="3">
        <v>41593</v>
      </c>
      <c r="B9062" s="2" t="s">
        <v>40</v>
      </c>
      <c r="C9062" s="2">
        <v>41</v>
      </c>
    </row>
    <row r="9063" spans="1:3" x14ac:dyDescent="0.25">
      <c r="A9063" s="3">
        <v>41480</v>
      </c>
      <c r="B9063" s="2" t="s">
        <v>36</v>
      </c>
      <c r="C9063" s="2">
        <v>29</v>
      </c>
    </row>
    <row r="9064" spans="1:3" x14ac:dyDescent="0.25">
      <c r="A9064" s="3">
        <v>41307</v>
      </c>
      <c r="B9064" s="2" t="s">
        <v>40</v>
      </c>
      <c r="C9064" s="2">
        <v>39</v>
      </c>
    </row>
    <row r="9065" spans="1:3" x14ac:dyDescent="0.25">
      <c r="A9065" s="3">
        <v>41498</v>
      </c>
      <c r="B9065" s="2" t="s">
        <v>43</v>
      </c>
      <c r="C9065" s="2">
        <v>54</v>
      </c>
    </row>
    <row r="9066" spans="1:3" x14ac:dyDescent="0.25">
      <c r="A9066" s="3">
        <v>41350</v>
      </c>
      <c r="B9066" s="2" t="s">
        <v>37</v>
      </c>
      <c r="C9066" s="2">
        <v>18</v>
      </c>
    </row>
    <row r="9067" spans="1:3" x14ac:dyDescent="0.25">
      <c r="A9067" s="3">
        <v>41511</v>
      </c>
      <c r="B9067" s="2" t="s">
        <v>26</v>
      </c>
      <c r="C9067" s="2">
        <v>46</v>
      </c>
    </row>
    <row r="9068" spans="1:3" x14ac:dyDescent="0.25">
      <c r="A9068" s="3">
        <v>41956</v>
      </c>
      <c r="B9068" s="2" t="s">
        <v>40</v>
      </c>
      <c r="C9068" s="2">
        <v>14</v>
      </c>
    </row>
    <row r="9069" spans="1:3" x14ac:dyDescent="0.25">
      <c r="A9069" s="3">
        <v>41446</v>
      </c>
      <c r="B9069" s="2" t="s">
        <v>32</v>
      </c>
      <c r="C9069" s="2">
        <v>30</v>
      </c>
    </row>
    <row r="9070" spans="1:3" x14ac:dyDescent="0.25">
      <c r="A9070" s="3">
        <v>41920</v>
      </c>
      <c r="B9070" s="2" t="s">
        <v>14</v>
      </c>
      <c r="C9070" s="2">
        <v>20</v>
      </c>
    </row>
    <row r="9071" spans="1:3" x14ac:dyDescent="0.25">
      <c r="A9071" s="3">
        <v>41904</v>
      </c>
      <c r="B9071" s="2" t="s">
        <v>47</v>
      </c>
      <c r="C9071" s="2">
        <v>28</v>
      </c>
    </row>
    <row r="9072" spans="1:3" x14ac:dyDescent="0.25">
      <c r="A9072" s="3">
        <v>41783</v>
      </c>
      <c r="B9072" s="2" t="s">
        <v>50</v>
      </c>
      <c r="C9072" s="2">
        <v>52</v>
      </c>
    </row>
    <row r="9073" spans="1:3" x14ac:dyDescent="0.25">
      <c r="A9073" s="3">
        <v>41720</v>
      </c>
      <c r="B9073" s="2" t="s">
        <v>27</v>
      </c>
      <c r="C9073" s="2">
        <v>16</v>
      </c>
    </row>
    <row r="9074" spans="1:3" x14ac:dyDescent="0.25">
      <c r="A9074" s="3">
        <v>41903</v>
      </c>
      <c r="B9074" s="2" t="s">
        <v>20</v>
      </c>
      <c r="C9074" s="2">
        <v>38</v>
      </c>
    </row>
    <row r="9075" spans="1:3" x14ac:dyDescent="0.25">
      <c r="A9075" s="3">
        <v>41710</v>
      </c>
      <c r="B9075" s="2" t="s">
        <v>16</v>
      </c>
      <c r="C9075" s="2">
        <v>27</v>
      </c>
    </row>
    <row r="9076" spans="1:3" x14ac:dyDescent="0.25">
      <c r="A9076" s="3">
        <v>41823</v>
      </c>
      <c r="B9076" s="2" t="s">
        <v>43</v>
      </c>
      <c r="C9076" s="2">
        <v>14</v>
      </c>
    </row>
    <row r="9077" spans="1:3" x14ac:dyDescent="0.25">
      <c r="A9077" s="3">
        <v>41283</v>
      </c>
      <c r="B9077" s="2" t="s">
        <v>32</v>
      </c>
      <c r="C9077" s="2">
        <v>10</v>
      </c>
    </row>
    <row r="9078" spans="1:3" x14ac:dyDescent="0.25">
      <c r="A9078" s="3">
        <v>41512</v>
      </c>
      <c r="B9078" s="2" t="s">
        <v>5</v>
      </c>
      <c r="C9078" s="2">
        <v>12</v>
      </c>
    </row>
    <row r="9079" spans="1:3" x14ac:dyDescent="0.25">
      <c r="A9079" s="3">
        <v>41978</v>
      </c>
      <c r="B9079" s="2" t="s">
        <v>38</v>
      </c>
      <c r="C9079" s="2">
        <v>18</v>
      </c>
    </row>
    <row r="9080" spans="1:3" x14ac:dyDescent="0.25">
      <c r="A9080" s="3">
        <v>41913</v>
      </c>
      <c r="B9080" s="2" t="s">
        <v>47</v>
      </c>
      <c r="C9080" s="2">
        <v>1</v>
      </c>
    </row>
    <row r="9081" spans="1:3" x14ac:dyDescent="0.25">
      <c r="A9081" s="3">
        <v>41775</v>
      </c>
      <c r="B9081" s="2" t="s">
        <v>23</v>
      </c>
      <c r="C9081" s="2">
        <v>22</v>
      </c>
    </row>
    <row r="9082" spans="1:3" x14ac:dyDescent="0.25">
      <c r="A9082" s="3">
        <v>41447</v>
      </c>
      <c r="B9082" s="2" t="s">
        <v>37</v>
      </c>
      <c r="C9082" s="2">
        <v>27</v>
      </c>
    </row>
    <row r="9083" spans="1:3" x14ac:dyDescent="0.25">
      <c r="A9083" s="3">
        <v>41315</v>
      </c>
      <c r="B9083" s="2" t="s">
        <v>43</v>
      </c>
      <c r="C9083" s="2">
        <v>32</v>
      </c>
    </row>
    <row r="9084" spans="1:3" x14ac:dyDescent="0.25">
      <c r="A9084" s="3">
        <v>41713</v>
      </c>
      <c r="B9084" s="2" t="s">
        <v>30</v>
      </c>
      <c r="C9084" s="2">
        <v>11</v>
      </c>
    </row>
    <row r="9085" spans="1:3" x14ac:dyDescent="0.25">
      <c r="A9085" s="3">
        <v>41387</v>
      </c>
      <c r="B9085" s="2" t="s">
        <v>11</v>
      </c>
      <c r="C9085" s="2">
        <v>29</v>
      </c>
    </row>
    <row r="9086" spans="1:3" x14ac:dyDescent="0.25">
      <c r="A9086" s="3">
        <v>41947</v>
      </c>
      <c r="B9086" s="2" t="s">
        <v>13</v>
      </c>
      <c r="C9086" s="2">
        <v>61</v>
      </c>
    </row>
    <row r="9087" spans="1:3" x14ac:dyDescent="0.25">
      <c r="A9087" s="3">
        <v>41373</v>
      </c>
      <c r="B9087" s="2" t="s">
        <v>21</v>
      </c>
      <c r="C9087" s="2">
        <v>25</v>
      </c>
    </row>
    <row r="9088" spans="1:3" x14ac:dyDescent="0.25">
      <c r="A9088" s="3">
        <v>41417</v>
      </c>
      <c r="B9088" s="2" t="s">
        <v>34</v>
      </c>
      <c r="C9088" s="2">
        <v>22</v>
      </c>
    </row>
    <row r="9089" spans="1:3" x14ac:dyDescent="0.25">
      <c r="A9089" s="3">
        <v>41340</v>
      </c>
      <c r="B9089" s="2" t="s">
        <v>11</v>
      </c>
      <c r="C9089" s="2">
        <v>13</v>
      </c>
    </row>
    <row r="9090" spans="1:3" x14ac:dyDescent="0.25">
      <c r="A9090" s="3">
        <v>41690</v>
      </c>
      <c r="B9090" s="2" t="s">
        <v>36</v>
      </c>
      <c r="C9090" s="2">
        <v>26</v>
      </c>
    </row>
    <row r="9091" spans="1:3" x14ac:dyDescent="0.25">
      <c r="A9091" s="3">
        <v>41625</v>
      </c>
      <c r="B9091" s="2" t="s">
        <v>30</v>
      </c>
      <c r="C9091" s="2">
        <v>20</v>
      </c>
    </row>
    <row r="9092" spans="1:3" x14ac:dyDescent="0.25">
      <c r="A9092" s="3">
        <v>41911</v>
      </c>
      <c r="B9092" s="2" t="s">
        <v>21</v>
      </c>
      <c r="C9092" s="2">
        <v>22</v>
      </c>
    </row>
    <row r="9093" spans="1:3" x14ac:dyDescent="0.25">
      <c r="A9093" s="3">
        <v>41557</v>
      </c>
      <c r="B9093" s="2" t="s">
        <v>15</v>
      </c>
      <c r="C9093" s="2">
        <v>20</v>
      </c>
    </row>
    <row r="9094" spans="1:3" x14ac:dyDescent="0.25">
      <c r="A9094" s="3">
        <v>41907</v>
      </c>
      <c r="B9094" s="2" t="s">
        <v>17</v>
      </c>
      <c r="C9094" s="2">
        <v>26</v>
      </c>
    </row>
    <row r="9095" spans="1:3" x14ac:dyDescent="0.25">
      <c r="A9095" s="3">
        <v>41434</v>
      </c>
      <c r="B9095" s="2" t="s">
        <v>4</v>
      </c>
      <c r="C9095" s="2">
        <v>45</v>
      </c>
    </row>
    <row r="9096" spans="1:3" x14ac:dyDescent="0.25">
      <c r="A9096" s="3">
        <v>41659</v>
      </c>
      <c r="B9096" s="2" t="s">
        <v>10</v>
      </c>
      <c r="C9096" s="2">
        <v>18</v>
      </c>
    </row>
    <row r="9097" spans="1:3" x14ac:dyDescent="0.25">
      <c r="A9097" s="3">
        <v>41914</v>
      </c>
      <c r="B9097" s="2" t="s">
        <v>45</v>
      </c>
      <c r="C9097" s="2">
        <v>35</v>
      </c>
    </row>
    <row r="9098" spans="1:3" x14ac:dyDescent="0.25">
      <c r="A9098" s="3">
        <v>41952</v>
      </c>
      <c r="B9098" s="2" t="s">
        <v>36</v>
      </c>
      <c r="C9098" s="2">
        <v>51</v>
      </c>
    </row>
    <row r="9099" spans="1:3" x14ac:dyDescent="0.25">
      <c r="A9099" s="3">
        <v>41825</v>
      </c>
      <c r="B9099" s="2" t="s">
        <v>16</v>
      </c>
      <c r="C9099" s="2">
        <v>5</v>
      </c>
    </row>
    <row r="9100" spans="1:3" x14ac:dyDescent="0.25">
      <c r="A9100" s="3">
        <v>41705</v>
      </c>
      <c r="B9100" s="2" t="s">
        <v>3</v>
      </c>
      <c r="C9100" s="2">
        <v>21</v>
      </c>
    </row>
    <row r="9101" spans="1:3" x14ac:dyDescent="0.25">
      <c r="A9101" s="3">
        <v>41728</v>
      </c>
      <c r="B9101" s="2" t="s">
        <v>10</v>
      </c>
      <c r="C9101" s="2">
        <v>17</v>
      </c>
    </row>
    <row r="9102" spans="1:3" x14ac:dyDescent="0.25">
      <c r="A9102" s="3">
        <v>41561</v>
      </c>
      <c r="B9102" s="2" t="s">
        <v>31</v>
      </c>
      <c r="C9102" s="2">
        <v>5</v>
      </c>
    </row>
    <row r="9103" spans="1:3" x14ac:dyDescent="0.25">
      <c r="A9103" s="3">
        <v>41827</v>
      </c>
      <c r="B9103" s="2" t="s">
        <v>2</v>
      </c>
      <c r="C9103" s="2">
        <v>18</v>
      </c>
    </row>
    <row r="9104" spans="1:3" x14ac:dyDescent="0.25">
      <c r="A9104" s="3">
        <v>41278</v>
      </c>
      <c r="B9104" s="2" t="s">
        <v>47</v>
      </c>
      <c r="C9104" s="2">
        <v>29</v>
      </c>
    </row>
    <row r="9105" spans="1:3" x14ac:dyDescent="0.25">
      <c r="A9105" s="3">
        <v>41900</v>
      </c>
      <c r="B9105" s="2" t="s">
        <v>26</v>
      </c>
      <c r="C9105" s="2">
        <v>8</v>
      </c>
    </row>
    <row r="9106" spans="1:3" x14ac:dyDescent="0.25">
      <c r="A9106" s="3">
        <v>41750</v>
      </c>
      <c r="B9106" s="2" t="s">
        <v>27</v>
      </c>
      <c r="C9106" s="2">
        <v>36</v>
      </c>
    </row>
    <row r="9107" spans="1:3" x14ac:dyDescent="0.25">
      <c r="A9107" s="3">
        <v>41677</v>
      </c>
      <c r="B9107" s="2" t="s">
        <v>9</v>
      </c>
      <c r="C9107" s="2">
        <v>5</v>
      </c>
    </row>
    <row r="9108" spans="1:3" x14ac:dyDescent="0.25">
      <c r="A9108" s="3">
        <v>41980</v>
      </c>
      <c r="B9108" s="2" t="s">
        <v>17</v>
      </c>
      <c r="C9108" s="2">
        <v>57</v>
      </c>
    </row>
    <row r="9109" spans="1:3" x14ac:dyDescent="0.25">
      <c r="A9109" s="3">
        <v>41760</v>
      </c>
      <c r="B9109" s="2" t="s">
        <v>32</v>
      </c>
      <c r="C9109" s="2">
        <v>8</v>
      </c>
    </row>
    <row r="9110" spans="1:3" x14ac:dyDescent="0.25">
      <c r="A9110" s="3">
        <v>41435</v>
      </c>
      <c r="B9110" s="2" t="s">
        <v>21</v>
      </c>
      <c r="C9110" s="2">
        <v>21</v>
      </c>
    </row>
    <row r="9111" spans="1:3" x14ac:dyDescent="0.25">
      <c r="A9111" s="3">
        <v>41286</v>
      </c>
      <c r="B9111" s="2" t="s">
        <v>10</v>
      </c>
      <c r="C9111" s="2">
        <v>7</v>
      </c>
    </row>
    <row r="9112" spans="1:3" x14ac:dyDescent="0.25">
      <c r="A9112" s="3">
        <v>41532</v>
      </c>
      <c r="B9112" s="2" t="s">
        <v>30</v>
      </c>
      <c r="C9112" s="2">
        <v>31</v>
      </c>
    </row>
    <row r="9113" spans="1:3" x14ac:dyDescent="0.25">
      <c r="A9113" s="3">
        <v>41557</v>
      </c>
      <c r="B9113" s="2" t="s">
        <v>27</v>
      </c>
      <c r="C9113" s="2">
        <v>36</v>
      </c>
    </row>
    <row r="9114" spans="1:3" x14ac:dyDescent="0.25">
      <c r="A9114" s="3">
        <v>41802</v>
      </c>
      <c r="B9114" s="2" t="s">
        <v>11</v>
      </c>
      <c r="C9114" s="2">
        <v>15</v>
      </c>
    </row>
    <row r="9115" spans="1:3" x14ac:dyDescent="0.25">
      <c r="A9115" s="3">
        <v>41708</v>
      </c>
      <c r="B9115" s="2" t="s">
        <v>43</v>
      </c>
      <c r="C9115" s="2">
        <v>42</v>
      </c>
    </row>
    <row r="9116" spans="1:3" x14ac:dyDescent="0.25">
      <c r="A9116" s="3">
        <v>41751</v>
      </c>
      <c r="B9116" s="2" t="s">
        <v>36</v>
      </c>
      <c r="C9116" s="2">
        <v>14</v>
      </c>
    </row>
    <row r="9117" spans="1:3" x14ac:dyDescent="0.25">
      <c r="A9117" s="3">
        <v>41968</v>
      </c>
      <c r="B9117" s="2" t="s">
        <v>35</v>
      </c>
      <c r="C9117" s="2">
        <v>59</v>
      </c>
    </row>
    <row r="9118" spans="1:3" x14ac:dyDescent="0.25">
      <c r="A9118" s="3">
        <v>41790</v>
      </c>
      <c r="B9118" s="2" t="s">
        <v>39</v>
      </c>
      <c r="C9118" s="2">
        <v>46</v>
      </c>
    </row>
    <row r="9119" spans="1:3" x14ac:dyDescent="0.25">
      <c r="A9119" s="3">
        <v>41503</v>
      </c>
      <c r="B9119" s="2" t="s">
        <v>41</v>
      </c>
      <c r="C9119" s="2">
        <v>13</v>
      </c>
    </row>
    <row r="9120" spans="1:3" x14ac:dyDescent="0.25">
      <c r="A9120" s="3">
        <v>41784</v>
      </c>
      <c r="B9120" s="2" t="s">
        <v>25</v>
      </c>
      <c r="C9120" s="2">
        <v>30</v>
      </c>
    </row>
    <row r="9121" spans="1:3" x14ac:dyDescent="0.25">
      <c r="A9121" s="3">
        <v>41878</v>
      </c>
      <c r="B9121" s="2" t="s">
        <v>26</v>
      </c>
      <c r="C9121" s="2">
        <v>11</v>
      </c>
    </row>
    <row r="9122" spans="1:3" x14ac:dyDescent="0.25">
      <c r="A9122" s="3">
        <v>41956</v>
      </c>
      <c r="B9122" s="2" t="s">
        <v>45</v>
      </c>
      <c r="C9122" s="2">
        <v>21</v>
      </c>
    </row>
    <row r="9123" spans="1:3" x14ac:dyDescent="0.25">
      <c r="A9123" s="3">
        <v>41313</v>
      </c>
      <c r="B9123" s="2" t="s">
        <v>40</v>
      </c>
      <c r="C9123" s="2">
        <v>39</v>
      </c>
    </row>
    <row r="9124" spans="1:3" x14ac:dyDescent="0.25">
      <c r="A9124" s="3">
        <v>41800</v>
      </c>
      <c r="B9124" s="2" t="s">
        <v>7</v>
      </c>
      <c r="C9124" s="2">
        <v>1</v>
      </c>
    </row>
    <row r="9125" spans="1:3" x14ac:dyDescent="0.25">
      <c r="A9125" s="3">
        <v>41950</v>
      </c>
      <c r="B9125" s="2" t="s">
        <v>24</v>
      </c>
      <c r="C9125" s="2">
        <v>19</v>
      </c>
    </row>
    <row r="9126" spans="1:3" x14ac:dyDescent="0.25">
      <c r="A9126" s="3">
        <v>41999</v>
      </c>
      <c r="B9126" s="2" t="s">
        <v>21</v>
      </c>
      <c r="C9126" s="2">
        <v>51</v>
      </c>
    </row>
    <row r="9127" spans="1:3" x14ac:dyDescent="0.25">
      <c r="A9127" s="3">
        <v>41886</v>
      </c>
      <c r="B9127" s="2" t="s">
        <v>10</v>
      </c>
      <c r="C9127" s="2">
        <v>28</v>
      </c>
    </row>
    <row r="9128" spans="1:3" x14ac:dyDescent="0.25">
      <c r="A9128" s="3">
        <v>41906</v>
      </c>
      <c r="B9128" s="2" t="s">
        <v>24</v>
      </c>
      <c r="C9128" s="2">
        <v>20</v>
      </c>
    </row>
    <row r="9129" spans="1:3" x14ac:dyDescent="0.25">
      <c r="A9129" s="3">
        <v>41837</v>
      </c>
      <c r="B9129" s="2" t="s">
        <v>2</v>
      </c>
      <c r="C9129" s="2">
        <v>20</v>
      </c>
    </row>
    <row r="9130" spans="1:3" x14ac:dyDescent="0.25">
      <c r="A9130" s="3">
        <v>41542</v>
      </c>
      <c r="B9130" s="2" t="s">
        <v>25</v>
      </c>
      <c r="C9130" s="2">
        <v>34</v>
      </c>
    </row>
    <row r="9131" spans="1:3" x14ac:dyDescent="0.25">
      <c r="A9131" s="3">
        <v>41523</v>
      </c>
      <c r="B9131" s="2" t="s">
        <v>27</v>
      </c>
      <c r="C9131" s="2">
        <v>11</v>
      </c>
    </row>
    <row r="9132" spans="1:3" x14ac:dyDescent="0.25">
      <c r="A9132" s="3">
        <v>41448</v>
      </c>
      <c r="B9132" s="2" t="s">
        <v>45</v>
      </c>
      <c r="C9132" s="2">
        <v>21</v>
      </c>
    </row>
    <row r="9133" spans="1:3" x14ac:dyDescent="0.25">
      <c r="A9133" s="3">
        <v>41969</v>
      </c>
      <c r="B9133" s="2" t="s">
        <v>21</v>
      </c>
      <c r="C9133" s="2">
        <v>32</v>
      </c>
    </row>
    <row r="9134" spans="1:3" x14ac:dyDescent="0.25">
      <c r="A9134" s="3">
        <v>41772</v>
      </c>
      <c r="B9134" s="2" t="s">
        <v>50</v>
      </c>
      <c r="C9134" s="2">
        <v>12</v>
      </c>
    </row>
    <row r="9135" spans="1:3" x14ac:dyDescent="0.25">
      <c r="A9135" s="3">
        <v>41536</v>
      </c>
      <c r="B9135" s="2" t="s">
        <v>11</v>
      </c>
      <c r="C9135" s="2">
        <v>25</v>
      </c>
    </row>
    <row r="9136" spans="1:3" x14ac:dyDescent="0.25">
      <c r="A9136" s="3">
        <v>41595</v>
      </c>
      <c r="B9136" s="2" t="s">
        <v>4</v>
      </c>
      <c r="C9136" s="2">
        <v>58</v>
      </c>
    </row>
    <row r="9137" spans="1:3" x14ac:dyDescent="0.25">
      <c r="A9137" s="3">
        <v>41505</v>
      </c>
      <c r="B9137" s="2" t="s">
        <v>36</v>
      </c>
      <c r="C9137" s="2">
        <v>34</v>
      </c>
    </row>
    <row r="9138" spans="1:3" x14ac:dyDescent="0.25">
      <c r="A9138" s="3">
        <v>41940</v>
      </c>
      <c r="B9138" s="2" t="s">
        <v>6</v>
      </c>
      <c r="C9138" s="2">
        <v>17</v>
      </c>
    </row>
    <row r="9139" spans="1:3" x14ac:dyDescent="0.25">
      <c r="A9139" s="3">
        <v>41696</v>
      </c>
      <c r="B9139" s="2" t="s">
        <v>3</v>
      </c>
      <c r="C9139" s="2">
        <v>31</v>
      </c>
    </row>
    <row r="9140" spans="1:3" x14ac:dyDescent="0.25">
      <c r="A9140" s="3">
        <v>41881</v>
      </c>
      <c r="B9140" s="2" t="s">
        <v>2</v>
      </c>
      <c r="C9140" s="2">
        <v>5</v>
      </c>
    </row>
    <row r="9141" spans="1:3" x14ac:dyDescent="0.25">
      <c r="A9141" s="3">
        <v>41485</v>
      </c>
      <c r="B9141" s="2" t="s">
        <v>34</v>
      </c>
      <c r="C9141" s="2">
        <v>2</v>
      </c>
    </row>
    <row r="9142" spans="1:3" x14ac:dyDescent="0.25">
      <c r="A9142" s="3">
        <v>41562</v>
      </c>
      <c r="B9142" s="2" t="s">
        <v>51</v>
      </c>
      <c r="C9142" s="2">
        <v>32</v>
      </c>
    </row>
    <row r="9143" spans="1:3" x14ac:dyDescent="0.25">
      <c r="A9143" s="3">
        <v>41381</v>
      </c>
      <c r="B9143" s="2" t="s">
        <v>30</v>
      </c>
      <c r="C9143" s="2">
        <v>32</v>
      </c>
    </row>
    <row r="9144" spans="1:3" x14ac:dyDescent="0.25">
      <c r="A9144" s="3">
        <v>41954</v>
      </c>
      <c r="B9144" s="2" t="s">
        <v>3</v>
      </c>
      <c r="C9144" s="2">
        <v>33</v>
      </c>
    </row>
    <row r="9145" spans="1:3" x14ac:dyDescent="0.25">
      <c r="A9145" s="3">
        <v>41386</v>
      </c>
      <c r="B9145" s="2" t="s">
        <v>27</v>
      </c>
      <c r="C9145" s="2">
        <v>48</v>
      </c>
    </row>
    <row r="9146" spans="1:3" x14ac:dyDescent="0.25">
      <c r="A9146" s="3">
        <v>41396</v>
      </c>
      <c r="B9146" s="2" t="s">
        <v>49</v>
      </c>
      <c r="C9146" s="2">
        <v>31</v>
      </c>
    </row>
    <row r="9147" spans="1:3" x14ac:dyDescent="0.25">
      <c r="A9147" s="3">
        <v>41812</v>
      </c>
      <c r="B9147" s="2" t="s">
        <v>29</v>
      </c>
      <c r="C9147" s="2">
        <v>40</v>
      </c>
    </row>
    <row r="9148" spans="1:3" x14ac:dyDescent="0.25">
      <c r="A9148" s="3">
        <v>41287</v>
      </c>
      <c r="B9148" s="2" t="s">
        <v>48</v>
      </c>
      <c r="C9148" s="2">
        <v>42</v>
      </c>
    </row>
    <row r="9149" spans="1:3" x14ac:dyDescent="0.25">
      <c r="A9149" s="3">
        <v>41515</v>
      </c>
      <c r="B9149" s="2" t="s">
        <v>3</v>
      </c>
      <c r="C9149" s="2">
        <v>5</v>
      </c>
    </row>
    <row r="9150" spans="1:3" x14ac:dyDescent="0.25">
      <c r="A9150" s="3">
        <v>41554</v>
      </c>
      <c r="B9150" s="2" t="s">
        <v>37</v>
      </c>
      <c r="C9150" s="2">
        <v>32</v>
      </c>
    </row>
    <row r="9151" spans="1:3" x14ac:dyDescent="0.25">
      <c r="A9151" s="3">
        <v>41407</v>
      </c>
      <c r="B9151" s="2" t="s">
        <v>3</v>
      </c>
      <c r="C9151" s="2">
        <v>30</v>
      </c>
    </row>
    <row r="9152" spans="1:3" x14ac:dyDescent="0.25">
      <c r="A9152" s="3">
        <v>41982</v>
      </c>
      <c r="B9152" s="2" t="s">
        <v>45</v>
      </c>
      <c r="C9152" s="2">
        <v>26</v>
      </c>
    </row>
    <row r="9153" spans="1:3" x14ac:dyDescent="0.25">
      <c r="A9153" s="3">
        <v>41792</v>
      </c>
      <c r="B9153" s="2" t="s">
        <v>35</v>
      </c>
      <c r="C9153" s="2">
        <v>48</v>
      </c>
    </row>
    <row r="9154" spans="1:3" x14ac:dyDescent="0.25">
      <c r="A9154" s="3">
        <v>41611</v>
      </c>
      <c r="B9154" s="2" t="s">
        <v>15</v>
      </c>
      <c r="C9154" s="2">
        <v>27</v>
      </c>
    </row>
    <row r="9155" spans="1:3" x14ac:dyDescent="0.25">
      <c r="A9155" s="3">
        <v>41514</v>
      </c>
      <c r="B9155" s="2" t="s">
        <v>12</v>
      </c>
      <c r="C9155" s="2">
        <v>27</v>
      </c>
    </row>
    <row r="9156" spans="1:3" x14ac:dyDescent="0.25">
      <c r="A9156" s="3">
        <v>41533</v>
      </c>
      <c r="B9156" s="2" t="s">
        <v>12</v>
      </c>
      <c r="C9156" s="2">
        <v>6</v>
      </c>
    </row>
    <row r="9157" spans="1:3" x14ac:dyDescent="0.25">
      <c r="A9157" s="3">
        <v>41857</v>
      </c>
      <c r="B9157" s="2" t="s">
        <v>33</v>
      </c>
      <c r="C9157" s="2">
        <v>12</v>
      </c>
    </row>
    <row r="9158" spans="1:3" x14ac:dyDescent="0.25">
      <c r="A9158" s="3">
        <v>41558</v>
      </c>
      <c r="B9158" s="2" t="s">
        <v>51</v>
      </c>
      <c r="C9158" s="2">
        <v>46</v>
      </c>
    </row>
    <row r="9159" spans="1:3" x14ac:dyDescent="0.25">
      <c r="A9159" s="3">
        <v>41760</v>
      </c>
      <c r="B9159" s="2" t="s">
        <v>39</v>
      </c>
      <c r="C9159" s="2">
        <v>11</v>
      </c>
    </row>
    <row r="9160" spans="1:3" x14ac:dyDescent="0.25">
      <c r="A9160" s="3">
        <v>41763</v>
      </c>
      <c r="B9160" s="2" t="s">
        <v>3</v>
      </c>
      <c r="C9160" s="2">
        <v>6</v>
      </c>
    </row>
    <row r="9161" spans="1:3" x14ac:dyDescent="0.25">
      <c r="A9161" s="3">
        <v>41387</v>
      </c>
      <c r="B9161" s="2" t="s">
        <v>46</v>
      </c>
      <c r="C9161" s="2">
        <v>14</v>
      </c>
    </row>
    <row r="9162" spans="1:3" x14ac:dyDescent="0.25">
      <c r="A9162" s="3">
        <v>41849</v>
      </c>
      <c r="B9162" s="2" t="s">
        <v>5</v>
      </c>
      <c r="C9162" s="2">
        <v>36</v>
      </c>
    </row>
    <row r="9163" spans="1:3" x14ac:dyDescent="0.25">
      <c r="A9163" s="3">
        <v>41298</v>
      </c>
      <c r="B9163" s="2" t="s">
        <v>37</v>
      </c>
      <c r="C9163" s="2">
        <v>45</v>
      </c>
    </row>
    <row r="9164" spans="1:3" x14ac:dyDescent="0.25">
      <c r="A9164" s="3">
        <v>41606</v>
      </c>
      <c r="B9164" s="2" t="s">
        <v>2</v>
      </c>
      <c r="C9164" s="2">
        <v>36</v>
      </c>
    </row>
    <row r="9165" spans="1:3" x14ac:dyDescent="0.25">
      <c r="A9165" s="3">
        <v>41985</v>
      </c>
      <c r="B9165" s="2" t="s">
        <v>2</v>
      </c>
      <c r="C9165" s="2">
        <v>8</v>
      </c>
    </row>
    <row r="9166" spans="1:3" x14ac:dyDescent="0.25">
      <c r="A9166" s="3">
        <v>41709</v>
      </c>
      <c r="B9166" s="2" t="s">
        <v>29</v>
      </c>
      <c r="C9166" s="2">
        <v>36</v>
      </c>
    </row>
    <row r="9167" spans="1:3" x14ac:dyDescent="0.25">
      <c r="A9167" s="3">
        <v>41956</v>
      </c>
      <c r="B9167" s="2" t="s">
        <v>49</v>
      </c>
      <c r="C9167" s="2">
        <v>33</v>
      </c>
    </row>
    <row r="9168" spans="1:3" x14ac:dyDescent="0.25">
      <c r="A9168" s="3">
        <v>41842</v>
      </c>
      <c r="B9168" s="2" t="s">
        <v>35</v>
      </c>
      <c r="C9168" s="2">
        <v>14</v>
      </c>
    </row>
    <row r="9169" spans="1:3" x14ac:dyDescent="0.25">
      <c r="A9169" s="3">
        <v>41510</v>
      </c>
      <c r="B9169" s="2" t="s">
        <v>45</v>
      </c>
      <c r="C9169" s="2">
        <v>10</v>
      </c>
    </row>
    <row r="9170" spans="1:3" x14ac:dyDescent="0.25">
      <c r="A9170" s="3">
        <v>41518</v>
      </c>
      <c r="B9170" s="2" t="s">
        <v>38</v>
      </c>
      <c r="C9170" s="2">
        <v>9</v>
      </c>
    </row>
    <row r="9171" spans="1:3" x14ac:dyDescent="0.25">
      <c r="A9171" s="3">
        <v>41346</v>
      </c>
      <c r="B9171" s="2" t="s">
        <v>15</v>
      </c>
      <c r="C9171" s="2">
        <v>9</v>
      </c>
    </row>
    <row r="9172" spans="1:3" x14ac:dyDescent="0.25">
      <c r="A9172" s="3">
        <v>41381</v>
      </c>
      <c r="B9172" s="2" t="s">
        <v>9</v>
      </c>
      <c r="C9172" s="2">
        <v>44</v>
      </c>
    </row>
    <row r="9173" spans="1:3" x14ac:dyDescent="0.25">
      <c r="A9173" s="3">
        <v>41356</v>
      </c>
      <c r="B9173" s="2" t="s">
        <v>18</v>
      </c>
      <c r="C9173" s="2">
        <v>20</v>
      </c>
    </row>
    <row r="9174" spans="1:3" x14ac:dyDescent="0.25">
      <c r="A9174" s="3">
        <v>41555</v>
      </c>
      <c r="B9174" s="2" t="s">
        <v>9</v>
      </c>
      <c r="C9174" s="2">
        <v>27</v>
      </c>
    </row>
    <row r="9175" spans="1:3" x14ac:dyDescent="0.25">
      <c r="A9175" s="3">
        <v>41340</v>
      </c>
      <c r="B9175" s="2" t="s">
        <v>37</v>
      </c>
      <c r="C9175" s="2">
        <v>7</v>
      </c>
    </row>
    <row r="9176" spans="1:3" x14ac:dyDescent="0.25">
      <c r="A9176" s="3">
        <v>41449</v>
      </c>
      <c r="B9176" s="2" t="s">
        <v>47</v>
      </c>
      <c r="C9176" s="2">
        <v>1</v>
      </c>
    </row>
    <row r="9177" spans="1:3" x14ac:dyDescent="0.25">
      <c r="A9177" s="3">
        <v>41523</v>
      </c>
      <c r="B9177" s="2" t="s">
        <v>27</v>
      </c>
      <c r="C9177" s="2">
        <v>44</v>
      </c>
    </row>
    <row r="9178" spans="1:3" x14ac:dyDescent="0.25">
      <c r="A9178" s="3">
        <v>41320</v>
      </c>
      <c r="B9178" s="2" t="s">
        <v>37</v>
      </c>
      <c r="C9178" s="2">
        <v>7</v>
      </c>
    </row>
    <row r="9179" spans="1:3" x14ac:dyDescent="0.25">
      <c r="A9179" s="3">
        <v>41686</v>
      </c>
      <c r="B9179" s="2" t="s">
        <v>8</v>
      </c>
      <c r="C9179" s="2">
        <v>22</v>
      </c>
    </row>
    <row r="9180" spans="1:3" x14ac:dyDescent="0.25">
      <c r="A9180" s="3">
        <v>41663</v>
      </c>
      <c r="B9180" s="2" t="s">
        <v>22</v>
      </c>
      <c r="C9180" s="2">
        <v>40</v>
      </c>
    </row>
    <row r="9181" spans="1:3" x14ac:dyDescent="0.25">
      <c r="A9181" s="3">
        <v>41620</v>
      </c>
      <c r="B9181" s="2" t="s">
        <v>42</v>
      </c>
      <c r="C9181" s="2">
        <v>32</v>
      </c>
    </row>
    <row r="9182" spans="1:3" x14ac:dyDescent="0.25">
      <c r="A9182" s="3">
        <v>41652</v>
      </c>
      <c r="B9182" s="2" t="s">
        <v>39</v>
      </c>
      <c r="C9182" s="2">
        <v>16</v>
      </c>
    </row>
    <row r="9183" spans="1:3" x14ac:dyDescent="0.25">
      <c r="A9183" s="3">
        <v>41588</v>
      </c>
      <c r="B9183" s="2" t="s">
        <v>22</v>
      </c>
      <c r="C9183" s="2">
        <v>24</v>
      </c>
    </row>
    <row r="9184" spans="1:3" x14ac:dyDescent="0.25">
      <c r="A9184" s="3">
        <v>41461</v>
      </c>
      <c r="B9184" s="2" t="s">
        <v>11</v>
      </c>
      <c r="C9184" s="2">
        <v>41</v>
      </c>
    </row>
    <row r="9185" spans="1:3" x14ac:dyDescent="0.25">
      <c r="A9185" s="3">
        <v>41983</v>
      </c>
      <c r="B9185" s="2" t="s">
        <v>49</v>
      </c>
      <c r="C9185" s="2">
        <v>28</v>
      </c>
    </row>
    <row r="9186" spans="1:3" x14ac:dyDescent="0.25">
      <c r="A9186" s="3">
        <v>41718</v>
      </c>
      <c r="B9186" s="2" t="s">
        <v>13</v>
      </c>
      <c r="C9186" s="2">
        <v>51</v>
      </c>
    </row>
    <row r="9187" spans="1:3" x14ac:dyDescent="0.25">
      <c r="A9187" s="3">
        <v>41362</v>
      </c>
      <c r="B9187" s="2" t="s">
        <v>13</v>
      </c>
      <c r="C9187" s="2">
        <v>30</v>
      </c>
    </row>
    <row r="9188" spans="1:3" x14ac:dyDescent="0.25">
      <c r="A9188" s="3">
        <v>41953</v>
      </c>
      <c r="B9188" s="2" t="s">
        <v>17</v>
      </c>
      <c r="C9188" s="2">
        <v>28</v>
      </c>
    </row>
    <row r="9189" spans="1:3" x14ac:dyDescent="0.25">
      <c r="A9189" s="3">
        <v>41959</v>
      </c>
      <c r="B9189" s="2" t="s">
        <v>48</v>
      </c>
      <c r="C9189" s="2">
        <v>43</v>
      </c>
    </row>
    <row r="9190" spans="1:3" x14ac:dyDescent="0.25">
      <c r="A9190" s="3">
        <v>41737</v>
      </c>
      <c r="B9190" s="2" t="s">
        <v>17</v>
      </c>
      <c r="C9190" s="2">
        <v>68</v>
      </c>
    </row>
    <row r="9191" spans="1:3" x14ac:dyDescent="0.25">
      <c r="A9191" s="3">
        <v>41936</v>
      </c>
      <c r="B9191" s="2" t="s">
        <v>18</v>
      </c>
      <c r="C9191" s="2">
        <v>14</v>
      </c>
    </row>
    <row r="9192" spans="1:3" x14ac:dyDescent="0.25">
      <c r="A9192" s="3">
        <v>41931</v>
      </c>
      <c r="B9192" s="2" t="s">
        <v>39</v>
      </c>
      <c r="C9192" s="2">
        <v>37</v>
      </c>
    </row>
    <row r="9193" spans="1:3" x14ac:dyDescent="0.25">
      <c r="A9193" s="3">
        <v>41629</v>
      </c>
      <c r="B9193" s="2" t="s">
        <v>31</v>
      </c>
      <c r="C9193" s="2">
        <v>31</v>
      </c>
    </row>
    <row r="9194" spans="1:3" x14ac:dyDescent="0.25">
      <c r="A9194" s="3">
        <v>41775</v>
      </c>
      <c r="B9194" s="2" t="s">
        <v>50</v>
      </c>
      <c r="C9194" s="2">
        <v>1</v>
      </c>
    </row>
    <row r="9195" spans="1:3" x14ac:dyDescent="0.25">
      <c r="A9195" s="3">
        <v>41283</v>
      </c>
      <c r="B9195" s="2" t="s">
        <v>2</v>
      </c>
      <c r="C9195" s="2">
        <v>35</v>
      </c>
    </row>
    <row r="9196" spans="1:3" x14ac:dyDescent="0.25">
      <c r="A9196" s="3">
        <v>41816</v>
      </c>
      <c r="B9196" s="2" t="s">
        <v>43</v>
      </c>
      <c r="C9196" s="2">
        <v>39</v>
      </c>
    </row>
    <row r="9197" spans="1:3" x14ac:dyDescent="0.25">
      <c r="A9197" s="3">
        <v>41505</v>
      </c>
      <c r="B9197" s="2" t="s">
        <v>8</v>
      </c>
      <c r="C9197" s="2">
        <v>6</v>
      </c>
    </row>
    <row r="9198" spans="1:3" x14ac:dyDescent="0.25">
      <c r="A9198" s="3">
        <v>41940</v>
      </c>
      <c r="B9198" s="2" t="s">
        <v>9</v>
      </c>
      <c r="C9198" s="2">
        <v>13</v>
      </c>
    </row>
    <row r="9199" spans="1:3" x14ac:dyDescent="0.25">
      <c r="A9199" s="3">
        <v>41324</v>
      </c>
      <c r="B9199" s="2" t="s">
        <v>4</v>
      </c>
      <c r="C9199" s="2">
        <v>27</v>
      </c>
    </row>
    <row r="9200" spans="1:3" x14ac:dyDescent="0.25">
      <c r="A9200" s="3">
        <v>41426</v>
      </c>
      <c r="B9200" s="2" t="s">
        <v>8</v>
      </c>
      <c r="C9200" s="2">
        <v>42</v>
      </c>
    </row>
    <row r="9201" spans="1:3" x14ac:dyDescent="0.25">
      <c r="A9201" s="3">
        <v>41664</v>
      </c>
      <c r="B9201" s="2" t="s">
        <v>40</v>
      </c>
      <c r="C9201" s="2">
        <v>48</v>
      </c>
    </row>
    <row r="9202" spans="1:3" x14ac:dyDescent="0.25">
      <c r="A9202" s="3">
        <v>41466</v>
      </c>
      <c r="B9202" s="2" t="s">
        <v>4</v>
      </c>
      <c r="C9202" s="2">
        <v>29</v>
      </c>
    </row>
    <row r="9203" spans="1:3" x14ac:dyDescent="0.25">
      <c r="A9203" s="3">
        <v>41319</v>
      </c>
      <c r="B9203" s="2" t="s">
        <v>9</v>
      </c>
      <c r="C9203" s="2">
        <v>36</v>
      </c>
    </row>
    <row r="9204" spans="1:3" x14ac:dyDescent="0.25">
      <c r="A9204" s="3">
        <v>41919</v>
      </c>
      <c r="B9204" s="2" t="s">
        <v>30</v>
      </c>
      <c r="C9204" s="2">
        <v>34</v>
      </c>
    </row>
    <row r="9205" spans="1:3" x14ac:dyDescent="0.25">
      <c r="A9205" s="3">
        <v>41458</v>
      </c>
      <c r="B9205" s="2" t="s">
        <v>30</v>
      </c>
      <c r="C9205" s="2">
        <v>14</v>
      </c>
    </row>
    <row r="9206" spans="1:3" x14ac:dyDescent="0.25">
      <c r="A9206" s="3">
        <v>41677</v>
      </c>
      <c r="B9206" s="2" t="s">
        <v>24</v>
      </c>
      <c r="C9206" s="2">
        <v>24</v>
      </c>
    </row>
    <row r="9207" spans="1:3" x14ac:dyDescent="0.25">
      <c r="A9207" s="3">
        <v>41318</v>
      </c>
      <c r="B9207" s="2" t="s">
        <v>46</v>
      </c>
      <c r="C9207" s="2">
        <v>18</v>
      </c>
    </row>
    <row r="9208" spans="1:3" x14ac:dyDescent="0.25">
      <c r="A9208" s="3">
        <v>41879</v>
      </c>
      <c r="B9208" s="2" t="s">
        <v>9</v>
      </c>
      <c r="C9208" s="2">
        <v>52</v>
      </c>
    </row>
    <row r="9209" spans="1:3" x14ac:dyDescent="0.25">
      <c r="A9209" s="3">
        <v>41995</v>
      </c>
      <c r="B9209" s="2" t="s">
        <v>10</v>
      </c>
      <c r="C9209" s="2">
        <v>40</v>
      </c>
    </row>
    <row r="9210" spans="1:3" x14ac:dyDescent="0.25">
      <c r="A9210" s="3">
        <v>41491</v>
      </c>
      <c r="B9210" s="2" t="s">
        <v>43</v>
      </c>
      <c r="C9210" s="2">
        <v>35</v>
      </c>
    </row>
    <row r="9211" spans="1:3" x14ac:dyDescent="0.25">
      <c r="A9211" s="3">
        <v>41838</v>
      </c>
      <c r="B9211" s="2" t="s">
        <v>8</v>
      </c>
      <c r="C9211" s="2">
        <v>22</v>
      </c>
    </row>
    <row r="9212" spans="1:3" x14ac:dyDescent="0.25">
      <c r="A9212" s="3">
        <v>41552</v>
      </c>
      <c r="B9212" s="2" t="s">
        <v>43</v>
      </c>
      <c r="C9212" s="2">
        <v>12</v>
      </c>
    </row>
    <row r="9213" spans="1:3" x14ac:dyDescent="0.25">
      <c r="A9213" s="3">
        <v>41488</v>
      </c>
      <c r="B9213" s="2" t="s">
        <v>38</v>
      </c>
      <c r="C9213" s="2">
        <v>1</v>
      </c>
    </row>
    <row r="9214" spans="1:3" x14ac:dyDescent="0.25">
      <c r="A9214" s="3">
        <v>41319</v>
      </c>
      <c r="B9214" s="2" t="s">
        <v>21</v>
      </c>
      <c r="C9214" s="2">
        <v>2</v>
      </c>
    </row>
    <row r="9215" spans="1:3" x14ac:dyDescent="0.25">
      <c r="A9215" s="3">
        <v>41428</v>
      </c>
      <c r="B9215" s="2" t="s">
        <v>47</v>
      </c>
      <c r="C9215" s="2">
        <v>74</v>
      </c>
    </row>
    <row r="9216" spans="1:3" x14ac:dyDescent="0.25">
      <c r="A9216" s="3">
        <v>41567</v>
      </c>
      <c r="B9216" s="2" t="s">
        <v>18</v>
      </c>
      <c r="C9216" s="2">
        <v>19</v>
      </c>
    </row>
    <row r="9217" spans="1:3" x14ac:dyDescent="0.25">
      <c r="A9217" s="3">
        <v>41560</v>
      </c>
      <c r="B9217" s="2" t="s">
        <v>32</v>
      </c>
      <c r="C9217" s="2">
        <v>23</v>
      </c>
    </row>
    <row r="9218" spans="1:3" x14ac:dyDescent="0.25">
      <c r="A9218" s="3">
        <v>41387</v>
      </c>
      <c r="B9218" s="2" t="s">
        <v>8</v>
      </c>
      <c r="C9218" s="2">
        <v>2</v>
      </c>
    </row>
    <row r="9219" spans="1:3" x14ac:dyDescent="0.25">
      <c r="A9219" s="3">
        <v>41682</v>
      </c>
      <c r="B9219" s="2" t="s">
        <v>15</v>
      </c>
      <c r="C9219" s="2">
        <v>26</v>
      </c>
    </row>
    <row r="9220" spans="1:3" x14ac:dyDescent="0.25">
      <c r="A9220" s="3">
        <v>41474</v>
      </c>
      <c r="B9220" s="2" t="s">
        <v>39</v>
      </c>
      <c r="C9220" s="2">
        <v>16</v>
      </c>
    </row>
    <row r="9221" spans="1:3" x14ac:dyDescent="0.25">
      <c r="A9221" s="3">
        <v>41949</v>
      </c>
      <c r="B9221" s="2" t="s">
        <v>50</v>
      </c>
      <c r="C9221" s="2">
        <v>4</v>
      </c>
    </row>
    <row r="9222" spans="1:3" x14ac:dyDescent="0.25">
      <c r="A9222" s="3">
        <v>41672</v>
      </c>
      <c r="B9222" s="2" t="s">
        <v>51</v>
      </c>
      <c r="C9222" s="2">
        <v>19</v>
      </c>
    </row>
    <row r="9223" spans="1:3" x14ac:dyDescent="0.25">
      <c r="A9223" s="3">
        <v>41474</v>
      </c>
      <c r="B9223" s="2" t="s">
        <v>4</v>
      </c>
      <c r="C9223" s="2">
        <v>27</v>
      </c>
    </row>
    <row r="9224" spans="1:3" x14ac:dyDescent="0.25">
      <c r="A9224" s="3">
        <v>41510</v>
      </c>
      <c r="B9224" s="2" t="s">
        <v>21</v>
      </c>
      <c r="C9224" s="2">
        <v>40</v>
      </c>
    </row>
    <row r="9225" spans="1:3" x14ac:dyDescent="0.25">
      <c r="A9225" s="3">
        <v>41928</v>
      </c>
      <c r="B9225" s="2" t="s">
        <v>26</v>
      </c>
      <c r="C9225" s="2">
        <v>50</v>
      </c>
    </row>
    <row r="9226" spans="1:3" x14ac:dyDescent="0.25">
      <c r="A9226" s="3">
        <v>41612</v>
      </c>
      <c r="B9226" s="2" t="s">
        <v>37</v>
      </c>
      <c r="C9226" s="2">
        <v>29</v>
      </c>
    </row>
    <row r="9227" spans="1:3" x14ac:dyDescent="0.25">
      <c r="A9227" s="3">
        <v>41854</v>
      </c>
      <c r="B9227" s="2" t="s">
        <v>20</v>
      </c>
      <c r="C9227" s="2">
        <v>14</v>
      </c>
    </row>
    <row r="9228" spans="1:3" x14ac:dyDescent="0.25">
      <c r="A9228" s="3">
        <v>41440</v>
      </c>
      <c r="B9228" s="2" t="s">
        <v>34</v>
      </c>
      <c r="C9228" s="2">
        <v>33</v>
      </c>
    </row>
    <row r="9229" spans="1:3" x14ac:dyDescent="0.25">
      <c r="A9229" s="3">
        <v>41352</v>
      </c>
      <c r="B9229" s="2" t="s">
        <v>50</v>
      </c>
      <c r="C9229" s="2">
        <v>42</v>
      </c>
    </row>
    <row r="9230" spans="1:3" x14ac:dyDescent="0.25">
      <c r="A9230" s="3">
        <v>41477</v>
      </c>
      <c r="B9230" s="2" t="s">
        <v>51</v>
      </c>
      <c r="C9230" s="2">
        <v>24</v>
      </c>
    </row>
    <row r="9231" spans="1:3" x14ac:dyDescent="0.25">
      <c r="A9231" s="3">
        <v>41928</v>
      </c>
      <c r="B9231" s="2" t="s">
        <v>6</v>
      </c>
      <c r="C9231" s="2">
        <v>35</v>
      </c>
    </row>
    <row r="9232" spans="1:3" x14ac:dyDescent="0.25">
      <c r="A9232" s="3">
        <v>41817</v>
      </c>
      <c r="B9232" s="2" t="s">
        <v>47</v>
      </c>
      <c r="C9232" s="2">
        <v>13</v>
      </c>
    </row>
    <row r="9233" spans="1:3" x14ac:dyDescent="0.25">
      <c r="A9233" s="3">
        <v>41297</v>
      </c>
      <c r="B9233" s="2" t="s">
        <v>41</v>
      </c>
      <c r="C9233" s="2">
        <v>19</v>
      </c>
    </row>
    <row r="9234" spans="1:3" x14ac:dyDescent="0.25">
      <c r="A9234" s="3">
        <v>41847</v>
      </c>
      <c r="B9234" s="2" t="s">
        <v>3</v>
      </c>
      <c r="C9234" s="2">
        <v>32</v>
      </c>
    </row>
    <row r="9235" spans="1:3" x14ac:dyDescent="0.25">
      <c r="A9235" s="3">
        <v>41995</v>
      </c>
      <c r="B9235" s="2" t="s">
        <v>19</v>
      </c>
      <c r="C9235" s="2">
        <v>35</v>
      </c>
    </row>
    <row r="9236" spans="1:3" x14ac:dyDescent="0.25">
      <c r="A9236" s="3">
        <v>41636</v>
      </c>
      <c r="B9236" s="2" t="s">
        <v>33</v>
      </c>
      <c r="C9236" s="2">
        <v>52</v>
      </c>
    </row>
    <row r="9237" spans="1:3" x14ac:dyDescent="0.25">
      <c r="A9237" s="3">
        <v>41498</v>
      </c>
      <c r="B9237" s="2" t="s">
        <v>32</v>
      </c>
      <c r="C9237" s="2">
        <v>17</v>
      </c>
    </row>
    <row r="9238" spans="1:3" x14ac:dyDescent="0.25">
      <c r="A9238" s="3">
        <v>41666</v>
      </c>
      <c r="B9238" s="2" t="s">
        <v>24</v>
      </c>
      <c r="C9238" s="2">
        <v>46</v>
      </c>
    </row>
    <row r="9239" spans="1:3" x14ac:dyDescent="0.25">
      <c r="A9239" s="3">
        <v>41613</v>
      </c>
      <c r="B9239" s="2" t="s">
        <v>20</v>
      </c>
      <c r="C9239" s="2">
        <v>11</v>
      </c>
    </row>
    <row r="9240" spans="1:3" x14ac:dyDescent="0.25">
      <c r="A9240" s="3">
        <v>41934</v>
      </c>
      <c r="B9240" s="2" t="s">
        <v>32</v>
      </c>
      <c r="C9240" s="2">
        <v>38</v>
      </c>
    </row>
    <row r="9241" spans="1:3" x14ac:dyDescent="0.25">
      <c r="A9241" s="3">
        <v>41712</v>
      </c>
      <c r="B9241" s="2" t="s">
        <v>29</v>
      </c>
      <c r="C9241" s="2">
        <v>46</v>
      </c>
    </row>
    <row r="9242" spans="1:3" x14ac:dyDescent="0.25">
      <c r="A9242" s="3">
        <v>41812</v>
      </c>
      <c r="B9242" s="2" t="s">
        <v>4</v>
      </c>
      <c r="C9242" s="2">
        <v>3</v>
      </c>
    </row>
    <row r="9243" spans="1:3" x14ac:dyDescent="0.25">
      <c r="A9243" s="3">
        <v>42002</v>
      </c>
      <c r="B9243" s="2" t="s">
        <v>50</v>
      </c>
      <c r="C9243" s="2">
        <v>62</v>
      </c>
    </row>
    <row r="9244" spans="1:3" x14ac:dyDescent="0.25">
      <c r="A9244" s="3">
        <v>41375</v>
      </c>
      <c r="B9244" s="2" t="s">
        <v>51</v>
      </c>
      <c r="C9244" s="2">
        <v>15</v>
      </c>
    </row>
    <row r="9245" spans="1:3" x14ac:dyDescent="0.25">
      <c r="A9245" s="3">
        <v>41970</v>
      </c>
      <c r="B9245" s="2" t="s">
        <v>7</v>
      </c>
      <c r="C9245" s="2">
        <v>37</v>
      </c>
    </row>
    <row r="9246" spans="1:3" x14ac:dyDescent="0.25">
      <c r="A9246" s="3">
        <v>41304</v>
      </c>
      <c r="B9246" s="2" t="s">
        <v>50</v>
      </c>
      <c r="C9246" s="2">
        <v>44</v>
      </c>
    </row>
    <row r="9247" spans="1:3" x14ac:dyDescent="0.25">
      <c r="A9247" s="3">
        <v>41490</v>
      </c>
      <c r="B9247" s="2" t="s">
        <v>29</v>
      </c>
      <c r="C9247" s="2">
        <v>23</v>
      </c>
    </row>
    <row r="9248" spans="1:3" x14ac:dyDescent="0.25">
      <c r="A9248" s="3">
        <v>41915</v>
      </c>
      <c r="B9248" s="2" t="s">
        <v>25</v>
      </c>
      <c r="C9248" s="2">
        <v>14</v>
      </c>
    </row>
    <row r="9249" spans="1:3" x14ac:dyDescent="0.25">
      <c r="A9249" s="3">
        <v>41752</v>
      </c>
      <c r="B9249" s="2" t="s">
        <v>45</v>
      </c>
      <c r="C9249" s="2">
        <v>15</v>
      </c>
    </row>
    <row r="9250" spans="1:3" x14ac:dyDescent="0.25">
      <c r="A9250" s="3">
        <v>41985</v>
      </c>
      <c r="B9250" s="2" t="s">
        <v>27</v>
      </c>
      <c r="C9250" s="2">
        <v>9</v>
      </c>
    </row>
    <row r="9251" spans="1:3" x14ac:dyDescent="0.25">
      <c r="A9251" s="3">
        <v>41395</v>
      </c>
      <c r="B9251" s="2" t="s">
        <v>7</v>
      </c>
      <c r="C9251" s="2">
        <v>41</v>
      </c>
    </row>
    <row r="9252" spans="1:3" x14ac:dyDescent="0.25">
      <c r="A9252" s="3">
        <v>41944</v>
      </c>
      <c r="B9252" s="2" t="s">
        <v>50</v>
      </c>
      <c r="C9252" s="2">
        <v>28</v>
      </c>
    </row>
    <row r="9253" spans="1:3" x14ac:dyDescent="0.25">
      <c r="A9253" s="3">
        <v>41811</v>
      </c>
      <c r="B9253" s="2" t="s">
        <v>3</v>
      </c>
      <c r="C9253" s="2">
        <v>36</v>
      </c>
    </row>
    <row r="9254" spans="1:3" x14ac:dyDescent="0.25">
      <c r="A9254" s="3">
        <v>41923</v>
      </c>
      <c r="B9254" s="2" t="s">
        <v>45</v>
      </c>
      <c r="C9254" s="2">
        <v>46</v>
      </c>
    </row>
    <row r="9255" spans="1:3" x14ac:dyDescent="0.25">
      <c r="A9255" s="3">
        <v>41314</v>
      </c>
      <c r="B9255" s="2" t="s">
        <v>24</v>
      </c>
      <c r="C9255" s="2">
        <v>17</v>
      </c>
    </row>
    <row r="9256" spans="1:3" x14ac:dyDescent="0.25">
      <c r="A9256" s="3">
        <v>41340</v>
      </c>
      <c r="B9256" s="2" t="s">
        <v>45</v>
      </c>
      <c r="C9256" s="2">
        <v>15</v>
      </c>
    </row>
    <row r="9257" spans="1:3" x14ac:dyDescent="0.25">
      <c r="A9257" s="3">
        <v>41922</v>
      </c>
      <c r="B9257" s="2" t="s">
        <v>28</v>
      </c>
      <c r="C9257" s="2">
        <v>38</v>
      </c>
    </row>
    <row r="9258" spans="1:3" x14ac:dyDescent="0.25">
      <c r="A9258" s="3">
        <v>41566</v>
      </c>
      <c r="B9258" s="2" t="s">
        <v>21</v>
      </c>
      <c r="C9258" s="2">
        <v>20</v>
      </c>
    </row>
    <row r="9259" spans="1:3" x14ac:dyDescent="0.25">
      <c r="A9259" s="3">
        <v>41532</v>
      </c>
      <c r="B9259" s="2" t="s">
        <v>31</v>
      </c>
      <c r="C9259" s="2">
        <v>39</v>
      </c>
    </row>
    <row r="9260" spans="1:3" x14ac:dyDescent="0.25">
      <c r="A9260" s="3">
        <v>41409</v>
      </c>
      <c r="B9260" s="2" t="s">
        <v>38</v>
      </c>
      <c r="C9260" s="2">
        <v>34</v>
      </c>
    </row>
    <row r="9261" spans="1:3" x14ac:dyDescent="0.25">
      <c r="A9261" s="3">
        <v>41319</v>
      </c>
      <c r="B9261" s="2" t="s">
        <v>41</v>
      </c>
      <c r="C9261" s="2">
        <v>24</v>
      </c>
    </row>
    <row r="9262" spans="1:3" x14ac:dyDescent="0.25">
      <c r="A9262" s="3">
        <v>41341</v>
      </c>
      <c r="B9262" s="2" t="s">
        <v>33</v>
      </c>
      <c r="C9262" s="2">
        <v>15</v>
      </c>
    </row>
    <row r="9263" spans="1:3" x14ac:dyDescent="0.25">
      <c r="A9263" s="3">
        <v>41535</v>
      </c>
      <c r="B9263" s="2" t="s">
        <v>51</v>
      </c>
      <c r="C9263" s="2">
        <v>41</v>
      </c>
    </row>
    <row r="9264" spans="1:3" x14ac:dyDescent="0.25">
      <c r="A9264" s="3">
        <v>41283</v>
      </c>
      <c r="B9264" s="2" t="s">
        <v>46</v>
      </c>
      <c r="C9264" s="2">
        <v>13</v>
      </c>
    </row>
    <row r="9265" spans="1:3" x14ac:dyDescent="0.25">
      <c r="A9265" s="3">
        <v>41612</v>
      </c>
      <c r="B9265" s="2" t="s">
        <v>23</v>
      </c>
      <c r="C9265" s="2">
        <v>23</v>
      </c>
    </row>
    <row r="9266" spans="1:3" x14ac:dyDescent="0.25">
      <c r="A9266" s="3">
        <v>41598</v>
      </c>
      <c r="B9266" s="2" t="s">
        <v>7</v>
      </c>
      <c r="C9266" s="2">
        <v>8</v>
      </c>
    </row>
    <row r="9267" spans="1:3" x14ac:dyDescent="0.25">
      <c r="A9267" s="3">
        <v>41305</v>
      </c>
      <c r="B9267" s="2" t="s">
        <v>10</v>
      </c>
      <c r="C9267" s="2">
        <v>46</v>
      </c>
    </row>
    <row r="9268" spans="1:3" x14ac:dyDescent="0.25">
      <c r="A9268" s="3">
        <v>41969</v>
      </c>
      <c r="B9268" s="2" t="s">
        <v>30</v>
      </c>
      <c r="C9268" s="2">
        <v>20</v>
      </c>
    </row>
    <row r="9269" spans="1:3" x14ac:dyDescent="0.25">
      <c r="A9269" s="3">
        <v>41582</v>
      </c>
      <c r="B9269" s="2" t="s">
        <v>45</v>
      </c>
      <c r="C9269" s="2">
        <v>9</v>
      </c>
    </row>
    <row r="9270" spans="1:3" x14ac:dyDescent="0.25">
      <c r="A9270" s="3">
        <v>41774</v>
      </c>
      <c r="B9270" s="2" t="s">
        <v>6</v>
      </c>
      <c r="C9270" s="2">
        <v>13</v>
      </c>
    </row>
    <row r="9271" spans="1:3" x14ac:dyDescent="0.25">
      <c r="A9271" s="3">
        <v>41325</v>
      </c>
      <c r="B9271" s="2" t="s">
        <v>36</v>
      </c>
      <c r="C9271" s="2">
        <v>23</v>
      </c>
    </row>
    <row r="9272" spans="1:3" x14ac:dyDescent="0.25">
      <c r="A9272" s="3">
        <v>41877</v>
      </c>
      <c r="B9272" s="2" t="s">
        <v>40</v>
      </c>
      <c r="C9272" s="2">
        <v>31</v>
      </c>
    </row>
    <row r="9273" spans="1:3" x14ac:dyDescent="0.25">
      <c r="A9273" s="3">
        <v>41558</v>
      </c>
      <c r="B9273" s="2" t="s">
        <v>19</v>
      </c>
      <c r="C9273" s="2">
        <v>23</v>
      </c>
    </row>
    <row r="9274" spans="1:3" x14ac:dyDescent="0.25">
      <c r="A9274" s="3">
        <v>41934</v>
      </c>
      <c r="B9274" s="2" t="s">
        <v>17</v>
      </c>
      <c r="C9274" s="2">
        <v>28</v>
      </c>
    </row>
    <row r="9275" spans="1:3" x14ac:dyDescent="0.25">
      <c r="A9275" s="3">
        <v>41791</v>
      </c>
      <c r="B9275" s="2" t="s">
        <v>14</v>
      </c>
      <c r="C9275" s="2">
        <v>28</v>
      </c>
    </row>
    <row r="9276" spans="1:3" x14ac:dyDescent="0.25">
      <c r="A9276" s="3">
        <v>41328</v>
      </c>
      <c r="B9276" s="2" t="s">
        <v>16</v>
      </c>
      <c r="C9276" s="2">
        <v>22</v>
      </c>
    </row>
    <row r="9277" spans="1:3" x14ac:dyDescent="0.25">
      <c r="A9277" s="3">
        <v>41676</v>
      </c>
      <c r="B9277" s="2" t="s">
        <v>36</v>
      </c>
      <c r="C9277" s="2">
        <v>24</v>
      </c>
    </row>
    <row r="9278" spans="1:3" x14ac:dyDescent="0.25">
      <c r="A9278" s="3">
        <v>41712</v>
      </c>
      <c r="B9278" s="2" t="s">
        <v>22</v>
      </c>
      <c r="C9278" s="2">
        <v>14</v>
      </c>
    </row>
    <row r="9279" spans="1:3" x14ac:dyDescent="0.25">
      <c r="A9279" s="3">
        <v>41998</v>
      </c>
      <c r="B9279" s="2" t="s">
        <v>40</v>
      </c>
      <c r="C9279" s="2">
        <v>16</v>
      </c>
    </row>
    <row r="9280" spans="1:3" x14ac:dyDescent="0.25">
      <c r="A9280" s="3">
        <v>41865</v>
      </c>
      <c r="B9280" s="2" t="s">
        <v>17</v>
      </c>
      <c r="C9280" s="2">
        <v>43</v>
      </c>
    </row>
    <row r="9281" spans="1:3" x14ac:dyDescent="0.25">
      <c r="A9281" s="3">
        <v>41360</v>
      </c>
      <c r="B9281" s="2" t="s">
        <v>29</v>
      </c>
      <c r="C9281" s="2">
        <v>33</v>
      </c>
    </row>
    <row r="9282" spans="1:3" x14ac:dyDescent="0.25">
      <c r="A9282" s="3">
        <v>41517</v>
      </c>
      <c r="B9282" s="2" t="s">
        <v>29</v>
      </c>
      <c r="C9282" s="2">
        <v>3</v>
      </c>
    </row>
    <row r="9283" spans="1:3" x14ac:dyDescent="0.25">
      <c r="A9283" s="3">
        <v>41716</v>
      </c>
      <c r="B9283" s="2" t="s">
        <v>27</v>
      </c>
      <c r="C9283" s="2">
        <v>20</v>
      </c>
    </row>
    <row r="9284" spans="1:3" x14ac:dyDescent="0.25">
      <c r="A9284" s="3">
        <v>41628</v>
      </c>
      <c r="B9284" s="2" t="s">
        <v>25</v>
      </c>
      <c r="C9284" s="2">
        <v>43</v>
      </c>
    </row>
    <row r="9285" spans="1:3" x14ac:dyDescent="0.25">
      <c r="A9285" s="3">
        <v>41525</v>
      </c>
      <c r="B9285" s="2" t="s">
        <v>42</v>
      </c>
      <c r="C9285" s="2">
        <v>37</v>
      </c>
    </row>
    <row r="9286" spans="1:3" x14ac:dyDescent="0.25">
      <c r="A9286" s="3">
        <v>41983</v>
      </c>
      <c r="B9286" s="2" t="s">
        <v>12</v>
      </c>
      <c r="C9286" s="2">
        <v>20</v>
      </c>
    </row>
    <row r="9287" spans="1:3" x14ac:dyDescent="0.25">
      <c r="A9287" s="3">
        <v>41801</v>
      </c>
      <c r="B9287" s="2" t="s">
        <v>6</v>
      </c>
      <c r="C9287" s="2">
        <v>28</v>
      </c>
    </row>
    <row r="9288" spans="1:3" x14ac:dyDescent="0.25">
      <c r="A9288" s="3">
        <v>41391</v>
      </c>
      <c r="B9288" s="2" t="s">
        <v>12</v>
      </c>
      <c r="C9288" s="2">
        <v>32</v>
      </c>
    </row>
    <row r="9289" spans="1:3" x14ac:dyDescent="0.25">
      <c r="A9289" s="3">
        <v>41795</v>
      </c>
      <c r="B9289" s="2" t="s">
        <v>44</v>
      </c>
      <c r="C9289" s="2">
        <v>6</v>
      </c>
    </row>
    <row r="9290" spans="1:3" x14ac:dyDescent="0.25">
      <c r="A9290" s="3">
        <v>41498</v>
      </c>
      <c r="B9290" s="2" t="s">
        <v>50</v>
      </c>
      <c r="C9290" s="2">
        <v>5</v>
      </c>
    </row>
    <row r="9291" spans="1:3" x14ac:dyDescent="0.25">
      <c r="A9291" s="3">
        <v>41607</v>
      </c>
      <c r="B9291" s="2" t="s">
        <v>20</v>
      </c>
      <c r="C9291" s="2">
        <v>14</v>
      </c>
    </row>
    <row r="9292" spans="1:3" x14ac:dyDescent="0.25">
      <c r="A9292" s="3">
        <v>41825</v>
      </c>
      <c r="B9292" s="2" t="s">
        <v>12</v>
      </c>
      <c r="C9292" s="2">
        <v>48</v>
      </c>
    </row>
    <row r="9293" spans="1:3" x14ac:dyDescent="0.25">
      <c r="A9293" s="3">
        <v>41941</v>
      </c>
      <c r="B9293" s="2" t="s">
        <v>25</v>
      </c>
      <c r="C9293" s="2">
        <v>4</v>
      </c>
    </row>
    <row r="9294" spans="1:3" x14ac:dyDescent="0.25">
      <c r="A9294" s="3">
        <v>41876</v>
      </c>
      <c r="B9294" s="2" t="s">
        <v>28</v>
      </c>
      <c r="C9294" s="2">
        <v>33</v>
      </c>
    </row>
    <row r="9295" spans="1:3" x14ac:dyDescent="0.25">
      <c r="A9295" s="3">
        <v>41361</v>
      </c>
      <c r="B9295" s="2" t="s">
        <v>7</v>
      </c>
      <c r="C9295" s="2">
        <v>10</v>
      </c>
    </row>
    <row r="9296" spans="1:3" x14ac:dyDescent="0.25">
      <c r="A9296" s="3">
        <v>41988</v>
      </c>
      <c r="B9296" s="2" t="s">
        <v>34</v>
      </c>
      <c r="C9296" s="2">
        <v>49</v>
      </c>
    </row>
    <row r="9297" spans="1:3" x14ac:dyDescent="0.25">
      <c r="A9297" s="3">
        <v>41653</v>
      </c>
      <c r="B9297" s="2" t="s">
        <v>43</v>
      </c>
      <c r="C9297" s="2">
        <v>2</v>
      </c>
    </row>
    <row r="9298" spans="1:3" x14ac:dyDescent="0.25">
      <c r="A9298" s="3">
        <v>41278</v>
      </c>
      <c r="B9298" s="2" t="s">
        <v>2</v>
      </c>
      <c r="C9298" s="2">
        <v>57</v>
      </c>
    </row>
    <row r="9299" spans="1:3" x14ac:dyDescent="0.25">
      <c r="A9299" s="3">
        <v>41900</v>
      </c>
      <c r="B9299" s="2" t="s">
        <v>38</v>
      </c>
      <c r="C9299" s="2">
        <v>25</v>
      </c>
    </row>
    <row r="9300" spans="1:3" x14ac:dyDescent="0.25">
      <c r="A9300" s="3">
        <v>41623</v>
      </c>
      <c r="B9300" s="2" t="s">
        <v>31</v>
      </c>
      <c r="C9300" s="2">
        <v>11</v>
      </c>
    </row>
    <row r="9301" spans="1:3" x14ac:dyDescent="0.25">
      <c r="A9301" s="3">
        <v>41625</v>
      </c>
      <c r="B9301" s="2" t="s">
        <v>11</v>
      </c>
      <c r="C9301" s="2">
        <v>40</v>
      </c>
    </row>
    <row r="9302" spans="1:3" x14ac:dyDescent="0.25">
      <c r="A9302" s="3">
        <v>41765</v>
      </c>
      <c r="B9302" s="2" t="s">
        <v>28</v>
      </c>
      <c r="C9302" s="2">
        <v>62</v>
      </c>
    </row>
    <row r="9303" spans="1:3" x14ac:dyDescent="0.25">
      <c r="A9303" s="3">
        <v>41842</v>
      </c>
      <c r="B9303" s="2" t="s">
        <v>3</v>
      </c>
      <c r="C9303" s="2">
        <v>36</v>
      </c>
    </row>
    <row r="9304" spans="1:3" x14ac:dyDescent="0.25">
      <c r="A9304" s="3">
        <v>41788</v>
      </c>
      <c r="B9304" s="2" t="s">
        <v>18</v>
      </c>
      <c r="C9304" s="2">
        <v>24</v>
      </c>
    </row>
    <row r="9305" spans="1:3" x14ac:dyDescent="0.25">
      <c r="A9305" s="3">
        <v>41875</v>
      </c>
      <c r="B9305" s="2" t="s">
        <v>42</v>
      </c>
      <c r="C9305" s="2">
        <v>16</v>
      </c>
    </row>
    <row r="9306" spans="1:3" x14ac:dyDescent="0.25">
      <c r="A9306" s="3">
        <v>41603</v>
      </c>
      <c r="B9306" s="2" t="s">
        <v>20</v>
      </c>
      <c r="C9306" s="2">
        <v>48</v>
      </c>
    </row>
    <row r="9307" spans="1:3" x14ac:dyDescent="0.25">
      <c r="A9307" s="3">
        <v>41982</v>
      </c>
      <c r="B9307" s="2" t="s">
        <v>48</v>
      </c>
      <c r="C9307" s="2">
        <v>52</v>
      </c>
    </row>
    <row r="9308" spans="1:3" x14ac:dyDescent="0.25">
      <c r="A9308" s="3">
        <v>41757</v>
      </c>
      <c r="B9308" s="2" t="s">
        <v>12</v>
      </c>
      <c r="C9308" s="2">
        <v>52</v>
      </c>
    </row>
    <row r="9309" spans="1:3" x14ac:dyDescent="0.25">
      <c r="A9309" s="3">
        <v>41404</v>
      </c>
      <c r="B9309" s="2" t="s">
        <v>34</v>
      </c>
      <c r="C9309" s="2">
        <v>17</v>
      </c>
    </row>
    <row r="9310" spans="1:3" x14ac:dyDescent="0.25">
      <c r="A9310" s="3">
        <v>41845</v>
      </c>
      <c r="B9310" s="2" t="s">
        <v>35</v>
      </c>
      <c r="C9310" s="2">
        <v>52</v>
      </c>
    </row>
    <row r="9311" spans="1:3" x14ac:dyDescent="0.25">
      <c r="A9311" s="3">
        <v>41991</v>
      </c>
      <c r="B9311" s="2" t="s">
        <v>9</v>
      </c>
      <c r="C9311" s="2">
        <v>9</v>
      </c>
    </row>
    <row r="9312" spans="1:3" x14ac:dyDescent="0.25">
      <c r="A9312" s="3">
        <v>41688</v>
      </c>
      <c r="B9312" s="2" t="s">
        <v>45</v>
      </c>
      <c r="C9312" s="2">
        <v>6</v>
      </c>
    </row>
    <row r="9313" spans="1:3" x14ac:dyDescent="0.25">
      <c r="A9313" s="3">
        <v>41896</v>
      </c>
      <c r="B9313" s="2" t="s">
        <v>24</v>
      </c>
      <c r="C9313" s="2">
        <v>20</v>
      </c>
    </row>
    <row r="9314" spans="1:3" x14ac:dyDescent="0.25">
      <c r="A9314" s="3">
        <v>41448</v>
      </c>
      <c r="B9314" s="2" t="s">
        <v>28</v>
      </c>
      <c r="C9314" s="2">
        <v>40</v>
      </c>
    </row>
    <row r="9315" spans="1:3" x14ac:dyDescent="0.25">
      <c r="A9315" s="3">
        <v>41364</v>
      </c>
      <c r="B9315" s="2" t="s">
        <v>38</v>
      </c>
      <c r="C9315" s="2">
        <v>25</v>
      </c>
    </row>
    <row r="9316" spans="1:3" x14ac:dyDescent="0.25">
      <c r="A9316" s="3">
        <v>41812</v>
      </c>
      <c r="B9316" s="2" t="s">
        <v>45</v>
      </c>
      <c r="C9316" s="2">
        <v>30</v>
      </c>
    </row>
    <row r="9317" spans="1:3" x14ac:dyDescent="0.25">
      <c r="A9317" s="3">
        <v>41864</v>
      </c>
      <c r="B9317" s="2" t="s">
        <v>17</v>
      </c>
      <c r="C9317" s="2">
        <v>23</v>
      </c>
    </row>
    <row r="9318" spans="1:3" x14ac:dyDescent="0.25">
      <c r="A9318" s="3">
        <v>41497</v>
      </c>
      <c r="B9318" s="2" t="s">
        <v>11</v>
      </c>
      <c r="C9318" s="2">
        <v>17</v>
      </c>
    </row>
    <row r="9319" spans="1:3" x14ac:dyDescent="0.25">
      <c r="A9319" s="3">
        <v>41722</v>
      </c>
      <c r="B9319" s="2" t="s">
        <v>15</v>
      </c>
      <c r="C9319" s="2">
        <v>16</v>
      </c>
    </row>
    <row r="9320" spans="1:3" x14ac:dyDescent="0.25">
      <c r="A9320" s="3">
        <v>41902</v>
      </c>
      <c r="B9320" s="2" t="s">
        <v>35</v>
      </c>
      <c r="C9320" s="2">
        <v>30</v>
      </c>
    </row>
    <row r="9321" spans="1:3" x14ac:dyDescent="0.25">
      <c r="A9321" s="3">
        <v>41801</v>
      </c>
      <c r="B9321" s="2" t="s">
        <v>21</v>
      </c>
      <c r="C9321" s="2">
        <v>51</v>
      </c>
    </row>
    <row r="9322" spans="1:3" x14ac:dyDescent="0.25">
      <c r="A9322" s="3">
        <v>41471</v>
      </c>
      <c r="B9322" s="2" t="s">
        <v>26</v>
      </c>
      <c r="C9322" s="2">
        <v>12</v>
      </c>
    </row>
    <row r="9323" spans="1:3" x14ac:dyDescent="0.25">
      <c r="A9323" s="3">
        <v>42003</v>
      </c>
      <c r="B9323" s="2" t="s">
        <v>13</v>
      </c>
      <c r="C9323" s="2">
        <v>35</v>
      </c>
    </row>
    <row r="9324" spans="1:3" x14ac:dyDescent="0.25">
      <c r="A9324" s="3">
        <v>41824</v>
      </c>
      <c r="B9324" s="2" t="s">
        <v>13</v>
      </c>
      <c r="C9324" s="2">
        <v>32</v>
      </c>
    </row>
    <row r="9325" spans="1:3" x14ac:dyDescent="0.25">
      <c r="A9325" s="3">
        <v>41748</v>
      </c>
      <c r="B9325" s="2" t="s">
        <v>22</v>
      </c>
      <c r="C9325" s="2">
        <v>71</v>
      </c>
    </row>
    <row r="9326" spans="1:3" x14ac:dyDescent="0.25">
      <c r="A9326" s="3">
        <v>41616</v>
      </c>
      <c r="B9326" s="2" t="s">
        <v>30</v>
      </c>
      <c r="C9326" s="2">
        <v>36</v>
      </c>
    </row>
    <row r="9327" spans="1:3" x14ac:dyDescent="0.25">
      <c r="A9327" s="3">
        <v>41372</v>
      </c>
      <c r="B9327" s="2" t="s">
        <v>11</v>
      </c>
      <c r="C9327" s="2">
        <v>3</v>
      </c>
    </row>
    <row r="9328" spans="1:3" x14ac:dyDescent="0.25">
      <c r="A9328" s="3">
        <v>41454</v>
      </c>
      <c r="B9328" s="2" t="s">
        <v>20</v>
      </c>
      <c r="C9328" s="2">
        <v>41</v>
      </c>
    </row>
    <row r="9329" spans="1:3" x14ac:dyDescent="0.25">
      <c r="A9329" s="3">
        <v>41554</v>
      </c>
      <c r="B9329" s="2" t="s">
        <v>13</v>
      </c>
      <c r="C9329" s="2">
        <v>27</v>
      </c>
    </row>
    <row r="9330" spans="1:3" x14ac:dyDescent="0.25">
      <c r="A9330" s="3">
        <v>41397</v>
      </c>
      <c r="B9330" s="2" t="s">
        <v>38</v>
      </c>
      <c r="C9330" s="2">
        <v>34</v>
      </c>
    </row>
    <row r="9331" spans="1:3" x14ac:dyDescent="0.25">
      <c r="A9331" s="3">
        <v>41699</v>
      </c>
      <c r="B9331" s="2" t="s">
        <v>25</v>
      </c>
      <c r="C9331" s="2">
        <v>13</v>
      </c>
    </row>
    <row r="9332" spans="1:3" x14ac:dyDescent="0.25">
      <c r="A9332" s="3">
        <v>41592</v>
      </c>
      <c r="B9332" s="2" t="s">
        <v>38</v>
      </c>
      <c r="C9332" s="2">
        <v>31</v>
      </c>
    </row>
    <row r="9333" spans="1:3" x14ac:dyDescent="0.25">
      <c r="A9333" s="3">
        <v>41736</v>
      </c>
      <c r="B9333" s="2" t="s">
        <v>37</v>
      </c>
      <c r="C9333" s="2">
        <v>29</v>
      </c>
    </row>
    <row r="9334" spans="1:3" x14ac:dyDescent="0.25">
      <c r="A9334" s="3">
        <v>41893</v>
      </c>
      <c r="B9334" s="2" t="s">
        <v>16</v>
      </c>
      <c r="C9334" s="2">
        <v>23</v>
      </c>
    </row>
    <row r="9335" spans="1:3" x14ac:dyDescent="0.25">
      <c r="A9335" s="3">
        <v>41347</v>
      </c>
      <c r="B9335" s="2" t="s">
        <v>43</v>
      </c>
      <c r="C9335" s="2">
        <v>4</v>
      </c>
    </row>
    <row r="9336" spans="1:3" x14ac:dyDescent="0.25">
      <c r="A9336" s="3">
        <v>41597</v>
      </c>
      <c r="B9336" s="2" t="s">
        <v>34</v>
      </c>
      <c r="C9336" s="2">
        <v>28</v>
      </c>
    </row>
    <row r="9337" spans="1:3" x14ac:dyDescent="0.25">
      <c r="A9337" s="3">
        <v>41818</v>
      </c>
      <c r="B9337" s="2" t="s">
        <v>51</v>
      </c>
      <c r="C9337" s="2">
        <v>20</v>
      </c>
    </row>
    <row r="9338" spans="1:3" x14ac:dyDescent="0.25">
      <c r="A9338" s="3">
        <v>41495</v>
      </c>
      <c r="B9338" s="2" t="s">
        <v>41</v>
      </c>
      <c r="C9338" s="2">
        <v>13</v>
      </c>
    </row>
    <row r="9339" spans="1:3" x14ac:dyDescent="0.25">
      <c r="A9339" s="3">
        <v>41304</v>
      </c>
      <c r="B9339" s="2" t="s">
        <v>31</v>
      </c>
      <c r="C9339" s="2">
        <v>26</v>
      </c>
    </row>
    <row r="9340" spans="1:3" x14ac:dyDescent="0.25">
      <c r="A9340" s="3">
        <v>41819</v>
      </c>
      <c r="B9340" s="2" t="s">
        <v>48</v>
      </c>
      <c r="C9340" s="2">
        <v>19</v>
      </c>
    </row>
    <row r="9341" spans="1:3" x14ac:dyDescent="0.25">
      <c r="A9341" s="3">
        <v>41511</v>
      </c>
      <c r="B9341" s="2" t="s">
        <v>50</v>
      </c>
      <c r="C9341" s="2">
        <v>26</v>
      </c>
    </row>
    <row r="9342" spans="1:3" x14ac:dyDescent="0.25">
      <c r="A9342" s="3">
        <v>41462</v>
      </c>
      <c r="B9342" s="2" t="s">
        <v>20</v>
      </c>
      <c r="C9342" s="2">
        <v>5</v>
      </c>
    </row>
    <row r="9343" spans="1:3" x14ac:dyDescent="0.25">
      <c r="A9343" s="3">
        <v>41989</v>
      </c>
      <c r="B9343" s="2" t="s">
        <v>38</v>
      </c>
      <c r="C9343" s="2">
        <v>16</v>
      </c>
    </row>
    <row r="9344" spans="1:3" x14ac:dyDescent="0.25">
      <c r="A9344" s="3">
        <v>41736</v>
      </c>
      <c r="B9344" s="2" t="s">
        <v>24</v>
      </c>
      <c r="C9344" s="2">
        <v>48</v>
      </c>
    </row>
    <row r="9345" spans="1:3" x14ac:dyDescent="0.25">
      <c r="A9345" s="3">
        <v>41501</v>
      </c>
      <c r="B9345" s="2" t="s">
        <v>36</v>
      </c>
      <c r="C9345" s="2">
        <v>54</v>
      </c>
    </row>
    <row r="9346" spans="1:3" x14ac:dyDescent="0.25">
      <c r="A9346" s="3">
        <v>41314</v>
      </c>
      <c r="B9346" s="2" t="s">
        <v>21</v>
      </c>
      <c r="C9346" s="2">
        <v>44</v>
      </c>
    </row>
    <row r="9347" spans="1:3" x14ac:dyDescent="0.25">
      <c r="A9347" s="3">
        <v>41763</v>
      </c>
      <c r="B9347" s="2" t="s">
        <v>40</v>
      </c>
      <c r="C9347" s="2">
        <v>39</v>
      </c>
    </row>
    <row r="9348" spans="1:3" x14ac:dyDescent="0.25">
      <c r="A9348" s="3">
        <v>41420</v>
      </c>
      <c r="B9348" s="2" t="s">
        <v>17</v>
      </c>
      <c r="C9348" s="2">
        <v>45</v>
      </c>
    </row>
    <row r="9349" spans="1:3" x14ac:dyDescent="0.25">
      <c r="A9349" s="3">
        <v>41669</v>
      </c>
      <c r="B9349" s="2" t="s">
        <v>35</v>
      </c>
      <c r="C9349" s="2">
        <v>11</v>
      </c>
    </row>
    <row r="9350" spans="1:3" x14ac:dyDescent="0.25">
      <c r="A9350" s="3">
        <v>41938</v>
      </c>
      <c r="B9350" s="2" t="s">
        <v>4</v>
      </c>
      <c r="C9350" s="2">
        <v>29</v>
      </c>
    </row>
    <row r="9351" spans="1:3" x14ac:dyDescent="0.25">
      <c r="A9351" s="3">
        <v>41772</v>
      </c>
      <c r="B9351" s="2" t="s">
        <v>36</v>
      </c>
      <c r="C9351" s="2">
        <v>23</v>
      </c>
    </row>
    <row r="9352" spans="1:3" x14ac:dyDescent="0.25">
      <c r="A9352" s="3">
        <v>41570</v>
      </c>
      <c r="B9352" s="2" t="s">
        <v>47</v>
      </c>
      <c r="C9352" s="2">
        <v>6</v>
      </c>
    </row>
    <row r="9353" spans="1:3" x14ac:dyDescent="0.25">
      <c r="A9353" s="3">
        <v>41553</v>
      </c>
      <c r="B9353" s="2" t="s">
        <v>42</v>
      </c>
      <c r="C9353" s="2">
        <v>16</v>
      </c>
    </row>
    <row r="9354" spans="1:3" x14ac:dyDescent="0.25">
      <c r="A9354" s="3">
        <v>41879</v>
      </c>
      <c r="B9354" s="2" t="s">
        <v>33</v>
      </c>
      <c r="C9354" s="2">
        <v>4</v>
      </c>
    </row>
    <row r="9355" spans="1:3" x14ac:dyDescent="0.25">
      <c r="A9355" s="3">
        <v>41523</v>
      </c>
      <c r="B9355" s="2" t="s">
        <v>23</v>
      </c>
      <c r="C9355" s="2">
        <v>38</v>
      </c>
    </row>
    <row r="9356" spans="1:3" x14ac:dyDescent="0.25">
      <c r="A9356" s="3">
        <v>41728</v>
      </c>
      <c r="B9356" s="2" t="s">
        <v>24</v>
      </c>
      <c r="C9356" s="2">
        <v>50</v>
      </c>
    </row>
    <row r="9357" spans="1:3" x14ac:dyDescent="0.25">
      <c r="A9357" s="3">
        <v>41682</v>
      </c>
      <c r="B9357" s="2" t="s">
        <v>33</v>
      </c>
      <c r="C9357" s="2">
        <v>15</v>
      </c>
    </row>
    <row r="9358" spans="1:3" x14ac:dyDescent="0.25">
      <c r="A9358" s="3">
        <v>41776</v>
      </c>
      <c r="B9358" s="2" t="s">
        <v>33</v>
      </c>
      <c r="C9358" s="2">
        <v>11</v>
      </c>
    </row>
    <row r="9359" spans="1:3" x14ac:dyDescent="0.25">
      <c r="A9359" s="3">
        <v>41301</v>
      </c>
      <c r="B9359" s="2" t="s">
        <v>12</v>
      </c>
      <c r="C9359" s="2">
        <v>36</v>
      </c>
    </row>
    <row r="9360" spans="1:3" x14ac:dyDescent="0.25">
      <c r="A9360" s="3">
        <v>41619</v>
      </c>
      <c r="B9360" s="2" t="s">
        <v>21</v>
      </c>
      <c r="C9360" s="2">
        <v>34</v>
      </c>
    </row>
    <row r="9361" spans="1:3" x14ac:dyDescent="0.25">
      <c r="A9361" s="3">
        <v>41392</v>
      </c>
      <c r="B9361" s="2" t="s">
        <v>46</v>
      </c>
      <c r="C9361" s="2">
        <v>8</v>
      </c>
    </row>
    <row r="9362" spans="1:3" x14ac:dyDescent="0.25">
      <c r="A9362" s="3">
        <v>41657</v>
      </c>
      <c r="B9362" s="2" t="s">
        <v>51</v>
      </c>
      <c r="C9362" s="2">
        <v>28</v>
      </c>
    </row>
    <row r="9363" spans="1:3" x14ac:dyDescent="0.25">
      <c r="A9363" s="3">
        <v>41809</v>
      </c>
      <c r="B9363" s="2" t="s">
        <v>17</v>
      </c>
      <c r="C9363" s="2">
        <v>32</v>
      </c>
    </row>
    <row r="9364" spans="1:3" x14ac:dyDescent="0.25">
      <c r="A9364" s="3">
        <v>41597</v>
      </c>
      <c r="B9364" s="2" t="s">
        <v>8</v>
      </c>
      <c r="C9364" s="2">
        <v>9</v>
      </c>
    </row>
    <row r="9365" spans="1:3" x14ac:dyDescent="0.25">
      <c r="A9365" s="3">
        <v>41372</v>
      </c>
      <c r="B9365" s="2" t="s">
        <v>34</v>
      </c>
      <c r="C9365" s="2">
        <v>21</v>
      </c>
    </row>
    <row r="9366" spans="1:3" x14ac:dyDescent="0.25">
      <c r="A9366" s="3">
        <v>41929</v>
      </c>
      <c r="B9366" s="2" t="s">
        <v>25</v>
      </c>
      <c r="C9366" s="2">
        <v>4</v>
      </c>
    </row>
    <row r="9367" spans="1:3" x14ac:dyDescent="0.25">
      <c r="A9367" s="3">
        <v>41500</v>
      </c>
      <c r="B9367" s="2" t="s">
        <v>39</v>
      </c>
      <c r="C9367" s="2">
        <v>30</v>
      </c>
    </row>
    <row r="9368" spans="1:3" x14ac:dyDescent="0.25">
      <c r="A9368" s="3">
        <v>41777</v>
      </c>
      <c r="B9368" s="2" t="s">
        <v>43</v>
      </c>
      <c r="C9368" s="2">
        <v>18</v>
      </c>
    </row>
    <row r="9369" spans="1:3" x14ac:dyDescent="0.25">
      <c r="A9369" s="3">
        <v>41430</v>
      </c>
      <c r="B9369" s="2" t="s">
        <v>9</v>
      </c>
      <c r="C9369" s="2">
        <v>24</v>
      </c>
    </row>
    <row r="9370" spans="1:3" x14ac:dyDescent="0.25">
      <c r="A9370" s="3">
        <v>41825</v>
      </c>
      <c r="B9370" s="2" t="s">
        <v>4</v>
      </c>
      <c r="C9370" s="2">
        <v>61</v>
      </c>
    </row>
    <row r="9371" spans="1:3" x14ac:dyDescent="0.25">
      <c r="A9371" s="3">
        <v>41477</v>
      </c>
      <c r="B9371" s="2" t="s">
        <v>22</v>
      </c>
      <c r="C9371" s="2">
        <v>6</v>
      </c>
    </row>
    <row r="9372" spans="1:3" x14ac:dyDescent="0.25">
      <c r="A9372" s="3">
        <v>41516</v>
      </c>
      <c r="B9372" s="2" t="s">
        <v>33</v>
      </c>
      <c r="C9372" s="2">
        <v>31</v>
      </c>
    </row>
    <row r="9373" spans="1:3" x14ac:dyDescent="0.25">
      <c r="A9373" s="3">
        <v>41644</v>
      </c>
      <c r="B9373" s="2" t="s">
        <v>35</v>
      </c>
      <c r="C9373" s="2">
        <v>18</v>
      </c>
    </row>
    <row r="9374" spans="1:3" x14ac:dyDescent="0.25">
      <c r="A9374" s="3">
        <v>41777</v>
      </c>
      <c r="B9374" s="2" t="s">
        <v>4</v>
      </c>
      <c r="C9374" s="2">
        <v>45</v>
      </c>
    </row>
    <row r="9375" spans="1:3" x14ac:dyDescent="0.25">
      <c r="A9375" s="3">
        <v>41895</v>
      </c>
      <c r="B9375" s="2" t="s">
        <v>11</v>
      </c>
      <c r="C9375" s="2">
        <v>44</v>
      </c>
    </row>
    <row r="9376" spans="1:3" x14ac:dyDescent="0.25">
      <c r="A9376" s="3">
        <v>41293</v>
      </c>
      <c r="B9376" s="2" t="s">
        <v>3</v>
      </c>
      <c r="C9376" s="2">
        <v>39</v>
      </c>
    </row>
    <row r="9377" spans="1:3" x14ac:dyDescent="0.25">
      <c r="A9377" s="3">
        <v>41957</v>
      </c>
      <c r="B9377" s="2" t="s">
        <v>6</v>
      </c>
      <c r="C9377" s="2">
        <v>59</v>
      </c>
    </row>
    <row r="9378" spans="1:3" x14ac:dyDescent="0.25">
      <c r="A9378" s="3">
        <v>41419</v>
      </c>
      <c r="B9378" s="2" t="s">
        <v>46</v>
      </c>
      <c r="C9378" s="2">
        <v>3</v>
      </c>
    </row>
    <row r="9379" spans="1:3" x14ac:dyDescent="0.25">
      <c r="A9379" s="3">
        <v>41737</v>
      </c>
      <c r="B9379" s="2" t="s">
        <v>29</v>
      </c>
      <c r="C9379" s="2">
        <v>38</v>
      </c>
    </row>
    <row r="9380" spans="1:3" x14ac:dyDescent="0.25">
      <c r="A9380" s="3">
        <v>41807</v>
      </c>
      <c r="B9380" s="2" t="s">
        <v>31</v>
      </c>
      <c r="C9380" s="2">
        <v>23</v>
      </c>
    </row>
    <row r="9381" spans="1:3" x14ac:dyDescent="0.25">
      <c r="A9381" s="3">
        <v>41325</v>
      </c>
      <c r="B9381" s="2" t="s">
        <v>46</v>
      </c>
      <c r="C9381" s="2">
        <v>11</v>
      </c>
    </row>
    <row r="9382" spans="1:3" x14ac:dyDescent="0.25">
      <c r="A9382" s="3">
        <v>41740</v>
      </c>
      <c r="B9382" s="2" t="s">
        <v>20</v>
      </c>
      <c r="C9382" s="2">
        <v>32</v>
      </c>
    </row>
    <row r="9383" spans="1:3" x14ac:dyDescent="0.25">
      <c r="A9383" s="3">
        <v>41793</v>
      </c>
      <c r="B9383" s="2" t="s">
        <v>44</v>
      </c>
      <c r="C9383" s="2">
        <v>34</v>
      </c>
    </row>
    <row r="9384" spans="1:3" x14ac:dyDescent="0.25">
      <c r="A9384" s="3">
        <v>41502</v>
      </c>
      <c r="B9384" s="2" t="s">
        <v>26</v>
      </c>
      <c r="C9384" s="2">
        <v>12</v>
      </c>
    </row>
    <row r="9385" spans="1:3" x14ac:dyDescent="0.25">
      <c r="A9385" s="3">
        <v>41708</v>
      </c>
      <c r="B9385" s="2" t="s">
        <v>9</v>
      </c>
      <c r="C9385" s="2">
        <v>3</v>
      </c>
    </row>
    <row r="9386" spans="1:3" x14ac:dyDescent="0.25">
      <c r="A9386" s="3">
        <v>41830</v>
      </c>
      <c r="B9386" s="2" t="s">
        <v>8</v>
      </c>
      <c r="C9386" s="2">
        <v>22</v>
      </c>
    </row>
    <row r="9387" spans="1:3" x14ac:dyDescent="0.25">
      <c r="A9387" s="3">
        <v>41812</v>
      </c>
      <c r="B9387" s="2" t="s">
        <v>17</v>
      </c>
      <c r="C9387" s="2">
        <v>51</v>
      </c>
    </row>
    <row r="9388" spans="1:3" x14ac:dyDescent="0.25">
      <c r="A9388" s="3">
        <v>41377</v>
      </c>
      <c r="B9388" s="2" t="s">
        <v>35</v>
      </c>
      <c r="C9388" s="2">
        <v>26</v>
      </c>
    </row>
    <row r="9389" spans="1:3" x14ac:dyDescent="0.25">
      <c r="A9389" s="3">
        <v>41311</v>
      </c>
      <c r="B9389" s="2" t="s">
        <v>12</v>
      </c>
      <c r="C9389" s="2">
        <v>13</v>
      </c>
    </row>
    <row r="9390" spans="1:3" x14ac:dyDescent="0.25">
      <c r="A9390" s="3">
        <v>41295</v>
      </c>
      <c r="B9390" s="2" t="s">
        <v>13</v>
      </c>
      <c r="C9390" s="2">
        <v>4</v>
      </c>
    </row>
    <row r="9391" spans="1:3" x14ac:dyDescent="0.25">
      <c r="A9391" s="3">
        <v>41969</v>
      </c>
      <c r="B9391" s="2" t="s">
        <v>17</v>
      </c>
      <c r="C9391" s="2">
        <v>41</v>
      </c>
    </row>
    <row r="9392" spans="1:3" x14ac:dyDescent="0.25">
      <c r="A9392" s="3">
        <v>41698</v>
      </c>
      <c r="B9392" s="2" t="s">
        <v>37</v>
      </c>
      <c r="C9392" s="2">
        <v>12</v>
      </c>
    </row>
    <row r="9393" spans="1:3" x14ac:dyDescent="0.25">
      <c r="A9393" s="3">
        <v>41545</v>
      </c>
      <c r="B9393" s="2" t="s">
        <v>22</v>
      </c>
      <c r="C9393" s="2">
        <v>6</v>
      </c>
    </row>
    <row r="9394" spans="1:3" x14ac:dyDescent="0.25">
      <c r="A9394" s="3">
        <v>41966</v>
      </c>
      <c r="B9394" s="2" t="s">
        <v>49</v>
      </c>
      <c r="C9394" s="2">
        <v>2</v>
      </c>
    </row>
    <row r="9395" spans="1:3" x14ac:dyDescent="0.25">
      <c r="A9395" s="3">
        <v>41407</v>
      </c>
      <c r="B9395" s="2" t="s">
        <v>39</v>
      </c>
      <c r="C9395" s="2">
        <v>16</v>
      </c>
    </row>
    <row r="9396" spans="1:3" x14ac:dyDescent="0.25">
      <c r="A9396" s="3">
        <v>41400</v>
      </c>
      <c r="B9396" s="2" t="s">
        <v>22</v>
      </c>
      <c r="C9396" s="2">
        <v>3</v>
      </c>
    </row>
    <row r="9397" spans="1:3" x14ac:dyDescent="0.25">
      <c r="A9397" s="3">
        <v>41632</v>
      </c>
      <c r="B9397" s="2" t="s">
        <v>12</v>
      </c>
      <c r="C9397" s="2">
        <v>24</v>
      </c>
    </row>
    <row r="9398" spans="1:3" x14ac:dyDescent="0.25">
      <c r="A9398" s="3">
        <v>41985</v>
      </c>
      <c r="B9398" s="2" t="s">
        <v>20</v>
      </c>
      <c r="C9398" s="2">
        <v>24</v>
      </c>
    </row>
    <row r="9399" spans="1:3" x14ac:dyDescent="0.25">
      <c r="A9399" s="3">
        <v>41814</v>
      </c>
      <c r="B9399" s="2" t="s">
        <v>31</v>
      </c>
      <c r="C9399" s="2">
        <v>41</v>
      </c>
    </row>
    <row r="9400" spans="1:3" x14ac:dyDescent="0.25">
      <c r="A9400" s="3">
        <v>41990</v>
      </c>
      <c r="B9400" s="2" t="s">
        <v>18</v>
      </c>
      <c r="C9400" s="2">
        <v>1</v>
      </c>
    </row>
    <row r="9401" spans="1:3" x14ac:dyDescent="0.25">
      <c r="A9401" s="3">
        <v>41879</v>
      </c>
      <c r="B9401" s="2" t="s">
        <v>23</v>
      </c>
      <c r="C9401" s="2">
        <v>0</v>
      </c>
    </row>
    <row r="9402" spans="1:3" x14ac:dyDescent="0.25">
      <c r="A9402" s="3">
        <v>41286</v>
      </c>
      <c r="B9402" s="2" t="s">
        <v>51</v>
      </c>
      <c r="C9402" s="2">
        <v>40</v>
      </c>
    </row>
    <row r="9403" spans="1:3" x14ac:dyDescent="0.25">
      <c r="A9403" s="3">
        <v>41691</v>
      </c>
      <c r="B9403" s="2" t="s">
        <v>49</v>
      </c>
      <c r="C9403" s="2">
        <v>30</v>
      </c>
    </row>
    <row r="9404" spans="1:3" x14ac:dyDescent="0.25">
      <c r="A9404" s="3">
        <v>41569</v>
      </c>
      <c r="B9404" s="2" t="s">
        <v>27</v>
      </c>
      <c r="C9404" s="2">
        <v>35</v>
      </c>
    </row>
    <row r="9405" spans="1:3" x14ac:dyDescent="0.25">
      <c r="A9405" s="3">
        <v>41963</v>
      </c>
      <c r="B9405" s="2" t="s">
        <v>10</v>
      </c>
      <c r="C9405" s="2">
        <v>40</v>
      </c>
    </row>
    <row r="9406" spans="1:3" x14ac:dyDescent="0.25">
      <c r="A9406" s="3">
        <v>41767</v>
      </c>
      <c r="B9406" s="2" t="s">
        <v>31</v>
      </c>
      <c r="C9406" s="2">
        <v>36</v>
      </c>
    </row>
    <row r="9407" spans="1:3" x14ac:dyDescent="0.25">
      <c r="A9407" s="3">
        <v>41677</v>
      </c>
      <c r="B9407" s="2" t="s">
        <v>15</v>
      </c>
      <c r="C9407" s="2">
        <v>41</v>
      </c>
    </row>
    <row r="9408" spans="1:3" x14ac:dyDescent="0.25">
      <c r="A9408" s="3">
        <v>41447</v>
      </c>
      <c r="B9408" s="2" t="s">
        <v>15</v>
      </c>
      <c r="C9408" s="2">
        <v>26</v>
      </c>
    </row>
    <row r="9409" spans="1:3" x14ac:dyDescent="0.25">
      <c r="A9409" s="3">
        <v>41340</v>
      </c>
      <c r="B9409" s="2" t="s">
        <v>38</v>
      </c>
      <c r="C9409" s="2">
        <v>42</v>
      </c>
    </row>
    <row r="9410" spans="1:3" x14ac:dyDescent="0.25">
      <c r="A9410" s="3">
        <v>41900</v>
      </c>
      <c r="B9410" s="2" t="s">
        <v>30</v>
      </c>
      <c r="C9410" s="2">
        <v>41</v>
      </c>
    </row>
    <row r="9411" spans="1:3" x14ac:dyDescent="0.25">
      <c r="A9411" s="3">
        <v>41986</v>
      </c>
      <c r="B9411" s="2" t="s">
        <v>25</v>
      </c>
      <c r="C9411" s="2">
        <v>47</v>
      </c>
    </row>
    <row r="9412" spans="1:3" x14ac:dyDescent="0.25">
      <c r="A9412" s="3">
        <v>41658</v>
      </c>
      <c r="B9412" s="2" t="s">
        <v>5</v>
      </c>
      <c r="C9412" s="2">
        <v>41</v>
      </c>
    </row>
    <row r="9413" spans="1:3" x14ac:dyDescent="0.25">
      <c r="A9413" s="3">
        <v>41796</v>
      </c>
      <c r="B9413" s="2" t="s">
        <v>49</v>
      </c>
      <c r="C9413" s="2">
        <v>2</v>
      </c>
    </row>
    <row r="9414" spans="1:3" x14ac:dyDescent="0.25">
      <c r="A9414" s="3">
        <v>41482</v>
      </c>
      <c r="B9414" s="2" t="s">
        <v>24</v>
      </c>
      <c r="C9414" s="2">
        <v>11</v>
      </c>
    </row>
    <row r="9415" spans="1:3" x14ac:dyDescent="0.25">
      <c r="A9415" s="3">
        <v>41620</v>
      </c>
      <c r="B9415" s="2" t="s">
        <v>14</v>
      </c>
      <c r="C9415" s="2">
        <v>20</v>
      </c>
    </row>
    <row r="9416" spans="1:3" x14ac:dyDescent="0.25">
      <c r="A9416" s="3">
        <v>41552</v>
      </c>
      <c r="B9416" s="2" t="s">
        <v>48</v>
      </c>
      <c r="C9416" s="2">
        <v>18</v>
      </c>
    </row>
    <row r="9417" spans="1:3" x14ac:dyDescent="0.25">
      <c r="A9417" s="3">
        <v>41448</v>
      </c>
      <c r="B9417" s="2" t="s">
        <v>7</v>
      </c>
      <c r="C9417" s="2">
        <v>34</v>
      </c>
    </row>
    <row r="9418" spans="1:3" x14ac:dyDescent="0.25">
      <c r="A9418" s="3">
        <v>41578</v>
      </c>
      <c r="B9418" s="2" t="s">
        <v>4</v>
      </c>
      <c r="C9418" s="2">
        <v>14</v>
      </c>
    </row>
    <row r="9419" spans="1:3" x14ac:dyDescent="0.25">
      <c r="A9419" s="3">
        <v>41744</v>
      </c>
      <c r="B9419" s="2" t="s">
        <v>16</v>
      </c>
      <c r="C9419" s="2">
        <v>53</v>
      </c>
    </row>
    <row r="9420" spans="1:3" x14ac:dyDescent="0.25">
      <c r="A9420" s="3">
        <v>41605</v>
      </c>
      <c r="B9420" s="2" t="s">
        <v>27</v>
      </c>
      <c r="C9420" s="2">
        <v>25</v>
      </c>
    </row>
    <row r="9421" spans="1:3" x14ac:dyDescent="0.25">
      <c r="A9421" s="3">
        <v>41821</v>
      </c>
      <c r="B9421" s="2" t="s">
        <v>27</v>
      </c>
      <c r="C9421" s="2">
        <v>16</v>
      </c>
    </row>
    <row r="9422" spans="1:3" x14ac:dyDescent="0.25">
      <c r="A9422" s="3">
        <v>41565</v>
      </c>
      <c r="B9422" s="2" t="s">
        <v>7</v>
      </c>
      <c r="C9422" s="2">
        <v>23</v>
      </c>
    </row>
    <row r="9423" spans="1:3" x14ac:dyDescent="0.25">
      <c r="A9423" s="3">
        <v>41757</v>
      </c>
      <c r="B9423" s="2" t="s">
        <v>12</v>
      </c>
      <c r="C9423" s="2">
        <v>33</v>
      </c>
    </row>
    <row r="9424" spans="1:3" x14ac:dyDescent="0.25">
      <c r="A9424" s="3">
        <v>41372</v>
      </c>
      <c r="B9424" s="2" t="s">
        <v>19</v>
      </c>
      <c r="C9424" s="2">
        <v>11</v>
      </c>
    </row>
    <row r="9425" spans="1:3" x14ac:dyDescent="0.25">
      <c r="A9425" s="3">
        <v>41970</v>
      </c>
      <c r="B9425" s="2" t="s">
        <v>24</v>
      </c>
      <c r="C9425" s="2">
        <v>36</v>
      </c>
    </row>
    <row r="9426" spans="1:3" x14ac:dyDescent="0.25">
      <c r="A9426" s="3">
        <v>41925</v>
      </c>
      <c r="B9426" s="2" t="s">
        <v>12</v>
      </c>
      <c r="C9426" s="2">
        <v>13</v>
      </c>
    </row>
    <row r="9427" spans="1:3" x14ac:dyDescent="0.25">
      <c r="A9427" s="3">
        <v>41434</v>
      </c>
      <c r="B9427" s="2" t="s">
        <v>46</v>
      </c>
      <c r="C9427" s="2">
        <v>74</v>
      </c>
    </row>
    <row r="9428" spans="1:3" x14ac:dyDescent="0.25">
      <c r="A9428" s="3">
        <v>41571</v>
      </c>
      <c r="B9428" s="2" t="s">
        <v>41</v>
      </c>
      <c r="C9428" s="2">
        <v>46</v>
      </c>
    </row>
    <row r="9429" spans="1:3" x14ac:dyDescent="0.25">
      <c r="A9429" s="3">
        <v>41725</v>
      </c>
      <c r="B9429" s="2" t="s">
        <v>47</v>
      </c>
      <c r="C9429" s="2">
        <v>36</v>
      </c>
    </row>
    <row r="9430" spans="1:3" x14ac:dyDescent="0.25">
      <c r="A9430" s="3">
        <v>41841</v>
      </c>
      <c r="B9430" s="2" t="s">
        <v>37</v>
      </c>
      <c r="C9430" s="2">
        <v>17</v>
      </c>
    </row>
    <row r="9431" spans="1:3" x14ac:dyDescent="0.25">
      <c r="A9431" s="3">
        <v>41390</v>
      </c>
      <c r="B9431" s="2" t="s">
        <v>41</v>
      </c>
      <c r="C9431" s="2">
        <v>41</v>
      </c>
    </row>
    <row r="9432" spans="1:3" x14ac:dyDescent="0.25">
      <c r="A9432" s="3">
        <v>41475</v>
      </c>
      <c r="B9432" s="2" t="s">
        <v>30</v>
      </c>
      <c r="C9432" s="2">
        <v>23</v>
      </c>
    </row>
    <row r="9433" spans="1:3" x14ac:dyDescent="0.25">
      <c r="A9433" s="3">
        <v>41750</v>
      </c>
      <c r="B9433" s="2" t="s">
        <v>6</v>
      </c>
      <c r="C9433" s="2">
        <v>15</v>
      </c>
    </row>
    <row r="9434" spans="1:3" x14ac:dyDescent="0.25">
      <c r="A9434" s="3">
        <v>41953</v>
      </c>
      <c r="B9434" s="2" t="s">
        <v>17</v>
      </c>
      <c r="C9434" s="2">
        <v>4</v>
      </c>
    </row>
    <row r="9435" spans="1:3" x14ac:dyDescent="0.25">
      <c r="A9435" s="3">
        <v>41360</v>
      </c>
      <c r="B9435" s="2" t="s">
        <v>2</v>
      </c>
      <c r="C9435" s="2">
        <v>27</v>
      </c>
    </row>
    <row r="9436" spans="1:3" x14ac:dyDescent="0.25">
      <c r="A9436" s="3">
        <v>41374</v>
      </c>
      <c r="B9436" s="2" t="s">
        <v>46</v>
      </c>
      <c r="C9436" s="2">
        <v>48</v>
      </c>
    </row>
    <row r="9437" spans="1:3" x14ac:dyDescent="0.25">
      <c r="A9437" s="3">
        <v>41943</v>
      </c>
      <c r="B9437" s="2" t="s">
        <v>20</v>
      </c>
      <c r="C9437" s="2">
        <v>4</v>
      </c>
    </row>
    <row r="9438" spans="1:3" x14ac:dyDescent="0.25">
      <c r="A9438" s="3">
        <v>41544</v>
      </c>
      <c r="B9438" s="2" t="s">
        <v>51</v>
      </c>
      <c r="C9438" s="2">
        <v>15</v>
      </c>
    </row>
    <row r="9439" spans="1:3" x14ac:dyDescent="0.25">
      <c r="A9439" s="3">
        <v>41384</v>
      </c>
      <c r="B9439" s="2" t="s">
        <v>17</v>
      </c>
      <c r="C9439" s="2">
        <v>24</v>
      </c>
    </row>
    <row r="9440" spans="1:3" x14ac:dyDescent="0.25">
      <c r="A9440" s="3">
        <v>41899</v>
      </c>
      <c r="B9440" s="2" t="s">
        <v>35</v>
      </c>
      <c r="C9440" s="2">
        <v>11</v>
      </c>
    </row>
    <row r="9441" spans="1:3" x14ac:dyDescent="0.25">
      <c r="A9441" s="3">
        <v>41448</v>
      </c>
      <c r="B9441" s="2" t="s">
        <v>41</v>
      </c>
      <c r="C9441" s="2">
        <v>41</v>
      </c>
    </row>
    <row r="9442" spans="1:3" x14ac:dyDescent="0.25">
      <c r="A9442" s="3">
        <v>41558</v>
      </c>
      <c r="B9442" s="2" t="s">
        <v>6</v>
      </c>
      <c r="C9442" s="2">
        <v>28</v>
      </c>
    </row>
    <row r="9443" spans="1:3" x14ac:dyDescent="0.25">
      <c r="A9443" s="3">
        <v>41413</v>
      </c>
      <c r="B9443" s="2" t="s">
        <v>41</v>
      </c>
      <c r="C9443" s="2">
        <v>42</v>
      </c>
    </row>
    <row r="9444" spans="1:3" x14ac:dyDescent="0.25">
      <c r="A9444" s="3">
        <v>41768</v>
      </c>
      <c r="B9444" s="2" t="s">
        <v>48</v>
      </c>
      <c r="C9444" s="2">
        <v>45</v>
      </c>
    </row>
    <row r="9445" spans="1:3" x14ac:dyDescent="0.25">
      <c r="A9445" s="3">
        <v>41973</v>
      </c>
      <c r="B9445" s="2" t="s">
        <v>27</v>
      </c>
      <c r="C9445" s="2">
        <v>24</v>
      </c>
    </row>
    <row r="9446" spans="1:3" x14ac:dyDescent="0.25">
      <c r="A9446" s="3">
        <v>41909</v>
      </c>
      <c r="B9446" s="2" t="s">
        <v>46</v>
      </c>
      <c r="C9446" s="2">
        <v>28</v>
      </c>
    </row>
    <row r="9447" spans="1:3" x14ac:dyDescent="0.25">
      <c r="A9447" s="3">
        <v>41840</v>
      </c>
      <c r="B9447" s="2" t="s">
        <v>42</v>
      </c>
      <c r="C9447" s="2">
        <v>15</v>
      </c>
    </row>
    <row r="9448" spans="1:3" x14ac:dyDescent="0.25">
      <c r="A9448" s="3">
        <v>41712</v>
      </c>
      <c r="B9448" s="2" t="s">
        <v>6</v>
      </c>
      <c r="C9448" s="2">
        <v>17</v>
      </c>
    </row>
    <row r="9449" spans="1:3" x14ac:dyDescent="0.25">
      <c r="A9449" s="3">
        <v>41907</v>
      </c>
      <c r="B9449" s="2" t="s">
        <v>32</v>
      </c>
      <c r="C9449" s="2">
        <v>19</v>
      </c>
    </row>
    <row r="9450" spans="1:3" x14ac:dyDescent="0.25">
      <c r="A9450" s="3">
        <v>41614</v>
      </c>
      <c r="B9450" s="2" t="s">
        <v>7</v>
      </c>
      <c r="C9450" s="2">
        <v>4</v>
      </c>
    </row>
    <row r="9451" spans="1:3" x14ac:dyDescent="0.25">
      <c r="A9451" s="3">
        <v>41747</v>
      </c>
      <c r="B9451" s="2" t="s">
        <v>35</v>
      </c>
      <c r="C9451" s="2">
        <v>49</v>
      </c>
    </row>
    <row r="9452" spans="1:3" x14ac:dyDescent="0.25">
      <c r="A9452" s="3">
        <v>41352</v>
      </c>
      <c r="B9452" s="2" t="s">
        <v>4</v>
      </c>
      <c r="C9452" s="2">
        <v>43</v>
      </c>
    </row>
    <row r="9453" spans="1:3" x14ac:dyDescent="0.25">
      <c r="A9453" s="3">
        <v>41352</v>
      </c>
      <c r="B9453" s="2" t="s">
        <v>29</v>
      </c>
      <c r="C9453" s="2">
        <v>21</v>
      </c>
    </row>
    <row r="9454" spans="1:3" x14ac:dyDescent="0.25">
      <c r="A9454" s="3">
        <v>41371</v>
      </c>
      <c r="B9454" s="2" t="s">
        <v>28</v>
      </c>
      <c r="C9454" s="2">
        <v>10</v>
      </c>
    </row>
    <row r="9455" spans="1:3" x14ac:dyDescent="0.25">
      <c r="A9455" s="3">
        <v>41910</v>
      </c>
      <c r="B9455" s="2" t="s">
        <v>18</v>
      </c>
      <c r="C9455" s="2">
        <v>44</v>
      </c>
    </row>
    <row r="9456" spans="1:3" x14ac:dyDescent="0.25">
      <c r="A9456" s="3">
        <v>41683</v>
      </c>
      <c r="B9456" s="2" t="s">
        <v>43</v>
      </c>
      <c r="C9456" s="2">
        <v>27</v>
      </c>
    </row>
    <row r="9457" spans="1:3" x14ac:dyDescent="0.25">
      <c r="A9457" s="3">
        <v>41537</v>
      </c>
      <c r="B9457" s="2" t="s">
        <v>37</v>
      </c>
      <c r="C9457" s="2">
        <v>28</v>
      </c>
    </row>
    <row r="9458" spans="1:3" x14ac:dyDescent="0.25">
      <c r="A9458" s="3">
        <v>41394</v>
      </c>
      <c r="B9458" s="2" t="s">
        <v>26</v>
      </c>
      <c r="C9458" s="2">
        <v>8</v>
      </c>
    </row>
    <row r="9459" spans="1:3" x14ac:dyDescent="0.25">
      <c r="A9459" s="3">
        <v>41522</v>
      </c>
      <c r="B9459" s="2" t="s">
        <v>28</v>
      </c>
      <c r="C9459" s="2">
        <v>34</v>
      </c>
    </row>
    <row r="9460" spans="1:3" x14ac:dyDescent="0.25">
      <c r="A9460" s="3">
        <v>41930</v>
      </c>
      <c r="B9460" s="2" t="s">
        <v>35</v>
      </c>
      <c r="C9460" s="2">
        <v>20</v>
      </c>
    </row>
    <row r="9461" spans="1:3" x14ac:dyDescent="0.25">
      <c r="A9461" s="3">
        <v>41918</v>
      </c>
      <c r="B9461" s="2" t="s">
        <v>13</v>
      </c>
      <c r="C9461" s="2">
        <v>12</v>
      </c>
    </row>
    <row r="9462" spans="1:3" x14ac:dyDescent="0.25">
      <c r="A9462" s="3">
        <v>41835</v>
      </c>
      <c r="B9462" s="2" t="s">
        <v>33</v>
      </c>
      <c r="C9462" s="2">
        <v>21</v>
      </c>
    </row>
    <row r="9463" spans="1:3" x14ac:dyDescent="0.25">
      <c r="A9463" s="3">
        <v>41912</v>
      </c>
      <c r="B9463" s="2" t="s">
        <v>34</v>
      </c>
      <c r="C9463" s="2">
        <v>7</v>
      </c>
    </row>
    <row r="9464" spans="1:3" x14ac:dyDescent="0.25">
      <c r="A9464" s="3">
        <v>41389</v>
      </c>
      <c r="B9464" s="2" t="s">
        <v>51</v>
      </c>
      <c r="C9464" s="2">
        <v>12</v>
      </c>
    </row>
    <row r="9465" spans="1:3" x14ac:dyDescent="0.25">
      <c r="A9465" s="3">
        <v>41924</v>
      </c>
      <c r="B9465" s="2" t="s">
        <v>2</v>
      </c>
      <c r="C9465" s="2">
        <v>2</v>
      </c>
    </row>
    <row r="9466" spans="1:3" x14ac:dyDescent="0.25">
      <c r="A9466" s="3">
        <v>41638</v>
      </c>
      <c r="B9466" s="2" t="s">
        <v>27</v>
      </c>
      <c r="C9466" s="2">
        <v>52</v>
      </c>
    </row>
    <row r="9467" spans="1:3" x14ac:dyDescent="0.25">
      <c r="A9467" s="3">
        <v>41577</v>
      </c>
      <c r="B9467" s="2" t="s">
        <v>28</v>
      </c>
      <c r="C9467" s="2">
        <v>21</v>
      </c>
    </row>
    <row r="9468" spans="1:3" x14ac:dyDescent="0.25">
      <c r="A9468" s="3">
        <v>41961</v>
      </c>
      <c r="B9468" s="2" t="s">
        <v>4</v>
      </c>
      <c r="C9468" s="2">
        <v>6</v>
      </c>
    </row>
    <row r="9469" spans="1:3" x14ac:dyDescent="0.25">
      <c r="A9469" s="3">
        <v>41913</v>
      </c>
      <c r="B9469" s="2" t="s">
        <v>13</v>
      </c>
      <c r="C9469" s="2">
        <v>28</v>
      </c>
    </row>
    <row r="9470" spans="1:3" x14ac:dyDescent="0.25">
      <c r="A9470" s="3">
        <v>41331</v>
      </c>
      <c r="B9470" s="2" t="s">
        <v>26</v>
      </c>
      <c r="C9470" s="2">
        <v>20</v>
      </c>
    </row>
    <row r="9471" spans="1:3" x14ac:dyDescent="0.25">
      <c r="A9471" s="3">
        <v>41676</v>
      </c>
      <c r="B9471" s="2" t="s">
        <v>33</v>
      </c>
      <c r="C9471" s="2">
        <v>26</v>
      </c>
    </row>
    <row r="9472" spans="1:3" x14ac:dyDescent="0.25">
      <c r="A9472" s="3">
        <v>41839</v>
      </c>
      <c r="B9472" s="2" t="s">
        <v>48</v>
      </c>
      <c r="C9472" s="2">
        <v>27</v>
      </c>
    </row>
    <row r="9473" spans="1:3" x14ac:dyDescent="0.25">
      <c r="A9473" s="3">
        <v>41419</v>
      </c>
      <c r="B9473" s="2" t="s">
        <v>21</v>
      </c>
      <c r="C9473" s="2">
        <v>23</v>
      </c>
    </row>
    <row r="9474" spans="1:3" x14ac:dyDescent="0.25">
      <c r="A9474" s="3">
        <v>41534</v>
      </c>
      <c r="B9474" s="2" t="s">
        <v>26</v>
      </c>
      <c r="C9474" s="2">
        <v>9</v>
      </c>
    </row>
    <row r="9475" spans="1:3" x14ac:dyDescent="0.25">
      <c r="A9475" s="3">
        <v>41945</v>
      </c>
      <c r="B9475" s="2" t="s">
        <v>37</v>
      </c>
      <c r="C9475" s="2">
        <v>22</v>
      </c>
    </row>
    <row r="9476" spans="1:3" x14ac:dyDescent="0.25">
      <c r="A9476" s="3">
        <v>41401</v>
      </c>
      <c r="B9476" s="2" t="s">
        <v>38</v>
      </c>
      <c r="C9476" s="2">
        <v>31</v>
      </c>
    </row>
    <row r="9477" spans="1:3" x14ac:dyDescent="0.25">
      <c r="A9477" s="3">
        <v>41502</v>
      </c>
      <c r="B9477" s="2" t="s">
        <v>42</v>
      </c>
      <c r="C9477" s="2">
        <v>1</v>
      </c>
    </row>
    <row r="9478" spans="1:3" x14ac:dyDescent="0.25">
      <c r="A9478" s="3">
        <v>41877</v>
      </c>
      <c r="B9478" s="2" t="s">
        <v>18</v>
      </c>
      <c r="C9478" s="2">
        <v>5</v>
      </c>
    </row>
    <row r="9479" spans="1:3" x14ac:dyDescent="0.25">
      <c r="A9479" s="3">
        <v>41786</v>
      </c>
      <c r="B9479" s="2" t="s">
        <v>22</v>
      </c>
      <c r="C9479" s="2">
        <v>42</v>
      </c>
    </row>
    <row r="9480" spans="1:3" x14ac:dyDescent="0.25">
      <c r="A9480" s="3">
        <v>41682</v>
      </c>
      <c r="B9480" s="2" t="s">
        <v>21</v>
      </c>
      <c r="C9480" s="2">
        <v>22</v>
      </c>
    </row>
    <row r="9481" spans="1:3" x14ac:dyDescent="0.25">
      <c r="A9481" s="3">
        <v>41797</v>
      </c>
      <c r="B9481" s="2" t="s">
        <v>51</v>
      </c>
      <c r="C9481" s="2">
        <v>30</v>
      </c>
    </row>
    <row r="9482" spans="1:3" x14ac:dyDescent="0.25">
      <c r="A9482" s="3">
        <v>41675</v>
      </c>
      <c r="B9482" s="2" t="s">
        <v>7</v>
      </c>
      <c r="C9482" s="2">
        <v>20</v>
      </c>
    </row>
    <row r="9483" spans="1:3" x14ac:dyDescent="0.25">
      <c r="A9483" s="3">
        <v>41519</v>
      </c>
      <c r="B9483" s="2" t="s">
        <v>41</v>
      </c>
      <c r="C9483" s="2">
        <v>16</v>
      </c>
    </row>
    <row r="9484" spans="1:3" x14ac:dyDescent="0.25">
      <c r="A9484" s="3">
        <v>41955</v>
      </c>
      <c r="B9484" s="2" t="s">
        <v>24</v>
      </c>
      <c r="C9484" s="2">
        <v>24</v>
      </c>
    </row>
    <row r="9485" spans="1:3" x14ac:dyDescent="0.25">
      <c r="A9485" s="3">
        <v>41637</v>
      </c>
      <c r="B9485" s="2" t="s">
        <v>9</v>
      </c>
      <c r="C9485" s="2">
        <v>25</v>
      </c>
    </row>
    <row r="9486" spans="1:3" x14ac:dyDescent="0.25">
      <c r="A9486" s="3">
        <v>41731</v>
      </c>
      <c r="B9486" s="2" t="s">
        <v>33</v>
      </c>
      <c r="C9486" s="2">
        <v>2</v>
      </c>
    </row>
    <row r="9487" spans="1:3" x14ac:dyDescent="0.25">
      <c r="A9487" s="3">
        <v>41954</v>
      </c>
      <c r="B9487" s="2" t="s">
        <v>2</v>
      </c>
      <c r="C9487" s="2">
        <v>35</v>
      </c>
    </row>
    <row r="9488" spans="1:3" x14ac:dyDescent="0.25">
      <c r="A9488" s="3">
        <v>41929</v>
      </c>
      <c r="B9488" s="2" t="s">
        <v>6</v>
      </c>
      <c r="C9488" s="2">
        <v>11</v>
      </c>
    </row>
    <row r="9489" spans="1:3" x14ac:dyDescent="0.25">
      <c r="A9489" s="3">
        <v>41705</v>
      </c>
      <c r="B9489" s="2" t="s">
        <v>42</v>
      </c>
      <c r="C9489" s="2">
        <v>27</v>
      </c>
    </row>
    <row r="9490" spans="1:3" x14ac:dyDescent="0.25">
      <c r="A9490" s="3">
        <v>41794</v>
      </c>
      <c r="B9490" s="2" t="s">
        <v>8</v>
      </c>
      <c r="C9490" s="2">
        <v>46</v>
      </c>
    </row>
    <row r="9491" spans="1:3" x14ac:dyDescent="0.25">
      <c r="A9491" s="3">
        <v>41840</v>
      </c>
      <c r="B9491" s="2" t="s">
        <v>6</v>
      </c>
      <c r="C9491" s="2">
        <v>33</v>
      </c>
    </row>
    <row r="9492" spans="1:3" x14ac:dyDescent="0.25">
      <c r="A9492" s="3">
        <v>41450</v>
      </c>
      <c r="B9492" s="2" t="s">
        <v>45</v>
      </c>
      <c r="C9492" s="2">
        <v>12</v>
      </c>
    </row>
    <row r="9493" spans="1:3" x14ac:dyDescent="0.25">
      <c r="A9493" s="3">
        <v>41815</v>
      </c>
      <c r="B9493" s="2" t="s">
        <v>14</v>
      </c>
      <c r="C9493" s="2">
        <v>50</v>
      </c>
    </row>
    <row r="9494" spans="1:3" x14ac:dyDescent="0.25">
      <c r="A9494" s="3">
        <v>41886</v>
      </c>
      <c r="B9494" s="2" t="s">
        <v>14</v>
      </c>
      <c r="C9494" s="2">
        <v>36</v>
      </c>
    </row>
    <row r="9495" spans="1:3" x14ac:dyDescent="0.25">
      <c r="A9495" s="3">
        <v>41478</v>
      </c>
      <c r="B9495" s="2" t="s">
        <v>17</v>
      </c>
      <c r="C9495" s="2">
        <v>16</v>
      </c>
    </row>
    <row r="9496" spans="1:3" x14ac:dyDescent="0.25">
      <c r="A9496" s="3">
        <v>41492</v>
      </c>
      <c r="B9496" s="2" t="s">
        <v>49</v>
      </c>
      <c r="C9496" s="2">
        <v>12</v>
      </c>
    </row>
    <row r="9497" spans="1:3" x14ac:dyDescent="0.25">
      <c r="A9497" s="3">
        <v>41991</v>
      </c>
      <c r="B9497" s="2" t="s">
        <v>42</v>
      </c>
      <c r="C9497" s="2">
        <v>26</v>
      </c>
    </row>
    <row r="9498" spans="1:3" x14ac:dyDescent="0.25">
      <c r="A9498" s="3">
        <v>41635</v>
      </c>
      <c r="B9498" s="2" t="s">
        <v>12</v>
      </c>
      <c r="C9498" s="2">
        <v>12</v>
      </c>
    </row>
    <row r="9499" spans="1:3" x14ac:dyDescent="0.25">
      <c r="A9499" s="3">
        <v>41921</v>
      </c>
      <c r="B9499" s="2" t="s">
        <v>8</v>
      </c>
      <c r="C9499" s="2">
        <v>22</v>
      </c>
    </row>
    <row r="9500" spans="1:3" x14ac:dyDescent="0.25">
      <c r="A9500" s="3">
        <v>41372</v>
      </c>
      <c r="B9500" s="2" t="s">
        <v>45</v>
      </c>
      <c r="C9500" s="2">
        <v>48</v>
      </c>
    </row>
    <row r="9501" spans="1:3" x14ac:dyDescent="0.25">
      <c r="A9501" s="3">
        <v>41679</v>
      </c>
      <c r="B9501" s="2" t="s">
        <v>44</v>
      </c>
      <c r="C9501" s="2">
        <v>15</v>
      </c>
    </row>
    <row r="9502" spans="1:3" x14ac:dyDescent="0.25">
      <c r="A9502" s="3">
        <v>41437</v>
      </c>
      <c r="B9502" s="2" t="s">
        <v>18</v>
      </c>
      <c r="C9502" s="2">
        <v>10</v>
      </c>
    </row>
    <row r="9503" spans="1:3" x14ac:dyDescent="0.25">
      <c r="A9503" s="3">
        <v>41299</v>
      </c>
      <c r="B9503" s="2" t="s">
        <v>47</v>
      </c>
      <c r="C9503" s="2">
        <v>1</v>
      </c>
    </row>
    <row r="9504" spans="1:3" x14ac:dyDescent="0.25">
      <c r="A9504" s="3">
        <v>41528</v>
      </c>
      <c r="B9504" s="2" t="s">
        <v>30</v>
      </c>
      <c r="C9504" s="2">
        <v>18</v>
      </c>
    </row>
    <row r="9505" spans="1:3" x14ac:dyDescent="0.25">
      <c r="A9505" s="3">
        <v>41592</v>
      </c>
      <c r="B9505" s="2" t="s">
        <v>51</v>
      </c>
      <c r="C9505" s="2">
        <v>13</v>
      </c>
    </row>
    <row r="9506" spans="1:3" x14ac:dyDescent="0.25">
      <c r="A9506" s="3">
        <v>41599</v>
      </c>
      <c r="B9506" s="2" t="s">
        <v>22</v>
      </c>
      <c r="C9506" s="2">
        <v>16</v>
      </c>
    </row>
    <row r="9507" spans="1:3" x14ac:dyDescent="0.25">
      <c r="A9507" s="3">
        <v>41680</v>
      </c>
      <c r="B9507" s="2" t="s">
        <v>11</v>
      </c>
      <c r="C9507" s="2">
        <v>46</v>
      </c>
    </row>
    <row r="9508" spans="1:3" x14ac:dyDescent="0.25">
      <c r="A9508" s="3">
        <v>41390</v>
      </c>
      <c r="B9508" s="2" t="s">
        <v>29</v>
      </c>
      <c r="C9508" s="2">
        <v>32</v>
      </c>
    </row>
    <row r="9509" spans="1:3" x14ac:dyDescent="0.25">
      <c r="A9509" s="3">
        <v>41636</v>
      </c>
      <c r="B9509" s="2" t="s">
        <v>46</v>
      </c>
      <c r="C9509" s="2">
        <v>24</v>
      </c>
    </row>
    <row r="9510" spans="1:3" x14ac:dyDescent="0.25">
      <c r="A9510" s="3">
        <v>41704</v>
      </c>
      <c r="B9510" s="2" t="s">
        <v>43</v>
      </c>
      <c r="C9510" s="2">
        <v>28</v>
      </c>
    </row>
    <row r="9511" spans="1:3" x14ac:dyDescent="0.25">
      <c r="A9511" s="3">
        <v>41393</v>
      </c>
      <c r="B9511" s="2" t="s">
        <v>4</v>
      </c>
      <c r="C9511" s="2">
        <v>24</v>
      </c>
    </row>
    <row r="9512" spans="1:3" x14ac:dyDescent="0.25">
      <c r="A9512" s="3">
        <v>41942</v>
      </c>
      <c r="B9512" s="2" t="s">
        <v>32</v>
      </c>
      <c r="C9512" s="2">
        <v>45</v>
      </c>
    </row>
    <row r="9513" spans="1:3" x14ac:dyDescent="0.25">
      <c r="A9513" s="3">
        <v>41296</v>
      </c>
      <c r="B9513" s="2" t="s">
        <v>25</v>
      </c>
      <c r="C9513" s="2">
        <v>10</v>
      </c>
    </row>
    <row r="9514" spans="1:3" x14ac:dyDescent="0.25">
      <c r="A9514" s="3">
        <v>41346</v>
      </c>
      <c r="B9514" s="2" t="s">
        <v>24</v>
      </c>
      <c r="C9514" s="2">
        <v>44</v>
      </c>
    </row>
    <row r="9515" spans="1:3" x14ac:dyDescent="0.25">
      <c r="A9515" s="3">
        <v>41683</v>
      </c>
      <c r="B9515" s="2" t="s">
        <v>12</v>
      </c>
      <c r="C9515" s="2">
        <v>18</v>
      </c>
    </row>
    <row r="9516" spans="1:3" x14ac:dyDescent="0.25">
      <c r="A9516" s="3">
        <v>41434</v>
      </c>
      <c r="B9516" s="2" t="s">
        <v>45</v>
      </c>
      <c r="C9516" s="2">
        <v>8</v>
      </c>
    </row>
    <row r="9517" spans="1:3" x14ac:dyDescent="0.25">
      <c r="A9517" s="3">
        <v>41762</v>
      </c>
      <c r="B9517" s="2" t="s">
        <v>21</v>
      </c>
      <c r="C9517" s="2">
        <v>20</v>
      </c>
    </row>
    <row r="9518" spans="1:3" x14ac:dyDescent="0.25">
      <c r="A9518" s="3">
        <v>41490</v>
      </c>
      <c r="B9518" s="2" t="s">
        <v>20</v>
      </c>
      <c r="C9518" s="2">
        <v>36</v>
      </c>
    </row>
    <row r="9519" spans="1:3" x14ac:dyDescent="0.25">
      <c r="A9519" s="3">
        <v>41923</v>
      </c>
      <c r="B9519" s="2" t="s">
        <v>45</v>
      </c>
      <c r="C9519" s="2">
        <v>30</v>
      </c>
    </row>
    <row r="9520" spans="1:3" x14ac:dyDescent="0.25">
      <c r="A9520" s="3">
        <v>41778</v>
      </c>
      <c r="B9520" s="2" t="s">
        <v>15</v>
      </c>
      <c r="C9520" s="2">
        <v>26</v>
      </c>
    </row>
    <row r="9521" spans="1:3" x14ac:dyDescent="0.25">
      <c r="A9521" s="3">
        <v>41572</v>
      </c>
      <c r="B9521" s="2" t="s">
        <v>39</v>
      </c>
      <c r="C9521" s="2">
        <v>44</v>
      </c>
    </row>
    <row r="9522" spans="1:3" x14ac:dyDescent="0.25">
      <c r="A9522" s="3">
        <v>41840</v>
      </c>
      <c r="B9522" s="2" t="s">
        <v>21</v>
      </c>
      <c r="C9522" s="2">
        <v>37</v>
      </c>
    </row>
    <row r="9523" spans="1:3" x14ac:dyDescent="0.25">
      <c r="A9523" s="3">
        <v>41850</v>
      </c>
      <c r="B9523" s="2" t="s">
        <v>33</v>
      </c>
      <c r="C9523" s="2">
        <v>37</v>
      </c>
    </row>
    <row r="9524" spans="1:3" x14ac:dyDescent="0.25">
      <c r="A9524" s="3">
        <v>41400</v>
      </c>
      <c r="B9524" s="2" t="s">
        <v>38</v>
      </c>
      <c r="C9524" s="2">
        <v>13</v>
      </c>
    </row>
    <row r="9525" spans="1:3" x14ac:dyDescent="0.25">
      <c r="A9525" s="3">
        <v>41549</v>
      </c>
      <c r="B9525" s="2" t="s">
        <v>44</v>
      </c>
      <c r="C9525" s="2">
        <v>33</v>
      </c>
    </row>
    <row r="9526" spans="1:3" x14ac:dyDescent="0.25">
      <c r="A9526" s="3">
        <v>41835</v>
      </c>
      <c r="B9526" s="2" t="s">
        <v>42</v>
      </c>
      <c r="C9526" s="2">
        <v>9</v>
      </c>
    </row>
    <row r="9527" spans="1:3" x14ac:dyDescent="0.25">
      <c r="A9527" s="3">
        <v>41896</v>
      </c>
      <c r="B9527" s="2" t="s">
        <v>45</v>
      </c>
      <c r="C9527" s="2">
        <v>25</v>
      </c>
    </row>
    <row r="9528" spans="1:3" x14ac:dyDescent="0.25">
      <c r="A9528" s="3">
        <v>41715</v>
      </c>
      <c r="B9528" s="2" t="s">
        <v>30</v>
      </c>
      <c r="C9528" s="2">
        <v>3</v>
      </c>
    </row>
    <row r="9529" spans="1:3" x14ac:dyDescent="0.25">
      <c r="A9529" s="3">
        <v>41603</v>
      </c>
      <c r="B9529" s="2" t="s">
        <v>24</v>
      </c>
      <c r="C9529" s="2">
        <v>13</v>
      </c>
    </row>
    <row r="9530" spans="1:3" x14ac:dyDescent="0.25">
      <c r="A9530" s="3">
        <v>41972</v>
      </c>
      <c r="B9530" s="2" t="s">
        <v>21</v>
      </c>
      <c r="C9530" s="2">
        <v>33</v>
      </c>
    </row>
    <row r="9531" spans="1:3" x14ac:dyDescent="0.25">
      <c r="A9531" s="3">
        <v>41466</v>
      </c>
      <c r="B9531" s="2" t="s">
        <v>44</v>
      </c>
      <c r="C9531" s="2">
        <v>61</v>
      </c>
    </row>
    <row r="9532" spans="1:3" x14ac:dyDescent="0.25">
      <c r="A9532" s="3">
        <v>41825</v>
      </c>
      <c r="B9532" s="2" t="s">
        <v>25</v>
      </c>
      <c r="C9532" s="2">
        <v>26</v>
      </c>
    </row>
    <row r="9533" spans="1:3" x14ac:dyDescent="0.25">
      <c r="A9533" s="3">
        <v>41705</v>
      </c>
      <c r="B9533" s="2" t="s">
        <v>43</v>
      </c>
      <c r="C9533" s="2">
        <v>8</v>
      </c>
    </row>
    <row r="9534" spans="1:3" x14ac:dyDescent="0.25">
      <c r="A9534" s="3">
        <v>41410</v>
      </c>
      <c r="B9534" s="2" t="s">
        <v>8</v>
      </c>
      <c r="C9534" s="2">
        <v>35</v>
      </c>
    </row>
    <row r="9535" spans="1:3" x14ac:dyDescent="0.25">
      <c r="A9535" s="3">
        <v>41721</v>
      </c>
      <c r="B9535" s="2" t="s">
        <v>34</v>
      </c>
      <c r="C9535" s="2">
        <v>48</v>
      </c>
    </row>
    <row r="9536" spans="1:3" x14ac:dyDescent="0.25">
      <c r="A9536" s="3">
        <v>41751</v>
      </c>
      <c r="B9536" s="2" t="s">
        <v>36</v>
      </c>
      <c r="C9536" s="2">
        <v>32</v>
      </c>
    </row>
    <row r="9537" spans="1:3" x14ac:dyDescent="0.25">
      <c r="A9537" s="3">
        <v>41884</v>
      </c>
      <c r="B9537" s="2" t="s">
        <v>7</v>
      </c>
      <c r="C9537" s="2">
        <v>38</v>
      </c>
    </row>
    <row r="9538" spans="1:3" x14ac:dyDescent="0.25">
      <c r="A9538" s="3">
        <v>41845</v>
      </c>
      <c r="B9538" s="2" t="s">
        <v>44</v>
      </c>
      <c r="C9538" s="2">
        <v>48</v>
      </c>
    </row>
    <row r="9539" spans="1:3" x14ac:dyDescent="0.25">
      <c r="A9539" s="3">
        <v>41921</v>
      </c>
      <c r="B9539" s="2" t="s">
        <v>18</v>
      </c>
      <c r="C9539" s="2">
        <v>40</v>
      </c>
    </row>
    <row r="9540" spans="1:3" x14ac:dyDescent="0.25">
      <c r="A9540" s="3">
        <v>41405</v>
      </c>
      <c r="B9540" s="2" t="s">
        <v>39</v>
      </c>
      <c r="C9540" s="2">
        <v>26</v>
      </c>
    </row>
    <row r="9541" spans="1:3" x14ac:dyDescent="0.25">
      <c r="A9541" s="3">
        <v>41883</v>
      </c>
      <c r="B9541" s="2" t="s">
        <v>38</v>
      </c>
      <c r="C9541" s="2">
        <v>20</v>
      </c>
    </row>
    <row r="9542" spans="1:3" x14ac:dyDescent="0.25">
      <c r="A9542" s="3">
        <v>41800</v>
      </c>
      <c r="B9542" s="2" t="s">
        <v>15</v>
      </c>
      <c r="C9542" s="2">
        <v>10</v>
      </c>
    </row>
    <row r="9543" spans="1:3" x14ac:dyDescent="0.25">
      <c r="A9543" s="3">
        <v>41985</v>
      </c>
      <c r="B9543" s="2" t="s">
        <v>2</v>
      </c>
      <c r="C9543" s="2">
        <v>12</v>
      </c>
    </row>
    <row r="9544" spans="1:3" x14ac:dyDescent="0.25">
      <c r="A9544" s="3">
        <v>41526</v>
      </c>
      <c r="B9544" s="2" t="s">
        <v>37</v>
      </c>
      <c r="C9544" s="2">
        <v>23</v>
      </c>
    </row>
    <row r="9545" spans="1:3" x14ac:dyDescent="0.25">
      <c r="A9545" s="3">
        <v>41849</v>
      </c>
      <c r="B9545" s="2" t="s">
        <v>49</v>
      </c>
      <c r="C9545" s="2">
        <v>11</v>
      </c>
    </row>
    <row r="9546" spans="1:3" x14ac:dyDescent="0.25">
      <c r="A9546" s="3">
        <v>41686</v>
      </c>
      <c r="B9546" s="2" t="s">
        <v>5</v>
      </c>
      <c r="C9546" s="2">
        <v>30</v>
      </c>
    </row>
    <row r="9547" spans="1:3" x14ac:dyDescent="0.25">
      <c r="A9547" s="3">
        <v>41367</v>
      </c>
      <c r="B9547" s="2" t="s">
        <v>4</v>
      </c>
      <c r="C9547" s="2">
        <v>37</v>
      </c>
    </row>
    <row r="9548" spans="1:3" x14ac:dyDescent="0.25">
      <c r="A9548" s="3">
        <v>41746</v>
      </c>
      <c r="B9548" s="2" t="s">
        <v>49</v>
      </c>
      <c r="C9548" s="2">
        <v>12</v>
      </c>
    </row>
    <row r="9549" spans="1:3" x14ac:dyDescent="0.25">
      <c r="A9549" s="3">
        <v>41547</v>
      </c>
      <c r="B9549" s="2" t="s">
        <v>37</v>
      </c>
      <c r="C9549" s="2">
        <v>7</v>
      </c>
    </row>
    <row r="9550" spans="1:3" x14ac:dyDescent="0.25">
      <c r="A9550" s="3">
        <v>41503</v>
      </c>
      <c r="B9550" s="2" t="s">
        <v>31</v>
      </c>
      <c r="C9550" s="2">
        <v>25</v>
      </c>
    </row>
    <row r="9551" spans="1:3" x14ac:dyDescent="0.25">
      <c r="A9551" s="3">
        <v>41852</v>
      </c>
      <c r="B9551" s="2" t="s">
        <v>2</v>
      </c>
      <c r="C9551" s="2">
        <v>37</v>
      </c>
    </row>
    <row r="9552" spans="1:3" x14ac:dyDescent="0.25">
      <c r="A9552" s="3">
        <v>41424</v>
      </c>
      <c r="B9552" s="2" t="s">
        <v>16</v>
      </c>
      <c r="C9552" s="2">
        <v>50</v>
      </c>
    </row>
    <row r="9553" spans="1:3" x14ac:dyDescent="0.25">
      <c r="A9553" s="3">
        <v>42002</v>
      </c>
      <c r="B9553" s="2" t="s">
        <v>8</v>
      </c>
      <c r="C9553" s="2">
        <v>21</v>
      </c>
    </row>
    <row r="9554" spans="1:3" x14ac:dyDescent="0.25">
      <c r="A9554" s="3">
        <v>41878</v>
      </c>
      <c r="B9554" s="2" t="s">
        <v>41</v>
      </c>
      <c r="C9554" s="2">
        <v>1</v>
      </c>
    </row>
    <row r="9555" spans="1:3" x14ac:dyDescent="0.25">
      <c r="A9555" s="3">
        <v>41306</v>
      </c>
      <c r="B9555" s="2" t="s">
        <v>47</v>
      </c>
      <c r="C9555" s="2">
        <v>42</v>
      </c>
    </row>
    <row r="9556" spans="1:3" x14ac:dyDescent="0.25">
      <c r="A9556" s="3">
        <v>41818</v>
      </c>
      <c r="B9556" s="2" t="s">
        <v>31</v>
      </c>
      <c r="C9556" s="2">
        <v>18</v>
      </c>
    </row>
    <row r="9557" spans="1:3" x14ac:dyDescent="0.25">
      <c r="A9557" s="3">
        <v>41491</v>
      </c>
      <c r="B9557" s="2" t="s">
        <v>15</v>
      </c>
      <c r="C9557" s="2">
        <v>18</v>
      </c>
    </row>
    <row r="9558" spans="1:3" x14ac:dyDescent="0.25">
      <c r="A9558" s="3">
        <v>41501</v>
      </c>
      <c r="B9558" s="2" t="s">
        <v>8</v>
      </c>
      <c r="C9558" s="2">
        <v>8</v>
      </c>
    </row>
    <row r="9559" spans="1:3" x14ac:dyDescent="0.25">
      <c r="A9559" s="3">
        <v>41586</v>
      </c>
      <c r="B9559" s="2" t="s">
        <v>38</v>
      </c>
      <c r="C9559" s="2">
        <v>20</v>
      </c>
    </row>
    <row r="9560" spans="1:3" x14ac:dyDescent="0.25">
      <c r="A9560" s="3">
        <v>41320</v>
      </c>
      <c r="B9560" s="2" t="s">
        <v>3</v>
      </c>
      <c r="C9560" s="2">
        <v>19</v>
      </c>
    </row>
    <row r="9561" spans="1:3" x14ac:dyDescent="0.25">
      <c r="A9561" s="3">
        <v>41783</v>
      </c>
      <c r="B9561" s="2" t="s">
        <v>36</v>
      </c>
      <c r="C9561" s="2">
        <v>0</v>
      </c>
    </row>
    <row r="9562" spans="1:3" x14ac:dyDescent="0.25">
      <c r="A9562" s="3">
        <v>41905</v>
      </c>
      <c r="B9562" s="2" t="s">
        <v>25</v>
      </c>
      <c r="C9562" s="2">
        <v>24</v>
      </c>
    </row>
    <row r="9563" spans="1:3" x14ac:dyDescent="0.25">
      <c r="A9563" s="3">
        <v>41302</v>
      </c>
      <c r="B9563" s="2" t="s">
        <v>28</v>
      </c>
      <c r="C9563" s="2">
        <v>9</v>
      </c>
    </row>
    <row r="9564" spans="1:3" x14ac:dyDescent="0.25">
      <c r="A9564" s="3">
        <v>42000</v>
      </c>
      <c r="B9564" s="2" t="s">
        <v>13</v>
      </c>
      <c r="C9564" s="2">
        <v>19</v>
      </c>
    </row>
    <row r="9565" spans="1:3" x14ac:dyDescent="0.25">
      <c r="A9565" s="3">
        <v>41934</v>
      </c>
      <c r="B9565" s="2" t="s">
        <v>33</v>
      </c>
      <c r="C9565" s="2">
        <v>33</v>
      </c>
    </row>
    <row r="9566" spans="1:3" x14ac:dyDescent="0.25">
      <c r="A9566" s="3">
        <v>41812</v>
      </c>
      <c r="B9566" s="2" t="s">
        <v>4</v>
      </c>
      <c r="C9566" s="2">
        <v>31</v>
      </c>
    </row>
    <row r="9567" spans="1:3" x14ac:dyDescent="0.25">
      <c r="A9567" s="3">
        <v>41844</v>
      </c>
      <c r="B9567" s="2" t="s">
        <v>34</v>
      </c>
      <c r="C9567" s="2">
        <v>30</v>
      </c>
    </row>
    <row r="9568" spans="1:3" x14ac:dyDescent="0.25">
      <c r="A9568" s="3">
        <v>41587</v>
      </c>
      <c r="B9568" s="2" t="s">
        <v>51</v>
      </c>
      <c r="C9568" s="2">
        <v>22</v>
      </c>
    </row>
    <row r="9569" spans="1:3" x14ac:dyDescent="0.25">
      <c r="A9569" s="3">
        <v>41843</v>
      </c>
      <c r="B9569" s="2" t="s">
        <v>10</v>
      </c>
      <c r="C9569" s="2">
        <v>35</v>
      </c>
    </row>
    <row r="9570" spans="1:3" x14ac:dyDescent="0.25">
      <c r="A9570" s="3">
        <v>41933</v>
      </c>
      <c r="B9570" s="2" t="s">
        <v>50</v>
      </c>
      <c r="C9570" s="2">
        <v>46</v>
      </c>
    </row>
    <row r="9571" spans="1:3" x14ac:dyDescent="0.25">
      <c r="A9571" s="3">
        <v>41711</v>
      </c>
      <c r="B9571" s="2" t="s">
        <v>36</v>
      </c>
      <c r="C9571" s="2">
        <v>46</v>
      </c>
    </row>
    <row r="9572" spans="1:3" x14ac:dyDescent="0.25">
      <c r="A9572" s="3">
        <v>41367</v>
      </c>
      <c r="B9572" s="2" t="s">
        <v>44</v>
      </c>
      <c r="C9572" s="2">
        <v>7</v>
      </c>
    </row>
    <row r="9573" spans="1:3" x14ac:dyDescent="0.25">
      <c r="A9573" s="3">
        <v>41662</v>
      </c>
      <c r="B9573" s="2" t="s">
        <v>38</v>
      </c>
      <c r="C9573" s="2">
        <v>26</v>
      </c>
    </row>
    <row r="9574" spans="1:3" x14ac:dyDescent="0.25">
      <c r="A9574" s="3">
        <v>41476</v>
      </c>
      <c r="B9574" s="2" t="s">
        <v>49</v>
      </c>
      <c r="C9574" s="2">
        <v>30</v>
      </c>
    </row>
    <row r="9575" spans="1:3" x14ac:dyDescent="0.25">
      <c r="A9575" s="3">
        <v>41557</v>
      </c>
      <c r="B9575" s="2" t="s">
        <v>20</v>
      </c>
      <c r="C9575" s="2">
        <v>22</v>
      </c>
    </row>
    <row r="9576" spans="1:3" x14ac:dyDescent="0.25">
      <c r="A9576" s="3">
        <v>41748</v>
      </c>
      <c r="B9576" s="2" t="s">
        <v>22</v>
      </c>
      <c r="C9576" s="2">
        <v>26</v>
      </c>
    </row>
    <row r="9577" spans="1:3" x14ac:dyDescent="0.25">
      <c r="A9577" s="3">
        <v>41966</v>
      </c>
      <c r="B9577" s="2" t="s">
        <v>4</v>
      </c>
      <c r="C9577" s="2">
        <v>22</v>
      </c>
    </row>
    <row r="9578" spans="1:3" x14ac:dyDescent="0.25">
      <c r="A9578" s="3">
        <v>41451</v>
      </c>
      <c r="B9578" s="2" t="s">
        <v>17</v>
      </c>
      <c r="C9578" s="2">
        <v>10</v>
      </c>
    </row>
    <row r="9579" spans="1:3" x14ac:dyDescent="0.25">
      <c r="A9579" s="3">
        <v>41371</v>
      </c>
      <c r="B9579" s="2" t="s">
        <v>33</v>
      </c>
      <c r="C9579" s="2">
        <v>10</v>
      </c>
    </row>
    <row r="9580" spans="1:3" x14ac:dyDescent="0.25">
      <c r="A9580" s="3">
        <v>41422</v>
      </c>
      <c r="B9580" s="2" t="s">
        <v>33</v>
      </c>
      <c r="C9580" s="2">
        <v>1</v>
      </c>
    </row>
    <row r="9581" spans="1:3" x14ac:dyDescent="0.25">
      <c r="A9581" s="3">
        <v>41618</v>
      </c>
      <c r="B9581" s="2" t="s">
        <v>35</v>
      </c>
      <c r="C9581" s="2">
        <v>27</v>
      </c>
    </row>
    <row r="9582" spans="1:3" x14ac:dyDescent="0.25">
      <c r="A9582" s="3">
        <v>41518</v>
      </c>
      <c r="B9582" s="2" t="s">
        <v>18</v>
      </c>
      <c r="C9582" s="2">
        <v>51</v>
      </c>
    </row>
    <row r="9583" spans="1:3" x14ac:dyDescent="0.25">
      <c r="A9583" s="3">
        <v>41729</v>
      </c>
      <c r="B9583" s="2" t="s">
        <v>15</v>
      </c>
      <c r="C9583" s="2">
        <v>39</v>
      </c>
    </row>
    <row r="9584" spans="1:3" x14ac:dyDescent="0.25">
      <c r="A9584" s="3">
        <v>41920</v>
      </c>
      <c r="B9584" s="2" t="s">
        <v>2</v>
      </c>
      <c r="C9584" s="2">
        <v>34</v>
      </c>
    </row>
    <row r="9585" spans="1:3" x14ac:dyDescent="0.25">
      <c r="A9585" s="3">
        <v>41956</v>
      </c>
      <c r="B9585" s="2" t="s">
        <v>12</v>
      </c>
      <c r="C9585" s="2">
        <v>40</v>
      </c>
    </row>
    <row r="9586" spans="1:3" x14ac:dyDescent="0.25">
      <c r="A9586" s="3">
        <v>41595</v>
      </c>
      <c r="B9586" s="2" t="s">
        <v>32</v>
      </c>
      <c r="C9586" s="2">
        <v>12</v>
      </c>
    </row>
    <row r="9587" spans="1:3" x14ac:dyDescent="0.25">
      <c r="A9587" s="3">
        <v>41988</v>
      </c>
      <c r="B9587" s="2" t="s">
        <v>48</v>
      </c>
      <c r="C9587" s="2">
        <v>5</v>
      </c>
    </row>
    <row r="9588" spans="1:3" x14ac:dyDescent="0.25">
      <c r="A9588" s="3">
        <v>41587</v>
      </c>
      <c r="B9588" s="2" t="s">
        <v>3</v>
      </c>
      <c r="C9588" s="2">
        <v>32</v>
      </c>
    </row>
    <row r="9589" spans="1:3" x14ac:dyDescent="0.25">
      <c r="A9589" s="3">
        <v>41603</v>
      </c>
      <c r="B9589" s="2" t="s">
        <v>12</v>
      </c>
      <c r="C9589" s="2">
        <v>37</v>
      </c>
    </row>
    <row r="9590" spans="1:3" x14ac:dyDescent="0.25">
      <c r="A9590" s="3">
        <v>41552</v>
      </c>
      <c r="B9590" s="2" t="s">
        <v>25</v>
      </c>
      <c r="C9590" s="2">
        <v>49</v>
      </c>
    </row>
    <row r="9591" spans="1:3" x14ac:dyDescent="0.25">
      <c r="A9591" s="3">
        <v>41326</v>
      </c>
      <c r="B9591" s="2" t="s">
        <v>47</v>
      </c>
      <c r="C9591" s="2">
        <v>13</v>
      </c>
    </row>
    <row r="9592" spans="1:3" x14ac:dyDescent="0.25">
      <c r="A9592" s="3">
        <v>41524</v>
      </c>
      <c r="B9592" s="2" t="s">
        <v>47</v>
      </c>
      <c r="C9592" s="2">
        <v>20</v>
      </c>
    </row>
    <row r="9593" spans="1:3" x14ac:dyDescent="0.25">
      <c r="A9593" s="3">
        <v>41746</v>
      </c>
      <c r="B9593" s="2" t="s">
        <v>6</v>
      </c>
      <c r="C9593" s="2">
        <v>16</v>
      </c>
    </row>
    <row r="9594" spans="1:3" x14ac:dyDescent="0.25">
      <c r="A9594" s="3">
        <v>41837</v>
      </c>
      <c r="B9594" s="2" t="s">
        <v>51</v>
      </c>
      <c r="C9594" s="2">
        <v>38</v>
      </c>
    </row>
    <row r="9595" spans="1:3" x14ac:dyDescent="0.25">
      <c r="A9595" s="3">
        <v>41731</v>
      </c>
      <c r="B9595" s="2" t="s">
        <v>42</v>
      </c>
      <c r="C9595" s="2">
        <v>25</v>
      </c>
    </row>
    <row r="9596" spans="1:3" x14ac:dyDescent="0.25">
      <c r="A9596" s="3">
        <v>41836</v>
      </c>
      <c r="B9596" s="2" t="s">
        <v>10</v>
      </c>
      <c r="C9596" s="2">
        <v>9</v>
      </c>
    </row>
    <row r="9597" spans="1:3" x14ac:dyDescent="0.25">
      <c r="A9597" s="3">
        <v>41944</v>
      </c>
      <c r="B9597" s="2" t="s">
        <v>35</v>
      </c>
      <c r="C9597" s="2">
        <v>1</v>
      </c>
    </row>
    <row r="9598" spans="1:3" x14ac:dyDescent="0.25">
      <c r="A9598" s="3">
        <v>41411</v>
      </c>
      <c r="B9598" s="2" t="s">
        <v>5</v>
      </c>
      <c r="C9598" s="2">
        <v>33</v>
      </c>
    </row>
    <row r="9599" spans="1:3" x14ac:dyDescent="0.25">
      <c r="A9599" s="3">
        <v>41505</v>
      </c>
      <c r="B9599" s="2" t="s">
        <v>41</v>
      </c>
      <c r="C9599" s="2">
        <v>21</v>
      </c>
    </row>
    <row r="9600" spans="1:3" x14ac:dyDescent="0.25">
      <c r="A9600" s="3">
        <v>41729</v>
      </c>
      <c r="B9600" s="2" t="s">
        <v>8</v>
      </c>
      <c r="C9600" s="2">
        <v>17</v>
      </c>
    </row>
    <row r="9601" spans="1:3" x14ac:dyDescent="0.25">
      <c r="A9601" s="3">
        <v>41759</v>
      </c>
      <c r="B9601" s="2" t="s">
        <v>8</v>
      </c>
      <c r="C9601" s="2">
        <v>46</v>
      </c>
    </row>
    <row r="9602" spans="1:3" x14ac:dyDescent="0.25">
      <c r="A9602" s="3">
        <v>41888</v>
      </c>
      <c r="B9602" s="2" t="s">
        <v>34</v>
      </c>
      <c r="C9602" s="2">
        <v>8</v>
      </c>
    </row>
    <row r="9603" spans="1:3" x14ac:dyDescent="0.25">
      <c r="A9603" s="3">
        <v>41881</v>
      </c>
      <c r="B9603" s="2" t="s">
        <v>22</v>
      </c>
      <c r="C9603" s="2">
        <v>29</v>
      </c>
    </row>
    <row r="9604" spans="1:3" x14ac:dyDescent="0.25">
      <c r="A9604" s="3">
        <v>41419</v>
      </c>
      <c r="B9604" s="2" t="s">
        <v>51</v>
      </c>
      <c r="C9604" s="2">
        <v>28</v>
      </c>
    </row>
    <row r="9605" spans="1:3" x14ac:dyDescent="0.25">
      <c r="A9605" s="3">
        <v>41954</v>
      </c>
      <c r="B9605" s="2" t="s">
        <v>25</v>
      </c>
      <c r="C9605" s="2">
        <v>46</v>
      </c>
    </row>
    <row r="9606" spans="1:3" x14ac:dyDescent="0.25">
      <c r="A9606" s="3">
        <v>41356</v>
      </c>
      <c r="B9606" s="2" t="s">
        <v>45</v>
      </c>
      <c r="C9606" s="2">
        <v>55</v>
      </c>
    </row>
    <row r="9607" spans="1:3" x14ac:dyDescent="0.25">
      <c r="A9607" s="3">
        <v>41948</v>
      </c>
      <c r="B9607" s="2" t="s">
        <v>40</v>
      </c>
      <c r="C9607" s="2">
        <v>9</v>
      </c>
    </row>
    <row r="9608" spans="1:3" x14ac:dyDescent="0.25">
      <c r="A9608" s="3">
        <v>41836</v>
      </c>
      <c r="B9608" s="2" t="s">
        <v>15</v>
      </c>
      <c r="C9608" s="2">
        <v>34</v>
      </c>
    </row>
    <row r="9609" spans="1:3" x14ac:dyDescent="0.25">
      <c r="A9609" s="3">
        <v>41342</v>
      </c>
      <c r="B9609" s="2" t="s">
        <v>40</v>
      </c>
      <c r="C9609" s="2">
        <v>4</v>
      </c>
    </row>
    <row r="9610" spans="1:3" x14ac:dyDescent="0.25">
      <c r="A9610" s="3">
        <v>41630</v>
      </c>
      <c r="B9610" s="2" t="s">
        <v>15</v>
      </c>
      <c r="C9610" s="2">
        <v>15</v>
      </c>
    </row>
    <row r="9611" spans="1:3" x14ac:dyDescent="0.25">
      <c r="A9611" s="3">
        <v>41845</v>
      </c>
      <c r="B9611" s="2" t="s">
        <v>9</v>
      </c>
      <c r="C9611" s="2">
        <v>10</v>
      </c>
    </row>
    <row r="9612" spans="1:3" x14ac:dyDescent="0.25">
      <c r="A9612" s="3">
        <v>41953</v>
      </c>
      <c r="B9612" s="2" t="s">
        <v>35</v>
      </c>
      <c r="C9612" s="2">
        <v>18</v>
      </c>
    </row>
    <row r="9613" spans="1:3" x14ac:dyDescent="0.25">
      <c r="A9613" s="3">
        <v>41614</v>
      </c>
      <c r="B9613" s="2" t="s">
        <v>47</v>
      </c>
      <c r="C9613" s="2">
        <v>37</v>
      </c>
    </row>
    <row r="9614" spans="1:3" x14ac:dyDescent="0.25">
      <c r="A9614" s="3">
        <v>41553</v>
      </c>
      <c r="B9614" s="2" t="s">
        <v>41</v>
      </c>
      <c r="C9614" s="2">
        <v>42</v>
      </c>
    </row>
    <row r="9615" spans="1:3" x14ac:dyDescent="0.25">
      <c r="A9615" s="3">
        <v>41990</v>
      </c>
      <c r="B9615" s="2" t="s">
        <v>32</v>
      </c>
      <c r="C9615" s="2">
        <v>29</v>
      </c>
    </row>
    <row r="9616" spans="1:3" x14ac:dyDescent="0.25">
      <c r="A9616" s="3">
        <v>41451</v>
      </c>
      <c r="B9616" s="2" t="s">
        <v>9</v>
      </c>
      <c r="C9616" s="2">
        <v>35</v>
      </c>
    </row>
    <row r="9617" spans="1:3" x14ac:dyDescent="0.25">
      <c r="A9617" s="3">
        <v>41910</v>
      </c>
      <c r="B9617" s="2" t="s">
        <v>6</v>
      </c>
      <c r="C9617" s="2">
        <v>50</v>
      </c>
    </row>
    <row r="9618" spans="1:3" x14ac:dyDescent="0.25">
      <c r="A9618" s="3">
        <v>41523</v>
      </c>
      <c r="B9618" s="2" t="s">
        <v>12</v>
      </c>
      <c r="C9618" s="2">
        <v>43</v>
      </c>
    </row>
    <row r="9619" spans="1:3" x14ac:dyDescent="0.25">
      <c r="A9619" s="3">
        <v>41710</v>
      </c>
      <c r="B9619" s="2" t="s">
        <v>39</v>
      </c>
      <c r="C9619" s="2">
        <v>33</v>
      </c>
    </row>
    <row r="9620" spans="1:3" x14ac:dyDescent="0.25">
      <c r="A9620" s="3">
        <v>41613</v>
      </c>
      <c r="B9620" s="2" t="s">
        <v>46</v>
      </c>
      <c r="C9620" s="2">
        <v>40</v>
      </c>
    </row>
    <row r="9621" spans="1:3" x14ac:dyDescent="0.25">
      <c r="A9621" s="3">
        <v>41433</v>
      </c>
      <c r="B9621" s="2" t="s">
        <v>27</v>
      </c>
      <c r="C9621" s="2">
        <v>5</v>
      </c>
    </row>
    <row r="9622" spans="1:3" x14ac:dyDescent="0.25">
      <c r="A9622" s="3">
        <v>41575</v>
      </c>
      <c r="B9622" s="2" t="s">
        <v>7</v>
      </c>
      <c r="C9622" s="2">
        <v>34</v>
      </c>
    </row>
    <row r="9623" spans="1:3" x14ac:dyDescent="0.25">
      <c r="A9623" s="3">
        <v>41819</v>
      </c>
      <c r="B9623" s="2" t="s">
        <v>8</v>
      </c>
      <c r="C9623" s="2">
        <v>23</v>
      </c>
    </row>
    <row r="9624" spans="1:3" x14ac:dyDescent="0.25">
      <c r="A9624" s="3">
        <v>41302</v>
      </c>
      <c r="B9624" s="2" t="s">
        <v>47</v>
      </c>
      <c r="C9624" s="2">
        <v>33</v>
      </c>
    </row>
    <row r="9625" spans="1:3" x14ac:dyDescent="0.25">
      <c r="A9625" s="3">
        <v>41864</v>
      </c>
      <c r="B9625" s="2" t="s">
        <v>28</v>
      </c>
      <c r="C9625" s="2">
        <v>2</v>
      </c>
    </row>
    <row r="9626" spans="1:3" x14ac:dyDescent="0.25">
      <c r="A9626" s="3">
        <v>41361</v>
      </c>
      <c r="B9626" s="2" t="s">
        <v>36</v>
      </c>
      <c r="C9626" s="2">
        <v>7</v>
      </c>
    </row>
    <row r="9627" spans="1:3" x14ac:dyDescent="0.25">
      <c r="A9627" s="3">
        <v>41746</v>
      </c>
      <c r="B9627" s="2" t="s">
        <v>45</v>
      </c>
      <c r="C9627" s="2">
        <v>15</v>
      </c>
    </row>
    <row r="9628" spans="1:3" x14ac:dyDescent="0.25">
      <c r="A9628" s="3">
        <v>41573</v>
      </c>
      <c r="B9628" s="2" t="s">
        <v>21</v>
      </c>
      <c r="C9628" s="2">
        <v>33</v>
      </c>
    </row>
    <row r="9629" spans="1:3" x14ac:dyDescent="0.25">
      <c r="A9629" s="3">
        <v>41697</v>
      </c>
      <c r="B9629" s="2" t="s">
        <v>23</v>
      </c>
      <c r="C9629" s="2">
        <v>25</v>
      </c>
    </row>
    <row r="9630" spans="1:3" x14ac:dyDescent="0.25">
      <c r="A9630" s="3">
        <v>41336</v>
      </c>
      <c r="B9630" s="2" t="s">
        <v>11</v>
      </c>
      <c r="C9630" s="2">
        <v>42</v>
      </c>
    </row>
    <row r="9631" spans="1:3" x14ac:dyDescent="0.25">
      <c r="A9631" s="3">
        <v>41352</v>
      </c>
      <c r="B9631" s="2" t="s">
        <v>39</v>
      </c>
      <c r="C9631" s="2">
        <v>47</v>
      </c>
    </row>
    <row r="9632" spans="1:3" x14ac:dyDescent="0.25">
      <c r="A9632" s="3">
        <v>41739</v>
      </c>
      <c r="B9632" s="2" t="s">
        <v>21</v>
      </c>
      <c r="C9632" s="2">
        <v>55</v>
      </c>
    </row>
    <row r="9633" spans="1:3" x14ac:dyDescent="0.25">
      <c r="A9633" s="3">
        <v>41335</v>
      </c>
      <c r="B9633" s="2" t="s">
        <v>21</v>
      </c>
      <c r="C9633" s="2">
        <v>25</v>
      </c>
    </row>
    <row r="9634" spans="1:3" x14ac:dyDescent="0.25">
      <c r="A9634" s="3">
        <v>41948</v>
      </c>
      <c r="B9634" s="2" t="s">
        <v>48</v>
      </c>
      <c r="C9634" s="2">
        <v>36</v>
      </c>
    </row>
    <row r="9635" spans="1:3" x14ac:dyDescent="0.25">
      <c r="A9635" s="3">
        <v>41594</v>
      </c>
      <c r="B9635" s="2" t="s">
        <v>7</v>
      </c>
      <c r="C9635" s="2">
        <v>26</v>
      </c>
    </row>
    <row r="9636" spans="1:3" x14ac:dyDescent="0.25">
      <c r="A9636" s="3">
        <v>41634</v>
      </c>
      <c r="B9636" s="2" t="s">
        <v>49</v>
      </c>
      <c r="C9636" s="2">
        <v>32</v>
      </c>
    </row>
    <row r="9637" spans="1:3" x14ac:dyDescent="0.25">
      <c r="A9637" s="3">
        <v>41908</v>
      </c>
      <c r="B9637" s="2" t="s">
        <v>48</v>
      </c>
      <c r="C9637" s="2">
        <v>45</v>
      </c>
    </row>
    <row r="9638" spans="1:3" x14ac:dyDescent="0.25">
      <c r="A9638" s="3">
        <v>41983</v>
      </c>
      <c r="B9638" s="2" t="s">
        <v>21</v>
      </c>
      <c r="C9638" s="2">
        <v>30</v>
      </c>
    </row>
    <row r="9639" spans="1:3" x14ac:dyDescent="0.25">
      <c r="A9639" s="3">
        <v>41496</v>
      </c>
      <c r="B9639" s="2" t="s">
        <v>39</v>
      </c>
      <c r="C9639" s="2">
        <v>9</v>
      </c>
    </row>
    <row r="9640" spans="1:3" x14ac:dyDescent="0.25">
      <c r="A9640" s="3">
        <v>41880</v>
      </c>
      <c r="B9640" s="2" t="s">
        <v>49</v>
      </c>
      <c r="C9640" s="2">
        <v>42</v>
      </c>
    </row>
    <row r="9641" spans="1:3" x14ac:dyDescent="0.25">
      <c r="A9641" s="3">
        <v>41714</v>
      </c>
      <c r="B9641" s="2" t="s">
        <v>17</v>
      </c>
      <c r="C9641" s="2">
        <v>34</v>
      </c>
    </row>
    <row r="9642" spans="1:3" x14ac:dyDescent="0.25">
      <c r="A9642" s="3">
        <v>41280</v>
      </c>
      <c r="B9642" s="2" t="s">
        <v>12</v>
      </c>
      <c r="C9642" s="2">
        <v>54</v>
      </c>
    </row>
    <row r="9643" spans="1:3" x14ac:dyDescent="0.25">
      <c r="A9643" s="3">
        <v>41511</v>
      </c>
      <c r="B9643" s="2" t="s">
        <v>47</v>
      </c>
      <c r="C9643" s="2">
        <v>36</v>
      </c>
    </row>
    <row r="9644" spans="1:3" x14ac:dyDescent="0.25">
      <c r="A9644" s="3">
        <v>41288</v>
      </c>
      <c r="B9644" s="2" t="s">
        <v>20</v>
      </c>
      <c r="C9644" s="2">
        <v>32</v>
      </c>
    </row>
    <row r="9645" spans="1:3" x14ac:dyDescent="0.25">
      <c r="A9645" s="3">
        <v>41736</v>
      </c>
      <c r="B9645" s="2" t="s">
        <v>33</v>
      </c>
      <c r="C9645" s="2">
        <v>44</v>
      </c>
    </row>
    <row r="9646" spans="1:3" x14ac:dyDescent="0.25">
      <c r="A9646" s="3">
        <v>41340</v>
      </c>
      <c r="B9646" s="2" t="s">
        <v>18</v>
      </c>
      <c r="C9646" s="2">
        <v>38</v>
      </c>
    </row>
    <row r="9647" spans="1:3" x14ac:dyDescent="0.25">
      <c r="A9647" s="3">
        <v>41823</v>
      </c>
      <c r="B9647" s="2" t="s">
        <v>28</v>
      </c>
      <c r="C9647" s="2">
        <v>25</v>
      </c>
    </row>
    <row r="9648" spans="1:3" x14ac:dyDescent="0.25">
      <c r="A9648" s="3">
        <v>41956</v>
      </c>
      <c r="B9648" s="2" t="s">
        <v>51</v>
      </c>
      <c r="C9648" s="2">
        <v>21</v>
      </c>
    </row>
    <row r="9649" spans="1:3" x14ac:dyDescent="0.25">
      <c r="A9649" s="3">
        <v>41801</v>
      </c>
      <c r="B9649" s="2" t="s">
        <v>26</v>
      </c>
      <c r="C9649" s="2">
        <v>30</v>
      </c>
    </row>
    <row r="9650" spans="1:3" x14ac:dyDescent="0.25">
      <c r="A9650" s="3">
        <v>41275</v>
      </c>
      <c r="B9650" s="2" t="s">
        <v>22</v>
      </c>
      <c r="C9650" s="2">
        <v>39</v>
      </c>
    </row>
    <row r="9651" spans="1:3" x14ac:dyDescent="0.25">
      <c r="A9651" s="3">
        <v>41814</v>
      </c>
      <c r="B9651" s="2" t="s">
        <v>12</v>
      </c>
      <c r="C9651" s="2">
        <v>18</v>
      </c>
    </row>
    <row r="9652" spans="1:3" x14ac:dyDescent="0.25">
      <c r="A9652" s="3">
        <v>41996</v>
      </c>
      <c r="B9652" s="2" t="s">
        <v>2</v>
      </c>
      <c r="C9652" s="2">
        <v>33</v>
      </c>
    </row>
    <row r="9653" spans="1:3" x14ac:dyDescent="0.25">
      <c r="A9653" s="3">
        <v>41551</v>
      </c>
      <c r="B9653" s="2" t="s">
        <v>38</v>
      </c>
      <c r="C9653" s="2">
        <v>28</v>
      </c>
    </row>
    <row r="9654" spans="1:3" x14ac:dyDescent="0.25">
      <c r="A9654" s="3">
        <v>41427</v>
      </c>
      <c r="B9654" s="2" t="s">
        <v>46</v>
      </c>
      <c r="C9654" s="2">
        <v>23</v>
      </c>
    </row>
    <row r="9655" spans="1:3" x14ac:dyDescent="0.25">
      <c r="A9655" s="3">
        <v>41986</v>
      </c>
      <c r="B9655" s="2" t="s">
        <v>11</v>
      </c>
      <c r="C9655" s="2">
        <v>36</v>
      </c>
    </row>
    <row r="9656" spans="1:3" x14ac:dyDescent="0.25">
      <c r="A9656" s="3">
        <v>41317</v>
      </c>
      <c r="B9656" s="2" t="s">
        <v>4</v>
      </c>
      <c r="C9656" s="2">
        <v>35</v>
      </c>
    </row>
    <row r="9657" spans="1:3" x14ac:dyDescent="0.25">
      <c r="A9657" s="3">
        <v>41371</v>
      </c>
      <c r="B9657" s="2" t="s">
        <v>20</v>
      </c>
      <c r="C9657" s="2">
        <v>14</v>
      </c>
    </row>
    <row r="9658" spans="1:3" x14ac:dyDescent="0.25">
      <c r="A9658" s="3">
        <v>41666</v>
      </c>
      <c r="B9658" s="2" t="s">
        <v>49</v>
      </c>
      <c r="C9658" s="2">
        <v>20</v>
      </c>
    </row>
    <row r="9659" spans="1:3" x14ac:dyDescent="0.25">
      <c r="A9659" s="3">
        <v>41283</v>
      </c>
      <c r="B9659" s="2" t="s">
        <v>12</v>
      </c>
      <c r="C9659" s="2">
        <v>21</v>
      </c>
    </row>
    <row r="9660" spans="1:3" x14ac:dyDescent="0.25">
      <c r="A9660" s="3">
        <v>41880</v>
      </c>
      <c r="B9660" s="2" t="s">
        <v>31</v>
      </c>
      <c r="C9660" s="2">
        <v>1</v>
      </c>
    </row>
    <row r="9661" spans="1:3" x14ac:dyDescent="0.25">
      <c r="A9661" s="3">
        <v>41300</v>
      </c>
      <c r="B9661" s="2" t="s">
        <v>25</v>
      </c>
      <c r="C9661" s="2">
        <v>6</v>
      </c>
    </row>
    <row r="9662" spans="1:3" x14ac:dyDescent="0.25">
      <c r="A9662" s="3">
        <v>41894</v>
      </c>
      <c r="B9662" s="2" t="s">
        <v>12</v>
      </c>
      <c r="C9662" s="2">
        <v>2</v>
      </c>
    </row>
    <row r="9663" spans="1:3" x14ac:dyDescent="0.25">
      <c r="A9663" s="3">
        <v>41409</v>
      </c>
      <c r="B9663" s="2" t="s">
        <v>29</v>
      </c>
      <c r="C9663" s="2">
        <v>7</v>
      </c>
    </row>
    <row r="9664" spans="1:3" x14ac:dyDescent="0.25">
      <c r="A9664" s="3">
        <v>41622</v>
      </c>
      <c r="B9664" s="2" t="s">
        <v>20</v>
      </c>
      <c r="C9664" s="2">
        <v>3</v>
      </c>
    </row>
    <row r="9665" spans="1:3" x14ac:dyDescent="0.25">
      <c r="A9665" s="3">
        <v>41904</v>
      </c>
      <c r="B9665" s="2" t="s">
        <v>10</v>
      </c>
      <c r="C9665" s="2">
        <v>44</v>
      </c>
    </row>
    <row r="9666" spans="1:3" x14ac:dyDescent="0.25">
      <c r="A9666" s="3">
        <v>41986</v>
      </c>
      <c r="B9666" s="2" t="s">
        <v>50</v>
      </c>
      <c r="C9666" s="2">
        <v>22</v>
      </c>
    </row>
    <row r="9667" spans="1:3" x14ac:dyDescent="0.25">
      <c r="A9667" s="3">
        <v>41519</v>
      </c>
      <c r="B9667" s="2" t="s">
        <v>12</v>
      </c>
      <c r="C9667" s="2">
        <v>42</v>
      </c>
    </row>
    <row r="9668" spans="1:3" x14ac:dyDescent="0.25">
      <c r="A9668" s="3">
        <v>41556</v>
      </c>
      <c r="B9668" s="2" t="s">
        <v>43</v>
      </c>
      <c r="C9668" s="2">
        <v>47</v>
      </c>
    </row>
    <row r="9669" spans="1:3" x14ac:dyDescent="0.25">
      <c r="A9669" s="3">
        <v>41785</v>
      </c>
      <c r="B9669" s="2" t="s">
        <v>35</v>
      </c>
      <c r="C9669" s="2">
        <v>40</v>
      </c>
    </row>
    <row r="9670" spans="1:3" x14ac:dyDescent="0.25">
      <c r="A9670" s="3">
        <v>41347</v>
      </c>
      <c r="B9670" s="2" t="s">
        <v>12</v>
      </c>
      <c r="C9670" s="2">
        <v>35</v>
      </c>
    </row>
    <row r="9671" spans="1:3" x14ac:dyDescent="0.25">
      <c r="A9671" s="3">
        <v>41506</v>
      </c>
      <c r="B9671" s="2" t="s">
        <v>30</v>
      </c>
      <c r="C9671" s="2">
        <v>51</v>
      </c>
    </row>
    <row r="9672" spans="1:3" x14ac:dyDescent="0.25">
      <c r="A9672" s="3">
        <v>41556</v>
      </c>
      <c r="B9672" s="2" t="s">
        <v>34</v>
      </c>
      <c r="C9672" s="2">
        <v>18</v>
      </c>
    </row>
    <row r="9673" spans="1:3" x14ac:dyDescent="0.25">
      <c r="A9673" s="3">
        <v>41893</v>
      </c>
      <c r="B9673" s="2" t="s">
        <v>30</v>
      </c>
      <c r="C9673" s="2">
        <v>23</v>
      </c>
    </row>
    <row r="9674" spans="1:3" x14ac:dyDescent="0.25">
      <c r="A9674" s="3">
        <v>41946</v>
      </c>
      <c r="B9674" s="2" t="s">
        <v>25</v>
      </c>
      <c r="C9674" s="2">
        <v>34</v>
      </c>
    </row>
    <row r="9675" spans="1:3" x14ac:dyDescent="0.25">
      <c r="A9675" s="3">
        <v>41644</v>
      </c>
      <c r="B9675" s="2" t="s">
        <v>7</v>
      </c>
      <c r="C9675" s="2">
        <v>32</v>
      </c>
    </row>
    <row r="9676" spans="1:3" x14ac:dyDescent="0.25">
      <c r="A9676" s="3">
        <v>41684</v>
      </c>
      <c r="B9676" s="2" t="s">
        <v>32</v>
      </c>
      <c r="C9676" s="2">
        <v>48</v>
      </c>
    </row>
    <row r="9677" spans="1:3" x14ac:dyDescent="0.25">
      <c r="A9677" s="3">
        <v>41345</v>
      </c>
      <c r="B9677" s="2" t="s">
        <v>28</v>
      </c>
      <c r="C9677" s="2">
        <v>47</v>
      </c>
    </row>
    <row r="9678" spans="1:3" x14ac:dyDescent="0.25">
      <c r="A9678" s="3">
        <v>41504</v>
      </c>
      <c r="B9678" s="2" t="s">
        <v>8</v>
      </c>
      <c r="C9678" s="2">
        <v>50</v>
      </c>
    </row>
    <row r="9679" spans="1:3" x14ac:dyDescent="0.25">
      <c r="A9679" s="3">
        <v>41896</v>
      </c>
      <c r="B9679" s="2" t="s">
        <v>28</v>
      </c>
      <c r="C9679" s="2">
        <v>24</v>
      </c>
    </row>
    <row r="9680" spans="1:3" x14ac:dyDescent="0.25">
      <c r="A9680" s="3">
        <v>41496</v>
      </c>
      <c r="B9680" s="2" t="s">
        <v>4</v>
      </c>
      <c r="C9680" s="2">
        <v>44</v>
      </c>
    </row>
    <row r="9681" spans="1:3" x14ac:dyDescent="0.25">
      <c r="A9681" s="3">
        <v>41569</v>
      </c>
      <c r="B9681" s="2" t="s">
        <v>30</v>
      </c>
      <c r="C9681" s="2">
        <v>47</v>
      </c>
    </row>
    <row r="9682" spans="1:3" x14ac:dyDescent="0.25">
      <c r="A9682" s="3">
        <v>41444</v>
      </c>
      <c r="B9682" s="2" t="s">
        <v>29</v>
      </c>
      <c r="C9682" s="2">
        <v>17</v>
      </c>
    </row>
    <row r="9683" spans="1:3" x14ac:dyDescent="0.25">
      <c r="A9683" s="3">
        <v>41562</v>
      </c>
      <c r="B9683" s="2" t="s">
        <v>43</v>
      </c>
      <c r="C9683" s="2">
        <v>32</v>
      </c>
    </row>
    <row r="9684" spans="1:3" x14ac:dyDescent="0.25">
      <c r="A9684" s="3">
        <v>41790</v>
      </c>
      <c r="B9684" s="2" t="s">
        <v>26</v>
      </c>
      <c r="C9684" s="2">
        <v>2</v>
      </c>
    </row>
    <row r="9685" spans="1:3" x14ac:dyDescent="0.25">
      <c r="A9685" s="3">
        <v>41942</v>
      </c>
      <c r="B9685" s="2" t="s">
        <v>16</v>
      </c>
      <c r="C9685" s="2">
        <v>46</v>
      </c>
    </row>
    <row r="9686" spans="1:3" x14ac:dyDescent="0.25">
      <c r="A9686" s="3">
        <v>41709</v>
      </c>
      <c r="B9686" s="2" t="s">
        <v>16</v>
      </c>
      <c r="C9686" s="2">
        <v>13</v>
      </c>
    </row>
    <row r="9687" spans="1:3" x14ac:dyDescent="0.25">
      <c r="A9687" s="3">
        <v>41991</v>
      </c>
      <c r="B9687" s="2" t="s">
        <v>35</v>
      </c>
      <c r="C9687" s="2">
        <v>27</v>
      </c>
    </row>
    <row r="9688" spans="1:3" x14ac:dyDescent="0.25">
      <c r="A9688" s="3">
        <v>41336</v>
      </c>
      <c r="B9688" s="2" t="s">
        <v>35</v>
      </c>
      <c r="C9688" s="2">
        <v>9</v>
      </c>
    </row>
    <row r="9689" spans="1:3" x14ac:dyDescent="0.25">
      <c r="A9689" s="3">
        <v>41370</v>
      </c>
      <c r="B9689" s="2" t="s">
        <v>22</v>
      </c>
      <c r="C9689" s="2">
        <v>40</v>
      </c>
    </row>
    <row r="9690" spans="1:3" x14ac:dyDescent="0.25">
      <c r="A9690" s="3">
        <v>41278</v>
      </c>
      <c r="B9690" s="2" t="s">
        <v>34</v>
      </c>
      <c r="C9690" s="2">
        <v>25</v>
      </c>
    </row>
    <row r="9691" spans="1:3" x14ac:dyDescent="0.25">
      <c r="A9691" s="3">
        <v>41477</v>
      </c>
      <c r="B9691" s="2" t="s">
        <v>24</v>
      </c>
      <c r="C9691" s="2">
        <v>14</v>
      </c>
    </row>
    <row r="9692" spans="1:3" x14ac:dyDescent="0.25">
      <c r="A9692" s="3">
        <v>41857</v>
      </c>
      <c r="B9692" s="2" t="s">
        <v>42</v>
      </c>
      <c r="C9692" s="2">
        <v>37</v>
      </c>
    </row>
    <row r="9693" spans="1:3" x14ac:dyDescent="0.25">
      <c r="A9693" s="3">
        <v>41289</v>
      </c>
      <c r="B9693" s="2" t="s">
        <v>7</v>
      </c>
      <c r="C9693" s="2">
        <v>30</v>
      </c>
    </row>
    <row r="9694" spans="1:3" x14ac:dyDescent="0.25">
      <c r="A9694" s="3">
        <v>41768</v>
      </c>
      <c r="B9694" s="2" t="s">
        <v>51</v>
      </c>
      <c r="C9694" s="2">
        <v>33</v>
      </c>
    </row>
    <row r="9695" spans="1:3" x14ac:dyDescent="0.25">
      <c r="A9695" s="3">
        <v>41423</v>
      </c>
      <c r="B9695" s="2" t="s">
        <v>21</v>
      </c>
      <c r="C9695" s="2">
        <v>53</v>
      </c>
    </row>
    <row r="9696" spans="1:3" x14ac:dyDescent="0.25">
      <c r="A9696" s="3">
        <v>41875</v>
      </c>
      <c r="B9696" s="2" t="s">
        <v>9</v>
      </c>
      <c r="C9696" s="2">
        <v>21</v>
      </c>
    </row>
    <row r="9697" spans="1:3" x14ac:dyDescent="0.25">
      <c r="A9697" s="3">
        <v>41828</v>
      </c>
      <c r="B9697" s="2" t="s">
        <v>4</v>
      </c>
      <c r="C9697" s="2">
        <v>48</v>
      </c>
    </row>
    <row r="9698" spans="1:3" x14ac:dyDescent="0.25">
      <c r="A9698" s="3">
        <v>41931</v>
      </c>
      <c r="B9698" s="2" t="s">
        <v>50</v>
      </c>
      <c r="C9698" s="2">
        <v>35</v>
      </c>
    </row>
    <row r="9699" spans="1:3" x14ac:dyDescent="0.25">
      <c r="A9699" s="3">
        <v>41972</v>
      </c>
      <c r="B9699" s="2" t="s">
        <v>29</v>
      </c>
      <c r="C9699" s="2">
        <v>30</v>
      </c>
    </row>
    <row r="9700" spans="1:3" x14ac:dyDescent="0.25">
      <c r="A9700" s="3">
        <v>41660</v>
      </c>
      <c r="B9700" s="2" t="s">
        <v>5</v>
      </c>
      <c r="C9700" s="2">
        <v>57</v>
      </c>
    </row>
    <row r="9701" spans="1:3" x14ac:dyDescent="0.25">
      <c r="A9701" s="3">
        <v>41588</v>
      </c>
      <c r="B9701" s="2" t="s">
        <v>11</v>
      </c>
      <c r="C9701" s="2">
        <v>42</v>
      </c>
    </row>
    <row r="9702" spans="1:3" x14ac:dyDescent="0.25">
      <c r="A9702" s="3">
        <v>41540</v>
      </c>
      <c r="B9702" s="2" t="s">
        <v>20</v>
      </c>
      <c r="C9702" s="2">
        <v>3</v>
      </c>
    </row>
    <row r="9703" spans="1:3" x14ac:dyDescent="0.25">
      <c r="A9703" s="3">
        <v>41514</v>
      </c>
      <c r="B9703" s="2" t="s">
        <v>46</v>
      </c>
      <c r="C9703" s="2">
        <v>57</v>
      </c>
    </row>
    <row r="9704" spans="1:3" x14ac:dyDescent="0.25">
      <c r="A9704" s="3">
        <v>41594</v>
      </c>
      <c r="B9704" s="2" t="s">
        <v>40</v>
      </c>
      <c r="C9704" s="2">
        <v>0</v>
      </c>
    </row>
    <row r="9705" spans="1:3" x14ac:dyDescent="0.25">
      <c r="A9705" s="3">
        <v>41704</v>
      </c>
      <c r="B9705" s="2" t="s">
        <v>46</v>
      </c>
      <c r="C9705" s="2">
        <v>5</v>
      </c>
    </row>
    <row r="9706" spans="1:3" x14ac:dyDescent="0.25">
      <c r="A9706" s="3">
        <v>41647</v>
      </c>
      <c r="B9706" s="2" t="s">
        <v>51</v>
      </c>
      <c r="C9706" s="2">
        <v>32</v>
      </c>
    </row>
    <row r="9707" spans="1:3" x14ac:dyDescent="0.25">
      <c r="A9707" s="3">
        <v>41322</v>
      </c>
      <c r="B9707" s="2" t="s">
        <v>47</v>
      </c>
      <c r="C9707" s="2">
        <v>32</v>
      </c>
    </row>
    <row r="9708" spans="1:3" x14ac:dyDescent="0.25">
      <c r="A9708" s="3">
        <v>41532</v>
      </c>
      <c r="B9708" s="2" t="s">
        <v>8</v>
      </c>
      <c r="C9708" s="2">
        <v>23</v>
      </c>
    </row>
    <row r="9709" spans="1:3" x14ac:dyDescent="0.25">
      <c r="A9709" s="3">
        <v>41737</v>
      </c>
      <c r="B9709" s="2" t="s">
        <v>40</v>
      </c>
      <c r="C9709" s="2">
        <v>32</v>
      </c>
    </row>
    <row r="9710" spans="1:3" x14ac:dyDescent="0.25">
      <c r="A9710" s="3">
        <v>41390</v>
      </c>
      <c r="B9710" s="2" t="s">
        <v>29</v>
      </c>
      <c r="C9710" s="2">
        <v>23</v>
      </c>
    </row>
    <row r="9711" spans="1:3" x14ac:dyDescent="0.25">
      <c r="A9711" s="3">
        <v>41667</v>
      </c>
      <c r="B9711" s="2" t="s">
        <v>24</v>
      </c>
      <c r="C9711" s="2">
        <v>20</v>
      </c>
    </row>
    <row r="9712" spans="1:3" x14ac:dyDescent="0.25">
      <c r="A9712" s="3">
        <v>41419</v>
      </c>
      <c r="B9712" s="2" t="s">
        <v>38</v>
      </c>
      <c r="C9712" s="2">
        <v>28</v>
      </c>
    </row>
    <row r="9713" spans="1:3" x14ac:dyDescent="0.25">
      <c r="A9713" s="3">
        <v>41359</v>
      </c>
      <c r="B9713" s="2" t="s">
        <v>43</v>
      </c>
      <c r="C9713" s="2">
        <v>29</v>
      </c>
    </row>
    <row r="9714" spans="1:3" x14ac:dyDescent="0.25">
      <c r="A9714" s="3">
        <v>41426</v>
      </c>
      <c r="B9714" s="2" t="s">
        <v>20</v>
      </c>
      <c r="C9714" s="2">
        <v>18</v>
      </c>
    </row>
    <row r="9715" spans="1:3" x14ac:dyDescent="0.25">
      <c r="A9715" s="3">
        <v>41510</v>
      </c>
      <c r="B9715" s="2" t="s">
        <v>27</v>
      </c>
      <c r="C9715" s="2">
        <v>1</v>
      </c>
    </row>
    <row r="9716" spans="1:3" x14ac:dyDescent="0.25">
      <c r="A9716" s="3">
        <v>41623</v>
      </c>
      <c r="B9716" s="2" t="s">
        <v>27</v>
      </c>
      <c r="C9716" s="2">
        <v>4</v>
      </c>
    </row>
    <row r="9717" spans="1:3" x14ac:dyDescent="0.25">
      <c r="A9717" s="3">
        <v>41276</v>
      </c>
      <c r="B9717" s="2" t="s">
        <v>31</v>
      </c>
      <c r="C9717" s="2">
        <v>29</v>
      </c>
    </row>
    <row r="9718" spans="1:3" x14ac:dyDescent="0.25">
      <c r="A9718" s="3">
        <v>41510</v>
      </c>
      <c r="B9718" s="2" t="s">
        <v>20</v>
      </c>
      <c r="C9718" s="2">
        <v>11</v>
      </c>
    </row>
    <row r="9719" spans="1:3" x14ac:dyDescent="0.25">
      <c r="A9719" s="3">
        <v>41746</v>
      </c>
      <c r="B9719" s="2" t="s">
        <v>38</v>
      </c>
      <c r="C9719" s="2">
        <v>15</v>
      </c>
    </row>
    <row r="9720" spans="1:3" x14ac:dyDescent="0.25">
      <c r="A9720" s="3">
        <v>41811</v>
      </c>
      <c r="B9720" s="2" t="s">
        <v>35</v>
      </c>
      <c r="C9720" s="2">
        <v>20</v>
      </c>
    </row>
    <row r="9721" spans="1:3" x14ac:dyDescent="0.25">
      <c r="A9721" s="3">
        <v>41295</v>
      </c>
      <c r="B9721" s="2" t="s">
        <v>6</v>
      </c>
      <c r="C9721" s="2">
        <v>8</v>
      </c>
    </row>
    <row r="9722" spans="1:3" x14ac:dyDescent="0.25">
      <c r="A9722" s="3">
        <v>41522</v>
      </c>
      <c r="B9722" s="2" t="s">
        <v>8</v>
      </c>
      <c r="C9722" s="2">
        <v>26</v>
      </c>
    </row>
    <row r="9723" spans="1:3" x14ac:dyDescent="0.25">
      <c r="A9723" s="3">
        <v>41853</v>
      </c>
      <c r="B9723" s="2" t="s">
        <v>19</v>
      </c>
      <c r="C9723" s="2">
        <v>15</v>
      </c>
    </row>
    <row r="9724" spans="1:3" x14ac:dyDescent="0.25">
      <c r="A9724" s="3">
        <v>41809</v>
      </c>
      <c r="B9724" s="2" t="s">
        <v>27</v>
      </c>
      <c r="C9724" s="2">
        <v>23</v>
      </c>
    </row>
    <row r="9725" spans="1:3" x14ac:dyDescent="0.25">
      <c r="A9725" s="3">
        <v>41644</v>
      </c>
      <c r="B9725" s="2" t="s">
        <v>36</v>
      </c>
      <c r="C9725" s="2">
        <v>33</v>
      </c>
    </row>
    <row r="9726" spans="1:3" x14ac:dyDescent="0.25">
      <c r="A9726" s="3">
        <v>41307</v>
      </c>
      <c r="B9726" s="2" t="s">
        <v>43</v>
      </c>
      <c r="C9726" s="2">
        <v>33</v>
      </c>
    </row>
    <row r="9727" spans="1:3" x14ac:dyDescent="0.25">
      <c r="A9727" s="3">
        <v>41632</v>
      </c>
      <c r="B9727" s="2" t="s">
        <v>6</v>
      </c>
      <c r="C9727" s="2">
        <v>40</v>
      </c>
    </row>
    <row r="9728" spans="1:3" x14ac:dyDescent="0.25">
      <c r="A9728" s="3">
        <v>41296</v>
      </c>
      <c r="B9728" s="2" t="s">
        <v>44</v>
      </c>
      <c r="C9728" s="2">
        <v>43</v>
      </c>
    </row>
    <row r="9729" spans="1:3" x14ac:dyDescent="0.25">
      <c r="A9729" s="3">
        <v>41582</v>
      </c>
      <c r="B9729" s="2" t="s">
        <v>8</v>
      </c>
      <c r="C9729" s="2">
        <v>13</v>
      </c>
    </row>
    <row r="9730" spans="1:3" x14ac:dyDescent="0.25">
      <c r="A9730" s="3">
        <v>41568</v>
      </c>
      <c r="B9730" s="2" t="s">
        <v>38</v>
      </c>
      <c r="C9730" s="2">
        <v>11</v>
      </c>
    </row>
    <row r="9731" spans="1:3" x14ac:dyDescent="0.25">
      <c r="A9731" s="3">
        <v>41806</v>
      </c>
      <c r="B9731" s="2" t="s">
        <v>47</v>
      </c>
      <c r="C9731" s="2">
        <v>13</v>
      </c>
    </row>
    <row r="9732" spans="1:3" x14ac:dyDescent="0.25">
      <c r="A9732" s="3">
        <v>41654</v>
      </c>
      <c r="B9732" s="2" t="s">
        <v>37</v>
      </c>
      <c r="C9732" s="2">
        <v>4</v>
      </c>
    </row>
    <row r="9733" spans="1:3" x14ac:dyDescent="0.25">
      <c r="A9733" s="3">
        <v>42000</v>
      </c>
      <c r="B9733" s="2" t="s">
        <v>39</v>
      </c>
      <c r="C9733" s="2">
        <v>45</v>
      </c>
    </row>
    <row r="9734" spans="1:3" x14ac:dyDescent="0.25">
      <c r="A9734" s="3">
        <v>41835</v>
      </c>
      <c r="B9734" s="2" t="s">
        <v>13</v>
      </c>
      <c r="C9734" s="2">
        <v>16</v>
      </c>
    </row>
    <row r="9735" spans="1:3" x14ac:dyDescent="0.25">
      <c r="A9735" s="3">
        <v>41481</v>
      </c>
      <c r="B9735" s="2" t="s">
        <v>3</v>
      </c>
      <c r="C9735" s="2">
        <v>33</v>
      </c>
    </row>
    <row r="9736" spans="1:3" x14ac:dyDescent="0.25">
      <c r="A9736" s="3">
        <v>41747</v>
      </c>
      <c r="B9736" s="2" t="s">
        <v>37</v>
      </c>
      <c r="C9736" s="2">
        <v>40</v>
      </c>
    </row>
    <row r="9737" spans="1:3" x14ac:dyDescent="0.25">
      <c r="A9737" s="3">
        <v>41709</v>
      </c>
      <c r="B9737" s="2" t="s">
        <v>9</v>
      </c>
      <c r="C9737" s="2">
        <v>57</v>
      </c>
    </row>
    <row r="9738" spans="1:3" x14ac:dyDescent="0.25">
      <c r="A9738" s="3">
        <v>41323</v>
      </c>
      <c r="B9738" s="2" t="s">
        <v>8</v>
      </c>
      <c r="C9738" s="2">
        <v>41</v>
      </c>
    </row>
    <row r="9739" spans="1:3" x14ac:dyDescent="0.25">
      <c r="A9739" s="3">
        <v>41516</v>
      </c>
      <c r="B9739" s="2" t="s">
        <v>9</v>
      </c>
      <c r="C9739" s="2">
        <v>6</v>
      </c>
    </row>
    <row r="9740" spans="1:3" x14ac:dyDescent="0.25">
      <c r="A9740" s="3">
        <v>41786</v>
      </c>
      <c r="B9740" s="2" t="s">
        <v>15</v>
      </c>
      <c r="C9740" s="2">
        <v>35</v>
      </c>
    </row>
    <row r="9741" spans="1:3" x14ac:dyDescent="0.25">
      <c r="A9741" s="3">
        <v>41971</v>
      </c>
      <c r="B9741" s="2" t="s">
        <v>13</v>
      </c>
      <c r="C9741" s="2">
        <v>21</v>
      </c>
    </row>
    <row r="9742" spans="1:3" x14ac:dyDescent="0.25">
      <c r="A9742" s="3">
        <v>41455</v>
      </c>
      <c r="B9742" s="2" t="s">
        <v>7</v>
      </c>
      <c r="C9742" s="2">
        <v>28</v>
      </c>
    </row>
    <row r="9743" spans="1:3" x14ac:dyDescent="0.25">
      <c r="A9743" s="3">
        <v>41632</v>
      </c>
      <c r="B9743" s="2" t="s">
        <v>14</v>
      </c>
      <c r="C9743" s="2">
        <v>14</v>
      </c>
    </row>
    <row r="9744" spans="1:3" x14ac:dyDescent="0.25">
      <c r="A9744" s="3">
        <v>41317</v>
      </c>
      <c r="B9744" s="2" t="s">
        <v>27</v>
      </c>
      <c r="C9744" s="2">
        <v>38</v>
      </c>
    </row>
    <row r="9745" spans="1:3" x14ac:dyDescent="0.25">
      <c r="A9745" s="3">
        <v>41716</v>
      </c>
      <c r="B9745" s="2" t="s">
        <v>8</v>
      </c>
      <c r="C9745" s="2">
        <v>40</v>
      </c>
    </row>
    <row r="9746" spans="1:3" x14ac:dyDescent="0.25">
      <c r="A9746" s="3">
        <v>41403</v>
      </c>
      <c r="B9746" s="2" t="s">
        <v>12</v>
      </c>
      <c r="C9746" s="2">
        <v>20</v>
      </c>
    </row>
    <row r="9747" spans="1:3" x14ac:dyDescent="0.25">
      <c r="A9747" s="3">
        <v>41316</v>
      </c>
      <c r="B9747" s="2" t="s">
        <v>13</v>
      </c>
      <c r="C9747" s="2">
        <v>28</v>
      </c>
    </row>
    <row r="9748" spans="1:3" x14ac:dyDescent="0.25">
      <c r="A9748" s="3">
        <v>41789</v>
      </c>
      <c r="B9748" s="2" t="s">
        <v>22</v>
      </c>
      <c r="C9748" s="2">
        <v>37</v>
      </c>
    </row>
    <row r="9749" spans="1:3" x14ac:dyDescent="0.25">
      <c r="A9749" s="3">
        <v>41427</v>
      </c>
      <c r="B9749" s="2" t="s">
        <v>35</v>
      </c>
      <c r="C9749" s="2">
        <v>20</v>
      </c>
    </row>
    <row r="9750" spans="1:3" x14ac:dyDescent="0.25">
      <c r="A9750" s="3">
        <v>41978</v>
      </c>
      <c r="B9750" s="2" t="s">
        <v>51</v>
      </c>
      <c r="C9750" s="2">
        <v>7</v>
      </c>
    </row>
    <row r="9751" spans="1:3" x14ac:dyDescent="0.25">
      <c r="A9751" s="3">
        <v>41518</v>
      </c>
      <c r="B9751" s="2" t="s">
        <v>40</v>
      </c>
      <c r="C9751" s="2">
        <v>27</v>
      </c>
    </row>
    <row r="9752" spans="1:3" x14ac:dyDescent="0.25">
      <c r="A9752" s="3">
        <v>41506</v>
      </c>
      <c r="B9752" s="2" t="s">
        <v>9</v>
      </c>
      <c r="C9752" s="2">
        <v>17</v>
      </c>
    </row>
    <row r="9753" spans="1:3" x14ac:dyDescent="0.25">
      <c r="A9753" s="3">
        <v>41282</v>
      </c>
      <c r="B9753" s="2" t="s">
        <v>41</v>
      </c>
      <c r="C9753" s="2">
        <v>29</v>
      </c>
    </row>
    <row r="9754" spans="1:3" x14ac:dyDescent="0.25">
      <c r="A9754" s="3">
        <v>41290</v>
      </c>
      <c r="B9754" s="2" t="s">
        <v>47</v>
      </c>
      <c r="C9754" s="2">
        <v>7</v>
      </c>
    </row>
    <row r="9755" spans="1:3" x14ac:dyDescent="0.25">
      <c r="A9755" s="3">
        <v>41352</v>
      </c>
      <c r="B9755" s="2" t="s">
        <v>12</v>
      </c>
      <c r="C9755" s="2">
        <v>10</v>
      </c>
    </row>
    <row r="9756" spans="1:3" x14ac:dyDescent="0.25">
      <c r="A9756" s="3">
        <v>41743</v>
      </c>
      <c r="B9756" s="2" t="s">
        <v>39</v>
      </c>
      <c r="C9756" s="2">
        <v>20</v>
      </c>
    </row>
    <row r="9757" spans="1:3" x14ac:dyDescent="0.25">
      <c r="A9757" s="3">
        <v>41891</v>
      </c>
      <c r="B9757" s="2" t="s">
        <v>39</v>
      </c>
      <c r="C9757" s="2">
        <v>26</v>
      </c>
    </row>
    <row r="9758" spans="1:3" x14ac:dyDescent="0.25">
      <c r="A9758" s="3">
        <v>41329</v>
      </c>
      <c r="B9758" s="2" t="s">
        <v>17</v>
      </c>
      <c r="C9758" s="2">
        <v>22</v>
      </c>
    </row>
    <row r="9759" spans="1:3" x14ac:dyDescent="0.25">
      <c r="A9759" s="3">
        <v>41700</v>
      </c>
      <c r="B9759" s="2" t="s">
        <v>21</v>
      </c>
      <c r="C9759" s="2">
        <v>29</v>
      </c>
    </row>
    <row r="9760" spans="1:3" x14ac:dyDescent="0.25">
      <c r="A9760" s="3">
        <v>41969</v>
      </c>
      <c r="B9760" s="2" t="s">
        <v>9</v>
      </c>
      <c r="C9760" s="2">
        <v>36</v>
      </c>
    </row>
    <row r="9761" spans="1:3" x14ac:dyDescent="0.25">
      <c r="A9761" s="3">
        <v>41916</v>
      </c>
      <c r="B9761" s="2" t="s">
        <v>30</v>
      </c>
      <c r="C9761" s="2">
        <v>24</v>
      </c>
    </row>
    <row r="9762" spans="1:3" x14ac:dyDescent="0.25">
      <c r="A9762" s="3">
        <v>41377</v>
      </c>
      <c r="B9762" s="2" t="s">
        <v>8</v>
      </c>
      <c r="C9762" s="2">
        <v>39</v>
      </c>
    </row>
    <row r="9763" spans="1:3" x14ac:dyDescent="0.25">
      <c r="A9763" s="3">
        <v>41925</v>
      </c>
      <c r="B9763" s="2" t="s">
        <v>7</v>
      </c>
      <c r="C9763" s="2">
        <v>1</v>
      </c>
    </row>
    <row r="9764" spans="1:3" x14ac:dyDescent="0.25">
      <c r="A9764" s="3">
        <v>41409</v>
      </c>
      <c r="B9764" s="2" t="s">
        <v>33</v>
      </c>
      <c r="C9764" s="2">
        <v>16</v>
      </c>
    </row>
    <row r="9765" spans="1:3" x14ac:dyDescent="0.25">
      <c r="A9765" s="3">
        <v>41324</v>
      </c>
      <c r="B9765" s="2" t="s">
        <v>51</v>
      </c>
      <c r="C9765" s="2">
        <v>16</v>
      </c>
    </row>
    <row r="9766" spans="1:3" x14ac:dyDescent="0.25">
      <c r="A9766" s="3">
        <v>41495</v>
      </c>
      <c r="B9766" s="2" t="s">
        <v>17</v>
      </c>
      <c r="C9766" s="2">
        <v>11</v>
      </c>
    </row>
    <row r="9767" spans="1:3" x14ac:dyDescent="0.25">
      <c r="A9767" s="3">
        <v>41947</v>
      </c>
      <c r="B9767" s="2" t="s">
        <v>10</v>
      </c>
      <c r="C9767" s="2">
        <v>6</v>
      </c>
    </row>
    <row r="9768" spans="1:3" x14ac:dyDescent="0.25">
      <c r="A9768" s="3">
        <v>41286</v>
      </c>
      <c r="B9768" s="2" t="s">
        <v>25</v>
      </c>
      <c r="C9768" s="2">
        <v>35</v>
      </c>
    </row>
    <row r="9769" spans="1:3" x14ac:dyDescent="0.25">
      <c r="A9769" s="3">
        <v>41847</v>
      </c>
      <c r="B9769" s="2" t="s">
        <v>42</v>
      </c>
      <c r="C9769" s="2">
        <v>25</v>
      </c>
    </row>
    <row r="9770" spans="1:3" x14ac:dyDescent="0.25">
      <c r="A9770" s="3">
        <v>41571</v>
      </c>
      <c r="B9770" s="2" t="s">
        <v>44</v>
      </c>
      <c r="C9770" s="2">
        <v>24</v>
      </c>
    </row>
    <row r="9771" spans="1:3" x14ac:dyDescent="0.25">
      <c r="A9771" s="3">
        <v>41440</v>
      </c>
      <c r="B9771" s="2" t="s">
        <v>4</v>
      </c>
      <c r="C9771" s="2">
        <v>24</v>
      </c>
    </row>
    <row r="9772" spans="1:3" x14ac:dyDescent="0.25">
      <c r="A9772" s="3">
        <v>41385</v>
      </c>
      <c r="B9772" s="2" t="s">
        <v>28</v>
      </c>
      <c r="C9772" s="2">
        <v>24</v>
      </c>
    </row>
    <row r="9773" spans="1:3" x14ac:dyDescent="0.25">
      <c r="A9773" s="3">
        <v>41833</v>
      </c>
      <c r="B9773" s="2" t="s">
        <v>9</v>
      </c>
      <c r="C9773" s="2">
        <v>22</v>
      </c>
    </row>
    <row r="9774" spans="1:3" x14ac:dyDescent="0.25">
      <c r="A9774" s="3">
        <v>41579</v>
      </c>
      <c r="B9774" s="2" t="s">
        <v>37</v>
      </c>
      <c r="C9774" s="2">
        <v>54</v>
      </c>
    </row>
    <row r="9775" spans="1:3" x14ac:dyDescent="0.25">
      <c r="A9775" s="3">
        <v>41278</v>
      </c>
      <c r="B9775" s="2" t="s">
        <v>21</v>
      </c>
      <c r="C9775" s="2">
        <v>56</v>
      </c>
    </row>
    <row r="9776" spans="1:3" x14ac:dyDescent="0.25">
      <c r="A9776" s="3">
        <v>41743</v>
      </c>
      <c r="B9776" s="2" t="s">
        <v>50</v>
      </c>
      <c r="C9776" s="2">
        <v>41</v>
      </c>
    </row>
    <row r="9777" spans="1:3" x14ac:dyDescent="0.25">
      <c r="A9777" s="3">
        <v>41579</v>
      </c>
      <c r="B9777" s="2" t="s">
        <v>10</v>
      </c>
      <c r="C9777" s="2">
        <v>0</v>
      </c>
    </row>
    <row r="9778" spans="1:3" x14ac:dyDescent="0.25">
      <c r="A9778" s="3">
        <v>41468</v>
      </c>
      <c r="B9778" s="2" t="s">
        <v>21</v>
      </c>
      <c r="C9778" s="2">
        <v>45</v>
      </c>
    </row>
    <row r="9779" spans="1:3" x14ac:dyDescent="0.25">
      <c r="A9779" s="3">
        <v>41827</v>
      </c>
      <c r="B9779" s="2" t="s">
        <v>50</v>
      </c>
      <c r="C9779" s="2">
        <v>41</v>
      </c>
    </row>
    <row r="9780" spans="1:3" x14ac:dyDescent="0.25">
      <c r="A9780" s="3">
        <v>41700</v>
      </c>
      <c r="B9780" s="2" t="s">
        <v>43</v>
      </c>
      <c r="C9780" s="2">
        <v>37</v>
      </c>
    </row>
    <row r="9781" spans="1:3" x14ac:dyDescent="0.25">
      <c r="A9781" s="3">
        <v>41352</v>
      </c>
      <c r="B9781" s="2" t="s">
        <v>23</v>
      </c>
      <c r="C9781" s="2">
        <v>30</v>
      </c>
    </row>
    <row r="9782" spans="1:3" x14ac:dyDescent="0.25">
      <c r="A9782" s="3">
        <v>41682</v>
      </c>
      <c r="B9782" s="2" t="s">
        <v>20</v>
      </c>
      <c r="C9782" s="2">
        <v>14</v>
      </c>
    </row>
    <row r="9783" spans="1:3" x14ac:dyDescent="0.25">
      <c r="A9783" s="3">
        <v>41578</v>
      </c>
      <c r="B9783" s="2" t="s">
        <v>42</v>
      </c>
      <c r="C9783" s="2">
        <v>24</v>
      </c>
    </row>
    <row r="9784" spans="1:3" x14ac:dyDescent="0.25">
      <c r="A9784" s="3">
        <v>41838</v>
      </c>
      <c r="B9784" s="2" t="s">
        <v>43</v>
      </c>
      <c r="C9784" s="2">
        <v>24</v>
      </c>
    </row>
    <row r="9785" spans="1:3" x14ac:dyDescent="0.25">
      <c r="A9785" s="3">
        <v>41423</v>
      </c>
      <c r="B9785" s="2" t="s">
        <v>4</v>
      </c>
      <c r="C9785" s="2">
        <v>27</v>
      </c>
    </row>
    <row r="9786" spans="1:3" x14ac:dyDescent="0.25">
      <c r="A9786" s="3">
        <v>41662</v>
      </c>
      <c r="B9786" s="2" t="s">
        <v>8</v>
      </c>
      <c r="C9786" s="2">
        <v>54</v>
      </c>
    </row>
    <row r="9787" spans="1:3" x14ac:dyDescent="0.25">
      <c r="A9787" s="3">
        <v>41901</v>
      </c>
      <c r="B9787" s="2" t="s">
        <v>38</v>
      </c>
      <c r="C9787" s="2">
        <v>37</v>
      </c>
    </row>
    <row r="9788" spans="1:3" x14ac:dyDescent="0.25">
      <c r="A9788" s="3">
        <v>41286</v>
      </c>
      <c r="B9788" s="2" t="s">
        <v>30</v>
      </c>
      <c r="C9788" s="2">
        <v>12</v>
      </c>
    </row>
    <row r="9789" spans="1:3" x14ac:dyDescent="0.25">
      <c r="A9789" s="3">
        <v>41482</v>
      </c>
      <c r="B9789" s="2" t="s">
        <v>49</v>
      </c>
      <c r="C9789" s="2">
        <v>19</v>
      </c>
    </row>
    <row r="9790" spans="1:3" x14ac:dyDescent="0.25">
      <c r="A9790" s="3">
        <v>41465</v>
      </c>
      <c r="B9790" s="2" t="s">
        <v>48</v>
      </c>
      <c r="C9790" s="2">
        <v>13</v>
      </c>
    </row>
    <row r="9791" spans="1:3" x14ac:dyDescent="0.25">
      <c r="A9791" s="3">
        <v>41372</v>
      </c>
      <c r="B9791" s="2" t="s">
        <v>8</v>
      </c>
      <c r="C9791" s="2">
        <v>2</v>
      </c>
    </row>
    <row r="9792" spans="1:3" x14ac:dyDescent="0.25">
      <c r="A9792" s="3">
        <v>41438</v>
      </c>
      <c r="B9792" s="2" t="s">
        <v>31</v>
      </c>
      <c r="C9792" s="2">
        <v>27</v>
      </c>
    </row>
    <row r="9793" spans="1:3" x14ac:dyDescent="0.25">
      <c r="A9793" s="3">
        <v>41604</v>
      </c>
      <c r="B9793" s="2" t="s">
        <v>14</v>
      </c>
      <c r="C9793" s="2">
        <v>4</v>
      </c>
    </row>
    <row r="9794" spans="1:3" x14ac:dyDescent="0.25">
      <c r="A9794" s="3">
        <v>41953</v>
      </c>
      <c r="B9794" s="2" t="s">
        <v>5</v>
      </c>
      <c r="C9794" s="2">
        <v>9</v>
      </c>
    </row>
    <row r="9795" spans="1:3" x14ac:dyDescent="0.25">
      <c r="A9795" s="3">
        <v>41732</v>
      </c>
      <c r="B9795" s="2" t="s">
        <v>10</v>
      </c>
      <c r="C9795" s="2">
        <v>12</v>
      </c>
    </row>
    <row r="9796" spans="1:3" x14ac:dyDescent="0.25">
      <c r="A9796" s="3">
        <v>41455</v>
      </c>
      <c r="B9796" s="2" t="s">
        <v>18</v>
      </c>
      <c r="C9796" s="2">
        <v>52</v>
      </c>
    </row>
    <row r="9797" spans="1:3" x14ac:dyDescent="0.25">
      <c r="A9797" s="3">
        <v>41354</v>
      </c>
      <c r="B9797" s="2" t="s">
        <v>16</v>
      </c>
      <c r="C9797" s="2">
        <v>6</v>
      </c>
    </row>
    <row r="9798" spans="1:3" x14ac:dyDescent="0.25">
      <c r="A9798" s="3">
        <v>41524</v>
      </c>
      <c r="B9798" s="2" t="s">
        <v>26</v>
      </c>
      <c r="C9798" s="2">
        <v>31</v>
      </c>
    </row>
    <row r="9799" spans="1:3" x14ac:dyDescent="0.25">
      <c r="A9799" s="3">
        <v>41284</v>
      </c>
      <c r="B9799" s="2" t="s">
        <v>32</v>
      </c>
      <c r="C9799" s="2">
        <v>36</v>
      </c>
    </row>
    <row r="9800" spans="1:3" x14ac:dyDescent="0.25">
      <c r="A9800" s="3">
        <v>41591</v>
      </c>
      <c r="B9800" s="2" t="s">
        <v>25</v>
      </c>
      <c r="C9800" s="2">
        <v>18</v>
      </c>
    </row>
    <row r="9801" spans="1:3" x14ac:dyDescent="0.25">
      <c r="A9801" s="3">
        <v>41288</v>
      </c>
      <c r="B9801" s="2" t="s">
        <v>5</v>
      </c>
      <c r="C9801" s="2">
        <v>17</v>
      </c>
    </row>
    <row r="9802" spans="1:3" x14ac:dyDescent="0.25">
      <c r="A9802" s="3">
        <v>41587</v>
      </c>
      <c r="B9802" s="2" t="s">
        <v>21</v>
      </c>
      <c r="C9802" s="2">
        <v>12</v>
      </c>
    </row>
    <row r="9803" spans="1:3" x14ac:dyDescent="0.25">
      <c r="A9803" s="3">
        <v>41386</v>
      </c>
      <c r="B9803" s="2" t="s">
        <v>33</v>
      </c>
      <c r="C9803" s="2">
        <v>44</v>
      </c>
    </row>
    <row r="9804" spans="1:3" x14ac:dyDescent="0.25">
      <c r="A9804" s="3">
        <v>41318</v>
      </c>
      <c r="B9804" s="2" t="s">
        <v>9</v>
      </c>
      <c r="C9804" s="2">
        <v>23</v>
      </c>
    </row>
    <row r="9805" spans="1:3" x14ac:dyDescent="0.25">
      <c r="A9805" s="3">
        <v>41309</v>
      </c>
      <c r="B9805" s="2" t="s">
        <v>46</v>
      </c>
      <c r="C9805" s="2">
        <v>27</v>
      </c>
    </row>
    <row r="9806" spans="1:3" x14ac:dyDescent="0.25">
      <c r="A9806" s="3">
        <v>41380</v>
      </c>
      <c r="B9806" s="2" t="s">
        <v>29</v>
      </c>
      <c r="C9806" s="2">
        <v>45</v>
      </c>
    </row>
    <row r="9807" spans="1:3" x14ac:dyDescent="0.25">
      <c r="A9807" s="3">
        <v>41279</v>
      </c>
      <c r="B9807" s="2" t="s">
        <v>13</v>
      </c>
      <c r="C9807" s="2">
        <v>33</v>
      </c>
    </row>
    <row r="9808" spans="1:3" x14ac:dyDescent="0.25">
      <c r="A9808" s="3">
        <v>41386</v>
      </c>
      <c r="B9808" s="2" t="s">
        <v>49</v>
      </c>
      <c r="C9808" s="2">
        <v>22</v>
      </c>
    </row>
    <row r="9809" spans="1:3" x14ac:dyDescent="0.25">
      <c r="A9809" s="3">
        <v>41688</v>
      </c>
      <c r="B9809" s="2" t="s">
        <v>12</v>
      </c>
      <c r="C9809" s="2">
        <v>6</v>
      </c>
    </row>
    <row r="9810" spans="1:3" x14ac:dyDescent="0.25">
      <c r="A9810" s="3">
        <v>41919</v>
      </c>
      <c r="B9810" s="2" t="s">
        <v>35</v>
      </c>
      <c r="C9810" s="2">
        <v>43</v>
      </c>
    </row>
    <row r="9811" spans="1:3" x14ac:dyDescent="0.25">
      <c r="A9811" s="3">
        <v>41616</v>
      </c>
      <c r="B9811" s="2" t="s">
        <v>17</v>
      </c>
      <c r="C9811" s="2">
        <v>25</v>
      </c>
    </row>
    <row r="9812" spans="1:3" x14ac:dyDescent="0.25">
      <c r="A9812" s="3">
        <v>41771</v>
      </c>
      <c r="B9812" s="2" t="s">
        <v>20</v>
      </c>
      <c r="C9812" s="2">
        <v>4</v>
      </c>
    </row>
    <row r="9813" spans="1:3" x14ac:dyDescent="0.25">
      <c r="A9813" s="3">
        <v>41306</v>
      </c>
      <c r="B9813" s="2" t="s">
        <v>31</v>
      </c>
      <c r="C9813" s="2">
        <v>50</v>
      </c>
    </row>
    <row r="9814" spans="1:3" x14ac:dyDescent="0.25">
      <c r="A9814" s="3">
        <v>41611</v>
      </c>
      <c r="B9814" s="2" t="s">
        <v>45</v>
      </c>
      <c r="C9814" s="2">
        <v>16</v>
      </c>
    </row>
    <row r="9815" spans="1:3" x14ac:dyDescent="0.25">
      <c r="A9815" s="3">
        <v>41974</v>
      </c>
      <c r="B9815" s="2" t="s">
        <v>28</v>
      </c>
      <c r="C9815" s="2">
        <v>30</v>
      </c>
    </row>
    <row r="9816" spans="1:3" x14ac:dyDescent="0.25">
      <c r="A9816" s="3">
        <v>41484</v>
      </c>
      <c r="B9816" s="2" t="s">
        <v>50</v>
      </c>
      <c r="C9816" s="2">
        <v>30</v>
      </c>
    </row>
    <row r="9817" spans="1:3" x14ac:dyDescent="0.25">
      <c r="A9817" s="3">
        <v>41736</v>
      </c>
      <c r="B9817" s="2" t="s">
        <v>19</v>
      </c>
      <c r="C9817" s="2">
        <v>17</v>
      </c>
    </row>
    <row r="9818" spans="1:3" x14ac:dyDescent="0.25">
      <c r="A9818" s="3">
        <v>41414</v>
      </c>
      <c r="B9818" s="2" t="s">
        <v>10</v>
      </c>
      <c r="C9818" s="2">
        <v>34</v>
      </c>
    </row>
    <row r="9819" spans="1:3" x14ac:dyDescent="0.25">
      <c r="A9819" s="3">
        <v>41912</v>
      </c>
      <c r="B9819" s="2" t="s">
        <v>8</v>
      </c>
      <c r="C9819" s="2">
        <v>11</v>
      </c>
    </row>
    <row r="9820" spans="1:3" x14ac:dyDescent="0.25">
      <c r="A9820" s="3">
        <v>41564</v>
      </c>
      <c r="B9820" s="2" t="s">
        <v>28</v>
      </c>
      <c r="C9820" s="2">
        <v>25</v>
      </c>
    </row>
    <row r="9821" spans="1:3" x14ac:dyDescent="0.25">
      <c r="A9821" s="3">
        <v>41998</v>
      </c>
      <c r="B9821" s="2" t="s">
        <v>36</v>
      </c>
      <c r="C9821" s="2">
        <v>19</v>
      </c>
    </row>
    <row r="9822" spans="1:3" x14ac:dyDescent="0.25">
      <c r="A9822" s="3">
        <v>41292</v>
      </c>
      <c r="B9822" s="2" t="s">
        <v>20</v>
      </c>
      <c r="C9822" s="2">
        <v>17</v>
      </c>
    </row>
    <row r="9823" spans="1:3" x14ac:dyDescent="0.25">
      <c r="A9823" s="3">
        <v>41367</v>
      </c>
      <c r="B9823" s="2" t="s">
        <v>30</v>
      </c>
      <c r="C9823" s="2">
        <v>19</v>
      </c>
    </row>
    <row r="9824" spans="1:3" x14ac:dyDescent="0.25">
      <c r="A9824" s="3">
        <v>41917</v>
      </c>
      <c r="B9824" s="2" t="s">
        <v>26</v>
      </c>
      <c r="C9824" s="2">
        <v>19</v>
      </c>
    </row>
    <row r="9825" spans="1:3" x14ac:dyDescent="0.25">
      <c r="A9825" s="3">
        <v>41932</v>
      </c>
      <c r="B9825" s="2" t="s">
        <v>49</v>
      </c>
      <c r="C9825" s="2">
        <v>36</v>
      </c>
    </row>
    <row r="9826" spans="1:3" x14ac:dyDescent="0.25">
      <c r="A9826" s="3">
        <v>41635</v>
      </c>
      <c r="B9826" s="2" t="s">
        <v>29</v>
      </c>
      <c r="C9826" s="2">
        <v>31</v>
      </c>
    </row>
    <row r="9827" spans="1:3" x14ac:dyDescent="0.25">
      <c r="A9827" s="3">
        <v>41511</v>
      </c>
      <c r="B9827" s="2" t="s">
        <v>31</v>
      </c>
      <c r="C9827" s="2">
        <v>44</v>
      </c>
    </row>
    <row r="9828" spans="1:3" x14ac:dyDescent="0.25">
      <c r="A9828" s="3">
        <v>41490</v>
      </c>
      <c r="B9828" s="2" t="s">
        <v>42</v>
      </c>
      <c r="C9828" s="2">
        <v>13</v>
      </c>
    </row>
    <row r="9829" spans="1:3" x14ac:dyDescent="0.25">
      <c r="A9829" s="3">
        <v>41670</v>
      </c>
      <c r="B9829" s="2" t="s">
        <v>37</v>
      </c>
      <c r="C9829" s="2">
        <v>5</v>
      </c>
    </row>
    <row r="9830" spans="1:3" x14ac:dyDescent="0.25">
      <c r="A9830" s="3">
        <v>41445</v>
      </c>
      <c r="B9830" s="2" t="s">
        <v>17</v>
      </c>
      <c r="C9830" s="2">
        <v>31</v>
      </c>
    </row>
    <row r="9831" spans="1:3" x14ac:dyDescent="0.25">
      <c r="A9831" s="3">
        <v>41790</v>
      </c>
      <c r="B9831" s="2" t="s">
        <v>37</v>
      </c>
      <c r="C9831" s="2">
        <v>34</v>
      </c>
    </row>
    <row r="9832" spans="1:3" x14ac:dyDescent="0.25">
      <c r="A9832" s="3">
        <v>41988</v>
      </c>
      <c r="B9832" s="2" t="s">
        <v>43</v>
      </c>
      <c r="C9832" s="2">
        <v>30</v>
      </c>
    </row>
    <row r="9833" spans="1:3" x14ac:dyDescent="0.25">
      <c r="A9833" s="3">
        <v>41835</v>
      </c>
      <c r="B9833" s="2" t="s">
        <v>30</v>
      </c>
      <c r="C9833" s="2">
        <v>14</v>
      </c>
    </row>
    <row r="9834" spans="1:3" x14ac:dyDescent="0.25">
      <c r="A9834" s="3">
        <v>41631</v>
      </c>
      <c r="B9834" s="2" t="s">
        <v>50</v>
      </c>
      <c r="C9834" s="2">
        <v>13</v>
      </c>
    </row>
    <row r="9835" spans="1:3" x14ac:dyDescent="0.25">
      <c r="A9835" s="3">
        <v>41289</v>
      </c>
      <c r="B9835" s="2" t="s">
        <v>32</v>
      </c>
      <c r="C9835" s="2">
        <v>40</v>
      </c>
    </row>
    <row r="9836" spans="1:3" x14ac:dyDescent="0.25">
      <c r="A9836" s="3">
        <v>41648</v>
      </c>
      <c r="B9836" s="2" t="s">
        <v>24</v>
      </c>
      <c r="C9836" s="2">
        <v>21</v>
      </c>
    </row>
    <row r="9837" spans="1:3" x14ac:dyDescent="0.25">
      <c r="A9837" s="3">
        <v>41553</v>
      </c>
      <c r="B9837" s="2" t="s">
        <v>16</v>
      </c>
      <c r="C9837" s="2">
        <v>25</v>
      </c>
    </row>
    <row r="9838" spans="1:3" x14ac:dyDescent="0.25">
      <c r="A9838" s="3">
        <v>41541</v>
      </c>
      <c r="B9838" s="2" t="s">
        <v>4</v>
      </c>
      <c r="C9838" s="2">
        <v>25</v>
      </c>
    </row>
    <row r="9839" spans="1:3" x14ac:dyDescent="0.25">
      <c r="A9839" s="3">
        <v>41518</v>
      </c>
      <c r="B9839" s="2" t="s">
        <v>48</v>
      </c>
      <c r="C9839" s="2">
        <v>40</v>
      </c>
    </row>
    <row r="9840" spans="1:3" x14ac:dyDescent="0.25">
      <c r="A9840" s="3">
        <v>41682</v>
      </c>
      <c r="B9840" s="2" t="s">
        <v>44</v>
      </c>
      <c r="C9840" s="2">
        <v>30</v>
      </c>
    </row>
    <row r="9841" spans="1:3" x14ac:dyDescent="0.25">
      <c r="A9841" s="3">
        <v>41340</v>
      </c>
      <c r="B9841" s="2" t="s">
        <v>32</v>
      </c>
      <c r="C9841" s="2">
        <v>10</v>
      </c>
    </row>
    <row r="9842" spans="1:3" x14ac:dyDescent="0.25">
      <c r="A9842" s="3">
        <v>41749</v>
      </c>
      <c r="B9842" s="2" t="s">
        <v>38</v>
      </c>
      <c r="C9842" s="2">
        <v>28</v>
      </c>
    </row>
    <row r="9843" spans="1:3" x14ac:dyDescent="0.25">
      <c r="A9843" s="3">
        <v>41331</v>
      </c>
      <c r="B9843" s="2" t="s">
        <v>39</v>
      </c>
      <c r="C9843" s="2">
        <v>4</v>
      </c>
    </row>
    <row r="9844" spans="1:3" x14ac:dyDescent="0.25">
      <c r="A9844" s="3">
        <v>41384</v>
      </c>
      <c r="B9844" s="2" t="s">
        <v>23</v>
      </c>
      <c r="C9844" s="2">
        <v>63</v>
      </c>
    </row>
    <row r="9845" spans="1:3" x14ac:dyDescent="0.25">
      <c r="A9845" s="3">
        <v>41732</v>
      </c>
      <c r="B9845" s="2" t="s">
        <v>45</v>
      </c>
      <c r="C9845" s="2">
        <v>37</v>
      </c>
    </row>
    <row r="9846" spans="1:3" x14ac:dyDescent="0.25">
      <c r="A9846" s="3">
        <v>41867</v>
      </c>
      <c r="B9846" s="2" t="s">
        <v>20</v>
      </c>
      <c r="C9846" s="2">
        <v>18</v>
      </c>
    </row>
    <row r="9847" spans="1:3" x14ac:dyDescent="0.25">
      <c r="A9847" s="3">
        <v>41481</v>
      </c>
      <c r="B9847" s="2" t="s">
        <v>39</v>
      </c>
      <c r="C9847" s="2">
        <v>1</v>
      </c>
    </row>
    <row r="9848" spans="1:3" x14ac:dyDescent="0.25">
      <c r="A9848" s="3">
        <v>41794</v>
      </c>
      <c r="B9848" s="2" t="s">
        <v>15</v>
      </c>
      <c r="C9848" s="2">
        <v>6</v>
      </c>
    </row>
    <row r="9849" spans="1:3" x14ac:dyDescent="0.25">
      <c r="A9849" s="3">
        <v>41901</v>
      </c>
      <c r="B9849" s="2" t="s">
        <v>43</v>
      </c>
      <c r="C9849" s="2">
        <v>26</v>
      </c>
    </row>
    <row r="9850" spans="1:3" x14ac:dyDescent="0.25">
      <c r="A9850" s="3">
        <v>41614</v>
      </c>
      <c r="B9850" s="2" t="s">
        <v>37</v>
      </c>
      <c r="C9850" s="2">
        <v>42</v>
      </c>
    </row>
    <row r="9851" spans="1:3" x14ac:dyDescent="0.25">
      <c r="A9851" s="3">
        <v>41706</v>
      </c>
      <c r="B9851" s="2" t="s">
        <v>21</v>
      </c>
      <c r="C9851" s="2">
        <v>15</v>
      </c>
    </row>
    <row r="9852" spans="1:3" x14ac:dyDescent="0.25">
      <c r="A9852" s="3">
        <v>41375</v>
      </c>
      <c r="B9852" s="2" t="s">
        <v>47</v>
      </c>
      <c r="C9852" s="2">
        <v>29</v>
      </c>
    </row>
    <row r="9853" spans="1:3" x14ac:dyDescent="0.25">
      <c r="A9853" s="3">
        <v>41841</v>
      </c>
      <c r="B9853" s="2" t="s">
        <v>16</v>
      </c>
      <c r="C9853" s="2">
        <v>42</v>
      </c>
    </row>
    <row r="9854" spans="1:3" x14ac:dyDescent="0.25">
      <c r="A9854" s="3">
        <v>41979</v>
      </c>
      <c r="B9854" s="2" t="s">
        <v>33</v>
      </c>
      <c r="C9854" s="2">
        <v>1</v>
      </c>
    </row>
    <row r="9855" spans="1:3" x14ac:dyDescent="0.25">
      <c r="A9855" s="3">
        <v>41395</v>
      </c>
      <c r="B9855" s="2" t="s">
        <v>12</v>
      </c>
      <c r="C9855" s="2">
        <v>25</v>
      </c>
    </row>
    <row r="9856" spans="1:3" x14ac:dyDescent="0.25">
      <c r="A9856" s="3">
        <v>41950</v>
      </c>
      <c r="B9856" s="2" t="s">
        <v>35</v>
      </c>
      <c r="C9856" s="2">
        <v>10</v>
      </c>
    </row>
    <row r="9857" spans="1:3" x14ac:dyDescent="0.25">
      <c r="A9857" s="3">
        <v>41340</v>
      </c>
      <c r="B9857" s="2" t="s">
        <v>38</v>
      </c>
      <c r="C9857" s="2">
        <v>41</v>
      </c>
    </row>
    <row r="9858" spans="1:3" x14ac:dyDescent="0.25">
      <c r="A9858" s="3">
        <v>41547</v>
      </c>
      <c r="B9858" s="2" t="s">
        <v>27</v>
      </c>
      <c r="C9858" s="2">
        <v>35</v>
      </c>
    </row>
    <row r="9859" spans="1:3" x14ac:dyDescent="0.25">
      <c r="A9859" s="3">
        <v>41327</v>
      </c>
      <c r="B9859" s="2" t="s">
        <v>32</v>
      </c>
      <c r="C9859" s="2">
        <v>23</v>
      </c>
    </row>
    <row r="9860" spans="1:3" x14ac:dyDescent="0.25">
      <c r="A9860" s="3">
        <v>41748</v>
      </c>
      <c r="B9860" s="2" t="s">
        <v>16</v>
      </c>
      <c r="C9860" s="2">
        <v>25</v>
      </c>
    </row>
    <row r="9861" spans="1:3" x14ac:dyDescent="0.25">
      <c r="A9861" s="3">
        <v>41462</v>
      </c>
      <c r="B9861" s="2" t="s">
        <v>25</v>
      </c>
      <c r="C9861" s="2">
        <v>6</v>
      </c>
    </row>
    <row r="9862" spans="1:3" x14ac:dyDescent="0.25">
      <c r="A9862" s="3">
        <v>41688</v>
      </c>
      <c r="B9862" s="2" t="s">
        <v>48</v>
      </c>
      <c r="C9862" s="2">
        <v>12</v>
      </c>
    </row>
    <row r="9863" spans="1:3" x14ac:dyDescent="0.25">
      <c r="A9863" s="3">
        <v>41491</v>
      </c>
      <c r="B9863" s="2" t="s">
        <v>25</v>
      </c>
      <c r="C9863" s="2">
        <v>64</v>
      </c>
    </row>
    <row r="9864" spans="1:3" x14ac:dyDescent="0.25">
      <c r="A9864" s="3">
        <v>41898</v>
      </c>
      <c r="B9864" s="2" t="s">
        <v>39</v>
      </c>
      <c r="C9864" s="2">
        <v>24</v>
      </c>
    </row>
    <row r="9865" spans="1:3" x14ac:dyDescent="0.25">
      <c r="A9865" s="3">
        <v>41353</v>
      </c>
      <c r="B9865" s="2" t="s">
        <v>10</v>
      </c>
      <c r="C9865" s="2">
        <v>43</v>
      </c>
    </row>
    <row r="9866" spans="1:3" x14ac:dyDescent="0.25">
      <c r="A9866" s="3">
        <v>41825</v>
      </c>
      <c r="B9866" s="2" t="s">
        <v>40</v>
      </c>
      <c r="C9866" s="2">
        <v>21</v>
      </c>
    </row>
    <row r="9867" spans="1:3" x14ac:dyDescent="0.25">
      <c r="A9867" s="3">
        <v>41534</v>
      </c>
      <c r="B9867" s="2" t="s">
        <v>33</v>
      </c>
      <c r="C9867" s="2">
        <v>17</v>
      </c>
    </row>
    <row r="9868" spans="1:3" x14ac:dyDescent="0.25">
      <c r="A9868" s="3">
        <v>41863</v>
      </c>
      <c r="B9868" s="2" t="s">
        <v>43</v>
      </c>
      <c r="C9868" s="2">
        <v>13</v>
      </c>
    </row>
    <row r="9869" spans="1:3" x14ac:dyDescent="0.25">
      <c r="A9869" s="3">
        <v>41825</v>
      </c>
      <c r="B9869" s="2" t="s">
        <v>51</v>
      </c>
      <c r="C9869" s="2">
        <v>10</v>
      </c>
    </row>
    <row r="9870" spans="1:3" x14ac:dyDescent="0.25">
      <c r="A9870" s="3">
        <v>41503</v>
      </c>
      <c r="B9870" s="2" t="s">
        <v>36</v>
      </c>
      <c r="C9870" s="2">
        <v>22</v>
      </c>
    </row>
    <row r="9871" spans="1:3" x14ac:dyDescent="0.25">
      <c r="A9871" s="3">
        <v>41493</v>
      </c>
      <c r="B9871" s="2" t="s">
        <v>45</v>
      </c>
      <c r="C9871" s="2">
        <v>23</v>
      </c>
    </row>
    <row r="9872" spans="1:3" x14ac:dyDescent="0.25">
      <c r="A9872" s="3">
        <v>41678</v>
      </c>
      <c r="B9872" s="2" t="s">
        <v>35</v>
      </c>
      <c r="C9872" s="2">
        <v>35</v>
      </c>
    </row>
    <row r="9873" spans="1:3" x14ac:dyDescent="0.25">
      <c r="A9873" s="3">
        <v>41625</v>
      </c>
      <c r="B9873" s="2" t="s">
        <v>40</v>
      </c>
      <c r="C9873" s="2">
        <v>29</v>
      </c>
    </row>
    <row r="9874" spans="1:3" x14ac:dyDescent="0.25">
      <c r="A9874" s="3">
        <v>41686</v>
      </c>
      <c r="B9874" s="2" t="s">
        <v>5</v>
      </c>
      <c r="C9874" s="2">
        <v>41</v>
      </c>
    </row>
    <row r="9875" spans="1:3" x14ac:dyDescent="0.25">
      <c r="A9875" s="3">
        <v>41493</v>
      </c>
      <c r="B9875" s="2" t="s">
        <v>32</v>
      </c>
      <c r="C9875" s="2">
        <v>41</v>
      </c>
    </row>
    <row r="9876" spans="1:3" x14ac:dyDescent="0.25">
      <c r="A9876" s="3">
        <v>41530</v>
      </c>
      <c r="B9876" s="2" t="s">
        <v>47</v>
      </c>
      <c r="C9876" s="2">
        <v>11</v>
      </c>
    </row>
    <row r="9877" spans="1:3" x14ac:dyDescent="0.25">
      <c r="A9877" s="3">
        <v>42001</v>
      </c>
      <c r="B9877" s="2" t="s">
        <v>42</v>
      </c>
      <c r="C9877" s="2">
        <v>33</v>
      </c>
    </row>
    <row r="9878" spans="1:3" x14ac:dyDescent="0.25">
      <c r="A9878" s="3">
        <v>41404</v>
      </c>
      <c r="B9878" s="2" t="s">
        <v>18</v>
      </c>
      <c r="C9878" s="2">
        <v>2</v>
      </c>
    </row>
    <row r="9879" spans="1:3" x14ac:dyDescent="0.25">
      <c r="A9879" s="3">
        <v>41821</v>
      </c>
      <c r="B9879" s="2" t="s">
        <v>42</v>
      </c>
      <c r="C9879" s="2">
        <v>10</v>
      </c>
    </row>
    <row r="9880" spans="1:3" x14ac:dyDescent="0.25">
      <c r="A9880" s="3">
        <v>41667</v>
      </c>
      <c r="B9880" s="2" t="s">
        <v>32</v>
      </c>
      <c r="C9880" s="2">
        <v>47</v>
      </c>
    </row>
    <row r="9881" spans="1:3" x14ac:dyDescent="0.25">
      <c r="A9881" s="3">
        <v>41309</v>
      </c>
      <c r="B9881" s="2" t="s">
        <v>14</v>
      </c>
      <c r="C9881" s="2">
        <v>37</v>
      </c>
    </row>
    <row r="9882" spans="1:3" x14ac:dyDescent="0.25">
      <c r="A9882" s="3">
        <v>41642</v>
      </c>
      <c r="B9882" s="2" t="s">
        <v>14</v>
      </c>
      <c r="C9882" s="2">
        <v>30</v>
      </c>
    </row>
    <row r="9883" spans="1:3" x14ac:dyDescent="0.25">
      <c r="A9883" s="3">
        <v>41833</v>
      </c>
      <c r="B9883" s="2" t="s">
        <v>5</v>
      </c>
      <c r="C9883" s="2">
        <v>39</v>
      </c>
    </row>
    <row r="9884" spans="1:3" x14ac:dyDescent="0.25">
      <c r="A9884" s="3">
        <v>41641</v>
      </c>
      <c r="B9884" s="2" t="s">
        <v>2</v>
      </c>
      <c r="C9884" s="2">
        <v>12</v>
      </c>
    </row>
    <row r="9885" spans="1:3" x14ac:dyDescent="0.25">
      <c r="A9885" s="3">
        <v>41762</v>
      </c>
      <c r="B9885" s="2" t="s">
        <v>19</v>
      </c>
      <c r="C9885" s="2">
        <v>6</v>
      </c>
    </row>
    <row r="9886" spans="1:3" x14ac:dyDescent="0.25">
      <c r="A9886" s="3">
        <v>41615</v>
      </c>
      <c r="B9886" s="2" t="s">
        <v>8</v>
      </c>
      <c r="C9886" s="2">
        <v>8</v>
      </c>
    </row>
    <row r="9887" spans="1:3" x14ac:dyDescent="0.25">
      <c r="A9887" s="3">
        <v>41856</v>
      </c>
      <c r="B9887" s="2" t="s">
        <v>3</v>
      </c>
      <c r="C9887" s="2">
        <v>8</v>
      </c>
    </row>
    <row r="9888" spans="1:3" x14ac:dyDescent="0.25">
      <c r="A9888" s="3">
        <v>41317</v>
      </c>
      <c r="B9888" s="2" t="s">
        <v>35</v>
      </c>
      <c r="C9888" s="2">
        <v>22</v>
      </c>
    </row>
    <row r="9889" spans="1:3" x14ac:dyDescent="0.25">
      <c r="A9889" s="3">
        <v>41495</v>
      </c>
      <c r="B9889" s="2" t="s">
        <v>36</v>
      </c>
      <c r="C9889" s="2">
        <v>9</v>
      </c>
    </row>
    <row r="9890" spans="1:3" x14ac:dyDescent="0.25">
      <c r="A9890" s="3">
        <v>41648</v>
      </c>
      <c r="B9890" s="2" t="s">
        <v>37</v>
      </c>
      <c r="C9890" s="2">
        <v>40</v>
      </c>
    </row>
    <row r="9891" spans="1:3" x14ac:dyDescent="0.25">
      <c r="A9891" s="3">
        <v>41828</v>
      </c>
      <c r="B9891" s="2" t="s">
        <v>13</v>
      </c>
      <c r="C9891" s="2">
        <v>34</v>
      </c>
    </row>
    <row r="9892" spans="1:3" x14ac:dyDescent="0.25">
      <c r="A9892" s="3">
        <v>41383</v>
      </c>
      <c r="B9892" s="2" t="s">
        <v>12</v>
      </c>
      <c r="C9892" s="2">
        <v>17</v>
      </c>
    </row>
    <row r="9893" spans="1:3" x14ac:dyDescent="0.25">
      <c r="A9893" s="3">
        <v>41403</v>
      </c>
      <c r="B9893" s="2" t="s">
        <v>40</v>
      </c>
      <c r="C9893" s="2">
        <v>45</v>
      </c>
    </row>
    <row r="9894" spans="1:3" x14ac:dyDescent="0.25">
      <c r="A9894" s="3">
        <v>41645</v>
      </c>
      <c r="B9894" s="2" t="s">
        <v>46</v>
      </c>
      <c r="C9894" s="2">
        <v>8</v>
      </c>
    </row>
    <row r="9895" spans="1:3" x14ac:dyDescent="0.25">
      <c r="A9895" s="3">
        <v>41766</v>
      </c>
      <c r="B9895" s="2" t="s">
        <v>44</v>
      </c>
      <c r="C9895" s="2">
        <v>20</v>
      </c>
    </row>
    <row r="9896" spans="1:3" x14ac:dyDescent="0.25">
      <c r="A9896" s="3">
        <v>41588</v>
      </c>
      <c r="B9896" s="2" t="s">
        <v>21</v>
      </c>
      <c r="C9896" s="2">
        <v>11</v>
      </c>
    </row>
    <row r="9897" spans="1:3" x14ac:dyDescent="0.25">
      <c r="A9897" s="3">
        <v>41634</v>
      </c>
      <c r="B9897" s="2" t="s">
        <v>23</v>
      </c>
      <c r="C9897" s="2">
        <v>40</v>
      </c>
    </row>
    <row r="9898" spans="1:3" x14ac:dyDescent="0.25">
      <c r="A9898" s="3">
        <v>41914</v>
      </c>
      <c r="B9898" s="2" t="s">
        <v>45</v>
      </c>
      <c r="C9898" s="2">
        <v>28</v>
      </c>
    </row>
    <row r="9899" spans="1:3" x14ac:dyDescent="0.25">
      <c r="A9899" s="3">
        <v>41820</v>
      </c>
      <c r="B9899" s="2" t="s">
        <v>37</v>
      </c>
      <c r="C9899" s="2">
        <v>14</v>
      </c>
    </row>
    <row r="9900" spans="1:3" x14ac:dyDescent="0.25">
      <c r="A9900" s="3">
        <v>41299</v>
      </c>
      <c r="B9900" s="2" t="s">
        <v>41</v>
      </c>
      <c r="C9900" s="2">
        <v>41</v>
      </c>
    </row>
    <row r="9901" spans="1:3" x14ac:dyDescent="0.25">
      <c r="A9901" s="3">
        <v>41928</v>
      </c>
      <c r="B9901" s="2" t="s">
        <v>50</v>
      </c>
      <c r="C9901" s="2">
        <v>46</v>
      </c>
    </row>
    <row r="9902" spans="1:3" x14ac:dyDescent="0.25">
      <c r="A9902" s="3">
        <v>41887</v>
      </c>
      <c r="B9902" s="2" t="s">
        <v>41</v>
      </c>
      <c r="C9902" s="2">
        <v>27</v>
      </c>
    </row>
    <row r="9903" spans="1:3" x14ac:dyDescent="0.25">
      <c r="A9903" s="3">
        <v>41310</v>
      </c>
      <c r="B9903" s="2" t="s">
        <v>24</v>
      </c>
      <c r="C9903" s="2">
        <v>29</v>
      </c>
    </row>
    <row r="9904" spans="1:3" x14ac:dyDescent="0.25">
      <c r="A9904" s="3">
        <v>41678</v>
      </c>
      <c r="B9904" s="2" t="s">
        <v>19</v>
      </c>
      <c r="C9904" s="2">
        <v>27</v>
      </c>
    </row>
    <row r="9905" spans="1:3" x14ac:dyDescent="0.25">
      <c r="A9905" s="3">
        <v>41601</v>
      </c>
      <c r="B9905" s="2" t="s">
        <v>36</v>
      </c>
      <c r="C9905" s="2">
        <v>14</v>
      </c>
    </row>
    <row r="9906" spans="1:3" x14ac:dyDescent="0.25">
      <c r="A9906" s="3">
        <v>41743</v>
      </c>
      <c r="B9906" s="2" t="s">
        <v>9</v>
      </c>
      <c r="C9906" s="2">
        <v>18</v>
      </c>
    </row>
    <row r="9907" spans="1:3" x14ac:dyDescent="0.25">
      <c r="A9907" s="3">
        <v>41603</v>
      </c>
      <c r="B9907" s="2" t="s">
        <v>44</v>
      </c>
      <c r="C9907" s="2">
        <v>22</v>
      </c>
    </row>
    <row r="9908" spans="1:3" x14ac:dyDescent="0.25">
      <c r="A9908" s="3">
        <v>41479</v>
      </c>
      <c r="B9908" s="2" t="s">
        <v>15</v>
      </c>
      <c r="C9908" s="2">
        <v>40</v>
      </c>
    </row>
    <row r="9909" spans="1:3" x14ac:dyDescent="0.25">
      <c r="A9909" s="3">
        <v>41719</v>
      </c>
      <c r="B9909" s="2" t="s">
        <v>45</v>
      </c>
      <c r="C9909" s="2">
        <v>2</v>
      </c>
    </row>
    <row r="9910" spans="1:3" x14ac:dyDescent="0.25">
      <c r="A9910" s="3">
        <v>41537</v>
      </c>
      <c r="B9910" s="2" t="s">
        <v>14</v>
      </c>
      <c r="C9910" s="2">
        <v>20</v>
      </c>
    </row>
    <row r="9911" spans="1:3" x14ac:dyDescent="0.25">
      <c r="A9911" s="3">
        <v>41790</v>
      </c>
      <c r="B9911" s="2" t="s">
        <v>12</v>
      </c>
      <c r="C9911" s="2">
        <v>14</v>
      </c>
    </row>
    <row r="9912" spans="1:3" x14ac:dyDescent="0.25">
      <c r="A9912" s="3">
        <v>41852</v>
      </c>
      <c r="B9912" s="2" t="s">
        <v>29</v>
      </c>
      <c r="C9912" s="2">
        <v>38</v>
      </c>
    </row>
    <row r="9913" spans="1:3" x14ac:dyDescent="0.25">
      <c r="A9913" s="3">
        <v>41347</v>
      </c>
      <c r="B9913" s="2" t="s">
        <v>48</v>
      </c>
      <c r="C9913" s="2">
        <v>5</v>
      </c>
    </row>
    <row r="9914" spans="1:3" x14ac:dyDescent="0.25">
      <c r="A9914" s="3">
        <v>41840</v>
      </c>
      <c r="B9914" s="2" t="s">
        <v>39</v>
      </c>
      <c r="C9914" s="2">
        <v>9</v>
      </c>
    </row>
    <row r="9915" spans="1:3" x14ac:dyDescent="0.25">
      <c r="A9915" s="3">
        <v>41576</v>
      </c>
      <c r="B9915" s="2" t="s">
        <v>37</v>
      </c>
      <c r="C9915" s="2">
        <v>30</v>
      </c>
    </row>
    <row r="9916" spans="1:3" x14ac:dyDescent="0.25">
      <c r="A9916" s="3">
        <v>41879</v>
      </c>
      <c r="B9916" s="2" t="s">
        <v>21</v>
      </c>
      <c r="C9916" s="2">
        <v>29</v>
      </c>
    </row>
    <row r="9917" spans="1:3" x14ac:dyDescent="0.25">
      <c r="A9917" s="3">
        <v>41301</v>
      </c>
      <c r="B9917" s="2" t="s">
        <v>45</v>
      </c>
      <c r="C9917" s="2">
        <v>17</v>
      </c>
    </row>
    <row r="9918" spans="1:3" x14ac:dyDescent="0.25">
      <c r="A9918" s="3">
        <v>41679</v>
      </c>
      <c r="B9918" s="2" t="s">
        <v>31</v>
      </c>
      <c r="C9918" s="2">
        <v>25</v>
      </c>
    </row>
    <row r="9919" spans="1:3" x14ac:dyDescent="0.25">
      <c r="A9919" s="3">
        <v>41926</v>
      </c>
      <c r="B9919" s="2" t="s">
        <v>39</v>
      </c>
      <c r="C9919" s="2">
        <v>40</v>
      </c>
    </row>
    <row r="9920" spans="1:3" x14ac:dyDescent="0.25">
      <c r="A9920" s="3">
        <v>41533</v>
      </c>
      <c r="B9920" s="2" t="s">
        <v>13</v>
      </c>
      <c r="C9920" s="2">
        <v>28</v>
      </c>
    </row>
    <row r="9921" spans="1:3" x14ac:dyDescent="0.25">
      <c r="A9921" s="3">
        <v>41563</v>
      </c>
      <c r="B9921" s="2" t="s">
        <v>5</v>
      </c>
      <c r="C9921" s="2">
        <v>37</v>
      </c>
    </row>
    <row r="9922" spans="1:3" x14ac:dyDescent="0.25">
      <c r="A9922" s="3">
        <v>41708</v>
      </c>
      <c r="B9922" s="2" t="s">
        <v>23</v>
      </c>
      <c r="C9922" s="2">
        <v>12</v>
      </c>
    </row>
    <row r="9923" spans="1:3" x14ac:dyDescent="0.25">
      <c r="A9923" s="3">
        <v>41957</v>
      </c>
      <c r="B9923" s="2" t="s">
        <v>39</v>
      </c>
      <c r="C9923" s="2">
        <v>21</v>
      </c>
    </row>
    <row r="9924" spans="1:3" x14ac:dyDescent="0.25">
      <c r="A9924" s="3">
        <v>41759</v>
      </c>
      <c r="B9924" s="2" t="s">
        <v>36</v>
      </c>
      <c r="C9924" s="2">
        <v>42</v>
      </c>
    </row>
    <row r="9925" spans="1:3" x14ac:dyDescent="0.25">
      <c r="A9925" s="3">
        <v>41949</v>
      </c>
      <c r="B9925" s="2" t="s">
        <v>51</v>
      </c>
      <c r="C9925" s="2">
        <v>19</v>
      </c>
    </row>
    <row r="9926" spans="1:3" x14ac:dyDescent="0.25">
      <c r="A9926" s="3">
        <v>41606</v>
      </c>
      <c r="B9926" s="2" t="s">
        <v>24</v>
      </c>
      <c r="C9926" s="2">
        <v>29</v>
      </c>
    </row>
    <row r="9927" spans="1:3" x14ac:dyDescent="0.25">
      <c r="A9927" s="3">
        <v>41513</v>
      </c>
      <c r="B9927" s="2" t="s">
        <v>11</v>
      </c>
      <c r="C9927" s="2">
        <v>35</v>
      </c>
    </row>
    <row r="9928" spans="1:3" x14ac:dyDescent="0.25">
      <c r="A9928" s="3">
        <v>41927</v>
      </c>
      <c r="B9928" s="2" t="s">
        <v>38</v>
      </c>
      <c r="C9928" s="2">
        <v>16</v>
      </c>
    </row>
    <row r="9929" spans="1:3" x14ac:dyDescent="0.25">
      <c r="A9929" s="3">
        <v>41851</v>
      </c>
      <c r="B9929" s="2" t="s">
        <v>4</v>
      </c>
      <c r="C9929" s="2">
        <v>26</v>
      </c>
    </row>
    <row r="9930" spans="1:3" x14ac:dyDescent="0.25">
      <c r="A9930" s="3">
        <v>41600</v>
      </c>
      <c r="B9930" s="2" t="s">
        <v>30</v>
      </c>
      <c r="C9930" s="2">
        <v>37</v>
      </c>
    </row>
    <row r="9931" spans="1:3" x14ac:dyDescent="0.25">
      <c r="A9931" s="3">
        <v>41973</v>
      </c>
      <c r="B9931" s="2" t="s">
        <v>35</v>
      </c>
      <c r="C9931" s="2">
        <v>16</v>
      </c>
    </row>
    <row r="9932" spans="1:3" x14ac:dyDescent="0.25">
      <c r="A9932" s="3">
        <v>41936</v>
      </c>
      <c r="B9932" s="2" t="s">
        <v>35</v>
      </c>
      <c r="C9932" s="2">
        <v>29</v>
      </c>
    </row>
    <row r="9933" spans="1:3" x14ac:dyDescent="0.25">
      <c r="A9933" s="3">
        <v>41306</v>
      </c>
      <c r="B9933" s="2" t="s">
        <v>19</v>
      </c>
      <c r="C9933" s="2">
        <v>22</v>
      </c>
    </row>
    <row r="9934" spans="1:3" x14ac:dyDescent="0.25">
      <c r="A9934" s="3">
        <v>41456</v>
      </c>
      <c r="B9934" s="2" t="s">
        <v>49</v>
      </c>
      <c r="C9934" s="2">
        <v>42</v>
      </c>
    </row>
    <row r="9935" spans="1:3" x14ac:dyDescent="0.25">
      <c r="A9935" s="3">
        <v>41847</v>
      </c>
      <c r="B9935" s="2" t="s">
        <v>31</v>
      </c>
      <c r="C9935" s="2">
        <v>18</v>
      </c>
    </row>
    <row r="9936" spans="1:3" x14ac:dyDescent="0.25">
      <c r="A9936" s="3">
        <v>41279</v>
      </c>
      <c r="B9936" s="2" t="s">
        <v>9</v>
      </c>
      <c r="C9936" s="2">
        <v>41</v>
      </c>
    </row>
    <row r="9937" spans="1:3" x14ac:dyDescent="0.25">
      <c r="A9937" s="3">
        <v>41838</v>
      </c>
      <c r="B9937" s="2" t="s">
        <v>3</v>
      </c>
      <c r="C9937" s="2">
        <v>49</v>
      </c>
    </row>
    <row r="9938" spans="1:3" x14ac:dyDescent="0.25">
      <c r="A9938" s="3">
        <v>41322</v>
      </c>
      <c r="B9938" s="2" t="s">
        <v>41</v>
      </c>
      <c r="C9938" s="2">
        <v>24</v>
      </c>
    </row>
    <row r="9939" spans="1:3" x14ac:dyDescent="0.25">
      <c r="A9939" s="3">
        <v>41356</v>
      </c>
      <c r="B9939" s="2" t="s">
        <v>16</v>
      </c>
      <c r="C9939" s="2">
        <v>54</v>
      </c>
    </row>
    <row r="9940" spans="1:3" x14ac:dyDescent="0.25">
      <c r="A9940" s="3">
        <v>41448</v>
      </c>
      <c r="B9940" s="2" t="s">
        <v>16</v>
      </c>
      <c r="C9940" s="2">
        <v>56</v>
      </c>
    </row>
    <row r="9941" spans="1:3" x14ac:dyDescent="0.25">
      <c r="A9941" s="3">
        <v>41661</v>
      </c>
      <c r="B9941" s="2" t="s">
        <v>24</v>
      </c>
      <c r="C9941" s="2">
        <v>27</v>
      </c>
    </row>
    <row r="9942" spans="1:3" x14ac:dyDescent="0.25">
      <c r="A9942" s="3">
        <v>41875</v>
      </c>
      <c r="B9942" s="2" t="s">
        <v>24</v>
      </c>
      <c r="C9942" s="2">
        <v>34</v>
      </c>
    </row>
    <row r="9943" spans="1:3" x14ac:dyDescent="0.25">
      <c r="A9943" s="3">
        <v>42002</v>
      </c>
      <c r="B9943" s="2" t="s">
        <v>26</v>
      </c>
      <c r="C9943" s="2">
        <v>12</v>
      </c>
    </row>
    <row r="9944" spans="1:3" x14ac:dyDescent="0.25">
      <c r="A9944" s="3">
        <v>41548</v>
      </c>
      <c r="B9944" s="2" t="s">
        <v>17</v>
      </c>
      <c r="C9944" s="2">
        <v>23</v>
      </c>
    </row>
    <row r="9945" spans="1:3" x14ac:dyDescent="0.25">
      <c r="A9945" s="3">
        <v>41337</v>
      </c>
      <c r="B9945" s="2" t="s">
        <v>23</v>
      </c>
      <c r="C9945" s="2">
        <v>37</v>
      </c>
    </row>
    <row r="9946" spans="1:3" x14ac:dyDescent="0.25">
      <c r="A9946" s="3">
        <v>41403</v>
      </c>
      <c r="B9946" s="2" t="s">
        <v>9</v>
      </c>
      <c r="C9946" s="2">
        <v>38</v>
      </c>
    </row>
    <row r="9947" spans="1:3" x14ac:dyDescent="0.25">
      <c r="A9947" s="3">
        <v>41608</v>
      </c>
      <c r="B9947" s="2" t="s">
        <v>10</v>
      </c>
      <c r="C9947" s="2">
        <v>25</v>
      </c>
    </row>
    <row r="9948" spans="1:3" x14ac:dyDescent="0.25">
      <c r="A9948" s="3">
        <v>41370</v>
      </c>
      <c r="B9948" s="2" t="s">
        <v>39</v>
      </c>
      <c r="C9948" s="2">
        <v>12</v>
      </c>
    </row>
    <row r="9949" spans="1:3" x14ac:dyDescent="0.25">
      <c r="A9949" s="3">
        <v>41679</v>
      </c>
      <c r="B9949" s="2" t="s">
        <v>35</v>
      </c>
      <c r="C9949" s="2">
        <v>22</v>
      </c>
    </row>
    <row r="9950" spans="1:3" x14ac:dyDescent="0.25">
      <c r="A9950" s="3">
        <v>41885</v>
      </c>
      <c r="B9950" s="2" t="s">
        <v>33</v>
      </c>
      <c r="C9950" s="2">
        <v>43</v>
      </c>
    </row>
    <row r="9951" spans="1:3" x14ac:dyDescent="0.25">
      <c r="A9951" s="3">
        <v>41608</v>
      </c>
      <c r="B9951" s="2" t="s">
        <v>34</v>
      </c>
      <c r="C9951" s="2">
        <v>7</v>
      </c>
    </row>
    <row r="9952" spans="1:3" x14ac:dyDescent="0.25">
      <c r="A9952" s="3">
        <v>41901</v>
      </c>
      <c r="B9952" s="2" t="s">
        <v>51</v>
      </c>
      <c r="C9952" s="2">
        <v>33</v>
      </c>
    </row>
    <row r="9953" spans="1:3" x14ac:dyDescent="0.25">
      <c r="A9953" s="3">
        <v>41621</v>
      </c>
      <c r="B9953" s="2" t="s">
        <v>33</v>
      </c>
      <c r="C9953" s="2">
        <v>49</v>
      </c>
    </row>
    <row r="9954" spans="1:3" x14ac:dyDescent="0.25">
      <c r="A9954" s="3">
        <v>41635</v>
      </c>
      <c r="B9954" s="2" t="s">
        <v>26</v>
      </c>
      <c r="C9954" s="2">
        <v>22</v>
      </c>
    </row>
    <row r="9955" spans="1:3" x14ac:dyDescent="0.25">
      <c r="A9955" s="3">
        <v>41984</v>
      </c>
      <c r="B9955" s="2" t="s">
        <v>45</v>
      </c>
      <c r="C9955" s="2">
        <v>10</v>
      </c>
    </row>
    <row r="9956" spans="1:3" x14ac:dyDescent="0.25">
      <c r="A9956" s="3">
        <v>41343</v>
      </c>
      <c r="B9956" s="2" t="s">
        <v>34</v>
      </c>
      <c r="C9956" s="2">
        <v>33</v>
      </c>
    </row>
    <row r="9957" spans="1:3" x14ac:dyDescent="0.25">
      <c r="A9957" s="3">
        <v>41281</v>
      </c>
      <c r="B9957" s="2" t="s">
        <v>18</v>
      </c>
      <c r="C9957" s="2">
        <v>56</v>
      </c>
    </row>
    <row r="9958" spans="1:3" x14ac:dyDescent="0.25">
      <c r="A9958" s="3">
        <v>41682</v>
      </c>
      <c r="B9958" s="2" t="s">
        <v>16</v>
      </c>
      <c r="C9958" s="2">
        <v>22</v>
      </c>
    </row>
    <row r="9959" spans="1:3" x14ac:dyDescent="0.25">
      <c r="A9959" s="3">
        <v>41923</v>
      </c>
      <c r="B9959" s="2" t="s">
        <v>44</v>
      </c>
      <c r="C9959" s="2">
        <v>44</v>
      </c>
    </row>
    <row r="9960" spans="1:3" x14ac:dyDescent="0.25">
      <c r="A9960" s="3">
        <v>41846</v>
      </c>
      <c r="B9960" s="2" t="s">
        <v>17</v>
      </c>
      <c r="C9960" s="2">
        <v>32</v>
      </c>
    </row>
    <row r="9961" spans="1:3" x14ac:dyDescent="0.25">
      <c r="A9961" s="3">
        <v>41989</v>
      </c>
      <c r="B9961" s="2" t="s">
        <v>35</v>
      </c>
      <c r="C9961" s="2">
        <v>4</v>
      </c>
    </row>
    <row r="9962" spans="1:3" x14ac:dyDescent="0.25">
      <c r="A9962" s="3">
        <v>41986</v>
      </c>
      <c r="B9962" s="2" t="s">
        <v>38</v>
      </c>
      <c r="C9962" s="2">
        <v>46</v>
      </c>
    </row>
    <row r="9963" spans="1:3" x14ac:dyDescent="0.25">
      <c r="A9963" s="3">
        <v>41290</v>
      </c>
      <c r="B9963" s="2" t="s">
        <v>47</v>
      </c>
      <c r="C9963" s="2">
        <v>34</v>
      </c>
    </row>
    <row r="9964" spans="1:3" x14ac:dyDescent="0.25">
      <c r="A9964" s="3">
        <v>41740</v>
      </c>
      <c r="B9964" s="2" t="s">
        <v>45</v>
      </c>
      <c r="C9964" s="2">
        <v>11</v>
      </c>
    </row>
    <row r="9965" spans="1:3" x14ac:dyDescent="0.25">
      <c r="A9965" s="3">
        <v>41296</v>
      </c>
      <c r="B9965" s="2" t="s">
        <v>20</v>
      </c>
      <c r="C9965" s="2">
        <v>17</v>
      </c>
    </row>
    <row r="9966" spans="1:3" x14ac:dyDescent="0.25">
      <c r="A9966" s="3">
        <v>41908</v>
      </c>
      <c r="B9966" s="2" t="s">
        <v>25</v>
      </c>
      <c r="C9966" s="2">
        <v>30</v>
      </c>
    </row>
    <row r="9967" spans="1:3" x14ac:dyDescent="0.25">
      <c r="A9967" s="3">
        <v>41858</v>
      </c>
      <c r="B9967" s="2" t="s">
        <v>36</v>
      </c>
      <c r="C9967" s="2">
        <v>34</v>
      </c>
    </row>
    <row r="9968" spans="1:3" x14ac:dyDescent="0.25">
      <c r="A9968" s="3">
        <v>41739</v>
      </c>
      <c r="B9968" s="2" t="s">
        <v>10</v>
      </c>
      <c r="C9968" s="2">
        <v>4</v>
      </c>
    </row>
    <row r="9969" spans="1:3" x14ac:dyDescent="0.25">
      <c r="A9969" s="3">
        <v>41439</v>
      </c>
      <c r="B9969" s="2" t="s">
        <v>42</v>
      </c>
      <c r="C9969" s="2">
        <v>55</v>
      </c>
    </row>
    <row r="9970" spans="1:3" x14ac:dyDescent="0.25">
      <c r="A9970" s="3">
        <v>41808</v>
      </c>
      <c r="B9970" s="2" t="s">
        <v>8</v>
      </c>
      <c r="C9970" s="2">
        <v>49</v>
      </c>
    </row>
    <row r="9971" spans="1:3" x14ac:dyDescent="0.25">
      <c r="A9971" s="3">
        <v>41781</v>
      </c>
      <c r="B9971" s="2" t="s">
        <v>15</v>
      </c>
      <c r="C9971" s="2">
        <v>24</v>
      </c>
    </row>
    <row r="9972" spans="1:3" x14ac:dyDescent="0.25">
      <c r="A9972" s="3">
        <v>41682</v>
      </c>
      <c r="B9972" s="2" t="s">
        <v>51</v>
      </c>
      <c r="C9972" s="2">
        <v>30</v>
      </c>
    </row>
    <row r="9973" spans="1:3" x14ac:dyDescent="0.25">
      <c r="A9973" s="3">
        <v>41855</v>
      </c>
      <c r="B9973" s="2" t="s">
        <v>14</v>
      </c>
      <c r="C9973" s="2">
        <v>2</v>
      </c>
    </row>
    <row r="9974" spans="1:3" x14ac:dyDescent="0.25">
      <c r="A9974" s="3">
        <v>41976</v>
      </c>
      <c r="B9974" s="2" t="s">
        <v>29</v>
      </c>
      <c r="C9974" s="2">
        <v>30</v>
      </c>
    </row>
    <row r="9975" spans="1:3" x14ac:dyDescent="0.25">
      <c r="A9975" s="3">
        <v>41722</v>
      </c>
      <c r="B9975" s="2" t="s">
        <v>42</v>
      </c>
      <c r="C9975" s="2">
        <v>29</v>
      </c>
    </row>
    <row r="9976" spans="1:3" x14ac:dyDescent="0.25">
      <c r="A9976" s="3">
        <v>41521</v>
      </c>
      <c r="B9976" s="2" t="s">
        <v>11</v>
      </c>
      <c r="C9976" s="2">
        <v>9</v>
      </c>
    </row>
    <row r="9977" spans="1:3" x14ac:dyDescent="0.25">
      <c r="A9977" s="3">
        <v>41326</v>
      </c>
      <c r="B9977" s="2" t="s">
        <v>39</v>
      </c>
      <c r="C9977" s="2">
        <v>20</v>
      </c>
    </row>
    <row r="9978" spans="1:3" x14ac:dyDescent="0.25">
      <c r="A9978" s="3">
        <v>41478</v>
      </c>
      <c r="B9978" s="2" t="s">
        <v>30</v>
      </c>
      <c r="C9978" s="2">
        <v>16</v>
      </c>
    </row>
    <row r="9979" spans="1:3" x14ac:dyDescent="0.25">
      <c r="A9979" s="3">
        <v>41429</v>
      </c>
      <c r="B9979" s="2" t="s">
        <v>14</v>
      </c>
      <c r="C9979" s="2">
        <v>23</v>
      </c>
    </row>
    <row r="9980" spans="1:3" x14ac:dyDescent="0.25">
      <c r="A9980" s="3">
        <v>41516</v>
      </c>
      <c r="B9980" s="2" t="s">
        <v>3</v>
      </c>
      <c r="C9980" s="2">
        <v>49</v>
      </c>
    </row>
    <row r="9981" spans="1:3" x14ac:dyDescent="0.25">
      <c r="A9981" s="3">
        <v>41848</v>
      </c>
      <c r="B9981" s="2" t="s">
        <v>48</v>
      </c>
      <c r="C9981" s="2">
        <v>22</v>
      </c>
    </row>
    <row r="9982" spans="1:3" x14ac:dyDescent="0.25">
      <c r="A9982" s="3">
        <v>41412</v>
      </c>
      <c r="B9982" s="2" t="s">
        <v>24</v>
      </c>
      <c r="C9982" s="2">
        <v>7</v>
      </c>
    </row>
    <row r="9983" spans="1:3" x14ac:dyDescent="0.25">
      <c r="A9983" s="3">
        <v>41374</v>
      </c>
      <c r="B9983" s="2" t="s">
        <v>27</v>
      </c>
      <c r="C9983" s="2">
        <v>36</v>
      </c>
    </row>
    <row r="9984" spans="1:3" x14ac:dyDescent="0.25">
      <c r="A9984" s="3">
        <v>41458</v>
      </c>
      <c r="B9984" s="2" t="s">
        <v>32</v>
      </c>
      <c r="C9984" s="2">
        <v>39</v>
      </c>
    </row>
    <row r="9985" spans="1:3" x14ac:dyDescent="0.25">
      <c r="A9985" s="3">
        <v>41575</v>
      </c>
      <c r="B9985" s="2" t="s">
        <v>42</v>
      </c>
      <c r="C9985" s="2">
        <v>20</v>
      </c>
    </row>
    <row r="9986" spans="1:3" x14ac:dyDescent="0.25">
      <c r="A9986" s="3">
        <v>41653</v>
      </c>
      <c r="B9986" s="2" t="s">
        <v>35</v>
      </c>
      <c r="C9986" s="2">
        <v>12</v>
      </c>
    </row>
    <row r="9987" spans="1:3" x14ac:dyDescent="0.25">
      <c r="A9987" s="3">
        <v>41562</v>
      </c>
      <c r="B9987" s="2" t="s">
        <v>14</v>
      </c>
      <c r="C9987" s="2">
        <v>33</v>
      </c>
    </row>
    <row r="9988" spans="1:3" x14ac:dyDescent="0.25">
      <c r="A9988" s="3">
        <v>41500</v>
      </c>
      <c r="B9988" s="2" t="s">
        <v>17</v>
      </c>
      <c r="C9988" s="2">
        <v>24</v>
      </c>
    </row>
    <row r="9989" spans="1:3" x14ac:dyDescent="0.25">
      <c r="A9989" s="3">
        <v>41990</v>
      </c>
      <c r="B9989" s="2" t="s">
        <v>48</v>
      </c>
      <c r="C9989" s="2">
        <v>41</v>
      </c>
    </row>
    <row r="9990" spans="1:3" x14ac:dyDescent="0.25">
      <c r="A9990" s="3">
        <v>41861</v>
      </c>
      <c r="B9990" s="2" t="s">
        <v>37</v>
      </c>
      <c r="C9990" s="2">
        <v>23</v>
      </c>
    </row>
    <row r="9991" spans="1:3" x14ac:dyDescent="0.25">
      <c r="A9991" s="3">
        <v>41398</v>
      </c>
      <c r="B9991" s="2" t="s">
        <v>26</v>
      </c>
      <c r="C9991" s="2">
        <v>39</v>
      </c>
    </row>
    <row r="9992" spans="1:3" x14ac:dyDescent="0.25">
      <c r="A9992" s="3">
        <v>41593</v>
      </c>
      <c r="B9992" s="2" t="s">
        <v>39</v>
      </c>
      <c r="C9992" s="2">
        <v>31</v>
      </c>
    </row>
    <row r="9993" spans="1:3" x14ac:dyDescent="0.25">
      <c r="A9993" s="3">
        <v>41385</v>
      </c>
      <c r="B9993" s="2" t="s">
        <v>15</v>
      </c>
      <c r="C9993" s="2">
        <v>20</v>
      </c>
    </row>
    <row r="9994" spans="1:3" x14ac:dyDescent="0.25">
      <c r="A9994" s="3">
        <v>41638</v>
      </c>
      <c r="B9994" s="2" t="s">
        <v>29</v>
      </c>
      <c r="C9994" s="2">
        <v>46</v>
      </c>
    </row>
    <row r="9995" spans="1:3" x14ac:dyDescent="0.25">
      <c r="A9995" s="3">
        <v>41967</v>
      </c>
      <c r="B9995" s="2" t="s">
        <v>9</v>
      </c>
      <c r="C9995" s="2">
        <v>34</v>
      </c>
    </row>
    <row r="9996" spans="1:3" x14ac:dyDescent="0.25">
      <c r="A9996" s="3">
        <v>41281</v>
      </c>
      <c r="B9996" s="2" t="s">
        <v>7</v>
      </c>
      <c r="C9996" s="2">
        <v>50</v>
      </c>
    </row>
    <row r="9997" spans="1:3" x14ac:dyDescent="0.25">
      <c r="A9997" s="3">
        <v>41968</v>
      </c>
      <c r="B9997" s="2" t="s">
        <v>4</v>
      </c>
      <c r="C9997" s="2">
        <v>18</v>
      </c>
    </row>
    <row r="9998" spans="1:3" x14ac:dyDescent="0.25">
      <c r="A9998" s="3">
        <v>41995</v>
      </c>
      <c r="B9998" s="2" t="s">
        <v>42</v>
      </c>
      <c r="C9998" s="2">
        <v>41</v>
      </c>
    </row>
    <row r="9999" spans="1:3" x14ac:dyDescent="0.25">
      <c r="A9999" s="3">
        <v>41760</v>
      </c>
      <c r="B9999" s="2" t="s">
        <v>11</v>
      </c>
      <c r="C9999" s="2">
        <v>9</v>
      </c>
    </row>
    <row r="10000" spans="1:3" x14ac:dyDescent="0.25">
      <c r="A10000" s="3">
        <v>41876</v>
      </c>
      <c r="B10000" s="2" t="s">
        <v>25</v>
      </c>
      <c r="C10000" s="2">
        <v>28</v>
      </c>
    </row>
  </sheetData>
  <dataValidations disablePrompts="1" count="1">
    <dataValidation type="list" allowBlank="1" showInputMessage="1" showErrorMessage="1" sqref="E2">
      <formula1>Groups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18"/>
  <sheetViews>
    <sheetView zoomScale="115" zoomScaleNormal="115" workbookViewId="0">
      <selection activeCell="F19" sqref="F19"/>
    </sheetView>
  </sheetViews>
  <sheetFormatPr defaultRowHeight="15" x14ac:dyDescent="0.25"/>
  <cols>
    <col min="1" max="1" width="10.7109375" bestFit="1" customWidth="1"/>
    <col min="2" max="2" width="20.28515625" bestFit="1" customWidth="1"/>
    <col min="3" max="3" width="13.7109375" bestFit="1" customWidth="1"/>
    <col min="4" max="4" width="3.42578125" customWidth="1"/>
    <col min="5" max="5" width="20.28515625" bestFit="1" customWidth="1"/>
    <col min="6" max="6" width="10.7109375" bestFit="1" customWidth="1"/>
    <col min="7" max="7" width="10" customWidth="1"/>
    <col min="8" max="8" width="16.85546875" customWidth="1"/>
    <col min="9" max="9" width="14.42578125" customWidth="1"/>
    <col min="11" max="11" width="10" customWidth="1"/>
    <col min="12" max="12" width="16.85546875" customWidth="1"/>
    <col min="13" max="13" width="14.42578125" customWidth="1"/>
  </cols>
  <sheetData>
    <row r="1" spans="1:9" x14ac:dyDescent="0.25">
      <c r="A1" s="1" t="s">
        <v>57</v>
      </c>
      <c r="B1" s="1" t="s">
        <v>58</v>
      </c>
      <c r="C1" s="1" t="s">
        <v>59</v>
      </c>
    </row>
    <row r="2" spans="1:9" x14ac:dyDescent="0.25">
      <c r="A2" s="3">
        <v>41812</v>
      </c>
      <c r="B2" s="2" t="s">
        <v>30</v>
      </c>
      <c r="C2" s="2">
        <v>41</v>
      </c>
    </row>
    <row r="3" spans="1:9" x14ac:dyDescent="0.25">
      <c r="A3" s="3">
        <v>41663</v>
      </c>
      <c r="B3" s="2" t="s">
        <v>6</v>
      </c>
      <c r="C3" s="2">
        <v>11</v>
      </c>
    </row>
    <row r="4" spans="1:9" x14ac:dyDescent="0.25">
      <c r="A4" s="3">
        <v>41617</v>
      </c>
      <c r="B4" s="2" t="s">
        <v>23</v>
      </c>
      <c r="C4" s="2">
        <v>25</v>
      </c>
      <c r="E4" s="5" t="s">
        <v>61</v>
      </c>
    </row>
    <row r="5" spans="1:9" x14ac:dyDescent="0.25">
      <c r="A5" s="3">
        <v>41848</v>
      </c>
      <c r="B5" s="2" t="s">
        <v>32</v>
      </c>
      <c r="C5" s="2">
        <v>41</v>
      </c>
      <c r="E5" s="1" t="str">
        <f>B1</f>
        <v>Employee</v>
      </c>
      <c r="F5" s="1" t="s">
        <v>62</v>
      </c>
    </row>
    <row r="6" spans="1:9" x14ac:dyDescent="0.25">
      <c r="A6" s="3">
        <v>41747</v>
      </c>
      <c r="B6" s="2" t="s">
        <v>19</v>
      </c>
      <c r="C6" s="2">
        <v>9</v>
      </c>
      <c r="E6" s="2" t="s">
        <v>7</v>
      </c>
      <c r="F6" s="10">
        <f>SUMPRODUCT(--ISNUMBER(MATCH(B2:B1018,E6:E11,0)))</f>
        <v>119</v>
      </c>
      <c r="G6" t="str">
        <f ca="1">"&lt; Formula "&amp;_xlfn.FORMULATEXT(F6)</f>
        <v>&lt; Formula =SUMPRODUCT(--ISNUMBER(MATCH(B2:B1018,E6:E11,0)))</v>
      </c>
    </row>
    <row r="7" spans="1:9" x14ac:dyDescent="0.25">
      <c r="A7" s="3">
        <v>41708</v>
      </c>
      <c r="B7" s="2" t="s">
        <v>3</v>
      </c>
      <c r="C7" s="2">
        <v>29</v>
      </c>
      <c r="E7" s="2" t="s">
        <v>19</v>
      </c>
    </row>
    <row r="8" spans="1:9" x14ac:dyDescent="0.25">
      <c r="A8" s="3">
        <v>41325</v>
      </c>
      <c r="B8" s="2" t="s">
        <v>20</v>
      </c>
      <c r="C8" s="2">
        <v>9</v>
      </c>
      <c r="E8" s="2" t="s">
        <v>21</v>
      </c>
      <c r="G8" t="s">
        <v>73</v>
      </c>
    </row>
    <row r="9" spans="1:9" x14ac:dyDescent="0.25">
      <c r="A9" s="3">
        <v>41914</v>
      </c>
      <c r="B9" s="2" t="s">
        <v>4</v>
      </c>
      <c r="C9" s="2">
        <v>40</v>
      </c>
      <c r="E9" s="2" t="s">
        <v>25</v>
      </c>
      <c r="G9" t="s">
        <v>74</v>
      </c>
    </row>
    <row r="10" spans="1:9" x14ac:dyDescent="0.25">
      <c r="A10" s="3">
        <v>41351</v>
      </c>
      <c r="B10" s="2" t="s">
        <v>43</v>
      </c>
      <c r="C10" s="2">
        <v>21</v>
      </c>
      <c r="E10" s="2" t="s">
        <v>36</v>
      </c>
    </row>
    <row r="11" spans="1:9" x14ac:dyDescent="0.25">
      <c r="A11" s="3">
        <v>41452</v>
      </c>
      <c r="B11" s="2" t="s">
        <v>35</v>
      </c>
      <c r="C11" s="2">
        <v>31</v>
      </c>
      <c r="E11" s="2" t="s">
        <v>43</v>
      </c>
      <c r="G11" s="8" t="s">
        <v>75</v>
      </c>
    </row>
    <row r="12" spans="1:9" x14ac:dyDescent="0.25">
      <c r="A12" s="3">
        <v>41917</v>
      </c>
      <c r="B12" s="2" t="s">
        <v>21</v>
      </c>
      <c r="C12" s="2">
        <v>18</v>
      </c>
      <c r="G12" s="2"/>
      <c r="H12" s="6" t="s">
        <v>68</v>
      </c>
      <c r="I12" s="6" t="s">
        <v>69</v>
      </c>
    </row>
    <row r="13" spans="1:9" x14ac:dyDescent="0.25">
      <c r="A13" s="3">
        <v>41855</v>
      </c>
      <c r="B13" s="2" t="s">
        <v>22</v>
      </c>
      <c r="C13" s="2">
        <v>38</v>
      </c>
      <c r="G13" s="2" t="s">
        <v>66</v>
      </c>
      <c r="H13" s="2">
        <v>0.1552</v>
      </c>
      <c r="I13" s="2">
        <v>0.20458000000000001</v>
      </c>
    </row>
    <row r="14" spans="1:9" x14ac:dyDescent="0.25">
      <c r="A14" s="3">
        <v>41381</v>
      </c>
      <c r="B14" s="2" t="s">
        <v>10</v>
      </c>
      <c r="C14" s="2">
        <v>22</v>
      </c>
      <c r="G14" s="2" t="s">
        <v>67</v>
      </c>
      <c r="H14" s="2">
        <v>0.15695000000000001</v>
      </c>
      <c r="I14" s="2">
        <v>0.20351</v>
      </c>
    </row>
    <row r="15" spans="1:9" x14ac:dyDescent="0.25">
      <c r="A15" s="3">
        <v>41548</v>
      </c>
      <c r="B15" s="2" t="s">
        <v>16</v>
      </c>
      <c r="C15" s="2">
        <v>48</v>
      </c>
      <c r="G15" s="2" t="s">
        <v>65</v>
      </c>
      <c r="H15" s="2">
        <v>0.154</v>
      </c>
      <c r="I15" s="2">
        <v>0.2039</v>
      </c>
    </row>
    <row r="16" spans="1:9" x14ac:dyDescent="0.25">
      <c r="A16" s="3">
        <v>41851</v>
      </c>
      <c r="B16" s="2" t="s">
        <v>45</v>
      </c>
      <c r="C16" s="2">
        <v>38</v>
      </c>
      <c r="G16" s="2" t="s">
        <v>64</v>
      </c>
      <c r="H16" s="4">
        <f>AVERAGE(H13:H15)</f>
        <v>0.15538333333333335</v>
      </c>
      <c r="I16" s="4">
        <f t="shared" ref="I16" si="0">AVERAGE(I13:I15)</f>
        <v>0.20399666666666669</v>
      </c>
    </row>
    <row r="17" spans="1:13" x14ac:dyDescent="0.25">
      <c r="A17" s="3">
        <v>41923</v>
      </c>
      <c r="B17" s="2" t="s">
        <v>33</v>
      </c>
      <c r="C17" s="2">
        <v>46</v>
      </c>
      <c r="G17" s="2" t="s">
        <v>63</v>
      </c>
      <c r="H17" s="9">
        <f t="shared" ref="H17:I17" si="1">H16/$H$16-1</f>
        <v>0</v>
      </c>
      <c r="I17" s="9">
        <f t="shared" si="1"/>
        <v>0.31286066716722094</v>
      </c>
    </row>
    <row r="18" spans="1:13" x14ac:dyDescent="0.25">
      <c r="A18" s="3">
        <v>41765</v>
      </c>
      <c r="B18" s="2" t="s">
        <v>39</v>
      </c>
      <c r="C18" s="2">
        <v>34</v>
      </c>
    </row>
    <row r="19" spans="1:13" x14ac:dyDescent="0.25">
      <c r="A19" s="3">
        <v>41720</v>
      </c>
      <c r="B19" s="2" t="s">
        <v>43</v>
      </c>
      <c r="C19" s="2">
        <v>25</v>
      </c>
      <c r="G19" s="1" t="s">
        <v>57</v>
      </c>
      <c r="H19" s="1" t="s">
        <v>58</v>
      </c>
      <c r="I19" s="1" t="s">
        <v>59</v>
      </c>
      <c r="K19" s="1" t="s">
        <v>57</v>
      </c>
      <c r="L19" s="1" t="s">
        <v>58</v>
      </c>
      <c r="M19" s="1" t="s">
        <v>59</v>
      </c>
    </row>
    <row r="20" spans="1:13" x14ac:dyDescent="0.25">
      <c r="A20" s="3">
        <v>41600</v>
      </c>
      <c r="B20" s="2" t="s">
        <v>28</v>
      </c>
      <c r="C20" s="2">
        <v>18</v>
      </c>
      <c r="G20" s="7">
        <f t="array" ref="G20">IF(ROWS(K$20:K20)&gt;$F$6,"",INDEX(A$2:A$1018,SMALL(IF(ISNUMBER(MATCH($B$2:$B$1018,$E$6:$E$11,0)),ROW($C$2:$C$1018)-ROW($C$2)+1),ROWS(K$20:K20))))</f>
        <v>41747</v>
      </c>
      <c r="H20" s="4" t="str">
        <f t="array" ref="H20">IF(ROWS(L$20:L20)&gt;$F$6,"",INDEX(B$2:B$1018,SMALL(IF(ISNUMBER(MATCH($B$2:$B$1018,$E$6:$E$11,0)),ROW($C$2:$C$1018)-ROW($C$2)+1),ROWS(L$20:L20))))</f>
        <v>Kerrie  Worrell</v>
      </c>
      <c r="I20" s="4">
        <f t="array" ref="I20">IF(ROWS(M$20:M20)&gt;$F$6,"",INDEX(C$2:C$1018,SMALL(IF(ISNUMBER(MATCH($B$2:$B$1018,$E$6:$E$11,0)),ROW($C$2:$C$1018)-ROW($C$2)+1),ROWS(M$20:M20))))</f>
        <v>9</v>
      </c>
      <c r="K20" s="7">
        <f t="array" ref="K20">IF(ROWS(K$20:K20)&gt;$F$6,"",INDEX(A$2:A$1018,SMALL(IF(($B$2:$B$1018=$E$6)+($B$2:$B$1018=$E$7)+($B$2:$B$1018=$E$8)+($B$2:$B$1018=$E$9)+($B$2:$B$1018=$E$10)+($B$2:$B$1018=$E$11),ROW($C$2:$C$1018)-ROW($C$2)+1),ROWS(K$20:K20))))</f>
        <v>41747</v>
      </c>
      <c r="L20" s="4" t="str">
        <f t="array" ref="L20">IF(ROWS(L$20:L20)&gt;$F$6,"",INDEX(B$2:B$1018,SMALL(IF(($B$2:$B$1018=$E$6)+($B$2:$B$1018=$E$7)+($B$2:$B$1018=$E$8)+($B$2:$B$1018=$E$9)+($B$2:$B$1018=$E$10)+($B$2:$B$1018=$E$11),ROW($C$2:$C$1018)-ROW($C$2)+1),ROWS(L$20:L20))))</f>
        <v>Kerrie  Worrell</v>
      </c>
      <c r="M20" s="4">
        <f t="array" ref="M20">IF(ROWS(M$20:M20)&gt;$F$6,"",INDEX(C$2:C$1018,SMALL(IF(($B$2:$B$1018=$E$6)+($B$2:$B$1018=$E$7)+($B$2:$B$1018=$E$8)+($B$2:$B$1018=$E$9)+($B$2:$B$1018=$E$10)+($B$2:$B$1018=$E$11),ROW($C$2:$C$1018)-ROW($C$2)+1),ROWS(M$20:M20))))</f>
        <v>9</v>
      </c>
    </row>
    <row r="21" spans="1:13" x14ac:dyDescent="0.25">
      <c r="A21" s="3">
        <v>41570</v>
      </c>
      <c r="B21" s="2" t="s">
        <v>8</v>
      </c>
      <c r="C21" s="2">
        <v>27</v>
      </c>
      <c r="G21" s="7">
        <f t="array" ref="G21">IF(ROWS(K$20:K21)&gt;$F$6,"",INDEX(A$2:A$1018,SMALL(IF(ISNUMBER(MATCH($B$2:$B$1018,$E$6:$E$11,0)),ROW($C$2:$C$1018)-ROW($C$2)+1),ROWS(K$20:K21))))</f>
        <v>41351</v>
      </c>
      <c r="H21" s="4" t="str">
        <f t="array" ref="H21">IF(ROWS(L$20:L21)&gt;$F$6,"",INDEX(B$2:B$1018,SMALL(IF(ISNUMBER(MATCH($B$2:$B$1018,$E$6:$E$11,0)),ROW($C$2:$C$1018)-ROW($C$2)+1),ROWS(L$20:L21))))</f>
        <v>Mickey  Bolduc</v>
      </c>
      <c r="I21" s="4">
        <f t="array" ref="I21">IF(ROWS(M$20:M21)&gt;$F$6,"",INDEX(C$2:C$1018,SMALL(IF(ISNUMBER(MATCH($B$2:$B$1018,$E$6:$E$11,0)),ROW($C$2:$C$1018)-ROW($C$2)+1),ROWS(M$20:M21))))</f>
        <v>21</v>
      </c>
      <c r="K21" s="7">
        <f t="array" ref="K21">IF(ROWS(K$20:K21)&gt;$F$6,"",INDEX(A$2:A$1018,SMALL(IF(($B$2:$B$1018=$E$6)+($B$2:$B$1018=$E$7)+($B$2:$B$1018=$E$8)+($B$2:$B$1018=$E$9)+($B$2:$B$1018=$E$10)+($B$2:$B$1018=$E$11),ROW($C$2:$C$1018)-ROW($C$2)+1),ROWS(K$20:K21))))</f>
        <v>41351</v>
      </c>
      <c r="L21" s="4" t="str">
        <f t="array" ref="L21">IF(ROWS(L$20:L21)&gt;$F$6,"",INDEX(B$2:B$1018,SMALL(IF(($B$2:$B$1018=$E$6)+($B$2:$B$1018=$E$7)+($B$2:$B$1018=$E$8)+($B$2:$B$1018=$E$9)+($B$2:$B$1018=$E$10)+($B$2:$B$1018=$E$11),ROW($C$2:$C$1018)-ROW($C$2)+1),ROWS(L$20:L21))))</f>
        <v>Mickey  Bolduc</v>
      </c>
      <c r="M21" s="4">
        <f t="array" ref="M21">IF(ROWS(M$20:M21)&gt;$F$6,"",INDEX(C$2:C$1018,SMALL(IF(($B$2:$B$1018=$E$6)+($B$2:$B$1018=$E$7)+($B$2:$B$1018=$E$8)+($B$2:$B$1018=$E$9)+($B$2:$B$1018=$E$10)+($B$2:$B$1018=$E$11),ROW($C$2:$C$1018)-ROW($C$2)+1),ROWS(M$20:M21))))</f>
        <v>21</v>
      </c>
    </row>
    <row r="22" spans="1:13" x14ac:dyDescent="0.25">
      <c r="A22" s="3">
        <v>41608</v>
      </c>
      <c r="B22" s="2" t="s">
        <v>6</v>
      </c>
      <c r="C22" s="2">
        <v>29</v>
      </c>
      <c r="G22" s="7">
        <f t="array" ref="G22">IF(ROWS(K$20:K22)&gt;$F$6,"",INDEX(A$2:A$1018,SMALL(IF(ISNUMBER(MATCH($B$2:$B$1018,$E$6:$E$11,0)),ROW($C$2:$C$1018)-ROW($C$2)+1),ROWS(K$20:K22))))</f>
        <v>41917</v>
      </c>
      <c r="H22" s="4" t="str">
        <f t="array" ref="H22">IF(ROWS(L$20:L22)&gt;$F$6,"",INDEX(B$2:B$1018,SMALL(IF(ISNUMBER(MATCH($B$2:$B$1018,$E$6:$E$11,0)),ROW($C$2:$C$1018)-ROW($C$2)+1),ROWS(L$20:L22))))</f>
        <v>Iliana  Valerio</v>
      </c>
      <c r="I22" s="4">
        <f t="array" ref="I22">IF(ROWS(M$20:M22)&gt;$F$6,"",INDEX(C$2:C$1018,SMALL(IF(ISNUMBER(MATCH($B$2:$B$1018,$E$6:$E$11,0)),ROW($C$2:$C$1018)-ROW($C$2)+1),ROWS(M$20:M22))))</f>
        <v>18</v>
      </c>
      <c r="K22" s="7">
        <f t="array" ref="K22">IF(ROWS(K$20:K22)&gt;$F$6,"",INDEX(A$2:A$1018,SMALL(IF(($B$2:$B$1018=$E$6)+($B$2:$B$1018=$E$7)+($B$2:$B$1018=$E$8)+($B$2:$B$1018=$E$9)+($B$2:$B$1018=$E$10)+($B$2:$B$1018=$E$11),ROW($C$2:$C$1018)-ROW($C$2)+1),ROWS(K$20:K22))))</f>
        <v>41917</v>
      </c>
      <c r="L22" s="4" t="str">
        <f t="array" ref="L22">IF(ROWS(L$20:L22)&gt;$F$6,"",INDEX(B$2:B$1018,SMALL(IF(($B$2:$B$1018=$E$6)+($B$2:$B$1018=$E$7)+($B$2:$B$1018=$E$8)+($B$2:$B$1018=$E$9)+($B$2:$B$1018=$E$10)+($B$2:$B$1018=$E$11),ROW($C$2:$C$1018)-ROW($C$2)+1),ROWS(L$20:L22))))</f>
        <v>Iliana  Valerio</v>
      </c>
      <c r="M22" s="4">
        <f t="array" ref="M22">IF(ROWS(M$20:M22)&gt;$F$6,"",INDEX(C$2:C$1018,SMALL(IF(($B$2:$B$1018=$E$6)+($B$2:$B$1018=$E$7)+($B$2:$B$1018=$E$8)+($B$2:$B$1018=$E$9)+($B$2:$B$1018=$E$10)+($B$2:$B$1018=$E$11),ROW($C$2:$C$1018)-ROW($C$2)+1),ROWS(M$20:M22))))</f>
        <v>18</v>
      </c>
    </row>
    <row r="23" spans="1:13" x14ac:dyDescent="0.25">
      <c r="A23" s="3">
        <v>41505</v>
      </c>
      <c r="B23" s="2" t="s">
        <v>15</v>
      </c>
      <c r="C23" s="2">
        <v>22</v>
      </c>
      <c r="G23" s="7">
        <f t="array" ref="G23">IF(ROWS(K$20:K23)&gt;$F$6,"",INDEX(A$2:A$1018,SMALL(IF(ISNUMBER(MATCH($B$2:$B$1018,$E$6:$E$11,0)),ROW($C$2:$C$1018)-ROW($C$2)+1),ROWS(K$20:K23))))</f>
        <v>41720</v>
      </c>
      <c r="H23" s="4" t="str">
        <f t="array" ref="H23">IF(ROWS(L$20:L23)&gt;$F$6,"",INDEX(B$2:B$1018,SMALL(IF(ISNUMBER(MATCH($B$2:$B$1018,$E$6:$E$11,0)),ROW($C$2:$C$1018)-ROW($C$2)+1),ROWS(L$20:L23))))</f>
        <v>Mickey  Bolduc</v>
      </c>
      <c r="I23" s="4">
        <f t="array" ref="I23">IF(ROWS(M$20:M23)&gt;$F$6,"",INDEX(C$2:C$1018,SMALL(IF(ISNUMBER(MATCH($B$2:$B$1018,$E$6:$E$11,0)),ROW($C$2:$C$1018)-ROW($C$2)+1),ROWS(M$20:M23))))</f>
        <v>25</v>
      </c>
      <c r="K23" s="7">
        <f t="array" ref="K23">IF(ROWS(K$20:K23)&gt;$F$6,"",INDEX(A$2:A$1018,SMALL(IF(($B$2:$B$1018=$E$6)+($B$2:$B$1018=$E$7)+($B$2:$B$1018=$E$8)+($B$2:$B$1018=$E$9)+($B$2:$B$1018=$E$10)+($B$2:$B$1018=$E$11),ROW($C$2:$C$1018)-ROW($C$2)+1),ROWS(K$20:K23))))</f>
        <v>41720</v>
      </c>
      <c r="L23" s="4" t="str">
        <f t="array" ref="L23">IF(ROWS(L$20:L23)&gt;$F$6,"",INDEX(B$2:B$1018,SMALL(IF(($B$2:$B$1018=$E$6)+($B$2:$B$1018=$E$7)+($B$2:$B$1018=$E$8)+($B$2:$B$1018=$E$9)+($B$2:$B$1018=$E$10)+($B$2:$B$1018=$E$11),ROW($C$2:$C$1018)-ROW($C$2)+1),ROWS(L$20:L23))))</f>
        <v>Mickey  Bolduc</v>
      </c>
      <c r="M23" s="4">
        <f t="array" ref="M23">IF(ROWS(M$20:M23)&gt;$F$6,"",INDEX(C$2:C$1018,SMALL(IF(($B$2:$B$1018=$E$6)+($B$2:$B$1018=$E$7)+($B$2:$B$1018=$E$8)+($B$2:$B$1018=$E$9)+($B$2:$B$1018=$E$10)+($B$2:$B$1018=$E$11),ROW($C$2:$C$1018)-ROW($C$2)+1),ROWS(M$20:M23))))</f>
        <v>25</v>
      </c>
    </row>
    <row r="24" spans="1:13" x14ac:dyDescent="0.25">
      <c r="A24" s="3">
        <v>41458</v>
      </c>
      <c r="B24" s="2" t="s">
        <v>47</v>
      </c>
      <c r="C24" s="2">
        <v>21</v>
      </c>
      <c r="G24" s="7">
        <f t="array" ref="G24">IF(ROWS(K$20:K24)&gt;$F$6,"",INDEX(A$2:A$1018,SMALL(IF(ISNUMBER(MATCH($B$2:$B$1018,$E$6:$E$11,0)),ROW($C$2:$C$1018)-ROW($C$2)+1),ROWS(K$20:K24))))</f>
        <v>41542</v>
      </c>
      <c r="H24" s="4" t="str">
        <f t="array" ref="H24">IF(ROWS(L$20:L24)&gt;$F$6,"",INDEX(B$2:B$1018,SMALL(IF(ISNUMBER(MATCH($B$2:$B$1018,$E$6:$E$11,0)),ROW($C$2:$C$1018)-ROW($C$2)+1),ROWS(L$20:L24))))</f>
        <v>Mickey  Bolduc</v>
      </c>
      <c r="I24" s="4">
        <f t="array" ref="I24">IF(ROWS(M$20:M24)&gt;$F$6,"",INDEX(C$2:C$1018,SMALL(IF(ISNUMBER(MATCH($B$2:$B$1018,$E$6:$E$11,0)),ROW($C$2:$C$1018)-ROW($C$2)+1),ROWS(M$20:M24))))</f>
        <v>34</v>
      </c>
      <c r="K24" s="7">
        <f t="array" ref="K24">IF(ROWS(K$20:K24)&gt;$F$6,"",INDEX(A$2:A$1018,SMALL(IF(($B$2:$B$1018=$E$6)+($B$2:$B$1018=$E$7)+($B$2:$B$1018=$E$8)+($B$2:$B$1018=$E$9)+($B$2:$B$1018=$E$10)+($B$2:$B$1018=$E$11),ROW($C$2:$C$1018)-ROW($C$2)+1),ROWS(K$20:K24))))</f>
        <v>41542</v>
      </c>
      <c r="L24" s="4" t="str">
        <f t="array" ref="L24">IF(ROWS(L$20:L24)&gt;$F$6,"",INDEX(B$2:B$1018,SMALL(IF(($B$2:$B$1018=$E$6)+($B$2:$B$1018=$E$7)+($B$2:$B$1018=$E$8)+($B$2:$B$1018=$E$9)+($B$2:$B$1018=$E$10)+($B$2:$B$1018=$E$11),ROW($C$2:$C$1018)-ROW($C$2)+1),ROWS(L$20:L24))))</f>
        <v>Mickey  Bolduc</v>
      </c>
      <c r="M24" s="4">
        <f t="array" ref="M24">IF(ROWS(M$20:M24)&gt;$F$6,"",INDEX(C$2:C$1018,SMALL(IF(($B$2:$B$1018=$E$6)+($B$2:$B$1018=$E$7)+($B$2:$B$1018=$E$8)+($B$2:$B$1018=$E$9)+($B$2:$B$1018=$E$10)+($B$2:$B$1018=$E$11),ROW($C$2:$C$1018)-ROW($C$2)+1),ROWS(M$20:M24))))</f>
        <v>34</v>
      </c>
    </row>
    <row r="25" spans="1:13" x14ac:dyDescent="0.25">
      <c r="A25" s="3">
        <v>41656</v>
      </c>
      <c r="B25" s="2" t="s">
        <v>32</v>
      </c>
      <c r="C25" s="2">
        <v>29</v>
      </c>
      <c r="G25" s="7">
        <f t="array" ref="G25">IF(ROWS(K$20:K25)&gt;$F$6,"",INDEX(A$2:A$1018,SMALL(IF(ISNUMBER(MATCH($B$2:$B$1018,$E$6:$E$11,0)),ROW($C$2:$C$1018)-ROW($C$2)+1),ROWS(K$20:K25))))</f>
        <v>41347</v>
      </c>
      <c r="H25" s="4" t="str">
        <f t="array" ref="H25">IF(ROWS(L$20:L25)&gt;$F$6,"",INDEX(B$2:B$1018,SMALL(IF(ISNUMBER(MATCH($B$2:$B$1018,$E$6:$E$11,0)),ROW($C$2:$C$1018)-ROW($C$2)+1),ROWS(L$20:L25))))</f>
        <v>Jenni  Thorton</v>
      </c>
      <c r="I25" s="4">
        <f t="array" ref="I25">IF(ROWS(M$20:M25)&gt;$F$6,"",INDEX(C$2:C$1018,SMALL(IF(ISNUMBER(MATCH($B$2:$B$1018,$E$6:$E$11,0)),ROW($C$2:$C$1018)-ROW($C$2)+1),ROWS(M$20:M25))))</f>
        <v>24</v>
      </c>
      <c r="K25" s="7">
        <f t="array" ref="K25">IF(ROWS(K$20:K25)&gt;$F$6,"",INDEX(A$2:A$1018,SMALL(IF(($B$2:$B$1018=$E$6)+($B$2:$B$1018=$E$7)+($B$2:$B$1018=$E$8)+($B$2:$B$1018=$E$9)+($B$2:$B$1018=$E$10)+($B$2:$B$1018=$E$11),ROW($C$2:$C$1018)-ROW($C$2)+1),ROWS(K$20:K25))))</f>
        <v>41347</v>
      </c>
      <c r="L25" s="4" t="str">
        <f t="array" ref="L25">IF(ROWS(L$20:L25)&gt;$F$6,"",INDEX(B$2:B$1018,SMALL(IF(($B$2:$B$1018=$E$6)+($B$2:$B$1018=$E$7)+($B$2:$B$1018=$E$8)+($B$2:$B$1018=$E$9)+($B$2:$B$1018=$E$10)+($B$2:$B$1018=$E$11),ROW($C$2:$C$1018)-ROW($C$2)+1),ROWS(L$20:L25))))</f>
        <v>Jenni  Thorton</v>
      </c>
      <c r="M25" s="4">
        <f t="array" ref="M25">IF(ROWS(M$20:M25)&gt;$F$6,"",INDEX(C$2:C$1018,SMALL(IF(($B$2:$B$1018=$E$6)+($B$2:$B$1018=$E$7)+($B$2:$B$1018=$E$8)+($B$2:$B$1018=$E$9)+($B$2:$B$1018=$E$10)+($B$2:$B$1018=$E$11),ROW($C$2:$C$1018)-ROW($C$2)+1),ROWS(M$20:M25))))</f>
        <v>24</v>
      </c>
    </row>
    <row r="26" spans="1:13" x14ac:dyDescent="0.25">
      <c r="A26" s="3">
        <v>41361</v>
      </c>
      <c r="B26" s="2" t="s">
        <v>26</v>
      </c>
      <c r="C26" s="2">
        <v>23</v>
      </c>
      <c r="G26" s="7">
        <f t="array" ref="G26">IF(ROWS(K$20:K26)&gt;$F$6,"",INDEX(A$2:A$1018,SMALL(IF(ISNUMBER(MATCH($B$2:$B$1018,$E$6:$E$11,0)),ROW($C$2:$C$1018)-ROW($C$2)+1),ROWS(K$20:K26))))</f>
        <v>41910</v>
      </c>
      <c r="H26" s="4" t="str">
        <f t="array" ref="H26">IF(ROWS(L$20:L26)&gt;$F$6,"",INDEX(B$2:B$1018,SMALL(IF(ISNUMBER(MATCH($B$2:$B$1018,$E$6:$E$11,0)),ROW($C$2:$C$1018)-ROW($C$2)+1),ROWS(L$20:L26))))</f>
        <v>Jenni  Thorton</v>
      </c>
      <c r="I26" s="4">
        <f t="array" ref="I26">IF(ROWS(M$20:M26)&gt;$F$6,"",INDEX(C$2:C$1018,SMALL(IF(ISNUMBER(MATCH($B$2:$B$1018,$E$6:$E$11,0)),ROW($C$2:$C$1018)-ROW($C$2)+1),ROWS(M$20:M26))))</f>
        <v>38</v>
      </c>
      <c r="K26" s="7">
        <f t="array" ref="K26">IF(ROWS(K$20:K26)&gt;$F$6,"",INDEX(A$2:A$1018,SMALL(IF(($B$2:$B$1018=$E$6)+($B$2:$B$1018=$E$7)+($B$2:$B$1018=$E$8)+($B$2:$B$1018=$E$9)+($B$2:$B$1018=$E$10)+($B$2:$B$1018=$E$11),ROW($C$2:$C$1018)-ROW($C$2)+1),ROWS(K$20:K26))))</f>
        <v>41910</v>
      </c>
      <c r="L26" s="4" t="str">
        <f t="array" ref="L26">IF(ROWS(L$20:L26)&gt;$F$6,"",INDEX(B$2:B$1018,SMALL(IF(($B$2:$B$1018=$E$6)+($B$2:$B$1018=$E$7)+($B$2:$B$1018=$E$8)+($B$2:$B$1018=$E$9)+($B$2:$B$1018=$E$10)+($B$2:$B$1018=$E$11),ROW($C$2:$C$1018)-ROW($C$2)+1),ROWS(L$20:L26))))</f>
        <v>Jenni  Thorton</v>
      </c>
      <c r="M26" s="4">
        <f t="array" ref="M26">IF(ROWS(M$20:M26)&gt;$F$6,"",INDEX(C$2:C$1018,SMALL(IF(($B$2:$B$1018=$E$6)+($B$2:$B$1018=$E$7)+($B$2:$B$1018=$E$8)+($B$2:$B$1018=$E$9)+($B$2:$B$1018=$E$10)+($B$2:$B$1018=$E$11),ROW($C$2:$C$1018)-ROW($C$2)+1),ROWS(M$20:M26))))</f>
        <v>38</v>
      </c>
    </row>
    <row r="27" spans="1:13" x14ac:dyDescent="0.25">
      <c r="A27" s="3">
        <v>41705</v>
      </c>
      <c r="B27" s="2" t="s">
        <v>38</v>
      </c>
      <c r="C27" s="2">
        <v>37</v>
      </c>
      <c r="G27" s="7">
        <f t="array" ref="G27">IF(ROWS(K$20:K27)&gt;$F$6,"",INDEX(A$2:A$1018,SMALL(IF(ISNUMBER(MATCH($B$2:$B$1018,$E$6:$E$11,0)),ROW($C$2:$C$1018)-ROW($C$2)+1),ROWS(K$20:K27))))</f>
        <v>41953</v>
      </c>
      <c r="H27" s="4" t="str">
        <f t="array" ref="H27">IF(ROWS(L$20:L27)&gt;$F$6,"",INDEX(B$2:B$1018,SMALL(IF(ISNUMBER(MATCH($B$2:$B$1018,$E$6:$E$11,0)),ROW($C$2:$C$1018)-ROW($C$2)+1),ROWS(L$20:L27))))</f>
        <v>Mickey  Bolduc</v>
      </c>
      <c r="I27" s="4">
        <f t="array" ref="I27">IF(ROWS(M$20:M27)&gt;$F$6,"",INDEX(C$2:C$1018,SMALL(IF(ISNUMBER(MATCH($B$2:$B$1018,$E$6:$E$11,0)),ROW($C$2:$C$1018)-ROW($C$2)+1),ROWS(M$20:M27))))</f>
        <v>19</v>
      </c>
      <c r="K27" s="7">
        <f t="array" ref="K27">IF(ROWS(K$20:K27)&gt;$F$6,"",INDEX(A$2:A$1018,SMALL(IF(($B$2:$B$1018=$E$6)+($B$2:$B$1018=$E$7)+($B$2:$B$1018=$E$8)+($B$2:$B$1018=$E$9)+($B$2:$B$1018=$E$10)+($B$2:$B$1018=$E$11),ROW($C$2:$C$1018)-ROW($C$2)+1),ROWS(K$20:K27))))</f>
        <v>41953</v>
      </c>
      <c r="L27" s="4" t="str">
        <f t="array" ref="L27">IF(ROWS(L$20:L27)&gt;$F$6,"",INDEX(B$2:B$1018,SMALL(IF(($B$2:$B$1018=$E$6)+($B$2:$B$1018=$E$7)+($B$2:$B$1018=$E$8)+($B$2:$B$1018=$E$9)+($B$2:$B$1018=$E$10)+($B$2:$B$1018=$E$11),ROW($C$2:$C$1018)-ROW($C$2)+1),ROWS(L$20:L27))))</f>
        <v>Mickey  Bolduc</v>
      </c>
      <c r="M27" s="4">
        <f t="array" ref="M27">IF(ROWS(M$20:M27)&gt;$F$6,"",INDEX(C$2:C$1018,SMALL(IF(($B$2:$B$1018=$E$6)+($B$2:$B$1018=$E$7)+($B$2:$B$1018=$E$8)+($B$2:$B$1018=$E$9)+($B$2:$B$1018=$E$10)+($B$2:$B$1018=$E$11),ROW($C$2:$C$1018)-ROW($C$2)+1),ROWS(M$20:M27))))</f>
        <v>19</v>
      </c>
    </row>
    <row r="28" spans="1:13" x14ac:dyDescent="0.25">
      <c r="A28" s="3">
        <v>41913</v>
      </c>
      <c r="B28" s="2" t="s">
        <v>3</v>
      </c>
      <c r="C28" s="2">
        <v>22</v>
      </c>
      <c r="G28" s="7">
        <f t="array" ref="G28">IF(ROWS(K$20:K28)&gt;$F$6,"",INDEX(A$2:A$1018,SMALL(IF(ISNUMBER(MATCH($B$2:$B$1018,$E$6:$E$11,0)),ROW($C$2:$C$1018)-ROW($C$2)+1),ROWS(K$20:K28))))</f>
        <v>41810</v>
      </c>
      <c r="H28" s="4" t="str">
        <f t="array" ref="H28">IF(ROWS(L$20:L28)&gt;$F$6,"",INDEX(B$2:B$1018,SMALL(IF(ISNUMBER(MATCH($B$2:$B$1018,$E$6:$E$11,0)),ROW($C$2:$C$1018)-ROW($C$2)+1),ROWS(L$20:L28))))</f>
        <v>Iliana  Valerio</v>
      </c>
      <c r="I28" s="4">
        <f t="array" ref="I28">IF(ROWS(M$20:M28)&gt;$F$6,"",INDEX(C$2:C$1018,SMALL(IF(ISNUMBER(MATCH($B$2:$B$1018,$E$6:$E$11,0)),ROW($C$2:$C$1018)-ROW($C$2)+1),ROWS(M$20:M28))))</f>
        <v>24</v>
      </c>
      <c r="K28" s="7">
        <f t="array" ref="K28">IF(ROWS(K$20:K28)&gt;$F$6,"",INDEX(A$2:A$1018,SMALL(IF(($B$2:$B$1018=$E$6)+($B$2:$B$1018=$E$7)+($B$2:$B$1018=$E$8)+($B$2:$B$1018=$E$9)+($B$2:$B$1018=$E$10)+($B$2:$B$1018=$E$11),ROW($C$2:$C$1018)-ROW($C$2)+1),ROWS(K$20:K28))))</f>
        <v>41810</v>
      </c>
      <c r="L28" s="4" t="str">
        <f t="array" ref="L28">IF(ROWS(L$20:L28)&gt;$F$6,"",INDEX(B$2:B$1018,SMALL(IF(($B$2:$B$1018=$E$6)+($B$2:$B$1018=$E$7)+($B$2:$B$1018=$E$8)+($B$2:$B$1018=$E$9)+($B$2:$B$1018=$E$10)+($B$2:$B$1018=$E$11),ROW($C$2:$C$1018)-ROW($C$2)+1),ROWS(L$20:L28))))</f>
        <v>Iliana  Valerio</v>
      </c>
      <c r="M28" s="4">
        <f t="array" ref="M28">IF(ROWS(M$20:M28)&gt;$F$6,"",INDEX(C$2:C$1018,SMALL(IF(($B$2:$B$1018=$E$6)+($B$2:$B$1018=$E$7)+($B$2:$B$1018=$E$8)+($B$2:$B$1018=$E$9)+($B$2:$B$1018=$E$10)+($B$2:$B$1018=$E$11),ROW($C$2:$C$1018)-ROW($C$2)+1),ROWS(M$20:M28))))</f>
        <v>24</v>
      </c>
    </row>
    <row r="29" spans="1:13" x14ac:dyDescent="0.25">
      <c r="A29" s="3">
        <v>41542</v>
      </c>
      <c r="B29" s="2" t="s">
        <v>43</v>
      </c>
      <c r="C29" s="2">
        <v>34</v>
      </c>
      <c r="G29" s="7">
        <f t="array" ref="G29">IF(ROWS(K$20:K29)&gt;$F$6,"",INDEX(A$2:A$1018,SMALL(IF(ISNUMBER(MATCH($B$2:$B$1018,$E$6:$E$11,0)),ROW($C$2:$C$1018)-ROW($C$2)+1),ROWS(K$20:K29))))</f>
        <v>41839</v>
      </c>
      <c r="H29" s="4" t="str">
        <f t="array" ref="H29">IF(ROWS(L$20:L29)&gt;$F$6,"",INDEX(B$2:B$1018,SMALL(IF(ISNUMBER(MATCH($B$2:$B$1018,$E$6:$E$11,0)),ROW($C$2:$C$1018)-ROW($C$2)+1),ROWS(L$20:L29))))</f>
        <v>Kerrie  Worrell</v>
      </c>
      <c r="I29" s="4">
        <f t="array" ref="I29">IF(ROWS(M$20:M29)&gt;$F$6,"",INDEX(C$2:C$1018,SMALL(IF(ISNUMBER(MATCH($B$2:$B$1018,$E$6:$E$11,0)),ROW($C$2:$C$1018)-ROW($C$2)+1),ROWS(M$20:M29))))</f>
        <v>25</v>
      </c>
      <c r="K29" s="7">
        <f t="array" ref="K29">IF(ROWS(K$20:K29)&gt;$F$6,"",INDEX(A$2:A$1018,SMALL(IF(($B$2:$B$1018=$E$6)+($B$2:$B$1018=$E$7)+($B$2:$B$1018=$E$8)+($B$2:$B$1018=$E$9)+($B$2:$B$1018=$E$10)+($B$2:$B$1018=$E$11),ROW($C$2:$C$1018)-ROW($C$2)+1),ROWS(K$20:K29))))</f>
        <v>41839</v>
      </c>
      <c r="L29" s="4" t="str">
        <f t="array" ref="L29">IF(ROWS(L$20:L29)&gt;$F$6,"",INDEX(B$2:B$1018,SMALL(IF(($B$2:$B$1018=$E$6)+($B$2:$B$1018=$E$7)+($B$2:$B$1018=$E$8)+($B$2:$B$1018=$E$9)+($B$2:$B$1018=$E$10)+($B$2:$B$1018=$E$11),ROW($C$2:$C$1018)-ROW($C$2)+1),ROWS(L$20:L29))))</f>
        <v>Kerrie  Worrell</v>
      </c>
      <c r="M29" s="4">
        <f t="array" ref="M29">IF(ROWS(M$20:M29)&gt;$F$6,"",INDEX(C$2:C$1018,SMALL(IF(($B$2:$B$1018=$E$6)+($B$2:$B$1018=$E$7)+($B$2:$B$1018=$E$8)+($B$2:$B$1018=$E$9)+($B$2:$B$1018=$E$10)+($B$2:$B$1018=$E$11),ROW($C$2:$C$1018)-ROW($C$2)+1),ROWS(M$20:M29))))</f>
        <v>25</v>
      </c>
    </row>
    <row r="30" spans="1:13" x14ac:dyDescent="0.25">
      <c r="A30" s="3">
        <v>41680</v>
      </c>
      <c r="B30" s="2" t="s">
        <v>4</v>
      </c>
      <c r="C30" s="2">
        <v>7</v>
      </c>
      <c r="G30" s="7">
        <f t="array" ref="G30">IF(ROWS(K$20:K30)&gt;$F$6,"",INDEX(A$2:A$1018,SMALL(IF(ISNUMBER(MATCH($B$2:$B$1018,$E$6:$E$11,0)),ROW($C$2:$C$1018)-ROW($C$2)+1),ROWS(K$20:K30))))</f>
        <v>41312</v>
      </c>
      <c r="H30" s="4" t="str">
        <f t="array" ref="H30">IF(ROWS(L$20:L30)&gt;$F$6,"",INDEX(B$2:B$1018,SMALL(IF(ISNUMBER(MATCH($B$2:$B$1018,$E$6:$E$11,0)),ROW($C$2:$C$1018)-ROW($C$2)+1),ROWS(L$20:L30))))</f>
        <v>Jenni  Thorton</v>
      </c>
      <c r="I30" s="4">
        <f t="array" ref="I30">IF(ROWS(M$20:M30)&gt;$F$6,"",INDEX(C$2:C$1018,SMALL(IF(ISNUMBER(MATCH($B$2:$B$1018,$E$6:$E$11,0)),ROW($C$2:$C$1018)-ROW($C$2)+1),ROWS(M$20:M30))))</f>
        <v>19</v>
      </c>
      <c r="K30" s="7">
        <f t="array" ref="K30">IF(ROWS(K$20:K30)&gt;$F$6,"",INDEX(A$2:A$1018,SMALL(IF(($B$2:$B$1018=$E$6)+($B$2:$B$1018=$E$7)+($B$2:$B$1018=$E$8)+($B$2:$B$1018=$E$9)+($B$2:$B$1018=$E$10)+($B$2:$B$1018=$E$11),ROW($C$2:$C$1018)-ROW($C$2)+1),ROWS(K$20:K30))))</f>
        <v>41312</v>
      </c>
      <c r="L30" s="4" t="str">
        <f t="array" ref="L30">IF(ROWS(L$20:L30)&gt;$F$6,"",INDEX(B$2:B$1018,SMALL(IF(($B$2:$B$1018=$E$6)+($B$2:$B$1018=$E$7)+($B$2:$B$1018=$E$8)+($B$2:$B$1018=$E$9)+($B$2:$B$1018=$E$10)+($B$2:$B$1018=$E$11),ROW($C$2:$C$1018)-ROW($C$2)+1),ROWS(L$20:L30))))</f>
        <v>Jenni  Thorton</v>
      </c>
      <c r="M30" s="4">
        <f t="array" ref="M30">IF(ROWS(M$20:M30)&gt;$F$6,"",INDEX(C$2:C$1018,SMALL(IF(($B$2:$B$1018=$E$6)+($B$2:$B$1018=$E$7)+($B$2:$B$1018=$E$8)+($B$2:$B$1018=$E$9)+($B$2:$B$1018=$E$10)+($B$2:$B$1018=$E$11),ROW($C$2:$C$1018)-ROW($C$2)+1),ROWS(M$20:M30))))</f>
        <v>19</v>
      </c>
    </row>
    <row r="31" spans="1:13" x14ac:dyDescent="0.25">
      <c r="A31" s="3">
        <v>41824</v>
      </c>
      <c r="B31" s="2" t="s">
        <v>2</v>
      </c>
      <c r="C31" s="2">
        <v>27</v>
      </c>
      <c r="G31" s="7">
        <f t="array" ref="G31">IF(ROWS(K$20:K31)&gt;$F$6,"",INDEX(A$2:A$1018,SMALL(IF(ISNUMBER(MATCH($B$2:$B$1018,$E$6:$E$11,0)),ROW($C$2:$C$1018)-ROW($C$2)+1),ROWS(K$20:K31))))</f>
        <v>41767</v>
      </c>
      <c r="H31" s="4" t="str">
        <f t="array" ref="H31">IF(ROWS(L$20:L31)&gt;$F$6,"",INDEX(B$2:B$1018,SMALL(IF(ISNUMBER(MATCH($B$2:$B$1018,$E$6:$E$11,0)),ROW($C$2:$C$1018)-ROW($C$2)+1),ROWS(L$20:L31))))</f>
        <v>Kerrie  Worrell</v>
      </c>
      <c r="I31" s="4">
        <f t="array" ref="I31">IF(ROWS(M$20:M31)&gt;$F$6,"",INDEX(C$2:C$1018,SMALL(IF(ISNUMBER(MATCH($B$2:$B$1018,$E$6:$E$11,0)),ROW($C$2:$C$1018)-ROW($C$2)+1),ROWS(M$20:M31))))</f>
        <v>32</v>
      </c>
      <c r="K31" s="7">
        <f t="array" ref="K31">IF(ROWS(K$20:K31)&gt;$F$6,"",INDEX(A$2:A$1018,SMALL(IF(($B$2:$B$1018=$E$6)+($B$2:$B$1018=$E$7)+($B$2:$B$1018=$E$8)+($B$2:$B$1018=$E$9)+($B$2:$B$1018=$E$10)+($B$2:$B$1018=$E$11),ROW($C$2:$C$1018)-ROW($C$2)+1),ROWS(K$20:K31))))</f>
        <v>41767</v>
      </c>
      <c r="L31" s="4" t="str">
        <f t="array" ref="L31">IF(ROWS(L$20:L31)&gt;$F$6,"",INDEX(B$2:B$1018,SMALL(IF(($B$2:$B$1018=$E$6)+($B$2:$B$1018=$E$7)+($B$2:$B$1018=$E$8)+($B$2:$B$1018=$E$9)+($B$2:$B$1018=$E$10)+($B$2:$B$1018=$E$11),ROW($C$2:$C$1018)-ROW($C$2)+1),ROWS(L$20:L31))))</f>
        <v>Kerrie  Worrell</v>
      </c>
      <c r="M31" s="4">
        <f t="array" ref="M31">IF(ROWS(M$20:M31)&gt;$F$6,"",INDEX(C$2:C$1018,SMALL(IF(($B$2:$B$1018=$E$6)+($B$2:$B$1018=$E$7)+($B$2:$B$1018=$E$8)+($B$2:$B$1018=$E$9)+($B$2:$B$1018=$E$10)+($B$2:$B$1018=$E$11),ROW($C$2:$C$1018)-ROW($C$2)+1),ROWS(M$20:M31))))</f>
        <v>32</v>
      </c>
    </row>
    <row r="32" spans="1:13" x14ac:dyDescent="0.25">
      <c r="A32" s="3">
        <v>41863</v>
      </c>
      <c r="B32" s="2" t="s">
        <v>16</v>
      </c>
      <c r="C32" s="2">
        <v>31</v>
      </c>
      <c r="G32" s="7">
        <f t="array" ref="G32">IF(ROWS(K$20:K32)&gt;$F$6,"",INDEX(A$2:A$1018,SMALL(IF(ISNUMBER(MATCH($B$2:$B$1018,$E$6:$E$11,0)),ROW($C$2:$C$1018)-ROW($C$2)+1),ROWS(K$20:K32))))</f>
        <v>41633</v>
      </c>
      <c r="H32" s="4" t="str">
        <f t="array" ref="H32">IF(ROWS(L$20:L32)&gt;$F$6,"",INDEX(B$2:B$1018,SMALL(IF(ISNUMBER(MATCH($B$2:$B$1018,$E$6:$E$11,0)),ROW($C$2:$C$1018)-ROW($C$2)+1),ROWS(L$20:L32))))</f>
        <v>Mickey  Bolduc</v>
      </c>
      <c r="I32" s="4">
        <f t="array" ref="I32">IF(ROWS(M$20:M32)&gt;$F$6,"",INDEX(C$2:C$1018,SMALL(IF(ISNUMBER(MATCH($B$2:$B$1018,$E$6:$E$11,0)),ROW($C$2:$C$1018)-ROW($C$2)+1),ROWS(M$20:M32))))</f>
        <v>2</v>
      </c>
      <c r="K32" s="7">
        <f t="array" ref="K32">IF(ROWS(K$20:K32)&gt;$F$6,"",INDEX(A$2:A$1018,SMALL(IF(($B$2:$B$1018=$E$6)+($B$2:$B$1018=$E$7)+($B$2:$B$1018=$E$8)+($B$2:$B$1018=$E$9)+($B$2:$B$1018=$E$10)+($B$2:$B$1018=$E$11),ROW($C$2:$C$1018)-ROW($C$2)+1),ROWS(K$20:K32))))</f>
        <v>41633</v>
      </c>
      <c r="L32" s="4" t="str">
        <f t="array" ref="L32">IF(ROWS(L$20:L32)&gt;$F$6,"",INDEX(B$2:B$1018,SMALL(IF(($B$2:$B$1018=$E$6)+($B$2:$B$1018=$E$7)+($B$2:$B$1018=$E$8)+($B$2:$B$1018=$E$9)+($B$2:$B$1018=$E$10)+($B$2:$B$1018=$E$11),ROW($C$2:$C$1018)-ROW($C$2)+1),ROWS(L$20:L32))))</f>
        <v>Mickey  Bolduc</v>
      </c>
      <c r="M32" s="4">
        <f t="array" ref="M32">IF(ROWS(M$20:M32)&gt;$F$6,"",INDEX(C$2:C$1018,SMALL(IF(($B$2:$B$1018=$E$6)+($B$2:$B$1018=$E$7)+($B$2:$B$1018=$E$8)+($B$2:$B$1018=$E$9)+($B$2:$B$1018=$E$10)+($B$2:$B$1018=$E$11),ROW($C$2:$C$1018)-ROW($C$2)+1),ROWS(M$20:M32))))</f>
        <v>2</v>
      </c>
    </row>
    <row r="33" spans="1:13" x14ac:dyDescent="0.25">
      <c r="A33" s="3">
        <v>41833</v>
      </c>
      <c r="B33" s="2" t="s">
        <v>51</v>
      </c>
      <c r="C33" s="2">
        <v>19</v>
      </c>
      <c r="G33" s="7">
        <f t="array" ref="G33">IF(ROWS(K$20:K33)&gt;$F$6,"",INDEX(A$2:A$1018,SMALL(IF(ISNUMBER(MATCH($B$2:$B$1018,$E$6:$E$11,0)),ROW($C$2:$C$1018)-ROW($C$2)+1),ROWS(K$20:K33))))</f>
        <v>41769</v>
      </c>
      <c r="H33" s="4" t="str">
        <f t="array" ref="H33">IF(ROWS(L$20:L33)&gt;$F$6,"",INDEX(B$2:B$1018,SMALL(IF(ISNUMBER(MATCH($B$2:$B$1018,$E$6:$E$11,0)),ROW($C$2:$C$1018)-ROW($C$2)+1),ROWS(L$20:L33))))</f>
        <v>Galen  Barth</v>
      </c>
      <c r="I33" s="4">
        <f t="array" ref="I33">IF(ROWS(M$20:M33)&gt;$F$6,"",INDEX(C$2:C$1018,SMALL(IF(ISNUMBER(MATCH($B$2:$B$1018,$E$6:$E$11,0)),ROW($C$2:$C$1018)-ROW($C$2)+1),ROWS(M$20:M33))))</f>
        <v>18</v>
      </c>
      <c r="K33" s="7">
        <f t="array" ref="K33">IF(ROWS(K$20:K33)&gt;$F$6,"",INDEX(A$2:A$1018,SMALL(IF(($B$2:$B$1018=$E$6)+($B$2:$B$1018=$E$7)+($B$2:$B$1018=$E$8)+($B$2:$B$1018=$E$9)+($B$2:$B$1018=$E$10)+($B$2:$B$1018=$E$11),ROW($C$2:$C$1018)-ROW($C$2)+1),ROWS(K$20:K33))))</f>
        <v>41769</v>
      </c>
      <c r="L33" s="4" t="str">
        <f t="array" ref="L33">IF(ROWS(L$20:L33)&gt;$F$6,"",INDEX(B$2:B$1018,SMALL(IF(($B$2:$B$1018=$E$6)+($B$2:$B$1018=$E$7)+($B$2:$B$1018=$E$8)+($B$2:$B$1018=$E$9)+($B$2:$B$1018=$E$10)+($B$2:$B$1018=$E$11),ROW($C$2:$C$1018)-ROW($C$2)+1),ROWS(L$20:L33))))</f>
        <v>Galen  Barth</v>
      </c>
      <c r="M33" s="4">
        <f t="array" ref="M33">IF(ROWS(M$20:M33)&gt;$F$6,"",INDEX(C$2:C$1018,SMALL(IF(($B$2:$B$1018=$E$6)+($B$2:$B$1018=$E$7)+($B$2:$B$1018=$E$8)+($B$2:$B$1018=$E$9)+($B$2:$B$1018=$E$10)+($B$2:$B$1018=$E$11),ROW($C$2:$C$1018)-ROW($C$2)+1),ROWS(M$20:M33))))</f>
        <v>18</v>
      </c>
    </row>
    <row r="34" spans="1:13" x14ac:dyDescent="0.25">
      <c r="A34" s="3">
        <v>41347</v>
      </c>
      <c r="B34" s="2" t="s">
        <v>7</v>
      </c>
      <c r="C34" s="2">
        <v>24</v>
      </c>
      <c r="G34" s="7">
        <f t="array" ref="G34">IF(ROWS(K$20:K34)&gt;$F$6,"",INDEX(A$2:A$1018,SMALL(IF(ISNUMBER(MATCH($B$2:$B$1018,$E$6:$E$11,0)),ROW($C$2:$C$1018)-ROW($C$2)+1),ROWS(K$20:K34))))</f>
        <v>41450</v>
      </c>
      <c r="H34" s="4" t="str">
        <f t="array" ref="H34">IF(ROWS(L$20:L34)&gt;$F$6,"",INDEX(B$2:B$1018,SMALL(IF(ISNUMBER(MATCH($B$2:$B$1018,$E$6:$E$11,0)),ROW($C$2:$C$1018)-ROW($C$2)+1),ROWS(L$20:L34))))</f>
        <v>Kerrie  Worrell</v>
      </c>
      <c r="I34" s="4">
        <f t="array" ref="I34">IF(ROWS(M$20:M34)&gt;$F$6,"",INDEX(C$2:C$1018,SMALL(IF(ISNUMBER(MATCH($B$2:$B$1018,$E$6:$E$11,0)),ROW($C$2:$C$1018)-ROW($C$2)+1),ROWS(M$20:M34))))</f>
        <v>10</v>
      </c>
      <c r="K34" s="7">
        <f t="array" ref="K34">IF(ROWS(K$20:K34)&gt;$F$6,"",INDEX(A$2:A$1018,SMALL(IF(($B$2:$B$1018=$E$6)+($B$2:$B$1018=$E$7)+($B$2:$B$1018=$E$8)+($B$2:$B$1018=$E$9)+($B$2:$B$1018=$E$10)+($B$2:$B$1018=$E$11),ROW($C$2:$C$1018)-ROW($C$2)+1),ROWS(K$20:K34))))</f>
        <v>41450</v>
      </c>
      <c r="L34" s="4" t="str">
        <f t="array" ref="L34">IF(ROWS(L$20:L34)&gt;$F$6,"",INDEX(B$2:B$1018,SMALL(IF(($B$2:$B$1018=$E$6)+($B$2:$B$1018=$E$7)+($B$2:$B$1018=$E$8)+($B$2:$B$1018=$E$9)+($B$2:$B$1018=$E$10)+($B$2:$B$1018=$E$11),ROW($C$2:$C$1018)-ROW($C$2)+1),ROWS(L$20:L34))))</f>
        <v>Kerrie  Worrell</v>
      </c>
      <c r="M34" s="4">
        <f t="array" ref="M34">IF(ROWS(M$20:M34)&gt;$F$6,"",INDEX(C$2:C$1018,SMALL(IF(($B$2:$B$1018=$E$6)+($B$2:$B$1018=$E$7)+($B$2:$B$1018=$E$8)+($B$2:$B$1018=$E$9)+($B$2:$B$1018=$E$10)+($B$2:$B$1018=$E$11),ROW($C$2:$C$1018)-ROW($C$2)+1),ROWS(M$20:M34))))</f>
        <v>10</v>
      </c>
    </row>
    <row r="35" spans="1:13" x14ac:dyDescent="0.25">
      <c r="A35" s="3">
        <v>41789</v>
      </c>
      <c r="B35" s="2" t="s">
        <v>23</v>
      </c>
      <c r="C35" s="2">
        <v>29</v>
      </c>
      <c r="G35" s="7">
        <f t="array" ref="G35">IF(ROWS(K$20:K35)&gt;$F$6,"",INDEX(A$2:A$1018,SMALL(IF(ISNUMBER(MATCH($B$2:$B$1018,$E$6:$E$11,0)),ROW($C$2:$C$1018)-ROW($C$2)+1),ROWS(K$20:K35))))</f>
        <v>41425</v>
      </c>
      <c r="H35" s="4" t="str">
        <f t="array" ref="H35">IF(ROWS(L$20:L35)&gt;$F$6,"",INDEX(B$2:B$1018,SMALL(IF(ISNUMBER(MATCH($B$2:$B$1018,$E$6:$E$11,0)),ROW($C$2:$C$1018)-ROW($C$2)+1),ROWS(L$20:L35))))</f>
        <v>Rosamond  Allard</v>
      </c>
      <c r="I35" s="4">
        <f t="array" ref="I35">IF(ROWS(M$20:M35)&gt;$F$6,"",INDEX(C$2:C$1018,SMALL(IF(ISNUMBER(MATCH($B$2:$B$1018,$E$6:$E$11,0)),ROW($C$2:$C$1018)-ROW($C$2)+1),ROWS(M$20:M35))))</f>
        <v>13</v>
      </c>
      <c r="K35" s="7">
        <f t="array" ref="K35">IF(ROWS(K$20:K35)&gt;$F$6,"",INDEX(A$2:A$1018,SMALL(IF(($B$2:$B$1018=$E$6)+($B$2:$B$1018=$E$7)+($B$2:$B$1018=$E$8)+($B$2:$B$1018=$E$9)+($B$2:$B$1018=$E$10)+($B$2:$B$1018=$E$11),ROW($C$2:$C$1018)-ROW($C$2)+1),ROWS(K$20:K35))))</f>
        <v>41425</v>
      </c>
      <c r="L35" s="4" t="str">
        <f t="array" ref="L35">IF(ROWS(L$20:L35)&gt;$F$6,"",INDEX(B$2:B$1018,SMALL(IF(($B$2:$B$1018=$E$6)+($B$2:$B$1018=$E$7)+($B$2:$B$1018=$E$8)+($B$2:$B$1018=$E$9)+($B$2:$B$1018=$E$10)+($B$2:$B$1018=$E$11),ROW($C$2:$C$1018)-ROW($C$2)+1),ROWS(L$20:L35))))</f>
        <v>Rosamond  Allard</v>
      </c>
      <c r="M35" s="4">
        <f t="array" ref="M35">IF(ROWS(M$20:M35)&gt;$F$6,"",INDEX(C$2:C$1018,SMALL(IF(($B$2:$B$1018=$E$6)+($B$2:$B$1018=$E$7)+($B$2:$B$1018=$E$8)+($B$2:$B$1018=$E$9)+($B$2:$B$1018=$E$10)+($B$2:$B$1018=$E$11),ROW($C$2:$C$1018)-ROW($C$2)+1),ROWS(M$20:M35))))</f>
        <v>13</v>
      </c>
    </row>
    <row r="36" spans="1:13" x14ac:dyDescent="0.25">
      <c r="A36" s="3">
        <v>41464</v>
      </c>
      <c r="B36" s="2" t="s">
        <v>24</v>
      </c>
      <c r="C36" s="2">
        <v>8</v>
      </c>
      <c r="G36" s="7">
        <f t="array" ref="G36">IF(ROWS(K$20:K36)&gt;$F$6,"",INDEX(A$2:A$1018,SMALL(IF(ISNUMBER(MATCH($B$2:$B$1018,$E$6:$E$11,0)),ROW($C$2:$C$1018)-ROW($C$2)+1),ROWS(K$20:K36))))</f>
        <v>41728</v>
      </c>
      <c r="H36" s="4" t="str">
        <f t="array" ref="H36">IF(ROWS(L$20:L36)&gt;$F$6,"",INDEX(B$2:B$1018,SMALL(IF(ISNUMBER(MATCH($B$2:$B$1018,$E$6:$E$11,0)),ROW($C$2:$C$1018)-ROW($C$2)+1),ROWS(L$20:L36))))</f>
        <v>Iliana  Valerio</v>
      </c>
      <c r="I36" s="4">
        <f t="array" ref="I36">IF(ROWS(M$20:M36)&gt;$F$6,"",INDEX(C$2:C$1018,SMALL(IF(ISNUMBER(MATCH($B$2:$B$1018,$E$6:$E$11,0)),ROW($C$2:$C$1018)-ROW($C$2)+1),ROWS(M$20:M36))))</f>
        <v>21</v>
      </c>
      <c r="K36" s="7">
        <f t="array" ref="K36">IF(ROWS(K$20:K36)&gt;$F$6,"",INDEX(A$2:A$1018,SMALL(IF(($B$2:$B$1018=$E$6)+($B$2:$B$1018=$E$7)+($B$2:$B$1018=$E$8)+($B$2:$B$1018=$E$9)+($B$2:$B$1018=$E$10)+($B$2:$B$1018=$E$11),ROW($C$2:$C$1018)-ROW($C$2)+1),ROWS(K$20:K36))))</f>
        <v>41728</v>
      </c>
      <c r="L36" s="4" t="str">
        <f t="array" ref="L36">IF(ROWS(L$20:L36)&gt;$F$6,"",INDEX(B$2:B$1018,SMALL(IF(($B$2:$B$1018=$E$6)+($B$2:$B$1018=$E$7)+($B$2:$B$1018=$E$8)+($B$2:$B$1018=$E$9)+($B$2:$B$1018=$E$10)+($B$2:$B$1018=$E$11),ROW($C$2:$C$1018)-ROW($C$2)+1),ROWS(L$20:L36))))</f>
        <v>Iliana  Valerio</v>
      </c>
      <c r="M36" s="4">
        <f t="array" ref="M36">IF(ROWS(M$20:M36)&gt;$F$6,"",INDEX(C$2:C$1018,SMALL(IF(($B$2:$B$1018=$E$6)+($B$2:$B$1018=$E$7)+($B$2:$B$1018=$E$8)+($B$2:$B$1018=$E$9)+($B$2:$B$1018=$E$10)+($B$2:$B$1018=$E$11),ROW($C$2:$C$1018)-ROW($C$2)+1),ROWS(M$20:M36))))</f>
        <v>21</v>
      </c>
    </row>
    <row r="37" spans="1:13" x14ac:dyDescent="0.25">
      <c r="A37" s="3">
        <v>41426</v>
      </c>
      <c r="B37" s="2" t="s">
        <v>46</v>
      </c>
      <c r="C37" s="2">
        <v>15</v>
      </c>
      <c r="G37" s="7">
        <f t="array" ref="G37">IF(ROWS(K$20:K37)&gt;$F$6,"",INDEX(A$2:A$1018,SMALL(IF(ISNUMBER(MATCH($B$2:$B$1018,$E$6:$E$11,0)),ROW($C$2:$C$1018)-ROW($C$2)+1),ROWS(K$20:K37))))</f>
        <v>41665</v>
      </c>
      <c r="H37" s="4" t="str">
        <f t="array" ref="H37">IF(ROWS(L$20:L37)&gt;$F$6,"",INDEX(B$2:B$1018,SMALL(IF(ISNUMBER(MATCH($B$2:$B$1018,$E$6:$E$11,0)),ROW($C$2:$C$1018)-ROW($C$2)+1),ROWS(L$20:L37))))</f>
        <v>Jenni  Thorton</v>
      </c>
      <c r="I37" s="4">
        <f t="array" ref="I37">IF(ROWS(M$20:M37)&gt;$F$6,"",INDEX(C$2:C$1018,SMALL(IF(ISNUMBER(MATCH($B$2:$B$1018,$E$6:$E$11,0)),ROW($C$2:$C$1018)-ROW($C$2)+1),ROWS(M$20:M37))))</f>
        <v>9</v>
      </c>
      <c r="K37" s="7">
        <f t="array" ref="K37">IF(ROWS(K$20:K37)&gt;$F$6,"",INDEX(A$2:A$1018,SMALL(IF(($B$2:$B$1018=$E$6)+($B$2:$B$1018=$E$7)+($B$2:$B$1018=$E$8)+($B$2:$B$1018=$E$9)+($B$2:$B$1018=$E$10)+($B$2:$B$1018=$E$11),ROW($C$2:$C$1018)-ROW($C$2)+1),ROWS(K$20:K37))))</f>
        <v>41665</v>
      </c>
      <c r="L37" s="4" t="str">
        <f t="array" ref="L37">IF(ROWS(L$20:L37)&gt;$F$6,"",INDEX(B$2:B$1018,SMALL(IF(($B$2:$B$1018=$E$6)+($B$2:$B$1018=$E$7)+($B$2:$B$1018=$E$8)+($B$2:$B$1018=$E$9)+($B$2:$B$1018=$E$10)+($B$2:$B$1018=$E$11),ROW($C$2:$C$1018)-ROW($C$2)+1),ROWS(L$20:L37))))</f>
        <v>Jenni  Thorton</v>
      </c>
      <c r="M37" s="4">
        <f t="array" ref="M37">IF(ROWS(M$20:M37)&gt;$F$6,"",INDEX(C$2:C$1018,SMALL(IF(($B$2:$B$1018=$E$6)+($B$2:$B$1018=$E$7)+($B$2:$B$1018=$E$8)+($B$2:$B$1018=$E$9)+($B$2:$B$1018=$E$10)+($B$2:$B$1018=$E$11),ROW($C$2:$C$1018)-ROW($C$2)+1),ROWS(M$20:M37))))</f>
        <v>9</v>
      </c>
    </row>
    <row r="38" spans="1:13" x14ac:dyDescent="0.25">
      <c r="A38" s="3">
        <v>41333</v>
      </c>
      <c r="B38" s="2" t="s">
        <v>33</v>
      </c>
      <c r="C38" s="2">
        <v>16</v>
      </c>
      <c r="G38" s="7">
        <f t="array" ref="G38">IF(ROWS(K$20:K38)&gt;$F$6,"",INDEX(A$2:A$1018,SMALL(IF(ISNUMBER(MATCH($B$2:$B$1018,$E$6:$E$11,0)),ROW($C$2:$C$1018)-ROW($C$2)+1),ROWS(K$20:K38))))</f>
        <v>41566</v>
      </c>
      <c r="H38" s="4" t="str">
        <f t="array" ref="H38">IF(ROWS(L$20:L38)&gt;$F$6,"",INDEX(B$2:B$1018,SMALL(IF(ISNUMBER(MATCH($B$2:$B$1018,$E$6:$E$11,0)),ROW($C$2:$C$1018)-ROW($C$2)+1),ROWS(L$20:L38))))</f>
        <v>Mickey  Bolduc</v>
      </c>
      <c r="I38" s="4">
        <f t="array" ref="I38">IF(ROWS(M$20:M38)&gt;$F$6,"",INDEX(C$2:C$1018,SMALL(IF(ISNUMBER(MATCH($B$2:$B$1018,$E$6:$E$11,0)),ROW($C$2:$C$1018)-ROW($C$2)+1),ROWS(M$20:M38))))</f>
        <v>33</v>
      </c>
      <c r="K38" s="7">
        <f t="array" ref="K38">IF(ROWS(K$20:K38)&gt;$F$6,"",INDEX(A$2:A$1018,SMALL(IF(($B$2:$B$1018=$E$6)+($B$2:$B$1018=$E$7)+($B$2:$B$1018=$E$8)+($B$2:$B$1018=$E$9)+($B$2:$B$1018=$E$10)+($B$2:$B$1018=$E$11),ROW($C$2:$C$1018)-ROW($C$2)+1),ROWS(K$20:K38))))</f>
        <v>41566</v>
      </c>
      <c r="L38" s="4" t="str">
        <f t="array" ref="L38">IF(ROWS(L$20:L38)&gt;$F$6,"",INDEX(B$2:B$1018,SMALL(IF(($B$2:$B$1018=$E$6)+($B$2:$B$1018=$E$7)+($B$2:$B$1018=$E$8)+($B$2:$B$1018=$E$9)+($B$2:$B$1018=$E$10)+($B$2:$B$1018=$E$11),ROW($C$2:$C$1018)-ROW($C$2)+1),ROWS(L$20:L38))))</f>
        <v>Mickey  Bolduc</v>
      </c>
      <c r="M38" s="4">
        <f t="array" ref="M38">IF(ROWS(M$20:M38)&gt;$F$6,"",INDEX(C$2:C$1018,SMALL(IF(($B$2:$B$1018=$E$6)+($B$2:$B$1018=$E$7)+($B$2:$B$1018=$E$8)+($B$2:$B$1018=$E$9)+($B$2:$B$1018=$E$10)+($B$2:$B$1018=$E$11),ROW($C$2:$C$1018)-ROW($C$2)+1),ROWS(M$20:M38))))</f>
        <v>33</v>
      </c>
    </row>
    <row r="39" spans="1:13" x14ac:dyDescent="0.25">
      <c r="A39" s="3">
        <v>41308</v>
      </c>
      <c r="B39" s="2" t="s">
        <v>3</v>
      </c>
      <c r="C39" s="2">
        <v>5</v>
      </c>
      <c r="G39" s="7">
        <f t="array" ref="G39">IF(ROWS(K$20:K39)&gt;$F$6,"",INDEX(A$2:A$1018,SMALL(IF(ISNUMBER(MATCH($B$2:$B$1018,$E$6:$E$11,0)),ROW($C$2:$C$1018)-ROW($C$2)+1),ROWS(K$20:K39))))</f>
        <v>41487</v>
      </c>
      <c r="H39" s="4" t="str">
        <f t="array" ref="H39">IF(ROWS(L$20:L39)&gt;$F$6,"",INDEX(B$2:B$1018,SMALL(IF(ISNUMBER(MATCH($B$2:$B$1018,$E$6:$E$11,0)),ROW($C$2:$C$1018)-ROW($C$2)+1),ROWS(L$20:L39))))</f>
        <v>Mickey  Bolduc</v>
      </c>
      <c r="I39" s="4">
        <f t="array" ref="I39">IF(ROWS(M$20:M39)&gt;$F$6,"",INDEX(C$2:C$1018,SMALL(IF(ISNUMBER(MATCH($B$2:$B$1018,$E$6:$E$11,0)),ROW($C$2:$C$1018)-ROW($C$2)+1),ROWS(M$20:M39))))</f>
        <v>34</v>
      </c>
      <c r="K39" s="7">
        <f t="array" ref="K39">IF(ROWS(K$20:K39)&gt;$F$6,"",INDEX(A$2:A$1018,SMALL(IF(($B$2:$B$1018=$E$6)+($B$2:$B$1018=$E$7)+($B$2:$B$1018=$E$8)+($B$2:$B$1018=$E$9)+($B$2:$B$1018=$E$10)+($B$2:$B$1018=$E$11),ROW($C$2:$C$1018)-ROW($C$2)+1),ROWS(K$20:K39))))</f>
        <v>41487</v>
      </c>
      <c r="L39" s="4" t="str">
        <f t="array" ref="L39">IF(ROWS(L$20:L39)&gt;$F$6,"",INDEX(B$2:B$1018,SMALL(IF(($B$2:$B$1018=$E$6)+($B$2:$B$1018=$E$7)+($B$2:$B$1018=$E$8)+($B$2:$B$1018=$E$9)+($B$2:$B$1018=$E$10)+($B$2:$B$1018=$E$11),ROW($C$2:$C$1018)-ROW($C$2)+1),ROWS(L$20:L39))))</f>
        <v>Mickey  Bolduc</v>
      </c>
      <c r="M39" s="4">
        <f t="array" ref="M39">IF(ROWS(M$20:M39)&gt;$F$6,"",INDEX(C$2:C$1018,SMALL(IF(($B$2:$B$1018=$E$6)+($B$2:$B$1018=$E$7)+($B$2:$B$1018=$E$8)+($B$2:$B$1018=$E$9)+($B$2:$B$1018=$E$10)+($B$2:$B$1018=$E$11),ROW($C$2:$C$1018)-ROW($C$2)+1),ROWS(M$20:M39))))</f>
        <v>34</v>
      </c>
    </row>
    <row r="40" spans="1:13" x14ac:dyDescent="0.25">
      <c r="A40" s="3">
        <v>41854</v>
      </c>
      <c r="B40" s="2" t="s">
        <v>11</v>
      </c>
      <c r="C40" s="2">
        <v>7</v>
      </c>
      <c r="G40" s="7">
        <f t="array" ref="G40">IF(ROWS(K$20:K40)&gt;$F$6,"",INDEX(A$2:A$1018,SMALL(IF(ISNUMBER(MATCH($B$2:$B$1018,$E$6:$E$11,0)),ROW($C$2:$C$1018)-ROW($C$2)+1),ROWS(K$20:K40))))</f>
        <v>41904</v>
      </c>
      <c r="H40" s="4" t="str">
        <f t="array" ref="H40">IF(ROWS(L$20:L40)&gt;$F$6,"",INDEX(B$2:B$1018,SMALL(IF(ISNUMBER(MATCH($B$2:$B$1018,$E$6:$E$11,0)),ROW($C$2:$C$1018)-ROW($C$2)+1),ROWS(L$20:L40))))</f>
        <v>Iliana  Valerio</v>
      </c>
      <c r="I40" s="4">
        <f t="array" ref="I40">IF(ROWS(M$20:M40)&gt;$F$6,"",INDEX(C$2:C$1018,SMALL(IF(ISNUMBER(MATCH($B$2:$B$1018,$E$6:$E$11,0)),ROW($C$2:$C$1018)-ROW($C$2)+1),ROWS(M$20:M40))))</f>
        <v>45</v>
      </c>
      <c r="K40" s="7">
        <f t="array" ref="K40">IF(ROWS(K$20:K40)&gt;$F$6,"",INDEX(A$2:A$1018,SMALL(IF(($B$2:$B$1018=$E$6)+($B$2:$B$1018=$E$7)+($B$2:$B$1018=$E$8)+($B$2:$B$1018=$E$9)+($B$2:$B$1018=$E$10)+($B$2:$B$1018=$E$11),ROW($C$2:$C$1018)-ROW($C$2)+1),ROWS(K$20:K40))))</f>
        <v>41904</v>
      </c>
      <c r="L40" s="4" t="str">
        <f t="array" ref="L40">IF(ROWS(L$20:L40)&gt;$F$6,"",INDEX(B$2:B$1018,SMALL(IF(($B$2:$B$1018=$E$6)+($B$2:$B$1018=$E$7)+($B$2:$B$1018=$E$8)+($B$2:$B$1018=$E$9)+($B$2:$B$1018=$E$10)+($B$2:$B$1018=$E$11),ROW($C$2:$C$1018)-ROW($C$2)+1),ROWS(L$20:L40))))</f>
        <v>Iliana  Valerio</v>
      </c>
      <c r="M40" s="4">
        <f t="array" ref="M40">IF(ROWS(M$20:M40)&gt;$F$6,"",INDEX(C$2:C$1018,SMALL(IF(($B$2:$B$1018=$E$6)+($B$2:$B$1018=$E$7)+($B$2:$B$1018=$E$8)+($B$2:$B$1018=$E$9)+($B$2:$B$1018=$E$10)+($B$2:$B$1018=$E$11),ROW($C$2:$C$1018)-ROW($C$2)+1),ROWS(M$20:M40))))</f>
        <v>45</v>
      </c>
    </row>
    <row r="41" spans="1:13" x14ac:dyDescent="0.25">
      <c r="A41" s="3">
        <v>41399</v>
      </c>
      <c r="B41" s="2" t="s">
        <v>17</v>
      </c>
      <c r="C41" s="2">
        <v>18</v>
      </c>
      <c r="G41" s="7">
        <f t="array" ref="G41">IF(ROWS(K$20:K41)&gt;$F$6,"",INDEX(A$2:A$1018,SMALL(IF(ISNUMBER(MATCH($B$2:$B$1018,$E$6:$E$11,0)),ROW($C$2:$C$1018)-ROW($C$2)+1),ROWS(K$20:K41))))</f>
        <v>42001</v>
      </c>
      <c r="H41" s="4" t="str">
        <f t="array" ref="H41">IF(ROWS(L$20:L41)&gt;$F$6,"",INDEX(B$2:B$1018,SMALL(IF(ISNUMBER(MATCH($B$2:$B$1018,$E$6:$E$11,0)),ROW($C$2:$C$1018)-ROW($C$2)+1),ROWS(L$20:L41))))</f>
        <v>Mickey  Bolduc</v>
      </c>
      <c r="I41" s="4">
        <f t="array" ref="I41">IF(ROWS(M$20:M41)&gt;$F$6,"",INDEX(C$2:C$1018,SMALL(IF(ISNUMBER(MATCH($B$2:$B$1018,$E$6:$E$11,0)),ROW($C$2:$C$1018)-ROW($C$2)+1),ROWS(M$20:M41))))</f>
        <v>46</v>
      </c>
      <c r="K41" s="7">
        <f t="array" ref="K41">IF(ROWS(K$20:K41)&gt;$F$6,"",INDEX(A$2:A$1018,SMALL(IF(($B$2:$B$1018=$E$6)+($B$2:$B$1018=$E$7)+($B$2:$B$1018=$E$8)+($B$2:$B$1018=$E$9)+($B$2:$B$1018=$E$10)+($B$2:$B$1018=$E$11),ROW($C$2:$C$1018)-ROW($C$2)+1),ROWS(K$20:K41))))</f>
        <v>42001</v>
      </c>
      <c r="L41" s="4" t="str">
        <f t="array" ref="L41">IF(ROWS(L$20:L41)&gt;$F$6,"",INDEX(B$2:B$1018,SMALL(IF(($B$2:$B$1018=$E$6)+($B$2:$B$1018=$E$7)+($B$2:$B$1018=$E$8)+($B$2:$B$1018=$E$9)+($B$2:$B$1018=$E$10)+($B$2:$B$1018=$E$11),ROW($C$2:$C$1018)-ROW($C$2)+1),ROWS(L$20:L41))))</f>
        <v>Mickey  Bolduc</v>
      </c>
      <c r="M41" s="4">
        <f t="array" ref="M41">IF(ROWS(M$20:M41)&gt;$F$6,"",INDEX(C$2:C$1018,SMALL(IF(($B$2:$B$1018=$E$6)+($B$2:$B$1018=$E$7)+($B$2:$B$1018=$E$8)+($B$2:$B$1018=$E$9)+($B$2:$B$1018=$E$10)+($B$2:$B$1018=$E$11),ROW($C$2:$C$1018)-ROW($C$2)+1),ROWS(M$20:M41))))</f>
        <v>46</v>
      </c>
    </row>
    <row r="42" spans="1:13" x14ac:dyDescent="0.25">
      <c r="A42" s="3">
        <v>41910</v>
      </c>
      <c r="B42" s="2" t="s">
        <v>7</v>
      </c>
      <c r="C42" s="2">
        <v>38</v>
      </c>
      <c r="G42" s="7">
        <f t="array" ref="G42">IF(ROWS(K$20:K42)&gt;$F$6,"",INDEX(A$2:A$1018,SMALL(IF(ISNUMBER(MATCH($B$2:$B$1018,$E$6:$E$11,0)),ROW($C$2:$C$1018)-ROW($C$2)+1),ROWS(K$20:K42))))</f>
        <v>41811</v>
      </c>
      <c r="H42" s="4" t="str">
        <f t="array" ref="H42">IF(ROWS(L$20:L42)&gt;$F$6,"",INDEX(B$2:B$1018,SMALL(IF(ISNUMBER(MATCH($B$2:$B$1018,$E$6:$E$11,0)),ROW($C$2:$C$1018)-ROW($C$2)+1),ROWS(L$20:L42))))</f>
        <v>Jenni  Thorton</v>
      </c>
      <c r="I42" s="4">
        <f t="array" ref="I42">IF(ROWS(M$20:M42)&gt;$F$6,"",INDEX(C$2:C$1018,SMALL(IF(ISNUMBER(MATCH($B$2:$B$1018,$E$6:$E$11,0)),ROW($C$2:$C$1018)-ROW($C$2)+1),ROWS(M$20:M42))))</f>
        <v>15</v>
      </c>
      <c r="K42" s="7">
        <f t="array" ref="K42">IF(ROWS(K$20:K42)&gt;$F$6,"",INDEX(A$2:A$1018,SMALL(IF(($B$2:$B$1018=$E$6)+($B$2:$B$1018=$E$7)+($B$2:$B$1018=$E$8)+($B$2:$B$1018=$E$9)+($B$2:$B$1018=$E$10)+($B$2:$B$1018=$E$11),ROW($C$2:$C$1018)-ROW($C$2)+1),ROWS(K$20:K42))))</f>
        <v>41811</v>
      </c>
      <c r="L42" s="4" t="str">
        <f t="array" ref="L42">IF(ROWS(L$20:L42)&gt;$F$6,"",INDEX(B$2:B$1018,SMALL(IF(($B$2:$B$1018=$E$6)+($B$2:$B$1018=$E$7)+($B$2:$B$1018=$E$8)+($B$2:$B$1018=$E$9)+($B$2:$B$1018=$E$10)+($B$2:$B$1018=$E$11),ROW($C$2:$C$1018)-ROW($C$2)+1),ROWS(L$20:L42))))</f>
        <v>Jenni  Thorton</v>
      </c>
      <c r="M42" s="4">
        <f t="array" ref="M42">IF(ROWS(M$20:M42)&gt;$F$6,"",INDEX(C$2:C$1018,SMALL(IF(($B$2:$B$1018=$E$6)+($B$2:$B$1018=$E$7)+($B$2:$B$1018=$E$8)+($B$2:$B$1018=$E$9)+($B$2:$B$1018=$E$10)+($B$2:$B$1018=$E$11),ROW($C$2:$C$1018)-ROW($C$2)+1),ROWS(M$20:M42))))</f>
        <v>15</v>
      </c>
    </row>
    <row r="43" spans="1:13" x14ac:dyDescent="0.25">
      <c r="A43" s="3">
        <v>41479</v>
      </c>
      <c r="B43" s="2" t="s">
        <v>22</v>
      </c>
      <c r="C43" s="2">
        <v>3</v>
      </c>
      <c r="G43" s="7">
        <f t="array" ref="G43">IF(ROWS(K$20:K43)&gt;$F$6,"",INDEX(A$2:A$1018,SMALL(IF(ISNUMBER(MATCH($B$2:$B$1018,$E$6:$E$11,0)),ROW($C$2:$C$1018)-ROW($C$2)+1),ROWS(K$20:K43))))</f>
        <v>41693</v>
      </c>
      <c r="H43" s="4" t="str">
        <f t="array" ref="H43">IF(ROWS(L$20:L43)&gt;$F$6,"",INDEX(B$2:B$1018,SMALL(IF(ISNUMBER(MATCH($B$2:$B$1018,$E$6:$E$11,0)),ROW($C$2:$C$1018)-ROW($C$2)+1),ROWS(L$20:L43))))</f>
        <v>Galen  Barth</v>
      </c>
      <c r="I43" s="4">
        <f t="array" ref="I43">IF(ROWS(M$20:M43)&gt;$F$6,"",INDEX(C$2:C$1018,SMALL(IF(ISNUMBER(MATCH($B$2:$B$1018,$E$6:$E$11,0)),ROW($C$2:$C$1018)-ROW($C$2)+1),ROWS(M$20:M43))))</f>
        <v>25</v>
      </c>
      <c r="K43" s="7">
        <f t="array" ref="K43">IF(ROWS(K$20:K43)&gt;$F$6,"",INDEX(A$2:A$1018,SMALL(IF(($B$2:$B$1018=$E$6)+($B$2:$B$1018=$E$7)+($B$2:$B$1018=$E$8)+($B$2:$B$1018=$E$9)+($B$2:$B$1018=$E$10)+($B$2:$B$1018=$E$11),ROW($C$2:$C$1018)-ROW($C$2)+1),ROWS(K$20:K43))))</f>
        <v>41693</v>
      </c>
      <c r="L43" s="4" t="str">
        <f t="array" ref="L43">IF(ROWS(L$20:L43)&gt;$F$6,"",INDEX(B$2:B$1018,SMALL(IF(($B$2:$B$1018=$E$6)+($B$2:$B$1018=$E$7)+($B$2:$B$1018=$E$8)+($B$2:$B$1018=$E$9)+($B$2:$B$1018=$E$10)+($B$2:$B$1018=$E$11),ROW($C$2:$C$1018)-ROW($C$2)+1),ROWS(L$20:L43))))</f>
        <v>Galen  Barth</v>
      </c>
      <c r="M43" s="4">
        <f t="array" ref="M43">IF(ROWS(M$20:M43)&gt;$F$6,"",INDEX(C$2:C$1018,SMALL(IF(($B$2:$B$1018=$E$6)+($B$2:$B$1018=$E$7)+($B$2:$B$1018=$E$8)+($B$2:$B$1018=$E$9)+($B$2:$B$1018=$E$10)+($B$2:$B$1018=$E$11),ROW($C$2:$C$1018)-ROW($C$2)+1),ROWS(M$20:M43))))</f>
        <v>25</v>
      </c>
    </row>
    <row r="44" spans="1:13" x14ac:dyDescent="0.25">
      <c r="A44" s="3">
        <v>41953</v>
      </c>
      <c r="B44" s="2" t="s">
        <v>43</v>
      </c>
      <c r="C44" s="2">
        <v>19</v>
      </c>
      <c r="G44" s="7">
        <f t="array" ref="G44">IF(ROWS(K$20:K44)&gt;$F$6,"",INDEX(A$2:A$1018,SMALL(IF(ISNUMBER(MATCH($B$2:$B$1018,$E$6:$E$11,0)),ROW($C$2:$C$1018)-ROW($C$2)+1),ROWS(K$20:K44))))</f>
        <v>41732</v>
      </c>
      <c r="H44" s="4" t="str">
        <f t="array" ref="H44">IF(ROWS(L$20:L44)&gt;$F$6,"",INDEX(B$2:B$1018,SMALL(IF(ISNUMBER(MATCH($B$2:$B$1018,$E$6:$E$11,0)),ROW($C$2:$C$1018)-ROW($C$2)+1),ROWS(L$20:L44))))</f>
        <v>Mickey  Bolduc</v>
      </c>
      <c r="I44" s="4">
        <f t="array" ref="I44">IF(ROWS(M$20:M44)&gt;$F$6,"",INDEX(C$2:C$1018,SMALL(IF(ISNUMBER(MATCH($B$2:$B$1018,$E$6:$E$11,0)),ROW($C$2:$C$1018)-ROW($C$2)+1),ROWS(M$20:M44))))</f>
        <v>34</v>
      </c>
      <c r="K44" s="7">
        <f t="array" ref="K44">IF(ROWS(K$20:K44)&gt;$F$6,"",INDEX(A$2:A$1018,SMALL(IF(($B$2:$B$1018=$E$6)+($B$2:$B$1018=$E$7)+($B$2:$B$1018=$E$8)+($B$2:$B$1018=$E$9)+($B$2:$B$1018=$E$10)+($B$2:$B$1018=$E$11),ROW($C$2:$C$1018)-ROW($C$2)+1),ROWS(K$20:K44))))</f>
        <v>41732</v>
      </c>
      <c r="L44" s="4" t="str">
        <f t="array" ref="L44">IF(ROWS(L$20:L44)&gt;$F$6,"",INDEX(B$2:B$1018,SMALL(IF(($B$2:$B$1018=$E$6)+($B$2:$B$1018=$E$7)+($B$2:$B$1018=$E$8)+($B$2:$B$1018=$E$9)+($B$2:$B$1018=$E$10)+($B$2:$B$1018=$E$11),ROW($C$2:$C$1018)-ROW($C$2)+1),ROWS(L$20:L44))))</f>
        <v>Mickey  Bolduc</v>
      </c>
      <c r="M44" s="4">
        <f t="array" ref="M44">IF(ROWS(M$20:M44)&gt;$F$6,"",INDEX(C$2:C$1018,SMALL(IF(($B$2:$B$1018=$E$6)+($B$2:$B$1018=$E$7)+($B$2:$B$1018=$E$8)+($B$2:$B$1018=$E$9)+($B$2:$B$1018=$E$10)+($B$2:$B$1018=$E$11),ROW($C$2:$C$1018)-ROW($C$2)+1),ROWS(M$20:M44))))</f>
        <v>34</v>
      </c>
    </row>
    <row r="45" spans="1:13" x14ac:dyDescent="0.25">
      <c r="A45" s="3">
        <v>41491</v>
      </c>
      <c r="B45" s="2" t="s">
        <v>34</v>
      </c>
      <c r="C45" s="2">
        <v>17</v>
      </c>
      <c r="G45" s="7">
        <f t="array" ref="G45">IF(ROWS(K$20:K45)&gt;$F$6,"",INDEX(A$2:A$1018,SMALL(IF(ISNUMBER(MATCH($B$2:$B$1018,$E$6:$E$11,0)),ROW($C$2:$C$1018)-ROW($C$2)+1),ROWS(K$20:K45))))</f>
        <v>41642</v>
      </c>
      <c r="H45" s="4" t="str">
        <f t="array" ref="H45">IF(ROWS(L$20:L45)&gt;$F$6,"",INDEX(B$2:B$1018,SMALL(IF(ISNUMBER(MATCH($B$2:$B$1018,$E$6:$E$11,0)),ROW($C$2:$C$1018)-ROW($C$2)+1),ROWS(L$20:L45))))</f>
        <v>Kerrie  Worrell</v>
      </c>
      <c r="I45" s="4">
        <f t="array" ref="I45">IF(ROWS(M$20:M45)&gt;$F$6,"",INDEX(C$2:C$1018,SMALL(IF(ISNUMBER(MATCH($B$2:$B$1018,$E$6:$E$11,0)),ROW($C$2:$C$1018)-ROW($C$2)+1),ROWS(M$20:M45))))</f>
        <v>15</v>
      </c>
      <c r="K45" s="7">
        <f t="array" ref="K45">IF(ROWS(K$20:K45)&gt;$F$6,"",INDEX(A$2:A$1018,SMALL(IF(($B$2:$B$1018=$E$6)+($B$2:$B$1018=$E$7)+($B$2:$B$1018=$E$8)+($B$2:$B$1018=$E$9)+($B$2:$B$1018=$E$10)+($B$2:$B$1018=$E$11),ROW($C$2:$C$1018)-ROW($C$2)+1),ROWS(K$20:K45))))</f>
        <v>41642</v>
      </c>
      <c r="L45" s="4" t="str">
        <f t="array" ref="L45">IF(ROWS(L$20:L45)&gt;$F$6,"",INDEX(B$2:B$1018,SMALL(IF(($B$2:$B$1018=$E$6)+($B$2:$B$1018=$E$7)+($B$2:$B$1018=$E$8)+($B$2:$B$1018=$E$9)+($B$2:$B$1018=$E$10)+($B$2:$B$1018=$E$11),ROW($C$2:$C$1018)-ROW($C$2)+1),ROWS(L$20:L45))))</f>
        <v>Kerrie  Worrell</v>
      </c>
      <c r="M45" s="4">
        <f t="array" ref="M45">IF(ROWS(M$20:M45)&gt;$F$6,"",INDEX(C$2:C$1018,SMALL(IF(($B$2:$B$1018=$E$6)+($B$2:$B$1018=$E$7)+($B$2:$B$1018=$E$8)+($B$2:$B$1018=$E$9)+($B$2:$B$1018=$E$10)+($B$2:$B$1018=$E$11),ROW($C$2:$C$1018)-ROW($C$2)+1),ROWS(M$20:M45))))</f>
        <v>15</v>
      </c>
    </row>
    <row r="46" spans="1:13" x14ac:dyDescent="0.25">
      <c r="A46" s="3">
        <v>41377</v>
      </c>
      <c r="B46" s="2" t="s">
        <v>20</v>
      </c>
      <c r="C46" s="2">
        <v>0</v>
      </c>
      <c r="G46" s="7">
        <f t="array" ref="G46">IF(ROWS(K$20:K46)&gt;$F$6,"",INDEX(A$2:A$1018,SMALL(IF(ISNUMBER(MATCH($B$2:$B$1018,$E$6:$E$11,0)),ROW($C$2:$C$1018)-ROW($C$2)+1),ROWS(K$20:K46))))</f>
        <v>41403</v>
      </c>
      <c r="H46" s="4" t="str">
        <f t="array" ref="H46">IF(ROWS(L$20:L46)&gt;$F$6,"",INDEX(B$2:B$1018,SMALL(IF(ISNUMBER(MATCH($B$2:$B$1018,$E$6:$E$11,0)),ROW($C$2:$C$1018)-ROW($C$2)+1),ROWS(L$20:L46))))</f>
        <v>Mickey  Bolduc</v>
      </c>
      <c r="I46" s="4">
        <f t="array" ref="I46">IF(ROWS(M$20:M46)&gt;$F$6,"",INDEX(C$2:C$1018,SMALL(IF(ISNUMBER(MATCH($B$2:$B$1018,$E$6:$E$11,0)),ROW($C$2:$C$1018)-ROW($C$2)+1),ROWS(M$20:M46))))</f>
        <v>36</v>
      </c>
      <c r="K46" s="7">
        <f t="array" ref="K46">IF(ROWS(K$20:K46)&gt;$F$6,"",INDEX(A$2:A$1018,SMALL(IF(($B$2:$B$1018=$E$6)+($B$2:$B$1018=$E$7)+($B$2:$B$1018=$E$8)+($B$2:$B$1018=$E$9)+($B$2:$B$1018=$E$10)+($B$2:$B$1018=$E$11),ROW($C$2:$C$1018)-ROW($C$2)+1),ROWS(K$20:K46))))</f>
        <v>41403</v>
      </c>
      <c r="L46" s="4" t="str">
        <f t="array" ref="L46">IF(ROWS(L$20:L46)&gt;$F$6,"",INDEX(B$2:B$1018,SMALL(IF(($B$2:$B$1018=$E$6)+($B$2:$B$1018=$E$7)+($B$2:$B$1018=$E$8)+($B$2:$B$1018=$E$9)+($B$2:$B$1018=$E$10)+($B$2:$B$1018=$E$11),ROW($C$2:$C$1018)-ROW($C$2)+1),ROWS(L$20:L46))))</f>
        <v>Mickey  Bolduc</v>
      </c>
      <c r="M46" s="4">
        <f t="array" ref="M46">IF(ROWS(M$20:M46)&gt;$F$6,"",INDEX(C$2:C$1018,SMALL(IF(($B$2:$B$1018=$E$6)+($B$2:$B$1018=$E$7)+($B$2:$B$1018=$E$8)+($B$2:$B$1018=$E$9)+($B$2:$B$1018=$E$10)+($B$2:$B$1018=$E$11),ROW($C$2:$C$1018)-ROW($C$2)+1),ROWS(M$20:M46))))</f>
        <v>36</v>
      </c>
    </row>
    <row r="47" spans="1:13" x14ac:dyDescent="0.25">
      <c r="A47" s="3">
        <v>41706</v>
      </c>
      <c r="B47" s="2" t="s">
        <v>30</v>
      </c>
      <c r="C47" s="2">
        <v>32</v>
      </c>
      <c r="G47" s="7">
        <f t="array" ref="G47">IF(ROWS(K$20:K47)&gt;$F$6,"",INDEX(A$2:A$1018,SMALL(IF(ISNUMBER(MATCH($B$2:$B$1018,$E$6:$E$11,0)),ROW($C$2:$C$1018)-ROW($C$2)+1),ROWS(K$20:K47))))</f>
        <v>41889</v>
      </c>
      <c r="H47" s="4" t="str">
        <f t="array" ref="H47">IF(ROWS(L$20:L47)&gt;$F$6,"",INDEX(B$2:B$1018,SMALL(IF(ISNUMBER(MATCH($B$2:$B$1018,$E$6:$E$11,0)),ROW($C$2:$C$1018)-ROW($C$2)+1),ROWS(L$20:L47))))</f>
        <v>Mickey  Bolduc</v>
      </c>
      <c r="I47" s="4">
        <f t="array" ref="I47">IF(ROWS(M$20:M47)&gt;$F$6,"",INDEX(C$2:C$1018,SMALL(IF(ISNUMBER(MATCH($B$2:$B$1018,$E$6:$E$11,0)),ROW($C$2:$C$1018)-ROW($C$2)+1),ROWS(M$20:M47))))</f>
        <v>9</v>
      </c>
      <c r="K47" s="7">
        <f t="array" ref="K47">IF(ROWS(K$20:K47)&gt;$F$6,"",INDEX(A$2:A$1018,SMALL(IF(($B$2:$B$1018=$E$6)+($B$2:$B$1018=$E$7)+($B$2:$B$1018=$E$8)+($B$2:$B$1018=$E$9)+($B$2:$B$1018=$E$10)+($B$2:$B$1018=$E$11),ROW($C$2:$C$1018)-ROW($C$2)+1),ROWS(K$20:K47))))</f>
        <v>41889</v>
      </c>
      <c r="L47" s="4" t="str">
        <f t="array" ref="L47">IF(ROWS(L$20:L47)&gt;$F$6,"",INDEX(B$2:B$1018,SMALL(IF(($B$2:$B$1018=$E$6)+($B$2:$B$1018=$E$7)+($B$2:$B$1018=$E$8)+($B$2:$B$1018=$E$9)+($B$2:$B$1018=$E$10)+($B$2:$B$1018=$E$11),ROW($C$2:$C$1018)-ROW($C$2)+1),ROWS(L$20:L47))))</f>
        <v>Mickey  Bolduc</v>
      </c>
      <c r="M47" s="4">
        <f t="array" ref="M47">IF(ROWS(M$20:M47)&gt;$F$6,"",INDEX(C$2:C$1018,SMALL(IF(($B$2:$B$1018=$E$6)+($B$2:$B$1018=$E$7)+($B$2:$B$1018=$E$8)+($B$2:$B$1018=$E$9)+($B$2:$B$1018=$E$10)+($B$2:$B$1018=$E$11),ROW($C$2:$C$1018)-ROW($C$2)+1),ROWS(M$20:M47))))</f>
        <v>9</v>
      </c>
    </row>
    <row r="48" spans="1:13" x14ac:dyDescent="0.25">
      <c r="A48" s="3">
        <v>41930</v>
      </c>
      <c r="B48" s="2" t="s">
        <v>50</v>
      </c>
      <c r="C48" s="2">
        <v>22</v>
      </c>
      <c r="G48" s="7">
        <f t="array" ref="G48">IF(ROWS(K$20:K48)&gt;$F$6,"",INDEX(A$2:A$1018,SMALL(IF(ISNUMBER(MATCH($B$2:$B$1018,$E$6:$E$11,0)),ROW($C$2:$C$1018)-ROW($C$2)+1),ROWS(K$20:K48))))</f>
        <v>41600</v>
      </c>
      <c r="H48" s="4" t="str">
        <f t="array" ref="H48">IF(ROWS(L$20:L48)&gt;$F$6,"",INDEX(B$2:B$1018,SMALL(IF(ISNUMBER(MATCH($B$2:$B$1018,$E$6:$E$11,0)),ROW($C$2:$C$1018)-ROW($C$2)+1),ROWS(L$20:L48))))</f>
        <v>Rosamond  Allard</v>
      </c>
      <c r="I48" s="4">
        <f t="array" ref="I48">IF(ROWS(M$20:M48)&gt;$F$6,"",INDEX(C$2:C$1018,SMALL(IF(ISNUMBER(MATCH($B$2:$B$1018,$E$6:$E$11,0)),ROW($C$2:$C$1018)-ROW($C$2)+1),ROWS(M$20:M48))))</f>
        <v>37</v>
      </c>
      <c r="K48" s="7">
        <f t="array" ref="K48">IF(ROWS(K$20:K48)&gt;$F$6,"",INDEX(A$2:A$1018,SMALL(IF(($B$2:$B$1018=$E$6)+($B$2:$B$1018=$E$7)+($B$2:$B$1018=$E$8)+($B$2:$B$1018=$E$9)+($B$2:$B$1018=$E$10)+($B$2:$B$1018=$E$11),ROW($C$2:$C$1018)-ROW($C$2)+1),ROWS(K$20:K48))))</f>
        <v>41600</v>
      </c>
      <c r="L48" s="4" t="str">
        <f t="array" ref="L48">IF(ROWS(L$20:L48)&gt;$F$6,"",INDEX(B$2:B$1018,SMALL(IF(($B$2:$B$1018=$E$6)+($B$2:$B$1018=$E$7)+($B$2:$B$1018=$E$8)+($B$2:$B$1018=$E$9)+($B$2:$B$1018=$E$10)+($B$2:$B$1018=$E$11),ROW($C$2:$C$1018)-ROW($C$2)+1),ROWS(L$20:L48))))</f>
        <v>Rosamond  Allard</v>
      </c>
      <c r="M48" s="4">
        <f t="array" ref="M48">IF(ROWS(M$20:M48)&gt;$F$6,"",INDEX(C$2:C$1018,SMALL(IF(($B$2:$B$1018=$E$6)+($B$2:$B$1018=$E$7)+($B$2:$B$1018=$E$8)+($B$2:$B$1018=$E$9)+($B$2:$B$1018=$E$10)+($B$2:$B$1018=$E$11),ROW($C$2:$C$1018)-ROW($C$2)+1),ROWS(M$20:M48))))</f>
        <v>37</v>
      </c>
    </row>
    <row r="49" spans="1:13" x14ac:dyDescent="0.25">
      <c r="A49" s="3">
        <v>41371</v>
      </c>
      <c r="B49" s="2" t="s">
        <v>42</v>
      </c>
      <c r="C49" s="2">
        <v>29</v>
      </c>
      <c r="G49" s="7">
        <f t="array" ref="G49">IF(ROWS(K$20:K49)&gt;$F$6,"",INDEX(A$2:A$1018,SMALL(IF(ISNUMBER(MATCH($B$2:$B$1018,$E$6:$E$11,0)),ROW($C$2:$C$1018)-ROW($C$2)+1),ROWS(K$20:K49))))</f>
        <v>41372</v>
      </c>
      <c r="H49" s="4" t="str">
        <f t="array" ref="H49">IF(ROWS(L$20:L49)&gt;$F$6,"",INDEX(B$2:B$1018,SMALL(IF(ISNUMBER(MATCH($B$2:$B$1018,$E$6:$E$11,0)),ROW($C$2:$C$1018)-ROW($C$2)+1),ROWS(L$20:L49))))</f>
        <v>Jenni  Thorton</v>
      </c>
      <c r="I49" s="4">
        <f t="array" ref="I49">IF(ROWS(M$20:M49)&gt;$F$6,"",INDEX(C$2:C$1018,SMALL(IF(ISNUMBER(MATCH($B$2:$B$1018,$E$6:$E$11,0)),ROW($C$2:$C$1018)-ROW($C$2)+1),ROWS(M$20:M49))))</f>
        <v>28</v>
      </c>
      <c r="K49" s="7">
        <f t="array" ref="K49">IF(ROWS(K$20:K49)&gt;$F$6,"",INDEX(A$2:A$1018,SMALL(IF(($B$2:$B$1018=$E$6)+($B$2:$B$1018=$E$7)+($B$2:$B$1018=$E$8)+($B$2:$B$1018=$E$9)+($B$2:$B$1018=$E$10)+($B$2:$B$1018=$E$11),ROW($C$2:$C$1018)-ROW($C$2)+1),ROWS(K$20:K49))))</f>
        <v>41372</v>
      </c>
      <c r="L49" s="4" t="str">
        <f t="array" ref="L49">IF(ROWS(L$20:L49)&gt;$F$6,"",INDEX(B$2:B$1018,SMALL(IF(($B$2:$B$1018=$E$6)+($B$2:$B$1018=$E$7)+($B$2:$B$1018=$E$8)+($B$2:$B$1018=$E$9)+($B$2:$B$1018=$E$10)+($B$2:$B$1018=$E$11),ROW($C$2:$C$1018)-ROW($C$2)+1),ROWS(L$20:L49))))</f>
        <v>Jenni  Thorton</v>
      </c>
      <c r="M49" s="4">
        <f t="array" ref="M49">IF(ROWS(M$20:M49)&gt;$F$6,"",INDEX(C$2:C$1018,SMALL(IF(($B$2:$B$1018=$E$6)+($B$2:$B$1018=$E$7)+($B$2:$B$1018=$E$8)+($B$2:$B$1018=$E$9)+($B$2:$B$1018=$E$10)+($B$2:$B$1018=$E$11),ROW($C$2:$C$1018)-ROW($C$2)+1),ROWS(M$20:M49))))</f>
        <v>28</v>
      </c>
    </row>
    <row r="50" spans="1:13" x14ac:dyDescent="0.25">
      <c r="A50" s="3">
        <v>41897</v>
      </c>
      <c r="B50" s="2" t="s">
        <v>34</v>
      </c>
      <c r="C50" s="2">
        <v>14</v>
      </c>
      <c r="G50" s="7">
        <f t="array" ref="G50">IF(ROWS(K$20:K50)&gt;$F$6,"",INDEX(A$2:A$1018,SMALL(IF(ISNUMBER(MATCH($B$2:$B$1018,$E$6:$E$11,0)),ROW($C$2:$C$1018)-ROW($C$2)+1),ROWS(K$20:K50))))</f>
        <v>41377</v>
      </c>
      <c r="H50" s="4" t="str">
        <f t="array" ref="H50">IF(ROWS(L$20:L50)&gt;$F$6,"",INDEX(B$2:B$1018,SMALL(IF(ISNUMBER(MATCH($B$2:$B$1018,$E$6:$E$11,0)),ROW($C$2:$C$1018)-ROW($C$2)+1),ROWS(L$20:L50))))</f>
        <v>Iliana  Valerio</v>
      </c>
      <c r="I50" s="4">
        <f t="array" ref="I50">IF(ROWS(M$20:M50)&gt;$F$6,"",INDEX(C$2:C$1018,SMALL(IF(ISNUMBER(MATCH($B$2:$B$1018,$E$6:$E$11,0)),ROW($C$2:$C$1018)-ROW($C$2)+1),ROWS(M$20:M50))))</f>
        <v>13</v>
      </c>
      <c r="K50" s="7">
        <f t="array" ref="K50">IF(ROWS(K$20:K50)&gt;$F$6,"",INDEX(A$2:A$1018,SMALL(IF(($B$2:$B$1018=$E$6)+($B$2:$B$1018=$E$7)+($B$2:$B$1018=$E$8)+($B$2:$B$1018=$E$9)+($B$2:$B$1018=$E$10)+($B$2:$B$1018=$E$11),ROW($C$2:$C$1018)-ROW($C$2)+1),ROWS(K$20:K50))))</f>
        <v>41377</v>
      </c>
      <c r="L50" s="4" t="str">
        <f t="array" ref="L50">IF(ROWS(L$20:L50)&gt;$F$6,"",INDEX(B$2:B$1018,SMALL(IF(($B$2:$B$1018=$E$6)+($B$2:$B$1018=$E$7)+($B$2:$B$1018=$E$8)+($B$2:$B$1018=$E$9)+($B$2:$B$1018=$E$10)+($B$2:$B$1018=$E$11),ROW($C$2:$C$1018)-ROW($C$2)+1),ROWS(L$20:L50))))</f>
        <v>Iliana  Valerio</v>
      </c>
      <c r="M50" s="4">
        <f t="array" ref="M50">IF(ROWS(M$20:M50)&gt;$F$6,"",INDEX(C$2:C$1018,SMALL(IF(($B$2:$B$1018=$E$6)+($B$2:$B$1018=$E$7)+($B$2:$B$1018=$E$8)+($B$2:$B$1018=$E$9)+($B$2:$B$1018=$E$10)+($B$2:$B$1018=$E$11),ROW($C$2:$C$1018)-ROW($C$2)+1),ROWS(M$20:M50))))</f>
        <v>13</v>
      </c>
    </row>
    <row r="51" spans="1:13" x14ac:dyDescent="0.25">
      <c r="A51" s="3">
        <v>41860</v>
      </c>
      <c r="B51" s="2" t="s">
        <v>17</v>
      </c>
      <c r="C51" s="2">
        <v>32</v>
      </c>
      <c r="G51" s="7">
        <f t="array" ref="G51">IF(ROWS(K$20:K51)&gt;$F$6,"",INDEX(A$2:A$1018,SMALL(IF(ISNUMBER(MATCH($B$2:$B$1018,$E$6:$E$11,0)),ROW($C$2:$C$1018)-ROW($C$2)+1),ROWS(K$20:K51))))</f>
        <v>41815</v>
      </c>
      <c r="H51" s="4" t="str">
        <f t="array" ref="H51">IF(ROWS(L$20:L51)&gt;$F$6,"",INDEX(B$2:B$1018,SMALL(IF(ISNUMBER(MATCH($B$2:$B$1018,$E$6:$E$11,0)),ROW($C$2:$C$1018)-ROW($C$2)+1),ROWS(L$20:L51))))</f>
        <v>Kerrie  Worrell</v>
      </c>
      <c r="I51" s="4">
        <f t="array" ref="I51">IF(ROWS(M$20:M51)&gt;$F$6,"",INDEX(C$2:C$1018,SMALL(IF(ISNUMBER(MATCH($B$2:$B$1018,$E$6:$E$11,0)),ROW($C$2:$C$1018)-ROW($C$2)+1),ROWS(M$20:M51))))</f>
        <v>44</v>
      </c>
      <c r="K51" s="7">
        <f t="array" ref="K51">IF(ROWS(K$20:K51)&gt;$F$6,"",INDEX(A$2:A$1018,SMALL(IF(($B$2:$B$1018=$E$6)+($B$2:$B$1018=$E$7)+($B$2:$B$1018=$E$8)+($B$2:$B$1018=$E$9)+($B$2:$B$1018=$E$10)+($B$2:$B$1018=$E$11),ROW($C$2:$C$1018)-ROW($C$2)+1),ROWS(K$20:K51))))</f>
        <v>41815</v>
      </c>
      <c r="L51" s="4" t="str">
        <f t="array" ref="L51">IF(ROWS(L$20:L51)&gt;$F$6,"",INDEX(B$2:B$1018,SMALL(IF(($B$2:$B$1018=$E$6)+($B$2:$B$1018=$E$7)+($B$2:$B$1018=$E$8)+($B$2:$B$1018=$E$9)+($B$2:$B$1018=$E$10)+($B$2:$B$1018=$E$11),ROW($C$2:$C$1018)-ROW($C$2)+1),ROWS(L$20:L51))))</f>
        <v>Kerrie  Worrell</v>
      </c>
      <c r="M51" s="4">
        <f t="array" ref="M51">IF(ROWS(M$20:M51)&gt;$F$6,"",INDEX(C$2:C$1018,SMALL(IF(($B$2:$B$1018=$E$6)+($B$2:$B$1018=$E$7)+($B$2:$B$1018=$E$8)+($B$2:$B$1018=$E$9)+($B$2:$B$1018=$E$10)+($B$2:$B$1018=$E$11),ROW($C$2:$C$1018)-ROW($C$2)+1),ROWS(M$20:M51))))</f>
        <v>44</v>
      </c>
    </row>
    <row r="52" spans="1:13" x14ac:dyDescent="0.25">
      <c r="A52" s="3">
        <v>41591</v>
      </c>
      <c r="B52" s="2" t="s">
        <v>34</v>
      </c>
      <c r="C52" s="2">
        <v>53</v>
      </c>
      <c r="G52" s="7">
        <f t="array" ref="G52">IF(ROWS(K$20:K52)&gt;$F$6,"",INDEX(A$2:A$1018,SMALL(IF(ISNUMBER(MATCH($B$2:$B$1018,$E$6:$E$11,0)),ROW($C$2:$C$1018)-ROW($C$2)+1),ROWS(K$20:K52))))</f>
        <v>41912</v>
      </c>
      <c r="H52" s="4" t="str">
        <f t="array" ref="H52">IF(ROWS(L$20:L52)&gt;$F$6,"",INDEX(B$2:B$1018,SMALL(IF(ISNUMBER(MATCH($B$2:$B$1018,$E$6:$E$11,0)),ROW($C$2:$C$1018)-ROW($C$2)+1),ROWS(L$20:L52))))</f>
        <v>Jenni  Thorton</v>
      </c>
      <c r="I52" s="4">
        <f t="array" ref="I52">IF(ROWS(M$20:M52)&gt;$F$6,"",INDEX(C$2:C$1018,SMALL(IF(ISNUMBER(MATCH($B$2:$B$1018,$E$6:$E$11,0)),ROW($C$2:$C$1018)-ROW($C$2)+1),ROWS(M$20:M52))))</f>
        <v>14</v>
      </c>
      <c r="K52" s="7">
        <f t="array" ref="K52">IF(ROWS(K$20:K52)&gt;$F$6,"",INDEX(A$2:A$1018,SMALL(IF(($B$2:$B$1018=$E$6)+($B$2:$B$1018=$E$7)+($B$2:$B$1018=$E$8)+($B$2:$B$1018=$E$9)+($B$2:$B$1018=$E$10)+($B$2:$B$1018=$E$11),ROW($C$2:$C$1018)-ROW($C$2)+1),ROWS(K$20:K52))))</f>
        <v>41912</v>
      </c>
      <c r="L52" s="4" t="str">
        <f t="array" ref="L52">IF(ROWS(L$20:L52)&gt;$F$6,"",INDEX(B$2:B$1018,SMALL(IF(($B$2:$B$1018=$E$6)+($B$2:$B$1018=$E$7)+($B$2:$B$1018=$E$8)+($B$2:$B$1018=$E$9)+($B$2:$B$1018=$E$10)+($B$2:$B$1018=$E$11),ROW($C$2:$C$1018)-ROW($C$2)+1),ROWS(L$20:L52))))</f>
        <v>Jenni  Thorton</v>
      </c>
      <c r="M52" s="4">
        <f t="array" ref="M52">IF(ROWS(M$20:M52)&gt;$F$6,"",INDEX(C$2:C$1018,SMALL(IF(($B$2:$B$1018=$E$6)+($B$2:$B$1018=$E$7)+($B$2:$B$1018=$E$8)+($B$2:$B$1018=$E$9)+($B$2:$B$1018=$E$10)+($B$2:$B$1018=$E$11),ROW($C$2:$C$1018)-ROW($C$2)+1),ROWS(M$20:M52))))</f>
        <v>14</v>
      </c>
    </row>
    <row r="53" spans="1:13" x14ac:dyDescent="0.25">
      <c r="A53" s="3">
        <v>41532</v>
      </c>
      <c r="B53" s="2" t="s">
        <v>42</v>
      </c>
      <c r="C53" s="2">
        <v>53</v>
      </c>
      <c r="G53" s="7">
        <f t="array" ref="G53">IF(ROWS(K$20:K53)&gt;$F$6,"",INDEX(A$2:A$1018,SMALL(IF(ISNUMBER(MATCH($B$2:$B$1018,$E$6:$E$11,0)),ROW($C$2:$C$1018)-ROW($C$2)+1),ROWS(K$20:K53))))</f>
        <v>41710</v>
      </c>
      <c r="H53" s="4" t="str">
        <f t="array" ref="H53">IF(ROWS(L$20:L53)&gt;$F$6,"",INDEX(B$2:B$1018,SMALL(IF(ISNUMBER(MATCH($B$2:$B$1018,$E$6:$E$11,0)),ROW($C$2:$C$1018)-ROW($C$2)+1),ROWS(L$20:L53))))</f>
        <v>Iliana  Valerio</v>
      </c>
      <c r="I53" s="4">
        <f t="array" ref="I53">IF(ROWS(M$20:M53)&gt;$F$6,"",INDEX(C$2:C$1018,SMALL(IF(ISNUMBER(MATCH($B$2:$B$1018,$E$6:$E$11,0)),ROW($C$2:$C$1018)-ROW($C$2)+1),ROWS(M$20:M53))))</f>
        <v>11</v>
      </c>
      <c r="K53" s="7">
        <f t="array" ref="K53">IF(ROWS(K$20:K53)&gt;$F$6,"",INDEX(A$2:A$1018,SMALL(IF(($B$2:$B$1018=$E$6)+($B$2:$B$1018=$E$7)+($B$2:$B$1018=$E$8)+($B$2:$B$1018=$E$9)+($B$2:$B$1018=$E$10)+($B$2:$B$1018=$E$11),ROW($C$2:$C$1018)-ROW($C$2)+1),ROWS(K$20:K53))))</f>
        <v>41710</v>
      </c>
      <c r="L53" s="4" t="str">
        <f t="array" ref="L53">IF(ROWS(L$20:L53)&gt;$F$6,"",INDEX(B$2:B$1018,SMALL(IF(($B$2:$B$1018=$E$6)+($B$2:$B$1018=$E$7)+($B$2:$B$1018=$E$8)+($B$2:$B$1018=$E$9)+($B$2:$B$1018=$E$10)+($B$2:$B$1018=$E$11),ROW($C$2:$C$1018)-ROW($C$2)+1),ROWS(L$20:L53))))</f>
        <v>Iliana  Valerio</v>
      </c>
      <c r="M53" s="4">
        <f t="array" ref="M53">IF(ROWS(M$20:M53)&gt;$F$6,"",INDEX(C$2:C$1018,SMALL(IF(($B$2:$B$1018=$E$6)+($B$2:$B$1018=$E$7)+($B$2:$B$1018=$E$8)+($B$2:$B$1018=$E$9)+($B$2:$B$1018=$E$10)+($B$2:$B$1018=$E$11),ROW($C$2:$C$1018)-ROW($C$2)+1),ROWS(M$20:M53))))</f>
        <v>11</v>
      </c>
    </row>
    <row r="54" spans="1:13" x14ac:dyDescent="0.25">
      <c r="A54" s="3">
        <v>41605</v>
      </c>
      <c r="B54" s="2" t="s">
        <v>42</v>
      </c>
      <c r="C54" s="2">
        <v>24</v>
      </c>
      <c r="G54" s="7">
        <f t="array" ref="G54">IF(ROWS(K$20:K54)&gt;$F$6,"",INDEX(A$2:A$1018,SMALL(IF(ISNUMBER(MATCH($B$2:$B$1018,$E$6:$E$11,0)),ROW($C$2:$C$1018)-ROW($C$2)+1),ROWS(K$20:K54))))</f>
        <v>41433</v>
      </c>
      <c r="H54" s="4" t="str">
        <f t="array" ref="H54">IF(ROWS(L$20:L54)&gt;$F$6,"",INDEX(B$2:B$1018,SMALL(IF(ISNUMBER(MATCH($B$2:$B$1018,$E$6:$E$11,0)),ROW($C$2:$C$1018)-ROW($C$2)+1),ROWS(L$20:L54))))</f>
        <v>Galen  Barth</v>
      </c>
      <c r="I54" s="4">
        <f t="array" ref="I54">IF(ROWS(M$20:M54)&gt;$F$6,"",INDEX(C$2:C$1018,SMALL(IF(ISNUMBER(MATCH($B$2:$B$1018,$E$6:$E$11,0)),ROW($C$2:$C$1018)-ROW($C$2)+1),ROWS(M$20:M54))))</f>
        <v>29</v>
      </c>
      <c r="K54" s="7">
        <f t="array" ref="K54">IF(ROWS(K$20:K54)&gt;$F$6,"",INDEX(A$2:A$1018,SMALL(IF(($B$2:$B$1018=$E$6)+($B$2:$B$1018=$E$7)+($B$2:$B$1018=$E$8)+($B$2:$B$1018=$E$9)+($B$2:$B$1018=$E$10)+($B$2:$B$1018=$E$11),ROW($C$2:$C$1018)-ROW($C$2)+1),ROWS(K$20:K54))))</f>
        <v>41433</v>
      </c>
      <c r="L54" s="4" t="str">
        <f t="array" ref="L54">IF(ROWS(L$20:L54)&gt;$F$6,"",INDEX(B$2:B$1018,SMALL(IF(($B$2:$B$1018=$E$6)+($B$2:$B$1018=$E$7)+($B$2:$B$1018=$E$8)+($B$2:$B$1018=$E$9)+($B$2:$B$1018=$E$10)+($B$2:$B$1018=$E$11),ROW($C$2:$C$1018)-ROW($C$2)+1),ROWS(L$20:L54))))</f>
        <v>Galen  Barth</v>
      </c>
      <c r="M54" s="4">
        <f t="array" ref="M54">IF(ROWS(M$20:M54)&gt;$F$6,"",INDEX(C$2:C$1018,SMALL(IF(($B$2:$B$1018=$E$6)+($B$2:$B$1018=$E$7)+($B$2:$B$1018=$E$8)+($B$2:$B$1018=$E$9)+($B$2:$B$1018=$E$10)+($B$2:$B$1018=$E$11),ROW($C$2:$C$1018)-ROW($C$2)+1),ROWS(M$20:M54))))</f>
        <v>29</v>
      </c>
    </row>
    <row r="55" spans="1:13" x14ac:dyDescent="0.25">
      <c r="A55" s="3">
        <v>41534</v>
      </c>
      <c r="B55" s="2" t="s">
        <v>2</v>
      </c>
      <c r="C55" s="2">
        <v>2</v>
      </c>
      <c r="G55" s="7">
        <f t="array" ref="G55">IF(ROWS(K$20:K55)&gt;$F$6,"",INDEX(A$2:A$1018,SMALL(IF(ISNUMBER(MATCH($B$2:$B$1018,$E$6:$E$11,0)),ROW($C$2:$C$1018)-ROW($C$2)+1),ROWS(K$20:K55))))</f>
        <v>41630</v>
      </c>
      <c r="H55" s="4" t="str">
        <f t="array" ref="H55">IF(ROWS(L$20:L55)&gt;$F$6,"",INDEX(B$2:B$1018,SMALL(IF(ISNUMBER(MATCH($B$2:$B$1018,$E$6:$E$11,0)),ROW($C$2:$C$1018)-ROW($C$2)+1),ROWS(L$20:L55))))</f>
        <v>Rosamond  Allard</v>
      </c>
      <c r="I55" s="4">
        <f t="array" ref="I55">IF(ROWS(M$20:M55)&gt;$F$6,"",INDEX(C$2:C$1018,SMALL(IF(ISNUMBER(MATCH($B$2:$B$1018,$E$6:$E$11,0)),ROW($C$2:$C$1018)-ROW($C$2)+1),ROWS(M$20:M55))))</f>
        <v>28</v>
      </c>
      <c r="K55" s="7">
        <f t="array" ref="K55">IF(ROWS(K$20:K55)&gt;$F$6,"",INDEX(A$2:A$1018,SMALL(IF(($B$2:$B$1018=$E$6)+($B$2:$B$1018=$E$7)+($B$2:$B$1018=$E$8)+($B$2:$B$1018=$E$9)+($B$2:$B$1018=$E$10)+($B$2:$B$1018=$E$11),ROW($C$2:$C$1018)-ROW($C$2)+1),ROWS(K$20:K55))))</f>
        <v>41630</v>
      </c>
      <c r="L55" s="4" t="str">
        <f t="array" ref="L55">IF(ROWS(L$20:L55)&gt;$F$6,"",INDEX(B$2:B$1018,SMALL(IF(($B$2:$B$1018=$E$6)+($B$2:$B$1018=$E$7)+($B$2:$B$1018=$E$8)+($B$2:$B$1018=$E$9)+($B$2:$B$1018=$E$10)+($B$2:$B$1018=$E$11),ROW($C$2:$C$1018)-ROW($C$2)+1),ROWS(L$20:L55))))</f>
        <v>Rosamond  Allard</v>
      </c>
      <c r="M55" s="4">
        <f t="array" ref="M55">IF(ROWS(M$20:M55)&gt;$F$6,"",INDEX(C$2:C$1018,SMALL(IF(($B$2:$B$1018=$E$6)+($B$2:$B$1018=$E$7)+($B$2:$B$1018=$E$8)+($B$2:$B$1018=$E$9)+($B$2:$B$1018=$E$10)+($B$2:$B$1018=$E$11),ROW($C$2:$C$1018)-ROW($C$2)+1),ROWS(M$20:M55))))</f>
        <v>28</v>
      </c>
    </row>
    <row r="56" spans="1:13" x14ac:dyDescent="0.25">
      <c r="A56" s="3">
        <v>41496</v>
      </c>
      <c r="B56" s="2" t="s">
        <v>11</v>
      </c>
      <c r="C56" s="2">
        <v>2</v>
      </c>
      <c r="G56" s="7">
        <f t="array" ref="G56">IF(ROWS(K$20:K56)&gt;$F$6,"",INDEX(A$2:A$1018,SMALL(IF(ISNUMBER(MATCH($B$2:$B$1018,$E$6:$E$11,0)),ROW($C$2:$C$1018)-ROW($C$2)+1),ROWS(K$20:K56))))</f>
        <v>41758</v>
      </c>
      <c r="H56" s="4" t="str">
        <f t="array" ref="H56">IF(ROWS(L$20:L56)&gt;$F$6,"",INDEX(B$2:B$1018,SMALL(IF(ISNUMBER(MATCH($B$2:$B$1018,$E$6:$E$11,0)),ROW($C$2:$C$1018)-ROW($C$2)+1),ROWS(L$20:L56))))</f>
        <v>Mickey  Bolduc</v>
      </c>
      <c r="I56" s="4">
        <f t="array" ref="I56">IF(ROWS(M$20:M56)&gt;$F$6,"",INDEX(C$2:C$1018,SMALL(IF(ISNUMBER(MATCH($B$2:$B$1018,$E$6:$E$11,0)),ROW($C$2:$C$1018)-ROW($C$2)+1),ROWS(M$20:M56))))</f>
        <v>42</v>
      </c>
      <c r="K56" s="7">
        <f t="array" ref="K56">IF(ROWS(K$20:K56)&gt;$F$6,"",INDEX(A$2:A$1018,SMALL(IF(($B$2:$B$1018=$E$6)+($B$2:$B$1018=$E$7)+($B$2:$B$1018=$E$8)+($B$2:$B$1018=$E$9)+($B$2:$B$1018=$E$10)+($B$2:$B$1018=$E$11),ROW($C$2:$C$1018)-ROW($C$2)+1),ROWS(K$20:K56))))</f>
        <v>41758</v>
      </c>
      <c r="L56" s="4" t="str">
        <f t="array" ref="L56">IF(ROWS(L$20:L56)&gt;$F$6,"",INDEX(B$2:B$1018,SMALL(IF(($B$2:$B$1018=$E$6)+($B$2:$B$1018=$E$7)+($B$2:$B$1018=$E$8)+($B$2:$B$1018=$E$9)+($B$2:$B$1018=$E$10)+($B$2:$B$1018=$E$11),ROW($C$2:$C$1018)-ROW($C$2)+1),ROWS(L$20:L56))))</f>
        <v>Mickey  Bolduc</v>
      </c>
      <c r="M56" s="4">
        <f t="array" ref="M56">IF(ROWS(M$20:M56)&gt;$F$6,"",INDEX(C$2:C$1018,SMALL(IF(($B$2:$B$1018=$E$6)+($B$2:$B$1018=$E$7)+($B$2:$B$1018=$E$8)+($B$2:$B$1018=$E$9)+($B$2:$B$1018=$E$10)+($B$2:$B$1018=$E$11),ROW($C$2:$C$1018)-ROW($C$2)+1),ROWS(M$20:M56))))</f>
        <v>42</v>
      </c>
    </row>
    <row r="57" spans="1:13" x14ac:dyDescent="0.25">
      <c r="A57" s="3">
        <v>41418</v>
      </c>
      <c r="B57" s="2" t="s">
        <v>46</v>
      </c>
      <c r="C57" s="2">
        <v>35</v>
      </c>
      <c r="G57" s="7">
        <f t="array" ref="G57">IF(ROWS(K$20:K57)&gt;$F$6,"",INDEX(A$2:A$1018,SMALL(IF(ISNUMBER(MATCH($B$2:$B$1018,$E$6:$E$11,0)),ROW($C$2:$C$1018)-ROW($C$2)+1),ROWS(K$20:K57))))</f>
        <v>41543</v>
      </c>
      <c r="H57" s="4" t="str">
        <f t="array" ref="H57">IF(ROWS(L$20:L57)&gt;$F$6,"",INDEX(B$2:B$1018,SMALL(IF(ISNUMBER(MATCH($B$2:$B$1018,$E$6:$E$11,0)),ROW($C$2:$C$1018)-ROW($C$2)+1),ROWS(L$20:L57))))</f>
        <v>Jenni  Thorton</v>
      </c>
      <c r="I57" s="4">
        <f t="array" ref="I57">IF(ROWS(M$20:M57)&gt;$F$6,"",INDEX(C$2:C$1018,SMALL(IF(ISNUMBER(MATCH($B$2:$B$1018,$E$6:$E$11,0)),ROW($C$2:$C$1018)-ROW($C$2)+1),ROWS(M$20:M57))))</f>
        <v>23</v>
      </c>
      <c r="K57" s="7">
        <f t="array" ref="K57">IF(ROWS(K$20:K57)&gt;$F$6,"",INDEX(A$2:A$1018,SMALL(IF(($B$2:$B$1018=$E$6)+($B$2:$B$1018=$E$7)+($B$2:$B$1018=$E$8)+($B$2:$B$1018=$E$9)+($B$2:$B$1018=$E$10)+($B$2:$B$1018=$E$11),ROW($C$2:$C$1018)-ROW($C$2)+1),ROWS(K$20:K57))))</f>
        <v>41543</v>
      </c>
      <c r="L57" s="4" t="str">
        <f t="array" ref="L57">IF(ROWS(L$20:L57)&gt;$F$6,"",INDEX(B$2:B$1018,SMALL(IF(($B$2:$B$1018=$E$6)+($B$2:$B$1018=$E$7)+($B$2:$B$1018=$E$8)+($B$2:$B$1018=$E$9)+($B$2:$B$1018=$E$10)+($B$2:$B$1018=$E$11),ROW($C$2:$C$1018)-ROW($C$2)+1),ROWS(L$20:L57))))</f>
        <v>Jenni  Thorton</v>
      </c>
      <c r="M57" s="4">
        <f t="array" ref="M57">IF(ROWS(M$20:M57)&gt;$F$6,"",INDEX(C$2:C$1018,SMALL(IF(($B$2:$B$1018=$E$6)+($B$2:$B$1018=$E$7)+($B$2:$B$1018=$E$8)+($B$2:$B$1018=$E$9)+($B$2:$B$1018=$E$10)+($B$2:$B$1018=$E$11),ROW($C$2:$C$1018)-ROW($C$2)+1),ROWS(M$20:M57))))</f>
        <v>23</v>
      </c>
    </row>
    <row r="58" spans="1:13" x14ac:dyDescent="0.25">
      <c r="A58" s="3">
        <v>41760</v>
      </c>
      <c r="B58" s="2" t="s">
        <v>9</v>
      </c>
      <c r="C58" s="2">
        <v>19</v>
      </c>
      <c r="G58" s="7">
        <f t="array" ref="G58">IF(ROWS(K$20:K58)&gt;$F$6,"",INDEX(A$2:A$1018,SMALL(IF(ISNUMBER(MATCH($B$2:$B$1018,$E$6:$E$11,0)),ROW($C$2:$C$1018)-ROW($C$2)+1),ROWS(K$20:K58))))</f>
        <v>41877</v>
      </c>
      <c r="H58" s="4" t="str">
        <f t="array" ref="H58">IF(ROWS(L$20:L58)&gt;$F$6,"",INDEX(B$2:B$1018,SMALL(IF(ISNUMBER(MATCH($B$2:$B$1018,$E$6:$E$11,0)),ROW($C$2:$C$1018)-ROW($C$2)+1),ROWS(L$20:L58))))</f>
        <v>Rosamond  Allard</v>
      </c>
      <c r="I58" s="4">
        <f t="array" ref="I58">IF(ROWS(M$20:M58)&gt;$F$6,"",INDEX(C$2:C$1018,SMALL(IF(ISNUMBER(MATCH($B$2:$B$1018,$E$6:$E$11,0)),ROW($C$2:$C$1018)-ROW($C$2)+1),ROWS(M$20:M58))))</f>
        <v>24</v>
      </c>
      <c r="K58" s="7">
        <f t="array" ref="K58">IF(ROWS(K$20:K58)&gt;$F$6,"",INDEX(A$2:A$1018,SMALL(IF(($B$2:$B$1018=$E$6)+($B$2:$B$1018=$E$7)+($B$2:$B$1018=$E$8)+($B$2:$B$1018=$E$9)+($B$2:$B$1018=$E$10)+($B$2:$B$1018=$E$11),ROW($C$2:$C$1018)-ROW($C$2)+1),ROWS(K$20:K58))))</f>
        <v>41877</v>
      </c>
      <c r="L58" s="4" t="str">
        <f t="array" ref="L58">IF(ROWS(L$20:L58)&gt;$F$6,"",INDEX(B$2:B$1018,SMALL(IF(($B$2:$B$1018=$E$6)+($B$2:$B$1018=$E$7)+($B$2:$B$1018=$E$8)+($B$2:$B$1018=$E$9)+($B$2:$B$1018=$E$10)+($B$2:$B$1018=$E$11),ROW($C$2:$C$1018)-ROW($C$2)+1),ROWS(L$20:L58))))</f>
        <v>Rosamond  Allard</v>
      </c>
      <c r="M58" s="4">
        <f t="array" ref="M58">IF(ROWS(M$20:M58)&gt;$F$6,"",INDEX(C$2:C$1018,SMALL(IF(($B$2:$B$1018=$E$6)+($B$2:$B$1018=$E$7)+($B$2:$B$1018=$E$8)+($B$2:$B$1018=$E$9)+($B$2:$B$1018=$E$10)+($B$2:$B$1018=$E$11),ROW($C$2:$C$1018)-ROW($C$2)+1),ROWS(M$20:M58))))</f>
        <v>24</v>
      </c>
    </row>
    <row r="59" spans="1:13" x14ac:dyDescent="0.25">
      <c r="A59" s="3">
        <v>41839</v>
      </c>
      <c r="B59" s="2" t="s">
        <v>38</v>
      </c>
      <c r="C59" s="2">
        <v>27</v>
      </c>
      <c r="G59" s="7">
        <f t="array" ref="G59">IF(ROWS(K$20:K59)&gt;$F$6,"",INDEX(A$2:A$1018,SMALL(IF(ISNUMBER(MATCH($B$2:$B$1018,$E$6:$E$11,0)),ROW($C$2:$C$1018)-ROW($C$2)+1),ROWS(K$20:K59))))</f>
        <v>41608</v>
      </c>
      <c r="H59" s="4" t="str">
        <f t="array" ref="H59">IF(ROWS(L$20:L59)&gt;$F$6,"",INDEX(B$2:B$1018,SMALL(IF(ISNUMBER(MATCH($B$2:$B$1018,$E$6:$E$11,0)),ROW($C$2:$C$1018)-ROW($C$2)+1),ROWS(L$20:L59))))</f>
        <v>Jenni  Thorton</v>
      </c>
      <c r="I59" s="4">
        <f t="array" ref="I59">IF(ROWS(M$20:M59)&gt;$F$6,"",INDEX(C$2:C$1018,SMALL(IF(ISNUMBER(MATCH($B$2:$B$1018,$E$6:$E$11,0)),ROW($C$2:$C$1018)-ROW($C$2)+1),ROWS(M$20:M59))))</f>
        <v>25</v>
      </c>
      <c r="K59" s="7">
        <f t="array" ref="K59">IF(ROWS(K$20:K59)&gt;$F$6,"",INDEX(A$2:A$1018,SMALL(IF(($B$2:$B$1018=$E$6)+($B$2:$B$1018=$E$7)+($B$2:$B$1018=$E$8)+($B$2:$B$1018=$E$9)+($B$2:$B$1018=$E$10)+($B$2:$B$1018=$E$11),ROW($C$2:$C$1018)-ROW($C$2)+1),ROWS(K$20:K59))))</f>
        <v>41608</v>
      </c>
      <c r="L59" s="4" t="str">
        <f t="array" ref="L59">IF(ROWS(L$20:L59)&gt;$F$6,"",INDEX(B$2:B$1018,SMALL(IF(($B$2:$B$1018=$E$6)+($B$2:$B$1018=$E$7)+($B$2:$B$1018=$E$8)+($B$2:$B$1018=$E$9)+($B$2:$B$1018=$E$10)+($B$2:$B$1018=$E$11),ROW($C$2:$C$1018)-ROW($C$2)+1),ROWS(L$20:L59))))</f>
        <v>Jenni  Thorton</v>
      </c>
      <c r="M59" s="4">
        <f t="array" ref="M59">IF(ROWS(M$20:M59)&gt;$F$6,"",INDEX(C$2:C$1018,SMALL(IF(($B$2:$B$1018=$E$6)+($B$2:$B$1018=$E$7)+($B$2:$B$1018=$E$8)+($B$2:$B$1018=$E$9)+($B$2:$B$1018=$E$10)+($B$2:$B$1018=$E$11),ROW($C$2:$C$1018)-ROW($C$2)+1),ROWS(M$20:M59))))</f>
        <v>25</v>
      </c>
    </row>
    <row r="60" spans="1:13" x14ac:dyDescent="0.25">
      <c r="A60" s="3">
        <v>41295</v>
      </c>
      <c r="B60" s="2" t="s">
        <v>6</v>
      </c>
      <c r="C60" s="2">
        <v>31</v>
      </c>
      <c r="G60" s="7">
        <f t="array" ref="G60">IF(ROWS(K$20:K60)&gt;$F$6,"",INDEX(A$2:A$1018,SMALL(IF(ISNUMBER(MATCH($B$2:$B$1018,$E$6:$E$11,0)),ROW($C$2:$C$1018)-ROW($C$2)+1),ROWS(K$20:K60))))</f>
        <v>41279</v>
      </c>
      <c r="H60" s="4" t="str">
        <f t="array" ref="H60">IF(ROWS(L$20:L60)&gt;$F$6,"",INDEX(B$2:B$1018,SMALL(IF(ISNUMBER(MATCH($B$2:$B$1018,$E$6:$E$11,0)),ROW($C$2:$C$1018)-ROW($C$2)+1),ROWS(L$20:L60))))</f>
        <v>Mickey  Bolduc</v>
      </c>
      <c r="I60" s="4">
        <f t="array" ref="I60">IF(ROWS(M$20:M60)&gt;$F$6,"",INDEX(C$2:C$1018,SMALL(IF(ISNUMBER(MATCH($B$2:$B$1018,$E$6:$E$11,0)),ROW($C$2:$C$1018)-ROW($C$2)+1),ROWS(M$20:M60))))</f>
        <v>18</v>
      </c>
      <c r="K60" s="7">
        <f t="array" ref="K60">IF(ROWS(K$20:K60)&gt;$F$6,"",INDEX(A$2:A$1018,SMALL(IF(($B$2:$B$1018=$E$6)+($B$2:$B$1018=$E$7)+($B$2:$B$1018=$E$8)+($B$2:$B$1018=$E$9)+($B$2:$B$1018=$E$10)+($B$2:$B$1018=$E$11),ROW($C$2:$C$1018)-ROW($C$2)+1),ROWS(K$20:K60))))</f>
        <v>41279</v>
      </c>
      <c r="L60" s="4" t="str">
        <f t="array" ref="L60">IF(ROWS(L$20:L60)&gt;$F$6,"",INDEX(B$2:B$1018,SMALL(IF(($B$2:$B$1018=$E$6)+($B$2:$B$1018=$E$7)+($B$2:$B$1018=$E$8)+($B$2:$B$1018=$E$9)+($B$2:$B$1018=$E$10)+($B$2:$B$1018=$E$11),ROW($C$2:$C$1018)-ROW($C$2)+1),ROWS(L$20:L60))))</f>
        <v>Mickey  Bolduc</v>
      </c>
      <c r="M60" s="4">
        <f t="array" ref="M60">IF(ROWS(M$20:M60)&gt;$F$6,"",INDEX(C$2:C$1018,SMALL(IF(($B$2:$B$1018=$E$6)+($B$2:$B$1018=$E$7)+($B$2:$B$1018=$E$8)+($B$2:$B$1018=$E$9)+($B$2:$B$1018=$E$10)+($B$2:$B$1018=$E$11),ROW($C$2:$C$1018)-ROW($C$2)+1),ROWS(M$20:M60))))</f>
        <v>18</v>
      </c>
    </row>
    <row r="61" spans="1:13" x14ac:dyDescent="0.25">
      <c r="A61" s="3">
        <v>41528</v>
      </c>
      <c r="B61" s="2" t="s">
        <v>18</v>
      </c>
      <c r="C61" s="2">
        <v>50</v>
      </c>
      <c r="G61" s="7">
        <f t="array" ref="G61">IF(ROWS(K$20:K61)&gt;$F$6,"",INDEX(A$2:A$1018,SMALL(IF(ISNUMBER(MATCH($B$2:$B$1018,$E$6:$E$11,0)),ROW($C$2:$C$1018)-ROW($C$2)+1),ROWS(K$20:K61))))</f>
        <v>41539</v>
      </c>
      <c r="H61" s="4" t="str">
        <f t="array" ref="H61">IF(ROWS(L$20:L61)&gt;$F$6,"",INDEX(B$2:B$1018,SMALL(IF(ISNUMBER(MATCH($B$2:$B$1018,$E$6:$E$11,0)),ROW($C$2:$C$1018)-ROW($C$2)+1),ROWS(L$20:L61))))</f>
        <v>Iliana  Valerio</v>
      </c>
      <c r="I61" s="4">
        <f t="array" ref="I61">IF(ROWS(M$20:M61)&gt;$F$6,"",INDEX(C$2:C$1018,SMALL(IF(ISNUMBER(MATCH($B$2:$B$1018,$E$6:$E$11,0)),ROW($C$2:$C$1018)-ROW($C$2)+1),ROWS(M$20:M61))))</f>
        <v>23</v>
      </c>
      <c r="K61" s="7">
        <f t="array" ref="K61">IF(ROWS(K$20:K61)&gt;$F$6,"",INDEX(A$2:A$1018,SMALL(IF(($B$2:$B$1018=$E$6)+($B$2:$B$1018=$E$7)+($B$2:$B$1018=$E$8)+($B$2:$B$1018=$E$9)+($B$2:$B$1018=$E$10)+($B$2:$B$1018=$E$11),ROW($C$2:$C$1018)-ROW($C$2)+1),ROWS(K$20:K61))))</f>
        <v>41539</v>
      </c>
      <c r="L61" s="4" t="str">
        <f t="array" ref="L61">IF(ROWS(L$20:L61)&gt;$F$6,"",INDEX(B$2:B$1018,SMALL(IF(($B$2:$B$1018=$E$6)+($B$2:$B$1018=$E$7)+($B$2:$B$1018=$E$8)+($B$2:$B$1018=$E$9)+($B$2:$B$1018=$E$10)+($B$2:$B$1018=$E$11),ROW($C$2:$C$1018)-ROW($C$2)+1),ROWS(L$20:L61))))</f>
        <v>Iliana  Valerio</v>
      </c>
      <c r="M61" s="4">
        <f t="array" ref="M61">IF(ROWS(M$20:M61)&gt;$F$6,"",INDEX(C$2:C$1018,SMALL(IF(($B$2:$B$1018=$E$6)+($B$2:$B$1018=$E$7)+($B$2:$B$1018=$E$8)+($B$2:$B$1018=$E$9)+($B$2:$B$1018=$E$10)+($B$2:$B$1018=$E$11),ROW($C$2:$C$1018)-ROW($C$2)+1),ROWS(M$20:M61))))</f>
        <v>23</v>
      </c>
    </row>
    <row r="62" spans="1:13" x14ac:dyDescent="0.25">
      <c r="A62" s="3">
        <v>41529</v>
      </c>
      <c r="B62" s="2" t="s">
        <v>2</v>
      </c>
      <c r="C62" s="2">
        <v>42</v>
      </c>
      <c r="G62" s="7">
        <f t="array" ref="G62">IF(ROWS(K$20:K62)&gt;$F$6,"",INDEX(A$2:A$1018,SMALL(IF(ISNUMBER(MATCH($B$2:$B$1018,$E$6:$E$11,0)),ROW($C$2:$C$1018)-ROW($C$2)+1),ROWS(K$20:K62))))</f>
        <v>41839</v>
      </c>
      <c r="H62" s="4" t="str">
        <f t="array" ref="H62">IF(ROWS(L$20:L62)&gt;$F$6,"",INDEX(B$2:B$1018,SMALL(IF(ISNUMBER(MATCH($B$2:$B$1018,$E$6:$E$11,0)),ROW($C$2:$C$1018)-ROW($C$2)+1),ROWS(L$20:L62))))</f>
        <v>Galen  Barth</v>
      </c>
      <c r="I62" s="4">
        <f t="array" ref="I62">IF(ROWS(M$20:M62)&gt;$F$6,"",INDEX(C$2:C$1018,SMALL(IF(ISNUMBER(MATCH($B$2:$B$1018,$E$6:$E$11,0)),ROW($C$2:$C$1018)-ROW($C$2)+1),ROWS(M$20:M62))))</f>
        <v>25</v>
      </c>
      <c r="K62" s="7">
        <f t="array" ref="K62">IF(ROWS(K$20:K62)&gt;$F$6,"",INDEX(A$2:A$1018,SMALL(IF(($B$2:$B$1018=$E$6)+($B$2:$B$1018=$E$7)+($B$2:$B$1018=$E$8)+($B$2:$B$1018=$E$9)+($B$2:$B$1018=$E$10)+($B$2:$B$1018=$E$11),ROW($C$2:$C$1018)-ROW($C$2)+1),ROWS(K$20:K62))))</f>
        <v>41839</v>
      </c>
      <c r="L62" s="4" t="str">
        <f t="array" ref="L62">IF(ROWS(L$20:L62)&gt;$F$6,"",INDEX(B$2:B$1018,SMALL(IF(($B$2:$B$1018=$E$6)+($B$2:$B$1018=$E$7)+($B$2:$B$1018=$E$8)+($B$2:$B$1018=$E$9)+($B$2:$B$1018=$E$10)+($B$2:$B$1018=$E$11),ROW($C$2:$C$1018)-ROW($C$2)+1),ROWS(L$20:L62))))</f>
        <v>Galen  Barth</v>
      </c>
      <c r="M62" s="4">
        <f t="array" ref="M62">IF(ROWS(M$20:M62)&gt;$F$6,"",INDEX(C$2:C$1018,SMALL(IF(($B$2:$B$1018=$E$6)+($B$2:$B$1018=$E$7)+($B$2:$B$1018=$E$8)+($B$2:$B$1018=$E$9)+($B$2:$B$1018=$E$10)+($B$2:$B$1018=$E$11),ROW($C$2:$C$1018)-ROW($C$2)+1),ROWS(M$20:M62))))</f>
        <v>25</v>
      </c>
    </row>
    <row r="63" spans="1:13" x14ac:dyDescent="0.25">
      <c r="A63" s="3">
        <v>41810</v>
      </c>
      <c r="B63" s="2" t="s">
        <v>21</v>
      </c>
      <c r="C63" s="2">
        <v>24</v>
      </c>
      <c r="G63" s="7">
        <f t="array" ref="G63">IF(ROWS(K$20:K63)&gt;$F$6,"",INDEX(A$2:A$1018,SMALL(IF(ISNUMBER(MATCH($B$2:$B$1018,$E$6:$E$11,0)),ROW($C$2:$C$1018)-ROW($C$2)+1),ROWS(K$20:K63))))</f>
        <v>41480</v>
      </c>
      <c r="H63" s="4" t="str">
        <f t="array" ref="H63">IF(ROWS(L$20:L63)&gt;$F$6,"",INDEX(B$2:B$1018,SMALL(IF(ISNUMBER(MATCH($B$2:$B$1018,$E$6:$E$11,0)),ROW($C$2:$C$1018)-ROW($C$2)+1),ROWS(L$20:L63))))</f>
        <v>Mickey  Bolduc</v>
      </c>
      <c r="I63" s="4">
        <f t="array" ref="I63">IF(ROWS(M$20:M63)&gt;$F$6,"",INDEX(C$2:C$1018,SMALL(IF(ISNUMBER(MATCH($B$2:$B$1018,$E$6:$E$11,0)),ROW($C$2:$C$1018)-ROW($C$2)+1),ROWS(M$20:M63))))</f>
        <v>31</v>
      </c>
      <c r="K63" s="7">
        <f t="array" ref="K63">IF(ROWS(K$20:K63)&gt;$F$6,"",INDEX(A$2:A$1018,SMALL(IF(($B$2:$B$1018=$E$6)+($B$2:$B$1018=$E$7)+($B$2:$B$1018=$E$8)+($B$2:$B$1018=$E$9)+($B$2:$B$1018=$E$10)+($B$2:$B$1018=$E$11),ROW($C$2:$C$1018)-ROW($C$2)+1),ROWS(K$20:K63))))</f>
        <v>41480</v>
      </c>
      <c r="L63" s="4" t="str">
        <f t="array" ref="L63">IF(ROWS(L$20:L63)&gt;$F$6,"",INDEX(B$2:B$1018,SMALL(IF(($B$2:$B$1018=$E$6)+($B$2:$B$1018=$E$7)+($B$2:$B$1018=$E$8)+($B$2:$B$1018=$E$9)+($B$2:$B$1018=$E$10)+($B$2:$B$1018=$E$11),ROW($C$2:$C$1018)-ROW($C$2)+1),ROWS(L$20:L63))))</f>
        <v>Mickey  Bolduc</v>
      </c>
      <c r="M63" s="4">
        <f t="array" ref="M63">IF(ROWS(M$20:M63)&gt;$F$6,"",INDEX(C$2:C$1018,SMALL(IF(($B$2:$B$1018=$E$6)+($B$2:$B$1018=$E$7)+($B$2:$B$1018=$E$8)+($B$2:$B$1018=$E$9)+($B$2:$B$1018=$E$10)+($B$2:$B$1018=$E$11),ROW($C$2:$C$1018)-ROW($C$2)+1),ROWS(M$20:M63))))</f>
        <v>31</v>
      </c>
    </row>
    <row r="64" spans="1:13" x14ac:dyDescent="0.25">
      <c r="A64" s="3">
        <v>41966</v>
      </c>
      <c r="B64" s="2" t="s">
        <v>4</v>
      </c>
      <c r="C64" s="2">
        <v>9</v>
      </c>
      <c r="G64" s="7">
        <f t="array" ref="G64">IF(ROWS(K$20:K64)&gt;$F$6,"",INDEX(A$2:A$1018,SMALL(IF(ISNUMBER(MATCH($B$2:$B$1018,$E$6:$E$11,0)),ROW($C$2:$C$1018)-ROW($C$2)+1),ROWS(K$20:K64))))</f>
        <v>41388</v>
      </c>
      <c r="H64" s="4" t="str">
        <f t="array" ref="H64">IF(ROWS(L$20:L64)&gt;$F$6,"",INDEX(B$2:B$1018,SMALL(IF(ISNUMBER(MATCH($B$2:$B$1018,$E$6:$E$11,0)),ROW($C$2:$C$1018)-ROW($C$2)+1),ROWS(L$20:L64))))</f>
        <v>Galen  Barth</v>
      </c>
      <c r="I64" s="4">
        <f t="array" ref="I64">IF(ROWS(M$20:M64)&gt;$F$6,"",INDEX(C$2:C$1018,SMALL(IF(ISNUMBER(MATCH($B$2:$B$1018,$E$6:$E$11,0)),ROW($C$2:$C$1018)-ROW($C$2)+1),ROWS(M$20:M64))))</f>
        <v>5</v>
      </c>
      <c r="K64" s="7">
        <f t="array" ref="K64">IF(ROWS(K$20:K64)&gt;$F$6,"",INDEX(A$2:A$1018,SMALL(IF(($B$2:$B$1018=$E$6)+($B$2:$B$1018=$E$7)+($B$2:$B$1018=$E$8)+($B$2:$B$1018=$E$9)+($B$2:$B$1018=$E$10)+($B$2:$B$1018=$E$11),ROW($C$2:$C$1018)-ROW($C$2)+1),ROWS(K$20:K64))))</f>
        <v>41388</v>
      </c>
      <c r="L64" s="4" t="str">
        <f t="array" ref="L64">IF(ROWS(L$20:L64)&gt;$F$6,"",INDEX(B$2:B$1018,SMALL(IF(($B$2:$B$1018=$E$6)+($B$2:$B$1018=$E$7)+($B$2:$B$1018=$E$8)+($B$2:$B$1018=$E$9)+($B$2:$B$1018=$E$10)+($B$2:$B$1018=$E$11),ROW($C$2:$C$1018)-ROW($C$2)+1),ROWS(L$20:L64))))</f>
        <v>Galen  Barth</v>
      </c>
      <c r="M64" s="4">
        <f t="array" ref="M64">IF(ROWS(M$20:M64)&gt;$F$6,"",INDEX(C$2:C$1018,SMALL(IF(($B$2:$B$1018=$E$6)+($B$2:$B$1018=$E$7)+($B$2:$B$1018=$E$8)+($B$2:$B$1018=$E$9)+($B$2:$B$1018=$E$10)+($B$2:$B$1018=$E$11),ROW($C$2:$C$1018)-ROW($C$2)+1),ROWS(M$20:M64))))</f>
        <v>5</v>
      </c>
    </row>
    <row r="65" spans="1:13" x14ac:dyDescent="0.25">
      <c r="A65" s="3">
        <v>41598</v>
      </c>
      <c r="B65" s="2" t="s">
        <v>18</v>
      </c>
      <c r="C65" s="2">
        <v>26</v>
      </c>
      <c r="G65" s="7">
        <f t="array" ref="G65">IF(ROWS(K$20:K65)&gt;$F$6,"",INDEX(A$2:A$1018,SMALL(IF(ISNUMBER(MATCH($B$2:$B$1018,$E$6:$E$11,0)),ROW($C$2:$C$1018)-ROW($C$2)+1),ROWS(K$20:K65))))</f>
        <v>41389</v>
      </c>
      <c r="H65" s="4" t="str">
        <f t="array" ref="H65">IF(ROWS(L$20:L65)&gt;$F$6,"",INDEX(B$2:B$1018,SMALL(IF(ISNUMBER(MATCH($B$2:$B$1018,$E$6:$E$11,0)),ROW($C$2:$C$1018)-ROW($C$2)+1),ROWS(L$20:L65))))</f>
        <v>Mickey  Bolduc</v>
      </c>
      <c r="I65" s="4">
        <f t="array" ref="I65">IF(ROWS(M$20:M65)&gt;$F$6,"",INDEX(C$2:C$1018,SMALL(IF(ISNUMBER(MATCH($B$2:$B$1018,$E$6:$E$11,0)),ROW($C$2:$C$1018)-ROW($C$2)+1),ROWS(M$20:M65))))</f>
        <v>8</v>
      </c>
      <c r="K65" s="7">
        <f t="array" ref="K65">IF(ROWS(K$20:K65)&gt;$F$6,"",INDEX(A$2:A$1018,SMALL(IF(($B$2:$B$1018=$E$6)+($B$2:$B$1018=$E$7)+($B$2:$B$1018=$E$8)+($B$2:$B$1018=$E$9)+($B$2:$B$1018=$E$10)+($B$2:$B$1018=$E$11),ROW($C$2:$C$1018)-ROW($C$2)+1),ROWS(K$20:K65))))</f>
        <v>41389</v>
      </c>
      <c r="L65" s="4" t="str">
        <f t="array" ref="L65">IF(ROWS(L$20:L65)&gt;$F$6,"",INDEX(B$2:B$1018,SMALL(IF(($B$2:$B$1018=$E$6)+($B$2:$B$1018=$E$7)+($B$2:$B$1018=$E$8)+($B$2:$B$1018=$E$9)+($B$2:$B$1018=$E$10)+($B$2:$B$1018=$E$11),ROW($C$2:$C$1018)-ROW($C$2)+1),ROWS(L$20:L65))))</f>
        <v>Mickey  Bolduc</v>
      </c>
      <c r="M65" s="4">
        <f t="array" ref="M65">IF(ROWS(M$20:M65)&gt;$F$6,"",INDEX(C$2:C$1018,SMALL(IF(($B$2:$B$1018=$E$6)+($B$2:$B$1018=$E$7)+($B$2:$B$1018=$E$8)+($B$2:$B$1018=$E$9)+($B$2:$B$1018=$E$10)+($B$2:$B$1018=$E$11),ROW($C$2:$C$1018)-ROW($C$2)+1),ROWS(M$20:M65))))</f>
        <v>8</v>
      </c>
    </row>
    <row r="66" spans="1:13" x14ac:dyDescent="0.25">
      <c r="A66" s="3">
        <v>41437</v>
      </c>
      <c r="B66" s="2" t="s">
        <v>48</v>
      </c>
      <c r="C66" s="2">
        <v>7</v>
      </c>
      <c r="G66" s="7">
        <f t="array" ref="G66">IF(ROWS(K$20:K66)&gt;$F$6,"",INDEX(A$2:A$1018,SMALL(IF(ISNUMBER(MATCH($B$2:$B$1018,$E$6:$E$11,0)),ROW($C$2:$C$1018)-ROW($C$2)+1),ROWS(K$20:K66))))</f>
        <v>41462</v>
      </c>
      <c r="H66" s="4" t="str">
        <f t="array" ref="H66">IF(ROWS(L$20:L66)&gt;$F$6,"",INDEX(B$2:B$1018,SMALL(IF(ISNUMBER(MATCH($B$2:$B$1018,$E$6:$E$11,0)),ROW($C$2:$C$1018)-ROW($C$2)+1),ROWS(L$20:L66))))</f>
        <v>Galen  Barth</v>
      </c>
      <c r="I66" s="4">
        <f t="array" ref="I66">IF(ROWS(M$20:M66)&gt;$F$6,"",INDEX(C$2:C$1018,SMALL(IF(ISNUMBER(MATCH($B$2:$B$1018,$E$6:$E$11,0)),ROW($C$2:$C$1018)-ROW($C$2)+1),ROWS(M$20:M66))))</f>
        <v>22</v>
      </c>
      <c r="K66" s="7">
        <f t="array" ref="K66">IF(ROWS(K$20:K66)&gt;$F$6,"",INDEX(A$2:A$1018,SMALL(IF(($B$2:$B$1018=$E$6)+($B$2:$B$1018=$E$7)+($B$2:$B$1018=$E$8)+($B$2:$B$1018=$E$9)+($B$2:$B$1018=$E$10)+($B$2:$B$1018=$E$11),ROW($C$2:$C$1018)-ROW($C$2)+1),ROWS(K$20:K66))))</f>
        <v>41462</v>
      </c>
      <c r="L66" s="4" t="str">
        <f t="array" ref="L66">IF(ROWS(L$20:L66)&gt;$F$6,"",INDEX(B$2:B$1018,SMALL(IF(($B$2:$B$1018=$E$6)+($B$2:$B$1018=$E$7)+($B$2:$B$1018=$E$8)+($B$2:$B$1018=$E$9)+($B$2:$B$1018=$E$10)+($B$2:$B$1018=$E$11),ROW($C$2:$C$1018)-ROW($C$2)+1),ROWS(L$20:L66))))</f>
        <v>Galen  Barth</v>
      </c>
      <c r="M66" s="4">
        <f t="array" ref="M66">IF(ROWS(M$20:M66)&gt;$F$6,"",INDEX(C$2:C$1018,SMALL(IF(($B$2:$B$1018=$E$6)+($B$2:$B$1018=$E$7)+($B$2:$B$1018=$E$8)+($B$2:$B$1018=$E$9)+($B$2:$B$1018=$E$10)+($B$2:$B$1018=$E$11),ROW($C$2:$C$1018)-ROW($C$2)+1),ROWS(M$20:M66))))</f>
        <v>22</v>
      </c>
    </row>
    <row r="67" spans="1:13" x14ac:dyDescent="0.25">
      <c r="A67" s="3">
        <v>41473</v>
      </c>
      <c r="B67" s="2" t="s">
        <v>24</v>
      </c>
      <c r="C67" s="2">
        <v>21</v>
      </c>
      <c r="G67" s="7">
        <f t="array" ref="G67">IF(ROWS(K$20:K67)&gt;$F$6,"",INDEX(A$2:A$1018,SMALL(IF(ISNUMBER(MATCH($B$2:$B$1018,$E$6:$E$11,0)),ROW($C$2:$C$1018)-ROW($C$2)+1),ROWS(K$20:K67))))</f>
        <v>41928</v>
      </c>
      <c r="H67" s="4" t="str">
        <f t="array" ref="H67">IF(ROWS(L$20:L67)&gt;$F$6,"",INDEX(B$2:B$1018,SMALL(IF(ISNUMBER(MATCH($B$2:$B$1018,$E$6:$E$11,0)),ROW($C$2:$C$1018)-ROW($C$2)+1),ROWS(L$20:L67))))</f>
        <v>Mickey  Bolduc</v>
      </c>
      <c r="I67" s="4">
        <f t="array" ref="I67">IF(ROWS(M$20:M67)&gt;$F$6,"",INDEX(C$2:C$1018,SMALL(IF(ISNUMBER(MATCH($B$2:$B$1018,$E$6:$E$11,0)),ROW($C$2:$C$1018)-ROW($C$2)+1),ROWS(M$20:M67))))</f>
        <v>73</v>
      </c>
      <c r="K67" s="7">
        <f t="array" ref="K67">IF(ROWS(K$20:K67)&gt;$F$6,"",INDEX(A$2:A$1018,SMALL(IF(($B$2:$B$1018=$E$6)+($B$2:$B$1018=$E$7)+($B$2:$B$1018=$E$8)+($B$2:$B$1018=$E$9)+($B$2:$B$1018=$E$10)+($B$2:$B$1018=$E$11),ROW($C$2:$C$1018)-ROW($C$2)+1),ROWS(K$20:K67))))</f>
        <v>41928</v>
      </c>
      <c r="L67" s="4" t="str">
        <f t="array" ref="L67">IF(ROWS(L$20:L67)&gt;$F$6,"",INDEX(B$2:B$1018,SMALL(IF(($B$2:$B$1018=$E$6)+($B$2:$B$1018=$E$7)+($B$2:$B$1018=$E$8)+($B$2:$B$1018=$E$9)+($B$2:$B$1018=$E$10)+($B$2:$B$1018=$E$11),ROW($C$2:$C$1018)-ROW($C$2)+1),ROWS(L$20:L67))))</f>
        <v>Mickey  Bolduc</v>
      </c>
      <c r="M67" s="4">
        <f t="array" ref="M67">IF(ROWS(M$20:M67)&gt;$F$6,"",INDEX(C$2:C$1018,SMALL(IF(($B$2:$B$1018=$E$6)+($B$2:$B$1018=$E$7)+($B$2:$B$1018=$E$8)+($B$2:$B$1018=$E$9)+($B$2:$B$1018=$E$10)+($B$2:$B$1018=$E$11),ROW($C$2:$C$1018)-ROW($C$2)+1),ROWS(M$20:M67))))</f>
        <v>73</v>
      </c>
    </row>
    <row r="68" spans="1:13" x14ac:dyDescent="0.25">
      <c r="A68" s="3">
        <v>41839</v>
      </c>
      <c r="B68" s="2" t="s">
        <v>19</v>
      </c>
      <c r="C68" s="2">
        <v>25</v>
      </c>
      <c r="G68" s="7">
        <f t="array" ref="G68">IF(ROWS(K$20:K68)&gt;$F$6,"",INDEX(A$2:A$1018,SMALL(IF(ISNUMBER(MATCH($B$2:$B$1018,$E$6:$E$11,0)),ROW($C$2:$C$1018)-ROW($C$2)+1),ROWS(K$20:K68))))</f>
        <v>41808</v>
      </c>
      <c r="H68" s="4" t="str">
        <f t="array" ref="H68">IF(ROWS(L$20:L68)&gt;$F$6,"",INDEX(B$2:B$1018,SMALL(IF(ISNUMBER(MATCH($B$2:$B$1018,$E$6:$E$11,0)),ROW($C$2:$C$1018)-ROW($C$2)+1),ROWS(L$20:L68))))</f>
        <v>Kerrie  Worrell</v>
      </c>
      <c r="I68" s="4">
        <f t="array" ref="I68">IF(ROWS(M$20:M68)&gt;$F$6,"",INDEX(C$2:C$1018,SMALL(IF(ISNUMBER(MATCH($B$2:$B$1018,$E$6:$E$11,0)),ROW($C$2:$C$1018)-ROW($C$2)+1),ROWS(M$20:M68))))</f>
        <v>13</v>
      </c>
      <c r="K68" s="7">
        <f t="array" ref="K68">IF(ROWS(K$20:K68)&gt;$F$6,"",INDEX(A$2:A$1018,SMALL(IF(($B$2:$B$1018=$E$6)+($B$2:$B$1018=$E$7)+($B$2:$B$1018=$E$8)+($B$2:$B$1018=$E$9)+($B$2:$B$1018=$E$10)+($B$2:$B$1018=$E$11),ROW($C$2:$C$1018)-ROW($C$2)+1),ROWS(K$20:K68))))</f>
        <v>41808</v>
      </c>
      <c r="L68" s="4" t="str">
        <f t="array" ref="L68">IF(ROWS(L$20:L68)&gt;$F$6,"",INDEX(B$2:B$1018,SMALL(IF(($B$2:$B$1018=$E$6)+($B$2:$B$1018=$E$7)+($B$2:$B$1018=$E$8)+($B$2:$B$1018=$E$9)+($B$2:$B$1018=$E$10)+($B$2:$B$1018=$E$11),ROW($C$2:$C$1018)-ROW($C$2)+1),ROWS(L$20:L68))))</f>
        <v>Kerrie  Worrell</v>
      </c>
      <c r="M68" s="4">
        <f t="array" ref="M68">IF(ROWS(M$20:M68)&gt;$F$6,"",INDEX(C$2:C$1018,SMALL(IF(($B$2:$B$1018=$E$6)+($B$2:$B$1018=$E$7)+($B$2:$B$1018=$E$8)+($B$2:$B$1018=$E$9)+($B$2:$B$1018=$E$10)+($B$2:$B$1018=$E$11),ROW($C$2:$C$1018)-ROW($C$2)+1),ROWS(M$20:M68))))</f>
        <v>13</v>
      </c>
    </row>
    <row r="69" spans="1:13" x14ac:dyDescent="0.25">
      <c r="A69" s="3">
        <v>41312</v>
      </c>
      <c r="B69" s="2" t="s">
        <v>7</v>
      </c>
      <c r="C69" s="2">
        <v>19</v>
      </c>
      <c r="G69" s="7">
        <f t="array" ref="G69">IF(ROWS(K$20:K69)&gt;$F$6,"",INDEX(A$2:A$1018,SMALL(IF(ISNUMBER(MATCH($B$2:$B$1018,$E$6:$E$11,0)),ROW($C$2:$C$1018)-ROW($C$2)+1),ROWS(K$20:K69))))</f>
        <v>41712</v>
      </c>
      <c r="H69" s="4" t="str">
        <f t="array" ref="H69">IF(ROWS(L$20:L69)&gt;$F$6,"",INDEX(B$2:B$1018,SMALL(IF(ISNUMBER(MATCH($B$2:$B$1018,$E$6:$E$11,0)),ROW($C$2:$C$1018)-ROW($C$2)+1),ROWS(L$20:L69))))</f>
        <v>Iliana  Valerio</v>
      </c>
      <c r="I69" s="4">
        <f t="array" ref="I69">IF(ROWS(M$20:M69)&gt;$F$6,"",INDEX(C$2:C$1018,SMALL(IF(ISNUMBER(MATCH($B$2:$B$1018,$E$6:$E$11,0)),ROW($C$2:$C$1018)-ROW($C$2)+1),ROWS(M$20:M69))))</f>
        <v>39</v>
      </c>
      <c r="K69" s="7">
        <f t="array" ref="K69">IF(ROWS(K$20:K69)&gt;$F$6,"",INDEX(A$2:A$1018,SMALL(IF(($B$2:$B$1018=$E$6)+($B$2:$B$1018=$E$7)+($B$2:$B$1018=$E$8)+($B$2:$B$1018=$E$9)+($B$2:$B$1018=$E$10)+($B$2:$B$1018=$E$11),ROW($C$2:$C$1018)-ROW($C$2)+1),ROWS(K$20:K69))))</f>
        <v>41712</v>
      </c>
      <c r="L69" s="4" t="str">
        <f t="array" ref="L69">IF(ROWS(L$20:L69)&gt;$F$6,"",INDEX(B$2:B$1018,SMALL(IF(($B$2:$B$1018=$E$6)+($B$2:$B$1018=$E$7)+($B$2:$B$1018=$E$8)+($B$2:$B$1018=$E$9)+($B$2:$B$1018=$E$10)+($B$2:$B$1018=$E$11),ROW($C$2:$C$1018)-ROW($C$2)+1),ROWS(L$20:L69))))</f>
        <v>Iliana  Valerio</v>
      </c>
      <c r="M69" s="4">
        <f t="array" ref="M69">IF(ROWS(M$20:M69)&gt;$F$6,"",INDEX(C$2:C$1018,SMALL(IF(($B$2:$B$1018=$E$6)+($B$2:$B$1018=$E$7)+($B$2:$B$1018=$E$8)+($B$2:$B$1018=$E$9)+($B$2:$B$1018=$E$10)+($B$2:$B$1018=$E$11),ROW($C$2:$C$1018)-ROW($C$2)+1),ROWS(M$20:M69))))</f>
        <v>39</v>
      </c>
    </row>
    <row r="70" spans="1:13" x14ac:dyDescent="0.25">
      <c r="A70" s="3">
        <v>41947</v>
      </c>
      <c r="B70" s="2" t="s">
        <v>51</v>
      </c>
      <c r="C70" s="2">
        <v>7</v>
      </c>
      <c r="G70" s="7">
        <f t="array" ref="G70">IF(ROWS(K$20:K70)&gt;$F$6,"",INDEX(A$2:A$1018,SMALL(IF(ISNUMBER(MATCH($B$2:$B$1018,$E$6:$E$11,0)),ROW($C$2:$C$1018)-ROW($C$2)+1),ROWS(K$20:K70))))</f>
        <v>41329</v>
      </c>
      <c r="H70" s="4" t="str">
        <f t="array" ref="H70">IF(ROWS(L$20:L70)&gt;$F$6,"",INDEX(B$2:B$1018,SMALL(IF(ISNUMBER(MATCH($B$2:$B$1018,$E$6:$E$11,0)),ROW($C$2:$C$1018)-ROW($C$2)+1),ROWS(L$20:L70))))</f>
        <v>Galen  Barth</v>
      </c>
      <c r="I70" s="4">
        <f t="array" ref="I70">IF(ROWS(M$20:M70)&gt;$F$6,"",INDEX(C$2:C$1018,SMALL(IF(ISNUMBER(MATCH($B$2:$B$1018,$E$6:$E$11,0)),ROW($C$2:$C$1018)-ROW($C$2)+1),ROWS(M$20:M70))))</f>
        <v>31</v>
      </c>
      <c r="K70" s="7">
        <f t="array" ref="K70">IF(ROWS(K$20:K70)&gt;$F$6,"",INDEX(A$2:A$1018,SMALL(IF(($B$2:$B$1018=$E$6)+($B$2:$B$1018=$E$7)+($B$2:$B$1018=$E$8)+($B$2:$B$1018=$E$9)+($B$2:$B$1018=$E$10)+($B$2:$B$1018=$E$11),ROW($C$2:$C$1018)-ROW($C$2)+1),ROWS(K$20:K70))))</f>
        <v>41329</v>
      </c>
      <c r="L70" s="4" t="str">
        <f t="array" ref="L70">IF(ROWS(L$20:L70)&gt;$F$6,"",INDEX(B$2:B$1018,SMALL(IF(($B$2:$B$1018=$E$6)+($B$2:$B$1018=$E$7)+($B$2:$B$1018=$E$8)+($B$2:$B$1018=$E$9)+($B$2:$B$1018=$E$10)+($B$2:$B$1018=$E$11),ROW($C$2:$C$1018)-ROW($C$2)+1),ROWS(L$20:L70))))</f>
        <v>Galen  Barth</v>
      </c>
      <c r="M70" s="4">
        <f t="array" ref="M70">IF(ROWS(M$20:M70)&gt;$F$6,"",INDEX(C$2:C$1018,SMALL(IF(($B$2:$B$1018=$E$6)+($B$2:$B$1018=$E$7)+($B$2:$B$1018=$E$8)+($B$2:$B$1018=$E$9)+($B$2:$B$1018=$E$10)+($B$2:$B$1018=$E$11),ROW($C$2:$C$1018)-ROW($C$2)+1),ROWS(M$20:M70))))</f>
        <v>31</v>
      </c>
    </row>
    <row r="71" spans="1:13" x14ac:dyDescent="0.25">
      <c r="A71" s="3">
        <v>41523</v>
      </c>
      <c r="B71" s="2" t="s">
        <v>12</v>
      </c>
      <c r="C71" s="2">
        <v>2</v>
      </c>
      <c r="G71" s="7">
        <f t="array" ref="G71">IF(ROWS(K$20:K71)&gt;$F$6,"",INDEX(A$2:A$1018,SMALL(IF(ISNUMBER(MATCH($B$2:$B$1018,$E$6:$E$11,0)),ROW($C$2:$C$1018)-ROW($C$2)+1),ROWS(K$20:K71))))</f>
        <v>41694</v>
      </c>
      <c r="H71" s="4" t="str">
        <f t="array" ref="H71">IF(ROWS(L$20:L71)&gt;$F$6,"",INDEX(B$2:B$1018,SMALL(IF(ISNUMBER(MATCH($B$2:$B$1018,$E$6:$E$11,0)),ROW($C$2:$C$1018)-ROW($C$2)+1),ROWS(L$20:L71))))</f>
        <v>Jenni  Thorton</v>
      </c>
      <c r="I71" s="4">
        <f t="array" ref="I71">IF(ROWS(M$20:M71)&gt;$F$6,"",INDEX(C$2:C$1018,SMALL(IF(ISNUMBER(MATCH($B$2:$B$1018,$E$6:$E$11,0)),ROW($C$2:$C$1018)-ROW($C$2)+1),ROWS(M$20:M71))))</f>
        <v>26</v>
      </c>
      <c r="K71" s="7">
        <f t="array" ref="K71">IF(ROWS(K$20:K71)&gt;$F$6,"",INDEX(A$2:A$1018,SMALL(IF(($B$2:$B$1018=$E$6)+($B$2:$B$1018=$E$7)+($B$2:$B$1018=$E$8)+($B$2:$B$1018=$E$9)+($B$2:$B$1018=$E$10)+($B$2:$B$1018=$E$11),ROW($C$2:$C$1018)-ROW($C$2)+1),ROWS(K$20:K71))))</f>
        <v>41694</v>
      </c>
      <c r="L71" s="4" t="str">
        <f t="array" ref="L71">IF(ROWS(L$20:L71)&gt;$F$6,"",INDEX(B$2:B$1018,SMALL(IF(($B$2:$B$1018=$E$6)+($B$2:$B$1018=$E$7)+($B$2:$B$1018=$E$8)+($B$2:$B$1018=$E$9)+($B$2:$B$1018=$E$10)+($B$2:$B$1018=$E$11),ROW($C$2:$C$1018)-ROW($C$2)+1),ROWS(L$20:L71))))</f>
        <v>Jenni  Thorton</v>
      </c>
      <c r="M71" s="4">
        <f t="array" ref="M71">IF(ROWS(M$20:M71)&gt;$F$6,"",INDEX(C$2:C$1018,SMALL(IF(($B$2:$B$1018=$E$6)+($B$2:$B$1018=$E$7)+($B$2:$B$1018=$E$8)+($B$2:$B$1018=$E$9)+($B$2:$B$1018=$E$10)+($B$2:$B$1018=$E$11),ROW($C$2:$C$1018)-ROW($C$2)+1),ROWS(M$20:M71))))</f>
        <v>26</v>
      </c>
    </row>
    <row r="72" spans="1:13" x14ac:dyDescent="0.25">
      <c r="A72" s="3">
        <v>41557</v>
      </c>
      <c r="B72" s="2" t="s">
        <v>20</v>
      </c>
      <c r="C72" s="2">
        <v>31</v>
      </c>
      <c r="G72" s="7">
        <f t="array" ref="G72">IF(ROWS(K$20:K72)&gt;$F$6,"",INDEX(A$2:A$1018,SMALL(IF(ISNUMBER(MATCH($B$2:$B$1018,$E$6:$E$11,0)),ROW($C$2:$C$1018)-ROW($C$2)+1),ROWS(K$20:K72))))</f>
        <v>41765</v>
      </c>
      <c r="H72" s="4" t="str">
        <f t="array" ref="H72">IF(ROWS(L$20:L72)&gt;$F$6,"",INDEX(B$2:B$1018,SMALL(IF(ISNUMBER(MATCH($B$2:$B$1018,$E$6:$E$11,0)),ROW($C$2:$C$1018)-ROW($C$2)+1),ROWS(L$20:L72))))</f>
        <v>Galen  Barth</v>
      </c>
      <c r="I72" s="4">
        <f t="array" ref="I72">IF(ROWS(M$20:M72)&gt;$F$6,"",INDEX(C$2:C$1018,SMALL(IF(ISNUMBER(MATCH($B$2:$B$1018,$E$6:$E$11,0)),ROW($C$2:$C$1018)-ROW($C$2)+1),ROWS(M$20:M72))))</f>
        <v>15</v>
      </c>
      <c r="K72" s="7">
        <f t="array" ref="K72">IF(ROWS(K$20:K72)&gt;$F$6,"",INDEX(A$2:A$1018,SMALL(IF(($B$2:$B$1018=$E$6)+($B$2:$B$1018=$E$7)+($B$2:$B$1018=$E$8)+($B$2:$B$1018=$E$9)+($B$2:$B$1018=$E$10)+($B$2:$B$1018=$E$11),ROW($C$2:$C$1018)-ROW($C$2)+1),ROWS(K$20:K72))))</f>
        <v>41765</v>
      </c>
      <c r="L72" s="4" t="str">
        <f t="array" ref="L72">IF(ROWS(L$20:L72)&gt;$F$6,"",INDEX(B$2:B$1018,SMALL(IF(($B$2:$B$1018=$E$6)+($B$2:$B$1018=$E$7)+($B$2:$B$1018=$E$8)+($B$2:$B$1018=$E$9)+($B$2:$B$1018=$E$10)+($B$2:$B$1018=$E$11),ROW($C$2:$C$1018)-ROW($C$2)+1),ROWS(L$20:L72))))</f>
        <v>Galen  Barth</v>
      </c>
      <c r="M72" s="4">
        <f t="array" ref="M72">IF(ROWS(M$20:M72)&gt;$F$6,"",INDEX(C$2:C$1018,SMALL(IF(($B$2:$B$1018=$E$6)+($B$2:$B$1018=$E$7)+($B$2:$B$1018=$E$8)+($B$2:$B$1018=$E$9)+($B$2:$B$1018=$E$10)+($B$2:$B$1018=$E$11),ROW($C$2:$C$1018)-ROW($C$2)+1),ROWS(M$20:M72))))</f>
        <v>15</v>
      </c>
    </row>
    <row r="73" spans="1:13" x14ac:dyDescent="0.25">
      <c r="A73" s="3">
        <v>41295</v>
      </c>
      <c r="B73" s="2" t="s">
        <v>45</v>
      </c>
      <c r="C73" s="2">
        <v>37</v>
      </c>
      <c r="G73" s="7">
        <f t="array" ref="G73">IF(ROWS(K$20:K73)&gt;$F$6,"",INDEX(A$2:A$1018,SMALL(IF(ISNUMBER(MATCH($B$2:$B$1018,$E$6:$E$11,0)),ROW($C$2:$C$1018)-ROW($C$2)+1),ROWS(K$20:K73))))</f>
        <v>41600</v>
      </c>
      <c r="H73" s="4" t="str">
        <f t="array" ref="H73">IF(ROWS(L$20:L73)&gt;$F$6,"",INDEX(B$2:B$1018,SMALL(IF(ISNUMBER(MATCH($B$2:$B$1018,$E$6:$E$11,0)),ROW($C$2:$C$1018)-ROW($C$2)+1),ROWS(L$20:L73))))</f>
        <v>Mickey  Bolduc</v>
      </c>
      <c r="I73" s="4">
        <f t="array" ref="I73">IF(ROWS(M$20:M73)&gt;$F$6,"",INDEX(C$2:C$1018,SMALL(IF(ISNUMBER(MATCH($B$2:$B$1018,$E$6:$E$11,0)),ROW($C$2:$C$1018)-ROW($C$2)+1),ROWS(M$20:M73))))</f>
        <v>33</v>
      </c>
      <c r="K73" s="7">
        <f t="array" ref="K73">IF(ROWS(K$20:K73)&gt;$F$6,"",INDEX(A$2:A$1018,SMALL(IF(($B$2:$B$1018=$E$6)+($B$2:$B$1018=$E$7)+($B$2:$B$1018=$E$8)+($B$2:$B$1018=$E$9)+($B$2:$B$1018=$E$10)+($B$2:$B$1018=$E$11),ROW($C$2:$C$1018)-ROW($C$2)+1),ROWS(K$20:K73))))</f>
        <v>41600</v>
      </c>
      <c r="L73" s="4" t="str">
        <f t="array" ref="L73">IF(ROWS(L$20:L73)&gt;$F$6,"",INDEX(B$2:B$1018,SMALL(IF(($B$2:$B$1018=$E$6)+($B$2:$B$1018=$E$7)+($B$2:$B$1018=$E$8)+($B$2:$B$1018=$E$9)+($B$2:$B$1018=$E$10)+($B$2:$B$1018=$E$11),ROW($C$2:$C$1018)-ROW($C$2)+1),ROWS(L$20:L73))))</f>
        <v>Mickey  Bolduc</v>
      </c>
      <c r="M73" s="4">
        <f t="array" ref="M73">IF(ROWS(M$20:M73)&gt;$F$6,"",INDEX(C$2:C$1018,SMALL(IF(($B$2:$B$1018=$E$6)+($B$2:$B$1018=$E$7)+($B$2:$B$1018=$E$8)+($B$2:$B$1018=$E$9)+($B$2:$B$1018=$E$10)+($B$2:$B$1018=$E$11),ROW($C$2:$C$1018)-ROW($C$2)+1),ROWS(M$20:M73))))</f>
        <v>33</v>
      </c>
    </row>
    <row r="74" spans="1:13" x14ac:dyDescent="0.25">
      <c r="A74" s="3">
        <v>41560</v>
      </c>
      <c r="B74" s="2" t="s">
        <v>29</v>
      </c>
      <c r="C74" s="2">
        <v>18</v>
      </c>
      <c r="G74" s="7">
        <f t="array" ref="G74">IF(ROWS(K$20:K74)&gt;$F$6,"",INDEX(A$2:A$1018,SMALL(IF(ISNUMBER(MATCH($B$2:$B$1018,$E$6:$E$11,0)),ROW($C$2:$C$1018)-ROW($C$2)+1),ROWS(K$20:K74))))</f>
        <v>41666</v>
      </c>
      <c r="H74" s="4" t="str">
        <f t="array" ref="H74">IF(ROWS(L$20:L74)&gt;$F$6,"",INDEX(B$2:B$1018,SMALL(IF(ISNUMBER(MATCH($B$2:$B$1018,$E$6:$E$11,0)),ROW($C$2:$C$1018)-ROW($C$2)+1),ROWS(L$20:L74))))</f>
        <v>Mickey  Bolduc</v>
      </c>
      <c r="I74" s="4">
        <f t="array" ref="I74">IF(ROWS(M$20:M74)&gt;$F$6,"",INDEX(C$2:C$1018,SMALL(IF(ISNUMBER(MATCH($B$2:$B$1018,$E$6:$E$11,0)),ROW($C$2:$C$1018)-ROW($C$2)+1),ROWS(M$20:M74))))</f>
        <v>7</v>
      </c>
      <c r="K74" s="7">
        <f t="array" ref="K74">IF(ROWS(K$20:K74)&gt;$F$6,"",INDEX(A$2:A$1018,SMALL(IF(($B$2:$B$1018=$E$6)+($B$2:$B$1018=$E$7)+($B$2:$B$1018=$E$8)+($B$2:$B$1018=$E$9)+($B$2:$B$1018=$E$10)+($B$2:$B$1018=$E$11),ROW($C$2:$C$1018)-ROW($C$2)+1),ROWS(K$20:K74))))</f>
        <v>41666</v>
      </c>
      <c r="L74" s="4" t="str">
        <f t="array" ref="L74">IF(ROWS(L$20:L74)&gt;$F$6,"",INDEX(B$2:B$1018,SMALL(IF(($B$2:$B$1018=$E$6)+($B$2:$B$1018=$E$7)+($B$2:$B$1018=$E$8)+($B$2:$B$1018=$E$9)+($B$2:$B$1018=$E$10)+($B$2:$B$1018=$E$11),ROW($C$2:$C$1018)-ROW($C$2)+1),ROWS(L$20:L74))))</f>
        <v>Mickey  Bolduc</v>
      </c>
      <c r="M74" s="4">
        <f t="array" ref="M74">IF(ROWS(M$20:M74)&gt;$F$6,"",INDEX(C$2:C$1018,SMALL(IF(($B$2:$B$1018=$E$6)+($B$2:$B$1018=$E$7)+($B$2:$B$1018=$E$8)+($B$2:$B$1018=$E$9)+($B$2:$B$1018=$E$10)+($B$2:$B$1018=$E$11),ROW($C$2:$C$1018)-ROW($C$2)+1),ROWS(M$20:M74))))</f>
        <v>7</v>
      </c>
    </row>
    <row r="75" spans="1:13" x14ac:dyDescent="0.25">
      <c r="A75" s="3">
        <v>41929</v>
      </c>
      <c r="B75" s="2" t="s">
        <v>22</v>
      </c>
      <c r="C75" s="2">
        <v>16</v>
      </c>
      <c r="G75" s="7">
        <f t="array" ref="G75">IF(ROWS(K$20:K75)&gt;$F$6,"",INDEX(A$2:A$1018,SMALL(IF(ISNUMBER(MATCH($B$2:$B$1018,$E$6:$E$11,0)),ROW($C$2:$C$1018)-ROW($C$2)+1),ROWS(K$20:K75))))</f>
        <v>41925</v>
      </c>
      <c r="H75" s="4" t="str">
        <f t="array" ref="H75">IF(ROWS(L$20:L75)&gt;$F$6,"",INDEX(B$2:B$1018,SMALL(IF(ISNUMBER(MATCH($B$2:$B$1018,$E$6:$E$11,0)),ROW($C$2:$C$1018)-ROW($C$2)+1),ROWS(L$20:L75))))</f>
        <v>Iliana  Valerio</v>
      </c>
      <c r="I75" s="4">
        <f t="array" ref="I75">IF(ROWS(M$20:M75)&gt;$F$6,"",INDEX(C$2:C$1018,SMALL(IF(ISNUMBER(MATCH($B$2:$B$1018,$E$6:$E$11,0)),ROW($C$2:$C$1018)-ROW($C$2)+1),ROWS(M$20:M75))))</f>
        <v>17</v>
      </c>
      <c r="K75" s="7">
        <f t="array" ref="K75">IF(ROWS(K$20:K75)&gt;$F$6,"",INDEX(A$2:A$1018,SMALL(IF(($B$2:$B$1018=$E$6)+($B$2:$B$1018=$E$7)+($B$2:$B$1018=$E$8)+($B$2:$B$1018=$E$9)+($B$2:$B$1018=$E$10)+($B$2:$B$1018=$E$11),ROW($C$2:$C$1018)-ROW($C$2)+1),ROWS(K$20:K75))))</f>
        <v>41925</v>
      </c>
      <c r="L75" s="4" t="str">
        <f t="array" ref="L75">IF(ROWS(L$20:L75)&gt;$F$6,"",INDEX(B$2:B$1018,SMALL(IF(($B$2:$B$1018=$E$6)+($B$2:$B$1018=$E$7)+($B$2:$B$1018=$E$8)+($B$2:$B$1018=$E$9)+($B$2:$B$1018=$E$10)+($B$2:$B$1018=$E$11),ROW($C$2:$C$1018)-ROW($C$2)+1),ROWS(L$20:L75))))</f>
        <v>Iliana  Valerio</v>
      </c>
      <c r="M75" s="4">
        <f t="array" ref="M75">IF(ROWS(M$20:M75)&gt;$F$6,"",INDEX(C$2:C$1018,SMALL(IF(($B$2:$B$1018=$E$6)+($B$2:$B$1018=$E$7)+($B$2:$B$1018=$E$8)+($B$2:$B$1018=$E$9)+($B$2:$B$1018=$E$10)+($B$2:$B$1018=$E$11),ROW($C$2:$C$1018)-ROW($C$2)+1),ROWS(M$20:M75))))</f>
        <v>17</v>
      </c>
    </row>
    <row r="76" spans="1:13" x14ac:dyDescent="0.25">
      <c r="A76" s="3">
        <v>41948</v>
      </c>
      <c r="B76" s="2" t="s">
        <v>26</v>
      </c>
      <c r="C76" s="2">
        <v>8</v>
      </c>
      <c r="G76" s="7">
        <f t="array" ref="G76">IF(ROWS(K$20:K76)&gt;$F$6,"",INDEX(A$2:A$1018,SMALL(IF(ISNUMBER(MATCH($B$2:$B$1018,$E$6:$E$11,0)),ROW($C$2:$C$1018)-ROW($C$2)+1),ROWS(K$20:K76))))</f>
        <v>41296</v>
      </c>
      <c r="H76" s="4" t="str">
        <f t="array" ref="H76">IF(ROWS(L$20:L76)&gt;$F$6,"",INDEX(B$2:B$1018,SMALL(IF(ISNUMBER(MATCH($B$2:$B$1018,$E$6:$E$11,0)),ROW($C$2:$C$1018)-ROW($C$2)+1),ROWS(L$20:L76))))</f>
        <v>Rosamond  Allard</v>
      </c>
      <c r="I76" s="4">
        <f t="array" ref="I76">IF(ROWS(M$20:M76)&gt;$F$6,"",INDEX(C$2:C$1018,SMALL(IF(ISNUMBER(MATCH($B$2:$B$1018,$E$6:$E$11,0)),ROW($C$2:$C$1018)-ROW($C$2)+1),ROWS(M$20:M76))))</f>
        <v>8</v>
      </c>
      <c r="K76" s="7">
        <f t="array" ref="K76">IF(ROWS(K$20:K76)&gt;$F$6,"",INDEX(A$2:A$1018,SMALL(IF(($B$2:$B$1018=$E$6)+($B$2:$B$1018=$E$7)+($B$2:$B$1018=$E$8)+($B$2:$B$1018=$E$9)+($B$2:$B$1018=$E$10)+($B$2:$B$1018=$E$11),ROW($C$2:$C$1018)-ROW($C$2)+1),ROWS(K$20:K76))))</f>
        <v>41296</v>
      </c>
      <c r="L76" s="4" t="str">
        <f t="array" ref="L76">IF(ROWS(L$20:L76)&gt;$F$6,"",INDEX(B$2:B$1018,SMALL(IF(($B$2:$B$1018=$E$6)+($B$2:$B$1018=$E$7)+($B$2:$B$1018=$E$8)+($B$2:$B$1018=$E$9)+($B$2:$B$1018=$E$10)+($B$2:$B$1018=$E$11),ROW($C$2:$C$1018)-ROW($C$2)+1),ROWS(L$20:L76))))</f>
        <v>Rosamond  Allard</v>
      </c>
      <c r="M76" s="4">
        <f t="array" ref="M76">IF(ROWS(M$20:M76)&gt;$F$6,"",INDEX(C$2:C$1018,SMALL(IF(($B$2:$B$1018=$E$6)+($B$2:$B$1018=$E$7)+($B$2:$B$1018=$E$8)+($B$2:$B$1018=$E$9)+($B$2:$B$1018=$E$10)+($B$2:$B$1018=$E$11),ROW($C$2:$C$1018)-ROW($C$2)+1),ROWS(M$20:M76))))</f>
        <v>8</v>
      </c>
    </row>
    <row r="77" spans="1:13" x14ac:dyDescent="0.25">
      <c r="A77" s="3">
        <v>41320</v>
      </c>
      <c r="B77" s="2" t="s">
        <v>34</v>
      </c>
      <c r="C77" s="2">
        <v>10</v>
      </c>
      <c r="G77" s="7">
        <f t="array" ref="G77">IF(ROWS(K$20:K77)&gt;$F$6,"",INDEX(A$2:A$1018,SMALL(IF(ISNUMBER(MATCH($B$2:$B$1018,$E$6:$E$11,0)),ROW($C$2:$C$1018)-ROW($C$2)+1),ROWS(K$20:K77))))</f>
        <v>41839</v>
      </c>
      <c r="H77" s="4" t="str">
        <f t="array" ref="H77">IF(ROWS(L$20:L77)&gt;$F$6,"",INDEX(B$2:B$1018,SMALL(IF(ISNUMBER(MATCH($B$2:$B$1018,$E$6:$E$11,0)),ROW($C$2:$C$1018)-ROW($C$2)+1),ROWS(L$20:L77))))</f>
        <v>Jenni  Thorton</v>
      </c>
      <c r="I77" s="4">
        <f t="array" ref="I77">IF(ROWS(M$20:M77)&gt;$F$6,"",INDEX(C$2:C$1018,SMALL(IF(ISNUMBER(MATCH($B$2:$B$1018,$E$6:$E$11,0)),ROW($C$2:$C$1018)-ROW($C$2)+1),ROWS(M$20:M77))))</f>
        <v>30</v>
      </c>
      <c r="K77" s="7">
        <f t="array" ref="K77">IF(ROWS(K$20:K77)&gt;$F$6,"",INDEX(A$2:A$1018,SMALL(IF(($B$2:$B$1018=$E$6)+($B$2:$B$1018=$E$7)+($B$2:$B$1018=$E$8)+($B$2:$B$1018=$E$9)+($B$2:$B$1018=$E$10)+($B$2:$B$1018=$E$11),ROW($C$2:$C$1018)-ROW($C$2)+1),ROWS(K$20:K77))))</f>
        <v>41839</v>
      </c>
      <c r="L77" s="4" t="str">
        <f t="array" ref="L77">IF(ROWS(L$20:L77)&gt;$F$6,"",INDEX(B$2:B$1018,SMALL(IF(($B$2:$B$1018=$E$6)+($B$2:$B$1018=$E$7)+($B$2:$B$1018=$E$8)+($B$2:$B$1018=$E$9)+($B$2:$B$1018=$E$10)+($B$2:$B$1018=$E$11),ROW($C$2:$C$1018)-ROW($C$2)+1),ROWS(L$20:L77))))</f>
        <v>Jenni  Thorton</v>
      </c>
      <c r="M77" s="4">
        <f t="array" ref="M77">IF(ROWS(M$20:M77)&gt;$F$6,"",INDEX(C$2:C$1018,SMALL(IF(($B$2:$B$1018=$E$6)+($B$2:$B$1018=$E$7)+($B$2:$B$1018=$E$8)+($B$2:$B$1018=$E$9)+($B$2:$B$1018=$E$10)+($B$2:$B$1018=$E$11),ROW($C$2:$C$1018)-ROW($C$2)+1),ROWS(M$20:M77))))</f>
        <v>30</v>
      </c>
    </row>
    <row r="78" spans="1:13" x14ac:dyDescent="0.25">
      <c r="A78" s="3">
        <v>41691</v>
      </c>
      <c r="B78" s="2" t="s">
        <v>24</v>
      </c>
      <c r="C78" s="2">
        <v>11</v>
      </c>
      <c r="G78" s="7">
        <f t="array" ref="G78">IF(ROWS(K$20:K78)&gt;$F$6,"",INDEX(A$2:A$1018,SMALL(IF(ISNUMBER(MATCH($B$2:$B$1018,$E$6:$E$11,0)),ROW($C$2:$C$1018)-ROW($C$2)+1),ROWS(K$20:K78))))</f>
        <v>41514</v>
      </c>
      <c r="H78" s="4" t="str">
        <f t="array" ref="H78">IF(ROWS(L$20:L78)&gt;$F$6,"",INDEX(B$2:B$1018,SMALL(IF(ISNUMBER(MATCH($B$2:$B$1018,$E$6:$E$11,0)),ROW($C$2:$C$1018)-ROW($C$2)+1),ROWS(L$20:L78))))</f>
        <v>Galen  Barth</v>
      </c>
      <c r="I78" s="4">
        <f t="array" ref="I78">IF(ROWS(M$20:M78)&gt;$F$6,"",INDEX(C$2:C$1018,SMALL(IF(ISNUMBER(MATCH($B$2:$B$1018,$E$6:$E$11,0)),ROW($C$2:$C$1018)-ROW($C$2)+1),ROWS(M$20:M78))))</f>
        <v>26</v>
      </c>
      <c r="K78" s="7">
        <f t="array" ref="K78">IF(ROWS(K$20:K78)&gt;$F$6,"",INDEX(A$2:A$1018,SMALL(IF(($B$2:$B$1018=$E$6)+($B$2:$B$1018=$E$7)+($B$2:$B$1018=$E$8)+($B$2:$B$1018=$E$9)+($B$2:$B$1018=$E$10)+($B$2:$B$1018=$E$11),ROW($C$2:$C$1018)-ROW($C$2)+1),ROWS(K$20:K78))))</f>
        <v>41514</v>
      </c>
      <c r="L78" s="4" t="str">
        <f t="array" ref="L78">IF(ROWS(L$20:L78)&gt;$F$6,"",INDEX(B$2:B$1018,SMALL(IF(($B$2:$B$1018=$E$6)+($B$2:$B$1018=$E$7)+($B$2:$B$1018=$E$8)+($B$2:$B$1018=$E$9)+($B$2:$B$1018=$E$10)+($B$2:$B$1018=$E$11),ROW($C$2:$C$1018)-ROW($C$2)+1),ROWS(L$20:L78))))</f>
        <v>Galen  Barth</v>
      </c>
      <c r="M78" s="4">
        <f t="array" ref="M78">IF(ROWS(M$20:M78)&gt;$F$6,"",INDEX(C$2:C$1018,SMALL(IF(($B$2:$B$1018=$E$6)+($B$2:$B$1018=$E$7)+($B$2:$B$1018=$E$8)+($B$2:$B$1018=$E$9)+($B$2:$B$1018=$E$10)+($B$2:$B$1018=$E$11),ROW($C$2:$C$1018)-ROW($C$2)+1),ROWS(M$20:M78))))</f>
        <v>26</v>
      </c>
    </row>
    <row r="79" spans="1:13" x14ac:dyDescent="0.25">
      <c r="A79" s="3">
        <v>41458</v>
      </c>
      <c r="B79" s="2" t="s">
        <v>27</v>
      </c>
      <c r="C79" s="2">
        <v>21</v>
      </c>
      <c r="G79" s="7">
        <f t="array" ref="G79">IF(ROWS(K$20:K79)&gt;$F$6,"",INDEX(A$2:A$1018,SMALL(IF(ISNUMBER(MATCH($B$2:$B$1018,$E$6:$E$11,0)),ROW($C$2:$C$1018)-ROW($C$2)+1),ROWS(K$20:K79))))</f>
        <v>41757</v>
      </c>
      <c r="H79" s="4" t="str">
        <f t="array" ref="H79">IF(ROWS(L$20:L79)&gt;$F$6,"",INDEX(B$2:B$1018,SMALL(IF(ISNUMBER(MATCH($B$2:$B$1018,$E$6:$E$11,0)),ROW($C$2:$C$1018)-ROW($C$2)+1),ROWS(L$20:L79))))</f>
        <v>Kerrie  Worrell</v>
      </c>
      <c r="I79" s="4">
        <f t="array" ref="I79">IF(ROWS(M$20:M79)&gt;$F$6,"",INDEX(C$2:C$1018,SMALL(IF(ISNUMBER(MATCH($B$2:$B$1018,$E$6:$E$11,0)),ROW($C$2:$C$1018)-ROW($C$2)+1),ROWS(M$20:M79))))</f>
        <v>48</v>
      </c>
      <c r="K79" s="7">
        <f t="array" ref="K79">IF(ROWS(K$20:K79)&gt;$F$6,"",INDEX(A$2:A$1018,SMALL(IF(($B$2:$B$1018=$E$6)+($B$2:$B$1018=$E$7)+($B$2:$B$1018=$E$8)+($B$2:$B$1018=$E$9)+($B$2:$B$1018=$E$10)+($B$2:$B$1018=$E$11),ROW($C$2:$C$1018)-ROW($C$2)+1),ROWS(K$20:K79))))</f>
        <v>41757</v>
      </c>
      <c r="L79" s="4" t="str">
        <f t="array" ref="L79">IF(ROWS(L$20:L79)&gt;$F$6,"",INDEX(B$2:B$1018,SMALL(IF(($B$2:$B$1018=$E$6)+($B$2:$B$1018=$E$7)+($B$2:$B$1018=$E$8)+($B$2:$B$1018=$E$9)+($B$2:$B$1018=$E$10)+($B$2:$B$1018=$E$11),ROW($C$2:$C$1018)-ROW($C$2)+1),ROWS(L$20:L79))))</f>
        <v>Kerrie  Worrell</v>
      </c>
      <c r="M79" s="4">
        <f t="array" ref="M79">IF(ROWS(M$20:M79)&gt;$F$6,"",INDEX(C$2:C$1018,SMALL(IF(($B$2:$B$1018=$E$6)+($B$2:$B$1018=$E$7)+($B$2:$B$1018=$E$8)+($B$2:$B$1018=$E$9)+($B$2:$B$1018=$E$10)+($B$2:$B$1018=$E$11),ROW($C$2:$C$1018)-ROW($C$2)+1),ROWS(M$20:M79))))</f>
        <v>48</v>
      </c>
    </row>
    <row r="80" spans="1:13" x14ac:dyDescent="0.25">
      <c r="A80" s="3">
        <v>41577</v>
      </c>
      <c r="B80" s="2" t="s">
        <v>47</v>
      </c>
      <c r="C80" s="2">
        <v>21</v>
      </c>
      <c r="G80" s="7">
        <f t="array" ref="G80">IF(ROWS(K$20:K80)&gt;$F$6,"",INDEX(A$2:A$1018,SMALL(IF(ISNUMBER(MATCH($B$2:$B$1018,$E$6:$E$11,0)),ROW($C$2:$C$1018)-ROW($C$2)+1),ROWS(K$20:K80))))</f>
        <v>41702</v>
      </c>
      <c r="H80" s="4" t="str">
        <f t="array" ref="H80">IF(ROWS(L$20:L80)&gt;$F$6,"",INDEX(B$2:B$1018,SMALL(IF(ISNUMBER(MATCH($B$2:$B$1018,$E$6:$E$11,0)),ROW($C$2:$C$1018)-ROW($C$2)+1),ROWS(L$20:L80))))</f>
        <v>Rosamond  Allard</v>
      </c>
      <c r="I80" s="4">
        <f t="array" ref="I80">IF(ROWS(M$20:M80)&gt;$F$6,"",INDEX(C$2:C$1018,SMALL(IF(ISNUMBER(MATCH($B$2:$B$1018,$E$6:$E$11,0)),ROW($C$2:$C$1018)-ROW($C$2)+1),ROWS(M$20:M80))))</f>
        <v>9</v>
      </c>
      <c r="K80" s="7">
        <f t="array" ref="K80">IF(ROWS(K$20:K80)&gt;$F$6,"",INDEX(A$2:A$1018,SMALL(IF(($B$2:$B$1018=$E$6)+($B$2:$B$1018=$E$7)+($B$2:$B$1018=$E$8)+($B$2:$B$1018=$E$9)+($B$2:$B$1018=$E$10)+($B$2:$B$1018=$E$11),ROW($C$2:$C$1018)-ROW($C$2)+1),ROWS(K$20:K80))))</f>
        <v>41702</v>
      </c>
      <c r="L80" s="4" t="str">
        <f t="array" ref="L80">IF(ROWS(L$20:L80)&gt;$F$6,"",INDEX(B$2:B$1018,SMALL(IF(($B$2:$B$1018=$E$6)+($B$2:$B$1018=$E$7)+($B$2:$B$1018=$E$8)+($B$2:$B$1018=$E$9)+($B$2:$B$1018=$E$10)+($B$2:$B$1018=$E$11),ROW($C$2:$C$1018)-ROW($C$2)+1),ROWS(L$20:L80))))</f>
        <v>Rosamond  Allard</v>
      </c>
      <c r="M80" s="4">
        <f t="array" ref="M80">IF(ROWS(M$20:M80)&gt;$F$6,"",INDEX(C$2:C$1018,SMALL(IF(($B$2:$B$1018=$E$6)+($B$2:$B$1018=$E$7)+($B$2:$B$1018=$E$8)+($B$2:$B$1018=$E$9)+($B$2:$B$1018=$E$10)+($B$2:$B$1018=$E$11),ROW($C$2:$C$1018)-ROW($C$2)+1),ROWS(M$20:M80))))</f>
        <v>9</v>
      </c>
    </row>
    <row r="81" spans="1:13" x14ac:dyDescent="0.25">
      <c r="A81" s="3">
        <v>41537</v>
      </c>
      <c r="B81" s="2" t="s">
        <v>47</v>
      </c>
      <c r="C81" s="2">
        <v>6</v>
      </c>
      <c r="G81" s="7">
        <f t="array" ref="G81">IF(ROWS(K$20:K81)&gt;$F$6,"",INDEX(A$2:A$1018,SMALL(IF(ISNUMBER(MATCH($B$2:$B$1018,$E$6:$E$11,0)),ROW($C$2:$C$1018)-ROW($C$2)+1),ROWS(K$20:K81))))</f>
        <v>41746</v>
      </c>
      <c r="H81" s="4" t="str">
        <f t="array" ref="H81">IF(ROWS(L$20:L81)&gt;$F$6,"",INDEX(B$2:B$1018,SMALL(IF(ISNUMBER(MATCH($B$2:$B$1018,$E$6:$E$11,0)),ROW($C$2:$C$1018)-ROW($C$2)+1),ROWS(L$20:L81))))</f>
        <v>Iliana  Valerio</v>
      </c>
      <c r="I81" s="4">
        <f t="array" ref="I81">IF(ROWS(M$20:M81)&gt;$F$6,"",INDEX(C$2:C$1018,SMALL(IF(ISNUMBER(MATCH($B$2:$B$1018,$E$6:$E$11,0)),ROW($C$2:$C$1018)-ROW($C$2)+1),ROWS(M$20:M81))))</f>
        <v>5</v>
      </c>
      <c r="K81" s="7">
        <f t="array" ref="K81">IF(ROWS(K$20:K81)&gt;$F$6,"",INDEX(A$2:A$1018,SMALL(IF(($B$2:$B$1018=$E$6)+($B$2:$B$1018=$E$7)+($B$2:$B$1018=$E$8)+($B$2:$B$1018=$E$9)+($B$2:$B$1018=$E$10)+($B$2:$B$1018=$E$11),ROW($C$2:$C$1018)-ROW($C$2)+1),ROWS(K$20:K81))))</f>
        <v>41746</v>
      </c>
      <c r="L81" s="4" t="str">
        <f t="array" ref="L81">IF(ROWS(L$20:L81)&gt;$F$6,"",INDEX(B$2:B$1018,SMALL(IF(($B$2:$B$1018=$E$6)+($B$2:$B$1018=$E$7)+($B$2:$B$1018=$E$8)+($B$2:$B$1018=$E$9)+($B$2:$B$1018=$E$10)+($B$2:$B$1018=$E$11),ROW($C$2:$C$1018)-ROW($C$2)+1),ROWS(L$20:L81))))</f>
        <v>Iliana  Valerio</v>
      </c>
      <c r="M81" s="4">
        <f t="array" ref="M81">IF(ROWS(M$20:M81)&gt;$F$6,"",INDEX(C$2:C$1018,SMALL(IF(($B$2:$B$1018=$E$6)+($B$2:$B$1018=$E$7)+($B$2:$B$1018=$E$8)+($B$2:$B$1018=$E$9)+($B$2:$B$1018=$E$10)+($B$2:$B$1018=$E$11),ROW($C$2:$C$1018)-ROW($C$2)+1),ROWS(M$20:M81))))</f>
        <v>5</v>
      </c>
    </row>
    <row r="82" spans="1:13" x14ac:dyDescent="0.25">
      <c r="A82" s="3">
        <v>41643</v>
      </c>
      <c r="B82" s="2" t="s">
        <v>22</v>
      </c>
      <c r="C82" s="2">
        <v>5</v>
      </c>
      <c r="G82" s="7">
        <f t="array" ref="G82">IF(ROWS(K$20:K82)&gt;$F$6,"",INDEX(A$2:A$1018,SMALL(IF(ISNUMBER(MATCH($B$2:$B$1018,$E$6:$E$11,0)),ROW($C$2:$C$1018)-ROW($C$2)+1),ROWS(K$20:K82))))</f>
        <v>41857</v>
      </c>
      <c r="H82" s="4" t="str">
        <f t="array" ref="H82">IF(ROWS(L$20:L82)&gt;$F$6,"",INDEX(B$2:B$1018,SMALL(IF(ISNUMBER(MATCH($B$2:$B$1018,$E$6:$E$11,0)),ROW($C$2:$C$1018)-ROW($C$2)+1),ROWS(L$20:L82))))</f>
        <v>Jenni  Thorton</v>
      </c>
      <c r="I82" s="4">
        <f t="array" ref="I82">IF(ROWS(M$20:M82)&gt;$F$6,"",INDEX(C$2:C$1018,SMALL(IF(ISNUMBER(MATCH($B$2:$B$1018,$E$6:$E$11,0)),ROW($C$2:$C$1018)-ROW($C$2)+1),ROWS(M$20:M82))))</f>
        <v>49</v>
      </c>
      <c r="K82" s="7">
        <f t="array" ref="K82">IF(ROWS(K$20:K82)&gt;$F$6,"",INDEX(A$2:A$1018,SMALL(IF(($B$2:$B$1018=$E$6)+($B$2:$B$1018=$E$7)+($B$2:$B$1018=$E$8)+($B$2:$B$1018=$E$9)+($B$2:$B$1018=$E$10)+($B$2:$B$1018=$E$11),ROW($C$2:$C$1018)-ROW($C$2)+1),ROWS(K$20:K82))))</f>
        <v>41857</v>
      </c>
      <c r="L82" s="4" t="str">
        <f t="array" ref="L82">IF(ROWS(L$20:L82)&gt;$F$6,"",INDEX(B$2:B$1018,SMALL(IF(($B$2:$B$1018=$E$6)+($B$2:$B$1018=$E$7)+($B$2:$B$1018=$E$8)+($B$2:$B$1018=$E$9)+($B$2:$B$1018=$E$10)+($B$2:$B$1018=$E$11),ROW($C$2:$C$1018)-ROW($C$2)+1),ROWS(L$20:L82))))</f>
        <v>Jenni  Thorton</v>
      </c>
      <c r="M82" s="4">
        <f t="array" ref="M82">IF(ROWS(M$20:M82)&gt;$F$6,"",INDEX(C$2:C$1018,SMALL(IF(($B$2:$B$1018=$E$6)+($B$2:$B$1018=$E$7)+($B$2:$B$1018=$E$8)+($B$2:$B$1018=$E$9)+($B$2:$B$1018=$E$10)+($B$2:$B$1018=$E$11),ROW($C$2:$C$1018)-ROW($C$2)+1),ROWS(M$20:M82))))</f>
        <v>49</v>
      </c>
    </row>
    <row r="83" spans="1:13" x14ac:dyDescent="0.25">
      <c r="A83" s="3">
        <v>41767</v>
      </c>
      <c r="B83" s="2" t="s">
        <v>19</v>
      </c>
      <c r="C83" s="2">
        <v>32</v>
      </c>
      <c r="G83" s="7">
        <f t="array" ref="G83">IF(ROWS(K$20:K83)&gt;$F$6,"",INDEX(A$2:A$1018,SMALL(IF(ISNUMBER(MATCH($B$2:$B$1018,$E$6:$E$11,0)),ROW($C$2:$C$1018)-ROW($C$2)+1),ROWS(K$20:K83))))</f>
        <v>41606</v>
      </c>
      <c r="H83" s="4" t="str">
        <f t="array" ref="H83">IF(ROWS(L$20:L83)&gt;$F$6,"",INDEX(B$2:B$1018,SMALL(IF(ISNUMBER(MATCH($B$2:$B$1018,$E$6:$E$11,0)),ROW($C$2:$C$1018)-ROW($C$2)+1),ROWS(L$20:L83))))</f>
        <v>Kerrie  Worrell</v>
      </c>
      <c r="I83" s="4">
        <f t="array" ref="I83">IF(ROWS(M$20:M83)&gt;$F$6,"",INDEX(C$2:C$1018,SMALL(IF(ISNUMBER(MATCH($B$2:$B$1018,$E$6:$E$11,0)),ROW($C$2:$C$1018)-ROW($C$2)+1),ROWS(M$20:M83))))</f>
        <v>31</v>
      </c>
      <c r="K83" s="7">
        <f t="array" ref="K83">IF(ROWS(K$20:K83)&gt;$F$6,"",INDEX(A$2:A$1018,SMALL(IF(($B$2:$B$1018=$E$6)+($B$2:$B$1018=$E$7)+($B$2:$B$1018=$E$8)+($B$2:$B$1018=$E$9)+($B$2:$B$1018=$E$10)+($B$2:$B$1018=$E$11),ROW($C$2:$C$1018)-ROW($C$2)+1),ROWS(K$20:K83))))</f>
        <v>41606</v>
      </c>
      <c r="L83" s="4" t="str">
        <f t="array" ref="L83">IF(ROWS(L$20:L83)&gt;$F$6,"",INDEX(B$2:B$1018,SMALL(IF(($B$2:$B$1018=$E$6)+($B$2:$B$1018=$E$7)+($B$2:$B$1018=$E$8)+($B$2:$B$1018=$E$9)+($B$2:$B$1018=$E$10)+($B$2:$B$1018=$E$11),ROW($C$2:$C$1018)-ROW($C$2)+1),ROWS(L$20:L83))))</f>
        <v>Kerrie  Worrell</v>
      </c>
      <c r="M83" s="4">
        <f t="array" ref="M83">IF(ROWS(M$20:M83)&gt;$F$6,"",INDEX(C$2:C$1018,SMALL(IF(($B$2:$B$1018=$E$6)+($B$2:$B$1018=$E$7)+($B$2:$B$1018=$E$8)+($B$2:$B$1018=$E$9)+($B$2:$B$1018=$E$10)+($B$2:$B$1018=$E$11),ROW($C$2:$C$1018)-ROW($C$2)+1),ROWS(M$20:M83))))</f>
        <v>31</v>
      </c>
    </row>
    <row r="84" spans="1:13" x14ac:dyDescent="0.25">
      <c r="A84" s="3">
        <v>41633</v>
      </c>
      <c r="B84" s="2" t="s">
        <v>43</v>
      </c>
      <c r="C84" s="2">
        <v>2</v>
      </c>
      <c r="G84" s="7">
        <f t="array" ref="G84">IF(ROWS(K$20:K84)&gt;$F$6,"",INDEX(A$2:A$1018,SMALL(IF(ISNUMBER(MATCH($B$2:$B$1018,$E$6:$E$11,0)),ROW($C$2:$C$1018)-ROW($C$2)+1),ROWS(K$20:K84))))</f>
        <v>41380</v>
      </c>
      <c r="H84" s="4" t="str">
        <f t="array" ref="H84">IF(ROWS(L$20:L84)&gt;$F$6,"",INDEX(B$2:B$1018,SMALL(IF(ISNUMBER(MATCH($B$2:$B$1018,$E$6:$E$11,0)),ROW($C$2:$C$1018)-ROW($C$2)+1),ROWS(L$20:L84))))</f>
        <v>Jenni  Thorton</v>
      </c>
      <c r="I84" s="4">
        <f t="array" ref="I84">IF(ROWS(M$20:M84)&gt;$F$6,"",INDEX(C$2:C$1018,SMALL(IF(ISNUMBER(MATCH($B$2:$B$1018,$E$6:$E$11,0)),ROW($C$2:$C$1018)-ROW($C$2)+1),ROWS(M$20:M84))))</f>
        <v>31</v>
      </c>
      <c r="K84" s="7">
        <f t="array" ref="K84">IF(ROWS(K$20:K84)&gt;$F$6,"",INDEX(A$2:A$1018,SMALL(IF(($B$2:$B$1018=$E$6)+($B$2:$B$1018=$E$7)+($B$2:$B$1018=$E$8)+($B$2:$B$1018=$E$9)+($B$2:$B$1018=$E$10)+($B$2:$B$1018=$E$11),ROW($C$2:$C$1018)-ROW($C$2)+1),ROWS(K$20:K84))))</f>
        <v>41380</v>
      </c>
      <c r="L84" s="4" t="str">
        <f t="array" ref="L84">IF(ROWS(L$20:L84)&gt;$F$6,"",INDEX(B$2:B$1018,SMALL(IF(($B$2:$B$1018=$E$6)+($B$2:$B$1018=$E$7)+($B$2:$B$1018=$E$8)+($B$2:$B$1018=$E$9)+($B$2:$B$1018=$E$10)+($B$2:$B$1018=$E$11),ROW($C$2:$C$1018)-ROW($C$2)+1),ROWS(L$20:L84))))</f>
        <v>Jenni  Thorton</v>
      </c>
      <c r="M84" s="4">
        <f t="array" ref="M84">IF(ROWS(M$20:M84)&gt;$F$6,"",INDEX(C$2:C$1018,SMALL(IF(($B$2:$B$1018=$E$6)+($B$2:$B$1018=$E$7)+($B$2:$B$1018=$E$8)+($B$2:$B$1018=$E$9)+($B$2:$B$1018=$E$10)+($B$2:$B$1018=$E$11),ROW($C$2:$C$1018)-ROW($C$2)+1),ROWS(M$20:M84))))</f>
        <v>31</v>
      </c>
    </row>
    <row r="85" spans="1:13" x14ac:dyDescent="0.25">
      <c r="A85" s="3">
        <v>41456</v>
      </c>
      <c r="B85" s="2" t="s">
        <v>16</v>
      </c>
      <c r="C85" s="2">
        <v>43</v>
      </c>
      <c r="G85" s="7">
        <f t="array" ref="G85">IF(ROWS(K$20:K85)&gt;$F$6,"",INDEX(A$2:A$1018,SMALL(IF(ISNUMBER(MATCH($B$2:$B$1018,$E$6:$E$11,0)),ROW($C$2:$C$1018)-ROW($C$2)+1),ROWS(K$20:K85))))</f>
        <v>41325</v>
      </c>
      <c r="H85" s="4" t="str">
        <f t="array" ref="H85">IF(ROWS(L$20:L85)&gt;$F$6,"",INDEX(B$2:B$1018,SMALL(IF(ISNUMBER(MATCH($B$2:$B$1018,$E$6:$E$11,0)),ROW($C$2:$C$1018)-ROW($C$2)+1),ROWS(L$20:L85))))</f>
        <v>Jenni  Thorton</v>
      </c>
      <c r="I85" s="4">
        <f t="array" ref="I85">IF(ROWS(M$20:M85)&gt;$F$6,"",INDEX(C$2:C$1018,SMALL(IF(ISNUMBER(MATCH($B$2:$B$1018,$E$6:$E$11,0)),ROW($C$2:$C$1018)-ROW($C$2)+1),ROWS(M$20:M85))))</f>
        <v>17</v>
      </c>
      <c r="K85" s="7">
        <f t="array" ref="K85">IF(ROWS(K$20:K85)&gt;$F$6,"",INDEX(A$2:A$1018,SMALL(IF(($B$2:$B$1018=$E$6)+($B$2:$B$1018=$E$7)+($B$2:$B$1018=$E$8)+($B$2:$B$1018=$E$9)+($B$2:$B$1018=$E$10)+($B$2:$B$1018=$E$11),ROW($C$2:$C$1018)-ROW($C$2)+1),ROWS(K$20:K85))))</f>
        <v>41325</v>
      </c>
      <c r="L85" s="4" t="str">
        <f t="array" ref="L85">IF(ROWS(L$20:L85)&gt;$F$6,"",INDEX(B$2:B$1018,SMALL(IF(($B$2:$B$1018=$E$6)+($B$2:$B$1018=$E$7)+($B$2:$B$1018=$E$8)+($B$2:$B$1018=$E$9)+($B$2:$B$1018=$E$10)+($B$2:$B$1018=$E$11),ROW($C$2:$C$1018)-ROW($C$2)+1),ROWS(L$20:L85))))</f>
        <v>Jenni  Thorton</v>
      </c>
      <c r="M85" s="4">
        <f t="array" ref="M85">IF(ROWS(M$20:M85)&gt;$F$6,"",INDEX(C$2:C$1018,SMALL(IF(($B$2:$B$1018=$E$6)+($B$2:$B$1018=$E$7)+($B$2:$B$1018=$E$8)+($B$2:$B$1018=$E$9)+($B$2:$B$1018=$E$10)+($B$2:$B$1018=$E$11),ROW($C$2:$C$1018)-ROW($C$2)+1),ROWS(M$20:M85))))</f>
        <v>17</v>
      </c>
    </row>
    <row r="86" spans="1:13" x14ac:dyDescent="0.25">
      <c r="A86" s="3">
        <v>41648</v>
      </c>
      <c r="B86" s="2" t="s">
        <v>14</v>
      </c>
      <c r="C86" s="2">
        <v>13</v>
      </c>
      <c r="G86" s="7">
        <f t="array" ref="G86">IF(ROWS(K$20:K86)&gt;$F$6,"",INDEX(A$2:A$1018,SMALL(IF(ISNUMBER(MATCH($B$2:$B$1018,$E$6:$E$11,0)),ROW($C$2:$C$1018)-ROW($C$2)+1),ROWS(K$20:K86))))</f>
        <v>41765</v>
      </c>
      <c r="H86" s="4" t="str">
        <f t="array" ref="H86">IF(ROWS(L$20:L86)&gt;$F$6,"",INDEX(B$2:B$1018,SMALL(IF(ISNUMBER(MATCH($B$2:$B$1018,$E$6:$E$11,0)),ROW($C$2:$C$1018)-ROW($C$2)+1),ROWS(L$20:L86))))</f>
        <v>Jenni  Thorton</v>
      </c>
      <c r="I86" s="4">
        <f t="array" ref="I86">IF(ROWS(M$20:M86)&gt;$F$6,"",INDEX(C$2:C$1018,SMALL(IF(ISNUMBER(MATCH($B$2:$B$1018,$E$6:$E$11,0)),ROW($C$2:$C$1018)-ROW($C$2)+1),ROWS(M$20:M86))))</f>
        <v>6</v>
      </c>
      <c r="K86" s="7">
        <f t="array" ref="K86">IF(ROWS(K$20:K86)&gt;$F$6,"",INDEX(A$2:A$1018,SMALL(IF(($B$2:$B$1018=$E$6)+($B$2:$B$1018=$E$7)+($B$2:$B$1018=$E$8)+($B$2:$B$1018=$E$9)+($B$2:$B$1018=$E$10)+($B$2:$B$1018=$E$11),ROW($C$2:$C$1018)-ROW($C$2)+1),ROWS(K$20:K86))))</f>
        <v>41765</v>
      </c>
      <c r="L86" s="4" t="str">
        <f t="array" ref="L86">IF(ROWS(L$20:L86)&gt;$F$6,"",INDEX(B$2:B$1018,SMALL(IF(($B$2:$B$1018=$E$6)+($B$2:$B$1018=$E$7)+($B$2:$B$1018=$E$8)+($B$2:$B$1018=$E$9)+($B$2:$B$1018=$E$10)+($B$2:$B$1018=$E$11),ROW($C$2:$C$1018)-ROW($C$2)+1),ROWS(L$20:L86))))</f>
        <v>Jenni  Thorton</v>
      </c>
      <c r="M86" s="4">
        <f t="array" ref="M86">IF(ROWS(M$20:M86)&gt;$F$6,"",INDEX(C$2:C$1018,SMALL(IF(($B$2:$B$1018=$E$6)+($B$2:$B$1018=$E$7)+($B$2:$B$1018=$E$8)+($B$2:$B$1018=$E$9)+($B$2:$B$1018=$E$10)+($B$2:$B$1018=$E$11),ROW($C$2:$C$1018)-ROW($C$2)+1),ROWS(M$20:M86))))</f>
        <v>6</v>
      </c>
    </row>
    <row r="87" spans="1:13" x14ac:dyDescent="0.25">
      <c r="A87" s="3">
        <v>41361</v>
      </c>
      <c r="B87" s="2" t="s">
        <v>4</v>
      </c>
      <c r="C87" s="2">
        <v>44</v>
      </c>
      <c r="G87" s="7">
        <f t="array" ref="G87">IF(ROWS(K$20:K87)&gt;$F$6,"",INDEX(A$2:A$1018,SMALL(IF(ISNUMBER(MATCH($B$2:$B$1018,$E$6:$E$11,0)),ROW($C$2:$C$1018)-ROW($C$2)+1),ROWS(K$20:K87))))</f>
        <v>41641</v>
      </c>
      <c r="H87" s="4" t="str">
        <f t="array" ref="H87">IF(ROWS(L$20:L87)&gt;$F$6,"",INDEX(B$2:B$1018,SMALL(IF(ISNUMBER(MATCH($B$2:$B$1018,$E$6:$E$11,0)),ROW($C$2:$C$1018)-ROW($C$2)+1),ROWS(L$20:L87))))</f>
        <v>Iliana  Valerio</v>
      </c>
      <c r="I87" s="4">
        <f t="array" ref="I87">IF(ROWS(M$20:M87)&gt;$F$6,"",INDEX(C$2:C$1018,SMALL(IF(ISNUMBER(MATCH($B$2:$B$1018,$E$6:$E$11,0)),ROW($C$2:$C$1018)-ROW($C$2)+1),ROWS(M$20:M87))))</f>
        <v>52</v>
      </c>
      <c r="K87" s="7">
        <f t="array" ref="K87">IF(ROWS(K$20:K87)&gt;$F$6,"",INDEX(A$2:A$1018,SMALL(IF(($B$2:$B$1018=$E$6)+($B$2:$B$1018=$E$7)+($B$2:$B$1018=$E$8)+($B$2:$B$1018=$E$9)+($B$2:$B$1018=$E$10)+($B$2:$B$1018=$E$11),ROW($C$2:$C$1018)-ROW($C$2)+1),ROWS(K$20:K87))))</f>
        <v>41641</v>
      </c>
      <c r="L87" s="4" t="str">
        <f t="array" ref="L87">IF(ROWS(L$20:L87)&gt;$F$6,"",INDEX(B$2:B$1018,SMALL(IF(($B$2:$B$1018=$E$6)+($B$2:$B$1018=$E$7)+($B$2:$B$1018=$E$8)+($B$2:$B$1018=$E$9)+($B$2:$B$1018=$E$10)+($B$2:$B$1018=$E$11),ROW($C$2:$C$1018)-ROW($C$2)+1),ROWS(L$20:L87))))</f>
        <v>Iliana  Valerio</v>
      </c>
      <c r="M87" s="4">
        <f t="array" ref="M87">IF(ROWS(M$20:M87)&gt;$F$6,"",INDEX(C$2:C$1018,SMALL(IF(($B$2:$B$1018=$E$6)+($B$2:$B$1018=$E$7)+($B$2:$B$1018=$E$8)+($B$2:$B$1018=$E$9)+($B$2:$B$1018=$E$10)+($B$2:$B$1018=$E$11),ROW($C$2:$C$1018)-ROW($C$2)+1),ROWS(M$20:M87))))</f>
        <v>52</v>
      </c>
    </row>
    <row r="88" spans="1:13" x14ac:dyDescent="0.25">
      <c r="A88" s="3">
        <v>41398</v>
      </c>
      <c r="B88" s="2" t="s">
        <v>13</v>
      </c>
      <c r="C88" s="2">
        <v>2</v>
      </c>
      <c r="G88" s="7">
        <f t="array" ref="G88">IF(ROWS(K$20:K88)&gt;$F$6,"",INDEX(A$2:A$1018,SMALL(IF(ISNUMBER(MATCH($B$2:$B$1018,$E$6:$E$11,0)),ROW($C$2:$C$1018)-ROW($C$2)+1),ROWS(K$20:K88))))</f>
        <v>41509</v>
      </c>
      <c r="H88" s="4" t="str">
        <f t="array" ref="H88">IF(ROWS(L$20:L88)&gt;$F$6,"",INDEX(B$2:B$1018,SMALL(IF(ISNUMBER(MATCH($B$2:$B$1018,$E$6:$E$11,0)),ROW($C$2:$C$1018)-ROW($C$2)+1),ROWS(L$20:L88))))</f>
        <v>Mickey  Bolduc</v>
      </c>
      <c r="I88" s="4">
        <f t="array" ref="I88">IF(ROWS(M$20:M88)&gt;$F$6,"",INDEX(C$2:C$1018,SMALL(IF(ISNUMBER(MATCH($B$2:$B$1018,$E$6:$E$11,0)),ROW($C$2:$C$1018)-ROW($C$2)+1),ROWS(M$20:M88))))</f>
        <v>23</v>
      </c>
      <c r="K88" s="7">
        <f t="array" ref="K88">IF(ROWS(K$20:K88)&gt;$F$6,"",INDEX(A$2:A$1018,SMALL(IF(($B$2:$B$1018=$E$6)+($B$2:$B$1018=$E$7)+($B$2:$B$1018=$E$8)+($B$2:$B$1018=$E$9)+($B$2:$B$1018=$E$10)+($B$2:$B$1018=$E$11),ROW($C$2:$C$1018)-ROW($C$2)+1),ROWS(K$20:K88))))</f>
        <v>41509</v>
      </c>
      <c r="L88" s="4" t="str">
        <f t="array" ref="L88">IF(ROWS(L$20:L88)&gt;$F$6,"",INDEX(B$2:B$1018,SMALL(IF(($B$2:$B$1018=$E$6)+($B$2:$B$1018=$E$7)+($B$2:$B$1018=$E$8)+($B$2:$B$1018=$E$9)+($B$2:$B$1018=$E$10)+($B$2:$B$1018=$E$11),ROW($C$2:$C$1018)-ROW($C$2)+1),ROWS(L$20:L88))))</f>
        <v>Mickey  Bolduc</v>
      </c>
      <c r="M88" s="4">
        <f t="array" ref="M88">IF(ROWS(M$20:M88)&gt;$F$6,"",INDEX(C$2:C$1018,SMALL(IF(($B$2:$B$1018=$E$6)+($B$2:$B$1018=$E$7)+($B$2:$B$1018=$E$8)+($B$2:$B$1018=$E$9)+($B$2:$B$1018=$E$10)+($B$2:$B$1018=$E$11),ROW($C$2:$C$1018)-ROW($C$2)+1),ROWS(M$20:M88))))</f>
        <v>23</v>
      </c>
    </row>
    <row r="89" spans="1:13" x14ac:dyDescent="0.25">
      <c r="A89" s="3">
        <v>41741</v>
      </c>
      <c r="B89" s="2" t="s">
        <v>51</v>
      </c>
      <c r="C89" s="2">
        <v>56</v>
      </c>
      <c r="G89" s="7">
        <f t="array" ref="G89">IF(ROWS(K$20:K89)&gt;$F$6,"",INDEX(A$2:A$1018,SMALL(IF(ISNUMBER(MATCH($B$2:$B$1018,$E$6:$E$11,0)),ROW($C$2:$C$1018)-ROW($C$2)+1),ROWS(K$20:K89))))</f>
        <v>41415</v>
      </c>
      <c r="H89" s="4" t="str">
        <f t="array" ref="H89">IF(ROWS(L$20:L89)&gt;$F$6,"",INDEX(B$2:B$1018,SMALL(IF(ISNUMBER(MATCH($B$2:$B$1018,$E$6:$E$11,0)),ROW($C$2:$C$1018)-ROW($C$2)+1),ROWS(L$20:L89))))</f>
        <v>Kerrie  Worrell</v>
      </c>
      <c r="I89" s="4">
        <f t="array" ref="I89">IF(ROWS(M$20:M89)&gt;$F$6,"",INDEX(C$2:C$1018,SMALL(IF(ISNUMBER(MATCH($B$2:$B$1018,$E$6:$E$11,0)),ROW($C$2:$C$1018)-ROW($C$2)+1),ROWS(M$20:M89))))</f>
        <v>49</v>
      </c>
      <c r="K89" s="7">
        <f t="array" ref="K89">IF(ROWS(K$20:K89)&gt;$F$6,"",INDEX(A$2:A$1018,SMALL(IF(($B$2:$B$1018=$E$6)+($B$2:$B$1018=$E$7)+($B$2:$B$1018=$E$8)+($B$2:$B$1018=$E$9)+($B$2:$B$1018=$E$10)+($B$2:$B$1018=$E$11),ROW($C$2:$C$1018)-ROW($C$2)+1),ROWS(K$20:K89))))</f>
        <v>41415</v>
      </c>
      <c r="L89" s="4" t="str">
        <f t="array" ref="L89">IF(ROWS(L$20:L89)&gt;$F$6,"",INDEX(B$2:B$1018,SMALL(IF(($B$2:$B$1018=$E$6)+($B$2:$B$1018=$E$7)+($B$2:$B$1018=$E$8)+($B$2:$B$1018=$E$9)+($B$2:$B$1018=$E$10)+($B$2:$B$1018=$E$11),ROW($C$2:$C$1018)-ROW($C$2)+1),ROWS(L$20:L89))))</f>
        <v>Kerrie  Worrell</v>
      </c>
      <c r="M89" s="4">
        <f t="array" ref="M89">IF(ROWS(M$20:M89)&gt;$F$6,"",INDEX(C$2:C$1018,SMALL(IF(($B$2:$B$1018=$E$6)+($B$2:$B$1018=$E$7)+($B$2:$B$1018=$E$8)+($B$2:$B$1018=$E$9)+($B$2:$B$1018=$E$10)+($B$2:$B$1018=$E$11),ROW($C$2:$C$1018)-ROW($C$2)+1),ROWS(M$20:M89))))</f>
        <v>49</v>
      </c>
    </row>
    <row r="90" spans="1:13" x14ac:dyDescent="0.25">
      <c r="A90" s="3">
        <v>41519</v>
      </c>
      <c r="B90" s="2" t="s">
        <v>48</v>
      </c>
      <c r="C90" s="2">
        <v>11</v>
      </c>
      <c r="G90" s="7">
        <f t="array" ref="G90">IF(ROWS(K$20:K90)&gt;$F$6,"",INDEX(A$2:A$1018,SMALL(IF(ISNUMBER(MATCH($B$2:$B$1018,$E$6:$E$11,0)),ROW($C$2:$C$1018)-ROW($C$2)+1),ROWS(K$20:K90))))</f>
        <v>41380</v>
      </c>
      <c r="H90" s="4" t="str">
        <f t="array" ref="H90">IF(ROWS(L$20:L90)&gt;$F$6,"",INDEX(B$2:B$1018,SMALL(IF(ISNUMBER(MATCH($B$2:$B$1018,$E$6:$E$11,0)),ROW($C$2:$C$1018)-ROW($C$2)+1),ROWS(L$20:L90))))</f>
        <v>Iliana  Valerio</v>
      </c>
      <c r="I90" s="4">
        <f t="array" ref="I90">IF(ROWS(M$20:M90)&gt;$F$6,"",INDEX(C$2:C$1018,SMALL(IF(ISNUMBER(MATCH($B$2:$B$1018,$E$6:$E$11,0)),ROW($C$2:$C$1018)-ROW($C$2)+1),ROWS(M$20:M90))))</f>
        <v>31</v>
      </c>
      <c r="K90" s="7">
        <f t="array" ref="K90">IF(ROWS(K$20:K90)&gt;$F$6,"",INDEX(A$2:A$1018,SMALL(IF(($B$2:$B$1018=$E$6)+($B$2:$B$1018=$E$7)+($B$2:$B$1018=$E$8)+($B$2:$B$1018=$E$9)+($B$2:$B$1018=$E$10)+($B$2:$B$1018=$E$11),ROW($C$2:$C$1018)-ROW($C$2)+1),ROWS(K$20:K90))))</f>
        <v>41380</v>
      </c>
      <c r="L90" s="4" t="str">
        <f t="array" ref="L90">IF(ROWS(L$20:L90)&gt;$F$6,"",INDEX(B$2:B$1018,SMALL(IF(($B$2:$B$1018=$E$6)+($B$2:$B$1018=$E$7)+($B$2:$B$1018=$E$8)+($B$2:$B$1018=$E$9)+($B$2:$B$1018=$E$10)+($B$2:$B$1018=$E$11),ROW($C$2:$C$1018)-ROW($C$2)+1),ROWS(L$20:L90))))</f>
        <v>Iliana  Valerio</v>
      </c>
      <c r="M90" s="4">
        <f t="array" ref="M90">IF(ROWS(M$20:M90)&gt;$F$6,"",INDEX(C$2:C$1018,SMALL(IF(($B$2:$B$1018=$E$6)+($B$2:$B$1018=$E$7)+($B$2:$B$1018=$E$8)+($B$2:$B$1018=$E$9)+($B$2:$B$1018=$E$10)+($B$2:$B$1018=$E$11),ROW($C$2:$C$1018)-ROW($C$2)+1),ROWS(M$20:M90))))</f>
        <v>31</v>
      </c>
    </row>
    <row r="91" spans="1:13" x14ac:dyDescent="0.25">
      <c r="A91" s="3">
        <v>41495</v>
      </c>
      <c r="B91" s="2" t="s">
        <v>41</v>
      </c>
      <c r="C91" s="2">
        <v>1</v>
      </c>
      <c r="G91" s="7">
        <f t="array" ref="G91">IF(ROWS(K$20:K91)&gt;$F$6,"",INDEX(A$2:A$1018,SMALL(IF(ISNUMBER(MATCH($B$2:$B$1018,$E$6:$E$11,0)),ROW($C$2:$C$1018)-ROW($C$2)+1),ROWS(K$20:K91))))</f>
        <v>41592</v>
      </c>
      <c r="H91" s="4" t="str">
        <f t="array" ref="H91">IF(ROWS(L$20:L91)&gt;$F$6,"",INDEX(B$2:B$1018,SMALL(IF(ISNUMBER(MATCH($B$2:$B$1018,$E$6:$E$11,0)),ROW($C$2:$C$1018)-ROW($C$2)+1),ROWS(L$20:L91))))</f>
        <v>Rosamond  Allard</v>
      </c>
      <c r="I91" s="4">
        <f t="array" ref="I91">IF(ROWS(M$20:M91)&gt;$F$6,"",INDEX(C$2:C$1018,SMALL(IF(ISNUMBER(MATCH($B$2:$B$1018,$E$6:$E$11,0)),ROW($C$2:$C$1018)-ROW($C$2)+1),ROWS(M$20:M91))))</f>
        <v>5</v>
      </c>
      <c r="K91" s="7">
        <f t="array" ref="K91">IF(ROWS(K$20:K91)&gt;$F$6,"",INDEX(A$2:A$1018,SMALL(IF(($B$2:$B$1018=$E$6)+($B$2:$B$1018=$E$7)+($B$2:$B$1018=$E$8)+($B$2:$B$1018=$E$9)+($B$2:$B$1018=$E$10)+($B$2:$B$1018=$E$11),ROW($C$2:$C$1018)-ROW($C$2)+1),ROWS(K$20:K91))))</f>
        <v>41592</v>
      </c>
      <c r="L91" s="4" t="str">
        <f t="array" ref="L91">IF(ROWS(L$20:L91)&gt;$F$6,"",INDEX(B$2:B$1018,SMALL(IF(($B$2:$B$1018=$E$6)+($B$2:$B$1018=$E$7)+($B$2:$B$1018=$E$8)+($B$2:$B$1018=$E$9)+($B$2:$B$1018=$E$10)+($B$2:$B$1018=$E$11),ROW($C$2:$C$1018)-ROW($C$2)+1),ROWS(L$20:L91))))</f>
        <v>Rosamond  Allard</v>
      </c>
      <c r="M91" s="4">
        <f t="array" ref="M91">IF(ROWS(M$20:M91)&gt;$F$6,"",INDEX(C$2:C$1018,SMALL(IF(($B$2:$B$1018=$E$6)+($B$2:$B$1018=$E$7)+($B$2:$B$1018=$E$8)+($B$2:$B$1018=$E$9)+($B$2:$B$1018=$E$10)+($B$2:$B$1018=$E$11),ROW($C$2:$C$1018)-ROW($C$2)+1),ROWS(M$20:M91))))</f>
        <v>5</v>
      </c>
    </row>
    <row r="92" spans="1:13" x14ac:dyDescent="0.25">
      <c r="A92" s="3">
        <v>41384</v>
      </c>
      <c r="B92" s="2" t="s">
        <v>42</v>
      </c>
      <c r="C92" s="2">
        <v>45</v>
      </c>
      <c r="G92" s="7">
        <f t="array" ref="G92">IF(ROWS(K$20:K92)&gt;$F$6,"",INDEX(A$2:A$1018,SMALL(IF(ISNUMBER(MATCH($B$2:$B$1018,$E$6:$E$11,0)),ROW($C$2:$C$1018)-ROW($C$2)+1),ROWS(K$20:K92))))</f>
        <v>41706</v>
      </c>
      <c r="H92" s="4" t="str">
        <f t="array" ref="H92">IF(ROWS(L$20:L92)&gt;$F$6,"",INDEX(B$2:B$1018,SMALL(IF(ISNUMBER(MATCH($B$2:$B$1018,$E$6:$E$11,0)),ROW($C$2:$C$1018)-ROW($C$2)+1),ROWS(L$20:L92))))</f>
        <v>Kerrie  Worrell</v>
      </c>
      <c r="I92" s="4">
        <f t="array" ref="I92">IF(ROWS(M$20:M92)&gt;$F$6,"",INDEX(C$2:C$1018,SMALL(IF(ISNUMBER(MATCH($B$2:$B$1018,$E$6:$E$11,0)),ROW($C$2:$C$1018)-ROW($C$2)+1),ROWS(M$20:M92))))</f>
        <v>6</v>
      </c>
      <c r="K92" s="7">
        <f t="array" ref="K92">IF(ROWS(K$20:K92)&gt;$F$6,"",INDEX(A$2:A$1018,SMALL(IF(($B$2:$B$1018=$E$6)+($B$2:$B$1018=$E$7)+($B$2:$B$1018=$E$8)+($B$2:$B$1018=$E$9)+($B$2:$B$1018=$E$10)+($B$2:$B$1018=$E$11),ROW($C$2:$C$1018)-ROW($C$2)+1),ROWS(K$20:K92))))</f>
        <v>41706</v>
      </c>
      <c r="L92" s="4" t="str">
        <f t="array" ref="L92">IF(ROWS(L$20:L92)&gt;$F$6,"",INDEX(B$2:B$1018,SMALL(IF(($B$2:$B$1018=$E$6)+($B$2:$B$1018=$E$7)+($B$2:$B$1018=$E$8)+($B$2:$B$1018=$E$9)+($B$2:$B$1018=$E$10)+($B$2:$B$1018=$E$11),ROW($C$2:$C$1018)-ROW($C$2)+1),ROWS(L$20:L92))))</f>
        <v>Kerrie  Worrell</v>
      </c>
      <c r="M92" s="4">
        <f t="array" ref="M92">IF(ROWS(M$20:M92)&gt;$F$6,"",INDEX(C$2:C$1018,SMALL(IF(($B$2:$B$1018=$E$6)+($B$2:$B$1018=$E$7)+($B$2:$B$1018=$E$8)+($B$2:$B$1018=$E$9)+($B$2:$B$1018=$E$10)+($B$2:$B$1018=$E$11),ROW($C$2:$C$1018)-ROW($C$2)+1),ROWS(M$20:M92))))</f>
        <v>6</v>
      </c>
    </row>
    <row r="93" spans="1:13" x14ac:dyDescent="0.25">
      <c r="A93" s="3">
        <v>41363</v>
      </c>
      <c r="B93" s="2" t="s">
        <v>48</v>
      </c>
      <c r="C93" s="2">
        <v>27</v>
      </c>
      <c r="G93" s="7">
        <f t="array" ref="G93">IF(ROWS(K$20:K93)&gt;$F$6,"",INDEX(A$2:A$1018,SMALL(IF(ISNUMBER(MATCH($B$2:$B$1018,$E$6:$E$11,0)),ROW($C$2:$C$1018)-ROW($C$2)+1),ROWS(K$20:K93))))</f>
        <v>41871</v>
      </c>
      <c r="H93" s="4" t="str">
        <f t="array" ref="H93">IF(ROWS(L$20:L93)&gt;$F$6,"",INDEX(B$2:B$1018,SMALL(IF(ISNUMBER(MATCH($B$2:$B$1018,$E$6:$E$11,0)),ROW($C$2:$C$1018)-ROW($C$2)+1),ROWS(L$20:L93))))</f>
        <v>Kerrie  Worrell</v>
      </c>
      <c r="I93" s="4">
        <f t="array" ref="I93">IF(ROWS(M$20:M93)&gt;$F$6,"",INDEX(C$2:C$1018,SMALL(IF(ISNUMBER(MATCH($B$2:$B$1018,$E$6:$E$11,0)),ROW($C$2:$C$1018)-ROW($C$2)+1),ROWS(M$20:M93))))</f>
        <v>22</v>
      </c>
      <c r="K93" s="7">
        <f t="array" ref="K93">IF(ROWS(K$20:K93)&gt;$F$6,"",INDEX(A$2:A$1018,SMALL(IF(($B$2:$B$1018=$E$6)+($B$2:$B$1018=$E$7)+($B$2:$B$1018=$E$8)+($B$2:$B$1018=$E$9)+($B$2:$B$1018=$E$10)+($B$2:$B$1018=$E$11),ROW($C$2:$C$1018)-ROW($C$2)+1),ROWS(K$20:K93))))</f>
        <v>41871</v>
      </c>
      <c r="L93" s="4" t="str">
        <f t="array" ref="L93">IF(ROWS(L$20:L93)&gt;$F$6,"",INDEX(B$2:B$1018,SMALL(IF(($B$2:$B$1018=$E$6)+($B$2:$B$1018=$E$7)+($B$2:$B$1018=$E$8)+($B$2:$B$1018=$E$9)+($B$2:$B$1018=$E$10)+($B$2:$B$1018=$E$11),ROW($C$2:$C$1018)-ROW($C$2)+1),ROWS(L$20:L93))))</f>
        <v>Kerrie  Worrell</v>
      </c>
      <c r="M93" s="4">
        <f t="array" ref="M93">IF(ROWS(M$20:M93)&gt;$F$6,"",INDEX(C$2:C$1018,SMALL(IF(($B$2:$B$1018=$E$6)+($B$2:$B$1018=$E$7)+($B$2:$B$1018=$E$8)+($B$2:$B$1018=$E$9)+($B$2:$B$1018=$E$10)+($B$2:$B$1018=$E$11),ROW($C$2:$C$1018)-ROW($C$2)+1),ROWS(M$20:M93))))</f>
        <v>22</v>
      </c>
    </row>
    <row r="94" spans="1:13" x14ac:dyDescent="0.25">
      <c r="A94" s="3">
        <v>41954</v>
      </c>
      <c r="B94" s="2" t="s">
        <v>28</v>
      </c>
      <c r="C94" s="2">
        <v>14</v>
      </c>
      <c r="G94" s="7">
        <f t="array" ref="G94">IF(ROWS(K$20:K94)&gt;$F$6,"",INDEX(A$2:A$1018,SMALL(IF(ISNUMBER(MATCH($B$2:$B$1018,$E$6:$E$11,0)),ROW($C$2:$C$1018)-ROW($C$2)+1),ROWS(K$20:K94))))</f>
        <v>41484</v>
      </c>
      <c r="H94" s="4" t="str">
        <f t="array" ref="H94">IF(ROWS(L$20:L94)&gt;$F$6,"",INDEX(B$2:B$1018,SMALL(IF(ISNUMBER(MATCH($B$2:$B$1018,$E$6:$E$11,0)),ROW($C$2:$C$1018)-ROW($C$2)+1),ROWS(L$20:L94))))</f>
        <v>Kerrie  Worrell</v>
      </c>
      <c r="I94" s="4">
        <f t="array" ref="I94">IF(ROWS(M$20:M94)&gt;$F$6,"",INDEX(C$2:C$1018,SMALL(IF(ISNUMBER(MATCH($B$2:$B$1018,$E$6:$E$11,0)),ROW($C$2:$C$1018)-ROW($C$2)+1),ROWS(M$20:M94))))</f>
        <v>9</v>
      </c>
      <c r="K94" s="7">
        <f t="array" ref="K94">IF(ROWS(K$20:K94)&gt;$F$6,"",INDEX(A$2:A$1018,SMALL(IF(($B$2:$B$1018=$E$6)+($B$2:$B$1018=$E$7)+($B$2:$B$1018=$E$8)+($B$2:$B$1018=$E$9)+($B$2:$B$1018=$E$10)+($B$2:$B$1018=$E$11),ROW($C$2:$C$1018)-ROW($C$2)+1),ROWS(K$20:K94))))</f>
        <v>41484</v>
      </c>
      <c r="L94" s="4" t="str">
        <f t="array" ref="L94">IF(ROWS(L$20:L94)&gt;$F$6,"",INDEX(B$2:B$1018,SMALL(IF(($B$2:$B$1018=$E$6)+($B$2:$B$1018=$E$7)+($B$2:$B$1018=$E$8)+($B$2:$B$1018=$E$9)+($B$2:$B$1018=$E$10)+($B$2:$B$1018=$E$11),ROW($C$2:$C$1018)-ROW($C$2)+1),ROWS(L$20:L94))))</f>
        <v>Kerrie  Worrell</v>
      </c>
      <c r="M94" s="4">
        <f t="array" ref="M94">IF(ROWS(M$20:M94)&gt;$F$6,"",INDEX(C$2:C$1018,SMALL(IF(($B$2:$B$1018=$E$6)+($B$2:$B$1018=$E$7)+($B$2:$B$1018=$E$8)+($B$2:$B$1018=$E$9)+($B$2:$B$1018=$E$10)+($B$2:$B$1018=$E$11),ROW($C$2:$C$1018)-ROW($C$2)+1),ROWS(M$20:M94))))</f>
        <v>9</v>
      </c>
    </row>
    <row r="95" spans="1:13" x14ac:dyDescent="0.25">
      <c r="A95" s="3">
        <v>41889</v>
      </c>
      <c r="B95" s="2" t="s">
        <v>49</v>
      </c>
      <c r="C95" s="2">
        <v>37</v>
      </c>
      <c r="G95" s="7">
        <f t="array" ref="G95">IF(ROWS(K$20:K95)&gt;$F$6,"",INDEX(A$2:A$1018,SMALL(IF(ISNUMBER(MATCH($B$2:$B$1018,$E$6:$E$11,0)),ROW($C$2:$C$1018)-ROW($C$2)+1),ROWS(K$20:K95))))</f>
        <v>41810</v>
      </c>
      <c r="H95" s="4" t="str">
        <f t="array" ref="H95">IF(ROWS(L$20:L95)&gt;$F$6,"",INDEX(B$2:B$1018,SMALL(IF(ISNUMBER(MATCH($B$2:$B$1018,$E$6:$E$11,0)),ROW($C$2:$C$1018)-ROW($C$2)+1),ROWS(L$20:L95))))</f>
        <v>Jenni  Thorton</v>
      </c>
      <c r="I95" s="4">
        <f t="array" ref="I95">IF(ROWS(M$20:M95)&gt;$F$6,"",INDEX(C$2:C$1018,SMALL(IF(ISNUMBER(MATCH($B$2:$B$1018,$E$6:$E$11,0)),ROW($C$2:$C$1018)-ROW($C$2)+1),ROWS(M$20:M95))))</f>
        <v>30</v>
      </c>
      <c r="K95" s="7">
        <f t="array" ref="K95">IF(ROWS(K$20:K95)&gt;$F$6,"",INDEX(A$2:A$1018,SMALL(IF(($B$2:$B$1018=$E$6)+($B$2:$B$1018=$E$7)+($B$2:$B$1018=$E$8)+($B$2:$B$1018=$E$9)+($B$2:$B$1018=$E$10)+($B$2:$B$1018=$E$11),ROW($C$2:$C$1018)-ROW($C$2)+1),ROWS(K$20:K95))))</f>
        <v>41810</v>
      </c>
      <c r="L95" s="4" t="str">
        <f t="array" ref="L95">IF(ROWS(L$20:L95)&gt;$F$6,"",INDEX(B$2:B$1018,SMALL(IF(($B$2:$B$1018=$E$6)+($B$2:$B$1018=$E$7)+($B$2:$B$1018=$E$8)+($B$2:$B$1018=$E$9)+($B$2:$B$1018=$E$10)+($B$2:$B$1018=$E$11),ROW($C$2:$C$1018)-ROW($C$2)+1),ROWS(L$20:L95))))</f>
        <v>Jenni  Thorton</v>
      </c>
      <c r="M95" s="4">
        <f t="array" ref="M95">IF(ROWS(M$20:M95)&gt;$F$6,"",INDEX(C$2:C$1018,SMALL(IF(($B$2:$B$1018=$E$6)+($B$2:$B$1018=$E$7)+($B$2:$B$1018=$E$8)+($B$2:$B$1018=$E$9)+($B$2:$B$1018=$E$10)+($B$2:$B$1018=$E$11),ROW($C$2:$C$1018)-ROW($C$2)+1),ROWS(M$20:M95))))</f>
        <v>30</v>
      </c>
    </row>
    <row r="96" spans="1:13" x14ac:dyDescent="0.25">
      <c r="A96" s="3">
        <v>41397</v>
      </c>
      <c r="B96" s="2" t="s">
        <v>46</v>
      </c>
      <c r="C96" s="2">
        <v>48</v>
      </c>
      <c r="G96" s="7">
        <f t="array" ref="G96">IF(ROWS(K$20:K96)&gt;$F$6,"",INDEX(A$2:A$1018,SMALL(IF(ISNUMBER(MATCH($B$2:$B$1018,$E$6:$E$11,0)),ROW($C$2:$C$1018)-ROW($C$2)+1),ROWS(K$20:K96))))</f>
        <v>41622</v>
      </c>
      <c r="H96" s="4" t="str">
        <f t="array" ref="H96">IF(ROWS(L$20:L96)&gt;$F$6,"",INDEX(B$2:B$1018,SMALL(IF(ISNUMBER(MATCH($B$2:$B$1018,$E$6:$E$11,0)),ROW($C$2:$C$1018)-ROW($C$2)+1),ROWS(L$20:L96))))</f>
        <v>Iliana  Valerio</v>
      </c>
      <c r="I96" s="4">
        <f t="array" ref="I96">IF(ROWS(M$20:M96)&gt;$F$6,"",INDEX(C$2:C$1018,SMALL(IF(ISNUMBER(MATCH($B$2:$B$1018,$E$6:$E$11,0)),ROW($C$2:$C$1018)-ROW($C$2)+1),ROWS(M$20:M96))))</f>
        <v>24</v>
      </c>
      <c r="K96" s="7">
        <f t="array" ref="K96">IF(ROWS(K$20:K96)&gt;$F$6,"",INDEX(A$2:A$1018,SMALL(IF(($B$2:$B$1018=$E$6)+($B$2:$B$1018=$E$7)+($B$2:$B$1018=$E$8)+($B$2:$B$1018=$E$9)+($B$2:$B$1018=$E$10)+($B$2:$B$1018=$E$11),ROW($C$2:$C$1018)-ROW($C$2)+1),ROWS(K$20:K96))))</f>
        <v>41622</v>
      </c>
      <c r="L96" s="4" t="str">
        <f t="array" ref="L96">IF(ROWS(L$20:L96)&gt;$F$6,"",INDEX(B$2:B$1018,SMALL(IF(($B$2:$B$1018=$E$6)+($B$2:$B$1018=$E$7)+($B$2:$B$1018=$E$8)+($B$2:$B$1018=$E$9)+($B$2:$B$1018=$E$10)+($B$2:$B$1018=$E$11),ROW($C$2:$C$1018)-ROW($C$2)+1),ROWS(L$20:L96))))</f>
        <v>Iliana  Valerio</v>
      </c>
      <c r="M96" s="4">
        <f t="array" ref="M96">IF(ROWS(M$20:M96)&gt;$F$6,"",INDEX(C$2:C$1018,SMALL(IF(($B$2:$B$1018=$E$6)+($B$2:$B$1018=$E$7)+($B$2:$B$1018=$E$8)+($B$2:$B$1018=$E$9)+($B$2:$B$1018=$E$10)+($B$2:$B$1018=$E$11),ROW($C$2:$C$1018)-ROW($C$2)+1),ROWS(M$20:M96))))</f>
        <v>24</v>
      </c>
    </row>
    <row r="97" spans="1:13" x14ac:dyDescent="0.25">
      <c r="A97" s="3">
        <v>41297</v>
      </c>
      <c r="B97" s="2" t="s">
        <v>33</v>
      </c>
      <c r="C97" s="2">
        <v>7</v>
      </c>
      <c r="G97" s="7">
        <f t="array" ref="G97">IF(ROWS(K$20:K97)&gt;$F$6,"",INDEX(A$2:A$1018,SMALL(IF(ISNUMBER(MATCH($B$2:$B$1018,$E$6:$E$11,0)),ROW($C$2:$C$1018)-ROW($C$2)+1),ROWS(K$20:K97))))</f>
        <v>41325</v>
      </c>
      <c r="H97" s="4" t="str">
        <f t="array" ref="H97">IF(ROWS(L$20:L97)&gt;$F$6,"",INDEX(B$2:B$1018,SMALL(IF(ISNUMBER(MATCH($B$2:$B$1018,$E$6:$E$11,0)),ROW($C$2:$C$1018)-ROW($C$2)+1),ROWS(L$20:L97))))</f>
        <v>Mickey  Bolduc</v>
      </c>
      <c r="I97" s="4">
        <f t="array" ref="I97">IF(ROWS(M$20:M97)&gt;$F$6,"",INDEX(C$2:C$1018,SMALL(IF(ISNUMBER(MATCH($B$2:$B$1018,$E$6:$E$11,0)),ROW($C$2:$C$1018)-ROW($C$2)+1),ROWS(M$20:M97))))</f>
        <v>43</v>
      </c>
      <c r="K97" s="7">
        <f t="array" ref="K97">IF(ROWS(K$20:K97)&gt;$F$6,"",INDEX(A$2:A$1018,SMALL(IF(($B$2:$B$1018=$E$6)+($B$2:$B$1018=$E$7)+($B$2:$B$1018=$E$8)+($B$2:$B$1018=$E$9)+($B$2:$B$1018=$E$10)+($B$2:$B$1018=$E$11),ROW($C$2:$C$1018)-ROW($C$2)+1),ROWS(K$20:K97))))</f>
        <v>41325</v>
      </c>
      <c r="L97" s="4" t="str">
        <f t="array" ref="L97">IF(ROWS(L$20:L97)&gt;$F$6,"",INDEX(B$2:B$1018,SMALL(IF(($B$2:$B$1018=$E$6)+($B$2:$B$1018=$E$7)+($B$2:$B$1018=$E$8)+($B$2:$B$1018=$E$9)+($B$2:$B$1018=$E$10)+($B$2:$B$1018=$E$11),ROW($C$2:$C$1018)-ROW($C$2)+1),ROWS(L$20:L97))))</f>
        <v>Mickey  Bolduc</v>
      </c>
      <c r="M97" s="4">
        <f t="array" ref="M97">IF(ROWS(M$20:M97)&gt;$F$6,"",INDEX(C$2:C$1018,SMALL(IF(($B$2:$B$1018=$E$6)+($B$2:$B$1018=$E$7)+($B$2:$B$1018=$E$8)+($B$2:$B$1018=$E$9)+($B$2:$B$1018=$E$10)+($B$2:$B$1018=$E$11),ROW($C$2:$C$1018)-ROW($C$2)+1),ROWS(M$20:M97))))</f>
        <v>43</v>
      </c>
    </row>
    <row r="98" spans="1:13" x14ac:dyDescent="0.25">
      <c r="A98" s="3">
        <v>41769</v>
      </c>
      <c r="B98" s="2" t="s">
        <v>36</v>
      </c>
      <c r="C98" s="2">
        <v>18</v>
      </c>
      <c r="G98" s="7">
        <f t="array" ref="G98">IF(ROWS(K$20:K98)&gt;$F$6,"",INDEX(A$2:A$1018,SMALL(IF(ISNUMBER(MATCH($B$2:$B$1018,$E$6:$E$11,0)),ROW($C$2:$C$1018)-ROW($C$2)+1),ROWS(K$20:K98))))</f>
        <v>41874</v>
      </c>
      <c r="H98" s="4" t="str">
        <f t="array" ref="H98">IF(ROWS(L$20:L98)&gt;$F$6,"",INDEX(B$2:B$1018,SMALL(IF(ISNUMBER(MATCH($B$2:$B$1018,$E$6:$E$11,0)),ROW($C$2:$C$1018)-ROW($C$2)+1),ROWS(L$20:L98))))</f>
        <v>Galen  Barth</v>
      </c>
      <c r="I98" s="4">
        <f t="array" ref="I98">IF(ROWS(M$20:M98)&gt;$F$6,"",INDEX(C$2:C$1018,SMALL(IF(ISNUMBER(MATCH($B$2:$B$1018,$E$6:$E$11,0)),ROW($C$2:$C$1018)-ROW($C$2)+1),ROWS(M$20:M98))))</f>
        <v>38</v>
      </c>
      <c r="K98" s="7">
        <f t="array" ref="K98">IF(ROWS(K$20:K98)&gt;$F$6,"",INDEX(A$2:A$1018,SMALL(IF(($B$2:$B$1018=$E$6)+($B$2:$B$1018=$E$7)+($B$2:$B$1018=$E$8)+($B$2:$B$1018=$E$9)+($B$2:$B$1018=$E$10)+($B$2:$B$1018=$E$11),ROW($C$2:$C$1018)-ROW($C$2)+1),ROWS(K$20:K98))))</f>
        <v>41874</v>
      </c>
      <c r="L98" s="4" t="str">
        <f t="array" ref="L98">IF(ROWS(L$20:L98)&gt;$F$6,"",INDEX(B$2:B$1018,SMALL(IF(($B$2:$B$1018=$E$6)+($B$2:$B$1018=$E$7)+($B$2:$B$1018=$E$8)+($B$2:$B$1018=$E$9)+($B$2:$B$1018=$E$10)+($B$2:$B$1018=$E$11),ROW($C$2:$C$1018)-ROW($C$2)+1),ROWS(L$20:L98))))</f>
        <v>Galen  Barth</v>
      </c>
      <c r="M98" s="4">
        <f t="array" ref="M98">IF(ROWS(M$20:M98)&gt;$F$6,"",INDEX(C$2:C$1018,SMALL(IF(($B$2:$B$1018=$E$6)+($B$2:$B$1018=$E$7)+($B$2:$B$1018=$E$8)+($B$2:$B$1018=$E$9)+($B$2:$B$1018=$E$10)+($B$2:$B$1018=$E$11),ROW($C$2:$C$1018)-ROW($C$2)+1),ROWS(M$20:M98))))</f>
        <v>38</v>
      </c>
    </row>
    <row r="99" spans="1:13" x14ac:dyDescent="0.25">
      <c r="A99" s="3">
        <v>41450</v>
      </c>
      <c r="B99" s="2" t="s">
        <v>19</v>
      </c>
      <c r="C99" s="2">
        <v>10</v>
      </c>
      <c r="G99" s="7">
        <f t="array" ref="G99">IF(ROWS(K$20:K99)&gt;$F$6,"",INDEX(A$2:A$1018,SMALL(IF(ISNUMBER(MATCH($B$2:$B$1018,$E$6:$E$11,0)),ROW($C$2:$C$1018)-ROW($C$2)+1),ROWS(K$20:K99))))</f>
        <v>41378</v>
      </c>
      <c r="H99" s="4" t="str">
        <f t="array" ref="H99">IF(ROWS(L$20:L99)&gt;$F$6,"",INDEX(B$2:B$1018,SMALL(IF(ISNUMBER(MATCH($B$2:$B$1018,$E$6:$E$11,0)),ROW($C$2:$C$1018)-ROW($C$2)+1),ROWS(L$20:L99))))</f>
        <v>Kerrie  Worrell</v>
      </c>
      <c r="I99" s="4">
        <f t="array" ref="I99">IF(ROWS(M$20:M99)&gt;$F$6,"",INDEX(C$2:C$1018,SMALL(IF(ISNUMBER(MATCH($B$2:$B$1018,$E$6:$E$11,0)),ROW($C$2:$C$1018)-ROW($C$2)+1),ROWS(M$20:M99))))</f>
        <v>22</v>
      </c>
      <c r="K99" s="7">
        <f t="array" ref="K99">IF(ROWS(K$20:K99)&gt;$F$6,"",INDEX(A$2:A$1018,SMALL(IF(($B$2:$B$1018=$E$6)+($B$2:$B$1018=$E$7)+($B$2:$B$1018=$E$8)+($B$2:$B$1018=$E$9)+($B$2:$B$1018=$E$10)+($B$2:$B$1018=$E$11),ROW($C$2:$C$1018)-ROW($C$2)+1),ROWS(K$20:K99))))</f>
        <v>41378</v>
      </c>
      <c r="L99" s="4" t="str">
        <f t="array" ref="L99">IF(ROWS(L$20:L99)&gt;$F$6,"",INDEX(B$2:B$1018,SMALL(IF(($B$2:$B$1018=$E$6)+($B$2:$B$1018=$E$7)+($B$2:$B$1018=$E$8)+($B$2:$B$1018=$E$9)+($B$2:$B$1018=$E$10)+($B$2:$B$1018=$E$11),ROW($C$2:$C$1018)-ROW($C$2)+1),ROWS(L$20:L99))))</f>
        <v>Kerrie  Worrell</v>
      </c>
      <c r="M99" s="4">
        <f t="array" ref="M99">IF(ROWS(M$20:M99)&gt;$F$6,"",INDEX(C$2:C$1018,SMALL(IF(($B$2:$B$1018=$E$6)+($B$2:$B$1018=$E$7)+($B$2:$B$1018=$E$8)+($B$2:$B$1018=$E$9)+($B$2:$B$1018=$E$10)+($B$2:$B$1018=$E$11),ROW($C$2:$C$1018)-ROW($C$2)+1),ROWS(M$20:M99))))</f>
        <v>22</v>
      </c>
    </row>
    <row r="100" spans="1:13" x14ac:dyDescent="0.25">
      <c r="A100" s="3">
        <v>41791</v>
      </c>
      <c r="B100" s="2" t="s">
        <v>42</v>
      </c>
      <c r="C100" s="2">
        <v>5</v>
      </c>
      <c r="G100" s="7">
        <f t="array" ref="G100">IF(ROWS(K$20:K100)&gt;$F$6,"",INDEX(A$2:A$1018,SMALL(IF(ISNUMBER(MATCH($B$2:$B$1018,$E$6:$E$11,0)),ROW($C$2:$C$1018)-ROW($C$2)+1),ROWS(K$20:K100))))</f>
        <v>41739</v>
      </c>
      <c r="H100" s="4" t="str">
        <f t="array" ref="H100">IF(ROWS(L$20:L100)&gt;$F$6,"",INDEX(B$2:B$1018,SMALL(IF(ISNUMBER(MATCH($B$2:$B$1018,$E$6:$E$11,0)),ROW($C$2:$C$1018)-ROW($C$2)+1),ROWS(L$20:L100))))</f>
        <v>Jenni  Thorton</v>
      </c>
      <c r="I100" s="4">
        <f t="array" ref="I100">IF(ROWS(M$20:M100)&gt;$F$6,"",INDEX(C$2:C$1018,SMALL(IF(ISNUMBER(MATCH($B$2:$B$1018,$E$6:$E$11,0)),ROW($C$2:$C$1018)-ROW($C$2)+1),ROWS(M$20:M100))))</f>
        <v>35</v>
      </c>
      <c r="K100" s="7">
        <f t="array" ref="K100">IF(ROWS(K$20:K100)&gt;$F$6,"",INDEX(A$2:A$1018,SMALL(IF(($B$2:$B$1018=$E$6)+($B$2:$B$1018=$E$7)+($B$2:$B$1018=$E$8)+($B$2:$B$1018=$E$9)+($B$2:$B$1018=$E$10)+($B$2:$B$1018=$E$11),ROW($C$2:$C$1018)-ROW($C$2)+1),ROWS(K$20:K100))))</f>
        <v>41739</v>
      </c>
      <c r="L100" s="4" t="str">
        <f t="array" ref="L100">IF(ROWS(L$20:L100)&gt;$F$6,"",INDEX(B$2:B$1018,SMALL(IF(($B$2:$B$1018=$E$6)+($B$2:$B$1018=$E$7)+($B$2:$B$1018=$E$8)+($B$2:$B$1018=$E$9)+($B$2:$B$1018=$E$10)+($B$2:$B$1018=$E$11),ROW($C$2:$C$1018)-ROW($C$2)+1),ROWS(L$20:L100))))</f>
        <v>Jenni  Thorton</v>
      </c>
      <c r="M100" s="4">
        <f t="array" ref="M100">IF(ROWS(M$20:M100)&gt;$F$6,"",INDEX(C$2:C$1018,SMALL(IF(($B$2:$B$1018=$E$6)+($B$2:$B$1018=$E$7)+($B$2:$B$1018=$E$8)+($B$2:$B$1018=$E$9)+($B$2:$B$1018=$E$10)+($B$2:$B$1018=$E$11),ROW($C$2:$C$1018)-ROW($C$2)+1),ROWS(M$20:M100))))</f>
        <v>35</v>
      </c>
    </row>
    <row r="101" spans="1:13" x14ac:dyDescent="0.25">
      <c r="A101" s="3">
        <v>41580</v>
      </c>
      <c r="B101" s="2" t="s">
        <v>16</v>
      </c>
      <c r="C101" s="2">
        <v>28</v>
      </c>
      <c r="G101" s="7">
        <f t="array" ref="G101">IF(ROWS(K$20:K101)&gt;$F$6,"",INDEX(A$2:A$1018,SMALL(IF(ISNUMBER(MATCH($B$2:$B$1018,$E$6:$E$11,0)),ROW($C$2:$C$1018)-ROW($C$2)+1),ROWS(K$20:K101))))</f>
        <v>41869</v>
      </c>
      <c r="H101" s="4" t="str">
        <f t="array" ref="H101">IF(ROWS(L$20:L101)&gt;$F$6,"",INDEX(B$2:B$1018,SMALL(IF(ISNUMBER(MATCH($B$2:$B$1018,$E$6:$E$11,0)),ROW($C$2:$C$1018)-ROW($C$2)+1),ROWS(L$20:L101))))</f>
        <v>Mickey  Bolduc</v>
      </c>
      <c r="I101" s="4">
        <f t="array" ref="I101">IF(ROWS(M$20:M101)&gt;$F$6,"",INDEX(C$2:C$1018,SMALL(IF(ISNUMBER(MATCH($B$2:$B$1018,$E$6:$E$11,0)),ROW($C$2:$C$1018)-ROW($C$2)+1),ROWS(M$20:M101))))</f>
        <v>16</v>
      </c>
      <c r="K101" s="7">
        <f t="array" ref="K101">IF(ROWS(K$20:K101)&gt;$F$6,"",INDEX(A$2:A$1018,SMALL(IF(($B$2:$B$1018=$E$6)+($B$2:$B$1018=$E$7)+($B$2:$B$1018=$E$8)+($B$2:$B$1018=$E$9)+($B$2:$B$1018=$E$10)+($B$2:$B$1018=$E$11),ROW($C$2:$C$1018)-ROW($C$2)+1),ROWS(K$20:K101))))</f>
        <v>41869</v>
      </c>
      <c r="L101" s="4" t="str">
        <f t="array" ref="L101">IF(ROWS(L$20:L101)&gt;$F$6,"",INDEX(B$2:B$1018,SMALL(IF(($B$2:$B$1018=$E$6)+($B$2:$B$1018=$E$7)+($B$2:$B$1018=$E$8)+($B$2:$B$1018=$E$9)+($B$2:$B$1018=$E$10)+($B$2:$B$1018=$E$11),ROW($C$2:$C$1018)-ROW($C$2)+1),ROWS(L$20:L101))))</f>
        <v>Mickey  Bolduc</v>
      </c>
      <c r="M101" s="4">
        <f t="array" ref="M101">IF(ROWS(M$20:M101)&gt;$F$6,"",INDEX(C$2:C$1018,SMALL(IF(($B$2:$B$1018=$E$6)+($B$2:$B$1018=$E$7)+($B$2:$B$1018=$E$8)+($B$2:$B$1018=$E$9)+($B$2:$B$1018=$E$10)+($B$2:$B$1018=$E$11),ROW($C$2:$C$1018)-ROW($C$2)+1),ROWS(M$20:M101))))</f>
        <v>16</v>
      </c>
    </row>
    <row r="102" spans="1:13" x14ac:dyDescent="0.25">
      <c r="A102" s="3">
        <v>41928</v>
      </c>
      <c r="B102" s="2" t="s">
        <v>44</v>
      </c>
      <c r="C102" s="2">
        <v>58</v>
      </c>
      <c r="G102" s="7">
        <f t="array" ref="G102">IF(ROWS(K$20:K102)&gt;$F$6,"",INDEX(A$2:A$1018,SMALL(IF(ISNUMBER(MATCH($B$2:$B$1018,$E$6:$E$11,0)),ROW($C$2:$C$1018)-ROW($C$2)+1),ROWS(K$20:K102))))</f>
        <v>41540</v>
      </c>
      <c r="H102" s="4" t="str">
        <f t="array" ref="H102">IF(ROWS(L$20:L102)&gt;$F$6,"",INDEX(B$2:B$1018,SMALL(IF(ISNUMBER(MATCH($B$2:$B$1018,$E$6:$E$11,0)),ROW($C$2:$C$1018)-ROW($C$2)+1),ROWS(L$20:L102))))</f>
        <v>Rosamond  Allard</v>
      </c>
      <c r="I102" s="4">
        <f t="array" ref="I102">IF(ROWS(M$20:M102)&gt;$F$6,"",INDEX(C$2:C$1018,SMALL(IF(ISNUMBER(MATCH($B$2:$B$1018,$E$6:$E$11,0)),ROW($C$2:$C$1018)-ROW($C$2)+1),ROWS(M$20:M102))))</f>
        <v>45</v>
      </c>
      <c r="K102" s="7">
        <f t="array" ref="K102">IF(ROWS(K$20:K102)&gt;$F$6,"",INDEX(A$2:A$1018,SMALL(IF(($B$2:$B$1018=$E$6)+($B$2:$B$1018=$E$7)+($B$2:$B$1018=$E$8)+($B$2:$B$1018=$E$9)+($B$2:$B$1018=$E$10)+($B$2:$B$1018=$E$11),ROW($C$2:$C$1018)-ROW($C$2)+1),ROWS(K$20:K102))))</f>
        <v>41540</v>
      </c>
      <c r="L102" s="4" t="str">
        <f t="array" ref="L102">IF(ROWS(L$20:L102)&gt;$F$6,"",INDEX(B$2:B$1018,SMALL(IF(($B$2:$B$1018=$E$6)+($B$2:$B$1018=$E$7)+($B$2:$B$1018=$E$8)+($B$2:$B$1018=$E$9)+($B$2:$B$1018=$E$10)+($B$2:$B$1018=$E$11),ROW($C$2:$C$1018)-ROW($C$2)+1),ROWS(L$20:L102))))</f>
        <v>Rosamond  Allard</v>
      </c>
      <c r="M102" s="4">
        <f t="array" ref="M102">IF(ROWS(M$20:M102)&gt;$F$6,"",INDEX(C$2:C$1018,SMALL(IF(($B$2:$B$1018=$E$6)+($B$2:$B$1018=$E$7)+($B$2:$B$1018=$E$8)+($B$2:$B$1018=$E$9)+($B$2:$B$1018=$E$10)+($B$2:$B$1018=$E$11),ROW($C$2:$C$1018)-ROW($C$2)+1),ROWS(M$20:M102))))</f>
        <v>45</v>
      </c>
    </row>
    <row r="103" spans="1:13" x14ac:dyDescent="0.25">
      <c r="A103" s="3">
        <v>41306</v>
      </c>
      <c r="B103" s="2" t="s">
        <v>23</v>
      </c>
      <c r="C103" s="2">
        <v>34</v>
      </c>
      <c r="G103" s="7">
        <f t="array" ref="G103">IF(ROWS(K$20:K103)&gt;$F$6,"",INDEX(A$2:A$1018,SMALL(IF(ISNUMBER(MATCH($B$2:$B$1018,$E$6:$E$11,0)),ROW($C$2:$C$1018)-ROW($C$2)+1),ROWS(K$20:K103))))</f>
        <v>41537</v>
      </c>
      <c r="H103" s="4" t="str">
        <f t="array" ref="H103">IF(ROWS(L$20:L103)&gt;$F$6,"",INDEX(B$2:B$1018,SMALL(IF(ISNUMBER(MATCH($B$2:$B$1018,$E$6:$E$11,0)),ROW($C$2:$C$1018)-ROW($C$2)+1),ROWS(L$20:L103))))</f>
        <v>Rosamond  Allard</v>
      </c>
      <c r="I103" s="4">
        <f t="array" ref="I103">IF(ROWS(M$20:M103)&gt;$F$6,"",INDEX(C$2:C$1018,SMALL(IF(ISNUMBER(MATCH($B$2:$B$1018,$E$6:$E$11,0)),ROW($C$2:$C$1018)-ROW($C$2)+1),ROWS(M$20:M103))))</f>
        <v>39</v>
      </c>
      <c r="K103" s="7">
        <f t="array" ref="K103">IF(ROWS(K$20:K103)&gt;$F$6,"",INDEX(A$2:A$1018,SMALL(IF(($B$2:$B$1018=$E$6)+($B$2:$B$1018=$E$7)+($B$2:$B$1018=$E$8)+($B$2:$B$1018=$E$9)+($B$2:$B$1018=$E$10)+($B$2:$B$1018=$E$11),ROW($C$2:$C$1018)-ROW($C$2)+1),ROWS(K$20:K103))))</f>
        <v>41537</v>
      </c>
      <c r="L103" s="4" t="str">
        <f t="array" ref="L103">IF(ROWS(L$20:L103)&gt;$F$6,"",INDEX(B$2:B$1018,SMALL(IF(($B$2:$B$1018=$E$6)+($B$2:$B$1018=$E$7)+($B$2:$B$1018=$E$8)+($B$2:$B$1018=$E$9)+($B$2:$B$1018=$E$10)+($B$2:$B$1018=$E$11),ROW($C$2:$C$1018)-ROW($C$2)+1),ROWS(L$20:L103))))</f>
        <v>Rosamond  Allard</v>
      </c>
      <c r="M103" s="4">
        <f t="array" ref="M103">IF(ROWS(M$20:M103)&gt;$F$6,"",INDEX(C$2:C$1018,SMALL(IF(($B$2:$B$1018=$E$6)+($B$2:$B$1018=$E$7)+($B$2:$B$1018=$E$8)+($B$2:$B$1018=$E$9)+($B$2:$B$1018=$E$10)+($B$2:$B$1018=$E$11),ROW($C$2:$C$1018)-ROW($C$2)+1),ROWS(M$20:M103))))</f>
        <v>39</v>
      </c>
    </row>
    <row r="104" spans="1:13" x14ac:dyDescent="0.25">
      <c r="A104" s="3">
        <v>41980</v>
      </c>
      <c r="B104" s="2" t="s">
        <v>44</v>
      </c>
      <c r="C104" s="2">
        <v>49</v>
      </c>
      <c r="G104" s="7">
        <f t="array" ref="G104">IF(ROWS(K$20:K104)&gt;$F$6,"",INDEX(A$2:A$1018,SMALL(IF(ISNUMBER(MATCH($B$2:$B$1018,$E$6:$E$11,0)),ROW($C$2:$C$1018)-ROW($C$2)+1),ROWS(K$20:K104))))</f>
        <v>41464</v>
      </c>
      <c r="H104" s="4" t="str">
        <f t="array" ref="H104">IF(ROWS(L$20:L104)&gt;$F$6,"",INDEX(B$2:B$1018,SMALL(IF(ISNUMBER(MATCH($B$2:$B$1018,$E$6:$E$11,0)),ROW($C$2:$C$1018)-ROW($C$2)+1),ROWS(L$20:L104))))</f>
        <v>Jenni  Thorton</v>
      </c>
      <c r="I104" s="4">
        <f t="array" ref="I104">IF(ROWS(M$20:M104)&gt;$F$6,"",INDEX(C$2:C$1018,SMALL(IF(ISNUMBER(MATCH($B$2:$B$1018,$E$6:$E$11,0)),ROW($C$2:$C$1018)-ROW($C$2)+1),ROWS(M$20:M104))))</f>
        <v>19</v>
      </c>
      <c r="K104" s="7">
        <f t="array" ref="K104">IF(ROWS(K$20:K104)&gt;$F$6,"",INDEX(A$2:A$1018,SMALL(IF(($B$2:$B$1018=$E$6)+($B$2:$B$1018=$E$7)+($B$2:$B$1018=$E$8)+($B$2:$B$1018=$E$9)+($B$2:$B$1018=$E$10)+($B$2:$B$1018=$E$11),ROW($C$2:$C$1018)-ROW($C$2)+1),ROWS(K$20:K104))))</f>
        <v>41464</v>
      </c>
      <c r="L104" s="4" t="str">
        <f t="array" ref="L104">IF(ROWS(L$20:L104)&gt;$F$6,"",INDEX(B$2:B$1018,SMALL(IF(($B$2:$B$1018=$E$6)+($B$2:$B$1018=$E$7)+($B$2:$B$1018=$E$8)+($B$2:$B$1018=$E$9)+($B$2:$B$1018=$E$10)+($B$2:$B$1018=$E$11),ROW($C$2:$C$1018)-ROW($C$2)+1),ROWS(L$20:L104))))</f>
        <v>Jenni  Thorton</v>
      </c>
      <c r="M104" s="4">
        <f t="array" ref="M104">IF(ROWS(M$20:M104)&gt;$F$6,"",INDEX(C$2:C$1018,SMALL(IF(($B$2:$B$1018=$E$6)+($B$2:$B$1018=$E$7)+($B$2:$B$1018=$E$8)+($B$2:$B$1018=$E$9)+($B$2:$B$1018=$E$10)+($B$2:$B$1018=$E$11),ROW($C$2:$C$1018)-ROW($C$2)+1),ROWS(M$20:M104))))</f>
        <v>19</v>
      </c>
    </row>
    <row r="105" spans="1:13" x14ac:dyDescent="0.25">
      <c r="A105" s="3">
        <v>41707</v>
      </c>
      <c r="B105" s="2" t="s">
        <v>27</v>
      </c>
      <c r="C105" s="2">
        <v>25</v>
      </c>
      <c r="G105" s="7">
        <f t="array" ref="G105">IF(ROWS(K$20:K105)&gt;$F$6,"",INDEX(A$2:A$1018,SMALL(IF(ISNUMBER(MATCH($B$2:$B$1018,$E$6:$E$11,0)),ROW($C$2:$C$1018)-ROW($C$2)+1),ROWS(K$20:K105))))</f>
        <v>41526</v>
      </c>
      <c r="H105" s="4" t="str">
        <f t="array" ref="H105">IF(ROWS(L$20:L105)&gt;$F$6,"",INDEX(B$2:B$1018,SMALL(IF(ISNUMBER(MATCH($B$2:$B$1018,$E$6:$E$11,0)),ROW($C$2:$C$1018)-ROW($C$2)+1),ROWS(L$20:L105))))</f>
        <v>Jenni  Thorton</v>
      </c>
      <c r="I105" s="4">
        <f t="array" ref="I105">IF(ROWS(M$20:M105)&gt;$F$6,"",INDEX(C$2:C$1018,SMALL(IF(ISNUMBER(MATCH($B$2:$B$1018,$E$6:$E$11,0)),ROW($C$2:$C$1018)-ROW($C$2)+1),ROWS(M$20:M105))))</f>
        <v>23</v>
      </c>
      <c r="K105" s="7">
        <f t="array" ref="K105">IF(ROWS(K$20:K105)&gt;$F$6,"",INDEX(A$2:A$1018,SMALL(IF(($B$2:$B$1018=$E$6)+($B$2:$B$1018=$E$7)+($B$2:$B$1018=$E$8)+($B$2:$B$1018=$E$9)+($B$2:$B$1018=$E$10)+($B$2:$B$1018=$E$11),ROW($C$2:$C$1018)-ROW($C$2)+1),ROWS(K$20:K105))))</f>
        <v>41526</v>
      </c>
      <c r="L105" s="4" t="str">
        <f t="array" ref="L105">IF(ROWS(L$20:L105)&gt;$F$6,"",INDEX(B$2:B$1018,SMALL(IF(($B$2:$B$1018=$E$6)+($B$2:$B$1018=$E$7)+($B$2:$B$1018=$E$8)+($B$2:$B$1018=$E$9)+($B$2:$B$1018=$E$10)+($B$2:$B$1018=$E$11),ROW($C$2:$C$1018)-ROW($C$2)+1),ROWS(L$20:L105))))</f>
        <v>Jenni  Thorton</v>
      </c>
      <c r="M105" s="4">
        <f t="array" ref="M105">IF(ROWS(M$20:M105)&gt;$F$6,"",INDEX(C$2:C$1018,SMALL(IF(($B$2:$B$1018=$E$6)+($B$2:$B$1018=$E$7)+($B$2:$B$1018=$E$8)+($B$2:$B$1018=$E$9)+($B$2:$B$1018=$E$10)+($B$2:$B$1018=$E$11),ROW($C$2:$C$1018)-ROW($C$2)+1),ROWS(M$20:M105))))</f>
        <v>23</v>
      </c>
    </row>
    <row r="106" spans="1:13" x14ac:dyDescent="0.25">
      <c r="A106" s="3">
        <v>41546</v>
      </c>
      <c r="B106" s="2" t="s">
        <v>44</v>
      </c>
      <c r="C106" s="2">
        <v>19</v>
      </c>
      <c r="G106" s="7">
        <f t="array" ref="G106">IF(ROWS(K$20:K106)&gt;$F$6,"",INDEX(A$2:A$1018,SMALL(IF(ISNUMBER(MATCH($B$2:$B$1018,$E$6:$E$11,0)),ROW($C$2:$C$1018)-ROW($C$2)+1),ROWS(K$20:K106))))</f>
        <v>41608</v>
      </c>
      <c r="H106" s="4" t="str">
        <f t="array" ref="H106">IF(ROWS(L$20:L106)&gt;$F$6,"",INDEX(B$2:B$1018,SMALL(IF(ISNUMBER(MATCH($B$2:$B$1018,$E$6:$E$11,0)),ROW($C$2:$C$1018)-ROW($C$2)+1),ROWS(L$20:L106))))</f>
        <v>Rosamond  Allard</v>
      </c>
      <c r="I106" s="4">
        <f t="array" ref="I106">IF(ROWS(M$20:M106)&gt;$F$6,"",INDEX(C$2:C$1018,SMALL(IF(ISNUMBER(MATCH($B$2:$B$1018,$E$6:$E$11,0)),ROW($C$2:$C$1018)-ROW($C$2)+1),ROWS(M$20:M106))))</f>
        <v>36</v>
      </c>
      <c r="K106" s="7">
        <f t="array" ref="K106">IF(ROWS(K$20:K106)&gt;$F$6,"",INDEX(A$2:A$1018,SMALL(IF(($B$2:$B$1018=$E$6)+($B$2:$B$1018=$E$7)+($B$2:$B$1018=$E$8)+($B$2:$B$1018=$E$9)+($B$2:$B$1018=$E$10)+($B$2:$B$1018=$E$11),ROW($C$2:$C$1018)-ROW($C$2)+1),ROWS(K$20:K106))))</f>
        <v>41608</v>
      </c>
      <c r="L106" s="4" t="str">
        <f t="array" ref="L106">IF(ROWS(L$20:L106)&gt;$F$6,"",INDEX(B$2:B$1018,SMALL(IF(($B$2:$B$1018=$E$6)+($B$2:$B$1018=$E$7)+($B$2:$B$1018=$E$8)+($B$2:$B$1018=$E$9)+($B$2:$B$1018=$E$10)+($B$2:$B$1018=$E$11),ROW($C$2:$C$1018)-ROW($C$2)+1),ROWS(L$20:L106))))</f>
        <v>Rosamond  Allard</v>
      </c>
      <c r="M106" s="4">
        <f t="array" ref="M106">IF(ROWS(M$20:M106)&gt;$F$6,"",INDEX(C$2:C$1018,SMALL(IF(($B$2:$B$1018=$E$6)+($B$2:$B$1018=$E$7)+($B$2:$B$1018=$E$8)+($B$2:$B$1018=$E$9)+($B$2:$B$1018=$E$10)+($B$2:$B$1018=$E$11),ROW($C$2:$C$1018)-ROW($C$2)+1),ROWS(M$20:M106))))</f>
        <v>36</v>
      </c>
    </row>
    <row r="107" spans="1:13" x14ac:dyDescent="0.25">
      <c r="A107" s="3">
        <v>41425</v>
      </c>
      <c r="B107" s="2" t="s">
        <v>25</v>
      </c>
      <c r="C107" s="2">
        <v>13</v>
      </c>
      <c r="G107" s="7">
        <f t="array" ref="G107">IF(ROWS(K$20:K107)&gt;$F$6,"",INDEX(A$2:A$1018,SMALL(IF(ISNUMBER(MATCH($B$2:$B$1018,$E$6:$E$11,0)),ROW($C$2:$C$1018)-ROW($C$2)+1),ROWS(K$20:K107))))</f>
        <v>41859</v>
      </c>
      <c r="H107" s="4" t="str">
        <f t="array" ref="H107">IF(ROWS(L$20:L107)&gt;$F$6,"",INDEX(B$2:B$1018,SMALL(IF(ISNUMBER(MATCH($B$2:$B$1018,$E$6:$E$11,0)),ROW($C$2:$C$1018)-ROW($C$2)+1),ROWS(L$20:L107))))</f>
        <v>Rosamond  Allard</v>
      </c>
      <c r="I107" s="4">
        <f t="array" ref="I107">IF(ROWS(M$20:M107)&gt;$F$6,"",INDEX(C$2:C$1018,SMALL(IF(ISNUMBER(MATCH($B$2:$B$1018,$E$6:$E$11,0)),ROW($C$2:$C$1018)-ROW($C$2)+1),ROWS(M$20:M107))))</f>
        <v>21</v>
      </c>
      <c r="K107" s="7">
        <f t="array" ref="K107">IF(ROWS(K$20:K107)&gt;$F$6,"",INDEX(A$2:A$1018,SMALL(IF(($B$2:$B$1018=$E$6)+($B$2:$B$1018=$E$7)+($B$2:$B$1018=$E$8)+($B$2:$B$1018=$E$9)+($B$2:$B$1018=$E$10)+($B$2:$B$1018=$E$11),ROW($C$2:$C$1018)-ROW($C$2)+1),ROWS(K$20:K107))))</f>
        <v>41859</v>
      </c>
      <c r="L107" s="4" t="str">
        <f t="array" ref="L107">IF(ROWS(L$20:L107)&gt;$F$6,"",INDEX(B$2:B$1018,SMALL(IF(($B$2:$B$1018=$E$6)+($B$2:$B$1018=$E$7)+($B$2:$B$1018=$E$8)+($B$2:$B$1018=$E$9)+($B$2:$B$1018=$E$10)+($B$2:$B$1018=$E$11),ROW($C$2:$C$1018)-ROW($C$2)+1),ROWS(L$20:L107))))</f>
        <v>Rosamond  Allard</v>
      </c>
      <c r="M107" s="4">
        <f t="array" ref="M107">IF(ROWS(M$20:M107)&gt;$F$6,"",INDEX(C$2:C$1018,SMALL(IF(($B$2:$B$1018=$E$6)+($B$2:$B$1018=$E$7)+($B$2:$B$1018=$E$8)+($B$2:$B$1018=$E$9)+($B$2:$B$1018=$E$10)+($B$2:$B$1018=$E$11),ROW($C$2:$C$1018)-ROW($C$2)+1),ROWS(M$20:M107))))</f>
        <v>21</v>
      </c>
    </row>
    <row r="108" spans="1:13" x14ac:dyDescent="0.25">
      <c r="A108" s="3">
        <v>41278</v>
      </c>
      <c r="B108" s="2" t="s">
        <v>16</v>
      </c>
      <c r="C108" s="2">
        <v>33</v>
      </c>
      <c r="G108" s="7">
        <f t="array" ref="G108">IF(ROWS(K$20:K108)&gt;$F$6,"",INDEX(A$2:A$1018,SMALL(IF(ISNUMBER(MATCH($B$2:$B$1018,$E$6:$E$11,0)),ROW($C$2:$C$1018)-ROW($C$2)+1),ROWS(K$20:K108))))</f>
        <v>41699</v>
      </c>
      <c r="H108" s="4" t="str">
        <f t="array" ref="H108">IF(ROWS(L$20:L108)&gt;$F$6,"",INDEX(B$2:B$1018,SMALL(IF(ISNUMBER(MATCH($B$2:$B$1018,$E$6:$E$11,0)),ROW($C$2:$C$1018)-ROW($C$2)+1),ROWS(L$20:L108))))</f>
        <v>Rosamond  Allard</v>
      </c>
      <c r="I108" s="4">
        <f t="array" ref="I108">IF(ROWS(M$20:M108)&gt;$F$6,"",INDEX(C$2:C$1018,SMALL(IF(ISNUMBER(MATCH($B$2:$B$1018,$E$6:$E$11,0)),ROW($C$2:$C$1018)-ROW($C$2)+1),ROWS(M$20:M108))))</f>
        <v>44</v>
      </c>
      <c r="K108" s="7">
        <f t="array" ref="K108">IF(ROWS(K$20:K108)&gt;$F$6,"",INDEX(A$2:A$1018,SMALL(IF(($B$2:$B$1018=$E$6)+($B$2:$B$1018=$E$7)+($B$2:$B$1018=$E$8)+($B$2:$B$1018=$E$9)+($B$2:$B$1018=$E$10)+($B$2:$B$1018=$E$11),ROW($C$2:$C$1018)-ROW($C$2)+1),ROWS(K$20:K108))))</f>
        <v>41699</v>
      </c>
      <c r="L108" s="4" t="str">
        <f t="array" ref="L108">IF(ROWS(L$20:L108)&gt;$F$6,"",INDEX(B$2:B$1018,SMALL(IF(($B$2:$B$1018=$E$6)+($B$2:$B$1018=$E$7)+($B$2:$B$1018=$E$8)+($B$2:$B$1018=$E$9)+($B$2:$B$1018=$E$10)+($B$2:$B$1018=$E$11),ROW($C$2:$C$1018)-ROW($C$2)+1),ROWS(L$20:L108))))</f>
        <v>Rosamond  Allard</v>
      </c>
      <c r="M108" s="4">
        <f t="array" ref="M108">IF(ROWS(M$20:M108)&gt;$F$6,"",INDEX(C$2:C$1018,SMALL(IF(($B$2:$B$1018=$E$6)+($B$2:$B$1018=$E$7)+($B$2:$B$1018=$E$8)+($B$2:$B$1018=$E$9)+($B$2:$B$1018=$E$10)+($B$2:$B$1018=$E$11),ROW($C$2:$C$1018)-ROW($C$2)+1),ROWS(M$20:M108))))</f>
        <v>44</v>
      </c>
    </row>
    <row r="109" spans="1:13" x14ac:dyDescent="0.25">
      <c r="A109" s="3">
        <v>41895</v>
      </c>
      <c r="B109" s="2" t="s">
        <v>20</v>
      </c>
      <c r="C109" s="2">
        <v>13</v>
      </c>
      <c r="G109" s="7">
        <f t="array" ref="G109">IF(ROWS(K$20:K109)&gt;$F$6,"",INDEX(A$2:A$1018,SMALL(IF(ISNUMBER(MATCH($B$2:$B$1018,$E$6:$E$11,0)),ROW($C$2:$C$1018)-ROW($C$2)+1),ROWS(K$20:K109))))</f>
        <v>41897</v>
      </c>
      <c r="H109" s="4" t="str">
        <f t="array" ref="H109">IF(ROWS(L$20:L109)&gt;$F$6,"",INDEX(B$2:B$1018,SMALL(IF(ISNUMBER(MATCH($B$2:$B$1018,$E$6:$E$11,0)),ROW($C$2:$C$1018)-ROW($C$2)+1),ROWS(L$20:L109))))</f>
        <v>Kerrie  Worrell</v>
      </c>
      <c r="I109" s="4">
        <f t="array" ref="I109">IF(ROWS(M$20:M109)&gt;$F$6,"",INDEX(C$2:C$1018,SMALL(IF(ISNUMBER(MATCH($B$2:$B$1018,$E$6:$E$11,0)),ROW($C$2:$C$1018)-ROW($C$2)+1),ROWS(M$20:M109))))</f>
        <v>15</v>
      </c>
      <c r="K109" s="7">
        <f t="array" ref="K109">IF(ROWS(K$20:K109)&gt;$F$6,"",INDEX(A$2:A$1018,SMALL(IF(($B$2:$B$1018=$E$6)+($B$2:$B$1018=$E$7)+($B$2:$B$1018=$E$8)+($B$2:$B$1018=$E$9)+($B$2:$B$1018=$E$10)+($B$2:$B$1018=$E$11),ROW($C$2:$C$1018)-ROW($C$2)+1),ROWS(K$20:K109))))</f>
        <v>41897</v>
      </c>
      <c r="L109" s="4" t="str">
        <f t="array" ref="L109">IF(ROWS(L$20:L109)&gt;$F$6,"",INDEX(B$2:B$1018,SMALL(IF(($B$2:$B$1018=$E$6)+($B$2:$B$1018=$E$7)+($B$2:$B$1018=$E$8)+($B$2:$B$1018=$E$9)+($B$2:$B$1018=$E$10)+($B$2:$B$1018=$E$11),ROW($C$2:$C$1018)-ROW($C$2)+1),ROWS(L$20:L109))))</f>
        <v>Kerrie  Worrell</v>
      </c>
      <c r="M109" s="4">
        <f t="array" ref="M109">IF(ROWS(M$20:M109)&gt;$F$6,"",INDEX(C$2:C$1018,SMALL(IF(($B$2:$B$1018=$E$6)+($B$2:$B$1018=$E$7)+($B$2:$B$1018=$E$8)+($B$2:$B$1018=$E$9)+($B$2:$B$1018=$E$10)+($B$2:$B$1018=$E$11),ROW($C$2:$C$1018)-ROW($C$2)+1),ROWS(M$20:M109))))</f>
        <v>15</v>
      </c>
    </row>
    <row r="110" spans="1:13" x14ac:dyDescent="0.25">
      <c r="A110" s="3">
        <v>41886</v>
      </c>
      <c r="B110" s="2" t="s">
        <v>2</v>
      </c>
      <c r="C110" s="2">
        <v>11</v>
      </c>
      <c r="G110" s="7">
        <f t="array" ref="G110">IF(ROWS(K$20:K110)&gt;$F$6,"",INDEX(A$2:A$1018,SMALL(IF(ISNUMBER(MATCH($B$2:$B$1018,$E$6:$E$11,0)),ROW($C$2:$C$1018)-ROW($C$2)+1),ROWS(K$20:K110))))</f>
        <v>41357</v>
      </c>
      <c r="H110" s="4" t="str">
        <f t="array" ref="H110">IF(ROWS(L$20:L110)&gt;$F$6,"",INDEX(B$2:B$1018,SMALL(IF(ISNUMBER(MATCH($B$2:$B$1018,$E$6:$E$11,0)),ROW($C$2:$C$1018)-ROW($C$2)+1),ROWS(L$20:L110))))</f>
        <v>Rosamond  Allard</v>
      </c>
      <c r="I110" s="4">
        <f t="array" ref="I110">IF(ROWS(M$20:M110)&gt;$F$6,"",INDEX(C$2:C$1018,SMALL(IF(ISNUMBER(MATCH($B$2:$B$1018,$E$6:$E$11,0)),ROW($C$2:$C$1018)-ROW($C$2)+1),ROWS(M$20:M110))))</f>
        <v>34</v>
      </c>
      <c r="K110" s="7">
        <f t="array" ref="K110">IF(ROWS(K$20:K110)&gt;$F$6,"",INDEX(A$2:A$1018,SMALL(IF(($B$2:$B$1018=$E$6)+($B$2:$B$1018=$E$7)+($B$2:$B$1018=$E$8)+($B$2:$B$1018=$E$9)+($B$2:$B$1018=$E$10)+($B$2:$B$1018=$E$11),ROW($C$2:$C$1018)-ROW($C$2)+1),ROWS(K$20:K110))))</f>
        <v>41357</v>
      </c>
      <c r="L110" s="4" t="str">
        <f t="array" ref="L110">IF(ROWS(L$20:L110)&gt;$F$6,"",INDEX(B$2:B$1018,SMALL(IF(($B$2:$B$1018=$E$6)+($B$2:$B$1018=$E$7)+($B$2:$B$1018=$E$8)+($B$2:$B$1018=$E$9)+($B$2:$B$1018=$E$10)+($B$2:$B$1018=$E$11),ROW($C$2:$C$1018)-ROW($C$2)+1),ROWS(L$20:L110))))</f>
        <v>Rosamond  Allard</v>
      </c>
      <c r="M110" s="4">
        <f t="array" ref="M110">IF(ROWS(M$20:M110)&gt;$F$6,"",INDEX(C$2:C$1018,SMALL(IF(($B$2:$B$1018=$E$6)+($B$2:$B$1018=$E$7)+($B$2:$B$1018=$E$8)+($B$2:$B$1018=$E$9)+($B$2:$B$1018=$E$10)+($B$2:$B$1018=$E$11),ROW($C$2:$C$1018)-ROW($C$2)+1),ROWS(M$20:M110))))</f>
        <v>34</v>
      </c>
    </row>
    <row r="111" spans="1:13" x14ac:dyDescent="0.25">
      <c r="A111" s="3">
        <v>41500</v>
      </c>
      <c r="B111" s="2" t="s">
        <v>3</v>
      </c>
      <c r="C111" s="2">
        <v>20</v>
      </c>
      <c r="G111" s="7">
        <f t="array" ref="G111">IF(ROWS(K$20:K111)&gt;$F$6,"",INDEX(A$2:A$1018,SMALL(IF(ISNUMBER(MATCH($B$2:$B$1018,$E$6:$E$11,0)),ROW($C$2:$C$1018)-ROW($C$2)+1),ROWS(K$20:K111))))</f>
        <v>41568</v>
      </c>
      <c r="H111" s="4" t="str">
        <f t="array" ref="H111">IF(ROWS(L$20:L111)&gt;$F$6,"",INDEX(B$2:B$1018,SMALL(IF(ISNUMBER(MATCH($B$2:$B$1018,$E$6:$E$11,0)),ROW($C$2:$C$1018)-ROW($C$2)+1),ROWS(L$20:L111))))</f>
        <v>Galen  Barth</v>
      </c>
      <c r="I111" s="4">
        <f t="array" ref="I111">IF(ROWS(M$20:M111)&gt;$F$6,"",INDEX(C$2:C$1018,SMALL(IF(ISNUMBER(MATCH($B$2:$B$1018,$E$6:$E$11,0)),ROW($C$2:$C$1018)-ROW($C$2)+1),ROWS(M$20:M111))))</f>
        <v>24</v>
      </c>
      <c r="K111" s="7">
        <f t="array" ref="K111">IF(ROWS(K$20:K111)&gt;$F$6,"",INDEX(A$2:A$1018,SMALL(IF(($B$2:$B$1018=$E$6)+($B$2:$B$1018=$E$7)+($B$2:$B$1018=$E$8)+($B$2:$B$1018=$E$9)+($B$2:$B$1018=$E$10)+($B$2:$B$1018=$E$11),ROW($C$2:$C$1018)-ROW($C$2)+1),ROWS(K$20:K111))))</f>
        <v>41568</v>
      </c>
      <c r="L111" s="4" t="str">
        <f t="array" ref="L111">IF(ROWS(L$20:L111)&gt;$F$6,"",INDEX(B$2:B$1018,SMALL(IF(($B$2:$B$1018=$E$6)+($B$2:$B$1018=$E$7)+($B$2:$B$1018=$E$8)+($B$2:$B$1018=$E$9)+($B$2:$B$1018=$E$10)+($B$2:$B$1018=$E$11),ROW($C$2:$C$1018)-ROW($C$2)+1),ROWS(L$20:L111))))</f>
        <v>Galen  Barth</v>
      </c>
      <c r="M111" s="4">
        <f t="array" ref="M111">IF(ROWS(M$20:M111)&gt;$F$6,"",INDEX(C$2:C$1018,SMALL(IF(($B$2:$B$1018=$E$6)+($B$2:$B$1018=$E$7)+($B$2:$B$1018=$E$8)+($B$2:$B$1018=$E$9)+($B$2:$B$1018=$E$10)+($B$2:$B$1018=$E$11),ROW($C$2:$C$1018)-ROW($C$2)+1),ROWS(M$20:M111))))</f>
        <v>24</v>
      </c>
    </row>
    <row r="112" spans="1:13" x14ac:dyDescent="0.25">
      <c r="A112" s="3">
        <v>41939</v>
      </c>
      <c r="B112" s="2" t="s">
        <v>49</v>
      </c>
      <c r="C112" s="2">
        <v>42</v>
      </c>
      <c r="G112" s="7">
        <f t="array" ref="G112">IF(ROWS(K$20:K112)&gt;$F$6,"",INDEX(A$2:A$1018,SMALL(IF(ISNUMBER(MATCH($B$2:$B$1018,$E$6:$E$11,0)),ROW($C$2:$C$1018)-ROW($C$2)+1),ROWS(K$20:K112))))</f>
        <v>41502</v>
      </c>
      <c r="H112" s="4" t="str">
        <f t="array" ref="H112">IF(ROWS(L$20:L112)&gt;$F$6,"",INDEX(B$2:B$1018,SMALL(IF(ISNUMBER(MATCH($B$2:$B$1018,$E$6:$E$11,0)),ROW($C$2:$C$1018)-ROW($C$2)+1),ROWS(L$20:L112))))</f>
        <v>Kerrie  Worrell</v>
      </c>
      <c r="I112" s="4">
        <f t="array" ref="I112">IF(ROWS(M$20:M112)&gt;$F$6,"",INDEX(C$2:C$1018,SMALL(IF(ISNUMBER(MATCH($B$2:$B$1018,$E$6:$E$11,0)),ROW($C$2:$C$1018)-ROW($C$2)+1),ROWS(M$20:M112))))</f>
        <v>39</v>
      </c>
      <c r="K112" s="7">
        <f t="array" ref="K112">IF(ROWS(K$20:K112)&gt;$F$6,"",INDEX(A$2:A$1018,SMALL(IF(($B$2:$B$1018=$E$6)+($B$2:$B$1018=$E$7)+($B$2:$B$1018=$E$8)+($B$2:$B$1018=$E$9)+($B$2:$B$1018=$E$10)+($B$2:$B$1018=$E$11),ROW($C$2:$C$1018)-ROW($C$2)+1),ROWS(K$20:K112))))</f>
        <v>41502</v>
      </c>
      <c r="L112" s="4" t="str">
        <f t="array" ref="L112">IF(ROWS(L$20:L112)&gt;$F$6,"",INDEX(B$2:B$1018,SMALL(IF(($B$2:$B$1018=$E$6)+($B$2:$B$1018=$E$7)+($B$2:$B$1018=$E$8)+($B$2:$B$1018=$E$9)+($B$2:$B$1018=$E$10)+($B$2:$B$1018=$E$11),ROW($C$2:$C$1018)-ROW($C$2)+1),ROWS(L$20:L112))))</f>
        <v>Kerrie  Worrell</v>
      </c>
      <c r="M112" s="4">
        <f t="array" ref="M112">IF(ROWS(M$20:M112)&gt;$F$6,"",INDEX(C$2:C$1018,SMALL(IF(($B$2:$B$1018=$E$6)+($B$2:$B$1018=$E$7)+($B$2:$B$1018=$E$8)+($B$2:$B$1018=$E$9)+($B$2:$B$1018=$E$10)+($B$2:$B$1018=$E$11),ROW($C$2:$C$1018)-ROW($C$2)+1),ROWS(M$20:M112))))</f>
        <v>39</v>
      </c>
    </row>
    <row r="113" spans="1:13" x14ac:dyDescent="0.25">
      <c r="A113" s="3">
        <v>41697</v>
      </c>
      <c r="B113" s="2" t="s">
        <v>27</v>
      </c>
      <c r="C113" s="2">
        <v>18</v>
      </c>
      <c r="G113" s="7">
        <f t="array" ref="G113">IF(ROWS(K$20:K113)&gt;$F$6,"",INDEX(A$2:A$1018,SMALL(IF(ISNUMBER(MATCH($B$2:$B$1018,$E$6:$E$11,0)),ROW($C$2:$C$1018)-ROW($C$2)+1),ROWS(K$20:K113))))</f>
        <v>41766</v>
      </c>
      <c r="H113" s="4" t="str">
        <f t="array" ref="H113">IF(ROWS(L$20:L113)&gt;$F$6,"",INDEX(B$2:B$1018,SMALL(IF(ISNUMBER(MATCH($B$2:$B$1018,$E$6:$E$11,0)),ROW($C$2:$C$1018)-ROW($C$2)+1),ROWS(L$20:L113))))</f>
        <v>Kerrie  Worrell</v>
      </c>
      <c r="I113" s="4">
        <f t="array" ref="I113">IF(ROWS(M$20:M113)&gt;$F$6,"",INDEX(C$2:C$1018,SMALL(IF(ISNUMBER(MATCH($B$2:$B$1018,$E$6:$E$11,0)),ROW($C$2:$C$1018)-ROW($C$2)+1),ROWS(M$20:M113))))</f>
        <v>35</v>
      </c>
      <c r="K113" s="7">
        <f t="array" ref="K113">IF(ROWS(K$20:K113)&gt;$F$6,"",INDEX(A$2:A$1018,SMALL(IF(($B$2:$B$1018=$E$6)+($B$2:$B$1018=$E$7)+($B$2:$B$1018=$E$8)+($B$2:$B$1018=$E$9)+($B$2:$B$1018=$E$10)+($B$2:$B$1018=$E$11),ROW($C$2:$C$1018)-ROW($C$2)+1),ROWS(K$20:K113))))</f>
        <v>41766</v>
      </c>
      <c r="L113" s="4" t="str">
        <f t="array" ref="L113">IF(ROWS(L$20:L113)&gt;$F$6,"",INDEX(B$2:B$1018,SMALL(IF(($B$2:$B$1018=$E$6)+($B$2:$B$1018=$E$7)+($B$2:$B$1018=$E$8)+($B$2:$B$1018=$E$9)+($B$2:$B$1018=$E$10)+($B$2:$B$1018=$E$11),ROW($C$2:$C$1018)-ROW($C$2)+1),ROWS(L$20:L113))))</f>
        <v>Kerrie  Worrell</v>
      </c>
      <c r="M113" s="4">
        <f t="array" ref="M113">IF(ROWS(M$20:M113)&gt;$F$6,"",INDEX(C$2:C$1018,SMALL(IF(($B$2:$B$1018=$E$6)+($B$2:$B$1018=$E$7)+($B$2:$B$1018=$E$8)+($B$2:$B$1018=$E$9)+($B$2:$B$1018=$E$10)+($B$2:$B$1018=$E$11),ROW($C$2:$C$1018)-ROW($C$2)+1),ROWS(M$20:M113))))</f>
        <v>35</v>
      </c>
    </row>
    <row r="114" spans="1:13" x14ac:dyDescent="0.25">
      <c r="A114" s="3">
        <v>41722</v>
      </c>
      <c r="B114" s="2" t="s">
        <v>45</v>
      </c>
      <c r="C114" s="2">
        <v>18</v>
      </c>
      <c r="G114" s="7">
        <f t="array" ref="G114">IF(ROWS(K$20:K114)&gt;$F$6,"",INDEX(A$2:A$1018,SMALL(IF(ISNUMBER(MATCH($B$2:$B$1018,$E$6:$E$11,0)),ROW($C$2:$C$1018)-ROW($C$2)+1),ROWS(K$20:K114))))</f>
        <v>41298</v>
      </c>
      <c r="H114" s="4" t="str">
        <f t="array" ref="H114">IF(ROWS(L$20:L114)&gt;$F$6,"",INDEX(B$2:B$1018,SMALL(IF(ISNUMBER(MATCH($B$2:$B$1018,$E$6:$E$11,0)),ROW($C$2:$C$1018)-ROW($C$2)+1),ROWS(L$20:L114))))</f>
        <v>Mickey  Bolduc</v>
      </c>
      <c r="I114" s="4">
        <f t="array" ref="I114">IF(ROWS(M$20:M114)&gt;$F$6,"",INDEX(C$2:C$1018,SMALL(IF(ISNUMBER(MATCH($B$2:$B$1018,$E$6:$E$11,0)),ROW($C$2:$C$1018)-ROW($C$2)+1),ROWS(M$20:M114))))</f>
        <v>23</v>
      </c>
      <c r="K114" s="7">
        <f t="array" ref="K114">IF(ROWS(K$20:K114)&gt;$F$6,"",INDEX(A$2:A$1018,SMALL(IF(($B$2:$B$1018=$E$6)+($B$2:$B$1018=$E$7)+($B$2:$B$1018=$E$8)+($B$2:$B$1018=$E$9)+($B$2:$B$1018=$E$10)+($B$2:$B$1018=$E$11),ROW($C$2:$C$1018)-ROW($C$2)+1),ROWS(K$20:K114))))</f>
        <v>41298</v>
      </c>
      <c r="L114" s="4" t="str">
        <f t="array" ref="L114">IF(ROWS(L$20:L114)&gt;$F$6,"",INDEX(B$2:B$1018,SMALL(IF(($B$2:$B$1018=$E$6)+($B$2:$B$1018=$E$7)+($B$2:$B$1018=$E$8)+($B$2:$B$1018=$E$9)+($B$2:$B$1018=$E$10)+($B$2:$B$1018=$E$11),ROW($C$2:$C$1018)-ROW($C$2)+1),ROWS(L$20:L114))))</f>
        <v>Mickey  Bolduc</v>
      </c>
      <c r="M114" s="4">
        <f t="array" ref="M114">IF(ROWS(M$20:M114)&gt;$F$6,"",INDEX(C$2:C$1018,SMALL(IF(($B$2:$B$1018=$E$6)+($B$2:$B$1018=$E$7)+($B$2:$B$1018=$E$8)+($B$2:$B$1018=$E$9)+($B$2:$B$1018=$E$10)+($B$2:$B$1018=$E$11),ROW($C$2:$C$1018)-ROW($C$2)+1),ROWS(M$20:M114))))</f>
        <v>23</v>
      </c>
    </row>
    <row r="115" spans="1:13" x14ac:dyDescent="0.25">
      <c r="A115" s="3">
        <v>41728</v>
      </c>
      <c r="B115" s="2" t="s">
        <v>21</v>
      </c>
      <c r="C115" s="2">
        <v>21</v>
      </c>
      <c r="G115" s="7">
        <f t="array" ref="G115">IF(ROWS(K$20:K115)&gt;$F$6,"",INDEX(A$2:A$1018,SMALL(IF(ISNUMBER(MATCH($B$2:$B$1018,$E$6:$E$11,0)),ROW($C$2:$C$1018)-ROW($C$2)+1),ROWS(K$20:K115))))</f>
        <v>41339</v>
      </c>
      <c r="H115" s="4" t="str">
        <f t="array" ref="H115">IF(ROWS(L$20:L115)&gt;$F$6,"",INDEX(B$2:B$1018,SMALL(IF(ISNUMBER(MATCH($B$2:$B$1018,$E$6:$E$11,0)),ROW($C$2:$C$1018)-ROW($C$2)+1),ROWS(L$20:L115))))</f>
        <v>Mickey  Bolduc</v>
      </c>
      <c r="I115" s="4">
        <f t="array" ref="I115">IF(ROWS(M$20:M115)&gt;$F$6,"",INDEX(C$2:C$1018,SMALL(IF(ISNUMBER(MATCH($B$2:$B$1018,$E$6:$E$11,0)),ROW($C$2:$C$1018)-ROW($C$2)+1),ROWS(M$20:M115))))</f>
        <v>1</v>
      </c>
      <c r="K115" s="7">
        <f t="array" ref="K115">IF(ROWS(K$20:K115)&gt;$F$6,"",INDEX(A$2:A$1018,SMALL(IF(($B$2:$B$1018=$E$6)+($B$2:$B$1018=$E$7)+($B$2:$B$1018=$E$8)+($B$2:$B$1018=$E$9)+($B$2:$B$1018=$E$10)+($B$2:$B$1018=$E$11),ROW($C$2:$C$1018)-ROW($C$2)+1),ROWS(K$20:K115))))</f>
        <v>41339</v>
      </c>
      <c r="L115" s="4" t="str">
        <f t="array" ref="L115">IF(ROWS(L$20:L115)&gt;$F$6,"",INDEX(B$2:B$1018,SMALL(IF(($B$2:$B$1018=$E$6)+($B$2:$B$1018=$E$7)+($B$2:$B$1018=$E$8)+($B$2:$B$1018=$E$9)+($B$2:$B$1018=$E$10)+($B$2:$B$1018=$E$11),ROW($C$2:$C$1018)-ROW($C$2)+1),ROWS(L$20:L115))))</f>
        <v>Mickey  Bolduc</v>
      </c>
      <c r="M115" s="4">
        <f t="array" ref="M115">IF(ROWS(M$20:M115)&gt;$F$6,"",INDEX(C$2:C$1018,SMALL(IF(($B$2:$B$1018=$E$6)+($B$2:$B$1018=$E$7)+($B$2:$B$1018=$E$8)+($B$2:$B$1018=$E$9)+($B$2:$B$1018=$E$10)+($B$2:$B$1018=$E$11),ROW($C$2:$C$1018)-ROW($C$2)+1),ROWS(M$20:M115))))</f>
        <v>1</v>
      </c>
    </row>
    <row r="116" spans="1:13" x14ac:dyDescent="0.25">
      <c r="A116" s="3">
        <v>41915</v>
      </c>
      <c r="B116" s="2" t="s">
        <v>26</v>
      </c>
      <c r="C116" s="2">
        <v>57</v>
      </c>
      <c r="G116" s="7">
        <f t="array" ref="G116">IF(ROWS(K$20:K116)&gt;$F$6,"",INDEX(A$2:A$1018,SMALL(IF(ISNUMBER(MATCH($B$2:$B$1018,$E$6:$E$11,0)),ROW($C$2:$C$1018)-ROW($C$2)+1),ROWS(K$20:K116))))</f>
        <v>41419</v>
      </c>
      <c r="H116" s="4" t="str">
        <f t="array" ref="H116">IF(ROWS(L$20:L116)&gt;$F$6,"",INDEX(B$2:B$1018,SMALL(IF(ISNUMBER(MATCH($B$2:$B$1018,$E$6:$E$11,0)),ROW($C$2:$C$1018)-ROW($C$2)+1),ROWS(L$20:L116))))</f>
        <v>Mickey  Bolduc</v>
      </c>
      <c r="I116" s="4">
        <f t="array" ref="I116">IF(ROWS(M$20:M116)&gt;$F$6,"",INDEX(C$2:C$1018,SMALL(IF(ISNUMBER(MATCH($B$2:$B$1018,$E$6:$E$11,0)),ROW($C$2:$C$1018)-ROW($C$2)+1),ROWS(M$20:M116))))</f>
        <v>22</v>
      </c>
      <c r="K116" s="7">
        <f t="array" ref="K116">IF(ROWS(K$20:K116)&gt;$F$6,"",INDEX(A$2:A$1018,SMALL(IF(($B$2:$B$1018=$E$6)+($B$2:$B$1018=$E$7)+($B$2:$B$1018=$E$8)+($B$2:$B$1018=$E$9)+($B$2:$B$1018=$E$10)+($B$2:$B$1018=$E$11),ROW($C$2:$C$1018)-ROW($C$2)+1),ROWS(K$20:K116))))</f>
        <v>41419</v>
      </c>
      <c r="L116" s="4" t="str">
        <f t="array" ref="L116">IF(ROWS(L$20:L116)&gt;$F$6,"",INDEX(B$2:B$1018,SMALL(IF(($B$2:$B$1018=$E$6)+($B$2:$B$1018=$E$7)+($B$2:$B$1018=$E$8)+($B$2:$B$1018=$E$9)+($B$2:$B$1018=$E$10)+($B$2:$B$1018=$E$11),ROW($C$2:$C$1018)-ROW($C$2)+1),ROWS(L$20:L116))))</f>
        <v>Mickey  Bolduc</v>
      </c>
      <c r="M116" s="4">
        <f t="array" ref="M116">IF(ROWS(M$20:M116)&gt;$F$6,"",INDEX(C$2:C$1018,SMALL(IF(($B$2:$B$1018=$E$6)+($B$2:$B$1018=$E$7)+($B$2:$B$1018=$E$8)+($B$2:$B$1018=$E$9)+($B$2:$B$1018=$E$10)+($B$2:$B$1018=$E$11),ROW($C$2:$C$1018)-ROW($C$2)+1),ROWS(M$20:M116))))</f>
        <v>22</v>
      </c>
    </row>
    <row r="117" spans="1:13" x14ac:dyDescent="0.25">
      <c r="A117" s="3">
        <v>41665</v>
      </c>
      <c r="B117" s="2" t="s">
        <v>7</v>
      </c>
      <c r="C117" s="2">
        <v>9</v>
      </c>
      <c r="G117" s="7">
        <f t="array" ref="G117">IF(ROWS(K$20:K117)&gt;$F$6,"",INDEX(A$2:A$1018,SMALL(IF(ISNUMBER(MATCH($B$2:$B$1018,$E$6:$E$11,0)),ROW($C$2:$C$1018)-ROW($C$2)+1),ROWS(K$20:K117))))</f>
        <v>41946</v>
      </c>
      <c r="H117" s="4" t="str">
        <f t="array" ref="H117">IF(ROWS(L$20:L117)&gt;$F$6,"",INDEX(B$2:B$1018,SMALL(IF(ISNUMBER(MATCH($B$2:$B$1018,$E$6:$E$11,0)),ROW($C$2:$C$1018)-ROW($C$2)+1),ROWS(L$20:L117))))</f>
        <v>Iliana  Valerio</v>
      </c>
      <c r="I117" s="4">
        <f t="array" ref="I117">IF(ROWS(M$20:M117)&gt;$F$6,"",INDEX(C$2:C$1018,SMALL(IF(ISNUMBER(MATCH($B$2:$B$1018,$E$6:$E$11,0)),ROW($C$2:$C$1018)-ROW($C$2)+1),ROWS(M$20:M117))))</f>
        <v>5</v>
      </c>
      <c r="K117" s="7">
        <f t="array" ref="K117">IF(ROWS(K$20:K117)&gt;$F$6,"",INDEX(A$2:A$1018,SMALL(IF(($B$2:$B$1018=$E$6)+($B$2:$B$1018=$E$7)+($B$2:$B$1018=$E$8)+($B$2:$B$1018=$E$9)+($B$2:$B$1018=$E$10)+($B$2:$B$1018=$E$11),ROW($C$2:$C$1018)-ROW($C$2)+1),ROWS(K$20:K117))))</f>
        <v>41946</v>
      </c>
      <c r="L117" s="4" t="str">
        <f t="array" ref="L117">IF(ROWS(L$20:L117)&gt;$F$6,"",INDEX(B$2:B$1018,SMALL(IF(($B$2:$B$1018=$E$6)+($B$2:$B$1018=$E$7)+($B$2:$B$1018=$E$8)+($B$2:$B$1018=$E$9)+($B$2:$B$1018=$E$10)+($B$2:$B$1018=$E$11),ROW($C$2:$C$1018)-ROW($C$2)+1),ROWS(L$20:L117))))</f>
        <v>Iliana  Valerio</v>
      </c>
      <c r="M117" s="4">
        <f t="array" ref="M117">IF(ROWS(M$20:M117)&gt;$F$6,"",INDEX(C$2:C$1018,SMALL(IF(($B$2:$B$1018=$E$6)+($B$2:$B$1018=$E$7)+($B$2:$B$1018=$E$8)+($B$2:$B$1018=$E$9)+($B$2:$B$1018=$E$10)+($B$2:$B$1018=$E$11),ROW($C$2:$C$1018)-ROW($C$2)+1),ROWS(M$20:M117))))</f>
        <v>5</v>
      </c>
    </row>
    <row r="118" spans="1:13" x14ac:dyDescent="0.25">
      <c r="A118" s="3">
        <v>41554</v>
      </c>
      <c r="B118" s="2" t="s">
        <v>17</v>
      </c>
      <c r="C118" s="2">
        <v>37</v>
      </c>
      <c r="G118" s="7">
        <f t="array" ref="G118">IF(ROWS(K$20:K118)&gt;$F$6,"",INDEX(A$2:A$1018,SMALL(IF(ISNUMBER(MATCH($B$2:$B$1018,$E$6:$E$11,0)),ROW($C$2:$C$1018)-ROW($C$2)+1),ROWS(K$20:K118))))</f>
        <v>41563</v>
      </c>
      <c r="H118" s="4" t="str">
        <f t="array" ref="H118">IF(ROWS(L$20:L118)&gt;$F$6,"",INDEX(B$2:B$1018,SMALL(IF(ISNUMBER(MATCH($B$2:$B$1018,$E$6:$E$11,0)),ROW($C$2:$C$1018)-ROW($C$2)+1),ROWS(L$20:L118))))</f>
        <v>Mickey  Bolduc</v>
      </c>
      <c r="I118" s="4">
        <f t="array" ref="I118">IF(ROWS(M$20:M118)&gt;$F$6,"",INDEX(C$2:C$1018,SMALL(IF(ISNUMBER(MATCH($B$2:$B$1018,$E$6:$E$11,0)),ROW($C$2:$C$1018)-ROW($C$2)+1),ROWS(M$20:M118))))</f>
        <v>41</v>
      </c>
      <c r="K118" s="7">
        <f t="array" ref="K118">IF(ROWS(K$20:K118)&gt;$F$6,"",INDEX(A$2:A$1018,SMALL(IF(($B$2:$B$1018=$E$6)+($B$2:$B$1018=$E$7)+($B$2:$B$1018=$E$8)+($B$2:$B$1018=$E$9)+($B$2:$B$1018=$E$10)+($B$2:$B$1018=$E$11),ROW($C$2:$C$1018)-ROW($C$2)+1),ROWS(K$20:K118))))</f>
        <v>41563</v>
      </c>
      <c r="L118" s="4" t="str">
        <f t="array" ref="L118">IF(ROWS(L$20:L118)&gt;$F$6,"",INDEX(B$2:B$1018,SMALL(IF(($B$2:$B$1018=$E$6)+($B$2:$B$1018=$E$7)+($B$2:$B$1018=$E$8)+($B$2:$B$1018=$E$9)+($B$2:$B$1018=$E$10)+($B$2:$B$1018=$E$11),ROW($C$2:$C$1018)-ROW($C$2)+1),ROWS(L$20:L118))))</f>
        <v>Mickey  Bolduc</v>
      </c>
      <c r="M118" s="4">
        <f t="array" ref="M118">IF(ROWS(M$20:M118)&gt;$F$6,"",INDEX(C$2:C$1018,SMALL(IF(($B$2:$B$1018=$E$6)+($B$2:$B$1018=$E$7)+($B$2:$B$1018=$E$8)+($B$2:$B$1018=$E$9)+($B$2:$B$1018=$E$10)+($B$2:$B$1018=$E$11),ROW($C$2:$C$1018)-ROW($C$2)+1),ROWS(M$20:M118))))</f>
        <v>41</v>
      </c>
    </row>
    <row r="119" spans="1:13" x14ac:dyDescent="0.25">
      <c r="A119" s="3">
        <v>41408</v>
      </c>
      <c r="B119" s="2" t="s">
        <v>9</v>
      </c>
      <c r="C119" s="2">
        <v>31</v>
      </c>
      <c r="G119" s="7">
        <f t="array" ref="G119">IF(ROWS(K$20:K119)&gt;$F$6,"",INDEX(A$2:A$1018,SMALL(IF(ISNUMBER(MATCH($B$2:$B$1018,$E$6:$E$11,0)),ROW($C$2:$C$1018)-ROW($C$2)+1),ROWS(K$20:K119))))</f>
        <v>41828</v>
      </c>
      <c r="H119" s="4" t="str">
        <f t="array" ref="H119">IF(ROWS(L$20:L119)&gt;$F$6,"",INDEX(B$2:B$1018,SMALL(IF(ISNUMBER(MATCH($B$2:$B$1018,$E$6:$E$11,0)),ROW($C$2:$C$1018)-ROW($C$2)+1),ROWS(L$20:L119))))</f>
        <v>Rosamond  Allard</v>
      </c>
      <c r="I119" s="4">
        <f t="array" ref="I119">IF(ROWS(M$20:M119)&gt;$F$6,"",INDEX(C$2:C$1018,SMALL(IF(ISNUMBER(MATCH($B$2:$B$1018,$E$6:$E$11,0)),ROW($C$2:$C$1018)-ROW($C$2)+1),ROWS(M$20:M119))))</f>
        <v>13</v>
      </c>
      <c r="K119" s="7">
        <f t="array" ref="K119">IF(ROWS(K$20:K119)&gt;$F$6,"",INDEX(A$2:A$1018,SMALL(IF(($B$2:$B$1018=$E$6)+($B$2:$B$1018=$E$7)+($B$2:$B$1018=$E$8)+($B$2:$B$1018=$E$9)+($B$2:$B$1018=$E$10)+($B$2:$B$1018=$E$11),ROW($C$2:$C$1018)-ROW($C$2)+1),ROWS(K$20:K119))))</f>
        <v>41828</v>
      </c>
      <c r="L119" s="4" t="str">
        <f t="array" ref="L119">IF(ROWS(L$20:L119)&gt;$F$6,"",INDEX(B$2:B$1018,SMALL(IF(($B$2:$B$1018=$E$6)+($B$2:$B$1018=$E$7)+($B$2:$B$1018=$E$8)+($B$2:$B$1018=$E$9)+($B$2:$B$1018=$E$10)+($B$2:$B$1018=$E$11),ROW($C$2:$C$1018)-ROW($C$2)+1),ROWS(L$20:L119))))</f>
        <v>Rosamond  Allard</v>
      </c>
      <c r="M119" s="4">
        <f t="array" ref="M119">IF(ROWS(M$20:M119)&gt;$F$6,"",INDEX(C$2:C$1018,SMALL(IF(($B$2:$B$1018=$E$6)+($B$2:$B$1018=$E$7)+($B$2:$B$1018=$E$8)+($B$2:$B$1018=$E$9)+($B$2:$B$1018=$E$10)+($B$2:$B$1018=$E$11),ROW($C$2:$C$1018)-ROW($C$2)+1),ROWS(M$20:M119))))</f>
        <v>13</v>
      </c>
    </row>
    <row r="120" spans="1:13" x14ac:dyDescent="0.25">
      <c r="A120" s="3">
        <v>41456</v>
      </c>
      <c r="B120" s="2" t="s">
        <v>16</v>
      </c>
      <c r="C120" s="2">
        <v>18</v>
      </c>
      <c r="G120" s="7">
        <f t="array" ref="G120">IF(ROWS(K$20:K120)&gt;$F$6,"",INDEX(A$2:A$1018,SMALL(IF(ISNUMBER(MATCH($B$2:$B$1018,$E$6:$E$11,0)),ROW($C$2:$C$1018)-ROW($C$2)+1),ROWS(K$20:K120))))</f>
        <v>41321</v>
      </c>
      <c r="H120" s="4" t="str">
        <f t="array" ref="H120">IF(ROWS(L$20:L120)&gt;$F$6,"",INDEX(B$2:B$1018,SMALL(IF(ISNUMBER(MATCH($B$2:$B$1018,$E$6:$E$11,0)),ROW($C$2:$C$1018)-ROW($C$2)+1),ROWS(L$20:L120))))</f>
        <v>Rosamond  Allard</v>
      </c>
      <c r="I120" s="4">
        <f t="array" ref="I120">IF(ROWS(M$20:M120)&gt;$F$6,"",INDEX(C$2:C$1018,SMALL(IF(ISNUMBER(MATCH($B$2:$B$1018,$E$6:$E$11,0)),ROW($C$2:$C$1018)-ROW($C$2)+1),ROWS(M$20:M120))))</f>
        <v>47</v>
      </c>
      <c r="K120" s="7">
        <f t="array" ref="K120">IF(ROWS(K$20:K120)&gt;$F$6,"",INDEX(A$2:A$1018,SMALL(IF(($B$2:$B$1018=$E$6)+($B$2:$B$1018=$E$7)+($B$2:$B$1018=$E$8)+($B$2:$B$1018=$E$9)+($B$2:$B$1018=$E$10)+($B$2:$B$1018=$E$11),ROW($C$2:$C$1018)-ROW($C$2)+1),ROWS(K$20:K120))))</f>
        <v>41321</v>
      </c>
      <c r="L120" s="4" t="str">
        <f t="array" ref="L120">IF(ROWS(L$20:L120)&gt;$F$6,"",INDEX(B$2:B$1018,SMALL(IF(($B$2:$B$1018=$E$6)+($B$2:$B$1018=$E$7)+($B$2:$B$1018=$E$8)+($B$2:$B$1018=$E$9)+($B$2:$B$1018=$E$10)+($B$2:$B$1018=$E$11),ROW($C$2:$C$1018)-ROW($C$2)+1),ROWS(L$20:L120))))</f>
        <v>Rosamond  Allard</v>
      </c>
      <c r="M120" s="4">
        <f t="array" ref="M120">IF(ROWS(M$20:M120)&gt;$F$6,"",INDEX(C$2:C$1018,SMALL(IF(($B$2:$B$1018=$E$6)+($B$2:$B$1018=$E$7)+($B$2:$B$1018=$E$8)+($B$2:$B$1018=$E$9)+($B$2:$B$1018=$E$10)+($B$2:$B$1018=$E$11),ROW($C$2:$C$1018)-ROW($C$2)+1),ROWS(M$20:M120))))</f>
        <v>47</v>
      </c>
    </row>
    <row r="121" spans="1:13" x14ac:dyDescent="0.25">
      <c r="A121" s="3">
        <v>41802</v>
      </c>
      <c r="B121" s="2" t="s">
        <v>20</v>
      </c>
      <c r="C121" s="2">
        <v>19</v>
      </c>
      <c r="G121" s="7">
        <f t="array" ref="G121">IF(ROWS(K$20:K121)&gt;$F$6,"",INDEX(A$2:A$1018,SMALL(IF(ISNUMBER(MATCH($B$2:$B$1018,$E$6:$E$11,0)),ROW($C$2:$C$1018)-ROW($C$2)+1),ROWS(K$20:K121))))</f>
        <v>41357</v>
      </c>
      <c r="H121" s="4" t="str">
        <f t="array" ref="H121">IF(ROWS(L$20:L121)&gt;$F$6,"",INDEX(B$2:B$1018,SMALL(IF(ISNUMBER(MATCH($B$2:$B$1018,$E$6:$E$11,0)),ROW($C$2:$C$1018)-ROW($C$2)+1),ROWS(L$20:L121))))</f>
        <v>Iliana  Valerio</v>
      </c>
      <c r="I121" s="4">
        <f t="array" ref="I121">IF(ROWS(M$20:M121)&gt;$F$6,"",INDEX(C$2:C$1018,SMALL(IF(ISNUMBER(MATCH($B$2:$B$1018,$E$6:$E$11,0)),ROW($C$2:$C$1018)-ROW($C$2)+1),ROWS(M$20:M121))))</f>
        <v>22</v>
      </c>
      <c r="K121" s="7">
        <f t="array" ref="K121">IF(ROWS(K$20:K121)&gt;$F$6,"",INDEX(A$2:A$1018,SMALL(IF(($B$2:$B$1018=$E$6)+($B$2:$B$1018=$E$7)+($B$2:$B$1018=$E$8)+($B$2:$B$1018=$E$9)+($B$2:$B$1018=$E$10)+($B$2:$B$1018=$E$11),ROW($C$2:$C$1018)-ROW($C$2)+1),ROWS(K$20:K121))))</f>
        <v>41357</v>
      </c>
      <c r="L121" s="4" t="str">
        <f t="array" ref="L121">IF(ROWS(L$20:L121)&gt;$F$6,"",INDEX(B$2:B$1018,SMALL(IF(($B$2:$B$1018=$E$6)+($B$2:$B$1018=$E$7)+($B$2:$B$1018=$E$8)+($B$2:$B$1018=$E$9)+($B$2:$B$1018=$E$10)+($B$2:$B$1018=$E$11),ROW($C$2:$C$1018)-ROW($C$2)+1),ROWS(L$20:L121))))</f>
        <v>Iliana  Valerio</v>
      </c>
      <c r="M121" s="4">
        <f t="array" ref="M121">IF(ROWS(M$20:M121)&gt;$F$6,"",INDEX(C$2:C$1018,SMALL(IF(($B$2:$B$1018=$E$6)+($B$2:$B$1018=$E$7)+($B$2:$B$1018=$E$8)+($B$2:$B$1018=$E$9)+($B$2:$B$1018=$E$10)+($B$2:$B$1018=$E$11),ROW($C$2:$C$1018)-ROW($C$2)+1),ROWS(M$20:M121))))</f>
        <v>22</v>
      </c>
    </row>
    <row r="122" spans="1:13" x14ac:dyDescent="0.25">
      <c r="A122" s="3">
        <v>41995</v>
      </c>
      <c r="B122" s="2" t="s">
        <v>2</v>
      </c>
      <c r="C122" s="2">
        <v>25</v>
      </c>
      <c r="G122" s="7">
        <f t="array" ref="G122">IF(ROWS(K$20:K122)&gt;$F$6,"",INDEX(A$2:A$1018,SMALL(IF(ISNUMBER(MATCH($B$2:$B$1018,$E$6:$E$11,0)),ROW($C$2:$C$1018)-ROW($C$2)+1),ROWS(K$20:K122))))</f>
        <v>41710</v>
      </c>
      <c r="H122" s="4" t="str">
        <f t="array" ref="H122">IF(ROWS(L$20:L122)&gt;$F$6,"",INDEX(B$2:B$1018,SMALL(IF(ISNUMBER(MATCH($B$2:$B$1018,$E$6:$E$11,0)),ROW($C$2:$C$1018)-ROW($C$2)+1),ROWS(L$20:L122))))</f>
        <v>Mickey  Bolduc</v>
      </c>
      <c r="I122" s="4">
        <f t="array" ref="I122">IF(ROWS(M$20:M122)&gt;$F$6,"",INDEX(C$2:C$1018,SMALL(IF(ISNUMBER(MATCH($B$2:$B$1018,$E$6:$E$11,0)),ROW($C$2:$C$1018)-ROW($C$2)+1),ROWS(M$20:M122))))</f>
        <v>34</v>
      </c>
      <c r="K122" s="7">
        <f t="array" ref="K122">IF(ROWS(K$20:K122)&gt;$F$6,"",INDEX(A$2:A$1018,SMALL(IF(($B$2:$B$1018=$E$6)+($B$2:$B$1018=$E$7)+($B$2:$B$1018=$E$8)+($B$2:$B$1018=$E$9)+($B$2:$B$1018=$E$10)+($B$2:$B$1018=$E$11),ROW($C$2:$C$1018)-ROW($C$2)+1),ROWS(K$20:K122))))</f>
        <v>41710</v>
      </c>
      <c r="L122" s="4" t="str">
        <f t="array" ref="L122">IF(ROWS(L$20:L122)&gt;$F$6,"",INDEX(B$2:B$1018,SMALL(IF(($B$2:$B$1018=$E$6)+($B$2:$B$1018=$E$7)+($B$2:$B$1018=$E$8)+($B$2:$B$1018=$E$9)+($B$2:$B$1018=$E$10)+($B$2:$B$1018=$E$11),ROW($C$2:$C$1018)-ROW($C$2)+1),ROWS(L$20:L122))))</f>
        <v>Mickey  Bolduc</v>
      </c>
      <c r="M122" s="4">
        <f t="array" ref="M122">IF(ROWS(M$20:M122)&gt;$F$6,"",INDEX(C$2:C$1018,SMALL(IF(($B$2:$B$1018=$E$6)+($B$2:$B$1018=$E$7)+($B$2:$B$1018=$E$8)+($B$2:$B$1018=$E$9)+($B$2:$B$1018=$E$10)+($B$2:$B$1018=$E$11),ROW($C$2:$C$1018)-ROW($C$2)+1),ROWS(M$20:M122))))</f>
        <v>34</v>
      </c>
    </row>
    <row r="123" spans="1:13" x14ac:dyDescent="0.25">
      <c r="A123" s="3">
        <v>41596</v>
      </c>
      <c r="B123" s="2" t="s">
        <v>16</v>
      </c>
      <c r="C123" s="2">
        <v>30</v>
      </c>
      <c r="G123" s="7">
        <f t="array" ref="G123">IF(ROWS(K$20:K123)&gt;$F$6,"",INDEX(A$2:A$1018,SMALL(IF(ISNUMBER(MATCH($B$2:$B$1018,$E$6:$E$11,0)),ROW($C$2:$C$1018)-ROW($C$2)+1),ROWS(K$20:K123))))</f>
        <v>41936</v>
      </c>
      <c r="H123" s="4" t="str">
        <f t="array" ref="H123">IF(ROWS(L$20:L123)&gt;$F$6,"",INDEX(B$2:B$1018,SMALL(IF(ISNUMBER(MATCH($B$2:$B$1018,$E$6:$E$11,0)),ROW($C$2:$C$1018)-ROW($C$2)+1),ROWS(L$20:L123))))</f>
        <v>Jenni  Thorton</v>
      </c>
      <c r="I123" s="4">
        <f t="array" ref="I123">IF(ROWS(M$20:M123)&gt;$F$6,"",INDEX(C$2:C$1018,SMALL(IF(ISNUMBER(MATCH($B$2:$B$1018,$E$6:$E$11,0)),ROW($C$2:$C$1018)-ROW($C$2)+1),ROWS(M$20:M123))))</f>
        <v>28</v>
      </c>
      <c r="K123" s="7">
        <f t="array" ref="K123">IF(ROWS(K$20:K123)&gt;$F$6,"",INDEX(A$2:A$1018,SMALL(IF(($B$2:$B$1018=$E$6)+($B$2:$B$1018=$E$7)+($B$2:$B$1018=$E$8)+($B$2:$B$1018=$E$9)+($B$2:$B$1018=$E$10)+($B$2:$B$1018=$E$11),ROW($C$2:$C$1018)-ROW($C$2)+1),ROWS(K$20:K123))))</f>
        <v>41936</v>
      </c>
      <c r="L123" s="4" t="str">
        <f t="array" ref="L123">IF(ROWS(L$20:L123)&gt;$F$6,"",INDEX(B$2:B$1018,SMALL(IF(($B$2:$B$1018=$E$6)+($B$2:$B$1018=$E$7)+($B$2:$B$1018=$E$8)+($B$2:$B$1018=$E$9)+($B$2:$B$1018=$E$10)+($B$2:$B$1018=$E$11),ROW($C$2:$C$1018)-ROW($C$2)+1),ROWS(L$20:L123))))</f>
        <v>Jenni  Thorton</v>
      </c>
      <c r="M123" s="4">
        <f t="array" ref="M123">IF(ROWS(M$20:M123)&gt;$F$6,"",INDEX(C$2:C$1018,SMALL(IF(($B$2:$B$1018=$E$6)+($B$2:$B$1018=$E$7)+($B$2:$B$1018=$E$8)+($B$2:$B$1018=$E$9)+($B$2:$B$1018=$E$10)+($B$2:$B$1018=$E$11),ROW($C$2:$C$1018)-ROW($C$2)+1),ROWS(M$20:M123))))</f>
        <v>28</v>
      </c>
    </row>
    <row r="124" spans="1:13" x14ac:dyDescent="0.25">
      <c r="A124" s="3">
        <v>41895</v>
      </c>
      <c r="B124" s="2" t="s">
        <v>17</v>
      </c>
      <c r="C124" s="2">
        <v>7</v>
      </c>
      <c r="G124" s="7">
        <f t="array" ref="G124">IF(ROWS(K$20:K124)&gt;$F$6,"",INDEX(A$2:A$1018,SMALL(IF(ISNUMBER(MATCH($B$2:$B$1018,$E$6:$E$11,0)),ROW($C$2:$C$1018)-ROW($C$2)+1),ROWS(K$20:K124))))</f>
        <v>41694</v>
      </c>
      <c r="H124" s="4" t="str">
        <f t="array" ref="H124">IF(ROWS(L$20:L124)&gt;$F$6,"",INDEX(B$2:B$1018,SMALL(IF(ISNUMBER(MATCH($B$2:$B$1018,$E$6:$E$11,0)),ROW($C$2:$C$1018)-ROW($C$2)+1),ROWS(L$20:L124))))</f>
        <v>Rosamond  Allard</v>
      </c>
      <c r="I124" s="4">
        <f t="array" ref="I124">IF(ROWS(M$20:M124)&gt;$F$6,"",INDEX(C$2:C$1018,SMALL(IF(ISNUMBER(MATCH($B$2:$B$1018,$E$6:$E$11,0)),ROW($C$2:$C$1018)-ROW($C$2)+1),ROWS(M$20:M124))))</f>
        <v>33</v>
      </c>
      <c r="K124" s="7">
        <f t="array" ref="K124">IF(ROWS(K$20:K124)&gt;$F$6,"",INDEX(A$2:A$1018,SMALL(IF(($B$2:$B$1018=$E$6)+($B$2:$B$1018=$E$7)+($B$2:$B$1018=$E$8)+($B$2:$B$1018=$E$9)+($B$2:$B$1018=$E$10)+($B$2:$B$1018=$E$11),ROW($C$2:$C$1018)-ROW($C$2)+1),ROWS(K$20:K124))))</f>
        <v>41694</v>
      </c>
      <c r="L124" s="4" t="str">
        <f t="array" ref="L124">IF(ROWS(L$20:L124)&gt;$F$6,"",INDEX(B$2:B$1018,SMALL(IF(($B$2:$B$1018=$E$6)+($B$2:$B$1018=$E$7)+($B$2:$B$1018=$E$8)+($B$2:$B$1018=$E$9)+($B$2:$B$1018=$E$10)+($B$2:$B$1018=$E$11),ROW($C$2:$C$1018)-ROW($C$2)+1),ROWS(L$20:L124))))</f>
        <v>Rosamond  Allard</v>
      </c>
      <c r="M124" s="4">
        <f t="array" ref="M124">IF(ROWS(M$20:M124)&gt;$F$6,"",INDEX(C$2:C$1018,SMALL(IF(($B$2:$B$1018=$E$6)+($B$2:$B$1018=$E$7)+($B$2:$B$1018=$E$8)+($B$2:$B$1018=$E$9)+($B$2:$B$1018=$E$10)+($B$2:$B$1018=$E$11),ROW($C$2:$C$1018)-ROW($C$2)+1),ROWS(M$20:M124))))</f>
        <v>33</v>
      </c>
    </row>
    <row r="125" spans="1:13" x14ac:dyDescent="0.25">
      <c r="A125" s="3">
        <v>41874</v>
      </c>
      <c r="B125" s="2" t="s">
        <v>27</v>
      </c>
      <c r="C125" s="2">
        <v>29</v>
      </c>
      <c r="G125" s="7">
        <f t="array" ref="G125">IF(ROWS(K$20:K125)&gt;$F$6,"",INDEX(A$2:A$1018,SMALL(IF(ISNUMBER(MATCH($B$2:$B$1018,$E$6:$E$11,0)),ROW($C$2:$C$1018)-ROW($C$2)+1),ROWS(K$20:K125))))</f>
        <v>42002</v>
      </c>
      <c r="H125" s="4" t="str">
        <f t="array" ref="H125">IF(ROWS(L$20:L125)&gt;$F$6,"",INDEX(B$2:B$1018,SMALL(IF(ISNUMBER(MATCH($B$2:$B$1018,$E$6:$E$11,0)),ROW($C$2:$C$1018)-ROW($C$2)+1),ROWS(L$20:L125))))</f>
        <v>Galen  Barth</v>
      </c>
      <c r="I125" s="4">
        <f t="array" ref="I125">IF(ROWS(M$20:M125)&gt;$F$6,"",INDEX(C$2:C$1018,SMALL(IF(ISNUMBER(MATCH($B$2:$B$1018,$E$6:$E$11,0)),ROW($C$2:$C$1018)-ROW($C$2)+1),ROWS(M$20:M125))))</f>
        <v>9</v>
      </c>
      <c r="K125" s="7">
        <f t="array" ref="K125">IF(ROWS(K$20:K125)&gt;$F$6,"",INDEX(A$2:A$1018,SMALL(IF(($B$2:$B$1018=$E$6)+($B$2:$B$1018=$E$7)+($B$2:$B$1018=$E$8)+($B$2:$B$1018=$E$9)+($B$2:$B$1018=$E$10)+($B$2:$B$1018=$E$11),ROW($C$2:$C$1018)-ROW($C$2)+1),ROWS(K$20:K125))))</f>
        <v>42002</v>
      </c>
      <c r="L125" s="4" t="str">
        <f t="array" ref="L125">IF(ROWS(L$20:L125)&gt;$F$6,"",INDEX(B$2:B$1018,SMALL(IF(($B$2:$B$1018=$E$6)+($B$2:$B$1018=$E$7)+($B$2:$B$1018=$E$8)+($B$2:$B$1018=$E$9)+($B$2:$B$1018=$E$10)+($B$2:$B$1018=$E$11),ROW($C$2:$C$1018)-ROW($C$2)+1),ROWS(L$20:L125))))</f>
        <v>Galen  Barth</v>
      </c>
      <c r="M125" s="4">
        <f t="array" ref="M125">IF(ROWS(M$20:M125)&gt;$F$6,"",INDEX(C$2:C$1018,SMALL(IF(($B$2:$B$1018=$E$6)+($B$2:$B$1018=$E$7)+($B$2:$B$1018=$E$8)+($B$2:$B$1018=$E$9)+($B$2:$B$1018=$E$10)+($B$2:$B$1018=$E$11),ROW($C$2:$C$1018)-ROW($C$2)+1),ROWS(M$20:M125))))</f>
        <v>9</v>
      </c>
    </row>
    <row r="126" spans="1:13" x14ac:dyDescent="0.25">
      <c r="A126" s="3">
        <v>41422</v>
      </c>
      <c r="B126" s="2" t="s">
        <v>23</v>
      </c>
      <c r="C126" s="2">
        <v>11</v>
      </c>
      <c r="G126" s="7">
        <f t="array" ref="G126">IF(ROWS(K$20:K126)&gt;$F$6,"",INDEX(A$2:A$1018,SMALL(IF(ISNUMBER(MATCH($B$2:$B$1018,$E$6:$E$11,0)),ROW($C$2:$C$1018)-ROW($C$2)+1),ROWS(K$20:K126))))</f>
        <v>41359</v>
      </c>
      <c r="H126" s="4" t="str">
        <f t="array" ref="H126">IF(ROWS(L$20:L126)&gt;$F$6,"",INDEX(B$2:B$1018,SMALL(IF(ISNUMBER(MATCH($B$2:$B$1018,$E$6:$E$11,0)),ROW($C$2:$C$1018)-ROW($C$2)+1),ROWS(L$20:L126))))</f>
        <v>Kerrie  Worrell</v>
      </c>
      <c r="I126" s="4">
        <f t="array" ref="I126">IF(ROWS(M$20:M126)&gt;$F$6,"",INDEX(C$2:C$1018,SMALL(IF(ISNUMBER(MATCH($B$2:$B$1018,$E$6:$E$11,0)),ROW($C$2:$C$1018)-ROW($C$2)+1),ROWS(M$20:M126))))</f>
        <v>27</v>
      </c>
      <c r="K126" s="7">
        <f t="array" ref="K126">IF(ROWS(K$20:K126)&gt;$F$6,"",INDEX(A$2:A$1018,SMALL(IF(($B$2:$B$1018=$E$6)+($B$2:$B$1018=$E$7)+($B$2:$B$1018=$E$8)+($B$2:$B$1018=$E$9)+($B$2:$B$1018=$E$10)+($B$2:$B$1018=$E$11),ROW($C$2:$C$1018)-ROW($C$2)+1),ROWS(K$20:K126))))</f>
        <v>41359</v>
      </c>
      <c r="L126" s="4" t="str">
        <f t="array" ref="L126">IF(ROWS(L$20:L126)&gt;$F$6,"",INDEX(B$2:B$1018,SMALL(IF(($B$2:$B$1018=$E$6)+($B$2:$B$1018=$E$7)+($B$2:$B$1018=$E$8)+($B$2:$B$1018=$E$9)+($B$2:$B$1018=$E$10)+($B$2:$B$1018=$E$11),ROW($C$2:$C$1018)-ROW($C$2)+1),ROWS(L$20:L126))))</f>
        <v>Kerrie  Worrell</v>
      </c>
      <c r="M126" s="4">
        <f t="array" ref="M126">IF(ROWS(M$20:M126)&gt;$F$6,"",INDEX(C$2:C$1018,SMALL(IF(($B$2:$B$1018=$E$6)+($B$2:$B$1018=$E$7)+($B$2:$B$1018=$E$8)+($B$2:$B$1018=$E$9)+($B$2:$B$1018=$E$10)+($B$2:$B$1018=$E$11),ROW($C$2:$C$1018)-ROW($C$2)+1),ROWS(M$20:M126))))</f>
        <v>27</v>
      </c>
    </row>
    <row r="127" spans="1:13" x14ac:dyDescent="0.25">
      <c r="A127" s="3">
        <v>41343</v>
      </c>
      <c r="B127" s="2" t="s">
        <v>11</v>
      </c>
      <c r="C127" s="2">
        <v>37</v>
      </c>
      <c r="G127" s="7">
        <f t="array" ref="G127">IF(ROWS(K$20:K127)&gt;$F$6,"",INDEX(A$2:A$1018,SMALL(IF(ISNUMBER(MATCH($B$2:$B$1018,$E$6:$E$11,0)),ROW($C$2:$C$1018)-ROW($C$2)+1),ROWS(K$20:K127))))</f>
        <v>41876</v>
      </c>
      <c r="H127" s="4" t="str">
        <f t="array" ref="H127">IF(ROWS(L$20:L127)&gt;$F$6,"",INDEX(B$2:B$1018,SMALL(IF(ISNUMBER(MATCH($B$2:$B$1018,$E$6:$E$11,0)),ROW($C$2:$C$1018)-ROW($C$2)+1),ROWS(L$20:L127))))</f>
        <v>Galen  Barth</v>
      </c>
      <c r="I127" s="4">
        <f t="array" ref="I127">IF(ROWS(M$20:M127)&gt;$F$6,"",INDEX(C$2:C$1018,SMALL(IF(ISNUMBER(MATCH($B$2:$B$1018,$E$6:$E$11,0)),ROW($C$2:$C$1018)-ROW($C$2)+1),ROWS(M$20:M127))))</f>
        <v>28</v>
      </c>
      <c r="K127" s="7">
        <f t="array" ref="K127">IF(ROWS(K$20:K127)&gt;$F$6,"",INDEX(A$2:A$1018,SMALL(IF(($B$2:$B$1018=$E$6)+($B$2:$B$1018=$E$7)+($B$2:$B$1018=$E$8)+($B$2:$B$1018=$E$9)+($B$2:$B$1018=$E$10)+($B$2:$B$1018=$E$11),ROW($C$2:$C$1018)-ROW($C$2)+1),ROWS(K$20:K127))))</f>
        <v>41876</v>
      </c>
      <c r="L127" s="4" t="str">
        <f t="array" ref="L127">IF(ROWS(L$20:L127)&gt;$F$6,"",INDEX(B$2:B$1018,SMALL(IF(($B$2:$B$1018=$E$6)+($B$2:$B$1018=$E$7)+($B$2:$B$1018=$E$8)+($B$2:$B$1018=$E$9)+($B$2:$B$1018=$E$10)+($B$2:$B$1018=$E$11),ROW($C$2:$C$1018)-ROW($C$2)+1),ROWS(L$20:L127))))</f>
        <v>Galen  Barth</v>
      </c>
      <c r="M127" s="4">
        <f t="array" ref="M127">IF(ROWS(M$20:M127)&gt;$F$6,"",INDEX(C$2:C$1018,SMALL(IF(($B$2:$B$1018=$E$6)+($B$2:$B$1018=$E$7)+($B$2:$B$1018=$E$8)+($B$2:$B$1018=$E$9)+($B$2:$B$1018=$E$10)+($B$2:$B$1018=$E$11),ROW($C$2:$C$1018)-ROW($C$2)+1),ROWS(M$20:M127))))</f>
        <v>28</v>
      </c>
    </row>
    <row r="128" spans="1:13" x14ac:dyDescent="0.25">
      <c r="A128" s="3">
        <v>41771</v>
      </c>
      <c r="B128" s="2" t="s">
        <v>30</v>
      </c>
      <c r="C128" s="2">
        <v>40</v>
      </c>
      <c r="G128" s="7">
        <f t="array" ref="G128">IF(ROWS(K$20:K128)&gt;$F$6,"",INDEX(A$2:A$1018,SMALL(IF(ISNUMBER(MATCH($B$2:$B$1018,$E$6:$E$11,0)),ROW($C$2:$C$1018)-ROW($C$2)+1),ROWS(K$20:K128))))</f>
        <v>41429</v>
      </c>
      <c r="H128" s="4" t="str">
        <f t="array" ref="H128">IF(ROWS(L$20:L128)&gt;$F$6,"",INDEX(B$2:B$1018,SMALL(IF(ISNUMBER(MATCH($B$2:$B$1018,$E$6:$E$11,0)),ROW($C$2:$C$1018)-ROW($C$2)+1),ROWS(L$20:L128))))</f>
        <v>Galen  Barth</v>
      </c>
      <c r="I128" s="4">
        <f t="array" ref="I128">IF(ROWS(M$20:M128)&gt;$F$6,"",INDEX(C$2:C$1018,SMALL(IF(ISNUMBER(MATCH($B$2:$B$1018,$E$6:$E$11,0)),ROW($C$2:$C$1018)-ROW($C$2)+1),ROWS(M$20:M128))))</f>
        <v>42</v>
      </c>
      <c r="K128" s="7">
        <f t="array" ref="K128">IF(ROWS(K$20:K128)&gt;$F$6,"",INDEX(A$2:A$1018,SMALL(IF(($B$2:$B$1018=$E$6)+($B$2:$B$1018=$E$7)+($B$2:$B$1018=$E$8)+($B$2:$B$1018=$E$9)+($B$2:$B$1018=$E$10)+($B$2:$B$1018=$E$11),ROW($C$2:$C$1018)-ROW($C$2)+1),ROWS(K$20:K128))))</f>
        <v>41429</v>
      </c>
      <c r="L128" s="4" t="str">
        <f t="array" ref="L128">IF(ROWS(L$20:L128)&gt;$F$6,"",INDEX(B$2:B$1018,SMALL(IF(($B$2:$B$1018=$E$6)+($B$2:$B$1018=$E$7)+($B$2:$B$1018=$E$8)+($B$2:$B$1018=$E$9)+($B$2:$B$1018=$E$10)+($B$2:$B$1018=$E$11),ROW($C$2:$C$1018)-ROW($C$2)+1),ROWS(L$20:L128))))</f>
        <v>Galen  Barth</v>
      </c>
      <c r="M128" s="4">
        <f t="array" ref="M128">IF(ROWS(M$20:M128)&gt;$F$6,"",INDEX(C$2:C$1018,SMALL(IF(($B$2:$B$1018=$E$6)+($B$2:$B$1018=$E$7)+($B$2:$B$1018=$E$8)+($B$2:$B$1018=$E$9)+($B$2:$B$1018=$E$10)+($B$2:$B$1018=$E$11),ROW($C$2:$C$1018)-ROW($C$2)+1),ROWS(M$20:M128))))</f>
        <v>42</v>
      </c>
    </row>
    <row r="129" spans="1:13" x14ac:dyDescent="0.25">
      <c r="A129" s="3">
        <v>41798</v>
      </c>
      <c r="B129" s="2" t="s">
        <v>47</v>
      </c>
      <c r="C129" s="2">
        <v>10</v>
      </c>
      <c r="G129" s="7">
        <f t="array" ref="G129">IF(ROWS(K$20:K129)&gt;$F$6,"",INDEX(A$2:A$1018,SMALL(IF(ISNUMBER(MATCH($B$2:$B$1018,$E$6:$E$11,0)),ROW($C$2:$C$1018)-ROW($C$2)+1),ROWS(K$20:K129))))</f>
        <v>41587</v>
      </c>
      <c r="H129" s="4" t="str">
        <f t="array" ref="H129">IF(ROWS(L$20:L129)&gt;$F$6,"",INDEX(B$2:B$1018,SMALL(IF(ISNUMBER(MATCH($B$2:$B$1018,$E$6:$E$11,0)),ROW($C$2:$C$1018)-ROW($C$2)+1),ROWS(L$20:L129))))</f>
        <v>Rosamond  Allard</v>
      </c>
      <c r="I129" s="4">
        <f t="array" ref="I129">IF(ROWS(M$20:M129)&gt;$F$6,"",INDEX(C$2:C$1018,SMALL(IF(ISNUMBER(MATCH($B$2:$B$1018,$E$6:$E$11,0)),ROW($C$2:$C$1018)-ROW($C$2)+1),ROWS(M$20:M129))))</f>
        <v>51</v>
      </c>
      <c r="K129" s="7">
        <f t="array" ref="K129">IF(ROWS(K$20:K129)&gt;$F$6,"",INDEX(A$2:A$1018,SMALL(IF(($B$2:$B$1018=$E$6)+($B$2:$B$1018=$E$7)+($B$2:$B$1018=$E$8)+($B$2:$B$1018=$E$9)+($B$2:$B$1018=$E$10)+($B$2:$B$1018=$E$11),ROW($C$2:$C$1018)-ROW($C$2)+1),ROWS(K$20:K129))))</f>
        <v>41587</v>
      </c>
      <c r="L129" s="4" t="str">
        <f t="array" ref="L129">IF(ROWS(L$20:L129)&gt;$F$6,"",INDEX(B$2:B$1018,SMALL(IF(($B$2:$B$1018=$E$6)+($B$2:$B$1018=$E$7)+($B$2:$B$1018=$E$8)+($B$2:$B$1018=$E$9)+($B$2:$B$1018=$E$10)+($B$2:$B$1018=$E$11),ROW($C$2:$C$1018)-ROW($C$2)+1),ROWS(L$20:L129))))</f>
        <v>Rosamond  Allard</v>
      </c>
      <c r="M129" s="4">
        <f t="array" ref="M129">IF(ROWS(M$20:M129)&gt;$F$6,"",INDEX(C$2:C$1018,SMALL(IF(($B$2:$B$1018=$E$6)+($B$2:$B$1018=$E$7)+($B$2:$B$1018=$E$8)+($B$2:$B$1018=$E$9)+($B$2:$B$1018=$E$10)+($B$2:$B$1018=$E$11),ROW($C$2:$C$1018)-ROW($C$2)+1),ROWS(M$20:M129))))</f>
        <v>51</v>
      </c>
    </row>
    <row r="130" spans="1:13" x14ac:dyDescent="0.25">
      <c r="A130" s="3">
        <v>41533</v>
      </c>
      <c r="B130" s="2" t="s">
        <v>37</v>
      </c>
      <c r="C130" s="2">
        <v>40</v>
      </c>
      <c r="G130" s="7">
        <f t="array" ref="G130">IF(ROWS(K$20:K130)&gt;$F$6,"",INDEX(A$2:A$1018,SMALL(IF(ISNUMBER(MATCH($B$2:$B$1018,$E$6:$E$11,0)),ROW($C$2:$C$1018)-ROW($C$2)+1),ROWS(K$20:K130))))</f>
        <v>41554</v>
      </c>
      <c r="H130" s="4" t="str">
        <f t="array" ref="H130">IF(ROWS(L$20:L130)&gt;$F$6,"",INDEX(B$2:B$1018,SMALL(IF(ISNUMBER(MATCH($B$2:$B$1018,$E$6:$E$11,0)),ROW($C$2:$C$1018)-ROW($C$2)+1),ROWS(L$20:L130))))</f>
        <v>Rosamond  Allard</v>
      </c>
      <c r="I130" s="4">
        <f t="array" ref="I130">IF(ROWS(M$20:M130)&gt;$F$6,"",INDEX(C$2:C$1018,SMALL(IF(ISNUMBER(MATCH($B$2:$B$1018,$E$6:$E$11,0)),ROW($C$2:$C$1018)-ROW($C$2)+1),ROWS(M$20:M130))))</f>
        <v>5</v>
      </c>
      <c r="K130" s="7">
        <f t="array" ref="K130">IF(ROWS(K$20:K130)&gt;$F$6,"",INDEX(A$2:A$1018,SMALL(IF(($B$2:$B$1018=$E$6)+($B$2:$B$1018=$E$7)+($B$2:$B$1018=$E$8)+($B$2:$B$1018=$E$9)+($B$2:$B$1018=$E$10)+($B$2:$B$1018=$E$11),ROW($C$2:$C$1018)-ROW($C$2)+1),ROWS(K$20:K130))))</f>
        <v>41554</v>
      </c>
      <c r="L130" s="4" t="str">
        <f t="array" ref="L130">IF(ROWS(L$20:L130)&gt;$F$6,"",INDEX(B$2:B$1018,SMALL(IF(($B$2:$B$1018=$E$6)+($B$2:$B$1018=$E$7)+($B$2:$B$1018=$E$8)+($B$2:$B$1018=$E$9)+($B$2:$B$1018=$E$10)+($B$2:$B$1018=$E$11),ROW($C$2:$C$1018)-ROW($C$2)+1),ROWS(L$20:L130))))</f>
        <v>Rosamond  Allard</v>
      </c>
      <c r="M130" s="4">
        <f t="array" ref="M130">IF(ROWS(M$20:M130)&gt;$F$6,"",INDEX(C$2:C$1018,SMALL(IF(($B$2:$B$1018=$E$6)+($B$2:$B$1018=$E$7)+($B$2:$B$1018=$E$8)+($B$2:$B$1018=$E$9)+($B$2:$B$1018=$E$10)+($B$2:$B$1018=$E$11),ROW($C$2:$C$1018)-ROW($C$2)+1),ROWS(M$20:M130))))</f>
        <v>5</v>
      </c>
    </row>
    <row r="131" spans="1:13" x14ac:dyDescent="0.25">
      <c r="A131" s="3">
        <v>41360</v>
      </c>
      <c r="B131" s="2" t="s">
        <v>17</v>
      </c>
      <c r="C131" s="2">
        <v>16</v>
      </c>
      <c r="G131" s="7">
        <f t="array" ref="G131">IF(ROWS(K$20:K131)&gt;$F$6,"",INDEX(A$2:A$1018,SMALL(IF(ISNUMBER(MATCH($B$2:$B$1018,$E$6:$E$11,0)),ROW($C$2:$C$1018)-ROW($C$2)+1),ROWS(K$20:K131))))</f>
        <v>41901</v>
      </c>
      <c r="H131" s="4" t="str">
        <f t="array" ref="H131">IF(ROWS(L$20:L131)&gt;$F$6,"",INDEX(B$2:B$1018,SMALL(IF(ISNUMBER(MATCH($B$2:$B$1018,$E$6:$E$11,0)),ROW($C$2:$C$1018)-ROW($C$2)+1),ROWS(L$20:L131))))</f>
        <v>Galen  Barth</v>
      </c>
      <c r="I131" s="4">
        <f t="array" ref="I131">IF(ROWS(M$20:M131)&gt;$F$6,"",INDEX(C$2:C$1018,SMALL(IF(ISNUMBER(MATCH($B$2:$B$1018,$E$6:$E$11,0)),ROW($C$2:$C$1018)-ROW($C$2)+1),ROWS(M$20:M131))))</f>
        <v>1</v>
      </c>
      <c r="K131" s="7">
        <f t="array" ref="K131">IF(ROWS(K$20:K131)&gt;$F$6,"",INDEX(A$2:A$1018,SMALL(IF(($B$2:$B$1018=$E$6)+($B$2:$B$1018=$E$7)+($B$2:$B$1018=$E$8)+($B$2:$B$1018=$E$9)+($B$2:$B$1018=$E$10)+($B$2:$B$1018=$E$11),ROW($C$2:$C$1018)-ROW($C$2)+1),ROWS(K$20:K131))))</f>
        <v>41901</v>
      </c>
      <c r="L131" s="4" t="str">
        <f t="array" ref="L131">IF(ROWS(L$20:L131)&gt;$F$6,"",INDEX(B$2:B$1018,SMALL(IF(($B$2:$B$1018=$E$6)+($B$2:$B$1018=$E$7)+($B$2:$B$1018=$E$8)+($B$2:$B$1018=$E$9)+($B$2:$B$1018=$E$10)+($B$2:$B$1018=$E$11),ROW($C$2:$C$1018)-ROW($C$2)+1),ROWS(L$20:L131))))</f>
        <v>Galen  Barth</v>
      </c>
      <c r="M131" s="4">
        <f t="array" ref="M131">IF(ROWS(M$20:M131)&gt;$F$6,"",INDEX(C$2:C$1018,SMALL(IF(($B$2:$B$1018=$E$6)+($B$2:$B$1018=$E$7)+($B$2:$B$1018=$E$8)+($B$2:$B$1018=$E$9)+($B$2:$B$1018=$E$10)+($B$2:$B$1018=$E$11),ROW($C$2:$C$1018)-ROW($C$2)+1),ROWS(M$20:M131))))</f>
        <v>1</v>
      </c>
    </row>
    <row r="132" spans="1:13" x14ac:dyDescent="0.25">
      <c r="A132" s="3">
        <v>41730</v>
      </c>
      <c r="B132" s="2" t="s">
        <v>17</v>
      </c>
      <c r="C132" s="2">
        <v>41</v>
      </c>
      <c r="G132" s="7">
        <f t="array" ref="G132">IF(ROWS(K$20:K132)&gt;$F$6,"",INDEX(A$2:A$1018,SMALL(IF(ISNUMBER(MATCH($B$2:$B$1018,$E$6:$E$11,0)),ROW($C$2:$C$1018)-ROW($C$2)+1),ROWS(K$20:K132))))</f>
        <v>41305</v>
      </c>
      <c r="H132" s="4" t="str">
        <f t="array" ref="H132">IF(ROWS(L$20:L132)&gt;$F$6,"",INDEX(B$2:B$1018,SMALL(IF(ISNUMBER(MATCH($B$2:$B$1018,$E$6:$E$11,0)),ROW($C$2:$C$1018)-ROW($C$2)+1),ROWS(L$20:L132))))</f>
        <v>Rosamond  Allard</v>
      </c>
      <c r="I132" s="4">
        <f t="array" ref="I132">IF(ROWS(M$20:M132)&gt;$F$6,"",INDEX(C$2:C$1018,SMALL(IF(ISNUMBER(MATCH($B$2:$B$1018,$E$6:$E$11,0)),ROW($C$2:$C$1018)-ROW($C$2)+1),ROWS(M$20:M132))))</f>
        <v>16</v>
      </c>
      <c r="K132" s="7">
        <f t="array" ref="K132">IF(ROWS(K$20:K132)&gt;$F$6,"",INDEX(A$2:A$1018,SMALL(IF(($B$2:$B$1018=$E$6)+($B$2:$B$1018=$E$7)+($B$2:$B$1018=$E$8)+($B$2:$B$1018=$E$9)+($B$2:$B$1018=$E$10)+($B$2:$B$1018=$E$11),ROW($C$2:$C$1018)-ROW($C$2)+1),ROWS(K$20:K132))))</f>
        <v>41305</v>
      </c>
      <c r="L132" s="4" t="str">
        <f t="array" ref="L132">IF(ROWS(L$20:L132)&gt;$F$6,"",INDEX(B$2:B$1018,SMALL(IF(($B$2:$B$1018=$E$6)+($B$2:$B$1018=$E$7)+($B$2:$B$1018=$E$8)+($B$2:$B$1018=$E$9)+($B$2:$B$1018=$E$10)+($B$2:$B$1018=$E$11),ROW($C$2:$C$1018)-ROW($C$2)+1),ROWS(L$20:L132))))</f>
        <v>Rosamond  Allard</v>
      </c>
      <c r="M132" s="4">
        <f t="array" ref="M132">IF(ROWS(M$20:M132)&gt;$F$6,"",INDEX(C$2:C$1018,SMALL(IF(($B$2:$B$1018=$E$6)+($B$2:$B$1018=$E$7)+($B$2:$B$1018=$E$8)+($B$2:$B$1018=$E$9)+($B$2:$B$1018=$E$10)+($B$2:$B$1018=$E$11),ROW($C$2:$C$1018)-ROW($C$2)+1),ROWS(M$20:M132))))</f>
        <v>16</v>
      </c>
    </row>
    <row r="133" spans="1:13" x14ac:dyDescent="0.25">
      <c r="A133" s="3">
        <v>41566</v>
      </c>
      <c r="B133" s="2" t="s">
        <v>43</v>
      </c>
      <c r="C133" s="2">
        <v>33</v>
      </c>
      <c r="G133" s="7">
        <f t="array" ref="G133">IF(ROWS(K$20:K133)&gt;$F$6,"",INDEX(A$2:A$1018,SMALL(IF(ISNUMBER(MATCH($B$2:$B$1018,$E$6:$E$11,0)),ROW($C$2:$C$1018)-ROW($C$2)+1),ROWS(K$20:K133))))</f>
        <v>41543</v>
      </c>
      <c r="H133" s="4" t="str">
        <f t="array" ref="H133">IF(ROWS(L$20:L133)&gt;$F$6,"",INDEX(B$2:B$1018,SMALL(IF(ISNUMBER(MATCH($B$2:$B$1018,$E$6:$E$11,0)),ROW($C$2:$C$1018)-ROW($C$2)+1),ROWS(L$20:L133))))</f>
        <v>Iliana  Valerio</v>
      </c>
      <c r="I133" s="4">
        <f t="array" ref="I133">IF(ROWS(M$20:M133)&gt;$F$6,"",INDEX(C$2:C$1018,SMALL(IF(ISNUMBER(MATCH($B$2:$B$1018,$E$6:$E$11,0)),ROW($C$2:$C$1018)-ROW($C$2)+1),ROWS(M$20:M133))))</f>
        <v>13</v>
      </c>
      <c r="K133" s="7">
        <f t="array" ref="K133">IF(ROWS(K$20:K133)&gt;$F$6,"",INDEX(A$2:A$1018,SMALL(IF(($B$2:$B$1018=$E$6)+($B$2:$B$1018=$E$7)+($B$2:$B$1018=$E$8)+($B$2:$B$1018=$E$9)+($B$2:$B$1018=$E$10)+($B$2:$B$1018=$E$11),ROW($C$2:$C$1018)-ROW($C$2)+1),ROWS(K$20:K133))))</f>
        <v>41543</v>
      </c>
      <c r="L133" s="4" t="str">
        <f t="array" ref="L133">IF(ROWS(L$20:L133)&gt;$F$6,"",INDEX(B$2:B$1018,SMALL(IF(($B$2:$B$1018=$E$6)+($B$2:$B$1018=$E$7)+($B$2:$B$1018=$E$8)+($B$2:$B$1018=$E$9)+($B$2:$B$1018=$E$10)+($B$2:$B$1018=$E$11),ROW($C$2:$C$1018)-ROW($C$2)+1),ROWS(L$20:L133))))</f>
        <v>Iliana  Valerio</v>
      </c>
      <c r="M133" s="4">
        <f t="array" ref="M133">IF(ROWS(M$20:M133)&gt;$F$6,"",INDEX(C$2:C$1018,SMALL(IF(($B$2:$B$1018=$E$6)+($B$2:$B$1018=$E$7)+($B$2:$B$1018=$E$8)+($B$2:$B$1018=$E$9)+($B$2:$B$1018=$E$10)+($B$2:$B$1018=$E$11),ROW($C$2:$C$1018)-ROW($C$2)+1),ROWS(M$20:M133))))</f>
        <v>13</v>
      </c>
    </row>
    <row r="134" spans="1:13" x14ac:dyDescent="0.25">
      <c r="A134" s="3">
        <v>41694</v>
      </c>
      <c r="B134" s="2" t="s">
        <v>8</v>
      </c>
      <c r="C134" s="2">
        <v>25</v>
      </c>
      <c r="G134" s="7">
        <f t="array" ref="G134">IF(ROWS(K$20:K134)&gt;$F$6,"",INDEX(A$2:A$1018,SMALL(IF(ISNUMBER(MATCH($B$2:$B$1018,$E$6:$E$11,0)),ROW($C$2:$C$1018)-ROW($C$2)+1),ROWS(K$20:K134))))</f>
        <v>41361</v>
      </c>
      <c r="H134" s="4" t="str">
        <f t="array" ref="H134">IF(ROWS(L$20:L134)&gt;$F$6,"",INDEX(B$2:B$1018,SMALL(IF(ISNUMBER(MATCH($B$2:$B$1018,$E$6:$E$11,0)),ROW($C$2:$C$1018)-ROW($C$2)+1),ROWS(L$20:L134))))</f>
        <v>Iliana  Valerio</v>
      </c>
      <c r="I134" s="4">
        <f t="array" ref="I134">IF(ROWS(M$20:M134)&gt;$F$6,"",INDEX(C$2:C$1018,SMALL(IF(ISNUMBER(MATCH($B$2:$B$1018,$E$6:$E$11,0)),ROW($C$2:$C$1018)-ROW($C$2)+1),ROWS(M$20:M134))))</f>
        <v>0</v>
      </c>
      <c r="K134" s="7">
        <f t="array" ref="K134">IF(ROWS(K$20:K134)&gt;$F$6,"",INDEX(A$2:A$1018,SMALL(IF(($B$2:$B$1018=$E$6)+($B$2:$B$1018=$E$7)+($B$2:$B$1018=$E$8)+($B$2:$B$1018=$E$9)+($B$2:$B$1018=$E$10)+($B$2:$B$1018=$E$11),ROW($C$2:$C$1018)-ROW($C$2)+1),ROWS(K$20:K134))))</f>
        <v>41361</v>
      </c>
      <c r="L134" s="4" t="str">
        <f t="array" ref="L134">IF(ROWS(L$20:L134)&gt;$F$6,"",INDEX(B$2:B$1018,SMALL(IF(($B$2:$B$1018=$E$6)+($B$2:$B$1018=$E$7)+($B$2:$B$1018=$E$8)+($B$2:$B$1018=$E$9)+($B$2:$B$1018=$E$10)+($B$2:$B$1018=$E$11),ROW($C$2:$C$1018)-ROW($C$2)+1),ROWS(L$20:L134))))</f>
        <v>Iliana  Valerio</v>
      </c>
      <c r="M134" s="4">
        <f t="array" ref="M134">IF(ROWS(M$20:M134)&gt;$F$6,"",INDEX(C$2:C$1018,SMALL(IF(($B$2:$B$1018=$E$6)+($B$2:$B$1018=$E$7)+($B$2:$B$1018=$E$8)+($B$2:$B$1018=$E$9)+($B$2:$B$1018=$E$10)+($B$2:$B$1018=$E$11),ROW($C$2:$C$1018)-ROW($C$2)+1),ROWS(M$20:M134))))</f>
        <v>0</v>
      </c>
    </row>
    <row r="135" spans="1:13" x14ac:dyDescent="0.25">
      <c r="A135" s="3">
        <v>41750</v>
      </c>
      <c r="B135" s="2" t="s">
        <v>40</v>
      </c>
      <c r="C135" s="2">
        <v>25</v>
      </c>
      <c r="G135" s="7">
        <f t="array" ref="G135">IF(ROWS(K$20:K135)&gt;$F$6,"",INDEX(A$2:A$1018,SMALL(IF(ISNUMBER(MATCH($B$2:$B$1018,$E$6:$E$11,0)),ROW($C$2:$C$1018)-ROW($C$2)+1),ROWS(K$20:K135))))</f>
        <v>41859</v>
      </c>
      <c r="H135" s="4" t="str">
        <f t="array" ref="H135">IF(ROWS(L$20:L135)&gt;$F$6,"",INDEX(B$2:B$1018,SMALL(IF(ISNUMBER(MATCH($B$2:$B$1018,$E$6:$E$11,0)),ROW($C$2:$C$1018)-ROW($C$2)+1),ROWS(L$20:L135))))</f>
        <v>Mickey  Bolduc</v>
      </c>
      <c r="I135" s="4">
        <f t="array" ref="I135">IF(ROWS(M$20:M135)&gt;$F$6,"",INDEX(C$2:C$1018,SMALL(IF(ISNUMBER(MATCH($B$2:$B$1018,$E$6:$E$11,0)),ROW($C$2:$C$1018)-ROW($C$2)+1),ROWS(M$20:M135))))</f>
        <v>42</v>
      </c>
      <c r="K135" s="7">
        <f t="array" ref="K135">IF(ROWS(K$20:K135)&gt;$F$6,"",INDEX(A$2:A$1018,SMALL(IF(($B$2:$B$1018=$E$6)+($B$2:$B$1018=$E$7)+($B$2:$B$1018=$E$8)+($B$2:$B$1018=$E$9)+($B$2:$B$1018=$E$10)+($B$2:$B$1018=$E$11),ROW($C$2:$C$1018)-ROW($C$2)+1),ROWS(K$20:K135))))</f>
        <v>41859</v>
      </c>
      <c r="L135" s="4" t="str">
        <f t="array" ref="L135">IF(ROWS(L$20:L135)&gt;$F$6,"",INDEX(B$2:B$1018,SMALL(IF(($B$2:$B$1018=$E$6)+($B$2:$B$1018=$E$7)+($B$2:$B$1018=$E$8)+($B$2:$B$1018=$E$9)+($B$2:$B$1018=$E$10)+($B$2:$B$1018=$E$11),ROW($C$2:$C$1018)-ROW($C$2)+1),ROWS(L$20:L135))))</f>
        <v>Mickey  Bolduc</v>
      </c>
      <c r="M135" s="4">
        <f t="array" ref="M135">IF(ROWS(M$20:M135)&gt;$F$6,"",INDEX(C$2:C$1018,SMALL(IF(($B$2:$B$1018=$E$6)+($B$2:$B$1018=$E$7)+($B$2:$B$1018=$E$8)+($B$2:$B$1018=$E$9)+($B$2:$B$1018=$E$10)+($B$2:$B$1018=$E$11),ROW($C$2:$C$1018)-ROW($C$2)+1),ROWS(M$20:M135))))</f>
        <v>42</v>
      </c>
    </row>
    <row r="136" spans="1:13" x14ac:dyDescent="0.25">
      <c r="A136" s="3">
        <v>41771</v>
      </c>
      <c r="B136" s="2" t="s">
        <v>5</v>
      </c>
      <c r="C136" s="2">
        <v>29</v>
      </c>
      <c r="G136" s="7">
        <f t="array" ref="G136">IF(ROWS(K$20:K136)&gt;$F$6,"",INDEX(A$2:A$1018,SMALL(IF(ISNUMBER(MATCH($B$2:$B$1018,$E$6:$E$11,0)),ROW($C$2:$C$1018)-ROW($C$2)+1),ROWS(K$20:K136))))</f>
        <v>41917</v>
      </c>
      <c r="H136" s="4" t="str">
        <f t="array" ref="H136">IF(ROWS(L$20:L136)&gt;$F$6,"",INDEX(B$2:B$1018,SMALL(IF(ISNUMBER(MATCH($B$2:$B$1018,$E$6:$E$11,0)),ROW($C$2:$C$1018)-ROW($C$2)+1),ROWS(L$20:L136))))</f>
        <v>Jenni  Thorton</v>
      </c>
      <c r="I136" s="4">
        <f t="array" ref="I136">IF(ROWS(M$20:M136)&gt;$F$6,"",INDEX(C$2:C$1018,SMALL(IF(ISNUMBER(MATCH($B$2:$B$1018,$E$6:$E$11,0)),ROW($C$2:$C$1018)-ROW($C$2)+1),ROWS(M$20:M136))))</f>
        <v>56</v>
      </c>
      <c r="K136" s="7">
        <f t="array" ref="K136">IF(ROWS(K$20:K136)&gt;$F$6,"",INDEX(A$2:A$1018,SMALL(IF(($B$2:$B$1018=$E$6)+($B$2:$B$1018=$E$7)+($B$2:$B$1018=$E$8)+($B$2:$B$1018=$E$9)+($B$2:$B$1018=$E$10)+($B$2:$B$1018=$E$11),ROW($C$2:$C$1018)-ROW($C$2)+1),ROWS(K$20:K136))))</f>
        <v>41917</v>
      </c>
      <c r="L136" s="4" t="str">
        <f t="array" ref="L136">IF(ROWS(L$20:L136)&gt;$F$6,"",INDEX(B$2:B$1018,SMALL(IF(($B$2:$B$1018=$E$6)+($B$2:$B$1018=$E$7)+($B$2:$B$1018=$E$8)+($B$2:$B$1018=$E$9)+($B$2:$B$1018=$E$10)+($B$2:$B$1018=$E$11),ROW($C$2:$C$1018)-ROW($C$2)+1),ROWS(L$20:L136))))</f>
        <v>Jenni  Thorton</v>
      </c>
      <c r="M136" s="4">
        <f t="array" ref="M136">IF(ROWS(M$20:M136)&gt;$F$6,"",INDEX(C$2:C$1018,SMALL(IF(($B$2:$B$1018=$E$6)+($B$2:$B$1018=$E$7)+($B$2:$B$1018=$E$8)+($B$2:$B$1018=$E$9)+($B$2:$B$1018=$E$10)+($B$2:$B$1018=$E$11),ROW($C$2:$C$1018)-ROW($C$2)+1),ROWS(M$20:M136))))</f>
        <v>56</v>
      </c>
    </row>
    <row r="137" spans="1:13" x14ac:dyDescent="0.25">
      <c r="A137" s="3">
        <v>41987</v>
      </c>
      <c r="B137" s="2" t="s">
        <v>5</v>
      </c>
      <c r="C137" s="2">
        <v>2</v>
      </c>
      <c r="G137" s="7">
        <f t="array" ref="G137">IF(ROWS(K$20:K137)&gt;$F$6,"",INDEX(A$2:A$1018,SMALL(IF(ISNUMBER(MATCH($B$2:$B$1018,$E$6:$E$11,0)),ROW($C$2:$C$1018)-ROW($C$2)+1),ROWS(K$20:K137))))</f>
        <v>41613</v>
      </c>
      <c r="H137" s="4" t="str">
        <f t="array" ref="H137">IF(ROWS(L$20:L137)&gt;$F$6,"",INDEX(B$2:B$1018,SMALL(IF(ISNUMBER(MATCH($B$2:$B$1018,$E$6:$E$11,0)),ROW($C$2:$C$1018)-ROW($C$2)+1),ROWS(L$20:L137))))</f>
        <v>Mickey  Bolduc</v>
      </c>
      <c r="I137" s="4">
        <f t="array" ref="I137">IF(ROWS(M$20:M137)&gt;$F$6,"",INDEX(C$2:C$1018,SMALL(IF(ISNUMBER(MATCH($B$2:$B$1018,$E$6:$E$11,0)),ROW($C$2:$C$1018)-ROW($C$2)+1),ROWS(M$20:M137))))</f>
        <v>40</v>
      </c>
      <c r="K137" s="7">
        <f t="array" ref="K137">IF(ROWS(K$20:K137)&gt;$F$6,"",INDEX(A$2:A$1018,SMALL(IF(($B$2:$B$1018=$E$6)+($B$2:$B$1018=$E$7)+($B$2:$B$1018=$E$8)+($B$2:$B$1018=$E$9)+($B$2:$B$1018=$E$10)+($B$2:$B$1018=$E$11),ROW($C$2:$C$1018)-ROW($C$2)+1),ROWS(K$20:K137))))</f>
        <v>41613</v>
      </c>
      <c r="L137" s="4" t="str">
        <f t="array" ref="L137">IF(ROWS(L$20:L137)&gt;$F$6,"",INDEX(B$2:B$1018,SMALL(IF(($B$2:$B$1018=$E$6)+($B$2:$B$1018=$E$7)+($B$2:$B$1018=$E$8)+($B$2:$B$1018=$E$9)+($B$2:$B$1018=$E$10)+($B$2:$B$1018=$E$11),ROW($C$2:$C$1018)-ROW($C$2)+1),ROWS(L$20:L137))))</f>
        <v>Mickey  Bolduc</v>
      </c>
      <c r="M137" s="4">
        <f t="array" ref="M137">IF(ROWS(M$20:M137)&gt;$F$6,"",INDEX(C$2:C$1018,SMALL(IF(($B$2:$B$1018=$E$6)+($B$2:$B$1018=$E$7)+($B$2:$B$1018=$E$8)+($B$2:$B$1018=$E$9)+($B$2:$B$1018=$E$10)+($B$2:$B$1018=$E$11),ROW($C$2:$C$1018)-ROW($C$2)+1),ROWS(M$20:M137))))</f>
        <v>40</v>
      </c>
    </row>
    <row r="138" spans="1:13" x14ac:dyDescent="0.25">
      <c r="A138" s="3">
        <v>41398</v>
      </c>
      <c r="B138" s="2" t="s">
        <v>29</v>
      </c>
      <c r="C138" s="2">
        <v>1</v>
      </c>
      <c r="G138" s="7">
        <f t="array" ref="G138">IF(ROWS(K$20:K138)&gt;$F$6,"",INDEX(A$2:A$1018,SMALL(IF(ISNUMBER(MATCH($B$2:$B$1018,$E$6:$E$11,0)),ROW($C$2:$C$1018)-ROW($C$2)+1),ROWS(K$20:K138))))</f>
        <v>41946</v>
      </c>
      <c r="H138" s="4" t="str">
        <f t="array" ref="H138">IF(ROWS(L$20:L138)&gt;$F$6,"",INDEX(B$2:B$1018,SMALL(IF(ISNUMBER(MATCH($B$2:$B$1018,$E$6:$E$11,0)),ROW($C$2:$C$1018)-ROW($C$2)+1),ROWS(L$20:L138))))</f>
        <v>Galen  Barth</v>
      </c>
      <c r="I138" s="4">
        <f t="array" ref="I138">IF(ROWS(M$20:M138)&gt;$F$6,"",INDEX(C$2:C$1018,SMALL(IF(ISNUMBER(MATCH($B$2:$B$1018,$E$6:$E$11,0)),ROW($C$2:$C$1018)-ROW($C$2)+1),ROWS(M$20:M138))))</f>
        <v>37</v>
      </c>
      <c r="K138" s="7">
        <f t="array" ref="K138">IF(ROWS(K$20:K138)&gt;$F$6,"",INDEX(A$2:A$1018,SMALL(IF(($B$2:$B$1018=$E$6)+($B$2:$B$1018=$E$7)+($B$2:$B$1018=$E$8)+($B$2:$B$1018=$E$9)+($B$2:$B$1018=$E$10)+($B$2:$B$1018=$E$11),ROW($C$2:$C$1018)-ROW($C$2)+1),ROWS(K$20:K138))))</f>
        <v>41946</v>
      </c>
      <c r="L138" s="4" t="str">
        <f t="array" ref="L138">IF(ROWS(L$20:L138)&gt;$F$6,"",INDEX(B$2:B$1018,SMALL(IF(($B$2:$B$1018=$E$6)+($B$2:$B$1018=$E$7)+($B$2:$B$1018=$E$8)+($B$2:$B$1018=$E$9)+($B$2:$B$1018=$E$10)+($B$2:$B$1018=$E$11),ROW($C$2:$C$1018)-ROW($C$2)+1),ROWS(L$20:L138))))</f>
        <v>Galen  Barth</v>
      </c>
      <c r="M138" s="4">
        <f t="array" ref="M138">IF(ROWS(M$20:M138)&gt;$F$6,"",INDEX(C$2:C$1018,SMALL(IF(($B$2:$B$1018=$E$6)+($B$2:$B$1018=$E$7)+($B$2:$B$1018=$E$8)+($B$2:$B$1018=$E$9)+($B$2:$B$1018=$E$10)+($B$2:$B$1018=$E$11),ROW($C$2:$C$1018)-ROW($C$2)+1),ROWS(M$20:M138))))</f>
        <v>37</v>
      </c>
    </row>
    <row r="139" spans="1:13" x14ac:dyDescent="0.25">
      <c r="A139" s="3">
        <v>41915</v>
      </c>
      <c r="B139" s="2" t="s">
        <v>45</v>
      </c>
      <c r="C139" s="2">
        <v>44</v>
      </c>
      <c r="G139" s="7" t="str">
        <f t="array" ref="G139">IF(ROWS(K$20:K139)&gt;$F$6,"",INDEX(A$2:A$1018,SMALL(IF(ISNUMBER(MATCH($B$2:$B$1018,$E$6:$E$11,0)),ROW($C$2:$C$1018)-ROW($C$2)+1),ROWS(K$20:K139))))</f>
        <v/>
      </c>
      <c r="H139" s="4" t="str">
        <f t="array" ref="H139">IF(ROWS(L$20:L139)&gt;$F$6,"",INDEX(B$2:B$1018,SMALL(IF(ISNUMBER(MATCH($B$2:$B$1018,$E$6:$E$11,0)),ROW($C$2:$C$1018)-ROW($C$2)+1),ROWS(L$20:L139))))</f>
        <v/>
      </c>
      <c r="I139" s="4" t="str">
        <f t="array" ref="I139">IF(ROWS(M$20:M139)&gt;$F$6,"",INDEX(C$2:C$1018,SMALL(IF(ISNUMBER(MATCH($B$2:$B$1018,$E$6:$E$11,0)),ROW($C$2:$C$1018)-ROW($C$2)+1),ROWS(M$20:M139))))</f>
        <v/>
      </c>
      <c r="K139" s="7" t="str">
        <f t="array" ref="K139">IF(ROWS(K$20:K139)&gt;$F$6,"",INDEX(A$2:A$1018,SMALL(IF(($B$2:$B$1018=$E$6)+($B$2:$B$1018=$E$7)+($B$2:$B$1018=$E$8)+($B$2:$B$1018=$E$9)+($B$2:$B$1018=$E$10)+($B$2:$B$1018=$E$11),ROW($C$2:$C$1018)-ROW($C$2)+1),ROWS(K$20:K139))))</f>
        <v/>
      </c>
      <c r="L139" s="4" t="str">
        <f t="array" ref="L139">IF(ROWS(L$20:L139)&gt;$F$6,"",INDEX(B$2:B$1018,SMALL(IF(($B$2:$B$1018=$E$6)+($B$2:$B$1018=$E$7)+($B$2:$B$1018=$E$8)+($B$2:$B$1018=$E$9)+($B$2:$B$1018=$E$10)+($B$2:$B$1018=$E$11),ROW($C$2:$C$1018)-ROW($C$2)+1),ROWS(L$20:L139))))</f>
        <v/>
      </c>
      <c r="M139" s="4" t="str">
        <f t="array" ref="M139">IF(ROWS(M$20:M139)&gt;$F$6,"",INDEX(C$2:C$1018,SMALL(IF(($B$2:$B$1018=$E$6)+($B$2:$B$1018=$E$7)+($B$2:$B$1018=$E$8)+($B$2:$B$1018=$E$9)+($B$2:$B$1018=$E$10)+($B$2:$B$1018=$E$11),ROW($C$2:$C$1018)-ROW($C$2)+1),ROWS(M$20:M139))))</f>
        <v/>
      </c>
    </row>
    <row r="140" spans="1:13" x14ac:dyDescent="0.25">
      <c r="A140" s="3">
        <v>41999</v>
      </c>
      <c r="B140" s="2" t="s">
        <v>37</v>
      </c>
      <c r="C140" s="2">
        <v>1</v>
      </c>
      <c r="G140" s="7" t="str">
        <f t="array" ref="G140">IF(ROWS(K$20:K140)&gt;$F$6,"",INDEX(A$2:A$1018,SMALL(IF(ISNUMBER(MATCH($B$2:$B$1018,$E$6:$E$11,0)),ROW($C$2:$C$1018)-ROW($C$2)+1),ROWS(K$20:K140))))</f>
        <v/>
      </c>
      <c r="H140" s="4" t="str">
        <f t="array" ref="H140">IF(ROWS(L$20:L140)&gt;$F$6,"",INDEX(B$2:B$1018,SMALL(IF(ISNUMBER(MATCH($B$2:$B$1018,$E$6:$E$11,0)),ROW($C$2:$C$1018)-ROW($C$2)+1),ROWS(L$20:L140))))</f>
        <v/>
      </c>
      <c r="I140" s="4" t="str">
        <f t="array" ref="I140">IF(ROWS(M$20:M140)&gt;$F$6,"",INDEX(C$2:C$1018,SMALL(IF(ISNUMBER(MATCH($B$2:$B$1018,$E$6:$E$11,0)),ROW($C$2:$C$1018)-ROW($C$2)+1),ROWS(M$20:M140))))</f>
        <v/>
      </c>
      <c r="K140" s="7" t="str">
        <f t="array" ref="K140">IF(ROWS(K$20:K140)&gt;$F$6,"",INDEX(A$2:A$1018,SMALL(IF(($B$2:$B$1018=$E$6)+($B$2:$B$1018=$E$7)+($B$2:$B$1018=$E$8)+($B$2:$B$1018=$E$9)+($B$2:$B$1018=$E$10)+($B$2:$B$1018=$E$11),ROW($C$2:$C$1018)-ROW($C$2)+1),ROWS(K$20:K140))))</f>
        <v/>
      </c>
      <c r="L140" s="4" t="str">
        <f t="array" ref="L140">IF(ROWS(L$20:L140)&gt;$F$6,"",INDEX(B$2:B$1018,SMALL(IF(($B$2:$B$1018=$E$6)+($B$2:$B$1018=$E$7)+($B$2:$B$1018=$E$8)+($B$2:$B$1018=$E$9)+($B$2:$B$1018=$E$10)+($B$2:$B$1018=$E$11),ROW($C$2:$C$1018)-ROW($C$2)+1),ROWS(L$20:L140))))</f>
        <v/>
      </c>
      <c r="M140" s="4" t="str">
        <f t="array" ref="M140">IF(ROWS(M$20:M140)&gt;$F$6,"",INDEX(C$2:C$1018,SMALL(IF(($B$2:$B$1018=$E$6)+($B$2:$B$1018=$E$7)+($B$2:$B$1018=$E$8)+($B$2:$B$1018=$E$9)+($B$2:$B$1018=$E$10)+($B$2:$B$1018=$E$11),ROW($C$2:$C$1018)-ROW($C$2)+1),ROWS(M$20:M140))))</f>
        <v/>
      </c>
    </row>
    <row r="141" spans="1:13" x14ac:dyDescent="0.25">
      <c r="A141" s="3">
        <v>41439</v>
      </c>
      <c r="B141" s="2" t="s">
        <v>32</v>
      </c>
      <c r="C141" s="2">
        <v>4</v>
      </c>
      <c r="G141" s="7" t="str">
        <f t="array" ref="G141">IF(ROWS(K$20:K141)&gt;$F$6,"",INDEX(A$2:A$1018,SMALL(IF(ISNUMBER(MATCH($B$2:$B$1018,$E$6:$E$11,0)),ROW($C$2:$C$1018)-ROW($C$2)+1),ROWS(K$20:K141))))</f>
        <v/>
      </c>
      <c r="H141" s="4" t="str">
        <f t="array" ref="H141">IF(ROWS(L$20:L141)&gt;$F$6,"",INDEX(B$2:B$1018,SMALL(IF(ISNUMBER(MATCH($B$2:$B$1018,$E$6:$E$11,0)),ROW($C$2:$C$1018)-ROW($C$2)+1),ROWS(L$20:L141))))</f>
        <v/>
      </c>
      <c r="I141" s="4" t="str">
        <f t="array" ref="I141">IF(ROWS(M$20:M141)&gt;$F$6,"",INDEX(C$2:C$1018,SMALL(IF(ISNUMBER(MATCH($B$2:$B$1018,$E$6:$E$11,0)),ROW($C$2:$C$1018)-ROW($C$2)+1),ROWS(M$20:M141))))</f>
        <v/>
      </c>
      <c r="K141" s="7" t="str">
        <f t="array" ref="K141">IF(ROWS(K$20:K141)&gt;$F$6,"",INDEX(A$2:A$1018,SMALL(IF(($B$2:$B$1018=$E$6)+($B$2:$B$1018=$E$7)+($B$2:$B$1018=$E$8)+($B$2:$B$1018=$E$9)+($B$2:$B$1018=$E$10)+($B$2:$B$1018=$E$11),ROW($C$2:$C$1018)-ROW($C$2)+1),ROWS(K$20:K141))))</f>
        <v/>
      </c>
      <c r="L141" s="4" t="str">
        <f t="array" ref="L141">IF(ROWS(L$20:L141)&gt;$F$6,"",INDEX(B$2:B$1018,SMALL(IF(($B$2:$B$1018=$E$6)+($B$2:$B$1018=$E$7)+($B$2:$B$1018=$E$8)+($B$2:$B$1018=$E$9)+($B$2:$B$1018=$E$10)+($B$2:$B$1018=$E$11),ROW($C$2:$C$1018)-ROW($C$2)+1),ROWS(L$20:L141))))</f>
        <v/>
      </c>
      <c r="M141" s="4" t="str">
        <f t="array" ref="M141">IF(ROWS(M$20:M141)&gt;$F$6,"",INDEX(C$2:C$1018,SMALL(IF(($B$2:$B$1018=$E$6)+($B$2:$B$1018=$E$7)+($B$2:$B$1018=$E$8)+($B$2:$B$1018=$E$9)+($B$2:$B$1018=$E$10)+($B$2:$B$1018=$E$11),ROW($C$2:$C$1018)-ROW($C$2)+1),ROWS(M$20:M141))))</f>
        <v/>
      </c>
    </row>
    <row r="142" spans="1:13" x14ac:dyDescent="0.25">
      <c r="A142" s="3">
        <v>41487</v>
      </c>
      <c r="B142" s="2" t="s">
        <v>43</v>
      </c>
      <c r="C142" s="2">
        <v>34</v>
      </c>
      <c r="G142" s="7" t="str">
        <f t="array" ref="G142">IF(ROWS(K$20:K142)&gt;$F$6,"",INDEX(A$2:A$1018,SMALL(IF(ISNUMBER(MATCH($B$2:$B$1018,$E$6:$E$11,0)),ROW($C$2:$C$1018)-ROW($C$2)+1),ROWS(K$20:K142))))</f>
        <v/>
      </c>
      <c r="H142" s="4" t="str">
        <f t="array" ref="H142">IF(ROWS(L$20:L142)&gt;$F$6,"",INDEX(B$2:B$1018,SMALL(IF(ISNUMBER(MATCH($B$2:$B$1018,$E$6:$E$11,0)),ROW($C$2:$C$1018)-ROW($C$2)+1),ROWS(L$20:L142))))</f>
        <v/>
      </c>
      <c r="I142" s="4" t="str">
        <f t="array" ref="I142">IF(ROWS(M$20:M142)&gt;$F$6,"",INDEX(C$2:C$1018,SMALL(IF(ISNUMBER(MATCH($B$2:$B$1018,$E$6:$E$11,0)),ROW($C$2:$C$1018)-ROW($C$2)+1),ROWS(M$20:M142))))</f>
        <v/>
      </c>
      <c r="K142" s="7" t="str">
        <f t="array" ref="K142">IF(ROWS(K$20:K142)&gt;$F$6,"",INDEX(A$2:A$1018,SMALL(IF(($B$2:$B$1018=$E$6)+($B$2:$B$1018=$E$7)+($B$2:$B$1018=$E$8)+($B$2:$B$1018=$E$9)+($B$2:$B$1018=$E$10)+($B$2:$B$1018=$E$11),ROW($C$2:$C$1018)-ROW($C$2)+1),ROWS(K$20:K142))))</f>
        <v/>
      </c>
      <c r="L142" s="4" t="str">
        <f t="array" ref="L142">IF(ROWS(L$20:L142)&gt;$F$6,"",INDEX(B$2:B$1018,SMALL(IF(($B$2:$B$1018=$E$6)+($B$2:$B$1018=$E$7)+($B$2:$B$1018=$E$8)+($B$2:$B$1018=$E$9)+($B$2:$B$1018=$E$10)+($B$2:$B$1018=$E$11),ROW($C$2:$C$1018)-ROW($C$2)+1),ROWS(L$20:L142))))</f>
        <v/>
      </c>
      <c r="M142" s="4" t="str">
        <f t="array" ref="M142">IF(ROWS(M$20:M142)&gt;$F$6,"",INDEX(C$2:C$1018,SMALL(IF(($B$2:$B$1018=$E$6)+($B$2:$B$1018=$E$7)+($B$2:$B$1018=$E$8)+($B$2:$B$1018=$E$9)+($B$2:$B$1018=$E$10)+($B$2:$B$1018=$E$11),ROW($C$2:$C$1018)-ROW($C$2)+1),ROWS(M$20:M142))))</f>
        <v/>
      </c>
    </row>
    <row r="143" spans="1:13" x14ac:dyDescent="0.25">
      <c r="A143" s="3">
        <v>41878</v>
      </c>
      <c r="B143" s="2" t="s">
        <v>37</v>
      </c>
      <c r="C143" s="2">
        <v>33</v>
      </c>
      <c r="G143" s="7" t="str">
        <f t="array" ref="G143">IF(ROWS(K$20:K143)&gt;$F$6,"",INDEX(A$2:A$1018,SMALL(IF(ISNUMBER(MATCH($B$2:$B$1018,$E$6:$E$11,0)),ROW($C$2:$C$1018)-ROW($C$2)+1),ROWS(K$20:K143))))</f>
        <v/>
      </c>
      <c r="H143" s="4" t="str">
        <f t="array" ref="H143">IF(ROWS(L$20:L143)&gt;$F$6,"",INDEX(B$2:B$1018,SMALL(IF(ISNUMBER(MATCH($B$2:$B$1018,$E$6:$E$11,0)),ROW($C$2:$C$1018)-ROW($C$2)+1),ROWS(L$20:L143))))</f>
        <v/>
      </c>
      <c r="I143" s="4" t="str">
        <f t="array" ref="I143">IF(ROWS(M$20:M143)&gt;$F$6,"",INDEX(C$2:C$1018,SMALL(IF(ISNUMBER(MATCH($B$2:$B$1018,$E$6:$E$11,0)),ROW($C$2:$C$1018)-ROW($C$2)+1),ROWS(M$20:M143))))</f>
        <v/>
      </c>
      <c r="K143" s="7" t="str">
        <f t="array" ref="K143">IF(ROWS(K$20:K143)&gt;$F$6,"",INDEX(A$2:A$1018,SMALL(IF(($B$2:$B$1018=$E$6)+($B$2:$B$1018=$E$7)+($B$2:$B$1018=$E$8)+($B$2:$B$1018=$E$9)+($B$2:$B$1018=$E$10)+($B$2:$B$1018=$E$11),ROW($C$2:$C$1018)-ROW($C$2)+1),ROWS(K$20:K143))))</f>
        <v/>
      </c>
      <c r="L143" s="4" t="str">
        <f t="array" ref="L143">IF(ROWS(L$20:L143)&gt;$F$6,"",INDEX(B$2:B$1018,SMALL(IF(($B$2:$B$1018=$E$6)+($B$2:$B$1018=$E$7)+($B$2:$B$1018=$E$8)+($B$2:$B$1018=$E$9)+($B$2:$B$1018=$E$10)+($B$2:$B$1018=$E$11),ROW($C$2:$C$1018)-ROW($C$2)+1),ROWS(L$20:L143))))</f>
        <v/>
      </c>
      <c r="M143" s="4" t="str">
        <f t="array" ref="M143">IF(ROWS(M$20:M143)&gt;$F$6,"",INDEX(C$2:C$1018,SMALL(IF(($B$2:$B$1018=$E$6)+($B$2:$B$1018=$E$7)+($B$2:$B$1018=$E$8)+($B$2:$B$1018=$E$9)+($B$2:$B$1018=$E$10)+($B$2:$B$1018=$E$11),ROW($C$2:$C$1018)-ROW($C$2)+1),ROWS(M$20:M143))))</f>
        <v/>
      </c>
    </row>
    <row r="144" spans="1:13" x14ac:dyDescent="0.25">
      <c r="A144" s="3">
        <v>41339</v>
      </c>
      <c r="B144" s="2" t="s">
        <v>6</v>
      </c>
      <c r="C144" s="2">
        <v>59</v>
      </c>
      <c r="G144" s="7" t="str">
        <f t="array" ref="G144">IF(ROWS(K$20:K144)&gt;$F$6,"",INDEX(A$2:A$1018,SMALL(IF(ISNUMBER(MATCH($B$2:$B$1018,$E$6:$E$11,0)),ROW($C$2:$C$1018)-ROW($C$2)+1),ROWS(K$20:K144))))</f>
        <v/>
      </c>
      <c r="H144" s="4" t="str">
        <f t="array" ref="H144">IF(ROWS(L$20:L144)&gt;$F$6,"",INDEX(B$2:B$1018,SMALL(IF(ISNUMBER(MATCH($B$2:$B$1018,$E$6:$E$11,0)),ROW($C$2:$C$1018)-ROW($C$2)+1),ROWS(L$20:L144))))</f>
        <v/>
      </c>
      <c r="I144" s="4" t="str">
        <f t="array" ref="I144">IF(ROWS(M$20:M144)&gt;$F$6,"",INDEX(C$2:C$1018,SMALL(IF(ISNUMBER(MATCH($B$2:$B$1018,$E$6:$E$11,0)),ROW($C$2:$C$1018)-ROW($C$2)+1),ROWS(M$20:M144))))</f>
        <v/>
      </c>
      <c r="K144" s="7" t="str">
        <f t="array" ref="K144">IF(ROWS(K$20:K144)&gt;$F$6,"",INDEX(A$2:A$1018,SMALL(IF(($B$2:$B$1018=$E$6)+($B$2:$B$1018=$E$7)+($B$2:$B$1018=$E$8)+($B$2:$B$1018=$E$9)+($B$2:$B$1018=$E$10)+($B$2:$B$1018=$E$11),ROW($C$2:$C$1018)-ROW($C$2)+1),ROWS(K$20:K144))))</f>
        <v/>
      </c>
      <c r="L144" s="4" t="str">
        <f t="array" ref="L144">IF(ROWS(L$20:L144)&gt;$F$6,"",INDEX(B$2:B$1018,SMALL(IF(($B$2:$B$1018=$E$6)+($B$2:$B$1018=$E$7)+($B$2:$B$1018=$E$8)+($B$2:$B$1018=$E$9)+($B$2:$B$1018=$E$10)+($B$2:$B$1018=$E$11),ROW($C$2:$C$1018)-ROW($C$2)+1),ROWS(L$20:L144))))</f>
        <v/>
      </c>
      <c r="M144" s="4" t="str">
        <f t="array" ref="M144">IF(ROWS(M$20:M144)&gt;$F$6,"",INDEX(C$2:C$1018,SMALL(IF(($B$2:$B$1018=$E$6)+($B$2:$B$1018=$E$7)+($B$2:$B$1018=$E$8)+($B$2:$B$1018=$E$9)+($B$2:$B$1018=$E$10)+($B$2:$B$1018=$E$11),ROW($C$2:$C$1018)-ROW($C$2)+1),ROWS(M$20:M144))))</f>
        <v/>
      </c>
    </row>
    <row r="145" spans="1:13" x14ac:dyDescent="0.25">
      <c r="A145" s="3">
        <v>41593</v>
      </c>
      <c r="B145" s="2" t="s">
        <v>10</v>
      </c>
      <c r="C145" s="2">
        <v>12</v>
      </c>
      <c r="G145" s="7" t="str">
        <f t="array" ref="G145">IF(ROWS(K$20:K145)&gt;$F$6,"",INDEX(A$2:A$1018,SMALL(IF(ISNUMBER(MATCH($B$2:$B$1018,$E$6:$E$11,0)),ROW($C$2:$C$1018)-ROW($C$2)+1),ROWS(K$20:K145))))</f>
        <v/>
      </c>
      <c r="H145" s="4" t="str">
        <f t="array" ref="H145">IF(ROWS(L$20:L145)&gt;$F$6,"",INDEX(B$2:B$1018,SMALL(IF(ISNUMBER(MATCH($B$2:$B$1018,$E$6:$E$11,0)),ROW($C$2:$C$1018)-ROW($C$2)+1),ROWS(L$20:L145))))</f>
        <v/>
      </c>
      <c r="I145" s="4" t="str">
        <f t="array" ref="I145">IF(ROWS(M$20:M145)&gt;$F$6,"",INDEX(C$2:C$1018,SMALL(IF(ISNUMBER(MATCH($B$2:$B$1018,$E$6:$E$11,0)),ROW($C$2:$C$1018)-ROW($C$2)+1),ROWS(M$20:M145))))</f>
        <v/>
      </c>
      <c r="K145" s="7" t="str">
        <f t="array" ref="K145">IF(ROWS(K$20:K145)&gt;$F$6,"",INDEX(A$2:A$1018,SMALL(IF(($B$2:$B$1018=$E$6)+($B$2:$B$1018=$E$7)+($B$2:$B$1018=$E$8)+($B$2:$B$1018=$E$9)+($B$2:$B$1018=$E$10)+($B$2:$B$1018=$E$11),ROW($C$2:$C$1018)-ROW($C$2)+1),ROWS(K$20:K145))))</f>
        <v/>
      </c>
      <c r="L145" s="4" t="str">
        <f t="array" ref="L145">IF(ROWS(L$20:L145)&gt;$F$6,"",INDEX(B$2:B$1018,SMALL(IF(($B$2:$B$1018=$E$6)+($B$2:$B$1018=$E$7)+($B$2:$B$1018=$E$8)+($B$2:$B$1018=$E$9)+($B$2:$B$1018=$E$10)+($B$2:$B$1018=$E$11),ROW($C$2:$C$1018)-ROW($C$2)+1),ROWS(L$20:L145))))</f>
        <v/>
      </c>
      <c r="M145" s="4" t="str">
        <f t="array" ref="M145">IF(ROWS(M$20:M145)&gt;$F$6,"",INDEX(C$2:C$1018,SMALL(IF(($B$2:$B$1018=$E$6)+($B$2:$B$1018=$E$7)+($B$2:$B$1018=$E$8)+($B$2:$B$1018=$E$9)+($B$2:$B$1018=$E$10)+($B$2:$B$1018=$E$11),ROW($C$2:$C$1018)-ROW($C$2)+1),ROWS(M$20:M145))))</f>
        <v/>
      </c>
    </row>
    <row r="146" spans="1:13" x14ac:dyDescent="0.25">
      <c r="A146" s="3">
        <v>41868</v>
      </c>
      <c r="B146" s="2" t="s">
        <v>4</v>
      </c>
      <c r="C146" s="2">
        <v>39</v>
      </c>
      <c r="G146" s="7" t="str">
        <f t="array" ref="G146">IF(ROWS(K$20:K146)&gt;$F$6,"",INDEX(A$2:A$1018,SMALL(IF(ISNUMBER(MATCH($B$2:$B$1018,$E$6:$E$11,0)),ROW($C$2:$C$1018)-ROW($C$2)+1),ROWS(K$20:K146))))</f>
        <v/>
      </c>
      <c r="H146" s="4" t="str">
        <f t="array" ref="H146">IF(ROWS(L$20:L146)&gt;$F$6,"",INDEX(B$2:B$1018,SMALL(IF(ISNUMBER(MATCH($B$2:$B$1018,$E$6:$E$11,0)),ROW($C$2:$C$1018)-ROW($C$2)+1),ROWS(L$20:L146))))</f>
        <v/>
      </c>
      <c r="I146" s="4" t="str">
        <f t="array" ref="I146">IF(ROWS(M$20:M146)&gt;$F$6,"",INDEX(C$2:C$1018,SMALL(IF(ISNUMBER(MATCH($B$2:$B$1018,$E$6:$E$11,0)),ROW($C$2:$C$1018)-ROW($C$2)+1),ROWS(M$20:M146))))</f>
        <v/>
      </c>
      <c r="K146" s="7" t="str">
        <f t="array" ref="K146">IF(ROWS(K$20:K146)&gt;$F$6,"",INDEX(A$2:A$1018,SMALL(IF(($B$2:$B$1018=$E$6)+($B$2:$B$1018=$E$7)+($B$2:$B$1018=$E$8)+($B$2:$B$1018=$E$9)+($B$2:$B$1018=$E$10)+($B$2:$B$1018=$E$11),ROW($C$2:$C$1018)-ROW($C$2)+1),ROWS(K$20:K146))))</f>
        <v/>
      </c>
      <c r="L146" s="4" t="str">
        <f t="array" ref="L146">IF(ROWS(L$20:L146)&gt;$F$6,"",INDEX(B$2:B$1018,SMALL(IF(($B$2:$B$1018=$E$6)+($B$2:$B$1018=$E$7)+($B$2:$B$1018=$E$8)+($B$2:$B$1018=$E$9)+($B$2:$B$1018=$E$10)+($B$2:$B$1018=$E$11),ROW($C$2:$C$1018)-ROW($C$2)+1),ROWS(L$20:L146))))</f>
        <v/>
      </c>
      <c r="M146" s="4" t="str">
        <f t="array" ref="M146">IF(ROWS(M$20:M146)&gt;$F$6,"",INDEX(C$2:C$1018,SMALL(IF(($B$2:$B$1018=$E$6)+($B$2:$B$1018=$E$7)+($B$2:$B$1018=$E$8)+($B$2:$B$1018=$E$9)+($B$2:$B$1018=$E$10)+($B$2:$B$1018=$E$11),ROW($C$2:$C$1018)-ROW($C$2)+1),ROWS(M$20:M146))))</f>
        <v/>
      </c>
    </row>
    <row r="147" spans="1:13" x14ac:dyDescent="0.25">
      <c r="A147" s="3">
        <v>41477</v>
      </c>
      <c r="B147" s="2" t="s">
        <v>42</v>
      </c>
      <c r="C147" s="2">
        <v>37</v>
      </c>
      <c r="G147" s="7" t="str">
        <f t="array" ref="G147">IF(ROWS(K$20:K147)&gt;$F$6,"",INDEX(A$2:A$1018,SMALL(IF(ISNUMBER(MATCH($B$2:$B$1018,$E$6:$E$11,0)),ROW($C$2:$C$1018)-ROW($C$2)+1),ROWS(K$20:K147))))</f>
        <v/>
      </c>
      <c r="H147" s="4" t="str">
        <f t="array" ref="H147">IF(ROWS(L$20:L147)&gt;$F$6,"",INDEX(B$2:B$1018,SMALL(IF(ISNUMBER(MATCH($B$2:$B$1018,$E$6:$E$11,0)),ROW($C$2:$C$1018)-ROW($C$2)+1),ROWS(L$20:L147))))</f>
        <v/>
      </c>
      <c r="I147" s="4" t="str">
        <f t="array" ref="I147">IF(ROWS(M$20:M147)&gt;$F$6,"",INDEX(C$2:C$1018,SMALL(IF(ISNUMBER(MATCH($B$2:$B$1018,$E$6:$E$11,0)),ROW($C$2:$C$1018)-ROW($C$2)+1),ROWS(M$20:M147))))</f>
        <v/>
      </c>
      <c r="K147" s="7" t="str">
        <f t="array" ref="K147">IF(ROWS(K$20:K147)&gt;$F$6,"",INDEX(A$2:A$1018,SMALL(IF(($B$2:$B$1018=$E$6)+($B$2:$B$1018=$E$7)+($B$2:$B$1018=$E$8)+($B$2:$B$1018=$E$9)+($B$2:$B$1018=$E$10)+($B$2:$B$1018=$E$11),ROW($C$2:$C$1018)-ROW($C$2)+1),ROWS(K$20:K147))))</f>
        <v/>
      </c>
      <c r="L147" s="4" t="str">
        <f t="array" ref="L147">IF(ROWS(L$20:L147)&gt;$F$6,"",INDEX(B$2:B$1018,SMALL(IF(($B$2:$B$1018=$E$6)+($B$2:$B$1018=$E$7)+($B$2:$B$1018=$E$8)+($B$2:$B$1018=$E$9)+($B$2:$B$1018=$E$10)+($B$2:$B$1018=$E$11),ROW($C$2:$C$1018)-ROW($C$2)+1),ROWS(L$20:L147))))</f>
        <v/>
      </c>
      <c r="M147" s="4" t="str">
        <f t="array" ref="M147">IF(ROWS(M$20:M147)&gt;$F$6,"",INDEX(C$2:C$1018,SMALL(IF(($B$2:$B$1018=$E$6)+($B$2:$B$1018=$E$7)+($B$2:$B$1018=$E$8)+($B$2:$B$1018=$E$9)+($B$2:$B$1018=$E$10)+($B$2:$B$1018=$E$11),ROW($C$2:$C$1018)-ROW($C$2)+1),ROWS(M$20:M147))))</f>
        <v/>
      </c>
    </row>
    <row r="148" spans="1:13" x14ac:dyDescent="0.25">
      <c r="A148" s="3">
        <v>41525</v>
      </c>
      <c r="B148" s="2" t="s">
        <v>22</v>
      </c>
      <c r="C148" s="2">
        <v>30</v>
      </c>
      <c r="G148" s="7" t="str">
        <f t="array" ref="G148">IF(ROWS(K$20:K148)&gt;$F$6,"",INDEX(A$2:A$1018,SMALL(IF(ISNUMBER(MATCH($B$2:$B$1018,$E$6:$E$11,0)),ROW($C$2:$C$1018)-ROW($C$2)+1),ROWS(K$20:K148))))</f>
        <v/>
      </c>
      <c r="H148" s="4" t="str">
        <f t="array" ref="H148">IF(ROWS(L$20:L148)&gt;$F$6,"",INDEX(B$2:B$1018,SMALL(IF(ISNUMBER(MATCH($B$2:$B$1018,$E$6:$E$11,0)),ROW($C$2:$C$1018)-ROW($C$2)+1),ROWS(L$20:L148))))</f>
        <v/>
      </c>
      <c r="I148" s="4" t="str">
        <f t="array" ref="I148">IF(ROWS(M$20:M148)&gt;$F$6,"",INDEX(C$2:C$1018,SMALL(IF(ISNUMBER(MATCH($B$2:$B$1018,$E$6:$E$11,0)),ROW($C$2:$C$1018)-ROW($C$2)+1),ROWS(M$20:M148))))</f>
        <v/>
      </c>
      <c r="K148" s="7" t="str">
        <f t="array" ref="K148">IF(ROWS(K$20:K148)&gt;$F$6,"",INDEX(A$2:A$1018,SMALL(IF(($B$2:$B$1018=$E$6)+($B$2:$B$1018=$E$7)+($B$2:$B$1018=$E$8)+($B$2:$B$1018=$E$9)+($B$2:$B$1018=$E$10)+($B$2:$B$1018=$E$11),ROW($C$2:$C$1018)-ROW($C$2)+1),ROWS(K$20:K148))))</f>
        <v/>
      </c>
      <c r="L148" s="4" t="str">
        <f t="array" ref="L148">IF(ROWS(L$20:L148)&gt;$F$6,"",INDEX(B$2:B$1018,SMALL(IF(($B$2:$B$1018=$E$6)+($B$2:$B$1018=$E$7)+($B$2:$B$1018=$E$8)+($B$2:$B$1018=$E$9)+($B$2:$B$1018=$E$10)+($B$2:$B$1018=$E$11),ROW($C$2:$C$1018)-ROW($C$2)+1),ROWS(L$20:L148))))</f>
        <v/>
      </c>
      <c r="M148" s="4" t="str">
        <f t="array" ref="M148">IF(ROWS(M$20:M148)&gt;$F$6,"",INDEX(C$2:C$1018,SMALL(IF(($B$2:$B$1018=$E$6)+($B$2:$B$1018=$E$7)+($B$2:$B$1018=$E$8)+($B$2:$B$1018=$E$9)+($B$2:$B$1018=$E$10)+($B$2:$B$1018=$E$11),ROW($C$2:$C$1018)-ROW($C$2)+1),ROWS(M$20:M148))))</f>
        <v/>
      </c>
    </row>
    <row r="149" spans="1:13" x14ac:dyDescent="0.25">
      <c r="A149" s="3">
        <v>41566</v>
      </c>
      <c r="B149" s="2" t="s">
        <v>46</v>
      </c>
      <c r="C149" s="2">
        <v>23</v>
      </c>
      <c r="G149" s="7" t="str">
        <f t="array" ref="G149">IF(ROWS(K$20:K149)&gt;$F$6,"",INDEX(A$2:A$1018,SMALL(IF(ISNUMBER(MATCH($B$2:$B$1018,$E$6:$E$11,0)),ROW($C$2:$C$1018)-ROW($C$2)+1),ROWS(K$20:K149))))</f>
        <v/>
      </c>
      <c r="H149" s="4" t="str">
        <f t="array" ref="H149">IF(ROWS(L$20:L149)&gt;$F$6,"",INDEX(B$2:B$1018,SMALL(IF(ISNUMBER(MATCH($B$2:$B$1018,$E$6:$E$11,0)),ROW($C$2:$C$1018)-ROW($C$2)+1),ROWS(L$20:L149))))</f>
        <v/>
      </c>
      <c r="I149" s="4" t="str">
        <f t="array" ref="I149">IF(ROWS(M$20:M149)&gt;$F$6,"",INDEX(C$2:C$1018,SMALL(IF(ISNUMBER(MATCH($B$2:$B$1018,$E$6:$E$11,0)),ROW($C$2:$C$1018)-ROW($C$2)+1),ROWS(M$20:M149))))</f>
        <v/>
      </c>
      <c r="K149" s="7" t="str">
        <f t="array" ref="K149">IF(ROWS(K$20:K149)&gt;$F$6,"",INDEX(A$2:A$1018,SMALL(IF(($B$2:$B$1018=$E$6)+($B$2:$B$1018=$E$7)+($B$2:$B$1018=$E$8)+($B$2:$B$1018=$E$9)+($B$2:$B$1018=$E$10)+($B$2:$B$1018=$E$11),ROW($C$2:$C$1018)-ROW($C$2)+1),ROWS(K$20:K149))))</f>
        <v/>
      </c>
      <c r="L149" s="4" t="str">
        <f t="array" ref="L149">IF(ROWS(L$20:L149)&gt;$F$6,"",INDEX(B$2:B$1018,SMALL(IF(($B$2:$B$1018=$E$6)+($B$2:$B$1018=$E$7)+($B$2:$B$1018=$E$8)+($B$2:$B$1018=$E$9)+($B$2:$B$1018=$E$10)+($B$2:$B$1018=$E$11),ROW($C$2:$C$1018)-ROW($C$2)+1),ROWS(L$20:L149))))</f>
        <v/>
      </c>
      <c r="M149" s="4" t="str">
        <f t="array" ref="M149">IF(ROWS(M$20:M149)&gt;$F$6,"",INDEX(C$2:C$1018,SMALL(IF(($B$2:$B$1018=$E$6)+($B$2:$B$1018=$E$7)+($B$2:$B$1018=$E$8)+($B$2:$B$1018=$E$9)+($B$2:$B$1018=$E$10)+($B$2:$B$1018=$E$11),ROW($C$2:$C$1018)-ROW($C$2)+1),ROWS(M$20:M149))))</f>
        <v/>
      </c>
    </row>
    <row r="150" spans="1:13" x14ac:dyDescent="0.25">
      <c r="A150" s="3">
        <v>41944</v>
      </c>
      <c r="B150" s="2" t="s">
        <v>27</v>
      </c>
      <c r="C150" s="2">
        <v>4</v>
      </c>
      <c r="G150" s="7" t="str">
        <f t="array" ref="G150">IF(ROWS(K$20:K150)&gt;$F$6,"",INDEX(A$2:A$1018,SMALL(IF(ISNUMBER(MATCH($B$2:$B$1018,$E$6:$E$11,0)),ROW($C$2:$C$1018)-ROW($C$2)+1),ROWS(K$20:K150))))</f>
        <v/>
      </c>
      <c r="H150" s="4" t="str">
        <f t="array" ref="H150">IF(ROWS(L$20:L150)&gt;$F$6,"",INDEX(B$2:B$1018,SMALL(IF(ISNUMBER(MATCH($B$2:$B$1018,$E$6:$E$11,0)),ROW($C$2:$C$1018)-ROW($C$2)+1),ROWS(L$20:L150))))</f>
        <v/>
      </c>
      <c r="I150" s="4" t="str">
        <f t="array" ref="I150">IF(ROWS(M$20:M150)&gt;$F$6,"",INDEX(C$2:C$1018,SMALL(IF(ISNUMBER(MATCH($B$2:$B$1018,$E$6:$E$11,0)),ROW($C$2:$C$1018)-ROW($C$2)+1),ROWS(M$20:M150))))</f>
        <v/>
      </c>
      <c r="K150" s="7" t="str">
        <f t="array" ref="K150">IF(ROWS(K$20:K150)&gt;$F$6,"",INDEX(A$2:A$1018,SMALL(IF(($B$2:$B$1018=$E$6)+($B$2:$B$1018=$E$7)+($B$2:$B$1018=$E$8)+($B$2:$B$1018=$E$9)+($B$2:$B$1018=$E$10)+($B$2:$B$1018=$E$11),ROW($C$2:$C$1018)-ROW($C$2)+1),ROWS(K$20:K150))))</f>
        <v/>
      </c>
      <c r="L150" s="4" t="str">
        <f t="array" ref="L150">IF(ROWS(L$20:L150)&gt;$F$6,"",INDEX(B$2:B$1018,SMALL(IF(($B$2:$B$1018=$E$6)+($B$2:$B$1018=$E$7)+($B$2:$B$1018=$E$8)+($B$2:$B$1018=$E$9)+($B$2:$B$1018=$E$10)+($B$2:$B$1018=$E$11),ROW($C$2:$C$1018)-ROW($C$2)+1),ROWS(L$20:L150))))</f>
        <v/>
      </c>
      <c r="M150" s="4" t="str">
        <f t="array" ref="M150">IF(ROWS(M$20:M150)&gt;$F$6,"",INDEX(C$2:C$1018,SMALL(IF(($B$2:$B$1018=$E$6)+($B$2:$B$1018=$E$7)+($B$2:$B$1018=$E$8)+($B$2:$B$1018=$E$9)+($B$2:$B$1018=$E$10)+($B$2:$B$1018=$E$11),ROW($C$2:$C$1018)-ROW($C$2)+1),ROWS(M$20:M150))))</f>
        <v/>
      </c>
    </row>
    <row r="151" spans="1:13" x14ac:dyDescent="0.25">
      <c r="A151" s="3">
        <v>41768</v>
      </c>
      <c r="B151" s="2" t="s">
        <v>41</v>
      </c>
      <c r="C151" s="2">
        <v>30</v>
      </c>
      <c r="G151" s="7" t="str">
        <f t="array" ref="G151">IF(ROWS(K$20:K151)&gt;$F$6,"",INDEX(A$2:A$1018,SMALL(IF(ISNUMBER(MATCH($B$2:$B$1018,$E$6:$E$11,0)),ROW($C$2:$C$1018)-ROW($C$2)+1),ROWS(K$20:K151))))</f>
        <v/>
      </c>
      <c r="H151" s="4" t="str">
        <f t="array" ref="H151">IF(ROWS(L$20:L151)&gt;$F$6,"",INDEX(B$2:B$1018,SMALL(IF(ISNUMBER(MATCH($B$2:$B$1018,$E$6:$E$11,0)),ROW($C$2:$C$1018)-ROW($C$2)+1),ROWS(L$20:L151))))</f>
        <v/>
      </c>
      <c r="I151" s="4" t="str">
        <f t="array" ref="I151">IF(ROWS(M$20:M151)&gt;$F$6,"",INDEX(C$2:C$1018,SMALL(IF(ISNUMBER(MATCH($B$2:$B$1018,$E$6:$E$11,0)),ROW($C$2:$C$1018)-ROW($C$2)+1),ROWS(M$20:M151))))</f>
        <v/>
      </c>
      <c r="K151" s="7" t="str">
        <f t="array" ref="K151">IF(ROWS(K$20:K151)&gt;$F$6,"",INDEX(A$2:A$1018,SMALL(IF(($B$2:$B$1018=$E$6)+($B$2:$B$1018=$E$7)+($B$2:$B$1018=$E$8)+($B$2:$B$1018=$E$9)+($B$2:$B$1018=$E$10)+($B$2:$B$1018=$E$11),ROW($C$2:$C$1018)-ROW($C$2)+1),ROWS(K$20:K151))))</f>
        <v/>
      </c>
      <c r="L151" s="4" t="str">
        <f t="array" ref="L151">IF(ROWS(L$20:L151)&gt;$F$6,"",INDEX(B$2:B$1018,SMALL(IF(($B$2:$B$1018=$E$6)+($B$2:$B$1018=$E$7)+($B$2:$B$1018=$E$8)+($B$2:$B$1018=$E$9)+($B$2:$B$1018=$E$10)+($B$2:$B$1018=$E$11),ROW($C$2:$C$1018)-ROW($C$2)+1),ROWS(L$20:L151))))</f>
        <v/>
      </c>
      <c r="M151" s="4" t="str">
        <f t="array" ref="M151">IF(ROWS(M$20:M151)&gt;$F$6,"",INDEX(C$2:C$1018,SMALL(IF(($B$2:$B$1018=$E$6)+($B$2:$B$1018=$E$7)+($B$2:$B$1018=$E$8)+($B$2:$B$1018=$E$9)+($B$2:$B$1018=$E$10)+($B$2:$B$1018=$E$11),ROW($C$2:$C$1018)-ROW($C$2)+1),ROWS(M$20:M151))))</f>
        <v/>
      </c>
    </row>
    <row r="152" spans="1:13" x14ac:dyDescent="0.25">
      <c r="A152" s="3">
        <v>41364</v>
      </c>
      <c r="B152" s="2" t="s">
        <v>29</v>
      </c>
      <c r="C152" s="2">
        <v>30</v>
      </c>
      <c r="G152" s="7" t="str">
        <f t="array" ref="G152">IF(ROWS(K$20:K152)&gt;$F$6,"",INDEX(A$2:A$1018,SMALL(IF(ISNUMBER(MATCH($B$2:$B$1018,$E$6:$E$11,0)),ROW($C$2:$C$1018)-ROW($C$2)+1),ROWS(K$20:K152))))</f>
        <v/>
      </c>
      <c r="H152" s="4" t="str">
        <f t="array" ref="H152">IF(ROWS(L$20:L152)&gt;$F$6,"",INDEX(B$2:B$1018,SMALL(IF(ISNUMBER(MATCH($B$2:$B$1018,$E$6:$E$11,0)),ROW($C$2:$C$1018)-ROW($C$2)+1),ROWS(L$20:L152))))</f>
        <v/>
      </c>
      <c r="I152" s="4" t="str">
        <f t="array" ref="I152">IF(ROWS(M$20:M152)&gt;$F$6,"",INDEX(C$2:C$1018,SMALL(IF(ISNUMBER(MATCH($B$2:$B$1018,$E$6:$E$11,0)),ROW($C$2:$C$1018)-ROW($C$2)+1),ROWS(M$20:M152))))</f>
        <v/>
      </c>
      <c r="K152" s="7" t="str">
        <f t="array" ref="K152">IF(ROWS(K$20:K152)&gt;$F$6,"",INDEX(A$2:A$1018,SMALL(IF(($B$2:$B$1018=$E$6)+($B$2:$B$1018=$E$7)+($B$2:$B$1018=$E$8)+($B$2:$B$1018=$E$9)+($B$2:$B$1018=$E$10)+($B$2:$B$1018=$E$11),ROW($C$2:$C$1018)-ROW($C$2)+1),ROWS(K$20:K152))))</f>
        <v/>
      </c>
      <c r="L152" s="4" t="str">
        <f t="array" ref="L152">IF(ROWS(L$20:L152)&gt;$F$6,"",INDEX(B$2:B$1018,SMALL(IF(($B$2:$B$1018=$E$6)+($B$2:$B$1018=$E$7)+($B$2:$B$1018=$E$8)+($B$2:$B$1018=$E$9)+($B$2:$B$1018=$E$10)+($B$2:$B$1018=$E$11),ROW($C$2:$C$1018)-ROW($C$2)+1),ROWS(L$20:L152))))</f>
        <v/>
      </c>
      <c r="M152" s="4" t="str">
        <f t="array" ref="M152">IF(ROWS(M$20:M152)&gt;$F$6,"",INDEX(C$2:C$1018,SMALL(IF(($B$2:$B$1018=$E$6)+($B$2:$B$1018=$E$7)+($B$2:$B$1018=$E$8)+($B$2:$B$1018=$E$9)+($B$2:$B$1018=$E$10)+($B$2:$B$1018=$E$11),ROW($C$2:$C$1018)-ROW($C$2)+1),ROWS(M$20:M152))))</f>
        <v/>
      </c>
    </row>
    <row r="153" spans="1:13" x14ac:dyDescent="0.25">
      <c r="A153" s="3">
        <v>41593</v>
      </c>
      <c r="B153" s="2" t="s">
        <v>24</v>
      </c>
      <c r="C153" s="2">
        <v>17</v>
      </c>
      <c r="G153" s="7" t="str">
        <f t="array" ref="G153">IF(ROWS(K$20:K153)&gt;$F$6,"",INDEX(A$2:A$1018,SMALL(IF(ISNUMBER(MATCH($B$2:$B$1018,$E$6:$E$11,0)),ROW($C$2:$C$1018)-ROW($C$2)+1),ROWS(K$20:K153))))</f>
        <v/>
      </c>
      <c r="H153" s="4" t="str">
        <f t="array" ref="H153">IF(ROWS(L$20:L153)&gt;$F$6,"",INDEX(B$2:B$1018,SMALL(IF(ISNUMBER(MATCH($B$2:$B$1018,$E$6:$E$11,0)),ROW($C$2:$C$1018)-ROW($C$2)+1),ROWS(L$20:L153))))</f>
        <v/>
      </c>
      <c r="I153" s="4" t="str">
        <f t="array" ref="I153">IF(ROWS(M$20:M153)&gt;$F$6,"",INDEX(C$2:C$1018,SMALL(IF(ISNUMBER(MATCH($B$2:$B$1018,$E$6:$E$11,0)),ROW($C$2:$C$1018)-ROW($C$2)+1),ROWS(M$20:M153))))</f>
        <v/>
      </c>
      <c r="K153" s="7" t="str">
        <f t="array" ref="K153">IF(ROWS(K$20:K153)&gt;$F$6,"",INDEX(A$2:A$1018,SMALL(IF(($B$2:$B$1018=$E$6)+($B$2:$B$1018=$E$7)+($B$2:$B$1018=$E$8)+($B$2:$B$1018=$E$9)+($B$2:$B$1018=$E$10)+($B$2:$B$1018=$E$11),ROW($C$2:$C$1018)-ROW($C$2)+1),ROWS(K$20:K153))))</f>
        <v/>
      </c>
      <c r="L153" s="4" t="str">
        <f t="array" ref="L153">IF(ROWS(L$20:L153)&gt;$F$6,"",INDEX(B$2:B$1018,SMALL(IF(($B$2:$B$1018=$E$6)+($B$2:$B$1018=$E$7)+($B$2:$B$1018=$E$8)+($B$2:$B$1018=$E$9)+($B$2:$B$1018=$E$10)+($B$2:$B$1018=$E$11),ROW($C$2:$C$1018)-ROW($C$2)+1),ROWS(L$20:L153))))</f>
        <v/>
      </c>
      <c r="M153" s="4" t="str">
        <f t="array" ref="M153">IF(ROWS(M$20:M153)&gt;$F$6,"",INDEX(C$2:C$1018,SMALL(IF(($B$2:$B$1018=$E$6)+($B$2:$B$1018=$E$7)+($B$2:$B$1018=$E$8)+($B$2:$B$1018=$E$9)+($B$2:$B$1018=$E$10)+($B$2:$B$1018=$E$11),ROW($C$2:$C$1018)-ROW($C$2)+1),ROWS(M$20:M153))))</f>
        <v/>
      </c>
    </row>
    <row r="154" spans="1:13" x14ac:dyDescent="0.25">
      <c r="A154" s="3">
        <v>41642</v>
      </c>
      <c r="B154" s="2" t="s">
        <v>51</v>
      </c>
      <c r="C154" s="2">
        <v>36</v>
      </c>
      <c r="G154" s="7" t="str">
        <f t="array" ref="G154">IF(ROWS(K$20:K154)&gt;$F$6,"",INDEX(A$2:A$1018,SMALL(IF(ISNUMBER(MATCH($B$2:$B$1018,$E$6:$E$11,0)),ROW($C$2:$C$1018)-ROW($C$2)+1),ROWS(K$20:K154))))</f>
        <v/>
      </c>
      <c r="H154" s="4" t="str">
        <f t="array" ref="H154">IF(ROWS(L$20:L154)&gt;$F$6,"",INDEX(B$2:B$1018,SMALL(IF(ISNUMBER(MATCH($B$2:$B$1018,$E$6:$E$11,0)),ROW($C$2:$C$1018)-ROW($C$2)+1),ROWS(L$20:L154))))</f>
        <v/>
      </c>
      <c r="I154" s="4" t="str">
        <f t="array" ref="I154">IF(ROWS(M$20:M154)&gt;$F$6,"",INDEX(C$2:C$1018,SMALL(IF(ISNUMBER(MATCH($B$2:$B$1018,$E$6:$E$11,0)),ROW($C$2:$C$1018)-ROW($C$2)+1),ROWS(M$20:M154))))</f>
        <v/>
      </c>
      <c r="K154" s="7" t="str">
        <f t="array" ref="K154">IF(ROWS(K$20:K154)&gt;$F$6,"",INDEX(A$2:A$1018,SMALL(IF(($B$2:$B$1018=$E$6)+($B$2:$B$1018=$E$7)+($B$2:$B$1018=$E$8)+($B$2:$B$1018=$E$9)+($B$2:$B$1018=$E$10)+($B$2:$B$1018=$E$11),ROW($C$2:$C$1018)-ROW($C$2)+1),ROWS(K$20:K154))))</f>
        <v/>
      </c>
      <c r="L154" s="4" t="str">
        <f t="array" ref="L154">IF(ROWS(L$20:L154)&gt;$F$6,"",INDEX(B$2:B$1018,SMALL(IF(($B$2:$B$1018=$E$6)+($B$2:$B$1018=$E$7)+($B$2:$B$1018=$E$8)+($B$2:$B$1018=$E$9)+($B$2:$B$1018=$E$10)+($B$2:$B$1018=$E$11),ROW($C$2:$C$1018)-ROW($C$2)+1),ROWS(L$20:L154))))</f>
        <v/>
      </c>
      <c r="M154" s="4" t="str">
        <f t="array" ref="M154">IF(ROWS(M$20:M154)&gt;$F$6,"",INDEX(C$2:C$1018,SMALL(IF(($B$2:$B$1018=$E$6)+($B$2:$B$1018=$E$7)+($B$2:$B$1018=$E$8)+($B$2:$B$1018=$E$9)+($B$2:$B$1018=$E$10)+($B$2:$B$1018=$E$11),ROW($C$2:$C$1018)-ROW($C$2)+1),ROWS(M$20:M154))))</f>
        <v/>
      </c>
    </row>
    <row r="155" spans="1:13" x14ac:dyDescent="0.25">
      <c r="A155" s="3">
        <v>41897</v>
      </c>
      <c r="B155" s="2" t="s">
        <v>4</v>
      </c>
      <c r="C155" s="2">
        <v>20</v>
      </c>
      <c r="G155" s="7" t="str">
        <f t="array" ref="G155">IF(ROWS(K$20:K155)&gt;$F$6,"",INDEX(A$2:A$1018,SMALL(IF(ISNUMBER(MATCH($B$2:$B$1018,$E$6:$E$11,0)),ROW($C$2:$C$1018)-ROW($C$2)+1),ROWS(K$20:K155))))</f>
        <v/>
      </c>
      <c r="H155" s="4" t="str">
        <f t="array" ref="H155">IF(ROWS(L$20:L155)&gt;$F$6,"",INDEX(B$2:B$1018,SMALL(IF(ISNUMBER(MATCH($B$2:$B$1018,$E$6:$E$11,0)),ROW($C$2:$C$1018)-ROW($C$2)+1),ROWS(L$20:L155))))</f>
        <v/>
      </c>
      <c r="I155" s="4" t="str">
        <f t="array" ref="I155">IF(ROWS(M$20:M155)&gt;$F$6,"",INDEX(C$2:C$1018,SMALL(IF(ISNUMBER(MATCH($B$2:$B$1018,$E$6:$E$11,0)),ROW($C$2:$C$1018)-ROW($C$2)+1),ROWS(M$20:M155))))</f>
        <v/>
      </c>
      <c r="K155" s="7" t="str">
        <f t="array" ref="K155">IF(ROWS(K$20:K155)&gt;$F$6,"",INDEX(A$2:A$1018,SMALL(IF(($B$2:$B$1018=$E$6)+($B$2:$B$1018=$E$7)+($B$2:$B$1018=$E$8)+($B$2:$B$1018=$E$9)+($B$2:$B$1018=$E$10)+($B$2:$B$1018=$E$11),ROW($C$2:$C$1018)-ROW($C$2)+1),ROWS(K$20:K155))))</f>
        <v/>
      </c>
      <c r="L155" s="4" t="str">
        <f t="array" ref="L155">IF(ROWS(L$20:L155)&gt;$F$6,"",INDEX(B$2:B$1018,SMALL(IF(($B$2:$B$1018=$E$6)+($B$2:$B$1018=$E$7)+($B$2:$B$1018=$E$8)+($B$2:$B$1018=$E$9)+($B$2:$B$1018=$E$10)+($B$2:$B$1018=$E$11),ROW($C$2:$C$1018)-ROW($C$2)+1),ROWS(L$20:L155))))</f>
        <v/>
      </c>
      <c r="M155" s="4" t="str">
        <f t="array" ref="M155">IF(ROWS(M$20:M155)&gt;$F$6,"",INDEX(C$2:C$1018,SMALL(IF(($B$2:$B$1018=$E$6)+($B$2:$B$1018=$E$7)+($B$2:$B$1018=$E$8)+($B$2:$B$1018=$E$9)+($B$2:$B$1018=$E$10)+($B$2:$B$1018=$E$11),ROW($C$2:$C$1018)-ROW($C$2)+1),ROWS(M$20:M155))))</f>
        <v/>
      </c>
    </row>
    <row r="156" spans="1:13" x14ac:dyDescent="0.25">
      <c r="A156" s="3">
        <v>41944</v>
      </c>
      <c r="B156" s="2" t="s">
        <v>3</v>
      </c>
      <c r="C156" s="2">
        <v>31</v>
      </c>
      <c r="G156" s="7" t="str">
        <f t="array" ref="G156">IF(ROWS(K$20:K156)&gt;$F$6,"",INDEX(A$2:A$1018,SMALL(IF(ISNUMBER(MATCH($B$2:$B$1018,$E$6:$E$11,0)),ROW($C$2:$C$1018)-ROW($C$2)+1),ROWS(K$20:K156))))</f>
        <v/>
      </c>
      <c r="H156" s="4" t="str">
        <f t="array" ref="H156">IF(ROWS(L$20:L156)&gt;$F$6,"",INDEX(B$2:B$1018,SMALL(IF(ISNUMBER(MATCH($B$2:$B$1018,$E$6:$E$11,0)),ROW($C$2:$C$1018)-ROW($C$2)+1),ROWS(L$20:L156))))</f>
        <v/>
      </c>
      <c r="I156" s="4" t="str">
        <f t="array" ref="I156">IF(ROWS(M$20:M156)&gt;$F$6,"",INDEX(C$2:C$1018,SMALL(IF(ISNUMBER(MATCH($B$2:$B$1018,$E$6:$E$11,0)),ROW($C$2:$C$1018)-ROW($C$2)+1),ROWS(M$20:M156))))</f>
        <v/>
      </c>
      <c r="K156" s="7" t="str">
        <f t="array" ref="K156">IF(ROWS(K$20:K156)&gt;$F$6,"",INDEX(A$2:A$1018,SMALL(IF(($B$2:$B$1018=$E$6)+($B$2:$B$1018=$E$7)+($B$2:$B$1018=$E$8)+($B$2:$B$1018=$E$9)+($B$2:$B$1018=$E$10)+($B$2:$B$1018=$E$11),ROW($C$2:$C$1018)-ROW($C$2)+1),ROWS(K$20:K156))))</f>
        <v/>
      </c>
      <c r="L156" s="4" t="str">
        <f t="array" ref="L156">IF(ROWS(L$20:L156)&gt;$F$6,"",INDEX(B$2:B$1018,SMALL(IF(($B$2:$B$1018=$E$6)+($B$2:$B$1018=$E$7)+($B$2:$B$1018=$E$8)+($B$2:$B$1018=$E$9)+($B$2:$B$1018=$E$10)+($B$2:$B$1018=$E$11),ROW($C$2:$C$1018)-ROW($C$2)+1),ROWS(L$20:L156))))</f>
        <v/>
      </c>
      <c r="M156" s="4" t="str">
        <f t="array" ref="M156">IF(ROWS(M$20:M156)&gt;$F$6,"",INDEX(C$2:C$1018,SMALL(IF(($B$2:$B$1018=$E$6)+($B$2:$B$1018=$E$7)+($B$2:$B$1018=$E$8)+($B$2:$B$1018=$E$9)+($B$2:$B$1018=$E$10)+($B$2:$B$1018=$E$11),ROW($C$2:$C$1018)-ROW($C$2)+1),ROWS(M$20:M156))))</f>
        <v/>
      </c>
    </row>
    <row r="157" spans="1:13" x14ac:dyDescent="0.25">
      <c r="A157" s="3">
        <v>41452</v>
      </c>
      <c r="B157" s="2" t="s">
        <v>24</v>
      </c>
      <c r="C157" s="2">
        <v>34</v>
      </c>
      <c r="G157" s="7" t="str">
        <f t="array" ref="G157">IF(ROWS(K$20:K157)&gt;$F$6,"",INDEX(A$2:A$1018,SMALL(IF(ISNUMBER(MATCH($B$2:$B$1018,$E$6:$E$11,0)),ROW($C$2:$C$1018)-ROW($C$2)+1),ROWS(K$20:K157))))</f>
        <v/>
      </c>
      <c r="H157" s="4" t="str">
        <f t="array" ref="H157">IF(ROWS(L$20:L157)&gt;$F$6,"",INDEX(B$2:B$1018,SMALL(IF(ISNUMBER(MATCH($B$2:$B$1018,$E$6:$E$11,0)),ROW($C$2:$C$1018)-ROW($C$2)+1),ROWS(L$20:L157))))</f>
        <v/>
      </c>
      <c r="I157" s="4" t="str">
        <f t="array" ref="I157">IF(ROWS(M$20:M157)&gt;$F$6,"",INDEX(C$2:C$1018,SMALL(IF(ISNUMBER(MATCH($B$2:$B$1018,$E$6:$E$11,0)),ROW($C$2:$C$1018)-ROW($C$2)+1),ROWS(M$20:M157))))</f>
        <v/>
      </c>
      <c r="K157" s="7" t="str">
        <f t="array" ref="K157">IF(ROWS(K$20:K157)&gt;$F$6,"",INDEX(A$2:A$1018,SMALL(IF(($B$2:$B$1018=$E$6)+($B$2:$B$1018=$E$7)+($B$2:$B$1018=$E$8)+($B$2:$B$1018=$E$9)+($B$2:$B$1018=$E$10)+($B$2:$B$1018=$E$11),ROW($C$2:$C$1018)-ROW($C$2)+1),ROWS(K$20:K157))))</f>
        <v/>
      </c>
      <c r="L157" s="4" t="str">
        <f t="array" ref="L157">IF(ROWS(L$20:L157)&gt;$F$6,"",INDEX(B$2:B$1018,SMALL(IF(($B$2:$B$1018=$E$6)+($B$2:$B$1018=$E$7)+($B$2:$B$1018=$E$8)+($B$2:$B$1018=$E$9)+($B$2:$B$1018=$E$10)+($B$2:$B$1018=$E$11),ROW($C$2:$C$1018)-ROW($C$2)+1),ROWS(L$20:L157))))</f>
        <v/>
      </c>
      <c r="M157" s="4" t="str">
        <f t="array" ref="M157">IF(ROWS(M$20:M157)&gt;$F$6,"",INDEX(C$2:C$1018,SMALL(IF(($B$2:$B$1018=$E$6)+($B$2:$B$1018=$E$7)+($B$2:$B$1018=$E$8)+($B$2:$B$1018=$E$9)+($B$2:$B$1018=$E$10)+($B$2:$B$1018=$E$11),ROW($C$2:$C$1018)-ROW($C$2)+1),ROWS(M$20:M157))))</f>
        <v/>
      </c>
    </row>
    <row r="158" spans="1:13" x14ac:dyDescent="0.25">
      <c r="A158" s="3">
        <v>41743</v>
      </c>
      <c r="B158" s="2" t="s">
        <v>20</v>
      </c>
      <c r="C158" s="2">
        <v>36</v>
      </c>
      <c r="G158" s="7" t="str">
        <f t="array" ref="G158">IF(ROWS(K$20:K158)&gt;$F$6,"",INDEX(A$2:A$1018,SMALL(IF(ISNUMBER(MATCH($B$2:$B$1018,$E$6:$E$11,0)),ROW($C$2:$C$1018)-ROW($C$2)+1),ROWS(K$20:K158))))</f>
        <v/>
      </c>
      <c r="H158" s="4" t="str">
        <f t="array" ref="H158">IF(ROWS(L$20:L158)&gt;$F$6,"",INDEX(B$2:B$1018,SMALL(IF(ISNUMBER(MATCH($B$2:$B$1018,$E$6:$E$11,0)),ROW($C$2:$C$1018)-ROW($C$2)+1),ROWS(L$20:L158))))</f>
        <v/>
      </c>
      <c r="I158" s="4" t="str">
        <f t="array" ref="I158">IF(ROWS(M$20:M158)&gt;$F$6,"",INDEX(C$2:C$1018,SMALL(IF(ISNUMBER(MATCH($B$2:$B$1018,$E$6:$E$11,0)),ROW($C$2:$C$1018)-ROW($C$2)+1),ROWS(M$20:M158))))</f>
        <v/>
      </c>
      <c r="K158" s="7" t="str">
        <f t="array" ref="K158">IF(ROWS(K$20:K158)&gt;$F$6,"",INDEX(A$2:A$1018,SMALL(IF(($B$2:$B$1018=$E$6)+($B$2:$B$1018=$E$7)+($B$2:$B$1018=$E$8)+($B$2:$B$1018=$E$9)+($B$2:$B$1018=$E$10)+($B$2:$B$1018=$E$11),ROW($C$2:$C$1018)-ROW($C$2)+1),ROWS(K$20:K158))))</f>
        <v/>
      </c>
      <c r="L158" s="4" t="str">
        <f t="array" ref="L158">IF(ROWS(L$20:L158)&gt;$F$6,"",INDEX(B$2:B$1018,SMALL(IF(($B$2:$B$1018=$E$6)+($B$2:$B$1018=$E$7)+($B$2:$B$1018=$E$8)+($B$2:$B$1018=$E$9)+($B$2:$B$1018=$E$10)+($B$2:$B$1018=$E$11),ROW($C$2:$C$1018)-ROW($C$2)+1),ROWS(L$20:L158))))</f>
        <v/>
      </c>
      <c r="M158" s="4" t="str">
        <f t="array" ref="M158">IF(ROWS(M$20:M158)&gt;$F$6,"",INDEX(C$2:C$1018,SMALL(IF(($B$2:$B$1018=$E$6)+($B$2:$B$1018=$E$7)+($B$2:$B$1018=$E$8)+($B$2:$B$1018=$E$9)+($B$2:$B$1018=$E$10)+($B$2:$B$1018=$E$11),ROW($C$2:$C$1018)-ROW($C$2)+1),ROWS(M$20:M158))))</f>
        <v/>
      </c>
    </row>
    <row r="159" spans="1:13" x14ac:dyDescent="0.25">
      <c r="A159" s="3">
        <v>41636</v>
      </c>
      <c r="B159" s="2" t="s">
        <v>9</v>
      </c>
      <c r="C159" s="2">
        <v>47</v>
      </c>
      <c r="G159" s="7" t="str">
        <f t="array" ref="G159">IF(ROWS(K$20:K159)&gt;$F$6,"",INDEX(A$2:A$1018,SMALL(IF(ISNUMBER(MATCH($B$2:$B$1018,$E$6:$E$11,0)),ROW($C$2:$C$1018)-ROW($C$2)+1),ROWS(K$20:K159))))</f>
        <v/>
      </c>
      <c r="H159" s="4" t="str">
        <f t="array" ref="H159">IF(ROWS(L$20:L159)&gt;$F$6,"",INDEX(B$2:B$1018,SMALL(IF(ISNUMBER(MATCH($B$2:$B$1018,$E$6:$E$11,0)),ROW($C$2:$C$1018)-ROW($C$2)+1),ROWS(L$20:L159))))</f>
        <v/>
      </c>
      <c r="I159" s="4" t="str">
        <f t="array" ref="I159">IF(ROWS(M$20:M159)&gt;$F$6,"",INDEX(C$2:C$1018,SMALL(IF(ISNUMBER(MATCH($B$2:$B$1018,$E$6:$E$11,0)),ROW($C$2:$C$1018)-ROW($C$2)+1),ROWS(M$20:M159))))</f>
        <v/>
      </c>
      <c r="K159" s="7" t="str">
        <f t="array" ref="K159">IF(ROWS(K$20:K159)&gt;$F$6,"",INDEX(A$2:A$1018,SMALL(IF(($B$2:$B$1018=$E$6)+($B$2:$B$1018=$E$7)+($B$2:$B$1018=$E$8)+($B$2:$B$1018=$E$9)+($B$2:$B$1018=$E$10)+($B$2:$B$1018=$E$11),ROW($C$2:$C$1018)-ROW($C$2)+1),ROWS(K$20:K159))))</f>
        <v/>
      </c>
      <c r="L159" s="4" t="str">
        <f t="array" ref="L159">IF(ROWS(L$20:L159)&gt;$F$6,"",INDEX(B$2:B$1018,SMALL(IF(($B$2:$B$1018=$E$6)+($B$2:$B$1018=$E$7)+($B$2:$B$1018=$E$8)+($B$2:$B$1018=$E$9)+($B$2:$B$1018=$E$10)+($B$2:$B$1018=$E$11),ROW($C$2:$C$1018)-ROW($C$2)+1),ROWS(L$20:L159))))</f>
        <v/>
      </c>
      <c r="M159" s="4" t="str">
        <f t="array" ref="M159">IF(ROWS(M$20:M159)&gt;$F$6,"",INDEX(C$2:C$1018,SMALL(IF(($B$2:$B$1018=$E$6)+($B$2:$B$1018=$E$7)+($B$2:$B$1018=$E$8)+($B$2:$B$1018=$E$9)+($B$2:$B$1018=$E$10)+($B$2:$B$1018=$E$11),ROW($C$2:$C$1018)-ROW($C$2)+1),ROWS(M$20:M159))))</f>
        <v/>
      </c>
    </row>
    <row r="160" spans="1:13" x14ac:dyDescent="0.25">
      <c r="A160" s="3">
        <v>41954</v>
      </c>
      <c r="B160" s="2" t="s">
        <v>49</v>
      </c>
      <c r="C160" s="2">
        <v>4</v>
      </c>
      <c r="G160" s="7" t="str">
        <f t="array" ref="G160">IF(ROWS(K$20:K160)&gt;$F$6,"",INDEX(A$2:A$1018,SMALL(IF(ISNUMBER(MATCH($B$2:$B$1018,$E$6:$E$11,0)),ROW($C$2:$C$1018)-ROW($C$2)+1),ROWS(K$20:K160))))</f>
        <v/>
      </c>
      <c r="H160" s="4" t="str">
        <f t="array" ref="H160">IF(ROWS(L$20:L160)&gt;$F$6,"",INDEX(B$2:B$1018,SMALL(IF(ISNUMBER(MATCH($B$2:$B$1018,$E$6:$E$11,0)),ROW($C$2:$C$1018)-ROW($C$2)+1),ROWS(L$20:L160))))</f>
        <v/>
      </c>
      <c r="I160" s="4" t="str">
        <f t="array" ref="I160">IF(ROWS(M$20:M160)&gt;$F$6,"",INDEX(C$2:C$1018,SMALL(IF(ISNUMBER(MATCH($B$2:$B$1018,$E$6:$E$11,0)),ROW($C$2:$C$1018)-ROW($C$2)+1),ROWS(M$20:M160))))</f>
        <v/>
      </c>
      <c r="K160" s="7" t="str">
        <f t="array" ref="K160">IF(ROWS(K$20:K160)&gt;$F$6,"",INDEX(A$2:A$1018,SMALL(IF(($B$2:$B$1018=$E$6)+($B$2:$B$1018=$E$7)+($B$2:$B$1018=$E$8)+($B$2:$B$1018=$E$9)+($B$2:$B$1018=$E$10)+($B$2:$B$1018=$E$11),ROW($C$2:$C$1018)-ROW($C$2)+1),ROWS(K$20:K160))))</f>
        <v/>
      </c>
      <c r="L160" s="4" t="str">
        <f t="array" ref="L160">IF(ROWS(L$20:L160)&gt;$F$6,"",INDEX(B$2:B$1018,SMALL(IF(($B$2:$B$1018=$E$6)+($B$2:$B$1018=$E$7)+($B$2:$B$1018=$E$8)+($B$2:$B$1018=$E$9)+($B$2:$B$1018=$E$10)+($B$2:$B$1018=$E$11),ROW($C$2:$C$1018)-ROW($C$2)+1),ROWS(L$20:L160))))</f>
        <v/>
      </c>
      <c r="M160" s="4" t="str">
        <f t="array" ref="M160">IF(ROWS(M$20:M160)&gt;$F$6,"",INDEX(C$2:C$1018,SMALL(IF(($B$2:$B$1018=$E$6)+($B$2:$B$1018=$E$7)+($B$2:$B$1018=$E$8)+($B$2:$B$1018=$E$9)+($B$2:$B$1018=$E$10)+($B$2:$B$1018=$E$11),ROW($C$2:$C$1018)-ROW($C$2)+1),ROWS(M$20:M160))))</f>
        <v/>
      </c>
    </row>
    <row r="161" spans="1:13" x14ac:dyDescent="0.25">
      <c r="A161" s="3">
        <v>41482</v>
      </c>
      <c r="B161" s="2" t="s">
        <v>23</v>
      </c>
      <c r="C161" s="2">
        <v>30</v>
      </c>
      <c r="G161" s="7" t="str">
        <f t="array" ref="G161">IF(ROWS(K$20:K161)&gt;$F$6,"",INDEX(A$2:A$1018,SMALL(IF(ISNUMBER(MATCH($B$2:$B$1018,$E$6:$E$11,0)),ROW($C$2:$C$1018)-ROW($C$2)+1),ROWS(K$20:K161))))</f>
        <v/>
      </c>
      <c r="H161" s="4" t="str">
        <f t="array" ref="H161">IF(ROWS(L$20:L161)&gt;$F$6,"",INDEX(B$2:B$1018,SMALL(IF(ISNUMBER(MATCH($B$2:$B$1018,$E$6:$E$11,0)),ROW($C$2:$C$1018)-ROW($C$2)+1),ROWS(L$20:L161))))</f>
        <v/>
      </c>
      <c r="I161" s="4" t="str">
        <f t="array" ref="I161">IF(ROWS(M$20:M161)&gt;$F$6,"",INDEX(C$2:C$1018,SMALL(IF(ISNUMBER(MATCH($B$2:$B$1018,$E$6:$E$11,0)),ROW($C$2:$C$1018)-ROW($C$2)+1),ROWS(M$20:M161))))</f>
        <v/>
      </c>
      <c r="K161" s="7" t="str">
        <f t="array" ref="K161">IF(ROWS(K$20:K161)&gt;$F$6,"",INDEX(A$2:A$1018,SMALL(IF(($B$2:$B$1018=$E$6)+($B$2:$B$1018=$E$7)+($B$2:$B$1018=$E$8)+($B$2:$B$1018=$E$9)+($B$2:$B$1018=$E$10)+($B$2:$B$1018=$E$11),ROW($C$2:$C$1018)-ROW($C$2)+1),ROWS(K$20:K161))))</f>
        <v/>
      </c>
      <c r="L161" s="4" t="str">
        <f t="array" ref="L161">IF(ROWS(L$20:L161)&gt;$F$6,"",INDEX(B$2:B$1018,SMALL(IF(($B$2:$B$1018=$E$6)+($B$2:$B$1018=$E$7)+($B$2:$B$1018=$E$8)+($B$2:$B$1018=$E$9)+($B$2:$B$1018=$E$10)+($B$2:$B$1018=$E$11),ROW($C$2:$C$1018)-ROW($C$2)+1),ROWS(L$20:L161))))</f>
        <v/>
      </c>
      <c r="M161" s="4" t="str">
        <f t="array" ref="M161">IF(ROWS(M$20:M161)&gt;$F$6,"",INDEX(C$2:C$1018,SMALL(IF(($B$2:$B$1018=$E$6)+($B$2:$B$1018=$E$7)+($B$2:$B$1018=$E$8)+($B$2:$B$1018=$E$9)+($B$2:$B$1018=$E$10)+($B$2:$B$1018=$E$11),ROW($C$2:$C$1018)-ROW($C$2)+1),ROWS(M$20:M161))))</f>
        <v/>
      </c>
    </row>
    <row r="162" spans="1:13" x14ac:dyDescent="0.25">
      <c r="A162" s="3">
        <v>41841</v>
      </c>
      <c r="B162" s="2" t="s">
        <v>27</v>
      </c>
      <c r="C162" s="2">
        <v>19</v>
      </c>
      <c r="G162" s="7" t="str">
        <f t="array" ref="G162">IF(ROWS(K$20:K162)&gt;$F$6,"",INDEX(A$2:A$1018,SMALL(IF(ISNUMBER(MATCH($B$2:$B$1018,$E$6:$E$11,0)),ROW($C$2:$C$1018)-ROW($C$2)+1),ROWS(K$20:K162))))</f>
        <v/>
      </c>
      <c r="H162" s="4" t="str">
        <f t="array" ref="H162">IF(ROWS(L$20:L162)&gt;$F$6,"",INDEX(B$2:B$1018,SMALL(IF(ISNUMBER(MATCH($B$2:$B$1018,$E$6:$E$11,0)),ROW($C$2:$C$1018)-ROW($C$2)+1),ROWS(L$20:L162))))</f>
        <v/>
      </c>
      <c r="I162" s="4" t="str">
        <f t="array" ref="I162">IF(ROWS(M$20:M162)&gt;$F$6,"",INDEX(C$2:C$1018,SMALL(IF(ISNUMBER(MATCH($B$2:$B$1018,$E$6:$E$11,0)),ROW($C$2:$C$1018)-ROW($C$2)+1),ROWS(M$20:M162))))</f>
        <v/>
      </c>
      <c r="K162" s="7" t="str">
        <f t="array" ref="K162">IF(ROWS(K$20:K162)&gt;$F$6,"",INDEX(A$2:A$1018,SMALL(IF(($B$2:$B$1018=$E$6)+($B$2:$B$1018=$E$7)+($B$2:$B$1018=$E$8)+($B$2:$B$1018=$E$9)+($B$2:$B$1018=$E$10)+($B$2:$B$1018=$E$11),ROW($C$2:$C$1018)-ROW($C$2)+1),ROWS(K$20:K162))))</f>
        <v/>
      </c>
      <c r="L162" s="4" t="str">
        <f t="array" ref="L162">IF(ROWS(L$20:L162)&gt;$F$6,"",INDEX(B$2:B$1018,SMALL(IF(($B$2:$B$1018=$E$6)+($B$2:$B$1018=$E$7)+($B$2:$B$1018=$E$8)+($B$2:$B$1018=$E$9)+($B$2:$B$1018=$E$10)+($B$2:$B$1018=$E$11),ROW($C$2:$C$1018)-ROW($C$2)+1),ROWS(L$20:L162))))</f>
        <v/>
      </c>
      <c r="M162" s="4" t="str">
        <f t="array" ref="M162">IF(ROWS(M$20:M162)&gt;$F$6,"",INDEX(C$2:C$1018,SMALL(IF(($B$2:$B$1018=$E$6)+($B$2:$B$1018=$E$7)+($B$2:$B$1018=$E$8)+($B$2:$B$1018=$E$9)+($B$2:$B$1018=$E$10)+($B$2:$B$1018=$E$11),ROW($C$2:$C$1018)-ROW($C$2)+1),ROWS(M$20:M162))))</f>
        <v/>
      </c>
    </row>
    <row r="163" spans="1:13" x14ac:dyDescent="0.25">
      <c r="A163" s="3">
        <v>41575</v>
      </c>
      <c r="B163" s="2" t="s">
        <v>2</v>
      </c>
      <c r="C163" s="2">
        <v>14</v>
      </c>
      <c r="G163" s="7" t="str">
        <f t="array" ref="G163">IF(ROWS(K$20:K163)&gt;$F$6,"",INDEX(A$2:A$1018,SMALL(IF(ISNUMBER(MATCH($B$2:$B$1018,$E$6:$E$11,0)),ROW($C$2:$C$1018)-ROW($C$2)+1),ROWS(K$20:K163))))</f>
        <v/>
      </c>
      <c r="H163" s="4" t="str">
        <f t="array" ref="H163">IF(ROWS(L$20:L163)&gt;$F$6,"",INDEX(B$2:B$1018,SMALL(IF(ISNUMBER(MATCH($B$2:$B$1018,$E$6:$E$11,0)),ROW($C$2:$C$1018)-ROW($C$2)+1),ROWS(L$20:L163))))</f>
        <v/>
      </c>
      <c r="I163" s="4" t="str">
        <f t="array" ref="I163">IF(ROWS(M$20:M163)&gt;$F$6,"",INDEX(C$2:C$1018,SMALL(IF(ISNUMBER(MATCH($B$2:$B$1018,$E$6:$E$11,0)),ROW($C$2:$C$1018)-ROW($C$2)+1),ROWS(M$20:M163))))</f>
        <v/>
      </c>
      <c r="K163" s="7" t="str">
        <f t="array" ref="K163">IF(ROWS(K$20:K163)&gt;$F$6,"",INDEX(A$2:A$1018,SMALL(IF(($B$2:$B$1018=$E$6)+($B$2:$B$1018=$E$7)+($B$2:$B$1018=$E$8)+($B$2:$B$1018=$E$9)+($B$2:$B$1018=$E$10)+($B$2:$B$1018=$E$11),ROW($C$2:$C$1018)-ROW($C$2)+1),ROWS(K$20:K163))))</f>
        <v/>
      </c>
      <c r="L163" s="4" t="str">
        <f t="array" ref="L163">IF(ROWS(L$20:L163)&gt;$F$6,"",INDEX(B$2:B$1018,SMALL(IF(($B$2:$B$1018=$E$6)+($B$2:$B$1018=$E$7)+($B$2:$B$1018=$E$8)+($B$2:$B$1018=$E$9)+($B$2:$B$1018=$E$10)+($B$2:$B$1018=$E$11),ROW($C$2:$C$1018)-ROW($C$2)+1),ROWS(L$20:L163))))</f>
        <v/>
      </c>
      <c r="M163" s="4" t="str">
        <f t="array" ref="M163">IF(ROWS(M$20:M163)&gt;$F$6,"",INDEX(C$2:C$1018,SMALL(IF(($B$2:$B$1018=$E$6)+($B$2:$B$1018=$E$7)+($B$2:$B$1018=$E$8)+($B$2:$B$1018=$E$9)+($B$2:$B$1018=$E$10)+($B$2:$B$1018=$E$11),ROW($C$2:$C$1018)-ROW($C$2)+1),ROWS(M$20:M163))))</f>
        <v/>
      </c>
    </row>
    <row r="164" spans="1:13" x14ac:dyDescent="0.25">
      <c r="A164" s="3">
        <v>41580</v>
      </c>
      <c r="B164" s="2" t="s">
        <v>5</v>
      </c>
      <c r="C164" s="2">
        <v>13</v>
      </c>
      <c r="G164" s="7" t="str">
        <f t="array" ref="G164">IF(ROWS(K$20:K164)&gt;$F$6,"",INDEX(A$2:A$1018,SMALL(IF(ISNUMBER(MATCH($B$2:$B$1018,$E$6:$E$11,0)),ROW($C$2:$C$1018)-ROW($C$2)+1),ROWS(K$20:K164))))</f>
        <v/>
      </c>
      <c r="H164" s="4" t="str">
        <f t="array" ref="H164">IF(ROWS(L$20:L164)&gt;$F$6,"",INDEX(B$2:B$1018,SMALL(IF(ISNUMBER(MATCH($B$2:$B$1018,$E$6:$E$11,0)),ROW($C$2:$C$1018)-ROW($C$2)+1),ROWS(L$20:L164))))</f>
        <v/>
      </c>
      <c r="I164" s="4" t="str">
        <f t="array" ref="I164">IF(ROWS(M$20:M164)&gt;$F$6,"",INDEX(C$2:C$1018,SMALL(IF(ISNUMBER(MATCH($B$2:$B$1018,$E$6:$E$11,0)),ROW($C$2:$C$1018)-ROW($C$2)+1),ROWS(M$20:M164))))</f>
        <v/>
      </c>
      <c r="K164" s="7" t="str">
        <f t="array" ref="K164">IF(ROWS(K$20:K164)&gt;$F$6,"",INDEX(A$2:A$1018,SMALL(IF(($B$2:$B$1018=$E$6)+($B$2:$B$1018=$E$7)+($B$2:$B$1018=$E$8)+($B$2:$B$1018=$E$9)+($B$2:$B$1018=$E$10)+($B$2:$B$1018=$E$11),ROW($C$2:$C$1018)-ROW($C$2)+1),ROWS(K$20:K164))))</f>
        <v/>
      </c>
      <c r="L164" s="4" t="str">
        <f t="array" ref="L164">IF(ROWS(L$20:L164)&gt;$F$6,"",INDEX(B$2:B$1018,SMALL(IF(($B$2:$B$1018=$E$6)+($B$2:$B$1018=$E$7)+($B$2:$B$1018=$E$8)+($B$2:$B$1018=$E$9)+($B$2:$B$1018=$E$10)+($B$2:$B$1018=$E$11),ROW($C$2:$C$1018)-ROW($C$2)+1),ROWS(L$20:L164))))</f>
        <v/>
      </c>
      <c r="M164" s="4" t="str">
        <f t="array" ref="M164">IF(ROWS(M$20:M164)&gt;$F$6,"",INDEX(C$2:C$1018,SMALL(IF(($B$2:$B$1018=$E$6)+($B$2:$B$1018=$E$7)+($B$2:$B$1018=$E$8)+($B$2:$B$1018=$E$9)+($B$2:$B$1018=$E$10)+($B$2:$B$1018=$E$11),ROW($C$2:$C$1018)-ROW($C$2)+1),ROWS(M$20:M164))))</f>
        <v/>
      </c>
    </row>
    <row r="165" spans="1:13" x14ac:dyDescent="0.25">
      <c r="A165" s="3">
        <v>41322</v>
      </c>
      <c r="B165" s="2" t="s">
        <v>3</v>
      </c>
      <c r="C165" s="2">
        <v>36</v>
      </c>
      <c r="G165" s="7" t="str">
        <f t="array" ref="G165">IF(ROWS(K$20:K165)&gt;$F$6,"",INDEX(A$2:A$1018,SMALL(IF(ISNUMBER(MATCH($B$2:$B$1018,$E$6:$E$11,0)),ROW($C$2:$C$1018)-ROW($C$2)+1),ROWS(K$20:K165))))</f>
        <v/>
      </c>
      <c r="H165" s="4" t="str">
        <f t="array" ref="H165">IF(ROWS(L$20:L165)&gt;$F$6,"",INDEX(B$2:B$1018,SMALL(IF(ISNUMBER(MATCH($B$2:$B$1018,$E$6:$E$11,0)),ROW($C$2:$C$1018)-ROW($C$2)+1),ROWS(L$20:L165))))</f>
        <v/>
      </c>
      <c r="I165" s="4" t="str">
        <f t="array" ref="I165">IF(ROWS(M$20:M165)&gt;$F$6,"",INDEX(C$2:C$1018,SMALL(IF(ISNUMBER(MATCH($B$2:$B$1018,$E$6:$E$11,0)),ROW($C$2:$C$1018)-ROW($C$2)+1),ROWS(M$20:M165))))</f>
        <v/>
      </c>
      <c r="K165" s="7" t="str">
        <f t="array" ref="K165">IF(ROWS(K$20:K165)&gt;$F$6,"",INDEX(A$2:A$1018,SMALL(IF(($B$2:$B$1018=$E$6)+($B$2:$B$1018=$E$7)+($B$2:$B$1018=$E$8)+($B$2:$B$1018=$E$9)+($B$2:$B$1018=$E$10)+($B$2:$B$1018=$E$11),ROW($C$2:$C$1018)-ROW($C$2)+1),ROWS(K$20:K165))))</f>
        <v/>
      </c>
      <c r="L165" s="4" t="str">
        <f t="array" ref="L165">IF(ROWS(L$20:L165)&gt;$F$6,"",INDEX(B$2:B$1018,SMALL(IF(($B$2:$B$1018=$E$6)+($B$2:$B$1018=$E$7)+($B$2:$B$1018=$E$8)+($B$2:$B$1018=$E$9)+($B$2:$B$1018=$E$10)+($B$2:$B$1018=$E$11),ROW($C$2:$C$1018)-ROW($C$2)+1),ROWS(L$20:L165))))</f>
        <v/>
      </c>
      <c r="M165" s="4" t="str">
        <f t="array" ref="M165">IF(ROWS(M$20:M165)&gt;$F$6,"",INDEX(C$2:C$1018,SMALL(IF(($B$2:$B$1018=$E$6)+($B$2:$B$1018=$E$7)+($B$2:$B$1018=$E$8)+($B$2:$B$1018=$E$9)+($B$2:$B$1018=$E$10)+($B$2:$B$1018=$E$11),ROW($C$2:$C$1018)-ROW($C$2)+1),ROWS(M$20:M165))))</f>
        <v/>
      </c>
    </row>
    <row r="166" spans="1:13" x14ac:dyDescent="0.25">
      <c r="A166" s="3">
        <v>41776</v>
      </c>
      <c r="B166" s="2" t="s">
        <v>37</v>
      </c>
      <c r="C166" s="2">
        <v>39</v>
      </c>
      <c r="G166" s="7" t="str">
        <f t="array" ref="G166">IF(ROWS(K$20:K166)&gt;$F$6,"",INDEX(A$2:A$1018,SMALL(IF(ISNUMBER(MATCH($B$2:$B$1018,$E$6:$E$11,0)),ROW($C$2:$C$1018)-ROW($C$2)+1),ROWS(K$20:K166))))</f>
        <v/>
      </c>
      <c r="H166" s="4" t="str">
        <f t="array" ref="H166">IF(ROWS(L$20:L166)&gt;$F$6,"",INDEX(B$2:B$1018,SMALL(IF(ISNUMBER(MATCH($B$2:$B$1018,$E$6:$E$11,0)),ROW($C$2:$C$1018)-ROW($C$2)+1),ROWS(L$20:L166))))</f>
        <v/>
      </c>
      <c r="I166" s="4" t="str">
        <f t="array" ref="I166">IF(ROWS(M$20:M166)&gt;$F$6,"",INDEX(C$2:C$1018,SMALL(IF(ISNUMBER(MATCH($B$2:$B$1018,$E$6:$E$11,0)),ROW($C$2:$C$1018)-ROW($C$2)+1),ROWS(M$20:M166))))</f>
        <v/>
      </c>
      <c r="K166" s="7" t="str">
        <f t="array" ref="K166">IF(ROWS(K$20:K166)&gt;$F$6,"",INDEX(A$2:A$1018,SMALL(IF(($B$2:$B$1018=$E$6)+($B$2:$B$1018=$E$7)+($B$2:$B$1018=$E$8)+($B$2:$B$1018=$E$9)+($B$2:$B$1018=$E$10)+($B$2:$B$1018=$E$11),ROW($C$2:$C$1018)-ROW($C$2)+1),ROWS(K$20:K166))))</f>
        <v/>
      </c>
      <c r="L166" s="4" t="str">
        <f t="array" ref="L166">IF(ROWS(L$20:L166)&gt;$F$6,"",INDEX(B$2:B$1018,SMALL(IF(($B$2:$B$1018=$E$6)+($B$2:$B$1018=$E$7)+($B$2:$B$1018=$E$8)+($B$2:$B$1018=$E$9)+($B$2:$B$1018=$E$10)+($B$2:$B$1018=$E$11),ROW($C$2:$C$1018)-ROW($C$2)+1),ROWS(L$20:L166))))</f>
        <v/>
      </c>
      <c r="M166" s="4" t="str">
        <f t="array" ref="M166">IF(ROWS(M$20:M166)&gt;$F$6,"",INDEX(C$2:C$1018,SMALL(IF(($B$2:$B$1018=$E$6)+($B$2:$B$1018=$E$7)+($B$2:$B$1018=$E$8)+($B$2:$B$1018=$E$9)+($B$2:$B$1018=$E$10)+($B$2:$B$1018=$E$11),ROW($C$2:$C$1018)-ROW($C$2)+1),ROWS(M$20:M166))))</f>
        <v/>
      </c>
    </row>
    <row r="167" spans="1:13" x14ac:dyDescent="0.25">
      <c r="A167" s="3">
        <v>41530</v>
      </c>
      <c r="B167" s="2" t="s">
        <v>44</v>
      </c>
      <c r="C167" s="2">
        <v>46</v>
      </c>
      <c r="G167" s="7" t="str">
        <f t="array" ref="G167">IF(ROWS(K$20:K167)&gt;$F$6,"",INDEX(A$2:A$1018,SMALL(IF(ISNUMBER(MATCH($B$2:$B$1018,$E$6:$E$11,0)),ROW($C$2:$C$1018)-ROW($C$2)+1),ROWS(K$20:K167))))</f>
        <v/>
      </c>
      <c r="H167" s="4" t="str">
        <f t="array" ref="H167">IF(ROWS(L$20:L167)&gt;$F$6,"",INDEX(B$2:B$1018,SMALL(IF(ISNUMBER(MATCH($B$2:$B$1018,$E$6:$E$11,0)),ROW($C$2:$C$1018)-ROW($C$2)+1),ROWS(L$20:L167))))</f>
        <v/>
      </c>
      <c r="I167" s="4" t="str">
        <f t="array" ref="I167">IF(ROWS(M$20:M167)&gt;$F$6,"",INDEX(C$2:C$1018,SMALL(IF(ISNUMBER(MATCH($B$2:$B$1018,$E$6:$E$11,0)),ROW($C$2:$C$1018)-ROW($C$2)+1),ROWS(M$20:M167))))</f>
        <v/>
      </c>
      <c r="K167" s="7" t="str">
        <f t="array" ref="K167">IF(ROWS(K$20:K167)&gt;$F$6,"",INDEX(A$2:A$1018,SMALL(IF(($B$2:$B$1018=$E$6)+($B$2:$B$1018=$E$7)+($B$2:$B$1018=$E$8)+($B$2:$B$1018=$E$9)+($B$2:$B$1018=$E$10)+($B$2:$B$1018=$E$11),ROW($C$2:$C$1018)-ROW($C$2)+1),ROWS(K$20:K167))))</f>
        <v/>
      </c>
      <c r="L167" s="4" t="str">
        <f t="array" ref="L167">IF(ROWS(L$20:L167)&gt;$F$6,"",INDEX(B$2:B$1018,SMALL(IF(($B$2:$B$1018=$E$6)+($B$2:$B$1018=$E$7)+($B$2:$B$1018=$E$8)+($B$2:$B$1018=$E$9)+($B$2:$B$1018=$E$10)+($B$2:$B$1018=$E$11),ROW($C$2:$C$1018)-ROW($C$2)+1),ROWS(L$20:L167))))</f>
        <v/>
      </c>
      <c r="M167" s="4" t="str">
        <f t="array" ref="M167">IF(ROWS(M$20:M167)&gt;$F$6,"",INDEX(C$2:C$1018,SMALL(IF(($B$2:$B$1018=$E$6)+($B$2:$B$1018=$E$7)+($B$2:$B$1018=$E$8)+($B$2:$B$1018=$E$9)+($B$2:$B$1018=$E$10)+($B$2:$B$1018=$E$11),ROW($C$2:$C$1018)-ROW($C$2)+1),ROWS(M$20:M167))))</f>
        <v/>
      </c>
    </row>
    <row r="168" spans="1:13" x14ac:dyDescent="0.25">
      <c r="A168" s="3">
        <v>41556</v>
      </c>
      <c r="B168" s="2" t="s">
        <v>27</v>
      </c>
      <c r="C168" s="2">
        <v>47</v>
      </c>
      <c r="G168" s="7" t="str">
        <f t="array" ref="G168">IF(ROWS(K$20:K168)&gt;$F$6,"",INDEX(A$2:A$1018,SMALL(IF(ISNUMBER(MATCH($B$2:$B$1018,$E$6:$E$11,0)),ROW($C$2:$C$1018)-ROW($C$2)+1),ROWS(K$20:K168))))</f>
        <v/>
      </c>
      <c r="H168" s="4" t="str">
        <f t="array" ref="H168">IF(ROWS(L$20:L168)&gt;$F$6,"",INDEX(B$2:B$1018,SMALL(IF(ISNUMBER(MATCH($B$2:$B$1018,$E$6:$E$11,0)),ROW($C$2:$C$1018)-ROW($C$2)+1),ROWS(L$20:L168))))</f>
        <v/>
      </c>
      <c r="I168" s="4" t="str">
        <f t="array" ref="I168">IF(ROWS(M$20:M168)&gt;$F$6,"",INDEX(C$2:C$1018,SMALL(IF(ISNUMBER(MATCH($B$2:$B$1018,$E$6:$E$11,0)),ROW($C$2:$C$1018)-ROW($C$2)+1),ROWS(M$20:M168))))</f>
        <v/>
      </c>
      <c r="K168" s="7" t="str">
        <f t="array" ref="K168">IF(ROWS(K$20:K168)&gt;$F$6,"",INDEX(A$2:A$1018,SMALL(IF(($B$2:$B$1018=$E$6)+($B$2:$B$1018=$E$7)+($B$2:$B$1018=$E$8)+($B$2:$B$1018=$E$9)+($B$2:$B$1018=$E$10)+($B$2:$B$1018=$E$11),ROW($C$2:$C$1018)-ROW($C$2)+1),ROWS(K$20:K168))))</f>
        <v/>
      </c>
      <c r="L168" s="4" t="str">
        <f t="array" ref="L168">IF(ROWS(L$20:L168)&gt;$F$6,"",INDEX(B$2:B$1018,SMALL(IF(($B$2:$B$1018=$E$6)+($B$2:$B$1018=$E$7)+($B$2:$B$1018=$E$8)+($B$2:$B$1018=$E$9)+($B$2:$B$1018=$E$10)+($B$2:$B$1018=$E$11),ROW($C$2:$C$1018)-ROW($C$2)+1),ROWS(L$20:L168))))</f>
        <v/>
      </c>
      <c r="M168" s="4" t="str">
        <f t="array" ref="M168">IF(ROWS(M$20:M168)&gt;$F$6,"",INDEX(C$2:C$1018,SMALL(IF(($B$2:$B$1018=$E$6)+($B$2:$B$1018=$E$7)+($B$2:$B$1018=$E$8)+($B$2:$B$1018=$E$9)+($B$2:$B$1018=$E$10)+($B$2:$B$1018=$E$11),ROW($C$2:$C$1018)-ROW($C$2)+1),ROWS(M$20:M168))))</f>
        <v/>
      </c>
    </row>
    <row r="169" spans="1:13" x14ac:dyDescent="0.25">
      <c r="A169" s="3">
        <v>41426</v>
      </c>
      <c r="B169" s="2" t="s">
        <v>29</v>
      </c>
      <c r="C169" s="2">
        <v>54</v>
      </c>
      <c r="G169" s="7" t="str">
        <f t="array" ref="G169">IF(ROWS(K$20:K169)&gt;$F$6,"",INDEX(A$2:A$1018,SMALL(IF(ISNUMBER(MATCH($B$2:$B$1018,$E$6:$E$11,0)),ROW($C$2:$C$1018)-ROW($C$2)+1),ROWS(K$20:K169))))</f>
        <v/>
      </c>
      <c r="H169" s="4" t="str">
        <f t="array" ref="H169">IF(ROWS(L$20:L169)&gt;$F$6,"",INDEX(B$2:B$1018,SMALL(IF(ISNUMBER(MATCH($B$2:$B$1018,$E$6:$E$11,0)),ROW($C$2:$C$1018)-ROW($C$2)+1),ROWS(L$20:L169))))</f>
        <v/>
      </c>
      <c r="I169" s="4" t="str">
        <f t="array" ref="I169">IF(ROWS(M$20:M169)&gt;$F$6,"",INDEX(C$2:C$1018,SMALL(IF(ISNUMBER(MATCH($B$2:$B$1018,$E$6:$E$11,0)),ROW($C$2:$C$1018)-ROW($C$2)+1),ROWS(M$20:M169))))</f>
        <v/>
      </c>
      <c r="K169" s="7" t="str">
        <f t="array" ref="K169">IF(ROWS(K$20:K169)&gt;$F$6,"",INDEX(A$2:A$1018,SMALL(IF(($B$2:$B$1018=$E$6)+($B$2:$B$1018=$E$7)+($B$2:$B$1018=$E$8)+($B$2:$B$1018=$E$9)+($B$2:$B$1018=$E$10)+($B$2:$B$1018=$E$11),ROW($C$2:$C$1018)-ROW($C$2)+1),ROWS(K$20:K169))))</f>
        <v/>
      </c>
      <c r="L169" s="4" t="str">
        <f t="array" ref="L169">IF(ROWS(L$20:L169)&gt;$F$6,"",INDEX(B$2:B$1018,SMALL(IF(($B$2:$B$1018=$E$6)+($B$2:$B$1018=$E$7)+($B$2:$B$1018=$E$8)+($B$2:$B$1018=$E$9)+($B$2:$B$1018=$E$10)+($B$2:$B$1018=$E$11),ROW($C$2:$C$1018)-ROW($C$2)+1),ROWS(L$20:L169))))</f>
        <v/>
      </c>
      <c r="M169" s="4" t="str">
        <f t="array" ref="M169">IF(ROWS(M$20:M169)&gt;$F$6,"",INDEX(C$2:C$1018,SMALL(IF(($B$2:$B$1018=$E$6)+($B$2:$B$1018=$E$7)+($B$2:$B$1018=$E$8)+($B$2:$B$1018=$E$9)+($B$2:$B$1018=$E$10)+($B$2:$B$1018=$E$11),ROW($C$2:$C$1018)-ROW($C$2)+1),ROWS(M$20:M169))))</f>
        <v/>
      </c>
    </row>
    <row r="170" spans="1:13" x14ac:dyDescent="0.25">
      <c r="A170" s="3">
        <v>41307</v>
      </c>
      <c r="B170" s="2" t="s">
        <v>14</v>
      </c>
      <c r="C170" s="2">
        <v>0</v>
      </c>
      <c r="G170" s="7" t="str">
        <f t="array" ref="G170">IF(ROWS(K$20:K170)&gt;$F$6,"",INDEX(A$2:A$1018,SMALL(IF(ISNUMBER(MATCH($B$2:$B$1018,$E$6:$E$11,0)),ROW($C$2:$C$1018)-ROW($C$2)+1),ROWS(K$20:K170))))</f>
        <v/>
      </c>
      <c r="H170" s="4" t="str">
        <f t="array" ref="H170">IF(ROWS(L$20:L170)&gt;$F$6,"",INDEX(B$2:B$1018,SMALL(IF(ISNUMBER(MATCH($B$2:$B$1018,$E$6:$E$11,0)),ROW($C$2:$C$1018)-ROW($C$2)+1),ROWS(L$20:L170))))</f>
        <v/>
      </c>
      <c r="I170" s="4" t="str">
        <f t="array" ref="I170">IF(ROWS(M$20:M170)&gt;$F$6,"",INDEX(C$2:C$1018,SMALL(IF(ISNUMBER(MATCH($B$2:$B$1018,$E$6:$E$11,0)),ROW($C$2:$C$1018)-ROW($C$2)+1),ROWS(M$20:M170))))</f>
        <v/>
      </c>
      <c r="K170" s="7" t="str">
        <f t="array" ref="K170">IF(ROWS(K$20:K170)&gt;$F$6,"",INDEX(A$2:A$1018,SMALL(IF(($B$2:$B$1018=$E$6)+($B$2:$B$1018=$E$7)+($B$2:$B$1018=$E$8)+($B$2:$B$1018=$E$9)+($B$2:$B$1018=$E$10)+($B$2:$B$1018=$E$11),ROW($C$2:$C$1018)-ROW($C$2)+1),ROWS(K$20:K170))))</f>
        <v/>
      </c>
      <c r="L170" s="4" t="str">
        <f t="array" ref="L170">IF(ROWS(L$20:L170)&gt;$F$6,"",INDEX(B$2:B$1018,SMALL(IF(($B$2:$B$1018=$E$6)+($B$2:$B$1018=$E$7)+($B$2:$B$1018=$E$8)+($B$2:$B$1018=$E$9)+($B$2:$B$1018=$E$10)+($B$2:$B$1018=$E$11),ROW($C$2:$C$1018)-ROW($C$2)+1),ROWS(L$20:L170))))</f>
        <v/>
      </c>
      <c r="M170" s="4" t="str">
        <f t="array" ref="M170">IF(ROWS(M$20:M170)&gt;$F$6,"",INDEX(C$2:C$1018,SMALL(IF(($B$2:$B$1018=$E$6)+($B$2:$B$1018=$E$7)+($B$2:$B$1018=$E$8)+($B$2:$B$1018=$E$9)+($B$2:$B$1018=$E$10)+($B$2:$B$1018=$E$11),ROW($C$2:$C$1018)-ROW($C$2)+1),ROWS(M$20:M170))))</f>
        <v/>
      </c>
    </row>
    <row r="171" spans="1:13" x14ac:dyDescent="0.25">
      <c r="A171" s="3">
        <v>41473</v>
      </c>
      <c r="B171" s="2" t="s">
        <v>24</v>
      </c>
      <c r="C171" s="2">
        <v>20</v>
      </c>
      <c r="G171" s="7" t="str">
        <f t="array" ref="G171">IF(ROWS(K$20:K171)&gt;$F$6,"",INDEX(A$2:A$1018,SMALL(IF(ISNUMBER(MATCH($B$2:$B$1018,$E$6:$E$11,0)),ROW($C$2:$C$1018)-ROW($C$2)+1),ROWS(K$20:K171))))</f>
        <v/>
      </c>
      <c r="H171" s="4" t="str">
        <f t="array" ref="H171">IF(ROWS(L$20:L171)&gt;$F$6,"",INDEX(B$2:B$1018,SMALL(IF(ISNUMBER(MATCH($B$2:$B$1018,$E$6:$E$11,0)),ROW($C$2:$C$1018)-ROW($C$2)+1),ROWS(L$20:L171))))</f>
        <v/>
      </c>
      <c r="I171" s="4" t="str">
        <f t="array" ref="I171">IF(ROWS(M$20:M171)&gt;$F$6,"",INDEX(C$2:C$1018,SMALL(IF(ISNUMBER(MATCH($B$2:$B$1018,$E$6:$E$11,0)),ROW($C$2:$C$1018)-ROW($C$2)+1),ROWS(M$20:M171))))</f>
        <v/>
      </c>
      <c r="K171" s="7" t="str">
        <f t="array" ref="K171">IF(ROWS(K$20:K171)&gt;$F$6,"",INDEX(A$2:A$1018,SMALL(IF(($B$2:$B$1018=$E$6)+($B$2:$B$1018=$E$7)+($B$2:$B$1018=$E$8)+($B$2:$B$1018=$E$9)+($B$2:$B$1018=$E$10)+($B$2:$B$1018=$E$11),ROW($C$2:$C$1018)-ROW($C$2)+1),ROWS(K$20:K171))))</f>
        <v/>
      </c>
      <c r="L171" s="4" t="str">
        <f t="array" ref="L171">IF(ROWS(L$20:L171)&gt;$F$6,"",INDEX(B$2:B$1018,SMALL(IF(($B$2:$B$1018=$E$6)+($B$2:$B$1018=$E$7)+($B$2:$B$1018=$E$8)+($B$2:$B$1018=$E$9)+($B$2:$B$1018=$E$10)+($B$2:$B$1018=$E$11),ROW($C$2:$C$1018)-ROW($C$2)+1),ROWS(L$20:L171))))</f>
        <v/>
      </c>
      <c r="M171" s="4" t="str">
        <f t="array" ref="M171">IF(ROWS(M$20:M171)&gt;$F$6,"",INDEX(C$2:C$1018,SMALL(IF(($B$2:$B$1018=$E$6)+($B$2:$B$1018=$E$7)+($B$2:$B$1018=$E$8)+($B$2:$B$1018=$E$9)+($B$2:$B$1018=$E$10)+($B$2:$B$1018=$E$11),ROW($C$2:$C$1018)-ROW($C$2)+1),ROWS(M$20:M171))))</f>
        <v/>
      </c>
    </row>
    <row r="172" spans="1:13" x14ac:dyDescent="0.25">
      <c r="A172" s="3">
        <v>41452</v>
      </c>
      <c r="B172" s="2" t="s">
        <v>42</v>
      </c>
      <c r="C172" s="2">
        <v>18</v>
      </c>
      <c r="G172" s="7" t="str">
        <f t="array" ref="G172">IF(ROWS(K$20:K172)&gt;$F$6,"",INDEX(A$2:A$1018,SMALL(IF(ISNUMBER(MATCH($B$2:$B$1018,$E$6:$E$11,0)),ROW($C$2:$C$1018)-ROW($C$2)+1),ROWS(K$20:K172))))</f>
        <v/>
      </c>
      <c r="H172" s="4" t="str">
        <f t="array" ref="H172">IF(ROWS(L$20:L172)&gt;$F$6,"",INDEX(B$2:B$1018,SMALL(IF(ISNUMBER(MATCH($B$2:$B$1018,$E$6:$E$11,0)),ROW($C$2:$C$1018)-ROW($C$2)+1),ROWS(L$20:L172))))</f>
        <v/>
      </c>
      <c r="I172" s="4" t="str">
        <f t="array" ref="I172">IF(ROWS(M$20:M172)&gt;$F$6,"",INDEX(C$2:C$1018,SMALL(IF(ISNUMBER(MATCH($B$2:$B$1018,$E$6:$E$11,0)),ROW($C$2:$C$1018)-ROW($C$2)+1),ROWS(M$20:M172))))</f>
        <v/>
      </c>
      <c r="K172" s="7" t="str">
        <f t="array" ref="K172">IF(ROWS(K$20:K172)&gt;$F$6,"",INDEX(A$2:A$1018,SMALL(IF(($B$2:$B$1018=$E$6)+($B$2:$B$1018=$E$7)+($B$2:$B$1018=$E$8)+($B$2:$B$1018=$E$9)+($B$2:$B$1018=$E$10)+($B$2:$B$1018=$E$11),ROW($C$2:$C$1018)-ROW($C$2)+1),ROWS(K$20:K172))))</f>
        <v/>
      </c>
      <c r="L172" s="4" t="str">
        <f t="array" ref="L172">IF(ROWS(L$20:L172)&gt;$F$6,"",INDEX(B$2:B$1018,SMALL(IF(($B$2:$B$1018=$E$6)+($B$2:$B$1018=$E$7)+($B$2:$B$1018=$E$8)+($B$2:$B$1018=$E$9)+($B$2:$B$1018=$E$10)+($B$2:$B$1018=$E$11),ROW($C$2:$C$1018)-ROW($C$2)+1),ROWS(L$20:L172))))</f>
        <v/>
      </c>
      <c r="M172" s="4" t="str">
        <f t="array" ref="M172">IF(ROWS(M$20:M172)&gt;$F$6,"",INDEX(C$2:C$1018,SMALL(IF(($B$2:$B$1018=$E$6)+($B$2:$B$1018=$E$7)+($B$2:$B$1018=$E$8)+($B$2:$B$1018=$E$9)+($B$2:$B$1018=$E$10)+($B$2:$B$1018=$E$11),ROW($C$2:$C$1018)-ROW($C$2)+1),ROWS(M$20:M172))))</f>
        <v/>
      </c>
    </row>
    <row r="173" spans="1:13" x14ac:dyDescent="0.25">
      <c r="A173" s="3">
        <v>41998</v>
      </c>
      <c r="B173" s="2" t="s">
        <v>50</v>
      </c>
      <c r="C173" s="2">
        <v>15</v>
      </c>
      <c r="G173" s="7" t="str">
        <f t="array" ref="G173">IF(ROWS(K$20:K173)&gt;$F$6,"",INDEX(A$2:A$1018,SMALL(IF(ISNUMBER(MATCH($B$2:$B$1018,$E$6:$E$11,0)),ROW($C$2:$C$1018)-ROW($C$2)+1),ROWS(K$20:K173))))</f>
        <v/>
      </c>
      <c r="H173" s="4" t="str">
        <f t="array" ref="H173">IF(ROWS(L$20:L173)&gt;$F$6,"",INDEX(B$2:B$1018,SMALL(IF(ISNUMBER(MATCH($B$2:$B$1018,$E$6:$E$11,0)),ROW($C$2:$C$1018)-ROW($C$2)+1),ROWS(L$20:L173))))</f>
        <v/>
      </c>
      <c r="I173" s="4" t="str">
        <f t="array" ref="I173">IF(ROWS(M$20:M173)&gt;$F$6,"",INDEX(C$2:C$1018,SMALL(IF(ISNUMBER(MATCH($B$2:$B$1018,$E$6:$E$11,0)),ROW($C$2:$C$1018)-ROW($C$2)+1),ROWS(M$20:M173))))</f>
        <v/>
      </c>
      <c r="K173" s="7" t="str">
        <f t="array" ref="K173">IF(ROWS(K$20:K173)&gt;$F$6,"",INDEX(A$2:A$1018,SMALL(IF(($B$2:$B$1018=$E$6)+($B$2:$B$1018=$E$7)+($B$2:$B$1018=$E$8)+($B$2:$B$1018=$E$9)+($B$2:$B$1018=$E$10)+($B$2:$B$1018=$E$11),ROW($C$2:$C$1018)-ROW($C$2)+1),ROWS(K$20:K173))))</f>
        <v/>
      </c>
      <c r="L173" s="4" t="str">
        <f t="array" ref="L173">IF(ROWS(L$20:L173)&gt;$F$6,"",INDEX(B$2:B$1018,SMALL(IF(($B$2:$B$1018=$E$6)+($B$2:$B$1018=$E$7)+($B$2:$B$1018=$E$8)+($B$2:$B$1018=$E$9)+($B$2:$B$1018=$E$10)+($B$2:$B$1018=$E$11),ROW($C$2:$C$1018)-ROW($C$2)+1),ROWS(L$20:L173))))</f>
        <v/>
      </c>
      <c r="M173" s="4" t="str">
        <f t="array" ref="M173">IF(ROWS(M$20:M173)&gt;$F$6,"",INDEX(C$2:C$1018,SMALL(IF(($B$2:$B$1018=$E$6)+($B$2:$B$1018=$E$7)+($B$2:$B$1018=$E$8)+($B$2:$B$1018=$E$9)+($B$2:$B$1018=$E$10)+($B$2:$B$1018=$E$11),ROW($C$2:$C$1018)-ROW($C$2)+1),ROWS(M$20:M173))))</f>
        <v/>
      </c>
    </row>
    <row r="174" spans="1:13" x14ac:dyDescent="0.25">
      <c r="A174" s="3">
        <v>41925</v>
      </c>
      <c r="B174" s="2" t="s">
        <v>12</v>
      </c>
      <c r="C174" s="2">
        <v>27</v>
      </c>
      <c r="G174" s="7" t="str">
        <f t="array" ref="G174">IF(ROWS(K$20:K174)&gt;$F$6,"",INDEX(A$2:A$1018,SMALL(IF(ISNUMBER(MATCH($B$2:$B$1018,$E$6:$E$11,0)),ROW($C$2:$C$1018)-ROW($C$2)+1),ROWS(K$20:K174))))</f>
        <v/>
      </c>
      <c r="H174" s="4" t="str">
        <f t="array" ref="H174">IF(ROWS(L$20:L174)&gt;$F$6,"",INDEX(B$2:B$1018,SMALL(IF(ISNUMBER(MATCH($B$2:$B$1018,$E$6:$E$11,0)),ROW($C$2:$C$1018)-ROW($C$2)+1),ROWS(L$20:L174))))</f>
        <v/>
      </c>
      <c r="I174" s="4" t="str">
        <f t="array" ref="I174">IF(ROWS(M$20:M174)&gt;$F$6,"",INDEX(C$2:C$1018,SMALL(IF(ISNUMBER(MATCH($B$2:$B$1018,$E$6:$E$11,0)),ROW($C$2:$C$1018)-ROW($C$2)+1),ROWS(M$20:M174))))</f>
        <v/>
      </c>
      <c r="K174" s="7" t="str">
        <f t="array" ref="K174">IF(ROWS(K$20:K174)&gt;$F$6,"",INDEX(A$2:A$1018,SMALL(IF(($B$2:$B$1018=$E$6)+($B$2:$B$1018=$E$7)+($B$2:$B$1018=$E$8)+($B$2:$B$1018=$E$9)+($B$2:$B$1018=$E$10)+($B$2:$B$1018=$E$11),ROW($C$2:$C$1018)-ROW($C$2)+1),ROWS(K$20:K174))))</f>
        <v/>
      </c>
      <c r="L174" s="4" t="str">
        <f t="array" ref="L174">IF(ROWS(L$20:L174)&gt;$F$6,"",INDEX(B$2:B$1018,SMALL(IF(($B$2:$B$1018=$E$6)+($B$2:$B$1018=$E$7)+($B$2:$B$1018=$E$8)+($B$2:$B$1018=$E$9)+($B$2:$B$1018=$E$10)+($B$2:$B$1018=$E$11),ROW($C$2:$C$1018)-ROW($C$2)+1),ROWS(L$20:L174))))</f>
        <v/>
      </c>
      <c r="M174" s="4" t="str">
        <f t="array" ref="M174">IF(ROWS(M$20:M174)&gt;$F$6,"",INDEX(C$2:C$1018,SMALL(IF(($B$2:$B$1018=$E$6)+($B$2:$B$1018=$E$7)+($B$2:$B$1018=$E$8)+($B$2:$B$1018=$E$9)+($B$2:$B$1018=$E$10)+($B$2:$B$1018=$E$11),ROW($C$2:$C$1018)-ROW($C$2)+1),ROWS(M$20:M174))))</f>
        <v/>
      </c>
    </row>
    <row r="175" spans="1:13" x14ac:dyDescent="0.25">
      <c r="A175" s="3">
        <v>41719</v>
      </c>
      <c r="B175" s="2" t="s">
        <v>39</v>
      </c>
      <c r="C175" s="2">
        <v>23</v>
      </c>
      <c r="G175" s="7" t="str">
        <f t="array" ref="G175">IF(ROWS(K$20:K175)&gt;$F$6,"",INDEX(A$2:A$1018,SMALL(IF(ISNUMBER(MATCH($B$2:$B$1018,$E$6:$E$11,0)),ROW($C$2:$C$1018)-ROW($C$2)+1),ROWS(K$20:K175))))</f>
        <v/>
      </c>
      <c r="H175" s="4" t="str">
        <f t="array" ref="H175">IF(ROWS(L$20:L175)&gt;$F$6,"",INDEX(B$2:B$1018,SMALL(IF(ISNUMBER(MATCH($B$2:$B$1018,$E$6:$E$11,0)),ROW($C$2:$C$1018)-ROW($C$2)+1),ROWS(L$20:L175))))</f>
        <v/>
      </c>
      <c r="I175" s="4" t="str">
        <f t="array" ref="I175">IF(ROWS(M$20:M175)&gt;$F$6,"",INDEX(C$2:C$1018,SMALL(IF(ISNUMBER(MATCH($B$2:$B$1018,$E$6:$E$11,0)),ROW($C$2:$C$1018)-ROW($C$2)+1),ROWS(M$20:M175))))</f>
        <v/>
      </c>
      <c r="K175" s="7" t="str">
        <f t="array" ref="K175">IF(ROWS(K$20:K175)&gt;$F$6,"",INDEX(A$2:A$1018,SMALL(IF(($B$2:$B$1018=$E$6)+($B$2:$B$1018=$E$7)+($B$2:$B$1018=$E$8)+($B$2:$B$1018=$E$9)+($B$2:$B$1018=$E$10)+($B$2:$B$1018=$E$11),ROW($C$2:$C$1018)-ROW($C$2)+1),ROWS(K$20:K175))))</f>
        <v/>
      </c>
      <c r="L175" s="4" t="str">
        <f t="array" ref="L175">IF(ROWS(L$20:L175)&gt;$F$6,"",INDEX(B$2:B$1018,SMALL(IF(($B$2:$B$1018=$E$6)+($B$2:$B$1018=$E$7)+($B$2:$B$1018=$E$8)+($B$2:$B$1018=$E$9)+($B$2:$B$1018=$E$10)+($B$2:$B$1018=$E$11),ROW($C$2:$C$1018)-ROW($C$2)+1),ROWS(L$20:L175))))</f>
        <v/>
      </c>
      <c r="M175" s="4" t="str">
        <f t="array" ref="M175">IF(ROWS(M$20:M175)&gt;$F$6,"",INDEX(C$2:C$1018,SMALL(IF(($B$2:$B$1018=$E$6)+($B$2:$B$1018=$E$7)+($B$2:$B$1018=$E$8)+($B$2:$B$1018=$E$9)+($B$2:$B$1018=$E$10)+($B$2:$B$1018=$E$11),ROW($C$2:$C$1018)-ROW($C$2)+1),ROWS(M$20:M175))))</f>
        <v/>
      </c>
    </row>
    <row r="176" spans="1:13" x14ac:dyDescent="0.25">
      <c r="A176" s="3">
        <v>41844</v>
      </c>
      <c r="B176" s="2" t="s">
        <v>40</v>
      </c>
      <c r="C176" s="2">
        <v>65</v>
      </c>
      <c r="G176" s="7" t="str">
        <f t="array" ref="G176">IF(ROWS(K$20:K176)&gt;$F$6,"",INDEX(A$2:A$1018,SMALL(IF(ISNUMBER(MATCH($B$2:$B$1018,$E$6:$E$11,0)),ROW($C$2:$C$1018)-ROW($C$2)+1),ROWS(K$20:K176))))</f>
        <v/>
      </c>
      <c r="H176" s="4" t="str">
        <f t="array" ref="H176">IF(ROWS(L$20:L176)&gt;$F$6,"",INDEX(B$2:B$1018,SMALL(IF(ISNUMBER(MATCH($B$2:$B$1018,$E$6:$E$11,0)),ROW($C$2:$C$1018)-ROW($C$2)+1),ROWS(L$20:L176))))</f>
        <v/>
      </c>
      <c r="I176" s="4" t="str">
        <f t="array" ref="I176">IF(ROWS(M$20:M176)&gt;$F$6,"",INDEX(C$2:C$1018,SMALL(IF(ISNUMBER(MATCH($B$2:$B$1018,$E$6:$E$11,0)),ROW($C$2:$C$1018)-ROW($C$2)+1),ROWS(M$20:M176))))</f>
        <v/>
      </c>
      <c r="K176" s="7" t="str">
        <f t="array" ref="K176">IF(ROWS(K$20:K176)&gt;$F$6,"",INDEX(A$2:A$1018,SMALL(IF(($B$2:$B$1018=$E$6)+($B$2:$B$1018=$E$7)+($B$2:$B$1018=$E$8)+($B$2:$B$1018=$E$9)+($B$2:$B$1018=$E$10)+($B$2:$B$1018=$E$11),ROW($C$2:$C$1018)-ROW($C$2)+1),ROWS(K$20:K176))))</f>
        <v/>
      </c>
      <c r="L176" s="4" t="str">
        <f t="array" ref="L176">IF(ROWS(L$20:L176)&gt;$F$6,"",INDEX(B$2:B$1018,SMALL(IF(($B$2:$B$1018=$E$6)+($B$2:$B$1018=$E$7)+($B$2:$B$1018=$E$8)+($B$2:$B$1018=$E$9)+($B$2:$B$1018=$E$10)+($B$2:$B$1018=$E$11),ROW($C$2:$C$1018)-ROW($C$2)+1),ROWS(L$20:L176))))</f>
        <v/>
      </c>
      <c r="M176" s="4" t="str">
        <f t="array" ref="M176">IF(ROWS(M$20:M176)&gt;$F$6,"",INDEX(C$2:C$1018,SMALL(IF(($B$2:$B$1018=$E$6)+($B$2:$B$1018=$E$7)+($B$2:$B$1018=$E$8)+($B$2:$B$1018=$E$9)+($B$2:$B$1018=$E$10)+($B$2:$B$1018=$E$11),ROW($C$2:$C$1018)-ROW($C$2)+1),ROWS(M$20:M176))))</f>
        <v/>
      </c>
    </row>
    <row r="177" spans="1:13" x14ac:dyDescent="0.25">
      <c r="A177" s="3">
        <v>41912</v>
      </c>
      <c r="B177" s="2" t="s">
        <v>4</v>
      </c>
      <c r="C177" s="2">
        <v>7</v>
      </c>
      <c r="G177" s="7" t="str">
        <f t="array" ref="G177">IF(ROWS(K$20:K177)&gt;$F$6,"",INDEX(A$2:A$1018,SMALL(IF(ISNUMBER(MATCH($B$2:$B$1018,$E$6:$E$11,0)),ROW($C$2:$C$1018)-ROW($C$2)+1),ROWS(K$20:K177))))</f>
        <v/>
      </c>
      <c r="H177" s="4" t="str">
        <f t="array" ref="H177">IF(ROWS(L$20:L177)&gt;$F$6,"",INDEX(B$2:B$1018,SMALL(IF(ISNUMBER(MATCH($B$2:$B$1018,$E$6:$E$11,0)),ROW($C$2:$C$1018)-ROW($C$2)+1),ROWS(L$20:L177))))</f>
        <v/>
      </c>
      <c r="I177" s="4" t="str">
        <f t="array" ref="I177">IF(ROWS(M$20:M177)&gt;$F$6,"",INDEX(C$2:C$1018,SMALL(IF(ISNUMBER(MATCH($B$2:$B$1018,$E$6:$E$11,0)),ROW($C$2:$C$1018)-ROW($C$2)+1),ROWS(M$20:M177))))</f>
        <v/>
      </c>
      <c r="K177" s="7" t="str">
        <f t="array" ref="K177">IF(ROWS(K$20:K177)&gt;$F$6,"",INDEX(A$2:A$1018,SMALL(IF(($B$2:$B$1018=$E$6)+($B$2:$B$1018=$E$7)+($B$2:$B$1018=$E$8)+($B$2:$B$1018=$E$9)+($B$2:$B$1018=$E$10)+($B$2:$B$1018=$E$11),ROW($C$2:$C$1018)-ROW($C$2)+1),ROWS(K$20:K177))))</f>
        <v/>
      </c>
      <c r="L177" s="4" t="str">
        <f t="array" ref="L177">IF(ROWS(L$20:L177)&gt;$F$6,"",INDEX(B$2:B$1018,SMALL(IF(($B$2:$B$1018=$E$6)+($B$2:$B$1018=$E$7)+($B$2:$B$1018=$E$8)+($B$2:$B$1018=$E$9)+($B$2:$B$1018=$E$10)+($B$2:$B$1018=$E$11),ROW($C$2:$C$1018)-ROW($C$2)+1),ROWS(L$20:L177))))</f>
        <v/>
      </c>
      <c r="M177" s="4" t="str">
        <f t="array" ref="M177">IF(ROWS(M$20:M177)&gt;$F$6,"",INDEX(C$2:C$1018,SMALL(IF(($B$2:$B$1018=$E$6)+($B$2:$B$1018=$E$7)+($B$2:$B$1018=$E$8)+($B$2:$B$1018=$E$9)+($B$2:$B$1018=$E$10)+($B$2:$B$1018=$E$11),ROW($C$2:$C$1018)-ROW($C$2)+1),ROWS(M$20:M177))))</f>
        <v/>
      </c>
    </row>
    <row r="178" spans="1:13" x14ac:dyDescent="0.25">
      <c r="A178" s="3">
        <v>41929</v>
      </c>
      <c r="B178" s="2" t="s">
        <v>15</v>
      </c>
      <c r="C178" s="2">
        <v>32</v>
      </c>
      <c r="G178" s="7" t="str">
        <f t="array" ref="G178">IF(ROWS(K$20:K178)&gt;$F$6,"",INDEX(A$2:A$1018,SMALL(IF(ISNUMBER(MATCH($B$2:$B$1018,$E$6:$E$11,0)),ROW($C$2:$C$1018)-ROW($C$2)+1),ROWS(K$20:K178))))</f>
        <v/>
      </c>
      <c r="H178" s="4" t="str">
        <f t="array" ref="H178">IF(ROWS(L$20:L178)&gt;$F$6,"",INDEX(B$2:B$1018,SMALL(IF(ISNUMBER(MATCH($B$2:$B$1018,$E$6:$E$11,0)),ROW($C$2:$C$1018)-ROW($C$2)+1),ROWS(L$20:L178))))</f>
        <v/>
      </c>
      <c r="I178" s="4" t="str">
        <f t="array" ref="I178">IF(ROWS(M$20:M178)&gt;$F$6,"",INDEX(C$2:C$1018,SMALL(IF(ISNUMBER(MATCH($B$2:$B$1018,$E$6:$E$11,0)),ROW($C$2:$C$1018)-ROW($C$2)+1),ROWS(M$20:M178))))</f>
        <v/>
      </c>
      <c r="K178" s="7" t="str">
        <f t="array" ref="K178">IF(ROWS(K$20:K178)&gt;$F$6,"",INDEX(A$2:A$1018,SMALL(IF(($B$2:$B$1018=$E$6)+($B$2:$B$1018=$E$7)+($B$2:$B$1018=$E$8)+($B$2:$B$1018=$E$9)+($B$2:$B$1018=$E$10)+($B$2:$B$1018=$E$11),ROW($C$2:$C$1018)-ROW($C$2)+1),ROWS(K$20:K178))))</f>
        <v/>
      </c>
      <c r="L178" s="4" t="str">
        <f t="array" ref="L178">IF(ROWS(L$20:L178)&gt;$F$6,"",INDEX(B$2:B$1018,SMALL(IF(($B$2:$B$1018=$E$6)+($B$2:$B$1018=$E$7)+($B$2:$B$1018=$E$8)+($B$2:$B$1018=$E$9)+($B$2:$B$1018=$E$10)+($B$2:$B$1018=$E$11),ROW($C$2:$C$1018)-ROW($C$2)+1),ROWS(L$20:L178))))</f>
        <v/>
      </c>
      <c r="M178" s="4" t="str">
        <f t="array" ref="M178">IF(ROWS(M$20:M178)&gt;$F$6,"",INDEX(C$2:C$1018,SMALL(IF(($B$2:$B$1018=$E$6)+($B$2:$B$1018=$E$7)+($B$2:$B$1018=$E$8)+($B$2:$B$1018=$E$9)+($B$2:$B$1018=$E$10)+($B$2:$B$1018=$E$11),ROW($C$2:$C$1018)-ROW($C$2)+1),ROWS(M$20:M178))))</f>
        <v/>
      </c>
    </row>
    <row r="179" spans="1:13" x14ac:dyDescent="0.25">
      <c r="A179" s="3">
        <v>41734</v>
      </c>
      <c r="B179" s="2" t="s">
        <v>23</v>
      </c>
      <c r="C179" s="2">
        <v>33</v>
      </c>
      <c r="G179" s="7" t="str">
        <f t="array" ref="G179">IF(ROWS(K$20:K179)&gt;$F$6,"",INDEX(A$2:A$1018,SMALL(IF(ISNUMBER(MATCH($B$2:$B$1018,$E$6:$E$11,0)),ROW($C$2:$C$1018)-ROW($C$2)+1),ROWS(K$20:K179))))</f>
        <v/>
      </c>
      <c r="H179" s="4" t="str">
        <f t="array" ref="H179">IF(ROWS(L$20:L179)&gt;$F$6,"",INDEX(B$2:B$1018,SMALL(IF(ISNUMBER(MATCH($B$2:$B$1018,$E$6:$E$11,0)),ROW($C$2:$C$1018)-ROW($C$2)+1),ROWS(L$20:L179))))</f>
        <v/>
      </c>
      <c r="I179" s="4" t="str">
        <f t="array" ref="I179">IF(ROWS(M$20:M179)&gt;$F$6,"",INDEX(C$2:C$1018,SMALL(IF(ISNUMBER(MATCH($B$2:$B$1018,$E$6:$E$11,0)),ROW($C$2:$C$1018)-ROW($C$2)+1),ROWS(M$20:M179))))</f>
        <v/>
      </c>
      <c r="K179" s="7" t="str">
        <f t="array" ref="K179">IF(ROWS(K$20:K179)&gt;$F$6,"",INDEX(A$2:A$1018,SMALL(IF(($B$2:$B$1018=$E$6)+($B$2:$B$1018=$E$7)+($B$2:$B$1018=$E$8)+($B$2:$B$1018=$E$9)+($B$2:$B$1018=$E$10)+($B$2:$B$1018=$E$11),ROW($C$2:$C$1018)-ROW($C$2)+1),ROWS(K$20:K179))))</f>
        <v/>
      </c>
      <c r="L179" s="4" t="str">
        <f t="array" ref="L179">IF(ROWS(L$20:L179)&gt;$F$6,"",INDEX(B$2:B$1018,SMALL(IF(($B$2:$B$1018=$E$6)+($B$2:$B$1018=$E$7)+($B$2:$B$1018=$E$8)+($B$2:$B$1018=$E$9)+($B$2:$B$1018=$E$10)+($B$2:$B$1018=$E$11),ROW($C$2:$C$1018)-ROW($C$2)+1),ROWS(L$20:L179))))</f>
        <v/>
      </c>
      <c r="M179" s="4" t="str">
        <f t="array" ref="M179">IF(ROWS(M$20:M179)&gt;$F$6,"",INDEX(C$2:C$1018,SMALL(IF(($B$2:$B$1018=$E$6)+($B$2:$B$1018=$E$7)+($B$2:$B$1018=$E$8)+($B$2:$B$1018=$E$9)+($B$2:$B$1018=$E$10)+($B$2:$B$1018=$E$11),ROW($C$2:$C$1018)-ROW($C$2)+1),ROWS(M$20:M179))))</f>
        <v/>
      </c>
    </row>
    <row r="180" spans="1:13" x14ac:dyDescent="0.25">
      <c r="A180" s="3">
        <v>41828</v>
      </c>
      <c r="B180" s="2" t="s">
        <v>16</v>
      </c>
      <c r="C180" s="2">
        <v>14</v>
      </c>
      <c r="G180" s="7" t="str">
        <f t="array" ref="G180">IF(ROWS(K$20:K180)&gt;$F$6,"",INDEX(A$2:A$1018,SMALL(IF(ISNUMBER(MATCH($B$2:$B$1018,$E$6:$E$11,0)),ROW($C$2:$C$1018)-ROW($C$2)+1),ROWS(K$20:K180))))</f>
        <v/>
      </c>
      <c r="H180" s="4" t="str">
        <f t="array" ref="H180">IF(ROWS(L$20:L180)&gt;$F$6,"",INDEX(B$2:B$1018,SMALL(IF(ISNUMBER(MATCH($B$2:$B$1018,$E$6:$E$11,0)),ROW($C$2:$C$1018)-ROW($C$2)+1),ROWS(L$20:L180))))</f>
        <v/>
      </c>
      <c r="I180" s="4" t="str">
        <f t="array" ref="I180">IF(ROWS(M$20:M180)&gt;$F$6,"",INDEX(C$2:C$1018,SMALL(IF(ISNUMBER(MATCH($B$2:$B$1018,$E$6:$E$11,0)),ROW($C$2:$C$1018)-ROW($C$2)+1),ROWS(M$20:M180))))</f>
        <v/>
      </c>
      <c r="K180" s="7" t="str">
        <f t="array" ref="K180">IF(ROWS(K$20:K180)&gt;$F$6,"",INDEX(A$2:A$1018,SMALL(IF(($B$2:$B$1018=$E$6)+($B$2:$B$1018=$E$7)+($B$2:$B$1018=$E$8)+($B$2:$B$1018=$E$9)+($B$2:$B$1018=$E$10)+($B$2:$B$1018=$E$11),ROW($C$2:$C$1018)-ROW($C$2)+1),ROWS(K$20:K180))))</f>
        <v/>
      </c>
      <c r="L180" s="4" t="str">
        <f t="array" ref="L180">IF(ROWS(L$20:L180)&gt;$F$6,"",INDEX(B$2:B$1018,SMALL(IF(($B$2:$B$1018=$E$6)+($B$2:$B$1018=$E$7)+($B$2:$B$1018=$E$8)+($B$2:$B$1018=$E$9)+($B$2:$B$1018=$E$10)+($B$2:$B$1018=$E$11),ROW($C$2:$C$1018)-ROW($C$2)+1),ROWS(L$20:L180))))</f>
        <v/>
      </c>
      <c r="M180" s="4" t="str">
        <f t="array" ref="M180">IF(ROWS(M$20:M180)&gt;$F$6,"",INDEX(C$2:C$1018,SMALL(IF(($B$2:$B$1018=$E$6)+($B$2:$B$1018=$E$7)+($B$2:$B$1018=$E$8)+($B$2:$B$1018=$E$9)+($B$2:$B$1018=$E$10)+($B$2:$B$1018=$E$11),ROW($C$2:$C$1018)-ROW($C$2)+1),ROWS(M$20:M180))))</f>
        <v/>
      </c>
    </row>
    <row r="181" spans="1:13" x14ac:dyDescent="0.25">
      <c r="A181" s="3">
        <v>41953</v>
      </c>
      <c r="B181" s="2" t="s">
        <v>44</v>
      </c>
      <c r="C181" s="2">
        <v>41</v>
      </c>
      <c r="G181" s="7" t="str">
        <f t="array" ref="G181">IF(ROWS(K$20:K181)&gt;$F$6,"",INDEX(A$2:A$1018,SMALL(IF(ISNUMBER(MATCH($B$2:$B$1018,$E$6:$E$11,0)),ROW($C$2:$C$1018)-ROW($C$2)+1),ROWS(K$20:K181))))</f>
        <v/>
      </c>
      <c r="H181" s="4" t="str">
        <f t="array" ref="H181">IF(ROWS(L$20:L181)&gt;$F$6,"",INDEX(B$2:B$1018,SMALL(IF(ISNUMBER(MATCH($B$2:$B$1018,$E$6:$E$11,0)),ROW($C$2:$C$1018)-ROW($C$2)+1),ROWS(L$20:L181))))</f>
        <v/>
      </c>
      <c r="I181" s="4" t="str">
        <f t="array" ref="I181">IF(ROWS(M$20:M181)&gt;$F$6,"",INDEX(C$2:C$1018,SMALL(IF(ISNUMBER(MATCH($B$2:$B$1018,$E$6:$E$11,0)),ROW($C$2:$C$1018)-ROW($C$2)+1),ROWS(M$20:M181))))</f>
        <v/>
      </c>
      <c r="K181" s="7" t="str">
        <f t="array" ref="K181">IF(ROWS(K$20:K181)&gt;$F$6,"",INDEX(A$2:A$1018,SMALL(IF(($B$2:$B$1018=$E$6)+($B$2:$B$1018=$E$7)+($B$2:$B$1018=$E$8)+($B$2:$B$1018=$E$9)+($B$2:$B$1018=$E$10)+($B$2:$B$1018=$E$11),ROW($C$2:$C$1018)-ROW($C$2)+1),ROWS(K$20:K181))))</f>
        <v/>
      </c>
      <c r="L181" s="4" t="str">
        <f t="array" ref="L181">IF(ROWS(L$20:L181)&gt;$F$6,"",INDEX(B$2:B$1018,SMALL(IF(($B$2:$B$1018=$E$6)+($B$2:$B$1018=$E$7)+($B$2:$B$1018=$E$8)+($B$2:$B$1018=$E$9)+($B$2:$B$1018=$E$10)+($B$2:$B$1018=$E$11),ROW($C$2:$C$1018)-ROW($C$2)+1),ROWS(L$20:L181))))</f>
        <v/>
      </c>
      <c r="M181" s="4" t="str">
        <f t="array" ref="M181">IF(ROWS(M$20:M181)&gt;$F$6,"",INDEX(C$2:C$1018,SMALL(IF(($B$2:$B$1018=$E$6)+($B$2:$B$1018=$E$7)+($B$2:$B$1018=$E$8)+($B$2:$B$1018=$E$9)+($B$2:$B$1018=$E$10)+($B$2:$B$1018=$E$11),ROW($C$2:$C$1018)-ROW($C$2)+1),ROWS(M$20:M181))))</f>
        <v/>
      </c>
    </row>
    <row r="182" spans="1:13" x14ac:dyDescent="0.25">
      <c r="A182" s="3">
        <v>41904</v>
      </c>
      <c r="B182" s="2" t="s">
        <v>21</v>
      </c>
      <c r="C182" s="2">
        <v>45</v>
      </c>
      <c r="G182" s="7" t="str">
        <f t="array" ref="G182">IF(ROWS(K$20:K182)&gt;$F$6,"",INDEX(A$2:A$1018,SMALL(IF(ISNUMBER(MATCH($B$2:$B$1018,$E$6:$E$11,0)),ROW($C$2:$C$1018)-ROW($C$2)+1),ROWS(K$20:K182))))</f>
        <v/>
      </c>
      <c r="H182" s="4" t="str">
        <f t="array" ref="H182">IF(ROWS(L$20:L182)&gt;$F$6,"",INDEX(B$2:B$1018,SMALL(IF(ISNUMBER(MATCH($B$2:$B$1018,$E$6:$E$11,0)),ROW($C$2:$C$1018)-ROW($C$2)+1),ROWS(L$20:L182))))</f>
        <v/>
      </c>
      <c r="I182" s="4" t="str">
        <f t="array" ref="I182">IF(ROWS(M$20:M182)&gt;$F$6,"",INDEX(C$2:C$1018,SMALL(IF(ISNUMBER(MATCH($B$2:$B$1018,$E$6:$E$11,0)),ROW($C$2:$C$1018)-ROW($C$2)+1),ROWS(M$20:M182))))</f>
        <v/>
      </c>
      <c r="K182" s="7" t="str">
        <f t="array" ref="K182">IF(ROWS(K$20:K182)&gt;$F$6,"",INDEX(A$2:A$1018,SMALL(IF(($B$2:$B$1018=$E$6)+($B$2:$B$1018=$E$7)+($B$2:$B$1018=$E$8)+($B$2:$B$1018=$E$9)+($B$2:$B$1018=$E$10)+($B$2:$B$1018=$E$11),ROW($C$2:$C$1018)-ROW($C$2)+1),ROWS(K$20:K182))))</f>
        <v/>
      </c>
      <c r="L182" s="4" t="str">
        <f t="array" ref="L182">IF(ROWS(L$20:L182)&gt;$F$6,"",INDEX(B$2:B$1018,SMALL(IF(($B$2:$B$1018=$E$6)+($B$2:$B$1018=$E$7)+($B$2:$B$1018=$E$8)+($B$2:$B$1018=$E$9)+($B$2:$B$1018=$E$10)+($B$2:$B$1018=$E$11),ROW($C$2:$C$1018)-ROW($C$2)+1),ROWS(L$20:L182))))</f>
        <v/>
      </c>
      <c r="M182" s="4" t="str">
        <f t="array" ref="M182">IF(ROWS(M$20:M182)&gt;$F$6,"",INDEX(C$2:C$1018,SMALL(IF(($B$2:$B$1018=$E$6)+($B$2:$B$1018=$E$7)+($B$2:$B$1018=$E$8)+($B$2:$B$1018=$E$9)+($B$2:$B$1018=$E$10)+($B$2:$B$1018=$E$11),ROW($C$2:$C$1018)-ROW($C$2)+1),ROWS(M$20:M182))))</f>
        <v/>
      </c>
    </row>
    <row r="183" spans="1:13" x14ac:dyDescent="0.25">
      <c r="A183" s="3">
        <v>41437</v>
      </c>
      <c r="B183" s="2" t="s">
        <v>26</v>
      </c>
      <c r="C183" s="2">
        <v>25</v>
      </c>
      <c r="G183" s="7" t="str">
        <f t="array" ref="G183">IF(ROWS(K$20:K183)&gt;$F$6,"",INDEX(A$2:A$1018,SMALL(IF(ISNUMBER(MATCH($B$2:$B$1018,$E$6:$E$11,0)),ROW($C$2:$C$1018)-ROW($C$2)+1),ROWS(K$20:K183))))</f>
        <v/>
      </c>
      <c r="H183" s="4" t="str">
        <f t="array" ref="H183">IF(ROWS(L$20:L183)&gt;$F$6,"",INDEX(B$2:B$1018,SMALL(IF(ISNUMBER(MATCH($B$2:$B$1018,$E$6:$E$11,0)),ROW($C$2:$C$1018)-ROW($C$2)+1),ROWS(L$20:L183))))</f>
        <v/>
      </c>
      <c r="I183" s="4" t="str">
        <f t="array" ref="I183">IF(ROWS(M$20:M183)&gt;$F$6,"",INDEX(C$2:C$1018,SMALL(IF(ISNUMBER(MATCH($B$2:$B$1018,$E$6:$E$11,0)),ROW($C$2:$C$1018)-ROW($C$2)+1),ROWS(M$20:M183))))</f>
        <v/>
      </c>
      <c r="K183" s="7" t="str">
        <f t="array" ref="K183">IF(ROWS(K$20:K183)&gt;$F$6,"",INDEX(A$2:A$1018,SMALL(IF(($B$2:$B$1018=$E$6)+($B$2:$B$1018=$E$7)+($B$2:$B$1018=$E$8)+($B$2:$B$1018=$E$9)+($B$2:$B$1018=$E$10)+($B$2:$B$1018=$E$11),ROW($C$2:$C$1018)-ROW($C$2)+1),ROWS(K$20:K183))))</f>
        <v/>
      </c>
      <c r="L183" s="4" t="str">
        <f t="array" ref="L183">IF(ROWS(L$20:L183)&gt;$F$6,"",INDEX(B$2:B$1018,SMALL(IF(($B$2:$B$1018=$E$6)+($B$2:$B$1018=$E$7)+($B$2:$B$1018=$E$8)+($B$2:$B$1018=$E$9)+($B$2:$B$1018=$E$10)+($B$2:$B$1018=$E$11),ROW($C$2:$C$1018)-ROW($C$2)+1),ROWS(L$20:L183))))</f>
        <v/>
      </c>
      <c r="M183" s="4" t="str">
        <f t="array" ref="M183">IF(ROWS(M$20:M183)&gt;$F$6,"",INDEX(C$2:C$1018,SMALL(IF(($B$2:$B$1018=$E$6)+($B$2:$B$1018=$E$7)+($B$2:$B$1018=$E$8)+($B$2:$B$1018=$E$9)+($B$2:$B$1018=$E$10)+($B$2:$B$1018=$E$11),ROW($C$2:$C$1018)-ROW($C$2)+1),ROWS(M$20:M183))))</f>
        <v/>
      </c>
    </row>
    <row r="184" spans="1:13" x14ac:dyDescent="0.25">
      <c r="A184" s="3">
        <v>41454</v>
      </c>
      <c r="B184" s="2" t="s">
        <v>10</v>
      </c>
      <c r="C184" s="2">
        <v>11</v>
      </c>
      <c r="G184" s="7" t="str">
        <f t="array" ref="G184">IF(ROWS(K$20:K184)&gt;$F$6,"",INDEX(A$2:A$1018,SMALL(IF(ISNUMBER(MATCH($B$2:$B$1018,$E$6:$E$11,0)),ROW($C$2:$C$1018)-ROW($C$2)+1),ROWS(K$20:K184))))</f>
        <v/>
      </c>
      <c r="H184" s="4" t="str">
        <f t="array" ref="H184">IF(ROWS(L$20:L184)&gt;$F$6,"",INDEX(B$2:B$1018,SMALL(IF(ISNUMBER(MATCH($B$2:$B$1018,$E$6:$E$11,0)),ROW($C$2:$C$1018)-ROW($C$2)+1),ROWS(L$20:L184))))</f>
        <v/>
      </c>
      <c r="I184" s="4" t="str">
        <f t="array" ref="I184">IF(ROWS(M$20:M184)&gt;$F$6,"",INDEX(C$2:C$1018,SMALL(IF(ISNUMBER(MATCH($B$2:$B$1018,$E$6:$E$11,0)),ROW($C$2:$C$1018)-ROW($C$2)+1),ROWS(M$20:M184))))</f>
        <v/>
      </c>
      <c r="K184" s="7" t="str">
        <f t="array" ref="K184">IF(ROWS(K$20:K184)&gt;$F$6,"",INDEX(A$2:A$1018,SMALL(IF(($B$2:$B$1018=$E$6)+($B$2:$B$1018=$E$7)+($B$2:$B$1018=$E$8)+($B$2:$B$1018=$E$9)+($B$2:$B$1018=$E$10)+($B$2:$B$1018=$E$11),ROW($C$2:$C$1018)-ROW($C$2)+1),ROWS(K$20:K184))))</f>
        <v/>
      </c>
      <c r="L184" s="4" t="str">
        <f t="array" ref="L184">IF(ROWS(L$20:L184)&gt;$F$6,"",INDEX(B$2:B$1018,SMALL(IF(($B$2:$B$1018=$E$6)+($B$2:$B$1018=$E$7)+($B$2:$B$1018=$E$8)+($B$2:$B$1018=$E$9)+($B$2:$B$1018=$E$10)+($B$2:$B$1018=$E$11),ROW($C$2:$C$1018)-ROW($C$2)+1),ROWS(L$20:L184))))</f>
        <v/>
      </c>
      <c r="M184" s="4" t="str">
        <f t="array" ref="M184">IF(ROWS(M$20:M184)&gt;$F$6,"",INDEX(C$2:C$1018,SMALL(IF(($B$2:$B$1018=$E$6)+($B$2:$B$1018=$E$7)+($B$2:$B$1018=$E$8)+($B$2:$B$1018=$E$9)+($B$2:$B$1018=$E$10)+($B$2:$B$1018=$E$11),ROW($C$2:$C$1018)-ROW($C$2)+1),ROWS(M$20:M184))))</f>
        <v/>
      </c>
    </row>
    <row r="185" spans="1:13" x14ac:dyDescent="0.25">
      <c r="A185" s="3">
        <v>41417</v>
      </c>
      <c r="B185" s="2" t="s">
        <v>34</v>
      </c>
      <c r="C185" s="2">
        <v>32</v>
      </c>
      <c r="G185" s="7" t="str">
        <f t="array" ref="G185">IF(ROWS(K$20:K185)&gt;$F$6,"",INDEX(A$2:A$1018,SMALL(IF(ISNUMBER(MATCH($B$2:$B$1018,$E$6:$E$11,0)),ROW($C$2:$C$1018)-ROW($C$2)+1),ROWS(K$20:K185))))</f>
        <v/>
      </c>
      <c r="H185" s="4" t="str">
        <f t="array" ref="H185">IF(ROWS(L$20:L185)&gt;$F$6,"",INDEX(B$2:B$1018,SMALL(IF(ISNUMBER(MATCH($B$2:$B$1018,$E$6:$E$11,0)),ROW($C$2:$C$1018)-ROW($C$2)+1),ROWS(L$20:L185))))</f>
        <v/>
      </c>
      <c r="I185" s="4" t="str">
        <f t="array" ref="I185">IF(ROWS(M$20:M185)&gt;$F$6,"",INDEX(C$2:C$1018,SMALL(IF(ISNUMBER(MATCH($B$2:$B$1018,$E$6:$E$11,0)),ROW($C$2:$C$1018)-ROW($C$2)+1),ROWS(M$20:M185))))</f>
        <v/>
      </c>
      <c r="K185" s="7" t="str">
        <f t="array" ref="K185">IF(ROWS(K$20:K185)&gt;$F$6,"",INDEX(A$2:A$1018,SMALL(IF(($B$2:$B$1018=$E$6)+($B$2:$B$1018=$E$7)+($B$2:$B$1018=$E$8)+($B$2:$B$1018=$E$9)+($B$2:$B$1018=$E$10)+($B$2:$B$1018=$E$11),ROW($C$2:$C$1018)-ROW($C$2)+1),ROWS(K$20:K185))))</f>
        <v/>
      </c>
      <c r="L185" s="4" t="str">
        <f t="array" ref="L185">IF(ROWS(L$20:L185)&gt;$F$6,"",INDEX(B$2:B$1018,SMALL(IF(($B$2:$B$1018=$E$6)+($B$2:$B$1018=$E$7)+($B$2:$B$1018=$E$8)+($B$2:$B$1018=$E$9)+($B$2:$B$1018=$E$10)+($B$2:$B$1018=$E$11),ROW($C$2:$C$1018)-ROW($C$2)+1),ROWS(L$20:L185))))</f>
        <v/>
      </c>
      <c r="M185" s="4" t="str">
        <f t="array" ref="M185">IF(ROWS(M$20:M185)&gt;$F$6,"",INDEX(C$2:C$1018,SMALL(IF(($B$2:$B$1018=$E$6)+($B$2:$B$1018=$E$7)+($B$2:$B$1018=$E$8)+($B$2:$B$1018=$E$9)+($B$2:$B$1018=$E$10)+($B$2:$B$1018=$E$11),ROW($C$2:$C$1018)-ROW($C$2)+1),ROWS(M$20:M185))))</f>
        <v/>
      </c>
    </row>
    <row r="186" spans="1:13" x14ac:dyDescent="0.25">
      <c r="A186" s="3">
        <v>41967</v>
      </c>
      <c r="B186" s="2" t="s">
        <v>47</v>
      </c>
      <c r="C186" s="2">
        <v>47</v>
      </c>
      <c r="G186" s="7" t="str">
        <f t="array" ref="G186">IF(ROWS(K$20:K186)&gt;$F$6,"",INDEX(A$2:A$1018,SMALL(IF(ISNUMBER(MATCH($B$2:$B$1018,$E$6:$E$11,0)),ROW($C$2:$C$1018)-ROW($C$2)+1),ROWS(K$20:K186))))</f>
        <v/>
      </c>
      <c r="H186" s="4" t="str">
        <f t="array" ref="H186">IF(ROWS(L$20:L186)&gt;$F$6,"",INDEX(B$2:B$1018,SMALL(IF(ISNUMBER(MATCH($B$2:$B$1018,$E$6:$E$11,0)),ROW($C$2:$C$1018)-ROW($C$2)+1),ROWS(L$20:L186))))</f>
        <v/>
      </c>
      <c r="I186" s="4" t="str">
        <f t="array" ref="I186">IF(ROWS(M$20:M186)&gt;$F$6,"",INDEX(C$2:C$1018,SMALL(IF(ISNUMBER(MATCH($B$2:$B$1018,$E$6:$E$11,0)),ROW($C$2:$C$1018)-ROW($C$2)+1),ROWS(M$20:M186))))</f>
        <v/>
      </c>
      <c r="K186" s="7" t="str">
        <f t="array" ref="K186">IF(ROWS(K$20:K186)&gt;$F$6,"",INDEX(A$2:A$1018,SMALL(IF(($B$2:$B$1018=$E$6)+($B$2:$B$1018=$E$7)+($B$2:$B$1018=$E$8)+($B$2:$B$1018=$E$9)+($B$2:$B$1018=$E$10)+($B$2:$B$1018=$E$11),ROW($C$2:$C$1018)-ROW($C$2)+1),ROWS(K$20:K186))))</f>
        <v/>
      </c>
      <c r="L186" s="4" t="str">
        <f t="array" ref="L186">IF(ROWS(L$20:L186)&gt;$F$6,"",INDEX(B$2:B$1018,SMALL(IF(($B$2:$B$1018=$E$6)+($B$2:$B$1018=$E$7)+($B$2:$B$1018=$E$8)+($B$2:$B$1018=$E$9)+($B$2:$B$1018=$E$10)+($B$2:$B$1018=$E$11),ROW($C$2:$C$1018)-ROW($C$2)+1),ROWS(L$20:L186))))</f>
        <v/>
      </c>
      <c r="M186" s="4" t="str">
        <f t="array" ref="M186">IF(ROWS(M$20:M186)&gt;$F$6,"",INDEX(C$2:C$1018,SMALL(IF(($B$2:$B$1018=$E$6)+($B$2:$B$1018=$E$7)+($B$2:$B$1018=$E$8)+($B$2:$B$1018=$E$9)+($B$2:$B$1018=$E$10)+($B$2:$B$1018=$E$11),ROW($C$2:$C$1018)-ROW($C$2)+1),ROWS(M$20:M186))))</f>
        <v/>
      </c>
    </row>
    <row r="187" spans="1:13" x14ac:dyDescent="0.25">
      <c r="A187" s="3">
        <v>41497</v>
      </c>
      <c r="B187" s="2" t="s">
        <v>34</v>
      </c>
      <c r="C187" s="2">
        <v>20</v>
      </c>
      <c r="G187" s="7" t="str">
        <f t="array" ref="G187">IF(ROWS(K$20:K187)&gt;$F$6,"",INDEX(A$2:A$1018,SMALL(IF(ISNUMBER(MATCH($B$2:$B$1018,$E$6:$E$11,0)),ROW($C$2:$C$1018)-ROW($C$2)+1),ROWS(K$20:K187))))</f>
        <v/>
      </c>
      <c r="H187" s="4" t="str">
        <f t="array" ref="H187">IF(ROWS(L$20:L187)&gt;$F$6,"",INDEX(B$2:B$1018,SMALL(IF(ISNUMBER(MATCH($B$2:$B$1018,$E$6:$E$11,0)),ROW($C$2:$C$1018)-ROW($C$2)+1),ROWS(L$20:L187))))</f>
        <v/>
      </c>
      <c r="I187" s="4" t="str">
        <f t="array" ref="I187">IF(ROWS(M$20:M187)&gt;$F$6,"",INDEX(C$2:C$1018,SMALL(IF(ISNUMBER(MATCH($B$2:$B$1018,$E$6:$E$11,0)),ROW($C$2:$C$1018)-ROW($C$2)+1),ROWS(M$20:M187))))</f>
        <v/>
      </c>
      <c r="K187" s="7" t="str">
        <f t="array" ref="K187">IF(ROWS(K$20:K187)&gt;$F$6,"",INDEX(A$2:A$1018,SMALL(IF(($B$2:$B$1018=$E$6)+($B$2:$B$1018=$E$7)+($B$2:$B$1018=$E$8)+($B$2:$B$1018=$E$9)+($B$2:$B$1018=$E$10)+($B$2:$B$1018=$E$11),ROW($C$2:$C$1018)-ROW($C$2)+1),ROWS(K$20:K187))))</f>
        <v/>
      </c>
      <c r="L187" s="4" t="str">
        <f t="array" ref="L187">IF(ROWS(L$20:L187)&gt;$F$6,"",INDEX(B$2:B$1018,SMALL(IF(($B$2:$B$1018=$E$6)+($B$2:$B$1018=$E$7)+($B$2:$B$1018=$E$8)+($B$2:$B$1018=$E$9)+($B$2:$B$1018=$E$10)+($B$2:$B$1018=$E$11),ROW($C$2:$C$1018)-ROW($C$2)+1),ROWS(L$20:L187))))</f>
        <v/>
      </c>
      <c r="M187" s="4" t="str">
        <f t="array" ref="M187">IF(ROWS(M$20:M187)&gt;$F$6,"",INDEX(C$2:C$1018,SMALL(IF(($B$2:$B$1018=$E$6)+($B$2:$B$1018=$E$7)+($B$2:$B$1018=$E$8)+($B$2:$B$1018=$E$9)+($B$2:$B$1018=$E$10)+($B$2:$B$1018=$E$11),ROW($C$2:$C$1018)-ROW($C$2)+1),ROWS(M$20:M187))))</f>
        <v/>
      </c>
    </row>
    <row r="188" spans="1:13" x14ac:dyDescent="0.25">
      <c r="A188" s="3">
        <v>42001</v>
      </c>
      <c r="B188" s="2" t="s">
        <v>43</v>
      </c>
      <c r="C188" s="2">
        <v>46</v>
      </c>
      <c r="G188" s="7" t="str">
        <f t="array" ref="G188">IF(ROWS(K$20:K188)&gt;$F$6,"",INDEX(A$2:A$1018,SMALL(IF(ISNUMBER(MATCH($B$2:$B$1018,$E$6:$E$11,0)),ROW($C$2:$C$1018)-ROW($C$2)+1),ROWS(K$20:K188))))</f>
        <v/>
      </c>
      <c r="H188" s="4" t="str">
        <f t="array" ref="H188">IF(ROWS(L$20:L188)&gt;$F$6,"",INDEX(B$2:B$1018,SMALL(IF(ISNUMBER(MATCH($B$2:$B$1018,$E$6:$E$11,0)),ROW($C$2:$C$1018)-ROW($C$2)+1),ROWS(L$20:L188))))</f>
        <v/>
      </c>
      <c r="I188" s="4" t="str">
        <f t="array" ref="I188">IF(ROWS(M$20:M188)&gt;$F$6,"",INDEX(C$2:C$1018,SMALL(IF(ISNUMBER(MATCH($B$2:$B$1018,$E$6:$E$11,0)),ROW($C$2:$C$1018)-ROW($C$2)+1),ROWS(M$20:M188))))</f>
        <v/>
      </c>
      <c r="K188" s="7" t="str">
        <f t="array" ref="K188">IF(ROWS(K$20:K188)&gt;$F$6,"",INDEX(A$2:A$1018,SMALL(IF(($B$2:$B$1018=$E$6)+($B$2:$B$1018=$E$7)+($B$2:$B$1018=$E$8)+($B$2:$B$1018=$E$9)+($B$2:$B$1018=$E$10)+($B$2:$B$1018=$E$11),ROW($C$2:$C$1018)-ROW($C$2)+1),ROWS(K$20:K188))))</f>
        <v/>
      </c>
      <c r="L188" s="4" t="str">
        <f t="array" ref="L188">IF(ROWS(L$20:L188)&gt;$F$6,"",INDEX(B$2:B$1018,SMALL(IF(($B$2:$B$1018=$E$6)+($B$2:$B$1018=$E$7)+($B$2:$B$1018=$E$8)+($B$2:$B$1018=$E$9)+($B$2:$B$1018=$E$10)+($B$2:$B$1018=$E$11),ROW($C$2:$C$1018)-ROW($C$2)+1),ROWS(L$20:L188))))</f>
        <v/>
      </c>
      <c r="M188" s="4" t="str">
        <f t="array" ref="M188">IF(ROWS(M$20:M188)&gt;$F$6,"",INDEX(C$2:C$1018,SMALL(IF(($B$2:$B$1018=$E$6)+($B$2:$B$1018=$E$7)+($B$2:$B$1018=$E$8)+($B$2:$B$1018=$E$9)+($B$2:$B$1018=$E$10)+($B$2:$B$1018=$E$11),ROW($C$2:$C$1018)-ROW($C$2)+1),ROWS(M$20:M188))))</f>
        <v/>
      </c>
    </row>
    <row r="189" spans="1:13" x14ac:dyDescent="0.25">
      <c r="A189" s="3">
        <v>41737</v>
      </c>
      <c r="B189" s="2" t="s">
        <v>15</v>
      </c>
      <c r="C189" s="2">
        <v>43</v>
      </c>
      <c r="G189" s="7" t="str">
        <f t="array" ref="G189">IF(ROWS(K$20:K189)&gt;$F$6,"",INDEX(A$2:A$1018,SMALL(IF(ISNUMBER(MATCH($B$2:$B$1018,$E$6:$E$11,0)),ROW($C$2:$C$1018)-ROW($C$2)+1),ROWS(K$20:K189))))</f>
        <v/>
      </c>
      <c r="H189" s="4" t="str">
        <f t="array" ref="H189">IF(ROWS(L$20:L189)&gt;$F$6,"",INDEX(B$2:B$1018,SMALL(IF(ISNUMBER(MATCH($B$2:$B$1018,$E$6:$E$11,0)),ROW($C$2:$C$1018)-ROW($C$2)+1),ROWS(L$20:L189))))</f>
        <v/>
      </c>
      <c r="I189" s="4" t="str">
        <f t="array" ref="I189">IF(ROWS(M$20:M189)&gt;$F$6,"",INDEX(C$2:C$1018,SMALL(IF(ISNUMBER(MATCH($B$2:$B$1018,$E$6:$E$11,0)),ROW($C$2:$C$1018)-ROW($C$2)+1),ROWS(M$20:M189))))</f>
        <v/>
      </c>
      <c r="K189" s="7" t="str">
        <f t="array" ref="K189">IF(ROWS(K$20:K189)&gt;$F$6,"",INDEX(A$2:A$1018,SMALL(IF(($B$2:$B$1018=$E$6)+($B$2:$B$1018=$E$7)+($B$2:$B$1018=$E$8)+($B$2:$B$1018=$E$9)+($B$2:$B$1018=$E$10)+($B$2:$B$1018=$E$11),ROW($C$2:$C$1018)-ROW($C$2)+1),ROWS(K$20:K189))))</f>
        <v/>
      </c>
      <c r="L189" s="4" t="str">
        <f t="array" ref="L189">IF(ROWS(L$20:L189)&gt;$F$6,"",INDEX(B$2:B$1018,SMALL(IF(($B$2:$B$1018=$E$6)+($B$2:$B$1018=$E$7)+($B$2:$B$1018=$E$8)+($B$2:$B$1018=$E$9)+($B$2:$B$1018=$E$10)+($B$2:$B$1018=$E$11),ROW($C$2:$C$1018)-ROW($C$2)+1),ROWS(L$20:L189))))</f>
        <v/>
      </c>
      <c r="M189" s="4" t="str">
        <f t="array" ref="M189">IF(ROWS(M$20:M189)&gt;$F$6,"",INDEX(C$2:C$1018,SMALL(IF(($B$2:$B$1018=$E$6)+($B$2:$B$1018=$E$7)+($B$2:$B$1018=$E$8)+($B$2:$B$1018=$E$9)+($B$2:$B$1018=$E$10)+($B$2:$B$1018=$E$11),ROW($C$2:$C$1018)-ROW($C$2)+1),ROWS(M$20:M189))))</f>
        <v/>
      </c>
    </row>
    <row r="190" spans="1:13" x14ac:dyDescent="0.25">
      <c r="A190" s="3">
        <v>41431</v>
      </c>
      <c r="B190" s="2" t="s">
        <v>32</v>
      </c>
      <c r="C190" s="2">
        <v>23</v>
      </c>
      <c r="G190" s="7" t="str">
        <f t="array" ref="G190">IF(ROWS(K$20:K190)&gt;$F$6,"",INDEX(A$2:A$1018,SMALL(IF(ISNUMBER(MATCH($B$2:$B$1018,$E$6:$E$11,0)),ROW($C$2:$C$1018)-ROW($C$2)+1),ROWS(K$20:K190))))</f>
        <v/>
      </c>
      <c r="H190" s="4" t="str">
        <f t="array" ref="H190">IF(ROWS(L$20:L190)&gt;$F$6,"",INDEX(B$2:B$1018,SMALL(IF(ISNUMBER(MATCH($B$2:$B$1018,$E$6:$E$11,0)),ROW($C$2:$C$1018)-ROW($C$2)+1),ROWS(L$20:L190))))</f>
        <v/>
      </c>
      <c r="I190" s="4" t="str">
        <f t="array" ref="I190">IF(ROWS(M$20:M190)&gt;$F$6,"",INDEX(C$2:C$1018,SMALL(IF(ISNUMBER(MATCH($B$2:$B$1018,$E$6:$E$11,0)),ROW($C$2:$C$1018)-ROW($C$2)+1),ROWS(M$20:M190))))</f>
        <v/>
      </c>
      <c r="K190" s="7" t="str">
        <f t="array" ref="K190">IF(ROWS(K$20:K190)&gt;$F$6,"",INDEX(A$2:A$1018,SMALL(IF(($B$2:$B$1018=$E$6)+($B$2:$B$1018=$E$7)+($B$2:$B$1018=$E$8)+($B$2:$B$1018=$E$9)+($B$2:$B$1018=$E$10)+($B$2:$B$1018=$E$11),ROW($C$2:$C$1018)-ROW($C$2)+1),ROWS(K$20:K190))))</f>
        <v/>
      </c>
      <c r="L190" s="4" t="str">
        <f t="array" ref="L190">IF(ROWS(L$20:L190)&gt;$F$6,"",INDEX(B$2:B$1018,SMALL(IF(($B$2:$B$1018=$E$6)+($B$2:$B$1018=$E$7)+($B$2:$B$1018=$E$8)+($B$2:$B$1018=$E$9)+($B$2:$B$1018=$E$10)+($B$2:$B$1018=$E$11),ROW($C$2:$C$1018)-ROW($C$2)+1),ROWS(L$20:L190))))</f>
        <v/>
      </c>
      <c r="M190" s="4" t="str">
        <f t="array" ref="M190">IF(ROWS(M$20:M190)&gt;$F$6,"",INDEX(C$2:C$1018,SMALL(IF(($B$2:$B$1018=$E$6)+($B$2:$B$1018=$E$7)+($B$2:$B$1018=$E$8)+($B$2:$B$1018=$E$9)+($B$2:$B$1018=$E$10)+($B$2:$B$1018=$E$11),ROW($C$2:$C$1018)-ROW($C$2)+1),ROWS(M$20:M190))))</f>
        <v/>
      </c>
    </row>
    <row r="191" spans="1:13" x14ac:dyDescent="0.25">
      <c r="A191" s="3">
        <v>41811</v>
      </c>
      <c r="B191" s="2" t="s">
        <v>7</v>
      </c>
      <c r="C191" s="2">
        <v>15</v>
      </c>
      <c r="G191" s="7" t="str">
        <f t="array" ref="G191">IF(ROWS(K$20:K191)&gt;$F$6,"",INDEX(A$2:A$1018,SMALL(IF(ISNUMBER(MATCH($B$2:$B$1018,$E$6:$E$11,0)),ROW($C$2:$C$1018)-ROW($C$2)+1),ROWS(K$20:K191))))</f>
        <v/>
      </c>
      <c r="H191" s="4" t="str">
        <f t="array" ref="H191">IF(ROWS(L$20:L191)&gt;$F$6,"",INDEX(B$2:B$1018,SMALL(IF(ISNUMBER(MATCH($B$2:$B$1018,$E$6:$E$11,0)),ROW($C$2:$C$1018)-ROW($C$2)+1),ROWS(L$20:L191))))</f>
        <v/>
      </c>
      <c r="I191" s="4" t="str">
        <f t="array" ref="I191">IF(ROWS(M$20:M191)&gt;$F$6,"",INDEX(C$2:C$1018,SMALL(IF(ISNUMBER(MATCH($B$2:$B$1018,$E$6:$E$11,0)),ROW($C$2:$C$1018)-ROW($C$2)+1),ROWS(M$20:M191))))</f>
        <v/>
      </c>
      <c r="K191" s="7" t="str">
        <f t="array" ref="K191">IF(ROWS(K$20:K191)&gt;$F$6,"",INDEX(A$2:A$1018,SMALL(IF(($B$2:$B$1018=$E$6)+($B$2:$B$1018=$E$7)+($B$2:$B$1018=$E$8)+($B$2:$B$1018=$E$9)+($B$2:$B$1018=$E$10)+($B$2:$B$1018=$E$11),ROW($C$2:$C$1018)-ROW($C$2)+1),ROWS(K$20:K191))))</f>
        <v/>
      </c>
      <c r="L191" s="4" t="str">
        <f t="array" ref="L191">IF(ROWS(L$20:L191)&gt;$F$6,"",INDEX(B$2:B$1018,SMALL(IF(($B$2:$B$1018=$E$6)+($B$2:$B$1018=$E$7)+($B$2:$B$1018=$E$8)+($B$2:$B$1018=$E$9)+($B$2:$B$1018=$E$10)+($B$2:$B$1018=$E$11),ROW($C$2:$C$1018)-ROW($C$2)+1),ROWS(L$20:L191))))</f>
        <v/>
      </c>
      <c r="M191" s="4" t="str">
        <f t="array" ref="M191">IF(ROWS(M$20:M191)&gt;$F$6,"",INDEX(C$2:C$1018,SMALL(IF(($B$2:$B$1018=$E$6)+($B$2:$B$1018=$E$7)+($B$2:$B$1018=$E$8)+($B$2:$B$1018=$E$9)+($B$2:$B$1018=$E$10)+($B$2:$B$1018=$E$11),ROW($C$2:$C$1018)-ROW($C$2)+1),ROWS(M$20:M191))))</f>
        <v/>
      </c>
    </row>
    <row r="192" spans="1:13" x14ac:dyDescent="0.25">
      <c r="A192" s="3">
        <v>41293</v>
      </c>
      <c r="B192" s="2" t="s">
        <v>33</v>
      </c>
      <c r="C192" s="2">
        <v>6</v>
      </c>
      <c r="G192" s="7" t="str">
        <f t="array" ref="G192">IF(ROWS(K$20:K192)&gt;$F$6,"",INDEX(A$2:A$1018,SMALL(IF(ISNUMBER(MATCH($B$2:$B$1018,$E$6:$E$11,0)),ROW($C$2:$C$1018)-ROW($C$2)+1),ROWS(K$20:K192))))</f>
        <v/>
      </c>
      <c r="H192" s="4" t="str">
        <f t="array" ref="H192">IF(ROWS(L$20:L192)&gt;$F$6,"",INDEX(B$2:B$1018,SMALL(IF(ISNUMBER(MATCH($B$2:$B$1018,$E$6:$E$11,0)),ROW($C$2:$C$1018)-ROW($C$2)+1),ROWS(L$20:L192))))</f>
        <v/>
      </c>
      <c r="I192" s="4" t="str">
        <f t="array" ref="I192">IF(ROWS(M$20:M192)&gt;$F$6,"",INDEX(C$2:C$1018,SMALL(IF(ISNUMBER(MATCH($B$2:$B$1018,$E$6:$E$11,0)),ROW($C$2:$C$1018)-ROW($C$2)+1),ROWS(M$20:M192))))</f>
        <v/>
      </c>
      <c r="K192" s="7" t="str">
        <f t="array" ref="K192">IF(ROWS(K$20:K192)&gt;$F$6,"",INDEX(A$2:A$1018,SMALL(IF(($B$2:$B$1018=$E$6)+($B$2:$B$1018=$E$7)+($B$2:$B$1018=$E$8)+($B$2:$B$1018=$E$9)+($B$2:$B$1018=$E$10)+($B$2:$B$1018=$E$11),ROW($C$2:$C$1018)-ROW($C$2)+1),ROWS(K$20:K192))))</f>
        <v/>
      </c>
      <c r="L192" s="4" t="str">
        <f t="array" ref="L192">IF(ROWS(L$20:L192)&gt;$F$6,"",INDEX(B$2:B$1018,SMALL(IF(($B$2:$B$1018=$E$6)+($B$2:$B$1018=$E$7)+($B$2:$B$1018=$E$8)+($B$2:$B$1018=$E$9)+($B$2:$B$1018=$E$10)+($B$2:$B$1018=$E$11),ROW($C$2:$C$1018)-ROW($C$2)+1),ROWS(L$20:L192))))</f>
        <v/>
      </c>
      <c r="M192" s="4" t="str">
        <f t="array" ref="M192">IF(ROWS(M$20:M192)&gt;$F$6,"",INDEX(C$2:C$1018,SMALL(IF(($B$2:$B$1018=$E$6)+($B$2:$B$1018=$E$7)+($B$2:$B$1018=$E$8)+($B$2:$B$1018=$E$9)+($B$2:$B$1018=$E$10)+($B$2:$B$1018=$E$11),ROW($C$2:$C$1018)-ROW($C$2)+1),ROWS(M$20:M192))))</f>
        <v/>
      </c>
    </row>
    <row r="193" spans="1:13" x14ac:dyDescent="0.25">
      <c r="A193" s="3">
        <v>41720</v>
      </c>
      <c r="B193" s="2" t="s">
        <v>39</v>
      </c>
      <c r="C193" s="2">
        <v>14</v>
      </c>
      <c r="G193" s="7" t="str">
        <f t="array" ref="G193">IF(ROWS(K$20:K193)&gt;$F$6,"",INDEX(A$2:A$1018,SMALL(IF(ISNUMBER(MATCH($B$2:$B$1018,$E$6:$E$11,0)),ROW($C$2:$C$1018)-ROW($C$2)+1),ROWS(K$20:K193))))</f>
        <v/>
      </c>
      <c r="H193" s="4" t="str">
        <f t="array" ref="H193">IF(ROWS(L$20:L193)&gt;$F$6,"",INDEX(B$2:B$1018,SMALL(IF(ISNUMBER(MATCH($B$2:$B$1018,$E$6:$E$11,0)),ROW($C$2:$C$1018)-ROW($C$2)+1),ROWS(L$20:L193))))</f>
        <v/>
      </c>
      <c r="I193" s="4" t="str">
        <f t="array" ref="I193">IF(ROWS(M$20:M193)&gt;$F$6,"",INDEX(C$2:C$1018,SMALL(IF(ISNUMBER(MATCH($B$2:$B$1018,$E$6:$E$11,0)),ROW($C$2:$C$1018)-ROW($C$2)+1),ROWS(M$20:M193))))</f>
        <v/>
      </c>
      <c r="K193" s="7" t="str">
        <f t="array" ref="K193">IF(ROWS(K$20:K193)&gt;$F$6,"",INDEX(A$2:A$1018,SMALL(IF(($B$2:$B$1018=$E$6)+($B$2:$B$1018=$E$7)+($B$2:$B$1018=$E$8)+($B$2:$B$1018=$E$9)+($B$2:$B$1018=$E$10)+($B$2:$B$1018=$E$11),ROW($C$2:$C$1018)-ROW($C$2)+1),ROWS(K$20:K193))))</f>
        <v/>
      </c>
      <c r="L193" s="4" t="str">
        <f t="array" ref="L193">IF(ROWS(L$20:L193)&gt;$F$6,"",INDEX(B$2:B$1018,SMALL(IF(($B$2:$B$1018=$E$6)+($B$2:$B$1018=$E$7)+($B$2:$B$1018=$E$8)+($B$2:$B$1018=$E$9)+($B$2:$B$1018=$E$10)+($B$2:$B$1018=$E$11),ROW($C$2:$C$1018)-ROW($C$2)+1),ROWS(L$20:L193))))</f>
        <v/>
      </c>
      <c r="M193" s="4" t="str">
        <f t="array" ref="M193">IF(ROWS(M$20:M193)&gt;$F$6,"",INDEX(C$2:C$1018,SMALL(IF(($B$2:$B$1018=$E$6)+($B$2:$B$1018=$E$7)+($B$2:$B$1018=$E$8)+($B$2:$B$1018=$E$9)+($B$2:$B$1018=$E$10)+($B$2:$B$1018=$E$11),ROW($C$2:$C$1018)-ROW($C$2)+1),ROWS(M$20:M193))))</f>
        <v/>
      </c>
    </row>
    <row r="194" spans="1:13" x14ac:dyDescent="0.25">
      <c r="A194" s="3">
        <v>41829</v>
      </c>
      <c r="B194" s="2" t="s">
        <v>16</v>
      </c>
      <c r="C194" s="2">
        <v>37</v>
      </c>
      <c r="G194" s="7" t="str">
        <f t="array" ref="G194">IF(ROWS(K$20:K194)&gt;$F$6,"",INDEX(A$2:A$1018,SMALL(IF(ISNUMBER(MATCH($B$2:$B$1018,$E$6:$E$11,0)),ROW($C$2:$C$1018)-ROW($C$2)+1),ROWS(K$20:K194))))</f>
        <v/>
      </c>
      <c r="H194" s="4" t="str">
        <f t="array" ref="H194">IF(ROWS(L$20:L194)&gt;$F$6,"",INDEX(B$2:B$1018,SMALL(IF(ISNUMBER(MATCH($B$2:$B$1018,$E$6:$E$11,0)),ROW($C$2:$C$1018)-ROW($C$2)+1),ROWS(L$20:L194))))</f>
        <v/>
      </c>
      <c r="I194" s="4" t="str">
        <f t="array" ref="I194">IF(ROWS(M$20:M194)&gt;$F$6,"",INDEX(C$2:C$1018,SMALL(IF(ISNUMBER(MATCH($B$2:$B$1018,$E$6:$E$11,0)),ROW($C$2:$C$1018)-ROW($C$2)+1),ROWS(M$20:M194))))</f>
        <v/>
      </c>
      <c r="K194" s="7" t="str">
        <f t="array" ref="K194">IF(ROWS(K$20:K194)&gt;$F$6,"",INDEX(A$2:A$1018,SMALL(IF(($B$2:$B$1018=$E$6)+($B$2:$B$1018=$E$7)+($B$2:$B$1018=$E$8)+($B$2:$B$1018=$E$9)+($B$2:$B$1018=$E$10)+($B$2:$B$1018=$E$11),ROW($C$2:$C$1018)-ROW($C$2)+1),ROWS(K$20:K194))))</f>
        <v/>
      </c>
      <c r="L194" s="4" t="str">
        <f t="array" ref="L194">IF(ROWS(L$20:L194)&gt;$F$6,"",INDEX(B$2:B$1018,SMALL(IF(($B$2:$B$1018=$E$6)+($B$2:$B$1018=$E$7)+($B$2:$B$1018=$E$8)+($B$2:$B$1018=$E$9)+($B$2:$B$1018=$E$10)+($B$2:$B$1018=$E$11),ROW($C$2:$C$1018)-ROW($C$2)+1),ROWS(L$20:L194))))</f>
        <v/>
      </c>
      <c r="M194" s="4" t="str">
        <f t="array" ref="M194">IF(ROWS(M$20:M194)&gt;$F$6,"",INDEX(C$2:C$1018,SMALL(IF(($B$2:$B$1018=$E$6)+($B$2:$B$1018=$E$7)+($B$2:$B$1018=$E$8)+($B$2:$B$1018=$E$9)+($B$2:$B$1018=$E$10)+($B$2:$B$1018=$E$11),ROW($C$2:$C$1018)-ROW($C$2)+1),ROWS(M$20:M194))))</f>
        <v/>
      </c>
    </row>
    <row r="195" spans="1:13" x14ac:dyDescent="0.25">
      <c r="A195" s="3">
        <v>41693</v>
      </c>
      <c r="B195" s="2" t="s">
        <v>36</v>
      </c>
      <c r="C195" s="2">
        <v>25</v>
      </c>
      <c r="G195" s="7" t="str">
        <f t="array" ref="G195">IF(ROWS(K$20:K195)&gt;$F$6,"",INDEX(A$2:A$1018,SMALL(IF(ISNUMBER(MATCH($B$2:$B$1018,$E$6:$E$11,0)),ROW($C$2:$C$1018)-ROW($C$2)+1),ROWS(K$20:K195))))</f>
        <v/>
      </c>
      <c r="H195" s="4" t="str">
        <f t="array" ref="H195">IF(ROWS(L$20:L195)&gt;$F$6,"",INDEX(B$2:B$1018,SMALL(IF(ISNUMBER(MATCH($B$2:$B$1018,$E$6:$E$11,0)),ROW($C$2:$C$1018)-ROW($C$2)+1),ROWS(L$20:L195))))</f>
        <v/>
      </c>
      <c r="I195" s="4" t="str">
        <f t="array" ref="I195">IF(ROWS(M$20:M195)&gt;$F$6,"",INDEX(C$2:C$1018,SMALL(IF(ISNUMBER(MATCH($B$2:$B$1018,$E$6:$E$11,0)),ROW($C$2:$C$1018)-ROW($C$2)+1),ROWS(M$20:M195))))</f>
        <v/>
      </c>
      <c r="K195" s="7" t="str">
        <f t="array" ref="K195">IF(ROWS(K$20:K195)&gt;$F$6,"",INDEX(A$2:A$1018,SMALL(IF(($B$2:$B$1018=$E$6)+($B$2:$B$1018=$E$7)+($B$2:$B$1018=$E$8)+($B$2:$B$1018=$E$9)+($B$2:$B$1018=$E$10)+($B$2:$B$1018=$E$11),ROW($C$2:$C$1018)-ROW($C$2)+1),ROWS(K$20:K195))))</f>
        <v/>
      </c>
      <c r="L195" s="4" t="str">
        <f t="array" ref="L195">IF(ROWS(L$20:L195)&gt;$F$6,"",INDEX(B$2:B$1018,SMALL(IF(($B$2:$B$1018=$E$6)+($B$2:$B$1018=$E$7)+($B$2:$B$1018=$E$8)+($B$2:$B$1018=$E$9)+($B$2:$B$1018=$E$10)+($B$2:$B$1018=$E$11),ROW($C$2:$C$1018)-ROW($C$2)+1),ROWS(L$20:L195))))</f>
        <v/>
      </c>
      <c r="M195" s="4" t="str">
        <f t="array" ref="M195">IF(ROWS(M$20:M195)&gt;$F$6,"",INDEX(C$2:C$1018,SMALL(IF(($B$2:$B$1018=$E$6)+($B$2:$B$1018=$E$7)+($B$2:$B$1018=$E$8)+($B$2:$B$1018=$E$9)+($B$2:$B$1018=$E$10)+($B$2:$B$1018=$E$11),ROW($C$2:$C$1018)-ROW($C$2)+1),ROWS(M$20:M195))))</f>
        <v/>
      </c>
    </row>
    <row r="196" spans="1:13" x14ac:dyDescent="0.25">
      <c r="A196" s="3">
        <v>41732</v>
      </c>
      <c r="B196" s="2" t="s">
        <v>43</v>
      </c>
      <c r="C196" s="2">
        <v>34</v>
      </c>
      <c r="G196" s="7" t="str">
        <f t="array" ref="G196">IF(ROWS(K$20:K196)&gt;$F$6,"",INDEX(A$2:A$1018,SMALL(IF(ISNUMBER(MATCH($B$2:$B$1018,$E$6:$E$11,0)),ROW($C$2:$C$1018)-ROW($C$2)+1),ROWS(K$20:K196))))</f>
        <v/>
      </c>
      <c r="H196" s="4" t="str">
        <f t="array" ref="H196">IF(ROWS(L$20:L196)&gt;$F$6,"",INDEX(B$2:B$1018,SMALL(IF(ISNUMBER(MATCH($B$2:$B$1018,$E$6:$E$11,0)),ROW($C$2:$C$1018)-ROW($C$2)+1),ROWS(L$20:L196))))</f>
        <v/>
      </c>
      <c r="I196" s="4" t="str">
        <f t="array" ref="I196">IF(ROWS(M$20:M196)&gt;$F$6,"",INDEX(C$2:C$1018,SMALL(IF(ISNUMBER(MATCH($B$2:$B$1018,$E$6:$E$11,0)),ROW($C$2:$C$1018)-ROW($C$2)+1),ROWS(M$20:M196))))</f>
        <v/>
      </c>
      <c r="K196" s="7" t="str">
        <f t="array" ref="K196">IF(ROWS(K$20:K196)&gt;$F$6,"",INDEX(A$2:A$1018,SMALL(IF(($B$2:$B$1018=$E$6)+($B$2:$B$1018=$E$7)+($B$2:$B$1018=$E$8)+($B$2:$B$1018=$E$9)+($B$2:$B$1018=$E$10)+($B$2:$B$1018=$E$11),ROW($C$2:$C$1018)-ROW($C$2)+1),ROWS(K$20:K196))))</f>
        <v/>
      </c>
      <c r="L196" s="4" t="str">
        <f t="array" ref="L196">IF(ROWS(L$20:L196)&gt;$F$6,"",INDEX(B$2:B$1018,SMALL(IF(($B$2:$B$1018=$E$6)+($B$2:$B$1018=$E$7)+($B$2:$B$1018=$E$8)+($B$2:$B$1018=$E$9)+($B$2:$B$1018=$E$10)+($B$2:$B$1018=$E$11),ROW($C$2:$C$1018)-ROW($C$2)+1),ROWS(L$20:L196))))</f>
        <v/>
      </c>
      <c r="M196" s="4" t="str">
        <f t="array" ref="M196">IF(ROWS(M$20:M196)&gt;$F$6,"",INDEX(C$2:C$1018,SMALL(IF(($B$2:$B$1018=$E$6)+($B$2:$B$1018=$E$7)+($B$2:$B$1018=$E$8)+($B$2:$B$1018=$E$9)+($B$2:$B$1018=$E$10)+($B$2:$B$1018=$E$11),ROW($C$2:$C$1018)-ROW($C$2)+1),ROWS(M$20:M196))))</f>
        <v/>
      </c>
    </row>
    <row r="197" spans="1:13" x14ac:dyDescent="0.25">
      <c r="A197" s="3">
        <v>41876</v>
      </c>
      <c r="B197" s="2" t="s">
        <v>5</v>
      </c>
      <c r="C197" s="2">
        <v>12</v>
      </c>
      <c r="G197" s="7" t="str">
        <f t="array" ref="G197">IF(ROWS(K$20:K197)&gt;$F$6,"",INDEX(A$2:A$1018,SMALL(IF(ISNUMBER(MATCH($B$2:$B$1018,$E$6:$E$11,0)),ROW($C$2:$C$1018)-ROW($C$2)+1),ROWS(K$20:K197))))</f>
        <v/>
      </c>
      <c r="H197" s="4" t="str">
        <f t="array" ref="H197">IF(ROWS(L$20:L197)&gt;$F$6,"",INDEX(B$2:B$1018,SMALL(IF(ISNUMBER(MATCH($B$2:$B$1018,$E$6:$E$11,0)),ROW($C$2:$C$1018)-ROW($C$2)+1),ROWS(L$20:L197))))</f>
        <v/>
      </c>
      <c r="I197" s="4" t="str">
        <f t="array" ref="I197">IF(ROWS(M$20:M197)&gt;$F$6,"",INDEX(C$2:C$1018,SMALL(IF(ISNUMBER(MATCH($B$2:$B$1018,$E$6:$E$11,0)),ROW($C$2:$C$1018)-ROW($C$2)+1),ROWS(M$20:M197))))</f>
        <v/>
      </c>
      <c r="K197" s="7" t="str">
        <f t="array" ref="K197">IF(ROWS(K$20:K197)&gt;$F$6,"",INDEX(A$2:A$1018,SMALL(IF(($B$2:$B$1018=$E$6)+($B$2:$B$1018=$E$7)+($B$2:$B$1018=$E$8)+($B$2:$B$1018=$E$9)+($B$2:$B$1018=$E$10)+($B$2:$B$1018=$E$11),ROW($C$2:$C$1018)-ROW($C$2)+1),ROWS(K$20:K197))))</f>
        <v/>
      </c>
      <c r="L197" s="4" t="str">
        <f t="array" ref="L197">IF(ROWS(L$20:L197)&gt;$F$6,"",INDEX(B$2:B$1018,SMALL(IF(($B$2:$B$1018=$E$6)+($B$2:$B$1018=$E$7)+($B$2:$B$1018=$E$8)+($B$2:$B$1018=$E$9)+($B$2:$B$1018=$E$10)+($B$2:$B$1018=$E$11),ROW($C$2:$C$1018)-ROW($C$2)+1),ROWS(L$20:L197))))</f>
        <v/>
      </c>
      <c r="M197" s="4" t="str">
        <f t="array" ref="M197">IF(ROWS(M$20:M197)&gt;$F$6,"",INDEX(C$2:C$1018,SMALL(IF(($B$2:$B$1018=$E$6)+($B$2:$B$1018=$E$7)+($B$2:$B$1018=$E$8)+($B$2:$B$1018=$E$9)+($B$2:$B$1018=$E$10)+($B$2:$B$1018=$E$11),ROW($C$2:$C$1018)-ROW($C$2)+1),ROWS(M$20:M197))))</f>
        <v/>
      </c>
    </row>
    <row r="198" spans="1:13" x14ac:dyDescent="0.25">
      <c r="A198" s="3">
        <v>41592</v>
      </c>
      <c r="B198" s="2" t="s">
        <v>39</v>
      </c>
      <c r="C198" s="2">
        <v>41</v>
      </c>
      <c r="G198" s="7" t="str">
        <f t="array" ref="G198">IF(ROWS(K$20:K198)&gt;$F$6,"",INDEX(A$2:A$1018,SMALL(IF(ISNUMBER(MATCH($B$2:$B$1018,$E$6:$E$11,0)),ROW($C$2:$C$1018)-ROW($C$2)+1),ROWS(K$20:K198))))</f>
        <v/>
      </c>
      <c r="H198" s="4" t="str">
        <f t="array" ref="H198">IF(ROWS(L$20:L198)&gt;$F$6,"",INDEX(B$2:B$1018,SMALL(IF(ISNUMBER(MATCH($B$2:$B$1018,$E$6:$E$11,0)),ROW($C$2:$C$1018)-ROW($C$2)+1),ROWS(L$20:L198))))</f>
        <v/>
      </c>
      <c r="I198" s="4" t="str">
        <f t="array" ref="I198">IF(ROWS(M$20:M198)&gt;$F$6,"",INDEX(C$2:C$1018,SMALL(IF(ISNUMBER(MATCH($B$2:$B$1018,$E$6:$E$11,0)),ROW($C$2:$C$1018)-ROW($C$2)+1),ROWS(M$20:M198))))</f>
        <v/>
      </c>
      <c r="K198" s="7" t="str">
        <f t="array" ref="K198">IF(ROWS(K$20:K198)&gt;$F$6,"",INDEX(A$2:A$1018,SMALL(IF(($B$2:$B$1018=$E$6)+($B$2:$B$1018=$E$7)+($B$2:$B$1018=$E$8)+($B$2:$B$1018=$E$9)+($B$2:$B$1018=$E$10)+($B$2:$B$1018=$E$11),ROW($C$2:$C$1018)-ROW($C$2)+1),ROWS(K$20:K198))))</f>
        <v/>
      </c>
      <c r="L198" s="4" t="str">
        <f t="array" ref="L198">IF(ROWS(L$20:L198)&gt;$F$6,"",INDEX(B$2:B$1018,SMALL(IF(($B$2:$B$1018=$E$6)+($B$2:$B$1018=$E$7)+($B$2:$B$1018=$E$8)+($B$2:$B$1018=$E$9)+($B$2:$B$1018=$E$10)+($B$2:$B$1018=$E$11),ROW($C$2:$C$1018)-ROW($C$2)+1),ROWS(L$20:L198))))</f>
        <v/>
      </c>
      <c r="M198" s="4" t="str">
        <f t="array" ref="M198">IF(ROWS(M$20:M198)&gt;$F$6,"",INDEX(C$2:C$1018,SMALL(IF(($B$2:$B$1018=$E$6)+($B$2:$B$1018=$E$7)+($B$2:$B$1018=$E$8)+($B$2:$B$1018=$E$9)+($B$2:$B$1018=$E$10)+($B$2:$B$1018=$E$11),ROW($C$2:$C$1018)-ROW($C$2)+1),ROWS(M$20:M198))))</f>
        <v/>
      </c>
    </row>
    <row r="199" spans="1:13" x14ac:dyDescent="0.25">
      <c r="A199" s="3">
        <v>41672</v>
      </c>
      <c r="B199" s="2" t="s">
        <v>22</v>
      </c>
      <c r="C199" s="2">
        <v>3</v>
      </c>
      <c r="G199" s="7" t="str">
        <f t="array" ref="G199">IF(ROWS(K$20:K199)&gt;$F$6,"",INDEX(A$2:A$1018,SMALL(IF(ISNUMBER(MATCH($B$2:$B$1018,$E$6:$E$11,0)),ROW($C$2:$C$1018)-ROW($C$2)+1),ROWS(K$20:K199))))</f>
        <v/>
      </c>
      <c r="H199" s="4" t="str">
        <f t="array" ref="H199">IF(ROWS(L$20:L199)&gt;$F$6,"",INDEX(B$2:B$1018,SMALL(IF(ISNUMBER(MATCH($B$2:$B$1018,$E$6:$E$11,0)),ROW($C$2:$C$1018)-ROW($C$2)+1),ROWS(L$20:L199))))</f>
        <v/>
      </c>
      <c r="I199" s="4" t="str">
        <f t="array" ref="I199">IF(ROWS(M$20:M199)&gt;$F$6,"",INDEX(C$2:C$1018,SMALL(IF(ISNUMBER(MATCH($B$2:$B$1018,$E$6:$E$11,0)),ROW($C$2:$C$1018)-ROW($C$2)+1),ROWS(M$20:M199))))</f>
        <v/>
      </c>
      <c r="K199" s="7" t="str">
        <f t="array" ref="K199">IF(ROWS(K$20:K199)&gt;$F$6,"",INDEX(A$2:A$1018,SMALL(IF(($B$2:$B$1018=$E$6)+($B$2:$B$1018=$E$7)+($B$2:$B$1018=$E$8)+($B$2:$B$1018=$E$9)+($B$2:$B$1018=$E$10)+($B$2:$B$1018=$E$11),ROW($C$2:$C$1018)-ROW($C$2)+1),ROWS(K$20:K199))))</f>
        <v/>
      </c>
      <c r="L199" s="4" t="str">
        <f t="array" ref="L199">IF(ROWS(L$20:L199)&gt;$F$6,"",INDEX(B$2:B$1018,SMALL(IF(($B$2:$B$1018=$E$6)+($B$2:$B$1018=$E$7)+($B$2:$B$1018=$E$8)+($B$2:$B$1018=$E$9)+($B$2:$B$1018=$E$10)+($B$2:$B$1018=$E$11),ROW($C$2:$C$1018)-ROW($C$2)+1),ROWS(L$20:L199))))</f>
        <v/>
      </c>
      <c r="M199" s="4" t="str">
        <f t="array" ref="M199">IF(ROWS(M$20:M199)&gt;$F$6,"",INDEX(C$2:C$1018,SMALL(IF(($B$2:$B$1018=$E$6)+($B$2:$B$1018=$E$7)+($B$2:$B$1018=$E$8)+($B$2:$B$1018=$E$9)+($B$2:$B$1018=$E$10)+($B$2:$B$1018=$E$11),ROW($C$2:$C$1018)-ROW($C$2)+1),ROWS(M$20:M199))))</f>
        <v/>
      </c>
    </row>
    <row r="200" spans="1:13" x14ac:dyDescent="0.25">
      <c r="A200" s="3">
        <v>41463</v>
      </c>
      <c r="B200" s="2" t="s">
        <v>8</v>
      </c>
      <c r="C200" s="2">
        <v>32</v>
      </c>
      <c r="G200" s="7" t="str">
        <f t="array" ref="G200">IF(ROWS(K$20:K200)&gt;$F$6,"",INDEX(A$2:A$1018,SMALL(IF(ISNUMBER(MATCH($B$2:$B$1018,$E$6:$E$11,0)),ROW($C$2:$C$1018)-ROW($C$2)+1),ROWS(K$20:K200))))</f>
        <v/>
      </c>
      <c r="H200" s="4" t="str">
        <f t="array" ref="H200">IF(ROWS(L$20:L200)&gt;$F$6,"",INDEX(B$2:B$1018,SMALL(IF(ISNUMBER(MATCH($B$2:$B$1018,$E$6:$E$11,0)),ROW($C$2:$C$1018)-ROW($C$2)+1),ROWS(L$20:L200))))</f>
        <v/>
      </c>
      <c r="I200" s="4" t="str">
        <f t="array" ref="I200">IF(ROWS(M$20:M200)&gt;$F$6,"",INDEX(C$2:C$1018,SMALL(IF(ISNUMBER(MATCH($B$2:$B$1018,$E$6:$E$11,0)),ROW($C$2:$C$1018)-ROW($C$2)+1),ROWS(M$20:M200))))</f>
        <v/>
      </c>
      <c r="K200" s="7" t="str">
        <f t="array" ref="K200">IF(ROWS(K$20:K200)&gt;$F$6,"",INDEX(A$2:A$1018,SMALL(IF(($B$2:$B$1018=$E$6)+($B$2:$B$1018=$E$7)+($B$2:$B$1018=$E$8)+($B$2:$B$1018=$E$9)+($B$2:$B$1018=$E$10)+($B$2:$B$1018=$E$11),ROW($C$2:$C$1018)-ROW($C$2)+1),ROWS(K$20:K200))))</f>
        <v/>
      </c>
      <c r="L200" s="4" t="str">
        <f t="array" ref="L200">IF(ROWS(L$20:L200)&gt;$F$6,"",INDEX(B$2:B$1018,SMALL(IF(($B$2:$B$1018=$E$6)+($B$2:$B$1018=$E$7)+($B$2:$B$1018=$E$8)+($B$2:$B$1018=$E$9)+($B$2:$B$1018=$E$10)+($B$2:$B$1018=$E$11),ROW($C$2:$C$1018)-ROW($C$2)+1),ROWS(L$20:L200))))</f>
        <v/>
      </c>
      <c r="M200" s="4" t="str">
        <f t="array" ref="M200">IF(ROWS(M$20:M200)&gt;$F$6,"",INDEX(C$2:C$1018,SMALL(IF(($B$2:$B$1018=$E$6)+($B$2:$B$1018=$E$7)+($B$2:$B$1018=$E$8)+($B$2:$B$1018=$E$9)+($B$2:$B$1018=$E$10)+($B$2:$B$1018=$E$11),ROW($C$2:$C$1018)-ROW($C$2)+1),ROWS(M$20:M200))))</f>
        <v/>
      </c>
    </row>
    <row r="201" spans="1:13" x14ac:dyDescent="0.25">
      <c r="A201" s="3">
        <v>41916</v>
      </c>
      <c r="B201" s="2" t="s">
        <v>6</v>
      </c>
      <c r="C201" s="2">
        <v>23</v>
      </c>
    </row>
    <row r="202" spans="1:13" x14ac:dyDescent="0.25">
      <c r="A202" s="3">
        <v>41339</v>
      </c>
      <c r="B202" s="2" t="s">
        <v>40</v>
      </c>
      <c r="C202" s="2">
        <v>34</v>
      </c>
    </row>
    <row r="203" spans="1:13" x14ac:dyDescent="0.25">
      <c r="A203" s="3">
        <v>41823</v>
      </c>
      <c r="B203" s="2" t="s">
        <v>37</v>
      </c>
      <c r="C203" s="2">
        <v>43</v>
      </c>
    </row>
    <row r="204" spans="1:13" x14ac:dyDescent="0.25">
      <c r="A204" s="3">
        <v>41763</v>
      </c>
      <c r="B204" s="2" t="s">
        <v>29</v>
      </c>
      <c r="C204" s="2">
        <v>50</v>
      </c>
    </row>
    <row r="205" spans="1:13" x14ac:dyDescent="0.25">
      <c r="A205" s="3">
        <v>41900</v>
      </c>
      <c r="B205" s="2" t="s">
        <v>6</v>
      </c>
      <c r="C205" s="2">
        <v>36</v>
      </c>
    </row>
    <row r="206" spans="1:13" x14ac:dyDescent="0.25">
      <c r="A206" s="3">
        <v>41675</v>
      </c>
      <c r="B206" s="2" t="s">
        <v>40</v>
      </c>
      <c r="C206" s="2">
        <v>30</v>
      </c>
    </row>
    <row r="207" spans="1:13" x14ac:dyDescent="0.25">
      <c r="A207" s="3">
        <v>41340</v>
      </c>
      <c r="B207" s="2" t="s">
        <v>41</v>
      </c>
      <c r="C207" s="2">
        <v>41</v>
      </c>
    </row>
    <row r="208" spans="1:13" x14ac:dyDescent="0.25">
      <c r="A208" s="3">
        <v>41451</v>
      </c>
      <c r="B208" s="2" t="s">
        <v>37</v>
      </c>
      <c r="C208" s="2">
        <v>29</v>
      </c>
    </row>
    <row r="209" spans="1:3" x14ac:dyDescent="0.25">
      <c r="A209" s="3">
        <v>41847</v>
      </c>
      <c r="B209" s="2" t="s">
        <v>38</v>
      </c>
      <c r="C209" s="2">
        <v>16</v>
      </c>
    </row>
    <row r="210" spans="1:3" x14ac:dyDescent="0.25">
      <c r="A210" s="3">
        <v>41716</v>
      </c>
      <c r="B210" s="2" t="s">
        <v>22</v>
      </c>
      <c r="C210" s="2">
        <v>36</v>
      </c>
    </row>
    <row r="211" spans="1:3" x14ac:dyDescent="0.25">
      <c r="A211" s="3">
        <v>41767</v>
      </c>
      <c r="B211" s="2" t="s">
        <v>18</v>
      </c>
      <c r="C211" s="2">
        <v>37</v>
      </c>
    </row>
    <row r="212" spans="1:3" x14ac:dyDescent="0.25">
      <c r="A212" s="3">
        <v>41574</v>
      </c>
      <c r="B212" s="2" t="s">
        <v>26</v>
      </c>
      <c r="C212" s="2">
        <v>21</v>
      </c>
    </row>
    <row r="213" spans="1:3" x14ac:dyDescent="0.25">
      <c r="A213" s="3">
        <v>41444</v>
      </c>
      <c r="B213" s="2" t="s">
        <v>17</v>
      </c>
      <c r="C213" s="2">
        <v>18</v>
      </c>
    </row>
    <row r="214" spans="1:3" x14ac:dyDescent="0.25">
      <c r="A214" s="3">
        <v>41585</v>
      </c>
      <c r="B214" s="2" t="s">
        <v>33</v>
      </c>
      <c r="C214" s="2">
        <v>48</v>
      </c>
    </row>
    <row r="215" spans="1:3" x14ac:dyDescent="0.25">
      <c r="A215" s="3">
        <v>41690</v>
      </c>
      <c r="B215" s="2" t="s">
        <v>38</v>
      </c>
      <c r="C215" s="2">
        <v>28</v>
      </c>
    </row>
    <row r="216" spans="1:3" x14ac:dyDescent="0.25">
      <c r="A216" s="3">
        <v>41792</v>
      </c>
      <c r="B216" s="2" t="s">
        <v>42</v>
      </c>
      <c r="C216" s="2">
        <v>9</v>
      </c>
    </row>
    <row r="217" spans="1:3" x14ac:dyDescent="0.25">
      <c r="A217" s="3">
        <v>41887</v>
      </c>
      <c r="B217" s="2" t="s">
        <v>32</v>
      </c>
      <c r="C217" s="2">
        <v>12</v>
      </c>
    </row>
    <row r="218" spans="1:3" x14ac:dyDescent="0.25">
      <c r="A218" s="3">
        <v>41642</v>
      </c>
      <c r="B218" s="2" t="s">
        <v>19</v>
      </c>
      <c r="C218" s="2">
        <v>15</v>
      </c>
    </row>
    <row r="219" spans="1:3" x14ac:dyDescent="0.25">
      <c r="A219" s="3">
        <v>41959</v>
      </c>
      <c r="B219" s="2" t="s">
        <v>14</v>
      </c>
      <c r="C219" s="2">
        <v>29</v>
      </c>
    </row>
    <row r="220" spans="1:3" x14ac:dyDescent="0.25">
      <c r="A220" s="3">
        <v>41774</v>
      </c>
      <c r="B220" s="2" t="s">
        <v>32</v>
      </c>
      <c r="C220" s="2">
        <v>14</v>
      </c>
    </row>
    <row r="221" spans="1:3" x14ac:dyDescent="0.25">
      <c r="A221" s="3">
        <v>41758</v>
      </c>
      <c r="B221" s="2" t="s">
        <v>15</v>
      </c>
      <c r="C221" s="2">
        <v>30</v>
      </c>
    </row>
    <row r="222" spans="1:3" x14ac:dyDescent="0.25">
      <c r="A222" s="3">
        <v>41665</v>
      </c>
      <c r="B222" s="2" t="s">
        <v>27</v>
      </c>
      <c r="C222" s="2">
        <v>10</v>
      </c>
    </row>
    <row r="223" spans="1:3" x14ac:dyDescent="0.25">
      <c r="A223" s="3">
        <v>41836</v>
      </c>
      <c r="B223" s="2" t="s">
        <v>15</v>
      </c>
      <c r="C223" s="2">
        <v>19</v>
      </c>
    </row>
    <row r="224" spans="1:3" x14ac:dyDescent="0.25">
      <c r="A224" s="3">
        <v>41650</v>
      </c>
      <c r="B224" s="2" t="s">
        <v>30</v>
      </c>
      <c r="C224" s="2">
        <v>16</v>
      </c>
    </row>
    <row r="225" spans="1:3" x14ac:dyDescent="0.25">
      <c r="A225" s="3">
        <v>41824</v>
      </c>
      <c r="B225" s="2" t="s">
        <v>12</v>
      </c>
      <c r="C225" s="2">
        <v>17</v>
      </c>
    </row>
    <row r="226" spans="1:3" x14ac:dyDescent="0.25">
      <c r="A226" s="3">
        <v>41666</v>
      </c>
      <c r="B226" s="2" t="s">
        <v>18</v>
      </c>
      <c r="C226" s="2">
        <v>4</v>
      </c>
    </row>
    <row r="227" spans="1:3" x14ac:dyDescent="0.25">
      <c r="A227" s="3">
        <v>41354</v>
      </c>
      <c r="B227" s="2" t="s">
        <v>15</v>
      </c>
      <c r="C227" s="2">
        <v>12</v>
      </c>
    </row>
    <row r="228" spans="1:3" x14ac:dyDescent="0.25">
      <c r="A228" s="3">
        <v>41403</v>
      </c>
      <c r="B228" s="2" t="s">
        <v>43</v>
      </c>
      <c r="C228" s="2">
        <v>36</v>
      </c>
    </row>
    <row r="229" spans="1:3" x14ac:dyDescent="0.25">
      <c r="A229" s="3">
        <v>41889</v>
      </c>
      <c r="B229" s="2" t="s">
        <v>43</v>
      </c>
      <c r="C229" s="2">
        <v>9</v>
      </c>
    </row>
    <row r="230" spans="1:3" x14ac:dyDescent="0.25">
      <c r="A230" s="3">
        <v>41825</v>
      </c>
      <c r="B230" s="2" t="s">
        <v>12</v>
      </c>
      <c r="C230" s="2">
        <v>12</v>
      </c>
    </row>
    <row r="231" spans="1:3" x14ac:dyDescent="0.25">
      <c r="A231" s="3">
        <v>41792</v>
      </c>
      <c r="B231" s="2" t="s">
        <v>41</v>
      </c>
      <c r="C231" s="2">
        <v>9</v>
      </c>
    </row>
    <row r="232" spans="1:3" x14ac:dyDescent="0.25">
      <c r="A232" s="3">
        <v>41658</v>
      </c>
      <c r="B232" s="2" t="s">
        <v>9</v>
      </c>
      <c r="C232" s="2">
        <v>25</v>
      </c>
    </row>
    <row r="233" spans="1:3" x14ac:dyDescent="0.25">
      <c r="A233" s="3">
        <v>41429</v>
      </c>
      <c r="B233" s="2" t="s">
        <v>12</v>
      </c>
      <c r="C233" s="2">
        <v>4</v>
      </c>
    </row>
    <row r="234" spans="1:3" x14ac:dyDescent="0.25">
      <c r="A234" s="3">
        <v>41563</v>
      </c>
      <c r="B234" s="2" t="s">
        <v>22</v>
      </c>
      <c r="C234" s="2">
        <v>38</v>
      </c>
    </row>
    <row r="235" spans="1:3" x14ac:dyDescent="0.25">
      <c r="A235" s="3">
        <v>41436</v>
      </c>
      <c r="B235" s="2" t="s">
        <v>47</v>
      </c>
      <c r="C235" s="2">
        <v>24</v>
      </c>
    </row>
    <row r="236" spans="1:3" x14ac:dyDescent="0.25">
      <c r="A236" s="3">
        <v>41616</v>
      </c>
      <c r="B236" s="2" t="s">
        <v>42</v>
      </c>
      <c r="C236" s="2">
        <v>50</v>
      </c>
    </row>
    <row r="237" spans="1:3" x14ac:dyDescent="0.25">
      <c r="A237" s="3">
        <v>41599</v>
      </c>
      <c r="B237" s="2" t="s">
        <v>44</v>
      </c>
      <c r="C237" s="2">
        <v>24</v>
      </c>
    </row>
    <row r="238" spans="1:3" x14ac:dyDescent="0.25">
      <c r="A238" s="3">
        <v>41682</v>
      </c>
      <c r="B238" s="2" t="s">
        <v>33</v>
      </c>
      <c r="C238" s="2">
        <v>25</v>
      </c>
    </row>
    <row r="239" spans="1:3" x14ac:dyDescent="0.25">
      <c r="A239" s="3">
        <v>41486</v>
      </c>
      <c r="B239" s="2" t="s">
        <v>44</v>
      </c>
      <c r="C239" s="2">
        <v>11</v>
      </c>
    </row>
    <row r="240" spans="1:3" x14ac:dyDescent="0.25">
      <c r="A240" s="3">
        <v>41490</v>
      </c>
      <c r="B240" s="2" t="s">
        <v>29</v>
      </c>
      <c r="C240" s="2">
        <v>41</v>
      </c>
    </row>
    <row r="241" spans="1:3" x14ac:dyDescent="0.25">
      <c r="A241" s="3">
        <v>41413</v>
      </c>
      <c r="B241" s="2" t="s">
        <v>5</v>
      </c>
      <c r="C241" s="2">
        <v>12</v>
      </c>
    </row>
    <row r="242" spans="1:3" x14ac:dyDescent="0.25">
      <c r="A242" s="3">
        <v>41625</v>
      </c>
      <c r="B242" s="2" t="s">
        <v>5</v>
      </c>
      <c r="C242" s="2">
        <v>47</v>
      </c>
    </row>
    <row r="243" spans="1:3" x14ac:dyDescent="0.25">
      <c r="A243" s="3">
        <v>41748</v>
      </c>
      <c r="B243" s="2" t="s">
        <v>33</v>
      </c>
      <c r="C243" s="2">
        <v>32</v>
      </c>
    </row>
    <row r="244" spans="1:3" x14ac:dyDescent="0.25">
      <c r="A244" s="3">
        <v>41655</v>
      </c>
      <c r="B244" s="2" t="s">
        <v>11</v>
      </c>
      <c r="C244" s="2">
        <v>24</v>
      </c>
    </row>
    <row r="245" spans="1:3" x14ac:dyDescent="0.25">
      <c r="A245" s="3">
        <v>41949</v>
      </c>
      <c r="B245" s="2" t="s">
        <v>14</v>
      </c>
      <c r="C245" s="2">
        <v>18</v>
      </c>
    </row>
    <row r="246" spans="1:3" x14ac:dyDescent="0.25">
      <c r="A246" s="3">
        <v>41600</v>
      </c>
      <c r="B246" s="2" t="s">
        <v>25</v>
      </c>
      <c r="C246" s="2">
        <v>37</v>
      </c>
    </row>
    <row r="247" spans="1:3" x14ac:dyDescent="0.25">
      <c r="A247" s="3">
        <v>41415</v>
      </c>
      <c r="B247" s="2" t="s">
        <v>40</v>
      </c>
      <c r="C247" s="2">
        <v>58</v>
      </c>
    </row>
    <row r="248" spans="1:3" x14ac:dyDescent="0.25">
      <c r="A248" s="3">
        <v>41990</v>
      </c>
      <c r="B248" s="2" t="s">
        <v>29</v>
      </c>
      <c r="C248" s="2">
        <v>1</v>
      </c>
    </row>
    <row r="249" spans="1:3" x14ac:dyDescent="0.25">
      <c r="A249" s="3">
        <v>41372</v>
      </c>
      <c r="B249" s="2" t="s">
        <v>7</v>
      </c>
      <c r="C249" s="2">
        <v>28</v>
      </c>
    </row>
    <row r="250" spans="1:3" x14ac:dyDescent="0.25">
      <c r="A250" s="3">
        <v>41377</v>
      </c>
      <c r="B250" s="2" t="s">
        <v>21</v>
      </c>
      <c r="C250" s="2">
        <v>13</v>
      </c>
    </row>
    <row r="251" spans="1:3" x14ac:dyDescent="0.25">
      <c r="A251" s="3">
        <v>41935</v>
      </c>
      <c r="B251" s="2" t="s">
        <v>12</v>
      </c>
      <c r="C251" s="2">
        <v>48</v>
      </c>
    </row>
    <row r="252" spans="1:3" x14ac:dyDescent="0.25">
      <c r="A252" s="3">
        <v>41745</v>
      </c>
      <c r="B252" s="2" t="s">
        <v>38</v>
      </c>
      <c r="C252" s="2">
        <v>11</v>
      </c>
    </row>
    <row r="253" spans="1:3" x14ac:dyDescent="0.25">
      <c r="A253" s="3">
        <v>41604</v>
      </c>
      <c r="B253" s="2" t="s">
        <v>32</v>
      </c>
      <c r="C253" s="2">
        <v>14</v>
      </c>
    </row>
    <row r="254" spans="1:3" x14ac:dyDescent="0.25">
      <c r="A254" s="3">
        <v>41815</v>
      </c>
      <c r="B254" s="2" t="s">
        <v>19</v>
      </c>
      <c r="C254" s="2">
        <v>44</v>
      </c>
    </row>
    <row r="255" spans="1:3" x14ac:dyDescent="0.25">
      <c r="A255" s="3">
        <v>41367</v>
      </c>
      <c r="B255" s="2" t="s">
        <v>17</v>
      </c>
      <c r="C255" s="2">
        <v>21</v>
      </c>
    </row>
    <row r="256" spans="1:3" x14ac:dyDescent="0.25">
      <c r="A256" s="3">
        <v>41601</v>
      </c>
      <c r="B256" s="2" t="s">
        <v>47</v>
      </c>
      <c r="C256" s="2">
        <v>46</v>
      </c>
    </row>
    <row r="257" spans="1:3" x14ac:dyDescent="0.25">
      <c r="A257" s="3">
        <v>41912</v>
      </c>
      <c r="B257" s="2" t="s">
        <v>7</v>
      </c>
      <c r="C257" s="2">
        <v>14</v>
      </c>
    </row>
    <row r="258" spans="1:3" x14ac:dyDescent="0.25">
      <c r="A258" s="3">
        <v>41314</v>
      </c>
      <c r="B258" s="2" t="s">
        <v>24</v>
      </c>
      <c r="C258" s="2">
        <v>8</v>
      </c>
    </row>
    <row r="259" spans="1:3" x14ac:dyDescent="0.25">
      <c r="A259" s="3">
        <v>41681</v>
      </c>
      <c r="B259" s="2" t="s">
        <v>35</v>
      </c>
      <c r="C259" s="2">
        <v>27</v>
      </c>
    </row>
    <row r="260" spans="1:3" x14ac:dyDescent="0.25">
      <c r="A260" s="3">
        <v>41276</v>
      </c>
      <c r="B260" s="2" t="s">
        <v>28</v>
      </c>
      <c r="C260" s="2">
        <v>27</v>
      </c>
    </row>
    <row r="261" spans="1:3" x14ac:dyDescent="0.25">
      <c r="A261" s="3">
        <v>41393</v>
      </c>
      <c r="B261" s="2" t="s">
        <v>44</v>
      </c>
      <c r="C261" s="2">
        <v>10</v>
      </c>
    </row>
    <row r="262" spans="1:3" x14ac:dyDescent="0.25">
      <c r="A262" s="3">
        <v>41710</v>
      </c>
      <c r="B262" s="2" t="s">
        <v>21</v>
      </c>
      <c r="C262" s="2">
        <v>11</v>
      </c>
    </row>
    <row r="263" spans="1:3" x14ac:dyDescent="0.25">
      <c r="A263" s="3">
        <v>41987</v>
      </c>
      <c r="B263" s="2" t="s">
        <v>41</v>
      </c>
      <c r="C263" s="2">
        <v>13</v>
      </c>
    </row>
    <row r="264" spans="1:3" x14ac:dyDescent="0.25">
      <c r="A264" s="3">
        <v>41676</v>
      </c>
      <c r="B264" s="2" t="s">
        <v>12</v>
      </c>
      <c r="C264" s="2">
        <v>1</v>
      </c>
    </row>
    <row r="265" spans="1:3" x14ac:dyDescent="0.25">
      <c r="A265" s="3">
        <v>41866</v>
      </c>
      <c r="B265" s="2" t="s">
        <v>44</v>
      </c>
      <c r="C265" s="2">
        <v>40</v>
      </c>
    </row>
    <row r="266" spans="1:3" x14ac:dyDescent="0.25">
      <c r="A266" s="3">
        <v>41482</v>
      </c>
      <c r="B266" s="2" t="s">
        <v>13</v>
      </c>
      <c r="C266" s="2">
        <v>26</v>
      </c>
    </row>
    <row r="267" spans="1:3" x14ac:dyDescent="0.25">
      <c r="A267" s="3">
        <v>41521</v>
      </c>
      <c r="B267" s="2" t="s">
        <v>51</v>
      </c>
      <c r="C267" s="2">
        <v>1</v>
      </c>
    </row>
    <row r="268" spans="1:3" x14ac:dyDescent="0.25">
      <c r="A268" s="3">
        <v>41433</v>
      </c>
      <c r="B268" s="2" t="s">
        <v>36</v>
      </c>
      <c r="C268" s="2">
        <v>29</v>
      </c>
    </row>
    <row r="269" spans="1:3" x14ac:dyDescent="0.25">
      <c r="A269" s="3">
        <v>41393</v>
      </c>
      <c r="B269" s="2" t="s">
        <v>11</v>
      </c>
      <c r="C269" s="2">
        <v>45</v>
      </c>
    </row>
    <row r="270" spans="1:3" x14ac:dyDescent="0.25">
      <c r="A270" s="3">
        <v>41484</v>
      </c>
      <c r="B270" s="2" t="s">
        <v>51</v>
      </c>
      <c r="C270" s="2">
        <v>46</v>
      </c>
    </row>
    <row r="271" spans="1:3" x14ac:dyDescent="0.25">
      <c r="A271" s="3">
        <v>41630</v>
      </c>
      <c r="B271" s="2" t="s">
        <v>25</v>
      </c>
      <c r="C271" s="2">
        <v>28</v>
      </c>
    </row>
    <row r="272" spans="1:3" x14ac:dyDescent="0.25">
      <c r="A272" s="3">
        <v>41753</v>
      </c>
      <c r="B272" s="2" t="s">
        <v>6</v>
      </c>
      <c r="C272" s="2">
        <v>7</v>
      </c>
    </row>
    <row r="273" spans="1:3" x14ac:dyDescent="0.25">
      <c r="A273" s="3">
        <v>41723</v>
      </c>
      <c r="B273" s="2" t="s">
        <v>2</v>
      </c>
      <c r="C273" s="2">
        <v>30</v>
      </c>
    </row>
    <row r="274" spans="1:3" x14ac:dyDescent="0.25">
      <c r="A274" s="3">
        <v>41955</v>
      </c>
      <c r="B274" s="2" t="s">
        <v>24</v>
      </c>
      <c r="C274" s="2">
        <v>46</v>
      </c>
    </row>
    <row r="275" spans="1:3" x14ac:dyDescent="0.25">
      <c r="A275" s="3">
        <v>41835</v>
      </c>
      <c r="B275" s="2" t="s">
        <v>16</v>
      </c>
      <c r="C275" s="2">
        <v>18</v>
      </c>
    </row>
    <row r="276" spans="1:3" x14ac:dyDescent="0.25">
      <c r="A276" s="3">
        <v>41588</v>
      </c>
      <c r="B276" s="2" t="s">
        <v>12</v>
      </c>
      <c r="C276" s="2">
        <v>32</v>
      </c>
    </row>
    <row r="277" spans="1:3" x14ac:dyDescent="0.25">
      <c r="A277" s="3">
        <v>41549</v>
      </c>
      <c r="B277" s="2" t="s">
        <v>50</v>
      </c>
      <c r="C277" s="2">
        <v>44</v>
      </c>
    </row>
    <row r="278" spans="1:3" x14ac:dyDescent="0.25">
      <c r="A278" s="3">
        <v>41342</v>
      </c>
      <c r="B278" s="2" t="s">
        <v>6</v>
      </c>
      <c r="C278" s="2">
        <v>5</v>
      </c>
    </row>
    <row r="279" spans="1:3" x14ac:dyDescent="0.25">
      <c r="A279" s="3">
        <v>41647</v>
      </c>
      <c r="B279" s="2" t="s">
        <v>15</v>
      </c>
      <c r="C279" s="2">
        <v>23</v>
      </c>
    </row>
    <row r="280" spans="1:3" x14ac:dyDescent="0.25">
      <c r="A280" s="3">
        <v>41438</v>
      </c>
      <c r="B280" s="2" t="s">
        <v>14</v>
      </c>
      <c r="C280" s="2">
        <v>22</v>
      </c>
    </row>
    <row r="281" spans="1:3" x14ac:dyDescent="0.25">
      <c r="A281" s="3">
        <v>41758</v>
      </c>
      <c r="B281" s="2" t="s">
        <v>43</v>
      </c>
      <c r="C281" s="2">
        <v>42</v>
      </c>
    </row>
    <row r="282" spans="1:3" x14ac:dyDescent="0.25">
      <c r="A282" s="3">
        <v>41715</v>
      </c>
      <c r="B282" s="2" t="s">
        <v>42</v>
      </c>
      <c r="C282" s="2">
        <v>61</v>
      </c>
    </row>
    <row r="283" spans="1:3" x14ac:dyDescent="0.25">
      <c r="A283" s="3">
        <v>41320</v>
      </c>
      <c r="B283" s="2" t="s">
        <v>11</v>
      </c>
      <c r="C283" s="2">
        <v>40</v>
      </c>
    </row>
    <row r="284" spans="1:3" x14ac:dyDescent="0.25">
      <c r="A284" s="3">
        <v>41544</v>
      </c>
      <c r="B284" s="2" t="s">
        <v>23</v>
      </c>
      <c r="C284" s="2">
        <v>20</v>
      </c>
    </row>
    <row r="285" spans="1:3" x14ac:dyDescent="0.25">
      <c r="A285" s="3">
        <v>41548</v>
      </c>
      <c r="B285" s="2" t="s">
        <v>50</v>
      </c>
      <c r="C285" s="2">
        <v>29</v>
      </c>
    </row>
    <row r="286" spans="1:3" x14ac:dyDescent="0.25">
      <c r="A286" s="3">
        <v>41543</v>
      </c>
      <c r="B286" s="2" t="s">
        <v>7</v>
      </c>
      <c r="C286" s="2">
        <v>23</v>
      </c>
    </row>
    <row r="287" spans="1:3" x14ac:dyDescent="0.25">
      <c r="A287" s="3">
        <v>41965</v>
      </c>
      <c r="B287" s="2" t="s">
        <v>14</v>
      </c>
      <c r="C287" s="2">
        <v>45</v>
      </c>
    </row>
    <row r="288" spans="1:3" x14ac:dyDescent="0.25">
      <c r="A288" s="3">
        <v>41465</v>
      </c>
      <c r="B288" s="2" t="s">
        <v>34</v>
      </c>
      <c r="C288" s="2">
        <v>38</v>
      </c>
    </row>
    <row r="289" spans="1:3" x14ac:dyDescent="0.25">
      <c r="A289" s="3">
        <v>41563</v>
      </c>
      <c r="B289" s="2" t="s">
        <v>13</v>
      </c>
      <c r="C289" s="2">
        <v>22</v>
      </c>
    </row>
    <row r="290" spans="1:3" x14ac:dyDescent="0.25">
      <c r="A290" s="3">
        <v>41672</v>
      </c>
      <c r="B290" s="2" t="s">
        <v>4</v>
      </c>
      <c r="C290" s="2">
        <v>36</v>
      </c>
    </row>
    <row r="291" spans="1:3" x14ac:dyDescent="0.25">
      <c r="A291" s="3">
        <v>41613</v>
      </c>
      <c r="B291" s="2" t="s">
        <v>13</v>
      </c>
      <c r="C291" s="2">
        <v>41</v>
      </c>
    </row>
    <row r="292" spans="1:3" x14ac:dyDescent="0.25">
      <c r="A292" s="3">
        <v>41538</v>
      </c>
      <c r="B292" s="2" t="s">
        <v>28</v>
      </c>
      <c r="C292" s="2">
        <v>38</v>
      </c>
    </row>
    <row r="293" spans="1:3" x14ac:dyDescent="0.25">
      <c r="A293" s="3">
        <v>41555</v>
      </c>
      <c r="B293" s="2" t="s">
        <v>11</v>
      </c>
      <c r="C293" s="2">
        <v>33</v>
      </c>
    </row>
    <row r="294" spans="1:3" x14ac:dyDescent="0.25">
      <c r="A294" s="3">
        <v>41722</v>
      </c>
      <c r="B294" s="2" t="s">
        <v>3</v>
      </c>
      <c r="C294" s="2">
        <v>21</v>
      </c>
    </row>
    <row r="295" spans="1:3" x14ac:dyDescent="0.25">
      <c r="A295" s="3">
        <v>41668</v>
      </c>
      <c r="B295" s="2" t="s">
        <v>17</v>
      </c>
      <c r="C295" s="2">
        <v>2</v>
      </c>
    </row>
    <row r="296" spans="1:3" x14ac:dyDescent="0.25">
      <c r="A296" s="3">
        <v>41999</v>
      </c>
      <c r="B296" s="2" t="s">
        <v>49</v>
      </c>
      <c r="C296" s="2">
        <v>20</v>
      </c>
    </row>
    <row r="297" spans="1:3" x14ac:dyDescent="0.25">
      <c r="A297" s="3">
        <v>41793</v>
      </c>
      <c r="B297" s="2" t="s">
        <v>16</v>
      </c>
      <c r="C297" s="2">
        <v>30</v>
      </c>
    </row>
    <row r="298" spans="1:3" x14ac:dyDescent="0.25">
      <c r="A298" s="3">
        <v>41441</v>
      </c>
      <c r="B298" s="2" t="s">
        <v>29</v>
      </c>
      <c r="C298" s="2">
        <v>26</v>
      </c>
    </row>
    <row r="299" spans="1:3" x14ac:dyDescent="0.25">
      <c r="A299" s="3">
        <v>41381</v>
      </c>
      <c r="B299" s="2" t="s">
        <v>37</v>
      </c>
      <c r="C299" s="2">
        <v>1</v>
      </c>
    </row>
    <row r="300" spans="1:3" x14ac:dyDescent="0.25">
      <c r="A300" s="3">
        <v>41373</v>
      </c>
      <c r="B300" s="2" t="s">
        <v>51</v>
      </c>
      <c r="C300" s="2">
        <v>22</v>
      </c>
    </row>
    <row r="301" spans="1:3" x14ac:dyDescent="0.25">
      <c r="A301" s="3">
        <v>41661</v>
      </c>
      <c r="B301" s="2" t="s">
        <v>48</v>
      </c>
      <c r="C301" s="2">
        <v>11</v>
      </c>
    </row>
    <row r="302" spans="1:3" x14ac:dyDescent="0.25">
      <c r="A302" s="3">
        <v>41678</v>
      </c>
      <c r="B302" s="2" t="s">
        <v>20</v>
      </c>
      <c r="C302" s="2">
        <v>45</v>
      </c>
    </row>
    <row r="303" spans="1:3" x14ac:dyDescent="0.25">
      <c r="A303" s="3">
        <v>41892</v>
      </c>
      <c r="B303" s="2" t="s">
        <v>12</v>
      </c>
      <c r="C303" s="2">
        <v>26</v>
      </c>
    </row>
    <row r="304" spans="1:3" x14ac:dyDescent="0.25">
      <c r="A304" s="3">
        <v>41877</v>
      </c>
      <c r="B304" s="2" t="s">
        <v>25</v>
      </c>
      <c r="C304" s="2">
        <v>24</v>
      </c>
    </row>
    <row r="305" spans="1:3" x14ac:dyDescent="0.25">
      <c r="A305" s="3">
        <v>41595</v>
      </c>
      <c r="B305" s="2" t="s">
        <v>34</v>
      </c>
      <c r="C305" s="2">
        <v>30</v>
      </c>
    </row>
    <row r="306" spans="1:3" x14ac:dyDescent="0.25">
      <c r="A306" s="3">
        <v>41759</v>
      </c>
      <c r="B306" s="2" t="s">
        <v>27</v>
      </c>
      <c r="C306" s="2">
        <v>37</v>
      </c>
    </row>
    <row r="307" spans="1:3" x14ac:dyDescent="0.25">
      <c r="A307" s="3">
        <v>41950</v>
      </c>
      <c r="B307" s="2" t="s">
        <v>13</v>
      </c>
      <c r="C307" s="2">
        <v>38</v>
      </c>
    </row>
    <row r="308" spans="1:3" x14ac:dyDescent="0.25">
      <c r="A308" s="3">
        <v>41565</v>
      </c>
      <c r="B308" s="2" t="s">
        <v>35</v>
      </c>
      <c r="C308" s="2">
        <v>26</v>
      </c>
    </row>
    <row r="309" spans="1:3" x14ac:dyDescent="0.25">
      <c r="A309" s="3">
        <v>41296</v>
      </c>
      <c r="B309" s="2" t="s">
        <v>50</v>
      </c>
      <c r="C309" s="2">
        <v>13</v>
      </c>
    </row>
    <row r="310" spans="1:3" x14ac:dyDescent="0.25">
      <c r="A310" s="3">
        <v>41537</v>
      </c>
      <c r="B310" s="2" t="s">
        <v>37</v>
      </c>
      <c r="C310" s="2">
        <v>37</v>
      </c>
    </row>
    <row r="311" spans="1:3" x14ac:dyDescent="0.25">
      <c r="A311" s="3">
        <v>41541</v>
      </c>
      <c r="B311" s="2" t="s">
        <v>51</v>
      </c>
      <c r="C311" s="2">
        <v>49</v>
      </c>
    </row>
    <row r="312" spans="1:3" x14ac:dyDescent="0.25">
      <c r="A312" s="3">
        <v>41662</v>
      </c>
      <c r="B312" s="2" t="s">
        <v>32</v>
      </c>
      <c r="C312" s="2">
        <v>35</v>
      </c>
    </row>
    <row r="313" spans="1:3" x14ac:dyDescent="0.25">
      <c r="A313" s="3">
        <v>41809</v>
      </c>
      <c r="B313" s="2" t="s">
        <v>30</v>
      </c>
      <c r="C313" s="2">
        <v>29</v>
      </c>
    </row>
    <row r="314" spans="1:3" x14ac:dyDescent="0.25">
      <c r="A314" s="3">
        <v>41726</v>
      </c>
      <c r="B314" s="2" t="s">
        <v>50</v>
      </c>
      <c r="C314" s="2">
        <v>32</v>
      </c>
    </row>
    <row r="315" spans="1:3" x14ac:dyDescent="0.25">
      <c r="A315" s="3">
        <v>41608</v>
      </c>
      <c r="B315" s="2" t="s">
        <v>7</v>
      </c>
      <c r="C315" s="2">
        <v>25</v>
      </c>
    </row>
    <row r="316" spans="1:3" x14ac:dyDescent="0.25">
      <c r="A316" s="3">
        <v>41809</v>
      </c>
      <c r="B316" s="2" t="s">
        <v>50</v>
      </c>
      <c r="C316" s="2">
        <v>25</v>
      </c>
    </row>
    <row r="317" spans="1:3" x14ac:dyDescent="0.25">
      <c r="A317" s="3">
        <v>41785</v>
      </c>
      <c r="B317" s="2" t="s">
        <v>39</v>
      </c>
      <c r="C317" s="2">
        <v>32</v>
      </c>
    </row>
    <row r="318" spans="1:3" x14ac:dyDescent="0.25">
      <c r="A318" s="3">
        <v>41404</v>
      </c>
      <c r="B318" s="2" t="s">
        <v>31</v>
      </c>
      <c r="C318" s="2">
        <v>31</v>
      </c>
    </row>
    <row r="319" spans="1:3" x14ac:dyDescent="0.25">
      <c r="A319" s="3">
        <v>41526</v>
      </c>
      <c r="B319" s="2" t="s">
        <v>29</v>
      </c>
      <c r="C319" s="2">
        <v>35</v>
      </c>
    </row>
    <row r="320" spans="1:3" x14ac:dyDescent="0.25">
      <c r="A320" s="3">
        <v>41398</v>
      </c>
      <c r="B320" s="2" t="s">
        <v>3</v>
      </c>
      <c r="C320" s="2">
        <v>42</v>
      </c>
    </row>
    <row r="321" spans="1:3" x14ac:dyDescent="0.25">
      <c r="A321" s="3">
        <v>41981</v>
      </c>
      <c r="B321" s="2" t="s">
        <v>24</v>
      </c>
      <c r="C321" s="2">
        <v>54</v>
      </c>
    </row>
    <row r="322" spans="1:3" x14ac:dyDescent="0.25">
      <c r="A322" s="3">
        <v>41545</v>
      </c>
      <c r="B322" s="2" t="s">
        <v>15</v>
      </c>
      <c r="C322" s="2">
        <v>27</v>
      </c>
    </row>
    <row r="323" spans="1:3" x14ac:dyDescent="0.25">
      <c r="A323" s="3">
        <v>41379</v>
      </c>
      <c r="B323" s="2" t="s">
        <v>20</v>
      </c>
      <c r="C323" s="2">
        <v>24</v>
      </c>
    </row>
    <row r="324" spans="1:3" x14ac:dyDescent="0.25">
      <c r="A324" s="3">
        <v>41279</v>
      </c>
      <c r="B324" s="2" t="s">
        <v>43</v>
      </c>
      <c r="C324" s="2">
        <v>18</v>
      </c>
    </row>
    <row r="325" spans="1:3" x14ac:dyDescent="0.25">
      <c r="A325" s="3">
        <v>41668</v>
      </c>
      <c r="B325" s="2" t="s">
        <v>6</v>
      </c>
      <c r="C325" s="2">
        <v>2</v>
      </c>
    </row>
    <row r="326" spans="1:3" x14ac:dyDescent="0.25">
      <c r="A326" s="3">
        <v>41716</v>
      </c>
      <c r="B326" s="2" t="s">
        <v>49</v>
      </c>
      <c r="C326" s="2">
        <v>17</v>
      </c>
    </row>
    <row r="327" spans="1:3" x14ac:dyDescent="0.25">
      <c r="A327" s="3">
        <v>41841</v>
      </c>
      <c r="B327" s="2" t="s">
        <v>30</v>
      </c>
      <c r="C327" s="2">
        <v>17</v>
      </c>
    </row>
    <row r="328" spans="1:3" x14ac:dyDescent="0.25">
      <c r="A328" s="3">
        <v>41611</v>
      </c>
      <c r="B328" s="2" t="s">
        <v>28</v>
      </c>
      <c r="C328" s="2">
        <v>27</v>
      </c>
    </row>
    <row r="329" spans="1:3" x14ac:dyDescent="0.25">
      <c r="A329" s="3">
        <v>41604</v>
      </c>
      <c r="B329" s="2" t="s">
        <v>27</v>
      </c>
      <c r="C329" s="2">
        <v>29</v>
      </c>
    </row>
    <row r="330" spans="1:3" x14ac:dyDescent="0.25">
      <c r="A330" s="3">
        <v>41497</v>
      </c>
      <c r="B330" s="2" t="s">
        <v>51</v>
      </c>
      <c r="C330" s="2">
        <v>37</v>
      </c>
    </row>
    <row r="331" spans="1:3" x14ac:dyDescent="0.25">
      <c r="A331" s="3">
        <v>41823</v>
      </c>
      <c r="B331" s="2" t="s">
        <v>27</v>
      </c>
      <c r="C331" s="2">
        <v>37</v>
      </c>
    </row>
    <row r="332" spans="1:3" x14ac:dyDescent="0.25">
      <c r="A332" s="3">
        <v>41624</v>
      </c>
      <c r="B332" s="2" t="s">
        <v>15</v>
      </c>
      <c r="C332" s="2">
        <v>14</v>
      </c>
    </row>
    <row r="333" spans="1:3" x14ac:dyDescent="0.25">
      <c r="A333" s="3">
        <v>41321</v>
      </c>
      <c r="B333" s="2" t="s">
        <v>11</v>
      </c>
      <c r="C333" s="2">
        <v>21</v>
      </c>
    </row>
    <row r="334" spans="1:3" x14ac:dyDescent="0.25">
      <c r="A334" s="3">
        <v>41889</v>
      </c>
      <c r="B334" s="2" t="s">
        <v>50</v>
      </c>
      <c r="C334" s="2">
        <v>23</v>
      </c>
    </row>
    <row r="335" spans="1:3" x14ac:dyDescent="0.25">
      <c r="A335" s="3">
        <v>41533</v>
      </c>
      <c r="B335" s="2" t="s">
        <v>8</v>
      </c>
      <c r="C335" s="2">
        <v>17</v>
      </c>
    </row>
    <row r="336" spans="1:3" x14ac:dyDescent="0.25">
      <c r="A336" s="3">
        <v>41539</v>
      </c>
      <c r="B336" s="2" t="s">
        <v>21</v>
      </c>
      <c r="C336" s="2">
        <v>23</v>
      </c>
    </row>
    <row r="337" spans="1:3" x14ac:dyDescent="0.25">
      <c r="A337" s="3">
        <v>41977</v>
      </c>
      <c r="B337" s="2" t="s">
        <v>26</v>
      </c>
      <c r="C337" s="2">
        <v>23</v>
      </c>
    </row>
    <row r="338" spans="1:3" x14ac:dyDescent="0.25">
      <c r="A338" s="3">
        <v>41478</v>
      </c>
      <c r="B338" s="2" t="s">
        <v>29</v>
      </c>
      <c r="C338" s="2">
        <v>32</v>
      </c>
    </row>
    <row r="339" spans="1:3" x14ac:dyDescent="0.25">
      <c r="A339" s="3">
        <v>41623</v>
      </c>
      <c r="B339" s="2" t="s">
        <v>6</v>
      </c>
      <c r="C339" s="2">
        <v>41</v>
      </c>
    </row>
    <row r="340" spans="1:3" x14ac:dyDescent="0.25">
      <c r="A340" s="3">
        <v>41839</v>
      </c>
      <c r="B340" s="2" t="s">
        <v>36</v>
      </c>
      <c r="C340" s="2">
        <v>25</v>
      </c>
    </row>
    <row r="341" spans="1:3" x14ac:dyDescent="0.25">
      <c r="A341" s="3">
        <v>41732</v>
      </c>
      <c r="B341" s="2" t="s">
        <v>46</v>
      </c>
      <c r="C341" s="2">
        <v>10</v>
      </c>
    </row>
    <row r="342" spans="1:3" x14ac:dyDescent="0.25">
      <c r="A342" s="3">
        <v>41714</v>
      </c>
      <c r="B342" s="2" t="s">
        <v>44</v>
      </c>
      <c r="C342" s="2">
        <v>52</v>
      </c>
    </row>
    <row r="343" spans="1:3" x14ac:dyDescent="0.25">
      <c r="A343" s="3">
        <v>41919</v>
      </c>
      <c r="B343" s="2" t="s">
        <v>26</v>
      </c>
      <c r="C343" s="2">
        <v>39</v>
      </c>
    </row>
    <row r="344" spans="1:3" x14ac:dyDescent="0.25">
      <c r="A344" s="3">
        <v>41855</v>
      </c>
      <c r="B344" s="2" t="s">
        <v>27</v>
      </c>
      <c r="C344" s="2">
        <v>60</v>
      </c>
    </row>
    <row r="345" spans="1:3" x14ac:dyDescent="0.25">
      <c r="A345" s="3">
        <v>41461</v>
      </c>
      <c r="B345" s="2" t="s">
        <v>2</v>
      </c>
      <c r="C345" s="2">
        <v>28</v>
      </c>
    </row>
    <row r="346" spans="1:3" x14ac:dyDescent="0.25">
      <c r="A346" s="3">
        <v>41459</v>
      </c>
      <c r="B346" s="2" t="s">
        <v>40</v>
      </c>
      <c r="C346" s="2">
        <v>29</v>
      </c>
    </row>
    <row r="347" spans="1:3" x14ac:dyDescent="0.25">
      <c r="A347" s="3">
        <v>41731</v>
      </c>
      <c r="B347" s="2" t="s">
        <v>22</v>
      </c>
      <c r="C347" s="2">
        <v>5</v>
      </c>
    </row>
    <row r="348" spans="1:3" x14ac:dyDescent="0.25">
      <c r="A348" s="3">
        <v>41814</v>
      </c>
      <c r="B348" s="2" t="s">
        <v>40</v>
      </c>
      <c r="C348" s="2">
        <v>43</v>
      </c>
    </row>
    <row r="349" spans="1:3" x14ac:dyDescent="0.25">
      <c r="A349" s="3">
        <v>41713</v>
      </c>
      <c r="B349" s="2" t="s">
        <v>49</v>
      </c>
      <c r="C349" s="2">
        <v>49</v>
      </c>
    </row>
    <row r="350" spans="1:3" x14ac:dyDescent="0.25">
      <c r="A350" s="3">
        <v>41958</v>
      </c>
      <c r="B350" s="2" t="s">
        <v>10</v>
      </c>
      <c r="C350" s="2">
        <v>34</v>
      </c>
    </row>
    <row r="351" spans="1:3" x14ac:dyDescent="0.25">
      <c r="A351" s="3">
        <v>41480</v>
      </c>
      <c r="B351" s="2" t="s">
        <v>43</v>
      </c>
      <c r="C351" s="2">
        <v>31</v>
      </c>
    </row>
    <row r="352" spans="1:3" x14ac:dyDescent="0.25">
      <c r="A352" s="3">
        <v>41608</v>
      </c>
      <c r="B352" s="2" t="s">
        <v>46</v>
      </c>
      <c r="C352" s="2">
        <v>2</v>
      </c>
    </row>
    <row r="353" spans="1:3" x14ac:dyDescent="0.25">
      <c r="A353" s="3">
        <v>41388</v>
      </c>
      <c r="B353" s="2" t="s">
        <v>36</v>
      </c>
      <c r="C353" s="2">
        <v>5</v>
      </c>
    </row>
    <row r="354" spans="1:3" x14ac:dyDescent="0.25">
      <c r="A354" s="3">
        <v>41683</v>
      </c>
      <c r="B354" s="2" t="s">
        <v>49</v>
      </c>
      <c r="C354" s="2">
        <v>34</v>
      </c>
    </row>
    <row r="355" spans="1:3" x14ac:dyDescent="0.25">
      <c r="A355" s="3">
        <v>41414</v>
      </c>
      <c r="B355" s="2" t="s">
        <v>30</v>
      </c>
      <c r="C355" s="2">
        <v>44</v>
      </c>
    </row>
    <row r="356" spans="1:3" x14ac:dyDescent="0.25">
      <c r="A356" s="3">
        <v>41303</v>
      </c>
      <c r="B356" s="2" t="s">
        <v>6</v>
      </c>
      <c r="C356" s="2">
        <v>19</v>
      </c>
    </row>
    <row r="357" spans="1:3" x14ac:dyDescent="0.25">
      <c r="A357" s="3">
        <v>41308</v>
      </c>
      <c r="B357" s="2" t="s">
        <v>37</v>
      </c>
      <c r="C357" s="2">
        <v>2</v>
      </c>
    </row>
    <row r="358" spans="1:3" x14ac:dyDescent="0.25">
      <c r="A358" s="3">
        <v>41423</v>
      </c>
      <c r="B358" s="2" t="s">
        <v>28</v>
      </c>
      <c r="C358" s="2">
        <v>19</v>
      </c>
    </row>
    <row r="359" spans="1:3" x14ac:dyDescent="0.25">
      <c r="A359" s="3">
        <v>41849</v>
      </c>
      <c r="B359" s="2" t="s">
        <v>5</v>
      </c>
      <c r="C359" s="2">
        <v>44</v>
      </c>
    </row>
    <row r="360" spans="1:3" x14ac:dyDescent="0.25">
      <c r="A360" s="3">
        <v>41796</v>
      </c>
      <c r="B360" s="2" t="s">
        <v>32</v>
      </c>
      <c r="C360" s="2">
        <v>36</v>
      </c>
    </row>
    <row r="361" spans="1:3" x14ac:dyDescent="0.25">
      <c r="A361" s="3">
        <v>41573</v>
      </c>
      <c r="B361" s="2" t="s">
        <v>20</v>
      </c>
      <c r="C361" s="2">
        <v>25</v>
      </c>
    </row>
    <row r="362" spans="1:3" x14ac:dyDescent="0.25">
      <c r="A362" s="3">
        <v>41350</v>
      </c>
      <c r="B362" s="2" t="s">
        <v>6</v>
      </c>
      <c r="C362" s="2">
        <v>30</v>
      </c>
    </row>
    <row r="363" spans="1:3" x14ac:dyDescent="0.25">
      <c r="A363" s="3">
        <v>41467</v>
      </c>
      <c r="B363" s="2" t="s">
        <v>40</v>
      </c>
      <c r="C363" s="2">
        <v>13</v>
      </c>
    </row>
    <row r="364" spans="1:3" x14ac:dyDescent="0.25">
      <c r="A364" s="3">
        <v>41321</v>
      </c>
      <c r="B364" s="2" t="s">
        <v>49</v>
      </c>
      <c r="C364" s="2">
        <v>5</v>
      </c>
    </row>
    <row r="365" spans="1:3" x14ac:dyDescent="0.25">
      <c r="A365" s="3">
        <v>41589</v>
      </c>
      <c r="B365" s="2" t="s">
        <v>35</v>
      </c>
      <c r="C365" s="2">
        <v>38</v>
      </c>
    </row>
    <row r="366" spans="1:3" x14ac:dyDescent="0.25">
      <c r="A366" s="3">
        <v>41389</v>
      </c>
      <c r="B366" s="2" t="s">
        <v>43</v>
      </c>
      <c r="C366" s="2">
        <v>8</v>
      </c>
    </row>
    <row r="367" spans="1:3" x14ac:dyDescent="0.25">
      <c r="A367" s="3">
        <v>41615</v>
      </c>
      <c r="B367" s="2" t="s">
        <v>5</v>
      </c>
      <c r="C367" s="2">
        <v>29</v>
      </c>
    </row>
    <row r="368" spans="1:3" x14ac:dyDescent="0.25">
      <c r="A368" s="3">
        <v>41950</v>
      </c>
      <c r="B368" s="2" t="s">
        <v>29</v>
      </c>
      <c r="C368" s="2">
        <v>14</v>
      </c>
    </row>
    <row r="369" spans="1:3" x14ac:dyDescent="0.25">
      <c r="A369" s="3">
        <v>41777</v>
      </c>
      <c r="B369" s="2" t="s">
        <v>40</v>
      </c>
      <c r="C369" s="2">
        <v>18</v>
      </c>
    </row>
    <row r="370" spans="1:3" x14ac:dyDescent="0.25">
      <c r="A370" s="3">
        <v>41462</v>
      </c>
      <c r="B370" s="2" t="s">
        <v>36</v>
      </c>
      <c r="C370" s="2">
        <v>22</v>
      </c>
    </row>
    <row r="371" spans="1:3" x14ac:dyDescent="0.25">
      <c r="A371" s="3">
        <v>41928</v>
      </c>
      <c r="B371" s="2" t="s">
        <v>43</v>
      </c>
      <c r="C371" s="2">
        <v>73</v>
      </c>
    </row>
    <row r="372" spans="1:3" x14ac:dyDescent="0.25">
      <c r="A372" s="3">
        <v>41559</v>
      </c>
      <c r="B372" s="2" t="s">
        <v>11</v>
      </c>
      <c r="C372" s="2">
        <v>24</v>
      </c>
    </row>
    <row r="373" spans="1:3" x14ac:dyDescent="0.25">
      <c r="A373" s="3">
        <v>41743</v>
      </c>
      <c r="B373" s="2" t="s">
        <v>15</v>
      </c>
      <c r="C373" s="2">
        <v>11</v>
      </c>
    </row>
    <row r="374" spans="1:3" x14ac:dyDescent="0.25">
      <c r="A374" s="3">
        <v>41808</v>
      </c>
      <c r="B374" s="2" t="s">
        <v>19</v>
      </c>
      <c r="C374" s="2">
        <v>13</v>
      </c>
    </row>
    <row r="375" spans="1:3" x14ac:dyDescent="0.25">
      <c r="A375" s="3">
        <v>41712</v>
      </c>
      <c r="B375" s="2" t="s">
        <v>21</v>
      </c>
      <c r="C375" s="2">
        <v>39</v>
      </c>
    </row>
    <row r="376" spans="1:3" x14ac:dyDescent="0.25">
      <c r="A376" s="3">
        <v>41926</v>
      </c>
      <c r="B376" s="2" t="s">
        <v>13</v>
      </c>
      <c r="C376" s="2">
        <v>14</v>
      </c>
    </row>
    <row r="377" spans="1:3" x14ac:dyDescent="0.25">
      <c r="A377" s="3">
        <v>41739</v>
      </c>
      <c r="B377" s="2" t="s">
        <v>22</v>
      </c>
      <c r="C377" s="2">
        <v>53</v>
      </c>
    </row>
    <row r="378" spans="1:3" x14ac:dyDescent="0.25">
      <c r="A378" s="3">
        <v>41563</v>
      </c>
      <c r="B378" s="2" t="s">
        <v>51</v>
      </c>
      <c r="C378" s="2">
        <v>44</v>
      </c>
    </row>
    <row r="379" spans="1:3" x14ac:dyDescent="0.25">
      <c r="A379" s="3">
        <v>41525</v>
      </c>
      <c r="B379" s="2" t="s">
        <v>45</v>
      </c>
      <c r="C379" s="2">
        <v>23</v>
      </c>
    </row>
    <row r="380" spans="1:3" x14ac:dyDescent="0.25">
      <c r="A380" s="3">
        <v>41889</v>
      </c>
      <c r="B380" s="2" t="s">
        <v>33</v>
      </c>
      <c r="C380" s="2">
        <v>38</v>
      </c>
    </row>
    <row r="381" spans="1:3" x14ac:dyDescent="0.25">
      <c r="A381" s="3">
        <v>41915</v>
      </c>
      <c r="B381" s="2" t="s">
        <v>28</v>
      </c>
      <c r="C381" s="2">
        <v>44</v>
      </c>
    </row>
    <row r="382" spans="1:3" x14ac:dyDescent="0.25">
      <c r="A382" s="3">
        <v>41669</v>
      </c>
      <c r="B382" s="2" t="s">
        <v>38</v>
      </c>
      <c r="C382" s="2">
        <v>50</v>
      </c>
    </row>
    <row r="383" spans="1:3" x14ac:dyDescent="0.25">
      <c r="A383" s="3">
        <v>41603</v>
      </c>
      <c r="B383" s="2" t="s">
        <v>29</v>
      </c>
      <c r="C383" s="2">
        <v>12</v>
      </c>
    </row>
    <row r="384" spans="1:3" x14ac:dyDescent="0.25">
      <c r="A384" s="3">
        <v>41799</v>
      </c>
      <c r="B384" s="2" t="s">
        <v>16</v>
      </c>
      <c r="C384" s="2">
        <v>35</v>
      </c>
    </row>
    <row r="385" spans="1:3" x14ac:dyDescent="0.25">
      <c r="A385" s="3">
        <v>41341</v>
      </c>
      <c r="B385" s="2" t="s">
        <v>26</v>
      </c>
      <c r="C385" s="2">
        <v>22</v>
      </c>
    </row>
    <row r="386" spans="1:3" x14ac:dyDescent="0.25">
      <c r="A386" s="3">
        <v>41468</v>
      </c>
      <c r="B386" s="2" t="s">
        <v>30</v>
      </c>
      <c r="C386" s="2">
        <v>16</v>
      </c>
    </row>
    <row r="387" spans="1:3" x14ac:dyDescent="0.25">
      <c r="A387" s="3">
        <v>41543</v>
      </c>
      <c r="B387" s="2" t="s">
        <v>9</v>
      </c>
      <c r="C387" s="2">
        <v>37</v>
      </c>
    </row>
    <row r="388" spans="1:3" x14ac:dyDescent="0.25">
      <c r="A388" s="3">
        <v>41682</v>
      </c>
      <c r="B388" s="2" t="s">
        <v>13</v>
      </c>
      <c r="C388" s="2">
        <v>15</v>
      </c>
    </row>
    <row r="389" spans="1:3" x14ac:dyDescent="0.25">
      <c r="A389" s="3">
        <v>41313</v>
      </c>
      <c r="B389" s="2" t="s">
        <v>4</v>
      </c>
      <c r="C389" s="2">
        <v>36</v>
      </c>
    </row>
    <row r="390" spans="1:3" x14ac:dyDescent="0.25">
      <c r="A390" s="3">
        <v>41994</v>
      </c>
      <c r="B390" s="2" t="s">
        <v>20</v>
      </c>
      <c r="C390" s="2">
        <v>29</v>
      </c>
    </row>
    <row r="391" spans="1:3" x14ac:dyDescent="0.25">
      <c r="A391" s="3">
        <v>41993</v>
      </c>
      <c r="B391" s="2" t="s">
        <v>42</v>
      </c>
      <c r="C391" s="2">
        <v>28</v>
      </c>
    </row>
    <row r="392" spans="1:3" x14ac:dyDescent="0.25">
      <c r="A392" s="3">
        <v>41321</v>
      </c>
      <c r="B392" s="2" t="s">
        <v>3</v>
      </c>
      <c r="C392" s="2">
        <v>37</v>
      </c>
    </row>
    <row r="393" spans="1:3" x14ac:dyDescent="0.25">
      <c r="A393" s="3">
        <v>41559</v>
      </c>
      <c r="B393" s="2" t="s">
        <v>6</v>
      </c>
      <c r="C393" s="2">
        <v>27</v>
      </c>
    </row>
    <row r="394" spans="1:3" x14ac:dyDescent="0.25">
      <c r="A394" s="3">
        <v>41553</v>
      </c>
      <c r="B394" s="2" t="s">
        <v>41</v>
      </c>
      <c r="C394" s="2">
        <v>24</v>
      </c>
    </row>
    <row r="395" spans="1:3" x14ac:dyDescent="0.25">
      <c r="A395" s="3">
        <v>41899</v>
      </c>
      <c r="B395" s="2" t="s">
        <v>37</v>
      </c>
      <c r="C395" s="2">
        <v>1</v>
      </c>
    </row>
    <row r="396" spans="1:3" x14ac:dyDescent="0.25">
      <c r="A396" s="3">
        <v>41597</v>
      </c>
      <c r="B396" s="2" t="s">
        <v>2</v>
      </c>
      <c r="C396" s="2">
        <v>34</v>
      </c>
    </row>
    <row r="397" spans="1:3" x14ac:dyDescent="0.25">
      <c r="A397" s="3">
        <v>41494</v>
      </c>
      <c r="B397" s="2" t="s">
        <v>51</v>
      </c>
      <c r="C397" s="2">
        <v>19</v>
      </c>
    </row>
    <row r="398" spans="1:3" x14ac:dyDescent="0.25">
      <c r="A398" s="3">
        <v>41438</v>
      </c>
      <c r="B398" s="2" t="s">
        <v>29</v>
      </c>
      <c r="C398" s="2">
        <v>44</v>
      </c>
    </row>
    <row r="399" spans="1:3" x14ac:dyDescent="0.25">
      <c r="A399" s="3">
        <v>41609</v>
      </c>
      <c r="B399" s="2" t="s">
        <v>8</v>
      </c>
      <c r="C399" s="2">
        <v>24</v>
      </c>
    </row>
    <row r="400" spans="1:3" x14ac:dyDescent="0.25">
      <c r="A400" s="3">
        <v>41329</v>
      </c>
      <c r="B400" s="2" t="s">
        <v>36</v>
      </c>
      <c r="C400" s="2">
        <v>31</v>
      </c>
    </row>
    <row r="401" spans="1:3" x14ac:dyDescent="0.25">
      <c r="A401" s="3">
        <v>41528</v>
      </c>
      <c r="B401" s="2" t="s">
        <v>6</v>
      </c>
      <c r="C401" s="2">
        <v>39</v>
      </c>
    </row>
    <row r="402" spans="1:3" x14ac:dyDescent="0.25">
      <c r="A402" s="3">
        <v>41931</v>
      </c>
      <c r="B402" s="2" t="s">
        <v>37</v>
      </c>
      <c r="C402" s="2">
        <v>27</v>
      </c>
    </row>
    <row r="403" spans="1:3" x14ac:dyDescent="0.25">
      <c r="A403" s="3">
        <v>41885</v>
      </c>
      <c r="B403" s="2" t="s">
        <v>45</v>
      </c>
      <c r="C403" s="2">
        <v>7</v>
      </c>
    </row>
    <row r="404" spans="1:3" x14ac:dyDescent="0.25">
      <c r="A404" s="3">
        <v>41687</v>
      </c>
      <c r="B404" s="2" t="s">
        <v>32</v>
      </c>
      <c r="C404" s="2">
        <v>31</v>
      </c>
    </row>
    <row r="405" spans="1:3" x14ac:dyDescent="0.25">
      <c r="A405" s="3">
        <v>41727</v>
      </c>
      <c r="B405" s="2" t="s">
        <v>41</v>
      </c>
      <c r="C405" s="2">
        <v>12</v>
      </c>
    </row>
    <row r="406" spans="1:3" x14ac:dyDescent="0.25">
      <c r="A406" s="3">
        <v>41935</v>
      </c>
      <c r="B406" s="2" t="s">
        <v>33</v>
      </c>
      <c r="C406" s="2">
        <v>40</v>
      </c>
    </row>
    <row r="407" spans="1:3" x14ac:dyDescent="0.25">
      <c r="A407" s="3">
        <v>41457</v>
      </c>
      <c r="B407" s="2" t="s">
        <v>32</v>
      </c>
      <c r="C407" s="2">
        <v>2</v>
      </c>
    </row>
    <row r="408" spans="1:3" x14ac:dyDescent="0.25">
      <c r="A408" s="3">
        <v>41377</v>
      </c>
      <c r="B408" s="2" t="s">
        <v>37</v>
      </c>
      <c r="C408" s="2">
        <v>12</v>
      </c>
    </row>
    <row r="409" spans="1:3" x14ac:dyDescent="0.25">
      <c r="A409" s="3">
        <v>41762</v>
      </c>
      <c r="B409" s="2" t="s">
        <v>50</v>
      </c>
      <c r="C409" s="2">
        <v>60</v>
      </c>
    </row>
    <row r="410" spans="1:3" x14ac:dyDescent="0.25">
      <c r="A410" s="3">
        <v>41999</v>
      </c>
      <c r="B410" s="2" t="s">
        <v>47</v>
      </c>
      <c r="C410" s="2">
        <v>37</v>
      </c>
    </row>
    <row r="411" spans="1:3" x14ac:dyDescent="0.25">
      <c r="A411" s="3">
        <v>41803</v>
      </c>
      <c r="B411" s="2" t="s">
        <v>30</v>
      </c>
      <c r="C411" s="2">
        <v>53</v>
      </c>
    </row>
    <row r="412" spans="1:3" x14ac:dyDescent="0.25">
      <c r="A412" s="3">
        <v>41787</v>
      </c>
      <c r="B412" s="2" t="s">
        <v>5</v>
      </c>
      <c r="C412" s="2">
        <v>31</v>
      </c>
    </row>
    <row r="413" spans="1:3" x14ac:dyDescent="0.25">
      <c r="A413" s="3">
        <v>41777</v>
      </c>
      <c r="B413" s="2" t="s">
        <v>35</v>
      </c>
      <c r="C413" s="2">
        <v>14</v>
      </c>
    </row>
    <row r="414" spans="1:3" x14ac:dyDescent="0.25">
      <c r="A414" s="3">
        <v>41971</v>
      </c>
      <c r="B414" s="2" t="s">
        <v>20</v>
      </c>
      <c r="C414" s="2">
        <v>52</v>
      </c>
    </row>
    <row r="415" spans="1:3" x14ac:dyDescent="0.25">
      <c r="A415" s="3">
        <v>41787</v>
      </c>
      <c r="B415" s="2" t="s">
        <v>41</v>
      </c>
      <c r="C415" s="2">
        <v>35</v>
      </c>
    </row>
    <row r="416" spans="1:3" x14ac:dyDescent="0.25">
      <c r="A416" s="3">
        <v>41672</v>
      </c>
      <c r="B416" s="2" t="s">
        <v>18</v>
      </c>
      <c r="C416" s="2">
        <v>22</v>
      </c>
    </row>
    <row r="417" spans="1:3" x14ac:dyDescent="0.25">
      <c r="A417" s="3">
        <v>41361</v>
      </c>
      <c r="B417" s="2" t="s">
        <v>5</v>
      </c>
      <c r="C417" s="2">
        <v>25</v>
      </c>
    </row>
    <row r="418" spans="1:3" x14ac:dyDescent="0.25">
      <c r="A418" s="3">
        <v>41321</v>
      </c>
      <c r="B418" s="2" t="s">
        <v>30</v>
      </c>
      <c r="C418" s="2">
        <v>27</v>
      </c>
    </row>
    <row r="419" spans="1:3" x14ac:dyDescent="0.25">
      <c r="A419" s="3">
        <v>41324</v>
      </c>
      <c r="B419" s="2" t="s">
        <v>31</v>
      </c>
      <c r="C419" s="2">
        <v>11</v>
      </c>
    </row>
    <row r="420" spans="1:3" x14ac:dyDescent="0.25">
      <c r="A420" s="3">
        <v>41578</v>
      </c>
      <c r="B420" s="2" t="s">
        <v>44</v>
      </c>
      <c r="C420" s="2">
        <v>25</v>
      </c>
    </row>
    <row r="421" spans="1:3" x14ac:dyDescent="0.25">
      <c r="A421" s="3">
        <v>41954</v>
      </c>
      <c r="B421" s="2" t="s">
        <v>38</v>
      </c>
      <c r="C421" s="2">
        <v>28</v>
      </c>
    </row>
    <row r="422" spans="1:3" x14ac:dyDescent="0.25">
      <c r="A422" s="3">
        <v>41629</v>
      </c>
      <c r="B422" s="2" t="s">
        <v>35</v>
      </c>
      <c r="C422" s="2">
        <v>22</v>
      </c>
    </row>
    <row r="423" spans="1:3" x14ac:dyDescent="0.25">
      <c r="A423" s="3">
        <v>41528</v>
      </c>
      <c r="B423" s="2" t="s">
        <v>2</v>
      </c>
      <c r="C423" s="2">
        <v>16</v>
      </c>
    </row>
    <row r="424" spans="1:3" x14ac:dyDescent="0.25">
      <c r="A424" s="3">
        <v>41694</v>
      </c>
      <c r="B424" s="2" t="s">
        <v>7</v>
      </c>
      <c r="C424" s="2">
        <v>26</v>
      </c>
    </row>
    <row r="425" spans="1:3" x14ac:dyDescent="0.25">
      <c r="A425" s="3">
        <v>41628</v>
      </c>
      <c r="B425" s="2" t="s">
        <v>2</v>
      </c>
      <c r="C425" s="2">
        <v>13</v>
      </c>
    </row>
    <row r="426" spans="1:3" x14ac:dyDescent="0.25">
      <c r="A426" s="3">
        <v>41723</v>
      </c>
      <c r="B426" s="2" t="s">
        <v>15</v>
      </c>
      <c r="C426" s="2">
        <v>5</v>
      </c>
    </row>
    <row r="427" spans="1:3" x14ac:dyDescent="0.25">
      <c r="A427" s="3">
        <v>41789</v>
      </c>
      <c r="B427" s="2" t="s">
        <v>6</v>
      </c>
      <c r="C427" s="2">
        <v>14</v>
      </c>
    </row>
    <row r="428" spans="1:3" x14ac:dyDescent="0.25">
      <c r="A428" s="3">
        <v>41504</v>
      </c>
      <c r="B428" s="2" t="s">
        <v>22</v>
      </c>
      <c r="C428" s="2">
        <v>0</v>
      </c>
    </row>
    <row r="429" spans="1:3" x14ac:dyDescent="0.25">
      <c r="A429" s="3">
        <v>41725</v>
      </c>
      <c r="B429" s="2" t="s">
        <v>35</v>
      </c>
      <c r="C429" s="2">
        <v>17</v>
      </c>
    </row>
    <row r="430" spans="1:3" x14ac:dyDescent="0.25">
      <c r="A430" s="3">
        <v>41659</v>
      </c>
      <c r="B430" s="2" t="s">
        <v>35</v>
      </c>
      <c r="C430" s="2">
        <v>45</v>
      </c>
    </row>
    <row r="431" spans="1:3" x14ac:dyDescent="0.25">
      <c r="A431" s="3">
        <v>41879</v>
      </c>
      <c r="B431" s="2" t="s">
        <v>13</v>
      </c>
      <c r="C431" s="2">
        <v>21</v>
      </c>
    </row>
    <row r="432" spans="1:3" x14ac:dyDescent="0.25">
      <c r="A432" s="3">
        <v>41286</v>
      </c>
      <c r="B432" s="2" t="s">
        <v>3</v>
      </c>
      <c r="C432" s="2">
        <v>48</v>
      </c>
    </row>
    <row r="433" spans="1:3" x14ac:dyDescent="0.25">
      <c r="A433" s="3">
        <v>41765</v>
      </c>
      <c r="B433" s="2" t="s">
        <v>36</v>
      </c>
      <c r="C433" s="2">
        <v>15</v>
      </c>
    </row>
    <row r="434" spans="1:3" x14ac:dyDescent="0.25">
      <c r="A434" s="3">
        <v>41538</v>
      </c>
      <c r="B434" s="2" t="s">
        <v>50</v>
      </c>
      <c r="C434" s="2">
        <v>1</v>
      </c>
    </row>
    <row r="435" spans="1:3" x14ac:dyDescent="0.25">
      <c r="A435" s="3">
        <v>41314</v>
      </c>
      <c r="B435" s="2" t="s">
        <v>3</v>
      </c>
      <c r="C435" s="2">
        <v>24</v>
      </c>
    </row>
    <row r="436" spans="1:3" x14ac:dyDescent="0.25">
      <c r="A436" s="3">
        <v>41600</v>
      </c>
      <c r="B436" s="2" t="s">
        <v>43</v>
      </c>
      <c r="C436" s="2">
        <v>33</v>
      </c>
    </row>
    <row r="437" spans="1:3" x14ac:dyDescent="0.25">
      <c r="A437" s="3">
        <v>41299</v>
      </c>
      <c r="B437" s="2" t="s">
        <v>44</v>
      </c>
      <c r="C437" s="2">
        <v>46</v>
      </c>
    </row>
    <row r="438" spans="1:3" x14ac:dyDescent="0.25">
      <c r="A438" s="3">
        <v>41697</v>
      </c>
      <c r="B438" s="2" t="s">
        <v>49</v>
      </c>
      <c r="C438" s="2">
        <v>32</v>
      </c>
    </row>
    <row r="439" spans="1:3" x14ac:dyDescent="0.25">
      <c r="A439" s="3">
        <v>41666</v>
      </c>
      <c r="B439" s="2" t="s">
        <v>43</v>
      </c>
      <c r="C439" s="2">
        <v>7</v>
      </c>
    </row>
    <row r="440" spans="1:3" x14ac:dyDescent="0.25">
      <c r="A440" s="3">
        <v>41680</v>
      </c>
      <c r="B440" s="2" t="s">
        <v>48</v>
      </c>
      <c r="C440" s="2">
        <v>20</v>
      </c>
    </row>
    <row r="441" spans="1:3" x14ac:dyDescent="0.25">
      <c r="A441" s="3">
        <v>41512</v>
      </c>
      <c r="B441" s="2" t="s">
        <v>44</v>
      </c>
      <c r="C441" s="2">
        <v>20</v>
      </c>
    </row>
    <row r="442" spans="1:3" x14ac:dyDescent="0.25">
      <c r="A442" s="3">
        <v>41369</v>
      </c>
      <c r="B442" s="2" t="s">
        <v>49</v>
      </c>
      <c r="C442" s="2">
        <v>13</v>
      </c>
    </row>
    <row r="443" spans="1:3" x14ac:dyDescent="0.25">
      <c r="A443" s="3">
        <v>41320</v>
      </c>
      <c r="B443" s="2" t="s">
        <v>4</v>
      </c>
      <c r="C443" s="2">
        <v>28</v>
      </c>
    </row>
    <row r="444" spans="1:3" x14ac:dyDescent="0.25">
      <c r="A444" s="3">
        <v>41498</v>
      </c>
      <c r="B444" s="2" t="s">
        <v>33</v>
      </c>
      <c r="C444" s="2">
        <v>9</v>
      </c>
    </row>
    <row r="445" spans="1:3" x14ac:dyDescent="0.25">
      <c r="A445" s="3">
        <v>41811</v>
      </c>
      <c r="B445" s="2" t="s">
        <v>2</v>
      </c>
      <c r="C445" s="2">
        <v>17</v>
      </c>
    </row>
    <row r="446" spans="1:3" x14ac:dyDescent="0.25">
      <c r="A446" s="3">
        <v>41325</v>
      </c>
      <c r="B446" s="2" t="s">
        <v>22</v>
      </c>
      <c r="C446" s="2">
        <v>24</v>
      </c>
    </row>
    <row r="447" spans="1:3" x14ac:dyDescent="0.25">
      <c r="A447" s="3">
        <v>41815</v>
      </c>
      <c r="B447" s="2" t="s">
        <v>14</v>
      </c>
      <c r="C447" s="2">
        <v>28</v>
      </c>
    </row>
    <row r="448" spans="1:3" x14ac:dyDescent="0.25">
      <c r="A448" s="3">
        <v>41575</v>
      </c>
      <c r="B448" s="2" t="s">
        <v>45</v>
      </c>
      <c r="C448" s="2">
        <v>28</v>
      </c>
    </row>
    <row r="449" spans="1:3" x14ac:dyDescent="0.25">
      <c r="A449" s="3">
        <v>41813</v>
      </c>
      <c r="B449" s="2" t="s">
        <v>28</v>
      </c>
      <c r="C449" s="2">
        <v>47</v>
      </c>
    </row>
    <row r="450" spans="1:3" x14ac:dyDescent="0.25">
      <c r="A450" s="3">
        <v>41624</v>
      </c>
      <c r="B450" s="2" t="s">
        <v>9</v>
      </c>
      <c r="C450" s="2">
        <v>40</v>
      </c>
    </row>
    <row r="451" spans="1:3" x14ac:dyDescent="0.25">
      <c r="A451" s="3">
        <v>41370</v>
      </c>
      <c r="B451" s="2" t="s">
        <v>46</v>
      </c>
      <c r="C451" s="2">
        <v>22</v>
      </c>
    </row>
    <row r="452" spans="1:3" x14ac:dyDescent="0.25">
      <c r="A452" s="3">
        <v>42002</v>
      </c>
      <c r="B452" s="2" t="s">
        <v>44</v>
      </c>
      <c r="C452" s="2">
        <v>36</v>
      </c>
    </row>
    <row r="453" spans="1:3" x14ac:dyDescent="0.25">
      <c r="A453" s="3">
        <v>41563</v>
      </c>
      <c r="B453" s="2" t="s">
        <v>6</v>
      </c>
      <c r="C453" s="2">
        <v>44</v>
      </c>
    </row>
    <row r="454" spans="1:3" x14ac:dyDescent="0.25">
      <c r="A454" s="3">
        <v>41892</v>
      </c>
      <c r="B454" s="2" t="s">
        <v>17</v>
      </c>
      <c r="C454" s="2">
        <v>48</v>
      </c>
    </row>
    <row r="455" spans="1:3" x14ac:dyDescent="0.25">
      <c r="A455" s="3">
        <v>41990</v>
      </c>
      <c r="B455" s="2" t="s">
        <v>45</v>
      </c>
      <c r="C455" s="2">
        <v>13</v>
      </c>
    </row>
    <row r="456" spans="1:3" x14ac:dyDescent="0.25">
      <c r="A456" s="3">
        <v>41653</v>
      </c>
      <c r="B456" s="2" t="s">
        <v>42</v>
      </c>
      <c r="C456" s="2">
        <v>41</v>
      </c>
    </row>
    <row r="457" spans="1:3" x14ac:dyDescent="0.25">
      <c r="A457" s="3">
        <v>41368</v>
      </c>
      <c r="B457" s="2" t="s">
        <v>34</v>
      </c>
      <c r="C457" s="2">
        <v>10</v>
      </c>
    </row>
    <row r="458" spans="1:3" x14ac:dyDescent="0.25">
      <c r="A458" s="3">
        <v>41973</v>
      </c>
      <c r="B458" s="2" t="s">
        <v>5</v>
      </c>
      <c r="C458" s="2">
        <v>48</v>
      </c>
    </row>
    <row r="459" spans="1:3" x14ac:dyDescent="0.25">
      <c r="A459" s="3">
        <v>41989</v>
      </c>
      <c r="B459" s="2" t="s">
        <v>14</v>
      </c>
      <c r="C459" s="2">
        <v>21</v>
      </c>
    </row>
    <row r="460" spans="1:3" x14ac:dyDescent="0.25">
      <c r="A460" s="3">
        <v>41807</v>
      </c>
      <c r="B460" s="2" t="s">
        <v>35</v>
      </c>
      <c r="C460" s="2">
        <v>33</v>
      </c>
    </row>
    <row r="461" spans="1:3" x14ac:dyDescent="0.25">
      <c r="A461" s="3">
        <v>41772</v>
      </c>
      <c r="B461" s="2" t="s">
        <v>31</v>
      </c>
      <c r="C461" s="2">
        <v>48</v>
      </c>
    </row>
    <row r="462" spans="1:3" x14ac:dyDescent="0.25">
      <c r="A462" s="3">
        <v>41372</v>
      </c>
      <c r="B462" s="2" t="s">
        <v>49</v>
      </c>
      <c r="C462" s="2">
        <v>23</v>
      </c>
    </row>
    <row r="463" spans="1:3" x14ac:dyDescent="0.25">
      <c r="A463" s="3">
        <v>41925</v>
      </c>
      <c r="B463" s="2" t="s">
        <v>21</v>
      </c>
      <c r="C463" s="2">
        <v>17</v>
      </c>
    </row>
    <row r="464" spans="1:3" x14ac:dyDescent="0.25">
      <c r="A464" s="3">
        <v>41409</v>
      </c>
      <c r="B464" s="2" t="s">
        <v>49</v>
      </c>
      <c r="C464" s="2">
        <v>27</v>
      </c>
    </row>
    <row r="465" spans="1:3" x14ac:dyDescent="0.25">
      <c r="A465" s="3">
        <v>41386</v>
      </c>
      <c r="B465" s="2" t="s">
        <v>2</v>
      </c>
      <c r="C465" s="2">
        <v>23</v>
      </c>
    </row>
    <row r="466" spans="1:3" x14ac:dyDescent="0.25">
      <c r="A466" s="3">
        <v>41892</v>
      </c>
      <c r="B466" s="2" t="s">
        <v>16</v>
      </c>
      <c r="C466" s="2">
        <v>28</v>
      </c>
    </row>
    <row r="467" spans="1:3" x14ac:dyDescent="0.25">
      <c r="A467" s="3">
        <v>41349</v>
      </c>
      <c r="B467" s="2" t="s">
        <v>41</v>
      </c>
      <c r="C467" s="2">
        <v>22</v>
      </c>
    </row>
    <row r="468" spans="1:3" x14ac:dyDescent="0.25">
      <c r="A468" s="3">
        <v>41665</v>
      </c>
      <c r="B468" s="2" t="s">
        <v>33</v>
      </c>
      <c r="C468" s="2">
        <v>31</v>
      </c>
    </row>
    <row r="469" spans="1:3" x14ac:dyDescent="0.25">
      <c r="A469" s="3">
        <v>41783</v>
      </c>
      <c r="B469" s="2" t="s">
        <v>12</v>
      </c>
      <c r="C469" s="2">
        <v>7</v>
      </c>
    </row>
    <row r="470" spans="1:3" x14ac:dyDescent="0.25">
      <c r="A470" s="3">
        <v>41789</v>
      </c>
      <c r="B470" s="2" t="s">
        <v>29</v>
      </c>
      <c r="C470" s="2">
        <v>38</v>
      </c>
    </row>
    <row r="471" spans="1:3" x14ac:dyDescent="0.25">
      <c r="A471" s="3">
        <v>41397</v>
      </c>
      <c r="B471" s="2" t="s">
        <v>31</v>
      </c>
      <c r="C471" s="2">
        <v>5</v>
      </c>
    </row>
    <row r="472" spans="1:3" x14ac:dyDescent="0.25">
      <c r="A472" s="3">
        <v>41835</v>
      </c>
      <c r="B472" s="2" t="s">
        <v>22</v>
      </c>
      <c r="C472" s="2">
        <v>16</v>
      </c>
    </row>
    <row r="473" spans="1:3" x14ac:dyDescent="0.25">
      <c r="A473" s="3">
        <v>41654</v>
      </c>
      <c r="B473" s="2" t="s">
        <v>3</v>
      </c>
      <c r="C473" s="2">
        <v>36</v>
      </c>
    </row>
    <row r="474" spans="1:3" x14ac:dyDescent="0.25">
      <c r="A474" s="3">
        <v>41296</v>
      </c>
      <c r="B474" s="2" t="s">
        <v>25</v>
      </c>
      <c r="C474" s="2">
        <v>8</v>
      </c>
    </row>
    <row r="475" spans="1:3" x14ac:dyDescent="0.25">
      <c r="A475" s="3">
        <v>41405</v>
      </c>
      <c r="B475" s="2" t="s">
        <v>51</v>
      </c>
      <c r="C475" s="2">
        <v>52</v>
      </c>
    </row>
    <row r="476" spans="1:3" x14ac:dyDescent="0.25">
      <c r="A476" s="3">
        <v>41391</v>
      </c>
      <c r="B476" s="2" t="s">
        <v>39</v>
      </c>
      <c r="C476" s="2">
        <v>17</v>
      </c>
    </row>
    <row r="477" spans="1:3" x14ac:dyDescent="0.25">
      <c r="A477" s="3">
        <v>41629</v>
      </c>
      <c r="B477" s="2" t="s">
        <v>37</v>
      </c>
      <c r="C477" s="2">
        <v>5</v>
      </c>
    </row>
    <row r="478" spans="1:3" x14ac:dyDescent="0.25">
      <c r="A478" s="3">
        <v>41690</v>
      </c>
      <c r="B478" s="2" t="s">
        <v>15</v>
      </c>
      <c r="C478" s="2">
        <v>17</v>
      </c>
    </row>
    <row r="479" spans="1:3" x14ac:dyDescent="0.25">
      <c r="A479" s="3">
        <v>41337</v>
      </c>
      <c r="B479" s="2" t="s">
        <v>12</v>
      </c>
      <c r="C479" s="2">
        <v>29</v>
      </c>
    </row>
    <row r="480" spans="1:3" x14ac:dyDescent="0.25">
      <c r="A480" s="3">
        <v>41997</v>
      </c>
      <c r="B480" s="2" t="s">
        <v>6</v>
      </c>
      <c r="C480" s="2">
        <v>22</v>
      </c>
    </row>
    <row r="481" spans="1:3" x14ac:dyDescent="0.25">
      <c r="A481" s="3">
        <v>41839</v>
      </c>
      <c r="B481" s="2" t="s">
        <v>7</v>
      </c>
      <c r="C481" s="2">
        <v>30</v>
      </c>
    </row>
    <row r="482" spans="1:3" x14ac:dyDescent="0.25">
      <c r="A482" s="3">
        <v>41501</v>
      </c>
      <c r="B482" s="2" t="s">
        <v>4</v>
      </c>
      <c r="C482" s="2">
        <v>4</v>
      </c>
    </row>
    <row r="483" spans="1:3" x14ac:dyDescent="0.25">
      <c r="A483" s="3">
        <v>41850</v>
      </c>
      <c r="B483" s="2" t="s">
        <v>50</v>
      </c>
      <c r="C483" s="2">
        <v>20</v>
      </c>
    </row>
    <row r="484" spans="1:3" x14ac:dyDescent="0.25">
      <c r="A484" s="3">
        <v>41668</v>
      </c>
      <c r="B484" s="2" t="s">
        <v>3</v>
      </c>
      <c r="C484" s="2">
        <v>30</v>
      </c>
    </row>
    <row r="485" spans="1:3" x14ac:dyDescent="0.25">
      <c r="A485" s="3">
        <v>41987</v>
      </c>
      <c r="B485" s="2" t="s">
        <v>2</v>
      </c>
      <c r="C485" s="2">
        <v>18</v>
      </c>
    </row>
    <row r="486" spans="1:3" x14ac:dyDescent="0.25">
      <c r="A486" s="3">
        <v>41838</v>
      </c>
      <c r="B486" s="2" t="s">
        <v>41</v>
      </c>
      <c r="C486" s="2">
        <v>7</v>
      </c>
    </row>
    <row r="487" spans="1:3" x14ac:dyDescent="0.25">
      <c r="A487" s="3">
        <v>41810</v>
      </c>
      <c r="B487" s="2" t="s">
        <v>14</v>
      </c>
      <c r="C487" s="2">
        <v>40</v>
      </c>
    </row>
    <row r="488" spans="1:3" x14ac:dyDescent="0.25">
      <c r="A488" s="3">
        <v>41934</v>
      </c>
      <c r="B488" s="2" t="s">
        <v>26</v>
      </c>
      <c r="C488" s="2">
        <v>11</v>
      </c>
    </row>
    <row r="489" spans="1:3" x14ac:dyDescent="0.25">
      <c r="A489" s="3">
        <v>41521</v>
      </c>
      <c r="B489" s="2" t="s">
        <v>26</v>
      </c>
      <c r="C489" s="2">
        <v>7</v>
      </c>
    </row>
    <row r="490" spans="1:3" x14ac:dyDescent="0.25">
      <c r="A490" s="3">
        <v>41801</v>
      </c>
      <c r="B490" s="2" t="s">
        <v>9</v>
      </c>
      <c r="C490" s="2">
        <v>38</v>
      </c>
    </row>
    <row r="491" spans="1:3" x14ac:dyDescent="0.25">
      <c r="A491" s="3">
        <v>41461</v>
      </c>
      <c r="B491" s="2" t="s">
        <v>12</v>
      </c>
      <c r="C491" s="2">
        <v>32</v>
      </c>
    </row>
    <row r="492" spans="1:3" x14ac:dyDescent="0.25">
      <c r="A492" s="3">
        <v>41514</v>
      </c>
      <c r="B492" s="2" t="s">
        <v>36</v>
      </c>
      <c r="C492" s="2">
        <v>26</v>
      </c>
    </row>
    <row r="493" spans="1:3" x14ac:dyDescent="0.25">
      <c r="A493" s="3">
        <v>41757</v>
      </c>
      <c r="B493" s="2" t="s">
        <v>19</v>
      </c>
      <c r="C493" s="2">
        <v>48</v>
      </c>
    </row>
    <row r="494" spans="1:3" x14ac:dyDescent="0.25">
      <c r="A494" s="3">
        <v>41702</v>
      </c>
      <c r="B494" s="2" t="s">
        <v>25</v>
      </c>
      <c r="C494" s="2">
        <v>9</v>
      </c>
    </row>
    <row r="495" spans="1:3" x14ac:dyDescent="0.25">
      <c r="A495" s="3">
        <v>41416</v>
      </c>
      <c r="B495" s="2" t="s">
        <v>41</v>
      </c>
      <c r="C495" s="2">
        <v>50</v>
      </c>
    </row>
    <row r="496" spans="1:3" x14ac:dyDescent="0.25">
      <c r="A496" s="3">
        <v>41914</v>
      </c>
      <c r="B496" s="2" t="s">
        <v>42</v>
      </c>
      <c r="C496" s="2">
        <v>11</v>
      </c>
    </row>
    <row r="497" spans="1:3" x14ac:dyDescent="0.25">
      <c r="A497" s="3">
        <v>41928</v>
      </c>
      <c r="B497" s="2" t="s">
        <v>30</v>
      </c>
      <c r="C497" s="2">
        <v>5</v>
      </c>
    </row>
    <row r="498" spans="1:3" x14ac:dyDescent="0.25">
      <c r="A498" s="3">
        <v>41653</v>
      </c>
      <c r="B498" s="2" t="s">
        <v>30</v>
      </c>
      <c r="C498" s="2">
        <v>50</v>
      </c>
    </row>
    <row r="499" spans="1:3" x14ac:dyDescent="0.25">
      <c r="A499" s="3">
        <v>41280</v>
      </c>
      <c r="B499" s="2" t="s">
        <v>41</v>
      </c>
      <c r="C499" s="2">
        <v>4</v>
      </c>
    </row>
    <row r="500" spans="1:3" x14ac:dyDescent="0.25">
      <c r="A500" s="3">
        <v>41438</v>
      </c>
      <c r="B500" s="2" t="s">
        <v>18</v>
      </c>
      <c r="C500" s="2">
        <v>47</v>
      </c>
    </row>
    <row r="501" spans="1:3" x14ac:dyDescent="0.25">
      <c r="A501" s="3">
        <v>41626</v>
      </c>
      <c r="B501" s="2" t="s">
        <v>38</v>
      </c>
      <c r="C501" s="2">
        <v>34</v>
      </c>
    </row>
    <row r="502" spans="1:3" x14ac:dyDescent="0.25">
      <c r="A502" s="3">
        <v>41288</v>
      </c>
      <c r="B502" s="2" t="s">
        <v>30</v>
      </c>
      <c r="C502" s="2">
        <v>59</v>
      </c>
    </row>
    <row r="503" spans="1:3" x14ac:dyDescent="0.25">
      <c r="A503" s="3">
        <v>41587</v>
      </c>
      <c r="B503" s="2" t="s">
        <v>18</v>
      </c>
      <c r="C503" s="2">
        <v>28</v>
      </c>
    </row>
    <row r="504" spans="1:3" x14ac:dyDescent="0.25">
      <c r="A504" s="3">
        <v>41794</v>
      </c>
      <c r="B504" s="2" t="s">
        <v>6</v>
      </c>
      <c r="C504" s="2">
        <v>45</v>
      </c>
    </row>
    <row r="505" spans="1:3" x14ac:dyDescent="0.25">
      <c r="A505" s="3">
        <v>41746</v>
      </c>
      <c r="B505" s="2" t="s">
        <v>21</v>
      </c>
      <c r="C505" s="2">
        <v>5</v>
      </c>
    </row>
    <row r="506" spans="1:3" x14ac:dyDescent="0.25">
      <c r="A506" s="3">
        <v>41702</v>
      </c>
      <c r="B506" s="2" t="s">
        <v>2</v>
      </c>
      <c r="C506" s="2">
        <v>36</v>
      </c>
    </row>
    <row r="507" spans="1:3" x14ac:dyDescent="0.25">
      <c r="A507" s="3">
        <v>41419</v>
      </c>
      <c r="B507" s="2" t="s">
        <v>44</v>
      </c>
      <c r="C507" s="2">
        <v>17</v>
      </c>
    </row>
    <row r="508" spans="1:3" x14ac:dyDescent="0.25">
      <c r="A508" s="3">
        <v>41588</v>
      </c>
      <c r="B508" s="2" t="s">
        <v>50</v>
      </c>
      <c r="C508" s="2">
        <v>37</v>
      </c>
    </row>
    <row r="509" spans="1:3" x14ac:dyDescent="0.25">
      <c r="A509" s="3">
        <v>41379</v>
      </c>
      <c r="B509" s="2" t="s">
        <v>26</v>
      </c>
      <c r="C509" s="2">
        <v>22</v>
      </c>
    </row>
    <row r="510" spans="1:3" x14ac:dyDescent="0.25">
      <c r="A510" s="3">
        <v>41779</v>
      </c>
      <c r="B510" s="2" t="s">
        <v>27</v>
      </c>
      <c r="C510" s="2">
        <v>40</v>
      </c>
    </row>
    <row r="511" spans="1:3" x14ac:dyDescent="0.25">
      <c r="A511" s="3">
        <v>41292</v>
      </c>
      <c r="B511" s="2" t="s">
        <v>50</v>
      </c>
      <c r="C511" s="2">
        <v>26</v>
      </c>
    </row>
    <row r="512" spans="1:3" x14ac:dyDescent="0.25">
      <c r="A512" s="3">
        <v>41884</v>
      </c>
      <c r="B512" s="2" t="s">
        <v>42</v>
      </c>
      <c r="C512" s="2">
        <v>25</v>
      </c>
    </row>
    <row r="513" spans="1:3" x14ac:dyDescent="0.25">
      <c r="A513" s="3">
        <v>41857</v>
      </c>
      <c r="B513" s="2" t="s">
        <v>7</v>
      </c>
      <c r="C513" s="2">
        <v>49</v>
      </c>
    </row>
    <row r="514" spans="1:3" x14ac:dyDescent="0.25">
      <c r="A514" s="3">
        <v>41304</v>
      </c>
      <c r="B514" s="2" t="s">
        <v>39</v>
      </c>
      <c r="C514" s="2">
        <v>45</v>
      </c>
    </row>
    <row r="515" spans="1:3" x14ac:dyDescent="0.25">
      <c r="A515" s="3">
        <v>41933</v>
      </c>
      <c r="B515" s="2" t="s">
        <v>14</v>
      </c>
      <c r="C515" s="2">
        <v>21</v>
      </c>
    </row>
    <row r="516" spans="1:3" x14ac:dyDescent="0.25">
      <c r="A516" s="3">
        <v>41949</v>
      </c>
      <c r="B516" s="2" t="s">
        <v>31</v>
      </c>
      <c r="C516" s="2">
        <v>21</v>
      </c>
    </row>
    <row r="517" spans="1:3" x14ac:dyDescent="0.25">
      <c r="A517" s="3">
        <v>41689</v>
      </c>
      <c r="B517" s="2" t="s">
        <v>51</v>
      </c>
      <c r="C517" s="2">
        <v>25</v>
      </c>
    </row>
    <row r="518" spans="1:3" x14ac:dyDescent="0.25">
      <c r="A518" s="3">
        <v>41840</v>
      </c>
      <c r="B518" s="2" t="s">
        <v>30</v>
      </c>
      <c r="C518" s="2">
        <v>16</v>
      </c>
    </row>
    <row r="519" spans="1:3" x14ac:dyDescent="0.25">
      <c r="A519" s="3">
        <v>41291</v>
      </c>
      <c r="B519" s="2" t="s">
        <v>42</v>
      </c>
      <c r="C519" s="2">
        <v>47</v>
      </c>
    </row>
    <row r="520" spans="1:3" x14ac:dyDescent="0.25">
      <c r="A520" s="3">
        <v>41824</v>
      </c>
      <c r="B520" s="2" t="s">
        <v>27</v>
      </c>
      <c r="C520" s="2">
        <v>37</v>
      </c>
    </row>
    <row r="521" spans="1:3" x14ac:dyDescent="0.25">
      <c r="A521" s="3">
        <v>41681</v>
      </c>
      <c r="B521" s="2" t="s">
        <v>34</v>
      </c>
      <c r="C521" s="2">
        <v>0</v>
      </c>
    </row>
    <row r="522" spans="1:3" x14ac:dyDescent="0.25">
      <c r="A522" s="3">
        <v>41684</v>
      </c>
      <c r="B522" s="2" t="s">
        <v>31</v>
      </c>
      <c r="C522" s="2">
        <v>36</v>
      </c>
    </row>
    <row r="523" spans="1:3" x14ac:dyDescent="0.25">
      <c r="A523" s="3">
        <v>41336</v>
      </c>
      <c r="B523" s="2" t="s">
        <v>31</v>
      </c>
      <c r="C523" s="2">
        <v>19</v>
      </c>
    </row>
    <row r="524" spans="1:3" x14ac:dyDescent="0.25">
      <c r="A524" s="3">
        <v>41440</v>
      </c>
      <c r="B524" s="2" t="s">
        <v>50</v>
      </c>
      <c r="C524" s="2">
        <v>53</v>
      </c>
    </row>
    <row r="525" spans="1:3" x14ac:dyDescent="0.25">
      <c r="A525" s="3">
        <v>41391</v>
      </c>
      <c r="B525" s="2" t="s">
        <v>8</v>
      </c>
      <c r="C525" s="2">
        <v>1</v>
      </c>
    </row>
    <row r="526" spans="1:3" x14ac:dyDescent="0.25">
      <c r="A526" s="3">
        <v>41762</v>
      </c>
      <c r="B526" s="2" t="s">
        <v>28</v>
      </c>
      <c r="C526" s="2">
        <v>4</v>
      </c>
    </row>
    <row r="527" spans="1:3" x14ac:dyDescent="0.25">
      <c r="A527" s="3">
        <v>41827</v>
      </c>
      <c r="B527" s="2" t="s">
        <v>12</v>
      </c>
      <c r="C527" s="2">
        <v>5</v>
      </c>
    </row>
    <row r="528" spans="1:3" x14ac:dyDescent="0.25">
      <c r="A528" s="3">
        <v>41976</v>
      </c>
      <c r="B528" s="2" t="s">
        <v>48</v>
      </c>
      <c r="C528" s="2">
        <v>25</v>
      </c>
    </row>
    <row r="529" spans="1:3" x14ac:dyDescent="0.25">
      <c r="A529" s="3">
        <v>41531</v>
      </c>
      <c r="B529" s="2" t="s">
        <v>45</v>
      </c>
      <c r="C529" s="2">
        <v>43</v>
      </c>
    </row>
    <row r="530" spans="1:3" x14ac:dyDescent="0.25">
      <c r="A530" s="3">
        <v>41536</v>
      </c>
      <c r="B530" s="2" t="s">
        <v>32</v>
      </c>
      <c r="C530" s="2">
        <v>36</v>
      </c>
    </row>
    <row r="531" spans="1:3" x14ac:dyDescent="0.25">
      <c r="A531" s="3">
        <v>41981</v>
      </c>
      <c r="B531" s="2" t="s">
        <v>16</v>
      </c>
      <c r="C531" s="2">
        <v>25</v>
      </c>
    </row>
    <row r="532" spans="1:3" x14ac:dyDescent="0.25">
      <c r="A532" s="3">
        <v>41304</v>
      </c>
      <c r="B532" s="2" t="s">
        <v>9</v>
      </c>
      <c r="C532" s="2">
        <v>17</v>
      </c>
    </row>
    <row r="533" spans="1:3" x14ac:dyDescent="0.25">
      <c r="A533" s="3">
        <v>41463</v>
      </c>
      <c r="B533" s="2" t="s">
        <v>50</v>
      </c>
      <c r="C533" s="2">
        <v>43</v>
      </c>
    </row>
    <row r="534" spans="1:3" x14ac:dyDescent="0.25">
      <c r="A534" s="3">
        <v>41606</v>
      </c>
      <c r="B534" s="2" t="s">
        <v>19</v>
      </c>
      <c r="C534" s="2">
        <v>31</v>
      </c>
    </row>
    <row r="535" spans="1:3" x14ac:dyDescent="0.25">
      <c r="A535" s="3">
        <v>41376</v>
      </c>
      <c r="B535" s="2" t="s">
        <v>31</v>
      </c>
      <c r="C535" s="2">
        <v>8</v>
      </c>
    </row>
    <row r="536" spans="1:3" x14ac:dyDescent="0.25">
      <c r="A536" s="3">
        <v>41976</v>
      </c>
      <c r="B536" s="2" t="s">
        <v>35</v>
      </c>
      <c r="C536" s="2">
        <v>27</v>
      </c>
    </row>
    <row r="537" spans="1:3" x14ac:dyDescent="0.25">
      <c r="A537" s="3">
        <v>41430</v>
      </c>
      <c r="B537" s="2" t="s">
        <v>8</v>
      </c>
      <c r="C537" s="2">
        <v>21</v>
      </c>
    </row>
    <row r="538" spans="1:3" x14ac:dyDescent="0.25">
      <c r="A538" s="3">
        <v>41494</v>
      </c>
      <c r="B538" s="2" t="s">
        <v>18</v>
      </c>
      <c r="C538" s="2">
        <v>63</v>
      </c>
    </row>
    <row r="539" spans="1:3" x14ac:dyDescent="0.25">
      <c r="A539" s="3">
        <v>41426</v>
      </c>
      <c r="B539" s="2" t="s">
        <v>32</v>
      </c>
      <c r="C539" s="2">
        <v>36</v>
      </c>
    </row>
    <row r="540" spans="1:3" x14ac:dyDescent="0.25">
      <c r="A540" s="3">
        <v>41735</v>
      </c>
      <c r="B540" s="2" t="s">
        <v>51</v>
      </c>
      <c r="C540" s="2">
        <v>59</v>
      </c>
    </row>
    <row r="541" spans="1:3" x14ac:dyDescent="0.25">
      <c r="A541" s="3">
        <v>41552</v>
      </c>
      <c r="B541" s="2" t="s">
        <v>27</v>
      </c>
      <c r="C541" s="2">
        <v>35</v>
      </c>
    </row>
    <row r="542" spans="1:3" x14ac:dyDescent="0.25">
      <c r="A542" s="3">
        <v>41681</v>
      </c>
      <c r="B542" s="2" t="s">
        <v>15</v>
      </c>
      <c r="C542" s="2">
        <v>21</v>
      </c>
    </row>
    <row r="543" spans="1:3" x14ac:dyDescent="0.25">
      <c r="A543" s="3">
        <v>41472</v>
      </c>
      <c r="B543" s="2" t="s">
        <v>23</v>
      </c>
      <c r="C543" s="2">
        <v>16</v>
      </c>
    </row>
    <row r="544" spans="1:3" x14ac:dyDescent="0.25">
      <c r="A544" s="3">
        <v>41374</v>
      </c>
      <c r="B544" s="2" t="s">
        <v>8</v>
      </c>
      <c r="C544" s="2">
        <v>35</v>
      </c>
    </row>
    <row r="545" spans="1:3" x14ac:dyDescent="0.25">
      <c r="A545" s="3">
        <v>41288</v>
      </c>
      <c r="B545" s="2" t="s">
        <v>41</v>
      </c>
      <c r="C545" s="2">
        <v>36</v>
      </c>
    </row>
    <row r="546" spans="1:3" x14ac:dyDescent="0.25">
      <c r="A546" s="3">
        <v>41597</v>
      </c>
      <c r="B546" s="2" t="s">
        <v>30</v>
      </c>
      <c r="C546" s="2">
        <v>26</v>
      </c>
    </row>
    <row r="547" spans="1:3" x14ac:dyDescent="0.25">
      <c r="A547" s="3">
        <v>41442</v>
      </c>
      <c r="B547" s="2" t="s">
        <v>47</v>
      </c>
      <c r="C547" s="2">
        <v>27</v>
      </c>
    </row>
    <row r="548" spans="1:3" x14ac:dyDescent="0.25">
      <c r="A548" s="3">
        <v>41299</v>
      </c>
      <c r="B548" s="2" t="s">
        <v>40</v>
      </c>
      <c r="C548" s="2">
        <v>33</v>
      </c>
    </row>
    <row r="549" spans="1:3" x14ac:dyDescent="0.25">
      <c r="A549" s="3">
        <v>41633</v>
      </c>
      <c r="B549" s="2" t="s">
        <v>3</v>
      </c>
      <c r="C549" s="2">
        <v>33</v>
      </c>
    </row>
    <row r="550" spans="1:3" x14ac:dyDescent="0.25">
      <c r="A550" s="3">
        <v>41595</v>
      </c>
      <c r="B550" s="2" t="s">
        <v>4</v>
      </c>
      <c r="C550" s="2">
        <v>37</v>
      </c>
    </row>
    <row r="551" spans="1:3" x14ac:dyDescent="0.25">
      <c r="A551" s="3">
        <v>41751</v>
      </c>
      <c r="B551" s="2" t="s">
        <v>27</v>
      </c>
      <c r="C551" s="2">
        <v>24</v>
      </c>
    </row>
    <row r="552" spans="1:3" x14ac:dyDescent="0.25">
      <c r="A552" s="3">
        <v>41958</v>
      </c>
      <c r="B552" s="2" t="s">
        <v>29</v>
      </c>
      <c r="C552" s="2">
        <v>27</v>
      </c>
    </row>
    <row r="553" spans="1:3" x14ac:dyDescent="0.25">
      <c r="A553" s="3">
        <v>41881</v>
      </c>
      <c r="B553" s="2" t="s">
        <v>24</v>
      </c>
      <c r="C553" s="2">
        <v>19</v>
      </c>
    </row>
    <row r="554" spans="1:3" x14ac:dyDescent="0.25">
      <c r="A554" s="3">
        <v>41994</v>
      </c>
      <c r="B554" s="2" t="s">
        <v>44</v>
      </c>
      <c r="C554" s="2">
        <v>18</v>
      </c>
    </row>
    <row r="555" spans="1:3" x14ac:dyDescent="0.25">
      <c r="A555" s="3">
        <v>41450</v>
      </c>
      <c r="B555" s="2" t="s">
        <v>9</v>
      </c>
      <c r="C555" s="2">
        <v>10</v>
      </c>
    </row>
    <row r="556" spans="1:3" x14ac:dyDescent="0.25">
      <c r="A556" s="3">
        <v>41399</v>
      </c>
      <c r="B556" s="2" t="s">
        <v>17</v>
      </c>
      <c r="C556" s="2">
        <v>20</v>
      </c>
    </row>
    <row r="557" spans="1:3" x14ac:dyDescent="0.25">
      <c r="A557" s="3">
        <v>41785</v>
      </c>
      <c r="B557" s="2" t="s">
        <v>33</v>
      </c>
      <c r="C557" s="2">
        <v>8</v>
      </c>
    </row>
    <row r="558" spans="1:3" x14ac:dyDescent="0.25">
      <c r="A558" s="3">
        <v>41503</v>
      </c>
      <c r="B558" s="2" t="s">
        <v>31</v>
      </c>
      <c r="C558" s="2">
        <v>44</v>
      </c>
    </row>
    <row r="559" spans="1:3" x14ac:dyDescent="0.25">
      <c r="A559" s="3">
        <v>41741</v>
      </c>
      <c r="B559" s="2" t="s">
        <v>4</v>
      </c>
      <c r="C559" s="2">
        <v>20</v>
      </c>
    </row>
    <row r="560" spans="1:3" x14ac:dyDescent="0.25">
      <c r="A560" s="3">
        <v>41315</v>
      </c>
      <c r="B560" s="2" t="s">
        <v>47</v>
      </c>
      <c r="C560" s="2">
        <v>26</v>
      </c>
    </row>
    <row r="561" spans="1:3" x14ac:dyDescent="0.25">
      <c r="A561" s="3">
        <v>41342</v>
      </c>
      <c r="B561" s="2" t="s">
        <v>8</v>
      </c>
      <c r="C561" s="2">
        <v>21</v>
      </c>
    </row>
    <row r="562" spans="1:3" x14ac:dyDescent="0.25">
      <c r="A562" s="3">
        <v>41380</v>
      </c>
      <c r="B562" s="2" t="s">
        <v>7</v>
      </c>
      <c r="C562" s="2">
        <v>31</v>
      </c>
    </row>
    <row r="563" spans="1:3" x14ac:dyDescent="0.25">
      <c r="A563" s="3">
        <v>41432</v>
      </c>
      <c r="B563" s="2" t="s">
        <v>26</v>
      </c>
      <c r="C563" s="2">
        <v>27</v>
      </c>
    </row>
    <row r="564" spans="1:3" x14ac:dyDescent="0.25">
      <c r="A564" s="3">
        <v>41973</v>
      </c>
      <c r="B564" s="2" t="s">
        <v>8</v>
      </c>
      <c r="C564" s="2">
        <v>14</v>
      </c>
    </row>
    <row r="565" spans="1:3" x14ac:dyDescent="0.25">
      <c r="A565" s="3">
        <v>41283</v>
      </c>
      <c r="B565" s="2" t="s">
        <v>45</v>
      </c>
      <c r="C565" s="2">
        <v>3</v>
      </c>
    </row>
    <row r="566" spans="1:3" x14ac:dyDescent="0.25">
      <c r="A566" s="3">
        <v>41524</v>
      </c>
      <c r="B566" s="2" t="s">
        <v>49</v>
      </c>
      <c r="C566" s="2">
        <v>40</v>
      </c>
    </row>
    <row r="567" spans="1:3" x14ac:dyDescent="0.25">
      <c r="A567" s="3">
        <v>41612</v>
      </c>
      <c r="B567" s="2" t="s">
        <v>29</v>
      </c>
      <c r="C567" s="2">
        <v>21</v>
      </c>
    </row>
    <row r="568" spans="1:3" x14ac:dyDescent="0.25">
      <c r="A568" s="3">
        <v>41753</v>
      </c>
      <c r="B568" s="2" t="s">
        <v>17</v>
      </c>
      <c r="C568" s="2">
        <v>28</v>
      </c>
    </row>
    <row r="569" spans="1:3" x14ac:dyDescent="0.25">
      <c r="A569" s="3">
        <v>41467</v>
      </c>
      <c r="B569" s="2" t="s">
        <v>48</v>
      </c>
      <c r="C569" s="2">
        <v>44</v>
      </c>
    </row>
    <row r="570" spans="1:3" x14ac:dyDescent="0.25">
      <c r="A570" s="3">
        <v>41280</v>
      </c>
      <c r="B570" s="2" t="s">
        <v>4</v>
      </c>
      <c r="C570" s="2">
        <v>32</v>
      </c>
    </row>
    <row r="571" spans="1:3" x14ac:dyDescent="0.25">
      <c r="A571" s="3">
        <v>41815</v>
      </c>
      <c r="B571" s="2" t="s">
        <v>6</v>
      </c>
      <c r="C571" s="2">
        <v>27</v>
      </c>
    </row>
    <row r="572" spans="1:3" x14ac:dyDescent="0.25">
      <c r="A572" s="3">
        <v>41804</v>
      </c>
      <c r="B572" s="2" t="s">
        <v>22</v>
      </c>
      <c r="C572" s="2">
        <v>18</v>
      </c>
    </row>
    <row r="573" spans="1:3" x14ac:dyDescent="0.25">
      <c r="A573" s="3">
        <v>41414</v>
      </c>
      <c r="B573" s="2" t="s">
        <v>33</v>
      </c>
      <c r="C573" s="2">
        <v>28</v>
      </c>
    </row>
    <row r="574" spans="1:3" x14ac:dyDescent="0.25">
      <c r="A574" s="3">
        <v>41680</v>
      </c>
      <c r="B574" s="2" t="s">
        <v>13</v>
      </c>
      <c r="C574" s="2">
        <v>14</v>
      </c>
    </row>
    <row r="575" spans="1:3" x14ac:dyDescent="0.25">
      <c r="A575" s="3">
        <v>41325</v>
      </c>
      <c r="B575" s="2" t="s">
        <v>7</v>
      </c>
      <c r="C575" s="2">
        <v>17</v>
      </c>
    </row>
    <row r="576" spans="1:3" x14ac:dyDescent="0.25">
      <c r="A576" s="3">
        <v>41782</v>
      </c>
      <c r="B576" s="2" t="s">
        <v>14</v>
      </c>
      <c r="C576" s="2">
        <v>41</v>
      </c>
    </row>
    <row r="577" spans="1:3" x14ac:dyDescent="0.25">
      <c r="A577" s="3">
        <v>41979</v>
      </c>
      <c r="B577" s="2" t="s">
        <v>20</v>
      </c>
      <c r="C577" s="2">
        <v>4</v>
      </c>
    </row>
    <row r="578" spans="1:3" x14ac:dyDescent="0.25">
      <c r="A578" s="3">
        <v>41874</v>
      </c>
      <c r="B578" s="2" t="s">
        <v>29</v>
      </c>
      <c r="C578" s="2">
        <v>3</v>
      </c>
    </row>
    <row r="579" spans="1:3" x14ac:dyDescent="0.25">
      <c r="A579" s="3">
        <v>41344</v>
      </c>
      <c r="B579" s="2" t="s">
        <v>26</v>
      </c>
      <c r="C579" s="2">
        <v>34</v>
      </c>
    </row>
    <row r="580" spans="1:3" x14ac:dyDescent="0.25">
      <c r="A580" s="3">
        <v>41765</v>
      </c>
      <c r="B580" s="2" t="s">
        <v>7</v>
      </c>
      <c r="C580" s="2">
        <v>6</v>
      </c>
    </row>
    <row r="581" spans="1:3" x14ac:dyDescent="0.25">
      <c r="A581" s="3">
        <v>41734</v>
      </c>
      <c r="B581" s="2" t="s">
        <v>2</v>
      </c>
      <c r="C581" s="2">
        <v>40</v>
      </c>
    </row>
    <row r="582" spans="1:3" x14ac:dyDescent="0.25">
      <c r="A582" s="3">
        <v>41855</v>
      </c>
      <c r="B582" s="2" t="s">
        <v>17</v>
      </c>
      <c r="C582" s="2">
        <v>21</v>
      </c>
    </row>
    <row r="583" spans="1:3" x14ac:dyDescent="0.25">
      <c r="A583" s="3">
        <v>41288</v>
      </c>
      <c r="B583" s="2" t="s">
        <v>51</v>
      </c>
      <c r="C583" s="2">
        <v>30</v>
      </c>
    </row>
    <row r="584" spans="1:3" x14ac:dyDescent="0.25">
      <c r="A584" s="3">
        <v>41825</v>
      </c>
      <c r="B584" s="2" t="s">
        <v>26</v>
      </c>
      <c r="C584" s="2">
        <v>8</v>
      </c>
    </row>
    <row r="585" spans="1:3" x14ac:dyDescent="0.25">
      <c r="A585" s="3">
        <v>41853</v>
      </c>
      <c r="B585" s="2" t="s">
        <v>32</v>
      </c>
      <c r="C585" s="2">
        <v>44</v>
      </c>
    </row>
    <row r="586" spans="1:3" x14ac:dyDescent="0.25">
      <c r="A586" s="3">
        <v>41626</v>
      </c>
      <c r="B586" s="2" t="s">
        <v>5</v>
      </c>
      <c r="C586" s="2">
        <v>29</v>
      </c>
    </row>
    <row r="587" spans="1:3" x14ac:dyDescent="0.25">
      <c r="A587" s="3">
        <v>41641</v>
      </c>
      <c r="B587" s="2" t="s">
        <v>21</v>
      </c>
      <c r="C587" s="2">
        <v>52</v>
      </c>
    </row>
    <row r="588" spans="1:3" x14ac:dyDescent="0.25">
      <c r="A588" s="3">
        <v>41278</v>
      </c>
      <c r="B588" s="2" t="s">
        <v>31</v>
      </c>
      <c r="C588" s="2">
        <v>48</v>
      </c>
    </row>
    <row r="589" spans="1:3" x14ac:dyDescent="0.25">
      <c r="A589" s="3">
        <v>41509</v>
      </c>
      <c r="B589" s="2" t="s">
        <v>43</v>
      </c>
      <c r="C589" s="2">
        <v>23</v>
      </c>
    </row>
    <row r="590" spans="1:3" x14ac:dyDescent="0.25">
      <c r="A590" s="3">
        <v>41752</v>
      </c>
      <c r="B590" s="2" t="s">
        <v>11</v>
      </c>
      <c r="C590" s="2">
        <v>36</v>
      </c>
    </row>
    <row r="591" spans="1:3" x14ac:dyDescent="0.25">
      <c r="A591" s="3">
        <v>41415</v>
      </c>
      <c r="B591" s="2" t="s">
        <v>19</v>
      </c>
      <c r="C591" s="2">
        <v>49</v>
      </c>
    </row>
    <row r="592" spans="1:3" x14ac:dyDescent="0.25">
      <c r="A592" s="3">
        <v>41303</v>
      </c>
      <c r="B592" s="2" t="s">
        <v>5</v>
      </c>
      <c r="C592" s="2">
        <v>48</v>
      </c>
    </row>
    <row r="593" spans="1:3" x14ac:dyDescent="0.25">
      <c r="A593" s="3">
        <v>41768</v>
      </c>
      <c r="B593" s="2" t="s">
        <v>2</v>
      </c>
      <c r="C593" s="2">
        <v>47</v>
      </c>
    </row>
    <row r="594" spans="1:3" x14ac:dyDescent="0.25">
      <c r="A594" s="3">
        <v>41291</v>
      </c>
      <c r="B594" s="2" t="s">
        <v>40</v>
      </c>
      <c r="C594" s="2">
        <v>36</v>
      </c>
    </row>
    <row r="595" spans="1:3" x14ac:dyDescent="0.25">
      <c r="A595" s="3">
        <v>41732</v>
      </c>
      <c r="B595" s="2" t="s">
        <v>50</v>
      </c>
      <c r="C595" s="2">
        <v>33</v>
      </c>
    </row>
    <row r="596" spans="1:3" x14ac:dyDescent="0.25">
      <c r="A596" s="3">
        <v>41596</v>
      </c>
      <c r="B596" s="2" t="s">
        <v>35</v>
      </c>
      <c r="C596" s="2">
        <v>19</v>
      </c>
    </row>
    <row r="597" spans="1:3" x14ac:dyDescent="0.25">
      <c r="A597" s="3">
        <v>41861</v>
      </c>
      <c r="B597" s="2" t="s">
        <v>6</v>
      </c>
      <c r="C597" s="2">
        <v>38</v>
      </c>
    </row>
    <row r="598" spans="1:3" x14ac:dyDescent="0.25">
      <c r="A598" s="3">
        <v>41488</v>
      </c>
      <c r="B598" s="2" t="s">
        <v>24</v>
      </c>
      <c r="C598" s="2">
        <v>11</v>
      </c>
    </row>
    <row r="599" spans="1:3" x14ac:dyDescent="0.25">
      <c r="A599" s="3">
        <v>41325</v>
      </c>
      <c r="B599" s="2" t="s">
        <v>9</v>
      </c>
      <c r="C599" s="2">
        <v>31</v>
      </c>
    </row>
    <row r="600" spans="1:3" x14ac:dyDescent="0.25">
      <c r="A600" s="3">
        <v>41678</v>
      </c>
      <c r="B600" s="2" t="s">
        <v>5</v>
      </c>
      <c r="C600" s="2">
        <v>11</v>
      </c>
    </row>
    <row r="601" spans="1:3" x14ac:dyDescent="0.25">
      <c r="A601" s="3">
        <v>41380</v>
      </c>
      <c r="B601" s="2" t="s">
        <v>21</v>
      </c>
      <c r="C601" s="2">
        <v>31</v>
      </c>
    </row>
    <row r="602" spans="1:3" x14ac:dyDescent="0.25">
      <c r="A602" s="3">
        <v>41664</v>
      </c>
      <c r="B602" s="2" t="s">
        <v>41</v>
      </c>
      <c r="C602" s="2">
        <v>17</v>
      </c>
    </row>
    <row r="603" spans="1:3" x14ac:dyDescent="0.25">
      <c r="A603" s="3">
        <v>41403</v>
      </c>
      <c r="B603" s="2" t="s">
        <v>24</v>
      </c>
      <c r="C603" s="2">
        <v>14</v>
      </c>
    </row>
    <row r="604" spans="1:3" x14ac:dyDescent="0.25">
      <c r="A604" s="3">
        <v>41695</v>
      </c>
      <c r="B604" s="2" t="s">
        <v>46</v>
      </c>
      <c r="C604" s="2">
        <v>44</v>
      </c>
    </row>
    <row r="605" spans="1:3" x14ac:dyDescent="0.25">
      <c r="A605" s="3">
        <v>41569</v>
      </c>
      <c r="B605" s="2" t="s">
        <v>18</v>
      </c>
      <c r="C605" s="2">
        <v>34</v>
      </c>
    </row>
    <row r="606" spans="1:3" x14ac:dyDescent="0.25">
      <c r="A606" s="3">
        <v>41508</v>
      </c>
      <c r="B606" s="2" t="s">
        <v>48</v>
      </c>
      <c r="C606" s="2">
        <v>49</v>
      </c>
    </row>
    <row r="607" spans="1:3" x14ac:dyDescent="0.25">
      <c r="A607" s="3">
        <v>41585</v>
      </c>
      <c r="B607" s="2" t="s">
        <v>41</v>
      </c>
      <c r="C607" s="2">
        <v>18</v>
      </c>
    </row>
    <row r="608" spans="1:3" x14ac:dyDescent="0.25">
      <c r="A608" s="3">
        <v>41599</v>
      </c>
      <c r="B608" s="2" t="s">
        <v>31</v>
      </c>
      <c r="C608" s="2">
        <v>14</v>
      </c>
    </row>
    <row r="609" spans="1:3" x14ac:dyDescent="0.25">
      <c r="A609" s="3">
        <v>41638</v>
      </c>
      <c r="B609" s="2" t="s">
        <v>5</v>
      </c>
      <c r="C609" s="2">
        <v>9</v>
      </c>
    </row>
    <row r="610" spans="1:3" x14ac:dyDescent="0.25">
      <c r="A610" s="3">
        <v>42004</v>
      </c>
      <c r="B610" s="2" t="s">
        <v>14</v>
      </c>
      <c r="C610" s="2">
        <v>47</v>
      </c>
    </row>
    <row r="611" spans="1:3" x14ac:dyDescent="0.25">
      <c r="A611" s="3">
        <v>41524</v>
      </c>
      <c r="B611" s="2" t="s">
        <v>15</v>
      </c>
      <c r="C611" s="2">
        <v>28</v>
      </c>
    </row>
    <row r="612" spans="1:3" x14ac:dyDescent="0.25">
      <c r="A612" s="3">
        <v>41719</v>
      </c>
      <c r="B612" s="2" t="s">
        <v>5</v>
      </c>
      <c r="C612" s="2">
        <v>51</v>
      </c>
    </row>
    <row r="613" spans="1:3" x14ac:dyDescent="0.25">
      <c r="A613" s="3">
        <v>41346</v>
      </c>
      <c r="B613" s="2" t="s">
        <v>3</v>
      </c>
      <c r="C613" s="2">
        <v>43</v>
      </c>
    </row>
    <row r="614" spans="1:3" x14ac:dyDescent="0.25">
      <c r="A614" s="3">
        <v>41592</v>
      </c>
      <c r="B614" s="2" t="s">
        <v>25</v>
      </c>
      <c r="C614" s="2">
        <v>5</v>
      </c>
    </row>
    <row r="615" spans="1:3" x14ac:dyDescent="0.25">
      <c r="A615" s="3">
        <v>41606</v>
      </c>
      <c r="B615" s="2" t="s">
        <v>42</v>
      </c>
      <c r="C615" s="2">
        <v>5</v>
      </c>
    </row>
    <row r="616" spans="1:3" x14ac:dyDescent="0.25">
      <c r="A616" s="3">
        <v>41413</v>
      </c>
      <c r="B616" s="2" t="s">
        <v>9</v>
      </c>
      <c r="C616" s="2">
        <v>35</v>
      </c>
    </row>
    <row r="617" spans="1:3" x14ac:dyDescent="0.25">
      <c r="A617" s="3">
        <v>41724</v>
      </c>
      <c r="B617" s="2" t="s">
        <v>41</v>
      </c>
      <c r="C617" s="2">
        <v>34</v>
      </c>
    </row>
    <row r="618" spans="1:3" x14ac:dyDescent="0.25">
      <c r="A618" s="3">
        <v>41304</v>
      </c>
      <c r="B618" s="2" t="s">
        <v>8</v>
      </c>
      <c r="C618" s="2">
        <v>9</v>
      </c>
    </row>
    <row r="619" spans="1:3" x14ac:dyDescent="0.25">
      <c r="A619" s="3">
        <v>41851</v>
      </c>
      <c r="B619" s="2" t="s">
        <v>17</v>
      </c>
      <c r="C619" s="2">
        <v>13</v>
      </c>
    </row>
    <row r="620" spans="1:3" x14ac:dyDescent="0.25">
      <c r="A620" s="3">
        <v>41365</v>
      </c>
      <c r="B620" s="2" t="s">
        <v>13</v>
      </c>
      <c r="C620" s="2">
        <v>10</v>
      </c>
    </row>
    <row r="621" spans="1:3" x14ac:dyDescent="0.25">
      <c r="A621" s="3">
        <v>41909</v>
      </c>
      <c r="B621" s="2" t="s">
        <v>9</v>
      </c>
      <c r="C621" s="2">
        <v>29</v>
      </c>
    </row>
    <row r="622" spans="1:3" x14ac:dyDescent="0.25">
      <c r="A622" s="3">
        <v>41314</v>
      </c>
      <c r="B622" s="2" t="s">
        <v>20</v>
      </c>
      <c r="C622" s="2">
        <v>27</v>
      </c>
    </row>
    <row r="623" spans="1:3" x14ac:dyDescent="0.25">
      <c r="A623" s="3">
        <v>41601</v>
      </c>
      <c r="B623" s="2" t="s">
        <v>37</v>
      </c>
      <c r="C623" s="2">
        <v>44</v>
      </c>
    </row>
    <row r="624" spans="1:3" x14ac:dyDescent="0.25">
      <c r="A624" s="3">
        <v>41465</v>
      </c>
      <c r="B624" s="2" t="s">
        <v>28</v>
      </c>
      <c r="C624" s="2">
        <v>34</v>
      </c>
    </row>
    <row r="625" spans="1:3" x14ac:dyDescent="0.25">
      <c r="A625" s="3">
        <v>41684</v>
      </c>
      <c r="B625" s="2" t="s">
        <v>50</v>
      </c>
      <c r="C625" s="2">
        <v>17</v>
      </c>
    </row>
    <row r="626" spans="1:3" x14ac:dyDescent="0.25">
      <c r="A626" s="3">
        <v>41664</v>
      </c>
      <c r="B626" s="2" t="s">
        <v>3</v>
      </c>
      <c r="C626" s="2">
        <v>17</v>
      </c>
    </row>
    <row r="627" spans="1:3" x14ac:dyDescent="0.25">
      <c r="A627" s="3">
        <v>41706</v>
      </c>
      <c r="B627" s="2" t="s">
        <v>19</v>
      </c>
      <c r="C627" s="2">
        <v>6</v>
      </c>
    </row>
    <row r="628" spans="1:3" x14ac:dyDescent="0.25">
      <c r="A628" s="3">
        <v>41871</v>
      </c>
      <c r="B628" s="2" t="s">
        <v>19</v>
      </c>
      <c r="C628" s="2">
        <v>22</v>
      </c>
    </row>
    <row r="629" spans="1:3" x14ac:dyDescent="0.25">
      <c r="A629" s="3">
        <v>41927</v>
      </c>
      <c r="B629" s="2" t="s">
        <v>16</v>
      </c>
      <c r="C629" s="2">
        <v>23</v>
      </c>
    </row>
    <row r="630" spans="1:3" x14ac:dyDescent="0.25">
      <c r="A630" s="3">
        <v>41974</v>
      </c>
      <c r="B630" s="2" t="s">
        <v>39</v>
      </c>
      <c r="C630" s="2">
        <v>22</v>
      </c>
    </row>
    <row r="631" spans="1:3" x14ac:dyDescent="0.25">
      <c r="A631" s="3">
        <v>41665</v>
      </c>
      <c r="B631" s="2" t="s">
        <v>3</v>
      </c>
      <c r="C631" s="2">
        <v>22</v>
      </c>
    </row>
    <row r="632" spans="1:3" x14ac:dyDescent="0.25">
      <c r="A632" s="3">
        <v>41514</v>
      </c>
      <c r="B632" s="2" t="s">
        <v>12</v>
      </c>
      <c r="C632" s="2">
        <v>15</v>
      </c>
    </row>
    <row r="633" spans="1:3" x14ac:dyDescent="0.25">
      <c r="A633" s="3">
        <v>41676</v>
      </c>
      <c r="B633" s="2" t="s">
        <v>40</v>
      </c>
      <c r="C633" s="2">
        <v>22</v>
      </c>
    </row>
    <row r="634" spans="1:3" x14ac:dyDescent="0.25">
      <c r="A634" s="3">
        <v>41484</v>
      </c>
      <c r="B634" s="2" t="s">
        <v>19</v>
      </c>
      <c r="C634" s="2">
        <v>9</v>
      </c>
    </row>
    <row r="635" spans="1:3" x14ac:dyDescent="0.25">
      <c r="A635" s="3">
        <v>41810</v>
      </c>
      <c r="B635" s="2" t="s">
        <v>7</v>
      </c>
      <c r="C635" s="2">
        <v>30</v>
      </c>
    </row>
    <row r="636" spans="1:3" x14ac:dyDescent="0.25">
      <c r="A636" s="3">
        <v>41760</v>
      </c>
      <c r="B636" s="2" t="s">
        <v>5</v>
      </c>
      <c r="C636" s="2">
        <v>7</v>
      </c>
    </row>
    <row r="637" spans="1:3" x14ac:dyDescent="0.25">
      <c r="A637" s="3">
        <v>41450</v>
      </c>
      <c r="B637" s="2" t="s">
        <v>5</v>
      </c>
      <c r="C637" s="2">
        <v>7</v>
      </c>
    </row>
    <row r="638" spans="1:3" x14ac:dyDescent="0.25">
      <c r="A638" s="3">
        <v>41581</v>
      </c>
      <c r="B638" s="2" t="s">
        <v>31</v>
      </c>
      <c r="C638" s="2">
        <v>33</v>
      </c>
    </row>
    <row r="639" spans="1:3" x14ac:dyDescent="0.25">
      <c r="A639" s="3">
        <v>41474</v>
      </c>
      <c r="B639" s="2" t="s">
        <v>11</v>
      </c>
      <c r="C639" s="2">
        <v>21</v>
      </c>
    </row>
    <row r="640" spans="1:3" x14ac:dyDescent="0.25">
      <c r="A640" s="3">
        <v>41990</v>
      </c>
      <c r="B640" s="2" t="s">
        <v>35</v>
      </c>
      <c r="C640" s="2">
        <v>4</v>
      </c>
    </row>
    <row r="641" spans="1:3" x14ac:dyDescent="0.25">
      <c r="A641" s="3">
        <v>41421</v>
      </c>
      <c r="B641" s="2" t="s">
        <v>37</v>
      </c>
      <c r="C641" s="2">
        <v>23</v>
      </c>
    </row>
    <row r="642" spans="1:3" x14ac:dyDescent="0.25">
      <c r="A642" s="3">
        <v>41993</v>
      </c>
      <c r="B642" s="2" t="s">
        <v>18</v>
      </c>
      <c r="C642" s="2">
        <v>16</v>
      </c>
    </row>
    <row r="643" spans="1:3" x14ac:dyDescent="0.25">
      <c r="A643" s="3">
        <v>41848</v>
      </c>
      <c r="B643" s="2" t="s">
        <v>37</v>
      </c>
      <c r="C643" s="2">
        <v>25</v>
      </c>
    </row>
    <row r="644" spans="1:3" x14ac:dyDescent="0.25">
      <c r="A644" s="3">
        <v>41800</v>
      </c>
      <c r="B644" s="2" t="s">
        <v>4</v>
      </c>
      <c r="C644" s="2">
        <v>5</v>
      </c>
    </row>
    <row r="645" spans="1:3" x14ac:dyDescent="0.25">
      <c r="A645" s="3">
        <v>41803</v>
      </c>
      <c r="B645" s="2" t="s">
        <v>46</v>
      </c>
      <c r="C645" s="2">
        <v>23</v>
      </c>
    </row>
    <row r="646" spans="1:3" x14ac:dyDescent="0.25">
      <c r="A646" s="3">
        <v>41916</v>
      </c>
      <c r="B646" s="2" t="s">
        <v>39</v>
      </c>
      <c r="C646" s="2">
        <v>30</v>
      </c>
    </row>
    <row r="647" spans="1:3" x14ac:dyDescent="0.25">
      <c r="A647" s="3">
        <v>41622</v>
      </c>
      <c r="B647" s="2" t="s">
        <v>21</v>
      </c>
      <c r="C647" s="2">
        <v>24</v>
      </c>
    </row>
    <row r="648" spans="1:3" x14ac:dyDescent="0.25">
      <c r="A648" s="3">
        <v>41875</v>
      </c>
      <c r="B648" s="2" t="s">
        <v>26</v>
      </c>
      <c r="C648" s="2">
        <v>27</v>
      </c>
    </row>
    <row r="649" spans="1:3" x14ac:dyDescent="0.25">
      <c r="A649" s="3">
        <v>41354</v>
      </c>
      <c r="B649" s="2" t="s">
        <v>14</v>
      </c>
      <c r="C649" s="2">
        <v>55</v>
      </c>
    </row>
    <row r="650" spans="1:3" x14ac:dyDescent="0.25">
      <c r="A650" s="3">
        <v>41604</v>
      </c>
      <c r="B650" s="2" t="s">
        <v>20</v>
      </c>
      <c r="C650" s="2">
        <v>17</v>
      </c>
    </row>
    <row r="651" spans="1:3" x14ac:dyDescent="0.25">
      <c r="A651" s="3">
        <v>41902</v>
      </c>
      <c r="B651" s="2" t="s">
        <v>33</v>
      </c>
      <c r="C651" s="2">
        <v>40</v>
      </c>
    </row>
    <row r="652" spans="1:3" x14ac:dyDescent="0.25">
      <c r="A652" s="3">
        <v>41390</v>
      </c>
      <c r="B652" s="2" t="s">
        <v>3</v>
      </c>
      <c r="C652" s="2">
        <v>43</v>
      </c>
    </row>
    <row r="653" spans="1:3" x14ac:dyDescent="0.25">
      <c r="A653" s="3">
        <v>41325</v>
      </c>
      <c r="B653" s="2" t="s">
        <v>43</v>
      </c>
      <c r="C653" s="2">
        <v>43</v>
      </c>
    </row>
    <row r="654" spans="1:3" x14ac:dyDescent="0.25">
      <c r="A654" s="3">
        <v>41872</v>
      </c>
      <c r="B654" s="2" t="s">
        <v>48</v>
      </c>
      <c r="C654" s="2">
        <v>44</v>
      </c>
    </row>
    <row r="655" spans="1:3" x14ac:dyDescent="0.25">
      <c r="A655" s="3">
        <v>41874</v>
      </c>
      <c r="B655" s="2" t="s">
        <v>36</v>
      </c>
      <c r="C655" s="2">
        <v>38</v>
      </c>
    </row>
    <row r="656" spans="1:3" x14ac:dyDescent="0.25">
      <c r="A656" s="3">
        <v>41929</v>
      </c>
      <c r="B656" s="2" t="s">
        <v>33</v>
      </c>
      <c r="C656" s="2">
        <v>1</v>
      </c>
    </row>
    <row r="657" spans="1:3" x14ac:dyDescent="0.25">
      <c r="A657" s="3">
        <v>41346</v>
      </c>
      <c r="B657" s="2" t="s">
        <v>11</v>
      </c>
      <c r="C657" s="2">
        <v>46</v>
      </c>
    </row>
    <row r="658" spans="1:3" x14ac:dyDescent="0.25">
      <c r="A658" s="3">
        <v>42001</v>
      </c>
      <c r="B658" s="2" t="s">
        <v>9</v>
      </c>
      <c r="C658" s="2">
        <v>4</v>
      </c>
    </row>
    <row r="659" spans="1:3" x14ac:dyDescent="0.25">
      <c r="A659" s="3">
        <v>41378</v>
      </c>
      <c r="B659" s="2" t="s">
        <v>19</v>
      </c>
      <c r="C659" s="2">
        <v>22</v>
      </c>
    </row>
    <row r="660" spans="1:3" x14ac:dyDescent="0.25">
      <c r="A660" s="3">
        <v>41833</v>
      </c>
      <c r="B660" s="2" t="s">
        <v>24</v>
      </c>
      <c r="C660" s="2">
        <v>41</v>
      </c>
    </row>
    <row r="661" spans="1:3" x14ac:dyDescent="0.25">
      <c r="A661" s="3">
        <v>41354</v>
      </c>
      <c r="B661" s="2" t="s">
        <v>39</v>
      </c>
      <c r="C661" s="2">
        <v>8</v>
      </c>
    </row>
    <row r="662" spans="1:3" x14ac:dyDescent="0.25">
      <c r="A662" s="3">
        <v>41530</v>
      </c>
      <c r="B662" s="2" t="s">
        <v>14</v>
      </c>
      <c r="C662" s="2">
        <v>15</v>
      </c>
    </row>
    <row r="663" spans="1:3" x14ac:dyDescent="0.25">
      <c r="A663" s="3">
        <v>41729</v>
      </c>
      <c r="B663" s="2" t="s">
        <v>26</v>
      </c>
      <c r="C663" s="2">
        <v>26</v>
      </c>
    </row>
    <row r="664" spans="1:3" x14ac:dyDescent="0.25">
      <c r="A664" s="3">
        <v>41654</v>
      </c>
      <c r="B664" s="2" t="s">
        <v>46</v>
      </c>
      <c r="C664" s="2">
        <v>12</v>
      </c>
    </row>
    <row r="665" spans="1:3" x14ac:dyDescent="0.25">
      <c r="A665" s="3">
        <v>41739</v>
      </c>
      <c r="B665" s="2" t="s">
        <v>7</v>
      </c>
      <c r="C665" s="2">
        <v>35</v>
      </c>
    </row>
    <row r="666" spans="1:3" x14ac:dyDescent="0.25">
      <c r="A666" s="3">
        <v>41305</v>
      </c>
      <c r="B666" s="2" t="s">
        <v>11</v>
      </c>
      <c r="C666" s="2">
        <v>39</v>
      </c>
    </row>
    <row r="667" spans="1:3" x14ac:dyDescent="0.25">
      <c r="A667" s="3">
        <v>41906</v>
      </c>
      <c r="B667" s="2" t="s">
        <v>27</v>
      </c>
      <c r="C667" s="2">
        <v>31</v>
      </c>
    </row>
    <row r="668" spans="1:3" x14ac:dyDescent="0.25">
      <c r="A668" s="3">
        <v>41363</v>
      </c>
      <c r="B668" s="2" t="s">
        <v>5</v>
      </c>
      <c r="C668" s="2">
        <v>16</v>
      </c>
    </row>
    <row r="669" spans="1:3" x14ac:dyDescent="0.25">
      <c r="A669" s="3">
        <v>41869</v>
      </c>
      <c r="B669" s="2" t="s">
        <v>43</v>
      </c>
      <c r="C669" s="2">
        <v>16</v>
      </c>
    </row>
    <row r="670" spans="1:3" x14ac:dyDescent="0.25">
      <c r="A670" s="3">
        <v>41590</v>
      </c>
      <c r="B670" s="2" t="s">
        <v>9</v>
      </c>
      <c r="C670" s="2">
        <v>16</v>
      </c>
    </row>
    <row r="671" spans="1:3" x14ac:dyDescent="0.25">
      <c r="A671" s="3">
        <v>41414</v>
      </c>
      <c r="B671" s="2" t="s">
        <v>8</v>
      </c>
      <c r="C671" s="2">
        <v>50</v>
      </c>
    </row>
    <row r="672" spans="1:3" x14ac:dyDescent="0.25">
      <c r="A672" s="3">
        <v>41540</v>
      </c>
      <c r="B672" s="2" t="s">
        <v>25</v>
      </c>
      <c r="C672" s="2">
        <v>45</v>
      </c>
    </row>
    <row r="673" spans="1:3" x14ac:dyDescent="0.25">
      <c r="A673" s="3">
        <v>41537</v>
      </c>
      <c r="B673" s="2" t="s">
        <v>25</v>
      </c>
      <c r="C673" s="2">
        <v>39</v>
      </c>
    </row>
    <row r="674" spans="1:3" x14ac:dyDescent="0.25">
      <c r="A674" s="3">
        <v>41682</v>
      </c>
      <c r="B674" s="2" t="s">
        <v>6</v>
      </c>
      <c r="C674" s="2">
        <v>8</v>
      </c>
    </row>
    <row r="675" spans="1:3" x14ac:dyDescent="0.25">
      <c r="A675" s="3">
        <v>41750</v>
      </c>
      <c r="B675" s="2" t="s">
        <v>8</v>
      </c>
      <c r="C675" s="2">
        <v>10</v>
      </c>
    </row>
    <row r="676" spans="1:3" x14ac:dyDescent="0.25">
      <c r="A676" s="3">
        <v>41566</v>
      </c>
      <c r="B676" s="2" t="s">
        <v>28</v>
      </c>
      <c r="C676" s="2">
        <v>11</v>
      </c>
    </row>
    <row r="677" spans="1:3" x14ac:dyDescent="0.25">
      <c r="A677" s="3">
        <v>41967</v>
      </c>
      <c r="B677" s="2" t="s">
        <v>35</v>
      </c>
      <c r="C677" s="2">
        <v>42</v>
      </c>
    </row>
    <row r="678" spans="1:3" x14ac:dyDescent="0.25">
      <c r="A678" s="3">
        <v>41409</v>
      </c>
      <c r="B678" s="2" t="s">
        <v>47</v>
      </c>
      <c r="C678" s="2">
        <v>0</v>
      </c>
    </row>
    <row r="679" spans="1:3" x14ac:dyDescent="0.25">
      <c r="A679" s="3">
        <v>41828</v>
      </c>
      <c r="B679" s="2" t="s">
        <v>12</v>
      </c>
      <c r="C679" s="2">
        <v>33</v>
      </c>
    </row>
    <row r="680" spans="1:3" x14ac:dyDescent="0.25">
      <c r="A680" s="3">
        <v>41308</v>
      </c>
      <c r="B680" s="2" t="s">
        <v>13</v>
      </c>
      <c r="C680" s="2">
        <v>28</v>
      </c>
    </row>
    <row r="681" spans="1:3" x14ac:dyDescent="0.25">
      <c r="A681" s="3">
        <v>41381</v>
      </c>
      <c r="B681" s="2" t="s">
        <v>50</v>
      </c>
      <c r="C681" s="2">
        <v>9</v>
      </c>
    </row>
    <row r="682" spans="1:3" x14ac:dyDescent="0.25">
      <c r="A682" s="3">
        <v>41309</v>
      </c>
      <c r="B682" s="2" t="s">
        <v>28</v>
      </c>
      <c r="C682" s="2">
        <v>27</v>
      </c>
    </row>
    <row r="683" spans="1:3" x14ac:dyDescent="0.25">
      <c r="A683" s="3">
        <v>41464</v>
      </c>
      <c r="B683" s="2" t="s">
        <v>7</v>
      </c>
      <c r="C683" s="2">
        <v>19</v>
      </c>
    </row>
    <row r="684" spans="1:3" x14ac:dyDescent="0.25">
      <c r="A684" s="3">
        <v>41788</v>
      </c>
      <c r="B684" s="2" t="s">
        <v>18</v>
      </c>
      <c r="C684" s="2">
        <v>13</v>
      </c>
    </row>
    <row r="685" spans="1:3" x14ac:dyDescent="0.25">
      <c r="A685" s="3">
        <v>41808</v>
      </c>
      <c r="B685" s="2" t="s">
        <v>44</v>
      </c>
      <c r="C685" s="2">
        <v>23</v>
      </c>
    </row>
    <row r="686" spans="1:3" x14ac:dyDescent="0.25">
      <c r="A686" s="3">
        <v>41524</v>
      </c>
      <c r="B686" s="2" t="s">
        <v>3</v>
      </c>
      <c r="C686" s="2">
        <v>29</v>
      </c>
    </row>
    <row r="687" spans="1:3" x14ac:dyDescent="0.25">
      <c r="A687" s="3">
        <v>41524</v>
      </c>
      <c r="B687" s="2" t="s">
        <v>46</v>
      </c>
      <c r="C687" s="2">
        <v>15</v>
      </c>
    </row>
    <row r="688" spans="1:3" x14ac:dyDescent="0.25">
      <c r="A688" s="3">
        <v>41362</v>
      </c>
      <c r="B688" s="2" t="s">
        <v>44</v>
      </c>
      <c r="C688" s="2">
        <v>43</v>
      </c>
    </row>
    <row r="689" spans="1:3" x14ac:dyDescent="0.25">
      <c r="A689" s="3">
        <v>41944</v>
      </c>
      <c r="B689" s="2" t="s">
        <v>20</v>
      </c>
      <c r="C689" s="2">
        <v>19</v>
      </c>
    </row>
    <row r="690" spans="1:3" x14ac:dyDescent="0.25">
      <c r="A690" s="3">
        <v>41488</v>
      </c>
      <c r="B690" s="2" t="s">
        <v>2</v>
      </c>
      <c r="C690" s="2">
        <v>26</v>
      </c>
    </row>
    <row r="691" spans="1:3" x14ac:dyDescent="0.25">
      <c r="A691" s="3">
        <v>41929</v>
      </c>
      <c r="B691" s="2" t="s">
        <v>2</v>
      </c>
      <c r="C691" s="2">
        <v>35</v>
      </c>
    </row>
    <row r="692" spans="1:3" x14ac:dyDescent="0.25">
      <c r="A692" s="3">
        <v>41978</v>
      </c>
      <c r="B692" s="2" t="s">
        <v>5</v>
      </c>
      <c r="C692" s="2">
        <v>7</v>
      </c>
    </row>
    <row r="693" spans="1:3" x14ac:dyDescent="0.25">
      <c r="A693" s="3">
        <v>41395</v>
      </c>
      <c r="B693" s="2" t="s">
        <v>14</v>
      </c>
      <c r="C693" s="2">
        <v>12</v>
      </c>
    </row>
    <row r="694" spans="1:3" x14ac:dyDescent="0.25">
      <c r="A694" s="3">
        <v>41911</v>
      </c>
      <c r="B694" s="2" t="s">
        <v>51</v>
      </c>
      <c r="C694" s="2">
        <v>5</v>
      </c>
    </row>
    <row r="695" spans="1:3" x14ac:dyDescent="0.25">
      <c r="A695" s="3">
        <v>41965</v>
      </c>
      <c r="B695" s="2" t="s">
        <v>37</v>
      </c>
      <c r="C695" s="2">
        <v>43</v>
      </c>
    </row>
    <row r="696" spans="1:3" x14ac:dyDescent="0.25">
      <c r="A696" s="3">
        <v>41712</v>
      </c>
      <c r="B696" s="2" t="s">
        <v>9</v>
      </c>
      <c r="C696" s="2">
        <v>6</v>
      </c>
    </row>
    <row r="697" spans="1:3" x14ac:dyDescent="0.25">
      <c r="A697" s="3">
        <v>41526</v>
      </c>
      <c r="B697" s="2" t="s">
        <v>7</v>
      </c>
      <c r="C697" s="2">
        <v>23</v>
      </c>
    </row>
    <row r="698" spans="1:3" x14ac:dyDescent="0.25">
      <c r="A698" s="3">
        <v>41608</v>
      </c>
      <c r="B698" s="2" t="s">
        <v>25</v>
      </c>
      <c r="C698" s="2">
        <v>36</v>
      </c>
    </row>
    <row r="699" spans="1:3" x14ac:dyDescent="0.25">
      <c r="A699" s="3">
        <v>41719</v>
      </c>
      <c r="B699" s="2" t="s">
        <v>49</v>
      </c>
      <c r="C699" s="2">
        <v>26</v>
      </c>
    </row>
    <row r="700" spans="1:3" x14ac:dyDescent="0.25">
      <c r="A700" s="3">
        <v>41661</v>
      </c>
      <c r="B700" s="2" t="s">
        <v>44</v>
      </c>
      <c r="C700" s="2">
        <v>44</v>
      </c>
    </row>
    <row r="701" spans="1:3" x14ac:dyDescent="0.25">
      <c r="A701" s="3">
        <v>41859</v>
      </c>
      <c r="B701" s="2" t="s">
        <v>25</v>
      </c>
      <c r="C701" s="2">
        <v>21</v>
      </c>
    </row>
    <row r="702" spans="1:3" x14ac:dyDescent="0.25">
      <c r="A702" s="3">
        <v>41986</v>
      </c>
      <c r="B702" s="2" t="s">
        <v>38</v>
      </c>
      <c r="C702" s="2">
        <v>7</v>
      </c>
    </row>
    <row r="703" spans="1:3" x14ac:dyDescent="0.25">
      <c r="A703" s="3">
        <v>41384</v>
      </c>
      <c r="B703" s="2" t="s">
        <v>3</v>
      </c>
      <c r="C703" s="2">
        <v>18</v>
      </c>
    </row>
    <row r="704" spans="1:3" x14ac:dyDescent="0.25">
      <c r="A704" s="3">
        <v>41726</v>
      </c>
      <c r="B704" s="2" t="s">
        <v>8</v>
      </c>
      <c r="C704" s="2">
        <v>20</v>
      </c>
    </row>
    <row r="705" spans="1:3" x14ac:dyDescent="0.25">
      <c r="A705" s="3">
        <v>42002</v>
      </c>
      <c r="B705" s="2" t="s">
        <v>12</v>
      </c>
      <c r="C705" s="2">
        <v>11</v>
      </c>
    </row>
    <row r="706" spans="1:3" x14ac:dyDescent="0.25">
      <c r="A706" s="3">
        <v>41608</v>
      </c>
      <c r="B706" s="2" t="s">
        <v>31</v>
      </c>
      <c r="C706" s="2">
        <v>2</v>
      </c>
    </row>
    <row r="707" spans="1:3" x14ac:dyDescent="0.25">
      <c r="A707" s="3">
        <v>41444</v>
      </c>
      <c r="B707" s="2" t="s">
        <v>44</v>
      </c>
      <c r="C707" s="2">
        <v>17</v>
      </c>
    </row>
    <row r="708" spans="1:3" x14ac:dyDescent="0.25">
      <c r="A708" s="3">
        <v>41429</v>
      </c>
      <c r="B708" s="2" t="s">
        <v>16</v>
      </c>
      <c r="C708" s="2">
        <v>8</v>
      </c>
    </row>
    <row r="709" spans="1:3" x14ac:dyDescent="0.25">
      <c r="A709" s="3">
        <v>41902</v>
      </c>
      <c r="B709" s="2" t="s">
        <v>26</v>
      </c>
      <c r="C709" s="2">
        <v>7</v>
      </c>
    </row>
    <row r="710" spans="1:3" x14ac:dyDescent="0.25">
      <c r="A710" s="3">
        <v>41598</v>
      </c>
      <c r="B710" s="2" t="s">
        <v>11</v>
      </c>
      <c r="C710" s="2">
        <v>10</v>
      </c>
    </row>
    <row r="711" spans="1:3" x14ac:dyDescent="0.25">
      <c r="A711" s="3">
        <v>41909</v>
      </c>
      <c r="B711" s="2" t="s">
        <v>51</v>
      </c>
      <c r="C711" s="2">
        <v>25</v>
      </c>
    </row>
    <row r="712" spans="1:3" x14ac:dyDescent="0.25">
      <c r="A712" s="3">
        <v>41587</v>
      </c>
      <c r="B712" s="2" t="s">
        <v>2</v>
      </c>
      <c r="C712" s="2">
        <v>33</v>
      </c>
    </row>
    <row r="713" spans="1:3" x14ac:dyDescent="0.25">
      <c r="A713" s="3">
        <v>41658</v>
      </c>
      <c r="B713" s="2" t="s">
        <v>26</v>
      </c>
      <c r="C713" s="2">
        <v>18</v>
      </c>
    </row>
    <row r="714" spans="1:3" x14ac:dyDescent="0.25">
      <c r="A714" s="3">
        <v>41862</v>
      </c>
      <c r="B714" s="2" t="s">
        <v>30</v>
      </c>
      <c r="C714" s="2">
        <v>55</v>
      </c>
    </row>
    <row r="715" spans="1:3" x14ac:dyDescent="0.25">
      <c r="A715" s="3">
        <v>41958</v>
      </c>
      <c r="B715" s="2" t="s">
        <v>30</v>
      </c>
      <c r="C715" s="2">
        <v>42</v>
      </c>
    </row>
    <row r="716" spans="1:3" x14ac:dyDescent="0.25">
      <c r="A716" s="3">
        <v>41299</v>
      </c>
      <c r="B716" s="2" t="s">
        <v>28</v>
      </c>
      <c r="C716" s="2">
        <v>20</v>
      </c>
    </row>
    <row r="717" spans="1:3" x14ac:dyDescent="0.25">
      <c r="A717" s="3">
        <v>41952</v>
      </c>
      <c r="B717" s="2" t="s">
        <v>18</v>
      </c>
      <c r="C717" s="2">
        <v>25</v>
      </c>
    </row>
    <row r="718" spans="1:3" x14ac:dyDescent="0.25">
      <c r="A718" s="3">
        <v>41525</v>
      </c>
      <c r="B718" s="2" t="s">
        <v>35</v>
      </c>
      <c r="C718" s="2">
        <v>23</v>
      </c>
    </row>
    <row r="719" spans="1:3" x14ac:dyDescent="0.25">
      <c r="A719" s="3">
        <v>41515</v>
      </c>
      <c r="B719" s="2" t="s">
        <v>2</v>
      </c>
      <c r="C719" s="2">
        <v>74</v>
      </c>
    </row>
    <row r="720" spans="1:3" x14ac:dyDescent="0.25">
      <c r="A720" s="3">
        <v>41699</v>
      </c>
      <c r="B720" s="2" t="s">
        <v>25</v>
      </c>
      <c r="C720" s="2">
        <v>44</v>
      </c>
    </row>
    <row r="721" spans="1:3" x14ac:dyDescent="0.25">
      <c r="A721" s="3">
        <v>41403</v>
      </c>
      <c r="B721" s="2" t="s">
        <v>11</v>
      </c>
      <c r="C721" s="2">
        <v>41</v>
      </c>
    </row>
    <row r="722" spans="1:3" x14ac:dyDescent="0.25">
      <c r="A722" s="3">
        <v>41372</v>
      </c>
      <c r="B722" s="2" t="s">
        <v>29</v>
      </c>
      <c r="C722" s="2">
        <v>21</v>
      </c>
    </row>
    <row r="723" spans="1:3" x14ac:dyDescent="0.25">
      <c r="A723" s="3">
        <v>41718</v>
      </c>
      <c r="B723" s="2" t="s">
        <v>5</v>
      </c>
      <c r="C723" s="2">
        <v>14</v>
      </c>
    </row>
    <row r="724" spans="1:3" x14ac:dyDescent="0.25">
      <c r="A724" s="3">
        <v>41970</v>
      </c>
      <c r="B724" s="2" t="s">
        <v>20</v>
      </c>
      <c r="C724" s="2">
        <v>38</v>
      </c>
    </row>
    <row r="725" spans="1:3" x14ac:dyDescent="0.25">
      <c r="A725" s="3">
        <v>41416</v>
      </c>
      <c r="B725" s="2" t="s">
        <v>29</v>
      </c>
      <c r="C725" s="2">
        <v>22</v>
      </c>
    </row>
    <row r="726" spans="1:3" x14ac:dyDescent="0.25">
      <c r="A726" s="3">
        <v>41491</v>
      </c>
      <c r="B726" s="2" t="s">
        <v>40</v>
      </c>
      <c r="C726" s="2">
        <v>23</v>
      </c>
    </row>
    <row r="727" spans="1:3" x14ac:dyDescent="0.25">
      <c r="A727" s="3">
        <v>41297</v>
      </c>
      <c r="B727" s="2" t="s">
        <v>41</v>
      </c>
      <c r="C727" s="2">
        <v>9</v>
      </c>
    </row>
    <row r="728" spans="1:3" x14ac:dyDescent="0.25">
      <c r="A728" s="3">
        <v>41891</v>
      </c>
      <c r="B728" s="2" t="s">
        <v>48</v>
      </c>
      <c r="C728" s="2">
        <v>17</v>
      </c>
    </row>
    <row r="729" spans="1:3" x14ac:dyDescent="0.25">
      <c r="A729" s="3">
        <v>41884</v>
      </c>
      <c r="B729" s="2" t="s">
        <v>17</v>
      </c>
      <c r="C729" s="2">
        <v>44</v>
      </c>
    </row>
    <row r="730" spans="1:3" x14ac:dyDescent="0.25">
      <c r="A730" s="3">
        <v>41795</v>
      </c>
      <c r="B730" s="2" t="s">
        <v>10</v>
      </c>
      <c r="C730" s="2">
        <v>5</v>
      </c>
    </row>
    <row r="731" spans="1:3" x14ac:dyDescent="0.25">
      <c r="A731" s="3">
        <v>41654</v>
      </c>
      <c r="B731" s="2" t="s">
        <v>51</v>
      </c>
      <c r="C731" s="2">
        <v>10</v>
      </c>
    </row>
    <row r="732" spans="1:3" x14ac:dyDescent="0.25">
      <c r="A732" s="3">
        <v>41296</v>
      </c>
      <c r="B732" s="2" t="s">
        <v>50</v>
      </c>
      <c r="C732" s="2">
        <v>4</v>
      </c>
    </row>
    <row r="733" spans="1:3" x14ac:dyDescent="0.25">
      <c r="A733" s="3">
        <v>41837</v>
      </c>
      <c r="B733" s="2" t="s">
        <v>51</v>
      </c>
      <c r="C733" s="2">
        <v>41</v>
      </c>
    </row>
    <row r="734" spans="1:3" x14ac:dyDescent="0.25">
      <c r="A734" s="3">
        <v>41919</v>
      </c>
      <c r="B734" s="2" t="s">
        <v>24</v>
      </c>
      <c r="C734" s="2">
        <v>15</v>
      </c>
    </row>
    <row r="735" spans="1:3" x14ac:dyDescent="0.25">
      <c r="A735" s="3">
        <v>41291</v>
      </c>
      <c r="B735" s="2" t="s">
        <v>33</v>
      </c>
      <c r="C735" s="2">
        <v>30</v>
      </c>
    </row>
    <row r="736" spans="1:3" x14ac:dyDescent="0.25">
      <c r="A736" s="3">
        <v>41760</v>
      </c>
      <c r="B736" s="2" t="s">
        <v>22</v>
      </c>
      <c r="C736" s="2">
        <v>52</v>
      </c>
    </row>
    <row r="737" spans="1:3" x14ac:dyDescent="0.25">
      <c r="A737" s="3">
        <v>41918</v>
      </c>
      <c r="B737" s="2" t="s">
        <v>38</v>
      </c>
      <c r="C737" s="2">
        <v>18</v>
      </c>
    </row>
    <row r="738" spans="1:3" x14ac:dyDescent="0.25">
      <c r="A738" s="3">
        <v>41709</v>
      </c>
      <c r="B738" s="2" t="s">
        <v>29</v>
      </c>
      <c r="C738" s="2">
        <v>27</v>
      </c>
    </row>
    <row r="739" spans="1:3" x14ac:dyDescent="0.25">
      <c r="A739" s="3">
        <v>41989</v>
      </c>
      <c r="B739" s="2" t="s">
        <v>33</v>
      </c>
      <c r="C739" s="2">
        <v>32</v>
      </c>
    </row>
    <row r="740" spans="1:3" x14ac:dyDescent="0.25">
      <c r="A740" s="3">
        <v>41947</v>
      </c>
      <c r="B740" s="2" t="s">
        <v>51</v>
      </c>
      <c r="C740" s="2">
        <v>41</v>
      </c>
    </row>
    <row r="741" spans="1:3" x14ac:dyDescent="0.25">
      <c r="A741" s="3">
        <v>41779</v>
      </c>
      <c r="B741" s="2" t="s">
        <v>32</v>
      </c>
      <c r="C741" s="2">
        <v>30</v>
      </c>
    </row>
    <row r="742" spans="1:3" x14ac:dyDescent="0.25">
      <c r="A742" s="3">
        <v>41883</v>
      </c>
      <c r="B742" s="2" t="s">
        <v>51</v>
      </c>
      <c r="C742" s="2">
        <v>35</v>
      </c>
    </row>
    <row r="743" spans="1:3" x14ac:dyDescent="0.25">
      <c r="A743" s="3">
        <v>41998</v>
      </c>
      <c r="B743" s="2" t="s">
        <v>47</v>
      </c>
      <c r="C743" s="2">
        <v>23</v>
      </c>
    </row>
    <row r="744" spans="1:3" x14ac:dyDescent="0.25">
      <c r="A744" s="3">
        <v>41536</v>
      </c>
      <c r="B744" s="2" t="s">
        <v>23</v>
      </c>
      <c r="C744" s="2">
        <v>11</v>
      </c>
    </row>
    <row r="745" spans="1:3" x14ac:dyDescent="0.25">
      <c r="A745" s="3">
        <v>41354</v>
      </c>
      <c r="B745" s="2" t="s">
        <v>23</v>
      </c>
      <c r="C745" s="2">
        <v>46</v>
      </c>
    </row>
    <row r="746" spans="1:3" x14ac:dyDescent="0.25">
      <c r="A746" s="3">
        <v>41492</v>
      </c>
      <c r="B746" s="2" t="s">
        <v>33</v>
      </c>
      <c r="C746" s="2">
        <v>35</v>
      </c>
    </row>
    <row r="747" spans="1:3" x14ac:dyDescent="0.25">
      <c r="A747" s="3">
        <v>41319</v>
      </c>
      <c r="B747" s="2" t="s">
        <v>26</v>
      </c>
      <c r="C747" s="2">
        <v>23</v>
      </c>
    </row>
    <row r="748" spans="1:3" x14ac:dyDescent="0.25">
      <c r="A748" s="3">
        <v>41397</v>
      </c>
      <c r="B748" s="2" t="s">
        <v>20</v>
      </c>
      <c r="C748" s="2">
        <v>30</v>
      </c>
    </row>
    <row r="749" spans="1:3" x14ac:dyDescent="0.25">
      <c r="A749" s="3">
        <v>42002</v>
      </c>
      <c r="B749" s="2" t="s">
        <v>22</v>
      </c>
      <c r="C749" s="2">
        <v>17</v>
      </c>
    </row>
    <row r="750" spans="1:3" x14ac:dyDescent="0.25">
      <c r="A750" s="3">
        <v>41688</v>
      </c>
      <c r="B750" s="2" t="s">
        <v>30</v>
      </c>
      <c r="C750" s="2">
        <v>1</v>
      </c>
    </row>
    <row r="751" spans="1:3" x14ac:dyDescent="0.25">
      <c r="A751" s="3">
        <v>41897</v>
      </c>
      <c r="B751" s="2" t="s">
        <v>19</v>
      </c>
      <c r="C751" s="2">
        <v>15</v>
      </c>
    </row>
    <row r="752" spans="1:3" x14ac:dyDescent="0.25">
      <c r="A752" s="3">
        <v>41526</v>
      </c>
      <c r="B752" s="2" t="s">
        <v>26</v>
      </c>
      <c r="C752" s="2">
        <v>18</v>
      </c>
    </row>
    <row r="753" spans="1:3" x14ac:dyDescent="0.25">
      <c r="A753" s="3">
        <v>41935</v>
      </c>
      <c r="B753" s="2" t="s">
        <v>16</v>
      </c>
      <c r="C753" s="2">
        <v>21</v>
      </c>
    </row>
    <row r="754" spans="1:3" x14ac:dyDescent="0.25">
      <c r="A754" s="3">
        <v>41357</v>
      </c>
      <c r="B754" s="2" t="s">
        <v>25</v>
      </c>
      <c r="C754" s="2">
        <v>34</v>
      </c>
    </row>
    <row r="755" spans="1:3" x14ac:dyDescent="0.25">
      <c r="A755" s="3">
        <v>41701</v>
      </c>
      <c r="B755" s="2" t="s">
        <v>13</v>
      </c>
      <c r="C755" s="2">
        <v>37</v>
      </c>
    </row>
    <row r="756" spans="1:3" x14ac:dyDescent="0.25">
      <c r="A756" s="3">
        <v>41945</v>
      </c>
      <c r="B756" s="2" t="s">
        <v>30</v>
      </c>
      <c r="C756" s="2">
        <v>21</v>
      </c>
    </row>
    <row r="757" spans="1:3" x14ac:dyDescent="0.25">
      <c r="A757" s="3">
        <v>41458</v>
      </c>
      <c r="B757" s="2" t="s">
        <v>38</v>
      </c>
      <c r="C757" s="2">
        <v>22</v>
      </c>
    </row>
    <row r="758" spans="1:3" x14ac:dyDescent="0.25">
      <c r="A758" s="3">
        <v>41999</v>
      </c>
      <c r="B758" s="2" t="s">
        <v>37</v>
      </c>
      <c r="C758" s="2">
        <v>27</v>
      </c>
    </row>
    <row r="759" spans="1:3" x14ac:dyDescent="0.25">
      <c r="A759" s="3">
        <v>41568</v>
      </c>
      <c r="B759" s="2" t="s">
        <v>36</v>
      </c>
      <c r="C759" s="2">
        <v>24</v>
      </c>
    </row>
    <row r="760" spans="1:3" x14ac:dyDescent="0.25">
      <c r="A760" s="3">
        <v>41952</v>
      </c>
      <c r="B760" s="2" t="s">
        <v>31</v>
      </c>
      <c r="C760" s="2">
        <v>44</v>
      </c>
    </row>
    <row r="761" spans="1:3" x14ac:dyDescent="0.25">
      <c r="A761" s="3">
        <v>41320</v>
      </c>
      <c r="B761" s="2" t="s">
        <v>44</v>
      </c>
      <c r="C761" s="2">
        <v>41</v>
      </c>
    </row>
    <row r="762" spans="1:3" x14ac:dyDescent="0.25">
      <c r="A762" s="3">
        <v>41278</v>
      </c>
      <c r="B762" s="2" t="s">
        <v>29</v>
      </c>
      <c r="C762" s="2">
        <v>41</v>
      </c>
    </row>
    <row r="763" spans="1:3" x14ac:dyDescent="0.25">
      <c r="A763" s="3">
        <v>41618</v>
      </c>
      <c r="B763" s="2" t="s">
        <v>2</v>
      </c>
      <c r="C763" s="2">
        <v>29</v>
      </c>
    </row>
    <row r="764" spans="1:3" x14ac:dyDescent="0.25">
      <c r="A764" s="3">
        <v>41551</v>
      </c>
      <c r="B764" s="2" t="s">
        <v>18</v>
      </c>
      <c r="C764" s="2">
        <v>36</v>
      </c>
    </row>
    <row r="765" spans="1:3" x14ac:dyDescent="0.25">
      <c r="A765" s="3">
        <v>41307</v>
      </c>
      <c r="B765" s="2" t="s">
        <v>26</v>
      </c>
      <c r="C765" s="2">
        <v>19</v>
      </c>
    </row>
    <row r="766" spans="1:3" x14ac:dyDescent="0.25">
      <c r="A766" s="3">
        <v>41567</v>
      </c>
      <c r="B766" s="2" t="s">
        <v>26</v>
      </c>
      <c r="C766" s="2">
        <v>59</v>
      </c>
    </row>
    <row r="767" spans="1:3" x14ac:dyDescent="0.25">
      <c r="A767" s="3">
        <v>41915</v>
      </c>
      <c r="B767" s="2" t="s">
        <v>2</v>
      </c>
      <c r="C767" s="2">
        <v>25</v>
      </c>
    </row>
    <row r="768" spans="1:3" x14ac:dyDescent="0.25">
      <c r="A768" s="3">
        <v>41357</v>
      </c>
      <c r="B768" s="2" t="s">
        <v>9</v>
      </c>
      <c r="C768" s="2">
        <v>22</v>
      </c>
    </row>
    <row r="769" spans="1:3" x14ac:dyDescent="0.25">
      <c r="A769" s="3">
        <v>41569</v>
      </c>
      <c r="B769" s="2" t="s">
        <v>44</v>
      </c>
      <c r="C769" s="2">
        <v>28</v>
      </c>
    </row>
    <row r="770" spans="1:3" x14ac:dyDescent="0.25">
      <c r="A770" s="3">
        <v>41322</v>
      </c>
      <c r="B770" s="2" t="s">
        <v>47</v>
      </c>
      <c r="C770" s="2">
        <v>38</v>
      </c>
    </row>
    <row r="771" spans="1:3" x14ac:dyDescent="0.25">
      <c r="A771" s="3">
        <v>41567</v>
      </c>
      <c r="B771" s="2" t="s">
        <v>3</v>
      </c>
      <c r="C771" s="2">
        <v>1</v>
      </c>
    </row>
    <row r="772" spans="1:3" x14ac:dyDescent="0.25">
      <c r="A772" s="3">
        <v>41446</v>
      </c>
      <c r="B772" s="2" t="s">
        <v>27</v>
      </c>
      <c r="C772" s="2">
        <v>23</v>
      </c>
    </row>
    <row r="773" spans="1:3" x14ac:dyDescent="0.25">
      <c r="A773" s="3">
        <v>41626</v>
      </c>
      <c r="B773" s="2" t="s">
        <v>22</v>
      </c>
      <c r="C773" s="2">
        <v>0</v>
      </c>
    </row>
    <row r="774" spans="1:3" x14ac:dyDescent="0.25">
      <c r="A774" s="3">
        <v>41939</v>
      </c>
      <c r="B774" s="2" t="s">
        <v>40</v>
      </c>
      <c r="C774" s="2">
        <v>31</v>
      </c>
    </row>
    <row r="775" spans="1:3" x14ac:dyDescent="0.25">
      <c r="A775" s="3">
        <v>41877</v>
      </c>
      <c r="B775" s="2" t="s">
        <v>11</v>
      </c>
      <c r="C775" s="2">
        <v>17</v>
      </c>
    </row>
    <row r="776" spans="1:3" x14ac:dyDescent="0.25">
      <c r="A776" s="3">
        <v>41531</v>
      </c>
      <c r="B776" s="2" t="s">
        <v>8</v>
      </c>
      <c r="C776" s="2">
        <v>48</v>
      </c>
    </row>
    <row r="777" spans="1:3" x14ac:dyDescent="0.25">
      <c r="A777" s="3">
        <v>41558</v>
      </c>
      <c r="B777" s="2" t="s">
        <v>50</v>
      </c>
      <c r="C777" s="2">
        <v>25</v>
      </c>
    </row>
    <row r="778" spans="1:3" x14ac:dyDescent="0.25">
      <c r="A778" s="3">
        <v>41515</v>
      </c>
      <c r="B778" s="2" t="s">
        <v>28</v>
      </c>
      <c r="C778" s="2">
        <v>5</v>
      </c>
    </row>
    <row r="779" spans="1:3" x14ac:dyDescent="0.25">
      <c r="A779" s="3">
        <v>41792</v>
      </c>
      <c r="B779" s="2" t="s">
        <v>31</v>
      </c>
      <c r="C779" s="2">
        <v>40</v>
      </c>
    </row>
    <row r="780" spans="1:3" x14ac:dyDescent="0.25">
      <c r="A780" s="3">
        <v>41612</v>
      </c>
      <c r="B780" s="2" t="s">
        <v>10</v>
      </c>
      <c r="C780" s="2">
        <v>15</v>
      </c>
    </row>
    <row r="781" spans="1:3" x14ac:dyDescent="0.25">
      <c r="A781" s="3">
        <v>42003</v>
      </c>
      <c r="B781" s="2" t="s">
        <v>39</v>
      </c>
      <c r="C781" s="2">
        <v>34</v>
      </c>
    </row>
    <row r="782" spans="1:3" x14ac:dyDescent="0.25">
      <c r="A782" s="3">
        <v>41502</v>
      </c>
      <c r="B782" s="2" t="s">
        <v>19</v>
      </c>
      <c r="C782" s="2">
        <v>39</v>
      </c>
    </row>
    <row r="783" spans="1:3" x14ac:dyDescent="0.25">
      <c r="A783" s="3">
        <v>41756</v>
      </c>
      <c r="B783" s="2" t="s">
        <v>10</v>
      </c>
      <c r="C783" s="2">
        <v>24</v>
      </c>
    </row>
    <row r="784" spans="1:3" x14ac:dyDescent="0.25">
      <c r="A784" s="3">
        <v>41836</v>
      </c>
      <c r="B784" s="2" t="s">
        <v>11</v>
      </c>
      <c r="C784" s="2">
        <v>32</v>
      </c>
    </row>
    <row r="785" spans="1:3" x14ac:dyDescent="0.25">
      <c r="A785" s="3">
        <v>41424</v>
      </c>
      <c r="B785" s="2" t="s">
        <v>26</v>
      </c>
      <c r="C785" s="2">
        <v>36</v>
      </c>
    </row>
    <row r="786" spans="1:3" x14ac:dyDescent="0.25">
      <c r="A786" s="3">
        <v>41766</v>
      </c>
      <c r="B786" s="2" t="s">
        <v>19</v>
      </c>
      <c r="C786" s="2">
        <v>35</v>
      </c>
    </row>
    <row r="787" spans="1:3" x14ac:dyDescent="0.25">
      <c r="A787" s="3">
        <v>41557</v>
      </c>
      <c r="B787" s="2" t="s">
        <v>5</v>
      </c>
      <c r="C787" s="2">
        <v>27</v>
      </c>
    </row>
    <row r="788" spans="1:3" x14ac:dyDescent="0.25">
      <c r="A788" s="3">
        <v>41443</v>
      </c>
      <c r="B788" s="2" t="s">
        <v>34</v>
      </c>
      <c r="C788" s="2">
        <v>39</v>
      </c>
    </row>
    <row r="789" spans="1:3" x14ac:dyDescent="0.25">
      <c r="A789" s="3">
        <v>41298</v>
      </c>
      <c r="B789" s="2" t="s">
        <v>43</v>
      </c>
      <c r="C789" s="2">
        <v>23</v>
      </c>
    </row>
    <row r="790" spans="1:3" x14ac:dyDescent="0.25">
      <c r="A790" s="3">
        <v>41426</v>
      </c>
      <c r="B790" s="2" t="s">
        <v>10</v>
      </c>
      <c r="C790" s="2">
        <v>16</v>
      </c>
    </row>
    <row r="791" spans="1:3" x14ac:dyDescent="0.25">
      <c r="A791" s="3">
        <v>41322</v>
      </c>
      <c r="B791" s="2" t="s">
        <v>23</v>
      </c>
      <c r="C791" s="2">
        <v>40</v>
      </c>
    </row>
    <row r="792" spans="1:3" x14ac:dyDescent="0.25">
      <c r="A792" s="3">
        <v>41392</v>
      </c>
      <c r="B792" s="2" t="s">
        <v>40</v>
      </c>
      <c r="C792" s="2">
        <v>6</v>
      </c>
    </row>
    <row r="793" spans="1:3" x14ac:dyDescent="0.25">
      <c r="A793" s="3">
        <v>41601</v>
      </c>
      <c r="B793" s="2" t="s">
        <v>8</v>
      </c>
      <c r="C793" s="2">
        <v>29</v>
      </c>
    </row>
    <row r="794" spans="1:3" x14ac:dyDescent="0.25">
      <c r="A794" s="3">
        <v>41843</v>
      </c>
      <c r="B794" s="2" t="s">
        <v>38</v>
      </c>
      <c r="C794" s="2">
        <v>26</v>
      </c>
    </row>
    <row r="795" spans="1:3" x14ac:dyDescent="0.25">
      <c r="A795" s="3">
        <v>41432</v>
      </c>
      <c r="B795" s="2" t="s">
        <v>30</v>
      </c>
      <c r="C795" s="2">
        <v>7</v>
      </c>
    </row>
    <row r="796" spans="1:3" x14ac:dyDescent="0.25">
      <c r="A796" s="3">
        <v>41473</v>
      </c>
      <c r="B796" s="2" t="s">
        <v>34</v>
      </c>
      <c r="C796" s="2">
        <v>35</v>
      </c>
    </row>
    <row r="797" spans="1:3" x14ac:dyDescent="0.25">
      <c r="A797" s="3">
        <v>41422</v>
      </c>
      <c r="B797" s="2" t="s">
        <v>27</v>
      </c>
      <c r="C797" s="2">
        <v>22</v>
      </c>
    </row>
    <row r="798" spans="1:3" x14ac:dyDescent="0.25">
      <c r="A798" s="3">
        <v>41444</v>
      </c>
      <c r="B798" s="2" t="s">
        <v>49</v>
      </c>
      <c r="C798" s="2">
        <v>34</v>
      </c>
    </row>
    <row r="799" spans="1:3" x14ac:dyDescent="0.25">
      <c r="A799" s="3">
        <v>41278</v>
      </c>
      <c r="B799" s="2" t="s">
        <v>37</v>
      </c>
      <c r="C799" s="2">
        <v>13</v>
      </c>
    </row>
    <row r="800" spans="1:3" x14ac:dyDescent="0.25">
      <c r="A800" s="3">
        <v>41546</v>
      </c>
      <c r="B800" s="2" t="s">
        <v>48</v>
      </c>
      <c r="C800" s="2">
        <v>71</v>
      </c>
    </row>
    <row r="801" spans="1:3" x14ac:dyDescent="0.25">
      <c r="A801" s="3">
        <v>41342</v>
      </c>
      <c r="B801" s="2" t="s">
        <v>24</v>
      </c>
      <c r="C801" s="2">
        <v>31</v>
      </c>
    </row>
    <row r="802" spans="1:3" x14ac:dyDescent="0.25">
      <c r="A802" s="3">
        <v>41795</v>
      </c>
      <c r="B802" s="2" t="s">
        <v>51</v>
      </c>
      <c r="C802" s="2">
        <v>19</v>
      </c>
    </row>
    <row r="803" spans="1:3" x14ac:dyDescent="0.25">
      <c r="A803" s="3">
        <v>41898</v>
      </c>
      <c r="B803" s="2" t="s">
        <v>33</v>
      </c>
      <c r="C803" s="2">
        <v>39</v>
      </c>
    </row>
    <row r="804" spans="1:3" x14ac:dyDescent="0.25">
      <c r="A804" s="3">
        <v>41404</v>
      </c>
      <c r="B804" s="2" t="s">
        <v>10</v>
      </c>
      <c r="C804" s="2">
        <v>9</v>
      </c>
    </row>
    <row r="805" spans="1:3" x14ac:dyDescent="0.25">
      <c r="A805" s="3">
        <v>41681</v>
      </c>
      <c r="B805" s="2" t="s">
        <v>32</v>
      </c>
      <c r="C805" s="2">
        <v>19</v>
      </c>
    </row>
    <row r="806" spans="1:3" x14ac:dyDescent="0.25">
      <c r="A806" s="3">
        <v>41595</v>
      </c>
      <c r="B806" s="2" t="s">
        <v>15</v>
      </c>
      <c r="C806" s="2">
        <v>37</v>
      </c>
    </row>
    <row r="807" spans="1:3" x14ac:dyDescent="0.25">
      <c r="A807" s="3">
        <v>41552</v>
      </c>
      <c r="B807" s="2" t="s">
        <v>30</v>
      </c>
      <c r="C807" s="2">
        <v>5</v>
      </c>
    </row>
    <row r="808" spans="1:3" x14ac:dyDescent="0.25">
      <c r="A808" s="3">
        <v>41823</v>
      </c>
      <c r="B808" s="2" t="s">
        <v>8</v>
      </c>
      <c r="C808" s="2">
        <v>13</v>
      </c>
    </row>
    <row r="809" spans="1:3" x14ac:dyDescent="0.25">
      <c r="A809" s="3">
        <v>41397</v>
      </c>
      <c r="B809" s="2" t="s">
        <v>20</v>
      </c>
      <c r="C809" s="2">
        <v>2</v>
      </c>
    </row>
    <row r="810" spans="1:3" x14ac:dyDescent="0.25">
      <c r="A810" s="3">
        <v>41694</v>
      </c>
      <c r="B810" s="2" t="s">
        <v>48</v>
      </c>
      <c r="C810" s="2">
        <v>23</v>
      </c>
    </row>
    <row r="811" spans="1:3" x14ac:dyDescent="0.25">
      <c r="A811" s="3">
        <v>41797</v>
      </c>
      <c r="B811" s="2" t="s">
        <v>50</v>
      </c>
      <c r="C811" s="2">
        <v>25</v>
      </c>
    </row>
    <row r="812" spans="1:3" x14ac:dyDescent="0.25">
      <c r="A812" s="3">
        <v>41566</v>
      </c>
      <c r="B812" s="2" t="s">
        <v>22</v>
      </c>
      <c r="C812" s="2">
        <v>32</v>
      </c>
    </row>
    <row r="813" spans="1:3" x14ac:dyDescent="0.25">
      <c r="A813" s="3">
        <v>41812</v>
      </c>
      <c r="B813" s="2" t="s">
        <v>31</v>
      </c>
      <c r="C813" s="2">
        <v>21</v>
      </c>
    </row>
    <row r="814" spans="1:3" x14ac:dyDescent="0.25">
      <c r="A814" s="3">
        <v>41983</v>
      </c>
      <c r="B814" s="2" t="s">
        <v>27</v>
      </c>
      <c r="C814" s="2">
        <v>39</v>
      </c>
    </row>
    <row r="815" spans="1:3" x14ac:dyDescent="0.25">
      <c r="A815" s="3">
        <v>42004</v>
      </c>
      <c r="B815" s="2" t="s">
        <v>42</v>
      </c>
      <c r="C815" s="2">
        <v>21</v>
      </c>
    </row>
    <row r="816" spans="1:3" x14ac:dyDescent="0.25">
      <c r="A816" s="3">
        <v>41594</v>
      </c>
      <c r="B816" s="2" t="s">
        <v>6</v>
      </c>
      <c r="C816" s="2">
        <v>37</v>
      </c>
    </row>
    <row r="817" spans="1:3" x14ac:dyDescent="0.25">
      <c r="A817" s="3">
        <v>41339</v>
      </c>
      <c r="B817" s="2" t="s">
        <v>43</v>
      </c>
      <c r="C817" s="2">
        <v>1</v>
      </c>
    </row>
    <row r="818" spans="1:3" x14ac:dyDescent="0.25">
      <c r="A818" s="3">
        <v>41401</v>
      </c>
      <c r="B818" s="2" t="s">
        <v>45</v>
      </c>
      <c r="C818" s="2">
        <v>32</v>
      </c>
    </row>
    <row r="819" spans="1:3" x14ac:dyDescent="0.25">
      <c r="A819" s="3">
        <v>41848</v>
      </c>
      <c r="B819" s="2" t="s">
        <v>2</v>
      </c>
      <c r="C819" s="2">
        <v>19</v>
      </c>
    </row>
    <row r="820" spans="1:3" x14ac:dyDescent="0.25">
      <c r="A820" s="3">
        <v>41284</v>
      </c>
      <c r="B820" s="2" t="s">
        <v>38</v>
      </c>
      <c r="C820" s="2">
        <v>38</v>
      </c>
    </row>
    <row r="821" spans="1:3" x14ac:dyDescent="0.25">
      <c r="A821" s="3">
        <v>41664</v>
      </c>
      <c r="B821" s="2" t="s">
        <v>11</v>
      </c>
      <c r="C821" s="2">
        <v>19</v>
      </c>
    </row>
    <row r="822" spans="1:3" x14ac:dyDescent="0.25">
      <c r="A822" s="3">
        <v>41595</v>
      </c>
      <c r="B822" s="2" t="s">
        <v>47</v>
      </c>
      <c r="C822" s="2">
        <v>26</v>
      </c>
    </row>
    <row r="823" spans="1:3" x14ac:dyDescent="0.25">
      <c r="A823" s="3">
        <v>41850</v>
      </c>
      <c r="B823" s="2" t="s">
        <v>41</v>
      </c>
      <c r="C823" s="2">
        <v>13</v>
      </c>
    </row>
    <row r="824" spans="1:3" x14ac:dyDescent="0.25">
      <c r="A824" s="3">
        <v>41891</v>
      </c>
      <c r="B824" s="2" t="s">
        <v>49</v>
      </c>
      <c r="C824" s="2">
        <v>12</v>
      </c>
    </row>
    <row r="825" spans="1:3" x14ac:dyDescent="0.25">
      <c r="A825" s="3">
        <v>41953</v>
      </c>
      <c r="B825" s="2" t="s">
        <v>46</v>
      </c>
      <c r="C825" s="2">
        <v>18</v>
      </c>
    </row>
    <row r="826" spans="1:3" x14ac:dyDescent="0.25">
      <c r="A826" s="3">
        <v>41952</v>
      </c>
      <c r="B826" s="2" t="s">
        <v>16</v>
      </c>
      <c r="C826" s="2">
        <v>9</v>
      </c>
    </row>
    <row r="827" spans="1:3" x14ac:dyDescent="0.25">
      <c r="A827" s="3">
        <v>41419</v>
      </c>
      <c r="B827" s="2" t="s">
        <v>43</v>
      </c>
      <c r="C827" s="2">
        <v>22</v>
      </c>
    </row>
    <row r="828" spans="1:3" x14ac:dyDescent="0.25">
      <c r="A828" s="3">
        <v>41769</v>
      </c>
      <c r="B828" s="2" t="s">
        <v>31</v>
      </c>
      <c r="C828" s="2">
        <v>30</v>
      </c>
    </row>
    <row r="829" spans="1:3" x14ac:dyDescent="0.25">
      <c r="A829" s="3">
        <v>41804</v>
      </c>
      <c r="B829" s="2" t="s">
        <v>48</v>
      </c>
      <c r="C829" s="2">
        <v>34</v>
      </c>
    </row>
    <row r="830" spans="1:3" x14ac:dyDescent="0.25">
      <c r="A830" s="3">
        <v>41713</v>
      </c>
      <c r="B830" s="2" t="s">
        <v>30</v>
      </c>
      <c r="C830" s="2">
        <v>57</v>
      </c>
    </row>
    <row r="831" spans="1:3" x14ac:dyDescent="0.25">
      <c r="A831" s="3">
        <v>41341</v>
      </c>
      <c r="B831" s="2" t="s">
        <v>37</v>
      </c>
      <c r="C831" s="2">
        <v>38</v>
      </c>
    </row>
    <row r="832" spans="1:3" x14ac:dyDescent="0.25">
      <c r="A832" s="3">
        <v>41623</v>
      </c>
      <c r="B832" s="2" t="s">
        <v>48</v>
      </c>
      <c r="C832" s="2">
        <v>41</v>
      </c>
    </row>
    <row r="833" spans="1:3" x14ac:dyDescent="0.25">
      <c r="A833" s="3">
        <v>41815</v>
      </c>
      <c r="B833" s="2" t="s">
        <v>51</v>
      </c>
      <c r="C833" s="2">
        <v>41</v>
      </c>
    </row>
    <row r="834" spans="1:3" x14ac:dyDescent="0.25">
      <c r="A834" s="3">
        <v>41404</v>
      </c>
      <c r="B834" s="2" t="s">
        <v>3</v>
      </c>
      <c r="C834" s="2">
        <v>12</v>
      </c>
    </row>
    <row r="835" spans="1:3" x14ac:dyDescent="0.25">
      <c r="A835" s="3">
        <v>41847</v>
      </c>
      <c r="B835" s="2" t="s">
        <v>31</v>
      </c>
      <c r="C835" s="2">
        <v>17</v>
      </c>
    </row>
    <row r="836" spans="1:3" x14ac:dyDescent="0.25">
      <c r="A836" s="3">
        <v>41738</v>
      </c>
      <c r="B836" s="2" t="s">
        <v>39</v>
      </c>
      <c r="C836" s="2">
        <v>30</v>
      </c>
    </row>
    <row r="837" spans="1:3" x14ac:dyDescent="0.25">
      <c r="A837" s="3">
        <v>41662</v>
      </c>
      <c r="B837" s="2" t="s">
        <v>32</v>
      </c>
      <c r="C837" s="2">
        <v>17</v>
      </c>
    </row>
    <row r="838" spans="1:3" x14ac:dyDescent="0.25">
      <c r="A838" s="3">
        <v>41518</v>
      </c>
      <c r="B838" s="2" t="s">
        <v>27</v>
      </c>
      <c r="C838" s="2">
        <v>9</v>
      </c>
    </row>
    <row r="839" spans="1:3" x14ac:dyDescent="0.25">
      <c r="A839" s="3">
        <v>41725</v>
      </c>
      <c r="B839" s="2" t="s">
        <v>12</v>
      </c>
      <c r="C839" s="2">
        <v>54</v>
      </c>
    </row>
    <row r="840" spans="1:3" x14ac:dyDescent="0.25">
      <c r="A840" s="3">
        <v>41997</v>
      </c>
      <c r="B840" s="2" t="s">
        <v>4</v>
      </c>
      <c r="C840" s="2">
        <v>5</v>
      </c>
    </row>
    <row r="841" spans="1:3" x14ac:dyDescent="0.25">
      <c r="A841" s="3">
        <v>41347</v>
      </c>
      <c r="B841" s="2" t="s">
        <v>11</v>
      </c>
      <c r="C841" s="2">
        <v>30</v>
      </c>
    </row>
    <row r="842" spans="1:3" x14ac:dyDescent="0.25">
      <c r="A842" s="3">
        <v>41946</v>
      </c>
      <c r="B842" s="2" t="s">
        <v>21</v>
      </c>
      <c r="C842" s="2">
        <v>5</v>
      </c>
    </row>
    <row r="843" spans="1:3" x14ac:dyDescent="0.25">
      <c r="A843" s="3">
        <v>42003</v>
      </c>
      <c r="B843" s="2" t="s">
        <v>20</v>
      </c>
      <c r="C843" s="2">
        <v>46</v>
      </c>
    </row>
    <row r="844" spans="1:3" x14ac:dyDescent="0.25">
      <c r="A844" s="3">
        <v>41728</v>
      </c>
      <c r="B844" s="2" t="s">
        <v>33</v>
      </c>
      <c r="C844" s="2">
        <v>35</v>
      </c>
    </row>
    <row r="845" spans="1:3" x14ac:dyDescent="0.25">
      <c r="A845" s="3">
        <v>41563</v>
      </c>
      <c r="B845" s="2" t="s">
        <v>43</v>
      </c>
      <c r="C845" s="2">
        <v>41</v>
      </c>
    </row>
    <row r="846" spans="1:3" x14ac:dyDescent="0.25">
      <c r="A846" s="3">
        <v>41340</v>
      </c>
      <c r="B846" s="2" t="s">
        <v>18</v>
      </c>
      <c r="C846" s="2">
        <v>31</v>
      </c>
    </row>
    <row r="847" spans="1:3" x14ac:dyDescent="0.25">
      <c r="A847" s="3">
        <v>41855</v>
      </c>
      <c r="B847" s="2" t="s">
        <v>8</v>
      </c>
      <c r="C847" s="2">
        <v>30</v>
      </c>
    </row>
    <row r="848" spans="1:3" x14ac:dyDescent="0.25">
      <c r="A848" s="3">
        <v>41725</v>
      </c>
      <c r="B848" s="2" t="s">
        <v>16</v>
      </c>
      <c r="C848" s="2">
        <v>28</v>
      </c>
    </row>
    <row r="849" spans="1:3" x14ac:dyDescent="0.25">
      <c r="A849" s="3">
        <v>41854</v>
      </c>
      <c r="B849" s="2" t="s">
        <v>27</v>
      </c>
      <c r="C849" s="2">
        <v>42</v>
      </c>
    </row>
    <row r="850" spans="1:3" x14ac:dyDescent="0.25">
      <c r="A850" s="3">
        <v>41428</v>
      </c>
      <c r="B850" s="2" t="s">
        <v>11</v>
      </c>
      <c r="C850" s="2">
        <v>14</v>
      </c>
    </row>
    <row r="851" spans="1:3" x14ac:dyDescent="0.25">
      <c r="A851" s="3">
        <v>41729</v>
      </c>
      <c r="B851" s="2" t="s">
        <v>28</v>
      </c>
      <c r="C851" s="2">
        <v>35</v>
      </c>
    </row>
    <row r="852" spans="1:3" x14ac:dyDescent="0.25">
      <c r="A852" s="3">
        <v>41885</v>
      </c>
      <c r="B852" s="2" t="s">
        <v>30</v>
      </c>
      <c r="C852" s="2">
        <v>44</v>
      </c>
    </row>
    <row r="853" spans="1:3" x14ac:dyDescent="0.25">
      <c r="A853" s="3">
        <v>41575</v>
      </c>
      <c r="B853" s="2" t="s">
        <v>20</v>
      </c>
      <c r="C853" s="2">
        <v>25</v>
      </c>
    </row>
    <row r="854" spans="1:3" x14ac:dyDescent="0.25">
      <c r="A854" s="3">
        <v>41286</v>
      </c>
      <c r="B854" s="2" t="s">
        <v>34</v>
      </c>
      <c r="C854" s="2">
        <v>23</v>
      </c>
    </row>
    <row r="855" spans="1:3" x14ac:dyDescent="0.25">
      <c r="A855" s="3">
        <v>41436</v>
      </c>
      <c r="B855" s="2" t="s">
        <v>30</v>
      </c>
      <c r="C855" s="2">
        <v>40</v>
      </c>
    </row>
    <row r="856" spans="1:3" x14ac:dyDescent="0.25">
      <c r="A856" s="3">
        <v>41998</v>
      </c>
      <c r="B856" s="2" t="s">
        <v>32</v>
      </c>
      <c r="C856" s="2">
        <v>24</v>
      </c>
    </row>
    <row r="857" spans="1:3" x14ac:dyDescent="0.25">
      <c r="A857" s="3">
        <v>41782</v>
      </c>
      <c r="B857" s="2" t="s">
        <v>26</v>
      </c>
      <c r="C857" s="2">
        <v>45</v>
      </c>
    </row>
    <row r="858" spans="1:3" x14ac:dyDescent="0.25">
      <c r="A858" s="3">
        <v>41408</v>
      </c>
      <c r="B858" s="2" t="s">
        <v>51</v>
      </c>
      <c r="C858" s="2">
        <v>36</v>
      </c>
    </row>
    <row r="859" spans="1:3" x14ac:dyDescent="0.25">
      <c r="A859" s="3">
        <v>41855</v>
      </c>
      <c r="B859" s="2" t="s">
        <v>29</v>
      </c>
      <c r="C859" s="2">
        <v>38</v>
      </c>
    </row>
    <row r="860" spans="1:3" x14ac:dyDescent="0.25">
      <c r="A860" s="3">
        <v>41952</v>
      </c>
      <c r="B860" s="2" t="s">
        <v>48</v>
      </c>
      <c r="C860" s="2">
        <v>46</v>
      </c>
    </row>
    <row r="861" spans="1:3" x14ac:dyDescent="0.25">
      <c r="A861" s="3">
        <v>41595</v>
      </c>
      <c r="B861" s="2" t="s">
        <v>5</v>
      </c>
      <c r="C861" s="2">
        <v>13</v>
      </c>
    </row>
    <row r="862" spans="1:3" x14ac:dyDescent="0.25">
      <c r="A862" s="3">
        <v>41942</v>
      </c>
      <c r="B862" s="2" t="s">
        <v>11</v>
      </c>
      <c r="C862" s="2">
        <v>17</v>
      </c>
    </row>
    <row r="863" spans="1:3" x14ac:dyDescent="0.25">
      <c r="A863" s="3">
        <v>41828</v>
      </c>
      <c r="B863" s="2" t="s">
        <v>25</v>
      </c>
      <c r="C863" s="2">
        <v>13</v>
      </c>
    </row>
    <row r="864" spans="1:3" x14ac:dyDescent="0.25">
      <c r="A864" s="3">
        <v>41979</v>
      </c>
      <c r="B864" s="2" t="s">
        <v>12</v>
      </c>
      <c r="C864" s="2">
        <v>19</v>
      </c>
    </row>
    <row r="865" spans="1:3" x14ac:dyDescent="0.25">
      <c r="A865" s="3">
        <v>41828</v>
      </c>
      <c r="B865" s="2" t="s">
        <v>48</v>
      </c>
      <c r="C865" s="2">
        <v>17</v>
      </c>
    </row>
    <row r="866" spans="1:3" x14ac:dyDescent="0.25">
      <c r="A866" s="3">
        <v>41824</v>
      </c>
      <c r="B866" s="2" t="s">
        <v>5</v>
      </c>
      <c r="C866" s="2">
        <v>47</v>
      </c>
    </row>
    <row r="867" spans="1:3" x14ac:dyDescent="0.25">
      <c r="A867" s="3">
        <v>41907</v>
      </c>
      <c r="B867" s="2" t="s">
        <v>23</v>
      </c>
      <c r="C867" s="2">
        <v>12</v>
      </c>
    </row>
    <row r="868" spans="1:3" x14ac:dyDescent="0.25">
      <c r="A868" s="3">
        <v>41656</v>
      </c>
      <c r="B868" s="2" t="s">
        <v>2</v>
      </c>
      <c r="C868" s="2">
        <v>46</v>
      </c>
    </row>
    <row r="869" spans="1:3" x14ac:dyDescent="0.25">
      <c r="A869" s="3">
        <v>41515</v>
      </c>
      <c r="B869" s="2" t="s">
        <v>50</v>
      </c>
      <c r="C869" s="2">
        <v>22</v>
      </c>
    </row>
    <row r="870" spans="1:3" x14ac:dyDescent="0.25">
      <c r="A870" s="3">
        <v>41321</v>
      </c>
      <c r="B870" s="2" t="s">
        <v>25</v>
      </c>
      <c r="C870" s="2">
        <v>47</v>
      </c>
    </row>
    <row r="871" spans="1:3" x14ac:dyDescent="0.25">
      <c r="A871" s="3">
        <v>41578</v>
      </c>
      <c r="B871" s="2" t="s">
        <v>35</v>
      </c>
      <c r="C871" s="2">
        <v>32</v>
      </c>
    </row>
    <row r="872" spans="1:3" x14ac:dyDescent="0.25">
      <c r="A872" s="3">
        <v>41855</v>
      </c>
      <c r="B872" s="2" t="s">
        <v>5</v>
      </c>
      <c r="C872" s="2">
        <v>21</v>
      </c>
    </row>
    <row r="873" spans="1:3" x14ac:dyDescent="0.25">
      <c r="A873" s="3">
        <v>41524</v>
      </c>
      <c r="B873" s="2" t="s">
        <v>24</v>
      </c>
      <c r="C873" s="2">
        <v>10</v>
      </c>
    </row>
    <row r="874" spans="1:3" x14ac:dyDescent="0.25">
      <c r="A874" s="3">
        <v>41782</v>
      </c>
      <c r="B874" s="2" t="s">
        <v>51</v>
      </c>
      <c r="C874" s="2">
        <v>32</v>
      </c>
    </row>
    <row r="875" spans="1:3" x14ac:dyDescent="0.25">
      <c r="A875" s="3">
        <v>41368</v>
      </c>
      <c r="B875" s="2" t="s">
        <v>11</v>
      </c>
      <c r="C875" s="2">
        <v>7</v>
      </c>
    </row>
    <row r="876" spans="1:3" x14ac:dyDescent="0.25">
      <c r="A876" s="3">
        <v>41357</v>
      </c>
      <c r="B876" s="2" t="s">
        <v>21</v>
      </c>
      <c r="C876" s="2">
        <v>22</v>
      </c>
    </row>
    <row r="877" spans="1:3" x14ac:dyDescent="0.25">
      <c r="A877" s="3">
        <v>41945</v>
      </c>
      <c r="B877" s="2" t="s">
        <v>29</v>
      </c>
      <c r="C877" s="2">
        <v>40</v>
      </c>
    </row>
    <row r="878" spans="1:3" x14ac:dyDescent="0.25">
      <c r="A878" s="3">
        <v>41849</v>
      </c>
      <c r="B878" s="2" t="s">
        <v>34</v>
      </c>
      <c r="C878" s="2">
        <v>40</v>
      </c>
    </row>
    <row r="879" spans="1:3" x14ac:dyDescent="0.25">
      <c r="A879" s="3">
        <v>41710</v>
      </c>
      <c r="B879" s="2" t="s">
        <v>43</v>
      </c>
      <c r="C879" s="2">
        <v>34</v>
      </c>
    </row>
    <row r="880" spans="1:3" x14ac:dyDescent="0.25">
      <c r="A880" s="3">
        <v>41690</v>
      </c>
      <c r="B880" s="2" t="s">
        <v>23</v>
      </c>
      <c r="C880" s="2">
        <v>39</v>
      </c>
    </row>
    <row r="881" spans="1:3" x14ac:dyDescent="0.25">
      <c r="A881" s="3">
        <v>41630</v>
      </c>
      <c r="B881" s="2" t="s">
        <v>11</v>
      </c>
      <c r="C881" s="2">
        <v>37</v>
      </c>
    </row>
    <row r="882" spans="1:3" x14ac:dyDescent="0.25">
      <c r="A882" s="3">
        <v>41357</v>
      </c>
      <c r="B882" s="2" t="s">
        <v>32</v>
      </c>
      <c r="C882" s="2">
        <v>2</v>
      </c>
    </row>
    <row r="883" spans="1:3" x14ac:dyDescent="0.25">
      <c r="A883" s="3">
        <v>41994</v>
      </c>
      <c r="B883" s="2" t="s">
        <v>35</v>
      </c>
      <c r="C883" s="2">
        <v>40</v>
      </c>
    </row>
    <row r="884" spans="1:3" x14ac:dyDescent="0.25">
      <c r="A884" s="3">
        <v>41936</v>
      </c>
      <c r="B884" s="2" t="s">
        <v>7</v>
      </c>
      <c r="C884" s="2">
        <v>28</v>
      </c>
    </row>
    <row r="885" spans="1:3" x14ac:dyDescent="0.25">
      <c r="A885" s="3">
        <v>41694</v>
      </c>
      <c r="B885" s="2" t="s">
        <v>25</v>
      </c>
      <c r="C885" s="2">
        <v>33</v>
      </c>
    </row>
    <row r="886" spans="1:3" x14ac:dyDescent="0.25">
      <c r="A886" s="3">
        <v>41488</v>
      </c>
      <c r="B886" s="2" t="s">
        <v>5</v>
      </c>
      <c r="C886" s="2">
        <v>13</v>
      </c>
    </row>
    <row r="887" spans="1:3" x14ac:dyDescent="0.25">
      <c r="A887" s="3">
        <v>41742</v>
      </c>
      <c r="B887" s="2" t="s">
        <v>15</v>
      </c>
      <c r="C887" s="2">
        <v>49</v>
      </c>
    </row>
    <row r="888" spans="1:3" x14ac:dyDescent="0.25">
      <c r="A888" s="3">
        <v>41289</v>
      </c>
      <c r="B888" s="2" t="s">
        <v>30</v>
      </c>
      <c r="C888" s="2">
        <v>20</v>
      </c>
    </row>
    <row r="889" spans="1:3" x14ac:dyDescent="0.25">
      <c r="A889" s="3">
        <v>41617</v>
      </c>
      <c r="B889" s="2" t="s">
        <v>32</v>
      </c>
      <c r="C889" s="2">
        <v>22</v>
      </c>
    </row>
    <row r="890" spans="1:3" x14ac:dyDescent="0.25">
      <c r="A890" s="3">
        <v>41347</v>
      </c>
      <c r="B890" s="2" t="s">
        <v>22</v>
      </c>
      <c r="C890" s="2">
        <v>36</v>
      </c>
    </row>
    <row r="891" spans="1:3" x14ac:dyDescent="0.25">
      <c r="A891" s="3">
        <v>41877</v>
      </c>
      <c r="B891" s="2" t="s">
        <v>44</v>
      </c>
      <c r="C891" s="2">
        <v>48</v>
      </c>
    </row>
    <row r="892" spans="1:3" x14ac:dyDescent="0.25">
      <c r="A892" s="3">
        <v>41551</v>
      </c>
      <c r="B892" s="2" t="s">
        <v>23</v>
      </c>
      <c r="C892" s="2">
        <v>18</v>
      </c>
    </row>
    <row r="893" spans="1:3" x14ac:dyDescent="0.25">
      <c r="A893" s="3">
        <v>41314</v>
      </c>
      <c r="B893" s="2" t="s">
        <v>45</v>
      </c>
      <c r="C893" s="2">
        <v>22</v>
      </c>
    </row>
    <row r="894" spans="1:3" x14ac:dyDescent="0.25">
      <c r="A894" s="3">
        <v>41550</v>
      </c>
      <c r="B894" s="2" t="s">
        <v>22</v>
      </c>
      <c r="C894" s="2">
        <v>13</v>
      </c>
    </row>
    <row r="895" spans="1:3" x14ac:dyDescent="0.25">
      <c r="A895" s="3">
        <v>41814</v>
      </c>
      <c r="B895" s="2" t="s">
        <v>37</v>
      </c>
      <c r="C895" s="2">
        <v>34</v>
      </c>
    </row>
    <row r="896" spans="1:3" x14ac:dyDescent="0.25">
      <c r="A896" s="3">
        <v>41955</v>
      </c>
      <c r="B896" s="2" t="s">
        <v>20</v>
      </c>
      <c r="C896" s="2">
        <v>26</v>
      </c>
    </row>
    <row r="897" spans="1:3" x14ac:dyDescent="0.25">
      <c r="A897" s="3">
        <v>41750</v>
      </c>
      <c r="B897" s="2" t="s">
        <v>24</v>
      </c>
      <c r="C897" s="2">
        <v>32</v>
      </c>
    </row>
    <row r="898" spans="1:3" x14ac:dyDescent="0.25">
      <c r="A898" s="3">
        <v>41738</v>
      </c>
      <c r="B898" s="2" t="s">
        <v>32</v>
      </c>
      <c r="C898" s="2">
        <v>31</v>
      </c>
    </row>
    <row r="899" spans="1:3" x14ac:dyDescent="0.25">
      <c r="A899" s="3">
        <v>41922</v>
      </c>
      <c r="B899" s="2" t="s">
        <v>15</v>
      </c>
      <c r="C899" s="2">
        <v>39</v>
      </c>
    </row>
    <row r="900" spans="1:3" x14ac:dyDescent="0.25">
      <c r="A900" s="3">
        <v>41951</v>
      </c>
      <c r="B900" s="2" t="s">
        <v>3</v>
      </c>
      <c r="C900" s="2">
        <v>61</v>
      </c>
    </row>
    <row r="901" spans="1:3" x14ac:dyDescent="0.25">
      <c r="A901" s="3">
        <v>41810</v>
      </c>
      <c r="B901" s="2" t="s">
        <v>51</v>
      </c>
      <c r="C901" s="2">
        <v>16</v>
      </c>
    </row>
    <row r="902" spans="1:3" x14ac:dyDescent="0.25">
      <c r="A902" s="3">
        <v>41984</v>
      </c>
      <c r="B902" s="2" t="s">
        <v>5</v>
      </c>
      <c r="C902" s="2">
        <v>36</v>
      </c>
    </row>
    <row r="903" spans="1:3" x14ac:dyDescent="0.25">
      <c r="A903" s="3">
        <v>42002</v>
      </c>
      <c r="B903" s="2" t="s">
        <v>36</v>
      </c>
      <c r="C903" s="2">
        <v>9</v>
      </c>
    </row>
    <row r="904" spans="1:3" x14ac:dyDescent="0.25">
      <c r="A904" s="3">
        <v>41868</v>
      </c>
      <c r="B904" s="2" t="s">
        <v>27</v>
      </c>
      <c r="C904" s="2">
        <v>41</v>
      </c>
    </row>
    <row r="905" spans="1:3" x14ac:dyDescent="0.25">
      <c r="A905" s="3">
        <v>41946</v>
      </c>
      <c r="B905" s="2" t="s">
        <v>32</v>
      </c>
      <c r="C905" s="2">
        <v>12</v>
      </c>
    </row>
    <row r="906" spans="1:3" x14ac:dyDescent="0.25">
      <c r="A906" s="3">
        <v>41286</v>
      </c>
      <c r="B906" s="2" t="s">
        <v>16</v>
      </c>
      <c r="C906" s="2">
        <v>36</v>
      </c>
    </row>
    <row r="907" spans="1:3" x14ac:dyDescent="0.25">
      <c r="A907" s="3">
        <v>41311</v>
      </c>
      <c r="B907" s="2" t="s">
        <v>35</v>
      </c>
      <c r="C907" s="2">
        <v>6</v>
      </c>
    </row>
    <row r="908" spans="1:3" x14ac:dyDescent="0.25">
      <c r="A908" s="3">
        <v>41610</v>
      </c>
      <c r="B908" s="2" t="s">
        <v>47</v>
      </c>
      <c r="C908" s="2">
        <v>6</v>
      </c>
    </row>
    <row r="909" spans="1:3" x14ac:dyDescent="0.25">
      <c r="A909" s="3">
        <v>41617</v>
      </c>
      <c r="B909" s="2" t="s">
        <v>45</v>
      </c>
      <c r="C909" s="2">
        <v>44</v>
      </c>
    </row>
    <row r="910" spans="1:3" x14ac:dyDescent="0.25">
      <c r="A910" s="3">
        <v>41901</v>
      </c>
      <c r="B910" s="2" t="s">
        <v>34</v>
      </c>
      <c r="C910" s="2">
        <v>3</v>
      </c>
    </row>
    <row r="911" spans="1:3" x14ac:dyDescent="0.25">
      <c r="A911" s="3">
        <v>42004</v>
      </c>
      <c r="B911" s="2" t="s">
        <v>48</v>
      </c>
      <c r="C911" s="2">
        <v>8</v>
      </c>
    </row>
    <row r="912" spans="1:3" x14ac:dyDescent="0.25">
      <c r="A912" s="3">
        <v>41721</v>
      </c>
      <c r="B912" s="2" t="s">
        <v>50</v>
      </c>
      <c r="C912" s="2">
        <v>49</v>
      </c>
    </row>
    <row r="913" spans="1:3" x14ac:dyDescent="0.25">
      <c r="A913" s="3">
        <v>41864</v>
      </c>
      <c r="B913" s="2" t="s">
        <v>30</v>
      </c>
      <c r="C913" s="2">
        <v>47</v>
      </c>
    </row>
    <row r="914" spans="1:3" x14ac:dyDescent="0.25">
      <c r="A914" s="3">
        <v>41786</v>
      </c>
      <c r="B914" s="2" t="s">
        <v>40</v>
      </c>
      <c r="C914" s="2">
        <v>22</v>
      </c>
    </row>
    <row r="915" spans="1:3" x14ac:dyDescent="0.25">
      <c r="A915" s="3">
        <v>41736</v>
      </c>
      <c r="B915" s="2" t="s">
        <v>32</v>
      </c>
      <c r="C915" s="2">
        <v>11</v>
      </c>
    </row>
    <row r="916" spans="1:3" x14ac:dyDescent="0.25">
      <c r="A916" s="3">
        <v>41616</v>
      </c>
      <c r="B916" s="2" t="s">
        <v>23</v>
      </c>
      <c r="C916" s="2">
        <v>37</v>
      </c>
    </row>
    <row r="917" spans="1:3" x14ac:dyDescent="0.25">
      <c r="A917" s="3">
        <v>41284</v>
      </c>
      <c r="B917" s="2" t="s">
        <v>37</v>
      </c>
      <c r="C917" s="2">
        <v>35</v>
      </c>
    </row>
    <row r="918" spans="1:3" x14ac:dyDescent="0.25">
      <c r="A918" s="3">
        <v>41720</v>
      </c>
      <c r="B918" s="2" t="s">
        <v>16</v>
      </c>
      <c r="C918" s="2">
        <v>15</v>
      </c>
    </row>
    <row r="919" spans="1:3" x14ac:dyDescent="0.25">
      <c r="A919" s="3">
        <v>41510</v>
      </c>
      <c r="B919" s="2" t="s">
        <v>39</v>
      </c>
      <c r="C919" s="2">
        <v>26</v>
      </c>
    </row>
    <row r="920" spans="1:3" x14ac:dyDescent="0.25">
      <c r="A920" s="3">
        <v>41397</v>
      </c>
      <c r="B920" s="2" t="s">
        <v>9</v>
      </c>
      <c r="C920" s="2">
        <v>17</v>
      </c>
    </row>
    <row r="921" spans="1:3" x14ac:dyDescent="0.25">
      <c r="A921" s="3">
        <v>41621</v>
      </c>
      <c r="B921" s="2" t="s">
        <v>39</v>
      </c>
      <c r="C921" s="2">
        <v>46</v>
      </c>
    </row>
    <row r="922" spans="1:3" x14ac:dyDescent="0.25">
      <c r="A922" s="3">
        <v>41359</v>
      </c>
      <c r="B922" s="2" t="s">
        <v>19</v>
      </c>
      <c r="C922" s="2">
        <v>27</v>
      </c>
    </row>
    <row r="923" spans="1:3" x14ac:dyDescent="0.25">
      <c r="A923" s="3">
        <v>41366</v>
      </c>
      <c r="B923" s="2" t="s">
        <v>22</v>
      </c>
      <c r="C923" s="2">
        <v>12</v>
      </c>
    </row>
    <row r="924" spans="1:3" x14ac:dyDescent="0.25">
      <c r="A924" s="3">
        <v>41928</v>
      </c>
      <c r="B924" s="2" t="s">
        <v>10</v>
      </c>
      <c r="C924" s="2">
        <v>51</v>
      </c>
    </row>
    <row r="925" spans="1:3" x14ac:dyDescent="0.25">
      <c r="A925" s="3">
        <v>41926</v>
      </c>
      <c r="B925" s="2" t="s">
        <v>23</v>
      </c>
      <c r="C925" s="2">
        <v>32</v>
      </c>
    </row>
    <row r="926" spans="1:3" x14ac:dyDescent="0.25">
      <c r="A926" s="3">
        <v>41832</v>
      </c>
      <c r="B926" s="2" t="s">
        <v>17</v>
      </c>
      <c r="C926" s="2">
        <v>36</v>
      </c>
    </row>
    <row r="927" spans="1:3" x14ac:dyDescent="0.25">
      <c r="A927" s="3">
        <v>41662</v>
      </c>
      <c r="B927" s="2" t="s">
        <v>44</v>
      </c>
      <c r="C927" s="2">
        <v>29</v>
      </c>
    </row>
    <row r="928" spans="1:3" x14ac:dyDescent="0.25">
      <c r="A928" s="3">
        <v>41420</v>
      </c>
      <c r="B928" s="2" t="s">
        <v>6</v>
      </c>
      <c r="C928" s="2">
        <v>4</v>
      </c>
    </row>
    <row r="929" spans="1:3" x14ac:dyDescent="0.25">
      <c r="A929" s="3">
        <v>41301</v>
      </c>
      <c r="B929" s="2" t="s">
        <v>50</v>
      </c>
      <c r="C929" s="2">
        <v>22</v>
      </c>
    </row>
    <row r="930" spans="1:3" x14ac:dyDescent="0.25">
      <c r="A930" s="3">
        <v>41907</v>
      </c>
      <c r="B930" s="2" t="s">
        <v>6</v>
      </c>
      <c r="C930" s="2">
        <v>15</v>
      </c>
    </row>
    <row r="931" spans="1:3" x14ac:dyDescent="0.25">
      <c r="A931" s="3">
        <v>41876</v>
      </c>
      <c r="B931" s="2" t="s">
        <v>36</v>
      </c>
      <c r="C931" s="2">
        <v>28</v>
      </c>
    </row>
    <row r="932" spans="1:3" x14ac:dyDescent="0.25">
      <c r="A932" s="3">
        <v>41496</v>
      </c>
      <c r="B932" s="2" t="s">
        <v>26</v>
      </c>
      <c r="C932" s="2">
        <v>39</v>
      </c>
    </row>
    <row r="933" spans="1:3" x14ac:dyDescent="0.25">
      <c r="A933" s="3">
        <v>41971</v>
      </c>
      <c r="B933" s="2" t="s">
        <v>10</v>
      </c>
      <c r="C933" s="2">
        <v>4</v>
      </c>
    </row>
    <row r="934" spans="1:3" x14ac:dyDescent="0.25">
      <c r="A934" s="3">
        <v>41417</v>
      </c>
      <c r="B934" s="2" t="s">
        <v>47</v>
      </c>
      <c r="C934" s="2">
        <v>24</v>
      </c>
    </row>
    <row r="935" spans="1:3" x14ac:dyDescent="0.25">
      <c r="A935" s="3">
        <v>41429</v>
      </c>
      <c r="B935" s="2" t="s">
        <v>36</v>
      </c>
      <c r="C935" s="2">
        <v>42</v>
      </c>
    </row>
    <row r="936" spans="1:3" x14ac:dyDescent="0.25">
      <c r="A936" s="3">
        <v>41773</v>
      </c>
      <c r="B936" s="2" t="s">
        <v>47</v>
      </c>
      <c r="C936" s="2">
        <v>5</v>
      </c>
    </row>
    <row r="937" spans="1:3" x14ac:dyDescent="0.25">
      <c r="A937" s="3">
        <v>41740</v>
      </c>
      <c r="B937" s="2" t="s">
        <v>28</v>
      </c>
      <c r="C937" s="2">
        <v>61</v>
      </c>
    </row>
    <row r="938" spans="1:3" x14ac:dyDescent="0.25">
      <c r="A938" s="3">
        <v>41328</v>
      </c>
      <c r="B938" s="2" t="s">
        <v>33</v>
      </c>
      <c r="C938" s="2">
        <v>21</v>
      </c>
    </row>
    <row r="939" spans="1:3" x14ac:dyDescent="0.25">
      <c r="A939" s="3">
        <v>41687</v>
      </c>
      <c r="B939" s="2" t="s">
        <v>46</v>
      </c>
      <c r="C939" s="2">
        <v>31</v>
      </c>
    </row>
    <row r="940" spans="1:3" x14ac:dyDescent="0.25">
      <c r="A940" s="3">
        <v>41568</v>
      </c>
      <c r="B940" s="2" t="s">
        <v>35</v>
      </c>
      <c r="C940" s="2">
        <v>7</v>
      </c>
    </row>
    <row r="941" spans="1:3" x14ac:dyDescent="0.25">
      <c r="A941" s="3">
        <v>41587</v>
      </c>
      <c r="B941" s="2" t="s">
        <v>25</v>
      </c>
      <c r="C941" s="2">
        <v>51</v>
      </c>
    </row>
    <row r="942" spans="1:3" x14ac:dyDescent="0.25">
      <c r="A942" s="3">
        <v>41771</v>
      </c>
      <c r="B942" s="2" t="s">
        <v>30</v>
      </c>
      <c r="C942" s="2">
        <v>25</v>
      </c>
    </row>
    <row r="943" spans="1:3" x14ac:dyDescent="0.25">
      <c r="A943" s="3">
        <v>41554</v>
      </c>
      <c r="B943" s="2" t="s">
        <v>25</v>
      </c>
      <c r="C943" s="2">
        <v>5</v>
      </c>
    </row>
    <row r="944" spans="1:3" x14ac:dyDescent="0.25">
      <c r="A944" s="3">
        <v>41950</v>
      </c>
      <c r="B944" s="2" t="s">
        <v>34</v>
      </c>
      <c r="C944" s="2">
        <v>22</v>
      </c>
    </row>
    <row r="945" spans="1:3" x14ac:dyDescent="0.25">
      <c r="A945" s="3">
        <v>41901</v>
      </c>
      <c r="B945" s="2" t="s">
        <v>36</v>
      </c>
      <c r="C945" s="2">
        <v>1</v>
      </c>
    </row>
    <row r="946" spans="1:3" x14ac:dyDescent="0.25">
      <c r="A946" s="3">
        <v>41829</v>
      </c>
      <c r="B946" s="2" t="s">
        <v>27</v>
      </c>
      <c r="C946" s="2">
        <v>25</v>
      </c>
    </row>
    <row r="947" spans="1:3" x14ac:dyDescent="0.25">
      <c r="A947" s="3">
        <v>41790</v>
      </c>
      <c r="B947" s="2" t="s">
        <v>48</v>
      </c>
      <c r="C947" s="2">
        <v>43</v>
      </c>
    </row>
    <row r="948" spans="1:3" x14ac:dyDescent="0.25">
      <c r="A948" s="3">
        <v>41672</v>
      </c>
      <c r="B948" s="2" t="s">
        <v>13</v>
      </c>
      <c r="C948" s="2">
        <v>42</v>
      </c>
    </row>
    <row r="949" spans="1:3" x14ac:dyDescent="0.25">
      <c r="A949" s="3">
        <v>41329</v>
      </c>
      <c r="B949" s="2" t="s">
        <v>41</v>
      </c>
      <c r="C949" s="2">
        <v>9</v>
      </c>
    </row>
    <row r="950" spans="1:3" x14ac:dyDescent="0.25">
      <c r="A950" s="3">
        <v>41931</v>
      </c>
      <c r="B950" s="2" t="s">
        <v>26</v>
      </c>
      <c r="C950" s="2">
        <v>27</v>
      </c>
    </row>
    <row r="951" spans="1:3" x14ac:dyDescent="0.25">
      <c r="A951" s="3">
        <v>41487</v>
      </c>
      <c r="B951" s="2" t="s">
        <v>45</v>
      </c>
      <c r="C951" s="2">
        <v>22</v>
      </c>
    </row>
    <row r="952" spans="1:3" x14ac:dyDescent="0.25">
      <c r="A952" s="3">
        <v>41942</v>
      </c>
      <c r="B952" s="2" t="s">
        <v>31</v>
      </c>
      <c r="C952" s="2">
        <v>21</v>
      </c>
    </row>
    <row r="953" spans="1:3" x14ac:dyDescent="0.25">
      <c r="A953" s="3">
        <v>41328</v>
      </c>
      <c r="B953" s="2" t="s">
        <v>6</v>
      </c>
      <c r="C953" s="2">
        <v>48</v>
      </c>
    </row>
    <row r="954" spans="1:3" x14ac:dyDescent="0.25">
      <c r="A954" s="3">
        <v>41338</v>
      </c>
      <c r="B954" s="2" t="s">
        <v>30</v>
      </c>
      <c r="C954" s="2">
        <v>5</v>
      </c>
    </row>
    <row r="955" spans="1:3" x14ac:dyDescent="0.25">
      <c r="A955" s="3">
        <v>41319</v>
      </c>
      <c r="B955" s="2" t="s">
        <v>16</v>
      </c>
      <c r="C955" s="2">
        <v>15</v>
      </c>
    </row>
    <row r="956" spans="1:3" x14ac:dyDescent="0.25">
      <c r="A956" s="3">
        <v>41560</v>
      </c>
      <c r="B956" s="2" t="s">
        <v>14</v>
      </c>
      <c r="C956" s="2">
        <v>26</v>
      </c>
    </row>
    <row r="957" spans="1:3" x14ac:dyDescent="0.25">
      <c r="A957" s="3">
        <v>41813</v>
      </c>
      <c r="B957" s="2" t="s">
        <v>15</v>
      </c>
      <c r="C957" s="2">
        <v>23</v>
      </c>
    </row>
    <row r="958" spans="1:3" x14ac:dyDescent="0.25">
      <c r="A958" s="3">
        <v>41366</v>
      </c>
      <c r="B958" s="2" t="s">
        <v>8</v>
      </c>
      <c r="C958" s="2">
        <v>31</v>
      </c>
    </row>
    <row r="959" spans="1:3" x14ac:dyDescent="0.25">
      <c r="A959" s="3">
        <v>41969</v>
      </c>
      <c r="B959" s="2" t="s">
        <v>37</v>
      </c>
      <c r="C959" s="2">
        <v>25</v>
      </c>
    </row>
    <row r="960" spans="1:3" x14ac:dyDescent="0.25">
      <c r="A960" s="3">
        <v>41999</v>
      </c>
      <c r="B960" s="2" t="s">
        <v>29</v>
      </c>
      <c r="C960" s="2">
        <v>24</v>
      </c>
    </row>
    <row r="961" spans="1:3" x14ac:dyDescent="0.25">
      <c r="A961" s="3">
        <v>41326</v>
      </c>
      <c r="B961" s="2" t="s">
        <v>10</v>
      </c>
      <c r="C961" s="2">
        <v>20</v>
      </c>
    </row>
    <row r="962" spans="1:3" x14ac:dyDescent="0.25">
      <c r="A962" s="3">
        <v>41317</v>
      </c>
      <c r="B962" s="2" t="s">
        <v>20</v>
      </c>
      <c r="C962" s="2">
        <v>23</v>
      </c>
    </row>
    <row r="963" spans="1:3" x14ac:dyDescent="0.25">
      <c r="A963" s="3">
        <v>41685</v>
      </c>
      <c r="B963" s="2" t="s">
        <v>8</v>
      </c>
      <c r="C963" s="2">
        <v>18</v>
      </c>
    </row>
    <row r="964" spans="1:3" x14ac:dyDescent="0.25">
      <c r="A964" s="3">
        <v>41935</v>
      </c>
      <c r="B964" s="2" t="s">
        <v>4</v>
      </c>
      <c r="C964" s="2">
        <v>11</v>
      </c>
    </row>
    <row r="965" spans="1:3" x14ac:dyDescent="0.25">
      <c r="A965" s="3">
        <v>41441</v>
      </c>
      <c r="B965" s="2" t="s">
        <v>20</v>
      </c>
      <c r="C965" s="2">
        <v>18</v>
      </c>
    </row>
    <row r="966" spans="1:3" x14ac:dyDescent="0.25">
      <c r="A966" s="3">
        <v>41698</v>
      </c>
      <c r="B966" s="2" t="s">
        <v>47</v>
      </c>
      <c r="C966" s="2">
        <v>48</v>
      </c>
    </row>
    <row r="967" spans="1:3" x14ac:dyDescent="0.25">
      <c r="A967" s="3">
        <v>41482</v>
      </c>
      <c r="B967" s="2" t="s">
        <v>24</v>
      </c>
      <c r="C967" s="2">
        <v>28</v>
      </c>
    </row>
    <row r="968" spans="1:3" x14ac:dyDescent="0.25">
      <c r="A968" s="3">
        <v>41382</v>
      </c>
      <c r="B968" s="2" t="s">
        <v>44</v>
      </c>
      <c r="C968" s="2">
        <v>20</v>
      </c>
    </row>
    <row r="969" spans="1:3" x14ac:dyDescent="0.25">
      <c r="A969" s="3">
        <v>41691</v>
      </c>
      <c r="B969" s="2" t="s">
        <v>37</v>
      </c>
      <c r="C969" s="2">
        <v>36</v>
      </c>
    </row>
    <row r="970" spans="1:3" x14ac:dyDescent="0.25">
      <c r="A970" s="3">
        <v>41745</v>
      </c>
      <c r="B970" s="2" t="s">
        <v>51</v>
      </c>
      <c r="C970" s="2">
        <v>16</v>
      </c>
    </row>
    <row r="971" spans="1:3" x14ac:dyDescent="0.25">
      <c r="A971" s="3">
        <v>41311</v>
      </c>
      <c r="B971" s="2" t="s">
        <v>47</v>
      </c>
      <c r="C971" s="2">
        <v>23</v>
      </c>
    </row>
    <row r="972" spans="1:3" x14ac:dyDescent="0.25">
      <c r="A972" s="3">
        <v>41684</v>
      </c>
      <c r="B972" s="2" t="s">
        <v>41</v>
      </c>
      <c r="C972" s="2">
        <v>6</v>
      </c>
    </row>
    <row r="973" spans="1:3" x14ac:dyDescent="0.25">
      <c r="A973" s="3">
        <v>41814</v>
      </c>
      <c r="B973" s="2" t="s">
        <v>41</v>
      </c>
      <c r="C973" s="2">
        <v>1</v>
      </c>
    </row>
    <row r="974" spans="1:3" x14ac:dyDescent="0.25">
      <c r="A974" s="3">
        <v>41829</v>
      </c>
      <c r="B974" s="2" t="s">
        <v>8</v>
      </c>
      <c r="C974" s="2">
        <v>28</v>
      </c>
    </row>
    <row r="975" spans="1:3" x14ac:dyDescent="0.25">
      <c r="A975" s="3">
        <v>41958</v>
      </c>
      <c r="B975" s="2" t="s">
        <v>16</v>
      </c>
      <c r="C975" s="2">
        <v>33</v>
      </c>
    </row>
    <row r="976" spans="1:3" x14ac:dyDescent="0.25">
      <c r="A976" s="3">
        <v>41993</v>
      </c>
      <c r="B976" s="2" t="s">
        <v>8</v>
      </c>
      <c r="C976" s="2">
        <v>35</v>
      </c>
    </row>
    <row r="977" spans="1:3" x14ac:dyDescent="0.25">
      <c r="A977" s="3">
        <v>41839</v>
      </c>
      <c r="B977" s="2" t="s">
        <v>4</v>
      </c>
      <c r="C977" s="2">
        <v>30</v>
      </c>
    </row>
    <row r="978" spans="1:3" x14ac:dyDescent="0.25">
      <c r="A978" s="3">
        <v>41701</v>
      </c>
      <c r="B978" s="2" t="s">
        <v>13</v>
      </c>
      <c r="C978" s="2">
        <v>17</v>
      </c>
    </row>
    <row r="979" spans="1:3" x14ac:dyDescent="0.25">
      <c r="A979" s="3">
        <v>41879</v>
      </c>
      <c r="B979" s="2" t="s">
        <v>41</v>
      </c>
      <c r="C979" s="2">
        <v>37</v>
      </c>
    </row>
    <row r="980" spans="1:3" x14ac:dyDescent="0.25">
      <c r="A980" s="3">
        <v>41399</v>
      </c>
      <c r="B980" s="2" t="s">
        <v>2</v>
      </c>
      <c r="C980" s="2">
        <v>1</v>
      </c>
    </row>
    <row r="981" spans="1:3" x14ac:dyDescent="0.25">
      <c r="A981" s="3">
        <v>41305</v>
      </c>
      <c r="B981" s="2" t="s">
        <v>25</v>
      </c>
      <c r="C981" s="2">
        <v>16</v>
      </c>
    </row>
    <row r="982" spans="1:3" x14ac:dyDescent="0.25">
      <c r="A982" s="3">
        <v>41954</v>
      </c>
      <c r="B982" s="2" t="s">
        <v>31</v>
      </c>
      <c r="C982" s="2">
        <v>13</v>
      </c>
    </row>
    <row r="983" spans="1:3" x14ac:dyDescent="0.25">
      <c r="A983" s="3">
        <v>41386</v>
      </c>
      <c r="B983" s="2" t="s">
        <v>47</v>
      </c>
      <c r="C983" s="2">
        <v>7</v>
      </c>
    </row>
    <row r="984" spans="1:3" x14ac:dyDescent="0.25">
      <c r="A984" s="3">
        <v>41858</v>
      </c>
      <c r="B984" s="2" t="s">
        <v>6</v>
      </c>
      <c r="C984" s="2">
        <v>43</v>
      </c>
    </row>
    <row r="985" spans="1:3" x14ac:dyDescent="0.25">
      <c r="A985" s="3">
        <v>41931</v>
      </c>
      <c r="B985" s="2" t="s">
        <v>31</v>
      </c>
      <c r="C985" s="2">
        <v>51</v>
      </c>
    </row>
    <row r="986" spans="1:3" x14ac:dyDescent="0.25">
      <c r="A986" s="3">
        <v>41717</v>
      </c>
      <c r="B986" s="2" t="s">
        <v>11</v>
      </c>
      <c r="C986" s="2">
        <v>23</v>
      </c>
    </row>
    <row r="987" spans="1:3" x14ac:dyDescent="0.25">
      <c r="A987" s="3">
        <v>41772</v>
      </c>
      <c r="B987" s="2" t="s">
        <v>27</v>
      </c>
      <c r="C987" s="2">
        <v>49</v>
      </c>
    </row>
    <row r="988" spans="1:3" x14ac:dyDescent="0.25">
      <c r="A988" s="3">
        <v>41427</v>
      </c>
      <c r="B988" s="2" t="s">
        <v>28</v>
      </c>
      <c r="C988" s="2">
        <v>22</v>
      </c>
    </row>
    <row r="989" spans="1:3" x14ac:dyDescent="0.25">
      <c r="A989" s="3">
        <v>41743</v>
      </c>
      <c r="B989" s="2" t="s">
        <v>24</v>
      </c>
      <c r="C989" s="2">
        <v>25</v>
      </c>
    </row>
    <row r="990" spans="1:3" x14ac:dyDescent="0.25">
      <c r="A990" s="3">
        <v>41911</v>
      </c>
      <c r="B990" s="2" t="s">
        <v>48</v>
      </c>
      <c r="C990" s="2">
        <v>21</v>
      </c>
    </row>
    <row r="991" spans="1:3" x14ac:dyDescent="0.25">
      <c r="A991" s="3">
        <v>41889</v>
      </c>
      <c r="B991" s="2" t="s">
        <v>28</v>
      </c>
      <c r="C991" s="2">
        <v>19</v>
      </c>
    </row>
    <row r="992" spans="1:3" x14ac:dyDescent="0.25">
      <c r="A992" s="3">
        <v>41677</v>
      </c>
      <c r="B992" s="2" t="s">
        <v>39</v>
      </c>
      <c r="C992" s="2">
        <v>10</v>
      </c>
    </row>
    <row r="993" spans="1:3" x14ac:dyDescent="0.25">
      <c r="A993" s="3">
        <v>41986</v>
      </c>
      <c r="B993" s="2" t="s">
        <v>5</v>
      </c>
      <c r="C993" s="2">
        <v>8</v>
      </c>
    </row>
    <row r="994" spans="1:3" x14ac:dyDescent="0.25">
      <c r="A994" s="3">
        <v>41377</v>
      </c>
      <c r="B994" s="2" t="s">
        <v>11</v>
      </c>
      <c r="C994" s="2">
        <v>17</v>
      </c>
    </row>
    <row r="995" spans="1:3" x14ac:dyDescent="0.25">
      <c r="A995" s="3">
        <v>41420</v>
      </c>
      <c r="B995" s="2" t="s">
        <v>30</v>
      </c>
      <c r="C995" s="2">
        <v>41</v>
      </c>
    </row>
    <row r="996" spans="1:3" x14ac:dyDescent="0.25">
      <c r="A996" s="3">
        <v>41543</v>
      </c>
      <c r="B996" s="2" t="s">
        <v>21</v>
      </c>
      <c r="C996" s="2">
        <v>13</v>
      </c>
    </row>
    <row r="997" spans="1:3" x14ac:dyDescent="0.25">
      <c r="A997" s="3">
        <v>41624</v>
      </c>
      <c r="B997" s="2" t="s">
        <v>4</v>
      </c>
      <c r="C997" s="2">
        <v>14</v>
      </c>
    </row>
    <row r="998" spans="1:3" x14ac:dyDescent="0.25">
      <c r="A998" s="3">
        <v>41430</v>
      </c>
      <c r="B998" s="2" t="s">
        <v>5</v>
      </c>
      <c r="C998" s="2">
        <v>29</v>
      </c>
    </row>
    <row r="999" spans="1:3" x14ac:dyDescent="0.25">
      <c r="A999" s="3">
        <v>41732</v>
      </c>
      <c r="B999" s="2" t="s">
        <v>38</v>
      </c>
      <c r="C999" s="2">
        <v>50</v>
      </c>
    </row>
    <row r="1000" spans="1:3" x14ac:dyDescent="0.25">
      <c r="A1000" s="3">
        <v>41525</v>
      </c>
      <c r="B1000" s="2" t="s">
        <v>2</v>
      </c>
      <c r="C1000" s="2">
        <v>12</v>
      </c>
    </row>
    <row r="1001" spans="1:3" x14ac:dyDescent="0.25">
      <c r="A1001" s="3">
        <v>41646</v>
      </c>
      <c r="B1001" s="2" t="s">
        <v>44</v>
      </c>
      <c r="C1001" s="2">
        <v>17</v>
      </c>
    </row>
    <row r="1002" spans="1:3" x14ac:dyDescent="0.25">
      <c r="A1002" s="3">
        <v>41312</v>
      </c>
      <c r="B1002" s="2" t="s">
        <v>11</v>
      </c>
      <c r="C1002" s="2">
        <v>24</v>
      </c>
    </row>
    <row r="1003" spans="1:3" x14ac:dyDescent="0.25">
      <c r="A1003" s="3">
        <v>41487</v>
      </c>
      <c r="B1003" s="2" t="s">
        <v>34</v>
      </c>
      <c r="C1003" s="2">
        <v>43</v>
      </c>
    </row>
    <row r="1004" spans="1:3" x14ac:dyDescent="0.25">
      <c r="A1004" s="3">
        <v>41361</v>
      </c>
      <c r="B1004" s="2" t="s">
        <v>21</v>
      </c>
      <c r="C1004" s="2">
        <v>0</v>
      </c>
    </row>
    <row r="1005" spans="1:3" x14ac:dyDescent="0.25">
      <c r="A1005" s="3">
        <v>41858</v>
      </c>
      <c r="B1005" s="2" t="s">
        <v>5</v>
      </c>
      <c r="C1005" s="2">
        <v>27</v>
      </c>
    </row>
    <row r="1006" spans="1:3" x14ac:dyDescent="0.25">
      <c r="A1006" s="3">
        <v>41404</v>
      </c>
      <c r="B1006" s="2" t="s">
        <v>49</v>
      </c>
      <c r="C1006" s="2">
        <v>24</v>
      </c>
    </row>
    <row r="1007" spans="1:3" x14ac:dyDescent="0.25">
      <c r="A1007" s="3">
        <v>41316</v>
      </c>
      <c r="B1007" s="2" t="s">
        <v>50</v>
      </c>
      <c r="C1007" s="2">
        <v>25</v>
      </c>
    </row>
    <row r="1008" spans="1:3" x14ac:dyDescent="0.25">
      <c r="A1008" s="3">
        <v>41859</v>
      </c>
      <c r="B1008" s="2" t="s">
        <v>43</v>
      </c>
      <c r="C1008" s="2">
        <v>42</v>
      </c>
    </row>
    <row r="1009" spans="1:3" x14ac:dyDescent="0.25">
      <c r="A1009" s="3">
        <v>41549</v>
      </c>
      <c r="B1009" s="2" t="s">
        <v>35</v>
      </c>
      <c r="C1009" s="2">
        <v>33</v>
      </c>
    </row>
    <row r="1010" spans="1:3" x14ac:dyDescent="0.25">
      <c r="A1010" s="3">
        <v>41759</v>
      </c>
      <c r="B1010" s="2" t="s">
        <v>28</v>
      </c>
      <c r="C1010" s="2">
        <v>13</v>
      </c>
    </row>
    <row r="1011" spans="1:3" x14ac:dyDescent="0.25">
      <c r="A1011" s="3">
        <v>41917</v>
      </c>
      <c r="B1011" s="2" t="s">
        <v>7</v>
      </c>
      <c r="C1011" s="2">
        <v>56</v>
      </c>
    </row>
    <row r="1012" spans="1:3" x14ac:dyDescent="0.25">
      <c r="A1012" s="3">
        <v>41588</v>
      </c>
      <c r="B1012" s="2" t="s">
        <v>48</v>
      </c>
      <c r="C1012" s="2">
        <v>38</v>
      </c>
    </row>
    <row r="1013" spans="1:3" x14ac:dyDescent="0.25">
      <c r="A1013" s="3">
        <v>41914</v>
      </c>
      <c r="B1013" s="2" t="s">
        <v>12</v>
      </c>
      <c r="C1013" s="2">
        <v>32</v>
      </c>
    </row>
    <row r="1014" spans="1:3" x14ac:dyDescent="0.25">
      <c r="A1014" s="3">
        <v>41839</v>
      </c>
      <c r="B1014" s="2" t="s">
        <v>26</v>
      </c>
      <c r="C1014" s="2">
        <v>16</v>
      </c>
    </row>
    <row r="1015" spans="1:3" x14ac:dyDescent="0.25">
      <c r="A1015" s="3">
        <v>41613</v>
      </c>
      <c r="B1015" s="2" t="s">
        <v>43</v>
      </c>
      <c r="C1015" s="2">
        <v>40</v>
      </c>
    </row>
    <row r="1016" spans="1:3" x14ac:dyDescent="0.25">
      <c r="A1016" s="3">
        <v>41637</v>
      </c>
      <c r="B1016" s="2" t="s">
        <v>34</v>
      </c>
      <c r="C1016" s="2">
        <v>27</v>
      </c>
    </row>
    <row r="1017" spans="1:3" x14ac:dyDescent="0.25">
      <c r="A1017" s="3">
        <v>41734</v>
      </c>
      <c r="B1017" s="2" t="s">
        <v>50</v>
      </c>
      <c r="C1017" s="2">
        <v>15</v>
      </c>
    </row>
    <row r="1018" spans="1:3" x14ac:dyDescent="0.25">
      <c r="A1018" s="3">
        <v>41946</v>
      </c>
      <c r="B1018" s="2" t="s">
        <v>36</v>
      </c>
      <c r="C1018" s="2">
        <v>37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angeTimer">
                <anchor moveWithCells="1" sizeWithCells="1">
                  <from>
                    <xdr:col>9</xdr:col>
                    <xdr:colOff>47625</xdr:colOff>
                    <xdr:row>13</xdr:row>
                    <xdr:rowOff>161925</xdr:rowOff>
                  </from>
                  <to>
                    <xdr:col>10</xdr:col>
                    <xdr:colOff>409575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workbookViewId="0">
      <selection activeCell="B7" sqref="B7"/>
    </sheetView>
  </sheetViews>
  <sheetFormatPr defaultColWidth="8.85546875" defaultRowHeight="15" x14ac:dyDescent="0.25"/>
  <cols>
    <col min="1" max="1" width="20.28515625" bestFit="1" customWidth="1"/>
  </cols>
  <sheetData>
    <row r="1" spans="1:4" x14ac:dyDescent="0.25">
      <c r="A1" s="1" t="s">
        <v>0</v>
      </c>
      <c r="B1" s="1" t="s">
        <v>1</v>
      </c>
      <c r="D1" s="1" t="s">
        <v>53</v>
      </c>
    </row>
    <row r="2" spans="1:4" x14ac:dyDescent="0.25">
      <c r="A2" s="2" t="s">
        <v>2</v>
      </c>
      <c r="B2" s="2" t="s">
        <v>52</v>
      </c>
      <c r="D2" s="2" t="s">
        <v>52</v>
      </c>
    </row>
    <row r="3" spans="1:4" x14ac:dyDescent="0.25">
      <c r="A3" s="2" t="s">
        <v>3</v>
      </c>
      <c r="B3" s="2" t="s">
        <v>56</v>
      </c>
      <c r="D3" s="2" t="s">
        <v>56</v>
      </c>
    </row>
    <row r="4" spans="1:4" x14ac:dyDescent="0.25">
      <c r="A4" s="2" t="s">
        <v>4</v>
      </c>
      <c r="B4" s="2" t="s">
        <v>54</v>
      </c>
      <c r="D4" s="2" t="s">
        <v>55</v>
      </c>
    </row>
    <row r="5" spans="1:4" x14ac:dyDescent="0.25">
      <c r="A5" s="2" t="s">
        <v>5</v>
      </c>
      <c r="B5" s="2" t="s">
        <v>54</v>
      </c>
      <c r="D5" s="2" t="s">
        <v>54</v>
      </c>
    </row>
    <row r="6" spans="1:4" x14ac:dyDescent="0.25">
      <c r="A6" s="2" t="s">
        <v>6</v>
      </c>
      <c r="B6" s="2" t="s">
        <v>52</v>
      </c>
    </row>
    <row r="7" spans="1:4" x14ac:dyDescent="0.25">
      <c r="A7" s="2" t="s">
        <v>7</v>
      </c>
      <c r="B7" s="2" t="s">
        <v>55</v>
      </c>
    </row>
    <row r="8" spans="1:4" x14ac:dyDescent="0.25">
      <c r="A8" s="2" t="s">
        <v>8</v>
      </c>
      <c r="B8" s="2" t="s">
        <v>54</v>
      </c>
    </row>
    <row r="9" spans="1:4" x14ac:dyDescent="0.25">
      <c r="A9" s="2" t="s">
        <v>9</v>
      </c>
      <c r="B9" s="2" t="s">
        <v>54</v>
      </c>
    </row>
    <row r="10" spans="1:4" x14ac:dyDescent="0.25">
      <c r="A10" s="2" t="s">
        <v>10</v>
      </c>
      <c r="B10" s="2" t="s">
        <v>52</v>
      </c>
    </row>
    <row r="11" spans="1:4" x14ac:dyDescent="0.25">
      <c r="A11" s="2" t="s">
        <v>11</v>
      </c>
      <c r="B11" s="2" t="s">
        <v>56</v>
      </c>
    </row>
    <row r="12" spans="1:4" x14ac:dyDescent="0.25">
      <c r="A12" s="2" t="s">
        <v>12</v>
      </c>
      <c r="B12" s="2" t="s">
        <v>52</v>
      </c>
    </row>
    <row r="13" spans="1:4" x14ac:dyDescent="0.25">
      <c r="A13" s="2" t="s">
        <v>13</v>
      </c>
      <c r="B13" s="2" t="s">
        <v>56</v>
      </c>
    </row>
    <row r="14" spans="1:4" x14ac:dyDescent="0.25">
      <c r="A14" s="2" t="s">
        <v>14</v>
      </c>
      <c r="B14" s="2" t="s">
        <v>52</v>
      </c>
    </row>
    <row r="15" spans="1:4" x14ac:dyDescent="0.25">
      <c r="A15" s="2" t="s">
        <v>15</v>
      </c>
      <c r="B15" s="2" t="s">
        <v>54</v>
      </c>
    </row>
    <row r="16" spans="1:4" x14ac:dyDescent="0.25">
      <c r="A16" s="2" t="s">
        <v>16</v>
      </c>
      <c r="B16" s="2" t="s">
        <v>56</v>
      </c>
    </row>
    <row r="17" spans="1:2" x14ac:dyDescent="0.25">
      <c r="A17" s="2" t="s">
        <v>17</v>
      </c>
      <c r="B17" s="2" t="s">
        <v>54</v>
      </c>
    </row>
    <row r="18" spans="1:2" x14ac:dyDescent="0.25">
      <c r="A18" s="2" t="s">
        <v>18</v>
      </c>
      <c r="B18" s="2" t="s">
        <v>54</v>
      </c>
    </row>
    <row r="19" spans="1:2" x14ac:dyDescent="0.25">
      <c r="A19" s="2" t="s">
        <v>19</v>
      </c>
      <c r="B19" s="2" t="s">
        <v>55</v>
      </c>
    </row>
    <row r="20" spans="1:2" x14ac:dyDescent="0.25">
      <c r="A20" s="2" t="s">
        <v>20</v>
      </c>
      <c r="B20" s="2" t="s">
        <v>52</v>
      </c>
    </row>
    <row r="21" spans="1:2" x14ac:dyDescent="0.25">
      <c r="A21" s="2" t="s">
        <v>21</v>
      </c>
      <c r="B21" s="2" t="s">
        <v>55</v>
      </c>
    </row>
    <row r="22" spans="1:2" x14ac:dyDescent="0.25">
      <c r="A22" s="2" t="s">
        <v>22</v>
      </c>
      <c r="B22" s="2" t="s">
        <v>56</v>
      </c>
    </row>
    <row r="23" spans="1:2" x14ac:dyDescent="0.25">
      <c r="A23" s="2" t="s">
        <v>23</v>
      </c>
      <c r="B23" s="2" t="s">
        <v>56</v>
      </c>
    </row>
    <row r="24" spans="1:2" x14ac:dyDescent="0.25">
      <c r="A24" s="2" t="s">
        <v>24</v>
      </c>
      <c r="B24" s="2" t="s">
        <v>52</v>
      </c>
    </row>
    <row r="25" spans="1:2" x14ac:dyDescent="0.25">
      <c r="A25" s="2" t="s">
        <v>25</v>
      </c>
      <c r="B25" s="2" t="s">
        <v>55</v>
      </c>
    </row>
    <row r="26" spans="1:2" x14ac:dyDescent="0.25">
      <c r="A26" s="2" t="s">
        <v>26</v>
      </c>
      <c r="B26" s="2" t="s">
        <v>52</v>
      </c>
    </row>
    <row r="27" spans="1:2" x14ac:dyDescent="0.25">
      <c r="A27" s="2" t="s">
        <v>27</v>
      </c>
      <c r="B27" s="2" t="s">
        <v>52</v>
      </c>
    </row>
    <row r="28" spans="1:2" x14ac:dyDescent="0.25">
      <c r="A28" s="2" t="s">
        <v>28</v>
      </c>
      <c r="B28" s="2" t="s">
        <v>56</v>
      </c>
    </row>
    <row r="29" spans="1:2" x14ac:dyDescent="0.25">
      <c r="A29" s="2" t="s">
        <v>29</v>
      </c>
      <c r="B29" s="2" t="s">
        <v>54</v>
      </c>
    </row>
    <row r="30" spans="1:2" x14ac:dyDescent="0.25">
      <c r="A30" s="2" t="s">
        <v>30</v>
      </c>
      <c r="B30" s="2" t="s">
        <v>56</v>
      </c>
    </row>
    <row r="31" spans="1:2" x14ac:dyDescent="0.25">
      <c r="A31" s="2" t="s">
        <v>31</v>
      </c>
      <c r="B31" s="2" t="s">
        <v>54</v>
      </c>
    </row>
    <row r="32" spans="1:2" x14ac:dyDescent="0.25">
      <c r="A32" s="2" t="s">
        <v>32</v>
      </c>
      <c r="B32" s="2" t="s">
        <v>54</v>
      </c>
    </row>
    <row r="33" spans="1:2" x14ac:dyDescent="0.25">
      <c r="A33" s="2" t="s">
        <v>33</v>
      </c>
      <c r="B33" s="2" t="s">
        <v>56</v>
      </c>
    </row>
    <row r="34" spans="1:2" x14ac:dyDescent="0.25">
      <c r="A34" s="2" t="s">
        <v>34</v>
      </c>
      <c r="B34" s="2" t="s">
        <v>54</v>
      </c>
    </row>
    <row r="35" spans="1:2" x14ac:dyDescent="0.25">
      <c r="A35" s="2" t="s">
        <v>35</v>
      </c>
      <c r="B35" s="2" t="s">
        <v>52</v>
      </c>
    </row>
    <row r="36" spans="1:2" x14ac:dyDescent="0.25">
      <c r="A36" s="2" t="s">
        <v>36</v>
      </c>
      <c r="B36" s="2" t="s">
        <v>55</v>
      </c>
    </row>
    <row r="37" spans="1:2" x14ac:dyDescent="0.25">
      <c r="A37" s="2" t="s">
        <v>37</v>
      </c>
      <c r="B37" s="2" t="s">
        <v>56</v>
      </c>
    </row>
    <row r="38" spans="1:2" x14ac:dyDescent="0.25">
      <c r="A38" s="2" t="s">
        <v>38</v>
      </c>
      <c r="B38" s="2" t="s">
        <v>54</v>
      </c>
    </row>
    <row r="39" spans="1:2" x14ac:dyDescent="0.25">
      <c r="A39" s="2" t="s">
        <v>39</v>
      </c>
      <c r="B39" s="2" t="s">
        <v>54</v>
      </c>
    </row>
    <row r="40" spans="1:2" x14ac:dyDescent="0.25">
      <c r="A40" s="2" t="s">
        <v>40</v>
      </c>
      <c r="B40" s="2" t="s">
        <v>52</v>
      </c>
    </row>
    <row r="41" spans="1:2" x14ac:dyDescent="0.25">
      <c r="A41" s="2" t="s">
        <v>41</v>
      </c>
      <c r="B41" s="2" t="s">
        <v>56</v>
      </c>
    </row>
    <row r="42" spans="1:2" x14ac:dyDescent="0.25">
      <c r="A42" s="2" t="s">
        <v>42</v>
      </c>
      <c r="B42" s="2" t="s">
        <v>52</v>
      </c>
    </row>
    <row r="43" spans="1:2" x14ac:dyDescent="0.25">
      <c r="A43" s="2" t="s">
        <v>43</v>
      </c>
      <c r="B43" s="2" t="s">
        <v>55</v>
      </c>
    </row>
    <row r="44" spans="1:2" x14ac:dyDescent="0.25">
      <c r="A44" s="2" t="s">
        <v>44</v>
      </c>
      <c r="B44" s="2" t="s">
        <v>52</v>
      </c>
    </row>
    <row r="45" spans="1:2" x14ac:dyDescent="0.25">
      <c r="A45" s="2" t="s">
        <v>45</v>
      </c>
      <c r="B45" s="2" t="s">
        <v>52</v>
      </c>
    </row>
    <row r="46" spans="1:2" x14ac:dyDescent="0.25">
      <c r="A46" s="2" t="s">
        <v>46</v>
      </c>
      <c r="B46" s="2" t="s">
        <v>56</v>
      </c>
    </row>
    <row r="47" spans="1:2" x14ac:dyDescent="0.25">
      <c r="A47" s="2" t="s">
        <v>47</v>
      </c>
      <c r="B47" s="2" t="s">
        <v>54</v>
      </c>
    </row>
    <row r="48" spans="1:2" x14ac:dyDescent="0.25">
      <c r="A48" s="2" t="s">
        <v>48</v>
      </c>
      <c r="B48" s="2" t="s">
        <v>56</v>
      </c>
    </row>
    <row r="49" spans="1:2" x14ac:dyDescent="0.25">
      <c r="A49" s="2" t="s">
        <v>49</v>
      </c>
      <c r="B49" s="2" t="s">
        <v>54</v>
      </c>
    </row>
    <row r="50" spans="1:2" x14ac:dyDescent="0.25">
      <c r="A50" s="2" t="s">
        <v>50</v>
      </c>
      <c r="B50" s="2" t="s">
        <v>52</v>
      </c>
    </row>
    <row r="51" spans="1:2" x14ac:dyDescent="0.25">
      <c r="A51" s="2" t="s">
        <v>51</v>
      </c>
      <c r="B51" s="2" t="s">
        <v>52</v>
      </c>
    </row>
  </sheetData>
  <sortState ref="D2:D5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16 OR</vt:lpstr>
      <vt:lpstr>6 OR</vt:lpstr>
      <vt:lpstr>Tables</vt:lpstr>
      <vt:lpstr>'16 OR'!Criteria</vt:lpstr>
      <vt:lpstr>'6 OR'!Criteria</vt:lpstr>
      <vt:lpstr>'16 OR'!Extract</vt:lpstr>
      <vt:lpstr>'6 OR'!Extract</vt:lpstr>
      <vt:lpstr>Groups</vt:lpstr>
    </vt:vector>
  </TitlesOfParts>
  <Company>Highline Community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2013-03-21T19:06:43Z</dcterms:created>
  <dcterms:modified xsi:type="dcterms:W3CDTF">2013-05-13T23:03:01Z</dcterms:modified>
</cp:coreProperties>
</file>