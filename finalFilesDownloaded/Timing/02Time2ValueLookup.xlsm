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defaultThemeVersion="153222"/>
  <mc:AlternateContent xmlns:mc="http://schemas.openxmlformats.org/markup-compatibility/2006">
    <mc:Choice Requires="x15">
      <x15ac:absPath xmlns:x15ac="http://schemas.microsoft.com/office/spreadsheetml/2010/11/ac" url="E:\VideoExcelStorage\02ArrayBook\ArrayFormulaBook\Kitty Edits\FilesForCtrlShiftEnterBook\Timing\"/>
    </mc:Choice>
  </mc:AlternateContent>
  <bookViews>
    <workbookView xWindow="0" yWindow="0" windowWidth="28800" windowHeight="12435"/>
  </bookViews>
  <sheets>
    <sheet name="2LookupValues" sheetId="1" r:id="rId1"/>
    <sheet name="PT" sheetId="5" state="hidden" r:id="rId2"/>
    <sheet name="TableCreationFormulas" sheetId="4" state="hidden" r:id="rId3"/>
    <sheet name="SalesReps" sheetId="2" state="hidden" r:id="rId4"/>
    <sheet name="States" sheetId="3" state="hidden" r:id="rId5"/>
  </sheets>
  <definedNames>
    <definedName name="CountN">SalesReps!$G$2</definedName>
    <definedName name="CountS">States!$E$2</definedName>
    <definedName name="Name">SalesReps!$C$2:$C$31</definedName>
    <definedName name="Slicer_State">#N/A</definedName>
    <definedName name="States">States!$A$2:$A$57</definedName>
  </definedNames>
  <calcPr calcId="152511"/>
  <pivotCaches>
    <pivotCache cacheId="0" r:id="rId6"/>
  </pivotCaches>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2" l="1"/>
  <c r="G11" i="1" l="1"/>
  <c r="I11" i="1"/>
  <c r="G12" i="1"/>
  <c r="I12" i="1"/>
  <c r="G13" i="1"/>
  <c r="I13" i="1"/>
  <c r="Q6" i="1"/>
  <c r="R6" i="1"/>
  <c r="Q12" i="1" a="1"/>
  <c r="Q12" i="1" s="1"/>
  <c r="R12" i="1"/>
  <c r="Q13" i="1" a="1"/>
  <c r="Q13" i="1" s="1"/>
  <c r="R13" i="1"/>
  <c r="Q14" i="1" a="1"/>
  <c r="Q14" i="1" s="1"/>
  <c r="R14" i="1"/>
  <c r="Q15" i="1" a="1"/>
  <c r="Q15" i="1" s="1"/>
  <c r="R15" i="1"/>
  <c r="Q16" i="1" a="1"/>
  <c r="Q16" i="1" s="1"/>
  <c r="R16" i="1"/>
  <c r="Q17" i="1" a="1"/>
  <c r="Q17" i="1" s="1"/>
  <c r="R17" i="1"/>
  <c r="Q18" i="1" a="1"/>
  <c r="Q18" i="1" s="1"/>
  <c r="R18" i="1"/>
  <c r="Q19" i="1" a="1"/>
  <c r="Q19" i="1" s="1"/>
  <c r="R19" i="1"/>
  <c r="Q20" i="1" a="1"/>
  <c r="Q20" i="1" s="1"/>
  <c r="R20" i="1"/>
  <c r="Q21" i="1" a="1"/>
  <c r="Q21" i="1" s="1"/>
  <c r="R21" i="1"/>
  <c r="Q22" i="1" a="1"/>
  <c r="Q22" i="1" s="1"/>
  <c r="R22" i="1"/>
  <c r="Q23" i="1" a="1"/>
  <c r="Q23" i="1" s="1"/>
  <c r="R23" i="1"/>
  <c r="Q24" i="1" a="1"/>
  <c r="Q24" i="1" s="1"/>
  <c r="R24" i="1"/>
  <c r="Q25" i="1" a="1"/>
  <c r="Q25" i="1" s="1"/>
  <c r="R25" i="1"/>
  <c r="Q26" i="1" a="1"/>
  <c r="Q26" i="1" s="1"/>
  <c r="R26" i="1"/>
  <c r="Q27" i="1" a="1"/>
  <c r="Q27" i="1" s="1"/>
  <c r="R27" i="1"/>
  <c r="Q28" i="1" a="1"/>
  <c r="Q28" i="1" s="1"/>
  <c r="R28" i="1"/>
  <c r="Q29" i="1" a="1"/>
  <c r="Q29" i="1" s="1"/>
  <c r="R29" i="1"/>
  <c r="Q30" i="1" a="1"/>
  <c r="Q30" i="1" s="1"/>
  <c r="R30" i="1"/>
  <c r="Q31" i="1" a="1"/>
  <c r="Q31" i="1" s="1"/>
  <c r="R31" i="1"/>
  <c r="Q32" i="1" a="1"/>
  <c r="Q32" i="1" s="1"/>
  <c r="R32" i="1"/>
  <c r="Q33" i="1" a="1"/>
  <c r="Q33" i="1" s="1"/>
  <c r="R33" i="1"/>
  <c r="Q34" i="1" a="1"/>
  <c r="Q34" i="1" s="1"/>
  <c r="R34" i="1"/>
  <c r="Q35" i="1" a="1"/>
  <c r="Q35" i="1" s="1"/>
  <c r="R35" i="1"/>
  <c r="Q36" i="1" a="1"/>
  <c r="Q36" i="1" s="1"/>
  <c r="R36" i="1"/>
  <c r="Q37" i="1" a="1"/>
  <c r="Q37" i="1" s="1"/>
  <c r="R37" i="1"/>
  <c r="Q38" i="1" a="1"/>
  <c r="Q38" i="1"/>
  <c r="R38" i="1"/>
  <c r="Q39" i="1" a="1"/>
  <c r="Q39" i="1" s="1"/>
  <c r="R39" i="1"/>
  <c r="Q40" i="1" a="1"/>
  <c r="Q40" i="1" s="1"/>
  <c r="R40" i="1"/>
  <c r="Q41" i="1" a="1"/>
  <c r="Q41" i="1" s="1"/>
  <c r="R41" i="1"/>
  <c r="I14" i="1" l="1"/>
  <c r="I15" i="1" s="1"/>
  <c r="G14" i="1"/>
  <c r="G15" i="1" s="1"/>
  <c r="G21" i="1" a="1"/>
  <c r="G21" i="1" s="1"/>
  <c r="G22" i="1" a="1"/>
  <c r="G22" i="1" s="1"/>
  <c r="G23" i="1" a="1"/>
  <c r="G23" i="1" s="1"/>
  <c r="G24" i="1" a="1"/>
  <c r="G24" i="1" s="1"/>
  <c r="G25" i="1" a="1"/>
  <c r="G25" i="1" s="1"/>
  <c r="G26" i="1" a="1"/>
  <c r="G26" i="1" s="1"/>
  <c r="G27" i="1" a="1"/>
  <c r="G27" i="1" s="1"/>
  <c r="G28" i="1" a="1"/>
  <c r="G28" i="1" s="1"/>
  <c r="G29" i="1" a="1"/>
  <c r="G29" i="1" s="1"/>
  <c r="G30" i="1" a="1"/>
  <c r="G30" i="1" s="1"/>
  <c r="G31" i="1" a="1"/>
  <c r="G31" i="1" s="1"/>
  <c r="G32" i="1" a="1"/>
  <c r="G32" i="1" s="1"/>
  <c r="G33" i="1" a="1"/>
  <c r="G33" i="1" s="1"/>
  <c r="G34" i="1" a="1"/>
  <c r="G34" i="1" s="1"/>
  <c r="G35" i="1" a="1"/>
  <c r="G35" i="1" s="1"/>
  <c r="G36" i="1" a="1"/>
  <c r="G36" i="1" s="1"/>
  <c r="G37" i="1" a="1"/>
  <c r="G37" i="1" s="1"/>
  <c r="G38" i="1" a="1"/>
  <c r="G38" i="1" s="1"/>
  <c r="G39" i="1" a="1"/>
  <c r="G39" i="1" s="1"/>
  <c r="G40" i="1" a="1"/>
  <c r="G40" i="1" s="1"/>
  <c r="G41" i="1" a="1"/>
  <c r="G41" i="1" s="1"/>
  <c r="G42" i="1" a="1"/>
  <c r="G42" i="1" s="1"/>
  <c r="G43" i="1" a="1"/>
  <c r="G43" i="1" s="1"/>
  <c r="G44" i="1" a="1"/>
  <c r="G44" i="1" s="1"/>
  <c r="G45" i="1" a="1"/>
  <c r="G45" i="1" s="1"/>
  <c r="G46" i="1" a="1"/>
  <c r="G46" i="1" s="1"/>
  <c r="G47" i="1" a="1"/>
  <c r="G47" i="1" s="1"/>
  <c r="G48" i="1" a="1"/>
  <c r="G48" i="1" s="1"/>
  <c r="G49" i="1" a="1"/>
  <c r="G49" i="1" s="1"/>
  <c r="G50" i="1" a="1"/>
  <c r="G50" i="1" s="1"/>
  <c r="I21" i="1" l="1"/>
  <c r="H14" i="1"/>
  <c r="H15" i="1" s="1"/>
  <c r="J14" i="1"/>
  <c r="J15" i="1" s="1"/>
  <c r="A836" i="1"/>
  <c r="A96" i="1"/>
  <c r="A1301" i="1"/>
  <c r="A723" i="1"/>
  <c r="A149" i="1"/>
  <c r="A6" i="1"/>
  <c r="A1504" i="1"/>
  <c r="A312" i="1"/>
  <c r="A57" i="1"/>
  <c r="A20" i="1"/>
  <c r="A980" i="1"/>
  <c r="A1296" i="1"/>
  <c r="A751" i="1"/>
  <c r="A1294" i="1"/>
  <c r="A1283" i="1"/>
  <c r="A689" i="1"/>
  <c r="A132" i="1"/>
  <c r="A680" i="1"/>
  <c r="A1009" i="1"/>
  <c r="A1486" i="1"/>
  <c r="A537" i="1"/>
  <c r="A916" i="1"/>
  <c r="A471" i="1"/>
  <c r="A936" i="1"/>
  <c r="A1173" i="1"/>
  <c r="A1161" i="1"/>
  <c r="A991" i="1"/>
  <c r="A299" i="1"/>
  <c r="A955" i="1"/>
  <c r="A849" i="1"/>
  <c r="A99" i="1"/>
  <c r="A1655" i="1"/>
  <c r="A489" i="1"/>
  <c r="A1051" i="1"/>
  <c r="A962" i="1"/>
  <c r="A953" i="1"/>
  <c r="A315" i="1"/>
  <c r="A354" i="1"/>
  <c r="A747" i="1"/>
  <c r="A1042" i="1"/>
  <c r="A373" i="1"/>
  <c r="A367" i="1"/>
  <c r="A1599" i="1"/>
  <c r="A1091" i="1"/>
  <c r="A262" i="1"/>
  <c r="A1265" i="1"/>
  <c r="A1057" i="1"/>
  <c r="A1070" i="1"/>
  <c r="A1228" i="1"/>
  <c r="A629" i="1"/>
  <c r="A72" i="1"/>
  <c r="A600" i="1"/>
  <c r="A575" i="1"/>
  <c r="A911" i="1"/>
  <c r="A1487" i="1"/>
  <c r="A538" i="1"/>
  <c r="A342" i="1"/>
  <c r="A1268" i="1"/>
  <c r="A1560" i="1"/>
  <c r="A1205" i="1"/>
  <c r="A1097" i="1"/>
  <c r="A1485" i="1"/>
  <c r="A250" i="1"/>
  <c r="A1292" i="1"/>
  <c r="A716" i="1"/>
  <c r="A290" i="1"/>
  <c r="A108" i="1"/>
  <c r="A157" i="1"/>
  <c r="A964" i="1"/>
  <c r="A1638" i="1"/>
  <c r="A351" i="1"/>
  <c r="A484" i="1"/>
  <c r="A248" i="1"/>
  <c r="A1092" i="1"/>
  <c r="A876" i="1"/>
  <c r="A539" i="1"/>
  <c r="A52" i="1"/>
  <c r="A969" i="1"/>
  <c r="A1156" i="1"/>
  <c r="A1356" i="1"/>
  <c r="A400" i="1"/>
  <c r="A1552" i="1"/>
  <c r="A129" i="1"/>
  <c r="A1017" i="1"/>
  <c r="A1547" i="1"/>
  <c r="A581" i="1"/>
  <c r="A1050" i="1"/>
  <c r="A1158" i="1"/>
  <c r="A691" i="1"/>
  <c r="A1153" i="1"/>
  <c r="A1431" i="1"/>
  <c r="A366" i="1"/>
  <c r="A859" i="1"/>
  <c r="A570" i="1"/>
  <c r="A1272" i="1"/>
  <c r="A329" i="1"/>
  <c r="A1465" i="1"/>
  <c r="A1322" i="1"/>
  <c r="A664" i="1"/>
  <c r="A1594" i="1"/>
  <c r="A1468" i="1"/>
  <c r="A1427" i="1"/>
  <c r="A1558" i="1"/>
  <c r="A189" i="1"/>
  <c r="A450" i="1"/>
  <c r="A939" i="1"/>
  <c r="A915" i="1"/>
  <c r="A725" i="1"/>
  <c r="A1164" i="1"/>
  <c r="A763" i="1"/>
  <c r="A60" i="1"/>
  <c r="A776" i="1"/>
  <c r="A1218" i="1"/>
  <c r="A1021" i="1"/>
  <c r="A1221" i="1"/>
  <c r="A370" i="1"/>
  <c r="A516" i="1"/>
  <c r="A1132" i="1"/>
  <c r="A296" i="1"/>
  <c r="A1226" i="1"/>
  <c r="A1056" i="1"/>
  <c r="A963" i="1"/>
  <c r="A126" i="1"/>
  <c r="A1284" i="1"/>
  <c r="A1544" i="1"/>
  <c r="A162" i="1"/>
  <c r="A85" i="1"/>
  <c r="A958" i="1"/>
  <c r="A745" i="1"/>
  <c r="A46" i="1"/>
  <c r="A1646" i="1"/>
  <c r="A314" i="1"/>
  <c r="A264" i="1"/>
  <c r="A251" i="1"/>
  <c r="A355" i="1"/>
  <c r="A487" i="1"/>
  <c r="A273" i="1"/>
  <c r="A1266" i="1"/>
  <c r="A952" i="1"/>
  <c r="A733" i="1"/>
  <c r="A142" i="1"/>
  <c r="A265" i="1"/>
  <c r="A1066" i="1"/>
  <c r="A634" i="1"/>
  <c r="A1077" i="1"/>
  <c r="A698" i="1"/>
  <c r="A1028" i="1"/>
  <c r="A1016" i="1"/>
  <c r="A167" i="1"/>
  <c r="A1488" i="1"/>
  <c r="A1297" i="1"/>
  <c r="A1079" i="1"/>
  <c r="A1554" i="1"/>
  <c r="A438" i="1"/>
  <c r="A386" i="1"/>
  <c r="A737" i="1"/>
  <c r="A365" i="1"/>
  <c r="A313" i="1"/>
  <c r="A1417" i="1"/>
  <c r="A976" i="1"/>
  <c r="A287" i="1"/>
  <c r="A1368" i="1"/>
  <c r="A1315" i="1"/>
  <c r="A13" i="1"/>
  <c r="A798" i="1"/>
  <c r="A833" i="1"/>
  <c r="A1373" i="1"/>
  <c r="A1249" i="1"/>
  <c r="A592" i="1"/>
  <c r="A693" i="1"/>
  <c r="A886" i="1"/>
  <c r="A71" i="1"/>
  <c r="A657" i="1"/>
  <c r="A1303" i="1"/>
  <c r="A1511" i="1"/>
  <c r="A822" i="1"/>
  <c r="A98" i="1"/>
  <c r="A864" i="1"/>
  <c r="A1251" i="1"/>
  <c r="A666" i="1"/>
  <c r="A146" i="1"/>
  <c r="A1559" i="1"/>
  <c r="A418" i="1"/>
  <c r="A557" i="1"/>
  <c r="A855" i="1"/>
  <c r="A317" i="1"/>
  <c r="A1662" i="1"/>
  <c r="A1220" i="1"/>
  <c r="A138" i="1"/>
  <c r="A393" i="1"/>
  <c r="A966" i="1"/>
  <c r="A466" i="1"/>
  <c r="A508" i="1"/>
  <c r="A630" i="1"/>
  <c r="A948" i="1"/>
  <c r="A256" i="1"/>
  <c r="A872" i="1"/>
  <c r="A1362" i="1"/>
  <c r="A408" i="1"/>
  <c r="A1169" i="1"/>
  <c r="A1124" i="1"/>
  <c r="A226" i="1"/>
  <c r="A298" i="1"/>
  <c r="A183" i="1"/>
  <c r="A1383" i="1"/>
  <c r="A306" i="1"/>
  <c r="A996" i="1"/>
  <c r="A1316" i="1"/>
  <c r="A206" i="1"/>
  <c r="A981" i="1"/>
  <c r="A1480" i="1"/>
  <c r="A1255" i="1"/>
  <c r="A1415" i="1"/>
  <c r="A1523" i="1"/>
  <c r="A642" i="1"/>
  <c r="A1135" i="1"/>
  <c r="A32" i="1"/>
  <c r="A610" i="1"/>
  <c r="A279" i="1"/>
  <c r="A914" i="1"/>
  <c r="A1105" i="1"/>
  <c r="A1419" i="1"/>
  <c r="A1526" i="1"/>
  <c r="A1642" i="1"/>
  <c r="A603" i="1"/>
  <c r="A1430" i="1"/>
  <c r="A11" i="1"/>
  <c r="A1037" i="1"/>
  <c r="A1148" i="1"/>
  <c r="A1400" i="1"/>
  <c r="A339" i="1"/>
  <c r="A275" i="1"/>
  <c r="A791" i="1"/>
  <c r="A1215" i="1"/>
  <c r="A156" i="1"/>
  <c r="A477" i="1"/>
  <c r="A8" i="1"/>
  <c r="A136" i="1"/>
  <c r="A866" i="1"/>
  <c r="A1484" i="1"/>
  <c r="A1667" i="1"/>
  <c r="A841" i="1"/>
  <c r="A572" i="1"/>
  <c r="A1229" i="1"/>
  <c r="A1177" i="1"/>
  <c r="A1522" i="1"/>
  <c r="A1338" i="1"/>
  <c r="A651" i="1"/>
  <c r="A1074" i="1"/>
  <c r="A1235" i="1"/>
  <c r="A1110" i="1"/>
  <c r="A505" i="1"/>
  <c r="A205" i="1"/>
  <c r="A1264" i="1"/>
  <c r="A1196" i="1"/>
  <c r="A1299" i="1"/>
  <c r="A1031" i="1"/>
  <c r="A985" i="1"/>
  <c r="A1620" i="1"/>
  <c r="A1491" i="1"/>
  <c r="A1190" i="1"/>
  <c r="A107" i="1"/>
  <c r="A491" i="1"/>
  <c r="A688" i="1"/>
  <c r="A777" i="1"/>
  <c r="A1639" i="1"/>
  <c r="A209" i="1"/>
  <c r="A867" i="1"/>
  <c r="A1657" i="1"/>
  <c r="A1574" i="1"/>
  <c r="A790" i="1"/>
  <c r="A483" i="1"/>
  <c r="A1103" i="1"/>
  <c r="A380" i="1"/>
  <c r="A1142" i="1"/>
  <c r="A50" i="1"/>
  <c r="A340" i="1"/>
  <c r="A619" i="1"/>
  <c r="A116" i="1"/>
  <c r="A743" i="1"/>
  <c r="A1426" i="1"/>
  <c r="A382" i="1"/>
  <c r="A753" i="1"/>
  <c r="A106" i="1"/>
  <c r="A907" i="1"/>
  <c r="A754" i="1"/>
  <c r="A446" i="1"/>
  <c r="A16" i="1"/>
  <c r="A502" i="1"/>
  <c r="A122" i="1"/>
  <c r="A1545" i="1"/>
  <c r="A883" i="1"/>
  <c r="A1088" i="1"/>
  <c r="A221" i="1"/>
  <c r="A1586" i="1"/>
  <c r="A741" i="1"/>
  <c r="A1029" i="1"/>
  <c r="A1648" i="1"/>
  <c r="A1537" i="1"/>
  <c r="A155" i="1"/>
  <c r="A1087" i="1"/>
  <c r="A192" i="1"/>
  <c r="A810" i="1"/>
  <c r="A1566" i="1"/>
  <c r="A402" i="1"/>
  <c r="A1248" i="1"/>
  <c r="A604" i="1"/>
  <c r="A1524" i="1"/>
  <c r="A1090" i="1"/>
  <c r="A1182" i="1"/>
  <c r="A1127" i="1"/>
  <c r="A908" i="1"/>
  <c r="A656" i="1"/>
  <c r="A808" i="1"/>
  <c r="A561" i="1"/>
  <c r="A350" i="1"/>
  <c r="A358" i="1"/>
  <c r="A1539" i="1"/>
  <c r="A601" i="1"/>
  <c r="A307" i="1"/>
  <c r="A1118" i="1"/>
  <c r="A1227" i="1"/>
  <c r="A669" i="1"/>
  <c r="A792" i="1"/>
  <c r="A1561" i="1"/>
  <c r="A781" i="1"/>
  <c r="A1507" i="1"/>
  <c r="A1669" i="1"/>
  <c r="A1203" i="1"/>
  <c r="A1508" i="1"/>
  <c r="A1335" i="1"/>
  <c r="A978" i="1"/>
  <c r="A1217" i="1"/>
  <c r="A236" i="1"/>
  <c r="A33" i="1"/>
  <c r="A135" i="1"/>
  <c r="A137" i="1"/>
  <c r="A1041" i="1"/>
  <c r="A1113" i="1"/>
  <c r="A77" i="1"/>
  <c r="A362" i="1"/>
  <c r="A423" i="1"/>
  <c r="A124" i="1"/>
  <c r="A159" i="1"/>
  <c r="A1631" i="1"/>
  <c r="A1197" i="1"/>
  <c r="A885" i="1"/>
  <c r="A523" i="1"/>
  <c r="A481" i="1"/>
  <c r="A548" i="1"/>
  <c r="A1095" i="1"/>
  <c r="A744" i="1"/>
  <c r="A1333" i="1"/>
  <c r="A1067" i="1"/>
  <c r="A422" i="1"/>
  <c r="A1213" i="1"/>
  <c r="A54" i="1"/>
  <c r="A1358" i="1"/>
  <c r="A1214" i="1"/>
  <c r="A1207" i="1"/>
  <c r="A1312" i="1"/>
  <c r="A7" i="1"/>
  <c r="A448" i="1"/>
  <c r="A929" i="1"/>
  <c r="A1464" i="1"/>
  <c r="A1541" i="1"/>
  <c r="A869" i="1"/>
  <c r="A579" i="1"/>
  <c r="A1201" i="1"/>
  <c r="A61" i="1"/>
  <c r="A401" i="1"/>
  <c r="A1209" i="1"/>
  <c r="A253" i="1"/>
  <c r="A1456" i="1"/>
  <c r="A756" i="1"/>
  <c r="A1555" i="1"/>
  <c r="A348" i="1"/>
  <c r="A848" i="1"/>
  <c r="A1304" i="1"/>
  <c r="A694" i="1"/>
  <c r="A727" i="1"/>
  <c r="A1123" i="1"/>
  <c r="A1577" i="1"/>
  <c r="A389" i="1"/>
  <c r="A853" i="1"/>
  <c r="A646" i="1"/>
  <c r="A928" i="1"/>
  <c r="A1162" i="1"/>
  <c r="A1048" i="1"/>
  <c r="A406" i="1"/>
  <c r="A193" i="1"/>
  <c r="A1302" i="1"/>
  <c r="A1534" i="1"/>
  <c r="A920" i="1"/>
  <c r="A488" i="1"/>
  <c r="A1007" i="1"/>
  <c r="A38" i="1"/>
  <c r="A988" i="1"/>
  <c r="A1144" i="1"/>
  <c r="A424" i="1"/>
  <c r="A1202" i="1"/>
  <c r="A1328" i="1"/>
  <c r="A1336" i="1"/>
  <c r="A1114" i="1"/>
  <c r="A1462" i="1"/>
  <c r="A336" i="1"/>
  <c r="A1369" i="1"/>
  <c r="A337" i="1"/>
  <c r="A1481" i="1"/>
  <c r="A300" i="1"/>
  <c r="A556" i="1"/>
  <c r="A141" i="1"/>
  <c r="A1501" i="1"/>
  <c r="A815" i="1"/>
  <c r="A1291" i="1"/>
  <c r="A905" i="1"/>
  <c r="A427" i="1"/>
  <c r="A1425" i="1"/>
  <c r="A101" i="1"/>
  <c r="A1352" i="1"/>
  <c r="A842" i="1"/>
  <c r="A1579" i="1"/>
  <c r="A1656" i="1"/>
  <c r="A225" i="1"/>
  <c r="A1489" i="1"/>
  <c r="A896" i="1"/>
  <c r="A1270" i="1"/>
  <c r="A675" i="1"/>
  <c r="A381" i="1"/>
  <c r="A1482" i="1"/>
  <c r="A590" i="1"/>
  <c r="A1379" i="1"/>
  <c r="A168" i="1"/>
  <c r="A267" i="1"/>
  <c r="A63" i="1"/>
  <c r="A1100" i="1"/>
  <c r="A242" i="1"/>
  <c r="A1454" i="1"/>
  <c r="A1139" i="1"/>
  <c r="A255" i="1"/>
  <c r="A765" i="1"/>
  <c r="A416" i="1"/>
  <c r="A1129" i="1"/>
  <c r="A710" i="1"/>
  <c r="A41" i="1"/>
  <c r="A1435" i="1"/>
  <c r="A1055" i="1"/>
  <c r="A879" i="1"/>
  <c r="A1512" i="1"/>
  <c r="A1370" i="1"/>
  <c r="A94" i="1"/>
  <c r="A961" i="1"/>
  <c r="A1542" i="1"/>
  <c r="A935" i="1"/>
  <c r="A341" i="1"/>
  <c r="A1374" i="1"/>
  <c r="A1564" i="1"/>
  <c r="A1125" i="1"/>
  <c r="A518" i="1"/>
  <c r="A569" i="1"/>
  <c r="A1474" i="1"/>
  <c r="A1131" i="1"/>
  <c r="A1592" i="1"/>
  <c r="A672" i="1"/>
  <c r="A639" i="1"/>
  <c r="A431" i="1"/>
  <c r="A1434" i="1"/>
  <c r="A545" i="1"/>
  <c r="A1046" i="1"/>
  <c r="A709" i="1"/>
  <c r="A861" i="1"/>
  <c r="A1008" i="1"/>
  <c r="A473" i="1"/>
  <c r="A501" i="1"/>
  <c r="A1445" i="1"/>
  <c r="A1387" i="1"/>
  <c r="A1012" i="1"/>
  <c r="A196" i="1"/>
  <c r="A1232" i="1"/>
  <c r="A1670" i="1"/>
  <c r="A1414" i="1"/>
  <c r="A1530" i="1"/>
  <c r="A807" i="1"/>
  <c r="A45" i="1"/>
  <c r="A34" i="1"/>
  <c r="A1600" i="1"/>
  <c r="A824" i="1"/>
  <c r="A321" i="1"/>
  <c r="A388" i="1"/>
  <c r="A213" i="1"/>
  <c r="A1395" i="1"/>
  <c r="A549" i="1"/>
  <c r="A479" i="1"/>
  <c r="A803" i="1"/>
  <c r="A1020" i="1"/>
  <c r="A659" i="1"/>
  <c r="A217" i="1"/>
  <c r="A631" i="1"/>
  <c r="A1583" i="1"/>
  <c r="A398" i="1"/>
  <c r="A145" i="1"/>
  <c r="A468" i="1"/>
  <c r="A123" i="1"/>
  <c r="A620" i="1"/>
  <c r="A396" i="1"/>
  <c r="A1455" i="1"/>
  <c r="A992" i="1"/>
  <c r="A768" i="1"/>
  <c r="A730" i="1"/>
  <c r="A875" i="1"/>
  <c r="A732" i="1"/>
  <c r="A1628" i="1"/>
  <c r="A1305" i="1"/>
  <c r="A979" i="1"/>
  <c r="A112" i="1"/>
  <c r="A1257" i="1"/>
  <c r="A686" i="1"/>
  <c r="A1623" i="1"/>
  <c r="A1418" i="1"/>
  <c r="A1324" i="1"/>
  <c r="A934" i="1"/>
  <c r="A828" i="1"/>
  <c r="A14" i="1"/>
  <c r="A224" i="1"/>
  <c r="A1412" i="1"/>
  <c r="A533" i="1"/>
  <c r="A532" i="1"/>
  <c r="A1520" i="1"/>
  <c r="A133" i="1"/>
  <c r="A526" i="1"/>
  <c r="A1150" i="1"/>
  <c r="A1673" i="1"/>
  <c r="A1375" i="1"/>
  <c r="A375" i="1"/>
  <c r="A1568" i="1"/>
  <c r="A641" i="1"/>
  <c r="A1208" i="1"/>
  <c r="A503" i="1"/>
  <c r="A100" i="1"/>
  <c r="A1371" i="1"/>
  <c r="A835" i="1"/>
  <c r="A1231" i="1"/>
  <c r="A268" i="1"/>
  <c r="A971" i="1"/>
  <c r="A1078" i="1"/>
  <c r="A1470" i="1"/>
  <c r="A1632" i="1"/>
  <c r="A318" i="1"/>
  <c r="A281" i="1"/>
  <c r="A1327" i="1"/>
  <c r="A338" i="1"/>
  <c r="A1627" i="1"/>
  <c r="A1013" i="1"/>
  <c r="A1429" i="1"/>
  <c r="A158" i="1"/>
  <c r="A392" i="1"/>
  <c r="A404" i="1"/>
  <c r="A1575" i="1"/>
  <c r="A1243" i="1"/>
  <c r="A1136" i="1"/>
  <c r="A397" i="1"/>
  <c r="A1436" i="1"/>
  <c r="A1276" i="1"/>
  <c r="A1236" i="1"/>
  <c r="A924" i="1"/>
  <c r="A1286" i="1"/>
  <c r="A584" i="1"/>
  <c r="A1572" i="1"/>
  <c r="A521" i="1"/>
  <c r="A1298" i="1"/>
  <c r="A1039" i="1"/>
  <c r="A959" i="1"/>
  <c r="A291" i="1"/>
  <c r="A1134" i="1"/>
  <c r="A1081" i="1"/>
  <c r="A811" i="1"/>
  <c r="A593" i="1"/>
  <c r="A1563" i="1"/>
  <c r="A463" i="1"/>
  <c r="A1126" i="1"/>
  <c r="A1365" i="1"/>
  <c r="A1030" i="1"/>
  <c r="A1634" i="1"/>
  <c r="A274" i="1"/>
  <c r="A1360" i="1"/>
  <c r="A1671" i="1"/>
  <c r="A82" i="1"/>
  <c r="A536" i="1"/>
  <c r="A272" i="1"/>
  <c r="A498" i="1"/>
  <c r="A73" i="1"/>
  <c r="A310" i="1"/>
  <c r="A1064" i="1"/>
  <c r="A1245" i="1"/>
  <c r="A180" i="1"/>
  <c r="A1230" i="1"/>
  <c r="A565" i="1"/>
  <c r="A1479" i="1"/>
  <c r="A789" i="1"/>
  <c r="A1032" i="1"/>
  <c r="A186" i="1"/>
  <c r="A1605" i="1"/>
  <c r="A181" i="1"/>
  <c r="A1151" i="1"/>
  <c r="A1187" i="1"/>
  <c r="A1022" i="1"/>
  <c r="A4" i="1"/>
  <c r="A1546" i="1"/>
  <c r="A937" i="1"/>
  <c r="A1271" i="1"/>
  <c r="A799" i="1"/>
  <c r="A1082" i="1"/>
  <c r="A1279" i="1"/>
  <c r="A1331" i="1"/>
  <c r="A174" i="1"/>
  <c r="A1619" i="1"/>
  <c r="A419" i="1"/>
  <c r="A679" i="1"/>
  <c r="A755" i="1"/>
  <c r="A103" i="1"/>
  <c r="A451" i="1"/>
  <c r="A69" i="1"/>
  <c r="A1062" i="1"/>
  <c r="A47" i="1"/>
  <c r="A412" i="1"/>
  <c r="A278" i="1"/>
  <c r="A1204" i="1"/>
  <c r="A259" i="1"/>
  <c r="A1502" i="1"/>
  <c r="A739" i="1"/>
  <c r="A333" i="1"/>
  <c r="A901" i="1"/>
  <c r="A472" i="1"/>
  <c r="A1678" i="1"/>
  <c r="A977" i="1"/>
  <c r="A48" i="1"/>
  <c r="A1617" i="1"/>
  <c r="A1428" i="1"/>
  <c r="A796" i="1"/>
  <c r="A1402" i="1"/>
  <c r="A1437" i="1"/>
  <c r="A1596" i="1"/>
  <c r="A261" i="1"/>
  <c r="A525" i="1"/>
  <c r="A1137" i="1"/>
  <c r="A950" i="1"/>
  <c r="A413" i="1"/>
  <c r="A1562" i="1"/>
  <c r="A1475" i="1"/>
  <c r="A1606" i="1"/>
  <c r="A887" i="1"/>
  <c r="A1626" i="1"/>
  <c r="A1179" i="1"/>
  <c r="A904" i="1"/>
  <c r="A1160" i="1"/>
  <c r="A550" i="1"/>
  <c r="A1254" i="1"/>
  <c r="A602" i="1"/>
  <c r="A946" i="1"/>
  <c r="A131" i="1"/>
  <c r="A92" i="1"/>
  <c r="A547" i="1"/>
  <c r="A1516" i="1"/>
  <c r="A211" i="1"/>
  <c r="A695" i="1"/>
  <c r="A661" i="1"/>
  <c r="A800" i="1"/>
  <c r="A1587" i="1"/>
  <c r="A222" i="1"/>
  <c r="A1096" i="1"/>
  <c r="A188" i="1"/>
  <c r="A1306" i="1"/>
  <c r="A717" i="1"/>
  <c r="A1578" i="1"/>
  <c r="A1130" i="1"/>
  <c r="A809" i="1"/>
  <c r="A175" i="1"/>
  <c r="A1140" i="1"/>
  <c r="A942" i="1"/>
  <c r="A802" i="1"/>
  <c r="A430" i="1"/>
  <c r="A1609" i="1"/>
  <c r="A1540" i="1"/>
  <c r="A1225" i="1"/>
  <c r="A1666" i="1"/>
  <c r="A1004" i="1"/>
  <c r="A1293" i="1"/>
  <c r="A1551" i="1"/>
  <c r="A1290" i="1"/>
  <c r="A563" i="1"/>
  <c r="A3" i="1"/>
  <c r="A682" i="1"/>
  <c r="A266" i="1"/>
  <c r="A764" i="1"/>
  <c r="A611" i="1"/>
  <c r="A1653" i="1"/>
  <c r="A1093" i="1"/>
  <c r="A944" i="1"/>
  <c r="A134" i="1"/>
  <c r="A1446" i="1"/>
  <c r="A648" i="1"/>
  <c r="A973" i="1"/>
  <c r="A1112" i="1"/>
  <c r="A613" i="1"/>
  <c r="A1191" i="1"/>
  <c r="A1589" i="1"/>
  <c r="A895" i="1"/>
  <c r="A356" i="1"/>
  <c r="A387" i="1"/>
  <c r="A378" i="1"/>
  <c r="A139" i="1"/>
  <c r="A1392" i="1"/>
  <c r="A658" i="1"/>
  <c r="A999" i="1"/>
  <c r="A785" i="1"/>
  <c r="A462" i="1"/>
  <c r="A906" i="1"/>
  <c r="A1047" i="1"/>
  <c r="A1496" i="1"/>
  <c r="A1571" i="1"/>
  <c r="A459" i="1"/>
  <c r="A624" i="1"/>
  <c r="A421" i="1"/>
  <c r="A612" i="1"/>
  <c r="A1165" i="1"/>
  <c r="A685" i="1"/>
  <c r="A1149" i="1"/>
  <c r="A535" i="1"/>
  <c r="A1344" i="1"/>
  <c r="A653" i="1"/>
  <c r="A1033" i="1"/>
  <c r="A541" i="1"/>
  <c r="A1102" i="1"/>
  <c r="A93" i="1"/>
  <c r="A411" i="1"/>
  <c r="A1658" i="1"/>
  <c r="A500" i="1"/>
  <c r="A1680" i="1"/>
  <c r="A566" i="1"/>
  <c r="A1593" i="1"/>
  <c r="A1334" i="1"/>
  <c r="A851" i="1"/>
  <c r="A1349" i="1"/>
  <c r="A947" i="1"/>
  <c r="A212" i="1"/>
  <c r="A767" i="1"/>
  <c r="A1664" i="1"/>
  <c r="A434" i="1"/>
  <c r="A1076" i="1"/>
  <c r="A1433" i="1"/>
  <c r="A391" i="1"/>
  <c r="A636" i="1"/>
  <c r="A359" i="1"/>
  <c r="A832" i="1"/>
  <c r="A1330" i="1"/>
  <c r="A357" i="1"/>
  <c r="A377" i="1"/>
  <c r="A148" i="1"/>
  <c r="A364" i="1"/>
  <c r="A925" i="1"/>
  <c r="A140" i="1"/>
  <c r="A774" i="1"/>
  <c r="A440" i="1"/>
  <c r="A68" i="1"/>
  <c r="A1536" i="1"/>
  <c r="A1282" i="1"/>
  <c r="A152" i="1"/>
  <c r="A940" i="1"/>
  <c r="A1461" i="1"/>
  <c r="A757" i="1"/>
  <c r="A1443" i="1"/>
  <c r="A616" i="1"/>
  <c r="A1104" i="1"/>
  <c r="A1188" i="1"/>
  <c r="A490" i="1"/>
  <c r="A475" i="1"/>
  <c r="A1241" i="1"/>
  <c r="A243" i="1"/>
  <c r="A144" i="1"/>
  <c r="A1451" i="1"/>
  <c r="A870" i="1"/>
  <c r="A1351" i="1"/>
  <c r="A568" i="1"/>
  <c r="A546" i="1"/>
  <c r="A1157" i="1"/>
  <c r="A229" i="1"/>
  <c r="A826" i="1"/>
  <c r="A1313" i="1"/>
  <c r="A724" i="1"/>
  <c r="A640" i="1"/>
  <c r="A343" i="1"/>
  <c r="A1448" i="1"/>
  <c r="A890" i="1"/>
  <c r="A1663" i="1"/>
  <c r="A1384" i="1"/>
  <c r="A778" i="1"/>
  <c r="A284" i="1"/>
  <c r="A1421" i="1"/>
  <c r="A956" i="1"/>
  <c r="A1258" i="1"/>
  <c r="A1553" i="1"/>
  <c r="A1288" i="1"/>
  <c r="A1193" i="1"/>
  <c r="A713" i="1"/>
  <c r="A1498" i="1"/>
  <c r="A239" i="1"/>
  <c r="A542" i="1"/>
  <c r="A433" i="1"/>
  <c r="A114" i="1"/>
  <c r="A681" i="1"/>
  <c r="A1453" i="1"/>
  <c r="A1588" i="1"/>
  <c r="A1467" i="1"/>
  <c r="A1163" i="1"/>
  <c r="A203" i="1"/>
  <c r="A219" i="1"/>
  <c r="A18" i="1"/>
  <c r="A1346" i="1"/>
  <c r="A903" i="1"/>
  <c r="A201" i="1"/>
  <c r="A399" i="1"/>
  <c r="A316" i="1"/>
  <c r="A324" i="1"/>
  <c r="A492" i="1"/>
  <c r="A840" i="1"/>
  <c r="A1616" i="1"/>
  <c r="A1399" i="1"/>
  <c r="A29" i="1"/>
  <c r="A889" i="1"/>
  <c r="A580" i="1"/>
  <c r="A1111" i="1"/>
  <c r="A843" i="1"/>
  <c r="A127" i="1"/>
  <c r="A102" i="1"/>
  <c r="A1108" i="1"/>
  <c r="A515" i="1"/>
  <c r="A1386" i="1"/>
  <c r="A1531" i="1"/>
  <c r="A1211" i="1"/>
  <c r="A415" i="1"/>
  <c r="A1065" i="1"/>
  <c r="A1353" i="1"/>
  <c r="A320" i="1"/>
  <c r="A234" i="1"/>
  <c r="A104" i="1"/>
  <c r="A652" i="1"/>
  <c r="A750" i="1"/>
  <c r="A574" i="1"/>
  <c r="A51" i="1"/>
  <c r="A510" i="1"/>
  <c r="A1550" i="1"/>
  <c r="A850" i="1"/>
  <c r="A1519" i="1"/>
  <c r="A166" i="1"/>
  <c r="A1615" i="1"/>
  <c r="A913" i="1"/>
  <c r="A198" i="1"/>
  <c r="A9" i="1"/>
  <c r="A1513" i="1"/>
  <c r="A986" i="1"/>
  <c r="A80" i="1"/>
  <c r="A1535" i="1"/>
  <c r="A95" i="1"/>
  <c r="A1080" i="1"/>
  <c r="A435" i="1"/>
  <c r="A899" i="1"/>
  <c r="A1614" i="1"/>
  <c r="A1604" i="1"/>
  <c r="A1052" i="1"/>
  <c r="A1321" i="1"/>
  <c r="A930" i="1"/>
  <c r="A1171" i="1"/>
  <c r="A588" i="1"/>
  <c r="A1629" i="1"/>
  <c r="A1109" i="1"/>
  <c r="A609" i="1"/>
  <c r="A762" i="1"/>
  <c r="A1497" i="1"/>
  <c r="A1326" i="1"/>
  <c r="A1637" i="1"/>
  <c r="A374" i="1"/>
  <c r="A1442" i="1"/>
  <c r="A1176" i="1"/>
  <c r="A185" i="1"/>
  <c r="A91" i="1"/>
  <c r="A379" i="1"/>
  <c r="A271" i="1"/>
  <c r="A1647" i="1"/>
  <c r="A628" i="1"/>
  <c r="A227" i="1"/>
  <c r="A878" i="1"/>
  <c r="A1194" i="1"/>
  <c r="A927" i="1"/>
  <c r="A1244" i="1"/>
  <c r="A1469" i="1"/>
  <c r="A1350" i="1"/>
  <c r="A1679" i="1"/>
  <c r="A735" i="1"/>
  <c r="A736" i="1"/>
  <c r="A1072" i="1"/>
  <c r="A238" i="1"/>
  <c r="A594" i="1"/>
  <c r="A1002" i="1"/>
  <c r="A81" i="1"/>
  <c r="A1175" i="1"/>
  <c r="A676" i="1"/>
  <c r="A1073" i="1"/>
  <c r="A143" i="1"/>
  <c r="A1490" i="1"/>
  <c r="A726" i="1"/>
  <c r="A322" i="1"/>
  <c r="A1450" i="1"/>
  <c r="A507" i="1"/>
  <c r="A1152" i="1"/>
  <c r="A417" i="1"/>
  <c r="A1340" i="1"/>
  <c r="A1099" i="1"/>
  <c r="A1527" i="1"/>
  <c r="A1388" i="1"/>
  <c r="A845" i="1"/>
  <c r="A1212" i="1"/>
  <c r="A44" i="1"/>
  <c r="A1633" i="1"/>
  <c r="A170" i="1"/>
  <c r="A1525" i="1"/>
  <c r="A1478" i="1"/>
  <c r="A1045" i="1"/>
  <c r="A231" i="1"/>
  <c r="A871" i="1"/>
  <c r="A881" i="1"/>
  <c r="A470" i="1"/>
  <c r="A1378" i="1"/>
  <c r="A683" i="1"/>
  <c r="A1319" i="1"/>
  <c r="A1500" i="1"/>
  <c r="A706" i="1"/>
  <c r="A161" i="1"/>
  <c r="A512" i="1"/>
  <c r="A1372" i="1"/>
  <c r="A1210" i="1"/>
  <c r="A954" i="1"/>
  <c r="A1584" i="1"/>
  <c r="A445" i="1"/>
  <c r="A1061" i="1"/>
  <c r="A1641" i="1"/>
  <c r="A1174" i="1"/>
  <c r="A1380" i="1"/>
  <c r="A854" i="1"/>
  <c r="A305" i="1"/>
  <c r="A965" i="1"/>
  <c r="A1466" i="1"/>
  <c r="A1515" i="1"/>
  <c r="A1280" i="1"/>
  <c r="A1155" i="1"/>
  <c r="A1573" i="1"/>
  <c r="A223" i="1"/>
  <c r="A480" i="1"/>
  <c r="A150" i="1"/>
  <c r="A40" i="1"/>
  <c r="A897" i="1"/>
  <c r="A1285" i="1"/>
  <c r="A245" i="1"/>
  <c r="A573" i="1"/>
  <c r="A998" i="1"/>
  <c r="A1094" i="1"/>
  <c r="A1069" i="1"/>
  <c r="A1471" i="1"/>
  <c r="A1075" i="1"/>
  <c r="A615" i="1"/>
  <c r="A1059" i="1"/>
  <c r="A931" i="1"/>
  <c r="A49" i="1"/>
  <c r="A376" i="1"/>
  <c r="A283" i="1"/>
  <c r="A838" i="1"/>
  <c r="A64" i="1"/>
  <c r="A506" i="1"/>
  <c r="A37" i="1"/>
  <c r="A782" i="1"/>
  <c r="A332" i="1"/>
  <c r="A86" i="1"/>
  <c r="A1138" i="1"/>
  <c r="A1159" i="1"/>
  <c r="A252" i="1"/>
  <c r="A1141" i="1"/>
  <c r="A874" i="1"/>
  <c r="A1438" i="1"/>
  <c r="A27" i="1"/>
  <c r="A589" i="1"/>
  <c r="A1582" i="1"/>
  <c r="A1234" i="1"/>
  <c r="A860" i="1"/>
  <c r="A595" i="1"/>
  <c r="A990" i="1"/>
  <c r="A1354" i="1"/>
  <c r="A1183" i="1"/>
  <c r="A371" i="1"/>
  <c r="A384" i="1"/>
  <c r="A1509" i="1"/>
  <c r="A917" i="1"/>
  <c r="A941" i="1"/>
  <c r="A577" i="1"/>
  <c r="A1145" i="1"/>
  <c r="A720" i="1"/>
  <c r="A701" i="1"/>
  <c r="A125" i="1"/>
  <c r="A1023" i="1"/>
  <c r="A932" i="1"/>
  <c r="A1397" i="1"/>
  <c r="A687" i="1"/>
  <c r="A1603" i="1"/>
  <c r="A749" i="1"/>
  <c r="A605" i="1"/>
  <c r="A1043" i="1"/>
  <c r="A729" i="1"/>
  <c r="A844" i="1"/>
  <c r="A56" i="1"/>
  <c r="A1591" i="1"/>
  <c r="A1101" i="1"/>
  <c r="A1121" i="1"/>
  <c r="A524" i="1"/>
  <c r="A522" i="1"/>
  <c r="A1222" i="1"/>
  <c r="A622" i="1"/>
  <c r="A214" i="1"/>
  <c r="A922" i="1"/>
  <c r="A529" i="1"/>
  <c r="A1601" i="1"/>
  <c r="A705" i="1"/>
  <c r="A816" i="1"/>
  <c r="A228" i="1"/>
  <c r="A1147" i="1"/>
  <c r="A83" i="1"/>
  <c r="A1122" i="1"/>
  <c r="A974" i="1"/>
  <c r="A1035" i="1"/>
  <c r="A405" i="1"/>
  <c r="A673" i="1"/>
  <c r="A486" i="1"/>
  <c r="A1389" i="1"/>
  <c r="A36" i="1"/>
  <c r="A113" i="1"/>
  <c r="A270" i="1"/>
  <c r="A1622" i="1"/>
  <c r="A722" i="1"/>
  <c r="A469" i="1"/>
  <c r="A938" i="1"/>
  <c r="A254" i="1"/>
  <c r="A311" i="1"/>
  <c r="A1640" i="1"/>
  <c r="A453" i="1"/>
  <c r="A302" i="1"/>
  <c r="A1556" i="1"/>
  <c r="A820" i="1"/>
  <c r="A900" i="1"/>
  <c r="A1339" i="1"/>
  <c r="A1083" i="1"/>
  <c r="A677" i="1"/>
  <c r="A1621" i="1"/>
  <c r="A76" i="1"/>
  <c r="A118" i="1"/>
  <c r="A1003" i="1"/>
  <c r="A458" i="1"/>
  <c r="A1332" i="1"/>
  <c r="A447" i="1"/>
  <c r="A163" i="1"/>
  <c r="A1216" i="1"/>
  <c r="A1019" i="1"/>
  <c r="A1275" i="1"/>
  <c r="A891" i="1"/>
  <c r="A1242" i="1"/>
  <c r="A1246" i="1"/>
  <c r="A1239" i="1"/>
  <c r="A699" i="1"/>
  <c r="A1652" i="1"/>
  <c r="A345" i="1"/>
  <c r="A499" i="1"/>
  <c r="A1359" i="1"/>
  <c r="A1263" i="1"/>
  <c r="A1180" i="1"/>
  <c r="A97" i="1"/>
  <c r="A1026" i="1"/>
  <c r="A1404" i="1"/>
  <c r="A105" i="1"/>
  <c r="A1661" i="1"/>
  <c r="A645" i="1"/>
  <c r="A1348" i="1"/>
  <c r="A812" i="1"/>
  <c r="A1581" i="1"/>
  <c r="A244" i="1"/>
  <c r="A591" i="1"/>
  <c r="A121" i="1"/>
  <c r="A301" i="1"/>
  <c r="A352" i="1"/>
  <c r="A1607" i="1"/>
  <c r="A1219" i="1"/>
  <c r="A783" i="1"/>
  <c r="A830" i="1"/>
  <c r="A58" i="1"/>
  <c r="A1170" i="1"/>
  <c r="A1107" i="1"/>
  <c r="A1206" i="1"/>
  <c r="A865" i="1"/>
  <c r="A665" i="1"/>
  <c r="A994" i="1"/>
  <c r="A190" i="1"/>
  <c r="A1086" i="1"/>
  <c r="A837" i="1"/>
  <c r="A1625" i="1"/>
  <c r="A898" i="1"/>
  <c r="A1532" i="1"/>
  <c r="A614" i="1"/>
  <c r="A454" i="1"/>
  <c r="A827" i="1"/>
  <c r="A984" i="1"/>
  <c r="A862" i="1"/>
  <c r="A734" i="1"/>
  <c r="A1611" i="1"/>
  <c r="A66" i="1"/>
  <c r="A1238" i="1"/>
  <c r="A1247" i="1"/>
  <c r="A721" i="1"/>
  <c r="A154" i="1"/>
  <c r="A1565" i="1"/>
  <c r="A834" i="1"/>
  <c r="A1252" i="1"/>
  <c r="A531" i="1"/>
  <c r="A1259" i="1"/>
  <c r="A1567" i="1"/>
  <c r="A1473" i="1"/>
  <c r="A10" i="1"/>
  <c r="A1274" i="1"/>
  <c r="A23" i="1"/>
  <c r="A1185" i="1"/>
  <c r="A15" i="1"/>
  <c r="A1585" i="1"/>
  <c r="A444" i="1"/>
  <c r="A626" i="1"/>
  <c r="A128" i="1"/>
  <c r="A230" i="1"/>
  <c r="A1084" i="1"/>
  <c r="A1133" i="1"/>
  <c r="A1119" i="1"/>
  <c r="A464" i="1"/>
  <c r="A621" i="1"/>
  <c r="A442" i="1"/>
  <c r="A918" i="1"/>
  <c r="A164" i="1"/>
  <c r="A1444" i="1"/>
  <c r="A363" i="1"/>
  <c r="A476" i="1"/>
  <c r="A599" i="1"/>
  <c r="A882" i="1"/>
  <c r="A269" i="1"/>
  <c r="A534" i="1"/>
  <c r="A997" i="1"/>
  <c r="A426" i="1"/>
  <c r="A115" i="1"/>
  <c r="A176" i="1"/>
  <c r="A182" i="1"/>
  <c r="A258" i="1"/>
  <c r="A21" i="1"/>
  <c r="A772" i="1"/>
  <c r="A1624" i="1"/>
  <c r="A179" i="1"/>
  <c r="A690" i="1"/>
  <c r="A520" i="1"/>
  <c r="A975" i="1"/>
  <c r="A647" i="1"/>
  <c r="A349" i="1"/>
  <c r="A608" i="1"/>
  <c r="A1654" i="1"/>
  <c r="A1068" i="1"/>
  <c r="A1128" i="1"/>
  <c r="A1277" i="1"/>
  <c r="A1116" i="1"/>
  <c r="A109" i="1"/>
  <c r="A346" i="1"/>
  <c r="A368" i="1"/>
  <c r="A740" i="1"/>
  <c r="A504" i="1"/>
  <c r="A42" i="1"/>
  <c r="A1281" i="1"/>
  <c r="A728" i="1"/>
  <c r="A1407" i="1"/>
  <c r="A606" i="1"/>
  <c r="A12" i="1"/>
  <c r="A35" i="1"/>
  <c r="A650" i="1"/>
  <c r="A700" i="1"/>
  <c r="A704" i="1"/>
  <c r="A797" i="1"/>
  <c r="A25" i="1"/>
  <c r="A921" i="1"/>
  <c r="A596" i="1"/>
  <c r="A197" i="1"/>
  <c r="A1011" i="1"/>
  <c r="A309" i="1"/>
  <c r="A172" i="1"/>
  <c r="A1440" i="1"/>
  <c r="A794" i="1"/>
  <c r="A543" i="1"/>
  <c r="A786" i="1"/>
  <c r="A485" i="1"/>
  <c r="A576" i="1"/>
  <c r="A494" i="1"/>
  <c r="A655" i="1"/>
  <c r="A731" i="1"/>
  <c r="A759" i="1"/>
  <c r="A1636" i="1"/>
  <c r="A1063" i="1"/>
  <c r="A1181" i="1"/>
  <c r="A496" i="1"/>
  <c r="A530" i="1"/>
  <c r="A989" i="1"/>
  <c r="A1049" i="1"/>
  <c r="A1343" i="1"/>
  <c r="A766" i="1"/>
  <c r="A1557" i="1"/>
  <c r="A26" i="1"/>
  <c r="A30" i="1"/>
  <c r="A540" i="1"/>
  <c r="A1495" i="1"/>
  <c r="A394" i="1"/>
  <c r="A439" i="1"/>
  <c r="A1120" i="1"/>
  <c r="A528" i="1"/>
  <c r="A1098" i="1"/>
  <c r="A1178" i="1"/>
  <c r="A449" i="1"/>
  <c r="A1154" i="1"/>
  <c r="A1001" i="1"/>
  <c r="A169" i="1"/>
  <c r="A199" i="1"/>
  <c r="A923" i="1"/>
  <c r="A829" i="1"/>
  <c r="A1314" i="1"/>
  <c r="A982" i="1"/>
  <c r="A670" i="1"/>
  <c r="A323" i="1"/>
  <c r="A39" i="1"/>
  <c r="A478" i="1"/>
  <c r="A326" i="1"/>
  <c r="A331" i="1"/>
  <c r="A2" i="1"/>
  <c r="A1514" i="1"/>
  <c r="A1548" i="1"/>
  <c r="A1449" i="1"/>
  <c r="A552" i="1"/>
  <c r="A280" i="1"/>
  <c r="A564" i="1"/>
  <c r="A873" i="1"/>
  <c r="A632" i="1"/>
  <c r="A635" i="1"/>
  <c r="A760" i="1"/>
  <c r="A1325" i="1"/>
  <c r="A1659" i="1"/>
  <c r="A1106" i="1"/>
  <c r="A1168" i="1"/>
  <c r="A771" i="1"/>
  <c r="A461" i="1"/>
  <c r="A587" i="1"/>
  <c r="A559" i="1"/>
  <c r="A1672" i="1"/>
  <c r="A1024" i="1"/>
  <c r="A847" i="1"/>
  <c r="A586" i="1"/>
  <c r="A773" i="1"/>
  <c r="A1612" i="1"/>
  <c r="A1483" i="1"/>
  <c r="A293" i="1"/>
  <c r="A780" i="1"/>
  <c r="A207" i="1"/>
  <c r="A618" i="1"/>
  <c r="A945" i="1"/>
  <c r="A949" i="1"/>
  <c r="A1376" i="1"/>
  <c r="A1318" i="1"/>
  <c r="A233" i="1"/>
  <c r="A497" i="1"/>
  <c r="A846" i="1"/>
  <c r="A84" i="1"/>
  <c r="A160" i="1"/>
  <c r="A53" i="1"/>
  <c r="A1361" i="1"/>
  <c r="A712" i="1"/>
  <c r="A1630" i="1"/>
  <c r="A191" i="1"/>
  <c r="A165" i="1"/>
  <c r="A474" i="1"/>
  <c r="A1396" i="1"/>
  <c r="A1643" i="1"/>
  <c r="A1347" i="1"/>
  <c r="A187" i="1"/>
  <c r="A1146" i="1"/>
  <c r="A1000" i="1"/>
  <c r="A1422" i="1"/>
  <c r="A1494" i="1"/>
  <c r="A758" i="1"/>
  <c r="A1420" i="1"/>
  <c r="A1085" i="1"/>
  <c r="A263" i="1"/>
  <c r="A360" i="1"/>
  <c r="A1054" i="1"/>
  <c r="A582" i="1"/>
  <c r="A1651" i="1"/>
  <c r="A585" i="1"/>
  <c r="A1273" i="1"/>
  <c r="A455" i="1"/>
  <c r="A1441" i="1"/>
  <c r="A1447" i="1"/>
  <c r="A742" i="1"/>
  <c r="A1345" i="1"/>
  <c r="A184" i="1"/>
  <c r="A823" i="1"/>
  <c r="A1015" i="1"/>
  <c r="A257" i="1"/>
  <c r="A555" i="1"/>
  <c r="A303" i="1"/>
  <c r="A1010" i="1"/>
  <c r="A1295" i="1"/>
  <c r="A1018" i="1"/>
  <c r="A1403" i="1"/>
  <c r="A1025" i="1"/>
  <c r="A857" i="1"/>
  <c r="A17" i="1"/>
  <c r="A912" i="1"/>
  <c r="A55" i="1"/>
  <c r="A1393" i="1"/>
  <c r="A1071" i="1"/>
  <c r="A328" i="1"/>
  <c r="A1675" i="1"/>
  <c r="A1391" i="1"/>
  <c r="A702" i="1"/>
  <c r="A456" i="1"/>
  <c r="A1233" i="1"/>
  <c r="A24" i="1"/>
  <c r="A909" i="1"/>
  <c r="A1493" i="1"/>
  <c r="A919" i="1"/>
  <c r="A831" i="1"/>
  <c r="A1366" i="1"/>
  <c r="A995" i="1"/>
  <c r="A714" i="1"/>
  <c r="A246" i="1"/>
  <c r="A805" i="1"/>
  <c r="A1432" i="1"/>
  <c r="A1411" i="1"/>
  <c r="A441" i="1"/>
  <c r="A1357" i="1"/>
  <c r="A1423" i="1"/>
  <c r="A1005" i="1"/>
  <c r="A62" i="1"/>
  <c r="A457" i="1"/>
  <c r="A884" i="1"/>
  <c r="A1452" i="1"/>
  <c r="A89" i="1"/>
  <c r="A1668" i="1"/>
  <c r="A432" i="1"/>
  <c r="A414" i="1"/>
  <c r="A678" i="1"/>
  <c r="A894" i="1"/>
  <c r="A1184" i="1"/>
  <c r="A967" i="1"/>
  <c r="A715" i="1"/>
  <c r="A839" i="1"/>
  <c r="A863" i="1"/>
  <c r="A1287" i="1"/>
  <c r="A597" i="1"/>
  <c r="A403" i="1"/>
  <c r="A173" i="1"/>
  <c r="A1543" i="1"/>
  <c r="A285" i="1"/>
  <c r="A407" i="1"/>
  <c r="A877" i="1"/>
  <c r="A761" i="1"/>
  <c r="A544" i="1"/>
  <c r="A696" i="1"/>
  <c r="A87" i="1"/>
  <c r="A1529" i="1"/>
  <c r="A482" i="1"/>
  <c r="A288" i="1"/>
  <c r="A1199" i="1"/>
  <c r="A1613" i="1"/>
  <c r="A888" i="1"/>
  <c r="A654" i="1"/>
  <c r="A429" i="1"/>
  <c r="A22" i="1"/>
  <c r="A663" i="1"/>
  <c r="A395" i="1"/>
  <c r="A880" i="1"/>
  <c r="A649" i="1"/>
  <c r="A893" i="1"/>
  <c r="A216" i="1"/>
  <c r="A43" i="1"/>
  <c r="A277" i="1"/>
  <c r="A553" i="1"/>
  <c r="A70" i="1"/>
  <c r="A514" i="1"/>
  <c r="A1308" i="1"/>
  <c r="A200" i="1"/>
  <c r="A409" i="1"/>
  <c r="A662" i="1"/>
  <c r="A347" i="1"/>
  <c r="A1649" i="1"/>
  <c r="A260" i="1"/>
  <c r="A1323" i="1"/>
  <c r="A926" i="1"/>
  <c r="A5" i="1"/>
  <c r="A67" i="1"/>
  <c r="A208" i="1"/>
  <c r="A178" i="1"/>
  <c r="A1377" i="1"/>
  <c r="A1186" i="1"/>
  <c r="A330" i="1"/>
  <c r="A1533" i="1"/>
  <c r="A787" i="1"/>
  <c r="A1439" i="1"/>
  <c r="A1517" i="1"/>
  <c r="A353" i="1"/>
  <c r="A1477" i="1"/>
  <c r="A801" i="1"/>
  <c r="A241" i="1"/>
  <c r="A295" i="1"/>
  <c r="A1476" i="1"/>
  <c r="A249" i="1"/>
  <c r="A1240" i="1"/>
  <c r="A951" i="1"/>
  <c r="A1506" i="1"/>
  <c r="A1289" i="1"/>
  <c r="A1528" i="1"/>
  <c r="A1518" i="1"/>
  <c r="A806" i="1"/>
  <c r="A692" i="1"/>
  <c r="A130" i="1"/>
  <c r="A428" i="1"/>
  <c r="A644" i="1"/>
  <c r="A1610" i="1"/>
  <c r="A308" i="1"/>
  <c r="A1269" i="1"/>
  <c r="A1457" i="1"/>
  <c r="A623" i="1"/>
  <c r="A202" i="1"/>
  <c r="A933" i="1"/>
  <c r="A204" i="1"/>
  <c r="A571" i="1"/>
  <c r="A218" i="1"/>
  <c r="A607" i="1"/>
  <c r="A960" i="1"/>
  <c r="A460" i="1"/>
  <c r="A1590" i="1"/>
  <c r="A1650" i="1"/>
  <c r="A1472" i="1"/>
  <c r="A1503" i="1"/>
  <c r="A513" i="1"/>
  <c r="A171" i="1"/>
  <c r="A703" i="1"/>
  <c r="A304" i="1"/>
  <c r="A247" i="1"/>
  <c r="A282" i="1"/>
  <c r="A804" i="1"/>
  <c r="A598" i="1"/>
  <c r="A1014" i="1"/>
  <c r="A210" i="1"/>
  <c r="A795" i="1"/>
  <c r="A59" i="1"/>
  <c r="A684" i="1"/>
  <c r="A583" i="1"/>
  <c r="A1189" i="1"/>
  <c r="A1224" i="1"/>
  <c r="A1006" i="1"/>
  <c r="A1401" i="1"/>
  <c r="A289" i="1"/>
  <c r="A372" i="1"/>
  <c r="A19" i="1"/>
  <c r="A28" i="1"/>
  <c r="A1405" i="1"/>
  <c r="A1644" i="1"/>
  <c r="A1256" i="1"/>
  <c r="A1260" i="1"/>
  <c r="A738" i="1"/>
  <c r="A195" i="1"/>
  <c r="A383" i="1"/>
  <c r="A443" i="1"/>
  <c r="A868" i="1"/>
  <c r="A465" i="1"/>
  <c r="A775" i="1"/>
  <c r="A294" i="1"/>
  <c r="A1676" i="1"/>
  <c r="A637" i="1"/>
  <c r="A697" i="1"/>
  <c r="A856" i="1"/>
  <c r="A788" i="1"/>
  <c r="A1660" i="1"/>
  <c r="A286" i="1"/>
  <c r="A1645" i="1"/>
  <c r="A748" i="1"/>
  <c r="A147" i="1"/>
  <c r="A983" i="1"/>
  <c r="A1167" i="1"/>
  <c r="A627" i="1"/>
  <c r="A75" i="1"/>
  <c r="A1172" i="1"/>
  <c r="A31" i="1"/>
  <c r="A1538" i="1"/>
  <c r="A1618" i="1"/>
  <c r="A437" i="1"/>
  <c r="A1413" i="1"/>
  <c r="A390" i="1"/>
  <c r="A711" i="1"/>
  <c r="A968" i="1"/>
  <c r="A1262" i="1"/>
  <c r="A527" i="1"/>
  <c r="A1342" i="1"/>
  <c r="A1367" i="1"/>
  <c r="A509" i="1"/>
  <c r="A1355" i="1"/>
  <c r="A1053" i="1"/>
  <c r="A436" i="1"/>
  <c r="A617" i="1"/>
  <c r="A177" i="1"/>
  <c r="A1317" i="1"/>
  <c r="A1408" i="1"/>
  <c r="A517" i="1"/>
  <c r="A1027" i="1"/>
  <c r="A957" i="1"/>
  <c r="A327" i="1"/>
  <c r="A425" i="1"/>
  <c r="A344" i="1"/>
  <c r="A519" i="1"/>
  <c r="A746" i="1"/>
  <c r="A276" i="1"/>
  <c r="A1398" i="1"/>
  <c r="A892" i="1"/>
  <c r="A1250" i="1"/>
  <c r="A719" i="1"/>
  <c r="A79" i="1"/>
  <c r="A1665" i="1"/>
  <c r="A361" i="1"/>
  <c r="A1458" i="1"/>
  <c r="A467" i="1"/>
  <c r="A235" i="1"/>
  <c r="A1195" i="1"/>
  <c r="A1597" i="1"/>
  <c r="A987" i="1"/>
  <c r="A1463" i="1"/>
  <c r="A1143" i="1"/>
  <c r="A120" i="1"/>
  <c r="A319" i="1"/>
  <c r="A1674" i="1"/>
  <c r="A297" i="1"/>
  <c r="A335" i="1"/>
  <c r="A814" i="1"/>
  <c r="A1459" i="1"/>
  <c r="A1492" i="1"/>
  <c r="A643" i="1"/>
  <c r="A1117" i="1"/>
  <c r="A1036" i="1"/>
  <c r="A1320" i="1"/>
  <c r="A554" i="1"/>
  <c r="A292" i="1"/>
  <c r="A153" i="1"/>
  <c r="A1253" i="1"/>
  <c r="A769" i="1"/>
  <c r="A972" i="1"/>
  <c r="A194" i="1"/>
  <c r="A1505" i="1"/>
  <c r="A1406" i="1"/>
  <c r="A1309" i="1"/>
  <c r="A1598" i="1"/>
  <c r="A1307" i="1"/>
  <c r="A558" i="1"/>
  <c r="A560" i="1"/>
  <c r="A1595" i="1"/>
  <c r="A1409" i="1"/>
  <c r="A1034" i="1"/>
  <c r="A215" i="1"/>
  <c r="A1602" i="1"/>
  <c r="A110" i="1"/>
  <c r="A1040" i="1"/>
  <c r="A817" i="1"/>
  <c r="A1424" i="1"/>
  <c r="A220" i="1"/>
  <c r="A1381" i="1"/>
  <c r="A78" i="1"/>
  <c r="A495" i="1"/>
  <c r="A1089" i="1"/>
  <c r="A1267" i="1"/>
  <c r="A1115" i="1"/>
  <c r="A1198" i="1"/>
  <c r="A88" i="1"/>
  <c r="A1038" i="1"/>
  <c r="A1278" i="1"/>
  <c r="A1385" i="1"/>
  <c r="A1382" i="1"/>
  <c r="A1060" i="1"/>
  <c r="A1580" i="1"/>
  <c r="A943" i="1"/>
  <c r="A819" i="1"/>
  <c r="A625" i="1"/>
  <c r="A1329" i="1"/>
  <c r="A708" i="1"/>
  <c r="A111" i="1"/>
  <c r="A668" i="1"/>
  <c r="A420" i="1"/>
  <c r="A1569" i="1"/>
  <c r="A1677" i="1"/>
  <c r="A770" i="1"/>
  <c r="A1681" i="1"/>
  <c r="A858" i="1"/>
  <c r="A1200" i="1"/>
  <c r="A369" i="1"/>
  <c r="A74" i="1"/>
  <c r="A1363" i="1"/>
  <c r="A334" i="1"/>
  <c r="A660" i="1"/>
  <c r="A1460" i="1"/>
  <c r="A671" i="1"/>
  <c r="A993" i="1"/>
  <c r="A493" i="1"/>
  <c r="A818" i="1"/>
  <c r="A1394" i="1"/>
  <c r="A567" i="1"/>
  <c r="A511" i="1"/>
  <c r="A1635" i="1"/>
  <c r="A117" i="1"/>
  <c r="A779" i="1"/>
  <c r="A1337" i="1"/>
  <c r="A1549" i="1"/>
  <c r="A551" i="1"/>
  <c r="A638" i="1"/>
  <c r="A325" i="1"/>
  <c r="A1364" i="1"/>
  <c r="A718" i="1"/>
  <c r="A970" i="1"/>
  <c r="A410" i="1"/>
  <c r="A452" i="1"/>
  <c r="A237" i="1"/>
  <c r="A1390" i="1"/>
  <c r="A232" i="1"/>
  <c r="A1223" i="1"/>
  <c r="A752" i="1"/>
  <c r="A825" i="1"/>
  <c r="A1310" i="1"/>
  <c r="A240" i="1"/>
  <c r="A1510" i="1"/>
  <c r="A821" i="1"/>
  <c r="A1261" i="1"/>
  <c r="A852" i="1"/>
  <c r="A65" i="1"/>
  <c r="A1192" i="1"/>
  <c r="A1058" i="1"/>
  <c r="A1499" i="1"/>
  <c r="A1166" i="1"/>
  <c r="A119" i="1"/>
  <c r="A151" i="1"/>
  <c r="A1237" i="1"/>
  <c r="A784" i="1"/>
  <c r="A793" i="1"/>
  <c r="A674" i="1"/>
  <c r="A1044" i="1"/>
  <c r="A707" i="1"/>
  <c r="A1410" i="1"/>
  <c r="A1416" i="1"/>
  <c r="A633" i="1"/>
  <c r="A1311" i="1"/>
  <c r="A1576" i="1"/>
  <c r="A667" i="1"/>
  <c r="A90" i="1"/>
  <c r="A578" i="1"/>
  <c r="A385" i="1"/>
  <c r="A1300" i="1"/>
  <c r="A562" i="1"/>
  <c r="A902" i="1"/>
  <c r="A1608" i="1"/>
  <c r="A1341" i="1"/>
  <c r="A1570" i="1"/>
  <c r="A1521" i="1"/>
  <c r="A813" i="1"/>
  <c r="A910" i="1"/>
  <c r="I6" i="1"/>
  <c r="H6" i="1"/>
  <c r="G6" i="1"/>
  <c r="G7" i="1" s="1"/>
  <c r="H23" i="1" l="1"/>
  <c r="H27" i="1"/>
  <c r="H31" i="1"/>
  <c r="H35" i="1"/>
  <c r="H39" i="1"/>
  <c r="H43" i="1"/>
  <c r="H47" i="1"/>
  <c r="H21" i="1"/>
  <c r="H25" i="1"/>
  <c r="H29" i="1"/>
  <c r="H33" i="1"/>
  <c r="H37" i="1"/>
  <c r="H41" i="1"/>
  <c r="H45" i="1"/>
  <c r="H49" i="1"/>
  <c r="H22" i="1"/>
  <c r="H26" i="1"/>
  <c r="H30" i="1"/>
  <c r="H34" i="1"/>
  <c r="H38" i="1"/>
  <c r="H42" i="1"/>
  <c r="H46" i="1"/>
  <c r="H50" i="1"/>
  <c r="H24" i="1"/>
  <c r="H28" i="1"/>
  <c r="H32" i="1"/>
  <c r="H36" i="1"/>
  <c r="H40" i="1"/>
  <c r="H44" i="1"/>
  <c r="H48" i="1"/>
  <c r="H7" i="1"/>
  <c r="I7" i="1"/>
  <c r="E2" i="2"/>
  <c r="E2" i="3"/>
  <c r="C3" i="2"/>
  <c r="E3" i="2" s="1"/>
  <c r="C4" i="2"/>
  <c r="E4" i="2" s="1"/>
  <c r="C5" i="2"/>
  <c r="E5" i="2" s="1"/>
  <c r="C6" i="2"/>
  <c r="E6" i="2" s="1"/>
  <c r="C7" i="2"/>
  <c r="E7" i="2" s="1"/>
  <c r="C8" i="2"/>
  <c r="E8" i="2" s="1"/>
  <c r="C9" i="2"/>
  <c r="E9" i="2" s="1"/>
  <c r="C10" i="2"/>
  <c r="E10" i="2" s="1"/>
  <c r="C11" i="2"/>
  <c r="E11" i="2" s="1"/>
  <c r="C12" i="2"/>
  <c r="E12" i="2" s="1"/>
  <c r="C13" i="2"/>
  <c r="E13" i="2" s="1"/>
  <c r="C14" i="2"/>
  <c r="E14" i="2" s="1"/>
  <c r="C15" i="2"/>
  <c r="E15" i="2" s="1"/>
  <c r="C16" i="2"/>
  <c r="E16" i="2" s="1"/>
  <c r="C17" i="2"/>
  <c r="E17" i="2" s="1"/>
  <c r="C18" i="2"/>
  <c r="E18" i="2" s="1"/>
  <c r="C19" i="2"/>
  <c r="E19" i="2" s="1"/>
  <c r="C20" i="2"/>
  <c r="E20" i="2" s="1"/>
  <c r="C21" i="2"/>
  <c r="E21" i="2" s="1"/>
  <c r="C22" i="2"/>
  <c r="E22" i="2" s="1"/>
  <c r="C23" i="2"/>
  <c r="E23" i="2" s="1"/>
  <c r="C24" i="2"/>
  <c r="E24" i="2" s="1"/>
  <c r="C25" i="2"/>
  <c r="E25" i="2" s="1"/>
  <c r="C26" i="2"/>
  <c r="E26" i="2" s="1"/>
  <c r="C27" i="2"/>
  <c r="E27" i="2" s="1"/>
  <c r="C28" i="2"/>
  <c r="E28" i="2" s="1"/>
  <c r="C29" i="2"/>
  <c r="E29" i="2" s="1"/>
  <c r="C30" i="2"/>
  <c r="E30" i="2" s="1"/>
  <c r="C31" i="2"/>
  <c r="E31" i="2" s="1"/>
  <c r="G2" i="2" l="1"/>
  <c r="C30" i="3"/>
  <c r="C24" i="3"/>
  <c r="C40" i="3"/>
  <c r="C56" i="3"/>
  <c r="C17" i="3"/>
  <c r="C33" i="3"/>
  <c r="C49" i="3"/>
  <c r="C10" i="3"/>
  <c r="C27" i="3"/>
  <c r="C43" i="3"/>
  <c r="C4" i="3"/>
  <c r="C20" i="3"/>
  <c r="C3" i="3"/>
  <c r="C7" i="3"/>
  <c r="C15" i="3"/>
  <c r="C28" i="3"/>
  <c r="C44" i="3"/>
  <c r="C5" i="3"/>
  <c r="C21" i="3"/>
  <c r="C37" i="3"/>
  <c r="C53" i="3"/>
  <c r="C14" i="3"/>
  <c r="C31" i="3"/>
  <c r="C47" i="3"/>
  <c r="C8" i="3"/>
  <c r="C2" i="3"/>
  <c r="C19" i="3"/>
  <c r="C23" i="3"/>
  <c r="C34" i="3"/>
  <c r="C36" i="3"/>
  <c r="C52" i="3"/>
  <c r="C13" i="3"/>
  <c r="C29" i="3"/>
  <c r="C45" i="3"/>
  <c r="C6" i="3"/>
  <c r="C22" i="3"/>
  <c r="C39" i="3"/>
  <c r="C55" i="3"/>
  <c r="C16" i="3"/>
  <c r="C42" i="3"/>
  <c r="C46" i="3"/>
  <c r="C54" i="3"/>
  <c r="C11" i="3"/>
  <c r="C48" i="3"/>
  <c r="C57" i="3"/>
  <c r="C12" i="3"/>
  <c r="C50" i="3"/>
  <c r="C9" i="3"/>
  <c r="C18" i="3"/>
  <c r="C26" i="3"/>
  <c r="C32" i="3"/>
  <c r="C41" i="3"/>
  <c r="C51" i="3"/>
  <c r="C38" i="3"/>
  <c r="C35" i="3"/>
  <c r="C25" i="3"/>
</calcChain>
</file>

<file path=xl/sharedStrings.xml><?xml version="1.0" encoding="utf-8"?>
<sst xmlns="http://schemas.openxmlformats.org/spreadsheetml/2006/main" count="6969" uniqueCount="157">
  <si>
    <t>SalesRep</t>
  </si>
  <si>
    <t>Sales</t>
  </si>
  <si>
    <t>State</t>
  </si>
  <si>
    <t>1.   Sadye Diloreto</t>
  </si>
  <si>
    <t>2.   Cliff Schnautz</t>
  </si>
  <si>
    <t>3.   Lucilla Bilecki</t>
  </si>
  <si>
    <t>4.   Son Shryack</t>
  </si>
  <si>
    <t>5.   Cliff Bahlmann</t>
  </si>
  <si>
    <t>6.   Nolan Deorio</t>
  </si>
  <si>
    <t>7.   Quinton Modugno</t>
  </si>
  <si>
    <t>8.   Keila Rossini</t>
  </si>
  <si>
    <t>9.   Toi Medico</t>
  </si>
  <si>
    <t>10.   Moises Paynes</t>
  </si>
  <si>
    <t>11.   Marvis Tenholder</t>
  </si>
  <si>
    <t>12.   Lashon Bongers</t>
  </si>
  <si>
    <t>13.   Twanda Lovenduski</t>
  </si>
  <si>
    <t>14.   Ali Stupp</t>
  </si>
  <si>
    <t>15.   Raphael Derrig</t>
  </si>
  <si>
    <t>16.   Armand Mcleon</t>
  </si>
  <si>
    <t>17.   Kai Stroebel</t>
  </si>
  <si>
    <t>18.   Thaddeus Notah</t>
  </si>
  <si>
    <t>19.   Marlin Mavromatis</t>
  </si>
  <si>
    <t>20.   Thaddeus Cacciatori</t>
  </si>
  <si>
    <t>21.   Fidel Potra</t>
  </si>
  <si>
    <t>22.   Ali Steenken</t>
  </si>
  <si>
    <t>23.   Genna Zaller</t>
  </si>
  <si>
    <t>24.   Nolan Gohn</t>
  </si>
  <si>
    <t>25.   Marcel Davern</t>
  </si>
  <si>
    <t>26.   Jackson Lorkowski</t>
  </si>
  <si>
    <t>27.   Toi Zedaker</t>
  </si>
  <si>
    <t>28.   Raphael Bonawitz</t>
  </si>
  <si>
    <t>29.   Lianne Trappey</t>
  </si>
  <si>
    <t>30.   Cliff Galinski</t>
  </si>
  <si>
    <t>Names</t>
  </si>
  <si>
    <t>Name</t>
  </si>
  <si>
    <t>Alabama</t>
  </si>
  <si>
    <t>Alaska</t>
  </si>
  <si>
    <t>American Samoa</t>
  </si>
  <si>
    <t>Arizona</t>
  </si>
  <si>
    <t>Arkansas</t>
  </si>
  <si>
    <t>California</t>
  </si>
  <si>
    <t>Colorado</t>
  </si>
  <si>
    <t>Connecticut</t>
  </si>
  <si>
    <t>Delaware</t>
  </si>
  <si>
    <t>District of Columbia</t>
  </si>
  <si>
    <t>Florida</t>
  </si>
  <si>
    <t>Georgia</t>
  </si>
  <si>
    <t>Guam</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</si>
  <si>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</si>
  <si>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</si>
  <si>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</si>
  <si>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</si>
  <si>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</si>
  <si>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</si>
  <si>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</si>
  <si>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</si>
  <si>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</si>
  <si>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</si>
  <si>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</si>
  <si>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</si>
  <si>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</si>
  <si>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</si>
  <si>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</si>
  <si>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</si>
  <si>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</si>
  <si>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</si>
  <si>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</si>
  <si>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</si>
  <si>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</si>
  <si>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</si>
  <si>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</si>
  <si>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</si>
  <si>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Northern Marianas Islands</t>
  </si>
  <si>
    <t>Ohio</t>
  </si>
  <si>
    <t>Oklahoma</t>
  </si>
  <si>
    <t>Oregon</t>
  </si>
  <si>
    <t>Pennsylvania</t>
  </si>
  <si>
    <t>Puerto Rico</t>
  </si>
  <si>
    <t>Rhode Island</t>
  </si>
  <si>
    <t>South Carolina</t>
  </si>
  <si>
    <t>South Dakota</t>
  </si>
  <si>
    <t>Tennessee</t>
  </si>
  <si>
    <t>Texas</t>
  </si>
  <si>
    <t>Utah</t>
  </si>
  <si>
    <t>Vermont</t>
  </si>
  <si>
    <t>Virginia</t>
  </si>
  <si>
    <t>Virgin Islands</t>
  </si>
  <si>
    <t>Washington</t>
  </si>
  <si>
    <t>West Virginia</t>
  </si>
  <si>
    <t>Wisconsin</t>
  </si>
  <si>
    <t>Wyoming</t>
  </si>
  <si>
    <t>States</t>
  </si>
  <si>
    <t>CountN</t>
  </si>
  <si>
    <t>CountS</t>
  </si>
  <si>
    <t>Check:</t>
  </si>
  <si>
    <t>Sadye Diloreto</t>
  </si>
  <si>
    <t>Cliff Schnautz</t>
  </si>
  <si>
    <t>Lucilla Bilecki</t>
  </si>
  <si>
    <t>Son Shryack</t>
  </si>
  <si>
    <t>Cliff Bahlmann</t>
  </si>
  <si>
    <t>Nolan Deorio</t>
  </si>
  <si>
    <t>Quinton Modugno</t>
  </si>
  <si>
    <t>Keila Rossini</t>
  </si>
  <si>
    <t>Toi Medico</t>
  </si>
  <si>
    <t>Moises Paynes</t>
  </si>
  <si>
    <t>Marvis Tenholder</t>
  </si>
  <si>
    <t>Lashon Bongers</t>
  </si>
  <si>
    <t>Twanda Lovenduski</t>
  </si>
  <si>
    <t>Ali Stupp</t>
  </si>
  <si>
    <t>Raphael Derrig</t>
  </si>
  <si>
    <t>Armand Mcleon</t>
  </si>
  <si>
    <t>Kai Stroebel</t>
  </si>
  <si>
    <t>Thaddeus Notah</t>
  </si>
  <si>
    <t>Marlin Mavromatis</t>
  </si>
  <si>
    <t>Thaddeus Cacciatori</t>
  </si>
  <si>
    <t>Fidel Potra</t>
  </si>
  <si>
    <t>Ali Steenken</t>
  </si>
  <si>
    <t>Genna Zaller</t>
  </si>
  <si>
    <t>Nolan Gohn</t>
  </si>
  <si>
    <t>Marcel Davern</t>
  </si>
  <si>
    <t>Jackson Lorkowski</t>
  </si>
  <si>
    <t>Toi Zedaker</t>
  </si>
  <si>
    <t>Raphael Bonawitz</t>
  </si>
  <si>
    <t>Lianne Trappey</t>
  </si>
  <si>
    <t>Cliff Galinski</t>
  </si>
  <si>
    <t>Helper</t>
  </si>
  <si>
    <t>[2] Helper Column</t>
  </si>
  <si>
    <t>Time 1</t>
  </si>
  <si>
    <t>Time 2</t>
  </si>
  <si>
    <t>Time 3</t>
  </si>
  <si>
    <t>Ave</t>
  </si>
  <si>
    <t xml:space="preserve"> =INDEX(States,ROUNDUP(ROWS(A$2:A2)/CountN,0))</t>
  </si>
  <si>
    <t xml:space="preserve"> =INDEX(Name,COUNTIF($A$2:A2,A2))</t>
  </si>
  <si>
    <t xml:space="preserve"> =RANDBETWEEN(2000,175000)</t>
  </si>
  <si>
    <t>Row Labels</t>
  </si>
  <si>
    <t>Grand Total</t>
  </si>
  <si>
    <t>Sum of Sales</t>
  </si>
  <si>
    <t>[1] DGET</t>
  </si>
  <si>
    <t>[3] INDEX &amp; MATCH Join Array Formula</t>
  </si>
  <si>
    <t>[4] LOOKUP Join Array Formula
w sorted columns</t>
  </si>
  <si>
    <t>[5] INDEX &amp; MATCH Join Array Formula w sorted columns</t>
  </si>
  <si>
    <t>[5] LOOKUP Join Array Formula
w sorted columns</t>
  </si>
  <si>
    <t>[4] INDEX &amp; MATCH Join Array Formula w sorted columns</t>
  </si>
  <si>
    <t>Time Whole Column</t>
  </si>
  <si>
    <t>* For formulas with many cell references and/or many calculations, caculation time matters.</t>
  </si>
  <si>
    <t>* Timing formulas depends on the exact functions and construction of formulas.</t>
  </si>
  <si>
    <t>* If you are concerned about slow calculation time, it pays to time different methods for your particular situation.</t>
  </si>
  <si>
    <t>* Excel MVP, Charles Williams has a great web site and free code that is great for timing formulas:</t>
  </si>
  <si>
    <t>Web Site:</t>
  </si>
  <si>
    <t>http://www.decisionmodels.com/</t>
  </si>
  <si>
    <t>Code:</t>
  </si>
  <si>
    <t>http://msdn.microsoft.com/en-us/library/office/ff700515(v=office.14).aspx#Office2007excelPerf_MakingWorkbooksCalculateFaster</t>
  </si>
  <si>
    <t>(Excel 2010)</t>
  </si>
  <si>
    <t>Time (s) Single Cell</t>
  </si>
  <si>
    <t>Time (s) Whole 
Column</t>
  </si>
  <si>
    <t>% change from [1]</t>
  </si>
  <si>
    <t>% change from [4]</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</si>
</sst>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8" formatCode="&quot;$&quot;#,##0.00_);[Red]\(&quot;$&quot;#,##0.00\)"/>
    <numFmt numFmtId="164" formatCode="0.0%"/>
  </numFmts>
  <fonts count="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s>
  <fills count="6">
    <fill>
      <patternFill patternType="none"/>
    </fill>
    <fill>
      <patternFill patternType="gray125"/>
    </fill>
    <fill>
      <patternFill patternType="solid">
        <fgColor rgb="FF002060"/>
        <bgColor indexed="64"/>
      </patternFill>
    </fill>
    <fill>
      <patternFill patternType="solid">
        <fgColor rgb="FFFFFF00"/>
        <bgColor indexed="64"/>
      </patternFill>
    </fill>
    <fill>
      <patternFill patternType="solid">
        <fgColor rgb="FFCCFFCC"/>
        <bgColor indexed="64"/>
      </patternFill>
    </fill>
    <fill>
      <patternFill patternType="solid">
        <fgColor rgb="FFFFFFCC"/>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3">
    <xf numFmtId="0" fontId="0" fillId="0" borderId="0"/>
    <xf numFmtId="9" fontId="1" fillId="0" borderId="0" applyFont="0" applyFill="0" applyBorder="0" applyAlignment="0" applyProtection="0"/>
    <xf numFmtId="0" fontId="6" fillId="0" borderId="0" applyNumberFormat="0" applyFill="0" applyBorder="0" applyAlignment="0" applyProtection="0"/>
  </cellStyleXfs>
  <cellXfs count="27">
    <xf numFmtId="0" fontId="0" fillId="0" borderId="0" xfId="0"/>
    <xf numFmtId="0" fontId="3" fillId="0" borderId="0" xfId="0" applyFont="1"/>
    <xf numFmtId="0" fontId="4" fillId="2" borderId="1" xfId="0" applyFont="1" applyFill="1" applyBorder="1"/>
    <xf numFmtId="0" fontId="0" fillId="0" borderId="1" xfId="0" applyBorder="1"/>
    <xf numFmtId="8" fontId="0" fillId="0" borderId="1" xfId="0" applyNumberFormat="1" applyBorder="1"/>
    <xf numFmtId="8" fontId="0" fillId="4" borderId="1" xfId="0" applyNumberFormat="1" applyFill="1" applyBorder="1"/>
    <xf numFmtId="8" fontId="0" fillId="4" borderId="2" xfId="0" applyNumberFormat="1" applyFill="1" applyBorder="1"/>
    <xf numFmtId="0" fontId="2" fillId="2" borderId="1" xfId="0" applyFont="1" applyFill="1" applyBorder="1"/>
    <xf numFmtId="0" fontId="4" fillId="2" borderId="1" xfId="0" applyFont="1" applyFill="1" applyBorder="1" applyAlignment="1">
      <alignment wrapText="1"/>
    </xf>
    <xf numFmtId="0" fontId="0" fillId="4" borderId="1" xfId="0" applyFill="1" applyBorder="1"/>
    <xf numFmtId="0" fontId="0" fillId="0" borderId="0" xfId="0" pivotButton="1"/>
    <xf numFmtId="0" fontId="0" fillId="0" borderId="0" xfId="0" applyAlignment="1">
      <alignment horizontal="left"/>
    </xf>
    <xf numFmtId="0" fontId="0" fillId="0" borderId="0" xfId="0" applyNumberFormat="1"/>
    <xf numFmtId="0" fontId="5" fillId="3" borderId="1" xfId="0" applyFont="1" applyFill="1" applyBorder="1" applyAlignment="1">
      <alignment wrapText="1"/>
    </xf>
    <xf numFmtId="164" fontId="0" fillId="4" borderId="1" xfId="1" applyNumberFormat="1" applyFont="1" applyFill="1" applyBorder="1"/>
    <xf numFmtId="0" fontId="2" fillId="2" borderId="1" xfId="0" applyFont="1" applyFill="1" applyBorder="1" applyAlignment="1">
      <alignment wrapText="1"/>
    </xf>
    <xf numFmtId="0" fontId="0" fillId="5" borderId="3" xfId="0" applyFill="1" applyBorder="1"/>
    <xf numFmtId="0" fontId="0" fillId="5" borderId="4" xfId="0" applyFill="1" applyBorder="1"/>
    <xf numFmtId="0" fontId="0" fillId="5" borderId="5" xfId="0" applyFill="1" applyBorder="1"/>
    <xf numFmtId="0" fontId="0" fillId="5" borderId="6" xfId="0" applyFill="1" applyBorder="1"/>
    <xf numFmtId="0" fontId="0" fillId="5" borderId="0" xfId="0" applyFill="1" applyBorder="1"/>
    <xf numFmtId="0" fontId="0" fillId="5" borderId="7" xfId="0" applyFill="1" applyBorder="1"/>
    <xf numFmtId="0" fontId="6" fillId="5" borderId="0" xfId="2" applyFill="1" applyBorder="1"/>
    <xf numFmtId="0" fontId="0" fillId="5" borderId="8" xfId="0" applyFill="1" applyBorder="1"/>
    <xf numFmtId="0" fontId="6" fillId="5" borderId="9" xfId="2" applyFill="1" applyBorder="1"/>
    <xf numFmtId="0" fontId="0" fillId="5" borderId="9" xfId="0" applyFill="1" applyBorder="1"/>
    <xf numFmtId="0" fontId="0" fillId="5" borderId="10" xfId="0" applyFill="1" applyBorder="1"/>
  </cellXfs>
  <cellStyles count="3">
    <cellStyle name="Hyperlink" xfId="2" builtinId="8"/>
    <cellStyle name="Normal" xfId="0" builtinId="0"/>
    <cellStyle name="Percent" xfId="1" builtinId="5"/>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editAs="oneCell">
    <xdr:from>
      <xdr:col>2</xdr:col>
      <xdr:colOff>400049</xdr:colOff>
      <xdr:row>1</xdr:row>
      <xdr:rowOff>57151</xdr:rowOff>
    </xdr:from>
    <xdr:to>
      <xdr:col>16</xdr:col>
      <xdr:colOff>28575</xdr:colOff>
      <xdr:row>23</xdr:row>
      <xdr:rowOff>133351</xdr:rowOff>
    </xdr:to>
    <mc:AlternateContent xmlns:mc="http://schemas.openxmlformats.org/markup-compatibility/2006" xmlns:a14="http://schemas.microsoft.com/office/drawing/2010/main">
      <mc:Choice Requires="a14">
        <xdr:graphicFrame macro="">
          <xdr:nvGraphicFramePr>
            <xdr:cNvPr id="2" name="State"/>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2466974" y="247651"/>
              <a:ext cx="8162926" cy="4267200"/>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Girvin, Michael" refreshedDate="41305.481412384259" createdVersion="5" refreshedVersion="5" minRefreshableVersion="3" recordCount="1680">
  <cacheSource type="worksheet">
    <worksheetSource ref="B1:D1681" sheet="2LookupValues"/>
  </cacheSource>
  <cacheFields count="3">
    <cacheField name="State" numFmtId="0">
      <sharedItems count="56">
        <s v="Michigan"/>
        <s v="Idaho"/>
        <s v="Utah"/>
        <s v="Nevada"/>
        <s v="Virgin Islands"/>
        <s v="Indiana"/>
        <s v="Texas"/>
        <s v="Montana"/>
        <s v="North Carolina"/>
        <s v="Pennsylvania"/>
        <s v="Mississippi"/>
        <s v="New Jersey"/>
        <s v="Puerto Rico"/>
        <s v="West Virginia"/>
        <s v="Maine"/>
        <s v="Iowa"/>
        <s v="Rhode Island"/>
        <s v="New Mexico"/>
        <s v="District of Columbia"/>
        <s v="Louisiana"/>
        <s v="Florida"/>
        <s v="North Dakota"/>
        <s v="Wyoming"/>
        <s v="Oklahoma"/>
        <s v="California"/>
        <s v="Vermont"/>
        <s v="Guam"/>
        <s v="Delaware"/>
        <s v="American Samoa"/>
        <s v="Kansas"/>
        <s v="Illinois"/>
        <s v="Kentucky"/>
        <s v="Arizona"/>
        <s v="South Carolina"/>
        <s v="New Hampshire"/>
        <s v="Minnesota"/>
        <s v="Alabama"/>
        <s v="Virginia"/>
        <s v="Ohio"/>
        <s v="Maryland"/>
        <s v="Georgia"/>
        <s v="New York"/>
        <s v="Tennessee"/>
        <s v="Massachusetts"/>
        <s v="Arkansas"/>
        <s v="Wisconsin"/>
        <s v="Oregon"/>
        <s v="Connecticut"/>
        <s v="South Dakota"/>
        <s v="Washington"/>
        <s v="Nebraska"/>
        <s v="Alaska"/>
        <s v="Missouri"/>
        <s v="Colorado"/>
        <s v="Northern Marianas Islands"/>
        <s v="Hawaii"/>
      </sharedItems>
    </cacheField>
    <cacheField name="SalesRep" numFmtId="0">
      <sharedItems count="30">
        <s v="Lianne Trappey"/>
        <s v="Nolan Gohn"/>
        <s v="Twanda Lovenduski"/>
        <s v="Thaddeus Cacciatori"/>
        <s v="Lucilla Bilecki"/>
        <s v="Sadye Diloreto"/>
        <s v="Marlin Mavromatis"/>
        <s v="Thaddeus Notah"/>
        <s v="Marvis Tenholder"/>
        <s v="Keila Rossini"/>
        <s v="Son Shryack"/>
        <s v="Toi Medico"/>
        <s v="Cliff Galinski"/>
        <s v="Ali Stupp"/>
        <s v="Quinton Modugno"/>
        <s v="Fidel Potra"/>
        <s v="Armand Mcleon"/>
        <s v="Jackson Lorkowski"/>
        <s v="Cliff Schnautz"/>
        <s v="Kai Stroebel"/>
        <s v="Lashon Bongers"/>
        <s v="Raphael Derrig"/>
        <s v="Marcel Davern"/>
        <s v="Ali Steenken"/>
        <s v="Raphael Bonawitz"/>
        <s v="Cliff Bahlmann"/>
        <s v="Genna Zaller"/>
        <s v="Toi Zedaker"/>
        <s v="Nolan Deorio"/>
        <s v="Moises Paynes"/>
      </sharedItems>
    </cacheField>
    <cacheField name="Sales" numFmtId="8">
      <sharedItems containsSemiMixedTypes="0" containsString="0" containsNumber="1" containsInteger="1" minValue="2272" maxValue="174830"/>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680">
  <r>
    <x v="0"/>
    <x v="0"/>
    <n v="2272"/>
  </r>
  <r>
    <x v="1"/>
    <x v="1"/>
    <n v="2313"/>
  </r>
  <r>
    <x v="2"/>
    <x v="2"/>
    <n v="2615"/>
  </r>
  <r>
    <x v="3"/>
    <x v="3"/>
    <n v="2647"/>
  </r>
  <r>
    <x v="0"/>
    <x v="4"/>
    <n v="2743"/>
  </r>
  <r>
    <x v="4"/>
    <x v="5"/>
    <n v="2992"/>
  </r>
  <r>
    <x v="5"/>
    <x v="6"/>
    <n v="3003"/>
  </r>
  <r>
    <x v="6"/>
    <x v="7"/>
    <n v="3108"/>
  </r>
  <r>
    <x v="7"/>
    <x v="0"/>
    <n v="3170"/>
  </r>
  <r>
    <x v="2"/>
    <x v="8"/>
    <n v="3217"/>
  </r>
  <r>
    <x v="8"/>
    <x v="9"/>
    <n v="3236"/>
  </r>
  <r>
    <x v="9"/>
    <x v="3"/>
    <n v="3254"/>
  </r>
  <r>
    <x v="10"/>
    <x v="6"/>
    <n v="3291"/>
  </r>
  <r>
    <x v="1"/>
    <x v="8"/>
    <n v="3372"/>
  </r>
  <r>
    <x v="11"/>
    <x v="10"/>
    <n v="3402"/>
  </r>
  <r>
    <x v="12"/>
    <x v="11"/>
    <n v="3404"/>
  </r>
  <r>
    <x v="8"/>
    <x v="12"/>
    <n v="3643"/>
  </r>
  <r>
    <x v="13"/>
    <x v="13"/>
    <n v="3715"/>
  </r>
  <r>
    <x v="14"/>
    <x v="14"/>
    <n v="3737"/>
  </r>
  <r>
    <x v="15"/>
    <x v="10"/>
    <n v="3822"/>
  </r>
  <r>
    <x v="14"/>
    <x v="4"/>
    <n v="3924"/>
  </r>
  <r>
    <x v="16"/>
    <x v="15"/>
    <n v="4035"/>
  </r>
  <r>
    <x v="17"/>
    <x v="1"/>
    <n v="4131"/>
  </r>
  <r>
    <x v="18"/>
    <x v="16"/>
    <n v="4255"/>
  </r>
  <r>
    <x v="19"/>
    <x v="5"/>
    <n v="4466"/>
  </r>
  <r>
    <x v="20"/>
    <x v="17"/>
    <n v="4511"/>
  </r>
  <r>
    <x v="21"/>
    <x v="5"/>
    <n v="4585"/>
  </r>
  <r>
    <x v="22"/>
    <x v="18"/>
    <n v="5155"/>
  </r>
  <r>
    <x v="23"/>
    <x v="8"/>
    <n v="5161"/>
  </r>
  <r>
    <x v="24"/>
    <x v="1"/>
    <n v="5631"/>
  </r>
  <r>
    <x v="25"/>
    <x v="7"/>
    <n v="5774"/>
  </r>
  <r>
    <x v="15"/>
    <x v="8"/>
    <n v="6019"/>
  </r>
  <r>
    <x v="18"/>
    <x v="11"/>
    <n v="6073"/>
  </r>
  <r>
    <x v="26"/>
    <x v="19"/>
    <n v="6187"/>
  </r>
  <r>
    <x v="27"/>
    <x v="5"/>
    <n v="6214"/>
  </r>
  <r>
    <x v="3"/>
    <x v="20"/>
    <n v="6252"/>
  </r>
  <r>
    <x v="25"/>
    <x v="19"/>
    <n v="6404"/>
  </r>
  <r>
    <x v="28"/>
    <x v="10"/>
    <n v="6634"/>
  </r>
  <r>
    <x v="3"/>
    <x v="21"/>
    <n v="6721"/>
  </r>
  <r>
    <x v="28"/>
    <x v="22"/>
    <n v="6841"/>
  </r>
  <r>
    <x v="29"/>
    <x v="21"/>
    <n v="6874"/>
  </r>
  <r>
    <x v="26"/>
    <x v="23"/>
    <n v="6953"/>
  </r>
  <r>
    <x v="30"/>
    <x v="24"/>
    <n v="7049"/>
  </r>
  <r>
    <x v="31"/>
    <x v="25"/>
    <n v="7054"/>
  </r>
  <r>
    <x v="32"/>
    <x v="19"/>
    <n v="7122"/>
  </r>
  <r>
    <x v="13"/>
    <x v="9"/>
    <n v="7299"/>
  </r>
  <r>
    <x v="5"/>
    <x v="19"/>
    <n v="7394"/>
  </r>
  <r>
    <x v="33"/>
    <x v="22"/>
    <n v="7450"/>
  </r>
  <r>
    <x v="0"/>
    <x v="16"/>
    <n v="7503"/>
  </r>
  <r>
    <x v="27"/>
    <x v="4"/>
    <n v="7538"/>
  </r>
  <r>
    <x v="34"/>
    <x v="26"/>
    <n v="7559"/>
  </r>
  <r>
    <x v="5"/>
    <x v="18"/>
    <n v="7588"/>
  </r>
  <r>
    <x v="27"/>
    <x v="17"/>
    <n v="7653"/>
  </r>
  <r>
    <x v="35"/>
    <x v="26"/>
    <n v="7705"/>
  </r>
  <r>
    <x v="36"/>
    <x v="20"/>
    <n v="8167"/>
  </r>
  <r>
    <x v="37"/>
    <x v="18"/>
    <n v="8211"/>
  </r>
  <r>
    <x v="7"/>
    <x v="24"/>
    <n v="8222"/>
  </r>
  <r>
    <x v="38"/>
    <x v="15"/>
    <n v="8251"/>
  </r>
  <r>
    <x v="4"/>
    <x v="13"/>
    <n v="8272"/>
  </r>
  <r>
    <x v="39"/>
    <x v="18"/>
    <n v="8296"/>
  </r>
  <r>
    <x v="40"/>
    <x v="3"/>
    <n v="8457"/>
  </r>
  <r>
    <x v="27"/>
    <x v="19"/>
    <n v="8499"/>
  </r>
  <r>
    <x v="41"/>
    <x v="27"/>
    <n v="8522"/>
  </r>
  <r>
    <x v="30"/>
    <x v="2"/>
    <n v="8625"/>
  </r>
  <r>
    <x v="42"/>
    <x v="2"/>
    <n v="8796"/>
  </r>
  <r>
    <x v="15"/>
    <x v="0"/>
    <n v="8850"/>
  </r>
  <r>
    <x v="35"/>
    <x v="21"/>
    <n v="8974"/>
  </r>
  <r>
    <x v="26"/>
    <x v="28"/>
    <n v="8983"/>
  </r>
  <r>
    <x v="14"/>
    <x v="13"/>
    <n v="8989"/>
  </r>
  <r>
    <x v="42"/>
    <x v="5"/>
    <n v="9125"/>
  </r>
  <r>
    <x v="1"/>
    <x v="27"/>
    <n v="9136"/>
  </r>
  <r>
    <x v="19"/>
    <x v="16"/>
    <n v="9197"/>
  </r>
  <r>
    <x v="20"/>
    <x v="0"/>
    <n v="9199"/>
  </r>
  <r>
    <x v="22"/>
    <x v="15"/>
    <n v="9226"/>
  </r>
  <r>
    <x v="10"/>
    <x v="1"/>
    <n v="9352"/>
  </r>
  <r>
    <x v="9"/>
    <x v="1"/>
    <n v="9422"/>
  </r>
  <r>
    <x v="20"/>
    <x v="13"/>
    <n v="9509"/>
  </r>
  <r>
    <x v="25"/>
    <x v="11"/>
    <n v="9821"/>
  </r>
  <r>
    <x v="18"/>
    <x v="13"/>
    <n v="9884"/>
  </r>
  <r>
    <x v="0"/>
    <x v="29"/>
    <n v="9984"/>
  </r>
  <r>
    <x v="2"/>
    <x v="14"/>
    <n v="9985"/>
  </r>
  <r>
    <x v="43"/>
    <x v="23"/>
    <n v="10026"/>
  </r>
  <r>
    <x v="44"/>
    <x v="21"/>
    <n v="10100"/>
  </r>
  <r>
    <x v="4"/>
    <x v="20"/>
    <n v="10249"/>
  </r>
  <r>
    <x v="45"/>
    <x v="22"/>
    <n v="10256"/>
  </r>
  <r>
    <x v="16"/>
    <x v="21"/>
    <n v="10281"/>
  </r>
  <r>
    <x v="23"/>
    <x v="10"/>
    <n v="10296"/>
  </r>
  <r>
    <x v="31"/>
    <x v="12"/>
    <n v="10390"/>
  </r>
  <r>
    <x v="40"/>
    <x v="13"/>
    <n v="10457"/>
  </r>
  <r>
    <x v="46"/>
    <x v="4"/>
    <n v="10490"/>
  </r>
  <r>
    <x v="45"/>
    <x v="28"/>
    <n v="10511"/>
  </r>
  <r>
    <x v="18"/>
    <x v="27"/>
    <n v="10574"/>
  </r>
  <r>
    <x v="24"/>
    <x v="15"/>
    <n v="10678"/>
  </r>
  <r>
    <x v="47"/>
    <x v="5"/>
    <n v="10843"/>
  </r>
  <r>
    <x v="48"/>
    <x v="7"/>
    <n v="10865"/>
  </r>
  <r>
    <x v="4"/>
    <x v="29"/>
    <n v="10978"/>
  </r>
  <r>
    <x v="24"/>
    <x v="11"/>
    <n v="11012"/>
  </r>
  <r>
    <x v="39"/>
    <x v="2"/>
    <n v="11038"/>
  </r>
  <r>
    <x v="13"/>
    <x v="4"/>
    <n v="11065"/>
  </r>
  <r>
    <x v="36"/>
    <x v="26"/>
    <n v="11275"/>
  </r>
  <r>
    <x v="23"/>
    <x v="13"/>
    <n v="11347"/>
  </r>
  <r>
    <x v="49"/>
    <x v="17"/>
    <n v="11435"/>
  </r>
  <r>
    <x v="13"/>
    <x v="16"/>
    <n v="11470"/>
  </r>
  <r>
    <x v="41"/>
    <x v="3"/>
    <n v="11560"/>
  </r>
  <r>
    <x v="32"/>
    <x v="21"/>
    <n v="11564"/>
  </r>
  <r>
    <x v="41"/>
    <x v="1"/>
    <n v="11775"/>
  </r>
  <r>
    <x v="27"/>
    <x v="2"/>
    <n v="12035"/>
  </r>
  <r>
    <x v="16"/>
    <x v="17"/>
    <n v="12037"/>
  </r>
  <r>
    <x v="29"/>
    <x v="12"/>
    <n v="12047"/>
  </r>
  <r>
    <x v="46"/>
    <x v="23"/>
    <n v="12166"/>
  </r>
  <r>
    <x v="25"/>
    <x v="14"/>
    <n v="12339"/>
  </r>
  <r>
    <x v="3"/>
    <x v="19"/>
    <n v="12394"/>
  </r>
  <r>
    <x v="15"/>
    <x v="2"/>
    <n v="12410"/>
  </r>
  <r>
    <x v="25"/>
    <x v="2"/>
    <n v="12437"/>
  </r>
  <r>
    <x v="46"/>
    <x v="26"/>
    <n v="12469"/>
  </r>
  <r>
    <x v="41"/>
    <x v="26"/>
    <n v="12634"/>
  </r>
  <r>
    <x v="21"/>
    <x v="28"/>
    <n v="12636"/>
  </r>
  <r>
    <x v="49"/>
    <x v="24"/>
    <n v="12639"/>
  </r>
  <r>
    <x v="50"/>
    <x v="11"/>
    <n v="13042"/>
  </r>
  <r>
    <x v="33"/>
    <x v="3"/>
    <n v="13148"/>
  </r>
  <r>
    <x v="51"/>
    <x v="0"/>
    <n v="13394"/>
  </r>
  <r>
    <x v="20"/>
    <x v="8"/>
    <n v="13525"/>
  </r>
  <r>
    <x v="52"/>
    <x v="14"/>
    <n v="13555"/>
  </r>
  <r>
    <x v="53"/>
    <x v="7"/>
    <n v="13568"/>
  </r>
  <r>
    <x v="20"/>
    <x v="23"/>
    <n v="13677"/>
  </r>
  <r>
    <x v="38"/>
    <x v="25"/>
    <n v="13866"/>
  </r>
  <r>
    <x v="33"/>
    <x v="14"/>
    <n v="13884"/>
  </r>
  <r>
    <x v="20"/>
    <x v="3"/>
    <n v="14084"/>
  </r>
  <r>
    <x v="30"/>
    <x v="16"/>
    <n v="14087"/>
  </r>
  <r>
    <x v="45"/>
    <x v="1"/>
    <n v="14386"/>
  </r>
  <r>
    <x v="51"/>
    <x v="14"/>
    <n v="14445"/>
  </r>
  <r>
    <x v="2"/>
    <x v="18"/>
    <n v="14481"/>
  </r>
  <r>
    <x v="43"/>
    <x v="7"/>
    <n v="14497"/>
  </r>
  <r>
    <x v="29"/>
    <x v="8"/>
    <n v="14512"/>
  </r>
  <r>
    <x v="11"/>
    <x v="1"/>
    <n v="14683"/>
  </r>
  <r>
    <x v="3"/>
    <x v="1"/>
    <n v="14695"/>
  </r>
  <r>
    <x v="24"/>
    <x v="27"/>
    <n v="14842"/>
  </r>
  <r>
    <x v="43"/>
    <x v="5"/>
    <n v="14907"/>
  </r>
  <r>
    <x v="7"/>
    <x v="6"/>
    <n v="14934"/>
  </r>
  <r>
    <x v="16"/>
    <x v="14"/>
    <n v="14998"/>
  </r>
  <r>
    <x v="34"/>
    <x v="1"/>
    <n v="15013"/>
  </r>
  <r>
    <x v="5"/>
    <x v="16"/>
    <n v="15028"/>
  </r>
  <r>
    <x v="5"/>
    <x v="21"/>
    <n v="15126"/>
  </r>
  <r>
    <x v="27"/>
    <x v="16"/>
    <n v="15170"/>
  </r>
  <r>
    <x v="30"/>
    <x v="19"/>
    <n v="15244"/>
  </r>
  <r>
    <x v="20"/>
    <x v="19"/>
    <n v="15352"/>
  </r>
  <r>
    <x v="15"/>
    <x v="14"/>
    <n v="15361"/>
  </r>
  <r>
    <x v="2"/>
    <x v="13"/>
    <n v="15415"/>
  </r>
  <r>
    <x v="12"/>
    <x v="24"/>
    <n v="15761"/>
  </r>
  <r>
    <x v="53"/>
    <x v="18"/>
    <n v="15790"/>
  </r>
  <r>
    <x v="30"/>
    <x v="3"/>
    <n v="15859"/>
  </r>
  <r>
    <x v="18"/>
    <x v="25"/>
    <n v="16176"/>
  </r>
  <r>
    <x v="34"/>
    <x v="23"/>
    <n v="16238"/>
  </r>
  <r>
    <x v="17"/>
    <x v="9"/>
    <n v="16288"/>
  </r>
  <r>
    <x v="54"/>
    <x v="29"/>
    <n v="16413"/>
  </r>
  <r>
    <x v="22"/>
    <x v="1"/>
    <n v="16558"/>
  </r>
  <r>
    <x v="8"/>
    <x v="11"/>
    <n v="16624"/>
  </r>
  <r>
    <x v="24"/>
    <x v="10"/>
    <n v="16702"/>
  </r>
  <r>
    <x v="32"/>
    <x v="28"/>
    <n v="16999"/>
  </r>
  <r>
    <x v="38"/>
    <x v="9"/>
    <n v="17014"/>
  </r>
  <r>
    <x v="13"/>
    <x v="28"/>
    <n v="17328"/>
  </r>
  <r>
    <x v="2"/>
    <x v="9"/>
    <n v="17329"/>
  </r>
  <r>
    <x v="22"/>
    <x v="9"/>
    <n v="17352"/>
  </r>
  <r>
    <x v="51"/>
    <x v="23"/>
    <n v="17633"/>
  </r>
  <r>
    <x v="16"/>
    <x v="8"/>
    <n v="17677"/>
  </r>
  <r>
    <x v="40"/>
    <x v="25"/>
    <n v="17678"/>
  </r>
  <r>
    <x v="28"/>
    <x v="16"/>
    <n v="17680"/>
  </r>
  <r>
    <x v="26"/>
    <x v="8"/>
    <n v="17942"/>
  </r>
  <r>
    <x v="29"/>
    <x v="22"/>
    <n v="18006"/>
  </r>
  <r>
    <x v="22"/>
    <x v="20"/>
    <n v="18071"/>
  </r>
  <r>
    <x v="22"/>
    <x v="21"/>
    <n v="18151"/>
  </r>
  <r>
    <x v="28"/>
    <x v="17"/>
    <n v="18199"/>
  </r>
  <r>
    <x v="7"/>
    <x v="4"/>
    <n v="18262"/>
  </r>
  <r>
    <x v="37"/>
    <x v="15"/>
    <n v="18441"/>
  </r>
  <r>
    <x v="3"/>
    <x v="26"/>
    <n v="18442"/>
  </r>
  <r>
    <x v="22"/>
    <x v="23"/>
    <n v="18657"/>
  </r>
  <r>
    <x v="47"/>
    <x v="14"/>
    <n v="18728"/>
  </r>
  <r>
    <x v="26"/>
    <x v="13"/>
    <n v="18923"/>
  </r>
  <r>
    <x v="42"/>
    <x v="12"/>
    <n v="19014"/>
  </r>
  <r>
    <x v="53"/>
    <x v="9"/>
    <n v="19033"/>
  </r>
  <r>
    <x v="51"/>
    <x v="10"/>
    <n v="19104"/>
  </r>
  <r>
    <x v="27"/>
    <x v="0"/>
    <n v="19299"/>
  </r>
  <r>
    <x v="18"/>
    <x v="20"/>
    <n v="19419"/>
  </r>
  <r>
    <x v="0"/>
    <x v="24"/>
    <n v="19649"/>
  </r>
  <r>
    <x v="36"/>
    <x v="12"/>
    <n v="19907"/>
  </r>
  <r>
    <x v="53"/>
    <x v="13"/>
    <n v="19927"/>
  </r>
  <r>
    <x v="6"/>
    <x v="3"/>
    <n v="20174"/>
  </r>
  <r>
    <x v="51"/>
    <x v="27"/>
    <n v="20180"/>
  </r>
  <r>
    <x v="20"/>
    <x v="12"/>
    <n v="20376"/>
  </r>
  <r>
    <x v="44"/>
    <x v="0"/>
    <n v="20379"/>
  </r>
  <r>
    <x v="47"/>
    <x v="20"/>
    <n v="20389"/>
  </r>
  <r>
    <x v="9"/>
    <x v="13"/>
    <n v="20521"/>
  </r>
  <r>
    <x v="30"/>
    <x v="6"/>
    <n v="20710"/>
  </r>
  <r>
    <x v="33"/>
    <x v="10"/>
    <n v="20815"/>
  </r>
  <r>
    <x v="26"/>
    <x v="10"/>
    <n v="20949"/>
  </r>
  <r>
    <x v="0"/>
    <x v="2"/>
    <n v="21069"/>
  </r>
  <r>
    <x v="15"/>
    <x v="11"/>
    <n v="21449"/>
  </r>
  <r>
    <x v="12"/>
    <x v="9"/>
    <n v="21510"/>
  </r>
  <r>
    <x v="35"/>
    <x v="28"/>
    <n v="21599"/>
  </r>
  <r>
    <x v="43"/>
    <x v="13"/>
    <n v="21817"/>
  </r>
  <r>
    <x v="7"/>
    <x v="2"/>
    <n v="21821"/>
  </r>
  <r>
    <x v="9"/>
    <x v="22"/>
    <n v="22021"/>
  </r>
  <r>
    <x v="9"/>
    <x v="10"/>
    <n v="22171"/>
  </r>
  <r>
    <x v="26"/>
    <x v="6"/>
    <n v="22285"/>
  </r>
  <r>
    <x v="2"/>
    <x v="6"/>
    <n v="22287"/>
  </r>
  <r>
    <x v="18"/>
    <x v="4"/>
    <n v="22440"/>
  </r>
  <r>
    <x v="55"/>
    <x v="19"/>
    <n v="22862"/>
  </r>
  <r>
    <x v="52"/>
    <x v="17"/>
    <n v="22863"/>
  </r>
  <r>
    <x v="22"/>
    <x v="7"/>
    <n v="22910"/>
  </r>
  <r>
    <x v="33"/>
    <x v="5"/>
    <n v="23047"/>
  </r>
  <r>
    <x v="54"/>
    <x v="24"/>
    <n v="23051"/>
  </r>
  <r>
    <x v="12"/>
    <x v="21"/>
    <n v="23061"/>
  </r>
  <r>
    <x v="8"/>
    <x v="19"/>
    <n v="23067"/>
  </r>
  <r>
    <x v="54"/>
    <x v="21"/>
    <n v="23198"/>
  </r>
  <r>
    <x v="5"/>
    <x v="15"/>
    <n v="23218"/>
  </r>
  <r>
    <x v="13"/>
    <x v="24"/>
    <n v="23293"/>
  </r>
  <r>
    <x v="15"/>
    <x v="6"/>
    <n v="23612"/>
  </r>
  <r>
    <x v="31"/>
    <x v="27"/>
    <n v="23701"/>
  </r>
  <r>
    <x v="14"/>
    <x v="27"/>
    <n v="23773"/>
  </r>
  <r>
    <x v="48"/>
    <x v="0"/>
    <n v="23789"/>
  </r>
  <r>
    <x v="29"/>
    <x v="11"/>
    <n v="23885"/>
  </r>
  <r>
    <x v="29"/>
    <x v="3"/>
    <n v="23910"/>
  </r>
  <r>
    <x v="25"/>
    <x v="21"/>
    <n v="23971"/>
  </r>
  <r>
    <x v="25"/>
    <x v="24"/>
    <n v="24016"/>
  </r>
  <r>
    <x v="11"/>
    <x v="25"/>
    <n v="24125"/>
  </r>
  <r>
    <x v="40"/>
    <x v="10"/>
    <n v="24333"/>
  </r>
  <r>
    <x v="12"/>
    <x v="1"/>
    <n v="24374"/>
  </r>
  <r>
    <x v="40"/>
    <x v="28"/>
    <n v="24460"/>
  </r>
  <r>
    <x v="42"/>
    <x v="19"/>
    <n v="24465"/>
  </r>
  <r>
    <x v="5"/>
    <x v="14"/>
    <n v="24683"/>
  </r>
  <r>
    <x v="43"/>
    <x v="19"/>
    <n v="24690"/>
  </r>
  <r>
    <x v="32"/>
    <x v="3"/>
    <n v="24937"/>
  </r>
  <r>
    <x v="49"/>
    <x v="21"/>
    <n v="24958"/>
  </r>
  <r>
    <x v="9"/>
    <x v="11"/>
    <n v="25065"/>
  </r>
  <r>
    <x v="29"/>
    <x v="29"/>
    <n v="25146"/>
  </r>
  <r>
    <x v="14"/>
    <x v="10"/>
    <n v="25185"/>
  </r>
  <r>
    <x v="38"/>
    <x v="1"/>
    <n v="25264"/>
  </r>
  <r>
    <x v="40"/>
    <x v="27"/>
    <n v="25372"/>
  </r>
  <r>
    <x v="2"/>
    <x v="15"/>
    <n v="25537"/>
  </r>
  <r>
    <x v="50"/>
    <x v="27"/>
    <n v="25641"/>
  </r>
  <r>
    <x v="43"/>
    <x v="27"/>
    <n v="26227"/>
  </r>
  <r>
    <x v="45"/>
    <x v="24"/>
    <n v="26350"/>
  </r>
  <r>
    <x v="43"/>
    <x v="9"/>
    <n v="26645"/>
  </r>
  <r>
    <x v="38"/>
    <x v="11"/>
    <n v="26739"/>
  </r>
  <r>
    <x v="14"/>
    <x v="26"/>
    <n v="26787"/>
  </r>
  <r>
    <x v="20"/>
    <x v="9"/>
    <n v="26900"/>
  </r>
  <r>
    <x v="54"/>
    <x v="26"/>
    <n v="26968"/>
  </r>
  <r>
    <x v="46"/>
    <x v="20"/>
    <n v="27187"/>
  </r>
  <r>
    <x v="53"/>
    <x v="0"/>
    <n v="27232"/>
  </r>
  <r>
    <x v="29"/>
    <x v="14"/>
    <n v="27412"/>
  </r>
  <r>
    <x v="6"/>
    <x v="13"/>
    <n v="27428"/>
  </r>
  <r>
    <x v="27"/>
    <x v="8"/>
    <n v="27455"/>
  </r>
  <r>
    <x v="28"/>
    <x v="27"/>
    <n v="27654"/>
  </r>
  <r>
    <x v="18"/>
    <x v="14"/>
    <n v="27700"/>
  </r>
  <r>
    <x v="19"/>
    <x v="1"/>
    <n v="27772"/>
  </r>
  <r>
    <x v="37"/>
    <x v="19"/>
    <n v="27961"/>
  </r>
  <r>
    <x v="35"/>
    <x v="4"/>
    <n v="27988"/>
  </r>
  <r>
    <x v="22"/>
    <x v="25"/>
    <n v="28116"/>
  </r>
  <r>
    <x v="3"/>
    <x v="10"/>
    <n v="28118"/>
  </r>
  <r>
    <x v="13"/>
    <x v="20"/>
    <n v="28406"/>
  </r>
  <r>
    <x v="33"/>
    <x v="26"/>
    <n v="28618"/>
  </r>
  <r>
    <x v="4"/>
    <x v="0"/>
    <n v="28648"/>
  </r>
  <r>
    <x v="11"/>
    <x v="23"/>
    <n v="28775"/>
  </r>
  <r>
    <x v="8"/>
    <x v="16"/>
    <n v="28780"/>
  </r>
  <r>
    <x v="37"/>
    <x v="21"/>
    <n v="28820"/>
  </r>
  <r>
    <x v="47"/>
    <x v="15"/>
    <n v="29074"/>
  </r>
  <r>
    <x v="34"/>
    <x v="22"/>
    <n v="29196"/>
  </r>
  <r>
    <x v="50"/>
    <x v="23"/>
    <n v="29305"/>
  </r>
  <r>
    <x v="11"/>
    <x v="15"/>
    <n v="29564"/>
  </r>
  <r>
    <x v="10"/>
    <x v="7"/>
    <n v="29608"/>
  </r>
  <r>
    <x v="7"/>
    <x v="19"/>
    <n v="29653"/>
  </r>
  <r>
    <x v="43"/>
    <x v="2"/>
    <n v="29708"/>
  </r>
  <r>
    <x v="27"/>
    <x v="27"/>
    <n v="30108"/>
  </r>
  <r>
    <x v="32"/>
    <x v="20"/>
    <n v="30174"/>
  </r>
  <r>
    <x v="20"/>
    <x v="24"/>
    <n v="30364"/>
  </r>
  <r>
    <x v="51"/>
    <x v="13"/>
    <n v="30418"/>
  </r>
  <r>
    <x v="36"/>
    <x v="5"/>
    <n v="30452"/>
  </r>
  <r>
    <x v="3"/>
    <x v="6"/>
    <n v="30577"/>
  </r>
  <r>
    <x v="42"/>
    <x v="23"/>
    <n v="30966"/>
  </r>
  <r>
    <x v="44"/>
    <x v="22"/>
    <n v="31009"/>
  </r>
  <r>
    <x v="34"/>
    <x v="18"/>
    <n v="31064"/>
  </r>
  <r>
    <x v="50"/>
    <x v="21"/>
    <n v="31090"/>
  </r>
  <r>
    <x v="21"/>
    <x v="20"/>
    <n v="31375"/>
  </r>
  <r>
    <x v="54"/>
    <x v="12"/>
    <n v="31407"/>
  </r>
  <r>
    <x v="14"/>
    <x v="22"/>
    <n v="31441"/>
  </r>
  <r>
    <x v="39"/>
    <x v="15"/>
    <n v="31569"/>
  </r>
  <r>
    <x v="35"/>
    <x v="7"/>
    <n v="31633"/>
  </r>
  <r>
    <x v="13"/>
    <x v="1"/>
    <n v="31671"/>
  </r>
  <r>
    <x v="38"/>
    <x v="26"/>
    <n v="31704"/>
  </r>
  <r>
    <x v="1"/>
    <x v="10"/>
    <n v="31768"/>
  </r>
  <r>
    <x v="51"/>
    <x v="18"/>
    <n v="32051"/>
  </r>
  <r>
    <x v="4"/>
    <x v="21"/>
    <n v="32211"/>
  </r>
  <r>
    <x v="13"/>
    <x v="23"/>
    <n v="32310"/>
  </r>
  <r>
    <x v="11"/>
    <x v="13"/>
    <n v="32387"/>
  </r>
  <r>
    <x v="40"/>
    <x v="14"/>
    <n v="32405"/>
  </r>
  <r>
    <x v="20"/>
    <x v="29"/>
    <n v="32583"/>
  </r>
  <r>
    <x v="21"/>
    <x v="17"/>
    <n v="32712"/>
  </r>
  <r>
    <x v="36"/>
    <x v="28"/>
    <n v="32723"/>
  </r>
  <r>
    <x v="4"/>
    <x v="16"/>
    <n v="32780"/>
  </r>
  <r>
    <x v="32"/>
    <x v="11"/>
    <n v="33154"/>
  </r>
  <r>
    <x v="39"/>
    <x v="21"/>
    <n v="33375"/>
  </r>
  <r>
    <x v="47"/>
    <x v="26"/>
    <n v="33380"/>
  </r>
  <r>
    <x v="41"/>
    <x v="8"/>
    <n v="33592"/>
  </r>
  <r>
    <x v="20"/>
    <x v="1"/>
    <n v="33630"/>
  </r>
  <r>
    <x v="3"/>
    <x v="8"/>
    <n v="33692"/>
  </r>
  <r>
    <x v="14"/>
    <x v="16"/>
    <n v="33792"/>
  </r>
  <r>
    <x v="12"/>
    <x v="12"/>
    <n v="33866"/>
  </r>
  <r>
    <x v="1"/>
    <x v="0"/>
    <n v="33925"/>
  </r>
  <r>
    <x v="4"/>
    <x v="2"/>
    <n v="34007"/>
  </r>
  <r>
    <x v="39"/>
    <x v="13"/>
    <n v="34098"/>
  </r>
  <r>
    <x v="40"/>
    <x v="17"/>
    <n v="34326"/>
  </r>
  <r>
    <x v="55"/>
    <x v="14"/>
    <n v="34556"/>
  </r>
  <r>
    <x v="52"/>
    <x v="4"/>
    <n v="34565"/>
  </r>
  <r>
    <x v="9"/>
    <x v="12"/>
    <n v="34608"/>
  </r>
  <r>
    <x v="3"/>
    <x v="16"/>
    <n v="34694"/>
  </r>
  <r>
    <x v="37"/>
    <x v="28"/>
    <n v="34781"/>
  </r>
  <r>
    <x v="35"/>
    <x v="9"/>
    <n v="34790"/>
  </r>
  <r>
    <x v="1"/>
    <x v="11"/>
    <n v="34834"/>
  </r>
  <r>
    <x v="9"/>
    <x v="2"/>
    <n v="34892"/>
  </r>
  <r>
    <x v="30"/>
    <x v="1"/>
    <n v="34956"/>
  </r>
  <r>
    <x v="49"/>
    <x v="11"/>
    <n v="35046"/>
  </r>
  <r>
    <x v="48"/>
    <x v="6"/>
    <n v="35177"/>
  </r>
  <r>
    <x v="52"/>
    <x v="20"/>
    <n v="35197"/>
  </r>
  <r>
    <x v="36"/>
    <x v="21"/>
    <n v="35317"/>
  </r>
  <r>
    <x v="42"/>
    <x v="13"/>
    <n v="35356"/>
  </r>
  <r>
    <x v="37"/>
    <x v="9"/>
    <n v="35387"/>
  </r>
  <r>
    <x v="23"/>
    <x v="22"/>
    <n v="35660"/>
  </r>
  <r>
    <x v="11"/>
    <x v="27"/>
    <n v="35766"/>
  </r>
  <r>
    <x v="20"/>
    <x v="11"/>
    <n v="35836"/>
  </r>
  <r>
    <x v="48"/>
    <x v="4"/>
    <n v="35931"/>
  </r>
  <r>
    <x v="7"/>
    <x v="9"/>
    <n v="36017"/>
  </r>
  <r>
    <x v="11"/>
    <x v="11"/>
    <n v="36146"/>
  </r>
  <r>
    <x v="33"/>
    <x v="1"/>
    <n v="36149"/>
  </r>
  <r>
    <x v="12"/>
    <x v="10"/>
    <n v="36277"/>
  </r>
  <r>
    <x v="17"/>
    <x v="2"/>
    <n v="36382"/>
  </r>
  <r>
    <x v="14"/>
    <x v="7"/>
    <n v="36654"/>
  </r>
  <r>
    <x v="47"/>
    <x v="18"/>
    <n v="36748"/>
  </r>
  <r>
    <x v="33"/>
    <x v="0"/>
    <n v="36886"/>
  </r>
  <r>
    <x v="0"/>
    <x v="23"/>
    <n v="37010"/>
  </r>
  <r>
    <x v="47"/>
    <x v="11"/>
    <n v="37295"/>
  </r>
  <r>
    <x v="32"/>
    <x v="4"/>
    <n v="37491"/>
  </r>
  <r>
    <x v="34"/>
    <x v="8"/>
    <n v="37491"/>
  </r>
  <r>
    <x v="7"/>
    <x v="5"/>
    <n v="37606"/>
  </r>
  <r>
    <x v="27"/>
    <x v="12"/>
    <n v="37792"/>
  </r>
  <r>
    <x v="23"/>
    <x v="14"/>
    <n v="38025"/>
  </r>
  <r>
    <x v="17"/>
    <x v="8"/>
    <n v="38071"/>
  </r>
  <r>
    <x v="26"/>
    <x v="15"/>
    <n v="38100"/>
  </r>
  <r>
    <x v="19"/>
    <x v="24"/>
    <n v="38421"/>
  </r>
  <r>
    <x v="23"/>
    <x v="5"/>
    <n v="38456"/>
  </r>
  <r>
    <x v="4"/>
    <x v="1"/>
    <n v="38694"/>
  </r>
  <r>
    <x v="44"/>
    <x v="9"/>
    <n v="38926"/>
  </r>
  <r>
    <x v="33"/>
    <x v="9"/>
    <n v="38940"/>
  </r>
  <r>
    <x v="0"/>
    <x v="7"/>
    <n v="39101"/>
  </r>
  <r>
    <x v="50"/>
    <x v="13"/>
    <n v="39164"/>
  </r>
  <r>
    <x v="32"/>
    <x v="6"/>
    <n v="39410"/>
  </r>
  <r>
    <x v="49"/>
    <x v="6"/>
    <n v="39459"/>
  </r>
  <r>
    <x v="55"/>
    <x v="22"/>
    <n v="39564"/>
  </r>
  <r>
    <x v="53"/>
    <x v="4"/>
    <n v="39633"/>
  </r>
  <r>
    <x v="11"/>
    <x v="6"/>
    <n v="39661"/>
  </r>
  <r>
    <x v="37"/>
    <x v="4"/>
    <n v="39661"/>
  </r>
  <r>
    <x v="3"/>
    <x v="24"/>
    <n v="39709"/>
  </r>
  <r>
    <x v="18"/>
    <x v="18"/>
    <n v="39913"/>
  </r>
  <r>
    <x v="37"/>
    <x v="5"/>
    <n v="39931"/>
  </r>
  <r>
    <x v="44"/>
    <x v="18"/>
    <n v="39958"/>
  </r>
  <r>
    <x v="51"/>
    <x v="3"/>
    <n v="40220"/>
  </r>
  <r>
    <x v="31"/>
    <x v="16"/>
    <n v="40486"/>
  </r>
  <r>
    <x v="48"/>
    <x v="3"/>
    <n v="40593"/>
  </r>
  <r>
    <x v="39"/>
    <x v="19"/>
    <n v="40599"/>
  </r>
  <r>
    <x v="25"/>
    <x v="4"/>
    <n v="40761"/>
  </r>
  <r>
    <x v="37"/>
    <x v="17"/>
    <n v="40930"/>
  </r>
  <r>
    <x v="2"/>
    <x v="3"/>
    <n v="41110"/>
  </r>
  <r>
    <x v="45"/>
    <x v="3"/>
    <n v="41190"/>
  </r>
  <r>
    <x v="32"/>
    <x v="23"/>
    <n v="41199"/>
  </r>
  <r>
    <x v="12"/>
    <x v="13"/>
    <n v="41372"/>
  </r>
  <r>
    <x v="4"/>
    <x v="4"/>
    <n v="41652"/>
  </r>
  <r>
    <x v="50"/>
    <x v="6"/>
    <n v="41697"/>
  </r>
  <r>
    <x v="29"/>
    <x v="18"/>
    <n v="42003"/>
  </r>
  <r>
    <x v="33"/>
    <x v="16"/>
    <n v="42005"/>
  </r>
  <r>
    <x v="33"/>
    <x v="24"/>
    <n v="42005"/>
  </r>
  <r>
    <x v="37"/>
    <x v="1"/>
    <n v="42104"/>
  </r>
  <r>
    <x v="10"/>
    <x v="9"/>
    <n v="42124"/>
  </r>
  <r>
    <x v="2"/>
    <x v="16"/>
    <n v="42159"/>
  </r>
  <r>
    <x v="19"/>
    <x v="17"/>
    <n v="42228"/>
  </r>
  <r>
    <x v="51"/>
    <x v="19"/>
    <n v="42240"/>
  </r>
  <r>
    <x v="51"/>
    <x v="24"/>
    <n v="42379"/>
  </r>
  <r>
    <x v="24"/>
    <x v="16"/>
    <n v="42597"/>
  </r>
  <r>
    <x v="18"/>
    <x v="23"/>
    <n v="42887"/>
  </r>
  <r>
    <x v="21"/>
    <x v="25"/>
    <n v="42889"/>
  </r>
  <r>
    <x v="17"/>
    <x v="15"/>
    <n v="42938"/>
  </r>
  <r>
    <x v="50"/>
    <x v="29"/>
    <n v="42967"/>
  </r>
  <r>
    <x v="31"/>
    <x v="26"/>
    <n v="43176"/>
  </r>
  <r>
    <x v="23"/>
    <x v="23"/>
    <n v="43284"/>
  </r>
  <r>
    <x v="13"/>
    <x v="19"/>
    <n v="43291"/>
  </r>
  <r>
    <x v="8"/>
    <x v="26"/>
    <n v="43630"/>
  </r>
  <r>
    <x v="47"/>
    <x v="25"/>
    <n v="43687"/>
  </r>
  <r>
    <x v="35"/>
    <x v="22"/>
    <n v="43705"/>
  </r>
  <r>
    <x v="18"/>
    <x v="1"/>
    <n v="43870"/>
  </r>
  <r>
    <x v="11"/>
    <x v="28"/>
    <n v="43884"/>
  </r>
  <r>
    <x v="35"/>
    <x v="15"/>
    <n v="43955"/>
  </r>
  <r>
    <x v="18"/>
    <x v="0"/>
    <n v="43989"/>
  </r>
  <r>
    <x v="18"/>
    <x v="2"/>
    <n v="44261"/>
  </r>
  <r>
    <x v="19"/>
    <x v="19"/>
    <n v="44314"/>
  </r>
  <r>
    <x v="40"/>
    <x v="8"/>
    <n v="44492"/>
  </r>
  <r>
    <x v="6"/>
    <x v="1"/>
    <n v="44517"/>
  </r>
  <r>
    <x v="40"/>
    <x v="11"/>
    <n v="44721"/>
  </r>
  <r>
    <x v="45"/>
    <x v="18"/>
    <n v="44728"/>
  </r>
  <r>
    <x v="24"/>
    <x v="13"/>
    <n v="44750"/>
  </r>
  <r>
    <x v="33"/>
    <x v="12"/>
    <n v="45038"/>
  </r>
  <r>
    <x v="33"/>
    <x v="18"/>
    <n v="45200"/>
  </r>
  <r>
    <x v="47"/>
    <x v="10"/>
    <n v="45234"/>
  </r>
  <r>
    <x v="17"/>
    <x v="21"/>
    <n v="45472"/>
  </r>
  <r>
    <x v="44"/>
    <x v="28"/>
    <n v="45524"/>
  </r>
  <r>
    <x v="42"/>
    <x v="25"/>
    <n v="45705"/>
  </r>
  <r>
    <x v="6"/>
    <x v="9"/>
    <n v="45729"/>
  </r>
  <r>
    <x v="55"/>
    <x v="20"/>
    <n v="45956"/>
  </r>
  <r>
    <x v="46"/>
    <x v="3"/>
    <n v="45963"/>
  </r>
  <r>
    <x v="15"/>
    <x v="15"/>
    <n v="46025"/>
  </r>
  <r>
    <x v="16"/>
    <x v="27"/>
    <n v="46045"/>
  </r>
  <r>
    <x v="41"/>
    <x v="19"/>
    <n v="46098"/>
  </r>
  <r>
    <x v="36"/>
    <x v="9"/>
    <n v="46100"/>
  </r>
  <r>
    <x v="36"/>
    <x v="6"/>
    <n v="46278"/>
  </r>
  <r>
    <x v="32"/>
    <x v="1"/>
    <n v="46475"/>
  </r>
  <r>
    <x v="5"/>
    <x v="13"/>
    <n v="46529"/>
  </r>
  <r>
    <x v="37"/>
    <x v="14"/>
    <n v="46605"/>
  </r>
  <r>
    <x v="19"/>
    <x v="18"/>
    <n v="46631"/>
  </r>
  <r>
    <x v="51"/>
    <x v="28"/>
    <n v="46808"/>
  </r>
  <r>
    <x v="27"/>
    <x v="11"/>
    <n v="46839"/>
  </r>
  <r>
    <x v="12"/>
    <x v="17"/>
    <n v="46845"/>
  </r>
  <r>
    <x v="0"/>
    <x v="3"/>
    <n v="47112"/>
  </r>
  <r>
    <x v="7"/>
    <x v="27"/>
    <n v="47250"/>
  </r>
  <r>
    <x v="2"/>
    <x v="24"/>
    <n v="47252"/>
  </r>
  <r>
    <x v="16"/>
    <x v="26"/>
    <n v="47371"/>
  </r>
  <r>
    <x v="9"/>
    <x v="19"/>
    <n v="47468"/>
  </r>
  <r>
    <x v="9"/>
    <x v="23"/>
    <n v="47502"/>
  </r>
  <r>
    <x v="38"/>
    <x v="17"/>
    <n v="47526"/>
  </r>
  <r>
    <x v="53"/>
    <x v="1"/>
    <n v="47621"/>
  </r>
  <r>
    <x v="21"/>
    <x v="24"/>
    <n v="47662"/>
  </r>
  <r>
    <x v="47"/>
    <x v="4"/>
    <n v="47689"/>
  </r>
  <r>
    <x v="5"/>
    <x v="1"/>
    <n v="47718"/>
  </r>
  <r>
    <x v="35"/>
    <x v="19"/>
    <n v="47887"/>
  </r>
  <r>
    <x v="54"/>
    <x v="16"/>
    <n v="47915"/>
  </r>
  <r>
    <x v="1"/>
    <x v="25"/>
    <n v="47938"/>
  </r>
  <r>
    <x v="29"/>
    <x v="16"/>
    <n v="47974"/>
  </r>
  <r>
    <x v="37"/>
    <x v="23"/>
    <n v="48025"/>
  </r>
  <r>
    <x v="9"/>
    <x v="18"/>
    <n v="48155"/>
  </r>
  <r>
    <x v="21"/>
    <x v="7"/>
    <n v="48217"/>
  </r>
  <r>
    <x v="10"/>
    <x v="0"/>
    <n v="48369"/>
  </r>
  <r>
    <x v="9"/>
    <x v="7"/>
    <n v="48395"/>
  </r>
  <r>
    <x v="15"/>
    <x v="13"/>
    <n v="48544"/>
  </r>
  <r>
    <x v="16"/>
    <x v="22"/>
    <n v="48866"/>
  </r>
  <r>
    <x v="33"/>
    <x v="27"/>
    <n v="48912"/>
  </r>
  <r>
    <x v="13"/>
    <x v="7"/>
    <n v="48974"/>
  </r>
  <r>
    <x v="12"/>
    <x v="27"/>
    <n v="49050"/>
  </r>
  <r>
    <x v="16"/>
    <x v="12"/>
    <n v="49069"/>
  </r>
  <r>
    <x v="54"/>
    <x v="7"/>
    <n v="49189"/>
  </r>
  <r>
    <x v="3"/>
    <x v="7"/>
    <n v="49255"/>
  </r>
  <r>
    <x v="38"/>
    <x v="2"/>
    <n v="49302"/>
  </r>
  <r>
    <x v="19"/>
    <x v="22"/>
    <n v="49451"/>
  </r>
  <r>
    <x v="45"/>
    <x v="25"/>
    <n v="49500"/>
  </r>
  <r>
    <x v="55"/>
    <x v="5"/>
    <n v="49637"/>
  </r>
  <r>
    <x v="16"/>
    <x v="25"/>
    <n v="49744"/>
  </r>
  <r>
    <x v="22"/>
    <x v="0"/>
    <n v="50023"/>
  </r>
  <r>
    <x v="8"/>
    <x v="2"/>
    <n v="50256"/>
  </r>
  <r>
    <x v="12"/>
    <x v="28"/>
    <n v="50408"/>
  </r>
  <r>
    <x v="14"/>
    <x v="3"/>
    <n v="50428"/>
  </r>
  <r>
    <x v="42"/>
    <x v="8"/>
    <n v="50513"/>
  </r>
  <r>
    <x v="4"/>
    <x v="27"/>
    <n v="51012"/>
  </r>
  <r>
    <x v="52"/>
    <x v="3"/>
    <n v="51231"/>
  </r>
  <r>
    <x v="12"/>
    <x v="25"/>
    <n v="51233"/>
  </r>
  <r>
    <x v="12"/>
    <x v="15"/>
    <n v="51273"/>
  </r>
  <r>
    <x v="26"/>
    <x v="17"/>
    <n v="51341"/>
  </r>
  <r>
    <x v="15"/>
    <x v="21"/>
    <n v="51532"/>
  </r>
  <r>
    <x v="27"/>
    <x v="21"/>
    <n v="51537"/>
  </r>
  <r>
    <x v="32"/>
    <x v="2"/>
    <n v="51632"/>
  </r>
  <r>
    <x v="48"/>
    <x v="8"/>
    <n v="51644"/>
  </r>
  <r>
    <x v="40"/>
    <x v="26"/>
    <n v="51802"/>
  </r>
  <r>
    <x v="5"/>
    <x v="20"/>
    <n v="51917"/>
  </r>
  <r>
    <x v="38"/>
    <x v="29"/>
    <n v="51921"/>
  </r>
  <r>
    <x v="2"/>
    <x v="4"/>
    <n v="51995"/>
  </r>
  <r>
    <x v="24"/>
    <x v="9"/>
    <n v="52041"/>
  </r>
  <r>
    <x v="22"/>
    <x v="4"/>
    <n v="52064"/>
  </r>
  <r>
    <x v="48"/>
    <x v="1"/>
    <n v="52184"/>
  </r>
  <r>
    <x v="15"/>
    <x v="3"/>
    <n v="52504"/>
  </r>
  <r>
    <x v="44"/>
    <x v="23"/>
    <n v="52512"/>
  </r>
  <r>
    <x v="39"/>
    <x v="27"/>
    <n v="52918"/>
  </r>
  <r>
    <x v="34"/>
    <x v="11"/>
    <n v="53055"/>
  </r>
  <r>
    <x v="43"/>
    <x v="15"/>
    <n v="53100"/>
  </r>
  <r>
    <x v="4"/>
    <x v="14"/>
    <n v="53442"/>
  </r>
  <r>
    <x v="52"/>
    <x v="21"/>
    <n v="53547"/>
  </r>
  <r>
    <x v="17"/>
    <x v="11"/>
    <n v="53588"/>
  </r>
  <r>
    <x v="51"/>
    <x v="17"/>
    <n v="53621"/>
  </r>
  <r>
    <x v="49"/>
    <x v="18"/>
    <n v="53624"/>
  </r>
  <r>
    <x v="11"/>
    <x v="20"/>
    <n v="53625"/>
  </r>
  <r>
    <x v="31"/>
    <x v="17"/>
    <n v="53804"/>
  </r>
  <r>
    <x v="23"/>
    <x v="29"/>
    <n v="53812"/>
  </r>
  <r>
    <x v="47"/>
    <x v="28"/>
    <n v="53822"/>
  </r>
  <r>
    <x v="6"/>
    <x v="18"/>
    <n v="53886"/>
  </r>
  <r>
    <x v="9"/>
    <x v="27"/>
    <n v="53915"/>
  </r>
  <r>
    <x v="54"/>
    <x v="28"/>
    <n v="54010"/>
  </r>
  <r>
    <x v="39"/>
    <x v="14"/>
    <n v="54173"/>
  </r>
  <r>
    <x v="53"/>
    <x v="12"/>
    <n v="54354"/>
  </r>
  <r>
    <x v="37"/>
    <x v="26"/>
    <n v="54445"/>
  </r>
  <r>
    <x v="50"/>
    <x v="7"/>
    <n v="54460"/>
  </r>
  <r>
    <x v="24"/>
    <x v="19"/>
    <n v="54465"/>
  </r>
  <r>
    <x v="41"/>
    <x v="15"/>
    <n v="54562"/>
  </r>
  <r>
    <x v="8"/>
    <x v="8"/>
    <n v="54587"/>
  </r>
  <r>
    <x v="17"/>
    <x v="10"/>
    <n v="54617"/>
  </r>
  <r>
    <x v="53"/>
    <x v="26"/>
    <n v="54663"/>
  </r>
  <r>
    <x v="5"/>
    <x v="9"/>
    <n v="54681"/>
  </r>
  <r>
    <x v="36"/>
    <x v="24"/>
    <n v="54830"/>
  </r>
  <r>
    <x v="26"/>
    <x v="16"/>
    <n v="54846"/>
  </r>
  <r>
    <x v="10"/>
    <x v="14"/>
    <n v="54861"/>
  </r>
  <r>
    <x v="48"/>
    <x v="29"/>
    <n v="54876"/>
  </r>
  <r>
    <x v="41"/>
    <x v="24"/>
    <n v="54878"/>
  </r>
  <r>
    <x v="20"/>
    <x v="14"/>
    <n v="55062"/>
  </r>
  <r>
    <x v="12"/>
    <x v="23"/>
    <n v="55126"/>
  </r>
  <r>
    <x v="41"/>
    <x v="17"/>
    <n v="55172"/>
  </r>
  <r>
    <x v="54"/>
    <x v="25"/>
    <n v="55245"/>
  </r>
  <r>
    <x v="21"/>
    <x v="8"/>
    <n v="55335"/>
  </r>
  <r>
    <x v="41"/>
    <x v="14"/>
    <n v="55350"/>
  </r>
  <r>
    <x v="14"/>
    <x v="18"/>
    <n v="55396"/>
  </r>
  <r>
    <x v="18"/>
    <x v="15"/>
    <n v="55508"/>
  </r>
  <r>
    <x v="10"/>
    <x v="19"/>
    <n v="55694"/>
  </r>
  <r>
    <x v="4"/>
    <x v="15"/>
    <n v="55759"/>
  </r>
  <r>
    <x v="42"/>
    <x v="26"/>
    <n v="56097"/>
  </r>
  <r>
    <x v="55"/>
    <x v="24"/>
    <n v="56376"/>
  </r>
  <r>
    <x v="22"/>
    <x v="5"/>
    <n v="56386"/>
  </r>
  <r>
    <x v="44"/>
    <x v="8"/>
    <n v="56391"/>
  </r>
  <r>
    <x v="32"/>
    <x v="5"/>
    <n v="56435"/>
  </r>
  <r>
    <x v="18"/>
    <x v="26"/>
    <n v="56688"/>
  </r>
  <r>
    <x v="37"/>
    <x v="6"/>
    <n v="56895"/>
  </r>
  <r>
    <x v="50"/>
    <x v="19"/>
    <n v="56979"/>
  </r>
  <r>
    <x v="3"/>
    <x v="28"/>
    <n v="56985"/>
  </r>
  <r>
    <x v="32"/>
    <x v="18"/>
    <n v="57010"/>
  </r>
  <r>
    <x v="18"/>
    <x v="24"/>
    <n v="57172"/>
  </r>
  <r>
    <x v="15"/>
    <x v="23"/>
    <n v="57401"/>
  </r>
  <r>
    <x v="12"/>
    <x v="4"/>
    <n v="57407"/>
  </r>
  <r>
    <x v="40"/>
    <x v="7"/>
    <n v="57477"/>
  </r>
  <r>
    <x v="15"/>
    <x v="12"/>
    <n v="57621"/>
  </r>
  <r>
    <x v="28"/>
    <x v="29"/>
    <n v="57844"/>
  </r>
  <r>
    <x v="24"/>
    <x v="24"/>
    <n v="57854"/>
  </r>
  <r>
    <x v="10"/>
    <x v="8"/>
    <n v="57907"/>
  </r>
  <r>
    <x v="30"/>
    <x v="25"/>
    <n v="57917"/>
  </r>
  <r>
    <x v="9"/>
    <x v="0"/>
    <n v="58050"/>
  </r>
  <r>
    <x v="21"/>
    <x v="23"/>
    <n v="58074"/>
  </r>
  <r>
    <x v="15"/>
    <x v="5"/>
    <n v="58175"/>
  </r>
  <r>
    <x v="35"/>
    <x v="24"/>
    <n v="58202"/>
  </r>
  <r>
    <x v="23"/>
    <x v="0"/>
    <n v="58213"/>
  </r>
  <r>
    <x v="20"/>
    <x v="4"/>
    <n v="58236"/>
  </r>
  <r>
    <x v="51"/>
    <x v="20"/>
    <n v="58473"/>
  </r>
  <r>
    <x v="32"/>
    <x v="16"/>
    <n v="58512"/>
  </r>
  <r>
    <x v="52"/>
    <x v="29"/>
    <n v="58520"/>
  </r>
  <r>
    <x v="50"/>
    <x v="17"/>
    <n v="58610"/>
  </r>
  <r>
    <x v="41"/>
    <x v="25"/>
    <n v="58614"/>
  </r>
  <r>
    <x v="13"/>
    <x v="26"/>
    <n v="58745"/>
  </r>
  <r>
    <x v="33"/>
    <x v="23"/>
    <n v="58871"/>
  </r>
  <r>
    <x v="4"/>
    <x v="28"/>
    <n v="58999"/>
  </r>
  <r>
    <x v="21"/>
    <x v="12"/>
    <n v="59055"/>
  </r>
  <r>
    <x v="42"/>
    <x v="0"/>
    <n v="59073"/>
  </r>
  <r>
    <x v="34"/>
    <x v="21"/>
    <n v="59112"/>
  </r>
  <r>
    <x v="1"/>
    <x v="24"/>
    <n v="59168"/>
  </r>
  <r>
    <x v="53"/>
    <x v="29"/>
    <n v="59183"/>
  </r>
  <r>
    <x v="21"/>
    <x v="1"/>
    <n v="59291"/>
  </r>
  <r>
    <x v="45"/>
    <x v="9"/>
    <n v="59315"/>
  </r>
  <r>
    <x v="44"/>
    <x v="17"/>
    <n v="59317"/>
  </r>
  <r>
    <x v="1"/>
    <x v="22"/>
    <n v="59418"/>
  </r>
  <r>
    <x v="41"/>
    <x v="12"/>
    <n v="59449"/>
  </r>
  <r>
    <x v="54"/>
    <x v="15"/>
    <n v="59637"/>
  </r>
  <r>
    <x v="48"/>
    <x v="26"/>
    <n v="59709"/>
  </r>
  <r>
    <x v="35"/>
    <x v="18"/>
    <n v="59749"/>
  </r>
  <r>
    <x v="25"/>
    <x v="10"/>
    <n v="59764"/>
  </r>
  <r>
    <x v="46"/>
    <x v="19"/>
    <n v="59825"/>
  </r>
  <r>
    <x v="11"/>
    <x v="17"/>
    <n v="59859"/>
  </r>
  <r>
    <x v="44"/>
    <x v="3"/>
    <n v="60102"/>
  </r>
  <r>
    <x v="18"/>
    <x v="8"/>
    <n v="60125"/>
  </r>
  <r>
    <x v="10"/>
    <x v="3"/>
    <n v="60167"/>
  </r>
  <r>
    <x v="55"/>
    <x v="27"/>
    <n v="60206"/>
  </r>
  <r>
    <x v="52"/>
    <x v="9"/>
    <n v="60257"/>
  </r>
  <r>
    <x v="5"/>
    <x v="28"/>
    <n v="60392"/>
  </r>
  <r>
    <x v="15"/>
    <x v="16"/>
    <n v="60407"/>
  </r>
  <r>
    <x v="43"/>
    <x v="14"/>
    <n v="60415"/>
  </r>
  <r>
    <x v="50"/>
    <x v="10"/>
    <n v="60451"/>
  </r>
  <r>
    <x v="8"/>
    <x v="4"/>
    <n v="60664"/>
  </r>
  <r>
    <x v="26"/>
    <x v="24"/>
    <n v="60752"/>
  </r>
  <r>
    <x v="19"/>
    <x v="11"/>
    <n v="60762"/>
  </r>
  <r>
    <x v="24"/>
    <x v="21"/>
    <n v="60856"/>
  </r>
  <r>
    <x v="26"/>
    <x v="22"/>
    <n v="60962"/>
  </r>
  <r>
    <x v="11"/>
    <x v="18"/>
    <n v="61152"/>
  </r>
  <r>
    <x v="10"/>
    <x v="11"/>
    <n v="61212"/>
  </r>
  <r>
    <x v="3"/>
    <x v="4"/>
    <n v="61239"/>
  </r>
  <r>
    <x v="38"/>
    <x v="8"/>
    <n v="61268"/>
  </r>
  <r>
    <x v="49"/>
    <x v="16"/>
    <n v="61358"/>
  </r>
  <r>
    <x v="46"/>
    <x v="24"/>
    <n v="61590"/>
  </r>
  <r>
    <x v="35"/>
    <x v="25"/>
    <n v="61810"/>
  </r>
  <r>
    <x v="51"/>
    <x v="11"/>
    <n v="61858"/>
  </r>
  <r>
    <x v="10"/>
    <x v="23"/>
    <n v="62260"/>
  </r>
  <r>
    <x v="16"/>
    <x v="28"/>
    <n v="62470"/>
  </r>
  <r>
    <x v="36"/>
    <x v="2"/>
    <n v="62517"/>
  </r>
  <r>
    <x v="12"/>
    <x v="14"/>
    <n v="62947"/>
  </r>
  <r>
    <x v="11"/>
    <x v="5"/>
    <n v="63090"/>
  </r>
  <r>
    <x v="48"/>
    <x v="22"/>
    <n v="63307"/>
  </r>
  <r>
    <x v="7"/>
    <x v="8"/>
    <n v="63324"/>
  </r>
  <r>
    <x v="33"/>
    <x v="2"/>
    <n v="63375"/>
  </r>
  <r>
    <x v="36"/>
    <x v="3"/>
    <n v="63398"/>
  </r>
  <r>
    <x v="45"/>
    <x v="12"/>
    <n v="63640"/>
  </r>
  <r>
    <x v="32"/>
    <x v="29"/>
    <n v="63670"/>
  </r>
  <r>
    <x v="12"/>
    <x v="18"/>
    <n v="63713"/>
  </r>
  <r>
    <x v="55"/>
    <x v="3"/>
    <n v="63788"/>
  </r>
  <r>
    <x v="21"/>
    <x v="18"/>
    <n v="63835"/>
  </r>
  <r>
    <x v="4"/>
    <x v="22"/>
    <n v="63853"/>
  </r>
  <r>
    <x v="15"/>
    <x v="24"/>
    <n v="64092"/>
  </r>
  <r>
    <x v="49"/>
    <x v="8"/>
    <n v="64293"/>
  </r>
  <r>
    <x v="46"/>
    <x v="2"/>
    <n v="64307"/>
  </r>
  <r>
    <x v="25"/>
    <x v="8"/>
    <n v="64363"/>
  </r>
  <r>
    <x v="2"/>
    <x v="11"/>
    <n v="64546"/>
  </r>
  <r>
    <x v="25"/>
    <x v="27"/>
    <n v="64835"/>
  </r>
  <r>
    <x v="53"/>
    <x v="3"/>
    <n v="64847"/>
  </r>
  <r>
    <x v="12"/>
    <x v="19"/>
    <n v="65082"/>
  </r>
  <r>
    <x v="31"/>
    <x v="9"/>
    <n v="65244"/>
  </r>
  <r>
    <x v="28"/>
    <x v="3"/>
    <n v="65267"/>
  </r>
  <r>
    <x v="33"/>
    <x v="17"/>
    <n v="65462"/>
  </r>
  <r>
    <x v="9"/>
    <x v="9"/>
    <n v="65471"/>
  </r>
  <r>
    <x v="3"/>
    <x v="12"/>
    <n v="65491"/>
  </r>
  <r>
    <x v="46"/>
    <x v="25"/>
    <n v="65561"/>
  </r>
  <r>
    <x v="9"/>
    <x v="17"/>
    <n v="65569"/>
  </r>
  <r>
    <x v="29"/>
    <x v="6"/>
    <n v="65655"/>
  </r>
  <r>
    <x v="40"/>
    <x v="9"/>
    <n v="65738"/>
  </r>
  <r>
    <x v="21"/>
    <x v="27"/>
    <n v="65824"/>
  </r>
  <r>
    <x v="2"/>
    <x v="7"/>
    <n v="65843"/>
  </r>
  <r>
    <x v="53"/>
    <x v="19"/>
    <n v="65872"/>
  </r>
  <r>
    <x v="55"/>
    <x v="1"/>
    <n v="66255"/>
  </r>
  <r>
    <x v="24"/>
    <x v="6"/>
    <n v="66267"/>
  </r>
  <r>
    <x v="50"/>
    <x v="8"/>
    <n v="66340"/>
  </r>
  <r>
    <x v="12"/>
    <x v="29"/>
    <n v="66401"/>
  </r>
  <r>
    <x v="8"/>
    <x v="28"/>
    <n v="66468"/>
  </r>
  <r>
    <x v="35"/>
    <x v="10"/>
    <n v="66563"/>
  </r>
  <r>
    <x v="53"/>
    <x v="6"/>
    <n v="66802"/>
  </r>
  <r>
    <x v="29"/>
    <x v="27"/>
    <n v="66824"/>
  </r>
  <r>
    <x v="26"/>
    <x v="9"/>
    <n v="66845"/>
  </r>
  <r>
    <x v="45"/>
    <x v="27"/>
    <n v="66994"/>
  </r>
  <r>
    <x v="42"/>
    <x v="4"/>
    <n v="67049"/>
  </r>
  <r>
    <x v="37"/>
    <x v="13"/>
    <n v="67138"/>
  </r>
  <r>
    <x v="14"/>
    <x v="11"/>
    <n v="67179"/>
  </r>
  <r>
    <x v="29"/>
    <x v="9"/>
    <n v="67695"/>
  </r>
  <r>
    <x v="14"/>
    <x v="12"/>
    <n v="67712"/>
  </r>
  <r>
    <x v="43"/>
    <x v="6"/>
    <n v="67735"/>
  </r>
  <r>
    <x v="7"/>
    <x v="18"/>
    <n v="67745"/>
  </r>
  <r>
    <x v="14"/>
    <x v="20"/>
    <n v="67818"/>
  </r>
  <r>
    <x v="27"/>
    <x v="3"/>
    <n v="67941"/>
  </r>
  <r>
    <x v="40"/>
    <x v="15"/>
    <n v="68033"/>
  </r>
  <r>
    <x v="22"/>
    <x v="10"/>
    <n v="68211"/>
  </r>
  <r>
    <x v="8"/>
    <x v="13"/>
    <n v="68260"/>
  </r>
  <r>
    <x v="38"/>
    <x v="14"/>
    <n v="68462"/>
  </r>
  <r>
    <x v="44"/>
    <x v="12"/>
    <n v="68504"/>
  </r>
  <r>
    <x v="36"/>
    <x v="10"/>
    <n v="68670"/>
  </r>
  <r>
    <x v="51"/>
    <x v="12"/>
    <n v="68738"/>
  </r>
  <r>
    <x v="33"/>
    <x v="25"/>
    <n v="68886"/>
  </r>
  <r>
    <x v="41"/>
    <x v="2"/>
    <n v="68902"/>
  </r>
  <r>
    <x v="36"/>
    <x v="8"/>
    <n v="69039"/>
  </r>
  <r>
    <x v="23"/>
    <x v="26"/>
    <n v="69063"/>
  </r>
  <r>
    <x v="6"/>
    <x v="25"/>
    <n v="69072"/>
  </r>
  <r>
    <x v="43"/>
    <x v="21"/>
    <n v="69193"/>
  </r>
  <r>
    <x v="20"/>
    <x v="20"/>
    <n v="69421"/>
  </r>
  <r>
    <x v="20"/>
    <x v="10"/>
    <n v="69446"/>
  </r>
  <r>
    <x v="44"/>
    <x v="19"/>
    <n v="69568"/>
  </r>
  <r>
    <x v="32"/>
    <x v="13"/>
    <n v="69761"/>
  </r>
  <r>
    <x v="10"/>
    <x v="20"/>
    <n v="69801"/>
  </r>
  <r>
    <x v="43"/>
    <x v="4"/>
    <n v="69888"/>
  </r>
  <r>
    <x v="17"/>
    <x v="16"/>
    <n v="69916"/>
  </r>
  <r>
    <x v="49"/>
    <x v="20"/>
    <n v="69974"/>
  </r>
  <r>
    <x v="23"/>
    <x v="2"/>
    <n v="70014"/>
  </r>
  <r>
    <x v="6"/>
    <x v="2"/>
    <n v="70126"/>
  </r>
  <r>
    <x v="28"/>
    <x v="23"/>
    <n v="70160"/>
  </r>
  <r>
    <x v="50"/>
    <x v="9"/>
    <n v="70484"/>
  </r>
  <r>
    <x v="14"/>
    <x v="29"/>
    <n v="70502"/>
  </r>
  <r>
    <x v="22"/>
    <x v="3"/>
    <n v="70700"/>
  </r>
  <r>
    <x v="1"/>
    <x v="21"/>
    <n v="70715"/>
  </r>
  <r>
    <x v="36"/>
    <x v="15"/>
    <n v="70738"/>
  </r>
  <r>
    <x v="4"/>
    <x v="10"/>
    <n v="70973"/>
  </r>
  <r>
    <x v="53"/>
    <x v="8"/>
    <n v="71016"/>
  </r>
  <r>
    <x v="51"/>
    <x v="2"/>
    <n v="71110"/>
  </r>
  <r>
    <x v="1"/>
    <x v="5"/>
    <n v="71217"/>
  </r>
  <r>
    <x v="8"/>
    <x v="17"/>
    <n v="71238"/>
  </r>
  <r>
    <x v="45"/>
    <x v="0"/>
    <n v="71272"/>
  </r>
  <r>
    <x v="22"/>
    <x v="6"/>
    <n v="71284"/>
  </r>
  <r>
    <x v="15"/>
    <x v="27"/>
    <n v="71351"/>
  </r>
  <r>
    <x v="41"/>
    <x v="6"/>
    <n v="71366"/>
  </r>
  <r>
    <x v="39"/>
    <x v="3"/>
    <n v="71659"/>
  </r>
  <r>
    <x v="53"/>
    <x v="15"/>
    <n v="71830"/>
  </r>
  <r>
    <x v="8"/>
    <x v="18"/>
    <n v="71947"/>
  </r>
  <r>
    <x v="35"/>
    <x v="17"/>
    <n v="72039"/>
  </r>
  <r>
    <x v="42"/>
    <x v="22"/>
    <n v="72129"/>
  </r>
  <r>
    <x v="27"/>
    <x v="23"/>
    <n v="72142"/>
  </r>
  <r>
    <x v="7"/>
    <x v="16"/>
    <n v="72284"/>
  </r>
  <r>
    <x v="8"/>
    <x v="7"/>
    <n v="72333"/>
  </r>
  <r>
    <x v="13"/>
    <x v="3"/>
    <n v="72374"/>
  </r>
  <r>
    <x v="28"/>
    <x v="24"/>
    <n v="72433"/>
  </r>
  <r>
    <x v="27"/>
    <x v="25"/>
    <n v="72437"/>
  </r>
  <r>
    <x v="7"/>
    <x v="3"/>
    <n v="72633"/>
  </r>
  <r>
    <x v="10"/>
    <x v="15"/>
    <n v="72663"/>
  </r>
  <r>
    <x v="45"/>
    <x v="10"/>
    <n v="72833"/>
  </r>
  <r>
    <x v="40"/>
    <x v="4"/>
    <n v="72835"/>
  </r>
  <r>
    <x v="20"/>
    <x v="28"/>
    <n v="73197"/>
  </r>
  <r>
    <x v="25"/>
    <x v="18"/>
    <n v="73367"/>
  </r>
  <r>
    <x v="19"/>
    <x v="8"/>
    <n v="73452"/>
  </r>
  <r>
    <x v="42"/>
    <x v="3"/>
    <n v="73466"/>
  </r>
  <r>
    <x v="51"/>
    <x v="4"/>
    <n v="73711"/>
  </r>
  <r>
    <x v="45"/>
    <x v="17"/>
    <n v="73849"/>
  </r>
  <r>
    <x v="33"/>
    <x v="8"/>
    <n v="74027"/>
  </r>
  <r>
    <x v="10"/>
    <x v="17"/>
    <n v="74324"/>
  </r>
  <r>
    <x v="50"/>
    <x v="2"/>
    <n v="74486"/>
  </r>
  <r>
    <x v="33"/>
    <x v="19"/>
    <n v="74710"/>
  </r>
  <r>
    <x v="11"/>
    <x v="26"/>
    <n v="74861"/>
  </r>
  <r>
    <x v="11"/>
    <x v="7"/>
    <n v="75163"/>
  </r>
  <r>
    <x v="14"/>
    <x v="19"/>
    <n v="75348"/>
  </r>
  <r>
    <x v="10"/>
    <x v="5"/>
    <n v="75470"/>
  </r>
  <r>
    <x v="37"/>
    <x v="0"/>
    <n v="75498"/>
  </r>
  <r>
    <x v="15"/>
    <x v="25"/>
    <n v="75518"/>
  </r>
  <r>
    <x v="28"/>
    <x v="13"/>
    <n v="75583"/>
  </r>
  <r>
    <x v="48"/>
    <x v="5"/>
    <n v="75753"/>
  </r>
  <r>
    <x v="32"/>
    <x v="14"/>
    <n v="75792"/>
  </r>
  <r>
    <x v="7"/>
    <x v="21"/>
    <n v="75883"/>
  </r>
  <r>
    <x v="14"/>
    <x v="17"/>
    <n v="75970"/>
  </r>
  <r>
    <x v="14"/>
    <x v="6"/>
    <n v="76237"/>
  </r>
  <r>
    <x v="38"/>
    <x v="28"/>
    <n v="76256"/>
  </r>
  <r>
    <x v="3"/>
    <x v="25"/>
    <n v="76314"/>
  </r>
  <r>
    <x v="54"/>
    <x v="4"/>
    <n v="76358"/>
  </r>
  <r>
    <x v="34"/>
    <x v="27"/>
    <n v="76360"/>
  </r>
  <r>
    <x v="17"/>
    <x v="12"/>
    <n v="76499"/>
  </r>
  <r>
    <x v="13"/>
    <x v="17"/>
    <n v="76504"/>
  </r>
  <r>
    <x v="54"/>
    <x v="27"/>
    <n v="76543"/>
  </r>
  <r>
    <x v="12"/>
    <x v="16"/>
    <n v="76558"/>
  </r>
  <r>
    <x v="49"/>
    <x v="7"/>
    <n v="76617"/>
  </r>
  <r>
    <x v="11"/>
    <x v="24"/>
    <n v="76705"/>
  </r>
  <r>
    <x v="16"/>
    <x v="18"/>
    <n v="77118"/>
  </r>
  <r>
    <x v="21"/>
    <x v="29"/>
    <n v="77232"/>
  </r>
  <r>
    <x v="8"/>
    <x v="1"/>
    <n v="77485"/>
  </r>
  <r>
    <x v="24"/>
    <x v="8"/>
    <n v="77598"/>
  </r>
  <r>
    <x v="0"/>
    <x v="1"/>
    <n v="77761"/>
  </r>
  <r>
    <x v="31"/>
    <x v="13"/>
    <n v="77860"/>
  </r>
  <r>
    <x v="29"/>
    <x v="20"/>
    <n v="78140"/>
  </r>
  <r>
    <x v="6"/>
    <x v="23"/>
    <n v="78166"/>
  </r>
  <r>
    <x v="29"/>
    <x v="10"/>
    <n v="78334"/>
  </r>
  <r>
    <x v="30"/>
    <x v="12"/>
    <n v="78443"/>
  </r>
  <r>
    <x v="54"/>
    <x v="23"/>
    <n v="78505"/>
  </r>
  <r>
    <x v="7"/>
    <x v="11"/>
    <n v="78565"/>
  </r>
  <r>
    <x v="22"/>
    <x v="26"/>
    <n v="78657"/>
  </r>
  <r>
    <x v="35"/>
    <x v="5"/>
    <n v="78696"/>
  </r>
  <r>
    <x v="23"/>
    <x v="21"/>
    <n v="78791"/>
  </r>
  <r>
    <x v="1"/>
    <x v="16"/>
    <n v="78892"/>
  </r>
  <r>
    <x v="9"/>
    <x v="14"/>
    <n v="79079"/>
  </r>
  <r>
    <x v="2"/>
    <x v="12"/>
    <n v="79094"/>
  </r>
  <r>
    <x v="32"/>
    <x v="25"/>
    <n v="79164"/>
  </r>
  <r>
    <x v="49"/>
    <x v="12"/>
    <n v="79172"/>
  </r>
  <r>
    <x v="27"/>
    <x v="13"/>
    <n v="79187"/>
  </r>
  <r>
    <x v="15"/>
    <x v="22"/>
    <n v="79323"/>
  </r>
  <r>
    <x v="41"/>
    <x v="21"/>
    <n v="79377"/>
  </r>
  <r>
    <x v="43"/>
    <x v="25"/>
    <n v="79448"/>
  </r>
  <r>
    <x v="22"/>
    <x v="29"/>
    <n v="79662"/>
  </r>
  <r>
    <x v="48"/>
    <x v="19"/>
    <n v="79664"/>
  </r>
  <r>
    <x v="14"/>
    <x v="0"/>
    <n v="79736"/>
  </r>
  <r>
    <x v="44"/>
    <x v="16"/>
    <n v="79738"/>
  </r>
  <r>
    <x v="27"/>
    <x v="20"/>
    <n v="79803"/>
  </r>
  <r>
    <x v="2"/>
    <x v="19"/>
    <n v="79854"/>
  </r>
  <r>
    <x v="24"/>
    <x v="7"/>
    <n v="79918"/>
  </r>
  <r>
    <x v="27"/>
    <x v="6"/>
    <n v="80170"/>
  </r>
  <r>
    <x v="23"/>
    <x v="4"/>
    <n v="80270"/>
  </r>
  <r>
    <x v="30"/>
    <x v="18"/>
    <n v="80374"/>
  </r>
  <r>
    <x v="48"/>
    <x v="25"/>
    <n v="80466"/>
  </r>
  <r>
    <x v="6"/>
    <x v="20"/>
    <n v="80595"/>
  </r>
  <r>
    <x v="21"/>
    <x v="9"/>
    <n v="80599"/>
  </r>
  <r>
    <x v="15"/>
    <x v="1"/>
    <n v="80638"/>
  </r>
  <r>
    <x v="21"/>
    <x v="0"/>
    <n v="80923"/>
  </r>
  <r>
    <x v="49"/>
    <x v="25"/>
    <n v="81022"/>
  </r>
  <r>
    <x v="50"/>
    <x v="26"/>
    <n v="81030"/>
  </r>
  <r>
    <x v="18"/>
    <x v="19"/>
    <n v="81394"/>
  </r>
  <r>
    <x v="25"/>
    <x v="17"/>
    <n v="81410"/>
  </r>
  <r>
    <x v="28"/>
    <x v="5"/>
    <n v="81513"/>
  </r>
  <r>
    <x v="35"/>
    <x v="0"/>
    <n v="81590"/>
  </r>
  <r>
    <x v="16"/>
    <x v="2"/>
    <n v="81733"/>
  </r>
  <r>
    <x v="51"/>
    <x v="26"/>
    <n v="81801"/>
  </r>
  <r>
    <x v="1"/>
    <x v="6"/>
    <n v="82149"/>
  </r>
  <r>
    <x v="19"/>
    <x v="14"/>
    <n v="82168"/>
  </r>
  <r>
    <x v="3"/>
    <x v="11"/>
    <n v="82319"/>
  </r>
  <r>
    <x v="45"/>
    <x v="14"/>
    <n v="82447"/>
  </r>
  <r>
    <x v="46"/>
    <x v="27"/>
    <n v="82609"/>
  </r>
  <r>
    <x v="17"/>
    <x v="13"/>
    <n v="82623"/>
  </r>
  <r>
    <x v="10"/>
    <x v="18"/>
    <n v="82712"/>
  </r>
  <r>
    <x v="23"/>
    <x v="17"/>
    <n v="82824"/>
  </r>
  <r>
    <x v="0"/>
    <x v="5"/>
    <n v="82832"/>
  </r>
  <r>
    <x v="43"/>
    <x v="22"/>
    <n v="83275"/>
  </r>
  <r>
    <x v="30"/>
    <x v="27"/>
    <n v="83318"/>
  </r>
  <r>
    <x v="32"/>
    <x v="12"/>
    <n v="83347"/>
  </r>
  <r>
    <x v="48"/>
    <x v="12"/>
    <n v="83366"/>
  </r>
  <r>
    <x v="52"/>
    <x v="26"/>
    <n v="83595"/>
  </r>
  <r>
    <x v="13"/>
    <x v="22"/>
    <n v="83656"/>
  </r>
  <r>
    <x v="32"/>
    <x v="15"/>
    <n v="83710"/>
  </r>
  <r>
    <x v="10"/>
    <x v="29"/>
    <n v="83743"/>
  </r>
  <r>
    <x v="49"/>
    <x v="0"/>
    <n v="83798"/>
  </r>
  <r>
    <x v="55"/>
    <x v="12"/>
    <n v="83871"/>
  </r>
  <r>
    <x v="12"/>
    <x v="7"/>
    <n v="83886"/>
  </r>
  <r>
    <x v="15"/>
    <x v="26"/>
    <n v="83929"/>
  </r>
  <r>
    <x v="20"/>
    <x v="25"/>
    <n v="83958"/>
  </r>
  <r>
    <x v="52"/>
    <x v="19"/>
    <n v="84008"/>
  </r>
  <r>
    <x v="7"/>
    <x v="7"/>
    <n v="84011"/>
  </r>
  <r>
    <x v="1"/>
    <x v="9"/>
    <n v="84313"/>
  </r>
  <r>
    <x v="24"/>
    <x v="22"/>
    <n v="84369"/>
  </r>
  <r>
    <x v="28"/>
    <x v="6"/>
    <n v="84423"/>
  </r>
  <r>
    <x v="17"/>
    <x v="18"/>
    <n v="84583"/>
  </r>
  <r>
    <x v="33"/>
    <x v="28"/>
    <n v="84777"/>
  </r>
  <r>
    <x v="10"/>
    <x v="24"/>
    <n v="84847"/>
  </r>
  <r>
    <x v="51"/>
    <x v="7"/>
    <n v="84890"/>
  </r>
  <r>
    <x v="35"/>
    <x v="3"/>
    <n v="85144"/>
  </r>
  <r>
    <x v="49"/>
    <x v="5"/>
    <n v="85155"/>
  </r>
  <r>
    <x v="12"/>
    <x v="8"/>
    <n v="85208"/>
  </r>
  <r>
    <x v="55"/>
    <x v="29"/>
    <n v="85285"/>
  </r>
  <r>
    <x v="20"/>
    <x v="6"/>
    <n v="85472"/>
  </r>
  <r>
    <x v="13"/>
    <x v="27"/>
    <n v="85572"/>
  </r>
  <r>
    <x v="50"/>
    <x v="16"/>
    <n v="86064"/>
  </r>
  <r>
    <x v="22"/>
    <x v="8"/>
    <n v="86139"/>
  </r>
  <r>
    <x v="21"/>
    <x v="16"/>
    <n v="86306"/>
  </r>
  <r>
    <x v="44"/>
    <x v="15"/>
    <n v="86311"/>
  </r>
  <r>
    <x v="24"/>
    <x v="14"/>
    <n v="86330"/>
  </r>
  <r>
    <x v="0"/>
    <x v="18"/>
    <n v="86422"/>
  </r>
  <r>
    <x v="41"/>
    <x v="29"/>
    <n v="86624"/>
  </r>
  <r>
    <x v="43"/>
    <x v="1"/>
    <n v="86660"/>
  </r>
  <r>
    <x v="2"/>
    <x v="21"/>
    <n v="86817"/>
  </r>
  <r>
    <x v="36"/>
    <x v="16"/>
    <n v="86971"/>
  </r>
  <r>
    <x v="4"/>
    <x v="11"/>
    <n v="87147"/>
  </r>
  <r>
    <x v="15"/>
    <x v="17"/>
    <n v="87150"/>
  </r>
  <r>
    <x v="3"/>
    <x v="0"/>
    <n v="87161"/>
  </r>
  <r>
    <x v="35"/>
    <x v="20"/>
    <n v="87265"/>
  </r>
  <r>
    <x v="25"/>
    <x v="13"/>
    <n v="87351"/>
  </r>
  <r>
    <x v="18"/>
    <x v="6"/>
    <n v="87379"/>
  </r>
  <r>
    <x v="2"/>
    <x v="10"/>
    <n v="87386"/>
  </r>
  <r>
    <x v="33"/>
    <x v="13"/>
    <n v="87544"/>
  </r>
  <r>
    <x v="37"/>
    <x v="12"/>
    <n v="87689"/>
  </r>
  <r>
    <x v="15"/>
    <x v="9"/>
    <n v="87737"/>
  </r>
  <r>
    <x v="42"/>
    <x v="16"/>
    <n v="87738"/>
  </r>
  <r>
    <x v="18"/>
    <x v="5"/>
    <n v="87909"/>
  </r>
  <r>
    <x v="5"/>
    <x v="5"/>
    <n v="88007"/>
  </r>
  <r>
    <x v="29"/>
    <x v="24"/>
    <n v="88131"/>
  </r>
  <r>
    <x v="22"/>
    <x v="27"/>
    <n v="88171"/>
  </r>
  <r>
    <x v="44"/>
    <x v="29"/>
    <n v="88249"/>
  </r>
  <r>
    <x v="47"/>
    <x v="22"/>
    <n v="88348"/>
  </r>
  <r>
    <x v="3"/>
    <x v="18"/>
    <n v="88415"/>
  </r>
  <r>
    <x v="1"/>
    <x v="13"/>
    <n v="88568"/>
  </r>
  <r>
    <x v="35"/>
    <x v="16"/>
    <n v="88583"/>
  </r>
  <r>
    <x v="2"/>
    <x v="1"/>
    <n v="88645"/>
  </r>
  <r>
    <x v="0"/>
    <x v="20"/>
    <n v="88701"/>
  </r>
  <r>
    <x v="39"/>
    <x v="7"/>
    <n v="88937"/>
  </r>
  <r>
    <x v="36"/>
    <x v="14"/>
    <n v="88961"/>
  </r>
  <r>
    <x v="0"/>
    <x v="21"/>
    <n v="89154"/>
  </r>
  <r>
    <x v="3"/>
    <x v="15"/>
    <n v="89207"/>
  </r>
  <r>
    <x v="42"/>
    <x v="6"/>
    <n v="89417"/>
  </r>
  <r>
    <x v="35"/>
    <x v="27"/>
    <n v="89474"/>
  </r>
  <r>
    <x v="11"/>
    <x v="9"/>
    <n v="89581"/>
  </r>
  <r>
    <x v="55"/>
    <x v="0"/>
    <n v="89668"/>
  </r>
  <r>
    <x v="24"/>
    <x v="12"/>
    <n v="89850"/>
  </r>
  <r>
    <x v="1"/>
    <x v="18"/>
    <n v="89881"/>
  </r>
  <r>
    <x v="48"/>
    <x v="16"/>
    <n v="89892"/>
  </r>
  <r>
    <x v="21"/>
    <x v="4"/>
    <n v="90066"/>
  </r>
  <r>
    <x v="27"/>
    <x v="22"/>
    <n v="90165"/>
  </r>
  <r>
    <x v="19"/>
    <x v="21"/>
    <n v="90178"/>
  </r>
  <r>
    <x v="6"/>
    <x v="22"/>
    <n v="90289"/>
  </r>
  <r>
    <x v="10"/>
    <x v="22"/>
    <n v="90372"/>
  </r>
  <r>
    <x v="52"/>
    <x v="13"/>
    <n v="90389"/>
  </r>
  <r>
    <x v="7"/>
    <x v="25"/>
    <n v="90483"/>
  </r>
  <r>
    <x v="17"/>
    <x v="17"/>
    <n v="90606"/>
  </r>
  <r>
    <x v="55"/>
    <x v="11"/>
    <n v="90718"/>
  </r>
  <r>
    <x v="41"/>
    <x v="0"/>
    <n v="90754"/>
  </r>
  <r>
    <x v="7"/>
    <x v="1"/>
    <n v="90953"/>
  </r>
  <r>
    <x v="37"/>
    <x v="8"/>
    <n v="90963"/>
  </r>
  <r>
    <x v="17"/>
    <x v="25"/>
    <n v="91001"/>
  </r>
  <r>
    <x v="55"/>
    <x v="15"/>
    <n v="91014"/>
  </r>
  <r>
    <x v="32"/>
    <x v="10"/>
    <n v="91114"/>
  </r>
  <r>
    <x v="13"/>
    <x v="2"/>
    <n v="91436"/>
  </r>
  <r>
    <x v="30"/>
    <x v="22"/>
    <n v="91442"/>
  </r>
  <r>
    <x v="35"/>
    <x v="12"/>
    <n v="91509"/>
  </r>
  <r>
    <x v="46"/>
    <x v="6"/>
    <n v="91605"/>
  </r>
  <r>
    <x v="42"/>
    <x v="21"/>
    <n v="91613"/>
  </r>
  <r>
    <x v="17"/>
    <x v="20"/>
    <n v="91806"/>
  </r>
  <r>
    <x v="52"/>
    <x v="25"/>
    <n v="91849"/>
  </r>
  <r>
    <x v="9"/>
    <x v="28"/>
    <n v="92006"/>
  </r>
  <r>
    <x v="47"/>
    <x v="2"/>
    <n v="92030"/>
  </r>
  <r>
    <x v="47"/>
    <x v="9"/>
    <n v="92114"/>
  </r>
  <r>
    <x v="11"/>
    <x v="16"/>
    <n v="92576"/>
  </r>
  <r>
    <x v="49"/>
    <x v="29"/>
    <n v="92631"/>
  </r>
  <r>
    <x v="28"/>
    <x v="20"/>
    <n v="92634"/>
  </r>
  <r>
    <x v="27"/>
    <x v="18"/>
    <n v="92669"/>
  </r>
  <r>
    <x v="51"/>
    <x v="29"/>
    <n v="92770"/>
  </r>
  <r>
    <x v="55"/>
    <x v="16"/>
    <n v="92803"/>
  </r>
  <r>
    <x v="9"/>
    <x v="24"/>
    <n v="92869"/>
  </r>
  <r>
    <x v="53"/>
    <x v="5"/>
    <n v="92925"/>
  </r>
  <r>
    <x v="27"/>
    <x v="28"/>
    <n v="93172"/>
  </r>
  <r>
    <x v="26"/>
    <x v="20"/>
    <n v="93294"/>
  </r>
  <r>
    <x v="45"/>
    <x v="2"/>
    <n v="93376"/>
  </r>
  <r>
    <x v="31"/>
    <x v="11"/>
    <n v="93421"/>
  </r>
  <r>
    <x v="31"/>
    <x v="8"/>
    <n v="93505"/>
  </r>
  <r>
    <x v="21"/>
    <x v="14"/>
    <n v="93638"/>
  </r>
  <r>
    <x v="28"/>
    <x v="15"/>
    <n v="93782"/>
  </r>
  <r>
    <x v="11"/>
    <x v="12"/>
    <n v="93838"/>
  </r>
  <r>
    <x v="55"/>
    <x v="28"/>
    <n v="93917"/>
  </r>
  <r>
    <x v="9"/>
    <x v="29"/>
    <n v="94005"/>
  </r>
  <r>
    <x v="42"/>
    <x v="20"/>
    <n v="94036"/>
  </r>
  <r>
    <x v="40"/>
    <x v="6"/>
    <n v="94122"/>
  </r>
  <r>
    <x v="39"/>
    <x v="24"/>
    <n v="94217"/>
  </r>
  <r>
    <x v="1"/>
    <x v="7"/>
    <n v="94240"/>
  </r>
  <r>
    <x v="49"/>
    <x v="27"/>
    <n v="94264"/>
  </r>
  <r>
    <x v="3"/>
    <x v="22"/>
    <n v="94517"/>
  </r>
  <r>
    <x v="27"/>
    <x v="7"/>
    <n v="94521"/>
  </r>
  <r>
    <x v="50"/>
    <x v="5"/>
    <n v="94602"/>
  </r>
  <r>
    <x v="50"/>
    <x v="18"/>
    <n v="94617"/>
  </r>
  <r>
    <x v="1"/>
    <x v="23"/>
    <n v="94770"/>
  </r>
  <r>
    <x v="44"/>
    <x v="1"/>
    <n v="94839"/>
  </r>
  <r>
    <x v="47"/>
    <x v="19"/>
    <n v="94869"/>
  </r>
  <r>
    <x v="18"/>
    <x v="9"/>
    <n v="94882"/>
  </r>
  <r>
    <x v="22"/>
    <x v="28"/>
    <n v="95138"/>
  </r>
  <r>
    <x v="54"/>
    <x v="19"/>
    <n v="95194"/>
  </r>
  <r>
    <x v="48"/>
    <x v="10"/>
    <n v="95351"/>
  </r>
  <r>
    <x v="28"/>
    <x v="25"/>
    <n v="95462"/>
  </r>
  <r>
    <x v="31"/>
    <x v="5"/>
    <n v="95499"/>
  </r>
  <r>
    <x v="28"/>
    <x v="12"/>
    <n v="95588"/>
  </r>
  <r>
    <x v="17"/>
    <x v="24"/>
    <n v="95800"/>
  </r>
  <r>
    <x v="28"/>
    <x v="4"/>
    <n v="95951"/>
  </r>
  <r>
    <x v="12"/>
    <x v="6"/>
    <n v="96019"/>
  </r>
  <r>
    <x v="4"/>
    <x v="17"/>
    <n v="96067"/>
  </r>
  <r>
    <x v="42"/>
    <x v="11"/>
    <n v="96172"/>
  </r>
  <r>
    <x v="14"/>
    <x v="2"/>
    <n v="96302"/>
  </r>
  <r>
    <x v="46"/>
    <x v="0"/>
    <n v="96477"/>
  </r>
  <r>
    <x v="17"/>
    <x v="22"/>
    <n v="96482"/>
  </r>
  <r>
    <x v="27"/>
    <x v="1"/>
    <n v="96573"/>
  </r>
  <r>
    <x v="15"/>
    <x v="20"/>
    <n v="96579"/>
  </r>
  <r>
    <x v="3"/>
    <x v="13"/>
    <n v="96666"/>
  </r>
  <r>
    <x v="23"/>
    <x v="12"/>
    <n v="96765"/>
  </r>
  <r>
    <x v="1"/>
    <x v="15"/>
    <n v="96954"/>
  </r>
  <r>
    <x v="49"/>
    <x v="3"/>
    <n v="97019"/>
  </r>
  <r>
    <x v="46"/>
    <x v="8"/>
    <n v="97128"/>
  </r>
  <r>
    <x v="39"/>
    <x v="5"/>
    <n v="97228"/>
  </r>
  <r>
    <x v="6"/>
    <x v="26"/>
    <n v="97249"/>
  </r>
  <r>
    <x v="0"/>
    <x v="10"/>
    <n v="97319"/>
  </r>
  <r>
    <x v="41"/>
    <x v="18"/>
    <n v="97325"/>
  </r>
  <r>
    <x v="6"/>
    <x v="16"/>
    <n v="97326"/>
  </r>
  <r>
    <x v="16"/>
    <x v="6"/>
    <n v="97382"/>
  </r>
  <r>
    <x v="45"/>
    <x v="4"/>
    <n v="97389"/>
  </r>
  <r>
    <x v="20"/>
    <x v="21"/>
    <n v="97463"/>
  </r>
  <r>
    <x v="44"/>
    <x v="27"/>
    <n v="97826"/>
  </r>
  <r>
    <x v="54"/>
    <x v="6"/>
    <n v="97838"/>
  </r>
  <r>
    <x v="28"/>
    <x v="21"/>
    <n v="97890"/>
  </r>
  <r>
    <x v="44"/>
    <x v="5"/>
    <n v="98133"/>
  </r>
  <r>
    <x v="55"/>
    <x v="26"/>
    <n v="98413"/>
  </r>
  <r>
    <x v="52"/>
    <x v="22"/>
    <n v="98439"/>
  </r>
  <r>
    <x v="4"/>
    <x v="26"/>
    <n v="98448"/>
  </r>
  <r>
    <x v="47"/>
    <x v="23"/>
    <n v="98469"/>
  </r>
  <r>
    <x v="31"/>
    <x v="1"/>
    <n v="98484"/>
  </r>
  <r>
    <x v="48"/>
    <x v="13"/>
    <n v="98491"/>
  </r>
  <r>
    <x v="50"/>
    <x v="0"/>
    <n v="98639"/>
  </r>
  <r>
    <x v="47"/>
    <x v="29"/>
    <n v="98797"/>
  </r>
  <r>
    <x v="38"/>
    <x v="10"/>
    <n v="98810"/>
  </r>
  <r>
    <x v="9"/>
    <x v="4"/>
    <n v="98857"/>
  </r>
  <r>
    <x v="2"/>
    <x v="25"/>
    <n v="98922"/>
  </r>
  <r>
    <x v="12"/>
    <x v="3"/>
    <n v="98992"/>
  </r>
  <r>
    <x v="5"/>
    <x v="17"/>
    <n v="99022"/>
  </r>
  <r>
    <x v="53"/>
    <x v="17"/>
    <n v="99025"/>
  </r>
  <r>
    <x v="6"/>
    <x v="6"/>
    <n v="99028"/>
  </r>
  <r>
    <x v="26"/>
    <x v="7"/>
    <n v="99101"/>
  </r>
  <r>
    <x v="23"/>
    <x v="18"/>
    <n v="99154"/>
  </r>
  <r>
    <x v="50"/>
    <x v="24"/>
    <n v="99230"/>
  </r>
  <r>
    <x v="34"/>
    <x v="17"/>
    <n v="99473"/>
  </r>
  <r>
    <x v="54"/>
    <x v="17"/>
    <n v="99556"/>
  </r>
  <r>
    <x v="28"/>
    <x v="28"/>
    <n v="99577"/>
  </r>
  <r>
    <x v="16"/>
    <x v="3"/>
    <n v="99584"/>
  </r>
  <r>
    <x v="47"/>
    <x v="16"/>
    <n v="99600"/>
  </r>
  <r>
    <x v="29"/>
    <x v="23"/>
    <n v="99712"/>
  </r>
  <r>
    <x v="35"/>
    <x v="1"/>
    <n v="99757"/>
  </r>
  <r>
    <x v="52"/>
    <x v="11"/>
    <n v="99831"/>
  </r>
  <r>
    <x v="45"/>
    <x v="11"/>
    <n v="99835"/>
  </r>
  <r>
    <x v="19"/>
    <x v="9"/>
    <n v="99917"/>
  </r>
  <r>
    <x v="6"/>
    <x v="19"/>
    <n v="99979"/>
  </r>
  <r>
    <x v="22"/>
    <x v="12"/>
    <n v="99981"/>
  </r>
  <r>
    <x v="36"/>
    <x v="25"/>
    <n v="100206"/>
  </r>
  <r>
    <x v="26"/>
    <x v="12"/>
    <n v="100241"/>
  </r>
  <r>
    <x v="39"/>
    <x v="6"/>
    <n v="100255"/>
  </r>
  <r>
    <x v="55"/>
    <x v="8"/>
    <n v="100471"/>
  </r>
  <r>
    <x v="5"/>
    <x v="3"/>
    <n v="100854"/>
  </r>
  <r>
    <x v="11"/>
    <x v="0"/>
    <n v="100939"/>
  </r>
  <r>
    <x v="41"/>
    <x v="28"/>
    <n v="101060"/>
  </r>
  <r>
    <x v="10"/>
    <x v="27"/>
    <n v="101131"/>
  </r>
  <r>
    <x v="33"/>
    <x v="6"/>
    <n v="101142"/>
  </r>
  <r>
    <x v="43"/>
    <x v="17"/>
    <n v="101204"/>
  </r>
  <r>
    <x v="2"/>
    <x v="17"/>
    <n v="101343"/>
  </r>
  <r>
    <x v="21"/>
    <x v="2"/>
    <n v="101613"/>
  </r>
  <r>
    <x v="16"/>
    <x v="16"/>
    <n v="101734"/>
  </r>
  <r>
    <x v="6"/>
    <x v="10"/>
    <n v="101864"/>
  </r>
  <r>
    <x v="17"/>
    <x v="28"/>
    <n v="101979"/>
  </r>
  <r>
    <x v="21"/>
    <x v="3"/>
    <n v="102068"/>
  </r>
  <r>
    <x v="48"/>
    <x v="27"/>
    <n v="102091"/>
  </r>
  <r>
    <x v="38"/>
    <x v="21"/>
    <n v="102201"/>
  </r>
  <r>
    <x v="55"/>
    <x v="10"/>
    <n v="102335"/>
  </r>
  <r>
    <x v="11"/>
    <x v="4"/>
    <n v="102431"/>
  </r>
  <r>
    <x v="55"/>
    <x v="6"/>
    <n v="102465"/>
  </r>
  <r>
    <x v="42"/>
    <x v="27"/>
    <n v="102496"/>
  </r>
  <r>
    <x v="24"/>
    <x v="3"/>
    <n v="102645"/>
  </r>
  <r>
    <x v="8"/>
    <x v="24"/>
    <n v="102955"/>
  </r>
  <r>
    <x v="3"/>
    <x v="27"/>
    <n v="102958"/>
  </r>
  <r>
    <x v="6"/>
    <x v="28"/>
    <n v="103202"/>
  </r>
  <r>
    <x v="49"/>
    <x v="10"/>
    <n v="103209"/>
  </r>
  <r>
    <x v="0"/>
    <x v="26"/>
    <n v="103223"/>
  </r>
  <r>
    <x v="4"/>
    <x v="7"/>
    <n v="103365"/>
  </r>
  <r>
    <x v="14"/>
    <x v="15"/>
    <n v="103388"/>
  </r>
  <r>
    <x v="40"/>
    <x v="24"/>
    <n v="103584"/>
  </r>
  <r>
    <x v="19"/>
    <x v="7"/>
    <n v="103903"/>
  </r>
  <r>
    <x v="43"/>
    <x v="8"/>
    <n v="104183"/>
  </r>
  <r>
    <x v="24"/>
    <x v="4"/>
    <n v="104188"/>
  </r>
  <r>
    <x v="23"/>
    <x v="9"/>
    <n v="104482"/>
  </r>
  <r>
    <x v="55"/>
    <x v="7"/>
    <n v="104560"/>
  </r>
  <r>
    <x v="44"/>
    <x v="25"/>
    <n v="104660"/>
  </r>
  <r>
    <x v="19"/>
    <x v="4"/>
    <n v="104719"/>
  </r>
  <r>
    <x v="27"/>
    <x v="24"/>
    <n v="104811"/>
  </r>
  <r>
    <x v="28"/>
    <x v="9"/>
    <n v="104857"/>
  </r>
  <r>
    <x v="1"/>
    <x v="2"/>
    <n v="104923"/>
  </r>
  <r>
    <x v="50"/>
    <x v="20"/>
    <n v="105128"/>
  </r>
  <r>
    <x v="42"/>
    <x v="17"/>
    <n v="105168"/>
  </r>
  <r>
    <x v="39"/>
    <x v="4"/>
    <n v="105263"/>
  </r>
  <r>
    <x v="13"/>
    <x v="0"/>
    <n v="105324"/>
  </r>
  <r>
    <x v="55"/>
    <x v="18"/>
    <n v="105470"/>
  </r>
  <r>
    <x v="47"/>
    <x v="13"/>
    <n v="105711"/>
  </r>
  <r>
    <x v="48"/>
    <x v="21"/>
    <n v="105749"/>
  </r>
  <r>
    <x v="30"/>
    <x v="4"/>
    <n v="105761"/>
  </r>
  <r>
    <x v="8"/>
    <x v="10"/>
    <n v="105783"/>
  </r>
  <r>
    <x v="29"/>
    <x v="13"/>
    <n v="105898"/>
  </r>
  <r>
    <x v="49"/>
    <x v="19"/>
    <n v="106033"/>
  </r>
  <r>
    <x v="43"/>
    <x v="18"/>
    <n v="106139"/>
  </r>
  <r>
    <x v="32"/>
    <x v="24"/>
    <n v="106142"/>
  </r>
  <r>
    <x v="34"/>
    <x v="5"/>
    <n v="106331"/>
  </r>
  <r>
    <x v="34"/>
    <x v="24"/>
    <n v="106392"/>
  </r>
  <r>
    <x v="28"/>
    <x v="0"/>
    <n v="106581"/>
  </r>
  <r>
    <x v="20"/>
    <x v="7"/>
    <n v="106604"/>
  </r>
  <r>
    <x v="52"/>
    <x v="2"/>
    <n v="106622"/>
  </r>
  <r>
    <x v="19"/>
    <x v="27"/>
    <n v="106954"/>
  </r>
  <r>
    <x v="52"/>
    <x v="6"/>
    <n v="107147"/>
  </r>
  <r>
    <x v="40"/>
    <x v="21"/>
    <n v="107229"/>
  </r>
  <r>
    <x v="34"/>
    <x v="16"/>
    <n v="107344"/>
  </r>
  <r>
    <x v="16"/>
    <x v="19"/>
    <n v="107367"/>
  </r>
  <r>
    <x v="34"/>
    <x v="15"/>
    <n v="107427"/>
  </r>
  <r>
    <x v="33"/>
    <x v="20"/>
    <n v="107436"/>
  </r>
  <r>
    <x v="21"/>
    <x v="13"/>
    <n v="107475"/>
  </r>
  <r>
    <x v="0"/>
    <x v="27"/>
    <n v="107566"/>
  </r>
  <r>
    <x v="41"/>
    <x v="13"/>
    <n v="107741"/>
  </r>
  <r>
    <x v="38"/>
    <x v="7"/>
    <n v="107745"/>
  </r>
  <r>
    <x v="5"/>
    <x v="11"/>
    <n v="107856"/>
  </r>
  <r>
    <x v="0"/>
    <x v="22"/>
    <n v="108086"/>
  </r>
  <r>
    <x v="15"/>
    <x v="28"/>
    <n v="108092"/>
  </r>
  <r>
    <x v="25"/>
    <x v="23"/>
    <n v="108209"/>
  </r>
  <r>
    <x v="14"/>
    <x v="21"/>
    <n v="108369"/>
  </r>
  <r>
    <x v="18"/>
    <x v="12"/>
    <n v="108399"/>
  </r>
  <r>
    <x v="3"/>
    <x v="23"/>
    <n v="108494"/>
  </r>
  <r>
    <x v="11"/>
    <x v="22"/>
    <n v="108593"/>
  </r>
  <r>
    <x v="0"/>
    <x v="12"/>
    <n v="108884"/>
  </r>
  <r>
    <x v="48"/>
    <x v="15"/>
    <n v="109006"/>
  </r>
  <r>
    <x v="4"/>
    <x v="25"/>
    <n v="109184"/>
  </r>
  <r>
    <x v="18"/>
    <x v="17"/>
    <n v="109209"/>
  </r>
  <r>
    <x v="25"/>
    <x v="0"/>
    <n v="109244"/>
  </r>
  <r>
    <x v="41"/>
    <x v="11"/>
    <n v="109245"/>
  </r>
  <r>
    <x v="40"/>
    <x v="1"/>
    <n v="109320"/>
  </r>
  <r>
    <x v="38"/>
    <x v="5"/>
    <n v="109363"/>
  </r>
  <r>
    <x v="16"/>
    <x v="11"/>
    <n v="109531"/>
  </r>
  <r>
    <x v="18"/>
    <x v="3"/>
    <n v="109576"/>
  </r>
  <r>
    <x v="31"/>
    <x v="0"/>
    <n v="109605"/>
  </r>
  <r>
    <x v="29"/>
    <x v="5"/>
    <n v="109654"/>
  </r>
  <r>
    <x v="35"/>
    <x v="13"/>
    <n v="109702"/>
  </r>
  <r>
    <x v="31"/>
    <x v="14"/>
    <n v="109808"/>
  </r>
  <r>
    <x v="5"/>
    <x v="2"/>
    <n v="110042"/>
  </r>
  <r>
    <x v="34"/>
    <x v="7"/>
    <n v="110059"/>
  </r>
  <r>
    <x v="0"/>
    <x v="6"/>
    <n v="110478"/>
  </r>
  <r>
    <x v="19"/>
    <x v="26"/>
    <n v="110481"/>
  </r>
  <r>
    <x v="17"/>
    <x v="0"/>
    <n v="110513"/>
  </r>
  <r>
    <x v="41"/>
    <x v="22"/>
    <n v="110636"/>
  </r>
  <r>
    <x v="6"/>
    <x v="4"/>
    <n v="110691"/>
  </r>
  <r>
    <x v="34"/>
    <x v="28"/>
    <n v="110699"/>
  </r>
  <r>
    <x v="4"/>
    <x v="19"/>
    <n v="110731"/>
  </r>
  <r>
    <x v="1"/>
    <x v="20"/>
    <n v="110821"/>
  </r>
  <r>
    <x v="39"/>
    <x v="17"/>
    <n v="110898"/>
  </r>
  <r>
    <x v="51"/>
    <x v="9"/>
    <n v="110931"/>
  </r>
  <r>
    <x v="42"/>
    <x v="28"/>
    <n v="111028"/>
  </r>
  <r>
    <x v="54"/>
    <x v="5"/>
    <n v="111417"/>
  </r>
  <r>
    <x v="27"/>
    <x v="26"/>
    <n v="111453"/>
  </r>
  <r>
    <x v="19"/>
    <x v="2"/>
    <n v="111581"/>
  </r>
  <r>
    <x v="45"/>
    <x v="19"/>
    <n v="111841"/>
  </r>
  <r>
    <x v="28"/>
    <x v="11"/>
    <n v="111859"/>
  </r>
  <r>
    <x v="41"/>
    <x v="7"/>
    <n v="111917"/>
  </r>
  <r>
    <x v="53"/>
    <x v="21"/>
    <n v="112032"/>
  </r>
  <r>
    <x v="47"/>
    <x v="0"/>
    <n v="112138"/>
  </r>
  <r>
    <x v="12"/>
    <x v="2"/>
    <n v="112209"/>
  </r>
  <r>
    <x v="2"/>
    <x v="29"/>
    <n v="112225"/>
  </r>
  <r>
    <x v="50"/>
    <x v="14"/>
    <n v="112285"/>
  </r>
  <r>
    <x v="24"/>
    <x v="0"/>
    <n v="112355"/>
  </r>
  <r>
    <x v="7"/>
    <x v="10"/>
    <n v="112438"/>
  </r>
  <r>
    <x v="19"/>
    <x v="23"/>
    <n v="112460"/>
  </r>
  <r>
    <x v="54"/>
    <x v="18"/>
    <n v="112526"/>
  </r>
  <r>
    <x v="18"/>
    <x v="22"/>
    <n v="112647"/>
  </r>
  <r>
    <x v="6"/>
    <x v="15"/>
    <n v="112907"/>
  </r>
  <r>
    <x v="34"/>
    <x v="3"/>
    <n v="112983"/>
  </r>
  <r>
    <x v="3"/>
    <x v="2"/>
    <n v="113163"/>
  </r>
  <r>
    <x v="32"/>
    <x v="8"/>
    <n v="113261"/>
  </r>
  <r>
    <x v="31"/>
    <x v="22"/>
    <n v="113377"/>
  </r>
  <r>
    <x v="23"/>
    <x v="7"/>
    <n v="113573"/>
  </r>
  <r>
    <x v="38"/>
    <x v="20"/>
    <n v="113616"/>
  </r>
  <r>
    <x v="26"/>
    <x v="2"/>
    <n v="113778"/>
  </r>
  <r>
    <x v="48"/>
    <x v="24"/>
    <n v="113893"/>
  </r>
  <r>
    <x v="29"/>
    <x v="0"/>
    <n v="114007"/>
  </r>
  <r>
    <x v="17"/>
    <x v="4"/>
    <n v="114014"/>
  </r>
  <r>
    <x v="40"/>
    <x v="16"/>
    <n v="114127"/>
  </r>
  <r>
    <x v="4"/>
    <x v="18"/>
    <n v="114221"/>
  </r>
  <r>
    <x v="30"/>
    <x v="28"/>
    <n v="114465"/>
  </r>
  <r>
    <x v="9"/>
    <x v="20"/>
    <n v="114485"/>
  </r>
  <r>
    <x v="46"/>
    <x v="12"/>
    <n v="114542"/>
  </r>
  <r>
    <x v="37"/>
    <x v="25"/>
    <n v="114720"/>
  </r>
  <r>
    <x v="52"/>
    <x v="23"/>
    <n v="114729"/>
  </r>
  <r>
    <x v="22"/>
    <x v="13"/>
    <n v="114875"/>
  </r>
  <r>
    <x v="30"/>
    <x v="26"/>
    <n v="114927"/>
  </r>
  <r>
    <x v="24"/>
    <x v="20"/>
    <n v="114977"/>
  </r>
  <r>
    <x v="22"/>
    <x v="11"/>
    <n v="114992"/>
  </r>
  <r>
    <x v="6"/>
    <x v="12"/>
    <n v="115071"/>
  </r>
  <r>
    <x v="14"/>
    <x v="5"/>
    <n v="115296"/>
  </r>
  <r>
    <x v="19"/>
    <x v="10"/>
    <n v="115312"/>
  </r>
  <r>
    <x v="55"/>
    <x v="13"/>
    <n v="115356"/>
  </r>
  <r>
    <x v="28"/>
    <x v="18"/>
    <n v="115382"/>
  </r>
  <r>
    <x v="34"/>
    <x v="29"/>
    <n v="115398"/>
  </r>
  <r>
    <x v="53"/>
    <x v="24"/>
    <n v="115458"/>
  </r>
  <r>
    <x v="5"/>
    <x v="24"/>
    <n v="115514"/>
  </r>
  <r>
    <x v="43"/>
    <x v="16"/>
    <n v="115746"/>
  </r>
  <r>
    <x v="11"/>
    <x v="19"/>
    <n v="115755"/>
  </r>
  <r>
    <x v="10"/>
    <x v="2"/>
    <n v="115783"/>
  </r>
  <r>
    <x v="43"/>
    <x v="11"/>
    <n v="115816"/>
  </r>
  <r>
    <x v="35"/>
    <x v="23"/>
    <n v="115899"/>
  </r>
  <r>
    <x v="10"/>
    <x v="16"/>
    <n v="116231"/>
  </r>
  <r>
    <x v="6"/>
    <x v="8"/>
    <n v="116301"/>
  </r>
  <r>
    <x v="30"/>
    <x v="20"/>
    <n v="116375"/>
  </r>
  <r>
    <x v="21"/>
    <x v="6"/>
    <n v="116379"/>
  </r>
  <r>
    <x v="45"/>
    <x v="16"/>
    <n v="116471"/>
  </r>
  <r>
    <x v="40"/>
    <x v="23"/>
    <n v="116524"/>
  </r>
  <r>
    <x v="15"/>
    <x v="7"/>
    <n v="116590"/>
  </r>
  <r>
    <x v="44"/>
    <x v="11"/>
    <n v="116702"/>
  </r>
  <r>
    <x v="53"/>
    <x v="23"/>
    <n v="116704"/>
  </r>
  <r>
    <x v="13"/>
    <x v="12"/>
    <n v="116726"/>
  </r>
  <r>
    <x v="2"/>
    <x v="22"/>
    <n v="116737"/>
  </r>
  <r>
    <x v="23"/>
    <x v="11"/>
    <n v="116822"/>
  </r>
  <r>
    <x v="54"/>
    <x v="22"/>
    <n v="117071"/>
  </r>
  <r>
    <x v="55"/>
    <x v="25"/>
    <n v="117173"/>
  </r>
  <r>
    <x v="6"/>
    <x v="29"/>
    <n v="117204"/>
  </r>
  <r>
    <x v="2"/>
    <x v="20"/>
    <n v="117314"/>
  </r>
  <r>
    <x v="16"/>
    <x v="13"/>
    <n v="117461"/>
  </r>
  <r>
    <x v="53"/>
    <x v="11"/>
    <n v="117495"/>
  </r>
  <r>
    <x v="20"/>
    <x v="2"/>
    <n v="117601"/>
  </r>
  <r>
    <x v="42"/>
    <x v="1"/>
    <n v="117915"/>
  </r>
  <r>
    <x v="43"/>
    <x v="24"/>
    <n v="117931"/>
  </r>
  <r>
    <x v="10"/>
    <x v="21"/>
    <n v="117934"/>
  </r>
  <r>
    <x v="47"/>
    <x v="1"/>
    <n v="117959"/>
  </r>
  <r>
    <x v="46"/>
    <x v="16"/>
    <n v="117968"/>
  </r>
  <r>
    <x v="29"/>
    <x v="1"/>
    <n v="118033"/>
  </r>
  <r>
    <x v="54"/>
    <x v="3"/>
    <n v="118500"/>
  </r>
  <r>
    <x v="52"/>
    <x v="18"/>
    <n v="118642"/>
  </r>
  <r>
    <x v="3"/>
    <x v="29"/>
    <n v="118775"/>
  </r>
  <r>
    <x v="39"/>
    <x v="20"/>
    <n v="119198"/>
  </r>
  <r>
    <x v="40"/>
    <x v="18"/>
    <n v="119205"/>
  </r>
  <r>
    <x v="40"/>
    <x v="22"/>
    <n v="119280"/>
  </r>
  <r>
    <x v="32"/>
    <x v="26"/>
    <n v="119400"/>
  </r>
  <r>
    <x v="11"/>
    <x v="8"/>
    <n v="119569"/>
  </r>
  <r>
    <x v="37"/>
    <x v="10"/>
    <n v="119810"/>
  </r>
  <r>
    <x v="3"/>
    <x v="17"/>
    <n v="120024"/>
  </r>
  <r>
    <x v="20"/>
    <x v="22"/>
    <n v="120120"/>
  </r>
  <r>
    <x v="47"/>
    <x v="6"/>
    <n v="120225"/>
  </r>
  <r>
    <x v="51"/>
    <x v="21"/>
    <n v="120280"/>
  </r>
  <r>
    <x v="48"/>
    <x v="2"/>
    <n v="120420"/>
  </r>
  <r>
    <x v="24"/>
    <x v="17"/>
    <n v="120436"/>
  </r>
  <r>
    <x v="23"/>
    <x v="15"/>
    <n v="120804"/>
  </r>
  <r>
    <x v="31"/>
    <x v="20"/>
    <n v="120860"/>
  </r>
  <r>
    <x v="6"/>
    <x v="5"/>
    <n v="121010"/>
  </r>
  <r>
    <x v="16"/>
    <x v="1"/>
    <n v="121318"/>
  </r>
  <r>
    <x v="43"/>
    <x v="28"/>
    <n v="121323"/>
  </r>
  <r>
    <x v="0"/>
    <x v="19"/>
    <n v="121381"/>
  </r>
  <r>
    <x v="41"/>
    <x v="5"/>
    <n v="121453"/>
  </r>
  <r>
    <x v="50"/>
    <x v="1"/>
    <n v="121543"/>
  </r>
  <r>
    <x v="12"/>
    <x v="26"/>
    <n v="121583"/>
  </r>
  <r>
    <x v="39"/>
    <x v="9"/>
    <n v="121848"/>
  </r>
  <r>
    <x v="25"/>
    <x v="22"/>
    <n v="121918"/>
  </r>
  <r>
    <x v="7"/>
    <x v="23"/>
    <n v="121980"/>
  </r>
  <r>
    <x v="13"/>
    <x v="6"/>
    <n v="122020"/>
  </r>
  <r>
    <x v="24"/>
    <x v="26"/>
    <n v="122033"/>
  </r>
  <r>
    <x v="31"/>
    <x v="6"/>
    <n v="122156"/>
  </r>
  <r>
    <x v="36"/>
    <x v="17"/>
    <n v="122362"/>
  </r>
  <r>
    <x v="54"/>
    <x v="14"/>
    <n v="122374"/>
  </r>
  <r>
    <x v="14"/>
    <x v="8"/>
    <n v="122472"/>
  </r>
  <r>
    <x v="54"/>
    <x v="13"/>
    <n v="122571"/>
  </r>
  <r>
    <x v="6"/>
    <x v="21"/>
    <n v="122626"/>
  </r>
  <r>
    <x v="6"/>
    <x v="17"/>
    <n v="122642"/>
  </r>
  <r>
    <x v="44"/>
    <x v="4"/>
    <n v="122692"/>
  </r>
  <r>
    <x v="39"/>
    <x v="12"/>
    <n v="122749"/>
  </r>
  <r>
    <x v="5"/>
    <x v="4"/>
    <n v="123043"/>
  </r>
  <r>
    <x v="6"/>
    <x v="11"/>
    <n v="123145"/>
  </r>
  <r>
    <x v="54"/>
    <x v="1"/>
    <n v="123184"/>
  </r>
  <r>
    <x v="1"/>
    <x v="26"/>
    <n v="123290"/>
  </r>
  <r>
    <x v="23"/>
    <x v="16"/>
    <n v="123432"/>
  </r>
  <r>
    <x v="9"/>
    <x v="26"/>
    <n v="123477"/>
  </r>
  <r>
    <x v="34"/>
    <x v="9"/>
    <n v="123482"/>
  </r>
  <r>
    <x v="13"/>
    <x v="8"/>
    <n v="123689"/>
  </r>
  <r>
    <x v="48"/>
    <x v="9"/>
    <n v="123972"/>
  </r>
  <r>
    <x v="1"/>
    <x v="14"/>
    <n v="124062"/>
  </r>
  <r>
    <x v="17"/>
    <x v="29"/>
    <n v="124120"/>
  </r>
  <r>
    <x v="54"/>
    <x v="10"/>
    <n v="124148"/>
  </r>
  <r>
    <x v="32"/>
    <x v="22"/>
    <n v="124184"/>
  </r>
  <r>
    <x v="7"/>
    <x v="15"/>
    <n v="124484"/>
  </r>
  <r>
    <x v="31"/>
    <x v="18"/>
    <n v="124589"/>
  </r>
  <r>
    <x v="15"/>
    <x v="4"/>
    <n v="124695"/>
  </r>
  <r>
    <x v="21"/>
    <x v="11"/>
    <n v="124801"/>
  </r>
  <r>
    <x v="38"/>
    <x v="16"/>
    <n v="124808"/>
  </r>
  <r>
    <x v="16"/>
    <x v="20"/>
    <n v="124817"/>
  </r>
  <r>
    <x v="36"/>
    <x v="22"/>
    <n v="124907"/>
  </r>
  <r>
    <x v="23"/>
    <x v="1"/>
    <n v="125314"/>
  </r>
  <r>
    <x v="19"/>
    <x v="28"/>
    <n v="125326"/>
  </r>
  <r>
    <x v="0"/>
    <x v="11"/>
    <n v="125347"/>
  </r>
  <r>
    <x v="49"/>
    <x v="4"/>
    <n v="125366"/>
  </r>
  <r>
    <x v="19"/>
    <x v="12"/>
    <n v="125445"/>
  </r>
  <r>
    <x v="44"/>
    <x v="14"/>
    <n v="125524"/>
  </r>
  <r>
    <x v="36"/>
    <x v="11"/>
    <n v="125590"/>
  </r>
  <r>
    <x v="36"/>
    <x v="1"/>
    <n v="125752"/>
  </r>
  <r>
    <x v="50"/>
    <x v="3"/>
    <n v="125756"/>
  </r>
  <r>
    <x v="2"/>
    <x v="27"/>
    <n v="125912"/>
  </r>
  <r>
    <x v="34"/>
    <x v="4"/>
    <n v="125924"/>
  </r>
  <r>
    <x v="24"/>
    <x v="29"/>
    <n v="125943"/>
  </r>
  <r>
    <x v="22"/>
    <x v="2"/>
    <n v="125971"/>
  </r>
  <r>
    <x v="43"/>
    <x v="0"/>
    <n v="126003"/>
  </r>
  <r>
    <x v="34"/>
    <x v="6"/>
    <n v="126011"/>
  </r>
  <r>
    <x v="13"/>
    <x v="15"/>
    <n v="126155"/>
  </r>
  <r>
    <x v="40"/>
    <x v="5"/>
    <n v="126561"/>
  </r>
  <r>
    <x v="30"/>
    <x v="8"/>
    <n v="126852"/>
  </r>
  <r>
    <x v="53"/>
    <x v="2"/>
    <n v="126878"/>
  </r>
  <r>
    <x v="46"/>
    <x v="7"/>
    <n v="127004"/>
  </r>
  <r>
    <x v="11"/>
    <x v="21"/>
    <n v="127136"/>
  </r>
  <r>
    <x v="44"/>
    <x v="13"/>
    <n v="127194"/>
  </r>
  <r>
    <x v="9"/>
    <x v="8"/>
    <n v="127282"/>
  </r>
  <r>
    <x v="13"/>
    <x v="29"/>
    <n v="127340"/>
  </r>
  <r>
    <x v="17"/>
    <x v="5"/>
    <n v="127404"/>
  </r>
  <r>
    <x v="26"/>
    <x v="1"/>
    <n v="127523"/>
  </r>
  <r>
    <x v="20"/>
    <x v="18"/>
    <n v="127736"/>
  </r>
  <r>
    <x v="26"/>
    <x v="5"/>
    <n v="127788"/>
  </r>
  <r>
    <x v="0"/>
    <x v="28"/>
    <n v="127796"/>
  </r>
  <r>
    <x v="50"/>
    <x v="28"/>
    <n v="128019"/>
  </r>
  <r>
    <x v="15"/>
    <x v="18"/>
    <n v="128265"/>
  </r>
  <r>
    <x v="8"/>
    <x v="22"/>
    <n v="128282"/>
  </r>
  <r>
    <x v="43"/>
    <x v="3"/>
    <n v="128684"/>
  </r>
  <r>
    <x v="25"/>
    <x v="9"/>
    <n v="128692"/>
  </r>
  <r>
    <x v="27"/>
    <x v="9"/>
    <n v="128964"/>
  </r>
  <r>
    <x v="4"/>
    <x v="6"/>
    <n v="129060"/>
  </r>
  <r>
    <x v="28"/>
    <x v="19"/>
    <n v="129254"/>
  </r>
  <r>
    <x v="37"/>
    <x v="16"/>
    <n v="129310"/>
  </r>
  <r>
    <x v="23"/>
    <x v="25"/>
    <n v="129345"/>
  </r>
  <r>
    <x v="35"/>
    <x v="29"/>
    <n v="129377"/>
  </r>
  <r>
    <x v="17"/>
    <x v="19"/>
    <n v="129438"/>
  </r>
  <r>
    <x v="13"/>
    <x v="5"/>
    <n v="129473"/>
  </r>
  <r>
    <x v="8"/>
    <x v="14"/>
    <n v="129630"/>
  </r>
  <r>
    <x v="26"/>
    <x v="3"/>
    <n v="129671"/>
  </r>
  <r>
    <x v="25"/>
    <x v="28"/>
    <n v="129711"/>
  </r>
  <r>
    <x v="45"/>
    <x v="15"/>
    <n v="130166"/>
  </r>
  <r>
    <x v="26"/>
    <x v="29"/>
    <n v="130174"/>
  </r>
  <r>
    <x v="27"/>
    <x v="29"/>
    <n v="130233"/>
  </r>
  <r>
    <x v="49"/>
    <x v="26"/>
    <n v="130239"/>
  </r>
  <r>
    <x v="32"/>
    <x v="7"/>
    <n v="130255"/>
  </r>
  <r>
    <x v="46"/>
    <x v="9"/>
    <n v="130263"/>
  </r>
  <r>
    <x v="29"/>
    <x v="17"/>
    <n v="130480"/>
  </r>
  <r>
    <x v="53"/>
    <x v="28"/>
    <n v="130526"/>
  </r>
  <r>
    <x v="46"/>
    <x v="22"/>
    <n v="130553"/>
  </r>
  <r>
    <x v="13"/>
    <x v="25"/>
    <n v="130682"/>
  </r>
  <r>
    <x v="0"/>
    <x v="8"/>
    <n v="130721"/>
  </r>
  <r>
    <x v="24"/>
    <x v="25"/>
    <n v="130824"/>
  </r>
  <r>
    <x v="33"/>
    <x v="21"/>
    <n v="130851"/>
  </r>
  <r>
    <x v="42"/>
    <x v="29"/>
    <n v="130853"/>
  </r>
  <r>
    <x v="25"/>
    <x v="3"/>
    <n v="130913"/>
  </r>
  <r>
    <x v="50"/>
    <x v="22"/>
    <n v="130961"/>
  </r>
  <r>
    <x v="18"/>
    <x v="10"/>
    <n v="131168"/>
  </r>
  <r>
    <x v="45"/>
    <x v="21"/>
    <n v="131196"/>
  </r>
  <r>
    <x v="31"/>
    <x v="28"/>
    <n v="131384"/>
  </r>
  <r>
    <x v="30"/>
    <x v="29"/>
    <n v="131523"/>
  </r>
  <r>
    <x v="39"/>
    <x v="26"/>
    <n v="131543"/>
  </r>
  <r>
    <x v="19"/>
    <x v="15"/>
    <n v="131645"/>
  </r>
  <r>
    <x v="23"/>
    <x v="27"/>
    <n v="131722"/>
  </r>
  <r>
    <x v="31"/>
    <x v="4"/>
    <n v="131842"/>
  </r>
  <r>
    <x v="44"/>
    <x v="6"/>
    <n v="131853"/>
  </r>
  <r>
    <x v="14"/>
    <x v="28"/>
    <n v="131933"/>
  </r>
  <r>
    <x v="17"/>
    <x v="26"/>
    <n v="131957"/>
  </r>
  <r>
    <x v="16"/>
    <x v="24"/>
    <n v="131965"/>
  </r>
  <r>
    <x v="33"/>
    <x v="7"/>
    <n v="132012"/>
  </r>
  <r>
    <x v="26"/>
    <x v="18"/>
    <n v="132253"/>
  </r>
  <r>
    <x v="38"/>
    <x v="3"/>
    <n v="132343"/>
  </r>
  <r>
    <x v="19"/>
    <x v="3"/>
    <n v="132425"/>
  </r>
  <r>
    <x v="1"/>
    <x v="19"/>
    <n v="132658"/>
  </r>
  <r>
    <x v="31"/>
    <x v="21"/>
    <n v="132734"/>
  </r>
  <r>
    <x v="21"/>
    <x v="10"/>
    <n v="132863"/>
  </r>
  <r>
    <x v="31"/>
    <x v="15"/>
    <n v="132913"/>
  </r>
  <r>
    <x v="38"/>
    <x v="0"/>
    <n v="133077"/>
  </r>
  <r>
    <x v="10"/>
    <x v="13"/>
    <n v="133121"/>
  </r>
  <r>
    <x v="39"/>
    <x v="25"/>
    <n v="133259"/>
  </r>
  <r>
    <x v="24"/>
    <x v="18"/>
    <n v="133531"/>
  </r>
  <r>
    <x v="7"/>
    <x v="20"/>
    <n v="133533"/>
  </r>
  <r>
    <x v="38"/>
    <x v="4"/>
    <n v="133580"/>
  </r>
  <r>
    <x v="25"/>
    <x v="12"/>
    <n v="133611"/>
  </r>
  <r>
    <x v="19"/>
    <x v="0"/>
    <n v="133680"/>
  </r>
  <r>
    <x v="49"/>
    <x v="9"/>
    <n v="133720"/>
  </r>
  <r>
    <x v="53"/>
    <x v="25"/>
    <n v="133860"/>
  </r>
  <r>
    <x v="2"/>
    <x v="26"/>
    <n v="133865"/>
  </r>
  <r>
    <x v="8"/>
    <x v="20"/>
    <n v="133928"/>
  </r>
  <r>
    <x v="33"/>
    <x v="4"/>
    <n v="134020"/>
  </r>
  <r>
    <x v="26"/>
    <x v="25"/>
    <n v="134104"/>
  </r>
  <r>
    <x v="24"/>
    <x v="2"/>
    <n v="134112"/>
  </r>
  <r>
    <x v="46"/>
    <x v="14"/>
    <n v="134211"/>
  </r>
  <r>
    <x v="25"/>
    <x v="6"/>
    <n v="134274"/>
  </r>
  <r>
    <x v="8"/>
    <x v="25"/>
    <n v="134396"/>
  </r>
  <r>
    <x v="51"/>
    <x v="25"/>
    <n v="134411"/>
  </r>
  <r>
    <x v="55"/>
    <x v="23"/>
    <n v="134411"/>
  </r>
  <r>
    <x v="22"/>
    <x v="16"/>
    <n v="134506"/>
  </r>
  <r>
    <x v="8"/>
    <x v="15"/>
    <n v="134519"/>
  </r>
  <r>
    <x v="43"/>
    <x v="20"/>
    <n v="134842"/>
  </r>
  <r>
    <x v="34"/>
    <x v="0"/>
    <n v="134886"/>
  </r>
  <r>
    <x v="11"/>
    <x v="29"/>
    <n v="134892"/>
  </r>
  <r>
    <x v="21"/>
    <x v="22"/>
    <n v="134911"/>
  </r>
  <r>
    <x v="23"/>
    <x v="19"/>
    <n v="134963"/>
  </r>
  <r>
    <x v="52"/>
    <x v="24"/>
    <n v="135036"/>
  </r>
  <r>
    <x v="0"/>
    <x v="15"/>
    <n v="135059"/>
  </r>
  <r>
    <x v="19"/>
    <x v="6"/>
    <n v="135146"/>
  </r>
  <r>
    <x v="48"/>
    <x v="11"/>
    <n v="135205"/>
  </r>
  <r>
    <x v="21"/>
    <x v="19"/>
    <n v="135246"/>
  </r>
  <r>
    <x v="38"/>
    <x v="13"/>
    <n v="135258"/>
  </r>
  <r>
    <x v="49"/>
    <x v="14"/>
    <n v="135628"/>
  </r>
  <r>
    <x v="36"/>
    <x v="7"/>
    <n v="135701"/>
  </r>
  <r>
    <x v="53"/>
    <x v="22"/>
    <n v="135707"/>
  </r>
  <r>
    <x v="42"/>
    <x v="9"/>
    <n v="135736"/>
  </r>
  <r>
    <x v="38"/>
    <x v="18"/>
    <n v="135815"/>
  </r>
  <r>
    <x v="30"/>
    <x v="21"/>
    <n v="135851"/>
  </r>
  <r>
    <x v="49"/>
    <x v="28"/>
    <n v="136010"/>
  </r>
  <r>
    <x v="45"/>
    <x v="29"/>
    <n v="136112"/>
  </r>
  <r>
    <x v="9"/>
    <x v="16"/>
    <n v="136155"/>
  </r>
  <r>
    <x v="47"/>
    <x v="8"/>
    <n v="136193"/>
  </r>
  <r>
    <x v="10"/>
    <x v="25"/>
    <n v="136277"/>
  </r>
  <r>
    <x v="44"/>
    <x v="10"/>
    <n v="136326"/>
  </r>
  <r>
    <x v="17"/>
    <x v="3"/>
    <n v="136383"/>
  </r>
  <r>
    <x v="0"/>
    <x v="17"/>
    <n v="136579"/>
  </r>
  <r>
    <x v="30"/>
    <x v="5"/>
    <n v="136615"/>
  </r>
  <r>
    <x v="30"/>
    <x v="14"/>
    <n v="136790"/>
  </r>
  <r>
    <x v="55"/>
    <x v="4"/>
    <n v="136897"/>
  </r>
  <r>
    <x v="17"/>
    <x v="23"/>
    <n v="136939"/>
  </r>
  <r>
    <x v="16"/>
    <x v="29"/>
    <n v="137090"/>
  </r>
  <r>
    <x v="48"/>
    <x v="18"/>
    <n v="137378"/>
  </r>
  <r>
    <x v="49"/>
    <x v="23"/>
    <n v="137397"/>
  </r>
  <r>
    <x v="30"/>
    <x v="23"/>
    <n v="137425"/>
  </r>
  <r>
    <x v="12"/>
    <x v="20"/>
    <n v="137494"/>
  </r>
  <r>
    <x v="50"/>
    <x v="15"/>
    <n v="138041"/>
  </r>
  <r>
    <x v="25"/>
    <x v="1"/>
    <n v="138493"/>
  </r>
  <r>
    <x v="48"/>
    <x v="23"/>
    <n v="138500"/>
  </r>
  <r>
    <x v="47"/>
    <x v="12"/>
    <n v="138541"/>
  </r>
  <r>
    <x v="7"/>
    <x v="13"/>
    <n v="138581"/>
  </r>
  <r>
    <x v="30"/>
    <x v="17"/>
    <n v="138627"/>
  </r>
  <r>
    <x v="32"/>
    <x v="0"/>
    <n v="138737"/>
  </r>
  <r>
    <x v="52"/>
    <x v="16"/>
    <n v="138767"/>
  </r>
  <r>
    <x v="31"/>
    <x v="2"/>
    <n v="138849"/>
  </r>
  <r>
    <x v="44"/>
    <x v="26"/>
    <n v="138976"/>
  </r>
  <r>
    <x v="3"/>
    <x v="9"/>
    <n v="139149"/>
  </r>
  <r>
    <x v="16"/>
    <x v="5"/>
    <n v="139503"/>
  </r>
  <r>
    <x v="17"/>
    <x v="27"/>
    <n v="139506"/>
  </r>
  <r>
    <x v="46"/>
    <x v="5"/>
    <n v="139779"/>
  </r>
  <r>
    <x v="53"/>
    <x v="10"/>
    <n v="139815"/>
  </r>
  <r>
    <x v="19"/>
    <x v="29"/>
    <n v="139824"/>
  </r>
  <r>
    <x v="42"/>
    <x v="15"/>
    <n v="139966"/>
  </r>
  <r>
    <x v="31"/>
    <x v="3"/>
    <n v="140403"/>
  </r>
  <r>
    <x v="3"/>
    <x v="5"/>
    <n v="140465"/>
  </r>
  <r>
    <x v="45"/>
    <x v="8"/>
    <n v="140820"/>
  </r>
  <r>
    <x v="5"/>
    <x v="0"/>
    <n v="140868"/>
  </r>
  <r>
    <x v="34"/>
    <x v="2"/>
    <n v="141077"/>
  </r>
  <r>
    <x v="49"/>
    <x v="1"/>
    <n v="141301"/>
  </r>
  <r>
    <x v="38"/>
    <x v="22"/>
    <n v="141465"/>
  </r>
  <r>
    <x v="39"/>
    <x v="10"/>
    <n v="141535"/>
  </r>
  <r>
    <x v="40"/>
    <x v="12"/>
    <n v="141548"/>
  </r>
  <r>
    <x v="33"/>
    <x v="15"/>
    <n v="141730"/>
  </r>
  <r>
    <x v="44"/>
    <x v="2"/>
    <n v="141840"/>
  </r>
  <r>
    <x v="12"/>
    <x v="22"/>
    <n v="141869"/>
  </r>
  <r>
    <x v="46"/>
    <x v="28"/>
    <n v="142027"/>
  </r>
  <r>
    <x v="46"/>
    <x v="1"/>
    <n v="142121"/>
  </r>
  <r>
    <x v="4"/>
    <x v="8"/>
    <n v="142158"/>
  </r>
  <r>
    <x v="28"/>
    <x v="2"/>
    <n v="142338"/>
  </r>
  <r>
    <x v="9"/>
    <x v="21"/>
    <n v="142376"/>
  </r>
  <r>
    <x v="55"/>
    <x v="9"/>
    <n v="142603"/>
  </r>
  <r>
    <x v="46"/>
    <x v="15"/>
    <n v="142851"/>
  </r>
  <r>
    <x v="19"/>
    <x v="13"/>
    <n v="142854"/>
  </r>
  <r>
    <x v="25"/>
    <x v="20"/>
    <n v="142895"/>
  </r>
  <r>
    <x v="7"/>
    <x v="22"/>
    <n v="143244"/>
  </r>
  <r>
    <x v="31"/>
    <x v="10"/>
    <n v="143314"/>
  </r>
  <r>
    <x v="24"/>
    <x v="28"/>
    <n v="143335"/>
  </r>
  <r>
    <x v="49"/>
    <x v="13"/>
    <n v="143515"/>
  </r>
  <r>
    <x v="46"/>
    <x v="17"/>
    <n v="143580"/>
  </r>
  <r>
    <x v="30"/>
    <x v="10"/>
    <n v="143636"/>
  </r>
  <r>
    <x v="19"/>
    <x v="25"/>
    <n v="143646"/>
  </r>
  <r>
    <x v="14"/>
    <x v="1"/>
    <n v="143651"/>
  </r>
  <r>
    <x v="4"/>
    <x v="23"/>
    <n v="143801"/>
  </r>
  <r>
    <x v="28"/>
    <x v="14"/>
    <n v="143823"/>
  </r>
  <r>
    <x v="38"/>
    <x v="27"/>
    <n v="143958"/>
  </r>
  <r>
    <x v="23"/>
    <x v="28"/>
    <n v="144051"/>
  </r>
  <r>
    <x v="41"/>
    <x v="4"/>
    <n v="144165"/>
  </r>
  <r>
    <x v="34"/>
    <x v="12"/>
    <n v="144204"/>
  </r>
  <r>
    <x v="39"/>
    <x v="0"/>
    <n v="144439"/>
  </r>
  <r>
    <x v="21"/>
    <x v="21"/>
    <n v="144568"/>
  </r>
  <r>
    <x v="45"/>
    <x v="26"/>
    <n v="144721"/>
  </r>
  <r>
    <x v="4"/>
    <x v="12"/>
    <n v="144887"/>
  </r>
  <r>
    <x v="52"/>
    <x v="10"/>
    <n v="145091"/>
  </r>
  <r>
    <x v="34"/>
    <x v="13"/>
    <n v="145178"/>
  </r>
  <r>
    <x v="35"/>
    <x v="8"/>
    <n v="145377"/>
  </r>
  <r>
    <x v="52"/>
    <x v="15"/>
    <n v="145428"/>
  </r>
  <r>
    <x v="37"/>
    <x v="3"/>
    <n v="145489"/>
  </r>
  <r>
    <x v="34"/>
    <x v="25"/>
    <n v="145490"/>
  </r>
  <r>
    <x v="39"/>
    <x v="16"/>
    <n v="145572"/>
  </r>
  <r>
    <x v="29"/>
    <x v="4"/>
    <n v="145604"/>
  </r>
  <r>
    <x v="32"/>
    <x v="27"/>
    <n v="145614"/>
  </r>
  <r>
    <x v="7"/>
    <x v="12"/>
    <n v="145686"/>
  </r>
  <r>
    <x v="33"/>
    <x v="29"/>
    <n v="145912"/>
  </r>
  <r>
    <x v="20"/>
    <x v="5"/>
    <n v="145978"/>
  </r>
  <r>
    <x v="9"/>
    <x v="5"/>
    <n v="146048"/>
  </r>
  <r>
    <x v="35"/>
    <x v="11"/>
    <n v="146115"/>
  </r>
  <r>
    <x v="45"/>
    <x v="6"/>
    <n v="146139"/>
  </r>
  <r>
    <x v="37"/>
    <x v="20"/>
    <n v="146209"/>
  </r>
  <r>
    <x v="52"/>
    <x v="27"/>
    <n v="146225"/>
  </r>
  <r>
    <x v="42"/>
    <x v="18"/>
    <n v="146340"/>
  </r>
  <r>
    <x v="9"/>
    <x v="15"/>
    <n v="146363"/>
  </r>
  <r>
    <x v="47"/>
    <x v="27"/>
    <n v="146439"/>
  </r>
  <r>
    <x v="29"/>
    <x v="19"/>
    <n v="146579"/>
  </r>
  <r>
    <x v="25"/>
    <x v="15"/>
    <n v="146599"/>
  </r>
  <r>
    <x v="5"/>
    <x v="12"/>
    <n v="146677"/>
  </r>
  <r>
    <x v="17"/>
    <x v="14"/>
    <n v="146857"/>
  </r>
  <r>
    <x v="52"/>
    <x v="0"/>
    <n v="146864"/>
  </r>
  <r>
    <x v="5"/>
    <x v="7"/>
    <n v="147011"/>
  </r>
  <r>
    <x v="2"/>
    <x v="5"/>
    <n v="147262"/>
  </r>
  <r>
    <x v="28"/>
    <x v="8"/>
    <n v="147278"/>
  </r>
  <r>
    <x v="17"/>
    <x v="6"/>
    <n v="147326"/>
  </r>
  <r>
    <x v="10"/>
    <x v="12"/>
    <n v="147462"/>
  </r>
  <r>
    <x v="49"/>
    <x v="2"/>
    <n v="147476"/>
  </r>
  <r>
    <x v="39"/>
    <x v="8"/>
    <n v="147544"/>
  </r>
  <r>
    <x v="0"/>
    <x v="9"/>
    <n v="147557"/>
  </r>
  <r>
    <x v="39"/>
    <x v="22"/>
    <n v="147575"/>
  </r>
  <r>
    <x v="51"/>
    <x v="16"/>
    <n v="147739"/>
  </r>
  <r>
    <x v="1"/>
    <x v="12"/>
    <n v="148034"/>
  </r>
  <r>
    <x v="16"/>
    <x v="9"/>
    <n v="148190"/>
  </r>
  <r>
    <x v="11"/>
    <x v="3"/>
    <n v="148504"/>
  </r>
  <r>
    <x v="26"/>
    <x v="11"/>
    <n v="148544"/>
  </r>
  <r>
    <x v="2"/>
    <x v="23"/>
    <n v="148624"/>
  </r>
  <r>
    <x v="26"/>
    <x v="21"/>
    <n v="148832"/>
  </r>
  <r>
    <x v="27"/>
    <x v="14"/>
    <n v="148896"/>
  </r>
  <r>
    <x v="26"/>
    <x v="14"/>
    <n v="149068"/>
  </r>
  <r>
    <x v="4"/>
    <x v="3"/>
    <n v="149240"/>
  </r>
  <r>
    <x v="46"/>
    <x v="29"/>
    <n v="149516"/>
  </r>
  <r>
    <x v="30"/>
    <x v="11"/>
    <n v="149579"/>
  </r>
  <r>
    <x v="0"/>
    <x v="25"/>
    <n v="149626"/>
  </r>
  <r>
    <x v="30"/>
    <x v="0"/>
    <n v="149901"/>
  </r>
  <r>
    <x v="35"/>
    <x v="6"/>
    <n v="150014"/>
  </r>
  <r>
    <x v="51"/>
    <x v="1"/>
    <n v="150131"/>
  </r>
  <r>
    <x v="44"/>
    <x v="20"/>
    <n v="150212"/>
  </r>
  <r>
    <x v="41"/>
    <x v="10"/>
    <n v="150247"/>
  </r>
  <r>
    <x v="55"/>
    <x v="21"/>
    <n v="150410"/>
  </r>
  <r>
    <x v="40"/>
    <x v="29"/>
    <n v="150591"/>
  </r>
  <r>
    <x v="35"/>
    <x v="14"/>
    <n v="150766"/>
  </r>
  <r>
    <x v="37"/>
    <x v="27"/>
    <n v="150943"/>
  </r>
  <r>
    <x v="54"/>
    <x v="20"/>
    <n v="150957"/>
  </r>
  <r>
    <x v="1"/>
    <x v="4"/>
    <n v="151057"/>
  </r>
  <r>
    <x v="52"/>
    <x v="7"/>
    <n v="151088"/>
  </r>
  <r>
    <x v="51"/>
    <x v="22"/>
    <n v="151137"/>
  </r>
  <r>
    <x v="48"/>
    <x v="20"/>
    <n v="151156"/>
  </r>
  <r>
    <x v="1"/>
    <x v="29"/>
    <n v="151320"/>
  </r>
  <r>
    <x v="36"/>
    <x v="27"/>
    <n v="151348"/>
  </r>
  <r>
    <x v="54"/>
    <x v="2"/>
    <n v="151441"/>
  </r>
  <r>
    <x v="5"/>
    <x v="29"/>
    <n v="151483"/>
  </r>
  <r>
    <x v="2"/>
    <x v="0"/>
    <n v="151797"/>
  </r>
  <r>
    <x v="38"/>
    <x v="19"/>
    <n v="151884"/>
  </r>
  <r>
    <x v="47"/>
    <x v="3"/>
    <n v="152202"/>
  </r>
  <r>
    <x v="32"/>
    <x v="17"/>
    <n v="152230"/>
  </r>
  <r>
    <x v="14"/>
    <x v="23"/>
    <n v="152275"/>
  </r>
  <r>
    <x v="44"/>
    <x v="7"/>
    <n v="152482"/>
  </r>
  <r>
    <x v="10"/>
    <x v="4"/>
    <n v="152587"/>
  </r>
  <r>
    <x v="46"/>
    <x v="18"/>
    <n v="152890"/>
  </r>
  <r>
    <x v="20"/>
    <x v="16"/>
    <n v="152981"/>
  </r>
  <r>
    <x v="16"/>
    <x v="7"/>
    <n v="153071"/>
  </r>
  <r>
    <x v="31"/>
    <x v="7"/>
    <n v="153080"/>
  </r>
  <r>
    <x v="52"/>
    <x v="28"/>
    <n v="153113"/>
  </r>
  <r>
    <x v="47"/>
    <x v="24"/>
    <n v="153248"/>
  </r>
  <r>
    <x v="17"/>
    <x v="7"/>
    <n v="153395"/>
  </r>
  <r>
    <x v="36"/>
    <x v="0"/>
    <n v="153407"/>
  </r>
  <r>
    <x v="46"/>
    <x v="13"/>
    <n v="153421"/>
  </r>
  <r>
    <x v="22"/>
    <x v="17"/>
    <n v="153453"/>
  </r>
  <r>
    <x v="27"/>
    <x v="10"/>
    <n v="153512"/>
  </r>
  <r>
    <x v="32"/>
    <x v="9"/>
    <n v="153683"/>
  </r>
  <r>
    <x v="37"/>
    <x v="29"/>
    <n v="153796"/>
  </r>
  <r>
    <x v="14"/>
    <x v="25"/>
    <n v="153804"/>
  </r>
  <r>
    <x v="5"/>
    <x v="23"/>
    <n v="153826"/>
  </r>
  <r>
    <x v="47"/>
    <x v="21"/>
    <n v="153860"/>
  </r>
  <r>
    <x v="34"/>
    <x v="19"/>
    <n v="154042"/>
  </r>
  <r>
    <x v="43"/>
    <x v="26"/>
    <n v="154102"/>
  </r>
  <r>
    <x v="13"/>
    <x v="14"/>
    <n v="154406"/>
  </r>
  <r>
    <x v="25"/>
    <x v="5"/>
    <n v="154461"/>
  </r>
  <r>
    <x v="21"/>
    <x v="26"/>
    <n v="154551"/>
  </r>
  <r>
    <x v="19"/>
    <x v="20"/>
    <n v="154605"/>
  </r>
  <r>
    <x v="42"/>
    <x v="7"/>
    <n v="154614"/>
  </r>
  <r>
    <x v="16"/>
    <x v="0"/>
    <n v="154768"/>
  </r>
  <r>
    <x v="8"/>
    <x v="27"/>
    <n v="154813"/>
  </r>
  <r>
    <x v="45"/>
    <x v="20"/>
    <n v="155050"/>
  </r>
  <r>
    <x v="53"/>
    <x v="16"/>
    <n v="155101"/>
  </r>
  <r>
    <x v="18"/>
    <x v="28"/>
    <n v="155258"/>
  </r>
  <r>
    <x v="51"/>
    <x v="6"/>
    <n v="155323"/>
  </r>
  <r>
    <x v="6"/>
    <x v="0"/>
    <n v="155508"/>
  </r>
  <r>
    <x v="29"/>
    <x v="26"/>
    <n v="155654"/>
  </r>
  <r>
    <x v="1"/>
    <x v="17"/>
    <n v="155889"/>
  </r>
  <r>
    <x v="5"/>
    <x v="8"/>
    <n v="156068"/>
  </r>
  <r>
    <x v="10"/>
    <x v="10"/>
    <n v="156080"/>
  </r>
  <r>
    <x v="39"/>
    <x v="29"/>
    <n v="156085"/>
  </r>
  <r>
    <x v="28"/>
    <x v="1"/>
    <n v="156146"/>
  </r>
  <r>
    <x v="51"/>
    <x v="15"/>
    <n v="156176"/>
  </r>
  <r>
    <x v="51"/>
    <x v="8"/>
    <n v="156203"/>
  </r>
  <r>
    <x v="8"/>
    <x v="6"/>
    <n v="156331"/>
  </r>
  <r>
    <x v="22"/>
    <x v="19"/>
    <n v="156532"/>
  </r>
  <r>
    <x v="7"/>
    <x v="29"/>
    <n v="156565"/>
  </r>
  <r>
    <x v="36"/>
    <x v="4"/>
    <n v="156569"/>
  </r>
  <r>
    <x v="43"/>
    <x v="10"/>
    <n v="156610"/>
  </r>
  <r>
    <x v="18"/>
    <x v="21"/>
    <n v="156676"/>
  </r>
  <r>
    <x v="41"/>
    <x v="9"/>
    <n v="156863"/>
  </r>
  <r>
    <x v="23"/>
    <x v="6"/>
    <n v="156904"/>
  </r>
  <r>
    <x v="40"/>
    <x v="19"/>
    <n v="157013"/>
  </r>
  <r>
    <x v="47"/>
    <x v="17"/>
    <n v="157066"/>
  </r>
  <r>
    <x v="9"/>
    <x v="6"/>
    <n v="157237"/>
  </r>
  <r>
    <x v="9"/>
    <x v="25"/>
    <n v="157304"/>
  </r>
  <r>
    <x v="26"/>
    <x v="0"/>
    <n v="157307"/>
  </r>
  <r>
    <x v="39"/>
    <x v="11"/>
    <n v="157419"/>
  </r>
  <r>
    <x v="14"/>
    <x v="9"/>
    <n v="157420"/>
  </r>
  <r>
    <x v="5"/>
    <x v="27"/>
    <n v="157523"/>
  </r>
  <r>
    <x v="54"/>
    <x v="9"/>
    <n v="157675"/>
  </r>
  <r>
    <x v="18"/>
    <x v="29"/>
    <n v="157686"/>
  </r>
  <r>
    <x v="43"/>
    <x v="12"/>
    <n v="157778"/>
  </r>
  <r>
    <x v="13"/>
    <x v="21"/>
    <n v="157912"/>
  </r>
  <r>
    <x v="21"/>
    <x v="15"/>
    <n v="158026"/>
  </r>
  <r>
    <x v="29"/>
    <x v="28"/>
    <n v="158115"/>
  </r>
  <r>
    <x v="8"/>
    <x v="5"/>
    <n v="158165"/>
  </r>
  <r>
    <x v="34"/>
    <x v="10"/>
    <n v="158263"/>
  </r>
  <r>
    <x v="0"/>
    <x v="13"/>
    <n v="158298"/>
  </r>
  <r>
    <x v="40"/>
    <x v="20"/>
    <n v="158346"/>
  </r>
  <r>
    <x v="36"/>
    <x v="23"/>
    <n v="158378"/>
  </r>
  <r>
    <x v="11"/>
    <x v="14"/>
    <n v="158494"/>
  </r>
  <r>
    <x v="45"/>
    <x v="7"/>
    <n v="158548"/>
  </r>
  <r>
    <x v="52"/>
    <x v="1"/>
    <n v="158701"/>
  </r>
  <r>
    <x v="48"/>
    <x v="28"/>
    <n v="158784"/>
  </r>
  <r>
    <x v="20"/>
    <x v="27"/>
    <n v="158817"/>
  </r>
  <r>
    <x v="1"/>
    <x v="28"/>
    <n v="158981"/>
  </r>
  <r>
    <x v="30"/>
    <x v="13"/>
    <n v="159007"/>
  </r>
  <r>
    <x v="38"/>
    <x v="6"/>
    <n v="159185"/>
  </r>
  <r>
    <x v="13"/>
    <x v="11"/>
    <n v="159254"/>
  </r>
  <r>
    <x v="31"/>
    <x v="24"/>
    <n v="159392"/>
  </r>
  <r>
    <x v="25"/>
    <x v="16"/>
    <n v="159463"/>
  </r>
  <r>
    <x v="22"/>
    <x v="14"/>
    <n v="159733"/>
  </r>
  <r>
    <x v="4"/>
    <x v="9"/>
    <n v="159780"/>
  </r>
  <r>
    <x v="16"/>
    <x v="23"/>
    <n v="159796"/>
  </r>
  <r>
    <x v="43"/>
    <x v="29"/>
    <n v="159798"/>
  </r>
  <r>
    <x v="45"/>
    <x v="13"/>
    <n v="159802"/>
  </r>
  <r>
    <x v="48"/>
    <x v="14"/>
    <n v="159844"/>
  </r>
  <r>
    <x v="12"/>
    <x v="0"/>
    <n v="159853"/>
  </r>
  <r>
    <x v="7"/>
    <x v="14"/>
    <n v="159944"/>
  </r>
  <r>
    <x v="31"/>
    <x v="19"/>
    <n v="160353"/>
  </r>
  <r>
    <x v="8"/>
    <x v="23"/>
    <n v="160475"/>
  </r>
  <r>
    <x v="15"/>
    <x v="29"/>
    <n v="160538"/>
  </r>
  <r>
    <x v="50"/>
    <x v="4"/>
    <n v="160752"/>
  </r>
  <r>
    <x v="41"/>
    <x v="23"/>
    <n v="160946"/>
  </r>
  <r>
    <x v="37"/>
    <x v="7"/>
    <n v="160976"/>
  </r>
  <r>
    <x v="42"/>
    <x v="14"/>
    <n v="160978"/>
  </r>
  <r>
    <x v="48"/>
    <x v="17"/>
    <n v="160988"/>
  </r>
  <r>
    <x v="31"/>
    <x v="23"/>
    <n v="161018"/>
  </r>
  <r>
    <x v="47"/>
    <x v="7"/>
    <n v="161061"/>
  </r>
  <r>
    <x v="7"/>
    <x v="17"/>
    <n v="161655"/>
  </r>
  <r>
    <x v="26"/>
    <x v="26"/>
    <n v="161676"/>
  </r>
  <r>
    <x v="6"/>
    <x v="14"/>
    <n v="161796"/>
  </r>
  <r>
    <x v="18"/>
    <x v="7"/>
    <n v="161927"/>
  </r>
  <r>
    <x v="10"/>
    <x v="26"/>
    <n v="161942"/>
  </r>
  <r>
    <x v="42"/>
    <x v="10"/>
    <n v="162121"/>
  </r>
  <r>
    <x v="23"/>
    <x v="3"/>
    <n v="162219"/>
  </r>
  <r>
    <x v="12"/>
    <x v="5"/>
    <n v="162241"/>
  </r>
  <r>
    <x v="54"/>
    <x v="8"/>
    <n v="162529"/>
  </r>
  <r>
    <x v="53"/>
    <x v="27"/>
    <n v="162679"/>
  </r>
  <r>
    <x v="35"/>
    <x v="2"/>
    <n v="162868"/>
  </r>
  <r>
    <x v="50"/>
    <x v="12"/>
    <n v="162989"/>
  </r>
  <r>
    <x v="3"/>
    <x v="14"/>
    <n v="162994"/>
  </r>
  <r>
    <x v="13"/>
    <x v="18"/>
    <n v="163045"/>
  </r>
  <r>
    <x v="37"/>
    <x v="24"/>
    <n v="163128"/>
  </r>
  <r>
    <x v="10"/>
    <x v="28"/>
    <n v="163401"/>
  </r>
  <r>
    <x v="45"/>
    <x v="5"/>
    <n v="163604"/>
  </r>
  <r>
    <x v="14"/>
    <x v="24"/>
    <n v="163608"/>
  </r>
  <r>
    <x v="1"/>
    <x v="3"/>
    <n v="163615"/>
  </r>
  <r>
    <x v="30"/>
    <x v="7"/>
    <n v="163628"/>
  </r>
  <r>
    <x v="39"/>
    <x v="1"/>
    <n v="163741"/>
  </r>
  <r>
    <x v="13"/>
    <x v="10"/>
    <n v="163759"/>
  </r>
  <r>
    <x v="38"/>
    <x v="24"/>
    <n v="163838"/>
  </r>
  <r>
    <x v="51"/>
    <x v="5"/>
    <n v="164108"/>
  </r>
  <r>
    <x v="30"/>
    <x v="9"/>
    <n v="164149"/>
  </r>
  <r>
    <x v="2"/>
    <x v="28"/>
    <n v="164181"/>
  </r>
  <r>
    <x v="5"/>
    <x v="22"/>
    <n v="164522"/>
  </r>
  <r>
    <x v="8"/>
    <x v="21"/>
    <n v="164680"/>
  </r>
  <r>
    <x v="23"/>
    <x v="20"/>
    <n v="164691"/>
  </r>
  <r>
    <x v="34"/>
    <x v="20"/>
    <n v="164728"/>
  </r>
  <r>
    <x v="5"/>
    <x v="10"/>
    <n v="164925"/>
  </r>
  <r>
    <x v="25"/>
    <x v="26"/>
    <n v="165227"/>
  </r>
  <r>
    <x v="29"/>
    <x v="25"/>
    <n v="165295"/>
  </r>
  <r>
    <x v="5"/>
    <x v="26"/>
    <n v="165385"/>
  </r>
  <r>
    <x v="16"/>
    <x v="4"/>
    <n v="165683"/>
  </r>
  <r>
    <x v="25"/>
    <x v="25"/>
    <n v="165938"/>
  </r>
  <r>
    <x v="8"/>
    <x v="0"/>
    <n v="165990"/>
  </r>
  <r>
    <x v="37"/>
    <x v="22"/>
    <n v="166276"/>
  </r>
  <r>
    <x v="36"/>
    <x v="19"/>
    <n v="166362"/>
  </r>
  <r>
    <x v="46"/>
    <x v="10"/>
    <n v="166517"/>
  </r>
  <r>
    <x v="29"/>
    <x v="2"/>
    <n v="166556"/>
  </r>
  <r>
    <x v="52"/>
    <x v="12"/>
    <n v="166882"/>
  </r>
  <r>
    <x v="23"/>
    <x v="24"/>
    <n v="167031"/>
  </r>
  <r>
    <x v="36"/>
    <x v="29"/>
    <n v="167131"/>
  </r>
  <r>
    <x v="26"/>
    <x v="27"/>
    <n v="167203"/>
  </r>
  <r>
    <x v="54"/>
    <x v="11"/>
    <n v="167276"/>
  </r>
  <r>
    <x v="37"/>
    <x v="2"/>
    <n v="167304"/>
  </r>
  <r>
    <x v="25"/>
    <x v="29"/>
    <n v="167407"/>
  </r>
  <r>
    <x v="52"/>
    <x v="5"/>
    <n v="167805"/>
  </r>
  <r>
    <x v="36"/>
    <x v="18"/>
    <n v="167948"/>
  </r>
  <r>
    <x v="8"/>
    <x v="29"/>
    <n v="167948"/>
  </r>
  <r>
    <x v="55"/>
    <x v="17"/>
    <n v="167984"/>
  </r>
  <r>
    <x v="53"/>
    <x v="20"/>
    <n v="168341"/>
  </r>
  <r>
    <x v="52"/>
    <x v="8"/>
    <n v="168393"/>
  </r>
  <r>
    <x v="55"/>
    <x v="2"/>
    <n v="168435"/>
  </r>
  <r>
    <x v="44"/>
    <x v="24"/>
    <n v="168680"/>
  </r>
  <r>
    <x v="7"/>
    <x v="26"/>
    <n v="168825"/>
  </r>
  <r>
    <x v="49"/>
    <x v="22"/>
    <n v="168928"/>
  </r>
  <r>
    <x v="42"/>
    <x v="24"/>
    <n v="169075"/>
  </r>
  <r>
    <x v="0"/>
    <x v="14"/>
    <n v="169119"/>
  </r>
  <r>
    <x v="6"/>
    <x v="24"/>
    <n v="169228"/>
  </r>
  <r>
    <x v="50"/>
    <x v="25"/>
    <n v="169310"/>
  </r>
  <r>
    <x v="6"/>
    <x v="27"/>
    <n v="169315"/>
  </r>
  <r>
    <x v="49"/>
    <x v="15"/>
    <n v="169346"/>
  </r>
  <r>
    <x v="39"/>
    <x v="28"/>
    <n v="169440"/>
  </r>
  <r>
    <x v="28"/>
    <x v="7"/>
    <n v="169776"/>
  </r>
  <r>
    <x v="30"/>
    <x v="15"/>
    <n v="169797"/>
  </r>
  <r>
    <x v="8"/>
    <x v="3"/>
    <n v="169946"/>
  </r>
  <r>
    <x v="16"/>
    <x v="10"/>
    <n v="170270"/>
  </r>
  <r>
    <x v="7"/>
    <x v="28"/>
    <n v="170302"/>
  </r>
  <r>
    <x v="40"/>
    <x v="0"/>
    <n v="170396"/>
  </r>
  <r>
    <x v="22"/>
    <x v="22"/>
    <n v="170484"/>
  </r>
  <r>
    <x v="11"/>
    <x v="2"/>
    <n v="170615"/>
  </r>
  <r>
    <x v="20"/>
    <x v="26"/>
    <n v="170711"/>
  </r>
  <r>
    <x v="24"/>
    <x v="5"/>
    <n v="170865"/>
  </r>
  <r>
    <x v="29"/>
    <x v="7"/>
    <n v="171332"/>
  </r>
  <r>
    <x v="37"/>
    <x v="11"/>
    <n v="171692"/>
  </r>
  <r>
    <x v="24"/>
    <x v="23"/>
    <n v="171786"/>
  </r>
  <r>
    <x v="54"/>
    <x v="0"/>
    <n v="172408"/>
  </r>
  <r>
    <x v="41"/>
    <x v="16"/>
    <n v="172453"/>
  </r>
  <r>
    <x v="28"/>
    <x v="26"/>
    <n v="172469"/>
  </r>
  <r>
    <x v="22"/>
    <x v="24"/>
    <n v="172580"/>
  </r>
  <r>
    <x v="36"/>
    <x v="13"/>
    <n v="172598"/>
  </r>
  <r>
    <x v="40"/>
    <x v="2"/>
    <n v="172617"/>
  </r>
  <r>
    <x v="38"/>
    <x v="23"/>
    <n v="172702"/>
  </r>
  <r>
    <x v="38"/>
    <x v="12"/>
    <n v="172772"/>
  </r>
  <r>
    <x v="45"/>
    <x v="23"/>
    <n v="172851"/>
  </r>
  <r>
    <x v="39"/>
    <x v="23"/>
    <n v="172854"/>
  </r>
  <r>
    <x v="20"/>
    <x v="15"/>
    <n v="173040"/>
  </r>
  <r>
    <x v="34"/>
    <x v="14"/>
    <n v="173179"/>
  </r>
  <r>
    <x v="31"/>
    <x v="29"/>
    <n v="173182"/>
  </r>
  <r>
    <x v="33"/>
    <x v="11"/>
    <n v="173392"/>
  </r>
  <r>
    <x v="27"/>
    <x v="15"/>
    <n v="173557"/>
  </r>
  <r>
    <x v="4"/>
    <x v="24"/>
    <n v="173673"/>
  </r>
  <r>
    <x v="15"/>
    <x v="19"/>
    <n v="173782"/>
  </r>
  <r>
    <x v="46"/>
    <x v="21"/>
    <n v="173785"/>
  </r>
  <r>
    <x v="53"/>
    <x v="14"/>
    <n v="173823"/>
  </r>
  <r>
    <x v="5"/>
    <x v="25"/>
    <n v="174368"/>
  </r>
  <r>
    <x v="41"/>
    <x v="20"/>
    <n v="174401"/>
  </r>
  <r>
    <x v="26"/>
    <x v="4"/>
    <n v="174465"/>
  </r>
  <r>
    <x v="29"/>
    <x v="15"/>
    <n v="174700"/>
  </r>
  <r>
    <x v="46"/>
    <x v="11"/>
    <n v="17483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3:B34" firstHeaderRow="1" firstDataRow="1" firstDataCol="1" rowPageCount="1" colPageCount="1"/>
  <pivotFields count="3">
    <pivotField axis="axisPage" showAll="0">
      <items count="57">
        <item x="36"/>
        <item x="51"/>
        <item x="28"/>
        <item x="32"/>
        <item x="44"/>
        <item x="24"/>
        <item x="53"/>
        <item x="47"/>
        <item x="27"/>
        <item x="18"/>
        <item x="20"/>
        <item x="40"/>
        <item x="26"/>
        <item x="55"/>
        <item x="1"/>
        <item x="30"/>
        <item x="5"/>
        <item x="15"/>
        <item x="29"/>
        <item x="31"/>
        <item x="19"/>
        <item x="14"/>
        <item x="39"/>
        <item x="43"/>
        <item x="0"/>
        <item x="35"/>
        <item x="10"/>
        <item x="52"/>
        <item x="7"/>
        <item x="50"/>
        <item x="3"/>
        <item x="34"/>
        <item x="11"/>
        <item x="17"/>
        <item x="41"/>
        <item x="8"/>
        <item x="21"/>
        <item x="54"/>
        <item x="38"/>
        <item x="23"/>
        <item x="46"/>
        <item x="9"/>
        <item x="12"/>
        <item x="16"/>
        <item x="33"/>
        <item x="48"/>
        <item x="42"/>
        <item x="6"/>
        <item x="2"/>
        <item x="25"/>
        <item x="4"/>
        <item x="37"/>
        <item x="49"/>
        <item x="13"/>
        <item x="45"/>
        <item x="22"/>
        <item t="default"/>
      </items>
    </pivotField>
    <pivotField axis="axisRow" showAll="0">
      <items count="31">
        <item x="23"/>
        <item x="13"/>
        <item x="16"/>
        <item x="25"/>
        <item x="12"/>
        <item x="18"/>
        <item x="15"/>
        <item x="26"/>
        <item x="17"/>
        <item x="19"/>
        <item x="9"/>
        <item x="20"/>
        <item x="0"/>
        <item x="4"/>
        <item x="22"/>
        <item x="6"/>
        <item x="8"/>
        <item x="29"/>
        <item x="28"/>
        <item x="1"/>
        <item x="14"/>
        <item x="24"/>
        <item x="21"/>
        <item x="5"/>
        <item x="10"/>
        <item x="3"/>
        <item x="7"/>
        <item x="11"/>
        <item x="27"/>
        <item x="2"/>
        <item t="default"/>
      </items>
    </pivotField>
    <pivotField dataField="1" numFmtId="8" showAll="0"/>
  </pivotFields>
  <rowFields count="1">
    <field x="1"/>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t="grand">
      <x/>
    </i>
  </rowItems>
  <colItems count="1">
    <i/>
  </colItems>
  <pageFields count="1">
    <pageField fld="0" item="34" hier="-1"/>
  </pageFields>
  <dataFields count="1">
    <dataField name="Sum of Sales"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tate" sourceName="State">
  <pivotTables>
    <pivotTable tabId="5" name="PivotTable1"/>
  </pivotTables>
  <data>
    <tabular pivotCacheId="1">
      <items count="56">
        <i x="36"/>
        <i x="51"/>
        <i x="28"/>
        <i x="32"/>
        <i x="44"/>
        <i x="24"/>
        <i x="53"/>
        <i x="47"/>
        <i x="27"/>
        <i x="18"/>
        <i x="20"/>
        <i x="40"/>
        <i x="26"/>
        <i x="55"/>
        <i x="1"/>
        <i x="30"/>
        <i x="5"/>
        <i x="15"/>
        <i x="29"/>
        <i x="31"/>
        <i x="19"/>
        <i x="14"/>
        <i x="39"/>
        <i x="43"/>
        <i x="0"/>
        <i x="35"/>
        <i x="10"/>
        <i x="52"/>
        <i x="7"/>
        <i x="50"/>
        <i x="3"/>
        <i x="34"/>
        <i x="11"/>
        <i x="17"/>
        <i x="41" s="1"/>
        <i x="8"/>
        <i x="21"/>
        <i x="54"/>
        <i x="38"/>
        <i x="23"/>
        <i x="46"/>
        <i x="9"/>
        <i x="12"/>
        <i x="16"/>
        <i x="33"/>
        <i x="48"/>
        <i x="42"/>
        <i x="6"/>
        <i x="2"/>
        <i x="25"/>
        <i x="4"/>
        <i x="37"/>
        <i x="49"/>
        <i x="13"/>
        <i x="45"/>
        <i x="22"/>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tate" cache="Slicer_State" caption="State" columnCount="4"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hyperlink" Target="http://msdn.microsoft.com/en-us/library/office/ff700515(v=office.14).aspx" TargetMode="External"/><Relationship Id="rId1" Type="http://schemas.openxmlformats.org/officeDocument/2006/relationships/hyperlink" Target="http://www.decisionmodels.com/" TargetMode="Externa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B1681"/>
  <sheetViews>
    <sheetView tabSelected="1" zoomScaleNormal="100" workbookViewId="0">
      <selection activeCell="J17" sqref="J17"/>
    </sheetView>
  </sheetViews>
  <sheetFormatPr defaultRowHeight="15" x14ac:dyDescent="0.25"/>
  <cols>
    <col min="1" max="1" width="9.28515625" customWidth="1"/>
    <col min="2" max="2" width="15.42578125" customWidth="1"/>
    <col min="3" max="3" width="18.85546875" bestFit="1" customWidth="1"/>
    <col min="4" max="4" width="13.85546875" bestFit="1" customWidth="1"/>
    <col min="5" max="5" width="2.5703125" customWidth="1"/>
    <col min="6" max="6" width="18.85546875" bestFit="1" customWidth="1"/>
    <col min="7" max="9" width="19.140625" customWidth="1"/>
    <col min="10" max="10" width="21" customWidth="1"/>
    <col min="11" max="11" width="2.28515625" customWidth="1"/>
    <col min="12" max="13" width="16.42578125" customWidth="1"/>
    <col min="14" max="14" width="20" customWidth="1"/>
    <col min="15" max="15" width="3.140625" customWidth="1"/>
    <col min="16" max="16" width="27.42578125" customWidth="1"/>
    <col min="17" max="18" width="19.140625" customWidth="1"/>
  </cols>
  <sheetData>
    <row r="1" spans="1:28" x14ac:dyDescent="0.25">
      <c r="A1" s="2" t="s">
        <v>125</v>
      </c>
      <c r="B1" s="2" t="s">
        <v>2</v>
      </c>
      <c r="C1" s="2" t="s">
        <v>0</v>
      </c>
      <c r="D1" s="2" t="s">
        <v>1</v>
      </c>
      <c r="F1" s="1" t="s">
        <v>153</v>
      </c>
      <c r="L1" s="2" t="s">
        <v>2</v>
      </c>
      <c r="M1" s="2" t="s">
        <v>0</v>
      </c>
      <c r="N1" s="2" t="s">
        <v>1</v>
      </c>
      <c r="P1" s="1" t="s">
        <v>143</v>
      </c>
      <c r="T1" s="16" t="s">
        <v>144</v>
      </c>
      <c r="U1" s="17"/>
      <c r="V1" s="17"/>
      <c r="W1" s="17"/>
      <c r="X1" s="17"/>
      <c r="Y1" s="17"/>
      <c r="Z1" s="17"/>
      <c r="AA1" s="17"/>
      <c r="AB1" s="18"/>
    </row>
    <row r="2" spans="1:28" ht="45" x14ac:dyDescent="0.25">
      <c r="A2" s="5" t="str">
        <f t="shared" ref="A2:A65" si="0">B2&amp;"-"&amp;C2</f>
        <v>Guam-Nolan Gohn</v>
      </c>
      <c r="B2" s="3" t="s">
        <v>47</v>
      </c>
      <c r="C2" s="3" t="s">
        <v>118</v>
      </c>
      <c r="D2" s="4">
        <v>127523</v>
      </c>
      <c r="G2" s="13" t="s">
        <v>137</v>
      </c>
      <c r="H2" s="13" t="s">
        <v>126</v>
      </c>
      <c r="I2" s="13" t="s">
        <v>138</v>
      </c>
      <c r="L2" s="3" t="s">
        <v>35</v>
      </c>
      <c r="M2" s="3" t="s">
        <v>116</v>
      </c>
      <c r="N2" s="4">
        <v>158378</v>
      </c>
      <c r="Q2" s="13" t="s">
        <v>142</v>
      </c>
      <c r="R2" s="13" t="s">
        <v>141</v>
      </c>
      <c r="T2" s="19" t="s">
        <v>145</v>
      </c>
      <c r="U2" s="20"/>
      <c r="V2" s="20"/>
      <c r="W2" s="20"/>
      <c r="X2" s="20"/>
      <c r="Y2" s="20"/>
      <c r="Z2" s="20"/>
      <c r="AA2" s="20"/>
      <c r="AB2" s="21"/>
    </row>
    <row r="3" spans="1:28" x14ac:dyDescent="0.25">
      <c r="A3" s="5" t="str">
        <f t="shared" si="0"/>
        <v>Minnesota-Jackson Lorkowski</v>
      </c>
      <c r="B3" s="3" t="s">
        <v>60</v>
      </c>
      <c r="C3" s="3" t="s">
        <v>120</v>
      </c>
      <c r="D3" s="4">
        <v>72039</v>
      </c>
      <c r="F3" s="3" t="s">
        <v>127</v>
      </c>
      <c r="G3" s="3">
        <v>3.8999999999999998E-3</v>
      </c>
      <c r="H3" s="3">
        <v>4.13E-3</v>
      </c>
      <c r="I3" s="3">
        <v>4.1900000000000001E-3</v>
      </c>
      <c r="L3" s="3" t="s">
        <v>35</v>
      </c>
      <c r="M3" s="3" t="s">
        <v>108</v>
      </c>
      <c r="N3" s="4">
        <v>172598</v>
      </c>
      <c r="P3" s="3" t="s">
        <v>127</v>
      </c>
      <c r="Q3" s="3">
        <v>1.268E-2</v>
      </c>
      <c r="R3" s="3">
        <v>2.0899999999999998E-2</v>
      </c>
      <c r="T3" s="19" t="s">
        <v>146</v>
      </c>
      <c r="U3" s="20"/>
      <c r="V3" s="20"/>
      <c r="W3" s="20"/>
      <c r="X3" s="20"/>
      <c r="Y3" s="20"/>
      <c r="Z3" s="20"/>
      <c r="AA3" s="20"/>
      <c r="AB3" s="21"/>
    </row>
    <row r="4" spans="1:28" x14ac:dyDescent="0.25">
      <c r="A4" s="5" t="str">
        <f t="shared" si="0"/>
        <v>Puerto Rico-Cliff Schnautz</v>
      </c>
      <c r="B4" s="3" t="s">
        <v>77</v>
      </c>
      <c r="C4" s="3" t="s">
        <v>96</v>
      </c>
      <c r="D4" s="4">
        <v>63713</v>
      </c>
      <c r="F4" s="3" t="s">
        <v>128</v>
      </c>
      <c r="G4" s="3">
        <v>3.8899999999999998E-3</v>
      </c>
      <c r="H4" s="3">
        <v>4.13E-3</v>
      </c>
      <c r="I4" s="3">
        <v>4.4600000000000004E-3</v>
      </c>
      <c r="L4" s="3" t="s">
        <v>35</v>
      </c>
      <c r="M4" s="3" t="s">
        <v>110</v>
      </c>
      <c r="N4" s="4">
        <v>86971</v>
      </c>
      <c r="P4" s="3" t="s">
        <v>128</v>
      </c>
      <c r="Q4" s="3">
        <v>1.6740000000000001E-2</v>
      </c>
      <c r="R4" s="3">
        <v>1.8620000000000001E-2</v>
      </c>
      <c r="T4" s="19" t="s">
        <v>147</v>
      </c>
      <c r="U4" s="20"/>
      <c r="V4" s="20"/>
      <c r="W4" s="20"/>
      <c r="X4" s="20"/>
      <c r="Y4" s="20"/>
      <c r="Z4" s="20"/>
      <c r="AA4" s="20"/>
      <c r="AB4" s="21"/>
    </row>
    <row r="5" spans="1:28" x14ac:dyDescent="0.25">
      <c r="A5" s="5" t="str">
        <f t="shared" si="0"/>
        <v>Maryland-Lianne Trappey</v>
      </c>
      <c r="B5" s="3" t="s">
        <v>57</v>
      </c>
      <c r="C5" s="3" t="s">
        <v>123</v>
      </c>
      <c r="D5" s="4">
        <v>144439</v>
      </c>
      <c r="F5" s="3" t="s">
        <v>129</v>
      </c>
      <c r="G5" s="3">
        <v>3.64E-3</v>
      </c>
      <c r="H5" s="3">
        <v>4.1000000000000003E-3</v>
      </c>
      <c r="I5" s="3">
        <v>4.6100000000000004E-3</v>
      </c>
      <c r="L5" s="3" t="s">
        <v>35</v>
      </c>
      <c r="M5" s="3" t="s">
        <v>99</v>
      </c>
      <c r="N5" s="4">
        <v>100206</v>
      </c>
      <c r="P5" s="3" t="s">
        <v>129</v>
      </c>
      <c r="Q5" s="3">
        <v>1.346E-2</v>
      </c>
      <c r="R5" s="3">
        <v>2.103E-2</v>
      </c>
      <c r="T5" s="19" t="s">
        <v>148</v>
      </c>
      <c r="U5" s="22" t="s">
        <v>149</v>
      </c>
      <c r="V5" s="20"/>
      <c r="W5" s="20"/>
      <c r="X5" s="20"/>
      <c r="Y5" s="20"/>
      <c r="Z5" s="20"/>
      <c r="AA5" s="20"/>
      <c r="AB5" s="21"/>
    </row>
    <row r="6" spans="1:28" x14ac:dyDescent="0.25">
      <c r="A6" s="5" t="str">
        <f t="shared" si="0"/>
        <v>Virgin Islands-Sadye Diloreto</v>
      </c>
      <c r="B6" s="3" t="s">
        <v>86</v>
      </c>
      <c r="C6" s="3" t="s">
        <v>95</v>
      </c>
      <c r="D6" s="4">
        <v>2992</v>
      </c>
      <c r="F6" s="2" t="s">
        <v>130</v>
      </c>
      <c r="G6" s="9">
        <f>AVERAGE(G3:G5)</f>
        <v>3.8099999999999996E-3</v>
      </c>
      <c r="H6" s="9">
        <f>AVERAGE(H3:H5)</f>
        <v>4.1199999999999995E-3</v>
      </c>
      <c r="I6" s="9">
        <f>AVERAGE(I3:I5)</f>
        <v>4.4200000000000003E-3</v>
      </c>
      <c r="L6" s="3" t="s">
        <v>35</v>
      </c>
      <c r="M6" s="3" t="s">
        <v>124</v>
      </c>
      <c r="N6" s="4">
        <v>19907</v>
      </c>
      <c r="P6" s="3" t="s">
        <v>130</v>
      </c>
      <c r="Q6" s="9">
        <f>AVERAGE(Q3:Q5)</f>
        <v>1.4293333333333333E-2</v>
      </c>
      <c r="R6" s="9">
        <f>AVERAGE(R3:R5)</f>
        <v>2.0183333333333334E-2</v>
      </c>
      <c r="T6" s="23" t="s">
        <v>150</v>
      </c>
      <c r="U6" s="24" t="s">
        <v>151</v>
      </c>
      <c r="V6" s="25"/>
      <c r="W6" s="25"/>
      <c r="X6" s="25" t="s">
        <v>152</v>
      </c>
      <c r="Y6" s="25"/>
      <c r="Z6" s="25"/>
      <c r="AA6" s="25"/>
      <c r="AB6" s="26"/>
    </row>
    <row r="7" spans="1:28" x14ac:dyDescent="0.25">
      <c r="A7" s="5" t="str">
        <f t="shared" si="0"/>
        <v>District of Columbia-Cliff Schnautz</v>
      </c>
      <c r="B7" s="3" t="s">
        <v>44</v>
      </c>
      <c r="C7" s="3" t="s">
        <v>96</v>
      </c>
      <c r="D7" s="4">
        <v>39913</v>
      </c>
      <c r="F7" s="2" t="s">
        <v>155</v>
      </c>
      <c r="G7" s="14">
        <f>G6/$G$6-1</f>
        <v>0</v>
      </c>
      <c r="H7" s="14">
        <f>H6/$G$6-1</f>
        <v>8.1364829396325389E-2</v>
      </c>
      <c r="I7" s="14">
        <f>I6/$G$6-1</f>
        <v>0.16010498687664065</v>
      </c>
      <c r="L7" s="3" t="s">
        <v>35</v>
      </c>
      <c r="M7" s="3" t="s">
        <v>96</v>
      </c>
      <c r="N7" s="4">
        <v>167948</v>
      </c>
    </row>
    <row r="8" spans="1:28" x14ac:dyDescent="0.25">
      <c r="A8" s="5" t="str">
        <f t="shared" si="0"/>
        <v>Ohio-Nolan Gohn</v>
      </c>
      <c r="B8" s="3" t="s">
        <v>73</v>
      </c>
      <c r="C8" s="3" t="s">
        <v>118</v>
      </c>
      <c r="D8" s="4">
        <v>25264</v>
      </c>
      <c r="L8" s="3" t="s">
        <v>35</v>
      </c>
      <c r="M8" s="3" t="s">
        <v>115</v>
      </c>
      <c r="N8" s="4">
        <v>70738</v>
      </c>
    </row>
    <row r="9" spans="1:28" x14ac:dyDescent="0.25">
      <c r="A9" s="5" t="str">
        <f t="shared" si="0"/>
        <v>Hawaii-Lianne Trappey</v>
      </c>
      <c r="B9" s="3" t="s">
        <v>48</v>
      </c>
      <c r="C9" s="3" t="s">
        <v>123</v>
      </c>
      <c r="D9" s="4">
        <v>89668</v>
      </c>
      <c r="F9" s="1" t="s">
        <v>154</v>
      </c>
      <c r="L9" s="3" t="s">
        <v>35</v>
      </c>
      <c r="M9" s="3" t="s">
        <v>117</v>
      </c>
      <c r="N9" s="4">
        <v>11275</v>
      </c>
      <c r="R9" s="2" t="s">
        <v>2</v>
      </c>
    </row>
    <row r="10" spans="1:28" ht="45" x14ac:dyDescent="0.25">
      <c r="A10" s="5" t="str">
        <f t="shared" si="0"/>
        <v>Indiana-Raphael Bonawitz</v>
      </c>
      <c r="B10" s="3" t="s">
        <v>51</v>
      </c>
      <c r="C10" s="3" t="s">
        <v>122</v>
      </c>
      <c r="D10" s="4">
        <v>115514</v>
      </c>
      <c r="G10" s="13" t="s">
        <v>142</v>
      </c>
      <c r="H10" s="13" t="s">
        <v>126</v>
      </c>
      <c r="I10" s="13" t="s">
        <v>141</v>
      </c>
      <c r="J10" s="13" t="s">
        <v>138</v>
      </c>
      <c r="L10" s="3" t="s">
        <v>35</v>
      </c>
      <c r="M10" s="3" t="s">
        <v>120</v>
      </c>
      <c r="N10" s="4">
        <v>122362</v>
      </c>
      <c r="R10" s="3" t="s">
        <v>69</v>
      </c>
    </row>
    <row r="11" spans="1:28" ht="45" x14ac:dyDescent="0.25">
      <c r="A11" s="5" t="str">
        <f t="shared" si="0"/>
        <v>Puerto Rico-Nolan Gohn</v>
      </c>
      <c r="B11" s="3" t="s">
        <v>77</v>
      </c>
      <c r="C11" s="3" t="s">
        <v>118</v>
      </c>
      <c r="D11" s="4">
        <v>24374</v>
      </c>
      <c r="F11" s="3" t="s">
        <v>127</v>
      </c>
      <c r="G11" s="3">
        <f>Q3</f>
        <v>1.268E-2</v>
      </c>
      <c r="H11" s="3">
        <v>1.4880000000000001E-2</v>
      </c>
      <c r="I11" s="3">
        <f>R3</f>
        <v>2.0899999999999998E-2</v>
      </c>
      <c r="J11" s="3">
        <v>2.0150000000000001E-2</v>
      </c>
      <c r="L11" s="3" t="s">
        <v>35</v>
      </c>
      <c r="M11" s="3" t="s">
        <v>111</v>
      </c>
      <c r="N11" s="4">
        <v>166362</v>
      </c>
      <c r="P11" s="7" t="s">
        <v>0</v>
      </c>
      <c r="Q11" s="8" t="s">
        <v>140</v>
      </c>
      <c r="R11" s="15" t="s">
        <v>139</v>
      </c>
    </row>
    <row r="12" spans="1:28" x14ac:dyDescent="0.25">
      <c r="A12" s="5" t="str">
        <f t="shared" si="0"/>
        <v>Vermont-Marcel Davern</v>
      </c>
      <c r="B12" s="3" t="s">
        <v>84</v>
      </c>
      <c r="C12" s="3" t="s">
        <v>119</v>
      </c>
      <c r="D12" s="4">
        <v>121918</v>
      </c>
      <c r="F12" s="3" t="s">
        <v>128</v>
      </c>
      <c r="G12" s="3">
        <f>Q4</f>
        <v>1.6740000000000001E-2</v>
      </c>
      <c r="H12" s="3">
        <v>1.489E-2</v>
      </c>
      <c r="I12" s="3">
        <f>R4</f>
        <v>1.8620000000000001E-2</v>
      </c>
      <c r="J12" s="3">
        <v>1.9099999999999999E-2</v>
      </c>
      <c r="L12" s="3" t="s">
        <v>35</v>
      </c>
      <c r="M12" s="3" t="s">
        <v>102</v>
      </c>
      <c r="N12" s="4">
        <v>46100</v>
      </c>
      <c r="P12" s="3" t="s">
        <v>116</v>
      </c>
      <c r="Q12" s="6">
        <f t="array" ref="Q12">INDEX($N$2:$N$1681,MATCH(R$10&amp;"-"&amp;P12,$L$2:$L$1681&amp;"-"&amp;$M$2:$M$1681))</f>
        <v>160946</v>
      </c>
      <c r="R12" s="6">
        <f t="shared" ref="R12:R41" si="1">LOOKUP(R$10&amp;"-"&amp;P12,$L$2:$L$1681&amp;"-"&amp;$M$2:$M$1681,$N$2:$N$1681)</f>
        <v>160946</v>
      </c>
    </row>
    <row r="13" spans="1:28" x14ac:dyDescent="0.25">
      <c r="A13" s="5" t="str">
        <f t="shared" si="0"/>
        <v>Alaska-Ali Steenken</v>
      </c>
      <c r="B13" s="3" t="s">
        <v>36</v>
      </c>
      <c r="C13" s="3" t="s">
        <v>116</v>
      </c>
      <c r="D13" s="4">
        <v>17633</v>
      </c>
      <c r="F13" s="3" t="s">
        <v>129</v>
      </c>
      <c r="G13" s="3">
        <f>Q5</f>
        <v>1.346E-2</v>
      </c>
      <c r="H13" s="3">
        <v>1.478E-2</v>
      </c>
      <c r="I13" s="3">
        <f>R5</f>
        <v>2.103E-2</v>
      </c>
      <c r="J13" s="3">
        <v>2.3140000000000001E-2</v>
      </c>
      <c r="L13" s="3" t="s">
        <v>35</v>
      </c>
      <c r="M13" s="3" t="s">
        <v>106</v>
      </c>
      <c r="N13" s="4">
        <v>8167</v>
      </c>
      <c r="P13" s="3" t="s">
        <v>108</v>
      </c>
      <c r="Q13" s="6">
        <f t="array" ref="Q13">INDEX($N$2:$N$1681,MATCH(R$10&amp;"-"&amp;P13,$L$2:$L$1681&amp;"-"&amp;$M$2:$M$1681))</f>
        <v>107741</v>
      </c>
      <c r="R13" s="6">
        <f t="shared" si="1"/>
        <v>107741</v>
      </c>
    </row>
    <row r="14" spans="1:28" x14ac:dyDescent="0.25">
      <c r="A14" s="5" t="str">
        <f t="shared" si="0"/>
        <v>Mississippi-Kai Stroebel</v>
      </c>
      <c r="B14" s="3" t="s">
        <v>61</v>
      </c>
      <c r="C14" s="3" t="s">
        <v>111</v>
      </c>
      <c r="D14" s="4">
        <v>55694</v>
      </c>
      <c r="F14" s="2" t="s">
        <v>130</v>
      </c>
      <c r="G14" s="9">
        <f>AVERAGE(G11:G13)</f>
        <v>1.4293333333333333E-2</v>
      </c>
      <c r="H14" s="9">
        <f>AVERAGE(H11:H13)</f>
        <v>1.485E-2</v>
      </c>
      <c r="I14" s="9">
        <f t="shared" ref="I14" si="2">AVERAGE(I11:I13)</f>
        <v>2.0183333333333334E-2</v>
      </c>
      <c r="J14" s="9">
        <f>AVERAGE(J11:J13)</f>
        <v>2.0796666666666668E-2</v>
      </c>
      <c r="L14" s="3" t="s">
        <v>35</v>
      </c>
      <c r="M14" s="3" t="s">
        <v>123</v>
      </c>
      <c r="N14" s="4">
        <v>153407</v>
      </c>
      <c r="P14" s="3" t="s">
        <v>110</v>
      </c>
      <c r="Q14" s="6">
        <f t="array" ref="Q14">INDEX($N$2:$N$1681,MATCH(R$10&amp;"-"&amp;P14,$L$2:$L$1681&amp;"-"&amp;$M$2:$M$1681))</f>
        <v>172453</v>
      </c>
      <c r="R14" s="6">
        <f t="shared" si="1"/>
        <v>172453</v>
      </c>
    </row>
    <row r="15" spans="1:28" x14ac:dyDescent="0.25">
      <c r="A15" s="5" t="str">
        <f t="shared" si="0"/>
        <v>Massachusetts-Toi Medico</v>
      </c>
      <c r="B15" s="3" t="s">
        <v>58</v>
      </c>
      <c r="C15" s="3" t="s">
        <v>103</v>
      </c>
      <c r="D15" s="4">
        <v>115816</v>
      </c>
      <c r="F15" s="2" t="s">
        <v>156</v>
      </c>
      <c r="G15" s="14">
        <f>G14/$G$14-1</f>
        <v>0</v>
      </c>
      <c r="H15" s="14">
        <f>H14/$G$14-1</f>
        <v>3.894589552238803E-2</v>
      </c>
      <c r="I15" s="14">
        <f>I14/$G$14-1</f>
        <v>0.41208022388059717</v>
      </c>
      <c r="J15" s="14">
        <f>J14/$G$14-1</f>
        <v>0.45499067164179108</v>
      </c>
      <c r="L15" s="3" t="s">
        <v>35</v>
      </c>
      <c r="M15" s="3" t="s">
        <v>97</v>
      </c>
      <c r="N15" s="4">
        <v>156569</v>
      </c>
      <c r="P15" s="3" t="s">
        <v>99</v>
      </c>
      <c r="Q15" s="6">
        <f t="array" ref="Q15">INDEX($N$2:$N$1681,MATCH(R$10&amp;"-"&amp;P15,$L$2:$L$1681&amp;"-"&amp;$M$2:$M$1681))</f>
        <v>58614</v>
      </c>
      <c r="R15" s="6">
        <f t="shared" si="1"/>
        <v>58614</v>
      </c>
    </row>
    <row r="16" spans="1:28" x14ac:dyDescent="0.25">
      <c r="A16" s="5" t="str">
        <f t="shared" si="0"/>
        <v>West Virginia-Nolan Gohn</v>
      </c>
      <c r="B16" s="3" t="s">
        <v>88</v>
      </c>
      <c r="C16" s="3" t="s">
        <v>118</v>
      </c>
      <c r="D16" s="4">
        <v>31671</v>
      </c>
      <c r="L16" s="3" t="s">
        <v>35</v>
      </c>
      <c r="M16" s="3" t="s">
        <v>119</v>
      </c>
      <c r="N16" s="4">
        <v>124907</v>
      </c>
      <c r="P16" s="3" t="s">
        <v>124</v>
      </c>
      <c r="Q16" s="6">
        <f t="array" ref="Q16">INDEX($N$2:$N$1681,MATCH(R$10&amp;"-"&amp;P16,$L$2:$L$1681&amp;"-"&amp;$M$2:$M$1681))</f>
        <v>59449</v>
      </c>
      <c r="R16" s="6">
        <f t="shared" si="1"/>
        <v>59449</v>
      </c>
    </row>
    <row r="17" spans="1:18" x14ac:dyDescent="0.25">
      <c r="A17" s="5" t="str">
        <f t="shared" si="0"/>
        <v>North Dakota-Marcel Davern</v>
      </c>
      <c r="B17" s="3" t="s">
        <v>71</v>
      </c>
      <c r="C17" s="3" t="s">
        <v>119</v>
      </c>
      <c r="D17" s="4">
        <v>134911</v>
      </c>
      <c r="L17" s="3" t="s">
        <v>35</v>
      </c>
      <c r="M17" s="3" t="s">
        <v>113</v>
      </c>
      <c r="N17" s="4">
        <v>46278</v>
      </c>
      <c r="P17" s="3" t="s">
        <v>96</v>
      </c>
      <c r="Q17" s="6">
        <f t="array" ref="Q17">INDEX($N$2:$N$1681,MATCH(R$10&amp;"-"&amp;P17,$L$2:$L$1681&amp;"-"&amp;$M$2:$M$1681))</f>
        <v>97325</v>
      </c>
      <c r="R17" s="6">
        <f t="shared" si="1"/>
        <v>97325</v>
      </c>
    </row>
    <row r="18" spans="1:18" x14ac:dyDescent="0.25">
      <c r="A18" s="5" t="str">
        <f t="shared" si="0"/>
        <v>Florida-Marlin Mavromatis</v>
      </c>
      <c r="B18" s="3" t="s">
        <v>45</v>
      </c>
      <c r="C18" s="3" t="s">
        <v>113</v>
      </c>
      <c r="D18" s="4">
        <v>85472</v>
      </c>
      <c r="H18" s="2" t="s">
        <v>2</v>
      </c>
      <c r="I18" s="7" t="s">
        <v>0</v>
      </c>
      <c r="L18" s="3" t="s">
        <v>35</v>
      </c>
      <c r="M18" s="3" t="s">
        <v>105</v>
      </c>
      <c r="N18" s="4">
        <v>69039</v>
      </c>
      <c r="P18" s="3" t="s">
        <v>115</v>
      </c>
      <c r="Q18" s="6">
        <f t="array" ref="Q18">INDEX($N$2:$N$1681,MATCH(R$10&amp;"-"&amp;P18,$L$2:$L$1681&amp;"-"&amp;$M$2:$M$1681))</f>
        <v>54562</v>
      </c>
      <c r="R18" s="6">
        <f t="shared" si="1"/>
        <v>54562</v>
      </c>
    </row>
    <row r="19" spans="1:18" x14ac:dyDescent="0.25">
      <c r="A19" s="5" t="str">
        <f t="shared" si="0"/>
        <v>Alabama-Toi Zedaker</v>
      </c>
      <c r="B19" s="3" t="s">
        <v>35</v>
      </c>
      <c r="C19" s="3" t="s">
        <v>121</v>
      </c>
      <c r="D19" s="4">
        <v>151348</v>
      </c>
      <c r="H19" s="3" t="s">
        <v>69</v>
      </c>
      <c r="I19" s="3" t="s">
        <v>95</v>
      </c>
      <c r="L19" s="3" t="s">
        <v>35</v>
      </c>
      <c r="M19" s="3" t="s">
        <v>104</v>
      </c>
      <c r="N19" s="4">
        <v>167131</v>
      </c>
      <c r="P19" s="3" t="s">
        <v>117</v>
      </c>
      <c r="Q19" s="6">
        <f t="array" ref="Q19">INDEX($N$2:$N$1681,MATCH(R$10&amp;"-"&amp;P19,$L$2:$L$1681&amp;"-"&amp;$M$2:$M$1681))</f>
        <v>12634</v>
      </c>
      <c r="R19" s="6">
        <f t="shared" si="1"/>
        <v>12634</v>
      </c>
    </row>
    <row r="20" spans="1:18" ht="30" x14ac:dyDescent="0.25">
      <c r="A20" s="5" t="str">
        <f t="shared" si="0"/>
        <v>Utah-Marvis Tenholder</v>
      </c>
      <c r="B20" s="3" t="s">
        <v>83</v>
      </c>
      <c r="C20" s="3" t="s">
        <v>105</v>
      </c>
      <c r="D20" s="4">
        <v>3217</v>
      </c>
      <c r="F20" s="7" t="s">
        <v>0</v>
      </c>
      <c r="G20" s="8" t="s">
        <v>138</v>
      </c>
      <c r="H20" s="8" t="s">
        <v>126</v>
      </c>
      <c r="I20" s="8" t="s">
        <v>137</v>
      </c>
      <c r="L20" s="3" t="s">
        <v>35</v>
      </c>
      <c r="M20" s="3" t="s">
        <v>100</v>
      </c>
      <c r="N20" s="4">
        <v>32723</v>
      </c>
      <c r="P20" s="3" t="s">
        <v>120</v>
      </c>
      <c r="Q20" s="6">
        <f t="array" ref="Q20">INDEX($N$2:$N$1681,MATCH(R$10&amp;"-"&amp;P20,$L$2:$L$1681&amp;"-"&amp;$M$2:$M$1681))</f>
        <v>55172</v>
      </c>
      <c r="R20" s="6">
        <f t="shared" si="1"/>
        <v>55172</v>
      </c>
    </row>
    <row r="21" spans="1:18" x14ac:dyDescent="0.25">
      <c r="A21" s="5" t="str">
        <f t="shared" si="0"/>
        <v>Northern Marianas Islands-Thaddeus Cacciatori</v>
      </c>
      <c r="B21" s="3" t="s">
        <v>72</v>
      </c>
      <c r="C21" s="3" t="s">
        <v>114</v>
      </c>
      <c r="D21" s="4">
        <v>118500</v>
      </c>
      <c r="F21" s="3" t="s">
        <v>116</v>
      </c>
      <c r="G21" s="6">
        <f t="array" ref="G21">INDEX($D$2:$D$1681,MATCH(H$19&amp;"-"&amp;F21,$B$2:$B$1681&amp;"-"&amp;$C$2:$C$1681,0))</f>
        <v>160946</v>
      </c>
      <c r="H21" s="6">
        <f t="shared" ref="H21:H50" si="3">VLOOKUP(H$19&amp;"-"&amp;F21,$A$2:$D$1681,4,0)</f>
        <v>160946</v>
      </c>
      <c r="I21" s="5">
        <f>DGET($B$1:$D$1681,"Sales",H18:I19)</f>
        <v>121453</v>
      </c>
      <c r="L21" s="3" t="s">
        <v>35</v>
      </c>
      <c r="M21" s="3" t="s">
        <v>118</v>
      </c>
      <c r="N21" s="4">
        <v>125752</v>
      </c>
      <c r="P21" s="3" t="s">
        <v>111</v>
      </c>
      <c r="Q21" s="6">
        <f t="array" ref="Q21">INDEX($N$2:$N$1681,MATCH(R$10&amp;"-"&amp;P21,$L$2:$L$1681&amp;"-"&amp;$M$2:$M$1681))</f>
        <v>46098</v>
      </c>
      <c r="R21" s="6">
        <f t="shared" si="1"/>
        <v>46098</v>
      </c>
    </row>
    <row r="22" spans="1:18" x14ac:dyDescent="0.25">
      <c r="A22" s="5" t="str">
        <f t="shared" si="0"/>
        <v>Virgin Islands-Marvis Tenholder</v>
      </c>
      <c r="B22" s="3" t="s">
        <v>86</v>
      </c>
      <c r="C22" s="3" t="s">
        <v>105</v>
      </c>
      <c r="D22" s="4">
        <v>142158</v>
      </c>
      <c r="F22" s="3" t="s">
        <v>108</v>
      </c>
      <c r="G22" s="5">
        <f t="array" ref="G22">INDEX($D$2:$D$1681,MATCH(H$19&amp;"-"&amp;F22,$B$2:$B$1681&amp;"-"&amp;$C$2:$C$1681,0))</f>
        <v>107741</v>
      </c>
      <c r="H22" s="6">
        <f t="shared" si="3"/>
        <v>107741</v>
      </c>
      <c r="L22" s="3" t="s">
        <v>35</v>
      </c>
      <c r="M22" s="3" t="s">
        <v>101</v>
      </c>
      <c r="N22" s="4">
        <v>88961</v>
      </c>
      <c r="P22" s="3" t="s">
        <v>102</v>
      </c>
      <c r="Q22" s="6">
        <f t="array" ref="Q22">INDEX($N$2:$N$1681,MATCH(R$10&amp;"-"&amp;P22,$L$2:$L$1681&amp;"-"&amp;$M$2:$M$1681))</f>
        <v>156863</v>
      </c>
      <c r="R22" s="6">
        <f t="shared" si="1"/>
        <v>156863</v>
      </c>
    </row>
    <row r="23" spans="1:18" x14ac:dyDescent="0.25">
      <c r="A23" s="5" t="str">
        <f t="shared" si="0"/>
        <v>New Jersey-Kai Stroebel</v>
      </c>
      <c r="B23" s="3" t="s">
        <v>67</v>
      </c>
      <c r="C23" s="3" t="s">
        <v>111</v>
      </c>
      <c r="D23" s="4">
        <v>115755</v>
      </c>
      <c r="F23" s="3" t="s">
        <v>110</v>
      </c>
      <c r="G23" s="5">
        <f t="array" ref="G23">INDEX($D$2:$D$1681,MATCH(H$19&amp;"-"&amp;F23,$B$2:$B$1681&amp;"-"&amp;$C$2:$C$1681,0))</f>
        <v>172453</v>
      </c>
      <c r="H23" s="6">
        <f t="shared" si="3"/>
        <v>172453</v>
      </c>
      <c r="L23" s="3" t="s">
        <v>35</v>
      </c>
      <c r="M23" s="3" t="s">
        <v>122</v>
      </c>
      <c r="N23" s="4">
        <v>54830</v>
      </c>
      <c r="P23" s="3" t="s">
        <v>106</v>
      </c>
      <c r="Q23" s="6">
        <f t="array" ref="Q23">INDEX($N$2:$N$1681,MATCH(R$10&amp;"-"&amp;P23,$L$2:$L$1681&amp;"-"&amp;$M$2:$M$1681))</f>
        <v>174401</v>
      </c>
      <c r="R23" s="6">
        <f t="shared" si="1"/>
        <v>174401</v>
      </c>
    </row>
    <row r="24" spans="1:18" x14ac:dyDescent="0.25">
      <c r="A24" s="5" t="str">
        <f t="shared" si="0"/>
        <v>Tennessee-Keila Rossini</v>
      </c>
      <c r="B24" s="3" t="s">
        <v>81</v>
      </c>
      <c r="C24" s="3" t="s">
        <v>102</v>
      </c>
      <c r="D24" s="4">
        <v>135736</v>
      </c>
      <c r="F24" s="3" t="s">
        <v>99</v>
      </c>
      <c r="G24" s="5">
        <f t="array" ref="G24">INDEX($D$2:$D$1681,MATCH(H$19&amp;"-"&amp;F24,$B$2:$B$1681&amp;"-"&amp;$C$2:$C$1681,0))</f>
        <v>58614</v>
      </c>
      <c r="H24" s="6">
        <f t="shared" si="3"/>
        <v>58614</v>
      </c>
      <c r="L24" s="3" t="s">
        <v>35</v>
      </c>
      <c r="M24" s="3" t="s">
        <v>109</v>
      </c>
      <c r="N24" s="4">
        <v>35317</v>
      </c>
      <c r="P24" s="3" t="s">
        <v>123</v>
      </c>
      <c r="Q24" s="6">
        <f t="array" ref="Q24">INDEX($N$2:$N$1681,MATCH(R$10&amp;"-"&amp;P24,$L$2:$L$1681&amp;"-"&amp;$M$2:$M$1681))</f>
        <v>90754</v>
      </c>
      <c r="R24" s="6">
        <f t="shared" si="1"/>
        <v>90754</v>
      </c>
    </row>
    <row r="25" spans="1:18" x14ac:dyDescent="0.25">
      <c r="A25" s="5" t="str">
        <f t="shared" si="0"/>
        <v>Northern Marianas Islands-Quinton Modugno</v>
      </c>
      <c r="B25" s="3" t="s">
        <v>72</v>
      </c>
      <c r="C25" s="3" t="s">
        <v>101</v>
      </c>
      <c r="D25" s="4">
        <v>122374</v>
      </c>
      <c r="F25" s="3" t="s">
        <v>124</v>
      </c>
      <c r="G25" s="5">
        <f t="array" ref="G25">INDEX($D$2:$D$1681,MATCH(H$19&amp;"-"&amp;F25,$B$2:$B$1681&amp;"-"&amp;$C$2:$C$1681,0))</f>
        <v>59449</v>
      </c>
      <c r="H25" s="6">
        <f t="shared" si="3"/>
        <v>59449</v>
      </c>
      <c r="L25" s="3" t="s">
        <v>35</v>
      </c>
      <c r="M25" s="3" t="s">
        <v>95</v>
      </c>
      <c r="N25" s="4">
        <v>30452</v>
      </c>
      <c r="P25" s="3" t="s">
        <v>97</v>
      </c>
      <c r="Q25" s="6">
        <f t="array" ref="Q25">INDEX($N$2:$N$1681,MATCH(R$10&amp;"-"&amp;P25,$L$2:$L$1681&amp;"-"&amp;$M$2:$M$1681))</f>
        <v>144165</v>
      </c>
      <c r="R25" s="6">
        <f t="shared" si="1"/>
        <v>144165</v>
      </c>
    </row>
    <row r="26" spans="1:18" x14ac:dyDescent="0.25">
      <c r="A26" s="5" t="str">
        <f t="shared" si="0"/>
        <v>Oklahoma-Nolan Gohn</v>
      </c>
      <c r="B26" s="3" t="s">
        <v>74</v>
      </c>
      <c r="C26" s="3" t="s">
        <v>118</v>
      </c>
      <c r="D26" s="4">
        <v>125314</v>
      </c>
      <c r="F26" s="3" t="s">
        <v>96</v>
      </c>
      <c r="G26" s="5">
        <f t="array" ref="G26">INDEX($D$2:$D$1681,MATCH(H$19&amp;"-"&amp;F26,$B$2:$B$1681&amp;"-"&amp;$C$2:$C$1681,0))</f>
        <v>97325</v>
      </c>
      <c r="H26" s="6">
        <f t="shared" si="3"/>
        <v>97325</v>
      </c>
      <c r="L26" s="3" t="s">
        <v>35</v>
      </c>
      <c r="M26" s="3" t="s">
        <v>98</v>
      </c>
      <c r="N26" s="4">
        <v>68670</v>
      </c>
      <c r="P26" s="3" t="s">
        <v>119</v>
      </c>
      <c r="Q26" s="6">
        <f t="array" ref="Q26">INDEX($N$2:$N$1681,MATCH(R$10&amp;"-"&amp;P26,$L$2:$L$1681&amp;"-"&amp;$M$2:$M$1681))</f>
        <v>110636</v>
      </c>
      <c r="R26" s="6">
        <f t="shared" si="1"/>
        <v>110636</v>
      </c>
    </row>
    <row r="27" spans="1:18" x14ac:dyDescent="0.25">
      <c r="A27" s="5" t="str">
        <f t="shared" si="0"/>
        <v>Mississippi-Toi Zedaker</v>
      </c>
      <c r="B27" s="3" t="s">
        <v>61</v>
      </c>
      <c r="C27" s="3" t="s">
        <v>121</v>
      </c>
      <c r="D27" s="4">
        <v>101131</v>
      </c>
      <c r="F27" s="3" t="s">
        <v>115</v>
      </c>
      <c r="G27" s="5">
        <f t="array" ref="G27">INDEX($D$2:$D$1681,MATCH(H$19&amp;"-"&amp;F27,$B$2:$B$1681&amp;"-"&amp;$C$2:$C$1681,0))</f>
        <v>54562</v>
      </c>
      <c r="H27" s="6">
        <f t="shared" si="3"/>
        <v>54562</v>
      </c>
      <c r="L27" s="3" t="s">
        <v>35</v>
      </c>
      <c r="M27" s="3" t="s">
        <v>114</v>
      </c>
      <c r="N27" s="4">
        <v>63398</v>
      </c>
      <c r="P27" s="3" t="s">
        <v>113</v>
      </c>
      <c r="Q27" s="6">
        <f t="array" ref="Q27">INDEX($N$2:$N$1681,MATCH(R$10&amp;"-"&amp;P27,$L$2:$L$1681&amp;"-"&amp;$M$2:$M$1681))</f>
        <v>71366</v>
      </c>
      <c r="R27" s="6">
        <f t="shared" si="1"/>
        <v>71366</v>
      </c>
    </row>
    <row r="28" spans="1:18" x14ac:dyDescent="0.25">
      <c r="A28" s="5" t="str">
        <f t="shared" si="0"/>
        <v>Northern Marianas Islands-Twanda Lovenduski</v>
      </c>
      <c r="B28" s="3" t="s">
        <v>72</v>
      </c>
      <c r="C28" s="3" t="s">
        <v>107</v>
      </c>
      <c r="D28" s="4">
        <v>151441</v>
      </c>
      <c r="F28" s="3" t="s">
        <v>117</v>
      </c>
      <c r="G28" s="5">
        <f t="array" ref="G28">INDEX($D$2:$D$1681,MATCH(H$19&amp;"-"&amp;F28,$B$2:$B$1681&amp;"-"&amp;$C$2:$C$1681,0))</f>
        <v>12634</v>
      </c>
      <c r="H28" s="6">
        <f t="shared" si="3"/>
        <v>12634</v>
      </c>
      <c r="L28" s="3" t="s">
        <v>35</v>
      </c>
      <c r="M28" s="3" t="s">
        <v>112</v>
      </c>
      <c r="N28" s="4">
        <v>135701</v>
      </c>
      <c r="P28" s="3" t="s">
        <v>105</v>
      </c>
      <c r="Q28" s="6">
        <f t="array" ref="Q28">INDEX($N$2:$N$1681,MATCH(R$10&amp;"-"&amp;P28,$L$2:$L$1681&amp;"-"&amp;$M$2:$M$1681))</f>
        <v>33592</v>
      </c>
      <c r="R28" s="6">
        <f t="shared" si="1"/>
        <v>33592</v>
      </c>
    </row>
    <row r="29" spans="1:18" x14ac:dyDescent="0.25">
      <c r="A29" s="5" t="str">
        <f t="shared" si="0"/>
        <v>Alabama-Armand Mcleon</v>
      </c>
      <c r="B29" s="3" t="s">
        <v>35</v>
      </c>
      <c r="C29" s="3" t="s">
        <v>110</v>
      </c>
      <c r="D29" s="4">
        <v>86971</v>
      </c>
      <c r="F29" s="3" t="s">
        <v>120</v>
      </c>
      <c r="G29" s="5">
        <f t="array" ref="G29">INDEX($D$2:$D$1681,MATCH(H$19&amp;"-"&amp;F29,$B$2:$B$1681&amp;"-"&amp;$C$2:$C$1681,0))</f>
        <v>55172</v>
      </c>
      <c r="H29" s="6">
        <f t="shared" si="3"/>
        <v>55172</v>
      </c>
      <c r="L29" s="3" t="s">
        <v>35</v>
      </c>
      <c r="M29" s="3" t="s">
        <v>103</v>
      </c>
      <c r="N29" s="4">
        <v>125590</v>
      </c>
      <c r="P29" s="3" t="s">
        <v>104</v>
      </c>
      <c r="Q29" s="6">
        <f t="array" ref="Q29">INDEX($N$2:$N$1681,MATCH(R$10&amp;"-"&amp;P29,$L$2:$L$1681&amp;"-"&amp;$M$2:$M$1681))</f>
        <v>86624</v>
      </c>
      <c r="R29" s="6">
        <f t="shared" si="1"/>
        <v>86624</v>
      </c>
    </row>
    <row r="30" spans="1:18" x14ac:dyDescent="0.25">
      <c r="A30" s="5" t="str">
        <f t="shared" si="0"/>
        <v>Louisiana-Nolan Deorio</v>
      </c>
      <c r="B30" s="3" t="s">
        <v>55</v>
      </c>
      <c r="C30" s="3" t="s">
        <v>100</v>
      </c>
      <c r="D30" s="4">
        <v>125326</v>
      </c>
      <c r="F30" s="3" t="s">
        <v>111</v>
      </c>
      <c r="G30" s="5">
        <f t="array" ref="G30">INDEX($D$2:$D$1681,MATCH(H$19&amp;"-"&amp;F30,$B$2:$B$1681&amp;"-"&amp;$C$2:$C$1681,0))</f>
        <v>46098</v>
      </c>
      <c r="H30" s="6">
        <f t="shared" si="3"/>
        <v>46098</v>
      </c>
      <c r="L30" s="3" t="s">
        <v>35</v>
      </c>
      <c r="M30" s="3" t="s">
        <v>121</v>
      </c>
      <c r="N30" s="4">
        <v>151348</v>
      </c>
      <c r="P30" s="3" t="s">
        <v>100</v>
      </c>
      <c r="Q30" s="6">
        <f t="array" ref="Q30">INDEX($N$2:$N$1681,MATCH(R$10&amp;"-"&amp;P30,$L$2:$L$1681&amp;"-"&amp;$M$2:$M$1681))</f>
        <v>101060</v>
      </c>
      <c r="R30" s="6">
        <f t="shared" si="1"/>
        <v>101060</v>
      </c>
    </row>
    <row r="31" spans="1:18" x14ac:dyDescent="0.25">
      <c r="A31" s="5" t="str">
        <f t="shared" si="0"/>
        <v>Vermont-Sadye Diloreto</v>
      </c>
      <c r="B31" s="3" t="s">
        <v>84</v>
      </c>
      <c r="C31" s="3" t="s">
        <v>95</v>
      </c>
      <c r="D31" s="4">
        <v>154461</v>
      </c>
      <c r="F31" s="3" t="s">
        <v>102</v>
      </c>
      <c r="G31" s="5">
        <f t="array" ref="G31">INDEX($D$2:$D$1681,MATCH(H$19&amp;"-"&amp;F31,$B$2:$B$1681&amp;"-"&amp;$C$2:$C$1681,0))</f>
        <v>156863</v>
      </c>
      <c r="H31" s="6">
        <f t="shared" si="3"/>
        <v>156863</v>
      </c>
      <c r="L31" s="3" t="s">
        <v>35</v>
      </c>
      <c r="M31" s="3" t="s">
        <v>107</v>
      </c>
      <c r="N31" s="4">
        <v>62517</v>
      </c>
      <c r="P31" s="3" t="s">
        <v>118</v>
      </c>
      <c r="Q31" s="6">
        <f t="array" ref="Q31">INDEX($N$2:$N$1681,MATCH(R$10&amp;"-"&amp;P31,$L$2:$L$1681&amp;"-"&amp;$M$2:$M$1681))</f>
        <v>11775</v>
      </c>
      <c r="R31" s="6">
        <f t="shared" si="1"/>
        <v>11775</v>
      </c>
    </row>
    <row r="32" spans="1:18" x14ac:dyDescent="0.25">
      <c r="A32" s="5" t="str">
        <f t="shared" si="0"/>
        <v>Iowa-Marlin Mavromatis</v>
      </c>
      <c r="B32" s="3" t="s">
        <v>52</v>
      </c>
      <c r="C32" s="3" t="s">
        <v>113</v>
      </c>
      <c r="D32" s="4">
        <v>23612</v>
      </c>
      <c r="F32" s="3" t="s">
        <v>106</v>
      </c>
      <c r="G32" s="5">
        <f t="array" ref="G32">INDEX($D$2:$D$1681,MATCH(H$19&amp;"-"&amp;F32,$B$2:$B$1681&amp;"-"&amp;$C$2:$C$1681,0))</f>
        <v>174401</v>
      </c>
      <c r="H32" s="6">
        <f t="shared" si="3"/>
        <v>174401</v>
      </c>
      <c r="L32" s="3" t="s">
        <v>36</v>
      </c>
      <c r="M32" s="3" t="s">
        <v>116</v>
      </c>
      <c r="N32" s="4">
        <v>17633</v>
      </c>
      <c r="P32" s="3" t="s">
        <v>101</v>
      </c>
      <c r="Q32" s="6">
        <f t="array" ref="Q32">INDEX($N$2:$N$1681,MATCH(R$10&amp;"-"&amp;P32,$L$2:$L$1681&amp;"-"&amp;$M$2:$M$1681))</f>
        <v>55350</v>
      </c>
      <c r="R32" s="6">
        <f t="shared" si="1"/>
        <v>55350</v>
      </c>
    </row>
    <row r="33" spans="1:18" x14ac:dyDescent="0.25">
      <c r="A33" s="5" t="str">
        <f t="shared" si="0"/>
        <v>New Mexico-Twanda Lovenduski</v>
      </c>
      <c r="B33" s="3" t="s">
        <v>68</v>
      </c>
      <c r="C33" s="3" t="s">
        <v>107</v>
      </c>
      <c r="D33" s="4">
        <v>36382</v>
      </c>
      <c r="F33" s="3" t="s">
        <v>123</v>
      </c>
      <c r="G33" s="5">
        <f t="array" ref="G33">INDEX($D$2:$D$1681,MATCH(H$19&amp;"-"&amp;F33,$B$2:$B$1681&amp;"-"&amp;$C$2:$C$1681,0))</f>
        <v>90754</v>
      </c>
      <c r="H33" s="6">
        <f t="shared" si="3"/>
        <v>90754</v>
      </c>
      <c r="L33" s="3" t="s">
        <v>36</v>
      </c>
      <c r="M33" s="3" t="s">
        <v>108</v>
      </c>
      <c r="N33" s="4">
        <v>30418</v>
      </c>
      <c r="P33" s="3" t="s">
        <v>122</v>
      </c>
      <c r="Q33" s="6">
        <f t="array" ref="Q33">INDEX($N$2:$N$1681,MATCH(R$10&amp;"-"&amp;P33,$L$2:$L$1681&amp;"-"&amp;$M$2:$M$1681))</f>
        <v>54878</v>
      </c>
      <c r="R33" s="6">
        <f t="shared" si="1"/>
        <v>54878</v>
      </c>
    </row>
    <row r="34" spans="1:18" x14ac:dyDescent="0.25">
      <c r="A34" s="5" t="str">
        <f t="shared" si="0"/>
        <v>Maryland-Toi Zedaker</v>
      </c>
      <c r="B34" s="3" t="s">
        <v>57</v>
      </c>
      <c r="C34" s="3" t="s">
        <v>121</v>
      </c>
      <c r="D34" s="4">
        <v>52918</v>
      </c>
      <c r="F34" s="3" t="s">
        <v>97</v>
      </c>
      <c r="G34" s="5">
        <f t="array" ref="G34">INDEX($D$2:$D$1681,MATCH(H$19&amp;"-"&amp;F34,$B$2:$B$1681&amp;"-"&amp;$C$2:$C$1681,0))</f>
        <v>144165</v>
      </c>
      <c r="H34" s="6">
        <f t="shared" si="3"/>
        <v>144165</v>
      </c>
      <c r="L34" s="3" t="s">
        <v>36</v>
      </c>
      <c r="M34" s="3" t="s">
        <v>110</v>
      </c>
      <c r="N34" s="4">
        <v>147739</v>
      </c>
      <c r="P34" s="3" t="s">
        <v>109</v>
      </c>
      <c r="Q34" s="6">
        <f t="array" ref="Q34">INDEX($N$2:$N$1681,MATCH(R$10&amp;"-"&amp;P34,$L$2:$L$1681&amp;"-"&amp;$M$2:$M$1681))</f>
        <v>79377</v>
      </c>
      <c r="R34" s="6">
        <f t="shared" si="1"/>
        <v>79377</v>
      </c>
    </row>
    <row r="35" spans="1:18" x14ac:dyDescent="0.25">
      <c r="A35" s="5" t="str">
        <f t="shared" si="0"/>
        <v>Montana-Ali Steenken</v>
      </c>
      <c r="B35" s="3" t="s">
        <v>63</v>
      </c>
      <c r="C35" s="3" t="s">
        <v>116</v>
      </c>
      <c r="D35" s="4">
        <v>121980</v>
      </c>
      <c r="F35" s="3" t="s">
        <v>119</v>
      </c>
      <c r="G35" s="5">
        <f t="array" ref="G35">INDEX($D$2:$D$1681,MATCH(H$19&amp;"-"&amp;F35,$B$2:$B$1681&amp;"-"&amp;$C$2:$C$1681,0))</f>
        <v>110636</v>
      </c>
      <c r="H35" s="6">
        <f t="shared" si="3"/>
        <v>110636</v>
      </c>
      <c r="L35" s="3" t="s">
        <v>36</v>
      </c>
      <c r="M35" s="3" t="s">
        <v>99</v>
      </c>
      <c r="N35" s="4">
        <v>134411</v>
      </c>
      <c r="P35" s="3" t="s">
        <v>95</v>
      </c>
      <c r="Q35" s="6">
        <f t="array" ref="Q35">INDEX($N$2:$N$1681,MATCH(R$10&amp;"-"&amp;P35,$L$2:$L$1681&amp;"-"&amp;$M$2:$M$1681))</f>
        <v>121453</v>
      </c>
      <c r="R35" s="6">
        <f t="shared" si="1"/>
        <v>121453</v>
      </c>
    </row>
    <row r="36" spans="1:18" x14ac:dyDescent="0.25">
      <c r="A36" s="5" t="str">
        <f t="shared" si="0"/>
        <v>Missouri-Marlin Mavromatis</v>
      </c>
      <c r="B36" s="3" t="s">
        <v>62</v>
      </c>
      <c r="C36" s="3" t="s">
        <v>113</v>
      </c>
      <c r="D36" s="4">
        <v>107147</v>
      </c>
      <c r="F36" s="3" t="s">
        <v>113</v>
      </c>
      <c r="G36" s="5">
        <f t="array" ref="G36">INDEX($D$2:$D$1681,MATCH(H$19&amp;"-"&amp;F36,$B$2:$B$1681&amp;"-"&amp;$C$2:$C$1681,0))</f>
        <v>71366</v>
      </c>
      <c r="H36" s="6">
        <f t="shared" si="3"/>
        <v>71366</v>
      </c>
      <c r="L36" s="3" t="s">
        <v>36</v>
      </c>
      <c r="M36" s="3" t="s">
        <v>124</v>
      </c>
      <c r="N36" s="4">
        <v>68738</v>
      </c>
      <c r="P36" s="3" t="s">
        <v>98</v>
      </c>
      <c r="Q36" s="6">
        <f t="array" ref="Q36">INDEX($N$2:$N$1681,MATCH(R$10&amp;"-"&amp;P36,$L$2:$L$1681&amp;"-"&amp;$M$2:$M$1681))</f>
        <v>150247</v>
      </c>
      <c r="R36" s="6">
        <f t="shared" si="1"/>
        <v>150247</v>
      </c>
    </row>
    <row r="37" spans="1:18" x14ac:dyDescent="0.25">
      <c r="A37" s="5" t="str">
        <f t="shared" si="0"/>
        <v>Louisiana-Keila Rossini</v>
      </c>
      <c r="B37" s="3" t="s">
        <v>55</v>
      </c>
      <c r="C37" s="3" t="s">
        <v>102</v>
      </c>
      <c r="D37" s="4">
        <v>99917</v>
      </c>
      <c r="F37" s="3" t="s">
        <v>105</v>
      </c>
      <c r="G37" s="5">
        <f t="array" ref="G37">INDEX($D$2:$D$1681,MATCH(H$19&amp;"-"&amp;F37,$B$2:$B$1681&amp;"-"&amp;$C$2:$C$1681,0))</f>
        <v>33592</v>
      </c>
      <c r="H37" s="6">
        <f t="shared" si="3"/>
        <v>33592</v>
      </c>
      <c r="L37" s="3" t="s">
        <v>36</v>
      </c>
      <c r="M37" s="3" t="s">
        <v>96</v>
      </c>
      <c r="N37" s="4">
        <v>32051</v>
      </c>
      <c r="P37" s="3" t="s">
        <v>114</v>
      </c>
      <c r="Q37" s="6">
        <f t="array" ref="Q37">INDEX($N$2:$N$1681,MATCH(R$10&amp;"-"&amp;P37,$L$2:$L$1681&amp;"-"&amp;$M$2:$M$1681))</f>
        <v>11560</v>
      </c>
      <c r="R37" s="6">
        <f t="shared" si="1"/>
        <v>11560</v>
      </c>
    </row>
    <row r="38" spans="1:18" x14ac:dyDescent="0.25">
      <c r="A38" s="5" t="str">
        <f t="shared" si="0"/>
        <v>District of Columbia-Nolan Gohn</v>
      </c>
      <c r="B38" s="3" t="s">
        <v>44</v>
      </c>
      <c r="C38" s="3" t="s">
        <v>118</v>
      </c>
      <c r="D38" s="4">
        <v>43870</v>
      </c>
      <c r="F38" s="3" t="s">
        <v>104</v>
      </c>
      <c r="G38" s="5">
        <f t="array" ref="G38">INDEX($D$2:$D$1681,MATCH(H$19&amp;"-"&amp;F38,$B$2:$B$1681&amp;"-"&amp;$C$2:$C$1681,0))</f>
        <v>86624</v>
      </c>
      <c r="H38" s="6">
        <f t="shared" si="3"/>
        <v>86624</v>
      </c>
      <c r="L38" s="3" t="s">
        <v>36</v>
      </c>
      <c r="M38" s="3" t="s">
        <v>115</v>
      </c>
      <c r="N38" s="4">
        <v>156176</v>
      </c>
      <c r="P38" s="3" t="s">
        <v>112</v>
      </c>
      <c r="Q38" s="6">
        <f t="array" ref="Q38">INDEX($N$2:$N$1681,MATCH(R$10&amp;"-"&amp;P38,$L$2:$L$1681&amp;"-"&amp;$M$2:$M$1681))</f>
        <v>111917</v>
      </c>
      <c r="R38" s="6">
        <f t="shared" si="1"/>
        <v>111917</v>
      </c>
    </row>
    <row r="39" spans="1:18" x14ac:dyDescent="0.25">
      <c r="A39" s="5" t="str">
        <f t="shared" si="0"/>
        <v>Arkansas-Ali Stupp</v>
      </c>
      <c r="B39" s="3" t="s">
        <v>39</v>
      </c>
      <c r="C39" s="3" t="s">
        <v>108</v>
      </c>
      <c r="D39" s="4">
        <v>127194</v>
      </c>
      <c r="F39" s="3" t="s">
        <v>100</v>
      </c>
      <c r="G39" s="5">
        <f t="array" ref="G39">INDEX($D$2:$D$1681,MATCH(H$19&amp;"-"&amp;F39,$B$2:$B$1681&amp;"-"&amp;$C$2:$C$1681,0))</f>
        <v>101060</v>
      </c>
      <c r="H39" s="6">
        <f t="shared" si="3"/>
        <v>101060</v>
      </c>
      <c r="L39" s="3" t="s">
        <v>36</v>
      </c>
      <c r="M39" s="3" t="s">
        <v>117</v>
      </c>
      <c r="N39" s="4">
        <v>81801</v>
      </c>
      <c r="P39" s="3" t="s">
        <v>103</v>
      </c>
      <c r="Q39" s="6">
        <f t="array" ref="Q39">INDEX($N$2:$N$1681,MATCH(R$10&amp;"-"&amp;P39,$L$2:$L$1681&amp;"-"&amp;$M$2:$M$1681))</f>
        <v>109245</v>
      </c>
      <c r="R39" s="6">
        <f t="shared" si="1"/>
        <v>109245</v>
      </c>
    </row>
    <row r="40" spans="1:18" x14ac:dyDescent="0.25">
      <c r="A40" s="5" t="str">
        <f t="shared" si="0"/>
        <v>Ohio-Son Shryack</v>
      </c>
      <c r="B40" s="3" t="s">
        <v>73</v>
      </c>
      <c r="C40" s="3" t="s">
        <v>98</v>
      </c>
      <c r="D40" s="4">
        <v>98810</v>
      </c>
      <c r="F40" s="3" t="s">
        <v>118</v>
      </c>
      <c r="G40" s="5">
        <f t="array" ref="G40">INDEX($D$2:$D$1681,MATCH(H$19&amp;"-"&amp;F40,$B$2:$B$1681&amp;"-"&amp;$C$2:$C$1681,0))</f>
        <v>11775</v>
      </c>
      <c r="H40" s="6">
        <f t="shared" si="3"/>
        <v>11775</v>
      </c>
      <c r="L40" s="3" t="s">
        <v>36</v>
      </c>
      <c r="M40" s="3" t="s">
        <v>120</v>
      </c>
      <c r="N40" s="4">
        <v>53621</v>
      </c>
      <c r="P40" s="3" t="s">
        <v>121</v>
      </c>
      <c r="Q40" s="6">
        <f t="array" ref="Q40">INDEX($N$2:$N$1681,MATCH(R$10&amp;"-"&amp;P40,$L$2:$L$1681&amp;"-"&amp;$M$2:$M$1681))</f>
        <v>8522</v>
      </c>
      <c r="R40" s="6">
        <f t="shared" si="1"/>
        <v>8522</v>
      </c>
    </row>
    <row r="41" spans="1:18" x14ac:dyDescent="0.25">
      <c r="A41" s="5" t="str">
        <f t="shared" si="0"/>
        <v>Pennsylvania-Cliff Schnautz</v>
      </c>
      <c r="B41" s="3" t="s">
        <v>76</v>
      </c>
      <c r="C41" s="3" t="s">
        <v>96</v>
      </c>
      <c r="D41" s="4">
        <v>48155</v>
      </c>
      <c r="F41" s="3" t="s">
        <v>101</v>
      </c>
      <c r="G41" s="5">
        <f t="array" ref="G41">INDEX($D$2:$D$1681,MATCH(H$19&amp;"-"&amp;F41,$B$2:$B$1681&amp;"-"&amp;$C$2:$C$1681,0))</f>
        <v>55350</v>
      </c>
      <c r="H41" s="6">
        <f t="shared" si="3"/>
        <v>55350</v>
      </c>
      <c r="L41" s="3" t="s">
        <v>36</v>
      </c>
      <c r="M41" s="3" t="s">
        <v>111</v>
      </c>
      <c r="N41" s="4">
        <v>42240</v>
      </c>
      <c r="P41" s="3" t="s">
        <v>107</v>
      </c>
      <c r="Q41" s="6">
        <f t="array" ref="Q41">INDEX($N$2:$N$1681,MATCH(R$10&amp;"-"&amp;P41,$L$2:$L$1681&amp;"-"&amp;$M$2:$M$1681))</f>
        <v>68902</v>
      </c>
      <c r="R41" s="6">
        <f t="shared" si="1"/>
        <v>68902</v>
      </c>
    </row>
    <row r="42" spans="1:18" x14ac:dyDescent="0.25">
      <c r="A42" s="5" t="str">
        <f t="shared" si="0"/>
        <v>Michigan-Kai Stroebel</v>
      </c>
      <c r="B42" s="3" t="s">
        <v>59</v>
      </c>
      <c r="C42" s="3" t="s">
        <v>111</v>
      </c>
      <c r="D42" s="4">
        <v>121381</v>
      </c>
      <c r="F42" s="3" t="s">
        <v>122</v>
      </c>
      <c r="G42" s="5">
        <f t="array" ref="G42">INDEX($D$2:$D$1681,MATCH(H$19&amp;"-"&amp;F42,$B$2:$B$1681&amp;"-"&amp;$C$2:$C$1681,0))</f>
        <v>54878</v>
      </c>
      <c r="H42" s="6">
        <f t="shared" si="3"/>
        <v>54878</v>
      </c>
      <c r="L42" s="3" t="s">
        <v>36</v>
      </c>
      <c r="M42" s="3" t="s">
        <v>102</v>
      </c>
      <c r="N42" s="4">
        <v>110931</v>
      </c>
    </row>
    <row r="43" spans="1:18" x14ac:dyDescent="0.25">
      <c r="A43" s="5" t="str">
        <f t="shared" si="0"/>
        <v>Montana-Marcel Davern</v>
      </c>
      <c r="B43" s="3" t="s">
        <v>63</v>
      </c>
      <c r="C43" s="3" t="s">
        <v>119</v>
      </c>
      <c r="D43" s="4">
        <v>143244</v>
      </c>
      <c r="F43" s="3" t="s">
        <v>109</v>
      </c>
      <c r="G43" s="5">
        <f t="array" ref="G43">INDEX($D$2:$D$1681,MATCH(H$19&amp;"-"&amp;F43,$B$2:$B$1681&amp;"-"&amp;$C$2:$C$1681,0))</f>
        <v>79377</v>
      </c>
      <c r="H43" s="6">
        <f t="shared" si="3"/>
        <v>79377</v>
      </c>
      <c r="L43" s="3" t="s">
        <v>36</v>
      </c>
      <c r="M43" s="3" t="s">
        <v>106</v>
      </c>
      <c r="N43" s="4">
        <v>58473</v>
      </c>
    </row>
    <row r="44" spans="1:18" x14ac:dyDescent="0.25">
      <c r="A44" s="5" t="str">
        <f t="shared" si="0"/>
        <v>Kentucky-Sadye Diloreto</v>
      </c>
      <c r="B44" s="3" t="s">
        <v>54</v>
      </c>
      <c r="C44" s="3" t="s">
        <v>95</v>
      </c>
      <c r="D44" s="4">
        <v>95499</v>
      </c>
      <c r="F44" s="3" t="s">
        <v>95</v>
      </c>
      <c r="G44" s="5">
        <f t="array" ref="G44">INDEX($D$2:$D$1681,MATCH(H$19&amp;"-"&amp;F44,$B$2:$B$1681&amp;"-"&amp;$C$2:$C$1681,0))</f>
        <v>121453</v>
      </c>
      <c r="H44" s="6">
        <f t="shared" si="3"/>
        <v>121453</v>
      </c>
      <c r="L44" s="3" t="s">
        <v>36</v>
      </c>
      <c r="M44" s="3" t="s">
        <v>123</v>
      </c>
      <c r="N44" s="4">
        <v>13394</v>
      </c>
    </row>
    <row r="45" spans="1:18" x14ac:dyDescent="0.25">
      <c r="A45" s="5" t="str">
        <f t="shared" si="0"/>
        <v>Arkansas-Ali Steenken</v>
      </c>
      <c r="B45" s="3" t="s">
        <v>39</v>
      </c>
      <c r="C45" s="3" t="s">
        <v>116</v>
      </c>
      <c r="D45" s="4">
        <v>52512</v>
      </c>
      <c r="F45" s="3" t="s">
        <v>98</v>
      </c>
      <c r="G45" s="5">
        <f t="array" ref="G45">INDEX($D$2:$D$1681,MATCH(H$19&amp;"-"&amp;F45,$B$2:$B$1681&amp;"-"&amp;$C$2:$C$1681,0))</f>
        <v>150247</v>
      </c>
      <c r="H45" s="6">
        <f t="shared" si="3"/>
        <v>150247</v>
      </c>
      <c r="L45" s="3" t="s">
        <v>36</v>
      </c>
      <c r="M45" s="3" t="s">
        <v>97</v>
      </c>
      <c r="N45" s="4">
        <v>73711</v>
      </c>
    </row>
    <row r="46" spans="1:18" x14ac:dyDescent="0.25">
      <c r="A46" s="5" t="str">
        <f t="shared" si="0"/>
        <v>Wisconsin-Nolan Gohn</v>
      </c>
      <c r="B46" s="3" t="s">
        <v>89</v>
      </c>
      <c r="C46" s="3" t="s">
        <v>118</v>
      </c>
      <c r="D46" s="4">
        <v>14386</v>
      </c>
      <c r="F46" s="3" t="s">
        <v>114</v>
      </c>
      <c r="G46" s="5">
        <f t="array" ref="G46">INDEX($D$2:$D$1681,MATCH(H$19&amp;"-"&amp;F46,$B$2:$B$1681&amp;"-"&amp;$C$2:$C$1681,0))</f>
        <v>11560</v>
      </c>
      <c r="H46" s="6">
        <f t="shared" si="3"/>
        <v>11560</v>
      </c>
      <c r="L46" s="3" t="s">
        <v>36</v>
      </c>
      <c r="M46" s="3" t="s">
        <v>119</v>
      </c>
      <c r="N46" s="4">
        <v>151137</v>
      </c>
    </row>
    <row r="47" spans="1:18" x14ac:dyDescent="0.25">
      <c r="A47" s="5" t="str">
        <f t="shared" si="0"/>
        <v>Oregon-Cliff Bahlmann</v>
      </c>
      <c r="B47" s="3" t="s">
        <v>75</v>
      </c>
      <c r="C47" s="3" t="s">
        <v>99</v>
      </c>
      <c r="D47" s="4">
        <v>65561</v>
      </c>
      <c r="F47" s="3" t="s">
        <v>112</v>
      </c>
      <c r="G47" s="5">
        <f t="array" ref="G47">INDEX($D$2:$D$1681,MATCH(H$19&amp;"-"&amp;F47,$B$2:$B$1681&amp;"-"&amp;$C$2:$C$1681,0))</f>
        <v>111917</v>
      </c>
      <c r="H47" s="6">
        <f t="shared" si="3"/>
        <v>111917</v>
      </c>
      <c r="L47" s="3" t="s">
        <v>36</v>
      </c>
      <c r="M47" s="3" t="s">
        <v>113</v>
      </c>
      <c r="N47" s="4">
        <v>155323</v>
      </c>
    </row>
    <row r="48" spans="1:18" x14ac:dyDescent="0.25">
      <c r="A48" s="5" t="str">
        <f t="shared" si="0"/>
        <v>Minnesota-Son Shryack</v>
      </c>
      <c r="B48" s="3" t="s">
        <v>60</v>
      </c>
      <c r="C48" s="3" t="s">
        <v>98</v>
      </c>
      <c r="D48" s="4">
        <v>66563</v>
      </c>
      <c r="F48" s="3" t="s">
        <v>103</v>
      </c>
      <c r="G48" s="5">
        <f t="array" ref="G48">INDEX($D$2:$D$1681,MATCH(H$19&amp;"-"&amp;F48,$B$2:$B$1681&amp;"-"&amp;$C$2:$C$1681,0))</f>
        <v>109245</v>
      </c>
      <c r="H48" s="6">
        <f t="shared" si="3"/>
        <v>109245</v>
      </c>
      <c r="L48" s="3" t="s">
        <v>36</v>
      </c>
      <c r="M48" s="3" t="s">
        <v>105</v>
      </c>
      <c r="N48" s="4">
        <v>156203</v>
      </c>
    </row>
    <row r="49" spans="1:14" x14ac:dyDescent="0.25">
      <c r="A49" s="5" t="str">
        <f t="shared" si="0"/>
        <v>Rhode Island-Thaddeus Cacciatori</v>
      </c>
      <c r="B49" s="3" t="s">
        <v>78</v>
      </c>
      <c r="C49" s="3" t="s">
        <v>114</v>
      </c>
      <c r="D49" s="4">
        <v>99584</v>
      </c>
      <c r="F49" s="3" t="s">
        <v>121</v>
      </c>
      <c r="G49" s="5">
        <f t="array" ref="G49">INDEX($D$2:$D$1681,MATCH(H$19&amp;"-"&amp;F49,$B$2:$B$1681&amp;"-"&amp;$C$2:$C$1681,0))</f>
        <v>8522</v>
      </c>
      <c r="H49" s="6">
        <f t="shared" si="3"/>
        <v>8522</v>
      </c>
      <c r="L49" s="3" t="s">
        <v>36</v>
      </c>
      <c r="M49" s="3" t="s">
        <v>104</v>
      </c>
      <c r="N49" s="4">
        <v>92770</v>
      </c>
    </row>
    <row r="50" spans="1:14" x14ac:dyDescent="0.25">
      <c r="A50" s="5" t="str">
        <f t="shared" si="0"/>
        <v>Alaska-Ali Stupp</v>
      </c>
      <c r="B50" s="3" t="s">
        <v>36</v>
      </c>
      <c r="C50" s="3" t="s">
        <v>108</v>
      </c>
      <c r="D50" s="4">
        <v>30418</v>
      </c>
      <c r="F50" s="3" t="s">
        <v>107</v>
      </c>
      <c r="G50" s="5">
        <f t="array" ref="G50">INDEX($D$2:$D$1681,MATCH(H$19&amp;"-"&amp;F50,$B$2:$B$1681&amp;"-"&amp;$C$2:$C$1681,0))</f>
        <v>68902</v>
      </c>
      <c r="H50" s="6">
        <f t="shared" si="3"/>
        <v>68902</v>
      </c>
      <c r="L50" s="3" t="s">
        <v>36</v>
      </c>
      <c r="M50" s="3" t="s">
        <v>100</v>
      </c>
      <c r="N50" s="4">
        <v>46808</v>
      </c>
    </row>
    <row r="51" spans="1:14" x14ac:dyDescent="0.25">
      <c r="A51" s="5" t="str">
        <f t="shared" si="0"/>
        <v>Utah-Nolan Gohn</v>
      </c>
      <c r="B51" s="3" t="s">
        <v>83</v>
      </c>
      <c r="C51" s="3" t="s">
        <v>118</v>
      </c>
      <c r="D51" s="4">
        <v>88645</v>
      </c>
      <c r="L51" s="3" t="s">
        <v>36</v>
      </c>
      <c r="M51" s="3" t="s">
        <v>118</v>
      </c>
      <c r="N51" s="4">
        <v>150131</v>
      </c>
    </row>
    <row r="52" spans="1:14" x14ac:dyDescent="0.25">
      <c r="A52" s="5" t="str">
        <f t="shared" si="0"/>
        <v>Florida-Ali Stupp</v>
      </c>
      <c r="B52" s="3" t="s">
        <v>45</v>
      </c>
      <c r="C52" s="3" t="s">
        <v>108</v>
      </c>
      <c r="D52" s="4">
        <v>9509</v>
      </c>
      <c r="L52" s="3" t="s">
        <v>36</v>
      </c>
      <c r="M52" s="3" t="s">
        <v>101</v>
      </c>
      <c r="N52" s="4">
        <v>14445</v>
      </c>
    </row>
    <row r="53" spans="1:14" x14ac:dyDescent="0.25">
      <c r="A53" s="5" t="str">
        <f t="shared" si="0"/>
        <v>Illinois-Moises Paynes</v>
      </c>
      <c r="B53" s="3" t="s">
        <v>50</v>
      </c>
      <c r="C53" s="3" t="s">
        <v>104</v>
      </c>
      <c r="D53" s="4">
        <v>131523</v>
      </c>
      <c r="L53" s="3" t="s">
        <v>36</v>
      </c>
      <c r="M53" s="3" t="s">
        <v>122</v>
      </c>
      <c r="N53" s="4">
        <v>42379</v>
      </c>
    </row>
    <row r="54" spans="1:14" x14ac:dyDescent="0.25">
      <c r="A54" s="5" t="str">
        <f t="shared" si="0"/>
        <v>Hawaii-Marcel Davern</v>
      </c>
      <c r="B54" s="3" t="s">
        <v>48</v>
      </c>
      <c r="C54" s="3" t="s">
        <v>119</v>
      </c>
      <c r="D54" s="4">
        <v>39564</v>
      </c>
      <c r="L54" s="3" t="s">
        <v>36</v>
      </c>
      <c r="M54" s="3" t="s">
        <v>109</v>
      </c>
      <c r="N54" s="4">
        <v>120280</v>
      </c>
    </row>
    <row r="55" spans="1:14" x14ac:dyDescent="0.25">
      <c r="A55" s="5" t="str">
        <f t="shared" si="0"/>
        <v>Missouri-Raphael Bonawitz</v>
      </c>
      <c r="B55" s="3" t="s">
        <v>62</v>
      </c>
      <c r="C55" s="3" t="s">
        <v>122</v>
      </c>
      <c r="D55" s="4">
        <v>135036</v>
      </c>
      <c r="L55" s="3" t="s">
        <v>36</v>
      </c>
      <c r="M55" s="3" t="s">
        <v>95</v>
      </c>
      <c r="N55" s="4">
        <v>164108</v>
      </c>
    </row>
    <row r="56" spans="1:14" x14ac:dyDescent="0.25">
      <c r="A56" s="5" t="str">
        <f t="shared" si="0"/>
        <v>Arkansas-Cliff Bahlmann</v>
      </c>
      <c r="B56" s="3" t="s">
        <v>39</v>
      </c>
      <c r="C56" s="3" t="s">
        <v>99</v>
      </c>
      <c r="D56" s="4">
        <v>104660</v>
      </c>
      <c r="L56" s="3" t="s">
        <v>36</v>
      </c>
      <c r="M56" s="3" t="s">
        <v>98</v>
      </c>
      <c r="N56" s="4">
        <v>19104</v>
      </c>
    </row>
    <row r="57" spans="1:14" x14ac:dyDescent="0.25">
      <c r="A57" s="5" t="str">
        <f t="shared" si="0"/>
        <v>Montana-Lianne Trappey</v>
      </c>
      <c r="B57" s="3" t="s">
        <v>63</v>
      </c>
      <c r="C57" s="3" t="s">
        <v>123</v>
      </c>
      <c r="D57" s="4">
        <v>3170</v>
      </c>
      <c r="L57" s="3" t="s">
        <v>36</v>
      </c>
      <c r="M57" s="3" t="s">
        <v>114</v>
      </c>
      <c r="N57" s="4">
        <v>40220</v>
      </c>
    </row>
    <row r="58" spans="1:14" x14ac:dyDescent="0.25">
      <c r="A58" s="5" t="str">
        <f t="shared" si="0"/>
        <v>Louisiana-Ali Steenken</v>
      </c>
      <c r="B58" s="3" t="s">
        <v>55</v>
      </c>
      <c r="C58" s="3" t="s">
        <v>116</v>
      </c>
      <c r="D58" s="4">
        <v>112460</v>
      </c>
      <c r="L58" s="3" t="s">
        <v>36</v>
      </c>
      <c r="M58" s="3" t="s">
        <v>112</v>
      </c>
      <c r="N58" s="4">
        <v>84890</v>
      </c>
    </row>
    <row r="59" spans="1:14" x14ac:dyDescent="0.25">
      <c r="A59" s="5" t="str">
        <f t="shared" si="0"/>
        <v>Georgia-Moises Paynes</v>
      </c>
      <c r="B59" s="3" t="s">
        <v>46</v>
      </c>
      <c r="C59" s="3" t="s">
        <v>104</v>
      </c>
      <c r="D59" s="4">
        <v>150591</v>
      </c>
      <c r="L59" s="3" t="s">
        <v>36</v>
      </c>
      <c r="M59" s="3" t="s">
        <v>103</v>
      </c>
      <c r="N59" s="4">
        <v>61858</v>
      </c>
    </row>
    <row r="60" spans="1:14" x14ac:dyDescent="0.25">
      <c r="A60" s="5" t="str">
        <f t="shared" si="0"/>
        <v>Vermont-Quinton Modugno</v>
      </c>
      <c r="B60" s="3" t="s">
        <v>84</v>
      </c>
      <c r="C60" s="3" t="s">
        <v>101</v>
      </c>
      <c r="D60" s="4">
        <v>12339</v>
      </c>
      <c r="L60" s="3" t="s">
        <v>36</v>
      </c>
      <c r="M60" s="3" t="s">
        <v>121</v>
      </c>
      <c r="N60" s="4">
        <v>20180</v>
      </c>
    </row>
    <row r="61" spans="1:14" x14ac:dyDescent="0.25">
      <c r="A61" s="5" t="str">
        <f t="shared" si="0"/>
        <v>Virginia-Jackson Lorkowski</v>
      </c>
      <c r="B61" s="3" t="s">
        <v>85</v>
      </c>
      <c r="C61" s="3" t="s">
        <v>120</v>
      </c>
      <c r="D61" s="4">
        <v>40930</v>
      </c>
      <c r="L61" s="3" t="s">
        <v>36</v>
      </c>
      <c r="M61" s="3" t="s">
        <v>107</v>
      </c>
      <c r="N61" s="4">
        <v>71110</v>
      </c>
    </row>
    <row r="62" spans="1:14" x14ac:dyDescent="0.25">
      <c r="A62" s="5" t="str">
        <f t="shared" si="0"/>
        <v>South Dakota-Cliff Schnautz</v>
      </c>
      <c r="B62" s="3" t="s">
        <v>80</v>
      </c>
      <c r="C62" s="3" t="s">
        <v>96</v>
      </c>
      <c r="D62" s="4">
        <v>137378</v>
      </c>
      <c r="L62" s="3" t="s">
        <v>37</v>
      </c>
      <c r="M62" s="3" t="s">
        <v>116</v>
      </c>
      <c r="N62" s="4">
        <v>70160</v>
      </c>
    </row>
    <row r="63" spans="1:14" x14ac:dyDescent="0.25">
      <c r="A63" s="5" t="str">
        <f t="shared" si="0"/>
        <v>Ohio-Jackson Lorkowski</v>
      </c>
      <c r="B63" s="3" t="s">
        <v>73</v>
      </c>
      <c r="C63" s="3" t="s">
        <v>120</v>
      </c>
      <c r="D63" s="4">
        <v>47526</v>
      </c>
      <c r="L63" s="3" t="s">
        <v>37</v>
      </c>
      <c r="M63" s="3" t="s">
        <v>108</v>
      </c>
      <c r="N63" s="4">
        <v>75583</v>
      </c>
    </row>
    <row r="64" spans="1:14" x14ac:dyDescent="0.25">
      <c r="A64" s="5" t="str">
        <f t="shared" si="0"/>
        <v>Missouri-Toi Medico</v>
      </c>
      <c r="B64" s="3" t="s">
        <v>62</v>
      </c>
      <c r="C64" s="3" t="s">
        <v>103</v>
      </c>
      <c r="D64" s="4">
        <v>99831</v>
      </c>
      <c r="L64" s="3" t="s">
        <v>37</v>
      </c>
      <c r="M64" s="3" t="s">
        <v>110</v>
      </c>
      <c r="N64" s="4">
        <v>17680</v>
      </c>
    </row>
    <row r="65" spans="1:14" x14ac:dyDescent="0.25">
      <c r="A65" s="5" t="str">
        <f t="shared" si="0"/>
        <v>Wyoming-Marcel Davern</v>
      </c>
      <c r="B65" s="3" t="s">
        <v>90</v>
      </c>
      <c r="C65" s="3" t="s">
        <v>119</v>
      </c>
      <c r="D65" s="4">
        <v>170484</v>
      </c>
      <c r="L65" s="3" t="s">
        <v>37</v>
      </c>
      <c r="M65" s="3" t="s">
        <v>99</v>
      </c>
      <c r="N65" s="4">
        <v>95462</v>
      </c>
    </row>
    <row r="66" spans="1:14" x14ac:dyDescent="0.25">
      <c r="A66" s="5" t="str">
        <f t="shared" ref="A66:A129" si="4">B66&amp;"-"&amp;C66</f>
        <v>Missouri-Ali Steenken</v>
      </c>
      <c r="B66" s="3" t="s">
        <v>62</v>
      </c>
      <c r="C66" s="3" t="s">
        <v>116</v>
      </c>
      <c r="D66" s="4">
        <v>114729</v>
      </c>
      <c r="L66" s="3" t="s">
        <v>37</v>
      </c>
      <c r="M66" s="3" t="s">
        <v>124</v>
      </c>
      <c r="N66" s="4">
        <v>95588</v>
      </c>
    </row>
    <row r="67" spans="1:14" x14ac:dyDescent="0.25">
      <c r="A67" s="5" t="str">
        <f t="shared" si="4"/>
        <v>North Dakota-Raphael Derrig</v>
      </c>
      <c r="B67" s="3" t="s">
        <v>71</v>
      </c>
      <c r="C67" s="3" t="s">
        <v>109</v>
      </c>
      <c r="D67" s="4">
        <v>144568</v>
      </c>
      <c r="L67" s="3" t="s">
        <v>37</v>
      </c>
      <c r="M67" s="3" t="s">
        <v>96</v>
      </c>
      <c r="N67" s="4">
        <v>115382</v>
      </c>
    </row>
    <row r="68" spans="1:14" x14ac:dyDescent="0.25">
      <c r="A68" s="5" t="str">
        <f t="shared" si="4"/>
        <v>Utah-Kai Stroebel</v>
      </c>
      <c r="B68" s="3" t="s">
        <v>83</v>
      </c>
      <c r="C68" s="3" t="s">
        <v>111</v>
      </c>
      <c r="D68" s="4">
        <v>79854</v>
      </c>
      <c r="L68" s="3" t="s">
        <v>37</v>
      </c>
      <c r="M68" s="3" t="s">
        <v>115</v>
      </c>
      <c r="N68" s="4">
        <v>93782</v>
      </c>
    </row>
    <row r="69" spans="1:14" x14ac:dyDescent="0.25">
      <c r="A69" s="5" t="str">
        <f t="shared" si="4"/>
        <v>Pennsylvania-Keila Rossini</v>
      </c>
      <c r="B69" s="3" t="s">
        <v>76</v>
      </c>
      <c r="C69" s="3" t="s">
        <v>102</v>
      </c>
      <c r="D69" s="4">
        <v>65471</v>
      </c>
      <c r="L69" s="3" t="s">
        <v>37</v>
      </c>
      <c r="M69" s="3" t="s">
        <v>117</v>
      </c>
      <c r="N69" s="4">
        <v>172469</v>
      </c>
    </row>
    <row r="70" spans="1:14" x14ac:dyDescent="0.25">
      <c r="A70" s="5" t="str">
        <f t="shared" si="4"/>
        <v>Washington-Ali Stupp</v>
      </c>
      <c r="B70" s="3" t="s">
        <v>87</v>
      </c>
      <c r="C70" s="3" t="s">
        <v>108</v>
      </c>
      <c r="D70" s="4">
        <v>143515</v>
      </c>
      <c r="L70" s="3" t="s">
        <v>37</v>
      </c>
      <c r="M70" s="3" t="s">
        <v>120</v>
      </c>
      <c r="N70" s="4">
        <v>18199</v>
      </c>
    </row>
    <row r="71" spans="1:14" x14ac:dyDescent="0.25">
      <c r="A71" s="5" t="str">
        <f t="shared" si="4"/>
        <v>American Samoa-Jackson Lorkowski</v>
      </c>
      <c r="B71" s="3" t="s">
        <v>37</v>
      </c>
      <c r="C71" s="3" t="s">
        <v>120</v>
      </c>
      <c r="D71" s="4">
        <v>18199</v>
      </c>
      <c r="L71" s="3" t="s">
        <v>37</v>
      </c>
      <c r="M71" s="3" t="s">
        <v>111</v>
      </c>
      <c r="N71" s="4">
        <v>129254</v>
      </c>
    </row>
    <row r="72" spans="1:14" x14ac:dyDescent="0.25">
      <c r="A72" s="5" t="str">
        <f t="shared" si="4"/>
        <v>New Hampshire-Genna Zaller</v>
      </c>
      <c r="B72" s="3" t="s">
        <v>66</v>
      </c>
      <c r="C72" s="3" t="s">
        <v>117</v>
      </c>
      <c r="D72" s="4">
        <v>7559</v>
      </c>
      <c r="L72" s="3" t="s">
        <v>37</v>
      </c>
      <c r="M72" s="3" t="s">
        <v>102</v>
      </c>
      <c r="N72" s="4">
        <v>104857</v>
      </c>
    </row>
    <row r="73" spans="1:14" x14ac:dyDescent="0.25">
      <c r="A73" s="5" t="str">
        <f t="shared" si="4"/>
        <v>Ohio-Marvis Tenholder</v>
      </c>
      <c r="B73" s="3" t="s">
        <v>73</v>
      </c>
      <c r="C73" s="3" t="s">
        <v>105</v>
      </c>
      <c r="D73" s="4">
        <v>61268</v>
      </c>
      <c r="L73" s="3" t="s">
        <v>37</v>
      </c>
      <c r="M73" s="3" t="s">
        <v>106</v>
      </c>
      <c r="N73" s="4">
        <v>92634</v>
      </c>
    </row>
    <row r="74" spans="1:14" x14ac:dyDescent="0.25">
      <c r="A74" s="5" t="str">
        <f t="shared" si="4"/>
        <v>Rhode Island-Lucilla Bilecki</v>
      </c>
      <c r="B74" s="3" t="s">
        <v>78</v>
      </c>
      <c r="C74" s="3" t="s">
        <v>97</v>
      </c>
      <c r="D74" s="4">
        <v>165683</v>
      </c>
      <c r="L74" s="3" t="s">
        <v>37</v>
      </c>
      <c r="M74" s="3" t="s">
        <v>123</v>
      </c>
      <c r="N74" s="4">
        <v>106581</v>
      </c>
    </row>
    <row r="75" spans="1:14" x14ac:dyDescent="0.25">
      <c r="A75" s="5" t="str">
        <f t="shared" si="4"/>
        <v>Massachusetts-Genna Zaller</v>
      </c>
      <c r="B75" s="3" t="s">
        <v>58</v>
      </c>
      <c r="C75" s="3" t="s">
        <v>117</v>
      </c>
      <c r="D75" s="4">
        <v>154102</v>
      </c>
      <c r="L75" s="3" t="s">
        <v>37</v>
      </c>
      <c r="M75" s="3" t="s">
        <v>97</v>
      </c>
      <c r="N75" s="4">
        <v>95951</v>
      </c>
    </row>
    <row r="76" spans="1:14" x14ac:dyDescent="0.25">
      <c r="A76" s="5" t="str">
        <f t="shared" si="4"/>
        <v>South Dakota-Fidel Potra</v>
      </c>
      <c r="B76" s="3" t="s">
        <v>80</v>
      </c>
      <c r="C76" s="3" t="s">
        <v>115</v>
      </c>
      <c r="D76" s="4">
        <v>109006</v>
      </c>
      <c r="L76" s="3" t="s">
        <v>37</v>
      </c>
      <c r="M76" s="3" t="s">
        <v>119</v>
      </c>
      <c r="N76" s="4">
        <v>6841</v>
      </c>
    </row>
    <row r="77" spans="1:14" x14ac:dyDescent="0.25">
      <c r="A77" s="5" t="str">
        <f t="shared" si="4"/>
        <v>Connecticut-Toi Medico</v>
      </c>
      <c r="B77" s="3" t="s">
        <v>42</v>
      </c>
      <c r="C77" s="3" t="s">
        <v>103</v>
      </c>
      <c r="D77" s="4">
        <v>37295</v>
      </c>
      <c r="L77" s="3" t="s">
        <v>37</v>
      </c>
      <c r="M77" s="3" t="s">
        <v>113</v>
      </c>
      <c r="N77" s="4">
        <v>84423</v>
      </c>
    </row>
    <row r="78" spans="1:14" x14ac:dyDescent="0.25">
      <c r="A78" s="5" t="str">
        <f t="shared" si="4"/>
        <v>Oklahoma-Thaddeus Cacciatori</v>
      </c>
      <c r="B78" s="3" t="s">
        <v>74</v>
      </c>
      <c r="C78" s="3" t="s">
        <v>114</v>
      </c>
      <c r="D78" s="4">
        <v>162219</v>
      </c>
      <c r="L78" s="3" t="s">
        <v>37</v>
      </c>
      <c r="M78" s="3" t="s">
        <v>105</v>
      </c>
      <c r="N78" s="4">
        <v>147278</v>
      </c>
    </row>
    <row r="79" spans="1:14" x14ac:dyDescent="0.25">
      <c r="A79" s="5" t="str">
        <f t="shared" si="4"/>
        <v>Maine-Keila Rossini</v>
      </c>
      <c r="B79" s="3" t="s">
        <v>56</v>
      </c>
      <c r="C79" s="3" t="s">
        <v>102</v>
      </c>
      <c r="D79" s="4">
        <v>157420</v>
      </c>
      <c r="L79" s="3" t="s">
        <v>37</v>
      </c>
      <c r="M79" s="3" t="s">
        <v>104</v>
      </c>
      <c r="N79" s="4">
        <v>57844</v>
      </c>
    </row>
    <row r="80" spans="1:14" x14ac:dyDescent="0.25">
      <c r="A80" s="5" t="str">
        <f t="shared" si="4"/>
        <v>South Dakota-Armand Mcleon</v>
      </c>
      <c r="B80" s="3" t="s">
        <v>80</v>
      </c>
      <c r="C80" s="3" t="s">
        <v>110</v>
      </c>
      <c r="D80" s="4">
        <v>89892</v>
      </c>
      <c r="L80" s="3" t="s">
        <v>37</v>
      </c>
      <c r="M80" s="3" t="s">
        <v>100</v>
      </c>
      <c r="N80" s="4">
        <v>99577</v>
      </c>
    </row>
    <row r="81" spans="1:14" x14ac:dyDescent="0.25">
      <c r="A81" s="5" t="str">
        <f t="shared" si="4"/>
        <v>Pennsylvania-Moises Paynes</v>
      </c>
      <c r="B81" s="3" t="s">
        <v>76</v>
      </c>
      <c r="C81" s="3" t="s">
        <v>104</v>
      </c>
      <c r="D81" s="4">
        <v>94005</v>
      </c>
      <c r="L81" s="3" t="s">
        <v>37</v>
      </c>
      <c r="M81" s="3" t="s">
        <v>118</v>
      </c>
      <c r="N81" s="4">
        <v>156146</v>
      </c>
    </row>
    <row r="82" spans="1:14" x14ac:dyDescent="0.25">
      <c r="A82" s="5" t="str">
        <f t="shared" si="4"/>
        <v>Guam-Marcel Davern</v>
      </c>
      <c r="B82" s="3" t="s">
        <v>47</v>
      </c>
      <c r="C82" s="3" t="s">
        <v>119</v>
      </c>
      <c r="D82" s="4">
        <v>60962</v>
      </c>
      <c r="L82" s="3" t="s">
        <v>37</v>
      </c>
      <c r="M82" s="3" t="s">
        <v>101</v>
      </c>
      <c r="N82" s="4">
        <v>143823</v>
      </c>
    </row>
    <row r="83" spans="1:14" x14ac:dyDescent="0.25">
      <c r="A83" s="5" t="str">
        <f t="shared" si="4"/>
        <v>Massachusetts-Cliff Schnautz</v>
      </c>
      <c r="B83" s="3" t="s">
        <v>58</v>
      </c>
      <c r="C83" s="3" t="s">
        <v>96</v>
      </c>
      <c r="D83" s="4">
        <v>106139</v>
      </c>
      <c r="L83" s="3" t="s">
        <v>37</v>
      </c>
      <c r="M83" s="3" t="s">
        <v>122</v>
      </c>
      <c r="N83" s="4">
        <v>72433</v>
      </c>
    </row>
    <row r="84" spans="1:14" x14ac:dyDescent="0.25">
      <c r="A84" s="5" t="str">
        <f t="shared" si="4"/>
        <v>Wisconsin-Raphael Derrig</v>
      </c>
      <c r="B84" s="3" t="s">
        <v>89</v>
      </c>
      <c r="C84" s="3" t="s">
        <v>109</v>
      </c>
      <c r="D84" s="4">
        <v>131196</v>
      </c>
      <c r="L84" s="3" t="s">
        <v>37</v>
      </c>
      <c r="M84" s="3" t="s">
        <v>109</v>
      </c>
      <c r="N84" s="4">
        <v>97890</v>
      </c>
    </row>
    <row r="85" spans="1:14" x14ac:dyDescent="0.25">
      <c r="A85" s="5" t="str">
        <f t="shared" si="4"/>
        <v>South Carolina-Quinton Modugno</v>
      </c>
      <c r="B85" s="3" t="s">
        <v>79</v>
      </c>
      <c r="C85" s="3" t="s">
        <v>101</v>
      </c>
      <c r="D85" s="4">
        <v>13884</v>
      </c>
      <c r="L85" s="3" t="s">
        <v>37</v>
      </c>
      <c r="M85" s="3" t="s">
        <v>95</v>
      </c>
      <c r="N85" s="4">
        <v>81513</v>
      </c>
    </row>
    <row r="86" spans="1:14" x14ac:dyDescent="0.25">
      <c r="A86" s="5" t="str">
        <f t="shared" si="4"/>
        <v>Alabama-Cliff Bahlmann</v>
      </c>
      <c r="B86" s="3" t="s">
        <v>35</v>
      </c>
      <c r="C86" s="3" t="s">
        <v>99</v>
      </c>
      <c r="D86" s="4">
        <v>100206</v>
      </c>
      <c r="L86" s="3" t="s">
        <v>37</v>
      </c>
      <c r="M86" s="3" t="s">
        <v>98</v>
      </c>
      <c r="N86" s="4">
        <v>6634</v>
      </c>
    </row>
    <row r="87" spans="1:14" x14ac:dyDescent="0.25">
      <c r="A87" s="5" t="str">
        <f t="shared" si="4"/>
        <v>Washington-Nolan Gohn</v>
      </c>
      <c r="B87" s="3" t="s">
        <v>87</v>
      </c>
      <c r="C87" s="3" t="s">
        <v>118</v>
      </c>
      <c r="D87" s="4">
        <v>141301</v>
      </c>
      <c r="L87" s="3" t="s">
        <v>37</v>
      </c>
      <c r="M87" s="3" t="s">
        <v>114</v>
      </c>
      <c r="N87" s="4">
        <v>65267</v>
      </c>
    </row>
    <row r="88" spans="1:14" x14ac:dyDescent="0.25">
      <c r="A88" s="5" t="str">
        <f t="shared" si="4"/>
        <v>Nevada-Quinton Modugno</v>
      </c>
      <c r="B88" s="3" t="s">
        <v>65</v>
      </c>
      <c r="C88" s="3" t="s">
        <v>101</v>
      </c>
      <c r="D88" s="4">
        <v>162994</v>
      </c>
      <c r="L88" s="3" t="s">
        <v>37</v>
      </c>
      <c r="M88" s="3" t="s">
        <v>112</v>
      </c>
      <c r="N88" s="4">
        <v>169776</v>
      </c>
    </row>
    <row r="89" spans="1:14" x14ac:dyDescent="0.25">
      <c r="A89" s="5" t="str">
        <f t="shared" si="4"/>
        <v>Nebraska-Fidel Potra</v>
      </c>
      <c r="B89" s="3" t="s">
        <v>64</v>
      </c>
      <c r="C89" s="3" t="s">
        <v>115</v>
      </c>
      <c r="D89" s="4">
        <v>138041</v>
      </c>
      <c r="L89" s="3" t="s">
        <v>37</v>
      </c>
      <c r="M89" s="3" t="s">
        <v>103</v>
      </c>
      <c r="N89" s="4">
        <v>111859</v>
      </c>
    </row>
    <row r="90" spans="1:14" x14ac:dyDescent="0.25">
      <c r="A90" s="5" t="str">
        <f t="shared" si="4"/>
        <v>Kentucky-Moises Paynes</v>
      </c>
      <c r="B90" s="3" t="s">
        <v>54</v>
      </c>
      <c r="C90" s="3" t="s">
        <v>104</v>
      </c>
      <c r="D90" s="4">
        <v>173182</v>
      </c>
      <c r="L90" s="3" t="s">
        <v>37</v>
      </c>
      <c r="M90" s="3" t="s">
        <v>121</v>
      </c>
      <c r="N90" s="4">
        <v>27654</v>
      </c>
    </row>
    <row r="91" spans="1:14" x14ac:dyDescent="0.25">
      <c r="A91" s="5" t="str">
        <f t="shared" si="4"/>
        <v>Connecticut-Twanda Lovenduski</v>
      </c>
      <c r="B91" s="3" t="s">
        <v>42</v>
      </c>
      <c r="C91" s="3" t="s">
        <v>107</v>
      </c>
      <c r="D91" s="4">
        <v>92030</v>
      </c>
      <c r="L91" s="3" t="s">
        <v>37</v>
      </c>
      <c r="M91" s="3" t="s">
        <v>107</v>
      </c>
      <c r="N91" s="4">
        <v>142338</v>
      </c>
    </row>
    <row r="92" spans="1:14" x14ac:dyDescent="0.25">
      <c r="A92" s="5" t="str">
        <f t="shared" si="4"/>
        <v>Texas-Cliff Bahlmann</v>
      </c>
      <c r="B92" s="3" t="s">
        <v>82</v>
      </c>
      <c r="C92" s="3" t="s">
        <v>99</v>
      </c>
      <c r="D92" s="4">
        <v>69072</v>
      </c>
      <c r="L92" s="3" t="s">
        <v>38</v>
      </c>
      <c r="M92" s="3" t="s">
        <v>116</v>
      </c>
      <c r="N92" s="4">
        <v>41199</v>
      </c>
    </row>
    <row r="93" spans="1:14" x14ac:dyDescent="0.25">
      <c r="A93" s="5" t="str">
        <f t="shared" si="4"/>
        <v>New Jersey-Raphael Bonawitz</v>
      </c>
      <c r="B93" s="3" t="s">
        <v>67</v>
      </c>
      <c r="C93" s="3" t="s">
        <v>122</v>
      </c>
      <c r="D93" s="4">
        <v>76705</v>
      </c>
      <c r="L93" s="3" t="s">
        <v>38</v>
      </c>
      <c r="M93" s="3" t="s">
        <v>108</v>
      </c>
      <c r="N93" s="4">
        <v>69761</v>
      </c>
    </row>
    <row r="94" spans="1:14" x14ac:dyDescent="0.25">
      <c r="A94" s="5" t="str">
        <f t="shared" si="4"/>
        <v>South Carolina-Toi Zedaker</v>
      </c>
      <c r="B94" s="3" t="s">
        <v>79</v>
      </c>
      <c r="C94" s="3" t="s">
        <v>121</v>
      </c>
      <c r="D94" s="4">
        <v>48912</v>
      </c>
      <c r="L94" s="3" t="s">
        <v>38</v>
      </c>
      <c r="M94" s="3" t="s">
        <v>110</v>
      </c>
      <c r="N94" s="4">
        <v>58512</v>
      </c>
    </row>
    <row r="95" spans="1:14" x14ac:dyDescent="0.25">
      <c r="A95" s="5" t="str">
        <f t="shared" si="4"/>
        <v>Delaware-Marcel Davern</v>
      </c>
      <c r="B95" s="3" t="s">
        <v>43</v>
      </c>
      <c r="C95" s="3" t="s">
        <v>119</v>
      </c>
      <c r="D95" s="4">
        <v>90165</v>
      </c>
      <c r="L95" s="3" t="s">
        <v>38</v>
      </c>
      <c r="M95" s="3" t="s">
        <v>99</v>
      </c>
      <c r="N95" s="4">
        <v>79164</v>
      </c>
    </row>
    <row r="96" spans="1:14" x14ac:dyDescent="0.25">
      <c r="A96" s="5" t="str">
        <f t="shared" si="4"/>
        <v>Idaho-Nolan Gohn</v>
      </c>
      <c r="B96" s="3" t="s">
        <v>49</v>
      </c>
      <c r="C96" s="3" t="s">
        <v>118</v>
      </c>
      <c r="D96" s="4">
        <v>2313</v>
      </c>
      <c r="L96" s="3" t="s">
        <v>38</v>
      </c>
      <c r="M96" s="3" t="s">
        <v>124</v>
      </c>
      <c r="N96" s="4">
        <v>83347</v>
      </c>
    </row>
    <row r="97" spans="1:14" x14ac:dyDescent="0.25">
      <c r="A97" s="5" t="str">
        <f t="shared" si="4"/>
        <v>Virgin Islands-Kai Stroebel</v>
      </c>
      <c r="B97" s="3" t="s">
        <v>86</v>
      </c>
      <c r="C97" s="3" t="s">
        <v>111</v>
      </c>
      <c r="D97" s="4">
        <v>110731</v>
      </c>
      <c r="L97" s="3" t="s">
        <v>38</v>
      </c>
      <c r="M97" s="3" t="s">
        <v>96</v>
      </c>
      <c r="N97" s="4">
        <v>57010</v>
      </c>
    </row>
    <row r="98" spans="1:14" x14ac:dyDescent="0.25">
      <c r="A98" s="5" t="str">
        <f t="shared" si="4"/>
        <v>Connecticut-Quinton Modugno</v>
      </c>
      <c r="B98" s="3" t="s">
        <v>42</v>
      </c>
      <c r="C98" s="3" t="s">
        <v>101</v>
      </c>
      <c r="D98" s="4">
        <v>18728</v>
      </c>
      <c r="L98" s="3" t="s">
        <v>38</v>
      </c>
      <c r="M98" s="3" t="s">
        <v>115</v>
      </c>
      <c r="N98" s="4">
        <v>83710</v>
      </c>
    </row>
    <row r="99" spans="1:14" x14ac:dyDescent="0.25">
      <c r="A99" s="5" t="str">
        <f t="shared" si="4"/>
        <v>Vermont-Thaddeus Notah</v>
      </c>
      <c r="B99" s="3" t="s">
        <v>84</v>
      </c>
      <c r="C99" s="3" t="s">
        <v>112</v>
      </c>
      <c r="D99" s="4">
        <v>5774</v>
      </c>
      <c r="L99" s="3" t="s">
        <v>38</v>
      </c>
      <c r="M99" s="3" t="s">
        <v>117</v>
      </c>
      <c r="N99" s="4">
        <v>119400</v>
      </c>
    </row>
    <row r="100" spans="1:14" x14ac:dyDescent="0.25">
      <c r="A100" s="5" t="str">
        <f t="shared" si="4"/>
        <v>Iowa-Cliff Galinski</v>
      </c>
      <c r="B100" s="3" t="s">
        <v>52</v>
      </c>
      <c r="C100" s="3" t="s">
        <v>124</v>
      </c>
      <c r="D100" s="4">
        <v>57621</v>
      </c>
      <c r="L100" s="3" t="s">
        <v>38</v>
      </c>
      <c r="M100" s="3" t="s">
        <v>120</v>
      </c>
      <c r="N100" s="4">
        <v>152230</v>
      </c>
    </row>
    <row r="101" spans="1:14" x14ac:dyDescent="0.25">
      <c r="A101" s="5" t="str">
        <f t="shared" si="4"/>
        <v>New York-Kai Stroebel</v>
      </c>
      <c r="B101" s="3" t="s">
        <v>69</v>
      </c>
      <c r="C101" s="3" t="s">
        <v>111</v>
      </c>
      <c r="D101" s="4">
        <v>46098</v>
      </c>
      <c r="L101" s="3" t="s">
        <v>38</v>
      </c>
      <c r="M101" s="3" t="s">
        <v>111</v>
      </c>
      <c r="N101" s="4">
        <v>7122</v>
      </c>
    </row>
    <row r="102" spans="1:14" x14ac:dyDescent="0.25">
      <c r="A102" s="5" t="str">
        <f t="shared" si="4"/>
        <v>District of Columbia-Marlin Mavromatis</v>
      </c>
      <c r="B102" s="3" t="s">
        <v>44</v>
      </c>
      <c r="C102" s="3" t="s">
        <v>113</v>
      </c>
      <c r="D102" s="4">
        <v>87379</v>
      </c>
      <c r="L102" s="3" t="s">
        <v>38</v>
      </c>
      <c r="M102" s="3" t="s">
        <v>102</v>
      </c>
      <c r="N102" s="4">
        <v>153683</v>
      </c>
    </row>
    <row r="103" spans="1:14" x14ac:dyDescent="0.25">
      <c r="A103" s="5" t="str">
        <f t="shared" si="4"/>
        <v>American Samoa-Thaddeus Cacciatori</v>
      </c>
      <c r="B103" s="3" t="s">
        <v>37</v>
      </c>
      <c r="C103" s="3" t="s">
        <v>114</v>
      </c>
      <c r="D103" s="4">
        <v>65267</v>
      </c>
      <c r="L103" s="3" t="s">
        <v>38</v>
      </c>
      <c r="M103" s="3" t="s">
        <v>106</v>
      </c>
      <c r="N103" s="4">
        <v>30174</v>
      </c>
    </row>
    <row r="104" spans="1:14" x14ac:dyDescent="0.25">
      <c r="A104" s="5" t="str">
        <f t="shared" si="4"/>
        <v>Connecticut-Marcel Davern</v>
      </c>
      <c r="B104" s="3" t="s">
        <v>42</v>
      </c>
      <c r="C104" s="3" t="s">
        <v>119</v>
      </c>
      <c r="D104" s="4">
        <v>88348</v>
      </c>
      <c r="L104" s="3" t="s">
        <v>38</v>
      </c>
      <c r="M104" s="3" t="s">
        <v>123</v>
      </c>
      <c r="N104" s="4">
        <v>138737</v>
      </c>
    </row>
    <row r="105" spans="1:14" x14ac:dyDescent="0.25">
      <c r="A105" s="5" t="str">
        <f t="shared" si="4"/>
        <v>Alaska-Keila Rossini</v>
      </c>
      <c r="B105" s="3" t="s">
        <v>36</v>
      </c>
      <c r="C105" s="3" t="s">
        <v>102</v>
      </c>
      <c r="D105" s="4">
        <v>110931</v>
      </c>
      <c r="L105" s="3" t="s">
        <v>38</v>
      </c>
      <c r="M105" s="3" t="s">
        <v>97</v>
      </c>
      <c r="N105" s="4">
        <v>37491</v>
      </c>
    </row>
    <row r="106" spans="1:14" x14ac:dyDescent="0.25">
      <c r="A106" s="5" t="str">
        <f t="shared" si="4"/>
        <v>Northern Marianas Islands-Cliff Galinski</v>
      </c>
      <c r="B106" s="3" t="s">
        <v>72</v>
      </c>
      <c r="C106" s="3" t="s">
        <v>124</v>
      </c>
      <c r="D106" s="4">
        <v>31407</v>
      </c>
      <c r="L106" s="3" t="s">
        <v>38</v>
      </c>
      <c r="M106" s="3" t="s">
        <v>119</v>
      </c>
      <c r="N106" s="4">
        <v>124184</v>
      </c>
    </row>
    <row r="107" spans="1:14" x14ac:dyDescent="0.25">
      <c r="A107" s="5" t="str">
        <f t="shared" si="4"/>
        <v>Virgin Islands-Lianne Trappey</v>
      </c>
      <c r="B107" s="3" t="s">
        <v>86</v>
      </c>
      <c r="C107" s="3" t="s">
        <v>123</v>
      </c>
      <c r="D107" s="4">
        <v>28648</v>
      </c>
      <c r="L107" s="3" t="s">
        <v>38</v>
      </c>
      <c r="M107" s="3" t="s">
        <v>113</v>
      </c>
      <c r="N107" s="4">
        <v>39410</v>
      </c>
    </row>
    <row r="108" spans="1:14" x14ac:dyDescent="0.25">
      <c r="A108" s="5" t="str">
        <f t="shared" si="4"/>
        <v>Minnesota-Raphael Derrig</v>
      </c>
      <c r="B108" s="3" t="s">
        <v>60</v>
      </c>
      <c r="C108" s="3" t="s">
        <v>109</v>
      </c>
      <c r="D108" s="4">
        <v>8974</v>
      </c>
      <c r="L108" s="3" t="s">
        <v>38</v>
      </c>
      <c r="M108" s="3" t="s">
        <v>105</v>
      </c>
      <c r="N108" s="4">
        <v>113261</v>
      </c>
    </row>
    <row r="109" spans="1:14" x14ac:dyDescent="0.25">
      <c r="A109" s="5" t="str">
        <f t="shared" si="4"/>
        <v>Oklahoma-Fidel Potra</v>
      </c>
      <c r="B109" s="3" t="s">
        <v>74</v>
      </c>
      <c r="C109" s="3" t="s">
        <v>115</v>
      </c>
      <c r="D109" s="4">
        <v>120804</v>
      </c>
      <c r="L109" s="3" t="s">
        <v>38</v>
      </c>
      <c r="M109" s="3" t="s">
        <v>104</v>
      </c>
      <c r="N109" s="4">
        <v>63670</v>
      </c>
    </row>
    <row r="110" spans="1:14" x14ac:dyDescent="0.25">
      <c r="A110" s="5" t="str">
        <f t="shared" si="4"/>
        <v>Montana-Jackson Lorkowski</v>
      </c>
      <c r="B110" s="3" t="s">
        <v>63</v>
      </c>
      <c r="C110" s="3" t="s">
        <v>120</v>
      </c>
      <c r="D110" s="4">
        <v>161655</v>
      </c>
      <c r="L110" s="3" t="s">
        <v>38</v>
      </c>
      <c r="M110" s="3" t="s">
        <v>100</v>
      </c>
      <c r="N110" s="4">
        <v>16999</v>
      </c>
    </row>
    <row r="111" spans="1:14" x14ac:dyDescent="0.25">
      <c r="A111" s="5" t="str">
        <f t="shared" si="4"/>
        <v>Illinois-Keila Rossini</v>
      </c>
      <c r="B111" s="3" t="s">
        <v>50</v>
      </c>
      <c r="C111" s="3" t="s">
        <v>102</v>
      </c>
      <c r="D111" s="4">
        <v>164149</v>
      </c>
      <c r="L111" s="3" t="s">
        <v>38</v>
      </c>
      <c r="M111" s="3" t="s">
        <v>118</v>
      </c>
      <c r="N111" s="4">
        <v>46475</v>
      </c>
    </row>
    <row r="112" spans="1:14" x14ac:dyDescent="0.25">
      <c r="A112" s="5" t="str">
        <f t="shared" si="4"/>
        <v>Florida-Quinton Modugno</v>
      </c>
      <c r="B112" s="3" t="s">
        <v>45</v>
      </c>
      <c r="C112" s="3" t="s">
        <v>101</v>
      </c>
      <c r="D112" s="4">
        <v>55062</v>
      </c>
      <c r="L112" s="3" t="s">
        <v>38</v>
      </c>
      <c r="M112" s="3" t="s">
        <v>101</v>
      </c>
      <c r="N112" s="4">
        <v>75792</v>
      </c>
    </row>
    <row r="113" spans="1:14" x14ac:dyDescent="0.25">
      <c r="A113" s="5" t="str">
        <f t="shared" si="4"/>
        <v>Georgia-Raphael Derrig</v>
      </c>
      <c r="B113" s="3" t="s">
        <v>46</v>
      </c>
      <c r="C113" s="3" t="s">
        <v>109</v>
      </c>
      <c r="D113" s="4">
        <v>107229</v>
      </c>
      <c r="L113" s="3" t="s">
        <v>38</v>
      </c>
      <c r="M113" s="3" t="s">
        <v>122</v>
      </c>
      <c r="N113" s="4">
        <v>106142</v>
      </c>
    </row>
    <row r="114" spans="1:14" x14ac:dyDescent="0.25">
      <c r="A114" s="5" t="str">
        <f t="shared" si="4"/>
        <v>New Mexico-Cliff Schnautz</v>
      </c>
      <c r="B114" s="3" t="s">
        <v>68</v>
      </c>
      <c r="C114" s="3" t="s">
        <v>96</v>
      </c>
      <c r="D114" s="4">
        <v>84583</v>
      </c>
      <c r="L114" s="3" t="s">
        <v>38</v>
      </c>
      <c r="M114" s="3" t="s">
        <v>109</v>
      </c>
      <c r="N114" s="4">
        <v>11564</v>
      </c>
    </row>
    <row r="115" spans="1:14" x14ac:dyDescent="0.25">
      <c r="A115" s="5" t="str">
        <f t="shared" si="4"/>
        <v>Mississippi-Raphael Derrig</v>
      </c>
      <c r="B115" s="3" t="s">
        <v>61</v>
      </c>
      <c r="C115" s="3" t="s">
        <v>109</v>
      </c>
      <c r="D115" s="4">
        <v>117934</v>
      </c>
      <c r="L115" s="3" t="s">
        <v>38</v>
      </c>
      <c r="M115" s="3" t="s">
        <v>95</v>
      </c>
      <c r="N115" s="4">
        <v>56435</v>
      </c>
    </row>
    <row r="116" spans="1:14" x14ac:dyDescent="0.25">
      <c r="A116" s="5" t="str">
        <f t="shared" si="4"/>
        <v>Tennessee-Ali Steenken</v>
      </c>
      <c r="B116" s="3" t="s">
        <v>81</v>
      </c>
      <c r="C116" s="3" t="s">
        <v>116</v>
      </c>
      <c r="D116" s="4">
        <v>30966</v>
      </c>
      <c r="L116" s="3" t="s">
        <v>38</v>
      </c>
      <c r="M116" s="3" t="s">
        <v>98</v>
      </c>
      <c r="N116" s="4">
        <v>91114</v>
      </c>
    </row>
    <row r="117" spans="1:14" x14ac:dyDescent="0.25">
      <c r="A117" s="5" t="str">
        <f t="shared" si="4"/>
        <v>Vermont-Moises Paynes</v>
      </c>
      <c r="B117" s="3" t="s">
        <v>84</v>
      </c>
      <c r="C117" s="3" t="s">
        <v>104</v>
      </c>
      <c r="D117" s="4">
        <v>167407</v>
      </c>
      <c r="L117" s="3" t="s">
        <v>38</v>
      </c>
      <c r="M117" s="3" t="s">
        <v>114</v>
      </c>
      <c r="N117" s="4">
        <v>24937</v>
      </c>
    </row>
    <row r="118" spans="1:14" x14ac:dyDescent="0.25">
      <c r="A118" s="5" t="str">
        <f t="shared" si="4"/>
        <v>Virgin Islands-Cliff Bahlmann</v>
      </c>
      <c r="B118" s="3" t="s">
        <v>86</v>
      </c>
      <c r="C118" s="3" t="s">
        <v>99</v>
      </c>
      <c r="D118" s="4">
        <v>109184</v>
      </c>
      <c r="L118" s="3" t="s">
        <v>38</v>
      </c>
      <c r="M118" s="3" t="s">
        <v>112</v>
      </c>
      <c r="N118" s="4">
        <v>130255</v>
      </c>
    </row>
    <row r="119" spans="1:14" x14ac:dyDescent="0.25">
      <c r="A119" s="5" t="str">
        <f t="shared" si="4"/>
        <v>Virginia-Toi Medico</v>
      </c>
      <c r="B119" s="3" t="s">
        <v>85</v>
      </c>
      <c r="C119" s="3" t="s">
        <v>103</v>
      </c>
      <c r="D119" s="4">
        <v>171692</v>
      </c>
      <c r="L119" s="3" t="s">
        <v>38</v>
      </c>
      <c r="M119" s="3" t="s">
        <v>103</v>
      </c>
      <c r="N119" s="4">
        <v>33154</v>
      </c>
    </row>
    <row r="120" spans="1:14" x14ac:dyDescent="0.25">
      <c r="A120" s="5" t="str">
        <f t="shared" si="4"/>
        <v>Georgia-Lashon Bongers</v>
      </c>
      <c r="B120" s="3" t="s">
        <v>46</v>
      </c>
      <c r="C120" s="3" t="s">
        <v>106</v>
      </c>
      <c r="D120" s="4">
        <v>158346</v>
      </c>
      <c r="L120" s="3" t="s">
        <v>38</v>
      </c>
      <c r="M120" s="3" t="s">
        <v>121</v>
      </c>
      <c r="N120" s="4">
        <v>145614</v>
      </c>
    </row>
    <row r="121" spans="1:14" x14ac:dyDescent="0.25">
      <c r="A121" s="5" t="str">
        <f t="shared" si="4"/>
        <v>Colorado-Raphael Derrig</v>
      </c>
      <c r="B121" s="3" t="s">
        <v>41</v>
      </c>
      <c r="C121" s="3" t="s">
        <v>109</v>
      </c>
      <c r="D121" s="4">
        <v>112032</v>
      </c>
      <c r="L121" s="3" t="s">
        <v>38</v>
      </c>
      <c r="M121" s="3" t="s">
        <v>107</v>
      </c>
      <c r="N121" s="4">
        <v>51632</v>
      </c>
    </row>
    <row r="122" spans="1:14" x14ac:dyDescent="0.25">
      <c r="A122" s="5" t="str">
        <f t="shared" si="4"/>
        <v>Idaho-Son Shryack</v>
      </c>
      <c r="B122" s="3" t="s">
        <v>49</v>
      </c>
      <c r="C122" s="3" t="s">
        <v>98</v>
      </c>
      <c r="D122" s="4">
        <v>31768</v>
      </c>
      <c r="L122" s="3" t="s">
        <v>39</v>
      </c>
      <c r="M122" s="3" t="s">
        <v>116</v>
      </c>
      <c r="N122" s="4">
        <v>52512</v>
      </c>
    </row>
    <row r="123" spans="1:14" x14ac:dyDescent="0.25">
      <c r="A123" s="5" t="str">
        <f t="shared" si="4"/>
        <v>Nebraska-Thaddeus Notah</v>
      </c>
      <c r="B123" s="3" t="s">
        <v>64</v>
      </c>
      <c r="C123" s="3" t="s">
        <v>112</v>
      </c>
      <c r="D123" s="4">
        <v>54460</v>
      </c>
      <c r="L123" s="3" t="s">
        <v>39</v>
      </c>
      <c r="M123" s="3" t="s">
        <v>108</v>
      </c>
      <c r="N123" s="4">
        <v>127194</v>
      </c>
    </row>
    <row r="124" spans="1:14" x14ac:dyDescent="0.25">
      <c r="A124" s="5" t="str">
        <f t="shared" si="4"/>
        <v>Montana-Sadye Diloreto</v>
      </c>
      <c r="B124" s="3" t="s">
        <v>63</v>
      </c>
      <c r="C124" s="3" t="s">
        <v>95</v>
      </c>
      <c r="D124" s="4">
        <v>37606</v>
      </c>
      <c r="L124" s="3" t="s">
        <v>39</v>
      </c>
      <c r="M124" s="3" t="s">
        <v>110</v>
      </c>
      <c r="N124" s="4">
        <v>79738</v>
      </c>
    </row>
    <row r="125" spans="1:14" x14ac:dyDescent="0.25">
      <c r="A125" s="5" t="str">
        <f t="shared" si="4"/>
        <v>Texas-Nolan Deorio</v>
      </c>
      <c r="B125" s="3" t="s">
        <v>82</v>
      </c>
      <c r="C125" s="3" t="s">
        <v>100</v>
      </c>
      <c r="D125" s="4">
        <v>103202</v>
      </c>
      <c r="L125" s="3" t="s">
        <v>39</v>
      </c>
      <c r="M125" s="3" t="s">
        <v>99</v>
      </c>
      <c r="N125" s="4">
        <v>104660</v>
      </c>
    </row>
    <row r="126" spans="1:14" x14ac:dyDescent="0.25">
      <c r="A126" s="5" t="str">
        <f t="shared" si="4"/>
        <v>Missouri-Quinton Modugno</v>
      </c>
      <c r="B126" s="3" t="s">
        <v>62</v>
      </c>
      <c r="C126" s="3" t="s">
        <v>101</v>
      </c>
      <c r="D126" s="4">
        <v>13555</v>
      </c>
      <c r="L126" s="3" t="s">
        <v>39</v>
      </c>
      <c r="M126" s="3" t="s">
        <v>124</v>
      </c>
      <c r="N126" s="4">
        <v>68504</v>
      </c>
    </row>
    <row r="127" spans="1:14" x14ac:dyDescent="0.25">
      <c r="A127" s="5" t="str">
        <f t="shared" si="4"/>
        <v>Vermont-Ali Stupp</v>
      </c>
      <c r="B127" s="3" t="s">
        <v>84</v>
      </c>
      <c r="C127" s="3" t="s">
        <v>108</v>
      </c>
      <c r="D127" s="4">
        <v>87351</v>
      </c>
      <c r="L127" s="3" t="s">
        <v>39</v>
      </c>
      <c r="M127" s="3" t="s">
        <v>96</v>
      </c>
      <c r="N127" s="4">
        <v>39958</v>
      </c>
    </row>
    <row r="128" spans="1:14" x14ac:dyDescent="0.25">
      <c r="A128" s="5" t="str">
        <f t="shared" si="4"/>
        <v>Illinois-Lashon Bongers</v>
      </c>
      <c r="B128" s="3" t="s">
        <v>50</v>
      </c>
      <c r="C128" s="3" t="s">
        <v>106</v>
      </c>
      <c r="D128" s="4">
        <v>116375</v>
      </c>
      <c r="L128" s="3" t="s">
        <v>39</v>
      </c>
      <c r="M128" s="3" t="s">
        <v>115</v>
      </c>
      <c r="N128" s="4">
        <v>86311</v>
      </c>
    </row>
    <row r="129" spans="1:14" x14ac:dyDescent="0.25">
      <c r="A129" s="5" t="str">
        <f t="shared" si="4"/>
        <v>Arkansas-Raphael Derrig</v>
      </c>
      <c r="B129" s="3" t="s">
        <v>39</v>
      </c>
      <c r="C129" s="3" t="s">
        <v>109</v>
      </c>
      <c r="D129" s="4">
        <v>10100</v>
      </c>
      <c r="L129" s="3" t="s">
        <v>39</v>
      </c>
      <c r="M129" s="3" t="s">
        <v>117</v>
      </c>
      <c r="N129" s="4">
        <v>138976</v>
      </c>
    </row>
    <row r="130" spans="1:14" x14ac:dyDescent="0.25">
      <c r="A130" s="5" t="str">
        <f t="shared" ref="A130:A193" si="5">B130&amp;"-"&amp;C130</f>
        <v>Indiana-Cliff Galinski</v>
      </c>
      <c r="B130" s="3" t="s">
        <v>51</v>
      </c>
      <c r="C130" s="3" t="s">
        <v>124</v>
      </c>
      <c r="D130" s="4">
        <v>146677</v>
      </c>
      <c r="L130" s="3" t="s">
        <v>39</v>
      </c>
      <c r="M130" s="3" t="s">
        <v>120</v>
      </c>
      <c r="N130" s="4">
        <v>59317</v>
      </c>
    </row>
    <row r="131" spans="1:14" x14ac:dyDescent="0.25">
      <c r="A131" s="5" t="str">
        <f t="shared" si="5"/>
        <v>Oklahoma-Genna Zaller</v>
      </c>
      <c r="B131" s="3" t="s">
        <v>74</v>
      </c>
      <c r="C131" s="3" t="s">
        <v>117</v>
      </c>
      <c r="D131" s="4">
        <v>69063</v>
      </c>
      <c r="L131" s="3" t="s">
        <v>39</v>
      </c>
      <c r="M131" s="3" t="s">
        <v>111</v>
      </c>
      <c r="N131" s="4">
        <v>69568</v>
      </c>
    </row>
    <row r="132" spans="1:14" x14ac:dyDescent="0.25">
      <c r="A132" s="5" t="str">
        <f t="shared" si="5"/>
        <v>North Carolina-Cliff Galinski</v>
      </c>
      <c r="B132" s="3" t="s">
        <v>70</v>
      </c>
      <c r="C132" s="3" t="s">
        <v>124</v>
      </c>
      <c r="D132" s="4">
        <v>3643</v>
      </c>
      <c r="L132" s="3" t="s">
        <v>39</v>
      </c>
      <c r="M132" s="3" t="s">
        <v>102</v>
      </c>
      <c r="N132" s="4">
        <v>38926</v>
      </c>
    </row>
    <row r="133" spans="1:14" x14ac:dyDescent="0.25">
      <c r="A133" s="5" t="str">
        <f t="shared" si="5"/>
        <v>Arizona-Sadye Diloreto</v>
      </c>
      <c r="B133" s="3" t="s">
        <v>38</v>
      </c>
      <c r="C133" s="3" t="s">
        <v>95</v>
      </c>
      <c r="D133" s="4">
        <v>56435</v>
      </c>
      <c r="L133" s="3" t="s">
        <v>39</v>
      </c>
      <c r="M133" s="3" t="s">
        <v>106</v>
      </c>
      <c r="N133" s="4">
        <v>150212</v>
      </c>
    </row>
    <row r="134" spans="1:14" x14ac:dyDescent="0.25">
      <c r="A134" s="5" t="str">
        <f t="shared" si="5"/>
        <v>Montana-Thaddeus Cacciatori</v>
      </c>
      <c r="B134" s="3" t="s">
        <v>63</v>
      </c>
      <c r="C134" s="3" t="s">
        <v>114</v>
      </c>
      <c r="D134" s="4">
        <v>72633</v>
      </c>
      <c r="L134" s="3" t="s">
        <v>39</v>
      </c>
      <c r="M134" s="3" t="s">
        <v>123</v>
      </c>
      <c r="N134" s="4">
        <v>20379</v>
      </c>
    </row>
    <row r="135" spans="1:14" x14ac:dyDescent="0.25">
      <c r="A135" s="5" t="str">
        <f t="shared" si="5"/>
        <v>Maine-Thaddeus Notah</v>
      </c>
      <c r="B135" s="3" t="s">
        <v>56</v>
      </c>
      <c r="C135" s="3" t="s">
        <v>112</v>
      </c>
      <c r="D135" s="4">
        <v>36654</v>
      </c>
      <c r="L135" s="3" t="s">
        <v>39</v>
      </c>
      <c r="M135" s="3" t="s">
        <v>97</v>
      </c>
      <c r="N135" s="4">
        <v>122692</v>
      </c>
    </row>
    <row r="136" spans="1:14" x14ac:dyDescent="0.25">
      <c r="A136" s="5" t="str">
        <f t="shared" si="5"/>
        <v>Georgia-Toi Zedaker</v>
      </c>
      <c r="B136" s="3" t="s">
        <v>46</v>
      </c>
      <c r="C136" s="3" t="s">
        <v>121</v>
      </c>
      <c r="D136" s="4">
        <v>25372</v>
      </c>
      <c r="L136" s="3" t="s">
        <v>39</v>
      </c>
      <c r="M136" s="3" t="s">
        <v>119</v>
      </c>
      <c r="N136" s="4">
        <v>31009</v>
      </c>
    </row>
    <row r="137" spans="1:14" x14ac:dyDescent="0.25">
      <c r="A137" s="5" t="str">
        <f t="shared" si="5"/>
        <v>Connecticut-Cliff Schnautz</v>
      </c>
      <c r="B137" s="3" t="s">
        <v>42</v>
      </c>
      <c r="C137" s="3" t="s">
        <v>96</v>
      </c>
      <c r="D137" s="4">
        <v>36748</v>
      </c>
      <c r="L137" s="3" t="s">
        <v>39</v>
      </c>
      <c r="M137" s="3" t="s">
        <v>113</v>
      </c>
      <c r="N137" s="4">
        <v>131853</v>
      </c>
    </row>
    <row r="138" spans="1:14" x14ac:dyDescent="0.25">
      <c r="A138" s="5" t="str">
        <f t="shared" si="5"/>
        <v>Florida-Cliff Galinski</v>
      </c>
      <c r="B138" s="3" t="s">
        <v>45</v>
      </c>
      <c r="C138" s="3" t="s">
        <v>124</v>
      </c>
      <c r="D138" s="4">
        <v>20376</v>
      </c>
      <c r="L138" s="3" t="s">
        <v>39</v>
      </c>
      <c r="M138" s="3" t="s">
        <v>105</v>
      </c>
      <c r="N138" s="4">
        <v>56391</v>
      </c>
    </row>
    <row r="139" spans="1:14" x14ac:dyDescent="0.25">
      <c r="A139" s="5" t="str">
        <f t="shared" si="5"/>
        <v>Nebraska-Twanda Lovenduski</v>
      </c>
      <c r="B139" s="3" t="s">
        <v>64</v>
      </c>
      <c r="C139" s="3" t="s">
        <v>107</v>
      </c>
      <c r="D139" s="4">
        <v>74486</v>
      </c>
      <c r="L139" s="3" t="s">
        <v>39</v>
      </c>
      <c r="M139" s="3" t="s">
        <v>104</v>
      </c>
      <c r="N139" s="4">
        <v>88249</v>
      </c>
    </row>
    <row r="140" spans="1:14" x14ac:dyDescent="0.25">
      <c r="A140" s="5" t="str">
        <f t="shared" si="5"/>
        <v>Maine-Lianne Trappey</v>
      </c>
      <c r="B140" s="3" t="s">
        <v>56</v>
      </c>
      <c r="C140" s="3" t="s">
        <v>123</v>
      </c>
      <c r="D140" s="4">
        <v>79736</v>
      </c>
      <c r="L140" s="3" t="s">
        <v>39</v>
      </c>
      <c r="M140" s="3" t="s">
        <v>100</v>
      </c>
      <c r="N140" s="4">
        <v>45524</v>
      </c>
    </row>
    <row r="141" spans="1:14" x14ac:dyDescent="0.25">
      <c r="A141" s="5" t="str">
        <f t="shared" si="5"/>
        <v>Arkansas-Nolan Deorio</v>
      </c>
      <c r="B141" s="3" t="s">
        <v>39</v>
      </c>
      <c r="C141" s="3" t="s">
        <v>100</v>
      </c>
      <c r="D141" s="4">
        <v>45524</v>
      </c>
      <c r="L141" s="3" t="s">
        <v>39</v>
      </c>
      <c r="M141" s="3" t="s">
        <v>118</v>
      </c>
      <c r="N141" s="4">
        <v>94839</v>
      </c>
    </row>
    <row r="142" spans="1:14" x14ac:dyDescent="0.25">
      <c r="A142" s="5" t="str">
        <f t="shared" si="5"/>
        <v>New Hampshire-Nolan Gohn</v>
      </c>
      <c r="B142" s="3" t="s">
        <v>66</v>
      </c>
      <c r="C142" s="3" t="s">
        <v>118</v>
      </c>
      <c r="D142" s="4">
        <v>15013</v>
      </c>
      <c r="L142" s="3" t="s">
        <v>39</v>
      </c>
      <c r="M142" s="3" t="s">
        <v>101</v>
      </c>
      <c r="N142" s="4">
        <v>125524</v>
      </c>
    </row>
    <row r="143" spans="1:14" x14ac:dyDescent="0.25">
      <c r="A143" s="5" t="str">
        <f t="shared" si="5"/>
        <v>Idaho-Thaddeus Notah</v>
      </c>
      <c r="B143" s="3" t="s">
        <v>49</v>
      </c>
      <c r="C143" s="3" t="s">
        <v>112</v>
      </c>
      <c r="D143" s="4">
        <v>94240</v>
      </c>
      <c r="L143" s="3" t="s">
        <v>39</v>
      </c>
      <c r="M143" s="3" t="s">
        <v>122</v>
      </c>
      <c r="N143" s="4">
        <v>168680</v>
      </c>
    </row>
    <row r="144" spans="1:14" x14ac:dyDescent="0.25">
      <c r="A144" s="5" t="str">
        <f t="shared" si="5"/>
        <v>Minnesota-Lianne Trappey</v>
      </c>
      <c r="B144" s="3" t="s">
        <v>60</v>
      </c>
      <c r="C144" s="3" t="s">
        <v>123</v>
      </c>
      <c r="D144" s="4">
        <v>81590</v>
      </c>
      <c r="L144" s="3" t="s">
        <v>39</v>
      </c>
      <c r="M144" s="3" t="s">
        <v>109</v>
      </c>
      <c r="N144" s="4">
        <v>10100</v>
      </c>
    </row>
    <row r="145" spans="1:14" x14ac:dyDescent="0.25">
      <c r="A145" s="5" t="str">
        <f t="shared" si="5"/>
        <v>Colorado-Cliff Galinski</v>
      </c>
      <c r="B145" s="3" t="s">
        <v>41</v>
      </c>
      <c r="C145" s="3" t="s">
        <v>124</v>
      </c>
      <c r="D145" s="4">
        <v>54354</v>
      </c>
      <c r="L145" s="3" t="s">
        <v>39</v>
      </c>
      <c r="M145" s="3" t="s">
        <v>95</v>
      </c>
      <c r="N145" s="4">
        <v>98133</v>
      </c>
    </row>
    <row r="146" spans="1:14" x14ac:dyDescent="0.25">
      <c r="A146" s="5" t="str">
        <f t="shared" si="5"/>
        <v>Alaska-Son Shryack</v>
      </c>
      <c r="B146" s="3" t="s">
        <v>36</v>
      </c>
      <c r="C146" s="3" t="s">
        <v>98</v>
      </c>
      <c r="D146" s="4">
        <v>19104</v>
      </c>
      <c r="L146" s="3" t="s">
        <v>39</v>
      </c>
      <c r="M146" s="3" t="s">
        <v>98</v>
      </c>
      <c r="N146" s="4">
        <v>136326</v>
      </c>
    </row>
    <row r="147" spans="1:14" x14ac:dyDescent="0.25">
      <c r="A147" s="5" t="str">
        <f t="shared" si="5"/>
        <v>Maine-Cliff Bahlmann</v>
      </c>
      <c r="B147" s="3" t="s">
        <v>56</v>
      </c>
      <c r="C147" s="3" t="s">
        <v>99</v>
      </c>
      <c r="D147" s="4">
        <v>153804</v>
      </c>
      <c r="L147" s="3" t="s">
        <v>39</v>
      </c>
      <c r="M147" s="3" t="s">
        <v>114</v>
      </c>
      <c r="N147" s="4">
        <v>60102</v>
      </c>
    </row>
    <row r="148" spans="1:14" x14ac:dyDescent="0.25">
      <c r="A148" s="5" t="str">
        <f t="shared" si="5"/>
        <v>Massachusetts-Cliff Bahlmann</v>
      </c>
      <c r="B148" s="3" t="s">
        <v>58</v>
      </c>
      <c r="C148" s="3" t="s">
        <v>99</v>
      </c>
      <c r="D148" s="4">
        <v>79448</v>
      </c>
      <c r="L148" s="3" t="s">
        <v>39</v>
      </c>
      <c r="M148" s="3" t="s">
        <v>112</v>
      </c>
      <c r="N148" s="4">
        <v>152482</v>
      </c>
    </row>
    <row r="149" spans="1:14" x14ac:dyDescent="0.25">
      <c r="A149" s="5" t="str">
        <f t="shared" si="5"/>
        <v>Michigan-Lucilla Bilecki</v>
      </c>
      <c r="B149" s="3" t="s">
        <v>59</v>
      </c>
      <c r="C149" s="3" t="s">
        <v>97</v>
      </c>
      <c r="D149" s="4">
        <v>2743</v>
      </c>
      <c r="L149" s="3" t="s">
        <v>39</v>
      </c>
      <c r="M149" s="3" t="s">
        <v>103</v>
      </c>
      <c r="N149" s="4">
        <v>116702</v>
      </c>
    </row>
    <row r="150" spans="1:14" x14ac:dyDescent="0.25">
      <c r="A150" s="5" t="str">
        <f t="shared" si="5"/>
        <v>Connecticut-Moises Paynes</v>
      </c>
      <c r="B150" s="3" t="s">
        <v>42</v>
      </c>
      <c r="C150" s="3" t="s">
        <v>104</v>
      </c>
      <c r="D150" s="4">
        <v>98797</v>
      </c>
      <c r="L150" s="3" t="s">
        <v>39</v>
      </c>
      <c r="M150" s="3" t="s">
        <v>121</v>
      </c>
      <c r="N150" s="4">
        <v>97826</v>
      </c>
    </row>
    <row r="151" spans="1:14" x14ac:dyDescent="0.25">
      <c r="A151" s="5" t="str">
        <f t="shared" si="5"/>
        <v>California-Ali Steenken</v>
      </c>
      <c r="B151" s="3" t="s">
        <v>40</v>
      </c>
      <c r="C151" s="3" t="s">
        <v>116</v>
      </c>
      <c r="D151" s="4">
        <v>171786</v>
      </c>
      <c r="L151" s="3" t="s">
        <v>39</v>
      </c>
      <c r="M151" s="3" t="s">
        <v>107</v>
      </c>
      <c r="N151" s="4">
        <v>141840</v>
      </c>
    </row>
    <row r="152" spans="1:14" x14ac:dyDescent="0.25">
      <c r="A152" s="5" t="str">
        <f t="shared" si="5"/>
        <v>Oklahoma-Lucilla Bilecki</v>
      </c>
      <c r="B152" s="3" t="s">
        <v>74</v>
      </c>
      <c r="C152" s="3" t="s">
        <v>97</v>
      </c>
      <c r="D152" s="4">
        <v>80270</v>
      </c>
      <c r="L152" s="3" t="s">
        <v>40</v>
      </c>
      <c r="M152" s="3" t="s">
        <v>116</v>
      </c>
      <c r="N152" s="4">
        <v>171786</v>
      </c>
    </row>
    <row r="153" spans="1:14" x14ac:dyDescent="0.25">
      <c r="A153" s="5" t="str">
        <f t="shared" si="5"/>
        <v>Virgin Islands-Keila Rossini</v>
      </c>
      <c r="B153" s="3" t="s">
        <v>86</v>
      </c>
      <c r="C153" s="3" t="s">
        <v>102</v>
      </c>
      <c r="D153" s="4">
        <v>159780</v>
      </c>
      <c r="L153" s="3" t="s">
        <v>40</v>
      </c>
      <c r="M153" s="3" t="s">
        <v>108</v>
      </c>
      <c r="N153" s="4">
        <v>44750</v>
      </c>
    </row>
    <row r="154" spans="1:14" x14ac:dyDescent="0.25">
      <c r="A154" s="5" t="str">
        <f t="shared" si="5"/>
        <v>Wyoming-Toi Medico</v>
      </c>
      <c r="B154" s="3" t="s">
        <v>90</v>
      </c>
      <c r="C154" s="3" t="s">
        <v>103</v>
      </c>
      <c r="D154" s="4">
        <v>114992</v>
      </c>
      <c r="L154" s="3" t="s">
        <v>40</v>
      </c>
      <c r="M154" s="3" t="s">
        <v>110</v>
      </c>
      <c r="N154" s="4">
        <v>42597</v>
      </c>
    </row>
    <row r="155" spans="1:14" x14ac:dyDescent="0.25">
      <c r="A155" s="5" t="str">
        <f t="shared" si="5"/>
        <v>Arizona-Toi Medico</v>
      </c>
      <c r="B155" s="3" t="s">
        <v>38</v>
      </c>
      <c r="C155" s="3" t="s">
        <v>103</v>
      </c>
      <c r="D155" s="4">
        <v>33154</v>
      </c>
      <c r="L155" s="3" t="s">
        <v>40</v>
      </c>
      <c r="M155" s="3" t="s">
        <v>99</v>
      </c>
      <c r="N155" s="4">
        <v>130824</v>
      </c>
    </row>
    <row r="156" spans="1:14" x14ac:dyDescent="0.25">
      <c r="A156" s="5" t="str">
        <f t="shared" si="5"/>
        <v>Kansas-Moises Paynes</v>
      </c>
      <c r="B156" s="3" t="s">
        <v>53</v>
      </c>
      <c r="C156" s="3" t="s">
        <v>104</v>
      </c>
      <c r="D156" s="4">
        <v>25146</v>
      </c>
      <c r="L156" s="3" t="s">
        <v>40</v>
      </c>
      <c r="M156" s="3" t="s">
        <v>124</v>
      </c>
      <c r="N156" s="4">
        <v>89850</v>
      </c>
    </row>
    <row r="157" spans="1:14" x14ac:dyDescent="0.25">
      <c r="A157" s="5" t="str">
        <f t="shared" si="5"/>
        <v>Guam-Nolan Deorio</v>
      </c>
      <c r="B157" s="3" t="s">
        <v>47</v>
      </c>
      <c r="C157" s="3" t="s">
        <v>100</v>
      </c>
      <c r="D157" s="4">
        <v>8983</v>
      </c>
      <c r="L157" s="3" t="s">
        <v>40</v>
      </c>
      <c r="M157" s="3" t="s">
        <v>96</v>
      </c>
      <c r="N157" s="4">
        <v>133531</v>
      </c>
    </row>
    <row r="158" spans="1:14" x14ac:dyDescent="0.25">
      <c r="A158" s="5" t="str">
        <f t="shared" si="5"/>
        <v>West Virginia-Genna Zaller</v>
      </c>
      <c r="B158" s="3" t="s">
        <v>88</v>
      </c>
      <c r="C158" s="3" t="s">
        <v>117</v>
      </c>
      <c r="D158" s="4">
        <v>58745</v>
      </c>
      <c r="L158" s="3" t="s">
        <v>40</v>
      </c>
      <c r="M158" s="3" t="s">
        <v>115</v>
      </c>
      <c r="N158" s="4">
        <v>10678</v>
      </c>
    </row>
    <row r="159" spans="1:14" x14ac:dyDescent="0.25">
      <c r="A159" s="5" t="str">
        <f t="shared" si="5"/>
        <v>Delaware-Cliff Galinski</v>
      </c>
      <c r="B159" s="3" t="s">
        <v>43</v>
      </c>
      <c r="C159" s="3" t="s">
        <v>124</v>
      </c>
      <c r="D159" s="4">
        <v>37792</v>
      </c>
      <c r="L159" s="3" t="s">
        <v>40</v>
      </c>
      <c r="M159" s="3" t="s">
        <v>117</v>
      </c>
      <c r="N159" s="4">
        <v>122033</v>
      </c>
    </row>
    <row r="160" spans="1:14" x14ac:dyDescent="0.25">
      <c r="A160" s="5" t="str">
        <f t="shared" si="5"/>
        <v>Kentucky-Nolan Deorio</v>
      </c>
      <c r="B160" s="3" t="s">
        <v>54</v>
      </c>
      <c r="C160" s="3" t="s">
        <v>100</v>
      </c>
      <c r="D160" s="4">
        <v>131384</v>
      </c>
      <c r="L160" s="3" t="s">
        <v>40</v>
      </c>
      <c r="M160" s="3" t="s">
        <v>120</v>
      </c>
      <c r="N160" s="4">
        <v>120436</v>
      </c>
    </row>
    <row r="161" spans="1:14" x14ac:dyDescent="0.25">
      <c r="A161" s="5" t="str">
        <f t="shared" si="5"/>
        <v>Washington-Thaddeus Cacciatori</v>
      </c>
      <c r="B161" s="3" t="s">
        <v>87</v>
      </c>
      <c r="C161" s="3" t="s">
        <v>114</v>
      </c>
      <c r="D161" s="4">
        <v>97019</v>
      </c>
      <c r="L161" s="3" t="s">
        <v>40</v>
      </c>
      <c r="M161" s="3" t="s">
        <v>111</v>
      </c>
      <c r="N161" s="4">
        <v>54465</v>
      </c>
    </row>
    <row r="162" spans="1:14" x14ac:dyDescent="0.25">
      <c r="A162" s="5" t="str">
        <f t="shared" si="5"/>
        <v>Ohio-Cliff Bahlmann</v>
      </c>
      <c r="B162" s="3" t="s">
        <v>73</v>
      </c>
      <c r="C162" s="3" t="s">
        <v>99</v>
      </c>
      <c r="D162" s="4">
        <v>13866</v>
      </c>
      <c r="L162" s="3" t="s">
        <v>40</v>
      </c>
      <c r="M162" s="3" t="s">
        <v>102</v>
      </c>
      <c r="N162" s="4">
        <v>52041</v>
      </c>
    </row>
    <row r="163" spans="1:14" x14ac:dyDescent="0.25">
      <c r="A163" s="5" t="str">
        <f t="shared" si="5"/>
        <v>Ohio-Sadye Diloreto</v>
      </c>
      <c r="B163" s="3" t="s">
        <v>73</v>
      </c>
      <c r="C163" s="3" t="s">
        <v>95</v>
      </c>
      <c r="D163" s="4">
        <v>109363</v>
      </c>
      <c r="L163" s="3" t="s">
        <v>40</v>
      </c>
      <c r="M163" s="3" t="s">
        <v>106</v>
      </c>
      <c r="N163" s="4">
        <v>114977</v>
      </c>
    </row>
    <row r="164" spans="1:14" x14ac:dyDescent="0.25">
      <c r="A164" s="5" t="str">
        <f t="shared" si="5"/>
        <v>Oklahoma-Toi Medico</v>
      </c>
      <c r="B164" s="3" t="s">
        <v>74</v>
      </c>
      <c r="C164" s="3" t="s">
        <v>103</v>
      </c>
      <c r="D164" s="4">
        <v>116822</v>
      </c>
      <c r="L164" s="3" t="s">
        <v>40</v>
      </c>
      <c r="M164" s="3" t="s">
        <v>123</v>
      </c>
      <c r="N164" s="4">
        <v>112355</v>
      </c>
    </row>
    <row r="165" spans="1:14" x14ac:dyDescent="0.25">
      <c r="A165" s="5" t="str">
        <f t="shared" si="5"/>
        <v>Arkansas-Marlin Mavromatis</v>
      </c>
      <c r="B165" s="3" t="s">
        <v>39</v>
      </c>
      <c r="C165" s="3" t="s">
        <v>113</v>
      </c>
      <c r="D165" s="4">
        <v>131853</v>
      </c>
      <c r="L165" s="3" t="s">
        <v>40</v>
      </c>
      <c r="M165" s="3" t="s">
        <v>97</v>
      </c>
      <c r="N165" s="4">
        <v>104188</v>
      </c>
    </row>
    <row r="166" spans="1:14" x14ac:dyDescent="0.25">
      <c r="A166" s="5" t="str">
        <f t="shared" si="5"/>
        <v>Nevada-Fidel Potra</v>
      </c>
      <c r="B166" s="3" t="s">
        <v>65</v>
      </c>
      <c r="C166" s="3" t="s">
        <v>115</v>
      </c>
      <c r="D166" s="4">
        <v>89207</v>
      </c>
      <c r="L166" s="3" t="s">
        <v>40</v>
      </c>
      <c r="M166" s="3" t="s">
        <v>119</v>
      </c>
      <c r="N166" s="4">
        <v>84369</v>
      </c>
    </row>
    <row r="167" spans="1:14" x14ac:dyDescent="0.25">
      <c r="A167" s="5" t="str">
        <f t="shared" si="5"/>
        <v>Puerto Rico-Raphael Bonawitz</v>
      </c>
      <c r="B167" s="3" t="s">
        <v>77</v>
      </c>
      <c r="C167" s="3" t="s">
        <v>122</v>
      </c>
      <c r="D167" s="4">
        <v>15761</v>
      </c>
      <c r="L167" s="3" t="s">
        <v>40</v>
      </c>
      <c r="M167" s="3" t="s">
        <v>113</v>
      </c>
      <c r="N167" s="4">
        <v>66267</v>
      </c>
    </row>
    <row r="168" spans="1:14" x14ac:dyDescent="0.25">
      <c r="A168" s="5" t="str">
        <f t="shared" si="5"/>
        <v>Pennsylvania-Kai Stroebel</v>
      </c>
      <c r="B168" s="3" t="s">
        <v>76</v>
      </c>
      <c r="C168" s="3" t="s">
        <v>111</v>
      </c>
      <c r="D168" s="4">
        <v>47468</v>
      </c>
      <c r="L168" s="3" t="s">
        <v>40</v>
      </c>
      <c r="M168" s="3" t="s">
        <v>105</v>
      </c>
      <c r="N168" s="4">
        <v>77598</v>
      </c>
    </row>
    <row r="169" spans="1:14" x14ac:dyDescent="0.25">
      <c r="A169" s="5" t="str">
        <f t="shared" si="5"/>
        <v>Massachusetts-Lianne Trappey</v>
      </c>
      <c r="B169" s="3" t="s">
        <v>58</v>
      </c>
      <c r="C169" s="3" t="s">
        <v>123</v>
      </c>
      <c r="D169" s="4">
        <v>126003</v>
      </c>
      <c r="L169" s="3" t="s">
        <v>40</v>
      </c>
      <c r="M169" s="3" t="s">
        <v>104</v>
      </c>
      <c r="N169" s="4">
        <v>125943</v>
      </c>
    </row>
    <row r="170" spans="1:14" x14ac:dyDescent="0.25">
      <c r="A170" s="5" t="str">
        <f t="shared" si="5"/>
        <v>New Mexico-Raphael Bonawitz</v>
      </c>
      <c r="B170" s="3" t="s">
        <v>68</v>
      </c>
      <c r="C170" s="3" t="s">
        <v>122</v>
      </c>
      <c r="D170" s="4">
        <v>95800</v>
      </c>
      <c r="L170" s="3" t="s">
        <v>40</v>
      </c>
      <c r="M170" s="3" t="s">
        <v>100</v>
      </c>
      <c r="N170" s="4">
        <v>143335</v>
      </c>
    </row>
    <row r="171" spans="1:14" x14ac:dyDescent="0.25">
      <c r="A171" s="5" t="str">
        <f t="shared" si="5"/>
        <v>Virgin Islands-Thaddeus Cacciatori</v>
      </c>
      <c r="B171" s="3" t="s">
        <v>86</v>
      </c>
      <c r="C171" s="3" t="s">
        <v>114</v>
      </c>
      <c r="D171" s="4">
        <v>149240</v>
      </c>
      <c r="L171" s="3" t="s">
        <v>40</v>
      </c>
      <c r="M171" s="3" t="s">
        <v>118</v>
      </c>
      <c r="N171" s="4">
        <v>5631</v>
      </c>
    </row>
    <row r="172" spans="1:14" x14ac:dyDescent="0.25">
      <c r="A172" s="5" t="str">
        <f t="shared" si="5"/>
        <v>Maryland-Cliff Galinski</v>
      </c>
      <c r="B172" s="3" t="s">
        <v>57</v>
      </c>
      <c r="C172" s="3" t="s">
        <v>124</v>
      </c>
      <c r="D172" s="4">
        <v>122749</v>
      </c>
      <c r="L172" s="3" t="s">
        <v>40</v>
      </c>
      <c r="M172" s="3" t="s">
        <v>101</v>
      </c>
      <c r="N172" s="4">
        <v>86330</v>
      </c>
    </row>
    <row r="173" spans="1:14" x14ac:dyDescent="0.25">
      <c r="A173" s="5" t="str">
        <f t="shared" si="5"/>
        <v>Colorado-Son Shryack</v>
      </c>
      <c r="B173" s="3" t="s">
        <v>41</v>
      </c>
      <c r="C173" s="3" t="s">
        <v>98</v>
      </c>
      <c r="D173" s="4">
        <v>139815</v>
      </c>
      <c r="L173" s="3" t="s">
        <v>40</v>
      </c>
      <c r="M173" s="3" t="s">
        <v>122</v>
      </c>
      <c r="N173" s="4">
        <v>57854</v>
      </c>
    </row>
    <row r="174" spans="1:14" x14ac:dyDescent="0.25">
      <c r="A174" s="5" t="str">
        <f t="shared" si="5"/>
        <v>Utah-Toi Medico</v>
      </c>
      <c r="B174" s="3" t="s">
        <v>83</v>
      </c>
      <c r="C174" s="3" t="s">
        <v>103</v>
      </c>
      <c r="D174" s="4">
        <v>64546</v>
      </c>
      <c r="L174" s="3" t="s">
        <v>40</v>
      </c>
      <c r="M174" s="3" t="s">
        <v>109</v>
      </c>
      <c r="N174" s="4">
        <v>60856</v>
      </c>
    </row>
    <row r="175" spans="1:14" x14ac:dyDescent="0.25">
      <c r="A175" s="5" t="str">
        <f t="shared" si="5"/>
        <v>Idaho-Raphael Derrig</v>
      </c>
      <c r="B175" s="3" t="s">
        <v>49</v>
      </c>
      <c r="C175" s="3" t="s">
        <v>109</v>
      </c>
      <c r="D175" s="4">
        <v>70715</v>
      </c>
      <c r="L175" s="3" t="s">
        <v>40</v>
      </c>
      <c r="M175" s="3" t="s">
        <v>95</v>
      </c>
      <c r="N175" s="4">
        <v>170865</v>
      </c>
    </row>
    <row r="176" spans="1:14" x14ac:dyDescent="0.25">
      <c r="A176" s="5" t="str">
        <f t="shared" si="5"/>
        <v>Connecticut-Nolan Gohn</v>
      </c>
      <c r="B176" s="3" t="s">
        <v>42</v>
      </c>
      <c r="C176" s="3" t="s">
        <v>118</v>
      </c>
      <c r="D176" s="4">
        <v>117959</v>
      </c>
      <c r="L176" s="3" t="s">
        <v>40</v>
      </c>
      <c r="M176" s="3" t="s">
        <v>98</v>
      </c>
      <c r="N176" s="4">
        <v>16702</v>
      </c>
    </row>
    <row r="177" spans="1:14" x14ac:dyDescent="0.25">
      <c r="A177" s="5" t="str">
        <f t="shared" si="5"/>
        <v>Alaska-Fidel Potra</v>
      </c>
      <c r="B177" s="3" t="s">
        <v>36</v>
      </c>
      <c r="C177" s="3" t="s">
        <v>115</v>
      </c>
      <c r="D177" s="4">
        <v>156176</v>
      </c>
      <c r="L177" s="3" t="s">
        <v>40</v>
      </c>
      <c r="M177" s="3" t="s">
        <v>114</v>
      </c>
      <c r="N177" s="4">
        <v>102645</v>
      </c>
    </row>
    <row r="178" spans="1:14" x14ac:dyDescent="0.25">
      <c r="A178" s="5" t="str">
        <f t="shared" si="5"/>
        <v>Virgin Islands-Cliff Galinski</v>
      </c>
      <c r="B178" s="3" t="s">
        <v>86</v>
      </c>
      <c r="C178" s="3" t="s">
        <v>124</v>
      </c>
      <c r="D178" s="4">
        <v>144887</v>
      </c>
      <c r="L178" s="3" t="s">
        <v>40</v>
      </c>
      <c r="M178" s="3" t="s">
        <v>112</v>
      </c>
      <c r="N178" s="4">
        <v>79918</v>
      </c>
    </row>
    <row r="179" spans="1:14" x14ac:dyDescent="0.25">
      <c r="A179" s="5" t="str">
        <f t="shared" si="5"/>
        <v>Maryland-Lashon Bongers</v>
      </c>
      <c r="B179" s="3" t="s">
        <v>57</v>
      </c>
      <c r="C179" s="3" t="s">
        <v>106</v>
      </c>
      <c r="D179" s="4">
        <v>119198</v>
      </c>
      <c r="L179" s="3" t="s">
        <v>40</v>
      </c>
      <c r="M179" s="3" t="s">
        <v>103</v>
      </c>
      <c r="N179" s="4">
        <v>11012</v>
      </c>
    </row>
    <row r="180" spans="1:14" x14ac:dyDescent="0.25">
      <c r="A180" s="5" t="str">
        <f t="shared" si="5"/>
        <v>Alaska-Toi Medico</v>
      </c>
      <c r="B180" s="3" t="s">
        <v>36</v>
      </c>
      <c r="C180" s="3" t="s">
        <v>103</v>
      </c>
      <c r="D180" s="4">
        <v>61858</v>
      </c>
      <c r="L180" s="3" t="s">
        <v>40</v>
      </c>
      <c r="M180" s="3" t="s">
        <v>121</v>
      </c>
      <c r="N180" s="4">
        <v>14842</v>
      </c>
    </row>
    <row r="181" spans="1:14" x14ac:dyDescent="0.25">
      <c r="A181" s="5" t="str">
        <f t="shared" si="5"/>
        <v>South Carolina-Twanda Lovenduski</v>
      </c>
      <c r="B181" s="3" t="s">
        <v>79</v>
      </c>
      <c r="C181" s="3" t="s">
        <v>107</v>
      </c>
      <c r="D181" s="4">
        <v>63375</v>
      </c>
      <c r="L181" s="3" t="s">
        <v>40</v>
      </c>
      <c r="M181" s="3" t="s">
        <v>107</v>
      </c>
      <c r="N181" s="4">
        <v>134112</v>
      </c>
    </row>
    <row r="182" spans="1:14" x14ac:dyDescent="0.25">
      <c r="A182" s="5" t="str">
        <f t="shared" si="5"/>
        <v>Oregon-Armand Mcleon</v>
      </c>
      <c r="B182" s="3" t="s">
        <v>75</v>
      </c>
      <c r="C182" s="3" t="s">
        <v>110</v>
      </c>
      <c r="D182" s="4">
        <v>117968</v>
      </c>
      <c r="L182" s="3" t="s">
        <v>41</v>
      </c>
      <c r="M182" s="3" t="s">
        <v>116</v>
      </c>
      <c r="N182" s="4">
        <v>116704</v>
      </c>
    </row>
    <row r="183" spans="1:14" x14ac:dyDescent="0.25">
      <c r="A183" s="5" t="str">
        <f t="shared" si="5"/>
        <v>Guam-Marlin Mavromatis</v>
      </c>
      <c r="B183" s="3" t="s">
        <v>47</v>
      </c>
      <c r="C183" s="3" t="s">
        <v>113</v>
      </c>
      <c r="D183" s="4">
        <v>22285</v>
      </c>
      <c r="L183" s="3" t="s">
        <v>41</v>
      </c>
      <c r="M183" s="3" t="s">
        <v>108</v>
      </c>
      <c r="N183" s="4">
        <v>19927</v>
      </c>
    </row>
    <row r="184" spans="1:14" x14ac:dyDescent="0.25">
      <c r="A184" s="5" t="str">
        <f t="shared" si="5"/>
        <v>Guam-Cliff Bahlmann</v>
      </c>
      <c r="B184" s="3" t="s">
        <v>47</v>
      </c>
      <c r="C184" s="3" t="s">
        <v>99</v>
      </c>
      <c r="D184" s="4">
        <v>134104</v>
      </c>
      <c r="L184" s="3" t="s">
        <v>41</v>
      </c>
      <c r="M184" s="3" t="s">
        <v>110</v>
      </c>
      <c r="N184" s="4">
        <v>155101</v>
      </c>
    </row>
    <row r="185" spans="1:14" x14ac:dyDescent="0.25">
      <c r="A185" s="5" t="str">
        <f t="shared" si="5"/>
        <v>Pennsylvania-Nolan Deorio</v>
      </c>
      <c r="B185" s="3" t="s">
        <v>76</v>
      </c>
      <c r="C185" s="3" t="s">
        <v>100</v>
      </c>
      <c r="D185" s="4">
        <v>92006</v>
      </c>
      <c r="L185" s="3" t="s">
        <v>41</v>
      </c>
      <c r="M185" s="3" t="s">
        <v>99</v>
      </c>
      <c r="N185" s="4">
        <v>133860</v>
      </c>
    </row>
    <row r="186" spans="1:14" x14ac:dyDescent="0.25">
      <c r="A186" s="5" t="str">
        <f t="shared" si="5"/>
        <v>South Dakota-Marcel Davern</v>
      </c>
      <c r="B186" s="3" t="s">
        <v>80</v>
      </c>
      <c r="C186" s="3" t="s">
        <v>119</v>
      </c>
      <c r="D186" s="4">
        <v>63307</v>
      </c>
      <c r="L186" s="3" t="s">
        <v>41</v>
      </c>
      <c r="M186" s="3" t="s">
        <v>124</v>
      </c>
      <c r="N186" s="4">
        <v>54354</v>
      </c>
    </row>
    <row r="187" spans="1:14" x14ac:dyDescent="0.25">
      <c r="A187" s="5" t="str">
        <f t="shared" si="5"/>
        <v>Guam-Cliff Schnautz</v>
      </c>
      <c r="B187" s="3" t="s">
        <v>47</v>
      </c>
      <c r="C187" s="3" t="s">
        <v>96</v>
      </c>
      <c r="D187" s="4">
        <v>132253</v>
      </c>
      <c r="L187" s="3" t="s">
        <v>41</v>
      </c>
      <c r="M187" s="3" t="s">
        <v>96</v>
      </c>
      <c r="N187" s="4">
        <v>15790</v>
      </c>
    </row>
    <row r="188" spans="1:14" x14ac:dyDescent="0.25">
      <c r="A188" s="5" t="str">
        <f t="shared" si="5"/>
        <v>Oklahoma-Twanda Lovenduski</v>
      </c>
      <c r="B188" s="3" t="s">
        <v>74</v>
      </c>
      <c r="C188" s="3" t="s">
        <v>107</v>
      </c>
      <c r="D188" s="4">
        <v>70014</v>
      </c>
      <c r="L188" s="3" t="s">
        <v>41</v>
      </c>
      <c r="M188" s="3" t="s">
        <v>115</v>
      </c>
      <c r="N188" s="4">
        <v>71830</v>
      </c>
    </row>
    <row r="189" spans="1:14" x14ac:dyDescent="0.25">
      <c r="A189" s="5" t="str">
        <f t="shared" si="5"/>
        <v>New York-Thaddeus Cacciatori</v>
      </c>
      <c r="B189" s="3" t="s">
        <v>69</v>
      </c>
      <c r="C189" s="3" t="s">
        <v>114</v>
      </c>
      <c r="D189" s="4">
        <v>11560</v>
      </c>
      <c r="L189" s="3" t="s">
        <v>41</v>
      </c>
      <c r="M189" s="3" t="s">
        <v>117</v>
      </c>
      <c r="N189" s="4">
        <v>54663</v>
      </c>
    </row>
    <row r="190" spans="1:14" x14ac:dyDescent="0.25">
      <c r="A190" s="5" t="str">
        <f t="shared" si="5"/>
        <v>Kentucky-Marcel Davern</v>
      </c>
      <c r="B190" s="3" t="s">
        <v>54</v>
      </c>
      <c r="C190" s="3" t="s">
        <v>119</v>
      </c>
      <c r="D190" s="4">
        <v>113377</v>
      </c>
      <c r="L190" s="3" t="s">
        <v>41</v>
      </c>
      <c r="M190" s="3" t="s">
        <v>120</v>
      </c>
      <c r="N190" s="4">
        <v>99025</v>
      </c>
    </row>
    <row r="191" spans="1:14" x14ac:dyDescent="0.25">
      <c r="A191" s="5" t="str">
        <f t="shared" si="5"/>
        <v>Kentucky-Lucilla Bilecki</v>
      </c>
      <c r="B191" s="3" t="s">
        <v>54</v>
      </c>
      <c r="C191" s="3" t="s">
        <v>97</v>
      </c>
      <c r="D191" s="4">
        <v>131842</v>
      </c>
      <c r="L191" s="3" t="s">
        <v>41</v>
      </c>
      <c r="M191" s="3" t="s">
        <v>111</v>
      </c>
      <c r="N191" s="4">
        <v>65872</v>
      </c>
    </row>
    <row r="192" spans="1:14" x14ac:dyDescent="0.25">
      <c r="A192" s="5" t="str">
        <f t="shared" si="5"/>
        <v>Connecticut-Genna Zaller</v>
      </c>
      <c r="B192" s="3" t="s">
        <v>42</v>
      </c>
      <c r="C192" s="3" t="s">
        <v>117</v>
      </c>
      <c r="D192" s="4">
        <v>33380</v>
      </c>
      <c r="L192" s="3" t="s">
        <v>41</v>
      </c>
      <c r="M192" s="3" t="s">
        <v>102</v>
      </c>
      <c r="N192" s="4">
        <v>19033</v>
      </c>
    </row>
    <row r="193" spans="1:14" x14ac:dyDescent="0.25">
      <c r="A193" s="5" t="str">
        <f t="shared" si="5"/>
        <v>Kentucky-Genna Zaller</v>
      </c>
      <c r="B193" s="3" t="s">
        <v>54</v>
      </c>
      <c r="C193" s="3" t="s">
        <v>117</v>
      </c>
      <c r="D193" s="4">
        <v>43176</v>
      </c>
      <c r="L193" s="3" t="s">
        <v>41</v>
      </c>
      <c r="M193" s="3" t="s">
        <v>106</v>
      </c>
      <c r="N193" s="4">
        <v>168341</v>
      </c>
    </row>
    <row r="194" spans="1:14" x14ac:dyDescent="0.25">
      <c r="A194" s="5" t="str">
        <f t="shared" ref="A194:A257" si="6">B194&amp;"-"&amp;C194</f>
        <v>South Dakota-Quinton Modugno</v>
      </c>
      <c r="B194" s="3" t="s">
        <v>80</v>
      </c>
      <c r="C194" s="3" t="s">
        <v>101</v>
      </c>
      <c r="D194" s="4">
        <v>159844</v>
      </c>
      <c r="L194" s="3" t="s">
        <v>41</v>
      </c>
      <c r="M194" s="3" t="s">
        <v>123</v>
      </c>
      <c r="N194" s="4">
        <v>27232</v>
      </c>
    </row>
    <row r="195" spans="1:14" x14ac:dyDescent="0.25">
      <c r="A195" s="5" t="str">
        <f t="shared" si="6"/>
        <v>Maine-Ali Steenken</v>
      </c>
      <c r="B195" s="3" t="s">
        <v>56</v>
      </c>
      <c r="C195" s="3" t="s">
        <v>116</v>
      </c>
      <c r="D195" s="4">
        <v>152275</v>
      </c>
      <c r="L195" s="3" t="s">
        <v>41</v>
      </c>
      <c r="M195" s="3" t="s">
        <v>97</v>
      </c>
      <c r="N195" s="4">
        <v>39633</v>
      </c>
    </row>
    <row r="196" spans="1:14" x14ac:dyDescent="0.25">
      <c r="A196" s="5" t="str">
        <f t="shared" si="6"/>
        <v>Ohio-Moises Paynes</v>
      </c>
      <c r="B196" s="3" t="s">
        <v>73</v>
      </c>
      <c r="C196" s="3" t="s">
        <v>104</v>
      </c>
      <c r="D196" s="4">
        <v>51921</v>
      </c>
      <c r="L196" s="3" t="s">
        <v>41</v>
      </c>
      <c r="M196" s="3" t="s">
        <v>119</v>
      </c>
      <c r="N196" s="4">
        <v>135707</v>
      </c>
    </row>
    <row r="197" spans="1:14" x14ac:dyDescent="0.25">
      <c r="A197" s="5" t="str">
        <f t="shared" si="6"/>
        <v>Texas-Raphael Derrig</v>
      </c>
      <c r="B197" s="3" t="s">
        <v>82</v>
      </c>
      <c r="C197" s="3" t="s">
        <v>109</v>
      </c>
      <c r="D197" s="4">
        <v>122626</v>
      </c>
      <c r="L197" s="3" t="s">
        <v>41</v>
      </c>
      <c r="M197" s="3" t="s">
        <v>113</v>
      </c>
      <c r="N197" s="4">
        <v>66802</v>
      </c>
    </row>
    <row r="198" spans="1:14" x14ac:dyDescent="0.25">
      <c r="A198" s="5" t="str">
        <f t="shared" si="6"/>
        <v>New Jersey-Keila Rossini</v>
      </c>
      <c r="B198" s="3" t="s">
        <v>67</v>
      </c>
      <c r="C198" s="3" t="s">
        <v>102</v>
      </c>
      <c r="D198" s="4">
        <v>89581</v>
      </c>
      <c r="L198" s="3" t="s">
        <v>41</v>
      </c>
      <c r="M198" s="3" t="s">
        <v>105</v>
      </c>
      <c r="N198" s="4">
        <v>71016</v>
      </c>
    </row>
    <row r="199" spans="1:14" x14ac:dyDescent="0.25">
      <c r="A199" s="5" t="str">
        <f t="shared" si="6"/>
        <v>New Hampshire-Marlin Mavromatis</v>
      </c>
      <c r="B199" s="3" t="s">
        <v>66</v>
      </c>
      <c r="C199" s="3" t="s">
        <v>113</v>
      </c>
      <c r="D199" s="4">
        <v>126011</v>
      </c>
      <c r="L199" s="3" t="s">
        <v>41</v>
      </c>
      <c r="M199" s="3" t="s">
        <v>104</v>
      </c>
      <c r="N199" s="4">
        <v>59183</v>
      </c>
    </row>
    <row r="200" spans="1:14" x14ac:dyDescent="0.25">
      <c r="A200" s="5" t="str">
        <f t="shared" si="6"/>
        <v>Louisiana-Cliff Bahlmann</v>
      </c>
      <c r="B200" s="3" t="s">
        <v>55</v>
      </c>
      <c r="C200" s="3" t="s">
        <v>99</v>
      </c>
      <c r="D200" s="4">
        <v>143646</v>
      </c>
      <c r="L200" s="3" t="s">
        <v>41</v>
      </c>
      <c r="M200" s="3" t="s">
        <v>100</v>
      </c>
      <c r="N200" s="4">
        <v>130526</v>
      </c>
    </row>
    <row r="201" spans="1:14" x14ac:dyDescent="0.25">
      <c r="A201" s="5" t="str">
        <f t="shared" si="6"/>
        <v>Wyoming-Marvis Tenholder</v>
      </c>
      <c r="B201" s="3" t="s">
        <v>90</v>
      </c>
      <c r="C201" s="3" t="s">
        <v>105</v>
      </c>
      <c r="D201" s="4">
        <v>86139</v>
      </c>
      <c r="L201" s="3" t="s">
        <v>41</v>
      </c>
      <c r="M201" s="3" t="s">
        <v>118</v>
      </c>
      <c r="N201" s="4">
        <v>47621</v>
      </c>
    </row>
    <row r="202" spans="1:14" x14ac:dyDescent="0.25">
      <c r="A202" s="5" t="str">
        <f t="shared" si="6"/>
        <v>Washington-Twanda Lovenduski</v>
      </c>
      <c r="B202" s="3" t="s">
        <v>87</v>
      </c>
      <c r="C202" s="3" t="s">
        <v>107</v>
      </c>
      <c r="D202" s="4">
        <v>147476</v>
      </c>
      <c r="L202" s="3" t="s">
        <v>41</v>
      </c>
      <c r="M202" s="3" t="s">
        <v>101</v>
      </c>
      <c r="N202" s="4">
        <v>173823</v>
      </c>
    </row>
    <row r="203" spans="1:14" x14ac:dyDescent="0.25">
      <c r="A203" s="5" t="str">
        <f t="shared" si="6"/>
        <v>Puerto Rico-Marvis Tenholder</v>
      </c>
      <c r="B203" s="3" t="s">
        <v>77</v>
      </c>
      <c r="C203" s="3" t="s">
        <v>105</v>
      </c>
      <c r="D203" s="4">
        <v>85208</v>
      </c>
      <c r="L203" s="3" t="s">
        <v>41</v>
      </c>
      <c r="M203" s="3" t="s">
        <v>122</v>
      </c>
      <c r="N203" s="4">
        <v>115458</v>
      </c>
    </row>
    <row r="204" spans="1:14" x14ac:dyDescent="0.25">
      <c r="A204" s="5" t="str">
        <f t="shared" si="6"/>
        <v>Michigan-Keila Rossini</v>
      </c>
      <c r="B204" s="3" t="s">
        <v>59</v>
      </c>
      <c r="C204" s="3" t="s">
        <v>102</v>
      </c>
      <c r="D204" s="4">
        <v>147557</v>
      </c>
      <c r="L204" s="3" t="s">
        <v>41</v>
      </c>
      <c r="M204" s="3" t="s">
        <v>109</v>
      </c>
      <c r="N204" s="4">
        <v>112032</v>
      </c>
    </row>
    <row r="205" spans="1:14" x14ac:dyDescent="0.25">
      <c r="A205" s="5" t="str">
        <f t="shared" si="6"/>
        <v>American Samoa-Toi Zedaker</v>
      </c>
      <c r="B205" s="3" t="s">
        <v>37</v>
      </c>
      <c r="C205" s="3" t="s">
        <v>121</v>
      </c>
      <c r="D205" s="4">
        <v>27654</v>
      </c>
      <c r="L205" s="3" t="s">
        <v>41</v>
      </c>
      <c r="M205" s="3" t="s">
        <v>95</v>
      </c>
      <c r="N205" s="4">
        <v>92925</v>
      </c>
    </row>
    <row r="206" spans="1:14" x14ac:dyDescent="0.25">
      <c r="A206" s="5" t="str">
        <f t="shared" si="6"/>
        <v>Wyoming-Thaddeus Notah</v>
      </c>
      <c r="B206" s="3" t="s">
        <v>90</v>
      </c>
      <c r="C206" s="3" t="s">
        <v>112</v>
      </c>
      <c r="D206" s="4">
        <v>22910</v>
      </c>
      <c r="L206" s="3" t="s">
        <v>41</v>
      </c>
      <c r="M206" s="3" t="s">
        <v>98</v>
      </c>
      <c r="N206" s="4">
        <v>139815</v>
      </c>
    </row>
    <row r="207" spans="1:14" x14ac:dyDescent="0.25">
      <c r="A207" s="5" t="str">
        <f t="shared" si="6"/>
        <v>Oregon-Marcel Davern</v>
      </c>
      <c r="B207" s="3" t="s">
        <v>75</v>
      </c>
      <c r="C207" s="3" t="s">
        <v>119</v>
      </c>
      <c r="D207" s="4">
        <v>130553</v>
      </c>
      <c r="L207" s="3" t="s">
        <v>41</v>
      </c>
      <c r="M207" s="3" t="s">
        <v>114</v>
      </c>
      <c r="N207" s="4">
        <v>64847</v>
      </c>
    </row>
    <row r="208" spans="1:14" x14ac:dyDescent="0.25">
      <c r="A208" s="5" t="str">
        <f t="shared" si="6"/>
        <v>Wisconsin-Genna Zaller</v>
      </c>
      <c r="B208" s="3" t="s">
        <v>89</v>
      </c>
      <c r="C208" s="3" t="s">
        <v>117</v>
      </c>
      <c r="D208" s="4">
        <v>144721</v>
      </c>
      <c r="L208" s="3" t="s">
        <v>41</v>
      </c>
      <c r="M208" s="3" t="s">
        <v>112</v>
      </c>
      <c r="N208" s="4">
        <v>13568</v>
      </c>
    </row>
    <row r="209" spans="1:14" x14ac:dyDescent="0.25">
      <c r="A209" s="5" t="str">
        <f t="shared" si="6"/>
        <v>New Hampshire-Marcel Davern</v>
      </c>
      <c r="B209" s="3" t="s">
        <v>66</v>
      </c>
      <c r="C209" s="3" t="s">
        <v>119</v>
      </c>
      <c r="D209" s="4">
        <v>29196</v>
      </c>
      <c r="L209" s="3" t="s">
        <v>41</v>
      </c>
      <c r="M209" s="3" t="s">
        <v>103</v>
      </c>
      <c r="N209" s="4">
        <v>117495</v>
      </c>
    </row>
    <row r="210" spans="1:14" x14ac:dyDescent="0.25">
      <c r="A210" s="5" t="str">
        <f t="shared" si="6"/>
        <v>New York-Son Shryack</v>
      </c>
      <c r="B210" s="3" t="s">
        <v>69</v>
      </c>
      <c r="C210" s="3" t="s">
        <v>98</v>
      </c>
      <c r="D210" s="4">
        <v>150247</v>
      </c>
      <c r="L210" s="3" t="s">
        <v>41</v>
      </c>
      <c r="M210" s="3" t="s">
        <v>121</v>
      </c>
      <c r="N210" s="4">
        <v>162679</v>
      </c>
    </row>
    <row r="211" spans="1:14" x14ac:dyDescent="0.25">
      <c r="A211" s="5" t="str">
        <f t="shared" si="6"/>
        <v>Florida-Son Shryack</v>
      </c>
      <c r="B211" s="3" t="s">
        <v>45</v>
      </c>
      <c r="C211" s="3" t="s">
        <v>98</v>
      </c>
      <c r="D211" s="4">
        <v>69446</v>
      </c>
      <c r="L211" s="3" t="s">
        <v>41</v>
      </c>
      <c r="M211" s="3" t="s">
        <v>107</v>
      </c>
      <c r="N211" s="4">
        <v>126878</v>
      </c>
    </row>
    <row r="212" spans="1:14" x14ac:dyDescent="0.25">
      <c r="A212" s="5" t="str">
        <f t="shared" si="6"/>
        <v>Northern Marianas Islands-Ali Steenken</v>
      </c>
      <c r="B212" s="3" t="s">
        <v>72</v>
      </c>
      <c r="C212" s="3" t="s">
        <v>116</v>
      </c>
      <c r="D212" s="4">
        <v>78505</v>
      </c>
      <c r="L212" s="3" t="s">
        <v>42</v>
      </c>
      <c r="M212" s="3" t="s">
        <v>116</v>
      </c>
      <c r="N212" s="4">
        <v>98469</v>
      </c>
    </row>
    <row r="213" spans="1:14" x14ac:dyDescent="0.25">
      <c r="A213" s="5" t="str">
        <f t="shared" si="6"/>
        <v>New Mexico-Toi Medico</v>
      </c>
      <c r="B213" s="3" t="s">
        <v>68</v>
      </c>
      <c r="C213" s="3" t="s">
        <v>103</v>
      </c>
      <c r="D213" s="4">
        <v>53588</v>
      </c>
      <c r="L213" s="3" t="s">
        <v>42</v>
      </c>
      <c r="M213" s="3" t="s">
        <v>108</v>
      </c>
      <c r="N213" s="4">
        <v>105711</v>
      </c>
    </row>
    <row r="214" spans="1:14" x14ac:dyDescent="0.25">
      <c r="A214" s="5" t="str">
        <f t="shared" si="6"/>
        <v>West Virginia-Lianne Trappey</v>
      </c>
      <c r="B214" s="3" t="s">
        <v>88</v>
      </c>
      <c r="C214" s="3" t="s">
        <v>123</v>
      </c>
      <c r="D214" s="4">
        <v>105324</v>
      </c>
      <c r="L214" s="3" t="s">
        <v>42</v>
      </c>
      <c r="M214" s="3" t="s">
        <v>110</v>
      </c>
      <c r="N214" s="4">
        <v>99600</v>
      </c>
    </row>
    <row r="215" spans="1:14" x14ac:dyDescent="0.25">
      <c r="A215" s="5" t="str">
        <f t="shared" si="6"/>
        <v>Kentucky-Ali Steenken</v>
      </c>
      <c r="B215" s="3" t="s">
        <v>54</v>
      </c>
      <c r="C215" s="3" t="s">
        <v>116</v>
      </c>
      <c r="D215" s="4">
        <v>161018</v>
      </c>
      <c r="L215" s="3" t="s">
        <v>42</v>
      </c>
      <c r="M215" s="3" t="s">
        <v>99</v>
      </c>
      <c r="N215" s="4">
        <v>43687</v>
      </c>
    </row>
    <row r="216" spans="1:14" x14ac:dyDescent="0.25">
      <c r="A216" s="5" t="str">
        <f t="shared" si="6"/>
        <v>Vermont-Lashon Bongers</v>
      </c>
      <c r="B216" s="3" t="s">
        <v>84</v>
      </c>
      <c r="C216" s="3" t="s">
        <v>106</v>
      </c>
      <c r="D216" s="4">
        <v>142895</v>
      </c>
      <c r="L216" s="3" t="s">
        <v>42</v>
      </c>
      <c r="M216" s="3" t="s">
        <v>124</v>
      </c>
      <c r="N216" s="4">
        <v>138541</v>
      </c>
    </row>
    <row r="217" spans="1:14" x14ac:dyDescent="0.25">
      <c r="A217" s="5" t="str">
        <f t="shared" si="6"/>
        <v>Texas-Cliff Schnautz</v>
      </c>
      <c r="B217" s="3" t="s">
        <v>82</v>
      </c>
      <c r="C217" s="3" t="s">
        <v>96</v>
      </c>
      <c r="D217" s="4">
        <v>53886</v>
      </c>
      <c r="L217" s="3" t="s">
        <v>42</v>
      </c>
      <c r="M217" s="3" t="s">
        <v>96</v>
      </c>
      <c r="N217" s="4">
        <v>36748</v>
      </c>
    </row>
    <row r="218" spans="1:14" x14ac:dyDescent="0.25">
      <c r="A218" s="5" t="str">
        <f t="shared" si="6"/>
        <v>Alaska-Armand Mcleon</v>
      </c>
      <c r="B218" s="3" t="s">
        <v>36</v>
      </c>
      <c r="C218" s="3" t="s">
        <v>110</v>
      </c>
      <c r="D218" s="4">
        <v>147739</v>
      </c>
      <c r="L218" s="3" t="s">
        <v>42</v>
      </c>
      <c r="M218" s="3" t="s">
        <v>115</v>
      </c>
      <c r="N218" s="4">
        <v>29074</v>
      </c>
    </row>
    <row r="219" spans="1:14" x14ac:dyDescent="0.25">
      <c r="A219" s="5" t="str">
        <f t="shared" si="6"/>
        <v>Hawaii-Moises Paynes</v>
      </c>
      <c r="B219" s="3" t="s">
        <v>48</v>
      </c>
      <c r="C219" s="3" t="s">
        <v>104</v>
      </c>
      <c r="D219" s="4">
        <v>85285</v>
      </c>
      <c r="L219" s="3" t="s">
        <v>42</v>
      </c>
      <c r="M219" s="3" t="s">
        <v>117</v>
      </c>
      <c r="N219" s="4">
        <v>33380</v>
      </c>
    </row>
    <row r="220" spans="1:14" x14ac:dyDescent="0.25">
      <c r="A220" s="5" t="str">
        <f t="shared" si="6"/>
        <v>Mississippi-Genna Zaller</v>
      </c>
      <c r="B220" s="3" t="s">
        <v>61</v>
      </c>
      <c r="C220" s="3" t="s">
        <v>117</v>
      </c>
      <c r="D220" s="4">
        <v>161942</v>
      </c>
      <c r="L220" s="3" t="s">
        <v>42</v>
      </c>
      <c r="M220" s="3" t="s">
        <v>120</v>
      </c>
      <c r="N220" s="4">
        <v>157066</v>
      </c>
    </row>
    <row r="221" spans="1:14" x14ac:dyDescent="0.25">
      <c r="A221" s="5" t="str">
        <f t="shared" si="6"/>
        <v>New Jersey-Ali Stupp</v>
      </c>
      <c r="B221" s="3" t="s">
        <v>67</v>
      </c>
      <c r="C221" s="3" t="s">
        <v>108</v>
      </c>
      <c r="D221" s="4">
        <v>32387</v>
      </c>
      <c r="L221" s="3" t="s">
        <v>42</v>
      </c>
      <c r="M221" s="3" t="s">
        <v>111</v>
      </c>
      <c r="N221" s="4">
        <v>94869</v>
      </c>
    </row>
    <row r="222" spans="1:14" x14ac:dyDescent="0.25">
      <c r="A222" s="5" t="str">
        <f t="shared" si="6"/>
        <v>New Mexico-Armand Mcleon</v>
      </c>
      <c r="B222" s="3" t="s">
        <v>68</v>
      </c>
      <c r="C222" s="3" t="s">
        <v>110</v>
      </c>
      <c r="D222" s="4">
        <v>69916</v>
      </c>
      <c r="L222" s="3" t="s">
        <v>42</v>
      </c>
      <c r="M222" s="3" t="s">
        <v>102</v>
      </c>
      <c r="N222" s="4">
        <v>92114</v>
      </c>
    </row>
    <row r="223" spans="1:14" x14ac:dyDescent="0.25">
      <c r="A223" s="5" t="str">
        <f t="shared" si="6"/>
        <v>South Dakota-Ali Stupp</v>
      </c>
      <c r="B223" s="3" t="s">
        <v>80</v>
      </c>
      <c r="C223" s="3" t="s">
        <v>108</v>
      </c>
      <c r="D223" s="4">
        <v>98491</v>
      </c>
      <c r="L223" s="3" t="s">
        <v>42</v>
      </c>
      <c r="M223" s="3" t="s">
        <v>106</v>
      </c>
      <c r="N223" s="4">
        <v>20389</v>
      </c>
    </row>
    <row r="224" spans="1:14" x14ac:dyDescent="0.25">
      <c r="A224" s="5" t="str">
        <f t="shared" si="6"/>
        <v>Virgin Islands-Fidel Potra</v>
      </c>
      <c r="B224" s="3" t="s">
        <v>86</v>
      </c>
      <c r="C224" s="3" t="s">
        <v>115</v>
      </c>
      <c r="D224" s="4">
        <v>55759</v>
      </c>
      <c r="L224" s="3" t="s">
        <v>42</v>
      </c>
      <c r="M224" s="3" t="s">
        <v>123</v>
      </c>
      <c r="N224" s="4">
        <v>112138</v>
      </c>
    </row>
    <row r="225" spans="1:14" x14ac:dyDescent="0.25">
      <c r="A225" s="5" t="str">
        <f t="shared" si="6"/>
        <v>Virginia-Quinton Modugno</v>
      </c>
      <c r="B225" s="3" t="s">
        <v>85</v>
      </c>
      <c r="C225" s="3" t="s">
        <v>101</v>
      </c>
      <c r="D225" s="4">
        <v>46605</v>
      </c>
      <c r="L225" s="3" t="s">
        <v>42</v>
      </c>
      <c r="M225" s="3" t="s">
        <v>97</v>
      </c>
      <c r="N225" s="4">
        <v>47689</v>
      </c>
    </row>
    <row r="226" spans="1:14" x14ac:dyDescent="0.25">
      <c r="A226" s="5" t="str">
        <f t="shared" si="6"/>
        <v>Pennsylvania-Marcel Davern</v>
      </c>
      <c r="B226" s="3" t="s">
        <v>76</v>
      </c>
      <c r="C226" s="3" t="s">
        <v>119</v>
      </c>
      <c r="D226" s="4">
        <v>22021</v>
      </c>
      <c r="L226" s="3" t="s">
        <v>42</v>
      </c>
      <c r="M226" s="3" t="s">
        <v>119</v>
      </c>
      <c r="N226" s="4">
        <v>88348</v>
      </c>
    </row>
    <row r="227" spans="1:14" x14ac:dyDescent="0.25">
      <c r="A227" s="5" t="str">
        <f t="shared" si="6"/>
        <v>Delaware-Cliff Schnautz</v>
      </c>
      <c r="B227" s="3" t="s">
        <v>43</v>
      </c>
      <c r="C227" s="3" t="s">
        <v>96</v>
      </c>
      <c r="D227" s="4">
        <v>92669</v>
      </c>
      <c r="L227" s="3" t="s">
        <v>42</v>
      </c>
      <c r="M227" s="3" t="s">
        <v>113</v>
      </c>
      <c r="N227" s="4">
        <v>120225</v>
      </c>
    </row>
    <row r="228" spans="1:14" x14ac:dyDescent="0.25">
      <c r="A228" s="5" t="str">
        <f t="shared" si="6"/>
        <v>Kansas-Ali Stupp</v>
      </c>
      <c r="B228" s="3" t="s">
        <v>53</v>
      </c>
      <c r="C228" s="3" t="s">
        <v>108</v>
      </c>
      <c r="D228" s="4">
        <v>105898</v>
      </c>
      <c r="L228" s="3" t="s">
        <v>42</v>
      </c>
      <c r="M228" s="3" t="s">
        <v>105</v>
      </c>
      <c r="N228" s="4">
        <v>136193</v>
      </c>
    </row>
    <row r="229" spans="1:14" x14ac:dyDescent="0.25">
      <c r="A229" s="5" t="str">
        <f t="shared" si="6"/>
        <v>Oregon-Toi Zedaker</v>
      </c>
      <c r="B229" s="3" t="s">
        <v>75</v>
      </c>
      <c r="C229" s="3" t="s">
        <v>121</v>
      </c>
      <c r="D229" s="4">
        <v>82609</v>
      </c>
      <c r="L229" s="3" t="s">
        <v>42</v>
      </c>
      <c r="M229" s="3" t="s">
        <v>104</v>
      </c>
      <c r="N229" s="4">
        <v>98797</v>
      </c>
    </row>
    <row r="230" spans="1:14" x14ac:dyDescent="0.25">
      <c r="A230" s="5" t="str">
        <f t="shared" si="6"/>
        <v>North Dakota-Marlin Mavromatis</v>
      </c>
      <c r="B230" s="3" t="s">
        <v>71</v>
      </c>
      <c r="C230" s="3" t="s">
        <v>113</v>
      </c>
      <c r="D230" s="4">
        <v>116379</v>
      </c>
      <c r="L230" s="3" t="s">
        <v>42</v>
      </c>
      <c r="M230" s="3" t="s">
        <v>100</v>
      </c>
      <c r="N230" s="4">
        <v>53822</v>
      </c>
    </row>
    <row r="231" spans="1:14" x14ac:dyDescent="0.25">
      <c r="A231" s="5" t="str">
        <f t="shared" si="6"/>
        <v>Tennessee-Toi Medico</v>
      </c>
      <c r="B231" s="3" t="s">
        <v>81</v>
      </c>
      <c r="C231" s="3" t="s">
        <v>103</v>
      </c>
      <c r="D231" s="4">
        <v>96172</v>
      </c>
      <c r="L231" s="3" t="s">
        <v>42</v>
      </c>
      <c r="M231" s="3" t="s">
        <v>118</v>
      </c>
      <c r="N231" s="4">
        <v>117959</v>
      </c>
    </row>
    <row r="232" spans="1:14" x14ac:dyDescent="0.25">
      <c r="A232" s="5" t="str">
        <f t="shared" si="6"/>
        <v>Nebraska-Cliff Bahlmann</v>
      </c>
      <c r="B232" s="3" t="s">
        <v>64</v>
      </c>
      <c r="C232" s="3" t="s">
        <v>99</v>
      </c>
      <c r="D232" s="4">
        <v>169310</v>
      </c>
      <c r="L232" s="3" t="s">
        <v>42</v>
      </c>
      <c r="M232" s="3" t="s">
        <v>101</v>
      </c>
      <c r="N232" s="4">
        <v>18728</v>
      </c>
    </row>
    <row r="233" spans="1:14" x14ac:dyDescent="0.25">
      <c r="A233" s="5" t="str">
        <f t="shared" si="6"/>
        <v>Vermont-Thaddeus Cacciatori</v>
      </c>
      <c r="B233" s="3" t="s">
        <v>84</v>
      </c>
      <c r="C233" s="3" t="s">
        <v>114</v>
      </c>
      <c r="D233" s="4">
        <v>130913</v>
      </c>
      <c r="L233" s="3" t="s">
        <v>42</v>
      </c>
      <c r="M233" s="3" t="s">
        <v>122</v>
      </c>
      <c r="N233" s="4">
        <v>153248</v>
      </c>
    </row>
    <row r="234" spans="1:14" x14ac:dyDescent="0.25">
      <c r="A234" s="5" t="str">
        <f t="shared" si="6"/>
        <v>Arkansas-Moises Paynes</v>
      </c>
      <c r="B234" s="3" t="s">
        <v>39</v>
      </c>
      <c r="C234" s="3" t="s">
        <v>104</v>
      </c>
      <c r="D234" s="4">
        <v>88249</v>
      </c>
      <c r="L234" s="3" t="s">
        <v>42</v>
      </c>
      <c r="M234" s="3" t="s">
        <v>109</v>
      </c>
      <c r="N234" s="4">
        <v>153860</v>
      </c>
    </row>
    <row r="235" spans="1:14" x14ac:dyDescent="0.25">
      <c r="A235" s="5" t="str">
        <f t="shared" si="6"/>
        <v>West Virginia-Raphael Derrig</v>
      </c>
      <c r="B235" s="3" t="s">
        <v>88</v>
      </c>
      <c r="C235" s="3" t="s">
        <v>109</v>
      </c>
      <c r="D235" s="4">
        <v>157912</v>
      </c>
      <c r="L235" s="3" t="s">
        <v>42</v>
      </c>
      <c r="M235" s="3" t="s">
        <v>95</v>
      </c>
      <c r="N235" s="4">
        <v>10843</v>
      </c>
    </row>
    <row r="236" spans="1:14" x14ac:dyDescent="0.25">
      <c r="A236" s="5" t="str">
        <f t="shared" si="6"/>
        <v>Puerto Rico-Son Shryack</v>
      </c>
      <c r="B236" s="3" t="s">
        <v>77</v>
      </c>
      <c r="C236" s="3" t="s">
        <v>98</v>
      </c>
      <c r="D236" s="4">
        <v>36277</v>
      </c>
      <c r="L236" s="3" t="s">
        <v>42</v>
      </c>
      <c r="M236" s="3" t="s">
        <v>98</v>
      </c>
      <c r="N236" s="4">
        <v>45234</v>
      </c>
    </row>
    <row r="237" spans="1:14" x14ac:dyDescent="0.25">
      <c r="A237" s="5" t="str">
        <f t="shared" si="6"/>
        <v>Michigan-Quinton Modugno</v>
      </c>
      <c r="B237" s="3" t="s">
        <v>59</v>
      </c>
      <c r="C237" s="3" t="s">
        <v>101</v>
      </c>
      <c r="D237" s="4">
        <v>169119</v>
      </c>
      <c r="L237" s="3" t="s">
        <v>42</v>
      </c>
      <c r="M237" s="3" t="s">
        <v>114</v>
      </c>
      <c r="N237" s="4">
        <v>152202</v>
      </c>
    </row>
    <row r="238" spans="1:14" x14ac:dyDescent="0.25">
      <c r="A238" s="5" t="str">
        <f t="shared" si="6"/>
        <v>American Samoa-Fidel Potra</v>
      </c>
      <c r="B238" s="3" t="s">
        <v>37</v>
      </c>
      <c r="C238" s="3" t="s">
        <v>115</v>
      </c>
      <c r="D238" s="4">
        <v>93782</v>
      </c>
      <c r="L238" s="3" t="s">
        <v>42</v>
      </c>
      <c r="M238" s="3" t="s">
        <v>112</v>
      </c>
      <c r="N238" s="4">
        <v>161061</v>
      </c>
    </row>
    <row r="239" spans="1:14" x14ac:dyDescent="0.25">
      <c r="A239" s="5" t="str">
        <f t="shared" si="6"/>
        <v>Idaho-Keila Rossini</v>
      </c>
      <c r="B239" s="3" t="s">
        <v>49</v>
      </c>
      <c r="C239" s="3" t="s">
        <v>102</v>
      </c>
      <c r="D239" s="4">
        <v>84313</v>
      </c>
      <c r="L239" s="3" t="s">
        <v>42</v>
      </c>
      <c r="M239" s="3" t="s">
        <v>103</v>
      </c>
      <c r="N239" s="4">
        <v>37295</v>
      </c>
    </row>
    <row r="240" spans="1:14" x14ac:dyDescent="0.25">
      <c r="A240" s="5" t="str">
        <f t="shared" si="6"/>
        <v>Illinois-Fidel Potra</v>
      </c>
      <c r="B240" s="3" t="s">
        <v>50</v>
      </c>
      <c r="C240" s="3" t="s">
        <v>115</v>
      </c>
      <c r="D240" s="4">
        <v>169797</v>
      </c>
      <c r="L240" s="3" t="s">
        <v>42</v>
      </c>
      <c r="M240" s="3" t="s">
        <v>121</v>
      </c>
      <c r="N240" s="4">
        <v>146439</v>
      </c>
    </row>
    <row r="241" spans="1:14" x14ac:dyDescent="0.25">
      <c r="A241" s="5" t="str">
        <f t="shared" si="6"/>
        <v>South Carolina-Moises Paynes</v>
      </c>
      <c r="B241" s="3" t="s">
        <v>79</v>
      </c>
      <c r="C241" s="3" t="s">
        <v>104</v>
      </c>
      <c r="D241" s="4">
        <v>145912</v>
      </c>
      <c r="L241" s="3" t="s">
        <v>42</v>
      </c>
      <c r="M241" s="3" t="s">
        <v>107</v>
      </c>
      <c r="N241" s="4">
        <v>92030</v>
      </c>
    </row>
    <row r="242" spans="1:14" x14ac:dyDescent="0.25">
      <c r="A242" s="5" t="str">
        <f t="shared" si="6"/>
        <v>North Dakota-Raphael Bonawitz</v>
      </c>
      <c r="B242" s="3" t="s">
        <v>71</v>
      </c>
      <c r="C242" s="3" t="s">
        <v>122</v>
      </c>
      <c r="D242" s="4">
        <v>47662</v>
      </c>
      <c r="L242" s="3" t="s">
        <v>43</v>
      </c>
      <c r="M242" s="3" t="s">
        <v>116</v>
      </c>
      <c r="N242" s="4">
        <v>72142</v>
      </c>
    </row>
    <row r="243" spans="1:14" x14ac:dyDescent="0.25">
      <c r="A243" s="5" t="str">
        <f t="shared" si="6"/>
        <v>American Samoa-Sadye Diloreto</v>
      </c>
      <c r="B243" s="3" t="s">
        <v>37</v>
      </c>
      <c r="C243" s="3" t="s">
        <v>95</v>
      </c>
      <c r="D243" s="4">
        <v>81513</v>
      </c>
      <c r="L243" s="3" t="s">
        <v>43</v>
      </c>
      <c r="M243" s="3" t="s">
        <v>108</v>
      </c>
      <c r="N243" s="4">
        <v>79187</v>
      </c>
    </row>
    <row r="244" spans="1:14" x14ac:dyDescent="0.25">
      <c r="A244" s="5" t="str">
        <f t="shared" si="6"/>
        <v>American Samoa-Toi Medico</v>
      </c>
      <c r="B244" s="3" t="s">
        <v>37</v>
      </c>
      <c r="C244" s="3" t="s">
        <v>103</v>
      </c>
      <c r="D244" s="4">
        <v>111859</v>
      </c>
      <c r="L244" s="3" t="s">
        <v>43</v>
      </c>
      <c r="M244" s="3" t="s">
        <v>110</v>
      </c>
      <c r="N244" s="4">
        <v>15170</v>
      </c>
    </row>
    <row r="245" spans="1:14" x14ac:dyDescent="0.25">
      <c r="A245" s="5" t="str">
        <f t="shared" si="6"/>
        <v>Puerto Rico-Thaddeus Cacciatori</v>
      </c>
      <c r="B245" s="3" t="s">
        <v>77</v>
      </c>
      <c r="C245" s="3" t="s">
        <v>114</v>
      </c>
      <c r="D245" s="4">
        <v>98992</v>
      </c>
      <c r="L245" s="3" t="s">
        <v>43</v>
      </c>
      <c r="M245" s="3" t="s">
        <v>99</v>
      </c>
      <c r="N245" s="4">
        <v>72437</v>
      </c>
    </row>
    <row r="246" spans="1:14" x14ac:dyDescent="0.25">
      <c r="A246" s="5" t="str">
        <f t="shared" si="6"/>
        <v>Arkansas-Son Shryack</v>
      </c>
      <c r="B246" s="3" t="s">
        <v>39</v>
      </c>
      <c r="C246" s="3" t="s">
        <v>98</v>
      </c>
      <c r="D246" s="4">
        <v>136326</v>
      </c>
      <c r="L246" s="3" t="s">
        <v>43</v>
      </c>
      <c r="M246" s="3" t="s">
        <v>124</v>
      </c>
      <c r="N246" s="4">
        <v>37792</v>
      </c>
    </row>
    <row r="247" spans="1:14" x14ac:dyDescent="0.25">
      <c r="A247" s="5" t="str">
        <f t="shared" si="6"/>
        <v>Michigan-Cliff Bahlmann</v>
      </c>
      <c r="B247" s="3" t="s">
        <v>59</v>
      </c>
      <c r="C247" s="3" t="s">
        <v>99</v>
      </c>
      <c r="D247" s="4">
        <v>149626</v>
      </c>
      <c r="L247" s="3" t="s">
        <v>43</v>
      </c>
      <c r="M247" s="3" t="s">
        <v>96</v>
      </c>
      <c r="N247" s="4">
        <v>92669</v>
      </c>
    </row>
    <row r="248" spans="1:14" x14ac:dyDescent="0.25">
      <c r="A248" s="5" t="str">
        <f t="shared" si="6"/>
        <v>Florida-Lianne Trappey</v>
      </c>
      <c r="B248" s="3" t="s">
        <v>45</v>
      </c>
      <c r="C248" s="3" t="s">
        <v>123</v>
      </c>
      <c r="D248" s="4">
        <v>9199</v>
      </c>
      <c r="L248" s="3" t="s">
        <v>43</v>
      </c>
      <c r="M248" s="3" t="s">
        <v>115</v>
      </c>
      <c r="N248" s="4">
        <v>173557</v>
      </c>
    </row>
    <row r="249" spans="1:14" x14ac:dyDescent="0.25">
      <c r="A249" s="5" t="str">
        <f t="shared" si="6"/>
        <v>Minnesota-Toi Medico</v>
      </c>
      <c r="B249" s="3" t="s">
        <v>60</v>
      </c>
      <c r="C249" s="3" t="s">
        <v>103</v>
      </c>
      <c r="D249" s="4">
        <v>146115</v>
      </c>
      <c r="L249" s="3" t="s">
        <v>43</v>
      </c>
      <c r="M249" s="3" t="s">
        <v>117</v>
      </c>
      <c r="N249" s="4">
        <v>111453</v>
      </c>
    </row>
    <row r="250" spans="1:14" x14ac:dyDescent="0.25">
      <c r="A250" s="5" t="str">
        <f t="shared" si="6"/>
        <v>New York-Toi Zedaker</v>
      </c>
      <c r="B250" s="3" t="s">
        <v>69</v>
      </c>
      <c r="C250" s="3" t="s">
        <v>121</v>
      </c>
      <c r="D250" s="4">
        <v>8522</v>
      </c>
      <c r="L250" s="3" t="s">
        <v>43</v>
      </c>
      <c r="M250" s="3" t="s">
        <v>120</v>
      </c>
      <c r="N250" s="4">
        <v>7653</v>
      </c>
    </row>
    <row r="251" spans="1:14" x14ac:dyDescent="0.25">
      <c r="A251" s="5" t="str">
        <f t="shared" si="6"/>
        <v>Kansas-Marvis Tenholder</v>
      </c>
      <c r="B251" s="3" t="s">
        <v>53</v>
      </c>
      <c r="C251" s="3" t="s">
        <v>105</v>
      </c>
      <c r="D251" s="4">
        <v>14512</v>
      </c>
      <c r="L251" s="3" t="s">
        <v>43</v>
      </c>
      <c r="M251" s="3" t="s">
        <v>111</v>
      </c>
      <c r="N251" s="4">
        <v>8499</v>
      </c>
    </row>
    <row r="252" spans="1:14" x14ac:dyDescent="0.25">
      <c r="A252" s="5" t="str">
        <f t="shared" si="6"/>
        <v>Hawaii-Marvis Tenholder</v>
      </c>
      <c r="B252" s="3" t="s">
        <v>48</v>
      </c>
      <c r="C252" s="3" t="s">
        <v>105</v>
      </c>
      <c r="D252" s="4">
        <v>100471</v>
      </c>
      <c r="L252" s="3" t="s">
        <v>43</v>
      </c>
      <c r="M252" s="3" t="s">
        <v>102</v>
      </c>
      <c r="N252" s="4">
        <v>128964</v>
      </c>
    </row>
    <row r="253" spans="1:14" x14ac:dyDescent="0.25">
      <c r="A253" s="5" t="str">
        <f t="shared" si="6"/>
        <v>Arizona-Ali Steenken</v>
      </c>
      <c r="B253" s="3" t="s">
        <v>38</v>
      </c>
      <c r="C253" s="3" t="s">
        <v>116</v>
      </c>
      <c r="D253" s="4">
        <v>41199</v>
      </c>
      <c r="L253" s="3" t="s">
        <v>43</v>
      </c>
      <c r="M253" s="3" t="s">
        <v>106</v>
      </c>
      <c r="N253" s="4">
        <v>79803</v>
      </c>
    </row>
    <row r="254" spans="1:14" x14ac:dyDescent="0.25">
      <c r="A254" s="5" t="str">
        <f t="shared" si="6"/>
        <v>Michigan-Toi Zedaker</v>
      </c>
      <c r="B254" s="3" t="s">
        <v>59</v>
      </c>
      <c r="C254" s="3" t="s">
        <v>121</v>
      </c>
      <c r="D254" s="4">
        <v>107566</v>
      </c>
      <c r="L254" s="3" t="s">
        <v>43</v>
      </c>
      <c r="M254" s="3" t="s">
        <v>123</v>
      </c>
      <c r="N254" s="4">
        <v>19299</v>
      </c>
    </row>
    <row r="255" spans="1:14" x14ac:dyDescent="0.25">
      <c r="A255" s="5" t="str">
        <f t="shared" si="6"/>
        <v>Minnesota-Kai Stroebel</v>
      </c>
      <c r="B255" s="3" t="s">
        <v>60</v>
      </c>
      <c r="C255" s="3" t="s">
        <v>111</v>
      </c>
      <c r="D255" s="4">
        <v>47887</v>
      </c>
      <c r="L255" s="3" t="s">
        <v>43</v>
      </c>
      <c r="M255" s="3" t="s">
        <v>97</v>
      </c>
      <c r="N255" s="4">
        <v>7538</v>
      </c>
    </row>
    <row r="256" spans="1:14" x14ac:dyDescent="0.25">
      <c r="A256" s="5" t="str">
        <f t="shared" si="6"/>
        <v>Michigan-Twanda Lovenduski</v>
      </c>
      <c r="B256" s="3" t="s">
        <v>59</v>
      </c>
      <c r="C256" s="3" t="s">
        <v>107</v>
      </c>
      <c r="D256" s="4">
        <v>21069</v>
      </c>
      <c r="L256" s="3" t="s">
        <v>43</v>
      </c>
      <c r="M256" s="3" t="s">
        <v>119</v>
      </c>
      <c r="N256" s="4">
        <v>90165</v>
      </c>
    </row>
    <row r="257" spans="1:14" x14ac:dyDescent="0.25">
      <c r="A257" s="5" t="str">
        <f t="shared" si="6"/>
        <v>Vermont-Marlin Mavromatis</v>
      </c>
      <c r="B257" s="3" t="s">
        <v>84</v>
      </c>
      <c r="C257" s="3" t="s">
        <v>113</v>
      </c>
      <c r="D257" s="4">
        <v>134274</v>
      </c>
      <c r="L257" s="3" t="s">
        <v>43</v>
      </c>
      <c r="M257" s="3" t="s">
        <v>113</v>
      </c>
      <c r="N257" s="4">
        <v>80170</v>
      </c>
    </row>
    <row r="258" spans="1:14" x14ac:dyDescent="0.25">
      <c r="A258" s="5" t="str">
        <f t="shared" ref="A258:A321" si="7">B258&amp;"-"&amp;C258</f>
        <v>Kansas-Nolan Gohn</v>
      </c>
      <c r="B258" s="3" t="s">
        <v>53</v>
      </c>
      <c r="C258" s="3" t="s">
        <v>118</v>
      </c>
      <c r="D258" s="4">
        <v>118033</v>
      </c>
      <c r="L258" s="3" t="s">
        <v>43</v>
      </c>
      <c r="M258" s="3" t="s">
        <v>105</v>
      </c>
      <c r="N258" s="4">
        <v>27455</v>
      </c>
    </row>
    <row r="259" spans="1:14" x14ac:dyDescent="0.25">
      <c r="A259" s="5" t="str">
        <f t="shared" si="7"/>
        <v>North Dakota-Toi Zedaker</v>
      </c>
      <c r="B259" s="3" t="s">
        <v>71</v>
      </c>
      <c r="C259" s="3" t="s">
        <v>121</v>
      </c>
      <c r="D259" s="4">
        <v>65824</v>
      </c>
      <c r="L259" s="3" t="s">
        <v>43</v>
      </c>
      <c r="M259" s="3" t="s">
        <v>104</v>
      </c>
      <c r="N259" s="4">
        <v>130233</v>
      </c>
    </row>
    <row r="260" spans="1:14" x14ac:dyDescent="0.25">
      <c r="A260" s="5" t="str">
        <f t="shared" si="7"/>
        <v>Oklahoma-Nolan Deorio</v>
      </c>
      <c r="B260" s="3" t="s">
        <v>74</v>
      </c>
      <c r="C260" s="3" t="s">
        <v>100</v>
      </c>
      <c r="D260" s="4">
        <v>144051</v>
      </c>
      <c r="L260" s="3" t="s">
        <v>43</v>
      </c>
      <c r="M260" s="3" t="s">
        <v>100</v>
      </c>
      <c r="N260" s="4">
        <v>93172</v>
      </c>
    </row>
    <row r="261" spans="1:14" x14ac:dyDescent="0.25">
      <c r="A261" s="5" t="str">
        <f t="shared" si="7"/>
        <v>Maine-Toi Medico</v>
      </c>
      <c r="B261" s="3" t="s">
        <v>56</v>
      </c>
      <c r="C261" s="3" t="s">
        <v>103</v>
      </c>
      <c r="D261" s="4">
        <v>67179</v>
      </c>
      <c r="L261" s="3" t="s">
        <v>43</v>
      </c>
      <c r="M261" s="3" t="s">
        <v>118</v>
      </c>
      <c r="N261" s="4">
        <v>96573</v>
      </c>
    </row>
    <row r="262" spans="1:14" x14ac:dyDescent="0.25">
      <c r="A262" s="5" t="str">
        <f t="shared" si="7"/>
        <v>Arizona-Kai Stroebel</v>
      </c>
      <c r="B262" s="3" t="s">
        <v>38</v>
      </c>
      <c r="C262" s="3" t="s">
        <v>111</v>
      </c>
      <c r="D262" s="4">
        <v>7122</v>
      </c>
      <c r="L262" s="3" t="s">
        <v>43</v>
      </c>
      <c r="M262" s="3" t="s">
        <v>101</v>
      </c>
      <c r="N262" s="4">
        <v>148896</v>
      </c>
    </row>
    <row r="263" spans="1:14" x14ac:dyDescent="0.25">
      <c r="A263" s="5" t="str">
        <f t="shared" si="7"/>
        <v>Mississippi-Ali Stupp</v>
      </c>
      <c r="B263" s="3" t="s">
        <v>61</v>
      </c>
      <c r="C263" s="3" t="s">
        <v>108</v>
      </c>
      <c r="D263" s="4">
        <v>133121</v>
      </c>
      <c r="L263" s="3" t="s">
        <v>43</v>
      </c>
      <c r="M263" s="3" t="s">
        <v>122</v>
      </c>
      <c r="N263" s="4">
        <v>104811</v>
      </c>
    </row>
    <row r="264" spans="1:14" x14ac:dyDescent="0.25">
      <c r="A264" s="5" t="str">
        <f t="shared" si="7"/>
        <v>Massachusetts-Thaddeus Notah</v>
      </c>
      <c r="B264" s="3" t="s">
        <v>58</v>
      </c>
      <c r="C264" s="3" t="s">
        <v>112</v>
      </c>
      <c r="D264" s="4">
        <v>14497</v>
      </c>
      <c r="L264" s="3" t="s">
        <v>43</v>
      </c>
      <c r="M264" s="3" t="s">
        <v>109</v>
      </c>
      <c r="N264" s="4">
        <v>51537</v>
      </c>
    </row>
    <row r="265" spans="1:14" x14ac:dyDescent="0.25">
      <c r="A265" s="5" t="str">
        <f t="shared" si="7"/>
        <v>Indiana-Armand Mcleon</v>
      </c>
      <c r="B265" s="3" t="s">
        <v>51</v>
      </c>
      <c r="C265" s="3" t="s">
        <v>110</v>
      </c>
      <c r="D265" s="4">
        <v>15028</v>
      </c>
      <c r="L265" s="3" t="s">
        <v>43</v>
      </c>
      <c r="M265" s="3" t="s">
        <v>95</v>
      </c>
      <c r="N265" s="4">
        <v>6214</v>
      </c>
    </row>
    <row r="266" spans="1:14" x14ac:dyDescent="0.25">
      <c r="A266" s="5" t="str">
        <f t="shared" si="7"/>
        <v>Delaware-Ali Steenken</v>
      </c>
      <c r="B266" s="3" t="s">
        <v>43</v>
      </c>
      <c r="C266" s="3" t="s">
        <v>116</v>
      </c>
      <c r="D266" s="4">
        <v>72142</v>
      </c>
      <c r="L266" s="3" t="s">
        <v>43</v>
      </c>
      <c r="M266" s="3" t="s">
        <v>98</v>
      </c>
      <c r="N266" s="4">
        <v>153512</v>
      </c>
    </row>
    <row r="267" spans="1:14" x14ac:dyDescent="0.25">
      <c r="A267" s="5" t="str">
        <f t="shared" si="7"/>
        <v>Pennsylvania-Ali Steenken</v>
      </c>
      <c r="B267" s="3" t="s">
        <v>76</v>
      </c>
      <c r="C267" s="3" t="s">
        <v>116</v>
      </c>
      <c r="D267" s="4">
        <v>47502</v>
      </c>
      <c r="L267" s="3" t="s">
        <v>43</v>
      </c>
      <c r="M267" s="3" t="s">
        <v>114</v>
      </c>
      <c r="N267" s="4">
        <v>67941</v>
      </c>
    </row>
    <row r="268" spans="1:14" x14ac:dyDescent="0.25">
      <c r="A268" s="5" t="str">
        <f t="shared" si="7"/>
        <v>Illinois-Cliff Bahlmann</v>
      </c>
      <c r="B268" s="3" t="s">
        <v>50</v>
      </c>
      <c r="C268" s="3" t="s">
        <v>99</v>
      </c>
      <c r="D268" s="4">
        <v>57917</v>
      </c>
      <c r="L268" s="3" t="s">
        <v>43</v>
      </c>
      <c r="M268" s="3" t="s">
        <v>112</v>
      </c>
      <c r="N268" s="4">
        <v>94521</v>
      </c>
    </row>
    <row r="269" spans="1:14" x14ac:dyDescent="0.25">
      <c r="A269" s="5" t="str">
        <f t="shared" si="7"/>
        <v>Colorado-Toi Medico</v>
      </c>
      <c r="B269" s="3" t="s">
        <v>41</v>
      </c>
      <c r="C269" s="3" t="s">
        <v>103</v>
      </c>
      <c r="D269" s="4">
        <v>117495</v>
      </c>
      <c r="L269" s="3" t="s">
        <v>43</v>
      </c>
      <c r="M269" s="3" t="s">
        <v>103</v>
      </c>
      <c r="N269" s="4">
        <v>46839</v>
      </c>
    </row>
    <row r="270" spans="1:14" x14ac:dyDescent="0.25">
      <c r="A270" s="5" t="str">
        <f t="shared" si="7"/>
        <v>New Hampshire-Armand Mcleon</v>
      </c>
      <c r="B270" s="3" t="s">
        <v>66</v>
      </c>
      <c r="C270" s="3" t="s">
        <v>110</v>
      </c>
      <c r="D270" s="4">
        <v>107344</v>
      </c>
      <c r="L270" s="3" t="s">
        <v>43</v>
      </c>
      <c r="M270" s="3" t="s">
        <v>121</v>
      </c>
      <c r="N270" s="4">
        <v>30108</v>
      </c>
    </row>
    <row r="271" spans="1:14" x14ac:dyDescent="0.25">
      <c r="A271" s="5" t="str">
        <f t="shared" si="7"/>
        <v>New Jersey-Armand Mcleon</v>
      </c>
      <c r="B271" s="3" t="s">
        <v>67</v>
      </c>
      <c r="C271" s="3" t="s">
        <v>110</v>
      </c>
      <c r="D271" s="4">
        <v>92576</v>
      </c>
      <c r="L271" s="3" t="s">
        <v>43</v>
      </c>
      <c r="M271" s="3" t="s">
        <v>107</v>
      </c>
      <c r="N271" s="4">
        <v>12035</v>
      </c>
    </row>
    <row r="272" spans="1:14" x14ac:dyDescent="0.25">
      <c r="A272" s="5" t="str">
        <f t="shared" si="7"/>
        <v>Mississippi-Toi Medico</v>
      </c>
      <c r="B272" s="3" t="s">
        <v>61</v>
      </c>
      <c r="C272" s="3" t="s">
        <v>103</v>
      </c>
      <c r="D272" s="4">
        <v>61212</v>
      </c>
      <c r="L272" s="3" t="s">
        <v>44</v>
      </c>
      <c r="M272" s="3" t="s">
        <v>116</v>
      </c>
      <c r="N272" s="4">
        <v>42887</v>
      </c>
    </row>
    <row r="273" spans="1:14" x14ac:dyDescent="0.25">
      <c r="A273" s="5" t="str">
        <f t="shared" si="7"/>
        <v>California-Toi Zedaker</v>
      </c>
      <c r="B273" s="3" t="s">
        <v>40</v>
      </c>
      <c r="C273" s="3" t="s">
        <v>121</v>
      </c>
      <c r="D273" s="4">
        <v>14842</v>
      </c>
      <c r="L273" s="3" t="s">
        <v>44</v>
      </c>
      <c r="M273" s="3" t="s">
        <v>108</v>
      </c>
      <c r="N273" s="4">
        <v>9884</v>
      </c>
    </row>
    <row r="274" spans="1:14" x14ac:dyDescent="0.25">
      <c r="A274" s="5" t="str">
        <f t="shared" si="7"/>
        <v>Guam-Raphael Bonawitz</v>
      </c>
      <c r="B274" s="3" t="s">
        <v>47</v>
      </c>
      <c r="C274" s="3" t="s">
        <v>122</v>
      </c>
      <c r="D274" s="4">
        <v>60752</v>
      </c>
      <c r="L274" s="3" t="s">
        <v>44</v>
      </c>
      <c r="M274" s="3" t="s">
        <v>110</v>
      </c>
      <c r="N274" s="4">
        <v>4255</v>
      </c>
    </row>
    <row r="275" spans="1:14" x14ac:dyDescent="0.25">
      <c r="A275" s="5" t="str">
        <f t="shared" si="7"/>
        <v>Arizona-Thaddeus Cacciatori</v>
      </c>
      <c r="B275" s="3" t="s">
        <v>38</v>
      </c>
      <c r="C275" s="3" t="s">
        <v>114</v>
      </c>
      <c r="D275" s="4">
        <v>24937</v>
      </c>
      <c r="L275" s="3" t="s">
        <v>44</v>
      </c>
      <c r="M275" s="3" t="s">
        <v>99</v>
      </c>
      <c r="N275" s="4">
        <v>16176</v>
      </c>
    </row>
    <row r="276" spans="1:14" x14ac:dyDescent="0.25">
      <c r="A276" s="5" t="str">
        <f t="shared" si="7"/>
        <v>Connecticut-Jackson Lorkowski</v>
      </c>
      <c r="B276" s="3" t="s">
        <v>42</v>
      </c>
      <c r="C276" s="3" t="s">
        <v>120</v>
      </c>
      <c r="D276" s="4">
        <v>157066</v>
      </c>
      <c r="L276" s="3" t="s">
        <v>44</v>
      </c>
      <c r="M276" s="3" t="s">
        <v>124</v>
      </c>
      <c r="N276" s="4">
        <v>108399</v>
      </c>
    </row>
    <row r="277" spans="1:14" x14ac:dyDescent="0.25">
      <c r="A277" s="5" t="str">
        <f t="shared" si="7"/>
        <v>Kentucky-Son Shryack</v>
      </c>
      <c r="B277" s="3" t="s">
        <v>54</v>
      </c>
      <c r="C277" s="3" t="s">
        <v>98</v>
      </c>
      <c r="D277" s="4">
        <v>143314</v>
      </c>
      <c r="L277" s="3" t="s">
        <v>44</v>
      </c>
      <c r="M277" s="3" t="s">
        <v>96</v>
      </c>
      <c r="N277" s="4">
        <v>39913</v>
      </c>
    </row>
    <row r="278" spans="1:14" x14ac:dyDescent="0.25">
      <c r="A278" s="5" t="str">
        <f t="shared" si="7"/>
        <v>Kansas-Marlin Mavromatis</v>
      </c>
      <c r="B278" s="3" t="s">
        <v>53</v>
      </c>
      <c r="C278" s="3" t="s">
        <v>113</v>
      </c>
      <c r="D278" s="4">
        <v>65655</v>
      </c>
      <c r="L278" s="3" t="s">
        <v>44</v>
      </c>
      <c r="M278" s="3" t="s">
        <v>115</v>
      </c>
      <c r="N278" s="4">
        <v>55508</v>
      </c>
    </row>
    <row r="279" spans="1:14" x14ac:dyDescent="0.25">
      <c r="A279" s="5" t="str">
        <f t="shared" si="7"/>
        <v>Maine-Toi Zedaker</v>
      </c>
      <c r="B279" s="3" t="s">
        <v>56</v>
      </c>
      <c r="C279" s="3" t="s">
        <v>121</v>
      </c>
      <c r="D279" s="4">
        <v>23773</v>
      </c>
      <c r="L279" s="3" t="s">
        <v>44</v>
      </c>
      <c r="M279" s="3" t="s">
        <v>117</v>
      </c>
      <c r="N279" s="4">
        <v>56688</v>
      </c>
    </row>
    <row r="280" spans="1:14" x14ac:dyDescent="0.25">
      <c r="A280" s="5" t="str">
        <f t="shared" si="7"/>
        <v>Iowa-Cliff Schnautz</v>
      </c>
      <c r="B280" s="3" t="s">
        <v>52</v>
      </c>
      <c r="C280" s="3" t="s">
        <v>96</v>
      </c>
      <c r="D280" s="4">
        <v>128265</v>
      </c>
      <c r="L280" s="3" t="s">
        <v>44</v>
      </c>
      <c r="M280" s="3" t="s">
        <v>120</v>
      </c>
      <c r="N280" s="4">
        <v>109209</v>
      </c>
    </row>
    <row r="281" spans="1:14" x14ac:dyDescent="0.25">
      <c r="A281" s="5" t="str">
        <f t="shared" si="7"/>
        <v>Florida-Lucilla Bilecki</v>
      </c>
      <c r="B281" s="3" t="s">
        <v>45</v>
      </c>
      <c r="C281" s="3" t="s">
        <v>97</v>
      </c>
      <c r="D281" s="4">
        <v>58236</v>
      </c>
      <c r="L281" s="3" t="s">
        <v>44</v>
      </c>
      <c r="M281" s="3" t="s">
        <v>111</v>
      </c>
      <c r="N281" s="4">
        <v>81394</v>
      </c>
    </row>
    <row r="282" spans="1:14" x14ac:dyDescent="0.25">
      <c r="A282" s="5" t="str">
        <f t="shared" si="7"/>
        <v>Illinois-Lianne Trappey</v>
      </c>
      <c r="B282" s="3" t="s">
        <v>50</v>
      </c>
      <c r="C282" s="3" t="s">
        <v>123</v>
      </c>
      <c r="D282" s="4">
        <v>149901</v>
      </c>
      <c r="L282" s="3" t="s">
        <v>44</v>
      </c>
      <c r="M282" s="3" t="s">
        <v>102</v>
      </c>
      <c r="N282" s="4">
        <v>94882</v>
      </c>
    </row>
    <row r="283" spans="1:14" x14ac:dyDescent="0.25">
      <c r="A283" s="5" t="str">
        <f t="shared" si="7"/>
        <v>Kansas-Ali Steenken</v>
      </c>
      <c r="B283" s="3" t="s">
        <v>53</v>
      </c>
      <c r="C283" s="3" t="s">
        <v>116</v>
      </c>
      <c r="D283" s="4">
        <v>99712</v>
      </c>
      <c r="L283" s="3" t="s">
        <v>44</v>
      </c>
      <c r="M283" s="3" t="s">
        <v>106</v>
      </c>
      <c r="N283" s="4">
        <v>19419</v>
      </c>
    </row>
    <row r="284" spans="1:14" x14ac:dyDescent="0.25">
      <c r="A284" s="5" t="str">
        <f t="shared" si="7"/>
        <v>Arizona-Fidel Potra</v>
      </c>
      <c r="B284" s="3" t="s">
        <v>38</v>
      </c>
      <c r="C284" s="3" t="s">
        <v>115</v>
      </c>
      <c r="D284" s="4">
        <v>83710</v>
      </c>
      <c r="L284" s="3" t="s">
        <v>44</v>
      </c>
      <c r="M284" s="3" t="s">
        <v>123</v>
      </c>
      <c r="N284" s="4">
        <v>43989</v>
      </c>
    </row>
    <row r="285" spans="1:14" x14ac:dyDescent="0.25">
      <c r="A285" s="5" t="str">
        <f t="shared" si="7"/>
        <v>Tennessee-Fidel Potra</v>
      </c>
      <c r="B285" s="3" t="s">
        <v>81</v>
      </c>
      <c r="C285" s="3" t="s">
        <v>115</v>
      </c>
      <c r="D285" s="4">
        <v>139966</v>
      </c>
      <c r="L285" s="3" t="s">
        <v>44</v>
      </c>
      <c r="M285" s="3" t="s">
        <v>97</v>
      </c>
      <c r="N285" s="4">
        <v>22440</v>
      </c>
    </row>
    <row r="286" spans="1:14" x14ac:dyDescent="0.25">
      <c r="A286" s="5" t="str">
        <f t="shared" si="7"/>
        <v>Delaware-Son Shryack</v>
      </c>
      <c r="B286" s="3" t="s">
        <v>43</v>
      </c>
      <c r="C286" s="3" t="s">
        <v>98</v>
      </c>
      <c r="D286" s="4">
        <v>153512</v>
      </c>
      <c r="L286" s="3" t="s">
        <v>44</v>
      </c>
      <c r="M286" s="3" t="s">
        <v>119</v>
      </c>
      <c r="N286" s="4">
        <v>112647</v>
      </c>
    </row>
    <row r="287" spans="1:14" x14ac:dyDescent="0.25">
      <c r="A287" s="5" t="str">
        <f t="shared" si="7"/>
        <v>West Virginia-Nolan Deorio</v>
      </c>
      <c r="B287" s="3" t="s">
        <v>88</v>
      </c>
      <c r="C287" s="3" t="s">
        <v>100</v>
      </c>
      <c r="D287" s="4">
        <v>17328</v>
      </c>
      <c r="L287" s="3" t="s">
        <v>44</v>
      </c>
      <c r="M287" s="3" t="s">
        <v>113</v>
      </c>
      <c r="N287" s="4">
        <v>87379</v>
      </c>
    </row>
    <row r="288" spans="1:14" x14ac:dyDescent="0.25">
      <c r="A288" s="5" t="str">
        <f t="shared" si="7"/>
        <v>Georgia-Cliff Galinski</v>
      </c>
      <c r="B288" s="3" t="s">
        <v>46</v>
      </c>
      <c r="C288" s="3" t="s">
        <v>124</v>
      </c>
      <c r="D288" s="4">
        <v>141548</v>
      </c>
      <c r="L288" s="3" t="s">
        <v>44</v>
      </c>
      <c r="M288" s="3" t="s">
        <v>105</v>
      </c>
      <c r="N288" s="4">
        <v>60125</v>
      </c>
    </row>
    <row r="289" spans="1:14" x14ac:dyDescent="0.25">
      <c r="A289" s="5" t="str">
        <f t="shared" si="7"/>
        <v>South Dakota-Lashon Bongers</v>
      </c>
      <c r="B289" s="3" t="s">
        <v>80</v>
      </c>
      <c r="C289" s="3" t="s">
        <v>106</v>
      </c>
      <c r="D289" s="4">
        <v>151156</v>
      </c>
      <c r="L289" s="3" t="s">
        <v>44</v>
      </c>
      <c r="M289" s="3" t="s">
        <v>104</v>
      </c>
      <c r="N289" s="4">
        <v>157686</v>
      </c>
    </row>
    <row r="290" spans="1:14" x14ac:dyDescent="0.25">
      <c r="A290" s="5" t="str">
        <f t="shared" si="7"/>
        <v>Iowa-Lianne Trappey</v>
      </c>
      <c r="B290" s="3" t="s">
        <v>52</v>
      </c>
      <c r="C290" s="3" t="s">
        <v>123</v>
      </c>
      <c r="D290" s="4">
        <v>8850</v>
      </c>
      <c r="L290" s="3" t="s">
        <v>44</v>
      </c>
      <c r="M290" s="3" t="s">
        <v>100</v>
      </c>
      <c r="N290" s="4">
        <v>155258</v>
      </c>
    </row>
    <row r="291" spans="1:14" x14ac:dyDescent="0.25">
      <c r="A291" s="5" t="str">
        <f t="shared" si="7"/>
        <v>New Jersey-Jackson Lorkowski</v>
      </c>
      <c r="B291" s="3" t="s">
        <v>67</v>
      </c>
      <c r="C291" s="3" t="s">
        <v>120</v>
      </c>
      <c r="D291" s="4">
        <v>59859</v>
      </c>
      <c r="L291" s="3" t="s">
        <v>44</v>
      </c>
      <c r="M291" s="3" t="s">
        <v>118</v>
      </c>
      <c r="N291" s="4">
        <v>43870</v>
      </c>
    </row>
    <row r="292" spans="1:14" x14ac:dyDescent="0.25">
      <c r="A292" s="5" t="str">
        <f t="shared" si="7"/>
        <v>Wyoming-Quinton Modugno</v>
      </c>
      <c r="B292" s="3" t="s">
        <v>90</v>
      </c>
      <c r="C292" s="3" t="s">
        <v>101</v>
      </c>
      <c r="D292" s="4">
        <v>159733</v>
      </c>
      <c r="L292" s="3" t="s">
        <v>44</v>
      </c>
      <c r="M292" s="3" t="s">
        <v>101</v>
      </c>
      <c r="N292" s="4">
        <v>27700</v>
      </c>
    </row>
    <row r="293" spans="1:14" x14ac:dyDescent="0.25">
      <c r="A293" s="5" t="str">
        <f t="shared" si="7"/>
        <v>Kansas-Jackson Lorkowski</v>
      </c>
      <c r="B293" s="3" t="s">
        <v>53</v>
      </c>
      <c r="C293" s="3" t="s">
        <v>120</v>
      </c>
      <c r="D293" s="4">
        <v>130480</v>
      </c>
      <c r="L293" s="3" t="s">
        <v>44</v>
      </c>
      <c r="M293" s="3" t="s">
        <v>122</v>
      </c>
      <c r="N293" s="4">
        <v>57172</v>
      </c>
    </row>
    <row r="294" spans="1:14" x14ac:dyDescent="0.25">
      <c r="A294" s="5" t="str">
        <f t="shared" si="7"/>
        <v>Kentucky-Thaddeus Notah</v>
      </c>
      <c r="B294" s="3" t="s">
        <v>54</v>
      </c>
      <c r="C294" s="3" t="s">
        <v>112</v>
      </c>
      <c r="D294" s="4">
        <v>153080</v>
      </c>
      <c r="L294" s="3" t="s">
        <v>44</v>
      </c>
      <c r="M294" s="3" t="s">
        <v>109</v>
      </c>
      <c r="N294" s="4">
        <v>156676</v>
      </c>
    </row>
    <row r="295" spans="1:14" x14ac:dyDescent="0.25">
      <c r="A295" s="5" t="str">
        <f t="shared" si="7"/>
        <v>Florida-Sadye Diloreto</v>
      </c>
      <c r="B295" s="3" t="s">
        <v>45</v>
      </c>
      <c r="C295" s="3" t="s">
        <v>95</v>
      </c>
      <c r="D295" s="4">
        <v>145978</v>
      </c>
      <c r="L295" s="3" t="s">
        <v>44</v>
      </c>
      <c r="M295" s="3" t="s">
        <v>95</v>
      </c>
      <c r="N295" s="4">
        <v>87909</v>
      </c>
    </row>
    <row r="296" spans="1:14" x14ac:dyDescent="0.25">
      <c r="A296" s="5" t="str">
        <f t="shared" si="7"/>
        <v>Nebraska-Toi Medico</v>
      </c>
      <c r="B296" s="3" t="s">
        <v>64</v>
      </c>
      <c r="C296" s="3" t="s">
        <v>103</v>
      </c>
      <c r="D296" s="4">
        <v>13042</v>
      </c>
      <c r="L296" s="3" t="s">
        <v>44</v>
      </c>
      <c r="M296" s="3" t="s">
        <v>98</v>
      </c>
      <c r="N296" s="4">
        <v>131168</v>
      </c>
    </row>
    <row r="297" spans="1:14" x14ac:dyDescent="0.25">
      <c r="A297" s="5" t="str">
        <f t="shared" si="7"/>
        <v>Wisconsin-Thaddeus Notah</v>
      </c>
      <c r="B297" s="3" t="s">
        <v>89</v>
      </c>
      <c r="C297" s="3" t="s">
        <v>112</v>
      </c>
      <c r="D297" s="4">
        <v>158548</v>
      </c>
      <c r="L297" s="3" t="s">
        <v>44</v>
      </c>
      <c r="M297" s="3" t="s">
        <v>114</v>
      </c>
      <c r="N297" s="4">
        <v>109576</v>
      </c>
    </row>
    <row r="298" spans="1:14" x14ac:dyDescent="0.25">
      <c r="A298" s="5" t="str">
        <f t="shared" si="7"/>
        <v>Pennsylvania-Son Shryack</v>
      </c>
      <c r="B298" s="3" t="s">
        <v>76</v>
      </c>
      <c r="C298" s="3" t="s">
        <v>98</v>
      </c>
      <c r="D298" s="4">
        <v>22171</v>
      </c>
      <c r="L298" s="3" t="s">
        <v>44</v>
      </c>
      <c r="M298" s="3" t="s">
        <v>112</v>
      </c>
      <c r="N298" s="4">
        <v>161927</v>
      </c>
    </row>
    <row r="299" spans="1:14" x14ac:dyDescent="0.25">
      <c r="A299" s="5" t="str">
        <f t="shared" si="7"/>
        <v>Wyoming-Cliff Schnautz</v>
      </c>
      <c r="B299" s="3" t="s">
        <v>90</v>
      </c>
      <c r="C299" s="3" t="s">
        <v>96</v>
      </c>
      <c r="D299" s="4">
        <v>5155</v>
      </c>
      <c r="L299" s="3" t="s">
        <v>44</v>
      </c>
      <c r="M299" s="3" t="s">
        <v>103</v>
      </c>
      <c r="N299" s="4">
        <v>6073</v>
      </c>
    </row>
    <row r="300" spans="1:14" x14ac:dyDescent="0.25">
      <c r="A300" s="5" t="str">
        <f t="shared" si="7"/>
        <v>Connecticut-Son Shryack</v>
      </c>
      <c r="B300" s="3" t="s">
        <v>42</v>
      </c>
      <c r="C300" s="3" t="s">
        <v>98</v>
      </c>
      <c r="D300" s="4">
        <v>45234</v>
      </c>
      <c r="L300" s="3" t="s">
        <v>44</v>
      </c>
      <c r="M300" s="3" t="s">
        <v>121</v>
      </c>
      <c r="N300" s="4">
        <v>10574</v>
      </c>
    </row>
    <row r="301" spans="1:14" x14ac:dyDescent="0.25">
      <c r="A301" s="5" t="str">
        <f t="shared" si="7"/>
        <v>Connecticut-Lianne Trappey</v>
      </c>
      <c r="B301" s="3" t="s">
        <v>42</v>
      </c>
      <c r="C301" s="3" t="s">
        <v>123</v>
      </c>
      <c r="D301" s="4">
        <v>112138</v>
      </c>
      <c r="L301" s="3" t="s">
        <v>44</v>
      </c>
      <c r="M301" s="3" t="s">
        <v>107</v>
      </c>
      <c r="N301" s="4">
        <v>44261</v>
      </c>
    </row>
    <row r="302" spans="1:14" x14ac:dyDescent="0.25">
      <c r="A302" s="5" t="str">
        <f t="shared" si="7"/>
        <v>Michigan-Marcel Davern</v>
      </c>
      <c r="B302" s="3" t="s">
        <v>59</v>
      </c>
      <c r="C302" s="3" t="s">
        <v>119</v>
      </c>
      <c r="D302" s="4">
        <v>108086</v>
      </c>
      <c r="L302" s="3" t="s">
        <v>45</v>
      </c>
      <c r="M302" s="3" t="s">
        <v>116</v>
      </c>
      <c r="N302" s="4">
        <v>13677</v>
      </c>
    </row>
    <row r="303" spans="1:14" x14ac:dyDescent="0.25">
      <c r="A303" s="5" t="str">
        <f t="shared" si="7"/>
        <v>Alaska-Cliff Bahlmann</v>
      </c>
      <c r="B303" s="3" t="s">
        <v>36</v>
      </c>
      <c r="C303" s="3" t="s">
        <v>99</v>
      </c>
      <c r="D303" s="4">
        <v>134411</v>
      </c>
      <c r="L303" s="3" t="s">
        <v>45</v>
      </c>
      <c r="M303" s="3" t="s">
        <v>108</v>
      </c>
      <c r="N303" s="4">
        <v>9509</v>
      </c>
    </row>
    <row r="304" spans="1:14" x14ac:dyDescent="0.25">
      <c r="A304" s="5" t="str">
        <f t="shared" si="7"/>
        <v>Illinois-Toi Medico</v>
      </c>
      <c r="B304" s="3" t="s">
        <v>50</v>
      </c>
      <c r="C304" s="3" t="s">
        <v>103</v>
      </c>
      <c r="D304" s="4">
        <v>149579</v>
      </c>
      <c r="L304" s="3" t="s">
        <v>45</v>
      </c>
      <c r="M304" s="3" t="s">
        <v>110</v>
      </c>
      <c r="N304" s="4">
        <v>152981</v>
      </c>
    </row>
    <row r="305" spans="1:14" x14ac:dyDescent="0.25">
      <c r="A305" s="5" t="str">
        <f t="shared" si="7"/>
        <v>American Samoa-Raphael Derrig</v>
      </c>
      <c r="B305" s="3" t="s">
        <v>37</v>
      </c>
      <c r="C305" s="3" t="s">
        <v>109</v>
      </c>
      <c r="D305" s="4">
        <v>97890</v>
      </c>
      <c r="L305" s="3" t="s">
        <v>45</v>
      </c>
      <c r="M305" s="3" t="s">
        <v>99</v>
      </c>
      <c r="N305" s="4">
        <v>83958</v>
      </c>
    </row>
    <row r="306" spans="1:14" x14ac:dyDescent="0.25">
      <c r="A306" s="5" t="str">
        <f t="shared" si="7"/>
        <v>District of Columbia-Lucilla Bilecki</v>
      </c>
      <c r="B306" s="3" t="s">
        <v>44</v>
      </c>
      <c r="C306" s="3" t="s">
        <v>97</v>
      </c>
      <c r="D306" s="4">
        <v>22440</v>
      </c>
      <c r="L306" s="3" t="s">
        <v>45</v>
      </c>
      <c r="M306" s="3" t="s">
        <v>124</v>
      </c>
      <c r="N306" s="4">
        <v>20376</v>
      </c>
    </row>
    <row r="307" spans="1:14" x14ac:dyDescent="0.25">
      <c r="A307" s="5" t="str">
        <f t="shared" si="7"/>
        <v>Illinois-Nolan Gohn</v>
      </c>
      <c r="B307" s="3" t="s">
        <v>50</v>
      </c>
      <c r="C307" s="3" t="s">
        <v>118</v>
      </c>
      <c r="D307" s="4">
        <v>34956</v>
      </c>
      <c r="L307" s="3" t="s">
        <v>45</v>
      </c>
      <c r="M307" s="3" t="s">
        <v>96</v>
      </c>
      <c r="N307" s="4">
        <v>127736</v>
      </c>
    </row>
    <row r="308" spans="1:14" x14ac:dyDescent="0.25">
      <c r="A308" s="5" t="str">
        <f t="shared" si="7"/>
        <v>Utah-Sadye Diloreto</v>
      </c>
      <c r="B308" s="3" t="s">
        <v>83</v>
      </c>
      <c r="C308" s="3" t="s">
        <v>95</v>
      </c>
      <c r="D308" s="4">
        <v>147262</v>
      </c>
      <c r="L308" s="3" t="s">
        <v>45</v>
      </c>
      <c r="M308" s="3" t="s">
        <v>115</v>
      </c>
      <c r="N308" s="4">
        <v>173040</v>
      </c>
    </row>
    <row r="309" spans="1:14" x14ac:dyDescent="0.25">
      <c r="A309" s="5" t="str">
        <f t="shared" si="7"/>
        <v>Arkansas-Lucilla Bilecki</v>
      </c>
      <c r="B309" s="3" t="s">
        <v>39</v>
      </c>
      <c r="C309" s="3" t="s">
        <v>97</v>
      </c>
      <c r="D309" s="4">
        <v>122692</v>
      </c>
      <c r="L309" s="3" t="s">
        <v>45</v>
      </c>
      <c r="M309" s="3" t="s">
        <v>117</v>
      </c>
      <c r="N309" s="4">
        <v>170711</v>
      </c>
    </row>
    <row r="310" spans="1:14" x14ac:dyDescent="0.25">
      <c r="A310" s="5" t="str">
        <f t="shared" si="7"/>
        <v>Washington-Armand Mcleon</v>
      </c>
      <c r="B310" s="3" t="s">
        <v>87</v>
      </c>
      <c r="C310" s="3" t="s">
        <v>110</v>
      </c>
      <c r="D310" s="4">
        <v>61358</v>
      </c>
      <c r="L310" s="3" t="s">
        <v>45</v>
      </c>
      <c r="M310" s="3" t="s">
        <v>120</v>
      </c>
      <c r="N310" s="4">
        <v>4511</v>
      </c>
    </row>
    <row r="311" spans="1:14" x14ac:dyDescent="0.25">
      <c r="A311" s="5" t="str">
        <f t="shared" si="7"/>
        <v>New York-Ali Stupp</v>
      </c>
      <c r="B311" s="3" t="s">
        <v>69</v>
      </c>
      <c r="C311" s="3" t="s">
        <v>108</v>
      </c>
      <c r="D311" s="4">
        <v>107741</v>
      </c>
      <c r="L311" s="3" t="s">
        <v>45</v>
      </c>
      <c r="M311" s="3" t="s">
        <v>111</v>
      </c>
      <c r="N311" s="4">
        <v>15352</v>
      </c>
    </row>
    <row r="312" spans="1:14" x14ac:dyDescent="0.25">
      <c r="A312" s="5" t="str">
        <f t="shared" si="7"/>
        <v>Texas-Thaddeus Notah</v>
      </c>
      <c r="B312" s="3" t="s">
        <v>82</v>
      </c>
      <c r="C312" s="3" t="s">
        <v>112</v>
      </c>
      <c r="D312" s="4">
        <v>3108</v>
      </c>
      <c r="L312" s="3" t="s">
        <v>45</v>
      </c>
      <c r="M312" s="3" t="s">
        <v>102</v>
      </c>
      <c r="N312" s="4">
        <v>26900</v>
      </c>
    </row>
    <row r="313" spans="1:14" x14ac:dyDescent="0.25">
      <c r="A313" s="5" t="str">
        <f t="shared" si="7"/>
        <v>California-Son Shryack</v>
      </c>
      <c r="B313" s="3" t="s">
        <v>40</v>
      </c>
      <c r="C313" s="3" t="s">
        <v>98</v>
      </c>
      <c r="D313" s="4">
        <v>16702</v>
      </c>
      <c r="L313" s="3" t="s">
        <v>45</v>
      </c>
      <c r="M313" s="3" t="s">
        <v>106</v>
      </c>
      <c r="N313" s="4">
        <v>69421</v>
      </c>
    </row>
    <row r="314" spans="1:14" x14ac:dyDescent="0.25">
      <c r="A314" s="5" t="str">
        <f t="shared" si="7"/>
        <v>Utah-Cliff Schnautz</v>
      </c>
      <c r="B314" s="3" t="s">
        <v>83</v>
      </c>
      <c r="C314" s="3" t="s">
        <v>96</v>
      </c>
      <c r="D314" s="4">
        <v>14481</v>
      </c>
      <c r="L314" s="3" t="s">
        <v>45</v>
      </c>
      <c r="M314" s="3" t="s">
        <v>123</v>
      </c>
      <c r="N314" s="4">
        <v>9199</v>
      </c>
    </row>
    <row r="315" spans="1:14" x14ac:dyDescent="0.25">
      <c r="A315" s="5" t="str">
        <f t="shared" si="7"/>
        <v>Vermont-Kai Stroebel</v>
      </c>
      <c r="B315" s="3" t="s">
        <v>84</v>
      </c>
      <c r="C315" s="3" t="s">
        <v>111</v>
      </c>
      <c r="D315" s="4">
        <v>6404</v>
      </c>
      <c r="L315" s="3" t="s">
        <v>45</v>
      </c>
      <c r="M315" s="3" t="s">
        <v>97</v>
      </c>
      <c r="N315" s="4">
        <v>58236</v>
      </c>
    </row>
    <row r="316" spans="1:14" x14ac:dyDescent="0.25">
      <c r="A316" s="5" t="str">
        <f t="shared" si="7"/>
        <v>Arkansas-Fidel Potra</v>
      </c>
      <c r="B316" s="3" t="s">
        <v>39</v>
      </c>
      <c r="C316" s="3" t="s">
        <v>115</v>
      </c>
      <c r="D316" s="4">
        <v>86311</v>
      </c>
      <c r="L316" s="3" t="s">
        <v>45</v>
      </c>
      <c r="M316" s="3" t="s">
        <v>119</v>
      </c>
      <c r="N316" s="4">
        <v>120120</v>
      </c>
    </row>
    <row r="317" spans="1:14" x14ac:dyDescent="0.25">
      <c r="A317" s="5" t="str">
        <f t="shared" si="7"/>
        <v>Colorado-Ali Stupp</v>
      </c>
      <c r="B317" s="3" t="s">
        <v>41</v>
      </c>
      <c r="C317" s="3" t="s">
        <v>108</v>
      </c>
      <c r="D317" s="4">
        <v>19927</v>
      </c>
      <c r="L317" s="3" t="s">
        <v>45</v>
      </c>
      <c r="M317" s="3" t="s">
        <v>113</v>
      </c>
      <c r="N317" s="4">
        <v>85472</v>
      </c>
    </row>
    <row r="318" spans="1:14" x14ac:dyDescent="0.25">
      <c r="A318" s="5" t="str">
        <f t="shared" si="7"/>
        <v>Oklahoma-Lianne Trappey</v>
      </c>
      <c r="B318" s="3" t="s">
        <v>74</v>
      </c>
      <c r="C318" s="3" t="s">
        <v>123</v>
      </c>
      <c r="D318" s="4">
        <v>58213</v>
      </c>
      <c r="L318" s="3" t="s">
        <v>45</v>
      </c>
      <c r="M318" s="3" t="s">
        <v>105</v>
      </c>
      <c r="N318" s="4">
        <v>13525</v>
      </c>
    </row>
    <row r="319" spans="1:14" x14ac:dyDescent="0.25">
      <c r="A319" s="5" t="str">
        <f t="shared" si="7"/>
        <v>Alabama-Ali Steenken</v>
      </c>
      <c r="B319" s="3" t="s">
        <v>35</v>
      </c>
      <c r="C319" s="3" t="s">
        <v>116</v>
      </c>
      <c r="D319" s="4">
        <v>158378</v>
      </c>
      <c r="L319" s="3" t="s">
        <v>45</v>
      </c>
      <c r="M319" s="3" t="s">
        <v>104</v>
      </c>
      <c r="N319" s="4">
        <v>32583</v>
      </c>
    </row>
    <row r="320" spans="1:14" x14ac:dyDescent="0.25">
      <c r="A320" s="5" t="str">
        <f t="shared" si="7"/>
        <v>Wyoming-Toi Zedaker</v>
      </c>
      <c r="B320" s="3" t="s">
        <v>90</v>
      </c>
      <c r="C320" s="3" t="s">
        <v>121</v>
      </c>
      <c r="D320" s="4">
        <v>88171</v>
      </c>
      <c r="L320" s="3" t="s">
        <v>45</v>
      </c>
      <c r="M320" s="3" t="s">
        <v>100</v>
      </c>
      <c r="N320" s="4">
        <v>73197</v>
      </c>
    </row>
    <row r="321" spans="1:14" x14ac:dyDescent="0.25">
      <c r="A321" s="5" t="str">
        <f t="shared" si="7"/>
        <v>Virgin Islands-Quinton Modugno</v>
      </c>
      <c r="B321" s="3" t="s">
        <v>86</v>
      </c>
      <c r="C321" s="3" t="s">
        <v>101</v>
      </c>
      <c r="D321" s="4">
        <v>53442</v>
      </c>
      <c r="L321" s="3" t="s">
        <v>45</v>
      </c>
      <c r="M321" s="3" t="s">
        <v>118</v>
      </c>
      <c r="N321" s="4">
        <v>33630</v>
      </c>
    </row>
    <row r="322" spans="1:14" x14ac:dyDescent="0.25">
      <c r="A322" s="5" t="str">
        <f t="shared" ref="A322:A385" si="8">B322&amp;"-"&amp;C322</f>
        <v>Delaware-Thaddeus Notah</v>
      </c>
      <c r="B322" s="3" t="s">
        <v>43</v>
      </c>
      <c r="C322" s="3" t="s">
        <v>112</v>
      </c>
      <c r="D322" s="4">
        <v>94521</v>
      </c>
      <c r="L322" s="3" t="s">
        <v>45</v>
      </c>
      <c r="M322" s="3" t="s">
        <v>101</v>
      </c>
      <c r="N322" s="4">
        <v>55062</v>
      </c>
    </row>
    <row r="323" spans="1:14" x14ac:dyDescent="0.25">
      <c r="A323" s="5" t="str">
        <f t="shared" si="8"/>
        <v>New Jersey-Raphael Derrig</v>
      </c>
      <c r="B323" s="3" t="s">
        <v>67</v>
      </c>
      <c r="C323" s="3" t="s">
        <v>109</v>
      </c>
      <c r="D323" s="4">
        <v>127136</v>
      </c>
      <c r="L323" s="3" t="s">
        <v>45</v>
      </c>
      <c r="M323" s="3" t="s">
        <v>122</v>
      </c>
      <c r="N323" s="4">
        <v>30364</v>
      </c>
    </row>
    <row r="324" spans="1:14" x14ac:dyDescent="0.25">
      <c r="A324" s="5" t="str">
        <f t="shared" si="8"/>
        <v>California-Quinton Modugno</v>
      </c>
      <c r="B324" s="3" t="s">
        <v>40</v>
      </c>
      <c r="C324" s="3" t="s">
        <v>101</v>
      </c>
      <c r="D324" s="4">
        <v>86330</v>
      </c>
      <c r="L324" s="3" t="s">
        <v>45</v>
      </c>
      <c r="M324" s="3" t="s">
        <v>109</v>
      </c>
      <c r="N324" s="4">
        <v>97463</v>
      </c>
    </row>
    <row r="325" spans="1:14" x14ac:dyDescent="0.25">
      <c r="A325" s="5" t="str">
        <f t="shared" si="8"/>
        <v>Missouri-Marvis Tenholder</v>
      </c>
      <c r="B325" s="3" t="s">
        <v>62</v>
      </c>
      <c r="C325" s="3" t="s">
        <v>105</v>
      </c>
      <c r="D325" s="4">
        <v>168393</v>
      </c>
      <c r="L325" s="3" t="s">
        <v>45</v>
      </c>
      <c r="M325" s="3" t="s">
        <v>95</v>
      </c>
      <c r="N325" s="4">
        <v>145978</v>
      </c>
    </row>
    <row r="326" spans="1:14" x14ac:dyDescent="0.25">
      <c r="A326" s="5" t="str">
        <f t="shared" si="8"/>
        <v>West Virginia-Moises Paynes</v>
      </c>
      <c r="B326" s="3" t="s">
        <v>88</v>
      </c>
      <c r="C326" s="3" t="s">
        <v>104</v>
      </c>
      <c r="D326" s="4">
        <v>127340</v>
      </c>
      <c r="L326" s="3" t="s">
        <v>45</v>
      </c>
      <c r="M326" s="3" t="s">
        <v>98</v>
      </c>
      <c r="N326" s="4">
        <v>69446</v>
      </c>
    </row>
    <row r="327" spans="1:14" x14ac:dyDescent="0.25">
      <c r="A327" s="5" t="str">
        <f t="shared" si="8"/>
        <v>Massachusetts-Son Shryack</v>
      </c>
      <c r="B327" s="3" t="s">
        <v>58</v>
      </c>
      <c r="C327" s="3" t="s">
        <v>98</v>
      </c>
      <c r="D327" s="4">
        <v>156610</v>
      </c>
      <c r="L327" s="3" t="s">
        <v>45</v>
      </c>
      <c r="M327" s="3" t="s">
        <v>114</v>
      </c>
      <c r="N327" s="4">
        <v>14084</v>
      </c>
    </row>
    <row r="328" spans="1:14" x14ac:dyDescent="0.25">
      <c r="A328" s="5" t="str">
        <f t="shared" si="8"/>
        <v>South Dakota-Toi Medico</v>
      </c>
      <c r="B328" s="3" t="s">
        <v>80</v>
      </c>
      <c r="C328" s="3" t="s">
        <v>103</v>
      </c>
      <c r="D328" s="4">
        <v>135205</v>
      </c>
      <c r="L328" s="3" t="s">
        <v>45</v>
      </c>
      <c r="M328" s="3" t="s">
        <v>112</v>
      </c>
      <c r="N328" s="4">
        <v>106604</v>
      </c>
    </row>
    <row r="329" spans="1:14" x14ac:dyDescent="0.25">
      <c r="A329" s="5" t="str">
        <f t="shared" si="8"/>
        <v>Virgin Islands-Moises Paynes</v>
      </c>
      <c r="B329" s="3" t="s">
        <v>86</v>
      </c>
      <c r="C329" s="3" t="s">
        <v>104</v>
      </c>
      <c r="D329" s="4">
        <v>10978</v>
      </c>
      <c r="L329" s="3" t="s">
        <v>45</v>
      </c>
      <c r="M329" s="3" t="s">
        <v>103</v>
      </c>
      <c r="N329" s="4">
        <v>35836</v>
      </c>
    </row>
    <row r="330" spans="1:14" x14ac:dyDescent="0.25">
      <c r="A330" s="5" t="str">
        <f t="shared" si="8"/>
        <v>Minnesota-Marvis Tenholder</v>
      </c>
      <c r="B330" s="3" t="s">
        <v>60</v>
      </c>
      <c r="C330" s="3" t="s">
        <v>105</v>
      </c>
      <c r="D330" s="4">
        <v>145377</v>
      </c>
      <c r="L330" s="3" t="s">
        <v>45</v>
      </c>
      <c r="M330" s="3" t="s">
        <v>121</v>
      </c>
      <c r="N330" s="4">
        <v>158817</v>
      </c>
    </row>
    <row r="331" spans="1:14" x14ac:dyDescent="0.25">
      <c r="A331" s="5" t="str">
        <f t="shared" si="8"/>
        <v>New Mexico-Sadye Diloreto</v>
      </c>
      <c r="B331" s="3" t="s">
        <v>68</v>
      </c>
      <c r="C331" s="3" t="s">
        <v>95</v>
      </c>
      <c r="D331" s="4">
        <v>127404</v>
      </c>
      <c r="L331" s="3" t="s">
        <v>45</v>
      </c>
      <c r="M331" s="3" t="s">
        <v>107</v>
      </c>
      <c r="N331" s="4">
        <v>117601</v>
      </c>
    </row>
    <row r="332" spans="1:14" x14ac:dyDescent="0.25">
      <c r="A332" s="5" t="str">
        <f t="shared" si="8"/>
        <v>Wyoming-Cliff Galinski</v>
      </c>
      <c r="B332" s="3" t="s">
        <v>90</v>
      </c>
      <c r="C332" s="3" t="s">
        <v>124</v>
      </c>
      <c r="D332" s="4">
        <v>99981</v>
      </c>
      <c r="L332" s="3" t="s">
        <v>46</v>
      </c>
      <c r="M332" s="3" t="s">
        <v>116</v>
      </c>
      <c r="N332" s="4">
        <v>116524</v>
      </c>
    </row>
    <row r="333" spans="1:14" x14ac:dyDescent="0.25">
      <c r="A333" s="5" t="str">
        <f t="shared" si="8"/>
        <v>Hawaii-Nolan Gohn</v>
      </c>
      <c r="B333" s="3" t="s">
        <v>48</v>
      </c>
      <c r="C333" s="3" t="s">
        <v>118</v>
      </c>
      <c r="D333" s="4">
        <v>66255</v>
      </c>
      <c r="L333" s="3" t="s">
        <v>46</v>
      </c>
      <c r="M333" s="3" t="s">
        <v>108</v>
      </c>
      <c r="N333" s="4">
        <v>10457</v>
      </c>
    </row>
    <row r="334" spans="1:14" x14ac:dyDescent="0.25">
      <c r="A334" s="5" t="str">
        <f t="shared" si="8"/>
        <v>North Carolina-Lianne Trappey</v>
      </c>
      <c r="B334" s="3" t="s">
        <v>70</v>
      </c>
      <c r="C334" s="3" t="s">
        <v>123</v>
      </c>
      <c r="D334" s="4">
        <v>165990</v>
      </c>
      <c r="L334" s="3" t="s">
        <v>46</v>
      </c>
      <c r="M334" s="3" t="s">
        <v>110</v>
      </c>
      <c r="N334" s="4">
        <v>114127</v>
      </c>
    </row>
    <row r="335" spans="1:14" x14ac:dyDescent="0.25">
      <c r="A335" s="5" t="str">
        <f t="shared" si="8"/>
        <v>Missouri-Nolan Gohn</v>
      </c>
      <c r="B335" s="3" t="s">
        <v>62</v>
      </c>
      <c r="C335" s="3" t="s">
        <v>118</v>
      </c>
      <c r="D335" s="4">
        <v>158701</v>
      </c>
      <c r="L335" s="3" t="s">
        <v>46</v>
      </c>
      <c r="M335" s="3" t="s">
        <v>99</v>
      </c>
      <c r="N335" s="4">
        <v>17678</v>
      </c>
    </row>
    <row r="336" spans="1:14" x14ac:dyDescent="0.25">
      <c r="A336" s="5" t="str">
        <f t="shared" si="8"/>
        <v>Wisconsin-Cliff Schnautz</v>
      </c>
      <c r="B336" s="3" t="s">
        <v>89</v>
      </c>
      <c r="C336" s="3" t="s">
        <v>96</v>
      </c>
      <c r="D336" s="4">
        <v>44728</v>
      </c>
      <c r="L336" s="3" t="s">
        <v>46</v>
      </c>
      <c r="M336" s="3" t="s">
        <v>124</v>
      </c>
      <c r="N336" s="4">
        <v>141548</v>
      </c>
    </row>
    <row r="337" spans="1:14" x14ac:dyDescent="0.25">
      <c r="A337" s="5" t="str">
        <f t="shared" si="8"/>
        <v>South Carolina-Cliff Galinski</v>
      </c>
      <c r="B337" s="3" t="s">
        <v>79</v>
      </c>
      <c r="C337" s="3" t="s">
        <v>124</v>
      </c>
      <c r="D337" s="4">
        <v>45038</v>
      </c>
      <c r="L337" s="3" t="s">
        <v>46</v>
      </c>
      <c r="M337" s="3" t="s">
        <v>96</v>
      </c>
      <c r="N337" s="4">
        <v>119205</v>
      </c>
    </row>
    <row r="338" spans="1:14" x14ac:dyDescent="0.25">
      <c r="A338" s="5" t="str">
        <f t="shared" si="8"/>
        <v>Arizona-Armand Mcleon</v>
      </c>
      <c r="B338" s="3" t="s">
        <v>38</v>
      </c>
      <c r="C338" s="3" t="s">
        <v>110</v>
      </c>
      <c r="D338" s="4">
        <v>58512</v>
      </c>
      <c r="L338" s="3" t="s">
        <v>46</v>
      </c>
      <c r="M338" s="3" t="s">
        <v>115</v>
      </c>
      <c r="N338" s="4">
        <v>68033</v>
      </c>
    </row>
    <row r="339" spans="1:14" x14ac:dyDescent="0.25">
      <c r="A339" s="5" t="str">
        <f t="shared" si="8"/>
        <v>Massachusetts-Kai Stroebel</v>
      </c>
      <c r="B339" s="3" t="s">
        <v>58</v>
      </c>
      <c r="C339" s="3" t="s">
        <v>111</v>
      </c>
      <c r="D339" s="4">
        <v>24690</v>
      </c>
      <c r="L339" s="3" t="s">
        <v>46</v>
      </c>
      <c r="M339" s="3" t="s">
        <v>117</v>
      </c>
      <c r="N339" s="4">
        <v>51802</v>
      </c>
    </row>
    <row r="340" spans="1:14" x14ac:dyDescent="0.25">
      <c r="A340" s="5" t="str">
        <f t="shared" si="8"/>
        <v>Alabama-Sadye Diloreto</v>
      </c>
      <c r="B340" s="3" t="s">
        <v>35</v>
      </c>
      <c r="C340" s="3" t="s">
        <v>95</v>
      </c>
      <c r="D340" s="4">
        <v>30452</v>
      </c>
      <c r="L340" s="3" t="s">
        <v>46</v>
      </c>
      <c r="M340" s="3" t="s">
        <v>120</v>
      </c>
      <c r="N340" s="4">
        <v>34326</v>
      </c>
    </row>
    <row r="341" spans="1:14" x14ac:dyDescent="0.25">
      <c r="A341" s="5" t="str">
        <f t="shared" si="8"/>
        <v>Northern Marianas Islands-Thaddeus Notah</v>
      </c>
      <c r="B341" s="3" t="s">
        <v>72</v>
      </c>
      <c r="C341" s="3" t="s">
        <v>112</v>
      </c>
      <c r="D341" s="4">
        <v>49189</v>
      </c>
      <c r="L341" s="3" t="s">
        <v>46</v>
      </c>
      <c r="M341" s="3" t="s">
        <v>111</v>
      </c>
      <c r="N341" s="4">
        <v>157013</v>
      </c>
    </row>
    <row r="342" spans="1:14" x14ac:dyDescent="0.25">
      <c r="A342" s="5" t="str">
        <f t="shared" si="8"/>
        <v>Montana-Raphael Bonawitz</v>
      </c>
      <c r="B342" s="3" t="s">
        <v>63</v>
      </c>
      <c r="C342" s="3" t="s">
        <v>122</v>
      </c>
      <c r="D342" s="4">
        <v>8222</v>
      </c>
      <c r="L342" s="3" t="s">
        <v>46</v>
      </c>
      <c r="M342" s="3" t="s">
        <v>102</v>
      </c>
      <c r="N342" s="4">
        <v>65738</v>
      </c>
    </row>
    <row r="343" spans="1:14" x14ac:dyDescent="0.25">
      <c r="A343" s="5" t="str">
        <f t="shared" si="8"/>
        <v>Massachusetts-Marcel Davern</v>
      </c>
      <c r="B343" s="3" t="s">
        <v>58</v>
      </c>
      <c r="C343" s="3" t="s">
        <v>119</v>
      </c>
      <c r="D343" s="4">
        <v>83275</v>
      </c>
      <c r="L343" s="3" t="s">
        <v>46</v>
      </c>
      <c r="M343" s="3" t="s">
        <v>106</v>
      </c>
      <c r="N343" s="4">
        <v>158346</v>
      </c>
    </row>
    <row r="344" spans="1:14" x14ac:dyDescent="0.25">
      <c r="A344" s="5" t="str">
        <f t="shared" si="8"/>
        <v>New York-Keila Rossini</v>
      </c>
      <c r="B344" s="3" t="s">
        <v>69</v>
      </c>
      <c r="C344" s="3" t="s">
        <v>102</v>
      </c>
      <c r="D344" s="4">
        <v>156863</v>
      </c>
      <c r="L344" s="3" t="s">
        <v>46</v>
      </c>
      <c r="M344" s="3" t="s">
        <v>123</v>
      </c>
      <c r="N344" s="4">
        <v>170396</v>
      </c>
    </row>
    <row r="345" spans="1:14" x14ac:dyDescent="0.25">
      <c r="A345" s="5" t="str">
        <f t="shared" si="8"/>
        <v>Louisiana-Genna Zaller</v>
      </c>
      <c r="B345" s="3" t="s">
        <v>55</v>
      </c>
      <c r="C345" s="3" t="s">
        <v>117</v>
      </c>
      <c r="D345" s="4">
        <v>110481</v>
      </c>
      <c r="L345" s="3" t="s">
        <v>46</v>
      </c>
      <c r="M345" s="3" t="s">
        <v>97</v>
      </c>
      <c r="N345" s="4">
        <v>72835</v>
      </c>
    </row>
    <row r="346" spans="1:14" x14ac:dyDescent="0.25">
      <c r="A346" s="5" t="str">
        <f t="shared" si="8"/>
        <v>Kentucky-Lashon Bongers</v>
      </c>
      <c r="B346" s="3" t="s">
        <v>54</v>
      </c>
      <c r="C346" s="3" t="s">
        <v>106</v>
      </c>
      <c r="D346" s="4">
        <v>120860</v>
      </c>
      <c r="L346" s="3" t="s">
        <v>46</v>
      </c>
      <c r="M346" s="3" t="s">
        <v>119</v>
      </c>
      <c r="N346" s="4">
        <v>119280</v>
      </c>
    </row>
    <row r="347" spans="1:14" x14ac:dyDescent="0.25">
      <c r="A347" s="5" t="str">
        <f t="shared" si="8"/>
        <v>American Samoa-Quinton Modugno</v>
      </c>
      <c r="B347" s="3" t="s">
        <v>37</v>
      </c>
      <c r="C347" s="3" t="s">
        <v>101</v>
      </c>
      <c r="D347" s="4">
        <v>143823</v>
      </c>
      <c r="L347" s="3" t="s">
        <v>46</v>
      </c>
      <c r="M347" s="3" t="s">
        <v>113</v>
      </c>
      <c r="N347" s="4">
        <v>94122</v>
      </c>
    </row>
    <row r="348" spans="1:14" x14ac:dyDescent="0.25">
      <c r="A348" s="5" t="str">
        <f t="shared" si="8"/>
        <v>Kansas-Cliff Schnautz</v>
      </c>
      <c r="B348" s="3" t="s">
        <v>53</v>
      </c>
      <c r="C348" s="3" t="s">
        <v>96</v>
      </c>
      <c r="D348" s="4">
        <v>42003</v>
      </c>
      <c r="L348" s="3" t="s">
        <v>46</v>
      </c>
      <c r="M348" s="3" t="s">
        <v>105</v>
      </c>
      <c r="N348" s="4">
        <v>44492</v>
      </c>
    </row>
    <row r="349" spans="1:14" x14ac:dyDescent="0.25">
      <c r="A349" s="5" t="str">
        <f t="shared" si="8"/>
        <v>Virginia-Son Shryack</v>
      </c>
      <c r="B349" s="3" t="s">
        <v>85</v>
      </c>
      <c r="C349" s="3" t="s">
        <v>98</v>
      </c>
      <c r="D349" s="4">
        <v>119810</v>
      </c>
      <c r="L349" s="3" t="s">
        <v>46</v>
      </c>
      <c r="M349" s="3" t="s">
        <v>104</v>
      </c>
      <c r="N349" s="4">
        <v>150591</v>
      </c>
    </row>
    <row r="350" spans="1:14" x14ac:dyDescent="0.25">
      <c r="A350" s="5" t="str">
        <f t="shared" si="8"/>
        <v>Virginia-Nolan Deorio</v>
      </c>
      <c r="B350" s="3" t="s">
        <v>85</v>
      </c>
      <c r="C350" s="3" t="s">
        <v>100</v>
      </c>
      <c r="D350" s="4">
        <v>34781</v>
      </c>
      <c r="L350" s="3" t="s">
        <v>46</v>
      </c>
      <c r="M350" s="3" t="s">
        <v>100</v>
      </c>
      <c r="N350" s="4">
        <v>24460</v>
      </c>
    </row>
    <row r="351" spans="1:14" x14ac:dyDescent="0.25">
      <c r="A351" s="5" t="str">
        <f t="shared" si="8"/>
        <v>Idaho-Toi Zedaker</v>
      </c>
      <c r="B351" s="3" t="s">
        <v>49</v>
      </c>
      <c r="C351" s="3" t="s">
        <v>121</v>
      </c>
      <c r="D351" s="4">
        <v>9136</v>
      </c>
      <c r="L351" s="3" t="s">
        <v>46</v>
      </c>
      <c r="M351" s="3" t="s">
        <v>118</v>
      </c>
      <c r="N351" s="4">
        <v>109320</v>
      </c>
    </row>
    <row r="352" spans="1:14" x14ac:dyDescent="0.25">
      <c r="A352" s="5" t="str">
        <f t="shared" si="8"/>
        <v>Puerto Rico-Twanda Lovenduski</v>
      </c>
      <c r="B352" s="3" t="s">
        <v>77</v>
      </c>
      <c r="C352" s="3" t="s">
        <v>107</v>
      </c>
      <c r="D352" s="4">
        <v>112209</v>
      </c>
      <c r="L352" s="3" t="s">
        <v>46</v>
      </c>
      <c r="M352" s="3" t="s">
        <v>101</v>
      </c>
      <c r="N352" s="4">
        <v>32405</v>
      </c>
    </row>
    <row r="353" spans="1:14" x14ac:dyDescent="0.25">
      <c r="A353" s="5" t="str">
        <f t="shared" si="8"/>
        <v>Kansas-Lucilla Bilecki</v>
      </c>
      <c r="B353" s="3" t="s">
        <v>53</v>
      </c>
      <c r="C353" s="3" t="s">
        <v>97</v>
      </c>
      <c r="D353" s="4">
        <v>145604</v>
      </c>
      <c r="L353" s="3" t="s">
        <v>46</v>
      </c>
      <c r="M353" s="3" t="s">
        <v>122</v>
      </c>
      <c r="N353" s="4">
        <v>103584</v>
      </c>
    </row>
    <row r="354" spans="1:14" x14ac:dyDescent="0.25">
      <c r="A354" s="5" t="str">
        <f t="shared" si="8"/>
        <v>American Samoa-Son Shryack</v>
      </c>
      <c r="B354" s="3" t="s">
        <v>37</v>
      </c>
      <c r="C354" s="3" t="s">
        <v>98</v>
      </c>
      <c r="D354" s="4">
        <v>6634</v>
      </c>
      <c r="L354" s="3" t="s">
        <v>46</v>
      </c>
      <c r="M354" s="3" t="s">
        <v>109</v>
      </c>
      <c r="N354" s="4">
        <v>107229</v>
      </c>
    </row>
    <row r="355" spans="1:14" x14ac:dyDescent="0.25">
      <c r="A355" s="5" t="str">
        <f t="shared" si="8"/>
        <v>New Jersey-Nolan Gohn</v>
      </c>
      <c r="B355" s="3" t="s">
        <v>67</v>
      </c>
      <c r="C355" s="3" t="s">
        <v>118</v>
      </c>
      <c r="D355" s="4">
        <v>14683</v>
      </c>
      <c r="L355" s="3" t="s">
        <v>46</v>
      </c>
      <c r="M355" s="3" t="s">
        <v>95</v>
      </c>
      <c r="N355" s="4">
        <v>126561</v>
      </c>
    </row>
    <row r="356" spans="1:14" x14ac:dyDescent="0.25">
      <c r="A356" s="5" t="str">
        <f t="shared" si="8"/>
        <v>Wisconsin-Jackson Lorkowski</v>
      </c>
      <c r="B356" s="3" t="s">
        <v>89</v>
      </c>
      <c r="C356" s="3" t="s">
        <v>120</v>
      </c>
      <c r="D356" s="4">
        <v>73849</v>
      </c>
      <c r="L356" s="3" t="s">
        <v>46</v>
      </c>
      <c r="M356" s="3" t="s">
        <v>98</v>
      </c>
      <c r="N356" s="4">
        <v>24333</v>
      </c>
    </row>
    <row r="357" spans="1:14" x14ac:dyDescent="0.25">
      <c r="A357" s="5" t="str">
        <f t="shared" si="8"/>
        <v>Iowa-Marcel Davern</v>
      </c>
      <c r="B357" s="3" t="s">
        <v>52</v>
      </c>
      <c r="C357" s="3" t="s">
        <v>119</v>
      </c>
      <c r="D357" s="4">
        <v>79323</v>
      </c>
      <c r="L357" s="3" t="s">
        <v>46</v>
      </c>
      <c r="M357" s="3" t="s">
        <v>114</v>
      </c>
      <c r="N357" s="4">
        <v>8457</v>
      </c>
    </row>
    <row r="358" spans="1:14" x14ac:dyDescent="0.25">
      <c r="A358" s="5" t="str">
        <f t="shared" si="8"/>
        <v>Minnesota-Keila Rossini</v>
      </c>
      <c r="B358" s="3" t="s">
        <v>60</v>
      </c>
      <c r="C358" s="3" t="s">
        <v>102</v>
      </c>
      <c r="D358" s="4">
        <v>34790</v>
      </c>
      <c r="L358" s="3" t="s">
        <v>46</v>
      </c>
      <c r="M358" s="3" t="s">
        <v>112</v>
      </c>
      <c r="N358" s="4">
        <v>57477</v>
      </c>
    </row>
    <row r="359" spans="1:14" x14ac:dyDescent="0.25">
      <c r="A359" s="5" t="str">
        <f t="shared" si="8"/>
        <v>Arizona-Cliff Bahlmann</v>
      </c>
      <c r="B359" s="3" t="s">
        <v>38</v>
      </c>
      <c r="C359" s="3" t="s">
        <v>99</v>
      </c>
      <c r="D359" s="4">
        <v>79164</v>
      </c>
      <c r="L359" s="3" t="s">
        <v>46</v>
      </c>
      <c r="M359" s="3" t="s">
        <v>103</v>
      </c>
      <c r="N359" s="4">
        <v>44721</v>
      </c>
    </row>
    <row r="360" spans="1:14" x14ac:dyDescent="0.25">
      <c r="A360" s="5" t="str">
        <f t="shared" si="8"/>
        <v>Maryland-Cliff Bahlmann</v>
      </c>
      <c r="B360" s="3" t="s">
        <v>57</v>
      </c>
      <c r="C360" s="3" t="s">
        <v>99</v>
      </c>
      <c r="D360" s="4">
        <v>133259</v>
      </c>
      <c r="L360" s="3" t="s">
        <v>46</v>
      </c>
      <c r="M360" s="3" t="s">
        <v>121</v>
      </c>
      <c r="N360" s="4">
        <v>25372</v>
      </c>
    </row>
    <row r="361" spans="1:14" x14ac:dyDescent="0.25">
      <c r="A361" s="5" t="str">
        <f t="shared" si="8"/>
        <v>Northern Marianas Islands-Keila Rossini</v>
      </c>
      <c r="B361" s="3" t="s">
        <v>72</v>
      </c>
      <c r="C361" s="3" t="s">
        <v>102</v>
      </c>
      <c r="D361" s="4">
        <v>157675</v>
      </c>
      <c r="L361" s="3" t="s">
        <v>46</v>
      </c>
      <c r="M361" s="3" t="s">
        <v>107</v>
      </c>
      <c r="N361" s="4">
        <v>172617</v>
      </c>
    </row>
    <row r="362" spans="1:14" x14ac:dyDescent="0.25">
      <c r="A362" s="5" t="str">
        <f t="shared" si="8"/>
        <v>Arizona-Lucilla Bilecki</v>
      </c>
      <c r="B362" s="3" t="s">
        <v>38</v>
      </c>
      <c r="C362" s="3" t="s">
        <v>97</v>
      </c>
      <c r="D362" s="4">
        <v>37491</v>
      </c>
      <c r="L362" s="3" t="s">
        <v>47</v>
      </c>
      <c r="M362" s="3" t="s">
        <v>116</v>
      </c>
      <c r="N362" s="4">
        <v>6953</v>
      </c>
    </row>
    <row r="363" spans="1:14" x14ac:dyDescent="0.25">
      <c r="A363" s="5" t="str">
        <f t="shared" si="8"/>
        <v>Hawaii-Cliff Bahlmann</v>
      </c>
      <c r="B363" s="3" t="s">
        <v>48</v>
      </c>
      <c r="C363" s="3" t="s">
        <v>99</v>
      </c>
      <c r="D363" s="4">
        <v>117173</v>
      </c>
      <c r="L363" s="3" t="s">
        <v>47</v>
      </c>
      <c r="M363" s="3" t="s">
        <v>108</v>
      </c>
      <c r="N363" s="4">
        <v>18923</v>
      </c>
    </row>
    <row r="364" spans="1:14" x14ac:dyDescent="0.25">
      <c r="A364" s="5" t="str">
        <f t="shared" si="8"/>
        <v>Wyoming-Moises Paynes</v>
      </c>
      <c r="B364" s="3" t="s">
        <v>90</v>
      </c>
      <c r="C364" s="3" t="s">
        <v>104</v>
      </c>
      <c r="D364" s="4">
        <v>79662</v>
      </c>
      <c r="L364" s="3" t="s">
        <v>47</v>
      </c>
      <c r="M364" s="3" t="s">
        <v>110</v>
      </c>
      <c r="N364" s="4">
        <v>54846</v>
      </c>
    </row>
    <row r="365" spans="1:14" x14ac:dyDescent="0.25">
      <c r="A365" s="5" t="str">
        <f t="shared" si="8"/>
        <v>North Carolina-Toi Medico</v>
      </c>
      <c r="B365" s="3" t="s">
        <v>70</v>
      </c>
      <c r="C365" s="3" t="s">
        <v>103</v>
      </c>
      <c r="D365" s="4">
        <v>16624</v>
      </c>
      <c r="L365" s="3" t="s">
        <v>47</v>
      </c>
      <c r="M365" s="3" t="s">
        <v>99</v>
      </c>
      <c r="N365" s="4">
        <v>134104</v>
      </c>
    </row>
    <row r="366" spans="1:14" x14ac:dyDescent="0.25">
      <c r="A366" s="5" t="str">
        <f t="shared" si="8"/>
        <v>District of Columbia-Toi Zedaker</v>
      </c>
      <c r="B366" s="3" t="s">
        <v>44</v>
      </c>
      <c r="C366" s="3" t="s">
        <v>121</v>
      </c>
      <c r="D366" s="4">
        <v>10574</v>
      </c>
      <c r="L366" s="3" t="s">
        <v>47</v>
      </c>
      <c r="M366" s="3" t="s">
        <v>124</v>
      </c>
      <c r="N366" s="4">
        <v>100241</v>
      </c>
    </row>
    <row r="367" spans="1:14" x14ac:dyDescent="0.25">
      <c r="A367" s="5" t="str">
        <f t="shared" si="8"/>
        <v>Guam-Ali Steenken</v>
      </c>
      <c r="B367" s="3" t="s">
        <v>47</v>
      </c>
      <c r="C367" s="3" t="s">
        <v>116</v>
      </c>
      <c r="D367" s="4">
        <v>6953</v>
      </c>
      <c r="L367" s="3" t="s">
        <v>47</v>
      </c>
      <c r="M367" s="3" t="s">
        <v>96</v>
      </c>
      <c r="N367" s="4">
        <v>132253</v>
      </c>
    </row>
    <row r="368" spans="1:14" x14ac:dyDescent="0.25">
      <c r="A368" s="5" t="str">
        <f t="shared" si="8"/>
        <v>Texas-Sadye Diloreto</v>
      </c>
      <c r="B368" s="3" t="s">
        <v>82</v>
      </c>
      <c r="C368" s="3" t="s">
        <v>95</v>
      </c>
      <c r="D368" s="4">
        <v>121010</v>
      </c>
      <c r="L368" s="3" t="s">
        <v>47</v>
      </c>
      <c r="M368" s="3" t="s">
        <v>115</v>
      </c>
      <c r="N368" s="4">
        <v>38100</v>
      </c>
    </row>
    <row r="369" spans="1:14" x14ac:dyDescent="0.25">
      <c r="A369" s="5" t="str">
        <f t="shared" si="8"/>
        <v>Indiana-Genna Zaller</v>
      </c>
      <c r="B369" s="3" t="s">
        <v>51</v>
      </c>
      <c r="C369" s="3" t="s">
        <v>117</v>
      </c>
      <c r="D369" s="4">
        <v>165385</v>
      </c>
      <c r="L369" s="3" t="s">
        <v>47</v>
      </c>
      <c r="M369" s="3" t="s">
        <v>117</v>
      </c>
      <c r="N369" s="4">
        <v>161676</v>
      </c>
    </row>
    <row r="370" spans="1:14" x14ac:dyDescent="0.25">
      <c r="A370" s="5" t="str">
        <f t="shared" si="8"/>
        <v>New York-Genna Zaller</v>
      </c>
      <c r="B370" s="3" t="s">
        <v>69</v>
      </c>
      <c r="C370" s="3" t="s">
        <v>117</v>
      </c>
      <c r="D370" s="4">
        <v>12634</v>
      </c>
      <c r="L370" s="3" t="s">
        <v>47</v>
      </c>
      <c r="M370" s="3" t="s">
        <v>120</v>
      </c>
      <c r="N370" s="4">
        <v>51341</v>
      </c>
    </row>
    <row r="371" spans="1:14" x14ac:dyDescent="0.25">
      <c r="A371" s="5" t="str">
        <f t="shared" si="8"/>
        <v>South Dakota-Toi Zedaker</v>
      </c>
      <c r="B371" s="3" t="s">
        <v>80</v>
      </c>
      <c r="C371" s="3" t="s">
        <v>121</v>
      </c>
      <c r="D371" s="4">
        <v>102091</v>
      </c>
      <c r="L371" s="3" t="s">
        <v>47</v>
      </c>
      <c r="M371" s="3" t="s">
        <v>111</v>
      </c>
      <c r="N371" s="4">
        <v>6187</v>
      </c>
    </row>
    <row r="372" spans="1:14" x14ac:dyDescent="0.25">
      <c r="A372" s="5" t="str">
        <f t="shared" si="8"/>
        <v>Idaho-Moises Paynes</v>
      </c>
      <c r="B372" s="3" t="s">
        <v>49</v>
      </c>
      <c r="C372" s="3" t="s">
        <v>104</v>
      </c>
      <c r="D372" s="4">
        <v>151320</v>
      </c>
      <c r="L372" s="3" t="s">
        <v>47</v>
      </c>
      <c r="M372" s="3" t="s">
        <v>102</v>
      </c>
      <c r="N372" s="4">
        <v>66845</v>
      </c>
    </row>
    <row r="373" spans="1:14" x14ac:dyDescent="0.25">
      <c r="A373" s="5" t="str">
        <f t="shared" si="8"/>
        <v>Kansas-Raphael Derrig</v>
      </c>
      <c r="B373" s="3" t="s">
        <v>53</v>
      </c>
      <c r="C373" s="3" t="s">
        <v>109</v>
      </c>
      <c r="D373" s="4">
        <v>6874</v>
      </c>
      <c r="L373" s="3" t="s">
        <v>47</v>
      </c>
      <c r="M373" s="3" t="s">
        <v>106</v>
      </c>
      <c r="N373" s="4">
        <v>93294</v>
      </c>
    </row>
    <row r="374" spans="1:14" x14ac:dyDescent="0.25">
      <c r="A374" s="5" t="str">
        <f t="shared" si="8"/>
        <v>Tennessee-Raphael Derrig</v>
      </c>
      <c r="B374" s="3" t="s">
        <v>81</v>
      </c>
      <c r="C374" s="3" t="s">
        <v>109</v>
      </c>
      <c r="D374" s="4">
        <v>91613</v>
      </c>
      <c r="L374" s="3" t="s">
        <v>47</v>
      </c>
      <c r="M374" s="3" t="s">
        <v>123</v>
      </c>
      <c r="N374" s="4">
        <v>157307</v>
      </c>
    </row>
    <row r="375" spans="1:14" x14ac:dyDescent="0.25">
      <c r="A375" s="5" t="str">
        <f t="shared" si="8"/>
        <v>Arizona-Cliff Schnautz</v>
      </c>
      <c r="B375" s="3" t="s">
        <v>38</v>
      </c>
      <c r="C375" s="3" t="s">
        <v>96</v>
      </c>
      <c r="D375" s="4">
        <v>57010</v>
      </c>
      <c r="L375" s="3" t="s">
        <v>47</v>
      </c>
      <c r="M375" s="3" t="s">
        <v>97</v>
      </c>
      <c r="N375" s="4">
        <v>174465</v>
      </c>
    </row>
    <row r="376" spans="1:14" x14ac:dyDescent="0.25">
      <c r="A376" s="5" t="str">
        <f t="shared" si="8"/>
        <v>Connecticut-Armand Mcleon</v>
      </c>
      <c r="B376" s="3" t="s">
        <v>42</v>
      </c>
      <c r="C376" s="3" t="s">
        <v>110</v>
      </c>
      <c r="D376" s="4">
        <v>99600</v>
      </c>
      <c r="L376" s="3" t="s">
        <v>47</v>
      </c>
      <c r="M376" s="3" t="s">
        <v>119</v>
      </c>
      <c r="N376" s="4">
        <v>60962</v>
      </c>
    </row>
    <row r="377" spans="1:14" x14ac:dyDescent="0.25">
      <c r="A377" s="5" t="str">
        <f t="shared" si="8"/>
        <v>New York-Raphael Derrig</v>
      </c>
      <c r="B377" s="3" t="s">
        <v>69</v>
      </c>
      <c r="C377" s="3" t="s">
        <v>109</v>
      </c>
      <c r="D377" s="4">
        <v>79377</v>
      </c>
      <c r="L377" s="3" t="s">
        <v>47</v>
      </c>
      <c r="M377" s="3" t="s">
        <v>113</v>
      </c>
      <c r="N377" s="4">
        <v>22285</v>
      </c>
    </row>
    <row r="378" spans="1:14" x14ac:dyDescent="0.25">
      <c r="A378" s="5" t="str">
        <f t="shared" si="8"/>
        <v>Mississippi-Jackson Lorkowski</v>
      </c>
      <c r="B378" s="3" t="s">
        <v>61</v>
      </c>
      <c r="C378" s="3" t="s">
        <v>120</v>
      </c>
      <c r="D378" s="4">
        <v>74324</v>
      </c>
      <c r="L378" s="3" t="s">
        <v>47</v>
      </c>
      <c r="M378" s="3" t="s">
        <v>105</v>
      </c>
      <c r="N378" s="4">
        <v>17942</v>
      </c>
    </row>
    <row r="379" spans="1:14" x14ac:dyDescent="0.25">
      <c r="A379" s="5" t="str">
        <f t="shared" si="8"/>
        <v>Connecticut-Keila Rossini</v>
      </c>
      <c r="B379" s="3" t="s">
        <v>42</v>
      </c>
      <c r="C379" s="3" t="s">
        <v>102</v>
      </c>
      <c r="D379" s="4">
        <v>92114</v>
      </c>
      <c r="L379" s="3" t="s">
        <v>47</v>
      </c>
      <c r="M379" s="3" t="s">
        <v>104</v>
      </c>
      <c r="N379" s="4">
        <v>130174</v>
      </c>
    </row>
    <row r="380" spans="1:14" x14ac:dyDescent="0.25">
      <c r="A380" s="5" t="str">
        <f t="shared" si="8"/>
        <v>Arizona-Lashon Bongers</v>
      </c>
      <c r="B380" s="3" t="s">
        <v>38</v>
      </c>
      <c r="C380" s="3" t="s">
        <v>106</v>
      </c>
      <c r="D380" s="4">
        <v>30174</v>
      </c>
      <c r="L380" s="3" t="s">
        <v>47</v>
      </c>
      <c r="M380" s="3" t="s">
        <v>100</v>
      </c>
      <c r="N380" s="4">
        <v>8983</v>
      </c>
    </row>
    <row r="381" spans="1:14" x14ac:dyDescent="0.25">
      <c r="A381" s="5" t="str">
        <f t="shared" si="8"/>
        <v>Michigan-Thaddeus Cacciatori</v>
      </c>
      <c r="B381" s="3" t="s">
        <v>59</v>
      </c>
      <c r="C381" s="3" t="s">
        <v>114</v>
      </c>
      <c r="D381" s="4">
        <v>47112</v>
      </c>
      <c r="L381" s="3" t="s">
        <v>47</v>
      </c>
      <c r="M381" s="3" t="s">
        <v>118</v>
      </c>
      <c r="N381" s="4">
        <v>127523</v>
      </c>
    </row>
    <row r="382" spans="1:14" x14ac:dyDescent="0.25">
      <c r="A382" s="5" t="str">
        <f t="shared" si="8"/>
        <v>Nebraska-Raphael Derrig</v>
      </c>
      <c r="B382" s="3" t="s">
        <v>64</v>
      </c>
      <c r="C382" s="3" t="s">
        <v>109</v>
      </c>
      <c r="D382" s="4">
        <v>31090</v>
      </c>
      <c r="L382" s="3" t="s">
        <v>47</v>
      </c>
      <c r="M382" s="3" t="s">
        <v>101</v>
      </c>
      <c r="N382" s="4">
        <v>149068</v>
      </c>
    </row>
    <row r="383" spans="1:14" x14ac:dyDescent="0.25">
      <c r="A383" s="5" t="str">
        <f t="shared" si="8"/>
        <v>Arkansas-Thaddeus Notah</v>
      </c>
      <c r="B383" s="3" t="s">
        <v>39</v>
      </c>
      <c r="C383" s="3" t="s">
        <v>112</v>
      </c>
      <c r="D383" s="4">
        <v>152482</v>
      </c>
      <c r="L383" s="3" t="s">
        <v>47</v>
      </c>
      <c r="M383" s="3" t="s">
        <v>122</v>
      </c>
      <c r="N383" s="4">
        <v>60752</v>
      </c>
    </row>
    <row r="384" spans="1:14" x14ac:dyDescent="0.25">
      <c r="A384" s="5" t="str">
        <f t="shared" si="8"/>
        <v>Ohio-Raphael Derrig</v>
      </c>
      <c r="B384" s="3" t="s">
        <v>73</v>
      </c>
      <c r="C384" s="3" t="s">
        <v>109</v>
      </c>
      <c r="D384" s="4">
        <v>102201</v>
      </c>
      <c r="L384" s="3" t="s">
        <v>47</v>
      </c>
      <c r="M384" s="3" t="s">
        <v>109</v>
      </c>
      <c r="N384" s="4">
        <v>148832</v>
      </c>
    </row>
    <row r="385" spans="1:14" x14ac:dyDescent="0.25">
      <c r="A385" s="5" t="str">
        <f t="shared" si="8"/>
        <v>Delaware-Fidel Potra</v>
      </c>
      <c r="B385" s="3" t="s">
        <v>43</v>
      </c>
      <c r="C385" s="3" t="s">
        <v>115</v>
      </c>
      <c r="D385" s="4">
        <v>173557</v>
      </c>
      <c r="L385" s="3" t="s">
        <v>47</v>
      </c>
      <c r="M385" s="3" t="s">
        <v>95</v>
      </c>
      <c r="N385" s="4">
        <v>127788</v>
      </c>
    </row>
    <row r="386" spans="1:14" x14ac:dyDescent="0.25">
      <c r="A386" s="5" t="str">
        <f t="shared" ref="A386:A449" si="9">B386&amp;"-"&amp;C386</f>
        <v>Northern Marianas Islands-Moises Paynes</v>
      </c>
      <c r="B386" s="3" t="s">
        <v>72</v>
      </c>
      <c r="C386" s="3" t="s">
        <v>104</v>
      </c>
      <c r="D386" s="4">
        <v>16413</v>
      </c>
      <c r="L386" s="3" t="s">
        <v>47</v>
      </c>
      <c r="M386" s="3" t="s">
        <v>98</v>
      </c>
      <c r="N386" s="4">
        <v>20949</v>
      </c>
    </row>
    <row r="387" spans="1:14" x14ac:dyDescent="0.25">
      <c r="A387" s="5" t="str">
        <f t="shared" si="9"/>
        <v>South Carolina-Marvis Tenholder</v>
      </c>
      <c r="B387" s="3" t="s">
        <v>79</v>
      </c>
      <c r="C387" s="3" t="s">
        <v>105</v>
      </c>
      <c r="D387" s="4">
        <v>74027</v>
      </c>
      <c r="L387" s="3" t="s">
        <v>47</v>
      </c>
      <c r="M387" s="3" t="s">
        <v>114</v>
      </c>
      <c r="N387" s="4">
        <v>129671</v>
      </c>
    </row>
    <row r="388" spans="1:14" x14ac:dyDescent="0.25">
      <c r="A388" s="5" t="str">
        <f t="shared" si="9"/>
        <v>Missouri-Raphael Derrig</v>
      </c>
      <c r="B388" s="3" t="s">
        <v>62</v>
      </c>
      <c r="C388" s="3" t="s">
        <v>109</v>
      </c>
      <c r="D388" s="4">
        <v>53547</v>
      </c>
      <c r="L388" s="3" t="s">
        <v>47</v>
      </c>
      <c r="M388" s="3" t="s">
        <v>112</v>
      </c>
      <c r="N388" s="4">
        <v>99101</v>
      </c>
    </row>
    <row r="389" spans="1:14" x14ac:dyDescent="0.25">
      <c r="A389" s="5" t="str">
        <f t="shared" si="9"/>
        <v>Alaska-Kai Stroebel</v>
      </c>
      <c r="B389" s="3" t="s">
        <v>36</v>
      </c>
      <c r="C389" s="3" t="s">
        <v>111</v>
      </c>
      <c r="D389" s="4">
        <v>42240</v>
      </c>
      <c r="L389" s="3" t="s">
        <v>47</v>
      </c>
      <c r="M389" s="3" t="s">
        <v>103</v>
      </c>
      <c r="N389" s="4">
        <v>148544</v>
      </c>
    </row>
    <row r="390" spans="1:14" x14ac:dyDescent="0.25">
      <c r="A390" s="5" t="str">
        <f t="shared" si="9"/>
        <v>North Carolina-Toi Zedaker</v>
      </c>
      <c r="B390" s="3" t="s">
        <v>70</v>
      </c>
      <c r="C390" s="3" t="s">
        <v>121</v>
      </c>
      <c r="D390" s="4">
        <v>154813</v>
      </c>
      <c r="L390" s="3" t="s">
        <v>47</v>
      </c>
      <c r="M390" s="3" t="s">
        <v>121</v>
      </c>
      <c r="N390" s="4">
        <v>167203</v>
      </c>
    </row>
    <row r="391" spans="1:14" x14ac:dyDescent="0.25">
      <c r="A391" s="5" t="str">
        <f t="shared" si="9"/>
        <v>Pennsylvania-Quinton Modugno</v>
      </c>
      <c r="B391" s="3" t="s">
        <v>76</v>
      </c>
      <c r="C391" s="3" t="s">
        <v>101</v>
      </c>
      <c r="D391" s="4">
        <v>79079</v>
      </c>
      <c r="L391" s="3" t="s">
        <v>47</v>
      </c>
      <c r="M391" s="3" t="s">
        <v>107</v>
      </c>
      <c r="N391" s="4">
        <v>113778</v>
      </c>
    </row>
    <row r="392" spans="1:14" x14ac:dyDescent="0.25">
      <c r="A392" s="5" t="str">
        <f t="shared" si="9"/>
        <v>South Carolina-Ali Steenken</v>
      </c>
      <c r="B392" s="3" t="s">
        <v>79</v>
      </c>
      <c r="C392" s="3" t="s">
        <v>116</v>
      </c>
      <c r="D392" s="4">
        <v>58871</v>
      </c>
      <c r="L392" s="3" t="s">
        <v>48</v>
      </c>
      <c r="M392" s="3" t="s">
        <v>116</v>
      </c>
      <c r="N392" s="4">
        <v>134411</v>
      </c>
    </row>
    <row r="393" spans="1:14" x14ac:dyDescent="0.25">
      <c r="A393" s="5" t="str">
        <f t="shared" si="9"/>
        <v>Arkansas-Lianne Trappey</v>
      </c>
      <c r="B393" s="3" t="s">
        <v>39</v>
      </c>
      <c r="C393" s="3" t="s">
        <v>123</v>
      </c>
      <c r="D393" s="4">
        <v>20379</v>
      </c>
      <c r="L393" s="3" t="s">
        <v>48</v>
      </c>
      <c r="M393" s="3" t="s">
        <v>108</v>
      </c>
      <c r="N393" s="4">
        <v>115356</v>
      </c>
    </row>
    <row r="394" spans="1:14" x14ac:dyDescent="0.25">
      <c r="A394" s="5" t="str">
        <f t="shared" si="9"/>
        <v>Louisiana-Cliff Galinski</v>
      </c>
      <c r="B394" s="3" t="s">
        <v>55</v>
      </c>
      <c r="C394" s="3" t="s">
        <v>124</v>
      </c>
      <c r="D394" s="4">
        <v>125445</v>
      </c>
      <c r="L394" s="3" t="s">
        <v>48</v>
      </c>
      <c r="M394" s="3" t="s">
        <v>110</v>
      </c>
      <c r="N394" s="4">
        <v>92803</v>
      </c>
    </row>
    <row r="395" spans="1:14" x14ac:dyDescent="0.25">
      <c r="A395" s="5" t="str">
        <f t="shared" si="9"/>
        <v>Pennsylvania-Raphael Derrig</v>
      </c>
      <c r="B395" s="3" t="s">
        <v>76</v>
      </c>
      <c r="C395" s="3" t="s">
        <v>109</v>
      </c>
      <c r="D395" s="4">
        <v>142376</v>
      </c>
      <c r="L395" s="3" t="s">
        <v>48</v>
      </c>
      <c r="M395" s="3" t="s">
        <v>99</v>
      </c>
      <c r="N395" s="4">
        <v>117173</v>
      </c>
    </row>
    <row r="396" spans="1:14" x14ac:dyDescent="0.25">
      <c r="A396" s="5" t="str">
        <f t="shared" si="9"/>
        <v>New York-Fidel Potra</v>
      </c>
      <c r="B396" s="3" t="s">
        <v>69</v>
      </c>
      <c r="C396" s="3" t="s">
        <v>115</v>
      </c>
      <c r="D396" s="4">
        <v>54562</v>
      </c>
      <c r="L396" s="3" t="s">
        <v>48</v>
      </c>
      <c r="M396" s="3" t="s">
        <v>124</v>
      </c>
      <c r="N396" s="4">
        <v>83871</v>
      </c>
    </row>
    <row r="397" spans="1:14" x14ac:dyDescent="0.25">
      <c r="A397" s="5" t="str">
        <f t="shared" si="9"/>
        <v>Idaho-Raphael Bonawitz</v>
      </c>
      <c r="B397" s="3" t="s">
        <v>49</v>
      </c>
      <c r="C397" s="3" t="s">
        <v>122</v>
      </c>
      <c r="D397" s="4">
        <v>59168</v>
      </c>
      <c r="L397" s="3" t="s">
        <v>48</v>
      </c>
      <c r="M397" s="3" t="s">
        <v>96</v>
      </c>
      <c r="N397" s="4">
        <v>105470</v>
      </c>
    </row>
    <row r="398" spans="1:14" x14ac:dyDescent="0.25">
      <c r="A398" s="5" t="str">
        <f t="shared" si="9"/>
        <v>Maryland-Quinton Modugno</v>
      </c>
      <c r="B398" s="3" t="s">
        <v>57</v>
      </c>
      <c r="C398" s="3" t="s">
        <v>101</v>
      </c>
      <c r="D398" s="4">
        <v>54173</v>
      </c>
      <c r="L398" s="3" t="s">
        <v>48</v>
      </c>
      <c r="M398" s="3" t="s">
        <v>115</v>
      </c>
      <c r="N398" s="4">
        <v>91014</v>
      </c>
    </row>
    <row r="399" spans="1:14" x14ac:dyDescent="0.25">
      <c r="A399" s="5" t="str">
        <f t="shared" si="9"/>
        <v>North Dakota-Armand Mcleon</v>
      </c>
      <c r="B399" s="3" t="s">
        <v>71</v>
      </c>
      <c r="C399" s="3" t="s">
        <v>110</v>
      </c>
      <c r="D399" s="4">
        <v>86306</v>
      </c>
      <c r="L399" s="3" t="s">
        <v>48</v>
      </c>
      <c r="M399" s="3" t="s">
        <v>117</v>
      </c>
      <c r="N399" s="4">
        <v>98413</v>
      </c>
    </row>
    <row r="400" spans="1:14" x14ac:dyDescent="0.25">
      <c r="A400" s="5" t="str">
        <f t="shared" si="9"/>
        <v>Utah-Quinton Modugno</v>
      </c>
      <c r="B400" s="3" t="s">
        <v>83</v>
      </c>
      <c r="C400" s="3" t="s">
        <v>101</v>
      </c>
      <c r="D400" s="4">
        <v>9985</v>
      </c>
      <c r="L400" s="3" t="s">
        <v>48</v>
      </c>
      <c r="M400" s="3" t="s">
        <v>120</v>
      </c>
      <c r="N400" s="4">
        <v>167984</v>
      </c>
    </row>
    <row r="401" spans="1:14" x14ac:dyDescent="0.25">
      <c r="A401" s="5" t="str">
        <f t="shared" si="9"/>
        <v>Utah-Thaddeus Cacciatori</v>
      </c>
      <c r="B401" s="3" t="s">
        <v>83</v>
      </c>
      <c r="C401" s="3" t="s">
        <v>114</v>
      </c>
      <c r="D401" s="4">
        <v>41110</v>
      </c>
      <c r="L401" s="3" t="s">
        <v>48</v>
      </c>
      <c r="M401" s="3" t="s">
        <v>111</v>
      </c>
      <c r="N401" s="4">
        <v>22862</v>
      </c>
    </row>
    <row r="402" spans="1:14" x14ac:dyDescent="0.25">
      <c r="A402" s="5" t="str">
        <f t="shared" si="9"/>
        <v>Nevada-Marvis Tenholder</v>
      </c>
      <c r="B402" s="3" t="s">
        <v>65</v>
      </c>
      <c r="C402" s="3" t="s">
        <v>105</v>
      </c>
      <c r="D402" s="4">
        <v>33692</v>
      </c>
      <c r="L402" s="3" t="s">
        <v>48</v>
      </c>
      <c r="M402" s="3" t="s">
        <v>102</v>
      </c>
      <c r="N402" s="4">
        <v>142603</v>
      </c>
    </row>
    <row r="403" spans="1:14" x14ac:dyDescent="0.25">
      <c r="A403" s="5" t="str">
        <f t="shared" si="9"/>
        <v>Oregon-Sadye Diloreto</v>
      </c>
      <c r="B403" s="3" t="s">
        <v>75</v>
      </c>
      <c r="C403" s="3" t="s">
        <v>95</v>
      </c>
      <c r="D403" s="4">
        <v>139779</v>
      </c>
      <c r="L403" s="3" t="s">
        <v>48</v>
      </c>
      <c r="M403" s="3" t="s">
        <v>106</v>
      </c>
      <c r="N403" s="4">
        <v>45956</v>
      </c>
    </row>
    <row r="404" spans="1:14" x14ac:dyDescent="0.25">
      <c r="A404" s="5" t="str">
        <f t="shared" si="9"/>
        <v>Virgin Islands-Nolan Deorio</v>
      </c>
      <c r="B404" s="3" t="s">
        <v>86</v>
      </c>
      <c r="C404" s="3" t="s">
        <v>100</v>
      </c>
      <c r="D404" s="4">
        <v>58999</v>
      </c>
      <c r="L404" s="3" t="s">
        <v>48</v>
      </c>
      <c r="M404" s="3" t="s">
        <v>123</v>
      </c>
      <c r="N404" s="4">
        <v>89668</v>
      </c>
    </row>
    <row r="405" spans="1:14" x14ac:dyDescent="0.25">
      <c r="A405" s="5" t="str">
        <f t="shared" si="9"/>
        <v>American Samoa-Lianne Trappey</v>
      </c>
      <c r="B405" s="3" t="s">
        <v>37</v>
      </c>
      <c r="C405" s="3" t="s">
        <v>123</v>
      </c>
      <c r="D405" s="4">
        <v>106581</v>
      </c>
      <c r="L405" s="3" t="s">
        <v>48</v>
      </c>
      <c r="M405" s="3" t="s">
        <v>97</v>
      </c>
      <c r="N405" s="4">
        <v>136897</v>
      </c>
    </row>
    <row r="406" spans="1:14" x14ac:dyDescent="0.25">
      <c r="A406" s="5" t="str">
        <f t="shared" si="9"/>
        <v>Nebraska-Moises Paynes</v>
      </c>
      <c r="B406" s="3" t="s">
        <v>64</v>
      </c>
      <c r="C406" s="3" t="s">
        <v>104</v>
      </c>
      <c r="D406" s="4">
        <v>42967</v>
      </c>
      <c r="L406" s="3" t="s">
        <v>48</v>
      </c>
      <c r="M406" s="3" t="s">
        <v>119</v>
      </c>
      <c r="N406" s="4">
        <v>39564</v>
      </c>
    </row>
    <row r="407" spans="1:14" x14ac:dyDescent="0.25">
      <c r="A407" s="5" t="str">
        <f t="shared" si="9"/>
        <v>Kentucky-Thaddeus Cacciatori</v>
      </c>
      <c r="B407" s="3" t="s">
        <v>54</v>
      </c>
      <c r="C407" s="3" t="s">
        <v>114</v>
      </c>
      <c r="D407" s="4">
        <v>140403</v>
      </c>
      <c r="L407" s="3" t="s">
        <v>48</v>
      </c>
      <c r="M407" s="3" t="s">
        <v>113</v>
      </c>
      <c r="N407" s="4">
        <v>102465</v>
      </c>
    </row>
    <row r="408" spans="1:14" x14ac:dyDescent="0.25">
      <c r="A408" s="5" t="str">
        <f t="shared" si="9"/>
        <v>Minnesota-Nolan Deorio</v>
      </c>
      <c r="B408" s="3" t="s">
        <v>60</v>
      </c>
      <c r="C408" s="3" t="s">
        <v>100</v>
      </c>
      <c r="D408" s="4">
        <v>21599</v>
      </c>
      <c r="L408" s="3" t="s">
        <v>48</v>
      </c>
      <c r="M408" s="3" t="s">
        <v>105</v>
      </c>
      <c r="N408" s="4">
        <v>100471</v>
      </c>
    </row>
    <row r="409" spans="1:14" x14ac:dyDescent="0.25">
      <c r="A409" s="5" t="str">
        <f t="shared" si="9"/>
        <v>Maine-Nolan Gohn</v>
      </c>
      <c r="B409" s="3" t="s">
        <v>56</v>
      </c>
      <c r="C409" s="3" t="s">
        <v>118</v>
      </c>
      <c r="D409" s="4">
        <v>143651</v>
      </c>
      <c r="L409" s="3" t="s">
        <v>48</v>
      </c>
      <c r="M409" s="3" t="s">
        <v>104</v>
      </c>
      <c r="N409" s="4">
        <v>85285</v>
      </c>
    </row>
    <row r="410" spans="1:14" x14ac:dyDescent="0.25">
      <c r="A410" s="5" t="str">
        <f t="shared" si="9"/>
        <v>Washington-Marcel Davern</v>
      </c>
      <c r="B410" s="3" t="s">
        <v>87</v>
      </c>
      <c r="C410" s="3" t="s">
        <v>119</v>
      </c>
      <c r="D410" s="4">
        <v>168928</v>
      </c>
      <c r="L410" s="3" t="s">
        <v>48</v>
      </c>
      <c r="M410" s="3" t="s">
        <v>100</v>
      </c>
      <c r="N410" s="4">
        <v>93917</v>
      </c>
    </row>
    <row r="411" spans="1:14" x14ac:dyDescent="0.25">
      <c r="A411" s="5" t="str">
        <f t="shared" si="9"/>
        <v>Rhode Island-Cliff Schnautz</v>
      </c>
      <c r="B411" s="3" t="s">
        <v>78</v>
      </c>
      <c r="C411" s="3" t="s">
        <v>96</v>
      </c>
      <c r="D411" s="4">
        <v>77118</v>
      </c>
      <c r="L411" s="3" t="s">
        <v>48</v>
      </c>
      <c r="M411" s="3" t="s">
        <v>118</v>
      </c>
      <c r="N411" s="4">
        <v>66255</v>
      </c>
    </row>
    <row r="412" spans="1:14" x14ac:dyDescent="0.25">
      <c r="A412" s="5" t="str">
        <f t="shared" si="9"/>
        <v>Pennsylvania-Jackson Lorkowski</v>
      </c>
      <c r="B412" s="3" t="s">
        <v>76</v>
      </c>
      <c r="C412" s="3" t="s">
        <v>120</v>
      </c>
      <c r="D412" s="4">
        <v>65569</v>
      </c>
      <c r="L412" s="3" t="s">
        <v>48</v>
      </c>
      <c r="M412" s="3" t="s">
        <v>101</v>
      </c>
      <c r="N412" s="4">
        <v>34556</v>
      </c>
    </row>
    <row r="413" spans="1:14" x14ac:dyDescent="0.25">
      <c r="A413" s="5" t="str">
        <f t="shared" si="9"/>
        <v>Montana-Cliff Schnautz</v>
      </c>
      <c r="B413" s="3" t="s">
        <v>63</v>
      </c>
      <c r="C413" s="3" t="s">
        <v>96</v>
      </c>
      <c r="D413" s="4">
        <v>67745</v>
      </c>
      <c r="L413" s="3" t="s">
        <v>48</v>
      </c>
      <c r="M413" s="3" t="s">
        <v>122</v>
      </c>
      <c r="N413" s="4">
        <v>56376</v>
      </c>
    </row>
    <row r="414" spans="1:14" x14ac:dyDescent="0.25">
      <c r="A414" s="5" t="str">
        <f t="shared" si="9"/>
        <v>Connecticut-Cliff Galinski</v>
      </c>
      <c r="B414" s="3" t="s">
        <v>42</v>
      </c>
      <c r="C414" s="3" t="s">
        <v>124</v>
      </c>
      <c r="D414" s="4">
        <v>138541</v>
      </c>
      <c r="L414" s="3" t="s">
        <v>48</v>
      </c>
      <c r="M414" s="3" t="s">
        <v>109</v>
      </c>
      <c r="N414" s="4">
        <v>150410</v>
      </c>
    </row>
    <row r="415" spans="1:14" x14ac:dyDescent="0.25">
      <c r="A415" s="5" t="str">
        <f t="shared" si="9"/>
        <v>District of Columbia-Sadye Diloreto</v>
      </c>
      <c r="B415" s="3" t="s">
        <v>44</v>
      </c>
      <c r="C415" s="3" t="s">
        <v>95</v>
      </c>
      <c r="D415" s="4">
        <v>87909</v>
      </c>
      <c r="L415" s="3" t="s">
        <v>48</v>
      </c>
      <c r="M415" s="3" t="s">
        <v>95</v>
      </c>
      <c r="N415" s="4">
        <v>49637</v>
      </c>
    </row>
    <row r="416" spans="1:14" x14ac:dyDescent="0.25">
      <c r="A416" s="5" t="str">
        <f t="shared" si="9"/>
        <v>Idaho-Cliff Bahlmann</v>
      </c>
      <c r="B416" s="3" t="s">
        <v>49</v>
      </c>
      <c r="C416" s="3" t="s">
        <v>99</v>
      </c>
      <c r="D416" s="4">
        <v>47938</v>
      </c>
      <c r="L416" s="3" t="s">
        <v>48</v>
      </c>
      <c r="M416" s="3" t="s">
        <v>98</v>
      </c>
      <c r="N416" s="4">
        <v>102335</v>
      </c>
    </row>
    <row r="417" spans="1:14" x14ac:dyDescent="0.25">
      <c r="A417" s="5" t="str">
        <f t="shared" si="9"/>
        <v>Arkansas-Nolan Gohn</v>
      </c>
      <c r="B417" s="3" t="s">
        <v>39</v>
      </c>
      <c r="C417" s="3" t="s">
        <v>118</v>
      </c>
      <c r="D417" s="4">
        <v>94839</v>
      </c>
      <c r="L417" s="3" t="s">
        <v>48</v>
      </c>
      <c r="M417" s="3" t="s">
        <v>114</v>
      </c>
      <c r="N417" s="4">
        <v>63788</v>
      </c>
    </row>
    <row r="418" spans="1:14" x14ac:dyDescent="0.25">
      <c r="A418" s="5" t="str">
        <f t="shared" si="9"/>
        <v>District of Columbia-Lashon Bongers</v>
      </c>
      <c r="B418" s="3" t="s">
        <v>44</v>
      </c>
      <c r="C418" s="3" t="s">
        <v>106</v>
      </c>
      <c r="D418" s="4">
        <v>19419</v>
      </c>
      <c r="L418" s="3" t="s">
        <v>48</v>
      </c>
      <c r="M418" s="3" t="s">
        <v>112</v>
      </c>
      <c r="N418" s="4">
        <v>104560</v>
      </c>
    </row>
    <row r="419" spans="1:14" x14ac:dyDescent="0.25">
      <c r="A419" s="5" t="str">
        <f t="shared" si="9"/>
        <v>Colorado-Thaddeus Cacciatori</v>
      </c>
      <c r="B419" s="3" t="s">
        <v>41</v>
      </c>
      <c r="C419" s="3" t="s">
        <v>114</v>
      </c>
      <c r="D419" s="4">
        <v>64847</v>
      </c>
      <c r="L419" s="3" t="s">
        <v>48</v>
      </c>
      <c r="M419" s="3" t="s">
        <v>103</v>
      </c>
      <c r="N419" s="4">
        <v>90718</v>
      </c>
    </row>
    <row r="420" spans="1:14" x14ac:dyDescent="0.25">
      <c r="A420" s="5" t="str">
        <f t="shared" si="9"/>
        <v>Indiana-Marcel Davern</v>
      </c>
      <c r="B420" s="3" t="s">
        <v>51</v>
      </c>
      <c r="C420" s="3" t="s">
        <v>119</v>
      </c>
      <c r="D420" s="4">
        <v>164522</v>
      </c>
      <c r="L420" s="3" t="s">
        <v>48</v>
      </c>
      <c r="M420" s="3" t="s">
        <v>121</v>
      </c>
      <c r="N420" s="4">
        <v>60206</v>
      </c>
    </row>
    <row r="421" spans="1:14" x14ac:dyDescent="0.25">
      <c r="A421" s="5" t="str">
        <f t="shared" si="9"/>
        <v>Maine-Jackson Lorkowski</v>
      </c>
      <c r="B421" s="3" t="s">
        <v>56</v>
      </c>
      <c r="C421" s="3" t="s">
        <v>120</v>
      </c>
      <c r="D421" s="4">
        <v>75970</v>
      </c>
      <c r="L421" s="3" t="s">
        <v>48</v>
      </c>
      <c r="M421" s="3" t="s">
        <v>107</v>
      </c>
      <c r="N421" s="4">
        <v>168435</v>
      </c>
    </row>
    <row r="422" spans="1:14" x14ac:dyDescent="0.25">
      <c r="A422" s="5" t="str">
        <f t="shared" si="9"/>
        <v>Arizona-Marlin Mavromatis</v>
      </c>
      <c r="B422" s="3" t="s">
        <v>38</v>
      </c>
      <c r="C422" s="3" t="s">
        <v>113</v>
      </c>
      <c r="D422" s="4">
        <v>39410</v>
      </c>
      <c r="L422" s="3" t="s">
        <v>49</v>
      </c>
      <c r="M422" s="3" t="s">
        <v>116</v>
      </c>
      <c r="N422" s="4">
        <v>94770</v>
      </c>
    </row>
    <row r="423" spans="1:14" x14ac:dyDescent="0.25">
      <c r="A423" s="5" t="str">
        <f t="shared" si="9"/>
        <v>New Hampshire-Marvis Tenholder</v>
      </c>
      <c r="B423" s="3" t="s">
        <v>66</v>
      </c>
      <c r="C423" s="3" t="s">
        <v>105</v>
      </c>
      <c r="D423" s="4">
        <v>37491</v>
      </c>
      <c r="L423" s="3" t="s">
        <v>49</v>
      </c>
      <c r="M423" s="3" t="s">
        <v>108</v>
      </c>
      <c r="N423" s="4">
        <v>88568</v>
      </c>
    </row>
    <row r="424" spans="1:14" x14ac:dyDescent="0.25">
      <c r="A424" s="5" t="str">
        <f t="shared" si="9"/>
        <v>District of Columbia-Lianne Trappey</v>
      </c>
      <c r="B424" s="3" t="s">
        <v>44</v>
      </c>
      <c r="C424" s="3" t="s">
        <v>123</v>
      </c>
      <c r="D424" s="4">
        <v>43989</v>
      </c>
      <c r="L424" s="3" t="s">
        <v>49</v>
      </c>
      <c r="M424" s="3" t="s">
        <v>110</v>
      </c>
      <c r="N424" s="4">
        <v>78892</v>
      </c>
    </row>
    <row r="425" spans="1:14" x14ac:dyDescent="0.25">
      <c r="A425" s="5" t="str">
        <f t="shared" si="9"/>
        <v>District of Columbia-Raphael Derrig</v>
      </c>
      <c r="B425" s="3" t="s">
        <v>44</v>
      </c>
      <c r="C425" s="3" t="s">
        <v>109</v>
      </c>
      <c r="D425" s="4">
        <v>156676</v>
      </c>
      <c r="L425" s="3" t="s">
        <v>49</v>
      </c>
      <c r="M425" s="3" t="s">
        <v>99</v>
      </c>
      <c r="N425" s="4">
        <v>47938</v>
      </c>
    </row>
    <row r="426" spans="1:14" x14ac:dyDescent="0.25">
      <c r="A426" s="5" t="str">
        <f t="shared" si="9"/>
        <v>Massachusetts-Raphael Bonawitz</v>
      </c>
      <c r="B426" s="3" t="s">
        <v>58</v>
      </c>
      <c r="C426" s="3" t="s">
        <v>122</v>
      </c>
      <c r="D426" s="4">
        <v>117931</v>
      </c>
      <c r="L426" s="3" t="s">
        <v>49</v>
      </c>
      <c r="M426" s="3" t="s">
        <v>124</v>
      </c>
      <c r="N426" s="4">
        <v>148034</v>
      </c>
    </row>
    <row r="427" spans="1:14" x14ac:dyDescent="0.25">
      <c r="A427" s="5" t="str">
        <f t="shared" si="9"/>
        <v>Iowa-Fidel Potra</v>
      </c>
      <c r="B427" s="3" t="s">
        <v>52</v>
      </c>
      <c r="C427" s="3" t="s">
        <v>115</v>
      </c>
      <c r="D427" s="4">
        <v>46025</v>
      </c>
      <c r="L427" s="3" t="s">
        <v>49</v>
      </c>
      <c r="M427" s="3" t="s">
        <v>96</v>
      </c>
      <c r="N427" s="4">
        <v>89881</v>
      </c>
    </row>
    <row r="428" spans="1:14" x14ac:dyDescent="0.25">
      <c r="A428" s="5" t="str">
        <f t="shared" si="9"/>
        <v>New Mexico-Quinton Modugno</v>
      </c>
      <c r="B428" s="3" t="s">
        <v>68</v>
      </c>
      <c r="C428" s="3" t="s">
        <v>101</v>
      </c>
      <c r="D428" s="4">
        <v>146857</v>
      </c>
      <c r="L428" s="3" t="s">
        <v>49</v>
      </c>
      <c r="M428" s="3" t="s">
        <v>115</v>
      </c>
      <c r="N428" s="4">
        <v>96954</v>
      </c>
    </row>
    <row r="429" spans="1:14" x14ac:dyDescent="0.25">
      <c r="A429" s="5" t="str">
        <f t="shared" si="9"/>
        <v>Oregon-Nolan Gohn</v>
      </c>
      <c r="B429" s="3" t="s">
        <v>75</v>
      </c>
      <c r="C429" s="3" t="s">
        <v>118</v>
      </c>
      <c r="D429" s="4">
        <v>142121</v>
      </c>
      <c r="L429" s="3" t="s">
        <v>49</v>
      </c>
      <c r="M429" s="3" t="s">
        <v>117</v>
      </c>
      <c r="N429" s="4">
        <v>123290</v>
      </c>
    </row>
    <row r="430" spans="1:14" x14ac:dyDescent="0.25">
      <c r="A430" s="5" t="str">
        <f t="shared" si="9"/>
        <v>Alaska-Twanda Lovenduski</v>
      </c>
      <c r="B430" s="3" t="s">
        <v>36</v>
      </c>
      <c r="C430" s="3" t="s">
        <v>107</v>
      </c>
      <c r="D430" s="4">
        <v>71110</v>
      </c>
      <c r="L430" s="3" t="s">
        <v>49</v>
      </c>
      <c r="M430" s="3" t="s">
        <v>120</v>
      </c>
      <c r="N430" s="4">
        <v>155889</v>
      </c>
    </row>
    <row r="431" spans="1:14" x14ac:dyDescent="0.25">
      <c r="A431" s="5" t="str">
        <f t="shared" si="9"/>
        <v>Tennessee-Marvis Tenholder</v>
      </c>
      <c r="B431" s="3" t="s">
        <v>81</v>
      </c>
      <c r="C431" s="3" t="s">
        <v>105</v>
      </c>
      <c r="D431" s="4">
        <v>50513</v>
      </c>
      <c r="L431" s="3" t="s">
        <v>49</v>
      </c>
      <c r="M431" s="3" t="s">
        <v>111</v>
      </c>
      <c r="N431" s="4">
        <v>132658</v>
      </c>
    </row>
    <row r="432" spans="1:14" x14ac:dyDescent="0.25">
      <c r="A432" s="5" t="str">
        <f t="shared" si="9"/>
        <v>South Dakota-Ali Steenken</v>
      </c>
      <c r="B432" s="3" t="s">
        <v>80</v>
      </c>
      <c r="C432" s="3" t="s">
        <v>116</v>
      </c>
      <c r="D432" s="4">
        <v>138500</v>
      </c>
      <c r="L432" s="3" t="s">
        <v>49</v>
      </c>
      <c r="M432" s="3" t="s">
        <v>102</v>
      </c>
      <c r="N432" s="4">
        <v>84313</v>
      </c>
    </row>
    <row r="433" spans="1:14" x14ac:dyDescent="0.25">
      <c r="A433" s="5" t="str">
        <f t="shared" si="9"/>
        <v>American Samoa-Marlin Mavromatis</v>
      </c>
      <c r="B433" s="3" t="s">
        <v>37</v>
      </c>
      <c r="C433" s="3" t="s">
        <v>113</v>
      </c>
      <c r="D433" s="4">
        <v>84423</v>
      </c>
      <c r="L433" s="3" t="s">
        <v>49</v>
      </c>
      <c r="M433" s="3" t="s">
        <v>106</v>
      </c>
      <c r="N433" s="4">
        <v>110821</v>
      </c>
    </row>
    <row r="434" spans="1:14" x14ac:dyDescent="0.25">
      <c r="A434" s="5" t="str">
        <f t="shared" si="9"/>
        <v>Minnesota-Sadye Diloreto</v>
      </c>
      <c r="B434" s="3" t="s">
        <v>60</v>
      </c>
      <c r="C434" s="3" t="s">
        <v>95</v>
      </c>
      <c r="D434" s="4">
        <v>78696</v>
      </c>
      <c r="L434" s="3" t="s">
        <v>49</v>
      </c>
      <c r="M434" s="3" t="s">
        <v>123</v>
      </c>
      <c r="N434" s="4">
        <v>33925</v>
      </c>
    </row>
    <row r="435" spans="1:14" x14ac:dyDescent="0.25">
      <c r="A435" s="5" t="str">
        <f t="shared" si="9"/>
        <v>Texas-Marcel Davern</v>
      </c>
      <c r="B435" s="3" t="s">
        <v>82</v>
      </c>
      <c r="C435" s="3" t="s">
        <v>119</v>
      </c>
      <c r="D435" s="4">
        <v>90289</v>
      </c>
      <c r="L435" s="3" t="s">
        <v>49</v>
      </c>
      <c r="M435" s="3" t="s">
        <v>97</v>
      </c>
      <c r="N435" s="4">
        <v>151057</v>
      </c>
    </row>
    <row r="436" spans="1:14" x14ac:dyDescent="0.25">
      <c r="A436" s="5" t="str">
        <f t="shared" si="9"/>
        <v>Maryland-Moises Paynes</v>
      </c>
      <c r="B436" s="3" t="s">
        <v>57</v>
      </c>
      <c r="C436" s="3" t="s">
        <v>104</v>
      </c>
      <c r="D436" s="4">
        <v>156085</v>
      </c>
      <c r="L436" s="3" t="s">
        <v>49</v>
      </c>
      <c r="M436" s="3" t="s">
        <v>119</v>
      </c>
      <c r="N436" s="4">
        <v>59418</v>
      </c>
    </row>
    <row r="437" spans="1:14" x14ac:dyDescent="0.25">
      <c r="A437" s="5" t="str">
        <f t="shared" si="9"/>
        <v>Tennessee-Thaddeus Notah</v>
      </c>
      <c r="B437" s="3" t="s">
        <v>81</v>
      </c>
      <c r="C437" s="3" t="s">
        <v>112</v>
      </c>
      <c r="D437" s="4">
        <v>154614</v>
      </c>
      <c r="L437" s="3" t="s">
        <v>49</v>
      </c>
      <c r="M437" s="3" t="s">
        <v>113</v>
      </c>
      <c r="N437" s="4">
        <v>82149</v>
      </c>
    </row>
    <row r="438" spans="1:14" x14ac:dyDescent="0.25">
      <c r="A438" s="5" t="str">
        <f t="shared" si="9"/>
        <v>New Mexico-Keila Rossini</v>
      </c>
      <c r="B438" s="3" t="s">
        <v>68</v>
      </c>
      <c r="C438" s="3" t="s">
        <v>102</v>
      </c>
      <c r="D438" s="4">
        <v>16288</v>
      </c>
      <c r="L438" s="3" t="s">
        <v>49</v>
      </c>
      <c r="M438" s="3" t="s">
        <v>105</v>
      </c>
      <c r="N438" s="4">
        <v>3372</v>
      </c>
    </row>
    <row r="439" spans="1:14" x14ac:dyDescent="0.25">
      <c r="A439" s="5" t="str">
        <f t="shared" si="9"/>
        <v>Arkansas-Quinton Modugno</v>
      </c>
      <c r="B439" s="3" t="s">
        <v>39</v>
      </c>
      <c r="C439" s="3" t="s">
        <v>101</v>
      </c>
      <c r="D439" s="4">
        <v>125524</v>
      </c>
      <c r="L439" s="3" t="s">
        <v>49</v>
      </c>
      <c r="M439" s="3" t="s">
        <v>104</v>
      </c>
      <c r="N439" s="4">
        <v>151320</v>
      </c>
    </row>
    <row r="440" spans="1:14" x14ac:dyDescent="0.25">
      <c r="A440" s="5" t="str">
        <f t="shared" si="9"/>
        <v>Delaware-Lashon Bongers</v>
      </c>
      <c r="B440" s="3" t="s">
        <v>43</v>
      </c>
      <c r="C440" s="3" t="s">
        <v>106</v>
      </c>
      <c r="D440" s="4">
        <v>79803</v>
      </c>
      <c r="L440" s="3" t="s">
        <v>49</v>
      </c>
      <c r="M440" s="3" t="s">
        <v>100</v>
      </c>
      <c r="N440" s="4">
        <v>158981</v>
      </c>
    </row>
    <row r="441" spans="1:14" x14ac:dyDescent="0.25">
      <c r="A441" s="5" t="str">
        <f t="shared" si="9"/>
        <v>Illinois-Quinton Modugno</v>
      </c>
      <c r="B441" s="3" t="s">
        <v>50</v>
      </c>
      <c r="C441" s="3" t="s">
        <v>101</v>
      </c>
      <c r="D441" s="4">
        <v>136790</v>
      </c>
      <c r="L441" s="3" t="s">
        <v>49</v>
      </c>
      <c r="M441" s="3" t="s">
        <v>118</v>
      </c>
      <c r="N441" s="4">
        <v>2313</v>
      </c>
    </row>
    <row r="442" spans="1:14" x14ac:dyDescent="0.25">
      <c r="A442" s="5" t="str">
        <f t="shared" si="9"/>
        <v>West Virginia-Cliff Galinski</v>
      </c>
      <c r="B442" s="3" t="s">
        <v>88</v>
      </c>
      <c r="C442" s="3" t="s">
        <v>124</v>
      </c>
      <c r="D442" s="4">
        <v>116726</v>
      </c>
      <c r="L442" s="3" t="s">
        <v>49</v>
      </c>
      <c r="M442" s="3" t="s">
        <v>101</v>
      </c>
      <c r="N442" s="4">
        <v>124062</v>
      </c>
    </row>
    <row r="443" spans="1:14" x14ac:dyDescent="0.25">
      <c r="A443" s="5" t="str">
        <f t="shared" si="9"/>
        <v>Mississippi-Lucilla Bilecki</v>
      </c>
      <c r="B443" s="3" t="s">
        <v>61</v>
      </c>
      <c r="C443" s="3" t="s">
        <v>97</v>
      </c>
      <c r="D443" s="4">
        <v>152587</v>
      </c>
      <c r="L443" s="3" t="s">
        <v>49</v>
      </c>
      <c r="M443" s="3" t="s">
        <v>122</v>
      </c>
      <c r="N443" s="4">
        <v>59168</v>
      </c>
    </row>
    <row r="444" spans="1:14" x14ac:dyDescent="0.25">
      <c r="A444" s="5" t="str">
        <f t="shared" si="9"/>
        <v>Mississippi-Armand Mcleon</v>
      </c>
      <c r="B444" s="3" t="s">
        <v>61</v>
      </c>
      <c r="C444" s="3" t="s">
        <v>110</v>
      </c>
      <c r="D444" s="4">
        <v>116231</v>
      </c>
      <c r="L444" s="3" t="s">
        <v>49</v>
      </c>
      <c r="M444" s="3" t="s">
        <v>109</v>
      </c>
      <c r="N444" s="4">
        <v>70715</v>
      </c>
    </row>
    <row r="445" spans="1:14" x14ac:dyDescent="0.25">
      <c r="A445" s="5" t="str">
        <f t="shared" si="9"/>
        <v>Texas-Armand Mcleon</v>
      </c>
      <c r="B445" s="3" t="s">
        <v>82</v>
      </c>
      <c r="C445" s="3" t="s">
        <v>110</v>
      </c>
      <c r="D445" s="4">
        <v>97326</v>
      </c>
      <c r="L445" s="3" t="s">
        <v>49</v>
      </c>
      <c r="M445" s="3" t="s">
        <v>95</v>
      </c>
      <c r="N445" s="4">
        <v>71217</v>
      </c>
    </row>
    <row r="446" spans="1:14" x14ac:dyDescent="0.25">
      <c r="A446" s="5" t="str">
        <f t="shared" si="9"/>
        <v>Minnesota-Thaddeus Notah</v>
      </c>
      <c r="B446" s="3" t="s">
        <v>60</v>
      </c>
      <c r="C446" s="3" t="s">
        <v>112</v>
      </c>
      <c r="D446" s="4">
        <v>31633</v>
      </c>
      <c r="L446" s="3" t="s">
        <v>49</v>
      </c>
      <c r="M446" s="3" t="s">
        <v>98</v>
      </c>
      <c r="N446" s="4">
        <v>31768</v>
      </c>
    </row>
    <row r="447" spans="1:14" x14ac:dyDescent="0.25">
      <c r="A447" s="5" t="str">
        <f t="shared" si="9"/>
        <v>Georgia-Nolan Gohn</v>
      </c>
      <c r="B447" s="3" t="s">
        <v>46</v>
      </c>
      <c r="C447" s="3" t="s">
        <v>118</v>
      </c>
      <c r="D447" s="4">
        <v>109320</v>
      </c>
      <c r="L447" s="3" t="s">
        <v>49</v>
      </c>
      <c r="M447" s="3" t="s">
        <v>114</v>
      </c>
      <c r="N447" s="4">
        <v>163615</v>
      </c>
    </row>
    <row r="448" spans="1:14" x14ac:dyDescent="0.25">
      <c r="A448" s="5" t="str">
        <f t="shared" si="9"/>
        <v>Virginia-Sadye Diloreto</v>
      </c>
      <c r="B448" s="3" t="s">
        <v>85</v>
      </c>
      <c r="C448" s="3" t="s">
        <v>95</v>
      </c>
      <c r="D448" s="4">
        <v>39931</v>
      </c>
      <c r="L448" s="3" t="s">
        <v>49</v>
      </c>
      <c r="M448" s="3" t="s">
        <v>112</v>
      </c>
      <c r="N448" s="4">
        <v>94240</v>
      </c>
    </row>
    <row r="449" spans="1:14" x14ac:dyDescent="0.25">
      <c r="A449" s="5" t="str">
        <f t="shared" si="9"/>
        <v>New Hampshire-Lucilla Bilecki</v>
      </c>
      <c r="B449" s="3" t="s">
        <v>66</v>
      </c>
      <c r="C449" s="3" t="s">
        <v>97</v>
      </c>
      <c r="D449" s="4">
        <v>125924</v>
      </c>
      <c r="L449" s="3" t="s">
        <v>49</v>
      </c>
      <c r="M449" s="3" t="s">
        <v>103</v>
      </c>
      <c r="N449" s="4">
        <v>34834</v>
      </c>
    </row>
    <row r="450" spans="1:14" x14ac:dyDescent="0.25">
      <c r="A450" s="5" t="str">
        <f t="shared" ref="A450:A513" si="10">B450&amp;"-"&amp;C450</f>
        <v>Arizona-Raphael Derrig</v>
      </c>
      <c r="B450" s="3" t="s">
        <v>38</v>
      </c>
      <c r="C450" s="3" t="s">
        <v>109</v>
      </c>
      <c r="D450" s="4">
        <v>11564</v>
      </c>
      <c r="L450" s="3" t="s">
        <v>49</v>
      </c>
      <c r="M450" s="3" t="s">
        <v>121</v>
      </c>
      <c r="N450" s="4">
        <v>9136</v>
      </c>
    </row>
    <row r="451" spans="1:14" x14ac:dyDescent="0.25">
      <c r="A451" s="5" t="str">
        <f t="shared" si="10"/>
        <v>South Carolina-Jackson Lorkowski</v>
      </c>
      <c r="B451" s="3" t="s">
        <v>79</v>
      </c>
      <c r="C451" s="3" t="s">
        <v>120</v>
      </c>
      <c r="D451" s="4">
        <v>65462</v>
      </c>
      <c r="L451" s="3" t="s">
        <v>49</v>
      </c>
      <c r="M451" s="3" t="s">
        <v>107</v>
      </c>
      <c r="N451" s="4">
        <v>104923</v>
      </c>
    </row>
    <row r="452" spans="1:14" x14ac:dyDescent="0.25">
      <c r="A452" s="5" t="str">
        <f t="shared" si="10"/>
        <v>Tennessee-Raphael Bonawitz</v>
      </c>
      <c r="B452" s="3" t="s">
        <v>81</v>
      </c>
      <c r="C452" s="3" t="s">
        <v>122</v>
      </c>
      <c r="D452" s="4">
        <v>169075</v>
      </c>
      <c r="L452" s="3" t="s">
        <v>50</v>
      </c>
      <c r="M452" s="3" t="s">
        <v>116</v>
      </c>
      <c r="N452" s="4">
        <v>137425</v>
      </c>
    </row>
    <row r="453" spans="1:14" x14ac:dyDescent="0.25">
      <c r="A453" s="5" t="str">
        <f t="shared" si="10"/>
        <v>Indiana-Toi Medico</v>
      </c>
      <c r="B453" s="3" t="s">
        <v>51</v>
      </c>
      <c r="C453" s="3" t="s">
        <v>103</v>
      </c>
      <c r="D453" s="4">
        <v>107856</v>
      </c>
      <c r="L453" s="3" t="s">
        <v>50</v>
      </c>
      <c r="M453" s="3" t="s">
        <v>108</v>
      </c>
      <c r="N453" s="4">
        <v>159007</v>
      </c>
    </row>
    <row r="454" spans="1:14" x14ac:dyDescent="0.25">
      <c r="A454" s="5" t="str">
        <f t="shared" si="10"/>
        <v>Georgia-Armand Mcleon</v>
      </c>
      <c r="B454" s="3" t="s">
        <v>46</v>
      </c>
      <c r="C454" s="3" t="s">
        <v>110</v>
      </c>
      <c r="D454" s="4">
        <v>114127</v>
      </c>
      <c r="L454" s="3" t="s">
        <v>50</v>
      </c>
      <c r="M454" s="3" t="s">
        <v>110</v>
      </c>
      <c r="N454" s="4">
        <v>14087</v>
      </c>
    </row>
    <row r="455" spans="1:14" x14ac:dyDescent="0.25">
      <c r="A455" s="5" t="str">
        <f t="shared" si="10"/>
        <v>Washington-Keila Rossini</v>
      </c>
      <c r="B455" s="3" t="s">
        <v>87</v>
      </c>
      <c r="C455" s="3" t="s">
        <v>102</v>
      </c>
      <c r="D455" s="4">
        <v>133720</v>
      </c>
      <c r="L455" s="3" t="s">
        <v>50</v>
      </c>
      <c r="M455" s="3" t="s">
        <v>99</v>
      </c>
      <c r="N455" s="4">
        <v>57917</v>
      </c>
    </row>
    <row r="456" spans="1:14" x14ac:dyDescent="0.25">
      <c r="A456" s="5" t="str">
        <f t="shared" si="10"/>
        <v>Alabama-Thaddeus Notah</v>
      </c>
      <c r="B456" s="3" t="s">
        <v>35</v>
      </c>
      <c r="C456" s="3" t="s">
        <v>112</v>
      </c>
      <c r="D456" s="4">
        <v>135701</v>
      </c>
      <c r="L456" s="3" t="s">
        <v>50</v>
      </c>
      <c r="M456" s="3" t="s">
        <v>124</v>
      </c>
      <c r="N456" s="4">
        <v>78443</v>
      </c>
    </row>
    <row r="457" spans="1:14" x14ac:dyDescent="0.25">
      <c r="A457" s="5" t="str">
        <f t="shared" si="10"/>
        <v>Washington-Ali Steenken</v>
      </c>
      <c r="B457" s="3" t="s">
        <v>87</v>
      </c>
      <c r="C457" s="3" t="s">
        <v>116</v>
      </c>
      <c r="D457" s="4">
        <v>137397</v>
      </c>
      <c r="L457" s="3" t="s">
        <v>50</v>
      </c>
      <c r="M457" s="3" t="s">
        <v>96</v>
      </c>
      <c r="N457" s="4">
        <v>80374</v>
      </c>
    </row>
    <row r="458" spans="1:14" x14ac:dyDescent="0.25">
      <c r="A458" s="5" t="str">
        <f t="shared" si="10"/>
        <v>Vermont-Lianne Trappey</v>
      </c>
      <c r="B458" s="3" t="s">
        <v>84</v>
      </c>
      <c r="C458" s="3" t="s">
        <v>123</v>
      </c>
      <c r="D458" s="4">
        <v>109244</v>
      </c>
      <c r="L458" s="3" t="s">
        <v>50</v>
      </c>
      <c r="M458" s="3" t="s">
        <v>115</v>
      </c>
      <c r="N458" s="4">
        <v>169797</v>
      </c>
    </row>
    <row r="459" spans="1:14" x14ac:dyDescent="0.25">
      <c r="A459" s="5" t="str">
        <f t="shared" si="10"/>
        <v>Arizona-Quinton Modugno</v>
      </c>
      <c r="B459" s="3" t="s">
        <v>38</v>
      </c>
      <c r="C459" s="3" t="s">
        <v>101</v>
      </c>
      <c r="D459" s="4">
        <v>75792</v>
      </c>
      <c r="L459" s="3" t="s">
        <v>50</v>
      </c>
      <c r="M459" s="3" t="s">
        <v>117</v>
      </c>
      <c r="N459" s="4">
        <v>114927</v>
      </c>
    </row>
    <row r="460" spans="1:14" x14ac:dyDescent="0.25">
      <c r="A460" s="5" t="str">
        <f t="shared" si="10"/>
        <v>New Jersey-Thaddeus Cacciatori</v>
      </c>
      <c r="B460" s="3" t="s">
        <v>67</v>
      </c>
      <c r="C460" s="3" t="s">
        <v>114</v>
      </c>
      <c r="D460" s="4">
        <v>148504</v>
      </c>
      <c r="L460" s="3" t="s">
        <v>50</v>
      </c>
      <c r="M460" s="3" t="s">
        <v>120</v>
      </c>
      <c r="N460" s="4">
        <v>138627</v>
      </c>
    </row>
    <row r="461" spans="1:14" x14ac:dyDescent="0.25">
      <c r="A461" s="5" t="str">
        <f t="shared" si="10"/>
        <v>West Virginia-Sadye Diloreto</v>
      </c>
      <c r="B461" s="3" t="s">
        <v>88</v>
      </c>
      <c r="C461" s="3" t="s">
        <v>95</v>
      </c>
      <c r="D461" s="4">
        <v>129473</v>
      </c>
      <c r="L461" s="3" t="s">
        <v>50</v>
      </c>
      <c r="M461" s="3" t="s">
        <v>111</v>
      </c>
      <c r="N461" s="4">
        <v>15244</v>
      </c>
    </row>
    <row r="462" spans="1:14" x14ac:dyDescent="0.25">
      <c r="A462" s="5" t="str">
        <f t="shared" si="10"/>
        <v>Mississippi-Sadye Diloreto</v>
      </c>
      <c r="B462" s="3" t="s">
        <v>61</v>
      </c>
      <c r="C462" s="3" t="s">
        <v>95</v>
      </c>
      <c r="D462" s="4">
        <v>75470</v>
      </c>
      <c r="L462" s="3" t="s">
        <v>50</v>
      </c>
      <c r="M462" s="3" t="s">
        <v>102</v>
      </c>
      <c r="N462" s="4">
        <v>164149</v>
      </c>
    </row>
    <row r="463" spans="1:14" x14ac:dyDescent="0.25">
      <c r="A463" s="5" t="str">
        <f t="shared" si="10"/>
        <v>Indiana-Nolan Deorio</v>
      </c>
      <c r="B463" s="3" t="s">
        <v>51</v>
      </c>
      <c r="C463" s="3" t="s">
        <v>100</v>
      </c>
      <c r="D463" s="4">
        <v>60392</v>
      </c>
      <c r="L463" s="3" t="s">
        <v>50</v>
      </c>
      <c r="M463" s="3" t="s">
        <v>106</v>
      </c>
      <c r="N463" s="4">
        <v>116375</v>
      </c>
    </row>
    <row r="464" spans="1:14" x14ac:dyDescent="0.25">
      <c r="A464" s="5" t="str">
        <f t="shared" si="10"/>
        <v>Arkansas-Toi Medico</v>
      </c>
      <c r="B464" s="3" t="s">
        <v>39</v>
      </c>
      <c r="C464" s="3" t="s">
        <v>103</v>
      </c>
      <c r="D464" s="4">
        <v>116702</v>
      </c>
      <c r="L464" s="3" t="s">
        <v>50</v>
      </c>
      <c r="M464" s="3" t="s">
        <v>123</v>
      </c>
      <c r="N464" s="4">
        <v>149901</v>
      </c>
    </row>
    <row r="465" spans="1:14" x14ac:dyDescent="0.25">
      <c r="A465" s="5" t="str">
        <f t="shared" si="10"/>
        <v>Florida-Armand Mcleon</v>
      </c>
      <c r="B465" s="3" t="s">
        <v>45</v>
      </c>
      <c r="C465" s="3" t="s">
        <v>110</v>
      </c>
      <c r="D465" s="4">
        <v>152981</v>
      </c>
      <c r="L465" s="3" t="s">
        <v>50</v>
      </c>
      <c r="M465" s="3" t="s">
        <v>97</v>
      </c>
      <c r="N465" s="4">
        <v>105761</v>
      </c>
    </row>
    <row r="466" spans="1:14" x14ac:dyDescent="0.25">
      <c r="A466" s="5" t="str">
        <f t="shared" si="10"/>
        <v>Pennsylvania-Ali Stupp</v>
      </c>
      <c r="B466" s="3" t="s">
        <v>76</v>
      </c>
      <c r="C466" s="3" t="s">
        <v>108</v>
      </c>
      <c r="D466" s="4">
        <v>20521</v>
      </c>
      <c r="L466" s="3" t="s">
        <v>50</v>
      </c>
      <c r="M466" s="3" t="s">
        <v>119</v>
      </c>
      <c r="N466" s="4">
        <v>91442</v>
      </c>
    </row>
    <row r="467" spans="1:14" x14ac:dyDescent="0.25">
      <c r="A467" s="5" t="str">
        <f t="shared" si="10"/>
        <v>Massachusetts-Cliff Galinski</v>
      </c>
      <c r="B467" s="3" t="s">
        <v>58</v>
      </c>
      <c r="C467" s="3" t="s">
        <v>124</v>
      </c>
      <c r="D467" s="4">
        <v>157778</v>
      </c>
      <c r="L467" s="3" t="s">
        <v>50</v>
      </c>
      <c r="M467" s="3" t="s">
        <v>113</v>
      </c>
      <c r="N467" s="4">
        <v>20710</v>
      </c>
    </row>
    <row r="468" spans="1:14" x14ac:dyDescent="0.25">
      <c r="A468" s="5" t="str">
        <f t="shared" si="10"/>
        <v>Virginia-Genna Zaller</v>
      </c>
      <c r="B468" s="3" t="s">
        <v>85</v>
      </c>
      <c r="C468" s="3" t="s">
        <v>117</v>
      </c>
      <c r="D468" s="4">
        <v>54445</v>
      </c>
      <c r="L468" s="3" t="s">
        <v>50</v>
      </c>
      <c r="M468" s="3" t="s">
        <v>105</v>
      </c>
      <c r="N468" s="4">
        <v>126852</v>
      </c>
    </row>
    <row r="469" spans="1:14" x14ac:dyDescent="0.25">
      <c r="A469" s="5" t="str">
        <f t="shared" si="10"/>
        <v>South Carolina-Lashon Bongers</v>
      </c>
      <c r="B469" s="3" t="s">
        <v>79</v>
      </c>
      <c r="C469" s="3" t="s">
        <v>106</v>
      </c>
      <c r="D469" s="4">
        <v>107436</v>
      </c>
      <c r="L469" s="3" t="s">
        <v>50</v>
      </c>
      <c r="M469" s="3" t="s">
        <v>104</v>
      </c>
      <c r="N469" s="4">
        <v>131523</v>
      </c>
    </row>
    <row r="470" spans="1:14" x14ac:dyDescent="0.25">
      <c r="A470" s="5" t="str">
        <f t="shared" si="10"/>
        <v>New Mexico-Marcel Davern</v>
      </c>
      <c r="B470" s="3" t="s">
        <v>68</v>
      </c>
      <c r="C470" s="3" t="s">
        <v>119</v>
      </c>
      <c r="D470" s="4">
        <v>96482</v>
      </c>
      <c r="L470" s="3" t="s">
        <v>50</v>
      </c>
      <c r="M470" s="3" t="s">
        <v>100</v>
      </c>
      <c r="N470" s="4">
        <v>114465</v>
      </c>
    </row>
    <row r="471" spans="1:14" x14ac:dyDescent="0.25">
      <c r="A471" s="5" t="str">
        <f t="shared" si="10"/>
        <v>New Mexico-Nolan Gohn</v>
      </c>
      <c r="B471" s="3" t="s">
        <v>68</v>
      </c>
      <c r="C471" s="3" t="s">
        <v>118</v>
      </c>
      <c r="D471" s="4">
        <v>4131</v>
      </c>
      <c r="L471" s="3" t="s">
        <v>50</v>
      </c>
      <c r="M471" s="3" t="s">
        <v>118</v>
      </c>
      <c r="N471" s="4">
        <v>34956</v>
      </c>
    </row>
    <row r="472" spans="1:14" x14ac:dyDescent="0.25">
      <c r="A472" s="5" t="str">
        <f t="shared" si="10"/>
        <v>Nebraska-Marvis Tenholder</v>
      </c>
      <c r="B472" s="3" t="s">
        <v>64</v>
      </c>
      <c r="C472" s="3" t="s">
        <v>105</v>
      </c>
      <c r="D472" s="4">
        <v>66340</v>
      </c>
      <c r="L472" s="3" t="s">
        <v>50</v>
      </c>
      <c r="M472" s="3" t="s">
        <v>101</v>
      </c>
      <c r="N472" s="4">
        <v>136790</v>
      </c>
    </row>
    <row r="473" spans="1:14" x14ac:dyDescent="0.25">
      <c r="A473" s="5" t="str">
        <f t="shared" si="10"/>
        <v>Delaware-Raphael Derrig</v>
      </c>
      <c r="B473" s="3" t="s">
        <v>43</v>
      </c>
      <c r="C473" s="3" t="s">
        <v>109</v>
      </c>
      <c r="D473" s="4">
        <v>51537</v>
      </c>
      <c r="L473" s="3" t="s">
        <v>50</v>
      </c>
      <c r="M473" s="3" t="s">
        <v>122</v>
      </c>
      <c r="N473" s="4">
        <v>7049</v>
      </c>
    </row>
    <row r="474" spans="1:14" x14ac:dyDescent="0.25">
      <c r="A474" s="5" t="str">
        <f t="shared" si="10"/>
        <v>Maine-Nolan Deorio</v>
      </c>
      <c r="B474" s="3" t="s">
        <v>56</v>
      </c>
      <c r="C474" s="3" t="s">
        <v>100</v>
      </c>
      <c r="D474" s="4">
        <v>131933</v>
      </c>
      <c r="L474" s="3" t="s">
        <v>50</v>
      </c>
      <c r="M474" s="3" t="s">
        <v>109</v>
      </c>
      <c r="N474" s="4">
        <v>135851</v>
      </c>
    </row>
    <row r="475" spans="1:14" x14ac:dyDescent="0.25">
      <c r="A475" s="5" t="str">
        <f t="shared" si="10"/>
        <v>District of Columbia-Kai Stroebel</v>
      </c>
      <c r="B475" s="3" t="s">
        <v>44</v>
      </c>
      <c r="C475" s="3" t="s">
        <v>111</v>
      </c>
      <c r="D475" s="4">
        <v>81394</v>
      </c>
      <c r="L475" s="3" t="s">
        <v>50</v>
      </c>
      <c r="M475" s="3" t="s">
        <v>95</v>
      </c>
      <c r="N475" s="4">
        <v>136615</v>
      </c>
    </row>
    <row r="476" spans="1:14" x14ac:dyDescent="0.25">
      <c r="A476" s="5" t="str">
        <f t="shared" si="10"/>
        <v>Texas-Moises Paynes</v>
      </c>
      <c r="B476" s="3" t="s">
        <v>82</v>
      </c>
      <c r="C476" s="3" t="s">
        <v>104</v>
      </c>
      <c r="D476" s="4">
        <v>117204</v>
      </c>
      <c r="L476" s="3" t="s">
        <v>50</v>
      </c>
      <c r="M476" s="3" t="s">
        <v>98</v>
      </c>
      <c r="N476" s="4">
        <v>143636</v>
      </c>
    </row>
    <row r="477" spans="1:14" x14ac:dyDescent="0.25">
      <c r="A477" s="5" t="str">
        <f t="shared" si="10"/>
        <v>Maine-Son Shryack</v>
      </c>
      <c r="B477" s="3" t="s">
        <v>56</v>
      </c>
      <c r="C477" s="3" t="s">
        <v>98</v>
      </c>
      <c r="D477" s="4">
        <v>25185</v>
      </c>
      <c r="L477" s="3" t="s">
        <v>50</v>
      </c>
      <c r="M477" s="3" t="s">
        <v>114</v>
      </c>
      <c r="N477" s="4">
        <v>15859</v>
      </c>
    </row>
    <row r="478" spans="1:14" x14ac:dyDescent="0.25">
      <c r="A478" s="5" t="str">
        <f t="shared" si="10"/>
        <v>Pennsylvania-Marvis Tenholder</v>
      </c>
      <c r="B478" s="3" t="s">
        <v>76</v>
      </c>
      <c r="C478" s="3" t="s">
        <v>105</v>
      </c>
      <c r="D478" s="4">
        <v>127282</v>
      </c>
      <c r="L478" s="3" t="s">
        <v>50</v>
      </c>
      <c r="M478" s="3" t="s">
        <v>112</v>
      </c>
      <c r="N478" s="4">
        <v>163628</v>
      </c>
    </row>
    <row r="479" spans="1:14" x14ac:dyDescent="0.25">
      <c r="A479" s="5" t="str">
        <f t="shared" si="10"/>
        <v>New Jersey-Lashon Bongers</v>
      </c>
      <c r="B479" s="3" t="s">
        <v>67</v>
      </c>
      <c r="C479" s="3" t="s">
        <v>106</v>
      </c>
      <c r="D479" s="4">
        <v>53625</v>
      </c>
      <c r="L479" s="3" t="s">
        <v>50</v>
      </c>
      <c r="M479" s="3" t="s">
        <v>103</v>
      </c>
      <c r="N479" s="4">
        <v>149579</v>
      </c>
    </row>
    <row r="480" spans="1:14" x14ac:dyDescent="0.25">
      <c r="A480" s="5" t="str">
        <f t="shared" si="10"/>
        <v>Nebraska-Lianne Trappey</v>
      </c>
      <c r="B480" s="3" t="s">
        <v>64</v>
      </c>
      <c r="C480" s="3" t="s">
        <v>123</v>
      </c>
      <c r="D480" s="4">
        <v>98639</v>
      </c>
      <c r="L480" s="3" t="s">
        <v>50</v>
      </c>
      <c r="M480" s="3" t="s">
        <v>121</v>
      </c>
      <c r="N480" s="4">
        <v>83318</v>
      </c>
    </row>
    <row r="481" spans="1:14" x14ac:dyDescent="0.25">
      <c r="A481" s="5" t="str">
        <f t="shared" si="10"/>
        <v>Oklahoma-Sadye Diloreto</v>
      </c>
      <c r="B481" s="3" t="s">
        <v>74</v>
      </c>
      <c r="C481" s="3" t="s">
        <v>95</v>
      </c>
      <c r="D481" s="4">
        <v>38456</v>
      </c>
      <c r="L481" s="3" t="s">
        <v>50</v>
      </c>
      <c r="M481" s="3" t="s">
        <v>107</v>
      </c>
      <c r="N481" s="4">
        <v>8625</v>
      </c>
    </row>
    <row r="482" spans="1:14" x14ac:dyDescent="0.25">
      <c r="A482" s="5" t="str">
        <f t="shared" si="10"/>
        <v>Maryland-Son Shryack</v>
      </c>
      <c r="B482" s="3" t="s">
        <v>57</v>
      </c>
      <c r="C482" s="3" t="s">
        <v>98</v>
      </c>
      <c r="D482" s="4">
        <v>141535</v>
      </c>
      <c r="L482" s="3" t="s">
        <v>51</v>
      </c>
      <c r="M482" s="3" t="s">
        <v>116</v>
      </c>
      <c r="N482" s="4">
        <v>153826</v>
      </c>
    </row>
    <row r="483" spans="1:14" x14ac:dyDescent="0.25">
      <c r="A483" s="5" t="str">
        <f t="shared" si="10"/>
        <v>Massachusetts-Twanda Lovenduski</v>
      </c>
      <c r="B483" s="3" t="s">
        <v>58</v>
      </c>
      <c r="C483" s="3" t="s">
        <v>107</v>
      </c>
      <c r="D483" s="4">
        <v>29708</v>
      </c>
      <c r="L483" s="3" t="s">
        <v>51</v>
      </c>
      <c r="M483" s="3" t="s">
        <v>108</v>
      </c>
      <c r="N483" s="4">
        <v>46529</v>
      </c>
    </row>
    <row r="484" spans="1:14" x14ac:dyDescent="0.25">
      <c r="A484" s="5" t="str">
        <f t="shared" si="10"/>
        <v>Louisiana-Armand Mcleon</v>
      </c>
      <c r="B484" s="3" t="s">
        <v>55</v>
      </c>
      <c r="C484" s="3" t="s">
        <v>110</v>
      </c>
      <c r="D484" s="4">
        <v>9197</v>
      </c>
      <c r="L484" s="3" t="s">
        <v>51</v>
      </c>
      <c r="M484" s="3" t="s">
        <v>110</v>
      </c>
      <c r="N484" s="4">
        <v>15028</v>
      </c>
    </row>
    <row r="485" spans="1:14" x14ac:dyDescent="0.25">
      <c r="A485" s="5" t="str">
        <f t="shared" si="10"/>
        <v>Oklahoma-Armand Mcleon</v>
      </c>
      <c r="B485" s="3" t="s">
        <v>74</v>
      </c>
      <c r="C485" s="3" t="s">
        <v>110</v>
      </c>
      <c r="D485" s="4">
        <v>123432</v>
      </c>
      <c r="L485" s="3" t="s">
        <v>51</v>
      </c>
      <c r="M485" s="3" t="s">
        <v>99</v>
      </c>
      <c r="N485" s="4">
        <v>174368</v>
      </c>
    </row>
    <row r="486" spans="1:14" x14ac:dyDescent="0.25">
      <c r="A486" s="5" t="str">
        <f t="shared" si="10"/>
        <v>Missouri-Twanda Lovenduski</v>
      </c>
      <c r="B486" s="3" t="s">
        <v>62</v>
      </c>
      <c r="C486" s="3" t="s">
        <v>107</v>
      </c>
      <c r="D486" s="4">
        <v>106622</v>
      </c>
      <c r="L486" s="3" t="s">
        <v>51</v>
      </c>
      <c r="M486" s="3" t="s">
        <v>124</v>
      </c>
      <c r="N486" s="4">
        <v>146677</v>
      </c>
    </row>
    <row r="487" spans="1:14" x14ac:dyDescent="0.25">
      <c r="A487" s="5" t="str">
        <f t="shared" si="10"/>
        <v>Nevada-Nolan Gohn</v>
      </c>
      <c r="B487" s="3" t="s">
        <v>65</v>
      </c>
      <c r="C487" s="3" t="s">
        <v>118</v>
      </c>
      <c r="D487" s="4">
        <v>14695</v>
      </c>
      <c r="L487" s="3" t="s">
        <v>51</v>
      </c>
      <c r="M487" s="3" t="s">
        <v>96</v>
      </c>
      <c r="N487" s="4">
        <v>7588</v>
      </c>
    </row>
    <row r="488" spans="1:14" x14ac:dyDescent="0.25">
      <c r="A488" s="5" t="str">
        <f t="shared" si="10"/>
        <v>Connecticut-Cliff Bahlmann</v>
      </c>
      <c r="B488" s="3" t="s">
        <v>42</v>
      </c>
      <c r="C488" s="3" t="s">
        <v>99</v>
      </c>
      <c r="D488" s="4">
        <v>43687</v>
      </c>
      <c r="L488" s="3" t="s">
        <v>51</v>
      </c>
      <c r="M488" s="3" t="s">
        <v>115</v>
      </c>
      <c r="N488" s="4">
        <v>23218</v>
      </c>
    </row>
    <row r="489" spans="1:14" x14ac:dyDescent="0.25">
      <c r="A489" s="5" t="str">
        <f t="shared" si="10"/>
        <v>District of Columbia-Toi Medico</v>
      </c>
      <c r="B489" s="3" t="s">
        <v>44</v>
      </c>
      <c r="C489" s="3" t="s">
        <v>103</v>
      </c>
      <c r="D489" s="4">
        <v>6073</v>
      </c>
      <c r="L489" s="3" t="s">
        <v>51</v>
      </c>
      <c r="M489" s="3" t="s">
        <v>117</v>
      </c>
      <c r="N489" s="4">
        <v>165385</v>
      </c>
    </row>
    <row r="490" spans="1:14" x14ac:dyDescent="0.25">
      <c r="A490" s="5" t="str">
        <f t="shared" si="10"/>
        <v>Nebraska-Genna Zaller</v>
      </c>
      <c r="B490" s="3" t="s">
        <v>64</v>
      </c>
      <c r="C490" s="3" t="s">
        <v>117</v>
      </c>
      <c r="D490" s="4">
        <v>81030</v>
      </c>
      <c r="L490" s="3" t="s">
        <v>51</v>
      </c>
      <c r="M490" s="3" t="s">
        <v>120</v>
      </c>
      <c r="N490" s="4">
        <v>99022</v>
      </c>
    </row>
    <row r="491" spans="1:14" x14ac:dyDescent="0.25">
      <c r="A491" s="5" t="str">
        <f t="shared" si="10"/>
        <v>New Jersey-Ali Steenken</v>
      </c>
      <c r="B491" s="3" t="s">
        <v>67</v>
      </c>
      <c r="C491" s="3" t="s">
        <v>116</v>
      </c>
      <c r="D491" s="4">
        <v>28775</v>
      </c>
      <c r="L491" s="3" t="s">
        <v>51</v>
      </c>
      <c r="M491" s="3" t="s">
        <v>111</v>
      </c>
      <c r="N491" s="4">
        <v>7394</v>
      </c>
    </row>
    <row r="492" spans="1:14" x14ac:dyDescent="0.25">
      <c r="A492" s="5" t="str">
        <f t="shared" si="10"/>
        <v>Michigan-Cliff Schnautz</v>
      </c>
      <c r="B492" s="3" t="s">
        <v>59</v>
      </c>
      <c r="C492" s="3" t="s">
        <v>96</v>
      </c>
      <c r="D492" s="4">
        <v>86422</v>
      </c>
      <c r="L492" s="3" t="s">
        <v>51</v>
      </c>
      <c r="M492" s="3" t="s">
        <v>102</v>
      </c>
      <c r="N492" s="4">
        <v>54681</v>
      </c>
    </row>
    <row r="493" spans="1:14" x14ac:dyDescent="0.25">
      <c r="A493" s="5" t="str">
        <f t="shared" si="10"/>
        <v>Missouri-Cliff Galinski</v>
      </c>
      <c r="B493" s="3" t="s">
        <v>62</v>
      </c>
      <c r="C493" s="3" t="s">
        <v>124</v>
      </c>
      <c r="D493" s="4">
        <v>166882</v>
      </c>
      <c r="L493" s="3" t="s">
        <v>51</v>
      </c>
      <c r="M493" s="3" t="s">
        <v>106</v>
      </c>
      <c r="N493" s="4">
        <v>51917</v>
      </c>
    </row>
    <row r="494" spans="1:14" x14ac:dyDescent="0.25">
      <c r="A494" s="5" t="str">
        <f t="shared" si="10"/>
        <v>New Hampshire-Keila Rossini</v>
      </c>
      <c r="B494" s="3" t="s">
        <v>66</v>
      </c>
      <c r="C494" s="3" t="s">
        <v>102</v>
      </c>
      <c r="D494" s="4">
        <v>123482</v>
      </c>
      <c r="L494" s="3" t="s">
        <v>51</v>
      </c>
      <c r="M494" s="3" t="s">
        <v>123</v>
      </c>
      <c r="N494" s="4">
        <v>140868</v>
      </c>
    </row>
    <row r="495" spans="1:14" x14ac:dyDescent="0.25">
      <c r="A495" s="5" t="str">
        <f t="shared" si="10"/>
        <v>Puerto Rico-Sadye Diloreto</v>
      </c>
      <c r="B495" s="3" t="s">
        <v>77</v>
      </c>
      <c r="C495" s="3" t="s">
        <v>95</v>
      </c>
      <c r="D495" s="4">
        <v>162241</v>
      </c>
      <c r="L495" s="3" t="s">
        <v>51</v>
      </c>
      <c r="M495" s="3" t="s">
        <v>97</v>
      </c>
      <c r="N495" s="4">
        <v>123043</v>
      </c>
    </row>
    <row r="496" spans="1:14" x14ac:dyDescent="0.25">
      <c r="A496" s="5" t="str">
        <f t="shared" si="10"/>
        <v>Montana-Fidel Potra</v>
      </c>
      <c r="B496" s="3" t="s">
        <v>63</v>
      </c>
      <c r="C496" s="3" t="s">
        <v>115</v>
      </c>
      <c r="D496" s="4">
        <v>124484</v>
      </c>
      <c r="L496" s="3" t="s">
        <v>51</v>
      </c>
      <c r="M496" s="3" t="s">
        <v>119</v>
      </c>
      <c r="N496" s="4">
        <v>164522</v>
      </c>
    </row>
    <row r="497" spans="1:14" x14ac:dyDescent="0.25">
      <c r="A497" s="5" t="str">
        <f t="shared" si="10"/>
        <v>Nebraska-Marcel Davern</v>
      </c>
      <c r="B497" s="3" t="s">
        <v>64</v>
      </c>
      <c r="C497" s="3" t="s">
        <v>119</v>
      </c>
      <c r="D497" s="4">
        <v>130961</v>
      </c>
      <c r="L497" s="3" t="s">
        <v>51</v>
      </c>
      <c r="M497" s="3" t="s">
        <v>113</v>
      </c>
      <c r="N497" s="4">
        <v>3003</v>
      </c>
    </row>
    <row r="498" spans="1:14" x14ac:dyDescent="0.25">
      <c r="A498" s="5" t="str">
        <f t="shared" si="10"/>
        <v>Nevada-Lucilla Bilecki</v>
      </c>
      <c r="B498" s="3" t="s">
        <v>65</v>
      </c>
      <c r="C498" s="3" t="s">
        <v>97</v>
      </c>
      <c r="D498" s="4">
        <v>61239</v>
      </c>
      <c r="L498" s="3" t="s">
        <v>51</v>
      </c>
      <c r="M498" s="3" t="s">
        <v>105</v>
      </c>
      <c r="N498" s="4">
        <v>156068</v>
      </c>
    </row>
    <row r="499" spans="1:14" x14ac:dyDescent="0.25">
      <c r="A499" s="5" t="str">
        <f t="shared" si="10"/>
        <v>New Mexico-Lianne Trappey</v>
      </c>
      <c r="B499" s="3" t="s">
        <v>68</v>
      </c>
      <c r="C499" s="3" t="s">
        <v>123</v>
      </c>
      <c r="D499" s="4">
        <v>110513</v>
      </c>
      <c r="L499" s="3" t="s">
        <v>51</v>
      </c>
      <c r="M499" s="3" t="s">
        <v>104</v>
      </c>
      <c r="N499" s="4">
        <v>151483</v>
      </c>
    </row>
    <row r="500" spans="1:14" x14ac:dyDescent="0.25">
      <c r="A500" s="5" t="str">
        <f t="shared" si="10"/>
        <v>North Carolina-Nolan Gohn</v>
      </c>
      <c r="B500" s="3" t="s">
        <v>70</v>
      </c>
      <c r="C500" s="3" t="s">
        <v>118</v>
      </c>
      <c r="D500" s="4">
        <v>77485</v>
      </c>
      <c r="L500" s="3" t="s">
        <v>51</v>
      </c>
      <c r="M500" s="3" t="s">
        <v>100</v>
      </c>
      <c r="N500" s="4">
        <v>60392</v>
      </c>
    </row>
    <row r="501" spans="1:14" x14ac:dyDescent="0.25">
      <c r="A501" s="5" t="str">
        <f t="shared" si="10"/>
        <v>Arizona-Twanda Lovenduski</v>
      </c>
      <c r="B501" s="3" t="s">
        <v>38</v>
      </c>
      <c r="C501" s="3" t="s">
        <v>107</v>
      </c>
      <c r="D501" s="4">
        <v>51632</v>
      </c>
      <c r="L501" s="3" t="s">
        <v>51</v>
      </c>
      <c r="M501" s="3" t="s">
        <v>118</v>
      </c>
      <c r="N501" s="4">
        <v>47718</v>
      </c>
    </row>
    <row r="502" spans="1:14" x14ac:dyDescent="0.25">
      <c r="A502" s="5" t="str">
        <f t="shared" si="10"/>
        <v>Ohio-Genna Zaller</v>
      </c>
      <c r="B502" s="3" t="s">
        <v>73</v>
      </c>
      <c r="C502" s="3" t="s">
        <v>117</v>
      </c>
      <c r="D502" s="4">
        <v>31704</v>
      </c>
      <c r="L502" s="3" t="s">
        <v>51</v>
      </c>
      <c r="M502" s="3" t="s">
        <v>101</v>
      </c>
      <c r="N502" s="4">
        <v>24683</v>
      </c>
    </row>
    <row r="503" spans="1:14" x14ac:dyDescent="0.25">
      <c r="A503" s="5" t="str">
        <f t="shared" si="10"/>
        <v>Georgia-Thaddeus Notah</v>
      </c>
      <c r="B503" s="3" t="s">
        <v>46</v>
      </c>
      <c r="C503" s="3" t="s">
        <v>112</v>
      </c>
      <c r="D503" s="4">
        <v>57477</v>
      </c>
      <c r="L503" s="3" t="s">
        <v>51</v>
      </c>
      <c r="M503" s="3" t="s">
        <v>122</v>
      </c>
      <c r="N503" s="4">
        <v>115514</v>
      </c>
    </row>
    <row r="504" spans="1:14" x14ac:dyDescent="0.25">
      <c r="A504" s="5" t="str">
        <f t="shared" si="10"/>
        <v>Massachusetts-Nolan Deorio</v>
      </c>
      <c r="B504" s="3" t="s">
        <v>58</v>
      </c>
      <c r="C504" s="3" t="s">
        <v>100</v>
      </c>
      <c r="D504" s="4">
        <v>121323</v>
      </c>
      <c r="L504" s="3" t="s">
        <v>51</v>
      </c>
      <c r="M504" s="3" t="s">
        <v>109</v>
      </c>
      <c r="N504" s="4">
        <v>15126</v>
      </c>
    </row>
    <row r="505" spans="1:14" x14ac:dyDescent="0.25">
      <c r="A505" s="5" t="str">
        <f t="shared" si="10"/>
        <v>Delaware-Marvis Tenholder</v>
      </c>
      <c r="B505" s="3" t="s">
        <v>43</v>
      </c>
      <c r="C505" s="3" t="s">
        <v>105</v>
      </c>
      <c r="D505" s="4">
        <v>27455</v>
      </c>
      <c r="L505" s="3" t="s">
        <v>51</v>
      </c>
      <c r="M505" s="3" t="s">
        <v>95</v>
      </c>
      <c r="N505" s="4">
        <v>88007</v>
      </c>
    </row>
    <row r="506" spans="1:14" x14ac:dyDescent="0.25">
      <c r="A506" s="5" t="str">
        <f t="shared" si="10"/>
        <v>Wisconsin-Toi Medico</v>
      </c>
      <c r="B506" s="3" t="s">
        <v>89</v>
      </c>
      <c r="C506" s="3" t="s">
        <v>103</v>
      </c>
      <c r="D506" s="4">
        <v>99835</v>
      </c>
      <c r="L506" s="3" t="s">
        <v>51</v>
      </c>
      <c r="M506" s="3" t="s">
        <v>98</v>
      </c>
      <c r="N506" s="4">
        <v>164925</v>
      </c>
    </row>
    <row r="507" spans="1:14" x14ac:dyDescent="0.25">
      <c r="A507" s="5" t="str">
        <f t="shared" si="10"/>
        <v>Nebraska-Cliff Schnautz</v>
      </c>
      <c r="B507" s="3" t="s">
        <v>64</v>
      </c>
      <c r="C507" s="3" t="s">
        <v>96</v>
      </c>
      <c r="D507" s="4">
        <v>94617</v>
      </c>
      <c r="L507" s="3" t="s">
        <v>51</v>
      </c>
      <c r="M507" s="3" t="s">
        <v>114</v>
      </c>
      <c r="N507" s="4">
        <v>100854</v>
      </c>
    </row>
    <row r="508" spans="1:14" x14ac:dyDescent="0.25">
      <c r="A508" s="5" t="str">
        <f t="shared" si="10"/>
        <v>Illinois-Marlin Mavromatis</v>
      </c>
      <c r="B508" s="3" t="s">
        <v>50</v>
      </c>
      <c r="C508" s="3" t="s">
        <v>113</v>
      </c>
      <c r="D508" s="4">
        <v>20710</v>
      </c>
      <c r="L508" s="3" t="s">
        <v>51</v>
      </c>
      <c r="M508" s="3" t="s">
        <v>112</v>
      </c>
      <c r="N508" s="4">
        <v>147011</v>
      </c>
    </row>
    <row r="509" spans="1:14" x14ac:dyDescent="0.25">
      <c r="A509" s="5" t="str">
        <f t="shared" si="10"/>
        <v>Idaho-Jackson Lorkowski</v>
      </c>
      <c r="B509" s="3" t="s">
        <v>49</v>
      </c>
      <c r="C509" s="3" t="s">
        <v>120</v>
      </c>
      <c r="D509" s="4">
        <v>155889</v>
      </c>
      <c r="L509" s="3" t="s">
        <v>51</v>
      </c>
      <c r="M509" s="3" t="s">
        <v>103</v>
      </c>
      <c r="N509" s="4">
        <v>107856</v>
      </c>
    </row>
    <row r="510" spans="1:14" x14ac:dyDescent="0.25">
      <c r="A510" s="5" t="str">
        <f t="shared" si="10"/>
        <v>Michigan-Lashon Bongers</v>
      </c>
      <c r="B510" s="3" t="s">
        <v>59</v>
      </c>
      <c r="C510" s="3" t="s">
        <v>106</v>
      </c>
      <c r="D510" s="4">
        <v>88701</v>
      </c>
      <c r="L510" s="3" t="s">
        <v>51</v>
      </c>
      <c r="M510" s="3" t="s">
        <v>121</v>
      </c>
      <c r="N510" s="4">
        <v>157523</v>
      </c>
    </row>
    <row r="511" spans="1:14" x14ac:dyDescent="0.25">
      <c r="A511" s="5" t="str">
        <f t="shared" si="10"/>
        <v>Northern Marianas Islands-Toi Medico</v>
      </c>
      <c r="B511" s="3" t="s">
        <v>72</v>
      </c>
      <c r="C511" s="3" t="s">
        <v>103</v>
      </c>
      <c r="D511" s="4">
        <v>167276</v>
      </c>
      <c r="L511" s="3" t="s">
        <v>51</v>
      </c>
      <c r="M511" s="3" t="s">
        <v>107</v>
      </c>
      <c r="N511" s="4">
        <v>110042</v>
      </c>
    </row>
    <row r="512" spans="1:14" x14ac:dyDescent="0.25">
      <c r="A512" s="5" t="str">
        <f t="shared" si="10"/>
        <v>Oregon-Marvis Tenholder</v>
      </c>
      <c r="B512" s="3" t="s">
        <v>75</v>
      </c>
      <c r="C512" s="3" t="s">
        <v>105</v>
      </c>
      <c r="D512" s="4">
        <v>97128</v>
      </c>
      <c r="L512" s="3" t="s">
        <v>52</v>
      </c>
      <c r="M512" s="3" t="s">
        <v>116</v>
      </c>
      <c r="N512" s="4">
        <v>57401</v>
      </c>
    </row>
    <row r="513" spans="1:14" x14ac:dyDescent="0.25">
      <c r="A513" s="5" t="str">
        <f t="shared" si="10"/>
        <v>Guam-Quinton Modugno</v>
      </c>
      <c r="B513" s="3" t="s">
        <v>47</v>
      </c>
      <c r="C513" s="3" t="s">
        <v>101</v>
      </c>
      <c r="D513" s="4">
        <v>149068</v>
      </c>
      <c r="L513" s="3" t="s">
        <v>52</v>
      </c>
      <c r="M513" s="3" t="s">
        <v>108</v>
      </c>
      <c r="N513" s="4">
        <v>48544</v>
      </c>
    </row>
    <row r="514" spans="1:14" x14ac:dyDescent="0.25">
      <c r="A514" s="5" t="str">
        <f t="shared" ref="A514:A577" si="11">B514&amp;"-"&amp;C514</f>
        <v>Oregon-Jackson Lorkowski</v>
      </c>
      <c r="B514" s="3" t="s">
        <v>75</v>
      </c>
      <c r="C514" s="3" t="s">
        <v>120</v>
      </c>
      <c r="D514" s="4">
        <v>143580</v>
      </c>
      <c r="L514" s="3" t="s">
        <v>52</v>
      </c>
      <c r="M514" s="3" t="s">
        <v>110</v>
      </c>
      <c r="N514" s="4">
        <v>60407</v>
      </c>
    </row>
    <row r="515" spans="1:14" x14ac:dyDescent="0.25">
      <c r="A515" s="5" t="str">
        <f t="shared" si="11"/>
        <v>South Carolina-Ali Stupp</v>
      </c>
      <c r="B515" s="3" t="s">
        <v>79</v>
      </c>
      <c r="C515" s="3" t="s">
        <v>108</v>
      </c>
      <c r="D515" s="4">
        <v>87544</v>
      </c>
      <c r="L515" s="3" t="s">
        <v>52</v>
      </c>
      <c r="M515" s="3" t="s">
        <v>99</v>
      </c>
      <c r="N515" s="4">
        <v>75518</v>
      </c>
    </row>
    <row r="516" spans="1:14" x14ac:dyDescent="0.25">
      <c r="A516" s="5" t="str">
        <f t="shared" si="11"/>
        <v>North Dakota-Nolan Deorio</v>
      </c>
      <c r="B516" s="3" t="s">
        <v>71</v>
      </c>
      <c r="C516" s="3" t="s">
        <v>100</v>
      </c>
      <c r="D516" s="4">
        <v>12636</v>
      </c>
      <c r="L516" s="3" t="s">
        <v>52</v>
      </c>
      <c r="M516" s="3" t="s">
        <v>124</v>
      </c>
      <c r="N516" s="4">
        <v>57621</v>
      </c>
    </row>
    <row r="517" spans="1:14" x14ac:dyDescent="0.25">
      <c r="A517" s="5" t="str">
        <f t="shared" si="11"/>
        <v>Wyoming-Kai Stroebel</v>
      </c>
      <c r="B517" s="3" t="s">
        <v>90</v>
      </c>
      <c r="C517" s="3" t="s">
        <v>111</v>
      </c>
      <c r="D517" s="4">
        <v>156532</v>
      </c>
      <c r="L517" s="3" t="s">
        <v>52</v>
      </c>
      <c r="M517" s="3" t="s">
        <v>96</v>
      </c>
      <c r="N517" s="4">
        <v>128265</v>
      </c>
    </row>
    <row r="518" spans="1:14" x14ac:dyDescent="0.25">
      <c r="A518" s="5" t="str">
        <f t="shared" si="11"/>
        <v>Wisconsin-Cliff Bahlmann</v>
      </c>
      <c r="B518" s="3" t="s">
        <v>89</v>
      </c>
      <c r="C518" s="3" t="s">
        <v>99</v>
      </c>
      <c r="D518" s="4">
        <v>49500</v>
      </c>
      <c r="L518" s="3" t="s">
        <v>52</v>
      </c>
      <c r="M518" s="3" t="s">
        <v>115</v>
      </c>
      <c r="N518" s="4">
        <v>46025</v>
      </c>
    </row>
    <row r="519" spans="1:14" x14ac:dyDescent="0.25">
      <c r="A519" s="5" t="str">
        <f t="shared" si="11"/>
        <v>Oklahoma-Marlin Mavromatis</v>
      </c>
      <c r="B519" s="3" t="s">
        <v>74</v>
      </c>
      <c r="C519" s="3" t="s">
        <v>113</v>
      </c>
      <c r="D519" s="4">
        <v>156904</v>
      </c>
      <c r="L519" s="3" t="s">
        <v>52</v>
      </c>
      <c r="M519" s="3" t="s">
        <v>117</v>
      </c>
      <c r="N519" s="4">
        <v>83929</v>
      </c>
    </row>
    <row r="520" spans="1:14" x14ac:dyDescent="0.25">
      <c r="A520" s="5" t="str">
        <f t="shared" si="11"/>
        <v>Georgia-Marcel Davern</v>
      </c>
      <c r="B520" s="3" t="s">
        <v>46</v>
      </c>
      <c r="C520" s="3" t="s">
        <v>119</v>
      </c>
      <c r="D520" s="4">
        <v>119280</v>
      </c>
      <c r="L520" s="3" t="s">
        <v>52</v>
      </c>
      <c r="M520" s="3" t="s">
        <v>120</v>
      </c>
      <c r="N520" s="4">
        <v>87150</v>
      </c>
    </row>
    <row r="521" spans="1:14" x14ac:dyDescent="0.25">
      <c r="A521" s="5" t="str">
        <f t="shared" si="11"/>
        <v>South Dakota-Genna Zaller</v>
      </c>
      <c r="B521" s="3" t="s">
        <v>80</v>
      </c>
      <c r="C521" s="3" t="s">
        <v>117</v>
      </c>
      <c r="D521" s="4">
        <v>59709</v>
      </c>
      <c r="L521" s="3" t="s">
        <v>52</v>
      </c>
      <c r="M521" s="3" t="s">
        <v>111</v>
      </c>
      <c r="N521" s="4">
        <v>173782</v>
      </c>
    </row>
    <row r="522" spans="1:14" x14ac:dyDescent="0.25">
      <c r="A522" s="5" t="str">
        <f t="shared" si="11"/>
        <v>Nebraska-Lashon Bongers</v>
      </c>
      <c r="B522" s="3" t="s">
        <v>64</v>
      </c>
      <c r="C522" s="3" t="s">
        <v>106</v>
      </c>
      <c r="D522" s="4">
        <v>105128</v>
      </c>
      <c r="L522" s="3" t="s">
        <v>52</v>
      </c>
      <c r="M522" s="3" t="s">
        <v>102</v>
      </c>
      <c r="N522" s="4">
        <v>87737</v>
      </c>
    </row>
    <row r="523" spans="1:14" x14ac:dyDescent="0.25">
      <c r="A523" s="5" t="str">
        <f t="shared" si="11"/>
        <v>Louisiana-Raphael Bonawitz</v>
      </c>
      <c r="B523" s="3" t="s">
        <v>55</v>
      </c>
      <c r="C523" s="3" t="s">
        <v>122</v>
      </c>
      <c r="D523" s="4">
        <v>38421</v>
      </c>
      <c r="L523" s="3" t="s">
        <v>52</v>
      </c>
      <c r="M523" s="3" t="s">
        <v>106</v>
      </c>
      <c r="N523" s="4">
        <v>96579</v>
      </c>
    </row>
    <row r="524" spans="1:14" x14ac:dyDescent="0.25">
      <c r="A524" s="5" t="str">
        <f t="shared" si="11"/>
        <v>Idaho-Twanda Lovenduski</v>
      </c>
      <c r="B524" s="3" t="s">
        <v>49</v>
      </c>
      <c r="C524" s="3" t="s">
        <v>107</v>
      </c>
      <c r="D524" s="4">
        <v>104923</v>
      </c>
      <c r="L524" s="3" t="s">
        <v>52</v>
      </c>
      <c r="M524" s="3" t="s">
        <v>123</v>
      </c>
      <c r="N524" s="4">
        <v>8850</v>
      </c>
    </row>
    <row r="525" spans="1:14" x14ac:dyDescent="0.25">
      <c r="A525" s="5" t="str">
        <f t="shared" si="11"/>
        <v>Kansas-Keila Rossini</v>
      </c>
      <c r="B525" s="3" t="s">
        <v>53</v>
      </c>
      <c r="C525" s="3" t="s">
        <v>102</v>
      </c>
      <c r="D525" s="4">
        <v>67695</v>
      </c>
      <c r="L525" s="3" t="s">
        <v>52</v>
      </c>
      <c r="M525" s="3" t="s">
        <v>97</v>
      </c>
      <c r="N525" s="4">
        <v>124695</v>
      </c>
    </row>
    <row r="526" spans="1:14" x14ac:dyDescent="0.25">
      <c r="A526" s="5" t="str">
        <f t="shared" si="11"/>
        <v>District of Columbia-Genna Zaller</v>
      </c>
      <c r="B526" s="3" t="s">
        <v>44</v>
      </c>
      <c r="C526" s="3" t="s">
        <v>117</v>
      </c>
      <c r="D526" s="4">
        <v>56688</v>
      </c>
      <c r="L526" s="3" t="s">
        <v>52</v>
      </c>
      <c r="M526" s="3" t="s">
        <v>119</v>
      </c>
      <c r="N526" s="4">
        <v>79323</v>
      </c>
    </row>
    <row r="527" spans="1:14" x14ac:dyDescent="0.25">
      <c r="A527" s="5" t="str">
        <f t="shared" si="11"/>
        <v>Alaska-Marlin Mavromatis</v>
      </c>
      <c r="B527" s="3" t="s">
        <v>36</v>
      </c>
      <c r="C527" s="3" t="s">
        <v>113</v>
      </c>
      <c r="D527" s="4">
        <v>155323</v>
      </c>
      <c r="L527" s="3" t="s">
        <v>52</v>
      </c>
      <c r="M527" s="3" t="s">
        <v>113</v>
      </c>
      <c r="N527" s="4">
        <v>23612</v>
      </c>
    </row>
    <row r="528" spans="1:14" x14ac:dyDescent="0.25">
      <c r="A528" s="5" t="str">
        <f t="shared" si="11"/>
        <v>Alabama-Nolan Gohn</v>
      </c>
      <c r="B528" s="3" t="s">
        <v>35</v>
      </c>
      <c r="C528" s="3" t="s">
        <v>118</v>
      </c>
      <c r="D528" s="4">
        <v>125752</v>
      </c>
      <c r="L528" s="3" t="s">
        <v>52</v>
      </c>
      <c r="M528" s="3" t="s">
        <v>105</v>
      </c>
      <c r="N528" s="4">
        <v>6019</v>
      </c>
    </row>
    <row r="529" spans="1:14" x14ac:dyDescent="0.25">
      <c r="A529" s="5" t="str">
        <f t="shared" si="11"/>
        <v>Connecticut-Ali Stupp</v>
      </c>
      <c r="B529" s="3" t="s">
        <v>42</v>
      </c>
      <c r="C529" s="3" t="s">
        <v>108</v>
      </c>
      <c r="D529" s="4">
        <v>105711</v>
      </c>
      <c r="L529" s="3" t="s">
        <v>52</v>
      </c>
      <c r="M529" s="3" t="s">
        <v>104</v>
      </c>
      <c r="N529" s="4">
        <v>160538</v>
      </c>
    </row>
    <row r="530" spans="1:14" x14ac:dyDescent="0.25">
      <c r="A530" s="5" t="str">
        <f t="shared" si="11"/>
        <v>Kentucky-Cliff Schnautz</v>
      </c>
      <c r="B530" s="3" t="s">
        <v>54</v>
      </c>
      <c r="C530" s="3" t="s">
        <v>96</v>
      </c>
      <c r="D530" s="4">
        <v>124589</v>
      </c>
      <c r="L530" s="3" t="s">
        <v>52</v>
      </c>
      <c r="M530" s="3" t="s">
        <v>100</v>
      </c>
      <c r="N530" s="4">
        <v>108092</v>
      </c>
    </row>
    <row r="531" spans="1:14" x14ac:dyDescent="0.25">
      <c r="A531" s="5" t="str">
        <f t="shared" si="11"/>
        <v>Hawaii-Ali Stupp</v>
      </c>
      <c r="B531" s="3" t="s">
        <v>48</v>
      </c>
      <c r="C531" s="3" t="s">
        <v>108</v>
      </c>
      <c r="D531" s="4">
        <v>115356</v>
      </c>
      <c r="L531" s="3" t="s">
        <v>52</v>
      </c>
      <c r="M531" s="3" t="s">
        <v>118</v>
      </c>
      <c r="N531" s="4">
        <v>80638</v>
      </c>
    </row>
    <row r="532" spans="1:14" x14ac:dyDescent="0.25">
      <c r="A532" s="5" t="str">
        <f t="shared" si="11"/>
        <v>Wyoming-Sadye Diloreto</v>
      </c>
      <c r="B532" s="3" t="s">
        <v>90</v>
      </c>
      <c r="C532" s="3" t="s">
        <v>95</v>
      </c>
      <c r="D532" s="4">
        <v>56386</v>
      </c>
      <c r="L532" s="3" t="s">
        <v>52</v>
      </c>
      <c r="M532" s="3" t="s">
        <v>101</v>
      </c>
      <c r="N532" s="4">
        <v>15361</v>
      </c>
    </row>
    <row r="533" spans="1:14" x14ac:dyDescent="0.25">
      <c r="A533" s="5" t="str">
        <f t="shared" si="11"/>
        <v>Hawaii-Raphael Bonawitz</v>
      </c>
      <c r="B533" s="3" t="s">
        <v>48</v>
      </c>
      <c r="C533" s="3" t="s">
        <v>122</v>
      </c>
      <c r="D533" s="4">
        <v>56376</v>
      </c>
      <c r="L533" s="3" t="s">
        <v>52</v>
      </c>
      <c r="M533" s="3" t="s">
        <v>122</v>
      </c>
      <c r="N533" s="4">
        <v>64092</v>
      </c>
    </row>
    <row r="534" spans="1:14" x14ac:dyDescent="0.25">
      <c r="A534" s="5" t="str">
        <f t="shared" si="11"/>
        <v>Florida-Twanda Lovenduski</v>
      </c>
      <c r="B534" s="3" t="s">
        <v>45</v>
      </c>
      <c r="C534" s="3" t="s">
        <v>107</v>
      </c>
      <c r="D534" s="4">
        <v>117601</v>
      </c>
      <c r="L534" s="3" t="s">
        <v>52</v>
      </c>
      <c r="M534" s="3" t="s">
        <v>109</v>
      </c>
      <c r="N534" s="4">
        <v>51532</v>
      </c>
    </row>
    <row r="535" spans="1:14" x14ac:dyDescent="0.25">
      <c r="A535" s="5" t="str">
        <f t="shared" si="11"/>
        <v>New Hampshire-Toi Zedaker</v>
      </c>
      <c r="B535" s="3" t="s">
        <v>66</v>
      </c>
      <c r="C535" s="3" t="s">
        <v>121</v>
      </c>
      <c r="D535" s="4">
        <v>76360</v>
      </c>
      <c r="L535" s="3" t="s">
        <v>52</v>
      </c>
      <c r="M535" s="3" t="s">
        <v>95</v>
      </c>
      <c r="N535" s="4">
        <v>58175</v>
      </c>
    </row>
    <row r="536" spans="1:14" x14ac:dyDescent="0.25">
      <c r="A536" s="5" t="str">
        <f t="shared" si="11"/>
        <v>New Jersey-Cliff Schnautz</v>
      </c>
      <c r="B536" s="3" t="s">
        <v>67</v>
      </c>
      <c r="C536" s="3" t="s">
        <v>96</v>
      </c>
      <c r="D536" s="4">
        <v>61152</v>
      </c>
      <c r="L536" s="3" t="s">
        <v>52</v>
      </c>
      <c r="M536" s="3" t="s">
        <v>98</v>
      </c>
      <c r="N536" s="4">
        <v>3822</v>
      </c>
    </row>
    <row r="537" spans="1:14" x14ac:dyDescent="0.25">
      <c r="A537" s="5" t="str">
        <f t="shared" si="11"/>
        <v>Maine-Lucilla Bilecki</v>
      </c>
      <c r="B537" s="3" t="s">
        <v>56</v>
      </c>
      <c r="C537" s="3" t="s">
        <v>97</v>
      </c>
      <c r="D537" s="4">
        <v>3924</v>
      </c>
      <c r="L537" s="3" t="s">
        <v>52</v>
      </c>
      <c r="M537" s="3" t="s">
        <v>114</v>
      </c>
      <c r="N537" s="4">
        <v>52504</v>
      </c>
    </row>
    <row r="538" spans="1:14" x14ac:dyDescent="0.25">
      <c r="A538" s="5" t="str">
        <f t="shared" si="11"/>
        <v>Virginia-Cliff Schnautz</v>
      </c>
      <c r="B538" s="3" t="s">
        <v>85</v>
      </c>
      <c r="C538" s="3" t="s">
        <v>96</v>
      </c>
      <c r="D538" s="4">
        <v>8211</v>
      </c>
      <c r="L538" s="3" t="s">
        <v>52</v>
      </c>
      <c r="M538" s="3" t="s">
        <v>112</v>
      </c>
      <c r="N538" s="4">
        <v>116590</v>
      </c>
    </row>
    <row r="539" spans="1:14" x14ac:dyDescent="0.25">
      <c r="A539" s="5" t="str">
        <f t="shared" si="11"/>
        <v>Pennsylvania-Nolan Gohn</v>
      </c>
      <c r="B539" s="3" t="s">
        <v>76</v>
      </c>
      <c r="C539" s="3" t="s">
        <v>118</v>
      </c>
      <c r="D539" s="4">
        <v>9422</v>
      </c>
      <c r="L539" s="3" t="s">
        <v>52</v>
      </c>
      <c r="M539" s="3" t="s">
        <v>103</v>
      </c>
      <c r="N539" s="4">
        <v>21449</v>
      </c>
    </row>
    <row r="540" spans="1:14" x14ac:dyDescent="0.25">
      <c r="A540" s="5" t="str">
        <f t="shared" si="11"/>
        <v>Michigan-Toi Medico</v>
      </c>
      <c r="B540" s="3" t="s">
        <v>59</v>
      </c>
      <c r="C540" s="3" t="s">
        <v>103</v>
      </c>
      <c r="D540" s="4">
        <v>125347</v>
      </c>
      <c r="L540" s="3" t="s">
        <v>52</v>
      </c>
      <c r="M540" s="3" t="s">
        <v>121</v>
      </c>
      <c r="N540" s="4">
        <v>71351</v>
      </c>
    </row>
    <row r="541" spans="1:14" x14ac:dyDescent="0.25">
      <c r="A541" s="5" t="str">
        <f t="shared" si="11"/>
        <v>Puerto Rico-Armand Mcleon</v>
      </c>
      <c r="B541" s="3" t="s">
        <v>77</v>
      </c>
      <c r="C541" s="3" t="s">
        <v>110</v>
      </c>
      <c r="D541" s="4">
        <v>76558</v>
      </c>
      <c r="L541" s="3" t="s">
        <v>52</v>
      </c>
      <c r="M541" s="3" t="s">
        <v>107</v>
      </c>
      <c r="N541" s="4">
        <v>12410</v>
      </c>
    </row>
    <row r="542" spans="1:14" x14ac:dyDescent="0.25">
      <c r="A542" s="5" t="str">
        <f t="shared" si="11"/>
        <v>California-Marcel Davern</v>
      </c>
      <c r="B542" s="3" t="s">
        <v>40</v>
      </c>
      <c r="C542" s="3" t="s">
        <v>119</v>
      </c>
      <c r="D542" s="4">
        <v>84369</v>
      </c>
      <c r="L542" s="3" t="s">
        <v>53</v>
      </c>
      <c r="M542" s="3" t="s">
        <v>116</v>
      </c>
      <c r="N542" s="4">
        <v>99712</v>
      </c>
    </row>
    <row r="543" spans="1:14" x14ac:dyDescent="0.25">
      <c r="A543" s="5" t="str">
        <f t="shared" si="11"/>
        <v>Northern Marianas Islands-Nolan Gohn</v>
      </c>
      <c r="B543" s="3" t="s">
        <v>72</v>
      </c>
      <c r="C543" s="3" t="s">
        <v>118</v>
      </c>
      <c r="D543" s="4">
        <v>123184</v>
      </c>
      <c r="L543" s="3" t="s">
        <v>53</v>
      </c>
      <c r="M543" s="3" t="s">
        <v>108</v>
      </c>
      <c r="N543" s="4">
        <v>105898</v>
      </c>
    </row>
    <row r="544" spans="1:14" x14ac:dyDescent="0.25">
      <c r="A544" s="5" t="str">
        <f t="shared" si="11"/>
        <v>Indiana-Lianne Trappey</v>
      </c>
      <c r="B544" s="3" t="s">
        <v>51</v>
      </c>
      <c r="C544" s="3" t="s">
        <v>123</v>
      </c>
      <c r="D544" s="4">
        <v>140868</v>
      </c>
      <c r="L544" s="3" t="s">
        <v>53</v>
      </c>
      <c r="M544" s="3" t="s">
        <v>110</v>
      </c>
      <c r="N544" s="4">
        <v>47974</v>
      </c>
    </row>
    <row r="545" spans="1:14" x14ac:dyDescent="0.25">
      <c r="A545" s="5" t="str">
        <f t="shared" si="11"/>
        <v>Missouri-Thaddeus Cacciatori</v>
      </c>
      <c r="B545" s="3" t="s">
        <v>62</v>
      </c>
      <c r="C545" s="3" t="s">
        <v>114</v>
      </c>
      <c r="D545" s="4">
        <v>51231</v>
      </c>
      <c r="L545" s="3" t="s">
        <v>53</v>
      </c>
      <c r="M545" s="3" t="s">
        <v>99</v>
      </c>
      <c r="N545" s="4">
        <v>165295</v>
      </c>
    </row>
    <row r="546" spans="1:14" x14ac:dyDescent="0.25">
      <c r="A546" s="5" t="str">
        <f t="shared" si="11"/>
        <v>Nevada-Toi Medico</v>
      </c>
      <c r="B546" s="3" t="s">
        <v>65</v>
      </c>
      <c r="C546" s="3" t="s">
        <v>103</v>
      </c>
      <c r="D546" s="4">
        <v>82319</v>
      </c>
      <c r="L546" s="3" t="s">
        <v>53</v>
      </c>
      <c r="M546" s="3" t="s">
        <v>124</v>
      </c>
      <c r="N546" s="4">
        <v>12047</v>
      </c>
    </row>
    <row r="547" spans="1:14" x14ac:dyDescent="0.25">
      <c r="A547" s="5" t="str">
        <f t="shared" si="11"/>
        <v>Massachusetts-Raphael Derrig</v>
      </c>
      <c r="B547" s="3" t="s">
        <v>58</v>
      </c>
      <c r="C547" s="3" t="s">
        <v>109</v>
      </c>
      <c r="D547" s="4">
        <v>69193</v>
      </c>
      <c r="L547" s="3" t="s">
        <v>53</v>
      </c>
      <c r="M547" s="3" t="s">
        <v>96</v>
      </c>
      <c r="N547" s="4">
        <v>42003</v>
      </c>
    </row>
    <row r="548" spans="1:14" x14ac:dyDescent="0.25">
      <c r="A548" s="5" t="str">
        <f t="shared" si="11"/>
        <v>Virgin Islands-Nolan Gohn</v>
      </c>
      <c r="B548" s="3" t="s">
        <v>86</v>
      </c>
      <c r="C548" s="3" t="s">
        <v>118</v>
      </c>
      <c r="D548" s="4">
        <v>38694</v>
      </c>
      <c r="L548" s="3" t="s">
        <v>53</v>
      </c>
      <c r="M548" s="3" t="s">
        <v>115</v>
      </c>
      <c r="N548" s="4">
        <v>174700</v>
      </c>
    </row>
    <row r="549" spans="1:14" x14ac:dyDescent="0.25">
      <c r="A549" s="5" t="str">
        <f t="shared" si="11"/>
        <v>Washington-Cliff Schnautz</v>
      </c>
      <c r="B549" s="3" t="s">
        <v>87</v>
      </c>
      <c r="C549" s="3" t="s">
        <v>96</v>
      </c>
      <c r="D549" s="4">
        <v>53624</v>
      </c>
      <c r="L549" s="3" t="s">
        <v>53</v>
      </c>
      <c r="M549" s="3" t="s">
        <v>117</v>
      </c>
      <c r="N549" s="4">
        <v>155654</v>
      </c>
    </row>
    <row r="550" spans="1:14" x14ac:dyDescent="0.25">
      <c r="A550" s="5" t="str">
        <f t="shared" si="11"/>
        <v>Alaska-Cliff Galinski</v>
      </c>
      <c r="B550" s="3" t="s">
        <v>36</v>
      </c>
      <c r="C550" s="3" t="s">
        <v>124</v>
      </c>
      <c r="D550" s="4">
        <v>68738</v>
      </c>
      <c r="L550" s="3" t="s">
        <v>53</v>
      </c>
      <c r="M550" s="3" t="s">
        <v>120</v>
      </c>
      <c r="N550" s="4">
        <v>130480</v>
      </c>
    </row>
    <row r="551" spans="1:14" x14ac:dyDescent="0.25">
      <c r="A551" s="5" t="str">
        <f t="shared" si="11"/>
        <v>Hawaii-Jackson Lorkowski</v>
      </c>
      <c r="B551" s="3" t="s">
        <v>48</v>
      </c>
      <c r="C551" s="3" t="s">
        <v>120</v>
      </c>
      <c r="D551" s="4">
        <v>167984</v>
      </c>
      <c r="L551" s="3" t="s">
        <v>53</v>
      </c>
      <c r="M551" s="3" t="s">
        <v>111</v>
      </c>
      <c r="N551" s="4">
        <v>146579</v>
      </c>
    </row>
    <row r="552" spans="1:14" x14ac:dyDescent="0.25">
      <c r="A552" s="5" t="str">
        <f t="shared" si="11"/>
        <v>Nebraska-Nolan Deorio</v>
      </c>
      <c r="B552" s="3" t="s">
        <v>64</v>
      </c>
      <c r="C552" s="3" t="s">
        <v>100</v>
      </c>
      <c r="D552" s="4">
        <v>128019</v>
      </c>
      <c r="L552" s="3" t="s">
        <v>53</v>
      </c>
      <c r="M552" s="3" t="s">
        <v>102</v>
      </c>
      <c r="N552" s="4">
        <v>67695</v>
      </c>
    </row>
    <row r="553" spans="1:14" x14ac:dyDescent="0.25">
      <c r="A553" s="5" t="str">
        <f t="shared" si="11"/>
        <v>California-Nolan Deorio</v>
      </c>
      <c r="B553" s="3" t="s">
        <v>40</v>
      </c>
      <c r="C553" s="3" t="s">
        <v>100</v>
      </c>
      <c r="D553" s="4">
        <v>143335</v>
      </c>
      <c r="L553" s="3" t="s">
        <v>53</v>
      </c>
      <c r="M553" s="3" t="s">
        <v>106</v>
      </c>
      <c r="N553" s="4">
        <v>78140</v>
      </c>
    </row>
    <row r="554" spans="1:14" x14ac:dyDescent="0.25">
      <c r="A554" s="5" t="str">
        <f t="shared" si="11"/>
        <v>Vermont-Armand Mcleon</v>
      </c>
      <c r="B554" s="3" t="s">
        <v>84</v>
      </c>
      <c r="C554" s="3" t="s">
        <v>110</v>
      </c>
      <c r="D554" s="4">
        <v>159463</v>
      </c>
      <c r="L554" s="3" t="s">
        <v>53</v>
      </c>
      <c r="M554" s="3" t="s">
        <v>123</v>
      </c>
      <c r="N554" s="4">
        <v>114007</v>
      </c>
    </row>
    <row r="555" spans="1:14" x14ac:dyDescent="0.25">
      <c r="A555" s="5" t="str">
        <f t="shared" si="11"/>
        <v>North Carolina-Cliff Bahlmann</v>
      </c>
      <c r="B555" s="3" t="s">
        <v>70</v>
      </c>
      <c r="C555" s="3" t="s">
        <v>99</v>
      </c>
      <c r="D555" s="4">
        <v>134396</v>
      </c>
      <c r="L555" s="3" t="s">
        <v>53</v>
      </c>
      <c r="M555" s="3" t="s">
        <v>97</v>
      </c>
      <c r="N555" s="4">
        <v>145604</v>
      </c>
    </row>
    <row r="556" spans="1:14" x14ac:dyDescent="0.25">
      <c r="A556" s="5" t="str">
        <f t="shared" si="11"/>
        <v>New Mexico-Raphael Derrig</v>
      </c>
      <c r="B556" s="3" t="s">
        <v>68</v>
      </c>
      <c r="C556" s="3" t="s">
        <v>109</v>
      </c>
      <c r="D556" s="4">
        <v>45472</v>
      </c>
      <c r="L556" s="3" t="s">
        <v>53</v>
      </c>
      <c r="M556" s="3" t="s">
        <v>119</v>
      </c>
      <c r="N556" s="4">
        <v>18006</v>
      </c>
    </row>
    <row r="557" spans="1:14" x14ac:dyDescent="0.25">
      <c r="A557" s="5" t="str">
        <f t="shared" si="11"/>
        <v>Michigan-Raphael Bonawitz</v>
      </c>
      <c r="B557" s="3" t="s">
        <v>59</v>
      </c>
      <c r="C557" s="3" t="s">
        <v>122</v>
      </c>
      <c r="D557" s="4">
        <v>19649</v>
      </c>
      <c r="L557" s="3" t="s">
        <v>53</v>
      </c>
      <c r="M557" s="3" t="s">
        <v>113</v>
      </c>
      <c r="N557" s="4">
        <v>65655</v>
      </c>
    </row>
    <row r="558" spans="1:14" x14ac:dyDescent="0.25">
      <c r="A558" s="5" t="str">
        <f t="shared" si="11"/>
        <v>Nebraska-Lucilla Bilecki</v>
      </c>
      <c r="B558" s="3" t="s">
        <v>64</v>
      </c>
      <c r="C558" s="3" t="s">
        <v>97</v>
      </c>
      <c r="D558" s="4">
        <v>160752</v>
      </c>
      <c r="L558" s="3" t="s">
        <v>53</v>
      </c>
      <c r="M558" s="3" t="s">
        <v>105</v>
      </c>
      <c r="N558" s="4">
        <v>14512</v>
      </c>
    </row>
    <row r="559" spans="1:14" x14ac:dyDescent="0.25">
      <c r="A559" s="5" t="str">
        <f t="shared" si="11"/>
        <v>Guam-Thaddeus Cacciatori</v>
      </c>
      <c r="B559" s="3" t="s">
        <v>47</v>
      </c>
      <c r="C559" s="3" t="s">
        <v>114</v>
      </c>
      <c r="D559" s="4">
        <v>129671</v>
      </c>
      <c r="L559" s="3" t="s">
        <v>53</v>
      </c>
      <c r="M559" s="3" t="s">
        <v>104</v>
      </c>
      <c r="N559" s="4">
        <v>25146</v>
      </c>
    </row>
    <row r="560" spans="1:14" x14ac:dyDescent="0.25">
      <c r="A560" s="5" t="str">
        <f t="shared" si="11"/>
        <v>New York-Ali Steenken</v>
      </c>
      <c r="B560" s="3" t="s">
        <v>69</v>
      </c>
      <c r="C560" s="3" t="s">
        <v>116</v>
      </c>
      <c r="D560" s="4">
        <v>160946</v>
      </c>
      <c r="L560" s="3" t="s">
        <v>53</v>
      </c>
      <c r="M560" s="3" t="s">
        <v>100</v>
      </c>
      <c r="N560" s="4">
        <v>158115</v>
      </c>
    </row>
    <row r="561" spans="1:14" x14ac:dyDescent="0.25">
      <c r="A561" s="5" t="str">
        <f t="shared" si="11"/>
        <v>Nevada-Armand Mcleon</v>
      </c>
      <c r="B561" s="3" t="s">
        <v>65</v>
      </c>
      <c r="C561" s="3" t="s">
        <v>110</v>
      </c>
      <c r="D561" s="4">
        <v>34694</v>
      </c>
      <c r="L561" s="3" t="s">
        <v>53</v>
      </c>
      <c r="M561" s="3" t="s">
        <v>118</v>
      </c>
      <c r="N561" s="4">
        <v>118033</v>
      </c>
    </row>
    <row r="562" spans="1:14" x14ac:dyDescent="0.25">
      <c r="A562" s="5" t="str">
        <f t="shared" si="11"/>
        <v>Iowa-Kai Stroebel</v>
      </c>
      <c r="B562" s="3" t="s">
        <v>52</v>
      </c>
      <c r="C562" s="3" t="s">
        <v>111</v>
      </c>
      <c r="D562" s="4">
        <v>173782</v>
      </c>
      <c r="L562" s="3" t="s">
        <v>53</v>
      </c>
      <c r="M562" s="3" t="s">
        <v>101</v>
      </c>
      <c r="N562" s="4">
        <v>27412</v>
      </c>
    </row>
    <row r="563" spans="1:14" x14ac:dyDescent="0.25">
      <c r="A563" s="5" t="str">
        <f t="shared" si="11"/>
        <v>North Carolina-Cliff Schnautz</v>
      </c>
      <c r="B563" s="3" t="s">
        <v>70</v>
      </c>
      <c r="C563" s="3" t="s">
        <v>96</v>
      </c>
      <c r="D563" s="4">
        <v>71947</v>
      </c>
      <c r="L563" s="3" t="s">
        <v>53</v>
      </c>
      <c r="M563" s="3" t="s">
        <v>122</v>
      </c>
      <c r="N563" s="4">
        <v>88131</v>
      </c>
    </row>
    <row r="564" spans="1:14" x14ac:dyDescent="0.25">
      <c r="A564" s="5" t="str">
        <f t="shared" si="11"/>
        <v>North Carolina-Marcel Davern</v>
      </c>
      <c r="B564" s="3" t="s">
        <v>70</v>
      </c>
      <c r="C564" s="3" t="s">
        <v>119</v>
      </c>
      <c r="D564" s="4">
        <v>128282</v>
      </c>
      <c r="L564" s="3" t="s">
        <v>53</v>
      </c>
      <c r="M564" s="3" t="s">
        <v>109</v>
      </c>
      <c r="N564" s="4">
        <v>6874</v>
      </c>
    </row>
    <row r="565" spans="1:14" x14ac:dyDescent="0.25">
      <c r="A565" s="5" t="str">
        <f t="shared" si="11"/>
        <v>Rhode Island-Nolan Deorio</v>
      </c>
      <c r="B565" s="3" t="s">
        <v>78</v>
      </c>
      <c r="C565" s="3" t="s">
        <v>100</v>
      </c>
      <c r="D565" s="4">
        <v>62470</v>
      </c>
      <c r="L565" s="3" t="s">
        <v>53</v>
      </c>
      <c r="M565" s="3" t="s">
        <v>95</v>
      </c>
      <c r="N565" s="4">
        <v>109654</v>
      </c>
    </row>
    <row r="566" spans="1:14" x14ac:dyDescent="0.25">
      <c r="A566" s="5" t="str">
        <f t="shared" si="11"/>
        <v>Michigan-Nolan Gohn</v>
      </c>
      <c r="B566" s="3" t="s">
        <v>59</v>
      </c>
      <c r="C566" s="3" t="s">
        <v>118</v>
      </c>
      <c r="D566" s="4">
        <v>77761</v>
      </c>
      <c r="L566" s="3" t="s">
        <v>53</v>
      </c>
      <c r="M566" s="3" t="s">
        <v>98</v>
      </c>
      <c r="N566" s="4">
        <v>78334</v>
      </c>
    </row>
    <row r="567" spans="1:14" x14ac:dyDescent="0.25">
      <c r="A567" s="5" t="str">
        <f t="shared" si="11"/>
        <v>Guam-Toi Zedaker</v>
      </c>
      <c r="B567" s="3" t="s">
        <v>47</v>
      </c>
      <c r="C567" s="3" t="s">
        <v>121</v>
      </c>
      <c r="D567" s="4">
        <v>167203</v>
      </c>
      <c r="L567" s="3" t="s">
        <v>53</v>
      </c>
      <c r="M567" s="3" t="s">
        <v>114</v>
      </c>
      <c r="N567" s="4">
        <v>23910</v>
      </c>
    </row>
    <row r="568" spans="1:14" x14ac:dyDescent="0.25">
      <c r="A568" s="5" t="str">
        <f t="shared" si="11"/>
        <v>Louisiana-Quinton Modugno</v>
      </c>
      <c r="B568" s="3" t="s">
        <v>55</v>
      </c>
      <c r="C568" s="3" t="s">
        <v>101</v>
      </c>
      <c r="D568" s="4">
        <v>82168</v>
      </c>
      <c r="L568" s="3" t="s">
        <v>53</v>
      </c>
      <c r="M568" s="3" t="s">
        <v>112</v>
      </c>
      <c r="N568" s="4">
        <v>171332</v>
      </c>
    </row>
    <row r="569" spans="1:14" x14ac:dyDescent="0.25">
      <c r="A569" s="5" t="str">
        <f t="shared" si="11"/>
        <v>Hawaii-Sadye Diloreto</v>
      </c>
      <c r="B569" s="3" t="s">
        <v>48</v>
      </c>
      <c r="C569" s="3" t="s">
        <v>95</v>
      </c>
      <c r="D569" s="4">
        <v>49637</v>
      </c>
      <c r="L569" s="3" t="s">
        <v>53</v>
      </c>
      <c r="M569" s="3" t="s">
        <v>103</v>
      </c>
      <c r="N569" s="4">
        <v>23885</v>
      </c>
    </row>
    <row r="570" spans="1:14" x14ac:dyDescent="0.25">
      <c r="A570" s="5" t="str">
        <f t="shared" si="11"/>
        <v>Connecticut-Sadye Diloreto</v>
      </c>
      <c r="B570" s="3" t="s">
        <v>42</v>
      </c>
      <c r="C570" s="3" t="s">
        <v>95</v>
      </c>
      <c r="D570" s="4">
        <v>10843</v>
      </c>
      <c r="L570" s="3" t="s">
        <v>53</v>
      </c>
      <c r="M570" s="3" t="s">
        <v>121</v>
      </c>
      <c r="N570" s="4">
        <v>66824</v>
      </c>
    </row>
    <row r="571" spans="1:14" x14ac:dyDescent="0.25">
      <c r="A571" s="5" t="str">
        <f t="shared" si="11"/>
        <v>Maryland-Marcel Davern</v>
      </c>
      <c r="B571" s="3" t="s">
        <v>57</v>
      </c>
      <c r="C571" s="3" t="s">
        <v>119</v>
      </c>
      <c r="D571" s="4">
        <v>147575</v>
      </c>
      <c r="L571" s="3" t="s">
        <v>53</v>
      </c>
      <c r="M571" s="3" t="s">
        <v>107</v>
      </c>
      <c r="N571" s="4">
        <v>166556</v>
      </c>
    </row>
    <row r="572" spans="1:14" x14ac:dyDescent="0.25">
      <c r="A572" s="5" t="str">
        <f t="shared" si="11"/>
        <v>Massachusetts-Keila Rossini</v>
      </c>
      <c r="B572" s="3" t="s">
        <v>58</v>
      </c>
      <c r="C572" s="3" t="s">
        <v>102</v>
      </c>
      <c r="D572" s="4">
        <v>26645</v>
      </c>
      <c r="L572" s="3" t="s">
        <v>54</v>
      </c>
      <c r="M572" s="3" t="s">
        <v>116</v>
      </c>
      <c r="N572" s="4">
        <v>161018</v>
      </c>
    </row>
    <row r="573" spans="1:14" x14ac:dyDescent="0.25">
      <c r="A573" s="5" t="str">
        <f t="shared" si="11"/>
        <v>Indiana-Jackson Lorkowski</v>
      </c>
      <c r="B573" s="3" t="s">
        <v>51</v>
      </c>
      <c r="C573" s="3" t="s">
        <v>120</v>
      </c>
      <c r="D573" s="4">
        <v>99022</v>
      </c>
      <c r="L573" s="3" t="s">
        <v>54</v>
      </c>
      <c r="M573" s="3" t="s">
        <v>108</v>
      </c>
      <c r="N573" s="4">
        <v>77860</v>
      </c>
    </row>
    <row r="574" spans="1:14" x14ac:dyDescent="0.25">
      <c r="A574" s="5" t="str">
        <f t="shared" si="11"/>
        <v>Minnesota-Armand Mcleon</v>
      </c>
      <c r="B574" s="3" t="s">
        <v>60</v>
      </c>
      <c r="C574" s="3" t="s">
        <v>110</v>
      </c>
      <c r="D574" s="4">
        <v>88583</v>
      </c>
      <c r="L574" s="3" t="s">
        <v>54</v>
      </c>
      <c r="M574" s="3" t="s">
        <v>110</v>
      </c>
      <c r="N574" s="4">
        <v>40486</v>
      </c>
    </row>
    <row r="575" spans="1:14" x14ac:dyDescent="0.25">
      <c r="A575" s="5" t="str">
        <f t="shared" si="11"/>
        <v>Delaware-Jackson Lorkowski</v>
      </c>
      <c r="B575" s="3" t="s">
        <v>43</v>
      </c>
      <c r="C575" s="3" t="s">
        <v>120</v>
      </c>
      <c r="D575" s="4">
        <v>7653</v>
      </c>
      <c r="L575" s="3" t="s">
        <v>54</v>
      </c>
      <c r="M575" s="3" t="s">
        <v>99</v>
      </c>
      <c r="N575" s="4">
        <v>7054</v>
      </c>
    </row>
    <row r="576" spans="1:14" x14ac:dyDescent="0.25">
      <c r="A576" s="5" t="str">
        <f t="shared" si="11"/>
        <v>Pennsylvania-Genna Zaller</v>
      </c>
      <c r="B576" s="3" t="s">
        <v>76</v>
      </c>
      <c r="C576" s="3" t="s">
        <v>117</v>
      </c>
      <c r="D576" s="4">
        <v>123477</v>
      </c>
      <c r="L576" s="3" t="s">
        <v>54</v>
      </c>
      <c r="M576" s="3" t="s">
        <v>124</v>
      </c>
      <c r="N576" s="4">
        <v>10390</v>
      </c>
    </row>
    <row r="577" spans="1:14" x14ac:dyDescent="0.25">
      <c r="A577" s="5" t="str">
        <f t="shared" si="11"/>
        <v>Tennessee-Toi Zedaker</v>
      </c>
      <c r="B577" s="3" t="s">
        <v>81</v>
      </c>
      <c r="C577" s="3" t="s">
        <v>121</v>
      </c>
      <c r="D577" s="4">
        <v>102496</v>
      </c>
      <c r="L577" s="3" t="s">
        <v>54</v>
      </c>
      <c r="M577" s="3" t="s">
        <v>96</v>
      </c>
      <c r="N577" s="4">
        <v>124589</v>
      </c>
    </row>
    <row r="578" spans="1:14" x14ac:dyDescent="0.25">
      <c r="A578" s="5" t="str">
        <f t="shared" ref="A578:A641" si="12">B578&amp;"-"&amp;C578</f>
        <v>South Carolina-Toi Medico</v>
      </c>
      <c r="B578" s="3" t="s">
        <v>79</v>
      </c>
      <c r="C578" s="3" t="s">
        <v>103</v>
      </c>
      <c r="D578" s="4">
        <v>173392</v>
      </c>
      <c r="L578" s="3" t="s">
        <v>54</v>
      </c>
      <c r="M578" s="3" t="s">
        <v>115</v>
      </c>
      <c r="N578" s="4">
        <v>132913</v>
      </c>
    </row>
    <row r="579" spans="1:14" x14ac:dyDescent="0.25">
      <c r="A579" s="5" t="str">
        <f t="shared" si="12"/>
        <v>Maryland-Kai Stroebel</v>
      </c>
      <c r="B579" s="3" t="s">
        <v>57</v>
      </c>
      <c r="C579" s="3" t="s">
        <v>111</v>
      </c>
      <c r="D579" s="4">
        <v>40599</v>
      </c>
      <c r="L579" s="3" t="s">
        <v>54</v>
      </c>
      <c r="M579" s="3" t="s">
        <v>117</v>
      </c>
      <c r="N579" s="4">
        <v>43176</v>
      </c>
    </row>
    <row r="580" spans="1:14" x14ac:dyDescent="0.25">
      <c r="A580" s="5" t="str">
        <f t="shared" si="12"/>
        <v>Iowa-Jackson Lorkowski</v>
      </c>
      <c r="B580" s="3" t="s">
        <v>52</v>
      </c>
      <c r="C580" s="3" t="s">
        <v>120</v>
      </c>
      <c r="D580" s="4">
        <v>87150</v>
      </c>
      <c r="L580" s="3" t="s">
        <v>54</v>
      </c>
      <c r="M580" s="3" t="s">
        <v>120</v>
      </c>
      <c r="N580" s="4">
        <v>53804</v>
      </c>
    </row>
    <row r="581" spans="1:14" x14ac:dyDescent="0.25">
      <c r="A581" s="5" t="str">
        <f t="shared" si="12"/>
        <v>Rhode Island-Raphael Derrig</v>
      </c>
      <c r="B581" s="3" t="s">
        <v>78</v>
      </c>
      <c r="C581" s="3" t="s">
        <v>109</v>
      </c>
      <c r="D581" s="4">
        <v>10281</v>
      </c>
      <c r="L581" s="3" t="s">
        <v>54</v>
      </c>
      <c r="M581" s="3" t="s">
        <v>111</v>
      </c>
      <c r="N581" s="4">
        <v>160353</v>
      </c>
    </row>
    <row r="582" spans="1:14" x14ac:dyDescent="0.25">
      <c r="A582" s="5" t="str">
        <f t="shared" si="12"/>
        <v>Montana-Lashon Bongers</v>
      </c>
      <c r="B582" s="3" t="s">
        <v>63</v>
      </c>
      <c r="C582" s="3" t="s">
        <v>106</v>
      </c>
      <c r="D582" s="4">
        <v>133533</v>
      </c>
      <c r="L582" s="3" t="s">
        <v>54</v>
      </c>
      <c r="M582" s="3" t="s">
        <v>102</v>
      </c>
      <c r="N582" s="4">
        <v>65244</v>
      </c>
    </row>
    <row r="583" spans="1:14" x14ac:dyDescent="0.25">
      <c r="A583" s="5" t="str">
        <f t="shared" si="12"/>
        <v>Virginia-Toi Zedaker</v>
      </c>
      <c r="B583" s="3" t="s">
        <v>85</v>
      </c>
      <c r="C583" s="3" t="s">
        <v>121</v>
      </c>
      <c r="D583" s="4">
        <v>150943</v>
      </c>
      <c r="L583" s="3" t="s">
        <v>54</v>
      </c>
      <c r="M583" s="3" t="s">
        <v>106</v>
      </c>
      <c r="N583" s="4">
        <v>120860</v>
      </c>
    </row>
    <row r="584" spans="1:14" x14ac:dyDescent="0.25">
      <c r="A584" s="5" t="str">
        <f t="shared" si="12"/>
        <v>New York-Cliff Galinski</v>
      </c>
      <c r="B584" s="3" t="s">
        <v>69</v>
      </c>
      <c r="C584" s="3" t="s">
        <v>124</v>
      </c>
      <c r="D584" s="4">
        <v>59449</v>
      </c>
      <c r="L584" s="3" t="s">
        <v>54</v>
      </c>
      <c r="M584" s="3" t="s">
        <v>123</v>
      </c>
      <c r="N584" s="4">
        <v>109605</v>
      </c>
    </row>
    <row r="585" spans="1:14" x14ac:dyDescent="0.25">
      <c r="A585" s="5" t="str">
        <f t="shared" si="12"/>
        <v>Vermont-Cliff Galinski</v>
      </c>
      <c r="B585" s="3" t="s">
        <v>84</v>
      </c>
      <c r="C585" s="3" t="s">
        <v>124</v>
      </c>
      <c r="D585" s="4">
        <v>133611</v>
      </c>
      <c r="L585" s="3" t="s">
        <v>54</v>
      </c>
      <c r="M585" s="3" t="s">
        <v>97</v>
      </c>
      <c r="N585" s="4">
        <v>131842</v>
      </c>
    </row>
    <row r="586" spans="1:14" x14ac:dyDescent="0.25">
      <c r="A586" s="5" t="str">
        <f t="shared" si="12"/>
        <v>Delaware-Moises Paynes</v>
      </c>
      <c r="B586" s="3" t="s">
        <v>43</v>
      </c>
      <c r="C586" s="3" t="s">
        <v>104</v>
      </c>
      <c r="D586" s="4">
        <v>130233</v>
      </c>
      <c r="L586" s="3" t="s">
        <v>54</v>
      </c>
      <c r="M586" s="3" t="s">
        <v>119</v>
      </c>
      <c r="N586" s="4">
        <v>113377</v>
      </c>
    </row>
    <row r="587" spans="1:14" x14ac:dyDescent="0.25">
      <c r="A587" s="5" t="str">
        <f t="shared" si="12"/>
        <v>North Carolina-Quinton Modugno</v>
      </c>
      <c r="B587" s="3" t="s">
        <v>70</v>
      </c>
      <c r="C587" s="3" t="s">
        <v>101</v>
      </c>
      <c r="D587" s="4">
        <v>129630</v>
      </c>
      <c r="L587" s="3" t="s">
        <v>54</v>
      </c>
      <c r="M587" s="3" t="s">
        <v>113</v>
      </c>
      <c r="N587" s="4">
        <v>122156</v>
      </c>
    </row>
    <row r="588" spans="1:14" x14ac:dyDescent="0.25">
      <c r="A588" s="5" t="str">
        <f t="shared" si="12"/>
        <v>Virginia-Marvis Tenholder</v>
      </c>
      <c r="B588" s="3" t="s">
        <v>85</v>
      </c>
      <c r="C588" s="3" t="s">
        <v>105</v>
      </c>
      <c r="D588" s="4">
        <v>90963</v>
      </c>
      <c r="L588" s="3" t="s">
        <v>54</v>
      </c>
      <c r="M588" s="3" t="s">
        <v>105</v>
      </c>
      <c r="N588" s="4">
        <v>93505</v>
      </c>
    </row>
    <row r="589" spans="1:14" x14ac:dyDescent="0.25">
      <c r="A589" s="5" t="str">
        <f t="shared" si="12"/>
        <v>South Carolina-Marlin Mavromatis</v>
      </c>
      <c r="B589" s="3" t="s">
        <v>79</v>
      </c>
      <c r="C589" s="3" t="s">
        <v>113</v>
      </c>
      <c r="D589" s="4">
        <v>101142</v>
      </c>
      <c r="L589" s="3" t="s">
        <v>54</v>
      </c>
      <c r="M589" s="3" t="s">
        <v>104</v>
      </c>
      <c r="N589" s="4">
        <v>173182</v>
      </c>
    </row>
    <row r="590" spans="1:14" x14ac:dyDescent="0.25">
      <c r="A590" s="5" t="str">
        <f t="shared" si="12"/>
        <v>Utah-Raphael Bonawitz</v>
      </c>
      <c r="B590" s="3" t="s">
        <v>83</v>
      </c>
      <c r="C590" s="3" t="s">
        <v>122</v>
      </c>
      <c r="D590" s="4">
        <v>47252</v>
      </c>
      <c r="L590" s="3" t="s">
        <v>54</v>
      </c>
      <c r="M590" s="3" t="s">
        <v>100</v>
      </c>
      <c r="N590" s="4">
        <v>131384</v>
      </c>
    </row>
    <row r="591" spans="1:14" x14ac:dyDescent="0.25">
      <c r="A591" s="5" t="str">
        <f t="shared" si="12"/>
        <v>New York-Thaddeus Notah</v>
      </c>
      <c r="B591" s="3" t="s">
        <v>69</v>
      </c>
      <c r="C591" s="3" t="s">
        <v>112</v>
      </c>
      <c r="D591" s="4">
        <v>111917</v>
      </c>
      <c r="L591" s="3" t="s">
        <v>54</v>
      </c>
      <c r="M591" s="3" t="s">
        <v>118</v>
      </c>
      <c r="N591" s="4">
        <v>98484</v>
      </c>
    </row>
    <row r="592" spans="1:14" x14ac:dyDescent="0.25">
      <c r="A592" s="5" t="str">
        <f t="shared" si="12"/>
        <v>Kansas-Marcel Davern</v>
      </c>
      <c r="B592" s="3" t="s">
        <v>53</v>
      </c>
      <c r="C592" s="3" t="s">
        <v>119</v>
      </c>
      <c r="D592" s="4">
        <v>18006</v>
      </c>
      <c r="L592" s="3" t="s">
        <v>54</v>
      </c>
      <c r="M592" s="3" t="s">
        <v>101</v>
      </c>
      <c r="N592" s="4">
        <v>109808</v>
      </c>
    </row>
    <row r="593" spans="1:14" x14ac:dyDescent="0.25">
      <c r="A593" s="5" t="str">
        <f t="shared" si="12"/>
        <v>Hawaii-Toi Zedaker</v>
      </c>
      <c r="B593" s="3" t="s">
        <v>48</v>
      </c>
      <c r="C593" s="3" t="s">
        <v>121</v>
      </c>
      <c r="D593" s="4">
        <v>60206</v>
      </c>
      <c r="L593" s="3" t="s">
        <v>54</v>
      </c>
      <c r="M593" s="3" t="s">
        <v>122</v>
      </c>
      <c r="N593" s="4">
        <v>159392</v>
      </c>
    </row>
    <row r="594" spans="1:14" x14ac:dyDescent="0.25">
      <c r="A594" s="5" t="str">
        <f t="shared" si="12"/>
        <v>New Jersey-Cliff Galinski</v>
      </c>
      <c r="B594" s="3" t="s">
        <v>67</v>
      </c>
      <c r="C594" s="3" t="s">
        <v>124</v>
      </c>
      <c r="D594" s="4">
        <v>93838</v>
      </c>
      <c r="L594" s="3" t="s">
        <v>54</v>
      </c>
      <c r="M594" s="3" t="s">
        <v>109</v>
      </c>
      <c r="N594" s="4">
        <v>132734</v>
      </c>
    </row>
    <row r="595" spans="1:14" x14ac:dyDescent="0.25">
      <c r="A595" s="5" t="str">
        <f t="shared" si="12"/>
        <v>Rhode Island-Armand Mcleon</v>
      </c>
      <c r="B595" s="3" t="s">
        <v>78</v>
      </c>
      <c r="C595" s="3" t="s">
        <v>110</v>
      </c>
      <c r="D595" s="4">
        <v>101734</v>
      </c>
      <c r="L595" s="3" t="s">
        <v>54</v>
      </c>
      <c r="M595" s="3" t="s">
        <v>95</v>
      </c>
      <c r="N595" s="4">
        <v>95499</v>
      </c>
    </row>
    <row r="596" spans="1:14" x14ac:dyDescent="0.25">
      <c r="A596" s="5" t="str">
        <f t="shared" si="12"/>
        <v>Northern Marianas Islands-Ali Stupp</v>
      </c>
      <c r="B596" s="3" t="s">
        <v>72</v>
      </c>
      <c r="C596" s="3" t="s">
        <v>108</v>
      </c>
      <c r="D596" s="4">
        <v>122571</v>
      </c>
      <c r="L596" s="3" t="s">
        <v>54</v>
      </c>
      <c r="M596" s="3" t="s">
        <v>98</v>
      </c>
      <c r="N596" s="4">
        <v>143314</v>
      </c>
    </row>
    <row r="597" spans="1:14" x14ac:dyDescent="0.25">
      <c r="A597" s="5" t="str">
        <f t="shared" si="12"/>
        <v>New Mexico-Toi Zedaker</v>
      </c>
      <c r="B597" s="3" t="s">
        <v>68</v>
      </c>
      <c r="C597" s="3" t="s">
        <v>121</v>
      </c>
      <c r="D597" s="4">
        <v>139506</v>
      </c>
      <c r="L597" s="3" t="s">
        <v>54</v>
      </c>
      <c r="M597" s="3" t="s">
        <v>114</v>
      </c>
      <c r="N597" s="4">
        <v>140403</v>
      </c>
    </row>
    <row r="598" spans="1:14" x14ac:dyDescent="0.25">
      <c r="A598" s="5" t="str">
        <f t="shared" si="12"/>
        <v>Alaska-Nolan Gohn</v>
      </c>
      <c r="B598" s="3" t="s">
        <v>36</v>
      </c>
      <c r="C598" s="3" t="s">
        <v>118</v>
      </c>
      <c r="D598" s="4">
        <v>150131</v>
      </c>
      <c r="L598" s="3" t="s">
        <v>54</v>
      </c>
      <c r="M598" s="3" t="s">
        <v>112</v>
      </c>
      <c r="N598" s="4">
        <v>153080</v>
      </c>
    </row>
    <row r="599" spans="1:14" x14ac:dyDescent="0.25">
      <c r="A599" s="5" t="str">
        <f t="shared" si="12"/>
        <v>Utah-Lashon Bongers</v>
      </c>
      <c r="B599" s="3" t="s">
        <v>83</v>
      </c>
      <c r="C599" s="3" t="s">
        <v>106</v>
      </c>
      <c r="D599" s="4">
        <v>117314</v>
      </c>
      <c r="L599" s="3" t="s">
        <v>54</v>
      </c>
      <c r="M599" s="3" t="s">
        <v>103</v>
      </c>
      <c r="N599" s="4">
        <v>93421</v>
      </c>
    </row>
    <row r="600" spans="1:14" x14ac:dyDescent="0.25">
      <c r="A600" s="5" t="str">
        <f t="shared" si="12"/>
        <v>Indiana-Cliff Schnautz</v>
      </c>
      <c r="B600" s="3" t="s">
        <v>51</v>
      </c>
      <c r="C600" s="3" t="s">
        <v>96</v>
      </c>
      <c r="D600" s="4">
        <v>7588</v>
      </c>
      <c r="L600" s="3" t="s">
        <v>54</v>
      </c>
      <c r="M600" s="3" t="s">
        <v>121</v>
      </c>
      <c r="N600" s="4">
        <v>23701</v>
      </c>
    </row>
    <row r="601" spans="1:14" x14ac:dyDescent="0.25">
      <c r="A601" s="5" t="str">
        <f t="shared" si="12"/>
        <v>Pennsylvania-Twanda Lovenduski</v>
      </c>
      <c r="B601" s="3" t="s">
        <v>76</v>
      </c>
      <c r="C601" s="3" t="s">
        <v>107</v>
      </c>
      <c r="D601" s="4">
        <v>34892</v>
      </c>
      <c r="L601" s="3" t="s">
        <v>54</v>
      </c>
      <c r="M601" s="3" t="s">
        <v>107</v>
      </c>
      <c r="N601" s="4">
        <v>138849</v>
      </c>
    </row>
    <row r="602" spans="1:14" x14ac:dyDescent="0.25">
      <c r="A602" s="5" t="str">
        <f t="shared" si="12"/>
        <v>New York-Twanda Lovenduski</v>
      </c>
      <c r="B602" s="3" t="s">
        <v>69</v>
      </c>
      <c r="C602" s="3" t="s">
        <v>107</v>
      </c>
      <c r="D602" s="4">
        <v>68902</v>
      </c>
      <c r="L602" s="3" t="s">
        <v>55</v>
      </c>
      <c r="M602" s="3" t="s">
        <v>116</v>
      </c>
      <c r="N602" s="4">
        <v>112460</v>
      </c>
    </row>
    <row r="603" spans="1:14" x14ac:dyDescent="0.25">
      <c r="A603" s="5" t="str">
        <f t="shared" si="12"/>
        <v>New Jersey-Cliff Bahlmann</v>
      </c>
      <c r="B603" s="3" t="s">
        <v>67</v>
      </c>
      <c r="C603" s="3" t="s">
        <v>99</v>
      </c>
      <c r="D603" s="4">
        <v>24125</v>
      </c>
      <c r="L603" s="3" t="s">
        <v>55</v>
      </c>
      <c r="M603" s="3" t="s">
        <v>108</v>
      </c>
      <c r="N603" s="4">
        <v>142854</v>
      </c>
    </row>
    <row r="604" spans="1:14" x14ac:dyDescent="0.25">
      <c r="A604" s="5" t="str">
        <f t="shared" si="12"/>
        <v>Puerto Rico-Cliff Galinski</v>
      </c>
      <c r="B604" s="3" t="s">
        <v>77</v>
      </c>
      <c r="C604" s="3" t="s">
        <v>124</v>
      </c>
      <c r="D604" s="4">
        <v>33866</v>
      </c>
      <c r="L604" s="3" t="s">
        <v>55</v>
      </c>
      <c r="M604" s="3" t="s">
        <v>110</v>
      </c>
      <c r="N604" s="4">
        <v>9197</v>
      </c>
    </row>
    <row r="605" spans="1:14" x14ac:dyDescent="0.25">
      <c r="A605" s="5" t="str">
        <f t="shared" si="12"/>
        <v>Massachusetts-Marvis Tenholder</v>
      </c>
      <c r="B605" s="3" t="s">
        <v>58</v>
      </c>
      <c r="C605" s="3" t="s">
        <v>105</v>
      </c>
      <c r="D605" s="4">
        <v>104183</v>
      </c>
      <c r="L605" s="3" t="s">
        <v>55</v>
      </c>
      <c r="M605" s="3" t="s">
        <v>99</v>
      </c>
      <c r="N605" s="4">
        <v>143646</v>
      </c>
    </row>
    <row r="606" spans="1:14" x14ac:dyDescent="0.25">
      <c r="A606" s="5" t="str">
        <f t="shared" si="12"/>
        <v>Maryland-Keila Rossini</v>
      </c>
      <c r="B606" s="3" t="s">
        <v>57</v>
      </c>
      <c r="C606" s="3" t="s">
        <v>102</v>
      </c>
      <c r="D606" s="4">
        <v>121848</v>
      </c>
      <c r="L606" s="3" t="s">
        <v>55</v>
      </c>
      <c r="M606" s="3" t="s">
        <v>124</v>
      </c>
      <c r="N606" s="4">
        <v>125445</v>
      </c>
    </row>
    <row r="607" spans="1:14" x14ac:dyDescent="0.25">
      <c r="A607" s="5" t="str">
        <f t="shared" si="12"/>
        <v>Idaho-Cliff Galinski</v>
      </c>
      <c r="B607" s="3" t="s">
        <v>49</v>
      </c>
      <c r="C607" s="3" t="s">
        <v>124</v>
      </c>
      <c r="D607" s="4">
        <v>148034</v>
      </c>
      <c r="L607" s="3" t="s">
        <v>55</v>
      </c>
      <c r="M607" s="3" t="s">
        <v>96</v>
      </c>
      <c r="N607" s="4">
        <v>46631</v>
      </c>
    </row>
    <row r="608" spans="1:14" x14ac:dyDescent="0.25">
      <c r="A608" s="5" t="str">
        <f t="shared" si="12"/>
        <v>Nevada-Jackson Lorkowski</v>
      </c>
      <c r="B608" s="3" t="s">
        <v>65</v>
      </c>
      <c r="C608" s="3" t="s">
        <v>120</v>
      </c>
      <c r="D608" s="4">
        <v>120024</v>
      </c>
      <c r="L608" s="3" t="s">
        <v>55</v>
      </c>
      <c r="M608" s="3" t="s">
        <v>115</v>
      </c>
      <c r="N608" s="4">
        <v>131645</v>
      </c>
    </row>
    <row r="609" spans="1:14" x14ac:dyDescent="0.25">
      <c r="A609" s="5" t="str">
        <f t="shared" si="12"/>
        <v>Arizona-Son Shryack</v>
      </c>
      <c r="B609" s="3" t="s">
        <v>38</v>
      </c>
      <c r="C609" s="3" t="s">
        <v>98</v>
      </c>
      <c r="D609" s="4">
        <v>91114</v>
      </c>
      <c r="L609" s="3" t="s">
        <v>55</v>
      </c>
      <c r="M609" s="3" t="s">
        <v>117</v>
      </c>
      <c r="N609" s="4">
        <v>110481</v>
      </c>
    </row>
    <row r="610" spans="1:14" x14ac:dyDescent="0.25">
      <c r="A610" s="5" t="str">
        <f t="shared" si="12"/>
        <v>Kentucky-Toi Zedaker</v>
      </c>
      <c r="B610" s="3" t="s">
        <v>54</v>
      </c>
      <c r="C610" s="3" t="s">
        <v>121</v>
      </c>
      <c r="D610" s="4">
        <v>23701</v>
      </c>
      <c r="L610" s="3" t="s">
        <v>55</v>
      </c>
      <c r="M610" s="3" t="s">
        <v>120</v>
      </c>
      <c r="N610" s="4">
        <v>42228</v>
      </c>
    </row>
    <row r="611" spans="1:14" x14ac:dyDescent="0.25">
      <c r="A611" s="5" t="str">
        <f t="shared" si="12"/>
        <v>North Carolina-Thaddeus Notah</v>
      </c>
      <c r="B611" s="3" t="s">
        <v>70</v>
      </c>
      <c r="C611" s="3" t="s">
        <v>112</v>
      </c>
      <c r="D611" s="4">
        <v>72333</v>
      </c>
      <c r="L611" s="3" t="s">
        <v>55</v>
      </c>
      <c r="M611" s="3" t="s">
        <v>111</v>
      </c>
      <c r="N611" s="4">
        <v>44314</v>
      </c>
    </row>
    <row r="612" spans="1:14" x14ac:dyDescent="0.25">
      <c r="A612" s="5" t="str">
        <f t="shared" si="12"/>
        <v>Maine-Marlin Mavromatis</v>
      </c>
      <c r="B612" s="3" t="s">
        <v>56</v>
      </c>
      <c r="C612" s="3" t="s">
        <v>113</v>
      </c>
      <c r="D612" s="4">
        <v>76237</v>
      </c>
      <c r="L612" s="3" t="s">
        <v>55</v>
      </c>
      <c r="M612" s="3" t="s">
        <v>102</v>
      </c>
      <c r="N612" s="4">
        <v>99917</v>
      </c>
    </row>
    <row r="613" spans="1:14" x14ac:dyDescent="0.25">
      <c r="A613" s="5" t="str">
        <f t="shared" si="12"/>
        <v>Vermont-Cliff Schnautz</v>
      </c>
      <c r="B613" s="3" t="s">
        <v>84</v>
      </c>
      <c r="C613" s="3" t="s">
        <v>96</v>
      </c>
      <c r="D613" s="4">
        <v>73367</v>
      </c>
      <c r="L613" s="3" t="s">
        <v>55</v>
      </c>
      <c r="M613" s="3" t="s">
        <v>106</v>
      </c>
      <c r="N613" s="4">
        <v>154605</v>
      </c>
    </row>
    <row r="614" spans="1:14" x14ac:dyDescent="0.25">
      <c r="A614" s="5" t="str">
        <f t="shared" si="12"/>
        <v>New Mexico-Lucilla Bilecki</v>
      </c>
      <c r="B614" s="3" t="s">
        <v>68</v>
      </c>
      <c r="C614" s="3" t="s">
        <v>97</v>
      </c>
      <c r="D614" s="4">
        <v>114014</v>
      </c>
      <c r="L614" s="3" t="s">
        <v>55</v>
      </c>
      <c r="M614" s="3" t="s">
        <v>123</v>
      </c>
      <c r="N614" s="4">
        <v>133680</v>
      </c>
    </row>
    <row r="615" spans="1:14" x14ac:dyDescent="0.25">
      <c r="A615" s="5" t="str">
        <f t="shared" si="12"/>
        <v>New Hampshire-Jackson Lorkowski</v>
      </c>
      <c r="B615" s="3" t="s">
        <v>66</v>
      </c>
      <c r="C615" s="3" t="s">
        <v>120</v>
      </c>
      <c r="D615" s="4">
        <v>99473</v>
      </c>
      <c r="L615" s="3" t="s">
        <v>55</v>
      </c>
      <c r="M615" s="3" t="s">
        <v>97</v>
      </c>
      <c r="N615" s="4">
        <v>104719</v>
      </c>
    </row>
    <row r="616" spans="1:14" x14ac:dyDescent="0.25">
      <c r="A616" s="5" t="str">
        <f t="shared" si="12"/>
        <v>Iowa-Nolan Gohn</v>
      </c>
      <c r="B616" s="3" t="s">
        <v>52</v>
      </c>
      <c r="C616" s="3" t="s">
        <v>118</v>
      </c>
      <c r="D616" s="4">
        <v>80638</v>
      </c>
      <c r="L616" s="3" t="s">
        <v>55</v>
      </c>
      <c r="M616" s="3" t="s">
        <v>119</v>
      </c>
      <c r="N616" s="4">
        <v>49451</v>
      </c>
    </row>
    <row r="617" spans="1:14" x14ac:dyDescent="0.25">
      <c r="A617" s="5" t="str">
        <f t="shared" si="12"/>
        <v>American Samoa-Nolan Gohn</v>
      </c>
      <c r="B617" s="3" t="s">
        <v>37</v>
      </c>
      <c r="C617" s="3" t="s">
        <v>118</v>
      </c>
      <c r="D617" s="4">
        <v>156146</v>
      </c>
      <c r="L617" s="3" t="s">
        <v>55</v>
      </c>
      <c r="M617" s="3" t="s">
        <v>113</v>
      </c>
      <c r="N617" s="4">
        <v>135146</v>
      </c>
    </row>
    <row r="618" spans="1:14" x14ac:dyDescent="0.25">
      <c r="A618" s="5" t="str">
        <f t="shared" si="12"/>
        <v>West Virginia-Cliff Bahlmann</v>
      </c>
      <c r="B618" s="3" t="s">
        <v>88</v>
      </c>
      <c r="C618" s="3" t="s">
        <v>99</v>
      </c>
      <c r="D618" s="4">
        <v>130682</v>
      </c>
      <c r="L618" s="3" t="s">
        <v>55</v>
      </c>
      <c r="M618" s="3" t="s">
        <v>105</v>
      </c>
      <c r="N618" s="4">
        <v>73452</v>
      </c>
    </row>
    <row r="619" spans="1:14" x14ac:dyDescent="0.25">
      <c r="A619" s="5" t="str">
        <f t="shared" si="12"/>
        <v>Nevada-Marlin Mavromatis</v>
      </c>
      <c r="B619" s="3" t="s">
        <v>65</v>
      </c>
      <c r="C619" s="3" t="s">
        <v>113</v>
      </c>
      <c r="D619" s="4">
        <v>30577</v>
      </c>
      <c r="L619" s="3" t="s">
        <v>55</v>
      </c>
      <c r="M619" s="3" t="s">
        <v>104</v>
      </c>
      <c r="N619" s="4">
        <v>139824</v>
      </c>
    </row>
    <row r="620" spans="1:14" x14ac:dyDescent="0.25">
      <c r="A620" s="5" t="str">
        <f t="shared" si="12"/>
        <v>California-Kai Stroebel</v>
      </c>
      <c r="B620" s="3" t="s">
        <v>40</v>
      </c>
      <c r="C620" s="3" t="s">
        <v>111</v>
      </c>
      <c r="D620" s="4">
        <v>54465</v>
      </c>
      <c r="L620" s="3" t="s">
        <v>55</v>
      </c>
      <c r="M620" s="3" t="s">
        <v>100</v>
      </c>
      <c r="N620" s="4">
        <v>125326</v>
      </c>
    </row>
    <row r="621" spans="1:14" x14ac:dyDescent="0.25">
      <c r="A621" s="5" t="str">
        <f t="shared" si="12"/>
        <v>Colorado-Ali Steenken</v>
      </c>
      <c r="B621" s="3" t="s">
        <v>41</v>
      </c>
      <c r="C621" s="3" t="s">
        <v>116</v>
      </c>
      <c r="D621" s="4">
        <v>116704</v>
      </c>
      <c r="L621" s="3" t="s">
        <v>55</v>
      </c>
      <c r="M621" s="3" t="s">
        <v>118</v>
      </c>
      <c r="N621" s="4">
        <v>27772</v>
      </c>
    </row>
    <row r="622" spans="1:14" x14ac:dyDescent="0.25">
      <c r="A622" s="5" t="str">
        <f t="shared" si="12"/>
        <v>Maryland-Lucilla Bilecki</v>
      </c>
      <c r="B622" s="3" t="s">
        <v>57</v>
      </c>
      <c r="C622" s="3" t="s">
        <v>97</v>
      </c>
      <c r="D622" s="4">
        <v>105263</v>
      </c>
      <c r="L622" s="3" t="s">
        <v>55</v>
      </c>
      <c r="M622" s="3" t="s">
        <v>101</v>
      </c>
      <c r="N622" s="4">
        <v>82168</v>
      </c>
    </row>
    <row r="623" spans="1:14" x14ac:dyDescent="0.25">
      <c r="A623" s="5" t="str">
        <f t="shared" si="12"/>
        <v>Mississippi-Cliff Galinski</v>
      </c>
      <c r="B623" s="3" t="s">
        <v>61</v>
      </c>
      <c r="C623" s="3" t="s">
        <v>124</v>
      </c>
      <c r="D623" s="4">
        <v>147462</v>
      </c>
      <c r="L623" s="3" t="s">
        <v>55</v>
      </c>
      <c r="M623" s="3" t="s">
        <v>122</v>
      </c>
      <c r="N623" s="4">
        <v>38421</v>
      </c>
    </row>
    <row r="624" spans="1:14" x14ac:dyDescent="0.25">
      <c r="A624" s="5" t="str">
        <f t="shared" si="12"/>
        <v>Montana-Raphael Derrig</v>
      </c>
      <c r="B624" s="3" t="s">
        <v>63</v>
      </c>
      <c r="C624" s="3" t="s">
        <v>109</v>
      </c>
      <c r="D624" s="4">
        <v>75883</v>
      </c>
      <c r="L624" s="3" t="s">
        <v>55</v>
      </c>
      <c r="M624" s="3" t="s">
        <v>109</v>
      </c>
      <c r="N624" s="4">
        <v>90178</v>
      </c>
    </row>
    <row r="625" spans="1:14" x14ac:dyDescent="0.25">
      <c r="A625" s="5" t="str">
        <f t="shared" si="12"/>
        <v>West Virginia-Son Shryack</v>
      </c>
      <c r="B625" s="3" t="s">
        <v>88</v>
      </c>
      <c r="C625" s="3" t="s">
        <v>98</v>
      </c>
      <c r="D625" s="4">
        <v>163759</v>
      </c>
      <c r="L625" s="3" t="s">
        <v>55</v>
      </c>
      <c r="M625" s="3" t="s">
        <v>95</v>
      </c>
      <c r="N625" s="4">
        <v>4466</v>
      </c>
    </row>
    <row r="626" spans="1:14" x14ac:dyDescent="0.25">
      <c r="A626" s="5" t="str">
        <f t="shared" si="12"/>
        <v>Texas-Marvis Tenholder</v>
      </c>
      <c r="B626" s="3" t="s">
        <v>82</v>
      </c>
      <c r="C626" s="3" t="s">
        <v>105</v>
      </c>
      <c r="D626" s="4">
        <v>116301</v>
      </c>
      <c r="L626" s="3" t="s">
        <v>55</v>
      </c>
      <c r="M626" s="3" t="s">
        <v>98</v>
      </c>
      <c r="N626" s="4">
        <v>115312</v>
      </c>
    </row>
    <row r="627" spans="1:14" x14ac:dyDescent="0.25">
      <c r="A627" s="5" t="str">
        <f t="shared" si="12"/>
        <v>New Hampshire-Kai Stroebel</v>
      </c>
      <c r="B627" s="3" t="s">
        <v>66</v>
      </c>
      <c r="C627" s="3" t="s">
        <v>111</v>
      </c>
      <c r="D627" s="4">
        <v>154042</v>
      </c>
      <c r="L627" s="3" t="s">
        <v>55</v>
      </c>
      <c r="M627" s="3" t="s">
        <v>114</v>
      </c>
      <c r="N627" s="4">
        <v>132425</v>
      </c>
    </row>
    <row r="628" spans="1:14" x14ac:dyDescent="0.25">
      <c r="A628" s="5" t="str">
        <f t="shared" si="12"/>
        <v>American Samoa-Lashon Bongers</v>
      </c>
      <c r="B628" s="3" t="s">
        <v>37</v>
      </c>
      <c r="C628" s="3" t="s">
        <v>106</v>
      </c>
      <c r="D628" s="4">
        <v>92634</v>
      </c>
      <c r="L628" s="3" t="s">
        <v>55</v>
      </c>
      <c r="M628" s="3" t="s">
        <v>112</v>
      </c>
      <c r="N628" s="4">
        <v>103903</v>
      </c>
    </row>
    <row r="629" spans="1:14" x14ac:dyDescent="0.25">
      <c r="A629" s="5" t="str">
        <f t="shared" si="12"/>
        <v>Delaware-Lucilla Bilecki</v>
      </c>
      <c r="B629" s="3" t="s">
        <v>43</v>
      </c>
      <c r="C629" s="3" t="s">
        <v>97</v>
      </c>
      <c r="D629" s="4">
        <v>7538</v>
      </c>
      <c r="L629" s="3" t="s">
        <v>55</v>
      </c>
      <c r="M629" s="3" t="s">
        <v>103</v>
      </c>
      <c r="N629" s="4">
        <v>60762</v>
      </c>
    </row>
    <row r="630" spans="1:14" x14ac:dyDescent="0.25">
      <c r="A630" s="5" t="str">
        <f t="shared" si="12"/>
        <v>South Carolina-Son Shryack</v>
      </c>
      <c r="B630" s="3" t="s">
        <v>79</v>
      </c>
      <c r="C630" s="3" t="s">
        <v>98</v>
      </c>
      <c r="D630" s="4">
        <v>20815</v>
      </c>
      <c r="L630" s="3" t="s">
        <v>55</v>
      </c>
      <c r="M630" s="3" t="s">
        <v>121</v>
      </c>
      <c r="N630" s="4">
        <v>106954</v>
      </c>
    </row>
    <row r="631" spans="1:14" x14ac:dyDescent="0.25">
      <c r="A631" s="5" t="str">
        <f t="shared" si="12"/>
        <v>Pennsylvania-Toi Zedaker</v>
      </c>
      <c r="B631" s="3" t="s">
        <v>76</v>
      </c>
      <c r="C631" s="3" t="s">
        <v>121</v>
      </c>
      <c r="D631" s="4">
        <v>53915</v>
      </c>
      <c r="L631" s="3" t="s">
        <v>55</v>
      </c>
      <c r="M631" s="3" t="s">
        <v>107</v>
      </c>
      <c r="N631" s="4">
        <v>111581</v>
      </c>
    </row>
    <row r="632" spans="1:14" x14ac:dyDescent="0.25">
      <c r="A632" s="5" t="str">
        <f t="shared" si="12"/>
        <v>Vermont-Keila Rossini</v>
      </c>
      <c r="B632" s="3" t="s">
        <v>84</v>
      </c>
      <c r="C632" s="3" t="s">
        <v>102</v>
      </c>
      <c r="D632" s="4">
        <v>128692</v>
      </c>
      <c r="L632" s="3" t="s">
        <v>56</v>
      </c>
      <c r="M632" s="3" t="s">
        <v>116</v>
      </c>
      <c r="N632" s="4">
        <v>152275</v>
      </c>
    </row>
    <row r="633" spans="1:14" x14ac:dyDescent="0.25">
      <c r="A633" s="5" t="str">
        <f t="shared" si="12"/>
        <v>Wisconsin-Ali Steenken</v>
      </c>
      <c r="B633" s="3" t="s">
        <v>89</v>
      </c>
      <c r="C633" s="3" t="s">
        <v>116</v>
      </c>
      <c r="D633" s="4">
        <v>172851</v>
      </c>
      <c r="L633" s="3" t="s">
        <v>56</v>
      </c>
      <c r="M633" s="3" t="s">
        <v>108</v>
      </c>
      <c r="N633" s="4">
        <v>8989</v>
      </c>
    </row>
    <row r="634" spans="1:14" x14ac:dyDescent="0.25">
      <c r="A634" s="5" t="str">
        <f t="shared" si="12"/>
        <v>Delaware-Armand Mcleon</v>
      </c>
      <c r="B634" s="3" t="s">
        <v>43</v>
      </c>
      <c r="C634" s="3" t="s">
        <v>110</v>
      </c>
      <c r="D634" s="4">
        <v>15170</v>
      </c>
      <c r="L634" s="3" t="s">
        <v>56</v>
      </c>
      <c r="M634" s="3" t="s">
        <v>110</v>
      </c>
      <c r="N634" s="4">
        <v>33792</v>
      </c>
    </row>
    <row r="635" spans="1:14" x14ac:dyDescent="0.25">
      <c r="A635" s="5" t="str">
        <f t="shared" si="12"/>
        <v>Delaware-Keila Rossini</v>
      </c>
      <c r="B635" s="3" t="s">
        <v>43</v>
      </c>
      <c r="C635" s="3" t="s">
        <v>102</v>
      </c>
      <c r="D635" s="4">
        <v>128964</v>
      </c>
      <c r="L635" s="3" t="s">
        <v>56</v>
      </c>
      <c r="M635" s="3" t="s">
        <v>99</v>
      </c>
      <c r="N635" s="4">
        <v>153804</v>
      </c>
    </row>
    <row r="636" spans="1:14" x14ac:dyDescent="0.25">
      <c r="A636" s="5" t="str">
        <f t="shared" si="12"/>
        <v>Utah-Cliff Galinski</v>
      </c>
      <c r="B636" s="3" t="s">
        <v>83</v>
      </c>
      <c r="C636" s="3" t="s">
        <v>124</v>
      </c>
      <c r="D636" s="4">
        <v>79094</v>
      </c>
      <c r="L636" s="3" t="s">
        <v>56</v>
      </c>
      <c r="M636" s="3" t="s">
        <v>124</v>
      </c>
      <c r="N636" s="4">
        <v>67712</v>
      </c>
    </row>
    <row r="637" spans="1:14" x14ac:dyDescent="0.25">
      <c r="A637" s="5" t="str">
        <f t="shared" si="12"/>
        <v>Connecticut-Raphael Bonawitz</v>
      </c>
      <c r="B637" s="3" t="s">
        <v>42</v>
      </c>
      <c r="C637" s="3" t="s">
        <v>122</v>
      </c>
      <c r="D637" s="4">
        <v>153248</v>
      </c>
      <c r="L637" s="3" t="s">
        <v>56</v>
      </c>
      <c r="M637" s="3" t="s">
        <v>96</v>
      </c>
      <c r="N637" s="4">
        <v>55396</v>
      </c>
    </row>
    <row r="638" spans="1:14" x14ac:dyDescent="0.25">
      <c r="A638" s="5" t="str">
        <f t="shared" si="12"/>
        <v>Colorado-Lashon Bongers</v>
      </c>
      <c r="B638" s="3" t="s">
        <v>41</v>
      </c>
      <c r="C638" s="3" t="s">
        <v>106</v>
      </c>
      <c r="D638" s="4">
        <v>168341</v>
      </c>
      <c r="L638" s="3" t="s">
        <v>56</v>
      </c>
      <c r="M638" s="3" t="s">
        <v>115</v>
      </c>
      <c r="N638" s="4">
        <v>103388</v>
      </c>
    </row>
    <row r="639" spans="1:14" x14ac:dyDescent="0.25">
      <c r="A639" s="5" t="str">
        <f t="shared" si="12"/>
        <v>Maine-Thaddeus Cacciatori</v>
      </c>
      <c r="B639" s="3" t="s">
        <v>56</v>
      </c>
      <c r="C639" s="3" t="s">
        <v>114</v>
      </c>
      <c r="D639" s="4">
        <v>50428</v>
      </c>
      <c r="L639" s="3" t="s">
        <v>56</v>
      </c>
      <c r="M639" s="3" t="s">
        <v>117</v>
      </c>
      <c r="N639" s="4">
        <v>26787</v>
      </c>
    </row>
    <row r="640" spans="1:14" x14ac:dyDescent="0.25">
      <c r="A640" s="5" t="str">
        <f t="shared" si="12"/>
        <v>Michigan-Sadye Diloreto</v>
      </c>
      <c r="B640" s="3" t="s">
        <v>59</v>
      </c>
      <c r="C640" s="3" t="s">
        <v>95</v>
      </c>
      <c r="D640" s="4">
        <v>82832</v>
      </c>
      <c r="L640" s="3" t="s">
        <v>56</v>
      </c>
      <c r="M640" s="3" t="s">
        <v>120</v>
      </c>
      <c r="N640" s="4">
        <v>75970</v>
      </c>
    </row>
    <row r="641" spans="1:14" x14ac:dyDescent="0.25">
      <c r="A641" s="5" t="str">
        <f t="shared" si="12"/>
        <v>Iowa-Ali Steenken</v>
      </c>
      <c r="B641" s="3" t="s">
        <v>52</v>
      </c>
      <c r="C641" s="3" t="s">
        <v>116</v>
      </c>
      <c r="D641" s="4">
        <v>57401</v>
      </c>
      <c r="L641" s="3" t="s">
        <v>56</v>
      </c>
      <c r="M641" s="3" t="s">
        <v>111</v>
      </c>
      <c r="N641" s="4">
        <v>75348</v>
      </c>
    </row>
    <row r="642" spans="1:14" x14ac:dyDescent="0.25">
      <c r="A642" s="5" t="str">
        <f t="shared" ref="A642:A705" si="13">B642&amp;"-"&amp;C642</f>
        <v>Indiana-Fidel Potra</v>
      </c>
      <c r="B642" s="3" t="s">
        <v>51</v>
      </c>
      <c r="C642" s="3" t="s">
        <v>115</v>
      </c>
      <c r="D642" s="4">
        <v>23218</v>
      </c>
      <c r="L642" s="3" t="s">
        <v>56</v>
      </c>
      <c r="M642" s="3" t="s">
        <v>102</v>
      </c>
      <c r="N642" s="4">
        <v>157420</v>
      </c>
    </row>
    <row r="643" spans="1:14" x14ac:dyDescent="0.25">
      <c r="A643" s="5" t="str">
        <f t="shared" si="13"/>
        <v>Illinois-Ali Stupp</v>
      </c>
      <c r="B643" s="3" t="s">
        <v>50</v>
      </c>
      <c r="C643" s="3" t="s">
        <v>108</v>
      </c>
      <c r="D643" s="4">
        <v>159007</v>
      </c>
      <c r="L643" s="3" t="s">
        <v>56</v>
      </c>
      <c r="M643" s="3" t="s">
        <v>106</v>
      </c>
      <c r="N643" s="4">
        <v>67818</v>
      </c>
    </row>
    <row r="644" spans="1:14" x14ac:dyDescent="0.25">
      <c r="A644" s="5" t="str">
        <f t="shared" si="13"/>
        <v>Missouri-Lianne Trappey</v>
      </c>
      <c r="B644" s="3" t="s">
        <v>62</v>
      </c>
      <c r="C644" s="3" t="s">
        <v>123</v>
      </c>
      <c r="D644" s="4">
        <v>146864</v>
      </c>
      <c r="L644" s="3" t="s">
        <v>56</v>
      </c>
      <c r="M644" s="3" t="s">
        <v>123</v>
      </c>
      <c r="N644" s="4">
        <v>79736</v>
      </c>
    </row>
    <row r="645" spans="1:14" x14ac:dyDescent="0.25">
      <c r="A645" s="5" t="str">
        <f t="shared" si="13"/>
        <v>Northern Marianas Islands-Sadye Diloreto</v>
      </c>
      <c r="B645" s="3" t="s">
        <v>72</v>
      </c>
      <c r="C645" s="3" t="s">
        <v>95</v>
      </c>
      <c r="D645" s="4">
        <v>111417</v>
      </c>
      <c r="L645" s="3" t="s">
        <v>56</v>
      </c>
      <c r="M645" s="3" t="s">
        <v>97</v>
      </c>
      <c r="N645" s="4">
        <v>3924</v>
      </c>
    </row>
    <row r="646" spans="1:14" x14ac:dyDescent="0.25">
      <c r="A646" s="5" t="str">
        <f t="shared" si="13"/>
        <v>California-Armand Mcleon</v>
      </c>
      <c r="B646" s="3" t="s">
        <v>40</v>
      </c>
      <c r="C646" s="3" t="s">
        <v>110</v>
      </c>
      <c r="D646" s="4">
        <v>42597</v>
      </c>
      <c r="L646" s="3" t="s">
        <v>56</v>
      </c>
      <c r="M646" s="3" t="s">
        <v>119</v>
      </c>
      <c r="N646" s="4">
        <v>31441</v>
      </c>
    </row>
    <row r="647" spans="1:14" x14ac:dyDescent="0.25">
      <c r="A647" s="5" t="str">
        <f t="shared" si="13"/>
        <v>New Jersey-Marvis Tenholder</v>
      </c>
      <c r="B647" s="3" t="s">
        <v>67</v>
      </c>
      <c r="C647" s="3" t="s">
        <v>105</v>
      </c>
      <c r="D647" s="4">
        <v>119569</v>
      </c>
      <c r="L647" s="3" t="s">
        <v>56</v>
      </c>
      <c r="M647" s="3" t="s">
        <v>113</v>
      </c>
      <c r="N647" s="4">
        <v>76237</v>
      </c>
    </row>
    <row r="648" spans="1:14" x14ac:dyDescent="0.25">
      <c r="A648" s="5" t="str">
        <f t="shared" si="13"/>
        <v>Wisconsin-Son Shryack</v>
      </c>
      <c r="B648" s="3" t="s">
        <v>89</v>
      </c>
      <c r="C648" s="3" t="s">
        <v>98</v>
      </c>
      <c r="D648" s="4">
        <v>72833</v>
      </c>
      <c r="L648" s="3" t="s">
        <v>56</v>
      </c>
      <c r="M648" s="3" t="s">
        <v>105</v>
      </c>
      <c r="N648" s="4">
        <v>122472</v>
      </c>
    </row>
    <row r="649" spans="1:14" x14ac:dyDescent="0.25">
      <c r="A649" s="5" t="str">
        <f t="shared" si="13"/>
        <v>Oregon-Fidel Potra</v>
      </c>
      <c r="B649" s="3" t="s">
        <v>75</v>
      </c>
      <c r="C649" s="3" t="s">
        <v>115</v>
      </c>
      <c r="D649" s="4">
        <v>142851</v>
      </c>
      <c r="L649" s="3" t="s">
        <v>56</v>
      </c>
      <c r="M649" s="3" t="s">
        <v>104</v>
      </c>
      <c r="N649" s="4">
        <v>70502</v>
      </c>
    </row>
    <row r="650" spans="1:14" x14ac:dyDescent="0.25">
      <c r="A650" s="5" t="str">
        <f t="shared" si="13"/>
        <v>West Virginia-Marlin Mavromatis</v>
      </c>
      <c r="B650" s="3" t="s">
        <v>88</v>
      </c>
      <c r="C650" s="3" t="s">
        <v>113</v>
      </c>
      <c r="D650" s="4">
        <v>122020</v>
      </c>
      <c r="L650" s="3" t="s">
        <v>56</v>
      </c>
      <c r="M650" s="3" t="s">
        <v>100</v>
      </c>
      <c r="N650" s="4">
        <v>131933</v>
      </c>
    </row>
    <row r="651" spans="1:14" x14ac:dyDescent="0.25">
      <c r="A651" s="5" t="str">
        <f t="shared" si="13"/>
        <v>Oregon-Lashon Bongers</v>
      </c>
      <c r="B651" s="3" t="s">
        <v>75</v>
      </c>
      <c r="C651" s="3" t="s">
        <v>106</v>
      </c>
      <c r="D651" s="4">
        <v>27187</v>
      </c>
      <c r="L651" s="3" t="s">
        <v>56</v>
      </c>
      <c r="M651" s="3" t="s">
        <v>118</v>
      </c>
      <c r="N651" s="4">
        <v>143651</v>
      </c>
    </row>
    <row r="652" spans="1:14" x14ac:dyDescent="0.25">
      <c r="A652" s="5" t="str">
        <f t="shared" si="13"/>
        <v>Nevada-Cliff Schnautz</v>
      </c>
      <c r="B652" s="3" t="s">
        <v>65</v>
      </c>
      <c r="C652" s="3" t="s">
        <v>96</v>
      </c>
      <c r="D652" s="4">
        <v>88415</v>
      </c>
      <c r="L652" s="3" t="s">
        <v>56</v>
      </c>
      <c r="M652" s="3" t="s">
        <v>101</v>
      </c>
      <c r="N652" s="4">
        <v>3737</v>
      </c>
    </row>
    <row r="653" spans="1:14" x14ac:dyDescent="0.25">
      <c r="A653" s="5" t="str">
        <f t="shared" si="13"/>
        <v>West Virginia-Jackson Lorkowski</v>
      </c>
      <c r="B653" s="3" t="s">
        <v>88</v>
      </c>
      <c r="C653" s="3" t="s">
        <v>120</v>
      </c>
      <c r="D653" s="4">
        <v>76504</v>
      </c>
      <c r="L653" s="3" t="s">
        <v>56</v>
      </c>
      <c r="M653" s="3" t="s">
        <v>122</v>
      </c>
      <c r="N653" s="4">
        <v>163608</v>
      </c>
    </row>
    <row r="654" spans="1:14" x14ac:dyDescent="0.25">
      <c r="A654" s="5" t="str">
        <f t="shared" si="13"/>
        <v>Oregon-Nolan Deorio</v>
      </c>
      <c r="B654" s="3" t="s">
        <v>75</v>
      </c>
      <c r="C654" s="3" t="s">
        <v>100</v>
      </c>
      <c r="D654" s="4">
        <v>142027</v>
      </c>
      <c r="L654" s="3" t="s">
        <v>56</v>
      </c>
      <c r="M654" s="3" t="s">
        <v>109</v>
      </c>
      <c r="N654" s="4">
        <v>108369</v>
      </c>
    </row>
    <row r="655" spans="1:14" x14ac:dyDescent="0.25">
      <c r="A655" s="5" t="str">
        <f t="shared" si="13"/>
        <v>West Virginia-Marvis Tenholder</v>
      </c>
      <c r="B655" s="3" t="s">
        <v>88</v>
      </c>
      <c r="C655" s="3" t="s">
        <v>105</v>
      </c>
      <c r="D655" s="4">
        <v>123689</v>
      </c>
      <c r="L655" s="3" t="s">
        <v>56</v>
      </c>
      <c r="M655" s="3" t="s">
        <v>95</v>
      </c>
      <c r="N655" s="4">
        <v>115296</v>
      </c>
    </row>
    <row r="656" spans="1:14" x14ac:dyDescent="0.25">
      <c r="A656" s="5" t="str">
        <f t="shared" si="13"/>
        <v>Missouri-Lucilla Bilecki</v>
      </c>
      <c r="B656" s="3" t="s">
        <v>62</v>
      </c>
      <c r="C656" s="3" t="s">
        <v>97</v>
      </c>
      <c r="D656" s="4">
        <v>34565</v>
      </c>
      <c r="L656" s="3" t="s">
        <v>56</v>
      </c>
      <c r="M656" s="3" t="s">
        <v>98</v>
      </c>
      <c r="N656" s="4">
        <v>25185</v>
      </c>
    </row>
    <row r="657" spans="1:14" x14ac:dyDescent="0.25">
      <c r="A657" s="5" t="str">
        <f t="shared" si="13"/>
        <v>Montana-Lucilla Bilecki</v>
      </c>
      <c r="B657" s="3" t="s">
        <v>63</v>
      </c>
      <c r="C657" s="3" t="s">
        <v>97</v>
      </c>
      <c r="D657" s="4">
        <v>18262</v>
      </c>
      <c r="L657" s="3" t="s">
        <v>56</v>
      </c>
      <c r="M657" s="3" t="s">
        <v>114</v>
      </c>
      <c r="N657" s="4">
        <v>50428</v>
      </c>
    </row>
    <row r="658" spans="1:14" x14ac:dyDescent="0.25">
      <c r="A658" s="5" t="str">
        <f t="shared" si="13"/>
        <v>New Jersey-Genna Zaller</v>
      </c>
      <c r="B658" s="3" t="s">
        <v>67</v>
      </c>
      <c r="C658" s="3" t="s">
        <v>117</v>
      </c>
      <c r="D658" s="4">
        <v>74861</v>
      </c>
      <c r="L658" s="3" t="s">
        <v>56</v>
      </c>
      <c r="M658" s="3" t="s">
        <v>112</v>
      </c>
      <c r="N658" s="4">
        <v>36654</v>
      </c>
    </row>
    <row r="659" spans="1:14" x14ac:dyDescent="0.25">
      <c r="A659" s="5" t="str">
        <f t="shared" si="13"/>
        <v>Connecticut-Nolan Deorio</v>
      </c>
      <c r="B659" s="3" t="s">
        <v>42</v>
      </c>
      <c r="C659" s="3" t="s">
        <v>100</v>
      </c>
      <c r="D659" s="4">
        <v>53822</v>
      </c>
      <c r="L659" s="3" t="s">
        <v>56</v>
      </c>
      <c r="M659" s="3" t="s">
        <v>103</v>
      </c>
      <c r="N659" s="4">
        <v>67179</v>
      </c>
    </row>
    <row r="660" spans="1:14" x14ac:dyDescent="0.25">
      <c r="A660" s="5" t="str">
        <f t="shared" si="13"/>
        <v>Virginia-Marcel Davern</v>
      </c>
      <c r="B660" s="3" t="s">
        <v>85</v>
      </c>
      <c r="C660" s="3" t="s">
        <v>119</v>
      </c>
      <c r="D660" s="4">
        <v>166276</v>
      </c>
      <c r="L660" s="3" t="s">
        <v>56</v>
      </c>
      <c r="M660" s="3" t="s">
        <v>121</v>
      </c>
      <c r="N660" s="4">
        <v>23773</v>
      </c>
    </row>
    <row r="661" spans="1:14" x14ac:dyDescent="0.25">
      <c r="A661" s="5" t="str">
        <f t="shared" si="13"/>
        <v>Arizona-Ali Stupp</v>
      </c>
      <c r="B661" s="3" t="s">
        <v>38</v>
      </c>
      <c r="C661" s="3" t="s">
        <v>108</v>
      </c>
      <c r="D661" s="4">
        <v>69761</v>
      </c>
      <c r="L661" s="3" t="s">
        <v>56</v>
      </c>
      <c r="M661" s="3" t="s">
        <v>107</v>
      </c>
      <c r="N661" s="4">
        <v>96302</v>
      </c>
    </row>
    <row r="662" spans="1:14" x14ac:dyDescent="0.25">
      <c r="A662" s="5" t="str">
        <f t="shared" si="13"/>
        <v>Virgin Islands-Ali Steenken</v>
      </c>
      <c r="B662" s="3" t="s">
        <v>86</v>
      </c>
      <c r="C662" s="3" t="s">
        <v>116</v>
      </c>
      <c r="D662" s="4">
        <v>143801</v>
      </c>
      <c r="L662" s="3" t="s">
        <v>57</v>
      </c>
      <c r="M662" s="3" t="s">
        <v>116</v>
      </c>
      <c r="N662" s="4">
        <v>172854</v>
      </c>
    </row>
    <row r="663" spans="1:14" x14ac:dyDescent="0.25">
      <c r="A663" s="5" t="str">
        <f t="shared" si="13"/>
        <v>American Samoa-Twanda Lovenduski</v>
      </c>
      <c r="B663" s="3" t="s">
        <v>37</v>
      </c>
      <c r="C663" s="3" t="s">
        <v>107</v>
      </c>
      <c r="D663" s="4">
        <v>142338</v>
      </c>
      <c r="L663" s="3" t="s">
        <v>57</v>
      </c>
      <c r="M663" s="3" t="s">
        <v>108</v>
      </c>
      <c r="N663" s="4">
        <v>34098</v>
      </c>
    </row>
    <row r="664" spans="1:14" x14ac:dyDescent="0.25">
      <c r="A664" s="5" t="str">
        <f t="shared" si="13"/>
        <v>West Virginia-Lucilla Bilecki</v>
      </c>
      <c r="B664" s="3" t="s">
        <v>88</v>
      </c>
      <c r="C664" s="3" t="s">
        <v>97</v>
      </c>
      <c r="D664" s="4">
        <v>11065</v>
      </c>
      <c r="L664" s="3" t="s">
        <v>57</v>
      </c>
      <c r="M664" s="3" t="s">
        <v>110</v>
      </c>
      <c r="N664" s="4">
        <v>145572</v>
      </c>
    </row>
    <row r="665" spans="1:14" x14ac:dyDescent="0.25">
      <c r="A665" s="5" t="str">
        <f t="shared" si="13"/>
        <v>Nevada-Twanda Lovenduski</v>
      </c>
      <c r="B665" s="3" t="s">
        <v>65</v>
      </c>
      <c r="C665" s="3" t="s">
        <v>107</v>
      </c>
      <c r="D665" s="4">
        <v>113163</v>
      </c>
      <c r="L665" s="3" t="s">
        <v>57</v>
      </c>
      <c r="M665" s="3" t="s">
        <v>99</v>
      </c>
      <c r="N665" s="4">
        <v>133259</v>
      </c>
    </row>
    <row r="666" spans="1:14" x14ac:dyDescent="0.25">
      <c r="A666" s="5" t="str">
        <f t="shared" si="13"/>
        <v>Colorado-Keila Rossini</v>
      </c>
      <c r="B666" s="3" t="s">
        <v>41</v>
      </c>
      <c r="C666" s="3" t="s">
        <v>102</v>
      </c>
      <c r="D666" s="4">
        <v>19033</v>
      </c>
      <c r="L666" s="3" t="s">
        <v>57</v>
      </c>
      <c r="M666" s="3" t="s">
        <v>124</v>
      </c>
      <c r="N666" s="4">
        <v>122749</v>
      </c>
    </row>
    <row r="667" spans="1:14" x14ac:dyDescent="0.25">
      <c r="A667" s="5" t="str">
        <f t="shared" si="13"/>
        <v>New Hampshire-Quinton Modugno</v>
      </c>
      <c r="B667" s="3" t="s">
        <v>66</v>
      </c>
      <c r="C667" s="3" t="s">
        <v>101</v>
      </c>
      <c r="D667" s="4">
        <v>173179</v>
      </c>
      <c r="L667" s="3" t="s">
        <v>57</v>
      </c>
      <c r="M667" s="3" t="s">
        <v>96</v>
      </c>
      <c r="N667" s="4">
        <v>8296</v>
      </c>
    </row>
    <row r="668" spans="1:14" x14ac:dyDescent="0.25">
      <c r="A668" s="5" t="str">
        <f t="shared" si="13"/>
        <v>Utah-Nolan Deorio</v>
      </c>
      <c r="B668" s="3" t="s">
        <v>83</v>
      </c>
      <c r="C668" s="3" t="s">
        <v>100</v>
      </c>
      <c r="D668" s="4">
        <v>164181</v>
      </c>
      <c r="L668" s="3" t="s">
        <v>57</v>
      </c>
      <c r="M668" s="3" t="s">
        <v>115</v>
      </c>
      <c r="N668" s="4">
        <v>31569</v>
      </c>
    </row>
    <row r="669" spans="1:14" x14ac:dyDescent="0.25">
      <c r="A669" s="5" t="str">
        <f t="shared" si="13"/>
        <v>Missouri-Lashon Bongers</v>
      </c>
      <c r="B669" s="3" t="s">
        <v>62</v>
      </c>
      <c r="C669" s="3" t="s">
        <v>106</v>
      </c>
      <c r="D669" s="4">
        <v>35197</v>
      </c>
      <c r="L669" s="3" t="s">
        <v>57</v>
      </c>
      <c r="M669" s="3" t="s">
        <v>117</v>
      </c>
      <c r="N669" s="4">
        <v>131543</v>
      </c>
    </row>
    <row r="670" spans="1:14" x14ac:dyDescent="0.25">
      <c r="A670" s="5" t="str">
        <f t="shared" si="13"/>
        <v>Oregon-Thaddeus Notah</v>
      </c>
      <c r="B670" s="3" t="s">
        <v>75</v>
      </c>
      <c r="C670" s="3" t="s">
        <v>112</v>
      </c>
      <c r="D670" s="4">
        <v>127004</v>
      </c>
      <c r="L670" s="3" t="s">
        <v>57</v>
      </c>
      <c r="M670" s="3" t="s">
        <v>120</v>
      </c>
      <c r="N670" s="4">
        <v>110898</v>
      </c>
    </row>
    <row r="671" spans="1:14" x14ac:dyDescent="0.25">
      <c r="A671" s="5" t="str">
        <f t="shared" si="13"/>
        <v>Oregon-Son Shryack</v>
      </c>
      <c r="B671" s="3" t="s">
        <v>75</v>
      </c>
      <c r="C671" s="3" t="s">
        <v>98</v>
      </c>
      <c r="D671" s="4">
        <v>166517</v>
      </c>
      <c r="L671" s="3" t="s">
        <v>57</v>
      </c>
      <c r="M671" s="3" t="s">
        <v>111</v>
      </c>
      <c r="N671" s="4">
        <v>40599</v>
      </c>
    </row>
    <row r="672" spans="1:14" x14ac:dyDescent="0.25">
      <c r="A672" s="5" t="str">
        <f t="shared" si="13"/>
        <v>Puerto Rico-Nolan Deorio</v>
      </c>
      <c r="B672" s="3" t="s">
        <v>77</v>
      </c>
      <c r="C672" s="3" t="s">
        <v>100</v>
      </c>
      <c r="D672" s="4">
        <v>50408</v>
      </c>
      <c r="L672" s="3" t="s">
        <v>57</v>
      </c>
      <c r="M672" s="3" t="s">
        <v>102</v>
      </c>
      <c r="N672" s="4">
        <v>121848</v>
      </c>
    </row>
    <row r="673" spans="1:14" x14ac:dyDescent="0.25">
      <c r="A673" s="5" t="str">
        <f t="shared" si="13"/>
        <v>Florida-Thaddeus Notah</v>
      </c>
      <c r="B673" s="3" t="s">
        <v>45</v>
      </c>
      <c r="C673" s="3" t="s">
        <v>112</v>
      </c>
      <c r="D673" s="4">
        <v>106604</v>
      </c>
      <c r="L673" s="3" t="s">
        <v>57</v>
      </c>
      <c r="M673" s="3" t="s">
        <v>106</v>
      </c>
      <c r="N673" s="4">
        <v>119198</v>
      </c>
    </row>
    <row r="674" spans="1:14" x14ac:dyDescent="0.25">
      <c r="A674" s="5" t="str">
        <f t="shared" si="13"/>
        <v>Wyoming-Raphael Bonawitz</v>
      </c>
      <c r="B674" s="3" t="s">
        <v>90</v>
      </c>
      <c r="C674" s="3" t="s">
        <v>122</v>
      </c>
      <c r="D674" s="4">
        <v>172580</v>
      </c>
      <c r="L674" s="3" t="s">
        <v>57</v>
      </c>
      <c r="M674" s="3" t="s">
        <v>123</v>
      </c>
      <c r="N674" s="4">
        <v>144439</v>
      </c>
    </row>
    <row r="675" spans="1:14" x14ac:dyDescent="0.25">
      <c r="A675" s="5" t="str">
        <f t="shared" si="13"/>
        <v>Puerto Rico-Jackson Lorkowski</v>
      </c>
      <c r="B675" s="3" t="s">
        <v>77</v>
      </c>
      <c r="C675" s="3" t="s">
        <v>120</v>
      </c>
      <c r="D675" s="4">
        <v>46845</v>
      </c>
      <c r="L675" s="3" t="s">
        <v>57</v>
      </c>
      <c r="M675" s="3" t="s">
        <v>97</v>
      </c>
      <c r="N675" s="4">
        <v>105263</v>
      </c>
    </row>
    <row r="676" spans="1:14" x14ac:dyDescent="0.25">
      <c r="A676" s="5" t="str">
        <f t="shared" si="13"/>
        <v>Georgia-Marlin Mavromatis</v>
      </c>
      <c r="B676" s="3" t="s">
        <v>46</v>
      </c>
      <c r="C676" s="3" t="s">
        <v>113</v>
      </c>
      <c r="D676" s="4">
        <v>94122</v>
      </c>
      <c r="L676" s="3" t="s">
        <v>57</v>
      </c>
      <c r="M676" s="3" t="s">
        <v>119</v>
      </c>
      <c r="N676" s="4">
        <v>147575</v>
      </c>
    </row>
    <row r="677" spans="1:14" x14ac:dyDescent="0.25">
      <c r="A677" s="5" t="str">
        <f t="shared" si="13"/>
        <v>New Jersey-Marcel Davern</v>
      </c>
      <c r="B677" s="3" t="s">
        <v>67</v>
      </c>
      <c r="C677" s="3" t="s">
        <v>119</v>
      </c>
      <c r="D677" s="4">
        <v>108593</v>
      </c>
      <c r="L677" s="3" t="s">
        <v>57</v>
      </c>
      <c r="M677" s="3" t="s">
        <v>113</v>
      </c>
      <c r="N677" s="4">
        <v>100255</v>
      </c>
    </row>
    <row r="678" spans="1:14" x14ac:dyDescent="0.25">
      <c r="A678" s="5" t="str">
        <f t="shared" si="13"/>
        <v>Montana-Ali Stupp</v>
      </c>
      <c r="B678" s="3" t="s">
        <v>63</v>
      </c>
      <c r="C678" s="3" t="s">
        <v>108</v>
      </c>
      <c r="D678" s="4">
        <v>138581</v>
      </c>
      <c r="L678" s="3" t="s">
        <v>57</v>
      </c>
      <c r="M678" s="3" t="s">
        <v>105</v>
      </c>
      <c r="N678" s="4">
        <v>147544</v>
      </c>
    </row>
    <row r="679" spans="1:14" x14ac:dyDescent="0.25">
      <c r="A679" s="5" t="str">
        <f t="shared" si="13"/>
        <v>Puerto Rico-Kai Stroebel</v>
      </c>
      <c r="B679" s="3" t="s">
        <v>77</v>
      </c>
      <c r="C679" s="3" t="s">
        <v>111</v>
      </c>
      <c r="D679" s="4">
        <v>65082</v>
      </c>
      <c r="L679" s="3" t="s">
        <v>57</v>
      </c>
      <c r="M679" s="3" t="s">
        <v>104</v>
      </c>
      <c r="N679" s="4">
        <v>156085</v>
      </c>
    </row>
    <row r="680" spans="1:14" x14ac:dyDescent="0.25">
      <c r="A680" s="5" t="str">
        <f t="shared" si="13"/>
        <v>West Virginia-Ali Stupp</v>
      </c>
      <c r="B680" s="3" t="s">
        <v>88</v>
      </c>
      <c r="C680" s="3" t="s">
        <v>108</v>
      </c>
      <c r="D680" s="4">
        <v>3715</v>
      </c>
      <c r="L680" s="3" t="s">
        <v>57</v>
      </c>
      <c r="M680" s="3" t="s">
        <v>100</v>
      </c>
      <c r="N680" s="4">
        <v>169440</v>
      </c>
    </row>
    <row r="681" spans="1:14" x14ac:dyDescent="0.25">
      <c r="A681" s="5" t="str">
        <f t="shared" si="13"/>
        <v>South Carolina-Nolan Deorio</v>
      </c>
      <c r="B681" s="3" t="s">
        <v>79</v>
      </c>
      <c r="C681" s="3" t="s">
        <v>100</v>
      </c>
      <c r="D681" s="4">
        <v>84777</v>
      </c>
      <c r="L681" s="3" t="s">
        <v>57</v>
      </c>
      <c r="M681" s="3" t="s">
        <v>118</v>
      </c>
      <c r="N681" s="4">
        <v>163741</v>
      </c>
    </row>
    <row r="682" spans="1:14" x14ac:dyDescent="0.25">
      <c r="A682" s="5" t="str">
        <f t="shared" si="13"/>
        <v>Tennessee-Marcel Davern</v>
      </c>
      <c r="B682" s="3" t="s">
        <v>81</v>
      </c>
      <c r="C682" s="3" t="s">
        <v>119</v>
      </c>
      <c r="D682" s="4">
        <v>72129</v>
      </c>
      <c r="L682" s="3" t="s">
        <v>57</v>
      </c>
      <c r="M682" s="3" t="s">
        <v>101</v>
      </c>
      <c r="N682" s="4">
        <v>54173</v>
      </c>
    </row>
    <row r="683" spans="1:14" x14ac:dyDescent="0.25">
      <c r="A683" s="5" t="str">
        <f t="shared" si="13"/>
        <v>Iowa-Lashon Bongers</v>
      </c>
      <c r="B683" s="3" t="s">
        <v>52</v>
      </c>
      <c r="C683" s="3" t="s">
        <v>106</v>
      </c>
      <c r="D683" s="4">
        <v>96579</v>
      </c>
      <c r="L683" s="3" t="s">
        <v>57</v>
      </c>
      <c r="M683" s="3" t="s">
        <v>122</v>
      </c>
      <c r="N683" s="4">
        <v>94217</v>
      </c>
    </row>
    <row r="684" spans="1:14" x14ac:dyDescent="0.25">
      <c r="A684" s="5" t="str">
        <f t="shared" si="13"/>
        <v>Minnesota-Quinton Modugno</v>
      </c>
      <c r="B684" s="3" t="s">
        <v>60</v>
      </c>
      <c r="C684" s="3" t="s">
        <v>101</v>
      </c>
      <c r="D684" s="4">
        <v>150766</v>
      </c>
      <c r="L684" s="3" t="s">
        <v>57</v>
      </c>
      <c r="M684" s="3" t="s">
        <v>109</v>
      </c>
      <c r="N684" s="4">
        <v>33375</v>
      </c>
    </row>
    <row r="685" spans="1:14" x14ac:dyDescent="0.25">
      <c r="A685" s="5" t="str">
        <f t="shared" si="13"/>
        <v>Nevada-Cliff Bahlmann</v>
      </c>
      <c r="B685" s="3" t="s">
        <v>65</v>
      </c>
      <c r="C685" s="3" t="s">
        <v>99</v>
      </c>
      <c r="D685" s="4">
        <v>76314</v>
      </c>
      <c r="L685" s="3" t="s">
        <v>57</v>
      </c>
      <c r="M685" s="3" t="s">
        <v>95</v>
      </c>
      <c r="N685" s="4">
        <v>97228</v>
      </c>
    </row>
    <row r="686" spans="1:14" x14ac:dyDescent="0.25">
      <c r="A686" s="5" t="str">
        <f t="shared" si="13"/>
        <v>New York-Jackson Lorkowski</v>
      </c>
      <c r="B686" s="3" t="s">
        <v>69</v>
      </c>
      <c r="C686" s="3" t="s">
        <v>120</v>
      </c>
      <c r="D686" s="4">
        <v>55172</v>
      </c>
      <c r="L686" s="3" t="s">
        <v>57</v>
      </c>
      <c r="M686" s="3" t="s">
        <v>98</v>
      </c>
      <c r="N686" s="4">
        <v>141535</v>
      </c>
    </row>
    <row r="687" spans="1:14" x14ac:dyDescent="0.25">
      <c r="A687" s="5" t="str">
        <f t="shared" si="13"/>
        <v>Maine-Fidel Potra</v>
      </c>
      <c r="B687" s="3" t="s">
        <v>56</v>
      </c>
      <c r="C687" s="3" t="s">
        <v>115</v>
      </c>
      <c r="D687" s="4">
        <v>103388</v>
      </c>
      <c r="L687" s="3" t="s">
        <v>57</v>
      </c>
      <c r="M687" s="3" t="s">
        <v>114</v>
      </c>
      <c r="N687" s="4">
        <v>71659</v>
      </c>
    </row>
    <row r="688" spans="1:14" x14ac:dyDescent="0.25">
      <c r="A688" s="5" t="str">
        <f t="shared" si="13"/>
        <v>North Carolina-Armand Mcleon</v>
      </c>
      <c r="B688" s="3" t="s">
        <v>70</v>
      </c>
      <c r="C688" s="3" t="s">
        <v>110</v>
      </c>
      <c r="D688" s="4">
        <v>28780</v>
      </c>
      <c r="L688" s="3" t="s">
        <v>57</v>
      </c>
      <c r="M688" s="3" t="s">
        <v>112</v>
      </c>
      <c r="N688" s="4">
        <v>88937</v>
      </c>
    </row>
    <row r="689" spans="1:14" x14ac:dyDescent="0.25">
      <c r="A689" s="5" t="str">
        <f t="shared" si="13"/>
        <v>Puerto Rico-Toi Medico</v>
      </c>
      <c r="B689" s="3" t="s">
        <v>77</v>
      </c>
      <c r="C689" s="3" t="s">
        <v>103</v>
      </c>
      <c r="D689" s="4">
        <v>3404</v>
      </c>
      <c r="L689" s="3" t="s">
        <v>57</v>
      </c>
      <c r="M689" s="3" t="s">
        <v>103</v>
      </c>
      <c r="N689" s="4">
        <v>157419</v>
      </c>
    </row>
    <row r="690" spans="1:14" x14ac:dyDescent="0.25">
      <c r="A690" s="5" t="str">
        <f t="shared" si="13"/>
        <v>Georgia-Cliff Schnautz</v>
      </c>
      <c r="B690" s="3" t="s">
        <v>46</v>
      </c>
      <c r="C690" s="3" t="s">
        <v>96</v>
      </c>
      <c r="D690" s="4">
        <v>119205</v>
      </c>
      <c r="L690" s="3" t="s">
        <v>57</v>
      </c>
      <c r="M690" s="3" t="s">
        <v>121</v>
      </c>
      <c r="N690" s="4">
        <v>52918</v>
      </c>
    </row>
    <row r="691" spans="1:14" x14ac:dyDescent="0.25">
      <c r="A691" s="5" t="str">
        <f t="shared" si="13"/>
        <v>Georgia-Ali Stupp</v>
      </c>
      <c r="B691" s="3" t="s">
        <v>46</v>
      </c>
      <c r="C691" s="3" t="s">
        <v>108</v>
      </c>
      <c r="D691" s="4">
        <v>10457</v>
      </c>
      <c r="L691" s="3" t="s">
        <v>57</v>
      </c>
      <c r="M691" s="3" t="s">
        <v>107</v>
      </c>
      <c r="N691" s="4">
        <v>11038</v>
      </c>
    </row>
    <row r="692" spans="1:14" x14ac:dyDescent="0.25">
      <c r="A692" s="5" t="str">
        <f t="shared" si="13"/>
        <v>Vermont-Fidel Potra</v>
      </c>
      <c r="B692" s="3" t="s">
        <v>84</v>
      </c>
      <c r="C692" s="3" t="s">
        <v>115</v>
      </c>
      <c r="D692" s="4">
        <v>146599</v>
      </c>
      <c r="L692" s="3" t="s">
        <v>58</v>
      </c>
      <c r="M692" s="3" t="s">
        <v>116</v>
      </c>
      <c r="N692" s="4">
        <v>10026</v>
      </c>
    </row>
    <row r="693" spans="1:14" x14ac:dyDescent="0.25">
      <c r="A693" s="5" t="str">
        <f t="shared" si="13"/>
        <v>Wyoming-Lashon Bongers</v>
      </c>
      <c r="B693" s="3" t="s">
        <v>90</v>
      </c>
      <c r="C693" s="3" t="s">
        <v>106</v>
      </c>
      <c r="D693" s="4">
        <v>18071</v>
      </c>
      <c r="L693" s="3" t="s">
        <v>58</v>
      </c>
      <c r="M693" s="3" t="s">
        <v>108</v>
      </c>
      <c r="N693" s="4">
        <v>21817</v>
      </c>
    </row>
    <row r="694" spans="1:14" x14ac:dyDescent="0.25">
      <c r="A694" s="5" t="str">
        <f t="shared" si="13"/>
        <v>Virginia-Nolan Gohn</v>
      </c>
      <c r="B694" s="3" t="s">
        <v>85</v>
      </c>
      <c r="C694" s="3" t="s">
        <v>118</v>
      </c>
      <c r="D694" s="4">
        <v>42104</v>
      </c>
      <c r="L694" s="3" t="s">
        <v>58</v>
      </c>
      <c r="M694" s="3" t="s">
        <v>110</v>
      </c>
      <c r="N694" s="4">
        <v>115746</v>
      </c>
    </row>
    <row r="695" spans="1:14" x14ac:dyDescent="0.25">
      <c r="A695" s="5" t="str">
        <f t="shared" si="13"/>
        <v>Arkansas-Kai Stroebel</v>
      </c>
      <c r="B695" s="3" t="s">
        <v>39</v>
      </c>
      <c r="C695" s="3" t="s">
        <v>111</v>
      </c>
      <c r="D695" s="4">
        <v>69568</v>
      </c>
      <c r="L695" s="3" t="s">
        <v>58</v>
      </c>
      <c r="M695" s="3" t="s">
        <v>99</v>
      </c>
      <c r="N695" s="4">
        <v>79448</v>
      </c>
    </row>
    <row r="696" spans="1:14" x14ac:dyDescent="0.25">
      <c r="A696" s="5" t="str">
        <f t="shared" si="13"/>
        <v>New Hampshire-Twanda Lovenduski</v>
      </c>
      <c r="B696" s="3" t="s">
        <v>66</v>
      </c>
      <c r="C696" s="3" t="s">
        <v>107</v>
      </c>
      <c r="D696" s="4">
        <v>141077</v>
      </c>
      <c r="L696" s="3" t="s">
        <v>58</v>
      </c>
      <c r="M696" s="3" t="s">
        <v>124</v>
      </c>
      <c r="N696" s="4">
        <v>157778</v>
      </c>
    </row>
    <row r="697" spans="1:14" x14ac:dyDescent="0.25">
      <c r="A697" s="5" t="str">
        <f t="shared" si="13"/>
        <v>New Mexico-Thaddeus Notah</v>
      </c>
      <c r="B697" s="3" t="s">
        <v>68</v>
      </c>
      <c r="C697" s="3" t="s">
        <v>112</v>
      </c>
      <c r="D697" s="4">
        <v>153395</v>
      </c>
      <c r="L697" s="3" t="s">
        <v>58</v>
      </c>
      <c r="M697" s="3" t="s">
        <v>96</v>
      </c>
      <c r="N697" s="4">
        <v>106139</v>
      </c>
    </row>
    <row r="698" spans="1:14" x14ac:dyDescent="0.25">
      <c r="A698" s="5" t="str">
        <f t="shared" si="13"/>
        <v>Florida-Kai Stroebel</v>
      </c>
      <c r="B698" s="3" t="s">
        <v>45</v>
      </c>
      <c r="C698" s="3" t="s">
        <v>111</v>
      </c>
      <c r="D698" s="4">
        <v>15352</v>
      </c>
      <c r="L698" s="3" t="s">
        <v>58</v>
      </c>
      <c r="M698" s="3" t="s">
        <v>115</v>
      </c>
      <c r="N698" s="4">
        <v>53100</v>
      </c>
    </row>
    <row r="699" spans="1:14" x14ac:dyDescent="0.25">
      <c r="A699" s="5" t="str">
        <f t="shared" si="13"/>
        <v>New Hampshire-Thaddeus Notah</v>
      </c>
      <c r="B699" s="3" t="s">
        <v>66</v>
      </c>
      <c r="C699" s="3" t="s">
        <v>112</v>
      </c>
      <c r="D699" s="4">
        <v>110059</v>
      </c>
      <c r="L699" s="3" t="s">
        <v>58</v>
      </c>
      <c r="M699" s="3" t="s">
        <v>117</v>
      </c>
      <c r="N699" s="4">
        <v>154102</v>
      </c>
    </row>
    <row r="700" spans="1:14" x14ac:dyDescent="0.25">
      <c r="A700" s="5" t="str">
        <f t="shared" si="13"/>
        <v>California-Genna Zaller</v>
      </c>
      <c r="B700" s="3" t="s">
        <v>40</v>
      </c>
      <c r="C700" s="3" t="s">
        <v>117</v>
      </c>
      <c r="D700" s="4">
        <v>122033</v>
      </c>
      <c r="L700" s="3" t="s">
        <v>58</v>
      </c>
      <c r="M700" s="3" t="s">
        <v>120</v>
      </c>
      <c r="N700" s="4">
        <v>101204</v>
      </c>
    </row>
    <row r="701" spans="1:14" x14ac:dyDescent="0.25">
      <c r="A701" s="5" t="str">
        <f t="shared" si="13"/>
        <v>Nevada-Toi Zedaker</v>
      </c>
      <c r="B701" s="3" t="s">
        <v>65</v>
      </c>
      <c r="C701" s="3" t="s">
        <v>121</v>
      </c>
      <c r="D701" s="4">
        <v>102958</v>
      </c>
      <c r="L701" s="3" t="s">
        <v>58</v>
      </c>
      <c r="M701" s="3" t="s">
        <v>111</v>
      </c>
      <c r="N701" s="4">
        <v>24690</v>
      </c>
    </row>
    <row r="702" spans="1:14" x14ac:dyDescent="0.25">
      <c r="A702" s="5" t="str">
        <f t="shared" si="13"/>
        <v>Washington-Quinton Modugno</v>
      </c>
      <c r="B702" s="3" t="s">
        <v>87</v>
      </c>
      <c r="C702" s="3" t="s">
        <v>101</v>
      </c>
      <c r="D702" s="4">
        <v>135628</v>
      </c>
      <c r="L702" s="3" t="s">
        <v>58</v>
      </c>
      <c r="M702" s="3" t="s">
        <v>102</v>
      </c>
      <c r="N702" s="4">
        <v>26645</v>
      </c>
    </row>
    <row r="703" spans="1:14" x14ac:dyDescent="0.25">
      <c r="A703" s="5" t="str">
        <f t="shared" si="13"/>
        <v>Oregon-Moises Paynes</v>
      </c>
      <c r="B703" s="3" t="s">
        <v>75</v>
      </c>
      <c r="C703" s="3" t="s">
        <v>104</v>
      </c>
      <c r="D703" s="4">
        <v>149516</v>
      </c>
      <c r="L703" s="3" t="s">
        <v>58</v>
      </c>
      <c r="M703" s="3" t="s">
        <v>106</v>
      </c>
      <c r="N703" s="4">
        <v>134842</v>
      </c>
    </row>
    <row r="704" spans="1:14" x14ac:dyDescent="0.25">
      <c r="A704" s="5" t="str">
        <f t="shared" si="13"/>
        <v>Kentucky-Marlin Mavromatis</v>
      </c>
      <c r="B704" s="3" t="s">
        <v>54</v>
      </c>
      <c r="C704" s="3" t="s">
        <v>113</v>
      </c>
      <c r="D704" s="4">
        <v>122156</v>
      </c>
      <c r="L704" s="3" t="s">
        <v>58</v>
      </c>
      <c r="M704" s="3" t="s">
        <v>123</v>
      </c>
      <c r="N704" s="4">
        <v>126003</v>
      </c>
    </row>
    <row r="705" spans="1:14" x14ac:dyDescent="0.25">
      <c r="A705" s="5" t="str">
        <f t="shared" si="13"/>
        <v>Illinois-Lucilla Bilecki</v>
      </c>
      <c r="B705" s="3" t="s">
        <v>50</v>
      </c>
      <c r="C705" s="3" t="s">
        <v>97</v>
      </c>
      <c r="D705" s="4">
        <v>105761</v>
      </c>
      <c r="L705" s="3" t="s">
        <v>58</v>
      </c>
      <c r="M705" s="3" t="s">
        <v>97</v>
      </c>
      <c r="N705" s="4">
        <v>69888</v>
      </c>
    </row>
    <row r="706" spans="1:14" x14ac:dyDescent="0.25">
      <c r="A706" s="5" t="str">
        <f t="shared" ref="A706:A769" si="14">B706&amp;"-"&amp;C706</f>
        <v>Idaho-Fidel Potra</v>
      </c>
      <c r="B706" s="3" t="s">
        <v>49</v>
      </c>
      <c r="C706" s="3" t="s">
        <v>115</v>
      </c>
      <c r="D706" s="4">
        <v>96954</v>
      </c>
      <c r="L706" s="3" t="s">
        <v>58</v>
      </c>
      <c r="M706" s="3" t="s">
        <v>119</v>
      </c>
      <c r="N706" s="4">
        <v>83275</v>
      </c>
    </row>
    <row r="707" spans="1:14" x14ac:dyDescent="0.25">
      <c r="A707" s="5" t="str">
        <f t="shared" si="14"/>
        <v>Georgia-Twanda Lovenduski</v>
      </c>
      <c r="B707" s="3" t="s">
        <v>46</v>
      </c>
      <c r="C707" s="3" t="s">
        <v>107</v>
      </c>
      <c r="D707" s="4">
        <v>172617</v>
      </c>
      <c r="L707" s="3" t="s">
        <v>58</v>
      </c>
      <c r="M707" s="3" t="s">
        <v>113</v>
      </c>
      <c r="N707" s="4">
        <v>67735</v>
      </c>
    </row>
    <row r="708" spans="1:14" x14ac:dyDescent="0.25">
      <c r="A708" s="5" t="str">
        <f t="shared" si="14"/>
        <v>Alaska-Sadye Diloreto</v>
      </c>
      <c r="B708" s="3" t="s">
        <v>36</v>
      </c>
      <c r="C708" s="3" t="s">
        <v>95</v>
      </c>
      <c r="D708" s="4">
        <v>164108</v>
      </c>
      <c r="L708" s="3" t="s">
        <v>58</v>
      </c>
      <c r="M708" s="3" t="s">
        <v>105</v>
      </c>
      <c r="N708" s="4">
        <v>104183</v>
      </c>
    </row>
    <row r="709" spans="1:14" x14ac:dyDescent="0.25">
      <c r="A709" s="5" t="str">
        <f t="shared" si="14"/>
        <v>Puerto Rico-Fidel Potra</v>
      </c>
      <c r="B709" s="3" t="s">
        <v>77</v>
      </c>
      <c r="C709" s="3" t="s">
        <v>115</v>
      </c>
      <c r="D709" s="4">
        <v>51273</v>
      </c>
      <c r="L709" s="3" t="s">
        <v>58</v>
      </c>
      <c r="M709" s="3" t="s">
        <v>104</v>
      </c>
      <c r="N709" s="4">
        <v>159798</v>
      </c>
    </row>
    <row r="710" spans="1:14" x14ac:dyDescent="0.25">
      <c r="A710" s="5" t="str">
        <f t="shared" si="14"/>
        <v>Virginia-Ali Steenken</v>
      </c>
      <c r="B710" s="3" t="s">
        <v>85</v>
      </c>
      <c r="C710" s="3" t="s">
        <v>116</v>
      </c>
      <c r="D710" s="4">
        <v>48025</v>
      </c>
      <c r="L710" s="3" t="s">
        <v>58</v>
      </c>
      <c r="M710" s="3" t="s">
        <v>100</v>
      </c>
      <c r="N710" s="4">
        <v>121323</v>
      </c>
    </row>
    <row r="711" spans="1:14" x14ac:dyDescent="0.25">
      <c r="A711" s="5" t="str">
        <f t="shared" si="14"/>
        <v>Wisconsin-Lashon Bongers</v>
      </c>
      <c r="B711" s="3" t="s">
        <v>89</v>
      </c>
      <c r="C711" s="3" t="s">
        <v>106</v>
      </c>
      <c r="D711" s="4">
        <v>155050</v>
      </c>
      <c r="L711" s="3" t="s">
        <v>58</v>
      </c>
      <c r="M711" s="3" t="s">
        <v>118</v>
      </c>
      <c r="N711" s="4">
        <v>86660</v>
      </c>
    </row>
    <row r="712" spans="1:14" x14ac:dyDescent="0.25">
      <c r="A712" s="5" t="str">
        <f t="shared" si="14"/>
        <v>Louisiana-Fidel Potra</v>
      </c>
      <c r="B712" s="3" t="s">
        <v>55</v>
      </c>
      <c r="C712" s="3" t="s">
        <v>115</v>
      </c>
      <c r="D712" s="4">
        <v>131645</v>
      </c>
      <c r="L712" s="3" t="s">
        <v>58</v>
      </c>
      <c r="M712" s="3" t="s">
        <v>101</v>
      </c>
      <c r="N712" s="4">
        <v>60415</v>
      </c>
    </row>
    <row r="713" spans="1:14" x14ac:dyDescent="0.25">
      <c r="A713" s="5" t="str">
        <f t="shared" si="14"/>
        <v>Missouri-Kai Stroebel</v>
      </c>
      <c r="B713" s="3" t="s">
        <v>62</v>
      </c>
      <c r="C713" s="3" t="s">
        <v>111</v>
      </c>
      <c r="D713" s="4">
        <v>84008</v>
      </c>
      <c r="L713" s="3" t="s">
        <v>58</v>
      </c>
      <c r="M713" s="3" t="s">
        <v>122</v>
      </c>
      <c r="N713" s="4">
        <v>117931</v>
      </c>
    </row>
    <row r="714" spans="1:14" x14ac:dyDescent="0.25">
      <c r="A714" s="5" t="str">
        <f t="shared" si="14"/>
        <v>Mississippi-Cliff Bahlmann</v>
      </c>
      <c r="B714" s="3" t="s">
        <v>61</v>
      </c>
      <c r="C714" s="3" t="s">
        <v>99</v>
      </c>
      <c r="D714" s="4">
        <v>136277</v>
      </c>
      <c r="L714" s="3" t="s">
        <v>58</v>
      </c>
      <c r="M714" s="3" t="s">
        <v>109</v>
      </c>
      <c r="N714" s="4">
        <v>69193</v>
      </c>
    </row>
    <row r="715" spans="1:14" x14ac:dyDescent="0.25">
      <c r="A715" s="5" t="str">
        <f t="shared" si="14"/>
        <v>Kentucky-Twanda Lovenduski</v>
      </c>
      <c r="B715" s="3" t="s">
        <v>54</v>
      </c>
      <c r="C715" s="3" t="s">
        <v>107</v>
      </c>
      <c r="D715" s="4">
        <v>138849</v>
      </c>
      <c r="L715" s="3" t="s">
        <v>58</v>
      </c>
      <c r="M715" s="3" t="s">
        <v>95</v>
      </c>
      <c r="N715" s="4">
        <v>14907</v>
      </c>
    </row>
    <row r="716" spans="1:14" x14ac:dyDescent="0.25">
      <c r="A716" s="5" t="str">
        <f t="shared" si="14"/>
        <v>Tennessee-Twanda Lovenduski</v>
      </c>
      <c r="B716" s="3" t="s">
        <v>81</v>
      </c>
      <c r="C716" s="3" t="s">
        <v>107</v>
      </c>
      <c r="D716" s="4">
        <v>8796</v>
      </c>
      <c r="L716" s="3" t="s">
        <v>58</v>
      </c>
      <c r="M716" s="3" t="s">
        <v>98</v>
      </c>
      <c r="N716" s="4">
        <v>156610</v>
      </c>
    </row>
    <row r="717" spans="1:14" x14ac:dyDescent="0.25">
      <c r="A717" s="5" t="str">
        <f t="shared" si="14"/>
        <v>American Samoa-Ali Steenken</v>
      </c>
      <c r="B717" s="3" t="s">
        <v>37</v>
      </c>
      <c r="C717" s="3" t="s">
        <v>116</v>
      </c>
      <c r="D717" s="4">
        <v>70160</v>
      </c>
      <c r="L717" s="3" t="s">
        <v>58</v>
      </c>
      <c r="M717" s="3" t="s">
        <v>114</v>
      </c>
      <c r="N717" s="4">
        <v>128684</v>
      </c>
    </row>
    <row r="718" spans="1:14" x14ac:dyDescent="0.25">
      <c r="A718" s="5" t="str">
        <f t="shared" si="14"/>
        <v>Arkansas-Raphael Bonawitz</v>
      </c>
      <c r="B718" s="3" t="s">
        <v>39</v>
      </c>
      <c r="C718" s="3" t="s">
        <v>122</v>
      </c>
      <c r="D718" s="4">
        <v>168680</v>
      </c>
      <c r="L718" s="3" t="s">
        <v>58</v>
      </c>
      <c r="M718" s="3" t="s">
        <v>112</v>
      </c>
      <c r="N718" s="4">
        <v>14497</v>
      </c>
    </row>
    <row r="719" spans="1:14" x14ac:dyDescent="0.25">
      <c r="A719" s="5" t="str">
        <f t="shared" si="14"/>
        <v>Maryland-Toi Medico</v>
      </c>
      <c r="B719" s="3" t="s">
        <v>57</v>
      </c>
      <c r="C719" s="3" t="s">
        <v>103</v>
      </c>
      <c r="D719" s="4">
        <v>157419</v>
      </c>
      <c r="L719" s="3" t="s">
        <v>58</v>
      </c>
      <c r="M719" s="3" t="s">
        <v>103</v>
      </c>
      <c r="N719" s="4">
        <v>115816</v>
      </c>
    </row>
    <row r="720" spans="1:14" x14ac:dyDescent="0.25">
      <c r="A720" s="5" t="str">
        <f t="shared" si="14"/>
        <v>North Carolina-Raphael Bonawitz</v>
      </c>
      <c r="B720" s="3" t="s">
        <v>70</v>
      </c>
      <c r="C720" s="3" t="s">
        <v>122</v>
      </c>
      <c r="D720" s="4">
        <v>102955</v>
      </c>
      <c r="L720" s="3" t="s">
        <v>58</v>
      </c>
      <c r="M720" s="3" t="s">
        <v>121</v>
      </c>
      <c r="N720" s="4">
        <v>26227</v>
      </c>
    </row>
    <row r="721" spans="1:14" x14ac:dyDescent="0.25">
      <c r="A721" s="5" t="str">
        <f t="shared" si="14"/>
        <v>California-Lashon Bongers</v>
      </c>
      <c r="B721" s="3" t="s">
        <v>40</v>
      </c>
      <c r="C721" s="3" t="s">
        <v>106</v>
      </c>
      <c r="D721" s="4">
        <v>114977</v>
      </c>
      <c r="L721" s="3" t="s">
        <v>58</v>
      </c>
      <c r="M721" s="3" t="s">
        <v>107</v>
      </c>
      <c r="N721" s="4">
        <v>29708</v>
      </c>
    </row>
    <row r="722" spans="1:14" x14ac:dyDescent="0.25">
      <c r="A722" s="5" t="str">
        <f t="shared" si="14"/>
        <v>New Hampshire-Fidel Potra</v>
      </c>
      <c r="B722" s="3" t="s">
        <v>66</v>
      </c>
      <c r="C722" s="3" t="s">
        <v>115</v>
      </c>
      <c r="D722" s="4">
        <v>107427</v>
      </c>
      <c r="L722" s="3" t="s">
        <v>59</v>
      </c>
      <c r="M722" s="3" t="s">
        <v>116</v>
      </c>
      <c r="N722" s="4">
        <v>37010</v>
      </c>
    </row>
    <row r="723" spans="1:14" x14ac:dyDescent="0.25">
      <c r="A723" s="5" t="str">
        <f t="shared" si="14"/>
        <v>Nevada-Thaddeus Cacciatori</v>
      </c>
      <c r="B723" s="3" t="s">
        <v>65</v>
      </c>
      <c r="C723" s="3" t="s">
        <v>114</v>
      </c>
      <c r="D723" s="4">
        <v>2647</v>
      </c>
      <c r="L723" s="3" t="s">
        <v>59</v>
      </c>
      <c r="M723" s="3" t="s">
        <v>108</v>
      </c>
      <c r="N723" s="4">
        <v>158298</v>
      </c>
    </row>
    <row r="724" spans="1:14" x14ac:dyDescent="0.25">
      <c r="A724" s="5" t="str">
        <f t="shared" si="14"/>
        <v>Oklahoma-Jackson Lorkowski</v>
      </c>
      <c r="B724" s="3" t="s">
        <v>74</v>
      </c>
      <c r="C724" s="3" t="s">
        <v>120</v>
      </c>
      <c r="D724" s="4">
        <v>82824</v>
      </c>
      <c r="L724" s="3" t="s">
        <v>59</v>
      </c>
      <c r="M724" s="3" t="s">
        <v>110</v>
      </c>
      <c r="N724" s="4">
        <v>7503</v>
      </c>
    </row>
    <row r="725" spans="1:14" x14ac:dyDescent="0.25">
      <c r="A725" s="5" t="str">
        <f t="shared" si="14"/>
        <v>Rhode Island-Jackson Lorkowski</v>
      </c>
      <c r="B725" s="3" t="s">
        <v>78</v>
      </c>
      <c r="C725" s="3" t="s">
        <v>120</v>
      </c>
      <c r="D725" s="4">
        <v>12037</v>
      </c>
      <c r="L725" s="3" t="s">
        <v>59</v>
      </c>
      <c r="M725" s="3" t="s">
        <v>99</v>
      </c>
      <c r="N725" s="4">
        <v>149626</v>
      </c>
    </row>
    <row r="726" spans="1:14" x14ac:dyDescent="0.25">
      <c r="A726" s="5" t="str">
        <f t="shared" si="14"/>
        <v>Nevada-Marcel Davern</v>
      </c>
      <c r="B726" s="3" t="s">
        <v>65</v>
      </c>
      <c r="C726" s="3" t="s">
        <v>119</v>
      </c>
      <c r="D726" s="4">
        <v>94517</v>
      </c>
      <c r="L726" s="3" t="s">
        <v>59</v>
      </c>
      <c r="M726" s="3" t="s">
        <v>124</v>
      </c>
      <c r="N726" s="4">
        <v>108884</v>
      </c>
    </row>
    <row r="727" spans="1:14" x14ac:dyDescent="0.25">
      <c r="A727" s="5" t="str">
        <f t="shared" si="14"/>
        <v>Mississippi-Keila Rossini</v>
      </c>
      <c r="B727" s="3" t="s">
        <v>61</v>
      </c>
      <c r="C727" s="3" t="s">
        <v>102</v>
      </c>
      <c r="D727" s="4">
        <v>42124</v>
      </c>
      <c r="L727" s="3" t="s">
        <v>59</v>
      </c>
      <c r="M727" s="3" t="s">
        <v>96</v>
      </c>
      <c r="N727" s="4">
        <v>86422</v>
      </c>
    </row>
    <row r="728" spans="1:14" x14ac:dyDescent="0.25">
      <c r="A728" s="5" t="str">
        <f t="shared" si="14"/>
        <v>Nebraska-Nolan Gohn</v>
      </c>
      <c r="B728" s="3" t="s">
        <v>64</v>
      </c>
      <c r="C728" s="3" t="s">
        <v>118</v>
      </c>
      <c r="D728" s="4">
        <v>121543</v>
      </c>
      <c r="L728" s="3" t="s">
        <v>59</v>
      </c>
      <c r="M728" s="3" t="s">
        <v>115</v>
      </c>
      <c r="N728" s="4">
        <v>135059</v>
      </c>
    </row>
    <row r="729" spans="1:14" x14ac:dyDescent="0.25">
      <c r="A729" s="5" t="str">
        <f t="shared" si="14"/>
        <v>Oklahoma-Keila Rossini</v>
      </c>
      <c r="B729" s="3" t="s">
        <v>74</v>
      </c>
      <c r="C729" s="3" t="s">
        <v>102</v>
      </c>
      <c r="D729" s="4">
        <v>104482</v>
      </c>
      <c r="L729" s="3" t="s">
        <v>59</v>
      </c>
      <c r="M729" s="3" t="s">
        <v>117</v>
      </c>
      <c r="N729" s="4">
        <v>103223</v>
      </c>
    </row>
    <row r="730" spans="1:14" x14ac:dyDescent="0.25">
      <c r="A730" s="5" t="str">
        <f t="shared" si="14"/>
        <v>Indiana-Keila Rossini</v>
      </c>
      <c r="B730" s="3" t="s">
        <v>51</v>
      </c>
      <c r="C730" s="3" t="s">
        <v>102</v>
      </c>
      <c r="D730" s="4">
        <v>54681</v>
      </c>
      <c r="L730" s="3" t="s">
        <v>59</v>
      </c>
      <c r="M730" s="3" t="s">
        <v>120</v>
      </c>
      <c r="N730" s="4">
        <v>136579</v>
      </c>
    </row>
    <row r="731" spans="1:14" x14ac:dyDescent="0.25">
      <c r="A731" s="5" t="str">
        <f t="shared" si="14"/>
        <v>South Dakota-Keila Rossini</v>
      </c>
      <c r="B731" s="3" t="s">
        <v>80</v>
      </c>
      <c r="C731" s="3" t="s">
        <v>102</v>
      </c>
      <c r="D731" s="4">
        <v>123972</v>
      </c>
      <c r="L731" s="3" t="s">
        <v>59</v>
      </c>
      <c r="M731" s="3" t="s">
        <v>111</v>
      </c>
      <c r="N731" s="4">
        <v>121381</v>
      </c>
    </row>
    <row r="732" spans="1:14" x14ac:dyDescent="0.25">
      <c r="A732" s="5" t="str">
        <f t="shared" si="14"/>
        <v>Guam-Armand Mcleon</v>
      </c>
      <c r="B732" s="3" t="s">
        <v>47</v>
      </c>
      <c r="C732" s="3" t="s">
        <v>110</v>
      </c>
      <c r="D732" s="4">
        <v>54846</v>
      </c>
      <c r="L732" s="3" t="s">
        <v>59</v>
      </c>
      <c r="M732" s="3" t="s">
        <v>102</v>
      </c>
      <c r="N732" s="4">
        <v>147557</v>
      </c>
    </row>
    <row r="733" spans="1:14" x14ac:dyDescent="0.25">
      <c r="A733" s="5" t="str">
        <f t="shared" si="14"/>
        <v>Rhode Island-Quinton Modugno</v>
      </c>
      <c r="B733" s="3" t="s">
        <v>78</v>
      </c>
      <c r="C733" s="3" t="s">
        <v>101</v>
      </c>
      <c r="D733" s="4">
        <v>14998</v>
      </c>
      <c r="L733" s="3" t="s">
        <v>59</v>
      </c>
      <c r="M733" s="3" t="s">
        <v>106</v>
      </c>
      <c r="N733" s="4">
        <v>88701</v>
      </c>
    </row>
    <row r="734" spans="1:14" x14ac:dyDescent="0.25">
      <c r="A734" s="5" t="str">
        <f t="shared" si="14"/>
        <v>Oregon-Cliff Galinski</v>
      </c>
      <c r="B734" s="3" t="s">
        <v>75</v>
      </c>
      <c r="C734" s="3" t="s">
        <v>124</v>
      </c>
      <c r="D734" s="4">
        <v>114542</v>
      </c>
      <c r="L734" s="3" t="s">
        <v>59</v>
      </c>
      <c r="M734" s="3" t="s">
        <v>123</v>
      </c>
      <c r="N734" s="4">
        <v>2272</v>
      </c>
    </row>
    <row r="735" spans="1:14" x14ac:dyDescent="0.25">
      <c r="A735" s="5" t="str">
        <f t="shared" si="14"/>
        <v>Kentucky-Toi Medico</v>
      </c>
      <c r="B735" s="3" t="s">
        <v>54</v>
      </c>
      <c r="C735" s="3" t="s">
        <v>103</v>
      </c>
      <c r="D735" s="4">
        <v>93421</v>
      </c>
      <c r="L735" s="3" t="s">
        <v>59</v>
      </c>
      <c r="M735" s="3" t="s">
        <v>97</v>
      </c>
      <c r="N735" s="4">
        <v>2743</v>
      </c>
    </row>
    <row r="736" spans="1:14" x14ac:dyDescent="0.25">
      <c r="A736" s="5" t="str">
        <f t="shared" si="14"/>
        <v>Kentucky-Marvis Tenholder</v>
      </c>
      <c r="B736" s="3" t="s">
        <v>54</v>
      </c>
      <c r="C736" s="3" t="s">
        <v>105</v>
      </c>
      <c r="D736" s="4">
        <v>93505</v>
      </c>
      <c r="L736" s="3" t="s">
        <v>59</v>
      </c>
      <c r="M736" s="3" t="s">
        <v>119</v>
      </c>
      <c r="N736" s="4">
        <v>108086</v>
      </c>
    </row>
    <row r="737" spans="1:14" x14ac:dyDescent="0.25">
      <c r="A737" s="5" t="str">
        <f t="shared" si="14"/>
        <v>Wyoming-Nolan Gohn</v>
      </c>
      <c r="B737" s="3" t="s">
        <v>90</v>
      </c>
      <c r="C737" s="3" t="s">
        <v>118</v>
      </c>
      <c r="D737" s="4">
        <v>16558</v>
      </c>
      <c r="L737" s="3" t="s">
        <v>59</v>
      </c>
      <c r="M737" s="3" t="s">
        <v>113</v>
      </c>
      <c r="N737" s="4">
        <v>110478</v>
      </c>
    </row>
    <row r="738" spans="1:14" x14ac:dyDescent="0.25">
      <c r="A738" s="5" t="str">
        <f t="shared" si="14"/>
        <v>Arizona-Jackson Lorkowski</v>
      </c>
      <c r="B738" s="3" t="s">
        <v>38</v>
      </c>
      <c r="C738" s="3" t="s">
        <v>120</v>
      </c>
      <c r="D738" s="4">
        <v>152230</v>
      </c>
      <c r="L738" s="3" t="s">
        <v>59</v>
      </c>
      <c r="M738" s="3" t="s">
        <v>105</v>
      </c>
      <c r="N738" s="4">
        <v>130721</v>
      </c>
    </row>
    <row r="739" spans="1:14" x14ac:dyDescent="0.25">
      <c r="A739" s="5" t="str">
        <f t="shared" si="14"/>
        <v>Colorado-Kai Stroebel</v>
      </c>
      <c r="B739" s="3" t="s">
        <v>41</v>
      </c>
      <c r="C739" s="3" t="s">
        <v>111</v>
      </c>
      <c r="D739" s="4">
        <v>65872</v>
      </c>
      <c r="L739" s="3" t="s">
        <v>59</v>
      </c>
      <c r="M739" s="3" t="s">
        <v>104</v>
      </c>
      <c r="N739" s="4">
        <v>9984</v>
      </c>
    </row>
    <row r="740" spans="1:14" x14ac:dyDescent="0.25">
      <c r="A740" s="5" t="str">
        <f t="shared" si="14"/>
        <v>Rhode Island-Nolan Gohn</v>
      </c>
      <c r="B740" s="3" t="s">
        <v>78</v>
      </c>
      <c r="C740" s="3" t="s">
        <v>118</v>
      </c>
      <c r="D740" s="4">
        <v>121318</v>
      </c>
      <c r="L740" s="3" t="s">
        <v>59</v>
      </c>
      <c r="M740" s="3" t="s">
        <v>100</v>
      </c>
      <c r="N740" s="4">
        <v>127796</v>
      </c>
    </row>
    <row r="741" spans="1:14" x14ac:dyDescent="0.25">
      <c r="A741" s="5" t="str">
        <f t="shared" si="14"/>
        <v>Florida-Moises Paynes</v>
      </c>
      <c r="B741" s="3" t="s">
        <v>45</v>
      </c>
      <c r="C741" s="3" t="s">
        <v>104</v>
      </c>
      <c r="D741" s="4">
        <v>32583</v>
      </c>
      <c r="L741" s="3" t="s">
        <v>59</v>
      </c>
      <c r="M741" s="3" t="s">
        <v>118</v>
      </c>
      <c r="N741" s="4">
        <v>77761</v>
      </c>
    </row>
    <row r="742" spans="1:14" x14ac:dyDescent="0.25">
      <c r="A742" s="5" t="str">
        <f t="shared" si="14"/>
        <v>North Carolina-Lashon Bongers</v>
      </c>
      <c r="B742" s="3" t="s">
        <v>70</v>
      </c>
      <c r="C742" s="3" t="s">
        <v>106</v>
      </c>
      <c r="D742" s="4">
        <v>133928</v>
      </c>
      <c r="L742" s="3" t="s">
        <v>59</v>
      </c>
      <c r="M742" s="3" t="s">
        <v>101</v>
      </c>
      <c r="N742" s="4">
        <v>169119</v>
      </c>
    </row>
    <row r="743" spans="1:14" x14ac:dyDescent="0.25">
      <c r="A743" s="5" t="str">
        <f t="shared" si="14"/>
        <v>Arkansas-Marcel Davern</v>
      </c>
      <c r="B743" s="3" t="s">
        <v>39</v>
      </c>
      <c r="C743" s="3" t="s">
        <v>119</v>
      </c>
      <c r="D743" s="4">
        <v>31009</v>
      </c>
      <c r="L743" s="3" t="s">
        <v>59</v>
      </c>
      <c r="M743" s="3" t="s">
        <v>122</v>
      </c>
      <c r="N743" s="4">
        <v>19649</v>
      </c>
    </row>
    <row r="744" spans="1:14" x14ac:dyDescent="0.25">
      <c r="A744" s="5" t="str">
        <f t="shared" si="14"/>
        <v>South Carolina-Keila Rossini</v>
      </c>
      <c r="B744" s="3" t="s">
        <v>79</v>
      </c>
      <c r="C744" s="3" t="s">
        <v>102</v>
      </c>
      <c r="D744" s="4">
        <v>38940</v>
      </c>
      <c r="L744" s="3" t="s">
        <v>59</v>
      </c>
      <c r="M744" s="3" t="s">
        <v>109</v>
      </c>
      <c r="N744" s="4">
        <v>89154</v>
      </c>
    </row>
    <row r="745" spans="1:14" x14ac:dyDescent="0.25">
      <c r="A745" s="5" t="str">
        <f t="shared" si="14"/>
        <v>Illinois-Armand Mcleon</v>
      </c>
      <c r="B745" s="3" t="s">
        <v>50</v>
      </c>
      <c r="C745" s="3" t="s">
        <v>110</v>
      </c>
      <c r="D745" s="4">
        <v>14087</v>
      </c>
      <c r="L745" s="3" t="s">
        <v>59</v>
      </c>
      <c r="M745" s="3" t="s">
        <v>95</v>
      </c>
      <c r="N745" s="4">
        <v>82832</v>
      </c>
    </row>
    <row r="746" spans="1:14" x14ac:dyDescent="0.25">
      <c r="A746" s="5" t="str">
        <f t="shared" si="14"/>
        <v>Georgia-Kai Stroebel</v>
      </c>
      <c r="B746" s="3" t="s">
        <v>46</v>
      </c>
      <c r="C746" s="3" t="s">
        <v>111</v>
      </c>
      <c r="D746" s="4">
        <v>157013</v>
      </c>
      <c r="L746" s="3" t="s">
        <v>59</v>
      </c>
      <c r="M746" s="3" t="s">
        <v>98</v>
      </c>
      <c r="N746" s="4">
        <v>97319</v>
      </c>
    </row>
    <row r="747" spans="1:14" x14ac:dyDescent="0.25">
      <c r="A747" s="5" t="str">
        <f t="shared" si="14"/>
        <v>Nevada-Raphael Derrig</v>
      </c>
      <c r="B747" s="3" t="s">
        <v>65</v>
      </c>
      <c r="C747" s="3" t="s">
        <v>109</v>
      </c>
      <c r="D747" s="4">
        <v>6721</v>
      </c>
      <c r="L747" s="3" t="s">
        <v>59</v>
      </c>
      <c r="M747" s="3" t="s">
        <v>114</v>
      </c>
      <c r="N747" s="4">
        <v>47112</v>
      </c>
    </row>
    <row r="748" spans="1:14" x14ac:dyDescent="0.25">
      <c r="A748" s="5" t="str">
        <f t="shared" si="14"/>
        <v>Virginia-Moises Paynes</v>
      </c>
      <c r="B748" s="3" t="s">
        <v>85</v>
      </c>
      <c r="C748" s="3" t="s">
        <v>104</v>
      </c>
      <c r="D748" s="4">
        <v>153796</v>
      </c>
      <c r="L748" s="3" t="s">
        <v>59</v>
      </c>
      <c r="M748" s="3" t="s">
        <v>112</v>
      </c>
      <c r="N748" s="4">
        <v>39101</v>
      </c>
    </row>
    <row r="749" spans="1:14" x14ac:dyDescent="0.25">
      <c r="A749" s="5" t="str">
        <f t="shared" si="14"/>
        <v>Louisiana-Thaddeus Notah</v>
      </c>
      <c r="B749" s="3" t="s">
        <v>55</v>
      </c>
      <c r="C749" s="3" t="s">
        <v>112</v>
      </c>
      <c r="D749" s="4">
        <v>103903</v>
      </c>
      <c r="L749" s="3" t="s">
        <v>59</v>
      </c>
      <c r="M749" s="3" t="s">
        <v>103</v>
      </c>
      <c r="N749" s="4">
        <v>125347</v>
      </c>
    </row>
    <row r="750" spans="1:14" x14ac:dyDescent="0.25">
      <c r="A750" s="5" t="str">
        <f t="shared" si="14"/>
        <v>Idaho-Ali Stupp</v>
      </c>
      <c r="B750" s="3" t="s">
        <v>49</v>
      </c>
      <c r="C750" s="3" t="s">
        <v>108</v>
      </c>
      <c r="D750" s="4">
        <v>88568</v>
      </c>
      <c r="L750" s="3" t="s">
        <v>59</v>
      </c>
      <c r="M750" s="3" t="s">
        <v>121</v>
      </c>
      <c r="N750" s="4">
        <v>107566</v>
      </c>
    </row>
    <row r="751" spans="1:14" x14ac:dyDescent="0.25">
      <c r="A751" s="5" t="str">
        <f t="shared" si="14"/>
        <v>Mississippi-Marlin Mavromatis</v>
      </c>
      <c r="B751" s="3" t="s">
        <v>61</v>
      </c>
      <c r="C751" s="3" t="s">
        <v>113</v>
      </c>
      <c r="D751" s="4">
        <v>3291</v>
      </c>
      <c r="L751" s="3" t="s">
        <v>59</v>
      </c>
      <c r="M751" s="3" t="s">
        <v>107</v>
      </c>
      <c r="N751" s="4">
        <v>21069</v>
      </c>
    </row>
    <row r="752" spans="1:14" x14ac:dyDescent="0.25">
      <c r="A752" s="5" t="str">
        <f t="shared" si="14"/>
        <v>Washington-Fidel Potra</v>
      </c>
      <c r="B752" s="3" t="s">
        <v>87</v>
      </c>
      <c r="C752" s="3" t="s">
        <v>115</v>
      </c>
      <c r="D752" s="4">
        <v>169346</v>
      </c>
      <c r="L752" s="3" t="s">
        <v>60</v>
      </c>
      <c r="M752" s="3" t="s">
        <v>116</v>
      </c>
      <c r="N752" s="4">
        <v>115899</v>
      </c>
    </row>
    <row r="753" spans="1:14" x14ac:dyDescent="0.25">
      <c r="A753" s="5" t="str">
        <f t="shared" si="14"/>
        <v>North Dakota-Lashon Bongers</v>
      </c>
      <c r="B753" s="3" t="s">
        <v>71</v>
      </c>
      <c r="C753" s="3" t="s">
        <v>106</v>
      </c>
      <c r="D753" s="4">
        <v>31375</v>
      </c>
      <c r="L753" s="3" t="s">
        <v>60</v>
      </c>
      <c r="M753" s="3" t="s">
        <v>108</v>
      </c>
      <c r="N753" s="4">
        <v>109702</v>
      </c>
    </row>
    <row r="754" spans="1:14" x14ac:dyDescent="0.25">
      <c r="A754" s="5" t="str">
        <f t="shared" si="14"/>
        <v>Maryland-Fidel Potra</v>
      </c>
      <c r="B754" s="3" t="s">
        <v>57</v>
      </c>
      <c r="C754" s="3" t="s">
        <v>115</v>
      </c>
      <c r="D754" s="4">
        <v>31569</v>
      </c>
      <c r="L754" s="3" t="s">
        <v>60</v>
      </c>
      <c r="M754" s="3" t="s">
        <v>110</v>
      </c>
      <c r="N754" s="4">
        <v>88583</v>
      </c>
    </row>
    <row r="755" spans="1:14" x14ac:dyDescent="0.25">
      <c r="A755" s="5" t="str">
        <f t="shared" si="14"/>
        <v>Kentucky-Keila Rossini</v>
      </c>
      <c r="B755" s="3" t="s">
        <v>54</v>
      </c>
      <c r="C755" s="3" t="s">
        <v>102</v>
      </c>
      <c r="D755" s="4">
        <v>65244</v>
      </c>
      <c r="L755" s="3" t="s">
        <v>60</v>
      </c>
      <c r="M755" s="3" t="s">
        <v>99</v>
      </c>
      <c r="N755" s="4">
        <v>61810</v>
      </c>
    </row>
    <row r="756" spans="1:14" x14ac:dyDescent="0.25">
      <c r="A756" s="5" t="str">
        <f t="shared" si="14"/>
        <v>Virgin Islands-Lucilla Bilecki</v>
      </c>
      <c r="B756" s="3" t="s">
        <v>86</v>
      </c>
      <c r="C756" s="3" t="s">
        <v>97</v>
      </c>
      <c r="D756" s="4">
        <v>41652</v>
      </c>
      <c r="L756" s="3" t="s">
        <v>60</v>
      </c>
      <c r="M756" s="3" t="s">
        <v>124</v>
      </c>
      <c r="N756" s="4">
        <v>91509</v>
      </c>
    </row>
    <row r="757" spans="1:14" x14ac:dyDescent="0.25">
      <c r="A757" s="5" t="str">
        <f t="shared" si="14"/>
        <v>Texas-Lashon Bongers</v>
      </c>
      <c r="B757" s="3" t="s">
        <v>82</v>
      </c>
      <c r="C757" s="3" t="s">
        <v>106</v>
      </c>
      <c r="D757" s="4">
        <v>80595</v>
      </c>
      <c r="L757" s="3" t="s">
        <v>60</v>
      </c>
      <c r="M757" s="3" t="s">
        <v>96</v>
      </c>
      <c r="N757" s="4">
        <v>59749</v>
      </c>
    </row>
    <row r="758" spans="1:14" x14ac:dyDescent="0.25">
      <c r="A758" s="5" t="str">
        <f t="shared" si="14"/>
        <v>North Dakota-Son Shryack</v>
      </c>
      <c r="B758" s="3" t="s">
        <v>71</v>
      </c>
      <c r="C758" s="3" t="s">
        <v>98</v>
      </c>
      <c r="D758" s="4">
        <v>132863</v>
      </c>
      <c r="L758" s="3" t="s">
        <v>60</v>
      </c>
      <c r="M758" s="3" t="s">
        <v>115</v>
      </c>
      <c r="N758" s="4">
        <v>43955</v>
      </c>
    </row>
    <row r="759" spans="1:14" x14ac:dyDescent="0.25">
      <c r="A759" s="5" t="str">
        <f t="shared" si="14"/>
        <v>Idaho-Quinton Modugno</v>
      </c>
      <c r="B759" s="3" t="s">
        <v>49</v>
      </c>
      <c r="C759" s="3" t="s">
        <v>101</v>
      </c>
      <c r="D759" s="4">
        <v>124062</v>
      </c>
      <c r="L759" s="3" t="s">
        <v>60</v>
      </c>
      <c r="M759" s="3" t="s">
        <v>117</v>
      </c>
      <c r="N759" s="4">
        <v>7705</v>
      </c>
    </row>
    <row r="760" spans="1:14" x14ac:dyDescent="0.25">
      <c r="A760" s="5" t="str">
        <f t="shared" si="14"/>
        <v>Virgin Islands-Marlin Mavromatis</v>
      </c>
      <c r="B760" s="3" t="s">
        <v>86</v>
      </c>
      <c r="C760" s="3" t="s">
        <v>113</v>
      </c>
      <c r="D760" s="4">
        <v>129060</v>
      </c>
      <c r="L760" s="3" t="s">
        <v>60</v>
      </c>
      <c r="M760" s="3" t="s">
        <v>120</v>
      </c>
      <c r="N760" s="4">
        <v>72039</v>
      </c>
    </row>
    <row r="761" spans="1:14" x14ac:dyDescent="0.25">
      <c r="A761" s="5" t="str">
        <f t="shared" si="14"/>
        <v>Wisconsin-Marvis Tenholder</v>
      </c>
      <c r="B761" s="3" t="s">
        <v>89</v>
      </c>
      <c r="C761" s="3" t="s">
        <v>105</v>
      </c>
      <c r="D761" s="4">
        <v>140820</v>
      </c>
      <c r="L761" s="3" t="s">
        <v>60</v>
      </c>
      <c r="M761" s="3" t="s">
        <v>111</v>
      </c>
      <c r="N761" s="4">
        <v>47887</v>
      </c>
    </row>
    <row r="762" spans="1:14" x14ac:dyDescent="0.25">
      <c r="A762" s="5" t="str">
        <f t="shared" si="14"/>
        <v>West Virginia-Twanda Lovenduski</v>
      </c>
      <c r="B762" s="3" t="s">
        <v>88</v>
      </c>
      <c r="C762" s="3" t="s">
        <v>107</v>
      </c>
      <c r="D762" s="4">
        <v>91436</v>
      </c>
      <c r="L762" s="3" t="s">
        <v>60</v>
      </c>
      <c r="M762" s="3" t="s">
        <v>102</v>
      </c>
      <c r="N762" s="4">
        <v>34790</v>
      </c>
    </row>
    <row r="763" spans="1:14" x14ac:dyDescent="0.25">
      <c r="A763" s="5" t="str">
        <f t="shared" si="14"/>
        <v>Oregon-Ali Steenken</v>
      </c>
      <c r="B763" s="3" t="s">
        <v>75</v>
      </c>
      <c r="C763" s="3" t="s">
        <v>116</v>
      </c>
      <c r="D763" s="4">
        <v>12166</v>
      </c>
      <c r="L763" s="3" t="s">
        <v>60</v>
      </c>
      <c r="M763" s="3" t="s">
        <v>106</v>
      </c>
      <c r="N763" s="4">
        <v>87265</v>
      </c>
    </row>
    <row r="764" spans="1:14" x14ac:dyDescent="0.25">
      <c r="A764" s="5" t="str">
        <f t="shared" si="14"/>
        <v>Montana-Armand Mcleon</v>
      </c>
      <c r="B764" s="3" t="s">
        <v>63</v>
      </c>
      <c r="C764" s="3" t="s">
        <v>110</v>
      </c>
      <c r="D764" s="4">
        <v>72284</v>
      </c>
      <c r="L764" s="3" t="s">
        <v>60</v>
      </c>
      <c r="M764" s="3" t="s">
        <v>123</v>
      </c>
      <c r="N764" s="4">
        <v>81590</v>
      </c>
    </row>
    <row r="765" spans="1:14" x14ac:dyDescent="0.25">
      <c r="A765" s="5" t="str">
        <f t="shared" si="14"/>
        <v>Northern Marianas Islands-Armand Mcleon</v>
      </c>
      <c r="B765" s="3" t="s">
        <v>72</v>
      </c>
      <c r="C765" s="3" t="s">
        <v>110</v>
      </c>
      <c r="D765" s="4">
        <v>47915</v>
      </c>
      <c r="L765" s="3" t="s">
        <v>60</v>
      </c>
      <c r="M765" s="3" t="s">
        <v>97</v>
      </c>
      <c r="N765" s="4">
        <v>27988</v>
      </c>
    </row>
    <row r="766" spans="1:14" x14ac:dyDescent="0.25">
      <c r="A766" s="5" t="str">
        <f t="shared" si="14"/>
        <v>Rhode Island-Lashon Bongers</v>
      </c>
      <c r="B766" s="3" t="s">
        <v>78</v>
      </c>
      <c r="C766" s="3" t="s">
        <v>106</v>
      </c>
      <c r="D766" s="4">
        <v>124817</v>
      </c>
      <c r="L766" s="3" t="s">
        <v>60</v>
      </c>
      <c r="M766" s="3" t="s">
        <v>119</v>
      </c>
      <c r="N766" s="4">
        <v>43705</v>
      </c>
    </row>
    <row r="767" spans="1:14" x14ac:dyDescent="0.25">
      <c r="A767" s="5" t="str">
        <f t="shared" si="14"/>
        <v>Montana-Toi Medico</v>
      </c>
      <c r="B767" s="3" t="s">
        <v>63</v>
      </c>
      <c r="C767" s="3" t="s">
        <v>103</v>
      </c>
      <c r="D767" s="4">
        <v>78565</v>
      </c>
      <c r="L767" s="3" t="s">
        <v>60</v>
      </c>
      <c r="M767" s="3" t="s">
        <v>113</v>
      </c>
      <c r="N767" s="4">
        <v>150014</v>
      </c>
    </row>
    <row r="768" spans="1:14" x14ac:dyDescent="0.25">
      <c r="A768" s="5" t="str">
        <f t="shared" si="14"/>
        <v>Colorado-Genna Zaller</v>
      </c>
      <c r="B768" s="3" t="s">
        <v>41</v>
      </c>
      <c r="C768" s="3" t="s">
        <v>117</v>
      </c>
      <c r="D768" s="4">
        <v>54663</v>
      </c>
      <c r="L768" s="3" t="s">
        <v>60</v>
      </c>
      <c r="M768" s="3" t="s">
        <v>105</v>
      </c>
      <c r="N768" s="4">
        <v>145377</v>
      </c>
    </row>
    <row r="769" spans="1:14" x14ac:dyDescent="0.25">
      <c r="A769" s="5" t="str">
        <f t="shared" si="14"/>
        <v>Massachusetts-Moises Paynes</v>
      </c>
      <c r="B769" s="3" t="s">
        <v>58</v>
      </c>
      <c r="C769" s="3" t="s">
        <v>104</v>
      </c>
      <c r="D769" s="4">
        <v>159798</v>
      </c>
      <c r="L769" s="3" t="s">
        <v>60</v>
      </c>
      <c r="M769" s="3" t="s">
        <v>104</v>
      </c>
      <c r="N769" s="4">
        <v>129377</v>
      </c>
    </row>
    <row r="770" spans="1:14" x14ac:dyDescent="0.25">
      <c r="A770" s="5" t="str">
        <f t="shared" ref="A770:A833" si="15">B770&amp;"-"&amp;C770</f>
        <v>New Hampshire-Lashon Bongers</v>
      </c>
      <c r="B770" s="3" t="s">
        <v>66</v>
      </c>
      <c r="C770" s="3" t="s">
        <v>106</v>
      </c>
      <c r="D770" s="4">
        <v>164728</v>
      </c>
      <c r="L770" s="3" t="s">
        <v>60</v>
      </c>
      <c r="M770" s="3" t="s">
        <v>100</v>
      </c>
      <c r="N770" s="4">
        <v>21599</v>
      </c>
    </row>
    <row r="771" spans="1:14" x14ac:dyDescent="0.25">
      <c r="A771" s="5" t="str">
        <f t="shared" si="15"/>
        <v>New Mexico-Kai Stroebel</v>
      </c>
      <c r="B771" s="3" t="s">
        <v>68</v>
      </c>
      <c r="C771" s="3" t="s">
        <v>111</v>
      </c>
      <c r="D771" s="4">
        <v>129438</v>
      </c>
      <c r="L771" s="3" t="s">
        <v>60</v>
      </c>
      <c r="M771" s="3" t="s">
        <v>118</v>
      </c>
      <c r="N771" s="4">
        <v>99757</v>
      </c>
    </row>
    <row r="772" spans="1:14" x14ac:dyDescent="0.25">
      <c r="A772" s="5" t="str">
        <f t="shared" si="15"/>
        <v>Missouri-Cliff Schnautz</v>
      </c>
      <c r="B772" s="3" t="s">
        <v>62</v>
      </c>
      <c r="C772" s="3" t="s">
        <v>96</v>
      </c>
      <c r="D772" s="4">
        <v>118642</v>
      </c>
      <c r="L772" s="3" t="s">
        <v>60</v>
      </c>
      <c r="M772" s="3" t="s">
        <v>101</v>
      </c>
      <c r="N772" s="4">
        <v>150766</v>
      </c>
    </row>
    <row r="773" spans="1:14" x14ac:dyDescent="0.25">
      <c r="A773" s="5" t="str">
        <f t="shared" si="15"/>
        <v>Washington-Genna Zaller</v>
      </c>
      <c r="B773" s="3" t="s">
        <v>87</v>
      </c>
      <c r="C773" s="3" t="s">
        <v>117</v>
      </c>
      <c r="D773" s="4">
        <v>130239</v>
      </c>
      <c r="L773" s="3" t="s">
        <v>60</v>
      </c>
      <c r="M773" s="3" t="s">
        <v>122</v>
      </c>
      <c r="N773" s="4">
        <v>58202</v>
      </c>
    </row>
    <row r="774" spans="1:14" x14ac:dyDescent="0.25">
      <c r="A774" s="5" t="str">
        <f t="shared" si="15"/>
        <v>Arkansas-Armand Mcleon</v>
      </c>
      <c r="B774" s="3" t="s">
        <v>39</v>
      </c>
      <c r="C774" s="3" t="s">
        <v>110</v>
      </c>
      <c r="D774" s="4">
        <v>79738</v>
      </c>
      <c r="L774" s="3" t="s">
        <v>60</v>
      </c>
      <c r="M774" s="3" t="s">
        <v>109</v>
      </c>
      <c r="N774" s="4">
        <v>8974</v>
      </c>
    </row>
    <row r="775" spans="1:14" x14ac:dyDescent="0.25">
      <c r="A775" s="5" t="str">
        <f t="shared" si="15"/>
        <v>Rhode Island-Thaddeus Notah</v>
      </c>
      <c r="B775" s="3" t="s">
        <v>78</v>
      </c>
      <c r="C775" s="3" t="s">
        <v>112</v>
      </c>
      <c r="D775" s="4">
        <v>153071</v>
      </c>
      <c r="L775" s="3" t="s">
        <v>60</v>
      </c>
      <c r="M775" s="3" t="s">
        <v>95</v>
      </c>
      <c r="N775" s="4">
        <v>78696</v>
      </c>
    </row>
    <row r="776" spans="1:14" x14ac:dyDescent="0.25">
      <c r="A776" s="5" t="str">
        <f t="shared" si="15"/>
        <v>Nevada-Kai Stroebel</v>
      </c>
      <c r="B776" s="3" t="s">
        <v>65</v>
      </c>
      <c r="C776" s="3" t="s">
        <v>111</v>
      </c>
      <c r="D776" s="4">
        <v>12394</v>
      </c>
      <c r="L776" s="3" t="s">
        <v>60</v>
      </c>
      <c r="M776" s="3" t="s">
        <v>98</v>
      </c>
      <c r="N776" s="4">
        <v>66563</v>
      </c>
    </row>
    <row r="777" spans="1:14" x14ac:dyDescent="0.25">
      <c r="A777" s="5" t="str">
        <f t="shared" si="15"/>
        <v>Virginia-Raphael Derrig</v>
      </c>
      <c r="B777" s="3" t="s">
        <v>85</v>
      </c>
      <c r="C777" s="3" t="s">
        <v>109</v>
      </c>
      <c r="D777" s="4">
        <v>28820</v>
      </c>
      <c r="L777" s="3" t="s">
        <v>60</v>
      </c>
      <c r="M777" s="3" t="s">
        <v>114</v>
      </c>
      <c r="N777" s="4">
        <v>85144</v>
      </c>
    </row>
    <row r="778" spans="1:14" x14ac:dyDescent="0.25">
      <c r="A778" s="5" t="str">
        <f t="shared" si="15"/>
        <v>West Virginia-Marcel Davern</v>
      </c>
      <c r="B778" s="3" t="s">
        <v>88</v>
      </c>
      <c r="C778" s="3" t="s">
        <v>119</v>
      </c>
      <c r="D778" s="4">
        <v>83656</v>
      </c>
      <c r="L778" s="3" t="s">
        <v>60</v>
      </c>
      <c r="M778" s="3" t="s">
        <v>112</v>
      </c>
      <c r="N778" s="4">
        <v>31633</v>
      </c>
    </row>
    <row r="779" spans="1:14" x14ac:dyDescent="0.25">
      <c r="A779" s="5" t="str">
        <f t="shared" si="15"/>
        <v>Missouri-Sadye Diloreto</v>
      </c>
      <c r="B779" s="3" t="s">
        <v>62</v>
      </c>
      <c r="C779" s="3" t="s">
        <v>95</v>
      </c>
      <c r="D779" s="4">
        <v>167805</v>
      </c>
      <c r="L779" s="3" t="s">
        <v>60</v>
      </c>
      <c r="M779" s="3" t="s">
        <v>103</v>
      </c>
      <c r="N779" s="4">
        <v>146115</v>
      </c>
    </row>
    <row r="780" spans="1:14" x14ac:dyDescent="0.25">
      <c r="A780" s="5" t="str">
        <f t="shared" si="15"/>
        <v>Colorado-Nolan Deorio</v>
      </c>
      <c r="B780" s="3" t="s">
        <v>41</v>
      </c>
      <c r="C780" s="3" t="s">
        <v>100</v>
      </c>
      <c r="D780" s="4">
        <v>130526</v>
      </c>
      <c r="L780" s="3" t="s">
        <v>60</v>
      </c>
      <c r="M780" s="3" t="s">
        <v>121</v>
      </c>
      <c r="N780" s="4">
        <v>89474</v>
      </c>
    </row>
    <row r="781" spans="1:14" x14ac:dyDescent="0.25">
      <c r="A781" s="5" t="str">
        <f t="shared" si="15"/>
        <v>Virginia-Keila Rossini</v>
      </c>
      <c r="B781" s="3" t="s">
        <v>85</v>
      </c>
      <c r="C781" s="3" t="s">
        <v>102</v>
      </c>
      <c r="D781" s="4">
        <v>35387</v>
      </c>
      <c r="L781" s="3" t="s">
        <v>60</v>
      </c>
      <c r="M781" s="3" t="s">
        <v>107</v>
      </c>
      <c r="N781" s="4">
        <v>162868</v>
      </c>
    </row>
    <row r="782" spans="1:14" x14ac:dyDescent="0.25">
      <c r="A782" s="5" t="str">
        <f t="shared" si="15"/>
        <v>Texas-Kai Stroebel</v>
      </c>
      <c r="B782" s="3" t="s">
        <v>82</v>
      </c>
      <c r="C782" s="3" t="s">
        <v>111</v>
      </c>
      <c r="D782" s="4">
        <v>99979</v>
      </c>
      <c r="L782" s="3" t="s">
        <v>61</v>
      </c>
      <c r="M782" s="3" t="s">
        <v>116</v>
      </c>
      <c r="N782" s="4">
        <v>62260</v>
      </c>
    </row>
    <row r="783" spans="1:14" x14ac:dyDescent="0.25">
      <c r="A783" s="5" t="str">
        <f t="shared" si="15"/>
        <v>California-Lianne Trappey</v>
      </c>
      <c r="B783" s="3" t="s">
        <v>40</v>
      </c>
      <c r="C783" s="3" t="s">
        <v>123</v>
      </c>
      <c r="D783" s="4">
        <v>112355</v>
      </c>
      <c r="L783" s="3" t="s">
        <v>61</v>
      </c>
      <c r="M783" s="3" t="s">
        <v>108</v>
      </c>
      <c r="N783" s="4">
        <v>133121</v>
      </c>
    </row>
    <row r="784" spans="1:14" x14ac:dyDescent="0.25">
      <c r="A784" s="5" t="str">
        <f t="shared" si="15"/>
        <v>New York-Armand Mcleon</v>
      </c>
      <c r="B784" s="3" t="s">
        <v>69</v>
      </c>
      <c r="C784" s="3" t="s">
        <v>110</v>
      </c>
      <c r="D784" s="4">
        <v>172453</v>
      </c>
      <c r="L784" s="3" t="s">
        <v>61</v>
      </c>
      <c r="M784" s="3" t="s">
        <v>110</v>
      </c>
      <c r="N784" s="4">
        <v>116231</v>
      </c>
    </row>
    <row r="785" spans="1:14" x14ac:dyDescent="0.25">
      <c r="A785" s="5" t="str">
        <f t="shared" si="15"/>
        <v>Maine-Kai Stroebel</v>
      </c>
      <c r="B785" s="3" t="s">
        <v>56</v>
      </c>
      <c r="C785" s="3" t="s">
        <v>111</v>
      </c>
      <c r="D785" s="4">
        <v>75348</v>
      </c>
      <c r="L785" s="3" t="s">
        <v>61</v>
      </c>
      <c r="M785" s="3" t="s">
        <v>99</v>
      </c>
      <c r="N785" s="4">
        <v>136277</v>
      </c>
    </row>
    <row r="786" spans="1:14" x14ac:dyDescent="0.25">
      <c r="A786" s="5" t="str">
        <f t="shared" si="15"/>
        <v>Idaho-Genna Zaller</v>
      </c>
      <c r="B786" s="3" t="s">
        <v>49</v>
      </c>
      <c r="C786" s="3" t="s">
        <v>117</v>
      </c>
      <c r="D786" s="4">
        <v>123290</v>
      </c>
      <c r="L786" s="3" t="s">
        <v>61</v>
      </c>
      <c r="M786" s="3" t="s">
        <v>124</v>
      </c>
      <c r="N786" s="4">
        <v>147462</v>
      </c>
    </row>
    <row r="787" spans="1:14" x14ac:dyDescent="0.25">
      <c r="A787" s="5" t="str">
        <f t="shared" si="15"/>
        <v>Virginia-Thaddeus Cacciatori</v>
      </c>
      <c r="B787" s="3" t="s">
        <v>85</v>
      </c>
      <c r="C787" s="3" t="s">
        <v>114</v>
      </c>
      <c r="D787" s="4">
        <v>145489</v>
      </c>
      <c r="L787" s="3" t="s">
        <v>61</v>
      </c>
      <c r="M787" s="3" t="s">
        <v>96</v>
      </c>
      <c r="N787" s="4">
        <v>82712</v>
      </c>
    </row>
    <row r="788" spans="1:14" x14ac:dyDescent="0.25">
      <c r="A788" s="5" t="str">
        <f t="shared" si="15"/>
        <v>Oregon-Ali Stupp</v>
      </c>
      <c r="B788" s="3" t="s">
        <v>75</v>
      </c>
      <c r="C788" s="3" t="s">
        <v>108</v>
      </c>
      <c r="D788" s="4">
        <v>153421</v>
      </c>
      <c r="L788" s="3" t="s">
        <v>61</v>
      </c>
      <c r="M788" s="3" t="s">
        <v>115</v>
      </c>
      <c r="N788" s="4">
        <v>72663</v>
      </c>
    </row>
    <row r="789" spans="1:14" x14ac:dyDescent="0.25">
      <c r="A789" s="5" t="str">
        <f t="shared" si="15"/>
        <v>Puerto Rico-Quinton Modugno</v>
      </c>
      <c r="B789" s="3" t="s">
        <v>77</v>
      </c>
      <c r="C789" s="3" t="s">
        <v>101</v>
      </c>
      <c r="D789" s="4">
        <v>62947</v>
      </c>
      <c r="L789" s="3" t="s">
        <v>61</v>
      </c>
      <c r="M789" s="3" t="s">
        <v>117</v>
      </c>
      <c r="N789" s="4">
        <v>161942</v>
      </c>
    </row>
    <row r="790" spans="1:14" x14ac:dyDescent="0.25">
      <c r="A790" s="5" t="str">
        <f t="shared" si="15"/>
        <v>Montana-Kai Stroebel</v>
      </c>
      <c r="B790" s="3" t="s">
        <v>63</v>
      </c>
      <c r="C790" s="3" t="s">
        <v>111</v>
      </c>
      <c r="D790" s="4">
        <v>29653</v>
      </c>
      <c r="L790" s="3" t="s">
        <v>61</v>
      </c>
      <c r="M790" s="3" t="s">
        <v>120</v>
      </c>
      <c r="N790" s="4">
        <v>74324</v>
      </c>
    </row>
    <row r="791" spans="1:14" x14ac:dyDescent="0.25">
      <c r="A791" s="5" t="str">
        <f t="shared" si="15"/>
        <v>Washington-Raphael Derrig</v>
      </c>
      <c r="B791" s="3" t="s">
        <v>87</v>
      </c>
      <c r="C791" s="3" t="s">
        <v>109</v>
      </c>
      <c r="D791" s="4">
        <v>24958</v>
      </c>
      <c r="L791" s="3" t="s">
        <v>61</v>
      </c>
      <c r="M791" s="3" t="s">
        <v>111</v>
      </c>
      <c r="N791" s="4">
        <v>55694</v>
      </c>
    </row>
    <row r="792" spans="1:14" x14ac:dyDescent="0.25">
      <c r="A792" s="5" t="str">
        <f t="shared" si="15"/>
        <v>Alabama-Raphael Derrig</v>
      </c>
      <c r="B792" s="3" t="s">
        <v>35</v>
      </c>
      <c r="C792" s="3" t="s">
        <v>109</v>
      </c>
      <c r="D792" s="4">
        <v>35317</v>
      </c>
      <c r="L792" s="3" t="s">
        <v>61</v>
      </c>
      <c r="M792" s="3" t="s">
        <v>102</v>
      </c>
      <c r="N792" s="4">
        <v>42124</v>
      </c>
    </row>
    <row r="793" spans="1:14" x14ac:dyDescent="0.25">
      <c r="A793" s="5" t="str">
        <f t="shared" si="15"/>
        <v>American Samoa-Genna Zaller</v>
      </c>
      <c r="B793" s="3" t="s">
        <v>37</v>
      </c>
      <c r="C793" s="3" t="s">
        <v>117</v>
      </c>
      <c r="D793" s="4">
        <v>172469</v>
      </c>
      <c r="L793" s="3" t="s">
        <v>61</v>
      </c>
      <c r="M793" s="3" t="s">
        <v>106</v>
      </c>
      <c r="N793" s="4">
        <v>69801</v>
      </c>
    </row>
    <row r="794" spans="1:14" x14ac:dyDescent="0.25">
      <c r="A794" s="5" t="str">
        <f t="shared" si="15"/>
        <v>Texas-Toi Medico</v>
      </c>
      <c r="B794" s="3" t="s">
        <v>82</v>
      </c>
      <c r="C794" s="3" t="s">
        <v>103</v>
      </c>
      <c r="D794" s="4">
        <v>123145</v>
      </c>
      <c r="L794" s="3" t="s">
        <v>61</v>
      </c>
      <c r="M794" s="3" t="s">
        <v>123</v>
      </c>
      <c r="N794" s="4">
        <v>48369</v>
      </c>
    </row>
    <row r="795" spans="1:14" x14ac:dyDescent="0.25">
      <c r="A795" s="5" t="str">
        <f t="shared" si="15"/>
        <v>Hawaii-Raphael Derrig</v>
      </c>
      <c r="B795" s="3" t="s">
        <v>48</v>
      </c>
      <c r="C795" s="3" t="s">
        <v>109</v>
      </c>
      <c r="D795" s="4">
        <v>150410</v>
      </c>
      <c r="L795" s="3" t="s">
        <v>61</v>
      </c>
      <c r="M795" s="3" t="s">
        <v>97</v>
      </c>
      <c r="N795" s="4">
        <v>152587</v>
      </c>
    </row>
    <row r="796" spans="1:14" x14ac:dyDescent="0.25">
      <c r="A796" s="5" t="str">
        <f t="shared" si="15"/>
        <v>Guam-Keila Rossini</v>
      </c>
      <c r="B796" s="3" t="s">
        <v>47</v>
      </c>
      <c r="C796" s="3" t="s">
        <v>102</v>
      </c>
      <c r="D796" s="4">
        <v>66845</v>
      </c>
      <c r="L796" s="3" t="s">
        <v>61</v>
      </c>
      <c r="M796" s="3" t="s">
        <v>119</v>
      </c>
      <c r="N796" s="4">
        <v>90372</v>
      </c>
    </row>
    <row r="797" spans="1:14" x14ac:dyDescent="0.25">
      <c r="A797" s="5" t="str">
        <f t="shared" si="15"/>
        <v>Alabama-Jackson Lorkowski</v>
      </c>
      <c r="B797" s="3" t="s">
        <v>35</v>
      </c>
      <c r="C797" s="3" t="s">
        <v>120</v>
      </c>
      <c r="D797" s="4">
        <v>122362</v>
      </c>
      <c r="L797" s="3" t="s">
        <v>61</v>
      </c>
      <c r="M797" s="3" t="s">
        <v>113</v>
      </c>
      <c r="N797" s="4">
        <v>3291</v>
      </c>
    </row>
    <row r="798" spans="1:14" x14ac:dyDescent="0.25">
      <c r="A798" s="5" t="str">
        <f t="shared" si="15"/>
        <v>Rhode Island-Marvis Tenholder</v>
      </c>
      <c r="B798" s="3" t="s">
        <v>78</v>
      </c>
      <c r="C798" s="3" t="s">
        <v>105</v>
      </c>
      <c r="D798" s="4">
        <v>17677</v>
      </c>
      <c r="L798" s="3" t="s">
        <v>61</v>
      </c>
      <c r="M798" s="3" t="s">
        <v>105</v>
      </c>
      <c r="N798" s="4">
        <v>57907</v>
      </c>
    </row>
    <row r="799" spans="1:14" x14ac:dyDescent="0.25">
      <c r="A799" s="5" t="str">
        <f t="shared" si="15"/>
        <v>Iowa-Raphael Bonawitz</v>
      </c>
      <c r="B799" s="3" t="s">
        <v>52</v>
      </c>
      <c r="C799" s="3" t="s">
        <v>122</v>
      </c>
      <c r="D799" s="4">
        <v>64092</v>
      </c>
      <c r="L799" s="3" t="s">
        <v>61</v>
      </c>
      <c r="M799" s="3" t="s">
        <v>104</v>
      </c>
      <c r="N799" s="4">
        <v>83743</v>
      </c>
    </row>
    <row r="800" spans="1:14" x14ac:dyDescent="0.25">
      <c r="A800" s="5" t="str">
        <f t="shared" si="15"/>
        <v>Mississippi-Lashon Bongers</v>
      </c>
      <c r="B800" s="3" t="s">
        <v>61</v>
      </c>
      <c r="C800" s="3" t="s">
        <v>106</v>
      </c>
      <c r="D800" s="4">
        <v>69801</v>
      </c>
      <c r="L800" s="3" t="s">
        <v>61</v>
      </c>
      <c r="M800" s="3" t="s">
        <v>100</v>
      </c>
      <c r="N800" s="4">
        <v>163401</v>
      </c>
    </row>
    <row r="801" spans="1:14" x14ac:dyDescent="0.25">
      <c r="A801" s="5" t="str">
        <f t="shared" si="15"/>
        <v>Montana-Cliff Galinski</v>
      </c>
      <c r="B801" s="3" t="s">
        <v>63</v>
      </c>
      <c r="C801" s="3" t="s">
        <v>124</v>
      </c>
      <c r="D801" s="4">
        <v>145686</v>
      </c>
      <c r="L801" s="3" t="s">
        <v>61</v>
      </c>
      <c r="M801" s="3" t="s">
        <v>118</v>
      </c>
      <c r="N801" s="4">
        <v>9352</v>
      </c>
    </row>
    <row r="802" spans="1:14" x14ac:dyDescent="0.25">
      <c r="A802" s="5" t="str">
        <f t="shared" si="15"/>
        <v>Colorado-Marvis Tenholder</v>
      </c>
      <c r="B802" s="3" t="s">
        <v>41</v>
      </c>
      <c r="C802" s="3" t="s">
        <v>105</v>
      </c>
      <c r="D802" s="4">
        <v>71016</v>
      </c>
      <c r="L802" s="3" t="s">
        <v>61</v>
      </c>
      <c r="M802" s="3" t="s">
        <v>101</v>
      </c>
      <c r="N802" s="4">
        <v>54861</v>
      </c>
    </row>
    <row r="803" spans="1:14" x14ac:dyDescent="0.25">
      <c r="A803" s="5" t="str">
        <f t="shared" si="15"/>
        <v>Kentucky-Jackson Lorkowski</v>
      </c>
      <c r="B803" s="3" t="s">
        <v>54</v>
      </c>
      <c r="C803" s="3" t="s">
        <v>120</v>
      </c>
      <c r="D803" s="4">
        <v>53804</v>
      </c>
      <c r="L803" s="3" t="s">
        <v>61</v>
      </c>
      <c r="M803" s="3" t="s">
        <v>122</v>
      </c>
      <c r="N803" s="4">
        <v>84847</v>
      </c>
    </row>
    <row r="804" spans="1:14" x14ac:dyDescent="0.25">
      <c r="A804" s="5" t="str">
        <f t="shared" si="15"/>
        <v>Minnesota-Marlin Mavromatis</v>
      </c>
      <c r="B804" s="3" t="s">
        <v>60</v>
      </c>
      <c r="C804" s="3" t="s">
        <v>113</v>
      </c>
      <c r="D804" s="4">
        <v>150014</v>
      </c>
      <c r="L804" s="3" t="s">
        <v>61</v>
      </c>
      <c r="M804" s="3" t="s">
        <v>109</v>
      </c>
      <c r="N804" s="4">
        <v>117934</v>
      </c>
    </row>
    <row r="805" spans="1:14" x14ac:dyDescent="0.25">
      <c r="A805" s="5" t="str">
        <f t="shared" si="15"/>
        <v>New Mexico-Thaddeus Cacciatori</v>
      </c>
      <c r="B805" s="3" t="s">
        <v>68</v>
      </c>
      <c r="C805" s="3" t="s">
        <v>114</v>
      </c>
      <c r="D805" s="4">
        <v>136383</v>
      </c>
      <c r="L805" s="3" t="s">
        <v>61</v>
      </c>
      <c r="M805" s="3" t="s">
        <v>95</v>
      </c>
      <c r="N805" s="4">
        <v>75470</v>
      </c>
    </row>
    <row r="806" spans="1:14" x14ac:dyDescent="0.25">
      <c r="A806" s="5" t="str">
        <f t="shared" si="15"/>
        <v>Kansas-Kai Stroebel</v>
      </c>
      <c r="B806" s="3" t="s">
        <v>53</v>
      </c>
      <c r="C806" s="3" t="s">
        <v>111</v>
      </c>
      <c r="D806" s="4">
        <v>146579</v>
      </c>
      <c r="L806" s="3" t="s">
        <v>61</v>
      </c>
      <c r="M806" s="3" t="s">
        <v>98</v>
      </c>
      <c r="N806" s="4">
        <v>156080</v>
      </c>
    </row>
    <row r="807" spans="1:14" x14ac:dyDescent="0.25">
      <c r="A807" s="5" t="str">
        <f t="shared" si="15"/>
        <v>Iowa-Thaddeus Cacciatori</v>
      </c>
      <c r="B807" s="3" t="s">
        <v>52</v>
      </c>
      <c r="C807" s="3" t="s">
        <v>114</v>
      </c>
      <c r="D807" s="4">
        <v>52504</v>
      </c>
      <c r="L807" s="3" t="s">
        <v>61</v>
      </c>
      <c r="M807" s="3" t="s">
        <v>114</v>
      </c>
      <c r="N807" s="4">
        <v>60167</v>
      </c>
    </row>
    <row r="808" spans="1:14" x14ac:dyDescent="0.25">
      <c r="A808" s="5" t="str">
        <f t="shared" si="15"/>
        <v>Pennsylvania-Cliff Galinski</v>
      </c>
      <c r="B808" s="3" t="s">
        <v>76</v>
      </c>
      <c r="C808" s="3" t="s">
        <v>124</v>
      </c>
      <c r="D808" s="4">
        <v>34608</v>
      </c>
      <c r="L808" s="3" t="s">
        <v>61</v>
      </c>
      <c r="M808" s="3" t="s">
        <v>112</v>
      </c>
      <c r="N808" s="4">
        <v>29608</v>
      </c>
    </row>
    <row r="809" spans="1:14" x14ac:dyDescent="0.25">
      <c r="A809" s="5" t="str">
        <f t="shared" si="15"/>
        <v>Wyoming-Thaddeus Cacciatori</v>
      </c>
      <c r="B809" s="3" t="s">
        <v>90</v>
      </c>
      <c r="C809" s="3" t="s">
        <v>114</v>
      </c>
      <c r="D809" s="4">
        <v>70700</v>
      </c>
      <c r="L809" s="3" t="s">
        <v>61</v>
      </c>
      <c r="M809" s="3" t="s">
        <v>103</v>
      </c>
      <c r="N809" s="4">
        <v>61212</v>
      </c>
    </row>
    <row r="810" spans="1:14" x14ac:dyDescent="0.25">
      <c r="A810" s="5" t="str">
        <f t="shared" si="15"/>
        <v>New York-Marvis Tenholder</v>
      </c>
      <c r="B810" s="3" t="s">
        <v>69</v>
      </c>
      <c r="C810" s="3" t="s">
        <v>105</v>
      </c>
      <c r="D810" s="4">
        <v>33592</v>
      </c>
      <c r="L810" s="3" t="s">
        <v>61</v>
      </c>
      <c r="M810" s="3" t="s">
        <v>121</v>
      </c>
      <c r="N810" s="4">
        <v>101131</v>
      </c>
    </row>
    <row r="811" spans="1:14" x14ac:dyDescent="0.25">
      <c r="A811" s="5" t="str">
        <f t="shared" si="15"/>
        <v>Mississippi-Thaddeus Cacciatori</v>
      </c>
      <c r="B811" s="3" t="s">
        <v>61</v>
      </c>
      <c r="C811" s="3" t="s">
        <v>114</v>
      </c>
      <c r="D811" s="4">
        <v>60167</v>
      </c>
      <c r="L811" s="3" t="s">
        <v>61</v>
      </c>
      <c r="M811" s="3" t="s">
        <v>107</v>
      </c>
      <c r="N811" s="4">
        <v>115783</v>
      </c>
    </row>
    <row r="812" spans="1:14" x14ac:dyDescent="0.25">
      <c r="A812" s="5" t="str">
        <f t="shared" si="15"/>
        <v>Louisiana-Twanda Lovenduski</v>
      </c>
      <c r="B812" s="3" t="s">
        <v>55</v>
      </c>
      <c r="C812" s="3" t="s">
        <v>107</v>
      </c>
      <c r="D812" s="4">
        <v>111581</v>
      </c>
      <c r="L812" s="3" t="s">
        <v>62</v>
      </c>
      <c r="M812" s="3" t="s">
        <v>116</v>
      </c>
      <c r="N812" s="4">
        <v>114729</v>
      </c>
    </row>
    <row r="813" spans="1:14" x14ac:dyDescent="0.25">
      <c r="A813" s="5" t="str">
        <f t="shared" si="15"/>
        <v>Kansas-Fidel Potra</v>
      </c>
      <c r="B813" s="3" t="s">
        <v>53</v>
      </c>
      <c r="C813" s="3" t="s">
        <v>115</v>
      </c>
      <c r="D813" s="4">
        <v>174700</v>
      </c>
      <c r="L813" s="3" t="s">
        <v>62</v>
      </c>
      <c r="M813" s="3" t="s">
        <v>108</v>
      </c>
      <c r="N813" s="4">
        <v>90389</v>
      </c>
    </row>
    <row r="814" spans="1:14" x14ac:dyDescent="0.25">
      <c r="A814" s="5" t="str">
        <f t="shared" si="15"/>
        <v>South Dakota-Nolan Deorio</v>
      </c>
      <c r="B814" s="3" t="s">
        <v>80</v>
      </c>
      <c r="C814" s="3" t="s">
        <v>100</v>
      </c>
      <c r="D814" s="4">
        <v>158784</v>
      </c>
      <c r="L814" s="3" t="s">
        <v>62</v>
      </c>
      <c r="M814" s="3" t="s">
        <v>110</v>
      </c>
      <c r="N814" s="4">
        <v>138767</v>
      </c>
    </row>
    <row r="815" spans="1:14" x14ac:dyDescent="0.25">
      <c r="A815" s="5" t="str">
        <f t="shared" si="15"/>
        <v>Texas-Keila Rossini</v>
      </c>
      <c r="B815" s="3" t="s">
        <v>82</v>
      </c>
      <c r="C815" s="3" t="s">
        <v>102</v>
      </c>
      <c r="D815" s="4">
        <v>45729</v>
      </c>
      <c r="L815" s="3" t="s">
        <v>62</v>
      </c>
      <c r="M815" s="3" t="s">
        <v>99</v>
      </c>
      <c r="N815" s="4">
        <v>91849</v>
      </c>
    </row>
    <row r="816" spans="1:14" x14ac:dyDescent="0.25">
      <c r="A816" s="5" t="str">
        <f t="shared" si="15"/>
        <v>North Carolina-Son Shryack</v>
      </c>
      <c r="B816" s="3" t="s">
        <v>70</v>
      </c>
      <c r="C816" s="3" t="s">
        <v>98</v>
      </c>
      <c r="D816" s="4">
        <v>105783</v>
      </c>
      <c r="L816" s="3" t="s">
        <v>62</v>
      </c>
      <c r="M816" s="3" t="s">
        <v>124</v>
      </c>
      <c r="N816" s="4">
        <v>166882</v>
      </c>
    </row>
    <row r="817" spans="1:14" x14ac:dyDescent="0.25">
      <c r="A817" s="5" t="str">
        <f t="shared" si="15"/>
        <v>Texas-Quinton Modugno</v>
      </c>
      <c r="B817" s="3" t="s">
        <v>82</v>
      </c>
      <c r="C817" s="3" t="s">
        <v>101</v>
      </c>
      <c r="D817" s="4">
        <v>161796</v>
      </c>
      <c r="L817" s="3" t="s">
        <v>62</v>
      </c>
      <c r="M817" s="3" t="s">
        <v>96</v>
      </c>
      <c r="N817" s="4">
        <v>118642</v>
      </c>
    </row>
    <row r="818" spans="1:14" x14ac:dyDescent="0.25">
      <c r="A818" s="5" t="str">
        <f t="shared" si="15"/>
        <v>Oklahoma-Raphael Bonawitz</v>
      </c>
      <c r="B818" s="3" t="s">
        <v>74</v>
      </c>
      <c r="C818" s="3" t="s">
        <v>122</v>
      </c>
      <c r="D818" s="4">
        <v>167031</v>
      </c>
      <c r="L818" s="3" t="s">
        <v>62</v>
      </c>
      <c r="M818" s="3" t="s">
        <v>115</v>
      </c>
      <c r="N818" s="4">
        <v>145428</v>
      </c>
    </row>
    <row r="819" spans="1:14" x14ac:dyDescent="0.25">
      <c r="A819" s="5" t="str">
        <f t="shared" si="15"/>
        <v>Maryland-Nolan Gohn</v>
      </c>
      <c r="B819" s="3" t="s">
        <v>57</v>
      </c>
      <c r="C819" s="3" t="s">
        <v>118</v>
      </c>
      <c r="D819" s="4">
        <v>163741</v>
      </c>
      <c r="L819" s="3" t="s">
        <v>62</v>
      </c>
      <c r="M819" s="3" t="s">
        <v>117</v>
      </c>
      <c r="N819" s="4">
        <v>83595</v>
      </c>
    </row>
    <row r="820" spans="1:14" x14ac:dyDescent="0.25">
      <c r="A820" s="5" t="str">
        <f t="shared" si="15"/>
        <v>Vermont-Ali Steenken</v>
      </c>
      <c r="B820" s="3" t="s">
        <v>84</v>
      </c>
      <c r="C820" s="3" t="s">
        <v>116</v>
      </c>
      <c r="D820" s="4">
        <v>108209</v>
      </c>
      <c r="L820" s="3" t="s">
        <v>62</v>
      </c>
      <c r="M820" s="3" t="s">
        <v>120</v>
      </c>
      <c r="N820" s="4">
        <v>22863</v>
      </c>
    </row>
    <row r="821" spans="1:14" x14ac:dyDescent="0.25">
      <c r="A821" s="5" t="str">
        <f t="shared" si="15"/>
        <v>Rhode Island-Son Shryack</v>
      </c>
      <c r="B821" s="3" t="s">
        <v>78</v>
      </c>
      <c r="C821" s="3" t="s">
        <v>98</v>
      </c>
      <c r="D821" s="4">
        <v>170270</v>
      </c>
      <c r="L821" s="3" t="s">
        <v>62</v>
      </c>
      <c r="M821" s="3" t="s">
        <v>111</v>
      </c>
      <c r="N821" s="4">
        <v>84008</v>
      </c>
    </row>
    <row r="822" spans="1:14" x14ac:dyDescent="0.25">
      <c r="A822" s="5" t="str">
        <f t="shared" si="15"/>
        <v>Wyoming-Ali Steenken</v>
      </c>
      <c r="B822" s="3" t="s">
        <v>90</v>
      </c>
      <c r="C822" s="3" t="s">
        <v>116</v>
      </c>
      <c r="D822" s="4">
        <v>18657</v>
      </c>
      <c r="L822" s="3" t="s">
        <v>62</v>
      </c>
      <c r="M822" s="3" t="s">
        <v>102</v>
      </c>
      <c r="N822" s="4">
        <v>60257</v>
      </c>
    </row>
    <row r="823" spans="1:14" x14ac:dyDescent="0.25">
      <c r="A823" s="5" t="str">
        <f t="shared" si="15"/>
        <v>California-Twanda Lovenduski</v>
      </c>
      <c r="B823" s="3" t="s">
        <v>40</v>
      </c>
      <c r="C823" s="3" t="s">
        <v>107</v>
      </c>
      <c r="D823" s="4">
        <v>134112</v>
      </c>
      <c r="L823" s="3" t="s">
        <v>62</v>
      </c>
      <c r="M823" s="3" t="s">
        <v>106</v>
      </c>
      <c r="N823" s="4">
        <v>35197</v>
      </c>
    </row>
    <row r="824" spans="1:14" x14ac:dyDescent="0.25">
      <c r="A824" s="5" t="str">
        <f t="shared" si="15"/>
        <v>Massachusetts-Fidel Potra</v>
      </c>
      <c r="B824" s="3" t="s">
        <v>58</v>
      </c>
      <c r="C824" s="3" t="s">
        <v>115</v>
      </c>
      <c r="D824" s="4">
        <v>53100</v>
      </c>
      <c r="L824" s="3" t="s">
        <v>62</v>
      </c>
      <c r="M824" s="3" t="s">
        <v>123</v>
      </c>
      <c r="N824" s="4">
        <v>146864</v>
      </c>
    </row>
    <row r="825" spans="1:14" x14ac:dyDescent="0.25">
      <c r="A825" s="5" t="str">
        <f t="shared" si="15"/>
        <v>Maryland-Nolan Deorio</v>
      </c>
      <c r="B825" s="3" t="s">
        <v>57</v>
      </c>
      <c r="C825" s="3" t="s">
        <v>100</v>
      </c>
      <c r="D825" s="4">
        <v>169440</v>
      </c>
      <c r="L825" s="3" t="s">
        <v>62</v>
      </c>
      <c r="M825" s="3" t="s">
        <v>97</v>
      </c>
      <c r="N825" s="4">
        <v>34565</v>
      </c>
    </row>
    <row r="826" spans="1:14" x14ac:dyDescent="0.25">
      <c r="A826" s="5" t="str">
        <f t="shared" si="15"/>
        <v>New Mexico-Ali Stupp</v>
      </c>
      <c r="B826" s="3" t="s">
        <v>68</v>
      </c>
      <c r="C826" s="3" t="s">
        <v>108</v>
      </c>
      <c r="D826" s="4">
        <v>82623</v>
      </c>
      <c r="L826" s="3" t="s">
        <v>62</v>
      </c>
      <c r="M826" s="3" t="s">
        <v>119</v>
      </c>
      <c r="N826" s="4">
        <v>98439</v>
      </c>
    </row>
    <row r="827" spans="1:14" x14ac:dyDescent="0.25">
      <c r="A827" s="5" t="str">
        <f t="shared" si="15"/>
        <v>Virgin Islands-Cliff Schnautz</v>
      </c>
      <c r="B827" s="3" t="s">
        <v>86</v>
      </c>
      <c r="C827" s="3" t="s">
        <v>96</v>
      </c>
      <c r="D827" s="4">
        <v>114221</v>
      </c>
      <c r="L827" s="3" t="s">
        <v>62</v>
      </c>
      <c r="M827" s="3" t="s">
        <v>113</v>
      </c>
      <c r="N827" s="4">
        <v>107147</v>
      </c>
    </row>
    <row r="828" spans="1:14" x14ac:dyDescent="0.25">
      <c r="A828" s="5" t="str">
        <f t="shared" si="15"/>
        <v>District of Columbia-Fidel Potra</v>
      </c>
      <c r="B828" s="3" t="s">
        <v>44</v>
      </c>
      <c r="C828" s="3" t="s">
        <v>115</v>
      </c>
      <c r="D828" s="4">
        <v>55508</v>
      </c>
      <c r="L828" s="3" t="s">
        <v>62</v>
      </c>
      <c r="M828" s="3" t="s">
        <v>105</v>
      </c>
      <c r="N828" s="4">
        <v>168393</v>
      </c>
    </row>
    <row r="829" spans="1:14" x14ac:dyDescent="0.25">
      <c r="A829" s="5" t="str">
        <f t="shared" si="15"/>
        <v>Georgia-Sadye Diloreto</v>
      </c>
      <c r="B829" s="3" t="s">
        <v>46</v>
      </c>
      <c r="C829" s="3" t="s">
        <v>95</v>
      </c>
      <c r="D829" s="4">
        <v>126561</v>
      </c>
      <c r="L829" s="3" t="s">
        <v>62</v>
      </c>
      <c r="M829" s="3" t="s">
        <v>104</v>
      </c>
      <c r="N829" s="4">
        <v>58520</v>
      </c>
    </row>
    <row r="830" spans="1:14" x14ac:dyDescent="0.25">
      <c r="A830" s="5" t="str">
        <f t="shared" si="15"/>
        <v>Montana-Son Shryack</v>
      </c>
      <c r="B830" s="3" t="s">
        <v>63</v>
      </c>
      <c r="C830" s="3" t="s">
        <v>98</v>
      </c>
      <c r="D830" s="4">
        <v>112438</v>
      </c>
      <c r="L830" s="3" t="s">
        <v>62</v>
      </c>
      <c r="M830" s="3" t="s">
        <v>100</v>
      </c>
      <c r="N830" s="4">
        <v>153113</v>
      </c>
    </row>
    <row r="831" spans="1:14" x14ac:dyDescent="0.25">
      <c r="A831" s="5" t="str">
        <f t="shared" si="15"/>
        <v>Wisconsin-Moises Paynes</v>
      </c>
      <c r="B831" s="3" t="s">
        <v>89</v>
      </c>
      <c r="C831" s="3" t="s">
        <v>104</v>
      </c>
      <c r="D831" s="4">
        <v>136112</v>
      </c>
      <c r="L831" s="3" t="s">
        <v>62</v>
      </c>
      <c r="M831" s="3" t="s">
        <v>118</v>
      </c>
      <c r="N831" s="4">
        <v>158701</v>
      </c>
    </row>
    <row r="832" spans="1:14" x14ac:dyDescent="0.25">
      <c r="A832" s="5" t="str">
        <f t="shared" si="15"/>
        <v>Washington-Cliff Galinski</v>
      </c>
      <c r="B832" s="3" t="s">
        <v>87</v>
      </c>
      <c r="C832" s="3" t="s">
        <v>124</v>
      </c>
      <c r="D832" s="4">
        <v>79172</v>
      </c>
      <c r="L832" s="3" t="s">
        <v>62</v>
      </c>
      <c r="M832" s="3" t="s">
        <v>101</v>
      </c>
      <c r="N832" s="4">
        <v>13555</v>
      </c>
    </row>
    <row r="833" spans="1:14" x14ac:dyDescent="0.25">
      <c r="A833" s="5" t="str">
        <f t="shared" si="15"/>
        <v>Georgia-Cliff Bahlmann</v>
      </c>
      <c r="B833" s="3" t="s">
        <v>46</v>
      </c>
      <c r="C833" s="3" t="s">
        <v>99</v>
      </c>
      <c r="D833" s="4">
        <v>17678</v>
      </c>
      <c r="L833" s="3" t="s">
        <v>62</v>
      </c>
      <c r="M833" s="3" t="s">
        <v>122</v>
      </c>
      <c r="N833" s="4">
        <v>135036</v>
      </c>
    </row>
    <row r="834" spans="1:14" x14ac:dyDescent="0.25">
      <c r="A834" s="5" t="str">
        <f t="shared" ref="A834:A897" si="16">B834&amp;"-"&amp;C834</f>
        <v>Maine-Sadye Diloreto</v>
      </c>
      <c r="B834" s="3" t="s">
        <v>56</v>
      </c>
      <c r="C834" s="3" t="s">
        <v>95</v>
      </c>
      <c r="D834" s="4">
        <v>115296</v>
      </c>
      <c r="L834" s="3" t="s">
        <v>62</v>
      </c>
      <c r="M834" s="3" t="s">
        <v>109</v>
      </c>
      <c r="N834" s="4">
        <v>53547</v>
      </c>
    </row>
    <row r="835" spans="1:14" x14ac:dyDescent="0.25">
      <c r="A835" s="5" t="str">
        <f t="shared" si="16"/>
        <v>California-Raphael Bonawitz</v>
      </c>
      <c r="B835" s="3" t="s">
        <v>40</v>
      </c>
      <c r="C835" s="3" t="s">
        <v>122</v>
      </c>
      <c r="D835" s="4">
        <v>57854</v>
      </c>
      <c r="L835" s="3" t="s">
        <v>62</v>
      </c>
      <c r="M835" s="3" t="s">
        <v>95</v>
      </c>
      <c r="N835" s="4">
        <v>167805</v>
      </c>
    </row>
    <row r="836" spans="1:14" x14ac:dyDescent="0.25">
      <c r="A836" s="5" t="str">
        <f t="shared" si="16"/>
        <v>Michigan-Lianne Trappey</v>
      </c>
      <c r="B836" s="3" t="s">
        <v>59</v>
      </c>
      <c r="C836" s="3" t="s">
        <v>123</v>
      </c>
      <c r="D836" s="4">
        <v>2272</v>
      </c>
      <c r="L836" s="3" t="s">
        <v>62</v>
      </c>
      <c r="M836" s="3" t="s">
        <v>98</v>
      </c>
      <c r="N836" s="4">
        <v>145091</v>
      </c>
    </row>
    <row r="837" spans="1:14" x14ac:dyDescent="0.25">
      <c r="A837" s="5" t="str">
        <f t="shared" si="16"/>
        <v>Ohio-Lashon Bongers</v>
      </c>
      <c r="B837" s="3" t="s">
        <v>73</v>
      </c>
      <c r="C837" s="3" t="s">
        <v>106</v>
      </c>
      <c r="D837" s="4">
        <v>113616</v>
      </c>
      <c r="L837" s="3" t="s">
        <v>62</v>
      </c>
      <c r="M837" s="3" t="s">
        <v>114</v>
      </c>
      <c r="N837" s="4">
        <v>51231</v>
      </c>
    </row>
    <row r="838" spans="1:14" x14ac:dyDescent="0.25">
      <c r="A838" s="5" t="str">
        <f t="shared" si="16"/>
        <v>Minnesota-Nolan Gohn</v>
      </c>
      <c r="B838" s="3" t="s">
        <v>60</v>
      </c>
      <c r="C838" s="3" t="s">
        <v>118</v>
      </c>
      <c r="D838" s="4">
        <v>99757</v>
      </c>
      <c r="L838" s="3" t="s">
        <v>62</v>
      </c>
      <c r="M838" s="3" t="s">
        <v>112</v>
      </c>
      <c r="N838" s="4">
        <v>151088</v>
      </c>
    </row>
    <row r="839" spans="1:14" x14ac:dyDescent="0.25">
      <c r="A839" s="5" t="str">
        <f t="shared" si="16"/>
        <v>Arkansas-Genna Zaller</v>
      </c>
      <c r="B839" s="3" t="s">
        <v>39</v>
      </c>
      <c r="C839" s="3" t="s">
        <v>117</v>
      </c>
      <c r="D839" s="4">
        <v>138976</v>
      </c>
      <c r="L839" s="3" t="s">
        <v>62</v>
      </c>
      <c r="M839" s="3" t="s">
        <v>103</v>
      </c>
      <c r="N839" s="4">
        <v>99831</v>
      </c>
    </row>
    <row r="840" spans="1:14" x14ac:dyDescent="0.25">
      <c r="A840" s="5" t="str">
        <f t="shared" si="16"/>
        <v>New York-Moises Paynes</v>
      </c>
      <c r="B840" s="3" t="s">
        <v>69</v>
      </c>
      <c r="C840" s="3" t="s">
        <v>104</v>
      </c>
      <c r="D840" s="4">
        <v>86624</v>
      </c>
      <c r="L840" s="3" t="s">
        <v>62</v>
      </c>
      <c r="M840" s="3" t="s">
        <v>121</v>
      </c>
      <c r="N840" s="4">
        <v>146225</v>
      </c>
    </row>
    <row r="841" spans="1:14" x14ac:dyDescent="0.25">
      <c r="A841" s="5" t="str">
        <f t="shared" si="16"/>
        <v>Wisconsin-Raphael Bonawitz</v>
      </c>
      <c r="B841" s="3" t="s">
        <v>89</v>
      </c>
      <c r="C841" s="3" t="s">
        <v>122</v>
      </c>
      <c r="D841" s="4">
        <v>26350</v>
      </c>
      <c r="L841" s="3" t="s">
        <v>62</v>
      </c>
      <c r="M841" s="3" t="s">
        <v>107</v>
      </c>
      <c r="N841" s="4">
        <v>106622</v>
      </c>
    </row>
    <row r="842" spans="1:14" x14ac:dyDescent="0.25">
      <c r="A842" s="5" t="str">
        <f t="shared" si="16"/>
        <v>Alabama-Marlin Mavromatis</v>
      </c>
      <c r="B842" s="3" t="s">
        <v>35</v>
      </c>
      <c r="C842" s="3" t="s">
        <v>113</v>
      </c>
      <c r="D842" s="4">
        <v>46278</v>
      </c>
      <c r="L842" s="3" t="s">
        <v>63</v>
      </c>
      <c r="M842" s="3" t="s">
        <v>116</v>
      </c>
      <c r="N842" s="4">
        <v>121980</v>
      </c>
    </row>
    <row r="843" spans="1:14" x14ac:dyDescent="0.25">
      <c r="A843" s="5" t="str">
        <f t="shared" si="16"/>
        <v>Minnesota-Lashon Bongers</v>
      </c>
      <c r="B843" s="3" t="s">
        <v>60</v>
      </c>
      <c r="C843" s="3" t="s">
        <v>106</v>
      </c>
      <c r="D843" s="4">
        <v>87265</v>
      </c>
      <c r="L843" s="3" t="s">
        <v>63</v>
      </c>
      <c r="M843" s="3" t="s">
        <v>108</v>
      </c>
      <c r="N843" s="4">
        <v>138581</v>
      </c>
    </row>
    <row r="844" spans="1:14" x14ac:dyDescent="0.25">
      <c r="A844" s="5" t="str">
        <f t="shared" si="16"/>
        <v>Hawaii-Thaddeus Notah</v>
      </c>
      <c r="B844" s="3" t="s">
        <v>48</v>
      </c>
      <c r="C844" s="3" t="s">
        <v>112</v>
      </c>
      <c r="D844" s="4">
        <v>104560</v>
      </c>
      <c r="L844" s="3" t="s">
        <v>63</v>
      </c>
      <c r="M844" s="3" t="s">
        <v>110</v>
      </c>
      <c r="N844" s="4">
        <v>72284</v>
      </c>
    </row>
    <row r="845" spans="1:14" x14ac:dyDescent="0.25">
      <c r="A845" s="5" t="str">
        <f t="shared" si="16"/>
        <v>South Dakota-Son Shryack</v>
      </c>
      <c r="B845" s="3" t="s">
        <v>80</v>
      </c>
      <c r="C845" s="3" t="s">
        <v>98</v>
      </c>
      <c r="D845" s="4">
        <v>95351</v>
      </c>
      <c r="L845" s="3" t="s">
        <v>63</v>
      </c>
      <c r="M845" s="3" t="s">
        <v>99</v>
      </c>
      <c r="N845" s="4">
        <v>90483</v>
      </c>
    </row>
    <row r="846" spans="1:14" x14ac:dyDescent="0.25">
      <c r="A846" s="5" t="str">
        <f t="shared" si="16"/>
        <v>District of Columbia-Son Shryack</v>
      </c>
      <c r="B846" s="3" t="s">
        <v>44</v>
      </c>
      <c r="C846" s="3" t="s">
        <v>98</v>
      </c>
      <c r="D846" s="4">
        <v>131168</v>
      </c>
      <c r="L846" s="3" t="s">
        <v>63</v>
      </c>
      <c r="M846" s="3" t="s">
        <v>124</v>
      </c>
      <c r="N846" s="4">
        <v>145686</v>
      </c>
    </row>
    <row r="847" spans="1:14" x14ac:dyDescent="0.25">
      <c r="A847" s="5" t="str">
        <f t="shared" si="16"/>
        <v>Guam-Moises Paynes</v>
      </c>
      <c r="B847" s="3" t="s">
        <v>47</v>
      </c>
      <c r="C847" s="3" t="s">
        <v>104</v>
      </c>
      <c r="D847" s="4">
        <v>130174</v>
      </c>
      <c r="L847" s="3" t="s">
        <v>63</v>
      </c>
      <c r="M847" s="3" t="s">
        <v>96</v>
      </c>
      <c r="N847" s="4">
        <v>67745</v>
      </c>
    </row>
    <row r="848" spans="1:14" x14ac:dyDescent="0.25">
      <c r="A848" s="5" t="str">
        <f t="shared" si="16"/>
        <v>South Carolina-Armand Mcleon</v>
      </c>
      <c r="B848" s="3" t="s">
        <v>79</v>
      </c>
      <c r="C848" s="3" t="s">
        <v>110</v>
      </c>
      <c r="D848" s="4">
        <v>42005</v>
      </c>
      <c r="L848" s="3" t="s">
        <v>63</v>
      </c>
      <c r="M848" s="3" t="s">
        <v>115</v>
      </c>
      <c r="N848" s="4">
        <v>124484</v>
      </c>
    </row>
    <row r="849" spans="1:14" x14ac:dyDescent="0.25">
      <c r="A849" s="5" t="str">
        <f t="shared" si="16"/>
        <v>California-Nolan Gohn</v>
      </c>
      <c r="B849" s="3" t="s">
        <v>40</v>
      </c>
      <c r="C849" s="3" t="s">
        <v>118</v>
      </c>
      <c r="D849" s="4">
        <v>5631</v>
      </c>
      <c r="L849" s="3" t="s">
        <v>63</v>
      </c>
      <c r="M849" s="3" t="s">
        <v>117</v>
      </c>
      <c r="N849" s="4">
        <v>168825</v>
      </c>
    </row>
    <row r="850" spans="1:14" x14ac:dyDescent="0.25">
      <c r="A850" s="5" t="str">
        <f t="shared" si="16"/>
        <v>Alabama-Quinton Modugno</v>
      </c>
      <c r="B850" s="3" t="s">
        <v>35</v>
      </c>
      <c r="C850" s="3" t="s">
        <v>101</v>
      </c>
      <c r="D850" s="4">
        <v>88961</v>
      </c>
      <c r="L850" s="3" t="s">
        <v>63</v>
      </c>
      <c r="M850" s="3" t="s">
        <v>120</v>
      </c>
      <c r="N850" s="4">
        <v>161655</v>
      </c>
    </row>
    <row r="851" spans="1:14" x14ac:dyDescent="0.25">
      <c r="A851" s="5" t="str">
        <f t="shared" si="16"/>
        <v>Texas-Ali Steenken</v>
      </c>
      <c r="B851" s="3" t="s">
        <v>82</v>
      </c>
      <c r="C851" s="3" t="s">
        <v>116</v>
      </c>
      <c r="D851" s="4">
        <v>78166</v>
      </c>
      <c r="L851" s="3" t="s">
        <v>63</v>
      </c>
      <c r="M851" s="3" t="s">
        <v>111</v>
      </c>
      <c r="N851" s="4">
        <v>29653</v>
      </c>
    </row>
    <row r="852" spans="1:14" x14ac:dyDescent="0.25">
      <c r="A852" s="5" t="str">
        <f t="shared" si="16"/>
        <v>Georgia-Lianne Trappey</v>
      </c>
      <c r="B852" s="3" t="s">
        <v>46</v>
      </c>
      <c r="C852" s="3" t="s">
        <v>123</v>
      </c>
      <c r="D852" s="4">
        <v>170396</v>
      </c>
      <c r="L852" s="3" t="s">
        <v>63</v>
      </c>
      <c r="M852" s="3" t="s">
        <v>102</v>
      </c>
      <c r="N852" s="4">
        <v>36017</v>
      </c>
    </row>
    <row r="853" spans="1:14" x14ac:dyDescent="0.25">
      <c r="A853" s="5" t="str">
        <f t="shared" si="16"/>
        <v>Alaska-Raphael Bonawitz</v>
      </c>
      <c r="B853" s="3" t="s">
        <v>36</v>
      </c>
      <c r="C853" s="3" t="s">
        <v>122</v>
      </c>
      <c r="D853" s="4">
        <v>42379</v>
      </c>
      <c r="L853" s="3" t="s">
        <v>63</v>
      </c>
      <c r="M853" s="3" t="s">
        <v>106</v>
      </c>
      <c r="N853" s="4">
        <v>133533</v>
      </c>
    </row>
    <row r="854" spans="1:14" x14ac:dyDescent="0.25">
      <c r="A854" s="5" t="str">
        <f t="shared" si="16"/>
        <v>Northern Marianas Islands-Marlin Mavromatis</v>
      </c>
      <c r="B854" s="3" t="s">
        <v>72</v>
      </c>
      <c r="C854" s="3" t="s">
        <v>113</v>
      </c>
      <c r="D854" s="4">
        <v>97838</v>
      </c>
      <c r="L854" s="3" t="s">
        <v>63</v>
      </c>
      <c r="M854" s="3" t="s">
        <v>123</v>
      </c>
      <c r="N854" s="4">
        <v>3170</v>
      </c>
    </row>
    <row r="855" spans="1:14" x14ac:dyDescent="0.25">
      <c r="A855" s="5" t="str">
        <f t="shared" si="16"/>
        <v>Alabama-Cliff Galinski</v>
      </c>
      <c r="B855" s="3" t="s">
        <v>35</v>
      </c>
      <c r="C855" s="3" t="s">
        <v>124</v>
      </c>
      <c r="D855" s="4">
        <v>19907</v>
      </c>
      <c r="L855" s="3" t="s">
        <v>63</v>
      </c>
      <c r="M855" s="3" t="s">
        <v>97</v>
      </c>
      <c r="N855" s="4">
        <v>18262</v>
      </c>
    </row>
    <row r="856" spans="1:14" x14ac:dyDescent="0.25">
      <c r="A856" s="5" t="str">
        <f t="shared" si="16"/>
        <v>Alabama-Lianne Trappey</v>
      </c>
      <c r="B856" s="3" t="s">
        <v>35</v>
      </c>
      <c r="C856" s="3" t="s">
        <v>123</v>
      </c>
      <c r="D856" s="4">
        <v>153407</v>
      </c>
      <c r="L856" s="3" t="s">
        <v>63</v>
      </c>
      <c r="M856" s="3" t="s">
        <v>119</v>
      </c>
      <c r="N856" s="4">
        <v>143244</v>
      </c>
    </row>
    <row r="857" spans="1:14" x14ac:dyDescent="0.25">
      <c r="A857" s="5" t="str">
        <f t="shared" si="16"/>
        <v>New Jersey-Moises Paynes</v>
      </c>
      <c r="B857" s="3" t="s">
        <v>67</v>
      </c>
      <c r="C857" s="3" t="s">
        <v>104</v>
      </c>
      <c r="D857" s="4">
        <v>134892</v>
      </c>
      <c r="L857" s="3" t="s">
        <v>63</v>
      </c>
      <c r="M857" s="3" t="s">
        <v>113</v>
      </c>
      <c r="N857" s="4">
        <v>14934</v>
      </c>
    </row>
    <row r="858" spans="1:14" x14ac:dyDescent="0.25">
      <c r="A858" s="5" t="str">
        <f t="shared" si="16"/>
        <v>Vermont-Genna Zaller</v>
      </c>
      <c r="B858" s="3" t="s">
        <v>84</v>
      </c>
      <c r="C858" s="3" t="s">
        <v>117</v>
      </c>
      <c r="D858" s="4">
        <v>165227</v>
      </c>
      <c r="L858" s="3" t="s">
        <v>63</v>
      </c>
      <c r="M858" s="3" t="s">
        <v>105</v>
      </c>
      <c r="N858" s="4">
        <v>63324</v>
      </c>
    </row>
    <row r="859" spans="1:14" x14ac:dyDescent="0.25">
      <c r="A859" s="5" t="str">
        <f t="shared" si="16"/>
        <v>California-Fidel Potra</v>
      </c>
      <c r="B859" s="3" t="s">
        <v>40</v>
      </c>
      <c r="C859" s="3" t="s">
        <v>115</v>
      </c>
      <c r="D859" s="4">
        <v>10678</v>
      </c>
      <c r="L859" s="3" t="s">
        <v>63</v>
      </c>
      <c r="M859" s="3" t="s">
        <v>104</v>
      </c>
      <c r="N859" s="4">
        <v>156565</v>
      </c>
    </row>
    <row r="860" spans="1:14" x14ac:dyDescent="0.25">
      <c r="A860" s="5" t="str">
        <f t="shared" si="16"/>
        <v>North Dakota-Twanda Lovenduski</v>
      </c>
      <c r="B860" s="3" t="s">
        <v>71</v>
      </c>
      <c r="C860" s="3" t="s">
        <v>107</v>
      </c>
      <c r="D860" s="4">
        <v>101613</v>
      </c>
      <c r="L860" s="3" t="s">
        <v>63</v>
      </c>
      <c r="M860" s="3" t="s">
        <v>100</v>
      </c>
      <c r="N860" s="4">
        <v>170302</v>
      </c>
    </row>
    <row r="861" spans="1:14" x14ac:dyDescent="0.25">
      <c r="A861" s="5" t="str">
        <f t="shared" si="16"/>
        <v>Guam-Jackson Lorkowski</v>
      </c>
      <c r="B861" s="3" t="s">
        <v>47</v>
      </c>
      <c r="C861" s="3" t="s">
        <v>120</v>
      </c>
      <c r="D861" s="4">
        <v>51341</v>
      </c>
      <c r="L861" s="3" t="s">
        <v>63</v>
      </c>
      <c r="M861" s="3" t="s">
        <v>118</v>
      </c>
      <c r="N861" s="4">
        <v>90953</v>
      </c>
    </row>
    <row r="862" spans="1:14" x14ac:dyDescent="0.25">
      <c r="A862" s="5" t="str">
        <f t="shared" si="16"/>
        <v>Pennsylvania-Lashon Bongers</v>
      </c>
      <c r="B862" s="3" t="s">
        <v>76</v>
      </c>
      <c r="C862" s="3" t="s">
        <v>106</v>
      </c>
      <c r="D862" s="4">
        <v>114485</v>
      </c>
      <c r="L862" s="3" t="s">
        <v>63</v>
      </c>
      <c r="M862" s="3" t="s">
        <v>101</v>
      </c>
      <c r="N862" s="4">
        <v>159944</v>
      </c>
    </row>
    <row r="863" spans="1:14" x14ac:dyDescent="0.25">
      <c r="A863" s="5" t="str">
        <f t="shared" si="16"/>
        <v>Nevada-Keila Rossini</v>
      </c>
      <c r="B863" s="3" t="s">
        <v>65</v>
      </c>
      <c r="C863" s="3" t="s">
        <v>102</v>
      </c>
      <c r="D863" s="4">
        <v>139149</v>
      </c>
      <c r="L863" s="3" t="s">
        <v>63</v>
      </c>
      <c r="M863" s="3" t="s">
        <v>122</v>
      </c>
      <c r="N863" s="4">
        <v>8222</v>
      </c>
    </row>
    <row r="864" spans="1:14" x14ac:dyDescent="0.25">
      <c r="A864" s="5" t="str">
        <f t="shared" si="16"/>
        <v>Guam-Ali Stupp</v>
      </c>
      <c r="B864" s="3" t="s">
        <v>47</v>
      </c>
      <c r="C864" s="3" t="s">
        <v>108</v>
      </c>
      <c r="D864" s="4">
        <v>18923</v>
      </c>
      <c r="L864" s="3" t="s">
        <v>63</v>
      </c>
      <c r="M864" s="3" t="s">
        <v>109</v>
      </c>
      <c r="N864" s="4">
        <v>75883</v>
      </c>
    </row>
    <row r="865" spans="1:14" x14ac:dyDescent="0.25">
      <c r="A865" s="5" t="str">
        <f t="shared" si="16"/>
        <v>New Hampshire-Thaddeus Cacciatori</v>
      </c>
      <c r="B865" s="3" t="s">
        <v>66</v>
      </c>
      <c r="C865" s="3" t="s">
        <v>114</v>
      </c>
      <c r="D865" s="4">
        <v>112983</v>
      </c>
      <c r="L865" s="3" t="s">
        <v>63</v>
      </c>
      <c r="M865" s="3" t="s">
        <v>95</v>
      </c>
      <c r="N865" s="4">
        <v>37606</v>
      </c>
    </row>
    <row r="866" spans="1:14" x14ac:dyDescent="0.25">
      <c r="A866" s="5" t="str">
        <f t="shared" si="16"/>
        <v>Utah-Fidel Potra</v>
      </c>
      <c r="B866" s="3" t="s">
        <v>83</v>
      </c>
      <c r="C866" s="3" t="s">
        <v>115</v>
      </c>
      <c r="D866" s="4">
        <v>25537</v>
      </c>
      <c r="L866" s="3" t="s">
        <v>63</v>
      </c>
      <c r="M866" s="3" t="s">
        <v>98</v>
      </c>
      <c r="N866" s="4">
        <v>112438</v>
      </c>
    </row>
    <row r="867" spans="1:14" x14ac:dyDescent="0.25">
      <c r="A867" s="5" t="str">
        <f t="shared" si="16"/>
        <v>Nebraska-Ali Steenken</v>
      </c>
      <c r="B867" s="3" t="s">
        <v>64</v>
      </c>
      <c r="C867" s="3" t="s">
        <v>116</v>
      </c>
      <c r="D867" s="4">
        <v>29305</v>
      </c>
      <c r="L867" s="3" t="s">
        <v>63</v>
      </c>
      <c r="M867" s="3" t="s">
        <v>114</v>
      </c>
      <c r="N867" s="4">
        <v>72633</v>
      </c>
    </row>
    <row r="868" spans="1:14" x14ac:dyDescent="0.25">
      <c r="A868" s="5" t="str">
        <f t="shared" si="16"/>
        <v>Oregon-Cliff Schnautz</v>
      </c>
      <c r="B868" s="3" t="s">
        <v>75</v>
      </c>
      <c r="C868" s="3" t="s">
        <v>96</v>
      </c>
      <c r="D868" s="4">
        <v>152890</v>
      </c>
      <c r="L868" s="3" t="s">
        <v>63</v>
      </c>
      <c r="M868" s="3" t="s">
        <v>112</v>
      </c>
      <c r="N868" s="4">
        <v>84011</v>
      </c>
    </row>
    <row r="869" spans="1:14" x14ac:dyDescent="0.25">
      <c r="A869" s="5" t="str">
        <f t="shared" si="16"/>
        <v>South Dakota-Thaddeus Cacciatori</v>
      </c>
      <c r="B869" s="3" t="s">
        <v>80</v>
      </c>
      <c r="C869" s="3" t="s">
        <v>114</v>
      </c>
      <c r="D869" s="4">
        <v>40593</v>
      </c>
      <c r="L869" s="3" t="s">
        <v>63</v>
      </c>
      <c r="M869" s="3" t="s">
        <v>103</v>
      </c>
      <c r="N869" s="4">
        <v>78565</v>
      </c>
    </row>
    <row r="870" spans="1:14" x14ac:dyDescent="0.25">
      <c r="A870" s="5" t="str">
        <f t="shared" si="16"/>
        <v>Alaska-Genna Zaller</v>
      </c>
      <c r="B870" s="3" t="s">
        <v>36</v>
      </c>
      <c r="C870" s="3" t="s">
        <v>117</v>
      </c>
      <c r="D870" s="4">
        <v>81801</v>
      </c>
      <c r="L870" s="3" t="s">
        <v>63</v>
      </c>
      <c r="M870" s="3" t="s">
        <v>121</v>
      </c>
      <c r="N870" s="4">
        <v>47250</v>
      </c>
    </row>
    <row r="871" spans="1:14" x14ac:dyDescent="0.25">
      <c r="A871" s="5" t="str">
        <f t="shared" si="16"/>
        <v>Maine-Twanda Lovenduski</v>
      </c>
      <c r="B871" s="3" t="s">
        <v>56</v>
      </c>
      <c r="C871" s="3" t="s">
        <v>107</v>
      </c>
      <c r="D871" s="4">
        <v>96302</v>
      </c>
      <c r="L871" s="3" t="s">
        <v>63</v>
      </c>
      <c r="M871" s="3" t="s">
        <v>107</v>
      </c>
      <c r="N871" s="4">
        <v>21821</v>
      </c>
    </row>
    <row r="872" spans="1:14" x14ac:dyDescent="0.25">
      <c r="A872" s="5" t="str">
        <f t="shared" si="16"/>
        <v>Iowa-Toi Medico</v>
      </c>
      <c r="B872" s="3" t="s">
        <v>52</v>
      </c>
      <c r="C872" s="3" t="s">
        <v>103</v>
      </c>
      <c r="D872" s="4">
        <v>21449</v>
      </c>
      <c r="L872" s="3" t="s">
        <v>64</v>
      </c>
      <c r="M872" s="3" t="s">
        <v>116</v>
      </c>
      <c r="N872" s="4">
        <v>29305</v>
      </c>
    </row>
    <row r="873" spans="1:14" x14ac:dyDescent="0.25">
      <c r="A873" s="5" t="str">
        <f t="shared" si="16"/>
        <v>Massachusetts-Thaddeus Cacciatori</v>
      </c>
      <c r="B873" s="3" t="s">
        <v>58</v>
      </c>
      <c r="C873" s="3" t="s">
        <v>114</v>
      </c>
      <c r="D873" s="4">
        <v>128684</v>
      </c>
      <c r="L873" s="3" t="s">
        <v>64</v>
      </c>
      <c r="M873" s="3" t="s">
        <v>108</v>
      </c>
      <c r="N873" s="4">
        <v>39164</v>
      </c>
    </row>
    <row r="874" spans="1:14" x14ac:dyDescent="0.25">
      <c r="A874" s="5" t="str">
        <f t="shared" si="16"/>
        <v>New Jersey-Lianne Trappey</v>
      </c>
      <c r="B874" s="3" t="s">
        <v>67</v>
      </c>
      <c r="C874" s="3" t="s">
        <v>123</v>
      </c>
      <c r="D874" s="4">
        <v>100939</v>
      </c>
      <c r="L874" s="3" t="s">
        <v>64</v>
      </c>
      <c r="M874" s="3" t="s">
        <v>110</v>
      </c>
      <c r="N874" s="4">
        <v>86064</v>
      </c>
    </row>
    <row r="875" spans="1:14" x14ac:dyDescent="0.25">
      <c r="A875" s="5" t="str">
        <f t="shared" si="16"/>
        <v>Alabama-Raphael Bonawitz</v>
      </c>
      <c r="B875" s="3" t="s">
        <v>35</v>
      </c>
      <c r="C875" s="3" t="s">
        <v>122</v>
      </c>
      <c r="D875" s="4">
        <v>54830</v>
      </c>
      <c r="L875" s="3" t="s">
        <v>64</v>
      </c>
      <c r="M875" s="3" t="s">
        <v>99</v>
      </c>
      <c r="N875" s="4">
        <v>169310</v>
      </c>
    </row>
    <row r="876" spans="1:14" x14ac:dyDescent="0.25">
      <c r="A876" s="5" t="str">
        <f t="shared" si="16"/>
        <v>Mississippi-Nolan Gohn</v>
      </c>
      <c r="B876" s="3" t="s">
        <v>61</v>
      </c>
      <c r="C876" s="3" t="s">
        <v>118</v>
      </c>
      <c r="D876" s="4">
        <v>9352</v>
      </c>
      <c r="L876" s="3" t="s">
        <v>64</v>
      </c>
      <c r="M876" s="3" t="s">
        <v>124</v>
      </c>
      <c r="N876" s="4">
        <v>162989</v>
      </c>
    </row>
    <row r="877" spans="1:14" x14ac:dyDescent="0.25">
      <c r="A877" s="5" t="str">
        <f t="shared" si="16"/>
        <v>Nevada-Sadye Diloreto</v>
      </c>
      <c r="B877" s="3" t="s">
        <v>65</v>
      </c>
      <c r="C877" s="3" t="s">
        <v>95</v>
      </c>
      <c r="D877" s="4">
        <v>140465</v>
      </c>
      <c r="L877" s="3" t="s">
        <v>64</v>
      </c>
      <c r="M877" s="3" t="s">
        <v>96</v>
      </c>
      <c r="N877" s="4">
        <v>94617</v>
      </c>
    </row>
    <row r="878" spans="1:14" x14ac:dyDescent="0.25">
      <c r="A878" s="5" t="str">
        <f t="shared" si="16"/>
        <v>Alaska-Moises Paynes</v>
      </c>
      <c r="B878" s="3" t="s">
        <v>36</v>
      </c>
      <c r="C878" s="3" t="s">
        <v>104</v>
      </c>
      <c r="D878" s="4">
        <v>92770</v>
      </c>
      <c r="L878" s="3" t="s">
        <v>64</v>
      </c>
      <c r="M878" s="3" t="s">
        <v>115</v>
      </c>
      <c r="N878" s="4">
        <v>138041</v>
      </c>
    </row>
    <row r="879" spans="1:14" x14ac:dyDescent="0.25">
      <c r="A879" s="5" t="str">
        <f t="shared" si="16"/>
        <v>Pennsylvania-Thaddeus Notah</v>
      </c>
      <c r="B879" s="3" t="s">
        <v>76</v>
      </c>
      <c r="C879" s="3" t="s">
        <v>112</v>
      </c>
      <c r="D879" s="4">
        <v>48395</v>
      </c>
      <c r="L879" s="3" t="s">
        <v>64</v>
      </c>
      <c r="M879" s="3" t="s">
        <v>117</v>
      </c>
      <c r="N879" s="4">
        <v>81030</v>
      </c>
    </row>
    <row r="880" spans="1:14" x14ac:dyDescent="0.25">
      <c r="A880" s="5" t="str">
        <f t="shared" si="16"/>
        <v>Hawaii-Keila Rossini</v>
      </c>
      <c r="B880" s="3" t="s">
        <v>48</v>
      </c>
      <c r="C880" s="3" t="s">
        <v>102</v>
      </c>
      <c r="D880" s="4">
        <v>142603</v>
      </c>
      <c r="L880" s="3" t="s">
        <v>64</v>
      </c>
      <c r="M880" s="3" t="s">
        <v>120</v>
      </c>
      <c r="N880" s="4">
        <v>58610</v>
      </c>
    </row>
    <row r="881" spans="1:14" x14ac:dyDescent="0.25">
      <c r="A881" s="5" t="str">
        <f t="shared" si="16"/>
        <v>Oregon-Lianne Trappey</v>
      </c>
      <c r="B881" s="3" t="s">
        <v>75</v>
      </c>
      <c r="C881" s="3" t="s">
        <v>123</v>
      </c>
      <c r="D881" s="4">
        <v>96477</v>
      </c>
      <c r="L881" s="3" t="s">
        <v>64</v>
      </c>
      <c r="M881" s="3" t="s">
        <v>111</v>
      </c>
      <c r="N881" s="4">
        <v>56979</v>
      </c>
    </row>
    <row r="882" spans="1:14" x14ac:dyDescent="0.25">
      <c r="A882" s="5" t="str">
        <f t="shared" si="16"/>
        <v>Rhode Island-Ali Stupp</v>
      </c>
      <c r="B882" s="3" t="s">
        <v>78</v>
      </c>
      <c r="C882" s="3" t="s">
        <v>108</v>
      </c>
      <c r="D882" s="4">
        <v>117461</v>
      </c>
      <c r="L882" s="3" t="s">
        <v>64</v>
      </c>
      <c r="M882" s="3" t="s">
        <v>102</v>
      </c>
      <c r="N882" s="4">
        <v>70484</v>
      </c>
    </row>
    <row r="883" spans="1:14" x14ac:dyDescent="0.25">
      <c r="A883" s="5" t="str">
        <f t="shared" si="16"/>
        <v>Virgin Islands-Raphael Derrig</v>
      </c>
      <c r="B883" s="3" t="s">
        <v>86</v>
      </c>
      <c r="C883" s="3" t="s">
        <v>109</v>
      </c>
      <c r="D883" s="4">
        <v>32211</v>
      </c>
      <c r="L883" s="3" t="s">
        <v>64</v>
      </c>
      <c r="M883" s="3" t="s">
        <v>106</v>
      </c>
      <c r="N883" s="4">
        <v>105128</v>
      </c>
    </row>
    <row r="884" spans="1:14" x14ac:dyDescent="0.25">
      <c r="A884" s="5" t="str">
        <f t="shared" si="16"/>
        <v>Illinois-Ali Steenken</v>
      </c>
      <c r="B884" s="3" t="s">
        <v>50</v>
      </c>
      <c r="C884" s="3" t="s">
        <v>116</v>
      </c>
      <c r="D884" s="4">
        <v>137425</v>
      </c>
      <c r="L884" s="3" t="s">
        <v>64</v>
      </c>
      <c r="M884" s="3" t="s">
        <v>123</v>
      </c>
      <c r="N884" s="4">
        <v>98639</v>
      </c>
    </row>
    <row r="885" spans="1:14" x14ac:dyDescent="0.25">
      <c r="A885" s="5" t="str">
        <f t="shared" si="16"/>
        <v>Guam-Fidel Potra</v>
      </c>
      <c r="B885" s="3" t="s">
        <v>47</v>
      </c>
      <c r="C885" s="3" t="s">
        <v>115</v>
      </c>
      <c r="D885" s="4">
        <v>38100</v>
      </c>
      <c r="L885" s="3" t="s">
        <v>64</v>
      </c>
      <c r="M885" s="3" t="s">
        <v>97</v>
      </c>
      <c r="N885" s="4">
        <v>160752</v>
      </c>
    </row>
    <row r="886" spans="1:14" x14ac:dyDescent="0.25">
      <c r="A886" s="5" t="str">
        <f t="shared" si="16"/>
        <v>Wyoming-Raphael Derrig</v>
      </c>
      <c r="B886" s="3" t="s">
        <v>90</v>
      </c>
      <c r="C886" s="3" t="s">
        <v>109</v>
      </c>
      <c r="D886" s="4">
        <v>18151</v>
      </c>
      <c r="L886" s="3" t="s">
        <v>64</v>
      </c>
      <c r="M886" s="3" t="s">
        <v>119</v>
      </c>
      <c r="N886" s="4">
        <v>130961</v>
      </c>
    </row>
    <row r="887" spans="1:14" x14ac:dyDescent="0.25">
      <c r="A887" s="5" t="str">
        <f t="shared" si="16"/>
        <v>Wyoming-Son Shryack</v>
      </c>
      <c r="B887" s="3" t="s">
        <v>90</v>
      </c>
      <c r="C887" s="3" t="s">
        <v>98</v>
      </c>
      <c r="D887" s="4">
        <v>68211</v>
      </c>
      <c r="L887" s="3" t="s">
        <v>64</v>
      </c>
      <c r="M887" s="3" t="s">
        <v>113</v>
      </c>
      <c r="N887" s="4">
        <v>41697</v>
      </c>
    </row>
    <row r="888" spans="1:14" x14ac:dyDescent="0.25">
      <c r="A888" s="5" t="str">
        <f t="shared" si="16"/>
        <v>Puerto Rico-Marcel Davern</v>
      </c>
      <c r="B888" s="3" t="s">
        <v>77</v>
      </c>
      <c r="C888" s="3" t="s">
        <v>119</v>
      </c>
      <c r="D888" s="4">
        <v>141869</v>
      </c>
      <c r="L888" s="3" t="s">
        <v>64</v>
      </c>
      <c r="M888" s="3" t="s">
        <v>105</v>
      </c>
      <c r="N888" s="4">
        <v>66340</v>
      </c>
    </row>
    <row r="889" spans="1:14" x14ac:dyDescent="0.25">
      <c r="A889" s="5" t="str">
        <f t="shared" si="16"/>
        <v>Virgin Islands-Toi Medico</v>
      </c>
      <c r="B889" s="3" t="s">
        <v>86</v>
      </c>
      <c r="C889" s="3" t="s">
        <v>103</v>
      </c>
      <c r="D889" s="4">
        <v>87147</v>
      </c>
      <c r="L889" s="3" t="s">
        <v>64</v>
      </c>
      <c r="M889" s="3" t="s">
        <v>104</v>
      </c>
      <c r="N889" s="4">
        <v>42967</v>
      </c>
    </row>
    <row r="890" spans="1:14" x14ac:dyDescent="0.25">
      <c r="A890" s="5" t="str">
        <f t="shared" si="16"/>
        <v>Arizona-Cliff Galinski</v>
      </c>
      <c r="B890" s="3" t="s">
        <v>38</v>
      </c>
      <c r="C890" s="3" t="s">
        <v>124</v>
      </c>
      <c r="D890" s="4">
        <v>83347</v>
      </c>
      <c r="L890" s="3" t="s">
        <v>64</v>
      </c>
      <c r="M890" s="3" t="s">
        <v>100</v>
      </c>
      <c r="N890" s="4">
        <v>128019</v>
      </c>
    </row>
    <row r="891" spans="1:14" x14ac:dyDescent="0.25">
      <c r="A891" s="5" t="str">
        <f t="shared" si="16"/>
        <v>Kansas-Sadye Diloreto</v>
      </c>
      <c r="B891" s="3" t="s">
        <v>53</v>
      </c>
      <c r="C891" s="3" t="s">
        <v>95</v>
      </c>
      <c r="D891" s="4">
        <v>109654</v>
      </c>
      <c r="L891" s="3" t="s">
        <v>64</v>
      </c>
      <c r="M891" s="3" t="s">
        <v>118</v>
      </c>
      <c r="N891" s="4">
        <v>121543</v>
      </c>
    </row>
    <row r="892" spans="1:14" x14ac:dyDescent="0.25">
      <c r="A892" s="5" t="str">
        <f t="shared" si="16"/>
        <v>Pennsylvania-Cliff Bahlmann</v>
      </c>
      <c r="B892" s="3" t="s">
        <v>76</v>
      </c>
      <c r="C892" s="3" t="s">
        <v>99</v>
      </c>
      <c r="D892" s="4">
        <v>157304</v>
      </c>
      <c r="L892" s="3" t="s">
        <v>64</v>
      </c>
      <c r="M892" s="3" t="s">
        <v>101</v>
      </c>
      <c r="N892" s="4">
        <v>112285</v>
      </c>
    </row>
    <row r="893" spans="1:14" x14ac:dyDescent="0.25">
      <c r="A893" s="5" t="str">
        <f t="shared" si="16"/>
        <v>Louisiana-Ali Stupp</v>
      </c>
      <c r="B893" s="3" t="s">
        <v>55</v>
      </c>
      <c r="C893" s="3" t="s">
        <v>108</v>
      </c>
      <c r="D893" s="4">
        <v>142854</v>
      </c>
      <c r="L893" s="3" t="s">
        <v>64</v>
      </c>
      <c r="M893" s="3" t="s">
        <v>122</v>
      </c>
      <c r="N893" s="4">
        <v>99230</v>
      </c>
    </row>
    <row r="894" spans="1:14" x14ac:dyDescent="0.25">
      <c r="A894" s="5" t="str">
        <f t="shared" si="16"/>
        <v>Illinois-Jackson Lorkowski</v>
      </c>
      <c r="B894" s="3" t="s">
        <v>50</v>
      </c>
      <c r="C894" s="3" t="s">
        <v>120</v>
      </c>
      <c r="D894" s="4">
        <v>138627</v>
      </c>
      <c r="L894" s="3" t="s">
        <v>64</v>
      </c>
      <c r="M894" s="3" t="s">
        <v>109</v>
      </c>
      <c r="N894" s="4">
        <v>31090</v>
      </c>
    </row>
    <row r="895" spans="1:14" x14ac:dyDescent="0.25">
      <c r="A895" s="5" t="str">
        <f t="shared" si="16"/>
        <v>Alaska-Lucilla Bilecki</v>
      </c>
      <c r="B895" s="3" t="s">
        <v>36</v>
      </c>
      <c r="C895" s="3" t="s">
        <v>97</v>
      </c>
      <c r="D895" s="4">
        <v>73711</v>
      </c>
      <c r="L895" s="3" t="s">
        <v>64</v>
      </c>
      <c r="M895" s="3" t="s">
        <v>95</v>
      </c>
      <c r="N895" s="4">
        <v>94602</v>
      </c>
    </row>
    <row r="896" spans="1:14" x14ac:dyDescent="0.25">
      <c r="A896" s="5" t="str">
        <f t="shared" si="16"/>
        <v>Alaska-Nolan Deorio</v>
      </c>
      <c r="B896" s="3" t="s">
        <v>36</v>
      </c>
      <c r="C896" s="3" t="s">
        <v>100</v>
      </c>
      <c r="D896" s="4">
        <v>46808</v>
      </c>
      <c r="L896" s="3" t="s">
        <v>64</v>
      </c>
      <c r="M896" s="3" t="s">
        <v>98</v>
      </c>
      <c r="N896" s="4">
        <v>60451</v>
      </c>
    </row>
    <row r="897" spans="1:14" x14ac:dyDescent="0.25">
      <c r="A897" s="5" t="str">
        <f t="shared" si="16"/>
        <v>Pennsylvania-Lucilla Bilecki</v>
      </c>
      <c r="B897" s="3" t="s">
        <v>76</v>
      </c>
      <c r="C897" s="3" t="s">
        <v>97</v>
      </c>
      <c r="D897" s="4">
        <v>98857</v>
      </c>
      <c r="L897" s="3" t="s">
        <v>64</v>
      </c>
      <c r="M897" s="3" t="s">
        <v>114</v>
      </c>
      <c r="N897" s="4">
        <v>125756</v>
      </c>
    </row>
    <row r="898" spans="1:14" x14ac:dyDescent="0.25">
      <c r="A898" s="5" t="str">
        <f t="shared" ref="A898:A961" si="17">B898&amp;"-"&amp;C898</f>
        <v>South Dakota-Raphael Bonawitz</v>
      </c>
      <c r="B898" s="3" t="s">
        <v>80</v>
      </c>
      <c r="C898" s="3" t="s">
        <v>122</v>
      </c>
      <c r="D898" s="4">
        <v>113893</v>
      </c>
      <c r="L898" s="3" t="s">
        <v>64</v>
      </c>
      <c r="M898" s="3" t="s">
        <v>112</v>
      </c>
      <c r="N898" s="4">
        <v>54460</v>
      </c>
    </row>
    <row r="899" spans="1:14" x14ac:dyDescent="0.25">
      <c r="A899" s="5" t="str">
        <f t="shared" si="17"/>
        <v>Mississippi-Marcel Davern</v>
      </c>
      <c r="B899" s="3" t="s">
        <v>61</v>
      </c>
      <c r="C899" s="3" t="s">
        <v>119</v>
      </c>
      <c r="D899" s="4">
        <v>90372</v>
      </c>
      <c r="L899" s="3" t="s">
        <v>64</v>
      </c>
      <c r="M899" s="3" t="s">
        <v>103</v>
      </c>
      <c r="N899" s="4">
        <v>13042</v>
      </c>
    </row>
    <row r="900" spans="1:14" x14ac:dyDescent="0.25">
      <c r="A900" s="5" t="str">
        <f t="shared" si="17"/>
        <v>Maine-Raphael Derrig</v>
      </c>
      <c r="B900" s="3" t="s">
        <v>56</v>
      </c>
      <c r="C900" s="3" t="s">
        <v>109</v>
      </c>
      <c r="D900" s="4">
        <v>108369</v>
      </c>
      <c r="L900" s="3" t="s">
        <v>64</v>
      </c>
      <c r="M900" s="3" t="s">
        <v>121</v>
      </c>
      <c r="N900" s="4">
        <v>25641</v>
      </c>
    </row>
    <row r="901" spans="1:14" x14ac:dyDescent="0.25">
      <c r="A901" s="5" t="str">
        <f t="shared" si="17"/>
        <v>California-Marlin Mavromatis</v>
      </c>
      <c r="B901" s="3" t="s">
        <v>40</v>
      </c>
      <c r="C901" s="3" t="s">
        <v>113</v>
      </c>
      <c r="D901" s="4">
        <v>66267</v>
      </c>
      <c r="L901" s="3" t="s">
        <v>64</v>
      </c>
      <c r="M901" s="3" t="s">
        <v>107</v>
      </c>
      <c r="N901" s="4">
        <v>74486</v>
      </c>
    </row>
    <row r="902" spans="1:14" x14ac:dyDescent="0.25">
      <c r="A902" s="5" t="str">
        <f t="shared" si="17"/>
        <v>Oregon-Raphael Derrig</v>
      </c>
      <c r="B902" s="3" t="s">
        <v>75</v>
      </c>
      <c r="C902" s="3" t="s">
        <v>109</v>
      </c>
      <c r="D902" s="4">
        <v>173785</v>
      </c>
      <c r="L902" s="3" t="s">
        <v>65</v>
      </c>
      <c r="M902" s="3" t="s">
        <v>116</v>
      </c>
      <c r="N902" s="4">
        <v>108494</v>
      </c>
    </row>
    <row r="903" spans="1:14" x14ac:dyDescent="0.25">
      <c r="A903" s="5" t="str">
        <f t="shared" si="17"/>
        <v>Nebraska-Armand Mcleon</v>
      </c>
      <c r="B903" s="3" t="s">
        <v>64</v>
      </c>
      <c r="C903" s="3" t="s">
        <v>110</v>
      </c>
      <c r="D903" s="4">
        <v>86064</v>
      </c>
      <c r="L903" s="3" t="s">
        <v>65</v>
      </c>
      <c r="M903" s="3" t="s">
        <v>108</v>
      </c>
      <c r="N903" s="4">
        <v>96666</v>
      </c>
    </row>
    <row r="904" spans="1:14" x14ac:dyDescent="0.25">
      <c r="A904" s="5" t="str">
        <f t="shared" si="17"/>
        <v>Arkansas-Cliff Galinski</v>
      </c>
      <c r="B904" s="3" t="s">
        <v>39</v>
      </c>
      <c r="C904" s="3" t="s">
        <v>124</v>
      </c>
      <c r="D904" s="4">
        <v>68504</v>
      </c>
      <c r="L904" s="3" t="s">
        <v>65</v>
      </c>
      <c r="M904" s="3" t="s">
        <v>110</v>
      </c>
      <c r="N904" s="4">
        <v>34694</v>
      </c>
    </row>
    <row r="905" spans="1:14" x14ac:dyDescent="0.25">
      <c r="A905" s="5" t="str">
        <f t="shared" si="17"/>
        <v>Oregon-Thaddeus Cacciatori</v>
      </c>
      <c r="B905" s="3" t="s">
        <v>75</v>
      </c>
      <c r="C905" s="3" t="s">
        <v>114</v>
      </c>
      <c r="D905" s="4">
        <v>45963</v>
      </c>
      <c r="L905" s="3" t="s">
        <v>65</v>
      </c>
      <c r="M905" s="3" t="s">
        <v>99</v>
      </c>
      <c r="N905" s="4">
        <v>76314</v>
      </c>
    </row>
    <row r="906" spans="1:14" x14ac:dyDescent="0.25">
      <c r="A906" s="5" t="str">
        <f t="shared" si="17"/>
        <v>Virginia-Lianne Trappey</v>
      </c>
      <c r="B906" s="3" t="s">
        <v>85</v>
      </c>
      <c r="C906" s="3" t="s">
        <v>123</v>
      </c>
      <c r="D906" s="4">
        <v>75498</v>
      </c>
      <c r="L906" s="3" t="s">
        <v>65</v>
      </c>
      <c r="M906" s="3" t="s">
        <v>124</v>
      </c>
      <c r="N906" s="4">
        <v>65491</v>
      </c>
    </row>
    <row r="907" spans="1:14" x14ac:dyDescent="0.25">
      <c r="A907" s="5" t="str">
        <f t="shared" si="17"/>
        <v>Maine-Marcel Davern</v>
      </c>
      <c r="B907" s="3" t="s">
        <v>56</v>
      </c>
      <c r="C907" s="3" t="s">
        <v>119</v>
      </c>
      <c r="D907" s="4">
        <v>31441</v>
      </c>
      <c r="L907" s="3" t="s">
        <v>65</v>
      </c>
      <c r="M907" s="3" t="s">
        <v>96</v>
      </c>
      <c r="N907" s="4">
        <v>88415</v>
      </c>
    </row>
    <row r="908" spans="1:14" x14ac:dyDescent="0.25">
      <c r="A908" s="5" t="str">
        <f t="shared" si="17"/>
        <v>Hawaii-Quinton Modugno</v>
      </c>
      <c r="B908" s="3" t="s">
        <v>48</v>
      </c>
      <c r="C908" s="3" t="s">
        <v>101</v>
      </c>
      <c r="D908" s="4">
        <v>34556</v>
      </c>
      <c r="L908" s="3" t="s">
        <v>65</v>
      </c>
      <c r="M908" s="3" t="s">
        <v>115</v>
      </c>
      <c r="N908" s="4">
        <v>89207</v>
      </c>
    </row>
    <row r="909" spans="1:14" x14ac:dyDescent="0.25">
      <c r="A909" s="5" t="str">
        <f t="shared" si="17"/>
        <v>Ohio-Cliff Schnautz</v>
      </c>
      <c r="B909" s="3" t="s">
        <v>73</v>
      </c>
      <c r="C909" s="3" t="s">
        <v>96</v>
      </c>
      <c r="D909" s="4">
        <v>135815</v>
      </c>
      <c r="L909" s="3" t="s">
        <v>65</v>
      </c>
      <c r="M909" s="3" t="s">
        <v>117</v>
      </c>
      <c r="N909" s="4">
        <v>18442</v>
      </c>
    </row>
    <row r="910" spans="1:14" x14ac:dyDescent="0.25">
      <c r="A910" s="5" t="str">
        <f t="shared" si="17"/>
        <v>Oregon-Toi Medico</v>
      </c>
      <c r="B910" s="3" t="s">
        <v>75</v>
      </c>
      <c r="C910" s="3" t="s">
        <v>103</v>
      </c>
      <c r="D910" s="4">
        <v>174830</v>
      </c>
      <c r="L910" s="3" t="s">
        <v>65</v>
      </c>
      <c r="M910" s="3" t="s">
        <v>120</v>
      </c>
      <c r="N910" s="4">
        <v>120024</v>
      </c>
    </row>
    <row r="911" spans="1:14" x14ac:dyDescent="0.25">
      <c r="A911" s="5" t="str">
        <f t="shared" si="17"/>
        <v>Minnesota-Genna Zaller</v>
      </c>
      <c r="B911" s="3" t="s">
        <v>60</v>
      </c>
      <c r="C911" s="3" t="s">
        <v>117</v>
      </c>
      <c r="D911" s="4">
        <v>7705</v>
      </c>
      <c r="L911" s="3" t="s">
        <v>65</v>
      </c>
      <c r="M911" s="3" t="s">
        <v>111</v>
      </c>
      <c r="N911" s="4">
        <v>12394</v>
      </c>
    </row>
    <row r="912" spans="1:14" x14ac:dyDescent="0.25">
      <c r="A912" s="5" t="str">
        <f t="shared" si="17"/>
        <v>Oklahoma-Kai Stroebel</v>
      </c>
      <c r="B912" s="3" t="s">
        <v>74</v>
      </c>
      <c r="C912" s="3" t="s">
        <v>111</v>
      </c>
      <c r="D912" s="4">
        <v>134963</v>
      </c>
      <c r="L912" s="3" t="s">
        <v>65</v>
      </c>
      <c r="M912" s="3" t="s">
        <v>102</v>
      </c>
      <c r="N912" s="4">
        <v>139149</v>
      </c>
    </row>
    <row r="913" spans="1:14" x14ac:dyDescent="0.25">
      <c r="A913" s="5" t="str">
        <f t="shared" si="17"/>
        <v>Minnesota-Toi Zedaker</v>
      </c>
      <c r="B913" s="3" t="s">
        <v>60</v>
      </c>
      <c r="C913" s="3" t="s">
        <v>121</v>
      </c>
      <c r="D913" s="4">
        <v>89474</v>
      </c>
      <c r="L913" s="3" t="s">
        <v>65</v>
      </c>
      <c r="M913" s="3" t="s">
        <v>106</v>
      </c>
      <c r="N913" s="4">
        <v>6252</v>
      </c>
    </row>
    <row r="914" spans="1:14" x14ac:dyDescent="0.25">
      <c r="A914" s="5" t="str">
        <f t="shared" si="17"/>
        <v>South Dakota-Lianne Trappey</v>
      </c>
      <c r="B914" s="3" t="s">
        <v>80</v>
      </c>
      <c r="C914" s="3" t="s">
        <v>123</v>
      </c>
      <c r="D914" s="4">
        <v>23789</v>
      </c>
      <c r="L914" s="3" t="s">
        <v>65</v>
      </c>
      <c r="M914" s="3" t="s">
        <v>123</v>
      </c>
      <c r="N914" s="4">
        <v>87161</v>
      </c>
    </row>
    <row r="915" spans="1:14" x14ac:dyDescent="0.25">
      <c r="A915" s="5" t="str">
        <f t="shared" si="17"/>
        <v>Delaware-Twanda Lovenduski</v>
      </c>
      <c r="B915" s="3" t="s">
        <v>43</v>
      </c>
      <c r="C915" s="3" t="s">
        <v>107</v>
      </c>
      <c r="D915" s="4">
        <v>12035</v>
      </c>
      <c r="L915" s="3" t="s">
        <v>65</v>
      </c>
      <c r="M915" s="3" t="s">
        <v>97</v>
      </c>
      <c r="N915" s="4">
        <v>61239</v>
      </c>
    </row>
    <row r="916" spans="1:14" x14ac:dyDescent="0.25">
      <c r="A916" s="5" t="str">
        <f t="shared" si="17"/>
        <v>Rhode Island-Fidel Potra</v>
      </c>
      <c r="B916" s="3" t="s">
        <v>78</v>
      </c>
      <c r="C916" s="3" t="s">
        <v>115</v>
      </c>
      <c r="D916" s="4">
        <v>4035</v>
      </c>
      <c r="L916" s="3" t="s">
        <v>65</v>
      </c>
      <c r="M916" s="3" t="s">
        <v>119</v>
      </c>
      <c r="N916" s="4">
        <v>94517</v>
      </c>
    </row>
    <row r="917" spans="1:14" x14ac:dyDescent="0.25">
      <c r="A917" s="5" t="str">
        <f t="shared" si="17"/>
        <v>New Jersey-Lucilla Bilecki</v>
      </c>
      <c r="B917" s="3" t="s">
        <v>67</v>
      </c>
      <c r="C917" s="3" t="s">
        <v>97</v>
      </c>
      <c r="D917" s="4">
        <v>102431</v>
      </c>
      <c r="L917" s="3" t="s">
        <v>65</v>
      </c>
      <c r="M917" s="3" t="s">
        <v>113</v>
      </c>
      <c r="N917" s="4">
        <v>30577</v>
      </c>
    </row>
    <row r="918" spans="1:14" x14ac:dyDescent="0.25">
      <c r="A918" s="5" t="str">
        <f t="shared" si="17"/>
        <v>Utah-Marcel Davern</v>
      </c>
      <c r="B918" s="3" t="s">
        <v>83</v>
      </c>
      <c r="C918" s="3" t="s">
        <v>119</v>
      </c>
      <c r="D918" s="4">
        <v>116737</v>
      </c>
      <c r="L918" s="3" t="s">
        <v>65</v>
      </c>
      <c r="M918" s="3" t="s">
        <v>105</v>
      </c>
      <c r="N918" s="4">
        <v>33692</v>
      </c>
    </row>
    <row r="919" spans="1:14" x14ac:dyDescent="0.25">
      <c r="A919" s="5" t="str">
        <f t="shared" si="17"/>
        <v>Washington-Nolan Deorio</v>
      </c>
      <c r="B919" s="3" t="s">
        <v>87</v>
      </c>
      <c r="C919" s="3" t="s">
        <v>100</v>
      </c>
      <c r="D919" s="4">
        <v>136010</v>
      </c>
      <c r="L919" s="3" t="s">
        <v>65</v>
      </c>
      <c r="M919" s="3" t="s">
        <v>104</v>
      </c>
      <c r="N919" s="4">
        <v>118775</v>
      </c>
    </row>
    <row r="920" spans="1:14" x14ac:dyDescent="0.25">
      <c r="A920" s="5" t="str">
        <f t="shared" si="17"/>
        <v>North Carolina-Genna Zaller</v>
      </c>
      <c r="B920" s="3" t="s">
        <v>70</v>
      </c>
      <c r="C920" s="3" t="s">
        <v>117</v>
      </c>
      <c r="D920" s="4">
        <v>43630</v>
      </c>
      <c r="L920" s="3" t="s">
        <v>65</v>
      </c>
      <c r="M920" s="3" t="s">
        <v>100</v>
      </c>
      <c r="N920" s="4">
        <v>56985</v>
      </c>
    </row>
    <row r="921" spans="1:14" x14ac:dyDescent="0.25">
      <c r="A921" s="5" t="str">
        <f t="shared" si="17"/>
        <v>Maine-Marvis Tenholder</v>
      </c>
      <c r="B921" s="3" t="s">
        <v>56</v>
      </c>
      <c r="C921" s="3" t="s">
        <v>105</v>
      </c>
      <c r="D921" s="4">
        <v>122472</v>
      </c>
      <c r="L921" s="3" t="s">
        <v>65</v>
      </c>
      <c r="M921" s="3" t="s">
        <v>118</v>
      </c>
      <c r="N921" s="4">
        <v>14695</v>
      </c>
    </row>
    <row r="922" spans="1:14" x14ac:dyDescent="0.25">
      <c r="A922" s="5" t="str">
        <f t="shared" si="17"/>
        <v>Hawaii-Cliff Schnautz</v>
      </c>
      <c r="B922" s="3" t="s">
        <v>48</v>
      </c>
      <c r="C922" s="3" t="s">
        <v>96</v>
      </c>
      <c r="D922" s="4">
        <v>105470</v>
      </c>
      <c r="L922" s="3" t="s">
        <v>65</v>
      </c>
      <c r="M922" s="3" t="s">
        <v>101</v>
      </c>
      <c r="N922" s="4">
        <v>162994</v>
      </c>
    </row>
    <row r="923" spans="1:14" x14ac:dyDescent="0.25">
      <c r="A923" s="5" t="str">
        <f t="shared" si="17"/>
        <v>West Virginia-Fidel Potra</v>
      </c>
      <c r="B923" s="3" t="s">
        <v>88</v>
      </c>
      <c r="C923" s="3" t="s">
        <v>115</v>
      </c>
      <c r="D923" s="4">
        <v>126155</v>
      </c>
      <c r="L923" s="3" t="s">
        <v>65</v>
      </c>
      <c r="M923" s="3" t="s">
        <v>122</v>
      </c>
      <c r="N923" s="4">
        <v>39709</v>
      </c>
    </row>
    <row r="924" spans="1:14" x14ac:dyDescent="0.25">
      <c r="A924" s="5" t="str">
        <f t="shared" si="17"/>
        <v>Arkansas-Jackson Lorkowski</v>
      </c>
      <c r="B924" s="3" t="s">
        <v>39</v>
      </c>
      <c r="C924" s="3" t="s">
        <v>120</v>
      </c>
      <c r="D924" s="4">
        <v>59317</v>
      </c>
      <c r="L924" s="3" t="s">
        <v>65</v>
      </c>
      <c r="M924" s="3" t="s">
        <v>109</v>
      </c>
      <c r="N924" s="4">
        <v>6721</v>
      </c>
    </row>
    <row r="925" spans="1:14" x14ac:dyDescent="0.25">
      <c r="A925" s="5" t="str">
        <f t="shared" si="17"/>
        <v>South Dakota-Kai Stroebel</v>
      </c>
      <c r="B925" s="3" t="s">
        <v>80</v>
      </c>
      <c r="C925" s="3" t="s">
        <v>111</v>
      </c>
      <c r="D925" s="4">
        <v>79664</v>
      </c>
      <c r="L925" s="3" t="s">
        <v>65</v>
      </c>
      <c r="M925" s="3" t="s">
        <v>95</v>
      </c>
      <c r="N925" s="4">
        <v>140465</v>
      </c>
    </row>
    <row r="926" spans="1:14" x14ac:dyDescent="0.25">
      <c r="A926" s="5" t="str">
        <f t="shared" si="17"/>
        <v>New Hampshire-Cliff Galinski</v>
      </c>
      <c r="B926" s="3" t="s">
        <v>66</v>
      </c>
      <c r="C926" s="3" t="s">
        <v>124</v>
      </c>
      <c r="D926" s="4">
        <v>144204</v>
      </c>
      <c r="L926" s="3" t="s">
        <v>65</v>
      </c>
      <c r="M926" s="3" t="s">
        <v>98</v>
      </c>
      <c r="N926" s="4">
        <v>28118</v>
      </c>
    </row>
    <row r="927" spans="1:14" x14ac:dyDescent="0.25">
      <c r="A927" s="5" t="str">
        <f t="shared" si="17"/>
        <v>Pennsylvania-Raphael Bonawitz</v>
      </c>
      <c r="B927" s="3" t="s">
        <v>76</v>
      </c>
      <c r="C927" s="3" t="s">
        <v>122</v>
      </c>
      <c r="D927" s="4">
        <v>92869</v>
      </c>
      <c r="L927" s="3" t="s">
        <v>65</v>
      </c>
      <c r="M927" s="3" t="s">
        <v>114</v>
      </c>
      <c r="N927" s="4">
        <v>2647</v>
      </c>
    </row>
    <row r="928" spans="1:14" x14ac:dyDescent="0.25">
      <c r="A928" s="5" t="str">
        <f t="shared" si="17"/>
        <v>District of Columbia-Ali Steenken</v>
      </c>
      <c r="B928" s="3" t="s">
        <v>44</v>
      </c>
      <c r="C928" s="3" t="s">
        <v>116</v>
      </c>
      <c r="D928" s="4">
        <v>42887</v>
      </c>
      <c r="L928" s="3" t="s">
        <v>65</v>
      </c>
      <c r="M928" s="3" t="s">
        <v>112</v>
      </c>
      <c r="N928" s="4">
        <v>49255</v>
      </c>
    </row>
    <row r="929" spans="1:14" x14ac:dyDescent="0.25">
      <c r="A929" s="5" t="str">
        <f t="shared" si="17"/>
        <v>Arkansas-Cliff Schnautz</v>
      </c>
      <c r="B929" s="3" t="s">
        <v>39</v>
      </c>
      <c r="C929" s="3" t="s">
        <v>96</v>
      </c>
      <c r="D929" s="4">
        <v>39958</v>
      </c>
      <c r="L929" s="3" t="s">
        <v>65</v>
      </c>
      <c r="M929" s="3" t="s">
        <v>103</v>
      </c>
      <c r="N929" s="4">
        <v>82319</v>
      </c>
    </row>
    <row r="930" spans="1:14" x14ac:dyDescent="0.25">
      <c r="A930" s="5" t="str">
        <f t="shared" si="17"/>
        <v>New York-Lianne Trappey</v>
      </c>
      <c r="B930" s="3" t="s">
        <v>69</v>
      </c>
      <c r="C930" s="3" t="s">
        <v>123</v>
      </c>
      <c r="D930" s="4">
        <v>90754</v>
      </c>
      <c r="L930" s="3" t="s">
        <v>65</v>
      </c>
      <c r="M930" s="3" t="s">
        <v>121</v>
      </c>
      <c r="N930" s="4">
        <v>102958</v>
      </c>
    </row>
    <row r="931" spans="1:14" x14ac:dyDescent="0.25">
      <c r="A931" s="5" t="str">
        <f t="shared" si="17"/>
        <v>American Samoa-Nolan Deorio</v>
      </c>
      <c r="B931" s="3" t="s">
        <v>37</v>
      </c>
      <c r="C931" s="3" t="s">
        <v>100</v>
      </c>
      <c r="D931" s="4">
        <v>99577</v>
      </c>
      <c r="L931" s="3" t="s">
        <v>65</v>
      </c>
      <c r="M931" s="3" t="s">
        <v>107</v>
      </c>
      <c r="N931" s="4">
        <v>113163</v>
      </c>
    </row>
    <row r="932" spans="1:14" x14ac:dyDescent="0.25">
      <c r="A932" s="5" t="str">
        <f t="shared" si="17"/>
        <v>Michigan-Genna Zaller</v>
      </c>
      <c r="B932" s="3" t="s">
        <v>59</v>
      </c>
      <c r="C932" s="3" t="s">
        <v>117</v>
      </c>
      <c r="D932" s="4">
        <v>103223</v>
      </c>
      <c r="L932" s="3" t="s">
        <v>66</v>
      </c>
      <c r="M932" s="3" t="s">
        <v>116</v>
      </c>
      <c r="N932" s="4">
        <v>16238</v>
      </c>
    </row>
    <row r="933" spans="1:14" x14ac:dyDescent="0.25">
      <c r="A933" s="5" t="str">
        <f t="shared" si="17"/>
        <v>Maryland-Marvis Tenholder</v>
      </c>
      <c r="B933" s="3" t="s">
        <v>57</v>
      </c>
      <c r="C933" s="3" t="s">
        <v>105</v>
      </c>
      <c r="D933" s="4">
        <v>147544</v>
      </c>
      <c r="L933" s="3" t="s">
        <v>66</v>
      </c>
      <c r="M933" s="3" t="s">
        <v>108</v>
      </c>
      <c r="N933" s="4">
        <v>145178</v>
      </c>
    </row>
    <row r="934" spans="1:14" x14ac:dyDescent="0.25">
      <c r="A934" s="5" t="str">
        <f t="shared" si="17"/>
        <v>Maine-Cliff Schnautz</v>
      </c>
      <c r="B934" s="3" t="s">
        <v>56</v>
      </c>
      <c r="C934" s="3" t="s">
        <v>96</v>
      </c>
      <c r="D934" s="4">
        <v>55396</v>
      </c>
      <c r="L934" s="3" t="s">
        <v>66</v>
      </c>
      <c r="M934" s="3" t="s">
        <v>110</v>
      </c>
      <c r="N934" s="4">
        <v>107344</v>
      </c>
    </row>
    <row r="935" spans="1:14" x14ac:dyDescent="0.25">
      <c r="A935" s="5" t="str">
        <f t="shared" si="17"/>
        <v>Rhode Island-Cliff Galinski</v>
      </c>
      <c r="B935" s="3" t="s">
        <v>78</v>
      </c>
      <c r="C935" s="3" t="s">
        <v>124</v>
      </c>
      <c r="D935" s="4">
        <v>49069</v>
      </c>
      <c r="L935" s="3" t="s">
        <v>66</v>
      </c>
      <c r="M935" s="3" t="s">
        <v>99</v>
      </c>
      <c r="N935" s="4">
        <v>145490</v>
      </c>
    </row>
    <row r="936" spans="1:14" x14ac:dyDescent="0.25">
      <c r="A936" s="5" t="str">
        <f t="shared" si="17"/>
        <v>District of Columbia-Armand Mcleon</v>
      </c>
      <c r="B936" s="3" t="s">
        <v>44</v>
      </c>
      <c r="C936" s="3" t="s">
        <v>110</v>
      </c>
      <c r="D936" s="4">
        <v>4255</v>
      </c>
      <c r="L936" s="3" t="s">
        <v>66</v>
      </c>
      <c r="M936" s="3" t="s">
        <v>124</v>
      </c>
      <c r="N936" s="4">
        <v>144204</v>
      </c>
    </row>
    <row r="937" spans="1:14" x14ac:dyDescent="0.25">
      <c r="A937" s="5" t="str">
        <f t="shared" si="17"/>
        <v>North Dakota-Cliff Schnautz</v>
      </c>
      <c r="B937" s="3" t="s">
        <v>71</v>
      </c>
      <c r="C937" s="3" t="s">
        <v>96</v>
      </c>
      <c r="D937" s="4">
        <v>63835</v>
      </c>
      <c r="L937" s="3" t="s">
        <v>66</v>
      </c>
      <c r="M937" s="3" t="s">
        <v>96</v>
      </c>
      <c r="N937" s="4">
        <v>31064</v>
      </c>
    </row>
    <row r="938" spans="1:14" x14ac:dyDescent="0.25">
      <c r="A938" s="5" t="str">
        <f t="shared" si="17"/>
        <v>North Dakota-Ali Stupp</v>
      </c>
      <c r="B938" s="3" t="s">
        <v>71</v>
      </c>
      <c r="C938" s="3" t="s">
        <v>108</v>
      </c>
      <c r="D938" s="4">
        <v>107475</v>
      </c>
      <c r="L938" s="3" t="s">
        <v>66</v>
      </c>
      <c r="M938" s="3" t="s">
        <v>115</v>
      </c>
      <c r="N938" s="4">
        <v>107427</v>
      </c>
    </row>
    <row r="939" spans="1:14" x14ac:dyDescent="0.25">
      <c r="A939" s="5" t="str">
        <f t="shared" si="17"/>
        <v>New York-Nolan Gohn</v>
      </c>
      <c r="B939" s="3" t="s">
        <v>69</v>
      </c>
      <c r="C939" s="3" t="s">
        <v>118</v>
      </c>
      <c r="D939" s="4">
        <v>11775</v>
      </c>
      <c r="L939" s="3" t="s">
        <v>66</v>
      </c>
      <c r="M939" s="3" t="s">
        <v>117</v>
      </c>
      <c r="N939" s="4">
        <v>7559</v>
      </c>
    </row>
    <row r="940" spans="1:14" x14ac:dyDescent="0.25">
      <c r="A940" s="5" t="str">
        <f t="shared" si="17"/>
        <v>Illinois-Cliff Schnautz</v>
      </c>
      <c r="B940" s="3" t="s">
        <v>50</v>
      </c>
      <c r="C940" s="3" t="s">
        <v>96</v>
      </c>
      <c r="D940" s="4">
        <v>80374</v>
      </c>
      <c r="L940" s="3" t="s">
        <v>66</v>
      </c>
      <c r="M940" s="3" t="s">
        <v>120</v>
      </c>
      <c r="N940" s="4">
        <v>99473</v>
      </c>
    </row>
    <row r="941" spans="1:14" x14ac:dyDescent="0.25">
      <c r="A941" s="5" t="str">
        <f t="shared" si="17"/>
        <v>Hawaii-Marlin Mavromatis</v>
      </c>
      <c r="B941" s="3" t="s">
        <v>48</v>
      </c>
      <c r="C941" s="3" t="s">
        <v>113</v>
      </c>
      <c r="D941" s="4">
        <v>102465</v>
      </c>
      <c r="L941" s="3" t="s">
        <v>66</v>
      </c>
      <c r="M941" s="3" t="s">
        <v>111</v>
      </c>
      <c r="N941" s="4">
        <v>154042</v>
      </c>
    </row>
    <row r="942" spans="1:14" x14ac:dyDescent="0.25">
      <c r="A942" s="5" t="str">
        <f t="shared" si="17"/>
        <v>Virgin Islands-Son Shryack</v>
      </c>
      <c r="B942" s="3" t="s">
        <v>86</v>
      </c>
      <c r="C942" s="3" t="s">
        <v>98</v>
      </c>
      <c r="D942" s="4">
        <v>70973</v>
      </c>
      <c r="L942" s="3" t="s">
        <v>66</v>
      </c>
      <c r="M942" s="3" t="s">
        <v>102</v>
      </c>
      <c r="N942" s="4">
        <v>123482</v>
      </c>
    </row>
    <row r="943" spans="1:14" x14ac:dyDescent="0.25">
      <c r="A943" s="5" t="str">
        <f t="shared" si="17"/>
        <v>Illinois-Thaddeus Notah</v>
      </c>
      <c r="B943" s="3" t="s">
        <v>50</v>
      </c>
      <c r="C943" s="3" t="s">
        <v>112</v>
      </c>
      <c r="D943" s="4">
        <v>163628</v>
      </c>
      <c r="L943" s="3" t="s">
        <v>66</v>
      </c>
      <c r="M943" s="3" t="s">
        <v>106</v>
      </c>
      <c r="N943" s="4">
        <v>164728</v>
      </c>
    </row>
    <row r="944" spans="1:14" x14ac:dyDescent="0.25">
      <c r="A944" s="5" t="str">
        <f t="shared" si="17"/>
        <v>Delaware-Cliff Bahlmann</v>
      </c>
      <c r="B944" s="3" t="s">
        <v>43</v>
      </c>
      <c r="C944" s="3" t="s">
        <v>99</v>
      </c>
      <c r="D944" s="4">
        <v>72437</v>
      </c>
      <c r="L944" s="3" t="s">
        <v>66</v>
      </c>
      <c r="M944" s="3" t="s">
        <v>123</v>
      </c>
      <c r="N944" s="4">
        <v>134886</v>
      </c>
    </row>
    <row r="945" spans="1:14" x14ac:dyDescent="0.25">
      <c r="A945" s="5" t="str">
        <f t="shared" si="17"/>
        <v>Michigan-Marvis Tenholder</v>
      </c>
      <c r="B945" s="3" t="s">
        <v>59</v>
      </c>
      <c r="C945" s="3" t="s">
        <v>105</v>
      </c>
      <c r="D945" s="4">
        <v>130721</v>
      </c>
      <c r="L945" s="3" t="s">
        <v>66</v>
      </c>
      <c r="M945" s="3" t="s">
        <v>97</v>
      </c>
      <c r="N945" s="4">
        <v>125924</v>
      </c>
    </row>
    <row r="946" spans="1:14" x14ac:dyDescent="0.25">
      <c r="A946" s="5" t="str">
        <f t="shared" si="17"/>
        <v>Alabama-Marvis Tenholder</v>
      </c>
      <c r="B946" s="3" t="s">
        <v>35</v>
      </c>
      <c r="C946" s="3" t="s">
        <v>105</v>
      </c>
      <c r="D946" s="4">
        <v>69039</v>
      </c>
      <c r="L946" s="3" t="s">
        <v>66</v>
      </c>
      <c r="M946" s="3" t="s">
        <v>119</v>
      </c>
      <c r="N946" s="4">
        <v>29196</v>
      </c>
    </row>
    <row r="947" spans="1:14" x14ac:dyDescent="0.25">
      <c r="A947" s="5" t="str">
        <f t="shared" si="17"/>
        <v>Illinois-Cliff Galinski</v>
      </c>
      <c r="B947" s="3" t="s">
        <v>50</v>
      </c>
      <c r="C947" s="3" t="s">
        <v>124</v>
      </c>
      <c r="D947" s="4">
        <v>78443</v>
      </c>
      <c r="L947" s="3" t="s">
        <v>66</v>
      </c>
      <c r="M947" s="3" t="s">
        <v>113</v>
      </c>
      <c r="N947" s="4">
        <v>126011</v>
      </c>
    </row>
    <row r="948" spans="1:14" x14ac:dyDescent="0.25">
      <c r="A948" s="5" t="str">
        <f t="shared" si="17"/>
        <v>Guam-Son Shryack</v>
      </c>
      <c r="B948" s="3" t="s">
        <v>47</v>
      </c>
      <c r="C948" s="3" t="s">
        <v>98</v>
      </c>
      <c r="D948" s="4">
        <v>20949</v>
      </c>
      <c r="L948" s="3" t="s">
        <v>66</v>
      </c>
      <c r="M948" s="3" t="s">
        <v>105</v>
      </c>
      <c r="N948" s="4">
        <v>37491</v>
      </c>
    </row>
    <row r="949" spans="1:14" x14ac:dyDescent="0.25">
      <c r="A949" s="5" t="str">
        <f t="shared" si="17"/>
        <v>California-Cliff Bahlmann</v>
      </c>
      <c r="B949" s="3" t="s">
        <v>40</v>
      </c>
      <c r="C949" s="3" t="s">
        <v>99</v>
      </c>
      <c r="D949" s="4">
        <v>130824</v>
      </c>
      <c r="L949" s="3" t="s">
        <v>66</v>
      </c>
      <c r="M949" s="3" t="s">
        <v>104</v>
      </c>
      <c r="N949" s="4">
        <v>115398</v>
      </c>
    </row>
    <row r="950" spans="1:14" x14ac:dyDescent="0.25">
      <c r="A950" s="5" t="str">
        <f t="shared" si="17"/>
        <v>Massachusetts-Marlin Mavromatis</v>
      </c>
      <c r="B950" s="3" t="s">
        <v>58</v>
      </c>
      <c r="C950" s="3" t="s">
        <v>113</v>
      </c>
      <c r="D950" s="4">
        <v>67735</v>
      </c>
      <c r="L950" s="3" t="s">
        <v>66</v>
      </c>
      <c r="M950" s="3" t="s">
        <v>100</v>
      </c>
      <c r="N950" s="4">
        <v>110699</v>
      </c>
    </row>
    <row r="951" spans="1:14" x14ac:dyDescent="0.25">
      <c r="A951" s="5" t="str">
        <f t="shared" si="17"/>
        <v>Virginia-Lashon Bongers</v>
      </c>
      <c r="B951" s="3" t="s">
        <v>85</v>
      </c>
      <c r="C951" s="3" t="s">
        <v>106</v>
      </c>
      <c r="D951" s="4">
        <v>146209</v>
      </c>
      <c r="L951" s="3" t="s">
        <v>66</v>
      </c>
      <c r="M951" s="3" t="s">
        <v>118</v>
      </c>
      <c r="N951" s="4">
        <v>15013</v>
      </c>
    </row>
    <row r="952" spans="1:14" x14ac:dyDescent="0.25">
      <c r="A952" s="5" t="str">
        <f t="shared" si="17"/>
        <v>Montana-Marlin Mavromatis</v>
      </c>
      <c r="B952" s="3" t="s">
        <v>63</v>
      </c>
      <c r="C952" s="3" t="s">
        <v>113</v>
      </c>
      <c r="D952" s="4">
        <v>14934</v>
      </c>
      <c r="L952" s="3" t="s">
        <v>66</v>
      </c>
      <c r="M952" s="3" t="s">
        <v>101</v>
      </c>
      <c r="N952" s="4">
        <v>173179</v>
      </c>
    </row>
    <row r="953" spans="1:14" x14ac:dyDescent="0.25">
      <c r="A953" s="5" t="str">
        <f t="shared" si="17"/>
        <v>Nevada-Lashon Bongers</v>
      </c>
      <c r="B953" s="3" t="s">
        <v>65</v>
      </c>
      <c r="C953" s="3" t="s">
        <v>106</v>
      </c>
      <c r="D953" s="4">
        <v>6252</v>
      </c>
      <c r="L953" s="3" t="s">
        <v>66</v>
      </c>
      <c r="M953" s="3" t="s">
        <v>122</v>
      </c>
      <c r="N953" s="4">
        <v>106392</v>
      </c>
    </row>
    <row r="954" spans="1:14" x14ac:dyDescent="0.25">
      <c r="A954" s="5" t="str">
        <f t="shared" si="17"/>
        <v>Michigan-Son Shryack</v>
      </c>
      <c r="B954" s="3" t="s">
        <v>59</v>
      </c>
      <c r="C954" s="3" t="s">
        <v>98</v>
      </c>
      <c r="D954" s="4">
        <v>97319</v>
      </c>
      <c r="L954" s="3" t="s">
        <v>66</v>
      </c>
      <c r="M954" s="3" t="s">
        <v>109</v>
      </c>
      <c r="N954" s="4">
        <v>59112</v>
      </c>
    </row>
    <row r="955" spans="1:14" x14ac:dyDescent="0.25">
      <c r="A955" s="5" t="str">
        <f t="shared" si="17"/>
        <v>Oklahoma-Marvis Tenholder</v>
      </c>
      <c r="B955" s="3" t="s">
        <v>74</v>
      </c>
      <c r="C955" s="3" t="s">
        <v>105</v>
      </c>
      <c r="D955" s="4">
        <v>5161</v>
      </c>
      <c r="L955" s="3" t="s">
        <v>66</v>
      </c>
      <c r="M955" s="3" t="s">
        <v>95</v>
      </c>
      <c r="N955" s="4">
        <v>106331</v>
      </c>
    </row>
    <row r="956" spans="1:14" x14ac:dyDescent="0.25">
      <c r="A956" s="5" t="str">
        <f t="shared" si="17"/>
        <v>Washington-Lianne Trappey</v>
      </c>
      <c r="B956" s="3" t="s">
        <v>87</v>
      </c>
      <c r="C956" s="3" t="s">
        <v>123</v>
      </c>
      <c r="D956" s="4">
        <v>83798</v>
      </c>
      <c r="L956" s="3" t="s">
        <v>66</v>
      </c>
      <c r="M956" s="3" t="s">
        <v>98</v>
      </c>
      <c r="N956" s="4">
        <v>158263</v>
      </c>
    </row>
    <row r="957" spans="1:14" x14ac:dyDescent="0.25">
      <c r="A957" s="5" t="str">
        <f t="shared" si="17"/>
        <v>Alabama-Lucilla Bilecki</v>
      </c>
      <c r="B957" s="3" t="s">
        <v>35</v>
      </c>
      <c r="C957" s="3" t="s">
        <v>97</v>
      </c>
      <c r="D957" s="4">
        <v>156569</v>
      </c>
      <c r="L957" s="3" t="s">
        <v>66</v>
      </c>
      <c r="M957" s="3" t="s">
        <v>114</v>
      </c>
      <c r="N957" s="4">
        <v>112983</v>
      </c>
    </row>
    <row r="958" spans="1:14" x14ac:dyDescent="0.25">
      <c r="A958" s="5" t="str">
        <f t="shared" si="17"/>
        <v>Florida-Thaddeus Cacciatori</v>
      </c>
      <c r="B958" s="3" t="s">
        <v>45</v>
      </c>
      <c r="C958" s="3" t="s">
        <v>114</v>
      </c>
      <c r="D958" s="4">
        <v>14084</v>
      </c>
      <c r="L958" s="3" t="s">
        <v>66</v>
      </c>
      <c r="M958" s="3" t="s">
        <v>112</v>
      </c>
      <c r="N958" s="4">
        <v>110059</v>
      </c>
    </row>
    <row r="959" spans="1:14" x14ac:dyDescent="0.25">
      <c r="A959" s="5" t="str">
        <f t="shared" si="17"/>
        <v>Oregon-Kai Stroebel</v>
      </c>
      <c r="B959" s="3" t="s">
        <v>75</v>
      </c>
      <c r="C959" s="3" t="s">
        <v>111</v>
      </c>
      <c r="D959" s="4">
        <v>59825</v>
      </c>
      <c r="L959" s="3" t="s">
        <v>66</v>
      </c>
      <c r="M959" s="3" t="s">
        <v>103</v>
      </c>
      <c r="N959" s="4">
        <v>53055</v>
      </c>
    </row>
    <row r="960" spans="1:14" x14ac:dyDescent="0.25">
      <c r="A960" s="5" t="str">
        <f t="shared" si="17"/>
        <v>Rhode Island-Keila Rossini</v>
      </c>
      <c r="B960" s="3" t="s">
        <v>78</v>
      </c>
      <c r="C960" s="3" t="s">
        <v>102</v>
      </c>
      <c r="D960" s="4">
        <v>148190</v>
      </c>
      <c r="L960" s="3" t="s">
        <v>66</v>
      </c>
      <c r="M960" s="3" t="s">
        <v>121</v>
      </c>
      <c r="N960" s="4">
        <v>76360</v>
      </c>
    </row>
    <row r="961" spans="1:14" x14ac:dyDescent="0.25">
      <c r="A961" s="5" t="str">
        <f t="shared" si="17"/>
        <v>West Virginia-Thaddeus Notah</v>
      </c>
      <c r="B961" s="3" t="s">
        <v>88</v>
      </c>
      <c r="C961" s="3" t="s">
        <v>112</v>
      </c>
      <c r="D961" s="4">
        <v>48974</v>
      </c>
      <c r="L961" s="3" t="s">
        <v>66</v>
      </c>
      <c r="M961" s="3" t="s">
        <v>107</v>
      </c>
      <c r="N961" s="4">
        <v>141077</v>
      </c>
    </row>
    <row r="962" spans="1:14" x14ac:dyDescent="0.25">
      <c r="A962" s="5" t="str">
        <f t="shared" ref="A962:A1025" si="18">B962&amp;"-"&amp;C962</f>
        <v>Delaware-Sadye Diloreto</v>
      </c>
      <c r="B962" s="3" t="s">
        <v>43</v>
      </c>
      <c r="C962" s="3" t="s">
        <v>95</v>
      </c>
      <c r="D962" s="4">
        <v>6214</v>
      </c>
      <c r="L962" s="3" t="s">
        <v>67</v>
      </c>
      <c r="M962" s="3" t="s">
        <v>116</v>
      </c>
      <c r="N962" s="4">
        <v>28775</v>
      </c>
    </row>
    <row r="963" spans="1:14" x14ac:dyDescent="0.25">
      <c r="A963" s="5" t="str">
        <f t="shared" si="18"/>
        <v>Florida-Marvis Tenholder</v>
      </c>
      <c r="B963" s="3" t="s">
        <v>45</v>
      </c>
      <c r="C963" s="3" t="s">
        <v>105</v>
      </c>
      <c r="D963" s="4">
        <v>13525</v>
      </c>
      <c r="L963" s="3" t="s">
        <v>67</v>
      </c>
      <c r="M963" s="3" t="s">
        <v>108</v>
      </c>
      <c r="N963" s="4">
        <v>32387</v>
      </c>
    </row>
    <row r="964" spans="1:14" x14ac:dyDescent="0.25">
      <c r="A964" s="5" t="str">
        <f t="shared" si="18"/>
        <v>Maine-Ali Stupp</v>
      </c>
      <c r="B964" s="3" t="s">
        <v>56</v>
      </c>
      <c r="C964" s="3" t="s">
        <v>108</v>
      </c>
      <c r="D964" s="4">
        <v>8989</v>
      </c>
      <c r="L964" s="3" t="s">
        <v>67</v>
      </c>
      <c r="M964" s="3" t="s">
        <v>110</v>
      </c>
      <c r="N964" s="4">
        <v>92576</v>
      </c>
    </row>
    <row r="965" spans="1:14" x14ac:dyDescent="0.25">
      <c r="A965" s="5" t="str">
        <f t="shared" si="18"/>
        <v>Arkansas-Sadye Diloreto</v>
      </c>
      <c r="B965" s="3" t="s">
        <v>39</v>
      </c>
      <c r="C965" s="3" t="s">
        <v>95</v>
      </c>
      <c r="D965" s="4">
        <v>98133</v>
      </c>
      <c r="L965" s="3" t="s">
        <v>67</v>
      </c>
      <c r="M965" s="3" t="s">
        <v>99</v>
      </c>
      <c r="N965" s="4">
        <v>24125</v>
      </c>
    </row>
    <row r="966" spans="1:14" x14ac:dyDescent="0.25">
      <c r="A966" s="5" t="str">
        <f t="shared" si="18"/>
        <v>Connecticut-Lashon Bongers</v>
      </c>
      <c r="B966" s="3" t="s">
        <v>42</v>
      </c>
      <c r="C966" s="3" t="s">
        <v>106</v>
      </c>
      <c r="D966" s="4">
        <v>20389</v>
      </c>
      <c r="L966" s="3" t="s">
        <v>67</v>
      </c>
      <c r="M966" s="3" t="s">
        <v>124</v>
      </c>
      <c r="N966" s="4">
        <v>93838</v>
      </c>
    </row>
    <row r="967" spans="1:14" x14ac:dyDescent="0.25">
      <c r="A967" s="5" t="str">
        <f t="shared" si="18"/>
        <v>Missouri-Armand Mcleon</v>
      </c>
      <c r="B967" s="3" t="s">
        <v>62</v>
      </c>
      <c r="C967" s="3" t="s">
        <v>110</v>
      </c>
      <c r="D967" s="4">
        <v>138767</v>
      </c>
      <c r="L967" s="3" t="s">
        <v>67</v>
      </c>
      <c r="M967" s="3" t="s">
        <v>96</v>
      </c>
      <c r="N967" s="4">
        <v>61152</v>
      </c>
    </row>
    <row r="968" spans="1:14" x14ac:dyDescent="0.25">
      <c r="A968" s="5" t="str">
        <f t="shared" si="18"/>
        <v>Colorado-Armand Mcleon</v>
      </c>
      <c r="B968" s="3" t="s">
        <v>41</v>
      </c>
      <c r="C968" s="3" t="s">
        <v>110</v>
      </c>
      <c r="D968" s="4">
        <v>155101</v>
      </c>
      <c r="L968" s="3" t="s">
        <v>67</v>
      </c>
      <c r="M968" s="3" t="s">
        <v>115</v>
      </c>
      <c r="N968" s="4">
        <v>29564</v>
      </c>
    </row>
    <row r="969" spans="1:14" x14ac:dyDescent="0.25">
      <c r="A969" s="5" t="str">
        <f t="shared" si="18"/>
        <v>Vermont-Toi Medico</v>
      </c>
      <c r="B969" s="3" t="s">
        <v>84</v>
      </c>
      <c r="C969" s="3" t="s">
        <v>103</v>
      </c>
      <c r="D969" s="4">
        <v>9821</v>
      </c>
      <c r="L969" s="3" t="s">
        <v>67</v>
      </c>
      <c r="M969" s="3" t="s">
        <v>117</v>
      </c>
      <c r="N969" s="4">
        <v>74861</v>
      </c>
    </row>
    <row r="970" spans="1:14" x14ac:dyDescent="0.25">
      <c r="A970" s="5" t="str">
        <f t="shared" si="18"/>
        <v>Montana-Genna Zaller</v>
      </c>
      <c r="B970" s="3" t="s">
        <v>63</v>
      </c>
      <c r="C970" s="3" t="s">
        <v>117</v>
      </c>
      <c r="D970" s="4">
        <v>168825</v>
      </c>
      <c r="L970" s="3" t="s">
        <v>67</v>
      </c>
      <c r="M970" s="3" t="s">
        <v>120</v>
      </c>
      <c r="N970" s="4">
        <v>59859</v>
      </c>
    </row>
    <row r="971" spans="1:14" x14ac:dyDescent="0.25">
      <c r="A971" s="5" t="str">
        <f t="shared" si="18"/>
        <v>Pennsylvania-Lianne Trappey</v>
      </c>
      <c r="B971" s="3" t="s">
        <v>76</v>
      </c>
      <c r="C971" s="3" t="s">
        <v>123</v>
      </c>
      <c r="D971" s="4">
        <v>58050</v>
      </c>
      <c r="L971" s="3" t="s">
        <v>67</v>
      </c>
      <c r="M971" s="3" t="s">
        <v>111</v>
      </c>
      <c r="N971" s="4">
        <v>115755</v>
      </c>
    </row>
    <row r="972" spans="1:14" x14ac:dyDescent="0.25">
      <c r="A972" s="5" t="str">
        <f t="shared" si="18"/>
        <v>Wisconsin-Ali Stupp</v>
      </c>
      <c r="B972" s="3" t="s">
        <v>89</v>
      </c>
      <c r="C972" s="3" t="s">
        <v>108</v>
      </c>
      <c r="D972" s="4">
        <v>159802</v>
      </c>
      <c r="L972" s="3" t="s">
        <v>67</v>
      </c>
      <c r="M972" s="3" t="s">
        <v>102</v>
      </c>
      <c r="N972" s="4">
        <v>89581</v>
      </c>
    </row>
    <row r="973" spans="1:14" x14ac:dyDescent="0.25">
      <c r="A973" s="5" t="str">
        <f t="shared" si="18"/>
        <v>Georgia-Lucilla Bilecki</v>
      </c>
      <c r="B973" s="3" t="s">
        <v>46</v>
      </c>
      <c r="C973" s="3" t="s">
        <v>97</v>
      </c>
      <c r="D973" s="4">
        <v>72835</v>
      </c>
      <c r="L973" s="3" t="s">
        <v>67</v>
      </c>
      <c r="M973" s="3" t="s">
        <v>106</v>
      </c>
      <c r="N973" s="4">
        <v>53625</v>
      </c>
    </row>
    <row r="974" spans="1:14" x14ac:dyDescent="0.25">
      <c r="A974" s="5" t="str">
        <f t="shared" si="18"/>
        <v>New Hampshire-Sadye Diloreto</v>
      </c>
      <c r="B974" s="3" t="s">
        <v>66</v>
      </c>
      <c r="C974" s="3" t="s">
        <v>95</v>
      </c>
      <c r="D974" s="4">
        <v>106331</v>
      </c>
      <c r="L974" s="3" t="s">
        <v>67</v>
      </c>
      <c r="M974" s="3" t="s">
        <v>123</v>
      </c>
      <c r="N974" s="4">
        <v>100939</v>
      </c>
    </row>
    <row r="975" spans="1:14" x14ac:dyDescent="0.25">
      <c r="A975" s="5" t="str">
        <f t="shared" si="18"/>
        <v>Arizona-Genna Zaller</v>
      </c>
      <c r="B975" s="3" t="s">
        <v>38</v>
      </c>
      <c r="C975" s="3" t="s">
        <v>117</v>
      </c>
      <c r="D975" s="4">
        <v>119400</v>
      </c>
      <c r="L975" s="3" t="s">
        <v>67</v>
      </c>
      <c r="M975" s="3" t="s">
        <v>97</v>
      </c>
      <c r="N975" s="4">
        <v>102431</v>
      </c>
    </row>
    <row r="976" spans="1:14" x14ac:dyDescent="0.25">
      <c r="A976" s="5" t="str">
        <f t="shared" si="18"/>
        <v>Ohio-Keila Rossini</v>
      </c>
      <c r="B976" s="3" t="s">
        <v>73</v>
      </c>
      <c r="C976" s="3" t="s">
        <v>102</v>
      </c>
      <c r="D976" s="4">
        <v>17014</v>
      </c>
      <c r="L976" s="3" t="s">
        <v>67</v>
      </c>
      <c r="M976" s="3" t="s">
        <v>119</v>
      </c>
      <c r="N976" s="4">
        <v>108593</v>
      </c>
    </row>
    <row r="977" spans="1:14" x14ac:dyDescent="0.25">
      <c r="A977" s="5" t="str">
        <f t="shared" si="18"/>
        <v>North Carolina-Nolan Deorio</v>
      </c>
      <c r="B977" s="3" t="s">
        <v>70</v>
      </c>
      <c r="C977" s="3" t="s">
        <v>100</v>
      </c>
      <c r="D977" s="4">
        <v>66468</v>
      </c>
      <c r="L977" s="3" t="s">
        <v>67</v>
      </c>
      <c r="M977" s="3" t="s">
        <v>113</v>
      </c>
      <c r="N977" s="4">
        <v>39661</v>
      </c>
    </row>
    <row r="978" spans="1:14" x14ac:dyDescent="0.25">
      <c r="A978" s="5" t="str">
        <f t="shared" si="18"/>
        <v>New Jersey-Toi Medico</v>
      </c>
      <c r="B978" s="3" t="s">
        <v>67</v>
      </c>
      <c r="C978" s="3" t="s">
        <v>103</v>
      </c>
      <c r="D978" s="4">
        <v>36146</v>
      </c>
      <c r="L978" s="3" t="s">
        <v>67</v>
      </c>
      <c r="M978" s="3" t="s">
        <v>105</v>
      </c>
      <c r="N978" s="4">
        <v>119569</v>
      </c>
    </row>
    <row r="979" spans="1:14" x14ac:dyDescent="0.25">
      <c r="A979" s="5" t="str">
        <f t="shared" si="18"/>
        <v>New York-Raphael Bonawitz</v>
      </c>
      <c r="B979" s="3" t="s">
        <v>69</v>
      </c>
      <c r="C979" s="3" t="s">
        <v>122</v>
      </c>
      <c r="D979" s="4">
        <v>54878</v>
      </c>
      <c r="L979" s="3" t="s">
        <v>67</v>
      </c>
      <c r="M979" s="3" t="s">
        <v>104</v>
      </c>
      <c r="N979" s="4">
        <v>134892</v>
      </c>
    </row>
    <row r="980" spans="1:14" x14ac:dyDescent="0.25">
      <c r="A980" s="5" t="str">
        <f t="shared" si="18"/>
        <v>North Carolina-Keila Rossini</v>
      </c>
      <c r="B980" s="3" t="s">
        <v>70</v>
      </c>
      <c r="C980" s="3" t="s">
        <v>102</v>
      </c>
      <c r="D980" s="4">
        <v>3236</v>
      </c>
      <c r="L980" s="3" t="s">
        <v>67</v>
      </c>
      <c r="M980" s="3" t="s">
        <v>100</v>
      </c>
      <c r="N980" s="4">
        <v>43884</v>
      </c>
    </row>
    <row r="981" spans="1:14" x14ac:dyDescent="0.25">
      <c r="A981" s="5" t="str">
        <f t="shared" si="18"/>
        <v>South Carolina-Sadye Diloreto</v>
      </c>
      <c r="B981" s="3" t="s">
        <v>79</v>
      </c>
      <c r="C981" s="3" t="s">
        <v>95</v>
      </c>
      <c r="D981" s="4">
        <v>23047</v>
      </c>
      <c r="L981" s="3" t="s">
        <v>67</v>
      </c>
      <c r="M981" s="3" t="s">
        <v>118</v>
      </c>
      <c r="N981" s="4">
        <v>14683</v>
      </c>
    </row>
    <row r="982" spans="1:14" x14ac:dyDescent="0.25">
      <c r="A982" s="5" t="str">
        <f t="shared" si="18"/>
        <v>Colorado-Twanda Lovenduski</v>
      </c>
      <c r="B982" s="3" t="s">
        <v>41</v>
      </c>
      <c r="C982" s="3" t="s">
        <v>107</v>
      </c>
      <c r="D982" s="4">
        <v>126878</v>
      </c>
      <c r="L982" s="3" t="s">
        <v>67</v>
      </c>
      <c r="M982" s="3" t="s">
        <v>101</v>
      </c>
      <c r="N982" s="4">
        <v>158494</v>
      </c>
    </row>
    <row r="983" spans="1:14" x14ac:dyDescent="0.25">
      <c r="A983" s="5" t="str">
        <f t="shared" si="18"/>
        <v>Indiana-Ali Steenken</v>
      </c>
      <c r="B983" s="3" t="s">
        <v>51</v>
      </c>
      <c r="C983" s="3" t="s">
        <v>116</v>
      </c>
      <c r="D983" s="4">
        <v>153826</v>
      </c>
      <c r="L983" s="3" t="s">
        <v>67</v>
      </c>
      <c r="M983" s="3" t="s">
        <v>122</v>
      </c>
      <c r="N983" s="4">
        <v>76705</v>
      </c>
    </row>
    <row r="984" spans="1:14" x14ac:dyDescent="0.25">
      <c r="A984" s="5" t="str">
        <f t="shared" si="18"/>
        <v>Illinois-Nolan Deorio</v>
      </c>
      <c r="B984" s="3" t="s">
        <v>50</v>
      </c>
      <c r="C984" s="3" t="s">
        <v>100</v>
      </c>
      <c r="D984" s="4">
        <v>114465</v>
      </c>
      <c r="L984" s="3" t="s">
        <v>67</v>
      </c>
      <c r="M984" s="3" t="s">
        <v>109</v>
      </c>
      <c r="N984" s="4">
        <v>127136</v>
      </c>
    </row>
    <row r="985" spans="1:14" x14ac:dyDescent="0.25">
      <c r="A985" s="5" t="str">
        <f t="shared" si="18"/>
        <v>Wyoming-Cliff Bahlmann</v>
      </c>
      <c r="B985" s="3" t="s">
        <v>90</v>
      </c>
      <c r="C985" s="3" t="s">
        <v>99</v>
      </c>
      <c r="D985" s="4">
        <v>28116</v>
      </c>
      <c r="L985" s="3" t="s">
        <v>67</v>
      </c>
      <c r="M985" s="3" t="s">
        <v>95</v>
      </c>
      <c r="N985" s="4">
        <v>63090</v>
      </c>
    </row>
    <row r="986" spans="1:14" x14ac:dyDescent="0.25">
      <c r="A986" s="5" t="str">
        <f t="shared" si="18"/>
        <v>Idaho-Cliff Schnautz</v>
      </c>
      <c r="B986" s="3" t="s">
        <v>49</v>
      </c>
      <c r="C986" s="3" t="s">
        <v>96</v>
      </c>
      <c r="D986" s="4">
        <v>89881</v>
      </c>
      <c r="L986" s="3" t="s">
        <v>67</v>
      </c>
      <c r="M986" s="3" t="s">
        <v>98</v>
      </c>
      <c r="N986" s="4">
        <v>3402</v>
      </c>
    </row>
    <row r="987" spans="1:14" x14ac:dyDescent="0.25">
      <c r="A987" s="5" t="str">
        <f t="shared" si="18"/>
        <v>North Carolina-Sadye Diloreto</v>
      </c>
      <c r="B987" s="3" t="s">
        <v>70</v>
      </c>
      <c r="C987" s="3" t="s">
        <v>95</v>
      </c>
      <c r="D987" s="4">
        <v>158165</v>
      </c>
      <c r="L987" s="3" t="s">
        <v>67</v>
      </c>
      <c r="M987" s="3" t="s">
        <v>114</v>
      </c>
      <c r="N987" s="4">
        <v>148504</v>
      </c>
    </row>
    <row r="988" spans="1:14" x14ac:dyDescent="0.25">
      <c r="A988" s="5" t="str">
        <f t="shared" si="18"/>
        <v>New Jersey-Nolan Deorio</v>
      </c>
      <c r="B988" s="3" t="s">
        <v>67</v>
      </c>
      <c r="C988" s="3" t="s">
        <v>100</v>
      </c>
      <c r="D988" s="4">
        <v>43884</v>
      </c>
      <c r="L988" s="3" t="s">
        <v>67</v>
      </c>
      <c r="M988" s="3" t="s">
        <v>112</v>
      </c>
      <c r="N988" s="4">
        <v>75163</v>
      </c>
    </row>
    <row r="989" spans="1:14" x14ac:dyDescent="0.25">
      <c r="A989" s="5" t="str">
        <f t="shared" si="18"/>
        <v>Iowa-Lucilla Bilecki</v>
      </c>
      <c r="B989" s="3" t="s">
        <v>52</v>
      </c>
      <c r="C989" s="3" t="s">
        <v>97</v>
      </c>
      <c r="D989" s="4">
        <v>124695</v>
      </c>
      <c r="L989" s="3" t="s">
        <v>67</v>
      </c>
      <c r="M989" s="3" t="s">
        <v>103</v>
      </c>
      <c r="N989" s="4">
        <v>36146</v>
      </c>
    </row>
    <row r="990" spans="1:14" x14ac:dyDescent="0.25">
      <c r="A990" s="5" t="str">
        <f t="shared" si="18"/>
        <v>Texas-Son Shryack</v>
      </c>
      <c r="B990" s="3" t="s">
        <v>82</v>
      </c>
      <c r="C990" s="3" t="s">
        <v>98</v>
      </c>
      <c r="D990" s="4">
        <v>101864</v>
      </c>
      <c r="L990" s="3" t="s">
        <v>67</v>
      </c>
      <c r="M990" s="3" t="s">
        <v>121</v>
      </c>
      <c r="N990" s="4">
        <v>35766</v>
      </c>
    </row>
    <row r="991" spans="1:14" x14ac:dyDescent="0.25">
      <c r="A991" s="5" t="str">
        <f t="shared" si="18"/>
        <v>North Dakota-Sadye Diloreto</v>
      </c>
      <c r="B991" s="3" t="s">
        <v>71</v>
      </c>
      <c r="C991" s="3" t="s">
        <v>95</v>
      </c>
      <c r="D991" s="4">
        <v>4585</v>
      </c>
      <c r="L991" s="3" t="s">
        <v>67</v>
      </c>
      <c r="M991" s="3" t="s">
        <v>107</v>
      </c>
      <c r="N991" s="4">
        <v>170615</v>
      </c>
    </row>
    <row r="992" spans="1:14" x14ac:dyDescent="0.25">
      <c r="A992" s="5" t="str">
        <f t="shared" si="18"/>
        <v>New Mexico-Son Shryack</v>
      </c>
      <c r="B992" s="3" t="s">
        <v>68</v>
      </c>
      <c r="C992" s="3" t="s">
        <v>98</v>
      </c>
      <c r="D992" s="4">
        <v>54617</v>
      </c>
      <c r="L992" s="3" t="s">
        <v>68</v>
      </c>
      <c r="M992" s="3" t="s">
        <v>116</v>
      </c>
      <c r="N992" s="4">
        <v>136939</v>
      </c>
    </row>
    <row r="993" spans="1:14" x14ac:dyDescent="0.25">
      <c r="A993" s="5" t="str">
        <f t="shared" si="18"/>
        <v>Kansas-Twanda Lovenduski</v>
      </c>
      <c r="B993" s="3" t="s">
        <v>53</v>
      </c>
      <c r="C993" s="3" t="s">
        <v>107</v>
      </c>
      <c r="D993" s="4">
        <v>166556</v>
      </c>
      <c r="L993" s="3" t="s">
        <v>68</v>
      </c>
      <c r="M993" s="3" t="s">
        <v>108</v>
      </c>
      <c r="N993" s="4">
        <v>82623</v>
      </c>
    </row>
    <row r="994" spans="1:14" x14ac:dyDescent="0.25">
      <c r="A994" s="5" t="str">
        <f t="shared" si="18"/>
        <v>Arizona-Marvis Tenholder</v>
      </c>
      <c r="B994" s="3" t="s">
        <v>38</v>
      </c>
      <c r="C994" s="3" t="s">
        <v>105</v>
      </c>
      <c r="D994" s="4">
        <v>113261</v>
      </c>
      <c r="L994" s="3" t="s">
        <v>68</v>
      </c>
      <c r="M994" s="3" t="s">
        <v>110</v>
      </c>
      <c r="N994" s="4">
        <v>69916</v>
      </c>
    </row>
    <row r="995" spans="1:14" x14ac:dyDescent="0.25">
      <c r="A995" s="5" t="str">
        <f t="shared" si="18"/>
        <v>Connecticut-Marvis Tenholder</v>
      </c>
      <c r="B995" s="3" t="s">
        <v>42</v>
      </c>
      <c r="C995" s="3" t="s">
        <v>105</v>
      </c>
      <c r="D995" s="4">
        <v>136193</v>
      </c>
      <c r="L995" s="3" t="s">
        <v>68</v>
      </c>
      <c r="M995" s="3" t="s">
        <v>99</v>
      </c>
      <c r="N995" s="4">
        <v>91001</v>
      </c>
    </row>
    <row r="996" spans="1:14" x14ac:dyDescent="0.25">
      <c r="A996" s="5" t="str">
        <f t="shared" si="18"/>
        <v>Hawaii-Kai Stroebel</v>
      </c>
      <c r="B996" s="3" t="s">
        <v>48</v>
      </c>
      <c r="C996" s="3" t="s">
        <v>111</v>
      </c>
      <c r="D996" s="4">
        <v>22862</v>
      </c>
      <c r="L996" s="3" t="s">
        <v>68</v>
      </c>
      <c r="M996" s="3" t="s">
        <v>124</v>
      </c>
      <c r="N996" s="4">
        <v>76499</v>
      </c>
    </row>
    <row r="997" spans="1:14" x14ac:dyDescent="0.25">
      <c r="A997" s="5" t="str">
        <f t="shared" si="18"/>
        <v>Tennessee-Nolan Gohn</v>
      </c>
      <c r="B997" s="3" t="s">
        <v>81</v>
      </c>
      <c r="C997" s="3" t="s">
        <v>118</v>
      </c>
      <c r="D997" s="4">
        <v>117915</v>
      </c>
      <c r="L997" s="3" t="s">
        <v>68</v>
      </c>
      <c r="M997" s="3" t="s">
        <v>96</v>
      </c>
      <c r="N997" s="4">
        <v>84583</v>
      </c>
    </row>
    <row r="998" spans="1:14" x14ac:dyDescent="0.25">
      <c r="A998" s="5" t="str">
        <f t="shared" si="18"/>
        <v>Colorado-Jackson Lorkowski</v>
      </c>
      <c r="B998" s="3" t="s">
        <v>41</v>
      </c>
      <c r="C998" s="3" t="s">
        <v>120</v>
      </c>
      <c r="D998" s="4">
        <v>99025</v>
      </c>
      <c r="L998" s="3" t="s">
        <v>68</v>
      </c>
      <c r="M998" s="3" t="s">
        <v>115</v>
      </c>
      <c r="N998" s="4">
        <v>42938</v>
      </c>
    </row>
    <row r="999" spans="1:14" x14ac:dyDescent="0.25">
      <c r="A999" s="5" t="str">
        <f t="shared" si="18"/>
        <v>New Jersey-Thaddeus Notah</v>
      </c>
      <c r="B999" s="3" t="s">
        <v>67</v>
      </c>
      <c r="C999" s="3" t="s">
        <v>112</v>
      </c>
      <c r="D999" s="4">
        <v>75163</v>
      </c>
      <c r="L999" s="3" t="s">
        <v>68</v>
      </c>
      <c r="M999" s="3" t="s">
        <v>117</v>
      </c>
      <c r="N999" s="4">
        <v>131957</v>
      </c>
    </row>
    <row r="1000" spans="1:14" x14ac:dyDescent="0.25">
      <c r="A1000" s="5" t="str">
        <f t="shared" si="18"/>
        <v>Louisiana-Thaddeus Cacciatori</v>
      </c>
      <c r="B1000" s="3" t="s">
        <v>55</v>
      </c>
      <c r="C1000" s="3" t="s">
        <v>114</v>
      </c>
      <c r="D1000" s="4">
        <v>132425</v>
      </c>
      <c r="L1000" s="3" t="s">
        <v>68</v>
      </c>
      <c r="M1000" s="3" t="s">
        <v>120</v>
      </c>
      <c r="N1000" s="4">
        <v>90606</v>
      </c>
    </row>
    <row r="1001" spans="1:14" x14ac:dyDescent="0.25">
      <c r="A1001" s="5" t="str">
        <f t="shared" si="18"/>
        <v>Wyoming-Twanda Lovenduski</v>
      </c>
      <c r="B1001" s="3" t="s">
        <v>90</v>
      </c>
      <c r="C1001" s="3" t="s">
        <v>107</v>
      </c>
      <c r="D1001" s="4">
        <v>125971</v>
      </c>
      <c r="L1001" s="3" t="s">
        <v>68</v>
      </c>
      <c r="M1001" s="3" t="s">
        <v>111</v>
      </c>
      <c r="N1001" s="4">
        <v>129438</v>
      </c>
    </row>
    <row r="1002" spans="1:14" x14ac:dyDescent="0.25">
      <c r="A1002" s="5" t="str">
        <f t="shared" si="18"/>
        <v>Hawaii-Nolan Deorio</v>
      </c>
      <c r="B1002" s="3" t="s">
        <v>48</v>
      </c>
      <c r="C1002" s="3" t="s">
        <v>100</v>
      </c>
      <c r="D1002" s="4">
        <v>93917</v>
      </c>
      <c r="L1002" s="3" t="s">
        <v>68</v>
      </c>
      <c r="M1002" s="3" t="s">
        <v>102</v>
      </c>
      <c r="N1002" s="4">
        <v>16288</v>
      </c>
    </row>
    <row r="1003" spans="1:14" x14ac:dyDescent="0.25">
      <c r="A1003" s="5" t="str">
        <f t="shared" si="18"/>
        <v>District of Columbia-Jackson Lorkowski</v>
      </c>
      <c r="B1003" s="3" t="s">
        <v>44</v>
      </c>
      <c r="C1003" s="3" t="s">
        <v>120</v>
      </c>
      <c r="D1003" s="4">
        <v>109209</v>
      </c>
      <c r="L1003" s="3" t="s">
        <v>68</v>
      </c>
      <c r="M1003" s="3" t="s">
        <v>106</v>
      </c>
      <c r="N1003" s="4">
        <v>91806</v>
      </c>
    </row>
    <row r="1004" spans="1:14" x14ac:dyDescent="0.25">
      <c r="A1004" s="5" t="str">
        <f t="shared" si="18"/>
        <v>Iowa-Toi Zedaker</v>
      </c>
      <c r="B1004" s="3" t="s">
        <v>52</v>
      </c>
      <c r="C1004" s="3" t="s">
        <v>121</v>
      </c>
      <c r="D1004" s="4">
        <v>71351</v>
      </c>
      <c r="L1004" s="3" t="s">
        <v>68</v>
      </c>
      <c r="M1004" s="3" t="s">
        <v>123</v>
      </c>
      <c r="N1004" s="4">
        <v>110513</v>
      </c>
    </row>
    <row r="1005" spans="1:14" x14ac:dyDescent="0.25">
      <c r="A1005" s="5" t="str">
        <f t="shared" si="18"/>
        <v>Rhode Island-Moises Paynes</v>
      </c>
      <c r="B1005" s="3" t="s">
        <v>78</v>
      </c>
      <c r="C1005" s="3" t="s">
        <v>104</v>
      </c>
      <c r="D1005" s="4">
        <v>137090</v>
      </c>
      <c r="L1005" s="3" t="s">
        <v>68</v>
      </c>
      <c r="M1005" s="3" t="s">
        <v>97</v>
      </c>
      <c r="N1005" s="4">
        <v>114014</v>
      </c>
    </row>
    <row r="1006" spans="1:14" x14ac:dyDescent="0.25">
      <c r="A1006" s="5" t="str">
        <f t="shared" si="18"/>
        <v>Missouri-Thaddeus Notah</v>
      </c>
      <c r="B1006" s="3" t="s">
        <v>62</v>
      </c>
      <c r="C1006" s="3" t="s">
        <v>112</v>
      </c>
      <c r="D1006" s="4">
        <v>151088</v>
      </c>
      <c r="L1006" s="3" t="s">
        <v>68</v>
      </c>
      <c r="M1006" s="3" t="s">
        <v>119</v>
      </c>
      <c r="N1006" s="4">
        <v>96482</v>
      </c>
    </row>
    <row r="1007" spans="1:14" x14ac:dyDescent="0.25">
      <c r="A1007" s="5" t="str">
        <f t="shared" si="18"/>
        <v>Minnesota-Marcel Davern</v>
      </c>
      <c r="B1007" s="3" t="s">
        <v>60</v>
      </c>
      <c r="C1007" s="3" t="s">
        <v>119</v>
      </c>
      <c r="D1007" s="4">
        <v>43705</v>
      </c>
      <c r="L1007" s="3" t="s">
        <v>68</v>
      </c>
      <c r="M1007" s="3" t="s">
        <v>113</v>
      </c>
      <c r="N1007" s="4">
        <v>147326</v>
      </c>
    </row>
    <row r="1008" spans="1:14" x14ac:dyDescent="0.25">
      <c r="A1008" s="5" t="str">
        <f t="shared" si="18"/>
        <v>Iowa-Raphael Derrig</v>
      </c>
      <c r="B1008" s="3" t="s">
        <v>52</v>
      </c>
      <c r="C1008" s="3" t="s">
        <v>109</v>
      </c>
      <c r="D1008" s="4">
        <v>51532</v>
      </c>
      <c r="L1008" s="3" t="s">
        <v>68</v>
      </c>
      <c r="M1008" s="3" t="s">
        <v>105</v>
      </c>
      <c r="N1008" s="4">
        <v>38071</v>
      </c>
    </row>
    <row r="1009" spans="1:14" x14ac:dyDescent="0.25">
      <c r="A1009" s="5" t="str">
        <f t="shared" si="18"/>
        <v>Maine-Quinton Modugno</v>
      </c>
      <c r="B1009" s="3" t="s">
        <v>56</v>
      </c>
      <c r="C1009" s="3" t="s">
        <v>101</v>
      </c>
      <c r="D1009" s="4">
        <v>3737</v>
      </c>
      <c r="L1009" s="3" t="s">
        <v>68</v>
      </c>
      <c r="M1009" s="3" t="s">
        <v>104</v>
      </c>
      <c r="N1009" s="4">
        <v>124120</v>
      </c>
    </row>
    <row r="1010" spans="1:14" x14ac:dyDescent="0.25">
      <c r="A1010" s="5" t="str">
        <f t="shared" si="18"/>
        <v>Hawaii-Ali Steenken</v>
      </c>
      <c r="B1010" s="3" t="s">
        <v>48</v>
      </c>
      <c r="C1010" s="3" t="s">
        <v>116</v>
      </c>
      <c r="D1010" s="4">
        <v>134411</v>
      </c>
      <c r="L1010" s="3" t="s">
        <v>68</v>
      </c>
      <c r="M1010" s="3" t="s">
        <v>100</v>
      </c>
      <c r="N1010" s="4">
        <v>101979</v>
      </c>
    </row>
    <row r="1011" spans="1:14" x14ac:dyDescent="0.25">
      <c r="A1011" s="5" t="str">
        <f t="shared" si="18"/>
        <v>Texas-Jackson Lorkowski</v>
      </c>
      <c r="B1011" s="3" t="s">
        <v>82</v>
      </c>
      <c r="C1011" s="3" t="s">
        <v>120</v>
      </c>
      <c r="D1011" s="4">
        <v>122642</v>
      </c>
      <c r="L1011" s="3" t="s">
        <v>68</v>
      </c>
      <c r="M1011" s="3" t="s">
        <v>118</v>
      </c>
      <c r="N1011" s="4">
        <v>4131</v>
      </c>
    </row>
    <row r="1012" spans="1:14" x14ac:dyDescent="0.25">
      <c r="A1012" s="5" t="str">
        <f t="shared" si="18"/>
        <v>Indiana-Lashon Bongers</v>
      </c>
      <c r="B1012" s="3" t="s">
        <v>51</v>
      </c>
      <c r="C1012" s="3" t="s">
        <v>106</v>
      </c>
      <c r="D1012" s="4">
        <v>51917</v>
      </c>
      <c r="L1012" s="3" t="s">
        <v>68</v>
      </c>
      <c r="M1012" s="3" t="s">
        <v>101</v>
      </c>
      <c r="N1012" s="4">
        <v>146857</v>
      </c>
    </row>
    <row r="1013" spans="1:14" x14ac:dyDescent="0.25">
      <c r="A1013" s="5" t="str">
        <f t="shared" si="18"/>
        <v>Nebraska-Jackson Lorkowski</v>
      </c>
      <c r="B1013" s="3" t="s">
        <v>64</v>
      </c>
      <c r="C1013" s="3" t="s">
        <v>120</v>
      </c>
      <c r="D1013" s="4">
        <v>58610</v>
      </c>
      <c r="L1013" s="3" t="s">
        <v>68</v>
      </c>
      <c r="M1013" s="3" t="s">
        <v>122</v>
      </c>
      <c r="N1013" s="4">
        <v>95800</v>
      </c>
    </row>
    <row r="1014" spans="1:14" x14ac:dyDescent="0.25">
      <c r="A1014" s="5" t="str">
        <f t="shared" si="18"/>
        <v>Arkansas-Lashon Bongers</v>
      </c>
      <c r="B1014" s="3" t="s">
        <v>39</v>
      </c>
      <c r="C1014" s="3" t="s">
        <v>106</v>
      </c>
      <c r="D1014" s="4">
        <v>150212</v>
      </c>
      <c r="L1014" s="3" t="s">
        <v>68</v>
      </c>
      <c r="M1014" s="3" t="s">
        <v>109</v>
      </c>
      <c r="N1014" s="4">
        <v>45472</v>
      </c>
    </row>
    <row r="1015" spans="1:14" x14ac:dyDescent="0.25">
      <c r="A1015" s="5" t="str">
        <f t="shared" si="18"/>
        <v>Oregon-Quinton Modugno</v>
      </c>
      <c r="B1015" s="3" t="s">
        <v>75</v>
      </c>
      <c r="C1015" s="3" t="s">
        <v>101</v>
      </c>
      <c r="D1015" s="4">
        <v>134211</v>
      </c>
      <c r="L1015" s="3" t="s">
        <v>68</v>
      </c>
      <c r="M1015" s="3" t="s">
        <v>95</v>
      </c>
      <c r="N1015" s="4">
        <v>127404</v>
      </c>
    </row>
    <row r="1016" spans="1:14" x14ac:dyDescent="0.25">
      <c r="A1016" s="5" t="str">
        <f t="shared" si="18"/>
        <v>Utah-Ali Stupp</v>
      </c>
      <c r="B1016" s="3" t="s">
        <v>83</v>
      </c>
      <c r="C1016" s="3" t="s">
        <v>108</v>
      </c>
      <c r="D1016" s="4">
        <v>15415</v>
      </c>
      <c r="L1016" s="3" t="s">
        <v>68</v>
      </c>
      <c r="M1016" s="3" t="s">
        <v>98</v>
      </c>
      <c r="N1016" s="4">
        <v>54617</v>
      </c>
    </row>
    <row r="1017" spans="1:14" x14ac:dyDescent="0.25">
      <c r="A1017" s="5" t="str">
        <f t="shared" si="18"/>
        <v>Virgin Islands-Lashon Bongers</v>
      </c>
      <c r="B1017" s="3" t="s">
        <v>86</v>
      </c>
      <c r="C1017" s="3" t="s">
        <v>106</v>
      </c>
      <c r="D1017" s="4">
        <v>10249</v>
      </c>
      <c r="L1017" s="3" t="s">
        <v>68</v>
      </c>
      <c r="M1017" s="3" t="s">
        <v>114</v>
      </c>
      <c r="N1017" s="4">
        <v>136383</v>
      </c>
    </row>
    <row r="1018" spans="1:14" x14ac:dyDescent="0.25">
      <c r="A1018" s="5" t="str">
        <f t="shared" si="18"/>
        <v>North Carolina-Fidel Potra</v>
      </c>
      <c r="B1018" s="3" t="s">
        <v>70</v>
      </c>
      <c r="C1018" s="3" t="s">
        <v>115</v>
      </c>
      <c r="D1018" s="4">
        <v>134519</v>
      </c>
      <c r="L1018" s="3" t="s">
        <v>68</v>
      </c>
      <c r="M1018" s="3" t="s">
        <v>112</v>
      </c>
      <c r="N1018" s="4">
        <v>153395</v>
      </c>
    </row>
    <row r="1019" spans="1:14" x14ac:dyDescent="0.25">
      <c r="A1019" s="5" t="str">
        <f t="shared" si="18"/>
        <v>District of Columbia-Thaddeus Cacciatori</v>
      </c>
      <c r="B1019" s="3" t="s">
        <v>44</v>
      </c>
      <c r="C1019" s="3" t="s">
        <v>114</v>
      </c>
      <c r="D1019" s="4">
        <v>109576</v>
      </c>
      <c r="L1019" s="3" t="s">
        <v>68</v>
      </c>
      <c r="M1019" s="3" t="s">
        <v>103</v>
      </c>
      <c r="N1019" s="4">
        <v>53588</v>
      </c>
    </row>
    <row r="1020" spans="1:14" x14ac:dyDescent="0.25">
      <c r="A1020" s="5" t="str">
        <f t="shared" si="18"/>
        <v>Oklahoma-Moises Paynes</v>
      </c>
      <c r="B1020" s="3" t="s">
        <v>74</v>
      </c>
      <c r="C1020" s="3" t="s">
        <v>104</v>
      </c>
      <c r="D1020" s="4">
        <v>53812</v>
      </c>
      <c r="L1020" s="3" t="s">
        <v>68</v>
      </c>
      <c r="M1020" s="3" t="s">
        <v>121</v>
      </c>
      <c r="N1020" s="4">
        <v>139506</v>
      </c>
    </row>
    <row r="1021" spans="1:14" x14ac:dyDescent="0.25">
      <c r="A1021" s="5" t="str">
        <f t="shared" si="18"/>
        <v>Vermont-Twanda Lovenduski</v>
      </c>
      <c r="B1021" s="3" t="s">
        <v>84</v>
      </c>
      <c r="C1021" s="3" t="s">
        <v>107</v>
      </c>
      <c r="D1021" s="4">
        <v>12437</v>
      </c>
      <c r="L1021" s="3" t="s">
        <v>68</v>
      </c>
      <c r="M1021" s="3" t="s">
        <v>107</v>
      </c>
      <c r="N1021" s="4">
        <v>36382</v>
      </c>
    </row>
    <row r="1022" spans="1:14" x14ac:dyDescent="0.25">
      <c r="A1022" s="5" t="str">
        <f t="shared" si="18"/>
        <v>Arizona-Moises Paynes</v>
      </c>
      <c r="B1022" s="3" t="s">
        <v>38</v>
      </c>
      <c r="C1022" s="3" t="s">
        <v>104</v>
      </c>
      <c r="D1022" s="4">
        <v>63670</v>
      </c>
      <c r="L1022" s="3" t="s">
        <v>69</v>
      </c>
      <c r="M1022" s="3" t="s">
        <v>116</v>
      </c>
      <c r="N1022" s="4">
        <v>160946</v>
      </c>
    </row>
    <row r="1023" spans="1:14" x14ac:dyDescent="0.25">
      <c r="A1023" s="5" t="str">
        <f t="shared" si="18"/>
        <v>Washington-Son Shryack</v>
      </c>
      <c r="B1023" s="3" t="s">
        <v>87</v>
      </c>
      <c r="C1023" s="3" t="s">
        <v>98</v>
      </c>
      <c r="D1023" s="4">
        <v>103209</v>
      </c>
      <c r="L1023" s="3" t="s">
        <v>69</v>
      </c>
      <c r="M1023" s="3" t="s">
        <v>108</v>
      </c>
      <c r="N1023" s="4">
        <v>107741</v>
      </c>
    </row>
    <row r="1024" spans="1:14" x14ac:dyDescent="0.25">
      <c r="A1024" s="5" t="str">
        <f t="shared" si="18"/>
        <v>Wisconsin-Fidel Potra</v>
      </c>
      <c r="B1024" s="3" t="s">
        <v>89</v>
      </c>
      <c r="C1024" s="3" t="s">
        <v>115</v>
      </c>
      <c r="D1024" s="4">
        <v>130166</v>
      </c>
      <c r="L1024" s="3" t="s">
        <v>69</v>
      </c>
      <c r="M1024" s="3" t="s">
        <v>110</v>
      </c>
      <c r="N1024" s="4">
        <v>172453</v>
      </c>
    </row>
    <row r="1025" spans="1:14" x14ac:dyDescent="0.25">
      <c r="A1025" s="5" t="str">
        <f t="shared" si="18"/>
        <v>New Hampshire-Lianne Trappey</v>
      </c>
      <c r="B1025" s="3" t="s">
        <v>66</v>
      </c>
      <c r="C1025" s="3" t="s">
        <v>123</v>
      </c>
      <c r="D1025" s="4">
        <v>134886</v>
      </c>
      <c r="L1025" s="3" t="s">
        <v>69</v>
      </c>
      <c r="M1025" s="3" t="s">
        <v>99</v>
      </c>
      <c r="N1025" s="4">
        <v>58614</v>
      </c>
    </row>
    <row r="1026" spans="1:14" x14ac:dyDescent="0.25">
      <c r="A1026" s="5" t="str">
        <f t="shared" ref="A1026:A1089" si="19">B1026&amp;"-"&amp;C1026</f>
        <v>Idaho-Lashon Bongers</v>
      </c>
      <c r="B1026" s="3" t="s">
        <v>49</v>
      </c>
      <c r="C1026" s="3" t="s">
        <v>106</v>
      </c>
      <c r="D1026" s="4">
        <v>110821</v>
      </c>
      <c r="L1026" s="3" t="s">
        <v>69</v>
      </c>
      <c r="M1026" s="3" t="s">
        <v>124</v>
      </c>
      <c r="N1026" s="4">
        <v>59449</v>
      </c>
    </row>
    <row r="1027" spans="1:14" x14ac:dyDescent="0.25">
      <c r="A1027" s="5" t="str">
        <f t="shared" si="19"/>
        <v>Montana-Moises Paynes</v>
      </c>
      <c r="B1027" s="3" t="s">
        <v>63</v>
      </c>
      <c r="C1027" s="3" t="s">
        <v>104</v>
      </c>
      <c r="D1027" s="4">
        <v>156565</v>
      </c>
      <c r="L1027" s="3" t="s">
        <v>69</v>
      </c>
      <c r="M1027" s="3" t="s">
        <v>96</v>
      </c>
      <c r="N1027" s="4">
        <v>97325</v>
      </c>
    </row>
    <row r="1028" spans="1:14" x14ac:dyDescent="0.25">
      <c r="A1028" s="5" t="str">
        <f t="shared" si="19"/>
        <v>Iowa-Quinton Modugno</v>
      </c>
      <c r="B1028" s="3" t="s">
        <v>52</v>
      </c>
      <c r="C1028" s="3" t="s">
        <v>101</v>
      </c>
      <c r="D1028" s="4">
        <v>15361</v>
      </c>
      <c r="L1028" s="3" t="s">
        <v>69</v>
      </c>
      <c r="M1028" s="3" t="s">
        <v>115</v>
      </c>
      <c r="N1028" s="4">
        <v>54562</v>
      </c>
    </row>
    <row r="1029" spans="1:14" x14ac:dyDescent="0.25">
      <c r="A1029" s="5" t="str">
        <f t="shared" si="19"/>
        <v>North Dakota-Jackson Lorkowski</v>
      </c>
      <c r="B1029" s="3" t="s">
        <v>71</v>
      </c>
      <c r="C1029" s="3" t="s">
        <v>120</v>
      </c>
      <c r="D1029" s="4">
        <v>32712</v>
      </c>
      <c r="L1029" s="3" t="s">
        <v>69</v>
      </c>
      <c r="M1029" s="3" t="s">
        <v>117</v>
      </c>
      <c r="N1029" s="4">
        <v>12634</v>
      </c>
    </row>
    <row r="1030" spans="1:14" x14ac:dyDescent="0.25">
      <c r="A1030" s="5" t="str">
        <f t="shared" si="19"/>
        <v>Nebraska-Son Shryack</v>
      </c>
      <c r="B1030" s="3" t="s">
        <v>64</v>
      </c>
      <c r="C1030" s="3" t="s">
        <v>98</v>
      </c>
      <c r="D1030" s="4">
        <v>60451</v>
      </c>
      <c r="L1030" s="3" t="s">
        <v>69</v>
      </c>
      <c r="M1030" s="3" t="s">
        <v>120</v>
      </c>
      <c r="N1030" s="4">
        <v>55172</v>
      </c>
    </row>
    <row r="1031" spans="1:14" x14ac:dyDescent="0.25">
      <c r="A1031" s="5" t="str">
        <f t="shared" si="19"/>
        <v>Minnesota-Lucilla Bilecki</v>
      </c>
      <c r="B1031" s="3" t="s">
        <v>60</v>
      </c>
      <c r="C1031" s="3" t="s">
        <v>97</v>
      </c>
      <c r="D1031" s="4">
        <v>27988</v>
      </c>
      <c r="L1031" s="3" t="s">
        <v>69</v>
      </c>
      <c r="M1031" s="3" t="s">
        <v>111</v>
      </c>
      <c r="N1031" s="4">
        <v>46098</v>
      </c>
    </row>
    <row r="1032" spans="1:14" x14ac:dyDescent="0.25">
      <c r="A1032" s="5" t="str">
        <f t="shared" si="19"/>
        <v>New Jersey-Sadye Diloreto</v>
      </c>
      <c r="B1032" s="3" t="s">
        <v>67</v>
      </c>
      <c r="C1032" s="3" t="s">
        <v>95</v>
      </c>
      <c r="D1032" s="4">
        <v>63090</v>
      </c>
      <c r="L1032" s="3" t="s">
        <v>69</v>
      </c>
      <c r="M1032" s="3" t="s">
        <v>102</v>
      </c>
      <c r="N1032" s="4">
        <v>156863</v>
      </c>
    </row>
    <row r="1033" spans="1:14" x14ac:dyDescent="0.25">
      <c r="A1033" s="5" t="str">
        <f t="shared" si="19"/>
        <v>Northern Marianas Islands-Toi Zedaker</v>
      </c>
      <c r="B1033" s="3" t="s">
        <v>72</v>
      </c>
      <c r="C1033" s="3" t="s">
        <v>121</v>
      </c>
      <c r="D1033" s="4">
        <v>76543</v>
      </c>
      <c r="L1033" s="3" t="s">
        <v>69</v>
      </c>
      <c r="M1033" s="3" t="s">
        <v>106</v>
      </c>
      <c r="N1033" s="4">
        <v>174401</v>
      </c>
    </row>
    <row r="1034" spans="1:14" x14ac:dyDescent="0.25">
      <c r="A1034" s="5" t="str">
        <f t="shared" si="19"/>
        <v>South Dakota-Jackson Lorkowski</v>
      </c>
      <c r="B1034" s="3" t="s">
        <v>80</v>
      </c>
      <c r="C1034" s="3" t="s">
        <v>120</v>
      </c>
      <c r="D1034" s="4">
        <v>160988</v>
      </c>
      <c r="L1034" s="3" t="s">
        <v>69</v>
      </c>
      <c r="M1034" s="3" t="s">
        <v>123</v>
      </c>
      <c r="N1034" s="4">
        <v>90754</v>
      </c>
    </row>
    <row r="1035" spans="1:14" x14ac:dyDescent="0.25">
      <c r="A1035" s="5" t="str">
        <f t="shared" si="19"/>
        <v>New Hampshire-Raphael Bonawitz</v>
      </c>
      <c r="B1035" s="3" t="s">
        <v>66</v>
      </c>
      <c r="C1035" s="3" t="s">
        <v>122</v>
      </c>
      <c r="D1035" s="4">
        <v>106392</v>
      </c>
      <c r="L1035" s="3" t="s">
        <v>69</v>
      </c>
      <c r="M1035" s="3" t="s">
        <v>97</v>
      </c>
      <c r="N1035" s="4">
        <v>144165</v>
      </c>
    </row>
    <row r="1036" spans="1:14" x14ac:dyDescent="0.25">
      <c r="A1036" s="5" t="str">
        <f t="shared" si="19"/>
        <v>West Virginia-Toi Medico</v>
      </c>
      <c r="B1036" s="3" t="s">
        <v>88</v>
      </c>
      <c r="C1036" s="3" t="s">
        <v>103</v>
      </c>
      <c r="D1036" s="4">
        <v>159254</v>
      </c>
      <c r="L1036" s="3" t="s">
        <v>69</v>
      </c>
      <c r="M1036" s="3" t="s">
        <v>119</v>
      </c>
      <c r="N1036" s="4">
        <v>110636</v>
      </c>
    </row>
    <row r="1037" spans="1:14" x14ac:dyDescent="0.25">
      <c r="A1037" s="5" t="str">
        <f t="shared" si="19"/>
        <v>Georgia-Nolan Deorio</v>
      </c>
      <c r="B1037" s="3" t="s">
        <v>46</v>
      </c>
      <c r="C1037" s="3" t="s">
        <v>100</v>
      </c>
      <c r="D1037" s="4">
        <v>24460</v>
      </c>
      <c r="L1037" s="3" t="s">
        <v>69</v>
      </c>
      <c r="M1037" s="3" t="s">
        <v>113</v>
      </c>
      <c r="N1037" s="4">
        <v>71366</v>
      </c>
    </row>
    <row r="1038" spans="1:14" x14ac:dyDescent="0.25">
      <c r="A1038" s="5" t="str">
        <f t="shared" si="19"/>
        <v>West Virginia-Cliff Schnautz</v>
      </c>
      <c r="B1038" s="3" t="s">
        <v>88</v>
      </c>
      <c r="C1038" s="3" t="s">
        <v>96</v>
      </c>
      <c r="D1038" s="4">
        <v>163045</v>
      </c>
      <c r="L1038" s="3" t="s">
        <v>69</v>
      </c>
      <c r="M1038" s="3" t="s">
        <v>105</v>
      </c>
      <c r="N1038" s="4">
        <v>33592</v>
      </c>
    </row>
    <row r="1039" spans="1:14" x14ac:dyDescent="0.25">
      <c r="A1039" s="5" t="str">
        <f t="shared" si="19"/>
        <v>Vermont-Son Shryack</v>
      </c>
      <c r="B1039" s="3" t="s">
        <v>84</v>
      </c>
      <c r="C1039" s="3" t="s">
        <v>98</v>
      </c>
      <c r="D1039" s="4">
        <v>59764</v>
      </c>
      <c r="L1039" s="3" t="s">
        <v>69</v>
      </c>
      <c r="M1039" s="3" t="s">
        <v>104</v>
      </c>
      <c r="N1039" s="4">
        <v>86624</v>
      </c>
    </row>
    <row r="1040" spans="1:14" x14ac:dyDescent="0.25">
      <c r="A1040" s="5" t="str">
        <f t="shared" si="19"/>
        <v>Guam-Genna Zaller</v>
      </c>
      <c r="B1040" s="3" t="s">
        <v>47</v>
      </c>
      <c r="C1040" s="3" t="s">
        <v>117</v>
      </c>
      <c r="D1040" s="4">
        <v>161676</v>
      </c>
      <c r="L1040" s="3" t="s">
        <v>69</v>
      </c>
      <c r="M1040" s="3" t="s">
        <v>100</v>
      </c>
      <c r="N1040" s="4">
        <v>101060</v>
      </c>
    </row>
    <row r="1041" spans="1:14" x14ac:dyDescent="0.25">
      <c r="A1041" s="5" t="str">
        <f t="shared" si="19"/>
        <v>South Carolina-Lianne Trappey</v>
      </c>
      <c r="B1041" s="3" t="s">
        <v>79</v>
      </c>
      <c r="C1041" s="3" t="s">
        <v>123</v>
      </c>
      <c r="D1041" s="4">
        <v>36886</v>
      </c>
      <c r="L1041" s="3" t="s">
        <v>69</v>
      </c>
      <c r="M1041" s="3" t="s">
        <v>118</v>
      </c>
      <c r="N1041" s="4">
        <v>11775</v>
      </c>
    </row>
    <row r="1042" spans="1:14" x14ac:dyDescent="0.25">
      <c r="A1042" s="5" t="str">
        <f t="shared" si="19"/>
        <v>American Samoa-Marcel Davern</v>
      </c>
      <c r="B1042" s="3" t="s">
        <v>37</v>
      </c>
      <c r="C1042" s="3" t="s">
        <v>119</v>
      </c>
      <c r="D1042" s="4">
        <v>6841</v>
      </c>
      <c r="L1042" s="3" t="s">
        <v>69</v>
      </c>
      <c r="M1042" s="3" t="s">
        <v>101</v>
      </c>
      <c r="N1042" s="4">
        <v>55350</v>
      </c>
    </row>
    <row r="1043" spans="1:14" x14ac:dyDescent="0.25">
      <c r="A1043" s="5" t="str">
        <f t="shared" si="19"/>
        <v>California-Lucilla Bilecki</v>
      </c>
      <c r="B1043" s="3" t="s">
        <v>40</v>
      </c>
      <c r="C1043" s="3" t="s">
        <v>97</v>
      </c>
      <c r="D1043" s="4">
        <v>104188</v>
      </c>
      <c r="L1043" s="3" t="s">
        <v>69</v>
      </c>
      <c r="M1043" s="3" t="s">
        <v>122</v>
      </c>
      <c r="N1043" s="4">
        <v>54878</v>
      </c>
    </row>
    <row r="1044" spans="1:14" x14ac:dyDescent="0.25">
      <c r="A1044" s="5" t="str">
        <f t="shared" si="19"/>
        <v>Alabama-Ali Stupp</v>
      </c>
      <c r="B1044" s="3" t="s">
        <v>35</v>
      </c>
      <c r="C1044" s="3" t="s">
        <v>108</v>
      </c>
      <c r="D1044" s="4">
        <v>172598</v>
      </c>
      <c r="L1044" s="3" t="s">
        <v>69</v>
      </c>
      <c r="M1044" s="3" t="s">
        <v>109</v>
      </c>
      <c r="N1044" s="4">
        <v>79377</v>
      </c>
    </row>
    <row r="1045" spans="1:14" x14ac:dyDescent="0.25">
      <c r="A1045" s="5" t="str">
        <f t="shared" si="19"/>
        <v>Virgin Islands-Jackson Lorkowski</v>
      </c>
      <c r="B1045" s="3" t="s">
        <v>86</v>
      </c>
      <c r="C1045" s="3" t="s">
        <v>120</v>
      </c>
      <c r="D1045" s="4">
        <v>96067</v>
      </c>
      <c r="L1045" s="3" t="s">
        <v>69</v>
      </c>
      <c r="M1045" s="3" t="s">
        <v>95</v>
      </c>
      <c r="N1045" s="4">
        <v>121453</v>
      </c>
    </row>
    <row r="1046" spans="1:14" x14ac:dyDescent="0.25">
      <c r="A1046" s="5" t="str">
        <f t="shared" si="19"/>
        <v>Puerto Rico-Cliff Bahlmann</v>
      </c>
      <c r="B1046" s="3" t="s">
        <v>77</v>
      </c>
      <c r="C1046" s="3" t="s">
        <v>99</v>
      </c>
      <c r="D1046" s="4">
        <v>51233</v>
      </c>
      <c r="L1046" s="3" t="s">
        <v>69</v>
      </c>
      <c r="M1046" s="3" t="s">
        <v>98</v>
      </c>
      <c r="N1046" s="4">
        <v>150247</v>
      </c>
    </row>
    <row r="1047" spans="1:14" x14ac:dyDescent="0.25">
      <c r="A1047" s="5" t="str">
        <f t="shared" si="19"/>
        <v>Iowa-Cliff Bahlmann</v>
      </c>
      <c r="B1047" s="3" t="s">
        <v>52</v>
      </c>
      <c r="C1047" s="3" t="s">
        <v>99</v>
      </c>
      <c r="D1047" s="4">
        <v>75518</v>
      </c>
      <c r="L1047" s="3" t="s">
        <v>69</v>
      </c>
      <c r="M1047" s="3" t="s">
        <v>114</v>
      </c>
      <c r="N1047" s="4">
        <v>11560</v>
      </c>
    </row>
    <row r="1048" spans="1:14" x14ac:dyDescent="0.25">
      <c r="A1048" s="5" t="str">
        <f t="shared" si="19"/>
        <v>New Mexico-Fidel Potra</v>
      </c>
      <c r="B1048" s="3" t="s">
        <v>68</v>
      </c>
      <c r="C1048" s="3" t="s">
        <v>115</v>
      </c>
      <c r="D1048" s="4">
        <v>42938</v>
      </c>
      <c r="L1048" s="3" t="s">
        <v>69</v>
      </c>
      <c r="M1048" s="3" t="s">
        <v>112</v>
      </c>
      <c r="N1048" s="4">
        <v>111917</v>
      </c>
    </row>
    <row r="1049" spans="1:14" x14ac:dyDescent="0.25">
      <c r="A1049" s="5" t="str">
        <f t="shared" si="19"/>
        <v>North Dakota-Toi Medico</v>
      </c>
      <c r="B1049" s="3" t="s">
        <v>71</v>
      </c>
      <c r="C1049" s="3" t="s">
        <v>103</v>
      </c>
      <c r="D1049" s="4">
        <v>124801</v>
      </c>
      <c r="L1049" s="3" t="s">
        <v>69</v>
      </c>
      <c r="M1049" s="3" t="s">
        <v>103</v>
      </c>
      <c r="N1049" s="4">
        <v>109245</v>
      </c>
    </row>
    <row r="1050" spans="1:14" x14ac:dyDescent="0.25">
      <c r="A1050" s="5" t="str">
        <f t="shared" si="19"/>
        <v>Oklahoma-Son Shryack</v>
      </c>
      <c r="B1050" s="3" t="s">
        <v>74</v>
      </c>
      <c r="C1050" s="3" t="s">
        <v>98</v>
      </c>
      <c r="D1050" s="4">
        <v>10296</v>
      </c>
      <c r="L1050" s="3" t="s">
        <v>69</v>
      </c>
      <c r="M1050" s="3" t="s">
        <v>121</v>
      </c>
      <c r="N1050" s="4">
        <v>8522</v>
      </c>
    </row>
    <row r="1051" spans="1:14" x14ac:dyDescent="0.25">
      <c r="A1051" s="5" t="str">
        <f t="shared" si="19"/>
        <v>Guam-Kai Stroebel</v>
      </c>
      <c r="B1051" s="3" t="s">
        <v>47</v>
      </c>
      <c r="C1051" s="3" t="s">
        <v>111</v>
      </c>
      <c r="D1051" s="4">
        <v>6187</v>
      </c>
      <c r="L1051" s="3" t="s">
        <v>69</v>
      </c>
      <c r="M1051" s="3" t="s">
        <v>107</v>
      </c>
      <c r="N1051" s="4">
        <v>68902</v>
      </c>
    </row>
    <row r="1052" spans="1:14" x14ac:dyDescent="0.25">
      <c r="A1052" s="5" t="str">
        <f t="shared" si="19"/>
        <v>New Mexico-Jackson Lorkowski</v>
      </c>
      <c r="B1052" s="3" t="s">
        <v>68</v>
      </c>
      <c r="C1052" s="3" t="s">
        <v>120</v>
      </c>
      <c r="D1052" s="4">
        <v>90606</v>
      </c>
      <c r="L1052" s="3" t="s">
        <v>70</v>
      </c>
      <c r="M1052" s="3" t="s">
        <v>116</v>
      </c>
      <c r="N1052" s="4">
        <v>160475</v>
      </c>
    </row>
    <row r="1053" spans="1:14" x14ac:dyDescent="0.25">
      <c r="A1053" s="5" t="str">
        <f t="shared" si="19"/>
        <v>Mississippi-Son Shryack</v>
      </c>
      <c r="B1053" s="3" t="s">
        <v>61</v>
      </c>
      <c r="C1053" s="3" t="s">
        <v>98</v>
      </c>
      <c r="D1053" s="4">
        <v>156080</v>
      </c>
      <c r="L1053" s="3" t="s">
        <v>70</v>
      </c>
      <c r="M1053" s="3" t="s">
        <v>108</v>
      </c>
      <c r="N1053" s="4">
        <v>68260</v>
      </c>
    </row>
    <row r="1054" spans="1:14" x14ac:dyDescent="0.25">
      <c r="A1054" s="5" t="str">
        <f t="shared" si="19"/>
        <v>California-Cliff Schnautz</v>
      </c>
      <c r="B1054" s="3" t="s">
        <v>40</v>
      </c>
      <c r="C1054" s="3" t="s">
        <v>96</v>
      </c>
      <c r="D1054" s="4">
        <v>133531</v>
      </c>
      <c r="L1054" s="3" t="s">
        <v>70</v>
      </c>
      <c r="M1054" s="3" t="s">
        <v>110</v>
      </c>
      <c r="N1054" s="4">
        <v>28780</v>
      </c>
    </row>
    <row r="1055" spans="1:14" x14ac:dyDescent="0.25">
      <c r="A1055" s="5" t="str">
        <f t="shared" si="19"/>
        <v>Mississippi-Lianne Trappey</v>
      </c>
      <c r="B1055" s="3" t="s">
        <v>61</v>
      </c>
      <c r="C1055" s="3" t="s">
        <v>123</v>
      </c>
      <c r="D1055" s="4">
        <v>48369</v>
      </c>
      <c r="L1055" s="3" t="s">
        <v>70</v>
      </c>
      <c r="M1055" s="3" t="s">
        <v>99</v>
      </c>
      <c r="N1055" s="4">
        <v>134396</v>
      </c>
    </row>
    <row r="1056" spans="1:14" x14ac:dyDescent="0.25">
      <c r="A1056" s="5" t="str">
        <f t="shared" si="19"/>
        <v>Alaska-Lianne Trappey</v>
      </c>
      <c r="B1056" s="3" t="s">
        <v>36</v>
      </c>
      <c r="C1056" s="3" t="s">
        <v>123</v>
      </c>
      <c r="D1056" s="4">
        <v>13394</v>
      </c>
      <c r="L1056" s="3" t="s">
        <v>70</v>
      </c>
      <c r="M1056" s="3" t="s">
        <v>124</v>
      </c>
      <c r="N1056" s="4">
        <v>3643</v>
      </c>
    </row>
    <row r="1057" spans="1:14" x14ac:dyDescent="0.25">
      <c r="A1057" s="5" t="str">
        <f t="shared" si="19"/>
        <v>Indiana-Kai Stroebel</v>
      </c>
      <c r="B1057" s="3" t="s">
        <v>51</v>
      </c>
      <c r="C1057" s="3" t="s">
        <v>111</v>
      </c>
      <c r="D1057" s="4">
        <v>7394</v>
      </c>
      <c r="L1057" s="3" t="s">
        <v>70</v>
      </c>
      <c r="M1057" s="3" t="s">
        <v>96</v>
      </c>
      <c r="N1057" s="4">
        <v>71947</v>
      </c>
    </row>
    <row r="1058" spans="1:14" x14ac:dyDescent="0.25">
      <c r="A1058" s="5" t="str">
        <f t="shared" si="19"/>
        <v>Florida-Genna Zaller</v>
      </c>
      <c r="B1058" s="3" t="s">
        <v>45</v>
      </c>
      <c r="C1058" s="3" t="s">
        <v>117</v>
      </c>
      <c r="D1058" s="4">
        <v>170711</v>
      </c>
      <c r="L1058" s="3" t="s">
        <v>70</v>
      </c>
      <c r="M1058" s="3" t="s">
        <v>115</v>
      </c>
      <c r="N1058" s="4">
        <v>134519</v>
      </c>
    </row>
    <row r="1059" spans="1:14" x14ac:dyDescent="0.25">
      <c r="A1059" s="5" t="str">
        <f t="shared" si="19"/>
        <v>Northern Marianas Islands-Jackson Lorkowski</v>
      </c>
      <c r="B1059" s="3" t="s">
        <v>72</v>
      </c>
      <c r="C1059" s="3" t="s">
        <v>120</v>
      </c>
      <c r="D1059" s="4">
        <v>99556</v>
      </c>
      <c r="L1059" s="3" t="s">
        <v>70</v>
      </c>
      <c r="M1059" s="3" t="s">
        <v>117</v>
      </c>
      <c r="N1059" s="4">
        <v>43630</v>
      </c>
    </row>
    <row r="1060" spans="1:14" x14ac:dyDescent="0.25">
      <c r="A1060" s="5" t="str">
        <f t="shared" si="19"/>
        <v>Maine-Raphael Bonawitz</v>
      </c>
      <c r="B1060" s="3" t="s">
        <v>56</v>
      </c>
      <c r="C1060" s="3" t="s">
        <v>122</v>
      </c>
      <c r="D1060" s="4">
        <v>163608</v>
      </c>
      <c r="L1060" s="3" t="s">
        <v>70</v>
      </c>
      <c r="M1060" s="3" t="s">
        <v>120</v>
      </c>
      <c r="N1060" s="4">
        <v>71238</v>
      </c>
    </row>
    <row r="1061" spans="1:14" x14ac:dyDescent="0.25">
      <c r="A1061" s="5" t="str">
        <f t="shared" si="19"/>
        <v>Rhode Island-Marlin Mavromatis</v>
      </c>
      <c r="B1061" s="3" t="s">
        <v>78</v>
      </c>
      <c r="C1061" s="3" t="s">
        <v>113</v>
      </c>
      <c r="D1061" s="4">
        <v>97382</v>
      </c>
      <c r="L1061" s="3" t="s">
        <v>70</v>
      </c>
      <c r="M1061" s="3" t="s">
        <v>111</v>
      </c>
      <c r="N1061" s="4">
        <v>23067</v>
      </c>
    </row>
    <row r="1062" spans="1:14" x14ac:dyDescent="0.25">
      <c r="A1062" s="5" t="str">
        <f t="shared" si="19"/>
        <v>Nevada-Cliff Galinski</v>
      </c>
      <c r="B1062" s="3" t="s">
        <v>65</v>
      </c>
      <c r="C1062" s="3" t="s">
        <v>124</v>
      </c>
      <c r="D1062" s="4">
        <v>65491</v>
      </c>
      <c r="L1062" s="3" t="s">
        <v>70</v>
      </c>
      <c r="M1062" s="3" t="s">
        <v>102</v>
      </c>
      <c r="N1062" s="4">
        <v>3236</v>
      </c>
    </row>
    <row r="1063" spans="1:14" x14ac:dyDescent="0.25">
      <c r="A1063" s="5" t="str">
        <f t="shared" si="19"/>
        <v>Northern Marianas Islands-Son Shryack</v>
      </c>
      <c r="B1063" s="3" t="s">
        <v>72</v>
      </c>
      <c r="C1063" s="3" t="s">
        <v>98</v>
      </c>
      <c r="D1063" s="4">
        <v>124148</v>
      </c>
      <c r="L1063" s="3" t="s">
        <v>70</v>
      </c>
      <c r="M1063" s="3" t="s">
        <v>106</v>
      </c>
      <c r="N1063" s="4">
        <v>133928</v>
      </c>
    </row>
    <row r="1064" spans="1:14" x14ac:dyDescent="0.25">
      <c r="A1064" s="5" t="str">
        <f t="shared" si="19"/>
        <v>Oregon-Raphael Bonawitz</v>
      </c>
      <c r="B1064" s="3" t="s">
        <v>75</v>
      </c>
      <c r="C1064" s="3" t="s">
        <v>122</v>
      </c>
      <c r="D1064" s="4">
        <v>61590</v>
      </c>
      <c r="L1064" s="3" t="s">
        <v>70</v>
      </c>
      <c r="M1064" s="3" t="s">
        <v>123</v>
      </c>
      <c r="N1064" s="4">
        <v>165990</v>
      </c>
    </row>
    <row r="1065" spans="1:14" x14ac:dyDescent="0.25">
      <c r="A1065" s="5" t="str">
        <f t="shared" si="19"/>
        <v>Indiana-Sadye Diloreto</v>
      </c>
      <c r="B1065" s="3" t="s">
        <v>51</v>
      </c>
      <c r="C1065" s="3" t="s">
        <v>95</v>
      </c>
      <c r="D1065" s="4">
        <v>88007</v>
      </c>
      <c r="L1065" s="3" t="s">
        <v>70</v>
      </c>
      <c r="M1065" s="3" t="s">
        <v>97</v>
      </c>
      <c r="N1065" s="4">
        <v>60664</v>
      </c>
    </row>
    <row r="1066" spans="1:14" x14ac:dyDescent="0.25">
      <c r="A1066" s="5" t="str">
        <f t="shared" si="19"/>
        <v>Indiana-Raphael Derrig</v>
      </c>
      <c r="B1066" s="3" t="s">
        <v>51</v>
      </c>
      <c r="C1066" s="3" t="s">
        <v>109</v>
      </c>
      <c r="D1066" s="4">
        <v>15126</v>
      </c>
      <c r="L1066" s="3" t="s">
        <v>70</v>
      </c>
      <c r="M1066" s="3" t="s">
        <v>119</v>
      </c>
      <c r="N1066" s="4">
        <v>128282</v>
      </c>
    </row>
    <row r="1067" spans="1:14" x14ac:dyDescent="0.25">
      <c r="A1067" s="5" t="str">
        <f t="shared" si="19"/>
        <v>Nebraska-Ali Stupp</v>
      </c>
      <c r="B1067" s="3" t="s">
        <v>64</v>
      </c>
      <c r="C1067" s="3" t="s">
        <v>108</v>
      </c>
      <c r="D1067" s="4">
        <v>39164</v>
      </c>
      <c r="L1067" s="3" t="s">
        <v>70</v>
      </c>
      <c r="M1067" s="3" t="s">
        <v>113</v>
      </c>
      <c r="N1067" s="4">
        <v>156331</v>
      </c>
    </row>
    <row r="1068" spans="1:14" x14ac:dyDescent="0.25">
      <c r="A1068" s="5" t="str">
        <f t="shared" si="19"/>
        <v>Connecticut-Marlin Mavromatis</v>
      </c>
      <c r="B1068" s="3" t="s">
        <v>42</v>
      </c>
      <c r="C1068" s="3" t="s">
        <v>113</v>
      </c>
      <c r="D1068" s="4">
        <v>120225</v>
      </c>
      <c r="L1068" s="3" t="s">
        <v>70</v>
      </c>
      <c r="M1068" s="3" t="s">
        <v>105</v>
      </c>
      <c r="N1068" s="4">
        <v>54587</v>
      </c>
    </row>
    <row r="1069" spans="1:14" x14ac:dyDescent="0.25">
      <c r="A1069" s="5" t="str">
        <f t="shared" si="19"/>
        <v>Guam-Thaddeus Notah</v>
      </c>
      <c r="B1069" s="3" t="s">
        <v>47</v>
      </c>
      <c r="C1069" s="3" t="s">
        <v>112</v>
      </c>
      <c r="D1069" s="4">
        <v>99101</v>
      </c>
      <c r="L1069" s="3" t="s">
        <v>70</v>
      </c>
      <c r="M1069" s="3" t="s">
        <v>104</v>
      </c>
      <c r="N1069" s="4">
        <v>167948</v>
      </c>
    </row>
    <row r="1070" spans="1:14" x14ac:dyDescent="0.25">
      <c r="A1070" s="5" t="str">
        <f t="shared" si="19"/>
        <v>South Carolina-Marcel Davern</v>
      </c>
      <c r="B1070" s="3" t="s">
        <v>79</v>
      </c>
      <c r="C1070" s="3" t="s">
        <v>119</v>
      </c>
      <c r="D1070" s="4">
        <v>7450</v>
      </c>
      <c r="L1070" s="3" t="s">
        <v>70</v>
      </c>
      <c r="M1070" s="3" t="s">
        <v>100</v>
      </c>
      <c r="N1070" s="4">
        <v>66468</v>
      </c>
    </row>
    <row r="1071" spans="1:14" x14ac:dyDescent="0.25">
      <c r="A1071" s="5" t="str">
        <f t="shared" si="19"/>
        <v>Louisiana-Marlin Mavromatis</v>
      </c>
      <c r="B1071" s="3" t="s">
        <v>55</v>
      </c>
      <c r="C1071" s="3" t="s">
        <v>113</v>
      </c>
      <c r="D1071" s="4">
        <v>135146</v>
      </c>
      <c r="L1071" s="3" t="s">
        <v>70</v>
      </c>
      <c r="M1071" s="3" t="s">
        <v>118</v>
      </c>
      <c r="N1071" s="4">
        <v>77485</v>
      </c>
    </row>
    <row r="1072" spans="1:14" x14ac:dyDescent="0.25">
      <c r="A1072" s="5" t="str">
        <f t="shared" si="19"/>
        <v>North Dakota-Quinton Modugno</v>
      </c>
      <c r="B1072" s="3" t="s">
        <v>71</v>
      </c>
      <c r="C1072" s="3" t="s">
        <v>101</v>
      </c>
      <c r="D1072" s="4">
        <v>93638</v>
      </c>
      <c r="L1072" s="3" t="s">
        <v>70</v>
      </c>
      <c r="M1072" s="3" t="s">
        <v>101</v>
      </c>
      <c r="N1072" s="4">
        <v>129630</v>
      </c>
    </row>
    <row r="1073" spans="1:14" x14ac:dyDescent="0.25">
      <c r="A1073" s="5" t="str">
        <f t="shared" si="19"/>
        <v>Maryland-Raphael Bonawitz</v>
      </c>
      <c r="B1073" s="3" t="s">
        <v>57</v>
      </c>
      <c r="C1073" s="3" t="s">
        <v>122</v>
      </c>
      <c r="D1073" s="4">
        <v>94217</v>
      </c>
      <c r="L1073" s="3" t="s">
        <v>70</v>
      </c>
      <c r="M1073" s="3" t="s">
        <v>122</v>
      </c>
      <c r="N1073" s="4">
        <v>102955</v>
      </c>
    </row>
    <row r="1074" spans="1:14" x14ac:dyDescent="0.25">
      <c r="A1074" s="5" t="str">
        <f t="shared" si="19"/>
        <v>Colorado-Lianne Trappey</v>
      </c>
      <c r="B1074" s="3" t="s">
        <v>41</v>
      </c>
      <c r="C1074" s="3" t="s">
        <v>123</v>
      </c>
      <c r="D1074" s="4">
        <v>27232</v>
      </c>
      <c r="L1074" s="3" t="s">
        <v>70</v>
      </c>
      <c r="M1074" s="3" t="s">
        <v>109</v>
      </c>
      <c r="N1074" s="4">
        <v>164680</v>
      </c>
    </row>
    <row r="1075" spans="1:14" x14ac:dyDescent="0.25">
      <c r="A1075" s="5" t="str">
        <f t="shared" si="19"/>
        <v>Nebraska-Raphael Bonawitz</v>
      </c>
      <c r="B1075" s="3" t="s">
        <v>64</v>
      </c>
      <c r="C1075" s="3" t="s">
        <v>122</v>
      </c>
      <c r="D1075" s="4">
        <v>99230</v>
      </c>
      <c r="L1075" s="3" t="s">
        <v>70</v>
      </c>
      <c r="M1075" s="3" t="s">
        <v>95</v>
      </c>
      <c r="N1075" s="4">
        <v>158165</v>
      </c>
    </row>
    <row r="1076" spans="1:14" x14ac:dyDescent="0.25">
      <c r="A1076" s="5" t="str">
        <f t="shared" si="19"/>
        <v>Oklahoma-Raphael Derrig</v>
      </c>
      <c r="B1076" s="3" t="s">
        <v>74</v>
      </c>
      <c r="C1076" s="3" t="s">
        <v>109</v>
      </c>
      <c r="D1076" s="4">
        <v>78791</v>
      </c>
      <c r="L1076" s="3" t="s">
        <v>70</v>
      </c>
      <c r="M1076" s="3" t="s">
        <v>98</v>
      </c>
      <c r="N1076" s="4">
        <v>105783</v>
      </c>
    </row>
    <row r="1077" spans="1:14" x14ac:dyDescent="0.25">
      <c r="A1077" s="5" t="str">
        <f t="shared" si="19"/>
        <v>Illinois-Kai Stroebel</v>
      </c>
      <c r="B1077" s="3" t="s">
        <v>50</v>
      </c>
      <c r="C1077" s="3" t="s">
        <v>111</v>
      </c>
      <c r="D1077" s="4">
        <v>15244</v>
      </c>
      <c r="L1077" s="3" t="s">
        <v>70</v>
      </c>
      <c r="M1077" s="3" t="s">
        <v>114</v>
      </c>
      <c r="N1077" s="4">
        <v>169946</v>
      </c>
    </row>
    <row r="1078" spans="1:14" x14ac:dyDescent="0.25">
      <c r="A1078" s="5" t="str">
        <f t="shared" si="19"/>
        <v>North Dakota-Ali Steenken</v>
      </c>
      <c r="B1078" s="3" t="s">
        <v>71</v>
      </c>
      <c r="C1078" s="3" t="s">
        <v>116</v>
      </c>
      <c r="D1078" s="4">
        <v>58074</v>
      </c>
      <c r="L1078" s="3" t="s">
        <v>70</v>
      </c>
      <c r="M1078" s="3" t="s">
        <v>112</v>
      </c>
      <c r="N1078" s="4">
        <v>72333</v>
      </c>
    </row>
    <row r="1079" spans="1:14" x14ac:dyDescent="0.25">
      <c r="A1079" s="5" t="str">
        <f t="shared" si="19"/>
        <v>District of Columbia-Cliff Bahlmann</v>
      </c>
      <c r="B1079" s="3" t="s">
        <v>44</v>
      </c>
      <c r="C1079" s="3" t="s">
        <v>99</v>
      </c>
      <c r="D1079" s="4">
        <v>16176</v>
      </c>
      <c r="L1079" s="3" t="s">
        <v>70</v>
      </c>
      <c r="M1079" s="3" t="s">
        <v>103</v>
      </c>
      <c r="N1079" s="4">
        <v>16624</v>
      </c>
    </row>
    <row r="1080" spans="1:14" x14ac:dyDescent="0.25">
      <c r="A1080" s="5" t="str">
        <f t="shared" si="19"/>
        <v>Louisiana-Raphael Derrig</v>
      </c>
      <c r="B1080" s="3" t="s">
        <v>55</v>
      </c>
      <c r="C1080" s="3" t="s">
        <v>109</v>
      </c>
      <c r="D1080" s="4">
        <v>90178</v>
      </c>
      <c r="L1080" s="3" t="s">
        <v>70</v>
      </c>
      <c r="M1080" s="3" t="s">
        <v>121</v>
      </c>
      <c r="N1080" s="4">
        <v>154813</v>
      </c>
    </row>
    <row r="1081" spans="1:14" x14ac:dyDescent="0.25">
      <c r="A1081" s="5" t="str">
        <f t="shared" si="19"/>
        <v>District of Columbia-Marvis Tenholder</v>
      </c>
      <c r="B1081" s="3" t="s">
        <v>44</v>
      </c>
      <c r="C1081" s="3" t="s">
        <v>105</v>
      </c>
      <c r="D1081" s="4">
        <v>60125</v>
      </c>
      <c r="L1081" s="3" t="s">
        <v>70</v>
      </c>
      <c r="M1081" s="3" t="s">
        <v>107</v>
      </c>
      <c r="N1081" s="4">
        <v>50256</v>
      </c>
    </row>
    <row r="1082" spans="1:14" x14ac:dyDescent="0.25">
      <c r="A1082" s="5" t="str">
        <f t="shared" si="19"/>
        <v>Washington-Marvis Tenholder</v>
      </c>
      <c r="B1082" s="3" t="s">
        <v>87</v>
      </c>
      <c r="C1082" s="3" t="s">
        <v>105</v>
      </c>
      <c r="D1082" s="4">
        <v>64293</v>
      </c>
      <c r="L1082" s="3" t="s">
        <v>71</v>
      </c>
      <c r="M1082" s="3" t="s">
        <v>116</v>
      </c>
      <c r="N1082" s="4">
        <v>58074</v>
      </c>
    </row>
    <row r="1083" spans="1:14" x14ac:dyDescent="0.25">
      <c r="A1083" s="5" t="str">
        <f t="shared" si="19"/>
        <v>Nevada-Ali Steenken</v>
      </c>
      <c r="B1083" s="3" t="s">
        <v>65</v>
      </c>
      <c r="C1083" s="3" t="s">
        <v>116</v>
      </c>
      <c r="D1083" s="4">
        <v>108494</v>
      </c>
      <c r="L1083" s="3" t="s">
        <v>71</v>
      </c>
      <c r="M1083" s="3" t="s">
        <v>108</v>
      </c>
      <c r="N1083" s="4">
        <v>107475</v>
      </c>
    </row>
    <row r="1084" spans="1:14" x14ac:dyDescent="0.25">
      <c r="A1084" s="5" t="str">
        <f t="shared" si="19"/>
        <v>Wisconsin-Armand Mcleon</v>
      </c>
      <c r="B1084" s="3" t="s">
        <v>89</v>
      </c>
      <c r="C1084" s="3" t="s">
        <v>110</v>
      </c>
      <c r="D1084" s="4">
        <v>116471</v>
      </c>
      <c r="L1084" s="3" t="s">
        <v>71</v>
      </c>
      <c r="M1084" s="3" t="s">
        <v>110</v>
      </c>
      <c r="N1084" s="4">
        <v>86306</v>
      </c>
    </row>
    <row r="1085" spans="1:14" x14ac:dyDescent="0.25">
      <c r="A1085" s="5" t="str">
        <f t="shared" si="19"/>
        <v>Ohio-Lianne Trappey</v>
      </c>
      <c r="B1085" s="3" t="s">
        <v>73</v>
      </c>
      <c r="C1085" s="3" t="s">
        <v>123</v>
      </c>
      <c r="D1085" s="4">
        <v>133077</v>
      </c>
      <c r="L1085" s="3" t="s">
        <v>71</v>
      </c>
      <c r="M1085" s="3" t="s">
        <v>99</v>
      </c>
      <c r="N1085" s="4">
        <v>42889</v>
      </c>
    </row>
    <row r="1086" spans="1:14" x14ac:dyDescent="0.25">
      <c r="A1086" s="5" t="str">
        <f t="shared" si="19"/>
        <v>Oklahoma-Thaddeus Notah</v>
      </c>
      <c r="B1086" s="3" t="s">
        <v>74</v>
      </c>
      <c r="C1086" s="3" t="s">
        <v>112</v>
      </c>
      <c r="D1086" s="4">
        <v>113573</v>
      </c>
      <c r="L1086" s="3" t="s">
        <v>71</v>
      </c>
      <c r="M1086" s="3" t="s">
        <v>124</v>
      </c>
      <c r="N1086" s="4">
        <v>59055</v>
      </c>
    </row>
    <row r="1087" spans="1:14" x14ac:dyDescent="0.25">
      <c r="A1087" s="5" t="str">
        <f t="shared" si="19"/>
        <v>Maryland-Raphael Derrig</v>
      </c>
      <c r="B1087" s="3" t="s">
        <v>57</v>
      </c>
      <c r="C1087" s="3" t="s">
        <v>109</v>
      </c>
      <c r="D1087" s="4">
        <v>33375</v>
      </c>
      <c r="L1087" s="3" t="s">
        <v>71</v>
      </c>
      <c r="M1087" s="3" t="s">
        <v>96</v>
      </c>
      <c r="N1087" s="4">
        <v>63835</v>
      </c>
    </row>
    <row r="1088" spans="1:14" x14ac:dyDescent="0.25">
      <c r="A1088" s="5" t="str">
        <f t="shared" si="19"/>
        <v>West Virginia-Ali Steenken</v>
      </c>
      <c r="B1088" s="3" t="s">
        <v>88</v>
      </c>
      <c r="C1088" s="3" t="s">
        <v>116</v>
      </c>
      <c r="D1088" s="4">
        <v>32310</v>
      </c>
      <c r="L1088" s="3" t="s">
        <v>71</v>
      </c>
      <c r="M1088" s="3" t="s">
        <v>115</v>
      </c>
      <c r="N1088" s="4">
        <v>158026</v>
      </c>
    </row>
    <row r="1089" spans="1:14" x14ac:dyDescent="0.25">
      <c r="A1089" s="5" t="str">
        <f t="shared" si="19"/>
        <v>Northern Marianas Islands-Marvis Tenholder</v>
      </c>
      <c r="B1089" s="3" t="s">
        <v>72</v>
      </c>
      <c r="C1089" s="3" t="s">
        <v>105</v>
      </c>
      <c r="D1089" s="4">
        <v>162529</v>
      </c>
      <c r="L1089" s="3" t="s">
        <v>71</v>
      </c>
      <c r="M1089" s="3" t="s">
        <v>117</v>
      </c>
      <c r="N1089" s="4">
        <v>154551</v>
      </c>
    </row>
    <row r="1090" spans="1:14" x14ac:dyDescent="0.25">
      <c r="A1090" s="5" t="str">
        <f t="shared" ref="A1090:A1153" si="20">B1090&amp;"-"&amp;C1090</f>
        <v>Virgin Islands-Twanda Lovenduski</v>
      </c>
      <c r="B1090" s="3" t="s">
        <v>86</v>
      </c>
      <c r="C1090" s="3" t="s">
        <v>107</v>
      </c>
      <c r="D1090" s="4">
        <v>34007</v>
      </c>
      <c r="L1090" s="3" t="s">
        <v>71</v>
      </c>
      <c r="M1090" s="3" t="s">
        <v>120</v>
      </c>
      <c r="N1090" s="4">
        <v>32712</v>
      </c>
    </row>
    <row r="1091" spans="1:14" x14ac:dyDescent="0.25">
      <c r="A1091" s="5" t="str">
        <f t="shared" si="20"/>
        <v>Kentucky-Cliff Bahlmann</v>
      </c>
      <c r="B1091" s="3" t="s">
        <v>54</v>
      </c>
      <c r="C1091" s="3" t="s">
        <v>99</v>
      </c>
      <c r="D1091" s="4">
        <v>7054</v>
      </c>
      <c r="L1091" s="3" t="s">
        <v>71</v>
      </c>
      <c r="M1091" s="3" t="s">
        <v>111</v>
      </c>
      <c r="N1091" s="4">
        <v>135246</v>
      </c>
    </row>
    <row r="1092" spans="1:14" x14ac:dyDescent="0.25">
      <c r="A1092" s="5" t="str">
        <f t="shared" si="20"/>
        <v>Wyoming-Fidel Potra</v>
      </c>
      <c r="B1092" s="3" t="s">
        <v>90</v>
      </c>
      <c r="C1092" s="3" t="s">
        <v>115</v>
      </c>
      <c r="D1092" s="4">
        <v>9226</v>
      </c>
      <c r="L1092" s="3" t="s">
        <v>71</v>
      </c>
      <c r="M1092" s="3" t="s">
        <v>102</v>
      </c>
      <c r="N1092" s="4">
        <v>80599</v>
      </c>
    </row>
    <row r="1093" spans="1:14" x14ac:dyDescent="0.25">
      <c r="A1093" s="5" t="str">
        <f t="shared" si="20"/>
        <v>American Samoa-Raphael Bonawitz</v>
      </c>
      <c r="B1093" s="3" t="s">
        <v>37</v>
      </c>
      <c r="C1093" s="3" t="s">
        <v>122</v>
      </c>
      <c r="D1093" s="4">
        <v>72433</v>
      </c>
      <c r="L1093" s="3" t="s">
        <v>71</v>
      </c>
      <c r="M1093" s="3" t="s">
        <v>106</v>
      </c>
      <c r="N1093" s="4">
        <v>31375</v>
      </c>
    </row>
    <row r="1094" spans="1:14" x14ac:dyDescent="0.25">
      <c r="A1094" s="5" t="str">
        <f t="shared" si="20"/>
        <v>Texas-Marlin Mavromatis</v>
      </c>
      <c r="B1094" s="3" t="s">
        <v>82</v>
      </c>
      <c r="C1094" s="3" t="s">
        <v>113</v>
      </c>
      <c r="D1094" s="4">
        <v>99028</v>
      </c>
      <c r="L1094" s="3" t="s">
        <v>71</v>
      </c>
      <c r="M1094" s="3" t="s">
        <v>123</v>
      </c>
      <c r="N1094" s="4">
        <v>80923</v>
      </c>
    </row>
    <row r="1095" spans="1:14" x14ac:dyDescent="0.25">
      <c r="A1095" s="5" t="str">
        <f t="shared" si="20"/>
        <v>Arkansas-Keila Rossini</v>
      </c>
      <c r="B1095" s="3" t="s">
        <v>39</v>
      </c>
      <c r="C1095" s="3" t="s">
        <v>102</v>
      </c>
      <c r="D1095" s="4">
        <v>38926</v>
      </c>
      <c r="L1095" s="3" t="s">
        <v>71</v>
      </c>
      <c r="M1095" s="3" t="s">
        <v>97</v>
      </c>
      <c r="N1095" s="4">
        <v>90066</v>
      </c>
    </row>
    <row r="1096" spans="1:14" x14ac:dyDescent="0.25">
      <c r="A1096" s="5" t="str">
        <f t="shared" si="20"/>
        <v>Washington-Lashon Bongers</v>
      </c>
      <c r="B1096" s="3" t="s">
        <v>87</v>
      </c>
      <c r="C1096" s="3" t="s">
        <v>106</v>
      </c>
      <c r="D1096" s="4">
        <v>69974</v>
      </c>
      <c r="L1096" s="3" t="s">
        <v>71</v>
      </c>
      <c r="M1096" s="3" t="s">
        <v>119</v>
      </c>
      <c r="N1096" s="4">
        <v>134911</v>
      </c>
    </row>
    <row r="1097" spans="1:14" x14ac:dyDescent="0.25">
      <c r="A1097" s="5" t="str">
        <f t="shared" si="20"/>
        <v>Georgia-Thaddeus Cacciatori</v>
      </c>
      <c r="B1097" s="3" t="s">
        <v>46</v>
      </c>
      <c r="C1097" s="3" t="s">
        <v>114</v>
      </c>
      <c r="D1097" s="4">
        <v>8457</v>
      </c>
      <c r="L1097" s="3" t="s">
        <v>71</v>
      </c>
      <c r="M1097" s="3" t="s">
        <v>113</v>
      </c>
      <c r="N1097" s="4">
        <v>116379</v>
      </c>
    </row>
    <row r="1098" spans="1:14" x14ac:dyDescent="0.25">
      <c r="A1098" s="5" t="str">
        <f t="shared" si="20"/>
        <v>Nebraska-Thaddeus Cacciatori</v>
      </c>
      <c r="B1098" s="3" t="s">
        <v>64</v>
      </c>
      <c r="C1098" s="3" t="s">
        <v>114</v>
      </c>
      <c r="D1098" s="4">
        <v>125756</v>
      </c>
      <c r="L1098" s="3" t="s">
        <v>71</v>
      </c>
      <c r="M1098" s="3" t="s">
        <v>105</v>
      </c>
      <c r="N1098" s="4">
        <v>55335</v>
      </c>
    </row>
    <row r="1099" spans="1:14" x14ac:dyDescent="0.25">
      <c r="A1099" s="5" t="str">
        <f t="shared" si="20"/>
        <v>District of Columbia-Keila Rossini</v>
      </c>
      <c r="B1099" s="3" t="s">
        <v>44</v>
      </c>
      <c r="C1099" s="3" t="s">
        <v>102</v>
      </c>
      <c r="D1099" s="4">
        <v>94882</v>
      </c>
      <c r="L1099" s="3" t="s">
        <v>71</v>
      </c>
      <c r="M1099" s="3" t="s">
        <v>104</v>
      </c>
      <c r="N1099" s="4">
        <v>77232</v>
      </c>
    </row>
    <row r="1100" spans="1:14" x14ac:dyDescent="0.25">
      <c r="A1100" s="5" t="str">
        <f t="shared" si="20"/>
        <v>Colorado-Nolan Gohn</v>
      </c>
      <c r="B1100" s="3" t="s">
        <v>41</v>
      </c>
      <c r="C1100" s="3" t="s">
        <v>118</v>
      </c>
      <c r="D1100" s="4">
        <v>47621</v>
      </c>
      <c r="L1100" s="3" t="s">
        <v>71</v>
      </c>
      <c r="M1100" s="3" t="s">
        <v>100</v>
      </c>
      <c r="N1100" s="4">
        <v>12636</v>
      </c>
    </row>
    <row r="1101" spans="1:14" x14ac:dyDescent="0.25">
      <c r="A1101" s="5" t="str">
        <f t="shared" si="20"/>
        <v>Delaware-Raphael Bonawitz</v>
      </c>
      <c r="B1101" s="3" t="s">
        <v>43</v>
      </c>
      <c r="C1101" s="3" t="s">
        <v>122</v>
      </c>
      <c r="D1101" s="4">
        <v>104811</v>
      </c>
      <c r="L1101" s="3" t="s">
        <v>71</v>
      </c>
      <c r="M1101" s="3" t="s">
        <v>118</v>
      </c>
      <c r="N1101" s="4">
        <v>59291</v>
      </c>
    </row>
    <row r="1102" spans="1:14" x14ac:dyDescent="0.25">
      <c r="A1102" s="5" t="str">
        <f t="shared" si="20"/>
        <v>Washington-Thaddeus Notah</v>
      </c>
      <c r="B1102" s="3" t="s">
        <v>87</v>
      </c>
      <c r="C1102" s="3" t="s">
        <v>112</v>
      </c>
      <c r="D1102" s="4">
        <v>76617</v>
      </c>
      <c r="L1102" s="3" t="s">
        <v>71</v>
      </c>
      <c r="M1102" s="3" t="s">
        <v>101</v>
      </c>
      <c r="N1102" s="4">
        <v>93638</v>
      </c>
    </row>
    <row r="1103" spans="1:14" x14ac:dyDescent="0.25">
      <c r="A1103" s="5" t="str">
        <f t="shared" si="20"/>
        <v>Delaware-Toi Zedaker</v>
      </c>
      <c r="B1103" s="3" t="s">
        <v>43</v>
      </c>
      <c r="C1103" s="3" t="s">
        <v>121</v>
      </c>
      <c r="D1103" s="4">
        <v>30108</v>
      </c>
      <c r="L1103" s="3" t="s">
        <v>71</v>
      </c>
      <c r="M1103" s="3" t="s">
        <v>122</v>
      </c>
      <c r="N1103" s="4">
        <v>47662</v>
      </c>
    </row>
    <row r="1104" spans="1:14" x14ac:dyDescent="0.25">
      <c r="A1104" s="5" t="str">
        <f t="shared" si="20"/>
        <v>North Dakota-Lianne Trappey</v>
      </c>
      <c r="B1104" s="3" t="s">
        <v>71</v>
      </c>
      <c r="C1104" s="3" t="s">
        <v>123</v>
      </c>
      <c r="D1104" s="4">
        <v>80923</v>
      </c>
      <c r="L1104" s="3" t="s">
        <v>71</v>
      </c>
      <c r="M1104" s="3" t="s">
        <v>109</v>
      </c>
      <c r="N1104" s="4">
        <v>144568</v>
      </c>
    </row>
    <row r="1105" spans="1:14" x14ac:dyDescent="0.25">
      <c r="A1105" s="5" t="str">
        <f t="shared" si="20"/>
        <v>Kansas-Toi Medico</v>
      </c>
      <c r="B1105" s="3" t="s">
        <v>53</v>
      </c>
      <c r="C1105" s="3" t="s">
        <v>103</v>
      </c>
      <c r="D1105" s="4">
        <v>23885</v>
      </c>
      <c r="L1105" s="3" t="s">
        <v>71</v>
      </c>
      <c r="M1105" s="3" t="s">
        <v>95</v>
      </c>
      <c r="N1105" s="4">
        <v>4585</v>
      </c>
    </row>
    <row r="1106" spans="1:14" x14ac:dyDescent="0.25">
      <c r="A1106" s="5" t="str">
        <f t="shared" si="20"/>
        <v>Oklahoma-Cliff Bahlmann</v>
      </c>
      <c r="B1106" s="3" t="s">
        <v>74</v>
      </c>
      <c r="C1106" s="3" t="s">
        <v>99</v>
      </c>
      <c r="D1106" s="4">
        <v>129345</v>
      </c>
      <c r="L1106" s="3" t="s">
        <v>71</v>
      </c>
      <c r="M1106" s="3" t="s">
        <v>98</v>
      </c>
      <c r="N1106" s="4">
        <v>132863</v>
      </c>
    </row>
    <row r="1107" spans="1:14" x14ac:dyDescent="0.25">
      <c r="A1107" s="5" t="str">
        <f t="shared" si="20"/>
        <v>District of Columbia-Marcel Davern</v>
      </c>
      <c r="B1107" s="3" t="s">
        <v>44</v>
      </c>
      <c r="C1107" s="3" t="s">
        <v>119</v>
      </c>
      <c r="D1107" s="4">
        <v>112647</v>
      </c>
      <c r="L1107" s="3" t="s">
        <v>71</v>
      </c>
      <c r="M1107" s="3" t="s">
        <v>114</v>
      </c>
      <c r="N1107" s="4">
        <v>102068</v>
      </c>
    </row>
    <row r="1108" spans="1:14" x14ac:dyDescent="0.25">
      <c r="A1108" s="5" t="str">
        <f t="shared" si="20"/>
        <v>Utah-Son Shryack</v>
      </c>
      <c r="B1108" s="3" t="s">
        <v>83</v>
      </c>
      <c r="C1108" s="3" t="s">
        <v>98</v>
      </c>
      <c r="D1108" s="4">
        <v>87386</v>
      </c>
      <c r="L1108" s="3" t="s">
        <v>71</v>
      </c>
      <c r="M1108" s="3" t="s">
        <v>112</v>
      </c>
      <c r="N1108" s="4">
        <v>48217</v>
      </c>
    </row>
    <row r="1109" spans="1:14" x14ac:dyDescent="0.25">
      <c r="A1109" s="5" t="str">
        <f t="shared" si="20"/>
        <v>Hawaii-Fidel Potra</v>
      </c>
      <c r="B1109" s="3" t="s">
        <v>48</v>
      </c>
      <c r="C1109" s="3" t="s">
        <v>115</v>
      </c>
      <c r="D1109" s="4">
        <v>91014</v>
      </c>
      <c r="L1109" s="3" t="s">
        <v>71</v>
      </c>
      <c r="M1109" s="3" t="s">
        <v>103</v>
      </c>
      <c r="N1109" s="4">
        <v>124801</v>
      </c>
    </row>
    <row r="1110" spans="1:14" x14ac:dyDescent="0.25">
      <c r="A1110" s="5" t="str">
        <f t="shared" si="20"/>
        <v>Texas-Ali Stupp</v>
      </c>
      <c r="B1110" s="3" t="s">
        <v>82</v>
      </c>
      <c r="C1110" s="3" t="s">
        <v>108</v>
      </c>
      <c r="D1110" s="4">
        <v>27428</v>
      </c>
      <c r="L1110" s="3" t="s">
        <v>71</v>
      </c>
      <c r="M1110" s="3" t="s">
        <v>121</v>
      </c>
      <c r="N1110" s="4">
        <v>65824</v>
      </c>
    </row>
    <row r="1111" spans="1:14" x14ac:dyDescent="0.25">
      <c r="A1111" s="5" t="str">
        <f t="shared" si="20"/>
        <v>Nevada-Lianne Trappey</v>
      </c>
      <c r="B1111" s="3" t="s">
        <v>65</v>
      </c>
      <c r="C1111" s="3" t="s">
        <v>123</v>
      </c>
      <c r="D1111" s="4">
        <v>87161</v>
      </c>
      <c r="L1111" s="3" t="s">
        <v>71</v>
      </c>
      <c r="M1111" s="3" t="s">
        <v>107</v>
      </c>
      <c r="N1111" s="4">
        <v>101613</v>
      </c>
    </row>
    <row r="1112" spans="1:14" x14ac:dyDescent="0.25">
      <c r="A1112" s="5" t="str">
        <f t="shared" si="20"/>
        <v>Florida-Nolan Deorio</v>
      </c>
      <c r="B1112" s="3" t="s">
        <v>45</v>
      </c>
      <c r="C1112" s="3" t="s">
        <v>100</v>
      </c>
      <c r="D1112" s="4">
        <v>73197</v>
      </c>
      <c r="L1112" s="3" t="s">
        <v>72</v>
      </c>
      <c r="M1112" s="3" t="s">
        <v>116</v>
      </c>
      <c r="N1112" s="4">
        <v>78505</v>
      </c>
    </row>
    <row r="1113" spans="1:14" x14ac:dyDescent="0.25">
      <c r="A1113" s="5" t="str">
        <f t="shared" si="20"/>
        <v>Michigan-Ali Steenken</v>
      </c>
      <c r="B1113" s="3" t="s">
        <v>59</v>
      </c>
      <c r="C1113" s="3" t="s">
        <v>116</v>
      </c>
      <c r="D1113" s="4">
        <v>37010</v>
      </c>
      <c r="L1113" s="3" t="s">
        <v>72</v>
      </c>
      <c r="M1113" s="3" t="s">
        <v>108</v>
      </c>
      <c r="N1113" s="4">
        <v>122571</v>
      </c>
    </row>
    <row r="1114" spans="1:14" x14ac:dyDescent="0.25">
      <c r="A1114" s="5" t="str">
        <f t="shared" si="20"/>
        <v>Texas-Nolan Gohn</v>
      </c>
      <c r="B1114" s="3" t="s">
        <v>82</v>
      </c>
      <c r="C1114" s="3" t="s">
        <v>118</v>
      </c>
      <c r="D1114" s="4">
        <v>44517</v>
      </c>
      <c r="L1114" s="3" t="s">
        <v>72</v>
      </c>
      <c r="M1114" s="3" t="s">
        <v>110</v>
      </c>
      <c r="N1114" s="4">
        <v>47915</v>
      </c>
    </row>
    <row r="1115" spans="1:14" x14ac:dyDescent="0.25">
      <c r="A1115" s="5" t="str">
        <f t="shared" si="20"/>
        <v>Minnesota-Twanda Lovenduski</v>
      </c>
      <c r="B1115" s="3" t="s">
        <v>60</v>
      </c>
      <c r="C1115" s="3" t="s">
        <v>107</v>
      </c>
      <c r="D1115" s="4">
        <v>162868</v>
      </c>
      <c r="L1115" s="3" t="s">
        <v>72</v>
      </c>
      <c r="M1115" s="3" t="s">
        <v>99</v>
      </c>
      <c r="N1115" s="4">
        <v>55245</v>
      </c>
    </row>
    <row r="1116" spans="1:14" x14ac:dyDescent="0.25">
      <c r="A1116" s="5" t="str">
        <f t="shared" si="20"/>
        <v>California-Jackson Lorkowski</v>
      </c>
      <c r="B1116" s="3" t="s">
        <v>40</v>
      </c>
      <c r="C1116" s="3" t="s">
        <v>120</v>
      </c>
      <c r="D1116" s="4">
        <v>120436</v>
      </c>
      <c r="L1116" s="3" t="s">
        <v>72</v>
      </c>
      <c r="M1116" s="3" t="s">
        <v>124</v>
      </c>
      <c r="N1116" s="4">
        <v>31407</v>
      </c>
    </row>
    <row r="1117" spans="1:14" x14ac:dyDescent="0.25">
      <c r="A1117" s="5" t="str">
        <f t="shared" si="20"/>
        <v>Ohio-Marlin Mavromatis</v>
      </c>
      <c r="B1117" s="3" t="s">
        <v>73</v>
      </c>
      <c r="C1117" s="3" t="s">
        <v>113</v>
      </c>
      <c r="D1117" s="4">
        <v>159185</v>
      </c>
      <c r="L1117" s="3" t="s">
        <v>72</v>
      </c>
      <c r="M1117" s="3" t="s">
        <v>96</v>
      </c>
      <c r="N1117" s="4">
        <v>112526</v>
      </c>
    </row>
    <row r="1118" spans="1:14" x14ac:dyDescent="0.25">
      <c r="A1118" s="5" t="str">
        <f t="shared" si="20"/>
        <v>Washington-Toi Medico</v>
      </c>
      <c r="B1118" s="3" t="s">
        <v>87</v>
      </c>
      <c r="C1118" s="3" t="s">
        <v>103</v>
      </c>
      <c r="D1118" s="4">
        <v>35046</v>
      </c>
      <c r="L1118" s="3" t="s">
        <v>72</v>
      </c>
      <c r="M1118" s="3" t="s">
        <v>115</v>
      </c>
      <c r="N1118" s="4">
        <v>59637</v>
      </c>
    </row>
    <row r="1119" spans="1:14" x14ac:dyDescent="0.25">
      <c r="A1119" s="5" t="str">
        <f t="shared" si="20"/>
        <v>Iowa-Thaddeus Notah</v>
      </c>
      <c r="B1119" s="3" t="s">
        <v>52</v>
      </c>
      <c r="C1119" s="3" t="s">
        <v>112</v>
      </c>
      <c r="D1119" s="4">
        <v>116590</v>
      </c>
      <c r="L1119" s="3" t="s">
        <v>72</v>
      </c>
      <c r="M1119" s="3" t="s">
        <v>117</v>
      </c>
      <c r="N1119" s="4">
        <v>26968</v>
      </c>
    </row>
    <row r="1120" spans="1:14" x14ac:dyDescent="0.25">
      <c r="A1120" s="5" t="str">
        <f t="shared" si="20"/>
        <v>Alabama-Toi Medico</v>
      </c>
      <c r="B1120" s="3" t="s">
        <v>35</v>
      </c>
      <c r="C1120" s="3" t="s">
        <v>103</v>
      </c>
      <c r="D1120" s="4">
        <v>125590</v>
      </c>
      <c r="L1120" s="3" t="s">
        <v>72</v>
      </c>
      <c r="M1120" s="3" t="s">
        <v>120</v>
      </c>
      <c r="N1120" s="4">
        <v>99556</v>
      </c>
    </row>
    <row r="1121" spans="1:14" x14ac:dyDescent="0.25">
      <c r="A1121" s="5" t="str">
        <f t="shared" si="20"/>
        <v>American Samoa-Keila Rossini</v>
      </c>
      <c r="B1121" s="3" t="s">
        <v>37</v>
      </c>
      <c r="C1121" s="3" t="s">
        <v>102</v>
      </c>
      <c r="D1121" s="4">
        <v>104857</v>
      </c>
      <c r="L1121" s="3" t="s">
        <v>72</v>
      </c>
      <c r="M1121" s="3" t="s">
        <v>111</v>
      </c>
      <c r="N1121" s="4">
        <v>95194</v>
      </c>
    </row>
    <row r="1122" spans="1:14" x14ac:dyDescent="0.25">
      <c r="A1122" s="5" t="str">
        <f t="shared" si="20"/>
        <v>Arizona-Raphael Bonawitz</v>
      </c>
      <c r="B1122" s="3" t="s">
        <v>38</v>
      </c>
      <c r="C1122" s="3" t="s">
        <v>122</v>
      </c>
      <c r="D1122" s="4">
        <v>106142</v>
      </c>
      <c r="L1122" s="3" t="s">
        <v>72</v>
      </c>
      <c r="M1122" s="3" t="s">
        <v>102</v>
      </c>
      <c r="N1122" s="4">
        <v>157675</v>
      </c>
    </row>
    <row r="1123" spans="1:14" x14ac:dyDescent="0.25">
      <c r="A1123" s="5" t="str">
        <f t="shared" si="20"/>
        <v>Utah-Armand Mcleon</v>
      </c>
      <c r="B1123" s="3" t="s">
        <v>83</v>
      </c>
      <c r="C1123" s="3" t="s">
        <v>110</v>
      </c>
      <c r="D1123" s="4">
        <v>42159</v>
      </c>
      <c r="L1123" s="3" t="s">
        <v>72</v>
      </c>
      <c r="M1123" s="3" t="s">
        <v>106</v>
      </c>
      <c r="N1123" s="4">
        <v>150957</v>
      </c>
    </row>
    <row r="1124" spans="1:14" x14ac:dyDescent="0.25">
      <c r="A1124" s="5" t="str">
        <f t="shared" si="20"/>
        <v>Montana-Twanda Lovenduski</v>
      </c>
      <c r="B1124" s="3" t="s">
        <v>63</v>
      </c>
      <c r="C1124" s="3" t="s">
        <v>107</v>
      </c>
      <c r="D1124" s="4">
        <v>21821</v>
      </c>
      <c r="L1124" s="3" t="s">
        <v>72</v>
      </c>
      <c r="M1124" s="3" t="s">
        <v>123</v>
      </c>
      <c r="N1124" s="4">
        <v>172408</v>
      </c>
    </row>
    <row r="1125" spans="1:14" x14ac:dyDescent="0.25">
      <c r="A1125" s="5" t="str">
        <f t="shared" si="20"/>
        <v>Louisiana-Marcel Davern</v>
      </c>
      <c r="B1125" s="3" t="s">
        <v>55</v>
      </c>
      <c r="C1125" s="3" t="s">
        <v>119</v>
      </c>
      <c r="D1125" s="4">
        <v>49451</v>
      </c>
      <c r="L1125" s="3" t="s">
        <v>72</v>
      </c>
      <c r="M1125" s="3" t="s">
        <v>97</v>
      </c>
      <c r="N1125" s="4">
        <v>76358</v>
      </c>
    </row>
    <row r="1126" spans="1:14" x14ac:dyDescent="0.25">
      <c r="A1126" s="5" t="str">
        <f t="shared" si="20"/>
        <v>Iowa-Armand Mcleon</v>
      </c>
      <c r="B1126" s="3" t="s">
        <v>52</v>
      </c>
      <c r="C1126" s="3" t="s">
        <v>110</v>
      </c>
      <c r="D1126" s="4">
        <v>60407</v>
      </c>
      <c r="L1126" s="3" t="s">
        <v>72</v>
      </c>
      <c r="M1126" s="3" t="s">
        <v>119</v>
      </c>
      <c r="N1126" s="4">
        <v>117071</v>
      </c>
    </row>
    <row r="1127" spans="1:14" x14ac:dyDescent="0.25">
      <c r="A1127" s="5" t="str">
        <f t="shared" si="20"/>
        <v>Georgia-Jackson Lorkowski</v>
      </c>
      <c r="B1127" s="3" t="s">
        <v>46</v>
      </c>
      <c r="C1127" s="3" t="s">
        <v>120</v>
      </c>
      <c r="D1127" s="4">
        <v>34326</v>
      </c>
      <c r="L1127" s="3" t="s">
        <v>72</v>
      </c>
      <c r="M1127" s="3" t="s">
        <v>113</v>
      </c>
      <c r="N1127" s="4">
        <v>97838</v>
      </c>
    </row>
    <row r="1128" spans="1:14" x14ac:dyDescent="0.25">
      <c r="A1128" s="5" t="str">
        <f t="shared" si="20"/>
        <v>Alaska-Raphael Derrig</v>
      </c>
      <c r="B1128" s="3" t="s">
        <v>36</v>
      </c>
      <c r="C1128" s="3" t="s">
        <v>109</v>
      </c>
      <c r="D1128" s="4">
        <v>120280</v>
      </c>
      <c r="L1128" s="3" t="s">
        <v>72</v>
      </c>
      <c r="M1128" s="3" t="s">
        <v>105</v>
      </c>
      <c r="N1128" s="4">
        <v>162529</v>
      </c>
    </row>
    <row r="1129" spans="1:14" x14ac:dyDescent="0.25">
      <c r="A1129" s="5" t="str">
        <f t="shared" si="20"/>
        <v>Kansas-Armand Mcleon</v>
      </c>
      <c r="B1129" s="3" t="s">
        <v>53</v>
      </c>
      <c r="C1129" s="3" t="s">
        <v>110</v>
      </c>
      <c r="D1129" s="4">
        <v>47974</v>
      </c>
      <c r="L1129" s="3" t="s">
        <v>72</v>
      </c>
      <c r="M1129" s="3" t="s">
        <v>104</v>
      </c>
      <c r="N1129" s="4">
        <v>16413</v>
      </c>
    </row>
    <row r="1130" spans="1:14" x14ac:dyDescent="0.25">
      <c r="A1130" s="5" t="str">
        <f t="shared" si="20"/>
        <v>Maine-Moises Paynes</v>
      </c>
      <c r="B1130" s="3" t="s">
        <v>56</v>
      </c>
      <c r="C1130" s="3" t="s">
        <v>104</v>
      </c>
      <c r="D1130" s="4">
        <v>70502</v>
      </c>
      <c r="L1130" s="3" t="s">
        <v>72</v>
      </c>
      <c r="M1130" s="3" t="s">
        <v>100</v>
      </c>
      <c r="N1130" s="4">
        <v>54010</v>
      </c>
    </row>
    <row r="1131" spans="1:14" x14ac:dyDescent="0.25">
      <c r="A1131" s="5" t="str">
        <f t="shared" si="20"/>
        <v>Wyoming-Lianne Trappey</v>
      </c>
      <c r="B1131" s="3" t="s">
        <v>90</v>
      </c>
      <c r="C1131" s="3" t="s">
        <v>123</v>
      </c>
      <c r="D1131" s="4">
        <v>50023</v>
      </c>
      <c r="L1131" s="3" t="s">
        <v>72</v>
      </c>
      <c r="M1131" s="3" t="s">
        <v>118</v>
      </c>
      <c r="N1131" s="4">
        <v>123184</v>
      </c>
    </row>
    <row r="1132" spans="1:14" x14ac:dyDescent="0.25">
      <c r="A1132" s="5" t="str">
        <f t="shared" si="20"/>
        <v>Washington-Raphael Bonawitz</v>
      </c>
      <c r="B1132" s="3" t="s">
        <v>87</v>
      </c>
      <c r="C1132" s="3" t="s">
        <v>122</v>
      </c>
      <c r="D1132" s="4">
        <v>12639</v>
      </c>
      <c r="L1132" s="3" t="s">
        <v>72</v>
      </c>
      <c r="M1132" s="3" t="s">
        <v>101</v>
      </c>
      <c r="N1132" s="4">
        <v>122374</v>
      </c>
    </row>
    <row r="1133" spans="1:14" x14ac:dyDescent="0.25">
      <c r="A1133" s="5" t="str">
        <f t="shared" si="20"/>
        <v>Georgia-Ali Steenken</v>
      </c>
      <c r="B1133" s="3" t="s">
        <v>46</v>
      </c>
      <c r="C1133" s="3" t="s">
        <v>116</v>
      </c>
      <c r="D1133" s="4">
        <v>116524</v>
      </c>
      <c r="L1133" s="3" t="s">
        <v>72</v>
      </c>
      <c r="M1133" s="3" t="s">
        <v>122</v>
      </c>
      <c r="N1133" s="4">
        <v>23051</v>
      </c>
    </row>
    <row r="1134" spans="1:14" x14ac:dyDescent="0.25">
      <c r="A1134" s="5" t="str">
        <f t="shared" si="20"/>
        <v>Arkansas-Thaddeus Cacciatori</v>
      </c>
      <c r="B1134" s="3" t="s">
        <v>39</v>
      </c>
      <c r="C1134" s="3" t="s">
        <v>114</v>
      </c>
      <c r="D1134" s="4">
        <v>60102</v>
      </c>
      <c r="L1134" s="3" t="s">
        <v>72</v>
      </c>
      <c r="M1134" s="3" t="s">
        <v>109</v>
      </c>
      <c r="N1134" s="4">
        <v>23198</v>
      </c>
    </row>
    <row r="1135" spans="1:14" x14ac:dyDescent="0.25">
      <c r="A1135" s="5" t="str">
        <f t="shared" si="20"/>
        <v>West Virginia-Raphael Bonawitz</v>
      </c>
      <c r="B1135" s="3" t="s">
        <v>88</v>
      </c>
      <c r="C1135" s="3" t="s">
        <v>122</v>
      </c>
      <c r="D1135" s="4">
        <v>23293</v>
      </c>
      <c r="L1135" s="3" t="s">
        <v>72</v>
      </c>
      <c r="M1135" s="3" t="s">
        <v>95</v>
      </c>
      <c r="N1135" s="4">
        <v>111417</v>
      </c>
    </row>
    <row r="1136" spans="1:14" x14ac:dyDescent="0.25">
      <c r="A1136" s="5" t="str">
        <f t="shared" si="20"/>
        <v>New Hampshire-Raphael Derrig</v>
      </c>
      <c r="B1136" s="3" t="s">
        <v>66</v>
      </c>
      <c r="C1136" s="3" t="s">
        <v>109</v>
      </c>
      <c r="D1136" s="4">
        <v>59112</v>
      </c>
      <c r="L1136" s="3" t="s">
        <v>72</v>
      </c>
      <c r="M1136" s="3" t="s">
        <v>98</v>
      </c>
      <c r="N1136" s="4">
        <v>124148</v>
      </c>
    </row>
    <row r="1137" spans="1:14" x14ac:dyDescent="0.25">
      <c r="A1137" s="5" t="str">
        <f t="shared" si="20"/>
        <v>Maine-Cliff Galinski</v>
      </c>
      <c r="B1137" s="3" t="s">
        <v>56</v>
      </c>
      <c r="C1137" s="3" t="s">
        <v>124</v>
      </c>
      <c r="D1137" s="4">
        <v>67712</v>
      </c>
      <c r="L1137" s="3" t="s">
        <v>72</v>
      </c>
      <c r="M1137" s="3" t="s">
        <v>114</v>
      </c>
      <c r="N1137" s="4">
        <v>118500</v>
      </c>
    </row>
    <row r="1138" spans="1:14" x14ac:dyDescent="0.25">
      <c r="A1138" s="5" t="str">
        <f t="shared" si="20"/>
        <v>Guam-Cliff Galinski</v>
      </c>
      <c r="B1138" s="3" t="s">
        <v>47</v>
      </c>
      <c r="C1138" s="3" t="s">
        <v>124</v>
      </c>
      <c r="D1138" s="4">
        <v>100241</v>
      </c>
      <c r="L1138" s="3" t="s">
        <v>72</v>
      </c>
      <c r="M1138" s="3" t="s">
        <v>112</v>
      </c>
      <c r="N1138" s="4">
        <v>49189</v>
      </c>
    </row>
    <row r="1139" spans="1:14" x14ac:dyDescent="0.25">
      <c r="A1139" s="5" t="str">
        <f t="shared" si="20"/>
        <v>Indiana-Nolan Gohn</v>
      </c>
      <c r="B1139" s="3" t="s">
        <v>51</v>
      </c>
      <c r="C1139" s="3" t="s">
        <v>118</v>
      </c>
      <c r="D1139" s="4">
        <v>47718</v>
      </c>
      <c r="L1139" s="3" t="s">
        <v>72</v>
      </c>
      <c r="M1139" s="3" t="s">
        <v>103</v>
      </c>
      <c r="N1139" s="4">
        <v>167276</v>
      </c>
    </row>
    <row r="1140" spans="1:14" x14ac:dyDescent="0.25">
      <c r="A1140" s="5" t="str">
        <f t="shared" si="20"/>
        <v>Alabama-Fidel Potra</v>
      </c>
      <c r="B1140" s="3" t="s">
        <v>35</v>
      </c>
      <c r="C1140" s="3" t="s">
        <v>115</v>
      </c>
      <c r="D1140" s="4">
        <v>70738</v>
      </c>
      <c r="L1140" s="3" t="s">
        <v>72</v>
      </c>
      <c r="M1140" s="3" t="s">
        <v>121</v>
      </c>
      <c r="N1140" s="4">
        <v>76543</v>
      </c>
    </row>
    <row r="1141" spans="1:14" x14ac:dyDescent="0.25">
      <c r="A1141" s="5" t="str">
        <f t="shared" si="20"/>
        <v>Indiana-Thaddeus Cacciatori</v>
      </c>
      <c r="B1141" s="3" t="s">
        <v>51</v>
      </c>
      <c r="C1141" s="3" t="s">
        <v>114</v>
      </c>
      <c r="D1141" s="4">
        <v>100854</v>
      </c>
      <c r="L1141" s="3" t="s">
        <v>72</v>
      </c>
      <c r="M1141" s="3" t="s">
        <v>107</v>
      </c>
      <c r="N1141" s="4">
        <v>151441</v>
      </c>
    </row>
    <row r="1142" spans="1:14" x14ac:dyDescent="0.25">
      <c r="A1142" s="5" t="str">
        <f t="shared" si="20"/>
        <v>Florida-Raphael Bonawitz</v>
      </c>
      <c r="B1142" s="3" t="s">
        <v>45</v>
      </c>
      <c r="C1142" s="3" t="s">
        <v>122</v>
      </c>
      <c r="D1142" s="4">
        <v>30364</v>
      </c>
      <c r="L1142" s="3" t="s">
        <v>73</v>
      </c>
      <c r="M1142" s="3" t="s">
        <v>116</v>
      </c>
      <c r="N1142" s="4">
        <v>172702</v>
      </c>
    </row>
    <row r="1143" spans="1:14" x14ac:dyDescent="0.25">
      <c r="A1143" s="5" t="str">
        <f t="shared" si="20"/>
        <v>Michigan-Ali Stupp</v>
      </c>
      <c r="B1143" s="3" t="s">
        <v>59</v>
      </c>
      <c r="C1143" s="3" t="s">
        <v>108</v>
      </c>
      <c r="D1143" s="4">
        <v>158298</v>
      </c>
      <c r="L1143" s="3" t="s">
        <v>73</v>
      </c>
      <c r="M1143" s="3" t="s">
        <v>108</v>
      </c>
      <c r="N1143" s="4">
        <v>135258</v>
      </c>
    </row>
    <row r="1144" spans="1:14" x14ac:dyDescent="0.25">
      <c r="A1144" s="5" t="str">
        <f t="shared" si="20"/>
        <v>Minnesota-Fidel Potra</v>
      </c>
      <c r="B1144" s="3" t="s">
        <v>60</v>
      </c>
      <c r="C1144" s="3" t="s">
        <v>115</v>
      </c>
      <c r="D1144" s="4">
        <v>43955</v>
      </c>
      <c r="L1144" s="3" t="s">
        <v>73</v>
      </c>
      <c r="M1144" s="3" t="s">
        <v>110</v>
      </c>
      <c r="N1144" s="4">
        <v>124808</v>
      </c>
    </row>
    <row r="1145" spans="1:14" x14ac:dyDescent="0.25">
      <c r="A1145" s="5" t="str">
        <f t="shared" si="20"/>
        <v>California-Thaddeus Cacciatori</v>
      </c>
      <c r="B1145" s="3" t="s">
        <v>40</v>
      </c>
      <c r="C1145" s="3" t="s">
        <v>114</v>
      </c>
      <c r="D1145" s="4">
        <v>102645</v>
      </c>
      <c r="L1145" s="3" t="s">
        <v>73</v>
      </c>
      <c r="M1145" s="3" t="s">
        <v>99</v>
      </c>
      <c r="N1145" s="4">
        <v>13866</v>
      </c>
    </row>
    <row r="1146" spans="1:14" x14ac:dyDescent="0.25">
      <c r="A1146" s="5" t="str">
        <f t="shared" si="20"/>
        <v>Ohio-Thaddeus Cacciatori</v>
      </c>
      <c r="B1146" s="3" t="s">
        <v>73</v>
      </c>
      <c r="C1146" s="3" t="s">
        <v>114</v>
      </c>
      <c r="D1146" s="4">
        <v>132343</v>
      </c>
      <c r="L1146" s="3" t="s">
        <v>73</v>
      </c>
      <c r="M1146" s="3" t="s">
        <v>124</v>
      </c>
      <c r="N1146" s="4">
        <v>172772</v>
      </c>
    </row>
    <row r="1147" spans="1:14" x14ac:dyDescent="0.25">
      <c r="A1147" s="5" t="str">
        <f t="shared" si="20"/>
        <v>Washington-Kai Stroebel</v>
      </c>
      <c r="B1147" s="3" t="s">
        <v>87</v>
      </c>
      <c r="C1147" s="3" t="s">
        <v>111</v>
      </c>
      <c r="D1147" s="4">
        <v>106033</v>
      </c>
      <c r="L1147" s="3" t="s">
        <v>73</v>
      </c>
      <c r="M1147" s="3" t="s">
        <v>96</v>
      </c>
      <c r="N1147" s="4">
        <v>135815</v>
      </c>
    </row>
    <row r="1148" spans="1:14" x14ac:dyDescent="0.25">
      <c r="A1148" s="5" t="str">
        <f t="shared" si="20"/>
        <v>Tennessee-Kai Stroebel</v>
      </c>
      <c r="B1148" s="3" t="s">
        <v>81</v>
      </c>
      <c r="C1148" s="3" t="s">
        <v>111</v>
      </c>
      <c r="D1148" s="4">
        <v>24465</v>
      </c>
      <c r="L1148" s="3" t="s">
        <v>73</v>
      </c>
      <c r="M1148" s="3" t="s">
        <v>115</v>
      </c>
      <c r="N1148" s="4">
        <v>8251</v>
      </c>
    </row>
    <row r="1149" spans="1:14" x14ac:dyDescent="0.25">
      <c r="A1149" s="5" t="str">
        <f t="shared" si="20"/>
        <v>Northern Marianas Islands-Lucilla Bilecki</v>
      </c>
      <c r="B1149" s="3" t="s">
        <v>72</v>
      </c>
      <c r="C1149" s="3" t="s">
        <v>97</v>
      </c>
      <c r="D1149" s="4">
        <v>76358</v>
      </c>
      <c r="L1149" s="3" t="s">
        <v>73</v>
      </c>
      <c r="M1149" s="3" t="s">
        <v>117</v>
      </c>
      <c r="N1149" s="4">
        <v>31704</v>
      </c>
    </row>
    <row r="1150" spans="1:14" x14ac:dyDescent="0.25">
      <c r="A1150" s="5" t="str">
        <f t="shared" si="20"/>
        <v>Virginia-Marlin Mavromatis</v>
      </c>
      <c r="B1150" s="3" t="s">
        <v>85</v>
      </c>
      <c r="C1150" s="3" t="s">
        <v>113</v>
      </c>
      <c r="D1150" s="4">
        <v>56895</v>
      </c>
      <c r="L1150" s="3" t="s">
        <v>73</v>
      </c>
      <c r="M1150" s="3" t="s">
        <v>120</v>
      </c>
      <c r="N1150" s="4">
        <v>47526</v>
      </c>
    </row>
    <row r="1151" spans="1:14" x14ac:dyDescent="0.25">
      <c r="A1151" s="5" t="str">
        <f t="shared" si="20"/>
        <v>Alabama-Thaddeus Cacciatori</v>
      </c>
      <c r="B1151" s="3" t="s">
        <v>35</v>
      </c>
      <c r="C1151" s="3" t="s">
        <v>114</v>
      </c>
      <c r="D1151" s="4">
        <v>63398</v>
      </c>
      <c r="L1151" s="3" t="s">
        <v>73</v>
      </c>
      <c r="M1151" s="3" t="s">
        <v>111</v>
      </c>
      <c r="N1151" s="4">
        <v>151884</v>
      </c>
    </row>
    <row r="1152" spans="1:14" x14ac:dyDescent="0.25">
      <c r="A1152" s="5" t="str">
        <f t="shared" si="20"/>
        <v>Idaho-Ali Steenken</v>
      </c>
      <c r="B1152" s="3" t="s">
        <v>49</v>
      </c>
      <c r="C1152" s="3" t="s">
        <v>116</v>
      </c>
      <c r="D1152" s="4">
        <v>94770</v>
      </c>
      <c r="L1152" s="3" t="s">
        <v>73</v>
      </c>
      <c r="M1152" s="3" t="s">
        <v>102</v>
      </c>
      <c r="N1152" s="4">
        <v>17014</v>
      </c>
    </row>
    <row r="1153" spans="1:14" x14ac:dyDescent="0.25">
      <c r="A1153" s="5" t="str">
        <f t="shared" si="20"/>
        <v>Oregon-Lucilla Bilecki</v>
      </c>
      <c r="B1153" s="3" t="s">
        <v>75</v>
      </c>
      <c r="C1153" s="3" t="s">
        <v>97</v>
      </c>
      <c r="D1153" s="4">
        <v>10490</v>
      </c>
      <c r="L1153" s="3" t="s">
        <v>73</v>
      </c>
      <c r="M1153" s="3" t="s">
        <v>106</v>
      </c>
      <c r="N1153" s="4">
        <v>113616</v>
      </c>
    </row>
    <row r="1154" spans="1:14" x14ac:dyDescent="0.25">
      <c r="A1154" s="5" t="str">
        <f t="shared" ref="A1154:A1217" si="21">B1154&amp;"-"&amp;C1154</f>
        <v>California-Moises Paynes</v>
      </c>
      <c r="B1154" s="3" t="s">
        <v>40</v>
      </c>
      <c r="C1154" s="3" t="s">
        <v>104</v>
      </c>
      <c r="D1154" s="4">
        <v>125943</v>
      </c>
      <c r="L1154" s="3" t="s">
        <v>73</v>
      </c>
      <c r="M1154" s="3" t="s">
        <v>123</v>
      </c>
      <c r="N1154" s="4">
        <v>133077</v>
      </c>
    </row>
    <row r="1155" spans="1:14" x14ac:dyDescent="0.25">
      <c r="A1155" s="5" t="str">
        <f t="shared" si="21"/>
        <v>Connecticut-Ali Steenken</v>
      </c>
      <c r="B1155" s="3" t="s">
        <v>42</v>
      </c>
      <c r="C1155" s="3" t="s">
        <v>116</v>
      </c>
      <c r="D1155" s="4">
        <v>98469</v>
      </c>
      <c r="L1155" s="3" t="s">
        <v>73</v>
      </c>
      <c r="M1155" s="3" t="s">
        <v>97</v>
      </c>
      <c r="N1155" s="4">
        <v>133580</v>
      </c>
    </row>
    <row r="1156" spans="1:14" x14ac:dyDescent="0.25">
      <c r="A1156" s="5" t="str">
        <f t="shared" si="21"/>
        <v>District of Columbia-Ali Stupp</v>
      </c>
      <c r="B1156" s="3" t="s">
        <v>44</v>
      </c>
      <c r="C1156" s="3" t="s">
        <v>108</v>
      </c>
      <c r="D1156" s="4">
        <v>9884</v>
      </c>
      <c r="L1156" s="3" t="s">
        <v>73</v>
      </c>
      <c r="M1156" s="3" t="s">
        <v>119</v>
      </c>
      <c r="N1156" s="4">
        <v>141465</v>
      </c>
    </row>
    <row r="1157" spans="1:14" x14ac:dyDescent="0.25">
      <c r="A1157" s="5" t="str">
        <f t="shared" si="21"/>
        <v>Wisconsin-Quinton Modugno</v>
      </c>
      <c r="B1157" s="3" t="s">
        <v>89</v>
      </c>
      <c r="C1157" s="3" t="s">
        <v>101</v>
      </c>
      <c r="D1157" s="4">
        <v>82447</v>
      </c>
      <c r="L1157" s="3" t="s">
        <v>73</v>
      </c>
      <c r="M1157" s="3" t="s">
        <v>113</v>
      </c>
      <c r="N1157" s="4">
        <v>159185</v>
      </c>
    </row>
    <row r="1158" spans="1:14" x14ac:dyDescent="0.25">
      <c r="A1158" s="5" t="str">
        <f t="shared" si="21"/>
        <v>Kentucky-Cliff Galinski</v>
      </c>
      <c r="B1158" s="3" t="s">
        <v>54</v>
      </c>
      <c r="C1158" s="3" t="s">
        <v>124</v>
      </c>
      <c r="D1158" s="4">
        <v>10390</v>
      </c>
      <c r="L1158" s="3" t="s">
        <v>73</v>
      </c>
      <c r="M1158" s="3" t="s">
        <v>105</v>
      </c>
      <c r="N1158" s="4">
        <v>61268</v>
      </c>
    </row>
    <row r="1159" spans="1:14" x14ac:dyDescent="0.25">
      <c r="A1159" s="5" t="str">
        <f t="shared" si="21"/>
        <v>Maryland-Marlin Mavromatis</v>
      </c>
      <c r="B1159" s="3" t="s">
        <v>57</v>
      </c>
      <c r="C1159" s="3" t="s">
        <v>113</v>
      </c>
      <c r="D1159" s="4">
        <v>100255</v>
      </c>
      <c r="L1159" s="3" t="s">
        <v>73</v>
      </c>
      <c r="M1159" s="3" t="s">
        <v>104</v>
      </c>
      <c r="N1159" s="4">
        <v>51921</v>
      </c>
    </row>
    <row r="1160" spans="1:14" x14ac:dyDescent="0.25">
      <c r="A1160" s="5" t="str">
        <f t="shared" si="21"/>
        <v>Alabama-Son Shryack</v>
      </c>
      <c r="B1160" s="3" t="s">
        <v>35</v>
      </c>
      <c r="C1160" s="3" t="s">
        <v>98</v>
      </c>
      <c r="D1160" s="4">
        <v>68670</v>
      </c>
      <c r="L1160" s="3" t="s">
        <v>73</v>
      </c>
      <c r="M1160" s="3" t="s">
        <v>100</v>
      </c>
      <c r="N1160" s="4">
        <v>76256</v>
      </c>
    </row>
    <row r="1161" spans="1:14" x14ac:dyDescent="0.25">
      <c r="A1161" s="5" t="str">
        <f t="shared" si="21"/>
        <v>Florida-Jackson Lorkowski</v>
      </c>
      <c r="B1161" s="3" t="s">
        <v>45</v>
      </c>
      <c r="C1161" s="3" t="s">
        <v>120</v>
      </c>
      <c r="D1161" s="4">
        <v>4511</v>
      </c>
      <c r="L1161" s="3" t="s">
        <v>73</v>
      </c>
      <c r="M1161" s="3" t="s">
        <v>118</v>
      </c>
      <c r="N1161" s="4">
        <v>25264</v>
      </c>
    </row>
    <row r="1162" spans="1:14" x14ac:dyDescent="0.25">
      <c r="A1162" s="5" t="str">
        <f t="shared" si="21"/>
        <v>North Dakota-Cliff Bahlmann</v>
      </c>
      <c r="B1162" s="3" t="s">
        <v>71</v>
      </c>
      <c r="C1162" s="3" t="s">
        <v>99</v>
      </c>
      <c r="D1162" s="4">
        <v>42889</v>
      </c>
      <c r="L1162" s="3" t="s">
        <v>73</v>
      </c>
      <c r="M1162" s="3" t="s">
        <v>101</v>
      </c>
      <c r="N1162" s="4">
        <v>68462</v>
      </c>
    </row>
    <row r="1163" spans="1:14" x14ac:dyDescent="0.25">
      <c r="A1163" s="5" t="str">
        <f t="shared" si="21"/>
        <v>Washington-Sadye Diloreto</v>
      </c>
      <c r="B1163" s="3" t="s">
        <v>87</v>
      </c>
      <c r="C1163" s="3" t="s">
        <v>95</v>
      </c>
      <c r="D1163" s="4">
        <v>85155</v>
      </c>
      <c r="L1163" s="3" t="s">
        <v>73</v>
      </c>
      <c r="M1163" s="3" t="s">
        <v>122</v>
      </c>
      <c r="N1163" s="4">
        <v>163838</v>
      </c>
    </row>
    <row r="1164" spans="1:14" x14ac:dyDescent="0.25">
      <c r="A1164" s="5" t="str">
        <f t="shared" si="21"/>
        <v>Kansas-Cliff Galinski</v>
      </c>
      <c r="B1164" s="3" t="s">
        <v>53</v>
      </c>
      <c r="C1164" s="3" t="s">
        <v>124</v>
      </c>
      <c r="D1164" s="4">
        <v>12047</v>
      </c>
      <c r="L1164" s="3" t="s">
        <v>73</v>
      </c>
      <c r="M1164" s="3" t="s">
        <v>109</v>
      </c>
      <c r="N1164" s="4">
        <v>102201</v>
      </c>
    </row>
    <row r="1165" spans="1:14" x14ac:dyDescent="0.25">
      <c r="A1165" s="5" t="str">
        <f t="shared" si="21"/>
        <v>Ohio-Nolan Deorio</v>
      </c>
      <c r="B1165" s="3" t="s">
        <v>73</v>
      </c>
      <c r="C1165" s="3" t="s">
        <v>100</v>
      </c>
      <c r="D1165" s="4">
        <v>76256</v>
      </c>
      <c r="L1165" s="3" t="s">
        <v>73</v>
      </c>
      <c r="M1165" s="3" t="s">
        <v>95</v>
      </c>
      <c r="N1165" s="4">
        <v>109363</v>
      </c>
    </row>
    <row r="1166" spans="1:14" x14ac:dyDescent="0.25">
      <c r="A1166" s="5" t="str">
        <f t="shared" si="21"/>
        <v>Kansas-Thaddeus Notah</v>
      </c>
      <c r="B1166" s="3" t="s">
        <v>53</v>
      </c>
      <c r="C1166" s="3" t="s">
        <v>112</v>
      </c>
      <c r="D1166" s="4">
        <v>171332</v>
      </c>
      <c r="L1166" s="3" t="s">
        <v>73</v>
      </c>
      <c r="M1166" s="3" t="s">
        <v>98</v>
      </c>
      <c r="N1166" s="4">
        <v>98810</v>
      </c>
    </row>
    <row r="1167" spans="1:14" x14ac:dyDescent="0.25">
      <c r="A1167" s="5" t="str">
        <f t="shared" si="21"/>
        <v>Connecticut-Raphael Derrig</v>
      </c>
      <c r="B1167" s="3" t="s">
        <v>42</v>
      </c>
      <c r="C1167" s="3" t="s">
        <v>109</v>
      </c>
      <c r="D1167" s="4">
        <v>153860</v>
      </c>
      <c r="L1167" s="3" t="s">
        <v>73</v>
      </c>
      <c r="M1167" s="3" t="s">
        <v>114</v>
      </c>
      <c r="N1167" s="4">
        <v>132343</v>
      </c>
    </row>
    <row r="1168" spans="1:14" x14ac:dyDescent="0.25">
      <c r="A1168" s="5" t="str">
        <f t="shared" si="21"/>
        <v>Minnesota-Moises Paynes</v>
      </c>
      <c r="B1168" s="3" t="s">
        <v>60</v>
      </c>
      <c r="C1168" s="3" t="s">
        <v>104</v>
      </c>
      <c r="D1168" s="4">
        <v>129377</v>
      </c>
      <c r="L1168" s="3" t="s">
        <v>73</v>
      </c>
      <c r="M1168" s="3" t="s">
        <v>112</v>
      </c>
      <c r="N1168" s="4">
        <v>107745</v>
      </c>
    </row>
    <row r="1169" spans="1:14" x14ac:dyDescent="0.25">
      <c r="A1169" s="5" t="str">
        <f t="shared" si="21"/>
        <v>Massachusetts-Ali Stupp</v>
      </c>
      <c r="B1169" s="3" t="s">
        <v>58</v>
      </c>
      <c r="C1169" s="3" t="s">
        <v>108</v>
      </c>
      <c r="D1169" s="4">
        <v>21817</v>
      </c>
      <c r="L1169" s="3" t="s">
        <v>73</v>
      </c>
      <c r="M1169" s="3" t="s">
        <v>103</v>
      </c>
      <c r="N1169" s="4">
        <v>26739</v>
      </c>
    </row>
    <row r="1170" spans="1:14" x14ac:dyDescent="0.25">
      <c r="A1170" s="5" t="str">
        <f t="shared" si="21"/>
        <v>Northern Marianas Islands-Cliff Schnautz</v>
      </c>
      <c r="B1170" s="3" t="s">
        <v>72</v>
      </c>
      <c r="C1170" s="3" t="s">
        <v>96</v>
      </c>
      <c r="D1170" s="4">
        <v>112526</v>
      </c>
      <c r="L1170" s="3" t="s">
        <v>73</v>
      </c>
      <c r="M1170" s="3" t="s">
        <v>121</v>
      </c>
      <c r="N1170" s="4">
        <v>143958</v>
      </c>
    </row>
    <row r="1171" spans="1:14" x14ac:dyDescent="0.25">
      <c r="A1171" s="5" t="str">
        <f t="shared" si="21"/>
        <v>Montana-Nolan Gohn</v>
      </c>
      <c r="B1171" s="3" t="s">
        <v>63</v>
      </c>
      <c r="C1171" s="3" t="s">
        <v>118</v>
      </c>
      <c r="D1171" s="4">
        <v>90953</v>
      </c>
      <c r="L1171" s="3" t="s">
        <v>73</v>
      </c>
      <c r="M1171" s="3" t="s">
        <v>107</v>
      </c>
      <c r="N1171" s="4">
        <v>49302</v>
      </c>
    </row>
    <row r="1172" spans="1:14" x14ac:dyDescent="0.25">
      <c r="A1172" s="5" t="str">
        <f t="shared" si="21"/>
        <v>West Virginia-Quinton Modugno</v>
      </c>
      <c r="B1172" s="3" t="s">
        <v>88</v>
      </c>
      <c r="C1172" s="3" t="s">
        <v>101</v>
      </c>
      <c r="D1172" s="4">
        <v>154406</v>
      </c>
      <c r="L1172" s="3" t="s">
        <v>74</v>
      </c>
      <c r="M1172" s="3" t="s">
        <v>116</v>
      </c>
      <c r="N1172" s="4">
        <v>43284</v>
      </c>
    </row>
    <row r="1173" spans="1:14" x14ac:dyDescent="0.25">
      <c r="A1173" s="5" t="str">
        <f t="shared" si="21"/>
        <v>Louisiana-Sadye Diloreto</v>
      </c>
      <c r="B1173" s="3" t="s">
        <v>55</v>
      </c>
      <c r="C1173" s="3" t="s">
        <v>95</v>
      </c>
      <c r="D1173" s="4">
        <v>4466</v>
      </c>
      <c r="L1173" s="3" t="s">
        <v>74</v>
      </c>
      <c r="M1173" s="3" t="s">
        <v>108</v>
      </c>
      <c r="N1173" s="4">
        <v>11347</v>
      </c>
    </row>
    <row r="1174" spans="1:14" x14ac:dyDescent="0.25">
      <c r="A1174" s="5" t="str">
        <f t="shared" si="21"/>
        <v>Florida-Raphael Derrig</v>
      </c>
      <c r="B1174" s="3" t="s">
        <v>45</v>
      </c>
      <c r="C1174" s="3" t="s">
        <v>109</v>
      </c>
      <c r="D1174" s="4">
        <v>97463</v>
      </c>
      <c r="L1174" s="3" t="s">
        <v>74</v>
      </c>
      <c r="M1174" s="3" t="s">
        <v>110</v>
      </c>
      <c r="N1174" s="4">
        <v>123432</v>
      </c>
    </row>
    <row r="1175" spans="1:14" x14ac:dyDescent="0.25">
      <c r="A1175" s="5" t="str">
        <f t="shared" si="21"/>
        <v>Tennessee-Lashon Bongers</v>
      </c>
      <c r="B1175" s="3" t="s">
        <v>81</v>
      </c>
      <c r="C1175" s="3" t="s">
        <v>106</v>
      </c>
      <c r="D1175" s="4">
        <v>94036</v>
      </c>
      <c r="L1175" s="3" t="s">
        <v>74</v>
      </c>
      <c r="M1175" s="3" t="s">
        <v>99</v>
      </c>
      <c r="N1175" s="4">
        <v>129345</v>
      </c>
    </row>
    <row r="1176" spans="1:14" x14ac:dyDescent="0.25">
      <c r="A1176" s="5" t="str">
        <f t="shared" si="21"/>
        <v>Missouri-Cliff Bahlmann</v>
      </c>
      <c r="B1176" s="3" t="s">
        <v>62</v>
      </c>
      <c r="C1176" s="3" t="s">
        <v>99</v>
      </c>
      <c r="D1176" s="4">
        <v>91849</v>
      </c>
      <c r="L1176" s="3" t="s">
        <v>74</v>
      </c>
      <c r="M1176" s="3" t="s">
        <v>124</v>
      </c>
      <c r="N1176" s="4">
        <v>96765</v>
      </c>
    </row>
    <row r="1177" spans="1:14" x14ac:dyDescent="0.25">
      <c r="A1177" s="5" t="str">
        <f t="shared" si="21"/>
        <v>Maine-Genna Zaller</v>
      </c>
      <c r="B1177" s="3" t="s">
        <v>56</v>
      </c>
      <c r="C1177" s="3" t="s">
        <v>117</v>
      </c>
      <c r="D1177" s="4">
        <v>26787</v>
      </c>
      <c r="L1177" s="3" t="s">
        <v>74</v>
      </c>
      <c r="M1177" s="3" t="s">
        <v>96</v>
      </c>
      <c r="N1177" s="4">
        <v>99154</v>
      </c>
    </row>
    <row r="1178" spans="1:14" x14ac:dyDescent="0.25">
      <c r="A1178" s="5" t="str">
        <f t="shared" si="21"/>
        <v>Utah-Toi Zedaker</v>
      </c>
      <c r="B1178" s="3" t="s">
        <v>83</v>
      </c>
      <c r="C1178" s="3" t="s">
        <v>121</v>
      </c>
      <c r="D1178" s="4">
        <v>125912</v>
      </c>
      <c r="L1178" s="3" t="s">
        <v>74</v>
      </c>
      <c r="M1178" s="3" t="s">
        <v>115</v>
      </c>
      <c r="N1178" s="4">
        <v>120804</v>
      </c>
    </row>
    <row r="1179" spans="1:14" x14ac:dyDescent="0.25">
      <c r="A1179" s="5" t="str">
        <f t="shared" si="21"/>
        <v>Ohio-Quinton Modugno</v>
      </c>
      <c r="B1179" s="3" t="s">
        <v>73</v>
      </c>
      <c r="C1179" s="3" t="s">
        <v>101</v>
      </c>
      <c r="D1179" s="4">
        <v>68462</v>
      </c>
      <c r="L1179" s="3" t="s">
        <v>74</v>
      </c>
      <c r="M1179" s="3" t="s">
        <v>117</v>
      </c>
      <c r="N1179" s="4">
        <v>69063</v>
      </c>
    </row>
    <row r="1180" spans="1:14" x14ac:dyDescent="0.25">
      <c r="A1180" s="5" t="str">
        <f t="shared" si="21"/>
        <v>New Hampshire-Nolan Deorio</v>
      </c>
      <c r="B1180" s="3" t="s">
        <v>66</v>
      </c>
      <c r="C1180" s="3" t="s">
        <v>100</v>
      </c>
      <c r="D1180" s="4">
        <v>110699</v>
      </c>
      <c r="L1180" s="3" t="s">
        <v>74</v>
      </c>
      <c r="M1180" s="3" t="s">
        <v>120</v>
      </c>
      <c r="N1180" s="4">
        <v>82824</v>
      </c>
    </row>
    <row r="1181" spans="1:14" x14ac:dyDescent="0.25">
      <c r="A1181" s="5" t="str">
        <f t="shared" si="21"/>
        <v>Arizona-Marcel Davern</v>
      </c>
      <c r="B1181" s="3" t="s">
        <v>38</v>
      </c>
      <c r="C1181" s="3" t="s">
        <v>119</v>
      </c>
      <c r="D1181" s="4">
        <v>124184</v>
      </c>
      <c r="L1181" s="3" t="s">
        <v>74</v>
      </c>
      <c r="M1181" s="3" t="s">
        <v>111</v>
      </c>
      <c r="N1181" s="4">
        <v>134963</v>
      </c>
    </row>
    <row r="1182" spans="1:14" x14ac:dyDescent="0.25">
      <c r="A1182" s="5" t="str">
        <f t="shared" si="21"/>
        <v>Maryland-Ali Stupp</v>
      </c>
      <c r="B1182" s="3" t="s">
        <v>57</v>
      </c>
      <c r="C1182" s="3" t="s">
        <v>108</v>
      </c>
      <c r="D1182" s="4">
        <v>34098</v>
      </c>
      <c r="L1182" s="3" t="s">
        <v>74</v>
      </c>
      <c r="M1182" s="3" t="s">
        <v>102</v>
      </c>
      <c r="N1182" s="4">
        <v>104482</v>
      </c>
    </row>
    <row r="1183" spans="1:14" x14ac:dyDescent="0.25">
      <c r="A1183" s="5" t="str">
        <f t="shared" si="21"/>
        <v>North Dakota-Thaddeus Cacciatori</v>
      </c>
      <c r="B1183" s="3" t="s">
        <v>71</v>
      </c>
      <c r="C1183" s="3" t="s">
        <v>114</v>
      </c>
      <c r="D1183" s="4">
        <v>102068</v>
      </c>
      <c r="L1183" s="3" t="s">
        <v>74</v>
      </c>
      <c r="M1183" s="3" t="s">
        <v>106</v>
      </c>
      <c r="N1183" s="4">
        <v>164691</v>
      </c>
    </row>
    <row r="1184" spans="1:14" x14ac:dyDescent="0.25">
      <c r="A1184" s="5" t="str">
        <f t="shared" si="21"/>
        <v>Arizona-Lianne Trappey</v>
      </c>
      <c r="B1184" s="3" t="s">
        <v>38</v>
      </c>
      <c r="C1184" s="3" t="s">
        <v>123</v>
      </c>
      <c r="D1184" s="4">
        <v>138737</v>
      </c>
      <c r="L1184" s="3" t="s">
        <v>74</v>
      </c>
      <c r="M1184" s="3" t="s">
        <v>123</v>
      </c>
      <c r="N1184" s="4">
        <v>58213</v>
      </c>
    </row>
    <row r="1185" spans="1:14" x14ac:dyDescent="0.25">
      <c r="A1185" s="5" t="str">
        <f t="shared" si="21"/>
        <v>Mississippi-Twanda Lovenduski</v>
      </c>
      <c r="B1185" s="3" t="s">
        <v>61</v>
      </c>
      <c r="C1185" s="3" t="s">
        <v>107</v>
      </c>
      <c r="D1185" s="4">
        <v>115783</v>
      </c>
      <c r="L1185" s="3" t="s">
        <v>74</v>
      </c>
      <c r="M1185" s="3" t="s">
        <v>97</v>
      </c>
      <c r="N1185" s="4">
        <v>80270</v>
      </c>
    </row>
    <row r="1186" spans="1:14" x14ac:dyDescent="0.25">
      <c r="A1186" s="5" t="str">
        <f t="shared" si="21"/>
        <v>New Hampshire-Ali Stupp</v>
      </c>
      <c r="B1186" s="3" t="s">
        <v>66</v>
      </c>
      <c r="C1186" s="3" t="s">
        <v>108</v>
      </c>
      <c r="D1186" s="4">
        <v>145178</v>
      </c>
      <c r="L1186" s="3" t="s">
        <v>74</v>
      </c>
      <c r="M1186" s="3" t="s">
        <v>119</v>
      </c>
      <c r="N1186" s="4">
        <v>35660</v>
      </c>
    </row>
    <row r="1187" spans="1:14" x14ac:dyDescent="0.25">
      <c r="A1187" s="5" t="str">
        <f t="shared" si="21"/>
        <v>Wisconsin-Cliff Galinski</v>
      </c>
      <c r="B1187" s="3" t="s">
        <v>89</v>
      </c>
      <c r="C1187" s="3" t="s">
        <v>124</v>
      </c>
      <c r="D1187" s="4">
        <v>63640</v>
      </c>
      <c r="L1187" s="3" t="s">
        <v>74</v>
      </c>
      <c r="M1187" s="3" t="s">
        <v>113</v>
      </c>
      <c r="N1187" s="4">
        <v>156904</v>
      </c>
    </row>
    <row r="1188" spans="1:14" x14ac:dyDescent="0.25">
      <c r="A1188" s="5" t="str">
        <f t="shared" si="21"/>
        <v>Washington-Cliff Bahlmann</v>
      </c>
      <c r="B1188" s="3" t="s">
        <v>87</v>
      </c>
      <c r="C1188" s="3" t="s">
        <v>99</v>
      </c>
      <c r="D1188" s="4">
        <v>81022</v>
      </c>
      <c r="L1188" s="3" t="s">
        <v>74</v>
      </c>
      <c r="M1188" s="3" t="s">
        <v>105</v>
      </c>
      <c r="N1188" s="4">
        <v>5161</v>
      </c>
    </row>
    <row r="1189" spans="1:14" x14ac:dyDescent="0.25">
      <c r="A1189" s="5" t="str">
        <f t="shared" si="21"/>
        <v>Northern Marianas Islands-Lashon Bongers</v>
      </c>
      <c r="B1189" s="3" t="s">
        <v>72</v>
      </c>
      <c r="C1189" s="3" t="s">
        <v>106</v>
      </c>
      <c r="D1189" s="4">
        <v>150957</v>
      </c>
      <c r="L1189" s="3" t="s">
        <v>74</v>
      </c>
      <c r="M1189" s="3" t="s">
        <v>104</v>
      </c>
      <c r="N1189" s="4">
        <v>53812</v>
      </c>
    </row>
    <row r="1190" spans="1:14" x14ac:dyDescent="0.25">
      <c r="A1190" s="5" t="str">
        <f t="shared" si="21"/>
        <v>South Carolina-Genna Zaller</v>
      </c>
      <c r="B1190" s="3" t="s">
        <v>79</v>
      </c>
      <c r="C1190" s="3" t="s">
        <v>117</v>
      </c>
      <c r="D1190" s="4">
        <v>28618</v>
      </c>
      <c r="L1190" s="3" t="s">
        <v>74</v>
      </c>
      <c r="M1190" s="3" t="s">
        <v>100</v>
      </c>
      <c r="N1190" s="4">
        <v>144051</v>
      </c>
    </row>
    <row r="1191" spans="1:14" x14ac:dyDescent="0.25">
      <c r="A1191" s="5" t="str">
        <f t="shared" si="21"/>
        <v>Louisiana-Marvis Tenholder</v>
      </c>
      <c r="B1191" s="3" t="s">
        <v>55</v>
      </c>
      <c r="C1191" s="3" t="s">
        <v>105</v>
      </c>
      <c r="D1191" s="4">
        <v>73452</v>
      </c>
      <c r="L1191" s="3" t="s">
        <v>74</v>
      </c>
      <c r="M1191" s="3" t="s">
        <v>118</v>
      </c>
      <c r="N1191" s="4">
        <v>125314</v>
      </c>
    </row>
    <row r="1192" spans="1:14" x14ac:dyDescent="0.25">
      <c r="A1192" s="5" t="str">
        <f t="shared" si="21"/>
        <v>New Jersey-Twanda Lovenduski</v>
      </c>
      <c r="B1192" s="3" t="s">
        <v>67</v>
      </c>
      <c r="C1192" s="3" t="s">
        <v>107</v>
      </c>
      <c r="D1192" s="4">
        <v>170615</v>
      </c>
      <c r="L1192" s="3" t="s">
        <v>74</v>
      </c>
      <c r="M1192" s="3" t="s">
        <v>101</v>
      </c>
      <c r="N1192" s="4">
        <v>38025</v>
      </c>
    </row>
    <row r="1193" spans="1:14" x14ac:dyDescent="0.25">
      <c r="A1193" s="5" t="str">
        <f t="shared" si="21"/>
        <v>Florida-Cliff Bahlmann</v>
      </c>
      <c r="B1193" s="3" t="s">
        <v>45</v>
      </c>
      <c r="C1193" s="3" t="s">
        <v>99</v>
      </c>
      <c r="D1193" s="4">
        <v>83958</v>
      </c>
      <c r="L1193" s="3" t="s">
        <v>74</v>
      </c>
      <c r="M1193" s="3" t="s">
        <v>122</v>
      </c>
      <c r="N1193" s="4">
        <v>167031</v>
      </c>
    </row>
    <row r="1194" spans="1:14" x14ac:dyDescent="0.25">
      <c r="A1194" s="5" t="str">
        <f t="shared" si="21"/>
        <v>Hawaii-Armand Mcleon</v>
      </c>
      <c r="B1194" s="3" t="s">
        <v>48</v>
      </c>
      <c r="C1194" s="3" t="s">
        <v>110</v>
      </c>
      <c r="D1194" s="4">
        <v>92803</v>
      </c>
      <c r="L1194" s="3" t="s">
        <v>74</v>
      </c>
      <c r="M1194" s="3" t="s">
        <v>109</v>
      </c>
      <c r="N1194" s="4">
        <v>78791</v>
      </c>
    </row>
    <row r="1195" spans="1:14" x14ac:dyDescent="0.25">
      <c r="A1195" s="5" t="str">
        <f t="shared" si="21"/>
        <v>North Dakota-Fidel Potra</v>
      </c>
      <c r="B1195" s="3" t="s">
        <v>71</v>
      </c>
      <c r="C1195" s="3" t="s">
        <v>115</v>
      </c>
      <c r="D1195" s="4">
        <v>158026</v>
      </c>
      <c r="L1195" s="3" t="s">
        <v>74</v>
      </c>
      <c r="M1195" s="3" t="s">
        <v>95</v>
      </c>
      <c r="N1195" s="4">
        <v>38456</v>
      </c>
    </row>
    <row r="1196" spans="1:14" x14ac:dyDescent="0.25">
      <c r="A1196" s="5" t="str">
        <f t="shared" si="21"/>
        <v>Louisiana-Nolan Gohn</v>
      </c>
      <c r="B1196" s="3" t="s">
        <v>55</v>
      </c>
      <c r="C1196" s="3" t="s">
        <v>118</v>
      </c>
      <c r="D1196" s="4">
        <v>27772</v>
      </c>
      <c r="L1196" s="3" t="s">
        <v>74</v>
      </c>
      <c r="M1196" s="3" t="s">
        <v>98</v>
      </c>
      <c r="N1196" s="4">
        <v>10296</v>
      </c>
    </row>
    <row r="1197" spans="1:14" x14ac:dyDescent="0.25">
      <c r="A1197" s="5" t="str">
        <f t="shared" si="21"/>
        <v>New Mexico-Marvis Tenholder</v>
      </c>
      <c r="B1197" s="3" t="s">
        <v>68</v>
      </c>
      <c r="C1197" s="3" t="s">
        <v>105</v>
      </c>
      <c r="D1197" s="4">
        <v>38071</v>
      </c>
      <c r="L1197" s="3" t="s">
        <v>74</v>
      </c>
      <c r="M1197" s="3" t="s">
        <v>114</v>
      </c>
      <c r="N1197" s="4">
        <v>162219</v>
      </c>
    </row>
    <row r="1198" spans="1:14" x14ac:dyDescent="0.25">
      <c r="A1198" s="5" t="str">
        <f t="shared" si="21"/>
        <v>Nebraska-Cliff Galinski</v>
      </c>
      <c r="B1198" s="3" t="s">
        <v>64</v>
      </c>
      <c r="C1198" s="3" t="s">
        <v>124</v>
      </c>
      <c r="D1198" s="4">
        <v>162989</v>
      </c>
      <c r="L1198" s="3" t="s">
        <v>74</v>
      </c>
      <c r="M1198" s="3" t="s">
        <v>112</v>
      </c>
      <c r="N1198" s="4">
        <v>113573</v>
      </c>
    </row>
    <row r="1199" spans="1:14" x14ac:dyDescent="0.25">
      <c r="A1199" s="5" t="str">
        <f t="shared" si="21"/>
        <v>South Carolina-Fidel Potra</v>
      </c>
      <c r="B1199" s="3" t="s">
        <v>79</v>
      </c>
      <c r="C1199" s="3" t="s">
        <v>115</v>
      </c>
      <c r="D1199" s="4">
        <v>141730</v>
      </c>
      <c r="L1199" s="3" t="s">
        <v>74</v>
      </c>
      <c r="M1199" s="3" t="s">
        <v>103</v>
      </c>
      <c r="N1199" s="4">
        <v>116822</v>
      </c>
    </row>
    <row r="1200" spans="1:14" x14ac:dyDescent="0.25">
      <c r="A1200" s="5" t="str">
        <f t="shared" si="21"/>
        <v>Kansas-Cliff Bahlmann</v>
      </c>
      <c r="B1200" s="3" t="s">
        <v>53</v>
      </c>
      <c r="C1200" s="3" t="s">
        <v>99</v>
      </c>
      <c r="D1200" s="4">
        <v>165295</v>
      </c>
      <c r="L1200" s="3" t="s">
        <v>74</v>
      </c>
      <c r="M1200" s="3" t="s">
        <v>121</v>
      </c>
      <c r="N1200" s="4">
        <v>131722</v>
      </c>
    </row>
    <row r="1201" spans="1:14" x14ac:dyDescent="0.25">
      <c r="A1201" s="5" t="str">
        <f t="shared" si="21"/>
        <v>Vermont-Lucilla Bilecki</v>
      </c>
      <c r="B1201" s="3" t="s">
        <v>84</v>
      </c>
      <c r="C1201" s="3" t="s">
        <v>97</v>
      </c>
      <c r="D1201" s="4">
        <v>40761</v>
      </c>
      <c r="L1201" s="3" t="s">
        <v>74</v>
      </c>
      <c r="M1201" s="3" t="s">
        <v>107</v>
      </c>
      <c r="N1201" s="4">
        <v>70014</v>
      </c>
    </row>
    <row r="1202" spans="1:14" x14ac:dyDescent="0.25">
      <c r="A1202" s="5" t="str">
        <f t="shared" si="21"/>
        <v>District of Columbia-Twanda Lovenduski</v>
      </c>
      <c r="B1202" s="3" t="s">
        <v>44</v>
      </c>
      <c r="C1202" s="3" t="s">
        <v>107</v>
      </c>
      <c r="D1202" s="4">
        <v>44261</v>
      </c>
      <c r="L1202" s="3" t="s">
        <v>75</v>
      </c>
      <c r="M1202" s="3" t="s">
        <v>116</v>
      </c>
      <c r="N1202" s="4">
        <v>12166</v>
      </c>
    </row>
    <row r="1203" spans="1:14" x14ac:dyDescent="0.25">
      <c r="A1203" s="5" t="str">
        <f t="shared" si="21"/>
        <v>Florida-Toi Medico</v>
      </c>
      <c r="B1203" s="3" t="s">
        <v>45</v>
      </c>
      <c r="C1203" s="3" t="s">
        <v>103</v>
      </c>
      <c r="D1203" s="4">
        <v>35836</v>
      </c>
      <c r="L1203" s="3" t="s">
        <v>75</v>
      </c>
      <c r="M1203" s="3" t="s">
        <v>108</v>
      </c>
      <c r="N1203" s="4">
        <v>153421</v>
      </c>
    </row>
    <row r="1204" spans="1:14" x14ac:dyDescent="0.25">
      <c r="A1204" s="5" t="str">
        <f t="shared" si="21"/>
        <v>Georgia-Keila Rossini</v>
      </c>
      <c r="B1204" s="3" t="s">
        <v>46</v>
      </c>
      <c r="C1204" s="3" t="s">
        <v>102</v>
      </c>
      <c r="D1204" s="4">
        <v>65738</v>
      </c>
      <c r="L1204" s="3" t="s">
        <v>75</v>
      </c>
      <c r="M1204" s="3" t="s">
        <v>110</v>
      </c>
      <c r="N1204" s="4">
        <v>117968</v>
      </c>
    </row>
    <row r="1205" spans="1:14" x14ac:dyDescent="0.25">
      <c r="A1205" s="5" t="str">
        <f t="shared" si="21"/>
        <v>Maryland-Cliff Schnautz</v>
      </c>
      <c r="B1205" s="3" t="s">
        <v>57</v>
      </c>
      <c r="C1205" s="3" t="s">
        <v>96</v>
      </c>
      <c r="D1205" s="4">
        <v>8296</v>
      </c>
      <c r="L1205" s="3" t="s">
        <v>75</v>
      </c>
      <c r="M1205" s="3" t="s">
        <v>99</v>
      </c>
      <c r="N1205" s="4">
        <v>65561</v>
      </c>
    </row>
    <row r="1206" spans="1:14" x14ac:dyDescent="0.25">
      <c r="A1206" s="5" t="str">
        <f t="shared" si="21"/>
        <v>Texas-Fidel Potra</v>
      </c>
      <c r="B1206" s="3" t="s">
        <v>82</v>
      </c>
      <c r="C1206" s="3" t="s">
        <v>115</v>
      </c>
      <c r="D1206" s="4">
        <v>112907</v>
      </c>
      <c r="L1206" s="3" t="s">
        <v>75</v>
      </c>
      <c r="M1206" s="3" t="s">
        <v>124</v>
      </c>
      <c r="N1206" s="4">
        <v>114542</v>
      </c>
    </row>
    <row r="1207" spans="1:14" x14ac:dyDescent="0.25">
      <c r="A1207" s="5" t="str">
        <f t="shared" si="21"/>
        <v>Virginia-Lucilla Bilecki</v>
      </c>
      <c r="B1207" s="3" t="s">
        <v>85</v>
      </c>
      <c r="C1207" s="3" t="s">
        <v>97</v>
      </c>
      <c r="D1207" s="4">
        <v>39661</v>
      </c>
      <c r="L1207" s="3" t="s">
        <v>75</v>
      </c>
      <c r="M1207" s="3" t="s">
        <v>96</v>
      </c>
      <c r="N1207" s="4">
        <v>152890</v>
      </c>
    </row>
    <row r="1208" spans="1:14" x14ac:dyDescent="0.25">
      <c r="A1208" s="5" t="str">
        <f t="shared" si="21"/>
        <v>Puerto Rico-Lucilla Bilecki</v>
      </c>
      <c r="B1208" s="3" t="s">
        <v>77</v>
      </c>
      <c r="C1208" s="3" t="s">
        <v>97</v>
      </c>
      <c r="D1208" s="4">
        <v>57407</v>
      </c>
      <c r="L1208" s="3" t="s">
        <v>75</v>
      </c>
      <c r="M1208" s="3" t="s">
        <v>115</v>
      </c>
      <c r="N1208" s="4">
        <v>142851</v>
      </c>
    </row>
    <row r="1209" spans="1:14" x14ac:dyDescent="0.25">
      <c r="A1209" s="5" t="str">
        <f t="shared" si="21"/>
        <v>Wisconsin-Thaddeus Cacciatori</v>
      </c>
      <c r="B1209" s="3" t="s">
        <v>89</v>
      </c>
      <c r="C1209" s="3" t="s">
        <v>114</v>
      </c>
      <c r="D1209" s="4">
        <v>41190</v>
      </c>
      <c r="L1209" s="3" t="s">
        <v>75</v>
      </c>
      <c r="M1209" s="3" t="s">
        <v>117</v>
      </c>
      <c r="N1209" s="4">
        <v>12469</v>
      </c>
    </row>
    <row r="1210" spans="1:14" x14ac:dyDescent="0.25">
      <c r="A1210" s="5" t="str">
        <f t="shared" si="21"/>
        <v>Texas-Genna Zaller</v>
      </c>
      <c r="B1210" s="3" t="s">
        <v>82</v>
      </c>
      <c r="C1210" s="3" t="s">
        <v>117</v>
      </c>
      <c r="D1210" s="4">
        <v>97249</v>
      </c>
      <c r="L1210" s="3" t="s">
        <v>75</v>
      </c>
      <c r="M1210" s="3" t="s">
        <v>120</v>
      </c>
      <c r="N1210" s="4">
        <v>143580</v>
      </c>
    </row>
    <row r="1211" spans="1:14" x14ac:dyDescent="0.25">
      <c r="A1211" s="5" t="str">
        <f t="shared" si="21"/>
        <v>Tennessee-Armand Mcleon</v>
      </c>
      <c r="B1211" s="3" t="s">
        <v>81</v>
      </c>
      <c r="C1211" s="3" t="s">
        <v>110</v>
      </c>
      <c r="D1211" s="4">
        <v>87738</v>
      </c>
      <c r="L1211" s="3" t="s">
        <v>75</v>
      </c>
      <c r="M1211" s="3" t="s">
        <v>111</v>
      </c>
      <c r="N1211" s="4">
        <v>59825</v>
      </c>
    </row>
    <row r="1212" spans="1:14" x14ac:dyDescent="0.25">
      <c r="A1212" s="5" t="str">
        <f t="shared" si="21"/>
        <v>American Samoa-Cliff Bahlmann</v>
      </c>
      <c r="B1212" s="3" t="s">
        <v>37</v>
      </c>
      <c r="C1212" s="3" t="s">
        <v>99</v>
      </c>
      <c r="D1212" s="4">
        <v>95462</v>
      </c>
      <c r="L1212" s="3" t="s">
        <v>75</v>
      </c>
      <c r="M1212" s="3" t="s">
        <v>102</v>
      </c>
      <c r="N1212" s="4">
        <v>130263</v>
      </c>
    </row>
    <row r="1213" spans="1:14" x14ac:dyDescent="0.25">
      <c r="A1213" s="5" t="str">
        <f t="shared" si="21"/>
        <v>Washington-Marlin Mavromatis</v>
      </c>
      <c r="B1213" s="3" t="s">
        <v>87</v>
      </c>
      <c r="C1213" s="3" t="s">
        <v>113</v>
      </c>
      <c r="D1213" s="4">
        <v>39459</v>
      </c>
      <c r="L1213" s="3" t="s">
        <v>75</v>
      </c>
      <c r="M1213" s="3" t="s">
        <v>106</v>
      </c>
      <c r="N1213" s="4">
        <v>27187</v>
      </c>
    </row>
    <row r="1214" spans="1:14" x14ac:dyDescent="0.25">
      <c r="A1214" s="5" t="str">
        <f t="shared" si="21"/>
        <v>New Jersey-Marlin Mavromatis</v>
      </c>
      <c r="B1214" s="3" t="s">
        <v>67</v>
      </c>
      <c r="C1214" s="3" t="s">
        <v>113</v>
      </c>
      <c r="D1214" s="4">
        <v>39661</v>
      </c>
      <c r="L1214" s="3" t="s">
        <v>75</v>
      </c>
      <c r="M1214" s="3" t="s">
        <v>123</v>
      </c>
      <c r="N1214" s="4">
        <v>96477</v>
      </c>
    </row>
    <row r="1215" spans="1:14" x14ac:dyDescent="0.25">
      <c r="A1215" s="5" t="str">
        <f t="shared" si="21"/>
        <v>Pennsylvania-Toi Medico</v>
      </c>
      <c r="B1215" s="3" t="s">
        <v>76</v>
      </c>
      <c r="C1215" s="3" t="s">
        <v>103</v>
      </c>
      <c r="D1215" s="4">
        <v>25065</v>
      </c>
      <c r="L1215" s="3" t="s">
        <v>75</v>
      </c>
      <c r="M1215" s="3" t="s">
        <v>97</v>
      </c>
      <c r="N1215" s="4">
        <v>10490</v>
      </c>
    </row>
    <row r="1216" spans="1:14" x14ac:dyDescent="0.25">
      <c r="A1216" s="5" t="str">
        <f t="shared" si="21"/>
        <v>Rhode Island-Toi Medico</v>
      </c>
      <c r="B1216" s="3" t="s">
        <v>78</v>
      </c>
      <c r="C1216" s="3" t="s">
        <v>103</v>
      </c>
      <c r="D1216" s="4">
        <v>109531</v>
      </c>
      <c r="L1216" s="3" t="s">
        <v>75</v>
      </c>
      <c r="M1216" s="3" t="s">
        <v>119</v>
      </c>
      <c r="N1216" s="4">
        <v>130553</v>
      </c>
    </row>
    <row r="1217" spans="1:14" x14ac:dyDescent="0.25">
      <c r="A1217" s="5" t="str">
        <f t="shared" si="21"/>
        <v>South Carolina-Nolan Gohn</v>
      </c>
      <c r="B1217" s="3" t="s">
        <v>79</v>
      </c>
      <c r="C1217" s="3" t="s">
        <v>118</v>
      </c>
      <c r="D1217" s="4">
        <v>36149</v>
      </c>
      <c r="L1217" s="3" t="s">
        <v>75</v>
      </c>
      <c r="M1217" s="3" t="s">
        <v>113</v>
      </c>
      <c r="N1217" s="4">
        <v>91605</v>
      </c>
    </row>
    <row r="1218" spans="1:14" x14ac:dyDescent="0.25">
      <c r="A1218" s="5" t="str">
        <f t="shared" ref="A1218:A1281" si="22">B1218&amp;"-"&amp;C1218</f>
        <v>Iowa-Twanda Lovenduski</v>
      </c>
      <c r="B1218" s="3" t="s">
        <v>52</v>
      </c>
      <c r="C1218" s="3" t="s">
        <v>107</v>
      </c>
      <c r="D1218" s="4">
        <v>12410</v>
      </c>
      <c r="L1218" s="3" t="s">
        <v>75</v>
      </c>
      <c r="M1218" s="3" t="s">
        <v>105</v>
      </c>
      <c r="N1218" s="4">
        <v>97128</v>
      </c>
    </row>
    <row r="1219" spans="1:14" x14ac:dyDescent="0.25">
      <c r="A1219" s="5" t="str">
        <f t="shared" si="22"/>
        <v>Nebraska-Quinton Modugno</v>
      </c>
      <c r="B1219" s="3" t="s">
        <v>64</v>
      </c>
      <c r="C1219" s="3" t="s">
        <v>101</v>
      </c>
      <c r="D1219" s="4">
        <v>112285</v>
      </c>
      <c r="L1219" s="3" t="s">
        <v>75</v>
      </c>
      <c r="M1219" s="3" t="s">
        <v>104</v>
      </c>
      <c r="N1219" s="4">
        <v>149516</v>
      </c>
    </row>
    <row r="1220" spans="1:14" x14ac:dyDescent="0.25">
      <c r="A1220" s="5" t="str">
        <f t="shared" si="22"/>
        <v>Alaska-Toi Zedaker</v>
      </c>
      <c r="B1220" s="3" t="s">
        <v>36</v>
      </c>
      <c r="C1220" s="3" t="s">
        <v>121</v>
      </c>
      <c r="D1220" s="4">
        <v>20180</v>
      </c>
      <c r="L1220" s="3" t="s">
        <v>75</v>
      </c>
      <c r="M1220" s="3" t="s">
        <v>100</v>
      </c>
      <c r="N1220" s="4">
        <v>142027</v>
      </c>
    </row>
    <row r="1221" spans="1:14" x14ac:dyDescent="0.25">
      <c r="A1221" s="5" t="str">
        <f t="shared" si="22"/>
        <v>Oregon-Genna Zaller</v>
      </c>
      <c r="B1221" s="3" t="s">
        <v>75</v>
      </c>
      <c r="C1221" s="3" t="s">
        <v>117</v>
      </c>
      <c r="D1221" s="4">
        <v>12469</v>
      </c>
      <c r="L1221" s="3" t="s">
        <v>75</v>
      </c>
      <c r="M1221" s="3" t="s">
        <v>118</v>
      </c>
      <c r="N1221" s="4">
        <v>142121</v>
      </c>
    </row>
    <row r="1222" spans="1:14" x14ac:dyDescent="0.25">
      <c r="A1222" s="5" t="str">
        <f t="shared" si="22"/>
        <v>Tennessee-Jackson Lorkowski</v>
      </c>
      <c r="B1222" s="3" t="s">
        <v>81</v>
      </c>
      <c r="C1222" s="3" t="s">
        <v>120</v>
      </c>
      <c r="D1222" s="4">
        <v>105168</v>
      </c>
      <c r="L1222" s="3" t="s">
        <v>75</v>
      </c>
      <c r="M1222" s="3" t="s">
        <v>101</v>
      </c>
      <c r="N1222" s="4">
        <v>134211</v>
      </c>
    </row>
    <row r="1223" spans="1:14" x14ac:dyDescent="0.25">
      <c r="A1223" s="5" t="str">
        <f t="shared" si="22"/>
        <v>Texas-Toi Zedaker</v>
      </c>
      <c r="B1223" s="3" t="s">
        <v>82</v>
      </c>
      <c r="C1223" s="3" t="s">
        <v>121</v>
      </c>
      <c r="D1223" s="4">
        <v>169315</v>
      </c>
      <c r="L1223" s="3" t="s">
        <v>75</v>
      </c>
      <c r="M1223" s="3" t="s">
        <v>122</v>
      </c>
      <c r="N1223" s="4">
        <v>61590</v>
      </c>
    </row>
    <row r="1224" spans="1:14" x14ac:dyDescent="0.25">
      <c r="A1224" s="5" t="str">
        <f t="shared" si="22"/>
        <v>Idaho-Lucilla Bilecki</v>
      </c>
      <c r="B1224" s="3" t="s">
        <v>49</v>
      </c>
      <c r="C1224" s="3" t="s">
        <v>97</v>
      </c>
      <c r="D1224" s="4">
        <v>151057</v>
      </c>
      <c r="L1224" s="3" t="s">
        <v>75</v>
      </c>
      <c r="M1224" s="3" t="s">
        <v>109</v>
      </c>
      <c r="N1224" s="4">
        <v>173785</v>
      </c>
    </row>
    <row r="1225" spans="1:14" x14ac:dyDescent="0.25">
      <c r="A1225" s="5" t="str">
        <f t="shared" si="22"/>
        <v>Wisconsin-Lianne Trappey</v>
      </c>
      <c r="B1225" s="3" t="s">
        <v>89</v>
      </c>
      <c r="C1225" s="3" t="s">
        <v>123</v>
      </c>
      <c r="D1225" s="4">
        <v>71272</v>
      </c>
      <c r="L1225" s="3" t="s">
        <v>75</v>
      </c>
      <c r="M1225" s="3" t="s">
        <v>95</v>
      </c>
      <c r="N1225" s="4">
        <v>139779</v>
      </c>
    </row>
    <row r="1226" spans="1:14" x14ac:dyDescent="0.25">
      <c r="A1226" s="5" t="str">
        <f t="shared" si="22"/>
        <v>South Carolina-Thaddeus Cacciatori</v>
      </c>
      <c r="B1226" s="3" t="s">
        <v>79</v>
      </c>
      <c r="C1226" s="3" t="s">
        <v>114</v>
      </c>
      <c r="D1226" s="4">
        <v>13148</v>
      </c>
      <c r="L1226" s="3" t="s">
        <v>75</v>
      </c>
      <c r="M1226" s="3" t="s">
        <v>98</v>
      </c>
      <c r="N1226" s="4">
        <v>166517</v>
      </c>
    </row>
    <row r="1227" spans="1:14" x14ac:dyDescent="0.25">
      <c r="A1227" s="5" t="str">
        <f t="shared" si="22"/>
        <v>South Dakota-Marlin Mavromatis</v>
      </c>
      <c r="B1227" s="3" t="s">
        <v>80</v>
      </c>
      <c r="C1227" s="3" t="s">
        <v>113</v>
      </c>
      <c r="D1227" s="4">
        <v>35177</v>
      </c>
      <c r="L1227" s="3" t="s">
        <v>75</v>
      </c>
      <c r="M1227" s="3" t="s">
        <v>114</v>
      </c>
      <c r="N1227" s="4">
        <v>45963</v>
      </c>
    </row>
    <row r="1228" spans="1:14" x14ac:dyDescent="0.25">
      <c r="A1228" s="5" t="str">
        <f t="shared" si="22"/>
        <v>Michigan-Armand Mcleon</v>
      </c>
      <c r="B1228" s="3" t="s">
        <v>59</v>
      </c>
      <c r="C1228" s="3" t="s">
        <v>110</v>
      </c>
      <c r="D1228" s="4">
        <v>7503</v>
      </c>
      <c r="L1228" s="3" t="s">
        <v>75</v>
      </c>
      <c r="M1228" s="3" t="s">
        <v>112</v>
      </c>
      <c r="N1228" s="4">
        <v>127004</v>
      </c>
    </row>
    <row r="1229" spans="1:14" x14ac:dyDescent="0.25">
      <c r="A1229" s="5" t="str">
        <f t="shared" si="22"/>
        <v>Ohio-Toi Medico</v>
      </c>
      <c r="B1229" s="3" t="s">
        <v>73</v>
      </c>
      <c r="C1229" s="3" t="s">
        <v>103</v>
      </c>
      <c r="D1229" s="4">
        <v>26739</v>
      </c>
      <c r="L1229" s="3" t="s">
        <v>75</v>
      </c>
      <c r="M1229" s="3" t="s">
        <v>103</v>
      </c>
      <c r="N1229" s="4">
        <v>174830</v>
      </c>
    </row>
    <row r="1230" spans="1:14" x14ac:dyDescent="0.25">
      <c r="A1230" s="5" t="str">
        <f t="shared" si="22"/>
        <v>Mississippi-Ali Steenken</v>
      </c>
      <c r="B1230" s="3" t="s">
        <v>61</v>
      </c>
      <c r="C1230" s="3" t="s">
        <v>116</v>
      </c>
      <c r="D1230" s="4">
        <v>62260</v>
      </c>
      <c r="L1230" s="3" t="s">
        <v>75</v>
      </c>
      <c r="M1230" s="3" t="s">
        <v>121</v>
      </c>
      <c r="N1230" s="4">
        <v>82609</v>
      </c>
    </row>
    <row r="1231" spans="1:14" x14ac:dyDescent="0.25">
      <c r="A1231" s="5" t="str">
        <f t="shared" si="22"/>
        <v>Mississippi-Marvis Tenholder</v>
      </c>
      <c r="B1231" s="3" t="s">
        <v>61</v>
      </c>
      <c r="C1231" s="3" t="s">
        <v>105</v>
      </c>
      <c r="D1231" s="4">
        <v>57907</v>
      </c>
      <c r="L1231" s="3" t="s">
        <v>75</v>
      </c>
      <c r="M1231" s="3" t="s">
        <v>107</v>
      </c>
      <c r="N1231" s="4">
        <v>64307</v>
      </c>
    </row>
    <row r="1232" spans="1:14" x14ac:dyDescent="0.25">
      <c r="A1232" s="5" t="str">
        <f t="shared" si="22"/>
        <v>Utah-Lucilla Bilecki</v>
      </c>
      <c r="B1232" s="3" t="s">
        <v>83</v>
      </c>
      <c r="C1232" s="3" t="s">
        <v>97</v>
      </c>
      <c r="D1232" s="4">
        <v>51995</v>
      </c>
      <c r="L1232" s="3" t="s">
        <v>76</v>
      </c>
      <c r="M1232" s="3" t="s">
        <v>116</v>
      </c>
      <c r="N1232" s="4">
        <v>47502</v>
      </c>
    </row>
    <row r="1233" spans="1:14" x14ac:dyDescent="0.25">
      <c r="A1233" s="5" t="str">
        <f t="shared" si="22"/>
        <v>Colorado-Marcel Davern</v>
      </c>
      <c r="B1233" s="3" t="s">
        <v>41</v>
      </c>
      <c r="C1233" s="3" t="s">
        <v>119</v>
      </c>
      <c r="D1233" s="4">
        <v>135707</v>
      </c>
      <c r="L1233" s="3" t="s">
        <v>76</v>
      </c>
      <c r="M1233" s="3" t="s">
        <v>108</v>
      </c>
      <c r="N1233" s="4">
        <v>20521</v>
      </c>
    </row>
    <row r="1234" spans="1:14" x14ac:dyDescent="0.25">
      <c r="A1234" s="5" t="str">
        <f t="shared" si="22"/>
        <v>Utah-Jackson Lorkowski</v>
      </c>
      <c r="B1234" s="3" t="s">
        <v>83</v>
      </c>
      <c r="C1234" s="3" t="s">
        <v>120</v>
      </c>
      <c r="D1234" s="4">
        <v>101343</v>
      </c>
      <c r="L1234" s="3" t="s">
        <v>76</v>
      </c>
      <c r="M1234" s="3" t="s">
        <v>110</v>
      </c>
      <c r="N1234" s="4">
        <v>136155</v>
      </c>
    </row>
    <row r="1235" spans="1:14" x14ac:dyDescent="0.25">
      <c r="A1235" s="5" t="str">
        <f t="shared" si="22"/>
        <v>Kansas-Quinton Modugno</v>
      </c>
      <c r="B1235" s="3" t="s">
        <v>53</v>
      </c>
      <c r="C1235" s="3" t="s">
        <v>101</v>
      </c>
      <c r="D1235" s="4">
        <v>27412</v>
      </c>
      <c r="L1235" s="3" t="s">
        <v>76</v>
      </c>
      <c r="M1235" s="3" t="s">
        <v>99</v>
      </c>
      <c r="N1235" s="4">
        <v>157304</v>
      </c>
    </row>
    <row r="1236" spans="1:14" x14ac:dyDescent="0.25">
      <c r="A1236" s="5" t="str">
        <f t="shared" si="22"/>
        <v>Wisconsin-Keila Rossini</v>
      </c>
      <c r="B1236" s="3" t="s">
        <v>89</v>
      </c>
      <c r="C1236" s="3" t="s">
        <v>102</v>
      </c>
      <c r="D1236" s="4">
        <v>59315</v>
      </c>
      <c r="L1236" s="3" t="s">
        <v>76</v>
      </c>
      <c r="M1236" s="3" t="s">
        <v>124</v>
      </c>
      <c r="N1236" s="4">
        <v>34608</v>
      </c>
    </row>
    <row r="1237" spans="1:14" x14ac:dyDescent="0.25">
      <c r="A1237" s="5" t="str">
        <f t="shared" si="22"/>
        <v>Northern Marianas Islands-Lianne Trappey</v>
      </c>
      <c r="B1237" s="3" t="s">
        <v>72</v>
      </c>
      <c r="C1237" s="3" t="s">
        <v>123</v>
      </c>
      <c r="D1237" s="4">
        <v>172408</v>
      </c>
      <c r="L1237" s="3" t="s">
        <v>76</v>
      </c>
      <c r="M1237" s="3" t="s">
        <v>96</v>
      </c>
      <c r="N1237" s="4">
        <v>48155</v>
      </c>
    </row>
    <row r="1238" spans="1:14" x14ac:dyDescent="0.25">
      <c r="A1238" s="5" t="str">
        <f t="shared" si="22"/>
        <v>Wyoming-Ali Stupp</v>
      </c>
      <c r="B1238" s="3" t="s">
        <v>90</v>
      </c>
      <c r="C1238" s="3" t="s">
        <v>108</v>
      </c>
      <c r="D1238" s="4">
        <v>114875</v>
      </c>
      <c r="L1238" s="3" t="s">
        <v>76</v>
      </c>
      <c r="M1238" s="3" t="s">
        <v>115</v>
      </c>
      <c r="N1238" s="4">
        <v>146363</v>
      </c>
    </row>
    <row r="1239" spans="1:14" x14ac:dyDescent="0.25">
      <c r="A1239" s="5" t="str">
        <f t="shared" si="22"/>
        <v>Indiana-Twanda Lovenduski</v>
      </c>
      <c r="B1239" s="3" t="s">
        <v>51</v>
      </c>
      <c r="C1239" s="3" t="s">
        <v>107</v>
      </c>
      <c r="D1239" s="4">
        <v>110042</v>
      </c>
      <c r="L1239" s="3" t="s">
        <v>76</v>
      </c>
      <c r="M1239" s="3" t="s">
        <v>117</v>
      </c>
      <c r="N1239" s="4">
        <v>123477</v>
      </c>
    </row>
    <row r="1240" spans="1:14" x14ac:dyDescent="0.25">
      <c r="A1240" s="5" t="str">
        <f t="shared" si="22"/>
        <v>Wisconsin-Marlin Mavromatis</v>
      </c>
      <c r="B1240" s="3" t="s">
        <v>89</v>
      </c>
      <c r="C1240" s="3" t="s">
        <v>113</v>
      </c>
      <c r="D1240" s="4">
        <v>146139</v>
      </c>
      <c r="L1240" s="3" t="s">
        <v>76</v>
      </c>
      <c r="M1240" s="3" t="s">
        <v>120</v>
      </c>
      <c r="N1240" s="4">
        <v>65569</v>
      </c>
    </row>
    <row r="1241" spans="1:14" x14ac:dyDescent="0.25">
      <c r="A1241" s="5" t="str">
        <f t="shared" si="22"/>
        <v>Vermont-Jackson Lorkowski</v>
      </c>
      <c r="B1241" s="3" t="s">
        <v>84</v>
      </c>
      <c r="C1241" s="3" t="s">
        <v>120</v>
      </c>
      <c r="D1241" s="4">
        <v>81410</v>
      </c>
      <c r="L1241" s="3" t="s">
        <v>76</v>
      </c>
      <c r="M1241" s="3" t="s">
        <v>111</v>
      </c>
      <c r="N1241" s="4">
        <v>47468</v>
      </c>
    </row>
    <row r="1242" spans="1:14" x14ac:dyDescent="0.25">
      <c r="A1242" s="5" t="str">
        <f t="shared" si="22"/>
        <v>Minnesota-Ali Stupp</v>
      </c>
      <c r="B1242" s="3" t="s">
        <v>60</v>
      </c>
      <c r="C1242" s="3" t="s">
        <v>108</v>
      </c>
      <c r="D1242" s="4">
        <v>109702</v>
      </c>
      <c r="L1242" s="3" t="s">
        <v>76</v>
      </c>
      <c r="M1242" s="3" t="s">
        <v>102</v>
      </c>
      <c r="N1242" s="4">
        <v>65471</v>
      </c>
    </row>
    <row r="1243" spans="1:14" x14ac:dyDescent="0.25">
      <c r="A1243" s="5" t="str">
        <f t="shared" si="22"/>
        <v>Tennessee-Lianne Trappey</v>
      </c>
      <c r="B1243" s="3" t="s">
        <v>81</v>
      </c>
      <c r="C1243" s="3" t="s">
        <v>123</v>
      </c>
      <c r="D1243" s="4">
        <v>59073</v>
      </c>
      <c r="L1243" s="3" t="s">
        <v>76</v>
      </c>
      <c r="M1243" s="3" t="s">
        <v>106</v>
      </c>
      <c r="N1243" s="4">
        <v>114485</v>
      </c>
    </row>
    <row r="1244" spans="1:14" x14ac:dyDescent="0.25">
      <c r="A1244" s="5" t="str">
        <f t="shared" si="22"/>
        <v>Colorado-Sadye Diloreto</v>
      </c>
      <c r="B1244" s="3" t="s">
        <v>41</v>
      </c>
      <c r="C1244" s="3" t="s">
        <v>95</v>
      </c>
      <c r="D1244" s="4">
        <v>92925</v>
      </c>
      <c r="L1244" s="3" t="s">
        <v>76</v>
      </c>
      <c r="M1244" s="3" t="s">
        <v>123</v>
      </c>
      <c r="N1244" s="4">
        <v>58050</v>
      </c>
    </row>
    <row r="1245" spans="1:14" x14ac:dyDescent="0.25">
      <c r="A1245" s="5" t="str">
        <f t="shared" si="22"/>
        <v>Minnesota-Cliff Bahlmann</v>
      </c>
      <c r="B1245" s="3" t="s">
        <v>60</v>
      </c>
      <c r="C1245" s="3" t="s">
        <v>99</v>
      </c>
      <c r="D1245" s="4">
        <v>61810</v>
      </c>
      <c r="L1245" s="3" t="s">
        <v>76</v>
      </c>
      <c r="M1245" s="3" t="s">
        <v>97</v>
      </c>
      <c r="N1245" s="4">
        <v>98857</v>
      </c>
    </row>
    <row r="1246" spans="1:14" x14ac:dyDescent="0.25">
      <c r="A1246" s="5" t="str">
        <f t="shared" si="22"/>
        <v>Kentucky-Quinton Modugno</v>
      </c>
      <c r="B1246" s="3" t="s">
        <v>54</v>
      </c>
      <c r="C1246" s="3" t="s">
        <v>101</v>
      </c>
      <c r="D1246" s="4">
        <v>109808</v>
      </c>
      <c r="L1246" s="3" t="s">
        <v>76</v>
      </c>
      <c r="M1246" s="3" t="s">
        <v>119</v>
      </c>
      <c r="N1246" s="4">
        <v>22021</v>
      </c>
    </row>
    <row r="1247" spans="1:14" x14ac:dyDescent="0.25">
      <c r="A1247" s="5" t="str">
        <f t="shared" si="22"/>
        <v>Illinois-Genna Zaller</v>
      </c>
      <c r="B1247" s="3" t="s">
        <v>50</v>
      </c>
      <c r="C1247" s="3" t="s">
        <v>117</v>
      </c>
      <c r="D1247" s="4">
        <v>114927</v>
      </c>
      <c r="L1247" s="3" t="s">
        <v>76</v>
      </c>
      <c r="M1247" s="3" t="s">
        <v>113</v>
      </c>
      <c r="N1247" s="4">
        <v>157237</v>
      </c>
    </row>
    <row r="1248" spans="1:14" x14ac:dyDescent="0.25">
      <c r="A1248" s="5" t="str">
        <f t="shared" si="22"/>
        <v>Maine-Armand Mcleon</v>
      </c>
      <c r="B1248" s="3" t="s">
        <v>56</v>
      </c>
      <c r="C1248" s="3" t="s">
        <v>110</v>
      </c>
      <c r="D1248" s="4">
        <v>33792</v>
      </c>
      <c r="L1248" s="3" t="s">
        <v>76</v>
      </c>
      <c r="M1248" s="3" t="s">
        <v>105</v>
      </c>
      <c r="N1248" s="4">
        <v>127282</v>
      </c>
    </row>
    <row r="1249" spans="1:14" x14ac:dyDescent="0.25">
      <c r="A1249" s="5" t="str">
        <f t="shared" si="22"/>
        <v>Guam-Marvis Tenholder</v>
      </c>
      <c r="B1249" s="3" t="s">
        <v>47</v>
      </c>
      <c r="C1249" s="3" t="s">
        <v>105</v>
      </c>
      <c r="D1249" s="4">
        <v>17942</v>
      </c>
      <c r="L1249" s="3" t="s">
        <v>76</v>
      </c>
      <c r="M1249" s="3" t="s">
        <v>104</v>
      </c>
      <c r="N1249" s="4">
        <v>94005</v>
      </c>
    </row>
    <row r="1250" spans="1:14" x14ac:dyDescent="0.25">
      <c r="A1250" s="5" t="str">
        <f t="shared" si="22"/>
        <v>Guam-Lianne Trappey</v>
      </c>
      <c r="B1250" s="3" t="s">
        <v>47</v>
      </c>
      <c r="C1250" s="3" t="s">
        <v>123</v>
      </c>
      <c r="D1250" s="4">
        <v>157307</v>
      </c>
      <c r="L1250" s="3" t="s">
        <v>76</v>
      </c>
      <c r="M1250" s="3" t="s">
        <v>100</v>
      </c>
      <c r="N1250" s="4">
        <v>92006</v>
      </c>
    </row>
    <row r="1251" spans="1:14" x14ac:dyDescent="0.25">
      <c r="A1251" s="5" t="str">
        <f t="shared" si="22"/>
        <v>Tennessee-Cliff Galinski</v>
      </c>
      <c r="B1251" s="3" t="s">
        <v>81</v>
      </c>
      <c r="C1251" s="3" t="s">
        <v>124</v>
      </c>
      <c r="D1251" s="4">
        <v>19014</v>
      </c>
      <c r="L1251" s="3" t="s">
        <v>76</v>
      </c>
      <c r="M1251" s="3" t="s">
        <v>118</v>
      </c>
      <c r="N1251" s="4">
        <v>9422</v>
      </c>
    </row>
    <row r="1252" spans="1:14" x14ac:dyDescent="0.25">
      <c r="A1252" s="5" t="str">
        <f t="shared" si="22"/>
        <v>Louisiana-Son Shryack</v>
      </c>
      <c r="B1252" s="3" t="s">
        <v>55</v>
      </c>
      <c r="C1252" s="3" t="s">
        <v>98</v>
      </c>
      <c r="D1252" s="4">
        <v>115312</v>
      </c>
      <c r="L1252" s="3" t="s">
        <v>76</v>
      </c>
      <c r="M1252" s="3" t="s">
        <v>101</v>
      </c>
      <c r="N1252" s="4">
        <v>79079</v>
      </c>
    </row>
    <row r="1253" spans="1:14" x14ac:dyDescent="0.25">
      <c r="A1253" s="5" t="str">
        <f t="shared" si="22"/>
        <v>Rhode Island-Ali Steenken</v>
      </c>
      <c r="B1253" s="3" t="s">
        <v>78</v>
      </c>
      <c r="C1253" s="3" t="s">
        <v>116</v>
      </c>
      <c r="D1253" s="4">
        <v>159796</v>
      </c>
      <c r="L1253" s="3" t="s">
        <v>76</v>
      </c>
      <c r="M1253" s="3" t="s">
        <v>122</v>
      </c>
      <c r="N1253" s="4">
        <v>92869</v>
      </c>
    </row>
    <row r="1254" spans="1:14" x14ac:dyDescent="0.25">
      <c r="A1254" s="5" t="str">
        <f t="shared" si="22"/>
        <v>South Carolina-Cliff Bahlmann</v>
      </c>
      <c r="B1254" s="3" t="s">
        <v>79</v>
      </c>
      <c r="C1254" s="3" t="s">
        <v>99</v>
      </c>
      <c r="D1254" s="4">
        <v>68886</v>
      </c>
      <c r="L1254" s="3" t="s">
        <v>76</v>
      </c>
      <c r="M1254" s="3" t="s">
        <v>109</v>
      </c>
      <c r="N1254" s="4">
        <v>142376</v>
      </c>
    </row>
    <row r="1255" spans="1:14" x14ac:dyDescent="0.25">
      <c r="A1255" s="5" t="str">
        <f t="shared" si="22"/>
        <v>Puerto Rico-Raphael Derrig</v>
      </c>
      <c r="B1255" s="3" t="s">
        <v>77</v>
      </c>
      <c r="C1255" s="3" t="s">
        <v>109</v>
      </c>
      <c r="D1255" s="4">
        <v>23061</v>
      </c>
      <c r="L1255" s="3" t="s">
        <v>76</v>
      </c>
      <c r="M1255" s="3" t="s">
        <v>95</v>
      </c>
      <c r="N1255" s="4">
        <v>146048</v>
      </c>
    </row>
    <row r="1256" spans="1:14" x14ac:dyDescent="0.25">
      <c r="A1256" s="5" t="str">
        <f t="shared" si="22"/>
        <v>Ohio-Kai Stroebel</v>
      </c>
      <c r="B1256" s="3" t="s">
        <v>73</v>
      </c>
      <c r="C1256" s="3" t="s">
        <v>111</v>
      </c>
      <c r="D1256" s="4">
        <v>151884</v>
      </c>
      <c r="L1256" s="3" t="s">
        <v>76</v>
      </c>
      <c r="M1256" s="3" t="s">
        <v>98</v>
      </c>
      <c r="N1256" s="4">
        <v>22171</v>
      </c>
    </row>
    <row r="1257" spans="1:14" x14ac:dyDescent="0.25">
      <c r="A1257" s="5" t="str">
        <f t="shared" si="22"/>
        <v>Puerto Rico-Ali Steenken</v>
      </c>
      <c r="B1257" s="3" t="s">
        <v>77</v>
      </c>
      <c r="C1257" s="3" t="s">
        <v>116</v>
      </c>
      <c r="D1257" s="4">
        <v>55126</v>
      </c>
      <c r="L1257" s="3" t="s">
        <v>76</v>
      </c>
      <c r="M1257" s="3" t="s">
        <v>114</v>
      </c>
      <c r="N1257" s="4">
        <v>3254</v>
      </c>
    </row>
    <row r="1258" spans="1:14" x14ac:dyDescent="0.25">
      <c r="A1258" s="5" t="str">
        <f t="shared" si="22"/>
        <v>Hawaii-Cliff Galinski</v>
      </c>
      <c r="B1258" s="3" t="s">
        <v>48</v>
      </c>
      <c r="C1258" s="3" t="s">
        <v>124</v>
      </c>
      <c r="D1258" s="4">
        <v>83871</v>
      </c>
      <c r="L1258" s="3" t="s">
        <v>76</v>
      </c>
      <c r="M1258" s="3" t="s">
        <v>112</v>
      </c>
      <c r="N1258" s="4">
        <v>48395</v>
      </c>
    </row>
    <row r="1259" spans="1:14" x14ac:dyDescent="0.25">
      <c r="A1259" s="5" t="str">
        <f t="shared" si="22"/>
        <v>American Samoa-Cliff Schnautz</v>
      </c>
      <c r="B1259" s="3" t="s">
        <v>37</v>
      </c>
      <c r="C1259" s="3" t="s">
        <v>96</v>
      </c>
      <c r="D1259" s="4">
        <v>115382</v>
      </c>
      <c r="L1259" s="3" t="s">
        <v>76</v>
      </c>
      <c r="M1259" s="3" t="s">
        <v>103</v>
      </c>
      <c r="N1259" s="4">
        <v>25065</v>
      </c>
    </row>
    <row r="1260" spans="1:14" x14ac:dyDescent="0.25">
      <c r="A1260" s="5" t="str">
        <f t="shared" si="22"/>
        <v>Connecticut-Thaddeus Cacciatori</v>
      </c>
      <c r="B1260" s="3" t="s">
        <v>42</v>
      </c>
      <c r="C1260" s="3" t="s">
        <v>114</v>
      </c>
      <c r="D1260" s="4">
        <v>152202</v>
      </c>
      <c r="L1260" s="3" t="s">
        <v>76</v>
      </c>
      <c r="M1260" s="3" t="s">
        <v>121</v>
      </c>
      <c r="N1260" s="4">
        <v>53915</v>
      </c>
    </row>
    <row r="1261" spans="1:14" x14ac:dyDescent="0.25">
      <c r="A1261" s="5" t="str">
        <f t="shared" si="22"/>
        <v>Montana-Nolan Deorio</v>
      </c>
      <c r="B1261" s="3" t="s">
        <v>63</v>
      </c>
      <c r="C1261" s="3" t="s">
        <v>100</v>
      </c>
      <c r="D1261" s="4">
        <v>170302</v>
      </c>
      <c r="L1261" s="3" t="s">
        <v>76</v>
      </c>
      <c r="M1261" s="3" t="s">
        <v>107</v>
      </c>
      <c r="N1261" s="4">
        <v>34892</v>
      </c>
    </row>
    <row r="1262" spans="1:14" x14ac:dyDescent="0.25">
      <c r="A1262" s="5" t="str">
        <f t="shared" si="22"/>
        <v>District of Columbia-Nolan Deorio</v>
      </c>
      <c r="B1262" s="3" t="s">
        <v>44</v>
      </c>
      <c r="C1262" s="3" t="s">
        <v>100</v>
      </c>
      <c r="D1262" s="4">
        <v>155258</v>
      </c>
      <c r="L1262" s="3" t="s">
        <v>77</v>
      </c>
      <c r="M1262" s="3" t="s">
        <v>116</v>
      </c>
      <c r="N1262" s="4">
        <v>55126</v>
      </c>
    </row>
    <row r="1263" spans="1:14" x14ac:dyDescent="0.25">
      <c r="A1263" s="5" t="str">
        <f t="shared" si="22"/>
        <v>Texas-Lucilla Bilecki</v>
      </c>
      <c r="B1263" s="3" t="s">
        <v>82</v>
      </c>
      <c r="C1263" s="3" t="s">
        <v>97</v>
      </c>
      <c r="D1263" s="4">
        <v>110691</v>
      </c>
      <c r="L1263" s="3" t="s">
        <v>77</v>
      </c>
      <c r="M1263" s="3" t="s">
        <v>108</v>
      </c>
      <c r="N1263" s="4">
        <v>41372</v>
      </c>
    </row>
    <row r="1264" spans="1:14" x14ac:dyDescent="0.25">
      <c r="A1264" s="5" t="str">
        <f t="shared" si="22"/>
        <v>District of Columbia-Quinton Modugno</v>
      </c>
      <c r="B1264" s="3" t="s">
        <v>44</v>
      </c>
      <c r="C1264" s="3" t="s">
        <v>101</v>
      </c>
      <c r="D1264" s="4">
        <v>27700</v>
      </c>
      <c r="L1264" s="3" t="s">
        <v>77</v>
      </c>
      <c r="M1264" s="3" t="s">
        <v>110</v>
      </c>
      <c r="N1264" s="4">
        <v>76558</v>
      </c>
    </row>
    <row r="1265" spans="1:14" x14ac:dyDescent="0.25">
      <c r="A1265" s="5" t="str">
        <f t="shared" si="22"/>
        <v>West Virginia-Keila Rossini</v>
      </c>
      <c r="B1265" s="3" t="s">
        <v>88</v>
      </c>
      <c r="C1265" s="3" t="s">
        <v>102</v>
      </c>
      <c r="D1265" s="4">
        <v>7299</v>
      </c>
      <c r="L1265" s="3" t="s">
        <v>77</v>
      </c>
      <c r="M1265" s="3" t="s">
        <v>99</v>
      </c>
      <c r="N1265" s="4">
        <v>51233</v>
      </c>
    </row>
    <row r="1266" spans="1:14" x14ac:dyDescent="0.25">
      <c r="A1266" s="5" t="str">
        <f t="shared" si="22"/>
        <v>Massachusetts-Sadye Diloreto</v>
      </c>
      <c r="B1266" s="3" t="s">
        <v>58</v>
      </c>
      <c r="C1266" s="3" t="s">
        <v>95</v>
      </c>
      <c r="D1266" s="4">
        <v>14907</v>
      </c>
      <c r="L1266" s="3" t="s">
        <v>77</v>
      </c>
      <c r="M1266" s="3" t="s">
        <v>124</v>
      </c>
      <c r="N1266" s="4">
        <v>33866</v>
      </c>
    </row>
    <row r="1267" spans="1:14" x14ac:dyDescent="0.25">
      <c r="A1267" s="5" t="str">
        <f t="shared" si="22"/>
        <v>Colorado-Toi Zedaker</v>
      </c>
      <c r="B1267" s="3" t="s">
        <v>41</v>
      </c>
      <c r="C1267" s="3" t="s">
        <v>121</v>
      </c>
      <c r="D1267" s="4">
        <v>162679</v>
      </c>
      <c r="L1267" s="3" t="s">
        <v>77</v>
      </c>
      <c r="M1267" s="3" t="s">
        <v>96</v>
      </c>
      <c r="N1267" s="4">
        <v>63713</v>
      </c>
    </row>
    <row r="1268" spans="1:14" x14ac:dyDescent="0.25">
      <c r="A1268" s="5" t="str">
        <f t="shared" si="22"/>
        <v>Ohio-Fidel Potra</v>
      </c>
      <c r="B1268" s="3" t="s">
        <v>73</v>
      </c>
      <c r="C1268" s="3" t="s">
        <v>115</v>
      </c>
      <c r="D1268" s="4">
        <v>8251</v>
      </c>
      <c r="L1268" s="3" t="s">
        <v>77</v>
      </c>
      <c r="M1268" s="3" t="s">
        <v>115</v>
      </c>
      <c r="N1268" s="4">
        <v>51273</v>
      </c>
    </row>
    <row r="1269" spans="1:14" x14ac:dyDescent="0.25">
      <c r="A1269" s="5" t="str">
        <f t="shared" si="22"/>
        <v>American Samoa-Marvis Tenholder</v>
      </c>
      <c r="B1269" s="3" t="s">
        <v>37</v>
      </c>
      <c r="C1269" s="3" t="s">
        <v>105</v>
      </c>
      <c r="D1269" s="4">
        <v>147278</v>
      </c>
      <c r="L1269" s="3" t="s">
        <v>77</v>
      </c>
      <c r="M1269" s="3" t="s">
        <v>117</v>
      </c>
      <c r="N1269" s="4">
        <v>121583</v>
      </c>
    </row>
    <row r="1270" spans="1:14" x14ac:dyDescent="0.25">
      <c r="A1270" s="5" t="str">
        <f t="shared" si="22"/>
        <v>Delaware-Toi Medico</v>
      </c>
      <c r="B1270" s="3" t="s">
        <v>43</v>
      </c>
      <c r="C1270" s="3" t="s">
        <v>103</v>
      </c>
      <c r="D1270" s="4">
        <v>46839</v>
      </c>
      <c r="L1270" s="3" t="s">
        <v>77</v>
      </c>
      <c r="M1270" s="3" t="s">
        <v>120</v>
      </c>
      <c r="N1270" s="4">
        <v>46845</v>
      </c>
    </row>
    <row r="1271" spans="1:14" x14ac:dyDescent="0.25">
      <c r="A1271" s="5" t="str">
        <f t="shared" si="22"/>
        <v>Virgin Islands-Marcel Davern</v>
      </c>
      <c r="B1271" s="3" t="s">
        <v>86</v>
      </c>
      <c r="C1271" s="3" t="s">
        <v>119</v>
      </c>
      <c r="D1271" s="4">
        <v>63853</v>
      </c>
      <c r="L1271" s="3" t="s">
        <v>77</v>
      </c>
      <c r="M1271" s="3" t="s">
        <v>111</v>
      </c>
      <c r="N1271" s="4">
        <v>65082</v>
      </c>
    </row>
    <row r="1272" spans="1:14" x14ac:dyDescent="0.25">
      <c r="A1272" s="5" t="str">
        <f t="shared" si="22"/>
        <v>South Dakota-Thaddeus Notah</v>
      </c>
      <c r="B1272" s="3" t="s">
        <v>80</v>
      </c>
      <c r="C1272" s="3" t="s">
        <v>112</v>
      </c>
      <c r="D1272" s="4">
        <v>10865</v>
      </c>
      <c r="L1272" s="3" t="s">
        <v>77</v>
      </c>
      <c r="M1272" s="3" t="s">
        <v>102</v>
      </c>
      <c r="N1272" s="4">
        <v>21510</v>
      </c>
    </row>
    <row r="1273" spans="1:14" x14ac:dyDescent="0.25">
      <c r="A1273" s="5" t="str">
        <f t="shared" si="22"/>
        <v>Louisiana-Lianne Trappey</v>
      </c>
      <c r="B1273" s="3" t="s">
        <v>55</v>
      </c>
      <c r="C1273" s="3" t="s">
        <v>123</v>
      </c>
      <c r="D1273" s="4">
        <v>133680</v>
      </c>
      <c r="L1273" s="3" t="s">
        <v>77</v>
      </c>
      <c r="M1273" s="3" t="s">
        <v>106</v>
      </c>
      <c r="N1273" s="4">
        <v>137494</v>
      </c>
    </row>
    <row r="1274" spans="1:14" x14ac:dyDescent="0.25">
      <c r="A1274" s="5" t="str">
        <f t="shared" si="22"/>
        <v>Massachusetts-Armand Mcleon</v>
      </c>
      <c r="B1274" s="3" t="s">
        <v>58</v>
      </c>
      <c r="C1274" s="3" t="s">
        <v>110</v>
      </c>
      <c r="D1274" s="4">
        <v>115746</v>
      </c>
      <c r="L1274" s="3" t="s">
        <v>77</v>
      </c>
      <c r="M1274" s="3" t="s">
        <v>123</v>
      </c>
      <c r="N1274" s="4">
        <v>159853</v>
      </c>
    </row>
    <row r="1275" spans="1:14" x14ac:dyDescent="0.25">
      <c r="A1275" s="5" t="str">
        <f t="shared" si="22"/>
        <v>Kentucky-Lianne Trappey</v>
      </c>
      <c r="B1275" s="3" t="s">
        <v>54</v>
      </c>
      <c r="C1275" s="3" t="s">
        <v>123</v>
      </c>
      <c r="D1275" s="4">
        <v>109605</v>
      </c>
      <c r="L1275" s="3" t="s">
        <v>77</v>
      </c>
      <c r="M1275" s="3" t="s">
        <v>97</v>
      </c>
      <c r="N1275" s="4">
        <v>57407</v>
      </c>
    </row>
    <row r="1276" spans="1:14" x14ac:dyDescent="0.25">
      <c r="A1276" s="5" t="str">
        <f t="shared" si="22"/>
        <v>North Dakota-Nolan Gohn</v>
      </c>
      <c r="B1276" s="3" t="s">
        <v>71</v>
      </c>
      <c r="C1276" s="3" t="s">
        <v>118</v>
      </c>
      <c r="D1276" s="4">
        <v>59291</v>
      </c>
      <c r="L1276" s="3" t="s">
        <v>77</v>
      </c>
      <c r="M1276" s="3" t="s">
        <v>119</v>
      </c>
      <c r="N1276" s="4">
        <v>141869</v>
      </c>
    </row>
    <row r="1277" spans="1:14" x14ac:dyDescent="0.25">
      <c r="A1277" s="5" t="str">
        <f t="shared" si="22"/>
        <v>South Dakota-Twanda Lovenduski</v>
      </c>
      <c r="B1277" s="3" t="s">
        <v>80</v>
      </c>
      <c r="C1277" s="3" t="s">
        <v>107</v>
      </c>
      <c r="D1277" s="4">
        <v>120420</v>
      </c>
      <c r="L1277" s="3" t="s">
        <v>77</v>
      </c>
      <c r="M1277" s="3" t="s">
        <v>113</v>
      </c>
      <c r="N1277" s="4">
        <v>96019</v>
      </c>
    </row>
    <row r="1278" spans="1:14" x14ac:dyDescent="0.25">
      <c r="A1278" s="5" t="str">
        <f t="shared" si="22"/>
        <v>Virginia-Raphael Bonawitz</v>
      </c>
      <c r="B1278" s="3" t="s">
        <v>85</v>
      </c>
      <c r="C1278" s="3" t="s">
        <v>122</v>
      </c>
      <c r="D1278" s="4">
        <v>163128</v>
      </c>
      <c r="L1278" s="3" t="s">
        <v>77</v>
      </c>
      <c r="M1278" s="3" t="s">
        <v>105</v>
      </c>
      <c r="N1278" s="4">
        <v>85208</v>
      </c>
    </row>
    <row r="1279" spans="1:14" x14ac:dyDescent="0.25">
      <c r="A1279" s="5" t="str">
        <f t="shared" si="22"/>
        <v>Oregon-Twanda Lovenduski</v>
      </c>
      <c r="B1279" s="3" t="s">
        <v>75</v>
      </c>
      <c r="C1279" s="3" t="s">
        <v>107</v>
      </c>
      <c r="D1279" s="4">
        <v>64307</v>
      </c>
      <c r="L1279" s="3" t="s">
        <v>77</v>
      </c>
      <c r="M1279" s="3" t="s">
        <v>104</v>
      </c>
      <c r="N1279" s="4">
        <v>66401</v>
      </c>
    </row>
    <row r="1280" spans="1:14" x14ac:dyDescent="0.25">
      <c r="A1280" s="5" t="str">
        <f t="shared" si="22"/>
        <v>Virgin Islands-Genna Zaller</v>
      </c>
      <c r="B1280" s="3" t="s">
        <v>86</v>
      </c>
      <c r="C1280" s="3" t="s">
        <v>117</v>
      </c>
      <c r="D1280" s="4">
        <v>98448</v>
      </c>
      <c r="L1280" s="3" t="s">
        <v>77</v>
      </c>
      <c r="M1280" s="3" t="s">
        <v>100</v>
      </c>
      <c r="N1280" s="4">
        <v>50408</v>
      </c>
    </row>
    <row r="1281" spans="1:14" x14ac:dyDescent="0.25">
      <c r="A1281" s="5" t="str">
        <f t="shared" si="22"/>
        <v>New York-Sadye Diloreto</v>
      </c>
      <c r="B1281" s="3" t="s">
        <v>69</v>
      </c>
      <c r="C1281" s="3" t="s">
        <v>95</v>
      </c>
      <c r="D1281" s="4">
        <v>121453</v>
      </c>
      <c r="L1281" s="3" t="s">
        <v>77</v>
      </c>
      <c r="M1281" s="3" t="s">
        <v>118</v>
      </c>
      <c r="N1281" s="4">
        <v>24374</v>
      </c>
    </row>
    <row r="1282" spans="1:14" x14ac:dyDescent="0.25">
      <c r="A1282" s="5" t="str">
        <f t="shared" ref="A1282:A1345" si="23">B1282&amp;"-"&amp;C1282</f>
        <v>Delaware-Marlin Mavromatis</v>
      </c>
      <c r="B1282" s="3" t="s">
        <v>43</v>
      </c>
      <c r="C1282" s="3" t="s">
        <v>113</v>
      </c>
      <c r="D1282" s="4">
        <v>80170</v>
      </c>
      <c r="L1282" s="3" t="s">
        <v>77</v>
      </c>
      <c r="M1282" s="3" t="s">
        <v>101</v>
      </c>
      <c r="N1282" s="4">
        <v>62947</v>
      </c>
    </row>
    <row r="1283" spans="1:14" x14ac:dyDescent="0.25">
      <c r="A1283" s="5" t="str">
        <f t="shared" si="23"/>
        <v>New Jersey-Son Shryack</v>
      </c>
      <c r="B1283" s="3" t="s">
        <v>67</v>
      </c>
      <c r="C1283" s="3" t="s">
        <v>98</v>
      </c>
      <c r="D1283" s="4">
        <v>3402</v>
      </c>
      <c r="L1283" s="3" t="s">
        <v>77</v>
      </c>
      <c r="M1283" s="3" t="s">
        <v>122</v>
      </c>
      <c r="N1283" s="4">
        <v>15761</v>
      </c>
    </row>
    <row r="1284" spans="1:14" x14ac:dyDescent="0.25">
      <c r="A1284" s="5" t="str">
        <f t="shared" si="23"/>
        <v>Colorado-Thaddeus Notah</v>
      </c>
      <c r="B1284" s="3" t="s">
        <v>41</v>
      </c>
      <c r="C1284" s="3" t="s">
        <v>112</v>
      </c>
      <c r="D1284" s="4">
        <v>13568</v>
      </c>
      <c r="L1284" s="3" t="s">
        <v>77</v>
      </c>
      <c r="M1284" s="3" t="s">
        <v>109</v>
      </c>
      <c r="N1284" s="4">
        <v>23061</v>
      </c>
    </row>
    <row r="1285" spans="1:14" x14ac:dyDescent="0.25">
      <c r="A1285" s="5" t="str">
        <f t="shared" si="23"/>
        <v>Utah-Cliff Bahlmann</v>
      </c>
      <c r="B1285" s="3" t="s">
        <v>83</v>
      </c>
      <c r="C1285" s="3" t="s">
        <v>99</v>
      </c>
      <c r="D1285" s="4">
        <v>98922</v>
      </c>
      <c r="L1285" s="3" t="s">
        <v>77</v>
      </c>
      <c r="M1285" s="3" t="s">
        <v>95</v>
      </c>
      <c r="N1285" s="4">
        <v>162241</v>
      </c>
    </row>
    <row r="1286" spans="1:14" x14ac:dyDescent="0.25">
      <c r="A1286" s="5" t="str">
        <f t="shared" si="23"/>
        <v>Idaho-Marcel Davern</v>
      </c>
      <c r="B1286" s="3" t="s">
        <v>49</v>
      </c>
      <c r="C1286" s="3" t="s">
        <v>119</v>
      </c>
      <c r="D1286" s="4">
        <v>59418</v>
      </c>
      <c r="L1286" s="3" t="s">
        <v>77</v>
      </c>
      <c r="M1286" s="3" t="s">
        <v>98</v>
      </c>
      <c r="N1286" s="4">
        <v>36277</v>
      </c>
    </row>
    <row r="1287" spans="1:14" x14ac:dyDescent="0.25">
      <c r="A1287" s="5" t="str">
        <f t="shared" si="23"/>
        <v>Rhode Island-Sadye Diloreto</v>
      </c>
      <c r="B1287" s="3" t="s">
        <v>78</v>
      </c>
      <c r="C1287" s="3" t="s">
        <v>95</v>
      </c>
      <c r="D1287" s="4">
        <v>139503</v>
      </c>
      <c r="L1287" s="3" t="s">
        <v>77</v>
      </c>
      <c r="M1287" s="3" t="s">
        <v>114</v>
      </c>
      <c r="N1287" s="4">
        <v>98992</v>
      </c>
    </row>
    <row r="1288" spans="1:14" x14ac:dyDescent="0.25">
      <c r="A1288" s="5" t="str">
        <f t="shared" si="23"/>
        <v>Iowa-Genna Zaller</v>
      </c>
      <c r="B1288" s="3" t="s">
        <v>52</v>
      </c>
      <c r="C1288" s="3" t="s">
        <v>117</v>
      </c>
      <c r="D1288" s="4">
        <v>83929</v>
      </c>
      <c r="L1288" s="3" t="s">
        <v>77</v>
      </c>
      <c r="M1288" s="3" t="s">
        <v>112</v>
      </c>
      <c r="N1288" s="4">
        <v>83886</v>
      </c>
    </row>
    <row r="1289" spans="1:14" x14ac:dyDescent="0.25">
      <c r="A1289" s="5" t="str">
        <f t="shared" si="23"/>
        <v>Tennessee-Cliff Schnautz</v>
      </c>
      <c r="B1289" s="3" t="s">
        <v>81</v>
      </c>
      <c r="C1289" s="3" t="s">
        <v>96</v>
      </c>
      <c r="D1289" s="4">
        <v>146340</v>
      </c>
      <c r="L1289" s="3" t="s">
        <v>77</v>
      </c>
      <c r="M1289" s="3" t="s">
        <v>103</v>
      </c>
      <c r="N1289" s="4">
        <v>3404</v>
      </c>
    </row>
    <row r="1290" spans="1:14" x14ac:dyDescent="0.25">
      <c r="A1290" s="5" t="str">
        <f t="shared" si="23"/>
        <v>Colorado-Fidel Potra</v>
      </c>
      <c r="B1290" s="3" t="s">
        <v>41</v>
      </c>
      <c r="C1290" s="3" t="s">
        <v>115</v>
      </c>
      <c r="D1290" s="4">
        <v>71830</v>
      </c>
      <c r="L1290" s="3" t="s">
        <v>77</v>
      </c>
      <c r="M1290" s="3" t="s">
        <v>121</v>
      </c>
      <c r="N1290" s="4">
        <v>49050</v>
      </c>
    </row>
    <row r="1291" spans="1:14" x14ac:dyDescent="0.25">
      <c r="A1291" s="5" t="str">
        <f t="shared" si="23"/>
        <v>Hawaii-Lashon Bongers</v>
      </c>
      <c r="B1291" s="3" t="s">
        <v>48</v>
      </c>
      <c r="C1291" s="3" t="s">
        <v>106</v>
      </c>
      <c r="D1291" s="4">
        <v>45956</v>
      </c>
      <c r="L1291" s="3" t="s">
        <v>77</v>
      </c>
      <c r="M1291" s="3" t="s">
        <v>107</v>
      </c>
      <c r="N1291" s="4">
        <v>112209</v>
      </c>
    </row>
    <row r="1292" spans="1:14" x14ac:dyDescent="0.25">
      <c r="A1292" s="5" t="str">
        <f t="shared" si="23"/>
        <v>Illinois-Twanda Lovenduski</v>
      </c>
      <c r="B1292" s="3" t="s">
        <v>50</v>
      </c>
      <c r="C1292" s="3" t="s">
        <v>107</v>
      </c>
      <c r="D1292" s="4">
        <v>8625</v>
      </c>
      <c r="L1292" s="3" t="s">
        <v>78</v>
      </c>
      <c r="M1292" s="3" t="s">
        <v>116</v>
      </c>
      <c r="N1292" s="4">
        <v>159796</v>
      </c>
    </row>
    <row r="1293" spans="1:14" x14ac:dyDescent="0.25">
      <c r="A1293" s="5" t="str">
        <f t="shared" si="23"/>
        <v>New York-Marlin Mavromatis</v>
      </c>
      <c r="B1293" s="3" t="s">
        <v>69</v>
      </c>
      <c r="C1293" s="3" t="s">
        <v>113</v>
      </c>
      <c r="D1293" s="4">
        <v>71366</v>
      </c>
      <c r="L1293" s="3" t="s">
        <v>78</v>
      </c>
      <c r="M1293" s="3" t="s">
        <v>108</v>
      </c>
      <c r="N1293" s="4">
        <v>117461</v>
      </c>
    </row>
    <row r="1294" spans="1:14" x14ac:dyDescent="0.25">
      <c r="A1294" s="5" t="str">
        <f t="shared" si="23"/>
        <v>Idaho-Marvis Tenholder</v>
      </c>
      <c r="B1294" s="3" t="s">
        <v>49</v>
      </c>
      <c r="C1294" s="3" t="s">
        <v>105</v>
      </c>
      <c r="D1294" s="4">
        <v>3372</v>
      </c>
      <c r="L1294" s="3" t="s">
        <v>78</v>
      </c>
      <c r="M1294" s="3" t="s">
        <v>110</v>
      </c>
      <c r="N1294" s="4">
        <v>101734</v>
      </c>
    </row>
    <row r="1295" spans="1:14" x14ac:dyDescent="0.25">
      <c r="A1295" s="5" t="str">
        <f t="shared" si="23"/>
        <v>Wyoming-Armand Mcleon</v>
      </c>
      <c r="B1295" s="3" t="s">
        <v>90</v>
      </c>
      <c r="C1295" s="3" t="s">
        <v>110</v>
      </c>
      <c r="D1295" s="4">
        <v>134506</v>
      </c>
      <c r="L1295" s="3" t="s">
        <v>78</v>
      </c>
      <c r="M1295" s="3" t="s">
        <v>99</v>
      </c>
      <c r="N1295" s="4">
        <v>49744</v>
      </c>
    </row>
    <row r="1296" spans="1:14" x14ac:dyDescent="0.25">
      <c r="A1296" s="5" t="str">
        <f t="shared" si="23"/>
        <v>Pennsylvania-Thaddeus Cacciatori</v>
      </c>
      <c r="B1296" s="3" t="s">
        <v>76</v>
      </c>
      <c r="C1296" s="3" t="s">
        <v>114</v>
      </c>
      <c r="D1296" s="4">
        <v>3254</v>
      </c>
      <c r="L1296" s="3" t="s">
        <v>78</v>
      </c>
      <c r="M1296" s="3" t="s">
        <v>124</v>
      </c>
      <c r="N1296" s="4">
        <v>49069</v>
      </c>
    </row>
    <row r="1297" spans="1:14" x14ac:dyDescent="0.25">
      <c r="A1297" s="5" t="str">
        <f t="shared" si="23"/>
        <v>Illinois-Thaddeus Cacciatori</v>
      </c>
      <c r="B1297" s="3" t="s">
        <v>50</v>
      </c>
      <c r="C1297" s="3" t="s">
        <v>114</v>
      </c>
      <c r="D1297" s="4">
        <v>15859</v>
      </c>
      <c r="L1297" s="3" t="s">
        <v>78</v>
      </c>
      <c r="M1297" s="3" t="s">
        <v>96</v>
      </c>
      <c r="N1297" s="4">
        <v>77118</v>
      </c>
    </row>
    <row r="1298" spans="1:14" x14ac:dyDescent="0.25">
      <c r="A1298" s="5" t="str">
        <f t="shared" si="23"/>
        <v>Minnesota-Cliff Schnautz</v>
      </c>
      <c r="B1298" s="3" t="s">
        <v>60</v>
      </c>
      <c r="C1298" s="3" t="s">
        <v>96</v>
      </c>
      <c r="D1298" s="4">
        <v>59749</v>
      </c>
      <c r="L1298" s="3" t="s">
        <v>78</v>
      </c>
      <c r="M1298" s="3" t="s">
        <v>115</v>
      </c>
      <c r="N1298" s="4">
        <v>4035</v>
      </c>
    </row>
    <row r="1299" spans="1:14" x14ac:dyDescent="0.25">
      <c r="A1299" s="5" t="str">
        <f t="shared" si="23"/>
        <v>Virginia-Kai Stroebel</v>
      </c>
      <c r="B1299" s="3" t="s">
        <v>85</v>
      </c>
      <c r="C1299" s="3" t="s">
        <v>111</v>
      </c>
      <c r="D1299" s="4">
        <v>27961</v>
      </c>
      <c r="L1299" s="3" t="s">
        <v>78</v>
      </c>
      <c r="M1299" s="3" t="s">
        <v>117</v>
      </c>
      <c r="N1299" s="4">
        <v>47371</v>
      </c>
    </row>
    <row r="1300" spans="1:14" x14ac:dyDescent="0.25">
      <c r="A1300" s="5" t="str">
        <f t="shared" si="23"/>
        <v>Virgin Islands-Raphael Bonawitz</v>
      </c>
      <c r="B1300" s="3" t="s">
        <v>86</v>
      </c>
      <c r="C1300" s="3" t="s">
        <v>122</v>
      </c>
      <c r="D1300" s="4">
        <v>173673</v>
      </c>
      <c r="L1300" s="3" t="s">
        <v>78</v>
      </c>
      <c r="M1300" s="3" t="s">
        <v>120</v>
      </c>
      <c r="N1300" s="4">
        <v>12037</v>
      </c>
    </row>
    <row r="1301" spans="1:14" x14ac:dyDescent="0.25">
      <c r="A1301" s="5" t="str">
        <f t="shared" si="23"/>
        <v>Utah-Twanda Lovenduski</v>
      </c>
      <c r="B1301" s="3" t="s">
        <v>83</v>
      </c>
      <c r="C1301" s="3" t="s">
        <v>107</v>
      </c>
      <c r="D1301" s="4">
        <v>2615</v>
      </c>
      <c r="L1301" s="3" t="s">
        <v>78</v>
      </c>
      <c r="M1301" s="3" t="s">
        <v>111</v>
      </c>
      <c r="N1301" s="4">
        <v>107367</v>
      </c>
    </row>
    <row r="1302" spans="1:14" x14ac:dyDescent="0.25">
      <c r="A1302" s="5" t="str">
        <f t="shared" si="23"/>
        <v>Oklahoma-Ali Steenken</v>
      </c>
      <c r="B1302" s="3" t="s">
        <v>74</v>
      </c>
      <c r="C1302" s="3" t="s">
        <v>116</v>
      </c>
      <c r="D1302" s="4">
        <v>43284</v>
      </c>
      <c r="L1302" s="3" t="s">
        <v>78</v>
      </c>
      <c r="M1302" s="3" t="s">
        <v>102</v>
      </c>
      <c r="N1302" s="4">
        <v>148190</v>
      </c>
    </row>
    <row r="1303" spans="1:14" x14ac:dyDescent="0.25">
      <c r="A1303" s="5" t="str">
        <f t="shared" si="23"/>
        <v>Virginia-Fidel Potra</v>
      </c>
      <c r="B1303" s="3" t="s">
        <v>85</v>
      </c>
      <c r="C1303" s="3" t="s">
        <v>115</v>
      </c>
      <c r="D1303" s="4">
        <v>18441</v>
      </c>
      <c r="L1303" s="3" t="s">
        <v>78</v>
      </c>
      <c r="M1303" s="3" t="s">
        <v>106</v>
      </c>
      <c r="N1303" s="4">
        <v>124817</v>
      </c>
    </row>
    <row r="1304" spans="1:14" x14ac:dyDescent="0.25">
      <c r="A1304" s="5" t="str">
        <f t="shared" si="23"/>
        <v>South Carolina-Raphael Bonawitz</v>
      </c>
      <c r="B1304" s="3" t="s">
        <v>79</v>
      </c>
      <c r="C1304" s="3" t="s">
        <v>122</v>
      </c>
      <c r="D1304" s="4">
        <v>42005</v>
      </c>
      <c r="L1304" s="3" t="s">
        <v>78</v>
      </c>
      <c r="M1304" s="3" t="s">
        <v>123</v>
      </c>
      <c r="N1304" s="4">
        <v>154768</v>
      </c>
    </row>
    <row r="1305" spans="1:14" x14ac:dyDescent="0.25">
      <c r="A1305" s="5" t="str">
        <f t="shared" si="23"/>
        <v>South Dakota-Moises Paynes</v>
      </c>
      <c r="B1305" s="3" t="s">
        <v>80</v>
      </c>
      <c r="C1305" s="3" t="s">
        <v>104</v>
      </c>
      <c r="D1305" s="4">
        <v>54876</v>
      </c>
      <c r="L1305" s="3" t="s">
        <v>78</v>
      </c>
      <c r="M1305" s="3" t="s">
        <v>97</v>
      </c>
      <c r="N1305" s="4">
        <v>165683</v>
      </c>
    </row>
    <row r="1306" spans="1:14" x14ac:dyDescent="0.25">
      <c r="A1306" s="5" t="str">
        <f t="shared" si="23"/>
        <v>Texas-Twanda Lovenduski</v>
      </c>
      <c r="B1306" s="3" t="s">
        <v>82</v>
      </c>
      <c r="C1306" s="3" t="s">
        <v>107</v>
      </c>
      <c r="D1306" s="4">
        <v>70126</v>
      </c>
      <c r="L1306" s="3" t="s">
        <v>78</v>
      </c>
      <c r="M1306" s="3" t="s">
        <v>119</v>
      </c>
      <c r="N1306" s="4">
        <v>48866</v>
      </c>
    </row>
    <row r="1307" spans="1:14" x14ac:dyDescent="0.25">
      <c r="A1307" s="5" t="str">
        <f t="shared" si="23"/>
        <v>Iowa-Moises Paynes</v>
      </c>
      <c r="B1307" s="3" t="s">
        <v>52</v>
      </c>
      <c r="C1307" s="3" t="s">
        <v>104</v>
      </c>
      <c r="D1307" s="4">
        <v>160538</v>
      </c>
      <c r="L1307" s="3" t="s">
        <v>78</v>
      </c>
      <c r="M1307" s="3" t="s">
        <v>113</v>
      </c>
      <c r="N1307" s="4">
        <v>97382</v>
      </c>
    </row>
    <row r="1308" spans="1:14" x14ac:dyDescent="0.25">
      <c r="A1308" s="5" t="str">
        <f t="shared" si="23"/>
        <v>Illinois-Son Shryack</v>
      </c>
      <c r="B1308" s="3" t="s">
        <v>50</v>
      </c>
      <c r="C1308" s="3" t="s">
        <v>98</v>
      </c>
      <c r="D1308" s="4">
        <v>143636</v>
      </c>
      <c r="L1308" s="3" t="s">
        <v>78</v>
      </c>
      <c r="M1308" s="3" t="s">
        <v>105</v>
      </c>
      <c r="N1308" s="4">
        <v>17677</v>
      </c>
    </row>
    <row r="1309" spans="1:14" x14ac:dyDescent="0.25">
      <c r="A1309" s="5" t="str">
        <f t="shared" si="23"/>
        <v>Kentucky-Kai Stroebel</v>
      </c>
      <c r="B1309" s="3" t="s">
        <v>54</v>
      </c>
      <c r="C1309" s="3" t="s">
        <v>111</v>
      </c>
      <c r="D1309" s="4">
        <v>160353</v>
      </c>
      <c r="L1309" s="3" t="s">
        <v>78</v>
      </c>
      <c r="M1309" s="3" t="s">
        <v>104</v>
      </c>
      <c r="N1309" s="4">
        <v>137090</v>
      </c>
    </row>
    <row r="1310" spans="1:14" x14ac:dyDescent="0.25">
      <c r="A1310" s="5" t="str">
        <f t="shared" si="23"/>
        <v>American Samoa-Thaddeus Notah</v>
      </c>
      <c r="B1310" s="3" t="s">
        <v>37</v>
      </c>
      <c r="C1310" s="3" t="s">
        <v>112</v>
      </c>
      <c r="D1310" s="4">
        <v>169776</v>
      </c>
      <c r="L1310" s="3" t="s">
        <v>78</v>
      </c>
      <c r="M1310" s="3" t="s">
        <v>100</v>
      </c>
      <c r="N1310" s="4">
        <v>62470</v>
      </c>
    </row>
    <row r="1311" spans="1:14" x14ac:dyDescent="0.25">
      <c r="A1311" s="5" t="str">
        <f t="shared" si="23"/>
        <v>Maryland-Ali Steenken</v>
      </c>
      <c r="B1311" s="3" t="s">
        <v>57</v>
      </c>
      <c r="C1311" s="3" t="s">
        <v>116</v>
      </c>
      <c r="D1311" s="4">
        <v>172854</v>
      </c>
      <c r="L1311" s="3" t="s">
        <v>78</v>
      </c>
      <c r="M1311" s="3" t="s">
        <v>118</v>
      </c>
      <c r="N1311" s="4">
        <v>121318</v>
      </c>
    </row>
    <row r="1312" spans="1:14" x14ac:dyDescent="0.25">
      <c r="A1312" s="5" t="str">
        <f t="shared" si="23"/>
        <v>Nevada-Raphael Bonawitz</v>
      </c>
      <c r="B1312" s="3" t="s">
        <v>65</v>
      </c>
      <c r="C1312" s="3" t="s">
        <v>122</v>
      </c>
      <c r="D1312" s="4">
        <v>39709</v>
      </c>
      <c r="L1312" s="3" t="s">
        <v>78</v>
      </c>
      <c r="M1312" s="3" t="s">
        <v>101</v>
      </c>
      <c r="N1312" s="4">
        <v>14998</v>
      </c>
    </row>
    <row r="1313" spans="1:14" x14ac:dyDescent="0.25">
      <c r="A1313" s="5" t="str">
        <f t="shared" si="23"/>
        <v>Mississippi-Cliff Schnautz</v>
      </c>
      <c r="B1313" s="3" t="s">
        <v>61</v>
      </c>
      <c r="C1313" s="3" t="s">
        <v>96</v>
      </c>
      <c r="D1313" s="4">
        <v>82712</v>
      </c>
      <c r="L1313" s="3" t="s">
        <v>78</v>
      </c>
      <c r="M1313" s="3" t="s">
        <v>122</v>
      </c>
      <c r="N1313" s="4">
        <v>131965</v>
      </c>
    </row>
    <row r="1314" spans="1:14" x14ac:dyDescent="0.25">
      <c r="A1314" s="5" t="str">
        <f t="shared" si="23"/>
        <v>Illinois-Marvis Tenholder</v>
      </c>
      <c r="B1314" s="3" t="s">
        <v>50</v>
      </c>
      <c r="C1314" s="3" t="s">
        <v>105</v>
      </c>
      <c r="D1314" s="4">
        <v>126852</v>
      </c>
      <c r="L1314" s="3" t="s">
        <v>78</v>
      </c>
      <c r="M1314" s="3" t="s">
        <v>109</v>
      </c>
      <c r="N1314" s="4">
        <v>10281</v>
      </c>
    </row>
    <row r="1315" spans="1:14" x14ac:dyDescent="0.25">
      <c r="A1315" s="5" t="str">
        <f t="shared" si="23"/>
        <v>Wyoming-Keila Rossini</v>
      </c>
      <c r="B1315" s="3" t="s">
        <v>90</v>
      </c>
      <c r="C1315" s="3" t="s">
        <v>102</v>
      </c>
      <c r="D1315" s="4">
        <v>17352</v>
      </c>
      <c r="L1315" s="3" t="s">
        <v>78</v>
      </c>
      <c r="M1315" s="3" t="s">
        <v>95</v>
      </c>
      <c r="N1315" s="4">
        <v>139503</v>
      </c>
    </row>
    <row r="1316" spans="1:14" x14ac:dyDescent="0.25">
      <c r="A1316" s="5" t="str">
        <f t="shared" si="23"/>
        <v>Missouri-Jackson Lorkowski</v>
      </c>
      <c r="B1316" s="3" t="s">
        <v>62</v>
      </c>
      <c r="C1316" s="3" t="s">
        <v>120</v>
      </c>
      <c r="D1316" s="4">
        <v>22863</v>
      </c>
      <c r="L1316" s="3" t="s">
        <v>78</v>
      </c>
      <c r="M1316" s="3" t="s">
        <v>98</v>
      </c>
      <c r="N1316" s="4">
        <v>170270</v>
      </c>
    </row>
    <row r="1317" spans="1:14" x14ac:dyDescent="0.25">
      <c r="A1317" s="5" t="str">
        <f t="shared" si="23"/>
        <v>Alaska-Marvis Tenholder</v>
      </c>
      <c r="B1317" s="3" t="s">
        <v>36</v>
      </c>
      <c r="C1317" s="3" t="s">
        <v>105</v>
      </c>
      <c r="D1317" s="4">
        <v>156203</v>
      </c>
      <c r="L1317" s="3" t="s">
        <v>78</v>
      </c>
      <c r="M1317" s="3" t="s">
        <v>114</v>
      </c>
      <c r="N1317" s="4">
        <v>99584</v>
      </c>
    </row>
    <row r="1318" spans="1:14" x14ac:dyDescent="0.25">
      <c r="A1318" s="5" t="str">
        <f t="shared" si="23"/>
        <v>Tennessee-Moises Paynes</v>
      </c>
      <c r="B1318" s="3" t="s">
        <v>81</v>
      </c>
      <c r="C1318" s="3" t="s">
        <v>104</v>
      </c>
      <c r="D1318" s="4">
        <v>130853</v>
      </c>
      <c r="L1318" s="3" t="s">
        <v>78</v>
      </c>
      <c r="M1318" s="3" t="s">
        <v>112</v>
      </c>
      <c r="N1318" s="4">
        <v>153071</v>
      </c>
    </row>
    <row r="1319" spans="1:14" x14ac:dyDescent="0.25">
      <c r="A1319" s="5" t="str">
        <f t="shared" si="23"/>
        <v>Nevada-Ali Stupp</v>
      </c>
      <c r="B1319" s="3" t="s">
        <v>65</v>
      </c>
      <c r="C1319" s="3" t="s">
        <v>108</v>
      </c>
      <c r="D1319" s="4">
        <v>96666</v>
      </c>
      <c r="L1319" s="3" t="s">
        <v>78</v>
      </c>
      <c r="M1319" s="3" t="s">
        <v>103</v>
      </c>
      <c r="N1319" s="4">
        <v>109531</v>
      </c>
    </row>
    <row r="1320" spans="1:14" x14ac:dyDescent="0.25">
      <c r="A1320" s="5" t="str">
        <f t="shared" si="23"/>
        <v>Kentucky-Raphael Bonawitz</v>
      </c>
      <c r="B1320" s="3" t="s">
        <v>54</v>
      </c>
      <c r="C1320" s="3" t="s">
        <v>122</v>
      </c>
      <c r="D1320" s="4">
        <v>159392</v>
      </c>
      <c r="L1320" s="3" t="s">
        <v>78</v>
      </c>
      <c r="M1320" s="3" t="s">
        <v>121</v>
      </c>
      <c r="N1320" s="4">
        <v>46045</v>
      </c>
    </row>
    <row r="1321" spans="1:14" x14ac:dyDescent="0.25">
      <c r="A1321" s="5" t="str">
        <f t="shared" si="23"/>
        <v>Hawaii-Toi Medico</v>
      </c>
      <c r="B1321" s="3" t="s">
        <v>48</v>
      </c>
      <c r="C1321" s="3" t="s">
        <v>103</v>
      </c>
      <c r="D1321" s="4">
        <v>90718</v>
      </c>
      <c r="L1321" s="3" t="s">
        <v>78</v>
      </c>
      <c r="M1321" s="3" t="s">
        <v>107</v>
      </c>
      <c r="N1321" s="4">
        <v>81733</v>
      </c>
    </row>
    <row r="1322" spans="1:14" x14ac:dyDescent="0.25">
      <c r="A1322" s="5" t="str">
        <f t="shared" si="23"/>
        <v>Maryland-Twanda Lovenduski</v>
      </c>
      <c r="B1322" s="3" t="s">
        <v>57</v>
      </c>
      <c r="C1322" s="3" t="s">
        <v>107</v>
      </c>
      <c r="D1322" s="4">
        <v>11038</v>
      </c>
      <c r="L1322" s="3" t="s">
        <v>79</v>
      </c>
      <c r="M1322" s="3" t="s">
        <v>116</v>
      </c>
      <c r="N1322" s="4">
        <v>58871</v>
      </c>
    </row>
    <row r="1323" spans="1:14" x14ac:dyDescent="0.25">
      <c r="A1323" s="5" t="str">
        <f t="shared" si="23"/>
        <v>New York-Lucilla Bilecki</v>
      </c>
      <c r="B1323" s="3" t="s">
        <v>69</v>
      </c>
      <c r="C1323" s="3" t="s">
        <v>97</v>
      </c>
      <c r="D1323" s="4">
        <v>144165</v>
      </c>
      <c r="L1323" s="3" t="s">
        <v>79</v>
      </c>
      <c r="M1323" s="3" t="s">
        <v>108</v>
      </c>
      <c r="N1323" s="4">
        <v>87544</v>
      </c>
    </row>
    <row r="1324" spans="1:14" x14ac:dyDescent="0.25">
      <c r="A1324" s="5" t="str">
        <f t="shared" si="23"/>
        <v>New York-Quinton Modugno</v>
      </c>
      <c r="B1324" s="3" t="s">
        <v>69</v>
      </c>
      <c r="C1324" s="3" t="s">
        <v>101</v>
      </c>
      <c r="D1324" s="4">
        <v>55350</v>
      </c>
      <c r="L1324" s="3" t="s">
        <v>79</v>
      </c>
      <c r="M1324" s="3" t="s">
        <v>110</v>
      </c>
      <c r="N1324" s="4">
        <v>42005</v>
      </c>
    </row>
    <row r="1325" spans="1:14" x14ac:dyDescent="0.25">
      <c r="A1325" s="5" t="str">
        <f t="shared" si="23"/>
        <v>American Samoa-Kai Stroebel</v>
      </c>
      <c r="B1325" s="3" t="s">
        <v>37</v>
      </c>
      <c r="C1325" s="3" t="s">
        <v>111</v>
      </c>
      <c r="D1325" s="4">
        <v>129254</v>
      </c>
      <c r="L1325" s="3" t="s">
        <v>79</v>
      </c>
      <c r="M1325" s="3" t="s">
        <v>99</v>
      </c>
      <c r="N1325" s="4">
        <v>68886</v>
      </c>
    </row>
    <row r="1326" spans="1:14" x14ac:dyDescent="0.25">
      <c r="A1326" s="5" t="str">
        <f t="shared" si="23"/>
        <v>Minnesota-Cliff Galinski</v>
      </c>
      <c r="B1326" s="3" t="s">
        <v>60</v>
      </c>
      <c r="C1326" s="3" t="s">
        <v>124</v>
      </c>
      <c r="D1326" s="4">
        <v>91509</v>
      </c>
      <c r="L1326" s="3" t="s">
        <v>79</v>
      </c>
      <c r="M1326" s="3" t="s">
        <v>124</v>
      </c>
      <c r="N1326" s="4">
        <v>45038</v>
      </c>
    </row>
    <row r="1327" spans="1:14" x14ac:dyDescent="0.25">
      <c r="A1327" s="5" t="str">
        <f t="shared" si="23"/>
        <v>Alaska-Lashon Bongers</v>
      </c>
      <c r="B1327" s="3" t="s">
        <v>36</v>
      </c>
      <c r="C1327" s="3" t="s">
        <v>106</v>
      </c>
      <c r="D1327" s="4">
        <v>58473</v>
      </c>
      <c r="L1327" s="3" t="s">
        <v>79</v>
      </c>
      <c r="M1327" s="3" t="s">
        <v>96</v>
      </c>
      <c r="N1327" s="4">
        <v>45200</v>
      </c>
    </row>
    <row r="1328" spans="1:14" x14ac:dyDescent="0.25">
      <c r="A1328" s="5" t="str">
        <f t="shared" si="23"/>
        <v>Louisiana-Kai Stroebel</v>
      </c>
      <c r="B1328" s="3" t="s">
        <v>55</v>
      </c>
      <c r="C1328" s="3" t="s">
        <v>111</v>
      </c>
      <c r="D1328" s="4">
        <v>44314</v>
      </c>
      <c r="L1328" s="3" t="s">
        <v>79</v>
      </c>
      <c r="M1328" s="3" t="s">
        <v>115</v>
      </c>
      <c r="N1328" s="4">
        <v>141730</v>
      </c>
    </row>
    <row r="1329" spans="1:14" x14ac:dyDescent="0.25">
      <c r="A1329" s="5" t="str">
        <f t="shared" si="23"/>
        <v>Ohio-Raphael Bonawitz</v>
      </c>
      <c r="B1329" s="3" t="s">
        <v>73</v>
      </c>
      <c r="C1329" s="3" t="s">
        <v>122</v>
      </c>
      <c r="D1329" s="4">
        <v>163838</v>
      </c>
      <c r="L1329" s="3" t="s">
        <v>79</v>
      </c>
      <c r="M1329" s="3" t="s">
        <v>117</v>
      </c>
      <c r="N1329" s="4">
        <v>28618</v>
      </c>
    </row>
    <row r="1330" spans="1:14" x14ac:dyDescent="0.25">
      <c r="A1330" s="5" t="str">
        <f t="shared" si="23"/>
        <v>Delaware-Ali Stupp</v>
      </c>
      <c r="B1330" s="3" t="s">
        <v>43</v>
      </c>
      <c r="C1330" s="3" t="s">
        <v>108</v>
      </c>
      <c r="D1330" s="4">
        <v>79187</v>
      </c>
      <c r="L1330" s="3" t="s">
        <v>79</v>
      </c>
      <c r="M1330" s="3" t="s">
        <v>120</v>
      </c>
      <c r="N1330" s="4">
        <v>65462</v>
      </c>
    </row>
    <row r="1331" spans="1:14" x14ac:dyDescent="0.25">
      <c r="A1331" s="5" t="str">
        <f t="shared" si="23"/>
        <v>Vermont-Marvis Tenholder</v>
      </c>
      <c r="B1331" s="3" t="s">
        <v>84</v>
      </c>
      <c r="C1331" s="3" t="s">
        <v>105</v>
      </c>
      <c r="D1331" s="4">
        <v>64363</v>
      </c>
      <c r="L1331" s="3" t="s">
        <v>79</v>
      </c>
      <c r="M1331" s="3" t="s">
        <v>111</v>
      </c>
      <c r="N1331" s="4">
        <v>74710</v>
      </c>
    </row>
    <row r="1332" spans="1:14" x14ac:dyDescent="0.25">
      <c r="A1332" s="5" t="str">
        <f t="shared" si="23"/>
        <v>New York-Toi Medico</v>
      </c>
      <c r="B1332" s="3" t="s">
        <v>69</v>
      </c>
      <c r="C1332" s="3" t="s">
        <v>103</v>
      </c>
      <c r="D1332" s="4">
        <v>109245</v>
      </c>
      <c r="L1332" s="3" t="s">
        <v>79</v>
      </c>
      <c r="M1332" s="3" t="s">
        <v>102</v>
      </c>
      <c r="N1332" s="4">
        <v>38940</v>
      </c>
    </row>
    <row r="1333" spans="1:14" x14ac:dyDescent="0.25">
      <c r="A1333" s="5" t="str">
        <f t="shared" si="23"/>
        <v>Michigan-Thaddeus Notah</v>
      </c>
      <c r="B1333" s="3" t="s">
        <v>59</v>
      </c>
      <c r="C1333" s="3" t="s">
        <v>112</v>
      </c>
      <c r="D1333" s="4">
        <v>39101</v>
      </c>
      <c r="L1333" s="3" t="s">
        <v>79</v>
      </c>
      <c r="M1333" s="3" t="s">
        <v>106</v>
      </c>
      <c r="N1333" s="4">
        <v>107436</v>
      </c>
    </row>
    <row r="1334" spans="1:14" x14ac:dyDescent="0.25">
      <c r="A1334" s="5" t="str">
        <f t="shared" si="23"/>
        <v>Kansas-Lashon Bongers</v>
      </c>
      <c r="B1334" s="3" t="s">
        <v>53</v>
      </c>
      <c r="C1334" s="3" t="s">
        <v>106</v>
      </c>
      <c r="D1334" s="4">
        <v>78140</v>
      </c>
      <c r="L1334" s="3" t="s">
        <v>79</v>
      </c>
      <c r="M1334" s="3" t="s">
        <v>123</v>
      </c>
      <c r="N1334" s="4">
        <v>36886</v>
      </c>
    </row>
    <row r="1335" spans="1:14" x14ac:dyDescent="0.25">
      <c r="A1335" s="5" t="str">
        <f t="shared" si="23"/>
        <v>Montana-Keila Rossini</v>
      </c>
      <c r="B1335" s="3" t="s">
        <v>63</v>
      </c>
      <c r="C1335" s="3" t="s">
        <v>102</v>
      </c>
      <c r="D1335" s="4">
        <v>36017</v>
      </c>
      <c r="L1335" s="3" t="s">
        <v>79</v>
      </c>
      <c r="M1335" s="3" t="s">
        <v>97</v>
      </c>
      <c r="N1335" s="4">
        <v>134020</v>
      </c>
    </row>
    <row r="1336" spans="1:14" x14ac:dyDescent="0.25">
      <c r="A1336" s="5" t="str">
        <f t="shared" si="23"/>
        <v>Georgia-Marvis Tenholder</v>
      </c>
      <c r="B1336" s="3" t="s">
        <v>46</v>
      </c>
      <c r="C1336" s="3" t="s">
        <v>105</v>
      </c>
      <c r="D1336" s="4">
        <v>44492</v>
      </c>
      <c r="L1336" s="3" t="s">
        <v>79</v>
      </c>
      <c r="M1336" s="3" t="s">
        <v>119</v>
      </c>
      <c r="N1336" s="4">
        <v>7450</v>
      </c>
    </row>
    <row r="1337" spans="1:14" x14ac:dyDescent="0.25">
      <c r="A1337" s="5" t="str">
        <f t="shared" si="23"/>
        <v>Alabama-Cliff Schnautz</v>
      </c>
      <c r="B1337" s="3" t="s">
        <v>35</v>
      </c>
      <c r="C1337" s="3" t="s">
        <v>96</v>
      </c>
      <c r="D1337" s="4">
        <v>167948</v>
      </c>
      <c r="L1337" s="3" t="s">
        <v>79</v>
      </c>
      <c r="M1337" s="3" t="s">
        <v>113</v>
      </c>
      <c r="N1337" s="4">
        <v>101142</v>
      </c>
    </row>
    <row r="1338" spans="1:14" x14ac:dyDescent="0.25">
      <c r="A1338" s="5" t="str">
        <f t="shared" si="23"/>
        <v>Northern Marianas Islands-Genna Zaller</v>
      </c>
      <c r="B1338" s="3" t="s">
        <v>72</v>
      </c>
      <c r="C1338" s="3" t="s">
        <v>117</v>
      </c>
      <c r="D1338" s="4">
        <v>26968</v>
      </c>
      <c r="L1338" s="3" t="s">
        <v>79</v>
      </c>
      <c r="M1338" s="3" t="s">
        <v>105</v>
      </c>
      <c r="N1338" s="4">
        <v>74027</v>
      </c>
    </row>
    <row r="1339" spans="1:14" x14ac:dyDescent="0.25">
      <c r="A1339" s="5" t="str">
        <f t="shared" si="23"/>
        <v>District of Columbia-Cliff Galinski</v>
      </c>
      <c r="B1339" s="3" t="s">
        <v>44</v>
      </c>
      <c r="C1339" s="3" t="s">
        <v>124</v>
      </c>
      <c r="D1339" s="4">
        <v>108399</v>
      </c>
      <c r="L1339" s="3" t="s">
        <v>79</v>
      </c>
      <c r="M1339" s="3" t="s">
        <v>104</v>
      </c>
      <c r="N1339" s="4">
        <v>145912</v>
      </c>
    </row>
    <row r="1340" spans="1:14" x14ac:dyDescent="0.25">
      <c r="A1340" s="5" t="str">
        <f t="shared" si="23"/>
        <v>Connecticut-Kai Stroebel</v>
      </c>
      <c r="B1340" s="3" t="s">
        <v>42</v>
      </c>
      <c r="C1340" s="3" t="s">
        <v>111</v>
      </c>
      <c r="D1340" s="4">
        <v>94869</v>
      </c>
      <c r="L1340" s="3" t="s">
        <v>79</v>
      </c>
      <c r="M1340" s="3" t="s">
        <v>100</v>
      </c>
      <c r="N1340" s="4">
        <v>84777</v>
      </c>
    </row>
    <row r="1341" spans="1:14" x14ac:dyDescent="0.25">
      <c r="A1341" s="5" t="str">
        <f t="shared" si="23"/>
        <v>Indiana-Cliff Bahlmann</v>
      </c>
      <c r="B1341" s="3" t="s">
        <v>51</v>
      </c>
      <c r="C1341" s="3" t="s">
        <v>99</v>
      </c>
      <c r="D1341" s="4">
        <v>174368</v>
      </c>
      <c r="L1341" s="3" t="s">
        <v>79</v>
      </c>
      <c r="M1341" s="3" t="s">
        <v>118</v>
      </c>
      <c r="N1341" s="4">
        <v>36149</v>
      </c>
    </row>
    <row r="1342" spans="1:14" x14ac:dyDescent="0.25">
      <c r="A1342" s="5" t="str">
        <f t="shared" si="23"/>
        <v>Texas-Lianne Trappey</v>
      </c>
      <c r="B1342" s="3" t="s">
        <v>82</v>
      </c>
      <c r="C1342" s="3" t="s">
        <v>123</v>
      </c>
      <c r="D1342" s="4">
        <v>155508</v>
      </c>
      <c r="L1342" s="3" t="s">
        <v>79</v>
      </c>
      <c r="M1342" s="3" t="s">
        <v>101</v>
      </c>
      <c r="N1342" s="4">
        <v>13884</v>
      </c>
    </row>
    <row r="1343" spans="1:14" x14ac:dyDescent="0.25">
      <c r="A1343" s="5" t="str">
        <f t="shared" si="23"/>
        <v>Ohio-Armand Mcleon</v>
      </c>
      <c r="B1343" s="3" t="s">
        <v>73</v>
      </c>
      <c r="C1343" s="3" t="s">
        <v>110</v>
      </c>
      <c r="D1343" s="4">
        <v>124808</v>
      </c>
      <c r="L1343" s="3" t="s">
        <v>79</v>
      </c>
      <c r="M1343" s="3" t="s">
        <v>122</v>
      </c>
      <c r="N1343" s="4">
        <v>42005</v>
      </c>
    </row>
    <row r="1344" spans="1:14" x14ac:dyDescent="0.25">
      <c r="A1344" s="5" t="str">
        <f t="shared" si="23"/>
        <v>New Mexico-Cliff Galinski</v>
      </c>
      <c r="B1344" s="3" t="s">
        <v>68</v>
      </c>
      <c r="C1344" s="3" t="s">
        <v>124</v>
      </c>
      <c r="D1344" s="4">
        <v>76499</v>
      </c>
      <c r="L1344" s="3" t="s">
        <v>79</v>
      </c>
      <c r="M1344" s="3" t="s">
        <v>109</v>
      </c>
      <c r="N1344" s="4">
        <v>130851</v>
      </c>
    </row>
    <row r="1345" spans="1:14" x14ac:dyDescent="0.25">
      <c r="A1345" s="5" t="str">
        <f t="shared" si="23"/>
        <v>South Carolina-Lucilla Bilecki</v>
      </c>
      <c r="B1345" s="3" t="s">
        <v>79</v>
      </c>
      <c r="C1345" s="3" t="s">
        <v>97</v>
      </c>
      <c r="D1345" s="4">
        <v>134020</v>
      </c>
      <c r="L1345" s="3" t="s">
        <v>79</v>
      </c>
      <c r="M1345" s="3" t="s">
        <v>95</v>
      </c>
      <c r="N1345" s="4">
        <v>23047</v>
      </c>
    </row>
    <row r="1346" spans="1:14" x14ac:dyDescent="0.25">
      <c r="A1346" s="5" t="str">
        <f t="shared" ref="A1346:A1409" si="24">B1346&amp;"-"&amp;C1346</f>
        <v>West Virginia-Toi Zedaker</v>
      </c>
      <c r="B1346" s="3" t="s">
        <v>88</v>
      </c>
      <c r="C1346" s="3" t="s">
        <v>121</v>
      </c>
      <c r="D1346" s="4">
        <v>85572</v>
      </c>
      <c r="L1346" s="3" t="s">
        <v>79</v>
      </c>
      <c r="M1346" s="3" t="s">
        <v>98</v>
      </c>
      <c r="N1346" s="4">
        <v>20815</v>
      </c>
    </row>
    <row r="1347" spans="1:14" x14ac:dyDescent="0.25">
      <c r="A1347" s="5" t="str">
        <f t="shared" si="24"/>
        <v>South Carolina-Thaddeus Notah</v>
      </c>
      <c r="B1347" s="3" t="s">
        <v>79</v>
      </c>
      <c r="C1347" s="3" t="s">
        <v>112</v>
      </c>
      <c r="D1347" s="4">
        <v>132012</v>
      </c>
      <c r="L1347" s="3" t="s">
        <v>79</v>
      </c>
      <c r="M1347" s="3" t="s">
        <v>114</v>
      </c>
      <c r="N1347" s="4">
        <v>13148</v>
      </c>
    </row>
    <row r="1348" spans="1:14" x14ac:dyDescent="0.25">
      <c r="A1348" s="5" t="str">
        <f t="shared" si="24"/>
        <v>Delaware-Genna Zaller</v>
      </c>
      <c r="B1348" s="3" t="s">
        <v>43</v>
      </c>
      <c r="C1348" s="3" t="s">
        <v>117</v>
      </c>
      <c r="D1348" s="4">
        <v>111453</v>
      </c>
      <c r="L1348" s="3" t="s">
        <v>79</v>
      </c>
      <c r="M1348" s="3" t="s">
        <v>112</v>
      </c>
      <c r="N1348" s="4">
        <v>132012</v>
      </c>
    </row>
    <row r="1349" spans="1:14" x14ac:dyDescent="0.25">
      <c r="A1349" s="5" t="str">
        <f t="shared" si="24"/>
        <v>Kansas-Son Shryack</v>
      </c>
      <c r="B1349" s="3" t="s">
        <v>53</v>
      </c>
      <c r="C1349" s="3" t="s">
        <v>98</v>
      </c>
      <c r="D1349" s="4">
        <v>78334</v>
      </c>
      <c r="L1349" s="3" t="s">
        <v>79</v>
      </c>
      <c r="M1349" s="3" t="s">
        <v>103</v>
      </c>
      <c r="N1349" s="4">
        <v>173392</v>
      </c>
    </row>
    <row r="1350" spans="1:14" x14ac:dyDescent="0.25">
      <c r="A1350" s="5" t="str">
        <f t="shared" si="24"/>
        <v>Guam-Lashon Bongers</v>
      </c>
      <c r="B1350" s="3" t="s">
        <v>47</v>
      </c>
      <c r="C1350" s="3" t="s">
        <v>106</v>
      </c>
      <c r="D1350" s="4">
        <v>93294</v>
      </c>
      <c r="L1350" s="3" t="s">
        <v>79</v>
      </c>
      <c r="M1350" s="3" t="s">
        <v>121</v>
      </c>
      <c r="N1350" s="4">
        <v>48912</v>
      </c>
    </row>
    <row r="1351" spans="1:14" x14ac:dyDescent="0.25">
      <c r="A1351" s="5" t="str">
        <f t="shared" si="24"/>
        <v>Idaho-Marlin Mavromatis</v>
      </c>
      <c r="B1351" s="3" t="s">
        <v>49</v>
      </c>
      <c r="C1351" s="3" t="s">
        <v>113</v>
      </c>
      <c r="D1351" s="4">
        <v>82149</v>
      </c>
      <c r="L1351" s="3" t="s">
        <v>79</v>
      </c>
      <c r="M1351" s="3" t="s">
        <v>107</v>
      </c>
      <c r="N1351" s="4">
        <v>63375</v>
      </c>
    </row>
    <row r="1352" spans="1:14" x14ac:dyDescent="0.25">
      <c r="A1352" s="5" t="str">
        <f t="shared" si="24"/>
        <v>Alabama-Keila Rossini</v>
      </c>
      <c r="B1352" s="3" t="s">
        <v>35</v>
      </c>
      <c r="C1352" s="3" t="s">
        <v>102</v>
      </c>
      <c r="D1352" s="4">
        <v>46100</v>
      </c>
      <c r="L1352" s="3" t="s">
        <v>80</v>
      </c>
      <c r="M1352" s="3" t="s">
        <v>116</v>
      </c>
      <c r="N1352" s="4">
        <v>138500</v>
      </c>
    </row>
    <row r="1353" spans="1:14" x14ac:dyDescent="0.25">
      <c r="A1353" s="5" t="str">
        <f t="shared" si="24"/>
        <v>Kansas-Raphael Bonawitz</v>
      </c>
      <c r="B1353" s="3" t="s">
        <v>53</v>
      </c>
      <c r="C1353" s="3" t="s">
        <v>122</v>
      </c>
      <c r="D1353" s="4">
        <v>88131</v>
      </c>
      <c r="L1353" s="3" t="s">
        <v>80</v>
      </c>
      <c r="M1353" s="3" t="s">
        <v>108</v>
      </c>
      <c r="N1353" s="4">
        <v>98491</v>
      </c>
    </row>
    <row r="1354" spans="1:14" x14ac:dyDescent="0.25">
      <c r="A1354" s="5" t="str">
        <f t="shared" si="24"/>
        <v>New Mexico-Nolan Deorio</v>
      </c>
      <c r="B1354" s="3" t="s">
        <v>68</v>
      </c>
      <c r="C1354" s="3" t="s">
        <v>100</v>
      </c>
      <c r="D1354" s="4">
        <v>101979</v>
      </c>
      <c r="L1354" s="3" t="s">
        <v>80</v>
      </c>
      <c r="M1354" s="3" t="s">
        <v>110</v>
      </c>
      <c r="N1354" s="4">
        <v>89892</v>
      </c>
    </row>
    <row r="1355" spans="1:14" x14ac:dyDescent="0.25">
      <c r="A1355" s="5" t="str">
        <f t="shared" si="24"/>
        <v>Indiana-Marvis Tenholder</v>
      </c>
      <c r="B1355" s="3" t="s">
        <v>51</v>
      </c>
      <c r="C1355" s="3" t="s">
        <v>105</v>
      </c>
      <c r="D1355" s="4">
        <v>156068</v>
      </c>
      <c r="L1355" s="3" t="s">
        <v>80</v>
      </c>
      <c r="M1355" s="3" t="s">
        <v>99</v>
      </c>
      <c r="N1355" s="4">
        <v>80466</v>
      </c>
    </row>
    <row r="1356" spans="1:14" x14ac:dyDescent="0.25">
      <c r="A1356" s="5" t="str">
        <f t="shared" si="24"/>
        <v>Michigan-Moises Paynes</v>
      </c>
      <c r="B1356" s="3" t="s">
        <v>59</v>
      </c>
      <c r="C1356" s="3" t="s">
        <v>104</v>
      </c>
      <c r="D1356" s="4">
        <v>9984</v>
      </c>
      <c r="L1356" s="3" t="s">
        <v>80</v>
      </c>
      <c r="M1356" s="3" t="s">
        <v>124</v>
      </c>
      <c r="N1356" s="4">
        <v>83366</v>
      </c>
    </row>
    <row r="1357" spans="1:14" x14ac:dyDescent="0.25">
      <c r="A1357" s="5" t="str">
        <f t="shared" si="24"/>
        <v>Hawaii-Lucilla Bilecki</v>
      </c>
      <c r="B1357" s="3" t="s">
        <v>48</v>
      </c>
      <c r="C1357" s="3" t="s">
        <v>97</v>
      </c>
      <c r="D1357" s="4">
        <v>136897</v>
      </c>
      <c r="L1357" s="3" t="s">
        <v>80</v>
      </c>
      <c r="M1357" s="3" t="s">
        <v>96</v>
      </c>
      <c r="N1357" s="4">
        <v>137378</v>
      </c>
    </row>
    <row r="1358" spans="1:14" x14ac:dyDescent="0.25">
      <c r="A1358" s="5" t="str">
        <f t="shared" si="24"/>
        <v>Colorado-Lucilla Bilecki</v>
      </c>
      <c r="B1358" s="3" t="s">
        <v>41</v>
      </c>
      <c r="C1358" s="3" t="s">
        <v>97</v>
      </c>
      <c r="D1358" s="4">
        <v>39633</v>
      </c>
      <c r="L1358" s="3" t="s">
        <v>80</v>
      </c>
      <c r="M1358" s="3" t="s">
        <v>115</v>
      </c>
      <c r="N1358" s="4">
        <v>109006</v>
      </c>
    </row>
    <row r="1359" spans="1:14" x14ac:dyDescent="0.25">
      <c r="A1359" s="5" t="str">
        <f t="shared" si="24"/>
        <v>New York-Marcel Davern</v>
      </c>
      <c r="B1359" s="3" t="s">
        <v>69</v>
      </c>
      <c r="C1359" s="3" t="s">
        <v>119</v>
      </c>
      <c r="D1359" s="4">
        <v>110636</v>
      </c>
      <c r="L1359" s="3" t="s">
        <v>80</v>
      </c>
      <c r="M1359" s="3" t="s">
        <v>117</v>
      </c>
      <c r="N1359" s="4">
        <v>59709</v>
      </c>
    </row>
    <row r="1360" spans="1:14" x14ac:dyDescent="0.25">
      <c r="A1360" s="5" t="str">
        <f t="shared" si="24"/>
        <v>Louisiana-Toi Medico</v>
      </c>
      <c r="B1360" s="3" t="s">
        <v>55</v>
      </c>
      <c r="C1360" s="3" t="s">
        <v>103</v>
      </c>
      <c r="D1360" s="4">
        <v>60762</v>
      </c>
      <c r="L1360" s="3" t="s">
        <v>80</v>
      </c>
      <c r="M1360" s="3" t="s">
        <v>120</v>
      </c>
      <c r="N1360" s="4">
        <v>160988</v>
      </c>
    </row>
    <row r="1361" spans="1:14" x14ac:dyDescent="0.25">
      <c r="A1361" s="5" t="str">
        <f t="shared" si="24"/>
        <v>Maryland-Genna Zaller</v>
      </c>
      <c r="B1361" s="3" t="s">
        <v>57</v>
      </c>
      <c r="C1361" s="3" t="s">
        <v>117</v>
      </c>
      <c r="D1361" s="4">
        <v>131543</v>
      </c>
      <c r="L1361" s="3" t="s">
        <v>80</v>
      </c>
      <c r="M1361" s="3" t="s">
        <v>111</v>
      </c>
      <c r="N1361" s="4">
        <v>79664</v>
      </c>
    </row>
    <row r="1362" spans="1:14" x14ac:dyDescent="0.25">
      <c r="A1362" s="5" t="str">
        <f t="shared" si="24"/>
        <v>Puerto Rico-Keila Rossini</v>
      </c>
      <c r="B1362" s="3" t="s">
        <v>77</v>
      </c>
      <c r="C1362" s="3" t="s">
        <v>102</v>
      </c>
      <c r="D1362" s="4">
        <v>21510</v>
      </c>
      <c r="L1362" s="3" t="s">
        <v>80</v>
      </c>
      <c r="M1362" s="3" t="s">
        <v>102</v>
      </c>
      <c r="N1362" s="4">
        <v>123972</v>
      </c>
    </row>
    <row r="1363" spans="1:14" x14ac:dyDescent="0.25">
      <c r="A1363" s="5" t="str">
        <f t="shared" si="24"/>
        <v>Vermont-Cliff Bahlmann</v>
      </c>
      <c r="B1363" s="3" t="s">
        <v>84</v>
      </c>
      <c r="C1363" s="3" t="s">
        <v>99</v>
      </c>
      <c r="D1363" s="4">
        <v>165938</v>
      </c>
      <c r="L1363" s="3" t="s">
        <v>80</v>
      </c>
      <c r="M1363" s="3" t="s">
        <v>106</v>
      </c>
      <c r="N1363" s="4">
        <v>151156</v>
      </c>
    </row>
    <row r="1364" spans="1:14" x14ac:dyDescent="0.25">
      <c r="A1364" s="5" t="str">
        <f t="shared" si="24"/>
        <v>Hawaii-Twanda Lovenduski</v>
      </c>
      <c r="B1364" s="3" t="s">
        <v>48</v>
      </c>
      <c r="C1364" s="3" t="s">
        <v>107</v>
      </c>
      <c r="D1364" s="4">
        <v>168435</v>
      </c>
      <c r="L1364" s="3" t="s">
        <v>80</v>
      </c>
      <c r="M1364" s="3" t="s">
        <v>123</v>
      </c>
      <c r="N1364" s="4">
        <v>23789</v>
      </c>
    </row>
    <row r="1365" spans="1:14" x14ac:dyDescent="0.25">
      <c r="A1365" s="5" t="str">
        <f t="shared" si="24"/>
        <v>Massachusetts-Quinton Modugno</v>
      </c>
      <c r="B1365" s="3" t="s">
        <v>58</v>
      </c>
      <c r="C1365" s="3" t="s">
        <v>101</v>
      </c>
      <c r="D1365" s="4">
        <v>60415</v>
      </c>
      <c r="L1365" s="3" t="s">
        <v>80</v>
      </c>
      <c r="M1365" s="3" t="s">
        <v>97</v>
      </c>
      <c r="N1365" s="4">
        <v>35931</v>
      </c>
    </row>
    <row r="1366" spans="1:14" x14ac:dyDescent="0.25">
      <c r="A1366" s="5" t="str">
        <f t="shared" si="24"/>
        <v>Pennsylvania-Armand Mcleon</v>
      </c>
      <c r="B1366" s="3" t="s">
        <v>76</v>
      </c>
      <c r="C1366" s="3" t="s">
        <v>110</v>
      </c>
      <c r="D1366" s="4">
        <v>136155</v>
      </c>
      <c r="L1366" s="3" t="s">
        <v>80</v>
      </c>
      <c r="M1366" s="3" t="s">
        <v>119</v>
      </c>
      <c r="N1366" s="4">
        <v>63307</v>
      </c>
    </row>
    <row r="1367" spans="1:14" x14ac:dyDescent="0.25">
      <c r="A1367" s="5" t="str">
        <f t="shared" si="24"/>
        <v>Kansas-Genna Zaller</v>
      </c>
      <c r="B1367" s="3" t="s">
        <v>53</v>
      </c>
      <c r="C1367" s="3" t="s">
        <v>117</v>
      </c>
      <c r="D1367" s="4">
        <v>155654</v>
      </c>
      <c r="L1367" s="3" t="s">
        <v>80</v>
      </c>
      <c r="M1367" s="3" t="s">
        <v>113</v>
      </c>
      <c r="N1367" s="4">
        <v>35177</v>
      </c>
    </row>
    <row r="1368" spans="1:14" x14ac:dyDescent="0.25">
      <c r="A1368" s="5" t="str">
        <f t="shared" si="24"/>
        <v>Utah-Keila Rossini</v>
      </c>
      <c r="B1368" s="3" t="s">
        <v>83</v>
      </c>
      <c r="C1368" s="3" t="s">
        <v>102</v>
      </c>
      <c r="D1368" s="4">
        <v>17329</v>
      </c>
      <c r="L1368" s="3" t="s">
        <v>80</v>
      </c>
      <c r="M1368" s="3" t="s">
        <v>105</v>
      </c>
      <c r="N1368" s="4">
        <v>51644</v>
      </c>
    </row>
    <row r="1369" spans="1:14" x14ac:dyDescent="0.25">
      <c r="A1369" s="5" t="str">
        <f t="shared" si="24"/>
        <v>California-Ali Stupp</v>
      </c>
      <c r="B1369" s="3" t="s">
        <v>40</v>
      </c>
      <c r="C1369" s="3" t="s">
        <v>108</v>
      </c>
      <c r="D1369" s="4">
        <v>44750</v>
      </c>
      <c r="L1369" s="3" t="s">
        <v>80</v>
      </c>
      <c r="M1369" s="3" t="s">
        <v>104</v>
      </c>
      <c r="N1369" s="4">
        <v>54876</v>
      </c>
    </row>
    <row r="1370" spans="1:14" x14ac:dyDescent="0.25">
      <c r="A1370" s="5" t="str">
        <f t="shared" si="24"/>
        <v>Rhode Island-Marcel Davern</v>
      </c>
      <c r="B1370" s="3" t="s">
        <v>78</v>
      </c>
      <c r="C1370" s="3" t="s">
        <v>119</v>
      </c>
      <c r="D1370" s="4">
        <v>48866</v>
      </c>
      <c r="L1370" s="3" t="s">
        <v>80</v>
      </c>
      <c r="M1370" s="3" t="s">
        <v>100</v>
      </c>
      <c r="N1370" s="4">
        <v>158784</v>
      </c>
    </row>
    <row r="1371" spans="1:14" x14ac:dyDescent="0.25">
      <c r="A1371" s="5" t="str">
        <f t="shared" si="24"/>
        <v>American Samoa-Moises Paynes</v>
      </c>
      <c r="B1371" s="3" t="s">
        <v>37</v>
      </c>
      <c r="C1371" s="3" t="s">
        <v>104</v>
      </c>
      <c r="D1371" s="4">
        <v>57844</v>
      </c>
      <c r="L1371" s="3" t="s">
        <v>80</v>
      </c>
      <c r="M1371" s="3" t="s">
        <v>118</v>
      </c>
      <c r="N1371" s="4">
        <v>52184</v>
      </c>
    </row>
    <row r="1372" spans="1:14" x14ac:dyDescent="0.25">
      <c r="A1372" s="5" t="str">
        <f t="shared" si="24"/>
        <v>Maryland-Sadye Diloreto</v>
      </c>
      <c r="B1372" s="3" t="s">
        <v>57</v>
      </c>
      <c r="C1372" s="3" t="s">
        <v>95</v>
      </c>
      <c r="D1372" s="4">
        <v>97228</v>
      </c>
      <c r="L1372" s="3" t="s">
        <v>80</v>
      </c>
      <c r="M1372" s="3" t="s">
        <v>101</v>
      </c>
      <c r="N1372" s="4">
        <v>159844</v>
      </c>
    </row>
    <row r="1373" spans="1:14" x14ac:dyDescent="0.25">
      <c r="A1373" s="5" t="str">
        <f t="shared" si="24"/>
        <v>American Samoa-Armand Mcleon</v>
      </c>
      <c r="B1373" s="3" t="s">
        <v>37</v>
      </c>
      <c r="C1373" s="3" t="s">
        <v>110</v>
      </c>
      <c r="D1373" s="4">
        <v>17680</v>
      </c>
      <c r="L1373" s="3" t="s">
        <v>80</v>
      </c>
      <c r="M1373" s="3" t="s">
        <v>122</v>
      </c>
      <c r="N1373" s="4">
        <v>113893</v>
      </c>
    </row>
    <row r="1374" spans="1:14" x14ac:dyDescent="0.25">
      <c r="A1374" s="5" t="str">
        <f t="shared" si="24"/>
        <v>Nevada-Thaddeus Notah</v>
      </c>
      <c r="B1374" s="3" t="s">
        <v>65</v>
      </c>
      <c r="C1374" s="3" t="s">
        <v>112</v>
      </c>
      <c r="D1374" s="4">
        <v>49255</v>
      </c>
      <c r="L1374" s="3" t="s">
        <v>80</v>
      </c>
      <c r="M1374" s="3" t="s">
        <v>109</v>
      </c>
      <c r="N1374" s="4">
        <v>105749</v>
      </c>
    </row>
    <row r="1375" spans="1:14" x14ac:dyDescent="0.25">
      <c r="A1375" s="5" t="str">
        <f t="shared" si="24"/>
        <v>Nevada-Nolan Deorio</v>
      </c>
      <c r="B1375" s="3" t="s">
        <v>65</v>
      </c>
      <c r="C1375" s="3" t="s">
        <v>100</v>
      </c>
      <c r="D1375" s="4">
        <v>56985</v>
      </c>
      <c r="L1375" s="3" t="s">
        <v>80</v>
      </c>
      <c r="M1375" s="3" t="s">
        <v>95</v>
      </c>
      <c r="N1375" s="4">
        <v>75753</v>
      </c>
    </row>
    <row r="1376" spans="1:14" x14ac:dyDescent="0.25">
      <c r="A1376" s="5" t="str">
        <f t="shared" si="24"/>
        <v>South Carolina-Raphael Derrig</v>
      </c>
      <c r="B1376" s="3" t="s">
        <v>79</v>
      </c>
      <c r="C1376" s="3" t="s">
        <v>109</v>
      </c>
      <c r="D1376" s="4">
        <v>130851</v>
      </c>
      <c r="L1376" s="3" t="s">
        <v>80</v>
      </c>
      <c r="M1376" s="3" t="s">
        <v>98</v>
      </c>
      <c r="N1376" s="4">
        <v>95351</v>
      </c>
    </row>
    <row r="1377" spans="1:14" x14ac:dyDescent="0.25">
      <c r="A1377" s="5" t="str">
        <f t="shared" si="24"/>
        <v>Missouri-Son Shryack</v>
      </c>
      <c r="B1377" s="3" t="s">
        <v>62</v>
      </c>
      <c r="C1377" s="3" t="s">
        <v>98</v>
      </c>
      <c r="D1377" s="4">
        <v>145091</v>
      </c>
      <c r="L1377" s="3" t="s">
        <v>80</v>
      </c>
      <c r="M1377" s="3" t="s">
        <v>114</v>
      </c>
      <c r="N1377" s="4">
        <v>40593</v>
      </c>
    </row>
    <row r="1378" spans="1:14" x14ac:dyDescent="0.25">
      <c r="A1378" s="5" t="str">
        <f t="shared" si="24"/>
        <v>Delaware-Nolan Gohn</v>
      </c>
      <c r="B1378" s="3" t="s">
        <v>43</v>
      </c>
      <c r="C1378" s="3" t="s">
        <v>118</v>
      </c>
      <c r="D1378" s="4">
        <v>96573</v>
      </c>
      <c r="L1378" s="3" t="s">
        <v>80</v>
      </c>
      <c r="M1378" s="3" t="s">
        <v>112</v>
      </c>
      <c r="N1378" s="4">
        <v>10865</v>
      </c>
    </row>
    <row r="1379" spans="1:14" x14ac:dyDescent="0.25">
      <c r="A1379" s="5" t="str">
        <f t="shared" si="24"/>
        <v>Rhode Island-Genna Zaller</v>
      </c>
      <c r="B1379" s="3" t="s">
        <v>78</v>
      </c>
      <c r="C1379" s="3" t="s">
        <v>117</v>
      </c>
      <c r="D1379" s="4">
        <v>47371</v>
      </c>
      <c r="L1379" s="3" t="s">
        <v>80</v>
      </c>
      <c r="M1379" s="3" t="s">
        <v>103</v>
      </c>
      <c r="N1379" s="4">
        <v>135205</v>
      </c>
    </row>
    <row r="1380" spans="1:14" x14ac:dyDescent="0.25">
      <c r="A1380" s="5" t="str">
        <f t="shared" si="24"/>
        <v>Arkansas-Toi Zedaker</v>
      </c>
      <c r="B1380" s="3" t="s">
        <v>39</v>
      </c>
      <c r="C1380" s="3" t="s">
        <v>121</v>
      </c>
      <c r="D1380" s="4">
        <v>97826</v>
      </c>
      <c r="L1380" s="3" t="s">
        <v>80</v>
      </c>
      <c r="M1380" s="3" t="s">
        <v>121</v>
      </c>
      <c r="N1380" s="4">
        <v>102091</v>
      </c>
    </row>
    <row r="1381" spans="1:14" x14ac:dyDescent="0.25">
      <c r="A1381" s="5" t="str">
        <f t="shared" si="24"/>
        <v>Tennessee-Son Shryack</v>
      </c>
      <c r="B1381" s="3" t="s">
        <v>81</v>
      </c>
      <c r="C1381" s="3" t="s">
        <v>98</v>
      </c>
      <c r="D1381" s="4">
        <v>162121</v>
      </c>
      <c r="L1381" s="3" t="s">
        <v>80</v>
      </c>
      <c r="M1381" s="3" t="s">
        <v>107</v>
      </c>
      <c r="N1381" s="4">
        <v>120420</v>
      </c>
    </row>
    <row r="1382" spans="1:14" x14ac:dyDescent="0.25">
      <c r="A1382" s="5" t="str">
        <f t="shared" si="24"/>
        <v>Wisconsin-Sadye Diloreto</v>
      </c>
      <c r="B1382" s="3" t="s">
        <v>89</v>
      </c>
      <c r="C1382" s="3" t="s">
        <v>95</v>
      </c>
      <c r="D1382" s="4">
        <v>163604</v>
      </c>
      <c r="L1382" s="3" t="s">
        <v>81</v>
      </c>
      <c r="M1382" s="3" t="s">
        <v>116</v>
      </c>
      <c r="N1382" s="4">
        <v>30966</v>
      </c>
    </row>
    <row r="1383" spans="1:14" x14ac:dyDescent="0.25">
      <c r="A1383" s="5" t="str">
        <f t="shared" si="24"/>
        <v>Utah-Marlin Mavromatis</v>
      </c>
      <c r="B1383" s="3" t="s">
        <v>83</v>
      </c>
      <c r="C1383" s="3" t="s">
        <v>113</v>
      </c>
      <c r="D1383" s="4">
        <v>22287</v>
      </c>
      <c r="L1383" s="3" t="s">
        <v>81</v>
      </c>
      <c r="M1383" s="3" t="s">
        <v>108</v>
      </c>
      <c r="N1383" s="4">
        <v>35356</v>
      </c>
    </row>
    <row r="1384" spans="1:14" x14ac:dyDescent="0.25">
      <c r="A1384" s="5" t="str">
        <f t="shared" si="24"/>
        <v>Missouri-Genna Zaller</v>
      </c>
      <c r="B1384" s="3" t="s">
        <v>62</v>
      </c>
      <c r="C1384" s="3" t="s">
        <v>117</v>
      </c>
      <c r="D1384" s="4">
        <v>83595</v>
      </c>
      <c r="L1384" s="3" t="s">
        <v>81</v>
      </c>
      <c r="M1384" s="3" t="s">
        <v>110</v>
      </c>
      <c r="N1384" s="4">
        <v>87738</v>
      </c>
    </row>
    <row r="1385" spans="1:14" x14ac:dyDescent="0.25">
      <c r="A1385" s="5" t="str">
        <f t="shared" si="24"/>
        <v>Mississippi-Nolan Deorio</v>
      </c>
      <c r="B1385" s="3" t="s">
        <v>61</v>
      </c>
      <c r="C1385" s="3" t="s">
        <v>100</v>
      </c>
      <c r="D1385" s="4">
        <v>163401</v>
      </c>
      <c r="L1385" s="3" t="s">
        <v>81</v>
      </c>
      <c r="M1385" s="3" t="s">
        <v>99</v>
      </c>
      <c r="N1385" s="4">
        <v>45705</v>
      </c>
    </row>
    <row r="1386" spans="1:14" x14ac:dyDescent="0.25">
      <c r="A1386" s="5" t="str">
        <f t="shared" si="24"/>
        <v>Virginia-Cliff Galinski</v>
      </c>
      <c r="B1386" s="3" t="s">
        <v>85</v>
      </c>
      <c r="C1386" s="3" t="s">
        <v>124</v>
      </c>
      <c r="D1386" s="4">
        <v>87689</v>
      </c>
      <c r="L1386" s="3" t="s">
        <v>81</v>
      </c>
      <c r="M1386" s="3" t="s">
        <v>124</v>
      </c>
      <c r="N1386" s="4">
        <v>19014</v>
      </c>
    </row>
    <row r="1387" spans="1:14" x14ac:dyDescent="0.25">
      <c r="A1387" s="5" t="str">
        <f t="shared" si="24"/>
        <v>Georgia-Genna Zaller</v>
      </c>
      <c r="B1387" s="3" t="s">
        <v>46</v>
      </c>
      <c r="C1387" s="3" t="s">
        <v>117</v>
      </c>
      <c r="D1387" s="4">
        <v>51802</v>
      </c>
      <c r="L1387" s="3" t="s">
        <v>81</v>
      </c>
      <c r="M1387" s="3" t="s">
        <v>96</v>
      </c>
      <c r="N1387" s="4">
        <v>146340</v>
      </c>
    </row>
    <row r="1388" spans="1:14" x14ac:dyDescent="0.25">
      <c r="A1388" s="5" t="str">
        <f t="shared" si="24"/>
        <v>Northern Marianas Islands-Kai Stroebel</v>
      </c>
      <c r="B1388" s="3" t="s">
        <v>72</v>
      </c>
      <c r="C1388" s="3" t="s">
        <v>111</v>
      </c>
      <c r="D1388" s="4">
        <v>95194</v>
      </c>
      <c r="L1388" s="3" t="s">
        <v>81</v>
      </c>
      <c r="M1388" s="3" t="s">
        <v>115</v>
      </c>
      <c r="N1388" s="4">
        <v>139966</v>
      </c>
    </row>
    <row r="1389" spans="1:14" x14ac:dyDescent="0.25">
      <c r="A1389" s="5" t="str">
        <f t="shared" si="24"/>
        <v>Louisiana-Toi Zedaker</v>
      </c>
      <c r="B1389" s="3" t="s">
        <v>55</v>
      </c>
      <c r="C1389" s="3" t="s">
        <v>121</v>
      </c>
      <c r="D1389" s="4">
        <v>106954</v>
      </c>
      <c r="L1389" s="3" t="s">
        <v>81</v>
      </c>
      <c r="M1389" s="3" t="s">
        <v>117</v>
      </c>
      <c r="N1389" s="4">
        <v>56097</v>
      </c>
    </row>
    <row r="1390" spans="1:14" x14ac:dyDescent="0.25">
      <c r="A1390" s="5" t="str">
        <f t="shared" si="24"/>
        <v>Texas-Raphael Bonawitz</v>
      </c>
      <c r="B1390" s="3" t="s">
        <v>82</v>
      </c>
      <c r="C1390" s="3" t="s">
        <v>122</v>
      </c>
      <c r="D1390" s="4">
        <v>169228</v>
      </c>
      <c r="L1390" s="3" t="s">
        <v>81</v>
      </c>
      <c r="M1390" s="3" t="s">
        <v>120</v>
      </c>
      <c r="N1390" s="4">
        <v>105168</v>
      </c>
    </row>
    <row r="1391" spans="1:14" x14ac:dyDescent="0.25">
      <c r="A1391" s="5" t="str">
        <f t="shared" si="24"/>
        <v>Ohio-Ali Stupp</v>
      </c>
      <c r="B1391" s="3" t="s">
        <v>73</v>
      </c>
      <c r="C1391" s="3" t="s">
        <v>108</v>
      </c>
      <c r="D1391" s="4">
        <v>135258</v>
      </c>
      <c r="L1391" s="3" t="s">
        <v>81</v>
      </c>
      <c r="M1391" s="3" t="s">
        <v>111</v>
      </c>
      <c r="N1391" s="4">
        <v>24465</v>
      </c>
    </row>
    <row r="1392" spans="1:14" x14ac:dyDescent="0.25">
      <c r="A1392" s="5" t="str">
        <f t="shared" si="24"/>
        <v>South Carolina-Kai Stroebel</v>
      </c>
      <c r="B1392" s="3" t="s">
        <v>79</v>
      </c>
      <c r="C1392" s="3" t="s">
        <v>111</v>
      </c>
      <c r="D1392" s="4">
        <v>74710</v>
      </c>
      <c r="L1392" s="3" t="s">
        <v>81</v>
      </c>
      <c r="M1392" s="3" t="s">
        <v>102</v>
      </c>
      <c r="N1392" s="4">
        <v>135736</v>
      </c>
    </row>
    <row r="1393" spans="1:14" x14ac:dyDescent="0.25">
      <c r="A1393" s="5" t="str">
        <f t="shared" si="24"/>
        <v>Michigan-Fidel Potra</v>
      </c>
      <c r="B1393" s="3" t="s">
        <v>59</v>
      </c>
      <c r="C1393" s="3" t="s">
        <v>115</v>
      </c>
      <c r="D1393" s="4">
        <v>135059</v>
      </c>
      <c r="L1393" s="3" t="s">
        <v>81</v>
      </c>
      <c r="M1393" s="3" t="s">
        <v>106</v>
      </c>
      <c r="N1393" s="4">
        <v>94036</v>
      </c>
    </row>
    <row r="1394" spans="1:14" x14ac:dyDescent="0.25">
      <c r="A1394" s="5" t="str">
        <f t="shared" si="24"/>
        <v>Alabama-Moises Paynes</v>
      </c>
      <c r="B1394" s="3" t="s">
        <v>35</v>
      </c>
      <c r="C1394" s="3" t="s">
        <v>104</v>
      </c>
      <c r="D1394" s="4">
        <v>167131</v>
      </c>
      <c r="L1394" s="3" t="s">
        <v>81</v>
      </c>
      <c r="M1394" s="3" t="s">
        <v>123</v>
      </c>
      <c r="N1394" s="4">
        <v>59073</v>
      </c>
    </row>
    <row r="1395" spans="1:14" x14ac:dyDescent="0.25">
      <c r="A1395" s="5" t="str">
        <f t="shared" si="24"/>
        <v>Alaska-Jackson Lorkowski</v>
      </c>
      <c r="B1395" s="3" t="s">
        <v>36</v>
      </c>
      <c r="C1395" s="3" t="s">
        <v>120</v>
      </c>
      <c r="D1395" s="4">
        <v>53621</v>
      </c>
      <c r="L1395" s="3" t="s">
        <v>81</v>
      </c>
      <c r="M1395" s="3" t="s">
        <v>97</v>
      </c>
      <c r="N1395" s="4">
        <v>67049</v>
      </c>
    </row>
    <row r="1396" spans="1:14" x14ac:dyDescent="0.25">
      <c r="A1396" s="5" t="str">
        <f t="shared" si="24"/>
        <v>New Mexico-Genna Zaller</v>
      </c>
      <c r="B1396" s="3" t="s">
        <v>68</v>
      </c>
      <c r="C1396" s="3" t="s">
        <v>117</v>
      </c>
      <c r="D1396" s="4">
        <v>131957</v>
      </c>
      <c r="L1396" s="3" t="s">
        <v>81</v>
      </c>
      <c r="M1396" s="3" t="s">
        <v>119</v>
      </c>
      <c r="N1396" s="4">
        <v>72129</v>
      </c>
    </row>
    <row r="1397" spans="1:14" x14ac:dyDescent="0.25">
      <c r="A1397" s="5" t="str">
        <f t="shared" si="24"/>
        <v>Virgin Islands-Thaddeus Notah</v>
      </c>
      <c r="B1397" s="3" t="s">
        <v>86</v>
      </c>
      <c r="C1397" s="3" t="s">
        <v>112</v>
      </c>
      <c r="D1397" s="4">
        <v>103365</v>
      </c>
      <c r="L1397" s="3" t="s">
        <v>81</v>
      </c>
      <c r="M1397" s="3" t="s">
        <v>113</v>
      </c>
      <c r="N1397" s="4">
        <v>89417</v>
      </c>
    </row>
    <row r="1398" spans="1:14" x14ac:dyDescent="0.25">
      <c r="A1398" s="5" t="str">
        <f t="shared" si="24"/>
        <v>Pennsylvania-Marlin Mavromatis</v>
      </c>
      <c r="B1398" s="3" t="s">
        <v>76</v>
      </c>
      <c r="C1398" s="3" t="s">
        <v>113</v>
      </c>
      <c r="D1398" s="4">
        <v>157237</v>
      </c>
      <c r="L1398" s="3" t="s">
        <v>81</v>
      </c>
      <c r="M1398" s="3" t="s">
        <v>105</v>
      </c>
      <c r="N1398" s="4">
        <v>50513</v>
      </c>
    </row>
    <row r="1399" spans="1:14" x14ac:dyDescent="0.25">
      <c r="A1399" s="5" t="str">
        <f t="shared" si="24"/>
        <v>Utah-Raphael Derrig</v>
      </c>
      <c r="B1399" s="3" t="s">
        <v>83</v>
      </c>
      <c r="C1399" s="3" t="s">
        <v>109</v>
      </c>
      <c r="D1399" s="4">
        <v>86817</v>
      </c>
      <c r="L1399" s="3" t="s">
        <v>81</v>
      </c>
      <c r="M1399" s="3" t="s">
        <v>104</v>
      </c>
      <c r="N1399" s="4">
        <v>130853</v>
      </c>
    </row>
    <row r="1400" spans="1:14" x14ac:dyDescent="0.25">
      <c r="A1400" s="5" t="str">
        <f t="shared" si="24"/>
        <v>Indiana-Quinton Modugno</v>
      </c>
      <c r="B1400" s="3" t="s">
        <v>51</v>
      </c>
      <c r="C1400" s="3" t="s">
        <v>101</v>
      </c>
      <c r="D1400" s="4">
        <v>24683</v>
      </c>
      <c r="L1400" s="3" t="s">
        <v>81</v>
      </c>
      <c r="M1400" s="3" t="s">
        <v>100</v>
      </c>
      <c r="N1400" s="4">
        <v>111028</v>
      </c>
    </row>
    <row r="1401" spans="1:14" x14ac:dyDescent="0.25">
      <c r="A1401" s="5" t="str">
        <f t="shared" si="24"/>
        <v>Alaska-Marcel Davern</v>
      </c>
      <c r="B1401" s="3" t="s">
        <v>36</v>
      </c>
      <c r="C1401" s="3" t="s">
        <v>119</v>
      </c>
      <c r="D1401" s="4">
        <v>151137</v>
      </c>
      <c r="L1401" s="3" t="s">
        <v>81</v>
      </c>
      <c r="M1401" s="3" t="s">
        <v>118</v>
      </c>
      <c r="N1401" s="4">
        <v>117915</v>
      </c>
    </row>
    <row r="1402" spans="1:14" x14ac:dyDescent="0.25">
      <c r="A1402" s="5" t="str">
        <f t="shared" si="24"/>
        <v>Wisconsin-Toi Zedaker</v>
      </c>
      <c r="B1402" s="3" t="s">
        <v>89</v>
      </c>
      <c r="C1402" s="3" t="s">
        <v>121</v>
      </c>
      <c r="D1402" s="4">
        <v>66994</v>
      </c>
      <c r="L1402" s="3" t="s">
        <v>81</v>
      </c>
      <c r="M1402" s="3" t="s">
        <v>101</v>
      </c>
      <c r="N1402" s="4">
        <v>160978</v>
      </c>
    </row>
    <row r="1403" spans="1:14" x14ac:dyDescent="0.25">
      <c r="A1403" s="5" t="str">
        <f t="shared" si="24"/>
        <v>Massachusetts-Lashon Bongers</v>
      </c>
      <c r="B1403" s="3" t="s">
        <v>58</v>
      </c>
      <c r="C1403" s="3" t="s">
        <v>106</v>
      </c>
      <c r="D1403" s="4">
        <v>134842</v>
      </c>
      <c r="L1403" s="3" t="s">
        <v>81</v>
      </c>
      <c r="M1403" s="3" t="s">
        <v>122</v>
      </c>
      <c r="N1403" s="4">
        <v>169075</v>
      </c>
    </row>
    <row r="1404" spans="1:14" x14ac:dyDescent="0.25">
      <c r="A1404" s="5" t="str">
        <f t="shared" si="24"/>
        <v>Maryland-Jackson Lorkowski</v>
      </c>
      <c r="B1404" s="3" t="s">
        <v>57</v>
      </c>
      <c r="C1404" s="3" t="s">
        <v>120</v>
      </c>
      <c r="D1404" s="4">
        <v>110898</v>
      </c>
      <c r="L1404" s="3" t="s">
        <v>81</v>
      </c>
      <c r="M1404" s="3" t="s">
        <v>109</v>
      </c>
      <c r="N1404" s="4">
        <v>91613</v>
      </c>
    </row>
    <row r="1405" spans="1:14" x14ac:dyDescent="0.25">
      <c r="A1405" s="5" t="str">
        <f t="shared" si="24"/>
        <v>Indiana-Moises Paynes</v>
      </c>
      <c r="B1405" s="3" t="s">
        <v>51</v>
      </c>
      <c r="C1405" s="3" t="s">
        <v>104</v>
      </c>
      <c r="D1405" s="4">
        <v>151483</v>
      </c>
      <c r="L1405" s="3" t="s">
        <v>81</v>
      </c>
      <c r="M1405" s="3" t="s">
        <v>95</v>
      </c>
      <c r="N1405" s="4">
        <v>9125</v>
      </c>
    </row>
    <row r="1406" spans="1:14" x14ac:dyDescent="0.25">
      <c r="A1406" s="5" t="str">
        <f t="shared" si="24"/>
        <v>Montana-Quinton Modugno</v>
      </c>
      <c r="B1406" s="3" t="s">
        <v>63</v>
      </c>
      <c r="C1406" s="3" t="s">
        <v>101</v>
      </c>
      <c r="D1406" s="4">
        <v>159944</v>
      </c>
      <c r="L1406" s="3" t="s">
        <v>81</v>
      </c>
      <c r="M1406" s="3" t="s">
        <v>98</v>
      </c>
      <c r="N1406" s="4">
        <v>162121</v>
      </c>
    </row>
    <row r="1407" spans="1:14" x14ac:dyDescent="0.25">
      <c r="A1407" s="5" t="str">
        <f t="shared" si="24"/>
        <v>Puerto Rico-Genna Zaller</v>
      </c>
      <c r="B1407" s="3" t="s">
        <v>77</v>
      </c>
      <c r="C1407" s="3" t="s">
        <v>117</v>
      </c>
      <c r="D1407" s="4">
        <v>121583</v>
      </c>
      <c r="L1407" s="3" t="s">
        <v>81</v>
      </c>
      <c r="M1407" s="3" t="s">
        <v>114</v>
      </c>
      <c r="N1407" s="4">
        <v>73466</v>
      </c>
    </row>
    <row r="1408" spans="1:14" x14ac:dyDescent="0.25">
      <c r="A1408" s="5" t="str">
        <f t="shared" si="24"/>
        <v>North Carolina-Marlin Mavromatis</v>
      </c>
      <c r="B1408" s="3" t="s">
        <v>70</v>
      </c>
      <c r="C1408" s="3" t="s">
        <v>113</v>
      </c>
      <c r="D1408" s="4">
        <v>156331</v>
      </c>
      <c r="L1408" s="3" t="s">
        <v>81</v>
      </c>
      <c r="M1408" s="3" t="s">
        <v>112</v>
      </c>
      <c r="N1408" s="4">
        <v>154614</v>
      </c>
    </row>
    <row r="1409" spans="1:14" x14ac:dyDescent="0.25">
      <c r="A1409" s="5" t="str">
        <f t="shared" si="24"/>
        <v>Tennessee-Quinton Modugno</v>
      </c>
      <c r="B1409" s="3" t="s">
        <v>81</v>
      </c>
      <c r="C1409" s="3" t="s">
        <v>101</v>
      </c>
      <c r="D1409" s="4">
        <v>160978</v>
      </c>
      <c r="L1409" s="3" t="s">
        <v>81</v>
      </c>
      <c r="M1409" s="3" t="s">
        <v>103</v>
      </c>
      <c r="N1409" s="4">
        <v>96172</v>
      </c>
    </row>
    <row r="1410" spans="1:14" x14ac:dyDescent="0.25">
      <c r="A1410" s="5" t="str">
        <f t="shared" ref="A1410:A1473" si="25">B1410&amp;"-"&amp;C1410</f>
        <v>Ohio-Ali Steenken</v>
      </c>
      <c r="B1410" s="3" t="s">
        <v>73</v>
      </c>
      <c r="C1410" s="3" t="s">
        <v>116</v>
      </c>
      <c r="D1410" s="4">
        <v>172702</v>
      </c>
      <c r="L1410" s="3" t="s">
        <v>81</v>
      </c>
      <c r="M1410" s="3" t="s">
        <v>121</v>
      </c>
      <c r="N1410" s="4">
        <v>102496</v>
      </c>
    </row>
    <row r="1411" spans="1:14" x14ac:dyDescent="0.25">
      <c r="A1411" s="5" t="str">
        <f t="shared" si="25"/>
        <v>Illinois-Sadye Diloreto</v>
      </c>
      <c r="B1411" s="3" t="s">
        <v>50</v>
      </c>
      <c r="C1411" s="3" t="s">
        <v>95</v>
      </c>
      <c r="D1411" s="4">
        <v>136615</v>
      </c>
      <c r="L1411" s="3" t="s">
        <v>81</v>
      </c>
      <c r="M1411" s="3" t="s">
        <v>107</v>
      </c>
      <c r="N1411" s="4">
        <v>8796</v>
      </c>
    </row>
    <row r="1412" spans="1:14" x14ac:dyDescent="0.25">
      <c r="A1412" s="5" t="str">
        <f t="shared" si="25"/>
        <v>Tennessee-Genna Zaller</v>
      </c>
      <c r="B1412" s="3" t="s">
        <v>81</v>
      </c>
      <c r="C1412" s="3" t="s">
        <v>117</v>
      </c>
      <c r="D1412" s="4">
        <v>56097</v>
      </c>
      <c r="L1412" s="3" t="s">
        <v>82</v>
      </c>
      <c r="M1412" s="3" t="s">
        <v>116</v>
      </c>
      <c r="N1412" s="4">
        <v>78166</v>
      </c>
    </row>
    <row r="1413" spans="1:14" x14ac:dyDescent="0.25">
      <c r="A1413" s="5" t="str">
        <f t="shared" si="25"/>
        <v>Rhode Island-Lianne Trappey</v>
      </c>
      <c r="B1413" s="3" t="s">
        <v>78</v>
      </c>
      <c r="C1413" s="3" t="s">
        <v>123</v>
      </c>
      <c r="D1413" s="4">
        <v>154768</v>
      </c>
      <c r="L1413" s="3" t="s">
        <v>82</v>
      </c>
      <c r="M1413" s="3" t="s">
        <v>108</v>
      </c>
      <c r="N1413" s="4">
        <v>27428</v>
      </c>
    </row>
    <row r="1414" spans="1:14" x14ac:dyDescent="0.25">
      <c r="A1414" s="5" t="str">
        <f t="shared" si="25"/>
        <v>Wyoming-Lucilla Bilecki</v>
      </c>
      <c r="B1414" s="3" t="s">
        <v>90</v>
      </c>
      <c r="C1414" s="3" t="s">
        <v>97</v>
      </c>
      <c r="D1414" s="4">
        <v>52064</v>
      </c>
      <c r="L1414" s="3" t="s">
        <v>82</v>
      </c>
      <c r="M1414" s="3" t="s">
        <v>110</v>
      </c>
      <c r="N1414" s="4">
        <v>97326</v>
      </c>
    </row>
    <row r="1415" spans="1:14" x14ac:dyDescent="0.25">
      <c r="A1415" s="5" t="str">
        <f t="shared" si="25"/>
        <v>North Carolina-Kai Stroebel</v>
      </c>
      <c r="B1415" s="3" t="s">
        <v>70</v>
      </c>
      <c r="C1415" s="3" t="s">
        <v>111</v>
      </c>
      <c r="D1415" s="4">
        <v>23067</v>
      </c>
      <c r="L1415" s="3" t="s">
        <v>82</v>
      </c>
      <c r="M1415" s="3" t="s">
        <v>99</v>
      </c>
      <c r="N1415" s="4">
        <v>69072</v>
      </c>
    </row>
    <row r="1416" spans="1:14" x14ac:dyDescent="0.25">
      <c r="A1416" s="5" t="str">
        <f t="shared" si="25"/>
        <v>Ohio-Cliff Galinski</v>
      </c>
      <c r="B1416" s="3" t="s">
        <v>73</v>
      </c>
      <c r="C1416" s="3" t="s">
        <v>124</v>
      </c>
      <c r="D1416" s="4">
        <v>172772</v>
      </c>
      <c r="L1416" s="3" t="s">
        <v>82</v>
      </c>
      <c r="M1416" s="3" t="s">
        <v>124</v>
      </c>
      <c r="N1416" s="4">
        <v>115071</v>
      </c>
    </row>
    <row r="1417" spans="1:14" x14ac:dyDescent="0.25">
      <c r="A1417" s="5" t="str">
        <f t="shared" si="25"/>
        <v>Arizona-Nolan Deorio</v>
      </c>
      <c r="B1417" s="3" t="s">
        <v>38</v>
      </c>
      <c r="C1417" s="3" t="s">
        <v>100</v>
      </c>
      <c r="D1417" s="4">
        <v>16999</v>
      </c>
      <c r="L1417" s="3" t="s">
        <v>82</v>
      </c>
      <c r="M1417" s="3" t="s">
        <v>96</v>
      </c>
      <c r="N1417" s="4">
        <v>53886</v>
      </c>
    </row>
    <row r="1418" spans="1:14" x14ac:dyDescent="0.25">
      <c r="A1418" s="5" t="str">
        <f t="shared" si="25"/>
        <v>North Dakota-Marvis Tenholder</v>
      </c>
      <c r="B1418" s="3" t="s">
        <v>71</v>
      </c>
      <c r="C1418" s="3" t="s">
        <v>105</v>
      </c>
      <c r="D1418" s="4">
        <v>55335</v>
      </c>
      <c r="L1418" s="3" t="s">
        <v>82</v>
      </c>
      <c r="M1418" s="3" t="s">
        <v>115</v>
      </c>
      <c r="N1418" s="4">
        <v>112907</v>
      </c>
    </row>
    <row r="1419" spans="1:14" x14ac:dyDescent="0.25">
      <c r="A1419" s="5" t="str">
        <f t="shared" si="25"/>
        <v>Kansas-Thaddeus Cacciatori</v>
      </c>
      <c r="B1419" s="3" t="s">
        <v>53</v>
      </c>
      <c r="C1419" s="3" t="s">
        <v>114</v>
      </c>
      <c r="D1419" s="4">
        <v>23910</v>
      </c>
      <c r="L1419" s="3" t="s">
        <v>82</v>
      </c>
      <c r="M1419" s="3" t="s">
        <v>117</v>
      </c>
      <c r="N1419" s="4">
        <v>97249</v>
      </c>
    </row>
    <row r="1420" spans="1:14" x14ac:dyDescent="0.25">
      <c r="A1420" s="5" t="str">
        <f t="shared" si="25"/>
        <v>Kentucky-Fidel Potra</v>
      </c>
      <c r="B1420" s="3" t="s">
        <v>54</v>
      </c>
      <c r="C1420" s="3" t="s">
        <v>115</v>
      </c>
      <c r="D1420" s="4">
        <v>132913</v>
      </c>
      <c r="L1420" s="3" t="s">
        <v>82</v>
      </c>
      <c r="M1420" s="3" t="s">
        <v>120</v>
      </c>
      <c r="N1420" s="4">
        <v>122642</v>
      </c>
    </row>
    <row r="1421" spans="1:14" x14ac:dyDescent="0.25">
      <c r="A1421" s="5" t="str">
        <f t="shared" si="25"/>
        <v>Mississippi-Moises Paynes</v>
      </c>
      <c r="B1421" s="3" t="s">
        <v>61</v>
      </c>
      <c r="C1421" s="3" t="s">
        <v>104</v>
      </c>
      <c r="D1421" s="4">
        <v>83743</v>
      </c>
      <c r="L1421" s="3" t="s">
        <v>82</v>
      </c>
      <c r="M1421" s="3" t="s">
        <v>111</v>
      </c>
      <c r="N1421" s="4">
        <v>99979</v>
      </c>
    </row>
    <row r="1422" spans="1:14" x14ac:dyDescent="0.25">
      <c r="A1422" s="5" t="str">
        <f t="shared" si="25"/>
        <v>Idaho-Kai Stroebel</v>
      </c>
      <c r="B1422" s="3" t="s">
        <v>49</v>
      </c>
      <c r="C1422" s="3" t="s">
        <v>111</v>
      </c>
      <c r="D1422" s="4">
        <v>132658</v>
      </c>
      <c r="L1422" s="3" t="s">
        <v>82</v>
      </c>
      <c r="M1422" s="3" t="s">
        <v>102</v>
      </c>
      <c r="N1422" s="4">
        <v>45729</v>
      </c>
    </row>
    <row r="1423" spans="1:14" x14ac:dyDescent="0.25">
      <c r="A1423" s="5" t="str">
        <f t="shared" si="25"/>
        <v>New Mexico-Ali Steenken</v>
      </c>
      <c r="B1423" s="3" t="s">
        <v>68</v>
      </c>
      <c r="C1423" s="3" t="s">
        <v>116</v>
      </c>
      <c r="D1423" s="4">
        <v>136939</v>
      </c>
      <c r="L1423" s="3" t="s">
        <v>82</v>
      </c>
      <c r="M1423" s="3" t="s">
        <v>106</v>
      </c>
      <c r="N1423" s="4">
        <v>80595</v>
      </c>
    </row>
    <row r="1424" spans="1:14" x14ac:dyDescent="0.25">
      <c r="A1424" s="5" t="str">
        <f t="shared" si="25"/>
        <v>District of Columbia-Thaddeus Notah</v>
      </c>
      <c r="B1424" s="3" t="s">
        <v>44</v>
      </c>
      <c r="C1424" s="3" t="s">
        <v>112</v>
      </c>
      <c r="D1424" s="4">
        <v>161927</v>
      </c>
      <c r="L1424" s="3" t="s">
        <v>82</v>
      </c>
      <c r="M1424" s="3" t="s">
        <v>123</v>
      </c>
      <c r="N1424" s="4">
        <v>155508</v>
      </c>
    </row>
    <row r="1425" spans="1:14" x14ac:dyDescent="0.25">
      <c r="A1425" s="5" t="str">
        <f t="shared" si="25"/>
        <v>Rhode Island-Toi Zedaker</v>
      </c>
      <c r="B1425" s="3" t="s">
        <v>78</v>
      </c>
      <c r="C1425" s="3" t="s">
        <v>121</v>
      </c>
      <c r="D1425" s="4">
        <v>46045</v>
      </c>
      <c r="L1425" s="3" t="s">
        <v>82</v>
      </c>
      <c r="M1425" s="3" t="s">
        <v>97</v>
      </c>
      <c r="N1425" s="4">
        <v>110691</v>
      </c>
    </row>
    <row r="1426" spans="1:14" x14ac:dyDescent="0.25">
      <c r="A1426" s="5" t="str">
        <f t="shared" si="25"/>
        <v>New Hampshire-Cliff Schnautz</v>
      </c>
      <c r="B1426" s="3" t="s">
        <v>66</v>
      </c>
      <c r="C1426" s="3" t="s">
        <v>96</v>
      </c>
      <c r="D1426" s="4">
        <v>31064</v>
      </c>
      <c r="L1426" s="3" t="s">
        <v>82</v>
      </c>
      <c r="M1426" s="3" t="s">
        <v>119</v>
      </c>
      <c r="N1426" s="4">
        <v>90289</v>
      </c>
    </row>
    <row r="1427" spans="1:14" x14ac:dyDescent="0.25">
      <c r="A1427" s="5" t="str">
        <f t="shared" si="25"/>
        <v>Washington-Jackson Lorkowski</v>
      </c>
      <c r="B1427" s="3" t="s">
        <v>87</v>
      </c>
      <c r="C1427" s="3" t="s">
        <v>120</v>
      </c>
      <c r="D1427" s="4">
        <v>11435</v>
      </c>
      <c r="L1427" s="3" t="s">
        <v>82</v>
      </c>
      <c r="M1427" s="3" t="s">
        <v>113</v>
      </c>
      <c r="N1427" s="4">
        <v>99028</v>
      </c>
    </row>
    <row r="1428" spans="1:14" x14ac:dyDescent="0.25">
      <c r="A1428" s="5" t="str">
        <f t="shared" si="25"/>
        <v>Kansas-Toi Zedaker</v>
      </c>
      <c r="B1428" s="3" t="s">
        <v>53</v>
      </c>
      <c r="C1428" s="3" t="s">
        <v>121</v>
      </c>
      <c r="D1428" s="4">
        <v>66824</v>
      </c>
      <c r="L1428" s="3" t="s">
        <v>82</v>
      </c>
      <c r="M1428" s="3" t="s">
        <v>105</v>
      </c>
      <c r="N1428" s="4">
        <v>116301</v>
      </c>
    </row>
    <row r="1429" spans="1:14" x14ac:dyDescent="0.25">
      <c r="A1429" s="5" t="str">
        <f t="shared" si="25"/>
        <v>New York-Cliff Bahlmann</v>
      </c>
      <c r="B1429" s="3" t="s">
        <v>69</v>
      </c>
      <c r="C1429" s="3" t="s">
        <v>99</v>
      </c>
      <c r="D1429" s="4">
        <v>58614</v>
      </c>
      <c r="L1429" s="3" t="s">
        <v>82</v>
      </c>
      <c r="M1429" s="3" t="s">
        <v>104</v>
      </c>
      <c r="N1429" s="4">
        <v>117204</v>
      </c>
    </row>
    <row r="1430" spans="1:14" x14ac:dyDescent="0.25">
      <c r="A1430" s="5" t="str">
        <f t="shared" si="25"/>
        <v>Georgia-Son Shryack</v>
      </c>
      <c r="B1430" s="3" t="s">
        <v>46</v>
      </c>
      <c r="C1430" s="3" t="s">
        <v>98</v>
      </c>
      <c r="D1430" s="4">
        <v>24333</v>
      </c>
      <c r="L1430" s="3" t="s">
        <v>82</v>
      </c>
      <c r="M1430" s="3" t="s">
        <v>100</v>
      </c>
      <c r="N1430" s="4">
        <v>103202</v>
      </c>
    </row>
    <row r="1431" spans="1:14" x14ac:dyDescent="0.25">
      <c r="A1431" s="5" t="str">
        <f t="shared" si="25"/>
        <v>Wisconsin-Nolan Deorio</v>
      </c>
      <c r="B1431" s="3" t="s">
        <v>89</v>
      </c>
      <c r="C1431" s="3" t="s">
        <v>100</v>
      </c>
      <c r="D1431" s="4">
        <v>10511</v>
      </c>
      <c r="L1431" s="3" t="s">
        <v>82</v>
      </c>
      <c r="M1431" s="3" t="s">
        <v>118</v>
      </c>
      <c r="N1431" s="4">
        <v>44517</v>
      </c>
    </row>
    <row r="1432" spans="1:14" x14ac:dyDescent="0.25">
      <c r="A1432" s="5" t="str">
        <f t="shared" si="25"/>
        <v>Michigan-Jackson Lorkowski</v>
      </c>
      <c r="B1432" s="3" t="s">
        <v>59</v>
      </c>
      <c r="C1432" s="3" t="s">
        <v>120</v>
      </c>
      <c r="D1432" s="4">
        <v>136579</v>
      </c>
      <c r="L1432" s="3" t="s">
        <v>82</v>
      </c>
      <c r="M1432" s="3" t="s">
        <v>101</v>
      </c>
      <c r="N1432" s="4">
        <v>161796</v>
      </c>
    </row>
    <row r="1433" spans="1:14" x14ac:dyDescent="0.25">
      <c r="A1433" s="5" t="str">
        <f t="shared" si="25"/>
        <v>Idaho-Armand Mcleon</v>
      </c>
      <c r="B1433" s="3" t="s">
        <v>49</v>
      </c>
      <c r="C1433" s="3" t="s">
        <v>110</v>
      </c>
      <c r="D1433" s="4">
        <v>78892</v>
      </c>
      <c r="L1433" s="3" t="s">
        <v>82</v>
      </c>
      <c r="M1433" s="3" t="s">
        <v>122</v>
      </c>
      <c r="N1433" s="4">
        <v>169228</v>
      </c>
    </row>
    <row r="1434" spans="1:14" x14ac:dyDescent="0.25">
      <c r="A1434" s="5" t="str">
        <f t="shared" si="25"/>
        <v>Virgin Islands-Toi Zedaker</v>
      </c>
      <c r="B1434" s="3" t="s">
        <v>86</v>
      </c>
      <c r="C1434" s="3" t="s">
        <v>121</v>
      </c>
      <c r="D1434" s="4">
        <v>51012</v>
      </c>
      <c r="L1434" s="3" t="s">
        <v>82</v>
      </c>
      <c r="M1434" s="3" t="s">
        <v>109</v>
      </c>
      <c r="N1434" s="4">
        <v>122626</v>
      </c>
    </row>
    <row r="1435" spans="1:14" x14ac:dyDescent="0.25">
      <c r="A1435" s="5" t="str">
        <f t="shared" si="25"/>
        <v>North Dakota-Thaddeus Notah</v>
      </c>
      <c r="B1435" s="3" t="s">
        <v>71</v>
      </c>
      <c r="C1435" s="3" t="s">
        <v>112</v>
      </c>
      <c r="D1435" s="4">
        <v>48217</v>
      </c>
      <c r="L1435" s="3" t="s">
        <v>82</v>
      </c>
      <c r="M1435" s="3" t="s">
        <v>95</v>
      </c>
      <c r="N1435" s="4">
        <v>121010</v>
      </c>
    </row>
    <row r="1436" spans="1:14" x14ac:dyDescent="0.25">
      <c r="A1436" s="5" t="str">
        <f t="shared" si="25"/>
        <v>Colorado-Moises Paynes</v>
      </c>
      <c r="B1436" s="3" t="s">
        <v>41</v>
      </c>
      <c r="C1436" s="3" t="s">
        <v>104</v>
      </c>
      <c r="D1436" s="4">
        <v>59183</v>
      </c>
      <c r="L1436" s="3" t="s">
        <v>82</v>
      </c>
      <c r="M1436" s="3" t="s">
        <v>98</v>
      </c>
      <c r="N1436" s="4">
        <v>101864</v>
      </c>
    </row>
    <row r="1437" spans="1:14" x14ac:dyDescent="0.25">
      <c r="A1437" s="5" t="str">
        <f t="shared" si="25"/>
        <v>Tennessee-Lucilla Bilecki</v>
      </c>
      <c r="B1437" s="3" t="s">
        <v>81</v>
      </c>
      <c r="C1437" s="3" t="s">
        <v>97</v>
      </c>
      <c r="D1437" s="4">
        <v>67049</v>
      </c>
      <c r="L1437" s="3" t="s">
        <v>82</v>
      </c>
      <c r="M1437" s="3" t="s">
        <v>114</v>
      </c>
      <c r="N1437" s="4">
        <v>20174</v>
      </c>
    </row>
    <row r="1438" spans="1:14" x14ac:dyDescent="0.25">
      <c r="A1438" s="5" t="str">
        <f t="shared" si="25"/>
        <v>New York-Nolan Deorio</v>
      </c>
      <c r="B1438" s="3" t="s">
        <v>69</v>
      </c>
      <c r="C1438" s="3" t="s">
        <v>100</v>
      </c>
      <c r="D1438" s="4">
        <v>101060</v>
      </c>
      <c r="L1438" s="3" t="s">
        <v>82</v>
      </c>
      <c r="M1438" s="3" t="s">
        <v>112</v>
      </c>
      <c r="N1438" s="4">
        <v>3108</v>
      </c>
    </row>
    <row r="1439" spans="1:14" x14ac:dyDescent="0.25">
      <c r="A1439" s="5" t="str">
        <f t="shared" si="25"/>
        <v>New Hampshire-Cliff Bahlmann</v>
      </c>
      <c r="B1439" s="3" t="s">
        <v>66</v>
      </c>
      <c r="C1439" s="3" t="s">
        <v>99</v>
      </c>
      <c r="D1439" s="4">
        <v>145490</v>
      </c>
      <c r="L1439" s="3" t="s">
        <v>82</v>
      </c>
      <c r="M1439" s="3" t="s">
        <v>103</v>
      </c>
      <c r="N1439" s="4">
        <v>123145</v>
      </c>
    </row>
    <row r="1440" spans="1:14" x14ac:dyDescent="0.25">
      <c r="A1440" s="5" t="str">
        <f t="shared" si="25"/>
        <v>Indiana-Lucilla Bilecki</v>
      </c>
      <c r="B1440" s="3" t="s">
        <v>51</v>
      </c>
      <c r="C1440" s="3" t="s">
        <v>97</v>
      </c>
      <c r="D1440" s="4">
        <v>123043</v>
      </c>
      <c r="L1440" s="3" t="s">
        <v>82</v>
      </c>
      <c r="M1440" s="3" t="s">
        <v>121</v>
      </c>
      <c r="N1440" s="4">
        <v>169315</v>
      </c>
    </row>
    <row r="1441" spans="1:14" x14ac:dyDescent="0.25">
      <c r="A1441" s="5" t="str">
        <f t="shared" si="25"/>
        <v>Colorado-Cliff Bahlmann</v>
      </c>
      <c r="B1441" s="3" t="s">
        <v>41</v>
      </c>
      <c r="C1441" s="3" t="s">
        <v>99</v>
      </c>
      <c r="D1441" s="4">
        <v>133860</v>
      </c>
      <c r="L1441" s="3" t="s">
        <v>82</v>
      </c>
      <c r="M1441" s="3" t="s">
        <v>107</v>
      </c>
      <c r="N1441" s="4">
        <v>70126</v>
      </c>
    </row>
    <row r="1442" spans="1:14" x14ac:dyDescent="0.25">
      <c r="A1442" s="5" t="str">
        <f t="shared" si="25"/>
        <v>New Mexico-Lashon Bongers</v>
      </c>
      <c r="B1442" s="3" t="s">
        <v>68</v>
      </c>
      <c r="C1442" s="3" t="s">
        <v>106</v>
      </c>
      <c r="D1442" s="4">
        <v>91806</v>
      </c>
      <c r="L1442" s="3" t="s">
        <v>83</v>
      </c>
      <c r="M1442" s="3" t="s">
        <v>116</v>
      </c>
      <c r="N1442" s="4">
        <v>148624</v>
      </c>
    </row>
    <row r="1443" spans="1:14" x14ac:dyDescent="0.25">
      <c r="A1443" s="5" t="str">
        <f t="shared" si="25"/>
        <v>North Dakota-Keila Rossini</v>
      </c>
      <c r="B1443" s="3" t="s">
        <v>71</v>
      </c>
      <c r="C1443" s="3" t="s">
        <v>102</v>
      </c>
      <c r="D1443" s="4">
        <v>80599</v>
      </c>
      <c r="L1443" s="3" t="s">
        <v>83</v>
      </c>
      <c r="M1443" s="3" t="s">
        <v>108</v>
      </c>
      <c r="N1443" s="4">
        <v>15415</v>
      </c>
    </row>
    <row r="1444" spans="1:14" x14ac:dyDescent="0.25">
      <c r="A1444" s="5" t="str">
        <f t="shared" si="25"/>
        <v>Northern Marianas Islands-Marcel Davern</v>
      </c>
      <c r="B1444" s="3" t="s">
        <v>72</v>
      </c>
      <c r="C1444" s="3" t="s">
        <v>119</v>
      </c>
      <c r="D1444" s="4">
        <v>117071</v>
      </c>
      <c r="L1444" s="3" t="s">
        <v>83</v>
      </c>
      <c r="M1444" s="3" t="s">
        <v>110</v>
      </c>
      <c r="N1444" s="4">
        <v>42159</v>
      </c>
    </row>
    <row r="1445" spans="1:14" x14ac:dyDescent="0.25">
      <c r="A1445" s="5" t="str">
        <f t="shared" si="25"/>
        <v>South Dakota-Marvis Tenholder</v>
      </c>
      <c r="B1445" s="3" t="s">
        <v>80</v>
      </c>
      <c r="C1445" s="3" t="s">
        <v>105</v>
      </c>
      <c r="D1445" s="4">
        <v>51644</v>
      </c>
      <c r="L1445" s="3" t="s">
        <v>83</v>
      </c>
      <c r="M1445" s="3" t="s">
        <v>99</v>
      </c>
      <c r="N1445" s="4">
        <v>98922</v>
      </c>
    </row>
    <row r="1446" spans="1:14" x14ac:dyDescent="0.25">
      <c r="A1446" s="5" t="str">
        <f t="shared" si="25"/>
        <v>Mississippi-Fidel Potra</v>
      </c>
      <c r="B1446" s="3" t="s">
        <v>61</v>
      </c>
      <c r="C1446" s="3" t="s">
        <v>115</v>
      </c>
      <c r="D1446" s="4">
        <v>72663</v>
      </c>
      <c r="L1446" s="3" t="s">
        <v>83</v>
      </c>
      <c r="M1446" s="3" t="s">
        <v>124</v>
      </c>
      <c r="N1446" s="4">
        <v>79094</v>
      </c>
    </row>
    <row r="1447" spans="1:14" x14ac:dyDescent="0.25">
      <c r="A1447" s="5" t="str">
        <f t="shared" si="25"/>
        <v>Utah-Genna Zaller</v>
      </c>
      <c r="B1447" s="3" t="s">
        <v>83</v>
      </c>
      <c r="C1447" s="3" t="s">
        <v>117</v>
      </c>
      <c r="D1447" s="4">
        <v>133865</v>
      </c>
      <c r="L1447" s="3" t="s">
        <v>83</v>
      </c>
      <c r="M1447" s="3" t="s">
        <v>96</v>
      </c>
      <c r="N1447" s="4">
        <v>14481</v>
      </c>
    </row>
    <row r="1448" spans="1:14" x14ac:dyDescent="0.25">
      <c r="A1448" s="5" t="str">
        <f t="shared" si="25"/>
        <v>Illinois-Toi Zedaker</v>
      </c>
      <c r="B1448" s="3" t="s">
        <v>50</v>
      </c>
      <c r="C1448" s="3" t="s">
        <v>121</v>
      </c>
      <c r="D1448" s="4">
        <v>83318</v>
      </c>
      <c r="L1448" s="3" t="s">
        <v>83</v>
      </c>
      <c r="M1448" s="3" t="s">
        <v>115</v>
      </c>
      <c r="N1448" s="4">
        <v>25537</v>
      </c>
    </row>
    <row r="1449" spans="1:14" x14ac:dyDescent="0.25">
      <c r="A1449" s="5" t="str">
        <f t="shared" si="25"/>
        <v>Michigan-Nolan Deorio</v>
      </c>
      <c r="B1449" s="3" t="s">
        <v>59</v>
      </c>
      <c r="C1449" s="3" t="s">
        <v>100</v>
      </c>
      <c r="D1449" s="4">
        <v>127796</v>
      </c>
      <c r="L1449" s="3" t="s">
        <v>83</v>
      </c>
      <c r="M1449" s="3" t="s">
        <v>117</v>
      </c>
      <c r="N1449" s="4">
        <v>133865</v>
      </c>
    </row>
    <row r="1450" spans="1:14" x14ac:dyDescent="0.25">
      <c r="A1450" s="5" t="str">
        <f t="shared" si="25"/>
        <v>Nebraska-Sadye Diloreto</v>
      </c>
      <c r="B1450" s="3" t="s">
        <v>64</v>
      </c>
      <c r="C1450" s="3" t="s">
        <v>95</v>
      </c>
      <c r="D1450" s="4">
        <v>94602</v>
      </c>
      <c r="L1450" s="3" t="s">
        <v>83</v>
      </c>
      <c r="M1450" s="3" t="s">
        <v>120</v>
      </c>
      <c r="N1450" s="4">
        <v>101343</v>
      </c>
    </row>
    <row r="1451" spans="1:14" x14ac:dyDescent="0.25">
      <c r="A1451" s="5" t="str">
        <f t="shared" si="25"/>
        <v>Rhode Island-Twanda Lovenduski</v>
      </c>
      <c r="B1451" s="3" t="s">
        <v>78</v>
      </c>
      <c r="C1451" s="3" t="s">
        <v>107</v>
      </c>
      <c r="D1451" s="4">
        <v>81733</v>
      </c>
      <c r="L1451" s="3" t="s">
        <v>83</v>
      </c>
      <c r="M1451" s="3" t="s">
        <v>111</v>
      </c>
      <c r="N1451" s="4">
        <v>79854</v>
      </c>
    </row>
    <row r="1452" spans="1:14" x14ac:dyDescent="0.25">
      <c r="A1452" s="5" t="str">
        <f t="shared" si="25"/>
        <v>Puerto Rico-Lashon Bongers</v>
      </c>
      <c r="B1452" s="3" t="s">
        <v>77</v>
      </c>
      <c r="C1452" s="3" t="s">
        <v>106</v>
      </c>
      <c r="D1452" s="4">
        <v>137494</v>
      </c>
      <c r="L1452" s="3" t="s">
        <v>83</v>
      </c>
      <c r="M1452" s="3" t="s">
        <v>102</v>
      </c>
      <c r="N1452" s="4">
        <v>17329</v>
      </c>
    </row>
    <row r="1453" spans="1:14" x14ac:dyDescent="0.25">
      <c r="A1453" s="5" t="str">
        <f t="shared" si="25"/>
        <v>Mississippi-Raphael Bonawitz</v>
      </c>
      <c r="B1453" s="3" t="s">
        <v>61</v>
      </c>
      <c r="C1453" s="3" t="s">
        <v>122</v>
      </c>
      <c r="D1453" s="4">
        <v>84847</v>
      </c>
      <c r="L1453" s="3" t="s">
        <v>83</v>
      </c>
      <c r="M1453" s="3" t="s">
        <v>106</v>
      </c>
      <c r="N1453" s="4">
        <v>117314</v>
      </c>
    </row>
    <row r="1454" spans="1:14" x14ac:dyDescent="0.25">
      <c r="A1454" s="5" t="str">
        <f t="shared" si="25"/>
        <v>Connecticut-Lucilla Bilecki</v>
      </c>
      <c r="B1454" s="3" t="s">
        <v>42</v>
      </c>
      <c r="C1454" s="3" t="s">
        <v>97</v>
      </c>
      <c r="D1454" s="4">
        <v>47689</v>
      </c>
      <c r="L1454" s="3" t="s">
        <v>83</v>
      </c>
      <c r="M1454" s="3" t="s">
        <v>123</v>
      </c>
      <c r="N1454" s="4">
        <v>151797</v>
      </c>
    </row>
    <row r="1455" spans="1:14" x14ac:dyDescent="0.25">
      <c r="A1455" s="5" t="str">
        <f t="shared" si="25"/>
        <v>North Carolina-Marvis Tenholder</v>
      </c>
      <c r="B1455" s="3" t="s">
        <v>70</v>
      </c>
      <c r="C1455" s="3" t="s">
        <v>105</v>
      </c>
      <c r="D1455" s="4">
        <v>54587</v>
      </c>
      <c r="L1455" s="3" t="s">
        <v>83</v>
      </c>
      <c r="M1455" s="3" t="s">
        <v>97</v>
      </c>
      <c r="N1455" s="4">
        <v>51995</v>
      </c>
    </row>
    <row r="1456" spans="1:14" x14ac:dyDescent="0.25">
      <c r="A1456" s="5" t="str">
        <f t="shared" si="25"/>
        <v>Puerto Rico-Ali Stupp</v>
      </c>
      <c r="B1456" s="3" t="s">
        <v>77</v>
      </c>
      <c r="C1456" s="3" t="s">
        <v>108</v>
      </c>
      <c r="D1456" s="4">
        <v>41372</v>
      </c>
      <c r="L1456" s="3" t="s">
        <v>83</v>
      </c>
      <c r="M1456" s="3" t="s">
        <v>119</v>
      </c>
      <c r="N1456" s="4">
        <v>116737</v>
      </c>
    </row>
    <row r="1457" spans="1:14" x14ac:dyDescent="0.25">
      <c r="A1457" s="5" t="str">
        <f t="shared" si="25"/>
        <v>New Mexico-Marlin Mavromatis</v>
      </c>
      <c r="B1457" s="3" t="s">
        <v>68</v>
      </c>
      <c r="C1457" s="3" t="s">
        <v>113</v>
      </c>
      <c r="D1457" s="4">
        <v>147326</v>
      </c>
      <c r="L1457" s="3" t="s">
        <v>83</v>
      </c>
      <c r="M1457" s="3" t="s">
        <v>113</v>
      </c>
      <c r="N1457" s="4">
        <v>22287</v>
      </c>
    </row>
    <row r="1458" spans="1:14" x14ac:dyDescent="0.25">
      <c r="A1458" s="5" t="str">
        <f t="shared" si="25"/>
        <v>District of Columbia-Moises Paynes</v>
      </c>
      <c r="B1458" s="3" t="s">
        <v>44</v>
      </c>
      <c r="C1458" s="3" t="s">
        <v>104</v>
      </c>
      <c r="D1458" s="4">
        <v>157686</v>
      </c>
      <c r="L1458" s="3" t="s">
        <v>83</v>
      </c>
      <c r="M1458" s="3" t="s">
        <v>105</v>
      </c>
      <c r="N1458" s="4">
        <v>3217</v>
      </c>
    </row>
    <row r="1459" spans="1:14" x14ac:dyDescent="0.25">
      <c r="A1459" s="5" t="str">
        <f t="shared" si="25"/>
        <v>Florida-Toi Zedaker</v>
      </c>
      <c r="B1459" s="3" t="s">
        <v>45</v>
      </c>
      <c r="C1459" s="3" t="s">
        <v>121</v>
      </c>
      <c r="D1459" s="4">
        <v>158817</v>
      </c>
      <c r="L1459" s="3" t="s">
        <v>83</v>
      </c>
      <c r="M1459" s="3" t="s">
        <v>104</v>
      </c>
      <c r="N1459" s="4">
        <v>112225</v>
      </c>
    </row>
    <row r="1460" spans="1:14" x14ac:dyDescent="0.25">
      <c r="A1460" s="5" t="str">
        <f t="shared" si="25"/>
        <v>Alabama-Kai Stroebel</v>
      </c>
      <c r="B1460" s="3" t="s">
        <v>35</v>
      </c>
      <c r="C1460" s="3" t="s">
        <v>111</v>
      </c>
      <c r="D1460" s="4">
        <v>166362</v>
      </c>
      <c r="L1460" s="3" t="s">
        <v>83</v>
      </c>
      <c r="M1460" s="3" t="s">
        <v>100</v>
      </c>
      <c r="N1460" s="4">
        <v>164181</v>
      </c>
    </row>
    <row r="1461" spans="1:14" x14ac:dyDescent="0.25">
      <c r="A1461" s="5" t="str">
        <f t="shared" si="25"/>
        <v>South Dakota-Cliff Bahlmann</v>
      </c>
      <c r="B1461" s="3" t="s">
        <v>80</v>
      </c>
      <c r="C1461" s="3" t="s">
        <v>99</v>
      </c>
      <c r="D1461" s="4">
        <v>80466</v>
      </c>
      <c r="L1461" s="3" t="s">
        <v>83</v>
      </c>
      <c r="M1461" s="3" t="s">
        <v>118</v>
      </c>
      <c r="N1461" s="4">
        <v>88645</v>
      </c>
    </row>
    <row r="1462" spans="1:14" x14ac:dyDescent="0.25">
      <c r="A1462" s="5" t="str">
        <f t="shared" si="25"/>
        <v>Georgia-Toi Medico</v>
      </c>
      <c r="B1462" s="3" t="s">
        <v>46</v>
      </c>
      <c r="C1462" s="3" t="s">
        <v>103</v>
      </c>
      <c r="D1462" s="4">
        <v>44721</v>
      </c>
      <c r="L1462" s="3" t="s">
        <v>83</v>
      </c>
      <c r="M1462" s="3" t="s">
        <v>101</v>
      </c>
      <c r="N1462" s="4">
        <v>9985</v>
      </c>
    </row>
    <row r="1463" spans="1:14" x14ac:dyDescent="0.25">
      <c r="A1463" s="5" t="str">
        <f t="shared" si="25"/>
        <v>New Hampshire-Son Shryack</v>
      </c>
      <c r="B1463" s="3" t="s">
        <v>66</v>
      </c>
      <c r="C1463" s="3" t="s">
        <v>98</v>
      </c>
      <c r="D1463" s="4">
        <v>158263</v>
      </c>
      <c r="L1463" s="3" t="s">
        <v>83</v>
      </c>
      <c r="M1463" s="3" t="s">
        <v>122</v>
      </c>
      <c r="N1463" s="4">
        <v>47252</v>
      </c>
    </row>
    <row r="1464" spans="1:14" x14ac:dyDescent="0.25">
      <c r="A1464" s="5" t="str">
        <f t="shared" si="25"/>
        <v>Alaska-Thaddeus Cacciatori</v>
      </c>
      <c r="B1464" s="3" t="s">
        <v>36</v>
      </c>
      <c r="C1464" s="3" t="s">
        <v>114</v>
      </c>
      <c r="D1464" s="4">
        <v>40220</v>
      </c>
      <c r="L1464" s="3" t="s">
        <v>83</v>
      </c>
      <c r="M1464" s="3" t="s">
        <v>109</v>
      </c>
      <c r="N1464" s="4">
        <v>86817</v>
      </c>
    </row>
    <row r="1465" spans="1:14" x14ac:dyDescent="0.25">
      <c r="A1465" s="5" t="str">
        <f t="shared" si="25"/>
        <v>California-Toi Medico</v>
      </c>
      <c r="B1465" s="3" t="s">
        <v>40</v>
      </c>
      <c r="C1465" s="3" t="s">
        <v>103</v>
      </c>
      <c r="D1465" s="4">
        <v>11012</v>
      </c>
      <c r="L1465" s="3" t="s">
        <v>83</v>
      </c>
      <c r="M1465" s="3" t="s">
        <v>95</v>
      </c>
      <c r="N1465" s="4">
        <v>147262</v>
      </c>
    </row>
    <row r="1466" spans="1:14" x14ac:dyDescent="0.25">
      <c r="A1466" s="5" t="str">
        <f t="shared" si="25"/>
        <v>Hawaii-Genna Zaller</v>
      </c>
      <c r="B1466" s="3" t="s">
        <v>48</v>
      </c>
      <c r="C1466" s="3" t="s">
        <v>117</v>
      </c>
      <c r="D1466" s="4">
        <v>98413</v>
      </c>
      <c r="L1466" s="3" t="s">
        <v>83</v>
      </c>
      <c r="M1466" s="3" t="s">
        <v>98</v>
      </c>
      <c r="N1466" s="4">
        <v>87386</v>
      </c>
    </row>
    <row r="1467" spans="1:14" x14ac:dyDescent="0.25">
      <c r="A1467" s="5" t="str">
        <f t="shared" si="25"/>
        <v>Minnesota-Thaddeus Cacciatori</v>
      </c>
      <c r="B1467" s="3" t="s">
        <v>60</v>
      </c>
      <c r="C1467" s="3" t="s">
        <v>114</v>
      </c>
      <c r="D1467" s="4">
        <v>85144</v>
      </c>
      <c r="L1467" s="3" t="s">
        <v>83</v>
      </c>
      <c r="M1467" s="3" t="s">
        <v>114</v>
      </c>
      <c r="N1467" s="4">
        <v>41110</v>
      </c>
    </row>
    <row r="1468" spans="1:14" x14ac:dyDescent="0.25">
      <c r="A1468" s="5" t="str">
        <f t="shared" si="25"/>
        <v>Oklahoma-Ali Stupp</v>
      </c>
      <c r="B1468" s="3" t="s">
        <v>74</v>
      </c>
      <c r="C1468" s="3" t="s">
        <v>108</v>
      </c>
      <c r="D1468" s="4">
        <v>11347</v>
      </c>
      <c r="L1468" s="3" t="s">
        <v>83</v>
      </c>
      <c r="M1468" s="3" t="s">
        <v>112</v>
      </c>
      <c r="N1468" s="4">
        <v>65843</v>
      </c>
    </row>
    <row r="1469" spans="1:14" x14ac:dyDescent="0.25">
      <c r="A1469" s="5" t="str">
        <f t="shared" si="25"/>
        <v>Delaware-Nolan Deorio</v>
      </c>
      <c r="B1469" s="3" t="s">
        <v>43</v>
      </c>
      <c r="C1469" s="3" t="s">
        <v>100</v>
      </c>
      <c r="D1469" s="4">
        <v>93172</v>
      </c>
      <c r="L1469" s="3" t="s">
        <v>83</v>
      </c>
      <c r="M1469" s="3" t="s">
        <v>103</v>
      </c>
      <c r="N1469" s="4">
        <v>64546</v>
      </c>
    </row>
    <row r="1470" spans="1:14" x14ac:dyDescent="0.25">
      <c r="A1470" s="5" t="str">
        <f t="shared" si="25"/>
        <v>Iowa-Sadye Diloreto</v>
      </c>
      <c r="B1470" s="3" t="s">
        <v>52</v>
      </c>
      <c r="C1470" s="3" t="s">
        <v>95</v>
      </c>
      <c r="D1470" s="4">
        <v>58175</v>
      </c>
      <c r="L1470" s="3" t="s">
        <v>83</v>
      </c>
      <c r="M1470" s="3" t="s">
        <v>121</v>
      </c>
      <c r="N1470" s="4">
        <v>125912</v>
      </c>
    </row>
    <row r="1471" spans="1:14" x14ac:dyDescent="0.25">
      <c r="A1471" s="5" t="str">
        <f t="shared" si="25"/>
        <v>Oklahoma-Cliff Schnautz</v>
      </c>
      <c r="B1471" s="3" t="s">
        <v>74</v>
      </c>
      <c r="C1471" s="3" t="s">
        <v>96</v>
      </c>
      <c r="D1471" s="4">
        <v>99154</v>
      </c>
      <c r="L1471" s="3" t="s">
        <v>83</v>
      </c>
      <c r="M1471" s="3" t="s">
        <v>107</v>
      </c>
      <c r="N1471" s="4">
        <v>2615</v>
      </c>
    </row>
    <row r="1472" spans="1:14" x14ac:dyDescent="0.25">
      <c r="A1472" s="5" t="str">
        <f t="shared" si="25"/>
        <v>Guam-Raphael Derrig</v>
      </c>
      <c r="B1472" s="3" t="s">
        <v>47</v>
      </c>
      <c r="C1472" s="3" t="s">
        <v>109</v>
      </c>
      <c r="D1472" s="4">
        <v>148832</v>
      </c>
      <c r="L1472" s="3" t="s">
        <v>84</v>
      </c>
      <c r="M1472" s="3" t="s">
        <v>116</v>
      </c>
      <c r="N1472" s="4">
        <v>108209</v>
      </c>
    </row>
    <row r="1473" spans="1:14" x14ac:dyDescent="0.25">
      <c r="A1473" s="5" t="str">
        <f t="shared" si="25"/>
        <v>Colorado-Raphael Bonawitz</v>
      </c>
      <c r="B1473" s="3" t="s">
        <v>41</v>
      </c>
      <c r="C1473" s="3" t="s">
        <v>122</v>
      </c>
      <c r="D1473" s="4">
        <v>115458</v>
      </c>
      <c r="L1473" s="3" t="s">
        <v>84</v>
      </c>
      <c r="M1473" s="3" t="s">
        <v>108</v>
      </c>
      <c r="N1473" s="4">
        <v>87351</v>
      </c>
    </row>
    <row r="1474" spans="1:14" x14ac:dyDescent="0.25">
      <c r="A1474" s="5" t="str">
        <f t="shared" ref="A1474:A1537" si="26">B1474&amp;"-"&amp;C1474</f>
        <v>Rhode Island-Cliff Bahlmann</v>
      </c>
      <c r="B1474" s="3" t="s">
        <v>78</v>
      </c>
      <c r="C1474" s="3" t="s">
        <v>99</v>
      </c>
      <c r="D1474" s="4">
        <v>49744</v>
      </c>
      <c r="L1474" s="3" t="s">
        <v>84</v>
      </c>
      <c r="M1474" s="3" t="s">
        <v>110</v>
      </c>
      <c r="N1474" s="4">
        <v>159463</v>
      </c>
    </row>
    <row r="1475" spans="1:14" x14ac:dyDescent="0.25">
      <c r="A1475" s="5" t="str">
        <f t="shared" si="26"/>
        <v>Delaware-Thaddeus Cacciatori</v>
      </c>
      <c r="B1475" s="3" t="s">
        <v>43</v>
      </c>
      <c r="C1475" s="3" t="s">
        <v>114</v>
      </c>
      <c r="D1475" s="4">
        <v>67941</v>
      </c>
      <c r="L1475" s="3" t="s">
        <v>84</v>
      </c>
      <c r="M1475" s="3" t="s">
        <v>99</v>
      </c>
      <c r="N1475" s="4">
        <v>165938</v>
      </c>
    </row>
    <row r="1476" spans="1:14" x14ac:dyDescent="0.25">
      <c r="A1476" s="5" t="str">
        <f t="shared" si="26"/>
        <v>Pennsylvania-Sadye Diloreto</v>
      </c>
      <c r="B1476" s="3" t="s">
        <v>76</v>
      </c>
      <c r="C1476" s="3" t="s">
        <v>95</v>
      </c>
      <c r="D1476" s="4">
        <v>146048</v>
      </c>
      <c r="L1476" s="3" t="s">
        <v>84</v>
      </c>
      <c r="M1476" s="3" t="s">
        <v>124</v>
      </c>
      <c r="N1476" s="4">
        <v>133611</v>
      </c>
    </row>
    <row r="1477" spans="1:14" x14ac:dyDescent="0.25">
      <c r="A1477" s="5" t="str">
        <f t="shared" si="26"/>
        <v>Arizona-Toi Zedaker</v>
      </c>
      <c r="B1477" s="3" t="s">
        <v>38</v>
      </c>
      <c r="C1477" s="3" t="s">
        <v>121</v>
      </c>
      <c r="D1477" s="4">
        <v>145614</v>
      </c>
      <c r="L1477" s="3" t="s">
        <v>84</v>
      </c>
      <c r="M1477" s="3" t="s">
        <v>96</v>
      </c>
      <c r="N1477" s="4">
        <v>73367</v>
      </c>
    </row>
    <row r="1478" spans="1:14" x14ac:dyDescent="0.25">
      <c r="A1478" s="5" t="str">
        <f t="shared" si="26"/>
        <v>Puerto Rico-Marlin Mavromatis</v>
      </c>
      <c r="B1478" s="3" t="s">
        <v>77</v>
      </c>
      <c r="C1478" s="3" t="s">
        <v>113</v>
      </c>
      <c r="D1478" s="4">
        <v>96019</v>
      </c>
      <c r="L1478" s="3" t="s">
        <v>84</v>
      </c>
      <c r="M1478" s="3" t="s">
        <v>115</v>
      </c>
      <c r="N1478" s="4">
        <v>146599</v>
      </c>
    </row>
    <row r="1479" spans="1:14" x14ac:dyDescent="0.25">
      <c r="A1479" s="5" t="str">
        <f t="shared" si="26"/>
        <v>Alabama-Twanda Lovenduski</v>
      </c>
      <c r="B1479" s="3" t="s">
        <v>35</v>
      </c>
      <c r="C1479" s="3" t="s">
        <v>107</v>
      </c>
      <c r="D1479" s="4">
        <v>62517</v>
      </c>
      <c r="L1479" s="3" t="s">
        <v>84</v>
      </c>
      <c r="M1479" s="3" t="s">
        <v>117</v>
      </c>
      <c r="N1479" s="4">
        <v>165227</v>
      </c>
    </row>
    <row r="1480" spans="1:14" x14ac:dyDescent="0.25">
      <c r="A1480" s="5" t="str">
        <f t="shared" si="26"/>
        <v>Northern Marianas Islands-Raphael Bonawitz</v>
      </c>
      <c r="B1480" s="3" t="s">
        <v>72</v>
      </c>
      <c r="C1480" s="3" t="s">
        <v>122</v>
      </c>
      <c r="D1480" s="4">
        <v>23051</v>
      </c>
      <c r="L1480" s="3" t="s">
        <v>84</v>
      </c>
      <c r="M1480" s="3" t="s">
        <v>120</v>
      </c>
      <c r="N1480" s="4">
        <v>81410</v>
      </c>
    </row>
    <row r="1481" spans="1:14" x14ac:dyDescent="0.25">
      <c r="A1481" s="5" t="str">
        <f t="shared" si="26"/>
        <v>South Carolina-Cliff Schnautz</v>
      </c>
      <c r="B1481" s="3" t="s">
        <v>79</v>
      </c>
      <c r="C1481" s="3" t="s">
        <v>96</v>
      </c>
      <c r="D1481" s="4">
        <v>45200</v>
      </c>
      <c r="L1481" s="3" t="s">
        <v>84</v>
      </c>
      <c r="M1481" s="3" t="s">
        <v>111</v>
      </c>
      <c r="N1481" s="4">
        <v>6404</v>
      </c>
    </row>
    <row r="1482" spans="1:14" x14ac:dyDescent="0.25">
      <c r="A1482" s="5" t="str">
        <f t="shared" si="26"/>
        <v>Montana-Toi Zedaker</v>
      </c>
      <c r="B1482" s="3" t="s">
        <v>63</v>
      </c>
      <c r="C1482" s="3" t="s">
        <v>121</v>
      </c>
      <c r="D1482" s="4">
        <v>47250</v>
      </c>
      <c r="L1482" s="3" t="s">
        <v>84</v>
      </c>
      <c r="M1482" s="3" t="s">
        <v>102</v>
      </c>
      <c r="N1482" s="4">
        <v>128692</v>
      </c>
    </row>
    <row r="1483" spans="1:14" x14ac:dyDescent="0.25">
      <c r="A1483" s="5" t="str">
        <f t="shared" si="26"/>
        <v>Oregon-Keila Rossini</v>
      </c>
      <c r="B1483" s="3" t="s">
        <v>75</v>
      </c>
      <c r="C1483" s="3" t="s">
        <v>102</v>
      </c>
      <c r="D1483" s="4">
        <v>130263</v>
      </c>
      <c r="L1483" s="3" t="s">
        <v>84</v>
      </c>
      <c r="M1483" s="3" t="s">
        <v>106</v>
      </c>
      <c r="N1483" s="4">
        <v>142895</v>
      </c>
    </row>
    <row r="1484" spans="1:14" x14ac:dyDescent="0.25">
      <c r="A1484" s="5" t="str">
        <f t="shared" si="26"/>
        <v>Nebraska-Toi Zedaker</v>
      </c>
      <c r="B1484" s="3" t="s">
        <v>64</v>
      </c>
      <c r="C1484" s="3" t="s">
        <v>121</v>
      </c>
      <c r="D1484" s="4">
        <v>25641</v>
      </c>
      <c r="L1484" s="3" t="s">
        <v>84</v>
      </c>
      <c r="M1484" s="3" t="s">
        <v>123</v>
      </c>
      <c r="N1484" s="4">
        <v>109244</v>
      </c>
    </row>
    <row r="1485" spans="1:14" x14ac:dyDescent="0.25">
      <c r="A1485" s="5" t="str">
        <f t="shared" si="26"/>
        <v>Delaware-Kai Stroebel</v>
      </c>
      <c r="B1485" s="3" t="s">
        <v>43</v>
      </c>
      <c r="C1485" s="3" t="s">
        <v>111</v>
      </c>
      <c r="D1485" s="4">
        <v>8499</v>
      </c>
      <c r="L1485" s="3" t="s">
        <v>84</v>
      </c>
      <c r="M1485" s="3" t="s">
        <v>97</v>
      </c>
      <c r="N1485" s="4">
        <v>40761</v>
      </c>
    </row>
    <row r="1486" spans="1:14" x14ac:dyDescent="0.25">
      <c r="A1486" s="5" t="str">
        <f t="shared" si="26"/>
        <v>Iowa-Son Shryack</v>
      </c>
      <c r="B1486" s="3" t="s">
        <v>52</v>
      </c>
      <c r="C1486" s="3" t="s">
        <v>98</v>
      </c>
      <c r="D1486" s="4">
        <v>3822</v>
      </c>
      <c r="L1486" s="3" t="s">
        <v>84</v>
      </c>
      <c r="M1486" s="3" t="s">
        <v>119</v>
      </c>
      <c r="N1486" s="4">
        <v>121918</v>
      </c>
    </row>
    <row r="1487" spans="1:14" x14ac:dyDescent="0.25">
      <c r="A1487" s="5" t="str">
        <f t="shared" si="26"/>
        <v>Alabama-Lashon Bongers</v>
      </c>
      <c r="B1487" s="3" t="s">
        <v>35</v>
      </c>
      <c r="C1487" s="3" t="s">
        <v>106</v>
      </c>
      <c r="D1487" s="4">
        <v>8167</v>
      </c>
      <c r="L1487" s="3" t="s">
        <v>84</v>
      </c>
      <c r="M1487" s="3" t="s">
        <v>113</v>
      </c>
      <c r="N1487" s="4">
        <v>134274</v>
      </c>
    </row>
    <row r="1488" spans="1:14" x14ac:dyDescent="0.25">
      <c r="A1488" s="5" t="str">
        <f t="shared" si="26"/>
        <v>Colorado-Cliff Schnautz</v>
      </c>
      <c r="B1488" s="3" t="s">
        <v>41</v>
      </c>
      <c r="C1488" s="3" t="s">
        <v>96</v>
      </c>
      <c r="D1488" s="4">
        <v>15790</v>
      </c>
      <c r="L1488" s="3" t="s">
        <v>84</v>
      </c>
      <c r="M1488" s="3" t="s">
        <v>105</v>
      </c>
      <c r="N1488" s="4">
        <v>64363</v>
      </c>
    </row>
    <row r="1489" spans="1:14" x14ac:dyDescent="0.25">
      <c r="A1489" s="5" t="str">
        <f t="shared" si="26"/>
        <v>Louisiana-Cliff Schnautz</v>
      </c>
      <c r="B1489" s="3" t="s">
        <v>55</v>
      </c>
      <c r="C1489" s="3" t="s">
        <v>96</v>
      </c>
      <c r="D1489" s="4">
        <v>46631</v>
      </c>
      <c r="L1489" s="3" t="s">
        <v>84</v>
      </c>
      <c r="M1489" s="3" t="s">
        <v>104</v>
      </c>
      <c r="N1489" s="4">
        <v>167407</v>
      </c>
    </row>
    <row r="1490" spans="1:14" x14ac:dyDescent="0.25">
      <c r="A1490" s="5" t="str">
        <f t="shared" si="26"/>
        <v>Washington-Toi Zedaker</v>
      </c>
      <c r="B1490" s="3" t="s">
        <v>87</v>
      </c>
      <c r="C1490" s="3" t="s">
        <v>121</v>
      </c>
      <c r="D1490" s="4">
        <v>94264</v>
      </c>
      <c r="L1490" s="3" t="s">
        <v>84</v>
      </c>
      <c r="M1490" s="3" t="s">
        <v>100</v>
      </c>
      <c r="N1490" s="4">
        <v>129711</v>
      </c>
    </row>
    <row r="1491" spans="1:14" x14ac:dyDescent="0.25">
      <c r="A1491" s="5" t="str">
        <f t="shared" si="26"/>
        <v>West Virginia-Lashon Bongers</v>
      </c>
      <c r="B1491" s="3" t="s">
        <v>88</v>
      </c>
      <c r="C1491" s="3" t="s">
        <v>106</v>
      </c>
      <c r="D1491" s="4">
        <v>28406</v>
      </c>
      <c r="L1491" s="3" t="s">
        <v>84</v>
      </c>
      <c r="M1491" s="3" t="s">
        <v>118</v>
      </c>
      <c r="N1491" s="4">
        <v>138493</v>
      </c>
    </row>
    <row r="1492" spans="1:14" x14ac:dyDescent="0.25">
      <c r="A1492" s="5" t="str">
        <f t="shared" si="26"/>
        <v>Idaho-Nolan Deorio</v>
      </c>
      <c r="B1492" s="3" t="s">
        <v>49</v>
      </c>
      <c r="C1492" s="3" t="s">
        <v>100</v>
      </c>
      <c r="D1492" s="4">
        <v>158981</v>
      </c>
      <c r="L1492" s="3" t="s">
        <v>84</v>
      </c>
      <c r="M1492" s="3" t="s">
        <v>101</v>
      </c>
      <c r="N1492" s="4">
        <v>12339</v>
      </c>
    </row>
    <row r="1493" spans="1:14" x14ac:dyDescent="0.25">
      <c r="A1493" s="5" t="str">
        <f t="shared" si="26"/>
        <v>Illinois-Raphael Derrig</v>
      </c>
      <c r="B1493" s="3" t="s">
        <v>50</v>
      </c>
      <c r="C1493" s="3" t="s">
        <v>109</v>
      </c>
      <c r="D1493" s="4">
        <v>135851</v>
      </c>
      <c r="L1493" s="3" t="s">
        <v>84</v>
      </c>
      <c r="M1493" s="3" t="s">
        <v>122</v>
      </c>
      <c r="N1493" s="4">
        <v>24016</v>
      </c>
    </row>
    <row r="1494" spans="1:14" x14ac:dyDescent="0.25">
      <c r="A1494" s="5" t="str">
        <f t="shared" si="26"/>
        <v>Kentucky-Raphael Derrig</v>
      </c>
      <c r="B1494" s="3" t="s">
        <v>54</v>
      </c>
      <c r="C1494" s="3" t="s">
        <v>109</v>
      </c>
      <c r="D1494" s="4">
        <v>132734</v>
      </c>
      <c r="L1494" s="3" t="s">
        <v>84</v>
      </c>
      <c r="M1494" s="3" t="s">
        <v>109</v>
      </c>
      <c r="N1494" s="4">
        <v>23971</v>
      </c>
    </row>
    <row r="1495" spans="1:14" x14ac:dyDescent="0.25">
      <c r="A1495" s="5" t="str">
        <f t="shared" si="26"/>
        <v>Washington-Lucilla Bilecki</v>
      </c>
      <c r="B1495" s="3" t="s">
        <v>87</v>
      </c>
      <c r="C1495" s="3" t="s">
        <v>97</v>
      </c>
      <c r="D1495" s="4">
        <v>125366</v>
      </c>
      <c r="L1495" s="3" t="s">
        <v>84</v>
      </c>
      <c r="M1495" s="3" t="s">
        <v>95</v>
      </c>
      <c r="N1495" s="4">
        <v>154461</v>
      </c>
    </row>
    <row r="1496" spans="1:14" x14ac:dyDescent="0.25">
      <c r="A1496" s="5" t="str">
        <f t="shared" si="26"/>
        <v>American Samoa-Ali Stupp</v>
      </c>
      <c r="B1496" s="3" t="s">
        <v>37</v>
      </c>
      <c r="C1496" s="3" t="s">
        <v>108</v>
      </c>
      <c r="D1496" s="4">
        <v>75583</v>
      </c>
      <c r="L1496" s="3" t="s">
        <v>84</v>
      </c>
      <c r="M1496" s="3" t="s">
        <v>98</v>
      </c>
      <c r="N1496" s="4">
        <v>59764</v>
      </c>
    </row>
    <row r="1497" spans="1:14" x14ac:dyDescent="0.25">
      <c r="A1497" s="5" t="str">
        <f t="shared" si="26"/>
        <v>Illinois-Marcel Davern</v>
      </c>
      <c r="B1497" s="3" t="s">
        <v>50</v>
      </c>
      <c r="C1497" s="3" t="s">
        <v>119</v>
      </c>
      <c r="D1497" s="4">
        <v>91442</v>
      </c>
      <c r="L1497" s="3" t="s">
        <v>84</v>
      </c>
      <c r="M1497" s="3" t="s">
        <v>114</v>
      </c>
      <c r="N1497" s="4">
        <v>130913</v>
      </c>
    </row>
    <row r="1498" spans="1:14" x14ac:dyDescent="0.25">
      <c r="A1498" s="5" t="str">
        <f t="shared" si="26"/>
        <v>Montana-Thaddeus Notah</v>
      </c>
      <c r="B1498" s="3" t="s">
        <v>63</v>
      </c>
      <c r="C1498" s="3" t="s">
        <v>112</v>
      </c>
      <c r="D1498" s="4">
        <v>84011</v>
      </c>
      <c r="L1498" s="3" t="s">
        <v>84</v>
      </c>
      <c r="M1498" s="3" t="s">
        <v>112</v>
      </c>
      <c r="N1498" s="4">
        <v>5774</v>
      </c>
    </row>
    <row r="1499" spans="1:14" x14ac:dyDescent="0.25">
      <c r="A1499" s="5" t="str">
        <f t="shared" si="26"/>
        <v>California-Sadye Diloreto</v>
      </c>
      <c r="B1499" s="3" t="s">
        <v>40</v>
      </c>
      <c r="C1499" s="3" t="s">
        <v>95</v>
      </c>
      <c r="D1499" s="4">
        <v>170865</v>
      </c>
      <c r="L1499" s="3" t="s">
        <v>84</v>
      </c>
      <c r="M1499" s="3" t="s">
        <v>103</v>
      </c>
      <c r="N1499" s="4">
        <v>9821</v>
      </c>
    </row>
    <row r="1500" spans="1:14" x14ac:dyDescent="0.25">
      <c r="A1500" s="5" t="str">
        <f t="shared" si="26"/>
        <v>Oklahoma-Cliff Galinski</v>
      </c>
      <c r="B1500" s="3" t="s">
        <v>74</v>
      </c>
      <c r="C1500" s="3" t="s">
        <v>124</v>
      </c>
      <c r="D1500" s="4">
        <v>96765</v>
      </c>
      <c r="L1500" s="3" t="s">
        <v>84</v>
      </c>
      <c r="M1500" s="3" t="s">
        <v>121</v>
      </c>
      <c r="N1500" s="4">
        <v>64835</v>
      </c>
    </row>
    <row r="1501" spans="1:14" x14ac:dyDescent="0.25">
      <c r="A1501" s="5" t="str">
        <f t="shared" si="26"/>
        <v>Tennessee-Cliff Bahlmann</v>
      </c>
      <c r="B1501" s="3" t="s">
        <v>81</v>
      </c>
      <c r="C1501" s="3" t="s">
        <v>99</v>
      </c>
      <c r="D1501" s="4">
        <v>45705</v>
      </c>
      <c r="L1501" s="3" t="s">
        <v>84</v>
      </c>
      <c r="M1501" s="3" t="s">
        <v>107</v>
      </c>
      <c r="N1501" s="4">
        <v>12437</v>
      </c>
    </row>
    <row r="1502" spans="1:14" x14ac:dyDescent="0.25">
      <c r="A1502" s="5" t="str">
        <f t="shared" si="26"/>
        <v>Utah-Thaddeus Notah</v>
      </c>
      <c r="B1502" s="3" t="s">
        <v>83</v>
      </c>
      <c r="C1502" s="3" t="s">
        <v>112</v>
      </c>
      <c r="D1502" s="4">
        <v>65843</v>
      </c>
      <c r="L1502" s="3" t="s">
        <v>86</v>
      </c>
      <c r="M1502" s="3" t="s">
        <v>116</v>
      </c>
      <c r="N1502" s="4">
        <v>143801</v>
      </c>
    </row>
    <row r="1503" spans="1:14" x14ac:dyDescent="0.25">
      <c r="A1503" s="5" t="str">
        <f t="shared" si="26"/>
        <v>Delaware-Quinton Modugno</v>
      </c>
      <c r="B1503" s="3" t="s">
        <v>43</v>
      </c>
      <c r="C1503" s="3" t="s">
        <v>101</v>
      </c>
      <c r="D1503" s="4">
        <v>148896</v>
      </c>
      <c r="L1503" s="3" t="s">
        <v>86</v>
      </c>
      <c r="M1503" s="3" t="s">
        <v>108</v>
      </c>
      <c r="N1503" s="4">
        <v>8272</v>
      </c>
    </row>
    <row r="1504" spans="1:14" x14ac:dyDescent="0.25">
      <c r="A1504" s="5" t="str">
        <f t="shared" si="26"/>
        <v>Indiana-Marlin Mavromatis</v>
      </c>
      <c r="B1504" s="3" t="s">
        <v>51</v>
      </c>
      <c r="C1504" s="3" t="s">
        <v>113</v>
      </c>
      <c r="D1504" s="4">
        <v>3003</v>
      </c>
      <c r="L1504" s="3" t="s">
        <v>86</v>
      </c>
      <c r="M1504" s="3" t="s">
        <v>110</v>
      </c>
      <c r="N1504" s="4">
        <v>32780</v>
      </c>
    </row>
    <row r="1505" spans="1:14" x14ac:dyDescent="0.25">
      <c r="A1505" s="5" t="str">
        <f t="shared" si="26"/>
        <v>Puerto Rico-Lianne Trappey</v>
      </c>
      <c r="B1505" s="3" t="s">
        <v>77</v>
      </c>
      <c r="C1505" s="3" t="s">
        <v>123</v>
      </c>
      <c r="D1505" s="4">
        <v>159853</v>
      </c>
      <c r="L1505" s="3" t="s">
        <v>86</v>
      </c>
      <c r="M1505" s="3" t="s">
        <v>99</v>
      </c>
      <c r="N1505" s="4">
        <v>109184</v>
      </c>
    </row>
    <row r="1506" spans="1:14" x14ac:dyDescent="0.25">
      <c r="A1506" s="5" t="str">
        <f t="shared" si="26"/>
        <v>Missouri-Toi Zedaker</v>
      </c>
      <c r="B1506" s="3" t="s">
        <v>62</v>
      </c>
      <c r="C1506" s="3" t="s">
        <v>121</v>
      </c>
      <c r="D1506" s="4">
        <v>146225</v>
      </c>
      <c r="L1506" s="3" t="s">
        <v>86</v>
      </c>
      <c r="M1506" s="3" t="s">
        <v>124</v>
      </c>
      <c r="N1506" s="4">
        <v>144887</v>
      </c>
    </row>
    <row r="1507" spans="1:14" x14ac:dyDescent="0.25">
      <c r="A1507" s="5" t="str">
        <f t="shared" si="26"/>
        <v>Oklahoma-Marcel Davern</v>
      </c>
      <c r="B1507" s="3" t="s">
        <v>74</v>
      </c>
      <c r="C1507" s="3" t="s">
        <v>119</v>
      </c>
      <c r="D1507" s="4">
        <v>35660</v>
      </c>
      <c r="L1507" s="3" t="s">
        <v>86</v>
      </c>
      <c r="M1507" s="3" t="s">
        <v>96</v>
      </c>
      <c r="N1507" s="4">
        <v>114221</v>
      </c>
    </row>
    <row r="1508" spans="1:14" x14ac:dyDescent="0.25">
      <c r="A1508" s="5" t="str">
        <f t="shared" si="26"/>
        <v>South Dakota-Lucilla Bilecki</v>
      </c>
      <c r="B1508" s="3" t="s">
        <v>80</v>
      </c>
      <c r="C1508" s="3" t="s">
        <v>97</v>
      </c>
      <c r="D1508" s="4">
        <v>35931</v>
      </c>
      <c r="L1508" s="3" t="s">
        <v>86</v>
      </c>
      <c r="M1508" s="3" t="s">
        <v>115</v>
      </c>
      <c r="N1508" s="4">
        <v>55759</v>
      </c>
    </row>
    <row r="1509" spans="1:14" x14ac:dyDescent="0.25">
      <c r="A1509" s="5" t="str">
        <f t="shared" si="26"/>
        <v>Hawaii-Son Shryack</v>
      </c>
      <c r="B1509" s="3" t="s">
        <v>48</v>
      </c>
      <c r="C1509" s="3" t="s">
        <v>98</v>
      </c>
      <c r="D1509" s="4">
        <v>102335</v>
      </c>
      <c r="L1509" s="3" t="s">
        <v>86</v>
      </c>
      <c r="M1509" s="3" t="s">
        <v>117</v>
      </c>
      <c r="N1509" s="4">
        <v>98448</v>
      </c>
    </row>
    <row r="1510" spans="1:14" x14ac:dyDescent="0.25">
      <c r="A1510" s="5" t="str">
        <f t="shared" si="26"/>
        <v>North Carolina-Thaddeus Cacciatori</v>
      </c>
      <c r="B1510" s="3" t="s">
        <v>70</v>
      </c>
      <c r="C1510" s="3" t="s">
        <v>114</v>
      </c>
      <c r="D1510" s="4">
        <v>169946</v>
      </c>
      <c r="L1510" s="3" t="s">
        <v>86</v>
      </c>
      <c r="M1510" s="3" t="s">
        <v>120</v>
      </c>
      <c r="N1510" s="4">
        <v>96067</v>
      </c>
    </row>
    <row r="1511" spans="1:14" x14ac:dyDescent="0.25">
      <c r="A1511" s="5" t="str">
        <f t="shared" si="26"/>
        <v>Nevada-Genna Zaller</v>
      </c>
      <c r="B1511" s="3" t="s">
        <v>65</v>
      </c>
      <c r="C1511" s="3" t="s">
        <v>117</v>
      </c>
      <c r="D1511" s="4">
        <v>18442</v>
      </c>
      <c r="L1511" s="3" t="s">
        <v>86</v>
      </c>
      <c r="M1511" s="3" t="s">
        <v>111</v>
      </c>
      <c r="N1511" s="4">
        <v>110731</v>
      </c>
    </row>
    <row r="1512" spans="1:14" x14ac:dyDescent="0.25">
      <c r="A1512" s="5" t="str">
        <f t="shared" si="26"/>
        <v>Iowa-Ali Stupp</v>
      </c>
      <c r="B1512" s="3" t="s">
        <v>52</v>
      </c>
      <c r="C1512" s="3" t="s">
        <v>108</v>
      </c>
      <c r="D1512" s="4">
        <v>48544</v>
      </c>
      <c r="L1512" s="3" t="s">
        <v>86</v>
      </c>
      <c r="M1512" s="3" t="s">
        <v>102</v>
      </c>
      <c r="N1512" s="4">
        <v>159780</v>
      </c>
    </row>
    <row r="1513" spans="1:14" x14ac:dyDescent="0.25">
      <c r="A1513" s="5" t="str">
        <f t="shared" si="26"/>
        <v>California-Cliff Galinski</v>
      </c>
      <c r="B1513" s="3" t="s">
        <v>40</v>
      </c>
      <c r="C1513" s="3" t="s">
        <v>124</v>
      </c>
      <c r="D1513" s="4">
        <v>89850</v>
      </c>
      <c r="L1513" s="3" t="s">
        <v>86</v>
      </c>
      <c r="M1513" s="3" t="s">
        <v>106</v>
      </c>
      <c r="N1513" s="4">
        <v>10249</v>
      </c>
    </row>
    <row r="1514" spans="1:14" x14ac:dyDescent="0.25">
      <c r="A1514" s="5" t="str">
        <f t="shared" si="26"/>
        <v>Florida-Cliff Schnautz</v>
      </c>
      <c r="B1514" s="3" t="s">
        <v>45</v>
      </c>
      <c r="C1514" s="3" t="s">
        <v>96</v>
      </c>
      <c r="D1514" s="4">
        <v>127736</v>
      </c>
      <c r="L1514" s="3" t="s">
        <v>86</v>
      </c>
      <c r="M1514" s="3" t="s">
        <v>123</v>
      </c>
      <c r="N1514" s="4">
        <v>28648</v>
      </c>
    </row>
    <row r="1515" spans="1:14" x14ac:dyDescent="0.25">
      <c r="A1515" s="5" t="str">
        <f t="shared" si="26"/>
        <v>Missouri-Marcel Davern</v>
      </c>
      <c r="B1515" s="3" t="s">
        <v>62</v>
      </c>
      <c r="C1515" s="3" t="s">
        <v>119</v>
      </c>
      <c r="D1515" s="4">
        <v>98439</v>
      </c>
      <c r="L1515" s="3" t="s">
        <v>86</v>
      </c>
      <c r="M1515" s="3" t="s">
        <v>97</v>
      </c>
      <c r="N1515" s="4">
        <v>41652</v>
      </c>
    </row>
    <row r="1516" spans="1:14" x14ac:dyDescent="0.25">
      <c r="A1516" s="5" t="str">
        <f t="shared" si="26"/>
        <v>Florida-Lashon Bongers</v>
      </c>
      <c r="B1516" s="3" t="s">
        <v>45</v>
      </c>
      <c r="C1516" s="3" t="s">
        <v>106</v>
      </c>
      <c r="D1516" s="4">
        <v>69421</v>
      </c>
      <c r="L1516" s="3" t="s">
        <v>86</v>
      </c>
      <c r="M1516" s="3" t="s">
        <v>119</v>
      </c>
      <c r="N1516" s="4">
        <v>63853</v>
      </c>
    </row>
    <row r="1517" spans="1:14" x14ac:dyDescent="0.25">
      <c r="A1517" s="5" t="str">
        <f t="shared" si="26"/>
        <v>Maryland-Armand Mcleon</v>
      </c>
      <c r="B1517" s="3" t="s">
        <v>57</v>
      </c>
      <c r="C1517" s="3" t="s">
        <v>110</v>
      </c>
      <c r="D1517" s="4">
        <v>145572</v>
      </c>
      <c r="L1517" s="3" t="s">
        <v>86</v>
      </c>
      <c r="M1517" s="3" t="s">
        <v>113</v>
      </c>
      <c r="N1517" s="4">
        <v>129060</v>
      </c>
    </row>
    <row r="1518" spans="1:14" x14ac:dyDescent="0.25">
      <c r="A1518" s="5" t="str">
        <f t="shared" si="26"/>
        <v>Connecticut-Toi Zedaker</v>
      </c>
      <c r="B1518" s="3" t="s">
        <v>42</v>
      </c>
      <c r="C1518" s="3" t="s">
        <v>121</v>
      </c>
      <c r="D1518" s="4">
        <v>146439</v>
      </c>
      <c r="L1518" s="3" t="s">
        <v>86</v>
      </c>
      <c r="M1518" s="3" t="s">
        <v>105</v>
      </c>
      <c r="N1518" s="4">
        <v>142158</v>
      </c>
    </row>
    <row r="1519" spans="1:14" x14ac:dyDescent="0.25">
      <c r="A1519" s="5" t="str">
        <f t="shared" si="26"/>
        <v>Michigan-Raphael Derrig</v>
      </c>
      <c r="B1519" s="3" t="s">
        <v>59</v>
      </c>
      <c r="C1519" s="3" t="s">
        <v>109</v>
      </c>
      <c r="D1519" s="4">
        <v>89154</v>
      </c>
      <c r="L1519" s="3" t="s">
        <v>86</v>
      </c>
      <c r="M1519" s="3" t="s">
        <v>104</v>
      </c>
      <c r="N1519" s="4">
        <v>10978</v>
      </c>
    </row>
    <row r="1520" spans="1:14" x14ac:dyDescent="0.25">
      <c r="A1520" s="5" t="str">
        <f t="shared" si="26"/>
        <v>Arkansas-Marvis Tenholder</v>
      </c>
      <c r="B1520" s="3" t="s">
        <v>39</v>
      </c>
      <c r="C1520" s="3" t="s">
        <v>105</v>
      </c>
      <c r="D1520" s="4">
        <v>56391</v>
      </c>
      <c r="L1520" s="3" t="s">
        <v>86</v>
      </c>
      <c r="M1520" s="3" t="s">
        <v>100</v>
      </c>
      <c r="N1520" s="4">
        <v>58999</v>
      </c>
    </row>
    <row r="1521" spans="1:14" x14ac:dyDescent="0.25">
      <c r="A1521" s="5" t="str">
        <f t="shared" si="26"/>
        <v>Guam-Lucilla Bilecki</v>
      </c>
      <c r="B1521" s="3" t="s">
        <v>47</v>
      </c>
      <c r="C1521" s="3" t="s">
        <v>97</v>
      </c>
      <c r="D1521" s="4">
        <v>174465</v>
      </c>
      <c r="L1521" s="3" t="s">
        <v>86</v>
      </c>
      <c r="M1521" s="3" t="s">
        <v>118</v>
      </c>
      <c r="N1521" s="4">
        <v>38694</v>
      </c>
    </row>
    <row r="1522" spans="1:14" x14ac:dyDescent="0.25">
      <c r="A1522" s="5" t="str">
        <f t="shared" si="26"/>
        <v>Florida-Keila Rossini</v>
      </c>
      <c r="B1522" s="3" t="s">
        <v>45</v>
      </c>
      <c r="C1522" s="3" t="s">
        <v>102</v>
      </c>
      <c r="D1522" s="4">
        <v>26900</v>
      </c>
      <c r="L1522" s="3" t="s">
        <v>86</v>
      </c>
      <c r="M1522" s="3" t="s">
        <v>101</v>
      </c>
      <c r="N1522" s="4">
        <v>53442</v>
      </c>
    </row>
    <row r="1523" spans="1:14" x14ac:dyDescent="0.25">
      <c r="A1523" s="5" t="str">
        <f t="shared" si="26"/>
        <v>Northern Marianas Islands-Raphael Derrig</v>
      </c>
      <c r="B1523" s="3" t="s">
        <v>72</v>
      </c>
      <c r="C1523" s="3" t="s">
        <v>109</v>
      </c>
      <c r="D1523" s="4">
        <v>23198</v>
      </c>
      <c r="L1523" s="3" t="s">
        <v>86</v>
      </c>
      <c r="M1523" s="3" t="s">
        <v>122</v>
      </c>
      <c r="N1523" s="4">
        <v>173673</v>
      </c>
    </row>
    <row r="1524" spans="1:14" x14ac:dyDescent="0.25">
      <c r="A1524" s="5" t="str">
        <f t="shared" si="26"/>
        <v>Idaho-Lianne Trappey</v>
      </c>
      <c r="B1524" s="3" t="s">
        <v>49</v>
      </c>
      <c r="C1524" s="3" t="s">
        <v>123</v>
      </c>
      <c r="D1524" s="4">
        <v>33925</v>
      </c>
      <c r="L1524" s="3" t="s">
        <v>86</v>
      </c>
      <c r="M1524" s="3" t="s">
        <v>109</v>
      </c>
      <c r="N1524" s="4">
        <v>32211</v>
      </c>
    </row>
    <row r="1525" spans="1:14" x14ac:dyDescent="0.25">
      <c r="A1525" s="5" t="str">
        <f t="shared" si="26"/>
        <v>American Samoa-Lucilla Bilecki</v>
      </c>
      <c r="B1525" s="3" t="s">
        <v>37</v>
      </c>
      <c r="C1525" s="3" t="s">
        <v>97</v>
      </c>
      <c r="D1525" s="4">
        <v>95951</v>
      </c>
      <c r="L1525" s="3" t="s">
        <v>86</v>
      </c>
      <c r="M1525" s="3" t="s">
        <v>95</v>
      </c>
      <c r="N1525" s="4">
        <v>2992</v>
      </c>
    </row>
    <row r="1526" spans="1:14" x14ac:dyDescent="0.25">
      <c r="A1526" s="5" t="str">
        <f t="shared" si="26"/>
        <v>Vermont-Raphael Derrig</v>
      </c>
      <c r="B1526" s="3" t="s">
        <v>84</v>
      </c>
      <c r="C1526" s="3" t="s">
        <v>109</v>
      </c>
      <c r="D1526" s="4">
        <v>23971</v>
      </c>
      <c r="L1526" s="3" t="s">
        <v>86</v>
      </c>
      <c r="M1526" s="3" t="s">
        <v>98</v>
      </c>
      <c r="N1526" s="4">
        <v>70973</v>
      </c>
    </row>
    <row r="1527" spans="1:14" x14ac:dyDescent="0.25">
      <c r="A1527" s="5" t="str">
        <f t="shared" si="26"/>
        <v>Wyoming-Nolan Deorio</v>
      </c>
      <c r="B1527" s="3" t="s">
        <v>90</v>
      </c>
      <c r="C1527" s="3" t="s">
        <v>100</v>
      </c>
      <c r="D1527" s="4">
        <v>95138</v>
      </c>
      <c r="L1527" s="3" t="s">
        <v>86</v>
      </c>
      <c r="M1527" s="3" t="s">
        <v>114</v>
      </c>
      <c r="N1527" s="4">
        <v>149240</v>
      </c>
    </row>
    <row r="1528" spans="1:14" x14ac:dyDescent="0.25">
      <c r="A1528" s="5" t="str">
        <f t="shared" si="26"/>
        <v>Pennsylvania-Fidel Potra</v>
      </c>
      <c r="B1528" s="3" t="s">
        <v>76</v>
      </c>
      <c r="C1528" s="3" t="s">
        <v>115</v>
      </c>
      <c r="D1528" s="4">
        <v>146363</v>
      </c>
      <c r="L1528" s="3" t="s">
        <v>86</v>
      </c>
      <c r="M1528" s="3" t="s">
        <v>112</v>
      </c>
      <c r="N1528" s="4">
        <v>103365</v>
      </c>
    </row>
    <row r="1529" spans="1:14" x14ac:dyDescent="0.25">
      <c r="A1529" s="5" t="str">
        <f t="shared" si="26"/>
        <v>Ohio-Marcel Davern</v>
      </c>
      <c r="B1529" s="3" t="s">
        <v>73</v>
      </c>
      <c r="C1529" s="3" t="s">
        <v>119</v>
      </c>
      <c r="D1529" s="4">
        <v>141465</v>
      </c>
      <c r="L1529" s="3" t="s">
        <v>86</v>
      </c>
      <c r="M1529" s="3" t="s">
        <v>103</v>
      </c>
      <c r="N1529" s="4">
        <v>87147</v>
      </c>
    </row>
    <row r="1530" spans="1:14" x14ac:dyDescent="0.25">
      <c r="A1530" s="5" t="str">
        <f t="shared" si="26"/>
        <v>South Dakota-Nolan Gohn</v>
      </c>
      <c r="B1530" s="3" t="s">
        <v>80</v>
      </c>
      <c r="C1530" s="3" t="s">
        <v>118</v>
      </c>
      <c r="D1530" s="4">
        <v>52184</v>
      </c>
      <c r="L1530" s="3" t="s">
        <v>86</v>
      </c>
      <c r="M1530" s="3" t="s">
        <v>121</v>
      </c>
      <c r="N1530" s="4">
        <v>51012</v>
      </c>
    </row>
    <row r="1531" spans="1:14" x14ac:dyDescent="0.25">
      <c r="A1531" s="5" t="str">
        <f t="shared" si="26"/>
        <v>Iowa-Keila Rossini</v>
      </c>
      <c r="B1531" s="3" t="s">
        <v>52</v>
      </c>
      <c r="C1531" s="3" t="s">
        <v>102</v>
      </c>
      <c r="D1531" s="4">
        <v>87737</v>
      </c>
      <c r="L1531" s="3" t="s">
        <v>86</v>
      </c>
      <c r="M1531" s="3" t="s">
        <v>107</v>
      </c>
      <c r="N1531" s="4">
        <v>34007</v>
      </c>
    </row>
    <row r="1532" spans="1:14" x14ac:dyDescent="0.25">
      <c r="A1532" s="5" t="str">
        <f t="shared" si="26"/>
        <v>Kansas-Lianne Trappey</v>
      </c>
      <c r="B1532" s="3" t="s">
        <v>53</v>
      </c>
      <c r="C1532" s="3" t="s">
        <v>123</v>
      </c>
      <c r="D1532" s="4">
        <v>114007</v>
      </c>
      <c r="L1532" s="3" t="s">
        <v>85</v>
      </c>
      <c r="M1532" s="3" t="s">
        <v>116</v>
      </c>
      <c r="N1532" s="4">
        <v>48025</v>
      </c>
    </row>
    <row r="1533" spans="1:14" x14ac:dyDescent="0.25">
      <c r="A1533" s="5" t="str">
        <f t="shared" si="26"/>
        <v>Missouri-Fidel Potra</v>
      </c>
      <c r="B1533" s="3" t="s">
        <v>62</v>
      </c>
      <c r="C1533" s="3" t="s">
        <v>115</v>
      </c>
      <c r="D1533" s="4">
        <v>145428</v>
      </c>
      <c r="L1533" s="3" t="s">
        <v>85</v>
      </c>
      <c r="M1533" s="3" t="s">
        <v>108</v>
      </c>
      <c r="N1533" s="4">
        <v>67138</v>
      </c>
    </row>
    <row r="1534" spans="1:14" x14ac:dyDescent="0.25">
      <c r="A1534" s="5" t="str">
        <f t="shared" si="26"/>
        <v>West Virginia-Kai Stroebel</v>
      </c>
      <c r="B1534" s="3" t="s">
        <v>88</v>
      </c>
      <c r="C1534" s="3" t="s">
        <v>111</v>
      </c>
      <c r="D1534" s="4">
        <v>43291</v>
      </c>
      <c r="L1534" s="3" t="s">
        <v>85</v>
      </c>
      <c r="M1534" s="3" t="s">
        <v>110</v>
      </c>
      <c r="N1534" s="4">
        <v>129310</v>
      </c>
    </row>
    <row r="1535" spans="1:14" x14ac:dyDescent="0.25">
      <c r="A1535" s="5" t="str">
        <f t="shared" si="26"/>
        <v>North Dakota-Lucilla Bilecki</v>
      </c>
      <c r="B1535" s="3" t="s">
        <v>71</v>
      </c>
      <c r="C1535" s="3" t="s">
        <v>97</v>
      </c>
      <c r="D1535" s="4">
        <v>90066</v>
      </c>
      <c r="L1535" s="3" t="s">
        <v>85</v>
      </c>
      <c r="M1535" s="3" t="s">
        <v>99</v>
      </c>
      <c r="N1535" s="4">
        <v>114720</v>
      </c>
    </row>
    <row r="1536" spans="1:14" x14ac:dyDescent="0.25">
      <c r="A1536" s="5" t="str">
        <f t="shared" si="26"/>
        <v>California-Thaddeus Notah</v>
      </c>
      <c r="B1536" s="3" t="s">
        <v>40</v>
      </c>
      <c r="C1536" s="3" t="s">
        <v>112</v>
      </c>
      <c r="D1536" s="4">
        <v>79918</v>
      </c>
      <c r="L1536" s="3" t="s">
        <v>85</v>
      </c>
      <c r="M1536" s="3" t="s">
        <v>124</v>
      </c>
      <c r="N1536" s="4">
        <v>87689</v>
      </c>
    </row>
    <row r="1537" spans="1:14" x14ac:dyDescent="0.25">
      <c r="A1537" s="5" t="str">
        <f t="shared" si="26"/>
        <v>Virgin Islands-Armand Mcleon</v>
      </c>
      <c r="B1537" s="3" t="s">
        <v>86</v>
      </c>
      <c r="C1537" s="3" t="s">
        <v>110</v>
      </c>
      <c r="D1537" s="4">
        <v>32780</v>
      </c>
      <c r="L1537" s="3" t="s">
        <v>85</v>
      </c>
      <c r="M1537" s="3" t="s">
        <v>96</v>
      </c>
      <c r="N1537" s="4">
        <v>8211</v>
      </c>
    </row>
    <row r="1538" spans="1:14" x14ac:dyDescent="0.25">
      <c r="A1538" s="5" t="str">
        <f t="shared" ref="A1538:A1601" si="27">B1538&amp;"-"&amp;C1538</f>
        <v>North Dakota-Genna Zaller</v>
      </c>
      <c r="B1538" s="3" t="s">
        <v>71</v>
      </c>
      <c r="C1538" s="3" t="s">
        <v>117</v>
      </c>
      <c r="D1538" s="4">
        <v>154551</v>
      </c>
      <c r="L1538" s="3" t="s">
        <v>85</v>
      </c>
      <c r="M1538" s="3" t="s">
        <v>115</v>
      </c>
      <c r="N1538" s="4">
        <v>18441</v>
      </c>
    </row>
    <row r="1539" spans="1:14" x14ac:dyDescent="0.25">
      <c r="A1539" s="5" t="str">
        <f t="shared" si="27"/>
        <v>Idaho-Toi Medico</v>
      </c>
      <c r="B1539" s="3" t="s">
        <v>49</v>
      </c>
      <c r="C1539" s="3" t="s">
        <v>103</v>
      </c>
      <c r="D1539" s="4">
        <v>34834</v>
      </c>
      <c r="L1539" s="3" t="s">
        <v>85</v>
      </c>
      <c r="M1539" s="3" t="s">
        <v>117</v>
      </c>
      <c r="N1539" s="4">
        <v>54445</v>
      </c>
    </row>
    <row r="1540" spans="1:14" x14ac:dyDescent="0.25">
      <c r="A1540" s="5" t="str">
        <f t="shared" si="27"/>
        <v>North Carolina-Jackson Lorkowski</v>
      </c>
      <c r="B1540" s="3" t="s">
        <v>70</v>
      </c>
      <c r="C1540" s="3" t="s">
        <v>120</v>
      </c>
      <c r="D1540" s="4">
        <v>71238</v>
      </c>
      <c r="L1540" s="3" t="s">
        <v>85</v>
      </c>
      <c r="M1540" s="3" t="s">
        <v>120</v>
      </c>
      <c r="N1540" s="4">
        <v>40930</v>
      </c>
    </row>
    <row r="1541" spans="1:14" x14ac:dyDescent="0.25">
      <c r="A1541" s="5" t="str">
        <f t="shared" si="27"/>
        <v>Kentucky-Armand Mcleon</v>
      </c>
      <c r="B1541" s="3" t="s">
        <v>54</v>
      </c>
      <c r="C1541" s="3" t="s">
        <v>110</v>
      </c>
      <c r="D1541" s="4">
        <v>40486</v>
      </c>
      <c r="L1541" s="3" t="s">
        <v>85</v>
      </c>
      <c r="M1541" s="3" t="s">
        <v>111</v>
      </c>
      <c r="N1541" s="4">
        <v>27961</v>
      </c>
    </row>
    <row r="1542" spans="1:14" x14ac:dyDescent="0.25">
      <c r="A1542" s="5" t="str">
        <f t="shared" si="27"/>
        <v>Puerto Rico-Toi Zedaker</v>
      </c>
      <c r="B1542" s="3" t="s">
        <v>77</v>
      </c>
      <c r="C1542" s="3" t="s">
        <v>121</v>
      </c>
      <c r="D1542" s="4">
        <v>49050</v>
      </c>
      <c r="L1542" s="3" t="s">
        <v>85</v>
      </c>
      <c r="M1542" s="3" t="s">
        <v>102</v>
      </c>
      <c r="N1542" s="4">
        <v>35387</v>
      </c>
    </row>
    <row r="1543" spans="1:14" x14ac:dyDescent="0.25">
      <c r="A1543" s="5" t="str">
        <f t="shared" si="27"/>
        <v>Louisiana-Moises Paynes</v>
      </c>
      <c r="B1543" s="3" t="s">
        <v>55</v>
      </c>
      <c r="C1543" s="3" t="s">
        <v>104</v>
      </c>
      <c r="D1543" s="4">
        <v>139824</v>
      </c>
      <c r="L1543" s="3" t="s">
        <v>85</v>
      </c>
      <c r="M1543" s="3" t="s">
        <v>106</v>
      </c>
      <c r="N1543" s="4">
        <v>146209</v>
      </c>
    </row>
    <row r="1544" spans="1:14" x14ac:dyDescent="0.25">
      <c r="A1544" s="5" t="str">
        <f t="shared" si="27"/>
        <v>Florida-Ali Steenken</v>
      </c>
      <c r="B1544" s="3" t="s">
        <v>45</v>
      </c>
      <c r="C1544" s="3" t="s">
        <v>116</v>
      </c>
      <c r="D1544" s="4">
        <v>13677</v>
      </c>
      <c r="L1544" s="3" t="s">
        <v>85</v>
      </c>
      <c r="M1544" s="3" t="s">
        <v>123</v>
      </c>
      <c r="N1544" s="4">
        <v>75498</v>
      </c>
    </row>
    <row r="1545" spans="1:14" x14ac:dyDescent="0.25">
      <c r="A1545" s="5" t="str">
        <f t="shared" si="27"/>
        <v>Alaska-Cliff Schnautz</v>
      </c>
      <c r="B1545" s="3" t="s">
        <v>36</v>
      </c>
      <c r="C1545" s="3" t="s">
        <v>96</v>
      </c>
      <c r="D1545" s="4">
        <v>32051</v>
      </c>
      <c r="L1545" s="3" t="s">
        <v>85</v>
      </c>
      <c r="M1545" s="3" t="s">
        <v>97</v>
      </c>
      <c r="N1545" s="4">
        <v>39661</v>
      </c>
    </row>
    <row r="1546" spans="1:14" x14ac:dyDescent="0.25">
      <c r="A1546" s="5" t="str">
        <f t="shared" si="27"/>
        <v>Hawaii-Thaddeus Cacciatori</v>
      </c>
      <c r="B1546" s="3" t="s">
        <v>48</v>
      </c>
      <c r="C1546" s="3" t="s">
        <v>114</v>
      </c>
      <c r="D1546" s="4">
        <v>63788</v>
      </c>
      <c r="L1546" s="3" t="s">
        <v>85</v>
      </c>
      <c r="M1546" s="3" t="s">
        <v>119</v>
      </c>
      <c r="N1546" s="4">
        <v>166276</v>
      </c>
    </row>
    <row r="1547" spans="1:14" x14ac:dyDescent="0.25">
      <c r="A1547" s="5" t="str">
        <f t="shared" si="27"/>
        <v>Wisconsin-Marcel Davern</v>
      </c>
      <c r="B1547" s="3" t="s">
        <v>89</v>
      </c>
      <c r="C1547" s="3" t="s">
        <v>119</v>
      </c>
      <c r="D1547" s="4">
        <v>10256</v>
      </c>
      <c r="L1547" s="3" t="s">
        <v>85</v>
      </c>
      <c r="M1547" s="3" t="s">
        <v>113</v>
      </c>
      <c r="N1547" s="4">
        <v>56895</v>
      </c>
    </row>
    <row r="1548" spans="1:14" x14ac:dyDescent="0.25">
      <c r="A1548" s="5" t="str">
        <f t="shared" si="27"/>
        <v>Guam-Sadye Diloreto</v>
      </c>
      <c r="B1548" s="3" t="s">
        <v>47</v>
      </c>
      <c r="C1548" s="3" t="s">
        <v>95</v>
      </c>
      <c r="D1548" s="4">
        <v>127788</v>
      </c>
      <c r="L1548" s="3" t="s">
        <v>85</v>
      </c>
      <c r="M1548" s="3" t="s">
        <v>105</v>
      </c>
      <c r="N1548" s="4">
        <v>90963</v>
      </c>
    </row>
    <row r="1549" spans="1:14" x14ac:dyDescent="0.25">
      <c r="A1549" s="5" t="str">
        <f t="shared" si="27"/>
        <v>North Carolina-Moises Paynes</v>
      </c>
      <c r="B1549" s="3" t="s">
        <v>70</v>
      </c>
      <c r="C1549" s="3" t="s">
        <v>104</v>
      </c>
      <c r="D1549" s="4">
        <v>167948</v>
      </c>
      <c r="L1549" s="3" t="s">
        <v>85</v>
      </c>
      <c r="M1549" s="3" t="s">
        <v>104</v>
      </c>
      <c r="N1549" s="4">
        <v>153796</v>
      </c>
    </row>
    <row r="1550" spans="1:14" x14ac:dyDescent="0.25">
      <c r="A1550" s="5" t="str">
        <f t="shared" si="27"/>
        <v>Maryland-Thaddeus Notah</v>
      </c>
      <c r="B1550" s="3" t="s">
        <v>57</v>
      </c>
      <c r="C1550" s="3" t="s">
        <v>112</v>
      </c>
      <c r="D1550" s="4">
        <v>88937</v>
      </c>
      <c r="L1550" s="3" t="s">
        <v>85</v>
      </c>
      <c r="M1550" s="3" t="s">
        <v>100</v>
      </c>
      <c r="N1550" s="4">
        <v>34781</v>
      </c>
    </row>
    <row r="1551" spans="1:14" x14ac:dyDescent="0.25">
      <c r="A1551" s="5" t="str">
        <f t="shared" si="27"/>
        <v>Maryland-Thaddeus Cacciatori</v>
      </c>
      <c r="B1551" s="3" t="s">
        <v>57</v>
      </c>
      <c r="C1551" s="3" t="s">
        <v>114</v>
      </c>
      <c r="D1551" s="4">
        <v>71659</v>
      </c>
      <c r="L1551" s="3" t="s">
        <v>85</v>
      </c>
      <c r="M1551" s="3" t="s">
        <v>118</v>
      </c>
      <c r="N1551" s="4">
        <v>42104</v>
      </c>
    </row>
    <row r="1552" spans="1:14" x14ac:dyDescent="0.25">
      <c r="A1552" s="5" t="str">
        <f t="shared" si="27"/>
        <v>Massachusetts-Ali Steenken</v>
      </c>
      <c r="B1552" s="3" t="s">
        <v>58</v>
      </c>
      <c r="C1552" s="3" t="s">
        <v>116</v>
      </c>
      <c r="D1552" s="4">
        <v>10026</v>
      </c>
      <c r="L1552" s="3" t="s">
        <v>85</v>
      </c>
      <c r="M1552" s="3" t="s">
        <v>101</v>
      </c>
      <c r="N1552" s="4">
        <v>46605</v>
      </c>
    </row>
    <row r="1553" spans="1:14" x14ac:dyDescent="0.25">
      <c r="A1553" s="5" t="str">
        <f t="shared" si="27"/>
        <v>Puerto Rico-Thaddeus Notah</v>
      </c>
      <c r="B1553" s="3" t="s">
        <v>77</v>
      </c>
      <c r="C1553" s="3" t="s">
        <v>112</v>
      </c>
      <c r="D1553" s="4">
        <v>83886</v>
      </c>
      <c r="L1553" s="3" t="s">
        <v>85</v>
      </c>
      <c r="M1553" s="3" t="s">
        <v>122</v>
      </c>
      <c r="N1553" s="4">
        <v>163128</v>
      </c>
    </row>
    <row r="1554" spans="1:14" x14ac:dyDescent="0.25">
      <c r="A1554" s="5" t="str">
        <f t="shared" si="27"/>
        <v>New Hampshire-Ali Steenken</v>
      </c>
      <c r="B1554" s="3" t="s">
        <v>66</v>
      </c>
      <c r="C1554" s="3" t="s">
        <v>116</v>
      </c>
      <c r="D1554" s="4">
        <v>16238</v>
      </c>
      <c r="L1554" s="3" t="s">
        <v>85</v>
      </c>
      <c r="M1554" s="3" t="s">
        <v>109</v>
      </c>
      <c r="N1554" s="4">
        <v>28820</v>
      </c>
    </row>
    <row r="1555" spans="1:14" x14ac:dyDescent="0.25">
      <c r="A1555" s="5" t="str">
        <f t="shared" si="27"/>
        <v>Nebraska-Marlin Mavromatis</v>
      </c>
      <c r="B1555" s="3" t="s">
        <v>64</v>
      </c>
      <c r="C1555" s="3" t="s">
        <v>113</v>
      </c>
      <c r="D1555" s="4">
        <v>41697</v>
      </c>
      <c r="L1555" s="3" t="s">
        <v>85</v>
      </c>
      <c r="M1555" s="3" t="s">
        <v>95</v>
      </c>
      <c r="N1555" s="4">
        <v>39931</v>
      </c>
    </row>
    <row r="1556" spans="1:14" x14ac:dyDescent="0.25">
      <c r="A1556" s="5" t="str">
        <f t="shared" si="27"/>
        <v>Iowa-Nolan Deorio</v>
      </c>
      <c r="B1556" s="3" t="s">
        <v>52</v>
      </c>
      <c r="C1556" s="3" t="s">
        <v>100</v>
      </c>
      <c r="D1556" s="4">
        <v>108092</v>
      </c>
      <c r="L1556" s="3" t="s">
        <v>85</v>
      </c>
      <c r="M1556" s="3" t="s">
        <v>98</v>
      </c>
      <c r="N1556" s="4">
        <v>119810</v>
      </c>
    </row>
    <row r="1557" spans="1:14" x14ac:dyDescent="0.25">
      <c r="A1557" s="5" t="str">
        <f t="shared" si="27"/>
        <v>Alabama-Marcel Davern</v>
      </c>
      <c r="B1557" s="3" t="s">
        <v>35</v>
      </c>
      <c r="C1557" s="3" t="s">
        <v>119</v>
      </c>
      <c r="D1557" s="4">
        <v>124907</v>
      </c>
      <c r="L1557" s="3" t="s">
        <v>85</v>
      </c>
      <c r="M1557" s="3" t="s">
        <v>114</v>
      </c>
      <c r="N1557" s="4">
        <v>145489</v>
      </c>
    </row>
    <row r="1558" spans="1:14" x14ac:dyDescent="0.25">
      <c r="A1558" s="5" t="str">
        <f t="shared" si="27"/>
        <v>West Virginia-Armand Mcleon</v>
      </c>
      <c r="B1558" s="3" t="s">
        <v>88</v>
      </c>
      <c r="C1558" s="3" t="s">
        <v>110</v>
      </c>
      <c r="D1558" s="4">
        <v>11470</v>
      </c>
      <c r="L1558" s="3" t="s">
        <v>85</v>
      </c>
      <c r="M1558" s="3" t="s">
        <v>112</v>
      </c>
      <c r="N1558" s="4">
        <v>160976</v>
      </c>
    </row>
    <row r="1559" spans="1:14" x14ac:dyDescent="0.25">
      <c r="A1559" s="5" t="str">
        <f t="shared" si="27"/>
        <v>Delaware-Lianne Trappey</v>
      </c>
      <c r="B1559" s="3" t="s">
        <v>43</v>
      </c>
      <c r="C1559" s="3" t="s">
        <v>123</v>
      </c>
      <c r="D1559" s="4">
        <v>19299</v>
      </c>
      <c r="L1559" s="3" t="s">
        <v>85</v>
      </c>
      <c r="M1559" s="3" t="s">
        <v>103</v>
      </c>
      <c r="N1559" s="4">
        <v>171692</v>
      </c>
    </row>
    <row r="1560" spans="1:14" x14ac:dyDescent="0.25">
      <c r="A1560" s="5" t="str">
        <f t="shared" si="27"/>
        <v>Virgin Islands-Ali Stupp</v>
      </c>
      <c r="B1560" s="3" t="s">
        <v>86</v>
      </c>
      <c r="C1560" s="3" t="s">
        <v>108</v>
      </c>
      <c r="D1560" s="4">
        <v>8272</v>
      </c>
      <c r="L1560" s="3" t="s">
        <v>85</v>
      </c>
      <c r="M1560" s="3" t="s">
        <v>121</v>
      </c>
      <c r="N1560" s="4">
        <v>150943</v>
      </c>
    </row>
    <row r="1561" spans="1:14" x14ac:dyDescent="0.25">
      <c r="A1561" s="5" t="str">
        <f t="shared" si="27"/>
        <v>Tennessee-Ali Stupp</v>
      </c>
      <c r="B1561" s="3" t="s">
        <v>81</v>
      </c>
      <c r="C1561" s="3" t="s">
        <v>108</v>
      </c>
      <c r="D1561" s="4">
        <v>35356</v>
      </c>
      <c r="L1561" s="3" t="s">
        <v>85</v>
      </c>
      <c r="M1561" s="3" t="s">
        <v>107</v>
      </c>
      <c r="N1561" s="4">
        <v>167304</v>
      </c>
    </row>
    <row r="1562" spans="1:14" x14ac:dyDescent="0.25">
      <c r="A1562" s="5" t="str">
        <f t="shared" si="27"/>
        <v>Maine-Lashon Bongers</v>
      </c>
      <c r="B1562" s="3" t="s">
        <v>56</v>
      </c>
      <c r="C1562" s="3" t="s">
        <v>106</v>
      </c>
      <c r="D1562" s="4">
        <v>67818</v>
      </c>
      <c r="L1562" s="3" t="s">
        <v>87</v>
      </c>
      <c r="M1562" s="3" t="s">
        <v>116</v>
      </c>
      <c r="N1562" s="4">
        <v>137397</v>
      </c>
    </row>
    <row r="1563" spans="1:14" x14ac:dyDescent="0.25">
      <c r="A1563" s="5" t="str">
        <f t="shared" si="27"/>
        <v>Missouri-Keila Rossini</v>
      </c>
      <c r="B1563" s="3" t="s">
        <v>62</v>
      </c>
      <c r="C1563" s="3" t="s">
        <v>102</v>
      </c>
      <c r="D1563" s="4">
        <v>60257</v>
      </c>
      <c r="L1563" s="3" t="s">
        <v>87</v>
      </c>
      <c r="M1563" s="3" t="s">
        <v>108</v>
      </c>
      <c r="N1563" s="4">
        <v>143515</v>
      </c>
    </row>
    <row r="1564" spans="1:14" x14ac:dyDescent="0.25">
      <c r="A1564" s="5" t="str">
        <f t="shared" si="27"/>
        <v>Ohio-Twanda Lovenduski</v>
      </c>
      <c r="B1564" s="3" t="s">
        <v>73</v>
      </c>
      <c r="C1564" s="3" t="s">
        <v>107</v>
      </c>
      <c r="D1564" s="4">
        <v>49302</v>
      </c>
      <c r="L1564" s="3" t="s">
        <v>87</v>
      </c>
      <c r="M1564" s="3" t="s">
        <v>110</v>
      </c>
      <c r="N1564" s="4">
        <v>61358</v>
      </c>
    </row>
    <row r="1565" spans="1:14" x14ac:dyDescent="0.25">
      <c r="A1565" s="5" t="str">
        <f t="shared" si="27"/>
        <v>Texas-Cliff Galinski</v>
      </c>
      <c r="B1565" s="3" t="s">
        <v>82</v>
      </c>
      <c r="C1565" s="3" t="s">
        <v>124</v>
      </c>
      <c r="D1565" s="4">
        <v>115071</v>
      </c>
      <c r="L1565" s="3" t="s">
        <v>87</v>
      </c>
      <c r="M1565" s="3" t="s">
        <v>99</v>
      </c>
      <c r="N1565" s="4">
        <v>81022</v>
      </c>
    </row>
    <row r="1566" spans="1:14" x14ac:dyDescent="0.25">
      <c r="A1566" s="5" t="str">
        <f t="shared" si="27"/>
        <v>Florida-Nolan Gohn</v>
      </c>
      <c r="B1566" s="3" t="s">
        <v>45</v>
      </c>
      <c r="C1566" s="3" t="s">
        <v>118</v>
      </c>
      <c r="D1566" s="4">
        <v>33630</v>
      </c>
      <c r="L1566" s="3" t="s">
        <v>87</v>
      </c>
      <c r="M1566" s="3" t="s">
        <v>124</v>
      </c>
      <c r="N1566" s="4">
        <v>79172</v>
      </c>
    </row>
    <row r="1567" spans="1:14" x14ac:dyDescent="0.25">
      <c r="A1567" s="5" t="str">
        <f t="shared" si="27"/>
        <v>New Hampshire-Moises Paynes</v>
      </c>
      <c r="B1567" s="3" t="s">
        <v>66</v>
      </c>
      <c r="C1567" s="3" t="s">
        <v>104</v>
      </c>
      <c r="D1567" s="4">
        <v>115398</v>
      </c>
      <c r="L1567" s="3" t="s">
        <v>87</v>
      </c>
      <c r="M1567" s="3" t="s">
        <v>96</v>
      </c>
      <c r="N1567" s="4">
        <v>53624</v>
      </c>
    </row>
    <row r="1568" spans="1:14" x14ac:dyDescent="0.25">
      <c r="A1568" s="5" t="str">
        <f t="shared" si="27"/>
        <v>District of Columbia-Raphael Bonawitz</v>
      </c>
      <c r="B1568" s="3" t="s">
        <v>44</v>
      </c>
      <c r="C1568" s="3" t="s">
        <v>122</v>
      </c>
      <c r="D1568" s="4">
        <v>57172</v>
      </c>
      <c r="L1568" s="3" t="s">
        <v>87</v>
      </c>
      <c r="M1568" s="3" t="s">
        <v>115</v>
      </c>
      <c r="N1568" s="4">
        <v>169346</v>
      </c>
    </row>
    <row r="1569" spans="1:14" x14ac:dyDescent="0.25">
      <c r="A1569" s="5" t="str">
        <f t="shared" si="27"/>
        <v>North Carolina-Raphael Derrig</v>
      </c>
      <c r="B1569" s="3" t="s">
        <v>70</v>
      </c>
      <c r="C1569" s="3" t="s">
        <v>109</v>
      </c>
      <c r="D1569" s="4">
        <v>164680</v>
      </c>
      <c r="L1569" s="3" t="s">
        <v>87</v>
      </c>
      <c r="M1569" s="3" t="s">
        <v>117</v>
      </c>
      <c r="N1569" s="4">
        <v>130239</v>
      </c>
    </row>
    <row r="1570" spans="1:14" x14ac:dyDescent="0.25">
      <c r="A1570" s="5" t="str">
        <f t="shared" si="27"/>
        <v>New York-Lashon Bongers</v>
      </c>
      <c r="B1570" s="3" t="s">
        <v>69</v>
      </c>
      <c r="C1570" s="3" t="s">
        <v>106</v>
      </c>
      <c r="D1570" s="4">
        <v>174401</v>
      </c>
      <c r="L1570" s="3" t="s">
        <v>87</v>
      </c>
      <c r="M1570" s="3" t="s">
        <v>120</v>
      </c>
      <c r="N1570" s="4">
        <v>11435</v>
      </c>
    </row>
    <row r="1571" spans="1:14" x14ac:dyDescent="0.25">
      <c r="A1571" s="5" t="str">
        <f t="shared" si="27"/>
        <v>South Dakota-Sadye Diloreto</v>
      </c>
      <c r="B1571" s="3" t="s">
        <v>80</v>
      </c>
      <c r="C1571" s="3" t="s">
        <v>95</v>
      </c>
      <c r="D1571" s="4">
        <v>75753</v>
      </c>
      <c r="L1571" s="3" t="s">
        <v>87</v>
      </c>
      <c r="M1571" s="3" t="s">
        <v>111</v>
      </c>
      <c r="N1571" s="4">
        <v>106033</v>
      </c>
    </row>
    <row r="1572" spans="1:14" x14ac:dyDescent="0.25">
      <c r="A1572" s="5" t="str">
        <f t="shared" si="27"/>
        <v>Northern Marianas Islands-Fidel Potra</v>
      </c>
      <c r="B1572" s="3" t="s">
        <v>72</v>
      </c>
      <c r="C1572" s="3" t="s">
        <v>115</v>
      </c>
      <c r="D1572" s="4">
        <v>59637</v>
      </c>
      <c r="L1572" s="3" t="s">
        <v>87</v>
      </c>
      <c r="M1572" s="3" t="s">
        <v>102</v>
      </c>
      <c r="N1572" s="4">
        <v>133720</v>
      </c>
    </row>
    <row r="1573" spans="1:14" x14ac:dyDescent="0.25">
      <c r="A1573" s="5" t="str">
        <f t="shared" si="27"/>
        <v>Kentucky-Nolan Gohn</v>
      </c>
      <c r="B1573" s="3" t="s">
        <v>54</v>
      </c>
      <c r="C1573" s="3" t="s">
        <v>118</v>
      </c>
      <c r="D1573" s="4">
        <v>98484</v>
      </c>
      <c r="L1573" s="3" t="s">
        <v>87</v>
      </c>
      <c r="M1573" s="3" t="s">
        <v>106</v>
      </c>
      <c r="N1573" s="4">
        <v>69974</v>
      </c>
    </row>
    <row r="1574" spans="1:14" x14ac:dyDescent="0.25">
      <c r="A1574" s="5" t="str">
        <f t="shared" si="27"/>
        <v>Mississippi-Thaddeus Notah</v>
      </c>
      <c r="B1574" s="3" t="s">
        <v>61</v>
      </c>
      <c r="C1574" s="3" t="s">
        <v>112</v>
      </c>
      <c r="D1574" s="4">
        <v>29608</v>
      </c>
      <c r="L1574" s="3" t="s">
        <v>87</v>
      </c>
      <c r="M1574" s="3" t="s">
        <v>123</v>
      </c>
      <c r="N1574" s="4">
        <v>83798</v>
      </c>
    </row>
    <row r="1575" spans="1:14" x14ac:dyDescent="0.25">
      <c r="A1575" s="5" t="str">
        <f t="shared" si="27"/>
        <v>North Dakota-Cliff Galinski</v>
      </c>
      <c r="B1575" s="3" t="s">
        <v>71</v>
      </c>
      <c r="C1575" s="3" t="s">
        <v>124</v>
      </c>
      <c r="D1575" s="4">
        <v>59055</v>
      </c>
      <c r="L1575" s="3" t="s">
        <v>87</v>
      </c>
      <c r="M1575" s="3" t="s">
        <v>97</v>
      </c>
      <c r="N1575" s="4">
        <v>125366</v>
      </c>
    </row>
    <row r="1576" spans="1:14" x14ac:dyDescent="0.25">
      <c r="A1576" s="5" t="str">
        <f t="shared" si="27"/>
        <v>Florida-Fidel Potra</v>
      </c>
      <c r="B1576" s="3" t="s">
        <v>45</v>
      </c>
      <c r="C1576" s="3" t="s">
        <v>115</v>
      </c>
      <c r="D1576" s="4">
        <v>173040</v>
      </c>
      <c r="L1576" s="3" t="s">
        <v>87</v>
      </c>
      <c r="M1576" s="3" t="s">
        <v>119</v>
      </c>
      <c r="N1576" s="4">
        <v>168928</v>
      </c>
    </row>
    <row r="1577" spans="1:14" x14ac:dyDescent="0.25">
      <c r="A1577" s="5" t="str">
        <f t="shared" si="27"/>
        <v>Louisiana-Jackson Lorkowski</v>
      </c>
      <c r="B1577" s="3" t="s">
        <v>55</v>
      </c>
      <c r="C1577" s="3" t="s">
        <v>120</v>
      </c>
      <c r="D1577" s="4">
        <v>42228</v>
      </c>
      <c r="L1577" s="3" t="s">
        <v>87</v>
      </c>
      <c r="M1577" s="3" t="s">
        <v>113</v>
      </c>
      <c r="N1577" s="4">
        <v>39459</v>
      </c>
    </row>
    <row r="1578" spans="1:14" x14ac:dyDescent="0.25">
      <c r="A1578" s="5" t="str">
        <f t="shared" si="27"/>
        <v>Nebraska-Keila Rossini</v>
      </c>
      <c r="B1578" s="3" t="s">
        <v>64</v>
      </c>
      <c r="C1578" s="3" t="s">
        <v>102</v>
      </c>
      <c r="D1578" s="4">
        <v>70484</v>
      </c>
      <c r="L1578" s="3" t="s">
        <v>87</v>
      </c>
      <c r="M1578" s="3" t="s">
        <v>105</v>
      </c>
      <c r="N1578" s="4">
        <v>64293</v>
      </c>
    </row>
    <row r="1579" spans="1:14" x14ac:dyDescent="0.25">
      <c r="A1579" s="5" t="str">
        <f t="shared" si="27"/>
        <v>Arizona-Nolan Gohn</v>
      </c>
      <c r="B1579" s="3" t="s">
        <v>38</v>
      </c>
      <c r="C1579" s="3" t="s">
        <v>118</v>
      </c>
      <c r="D1579" s="4">
        <v>46475</v>
      </c>
      <c r="L1579" s="3" t="s">
        <v>87</v>
      </c>
      <c r="M1579" s="3" t="s">
        <v>104</v>
      </c>
      <c r="N1579" s="4">
        <v>92631</v>
      </c>
    </row>
    <row r="1580" spans="1:14" x14ac:dyDescent="0.25">
      <c r="A1580" s="5" t="str">
        <f t="shared" si="27"/>
        <v>Idaho-Thaddeus Cacciatori</v>
      </c>
      <c r="B1580" s="3" t="s">
        <v>49</v>
      </c>
      <c r="C1580" s="3" t="s">
        <v>114</v>
      </c>
      <c r="D1580" s="4">
        <v>163615</v>
      </c>
      <c r="L1580" s="3" t="s">
        <v>87</v>
      </c>
      <c r="M1580" s="3" t="s">
        <v>100</v>
      </c>
      <c r="N1580" s="4">
        <v>136010</v>
      </c>
    </row>
    <row r="1581" spans="1:14" x14ac:dyDescent="0.25">
      <c r="A1581" s="5" t="str">
        <f t="shared" si="27"/>
        <v>Wisconsin-Kai Stroebel</v>
      </c>
      <c r="B1581" s="3" t="s">
        <v>89</v>
      </c>
      <c r="C1581" s="3" t="s">
        <v>111</v>
      </c>
      <c r="D1581" s="4">
        <v>111841</v>
      </c>
      <c r="L1581" s="3" t="s">
        <v>87</v>
      </c>
      <c r="M1581" s="3" t="s">
        <v>118</v>
      </c>
      <c r="N1581" s="4">
        <v>141301</v>
      </c>
    </row>
    <row r="1582" spans="1:14" x14ac:dyDescent="0.25">
      <c r="A1582" s="5" t="str">
        <f t="shared" si="27"/>
        <v>Massachusetts-Jackson Lorkowski</v>
      </c>
      <c r="B1582" s="3" t="s">
        <v>58</v>
      </c>
      <c r="C1582" s="3" t="s">
        <v>120</v>
      </c>
      <c r="D1582" s="4">
        <v>101204</v>
      </c>
      <c r="L1582" s="3" t="s">
        <v>87</v>
      </c>
      <c r="M1582" s="3" t="s">
        <v>101</v>
      </c>
      <c r="N1582" s="4">
        <v>135628</v>
      </c>
    </row>
    <row r="1583" spans="1:14" x14ac:dyDescent="0.25">
      <c r="A1583" s="5" t="str">
        <f t="shared" si="27"/>
        <v>Northern Marianas Islands-Nolan Deorio</v>
      </c>
      <c r="B1583" s="3" t="s">
        <v>72</v>
      </c>
      <c r="C1583" s="3" t="s">
        <v>100</v>
      </c>
      <c r="D1583" s="4">
        <v>54010</v>
      </c>
      <c r="L1583" s="3" t="s">
        <v>87</v>
      </c>
      <c r="M1583" s="3" t="s">
        <v>122</v>
      </c>
      <c r="N1583" s="4">
        <v>12639</v>
      </c>
    </row>
    <row r="1584" spans="1:14" x14ac:dyDescent="0.25">
      <c r="A1584" s="5" t="str">
        <f t="shared" si="27"/>
        <v>New York-Cliff Schnautz</v>
      </c>
      <c r="B1584" s="3" t="s">
        <v>69</v>
      </c>
      <c r="C1584" s="3" t="s">
        <v>96</v>
      </c>
      <c r="D1584" s="4">
        <v>97325</v>
      </c>
      <c r="L1584" s="3" t="s">
        <v>87</v>
      </c>
      <c r="M1584" s="3" t="s">
        <v>109</v>
      </c>
      <c r="N1584" s="4">
        <v>24958</v>
      </c>
    </row>
    <row r="1585" spans="1:14" x14ac:dyDescent="0.25">
      <c r="A1585" s="5" t="str">
        <f t="shared" si="27"/>
        <v>Minnesota-Ali Steenken</v>
      </c>
      <c r="B1585" s="3" t="s">
        <v>60</v>
      </c>
      <c r="C1585" s="3" t="s">
        <v>116</v>
      </c>
      <c r="D1585" s="4">
        <v>115899</v>
      </c>
      <c r="L1585" s="3" t="s">
        <v>87</v>
      </c>
      <c r="M1585" s="3" t="s">
        <v>95</v>
      </c>
      <c r="N1585" s="4">
        <v>85155</v>
      </c>
    </row>
    <row r="1586" spans="1:14" x14ac:dyDescent="0.25">
      <c r="A1586" s="5" t="str">
        <f t="shared" si="27"/>
        <v>Georgia-Quinton Modugno</v>
      </c>
      <c r="B1586" s="3" t="s">
        <v>46</v>
      </c>
      <c r="C1586" s="3" t="s">
        <v>101</v>
      </c>
      <c r="D1586" s="4">
        <v>32405</v>
      </c>
      <c r="L1586" s="3" t="s">
        <v>87</v>
      </c>
      <c r="M1586" s="3" t="s">
        <v>98</v>
      </c>
      <c r="N1586" s="4">
        <v>103209</v>
      </c>
    </row>
    <row r="1587" spans="1:14" x14ac:dyDescent="0.25">
      <c r="A1587" s="5" t="str">
        <f t="shared" si="27"/>
        <v>Massachusetts-Lucilla Bilecki</v>
      </c>
      <c r="B1587" s="3" t="s">
        <v>58</v>
      </c>
      <c r="C1587" s="3" t="s">
        <v>97</v>
      </c>
      <c r="D1587" s="4">
        <v>69888</v>
      </c>
      <c r="L1587" s="3" t="s">
        <v>87</v>
      </c>
      <c r="M1587" s="3" t="s">
        <v>114</v>
      </c>
      <c r="N1587" s="4">
        <v>97019</v>
      </c>
    </row>
    <row r="1588" spans="1:14" x14ac:dyDescent="0.25">
      <c r="A1588" s="5" t="str">
        <f t="shared" si="27"/>
        <v>Alaska-Thaddeus Notah</v>
      </c>
      <c r="B1588" s="3" t="s">
        <v>36</v>
      </c>
      <c r="C1588" s="3" t="s">
        <v>112</v>
      </c>
      <c r="D1588" s="4">
        <v>84890</v>
      </c>
      <c r="L1588" s="3" t="s">
        <v>87</v>
      </c>
      <c r="M1588" s="3" t="s">
        <v>112</v>
      </c>
      <c r="N1588" s="4">
        <v>76617</v>
      </c>
    </row>
    <row r="1589" spans="1:14" x14ac:dyDescent="0.25">
      <c r="A1589" s="5" t="str">
        <f t="shared" si="27"/>
        <v>Tennessee-Thaddeus Cacciatori</v>
      </c>
      <c r="B1589" s="3" t="s">
        <v>81</v>
      </c>
      <c r="C1589" s="3" t="s">
        <v>114</v>
      </c>
      <c r="D1589" s="4">
        <v>73466</v>
      </c>
      <c r="L1589" s="3" t="s">
        <v>87</v>
      </c>
      <c r="M1589" s="3" t="s">
        <v>103</v>
      </c>
      <c r="N1589" s="4">
        <v>35046</v>
      </c>
    </row>
    <row r="1590" spans="1:14" x14ac:dyDescent="0.25">
      <c r="A1590" s="5" t="str">
        <f t="shared" si="27"/>
        <v>Guam-Toi Medico</v>
      </c>
      <c r="B1590" s="3" t="s">
        <v>47</v>
      </c>
      <c r="C1590" s="3" t="s">
        <v>103</v>
      </c>
      <c r="D1590" s="4">
        <v>148544</v>
      </c>
      <c r="L1590" s="3" t="s">
        <v>87</v>
      </c>
      <c r="M1590" s="3" t="s">
        <v>121</v>
      </c>
      <c r="N1590" s="4">
        <v>94264</v>
      </c>
    </row>
    <row r="1591" spans="1:14" x14ac:dyDescent="0.25">
      <c r="A1591" s="5" t="str">
        <f t="shared" si="27"/>
        <v>Louisiana-Lucilla Bilecki</v>
      </c>
      <c r="B1591" s="3" t="s">
        <v>55</v>
      </c>
      <c r="C1591" s="3" t="s">
        <v>97</v>
      </c>
      <c r="D1591" s="4">
        <v>104719</v>
      </c>
      <c r="L1591" s="3" t="s">
        <v>87</v>
      </c>
      <c r="M1591" s="3" t="s">
        <v>107</v>
      </c>
      <c r="N1591" s="4">
        <v>147476</v>
      </c>
    </row>
    <row r="1592" spans="1:14" x14ac:dyDescent="0.25">
      <c r="A1592" s="5" t="str">
        <f t="shared" si="27"/>
        <v>North Carolina-Twanda Lovenduski</v>
      </c>
      <c r="B1592" s="3" t="s">
        <v>70</v>
      </c>
      <c r="C1592" s="3" t="s">
        <v>107</v>
      </c>
      <c r="D1592" s="4">
        <v>50256</v>
      </c>
      <c r="L1592" s="3" t="s">
        <v>88</v>
      </c>
      <c r="M1592" s="3" t="s">
        <v>116</v>
      </c>
      <c r="N1592" s="4">
        <v>32310</v>
      </c>
    </row>
    <row r="1593" spans="1:14" x14ac:dyDescent="0.25">
      <c r="A1593" s="5" t="str">
        <f t="shared" si="27"/>
        <v>Kentucky-Ali Stupp</v>
      </c>
      <c r="B1593" s="3" t="s">
        <v>54</v>
      </c>
      <c r="C1593" s="3" t="s">
        <v>108</v>
      </c>
      <c r="D1593" s="4">
        <v>77860</v>
      </c>
      <c r="L1593" s="3" t="s">
        <v>88</v>
      </c>
      <c r="M1593" s="3" t="s">
        <v>108</v>
      </c>
      <c r="N1593" s="4">
        <v>3715</v>
      </c>
    </row>
    <row r="1594" spans="1:14" x14ac:dyDescent="0.25">
      <c r="A1594" s="5" t="str">
        <f t="shared" si="27"/>
        <v>Alabama-Genna Zaller</v>
      </c>
      <c r="B1594" s="3" t="s">
        <v>35</v>
      </c>
      <c r="C1594" s="3" t="s">
        <v>117</v>
      </c>
      <c r="D1594" s="4">
        <v>11275</v>
      </c>
      <c r="L1594" s="3" t="s">
        <v>88</v>
      </c>
      <c r="M1594" s="3" t="s">
        <v>110</v>
      </c>
      <c r="N1594" s="4">
        <v>11470</v>
      </c>
    </row>
    <row r="1595" spans="1:14" x14ac:dyDescent="0.25">
      <c r="A1595" s="5" t="str">
        <f t="shared" si="27"/>
        <v>Virginia-Thaddeus Notah</v>
      </c>
      <c r="B1595" s="3" t="s">
        <v>85</v>
      </c>
      <c r="C1595" s="3" t="s">
        <v>112</v>
      </c>
      <c r="D1595" s="4">
        <v>160976</v>
      </c>
      <c r="L1595" s="3" t="s">
        <v>88</v>
      </c>
      <c r="M1595" s="3" t="s">
        <v>99</v>
      </c>
      <c r="N1595" s="4">
        <v>130682</v>
      </c>
    </row>
    <row r="1596" spans="1:14" x14ac:dyDescent="0.25">
      <c r="A1596" s="5" t="str">
        <f t="shared" si="27"/>
        <v>Virginia-Ali Stupp</v>
      </c>
      <c r="B1596" s="3" t="s">
        <v>85</v>
      </c>
      <c r="C1596" s="3" t="s">
        <v>108</v>
      </c>
      <c r="D1596" s="4">
        <v>67138</v>
      </c>
      <c r="L1596" s="3" t="s">
        <v>88</v>
      </c>
      <c r="M1596" s="3" t="s">
        <v>124</v>
      </c>
      <c r="N1596" s="4">
        <v>116726</v>
      </c>
    </row>
    <row r="1597" spans="1:14" x14ac:dyDescent="0.25">
      <c r="A1597" s="5" t="str">
        <f t="shared" si="27"/>
        <v>Kansas-Nolan Deorio</v>
      </c>
      <c r="B1597" s="3" t="s">
        <v>53</v>
      </c>
      <c r="C1597" s="3" t="s">
        <v>100</v>
      </c>
      <c r="D1597" s="4">
        <v>158115</v>
      </c>
      <c r="L1597" s="3" t="s">
        <v>88</v>
      </c>
      <c r="M1597" s="3" t="s">
        <v>96</v>
      </c>
      <c r="N1597" s="4">
        <v>163045</v>
      </c>
    </row>
    <row r="1598" spans="1:14" x14ac:dyDescent="0.25">
      <c r="A1598" s="5" t="str">
        <f t="shared" si="27"/>
        <v>North Carolina-Ali Steenken</v>
      </c>
      <c r="B1598" s="3" t="s">
        <v>70</v>
      </c>
      <c r="C1598" s="3" t="s">
        <v>116</v>
      </c>
      <c r="D1598" s="4">
        <v>160475</v>
      </c>
      <c r="L1598" s="3" t="s">
        <v>88</v>
      </c>
      <c r="M1598" s="3" t="s">
        <v>115</v>
      </c>
      <c r="N1598" s="4">
        <v>126155</v>
      </c>
    </row>
    <row r="1599" spans="1:14" x14ac:dyDescent="0.25">
      <c r="A1599" s="5" t="str">
        <f t="shared" si="27"/>
        <v>Illinois-Raphael Bonawitz</v>
      </c>
      <c r="B1599" s="3" t="s">
        <v>50</v>
      </c>
      <c r="C1599" s="3" t="s">
        <v>122</v>
      </c>
      <c r="D1599" s="4">
        <v>7049</v>
      </c>
      <c r="L1599" s="3" t="s">
        <v>88</v>
      </c>
      <c r="M1599" s="3" t="s">
        <v>117</v>
      </c>
      <c r="N1599" s="4">
        <v>58745</v>
      </c>
    </row>
    <row r="1600" spans="1:14" x14ac:dyDescent="0.25">
      <c r="A1600" s="5" t="str">
        <f t="shared" si="27"/>
        <v>New Hampshire-Toi Medico</v>
      </c>
      <c r="B1600" s="3" t="s">
        <v>66</v>
      </c>
      <c r="C1600" s="3" t="s">
        <v>103</v>
      </c>
      <c r="D1600" s="4">
        <v>53055</v>
      </c>
      <c r="L1600" s="3" t="s">
        <v>88</v>
      </c>
      <c r="M1600" s="3" t="s">
        <v>120</v>
      </c>
      <c r="N1600" s="4">
        <v>76504</v>
      </c>
    </row>
    <row r="1601" spans="1:14" x14ac:dyDescent="0.25">
      <c r="A1601" s="5" t="str">
        <f t="shared" si="27"/>
        <v>South Dakota-Raphael Derrig</v>
      </c>
      <c r="B1601" s="3" t="s">
        <v>80</v>
      </c>
      <c r="C1601" s="3" t="s">
        <v>109</v>
      </c>
      <c r="D1601" s="4">
        <v>105749</v>
      </c>
      <c r="L1601" s="3" t="s">
        <v>88</v>
      </c>
      <c r="M1601" s="3" t="s">
        <v>111</v>
      </c>
      <c r="N1601" s="4">
        <v>43291</v>
      </c>
    </row>
    <row r="1602" spans="1:14" x14ac:dyDescent="0.25">
      <c r="A1602" s="5" t="str">
        <f t="shared" ref="A1602:A1665" si="28">B1602&amp;"-"&amp;C1602</f>
        <v>Connecticut-Thaddeus Notah</v>
      </c>
      <c r="B1602" s="3" t="s">
        <v>42</v>
      </c>
      <c r="C1602" s="3" t="s">
        <v>112</v>
      </c>
      <c r="D1602" s="4">
        <v>161061</v>
      </c>
      <c r="L1602" s="3" t="s">
        <v>88</v>
      </c>
      <c r="M1602" s="3" t="s">
        <v>102</v>
      </c>
      <c r="N1602" s="4">
        <v>7299</v>
      </c>
    </row>
    <row r="1603" spans="1:14" x14ac:dyDescent="0.25">
      <c r="A1603" s="5" t="str">
        <f t="shared" si="28"/>
        <v>Georgia-Raphael Bonawitz</v>
      </c>
      <c r="B1603" s="3" t="s">
        <v>46</v>
      </c>
      <c r="C1603" s="3" t="s">
        <v>122</v>
      </c>
      <c r="D1603" s="4">
        <v>103584</v>
      </c>
      <c r="L1603" s="3" t="s">
        <v>88</v>
      </c>
      <c r="M1603" s="3" t="s">
        <v>106</v>
      </c>
      <c r="N1603" s="4">
        <v>28406</v>
      </c>
    </row>
    <row r="1604" spans="1:14" x14ac:dyDescent="0.25">
      <c r="A1604" s="5" t="str">
        <f t="shared" si="28"/>
        <v>Montana-Cliff Bahlmann</v>
      </c>
      <c r="B1604" s="3" t="s">
        <v>63</v>
      </c>
      <c r="C1604" s="3" t="s">
        <v>99</v>
      </c>
      <c r="D1604" s="4">
        <v>90483</v>
      </c>
      <c r="L1604" s="3" t="s">
        <v>88</v>
      </c>
      <c r="M1604" s="3" t="s">
        <v>123</v>
      </c>
      <c r="N1604" s="4">
        <v>105324</v>
      </c>
    </row>
    <row r="1605" spans="1:14" x14ac:dyDescent="0.25">
      <c r="A1605" s="5" t="str">
        <f t="shared" si="28"/>
        <v>Montana-Marvis Tenholder</v>
      </c>
      <c r="B1605" s="3" t="s">
        <v>63</v>
      </c>
      <c r="C1605" s="3" t="s">
        <v>105</v>
      </c>
      <c r="D1605" s="4">
        <v>63324</v>
      </c>
      <c r="L1605" s="3" t="s">
        <v>88</v>
      </c>
      <c r="M1605" s="3" t="s">
        <v>97</v>
      </c>
      <c r="N1605" s="4">
        <v>11065</v>
      </c>
    </row>
    <row r="1606" spans="1:14" x14ac:dyDescent="0.25">
      <c r="A1606" s="5" t="str">
        <f t="shared" si="28"/>
        <v>Georgia-Fidel Potra</v>
      </c>
      <c r="B1606" s="3" t="s">
        <v>46</v>
      </c>
      <c r="C1606" s="3" t="s">
        <v>115</v>
      </c>
      <c r="D1606" s="4">
        <v>68033</v>
      </c>
      <c r="L1606" s="3" t="s">
        <v>88</v>
      </c>
      <c r="M1606" s="3" t="s">
        <v>119</v>
      </c>
      <c r="N1606" s="4">
        <v>83656</v>
      </c>
    </row>
    <row r="1607" spans="1:14" x14ac:dyDescent="0.25">
      <c r="A1607" s="5" t="str">
        <f t="shared" si="28"/>
        <v>Utah-Moises Paynes</v>
      </c>
      <c r="B1607" s="3" t="s">
        <v>83</v>
      </c>
      <c r="C1607" s="3" t="s">
        <v>104</v>
      </c>
      <c r="D1607" s="4">
        <v>112225</v>
      </c>
      <c r="L1607" s="3" t="s">
        <v>88</v>
      </c>
      <c r="M1607" s="3" t="s">
        <v>113</v>
      </c>
      <c r="N1607" s="4">
        <v>122020</v>
      </c>
    </row>
    <row r="1608" spans="1:14" x14ac:dyDescent="0.25">
      <c r="A1608" s="5" t="str">
        <f t="shared" si="28"/>
        <v>Colorado-Quinton Modugno</v>
      </c>
      <c r="B1608" s="3" t="s">
        <v>41</v>
      </c>
      <c r="C1608" s="3" t="s">
        <v>101</v>
      </c>
      <c r="D1608" s="4">
        <v>173823</v>
      </c>
      <c r="L1608" s="3" t="s">
        <v>88</v>
      </c>
      <c r="M1608" s="3" t="s">
        <v>105</v>
      </c>
      <c r="N1608" s="4">
        <v>123689</v>
      </c>
    </row>
    <row r="1609" spans="1:14" x14ac:dyDescent="0.25">
      <c r="A1609" s="5" t="str">
        <f t="shared" si="28"/>
        <v>Idaho-Sadye Diloreto</v>
      </c>
      <c r="B1609" s="3" t="s">
        <v>49</v>
      </c>
      <c r="C1609" s="3" t="s">
        <v>95</v>
      </c>
      <c r="D1609" s="4">
        <v>71217</v>
      </c>
      <c r="L1609" s="3" t="s">
        <v>88</v>
      </c>
      <c r="M1609" s="3" t="s">
        <v>104</v>
      </c>
      <c r="N1609" s="4">
        <v>127340</v>
      </c>
    </row>
    <row r="1610" spans="1:14" x14ac:dyDescent="0.25">
      <c r="A1610" s="5" t="str">
        <f t="shared" si="28"/>
        <v>Indiana-Thaddeus Notah</v>
      </c>
      <c r="B1610" s="3" t="s">
        <v>51</v>
      </c>
      <c r="C1610" s="3" t="s">
        <v>112</v>
      </c>
      <c r="D1610" s="4">
        <v>147011</v>
      </c>
      <c r="L1610" s="3" t="s">
        <v>88</v>
      </c>
      <c r="M1610" s="3" t="s">
        <v>100</v>
      </c>
      <c r="N1610" s="4">
        <v>17328</v>
      </c>
    </row>
    <row r="1611" spans="1:14" x14ac:dyDescent="0.25">
      <c r="A1611" s="5" t="str">
        <f t="shared" si="28"/>
        <v>Virginia-Cliff Bahlmann</v>
      </c>
      <c r="B1611" s="3" t="s">
        <v>85</v>
      </c>
      <c r="C1611" s="3" t="s">
        <v>99</v>
      </c>
      <c r="D1611" s="4">
        <v>114720</v>
      </c>
      <c r="L1611" s="3" t="s">
        <v>88</v>
      </c>
      <c r="M1611" s="3" t="s">
        <v>118</v>
      </c>
      <c r="N1611" s="4">
        <v>31671</v>
      </c>
    </row>
    <row r="1612" spans="1:14" x14ac:dyDescent="0.25">
      <c r="A1612" s="5" t="str">
        <f t="shared" si="28"/>
        <v>Arizona-Thaddeus Notah</v>
      </c>
      <c r="B1612" s="3" t="s">
        <v>38</v>
      </c>
      <c r="C1612" s="3" t="s">
        <v>112</v>
      </c>
      <c r="D1612" s="4">
        <v>130255</v>
      </c>
      <c r="L1612" s="3" t="s">
        <v>88</v>
      </c>
      <c r="M1612" s="3" t="s">
        <v>101</v>
      </c>
      <c r="N1612" s="4">
        <v>154406</v>
      </c>
    </row>
    <row r="1613" spans="1:14" x14ac:dyDescent="0.25">
      <c r="A1613" s="5" t="str">
        <f t="shared" si="28"/>
        <v>Arkansas-Twanda Lovenduski</v>
      </c>
      <c r="B1613" s="3" t="s">
        <v>39</v>
      </c>
      <c r="C1613" s="3" t="s">
        <v>107</v>
      </c>
      <c r="D1613" s="4">
        <v>141840</v>
      </c>
      <c r="L1613" s="3" t="s">
        <v>88</v>
      </c>
      <c r="M1613" s="3" t="s">
        <v>122</v>
      </c>
      <c r="N1613" s="4">
        <v>23293</v>
      </c>
    </row>
    <row r="1614" spans="1:14" x14ac:dyDescent="0.25">
      <c r="A1614" s="5" t="str">
        <f t="shared" si="28"/>
        <v>Missouri-Ali Stupp</v>
      </c>
      <c r="B1614" s="3" t="s">
        <v>62</v>
      </c>
      <c r="C1614" s="3" t="s">
        <v>108</v>
      </c>
      <c r="D1614" s="4">
        <v>90389</v>
      </c>
      <c r="L1614" s="3" t="s">
        <v>88</v>
      </c>
      <c r="M1614" s="3" t="s">
        <v>109</v>
      </c>
      <c r="N1614" s="4">
        <v>157912</v>
      </c>
    </row>
    <row r="1615" spans="1:14" x14ac:dyDescent="0.25">
      <c r="A1615" s="5" t="str">
        <f t="shared" si="28"/>
        <v>Tennessee-Marlin Mavromatis</v>
      </c>
      <c r="B1615" s="3" t="s">
        <v>81</v>
      </c>
      <c r="C1615" s="3" t="s">
        <v>113</v>
      </c>
      <c r="D1615" s="4">
        <v>89417</v>
      </c>
      <c r="L1615" s="3" t="s">
        <v>88</v>
      </c>
      <c r="M1615" s="3" t="s">
        <v>95</v>
      </c>
      <c r="N1615" s="4">
        <v>129473</v>
      </c>
    </row>
    <row r="1616" spans="1:14" x14ac:dyDescent="0.25">
      <c r="A1616" s="5" t="str">
        <f t="shared" si="28"/>
        <v>Massachusetts-Nolan Gohn</v>
      </c>
      <c r="B1616" s="3" t="s">
        <v>58</v>
      </c>
      <c r="C1616" s="3" t="s">
        <v>118</v>
      </c>
      <c r="D1616" s="4">
        <v>86660</v>
      </c>
      <c r="L1616" s="3" t="s">
        <v>88</v>
      </c>
      <c r="M1616" s="3" t="s">
        <v>98</v>
      </c>
      <c r="N1616" s="4">
        <v>163759</v>
      </c>
    </row>
    <row r="1617" spans="1:14" x14ac:dyDescent="0.25">
      <c r="A1617" s="5" t="str">
        <f t="shared" si="28"/>
        <v>Colorado-Marlin Mavromatis</v>
      </c>
      <c r="B1617" s="3" t="s">
        <v>41</v>
      </c>
      <c r="C1617" s="3" t="s">
        <v>113</v>
      </c>
      <c r="D1617" s="4">
        <v>66802</v>
      </c>
      <c r="L1617" s="3" t="s">
        <v>88</v>
      </c>
      <c r="M1617" s="3" t="s">
        <v>114</v>
      </c>
      <c r="N1617" s="4">
        <v>72374</v>
      </c>
    </row>
    <row r="1618" spans="1:14" x14ac:dyDescent="0.25">
      <c r="A1618" s="5" t="str">
        <f t="shared" si="28"/>
        <v>Louisiana-Lashon Bongers</v>
      </c>
      <c r="B1618" s="3" t="s">
        <v>55</v>
      </c>
      <c r="C1618" s="3" t="s">
        <v>106</v>
      </c>
      <c r="D1618" s="4">
        <v>154605</v>
      </c>
      <c r="L1618" s="3" t="s">
        <v>88</v>
      </c>
      <c r="M1618" s="3" t="s">
        <v>112</v>
      </c>
      <c r="N1618" s="4">
        <v>48974</v>
      </c>
    </row>
    <row r="1619" spans="1:14" x14ac:dyDescent="0.25">
      <c r="A1619" s="5" t="str">
        <f t="shared" si="28"/>
        <v>Vermont-Toi Zedaker</v>
      </c>
      <c r="B1619" s="3" t="s">
        <v>84</v>
      </c>
      <c r="C1619" s="3" t="s">
        <v>121</v>
      </c>
      <c r="D1619" s="4">
        <v>64835</v>
      </c>
      <c r="L1619" s="3" t="s">
        <v>88</v>
      </c>
      <c r="M1619" s="3" t="s">
        <v>103</v>
      </c>
      <c r="N1619" s="4">
        <v>159254</v>
      </c>
    </row>
    <row r="1620" spans="1:14" x14ac:dyDescent="0.25">
      <c r="A1620" s="5" t="str">
        <f t="shared" si="28"/>
        <v>Nevada-Son Shryack</v>
      </c>
      <c r="B1620" s="3" t="s">
        <v>65</v>
      </c>
      <c r="C1620" s="3" t="s">
        <v>98</v>
      </c>
      <c r="D1620" s="4">
        <v>28118</v>
      </c>
      <c r="L1620" s="3" t="s">
        <v>88</v>
      </c>
      <c r="M1620" s="3" t="s">
        <v>121</v>
      </c>
      <c r="N1620" s="4">
        <v>85572</v>
      </c>
    </row>
    <row r="1621" spans="1:14" x14ac:dyDescent="0.25">
      <c r="A1621" s="5" t="str">
        <f t="shared" si="28"/>
        <v>Michigan-Cliff Galinski</v>
      </c>
      <c r="B1621" s="3" t="s">
        <v>59</v>
      </c>
      <c r="C1621" s="3" t="s">
        <v>124</v>
      </c>
      <c r="D1621" s="4">
        <v>108884</v>
      </c>
      <c r="L1621" s="3" t="s">
        <v>88</v>
      </c>
      <c r="M1621" s="3" t="s">
        <v>107</v>
      </c>
      <c r="N1621" s="4">
        <v>91436</v>
      </c>
    </row>
    <row r="1622" spans="1:14" x14ac:dyDescent="0.25">
      <c r="A1622" s="5" t="str">
        <f t="shared" si="28"/>
        <v>Rhode Island-Kai Stroebel</v>
      </c>
      <c r="B1622" s="3" t="s">
        <v>78</v>
      </c>
      <c r="C1622" s="3" t="s">
        <v>111</v>
      </c>
      <c r="D1622" s="4">
        <v>107367</v>
      </c>
      <c r="L1622" s="3" t="s">
        <v>89</v>
      </c>
      <c r="M1622" s="3" t="s">
        <v>116</v>
      </c>
      <c r="N1622" s="4">
        <v>172851</v>
      </c>
    </row>
    <row r="1623" spans="1:14" x14ac:dyDescent="0.25">
      <c r="A1623" s="5" t="str">
        <f t="shared" si="28"/>
        <v>Northern Marianas Islands-Cliff Bahlmann</v>
      </c>
      <c r="B1623" s="3" t="s">
        <v>72</v>
      </c>
      <c r="C1623" s="3" t="s">
        <v>99</v>
      </c>
      <c r="D1623" s="4">
        <v>55245</v>
      </c>
      <c r="L1623" s="3" t="s">
        <v>89</v>
      </c>
      <c r="M1623" s="3" t="s">
        <v>108</v>
      </c>
      <c r="N1623" s="4">
        <v>159802</v>
      </c>
    </row>
    <row r="1624" spans="1:14" x14ac:dyDescent="0.25">
      <c r="A1624" s="5" t="str">
        <f t="shared" si="28"/>
        <v>Nevada-Moises Paynes</v>
      </c>
      <c r="B1624" s="3" t="s">
        <v>65</v>
      </c>
      <c r="C1624" s="3" t="s">
        <v>104</v>
      </c>
      <c r="D1624" s="4">
        <v>118775</v>
      </c>
      <c r="L1624" s="3" t="s">
        <v>89</v>
      </c>
      <c r="M1624" s="3" t="s">
        <v>110</v>
      </c>
      <c r="N1624" s="4">
        <v>116471</v>
      </c>
    </row>
    <row r="1625" spans="1:14" x14ac:dyDescent="0.25">
      <c r="A1625" s="5" t="str">
        <f t="shared" si="28"/>
        <v>Guam-Twanda Lovenduski</v>
      </c>
      <c r="B1625" s="3" t="s">
        <v>47</v>
      </c>
      <c r="C1625" s="3" t="s">
        <v>107</v>
      </c>
      <c r="D1625" s="4">
        <v>113778</v>
      </c>
      <c r="L1625" s="3" t="s">
        <v>89</v>
      </c>
      <c r="M1625" s="3" t="s">
        <v>99</v>
      </c>
      <c r="N1625" s="4">
        <v>49500</v>
      </c>
    </row>
    <row r="1626" spans="1:14" x14ac:dyDescent="0.25">
      <c r="A1626" s="5" t="str">
        <f t="shared" si="28"/>
        <v>North Carolina-Ali Stupp</v>
      </c>
      <c r="B1626" s="3" t="s">
        <v>70</v>
      </c>
      <c r="C1626" s="3" t="s">
        <v>108</v>
      </c>
      <c r="D1626" s="4">
        <v>68260</v>
      </c>
      <c r="L1626" s="3" t="s">
        <v>89</v>
      </c>
      <c r="M1626" s="3" t="s">
        <v>124</v>
      </c>
      <c r="N1626" s="4">
        <v>63640</v>
      </c>
    </row>
    <row r="1627" spans="1:14" x14ac:dyDescent="0.25">
      <c r="A1627" s="5" t="str">
        <f t="shared" si="28"/>
        <v>Missouri-Moises Paynes</v>
      </c>
      <c r="B1627" s="3" t="s">
        <v>62</v>
      </c>
      <c r="C1627" s="3" t="s">
        <v>104</v>
      </c>
      <c r="D1627" s="4">
        <v>58520</v>
      </c>
      <c r="L1627" s="3" t="s">
        <v>89</v>
      </c>
      <c r="M1627" s="3" t="s">
        <v>96</v>
      </c>
      <c r="N1627" s="4">
        <v>44728</v>
      </c>
    </row>
    <row r="1628" spans="1:14" x14ac:dyDescent="0.25">
      <c r="A1628" s="5" t="str">
        <f t="shared" si="28"/>
        <v>Mississippi-Quinton Modugno</v>
      </c>
      <c r="B1628" s="3" t="s">
        <v>61</v>
      </c>
      <c r="C1628" s="3" t="s">
        <v>101</v>
      </c>
      <c r="D1628" s="4">
        <v>54861</v>
      </c>
      <c r="L1628" s="3" t="s">
        <v>89</v>
      </c>
      <c r="M1628" s="3" t="s">
        <v>115</v>
      </c>
      <c r="N1628" s="4">
        <v>130166</v>
      </c>
    </row>
    <row r="1629" spans="1:14" x14ac:dyDescent="0.25">
      <c r="A1629" s="5" t="str">
        <f t="shared" si="28"/>
        <v>New Mexico-Cliff Bahlmann</v>
      </c>
      <c r="B1629" s="3" t="s">
        <v>68</v>
      </c>
      <c r="C1629" s="3" t="s">
        <v>99</v>
      </c>
      <c r="D1629" s="4">
        <v>91001</v>
      </c>
      <c r="L1629" s="3" t="s">
        <v>89</v>
      </c>
      <c r="M1629" s="3" t="s">
        <v>117</v>
      </c>
      <c r="N1629" s="4">
        <v>144721</v>
      </c>
    </row>
    <row r="1630" spans="1:14" x14ac:dyDescent="0.25">
      <c r="A1630" s="5" t="str">
        <f t="shared" si="28"/>
        <v>Oklahoma-Toi Zedaker</v>
      </c>
      <c r="B1630" s="3" t="s">
        <v>74</v>
      </c>
      <c r="C1630" s="3" t="s">
        <v>121</v>
      </c>
      <c r="D1630" s="4">
        <v>131722</v>
      </c>
      <c r="L1630" s="3" t="s">
        <v>89</v>
      </c>
      <c r="M1630" s="3" t="s">
        <v>120</v>
      </c>
      <c r="N1630" s="4">
        <v>73849</v>
      </c>
    </row>
    <row r="1631" spans="1:14" x14ac:dyDescent="0.25">
      <c r="A1631" s="5" t="str">
        <f t="shared" si="28"/>
        <v>Oklahoma-Quinton Modugno</v>
      </c>
      <c r="B1631" s="3" t="s">
        <v>74</v>
      </c>
      <c r="C1631" s="3" t="s">
        <v>101</v>
      </c>
      <c r="D1631" s="4">
        <v>38025</v>
      </c>
      <c r="L1631" s="3" t="s">
        <v>89</v>
      </c>
      <c r="M1631" s="3" t="s">
        <v>111</v>
      </c>
      <c r="N1631" s="4">
        <v>111841</v>
      </c>
    </row>
    <row r="1632" spans="1:14" x14ac:dyDescent="0.25">
      <c r="A1632" s="5" t="str">
        <f t="shared" si="28"/>
        <v>Minnesota-Raphael Bonawitz</v>
      </c>
      <c r="B1632" s="3" t="s">
        <v>60</v>
      </c>
      <c r="C1632" s="3" t="s">
        <v>122</v>
      </c>
      <c r="D1632" s="4">
        <v>58202</v>
      </c>
      <c r="L1632" s="3" t="s">
        <v>89</v>
      </c>
      <c r="M1632" s="3" t="s">
        <v>102</v>
      </c>
      <c r="N1632" s="4">
        <v>59315</v>
      </c>
    </row>
    <row r="1633" spans="1:14" x14ac:dyDescent="0.25">
      <c r="A1633" s="5" t="str">
        <f t="shared" si="28"/>
        <v>American Samoa-Cliff Galinski</v>
      </c>
      <c r="B1633" s="3" t="s">
        <v>37</v>
      </c>
      <c r="C1633" s="3" t="s">
        <v>124</v>
      </c>
      <c r="D1633" s="4">
        <v>95588</v>
      </c>
      <c r="L1633" s="3" t="s">
        <v>89</v>
      </c>
      <c r="M1633" s="3" t="s">
        <v>106</v>
      </c>
      <c r="N1633" s="4">
        <v>155050</v>
      </c>
    </row>
    <row r="1634" spans="1:14" x14ac:dyDescent="0.25">
      <c r="A1634" s="5" t="str">
        <f t="shared" si="28"/>
        <v>North Carolina-Lucilla Bilecki</v>
      </c>
      <c r="B1634" s="3" t="s">
        <v>70</v>
      </c>
      <c r="C1634" s="3" t="s">
        <v>97</v>
      </c>
      <c r="D1634" s="4">
        <v>60664</v>
      </c>
      <c r="L1634" s="3" t="s">
        <v>89</v>
      </c>
      <c r="M1634" s="3" t="s">
        <v>123</v>
      </c>
      <c r="N1634" s="4">
        <v>71272</v>
      </c>
    </row>
    <row r="1635" spans="1:14" x14ac:dyDescent="0.25">
      <c r="A1635" s="5" t="str">
        <f t="shared" si="28"/>
        <v>Virginia-Twanda Lovenduski</v>
      </c>
      <c r="B1635" s="3" t="s">
        <v>85</v>
      </c>
      <c r="C1635" s="3" t="s">
        <v>107</v>
      </c>
      <c r="D1635" s="4">
        <v>167304</v>
      </c>
      <c r="L1635" s="3" t="s">
        <v>89</v>
      </c>
      <c r="M1635" s="3" t="s">
        <v>97</v>
      </c>
      <c r="N1635" s="4">
        <v>97389</v>
      </c>
    </row>
    <row r="1636" spans="1:14" x14ac:dyDescent="0.25">
      <c r="A1636" s="5" t="str">
        <f t="shared" si="28"/>
        <v>New Mexico-Moises Paynes</v>
      </c>
      <c r="B1636" s="3" t="s">
        <v>68</v>
      </c>
      <c r="C1636" s="3" t="s">
        <v>104</v>
      </c>
      <c r="D1636" s="4">
        <v>124120</v>
      </c>
      <c r="L1636" s="3" t="s">
        <v>89</v>
      </c>
      <c r="M1636" s="3" t="s">
        <v>119</v>
      </c>
      <c r="N1636" s="4">
        <v>10256</v>
      </c>
    </row>
    <row r="1637" spans="1:14" x14ac:dyDescent="0.25">
      <c r="A1637" s="5" t="str">
        <f t="shared" si="28"/>
        <v>Oregon-Marlin Mavromatis</v>
      </c>
      <c r="B1637" s="3" t="s">
        <v>75</v>
      </c>
      <c r="C1637" s="3" t="s">
        <v>113</v>
      </c>
      <c r="D1637" s="4">
        <v>91605</v>
      </c>
      <c r="L1637" s="3" t="s">
        <v>89</v>
      </c>
      <c r="M1637" s="3" t="s">
        <v>113</v>
      </c>
      <c r="N1637" s="4">
        <v>146139</v>
      </c>
    </row>
    <row r="1638" spans="1:14" x14ac:dyDescent="0.25">
      <c r="A1638" s="5" t="str">
        <f t="shared" si="28"/>
        <v>Tennessee-Sadye Diloreto</v>
      </c>
      <c r="B1638" s="3" t="s">
        <v>81</v>
      </c>
      <c r="C1638" s="3" t="s">
        <v>95</v>
      </c>
      <c r="D1638" s="4">
        <v>9125</v>
      </c>
      <c r="L1638" s="3" t="s">
        <v>89</v>
      </c>
      <c r="M1638" s="3" t="s">
        <v>105</v>
      </c>
      <c r="N1638" s="4">
        <v>140820</v>
      </c>
    </row>
    <row r="1639" spans="1:14" x14ac:dyDescent="0.25">
      <c r="A1639" s="5" t="str">
        <f t="shared" si="28"/>
        <v>Connecticut-Fidel Potra</v>
      </c>
      <c r="B1639" s="3" t="s">
        <v>42</v>
      </c>
      <c r="C1639" s="3" t="s">
        <v>115</v>
      </c>
      <c r="D1639" s="4">
        <v>29074</v>
      </c>
      <c r="L1639" s="3" t="s">
        <v>89</v>
      </c>
      <c r="M1639" s="3" t="s">
        <v>104</v>
      </c>
      <c r="N1639" s="4">
        <v>136112</v>
      </c>
    </row>
    <row r="1640" spans="1:14" x14ac:dyDescent="0.25">
      <c r="A1640" s="5" t="str">
        <f t="shared" si="28"/>
        <v>Ohio-Thaddeus Notah</v>
      </c>
      <c r="B1640" s="3" t="s">
        <v>73</v>
      </c>
      <c r="C1640" s="3" t="s">
        <v>112</v>
      </c>
      <c r="D1640" s="4">
        <v>107745</v>
      </c>
      <c r="L1640" s="3" t="s">
        <v>89</v>
      </c>
      <c r="M1640" s="3" t="s">
        <v>100</v>
      </c>
      <c r="N1640" s="4">
        <v>10511</v>
      </c>
    </row>
    <row r="1641" spans="1:14" x14ac:dyDescent="0.25">
      <c r="A1641" s="5" t="str">
        <f t="shared" si="28"/>
        <v>Wisconsin-Lucilla Bilecki</v>
      </c>
      <c r="B1641" s="3" t="s">
        <v>89</v>
      </c>
      <c r="C1641" s="3" t="s">
        <v>97</v>
      </c>
      <c r="D1641" s="4">
        <v>97389</v>
      </c>
      <c r="L1641" s="3" t="s">
        <v>89</v>
      </c>
      <c r="M1641" s="3" t="s">
        <v>118</v>
      </c>
      <c r="N1641" s="4">
        <v>14386</v>
      </c>
    </row>
    <row r="1642" spans="1:14" x14ac:dyDescent="0.25">
      <c r="A1642" s="5" t="str">
        <f t="shared" si="28"/>
        <v>Vermont-Raphael Bonawitz</v>
      </c>
      <c r="B1642" s="3" t="s">
        <v>84</v>
      </c>
      <c r="C1642" s="3" t="s">
        <v>122</v>
      </c>
      <c r="D1642" s="4">
        <v>24016</v>
      </c>
      <c r="L1642" s="3" t="s">
        <v>89</v>
      </c>
      <c r="M1642" s="3" t="s">
        <v>101</v>
      </c>
      <c r="N1642" s="4">
        <v>82447</v>
      </c>
    </row>
    <row r="1643" spans="1:14" x14ac:dyDescent="0.25">
      <c r="A1643" s="5" t="str">
        <f t="shared" si="28"/>
        <v>Rhode Island-Raphael Bonawitz</v>
      </c>
      <c r="B1643" s="3" t="s">
        <v>78</v>
      </c>
      <c r="C1643" s="3" t="s">
        <v>122</v>
      </c>
      <c r="D1643" s="4">
        <v>131965</v>
      </c>
      <c r="L1643" s="3" t="s">
        <v>89</v>
      </c>
      <c r="M1643" s="3" t="s">
        <v>122</v>
      </c>
      <c r="N1643" s="4">
        <v>26350</v>
      </c>
    </row>
    <row r="1644" spans="1:14" x14ac:dyDescent="0.25">
      <c r="A1644" s="5" t="str">
        <f t="shared" si="28"/>
        <v>Utah-Lianne Trappey</v>
      </c>
      <c r="B1644" s="3" t="s">
        <v>83</v>
      </c>
      <c r="C1644" s="3" t="s">
        <v>123</v>
      </c>
      <c r="D1644" s="4">
        <v>151797</v>
      </c>
      <c r="L1644" s="3" t="s">
        <v>89</v>
      </c>
      <c r="M1644" s="3" t="s">
        <v>109</v>
      </c>
      <c r="N1644" s="4">
        <v>131196</v>
      </c>
    </row>
    <row r="1645" spans="1:14" x14ac:dyDescent="0.25">
      <c r="A1645" s="5" t="str">
        <f t="shared" si="28"/>
        <v>Arizona-Keila Rossini</v>
      </c>
      <c r="B1645" s="3" t="s">
        <v>38</v>
      </c>
      <c r="C1645" s="3" t="s">
        <v>102</v>
      </c>
      <c r="D1645" s="4">
        <v>153683</v>
      </c>
      <c r="L1645" s="3" t="s">
        <v>89</v>
      </c>
      <c r="M1645" s="3" t="s">
        <v>95</v>
      </c>
      <c r="N1645" s="4">
        <v>163604</v>
      </c>
    </row>
    <row r="1646" spans="1:14" x14ac:dyDescent="0.25">
      <c r="A1646" s="5" t="str">
        <f t="shared" si="28"/>
        <v>Alaska-Quinton Modugno</v>
      </c>
      <c r="B1646" s="3" t="s">
        <v>36</v>
      </c>
      <c r="C1646" s="3" t="s">
        <v>101</v>
      </c>
      <c r="D1646" s="4">
        <v>14445</v>
      </c>
      <c r="L1646" s="3" t="s">
        <v>89</v>
      </c>
      <c r="M1646" s="3" t="s">
        <v>98</v>
      </c>
      <c r="N1646" s="4">
        <v>72833</v>
      </c>
    </row>
    <row r="1647" spans="1:14" x14ac:dyDescent="0.25">
      <c r="A1647" s="5" t="str">
        <f t="shared" si="28"/>
        <v>Washington-Moises Paynes</v>
      </c>
      <c r="B1647" s="3" t="s">
        <v>87</v>
      </c>
      <c r="C1647" s="3" t="s">
        <v>104</v>
      </c>
      <c r="D1647" s="4">
        <v>92631</v>
      </c>
      <c r="L1647" s="3" t="s">
        <v>89</v>
      </c>
      <c r="M1647" s="3" t="s">
        <v>114</v>
      </c>
      <c r="N1647" s="4">
        <v>41190</v>
      </c>
    </row>
    <row r="1648" spans="1:14" x14ac:dyDescent="0.25">
      <c r="A1648" s="5" t="str">
        <f t="shared" si="28"/>
        <v>Alabama-Nolan Deorio</v>
      </c>
      <c r="B1648" s="3" t="s">
        <v>35</v>
      </c>
      <c r="C1648" s="3" t="s">
        <v>100</v>
      </c>
      <c r="D1648" s="4">
        <v>32723</v>
      </c>
      <c r="L1648" s="3" t="s">
        <v>89</v>
      </c>
      <c r="M1648" s="3" t="s">
        <v>112</v>
      </c>
      <c r="N1648" s="4">
        <v>158548</v>
      </c>
    </row>
    <row r="1649" spans="1:14" x14ac:dyDescent="0.25">
      <c r="A1649" s="5" t="str">
        <f t="shared" si="28"/>
        <v>Ohio-Toi Zedaker</v>
      </c>
      <c r="B1649" s="3" t="s">
        <v>73</v>
      </c>
      <c r="C1649" s="3" t="s">
        <v>121</v>
      </c>
      <c r="D1649" s="4">
        <v>143958</v>
      </c>
      <c r="L1649" s="3" t="s">
        <v>89</v>
      </c>
      <c r="M1649" s="3" t="s">
        <v>103</v>
      </c>
      <c r="N1649" s="4">
        <v>99835</v>
      </c>
    </row>
    <row r="1650" spans="1:14" x14ac:dyDescent="0.25">
      <c r="A1650" s="5" t="str">
        <f t="shared" si="28"/>
        <v>Utah-Ali Steenken</v>
      </c>
      <c r="B1650" s="3" t="s">
        <v>83</v>
      </c>
      <c r="C1650" s="3" t="s">
        <v>116</v>
      </c>
      <c r="D1650" s="4">
        <v>148624</v>
      </c>
      <c r="L1650" s="3" t="s">
        <v>89</v>
      </c>
      <c r="M1650" s="3" t="s">
        <v>121</v>
      </c>
      <c r="N1650" s="4">
        <v>66994</v>
      </c>
    </row>
    <row r="1651" spans="1:14" x14ac:dyDescent="0.25">
      <c r="A1651" s="5" t="str">
        <f t="shared" si="28"/>
        <v>Ohio-Lucilla Bilecki</v>
      </c>
      <c r="B1651" s="3" t="s">
        <v>73</v>
      </c>
      <c r="C1651" s="3" t="s">
        <v>97</v>
      </c>
      <c r="D1651" s="4">
        <v>133580</v>
      </c>
      <c r="L1651" s="3" t="s">
        <v>89</v>
      </c>
      <c r="M1651" s="3" t="s">
        <v>107</v>
      </c>
      <c r="N1651" s="4">
        <v>93376</v>
      </c>
    </row>
    <row r="1652" spans="1:14" x14ac:dyDescent="0.25">
      <c r="A1652" s="5" t="str">
        <f t="shared" si="28"/>
        <v>Michigan-Marlin Mavromatis</v>
      </c>
      <c r="B1652" s="3" t="s">
        <v>59</v>
      </c>
      <c r="C1652" s="3" t="s">
        <v>113</v>
      </c>
      <c r="D1652" s="4">
        <v>110478</v>
      </c>
      <c r="L1652" s="3" t="s">
        <v>90</v>
      </c>
      <c r="M1652" s="3" t="s">
        <v>116</v>
      </c>
      <c r="N1652" s="4">
        <v>18657</v>
      </c>
    </row>
    <row r="1653" spans="1:14" x14ac:dyDescent="0.25">
      <c r="A1653" s="5" t="str">
        <f t="shared" si="28"/>
        <v>West Virginia-Thaddeus Cacciatori</v>
      </c>
      <c r="B1653" s="3" t="s">
        <v>88</v>
      </c>
      <c r="C1653" s="3" t="s">
        <v>114</v>
      </c>
      <c r="D1653" s="4">
        <v>72374</v>
      </c>
      <c r="L1653" s="3" t="s">
        <v>90</v>
      </c>
      <c r="M1653" s="3" t="s">
        <v>108</v>
      </c>
      <c r="N1653" s="4">
        <v>114875</v>
      </c>
    </row>
    <row r="1654" spans="1:14" x14ac:dyDescent="0.25">
      <c r="A1654" s="5" t="str">
        <f t="shared" si="28"/>
        <v>Florida-Marcel Davern</v>
      </c>
      <c r="B1654" s="3" t="s">
        <v>45</v>
      </c>
      <c r="C1654" s="3" t="s">
        <v>119</v>
      </c>
      <c r="D1654" s="4">
        <v>120120</v>
      </c>
      <c r="L1654" s="3" t="s">
        <v>90</v>
      </c>
      <c r="M1654" s="3" t="s">
        <v>110</v>
      </c>
      <c r="N1654" s="4">
        <v>134506</v>
      </c>
    </row>
    <row r="1655" spans="1:14" x14ac:dyDescent="0.25">
      <c r="A1655" s="5" t="str">
        <f t="shared" si="28"/>
        <v>Iowa-Marvis Tenholder</v>
      </c>
      <c r="B1655" s="3" t="s">
        <v>52</v>
      </c>
      <c r="C1655" s="3" t="s">
        <v>105</v>
      </c>
      <c r="D1655" s="4">
        <v>6019</v>
      </c>
      <c r="L1655" s="3" t="s">
        <v>90</v>
      </c>
      <c r="M1655" s="3" t="s">
        <v>99</v>
      </c>
      <c r="N1655" s="4">
        <v>28116</v>
      </c>
    </row>
    <row r="1656" spans="1:14" x14ac:dyDescent="0.25">
      <c r="A1656" s="5" t="str">
        <f t="shared" si="28"/>
        <v>Indiana-Ali Stupp</v>
      </c>
      <c r="B1656" s="3" t="s">
        <v>51</v>
      </c>
      <c r="C1656" s="3" t="s">
        <v>108</v>
      </c>
      <c r="D1656" s="4">
        <v>46529</v>
      </c>
      <c r="L1656" s="3" t="s">
        <v>90</v>
      </c>
      <c r="M1656" s="3" t="s">
        <v>124</v>
      </c>
      <c r="N1656" s="4">
        <v>99981</v>
      </c>
    </row>
    <row r="1657" spans="1:14" x14ac:dyDescent="0.25">
      <c r="A1657" s="5" t="str">
        <f t="shared" si="28"/>
        <v>New Jersey-Fidel Potra</v>
      </c>
      <c r="B1657" s="3" t="s">
        <v>67</v>
      </c>
      <c r="C1657" s="3" t="s">
        <v>115</v>
      </c>
      <c r="D1657" s="4">
        <v>29564</v>
      </c>
      <c r="L1657" s="3" t="s">
        <v>90</v>
      </c>
      <c r="M1657" s="3" t="s">
        <v>96</v>
      </c>
      <c r="N1657" s="4">
        <v>5155</v>
      </c>
    </row>
    <row r="1658" spans="1:14" x14ac:dyDescent="0.25">
      <c r="A1658" s="5" t="str">
        <f t="shared" si="28"/>
        <v>North Dakota-Moises Paynes</v>
      </c>
      <c r="B1658" s="3" t="s">
        <v>71</v>
      </c>
      <c r="C1658" s="3" t="s">
        <v>104</v>
      </c>
      <c r="D1658" s="4">
        <v>77232</v>
      </c>
      <c r="L1658" s="3" t="s">
        <v>90</v>
      </c>
      <c r="M1658" s="3" t="s">
        <v>115</v>
      </c>
      <c r="N1658" s="4">
        <v>9226</v>
      </c>
    </row>
    <row r="1659" spans="1:14" x14ac:dyDescent="0.25">
      <c r="A1659" s="5" t="str">
        <f t="shared" si="28"/>
        <v>Virginia-Armand Mcleon</v>
      </c>
      <c r="B1659" s="3" t="s">
        <v>85</v>
      </c>
      <c r="C1659" s="3" t="s">
        <v>110</v>
      </c>
      <c r="D1659" s="4">
        <v>129310</v>
      </c>
      <c r="L1659" s="3" t="s">
        <v>90</v>
      </c>
      <c r="M1659" s="3" t="s">
        <v>117</v>
      </c>
      <c r="N1659" s="4">
        <v>78657</v>
      </c>
    </row>
    <row r="1660" spans="1:14" x14ac:dyDescent="0.25">
      <c r="A1660" s="5" t="str">
        <f t="shared" si="28"/>
        <v>Wyoming-Jackson Lorkowski</v>
      </c>
      <c r="B1660" s="3" t="s">
        <v>90</v>
      </c>
      <c r="C1660" s="3" t="s">
        <v>120</v>
      </c>
      <c r="D1660" s="4">
        <v>153453</v>
      </c>
      <c r="L1660" s="3" t="s">
        <v>90</v>
      </c>
      <c r="M1660" s="3" t="s">
        <v>120</v>
      </c>
      <c r="N1660" s="4">
        <v>153453</v>
      </c>
    </row>
    <row r="1661" spans="1:14" x14ac:dyDescent="0.25">
      <c r="A1661" s="5" t="str">
        <f t="shared" si="28"/>
        <v>Tennessee-Nolan Deorio</v>
      </c>
      <c r="B1661" s="3" t="s">
        <v>81</v>
      </c>
      <c r="C1661" s="3" t="s">
        <v>100</v>
      </c>
      <c r="D1661" s="4">
        <v>111028</v>
      </c>
      <c r="L1661" s="3" t="s">
        <v>90</v>
      </c>
      <c r="M1661" s="3" t="s">
        <v>111</v>
      </c>
      <c r="N1661" s="4">
        <v>156532</v>
      </c>
    </row>
    <row r="1662" spans="1:14" x14ac:dyDescent="0.25">
      <c r="A1662" s="5" t="str">
        <f t="shared" si="28"/>
        <v>Texas-Thaddeus Cacciatori</v>
      </c>
      <c r="B1662" s="3" t="s">
        <v>82</v>
      </c>
      <c r="C1662" s="3" t="s">
        <v>114</v>
      </c>
      <c r="D1662" s="4">
        <v>20174</v>
      </c>
      <c r="L1662" s="3" t="s">
        <v>90</v>
      </c>
      <c r="M1662" s="3" t="s">
        <v>102</v>
      </c>
      <c r="N1662" s="4">
        <v>17352</v>
      </c>
    </row>
    <row r="1663" spans="1:14" x14ac:dyDescent="0.25">
      <c r="A1663" s="5" t="str">
        <f t="shared" si="28"/>
        <v>South Dakota-Cliff Galinski</v>
      </c>
      <c r="B1663" s="3" t="s">
        <v>80</v>
      </c>
      <c r="C1663" s="3" t="s">
        <v>124</v>
      </c>
      <c r="D1663" s="4">
        <v>83366</v>
      </c>
      <c r="L1663" s="3" t="s">
        <v>90</v>
      </c>
      <c r="M1663" s="3" t="s">
        <v>106</v>
      </c>
      <c r="N1663" s="4">
        <v>18071</v>
      </c>
    </row>
    <row r="1664" spans="1:14" x14ac:dyDescent="0.25">
      <c r="A1664" s="5" t="str">
        <f t="shared" si="28"/>
        <v>Wyoming-Genna Zaller</v>
      </c>
      <c r="B1664" s="3" t="s">
        <v>90</v>
      </c>
      <c r="C1664" s="3" t="s">
        <v>117</v>
      </c>
      <c r="D1664" s="4">
        <v>78657</v>
      </c>
      <c r="L1664" s="3" t="s">
        <v>90</v>
      </c>
      <c r="M1664" s="3" t="s">
        <v>123</v>
      </c>
      <c r="N1664" s="4">
        <v>50023</v>
      </c>
    </row>
    <row r="1665" spans="1:14" x14ac:dyDescent="0.25">
      <c r="A1665" s="5" t="str">
        <f t="shared" si="28"/>
        <v>Indiana-Toi Zedaker</v>
      </c>
      <c r="B1665" s="3" t="s">
        <v>51</v>
      </c>
      <c r="C1665" s="3" t="s">
        <v>121</v>
      </c>
      <c r="D1665" s="4">
        <v>157523</v>
      </c>
      <c r="L1665" s="3" t="s">
        <v>90</v>
      </c>
      <c r="M1665" s="3" t="s">
        <v>97</v>
      </c>
      <c r="N1665" s="4">
        <v>52064</v>
      </c>
    </row>
    <row r="1666" spans="1:14" x14ac:dyDescent="0.25">
      <c r="A1666" s="5" t="str">
        <f t="shared" ref="A1666:A1681" si="29">B1666&amp;"-"&amp;C1666</f>
        <v>Wyoming-Marlin Mavromatis</v>
      </c>
      <c r="B1666" s="3" t="s">
        <v>90</v>
      </c>
      <c r="C1666" s="3" t="s">
        <v>113</v>
      </c>
      <c r="D1666" s="4">
        <v>71284</v>
      </c>
      <c r="L1666" s="3" t="s">
        <v>90</v>
      </c>
      <c r="M1666" s="3" t="s">
        <v>119</v>
      </c>
      <c r="N1666" s="4">
        <v>170484</v>
      </c>
    </row>
    <row r="1667" spans="1:14" x14ac:dyDescent="0.25">
      <c r="A1667" s="5" t="str">
        <f t="shared" si="29"/>
        <v>Massachusetts-Toi Zedaker</v>
      </c>
      <c r="B1667" s="3" t="s">
        <v>58</v>
      </c>
      <c r="C1667" s="3" t="s">
        <v>121</v>
      </c>
      <c r="D1667" s="4">
        <v>26227</v>
      </c>
      <c r="L1667" s="3" t="s">
        <v>90</v>
      </c>
      <c r="M1667" s="3" t="s">
        <v>113</v>
      </c>
      <c r="N1667" s="4">
        <v>71284</v>
      </c>
    </row>
    <row r="1668" spans="1:14" x14ac:dyDescent="0.25">
      <c r="A1668" s="5" t="str">
        <f t="shared" si="29"/>
        <v>Vermont-Nolan Gohn</v>
      </c>
      <c r="B1668" s="3" t="s">
        <v>84</v>
      </c>
      <c r="C1668" s="3" t="s">
        <v>118</v>
      </c>
      <c r="D1668" s="4">
        <v>138493</v>
      </c>
      <c r="L1668" s="3" t="s">
        <v>90</v>
      </c>
      <c r="M1668" s="3" t="s">
        <v>105</v>
      </c>
      <c r="N1668" s="4">
        <v>86139</v>
      </c>
    </row>
    <row r="1669" spans="1:14" x14ac:dyDescent="0.25">
      <c r="A1669" s="5" t="str">
        <f t="shared" si="29"/>
        <v>New Jersey-Toi Zedaker</v>
      </c>
      <c r="B1669" s="3" t="s">
        <v>67</v>
      </c>
      <c r="C1669" s="3" t="s">
        <v>121</v>
      </c>
      <c r="D1669" s="4">
        <v>35766</v>
      </c>
      <c r="L1669" s="3" t="s">
        <v>90</v>
      </c>
      <c r="M1669" s="3" t="s">
        <v>104</v>
      </c>
      <c r="N1669" s="4">
        <v>79662</v>
      </c>
    </row>
    <row r="1670" spans="1:14" x14ac:dyDescent="0.25">
      <c r="A1670" s="5" t="str">
        <f t="shared" si="29"/>
        <v>California-Keila Rossini</v>
      </c>
      <c r="B1670" s="3" t="s">
        <v>40</v>
      </c>
      <c r="C1670" s="3" t="s">
        <v>102</v>
      </c>
      <c r="D1670" s="4">
        <v>52041</v>
      </c>
      <c r="L1670" s="3" t="s">
        <v>90</v>
      </c>
      <c r="M1670" s="3" t="s">
        <v>100</v>
      </c>
      <c r="N1670" s="4">
        <v>95138</v>
      </c>
    </row>
    <row r="1671" spans="1:14" x14ac:dyDescent="0.25">
      <c r="A1671" s="5" t="str">
        <f t="shared" si="29"/>
        <v>California-Raphael Derrig</v>
      </c>
      <c r="B1671" s="3" t="s">
        <v>40</v>
      </c>
      <c r="C1671" s="3" t="s">
        <v>109</v>
      </c>
      <c r="D1671" s="4">
        <v>60856</v>
      </c>
      <c r="L1671" s="3" t="s">
        <v>90</v>
      </c>
      <c r="M1671" s="3" t="s">
        <v>118</v>
      </c>
      <c r="N1671" s="4">
        <v>16558</v>
      </c>
    </row>
    <row r="1672" spans="1:14" x14ac:dyDescent="0.25">
      <c r="A1672" s="5" t="str">
        <f t="shared" si="29"/>
        <v>Vermont-Nolan Deorio</v>
      </c>
      <c r="B1672" s="3" t="s">
        <v>84</v>
      </c>
      <c r="C1672" s="3" t="s">
        <v>100</v>
      </c>
      <c r="D1672" s="4">
        <v>129711</v>
      </c>
      <c r="L1672" s="3" t="s">
        <v>90</v>
      </c>
      <c r="M1672" s="3" t="s">
        <v>101</v>
      </c>
      <c r="N1672" s="4">
        <v>159733</v>
      </c>
    </row>
    <row r="1673" spans="1:14" x14ac:dyDescent="0.25">
      <c r="A1673" s="5" t="str">
        <f t="shared" si="29"/>
        <v>Nebraska-Kai Stroebel</v>
      </c>
      <c r="B1673" s="3" t="s">
        <v>64</v>
      </c>
      <c r="C1673" s="3" t="s">
        <v>111</v>
      </c>
      <c r="D1673" s="4">
        <v>56979</v>
      </c>
      <c r="L1673" s="3" t="s">
        <v>90</v>
      </c>
      <c r="M1673" s="3" t="s">
        <v>122</v>
      </c>
      <c r="N1673" s="4">
        <v>172580</v>
      </c>
    </row>
    <row r="1674" spans="1:14" x14ac:dyDescent="0.25">
      <c r="A1674" s="5" t="str">
        <f t="shared" si="29"/>
        <v>New Jersey-Quinton Modugno</v>
      </c>
      <c r="B1674" s="3" t="s">
        <v>67</v>
      </c>
      <c r="C1674" s="3" t="s">
        <v>101</v>
      </c>
      <c r="D1674" s="4">
        <v>158494</v>
      </c>
      <c r="L1674" s="3" t="s">
        <v>90</v>
      </c>
      <c r="M1674" s="3" t="s">
        <v>109</v>
      </c>
      <c r="N1674" s="4">
        <v>18151</v>
      </c>
    </row>
    <row r="1675" spans="1:14" x14ac:dyDescent="0.25">
      <c r="A1675" s="5" t="str">
        <f t="shared" si="29"/>
        <v>North Dakota-Kai Stroebel</v>
      </c>
      <c r="B1675" s="3" t="s">
        <v>71</v>
      </c>
      <c r="C1675" s="3" t="s">
        <v>111</v>
      </c>
      <c r="D1675" s="4">
        <v>135246</v>
      </c>
      <c r="L1675" s="3" t="s">
        <v>90</v>
      </c>
      <c r="M1675" s="3" t="s">
        <v>95</v>
      </c>
      <c r="N1675" s="4">
        <v>56386</v>
      </c>
    </row>
    <row r="1676" spans="1:14" x14ac:dyDescent="0.25">
      <c r="A1676" s="5" t="str">
        <f t="shared" si="29"/>
        <v>Missouri-Nolan Deorio</v>
      </c>
      <c r="B1676" s="3" t="s">
        <v>62</v>
      </c>
      <c r="C1676" s="3" t="s">
        <v>100</v>
      </c>
      <c r="D1676" s="4">
        <v>153113</v>
      </c>
      <c r="L1676" s="3" t="s">
        <v>90</v>
      </c>
      <c r="M1676" s="3" t="s">
        <v>98</v>
      </c>
      <c r="N1676" s="4">
        <v>68211</v>
      </c>
    </row>
    <row r="1677" spans="1:14" x14ac:dyDescent="0.25">
      <c r="A1677" s="5" t="str">
        <f t="shared" si="29"/>
        <v>Oklahoma-Lashon Bongers</v>
      </c>
      <c r="B1677" s="3" t="s">
        <v>74</v>
      </c>
      <c r="C1677" s="3" t="s">
        <v>106</v>
      </c>
      <c r="D1677" s="4">
        <v>164691</v>
      </c>
      <c r="L1677" s="3" t="s">
        <v>90</v>
      </c>
      <c r="M1677" s="3" t="s">
        <v>114</v>
      </c>
      <c r="N1677" s="4">
        <v>70700</v>
      </c>
    </row>
    <row r="1678" spans="1:14" x14ac:dyDescent="0.25">
      <c r="A1678" s="5" t="str">
        <f t="shared" si="29"/>
        <v>Puerto Rico-Moises Paynes</v>
      </c>
      <c r="B1678" s="3" t="s">
        <v>77</v>
      </c>
      <c r="C1678" s="3" t="s">
        <v>104</v>
      </c>
      <c r="D1678" s="4">
        <v>66401</v>
      </c>
      <c r="L1678" s="3" t="s">
        <v>90</v>
      </c>
      <c r="M1678" s="3" t="s">
        <v>112</v>
      </c>
      <c r="N1678" s="4">
        <v>22910</v>
      </c>
    </row>
    <row r="1679" spans="1:14" x14ac:dyDescent="0.25">
      <c r="A1679" s="5" t="str">
        <f t="shared" si="29"/>
        <v>Wisconsin-Twanda Lovenduski</v>
      </c>
      <c r="B1679" s="3" t="s">
        <v>89</v>
      </c>
      <c r="C1679" s="3" t="s">
        <v>107</v>
      </c>
      <c r="D1679" s="4">
        <v>93376</v>
      </c>
      <c r="L1679" s="3" t="s">
        <v>90</v>
      </c>
      <c r="M1679" s="3" t="s">
        <v>103</v>
      </c>
      <c r="N1679" s="4">
        <v>114992</v>
      </c>
    </row>
    <row r="1680" spans="1:14" x14ac:dyDescent="0.25">
      <c r="A1680" s="5" t="str">
        <f t="shared" si="29"/>
        <v>California-Marvis Tenholder</v>
      </c>
      <c r="B1680" s="3" t="s">
        <v>40</v>
      </c>
      <c r="C1680" s="3" t="s">
        <v>105</v>
      </c>
      <c r="D1680" s="4">
        <v>77598</v>
      </c>
      <c r="L1680" s="3" t="s">
        <v>90</v>
      </c>
      <c r="M1680" s="3" t="s">
        <v>121</v>
      </c>
      <c r="N1680" s="4">
        <v>88171</v>
      </c>
    </row>
    <row r="1681" spans="1:14" x14ac:dyDescent="0.25">
      <c r="A1681" s="5" t="str">
        <f t="shared" si="29"/>
        <v>Indiana-Son Shryack</v>
      </c>
      <c r="B1681" s="3" t="s">
        <v>51</v>
      </c>
      <c r="C1681" s="3" t="s">
        <v>98</v>
      </c>
      <c r="D1681" s="4">
        <v>164925</v>
      </c>
      <c r="L1681" s="3" t="s">
        <v>90</v>
      </c>
      <c r="M1681" s="3" t="s">
        <v>107</v>
      </c>
      <c r="N1681" s="4">
        <v>125971</v>
      </c>
    </row>
  </sheetData>
  <dataValidations disablePrompts="1" count="1">
    <dataValidation type="list" allowBlank="1" showInputMessage="1" showErrorMessage="1" sqref="H19 R10">
      <formula1>States</formula1>
    </dataValidation>
  </dataValidations>
  <hyperlinks>
    <hyperlink ref="U5" r:id="rId1"/>
    <hyperlink ref="U6" r:id="rId2" location="Office2007excelPerf_MakingWorkbooksCalculateFaster"/>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34"/>
  <sheetViews>
    <sheetView workbookViewId="0">
      <selection activeCell="C2" sqref="C2"/>
    </sheetView>
  </sheetViews>
  <sheetFormatPr defaultRowHeight="15" x14ac:dyDescent="0.25"/>
  <cols>
    <col min="1" max="1" width="18.85546875" bestFit="1" customWidth="1"/>
    <col min="2" max="2" width="12.140625" bestFit="1" customWidth="1"/>
  </cols>
  <sheetData>
    <row r="1" spans="1:2" x14ac:dyDescent="0.25">
      <c r="A1" s="10" t="s">
        <v>2</v>
      </c>
      <c r="B1" t="s">
        <v>69</v>
      </c>
    </row>
    <row r="3" spans="1:2" x14ac:dyDescent="0.25">
      <c r="A3" s="10" t="s">
        <v>134</v>
      </c>
      <c r="B3" t="s">
        <v>136</v>
      </c>
    </row>
    <row r="4" spans="1:2" x14ac:dyDescent="0.25">
      <c r="A4" s="11" t="s">
        <v>116</v>
      </c>
      <c r="B4" s="12">
        <v>160946</v>
      </c>
    </row>
    <row r="5" spans="1:2" x14ac:dyDescent="0.25">
      <c r="A5" s="11" t="s">
        <v>108</v>
      </c>
      <c r="B5" s="12">
        <v>107741</v>
      </c>
    </row>
    <row r="6" spans="1:2" x14ac:dyDescent="0.25">
      <c r="A6" s="11" t="s">
        <v>110</v>
      </c>
      <c r="B6" s="12">
        <v>172453</v>
      </c>
    </row>
    <row r="7" spans="1:2" x14ac:dyDescent="0.25">
      <c r="A7" s="11" t="s">
        <v>99</v>
      </c>
      <c r="B7" s="12">
        <v>58614</v>
      </c>
    </row>
    <row r="8" spans="1:2" x14ac:dyDescent="0.25">
      <c r="A8" s="11" t="s">
        <v>124</v>
      </c>
      <c r="B8" s="12">
        <v>59449</v>
      </c>
    </row>
    <row r="9" spans="1:2" x14ac:dyDescent="0.25">
      <c r="A9" s="11" t="s">
        <v>96</v>
      </c>
      <c r="B9" s="12">
        <v>97325</v>
      </c>
    </row>
    <row r="10" spans="1:2" x14ac:dyDescent="0.25">
      <c r="A10" s="11" t="s">
        <v>115</v>
      </c>
      <c r="B10" s="12">
        <v>54562</v>
      </c>
    </row>
    <row r="11" spans="1:2" x14ac:dyDescent="0.25">
      <c r="A11" s="11" t="s">
        <v>117</v>
      </c>
      <c r="B11" s="12">
        <v>12634</v>
      </c>
    </row>
    <row r="12" spans="1:2" x14ac:dyDescent="0.25">
      <c r="A12" s="11" t="s">
        <v>120</v>
      </c>
      <c r="B12" s="12">
        <v>55172</v>
      </c>
    </row>
    <row r="13" spans="1:2" x14ac:dyDescent="0.25">
      <c r="A13" s="11" t="s">
        <v>111</v>
      </c>
      <c r="B13" s="12">
        <v>46098</v>
      </c>
    </row>
    <row r="14" spans="1:2" x14ac:dyDescent="0.25">
      <c r="A14" s="11" t="s">
        <v>102</v>
      </c>
      <c r="B14" s="12">
        <v>156863</v>
      </c>
    </row>
    <row r="15" spans="1:2" x14ac:dyDescent="0.25">
      <c r="A15" s="11" t="s">
        <v>106</v>
      </c>
      <c r="B15" s="12">
        <v>174401</v>
      </c>
    </row>
    <row r="16" spans="1:2" x14ac:dyDescent="0.25">
      <c r="A16" s="11" t="s">
        <v>123</v>
      </c>
      <c r="B16" s="12">
        <v>90754</v>
      </c>
    </row>
    <row r="17" spans="1:2" x14ac:dyDescent="0.25">
      <c r="A17" s="11" t="s">
        <v>97</v>
      </c>
      <c r="B17" s="12">
        <v>144165</v>
      </c>
    </row>
    <row r="18" spans="1:2" x14ac:dyDescent="0.25">
      <c r="A18" s="11" t="s">
        <v>119</v>
      </c>
      <c r="B18" s="12">
        <v>110636</v>
      </c>
    </row>
    <row r="19" spans="1:2" x14ac:dyDescent="0.25">
      <c r="A19" s="11" t="s">
        <v>113</v>
      </c>
      <c r="B19" s="12">
        <v>71366</v>
      </c>
    </row>
    <row r="20" spans="1:2" x14ac:dyDescent="0.25">
      <c r="A20" s="11" t="s">
        <v>105</v>
      </c>
      <c r="B20" s="12">
        <v>33592</v>
      </c>
    </row>
    <row r="21" spans="1:2" x14ac:dyDescent="0.25">
      <c r="A21" s="11" t="s">
        <v>104</v>
      </c>
      <c r="B21" s="12">
        <v>86624</v>
      </c>
    </row>
    <row r="22" spans="1:2" x14ac:dyDescent="0.25">
      <c r="A22" s="11" t="s">
        <v>100</v>
      </c>
      <c r="B22" s="12">
        <v>101060</v>
      </c>
    </row>
    <row r="23" spans="1:2" x14ac:dyDescent="0.25">
      <c r="A23" s="11" t="s">
        <v>118</v>
      </c>
      <c r="B23" s="12">
        <v>11775</v>
      </c>
    </row>
    <row r="24" spans="1:2" x14ac:dyDescent="0.25">
      <c r="A24" s="11" t="s">
        <v>101</v>
      </c>
      <c r="B24" s="12">
        <v>55350</v>
      </c>
    </row>
    <row r="25" spans="1:2" x14ac:dyDescent="0.25">
      <c r="A25" s="11" t="s">
        <v>122</v>
      </c>
      <c r="B25" s="12">
        <v>54878</v>
      </c>
    </row>
    <row r="26" spans="1:2" x14ac:dyDescent="0.25">
      <c r="A26" s="11" t="s">
        <v>109</v>
      </c>
      <c r="B26" s="12">
        <v>79377</v>
      </c>
    </row>
    <row r="27" spans="1:2" x14ac:dyDescent="0.25">
      <c r="A27" s="11" t="s">
        <v>95</v>
      </c>
      <c r="B27" s="12">
        <v>121453</v>
      </c>
    </row>
    <row r="28" spans="1:2" x14ac:dyDescent="0.25">
      <c r="A28" s="11" t="s">
        <v>98</v>
      </c>
      <c r="B28" s="12">
        <v>150247</v>
      </c>
    </row>
    <row r="29" spans="1:2" x14ac:dyDescent="0.25">
      <c r="A29" s="11" t="s">
        <v>114</v>
      </c>
      <c r="B29" s="12">
        <v>11560</v>
      </c>
    </row>
    <row r="30" spans="1:2" x14ac:dyDescent="0.25">
      <c r="A30" s="11" t="s">
        <v>112</v>
      </c>
      <c r="B30" s="12">
        <v>111917</v>
      </c>
    </row>
    <row r="31" spans="1:2" x14ac:dyDescent="0.25">
      <c r="A31" s="11" t="s">
        <v>103</v>
      </c>
      <c r="B31" s="12">
        <v>109245</v>
      </c>
    </row>
    <row r="32" spans="1:2" x14ac:dyDescent="0.25">
      <c r="A32" s="11" t="s">
        <v>121</v>
      </c>
      <c r="B32" s="12">
        <v>8522</v>
      </c>
    </row>
    <row r="33" spans="1:2" x14ac:dyDescent="0.25">
      <c r="A33" s="11" t="s">
        <v>107</v>
      </c>
      <c r="B33" s="12">
        <v>68902</v>
      </c>
    </row>
    <row r="34" spans="1:2" x14ac:dyDescent="0.25">
      <c r="A34" s="11" t="s">
        <v>135</v>
      </c>
      <c r="B34" s="12">
        <v>2577681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2"/>
  <sheetViews>
    <sheetView workbookViewId="0">
      <selection activeCell="C2" sqref="C2"/>
    </sheetView>
  </sheetViews>
  <sheetFormatPr defaultRowHeight="15" x14ac:dyDescent="0.25"/>
  <cols>
    <col min="1" max="1" width="13.28515625" customWidth="1"/>
    <col min="2" max="2" width="14.28515625" customWidth="1"/>
    <col min="3" max="3" width="19.42578125" customWidth="1"/>
  </cols>
  <sheetData>
    <row r="1" spans="1:3" x14ac:dyDescent="0.25">
      <c r="A1" s="2" t="s">
        <v>2</v>
      </c>
      <c r="B1" s="2" t="s">
        <v>0</v>
      </c>
      <c r="C1" s="2" t="s">
        <v>1</v>
      </c>
    </row>
    <row r="2" spans="1:3" x14ac:dyDescent="0.25">
      <c r="A2" s="3" t="s">
        <v>131</v>
      </c>
      <c r="B2" s="3" t="s">
        <v>132</v>
      </c>
      <c r="C2" s="4" t="s">
        <v>133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31"/>
  <sheetViews>
    <sheetView workbookViewId="0">
      <selection activeCell="K2" sqref="K2"/>
    </sheetView>
  </sheetViews>
  <sheetFormatPr defaultRowHeight="15" x14ac:dyDescent="0.25"/>
  <cols>
    <col min="1" max="1" width="38.85546875" customWidth="1"/>
    <col min="2" max="2" width="5.28515625" customWidth="1"/>
    <col min="3" max="3" width="18.85546875" bestFit="1" customWidth="1"/>
  </cols>
  <sheetData>
    <row r="1" spans="1:7" x14ac:dyDescent="0.25">
      <c r="A1" s="1" t="s">
        <v>33</v>
      </c>
      <c r="C1" s="1" t="s">
        <v>34</v>
      </c>
      <c r="E1" s="1" t="s">
        <v>94</v>
      </c>
      <c r="G1" s="1" t="s">
        <v>92</v>
      </c>
    </row>
    <row r="2" spans="1:7" x14ac:dyDescent="0.25">
      <c r="A2" t="s">
        <v>3</v>
      </c>
      <c r="C2" t="str">
        <f t="shared" ref="C2:C31" si="0">REPLACE(A2,1,SEARCH(".",A2)+3,"")</f>
        <v>Sadye Diloreto</v>
      </c>
      <c r="E2">
        <f>COUNTIF('2LookupValues'!$C$2:$C$1681,C2)</f>
        <v>56</v>
      </c>
      <c r="G2">
        <f>COUNTA(Name)</f>
        <v>30</v>
      </c>
    </row>
    <row r="3" spans="1:7" x14ac:dyDescent="0.25">
      <c r="A3" t="s">
        <v>4</v>
      </c>
      <c r="C3" t="str">
        <f t="shared" si="0"/>
        <v>Cliff Schnautz</v>
      </c>
      <c r="E3">
        <f>COUNTIF('2LookupValues'!$C$2:$C$1681,C3)</f>
        <v>56</v>
      </c>
    </row>
    <row r="4" spans="1:7" x14ac:dyDescent="0.25">
      <c r="A4" t="s">
        <v>5</v>
      </c>
      <c r="C4" t="str">
        <f t="shared" si="0"/>
        <v>Lucilla Bilecki</v>
      </c>
      <c r="E4">
        <f>COUNTIF('2LookupValues'!$C$2:$C$1681,C4)</f>
        <v>56</v>
      </c>
    </row>
    <row r="5" spans="1:7" x14ac:dyDescent="0.25">
      <c r="A5" t="s">
        <v>6</v>
      </c>
      <c r="C5" t="str">
        <f t="shared" si="0"/>
        <v>Son Shryack</v>
      </c>
      <c r="E5">
        <f>COUNTIF('2LookupValues'!$C$2:$C$1681,C5)</f>
        <v>56</v>
      </c>
    </row>
    <row r="6" spans="1:7" x14ac:dyDescent="0.25">
      <c r="A6" t="s">
        <v>7</v>
      </c>
      <c r="C6" t="str">
        <f t="shared" si="0"/>
        <v>Cliff Bahlmann</v>
      </c>
      <c r="E6">
        <f>COUNTIF('2LookupValues'!$C$2:$C$1681,C6)</f>
        <v>56</v>
      </c>
    </row>
    <row r="7" spans="1:7" x14ac:dyDescent="0.25">
      <c r="A7" t="s">
        <v>8</v>
      </c>
      <c r="C7" t="str">
        <f t="shared" si="0"/>
        <v>Nolan Deorio</v>
      </c>
      <c r="E7">
        <f>COUNTIF('2LookupValues'!$C$2:$C$1681,C7)</f>
        <v>56</v>
      </c>
    </row>
    <row r="8" spans="1:7" x14ac:dyDescent="0.25">
      <c r="A8" t="s">
        <v>9</v>
      </c>
      <c r="C8" t="str">
        <f t="shared" si="0"/>
        <v>Quinton Modugno</v>
      </c>
      <c r="E8">
        <f>COUNTIF('2LookupValues'!$C$2:$C$1681,C8)</f>
        <v>56</v>
      </c>
    </row>
    <row r="9" spans="1:7" x14ac:dyDescent="0.25">
      <c r="A9" t="s">
        <v>10</v>
      </c>
      <c r="C9" t="str">
        <f t="shared" si="0"/>
        <v>Keila Rossini</v>
      </c>
      <c r="E9">
        <f>COUNTIF('2LookupValues'!$C$2:$C$1681,C9)</f>
        <v>56</v>
      </c>
    </row>
    <row r="10" spans="1:7" x14ac:dyDescent="0.25">
      <c r="A10" t="s">
        <v>11</v>
      </c>
      <c r="C10" t="str">
        <f t="shared" si="0"/>
        <v>Toi Medico</v>
      </c>
      <c r="E10">
        <f>COUNTIF('2LookupValues'!$C$2:$C$1681,C10)</f>
        <v>56</v>
      </c>
    </row>
    <row r="11" spans="1:7" x14ac:dyDescent="0.25">
      <c r="A11" t="s">
        <v>12</v>
      </c>
      <c r="C11" t="str">
        <f t="shared" si="0"/>
        <v>Moises Paynes</v>
      </c>
      <c r="E11">
        <f>COUNTIF('2LookupValues'!$C$2:$C$1681,C11)</f>
        <v>56</v>
      </c>
    </row>
    <row r="12" spans="1:7" x14ac:dyDescent="0.25">
      <c r="A12" t="s">
        <v>13</v>
      </c>
      <c r="C12" t="str">
        <f t="shared" si="0"/>
        <v>Marvis Tenholder</v>
      </c>
      <c r="E12">
        <f>COUNTIF('2LookupValues'!$C$2:$C$1681,C12)</f>
        <v>56</v>
      </c>
    </row>
    <row r="13" spans="1:7" x14ac:dyDescent="0.25">
      <c r="A13" t="s">
        <v>14</v>
      </c>
      <c r="C13" t="str">
        <f t="shared" si="0"/>
        <v>Lashon Bongers</v>
      </c>
      <c r="E13">
        <f>COUNTIF('2LookupValues'!$C$2:$C$1681,C13)</f>
        <v>56</v>
      </c>
    </row>
    <row r="14" spans="1:7" x14ac:dyDescent="0.25">
      <c r="A14" t="s">
        <v>15</v>
      </c>
      <c r="C14" t="str">
        <f t="shared" si="0"/>
        <v>Twanda Lovenduski</v>
      </c>
      <c r="E14">
        <f>COUNTIF('2LookupValues'!$C$2:$C$1681,C14)</f>
        <v>56</v>
      </c>
    </row>
    <row r="15" spans="1:7" x14ac:dyDescent="0.25">
      <c r="A15" t="s">
        <v>16</v>
      </c>
      <c r="C15" t="str">
        <f t="shared" si="0"/>
        <v>Ali Stupp</v>
      </c>
      <c r="E15">
        <f>COUNTIF('2LookupValues'!$C$2:$C$1681,C15)</f>
        <v>56</v>
      </c>
    </row>
    <row r="16" spans="1:7" x14ac:dyDescent="0.25">
      <c r="A16" t="s">
        <v>17</v>
      </c>
      <c r="C16" t="str">
        <f t="shared" si="0"/>
        <v>Raphael Derrig</v>
      </c>
      <c r="E16">
        <f>COUNTIF('2LookupValues'!$C$2:$C$1681,C16)</f>
        <v>56</v>
      </c>
    </row>
    <row r="17" spans="1:5" x14ac:dyDescent="0.25">
      <c r="A17" t="s">
        <v>18</v>
      </c>
      <c r="C17" t="str">
        <f t="shared" si="0"/>
        <v>Armand Mcleon</v>
      </c>
      <c r="E17">
        <f>COUNTIF('2LookupValues'!$C$2:$C$1681,C17)</f>
        <v>56</v>
      </c>
    </row>
    <row r="18" spans="1:5" x14ac:dyDescent="0.25">
      <c r="A18" t="s">
        <v>19</v>
      </c>
      <c r="C18" t="str">
        <f t="shared" si="0"/>
        <v>Kai Stroebel</v>
      </c>
      <c r="E18">
        <f>COUNTIF('2LookupValues'!$C$2:$C$1681,C18)</f>
        <v>56</v>
      </c>
    </row>
    <row r="19" spans="1:5" x14ac:dyDescent="0.25">
      <c r="A19" t="s">
        <v>20</v>
      </c>
      <c r="C19" t="str">
        <f t="shared" si="0"/>
        <v>Thaddeus Notah</v>
      </c>
      <c r="E19">
        <f>COUNTIF('2LookupValues'!$C$2:$C$1681,C19)</f>
        <v>56</v>
      </c>
    </row>
    <row r="20" spans="1:5" x14ac:dyDescent="0.25">
      <c r="A20" t="s">
        <v>21</v>
      </c>
      <c r="C20" t="str">
        <f t="shared" si="0"/>
        <v>Marlin Mavromatis</v>
      </c>
      <c r="E20">
        <f>COUNTIF('2LookupValues'!$C$2:$C$1681,C20)</f>
        <v>56</v>
      </c>
    </row>
    <row r="21" spans="1:5" x14ac:dyDescent="0.25">
      <c r="A21" t="s">
        <v>22</v>
      </c>
      <c r="C21" t="str">
        <f t="shared" si="0"/>
        <v>Thaddeus Cacciatori</v>
      </c>
      <c r="E21">
        <f>COUNTIF('2LookupValues'!$C$2:$C$1681,C21)</f>
        <v>56</v>
      </c>
    </row>
    <row r="22" spans="1:5" x14ac:dyDescent="0.25">
      <c r="A22" t="s">
        <v>23</v>
      </c>
      <c r="C22" t="str">
        <f t="shared" si="0"/>
        <v>Fidel Potra</v>
      </c>
      <c r="E22">
        <f>COUNTIF('2LookupValues'!$C$2:$C$1681,C22)</f>
        <v>56</v>
      </c>
    </row>
    <row r="23" spans="1:5" x14ac:dyDescent="0.25">
      <c r="A23" t="s">
        <v>24</v>
      </c>
      <c r="C23" t="str">
        <f t="shared" si="0"/>
        <v>Ali Steenken</v>
      </c>
      <c r="E23">
        <f>COUNTIF('2LookupValues'!$C$2:$C$1681,C23)</f>
        <v>56</v>
      </c>
    </row>
    <row r="24" spans="1:5" x14ac:dyDescent="0.25">
      <c r="A24" t="s">
        <v>25</v>
      </c>
      <c r="C24" t="str">
        <f t="shared" si="0"/>
        <v>Genna Zaller</v>
      </c>
      <c r="E24">
        <f>COUNTIF('2LookupValues'!$C$2:$C$1681,C24)</f>
        <v>56</v>
      </c>
    </row>
    <row r="25" spans="1:5" x14ac:dyDescent="0.25">
      <c r="A25" t="s">
        <v>26</v>
      </c>
      <c r="C25" t="str">
        <f t="shared" si="0"/>
        <v>Nolan Gohn</v>
      </c>
      <c r="E25">
        <f>COUNTIF('2LookupValues'!$C$2:$C$1681,C25)</f>
        <v>56</v>
      </c>
    </row>
    <row r="26" spans="1:5" x14ac:dyDescent="0.25">
      <c r="A26" t="s">
        <v>27</v>
      </c>
      <c r="C26" t="str">
        <f t="shared" si="0"/>
        <v>Marcel Davern</v>
      </c>
      <c r="E26">
        <f>COUNTIF('2LookupValues'!$C$2:$C$1681,C26)</f>
        <v>56</v>
      </c>
    </row>
    <row r="27" spans="1:5" x14ac:dyDescent="0.25">
      <c r="A27" t="s">
        <v>28</v>
      </c>
      <c r="C27" t="str">
        <f t="shared" si="0"/>
        <v>Jackson Lorkowski</v>
      </c>
      <c r="E27">
        <f>COUNTIF('2LookupValues'!$C$2:$C$1681,C27)</f>
        <v>56</v>
      </c>
    </row>
    <row r="28" spans="1:5" x14ac:dyDescent="0.25">
      <c r="A28" t="s">
        <v>29</v>
      </c>
      <c r="C28" t="str">
        <f t="shared" si="0"/>
        <v>Toi Zedaker</v>
      </c>
      <c r="E28">
        <f>COUNTIF('2LookupValues'!$C$2:$C$1681,C28)</f>
        <v>56</v>
      </c>
    </row>
    <row r="29" spans="1:5" x14ac:dyDescent="0.25">
      <c r="A29" t="s">
        <v>30</v>
      </c>
      <c r="C29" t="str">
        <f t="shared" si="0"/>
        <v>Raphael Bonawitz</v>
      </c>
      <c r="E29">
        <f>COUNTIF('2LookupValues'!$C$2:$C$1681,C29)</f>
        <v>56</v>
      </c>
    </row>
    <row r="30" spans="1:5" x14ac:dyDescent="0.25">
      <c r="A30" t="s">
        <v>31</v>
      </c>
      <c r="C30" t="str">
        <f t="shared" si="0"/>
        <v>Lianne Trappey</v>
      </c>
      <c r="E30">
        <f>COUNTIF('2LookupValues'!$C$2:$C$1681,C30)</f>
        <v>56</v>
      </c>
    </row>
    <row r="31" spans="1:5" x14ac:dyDescent="0.25">
      <c r="A31" t="s">
        <v>32</v>
      </c>
      <c r="C31" t="str">
        <f t="shared" si="0"/>
        <v>Cliff Galinski</v>
      </c>
      <c r="E31">
        <f>COUNTIF('2LookupValues'!$C$2:$C$1681,C31)</f>
        <v>56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57"/>
  <sheetViews>
    <sheetView workbookViewId="0">
      <selection activeCell="C2" sqref="C2"/>
    </sheetView>
  </sheetViews>
  <sheetFormatPr defaultRowHeight="15" x14ac:dyDescent="0.25"/>
  <cols>
    <col min="1" max="1" width="24.5703125" bestFit="1" customWidth="1"/>
  </cols>
  <sheetData>
    <row r="1" spans="1:5" x14ac:dyDescent="0.25">
      <c r="A1" s="1" t="s">
        <v>91</v>
      </c>
      <c r="C1" s="1" t="s">
        <v>94</v>
      </c>
      <c r="E1" s="1" t="s">
        <v>93</v>
      </c>
    </row>
    <row r="2" spans="1:5" x14ac:dyDescent="0.25">
      <c r="A2" t="s">
        <v>35</v>
      </c>
      <c r="C2">
        <f>COUNTIF('2LookupValues'!$B$2:$B$1681,A2)</f>
        <v>30</v>
      </c>
      <c r="E2">
        <f>COUNTA(States)</f>
        <v>56</v>
      </c>
    </row>
    <row r="3" spans="1:5" x14ac:dyDescent="0.25">
      <c r="A3" t="s">
        <v>36</v>
      </c>
      <c r="C3">
        <f>COUNTIF('2LookupValues'!$B$2:$B$1681,A3)</f>
        <v>30</v>
      </c>
    </row>
    <row r="4" spans="1:5" x14ac:dyDescent="0.25">
      <c r="A4" t="s">
        <v>37</v>
      </c>
      <c r="C4">
        <f>COUNTIF('2LookupValues'!$B$2:$B$1681,A4)</f>
        <v>30</v>
      </c>
    </row>
    <row r="5" spans="1:5" x14ac:dyDescent="0.25">
      <c r="A5" t="s">
        <v>38</v>
      </c>
      <c r="C5">
        <f>COUNTIF('2LookupValues'!$B$2:$B$1681,A5)</f>
        <v>30</v>
      </c>
    </row>
    <row r="6" spans="1:5" x14ac:dyDescent="0.25">
      <c r="A6" t="s">
        <v>39</v>
      </c>
      <c r="C6">
        <f>COUNTIF('2LookupValues'!$B$2:$B$1681,A6)</f>
        <v>30</v>
      </c>
    </row>
    <row r="7" spans="1:5" x14ac:dyDescent="0.25">
      <c r="A7" t="s">
        <v>40</v>
      </c>
      <c r="C7">
        <f>COUNTIF('2LookupValues'!$B$2:$B$1681,A7)</f>
        <v>30</v>
      </c>
    </row>
    <row r="8" spans="1:5" x14ac:dyDescent="0.25">
      <c r="A8" t="s">
        <v>41</v>
      </c>
      <c r="C8">
        <f>COUNTIF('2LookupValues'!$B$2:$B$1681,A8)</f>
        <v>30</v>
      </c>
    </row>
    <row r="9" spans="1:5" x14ac:dyDescent="0.25">
      <c r="A9" t="s">
        <v>42</v>
      </c>
      <c r="C9">
        <f>COUNTIF('2LookupValues'!$B$2:$B$1681,A9)</f>
        <v>30</v>
      </c>
    </row>
    <row r="10" spans="1:5" x14ac:dyDescent="0.25">
      <c r="A10" t="s">
        <v>43</v>
      </c>
      <c r="C10">
        <f>COUNTIF('2LookupValues'!$B$2:$B$1681,A10)</f>
        <v>30</v>
      </c>
    </row>
    <row r="11" spans="1:5" x14ac:dyDescent="0.25">
      <c r="A11" t="s">
        <v>44</v>
      </c>
      <c r="C11">
        <f>COUNTIF('2LookupValues'!$B$2:$B$1681,A11)</f>
        <v>30</v>
      </c>
    </row>
    <row r="12" spans="1:5" x14ac:dyDescent="0.25">
      <c r="A12" t="s">
        <v>45</v>
      </c>
      <c r="C12">
        <f>COUNTIF('2LookupValues'!$B$2:$B$1681,A12)</f>
        <v>30</v>
      </c>
    </row>
    <row r="13" spans="1:5" x14ac:dyDescent="0.25">
      <c r="A13" t="s">
        <v>46</v>
      </c>
      <c r="C13">
        <f>COUNTIF('2LookupValues'!$B$2:$B$1681,A13)</f>
        <v>30</v>
      </c>
    </row>
    <row r="14" spans="1:5" x14ac:dyDescent="0.25">
      <c r="A14" t="s">
        <v>47</v>
      </c>
      <c r="C14">
        <f>COUNTIF('2LookupValues'!$B$2:$B$1681,A14)</f>
        <v>30</v>
      </c>
    </row>
    <row r="15" spans="1:5" x14ac:dyDescent="0.25">
      <c r="A15" t="s">
        <v>48</v>
      </c>
      <c r="C15">
        <f>COUNTIF('2LookupValues'!$B$2:$B$1681,A15)</f>
        <v>30</v>
      </c>
    </row>
    <row r="16" spans="1:5" x14ac:dyDescent="0.25">
      <c r="A16" t="s">
        <v>49</v>
      </c>
      <c r="C16">
        <f>COUNTIF('2LookupValues'!$B$2:$B$1681,A16)</f>
        <v>30</v>
      </c>
    </row>
    <row r="17" spans="1:3" x14ac:dyDescent="0.25">
      <c r="A17" t="s">
        <v>50</v>
      </c>
      <c r="C17">
        <f>COUNTIF('2LookupValues'!$B$2:$B$1681,A17)</f>
        <v>30</v>
      </c>
    </row>
    <row r="18" spans="1:3" x14ac:dyDescent="0.25">
      <c r="A18" t="s">
        <v>51</v>
      </c>
      <c r="C18">
        <f>COUNTIF('2LookupValues'!$B$2:$B$1681,A18)</f>
        <v>30</v>
      </c>
    </row>
    <row r="19" spans="1:3" x14ac:dyDescent="0.25">
      <c r="A19" t="s">
        <v>52</v>
      </c>
      <c r="C19">
        <f>COUNTIF('2LookupValues'!$B$2:$B$1681,A19)</f>
        <v>30</v>
      </c>
    </row>
    <row r="20" spans="1:3" x14ac:dyDescent="0.25">
      <c r="A20" t="s">
        <v>53</v>
      </c>
      <c r="C20">
        <f>COUNTIF('2LookupValues'!$B$2:$B$1681,A20)</f>
        <v>30</v>
      </c>
    </row>
    <row r="21" spans="1:3" x14ac:dyDescent="0.25">
      <c r="A21" t="s">
        <v>54</v>
      </c>
      <c r="C21">
        <f>COUNTIF('2LookupValues'!$B$2:$B$1681,A21)</f>
        <v>30</v>
      </c>
    </row>
    <row r="22" spans="1:3" x14ac:dyDescent="0.25">
      <c r="A22" t="s">
        <v>55</v>
      </c>
      <c r="C22">
        <f>COUNTIF('2LookupValues'!$B$2:$B$1681,A22)</f>
        <v>30</v>
      </c>
    </row>
    <row r="23" spans="1:3" x14ac:dyDescent="0.25">
      <c r="A23" t="s">
        <v>56</v>
      </c>
      <c r="C23">
        <f>COUNTIF('2LookupValues'!$B$2:$B$1681,A23)</f>
        <v>30</v>
      </c>
    </row>
    <row r="24" spans="1:3" x14ac:dyDescent="0.25">
      <c r="A24" t="s">
        <v>57</v>
      </c>
      <c r="C24">
        <f>COUNTIF('2LookupValues'!$B$2:$B$1681,A24)</f>
        <v>30</v>
      </c>
    </row>
    <row r="25" spans="1:3" x14ac:dyDescent="0.25">
      <c r="A25" t="s">
        <v>58</v>
      </c>
      <c r="C25">
        <f>COUNTIF('2LookupValues'!$B$2:$B$1681,A25)</f>
        <v>30</v>
      </c>
    </row>
    <row r="26" spans="1:3" x14ac:dyDescent="0.25">
      <c r="A26" t="s">
        <v>59</v>
      </c>
      <c r="C26">
        <f>COUNTIF('2LookupValues'!$B$2:$B$1681,A26)</f>
        <v>30</v>
      </c>
    </row>
    <row r="27" spans="1:3" x14ac:dyDescent="0.25">
      <c r="A27" t="s">
        <v>60</v>
      </c>
      <c r="C27">
        <f>COUNTIF('2LookupValues'!$B$2:$B$1681,A27)</f>
        <v>30</v>
      </c>
    </row>
    <row r="28" spans="1:3" x14ac:dyDescent="0.25">
      <c r="A28" t="s">
        <v>61</v>
      </c>
      <c r="C28">
        <f>COUNTIF('2LookupValues'!$B$2:$B$1681,A28)</f>
        <v>30</v>
      </c>
    </row>
    <row r="29" spans="1:3" x14ac:dyDescent="0.25">
      <c r="A29" t="s">
        <v>62</v>
      </c>
      <c r="C29">
        <f>COUNTIF('2LookupValues'!$B$2:$B$1681,A29)</f>
        <v>30</v>
      </c>
    </row>
    <row r="30" spans="1:3" x14ac:dyDescent="0.25">
      <c r="A30" t="s">
        <v>63</v>
      </c>
      <c r="C30">
        <f>COUNTIF('2LookupValues'!$B$2:$B$1681,A30)</f>
        <v>30</v>
      </c>
    </row>
    <row r="31" spans="1:3" x14ac:dyDescent="0.25">
      <c r="A31" t="s">
        <v>64</v>
      </c>
      <c r="C31">
        <f>COUNTIF('2LookupValues'!$B$2:$B$1681,A31)</f>
        <v>30</v>
      </c>
    </row>
    <row r="32" spans="1:3" x14ac:dyDescent="0.25">
      <c r="A32" t="s">
        <v>65</v>
      </c>
      <c r="C32">
        <f>COUNTIF('2LookupValues'!$B$2:$B$1681,A32)</f>
        <v>30</v>
      </c>
    </row>
    <row r="33" spans="1:3" x14ac:dyDescent="0.25">
      <c r="A33" t="s">
        <v>66</v>
      </c>
      <c r="C33">
        <f>COUNTIF('2LookupValues'!$B$2:$B$1681,A33)</f>
        <v>30</v>
      </c>
    </row>
    <row r="34" spans="1:3" x14ac:dyDescent="0.25">
      <c r="A34" t="s">
        <v>67</v>
      </c>
      <c r="C34">
        <f>COUNTIF('2LookupValues'!$B$2:$B$1681,A34)</f>
        <v>30</v>
      </c>
    </row>
    <row r="35" spans="1:3" x14ac:dyDescent="0.25">
      <c r="A35" t="s">
        <v>68</v>
      </c>
      <c r="C35">
        <f>COUNTIF('2LookupValues'!$B$2:$B$1681,A35)</f>
        <v>30</v>
      </c>
    </row>
    <row r="36" spans="1:3" x14ac:dyDescent="0.25">
      <c r="A36" t="s">
        <v>69</v>
      </c>
      <c r="C36">
        <f>COUNTIF('2LookupValues'!$B$2:$B$1681,A36)</f>
        <v>30</v>
      </c>
    </row>
    <row r="37" spans="1:3" x14ac:dyDescent="0.25">
      <c r="A37" t="s">
        <v>70</v>
      </c>
      <c r="C37">
        <f>COUNTIF('2LookupValues'!$B$2:$B$1681,A37)</f>
        <v>30</v>
      </c>
    </row>
    <row r="38" spans="1:3" x14ac:dyDescent="0.25">
      <c r="A38" t="s">
        <v>71</v>
      </c>
      <c r="C38">
        <f>COUNTIF('2LookupValues'!$B$2:$B$1681,A38)</f>
        <v>30</v>
      </c>
    </row>
    <row r="39" spans="1:3" x14ac:dyDescent="0.25">
      <c r="A39" t="s">
        <v>72</v>
      </c>
      <c r="C39">
        <f>COUNTIF('2LookupValues'!$B$2:$B$1681,A39)</f>
        <v>30</v>
      </c>
    </row>
    <row r="40" spans="1:3" x14ac:dyDescent="0.25">
      <c r="A40" t="s">
        <v>73</v>
      </c>
      <c r="C40">
        <f>COUNTIF('2LookupValues'!$B$2:$B$1681,A40)</f>
        <v>30</v>
      </c>
    </row>
    <row r="41" spans="1:3" x14ac:dyDescent="0.25">
      <c r="A41" t="s">
        <v>74</v>
      </c>
      <c r="C41">
        <f>COUNTIF('2LookupValues'!$B$2:$B$1681,A41)</f>
        <v>30</v>
      </c>
    </row>
    <row r="42" spans="1:3" x14ac:dyDescent="0.25">
      <c r="A42" t="s">
        <v>75</v>
      </c>
      <c r="C42">
        <f>COUNTIF('2LookupValues'!$B$2:$B$1681,A42)</f>
        <v>30</v>
      </c>
    </row>
    <row r="43" spans="1:3" x14ac:dyDescent="0.25">
      <c r="A43" t="s">
        <v>76</v>
      </c>
      <c r="C43">
        <f>COUNTIF('2LookupValues'!$B$2:$B$1681,A43)</f>
        <v>30</v>
      </c>
    </row>
    <row r="44" spans="1:3" x14ac:dyDescent="0.25">
      <c r="A44" t="s">
        <v>77</v>
      </c>
      <c r="C44">
        <f>COUNTIF('2LookupValues'!$B$2:$B$1681,A44)</f>
        <v>30</v>
      </c>
    </row>
    <row r="45" spans="1:3" x14ac:dyDescent="0.25">
      <c r="A45" t="s">
        <v>78</v>
      </c>
      <c r="C45">
        <f>COUNTIF('2LookupValues'!$B$2:$B$1681,A45)</f>
        <v>30</v>
      </c>
    </row>
    <row r="46" spans="1:3" x14ac:dyDescent="0.25">
      <c r="A46" t="s">
        <v>79</v>
      </c>
      <c r="C46">
        <f>COUNTIF('2LookupValues'!$B$2:$B$1681,A46)</f>
        <v>30</v>
      </c>
    </row>
    <row r="47" spans="1:3" x14ac:dyDescent="0.25">
      <c r="A47" t="s">
        <v>80</v>
      </c>
      <c r="C47">
        <f>COUNTIF('2LookupValues'!$B$2:$B$1681,A47)</f>
        <v>30</v>
      </c>
    </row>
    <row r="48" spans="1:3" x14ac:dyDescent="0.25">
      <c r="A48" t="s">
        <v>81</v>
      </c>
      <c r="C48">
        <f>COUNTIF('2LookupValues'!$B$2:$B$1681,A48)</f>
        <v>30</v>
      </c>
    </row>
    <row r="49" spans="1:3" x14ac:dyDescent="0.25">
      <c r="A49" t="s">
        <v>82</v>
      </c>
      <c r="C49">
        <f>COUNTIF('2LookupValues'!$B$2:$B$1681,A49)</f>
        <v>30</v>
      </c>
    </row>
    <row r="50" spans="1:3" x14ac:dyDescent="0.25">
      <c r="A50" t="s">
        <v>83</v>
      </c>
      <c r="C50">
        <f>COUNTIF('2LookupValues'!$B$2:$B$1681,A50)</f>
        <v>30</v>
      </c>
    </row>
    <row r="51" spans="1:3" x14ac:dyDescent="0.25">
      <c r="A51" t="s">
        <v>84</v>
      </c>
      <c r="C51">
        <f>COUNTIF('2LookupValues'!$B$2:$B$1681,A51)</f>
        <v>30</v>
      </c>
    </row>
    <row r="52" spans="1:3" x14ac:dyDescent="0.25">
      <c r="A52" t="s">
        <v>85</v>
      </c>
      <c r="C52">
        <f>COUNTIF('2LookupValues'!$B$2:$B$1681,A52)</f>
        <v>30</v>
      </c>
    </row>
    <row r="53" spans="1:3" x14ac:dyDescent="0.25">
      <c r="A53" t="s">
        <v>86</v>
      </c>
      <c r="C53">
        <f>COUNTIF('2LookupValues'!$B$2:$B$1681,A53)</f>
        <v>30</v>
      </c>
    </row>
    <row r="54" spans="1:3" x14ac:dyDescent="0.25">
      <c r="A54" t="s">
        <v>87</v>
      </c>
      <c r="C54">
        <f>COUNTIF('2LookupValues'!$B$2:$B$1681,A54)</f>
        <v>30</v>
      </c>
    </row>
    <row r="55" spans="1:3" x14ac:dyDescent="0.25">
      <c r="A55" t="s">
        <v>88</v>
      </c>
      <c r="C55">
        <f>COUNTIF('2LookupValues'!$B$2:$B$1681,A55)</f>
        <v>30</v>
      </c>
    </row>
    <row r="56" spans="1:3" x14ac:dyDescent="0.25">
      <c r="A56" t="s">
        <v>89</v>
      </c>
      <c r="C56">
        <f>COUNTIF('2LookupValues'!$B$2:$B$1681,A56)</f>
        <v>30</v>
      </c>
    </row>
    <row r="57" spans="1:3" x14ac:dyDescent="0.25">
      <c r="A57" t="s">
        <v>90</v>
      </c>
      <c r="C57">
        <f>COUNTIF('2LookupValues'!$B$2:$B$1681,A57)</f>
        <v>30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2LookupValues</vt:lpstr>
      <vt:lpstr>PT</vt:lpstr>
      <vt:lpstr>TableCreationFormulas</vt:lpstr>
      <vt:lpstr>SalesReps</vt:lpstr>
      <vt:lpstr>States</vt:lpstr>
      <vt:lpstr>CountN</vt:lpstr>
      <vt:lpstr>CountS</vt:lpstr>
      <vt:lpstr>Name</vt:lpstr>
      <vt:lpstr>States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Girvin, Michael</dc:creator>
  <cp:lastModifiedBy>Girvin, Michael</cp:lastModifiedBy>
  <dcterms:created xsi:type="dcterms:W3CDTF">2013-01-31T18:15:46Z</dcterms:created>
  <dcterms:modified xsi:type="dcterms:W3CDTF">2013-05-13T22:54:28Z</dcterms:modified>
</cp:coreProperties>
</file>